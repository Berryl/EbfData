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da87e0ac3e2b482d" Type="http://schemas.microsoft.com/office/2007/relationships/ui/extensibility" Target="customUI/customUI14.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finge\PycharmProjects\EbfData\resources\scenarios\"/>
    </mc:Choice>
  </mc:AlternateContent>
  <xr:revisionPtr revIDLastSave="0" documentId="13_ncr:1_{A41EDD9C-9BA0-488B-8B7D-FEC961F1B743}" xr6:coauthVersionLast="47" xr6:coauthVersionMax="47" xr10:uidLastSave="{00000000-0000-0000-0000-000000000000}"/>
  <bookViews>
    <workbookView xWindow="-120" yWindow="-120" windowWidth="51840" windowHeight="21120" xr2:uid="{25AE842E-62E8-4000-BF31-5E79EECDDD6C}"/>
  </bookViews>
  <sheets>
    <sheet name="SNAP" sheetId="2" r:id="rId1"/>
    <sheet name="AutoFilters" sheetId="3" state="hidden" r:id="rId2"/>
    <sheet name="Views" sheetId="4" state="hidden" r:id="rId3"/>
    <sheet name="Groupings" sheetId="5" state="hidden" r:id="rId4"/>
    <sheet name="UiSettings" sheetId="7" state="hidden" r:id="rId5"/>
    <sheet name="Sector Analysis" sheetId="6" state="hidden" r:id="rId6"/>
  </sheets>
  <externalReferences>
    <externalReference r:id="rId7"/>
  </externalReferences>
  <definedNames>
    <definedName name="_AutoFilterSpecs">INDEX(tblFilters[Spec Name],1,1):INDEX(tblFilters[Spec Name],COUNTA(tblFilters[Spec Name]))</definedName>
    <definedName name="_Bias">[1]!Choices_Bias</definedName>
    <definedName name="_xlnm._FilterDatabase" localSheetId="0" hidden="1">SNAP!#REF!</definedName>
    <definedName name="_GroupNames">INDEX(tblGroupNames[Name],1,1):INDEX(tblGroupNames[Name],COUNTA(tblGroupNames[Name]))</definedName>
    <definedName name="_SnapColumnNames">SnapshotTable[#Headers]</definedName>
    <definedName name="_TargetBias_ShortTerm">[1]!Choices_ShortTermOutlook</definedName>
    <definedName name="AllActivePositions" comment="Filters out any positions that are not active" localSheetId="1">AutoFilters!$C$4:$C$5</definedName>
    <definedName name="CASH_ON_HAND">SNAP!$CF$260</definedName>
    <definedName name="CC_TimeValuePctThreshhold">SNAP!$FK$2</definedName>
    <definedName name="CoveredCallExpirationAnalysis" localSheetId="1">AutoFilters!$C$7:$D$8</definedName>
    <definedName name="CrashDiscount">SNAP!$E$1</definedName>
    <definedName name="_xlnm.Criteria" localSheetId="0">SNAP!#REF!</definedName>
    <definedName name="DumpPct">SNAP!#REF!</definedName>
    <definedName name="EbfCriteriaOps">[1]!Choices_EbfCriteriaOp</definedName>
    <definedName name="ExpirationDaysLookAhead">SNAP!$AQ$2</definedName>
    <definedName name="LastPriceRunInfo">SNAP!$C$6</definedName>
    <definedName name="LastShortCallUpdateInfo">SNAP!$FA$6</definedName>
    <definedName name="LastShortPutUpdateInfo">SNAP!$CN$6</definedName>
    <definedName name="LC_StopLoss_Pct">SNAP!$EB$5</definedName>
    <definedName name="LngOnly" localSheetId="1">AutoFilters!$C$11:$C$12</definedName>
    <definedName name="MacdCrossing" comment="DataList">[1]!Choices_MacdCrossing</definedName>
    <definedName name="MacdTrend" comment="DataList">[1]!Choices_MacdDirection</definedName>
    <definedName name="MinimumPremiumRequired" localSheetId="0">SNAP!$EX$2</definedName>
    <definedName name="MockToday">SNAP!$E$3</definedName>
    <definedName name="NextFridayOpex">SNAP!$E$5</definedName>
    <definedName name="NextMonthlyOpex">SNAP!$E$6</definedName>
    <definedName name="PATH_TO_OPTION_WBKS">"C:\Users\Lord &amp; Master\Desktop\Green Olive\Investing\option wbks\"</definedName>
    <definedName name="PositionDirection">[1]!Choices_PositionDirection</definedName>
    <definedName name="PUT_RESERVE_POA">SNAP!$CJ$261</definedName>
    <definedName name="PUT_RESERVE_POTENTIAL">SNAP!$CF$261</definedName>
    <definedName name="SaleSharesToConsiderPercentage" localSheetId="0">SNAP!$GD$1</definedName>
    <definedName name="SellingPriceToConsiderBasedOnTargetPercentage" localSheetId="0">SNAP!$GE$1</definedName>
    <definedName name="ShortCallPctEarnedThreshhold">SNAP!$FK$5</definedName>
    <definedName name="SP_MaxLoss_OptionPct">SNAP!$CY$2</definedName>
    <definedName name="SP_MaxLoss_StrikePct">SNAP!$CY$5</definedName>
    <definedName name="Stochastic_Kpct" comment="DataList">[1]!Choices_StochasticK_Pct</definedName>
    <definedName name="TrendDirection" comment="DataList">[1]!Choices_Trend</definedName>
    <definedName name="Volume" comment="DataList">[1]!Choices_Volume</definedName>
    <definedName name="XlAutoFilterOps">[1]!Choices_XlAutoFilterOp</definedName>
  </definedNames>
  <calcPr calcId="191029"/>
  <pivotCaches>
    <pivotCache cacheId="1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 l="1"/>
  <c r="BU175" i="2" l="1"/>
  <c r="BT175" i="2"/>
  <c r="BU202" i="2"/>
  <c r="BT202" i="2"/>
  <c r="BU201" i="2"/>
  <c r="BT201" i="2"/>
  <c r="BU167" i="2"/>
  <c r="BU64" i="2"/>
  <c r="BT64" i="2"/>
  <c r="E5" i="2"/>
  <c r="BT167" i="2"/>
  <c r="EN246" i="2"/>
  <c r="EO246" i="2" s="1"/>
  <c r="EN64" i="2"/>
  <c r="EO64" i="2" s="1"/>
  <c r="EN161" i="2"/>
  <c r="EO161" i="2" s="1"/>
  <c r="E6" i="2"/>
  <c r="EK64" i="2"/>
  <c r="BW9" i="2"/>
  <c r="BY9" i="2" s="1"/>
  <c r="BW10" i="2"/>
  <c r="BY10" i="2" s="1"/>
  <c r="BW11" i="2"/>
  <c r="BY11" i="2" s="1"/>
  <c r="BW12" i="2"/>
  <c r="BY12" i="2" s="1"/>
  <c r="BW13" i="2"/>
  <c r="BY13" i="2" s="1"/>
  <c r="BW14" i="2"/>
  <c r="BY14" i="2" s="1"/>
  <c r="BW15" i="2"/>
  <c r="BY15" i="2" s="1"/>
  <c r="BW16" i="2"/>
  <c r="BY16" i="2" s="1"/>
  <c r="BW17" i="2"/>
  <c r="BY17" i="2" s="1"/>
  <c r="BW18" i="2"/>
  <c r="BY18" i="2" s="1"/>
  <c r="BW19" i="2"/>
  <c r="BY19" i="2" s="1"/>
  <c r="BW20" i="2"/>
  <c r="BY20" i="2" s="1"/>
  <c r="BW21" i="2"/>
  <c r="BY21" i="2" s="1"/>
  <c r="BW22" i="2"/>
  <c r="BY22" i="2" s="1"/>
  <c r="BW23" i="2"/>
  <c r="BY23" i="2" s="1"/>
  <c r="BW24" i="2"/>
  <c r="BY24" i="2" s="1"/>
  <c r="BW25" i="2"/>
  <c r="BY25" i="2" s="1"/>
  <c r="BW26" i="2"/>
  <c r="BY26" i="2" s="1"/>
  <c r="BW27" i="2"/>
  <c r="BY27" i="2" s="1"/>
  <c r="BW28" i="2"/>
  <c r="BY28" i="2" s="1"/>
  <c r="BW29" i="2"/>
  <c r="BY29" i="2" s="1"/>
  <c r="BW30" i="2"/>
  <c r="BY30" i="2" s="1"/>
  <c r="BW31" i="2"/>
  <c r="BY31" i="2" s="1"/>
  <c r="BW32" i="2"/>
  <c r="BY32" i="2" s="1"/>
  <c r="BW33" i="2"/>
  <c r="BY33" i="2" s="1"/>
  <c r="BW34" i="2"/>
  <c r="BY34" i="2" s="1"/>
  <c r="BW35" i="2"/>
  <c r="BY35" i="2" s="1"/>
  <c r="BW36" i="2"/>
  <c r="BY36" i="2" s="1"/>
  <c r="BW37" i="2"/>
  <c r="BY37" i="2" s="1"/>
  <c r="BW38" i="2"/>
  <c r="BY38" i="2" s="1"/>
  <c r="BW39" i="2"/>
  <c r="BY39" i="2" s="1"/>
  <c r="BW40" i="2"/>
  <c r="BY40" i="2" s="1"/>
  <c r="BW41" i="2"/>
  <c r="BY41" i="2" s="1"/>
  <c r="BW42" i="2"/>
  <c r="BY42" i="2" s="1"/>
  <c r="BW43" i="2"/>
  <c r="BY43" i="2" s="1"/>
  <c r="BW44" i="2"/>
  <c r="BY44" i="2" s="1"/>
  <c r="BW45" i="2"/>
  <c r="BY45" i="2" s="1"/>
  <c r="BW46" i="2"/>
  <c r="BY46" i="2" s="1"/>
  <c r="BW47" i="2"/>
  <c r="BY47" i="2" s="1"/>
  <c r="BW48" i="2"/>
  <c r="BY48" i="2" s="1"/>
  <c r="BW49" i="2"/>
  <c r="BY49" i="2" s="1"/>
  <c r="BW50" i="2"/>
  <c r="BY50" i="2" s="1"/>
  <c r="BW51" i="2"/>
  <c r="BY51" i="2" s="1"/>
  <c r="BW52" i="2"/>
  <c r="BY52" i="2" s="1"/>
  <c r="BW53" i="2"/>
  <c r="BY53" i="2" s="1"/>
  <c r="BW54" i="2"/>
  <c r="BY54" i="2" s="1"/>
  <c r="BW55" i="2"/>
  <c r="BY55" i="2" s="1"/>
  <c r="BW56" i="2"/>
  <c r="BY56" i="2" s="1"/>
  <c r="BW57" i="2"/>
  <c r="BY57" i="2" s="1"/>
  <c r="BW58" i="2"/>
  <c r="BY58" i="2" s="1"/>
  <c r="BW59" i="2"/>
  <c r="BY59" i="2" s="1"/>
  <c r="BW60" i="2"/>
  <c r="BY60" i="2" s="1"/>
  <c r="BW61" i="2"/>
  <c r="BY61" i="2" s="1"/>
  <c r="BW62" i="2"/>
  <c r="BY62" i="2" s="1"/>
  <c r="BW63" i="2"/>
  <c r="BY63" i="2" s="1"/>
  <c r="BW65" i="2"/>
  <c r="BY65" i="2" s="1"/>
  <c r="BW66" i="2"/>
  <c r="BY66" i="2" s="1"/>
  <c r="BW67" i="2"/>
  <c r="BY67" i="2" s="1"/>
  <c r="BW68" i="2"/>
  <c r="BY68" i="2" s="1"/>
  <c r="BW69" i="2"/>
  <c r="BY69" i="2" s="1"/>
  <c r="BW70" i="2"/>
  <c r="BY70" i="2" s="1"/>
  <c r="BW71" i="2"/>
  <c r="BY71" i="2" s="1"/>
  <c r="BW72" i="2"/>
  <c r="BY72" i="2" s="1"/>
  <c r="BW73" i="2"/>
  <c r="BY73" i="2" s="1"/>
  <c r="BW74" i="2"/>
  <c r="BY74" i="2" s="1"/>
  <c r="BW75" i="2"/>
  <c r="BY75" i="2" s="1"/>
  <c r="BW76" i="2"/>
  <c r="BY76" i="2" s="1"/>
  <c r="BW77" i="2"/>
  <c r="BY77" i="2" s="1"/>
  <c r="BW78" i="2"/>
  <c r="BY78" i="2" s="1"/>
  <c r="BW79" i="2"/>
  <c r="BY79" i="2" s="1"/>
  <c r="BW80" i="2"/>
  <c r="BY80" i="2" s="1"/>
  <c r="BW81" i="2"/>
  <c r="BY81" i="2" s="1"/>
  <c r="BW82" i="2"/>
  <c r="BY82" i="2" s="1"/>
  <c r="BW83" i="2"/>
  <c r="BY83" i="2" s="1"/>
  <c r="BW84" i="2"/>
  <c r="BY84" i="2" s="1"/>
  <c r="BW85" i="2"/>
  <c r="BY85" i="2" s="1"/>
  <c r="BW86" i="2"/>
  <c r="BY86" i="2" s="1"/>
  <c r="BW87" i="2"/>
  <c r="BY87" i="2" s="1"/>
  <c r="BW88" i="2"/>
  <c r="BY88" i="2" s="1"/>
  <c r="BW89" i="2"/>
  <c r="BY89" i="2" s="1"/>
  <c r="BW90" i="2"/>
  <c r="BY90" i="2" s="1"/>
  <c r="BW91" i="2"/>
  <c r="BY91" i="2" s="1"/>
  <c r="BW92" i="2"/>
  <c r="BY92" i="2" s="1"/>
  <c r="BW93" i="2"/>
  <c r="BY93" i="2" s="1"/>
  <c r="BW94" i="2"/>
  <c r="BY94" i="2" s="1"/>
  <c r="BW95" i="2"/>
  <c r="BY95" i="2" s="1"/>
  <c r="BW96" i="2"/>
  <c r="BY96" i="2" s="1"/>
  <c r="BW97" i="2"/>
  <c r="BY97" i="2" s="1"/>
  <c r="BW98" i="2"/>
  <c r="BY98" i="2" s="1"/>
  <c r="BW99" i="2"/>
  <c r="BY99" i="2" s="1"/>
  <c r="BW100" i="2"/>
  <c r="BY100" i="2" s="1"/>
  <c r="BW101" i="2"/>
  <c r="BY101" i="2" s="1"/>
  <c r="BW102" i="2"/>
  <c r="BY102" i="2" s="1"/>
  <c r="BW103" i="2"/>
  <c r="BY103" i="2" s="1"/>
  <c r="BW104" i="2"/>
  <c r="BY104" i="2" s="1"/>
  <c r="BW105" i="2"/>
  <c r="BY105" i="2" s="1"/>
  <c r="BW106" i="2"/>
  <c r="BY106" i="2" s="1"/>
  <c r="BW107" i="2"/>
  <c r="BY107" i="2" s="1"/>
  <c r="BW108" i="2"/>
  <c r="BY108" i="2" s="1"/>
  <c r="BW109" i="2"/>
  <c r="BY109" i="2" s="1"/>
  <c r="BW110" i="2"/>
  <c r="BY110" i="2" s="1"/>
  <c r="BW111" i="2"/>
  <c r="BY111" i="2" s="1"/>
  <c r="BW112" i="2"/>
  <c r="BY112" i="2" s="1"/>
  <c r="BW113" i="2"/>
  <c r="BY113" i="2" s="1"/>
  <c r="BW114" i="2"/>
  <c r="BY114" i="2" s="1"/>
  <c r="BW115" i="2"/>
  <c r="BY115" i="2" s="1"/>
  <c r="BW116" i="2"/>
  <c r="BY116" i="2" s="1"/>
  <c r="BW117" i="2"/>
  <c r="BY117" i="2" s="1"/>
  <c r="BW118" i="2"/>
  <c r="BY118" i="2" s="1"/>
  <c r="BW119" i="2"/>
  <c r="BY119" i="2" s="1"/>
  <c r="BW120" i="2"/>
  <c r="BY120" i="2" s="1"/>
  <c r="BW121" i="2"/>
  <c r="BY121" i="2" s="1"/>
  <c r="BW122" i="2"/>
  <c r="BY122" i="2" s="1"/>
  <c r="BW123" i="2"/>
  <c r="BY123" i="2" s="1"/>
  <c r="BW124" i="2"/>
  <c r="BY124" i="2" s="1"/>
  <c r="BW125" i="2"/>
  <c r="BY125" i="2" s="1"/>
  <c r="BW126" i="2"/>
  <c r="BY126" i="2" s="1"/>
  <c r="BW127" i="2"/>
  <c r="BY127" i="2" s="1"/>
  <c r="BW128" i="2"/>
  <c r="BY128" i="2" s="1"/>
  <c r="BW129" i="2"/>
  <c r="BY129" i="2" s="1"/>
  <c r="BW130" i="2"/>
  <c r="BY130" i="2" s="1"/>
  <c r="BW131" i="2"/>
  <c r="BY131" i="2" s="1"/>
  <c r="BW132" i="2"/>
  <c r="BY132" i="2" s="1"/>
  <c r="BW133" i="2"/>
  <c r="BY133" i="2" s="1"/>
  <c r="BW134" i="2"/>
  <c r="BY134" i="2" s="1"/>
  <c r="BW135" i="2"/>
  <c r="BY135" i="2" s="1"/>
  <c r="BW136" i="2"/>
  <c r="BY136" i="2" s="1"/>
  <c r="BW137" i="2"/>
  <c r="BY137" i="2" s="1"/>
  <c r="BW138" i="2"/>
  <c r="BY138" i="2" s="1"/>
  <c r="BW139" i="2"/>
  <c r="BY139" i="2" s="1"/>
  <c r="BW140" i="2"/>
  <c r="BY140" i="2" s="1"/>
  <c r="BW141" i="2"/>
  <c r="BY141" i="2" s="1"/>
  <c r="BW142" i="2"/>
  <c r="BY142" i="2" s="1"/>
  <c r="BW143" i="2"/>
  <c r="BY143" i="2" s="1"/>
  <c r="BW144" i="2"/>
  <c r="BY144" i="2" s="1"/>
  <c r="BW145" i="2"/>
  <c r="BY145" i="2" s="1"/>
  <c r="BW146" i="2"/>
  <c r="BY146" i="2" s="1"/>
  <c r="BW147" i="2"/>
  <c r="BY147" i="2" s="1"/>
  <c r="BW148" i="2"/>
  <c r="BY148" i="2" s="1"/>
  <c r="BW149" i="2"/>
  <c r="BY149" i="2" s="1"/>
  <c r="BW150" i="2"/>
  <c r="BY150" i="2" s="1"/>
  <c r="BW151" i="2"/>
  <c r="BY151" i="2" s="1"/>
  <c r="BW152" i="2"/>
  <c r="BY152" i="2" s="1"/>
  <c r="BW153" i="2"/>
  <c r="BY153" i="2" s="1"/>
  <c r="BW154" i="2"/>
  <c r="BY154" i="2" s="1"/>
  <c r="BW155" i="2"/>
  <c r="BY155" i="2" s="1"/>
  <c r="BW156" i="2"/>
  <c r="BY156" i="2" s="1"/>
  <c r="BW157" i="2"/>
  <c r="BY157" i="2" s="1"/>
  <c r="BW158" i="2"/>
  <c r="BY158" i="2" s="1"/>
  <c r="BW159" i="2"/>
  <c r="BY159" i="2" s="1"/>
  <c r="BW160" i="2"/>
  <c r="BY160" i="2" s="1"/>
  <c r="BW162" i="2"/>
  <c r="BY162" i="2" s="1"/>
  <c r="BW163" i="2"/>
  <c r="BY163" i="2" s="1"/>
  <c r="BW164" i="2"/>
  <c r="BY164" i="2" s="1"/>
  <c r="BW165" i="2"/>
  <c r="BY165" i="2" s="1"/>
  <c r="BW166" i="2"/>
  <c r="BY166" i="2" s="1"/>
  <c r="BW168" i="2"/>
  <c r="BY168" i="2" s="1"/>
  <c r="BW169" i="2"/>
  <c r="BY169" i="2" s="1"/>
  <c r="BW170" i="2"/>
  <c r="BY170" i="2" s="1"/>
  <c r="BW171" i="2"/>
  <c r="BY171" i="2" s="1"/>
  <c r="BW172" i="2"/>
  <c r="BY172" i="2" s="1"/>
  <c r="BW173" i="2"/>
  <c r="BY173" i="2" s="1"/>
  <c r="BW174" i="2"/>
  <c r="BY174" i="2" s="1"/>
  <c r="BW176" i="2"/>
  <c r="BY176" i="2" s="1"/>
  <c r="BW177" i="2"/>
  <c r="BY177" i="2" s="1"/>
  <c r="BW178" i="2"/>
  <c r="BY178" i="2" s="1"/>
  <c r="BW179" i="2"/>
  <c r="BY179" i="2" s="1"/>
  <c r="BW180" i="2"/>
  <c r="BY180" i="2" s="1"/>
  <c r="BW181" i="2"/>
  <c r="BY181" i="2" s="1"/>
  <c r="BW182" i="2"/>
  <c r="BY182" i="2" s="1"/>
  <c r="BW183" i="2"/>
  <c r="BY183" i="2" s="1"/>
  <c r="BW184" i="2"/>
  <c r="BY184" i="2" s="1"/>
  <c r="BW185" i="2"/>
  <c r="BY185" i="2" s="1"/>
  <c r="BW186" i="2"/>
  <c r="BY186" i="2" s="1"/>
  <c r="BW187" i="2"/>
  <c r="BY187" i="2" s="1"/>
  <c r="BW188" i="2"/>
  <c r="BY188" i="2" s="1"/>
  <c r="BW189" i="2"/>
  <c r="BY189" i="2" s="1"/>
  <c r="BW190" i="2"/>
  <c r="BY190" i="2" s="1"/>
  <c r="BW191" i="2"/>
  <c r="BY191" i="2" s="1"/>
  <c r="BW192" i="2"/>
  <c r="BY192" i="2" s="1"/>
  <c r="BW193" i="2"/>
  <c r="BY193" i="2" s="1"/>
  <c r="BW194" i="2"/>
  <c r="BY194" i="2" s="1"/>
  <c r="BW195" i="2"/>
  <c r="BY195" i="2" s="1"/>
  <c r="BW196" i="2"/>
  <c r="BY196" i="2" s="1"/>
  <c r="BW197" i="2"/>
  <c r="BY197" i="2" s="1"/>
  <c r="BW198" i="2"/>
  <c r="BY198" i="2" s="1"/>
  <c r="BW199" i="2"/>
  <c r="BY199" i="2" s="1"/>
  <c r="BW200" i="2"/>
  <c r="BY200" i="2" s="1"/>
  <c r="BW203" i="2"/>
  <c r="BY203" i="2" s="1"/>
  <c r="BW204" i="2"/>
  <c r="BY204" i="2" s="1"/>
  <c r="BW205" i="2"/>
  <c r="BY205" i="2" s="1"/>
  <c r="BW206" i="2"/>
  <c r="BY206" i="2" s="1"/>
  <c r="BW207" i="2"/>
  <c r="BY207" i="2" s="1"/>
  <c r="BW161" i="2"/>
  <c r="BY161" i="2" s="1"/>
  <c r="BW220" i="2"/>
  <c r="BY220" i="2" s="1"/>
  <c r="BW208" i="2"/>
  <c r="BY208" i="2" s="1"/>
  <c r="BW209" i="2"/>
  <c r="BY209" i="2" s="1"/>
  <c r="BW210" i="2"/>
  <c r="BY210" i="2" s="1"/>
  <c r="BW211" i="2"/>
  <c r="BY211" i="2" s="1"/>
  <c r="BW212" i="2"/>
  <c r="BY212" i="2" s="1"/>
  <c r="BW213" i="2"/>
  <c r="BY213" i="2" s="1"/>
  <c r="BW214" i="2"/>
  <c r="BY214" i="2" s="1"/>
  <c r="BW215" i="2"/>
  <c r="BY215" i="2" s="1"/>
  <c r="BW216" i="2"/>
  <c r="BY216" i="2" s="1"/>
  <c r="BW217" i="2"/>
  <c r="BY217" i="2" s="1"/>
  <c r="BW218" i="2"/>
  <c r="BY218" i="2" s="1"/>
  <c r="BW219" i="2"/>
  <c r="BY219" i="2" s="1"/>
  <c r="BW221" i="2"/>
  <c r="BY221" i="2" s="1"/>
  <c r="BW222" i="2"/>
  <c r="BY222" i="2" s="1"/>
  <c r="BW223" i="2"/>
  <c r="BY223" i="2" s="1"/>
  <c r="BW224" i="2"/>
  <c r="BY224" i="2" s="1"/>
  <c r="BW225" i="2"/>
  <c r="BY225" i="2" s="1"/>
  <c r="BW226" i="2"/>
  <c r="BY226" i="2" s="1"/>
  <c r="BW227" i="2"/>
  <c r="BY227" i="2" s="1"/>
  <c r="BW228" i="2"/>
  <c r="BY228" i="2" s="1"/>
  <c r="BW229" i="2"/>
  <c r="BY229" i="2" s="1"/>
  <c r="BW230" i="2"/>
  <c r="BY230" i="2" s="1"/>
  <c r="BW231" i="2"/>
  <c r="BY231" i="2" s="1"/>
  <c r="BW232" i="2"/>
  <c r="BY232" i="2" s="1"/>
  <c r="BW233" i="2"/>
  <c r="BY233" i="2" s="1"/>
  <c r="BW234" i="2"/>
  <c r="BY234" i="2" s="1"/>
  <c r="BW235" i="2"/>
  <c r="BY235" i="2" s="1"/>
  <c r="BW236" i="2"/>
  <c r="BY236" i="2" s="1"/>
  <c r="BW237" i="2"/>
  <c r="BY237" i="2" s="1"/>
  <c r="BW238" i="2"/>
  <c r="BY238" i="2" s="1"/>
  <c r="BW239" i="2"/>
  <c r="BY239" i="2" s="1"/>
  <c r="BW240" i="2"/>
  <c r="BY240" i="2" s="1"/>
  <c r="BW241" i="2"/>
  <c r="BY241" i="2" s="1"/>
  <c r="BW242" i="2"/>
  <c r="BY242" i="2" s="1"/>
  <c r="BW243" i="2"/>
  <c r="BY243" i="2" s="1"/>
  <c r="BW244" i="2"/>
  <c r="BY244" i="2" s="1"/>
  <c r="BW245" i="2"/>
  <c r="BY245" i="2" s="1"/>
  <c r="BW246" i="2"/>
  <c r="BY246" i="2" s="1"/>
  <c r="BW247" i="2"/>
  <c r="BY247" i="2" s="1"/>
  <c r="BW248" i="2"/>
  <c r="BY248" i="2" s="1"/>
  <c r="BW249" i="2"/>
  <c r="BY249" i="2" s="1"/>
  <c r="BW250" i="2"/>
  <c r="BY250" i="2" s="1"/>
  <c r="BQ202" i="2" l="1"/>
  <c r="BW202" i="2" s="1"/>
  <c r="BY202" i="2" s="1"/>
  <c r="BQ175" i="2"/>
  <c r="BQ64" i="2"/>
  <c r="BW64" i="2" s="1"/>
  <c r="BY64" i="2" s="1"/>
  <c r="BW175" i="2"/>
  <c r="BY175" i="2" s="1"/>
  <c r="BQ167" i="2"/>
  <c r="BW167" i="2" s="1"/>
  <c r="BY167" i="2" s="1"/>
  <c r="EK161" i="2"/>
  <c r="EK246" i="2"/>
  <c r="BQ201" i="2"/>
  <c r="BW201" i="2" s="1"/>
  <c r="BY201" i="2" s="1"/>
  <c r="CD242" i="2"/>
  <c r="CD198" i="2"/>
  <c r="CD226" i="2"/>
  <c r="CD182" i="2"/>
  <c r="CD210" i="2"/>
  <c r="CD152" i="2"/>
  <c r="CD136" i="2"/>
  <c r="CD120" i="2"/>
  <c r="CD104" i="2"/>
  <c r="CD88" i="2"/>
  <c r="CD72" i="2"/>
  <c r="CD56" i="2"/>
  <c r="CD40" i="2"/>
  <c r="CD39" i="2"/>
  <c r="CD24" i="2"/>
  <c r="CD207" i="2"/>
  <c r="CD23" i="2"/>
  <c r="CD241" i="2"/>
  <c r="CD225" i="2"/>
  <c r="CD209" i="2"/>
  <c r="CD206" i="2"/>
  <c r="CD197" i="2"/>
  <c r="CD181" i="2"/>
  <c r="CD166" i="2"/>
  <c r="CD151" i="2"/>
  <c r="CD135" i="2"/>
  <c r="CD119" i="2"/>
  <c r="CD103" i="2"/>
  <c r="CD87" i="2"/>
  <c r="CD71" i="2"/>
  <c r="CD55" i="2"/>
  <c r="CD240" i="2"/>
  <c r="CD224" i="2"/>
  <c r="CD208" i="2"/>
  <c r="CD205" i="2"/>
  <c r="CD196" i="2"/>
  <c r="CD180" i="2"/>
  <c r="CD167" i="2"/>
  <c r="CD150" i="2"/>
  <c r="CD134" i="2"/>
  <c r="CD118" i="2"/>
  <c r="CD102" i="2"/>
  <c r="CD86" i="2"/>
  <c r="CD70" i="2"/>
  <c r="CD54" i="2"/>
  <c r="CD38" i="2"/>
  <c r="CD22" i="2"/>
  <c r="CD239" i="2"/>
  <c r="CD223" i="2"/>
  <c r="CD204" i="2"/>
  <c r="CD195" i="2"/>
  <c r="CD179" i="2"/>
  <c r="CD165" i="2"/>
  <c r="CD149" i="2"/>
  <c r="CD133" i="2"/>
  <c r="CD117" i="2"/>
  <c r="CD101" i="2"/>
  <c r="CD85" i="2"/>
  <c r="CD69" i="2"/>
  <c r="CD53" i="2"/>
  <c r="CD37" i="2"/>
  <c r="CD21" i="2"/>
  <c r="CD238" i="2"/>
  <c r="CD222" i="2"/>
  <c r="CD203" i="2"/>
  <c r="CD194" i="2"/>
  <c r="CD178" i="2"/>
  <c r="CD164" i="2"/>
  <c r="CD148" i="2"/>
  <c r="CD132" i="2"/>
  <c r="CD116" i="2"/>
  <c r="CD100" i="2"/>
  <c r="CD84" i="2"/>
  <c r="CD68" i="2"/>
  <c r="CD52" i="2"/>
  <c r="CD36" i="2"/>
  <c r="CD20" i="2"/>
  <c r="CD237" i="2"/>
  <c r="CD221" i="2"/>
  <c r="CD193" i="2"/>
  <c r="CD177" i="2"/>
  <c r="CD163" i="2"/>
  <c r="CD147" i="2"/>
  <c r="CD131" i="2"/>
  <c r="CD115" i="2"/>
  <c r="CD99" i="2"/>
  <c r="CD83" i="2"/>
  <c r="CD67" i="2"/>
  <c r="CD51" i="2"/>
  <c r="CD35" i="2"/>
  <c r="CD19" i="2"/>
  <c r="CD236" i="2"/>
  <c r="CD220" i="2"/>
  <c r="CD192" i="2"/>
  <c r="CD176" i="2"/>
  <c r="CD162" i="2"/>
  <c r="CD146" i="2"/>
  <c r="CD130" i="2"/>
  <c r="CD114" i="2"/>
  <c r="CD98" i="2"/>
  <c r="CD82" i="2"/>
  <c r="CD66" i="2"/>
  <c r="CD50" i="2"/>
  <c r="CD34" i="2"/>
  <c r="CD18" i="2"/>
  <c r="CD235" i="2"/>
  <c r="CD219" i="2"/>
  <c r="CD202" i="2"/>
  <c r="CD191" i="2"/>
  <c r="CD145" i="2"/>
  <c r="CD129" i="2"/>
  <c r="CD113" i="2"/>
  <c r="CD97" i="2"/>
  <c r="CD81" i="2"/>
  <c r="CD65" i="2"/>
  <c r="CD49" i="2"/>
  <c r="CD33" i="2"/>
  <c r="CD17" i="2"/>
  <c r="CD250" i="2"/>
  <c r="CD234" i="2"/>
  <c r="CD218" i="2"/>
  <c r="CD161" i="2"/>
  <c r="CD190" i="2"/>
  <c r="CD174" i="2"/>
  <c r="CD160" i="2"/>
  <c r="CD144" i="2"/>
  <c r="CD128" i="2"/>
  <c r="CD112" i="2"/>
  <c r="CD96" i="2"/>
  <c r="CD80" i="2"/>
  <c r="CD64" i="2"/>
  <c r="CD48" i="2"/>
  <c r="CD32" i="2"/>
  <c r="CD16" i="2"/>
  <c r="CD249" i="2"/>
  <c r="CD233" i="2"/>
  <c r="CD217" i="2"/>
  <c r="CD189" i="2"/>
  <c r="CD173" i="2"/>
  <c r="CD159" i="2"/>
  <c r="CD143" i="2"/>
  <c r="CD127" i="2"/>
  <c r="CD111" i="2"/>
  <c r="CD95" i="2"/>
  <c r="CD79" i="2"/>
  <c r="CD63" i="2"/>
  <c r="CD47" i="2"/>
  <c r="CD31" i="2"/>
  <c r="CD15" i="2"/>
  <c r="CD248" i="2"/>
  <c r="CD232" i="2"/>
  <c r="CD216" i="2"/>
  <c r="CD188" i="2"/>
  <c r="CD172" i="2"/>
  <c r="CD158" i="2"/>
  <c r="CD142" i="2"/>
  <c r="CD126" i="2"/>
  <c r="CD110" i="2"/>
  <c r="CD94" i="2"/>
  <c r="CD78" i="2"/>
  <c r="CD62" i="2"/>
  <c r="CD46" i="2"/>
  <c r="CD30" i="2"/>
  <c r="CD14" i="2"/>
  <c r="CD247" i="2"/>
  <c r="CD231" i="2"/>
  <c r="CD215" i="2"/>
  <c r="CD187" i="2"/>
  <c r="CD171" i="2"/>
  <c r="CD157" i="2"/>
  <c r="CD141" i="2"/>
  <c r="CD125" i="2"/>
  <c r="CD109" i="2"/>
  <c r="CD93" i="2"/>
  <c r="CD77" i="2"/>
  <c r="CD61" i="2"/>
  <c r="CD45" i="2"/>
  <c r="CD29" i="2"/>
  <c r="CD13" i="2"/>
  <c r="CD246" i="2"/>
  <c r="CD230" i="2"/>
  <c r="CD214" i="2"/>
  <c r="CD186" i="2"/>
  <c r="CD170" i="2"/>
  <c r="CD156" i="2"/>
  <c r="CD140" i="2"/>
  <c r="CD124" i="2"/>
  <c r="CD108" i="2"/>
  <c r="CD92" i="2"/>
  <c r="CD76" i="2"/>
  <c r="CD60" i="2"/>
  <c r="CD44" i="2"/>
  <c r="CD28" i="2"/>
  <c r="CD12" i="2"/>
  <c r="CD245" i="2"/>
  <c r="CD229" i="2"/>
  <c r="CD213" i="2"/>
  <c r="CD175" i="2"/>
  <c r="CD185" i="2"/>
  <c r="CD169" i="2"/>
  <c r="CD155" i="2"/>
  <c r="CD139" i="2"/>
  <c r="CD123" i="2"/>
  <c r="CD107" i="2"/>
  <c r="CD91" i="2"/>
  <c r="CD75" i="2"/>
  <c r="CD59" i="2"/>
  <c r="CD43" i="2"/>
  <c r="CD27" i="2"/>
  <c r="CD11" i="2"/>
  <c r="CD244" i="2"/>
  <c r="CD228" i="2"/>
  <c r="CD212" i="2"/>
  <c r="CD200" i="2"/>
  <c r="CD184" i="2"/>
  <c r="CD168" i="2"/>
  <c r="CD154" i="2"/>
  <c r="CD138" i="2"/>
  <c r="CD122" i="2"/>
  <c r="CD106" i="2"/>
  <c r="CD90" i="2"/>
  <c r="CD74" i="2"/>
  <c r="CD58" i="2"/>
  <c r="CD42" i="2"/>
  <c r="CD26" i="2"/>
  <c r="CD10" i="2"/>
  <c r="CD243" i="2"/>
  <c r="CD227" i="2"/>
  <c r="CD211" i="2"/>
  <c r="CD199" i="2"/>
  <c r="CD183" i="2"/>
  <c r="CD153" i="2"/>
  <c r="CD137" i="2"/>
  <c r="CD121" i="2"/>
  <c r="CD105" i="2"/>
  <c r="CD89" i="2"/>
  <c r="CD73" i="2"/>
  <c r="CD57" i="2"/>
  <c r="CD41" i="2"/>
  <c r="CD25" i="2"/>
  <c r="CD9" i="2"/>
  <c r="CC224" i="2"/>
  <c r="CC223" i="2"/>
  <c r="CC208" i="2"/>
  <c r="CB248" i="2"/>
  <c r="CC196" i="2"/>
  <c r="CC195" i="2"/>
  <c r="CC180" i="2"/>
  <c r="CC179" i="2"/>
  <c r="CB110" i="2"/>
  <c r="CC70" i="2"/>
  <c r="CB109" i="2"/>
  <c r="CC69" i="2"/>
  <c r="CB94" i="2"/>
  <c r="CC54" i="2"/>
  <c r="CB93" i="2"/>
  <c r="CC53" i="2"/>
  <c r="CB247" i="2"/>
  <c r="CB78" i="2"/>
  <c r="CC64" i="2"/>
  <c r="CC38" i="2"/>
  <c r="CB232" i="2"/>
  <c r="CB77" i="2"/>
  <c r="CC165" i="2"/>
  <c r="CC37" i="2"/>
  <c r="CB231" i="2"/>
  <c r="CB188" i="2"/>
  <c r="CB62" i="2"/>
  <c r="CC150" i="2"/>
  <c r="CC22" i="2"/>
  <c r="CB216" i="2"/>
  <c r="CB187" i="2"/>
  <c r="CB61" i="2"/>
  <c r="CC149" i="2"/>
  <c r="CC21" i="2"/>
  <c r="CB215" i="2"/>
  <c r="CB172" i="2"/>
  <c r="CB46" i="2"/>
  <c r="CC205" i="2"/>
  <c r="CC134" i="2"/>
  <c r="CB171" i="2"/>
  <c r="CB45" i="2"/>
  <c r="CC204" i="2"/>
  <c r="CC133" i="2"/>
  <c r="CB161" i="2"/>
  <c r="CB158" i="2"/>
  <c r="CB30" i="2"/>
  <c r="CC118" i="2"/>
  <c r="CB157" i="2"/>
  <c r="CB29" i="2"/>
  <c r="CC117" i="2"/>
  <c r="CB142" i="2"/>
  <c r="CB14" i="2"/>
  <c r="CC102" i="2"/>
  <c r="CB141" i="2"/>
  <c r="CB13" i="2"/>
  <c r="CC101" i="2"/>
  <c r="CB126" i="2"/>
  <c r="CC240" i="2"/>
  <c r="CC86" i="2"/>
  <c r="CB125" i="2"/>
  <c r="CC239" i="2"/>
  <c r="CC85" i="2"/>
  <c r="BX17" i="2"/>
  <c r="BX202" i="2"/>
  <c r="CP202" i="2" s="1"/>
  <c r="CB246" i="2"/>
  <c r="CB230" i="2"/>
  <c r="CB214" i="2"/>
  <c r="CB186" i="2"/>
  <c r="CB170" i="2"/>
  <c r="CB156" i="2"/>
  <c r="CB140" i="2"/>
  <c r="CB124" i="2"/>
  <c r="CB108" i="2"/>
  <c r="CB92" i="2"/>
  <c r="CB76" i="2"/>
  <c r="CB60" i="2"/>
  <c r="CB44" i="2"/>
  <c r="CB28" i="2"/>
  <c r="CB12" i="2"/>
  <c r="CC238" i="2"/>
  <c r="CC222" i="2"/>
  <c r="CC203" i="2"/>
  <c r="CC194" i="2"/>
  <c r="CC178" i="2"/>
  <c r="CC164" i="2"/>
  <c r="CC148" i="2"/>
  <c r="CC132" i="2"/>
  <c r="CC116" i="2"/>
  <c r="CC100" i="2"/>
  <c r="CC84" i="2"/>
  <c r="CC68" i="2"/>
  <c r="CC52" i="2"/>
  <c r="CC36" i="2"/>
  <c r="CC20" i="2"/>
  <c r="BX33" i="2"/>
  <c r="CB245" i="2"/>
  <c r="CB229" i="2"/>
  <c r="CB213" i="2"/>
  <c r="CB185" i="2"/>
  <c r="CB169" i="2"/>
  <c r="CB155" i="2"/>
  <c r="CB139" i="2"/>
  <c r="CB123" i="2"/>
  <c r="CB107" i="2"/>
  <c r="CB91" i="2"/>
  <c r="CB75" i="2"/>
  <c r="CB59" i="2"/>
  <c r="CB43" i="2"/>
  <c r="CB27" i="2"/>
  <c r="CB11" i="2"/>
  <c r="CC237" i="2"/>
  <c r="CC221" i="2"/>
  <c r="CC193" i="2"/>
  <c r="CC177" i="2"/>
  <c r="CC163" i="2"/>
  <c r="CC147" i="2"/>
  <c r="CC131" i="2"/>
  <c r="CC115" i="2"/>
  <c r="CC99" i="2"/>
  <c r="CC83" i="2"/>
  <c r="CC67" i="2"/>
  <c r="CC51" i="2"/>
  <c r="CC35" i="2"/>
  <c r="CC19" i="2"/>
  <c r="BX49" i="2"/>
  <c r="CB244" i="2"/>
  <c r="CB228" i="2"/>
  <c r="CB212" i="2"/>
  <c r="CB200" i="2"/>
  <c r="CB184" i="2"/>
  <c r="CB168" i="2"/>
  <c r="CB154" i="2"/>
  <c r="CB138" i="2"/>
  <c r="CB122" i="2"/>
  <c r="CB106" i="2"/>
  <c r="CB90" i="2"/>
  <c r="CB74" i="2"/>
  <c r="CB58" i="2"/>
  <c r="CB42" i="2"/>
  <c r="CB26" i="2"/>
  <c r="CB10" i="2"/>
  <c r="CC236" i="2"/>
  <c r="CC220" i="2"/>
  <c r="CC192" i="2"/>
  <c r="CC176" i="2"/>
  <c r="CC162" i="2"/>
  <c r="CC146" i="2"/>
  <c r="CC130" i="2"/>
  <c r="CC114" i="2"/>
  <c r="CC98" i="2"/>
  <c r="CC82" i="2"/>
  <c r="CC66" i="2"/>
  <c r="CC50" i="2"/>
  <c r="CC34" i="2"/>
  <c r="CC18" i="2"/>
  <c r="BX65" i="2"/>
  <c r="CB243" i="2"/>
  <c r="CB227" i="2"/>
  <c r="CB211" i="2"/>
  <c r="CB199" i="2"/>
  <c r="CB183" i="2"/>
  <c r="CB153" i="2"/>
  <c r="CB137" i="2"/>
  <c r="CB121" i="2"/>
  <c r="CB105" i="2"/>
  <c r="CB89" i="2"/>
  <c r="CB73" i="2"/>
  <c r="CB57" i="2"/>
  <c r="CB41" i="2"/>
  <c r="CB25" i="2"/>
  <c r="CB9" i="2"/>
  <c r="CC235" i="2"/>
  <c r="CC219" i="2"/>
  <c r="CC202" i="2"/>
  <c r="CC191" i="2"/>
  <c r="CC145" i="2"/>
  <c r="CC129" i="2"/>
  <c r="CC113" i="2"/>
  <c r="CC97" i="2"/>
  <c r="CC81" i="2"/>
  <c r="CC65" i="2"/>
  <c r="CC49" i="2"/>
  <c r="CC33" i="2"/>
  <c r="CC17" i="2"/>
  <c r="BX81" i="2"/>
  <c r="CB242" i="2"/>
  <c r="CB226" i="2"/>
  <c r="CB210" i="2"/>
  <c r="CB207" i="2"/>
  <c r="CB198" i="2"/>
  <c r="CB182" i="2"/>
  <c r="CB167" i="2"/>
  <c r="CB152" i="2"/>
  <c r="CB136" i="2"/>
  <c r="CB120" i="2"/>
  <c r="CB104" i="2"/>
  <c r="CB88" i="2"/>
  <c r="CB72" i="2"/>
  <c r="CB56" i="2"/>
  <c r="CB40" i="2"/>
  <c r="CB24" i="2"/>
  <c r="CC250" i="2"/>
  <c r="CC234" i="2"/>
  <c r="CC218" i="2"/>
  <c r="CC201" i="2"/>
  <c r="CC190" i="2"/>
  <c r="CC174" i="2"/>
  <c r="CC160" i="2"/>
  <c r="CC144" i="2"/>
  <c r="CC128" i="2"/>
  <c r="CC112" i="2"/>
  <c r="CC96" i="2"/>
  <c r="CC80" i="2"/>
  <c r="CC175" i="2"/>
  <c r="CC48" i="2"/>
  <c r="CC32" i="2"/>
  <c r="CC16" i="2"/>
  <c r="BX97" i="2"/>
  <c r="CB241" i="2"/>
  <c r="CB225" i="2"/>
  <c r="CB209" i="2"/>
  <c r="CB206" i="2"/>
  <c r="CB197" i="2"/>
  <c r="CB181" i="2"/>
  <c r="CB166" i="2"/>
  <c r="CB151" i="2"/>
  <c r="CB135" i="2"/>
  <c r="CB119" i="2"/>
  <c r="CB103" i="2"/>
  <c r="CB87" i="2"/>
  <c r="CB71" i="2"/>
  <c r="CB55" i="2"/>
  <c r="CB39" i="2"/>
  <c r="CB23" i="2"/>
  <c r="CC249" i="2"/>
  <c r="CC233" i="2"/>
  <c r="CC217" i="2"/>
  <c r="CC189" i="2"/>
  <c r="CC173" i="2"/>
  <c r="CC159" i="2"/>
  <c r="CC143" i="2"/>
  <c r="CC127" i="2"/>
  <c r="CC111" i="2"/>
  <c r="CC95" i="2"/>
  <c r="CC79" i="2"/>
  <c r="CC63" i="2"/>
  <c r="CC47" i="2"/>
  <c r="CC31" i="2"/>
  <c r="CC15" i="2"/>
  <c r="BX113" i="2"/>
  <c r="CB240" i="2"/>
  <c r="CB224" i="2"/>
  <c r="CB208" i="2"/>
  <c r="CB205" i="2"/>
  <c r="CB196" i="2"/>
  <c r="CB180" i="2"/>
  <c r="CB64" i="2"/>
  <c r="CB150" i="2"/>
  <c r="CB134" i="2"/>
  <c r="CB118" i="2"/>
  <c r="CB102" i="2"/>
  <c r="CB86" i="2"/>
  <c r="CB70" i="2"/>
  <c r="CB54" i="2"/>
  <c r="CB38" i="2"/>
  <c r="CB22" i="2"/>
  <c r="CC248" i="2"/>
  <c r="CC232" i="2"/>
  <c r="CC216" i="2"/>
  <c r="CC161" i="2"/>
  <c r="CC188" i="2"/>
  <c r="CC172" i="2"/>
  <c r="CC158" i="2"/>
  <c r="CC142" i="2"/>
  <c r="CC126" i="2"/>
  <c r="CC110" i="2"/>
  <c r="CC94" i="2"/>
  <c r="CC78" i="2"/>
  <c r="CC62" i="2"/>
  <c r="CC46" i="2"/>
  <c r="CC30" i="2"/>
  <c r="CC14" i="2"/>
  <c r="BX129" i="2"/>
  <c r="CB239" i="2"/>
  <c r="CB223" i="2"/>
  <c r="CB204" i="2"/>
  <c r="CB195" i="2"/>
  <c r="CB179" i="2"/>
  <c r="CB165" i="2"/>
  <c r="CB149" i="2"/>
  <c r="CB133" i="2"/>
  <c r="CB117" i="2"/>
  <c r="CB101" i="2"/>
  <c r="CB85" i="2"/>
  <c r="CB69" i="2"/>
  <c r="CB53" i="2"/>
  <c r="CB37" i="2"/>
  <c r="CB21" i="2"/>
  <c r="CC247" i="2"/>
  <c r="CC231" i="2"/>
  <c r="CC215" i="2"/>
  <c r="CC187" i="2"/>
  <c r="CC171" i="2"/>
  <c r="CC157" i="2"/>
  <c r="CC141" i="2"/>
  <c r="CC125" i="2"/>
  <c r="CC109" i="2"/>
  <c r="CC93" i="2"/>
  <c r="CC77" i="2"/>
  <c r="CC61" i="2"/>
  <c r="CC45" i="2"/>
  <c r="CC29" i="2"/>
  <c r="CC13" i="2"/>
  <c r="BX145" i="2"/>
  <c r="CB238" i="2"/>
  <c r="CB222" i="2"/>
  <c r="CB203" i="2"/>
  <c r="CB194" i="2"/>
  <c r="CB178" i="2"/>
  <c r="CB164" i="2"/>
  <c r="CB148" i="2"/>
  <c r="CB132" i="2"/>
  <c r="CB116" i="2"/>
  <c r="CB100" i="2"/>
  <c r="CB84" i="2"/>
  <c r="CB68" i="2"/>
  <c r="CB52" i="2"/>
  <c r="CB36" i="2"/>
  <c r="CB20" i="2"/>
  <c r="CC246" i="2"/>
  <c r="CC230" i="2"/>
  <c r="CC214" i="2"/>
  <c r="CC186" i="2"/>
  <c r="CC170" i="2"/>
  <c r="CC156" i="2"/>
  <c r="CC140" i="2"/>
  <c r="CC124" i="2"/>
  <c r="CC108" i="2"/>
  <c r="CC92" i="2"/>
  <c r="CC76" i="2"/>
  <c r="CC60" i="2"/>
  <c r="CC44" i="2"/>
  <c r="CC28" i="2"/>
  <c r="CC12" i="2"/>
  <c r="CB237" i="2"/>
  <c r="CB221" i="2"/>
  <c r="CB193" i="2"/>
  <c r="CB177" i="2"/>
  <c r="CB163" i="2"/>
  <c r="CB147" i="2"/>
  <c r="CB131" i="2"/>
  <c r="CB115" i="2"/>
  <c r="CB99" i="2"/>
  <c r="CB83" i="2"/>
  <c r="CB67" i="2"/>
  <c r="CB51" i="2"/>
  <c r="CB35" i="2"/>
  <c r="CB19" i="2"/>
  <c r="CC245" i="2"/>
  <c r="CC229" i="2"/>
  <c r="CC213" i="2"/>
  <c r="CC185" i="2"/>
  <c r="CC169" i="2"/>
  <c r="CC155" i="2"/>
  <c r="CC139" i="2"/>
  <c r="CC123" i="2"/>
  <c r="CC107" i="2"/>
  <c r="CC91" i="2"/>
  <c r="CC75" i="2"/>
  <c r="CC59" i="2"/>
  <c r="CC43" i="2"/>
  <c r="CC27" i="2"/>
  <c r="CC11" i="2"/>
  <c r="BX191" i="2"/>
  <c r="BX219" i="2"/>
  <c r="CB236" i="2"/>
  <c r="CB220" i="2"/>
  <c r="CB192" i="2"/>
  <c r="CB176" i="2"/>
  <c r="CB162" i="2"/>
  <c r="CB146" i="2"/>
  <c r="CB130" i="2"/>
  <c r="CB114" i="2"/>
  <c r="CB98" i="2"/>
  <c r="CB82" i="2"/>
  <c r="CB66" i="2"/>
  <c r="CB50" i="2"/>
  <c r="CB34" i="2"/>
  <c r="CB18" i="2"/>
  <c r="CC244" i="2"/>
  <c r="CC228" i="2"/>
  <c r="CC212" i="2"/>
  <c r="CC200" i="2"/>
  <c r="CC184" i="2"/>
  <c r="CC168" i="2"/>
  <c r="CC154" i="2"/>
  <c r="CC138" i="2"/>
  <c r="CC122" i="2"/>
  <c r="CC106" i="2"/>
  <c r="CC90" i="2"/>
  <c r="CC74" i="2"/>
  <c r="CC58" i="2"/>
  <c r="CC42" i="2"/>
  <c r="CC26" i="2"/>
  <c r="CC10" i="2"/>
  <c r="BX235" i="2"/>
  <c r="CB235" i="2"/>
  <c r="CB219" i="2"/>
  <c r="CB202" i="2"/>
  <c r="CB191" i="2"/>
  <c r="CB145" i="2"/>
  <c r="CB129" i="2"/>
  <c r="CB113" i="2"/>
  <c r="CB97" i="2"/>
  <c r="CB81" i="2"/>
  <c r="CB65" i="2"/>
  <c r="CB49" i="2"/>
  <c r="CB33" i="2"/>
  <c r="CB17" i="2"/>
  <c r="CC243" i="2"/>
  <c r="CC227" i="2"/>
  <c r="CC211" i="2"/>
  <c r="CC199" i="2"/>
  <c r="CC183" i="2"/>
  <c r="CC153" i="2"/>
  <c r="CC137" i="2"/>
  <c r="CC121" i="2"/>
  <c r="CC105" i="2"/>
  <c r="CC89" i="2"/>
  <c r="CC73" i="2"/>
  <c r="CC57" i="2"/>
  <c r="CC41" i="2"/>
  <c r="CC25" i="2"/>
  <c r="CC9" i="2"/>
  <c r="CB250" i="2"/>
  <c r="CB234" i="2"/>
  <c r="CB218" i="2"/>
  <c r="CB201" i="2"/>
  <c r="CB190" i="2"/>
  <c r="CB174" i="2"/>
  <c r="CB160" i="2"/>
  <c r="CB144" i="2"/>
  <c r="CB128" i="2"/>
  <c r="CB112" i="2"/>
  <c r="CB96" i="2"/>
  <c r="CB80" i="2"/>
  <c r="CB175" i="2"/>
  <c r="CB48" i="2"/>
  <c r="CB32" i="2"/>
  <c r="CB16" i="2"/>
  <c r="CC242" i="2"/>
  <c r="CC226" i="2"/>
  <c r="CC210" i="2"/>
  <c r="CC207" i="2"/>
  <c r="CC198" i="2"/>
  <c r="CC182" i="2"/>
  <c r="CC167" i="2"/>
  <c r="CC152" i="2"/>
  <c r="CC136" i="2"/>
  <c r="CC120" i="2"/>
  <c r="CC104" i="2"/>
  <c r="CC88" i="2"/>
  <c r="CC72" i="2"/>
  <c r="CC56" i="2"/>
  <c r="CC40" i="2"/>
  <c r="CC24" i="2"/>
  <c r="CB249" i="2"/>
  <c r="CB233" i="2"/>
  <c r="CB217" i="2"/>
  <c r="CB189" i="2"/>
  <c r="CB173" i="2"/>
  <c r="CB159" i="2"/>
  <c r="CB143" i="2"/>
  <c r="CB127" i="2"/>
  <c r="CB111" i="2"/>
  <c r="CB95" i="2"/>
  <c r="CB79" i="2"/>
  <c r="CB63" i="2"/>
  <c r="CB47" i="2"/>
  <c r="CB31" i="2"/>
  <c r="CB15" i="2"/>
  <c r="CC241" i="2"/>
  <c r="CC225" i="2"/>
  <c r="CC209" i="2"/>
  <c r="CC206" i="2"/>
  <c r="CC197" i="2"/>
  <c r="CC181" i="2"/>
  <c r="CC166" i="2"/>
  <c r="CC151" i="2"/>
  <c r="CC135" i="2"/>
  <c r="CC119" i="2"/>
  <c r="CC103" i="2"/>
  <c r="CC87" i="2"/>
  <c r="CC71" i="2"/>
  <c r="CC55" i="2"/>
  <c r="CC39" i="2"/>
  <c r="CC23" i="2"/>
  <c r="BX18" i="2"/>
  <c r="BX34" i="2"/>
  <c r="BX50" i="2"/>
  <c r="BX66" i="2"/>
  <c r="BX82" i="2"/>
  <c r="BX98" i="2"/>
  <c r="BX114" i="2"/>
  <c r="BX130" i="2"/>
  <c r="BX146" i="2"/>
  <c r="BX162" i="2"/>
  <c r="BX176" i="2"/>
  <c r="BX192" i="2"/>
  <c r="BX220" i="2"/>
  <c r="BX236" i="2"/>
  <c r="BX19" i="2"/>
  <c r="BX35" i="2"/>
  <c r="BX51" i="2"/>
  <c r="BX67" i="2"/>
  <c r="BX83" i="2"/>
  <c r="BX99" i="2"/>
  <c r="BX115" i="2"/>
  <c r="BX131" i="2"/>
  <c r="BX147" i="2"/>
  <c r="BX163" i="2"/>
  <c r="BX177" i="2"/>
  <c r="BX193" i="2"/>
  <c r="BX221" i="2"/>
  <c r="BX237" i="2"/>
  <c r="BX20" i="2"/>
  <c r="BX36" i="2"/>
  <c r="BX52" i="2"/>
  <c r="BX68" i="2"/>
  <c r="BX84" i="2"/>
  <c r="BX100" i="2"/>
  <c r="BX116" i="2"/>
  <c r="BX132" i="2"/>
  <c r="BX148" i="2"/>
  <c r="BX164" i="2"/>
  <c r="BX178" i="2"/>
  <c r="BX194" i="2"/>
  <c r="BX203" i="2"/>
  <c r="BX222" i="2"/>
  <c r="BX238" i="2"/>
  <c r="BX21" i="2"/>
  <c r="BX37" i="2"/>
  <c r="BX53" i="2"/>
  <c r="BX69" i="2"/>
  <c r="BX85" i="2"/>
  <c r="BX101" i="2"/>
  <c r="BX117" i="2"/>
  <c r="BX133" i="2"/>
  <c r="BX149" i="2"/>
  <c r="BX165" i="2"/>
  <c r="BX179" i="2"/>
  <c r="BX195" i="2"/>
  <c r="BX204" i="2"/>
  <c r="BX223" i="2"/>
  <c r="BX239" i="2"/>
  <c r="BX22" i="2"/>
  <c r="BX38" i="2"/>
  <c r="BX54" i="2"/>
  <c r="BX70" i="2"/>
  <c r="BX86" i="2"/>
  <c r="BX102" i="2"/>
  <c r="BX118" i="2"/>
  <c r="BX134" i="2"/>
  <c r="BX150" i="2"/>
  <c r="BX64" i="2"/>
  <c r="BX180" i="2"/>
  <c r="BX196" i="2"/>
  <c r="BX205" i="2"/>
  <c r="BX208" i="2"/>
  <c r="BX224" i="2"/>
  <c r="BX240" i="2"/>
  <c r="BX23" i="2"/>
  <c r="BX39" i="2"/>
  <c r="BX55" i="2"/>
  <c r="BX71" i="2"/>
  <c r="BX87" i="2"/>
  <c r="BX103" i="2"/>
  <c r="BX119" i="2"/>
  <c r="BX135" i="2"/>
  <c r="BX151" i="2"/>
  <c r="BX166" i="2"/>
  <c r="BX181" i="2"/>
  <c r="BX197" i="2"/>
  <c r="BX206" i="2"/>
  <c r="BX209" i="2"/>
  <c r="BX225" i="2"/>
  <c r="BX241" i="2"/>
  <c r="BX24" i="2"/>
  <c r="BX40" i="2"/>
  <c r="BX56" i="2"/>
  <c r="BX72" i="2"/>
  <c r="BX88" i="2"/>
  <c r="BX104" i="2"/>
  <c r="BX120" i="2"/>
  <c r="BX136" i="2"/>
  <c r="BX152" i="2"/>
  <c r="BX167" i="2"/>
  <c r="CS167" i="2" s="1"/>
  <c r="BX182" i="2"/>
  <c r="BX198" i="2"/>
  <c r="BX207" i="2"/>
  <c r="BX210" i="2"/>
  <c r="BX226" i="2"/>
  <c r="BX242" i="2"/>
  <c r="BX9" i="2"/>
  <c r="BX25" i="2"/>
  <c r="BX41" i="2"/>
  <c r="BX57" i="2"/>
  <c r="BX73" i="2"/>
  <c r="BX89" i="2"/>
  <c r="BX105" i="2"/>
  <c r="BX121" i="2"/>
  <c r="BX137" i="2"/>
  <c r="BX153" i="2"/>
  <c r="BX183" i="2"/>
  <c r="BX199" i="2"/>
  <c r="BX211" i="2"/>
  <c r="BX227" i="2"/>
  <c r="BX243" i="2"/>
  <c r="BX10" i="2"/>
  <c r="BX26" i="2"/>
  <c r="BX42" i="2"/>
  <c r="BX58" i="2"/>
  <c r="BX74" i="2"/>
  <c r="BX90" i="2"/>
  <c r="BX106" i="2"/>
  <c r="BX122" i="2"/>
  <c r="BX138" i="2"/>
  <c r="BX154" i="2"/>
  <c r="BX168" i="2"/>
  <c r="BX184" i="2"/>
  <c r="BX200" i="2"/>
  <c r="BX212" i="2"/>
  <c r="BX228" i="2"/>
  <c r="BX244" i="2"/>
  <c r="BX11" i="2"/>
  <c r="BX27" i="2"/>
  <c r="BX43" i="2"/>
  <c r="BX59" i="2"/>
  <c r="BX75" i="2"/>
  <c r="BX91" i="2"/>
  <c r="BX107" i="2"/>
  <c r="BX123" i="2"/>
  <c r="BX139" i="2"/>
  <c r="BX155" i="2"/>
  <c r="BX169" i="2"/>
  <c r="BX185" i="2"/>
  <c r="BX213" i="2"/>
  <c r="BX229" i="2"/>
  <c r="BX245" i="2"/>
  <c r="BX12" i="2"/>
  <c r="BX28" i="2"/>
  <c r="BX44" i="2"/>
  <c r="BX60" i="2"/>
  <c r="BX76" i="2"/>
  <c r="BX92" i="2"/>
  <c r="BX108" i="2"/>
  <c r="BX124" i="2"/>
  <c r="BX140" i="2"/>
  <c r="BX156" i="2"/>
  <c r="BX170" i="2"/>
  <c r="BX186" i="2"/>
  <c r="BX214" i="2"/>
  <c r="BX230" i="2"/>
  <c r="BX246" i="2"/>
  <c r="BX13" i="2"/>
  <c r="BX29" i="2"/>
  <c r="BX45" i="2"/>
  <c r="BX61" i="2"/>
  <c r="BX77" i="2"/>
  <c r="BX93" i="2"/>
  <c r="BX109" i="2"/>
  <c r="BX125" i="2"/>
  <c r="BX141" i="2"/>
  <c r="BX157" i="2"/>
  <c r="BX171" i="2"/>
  <c r="BX187" i="2"/>
  <c r="BX215" i="2"/>
  <c r="BX231" i="2"/>
  <c r="BX247" i="2"/>
  <c r="BX14" i="2"/>
  <c r="BX30" i="2"/>
  <c r="BX46" i="2"/>
  <c r="BX62" i="2"/>
  <c r="BX78" i="2"/>
  <c r="BX94" i="2"/>
  <c r="BX110" i="2"/>
  <c r="BX126" i="2"/>
  <c r="BX142" i="2"/>
  <c r="BX158" i="2"/>
  <c r="BX172" i="2"/>
  <c r="BX188" i="2"/>
  <c r="BX161" i="2"/>
  <c r="BX216" i="2"/>
  <c r="BX232" i="2"/>
  <c r="BX248" i="2"/>
  <c r="BX15" i="2"/>
  <c r="BX31" i="2"/>
  <c r="BX47" i="2"/>
  <c r="BX63" i="2"/>
  <c r="BX79" i="2"/>
  <c r="BX95" i="2"/>
  <c r="BX111" i="2"/>
  <c r="BX127" i="2"/>
  <c r="BX143" i="2"/>
  <c r="BX159" i="2"/>
  <c r="BX173" i="2"/>
  <c r="BX189" i="2"/>
  <c r="BX217" i="2"/>
  <c r="BX233" i="2"/>
  <c r="BX249" i="2"/>
  <c r="BX16" i="2"/>
  <c r="BX32" i="2"/>
  <c r="BX48" i="2"/>
  <c r="BX175" i="2"/>
  <c r="CT175" i="2" s="1" a="1"/>
  <c r="BX80" i="2"/>
  <c r="BX96" i="2"/>
  <c r="BX112" i="2"/>
  <c r="BX128" i="2"/>
  <c r="BX144" i="2"/>
  <c r="BX160" i="2"/>
  <c r="BX174" i="2"/>
  <c r="BX190" i="2"/>
  <c r="BX201" i="2"/>
  <c r="CP201" i="2" s="1"/>
  <c r="BX218" i="2"/>
  <c r="BX234" i="2"/>
  <c r="BX250" i="2"/>
  <c r="CD201" i="2" l="1"/>
  <c r="CP167" i="2"/>
  <c r="CT167" i="2" a="1"/>
  <c r="CS202" i="2"/>
  <c r="CT202" i="2" a="1"/>
  <c r="CT202" i="2" s="1"/>
  <c r="CS201" i="2"/>
  <c r="CP80" i="2"/>
  <c r="CS80" i="2"/>
  <c r="CP231" i="2"/>
  <c r="CS231" i="2"/>
  <c r="CP250" i="2"/>
  <c r="CS250" i="2"/>
  <c r="CP217" i="2"/>
  <c r="CS217" i="2"/>
  <c r="CS189" i="2"/>
  <c r="CP189" i="2"/>
  <c r="CP158" i="2"/>
  <c r="CS158" i="2"/>
  <c r="CS125" i="2"/>
  <c r="CP125" i="2"/>
  <c r="CS92" i="2"/>
  <c r="CP92" i="2"/>
  <c r="CS75" i="2"/>
  <c r="CP75" i="2"/>
  <c r="CS42" i="2"/>
  <c r="CP42" i="2"/>
  <c r="CS9" i="2"/>
  <c r="CP9" i="2"/>
  <c r="CS209" i="2"/>
  <c r="CP209" i="2"/>
  <c r="CP181" i="2"/>
  <c r="CS181" i="2"/>
  <c r="CP134" i="2"/>
  <c r="CS134" i="2"/>
  <c r="CP85" i="2"/>
  <c r="CS85" i="2"/>
  <c r="CP36" i="2"/>
  <c r="CS36" i="2"/>
  <c r="CP220" i="2"/>
  <c r="CS220" i="2"/>
  <c r="CP192" i="2"/>
  <c r="CS192" i="2"/>
  <c r="CP17" i="2"/>
  <c r="CS17" i="2"/>
  <c r="CP173" i="2"/>
  <c r="CS173" i="2"/>
  <c r="CP142" i="2"/>
  <c r="CS142" i="2"/>
  <c r="CS109" i="2"/>
  <c r="CP109" i="2"/>
  <c r="CS76" i="2"/>
  <c r="CP76" i="2"/>
  <c r="CS59" i="2"/>
  <c r="CP59" i="2"/>
  <c r="CS26" i="2"/>
  <c r="CP26" i="2"/>
  <c r="CS242" i="2"/>
  <c r="CP242" i="2"/>
  <c r="CP166" i="2"/>
  <c r="CS166" i="2"/>
  <c r="CP118" i="2"/>
  <c r="CS118" i="2"/>
  <c r="CP69" i="2"/>
  <c r="CS69" i="2"/>
  <c r="CP20" i="2"/>
  <c r="CS20" i="2"/>
  <c r="CP176" i="2"/>
  <c r="CS176" i="2"/>
  <c r="CP113" i="2"/>
  <c r="CS113" i="2"/>
  <c r="CP159" i="2"/>
  <c r="CS159" i="2"/>
  <c r="CP126" i="2"/>
  <c r="CS126" i="2"/>
  <c r="CS93" i="2"/>
  <c r="CP93" i="2"/>
  <c r="CS60" i="2"/>
  <c r="CP60" i="2"/>
  <c r="CS43" i="2"/>
  <c r="CP43" i="2"/>
  <c r="CS10" i="2"/>
  <c r="CP10" i="2"/>
  <c r="CS226" i="2"/>
  <c r="CP226" i="2"/>
  <c r="CP198" i="2"/>
  <c r="CS198" i="2"/>
  <c r="CP151" i="2"/>
  <c r="CS151" i="2"/>
  <c r="CP102" i="2"/>
  <c r="CS102" i="2"/>
  <c r="CP53" i="2"/>
  <c r="CS53" i="2"/>
  <c r="CS203" i="2"/>
  <c r="CP203" i="2"/>
  <c r="CP237" i="2"/>
  <c r="CS237" i="2"/>
  <c r="CP162" i="2"/>
  <c r="CS162" i="2"/>
  <c r="CP174" i="2"/>
  <c r="CS174" i="2"/>
  <c r="CS77" i="2"/>
  <c r="CP77" i="2"/>
  <c r="CS44" i="2"/>
  <c r="CP44" i="2"/>
  <c r="CS27" i="2"/>
  <c r="CP27" i="2"/>
  <c r="CS243" i="2"/>
  <c r="CP243" i="2"/>
  <c r="CS210" i="2"/>
  <c r="CP210" i="2"/>
  <c r="CP182" i="2"/>
  <c r="CS182" i="2"/>
  <c r="CP135" i="2"/>
  <c r="CS135" i="2"/>
  <c r="CP86" i="2"/>
  <c r="CS86" i="2"/>
  <c r="CP37" i="2"/>
  <c r="CS37" i="2"/>
  <c r="CP221" i="2"/>
  <c r="CS221" i="2"/>
  <c r="CP193" i="2"/>
  <c r="CS193" i="2"/>
  <c r="CP146" i="2"/>
  <c r="CS146" i="2"/>
  <c r="CP33" i="2"/>
  <c r="CS33" i="2"/>
  <c r="CP234" i="2"/>
  <c r="CS234" i="2"/>
  <c r="CP218" i="2"/>
  <c r="CS218" i="2"/>
  <c r="CP110" i="2"/>
  <c r="CS110" i="2"/>
  <c r="CP160" i="2"/>
  <c r="CS160" i="2"/>
  <c r="CP127" i="2"/>
  <c r="CS127" i="2"/>
  <c r="CP94" i="2"/>
  <c r="CS94" i="2"/>
  <c r="CS61" i="2"/>
  <c r="CP61" i="2"/>
  <c r="CS28" i="2"/>
  <c r="CP28" i="2"/>
  <c r="CS11" i="2"/>
  <c r="CP11" i="2"/>
  <c r="CS227" i="2"/>
  <c r="CP227" i="2"/>
  <c r="CP199" i="2"/>
  <c r="CS199" i="2"/>
  <c r="CP119" i="2"/>
  <c r="CS119" i="2"/>
  <c r="CP70" i="2"/>
  <c r="CS70" i="2"/>
  <c r="CP21" i="2"/>
  <c r="CS21" i="2"/>
  <c r="CP177" i="2"/>
  <c r="CS177" i="2"/>
  <c r="CP130" i="2"/>
  <c r="CS130" i="2"/>
  <c r="CP129" i="2"/>
  <c r="CS129" i="2"/>
  <c r="CP144" i="2"/>
  <c r="CS144" i="2"/>
  <c r="CP111" i="2"/>
  <c r="CS111" i="2"/>
  <c r="CP78" i="2"/>
  <c r="CS78" i="2"/>
  <c r="CS45" i="2"/>
  <c r="CP45" i="2"/>
  <c r="CS12" i="2"/>
  <c r="CP12" i="2"/>
  <c r="CS244" i="2"/>
  <c r="CP244" i="2"/>
  <c r="CS211" i="2"/>
  <c r="CP211" i="2"/>
  <c r="CP183" i="2"/>
  <c r="CS183" i="2"/>
  <c r="CP152" i="2"/>
  <c r="CS152" i="2"/>
  <c r="CP103" i="2"/>
  <c r="CS103" i="2"/>
  <c r="CP54" i="2"/>
  <c r="CS54" i="2"/>
  <c r="CS204" i="2"/>
  <c r="CP204" i="2"/>
  <c r="CP238" i="2"/>
  <c r="CS238" i="2"/>
  <c r="CP163" i="2"/>
  <c r="CS163" i="2"/>
  <c r="CP114" i="2"/>
  <c r="CS114" i="2"/>
  <c r="CP128" i="2"/>
  <c r="CS128" i="2"/>
  <c r="CP95" i="2"/>
  <c r="CS95" i="2"/>
  <c r="CP62" i="2"/>
  <c r="CS62" i="2"/>
  <c r="CS29" i="2"/>
  <c r="CP29" i="2"/>
  <c r="CS228" i="2"/>
  <c r="CP228" i="2"/>
  <c r="CP200" i="2"/>
  <c r="CS200" i="2"/>
  <c r="CP136" i="2"/>
  <c r="CS136" i="2"/>
  <c r="CP87" i="2"/>
  <c r="CS87" i="2"/>
  <c r="CP38" i="2"/>
  <c r="CS38" i="2"/>
  <c r="CP222" i="2"/>
  <c r="CS222" i="2"/>
  <c r="CP194" i="2"/>
  <c r="CS194" i="2"/>
  <c r="CP147" i="2"/>
  <c r="CS147" i="2"/>
  <c r="CP98" i="2"/>
  <c r="CS98" i="2"/>
  <c r="CP49" i="2"/>
  <c r="CS49" i="2"/>
  <c r="CP190" i="2"/>
  <c r="CS190" i="2"/>
  <c r="CP143" i="2"/>
  <c r="CS143" i="2"/>
  <c r="CP112" i="2"/>
  <c r="CS112" i="2"/>
  <c r="CP79" i="2"/>
  <c r="CS79" i="2"/>
  <c r="CP46" i="2"/>
  <c r="CS46" i="2"/>
  <c r="CS13" i="2"/>
  <c r="CP13" i="2"/>
  <c r="CP245" i="2"/>
  <c r="CS245" i="2"/>
  <c r="CS212" i="2"/>
  <c r="CP212" i="2"/>
  <c r="CP184" i="2"/>
  <c r="CS184" i="2"/>
  <c r="CS153" i="2"/>
  <c r="CP153" i="2"/>
  <c r="CP120" i="2"/>
  <c r="CS120" i="2"/>
  <c r="CP71" i="2"/>
  <c r="CS71" i="2"/>
  <c r="CP22" i="2"/>
  <c r="CS22" i="2"/>
  <c r="CP178" i="2"/>
  <c r="CS178" i="2"/>
  <c r="CP131" i="2"/>
  <c r="CS131" i="2"/>
  <c r="CP82" i="2"/>
  <c r="CS82" i="2"/>
  <c r="CP145" i="2"/>
  <c r="CS145" i="2"/>
  <c r="CP96" i="2"/>
  <c r="CS96" i="2"/>
  <c r="CP63" i="2"/>
  <c r="CS63" i="2"/>
  <c r="CP161" i="2"/>
  <c r="CS161" i="2"/>
  <c r="CP30" i="2"/>
  <c r="CS30" i="2"/>
  <c r="CP246" i="2"/>
  <c r="CS246" i="2"/>
  <c r="CP229" i="2"/>
  <c r="CS229" i="2"/>
  <c r="CS168" i="2"/>
  <c r="CP168" i="2"/>
  <c r="CS137" i="2"/>
  <c r="CP137" i="2"/>
  <c r="CP104" i="2"/>
  <c r="CS104" i="2"/>
  <c r="CP55" i="2"/>
  <c r="CS55" i="2"/>
  <c r="CS205" i="2"/>
  <c r="CP205" i="2"/>
  <c r="CP239" i="2"/>
  <c r="CS239" i="2"/>
  <c r="CP164" i="2"/>
  <c r="CS164" i="2"/>
  <c r="CP115" i="2"/>
  <c r="CS115" i="2"/>
  <c r="CP66" i="2"/>
  <c r="CS66" i="2"/>
  <c r="CP65" i="2"/>
  <c r="CS65" i="2"/>
  <c r="CP47" i="2"/>
  <c r="CS47" i="2"/>
  <c r="CP14" i="2"/>
  <c r="CS14" i="2"/>
  <c r="CP230" i="2"/>
  <c r="CS230" i="2"/>
  <c r="CP213" i="2"/>
  <c r="CS213" i="2"/>
  <c r="CS185" i="2"/>
  <c r="CP185" i="2"/>
  <c r="CS154" i="2"/>
  <c r="CP154" i="2"/>
  <c r="CS121" i="2"/>
  <c r="CP121" i="2"/>
  <c r="CP88" i="2"/>
  <c r="CS88" i="2"/>
  <c r="CP39" i="2"/>
  <c r="CS39" i="2"/>
  <c r="CP223" i="2"/>
  <c r="CS223" i="2"/>
  <c r="CP195" i="2"/>
  <c r="CS195" i="2"/>
  <c r="CP148" i="2"/>
  <c r="CS148" i="2"/>
  <c r="CP99" i="2"/>
  <c r="CS99" i="2"/>
  <c r="CP50" i="2"/>
  <c r="CS50" i="2"/>
  <c r="CP247" i="2"/>
  <c r="CS247" i="2"/>
  <c r="CP214" i="2"/>
  <c r="CS214" i="2"/>
  <c r="CS186" i="2"/>
  <c r="CP186" i="2"/>
  <c r="CS169" i="2"/>
  <c r="CP169" i="2"/>
  <c r="CS138" i="2"/>
  <c r="CP138" i="2"/>
  <c r="CS105" i="2"/>
  <c r="CP105" i="2"/>
  <c r="CP72" i="2"/>
  <c r="CS72" i="2"/>
  <c r="CP23" i="2"/>
  <c r="CS23" i="2"/>
  <c r="CP179" i="2"/>
  <c r="CS179" i="2"/>
  <c r="CP132" i="2"/>
  <c r="CS132" i="2"/>
  <c r="CP83" i="2"/>
  <c r="CS83" i="2"/>
  <c r="CP34" i="2"/>
  <c r="CS34" i="2"/>
  <c r="CP48" i="2"/>
  <c r="CS48" i="2"/>
  <c r="CS170" i="2"/>
  <c r="CP170" i="2"/>
  <c r="CS155" i="2"/>
  <c r="CP155" i="2"/>
  <c r="CS122" i="2"/>
  <c r="CP122" i="2"/>
  <c r="CS89" i="2"/>
  <c r="CP89" i="2"/>
  <c r="CP56" i="2"/>
  <c r="CS56" i="2"/>
  <c r="CP206" i="2"/>
  <c r="CS206" i="2"/>
  <c r="CS240" i="2"/>
  <c r="CP240" i="2"/>
  <c r="CP165" i="2"/>
  <c r="CS165" i="2"/>
  <c r="CP116" i="2"/>
  <c r="CS116" i="2"/>
  <c r="CP67" i="2"/>
  <c r="CS67" i="2"/>
  <c r="CP18" i="2"/>
  <c r="CS18" i="2"/>
  <c r="CP81" i="2"/>
  <c r="CS81" i="2"/>
  <c r="CP32" i="2"/>
  <c r="CS32" i="2"/>
  <c r="CP248" i="2"/>
  <c r="CS248" i="2"/>
  <c r="CP215" i="2"/>
  <c r="CS215" i="2"/>
  <c r="CS187" i="2"/>
  <c r="CP187" i="2"/>
  <c r="CS156" i="2"/>
  <c r="CP156" i="2"/>
  <c r="CS139" i="2"/>
  <c r="CP139" i="2"/>
  <c r="CS106" i="2"/>
  <c r="CP106" i="2"/>
  <c r="CS73" i="2"/>
  <c r="CP73" i="2"/>
  <c r="CP40" i="2"/>
  <c r="CS40" i="2"/>
  <c r="CS224" i="2"/>
  <c r="CP224" i="2"/>
  <c r="CP196" i="2"/>
  <c r="CS196" i="2"/>
  <c r="CP149" i="2"/>
  <c r="CS149" i="2"/>
  <c r="CP100" i="2"/>
  <c r="CS100" i="2"/>
  <c r="CP51" i="2"/>
  <c r="CS51" i="2"/>
  <c r="CP219" i="2"/>
  <c r="CS219" i="2"/>
  <c r="CP16" i="2"/>
  <c r="CS16" i="2"/>
  <c r="CP232" i="2"/>
  <c r="CS232" i="2"/>
  <c r="CS171" i="2"/>
  <c r="CP171" i="2"/>
  <c r="CS140" i="2"/>
  <c r="CP140" i="2"/>
  <c r="CS123" i="2"/>
  <c r="CP123" i="2"/>
  <c r="CS90" i="2"/>
  <c r="CP90" i="2"/>
  <c r="CS57" i="2"/>
  <c r="CP57" i="2"/>
  <c r="CP24" i="2"/>
  <c r="CS24" i="2"/>
  <c r="CS208" i="2"/>
  <c r="CP208" i="2"/>
  <c r="CP180" i="2"/>
  <c r="CS180" i="2"/>
  <c r="CP133" i="2"/>
  <c r="CS133" i="2"/>
  <c r="CP84" i="2"/>
  <c r="CS84" i="2"/>
  <c r="CP35" i="2"/>
  <c r="CS35" i="2"/>
  <c r="CP191" i="2"/>
  <c r="CS191" i="2"/>
  <c r="CP249" i="2"/>
  <c r="CS249" i="2"/>
  <c r="CP216" i="2"/>
  <c r="CS216" i="2"/>
  <c r="CS188" i="2"/>
  <c r="CP188" i="2"/>
  <c r="CS157" i="2"/>
  <c r="CP157" i="2"/>
  <c r="CS124" i="2"/>
  <c r="CP124" i="2"/>
  <c r="CS107" i="2"/>
  <c r="CP107" i="2"/>
  <c r="CS74" i="2"/>
  <c r="CP74" i="2"/>
  <c r="CS41" i="2"/>
  <c r="CP41" i="2"/>
  <c r="CP207" i="2"/>
  <c r="CS207" i="2"/>
  <c r="CS241" i="2"/>
  <c r="CP241" i="2"/>
  <c r="CP117" i="2"/>
  <c r="CS117" i="2"/>
  <c r="CP68" i="2"/>
  <c r="CS68" i="2"/>
  <c r="CP19" i="2"/>
  <c r="CS19" i="2"/>
  <c r="CP97" i="2"/>
  <c r="CS97" i="2"/>
  <c r="CP31" i="2"/>
  <c r="CS31" i="2"/>
  <c r="CP15" i="2"/>
  <c r="CS15" i="2"/>
  <c r="CP233" i="2"/>
  <c r="CS233" i="2"/>
  <c r="CS172" i="2"/>
  <c r="CP172" i="2"/>
  <c r="CS141" i="2"/>
  <c r="CP141" i="2"/>
  <c r="CS108" i="2"/>
  <c r="CP108" i="2"/>
  <c r="CS91" i="2"/>
  <c r="CP91" i="2"/>
  <c r="CS58" i="2"/>
  <c r="CP58" i="2"/>
  <c r="CS25" i="2"/>
  <c r="CP25" i="2"/>
  <c r="CS225" i="2"/>
  <c r="CP225" i="2"/>
  <c r="CP197" i="2"/>
  <c r="CS197" i="2"/>
  <c r="CP150" i="2"/>
  <c r="CS150" i="2"/>
  <c r="CP101" i="2"/>
  <c r="CS101" i="2"/>
  <c r="CP52" i="2"/>
  <c r="CS52" i="2"/>
  <c r="CP236" i="2"/>
  <c r="CS236" i="2"/>
  <c r="CP235" i="2"/>
  <c r="CS235" i="2"/>
  <c r="CX173" i="2"/>
  <c r="CT173" i="2" a="1"/>
  <c r="CT173" i="2" s="1"/>
  <c r="CX96" i="2"/>
  <c r="CT96" i="2" a="1"/>
  <c r="CT96" i="2" s="1"/>
  <c r="CX63" i="2"/>
  <c r="CT63" i="2" a="1"/>
  <c r="CT63" i="2" s="1"/>
  <c r="CX161" i="2"/>
  <c r="CT161" i="2" a="1"/>
  <c r="CT161" i="2" s="1"/>
  <c r="CX30" i="2"/>
  <c r="CT30" i="2" a="1"/>
  <c r="CT30" i="2" s="1"/>
  <c r="CT246" i="2" a="1"/>
  <c r="CT246" i="2" s="1"/>
  <c r="CX246" i="2"/>
  <c r="CX229" i="2"/>
  <c r="CT229" i="2" a="1"/>
  <c r="CT229" i="2" s="1"/>
  <c r="CX168" i="2"/>
  <c r="CT168" i="2" a="1"/>
  <c r="CT168" i="2" s="1"/>
  <c r="CX137" i="2"/>
  <c r="CT137" i="2" a="1"/>
  <c r="CT137" i="2" s="1"/>
  <c r="CT104" i="2" a="1"/>
  <c r="CT104" i="2" s="1"/>
  <c r="CX104" i="2"/>
  <c r="CT55" i="2" a="1"/>
  <c r="CT55" i="2" s="1"/>
  <c r="CX55" i="2"/>
  <c r="CT205" i="2" a="1"/>
  <c r="CT205" i="2" s="1"/>
  <c r="CX205" i="2"/>
  <c r="CT239" i="2" a="1"/>
  <c r="CT239" i="2" s="1"/>
  <c r="CX239" i="2"/>
  <c r="CT164" i="2" a="1"/>
  <c r="CT164" i="2" s="1"/>
  <c r="CX164" i="2"/>
  <c r="CT115" i="2" a="1"/>
  <c r="CT115" i="2" s="1"/>
  <c r="CX115" i="2"/>
  <c r="CT66" i="2" a="1"/>
  <c r="CT66" i="2" s="1"/>
  <c r="CX66" i="2"/>
  <c r="CT65" i="2" a="1"/>
  <c r="CT65" i="2" s="1"/>
  <c r="CX65" i="2"/>
  <c r="CX14" i="2"/>
  <c r="CT14" i="2" a="1"/>
  <c r="CT14" i="2" s="1"/>
  <c r="CT230" i="2" a="1"/>
  <c r="CT230" i="2" s="1"/>
  <c r="CX230" i="2"/>
  <c r="CX213" i="2"/>
  <c r="CT213" i="2" a="1"/>
  <c r="CT213" i="2" s="1"/>
  <c r="CX185" i="2"/>
  <c r="CT185" i="2" a="1"/>
  <c r="CT185" i="2" s="1"/>
  <c r="CX154" i="2"/>
  <c r="CT154" i="2" a="1"/>
  <c r="CT154" i="2" s="1"/>
  <c r="CX121" i="2"/>
  <c r="CT121" i="2" a="1"/>
  <c r="CT121" i="2" s="1"/>
  <c r="CT88" i="2" a="1"/>
  <c r="CT88" i="2" s="1"/>
  <c r="CX88" i="2"/>
  <c r="CT39" i="2" a="1"/>
  <c r="CT39" i="2" s="1"/>
  <c r="CX39" i="2"/>
  <c r="CT223" i="2" a="1"/>
  <c r="CT223" i="2" s="1"/>
  <c r="CX223" i="2"/>
  <c r="CT195" i="2" a="1"/>
  <c r="CT195" i="2" s="1"/>
  <c r="CX195" i="2"/>
  <c r="CT148" i="2" a="1"/>
  <c r="CT148" i="2" s="1"/>
  <c r="CX148" i="2"/>
  <c r="CT99" i="2" a="1"/>
  <c r="CT99" i="2" s="1"/>
  <c r="CX99" i="2"/>
  <c r="CT50" i="2" a="1"/>
  <c r="CT50" i="2" s="1"/>
  <c r="CX50" i="2"/>
  <c r="CX186" i="2"/>
  <c r="CT186" i="2" a="1"/>
  <c r="CT186" i="2" s="1"/>
  <c r="CX169" i="2"/>
  <c r="CT169" i="2" a="1"/>
  <c r="CT169" i="2" s="1"/>
  <c r="CX138" i="2"/>
  <c r="CT138" i="2" a="1"/>
  <c r="CT138" i="2" s="1"/>
  <c r="CX105" i="2"/>
  <c r="CT105" i="2" a="1"/>
  <c r="CT105" i="2" s="1"/>
  <c r="CT72" i="2" a="1"/>
  <c r="CT72" i="2" s="1"/>
  <c r="CX72" i="2"/>
  <c r="CT23" i="2" a="1"/>
  <c r="CT23" i="2" s="1"/>
  <c r="CX23" i="2"/>
  <c r="CT179" i="2" a="1"/>
  <c r="CT179" i="2" s="1"/>
  <c r="CX179" i="2"/>
  <c r="CT132" i="2" a="1"/>
  <c r="CT132" i="2" s="1"/>
  <c r="CX132" i="2"/>
  <c r="CT83" i="2" a="1"/>
  <c r="CT83" i="2" s="1"/>
  <c r="CX83" i="2"/>
  <c r="CT34" i="2" a="1"/>
  <c r="CT34" i="2" s="1"/>
  <c r="CX34" i="2"/>
  <c r="CT231" i="2" a="1"/>
  <c r="CT231" i="2" s="1"/>
  <c r="CX231" i="2"/>
  <c r="CX155" i="2"/>
  <c r="CT155" i="2" a="1"/>
  <c r="CT155" i="2" s="1"/>
  <c r="CX122" i="2"/>
  <c r="CT122" i="2" a="1"/>
  <c r="CT122" i="2" s="1"/>
  <c r="CX89" i="2"/>
  <c r="CT89" i="2" a="1"/>
  <c r="CT89" i="2" s="1"/>
  <c r="CT56" i="2" a="1"/>
  <c r="CT56" i="2" s="1"/>
  <c r="CX56" i="2"/>
  <c r="CT206" i="2" a="1"/>
  <c r="CT206" i="2" s="1"/>
  <c r="CX206" i="2"/>
  <c r="CT240" i="2" a="1"/>
  <c r="CT240" i="2" s="1"/>
  <c r="CX240" i="2"/>
  <c r="CT165" i="2" a="1"/>
  <c r="CT165" i="2" s="1"/>
  <c r="CX165" i="2"/>
  <c r="CT116" i="2" a="1"/>
  <c r="CT116" i="2" s="1"/>
  <c r="CX116" i="2"/>
  <c r="CT67" i="2" a="1"/>
  <c r="CT67" i="2" s="1"/>
  <c r="CX67" i="2"/>
  <c r="CT18" i="2" a="1"/>
  <c r="CT18" i="2" s="1"/>
  <c r="CX18" i="2"/>
  <c r="CT81" i="2" a="1"/>
  <c r="CT81" i="2" s="1"/>
  <c r="CX81" i="2"/>
  <c r="CL175" i="2"/>
  <c r="CT214" i="2" a="1"/>
  <c r="CT214" i="2" s="1"/>
  <c r="CX214" i="2"/>
  <c r="CX106" i="2"/>
  <c r="CT106" i="2" a="1"/>
  <c r="CT106" i="2" s="1"/>
  <c r="CX73" i="2"/>
  <c r="CT73" i="2" a="1"/>
  <c r="CT73" i="2" s="1"/>
  <c r="CT40" i="2" a="1"/>
  <c r="CT40" i="2" s="1"/>
  <c r="CX40" i="2"/>
  <c r="CT224" i="2" a="1"/>
  <c r="CT224" i="2" s="1"/>
  <c r="CX224" i="2"/>
  <c r="CT196" i="2" a="1"/>
  <c r="CT196" i="2" s="1"/>
  <c r="CX196" i="2"/>
  <c r="CT149" i="2" a="1"/>
  <c r="CT149" i="2" s="1"/>
  <c r="CX149" i="2"/>
  <c r="CT100" i="2" a="1"/>
  <c r="CT100" i="2" s="1"/>
  <c r="CX100" i="2"/>
  <c r="CT51" i="2" a="1"/>
  <c r="CT51" i="2" s="1"/>
  <c r="CX51" i="2"/>
  <c r="CT219" i="2" a="1"/>
  <c r="CT219" i="2" s="1"/>
  <c r="CX219" i="2"/>
  <c r="CX80" i="2"/>
  <c r="CT80" i="2" a="1"/>
  <c r="CT80" i="2" s="1"/>
  <c r="CX31" i="2"/>
  <c r="CT31" i="2" a="1"/>
  <c r="CT31" i="2" s="1"/>
  <c r="CT48" i="2" a="1"/>
  <c r="CT48" i="2" s="1"/>
  <c r="CX48" i="2"/>
  <c r="CT248" i="2" a="1"/>
  <c r="CT248" i="2" s="1"/>
  <c r="CX248" i="2"/>
  <c r="CX140" i="2"/>
  <c r="CT140" i="2" a="1"/>
  <c r="CT140" i="2" s="1"/>
  <c r="CX90" i="2"/>
  <c r="CT90" i="2" a="1"/>
  <c r="CT90" i="2" s="1"/>
  <c r="CX57" i="2"/>
  <c r="CT57" i="2" a="1"/>
  <c r="CT57" i="2" s="1"/>
  <c r="CT24" i="2" a="1"/>
  <c r="CT24" i="2" s="1"/>
  <c r="CX24" i="2"/>
  <c r="CT208" i="2" a="1"/>
  <c r="CT208" i="2" s="1"/>
  <c r="CX208" i="2"/>
  <c r="CT180" i="2" a="1"/>
  <c r="CT180" i="2" s="1"/>
  <c r="CX180" i="2"/>
  <c r="CT133" i="2" a="1"/>
  <c r="CT133" i="2" s="1"/>
  <c r="CX133" i="2"/>
  <c r="CT84" i="2" a="1"/>
  <c r="CT84" i="2" s="1"/>
  <c r="CX84" i="2"/>
  <c r="CT35" i="2" a="1"/>
  <c r="CT35" i="2" s="1"/>
  <c r="CX35" i="2"/>
  <c r="CT191" i="2" a="1"/>
  <c r="CT191" i="2" s="1"/>
  <c r="CX191" i="2"/>
  <c r="CT247" i="2" a="1"/>
  <c r="CT247" i="2" s="1"/>
  <c r="CX247" i="2"/>
  <c r="CX15" i="2"/>
  <c r="CT15" i="2" a="1"/>
  <c r="CT15" i="2" s="1"/>
  <c r="CX170" i="2"/>
  <c r="CT170" i="2" a="1"/>
  <c r="CT170" i="2" s="1"/>
  <c r="CT32" i="2" a="1"/>
  <c r="CT32" i="2" s="1"/>
  <c r="CX32" i="2"/>
  <c r="CT215" i="2" a="1"/>
  <c r="CT215" i="2" s="1"/>
  <c r="CX215" i="2"/>
  <c r="CX139" i="2"/>
  <c r="CT139" i="2" a="1"/>
  <c r="CT139" i="2" s="1"/>
  <c r="CT232" i="2" a="1"/>
  <c r="CT232" i="2" s="1"/>
  <c r="CX232" i="2"/>
  <c r="CX123" i="2"/>
  <c r="CT123" i="2" a="1"/>
  <c r="CT123" i="2" s="1"/>
  <c r="CT249" i="2" a="1"/>
  <c r="CT249" i="2" s="1"/>
  <c r="CX249" i="2"/>
  <c r="CX188" i="2"/>
  <c r="CT188" i="2" a="1"/>
  <c r="CT188" i="2" s="1"/>
  <c r="CX157" i="2"/>
  <c r="CT157" i="2" a="1"/>
  <c r="CT157" i="2" s="1"/>
  <c r="CX124" i="2"/>
  <c r="CT124" i="2" a="1"/>
  <c r="CT124" i="2" s="1"/>
  <c r="CX107" i="2"/>
  <c r="CT107" i="2" a="1"/>
  <c r="CT107" i="2" s="1"/>
  <c r="CX74" i="2"/>
  <c r="CT74" i="2" a="1"/>
  <c r="CT74" i="2" s="1"/>
  <c r="CX41" i="2"/>
  <c r="CT41" i="2" a="1"/>
  <c r="CT41" i="2" s="1"/>
  <c r="CT207" i="2" a="1"/>
  <c r="CT207" i="2" s="1"/>
  <c r="CX207" i="2"/>
  <c r="CT241" i="2" a="1"/>
  <c r="CT241" i="2" s="1"/>
  <c r="CX241" i="2"/>
  <c r="CT117" i="2" a="1"/>
  <c r="CT117" i="2" s="1"/>
  <c r="CX117" i="2"/>
  <c r="CT68" i="2" a="1"/>
  <c r="CT68" i="2" s="1"/>
  <c r="CX68" i="2"/>
  <c r="CT19" i="2" a="1"/>
  <c r="CT19" i="2" s="1"/>
  <c r="CX19" i="2"/>
  <c r="CT97" i="2" a="1"/>
  <c r="CT97" i="2" s="1"/>
  <c r="CX97" i="2"/>
  <c r="CX47" i="2"/>
  <c r="CT47" i="2" a="1"/>
  <c r="CT47" i="2" s="1"/>
  <c r="CL201" i="2"/>
  <c r="CX187" i="2"/>
  <c r="CT187" i="2" a="1"/>
  <c r="CT187" i="2" s="1"/>
  <c r="CX156" i="2"/>
  <c r="CT156" i="2" a="1"/>
  <c r="CT156" i="2" s="1"/>
  <c r="CX16" i="2"/>
  <c r="CT16" i="2" a="1"/>
  <c r="CT16" i="2" s="1"/>
  <c r="CX171" i="2"/>
  <c r="CT171" i="2" a="1"/>
  <c r="CT171" i="2" s="1"/>
  <c r="CT216" i="2" a="1"/>
  <c r="CT216" i="2" s="1"/>
  <c r="CX216" i="2"/>
  <c r="CT233" i="2" a="1"/>
  <c r="CT233" i="2" s="1"/>
  <c r="CX233" i="2"/>
  <c r="CX172" i="2"/>
  <c r="CT172" i="2" a="1"/>
  <c r="CT172" i="2" s="1"/>
  <c r="CX141" i="2"/>
  <c r="CT141" i="2" a="1"/>
  <c r="CT141" i="2" s="1"/>
  <c r="CX108" i="2"/>
  <c r="CT108" i="2" a="1"/>
  <c r="CT108" i="2" s="1"/>
  <c r="CX91" i="2"/>
  <c r="CT91" i="2" a="1"/>
  <c r="CT91" i="2" s="1"/>
  <c r="CX58" i="2"/>
  <c r="CT58" i="2" a="1"/>
  <c r="CT58" i="2" s="1"/>
  <c r="CX25" i="2"/>
  <c r="CT25" i="2" a="1"/>
  <c r="CT25" i="2" s="1"/>
  <c r="CT225" i="2" a="1"/>
  <c r="CT225" i="2" s="1"/>
  <c r="CX225" i="2"/>
  <c r="CT197" i="2" a="1"/>
  <c r="CT197" i="2" s="1"/>
  <c r="CX197" i="2"/>
  <c r="CT150" i="2" a="1"/>
  <c r="CT150" i="2" s="1"/>
  <c r="CX150" i="2"/>
  <c r="CT101" i="2" a="1"/>
  <c r="CT101" i="2" s="1"/>
  <c r="CX101" i="2"/>
  <c r="CT52" i="2" a="1"/>
  <c r="CT52" i="2" s="1"/>
  <c r="CX52" i="2"/>
  <c r="CT236" i="2" a="1"/>
  <c r="CT236" i="2" s="1"/>
  <c r="CX236" i="2"/>
  <c r="CT235" i="2" a="1"/>
  <c r="CT235" i="2" s="1"/>
  <c r="CX235" i="2"/>
  <c r="CL202" i="2"/>
  <c r="CT250" i="2" a="1"/>
  <c r="CT250" i="2" s="1"/>
  <c r="CX250" i="2"/>
  <c r="CT217" i="2" a="1"/>
  <c r="CT217" i="2" s="1"/>
  <c r="CX217" i="2"/>
  <c r="CX189" i="2"/>
  <c r="CT189" i="2" a="1"/>
  <c r="CT189" i="2" s="1"/>
  <c r="CX158" i="2"/>
  <c r="CT158" i="2" a="1"/>
  <c r="CT158" i="2" s="1"/>
  <c r="CX125" i="2"/>
  <c r="CT125" i="2" a="1"/>
  <c r="CT125" i="2" s="1"/>
  <c r="CX92" i="2"/>
  <c r="CT92" i="2" a="1"/>
  <c r="CT92" i="2" s="1"/>
  <c r="CX75" i="2"/>
  <c r="CT75" i="2" a="1"/>
  <c r="CT75" i="2" s="1"/>
  <c r="CX42" i="2"/>
  <c r="CT42" i="2" a="1"/>
  <c r="CT42" i="2" s="1"/>
  <c r="CX9" i="2"/>
  <c r="CT9" i="2" a="1"/>
  <c r="CT9" i="2" s="1"/>
  <c r="CT209" i="2" a="1"/>
  <c r="CT209" i="2" s="1"/>
  <c r="CX209" i="2"/>
  <c r="CT181" i="2" a="1"/>
  <c r="CT181" i="2" s="1"/>
  <c r="CX181" i="2"/>
  <c r="CT134" i="2" a="1"/>
  <c r="CT134" i="2" s="1"/>
  <c r="CX134" i="2"/>
  <c r="CT85" i="2" a="1"/>
  <c r="CT85" i="2" s="1"/>
  <c r="CX85" i="2"/>
  <c r="CT36" i="2" a="1"/>
  <c r="CT36" i="2" s="1"/>
  <c r="CX36" i="2"/>
  <c r="CT220" i="2" a="1"/>
  <c r="CT220" i="2" s="1"/>
  <c r="CX220" i="2"/>
  <c r="CT192" i="2" a="1"/>
  <c r="CT192" i="2" s="1"/>
  <c r="CX192" i="2"/>
  <c r="CT17" i="2" a="1"/>
  <c r="CT17" i="2" s="1"/>
  <c r="CX17" i="2"/>
  <c r="CX109" i="2"/>
  <c r="CT109" i="2" a="1"/>
  <c r="CT109" i="2" s="1"/>
  <c r="CX76" i="2"/>
  <c r="CT76" i="2" a="1"/>
  <c r="CT76" i="2" s="1"/>
  <c r="CX59" i="2"/>
  <c r="CT59" i="2" a="1"/>
  <c r="CT59" i="2" s="1"/>
  <c r="CX26" i="2"/>
  <c r="CT26" i="2" a="1"/>
  <c r="CT26" i="2" s="1"/>
  <c r="CT242" i="2" a="1"/>
  <c r="CT242" i="2" s="1"/>
  <c r="CX242" i="2"/>
  <c r="CT166" i="2" a="1"/>
  <c r="CT166" i="2" s="1"/>
  <c r="CX166" i="2"/>
  <c r="CT118" i="2" a="1"/>
  <c r="CT118" i="2" s="1"/>
  <c r="CX118" i="2"/>
  <c r="CT69" i="2" a="1"/>
  <c r="CT69" i="2" s="1"/>
  <c r="CX69" i="2"/>
  <c r="CT20" i="2" a="1"/>
  <c r="CT20" i="2" s="1"/>
  <c r="CX20" i="2"/>
  <c r="CT176" i="2" a="1"/>
  <c r="CT176" i="2" s="1"/>
  <c r="CX176" i="2"/>
  <c r="CT113" i="2" a="1"/>
  <c r="CT113" i="2" s="1"/>
  <c r="CX113" i="2"/>
  <c r="CT218" i="2" a="1"/>
  <c r="CT218" i="2" s="1"/>
  <c r="CX218" i="2"/>
  <c r="CX93" i="2"/>
  <c r="CT93" i="2" a="1"/>
  <c r="CT93" i="2" s="1"/>
  <c r="CX60" i="2"/>
  <c r="CT60" i="2" a="1"/>
  <c r="CT60" i="2" s="1"/>
  <c r="CX43" i="2"/>
  <c r="CT43" i="2" a="1"/>
  <c r="CT43" i="2" s="1"/>
  <c r="CX10" i="2"/>
  <c r="CT10" i="2" a="1"/>
  <c r="CT10" i="2" s="1"/>
  <c r="CT226" i="2" a="1"/>
  <c r="CT226" i="2" s="1"/>
  <c r="CX226" i="2"/>
  <c r="CT198" i="2" a="1"/>
  <c r="CT198" i="2" s="1"/>
  <c r="CX198" i="2"/>
  <c r="CT151" i="2" a="1"/>
  <c r="CT151" i="2" s="1"/>
  <c r="CX151" i="2"/>
  <c r="CT102" i="2" a="1"/>
  <c r="CT102" i="2" s="1"/>
  <c r="CX102" i="2"/>
  <c r="CT53" i="2" a="1"/>
  <c r="CT53" i="2" s="1"/>
  <c r="CX53" i="2"/>
  <c r="CX203" i="2"/>
  <c r="CT203" i="2" a="1"/>
  <c r="CT203" i="2" s="1"/>
  <c r="CT237" i="2" a="1"/>
  <c r="CT237" i="2" s="1"/>
  <c r="CX237" i="2"/>
  <c r="CT162" i="2" a="1"/>
  <c r="CT162" i="2" s="1"/>
  <c r="CX162" i="2"/>
  <c r="CX110" i="2"/>
  <c r="CT110" i="2" a="1"/>
  <c r="CT110" i="2" s="1"/>
  <c r="CX44" i="2"/>
  <c r="CT44" i="2" a="1"/>
  <c r="CT44" i="2" s="1"/>
  <c r="CX27" i="2"/>
  <c r="CT27" i="2" a="1"/>
  <c r="CT27" i="2" s="1"/>
  <c r="CX243" i="2"/>
  <c r="CT243" i="2" a="1"/>
  <c r="CT243" i="2" s="1"/>
  <c r="CT210" i="2" a="1"/>
  <c r="CT210" i="2" s="1"/>
  <c r="CX210" i="2"/>
  <c r="CT182" i="2" a="1"/>
  <c r="CT182" i="2" s="1"/>
  <c r="CX182" i="2"/>
  <c r="CT135" i="2" a="1"/>
  <c r="CT135" i="2" s="1"/>
  <c r="CX135" i="2"/>
  <c r="CT86" i="2" a="1"/>
  <c r="CT86" i="2" s="1"/>
  <c r="CX86" i="2"/>
  <c r="CT37" i="2" a="1"/>
  <c r="CT37" i="2" s="1"/>
  <c r="CX37" i="2"/>
  <c r="CT221" i="2" a="1"/>
  <c r="CT221" i="2" s="1"/>
  <c r="CX221" i="2"/>
  <c r="CT193" i="2" a="1"/>
  <c r="CT193" i="2" s="1"/>
  <c r="CX193" i="2"/>
  <c r="CT146" i="2" a="1"/>
  <c r="CT146" i="2" s="1"/>
  <c r="CX146" i="2"/>
  <c r="CT33" i="2" a="1"/>
  <c r="CT33" i="2" s="1"/>
  <c r="CX33" i="2"/>
  <c r="CX227" i="2"/>
  <c r="CT227" i="2" a="1"/>
  <c r="CT227" i="2" s="1"/>
  <c r="CX199" i="2"/>
  <c r="CT199" i="2" a="1"/>
  <c r="CT199" i="2" s="1"/>
  <c r="CL167" i="2"/>
  <c r="CT119" i="2" a="1"/>
  <c r="CT119" i="2" s="1"/>
  <c r="CX119" i="2"/>
  <c r="CT70" i="2" a="1"/>
  <c r="CT70" i="2" s="1"/>
  <c r="CX70" i="2"/>
  <c r="CT21" i="2" a="1"/>
  <c r="CT21" i="2" s="1"/>
  <c r="CX21" i="2"/>
  <c r="CT177" i="2" a="1"/>
  <c r="CT177" i="2" s="1"/>
  <c r="CX177" i="2"/>
  <c r="CT130" i="2" a="1"/>
  <c r="CT130" i="2" s="1"/>
  <c r="CX130" i="2"/>
  <c r="CT129" i="2" a="1"/>
  <c r="CT129" i="2" s="1"/>
  <c r="CX129" i="2"/>
  <c r="CT234" i="2" a="1"/>
  <c r="CT234" i="2" s="1"/>
  <c r="CX234" i="2"/>
  <c r="CX142" i="2"/>
  <c r="CT142" i="2" a="1"/>
  <c r="CT142" i="2" s="1"/>
  <c r="CX127" i="2"/>
  <c r="CT127" i="2" a="1"/>
  <c r="CT127" i="2" s="1"/>
  <c r="CT144" i="2" a="1"/>
  <c r="CT144" i="2" s="1"/>
  <c r="CX144" i="2"/>
  <c r="CX244" i="2"/>
  <c r="CT244" i="2" a="1"/>
  <c r="CT244" i="2" s="1"/>
  <c r="CX211" i="2"/>
  <c r="CT211" i="2" a="1"/>
  <c r="CT211" i="2" s="1"/>
  <c r="CT152" i="2" a="1"/>
  <c r="CT152" i="2" s="1"/>
  <c r="CX152" i="2"/>
  <c r="CT103" i="2" a="1"/>
  <c r="CT103" i="2" s="1"/>
  <c r="CX103" i="2"/>
  <c r="CT54" i="2" a="1"/>
  <c r="CT54" i="2" s="1"/>
  <c r="CX54" i="2"/>
  <c r="CX204" i="2"/>
  <c r="CT204" i="2" a="1"/>
  <c r="CT204" i="2" s="1"/>
  <c r="CT238" i="2" a="1"/>
  <c r="CT238" i="2" s="1"/>
  <c r="CX238" i="2"/>
  <c r="CT163" i="2" a="1"/>
  <c r="CT163" i="2" s="1"/>
  <c r="CX163" i="2"/>
  <c r="CT114" i="2" a="1"/>
  <c r="CT114" i="2" s="1"/>
  <c r="CX114" i="2"/>
  <c r="CX159" i="2"/>
  <c r="CT159" i="2" a="1"/>
  <c r="CT159" i="2" s="1"/>
  <c r="CX77" i="2"/>
  <c r="CT77" i="2" a="1"/>
  <c r="CT77" i="2" s="1"/>
  <c r="CT160" i="2" a="1"/>
  <c r="CT160" i="2" s="1"/>
  <c r="CX160" i="2"/>
  <c r="CX11" i="2"/>
  <c r="CT11" i="2" a="1"/>
  <c r="CT11" i="2" s="1"/>
  <c r="CX78" i="2"/>
  <c r="CT78" i="2" a="1"/>
  <c r="CT78" i="2" s="1"/>
  <c r="CX45" i="2"/>
  <c r="CT45" i="2" a="1"/>
  <c r="CT45" i="2" s="1"/>
  <c r="CX95" i="2"/>
  <c r="CT95" i="2" a="1"/>
  <c r="CT95" i="2" s="1"/>
  <c r="CX228" i="2"/>
  <c r="CT228" i="2" a="1"/>
  <c r="CT228" i="2" s="1"/>
  <c r="CX200" i="2"/>
  <c r="CT200" i="2" a="1"/>
  <c r="CT200" i="2" s="1"/>
  <c r="CT136" i="2" a="1"/>
  <c r="CT136" i="2" s="1"/>
  <c r="CX136" i="2"/>
  <c r="CT87" i="2" a="1"/>
  <c r="CT87" i="2" s="1"/>
  <c r="CX87" i="2"/>
  <c r="CT38" i="2" a="1"/>
  <c r="CT38" i="2" s="1"/>
  <c r="CX38" i="2"/>
  <c r="CT222" i="2" a="1"/>
  <c r="CT222" i="2" s="1"/>
  <c r="CX222" i="2"/>
  <c r="CT194" i="2" a="1"/>
  <c r="CT194" i="2" s="1"/>
  <c r="CX194" i="2"/>
  <c r="CT147" i="2" a="1"/>
  <c r="CT147" i="2" s="1"/>
  <c r="CX147" i="2"/>
  <c r="CT98" i="2" a="1"/>
  <c r="CT98" i="2" s="1"/>
  <c r="CX98" i="2"/>
  <c r="CT49" i="2" a="1"/>
  <c r="CT49" i="2" s="1"/>
  <c r="CX49" i="2"/>
  <c r="CX190" i="2"/>
  <c r="CT190" i="2" a="1"/>
  <c r="CT190" i="2" s="1"/>
  <c r="CX126" i="2"/>
  <c r="CT126" i="2" a="1"/>
  <c r="CT126" i="2" s="1"/>
  <c r="CX174" i="2"/>
  <c r="CT174" i="2" a="1"/>
  <c r="CT174" i="2" s="1"/>
  <c r="CX143" i="2"/>
  <c r="CT143" i="2" a="1"/>
  <c r="CT143" i="2" s="1"/>
  <c r="CX94" i="2"/>
  <c r="CT94" i="2" a="1"/>
  <c r="CT94" i="2" s="1"/>
  <c r="CX61" i="2"/>
  <c r="CT61" i="2" a="1"/>
  <c r="CT61" i="2" s="1"/>
  <c r="CX28" i="2"/>
  <c r="CT28" i="2" a="1"/>
  <c r="CT28" i="2" s="1"/>
  <c r="CX111" i="2"/>
  <c r="CT111" i="2" a="1"/>
  <c r="CT111" i="2" s="1"/>
  <c r="CX12" i="2"/>
  <c r="CT12" i="2" a="1"/>
  <c r="CT12" i="2" s="1"/>
  <c r="CX183" i="2"/>
  <c r="CT183" i="2" a="1"/>
  <c r="CT183" i="2" s="1"/>
  <c r="CX128" i="2"/>
  <c r="CT128" i="2" a="1"/>
  <c r="CT128" i="2" s="1"/>
  <c r="CX62" i="2"/>
  <c r="CT62" i="2" a="1"/>
  <c r="CT62" i="2" s="1"/>
  <c r="CX29" i="2"/>
  <c r="CT29" i="2" a="1"/>
  <c r="CT29" i="2" s="1"/>
  <c r="CX112" i="2"/>
  <c r="CT112" i="2" a="1"/>
  <c r="CT112" i="2" s="1"/>
  <c r="CX79" i="2"/>
  <c r="CT79" i="2" a="1"/>
  <c r="CT79" i="2" s="1"/>
  <c r="CX46" i="2"/>
  <c r="CT46" i="2" a="1"/>
  <c r="CT46" i="2" s="1"/>
  <c r="CX13" i="2"/>
  <c r="CT13" i="2" a="1"/>
  <c r="CT13" i="2" s="1"/>
  <c r="CX245" i="2"/>
  <c r="CT245" i="2" a="1"/>
  <c r="CT245" i="2" s="1"/>
  <c r="CX212" i="2"/>
  <c r="CT212" i="2" a="1"/>
  <c r="CT212" i="2" s="1"/>
  <c r="CX184" i="2"/>
  <c r="CT184" i="2" a="1"/>
  <c r="CT184" i="2" s="1"/>
  <c r="CX153" i="2"/>
  <c r="CT153" i="2" a="1"/>
  <c r="CT153" i="2" s="1"/>
  <c r="CT120" i="2" a="1"/>
  <c r="CT120" i="2" s="1"/>
  <c r="CX120" i="2"/>
  <c r="CT71" i="2" a="1"/>
  <c r="CT71" i="2" s="1"/>
  <c r="CX71" i="2"/>
  <c r="CT22" i="2" a="1"/>
  <c r="CT22" i="2" s="1"/>
  <c r="CX22" i="2"/>
  <c r="CT178" i="2" a="1"/>
  <c r="CT178" i="2" s="1"/>
  <c r="CX178" i="2"/>
  <c r="CT131" i="2" a="1"/>
  <c r="CT131" i="2" s="1"/>
  <c r="CX131" i="2"/>
  <c r="CT82" i="2" a="1"/>
  <c r="CT82" i="2" s="1"/>
  <c r="CX82" i="2"/>
  <c r="CT145" i="2" a="1"/>
  <c r="CT145" i="2" s="1"/>
  <c r="CX145" i="2"/>
  <c r="CT175" i="2"/>
  <c r="CT167" i="2"/>
  <c r="CP64" i="2"/>
  <c r="CS64" i="2"/>
  <c r="CT64" i="2" a="1"/>
  <c r="CT201" i="2" a="1"/>
  <c r="CP175" i="2"/>
  <c r="CS175" i="2"/>
  <c r="CT64" i="2" l="1"/>
  <c r="CT201" i="2"/>
  <c r="E64" i="2"/>
  <c r="R64" i="2"/>
  <c r="X64" i="2" s="1"/>
  <c r="S64" i="2"/>
  <c r="T64" i="2" s="1"/>
  <c r="U64" i="2" s="1"/>
  <c r="AE64" i="2"/>
  <c r="AF64" i="2" s="1"/>
  <c r="AG64" i="2"/>
  <c r="AK64" i="2"/>
  <c r="AL64" i="2"/>
  <c r="AM64" i="2"/>
  <c r="AN64" i="2"/>
  <c r="AO64" i="2"/>
  <c r="AY64" i="2"/>
  <c r="AZ64" i="2"/>
  <c r="BC64" i="2"/>
  <c r="BJ64" i="2"/>
  <c r="BK64" i="2" s="1"/>
  <c r="CL64" i="2" s="1"/>
  <c r="BO64" i="2"/>
  <c r="DA64" i="2"/>
  <c r="DB64" i="2" s="1"/>
  <c r="CA64" i="2"/>
  <c r="CH64" i="2"/>
  <c r="CF64" i="2"/>
  <c r="CY64" i="2"/>
  <c r="CZ64" i="2" s="1"/>
  <c r="DE64" i="2"/>
  <c r="DF64" i="2"/>
  <c r="DG64" i="2" s="1"/>
  <c r="DP64" i="2"/>
  <c r="DX64" i="2"/>
  <c r="EE64" i="2"/>
  <c r="EF64" i="2" s="1"/>
  <c r="EJ64" i="2"/>
  <c r="EQ64" i="2"/>
  <c r="ER64" i="2" s="1"/>
  <c r="FJ64" i="2" s="1"/>
  <c r="ET64" i="2"/>
  <c r="EU64" i="2" s="1"/>
  <c r="EW64" i="2"/>
  <c r="FS64" i="2"/>
  <c r="FT64" i="2" s="1"/>
  <c r="FY64" i="2"/>
  <c r="GB64" i="2"/>
  <c r="GC64" i="2"/>
  <c r="GD64" i="2"/>
  <c r="GG64" i="2"/>
  <c r="GI64" i="2" s="1"/>
  <c r="GH64" i="2"/>
  <c r="GL64" i="2"/>
  <c r="GM64" i="2" s="1"/>
  <c r="GP64" i="2"/>
  <c r="GQ64" i="2" s="1"/>
  <c r="GN64" i="2"/>
  <c r="GR64" i="2"/>
  <c r="FF64" i="2" l="1" a="1"/>
  <c r="FF64" i="2" s="1"/>
  <c r="BP64" i="2"/>
  <c r="AU64" i="2"/>
  <c r="FL64" i="2"/>
  <c r="FM64" i="2"/>
  <c r="FN64" i="2" s="1"/>
  <c r="GS64" i="2"/>
  <c r="GO64" i="2"/>
  <c r="CW64" i="2"/>
  <c r="EV64" i="2"/>
  <c r="FZ64" i="2" s="1"/>
  <c r="GA64" i="2" s="1"/>
  <c r="DO64" i="2"/>
  <c r="EH64" i="2" s="1"/>
  <c r="DU64" i="2"/>
  <c r="EI64" i="2" s="1"/>
  <c r="Y64" i="2"/>
  <c r="AB64" i="2" s="1"/>
  <c r="BM64" i="2"/>
  <c r="BN64" i="2" s="1"/>
  <c r="DH64" i="2"/>
  <c r="AA64" i="2"/>
  <c r="CG64" i="2"/>
  <c r="CI64" i="2" s="1"/>
  <c r="FP64" i="2" l="1"/>
  <c r="FG64" i="2"/>
  <c r="FH64" i="2" s="1"/>
  <c r="DY64" i="2"/>
  <c r="DZ64" i="2" s="1"/>
  <c r="EA64" i="2" s="1"/>
  <c r="GU64" i="2"/>
  <c r="GT64" i="2"/>
  <c r="FO64" i="2"/>
  <c r="CR64" i="2"/>
  <c r="CX64" i="2" s="1"/>
  <c r="EC64" i="2"/>
  <c r="Z64" i="2"/>
  <c r="DQ64" i="2"/>
  <c r="DR64" i="2" s="1"/>
  <c r="DS64" i="2"/>
  <c r="EG64" i="2"/>
  <c r="DV64" i="2"/>
  <c r="DW64" i="2" s="1"/>
  <c r="CE64" i="2"/>
  <c r="CM64" i="2"/>
  <c r="CK64" i="2"/>
  <c r="GV64" i="2"/>
  <c r="FC64" i="2"/>
  <c r="FE64" i="2"/>
  <c r="FK64" i="2" l="1"/>
  <c r="FU64" i="2"/>
  <c r="FV64" i="2" s="1"/>
  <c r="EX64" i="2"/>
  <c r="EY64" i="2" s="1"/>
  <c r="GJ64" i="2" l="1"/>
  <c r="FQ64" i="2"/>
  <c r="FW64" i="2" l="1"/>
  <c r="FX64" i="2" s="1" a="1"/>
  <c r="FR64" i="2" a="1"/>
  <c r="FR64" i="2" l="1"/>
  <c r="FX64" i="2"/>
  <c r="B251" i="2"/>
  <c r="P251" i="2"/>
  <c r="Q251" i="2"/>
  <c r="DK251" i="2"/>
  <c r="EM251" i="2"/>
  <c r="K3" i="7" l="1"/>
  <c r="B18" i="5"/>
  <c r="J2" i="5"/>
  <c r="J1" i="5"/>
  <c r="C12" i="3"/>
  <c r="D8" i="3"/>
  <c r="C8" i="3"/>
  <c r="C5" i="3"/>
  <c r="CF260" i="2"/>
  <c r="CG253" i="2" s="1"/>
  <c r="GR250" i="2"/>
  <c r="GS250" i="2" s="1"/>
  <c r="GP250" i="2"/>
  <c r="GQ250" i="2" s="1"/>
  <c r="DU250" i="2" s="1"/>
  <c r="GN250" i="2"/>
  <c r="GO250" i="2" s="1"/>
  <c r="GL250" i="2"/>
  <c r="GM250" i="2" s="1"/>
  <c r="GG250" i="2"/>
  <c r="GI250" i="2" s="1"/>
  <c r="GD250" i="2"/>
  <c r="GC250" i="2"/>
  <c r="GB250" i="2"/>
  <c r="FY250" i="2"/>
  <c r="GA250" i="2" s="1"/>
  <c r="FS250" i="2"/>
  <c r="FT250" i="2" s="1"/>
  <c r="EW250" i="2"/>
  <c r="ET250" i="2"/>
  <c r="EU250" i="2" s="1"/>
  <c r="EQ250" i="2"/>
  <c r="ER250" i="2" s="1"/>
  <c r="EJ250" i="2"/>
  <c r="EE250" i="2"/>
  <c r="EF250" i="2" s="1"/>
  <c r="DX250" i="2"/>
  <c r="DP250" i="2"/>
  <c r="DF250" i="2"/>
  <c r="DH250" i="2" s="1"/>
  <c r="DE250" i="2"/>
  <c r="CY250" i="2"/>
  <c r="CZ250" i="2" s="1"/>
  <c r="CF250" i="2"/>
  <c r="CH250" i="2"/>
  <c r="CA250" i="2"/>
  <c r="CR250" i="2"/>
  <c r="BO250" i="2"/>
  <c r="BJ250" i="2"/>
  <c r="BK250" i="2" s="1"/>
  <c r="CL250" i="2" s="1"/>
  <c r="BC250" i="2"/>
  <c r="AZ250" i="2"/>
  <c r="AY250" i="2"/>
  <c r="AO250" i="2"/>
  <c r="AN250" i="2"/>
  <c r="AM250" i="2"/>
  <c r="AL250" i="2"/>
  <c r="AK250" i="2"/>
  <c r="AG250" i="2"/>
  <c r="AE250" i="2"/>
  <c r="AF250" i="2" s="1"/>
  <c r="S250" i="2"/>
  <c r="T250" i="2" s="1"/>
  <c r="U250" i="2" s="1"/>
  <c r="R250" i="2"/>
  <c r="X250" i="2" s="1"/>
  <c r="E250" i="2"/>
  <c r="GR202" i="2"/>
  <c r="GS202" i="2" s="1"/>
  <c r="GP202" i="2"/>
  <c r="GQ202" i="2" s="1"/>
  <c r="GL202" i="2"/>
  <c r="GM202" i="2" s="1"/>
  <c r="GH202" i="2"/>
  <c r="GG202" i="2"/>
  <c r="GI202" i="2" s="1"/>
  <c r="GD202" i="2"/>
  <c r="GC202" i="2"/>
  <c r="GB202" i="2"/>
  <c r="FY202" i="2"/>
  <c r="GA202" i="2" s="1"/>
  <c r="FS202" i="2"/>
  <c r="FT202" i="2" s="1"/>
  <c r="EW202" i="2"/>
  <c r="ET202" i="2"/>
  <c r="EU202" i="2" s="1"/>
  <c r="EQ202" i="2"/>
  <c r="ER202" i="2" s="1"/>
  <c r="EJ202" i="2"/>
  <c r="EE202" i="2"/>
  <c r="EF202" i="2" s="1"/>
  <c r="DX202" i="2"/>
  <c r="DP202" i="2"/>
  <c r="DF202" i="2"/>
  <c r="DE202" i="2"/>
  <c r="CY202" i="2"/>
  <c r="CF202" i="2"/>
  <c r="CH202" i="2"/>
  <c r="CA202" i="2"/>
  <c r="BO202" i="2"/>
  <c r="BJ202" i="2"/>
  <c r="BK202" i="2" s="1"/>
  <c r="BC202" i="2"/>
  <c r="AZ202" i="2"/>
  <c r="AY202" i="2"/>
  <c r="AO202" i="2"/>
  <c r="AN202" i="2"/>
  <c r="AM202" i="2"/>
  <c r="AL202" i="2"/>
  <c r="AK202" i="2"/>
  <c r="AG202" i="2"/>
  <c r="AE202" i="2"/>
  <c r="AF202" i="2" s="1"/>
  <c r="U202" i="2"/>
  <c r="S202" i="2"/>
  <c r="T202" i="2" s="1"/>
  <c r="R202" i="2"/>
  <c r="X202" i="2" s="1"/>
  <c r="E202" i="2"/>
  <c r="GR249" i="2"/>
  <c r="GS249" i="2" s="1"/>
  <c r="GP249" i="2"/>
  <c r="GQ249" i="2" s="1"/>
  <c r="GN249" i="2"/>
  <c r="GO249" i="2" s="1"/>
  <c r="GL249" i="2"/>
  <c r="GM249" i="2" s="1"/>
  <c r="GG249" i="2"/>
  <c r="GI249" i="2" s="1"/>
  <c r="GD249" i="2"/>
  <c r="GC249" i="2"/>
  <c r="GB249" i="2"/>
  <c r="FY249" i="2"/>
  <c r="GA249" i="2" s="1"/>
  <c r="FS249" i="2"/>
  <c r="FT249" i="2" s="1"/>
  <c r="EW249" i="2"/>
  <c r="ET249" i="2"/>
  <c r="EU249" i="2" s="1"/>
  <c r="EQ249" i="2"/>
  <c r="ER249" i="2" s="1"/>
  <c r="EJ249" i="2"/>
  <c r="EE249" i="2"/>
  <c r="EF249" i="2" s="1"/>
  <c r="DX249" i="2"/>
  <c r="DP249" i="2"/>
  <c r="DF249" i="2"/>
  <c r="DH249" i="2" s="1"/>
  <c r="DE249" i="2"/>
  <c r="CY249" i="2"/>
  <c r="CZ249" i="2" s="1"/>
  <c r="CF249" i="2"/>
  <c r="CH249" i="2"/>
  <c r="CA249" i="2"/>
  <c r="CR249" i="2"/>
  <c r="BO249" i="2"/>
  <c r="BJ249" i="2"/>
  <c r="BK249" i="2" s="1"/>
  <c r="CL249" i="2" s="1"/>
  <c r="BC249" i="2"/>
  <c r="AZ249" i="2"/>
  <c r="AY249" i="2"/>
  <c r="AO249" i="2"/>
  <c r="AN249" i="2"/>
  <c r="AM249" i="2"/>
  <c r="AL249" i="2"/>
  <c r="AK249" i="2"/>
  <c r="AG249" i="2"/>
  <c r="AE249" i="2"/>
  <c r="AF249" i="2" s="1"/>
  <c r="S249" i="2"/>
  <c r="T249" i="2" s="1"/>
  <c r="U249" i="2" s="1"/>
  <c r="R249" i="2"/>
  <c r="X249" i="2" s="1"/>
  <c r="E249" i="2"/>
  <c r="GR247" i="2"/>
  <c r="GS247" i="2" s="1"/>
  <c r="GP247" i="2"/>
  <c r="GQ247" i="2" s="1"/>
  <c r="GN247" i="2"/>
  <c r="GO247" i="2" s="1"/>
  <c r="GL247" i="2"/>
  <c r="GM247" i="2" s="1"/>
  <c r="GG247" i="2"/>
  <c r="GI247" i="2" s="1"/>
  <c r="GD247" i="2"/>
  <c r="GC247" i="2"/>
  <c r="GB247" i="2"/>
  <c r="FY247" i="2"/>
  <c r="GA247" i="2" s="1"/>
  <c r="FS247" i="2"/>
  <c r="FT247" i="2" s="1"/>
  <c r="EW247" i="2"/>
  <c r="ET247" i="2"/>
  <c r="EU247" i="2" s="1"/>
  <c r="EQ247" i="2"/>
  <c r="ER247" i="2" s="1"/>
  <c r="EJ247" i="2"/>
  <c r="EE247" i="2"/>
  <c r="EF247" i="2" s="1"/>
  <c r="DX247" i="2"/>
  <c r="DP247" i="2"/>
  <c r="DF247" i="2"/>
  <c r="DH247" i="2" s="1"/>
  <c r="DE247" i="2"/>
  <c r="CY247" i="2"/>
  <c r="CZ247" i="2" s="1"/>
  <c r="CF247" i="2"/>
  <c r="CH247" i="2"/>
  <c r="CA247" i="2"/>
  <c r="CR247" i="2"/>
  <c r="BO247" i="2"/>
  <c r="BJ247" i="2"/>
  <c r="BK247" i="2" s="1"/>
  <c r="CL247" i="2" s="1"/>
  <c r="BC247" i="2"/>
  <c r="AZ247" i="2"/>
  <c r="AY247" i="2"/>
  <c r="AO247" i="2"/>
  <c r="AN247" i="2"/>
  <c r="AM247" i="2"/>
  <c r="AL247" i="2"/>
  <c r="AK247" i="2"/>
  <c r="AG247" i="2"/>
  <c r="AE247" i="2"/>
  <c r="AF247" i="2" s="1"/>
  <c r="S247" i="2"/>
  <c r="T247" i="2" s="1"/>
  <c r="U247" i="2" s="1"/>
  <c r="R247" i="2"/>
  <c r="GH247" i="2" s="1"/>
  <c r="E247" i="2"/>
  <c r="GR245" i="2"/>
  <c r="GS245" i="2" s="1"/>
  <c r="GP245" i="2"/>
  <c r="GQ245" i="2" s="1"/>
  <c r="GN245" i="2"/>
  <c r="GO245" i="2" s="1"/>
  <c r="GL245" i="2"/>
  <c r="GM245" i="2" s="1"/>
  <c r="GG245" i="2"/>
  <c r="GI245" i="2" s="1"/>
  <c r="GD245" i="2"/>
  <c r="GC245" i="2"/>
  <c r="GB245" i="2"/>
  <c r="FY245" i="2"/>
  <c r="GA245" i="2" s="1"/>
  <c r="FS245" i="2"/>
  <c r="FT245" i="2" s="1"/>
  <c r="EW245" i="2"/>
  <c r="ET245" i="2"/>
  <c r="EU245" i="2" s="1"/>
  <c r="EQ245" i="2"/>
  <c r="ER245" i="2" s="1"/>
  <c r="EJ245" i="2"/>
  <c r="EE245" i="2"/>
  <c r="EF245" i="2" s="1"/>
  <c r="DX245" i="2"/>
  <c r="DP245" i="2"/>
  <c r="DF245" i="2"/>
  <c r="DH245" i="2" s="1"/>
  <c r="DE245" i="2"/>
  <c r="CY245" i="2"/>
  <c r="CZ245" i="2" s="1"/>
  <c r="CF245" i="2"/>
  <c r="CH245" i="2"/>
  <c r="CA245" i="2"/>
  <c r="CR245" i="2"/>
  <c r="BO245" i="2"/>
  <c r="BJ245" i="2"/>
  <c r="BK245" i="2" s="1"/>
  <c r="CL245" i="2" s="1"/>
  <c r="BC245" i="2"/>
  <c r="AZ245" i="2"/>
  <c r="AY245" i="2"/>
  <c r="AO245" i="2"/>
  <c r="AN245" i="2"/>
  <c r="AM245" i="2"/>
  <c r="AL245" i="2"/>
  <c r="AK245" i="2"/>
  <c r="AG245" i="2"/>
  <c r="AE245" i="2"/>
  <c r="AF245" i="2" s="1"/>
  <c r="S245" i="2"/>
  <c r="T245" i="2" s="1"/>
  <c r="U245" i="2" s="1"/>
  <c r="R245" i="2"/>
  <c r="GH245" i="2" s="1"/>
  <c r="E245" i="2"/>
  <c r="GR244" i="2"/>
  <c r="GS244" i="2" s="1"/>
  <c r="GP244" i="2"/>
  <c r="GQ244" i="2" s="1"/>
  <c r="GN244" i="2"/>
  <c r="GO244" i="2" s="1"/>
  <c r="GL244" i="2"/>
  <c r="GM244" i="2" s="1"/>
  <c r="GG244" i="2"/>
  <c r="GI244" i="2" s="1"/>
  <c r="GD244" i="2"/>
  <c r="GC244" i="2"/>
  <c r="GB244" i="2"/>
  <c r="FY244" i="2"/>
  <c r="GA244" i="2" s="1"/>
  <c r="FS244" i="2"/>
  <c r="FT244" i="2" s="1"/>
  <c r="EW244" i="2"/>
  <c r="ET244" i="2"/>
  <c r="EU244" i="2" s="1"/>
  <c r="EQ244" i="2"/>
  <c r="ER244" i="2" s="1"/>
  <c r="EJ244" i="2"/>
  <c r="EE244" i="2"/>
  <c r="EF244" i="2" s="1"/>
  <c r="DX244" i="2"/>
  <c r="DP244" i="2"/>
  <c r="DF244" i="2"/>
  <c r="DH244" i="2" s="1"/>
  <c r="DE244" i="2"/>
  <c r="CY244" i="2"/>
  <c r="CZ244" i="2" s="1"/>
  <c r="CF244" i="2"/>
  <c r="CH244" i="2"/>
  <c r="CA244" i="2"/>
  <c r="CR244" i="2"/>
  <c r="BO244" i="2"/>
  <c r="BJ244" i="2"/>
  <c r="BK244" i="2" s="1"/>
  <c r="CL244" i="2" s="1"/>
  <c r="BC244" i="2"/>
  <c r="AZ244" i="2"/>
  <c r="AY244" i="2"/>
  <c r="AO244" i="2"/>
  <c r="AN244" i="2"/>
  <c r="AM244" i="2"/>
  <c r="AL244" i="2"/>
  <c r="AK244" i="2"/>
  <c r="AG244" i="2"/>
  <c r="AE244" i="2"/>
  <c r="AF244" i="2" s="1"/>
  <c r="S244" i="2"/>
  <c r="T244" i="2" s="1"/>
  <c r="U244" i="2" s="1"/>
  <c r="R244" i="2"/>
  <c r="GH244" i="2" s="1"/>
  <c r="E244" i="2"/>
  <c r="GR243" i="2"/>
  <c r="GS243" i="2" s="1"/>
  <c r="GP243" i="2"/>
  <c r="GQ243" i="2" s="1"/>
  <c r="GN243" i="2"/>
  <c r="GO243" i="2" s="1"/>
  <c r="GL243" i="2"/>
  <c r="GM243" i="2" s="1"/>
  <c r="GG243" i="2"/>
  <c r="GI243" i="2" s="1"/>
  <c r="GD243" i="2"/>
  <c r="GC243" i="2"/>
  <c r="GB243" i="2"/>
  <c r="FY243" i="2"/>
  <c r="GA243" i="2" s="1"/>
  <c r="FS243" i="2"/>
  <c r="FT243" i="2" s="1"/>
  <c r="EW243" i="2"/>
  <c r="ET243" i="2"/>
  <c r="EU243" i="2" s="1"/>
  <c r="EQ243" i="2"/>
  <c r="ER243" i="2" s="1"/>
  <c r="EJ243" i="2"/>
  <c r="EE243" i="2"/>
  <c r="EF243" i="2" s="1"/>
  <c r="DX243" i="2"/>
  <c r="DP243" i="2"/>
  <c r="DF243" i="2"/>
  <c r="DH243" i="2" s="1"/>
  <c r="DE243" i="2"/>
  <c r="CY243" i="2"/>
  <c r="CZ243" i="2" s="1"/>
  <c r="CF243" i="2"/>
  <c r="CH243" i="2"/>
  <c r="CA243" i="2"/>
  <c r="BO243" i="2"/>
  <c r="BJ243" i="2"/>
  <c r="BK243" i="2" s="1"/>
  <c r="CL243" i="2" s="1"/>
  <c r="BC243" i="2"/>
  <c r="AZ243" i="2"/>
  <c r="AY243" i="2"/>
  <c r="AO243" i="2"/>
  <c r="AN243" i="2"/>
  <c r="AM243" i="2"/>
  <c r="AL243" i="2"/>
  <c r="AK243" i="2"/>
  <c r="AG243" i="2"/>
  <c r="AE243" i="2"/>
  <c r="AF243" i="2" s="1"/>
  <c r="S243" i="2"/>
  <c r="T243" i="2" s="1"/>
  <c r="U243" i="2" s="1"/>
  <c r="R243" i="2"/>
  <c r="GH243" i="2" s="1"/>
  <c r="E243" i="2"/>
  <c r="GR241" i="2"/>
  <c r="GS241" i="2" s="1"/>
  <c r="GP241" i="2"/>
  <c r="GQ241" i="2" s="1"/>
  <c r="GN241" i="2"/>
  <c r="GO241" i="2" s="1"/>
  <c r="GL241" i="2"/>
  <c r="GM241" i="2" s="1"/>
  <c r="GH241" i="2"/>
  <c r="GG241" i="2"/>
  <c r="GI241" i="2" s="1"/>
  <c r="GD241" i="2"/>
  <c r="GC241" i="2"/>
  <c r="GB241" i="2"/>
  <c r="FY241" i="2"/>
  <c r="GA241" i="2" s="1"/>
  <c r="FS241" i="2"/>
  <c r="FT241" i="2" s="1"/>
  <c r="EW241" i="2"/>
  <c r="ET241" i="2"/>
  <c r="EU241" i="2" s="1"/>
  <c r="EQ241" i="2"/>
  <c r="ER241" i="2" s="1"/>
  <c r="EJ241" i="2"/>
  <c r="EE241" i="2"/>
  <c r="EF241" i="2" s="1"/>
  <c r="DX241" i="2"/>
  <c r="DP241" i="2"/>
  <c r="DF241" i="2"/>
  <c r="DH241" i="2" s="1"/>
  <c r="DE241" i="2"/>
  <c r="CY241" i="2"/>
  <c r="CZ241" i="2" s="1"/>
  <c r="CF241" i="2"/>
  <c r="CH241" i="2"/>
  <c r="CA241" i="2"/>
  <c r="CR241" i="2"/>
  <c r="BO241" i="2"/>
  <c r="BJ241" i="2"/>
  <c r="BK241" i="2" s="1"/>
  <c r="CL241" i="2" s="1"/>
  <c r="BC241" i="2"/>
  <c r="AZ241" i="2"/>
  <c r="AY241" i="2"/>
  <c r="AO241" i="2"/>
  <c r="AN241" i="2"/>
  <c r="AM241" i="2"/>
  <c r="AL241" i="2"/>
  <c r="AK241" i="2"/>
  <c r="AG241" i="2"/>
  <c r="AE241" i="2"/>
  <c r="AF241" i="2" s="1"/>
  <c r="U241" i="2"/>
  <c r="S241" i="2"/>
  <c r="T241" i="2" s="1"/>
  <c r="R241" i="2"/>
  <c r="Y241" i="2" s="1"/>
  <c r="E241" i="2"/>
  <c r="GR240" i="2"/>
  <c r="GS240" i="2" s="1"/>
  <c r="GP240" i="2"/>
  <c r="GQ240" i="2" s="1"/>
  <c r="GN240" i="2"/>
  <c r="GO240" i="2" s="1"/>
  <c r="GL240" i="2"/>
  <c r="GM240" i="2" s="1"/>
  <c r="GH240" i="2"/>
  <c r="GG240" i="2"/>
  <c r="GI240" i="2" s="1"/>
  <c r="GD240" i="2"/>
  <c r="GC240" i="2"/>
  <c r="GB240" i="2"/>
  <c r="FY240" i="2"/>
  <c r="GA240" i="2" s="1"/>
  <c r="FS240" i="2"/>
  <c r="FT240" i="2" s="1"/>
  <c r="EW240" i="2"/>
  <c r="ET240" i="2"/>
  <c r="EU240" i="2" s="1"/>
  <c r="EQ240" i="2"/>
  <c r="ER240" i="2" s="1"/>
  <c r="EJ240" i="2"/>
  <c r="EE240" i="2"/>
  <c r="EF240" i="2" s="1"/>
  <c r="DX240" i="2"/>
  <c r="DP240" i="2"/>
  <c r="DF240" i="2"/>
  <c r="DH240" i="2" s="1"/>
  <c r="DE240" i="2"/>
  <c r="CY240" i="2"/>
  <c r="CZ240" i="2" s="1"/>
  <c r="CF240" i="2"/>
  <c r="CH240" i="2"/>
  <c r="CA240" i="2"/>
  <c r="CR240" i="2"/>
  <c r="BO240" i="2"/>
  <c r="BJ240" i="2"/>
  <c r="BK240" i="2" s="1"/>
  <c r="CL240" i="2" s="1"/>
  <c r="BC240" i="2"/>
  <c r="AZ240" i="2"/>
  <c r="AY240" i="2"/>
  <c r="AO240" i="2"/>
  <c r="AN240" i="2"/>
  <c r="AM240" i="2"/>
  <c r="AL240" i="2"/>
  <c r="AK240" i="2"/>
  <c r="AG240" i="2"/>
  <c r="AE240" i="2"/>
  <c r="AF240" i="2" s="1"/>
  <c r="U240" i="2"/>
  <c r="S240" i="2"/>
  <c r="T240" i="2" s="1"/>
  <c r="R240" i="2"/>
  <c r="Y240" i="2" s="1"/>
  <c r="E240" i="2"/>
  <c r="GR239" i="2"/>
  <c r="GS239" i="2" s="1"/>
  <c r="GP239" i="2"/>
  <c r="GQ239" i="2" s="1"/>
  <c r="GN239" i="2"/>
  <c r="GO239" i="2" s="1"/>
  <c r="GL239" i="2"/>
  <c r="GM239" i="2" s="1"/>
  <c r="GH239" i="2"/>
  <c r="GG239" i="2"/>
  <c r="GI239" i="2" s="1"/>
  <c r="GD239" i="2"/>
  <c r="GC239" i="2"/>
  <c r="GB239" i="2"/>
  <c r="FY239" i="2"/>
  <c r="FZ239" i="2" s="1"/>
  <c r="FS239" i="2"/>
  <c r="FT239" i="2" s="1"/>
  <c r="EW239" i="2"/>
  <c r="ET239" i="2"/>
  <c r="EU239" i="2" s="1"/>
  <c r="EQ239" i="2"/>
  <c r="ER239" i="2" s="1"/>
  <c r="EJ239" i="2"/>
  <c r="DX239" i="2"/>
  <c r="DP239" i="2"/>
  <c r="DF239" i="2"/>
  <c r="DH239" i="2" s="1"/>
  <c r="DE239" i="2"/>
  <c r="CY239" i="2"/>
  <c r="CZ239" i="2" s="1"/>
  <c r="CF239" i="2"/>
  <c r="CH239" i="2"/>
  <c r="CA239" i="2"/>
  <c r="BO239" i="2"/>
  <c r="BJ239" i="2"/>
  <c r="BK239" i="2" s="1"/>
  <c r="CL239" i="2" s="1"/>
  <c r="BC239" i="2"/>
  <c r="AZ239" i="2"/>
  <c r="AY239" i="2"/>
  <c r="AO239" i="2"/>
  <c r="AN239" i="2"/>
  <c r="AM239" i="2"/>
  <c r="AL239" i="2"/>
  <c r="AK239" i="2"/>
  <c r="AG239" i="2"/>
  <c r="AE239" i="2"/>
  <c r="AF239" i="2" s="1"/>
  <c r="U239" i="2"/>
  <c r="S239" i="2"/>
  <c r="T239" i="2" s="1"/>
  <c r="R239" i="2"/>
  <c r="X239" i="2" s="1"/>
  <c r="AA239" i="2" s="1"/>
  <c r="E239" i="2"/>
  <c r="GR238" i="2"/>
  <c r="GS238" i="2" s="1"/>
  <c r="GP238" i="2"/>
  <c r="GQ238" i="2" s="1"/>
  <c r="DU238" i="2" s="1"/>
  <c r="GN238" i="2"/>
  <c r="GO238" i="2" s="1"/>
  <c r="GL238" i="2"/>
  <c r="GM238" i="2" s="1"/>
  <c r="GH238" i="2"/>
  <c r="GG238" i="2"/>
  <c r="GI238" i="2" s="1"/>
  <c r="GD238" i="2"/>
  <c r="GC238" i="2"/>
  <c r="GB238" i="2"/>
  <c r="FY238" i="2"/>
  <c r="GA238" i="2" s="1"/>
  <c r="FS238" i="2"/>
  <c r="FT238" i="2" s="1"/>
  <c r="EW238" i="2"/>
  <c r="ET238" i="2"/>
  <c r="EU238" i="2" s="1"/>
  <c r="EQ238" i="2"/>
  <c r="ER238" i="2" s="1"/>
  <c r="EJ238" i="2"/>
  <c r="EE238" i="2"/>
  <c r="EF238" i="2" s="1"/>
  <c r="DX238" i="2"/>
  <c r="DP238" i="2"/>
  <c r="DF238" i="2"/>
  <c r="DG238" i="2" s="1"/>
  <c r="DE238" i="2"/>
  <c r="CY238" i="2"/>
  <c r="CZ238" i="2" s="1"/>
  <c r="CF238" i="2"/>
  <c r="CH238" i="2"/>
  <c r="CA238" i="2"/>
  <c r="CR238" i="2"/>
  <c r="BO238" i="2"/>
  <c r="BJ238" i="2"/>
  <c r="BM238" i="2" s="1"/>
  <c r="BN238" i="2" s="1"/>
  <c r="BC238" i="2"/>
  <c r="AO238" i="2"/>
  <c r="AN238" i="2"/>
  <c r="AM238" i="2"/>
  <c r="AL238" i="2"/>
  <c r="AK238" i="2"/>
  <c r="AG238" i="2"/>
  <c r="AE238" i="2"/>
  <c r="AF238" i="2" s="1"/>
  <c r="U238" i="2"/>
  <c r="S238" i="2"/>
  <c r="R238" i="2"/>
  <c r="X238" i="2" s="1"/>
  <c r="AA238" i="2" s="1"/>
  <c r="E238" i="2"/>
  <c r="GR237" i="2"/>
  <c r="GS237" i="2" s="1"/>
  <c r="GP237" i="2"/>
  <c r="GQ237" i="2" s="1"/>
  <c r="GN237" i="2"/>
  <c r="GO237" i="2" s="1"/>
  <c r="GL237" i="2"/>
  <c r="GM237" i="2" s="1"/>
  <c r="GH237" i="2"/>
  <c r="GG237" i="2"/>
  <c r="GI237" i="2" s="1"/>
  <c r="GD237" i="2"/>
  <c r="GC237" i="2"/>
  <c r="GB237" i="2"/>
  <c r="FY237" i="2"/>
  <c r="FS237" i="2"/>
  <c r="FT237" i="2" s="1"/>
  <c r="EW237" i="2"/>
  <c r="ET237" i="2"/>
  <c r="EU237" i="2" s="1"/>
  <c r="EQ237" i="2"/>
  <c r="ER237" i="2" s="1"/>
  <c r="EJ237" i="2"/>
  <c r="EE237" i="2"/>
  <c r="EF237" i="2" s="1"/>
  <c r="DX237" i="2"/>
  <c r="DP237" i="2"/>
  <c r="DF237" i="2"/>
  <c r="DH237" i="2" s="1"/>
  <c r="DE237" i="2"/>
  <c r="CY237" i="2"/>
  <c r="CZ237" i="2" s="1"/>
  <c r="CF237" i="2"/>
  <c r="CA237" i="2"/>
  <c r="CW237" i="2"/>
  <c r="BO237" i="2"/>
  <c r="BJ237" i="2"/>
  <c r="BM237" i="2" s="1"/>
  <c r="BN237" i="2" s="1"/>
  <c r="BC237" i="2"/>
  <c r="AZ237" i="2"/>
  <c r="AY237" i="2"/>
  <c r="AO237" i="2"/>
  <c r="AN237" i="2"/>
  <c r="AM237" i="2"/>
  <c r="AL237" i="2"/>
  <c r="AK237" i="2"/>
  <c r="AG237" i="2"/>
  <c r="AE237" i="2"/>
  <c r="AF237" i="2" s="1"/>
  <c r="U237" i="2"/>
  <c r="S237" i="2"/>
  <c r="T237" i="2" s="1"/>
  <c r="R237" i="2"/>
  <c r="Y237" i="2" s="1"/>
  <c r="AB237" i="2" s="1"/>
  <c r="E237" i="2"/>
  <c r="GR236" i="2"/>
  <c r="GS236" i="2" s="1"/>
  <c r="GP236" i="2"/>
  <c r="GQ236" i="2" s="1"/>
  <c r="GN236" i="2"/>
  <c r="GO236" i="2" s="1"/>
  <c r="GL236" i="2"/>
  <c r="GM236" i="2" s="1"/>
  <c r="GH236" i="2"/>
  <c r="GG236" i="2"/>
  <c r="GI236" i="2" s="1"/>
  <c r="GD236" i="2"/>
  <c r="GC236" i="2"/>
  <c r="GB236" i="2"/>
  <c r="FY236" i="2"/>
  <c r="GA236" i="2" s="1"/>
  <c r="FS236" i="2"/>
  <c r="FT236" i="2" s="1"/>
  <c r="EW236" i="2"/>
  <c r="ET236" i="2"/>
  <c r="EU236" i="2" s="1"/>
  <c r="EQ236" i="2"/>
  <c r="ER236" i="2" s="1"/>
  <c r="EJ236" i="2"/>
  <c r="EE236" i="2"/>
  <c r="EF236" i="2" s="1"/>
  <c r="DX236" i="2"/>
  <c r="DP236" i="2"/>
  <c r="DF236" i="2"/>
  <c r="DG236" i="2" s="1"/>
  <c r="DE236" i="2"/>
  <c r="CY236" i="2"/>
  <c r="CZ236" i="2" s="1"/>
  <c r="CF236" i="2"/>
  <c r="CA236" i="2"/>
  <c r="CW236" i="2"/>
  <c r="BO236" i="2"/>
  <c r="BJ236" i="2"/>
  <c r="BM236" i="2" s="1"/>
  <c r="BN236" i="2" s="1"/>
  <c r="BC236" i="2"/>
  <c r="AZ236" i="2"/>
  <c r="AY236" i="2"/>
  <c r="AO236" i="2"/>
  <c r="AN236" i="2"/>
  <c r="AM236" i="2"/>
  <c r="AL236" i="2"/>
  <c r="AK236" i="2"/>
  <c r="AG236" i="2"/>
  <c r="AE236" i="2"/>
  <c r="AF236" i="2" s="1"/>
  <c r="U236" i="2"/>
  <c r="S236" i="2"/>
  <c r="R236" i="2"/>
  <c r="Y236" i="2" s="1"/>
  <c r="AB236" i="2" s="1"/>
  <c r="E236" i="2"/>
  <c r="GR235" i="2"/>
  <c r="GS235" i="2" s="1"/>
  <c r="GP235" i="2"/>
  <c r="GQ235" i="2" s="1"/>
  <c r="DU235" i="2" s="1"/>
  <c r="GN235" i="2"/>
  <c r="GO235" i="2" s="1"/>
  <c r="GL235" i="2"/>
  <c r="GM235" i="2" s="1"/>
  <c r="GH235" i="2"/>
  <c r="GG235" i="2"/>
  <c r="GI235" i="2" s="1"/>
  <c r="GD235" i="2"/>
  <c r="GC235" i="2"/>
  <c r="GB235" i="2"/>
  <c r="FY235" i="2"/>
  <c r="FZ235" i="2" s="1"/>
  <c r="FS235" i="2"/>
  <c r="FT235" i="2" s="1"/>
  <c r="EW235" i="2"/>
  <c r="ET235" i="2"/>
  <c r="EU235" i="2" s="1"/>
  <c r="EQ235" i="2"/>
  <c r="ER235" i="2" s="1"/>
  <c r="EJ235" i="2"/>
  <c r="EE235" i="2"/>
  <c r="EF235" i="2" s="1"/>
  <c r="DX235" i="2"/>
  <c r="DP235" i="2"/>
  <c r="DF235" i="2"/>
  <c r="DH235" i="2" s="1"/>
  <c r="DE235" i="2"/>
  <c r="CY235" i="2"/>
  <c r="CZ235" i="2" s="1"/>
  <c r="CF235" i="2"/>
  <c r="CH235" i="2"/>
  <c r="CA235" i="2"/>
  <c r="BO235" i="2"/>
  <c r="BJ235" i="2"/>
  <c r="BM235" i="2" s="1"/>
  <c r="BN235" i="2" s="1"/>
  <c r="BC235" i="2"/>
  <c r="AZ235" i="2"/>
  <c r="AY235" i="2"/>
  <c r="AO235" i="2"/>
  <c r="AN235" i="2"/>
  <c r="AM235" i="2"/>
  <c r="AL235" i="2"/>
  <c r="AK235" i="2"/>
  <c r="AG235" i="2"/>
  <c r="AE235" i="2"/>
  <c r="AF235" i="2" s="1"/>
  <c r="U235" i="2"/>
  <c r="S235" i="2"/>
  <c r="T235" i="2" s="1"/>
  <c r="R235" i="2"/>
  <c r="Y235" i="2" s="1"/>
  <c r="E235" i="2"/>
  <c r="GR234" i="2"/>
  <c r="GS234" i="2" s="1"/>
  <c r="GP234" i="2"/>
  <c r="GQ234" i="2" s="1"/>
  <c r="DU234" i="2" s="1"/>
  <c r="EI234" i="2" s="1"/>
  <c r="GN234" i="2"/>
  <c r="GO234" i="2" s="1"/>
  <c r="GL234" i="2"/>
  <c r="GM234" i="2" s="1"/>
  <c r="GH234" i="2"/>
  <c r="GG234" i="2"/>
  <c r="GI234" i="2" s="1"/>
  <c r="GD234" i="2"/>
  <c r="GC234" i="2"/>
  <c r="GB234" i="2"/>
  <c r="FY234" i="2"/>
  <c r="FZ234" i="2" s="1"/>
  <c r="FS234" i="2"/>
  <c r="FT234" i="2" s="1"/>
  <c r="EW234" i="2"/>
  <c r="ET234" i="2"/>
  <c r="EU234" i="2" s="1"/>
  <c r="EQ234" i="2"/>
  <c r="ER234" i="2" s="1"/>
  <c r="EJ234" i="2"/>
  <c r="EE234" i="2"/>
  <c r="EF234" i="2" s="1"/>
  <c r="DX234" i="2"/>
  <c r="DP234" i="2"/>
  <c r="DF234" i="2"/>
  <c r="DG234" i="2" s="1"/>
  <c r="DE234" i="2"/>
  <c r="CY234" i="2"/>
  <c r="CZ234" i="2" s="1"/>
  <c r="CF234" i="2"/>
  <c r="CH234" i="2"/>
  <c r="CA234" i="2"/>
  <c r="BO234" i="2"/>
  <c r="BJ234" i="2"/>
  <c r="BK234" i="2" s="1"/>
  <c r="CL234" i="2" s="1"/>
  <c r="BC234" i="2"/>
  <c r="AZ234" i="2"/>
  <c r="AY234" i="2"/>
  <c r="AO234" i="2"/>
  <c r="AN234" i="2"/>
  <c r="AM234" i="2"/>
  <c r="AL234" i="2"/>
  <c r="AK234" i="2"/>
  <c r="AG234" i="2"/>
  <c r="AE234" i="2"/>
  <c r="AF234" i="2" s="1"/>
  <c r="U234" i="2"/>
  <c r="S234" i="2"/>
  <c r="T234" i="2" s="1"/>
  <c r="R234" i="2"/>
  <c r="Y234" i="2" s="1"/>
  <c r="AB234" i="2" s="1"/>
  <c r="E234" i="2"/>
  <c r="GR233" i="2"/>
  <c r="GS233" i="2" s="1"/>
  <c r="GP233" i="2"/>
  <c r="GQ233" i="2" s="1"/>
  <c r="DU233" i="2" s="1"/>
  <c r="EI233" i="2" s="1"/>
  <c r="GN233" i="2"/>
  <c r="GO233" i="2" s="1"/>
  <c r="GL233" i="2"/>
  <c r="GM233" i="2" s="1"/>
  <c r="GH233" i="2"/>
  <c r="GG233" i="2"/>
  <c r="GI233" i="2" s="1"/>
  <c r="GD233" i="2"/>
  <c r="GC233" i="2"/>
  <c r="GB233" i="2"/>
  <c r="FY233" i="2"/>
  <c r="FZ233" i="2" s="1"/>
  <c r="FS233" i="2"/>
  <c r="FT233" i="2" s="1"/>
  <c r="EW233" i="2"/>
  <c r="ET233" i="2"/>
  <c r="EU233" i="2" s="1"/>
  <c r="EQ233" i="2"/>
  <c r="ER233" i="2" s="1"/>
  <c r="EJ233" i="2"/>
  <c r="EE233" i="2"/>
  <c r="EF233" i="2" s="1"/>
  <c r="DX233" i="2"/>
  <c r="DP233" i="2"/>
  <c r="DF233" i="2"/>
  <c r="DG233" i="2" s="1"/>
  <c r="DE233" i="2"/>
  <c r="CY233" i="2"/>
  <c r="CZ233" i="2" s="1"/>
  <c r="CF233" i="2"/>
  <c r="CH233" i="2"/>
  <c r="CA233" i="2"/>
  <c r="BO233" i="2"/>
  <c r="BJ233" i="2"/>
  <c r="BK233" i="2" s="1"/>
  <c r="CL233" i="2" s="1"/>
  <c r="BC233" i="2"/>
  <c r="AZ233" i="2"/>
  <c r="AY233" i="2"/>
  <c r="AO233" i="2"/>
  <c r="AN233" i="2"/>
  <c r="AM233" i="2"/>
  <c r="AL233" i="2"/>
  <c r="AK233" i="2"/>
  <c r="AG233" i="2"/>
  <c r="AE233" i="2"/>
  <c r="AF233" i="2" s="1"/>
  <c r="U233" i="2"/>
  <c r="S233" i="2"/>
  <c r="T233" i="2" s="1"/>
  <c r="R233" i="2"/>
  <c r="Y233" i="2" s="1"/>
  <c r="AB233" i="2" s="1"/>
  <c r="E233" i="2"/>
  <c r="GR232" i="2"/>
  <c r="GS232" i="2" s="1"/>
  <c r="GP232" i="2"/>
  <c r="GQ232" i="2" s="1"/>
  <c r="GN232" i="2"/>
  <c r="GO232" i="2" s="1"/>
  <c r="GL232" i="2"/>
  <c r="GM232" i="2" s="1"/>
  <c r="GH232" i="2"/>
  <c r="GG232" i="2"/>
  <c r="GI232" i="2" s="1"/>
  <c r="GD232" i="2"/>
  <c r="GC232" i="2"/>
  <c r="GB232" i="2"/>
  <c r="FY232" i="2"/>
  <c r="FZ232" i="2" s="1"/>
  <c r="FS232" i="2"/>
  <c r="FT232" i="2" s="1"/>
  <c r="EW232" i="2"/>
  <c r="ET232" i="2"/>
  <c r="EU232" i="2" s="1"/>
  <c r="EQ232" i="2"/>
  <c r="ER232" i="2" s="1"/>
  <c r="EJ232" i="2"/>
  <c r="EE232" i="2"/>
  <c r="EF232" i="2" s="1"/>
  <c r="DX232" i="2"/>
  <c r="DP232" i="2"/>
  <c r="DF232" i="2"/>
  <c r="DG232" i="2" s="1"/>
  <c r="DE232" i="2"/>
  <c r="CY232" i="2"/>
  <c r="CZ232" i="2" s="1"/>
  <c r="CF232" i="2"/>
  <c r="CH232" i="2"/>
  <c r="CA232" i="2"/>
  <c r="BO232" i="2"/>
  <c r="BJ232" i="2"/>
  <c r="BK232" i="2" s="1"/>
  <c r="CL232" i="2" s="1"/>
  <c r="BC232" i="2"/>
  <c r="AZ232" i="2"/>
  <c r="AY232" i="2"/>
  <c r="AO232" i="2"/>
  <c r="AN232" i="2"/>
  <c r="AM232" i="2"/>
  <c r="AL232" i="2"/>
  <c r="AK232" i="2"/>
  <c r="AG232" i="2"/>
  <c r="AE232" i="2"/>
  <c r="AF232" i="2" s="1"/>
  <c r="U232" i="2"/>
  <c r="S232" i="2"/>
  <c r="T232" i="2" s="1"/>
  <c r="R232" i="2"/>
  <c r="Y232" i="2" s="1"/>
  <c r="AB232" i="2" s="1"/>
  <c r="E232" i="2"/>
  <c r="GR231" i="2"/>
  <c r="GS231" i="2" s="1"/>
  <c r="GP231" i="2"/>
  <c r="GQ231" i="2" s="1"/>
  <c r="DU231" i="2" s="1"/>
  <c r="EI231" i="2" s="1"/>
  <c r="GN231" i="2"/>
  <c r="GO231" i="2" s="1"/>
  <c r="GL231" i="2"/>
  <c r="GM231" i="2" s="1"/>
  <c r="GH231" i="2"/>
  <c r="GG231" i="2"/>
  <c r="GI231" i="2" s="1"/>
  <c r="GD231" i="2"/>
  <c r="GC231" i="2"/>
  <c r="GB231" i="2"/>
  <c r="FY231" i="2"/>
  <c r="FZ231" i="2" s="1"/>
  <c r="FS231" i="2"/>
  <c r="FT231" i="2" s="1"/>
  <c r="EW231" i="2"/>
  <c r="ET231" i="2"/>
  <c r="EU231" i="2" s="1"/>
  <c r="EQ231" i="2"/>
  <c r="ER231" i="2" s="1"/>
  <c r="EJ231" i="2"/>
  <c r="EE231" i="2"/>
  <c r="EF231" i="2" s="1"/>
  <c r="DX231" i="2"/>
  <c r="DP231" i="2"/>
  <c r="DF231" i="2"/>
  <c r="DG231" i="2" s="1"/>
  <c r="DE231" i="2"/>
  <c r="CY231" i="2"/>
  <c r="CZ231" i="2" s="1"/>
  <c r="CF231" i="2"/>
  <c r="CA231" i="2"/>
  <c r="BO231" i="2"/>
  <c r="BJ231" i="2"/>
  <c r="BM231" i="2" s="1"/>
  <c r="BN231" i="2" s="1"/>
  <c r="BC231" i="2"/>
  <c r="AZ231" i="2"/>
  <c r="AY231" i="2"/>
  <c r="AO231" i="2"/>
  <c r="AN231" i="2"/>
  <c r="AM231" i="2"/>
  <c r="AL231" i="2"/>
  <c r="AK231" i="2"/>
  <c r="AG231" i="2"/>
  <c r="AE231" i="2"/>
  <c r="AF231" i="2" s="1"/>
  <c r="U231" i="2"/>
  <c r="S231" i="2"/>
  <c r="T231" i="2" s="1"/>
  <c r="R231" i="2"/>
  <c r="Y231" i="2" s="1"/>
  <c r="AB231" i="2" s="1"/>
  <c r="E231" i="2"/>
  <c r="GR230" i="2"/>
  <c r="GS230" i="2" s="1"/>
  <c r="GP230" i="2"/>
  <c r="GQ230" i="2" s="1"/>
  <c r="DU230" i="2" s="1"/>
  <c r="EI230" i="2" s="1"/>
  <c r="GN230" i="2"/>
  <c r="GO230" i="2" s="1"/>
  <c r="GL230" i="2"/>
  <c r="GM230" i="2" s="1"/>
  <c r="GH230" i="2"/>
  <c r="GG230" i="2"/>
  <c r="GI230" i="2" s="1"/>
  <c r="GD230" i="2"/>
  <c r="GC230" i="2"/>
  <c r="GB230" i="2"/>
  <c r="FY230" i="2"/>
  <c r="FZ230" i="2" s="1"/>
  <c r="FS230" i="2"/>
  <c r="FT230" i="2" s="1"/>
  <c r="EW230" i="2"/>
  <c r="ET230" i="2"/>
  <c r="EU230" i="2" s="1"/>
  <c r="EQ230" i="2"/>
  <c r="ER230" i="2" s="1"/>
  <c r="EJ230" i="2"/>
  <c r="EE230" i="2"/>
  <c r="EF230" i="2" s="1"/>
  <c r="DX230" i="2"/>
  <c r="DP230" i="2"/>
  <c r="DF230" i="2"/>
  <c r="DG230" i="2" s="1"/>
  <c r="DE230" i="2"/>
  <c r="CY230" i="2"/>
  <c r="CZ230" i="2" s="1"/>
  <c r="CF230" i="2"/>
  <c r="CH230" i="2"/>
  <c r="CA230" i="2"/>
  <c r="BO230" i="2"/>
  <c r="BJ230" i="2"/>
  <c r="BM230" i="2" s="1"/>
  <c r="BN230" i="2" s="1"/>
  <c r="BC230" i="2"/>
  <c r="AZ230" i="2"/>
  <c r="AY230" i="2"/>
  <c r="AO230" i="2"/>
  <c r="AN230" i="2"/>
  <c r="AM230" i="2"/>
  <c r="AL230" i="2"/>
  <c r="AK230" i="2"/>
  <c r="AG230" i="2"/>
  <c r="AE230" i="2"/>
  <c r="AF230" i="2" s="1"/>
  <c r="U230" i="2"/>
  <c r="S230" i="2"/>
  <c r="T230" i="2" s="1"/>
  <c r="R230" i="2"/>
  <c r="E230" i="2"/>
  <c r="GR229" i="2"/>
  <c r="GS229" i="2" s="1"/>
  <c r="GP229" i="2"/>
  <c r="GQ229" i="2" s="1"/>
  <c r="DO229" i="2" s="1"/>
  <c r="EH229" i="2" s="1"/>
  <c r="GN229" i="2"/>
  <c r="GO229" i="2" s="1"/>
  <c r="GL229" i="2"/>
  <c r="GM229" i="2" s="1"/>
  <c r="GH229" i="2"/>
  <c r="GG229" i="2"/>
  <c r="GI229" i="2" s="1"/>
  <c r="GD229" i="2"/>
  <c r="GC229" i="2"/>
  <c r="GB229" i="2"/>
  <c r="FY229" i="2"/>
  <c r="FZ229" i="2" s="1"/>
  <c r="FS229" i="2"/>
  <c r="FT229" i="2" s="1"/>
  <c r="EW229" i="2"/>
  <c r="ET229" i="2"/>
  <c r="EU229" i="2" s="1"/>
  <c r="EQ229" i="2"/>
  <c r="ER229" i="2" s="1"/>
  <c r="EJ229" i="2"/>
  <c r="EE229" i="2"/>
  <c r="EF229" i="2" s="1"/>
  <c r="DX229" i="2"/>
  <c r="DP229" i="2"/>
  <c r="DF229" i="2"/>
  <c r="DH229" i="2" s="1"/>
  <c r="DE229" i="2"/>
  <c r="CY229" i="2"/>
  <c r="CZ229" i="2" s="1"/>
  <c r="CF229" i="2"/>
  <c r="CH229" i="2"/>
  <c r="CA229" i="2"/>
  <c r="DA229" i="2"/>
  <c r="DB229" i="2" s="1"/>
  <c r="BO229" i="2"/>
  <c r="BJ229" i="2"/>
  <c r="BC229" i="2"/>
  <c r="AZ229" i="2"/>
  <c r="AY229" i="2"/>
  <c r="AO229" i="2"/>
  <c r="AN229" i="2"/>
  <c r="AM229" i="2"/>
  <c r="AL229" i="2"/>
  <c r="AK229" i="2"/>
  <c r="AG229" i="2"/>
  <c r="AE229" i="2"/>
  <c r="AF229" i="2" s="1"/>
  <c r="U229" i="2"/>
  <c r="S229" i="2"/>
  <c r="R229" i="2"/>
  <c r="X229" i="2" s="1"/>
  <c r="E229" i="2"/>
  <c r="GR228" i="2"/>
  <c r="GS228" i="2" s="1"/>
  <c r="GP228" i="2"/>
  <c r="GQ228" i="2" s="1"/>
  <c r="GN228" i="2"/>
  <c r="GO228" i="2" s="1"/>
  <c r="GL228" i="2"/>
  <c r="GM228" i="2" s="1"/>
  <c r="GH228" i="2"/>
  <c r="GG228" i="2"/>
  <c r="GI228" i="2" s="1"/>
  <c r="GD228" i="2"/>
  <c r="GC228" i="2"/>
  <c r="GB228" i="2"/>
  <c r="FY228" i="2"/>
  <c r="GA228" i="2" s="1"/>
  <c r="FS228" i="2"/>
  <c r="FT228" i="2" s="1"/>
  <c r="EW228" i="2"/>
  <c r="ET228" i="2"/>
  <c r="EU228" i="2" s="1"/>
  <c r="EQ228" i="2"/>
  <c r="ER228" i="2" s="1"/>
  <c r="EJ228" i="2"/>
  <c r="EE228" i="2"/>
  <c r="EF228" i="2" s="1"/>
  <c r="DX228" i="2"/>
  <c r="DP228" i="2"/>
  <c r="DF228" i="2"/>
  <c r="DH228" i="2" s="1"/>
  <c r="DE228" i="2"/>
  <c r="CY228" i="2"/>
  <c r="CZ228" i="2" s="1"/>
  <c r="CF228" i="2"/>
  <c r="CH228" i="2"/>
  <c r="CA228" i="2"/>
  <c r="CR228" i="2"/>
  <c r="BO228" i="2"/>
  <c r="BJ228" i="2"/>
  <c r="BK228" i="2" s="1"/>
  <c r="CL228" i="2" s="1"/>
  <c r="BC228" i="2"/>
  <c r="AZ228" i="2"/>
  <c r="AY228" i="2"/>
  <c r="AO228" i="2"/>
  <c r="AN228" i="2"/>
  <c r="AM228" i="2"/>
  <c r="AL228" i="2"/>
  <c r="AK228" i="2"/>
  <c r="AG228" i="2"/>
  <c r="AE228" i="2"/>
  <c r="AF228" i="2" s="1"/>
  <c r="U228" i="2"/>
  <c r="S228" i="2"/>
  <c r="T228" i="2" s="1"/>
  <c r="R228" i="2"/>
  <c r="X228" i="2" s="1"/>
  <c r="AA228" i="2" s="1"/>
  <c r="E228" i="2"/>
  <c r="GR227" i="2"/>
  <c r="GS227" i="2" s="1"/>
  <c r="GP227" i="2"/>
  <c r="GQ227" i="2" s="1"/>
  <c r="DU227" i="2" s="1"/>
  <c r="GN227" i="2"/>
  <c r="GO227" i="2" s="1"/>
  <c r="GL227" i="2"/>
  <c r="GM227" i="2" s="1"/>
  <c r="GH227" i="2"/>
  <c r="GG227" i="2"/>
  <c r="GI227" i="2" s="1"/>
  <c r="GD227" i="2"/>
  <c r="GC227" i="2"/>
  <c r="GB227" i="2"/>
  <c r="FY227" i="2"/>
  <c r="GA227" i="2" s="1"/>
  <c r="FS227" i="2"/>
  <c r="FT227" i="2" s="1"/>
  <c r="EW227" i="2"/>
  <c r="ET227" i="2"/>
  <c r="EU227" i="2" s="1"/>
  <c r="EQ227" i="2"/>
  <c r="ER227" i="2" s="1"/>
  <c r="EJ227" i="2"/>
  <c r="EE227" i="2"/>
  <c r="EF227" i="2" s="1"/>
  <c r="DX227" i="2"/>
  <c r="DP227" i="2"/>
  <c r="DF227" i="2"/>
  <c r="DH227" i="2" s="1"/>
  <c r="DE227" i="2"/>
  <c r="CY227" i="2"/>
  <c r="CZ227" i="2" s="1"/>
  <c r="CF227" i="2"/>
  <c r="CH227" i="2"/>
  <c r="CA227" i="2"/>
  <c r="BO227" i="2"/>
  <c r="BJ227" i="2"/>
  <c r="BK227" i="2" s="1"/>
  <c r="CL227" i="2" s="1"/>
  <c r="BC227" i="2"/>
  <c r="AZ227" i="2"/>
  <c r="AY227" i="2"/>
  <c r="AO227" i="2"/>
  <c r="AN227" i="2"/>
  <c r="AM227" i="2"/>
  <c r="AL227" i="2"/>
  <c r="AK227" i="2"/>
  <c r="AG227" i="2"/>
  <c r="AE227" i="2"/>
  <c r="AF227" i="2" s="1"/>
  <c r="U227" i="2"/>
  <c r="S227" i="2"/>
  <c r="T227" i="2" s="1"/>
  <c r="R227" i="2"/>
  <c r="X227" i="2" s="1"/>
  <c r="E227" i="2"/>
  <c r="GR226" i="2"/>
  <c r="GS226" i="2" s="1"/>
  <c r="GP226" i="2"/>
  <c r="GQ226" i="2" s="1"/>
  <c r="GN226" i="2"/>
  <c r="GO226" i="2" s="1"/>
  <c r="GL226" i="2"/>
  <c r="GM226" i="2" s="1"/>
  <c r="GH226" i="2"/>
  <c r="GG226" i="2"/>
  <c r="GI226" i="2" s="1"/>
  <c r="GD226" i="2"/>
  <c r="GC226" i="2"/>
  <c r="GB226" i="2"/>
  <c r="FY226" i="2"/>
  <c r="FZ226" i="2" s="1"/>
  <c r="FS226" i="2"/>
  <c r="FT226" i="2" s="1"/>
  <c r="EW226" i="2"/>
  <c r="ET226" i="2"/>
  <c r="EU226" i="2" s="1"/>
  <c r="EQ226" i="2"/>
  <c r="ER226" i="2" s="1"/>
  <c r="EJ226" i="2"/>
  <c r="EE226" i="2"/>
  <c r="EF226" i="2" s="1"/>
  <c r="DX226" i="2"/>
  <c r="DP226" i="2"/>
  <c r="DF226" i="2"/>
  <c r="DG226" i="2" s="1"/>
  <c r="DE226" i="2"/>
  <c r="CY226" i="2"/>
  <c r="CZ226" i="2" s="1"/>
  <c r="CF226" i="2"/>
  <c r="CA226" i="2"/>
  <c r="DA226" i="2"/>
  <c r="DB226" i="2" s="1"/>
  <c r="BO226" i="2"/>
  <c r="BJ226" i="2"/>
  <c r="BM226" i="2" s="1"/>
  <c r="BN226" i="2" s="1"/>
  <c r="BC226" i="2"/>
  <c r="AZ226" i="2"/>
  <c r="AY226" i="2"/>
  <c r="AO226" i="2"/>
  <c r="AN226" i="2"/>
  <c r="AM226" i="2"/>
  <c r="AL226" i="2"/>
  <c r="AK226" i="2"/>
  <c r="AG226" i="2"/>
  <c r="AE226" i="2"/>
  <c r="AF226" i="2" s="1"/>
  <c r="U226" i="2"/>
  <c r="S226" i="2"/>
  <c r="R226" i="2"/>
  <c r="X226" i="2" s="1"/>
  <c r="E226" i="2"/>
  <c r="GR225" i="2"/>
  <c r="GS225" i="2" s="1"/>
  <c r="GP225" i="2"/>
  <c r="GQ225" i="2" s="1"/>
  <c r="GN225" i="2"/>
  <c r="GO225" i="2" s="1"/>
  <c r="GL225" i="2"/>
  <c r="GM225" i="2" s="1"/>
  <c r="GH225" i="2"/>
  <c r="GG225" i="2"/>
  <c r="GI225" i="2" s="1"/>
  <c r="GD225" i="2"/>
  <c r="GC225" i="2"/>
  <c r="GB225" i="2"/>
  <c r="FY225" i="2"/>
  <c r="FZ225" i="2" s="1"/>
  <c r="FS225" i="2"/>
  <c r="FT225" i="2" s="1"/>
  <c r="EW225" i="2"/>
  <c r="ET225" i="2"/>
  <c r="EU225" i="2" s="1"/>
  <c r="EQ225" i="2"/>
  <c r="ER225" i="2" s="1"/>
  <c r="EJ225" i="2"/>
  <c r="EE225" i="2"/>
  <c r="EF225" i="2" s="1"/>
  <c r="DX225" i="2"/>
  <c r="DP225" i="2"/>
  <c r="DF225" i="2"/>
  <c r="DG225" i="2" s="1"/>
  <c r="DE225" i="2"/>
  <c r="CY225" i="2"/>
  <c r="CZ225" i="2" s="1"/>
  <c r="CF225" i="2"/>
  <c r="CA225" i="2"/>
  <c r="DA225" i="2"/>
  <c r="DB225" i="2" s="1"/>
  <c r="BO225" i="2"/>
  <c r="BJ225" i="2"/>
  <c r="BM225" i="2" s="1"/>
  <c r="BN225" i="2" s="1"/>
  <c r="BC225" i="2"/>
  <c r="AZ225" i="2"/>
  <c r="AY225" i="2"/>
  <c r="AO225" i="2"/>
  <c r="AN225" i="2"/>
  <c r="AM225" i="2"/>
  <c r="AL225" i="2"/>
  <c r="AK225" i="2"/>
  <c r="AG225" i="2"/>
  <c r="AE225" i="2"/>
  <c r="AF225" i="2" s="1"/>
  <c r="U225" i="2"/>
  <c r="S225" i="2"/>
  <c r="T225" i="2" s="1"/>
  <c r="R225" i="2"/>
  <c r="X225" i="2" s="1"/>
  <c r="E225" i="2"/>
  <c r="GR224" i="2"/>
  <c r="GS224" i="2" s="1"/>
  <c r="GP224" i="2"/>
  <c r="GQ224" i="2" s="1"/>
  <c r="GN224" i="2"/>
  <c r="GO224" i="2" s="1"/>
  <c r="GL224" i="2"/>
  <c r="GM224" i="2" s="1"/>
  <c r="GH224" i="2"/>
  <c r="GG224" i="2"/>
  <c r="GI224" i="2" s="1"/>
  <c r="GD224" i="2"/>
  <c r="GC224" i="2"/>
  <c r="GB224" i="2"/>
  <c r="FY224" i="2"/>
  <c r="FZ224" i="2" s="1"/>
  <c r="FS224" i="2"/>
  <c r="FT224" i="2" s="1"/>
  <c r="EW224" i="2"/>
  <c r="ET224" i="2"/>
  <c r="EU224" i="2" s="1"/>
  <c r="EQ224" i="2"/>
  <c r="ER224" i="2" s="1"/>
  <c r="EJ224" i="2"/>
  <c r="EE224" i="2"/>
  <c r="EF224" i="2" s="1"/>
  <c r="DX224" i="2"/>
  <c r="DP224" i="2"/>
  <c r="DF224" i="2"/>
  <c r="DG224" i="2" s="1"/>
  <c r="DE224" i="2"/>
  <c r="CY224" i="2"/>
  <c r="CZ224" i="2" s="1"/>
  <c r="CF224" i="2"/>
  <c r="CH224" i="2"/>
  <c r="CA224" i="2"/>
  <c r="DA224" i="2"/>
  <c r="DB224" i="2" s="1"/>
  <c r="BO224" i="2"/>
  <c r="BJ224" i="2"/>
  <c r="BM224" i="2" s="1"/>
  <c r="BN224" i="2" s="1"/>
  <c r="BC224" i="2"/>
  <c r="AZ224" i="2"/>
  <c r="AY224" i="2"/>
  <c r="AO224" i="2"/>
  <c r="AN224" i="2"/>
  <c r="AM224" i="2"/>
  <c r="AL224" i="2"/>
  <c r="AK224" i="2"/>
  <c r="AG224" i="2"/>
  <c r="AE224" i="2"/>
  <c r="AF224" i="2" s="1"/>
  <c r="U224" i="2"/>
  <c r="S224" i="2"/>
  <c r="R224" i="2"/>
  <c r="Y224" i="2" s="1"/>
  <c r="AB224" i="2" s="1"/>
  <c r="E224" i="2"/>
  <c r="GR223" i="2"/>
  <c r="GS223" i="2" s="1"/>
  <c r="GP223" i="2"/>
  <c r="GQ223" i="2" s="1"/>
  <c r="GN223" i="2"/>
  <c r="GO223" i="2" s="1"/>
  <c r="GL223" i="2"/>
  <c r="GM223" i="2" s="1"/>
  <c r="GH223" i="2"/>
  <c r="GG223" i="2"/>
  <c r="GI223" i="2" s="1"/>
  <c r="GD223" i="2"/>
  <c r="GC223" i="2"/>
  <c r="GB223" i="2"/>
  <c r="FY223" i="2"/>
  <c r="FZ223" i="2" s="1"/>
  <c r="FS223" i="2"/>
  <c r="FT223" i="2" s="1"/>
  <c r="EW223" i="2"/>
  <c r="ET223" i="2"/>
  <c r="EU223" i="2" s="1"/>
  <c r="EQ223" i="2"/>
  <c r="ER223" i="2" s="1"/>
  <c r="EJ223" i="2"/>
  <c r="EE223" i="2"/>
  <c r="EF223" i="2" s="1"/>
  <c r="DX223" i="2"/>
  <c r="DP223" i="2"/>
  <c r="DF223" i="2"/>
  <c r="DG223" i="2" s="1"/>
  <c r="DE223" i="2"/>
  <c r="CY223" i="2"/>
  <c r="CZ223" i="2" s="1"/>
  <c r="CF223" i="2"/>
  <c r="CH223" i="2"/>
  <c r="CA223" i="2"/>
  <c r="DA223" i="2"/>
  <c r="DB223" i="2" s="1"/>
  <c r="BO223" i="2"/>
  <c r="BJ223" i="2"/>
  <c r="BM223" i="2" s="1"/>
  <c r="BN223" i="2" s="1"/>
  <c r="BC223" i="2"/>
  <c r="AZ223" i="2"/>
  <c r="AY223" i="2"/>
  <c r="AO223" i="2"/>
  <c r="AN223" i="2"/>
  <c r="AM223" i="2"/>
  <c r="AL223" i="2"/>
  <c r="AK223" i="2"/>
  <c r="AG223" i="2"/>
  <c r="AE223" i="2"/>
  <c r="AF223" i="2" s="1"/>
  <c r="U223" i="2"/>
  <c r="S223" i="2"/>
  <c r="R223" i="2"/>
  <c r="Y223" i="2" s="1"/>
  <c r="AB223" i="2" s="1"/>
  <c r="E223" i="2"/>
  <c r="GR222" i="2"/>
  <c r="GS222" i="2" s="1"/>
  <c r="GP222" i="2"/>
  <c r="GQ222" i="2" s="1"/>
  <c r="GN222" i="2"/>
  <c r="GO222" i="2" s="1"/>
  <c r="GL222" i="2"/>
  <c r="GM222" i="2" s="1"/>
  <c r="GH222" i="2"/>
  <c r="GG222" i="2"/>
  <c r="GI222" i="2" s="1"/>
  <c r="GD222" i="2"/>
  <c r="GC222" i="2"/>
  <c r="GB222" i="2"/>
  <c r="FY222" i="2"/>
  <c r="FZ222" i="2" s="1"/>
  <c r="FS222" i="2"/>
  <c r="FT222" i="2" s="1"/>
  <c r="EW222" i="2"/>
  <c r="ET222" i="2"/>
  <c r="EU222" i="2" s="1"/>
  <c r="EQ222" i="2"/>
  <c r="ER222" i="2" s="1"/>
  <c r="EJ222" i="2"/>
  <c r="EE222" i="2"/>
  <c r="EF222" i="2" s="1"/>
  <c r="DX222" i="2"/>
  <c r="DP222" i="2"/>
  <c r="DF222" i="2"/>
  <c r="DG222" i="2" s="1"/>
  <c r="DE222" i="2"/>
  <c r="CY222" i="2"/>
  <c r="CZ222" i="2" s="1"/>
  <c r="CF222" i="2"/>
  <c r="CH222" i="2"/>
  <c r="CA222" i="2"/>
  <c r="DA222" i="2"/>
  <c r="DB222" i="2" s="1"/>
  <c r="BO222" i="2"/>
  <c r="BJ222" i="2"/>
  <c r="BM222" i="2" s="1"/>
  <c r="BN222" i="2" s="1"/>
  <c r="BC222" i="2"/>
  <c r="AZ222" i="2"/>
  <c r="AY222" i="2"/>
  <c r="AO222" i="2"/>
  <c r="AN222" i="2"/>
  <c r="AM222" i="2"/>
  <c r="AL222" i="2"/>
  <c r="AK222" i="2"/>
  <c r="AG222" i="2"/>
  <c r="AE222" i="2"/>
  <c r="AF222" i="2" s="1"/>
  <c r="U222" i="2"/>
  <c r="S222" i="2"/>
  <c r="T222" i="2" s="1"/>
  <c r="R222" i="2"/>
  <c r="X222" i="2" s="1"/>
  <c r="AA222" i="2" s="1"/>
  <c r="E222" i="2"/>
  <c r="GR221" i="2"/>
  <c r="GS221" i="2" s="1"/>
  <c r="GP221" i="2"/>
  <c r="GQ221" i="2" s="1"/>
  <c r="DO221" i="2" s="1"/>
  <c r="GN221" i="2"/>
  <c r="GO221" i="2" s="1"/>
  <c r="GL221" i="2"/>
  <c r="GM221" i="2" s="1"/>
  <c r="GH221" i="2"/>
  <c r="GG221" i="2"/>
  <c r="GI221" i="2" s="1"/>
  <c r="GD221" i="2"/>
  <c r="GC221" i="2"/>
  <c r="GB221" i="2"/>
  <c r="FY221" i="2"/>
  <c r="FZ221" i="2" s="1"/>
  <c r="FS221" i="2"/>
  <c r="FT221" i="2" s="1"/>
  <c r="EW221" i="2"/>
  <c r="ET221" i="2"/>
  <c r="EU221" i="2" s="1"/>
  <c r="EQ221" i="2"/>
  <c r="ER221" i="2" s="1"/>
  <c r="EJ221" i="2"/>
  <c r="EE221" i="2"/>
  <c r="EF221" i="2" s="1"/>
  <c r="DX221" i="2"/>
  <c r="DP221" i="2"/>
  <c r="DF221" i="2"/>
  <c r="DG221" i="2" s="1"/>
  <c r="DE221" i="2"/>
  <c r="CY221" i="2"/>
  <c r="CZ221" i="2" s="1"/>
  <c r="CF221" i="2"/>
  <c r="CH221" i="2"/>
  <c r="CA221" i="2"/>
  <c r="CW221" i="2"/>
  <c r="BO221" i="2"/>
  <c r="BJ221" i="2"/>
  <c r="BM221" i="2" s="1"/>
  <c r="BN221" i="2" s="1"/>
  <c r="BC221" i="2"/>
  <c r="AZ221" i="2"/>
  <c r="AY221" i="2"/>
  <c r="AO221" i="2"/>
  <c r="AN221" i="2"/>
  <c r="AM221" i="2"/>
  <c r="AL221" i="2"/>
  <c r="AK221" i="2"/>
  <c r="AG221" i="2"/>
  <c r="AE221" i="2"/>
  <c r="AF221" i="2" s="1"/>
  <c r="U221" i="2"/>
  <c r="S221" i="2"/>
  <c r="R221" i="2"/>
  <c r="Y221" i="2" s="1"/>
  <c r="E221" i="2"/>
  <c r="GR242" i="2"/>
  <c r="GS242" i="2" s="1"/>
  <c r="GP242" i="2"/>
  <c r="GQ242" i="2" s="1"/>
  <c r="DO242" i="2" s="1"/>
  <c r="DS242" i="2" s="1"/>
  <c r="GN242" i="2"/>
  <c r="GO242" i="2" s="1"/>
  <c r="GL242" i="2"/>
  <c r="GM242" i="2" s="1"/>
  <c r="GG242" i="2"/>
  <c r="GI242" i="2" s="1"/>
  <c r="GD242" i="2"/>
  <c r="GC242" i="2"/>
  <c r="GB242" i="2"/>
  <c r="FY242" i="2"/>
  <c r="GA242" i="2" s="1"/>
  <c r="FS242" i="2"/>
  <c r="FT242" i="2" s="1"/>
  <c r="EW242" i="2"/>
  <c r="ET242" i="2"/>
  <c r="EU242" i="2" s="1"/>
  <c r="EQ242" i="2"/>
  <c r="ER242" i="2" s="1"/>
  <c r="EJ242" i="2"/>
  <c r="EE242" i="2"/>
  <c r="EF242" i="2" s="1"/>
  <c r="DX242" i="2"/>
  <c r="DP242" i="2"/>
  <c r="DF242" i="2"/>
  <c r="DG242" i="2" s="1"/>
  <c r="DE242" i="2"/>
  <c r="CY242" i="2"/>
  <c r="CZ242" i="2" s="1"/>
  <c r="CF242" i="2"/>
  <c r="CA242" i="2"/>
  <c r="CR242" i="2"/>
  <c r="BO242" i="2"/>
  <c r="BJ242" i="2"/>
  <c r="BM242" i="2" s="1"/>
  <c r="BN242" i="2" s="1"/>
  <c r="BC242" i="2"/>
  <c r="AZ242" i="2"/>
  <c r="AY242" i="2"/>
  <c r="AO242" i="2"/>
  <c r="AN242" i="2"/>
  <c r="AM242" i="2"/>
  <c r="AL242" i="2"/>
  <c r="AK242" i="2"/>
  <c r="AG242" i="2"/>
  <c r="AE242" i="2"/>
  <c r="AF242" i="2" s="1"/>
  <c r="S242" i="2"/>
  <c r="T242" i="2" s="1"/>
  <c r="U242" i="2" s="1"/>
  <c r="R242" i="2"/>
  <c r="GH242" i="2" s="1"/>
  <c r="E242" i="2"/>
  <c r="GR219" i="2"/>
  <c r="GS219" i="2" s="1"/>
  <c r="GP219" i="2"/>
  <c r="GQ219" i="2" s="1"/>
  <c r="GN219" i="2"/>
  <c r="GO219" i="2" s="1"/>
  <c r="GL219" i="2"/>
  <c r="GM219" i="2" s="1"/>
  <c r="GH219" i="2"/>
  <c r="GG219" i="2"/>
  <c r="GI219" i="2" s="1"/>
  <c r="GD219" i="2"/>
  <c r="GC219" i="2"/>
  <c r="GB219" i="2"/>
  <c r="FY219" i="2"/>
  <c r="GA219" i="2" s="1"/>
  <c r="FS219" i="2"/>
  <c r="FT219" i="2" s="1"/>
  <c r="EW219" i="2"/>
  <c r="ET219" i="2"/>
  <c r="EU219" i="2" s="1"/>
  <c r="EQ219" i="2"/>
  <c r="ER219" i="2" s="1"/>
  <c r="EJ219" i="2"/>
  <c r="EE219" i="2"/>
  <c r="EF219" i="2" s="1"/>
  <c r="DX219" i="2"/>
  <c r="DP219" i="2"/>
  <c r="DF219" i="2"/>
  <c r="DE219" i="2"/>
  <c r="CY219" i="2"/>
  <c r="CZ219" i="2" s="1"/>
  <c r="CF219" i="2"/>
  <c r="CA219" i="2"/>
  <c r="DA219" i="2"/>
  <c r="DB219" i="2" s="1"/>
  <c r="BO219" i="2"/>
  <c r="BJ219" i="2"/>
  <c r="BC219" i="2"/>
  <c r="AZ219" i="2"/>
  <c r="AY219" i="2"/>
  <c r="AO219" i="2"/>
  <c r="AN219" i="2"/>
  <c r="AM219" i="2"/>
  <c r="AL219" i="2"/>
  <c r="AK219" i="2"/>
  <c r="AG219" i="2"/>
  <c r="AE219" i="2"/>
  <c r="AF219" i="2" s="1"/>
  <c r="U219" i="2"/>
  <c r="S219" i="2"/>
  <c r="T219" i="2" s="1"/>
  <c r="R219" i="2"/>
  <c r="Y219" i="2" s="1"/>
  <c r="AB219" i="2" s="1"/>
  <c r="E219" i="2"/>
  <c r="GR218" i="2"/>
  <c r="GS218" i="2" s="1"/>
  <c r="GP218" i="2"/>
  <c r="GQ218" i="2" s="1"/>
  <c r="DO218" i="2" s="1"/>
  <c r="GN218" i="2"/>
  <c r="GO218" i="2" s="1"/>
  <c r="GL218" i="2"/>
  <c r="GM218" i="2" s="1"/>
  <c r="GH218" i="2"/>
  <c r="GG218" i="2"/>
  <c r="GI218" i="2" s="1"/>
  <c r="GD218" i="2"/>
  <c r="GC218" i="2"/>
  <c r="GB218" i="2"/>
  <c r="FY218" i="2"/>
  <c r="FZ218" i="2" s="1"/>
  <c r="FS218" i="2"/>
  <c r="FT218" i="2" s="1"/>
  <c r="EW218" i="2"/>
  <c r="ET218" i="2"/>
  <c r="EU218" i="2" s="1"/>
  <c r="EQ218" i="2"/>
  <c r="ER218" i="2" s="1"/>
  <c r="EJ218" i="2"/>
  <c r="EE218" i="2"/>
  <c r="EF218" i="2" s="1"/>
  <c r="DX218" i="2"/>
  <c r="DP218" i="2"/>
  <c r="DF218" i="2"/>
  <c r="DE218" i="2"/>
  <c r="CY218" i="2"/>
  <c r="CZ218" i="2" s="1"/>
  <c r="CF218" i="2"/>
  <c r="CH218" i="2"/>
  <c r="CA218" i="2"/>
  <c r="DA218" i="2"/>
  <c r="DB218" i="2" s="1"/>
  <c r="BO218" i="2"/>
  <c r="BJ218" i="2"/>
  <c r="BM218" i="2" s="1"/>
  <c r="BN218" i="2" s="1"/>
  <c r="BC218" i="2"/>
  <c r="AZ218" i="2"/>
  <c r="AY218" i="2"/>
  <c r="AO218" i="2"/>
  <c r="AN218" i="2"/>
  <c r="AM218" i="2"/>
  <c r="AL218" i="2"/>
  <c r="AK218" i="2"/>
  <c r="AG218" i="2"/>
  <c r="AE218" i="2"/>
  <c r="AF218" i="2" s="1"/>
  <c r="U218" i="2"/>
  <c r="S218" i="2"/>
  <c r="T218" i="2" s="1"/>
  <c r="R218" i="2"/>
  <c r="X218" i="2" s="1"/>
  <c r="AA218" i="2" s="1"/>
  <c r="E218" i="2"/>
  <c r="GR217" i="2"/>
  <c r="GS217" i="2" s="1"/>
  <c r="GP217" i="2"/>
  <c r="GQ217" i="2" s="1"/>
  <c r="GN217" i="2"/>
  <c r="GO217" i="2" s="1"/>
  <c r="GL217" i="2"/>
  <c r="GM217" i="2" s="1"/>
  <c r="GH217" i="2"/>
  <c r="GG217" i="2"/>
  <c r="GI217" i="2" s="1"/>
  <c r="GD217" i="2"/>
  <c r="GC217" i="2"/>
  <c r="GB217" i="2"/>
  <c r="FY217" i="2"/>
  <c r="GA217" i="2" s="1"/>
  <c r="FS217" i="2"/>
  <c r="FT217" i="2" s="1"/>
  <c r="EW217" i="2"/>
  <c r="ET217" i="2"/>
  <c r="EU217" i="2" s="1"/>
  <c r="EQ217" i="2"/>
  <c r="ER217" i="2" s="1"/>
  <c r="EJ217" i="2"/>
  <c r="EE217" i="2"/>
  <c r="EF217" i="2" s="1"/>
  <c r="DX217" i="2"/>
  <c r="DP217" i="2"/>
  <c r="DF217" i="2"/>
  <c r="DH217" i="2" s="1"/>
  <c r="DE217" i="2"/>
  <c r="CY217" i="2"/>
  <c r="CZ217" i="2" s="1"/>
  <c r="CF217" i="2"/>
  <c r="CH217" i="2"/>
  <c r="CA217" i="2"/>
  <c r="DA217" i="2"/>
  <c r="DB217" i="2" s="1"/>
  <c r="BO217" i="2"/>
  <c r="BJ217" i="2"/>
  <c r="BM217" i="2" s="1"/>
  <c r="BN217" i="2" s="1"/>
  <c r="BC217" i="2"/>
  <c r="AZ217" i="2"/>
  <c r="AY217" i="2"/>
  <c r="AO217" i="2"/>
  <c r="AN217" i="2"/>
  <c r="AM217" i="2"/>
  <c r="AL217" i="2"/>
  <c r="AK217" i="2"/>
  <c r="AG217" i="2"/>
  <c r="AE217" i="2"/>
  <c r="AF217" i="2" s="1"/>
  <c r="U217" i="2"/>
  <c r="S217" i="2"/>
  <c r="R217" i="2"/>
  <c r="Y217" i="2" s="1"/>
  <c r="AB217" i="2" s="1"/>
  <c r="E217" i="2"/>
  <c r="GR216" i="2"/>
  <c r="GS216" i="2" s="1"/>
  <c r="GP216" i="2"/>
  <c r="GQ216" i="2" s="1"/>
  <c r="DO216" i="2" s="1"/>
  <c r="GN216" i="2"/>
  <c r="GO216" i="2" s="1"/>
  <c r="GL216" i="2"/>
  <c r="GM216" i="2" s="1"/>
  <c r="GH216" i="2"/>
  <c r="GG216" i="2"/>
  <c r="GI216" i="2" s="1"/>
  <c r="GD216" i="2"/>
  <c r="GC216" i="2"/>
  <c r="GB216" i="2"/>
  <c r="FY216" i="2"/>
  <c r="FS216" i="2"/>
  <c r="FT216" i="2" s="1"/>
  <c r="EW216" i="2"/>
  <c r="ET216" i="2"/>
  <c r="EU216" i="2" s="1"/>
  <c r="EQ216" i="2"/>
  <c r="ER216" i="2" s="1"/>
  <c r="EJ216" i="2"/>
  <c r="EE216" i="2"/>
  <c r="EF216" i="2" s="1"/>
  <c r="DX216" i="2"/>
  <c r="DP216" i="2"/>
  <c r="DF216" i="2"/>
  <c r="DH216" i="2" s="1"/>
  <c r="DE216" i="2"/>
  <c r="CY216" i="2"/>
  <c r="CZ216" i="2" s="1"/>
  <c r="CF216" i="2"/>
  <c r="CH216" i="2"/>
  <c r="CA216" i="2"/>
  <c r="DA216" i="2"/>
  <c r="DB216" i="2" s="1"/>
  <c r="BO216" i="2"/>
  <c r="BJ216" i="2"/>
  <c r="BM216" i="2" s="1"/>
  <c r="BN216" i="2" s="1"/>
  <c r="BC216" i="2"/>
  <c r="AZ216" i="2"/>
  <c r="AY216" i="2"/>
  <c r="AO216" i="2"/>
  <c r="AN216" i="2"/>
  <c r="AM216" i="2"/>
  <c r="AL216" i="2"/>
  <c r="AK216" i="2"/>
  <c r="AG216" i="2"/>
  <c r="AE216" i="2"/>
  <c r="AF216" i="2" s="1"/>
  <c r="U216" i="2"/>
  <c r="S216" i="2"/>
  <c r="T216" i="2" s="1"/>
  <c r="R216" i="2"/>
  <c r="Y216" i="2" s="1"/>
  <c r="AB216" i="2" s="1"/>
  <c r="E216" i="2"/>
  <c r="GR215" i="2"/>
  <c r="GS215" i="2" s="1"/>
  <c r="GP215" i="2"/>
  <c r="GQ215" i="2" s="1"/>
  <c r="DO215" i="2" s="1"/>
  <c r="GN215" i="2"/>
  <c r="GO215" i="2" s="1"/>
  <c r="GL215" i="2"/>
  <c r="GM215" i="2" s="1"/>
  <c r="GH215" i="2"/>
  <c r="GG215" i="2"/>
  <c r="GI215" i="2" s="1"/>
  <c r="GD215" i="2"/>
  <c r="GC215" i="2"/>
  <c r="GB215" i="2"/>
  <c r="FY215" i="2"/>
  <c r="FS215" i="2"/>
  <c r="FT215" i="2" s="1"/>
  <c r="EW215" i="2"/>
  <c r="ET215" i="2"/>
  <c r="EU215" i="2" s="1"/>
  <c r="EQ215" i="2"/>
  <c r="ER215" i="2" s="1"/>
  <c r="EJ215" i="2"/>
  <c r="EE215" i="2"/>
  <c r="EF215" i="2" s="1"/>
  <c r="DX215" i="2"/>
  <c r="DP215" i="2"/>
  <c r="DF215" i="2"/>
  <c r="DH215" i="2" s="1"/>
  <c r="DE215" i="2"/>
  <c r="CY215" i="2"/>
  <c r="CZ215" i="2" s="1"/>
  <c r="CF215" i="2"/>
  <c r="CH215" i="2"/>
  <c r="CA215" i="2"/>
  <c r="BO215" i="2"/>
  <c r="BJ215" i="2"/>
  <c r="BM215" i="2" s="1"/>
  <c r="BN215" i="2" s="1"/>
  <c r="BC215" i="2"/>
  <c r="AZ215" i="2"/>
  <c r="AY215" i="2"/>
  <c r="AO215" i="2"/>
  <c r="AN215" i="2"/>
  <c r="AM215" i="2"/>
  <c r="AL215" i="2"/>
  <c r="AK215" i="2"/>
  <c r="AG215" i="2"/>
  <c r="AE215" i="2"/>
  <c r="AF215" i="2" s="1"/>
  <c r="U215" i="2"/>
  <c r="S215" i="2"/>
  <c r="R215" i="2"/>
  <c r="Y215" i="2" s="1"/>
  <c r="AB215" i="2" s="1"/>
  <c r="E215" i="2"/>
  <c r="GR214" i="2"/>
  <c r="GS214" i="2" s="1"/>
  <c r="GP214" i="2"/>
  <c r="GQ214" i="2" s="1"/>
  <c r="GN214" i="2"/>
  <c r="GO214" i="2" s="1"/>
  <c r="GL214" i="2"/>
  <c r="GM214" i="2" s="1"/>
  <c r="GH214" i="2"/>
  <c r="GG214" i="2"/>
  <c r="GI214" i="2" s="1"/>
  <c r="GD214" i="2"/>
  <c r="GC214" i="2"/>
  <c r="GB214" i="2"/>
  <c r="FY214" i="2"/>
  <c r="GA214" i="2" s="1"/>
  <c r="FS214" i="2"/>
  <c r="FT214" i="2" s="1"/>
  <c r="EW214" i="2"/>
  <c r="ET214" i="2"/>
  <c r="EU214" i="2" s="1"/>
  <c r="EQ214" i="2"/>
  <c r="ER214" i="2" s="1"/>
  <c r="EJ214" i="2"/>
  <c r="EE214" i="2"/>
  <c r="EF214" i="2" s="1"/>
  <c r="DX214" i="2"/>
  <c r="DP214" i="2"/>
  <c r="DF214" i="2"/>
  <c r="DE214" i="2"/>
  <c r="CY214" i="2"/>
  <c r="CZ214" i="2" s="1"/>
  <c r="CF214" i="2"/>
  <c r="CH214" i="2"/>
  <c r="CA214" i="2"/>
  <c r="BO214" i="2"/>
  <c r="BJ214" i="2"/>
  <c r="BM214" i="2" s="1"/>
  <c r="BN214" i="2" s="1"/>
  <c r="BC214" i="2"/>
  <c r="AZ214" i="2"/>
  <c r="AY214" i="2"/>
  <c r="AO214" i="2"/>
  <c r="AN214" i="2"/>
  <c r="AM214" i="2"/>
  <c r="AL214" i="2"/>
  <c r="AK214" i="2"/>
  <c r="AG214" i="2"/>
  <c r="AE214" i="2"/>
  <c r="AF214" i="2" s="1"/>
  <c r="U214" i="2"/>
  <c r="S214" i="2"/>
  <c r="R214" i="2"/>
  <c r="Y214" i="2" s="1"/>
  <c r="AB214" i="2" s="1"/>
  <c r="E214" i="2"/>
  <c r="GR213" i="2"/>
  <c r="GS213" i="2" s="1"/>
  <c r="GP213" i="2"/>
  <c r="GQ213" i="2" s="1"/>
  <c r="GN213" i="2"/>
  <c r="GO213" i="2" s="1"/>
  <c r="GL213" i="2"/>
  <c r="GM213" i="2" s="1"/>
  <c r="GH213" i="2"/>
  <c r="GG213" i="2"/>
  <c r="GI213" i="2" s="1"/>
  <c r="GD213" i="2"/>
  <c r="GC213" i="2"/>
  <c r="GB213" i="2"/>
  <c r="FY213" i="2"/>
  <c r="GA213" i="2" s="1"/>
  <c r="FS213" i="2"/>
  <c r="FT213" i="2" s="1"/>
  <c r="EW213" i="2"/>
  <c r="ET213" i="2"/>
  <c r="EU213" i="2" s="1"/>
  <c r="EQ213" i="2"/>
  <c r="ER213" i="2" s="1"/>
  <c r="EJ213" i="2"/>
  <c r="EE213" i="2"/>
  <c r="EF213" i="2" s="1"/>
  <c r="DX213" i="2"/>
  <c r="DP213" i="2"/>
  <c r="DF213" i="2"/>
  <c r="DE213" i="2"/>
  <c r="CY213" i="2"/>
  <c r="CZ213" i="2" s="1"/>
  <c r="CF213" i="2"/>
  <c r="CH213" i="2"/>
  <c r="CA213" i="2"/>
  <c r="DA213" i="2"/>
  <c r="DB213" i="2" s="1"/>
  <c r="BO213" i="2"/>
  <c r="BJ213" i="2"/>
  <c r="BM213" i="2" s="1"/>
  <c r="BN213" i="2" s="1"/>
  <c r="BC213" i="2"/>
  <c r="AZ213" i="2"/>
  <c r="AY213" i="2"/>
  <c r="AO213" i="2"/>
  <c r="AN213" i="2"/>
  <c r="AM213" i="2"/>
  <c r="AL213" i="2"/>
  <c r="AK213" i="2"/>
  <c r="AG213" i="2"/>
  <c r="AE213" i="2"/>
  <c r="AF213" i="2" s="1"/>
  <c r="U213" i="2"/>
  <c r="S213" i="2"/>
  <c r="T213" i="2" s="1"/>
  <c r="R213" i="2"/>
  <c r="Y213" i="2" s="1"/>
  <c r="AB213" i="2" s="1"/>
  <c r="E213" i="2"/>
  <c r="GR211" i="2"/>
  <c r="GS211" i="2" s="1"/>
  <c r="GP211" i="2"/>
  <c r="GQ211" i="2" s="1"/>
  <c r="DO211" i="2" s="1"/>
  <c r="GN211" i="2"/>
  <c r="GO211" i="2" s="1"/>
  <c r="GL211" i="2"/>
  <c r="GM211" i="2" s="1"/>
  <c r="GH211" i="2"/>
  <c r="GG211" i="2"/>
  <c r="GI211" i="2" s="1"/>
  <c r="GD211" i="2"/>
  <c r="GC211" i="2"/>
  <c r="GB211" i="2"/>
  <c r="FY211" i="2"/>
  <c r="GA211" i="2" s="1"/>
  <c r="FS211" i="2"/>
  <c r="FT211" i="2" s="1"/>
  <c r="EW211" i="2"/>
  <c r="ET211" i="2"/>
  <c r="EU211" i="2" s="1"/>
  <c r="EQ211" i="2"/>
  <c r="ER211" i="2" s="1"/>
  <c r="EJ211" i="2"/>
  <c r="EE211" i="2"/>
  <c r="EF211" i="2" s="1"/>
  <c r="DX211" i="2"/>
  <c r="DP211" i="2"/>
  <c r="DF211" i="2"/>
  <c r="DE211" i="2"/>
  <c r="CY211" i="2"/>
  <c r="CZ211" i="2" s="1"/>
  <c r="CF211" i="2"/>
  <c r="CH211" i="2"/>
  <c r="CA211" i="2"/>
  <c r="DA211" i="2"/>
  <c r="DB211" i="2" s="1"/>
  <c r="BO211" i="2"/>
  <c r="BJ211" i="2"/>
  <c r="BC211" i="2"/>
  <c r="AZ211" i="2"/>
  <c r="AY211" i="2"/>
  <c r="AO211" i="2"/>
  <c r="AN211" i="2"/>
  <c r="AM211" i="2"/>
  <c r="AL211" i="2"/>
  <c r="AK211" i="2"/>
  <c r="AG211" i="2"/>
  <c r="AE211" i="2"/>
  <c r="AF211" i="2" s="1"/>
  <c r="U211" i="2"/>
  <c r="S211" i="2"/>
  <c r="R211" i="2"/>
  <c r="X211" i="2" s="1"/>
  <c r="E211" i="2"/>
  <c r="GR210" i="2"/>
  <c r="GS210" i="2" s="1"/>
  <c r="GP210" i="2"/>
  <c r="GQ210" i="2" s="1"/>
  <c r="DO210" i="2" s="1"/>
  <c r="EH210" i="2" s="1"/>
  <c r="GN210" i="2"/>
  <c r="GO210" i="2" s="1"/>
  <c r="GL210" i="2"/>
  <c r="GM210" i="2" s="1"/>
  <c r="GH210" i="2"/>
  <c r="GG210" i="2"/>
  <c r="GI210" i="2" s="1"/>
  <c r="GD210" i="2"/>
  <c r="GC210" i="2"/>
  <c r="GB210" i="2"/>
  <c r="FY210" i="2"/>
  <c r="GA210" i="2" s="1"/>
  <c r="FS210" i="2"/>
  <c r="FT210" i="2" s="1"/>
  <c r="EW210" i="2"/>
  <c r="ET210" i="2"/>
  <c r="EU210" i="2" s="1"/>
  <c r="EQ210" i="2"/>
  <c r="ER210" i="2" s="1"/>
  <c r="EJ210" i="2"/>
  <c r="EE210" i="2"/>
  <c r="EF210" i="2" s="1"/>
  <c r="DX210" i="2"/>
  <c r="DP210" i="2"/>
  <c r="DF210" i="2"/>
  <c r="DH210" i="2" s="1"/>
  <c r="DE210" i="2"/>
  <c r="CY210" i="2"/>
  <c r="CZ210" i="2" s="1"/>
  <c r="CF210" i="2"/>
  <c r="CH210" i="2"/>
  <c r="CA210" i="2"/>
  <c r="BO210" i="2"/>
  <c r="BJ210" i="2"/>
  <c r="BC210" i="2"/>
  <c r="AZ210" i="2"/>
  <c r="AY210" i="2"/>
  <c r="AO210" i="2"/>
  <c r="AN210" i="2"/>
  <c r="AM210" i="2"/>
  <c r="AL210" i="2"/>
  <c r="AK210" i="2"/>
  <c r="AG210" i="2"/>
  <c r="AE210" i="2"/>
  <c r="AF210" i="2" s="1"/>
  <c r="U210" i="2"/>
  <c r="S210" i="2"/>
  <c r="T210" i="2" s="1"/>
  <c r="R210" i="2"/>
  <c r="Y210" i="2" s="1"/>
  <c r="E210" i="2"/>
  <c r="GR209" i="2"/>
  <c r="GS209" i="2" s="1"/>
  <c r="GP209" i="2"/>
  <c r="GQ209" i="2" s="1"/>
  <c r="DO209" i="2" s="1"/>
  <c r="EH209" i="2" s="1"/>
  <c r="GN209" i="2"/>
  <c r="GO209" i="2" s="1"/>
  <c r="GL209" i="2"/>
  <c r="GM209" i="2" s="1"/>
  <c r="GH209" i="2"/>
  <c r="GG209" i="2"/>
  <c r="GI209" i="2" s="1"/>
  <c r="GD209" i="2"/>
  <c r="GC209" i="2"/>
  <c r="GB209" i="2"/>
  <c r="FY209" i="2"/>
  <c r="FZ209" i="2" s="1"/>
  <c r="FS209" i="2"/>
  <c r="FT209" i="2" s="1"/>
  <c r="EW209" i="2"/>
  <c r="ET209" i="2"/>
  <c r="EU209" i="2" s="1"/>
  <c r="EQ209" i="2"/>
  <c r="ER209" i="2" s="1"/>
  <c r="EJ209" i="2"/>
  <c r="EE209" i="2"/>
  <c r="EF209" i="2" s="1"/>
  <c r="DX209" i="2"/>
  <c r="DP209" i="2"/>
  <c r="DF209" i="2"/>
  <c r="DH209" i="2" s="1"/>
  <c r="DE209" i="2"/>
  <c r="CY209" i="2"/>
  <c r="CZ209" i="2" s="1"/>
  <c r="CF209" i="2"/>
  <c r="CH209" i="2"/>
  <c r="CA209" i="2"/>
  <c r="BO209" i="2"/>
  <c r="BJ209" i="2"/>
  <c r="BM209" i="2" s="1"/>
  <c r="BN209" i="2" s="1"/>
  <c r="BC209" i="2"/>
  <c r="AZ209" i="2"/>
  <c r="AY209" i="2"/>
  <c r="AO209" i="2"/>
  <c r="AN209" i="2"/>
  <c r="AM209" i="2"/>
  <c r="AL209" i="2"/>
  <c r="AK209" i="2"/>
  <c r="AG209" i="2"/>
  <c r="AE209" i="2"/>
  <c r="AF209" i="2" s="1"/>
  <c r="U209" i="2"/>
  <c r="S209" i="2"/>
  <c r="R209" i="2"/>
  <c r="Y209" i="2" s="1"/>
  <c r="E209" i="2"/>
  <c r="GR208" i="2"/>
  <c r="GS208" i="2" s="1"/>
  <c r="GP208" i="2"/>
  <c r="GQ208" i="2" s="1"/>
  <c r="GN208" i="2"/>
  <c r="GO208" i="2" s="1"/>
  <c r="GL208" i="2"/>
  <c r="GM208" i="2" s="1"/>
  <c r="GH208" i="2"/>
  <c r="GG208" i="2"/>
  <c r="GI208" i="2" s="1"/>
  <c r="GD208" i="2"/>
  <c r="GC208" i="2"/>
  <c r="GB208" i="2"/>
  <c r="FY208" i="2"/>
  <c r="GA208" i="2" s="1"/>
  <c r="FS208" i="2"/>
  <c r="FT208" i="2" s="1"/>
  <c r="EW208" i="2"/>
  <c r="ET208" i="2"/>
  <c r="EU208" i="2" s="1"/>
  <c r="EQ208" i="2"/>
  <c r="ER208" i="2" s="1"/>
  <c r="EJ208" i="2"/>
  <c r="EE208" i="2"/>
  <c r="EF208" i="2" s="1"/>
  <c r="DX208" i="2"/>
  <c r="DP208" i="2"/>
  <c r="DF208" i="2"/>
  <c r="DG208" i="2" s="1"/>
  <c r="DE208" i="2"/>
  <c r="CY208" i="2"/>
  <c r="CZ208" i="2" s="1"/>
  <c r="CF208" i="2"/>
  <c r="CH208" i="2"/>
  <c r="CA208" i="2"/>
  <c r="CW208" i="2"/>
  <c r="BO208" i="2"/>
  <c r="BJ208" i="2"/>
  <c r="BM208" i="2" s="1"/>
  <c r="BN208" i="2" s="1"/>
  <c r="BC208" i="2"/>
  <c r="AZ208" i="2"/>
  <c r="AY208" i="2"/>
  <c r="AO208" i="2"/>
  <c r="AN208" i="2"/>
  <c r="AM208" i="2"/>
  <c r="AL208" i="2"/>
  <c r="AK208" i="2"/>
  <c r="AG208" i="2"/>
  <c r="AE208" i="2"/>
  <c r="AF208" i="2" s="1"/>
  <c r="U208" i="2"/>
  <c r="S208" i="2"/>
  <c r="R208" i="2"/>
  <c r="E208" i="2"/>
  <c r="GR220" i="2"/>
  <c r="GS220" i="2" s="1"/>
  <c r="GP220" i="2"/>
  <c r="GQ220" i="2" s="1"/>
  <c r="DO220" i="2" s="1"/>
  <c r="GN220" i="2"/>
  <c r="GO220" i="2" s="1"/>
  <c r="GL220" i="2"/>
  <c r="GM220" i="2" s="1"/>
  <c r="GG220" i="2"/>
  <c r="GI220" i="2" s="1"/>
  <c r="GD220" i="2"/>
  <c r="GC220" i="2"/>
  <c r="GB220" i="2"/>
  <c r="FY220" i="2"/>
  <c r="GA220" i="2" s="1"/>
  <c r="FS220" i="2"/>
  <c r="FT220" i="2" s="1"/>
  <c r="EW220" i="2"/>
  <c r="ET220" i="2"/>
  <c r="EU220" i="2" s="1"/>
  <c r="EQ220" i="2"/>
  <c r="ER220" i="2" s="1"/>
  <c r="EJ220" i="2"/>
  <c r="EE220" i="2"/>
  <c r="EF220" i="2" s="1"/>
  <c r="DX220" i="2"/>
  <c r="DP220" i="2"/>
  <c r="DF220" i="2"/>
  <c r="DE220" i="2"/>
  <c r="CY220" i="2"/>
  <c r="CZ220" i="2" s="1"/>
  <c r="CF220" i="2"/>
  <c r="CH220" i="2"/>
  <c r="CA220" i="2"/>
  <c r="CW220" i="2"/>
  <c r="BO220" i="2"/>
  <c r="BJ220" i="2"/>
  <c r="BK220" i="2" s="1"/>
  <c r="CL220" i="2" s="1"/>
  <c r="BC220" i="2"/>
  <c r="AZ220" i="2"/>
  <c r="AY220" i="2"/>
  <c r="AO220" i="2"/>
  <c r="AN220" i="2"/>
  <c r="AM220" i="2"/>
  <c r="AL220" i="2"/>
  <c r="AK220" i="2"/>
  <c r="AG220" i="2"/>
  <c r="AE220" i="2"/>
  <c r="AF220" i="2" s="1"/>
  <c r="S220" i="2"/>
  <c r="R220" i="2"/>
  <c r="GH220" i="2" s="1"/>
  <c r="E220" i="2"/>
  <c r="GP246" i="2"/>
  <c r="GQ246" i="2" s="1"/>
  <c r="DO246" i="2" s="1"/>
  <c r="GN246" i="2"/>
  <c r="GO246" i="2" s="1"/>
  <c r="GL246" i="2"/>
  <c r="GM246" i="2" s="1"/>
  <c r="GG246" i="2"/>
  <c r="GI246" i="2" s="1"/>
  <c r="GD246" i="2"/>
  <c r="GC246" i="2"/>
  <c r="GB246" i="2"/>
  <c r="FY246" i="2"/>
  <c r="FS246" i="2"/>
  <c r="FT246" i="2" s="1"/>
  <c r="EW246" i="2"/>
  <c r="ET246" i="2"/>
  <c r="EU246" i="2" s="1"/>
  <c r="EQ246" i="2"/>
  <c r="ER246" i="2" s="1"/>
  <c r="FJ246" i="2" s="1"/>
  <c r="EJ246" i="2"/>
  <c r="EE246" i="2"/>
  <c r="EF246" i="2" s="1"/>
  <c r="DX246" i="2"/>
  <c r="DP246" i="2"/>
  <c r="DF246" i="2"/>
  <c r="DE246" i="2"/>
  <c r="CY246" i="2"/>
  <c r="CZ246" i="2" s="1"/>
  <c r="CF246" i="2"/>
  <c r="CH246" i="2"/>
  <c r="CA246" i="2"/>
  <c r="BO246" i="2"/>
  <c r="BJ246" i="2"/>
  <c r="BM246" i="2" s="1"/>
  <c r="BN246" i="2" s="1"/>
  <c r="BC246" i="2"/>
  <c r="AZ246" i="2"/>
  <c r="AY246" i="2"/>
  <c r="AO246" i="2"/>
  <c r="AM246" i="2"/>
  <c r="AL246" i="2" s="1"/>
  <c r="AK246" i="2"/>
  <c r="AG246" i="2"/>
  <c r="AE246" i="2"/>
  <c r="AF246" i="2" s="1"/>
  <c r="S246" i="2"/>
  <c r="R246" i="2"/>
  <c r="Y246" i="2" s="1"/>
  <c r="AB246" i="2" s="1"/>
  <c r="E246" i="2"/>
  <c r="GR102" i="2"/>
  <c r="GS102" i="2" s="1"/>
  <c r="GP102" i="2"/>
  <c r="GQ102" i="2" s="1"/>
  <c r="DO102" i="2" s="1"/>
  <c r="EC102" i="2" s="1"/>
  <c r="EE102" i="2" s="1"/>
  <c r="EF102" i="2" s="1"/>
  <c r="GN102" i="2"/>
  <c r="GO102" i="2" s="1"/>
  <c r="GL102" i="2"/>
  <c r="GM102" i="2" s="1"/>
  <c r="GH102" i="2"/>
  <c r="GG102" i="2"/>
  <c r="GI102" i="2" s="1"/>
  <c r="GD102" i="2"/>
  <c r="GC102" i="2"/>
  <c r="GB102" i="2"/>
  <c r="FY102" i="2"/>
  <c r="FS102" i="2"/>
  <c r="FT102" i="2" s="1"/>
  <c r="EW102" i="2"/>
  <c r="ET102" i="2"/>
  <c r="EU102" i="2" s="1"/>
  <c r="EQ102" i="2"/>
  <c r="ER102" i="2" s="1"/>
  <c r="EJ102" i="2"/>
  <c r="DX102" i="2"/>
  <c r="DP102" i="2"/>
  <c r="DF102" i="2"/>
  <c r="DE102" i="2"/>
  <c r="CY102" i="2"/>
  <c r="CZ102" i="2" s="1"/>
  <c r="CF102" i="2"/>
  <c r="CH102" i="2"/>
  <c r="CA102" i="2"/>
  <c r="CR102" i="2"/>
  <c r="BO102" i="2"/>
  <c r="BJ102" i="2"/>
  <c r="BM102" i="2" s="1"/>
  <c r="BN102" i="2" s="1"/>
  <c r="BC102" i="2"/>
  <c r="AZ102" i="2"/>
  <c r="AY102" i="2"/>
  <c r="AO102" i="2"/>
  <c r="AN102" i="2"/>
  <c r="AM102" i="2"/>
  <c r="AL102" i="2"/>
  <c r="AK102" i="2"/>
  <c r="AG102" i="2"/>
  <c r="AE102" i="2"/>
  <c r="AF102" i="2" s="1"/>
  <c r="U102" i="2"/>
  <c r="S102" i="2"/>
  <c r="T102" i="2" s="1"/>
  <c r="R102" i="2"/>
  <c r="Y102" i="2" s="1"/>
  <c r="AB102" i="2" s="1"/>
  <c r="E102" i="2"/>
  <c r="GR128" i="2"/>
  <c r="GS128" i="2" s="1"/>
  <c r="GP128" i="2"/>
  <c r="GQ128" i="2" s="1"/>
  <c r="GN128" i="2"/>
  <c r="GO128" i="2" s="1"/>
  <c r="GL128" i="2"/>
  <c r="GM128" i="2" s="1"/>
  <c r="GH128" i="2"/>
  <c r="GG128" i="2"/>
  <c r="GI128" i="2" s="1"/>
  <c r="GD128" i="2"/>
  <c r="GC128" i="2"/>
  <c r="GB128" i="2"/>
  <c r="FY128" i="2"/>
  <c r="GA128" i="2" s="1"/>
  <c r="FS128" i="2"/>
  <c r="FT128" i="2" s="1"/>
  <c r="EW128" i="2"/>
  <c r="ET128" i="2"/>
  <c r="EU128" i="2" s="1"/>
  <c r="EQ128" i="2"/>
  <c r="ER128" i="2" s="1"/>
  <c r="EJ128" i="2"/>
  <c r="EE128" i="2"/>
  <c r="EF128" i="2" s="1"/>
  <c r="DX128" i="2"/>
  <c r="DP128" i="2"/>
  <c r="DF128" i="2"/>
  <c r="DE128" i="2"/>
  <c r="CY128" i="2"/>
  <c r="CZ128" i="2" s="1"/>
  <c r="CF128" i="2"/>
  <c r="CA128" i="2"/>
  <c r="BO128" i="2"/>
  <c r="BJ128" i="2"/>
  <c r="BK128" i="2" s="1"/>
  <c r="CL128" i="2" s="1"/>
  <c r="BC128" i="2"/>
  <c r="AZ128" i="2"/>
  <c r="AY128" i="2"/>
  <c r="AO128" i="2"/>
  <c r="AN128" i="2"/>
  <c r="AM128" i="2"/>
  <c r="AL128" i="2"/>
  <c r="AK128" i="2"/>
  <c r="AG128" i="2"/>
  <c r="AE128" i="2"/>
  <c r="AF128" i="2" s="1"/>
  <c r="U128" i="2"/>
  <c r="S128" i="2"/>
  <c r="T128" i="2" s="1"/>
  <c r="R128" i="2"/>
  <c r="Y128" i="2" s="1"/>
  <c r="AB128" i="2" s="1"/>
  <c r="E128" i="2"/>
  <c r="GR98" i="2"/>
  <c r="GS98" i="2" s="1"/>
  <c r="GP98" i="2"/>
  <c r="GQ98" i="2" s="1"/>
  <c r="GN98" i="2"/>
  <c r="GO98" i="2" s="1"/>
  <c r="GL98" i="2"/>
  <c r="GM98" i="2" s="1"/>
  <c r="GH98" i="2"/>
  <c r="GG98" i="2"/>
  <c r="GI98" i="2" s="1"/>
  <c r="GD98" i="2"/>
  <c r="GC98" i="2"/>
  <c r="GB98" i="2"/>
  <c r="FY98" i="2"/>
  <c r="GA98" i="2" s="1"/>
  <c r="FS98" i="2"/>
  <c r="FT98" i="2" s="1"/>
  <c r="EW98" i="2"/>
  <c r="ET98" i="2"/>
  <c r="EU98" i="2" s="1"/>
  <c r="EQ98" i="2"/>
  <c r="ER98" i="2" s="1"/>
  <c r="EJ98" i="2"/>
  <c r="EE98" i="2"/>
  <c r="EF98" i="2" s="1"/>
  <c r="DX98" i="2"/>
  <c r="DP98" i="2"/>
  <c r="DF98" i="2"/>
  <c r="DH98" i="2" s="1"/>
  <c r="DE98" i="2"/>
  <c r="CY98" i="2"/>
  <c r="CZ98" i="2" s="1"/>
  <c r="CF98" i="2"/>
  <c r="CA98" i="2"/>
  <c r="CR98" i="2"/>
  <c r="BO98" i="2"/>
  <c r="BJ98" i="2"/>
  <c r="BK98" i="2" s="1"/>
  <c r="CL98" i="2" s="1"/>
  <c r="BC98" i="2"/>
  <c r="AZ98" i="2"/>
  <c r="AY98" i="2"/>
  <c r="AO98" i="2"/>
  <c r="AN98" i="2"/>
  <c r="AM98" i="2"/>
  <c r="AL98" i="2"/>
  <c r="AK98" i="2"/>
  <c r="AG98" i="2"/>
  <c r="AE98" i="2"/>
  <c r="AF98" i="2" s="1"/>
  <c r="U98" i="2"/>
  <c r="S98" i="2"/>
  <c r="T98" i="2" s="1"/>
  <c r="R98" i="2"/>
  <c r="Y98" i="2" s="1"/>
  <c r="AB98" i="2" s="1"/>
  <c r="E98" i="2"/>
  <c r="GP30" i="2"/>
  <c r="GQ30" i="2" s="1"/>
  <c r="DU30" i="2" s="1"/>
  <c r="GN30" i="2"/>
  <c r="GO30" i="2" s="1"/>
  <c r="GL30" i="2"/>
  <c r="GM30" i="2" s="1"/>
  <c r="GG30" i="2"/>
  <c r="GI30" i="2" s="1"/>
  <c r="GD30" i="2"/>
  <c r="GC30" i="2"/>
  <c r="GB30" i="2"/>
  <c r="FY30" i="2"/>
  <c r="FS30" i="2"/>
  <c r="FT30" i="2" s="1"/>
  <c r="EW30" i="2"/>
  <c r="ET30" i="2"/>
  <c r="EU30" i="2" s="1"/>
  <c r="EQ30" i="2"/>
  <c r="ER30" i="2" s="1"/>
  <c r="EJ30" i="2"/>
  <c r="EE30" i="2"/>
  <c r="EF30" i="2" s="1"/>
  <c r="DX30" i="2"/>
  <c r="DP30" i="2"/>
  <c r="DF30" i="2"/>
  <c r="DE30" i="2"/>
  <c r="CY30" i="2"/>
  <c r="CZ30" i="2" s="1"/>
  <c r="CF30" i="2"/>
  <c r="CA30" i="2"/>
  <c r="DA30" i="2"/>
  <c r="DB30" i="2" s="1"/>
  <c r="BO30" i="2"/>
  <c r="BJ30" i="2"/>
  <c r="BC30" i="2"/>
  <c r="AZ30" i="2"/>
  <c r="AY30" i="2"/>
  <c r="AO30" i="2"/>
  <c r="AN30" i="2"/>
  <c r="AM30" i="2"/>
  <c r="AL30" i="2"/>
  <c r="AK30" i="2"/>
  <c r="AG30" i="2"/>
  <c r="AE30" i="2"/>
  <c r="AF30" i="2" s="1"/>
  <c r="S30" i="2"/>
  <c r="T30" i="2" s="1"/>
  <c r="U30" i="2" s="1"/>
  <c r="R30" i="2"/>
  <c r="Y30" i="2" s="1"/>
  <c r="AB30" i="2" s="1"/>
  <c r="E30" i="2"/>
  <c r="GP248" i="2"/>
  <c r="GQ248" i="2" s="1"/>
  <c r="GN248" i="2"/>
  <c r="GO248" i="2" s="1"/>
  <c r="GL248" i="2"/>
  <c r="GM248" i="2" s="1"/>
  <c r="GG248" i="2"/>
  <c r="GI248" i="2" s="1"/>
  <c r="GD248" i="2"/>
  <c r="GC248" i="2"/>
  <c r="GB248" i="2"/>
  <c r="FY248" i="2"/>
  <c r="FS248" i="2"/>
  <c r="FT248" i="2" s="1"/>
  <c r="EW248" i="2"/>
  <c r="ET248" i="2"/>
  <c r="EU248" i="2" s="1"/>
  <c r="EQ248" i="2"/>
  <c r="ER248" i="2" s="1"/>
  <c r="EJ248" i="2"/>
  <c r="EE248" i="2"/>
  <c r="EF248" i="2" s="1"/>
  <c r="DX248" i="2"/>
  <c r="DP248" i="2"/>
  <c r="DF248" i="2"/>
  <c r="DE248" i="2"/>
  <c r="CY248" i="2"/>
  <c r="CZ248" i="2" s="1"/>
  <c r="CF248" i="2"/>
  <c r="CH248" i="2"/>
  <c r="CA248" i="2"/>
  <c r="DA248" i="2"/>
  <c r="DB248" i="2" s="1"/>
  <c r="BO248" i="2"/>
  <c r="BJ248" i="2"/>
  <c r="BM248" i="2" s="1"/>
  <c r="BN248" i="2" s="1"/>
  <c r="BC248" i="2"/>
  <c r="AZ248" i="2"/>
  <c r="AY248" i="2"/>
  <c r="AO248" i="2"/>
  <c r="AN248" i="2"/>
  <c r="AM248" i="2"/>
  <c r="AL248" i="2"/>
  <c r="AK248" i="2"/>
  <c r="AG248" i="2"/>
  <c r="AE248" i="2"/>
  <c r="AF248" i="2" s="1"/>
  <c r="S248" i="2"/>
  <c r="T248" i="2" s="1"/>
  <c r="U248" i="2" s="1"/>
  <c r="R248" i="2"/>
  <c r="X248" i="2" s="1"/>
  <c r="E248" i="2"/>
  <c r="GP167" i="2"/>
  <c r="GQ167" i="2" s="1"/>
  <c r="GL167" i="2"/>
  <c r="GM167" i="2" s="1"/>
  <c r="GG167" i="2"/>
  <c r="GI167" i="2" s="1"/>
  <c r="GD167" i="2"/>
  <c r="GC167" i="2"/>
  <c r="GB167" i="2"/>
  <c r="FY167" i="2"/>
  <c r="FS167" i="2"/>
  <c r="FT167" i="2" s="1"/>
  <c r="EW167" i="2"/>
  <c r="ET167" i="2"/>
  <c r="EU167" i="2" s="1"/>
  <c r="EQ167" i="2"/>
  <c r="ER167" i="2" s="1"/>
  <c r="EJ167" i="2"/>
  <c r="EE167" i="2"/>
  <c r="EF167" i="2" s="1"/>
  <c r="DX167" i="2"/>
  <c r="DP167" i="2"/>
  <c r="DF167" i="2"/>
  <c r="DE167" i="2"/>
  <c r="CY167" i="2"/>
  <c r="CF167" i="2"/>
  <c r="CH167" i="2"/>
  <c r="CA167" i="2"/>
  <c r="DA167" i="2"/>
  <c r="DB167" i="2" s="1"/>
  <c r="BO167" i="2"/>
  <c r="BJ167" i="2"/>
  <c r="BM167" i="2" s="1"/>
  <c r="BN167" i="2" s="1"/>
  <c r="BC167" i="2"/>
  <c r="AZ167" i="2"/>
  <c r="AY167" i="2"/>
  <c r="AO167" i="2"/>
  <c r="AN167" i="2"/>
  <c r="AM167" i="2"/>
  <c r="AL167" i="2"/>
  <c r="AK167" i="2"/>
  <c r="AG167" i="2"/>
  <c r="AE167" i="2"/>
  <c r="AF167" i="2" s="1"/>
  <c r="S167" i="2"/>
  <c r="T167" i="2" s="1"/>
  <c r="U167" i="2" s="1"/>
  <c r="R167" i="2"/>
  <c r="GH167" i="2" s="1"/>
  <c r="E167" i="2"/>
  <c r="GR207" i="2"/>
  <c r="GS207" i="2" s="1"/>
  <c r="GP207" i="2"/>
  <c r="GQ207" i="2" s="1"/>
  <c r="DU207" i="2" s="1"/>
  <c r="GN207" i="2"/>
  <c r="GO207" i="2" s="1"/>
  <c r="GL207" i="2"/>
  <c r="GM207" i="2" s="1"/>
  <c r="GH207" i="2"/>
  <c r="GG207" i="2"/>
  <c r="GI207" i="2" s="1"/>
  <c r="GD207" i="2"/>
  <c r="GC207" i="2"/>
  <c r="GB207" i="2"/>
  <c r="FY207" i="2"/>
  <c r="FZ207" i="2" s="1"/>
  <c r="FS207" i="2"/>
  <c r="FT207" i="2" s="1"/>
  <c r="EW207" i="2"/>
  <c r="ET207" i="2"/>
  <c r="EU207" i="2" s="1"/>
  <c r="EQ207" i="2"/>
  <c r="ER207" i="2" s="1"/>
  <c r="EJ207" i="2"/>
  <c r="EE207" i="2"/>
  <c r="EF207" i="2" s="1"/>
  <c r="DX207" i="2"/>
  <c r="DP207" i="2"/>
  <c r="DF207" i="2"/>
  <c r="DE207" i="2"/>
  <c r="CY207" i="2"/>
  <c r="CZ207" i="2" s="1"/>
  <c r="CF207" i="2"/>
  <c r="CA207" i="2"/>
  <c r="CR207" i="2"/>
  <c r="BO207" i="2"/>
  <c r="BJ207" i="2"/>
  <c r="BM207" i="2" s="1"/>
  <c r="BN207" i="2" s="1"/>
  <c r="BC207" i="2"/>
  <c r="AZ207" i="2"/>
  <c r="AY207" i="2"/>
  <c r="AO207" i="2"/>
  <c r="AN207" i="2"/>
  <c r="AM207" i="2"/>
  <c r="AL207" i="2"/>
  <c r="AK207" i="2"/>
  <c r="AG207" i="2"/>
  <c r="AE207" i="2"/>
  <c r="AF207" i="2" s="1"/>
  <c r="U207" i="2"/>
  <c r="S207" i="2"/>
  <c r="T207" i="2" s="1"/>
  <c r="R207" i="2"/>
  <c r="Y207" i="2" s="1"/>
  <c r="E207" i="2"/>
  <c r="GR206" i="2"/>
  <c r="GS206" i="2" s="1"/>
  <c r="GP206" i="2"/>
  <c r="GQ206" i="2" s="1"/>
  <c r="DU206" i="2" s="1"/>
  <c r="GN206" i="2"/>
  <c r="GO206" i="2" s="1"/>
  <c r="GL206" i="2"/>
  <c r="GM206" i="2" s="1"/>
  <c r="GH206" i="2"/>
  <c r="GG206" i="2"/>
  <c r="GI206" i="2" s="1"/>
  <c r="GD206" i="2"/>
  <c r="GC206" i="2"/>
  <c r="GB206" i="2"/>
  <c r="FY206" i="2"/>
  <c r="FZ206" i="2" s="1"/>
  <c r="FS206" i="2"/>
  <c r="FT206" i="2" s="1"/>
  <c r="EW206" i="2"/>
  <c r="ET206" i="2"/>
  <c r="EU206" i="2" s="1"/>
  <c r="EQ206" i="2"/>
  <c r="ER206" i="2" s="1"/>
  <c r="EJ206" i="2"/>
  <c r="EE206" i="2"/>
  <c r="EF206" i="2" s="1"/>
  <c r="DX206" i="2"/>
  <c r="DP206" i="2"/>
  <c r="DF206" i="2"/>
  <c r="DE206" i="2"/>
  <c r="CY206" i="2"/>
  <c r="CZ206" i="2" s="1"/>
  <c r="CF206" i="2"/>
  <c r="CA206" i="2"/>
  <c r="CR206" i="2"/>
  <c r="BO206" i="2"/>
  <c r="BJ206" i="2"/>
  <c r="BC206" i="2"/>
  <c r="AZ206" i="2"/>
  <c r="AY206" i="2"/>
  <c r="AO206" i="2"/>
  <c r="AN206" i="2"/>
  <c r="AM206" i="2"/>
  <c r="AL206" i="2"/>
  <c r="AK206" i="2"/>
  <c r="AG206" i="2"/>
  <c r="AE206" i="2"/>
  <c r="AF206" i="2" s="1"/>
  <c r="U206" i="2"/>
  <c r="S206" i="2"/>
  <c r="T206" i="2" s="1"/>
  <c r="R206" i="2"/>
  <c r="Y206" i="2" s="1"/>
  <c r="E206" i="2"/>
  <c r="GR205" i="2"/>
  <c r="GS205" i="2" s="1"/>
  <c r="GP205" i="2"/>
  <c r="GQ205" i="2" s="1"/>
  <c r="DU205" i="2" s="1"/>
  <c r="GN205" i="2"/>
  <c r="GO205" i="2" s="1"/>
  <c r="GL205" i="2"/>
  <c r="GM205" i="2" s="1"/>
  <c r="GH205" i="2"/>
  <c r="GG205" i="2"/>
  <c r="GI205" i="2" s="1"/>
  <c r="GD205" i="2"/>
  <c r="GC205" i="2"/>
  <c r="GB205" i="2"/>
  <c r="FY205" i="2"/>
  <c r="FZ205" i="2" s="1"/>
  <c r="FS205" i="2"/>
  <c r="FT205" i="2" s="1"/>
  <c r="EW205" i="2"/>
  <c r="ET205" i="2"/>
  <c r="EU205" i="2" s="1"/>
  <c r="EQ205" i="2"/>
  <c r="ER205" i="2" s="1"/>
  <c r="EJ205" i="2"/>
  <c r="EE205" i="2"/>
  <c r="EF205" i="2" s="1"/>
  <c r="DX205" i="2"/>
  <c r="DP205" i="2"/>
  <c r="DF205" i="2"/>
  <c r="DE205" i="2"/>
  <c r="CY205" i="2"/>
  <c r="CZ205" i="2" s="1"/>
  <c r="CF205" i="2"/>
  <c r="CA205" i="2"/>
  <c r="CR205" i="2"/>
  <c r="BO205" i="2"/>
  <c r="BJ205" i="2"/>
  <c r="BM205" i="2" s="1"/>
  <c r="BN205" i="2" s="1"/>
  <c r="BC205" i="2"/>
  <c r="AZ205" i="2"/>
  <c r="AY205" i="2"/>
  <c r="AO205" i="2"/>
  <c r="AN205" i="2"/>
  <c r="AM205" i="2"/>
  <c r="AL205" i="2"/>
  <c r="AK205" i="2"/>
  <c r="AG205" i="2"/>
  <c r="AE205" i="2"/>
  <c r="AF205" i="2" s="1"/>
  <c r="U205" i="2"/>
  <c r="S205" i="2"/>
  <c r="T205" i="2" s="1"/>
  <c r="R205" i="2"/>
  <c r="Y205" i="2" s="1"/>
  <c r="E205" i="2"/>
  <c r="GR204" i="2"/>
  <c r="GS204" i="2" s="1"/>
  <c r="GP204" i="2"/>
  <c r="GQ204" i="2" s="1"/>
  <c r="DU204" i="2" s="1"/>
  <c r="GN204" i="2"/>
  <c r="GO204" i="2" s="1"/>
  <c r="GL204" i="2"/>
  <c r="GM204" i="2" s="1"/>
  <c r="GH204" i="2"/>
  <c r="GG204" i="2"/>
  <c r="GI204" i="2" s="1"/>
  <c r="GD204" i="2"/>
  <c r="GC204" i="2"/>
  <c r="GB204" i="2"/>
  <c r="FY204" i="2"/>
  <c r="FZ204" i="2" s="1"/>
  <c r="FS204" i="2"/>
  <c r="FT204" i="2" s="1"/>
  <c r="EW204" i="2"/>
  <c r="ET204" i="2"/>
  <c r="EU204" i="2" s="1"/>
  <c r="EQ204" i="2"/>
  <c r="ER204" i="2" s="1"/>
  <c r="EJ204" i="2"/>
  <c r="EE204" i="2"/>
  <c r="EF204" i="2" s="1"/>
  <c r="DX204" i="2"/>
  <c r="DP204" i="2"/>
  <c r="DF204" i="2"/>
  <c r="DG204" i="2" s="1"/>
  <c r="DE204" i="2"/>
  <c r="CY204" i="2"/>
  <c r="CZ204" i="2" s="1"/>
  <c r="CF204" i="2"/>
  <c r="CA204" i="2"/>
  <c r="CR204" i="2"/>
  <c r="BO204" i="2"/>
  <c r="BJ204" i="2"/>
  <c r="BM204" i="2" s="1"/>
  <c r="BN204" i="2" s="1"/>
  <c r="BC204" i="2"/>
  <c r="AZ204" i="2"/>
  <c r="AY204" i="2"/>
  <c r="AO204" i="2"/>
  <c r="AN204" i="2"/>
  <c r="AM204" i="2"/>
  <c r="AL204" i="2"/>
  <c r="AK204" i="2"/>
  <c r="AG204" i="2"/>
  <c r="AE204" i="2"/>
  <c r="AF204" i="2" s="1"/>
  <c r="U204" i="2"/>
  <c r="S204" i="2"/>
  <c r="T204" i="2" s="1"/>
  <c r="R204" i="2"/>
  <c r="Y204" i="2" s="1"/>
  <c r="E204" i="2"/>
  <c r="GR203" i="2"/>
  <c r="GS203" i="2" s="1"/>
  <c r="GP203" i="2"/>
  <c r="GQ203" i="2" s="1"/>
  <c r="DU203" i="2" s="1"/>
  <c r="GN203" i="2"/>
  <c r="GO203" i="2" s="1"/>
  <c r="GL203" i="2"/>
  <c r="GM203" i="2" s="1"/>
  <c r="GH203" i="2"/>
  <c r="GG203" i="2"/>
  <c r="GI203" i="2" s="1"/>
  <c r="GD203" i="2"/>
  <c r="GC203" i="2"/>
  <c r="GB203" i="2"/>
  <c r="FY203" i="2"/>
  <c r="GA203" i="2" s="1"/>
  <c r="FS203" i="2"/>
  <c r="FT203" i="2" s="1"/>
  <c r="EW203" i="2"/>
  <c r="ET203" i="2"/>
  <c r="EU203" i="2" s="1"/>
  <c r="EQ203" i="2"/>
  <c r="ER203" i="2" s="1"/>
  <c r="EJ203" i="2"/>
  <c r="EE203" i="2"/>
  <c r="EF203" i="2" s="1"/>
  <c r="DX203" i="2"/>
  <c r="DP203" i="2"/>
  <c r="DF203" i="2"/>
  <c r="DG203" i="2" s="1"/>
  <c r="DE203" i="2"/>
  <c r="CY203" i="2"/>
  <c r="CZ203" i="2" s="1"/>
  <c r="CF203" i="2"/>
  <c r="CA203" i="2"/>
  <c r="CR203" i="2"/>
  <c r="BO203" i="2"/>
  <c r="BJ203" i="2"/>
  <c r="BC203" i="2"/>
  <c r="AZ203" i="2"/>
  <c r="AY203" i="2"/>
  <c r="AO203" i="2"/>
  <c r="AN203" i="2"/>
  <c r="AM203" i="2"/>
  <c r="AL203" i="2"/>
  <c r="AK203" i="2"/>
  <c r="AG203" i="2"/>
  <c r="AE203" i="2"/>
  <c r="AF203" i="2" s="1"/>
  <c r="U203" i="2"/>
  <c r="S203" i="2"/>
  <c r="T203" i="2" s="1"/>
  <c r="R203" i="2"/>
  <c r="Y203" i="2" s="1"/>
  <c r="E203" i="2"/>
  <c r="GR200" i="2"/>
  <c r="GS200" i="2" s="1"/>
  <c r="GP200" i="2"/>
  <c r="GQ200" i="2" s="1"/>
  <c r="DO200" i="2" s="1"/>
  <c r="GN200" i="2"/>
  <c r="GO200" i="2" s="1"/>
  <c r="GL200" i="2"/>
  <c r="GM200" i="2" s="1"/>
  <c r="GH200" i="2"/>
  <c r="GG200" i="2"/>
  <c r="GI200" i="2" s="1"/>
  <c r="GD200" i="2"/>
  <c r="GC200" i="2"/>
  <c r="GB200" i="2"/>
  <c r="FY200" i="2"/>
  <c r="FS200" i="2"/>
  <c r="FT200" i="2" s="1"/>
  <c r="EW200" i="2"/>
  <c r="ET200" i="2"/>
  <c r="EU200" i="2" s="1"/>
  <c r="EQ200" i="2"/>
  <c r="ER200" i="2" s="1"/>
  <c r="EJ200" i="2"/>
  <c r="EE200" i="2"/>
  <c r="EF200" i="2" s="1"/>
  <c r="DX200" i="2"/>
  <c r="DP200" i="2"/>
  <c r="DF200" i="2"/>
  <c r="DH200" i="2" s="1"/>
  <c r="DE200" i="2"/>
  <c r="CY200" i="2"/>
  <c r="CZ200" i="2" s="1"/>
  <c r="CF200" i="2"/>
  <c r="CA200" i="2"/>
  <c r="BO200" i="2"/>
  <c r="BJ200" i="2"/>
  <c r="BM200" i="2" s="1"/>
  <c r="BN200" i="2" s="1"/>
  <c r="BC200" i="2"/>
  <c r="AZ200" i="2"/>
  <c r="AY200" i="2"/>
  <c r="AO200" i="2"/>
  <c r="AN200" i="2"/>
  <c r="AM200" i="2"/>
  <c r="AL200" i="2"/>
  <c r="AK200" i="2"/>
  <c r="AG200" i="2"/>
  <c r="AE200" i="2"/>
  <c r="AF200" i="2" s="1"/>
  <c r="U200" i="2"/>
  <c r="S200" i="2"/>
  <c r="T200" i="2" s="1"/>
  <c r="R200" i="2"/>
  <c r="Y200" i="2" s="1"/>
  <c r="AB200" i="2" s="1"/>
  <c r="E200" i="2"/>
  <c r="GR199" i="2"/>
  <c r="GS199" i="2" s="1"/>
  <c r="GP199" i="2"/>
  <c r="GQ199" i="2" s="1"/>
  <c r="DO199" i="2" s="1"/>
  <c r="GN199" i="2"/>
  <c r="GO199" i="2" s="1"/>
  <c r="GL199" i="2"/>
  <c r="GM199" i="2" s="1"/>
  <c r="GH199" i="2"/>
  <c r="GG199" i="2"/>
  <c r="GI199" i="2" s="1"/>
  <c r="GD199" i="2"/>
  <c r="GC199" i="2"/>
  <c r="GB199" i="2"/>
  <c r="FY199" i="2"/>
  <c r="GA199" i="2" s="1"/>
  <c r="FS199" i="2"/>
  <c r="FT199" i="2" s="1"/>
  <c r="EW199" i="2"/>
  <c r="ET199" i="2"/>
  <c r="EU199" i="2" s="1"/>
  <c r="EQ199" i="2"/>
  <c r="ER199" i="2" s="1"/>
  <c r="EJ199" i="2"/>
  <c r="EE199" i="2"/>
  <c r="EF199" i="2" s="1"/>
  <c r="DX199" i="2"/>
  <c r="DP199" i="2"/>
  <c r="DF199" i="2"/>
  <c r="DG199" i="2" s="1"/>
  <c r="DE199" i="2"/>
  <c r="CY199" i="2"/>
  <c r="CZ199" i="2" s="1"/>
  <c r="CF199" i="2"/>
  <c r="CH199" i="2"/>
  <c r="CA199" i="2"/>
  <c r="BO199" i="2"/>
  <c r="BJ199" i="2"/>
  <c r="BC199" i="2"/>
  <c r="AZ199" i="2"/>
  <c r="AY199" i="2"/>
  <c r="AO199" i="2"/>
  <c r="AN199" i="2"/>
  <c r="AM199" i="2"/>
  <c r="AL199" i="2"/>
  <c r="AK199" i="2"/>
  <c r="AG199" i="2"/>
  <c r="AE199" i="2"/>
  <c r="AF199" i="2" s="1"/>
  <c r="U199" i="2"/>
  <c r="S199" i="2"/>
  <c r="T199" i="2" s="1"/>
  <c r="R199" i="2"/>
  <c r="E199" i="2"/>
  <c r="GR197" i="2"/>
  <c r="GS197" i="2" s="1"/>
  <c r="GP197" i="2"/>
  <c r="GQ197" i="2" s="1"/>
  <c r="GN197" i="2"/>
  <c r="GO197" i="2" s="1"/>
  <c r="GL197" i="2"/>
  <c r="GM197" i="2" s="1"/>
  <c r="GH197" i="2"/>
  <c r="GG197" i="2"/>
  <c r="GI197" i="2" s="1"/>
  <c r="GD197" i="2"/>
  <c r="GC197" i="2"/>
  <c r="GB197" i="2"/>
  <c r="FY197" i="2"/>
  <c r="FS197" i="2"/>
  <c r="FT197" i="2" s="1"/>
  <c r="EW197" i="2"/>
  <c r="ET197" i="2"/>
  <c r="EU197" i="2" s="1"/>
  <c r="EQ197" i="2"/>
  <c r="ER197" i="2" s="1"/>
  <c r="EJ197" i="2"/>
  <c r="EE197" i="2"/>
  <c r="EF197" i="2" s="1"/>
  <c r="DX197" i="2"/>
  <c r="DP197" i="2"/>
  <c r="DF197" i="2"/>
  <c r="DE197" i="2"/>
  <c r="CY197" i="2"/>
  <c r="CZ197" i="2" s="1"/>
  <c r="CF197" i="2"/>
  <c r="CH197" i="2"/>
  <c r="CA197" i="2"/>
  <c r="BO197" i="2"/>
  <c r="BJ197" i="2"/>
  <c r="BM197" i="2" s="1"/>
  <c r="BN197" i="2" s="1"/>
  <c r="BC197" i="2"/>
  <c r="AZ197" i="2"/>
  <c r="AY197" i="2"/>
  <c r="AO197" i="2"/>
  <c r="AN197" i="2"/>
  <c r="AM197" i="2"/>
  <c r="AL197" i="2"/>
  <c r="AK197" i="2"/>
  <c r="AG197" i="2"/>
  <c r="AE197" i="2"/>
  <c r="AF197" i="2" s="1"/>
  <c r="U197" i="2"/>
  <c r="S197" i="2"/>
  <c r="T197" i="2" s="1"/>
  <c r="R197" i="2"/>
  <c r="X197" i="2" s="1"/>
  <c r="AA197" i="2" s="1"/>
  <c r="E197" i="2"/>
  <c r="GR196" i="2"/>
  <c r="GS196" i="2" s="1"/>
  <c r="GP196" i="2"/>
  <c r="GQ196" i="2" s="1"/>
  <c r="GN196" i="2"/>
  <c r="GO196" i="2" s="1"/>
  <c r="GL196" i="2"/>
  <c r="GM196" i="2" s="1"/>
  <c r="GH196" i="2"/>
  <c r="GG196" i="2"/>
  <c r="GI196" i="2" s="1"/>
  <c r="GD196" i="2"/>
  <c r="GC196" i="2"/>
  <c r="GB196" i="2"/>
  <c r="FY196" i="2"/>
  <c r="FS196" i="2"/>
  <c r="FT196" i="2" s="1"/>
  <c r="EW196" i="2"/>
  <c r="ET196" i="2"/>
  <c r="EU196" i="2" s="1"/>
  <c r="EQ196" i="2"/>
  <c r="ER196" i="2" s="1"/>
  <c r="EJ196" i="2"/>
  <c r="EE196" i="2"/>
  <c r="EF196" i="2" s="1"/>
  <c r="DX196" i="2"/>
  <c r="DP196" i="2"/>
  <c r="DF196" i="2"/>
  <c r="DH196" i="2" s="1"/>
  <c r="DE196" i="2"/>
  <c r="CY196" i="2"/>
  <c r="CZ196" i="2" s="1"/>
  <c r="CF196" i="2"/>
  <c r="CH196" i="2"/>
  <c r="CA196" i="2"/>
  <c r="DA196" i="2"/>
  <c r="DB196" i="2" s="1"/>
  <c r="BO196" i="2"/>
  <c r="BJ196" i="2"/>
  <c r="BM196" i="2" s="1"/>
  <c r="BN196" i="2" s="1"/>
  <c r="BC196" i="2"/>
  <c r="AZ196" i="2"/>
  <c r="AY196" i="2"/>
  <c r="AO196" i="2"/>
  <c r="AN196" i="2"/>
  <c r="AM196" i="2"/>
  <c r="AL196" i="2"/>
  <c r="AK196" i="2"/>
  <c r="AG196" i="2"/>
  <c r="AE196" i="2"/>
  <c r="AF196" i="2" s="1"/>
  <c r="U196" i="2"/>
  <c r="S196" i="2"/>
  <c r="T196" i="2" s="1"/>
  <c r="R196" i="2"/>
  <c r="Y196" i="2" s="1"/>
  <c r="AB196" i="2" s="1"/>
  <c r="E196" i="2"/>
  <c r="GR195" i="2"/>
  <c r="GS195" i="2" s="1"/>
  <c r="GP195" i="2"/>
  <c r="GQ195" i="2" s="1"/>
  <c r="DU195" i="2" s="1"/>
  <c r="GN195" i="2"/>
  <c r="GO195" i="2" s="1"/>
  <c r="GL195" i="2"/>
  <c r="GM195" i="2" s="1"/>
  <c r="GH195" i="2"/>
  <c r="GG195" i="2"/>
  <c r="GI195" i="2" s="1"/>
  <c r="GD195" i="2"/>
  <c r="GC195" i="2"/>
  <c r="GB195" i="2"/>
  <c r="FY195" i="2"/>
  <c r="FS195" i="2"/>
  <c r="FT195" i="2" s="1"/>
  <c r="EW195" i="2"/>
  <c r="ET195" i="2"/>
  <c r="EU195" i="2" s="1"/>
  <c r="EQ195" i="2"/>
  <c r="ER195" i="2" s="1"/>
  <c r="EJ195" i="2"/>
  <c r="EE195" i="2"/>
  <c r="EF195" i="2" s="1"/>
  <c r="DX195" i="2"/>
  <c r="DP195" i="2"/>
  <c r="DF195" i="2"/>
  <c r="DG195" i="2" s="1"/>
  <c r="DE195" i="2"/>
  <c r="CY195" i="2"/>
  <c r="CZ195" i="2" s="1"/>
  <c r="CF195" i="2"/>
  <c r="CH195" i="2"/>
  <c r="CA195" i="2"/>
  <c r="BO195" i="2"/>
  <c r="BJ195" i="2"/>
  <c r="BM195" i="2" s="1"/>
  <c r="BN195" i="2" s="1"/>
  <c r="BC195" i="2"/>
  <c r="AZ195" i="2"/>
  <c r="AY195" i="2"/>
  <c r="AO195" i="2"/>
  <c r="AN195" i="2"/>
  <c r="AM195" i="2"/>
  <c r="AL195" i="2"/>
  <c r="AK195" i="2"/>
  <c r="AG195" i="2"/>
  <c r="AE195" i="2"/>
  <c r="AF195" i="2" s="1"/>
  <c r="U195" i="2"/>
  <c r="S195" i="2"/>
  <c r="T195" i="2" s="1"/>
  <c r="R195" i="2"/>
  <c r="X195" i="2" s="1"/>
  <c r="AA195" i="2" s="1"/>
  <c r="E195" i="2"/>
  <c r="GR194" i="2"/>
  <c r="GS194" i="2" s="1"/>
  <c r="GP194" i="2"/>
  <c r="GQ194" i="2" s="1"/>
  <c r="GN194" i="2"/>
  <c r="GO194" i="2" s="1"/>
  <c r="GL194" i="2"/>
  <c r="GM194" i="2" s="1"/>
  <c r="GH194" i="2"/>
  <c r="GG194" i="2"/>
  <c r="GI194" i="2" s="1"/>
  <c r="GD194" i="2"/>
  <c r="GC194" i="2"/>
  <c r="GB194" i="2"/>
  <c r="FY194" i="2"/>
  <c r="GA194" i="2" s="1"/>
  <c r="FS194" i="2"/>
  <c r="FT194" i="2" s="1"/>
  <c r="EW194" i="2"/>
  <c r="ET194" i="2"/>
  <c r="EU194" i="2" s="1"/>
  <c r="EQ194" i="2"/>
  <c r="ER194" i="2" s="1"/>
  <c r="EJ194" i="2"/>
  <c r="EE194" i="2"/>
  <c r="EF194" i="2" s="1"/>
  <c r="DX194" i="2"/>
  <c r="DP194" i="2"/>
  <c r="DF194" i="2"/>
  <c r="DG194" i="2" s="1"/>
  <c r="DE194" i="2"/>
  <c r="CY194" i="2"/>
  <c r="CZ194" i="2" s="1"/>
  <c r="CF194" i="2"/>
  <c r="CH194" i="2"/>
  <c r="CA194" i="2"/>
  <c r="DA194" i="2"/>
  <c r="DB194" i="2" s="1"/>
  <c r="BO194" i="2"/>
  <c r="BJ194" i="2"/>
  <c r="BC194" i="2"/>
  <c r="AZ194" i="2"/>
  <c r="AY194" i="2"/>
  <c r="AO194" i="2"/>
  <c r="AN194" i="2"/>
  <c r="AM194" i="2"/>
  <c r="AL194" i="2"/>
  <c r="AK194" i="2"/>
  <c r="AG194" i="2"/>
  <c r="AE194" i="2"/>
  <c r="AF194" i="2" s="1"/>
  <c r="U194" i="2"/>
  <c r="S194" i="2"/>
  <c r="T194" i="2" s="1"/>
  <c r="R194" i="2"/>
  <c r="X194" i="2" s="1"/>
  <c r="E194" i="2"/>
  <c r="GR193" i="2"/>
  <c r="GS193" i="2" s="1"/>
  <c r="GP193" i="2"/>
  <c r="GQ193" i="2" s="1"/>
  <c r="GN193" i="2"/>
  <c r="GO193" i="2" s="1"/>
  <c r="GL193" i="2"/>
  <c r="GM193" i="2" s="1"/>
  <c r="GH193" i="2"/>
  <c r="GG193" i="2"/>
  <c r="GI193" i="2" s="1"/>
  <c r="GD193" i="2"/>
  <c r="GC193" i="2"/>
  <c r="GB193" i="2"/>
  <c r="FY193" i="2"/>
  <c r="FZ193" i="2" s="1"/>
  <c r="FS193" i="2"/>
  <c r="FT193" i="2" s="1"/>
  <c r="EW193" i="2"/>
  <c r="ET193" i="2"/>
  <c r="EU193" i="2" s="1"/>
  <c r="EQ193" i="2"/>
  <c r="ER193" i="2" s="1"/>
  <c r="EJ193" i="2"/>
  <c r="EE193" i="2"/>
  <c r="EF193" i="2" s="1"/>
  <c r="DX193" i="2"/>
  <c r="DP193" i="2"/>
  <c r="DF193" i="2"/>
  <c r="DE193" i="2"/>
  <c r="CY193" i="2"/>
  <c r="CZ193" i="2" s="1"/>
  <c r="CF193" i="2"/>
  <c r="CH193" i="2"/>
  <c r="CA193" i="2"/>
  <c r="BO193" i="2"/>
  <c r="BJ193" i="2"/>
  <c r="BM193" i="2" s="1"/>
  <c r="BN193" i="2" s="1"/>
  <c r="BC193" i="2"/>
  <c r="AZ193" i="2"/>
  <c r="AY193" i="2"/>
  <c r="AO193" i="2"/>
  <c r="AN193" i="2"/>
  <c r="AM193" i="2"/>
  <c r="AL193" i="2"/>
  <c r="AK193" i="2"/>
  <c r="AG193" i="2"/>
  <c r="AE193" i="2"/>
  <c r="AF193" i="2" s="1"/>
  <c r="U193" i="2"/>
  <c r="S193" i="2"/>
  <c r="T193" i="2" s="1"/>
  <c r="R193" i="2"/>
  <c r="E193" i="2"/>
  <c r="GR192" i="2"/>
  <c r="GS192" i="2" s="1"/>
  <c r="GP192" i="2"/>
  <c r="GQ192" i="2" s="1"/>
  <c r="GN192" i="2"/>
  <c r="GO192" i="2" s="1"/>
  <c r="GL192" i="2"/>
  <c r="GM192" i="2" s="1"/>
  <c r="GH192" i="2"/>
  <c r="GG192" i="2"/>
  <c r="GI192" i="2" s="1"/>
  <c r="GD192" i="2"/>
  <c r="GC192" i="2"/>
  <c r="GB192" i="2"/>
  <c r="FY192" i="2"/>
  <c r="FZ192" i="2" s="1"/>
  <c r="FS192" i="2"/>
  <c r="FT192" i="2" s="1"/>
  <c r="EW192" i="2"/>
  <c r="ET192" i="2"/>
  <c r="EU192" i="2" s="1"/>
  <c r="EQ192" i="2"/>
  <c r="ER192" i="2" s="1"/>
  <c r="EJ192" i="2"/>
  <c r="EE192" i="2"/>
  <c r="EF192" i="2" s="1"/>
  <c r="DX192" i="2"/>
  <c r="DP192" i="2"/>
  <c r="DF192" i="2"/>
  <c r="DH192" i="2" s="1"/>
  <c r="DE192" i="2"/>
  <c r="CY192" i="2"/>
  <c r="CZ192" i="2" s="1"/>
  <c r="CF192" i="2"/>
  <c r="CH192" i="2"/>
  <c r="CA192" i="2"/>
  <c r="DA192" i="2"/>
  <c r="DB192" i="2" s="1"/>
  <c r="BO192" i="2"/>
  <c r="BJ192" i="2"/>
  <c r="BM192" i="2" s="1"/>
  <c r="BN192" i="2" s="1"/>
  <c r="BC192" i="2"/>
  <c r="AZ192" i="2"/>
  <c r="AY192" i="2"/>
  <c r="AO192" i="2"/>
  <c r="AN192" i="2"/>
  <c r="AM192" i="2"/>
  <c r="AL192" i="2"/>
  <c r="AK192" i="2"/>
  <c r="AG192" i="2"/>
  <c r="AE192" i="2"/>
  <c r="AF192" i="2" s="1"/>
  <c r="U192" i="2"/>
  <c r="S192" i="2"/>
  <c r="T192" i="2" s="1"/>
  <c r="R192" i="2"/>
  <c r="X192" i="2" s="1"/>
  <c r="AA192" i="2" s="1"/>
  <c r="E192" i="2"/>
  <c r="GR191" i="2"/>
  <c r="GS191" i="2" s="1"/>
  <c r="GP191" i="2"/>
  <c r="GQ191" i="2" s="1"/>
  <c r="GN191" i="2"/>
  <c r="GO191" i="2" s="1"/>
  <c r="GL191" i="2"/>
  <c r="GM191" i="2" s="1"/>
  <c r="GH191" i="2"/>
  <c r="GG191" i="2"/>
  <c r="GI191" i="2" s="1"/>
  <c r="GD191" i="2"/>
  <c r="GC191" i="2"/>
  <c r="GB191" i="2"/>
  <c r="FY191" i="2"/>
  <c r="FZ191" i="2" s="1"/>
  <c r="FS191" i="2"/>
  <c r="FT191" i="2" s="1"/>
  <c r="EW191" i="2"/>
  <c r="ET191" i="2"/>
  <c r="EU191" i="2" s="1"/>
  <c r="EQ191" i="2"/>
  <c r="ER191" i="2" s="1"/>
  <c r="EJ191" i="2"/>
  <c r="EE191" i="2"/>
  <c r="EF191" i="2" s="1"/>
  <c r="DX191" i="2"/>
  <c r="DP191" i="2"/>
  <c r="DF191" i="2"/>
  <c r="DG191" i="2" s="1"/>
  <c r="DE191" i="2"/>
  <c r="CY191" i="2"/>
  <c r="CZ191" i="2" s="1"/>
  <c r="CF191" i="2"/>
  <c r="CH191" i="2"/>
  <c r="CA191" i="2"/>
  <c r="DA191" i="2"/>
  <c r="DB191" i="2" s="1"/>
  <c r="BO191" i="2"/>
  <c r="BJ191" i="2"/>
  <c r="BC191" i="2"/>
  <c r="AZ191" i="2"/>
  <c r="AY191" i="2"/>
  <c r="AO191" i="2"/>
  <c r="AN191" i="2"/>
  <c r="AM191" i="2"/>
  <c r="AL191" i="2"/>
  <c r="AK191" i="2"/>
  <c r="AG191" i="2"/>
  <c r="AE191" i="2"/>
  <c r="AF191" i="2" s="1"/>
  <c r="U191" i="2"/>
  <c r="S191" i="2"/>
  <c r="T191" i="2" s="1"/>
  <c r="R191" i="2"/>
  <c r="X191" i="2" s="1"/>
  <c r="AA191" i="2" s="1"/>
  <c r="E191" i="2"/>
  <c r="GR190" i="2"/>
  <c r="GS190" i="2" s="1"/>
  <c r="GP190" i="2"/>
  <c r="GQ190" i="2" s="1"/>
  <c r="GN190" i="2"/>
  <c r="GO190" i="2" s="1"/>
  <c r="GL190" i="2"/>
  <c r="GM190" i="2" s="1"/>
  <c r="GH190" i="2"/>
  <c r="GG190" i="2"/>
  <c r="GI190" i="2" s="1"/>
  <c r="GD190" i="2"/>
  <c r="GC190" i="2"/>
  <c r="GB190" i="2"/>
  <c r="FY190" i="2"/>
  <c r="FS190" i="2"/>
  <c r="FT190" i="2" s="1"/>
  <c r="EW190" i="2"/>
  <c r="ET190" i="2"/>
  <c r="EU190" i="2" s="1"/>
  <c r="EQ190" i="2"/>
  <c r="ER190" i="2" s="1"/>
  <c r="EJ190" i="2"/>
  <c r="EE190" i="2"/>
  <c r="EF190" i="2" s="1"/>
  <c r="DX190" i="2"/>
  <c r="DP190" i="2"/>
  <c r="DF190" i="2"/>
  <c r="DE190" i="2"/>
  <c r="CY190" i="2"/>
  <c r="CZ190" i="2" s="1"/>
  <c r="CF190" i="2"/>
  <c r="CH190" i="2"/>
  <c r="CA190" i="2"/>
  <c r="DA190" i="2"/>
  <c r="DB190" i="2" s="1"/>
  <c r="BO190" i="2"/>
  <c r="BJ190" i="2"/>
  <c r="BM190" i="2" s="1"/>
  <c r="BN190" i="2" s="1"/>
  <c r="BC190" i="2"/>
  <c r="AZ190" i="2"/>
  <c r="AY190" i="2"/>
  <c r="AO190" i="2"/>
  <c r="AN190" i="2"/>
  <c r="AM190" i="2"/>
  <c r="AL190" i="2"/>
  <c r="AK190" i="2"/>
  <c r="AG190" i="2"/>
  <c r="AE190" i="2"/>
  <c r="AF190" i="2" s="1"/>
  <c r="U190" i="2"/>
  <c r="S190" i="2"/>
  <c r="T190" i="2" s="1"/>
  <c r="R190" i="2"/>
  <c r="X190" i="2" s="1"/>
  <c r="AA190" i="2" s="1"/>
  <c r="E190" i="2"/>
  <c r="GR189" i="2"/>
  <c r="GS189" i="2" s="1"/>
  <c r="GP189" i="2"/>
  <c r="GQ189" i="2" s="1"/>
  <c r="GN189" i="2"/>
  <c r="GO189" i="2" s="1"/>
  <c r="GL189" i="2"/>
  <c r="GM189" i="2" s="1"/>
  <c r="GH189" i="2"/>
  <c r="GG189" i="2"/>
  <c r="GI189" i="2" s="1"/>
  <c r="GD189" i="2"/>
  <c r="GC189" i="2"/>
  <c r="GB189" i="2"/>
  <c r="FY189" i="2"/>
  <c r="FZ189" i="2" s="1"/>
  <c r="FS189" i="2"/>
  <c r="FT189" i="2" s="1"/>
  <c r="EW189" i="2"/>
  <c r="ET189" i="2"/>
  <c r="EU189" i="2" s="1"/>
  <c r="EQ189" i="2"/>
  <c r="ER189" i="2" s="1"/>
  <c r="EJ189" i="2"/>
  <c r="EE189" i="2"/>
  <c r="EF189" i="2" s="1"/>
  <c r="DX189" i="2"/>
  <c r="DP189" i="2"/>
  <c r="DF189" i="2"/>
  <c r="DE189" i="2"/>
  <c r="CY189" i="2"/>
  <c r="CZ189" i="2" s="1"/>
  <c r="CF189" i="2"/>
  <c r="CH189" i="2"/>
  <c r="CA189" i="2"/>
  <c r="DA189" i="2"/>
  <c r="DB189" i="2" s="1"/>
  <c r="BO189" i="2"/>
  <c r="BJ189" i="2"/>
  <c r="BC189" i="2"/>
  <c r="AZ189" i="2"/>
  <c r="AY189" i="2"/>
  <c r="AO189" i="2"/>
  <c r="AN189" i="2"/>
  <c r="AM189" i="2"/>
  <c r="AL189" i="2"/>
  <c r="AK189" i="2"/>
  <c r="AG189" i="2"/>
  <c r="AE189" i="2"/>
  <c r="AF189" i="2" s="1"/>
  <c r="U189" i="2"/>
  <c r="S189" i="2"/>
  <c r="T189" i="2" s="1"/>
  <c r="R189" i="2"/>
  <c r="X189" i="2" s="1"/>
  <c r="E189" i="2"/>
  <c r="GR188" i="2"/>
  <c r="GS188" i="2" s="1"/>
  <c r="GP188" i="2"/>
  <c r="GQ188" i="2" s="1"/>
  <c r="GN188" i="2"/>
  <c r="GO188" i="2" s="1"/>
  <c r="GL188" i="2"/>
  <c r="GM188" i="2" s="1"/>
  <c r="GH188" i="2"/>
  <c r="GG188" i="2"/>
  <c r="GI188" i="2" s="1"/>
  <c r="GD188" i="2"/>
  <c r="GC188" i="2"/>
  <c r="GB188" i="2"/>
  <c r="FY188" i="2"/>
  <c r="GA188" i="2" s="1"/>
  <c r="FS188" i="2"/>
  <c r="FT188" i="2" s="1"/>
  <c r="EW188" i="2"/>
  <c r="ET188" i="2"/>
  <c r="EU188" i="2" s="1"/>
  <c r="EQ188" i="2"/>
  <c r="ER188" i="2" s="1"/>
  <c r="EJ188" i="2"/>
  <c r="EE188" i="2"/>
  <c r="EF188" i="2" s="1"/>
  <c r="DX188" i="2"/>
  <c r="DP188" i="2"/>
  <c r="DF188" i="2"/>
  <c r="DG188" i="2" s="1"/>
  <c r="DE188" i="2"/>
  <c r="CY188" i="2"/>
  <c r="CZ188" i="2" s="1"/>
  <c r="CF188" i="2"/>
  <c r="CH188" i="2"/>
  <c r="CA188" i="2"/>
  <c r="CR188" i="2"/>
  <c r="BO188" i="2"/>
  <c r="BJ188" i="2"/>
  <c r="BM188" i="2" s="1"/>
  <c r="BN188" i="2" s="1"/>
  <c r="BC188" i="2"/>
  <c r="AZ188" i="2"/>
  <c r="AY188" i="2"/>
  <c r="AO188" i="2"/>
  <c r="AN188" i="2"/>
  <c r="AM188" i="2"/>
  <c r="AL188" i="2"/>
  <c r="AK188" i="2"/>
  <c r="AG188" i="2"/>
  <c r="AE188" i="2"/>
  <c r="AF188" i="2" s="1"/>
  <c r="U188" i="2"/>
  <c r="S188" i="2"/>
  <c r="T188" i="2" s="1"/>
  <c r="R188" i="2"/>
  <c r="Y188" i="2" s="1"/>
  <c r="AB188" i="2" s="1"/>
  <c r="E188" i="2"/>
  <c r="GR187" i="2"/>
  <c r="GS187" i="2" s="1"/>
  <c r="GP187" i="2"/>
  <c r="GQ187" i="2" s="1"/>
  <c r="DU187" i="2" s="1"/>
  <c r="GN187" i="2"/>
  <c r="GO187" i="2" s="1"/>
  <c r="GL187" i="2"/>
  <c r="GM187" i="2" s="1"/>
  <c r="GH187" i="2"/>
  <c r="GG187" i="2"/>
  <c r="GI187" i="2" s="1"/>
  <c r="GD187" i="2"/>
  <c r="GC187" i="2"/>
  <c r="GB187" i="2"/>
  <c r="FY187" i="2"/>
  <c r="GA187" i="2" s="1"/>
  <c r="FS187" i="2"/>
  <c r="FT187" i="2" s="1"/>
  <c r="EW187" i="2"/>
  <c r="ET187" i="2"/>
  <c r="EU187" i="2" s="1"/>
  <c r="EQ187" i="2"/>
  <c r="ER187" i="2" s="1"/>
  <c r="EJ187" i="2"/>
  <c r="EE187" i="2"/>
  <c r="EF187" i="2" s="1"/>
  <c r="DX187" i="2"/>
  <c r="DP187" i="2"/>
  <c r="DF187" i="2"/>
  <c r="DG187" i="2" s="1"/>
  <c r="DE187" i="2"/>
  <c r="CY187" i="2"/>
  <c r="CZ187" i="2" s="1"/>
  <c r="CF187" i="2"/>
  <c r="CH187" i="2"/>
  <c r="CA187" i="2"/>
  <c r="CR187" i="2"/>
  <c r="BO187" i="2"/>
  <c r="BJ187" i="2"/>
  <c r="BM187" i="2" s="1"/>
  <c r="BN187" i="2" s="1"/>
  <c r="BC187" i="2"/>
  <c r="AZ187" i="2"/>
  <c r="AY187" i="2"/>
  <c r="AO187" i="2"/>
  <c r="AN187" i="2"/>
  <c r="AM187" i="2"/>
  <c r="AL187" i="2"/>
  <c r="AK187" i="2"/>
  <c r="AG187" i="2"/>
  <c r="AE187" i="2"/>
  <c r="AF187" i="2" s="1"/>
  <c r="U187" i="2"/>
  <c r="S187" i="2"/>
  <c r="T187" i="2" s="1"/>
  <c r="R187" i="2"/>
  <c r="Y187" i="2" s="1"/>
  <c r="AB187" i="2" s="1"/>
  <c r="E187" i="2"/>
  <c r="GR186" i="2"/>
  <c r="GS186" i="2" s="1"/>
  <c r="GP186" i="2"/>
  <c r="GQ186" i="2" s="1"/>
  <c r="GN186" i="2"/>
  <c r="GO186" i="2" s="1"/>
  <c r="GL186" i="2"/>
  <c r="GM186" i="2" s="1"/>
  <c r="GH186" i="2"/>
  <c r="GG186" i="2"/>
  <c r="GI186" i="2" s="1"/>
  <c r="GD186" i="2"/>
  <c r="GC186" i="2"/>
  <c r="GB186" i="2"/>
  <c r="FY186" i="2"/>
  <c r="GA186" i="2" s="1"/>
  <c r="FS186" i="2"/>
  <c r="FT186" i="2" s="1"/>
  <c r="EW186" i="2"/>
  <c r="ET186" i="2"/>
  <c r="EU186" i="2" s="1"/>
  <c r="EQ186" i="2"/>
  <c r="ER186" i="2" s="1"/>
  <c r="EJ186" i="2"/>
  <c r="EE186" i="2"/>
  <c r="EF186" i="2" s="1"/>
  <c r="DX186" i="2"/>
  <c r="DP186" i="2"/>
  <c r="DF186" i="2"/>
  <c r="DG186" i="2" s="1"/>
  <c r="DE186" i="2"/>
  <c r="CY186" i="2"/>
  <c r="CZ186" i="2" s="1"/>
  <c r="CF186" i="2"/>
  <c r="CH186" i="2"/>
  <c r="CA186" i="2"/>
  <c r="BO186" i="2"/>
  <c r="BJ186" i="2"/>
  <c r="BK186" i="2" s="1"/>
  <c r="CL186" i="2" s="1"/>
  <c r="BC186" i="2"/>
  <c r="AZ186" i="2"/>
  <c r="AY186" i="2"/>
  <c r="AO186" i="2"/>
  <c r="AN186" i="2"/>
  <c r="AM186" i="2"/>
  <c r="AL186" i="2"/>
  <c r="AK186" i="2"/>
  <c r="AG186" i="2"/>
  <c r="AE186" i="2"/>
  <c r="AF186" i="2" s="1"/>
  <c r="U186" i="2"/>
  <c r="S186" i="2"/>
  <c r="T186" i="2" s="1"/>
  <c r="R186" i="2"/>
  <c r="Y186" i="2" s="1"/>
  <c r="AB186" i="2" s="1"/>
  <c r="E186" i="2"/>
  <c r="GR185" i="2"/>
  <c r="GS185" i="2" s="1"/>
  <c r="GP185" i="2"/>
  <c r="GQ185" i="2" s="1"/>
  <c r="DU185" i="2" s="1"/>
  <c r="EG185" i="2" s="1"/>
  <c r="GN185" i="2"/>
  <c r="GO185" i="2" s="1"/>
  <c r="GL185" i="2"/>
  <c r="GM185" i="2" s="1"/>
  <c r="GH185" i="2"/>
  <c r="GG185" i="2"/>
  <c r="GI185" i="2" s="1"/>
  <c r="GD185" i="2"/>
  <c r="GC185" i="2"/>
  <c r="GB185" i="2"/>
  <c r="FY185" i="2"/>
  <c r="GA185" i="2" s="1"/>
  <c r="FS185" i="2"/>
  <c r="FT185" i="2" s="1"/>
  <c r="EW185" i="2"/>
  <c r="ET185" i="2"/>
  <c r="EU185" i="2" s="1"/>
  <c r="EQ185" i="2"/>
  <c r="ER185" i="2" s="1"/>
  <c r="EJ185" i="2"/>
  <c r="EE185" i="2"/>
  <c r="EF185" i="2" s="1"/>
  <c r="DX185" i="2"/>
  <c r="DP185" i="2"/>
  <c r="DF185" i="2"/>
  <c r="DG185" i="2" s="1"/>
  <c r="DE185" i="2"/>
  <c r="CY185" i="2"/>
  <c r="CZ185" i="2" s="1"/>
  <c r="CF185" i="2"/>
  <c r="CH185" i="2"/>
  <c r="CA185" i="2"/>
  <c r="CR185" i="2"/>
  <c r="BO185" i="2"/>
  <c r="BJ185" i="2"/>
  <c r="BC185" i="2"/>
  <c r="AZ185" i="2"/>
  <c r="AY185" i="2"/>
  <c r="AO185" i="2"/>
  <c r="AN185" i="2"/>
  <c r="AM185" i="2"/>
  <c r="AL185" i="2"/>
  <c r="AK185" i="2"/>
  <c r="AG185" i="2"/>
  <c r="AE185" i="2"/>
  <c r="AF185" i="2" s="1"/>
  <c r="U185" i="2"/>
  <c r="S185" i="2"/>
  <c r="T185" i="2" s="1"/>
  <c r="R185" i="2"/>
  <c r="Y185" i="2" s="1"/>
  <c r="AB185" i="2" s="1"/>
  <c r="E185" i="2"/>
  <c r="GR184" i="2"/>
  <c r="GS184" i="2" s="1"/>
  <c r="GP184" i="2"/>
  <c r="GQ184" i="2" s="1"/>
  <c r="DU184" i="2" s="1"/>
  <c r="EG184" i="2" s="1"/>
  <c r="GN184" i="2"/>
  <c r="GO184" i="2" s="1"/>
  <c r="GL184" i="2"/>
  <c r="GM184" i="2" s="1"/>
  <c r="GH184" i="2"/>
  <c r="GG184" i="2"/>
  <c r="GI184" i="2" s="1"/>
  <c r="GD184" i="2"/>
  <c r="GC184" i="2"/>
  <c r="GB184" i="2"/>
  <c r="FY184" i="2"/>
  <c r="GA184" i="2" s="1"/>
  <c r="FS184" i="2"/>
  <c r="FT184" i="2" s="1"/>
  <c r="EW184" i="2"/>
  <c r="ET184" i="2"/>
  <c r="EU184" i="2" s="1"/>
  <c r="EQ184" i="2"/>
  <c r="ER184" i="2" s="1"/>
  <c r="EJ184" i="2"/>
  <c r="EE184" i="2"/>
  <c r="EF184" i="2" s="1"/>
  <c r="DX184" i="2"/>
  <c r="DP184" i="2"/>
  <c r="DF184" i="2"/>
  <c r="DE184" i="2"/>
  <c r="CY184" i="2"/>
  <c r="CZ184" i="2" s="1"/>
  <c r="CF184" i="2"/>
  <c r="CH184" i="2"/>
  <c r="CA184" i="2"/>
  <c r="CR184" i="2"/>
  <c r="BO184" i="2"/>
  <c r="BJ184" i="2"/>
  <c r="BK184" i="2" s="1"/>
  <c r="CL184" i="2" s="1"/>
  <c r="BC184" i="2"/>
  <c r="AZ184" i="2"/>
  <c r="AY184" i="2"/>
  <c r="AO184" i="2"/>
  <c r="AN184" i="2"/>
  <c r="AM184" i="2"/>
  <c r="AL184" i="2"/>
  <c r="AK184" i="2"/>
  <c r="AG184" i="2"/>
  <c r="AE184" i="2"/>
  <c r="AF184" i="2" s="1"/>
  <c r="U184" i="2"/>
  <c r="S184" i="2"/>
  <c r="T184" i="2" s="1"/>
  <c r="R184" i="2"/>
  <c r="Y184" i="2" s="1"/>
  <c r="AB184" i="2" s="1"/>
  <c r="E184" i="2"/>
  <c r="GR183" i="2"/>
  <c r="GS183" i="2" s="1"/>
  <c r="GP183" i="2"/>
  <c r="GQ183" i="2" s="1"/>
  <c r="DU183" i="2" s="1"/>
  <c r="GN183" i="2"/>
  <c r="GO183" i="2" s="1"/>
  <c r="GL183" i="2"/>
  <c r="GM183" i="2" s="1"/>
  <c r="GH183" i="2"/>
  <c r="GG183" i="2"/>
  <c r="GI183" i="2" s="1"/>
  <c r="GD183" i="2"/>
  <c r="GC183" i="2"/>
  <c r="GB183" i="2"/>
  <c r="FY183" i="2"/>
  <c r="GA183" i="2" s="1"/>
  <c r="FS183" i="2"/>
  <c r="FT183" i="2" s="1"/>
  <c r="EW183" i="2"/>
  <c r="ET183" i="2"/>
  <c r="EU183" i="2" s="1"/>
  <c r="EQ183" i="2"/>
  <c r="ER183" i="2" s="1"/>
  <c r="EJ183" i="2"/>
  <c r="EE183" i="2"/>
  <c r="EF183" i="2" s="1"/>
  <c r="DX183" i="2"/>
  <c r="DP183" i="2"/>
  <c r="DF183" i="2"/>
  <c r="DG183" i="2" s="1"/>
  <c r="DE183" i="2"/>
  <c r="CY183" i="2"/>
  <c r="CZ183" i="2" s="1"/>
  <c r="CF183" i="2"/>
  <c r="CH183" i="2"/>
  <c r="CA183" i="2"/>
  <c r="BO183" i="2"/>
  <c r="BJ183" i="2"/>
  <c r="BC183" i="2"/>
  <c r="AZ183" i="2"/>
  <c r="AY183" i="2"/>
  <c r="AO183" i="2"/>
  <c r="AN183" i="2"/>
  <c r="AM183" i="2"/>
  <c r="AL183" i="2"/>
  <c r="AK183" i="2"/>
  <c r="AG183" i="2"/>
  <c r="AE183" i="2"/>
  <c r="AF183" i="2" s="1"/>
  <c r="U183" i="2"/>
  <c r="S183" i="2"/>
  <c r="T183" i="2" s="1"/>
  <c r="R183" i="2"/>
  <c r="Y183" i="2" s="1"/>
  <c r="AB183" i="2" s="1"/>
  <c r="E183" i="2"/>
  <c r="GR182" i="2"/>
  <c r="GS182" i="2" s="1"/>
  <c r="GP182" i="2"/>
  <c r="GQ182" i="2" s="1"/>
  <c r="GN182" i="2"/>
  <c r="GO182" i="2" s="1"/>
  <c r="GL182" i="2"/>
  <c r="GM182" i="2" s="1"/>
  <c r="GH182" i="2"/>
  <c r="GG182" i="2"/>
  <c r="GI182" i="2" s="1"/>
  <c r="GD182" i="2"/>
  <c r="GC182" i="2"/>
  <c r="GB182" i="2"/>
  <c r="FY182" i="2"/>
  <c r="GA182" i="2" s="1"/>
  <c r="FS182" i="2"/>
  <c r="FT182" i="2" s="1"/>
  <c r="EW182" i="2"/>
  <c r="ET182" i="2"/>
  <c r="EU182" i="2" s="1"/>
  <c r="EQ182" i="2"/>
  <c r="ER182" i="2" s="1"/>
  <c r="EJ182" i="2"/>
  <c r="EE182" i="2"/>
  <c r="EF182" i="2" s="1"/>
  <c r="DX182" i="2"/>
  <c r="DP182" i="2"/>
  <c r="DF182" i="2"/>
  <c r="DG182" i="2" s="1"/>
  <c r="DE182" i="2"/>
  <c r="CY182" i="2"/>
  <c r="CZ182" i="2" s="1"/>
  <c r="CF182" i="2"/>
  <c r="CH182" i="2"/>
  <c r="CA182" i="2"/>
  <c r="CR182" i="2"/>
  <c r="BO182" i="2"/>
  <c r="BJ182" i="2"/>
  <c r="BC182" i="2"/>
  <c r="AZ182" i="2"/>
  <c r="AY182" i="2"/>
  <c r="AO182" i="2"/>
  <c r="AN182" i="2"/>
  <c r="AM182" i="2"/>
  <c r="AL182" i="2"/>
  <c r="AK182" i="2"/>
  <c r="AG182" i="2"/>
  <c r="AE182" i="2"/>
  <c r="AF182" i="2" s="1"/>
  <c r="U182" i="2"/>
  <c r="S182" i="2"/>
  <c r="T182" i="2" s="1"/>
  <c r="R182" i="2"/>
  <c r="Y182" i="2" s="1"/>
  <c r="AB182" i="2" s="1"/>
  <c r="E182" i="2"/>
  <c r="GR181" i="2"/>
  <c r="GS181" i="2" s="1"/>
  <c r="GP181" i="2"/>
  <c r="GQ181" i="2" s="1"/>
  <c r="GN181" i="2"/>
  <c r="GO181" i="2" s="1"/>
  <c r="GL181" i="2"/>
  <c r="GM181" i="2" s="1"/>
  <c r="GH181" i="2"/>
  <c r="GG181" i="2"/>
  <c r="GI181" i="2" s="1"/>
  <c r="GD181" i="2"/>
  <c r="GC181" i="2"/>
  <c r="GB181" i="2"/>
  <c r="FY181" i="2"/>
  <c r="GA181" i="2" s="1"/>
  <c r="FS181" i="2"/>
  <c r="FT181" i="2" s="1"/>
  <c r="EW181" i="2"/>
  <c r="ET181" i="2"/>
  <c r="EU181" i="2" s="1"/>
  <c r="EQ181" i="2"/>
  <c r="ER181" i="2" s="1"/>
  <c r="EJ181" i="2"/>
  <c r="EE181" i="2"/>
  <c r="EF181" i="2" s="1"/>
  <c r="DX181" i="2"/>
  <c r="DP181" i="2"/>
  <c r="DF181" i="2"/>
  <c r="DG181" i="2" s="1"/>
  <c r="DE181" i="2"/>
  <c r="CY181" i="2"/>
  <c r="CZ181" i="2" s="1"/>
  <c r="CF181" i="2"/>
  <c r="CH181" i="2"/>
  <c r="CA181" i="2"/>
  <c r="BO181" i="2"/>
  <c r="BJ181" i="2"/>
  <c r="BK181" i="2" s="1"/>
  <c r="CL181" i="2" s="1"/>
  <c r="BC181" i="2"/>
  <c r="AZ181" i="2"/>
  <c r="AY181" i="2"/>
  <c r="AO181" i="2"/>
  <c r="AN181" i="2"/>
  <c r="AM181" i="2"/>
  <c r="AL181" i="2"/>
  <c r="AI181" i="2"/>
  <c r="AK181" i="2" s="1"/>
  <c r="AG181" i="2"/>
  <c r="AE181" i="2"/>
  <c r="AF181" i="2" s="1"/>
  <c r="U181" i="2"/>
  <c r="S181" i="2"/>
  <c r="T181" i="2" s="1"/>
  <c r="R181" i="2"/>
  <c r="Y181" i="2" s="1"/>
  <c r="AB181" i="2" s="1"/>
  <c r="E181" i="2"/>
  <c r="GR180" i="2"/>
  <c r="GS180" i="2" s="1"/>
  <c r="GP180" i="2"/>
  <c r="GQ180" i="2" s="1"/>
  <c r="GN180" i="2"/>
  <c r="GO180" i="2" s="1"/>
  <c r="GL180" i="2"/>
  <c r="GM180" i="2" s="1"/>
  <c r="GH180" i="2"/>
  <c r="GG180" i="2"/>
  <c r="GI180" i="2" s="1"/>
  <c r="GD180" i="2"/>
  <c r="GC180" i="2"/>
  <c r="GB180" i="2"/>
  <c r="FY180" i="2"/>
  <c r="FZ180" i="2" s="1"/>
  <c r="FS180" i="2"/>
  <c r="FT180" i="2" s="1"/>
  <c r="EW180" i="2"/>
  <c r="ET180" i="2"/>
  <c r="EU180" i="2" s="1"/>
  <c r="EQ180" i="2"/>
  <c r="ER180" i="2" s="1"/>
  <c r="EJ180" i="2"/>
  <c r="EE180" i="2"/>
  <c r="EF180" i="2" s="1"/>
  <c r="DX180" i="2"/>
  <c r="DP180" i="2"/>
  <c r="DF180" i="2"/>
  <c r="DH180" i="2" s="1"/>
  <c r="DE180" i="2"/>
  <c r="CY180" i="2"/>
  <c r="CZ180" i="2" s="1"/>
  <c r="CF180" i="2"/>
  <c r="CH180" i="2"/>
  <c r="CA180" i="2"/>
  <c r="BO180" i="2"/>
  <c r="BJ180" i="2"/>
  <c r="BK180" i="2" s="1"/>
  <c r="CL180" i="2" s="1"/>
  <c r="BC180" i="2"/>
  <c r="AZ180" i="2"/>
  <c r="AY180" i="2"/>
  <c r="AO180" i="2"/>
  <c r="AN180" i="2"/>
  <c r="AM180" i="2"/>
  <c r="AL180" i="2"/>
  <c r="AK180" i="2"/>
  <c r="AG180" i="2"/>
  <c r="AE180" i="2"/>
  <c r="AF180" i="2" s="1"/>
  <c r="U180" i="2"/>
  <c r="S180" i="2"/>
  <c r="T180" i="2" s="1"/>
  <c r="R180" i="2"/>
  <c r="E180" i="2"/>
  <c r="GR179" i="2"/>
  <c r="GS179" i="2" s="1"/>
  <c r="GP179" i="2"/>
  <c r="GQ179" i="2" s="1"/>
  <c r="DU179" i="2" s="1"/>
  <c r="GN179" i="2"/>
  <c r="GO179" i="2" s="1"/>
  <c r="GL179" i="2"/>
  <c r="GM179" i="2" s="1"/>
  <c r="GH179" i="2"/>
  <c r="GG179" i="2"/>
  <c r="GI179" i="2" s="1"/>
  <c r="GD179" i="2"/>
  <c r="GC179" i="2"/>
  <c r="GB179" i="2"/>
  <c r="FY179" i="2"/>
  <c r="GA179" i="2" s="1"/>
  <c r="FS179" i="2"/>
  <c r="FT179" i="2" s="1"/>
  <c r="EW179" i="2"/>
  <c r="ET179" i="2"/>
  <c r="EU179" i="2" s="1"/>
  <c r="EQ179" i="2"/>
  <c r="ER179" i="2" s="1"/>
  <c r="EJ179" i="2"/>
  <c r="EE179" i="2"/>
  <c r="EF179" i="2" s="1"/>
  <c r="DX179" i="2"/>
  <c r="DP179" i="2"/>
  <c r="DF179" i="2"/>
  <c r="DH179" i="2" s="1"/>
  <c r="DE179" i="2"/>
  <c r="CY179" i="2"/>
  <c r="CZ179" i="2" s="1"/>
  <c r="CF179" i="2"/>
  <c r="CH179" i="2"/>
  <c r="CA179" i="2"/>
  <c r="CR179" i="2"/>
  <c r="BO179" i="2"/>
  <c r="BJ179" i="2"/>
  <c r="BK179" i="2" s="1"/>
  <c r="CL179" i="2" s="1"/>
  <c r="BC179" i="2"/>
  <c r="AZ179" i="2"/>
  <c r="AY179" i="2"/>
  <c r="AO179" i="2"/>
  <c r="AN179" i="2"/>
  <c r="AM179" i="2"/>
  <c r="AL179" i="2"/>
  <c r="AK179" i="2"/>
  <c r="AG179" i="2"/>
  <c r="AE179" i="2"/>
  <c r="AF179" i="2" s="1"/>
  <c r="U179" i="2"/>
  <c r="S179" i="2"/>
  <c r="T179" i="2" s="1"/>
  <c r="R179" i="2"/>
  <c r="Y179" i="2" s="1"/>
  <c r="AB179" i="2" s="1"/>
  <c r="E179" i="2"/>
  <c r="GR178" i="2"/>
  <c r="GS178" i="2" s="1"/>
  <c r="GP178" i="2"/>
  <c r="GQ178" i="2" s="1"/>
  <c r="DU178" i="2" s="1"/>
  <c r="EG178" i="2" s="1"/>
  <c r="GN178" i="2"/>
  <c r="GO178" i="2" s="1"/>
  <c r="GL178" i="2"/>
  <c r="GM178" i="2" s="1"/>
  <c r="GH178" i="2"/>
  <c r="GG178" i="2"/>
  <c r="GI178" i="2" s="1"/>
  <c r="GD178" i="2"/>
  <c r="GC178" i="2"/>
  <c r="GB178" i="2"/>
  <c r="FY178" i="2"/>
  <c r="FS178" i="2"/>
  <c r="FT178" i="2" s="1"/>
  <c r="EW178" i="2"/>
  <c r="ET178" i="2"/>
  <c r="EU178" i="2" s="1"/>
  <c r="EQ178" i="2"/>
  <c r="ER178" i="2" s="1"/>
  <c r="EJ178" i="2"/>
  <c r="EE178" i="2"/>
  <c r="EF178" i="2" s="1"/>
  <c r="DX178" i="2"/>
  <c r="DP178" i="2"/>
  <c r="DF178" i="2"/>
  <c r="DE178" i="2"/>
  <c r="CY178" i="2"/>
  <c r="CZ178" i="2" s="1"/>
  <c r="CF178" i="2"/>
  <c r="CA178" i="2"/>
  <c r="CR178" i="2"/>
  <c r="BO178" i="2"/>
  <c r="BJ178" i="2"/>
  <c r="BK178" i="2" s="1"/>
  <c r="CL178" i="2" s="1"/>
  <c r="BC178" i="2"/>
  <c r="AZ178" i="2"/>
  <c r="AY178" i="2"/>
  <c r="AO178" i="2"/>
  <c r="AN178" i="2"/>
  <c r="AM178" i="2"/>
  <c r="AL178" i="2"/>
  <c r="AK178" i="2"/>
  <c r="AG178" i="2"/>
  <c r="AE178" i="2"/>
  <c r="AF178" i="2" s="1"/>
  <c r="U178" i="2"/>
  <c r="S178" i="2"/>
  <c r="T178" i="2" s="1"/>
  <c r="R178" i="2"/>
  <c r="E178" i="2"/>
  <c r="GR177" i="2"/>
  <c r="GS177" i="2" s="1"/>
  <c r="GP177" i="2"/>
  <c r="GQ177" i="2" s="1"/>
  <c r="GN177" i="2"/>
  <c r="GO177" i="2" s="1"/>
  <c r="GL177" i="2"/>
  <c r="GM177" i="2" s="1"/>
  <c r="GH177" i="2"/>
  <c r="GG177" i="2"/>
  <c r="GI177" i="2" s="1"/>
  <c r="GD177" i="2"/>
  <c r="GC177" i="2"/>
  <c r="GB177" i="2"/>
  <c r="FY177" i="2"/>
  <c r="GA177" i="2" s="1"/>
  <c r="FS177" i="2"/>
  <c r="FT177" i="2" s="1"/>
  <c r="EW177" i="2"/>
  <c r="ET177" i="2"/>
  <c r="EU177" i="2" s="1"/>
  <c r="EQ177" i="2"/>
  <c r="ER177" i="2" s="1"/>
  <c r="EJ177" i="2"/>
  <c r="EE177" i="2"/>
  <c r="EF177" i="2" s="1"/>
  <c r="DX177" i="2"/>
  <c r="DP177" i="2"/>
  <c r="DF177" i="2"/>
  <c r="DE177" i="2"/>
  <c r="CY177" i="2"/>
  <c r="CZ177" i="2" s="1"/>
  <c r="CF177" i="2"/>
  <c r="CA177" i="2"/>
  <c r="CR177" i="2"/>
  <c r="BO177" i="2"/>
  <c r="BJ177" i="2"/>
  <c r="BK177" i="2" s="1"/>
  <c r="CL177" i="2" s="1"/>
  <c r="BC177" i="2"/>
  <c r="AZ177" i="2"/>
  <c r="AY177" i="2"/>
  <c r="AO177" i="2"/>
  <c r="AN177" i="2"/>
  <c r="AM177" i="2"/>
  <c r="AL177" i="2"/>
  <c r="AK177" i="2"/>
  <c r="AG177" i="2"/>
  <c r="AE177" i="2"/>
  <c r="AF177" i="2" s="1"/>
  <c r="U177" i="2"/>
  <c r="S177" i="2"/>
  <c r="T177" i="2" s="1"/>
  <c r="R177" i="2"/>
  <c r="Y177" i="2" s="1"/>
  <c r="AB177" i="2" s="1"/>
  <c r="E177" i="2"/>
  <c r="GR176" i="2"/>
  <c r="GS176" i="2" s="1"/>
  <c r="GP176" i="2"/>
  <c r="GQ176" i="2" s="1"/>
  <c r="DU176" i="2" s="1"/>
  <c r="GN176" i="2"/>
  <c r="GO176" i="2" s="1"/>
  <c r="GL176" i="2"/>
  <c r="GM176" i="2" s="1"/>
  <c r="GH176" i="2"/>
  <c r="GG176" i="2"/>
  <c r="GI176" i="2" s="1"/>
  <c r="GD176" i="2"/>
  <c r="GC176" i="2"/>
  <c r="GB176" i="2"/>
  <c r="FY176" i="2"/>
  <c r="FS176" i="2"/>
  <c r="FT176" i="2" s="1"/>
  <c r="EW176" i="2"/>
  <c r="ET176" i="2"/>
  <c r="EU176" i="2" s="1"/>
  <c r="EQ176" i="2"/>
  <c r="ER176" i="2" s="1"/>
  <c r="EJ176" i="2"/>
  <c r="EE176" i="2"/>
  <c r="EF176" i="2" s="1"/>
  <c r="DX176" i="2"/>
  <c r="DP176" i="2"/>
  <c r="DF176" i="2"/>
  <c r="DE176" i="2"/>
  <c r="CY176" i="2"/>
  <c r="CZ176" i="2" s="1"/>
  <c r="CF176" i="2"/>
  <c r="CA176" i="2"/>
  <c r="CR176" i="2"/>
  <c r="BO176" i="2"/>
  <c r="BJ176" i="2"/>
  <c r="BK176" i="2" s="1"/>
  <c r="CL176" i="2" s="1"/>
  <c r="BC176" i="2"/>
  <c r="AZ176" i="2"/>
  <c r="AY176" i="2"/>
  <c r="AO176" i="2"/>
  <c r="AN176" i="2"/>
  <c r="AM176" i="2"/>
  <c r="AL176" i="2"/>
  <c r="AK176" i="2"/>
  <c r="AG176" i="2"/>
  <c r="AE176" i="2"/>
  <c r="AF176" i="2" s="1"/>
  <c r="U176" i="2"/>
  <c r="S176" i="2"/>
  <c r="T176" i="2" s="1"/>
  <c r="R176" i="2"/>
  <c r="Y176" i="2" s="1"/>
  <c r="AB176" i="2" s="1"/>
  <c r="E176" i="2"/>
  <c r="GR174" i="2"/>
  <c r="GS174" i="2" s="1"/>
  <c r="GP174" i="2"/>
  <c r="GQ174" i="2" s="1"/>
  <c r="GN174" i="2"/>
  <c r="GO174" i="2" s="1"/>
  <c r="GL174" i="2"/>
  <c r="GM174" i="2" s="1"/>
  <c r="GH174" i="2"/>
  <c r="GG174" i="2"/>
  <c r="GI174" i="2" s="1"/>
  <c r="GD174" i="2"/>
  <c r="GC174" i="2"/>
  <c r="GB174" i="2"/>
  <c r="FY174" i="2"/>
  <c r="FZ174" i="2" s="1"/>
  <c r="FS174" i="2"/>
  <c r="FT174" i="2" s="1"/>
  <c r="EW174" i="2"/>
  <c r="ET174" i="2"/>
  <c r="EU174" i="2" s="1"/>
  <c r="EQ174" i="2"/>
  <c r="ER174" i="2" s="1"/>
  <c r="EJ174" i="2"/>
  <c r="EE174" i="2"/>
  <c r="EF174" i="2" s="1"/>
  <c r="DX174" i="2"/>
  <c r="DP174" i="2"/>
  <c r="DF174" i="2"/>
  <c r="DE174" i="2"/>
  <c r="CY174" i="2"/>
  <c r="CZ174" i="2" s="1"/>
  <c r="CF174" i="2"/>
  <c r="CH174" i="2"/>
  <c r="CA174" i="2"/>
  <c r="CR174" i="2"/>
  <c r="BO174" i="2"/>
  <c r="BJ174" i="2"/>
  <c r="BK174" i="2" s="1"/>
  <c r="CL174" i="2" s="1"/>
  <c r="BC174" i="2"/>
  <c r="AZ174" i="2"/>
  <c r="AY174" i="2"/>
  <c r="AO174" i="2"/>
  <c r="AN174" i="2"/>
  <c r="AM174" i="2"/>
  <c r="AL174" i="2"/>
  <c r="AK174" i="2"/>
  <c r="AG174" i="2"/>
  <c r="AE174" i="2"/>
  <c r="AF174" i="2" s="1"/>
  <c r="U174" i="2"/>
  <c r="S174" i="2"/>
  <c r="T174" i="2" s="1"/>
  <c r="R174" i="2"/>
  <c r="Y174" i="2" s="1"/>
  <c r="AB174" i="2" s="1"/>
  <c r="E174" i="2"/>
  <c r="GR173" i="2"/>
  <c r="GS173" i="2" s="1"/>
  <c r="GP173" i="2"/>
  <c r="GQ173" i="2" s="1"/>
  <c r="DU173" i="2" s="1"/>
  <c r="GN173" i="2"/>
  <c r="GO173" i="2" s="1"/>
  <c r="GL173" i="2"/>
  <c r="GM173" i="2" s="1"/>
  <c r="GH173" i="2"/>
  <c r="GG173" i="2"/>
  <c r="GI173" i="2" s="1"/>
  <c r="GD173" i="2"/>
  <c r="GC173" i="2"/>
  <c r="GB173" i="2"/>
  <c r="FY173" i="2"/>
  <c r="GA173" i="2" s="1"/>
  <c r="FS173" i="2"/>
  <c r="FT173" i="2" s="1"/>
  <c r="EW173" i="2"/>
  <c r="ET173" i="2"/>
  <c r="EU173" i="2" s="1"/>
  <c r="EQ173" i="2"/>
  <c r="ER173" i="2" s="1"/>
  <c r="EJ173" i="2"/>
  <c r="EE173" i="2"/>
  <c r="EF173" i="2" s="1"/>
  <c r="DX173" i="2"/>
  <c r="DP173" i="2"/>
  <c r="DF173" i="2"/>
  <c r="DE173" i="2"/>
  <c r="CY173" i="2"/>
  <c r="CZ173" i="2" s="1"/>
  <c r="CF173" i="2"/>
  <c r="CH173" i="2"/>
  <c r="CA173" i="2"/>
  <c r="DA173" i="2"/>
  <c r="DB173" i="2" s="1"/>
  <c r="BO173" i="2"/>
  <c r="BJ173" i="2"/>
  <c r="BM173" i="2" s="1"/>
  <c r="BN173" i="2" s="1"/>
  <c r="BC173" i="2"/>
  <c r="AZ173" i="2"/>
  <c r="AY173" i="2"/>
  <c r="AO173" i="2"/>
  <c r="AN173" i="2"/>
  <c r="AM173" i="2"/>
  <c r="AL173" i="2"/>
  <c r="AK173" i="2"/>
  <c r="AG173" i="2"/>
  <c r="AE173" i="2"/>
  <c r="AF173" i="2" s="1"/>
  <c r="U173" i="2"/>
  <c r="S173" i="2"/>
  <c r="T173" i="2" s="1"/>
  <c r="R173" i="2"/>
  <c r="Y173" i="2" s="1"/>
  <c r="AB173" i="2" s="1"/>
  <c r="E173" i="2"/>
  <c r="GR172" i="2"/>
  <c r="GS172" i="2" s="1"/>
  <c r="GP172" i="2"/>
  <c r="GQ172" i="2" s="1"/>
  <c r="DU172" i="2" s="1"/>
  <c r="GN172" i="2"/>
  <c r="GO172" i="2" s="1"/>
  <c r="GL172" i="2"/>
  <c r="GM172" i="2" s="1"/>
  <c r="GH172" i="2"/>
  <c r="GG172" i="2"/>
  <c r="GI172" i="2" s="1"/>
  <c r="GD172" i="2"/>
  <c r="GC172" i="2"/>
  <c r="GB172" i="2"/>
  <c r="FY172" i="2"/>
  <c r="GA172" i="2" s="1"/>
  <c r="FS172" i="2"/>
  <c r="FT172" i="2" s="1"/>
  <c r="EW172" i="2"/>
  <c r="ET172" i="2"/>
  <c r="EU172" i="2" s="1"/>
  <c r="EQ172" i="2"/>
  <c r="ER172" i="2" s="1"/>
  <c r="EJ172" i="2"/>
  <c r="EE172" i="2"/>
  <c r="EF172" i="2" s="1"/>
  <c r="DX172" i="2"/>
  <c r="DP172" i="2"/>
  <c r="DF172" i="2"/>
  <c r="DE172" i="2"/>
  <c r="CY172" i="2"/>
  <c r="CZ172" i="2" s="1"/>
  <c r="CF172" i="2"/>
  <c r="CH172" i="2"/>
  <c r="CA172" i="2"/>
  <c r="BO172" i="2"/>
  <c r="BJ172" i="2"/>
  <c r="BC172" i="2"/>
  <c r="AZ172" i="2"/>
  <c r="AY172" i="2"/>
  <c r="AO172" i="2"/>
  <c r="AN172" i="2"/>
  <c r="AM172" i="2"/>
  <c r="AL172" i="2"/>
  <c r="AK172" i="2"/>
  <c r="AG172" i="2"/>
  <c r="AE172" i="2"/>
  <c r="AF172" i="2" s="1"/>
  <c r="U172" i="2"/>
  <c r="S172" i="2"/>
  <c r="T172" i="2" s="1"/>
  <c r="R172" i="2"/>
  <c r="E172" i="2"/>
  <c r="GR171" i="2"/>
  <c r="GS171" i="2" s="1"/>
  <c r="GP171" i="2"/>
  <c r="GQ171" i="2" s="1"/>
  <c r="DU171" i="2" s="1"/>
  <c r="GN171" i="2"/>
  <c r="GO171" i="2" s="1"/>
  <c r="GL171" i="2"/>
  <c r="GM171" i="2" s="1"/>
  <c r="GH171" i="2"/>
  <c r="GG171" i="2"/>
  <c r="GI171" i="2" s="1"/>
  <c r="GD171" i="2"/>
  <c r="GC171" i="2"/>
  <c r="GB171" i="2"/>
  <c r="FY171" i="2"/>
  <c r="FS171" i="2"/>
  <c r="FT171" i="2" s="1"/>
  <c r="EW171" i="2"/>
  <c r="ET171" i="2"/>
  <c r="EU171" i="2" s="1"/>
  <c r="EQ171" i="2"/>
  <c r="ER171" i="2" s="1"/>
  <c r="EJ171" i="2"/>
  <c r="EE171" i="2"/>
  <c r="EF171" i="2" s="1"/>
  <c r="DX171" i="2"/>
  <c r="DP171" i="2"/>
  <c r="DF171" i="2"/>
  <c r="DE171" i="2"/>
  <c r="CY171" i="2"/>
  <c r="CZ171" i="2" s="1"/>
  <c r="CF171" i="2"/>
  <c r="CH171" i="2"/>
  <c r="CA171" i="2"/>
  <c r="BO171" i="2"/>
  <c r="BJ171" i="2"/>
  <c r="BM171" i="2" s="1"/>
  <c r="BN171" i="2" s="1"/>
  <c r="BC171" i="2"/>
  <c r="AZ171" i="2"/>
  <c r="AY171" i="2"/>
  <c r="AO171" i="2"/>
  <c r="AN171" i="2"/>
  <c r="AM171" i="2"/>
  <c r="AL171" i="2"/>
  <c r="AK171" i="2"/>
  <c r="AG171" i="2"/>
  <c r="AE171" i="2"/>
  <c r="AF171" i="2" s="1"/>
  <c r="U171" i="2"/>
  <c r="S171" i="2"/>
  <c r="T171" i="2" s="1"/>
  <c r="R171" i="2"/>
  <c r="E171" i="2"/>
  <c r="GR170" i="2"/>
  <c r="GS170" i="2" s="1"/>
  <c r="GP170" i="2"/>
  <c r="GQ170" i="2" s="1"/>
  <c r="DU170" i="2" s="1"/>
  <c r="GN170" i="2"/>
  <c r="GO170" i="2" s="1"/>
  <c r="GL170" i="2"/>
  <c r="GM170" i="2" s="1"/>
  <c r="GH170" i="2"/>
  <c r="GG170" i="2"/>
  <c r="GI170" i="2" s="1"/>
  <c r="GD170" i="2"/>
  <c r="GC170" i="2"/>
  <c r="GB170" i="2"/>
  <c r="FY170" i="2"/>
  <c r="GA170" i="2" s="1"/>
  <c r="FS170" i="2"/>
  <c r="FT170" i="2" s="1"/>
  <c r="EW170" i="2"/>
  <c r="ET170" i="2"/>
  <c r="EU170" i="2" s="1"/>
  <c r="EQ170" i="2"/>
  <c r="ER170" i="2" s="1"/>
  <c r="EJ170" i="2"/>
  <c r="EE170" i="2"/>
  <c r="EF170" i="2" s="1"/>
  <c r="DX170" i="2"/>
  <c r="DP170" i="2"/>
  <c r="DF170" i="2"/>
  <c r="DE170" i="2"/>
  <c r="CY170" i="2"/>
  <c r="CZ170" i="2" s="1"/>
  <c r="CF170" i="2"/>
  <c r="CH170" i="2"/>
  <c r="CA170" i="2"/>
  <c r="CW170" i="2"/>
  <c r="BO170" i="2"/>
  <c r="BJ170" i="2"/>
  <c r="BM170" i="2" s="1"/>
  <c r="BN170" i="2" s="1"/>
  <c r="BC170" i="2"/>
  <c r="AZ170" i="2"/>
  <c r="AY170" i="2"/>
  <c r="AO170" i="2"/>
  <c r="AN170" i="2"/>
  <c r="AM170" i="2"/>
  <c r="AL170" i="2"/>
  <c r="AK170" i="2"/>
  <c r="AG170" i="2"/>
  <c r="AE170" i="2"/>
  <c r="AF170" i="2" s="1"/>
  <c r="U170" i="2"/>
  <c r="S170" i="2"/>
  <c r="R170" i="2"/>
  <c r="Y170" i="2" s="1"/>
  <c r="AB170" i="2" s="1"/>
  <c r="E170" i="2"/>
  <c r="GR169" i="2"/>
  <c r="GS169" i="2" s="1"/>
  <c r="GP169" i="2"/>
  <c r="GQ169" i="2" s="1"/>
  <c r="DU169" i="2" s="1"/>
  <c r="GN169" i="2"/>
  <c r="GO169" i="2" s="1"/>
  <c r="GL169" i="2"/>
  <c r="GM169" i="2" s="1"/>
  <c r="GH169" i="2"/>
  <c r="GG169" i="2"/>
  <c r="GI169" i="2" s="1"/>
  <c r="GD169" i="2"/>
  <c r="GC169" i="2"/>
  <c r="GB169" i="2"/>
  <c r="FY169" i="2"/>
  <c r="FS169" i="2"/>
  <c r="FT169" i="2" s="1"/>
  <c r="EW169" i="2"/>
  <c r="ET169" i="2"/>
  <c r="EU169" i="2" s="1"/>
  <c r="EQ169" i="2"/>
  <c r="ER169" i="2" s="1"/>
  <c r="EJ169" i="2"/>
  <c r="EE169" i="2"/>
  <c r="EF169" i="2" s="1"/>
  <c r="DX169" i="2"/>
  <c r="DP169" i="2"/>
  <c r="DF169" i="2"/>
  <c r="DE169" i="2"/>
  <c r="CY169" i="2"/>
  <c r="CZ169" i="2" s="1"/>
  <c r="CF169" i="2"/>
  <c r="CH169" i="2"/>
  <c r="CA169" i="2"/>
  <c r="CW169" i="2"/>
  <c r="BO169" i="2"/>
  <c r="BJ169" i="2"/>
  <c r="BM169" i="2" s="1"/>
  <c r="BN169" i="2" s="1"/>
  <c r="BC169" i="2"/>
  <c r="AZ169" i="2"/>
  <c r="AY169" i="2"/>
  <c r="AO169" i="2"/>
  <c r="AN169" i="2"/>
  <c r="AM169" i="2"/>
  <c r="AL169" i="2"/>
  <c r="AK169" i="2"/>
  <c r="AG169" i="2"/>
  <c r="AE169" i="2"/>
  <c r="AF169" i="2" s="1"/>
  <c r="U169" i="2"/>
  <c r="S169" i="2"/>
  <c r="R169" i="2"/>
  <c r="Y169" i="2" s="1"/>
  <c r="AB169" i="2" s="1"/>
  <c r="E169" i="2"/>
  <c r="GR168" i="2"/>
  <c r="GS168" i="2" s="1"/>
  <c r="GP168" i="2"/>
  <c r="GQ168" i="2" s="1"/>
  <c r="DU168" i="2" s="1"/>
  <c r="GN168" i="2"/>
  <c r="GO168" i="2" s="1"/>
  <c r="GL168" i="2"/>
  <c r="GM168" i="2" s="1"/>
  <c r="GH168" i="2"/>
  <c r="GG168" i="2"/>
  <c r="GI168" i="2" s="1"/>
  <c r="GD168" i="2"/>
  <c r="GC168" i="2"/>
  <c r="GB168" i="2"/>
  <c r="FY168" i="2"/>
  <c r="GA168" i="2" s="1"/>
  <c r="FS168" i="2"/>
  <c r="FT168" i="2" s="1"/>
  <c r="EW168" i="2"/>
  <c r="ET168" i="2"/>
  <c r="EU168" i="2" s="1"/>
  <c r="EQ168" i="2"/>
  <c r="ER168" i="2" s="1"/>
  <c r="EJ168" i="2"/>
  <c r="EE168" i="2"/>
  <c r="EF168" i="2" s="1"/>
  <c r="DX168" i="2"/>
  <c r="DP168" i="2"/>
  <c r="DF168" i="2"/>
  <c r="DE168" i="2"/>
  <c r="CY168" i="2"/>
  <c r="CZ168" i="2" s="1"/>
  <c r="CF168" i="2"/>
  <c r="CH168" i="2"/>
  <c r="CA168" i="2"/>
  <c r="DA168" i="2"/>
  <c r="DB168" i="2" s="1"/>
  <c r="BO168" i="2"/>
  <c r="BJ168" i="2"/>
  <c r="BM168" i="2" s="1"/>
  <c r="BN168" i="2" s="1"/>
  <c r="BC168" i="2"/>
  <c r="AZ168" i="2"/>
  <c r="AY168" i="2"/>
  <c r="AO168" i="2"/>
  <c r="AN168" i="2"/>
  <c r="AM168" i="2"/>
  <c r="AL168" i="2"/>
  <c r="AK168" i="2"/>
  <c r="AG168" i="2"/>
  <c r="AE168" i="2"/>
  <c r="AF168" i="2" s="1"/>
  <c r="U168" i="2"/>
  <c r="S168" i="2"/>
  <c r="T168" i="2" s="1"/>
  <c r="R168" i="2"/>
  <c r="X168" i="2" s="1"/>
  <c r="E168" i="2"/>
  <c r="GR201" i="2"/>
  <c r="GS201" i="2" s="1"/>
  <c r="GP201" i="2"/>
  <c r="GQ201" i="2" s="1"/>
  <c r="GL201" i="2"/>
  <c r="GM201" i="2" s="1"/>
  <c r="GH201" i="2"/>
  <c r="GG201" i="2"/>
  <c r="GI201" i="2" s="1"/>
  <c r="GD201" i="2"/>
  <c r="GC201" i="2"/>
  <c r="GB201" i="2"/>
  <c r="FY201" i="2"/>
  <c r="GA201" i="2" s="1"/>
  <c r="FS201" i="2"/>
  <c r="FT201" i="2" s="1"/>
  <c r="EW201" i="2"/>
  <c r="ET201" i="2"/>
  <c r="EU201" i="2" s="1"/>
  <c r="EQ201" i="2"/>
  <c r="ER201" i="2" s="1"/>
  <c r="EJ201" i="2"/>
  <c r="EE201" i="2"/>
  <c r="EF201" i="2" s="1"/>
  <c r="DX201" i="2"/>
  <c r="DP201" i="2"/>
  <c r="DF201" i="2"/>
  <c r="DE201" i="2"/>
  <c r="CY201" i="2"/>
  <c r="CF201" i="2"/>
  <c r="CA201" i="2"/>
  <c r="BO201" i="2"/>
  <c r="BJ201" i="2"/>
  <c r="BM201" i="2" s="1"/>
  <c r="BN201" i="2" s="1"/>
  <c r="BC201" i="2"/>
  <c r="AZ201" i="2"/>
  <c r="AY201" i="2"/>
  <c r="AO201" i="2"/>
  <c r="AN201" i="2"/>
  <c r="AM201" i="2"/>
  <c r="AL201" i="2"/>
  <c r="AK201" i="2"/>
  <c r="AG201" i="2"/>
  <c r="AE201" i="2"/>
  <c r="AF201" i="2" s="1"/>
  <c r="U201" i="2"/>
  <c r="S201" i="2"/>
  <c r="T201" i="2" s="1"/>
  <c r="R201" i="2"/>
  <c r="X201" i="2" s="1"/>
  <c r="E201" i="2"/>
  <c r="GR11" i="2"/>
  <c r="GS11" i="2" s="1"/>
  <c r="GP11" i="2"/>
  <c r="GQ11" i="2" s="1"/>
  <c r="GN11" i="2"/>
  <c r="GO11" i="2" s="1"/>
  <c r="GL11" i="2"/>
  <c r="GM11" i="2" s="1"/>
  <c r="GH11" i="2"/>
  <c r="GG11" i="2"/>
  <c r="GI11" i="2" s="1"/>
  <c r="GD11" i="2"/>
  <c r="GC11" i="2"/>
  <c r="GB11" i="2"/>
  <c r="FY11" i="2"/>
  <c r="GA11" i="2" s="1"/>
  <c r="FS11" i="2"/>
  <c r="FT11" i="2" s="1"/>
  <c r="EW11" i="2"/>
  <c r="ET11" i="2"/>
  <c r="EU11" i="2" s="1"/>
  <c r="EQ11" i="2"/>
  <c r="ER11" i="2" s="1"/>
  <c r="EJ11" i="2"/>
  <c r="EE11" i="2"/>
  <c r="EF11" i="2" s="1"/>
  <c r="DX11" i="2"/>
  <c r="DP11" i="2"/>
  <c r="DF11" i="2"/>
  <c r="DE11" i="2"/>
  <c r="CY11" i="2"/>
  <c r="CZ11" i="2" s="1"/>
  <c r="CF11" i="2"/>
  <c r="CA11" i="2"/>
  <c r="BO11" i="2"/>
  <c r="BJ11" i="2"/>
  <c r="BC11" i="2"/>
  <c r="AZ11" i="2"/>
  <c r="AY11" i="2"/>
  <c r="AO11" i="2"/>
  <c r="AN11" i="2"/>
  <c r="AM11" i="2"/>
  <c r="AL11" i="2"/>
  <c r="AK11" i="2"/>
  <c r="AG11" i="2"/>
  <c r="AE11" i="2"/>
  <c r="AF11" i="2" s="1"/>
  <c r="U11" i="2"/>
  <c r="S11" i="2"/>
  <c r="T11" i="2" s="1"/>
  <c r="R11" i="2"/>
  <c r="E11" i="2"/>
  <c r="GR165" i="2"/>
  <c r="GS165" i="2" s="1"/>
  <c r="GP165" i="2"/>
  <c r="GQ165" i="2" s="1"/>
  <c r="GN165" i="2"/>
  <c r="GO165" i="2" s="1"/>
  <c r="GL165" i="2"/>
  <c r="GM165" i="2" s="1"/>
  <c r="GH165" i="2"/>
  <c r="GG165" i="2"/>
  <c r="GI165" i="2" s="1"/>
  <c r="GD165" i="2"/>
  <c r="GC165" i="2"/>
  <c r="GB165" i="2"/>
  <c r="FY165" i="2"/>
  <c r="GA165" i="2" s="1"/>
  <c r="FS165" i="2"/>
  <c r="FT165" i="2" s="1"/>
  <c r="EW165" i="2"/>
  <c r="ET165" i="2"/>
  <c r="EU165" i="2" s="1"/>
  <c r="EQ165" i="2"/>
  <c r="ER165" i="2" s="1"/>
  <c r="EJ165" i="2"/>
  <c r="EE165" i="2"/>
  <c r="EF165" i="2" s="1"/>
  <c r="DX165" i="2"/>
  <c r="DP165" i="2"/>
  <c r="DF165" i="2"/>
  <c r="DE165" i="2"/>
  <c r="CY165" i="2"/>
  <c r="CZ165" i="2" s="1"/>
  <c r="CF165" i="2"/>
  <c r="CA165" i="2"/>
  <c r="BO165" i="2"/>
  <c r="BJ165" i="2"/>
  <c r="BC165" i="2"/>
  <c r="AZ165" i="2"/>
  <c r="AY165" i="2"/>
  <c r="AO165" i="2"/>
  <c r="AN165" i="2"/>
  <c r="AM165" i="2"/>
  <c r="AL165" i="2"/>
  <c r="AK165" i="2"/>
  <c r="AG165" i="2"/>
  <c r="AE165" i="2"/>
  <c r="AF165" i="2" s="1"/>
  <c r="U165" i="2"/>
  <c r="S165" i="2"/>
  <c r="T165" i="2" s="1"/>
  <c r="R165" i="2"/>
  <c r="X165" i="2" s="1"/>
  <c r="E165" i="2"/>
  <c r="GR164" i="2"/>
  <c r="GS164" i="2" s="1"/>
  <c r="GP164" i="2"/>
  <c r="GQ164" i="2" s="1"/>
  <c r="DO164" i="2" s="1"/>
  <c r="DS164" i="2" s="1"/>
  <c r="GN164" i="2"/>
  <c r="GO164" i="2" s="1"/>
  <c r="GL164" i="2"/>
  <c r="GM164" i="2" s="1"/>
  <c r="GH164" i="2"/>
  <c r="GG164" i="2"/>
  <c r="GI164" i="2" s="1"/>
  <c r="GD164" i="2"/>
  <c r="GC164" i="2"/>
  <c r="GB164" i="2"/>
  <c r="FY164" i="2"/>
  <c r="FS164" i="2"/>
  <c r="FT164" i="2" s="1"/>
  <c r="EW164" i="2"/>
  <c r="ET164" i="2"/>
  <c r="EU164" i="2" s="1"/>
  <c r="EQ164" i="2"/>
  <c r="ER164" i="2" s="1"/>
  <c r="EJ164" i="2"/>
  <c r="EE164" i="2"/>
  <c r="EF164" i="2" s="1"/>
  <c r="DX164" i="2"/>
  <c r="DP164" i="2"/>
  <c r="DF164" i="2"/>
  <c r="DE164" i="2"/>
  <c r="CY164" i="2"/>
  <c r="CZ164" i="2" s="1"/>
  <c r="CF164" i="2"/>
  <c r="CA164" i="2"/>
  <c r="BO164" i="2"/>
  <c r="BJ164" i="2"/>
  <c r="BC164" i="2"/>
  <c r="AZ164" i="2"/>
  <c r="AY164" i="2"/>
  <c r="AO164" i="2"/>
  <c r="AN164" i="2"/>
  <c r="AM164" i="2"/>
  <c r="AL164" i="2"/>
  <c r="AK164" i="2"/>
  <c r="AG164" i="2"/>
  <c r="AE164" i="2"/>
  <c r="AF164" i="2" s="1"/>
  <c r="U164" i="2"/>
  <c r="S164" i="2"/>
  <c r="T164" i="2" s="1"/>
  <c r="R164" i="2"/>
  <c r="E164" i="2"/>
  <c r="GR163" i="2"/>
  <c r="GS163" i="2" s="1"/>
  <c r="GP163" i="2"/>
  <c r="GQ163" i="2" s="1"/>
  <c r="DO163" i="2" s="1"/>
  <c r="GN163" i="2"/>
  <c r="GO163" i="2" s="1"/>
  <c r="GL163" i="2"/>
  <c r="GM163" i="2" s="1"/>
  <c r="GH163" i="2"/>
  <c r="GG163" i="2"/>
  <c r="GI163" i="2" s="1"/>
  <c r="GD163" i="2"/>
  <c r="GC163" i="2"/>
  <c r="GB163" i="2"/>
  <c r="FY163" i="2"/>
  <c r="FS163" i="2"/>
  <c r="FT163" i="2" s="1"/>
  <c r="EW163" i="2"/>
  <c r="ET163" i="2"/>
  <c r="EU163" i="2" s="1"/>
  <c r="EQ163" i="2"/>
  <c r="ER163" i="2" s="1"/>
  <c r="EJ163" i="2"/>
  <c r="EE163" i="2"/>
  <c r="EF163" i="2" s="1"/>
  <c r="DX163" i="2"/>
  <c r="DP163" i="2"/>
  <c r="DF163" i="2"/>
  <c r="DE163" i="2"/>
  <c r="CY163" i="2"/>
  <c r="CZ163" i="2" s="1"/>
  <c r="CF163" i="2"/>
  <c r="CA163" i="2"/>
  <c r="CR163" i="2"/>
  <c r="BO163" i="2"/>
  <c r="BJ163" i="2"/>
  <c r="BM163" i="2" s="1"/>
  <c r="BN163" i="2" s="1"/>
  <c r="BC163" i="2"/>
  <c r="AZ163" i="2"/>
  <c r="AY163" i="2"/>
  <c r="AO163" i="2"/>
  <c r="AN163" i="2"/>
  <c r="AM163" i="2"/>
  <c r="AL163" i="2"/>
  <c r="AK163" i="2"/>
  <c r="AG163" i="2"/>
  <c r="AE163" i="2"/>
  <c r="AF163" i="2" s="1"/>
  <c r="U163" i="2"/>
  <c r="S163" i="2"/>
  <c r="T163" i="2" s="1"/>
  <c r="R163" i="2"/>
  <c r="X163" i="2" s="1"/>
  <c r="E163" i="2"/>
  <c r="GR162" i="2"/>
  <c r="GS162" i="2" s="1"/>
  <c r="GP162" i="2"/>
  <c r="GQ162" i="2" s="1"/>
  <c r="GN162" i="2"/>
  <c r="GO162" i="2" s="1"/>
  <c r="GL162" i="2"/>
  <c r="GM162" i="2" s="1"/>
  <c r="GH162" i="2"/>
  <c r="GG162" i="2"/>
  <c r="GI162" i="2" s="1"/>
  <c r="GD162" i="2"/>
  <c r="GC162" i="2"/>
  <c r="GB162" i="2"/>
  <c r="FY162" i="2"/>
  <c r="GA162" i="2" s="1"/>
  <c r="FS162" i="2"/>
  <c r="FT162" i="2" s="1"/>
  <c r="EW162" i="2"/>
  <c r="ET162" i="2"/>
  <c r="EU162" i="2" s="1"/>
  <c r="EQ162" i="2"/>
  <c r="ER162" i="2" s="1"/>
  <c r="EJ162" i="2"/>
  <c r="EE162" i="2"/>
  <c r="EF162" i="2" s="1"/>
  <c r="DX162" i="2"/>
  <c r="DP162" i="2"/>
  <c r="DF162" i="2"/>
  <c r="DH162" i="2" s="1"/>
  <c r="DE162" i="2"/>
  <c r="CY162" i="2"/>
  <c r="CZ162" i="2" s="1"/>
  <c r="CF162" i="2"/>
  <c r="CA162" i="2"/>
  <c r="CR162" i="2"/>
  <c r="BO162" i="2"/>
  <c r="BJ162" i="2"/>
  <c r="BM162" i="2" s="1"/>
  <c r="BN162" i="2" s="1"/>
  <c r="BC162" i="2"/>
  <c r="AZ162" i="2"/>
  <c r="AY162" i="2"/>
  <c r="AO162" i="2"/>
  <c r="AN162" i="2"/>
  <c r="AM162" i="2"/>
  <c r="AL162" i="2"/>
  <c r="AK162" i="2"/>
  <c r="AG162" i="2"/>
  <c r="AE162" i="2"/>
  <c r="AF162" i="2" s="1"/>
  <c r="U162" i="2"/>
  <c r="S162" i="2"/>
  <c r="T162" i="2" s="1"/>
  <c r="R162" i="2"/>
  <c r="Y162" i="2" s="1"/>
  <c r="AB162" i="2" s="1"/>
  <c r="E162" i="2"/>
  <c r="GP175" i="2"/>
  <c r="GQ175" i="2" s="1"/>
  <c r="GL175" i="2"/>
  <c r="GM175" i="2" s="1"/>
  <c r="GH175" i="2"/>
  <c r="GG175" i="2"/>
  <c r="GI175" i="2" s="1"/>
  <c r="GD175" i="2"/>
  <c r="GC175" i="2"/>
  <c r="GB175" i="2"/>
  <c r="FY175" i="2"/>
  <c r="FS175" i="2"/>
  <c r="FT175" i="2" s="1"/>
  <c r="EW175" i="2"/>
  <c r="ET175" i="2"/>
  <c r="EU175" i="2" s="1"/>
  <c r="EQ175" i="2"/>
  <c r="ER175" i="2" s="1"/>
  <c r="EJ175" i="2"/>
  <c r="EE175" i="2"/>
  <c r="EF175" i="2" s="1"/>
  <c r="DX175" i="2"/>
  <c r="DP175" i="2"/>
  <c r="DF175" i="2"/>
  <c r="DE175" i="2"/>
  <c r="CY175" i="2"/>
  <c r="CF175" i="2"/>
  <c r="CA175" i="2"/>
  <c r="BO175" i="2"/>
  <c r="BJ175" i="2"/>
  <c r="BM175" i="2" s="1"/>
  <c r="BN175" i="2" s="1"/>
  <c r="BC175" i="2"/>
  <c r="AZ175" i="2"/>
  <c r="AY175" i="2"/>
  <c r="AO175" i="2"/>
  <c r="AN175" i="2"/>
  <c r="AM175" i="2"/>
  <c r="AL175" i="2"/>
  <c r="AI175" i="2"/>
  <c r="AK175" i="2" s="1"/>
  <c r="AG175" i="2"/>
  <c r="AE175" i="2"/>
  <c r="AF175" i="2" s="1"/>
  <c r="U175" i="2"/>
  <c r="S175" i="2"/>
  <c r="T175" i="2" s="1"/>
  <c r="R175" i="2"/>
  <c r="Y175" i="2" s="1"/>
  <c r="AB175" i="2" s="1"/>
  <c r="E175" i="2"/>
  <c r="GR160" i="2"/>
  <c r="GS160" i="2" s="1"/>
  <c r="GP160" i="2"/>
  <c r="GQ160" i="2" s="1"/>
  <c r="DO160" i="2" s="1"/>
  <c r="DS160" i="2" s="1"/>
  <c r="GN160" i="2"/>
  <c r="GO160" i="2" s="1"/>
  <c r="GL160" i="2"/>
  <c r="GM160" i="2" s="1"/>
  <c r="GH160" i="2"/>
  <c r="GG160" i="2"/>
  <c r="GI160" i="2" s="1"/>
  <c r="GD160" i="2"/>
  <c r="GC160" i="2"/>
  <c r="GB160" i="2"/>
  <c r="FY160" i="2"/>
  <c r="FZ160" i="2" s="1"/>
  <c r="FS160" i="2"/>
  <c r="FT160" i="2" s="1"/>
  <c r="EW160" i="2"/>
  <c r="ET160" i="2"/>
  <c r="EU160" i="2" s="1"/>
  <c r="EQ160" i="2"/>
  <c r="ER160" i="2" s="1"/>
  <c r="EJ160" i="2"/>
  <c r="EE160" i="2"/>
  <c r="EF160" i="2" s="1"/>
  <c r="DX160" i="2"/>
  <c r="DP160" i="2"/>
  <c r="DF160" i="2"/>
  <c r="DH160" i="2" s="1"/>
  <c r="DE160" i="2"/>
  <c r="CY160" i="2"/>
  <c r="CZ160" i="2" s="1"/>
  <c r="CF160" i="2"/>
  <c r="CA160" i="2"/>
  <c r="CW160" i="2"/>
  <c r="BO160" i="2"/>
  <c r="BJ160" i="2"/>
  <c r="BM160" i="2" s="1"/>
  <c r="BN160" i="2" s="1"/>
  <c r="BC160" i="2"/>
  <c r="AZ160" i="2"/>
  <c r="AY160" i="2"/>
  <c r="AO160" i="2"/>
  <c r="AN160" i="2"/>
  <c r="AM160" i="2"/>
  <c r="AL160" i="2"/>
  <c r="AK160" i="2"/>
  <c r="AG160" i="2"/>
  <c r="AE160" i="2"/>
  <c r="AF160" i="2" s="1"/>
  <c r="U160" i="2"/>
  <c r="S160" i="2"/>
  <c r="T160" i="2" s="1"/>
  <c r="R160" i="2"/>
  <c r="Y160" i="2" s="1"/>
  <c r="AB160" i="2" s="1"/>
  <c r="E160" i="2"/>
  <c r="GR159" i="2"/>
  <c r="GS159" i="2" s="1"/>
  <c r="GP159" i="2"/>
  <c r="GQ159" i="2" s="1"/>
  <c r="GN159" i="2"/>
  <c r="GO159" i="2" s="1"/>
  <c r="GL159" i="2"/>
  <c r="GM159" i="2" s="1"/>
  <c r="GH159" i="2"/>
  <c r="GG159" i="2"/>
  <c r="GI159" i="2" s="1"/>
  <c r="GD159" i="2"/>
  <c r="GC159" i="2"/>
  <c r="GB159" i="2"/>
  <c r="FY159" i="2"/>
  <c r="FS159" i="2"/>
  <c r="FT159" i="2" s="1"/>
  <c r="EW159" i="2"/>
  <c r="ET159" i="2"/>
  <c r="EU159" i="2" s="1"/>
  <c r="EQ159" i="2"/>
  <c r="ER159" i="2" s="1"/>
  <c r="EJ159" i="2"/>
  <c r="EE159" i="2"/>
  <c r="EF159" i="2" s="1"/>
  <c r="DX159" i="2"/>
  <c r="DP159" i="2"/>
  <c r="DF159" i="2"/>
  <c r="DH159" i="2" s="1"/>
  <c r="DE159" i="2"/>
  <c r="CY159" i="2"/>
  <c r="CZ159" i="2" s="1"/>
  <c r="CF159" i="2"/>
  <c r="CA159" i="2"/>
  <c r="BO159" i="2"/>
  <c r="BJ159" i="2"/>
  <c r="BC159" i="2"/>
  <c r="AZ159" i="2"/>
  <c r="AY159" i="2"/>
  <c r="AO159" i="2"/>
  <c r="AN159" i="2"/>
  <c r="AM159" i="2"/>
  <c r="AL159" i="2"/>
  <c r="AK159" i="2"/>
  <c r="AG159" i="2"/>
  <c r="AE159" i="2"/>
  <c r="AF159" i="2" s="1"/>
  <c r="U159" i="2"/>
  <c r="S159" i="2"/>
  <c r="T159" i="2" s="1"/>
  <c r="R159" i="2"/>
  <c r="Y159" i="2" s="1"/>
  <c r="AB159" i="2" s="1"/>
  <c r="E159" i="2"/>
  <c r="GR158" i="2"/>
  <c r="GS158" i="2" s="1"/>
  <c r="GP158" i="2"/>
  <c r="GQ158" i="2" s="1"/>
  <c r="DO158" i="2" s="1"/>
  <c r="DS158" i="2" s="1"/>
  <c r="GN158" i="2"/>
  <c r="GO158" i="2" s="1"/>
  <c r="GL158" i="2"/>
  <c r="GM158" i="2" s="1"/>
  <c r="GH158" i="2"/>
  <c r="GG158" i="2"/>
  <c r="GI158" i="2" s="1"/>
  <c r="GD158" i="2"/>
  <c r="GC158" i="2"/>
  <c r="GB158" i="2"/>
  <c r="FY158" i="2"/>
  <c r="FZ158" i="2" s="1"/>
  <c r="FS158" i="2"/>
  <c r="FT158" i="2" s="1"/>
  <c r="EW158" i="2"/>
  <c r="ET158" i="2"/>
  <c r="EU158" i="2" s="1"/>
  <c r="EQ158" i="2"/>
  <c r="ER158" i="2" s="1"/>
  <c r="EJ158" i="2"/>
  <c r="EE158" i="2"/>
  <c r="EF158" i="2" s="1"/>
  <c r="DX158" i="2"/>
  <c r="DP158" i="2"/>
  <c r="DF158" i="2"/>
  <c r="DH158" i="2" s="1"/>
  <c r="DE158" i="2"/>
  <c r="CY158" i="2"/>
  <c r="CZ158" i="2" s="1"/>
  <c r="CF158" i="2"/>
  <c r="CA158" i="2"/>
  <c r="CW158" i="2"/>
  <c r="BO158" i="2"/>
  <c r="BJ158" i="2"/>
  <c r="BM158" i="2" s="1"/>
  <c r="BN158" i="2" s="1"/>
  <c r="BC158" i="2"/>
  <c r="AZ158" i="2"/>
  <c r="AY158" i="2"/>
  <c r="AO158" i="2"/>
  <c r="AN158" i="2"/>
  <c r="AM158" i="2"/>
  <c r="AL158" i="2"/>
  <c r="AK158" i="2"/>
  <c r="AG158" i="2"/>
  <c r="AE158" i="2"/>
  <c r="AF158" i="2" s="1"/>
  <c r="U158" i="2"/>
  <c r="S158" i="2"/>
  <c r="T158" i="2" s="1"/>
  <c r="R158" i="2"/>
  <c r="E158" i="2"/>
  <c r="GR157" i="2"/>
  <c r="GS157" i="2" s="1"/>
  <c r="GP157" i="2"/>
  <c r="GQ157" i="2" s="1"/>
  <c r="DO157" i="2" s="1"/>
  <c r="DS157" i="2" s="1"/>
  <c r="GN157" i="2"/>
  <c r="GO157" i="2" s="1"/>
  <c r="GL157" i="2"/>
  <c r="GM157" i="2" s="1"/>
  <c r="GH157" i="2"/>
  <c r="GG157" i="2"/>
  <c r="GI157" i="2" s="1"/>
  <c r="GD157" i="2"/>
  <c r="GC157" i="2"/>
  <c r="GB157" i="2"/>
  <c r="FY157" i="2"/>
  <c r="FZ157" i="2" s="1"/>
  <c r="FS157" i="2"/>
  <c r="FT157" i="2" s="1"/>
  <c r="EW157" i="2"/>
  <c r="ET157" i="2"/>
  <c r="EU157" i="2" s="1"/>
  <c r="EQ157" i="2"/>
  <c r="ER157" i="2" s="1"/>
  <c r="EJ157" i="2"/>
  <c r="EE157" i="2"/>
  <c r="EF157" i="2" s="1"/>
  <c r="DX157" i="2"/>
  <c r="DP157" i="2"/>
  <c r="DF157" i="2"/>
  <c r="DE157" i="2"/>
  <c r="CY157" i="2"/>
  <c r="CZ157" i="2" s="1"/>
  <c r="CF157" i="2"/>
  <c r="CA157" i="2"/>
  <c r="CW157" i="2"/>
  <c r="BO157" i="2"/>
  <c r="BJ157" i="2"/>
  <c r="BM157" i="2" s="1"/>
  <c r="BN157" i="2" s="1"/>
  <c r="BC157" i="2"/>
  <c r="AZ157" i="2"/>
  <c r="AY157" i="2"/>
  <c r="AO157" i="2"/>
  <c r="AN157" i="2"/>
  <c r="AM157" i="2"/>
  <c r="AL157" i="2"/>
  <c r="AK157" i="2"/>
  <c r="AG157" i="2"/>
  <c r="AE157" i="2"/>
  <c r="AF157" i="2" s="1"/>
  <c r="U157" i="2"/>
  <c r="S157" i="2"/>
  <c r="T157" i="2" s="1"/>
  <c r="R157" i="2"/>
  <c r="Y157" i="2" s="1"/>
  <c r="AB157" i="2" s="1"/>
  <c r="E157" i="2"/>
  <c r="GR156" i="2"/>
  <c r="GS156" i="2" s="1"/>
  <c r="GP156" i="2"/>
  <c r="GQ156" i="2" s="1"/>
  <c r="DO156" i="2" s="1"/>
  <c r="DS156" i="2" s="1"/>
  <c r="GN156" i="2"/>
  <c r="GO156" i="2" s="1"/>
  <c r="GL156" i="2"/>
  <c r="GM156" i="2" s="1"/>
  <c r="GH156" i="2"/>
  <c r="GG156" i="2"/>
  <c r="GI156" i="2" s="1"/>
  <c r="GD156" i="2"/>
  <c r="GC156" i="2"/>
  <c r="GB156" i="2"/>
  <c r="FY156" i="2"/>
  <c r="FZ156" i="2" s="1"/>
  <c r="FS156" i="2"/>
  <c r="FT156" i="2" s="1"/>
  <c r="EW156" i="2"/>
  <c r="ET156" i="2"/>
  <c r="EU156" i="2" s="1"/>
  <c r="EQ156" i="2"/>
  <c r="ER156" i="2" s="1"/>
  <c r="EJ156" i="2"/>
  <c r="EE156" i="2"/>
  <c r="EF156" i="2" s="1"/>
  <c r="DX156" i="2"/>
  <c r="DP156" i="2"/>
  <c r="DF156" i="2"/>
  <c r="DE156" i="2"/>
  <c r="CY156" i="2"/>
  <c r="CZ156" i="2" s="1"/>
  <c r="CF156" i="2"/>
  <c r="CA156" i="2"/>
  <c r="CW156" i="2"/>
  <c r="BO156" i="2"/>
  <c r="BJ156" i="2"/>
  <c r="BM156" i="2" s="1"/>
  <c r="BN156" i="2" s="1"/>
  <c r="BC156" i="2"/>
  <c r="AZ156" i="2"/>
  <c r="AY156" i="2"/>
  <c r="AO156" i="2"/>
  <c r="AN156" i="2"/>
  <c r="AM156" i="2"/>
  <c r="AL156" i="2"/>
  <c r="AK156" i="2"/>
  <c r="AG156" i="2"/>
  <c r="AE156" i="2"/>
  <c r="AF156" i="2" s="1"/>
  <c r="U156" i="2"/>
  <c r="S156" i="2"/>
  <c r="T156" i="2" s="1"/>
  <c r="R156" i="2"/>
  <c r="Y156" i="2" s="1"/>
  <c r="AB156" i="2" s="1"/>
  <c r="E156" i="2"/>
  <c r="GR155" i="2"/>
  <c r="GS155" i="2" s="1"/>
  <c r="GP155" i="2"/>
  <c r="GQ155" i="2" s="1"/>
  <c r="DO155" i="2" s="1"/>
  <c r="DS155" i="2" s="1"/>
  <c r="GN155" i="2"/>
  <c r="GO155" i="2" s="1"/>
  <c r="GL155" i="2"/>
  <c r="GM155" i="2" s="1"/>
  <c r="GH155" i="2"/>
  <c r="GG155" i="2"/>
  <c r="GI155" i="2" s="1"/>
  <c r="GD155" i="2"/>
  <c r="GC155" i="2"/>
  <c r="GB155" i="2"/>
  <c r="FY155" i="2"/>
  <c r="FZ155" i="2" s="1"/>
  <c r="FS155" i="2"/>
  <c r="FT155" i="2" s="1"/>
  <c r="EW155" i="2"/>
  <c r="ET155" i="2"/>
  <c r="EU155" i="2" s="1"/>
  <c r="EQ155" i="2"/>
  <c r="ER155" i="2" s="1"/>
  <c r="EJ155" i="2"/>
  <c r="DX155" i="2"/>
  <c r="DP155" i="2"/>
  <c r="DF155" i="2"/>
  <c r="DE155" i="2"/>
  <c r="CY155" i="2"/>
  <c r="CZ155" i="2" s="1"/>
  <c r="CF155" i="2"/>
  <c r="CH155" i="2"/>
  <c r="CA155" i="2"/>
  <c r="CW155" i="2"/>
  <c r="BO155" i="2"/>
  <c r="BJ155" i="2"/>
  <c r="BM155" i="2" s="1"/>
  <c r="BN155" i="2" s="1"/>
  <c r="BC155" i="2"/>
  <c r="AZ155" i="2"/>
  <c r="AY155" i="2"/>
  <c r="AO155" i="2"/>
  <c r="AN155" i="2"/>
  <c r="AM155" i="2"/>
  <c r="AL155" i="2"/>
  <c r="AK155" i="2"/>
  <c r="AG155" i="2"/>
  <c r="AE155" i="2"/>
  <c r="AF155" i="2" s="1"/>
  <c r="U155" i="2"/>
  <c r="S155" i="2"/>
  <c r="T155" i="2" s="1"/>
  <c r="R155" i="2"/>
  <c r="E155" i="2"/>
  <c r="GR154" i="2"/>
  <c r="GS154" i="2" s="1"/>
  <c r="GP154" i="2"/>
  <c r="GQ154" i="2" s="1"/>
  <c r="DO154" i="2" s="1"/>
  <c r="EC154" i="2" s="1"/>
  <c r="GN154" i="2"/>
  <c r="GO154" i="2" s="1"/>
  <c r="GL154" i="2"/>
  <c r="GM154" i="2" s="1"/>
  <c r="GH154" i="2"/>
  <c r="GG154" i="2"/>
  <c r="GI154" i="2" s="1"/>
  <c r="GD154" i="2"/>
  <c r="GC154" i="2"/>
  <c r="GB154" i="2"/>
  <c r="FY154" i="2"/>
  <c r="FZ154" i="2" s="1"/>
  <c r="FS154" i="2"/>
  <c r="FT154" i="2" s="1"/>
  <c r="EW154" i="2"/>
  <c r="ET154" i="2"/>
  <c r="EU154" i="2" s="1"/>
  <c r="EQ154" i="2"/>
  <c r="ER154" i="2" s="1"/>
  <c r="EJ154" i="2"/>
  <c r="EE154" i="2"/>
  <c r="EF154" i="2" s="1"/>
  <c r="DX154" i="2"/>
  <c r="DP154" i="2"/>
  <c r="DF154" i="2"/>
  <c r="DG154" i="2" s="1"/>
  <c r="DE154" i="2"/>
  <c r="CY154" i="2"/>
  <c r="CZ154" i="2" s="1"/>
  <c r="CF154" i="2"/>
  <c r="CH154" i="2"/>
  <c r="CA154" i="2"/>
  <c r="CR154" i="2"/>
  <c r="BO154" i="2"/>
  <c r="BJ154" i="2"/>
  <c r="AZ154" i="2"/>
  <c r="AY154" i="2"/>
  <c r="AO154" i="2"/>
  <c r="AN154" i="2"/>
  <c r="AM154" i="2"/>
  <c r="AL154" i="2"/>
  <c r="AK154" i="2"/>
  <c r="AG154" i="2"/>
  <c r="AE154" i="2"/>
  <c r="AF154" i="2" s="1"/>
  <c r="U154" i="2"/>
  <c r="S154" i="2"/>
  <c r="T154" i="2" s="1"/>
  <c r="R154" i="2"/>
  <c r="X154" i="2" s="1"/>
  <c r="E154" i="2"/>
  <c r="GR153" i="2"/>
  <c r="GS153" i="2" s="1"/>
  <c r="GP153" i="2"/>
  <c r="GQ153" i="2" s="1"/>
  <c r="GN153" i="2"/>
  <c r="GO153" i="2" s="1"/>
  <c r="GL153" i="2"/>
  <c r="GM153" i="2" s="1"/>
  <c r="GH153" i="2"/>
  <c r="GG153" i="2"/>
  <c r="GI153" i="2" s="1"/>
  <c r="GD153" i="2"/>
  <c r="GC153" i="2"/>
  <c r="GB153" i="2"/>
  <c r="FY153" i="2"/>
  <c r="GA153" i="2" s="1"/>
  <c r="FS153" i="2"/>
  <c r="FT153" i="2" s="1"/>
  <c r="EW153" i="2"/>
  <c r="ET153" i="2"/>
  <c r="EU153" i="2" s="1"/>
  <c r="EQ153" i="2"/>
  <c r="ER153" i="2" s="1"/>
  <c r="EJ153" i="2"/>
  <c r="EE153" i="2"/>
  <c r="EF153" i="2" s="1"/>
  <c r="DX153" i="2"/>
  <c r="DP153" i="2"/>
  <c r="DF153" i="2"/>
  <c r="DH153" i="2" s="1"/>
  <c r="DE153" i="2"/>
  <c r="CY153" i="2"/>
  <c r="CZ153" i="2" s="1"/>
  <c r="CF153" i="2"/>
  <c r="CH153" i="2"/>
  <c r="CA153" i="2"/>
  <c r="DA153" i="2"/>
  <c r="DB153" i="2" s="1"/>
  <c r="BO153" i="2"/>
  <c r="BJ153" i="2"/>
  <c r="BC153" i="2"/>
  <c r="AZ153" i="2"/>
  <c r="AY153" i="2"/>
  <c r="AO153" i="2"/>
  <c r="AN153" i="2"/>
  <c r="AM153" i="2"/>
  <c r="AL153" i="2"/>
  <c r="AK153" i="2"/>
  <c r="AG153" i="2"/>
  <c r="AE153" i="2"/>
  <c r="AF153" i="2" s="1"/>
  <c r="U153" i="2"/>
  <c r="S153" i="2"/>
  <c r="T153" i="2" s="1"/>
  <c r="R153" i="2"/>
  <c r="X153" i="2" s="1"/>
  <c r="AA153" i="2" s="1"/>
  <c r="E153" i="2"/>
  <c r="GR152" i="2"/>
  <c r="GS152" i="2" s="1"/>
  <c r="GP152" i="2"/>
  <c r="GQ152" i="2" s="1"/>
  <c r="GN152" i="2"/>
  <c r="GO152" i="2" s="1"/>
  <c r="GL152" i="2"/>
  <c r="GM152" i="2" s="1"/>
  <c r="GH152" i="2"/>
  <c r="GG152" i="2"/>
  <c r="GI152" i="2" s="1"/>
  <c r="GD152" i="2"/>
  <c r="GC152" i="2"/>
  <c r="GB152" i="2"/>
  <c r="FY152" i="2"/>
  <c r="GA152" i="2" s="1"/>
  <c r="FS152" i="2"/>
  <c r="FT152" i="2" s="1"/>
  <c r="EW152" i="2"/>
  <c r="ET152" i="2"/>
  <c r="EU152" i="2" s="1"/>
  <c r="EQ152" i="2"/>
  <c r="ER152" i="2" s="1"/>
  <c r="EJ152" i="2"/>
  <c r="EE152" i="2"/>
  <c r="EF152" i="2" s="1"/>
  <c r="DX152" i="2"/>
  <c r="DP152" i="2"/>
  <c r="DF152" i="2"/>
  <c r="DH152" i="2" s="1"/>
  <c r="DE152" i="2"/>
  <c r="CY152" i="2"/>
  <c r="CZ152" i="2" s="1"/>
  <c r="CF152" i="2"/>
  <c r="CH152" i="2"/>
  <c r="CA152" i="2"/>
  <c r="DA152" i="2"/>
  <c r="DB152" i="2" s="1"/>
  <c r="BO152" i="2"/>
  <c r="BJ152" i="2"/>
  <c r="BK152" i="2" s="1"/>
  <c r="CL152" i="2" s="1"/>
  <c r="BC152" i="2"/>
  <c r="AZ152" i="2"/>
  <c r="AY152" i="2"/>
  <c r="AO152" i="2"/>
  <c r="AN152" i="2"/>
  <c r="AM152" i="2"/>
  <c r="AL152" i="2"/>
  <c r="AK152" i="2"/>
  <c r="AG152" i="2"/>
  <c r="AE152" i="2"/>
  <c r="AF152" i="2" s="1"/>
  <c r="U152" i="2"/>
  <c r="S152" i="2"/>
  <c r="T152" i="2" s="1"/>
  <c r="R152" i="2"/>
  <c r="E152" i="2"/>
  <c r="GR151" i="2"/>
  <c r="GS151" i="2" s="1"/>
  <c r="GP151" i="2"/>
  <c r="GQ151" i="2" s="1"/>
  <c r="GN151" i="2"/>
  <c r="GO151" i="2" s="1"/>
  <c r="GL151" i="2"/>
  <c r="GM151" i="2" s="1"/>
  <c r="GH151" i="2"/>
  <c r="GG151" i="2"/>
  <c r="GI151" i="2" s="1"/>
  <c r="GD151" i="2"/>
  <c r="GC151" i="2"/>
  <c r="GB151" i="2"/>
  <c r="FY151" i="2"/>
  <c r="GA151" i="2" s="1"/>
  <c r="FS151" i="2"/>
  <c r="FT151" i="2" s="1"/>
  <c r="EW151" i="2"/>
  <c r="ET151" i="2"/>
  <c r="EU151" i="2" s="1"/>
  <c r="EQ151" i="2"/>
  <c r="ER151" i="2" s="1"/>
  <c r="EJ151" i="2"/>
  <c r="EE151" i="2"/>
  <c r="EF151" i="2" s="1"/>
  <c r="DX151" i="2"/>
  <c r="DP151" i="2"/>
  <c r="DF151" i="2"/>
  <c r="DH151" i="2" s="1"/>
  <c r="DE151" i="2"/>
  <c r="CY151" i="2"/>
  <c r="CZ151" i="2" s="1"/>
  <c r="CF151" i="2"/>
  <c r="CH151" i="2"/>
  <c r="CA151" i="2"/>
  <c r="DA151" i="2"/>
  <c r="DB151" i="2" s="1"/>
  <c r="BO151" i="2"/>
  <c r="BJ151" i="2"/>
  <c r="BM151" i="2" s="1"/>
  <c r="BN151" i="2" s="1"/>
  <c r="BC151" i="2"/>
  <c r="AZ151" i="2"/>
  <c r="AY151" i="2"/>
  <c r="AO151" i="2"/>
  <c r="AN151" i="2"/>
  <c r="AM151" i="2"/>
  <c r="AL151" i="2"/>
  <c r="AK151" i="2"/>
  <c r="AG151" i="2"/>
  <c r="AE151" i="2"/>
  <c r="AF151" i="2" s="1"/>
  <c r="U151" i="2"/>
  <c r="S151" i="2"/>
  <c r="T151" i="2" s="1"/>
  <c r="R151" i="2"/>
  <c r="E151" i="2"/>
  <c r="GR150" i="2"/>
  <c r="GS150" i="2" s="1"/>
  <c r="GP150" i="2"/>
  <c r="GQ150" i="2" s="1"/>
  <c r="GN150" i="2"/>
  <c r="GO150" i="2" s="1"/>
  <c r="GL150" i="2"/>
  <c r="GM150" i="2" s="1"/>
  <c r="GH150" i="2"/>
  <c r="GG150" i="2"/>
  <c r="GI150" i="2" s="1"/>
  <c r="GD150" i="2"/>
  <c r="GC150" i="2"/>
  <c r="GB150" i="2"/>
  <c r="FY150" i="2"/>
  <c r="GA150" i="2" s="1"/>
  <c r="FS150" i="2"/>
  <c r="FT150" i="2" s="1"/>
  <c r="EW150" i="2"/>
  <c r="ET150" i="2"/>
  <c r="EU150" i="2" s="1"/>
  <c r="EQ150" i="2"/>
  <c r="ER150" i="2" s="1"/>
  <c r="EJ150" i="2"/>
  <c r="EE150" i="2"/>
  <c r="EF150" i="2" s="1"/>
  <c r="DX150" i="2"/>
  <c r="DP150" i="2"/>
  <c r="DF150" i="2"/>
  <c r="DH150" i="2" s="1"/>
  <c r="DE150" i="2"/>
  <c r="CY150" i="2"/>
  <c r="CZ150" i="2" s="1"/>
  <c r="CF150" i="2"/>
  <c r="CH150" i="2"/>
  <c r="CA150" i="2"/>
  <c r="DA150" i="2"/>
  <c r="DB150" i="2" s="1"/>
  <c r="BO150" i="2"/>
  <c r="BJ150" i="2"/>
  <c r="BM150" i="2" s="1"/>
  <c r="BN150" i="2" s="1"/>
  <c r="BC150" i="2"/>
  <c r="AZ150" i="2"/>
  <c r="AY150" i="2"/>
  <c r="AO150" i="2"/>
  <c r="AN150" i="2"/>
  <c r="AM150" i="2"/>
  <c r="AL150" i="2"/>
  <c r="AK150" i="2"/>
  <c r="AG150" i="2"/>
  <c r="AE150" i="2"/>
  <c r="AF150" i="2" s="1"/>
  <c r="U150" i="2"/>
  <c r="S150" i="2"/>
  <c r="T150" i="2" s="1"/>
  <c r="R150" i="2"/>
  <c r="E150" i="2"/>
  <c r="GR149" i="2"/>
  <c r="GS149" i="2" s="1"/>
  <c r="GP149" i="2"/>
  <c r="GQ149" i="2" s="1"/>
  <c r="DU149" i="2" s="1"/>
  <c r="GN149" i="2"/>
  <c r="GO149" i="2" s="1"/>
  <c r="GL149" i="2"/>
  <c r="GM149" i="2" s="1"/>
  <c r="GH149" i="2"/>
  <c r="GG149" i="2"/>
  <c r="GI149" i="2" s="1"/>
  <c r="GD149" i="2"/>
  <c r="GC149" i="2"/>
  <c r="GB149" i="2"/>
  <c r="FY149" i="2"/>
  <c r="GA149" i="2" s="1"/>
  <c r="FS149" i="2"/>
  <c r="FT149" i="2" s="1"/>
  <c r="EW149" i="2"/>
  <c r="ET149" i="2"/>
  <c r="EU149" i="2" s="1"/>
  <c r="EQ149" i="2"/>
  <c r="ER149" i="2" s="1"/>
  <c r="EJ149" i="2"/>
  <c r="EE149" i="2"/>
  <c r="EF149" i="2" s="1"/>
  <c r="DX149" i="2"/>
  <c r="DP149" i="2"/>
  <c r="DF149" i="2"/>
  <c r="DH149" i="2" s="1"/>
  <c r="DE149" i="2"/>
  <c r="CY149" i="2"/>
  <c r="CZ149" i="2" s="1"/>
  <c r="CF149" i="2"/>
  <c r="CA149" i="2"/>
  <c r="BO149" i="2"/>
  <c r="BJ149" i="2"/>
  <c r="BM149" i="2" s="1"/>
  <c r="BN149" i="2" s="1"/>
  <c r="BC149" i="2"/>
  <c r="AZ149" i="2"/>
  <c r="AY149" i="2"/>
  <c r="AO149" i="2"/>
  <c r="AN149" i="2"/>
  <c r="AM149" i="2"/>
  <c r="AL149" i="2"/>
  <c r="AK149" i="2"/>
  <c r="AG149" i="2"/>
  <c r="AE149" i="2"/>
  <c r="AF149" i="2" s="1"/>
  <c r="U149" i="2"/>
  <c r="S149" i="2"/>
  <c r="T149" i="2" s="1"/>
  <c r="R149" i="2"/>
  <c r="E149" i="2"/>
  <c r="GR148" i="2"/>
  <c r="GS148" i="2" s="1"/>
  <c r="GP148" i="2"/>
  <c r="GQ148" i="2" s="1"/>
  <c r="GN148" i="2"/>
  <c r="GO148" i="2" s="1"/>
  <c r="GL148" i="2"/>
  <c r="GM148" i="2" s="1"/>
  <c r="GH148" i="2"/>
  <c r="GG148" i="2"/>
  <c r="GI148" i="2" s="1"/>
  <c r="GD148" i="2"/>
  <c r="GC148" i="2"/>
  <c r="GB148" i="2"/>
  <c r="FY148" i="2"/>
  <c r="FS148" i="2"/>
  <c r="FT148" i="2" s="1"/>
  <c r="EW148" i="2"/>
  <c r="ET148" i="2"/>
  <c r="EU148" i="2" s="1"/>
  <c r="EQ148" i="2"/>
  <c r="ER148" i="2" s="1"/>
  <c r="EJ148" i="2"/>
  <c r="EE148" i="2"/>
  <c r="EF148" i="2" s="1"/>
  <c r="DX148" i="2"/>
  <c r="DP148" i="2"/>
  <c r="DF148" i="2"/>
  <c r="DH148" i="2" s="1"/>
  <c r="DE148" i="2"/>
  <c r="CY148" i="2"/>
  <c r="CZ148" i="2" s="1"/>
  <c r="CF148" i="2"/>
  <c r="CH148" i="2"/>
  <c r="CA148" i="2"/>
  <c r="BO148" i="2"/>
  <c r="BJ148" i="2"/>
  <c r="BC148" i="2"/>
  <c r="AZ148" i="2"/>
  <c r="AY148" i="2"/>
  <c r="AO148" i="2"/>
  <c r="AN148" i="2"/>
  <c r="AM148" i="2"/>
  <c r="AL148" i="2"/>
  <c r="AK148" i="2"/>
  <c r="AG148" i="2"/>
  <c r="AE148" i="2"/>
  <c r="AF148" i="2" s="1"/>
  <c r="U148" i="2"/>
  <c r="S148" i="2"/>
  <c r="T148" i="2" s="1"/>
  <c r="R148" i="2"/>
  <c r="E148" i="2"/>
  <c r="GR147" i="2"/>
  <c r="GS147" i="2" s="1"/>
  <c r="GP147" i="2"/>
  <c r="GQ147" i="2" s="1"/>
  <c r="GN147" i="2"/>
  <c r="GO147" i="2" s="1"/>
  <c r="GL147" i="2"/>
  <c r="GM147" i="2" s="1"/>
  <c r="GH147" i="2"/>
  <c r="GG147" i="2"/>
  <c r="GI147" i="2" s="1"/>
  <c r="GD147" i="2"/>
  <c r="GC147" i="2"/>
  <c r="GB147" i="2"/>
  <c r="FY147" i="2"/>
  <c r="GA147" i="2" s="1"/>
  <c r="FS147" i="2"/>
  <c r="FT147" i="2" s="1"/>
  <c r="EW147" i="2"/>
  <c r="ET147" i="2"/>
  <c r="EU147" i="2" s="1"/>
  <c r="EQ147" i="2"/>
  <c r="ER147" i="2" s="1"/>
  <c r="EJ147" i="2"/>
  <c r="EE147" i="2"/>
  <c r="EF147" i="2" s="1"/>
  <c r="DX147" i="2"/>
  <c r="DP147" i="2"/>
  <c r="DF147" i="2"/>
  <c r="DH147" i="2" s="1"/>
  <c r="DE147" i="2"/>
  <c r="CY147" i="2"/>
  <c r="CZ147" i="2" s="1"/>
  <c r="CF147" i="2"/>
  <c r="CH147" i="2"/>
  <c r="CA147" i="2"/>
  <c r="DA147" i="2"/>
  <c r="DB147" i="2" s="1"/>
  <c r="BO147" i="2"/>
  <c r="BJ147" i="2"/>
  <c r="BK147" i="2" s="1"/>
  <c r="CL147" i="2" s="1"/>
  <c r="BC147" i="2"/>
  <c r="AZ147" i="2"/>
  <c r="AY147" i="2"/>
  <c r="AO147" i="2"/>
  <c r="AN147" i="2"/>
  <c r="AM147" i="2"/>
  <c r="AL147" i="2"/>
  <c r="AK147" i="2"/>
  <c r="AG147" i="2"/>
  <c r="AE147" i="2"/>
  <c r="AF147" i="2" s="1"/>
  <c r="U147" i="2"/>
  <c r="S147" i="2"/>
  <c r="T147" i="2" s="1"/>
  <c r="R147" i="2"/>
  <c r="Y147" i="2" s="1"/>
  <c r="AB147" i="2" s="1"/>
  <c r="E147" i="2"/>
  <c r="GR146" i="2"/>
  <c r="GS146" i="2" s="1"/>
  <c r="GP146" i="2"/>
  <c r="GQ146" i="2" s="1"/>
  <c r="DU146" i="2" s="1"/>
  <c r="GN146" i="2"/>
  <c r="GO146" i="2" s="1"/>
  <c r="GL146" i="2"/>
  <c r="GM146" i="2" s="1"/>
  <c r="GH146" i="2"/>
  <c r="GG146" i="2"/>
  <c r="GI146" i="2" s="1"/>
  <c r="GD146" i="2"/>
  <c r="GC146" i="2"/>
  <c r="GB146" i="2"/>
  <c r="FY146" i="2"/>
  <c r="GA146" i="2" s="1"/>
  <c r="FS146" i="2"/>
  <c r="FT146" i="2" s="1"/>
  <c r="EW146" i="2"/>
  <c r="ET146" i="2"/>
  <c r="EU146" i="2" s="1"/>
  <c r="EQ146" i="2"/>
  <c r="ER146" i="2" s="1"/>
  <c r="EJ146" i="2"/>
  <c r="EE146" i="2"/>
  <c r="EF146" i="2" s="1"/>
  <c r="DX146" i="2"/>
  <c r="DP146" i="2"/>
  <c r="DF146" i="2"/>
  <c r="DH146" i="2" s="1"/>
  <c r="DE146" i="2"/>
  <c r="CY146" i="2"/>
  <c r="CZ146" i="2" s="1"/>
  <c r="CF146" i="2"/>
  <c r="CH146" i="2"/>
  <c r="CA146" i="2"/>
  <c r="DA146" i="2"/>
  <c r="DB146" i="2" s="1"/>
  <c r="BO146" i="2"/>
  <c r="BJ146" i="2"/>
  <c r="BK146" i="2" s="1"/>
  <c r="CL146" i="2" s="1"/>
  <c r="BC146" i="2"/>
  <c r="AZ146" i="2"/>
  <c r="AY146" i="2"/>
  <c r="AO146" i="2"/>
  <c r="AN146" i="2"/>
  <c r="AM146" i="2"/>
  <c r="AL146" i="2"/>
  <c r="AK146" i="2"/>
  <c r="AG146" i="2"/>
  <c r="AE146" i="2"/>
  <c r="AF146" i="2" s="1"/>
  <c r="U146" i="2"/>
  <c r="S146" i="2"/>
  <c r="T146" i="2" s="1"/>
  <c r="R146" i="2"/>
  <c r="Y146" i="2" s="1"/>
  <c r="AB146" i="2" s="1"/>
  <c r="E146" i="2"/>
  <c r="GR145" i="2"/>
  <c r="GS145" i="2" s="1"/>
  <c r="GP145" i="2"/>
  <c r="GQ145" i="2" s="1"/>
  <c r="DU145" i="2" s="1"/>
  <c r="GN145" i="2"/>
  <c r="GO145" i="2" s="1"/>
  <c r="GL145" i="2"/>
  <c r="GM145" i="2" s="1"/>
  <c r="GH145" i="2"/>
  <c r="GG145" i="2"/>
  <c r="GI145" i="2" s="1"/>
  <c r="GD145" i="2"/>
  <c r="GC145" i="2"/>
  <c r="GB145" i="2"/>
  <c r="FY145" i="2"/>
  <c r="FZ145" i="2" s="1"/>
  <c r="FS145" i="2"/>
  <c r="FT145" i="2" s="1"/>
  <c r="EW145" i="2"/>
  <c r="ET145" i="2"/>
  <c r="EU145" i="2" s="1"/>
  <c r="EQ145" i="2"/>
  <c r="ER145" i="2" s="1"/>
  <c r="EJ145" i="2"/>
  <c r="EE145" i="2"/>
  <c r="EF145" i="2" s="1"/>
  <c r="DX145" i="2"/>
  <c r="DP145" i="2"/>
  <c r="DF145" i="2"/>
  <c r="DH145" i="2" s="1"/>
  <c r="DE145" i="2"/>
  <c r="CY145" i="2"/>
  <c r="CZ145" i="2" s="1"/>
  <c r="CF145" i="2"/>
  <c r="CH145" i="2"/>
  <c r="CA145" i="2"/>
  <c r="BO145" i="2"/>
  <c r="BJ145" i="2"/>
  <c r="BK145" i="2" s="1"/>
  <c r="CL145" i="2" s="1"/>
  <c r="BC145" i="2"/>
  <c r="AZ145" i="2"/>
  <c r="AY145" i="2"/>
  <c r="AO145" i="2"/>
  <c r="AN145" i="2"/>
  <c r="AM145" i="2"/>
  <c r="AL145" i="2"/>
  <c r="AK145" i="2"/>
  <c r="AG145" i="2"/>
  <c r="AE145" i="2"/>
  <c r="AF145" i="2" s="1"/>
  <c r="U145" i="2"/>
  <c r="S145" i="2"/>
  <c r="T145" i="2" s="1"/>
  <c r="R145" i="2"/>
  <c r="Y145" i="2" s="1"/>
  <c r="AB145" i="2" s="1"/>
  <c r="E145" i="2"/>
  <c r="GR144" i="2"/>
  <c r="GS144" i="2" s="1"/>
  <c r="GP144" i="2"/>
  <c r="GQ144" i="2" s="1"/>
  <c r="DU144" i="2" s="1"/>
  <c r="GN144" i="2"/>
  <c r="GO144" i="2" s="1"/>
  <c r="GL144" i="2"/>
  <c r="GM144" i="2" s="1"/>
  <c r="GH144" i="2"/>
  <c r="GG144" i="2"/>
  <c r="GI144" i="2" s="1"/>
  <c r="GD144" i="2"/>
  <c r="GC144" i="2"/>
  <c r="GB144" i="2"/>
  <c r="FY144" i="2"/>
  <c r="FS144" i="2"/>
  <c r="FT144" i="2" s="1"/>
  <c r="EW144" i="2"/>
  <c r="ET144" i="2"/>
  <c r="EU144" i="2" s="1"/>
  <c r="EQ144" i="2"/>
  <c r="ER144" i="2" s="1"/>
  <c r="EJ144" i="2"/>
  <c r="EE144" i="2"/>
  <c r="EF144" i="2" s="1"/>
  <c r="DX144" i="2"/>
  <c r="DP144" i="2"/>
  <c r="DF144" i="2"/>
  <c r="DH144" i="2" s="1"/>
  <c r="DE144" i="2"/>
  <c r="CY144" i="2"/>
  <c r="CZ144" i="2" s="1"/>
  <c r="CF144" i="2"/>
  <c r="CH144" i="2"/>
  <c r="CA144" i="2"/>
  <c r="BO144" i="2"/>
  <c r="BJ144" i="2"/>
  <c r="BK144" i="2" s="1"/>
  <c r="CL144" i="2" s="1"/>
  <c r="BC144" i="2"/>
  <c r="AZ144" i="2"/>
  <c r="AY144" i="2"/>
  <c r="AO144" i="2"/>
  <c r="AN144" i="2"/>
  <c r="AM144" i="2"/>
  <c r="AL144" i="2"/>
  <c r="AK144" i="2"/>
  <c r="AG144" i="2"/>
  <c r="AE144" i="2"/>
  <c r="AF144" i="2" s="1"/>
  <c r="U144" i="2"/>
  <c r="S144" i="2"/>
  <c r="T144" i="2" s="1"/>
  <c r="R144" i="2"/>
  <c r="Y144" i="2" s="1"/>
  <c r="AB144" i="2" s="1"/>
  <c r="E144" i="2"/>
  <c r="GR143" i="2"/>
  <c r="GS143" i="2" s="1"/>
  <c r="GP143" i="2"/>
  <c r="GQ143" i="2" s="1"/>
  <c r="DU143" i="2" s="1"/>
  <c r="GN143" i="2"/>
  <c r="GO143" i="2" s="1"/>
  <c r="GL143" i="2"/>
  <c r="GM143" i="2" s="1"/>
  <c r="GH143" i="2"/>
  <c r="GG143" i="2"/>
  <c r="GI143" i="2" s="1"/>
  <c r="GD143" i="2"/>
  <c r="GC143" i="2"/>
  <c r="GB143" i="2"/>
  <c r="FY143" i="2"/>
  <c r="GA143" i="2" s="1"/>
  <c r="FS143" i="2"/>
  <c r="FT143" i="2" s="1"/>
  <c r="EW143" i="2"/>
  <c r="ET143" i="2"/>
  <c r="EU143" i="2" s="1"/>
  <c r="EQ143" i="2"/>
  <c r="ER143" i="2" s="1"/>
  <c r="EJ143" i="2"/>
  <c r="EE143" i="2"/>
  <c r="EF143" i="2" s="1"/>
  <c r="DX143" i="2"/>
  <c r="DP143" i="2"/>
  <c r="DF143" i="2"/>
  <c r="DH143" i="2" s="1"/>
  <c r="DE143" i="2"/>
  <c r="CY143" i="2"/>
  <c r="CZ143" i="2" s="1"/>
  <c r="CF143" i="2"/>
  <c r="CH143" i="2"/>
  <c r="CA143" i="2"/>
  <c r="DA143" i="2"/>
  <c r="DB143" i="2" s="1"/>
  <c r="BO143" i="2"/>
  <c r="BJ143" i="2"/>
  <c r="BK143" i="2" s="1"/>
  <c r="CL143" i="2" s="1"/>
  <c r="BC143" i="2"/>
  <c r="AZ143" i="2"/>
  <c r="AY143" i="2"/>
  <c r="AO143" i="2"/>
  <c r="AN143" i="2"/>
  <c r="AM143" i="2"/>
  <c r="AL143" i="2"/>
  <c r="AK143" i="2"/>
  <c r="AG143" i="2"/>
  <c r="AE143" i="2"/>
  <c r="AF143" i="2" s="1"/>
  <c r="U143" i="2"/>
  <c r="S143" i="2"/>
  <c r="T143" i="2" s="1"/>
  <c r="R143" i="2"/>
  <c r="Y143" i="2" s="1"/>
  <c r="AB143" i="2" s="1"/>
  <c r="E143" i="2"/>
  <c r="GR142" i="2"/>
  <c r="GS142" i="2" s="1"/>
  <c r="GP142" i="2"/>
  <c r="GQ142" i="2" s="1"/>
  <c r="DU142" i="2" s="1"/>
  <c r="GN142" i="2"/>
  <c r="GO142" i="2" s="1"/>
  <c r="GL142" i="2"/>
  <c r="GM142" i="2" s="1"/>
  <c r="GH142" i="2"/>
  <c r="GG142" i="2"/>
  <c r="GI142" i="2" s="1"/>
  <c r="GD142" i="2"/>
  <c r="GC142" i="2"/>
  <c r="GB142" i="2"/>
  <c r="FY142" i="2"/>
  <c r="GA142" i="2" s="1"/>
  <c r="FS142" i="2"/>
  <c r="FT142" i="2" s="1"/>
  <c r="EW142" i="2"/>
  <c r="ET142" i="2"/>
  <c r="EU142" i="2" s="1"/>
  <c r="EQ142" i="2"/>
  <c r="ER142" i="2" s="1"/>
  <c r="EJ142" i="2"/>
  <c r="EE142" i="2"/>
  <c r="EF142" i="2" s="1"/>
  <c r="DX142" i="2"/>
  <c r="DP142" i="2"/>
  <c r="DF142" i="2"/>
  <c r="DH142" i="2" s="1"/>
  <c r="DE142" i="2"/>
  <c r="CY142" i="2"/>
  <c r="CZ142" i="2" s="1"/>
  <c r="CF142" i="2"/>
  <c r="CH142" i="2"/>
  <c r="CA142" i="2"/>
  <c r="DA142" i="2"/>
  <c r="DB142" i="2" s="1"/>
  <c r="BO142" i="2"/>
  <c r="BJ142" i="2"/>
  <c r="BC142" i="2"/>
  <c r="AZ142" i="2"/>
  <c r="AY142" i="2"/>
  <c r="AO142" i="2"/>
  <c r="AN142" i="2"/>
  <c r="AM142" i="2"/>
  <c r="AL142" i="2"/>
  <c r="AK142" i="2"/>
  <c r="AG142" i="2"/>
  <c r="AE142" i="2"/>
  <c r="AF142" i="2" s="1"/>
  <c r="U142" i="2"/>
  <c r="S142" i="2"/>
  <c r="T142" i="2" s="1"/>
  <c r="R142" i="2"/>
  <c r="E142" i="2"/>
  <c r="GR141" i="2"/>
  <c r="GS141" i="2" s="1"/>
  <c r="GP141" i="2"/>
  <c r="GQ141" i="2" s="1"/>
  <c r="DU141" i="2" s="1"/>
  <c r="GN141" i="2"/>
  <c r="GO141" i="2" s="1"/>
  <c r="GL141" i="2"/>
  <c r="GM141" i="2" s="1"/>
  <c r="GH141" i="2"/>
  <c r="GG141" i="2"/>
  <c r="GI141" i="2" s="1"/>
  <c r="GD141" i="2"/>
  <c r="GC141" i="2"/>
  <c r="GB141" i="2"/>
  <c r="FY141" i="2"/>
  <c r="GA141" i="2" s="1"/>
  <c r="FS141" i="2"/>
  <c r="FT141" i="2" s="1"/>
  <c r="EW141" i="2"/>
  <c r="ET141" i="2"/>
  <c r="EU141" i="2" s="1"/>
  <c r="EQ141" i="2"/>
  <c r="ER141" i="2" s="1"/>
  <c r="EJ141" i="2"/>
  <c r="EE141" i="2"/>
  <c r="EF141" i="2" s="1"/>
  <c r="DX141" i="2"/>
  <c r="DP141" i="2"/>
  <c r="DF141" i="2"/>
  <c r="DH141" i="2" s="1"/>
  <c r="DE141" i="2"/>
  <c r="CY141" i="2"/>
  <c r="CZ141" i="2" s="1"/>
  <c r="CF141" i="2"/>
  <c r="CH141" i="2"/>
  <c r="CA141" i="2"/>
  <c r="DA141" i="2"/>
  <c r="DB141" i="2" s="1"/>
  <c r="BO141" i="2"/>
  <c r="BJ141" i="2"/>
  <c r="BK141" i="2" s="1"/>
  <c r="CL141" i="2" s="1"/>
  <c r="BC141" i="2"/>
  <c r="AZ141" i="2"/>
  <c r="AY141" i="2"/>
  <c r="AO141" i="2"/>
  <c r="AN141" i="2"/>
  <c r="AM141" i="2"/>
  <c r="AL141" i="2"/>
  <c r="AK141" i="2"/>
  <c r="AG141" i="2"/>
  <c r="AE141" i="2"/>
  <c r="AF141" i="2" s="1"/>
  <c r="U141" i="2"/>
  <c r="S141" i="2"/>
  <c r="T141" i="2" s="1"/>
  <c r="R141" i="2"/>
  <c r="Y141" i="2" s="1"/>
  <c r="AB141" i="2" s="1"/>
  <c r="E141" i="2"/>
  <c r="GR140" i="2"/>
  <c r="GS140" i="2" s="1"/>
  <c r="GP140" i="2"/>
  <c r="GQ140" i="2" s="1"/>
  <c r="DU140" i="2" s="1"/>
  <c r="GN140" i="2"/>
  <c r="GO140" i="2" s="1"/>
  <c r="GL140" i="2"/>
  <c r="GM140" i="2" s="1"/>
  <c r="GH140" i="2"/>
  <c r="GG140" i="2"/>
  <c r="GI140" i="2" s="1"/>
  <c r="GD140" i="2"/>
  <c r="GC140" i="2"/>
  <c r="GB140" i="2"/>
  <c r="FY140" i="2"/>
  <c r="GA140" i="2" s="1"/>
  <c r="FS140" i="2"/>
  <c r="FT140" i="2" s="1"/>
  <c r="EW140" i="2"/>
  <c r="ET140" i="2"/>
  <c r="EU140" i="2" s="1"/>
  <c r="EQ140" i="2"/>
  <c r="ER140" i="2" s="1"/>
  <c r="EJ140" i="2"/>
  <c r="EE140" i="2"/>
  <c r="EF140" i="2" s="1"/>
  <c r="DX140" i="2"/>
  <c r="DP140" i="2"/>
  <c r="DF140" i="2"/>
  <c r="DH140" i="2" s="1"/>
  <c r="DE140" i="2"/>
  <c r="CY140" i="2"/>
  <c r="CZ140" i="2" s="1"/>
  <c r="CF140" i="2"/>
  <c r="CH140" i="2"/>
  <c r="CA140" i="2"/>
  <c r="DA140" i="2"/>
  <c r="DB140" i="2" s="1"/>
  <c r="BO140" i="2"/>
  <c r="BJ140" i="2"/>
  <c r="BK140" i="2" s="1"/>
  <c r="CL140" i="2" s="1"/>
  <c r="BC140" i="2"/>
  <c r="AZ140" i="2"/>
  <c r="AY140" i="2"/>
  <c r="AO140" i="2"/>
  <c r="AN140" i="2"/>
  <c r="AM140" i="2"/>
  <c r="AL140" i="2"/>
  <c r="AK140" i="2"/>
  <c r="AG140" i="2"/>
  <c r="AE140" i="2"/>
  <c r="AF140" i="2" s="1"/>
  <c r="U140" i="2"/>
  <c r="S140" i="2"/>
  <c r="T140" i="2" s="1"/>
  <c r="R140" i="2"/>
  <c r="Y140" i="2" s="1"/>
  <c r="AB140" i="2" s="1"/>
  <c r="E140" i="2"/>
  <c r="GR139" i="2"/>
  <c r="GS139" i="2" s="1"/>
  <c r="GP139" i="2"/>
  <c r="GQ139" i="2" s="1"/>
  <c r="DU139" i="2" s="1"/>
  <c r="GN139" i="2"/>
  <c r="GO139" i="2" s="1"/>
  <c r="GL139" i="2"/>
  <c r="GM139" i="2" s="1"/>
  <c r="GH139" i="2"/>
  <c r="GG139" i="2"/>
  <c r="GI139" i="2" s="1"/>
  <c r="GD139" i="2"/>
  <c r="GC139" i="2"/>
  <c r="GB139" i="2"/>
  <c r="FY139" i="2"/>
  <c r="GA139" i="2" s="1"/>
  <c r="FS139" i="2"/>
  <c r="FT139" i="2" s="1"/>
  <c r="EW139" i="2"/>
  <c r="ET139" i="2"/>
  <c r="EU139" i="2" s="1"/>
  <c r="EQ139" i="2"/>
  <c r="ER139" i="2" s="1"/>
  <c r="EJ139" i="2"/>
  <c r="EE139" i="2"/>
  <c r="EF139" i="2" s="1"/>
  <c r="DX139" i="2"/>
  <c r="DP139" i="2"/>
  <c r="DF139" i="2"/>
  <c r="DH139" i="2" s="1"/>
  <c r="DE139" i="2"/>
  <c r="CY139" i="2"/>
  <c r="CZ139" i="2" s="1"/>
  <c r="CF139" i="2"/>
  <c r="CH139" i="2"/>
  <c r="CA139" i="2"/>
  <c r="DA139" i="2"/>
  <c r="DB139" i="2" s="1"/>
  <c r="BO139" i="2"/>
  <c r="BJ139" i="2"/>
  <c r="BK139" i="2" s="1"/>
  <c r="CL139" i="2" s="1"/>
  <c r="BC139" i="2"/>
  <c r="AZ139" i="2"/>
  <c r="AY139" i="2"/>
  <c r="AO139" i="2"/>
  <c r="AN139" i="2"/>
  <c r="AM139" i="2"/>
  <c r="AL139" i="2"/>
  <c r="AK139" i="2"/>
  <c r="AC139" i="2"/>
  <c r="AG139" i="2" s="1"/>
  <c r="U139" i="2"/>
  <c r="S139" i="2"/>
  <c r="T139" i="2" s="1"/>
  <c r="R139" i="2"/>
  <c r="X139" i="2" s="1"/>
  <c r="E139" i="2"/>
  <c r="GR138" i="2"/>
  <c r="GS138" i="2" s="1"/>
  <c r="GP138" i="2"/>
  <c r="GQ138" i="2" s="1"/>
  <c r="GN138" i="2"/>
  <c r="GO138" i="2" s="1"/>
  <c r="GL138" i="2"/>
  <c r="GM138" i="2" s="1"/>
  <c r="GH138" i="2"/>
  <c r="GG138" i="2"/>
  <c r="GI138" i="2" s="1"/>
  <c r="GD138" i="2"/>
  <c r="GC138" i="2"/>
  <c r="GB138" i="2"/>
  <c r="FY138" i="2"/>
  <c r="FZ138" i="2" s="1"/>
  <c r="FS138" i="2"/>
  <c r="FT138" i="2" s="1"/>
  <c r="EW138" i="2"/>
  <c r="ET138" i="2"/>
  <c r="EU138" i="2" s="1"/>
  <c r="EQ138" i="2"/>
  <c r="ER138" i="2" s="1"/>
  <c r="EJ138" i="2"/>
  <c r="EE138" i="2"/>
  <c r="EF138" i="2" s="1"/>
  <c r="DX138" i="2"/>
  <c r="DP138" i="2"/>
  <c r="DF138" i="2"/>
  <c r="DE138" i="2"/>
  <c r="CY138" i="2"/>
  <c r="CZ138" i="2" s="1"/>
  <c r="CF138" i="2"/>
  <c r="CH138" i="2"/>
  <c r="CA138" i="2"/>
  <c r="BO138" i="2"/>
  <c r="BJ138" i="2"/>
  <c r="BM138" i="2" s="1"/>
  <c r="BN138" i="2" s="1"/>
  <c r="BC138" i="2"/>
  <c r="AZ138" i="2"/>
  <c r="AY138" i="2"/>
  <c r="AO138" i="2"/>
  <c r="AN138" i="2"/>
  <c r="AM138" i="2"/>
  <c r="AL138" i="2"/>
  <c r="AK138" i="2"/>
  <c r="AG138" i="2"/>
  <c r="AE138" i="2"/>
  <c r="AF138" i="2" s="1"/>
  <c r="U138" i="2"/>
  <c r="S138" i="2"/>
  <c r="T138" i="2" s="1"/>
  <c r="R138" i="2"/>
  <c r="E138" i="2"/>
  <c r="GR137" i="2"/>
  <c r="GS137" i="2" s="1"/>
  <c r="GP137" i="2"/>
  <c r="GQ137" i="2" s="1"/>
  <c r="GN137" i="2"/>
  <c r="GO137" i="2" s="1"/>
  <c r="GL137" i="2"/>
  <c r="GM137" i="2" s="1"/>
  <c r="GH137" i="2"/>
  <c r="GG137" i="2"/>
  <c r="GI137" i="2" s="1"/>
  <c r="GD137" i="2"/>
  <c r="GC137" i="2"/>
  <c r="GB137" i="2"/>
  <c r="FY137" i="2"/>
  <c r="GA137" i="2" s="1"/>
  <c r="FS137" i="2"/>
  <c r="FT137" i="2" s="1"/>
  <c r="EW137" i="2"/>
  <c r="ET137" i="2"/>
  <c r="EU137" i="2" s="1"/>
  <c r="EQ137" i="2"/>
  <c r="ER137" i="2" s="1"/>
  <c r="EJ137" i="2"/>
  <c r="EE137" i="2"/>
  <c r="EF137" i="2" s="1"/>
  <c r="DX137" i="2"/>
  <c r="DP137" i="2"/>
  <c r="DF137" i="2"/>
  <c r="DE137" i="2"/>
  <c r="CY137" i="2"/>
  <c r="CZ137" i="2" s="1"/>
  <c r="CF137" i="2"/>
  <c r="CH137" i="2"/>
  <c r="CA137" i="2"/>
  <c r="BO137" i="2"/>
  <c r="BJ137" i="2"/>
  <c r="BM137" i="2" s="1"/>
  <c r="BN137" i="2" s="1"/>
  <c r="BC137" i="2"/>
  <c r="AZ137" i="2"/>
  <c r="AY137" i="2"/>
  <c r="AO137" i="2"/>
  <c r="AN137" i="2"/>
  <c r="AM137" i="2"/>
  <c r="AL137" i="2"/>
  <c r="AK137" i="2"/>
  <c r="AG137" i="2"/>
  <c r="AE137" i="2"/>
  <c r="AF137" i="2" s="1"/>
  <c r="U137" i="2"/>
  <c r="S137" i="2"/>
  <c r="T137" i="2" s="1"/>
  <c r="R137" i="2"/>
  <c r="Y137" i="2" s="1"/>
  <c r="AB137" i="2" s="1"/>
  <c r="E137" i="2"/>
  <c r="GR136" i="2"/>
  <c r="GS136" i="2" s="1"/>
  <c r="GP136" i="2"/>
  <c r="GQ136" i="2" s="1"/>
  <c r="GN136" i="2"/>
  <c r="GO136" i="2" s="1"/>
  <c r="GL136" i="2"/>
  <c r="GM136" i="2" s="1"/>
  <c r="GH136" i="2"/>
  <c r="GG136" i="2"/>
  <c r="GI136" i="2" s="1"/>
  <c r="GD136" i="2"/>
  <c r="GC136" i="2"/>
  <c r="GB136" i="2"/>
  <c r="FY136" i="2"/>
  <c r="FZ136" i="2" s="1"/>
  <c r="FS136" i="2"/>
  <c r="FT136" i="2" s="1"/>
  <c r="EW136" i="2"/>
  <c r="ET136" i="2"/>
  <c r="EU136" i="2" s="1"/>
  <c r="EQ136" i="2"/>
  <c r="ER136" i="2" s="1"/>
  <c r="EJ136" i="2"/>
  <c r="EE136" i="2"/>
  <c r="EF136" i="2" s="1"/>
  <c r="DX136" i="2"/>
  <c r="DP136" i="2"/>
  <c r="DF136" i="2"/>
  <c r="DE136" i="2"/>
  <c r="CY136" i="2"/>
  <c r="CZ136" i="2" s="1"/>
  <c r="CF136" i="2"/>
  <c r="CH136" i="2"/>
  <c r="CA136" i="2"/>
  <c r="DA136" i="2"/>
  <c r="DB136" i="2" s="1"/>
  <c r="BO136" i="2"/>
  <c r="BJ136" i="2"/>
  <c r="BC136" i="2"/>
  <c r="AZ136" i="2"/>
  <c r="AY136" i="2"/>
  <c r="AO136" i="2"/>
  <c r="AN136" i="2"/>
  <c r="AM136" i="2"/>
  <c r="AL136" i="2"/>
  <c r="AK136" i="2"/>
  <c r="AG136" i="2"/>
  <c r="AE136" i="2"/>
  <c r="AF136" i="2" s="1"/>
  <c r="U136" i="2"/>
  <c r="S136" i="2"/>
  <c r="T136" i="2" s="1"/>
  <c r="R136" i="2"/>
  <c r="E136" i="2"/>
  <c r="GR135" i="2"/>
  <c r="GS135" i="2" s="1"/>
  <c r="GP135" i="2"/>
  <c r="GQ135" i="2" s="1"/>
  <c r="DO135" i="2" s="1"/>
  <c r="GN135" i="2"/>
  <c r="GO135" i="2" s="1"/>
  <c r="GL135" i="2"/>
  <c r="GM135" i="2" s="1"/>
  <c r="GH135" i="2"/>
  <c r="GG135" i="2"/>
  <c r="GI135" i="2" s="1"/>
  <c r="GD135" i="2"/>
  <c r="GC135" i="2"/>
  <c r="GB135" i="2"/>
  <c r="FY135" i="2"/>
  <c r="GA135" i="2" s="1"/>
  <c r="FS135" i="2"/>
  <c r="FT135" i="2" s="1"/>
  <c r="EW135" i="2"/>
  <c r="ET135" i="2"/>
  <c r="EU135" i="2" s="1"/>
  <c r="EQ135" i="2"/>
  <c r="ER135" i="2" s="1"/>
  <c r="EJ135" i="2"/>
  <c r="EE135" i="2"/>
  <c r="EF135" i="2" s="1"/>
  <c r="DX135" i="2"/>
  <c r="DP135" i="2"/>
  <c r="DF135" i="2"/>
  <c r="DE135" i="2"/>
  <c r="CY135" i="2"/>
  <c r="CZ135" i="2" s="1"/>
  <c r="CF135" i="2"/>
  <c r="CH135" i="2"/>
  <c r="CA135" i="2"/>
  <c r="DA135" i="2"/>
  <c r="DB135" i="2" s="1"/>
  <c r="BO135" i="2"/>
  <c r="BJ135" i="2"/>
  <c r="BC135" i="2"/>
  <c r="AZ135" i="2"/>
  <c r="AY135" i="2"/>
  <c r="AO135" i="2"/>
  <c r="AN135" i="2"/>
  <c r="AM135" i="2"/>
  <c r="AL135" i="2"/>
  <c r="AK135" i="2"/>
  <c r="AG135" i="2"/>
  <c r="AE135" i="2"/>
  <c r="AF135" i="2" s="1"/>
  <c r="U135" i="2"/>
  <c r="S135" i="2"/>
  <c r="T135" i="2" s="1"/>
  <c r="R135" i="2"/>
  <c r="E135" i="2"/>
  <c r="GR134" i="2"/>
  <c r="GS134" i="2" s="1"/>
  <c r="GP134" i="2"/>
  <c r="GQ134" i="2" s="1"/>
  <c r="GN134" i="2"/>
  <c r="GO134" i="2" s="1"/>
  <c r="GL134" i="2"/>
  <c r="GM134" i="2" s="1"/>
  <c r="GH134" i="2"/>
  <c r="GG134" i="2"/>
  <c r="GI134" i="2" s="1"/>
  <c r="GD134" i="2"/>
  <c r="GC134" i="2"/>
  <c r="GB134" i="2"/>
  <c r="FY134" i="2"/>
  <c r="GA134" i="2" s="1"/>
  <c r="FS134" i="2"/>
  <c r="FT134" i="2" s="1"/>
  <c r="EW134" i="2"/>
  <c r="ET134" i="2"/>
  <c r="EU134" i="2" s="1"/>
  <c r="EQ134" i="2"/>
  <c r="ER134" i="2" s="1"/>
  <c r="EJ134" i="2"/>
  <c r="EE134" i="2"/>
  <c r="EF134" i="2" s="1"/>
  <c r="DX134" i="2"/>
  <c r="DP134" i="2"/>
  <c r="DF134" i="2"/>
  <c r="DE134" i="2"/>
  <c r="CY134" i="2"/>
  <c r="CZ134" i="2" s="1"/>
  <c r="CF134" i="2"/>
  <c r="CH134" i="2"/>
  <c r="CA134" i="2"/>
  <c r="CR134" i="2"/>
  <c r="BO134" i="2"/>
  <c r="BJ134" i="2"/>
  <c r="BM134" i="2" s="1"/>
  <c r="BN134" i="2" s="1"/>
  <c r="BC134" i="2"/>
  <c r="AZ134" i="2"/>
  <c r="AY134" i="2"/>
  <c r="AO134" i="2"/>
  <c r="AN134" i="2"/>
  <c r="AM134" i="2"/>
  <c r="AL134" i="2"/>
  <c r="AK134" i="2"/>
  <c r="AG134" i="2"/>
  <c r="AE134" i="2"/>
  <c r="AF134" i="2" s="1"/>
  <c r="U134" i="2"/>
  <c r="S134" i="2"/>
  <c r="T134" i="2" s="1"/>
  <c r="R134" i="2"/>
  <c r="Y134" i="2" s="1"/>
  <c r="AB134" i="2" s="1"/>
  <c r="E134" i="2"/>
  <c r="GR133" i="2"/>
  <c r="GS133" i="2" s="1"/>
  <c r="GP133" i="2"/>
  <c r="GQ133" i="2" s="1"/>
  <c r="DO133" i="2" s="1"/>
  <c r="GN133" i="2"/>
  <c r="GO133" i="2" s="1"/>
  <c r="GL133" i="2"/>
  <c r="GM133" i="2" s="1"/>
  <c r="GH133" i="2"/>
  <c r="GG133" i="2"/>
  <c r="GI133" i="2" s="1"/>
  <c r="GD133" i="2"/>
  <c r="GC133" i="2"/>
  <c r="GB133" i="2"/>
  <c r="FY133" i="2"/>
  <c r="FZ133" i="2" s="1"/>
  <c r="FS133" i="2"/>
  <c r="FT133" i="2" s="1"/>
  <c r="EW133" i="2"/>
  <c r="ET133" i="2"/>
  <c r="EU133" i="2" s="1"/>
  <c r="EQ133" i="2"/>
  <c r="ER133" i="2" s="1"/>
  <c r="EJ133" i="2"/>
  <c r="EE133" i="2"/>
  <c r="EF133" i="2" s="1"/>
  <c r="DX133" i="2"/>
  <c r="DP133" i="2"/>
  <c r="DF133" i="2"/>
  <c r="DH133" i="2" s="1"/>
  <c r="DE133" i="2"/>
  <c r="CY133" i="2"/>
  <c r="CZ133" i="2" s="1"/>
  <c r="CF133" i="2"/>
  <c r="CH133" i="2"/>
  <c r="CA133" i="2"/>
  <c r="CR133" i="2"/>
  <c r="BO133" i="2"/>
  <c r="BJ133" i="2"/>
  <c r="BC133" i="2"/>
  <c r="AZ133" i="2"/>
  <c r="AY133" i="2"/>
  <c r="AO133" i="2"/>
  <c r="AN133" i="2"/>
  <c r="AM133" i="2"/>
  <c r="AL133" i="2"/>
  <c r="AK133" i="2"/>
  <c r="AG133" i="2"/>
  <c r="AE133" i="2"/>
  <c r="AF133" i="2" s="1"/>
  <c r="U133" i="2"/>
  <c r="S133" i="2"/>
  <c r="T133" i="2" s="1"/>
  <c r="R133" i="2"/>
  <c r="Y133" i="2" s="1"/>
  <c r="AB133" i="2" s="1"/>
  <c r="E133" i="2"/>
  <c r="GR132" i="2"/>
  <c r="GS132" i="2" s="1"/>
  <c r="GP132" i="2"/>
  <c r="GQ132" i="2" s="1"/>
  <c r="GN132" i="2"/>
  <c r="GO132" i="2" s="1"/>
  <c r="GL132" i="2"/>
  <c r="GM132" i="2" s="1"/>
  <c r="GH132" i="2"/>
  <c r="GG132" i="2"/>
  <c r="GD132" i="2"/>
  <c r="GC132" i="2"/>
  <c r="GB132" i="2"/>
  <c r="FY132" i="2"/>
  <c r="GA132" i="2" s="1"/>
  <c r="FS132" i="2"/>
  <c r="FT132" i="2" s="1"/>
  <c r="EW132" i="2"/>
  <c r="ET132" i="2"/>
  <c r="EU132" i="2" s="1"/>
  <c r="EQ132" i="2"/>
  <c r="ER132" i="2" s="1"/>
  <c r="EJ132" i="2"/>
  <c r="EE132" i="2"/>
  <c r="EF132" i="2" s="1"/>
  <c r="DX132" i="2"/>
  <c r="DP132" i="2"/>
  <c r="DF132" i="2"/>
  <c r="DH132" i="2" s="1"/>
  <c r="DE132" i="2"/>
  <c r="CY132" i="2"/>
  <c r="CZ132" i="2" s="1"/>
  <c r="CF132" i="2"/>
  <c r="CH132" i="2"/>
  <c r="CA132" i="2"/>
  <c r="CR132" i="2"/>
  <c r="BO132" i="2"/>
  <c r="BJ132" i="2"/>
  <c r="BK132" i="2" s="1"/>
  <c r="CL132" i="2" s="1"/>
  <c r="BC132" i="2"/>
  <c r="AZ132" i="2"/>
  <c r="AY132" i="2"/>
  <c r="AO132" i="2"/>
  <c r="AN132" i="2"/>
  <c r="AM132" i="2"/>
  <c r="AL132" i="2"/>
  <c r="AK132" i="2"/>
  <c r="AG132" i="2"/>
  <c r="AE132" i="2"/>
  <c r="AF132" i="2" s="1"/>
  <c r="U132" i="2"/>
  <c r="S132" i="2"/>
  <c r="T132" i="2" s="1"/>
  <c r="R132" i="2"/>
  <c r="E132" i="2"/>
  <c r="GR131" i="2"/>
  <c r="GS131" i="2" s="1"/>
  <c r="GP131" i="2"/>
  <c r="GQ131" i="2" s="1"/>
  <c r="GN131" i="2"/>
  <c r="GO131" i="2" s="1"/>
  <c r="GL131" i="2"/>
  <c r="GM131" i="2" s="1"/>
  <c r="GH131" i="2"/>
  <c r="GG131" i="2"/>
  <c r="GI131" i="2" s="1"/>
  <c r="GD131" i="2"/>
  <c r="GC131" i="2"/>
  <c r="GB131" i="2"/>
  <c r="FY131" i="2"/>
  <c r="GA131" i="2" s="1"/>
  <c r="FS131" i="2"/>
  <c r="FT131" i="2" s="1"/>
  <c r="EW131" i="2"/>
  <c r="ET131" i="2"/>
  <c r="EU131" i="2" s="1"/>
  <c r="EQ131" i="2"/>
  <c r="ER131" i="2" s="1"/>
  <c r="EJ131" i="2"/>
  <c r="EE131" i="2"/>
  <c r="EF131" i="2" s="1"/>
  <c r="DX131" i="2"/>
  <c r="DP131" i="2"/>
  <c r="DF131" i="2"/>
  <c r="DH131" i="2" s="1"/>
  <c r="DE131" i="2"/>
  <c r="CY131" i="2"/>
  <c r="CZ131" i="2" s="1"/>
  <c r="CF131" i="2"/>
  <c r="CA131" i="2"/>
  <c r="DA131" i="2"/>
  <c r="DB131" i="2" s="1"/>
  <c r="BO131" i="2"/>
  <c r="BJ131" i="2"/>
  <c r="BM131" i="2" s="1"/>
  <c r="BN131" i="2" s="1"/>
  <c r="BC131" i="2"/>
  <c r="AZ131" i="2"/>
  <c r="AY131" i="2"/>
  <c r="AO131" i="2"/>
  <c r="AN131" i="2"/>
  <c r="AM131" i="2"/>
  <c r="AL131" i="2"/>
  <c r="AK131" i="2"/>
  <c r="AG131" i="2"/>
  <c r="AE131" i="2"/>
  <c r="AF131" i="2" s="1"/>
  <c r="U131" i="2"/>
  <c r="S131" i="2"/>
  <c r="T131" i="2" s="1"/>
  <c r="R131" i="2"/>
  <c r="X131" i="2" s="1"/>
  <c r="AA131" i="2" s="1"/>
  <c r="E131" i="2"/>
  <c r="GR130" i="2"/>
  <c r="GS130" i="2" s="1"/>
  <c r="GP130" i="2"/>
  <c r="GQ130" i="2" s="1"/>
  <c r="DU130" i="2" s="1"/>
  <c r="GN130" i="2"/>
  <c r="GO130" i="2" s="1"/>
  <c r="GL130" i="2"/>
  <c r="GM130" i="2" s="1"/>
  <c r="GH130" i="2"/>
  <c r="GG130" i="2"/>
  <c r="GI130" i="2" s="1"/>
  <c r="GD130" i="2"/>
  <c r="GC130" i="2"/>
  <c r="GB130" i="2"/>
  <c r="FY130" i="2"/>
  <c r="FZ130" i="2" s="1"/>
  <c r="FS130" i="2"/>
  <c r="FT130" i="2" s="1"/>
  <c r="EW130" i="2"/>
  <c r="ET130" i="2"/>
  <c r="EU130" i="2" s="1"/>
  <c r="EQ130" i="2"/>
  <c r="ER130" i="2" s="1"/>
  <c r="EJ130" i="2"/>
  <c r="EE130" i="2"/>
  <c r="EF130" i="2" s="1"/>
  <c r="DX130" i="2"/>
  <c r="DP130" i="2"/>
  <c r="DF130" i="2"/>
  <c r="DH130" i="2" s="1"/>
  <c r="DE130" i="2"/>
  <c r="CY130" i="2"/>
  <c r="CZ130" i="2" s="1"/>
  <c r="CF130" i="2"/>
  <c r="CA130" i="2"/>
  <c r="CW130" i="2"/>
  <c r="BO130" i="2"/>
  <c r="BJ130" i="2"/>
  <c r="BM130" i="2" s="1"/>
  <c r="BN130" i="2" s="1"/>
  <c r="BC130" i="2"/>
  <c r="AZ130" i="2"/>
  <c r="AY130" i="2"/>
  <c r="AO130" i="2"/>
  <c r="AN130" i="2"/>
  <c r="AM130" i="2"/>
  <c r="AL130" i="2"/>
  <c r="AK130" i="2"/>
  <c r="AG130" i="2"/>
  <c r="AE130" i="2"/>
  <c r="AF130" i="2" s="1"/>
  <c r="U130" i="2"/>
  <c r="S130" i="2"/>
  <c r="T130" i="2" s="1"/>
  <c r="R130" i="2"/>
  <c r="Y130" i="2" s="1"/>
  <c r="AB130" i="2" s="1"/>
  <c r="E130" i="2"/>
  <c r="GR129" i="2"/>
  <c r="GS129" i="2" s="1"/>
  <c r="GP129" i="2"/>
  <c r="GQ129" i="2" s="1"/>
  <c r="DU129" i="2" s="1"/>
  <c r="GN129" i="2"/>
  <c r="GO129" i="2" s="1"/>
  <c r="GL129" i="2"/>
  <c r="GM129" i="2" s="1"/>
  <c r="GH129" i="2"/>
  <c r="GG129" i="2"/>
  <c r="GI129" i="2" s="1"/>
  <c r="GD129" i="2"/>
  <c r="GC129" i="2"/>
  <c r="GB129" i="2"/>
  <c r="FY129" i="2"/>
  <c r="GA129" i="2" s="1"/>
  <c r="FS129" i="2"/>
  <c r="FT129" i="2" s="1"/>
  <c r="EW129" i="2"/>
  <c r="ET129" i="2"/>
  <c r="EU129" i="2" s="1"/>
  <c r="EQ129" i="2"/>
  <c r="ER129" i="2" s="1"/>
  <c r="EJ129" i="2"/>
  <c r="EE129" i="2"/>
  <c r="EF129" i="2" s="1"/>
  <c r="DX129" i="2"/>
  <c r="DP129" i="2"/>
  <c r="DF129" i="2"/>
  <c r="DH129" i="2" s="1"/>
  <c r="DE129" i="2"/>
  <c r="CY129" i="2"/>
  <c r="CZ129" i="2" s="1"/>
  <c r="CF129" i="2"/>
  <c r="CA129" i="2"/>
  <c r="BO129" i="2"/>
  <c r="BJ129" i="2"/>
  <c r="BM129" i="2" s="1"/>
  <c r="BN129" i="2" s="1"/>
  <c r="BC129" i="2"/>
  <c r="AZ129" i="2"/>
  <c r="AY129" i="2"/>
  <c r="AO129" i="2"/>
  <c r="AN129" i="2"/>
  <c r="AM129" i="2"/>
  <c r="AL129" i="2"/>
  <c r="AI129" i="2"/>
  <c r="AK129" i="2" s="1"/>
  <c r="AG129" i="2"/>
  <c r="AE129" i="2"/>
  <c r="AF129" i="2" s="1"/>
  <c r="U129" i="2"/>
  <c r="S129" i="2"/>
  <c r="T129" i="2" s="1"/>
  <c r="R129" i="2"/>
  <c r="X129" i="2" s="1"/>
  <c r="E129" i="2"/>
  <c r="GR47" i="2"/>
  <c r="GS47" i="2" s="1"/>
  <c r="GP47" i="2"/>
  <c r="GQ47" i="2" s="1"/>
  <c r="GN47" i="2"/>
  <c r="GO47" i="2" s="1"/>
  <c r="GL47" i="2"/>
  <c r="GM47" i="2" s="1"/>
  <c r="GH47" i="2"/>
  <c r="GG47" i="2"/>
  <c r="GI47" i="2" s="1"/>
  <c r="GD47" i="2"/>
  <c r="GC47" i="2"/>
  <c r="GB47" i="2"/>
  <c r="FY47" i="2"/>
  <c r="GA47" i="2" s="1"/>
  <c r="FS47" i="2"/>
  <c r="FT47" i="2" s="1"/>
  <c r="EW47" i="2"/>
  <c r="ET47" i="2"/>
  <c r="EU47" i="2" s="1"/>
  <c r="EQ47" i="2"/>
  <c r="ER47" i="2" s="1"/>
  <c r="EJ47" i="2"/>
  <c r="EE47" i="2"/>
  <c r="EF47" i="2" s="1"/>
  <c r="DX47" i="2"/>
  <c r="DP47" i="2"/>
  <c r="DF47" i="2"/>
  <c r="DH47" i="2" s="1"/>
  <c r="DE47" i="2"/>
  <c r="CY47" i="2"/>
  <c r="CZ47" i="2" s="1"/>
  <c r="CF47" i="2"/>
  <c r="CH47" i="2"/>
  <c r="CA47" i="2"/>
  <c r="DA47" i="2"/>
  <c r="DB47" i="2" s="1"/>
  <c r="BO47" i="2"/>
  <c r="BJ47" i="2"/>
  <c r="BM47" i="2" s="1"/>
  <c r="BN47" i="2" s="1"/>
  <c r="BC47" i="2"/>
  <c r="AZ47" i="2"/>
  <c r="AY47" i="2"/>
  <c r="AO47" i="2"/>
  <c r="AN47" i="2"/>
  <c r="AM47" i="2"/>
  <c r="AL47" i="2"/>
  <c r="AK47" i="2"/>
  <c r="AG47" i="2"/>
  <c r="AE47" i="2"/>
  <c r="AF47" i="2" s="1"/>
  <c r="U47" i="2"/>
  <c r="S47" i="2"/>
  <c r="T47" i="2" s="1"/>
  <c r="R47" i="2"/>
  <c r="X47" i="2" s="1"/>
  <c r="E47" i="2"/>
  <c r="GR127" i="2"/>
  <c r="GS127" i="2" s="1"/>
  <c r="GP127" i="2"/>
  <c r="GQ127" i="2" s="1"/>
  <c r="GN127" i="2"/>
  <c r="GO127" i="2" s="1"/>
  <c r="GL127" i="2"/>
  <c r="GM127" i="2" s="1"/>
  <c r="GH127" i="2"/>
  <c r="GG127" i="2"/>
  <c r="GI127" i="2" s="1"/>
  <c r="GD127" i="2"/>
  <c r="GC127" i="2"/>
  <c r="GB127" i="2"/>
  <c r="FY127" i="2"/>
  <c r="GA127" i="2" s="1"/>
  <c r="FS127" i="2"/>
  <c r="FT127" i="2" s="1"/>
  <c r="EW127" i="2"/>
  <c r="ET127" i="2"/>
  <c r="EU127" i="2" s="1"/>
  <c r="EQ127" i="2"/>
  <c r="ER127" i="2" s="1"/>
  <c r="EJ127" i="2"/>
  <c r="EE127" i="2"/>
  <c r="EF127" i="2" s="1"/>
  <c r="DX127" i="2"/>
  <c r="DP127" i="2"/>
  <c r="DF127" i="2"/>
  <c r="DH127" i="2" s="1"/>
  <c r="DE127" i="2"/>
  <c r="CY127" i="2"/>
  <c r="CZ127" i="2" s="1"/>
  <c r="CF127" i="2"/>
  <c r="CH127" i="2"/>
  <c r="CA127" i="2"/>
  <c r="DA127" i="2"/>
  <c r="DB127" i="2" s="1"/>
  <c r="BO127" i="2"/>
  <c r="BJ127" i="2"/>
  <c r="BM127" i="2" s="1"/>
  <c r="BN127" i="2" s="1"/>
  <c r="BC127" i="2"/>
  <c r="AZ127" i="2"/>
  <c r="AY127" i="2"/>
  <c r="AO127" i="2"/>
  <c r="AN127" i="2"/>
  <c r="AM127" i="2"/>
  <c r="AL127" i="2"/>
  <c r="AK127" i="2"/>
  <c r="AG127" i="2"/>
  <c r="AE127" i="2"/>
  <c r="AF127" i="2" s="1"/>
  <c r="U127" i="2"/>
  <c r="S127" i="2"/>
  <c r="T127" i="2" s="1"/>
  <c r="R127" i="2"/>
  <c r="X127" i="2" s="1"/>
  <c r="E127" i="2"/>
  <c r="GR126" i="2"/>
  <c r="GS126" i="2" s="1"/>
  <c r="GP126" i="2"/>
  <c r="GQ126" i="2" s="1"/>
  <c r="GN126" i="2"/>
  <c r="GO126" i="2" s="1"/>
  <c r="GL126" i="2"/>
  <c r="GM126" i="2" s="1"/>
  <c r="GH126" i="2"/>
  <c r="GG126" i="2"/>
  <c r="GI126" i="2" s="1"/>
  <c r="GD126" i="2"/>
  <c r="GC126" i="2"/>
  <c r="GB126" i="2"/>
  <c r="FY126" i="2"/>
  <c r="GA126" i="2" s="1"/>
  <c r="FS126" i="2"/>
  <c r="FT126" i="2" s="1"/>
  <c r="EW126" i="2"/>
  <c r="ET126" i="2"/>
  <c r="EU126" i="2" s="1"/>
  <c r="EQ126" i="2"/>
  <c r="ER126" i="2" s="1"/>
  <c r="EJ126" i="2"/>
  <c r="EE126" i="2"/>
  <c r="EF126" i="2" s="1"/>
  <c r="DX126" i="2"/>
  <c r="DP126" i="2"/>
  <c r="DF126" i="2"/>
  <c r="DH126" i="2" s="1"/>
  <c r="DE126" i="2"/>
  <c r="CY126" i="2"/>
  <c r="CZ126" i="2" s="1"/>
  <c r="CF126" i="2"/>
  <c r="CH126" i="2"/>
  <c r="CA126" i="2"/>
  <c r="BO126" i="2"/>
  <c r="BJ126" i="2"/>
  <c r="BM126" i="2" s="1"/>
  <c r="BN126" i="2" s="1"/>
  <c r="BC126" i="2"/>
  <c r="AZ126" i="2"/>
  <c r="AY126" i="2"/>
  <c r="AO126" i="2"/>
  <c r="AN126" i="2"/>
  <c r="AM126" i="2"/>
  <c r="AL126" i="2"/>
  <c r="AK126" i="2"/>
  <c r="AG126" i="2"/>
  <c r="AE126" i="2"/>
  <c r="AF126" i="2" s="1"/>
  <c r="U126" i="2"/>
  <c r="S126" i="2"/>
  <c r="T126" i="2" s="1"/>
  <c r="R126" i="2"/>
  <c r="X126" i="2" s="1"/>
  <c r="E126" i="2"/>
  <c r="GR125" i="2"/>
  <c r="GS125" i="2" s="1"/>
  <c r="GP125" i="2"/>
  <c r="GQ125" i="2" s="1"/>
  <c r="DO125" i="2" s="1"/>
  <c r="GN125" i="2"/>
  <c r="GO125" i="2" s="1"/>
  <c r="GL125" i="2"/>
  <c r="GM125" i="2" s="1"/>
  <c r="GH125" i="2"/>
  <c r="GG125" i="2"/>
  <c r="GI125" i="2" s="1"/>
  <c r="GD125" i="2"/>
  <c r="GC125" i="2"/>
  <c r="GB125" i="2"/>
  <c r="FY125" i="2"/>
  <c r="GA125" i="2" s="1"/>
  <c r="FS125" i="2"/>
  <c r="FT125" i="2" s="1"/>
  <c r="EW125" i="2"/>
  <c r="ET125" i="2"/>
  <c r="EU125" i="2" s="1"/>
  <c r="EQ125" i="2"/>
  <c r="ER125" i="2" s="1"/>
  <c r="EJ125" i="2"/>
  <c r="EE125" i="2"/>
  <c r="EF125" i="2" s="1"/>
  <c r="DX125" i="2"/>
  <c r="DP125" i="2"/>
  <c r="DF125" i="2"/>
  <c r="DH125" i="2" s="1"/>
  <c r="DE125" i="2"/>
  <c r="CY125" i="2"/>
  <c r="CZ125" i="2" s="1"/>
  <c r="CF125" i="2"/>
  <c r="CH125" i="2"/>
  <c r="CA125" i="2"/>
  <c r="DA125" i="2"/>
  <c r="DB125" i="2" s="1"/>
  <c r="BO125" i="2"/>
  <c r="BJ125" i="2"/>
  <c r="BM125" i="2" s="1"/>
  <c r="BN125" i="2" s="1"/>
  <c r="BC125" i="2"/>
  <c r="AZ125" i="2"/>
  <c r="AY125" i="2"/>
  <c r="AO125" i="2"/>
  <c r="AN125" i="2"/>
  <c r="AM125" i="2"/>
  <c r="AL125" i="2"/>
  <c r="AK125" i="2"/>
  <c r="AG125" i="2"/>
  <c r="AE125" i="2"/>
  <c r="AF125" i="2" s="1"/>
  <c r="U125" i="2"/>
  <c r="S125" i="2"/>
  <c r="T125" i="2" s="1"/>
  <c r="R125" i="2"/>
  <c r="X125" i="2" s="1"/>
  <c r="E125" i="2"/>
  <c r="GR124" i="2"/>
  <c r="GS124" i="2" s="1"/>
  <c r="GP124" i="2"/>
  <c r="GQ124" i="2" s="1"/>
  <c r="GN124" i="2"/>
  <c r="GO124" i="2" s="1"/>
  <c r="GL124" i="2"/>
  <c r="GM124" i="2" s="1"/>
  <c r="GH124" i="2"/>
  <c r="GG124" i="2"/>
  <c r="GI124" i="2" s="1"/>
  <c r="GD124" i="2"/>
  <c r="GC124" i="2"/>
  <c r="GB124" i="2"/>
  <c r="FY124" i="2"/>
  <c r="GA124" i="2" s="1"/>
  <c r="FS124" i="2"/>
  <c r="FT124" i="2" s="1"/>
  <c r="EW124" i="2"/>
  <c r="ET124" i="2"/>
  <c r="EU124" i="2" s="1"/>
  <c r="EQ124" i="2"/>
  <c r="ER124" i="2" s="1"/>
  <c r="EJ124" i="2"/>
  <c r="EE124" i="2"/>
  <c r="EF124" i="2" s="1"/>
  <c r="DX124" i="2"/>
  <c r="DP124" i="2"/>
  <c r="DF124" i="2"/>
  <c r="DH124" i="2" s="1"/>
  <c r="DE124" i="2"/>
  <c r="CY124" i="2"/>
  <c r="CZ124" i="2" s="1"/>
  <c r="CF124" i="2"/>
  <c r="CH124" i="2"/>
  <c r="CA124" i="2"/>
  <c r="DA124" i="2"/>
  <c r="DB124" i="2" s="1"/>
  <c r="BO124" i="2"/>
  <c r="BJ124" i="2"/>
  <c r="BM124" i="2" s="1"/>
  <c r="BN124" i="2" s="1"/>
  <c r="BC124" i="2"/>
  <c r="AZ124" i="2"/>
  <c r="AY124" i="2"/>
  <c r="AO124" i="2"/>
  <c r="AN124" i="2"/>
  <c r="AM124" i="2"/>
  <c r="AL124" i="2"/>
  <c r="AK124" i="2"/>
  <c r="AG124" i="2"/>
  <c r="AE124" i="2"/>
  <c r="AF124" i="2" s="1"/>
  <c r="U124" i="2"/>
  <c r="S124" i="2"/>
  <c r="T124" i="2" s="1"/>
  <c r="R124" i="2"/>
  <c r="E124" i="2"/>
  <c r="GR123" i="2"/>
  <c r="GS123" i="2" s="1"/>
  <c r="GP123" i="2"/>
  <c r="GQ123" i="2" s="1"/>
  <c r="GN123" i="2"/>
  <c r="GO123" i="2" s="1"/>
  <c r="GL123" i="2"/>
  <c r="GM123" i="2" s="1"/>
  <c r="GH123" i="2"/>
  <c r="GG123" i="2"/>
  <c r="GI123" i="2" s="1"/>
  <c r="GD123" i="2"/>
  <c r="GC123" i="2"/>
  <c r="GB123" i="2"/>
  <c r="FY123" i="2"/>
  <c r="GA123" i="2" s="1"/>
  <c r="FS123" i="2"/>
  <c r="FT123" i="2" s="1"/>
  <c r="EW123" i="2"/>
  <c r="ET123" i="2"/>
  <c r="EU123" i="2" s="1"/>
  <c r="EQ123" i="2"/>
  <c r="ER123" i="2" s="1"/>
  <c r="EJ123" i="2"/>
  <c r="EE123" i="2"/>
  <c r="EF123" i="2" s="1"/>
  <c r="DX123" i="2"/>
  <c r="DP123" i="2"/>
  <c r="DF123" i="2"/>
  <c r="DE123" i="2"/>
  <c r="CY123" i="2"/>
  <c r="CZ123" i="2" s="1"/>
  <c r="CF123" i="2"/>
  <c r="CH123" i="2"/>
  <c r="CA123" i="2"/>
  <c r="DA123" i="2"/>
  <c r="DB123" i="2" s="1"/>
  <c r="BO123" i="2"/>
  <c r="BJ123" i="2"/>
  <c r="BC123" i="2"/>
  <c r="AZ123" i="2"/>
  <c r="AY123" i="2"/>
  <c r="AO123" i="2"/>
  <c r="AN123" i="2"/>
  <c r="AM123" i="2"/>
  <c r="AL123" i="2"/>
  <c r="AK123" i="2"/>
  <c r="AG123" i="2"/>
  <c r="AE123" i="2"/>
  <c r="AF123" i="2" s="1"/>
  <c r="U123" i="2"/>
  <c r="S123" i="2"/>
  <c r="T123" i="2" s="1"/>
  <c r="R123" i="2"/>
  <c r="E123" i="2"/>
  <c r="GR122" i="2"/>
  <c r="GS122" i="2" s="1"/>
  <c r="GP122" i="2"/>
  <c r="GQ122" i="2" s="1"/>
  <c r="GN122" i="2"/>
  <c r="GO122" i="2" s="1"/>
  <c r="GL122" i="2"/>
  <c r="GM122" i="2" s="1"/>
  <c r="GH122" i="2"/>
  <c r="GG122" i="2"/>
  <c r="GI122" i="2" s="1"/>
  <c r="GD122" i="2"/>
  <c r="GC122" i="2"/>
  <c r="GB122" i="2"/>
  <c r="FY122" i="2"/>
  <c r="GA122" i="2" s="1"/>
  <c r="FS122" i="2"/>
  <c r="FT122" i="2" s="1"/>
  <c r="EW122" i="2"/>
  <c r="ET122" i="2"/>
  <c r="EU122" i="2" s="1"/>
  <c r="EQ122" i="2"/>
  <c r="ER122" i="2" s="1"/>
  <c r="EJ122" i="2"/>
  <c r="EE122" i="2"/>
  <c r="EF122" i="2" s="1"/>
  <c r="DX122" i="2"/>
  <c r="DP122" i="2"/>
  <c r="DF122" i="2"/>
  <c r="DH122" i="2" s="1"/>
  <c r="DE122" i="2"/>
  <c r="CY122" i="2"/>
  <c r="CZ122" i="2" s="1"/>
  <c r="CF122" i="2"/>
  <c r="CH122" i="2"/>
  <c r="CA122" i="2"/>
  <c r="BO122" i="2"/>
  <c r="BJ122" i="2"/>
  <c r="BM122" i="2" s="1"/>
  <c r="BN122" i="2" s="1"/>
  <c r="BC122" i="2"/>
  <c r="AZ122" i="2"/>
  <c r="AY122" i="2"/>
  <c r="AO122" i="2"/>
  <c r="AN122" i="2"/>
  <c r="AM122" i="2"/>
  <c r="AL122" i="2"/>
  <c r="AK122" i="2"/>
  <c r="AG122" i="2"/>
  <c r="AE122" i="2"/>
  <c r="AF122" i="2" s="1"/>
  <c r="U122" i="2"/>
  <c r="S122" i="2"/>
  <c r="T122" i="2" s="1"/>
  <c r="R122" i="2"/>
  <c r="X122" i="2" s="1"/>
  <c r="E122" i="2"/>
  <c r="GR121" i="2"/>
  <c r="GS121" i="2" s="1"/>
  <c r="GP121" i="2"/>
  <c r="GQ121" i="2" s="1"/>
  <c r="DU121" i="2" s="1"/>
  <c r="GN121" i="2"/>
  <c r="GO121" i="2" s="1"/>
  <c r="GL121" i="2"/>
  <c r="GM121" i="2" s="1"/>
  <c r="GH121" i="2"/>
  <c r="GG121" i="2"/>
  <c r="GI121" i="2" s="1"/>
  <c r="GD121" i="2"/>
  <c r="GC121" i="2"/>
  <c r="GB121" i="2"/>
  <c r="FY121" i="2"/>
  <c r="GA121" i="2" s="1"/>
  <c r="FS121" i="2"/>
  <c r="FT121" i="2" s="1"/>
  <c r="EW121" i="2"/>
  <c r="ET121" i="2"/>
  <c r="EU121" i="2" s="1"/>
  <c r="EQ121" i="2"/>
  <c r="ER121" i="2" s="1"/>
  <c r="EJ121" i="2"/>
  <c r="EE121" i="2"/>
  <c r="EF121" i="2" s="1"/>
  <c r="DX121" i="2"/>
  <c r="DP121" i="2"/>
  <c r="DF121" i="2"/>
  <c r="DH121" i="2" s="1"/>
  <c r="DE121" i="2"/>
  <c r="CY121" i="2"/>
  <c r="CZ121" i="2" s="1"/>
  <c r="CF121" i="2"/>
  <c r="CA121" i="2"/>
  <c r="CW121" i="2"/>
  <c r="BO121" i="2"/>
  <c r="BJ121" i="2"/>
  <c r="BM121" i="2" s="1"/>
  <c r="BN121" i="2" s="1"/>
  <c r="BC121" i="2"/>
  <c r="AZ121" i="2"/>
  <c r="AY121" i="2"/>
  <c r="AO121" i="2"/>
  <c r="AN121" i="2"/>
  <c r="AM121" i="2"/>
  <c r="AL121" i="2"/>
  <c r="AK121" i="2"/>
  <c r="AG121" i="2"/>
  <c r="AE121" i="2"/>
  <c r="AF121" i="2" s="1"/>
  <c r="U121" i="2"/>
  <c r="S121" i="2"/>
  <c r="T121" i="2" s="1"/>
  <c r="R121" i="2"/>
  <c r="Y121" i="2" s="1"/>
  <c r="AB121" i="2" s="1"/>
  <c r="E121" i="2"/>
  <c r="GR120" i="2"/>
  <c r="GS120" i="2" s="1"/>
  <c r="GP120" i="2"/>
  <c r="GQ120" i="2" s="1"/>
  <c r="DU120" i="2" s="1"/>
  <c r="GN120" i="2"/>
  <c r="GO120" i="2" s="1"/>
  <c r="GL120" i="2"/>
  <c r="GM120" i="2" s="1"/>
  <c r="GH120" i="2"/>
  <c r="GG120" i="2"/>
  <c r="GI120" i="2" s="1"/>
  <c r="GD120" i="2"/>
  <c r="GC120" i="2"/>
  <c r="GB120" i="2"/>
  <c r="FY120" i="2"/>
  <c r="GA120" i="2" s="1"/>
  <c r="FS120" i="2"/>
  <c r="FT120" i="2" s="1"/>
  <c r="EW120" i="2"/>
  <c r="ET120" i="2"/>
  <c r="EU120" i="2" s="1"/>
  <c r="EQ120" i="2"/>
  <c r="ER120" i="2" s="1"/>
  <c r="EJ120" i="2"/>
  <c r="EE120" i="2"/>
  <c r="EF120" i="2" s="1"/>
  <c r="DX120" i="2"/>
  <c r="DP120" i="2"/>
  <c r="DF120" i="2"/>
  <c r="DH120" i="2" s="1"/>
  <c r="DE120" i="2"/>
  <c r="CY120" i="2"/>
  <c r="CZ120" i="2" s="1"/>
  <c r="CF120" i="2"/>
  <c r="CA120" i="2"/>
  <c r="CW120" i="2"/>
  <c r="BO120" i="2"/>
  <c r="BJ120" i="2"/>
  <c r="BM120" i="2" s="1"/>
  <c r="BN120" i="2" s="1"/>
  <c r="BC120" i="2"/>
  <c r="AZ120" i="2"/>
  <c r="AY120" i="2"/>
  <c r="AO120" i="2"/>
  <c r="AN120" i="2"/>
  <c r="AM120" i="2"/>
  <c r="AL120" i="2"/>
  <c r="AK120" i="2"/>
  <c r="AG120" i="2"/>
  <c r="AE120" i="2"/>
  <c r="AF120" i="2" s="1"/>
  <c r="U120" i="2"/>
  <c r="S120" i="2"/>
  <c r="R120" i="2"/>
  <c r="E120" i="2"/>
  <c r="GR119" i="2"/>
  <c r="GS119" i="2" s="1"/>
  <c r="GP119" i="2"/>
  <c r="GQ119" i="2" s="1"/>
  <c r="DU119" i="2" s="1"/>
  <c r="GN119" i="2"/>
  <c r="GO119" i="2" s="1"/>
  <c r="GL119" i="2"/>
  <c r="GM119" i="2" s="1"/>
  <c r="GH119" i="2"/>
  <c r="GG119" i="2"/>
  <c r="GI119" i="2" s="1"/>
  <c r="GD119" i="2"/>
  <c r="GC119" i="2"/>
  <c r="GB119" i="2"/>
  <c r="FY119" i="2"/>
  <c r="GA119" i="2" s="1"/>
  <c r="FS119" i="2"/>
  <c r="FT119" i="2" s="1"/>
  <c r="EW119" i="2"/>
  <c r="ET119" i="2"/>
  <c r="EU119" i="2" s="1"/>
  <c r="EQ119" i="2"/>
  <c r="ER119" i="2" s="1"/>
  <c r="EJ119" i="2"/>
  <c r="EE119" i="2"/>
  <c r="EF119" i="2" s="1"/>
  <c r="DX119" i="2"/>
  <c r="DP119" i="2"/>
  <c r="DF119" i="2"/>
  <c r="DH119" i="2" s="1"/>
  <c r="DE119" i="2"/>
  <c r="CY119" i="2"/>
  <c r="CZ119" i="2" s="1"/>
  <c r="CF119" i="2"/>
  <c r="CA119" i="2"/>
  <c r="CW119" i="2"/>
  <c r="BO119" i="2"/>
  <c r="BJ119" i="2"/>
  <c r="BM119" i="2" s="1"/>
  <c r="BN119" i="2" s="1"/>
  <c r="BC119" i="2"/>
  <c r="AZ119" i="2"/>
  <c r="AY119" i="2"/>
  <c r="AO119" i="2"/>
  <c r="AN119" i="2"/>
  <c r="AM119" i="2"/>
  <c r="AL119" i="2"/>
  <c r="AK119" i="2"/>
  <c r="AG119" i="2"/>
  <c r="AE119" i="2"/>
  <c r="AF119" i="2" s="1"/>
  <c r="U119" i="2"/>
  <c r="S119" i="2"/>
  <c r="R119" i="2"/>
  <c r="E119" i="2"/>
  <c r="GR118" i="2"/>
  <c r="GS118" i="2" s="1"/>
  <c r="GP118" i="2"/>
  <c r="GQ118" i="2" s="1"/>
  <c r="DU118" i="2" s="1"/>
  <c r="GN118" i="2"/>
  <c r="GO118" i="2" s="1"/>
  <c r="GL118" i="2"/>
  <c r="GM118" i="2" s="1"/>
  <c r="GH118" i="2"/>
  <c r="GG118" i="2"/>
  <c r="GI118" i="2" s="1"/>
  <c r="GD118" i="2"/>
  <c r="GC118" i="2"/>
  <c r="GB118" i="2"/>
  <c r="FY118" i="2"/>
  <c r="GA118" i="2" s="1"/>
  <c r="FS118" i="2"/>
  <c r="FT118" i="2" s="1"/>
  <c r="EW118" i="2"/>
  <c r="ET118" i="2"/>
  <c r="EU118" i="2" s="1"/>
  <c r="EQ118" i="2"/>
  <c r="ER118" i="2" s="1"/>
  <c r="EJ118" i="2"/>
  <c r="EE118" i="2"/>
  <c r="EF118" i="2" s="1"/>
  <c r="DX118" i="2"/>
  <c r="DP118" i="2"/>
  <c r="DF118" i="2"/>
  <c r="DH118" i="2" s="1"/>
  <c r="DE118" i="2"/>
  <c r="CY118" i="2"/>
  <c r="CZ118" i="2" s="1"/>
  <c r="CF118" i="2"/>
  <c r="CA118" i="2"/>
  <c r="BO118" i="2"/>
  <c r="BJ118" i="2"/>
  <c r="BM118" i="2" s="1"/>
  <c r="BN118" i="2" s="1"/>
  <c r="BC118" i="2"/>
  <c r="AZ118" i="2"/>
  <c r="AY118" i="2"/>
  <c r="AO118" i="2"/>
  <c r="AN118" i="2"/>
  <c r="AM118" i="2"/>
  <c r="AL118" i="2"/>
  <c r="AK118" i="2"/>
  <c r="AG118" i="2"/>
  <c r="AE118" i="2"/>
  <c r="AF118" i="2" s="1"/>
  <c r="U118" i="2"/>
  <c r="S118" i="2"/>
  <c r="T118" i="2" s="1"/>
  <c r="R118" i="2"/>
  <c r="Y118" i="2" s="1"/>
  <c r="AB118" i="2" s="1"/>
  <c r="E118" i="2"/>
  <c r="GR117" i="2"/>
  <c r="GS117" i="2" s="1"/>
  <c r="GP117" i="2"/>
  <c r="GQ117" i="2" s="1"/>
  <c r="DU117" i="2" s="1"/>
  <c r="GN117" i="2"/>
  <c r="GO117" i="2" s="1"/>
  <c r="GL117" i="2"/>
  <c r="GM117" i="2" s="1"/>
  <c r="GH117" i="2"/>
  <c r="GG117" i="2"/>
  <c r="GI117" i="2" s="1"/>
  <c r="GD117" i="2"/>
  <c r="GC117" i="2"/>
  <c r="GB117" i="2"/>
  <c r="FY117" i="2"/>
  <c r="GA117" i="2" s="1"/>
  <c r="FS117" i="2"/>
  <c r="FT117" i="2" s="1"/>
  <c r="EW117" i="2"/>
  <c r="ET117" i="2"/>
  <c r="EU117" i="2" s="1"/>
  <c r="EQ117" i="2"/>
  <c r="ER117" i="2" s="1"/>
  <c r="EJ117" i="2"/>
  <c r="EE117" i="2"/>
  <c r="EF117" i="2" s="1"/>
  <c r="DX117" i="2"/>
  <c r="DP117" i="2"/>
  <c r="DF117" i="2"/>
  <c r="DH117" i="2" s="1"/>
  <c r="DE117" i="2"/>
  <c r="CY117" i="2"/>
  <c r="CZ117" i="2" s="1"/>
  <c r="CF117" i="2"/>
  <c r="CA117" i="2"/>
  <c r="BO117" i="2"/>
  <c r="BJ117" i="2"/>
  <c r="BM117" i="2" s="1"/>
  <c r="BN117" i="2" s="1"/>
  <c r="BC117" i="2"/>
  <c r="AZ117" i="2"/>
  <c r="AY117" i="2"/>
  <c r="AO117" i="2"/>
  <c r="AN117" i="2"/>
  <c r="AM117" i="2"/>
  <c r="AL117" i="2"/>
  <c r="AK117" i="2"/>
  <c r="AG117" i="2"/>
  <c r="AE117" i="2"/>
  <c r="AF117" i="2" s="1"/>
  <c r="U117" i="2"/>
  <c r="S117" i="2"/>
  <c r="T117" i="2" s="1"/>
  <c r="R117" i="2"/>
  <c r="Y117" i="2" s="1"/>
  <c r="AB117" i="2" s="1"/>
  <c r="E117" i="2"/>
  <c r="GR198" i="2"/>
  <c r="GS198" i="2" s="1"/>
  <c r="GP198" i="2"/>
  <c r="GQ198" i="2" s="1"/>
  <c r="GN198" i="2"/>
  <c r="GO198" i="2" s="1"/>
  <c r="GL198" i="2"/>
  <c r="GM198" i="2" s="1"/>
  <c r="GH198" i="2"/>
  <c r="GG198" i="2"/>
  <c r="GI198" i="2" s="1"/>
  <c r="GD198" i="2"/>
  <c r="GC198" i="2"/>
  <c r="GB198" i="2"/>
  <c r="FY198" i="2"/>
  <c r="FZ198" i="2" s="1"/>
  <c r="FS198" i="2"/>
  <c r="FT198" i="2" s="1"/>
  <c r="EW198" i="2"/>
  <c r="ET198" i="2"/>
  <c r="EU198" i="2" s="1"/>
  <c r="EQ198" i="2"/>
  <c r="ER198" i="2" s="1"/>
  <c r="EJ198" i="2"/>
  <c r="EE198" i="2"/>
  <c r="EF198" i="2" s="1"/>
  <c r="DX198" i="2"/>
  <c r="DP198" i="2"/>
  <c r="DF198" i="2"/>
  <c r="DH198" i="2" s="1"/>
  <c r="DE198" i="2"/>
  <c r="CY198" i="2"/>
  <c r="CZ198" i="2" s="1"/>
  <c r="CF198" i="2"/>
  <c r="CA198" i="2"/>
  <c r="CW198" i="2"/>
  <c r="BO198" i="2"/>
  <c r="BJ198" i="2"/>
  <c r="BM198" i="2" s="1"/>
  <c r="BN198" i="2" s="1"/>
  <c r="BC198" i="2"/>
  <c r="AZ198" i="2"/>
  <c r="AY198" i="2"/>
  <c r="AO198" i="2"/>
  <c r="AN198" i="2"/>
  <c r="AM198" i="2"/>
  <c r="AL198" i="2"/>
  <c r="AK198" i="2"/>
  <c r="AG198" i="2"/>
  <c r="AE198" i="2"/>
  <c r="AF198" i="2" s="1"/>
  <c r="U198" i="2"/>
  <c r="S198" i="2"/>
  <c r="R198" i="2"/>
  <c r="Y198" i="2" s="1"/>
  <c r="AB198" i="2" s="1"/>
  <c r="E198" i="2"/>
  <c r="GR115" i="2"/>
  <c r="GS115" i="2" s="1"/>
  <c r="GP115" i="2"/>
  <c r="GQ115" i="2" s="1"/>
  <c r="GN115" i="2"/>
  <c r="GO115" i="2" s="1"/>
  <c r="GL115" i="2"/>
  <c r="GM115" i="2" s="1"/>
  <c r="GH115" i="2"/>
  <c r="GG115" i="2"/>
  <c r="GI115" i="2" s="1"/>
  <c r="GD115" i="2"/>
  <c r="GC115" i="2"/>
  <c r="GB115" i="2"/>
  <c r="FY115" i="2"/>
  <c r="GA115" i="2" s="1"/>
  <c r="FS115" i="2"/>
  <c r="FT115" i="2" s="1"/>
  <c r="EW115" i="2"/>
  <c r="ET115" i="2"/>
  <c r="EU115" i="2" s="1"/>
  <c r="EQ115" i="2"/>
  <c r="ER115" i="2" s="1"/>
  <c r="EJ115" i="2"/>
  <c r="EE115" i="2"/>
  <c r="EF115" i="2" s="1"/>
  <c r="DX115" i="2"/>
  <c r="DP115" i="2"/>
  <c r="DF115" i="2"/>
  <c r="DH115" i="2" s="1"/>
  <c r="DE115" i="2"/>
  <c r="CY115" i="2"/>
  <c r="CZ115" i="2" s="1"/>
  <c r="CF115" i="2"/>
  <c r="CA115" i="2"/>
  <c r="CW115" i="2"/>
  <c r="BO115" i="2"/>
  <c r="BJ115" i="2"/>
  <c r="BM115" i="2" s="1"/>
  <c r="BN115" i="2" s="1"/>
  <c r="BC115" i="2"/>
  <c r="AZ115" i="2"/>
  <c r="AY115" i="2"/>
  <c r="AO115" i="2"/>
  <c r="AN115" i="2"/>
  <c r="AM115" i="2"/>
  <c r="AL115" i="2"/>
  <c r="AK115" i="2"/>
  <c r="AG115" i="2"/>
  <c r="AE115" i="2"/>
  <c r="AF115" i="2" s="1"/>
  <c r="U115" i="2"/>
  <c r="S115" i="2"/>
  <c r="T115" i="2" s="1"/>
  <c r="R115" i="2"/>
  <c r="Y115" i="2" s="1"/>
  <c r="AB115" i="2" s="1"/>
  <c r="E115" i="2"/>
  <c r="GR114" i="2"/>
  <c r="GS114" i="2" s="1"/>
  <c r="GP114" i="2"/>
  <c r="GQ114" i="2" s="1"/>
  <c r="GN114" i="2"/>
  <c r="GO114" i="2" s="1"/>
  <c r="GL114" i="2"/>
  <c r="GM114" i="2" s="1"/>
  <c r="GH114" i="2"/>
  <c r="GG114" i="2"/>
  <c r="GI114" i="2" s="1"/>
  <c r="GD114" i="2"/>
  <c r="GC114" i="2"/>
  <c r="GB114" i="2"/>
  <c r="FY114" i="2"/>
  <c r="FZ114" i="2" s="1"/>
  <c r="FS114" i="2"/>
  <c r="FT114" i="2" s="1"/>
  <c r="EW114" i="2"/>
  <c r="ET114" i="2"/>
  <c r="EU114" i="2" s="1"/>
  <c r="EQ114" i="2"/>
  <c r="ER114" i="2" s="1"/>
  <c r="EJ114" i="2"/>
  <c r="EE114" i="2"/>
  <c r="EF114" i="2" s="1"/>
  <c r="DX114" i="2"/>
  <c r="DP114" i="2"/>
  <c r="DF114" i="2"/>
  <c r="DH114" i="2" s="1"/>
  <c r="DE114" i="2"/>
  <c r="CY114" i="2"/>
  <c r="CZ114" i="2" s="1"/>
  <c r="CF114" i="2"/>
  <c r="CA114" i="2"/>
  <c r="BO114" i="2"/>
  <c r="BJ114" i="2"/>
  <c r="BC114" i="2"/>
  <c r="AZ114" i="2"/>
  <c r="AY114" i="2"/>
  <c r="AO114" i="2"/>
  <c r="AN114" i="2"/>
  <c r="AM114" i="2"/>
  <c r="AL114" i="2"/>
  <c r="AK114" i="2"/>
  <c r="AG114" i="2"/>
  <c r="AE114" i="2"/>
  <c r="AF114" i="2" s="1"/>
  <c r="U114" i="2"/>
  <c r="S114" i="2"/>
  <c r="T114" i="2" s="1"/>
  <c r="R114" i="2"/>
  <c r="Y114" i="2" s="1"/>
  <c r="AB114" i="2" s="1"/>
  <c r="E114" i="2"/>
  <c r="GR113" i="2"/>
  <c r="GS113" i="2" s="1"/>
  <c r="GP113" i="2"/>
  <c r="GQ113" i="2" s="1"/>
  <c r="DO113" i="2" s="1"/>
  <c r="GN113" i="2"/>
  <c r="GO113" i="2" s="1"/>
  <c r="GL113" i="2"/>
  <c r="GM113" i="2" s="1"/>
  <c r="GH113" i="2"/>
  <c r="GG113" i="2"/>
  <c r="GI113" i="2" s="1"/>
  <c r="GD113" i="2"/>
  <c r="GC113" i="2"/>
  <c r="GB113" i="2"/>
  <c r="FY113" i="2"/>
  <c r="FS113" i="2"/>
  <c r="FT113" i="2" s="1"/>
  <c r="EW113" i="2"/>
  <c r="ET113" i="2"/>
  <c r="EU113" i="2" s="1"/>
  <c r="EQ113" i="2"/>
  <c r="ER113" i="2" s="1"/>
  <c r="EJ113" i="2"/>
  <c r="EE113" i="2"/>
  <c r="EF113" i="2" s="1"/>
  <c r="DX113" i="2"/>
  <c r="DP113" i="2"/>
  <c r="DF113" i="2"/>
  <c r="DH113" i="2" s="1"/>
  <c r="DE113" i="2"/>
  <c r="CY113" i="2"/>
  <c r="CZ113" i="2" s="1"/>
  <c r="CF113" i="2"/>
  <c r="CA113" i="2"/>
  <c r="CW113" i="2"/>
  <c r="BO113" i="2"/>
  <c r="BJ113" i="2"/>
  <c r="BC113" i="2"/>
  <c r="AZ113" i="2"/>
  <c r="AY113" i="2"/>
  <c r="AO113" i="2"/>
  <c r="AN113" i="2"/>
  <c r="AM113" i="2"/>
  <c r="AL113" i="2"/>
  <c r="AK113" i="2"/>
  <c r="AG113" i="2"/>
  <c r="AE113" i="2"/>
  <c r="AF113" i="2" s="1"/>
  <c r="U113" i="2"/>
  <c r="S113" i="2"/>
  <c r="T113" i="2" s="1"/>
  <c r="R113" i="2"/>
  <c r="Y113" i="2" s="1"/>
  <c r="AB113" i="2" s="1"/>
  <c r="E113" i="2"/>
  <c r="GR112" i="2"/>
  <c r="GS112" i="2" s="1"/>
  <c r="GP112" i="2"/>
  <c r="GQ112" i="2" s="1"/>
  <c r="DO112" i="2" s="1"/>
  <c r="GN112" i="2"/>
  <c r="GO112" i="2" s="1"/>
  <c r="GL112" i="2"/>
  <c r="GM112" i="2" s="1"/>
  <c r="GH112" i="2"/>
  <c r="GG112" i="2"/>
  <c r="GI112" i="2" s="1"/>
  <c r="GD112" i="2"/>
  <c r="GC112" i="2"/>
  <c r="GB112" i="2"/>
  <c r="FY112" i="2"/>
  <c r="GA112" i="2" s="1"/>
  <c r="FS112" i="2"/>
  <c r="FT112" i="2" s="1"/>
  <c r="EW112" i="2"/>
  <c r="ET112" i="2"/>
  <c r="EU112" i="2" s="1"/>
  <c r="EQ112" i="2"/>
  <c r="ER112" i="2" s="1"/>
  <c r="EJ112" i="2"/>
  <c r="EE112" i="2"/>
  <c r="EF112" i="2" s="1"/>
  <c r="DX112" i="2"/>
  <c r="DP112" i="2"/>
  <c r="DF112" i="2"/>
  <c r="DH112" i="2" s="1"/>
  <c r="DE112" i="2"/>
  <c r="CY112" i="2"/>
  <c r="CZ112" i="2" s="1"/>
  <c r="CF112" i="2"/>
  <c r="CA112" i="2"/>
  <c r="BO112" i="2"/>
  <c r="BJ112" i="2"/>
  <c r="BC112" i="2"/>
  <c r="AZ112" i="2"/>
  <c r="AY112" i="2"/>
  <c r="AO112" i="2"/>
  <c r="AN112" i="2"/>
  <c r="AM112" i="2"/>
  <c r="AL112" i="2"/>
  <c r="AK112" i="2"/>
  <c r="AG112" i="2"/>
  <c r="AE112" i="2"/>
  <c r="AF112" i="2" s="1"/>
  <c r="U112" i="2"/>
  <c r="S112" i="2"/>
  <c r="R112" i="2"/>
  <c r="X112" i="2" s="1"/>
  <c r="E112" i="2"/>
  <c r="GR85" i="2"/>
  <c r="GS85" i="2" s="1"/>
  <c r="GP85" i="2"/>
  <c r="GQ85" i="2" s="1"/>
  <c r="DO85" i="2" s="1"/>
  <c r="GN85" i="2"/>
  <c r="GO85" i="2" s="1"/>
  <c r="GL85" i="2"/>
  <c r="GM85" i="2" s="1"/>
  <c r="GH85" i="2"/>
  <c r="GG85" i="2"/>
  <c r="GI85" i="2" s="1"/>
  <c r="GD85" i="2"/>
  <c r="GC85" i="2"/>
  <c r="GB85" i="2"/>
  <c r="FY85" i="2"/>
  <c r="FS85" i="2"/>
  <c r="FT85" i="2" s="1"/>
  <c r="EW85" i="2"/>
  <c r="ET85" i="2"/>
  <c r="EU85" i="2" s="1"/>
  <c r="EQ85" i="2"/>
  <c r="ER85" i="2" s="1"/>
  <c r="EJ85" i="2"/>
  <c r="EE85" i="2"/>
  <c r="EF85" i="2" s="1"/>
  <c r="DX85" i="2"/>
  <c r="DP85" i="2"/>
  <c r="DF85" i="2"/>
  <c r="DH85" i="2" s="1"/>
  <c r="DE85" i="2"/>
  <c r="CY85" i="2"/>
  <c r="CZ85" i="2" s="1"/>
  <c r="CF85" i="2"/>
  <c r="CA85" i="2"/>
  <c r="BO85" i="2"/>
  <c r="BJ85" i="2"/>
  <c r="BC85" i="2"/>
  <c r="AO85" i="2"/>
  <c r="AN85" i="2"/>
  <c r="AM85" i="2"/>
  <c r="AL85" i="2"/>
  <c r="AK85" i="2"/>
  <c r="AG85" i="2"/>
  <c r="AE85" i="2"/>
  <c r="AF85" i="2" s="1"/>
  <c r="U85" i="2"/>
  <c r="S85" i="2"/>
  <c r="T85" i="2" s="1"/>
  <c r="R85" i="2"/>
  <c r="E85" i="2"/>
  <c r="GR110" i="2"/>
  <c r="GS110" i="2" s="1"/>
  <c r="GP110" i="2"/>
  <c r="GQ110" i="2" s="1"/>
  <c r="DU110" i="2" s="1"/>
  <c r="EG110" i="2" s="1"/>
  <c r="GN110" i="2"/>
  <c r="GO110" i="2" s="1"/>
  <c r="GL110" i="2"/>
  <c r="GM110" i="2" s="1"/>
  <c r="GH110" i="2"/>
  <c r="GG110" i="2"/>
  <c r="GI110" i="2" s="1"/>
  <c r="GD110" i="2"/>
  <c r="GC110" i="2"/>
  <c r="GB110" i="2"/>
  <c r="FY110" i="2"/>
  <c r="GA110" i="2" s="1"/>
  <c r="FS110" i="2"/>
  <c r="FT110" i="2" s="1"/>
  <c r="EW110" i="2"/>
  <c r="ET110" i="2"/>
  <c r="EU110" i="2" s="1"/>
  <c r="EQ110" i="2"/>
  <c r="ER110" i="2" s="1"/>
  <c r="EJ110" i="2"/>
  <c r="EE110" i="2"/>
  <c r="EF110" i="2" s="1"/>
  <c r="DX110" i="2"/>
  <c r="DP110" i="2"/>
  <c r="DF110" i="2"/>
  <c r="DE110" i="2"/>
  <c r="CY110" i="2"/>
  <c r="CZ110" i="2" s="1"/>
  <c r="CF110" i="2"/>
  <c r="CH110" i="2"/>
  <c r="CA110" i="2"/>
  <c r="CR110" i="2"/>
  <c r="BO110" i="2"/>
  <c r="BJ110" i="2"/>
  <c r="BM110" i="2" s="1"/>
  <c r="BN110" i="2" s="1"/>
  <c r="BC110" i="2"/>
  <c r="AZ110" i="2"/>
  <c r="AY110" i="2"/>
  <c r="AO110" i="2"/>
  <c r="AN110" i="2"/>
  <c r="AM110" i="2"/>
  <c r="AL110" i="2"/>
  <c r="AK110" i="2"/>
  <c r="AG110" i="2"/>
  <c r="AE110" i="2"/>
  <c r="AF110" i="2" s="1"/>
  <c r="U110" i="2"/>
  <c r="S110" i="2"/>
  <c r="T110" i="2" s="1"/>
  <c r="R110" i="2"/>
  <c r="E110" i="2"/>
  <c r="GR109" i="2"/>
  <c r="GS109" i="2" s="1"/>
  <c r="GP109" i="2"/>
  <c r="GQ109" i="2" s="1"/>
  <c r="DU109" i="2" s="1"/>
  <c r="EG109" i="2" s="1"/>
  <c r="GN109" i="2"/>
  <c r="GO109" i="2" s="1"/>
  <c r="GL109" i="2"/>
  <c r="GM109" i="2" s="1"/>
  <c r="GH109" i="2"/>
  <c r="GG109" i="2"/>
  <c r="GI109" i="2" s="1"/>
  <c r="GD109" i="2"/>
  <c r="GC109" i="2"/>
  <c r="GB109" i="2"/>
  <c r="FY109" i="2"/>
  <c r="GA109" i="2" s="1"/>
  <c r="FS109" i="2"/>
  <c r="FT109" i="2" s="1"/>
  <c r="EW109" i="2"/>
  <c r="ET109" i="2"/>
  <c r="EU109" i="2" s="1"/>
  <c r="EQ109" i="2"/>
  <c r="ER109" i="2" s="1"/>
  <c r="EJ109" i="2"/>
  <c r="EE109" i="2"/>
  <c r="EF109" i="2" s="1"/>
  <c r="DX109" i="2"/>
  <c r="DP109" i="2"/>
  <c r="DF109" i="2"/>
  <c r="DG109" i="2" s="1"/>
  <c r="DE109" i="2"/>
  <c r="CY109" i="2"/>
  <c r="CZ109" i="2" s="1"/>
  <c r="CF109" i="2"/>
  <c r="CH109" i="2"/>
  <c r="CA109" i="2"/>
  <c r="BO109" i="2"/>
  <c r="BJ109" i="2"/>
  <c r="BC109" i="2"/>
  <c r="AZ109" i="2"/>
  <c r="AY109" i="2"/>
  <c r="AO109" i="2"/>
  <c r="AN109" i="2"/>
  <c r="AM109" i="2"/>
  <c r="AL109" i="2"/>
  <c r="AK109" i="2"/>
  <c r="AG109" i="2"/>
  <c r="AE109" i="2"/>
  <c r="AF109" i="2" s="1"/>
  <c r="U109" i="2"/>
  <c r="S109" i="2"/>
  <c r="T109" i="2" s="1"/>
  <c r="R109" i="2"/>
  <c r="E109" i="2"/>
  <c r="GR108" i="2"/>
  <c r="GS108" i="2" s="1"/>
  <c r="GP108" i="2"/>
  <c r="GQ108" i="2" s="1"/>
  <c r="GN108" i="2"/>
  <c r="GO108" i="2" s="1"/>
  <c r="GL108" i="2"/>
  <c r="GM108" i="2" s="1"/>
  <c r="GH108" i="2"/>
  <c r="GG108" i="2"/>
  <c r="GI108" i="2" s="1"/>
  <c r="GD108" i="2"/>
  <c r="GC108" i="2"/>
  <c r="GB108" i="2"/>
  <c r="FY108" i="2"/>
  <c r="GA108" i="2" s="1"/>
  <c r="FS108" i="2"/>
  <c r="FT108" i="2" s="1"/>
  <c r="EW108" i="2"/>
  <c r="ET108" i="2"/>
  <c r="EU108" i="2" s="1"/>
  <c r="EQ108" i="2"/>
  <c r="ER108" i="2" s="1"/>
  <c r="EJ108" i="2"/>
  <c r="EE108" i="2"/>
  <c r="EF108" i="2" s="1"/>
  <c r="DX108" i="2"/>
  <c r="DP108" i="2"/>
  <c r="DF108" i="2"/>
  <c r="DE108" i="2"/>
  <c r="CY108" i="2"/>
  <c r="CZ108" i="2" s="1"/>
  <c r="CF108" i="2"/>
  <c r="CH108" i="2"/>
  <c r="CA108" i="2"/>
  <c r="CR108" i="2"/>
  <c r="BO108" i="2"/>
  <c r="BJ108" i="2"/>
  <c r="BM108" i="2" s="1"/>
  <c r="BN108" i="2" s="1"/>
  <c r="BC108" i="2"/>
  <c r="AZ108" i="2"/>
  <c r="AY108" i="2"/>
  <c r="AO108" i="2"/>
  <c r="AN108" i="2"/>
  <c r="AM108" i="2"/>
  <c r="AL108" i="2"/>
  <c r="AK108" i="2"/>
  <c r="AG108" i="2"/>
  <c r="AE108" i="2"/>
  <c r="AF108" i="2" s="1"/>
  <c r="U108" i="2"/>
  <c r="S108" i="2"/>
  <c r="T108" i="2" s="1"/>
  <c r="R108" i="2"/>
  <c r="E108" i="2"/>
  <c r="GR107" i="2"/>
  <c r="GS107" i="2" s="1"/>
  <c r="GP107" i="2"/>
  <c r="GQ107" i="2" s="1"/>
  <c r="GN107" i="2"/>
  <c r="GO107" i="2" s="1"/>
  <c r="GL107" i="2"/>
  <c r="GM107" i="2" s="1"/>
  <c r="GH107" i="2"/>
  <c r="GG107" i="2"/>
  <c r="GI107" i="2" s="1"/>
  <c r="GD107" i="2"/>
  <c r="GC107" i="2"/>
  <c r="GB107" i="2"/>
  <c r="FY107" i="2"/>
  <c r="FZ107" i="2" s="1"/>
  <c r="FS107" i="2"/>
  <c r="FT107" i="2" s="1"/>
  <c r="EW107" i="2"/>
  <c r="ET107" i="2"/>
  <c r="EU107" i="2" s="1"/>
  <c r="EQ107" i="2"/>
  <c r="ER107" i="2" s="1"/>
  <c r="EJ107" i="2"/>
  <c r="EE107" i="2"/>
  <c r="EF107" i="2" s="1"/>
  <c r="DX107" i="2"/>
  <c r="DP107" i="2"/>
  <c r="DF107" i="2"/>
  <c r="DH107" i="2" s="1"/>
  <c r="DE107" i="2"/>
  <c r="CY107" i="2"/>
  <c r="CZ107" i="2" s="1"/>
  <c r="CF107" i="2"/>
  <c r="CH107" i="2"/>
  <c r="CA107" i="2"/>
  <c r="CR107" i="2"/>
  <c r="BO107" i="2"/>
  <c r="BJ107" i="2"/>
  <c r="BM107" i="2" s="1"/>
  <c r="BN107" i="2" s="1"/>
  <c r="BC107" i="2"/>
  <c r="AZ107" i="2"/>
  <c r="AY107" i="2"/>
  <c r="AO107" i="2"/>
  <c r="AN107" i="2"/>
  <c r="AM107" i="2"/>
  <c r="AL107" i="2"/>
  <c r="AK107" i="2"/>
  <c r="AG107" i="2"/>
  <c r="AE107" i="2"/>
  <c r="AF107" i="2" s="1"/>
  <c r="U107" i="2"/>
  <c r="S107" i="2"/>
  <c r="T107" i="2" s="1"/>
  <c r="R107" i="2"/>
  <c r="E107" i="2"/>
  <c r="GR106" i="2"/>
  <c r="GS106" i="2" s="1"/>
  <c r="GP106" i="2"/>
  <c r="GQ106" i="2" s="1"/>
  <c r="DO106" i="2" s="1"/>
  <c r="DY106" i="2" s="1"/>
  <c r="DZ106" i="2" s="1"/>
  <c r="EA106" i="2" s="1"/>
  <c r="GN106" i="2"/>
  <c r="GO106" i="2" s="1"/>
  <c r="GL106" i="2"/>
  <c r="GM106" i="2" s="1"/>
  <c r="GH106" i="2"/>
  <c r="GG106" i="2"/>
  <c r="GI106" i="2" s="1"/>
  <c r="GD106" i="2"/>
  <c r="GC106" i="2"/>
  <c r="GB106" i="2"/>
  <c r="FY106" i="2"/>
  <c r="GA106" i="2" s="1"/>
  <c r="FS106" i="2"/>
  <c r="FT106" i="2" s="1"/>
  <c r="EW106" i="2"/>
  <c r="ET106" i="2"/>
  <c r="EU106" i="2" s="1"/>
  <c r="EQ106" i="2"/>
  <c r="ER106" i="2" s="1"/>
  <c r="EJ106" i="2"/>
  <c r="EE106" i="2"/>
  <c r="EF106" i="2" s="1"/>
  <c r="DX106" i="2"/>
  <c r="DP106" i="2"/>
  <c r="DF106" i="2"/>
  <c r="DH106" i="2" s="1"/>
  <c r="DE106" i="2"/>
  <c r="CY106" i="2"/>
  <c r="CZ106" i="2" s="1"/>
  <c r="CF106" i="2"/>
  <c r="CA106" i="2"/>
  <c r="CR106" i="2"/>
  <c r="BO106" i="2"/>
  <c r="BJ106" i="2"/>
  <c r="BM106" i="2" s="1"/>
  <c r="BN106" i="2" s="1"/>
  <c r="BC106" i="2"/>
  <c r="AZ106" i="2"/>
  <c r="AY106" i="2"/>
  <c r="AO106" i="2"/>
  <c r="AN106" i="2"/>
  <c r="AM106" i="2"/>
  <c r="AL106" i="2"/>
  <c r="AK106" i="2"/>
  <c r="AG106" i="2"/>
  <c r="AE106" i="2"/>
  <c r="AF106" i="2" s="1"/>
  <c r="U106" i="2"/>
  <c r="S106" i="2"/>
  <c r="T106" i="2" s="1"/>
  <c r="R106" i="2"/>
  <c r="Y106" i="2" s="1"/>
  <c r="AB106" i="2" s="1"/>
  <c r="E106" i="2"/>
  <c r="GR105" i="2"/>
  <c r="GS105" i="2" s="1"/>
  <c r="GP105" i="2"/>
  <c r="GQ105" i="2" s="1"/>
  <c r="DO105" i="2" s="1"/>
  <c r="DQ105" i="2" s="1"/>
  <c r="DR105" i="2" s="1"/>
  <c r="GN105" i="2"/>
  <c r="GO105" i="2" s="1"/>
  <c r="GL105" i="2"/>
  <c r="GM105" i="2" s="1"/>
  <c r="GH105" i="2"/>
  <c r="GG105" i="2"/>
  <c r="GI105" i="2" s="1"/>
  <c r="GD105" i="2"/>
  <c r="GC105" i="2"/>
  <c r="GB105" i="2"/>
  <c r="FY105" i="2"/>
  <c r="FS105" i="2"/>
  <c r="FT105" i="2" s="1"/>
  <c r="EW105" i="2"/>
  <c r="ET105" i="2"/>
  <c r="EU105" i="2" s="1"/>
  <c r="EQ105" i="2"/>
  <c r="ER105" i="2" s="1"/>
  <c r="EJ105" i="2"/>
  <c r="EE105" i="2"/>
  <c r="EF105" i="2" s="1"/>
  <c r="DX105" i="2"/>
  <c r="DP105" i="2"/>
  <c r="DF105" i="2"/>
  <c r="DH105" i="2" s="1"/>
  <c r="DE105" i="2"/>
  <c r="CY105" i="2"/>
  <c r="CZ105" i="2" s="1"/>
  <c r="CF105" i="2"/>
  <c r="CH105" i="2"/>
  <c r="CA105" i="2"/>
  <c r="CR105" i="2"/>
  <c r="BO105" i="2"/>
  <c r="BJ105" i="2"/>
  <c r="BM105" i="2" s="1"/>
  <c r="BN105" i="2" s="1"/>
  <c r="BC105" i="2"/>
  <c r="AZ105" i="2"/>
  <c r="AY105" i="2"/>
  <c r="AO105" i="2"/>
  <c r="AN105" i="2"/>
  <c r="AM105" i="2"/>
  <c r="AL105" i="2"/>
  <c r="AK105" i="2"/>
  <c r="AG105" i="2"/>
  <c r="AE105" i="2"/>
  <c r="AF105" i="2" s="1"/>
  <c r="U105" i="2"/>
  <c r="S105" i="2"/>
  <c r="T105" i="2" s="1"/>
  <c r="R105" i="2"/>
  <c r="Y105" i="2" s="1"/>
  <c r="AB105" i="2" s="1"/>
  <c r="E105" i="2"/>
  <c r="GR104" i="2"/>
  <c r="GS104" i="2" s="1"/>
  <c r="GP104" i="2"/>
  <c r="GQ104" i="2" s="1"/>
  <c r="GN104" i="2"/>
  <c r="GO104" i="2" s="1"/>
  <c r="GL104" i="2"/>
  <c r="GM104" i="2" s="1"/>
  <c r="GH104" i="2"/>
  <c r="GG104" i="2"/>
  <c r="GI104" i="2" s="1"/>
  <c r="GD104" i="2"/>
  <c r="GC104" i="2"/>
  <c r="GB104" i="2"/>
  <c r="FY104" i="2"/>
  <c r="GA104" i="2" s="1"/>
  <c r="FS104" i="2"/>
  <c r="FT104" i="2" s="1"/>
  <c r="EW104" i="2"/>
  <c r="ET104" i="2"/>
  <c r="EU104" i="2" s="1"/>
  <c r="EQ104" i="2"/>
  <c r="ER104" i="2" s="1"/>
  <c r="EJ104" i="2"/>
  <c r="EE104" i="2"/>
  <c r="EF104" i="2" s="1"/>
  <c r="DX104" i="2"/>
  <c r="DP104" i="2"/>
  <c r="DF104" i="2"/>
  <c r="DH104" i="2" s="1"/>
  <c r="DE104" i="2"/>
  <c r="CY104" i="2"/>
  <c r="CZ104" i="2" s="1"/>
  <c r="CF104" i="2"/>
  <c r="CH104" i="2"/>
  <c r="CA104" i="2"/>
  <c r="CR104" i="2"/>
  <c r="BO104" i="2"/>
  <c r="BJ104" i="2"/>
  <c r="BC104" i="2"/>
  <c r="AZ104" i="2"/>
  <c r="AY104" i="2"/>
  <c r="AO104" i="2"/>
  <c r="AN104" i="2"/>
  <c r="AM104" i="2"/>
  <c r="AL104" i="2"/>
  <c r="AK104" i="2"/>
  <c r="AG104" i="2"/>
  <c r="AE104" i="2"/>
  <c r="AF104" i="2" s="1"/>
  <c r="U104" i="2"/>
  <c r="S104" i="2"/>
  <c r="T104" i="2" s="1"/>
  <c r="R104" i="2"/>
  <c r="Y104" i="2" s="1"/>
  <c r="AB104" i="2" s="1"/>
  <c r="E104" i="2"/>
  <c r="GR103" i="2"/>
  <c r="GS103" i="2" s="1"/>
  <c r="GP103" i="2"/>
  <c r="GQ103" i="2" s="1"/>
  <c r="GN103" i="2"/>
  <c r="GO103" i="2" s="1"/>
  <c r="GL103" i="2"/>
  <c r="GM103" i="2" s="1"/>
  <c r="GH103" i="2"/>
  <c r="GG103" i="2"/>
  <c r="GI103" i="2" s="1"/>
  <c r="GD103" i="2"/>
  <c r="GC103" i="2"/>
  <c r="GB103" i="2"/>
  <c r="FY103" i="2"/>
  <c r="GA103" i="2" s="1"/>
  <c r="FS103" i="2"/>
  <c r="FT103" i="2" s="1"/>
  <c r="EW103" i="2"/>
  <c r="ET103" i="2"/>
  <c r="EU103" i="2" s="1"/>
  <c r="EQ103" i="2"/>
  <c r="ER103" i="2" s="1"/>
  <c r="EJ103" i="2"/>
  <c r="EE103" i="2"/>
  <c r="EF103" i="2" s="1"/>
  <c r="DX103" i="2"/>
  <c r="DP103" i="2"/>
  <c r="DF103" i="2"/>
  <c r="DH103" i="2" s="1"/>
  <c r="DE103" i="2"/>
  <c r="CY103" i="2"/>
  <c r="CZ103" i="2" s="1"/>
  <c r="CF103" i="2"/>
  <c r="CH103" i="2"/>
  <c r="CA103" i="2"/>
  <c r="CR103" i="2"/>
  <c r="BO103" i="2"/>
  <c r="BJ103" i="2"/>
  <c r="BK103" i="2" s="1"/>
  <c r="CL103" i="2" s="1"/>
  <c r="BC103" i="2"/>
  <c r="AZ103" i="2"/>
  <c r="AY103" i="2"/>
  <c r="AO103" i="2"/>
  <c r="AN103" i="2"/>
  <c r="AM103" i="2"/>
  <c r="AL103" i="2"/>
  <c r="AK103" i="2"/>
  <c r="AG103" i="2"/>
  <c r="AE103" i="2"/>
  <c r="AF103" i="2" s="1"/>
  <c r="U103" i="2"/>
  <c r="S103" i="2"/>
  <c r="R103" i="2"/>
  <c r="Y103" i="2" s="1"/>
  <c r="AB103" i="2" s="1"/>
  <c r="E103" i="2"/>
  <c r="GR43" i="2"/>
  <c r="GS43" i="2" s="1"/>
  <c r="GP43" i="2"/>
  <c r="GQ43" i="2" s="1"/>
  <c r="GN43" i="2"/>
  <c r="GO43" i="2" s="1"/>
  <c r="GL43" i="2"/>
  <c r="GM43" i="2" s="1"/>
  <c r="GH43" i="2"/>
  <c r="GG43" i="2"/>
  <c r="GI43" i="2" s="1"/>
  <c r="GD43" i="2"/>
  <c r="GC43" i="2"/>
  <c r="GB43" i="2"/>
  <c r="FY43" i="2"/>
  <c r="FS43" i="2"/>
  <c r="FT43" i="2" s="1"/>
  <c r="EW43" i="2"/>
  <c r="ET43" i="2"/>
  <c r="EU43" i="2" s="1"/>
  <c r="EQ43" i="2"/>
  <c r="ER43" i="2" s="1"/>
  <c r="EJ43" i="2"/>
  <c r="EE43" i="2"/>
  <c r="EF43" i="2" s="1"/>
  <c r="DX43" i="2"/>
  <c r="DP43" i="2"/>
  <c r="DF43" i="2"/>
  <c r="DG43" i="2" s="1"/>
  <c r="DE43" i="2"/>
  <c r="CY43" i="2"/>
  <c r="CZ43" i="2" s="1"/>
  <c r="CF43" i="2"/>
  <c r="CA43" i="2"/>
  <c r="DA43" i="2"/>
  <c r="DB43" i="2" s="1"/>
  <c r="BO43" i="2"/>
  <c r="BJ43" i="2"/>
  <c r="BM43" i="2" s="1"/>
  <c r="BN43" i="2" s="1"/>
  <c r="BC43" i="2"/>
  <c r="AZ43" i="2"/>
  <c r="AY43" i="2"/>
  <c r="AO43" i="2"/>
  <c r="AN43" i="2"/>
  <c r="AM43" i="2"/>
  <c r="AL43" i="2"/>
  <c r="AK43" i="2"/>
  <c r="AG43" i="2"/>
  <c r="AE43" i="2"/>
  <c r="AF43" i="2" s="1"/>
  <c r="U43" i="2"/>
  <c r="S43" i="2"/>
  <c r="T43" i="2" s="1"/>
  <c r="R43" i="2"/>
  <c r="Y43" i="2" s="1"/>
  <c r="AB43" i="2" s="1"/>
  <c r="E43" i="2"/>
  <c r="GR101" i="2"/>
  <c r="GS101" i="2" s="1"/>
  <c r="GP101" i="2"/>
  <c r="GQ101" i="2" s="1"/>
  <c r="GN101" i="2"/>
  <c r="GO101" i="2" s="1"/>
  <c r="GL101" i="2"/>
  <c r="GM101" i="2" s="1"/>
  <c r="GH101" i="2"/>
  <c r="GG101" i="2"/>
  <c r="GI101" i="2" s="1"/>
  <c r="GD101" i="2"/>
  <c r="GC101" i="2"/>
  <c r="GB101" i="2"/>
  <c r="FY101" i="2"/>
  <c r="GA101" i="2" s="1"/>
  <c r="FS101" i="2"/>
  <c r="FT101" i="2" s="1"/>
  <c r="EW101" i="2"/>
  <c r="ET101" i="2"/>
  <c r="EU101" i="2" s="1"/>
  <c r="EQ101" i="2"/>
  <c r="ER101" i="2" s="1"/>
  <c r="EJ101" i="2"/>
  <c r="EE101" i="2"/>
  <c r="EF101" i="2" s="1"/>
  <c r="DX101" i="2"/>
  <c r="DP101" i="2"/>
  <c r="DF101" i="2"/>
  <c r="DG101" i="2" s="1"/>
  <c r="DE101" i="2"/>
  <c r="CY101" i="2"/>
  <c r="CZ101" i="2" s="1"/>
  <c r="CF101" i="2"/>
  <c r="CA101" i="2"/>
  <c r="CW101" i="2"/>
  <c r="BO101" i="2"/>
  <c r="BJ101" i="2"/>
  <c r="BK101" i="2" s="1"/>
  <c r="CL101" i="2" s="1"/>
  <c r="BC101" i="2"/>
  <c r="AZ101" i="2"/>
  <c r="AY101" i="2"/>
  <c r="AO101" i="2"/>
  <c r="AN101" i="2"/>
  <c r="AM101" i="2"/>
  <c r="AL101" i="2"/>
  <c r="AK101" i="2"/>
  <c r="AG101" i="2"/>
  <c r="AE101" i="2"/>
  <c r="AF101" i="2" s="1"/>
  <c r="U101" i="2"/>
  <c r="S101" i="2"/>
  <c r="T101" i="2" s="1"/>
  <c r="R101" i="2"/>
  <c r="Y101" i="2" s="1"/>
  <c r="AB101" i="2" s="1"/>
  <c r="E101" i="2"/>
  <c r="GR100" i="2"/>
  <c r="GS100" i="2" s="1"/>
  <c r="GP100" i="2"/>
  <c r="GQ100" i="2" s="1"/>
  <c r="GN100" i="2"/>
  <c r="GO100" i="2" s="1"/>
  <c r="GL100" i="2"/>
  <c r="GM100" i="2" s="1"/>
  <c r="GH100" i="2"/>
  <c r="GG100" i="2"/>
  <c r="GI100" i="2" s="1"/>
  <c r="GD100" i="2"/>
  <c r="GC100" i="2"/>
  <c r="GB100" i="2"/>
  <c r="FY100" i="2"/>
  <c r="FS100" i="2"/>
  <c r="FT100" i="2" s="1"/>
  <c r="EW100" i="2"/>
  <c r="ET100" i="2"/>
  <c r="EU100" i="2" s="1"/>
  <c r="EQ100" i="2"/>
  <c r="ER100" i="2" s="1"/>
  <c r="EJ100" i="2"/>
  <c r="EE100" i="2"/>
  <c r="EF100" i="2" s="1"/>
  <c r="DX100" i="2"/>
  <c r="DP100" i="2"/>
  <c r="DF100" i="2"/>
  <c r="DH100" i="2" s="1"/>
  <c r="DE100" i="2"/>
  <c r="CY100" i="2"/>
  <c r="CZ100" i="2" s="1"/>
  <c r="CF100" i="2"/>
  <c r="CA100" i="2"/>
  <c r="DA100" i="2"/>
  <c r="DB100" i="2" s="1"/>
  <c r="BO100" i="2"/>
  <c r="BJ100" i="2"/>
  <c r="BM100" i="2" s="1"/>
  <c r="BN100" i="2" s="1"/>
  <c r="BC100" i="2"/>
  <c r="AZ100" i="2"/>
  <c r="AY100" i="2"/>
  <c r="AO100" i="2"/>
  <c r="AN100" i="2"/>
  <c r="AM100" i="2"/>
  <c r="AL100" i="2"/>
  <c r="AK100" i="2"/>
  <c r="AG100" i="2"/>
  <c r="AE100" i="2"/>
  <c r="AF100" i="2" s="1"/>
  <c r="U100" i="2"/>
  <c r="S100" i="2"/>
  <c r="T100" i="2" s="1"/>
  <c r="R100" i="2"/>
  <c r="Y100" i="2" s="1"/>
  <c r="AB100" i="2" s="1"/>
  <c r="E100" i="2"/>
  <c r="GR99" i="2"/>
  <c r="GS99" i="2" s="1"/>
  <c r="GP99" i="2"/>
  <c r="GQ99" i="2" s="1"/>
  <c r="GN99" i="2"/>
  <c r="GO99" i="2" s="1"/>
  <c r="GL99" i="2"/>
  <c r="GM99" i="2" s="1"/>
  <c r="GH99" i="2"/>
  <c r="GG99" i="2"/>
  <c r="GI99" i="2" s="1"/>
  <c r="GD99" i="2"/>
  <c r="GC99" i="2"/>
  <c r="GB99" i="2"/>
  <c r="FY99" i="2"/>
  <c r="GA99" i="2" s="1"/>
  <c r="FS99" i="2"/>
  <c r="FT99" i="2" s="1"/>
  <c r="EW99" i="2"/>
  <c r="ET99" i="2"/>
  <c r="EU99" i="2" s="1"/>
  <c r="EQ99" i="2"/>
  <c r="ER99" i="2" s="1"/>
  <c r="EJ99" i="2"/>
  <c r="EE99" i="2"/>
  <c r="EF99" i="2" s="1"/>
  <c r="DX99" i="2"/>
  <c r="DP99" i="2"/>
  <c r="DF99" i="2"/>
  <c r="DE99" i="2"/>
  <c r="CY99" i="2"/>
  <c r="CZ99" i="2" s="1"/>
  <c r="CF99" i="2"/>
  <c r="CA99" i="2"/>
  <c r="BO99" i="2"/>
  <c r="BJ99" i="2"/>
  <c r="BC99" i="2"/>
  <c r="AZ99" i="2"/>
  <c r="AY99" i="2"/>
  <c r="AO99" i="2"/>
  <c r="AN99" i="2"/>
  <c r="AM99" i="2"/>
  <c r="AL99" i="2"/>
  <c r="AK99" i="2"/>
  <c r="AG99" i="2"/>
  <c r="AE99" i="2"/>
  <c r="AF99" i="2" s="1"/>
  <c r="U99" i="2"/>
  <c r="S99" i="2"/>
  <c r="T99" i="2" s="1"/>
  <c r="R99" i="2"/>
  <c r="Y99" i="2" s="1"/>
  <c r="AB99" i="2" s="1"/>
  <c r="E99" i="2"/>
  <c r="GR97" i="2"/>
  <c r="GS97" i="2" s="1"/>
  <c r="GP97" i="2"/>
  <c r="GQ97" i="2" s="1"/>
  <c r="DO97" i="2" s="1"/>
  <c r="GN97" i="2"/>
  <c r="GO97" i="2" s="1"/>
  <c r="GL97" i="2"/>
  <c r="GM97" i="2" s="1"/>
  <c r="GH97" i="2"/>
  <c r="GG97" i="2"/>
  <c r="GI97" i="2" s="1"/>
  <c r="GD97" i="2"/>
  <c r="GC97" i="2"/>
  <c r="GB97" i="2"/>
  <c r="FY97" i="2"/>
  <c r="GA97" i="2" s="1"/>
  <c r="FS97" i="2"/>
  <c r="FT97" i="2" s="1"/>
  <c r="EW97" i="2"/>
  <c r="ET97" i="2"/>
  <c r="EU97" i="2" s="1"/>
  <c r="EQ97" i="2"/>
  <c r="ER97" i="2" s="1"/>
  <c r="EJ97" i="2"/>
  <c r="EE97" i="2"/>
  <c r="EF97" i="2" s="1"/>
  <c r="DX97" i="2"/>
  <c r="DP97" i="2"/>
  <c r="DF97" i="2"/>
  <c r="DH97" i="2" s="1"/>
  <c r="DE97" i="2"/>
  <c r="CY97" i="2"/>
  <c r="CZ97" i="2" s="1"/>
  <c r="CF97" i="2"/>
  <c r="CH97" i="2"/>
  <c r="CA97" i="2"/>
  <c r="BO97" i="2"/>
  <c r="BJ97" i="2"/>
  <c r="BM97" i="2" s="1"/>
  <c r="BN97" i="2" s="1"/>
  <c r="BC97" i="2"/>
  <c r="AZ97" i="2"/>
  <c r="AY97" i="2"/>
  <c r="AO97" i="2"/>
  <c r="AN97" i="2"/>
  <c r="AM97" i="2"/>
  <c r="AL97" i="2"/>
  <c r="AK97" i="2"/>
  <c r="AG97" i="2"/>
  <c r="AE97" i="2"/>
  <c r="AF97" i="2" s="1"/>
  <c r="U97" i="2"/>
  <c r="S97" i="2"/>
  <c r="T97" i="2" s="1"/>
  <c r="R97" i="2"/>
  <c r="Y97" i="2" s="1"/>
  <c r="AB97" i="2" s="1"/>
  <c r="E97" i="2"/>
  <c r="GR96" i="2"/>
  <c r="GS96" i="2" s="1"/>
  <c r="GP96" i="2"/>
  <c r="GQ96" i="2" s="1"/>
  <c r="DO96" i="2" s="1"/>
  <c r="GN96" i="2"/>
  <c r="GO96" i="2" s="1"/>
  <c r="GL96" i="2"/>
  <c r="GM96" i="2" s="1"/>
  <c r="GH96" i="2"/>
  <c r="GG96" i="2"/>
  <c r="GI96" i="2" s="1"/>
  <c r="GD96" i="2"/>
  <c r="GC96" i="2"/>
  <c r="GB96" i="2"/>
  <c r="FY96" i="2"/>
  <c r="GA96" i="2" s="1"/>
  <c r="FS96" i="2"/>
  <c r="FT96" i="2" s="1"/>
  <c r="EW96" i="2"/>
  <c r="ET96" i="2"/>
  <c r="EU96" i="2" s="1"/>
  <c r="EQ96" i="2"/>
  <c r="ER96" i="2" s="1"/>
  <c r="EJ96" i="2"/>
  <c r="EE96" i="2"/>
  <c r="EF96" i="2" s="1"/>
  <c r="DX96" i="2"/>
  <c r="DP96" i="2"/>
  <c r="DF96" i="2"/>
  <c r="DH96" i="2" s="1"/>
  <c r="DE96" i="2"/>
  <c r="CY96" i="2"/>
  <c r="CZ96" i="2" s="1"/>
  <c r="CF96" i="2"/>
  <c r="CH96" i="2"/>
  <c r="CA96" i="2"/>
  <c r="BO96" i="2"/>
  <c r="BJ96" i="2"/>
  <c r="BM96" i="2" s="1"/>
  <c r="BN96" i="2" s="1"/>
  <c r="BC96" i="2"/>
  <c r="AZ96" i="2"/>
  <c r="AY96" i="2"/>
  <c r="AO96" i="2"/>
  <c r="AN96" i="2"/>
  <c r="AM96" i="2"/>
  <c r="AL96" i="2"/>
  <c r="AK96" i="2"/>
  <c r="AG96" i="2"/>
  <c r="AE96" i="2"/>
  <c r="AF96" i="2" s="1"/>
  <c r="U96" i="2"/>
  <c r="S96" i="2"/>
  <c r="T96" i="2" s="1"/>
  <c r="R96" i="2"/>
  <c r="Y96" i="2" s="1"/>
  <c r="AB96" i="2" s="1"/>
  <c r="E96" i="2"/>
  <c r="GR95" i="2"/>
  <c r="GS95" i="2" s="1"/>
  <c r="GP95" i="2"/>
  <c r="GQ95" i="2" s="1"/>
  <c r="DO95" i="2" s="1"/>
  <c r="GN95" i="2"/>
  <c r="GO95" i="2" s="1"/>
  <c r="GL95" i="2"/>
  <c r="GM95" i="2" s="1"/>
  <c r="GH95" i="2"/>
  <c r="GG95" i="2"/>
  <c r="GI95" i="2" s="1"/>
  <c r="GD95" i="2"/>
  <c r="GC95" i="2"/>
  <c r="GB95" i="2"/>
  <c r="FY95" i="2"/>
  <c r="GA95" i="2" s="1"/>
  <c r="FS95" i="2"/>
  <c r="FT95" i="2" s="1"/>
  <c r="EW95" i="2"/>
  <c r="ET95" i="2"/>
  <c r="EU95" i="2" s="1"/>
  <c r="EQ95" i="2"/>
  <c r="ER95" i="2" s="1"/>
  <c r="EJ95" i="2"/>
  <c r="EE95" i="2"/>
  <c r="EF95" i="2" s="1"/>
  <c r="DX95" i="2"/>
  <c r="DP95" i="2"/>
  <c r="DF95" i="2"/>
  <c r="DH95" i="2" s="1"/>
  <c r="DE95" i="2"/>
  <c r="CY95" i="2"/>
  <c r="CZ95" i="2" s="1"/>
  <c r="CF95" i="2"/>
  <c r="CH95" i="2"/>
  <c r="CA95" i="2"/>
  <c r="BO95" i="2"/>
  <c r="BJ95" i="2"/>
  <c r="BM95" i="2" s="1"/>
  <c r="BN95" i="2" s="1"/>
  <c r="BC95" i="2"/>
  <c r="AZ95" i="2"/>
  <c r="AY95" i="2"/>
  <c r="AO95" i="2"/>
  <c r="AN95" i="2"/>
  <c r="AM95" i="2"/>
  <c r="AL95" i="2"/>
  <c r="AK95" i="2"/>
  <c r="AG95" i="2"/>
  <c r="AE95" i="2"/>
  <c r="AF95" i="2" s="1"/>
  <c r="U95" i="2"/>
  <c r="S95" i="2"/>
  <c r="T95" i="2" s="1"/>
  <c r="R95" i="2"/>
  <c r="Y95" i="2" s="1"/>
  <c r="AB95" i="2" s="1"/>
  <c r="E95" i="2"/>
  <c r="GR94" i="2"/>
  <c r="GS94" i="2" s="1"/>
  <c r="GP94" i="2"/>
  <c r="GQ94" i="2" s="1"/>
  <c r="GN94" i="2"/>
  <c r="GO94" i="2" s="1"/>
  <c r="GL94" i="2"/>
  <c r="GM94" i="2" s="1"/>
  <c r="GH94" i="2"/>
  <c r="GG94" i="2"/>
  <c r="GI94" i="2" s="1"/>
  <c r="GD94" i="2"/>
  <c r="GC94" i="2"/>
  <c r="GB94" i="2"/>
  <c r="FY94" i="2"/>
  <c r="GA94" i="2" s="1"/>
  <c r="FS94" i="2"/>
  <c r="FT94" i="2" s="1"/>
  <c r="EW94" i="2"/>
  <c r="ET94" i="2"/>
  <c r="EU94" i="2" s="1"/>
  <c r="EQ94" i="2"/>
  <c r="ER94" i="2" s="1"/>
  <c r="EJ94" i="2"/>
  <c r="EE94" i="2"/>
  <c r="EF94" i="2" s="1"/>
  <c r="DX94" i="2"/>
  <c r="DP94" i="2"/>
  <c r="DF94" i="2"/>
  <c r="DH94" i="2" s="1"/>
  <c r="DE94" i="2"/>
  <c r="CY94" i="2"/>
  <c r="CZ94" i="2" s="1"/>
  <c r="CF94" i="2"/>
  <c r="CH94" i="2"/>
  <c r="CA94" i="2"/>
  <c r="BO94" i="2"/>
  <c r="BJ94" i="2"/>
  <c r="BM94" i="2" s="1"/>
  <c r="BN94" i="2" s="1"/>
  <c r="BC94" i="2"/>
  <c r="AZ94" i="2"/>
  <c r="AY94" i="2"/>
  <c r="AO94" i="2"/>
  <c r="AN94" i="2"/>
  <c r="AM94" i="2"/>
  <c r="AL94" i="2"/>
  <c r="AK94" i="2"/>
  <c r="AG94" i="2"/>
  <c r="AE94" i="2"/>
  <c r="AF94" i="2" s="1"/>
  <c r="U94" i="2"/>
  <c r="S94" i="2"/>
  <c r="T94" i="2" s="1"/>
  <c r="R94" i="2"/>
  <c r="Y94" i="2" s="1"/>
  <c r="AB94" i="2" s="1"/>
  <c r="E94" i="2"/>
  <c r="GR93" i="2"/>
  <c r="GS93" i="2" s="1"/>
  <c r="GP93" i="2"/>
  <c r="GQ93" i="2" s="1"/>
  <c r="GN93" i="2"/>
  <c r="GO93" i="2" s="1"/>
  <c r="GL93" i="2"/>
  <c r="GM93" i="2" s="1"/>
  <c r="GH93" i="2"/>
  <c r="GG93" i="2"/>
  <c r="GI93" i="2" s="1"/>
  <c r="GD93" i="2"/>
  <c r="GC93" i="2"/>
  <c r="GB93" i="2"/>
  <c r="FY93" i="2"/>
  <c r="GA93" i="2" s="1"/>
  <c r="FS93" i="2"/>
  <c r="FT93" i="2" s="1"/>
  <c r="EW93" i="2"/>
  <c r="ET93" i="2"/>
  <c r="EU93" i="2" s="1"/>
  <c r="EQ93" i="2"/>
  <c r="ER93" i="2" s="1"/>
  <c r="EJ93" i="2"/>
  <c r="EE93" i="2"/>
  <c r="EF93" i="2" s="1"/>
  <c r="DX93" i="2"/>
  <c r="DP93" i="2"/>
  <c r="DF93" i="2"/>
  <c r="DH93" i="2" s="1"/>
  <c r="DE93" i="2"/>
  <c r="CY93" i="2"/>
  <c r="CZ93" i="2" s="1"/>
  <c r="CF93" i="2"/>
  <c r="CH93" i="2"/>
  <c r="CA93" i="2"/>
  <c r="BO93" i="2"/>
  <c r="BJ93" i="2"/>
  <c r="BC93" i="2"/>
  <c r="AZ93" i="2"/>
  <c r="AY93" i="2"/>
  <c r="AO93" i="2"/>
  <c r="AN93" i="2"/>
  <c r="AM93" i="2"/>
  <c r="AL93" i="2"/>
  <c r="AK93" i="2"/>
  <c r="AG93" i="2"/>
  <c r="AE93" i="2"/>
  <c r="AF93" i="2" s="1"/>
  <c r="U93" i="2"/>
  <c r="S93" i="2"/>
  <c r="T93" i="2" s="1"/>
  <c r="R93" i="2"/>
  <c r="Y93" i="2" s="1"/>
  <c r="AB93" i="2" s="1"/>
  <c r="E93" i="2"/>
  <c r="GR92" i="2"/>
  <c r="GS92" i="2" s="1"/>
  <c r="GP92" i="2"/>
  <c r="GQ92" i="2" s="1"/>
  <c r="DU92" i="2" s="1"/>
  <c r="GN92" i="2"/>
  <c r="GO92" i="2" s="1"/>
  <c r="GL92" i="2"/>
  <c r="GM92" i="2" s="1"/>
  <c r="GH92" i="2"/>
  <c r="GG92" i="2"/>
  <c r="GI92" i="2" s="1"/>
  <c r="GD92" i="2"/>
  <c r="GC92" i="2"/>
  <c r="GB92" i="2"/>
  <c r="FY92" i="2"/>
  <c r="GA92" i="2" s="1"/>
  <c r="FS92" i="2"/>
  <c r="FT92" i="2" s="1"/>
  <c r="EW92" i="2"/>
  <c r="ET92" i="2"/>
  <c r="EU92" i="2" s="1"/>
  <c r="EQ92" i="2"/>
  <c r="ER92" i="2" s="1"/>
  <c r="EJ92" i="2"/>
  <c r="EE92" i="2"/>
  <c r="EF92" i="2" s="1"/>
  <c r="DX92" i="2"/>
  <c r="DP92" i="2"/>
  <c r="DF92" i="2"/>
  <c r="DH92" i="2" s="1"/>
  <c r="DE92" i="2"/>
  <c r="CY92" i="2"/>
  <c r="CZ92" i="2" s="1"/>
  <c r="CF92" i="2"/>
  <c r="CH92" i="2"/>
  <c r="CA92" i="2"/>
  <c r="BO92" i="2"/>
  <c r="BJ92" i="2"/>
  <c r="BM92" i="2" s="1"/>
  <c r="BN92" i="2" s="1"/>
  <c r="BC92" i="2"/>
  <c r="AZ92" i="2"/>
  <c r="AY92" i="2"/>
  <c r="AO92" i="2"/>
  <c r="AN92" i="2"/>
  <c r="AM92" i="2"/>
  <c r="AL92" i="2"/>
  <c r="AK92" i="2"/>
  <c r="AG92" i="2"/>
  <c r="AE92" i="2"/>
  <c r="AF92" i="2" s="1"/>
  <c r="U92" i="2"/>
  <c r="S92" i="2"/>
  <c r="T92" i="2" s="1"/>
  <c r="R92" i="2"/>
  <c r="Y92" i="2" s="1"/>
  <c r="AB92" i="2" s="1"/>
  <c r="E92" i="2"/>
  <c r="GR91" i="2"/>
  <c r="GS91" i="2" s="1"/>
  <c r="GP91" i="2"/>
  <c r="GQ91" i="2" s="1"/>
  <c r="GN91" i="2"/>
  <c r="GO91" i="2" s="1"/>
  <c r="GL91" i="2"/>
  <c r="GM91" i="2" s="1"/>
  <c r="GH91" i="2"/>
  <c r="GG91" i="2"/>
  <c r="GI91" i="2" s="1"/>
  <c r="GD91" i="2"/>
  <c r="GC91" i="2"/>
  <c r="GB91" i="2"/>
  <c r="FY91" i="2"/>
  <c r="GA91" i="2" s="1"/>
  <c r="FS91" i="2"/>
  <c r="FT91" i="2" s="1"/>
  <c r="EW91" i="2"/>
  <c r="ET91" i="2"/>
  <c r="EU91" i="2" s="1"/>
  <c r="EQ91" i="2"/>
  <c r="ER91" i="2" s="1"/>
  <c r="EJ91" i="2"/>
  <c r="EE91" i="2"/>
  <c r="EF91" i="2" s="1"/>
  <c r="DX91" i="2"/>
  <c r="DP91" i="2"/>
  <c r="DF91" i="2"/>
  <c r="DH91" i="2" s="1"/>
  <c r="DE91" i="2"/>
  <c r="CY91" i="2"/>
  <c r="CZ91" i="2" s="1"/>
  <c r="CF91" i="2"/>
  <c r="CH91" i="2"/>
  <c r="CA91" i="2"/>
  <c r="BO91" i="2"/>
  <c r="BJ91" i="2"/>
  <c r="BK91" i="2" s="1"/>
  <c r="CL91" i="2" s="1"/>
  <c r="BC91" i="2"/>
  <c r="AZ91" i="2"/>
  <c r="AY91" i="2"/>
  <c r="AO91" i="2"/>
  <c r="AN91" i="2"/>
  <c r="AM91" i="2"/>
  <c r="AL91" i="2"/>
  <c r="AK91" i="2"/>
  <c r="AG91" i="2"/>
  <c r="AE91" i="2"/>
  <c r="AF91" i="2" s="1"/>
  <c r="U91" i="2"/>
  <c r="S91" i="2"/>
  <c r="T91" i="2" s="1"/>
  <c r="R91" i="2"/>
  <c r="Y91" i="2" s="1"/>
  <c r="AB91" i="2" s="1"/>
  <c r="E91" i="2"/>
  <c r="GR90" i="2"/>
  <c r="GS90" i="2" s="1"/>
  <c r="GP90" i="2"/>
  <c r="GQ90" i="2" s="1"/>
  <c r="GN90" i="2"/>
  <c r="GO90" i="2" s="1"/>
  <c r="GL90" i="2"/>
  <c r="GM90" i="2" s="1"/>
  <c r="GH90" i="2"/>
  <c r="GG90" i="2"/>
  <c r="GI90" i="2" s="1"/>
  <c r="GD90" i="2"/>
  <c r="GC90" i="2"/>
  <c r="GB90" i="2"/>
  <c r="FY90" i="2"/>
  <c r="GA90" i="2" s="1"/>
  <c r="FS90" i="2"/>
  <c r="FT90" i="2" s="1"/>
  <c r="EW90" i="2"/>
  <c r="ET90" i="2"/>
  <c r="EU90" i="2" s="1"/>
  <c r="EQ90" i="2"/>
  <c r="ER90" i="2" s="1"/>
  <c r="EJ90" i="2"/>
  <c r="EE90" i="2"/>
  <c r="EF90" i="2" s="1"/>
  <c r="DX90" i="2"/>
  <c r="DP90" i="2"/>
  <c r="DF90" i="2"/>
  <c r="DH90" i="2" s="1"/>
  <c r="DE90" i="2"/>
  <c r="CY90" i="2"/>
  <c r="CZ90" i="2" s="1"/>
  <c r="CF90" i="2"/>
  <c r="CH90" i="2"/>
  <c r="CA90" i="2"/>
  <c r="BO90" i="2"/>
  <c r="BJ90" i="2"/>
  <c r="BM90" i="2" s="1"/>
  <c r="BN90" i="2" s="1"/>
  <c r="BC90" i="2"/>
  <c r="AZ90" i="2"/>
  <c r="AY90" i="2"/>
  <c r="AO90" i="2"/>
  <c r="AN90" i="2"/>
  <c r="AM90" i="2"/>
  <c r="AL90" i="2"/>
  <c r="AK90" i="2"/>
  <c r="AG90" i="2"/>
  <c r="AE90" i="2"/>
  <c r="AF90" i="2" s="1"/>
  <c r="U90" i="2"/>
  <c r="S90" i="2"/>
  <c r="T90" i="2" s="1"/>
  <c r="R90" i="2"/>
  <c r="E90" i="2"/>
  <c r="GR89" i="2"/>
  <c r="GS89" i="2" s="1"/>
  <c r="GP89" i="2"/>
  <c r="GQ89" i="2" s="1"/>
  <c r="GN89" i="2"/>
  <c r="GO89" i="2" s="1"/>
  <c r="GL89" i="2"/>
  <c r="GM89" i="2" s="1"/>
  <c r="GH89" i="2"/>
  <c r="GG89" i="2"/>
  <c r="GI89" i="2" s="1"/>
  <c r="GD89" i="2"/>
  <c r="GC89" i="2"/>
  <c r="GB89" i="2"/>
  <c r="FY89" i="2"/>
  <c r="FS89" i="2"/>
  <c r="FT89" i="2" s="1"/>
  <c r="EW89" i="2"/>
  <c r="ET89" i="2"/>
  <c r="EU89" i="2" s="1"/>
  <c r="EQ89" i="2"/>
  <c r="ER89" i="2" s="1"/>
  <c r="EJ89" i="2"/>
  <c r="EE89" i="2"/>
  <c r="EF89" i="2" s="1"/>
  <c r="DX89" i="2"/>
  <c r="DP89" i="2"/>
  <c r="DF89" i="2"/>
  <c r="DH89" i="2" s="1"/>
  <c r="DE89" i="2"/>
  <c r="CY89" i="2"/>
  <c r="CZ89" i="2" s="1"/>
  <c r="CF89" i="2"/>
  <c r="CH89" i="2"/>
  <c r="CA89" i="2"/>
  <c r="DA89" i="2"/>
  <c r="DB89" i="2" s="1"/>
  <c r="BO89" i="2"/>
  <c r="BJ89" i="2"/>
  <c r="BM89" i="2" s="1"/>
  <c r="BN89" i="2" s="1"/>
  <c r="BC89" i="2"/>
  <c r="AZ89" i="2"/>
  <c r="AY89" i="2"/>
  <c r="AO89" i="2"/>
  <c r="AN89" i="2"/>
  <c r="AM89" i="2"/>
  <c r="AL89" i="2"/>
  <c r="AK89" i="2"/>
  <c r="AG89" i="2"/>
  <c r="AE89" i="2"/>
  <c r="AF89" i="2" s="1"/>
  <c r="U89" i="2"/>
  <c r="S89" i="2"/>
  <c r="T89" i="2" s="1"/>
  <c r="R89" i="2"/>
  <c r="Y89" i="2" s="1"/>
  <c r="AB89" i="2" s="1"/>
  <c r="E89" i="2"/>
  <c r="GR88" i="2"/>
  <c r="GS88" i="2" s="1"/>
  <c r="GP88" i="2"/>
  <c r="GQ88" i="2" s="1"/>
  <c r="GN88" i="2"/>
  <c r="GO88" i="2" s="1"/>
  <c r="GL88" i="2"/>
  <c r="GM88" i="2" s="1"/>
  <c r="GH88" i="2"/>
  <c r="GG88" i="2"/>
  <c r="GI88" i="2" s="1"/>
  <c r="GD88" i="2"/>
  <c r="GC88" i="2"/>
  <c r="GB88" i="2"/>
  <c r="FY88" i="2"/>
  <c r="FS88" i="2"/>
  <c r="FT88" i="2" s="1"/>
  <c r="EW88" i="2"/>
  <c r="ET88" i="2"/>
  <c r="EU88" i="2" s="1"/>
  <c r="EQ88" i="2"/>
  <c r="ER88" i="2" s="1"/>
  <c r="EJ88" i="2"/>
  <c r="EE88" i="2"/>
  <c r="EF88" i="2" s="1"/>
  <c r="DX88" i="2"/>
  <c r="DP88" i="2"/>
  <c r="DF88" i="2"/>
  <c r="DH88" i="2" s="1"/>
  <c r="DE88" i="2"/>
  <c r="CY88" i="2"/>
  <c r="CZ88" i="2" s="1"/>
  <c r="CF88" i="2"/>
  <c r="CH88" i="2"/>
  <c r="CA88" i="2"/>
  <c r="CR88" i="2"/>
  <c r="BO88" i="2"/>
  <c r="BJ88" i="2"/>
  <c r="BM88" i="2" s="1"/>
  <c r="BN88" i="2" s="1"/>
  <c r="BC88" i="2"/>
  <c r="AZ88" i="2"/>
  <c r="AY88" i="2"/>
  <c r="AO88" i="2"/>
  <c r="AN88" i="2"/>
  <c r="AM88" i="2"/>
  <c r="AL88" i="2"/>
  <c r="AK88" i="2"/>
  <c r="AG88" i="2"/>
  <c r="AE88" i="2"/>
  <c r="AF88" i="2" s="1"/>
  <c r="U88" i="2"/>
  <c r="S88" i="2"/>
  <c r="T88" i="2" s="1"/>
  <c r="R88" i="2"/>
  <c r="X88" i="2" s="1"/>
  <c r="AA88" i="2" s="1"/>
  <c r="E88" i="2"/>
  <c r="GR87" i="2"/>
  <c r="GS87" i="2" s="1"/>
  <c r="GP87" i="2"/>
  <c r="GQ87" i="2" s="1"/>
  <c r="GN87" i="2"/>
  <c r="GO87" i="2" s="1"/>
  <c r="GL87" i="2"/>
  <c r="GM87" i="2" s="1"/>
  <c r="GH87" i="2"/>
  <c r="GG87" i="2"/>
  <c r="GI87" i="2" s="1"/>
  <c r="GD87" i="2"/>
  <c r="GC87" i="2"/>
  <c r="GB87" i="2"/>
  <c r="FY87" i="2"/>
  <c r="FS87" i="2"/>
  <c r="FT87" i="2" s="1"/>
  <c r="EW87" i="2"/>
  <c r="ET87" i="2"/>
  <c r="EU87" i="2" s="1"/>
  <c r="EQ87" i="2"/>
  <c r="ER87" i="2" s="1"/>
  <c r="EJ87" i="2"/>
  <c r="EE87" i="2"/>
  <c r="EF87" i="2" s="1"/>
  <c r="DX87" i="2"/>
  <c r="DP87" i="2"/>
  <c r="DF87" i="2"/>
  <c r="DH87" i="2" s="1"/>
  <c r="DE87" i="2"/>
  <c r="CY87" i="2"/>
  <c r="CZ87" i="2" s="1"/>
  <c r="CF87" i="2"/>
  <c r="CH87" i="2"/>
  <c r="CA87" i="2"/>
  <c r="BO87" i="2"/>
  <c r="BJ87" i="2"/>
  <c r="BM87" i="2" s="1"/>
  <c r="BN87" i="2" s="1"/>
  <c r="BC87" i="2"/>
  <c r="AZ87" i="2"/>
  <c r="AY87" i="2"/>
  <c r="AO87" i="2"/>
  <c r="AN87" i="2"/>
  <c r="AM87" i="2"/>
  <c r="AL87" i="2"/>
  <c r="AK87" i="2"/>
  <c r="AG87" i="2"/>
  <c r="AE87" i="2"/>
  <c r="AF87" i="2" s="1"/>
  <c r="U87" i="2"/>
  <c r="S87" i="2"/>
  <c r="T87" i="2" s="1"/>
  <c r="R87" i="2"/>
  <c r="Y87" i="2" s="1"/>
  <c r="AB87" i="2" s="1"/>
  <c r="E87" i="2"/>
  <c r="GR86" i="2"/>
  <c r="GS86" i="2" s="1"/>
  <c r="GP86" i="2"/>
  <c r="GQ86" i="2" s="1"/>
  <c r="DU86" i="2" s="1"/>
  <c r="EI86" i="2" s="1"/>
  <c r="GN86" i="2"/>
  <c r="GO86" i="2" s="1"/>
  <c r="GL86" i="2"/>
  <c r="GM86" i="2" s="1"/>
  <c r="GH86" i="2"/>
  <c r="GG86" i="2"/>
  <c r="GI86" i="2" s="1"/>
  <c r="GD86" i="2"/>
  <c r="GC86" i="2"/>
  <c r="GB86" i="2"/>
  <c r="FY86" i="2"/>
  <c r="GA86" i="2" s="1"/>
  <c r="FS86" i="2"/>
  <c r="FT86" i="2" s="1"/>
  <c r="EW86" i="2"/>
  <c r="ET86" i="2"/>
  <c r="EU86" i="2" s="1"/>
  <c r="EQ86" i="2"/>
  <c r="ER86" i="2" s="1"/>
  <c r="EJ86" i="2"/>
  <c r="EE86" i="2"/>
  <c r="EF86" i="2" s="1"/>
  <c r="DX86" i="2"/>
  <c r="DP86" i="2"/>
  <c r="DF86" i="2"/>
  <c r="DH86" i="2" s="1"/>
  <c r="DE86" i="2"/>
  <c r="CY86" i="2"/>
  <c r="CZ86" i="2" s="1"/>
  <c r="CF86" i="2"/>
  <c r="CH86" i="2"/>
  <c r="CA86" i="2"/>
  <c r="BO86" i="2"/>
  <c r="BJ86" i="2"/>
  <c r="BK86" i="2" s="1"/>
  <c r="CL86" i="2" s="1"/>
  <c r="BC86" i="2"/>
  <c r="AZ86" i="2"/>
  <c r="AY86" i="2"/>
  <c r="AO86" i="2"/>
  <c r="AN86" i="2"/>
  <c r="AM86" i="2"/>
  <c r="AL86" i="2"/>
  <c r="AK86" i="2"/>
  <c r="AG86" i="2"/>
  <c r="AE86" i="2"/>
  <c r="AF86" i="2" s="1"/>
  <c r="U86" i="2"/>
  <c r="S86" i="2"/>
  <c r="T86" i="2" s="1"/>
  <c r="R86" i="2"/>
  <c r="Y86" i="2" s="1"/>
  <c r="AB86" i="2" s="1"/>
  <c r="E86" i="2"/>
  <c r="GR166" i="2"/>
  <c r="GS166" i="2" s="1"/>
  <c r="GP166" i="2"/>
  <c r="GQ166" i="2" s="1"/>
  <c r="DU166" i="2" s="1"/>
  <c r="EI166" i="2" s="1"/>
  <c r="GN166" i="2"/>
  <c r="GO166" i="2" s="1"/>
  <c r="GL166" i="2"/>
  <c r="GM166" i="2" s="1"/>
  <c r="GH166" i="2"/>
  <c r="GG166" i="2"/>
  <c r="GI166" i="2" s="1"/>
  <c r="GD166" i="2"/>
  <c r="GC166" i="2"/>
  <c r="GB166" i="2"/>
  <c r="FY166" i="2"/>
  <c r="GA166" i="2" s="1"/>
  <c r="FS166" i="2"/>
  <c r="FT166" i="2" s="1"/>
  <c r="EW166" i="2"/>
  <c r="ET166" i="2"/>
  <c r="EU166" i="2" s="1"/>
  <c r="EQ166" i="2"/>
  <c r="ER166" i="2" s="1"/>
  <c r="EJ166" i="2"/>
  <c r="EE166" i="2"/>
  <c r="EF166" i="2" s="1"/>
  <c r="DX166" i="2"/>
  <c r="DP166" i="2"/>
  <c r="DF166" i="2"/>
  <c r="DH166" i="2" s="1"/>
  <c r="DE166" i="2"/>
  <c r="CY166" i="2"/>
  <c r="CZ166" i="2" s="1"/>
  <c r="CF166" i="2"/>
  <c r="CH166" i="2"/>
  <c r="CA166" i="2"/>
  <c r="BO166" i="2"/>
  <c r="BJ166" i="2"/>
  <c r="BM166" i="2" s="1"/>
  <c r="BN166" i="2" s="1"/>
  <c r="BC166" i="2"/>
  <c r="AZ166" i="2"/>
  <c r="AY166" i="2"/>
  <c r="AO166" i="2"/>
  <c r="AN166" i="2"/>
  <c r="AM166" i="2"/>
  <c r="AL166" i="2"/>
  <c r="AK166" i="2"/>
  <c r="AG166" i="2"/>
  <c r="AE166" i="2"/>
  <c r="AF166" i="2" s="1"/>
  <c r="U166" i="2"/>
  <c r="S166" i="2"/>
  <c r="T166" i="2" s="1"/>
  <c r="R166" i="2"/>
  <c r="Y166" i="2" s="1"/>
  <c r="AB166" i="2" s="1"/>
  <c r="E166" i="2"/>
  <c r="GR84" i="2"/>
  <c r="GS84" i="2" s="1"/>
  <c r="GP84" i="2"/>
  <c r="GQ84" i="2" s="1"/>
  <c r="GN84" i="2"/>
  <c r="GO84" i="2" s="1"/>
  <c r="GL84" i="2"/>
  <c r="GM84" i="2" s="1"/>
  <c r="GH84" i="2"/>
  <c r="GG84" i="2"/>
  <c r="GI84" i="2" s="1"/>
  <c r="GD84" i="2"/>
  <c r="GC84" i="2"/>
  <c r="GB84" i="2"/>
  <c r="FY84" i="2"/>
  <c r="FS84" i="2"/>
  <c r="FT84" i="2" s="1"/>
  <c r="EW84" i="2"/>
  <c r="ET84" i="2"/>
  <c r="EU84" i="2" s="1"/>
  <c r="EQ84" i="2"/>
  <c r="ER84" i="2" s="1"/>
  <c r="EJ84" i="2"/>
  <c r="EE84" i="2"/>
  <c r="EF84" i="2" s="1"/>
  <c r="DX84" i="2"/>
  <c r="DP84" i="2"/>
  <c r="DF84" i="2"/>
  <c r="DH84" i="2" s="1"/>
  <c r="DE84" i="2"/>
  <c r="CY84" i="2"/>
  <c r="CZ84" i="2" s="1"/>
  <c r="CF84" i="2"/>
  <c r="CH84" i="2"/>
  <c r="CA84" i="2"/>
  <c r="CW84" i="2"/>
  <c r="BO84" i="2"/>
  <c r="BJ84" i="2"/>
  <c r="BM84" i="2" s="1"/>
  <c r="BN84" i="2" s="1"/>
  <c r="BC84" i="2"/>
  <c r="AZ84" i="2"/>
  <c r="AY84" i="2"/>
  <c r="AO84" i="2"/>
  <c r="AN84" i="2"/>
  <c r="AM84" i="2"/>
  <c r="AL84" i="2"/>
  <c r="AK84" i="2"/>
  <c r="AG84" i="2"/>
  <c r="AE84" i="2"/>
  <c r="AF84" i="2" s="1"/>
  <c r="U84" i="2"/>
  <c r="S84" i="2"/>
  <c r="T84" i="2" s="1"/>
  <c r="R84" i="2"/>
  <c r="E84" i="2"/>
  <c r="GR83" i="2"/>
  <c r="GS83" i="2" s="1"/>
  <c r="GP83" i="2"/>
  <c r="GQ83" i="2" s="1"/>
  <c r="GN83" i="2"/>
  <c r="GO83" i="2" s="1"/>
  <c r="GL83" i="2"/>
  <c r="GM83" i="2" s="1"/>
  <c r="GH83" i="2"/>
  <c r="GG83" i="2"/>
  <c r="GI83" i="2" s="1"/>
  <c r="GD83" i="2"/>
  <c r="GC83" i="2"/>
  <c r="GB83" i="2"/>
  <c r="FY83" i="2"/>
  <c r="FS83" i="2"/>
  <c r="FT83" i="2" s="1"/>
  <c r="EW83" i="2"/>
  <c r="ET83" i="2"/>
  <c r="EU83" i="2" s="1"/>
  <c r="EQ83" i="2"/>
  <c r="ER83" i="2" s="1"/>
  <c r="EJ83" i="2"/>
  <c r="EE83" i="2"/>
  <c r="EF83" i="2" s="1"/>
  <c r="DX83" i="2"/>
  <c r="DP83" i="2"/>
  <c r="DF83" i="2"/>
  <c r="DH83" i="2" s="1"/>
  <c r="DE83" i="2"/>
  <c r="CY83" i="2"/>
  <c r="CZ83" i="2" s="1"/>
  <c r="CF83" i="2"/>
  <c r="CH83" i="2"/>
  <c r="CA83" i="2"/>
  <c r="BO83" i="2"/>
  <c r="BJ83" i="2"/>
  <c r="BM83" i="2" s="1"/>
  <c r="BN83" i="2" s="1"/>
  <c r="BC83" i="2"/>
  <c r="AZ83" i="2"/>
  <c r="AY83" i="2"/>
  <c r="AO83" i="2"/>
  <c r="AN83" i="2"/>
  <c r="AM83" i="2"/>
  <c r="AL83" i="2"/>
  <c r="AK83" i="2"/>
  <c r="AG83" i="2"/>
  <c r="AE83" i="2"/>
  <c r="AF83" i="2" s="1"/>
  <c r="U83" i="2"/>
  <c r="S83" i="2"/>
  <c r="T83" i="2" s="1"/>
  <c r="R83" i="2"/>
  <c r="Y83" i="2" s="1"/>
  <c r="AB83" i="2" s="1"/>
  <c r="E83" i="2"/>
  <c r="GR82" i="2"/>
  <c r="GS82" i="2" s="1"/>
  <c r="GP82" i="2"/>
  <c r="GQ82" i="2" s="1"/>
  <c r="GN82" i="2"/>
  <c r="GO82" i="2" s="1"/>
  <c r="GL82" i="2"/>
  <c r="GM82" i="2" s="1"/>
  <c r="GH82" i="2"/>
  <c r="GG82" i="2"/>
  <c r="GI82" i="2" s="1"/>
  <c r="GD82" i="2"/>
  <c r="GC82" i="2"/>
  <c r="GB82" i="2"/>
  <c r="FY82" i="2"/>
  <c r="GA82" i="2" s="1"/>
  <c r="FS82" i="2"/>
  <c r="FT82" i="2" s="1"/>
  <c r="EW82" i="2"/>
  <c r="ET82" i="2"/>
  <c r="EU82" i="2" s="1"/>
  <c r="EQ82" i="2"/>
  <c r="ER82" i="2" s="1"/>
  <c r="EJ82" i="2"/>
  <c r="EE82" i="2"/>
  <c r="EF82" i="2" s="1"/>
  <c r="DX82" i="2"/>
  <c r="DP82" i="2"/>
  <c r="DF82" i="2"/>
  <c r="DH82" i="2" s="1"/>
  <c r="DE82" i="2"/>
  <c r="CY82" i="2"/>
  <c r="CZ82" i="2" s="1"/>
  <c r="CF82" i="2"/>
  <c r="CH82" i="2"/>
  <c r="CA82" i="2"/>
  <c r="CR82" i="2"/>
  <c r="BO82" i="2"/>
  <c r="BJ82" i="2"/>
  <c r="BM82" i="2" s="1"/>
  <c r="BN82" i="2" s="1"/>
  <c r="BC82" i="2"/>
  <c r="AZ82" i="2"/>
  <c r="AY82" i="2"/>
  <c r="AO82" i="2"/>
  <c r="AN82" i="2"/>
  <c r="AM82" i="2"/>
  <c r="AL82" i="2"/>
  <c r="AK82" i="2"/>
  <c r="AG82" i="2"/>
  <c r="AE82" i="2"/>
  <c r="AF82" i="2" s="1"/>
  <c r="U82" i="2"/>
  <c r="S82" i="2"/>
  <c r="T82" i="2" s="1"/>
  <c r="R82" i="2"/>
  <c r="E82" i="2"/>
  <c r="GR81" i="2"/>
  <c r="GS81" i="2" s="1"/>
  <c r="GP81" i="2"/>
  <c r="GQ81" i="2" s="1"/>
  <c r="DO81" i="2" s="1"/>
  <c r="DQ81" i="2" s="1"/>
  <c r="DR81" i="2" s="1"/>
  <c r="GN81" i="2"/>
  <c r="GO81" i="2" s="1"/>
  <c r="GL81" i="2"/>
  <c r="GM81" i="2" s="1"/>
  <c r="GH81" i="2"/>
  <c r="GG81" i="2"/>
  <c r="GI81" i="2" s="1"/>
  <c r="GD81" i="2"/>
  <c r="GC81" i="2"/>
  <c r="GB81" i="2"/>
  <c r="FY81" i="2"/>
  <c r="GA81" i="2" s="1"/>
  <c r="FS81" i="2"/>
  <c r="FT81" i="2" s="1"/>
  <c r="EW81" i="2"/>
  <c r="ET81" i="2"/>
  <c r="EU81" i="2" s="1"/>
  <c r="EQ81" i="2"/>
  <c r="ER81" i="2" s="1"/>
  <c r="EJ81" i="2"/>
  <c r="EE81" i="2"/>
  <c r="EF81" i="2" s="1"/>
  <c r="DX81" i="2"/>
  <c r="DP81" i="2"/>
  <c r="DF81" i="2"/>
  <c r="DH81" i="2" s="1"/>
  <c r="DE81" i="2"/>
  <c r="CY81" i="2"/>
  <c r="CZ81" i="2" s="1"/>
  <c r="CF81" i="2"/>
  <c r="CH81" i="2"/>
  <c r="CA81" i="2"/>
  <c r="BO81" i="2"/>
  <c r="BJ81" i="2"/>
  <c r="BM81" i="2" s="1"/>
  <c r="BN81" i="2" s="1"/>
  <c r="BC81" i="2"/>
  <c r="AZ81" i="2"/>
  <c r="AY81" i="2"/>
  <c r="AO81" i="2"/>
  <c r="AN81" i="2"/>
  <c r="AM81" i="2"/>
  <c r="AL81" i="2"/>
  <c r="AK81" i="2"/>
  <c r="AG81" i="2"/>
  <c r="AE81" i="2"/>
  <c r="AF81" i="2" s="1"/>
  <c r="U81" i="2"/>
  <c r="S81" i="2"/>
  <c r="T81" i="2" s="1"/>
  <c r="R81" i="2"/>
  <c r="Y81" i="2" s="1"/>
  <c r="AB81" i="2" s="1"/>
  <c r="E81" i="2"/>
  <c r="GR80" i="2"/>
  <c r="GS80" i="2" s="1"/>
  <c r="GP80" i="2"/>
  <c r="GQ80" i="2" s="1"/>
  <c r="DO80" i="2" s="1"/>
  <c r="DQ80" i="2" s="1"/>
  <c r="DR80" i="2" s="1"/>
  <c r="GN80" i="2"/>
  <c r="GO80" i="2" s="1"/>
  <c r="GL80" i="2"/>
  <c r="GM80" i="2" s="1"/>
  <c r="GH80" i="2"/>
  <c r="GG80" i="2"/>
  <c r="GI80" i="2" s="1"/>
  <c r="GD80" i="2"/>
  <c r="GC80" i="2"/>
  <c r="GB80" i="2"/>
  <c r="FY80" i="2"/>
  <c r="GA80" i="2" s="1"/>
  <c r="FS80" i="2"/>
  <c r="FT80" i="2" s="1"/>
  <c r="EW80" i="2"/>
  <c r="ET80" i="2"/>
  <c r="EU80" i="2" s="1"/>
  <c r="EQ80" i="2"/>
  <c r="ER80" i="2" s="1"/>
  <c r="EJ80" i="2"/>
  <c r="EE80" i="2"/>
  <c r="EF80" i="2" s="1"/>
  <c r="DX80" i="2"/>
  <c r="DP80" i="2"/>
  <c r="DF80" i="2"/>
  <c r="DE80" i="2"/>
  <c r="CY80" i="2"/>
  <c r="CZ80" i="2" s="1"/>
  <c r="CF80" i="2"/>
  <c r="CH80" i="2"/>
  <c r="CA80" i="2"/>
  <c r="BO80" i="2"/>
  <c r="BJ80" i="2"/>
  <c r="BM80" i="2" s="1"/>
  <c r="BN80" i="2" s="1"/>
  <c r="BC80" i="2"/>
  <c r="AZ80" i="2"/>
  <c r="AY80" i="2"/>
  <c r="AO80" i="2"/>
  <c r="AN80" i="2"/>
  <c r="AM80" i="2"/>
  <c r="AL80" i="2"/>
  <c r="AK80" i="2"/>
  <c r="AG80" i="2"/>
  <c r="AE80" i="2"/>
  <c r="AF80" i="2" s="1"/>
  <c r="U80" i="2"/>
  <c r="S80" i="2"/>
  <c r="R80" i="2"/>
  <c r="X80" i="2" s="1"/>
  <c r="E80" i="2"/>
  <c r="GR79" i="2"/>
  <c r="GS79" i="2" s="1"/>
  <c r="GP79" i="2"/>
  <c r="GQ79" i="2" s="1"/>
  <c r="DO79" i="2" s="1"/>
  <c r="DQ79" i="2" s="1"/>
  <c r="DR79" i="2" s="1"/>
  <c r="GN79" i="2"/>
  <c r="GO79" i="2" s="1"/>
  <c r="GL79" i="2"/>
  <c r="GM79" i="2" s="1"/>
  <c r="GH79" i="2"/>
  <c r="GG79" i="2"/>
  <c r="GI79" i="2" s="1"/>
  <c r="GD79" i="2"/>
  <c r="GC79" i="2"/>
  <c r="GB79" i="2"/>
  <c r="FY79" i="2"/>
  <c r="GA79" i="2" s="1"/>
  <c r="FS79" i="2"/>
  <c r="FT79" i="2" s="1"/>
  <c r="EW79" i="2"/>
  <c r="ET79" i="2"/>
  <c r="EU79" i="2" s="1"/>
  <c r="EQ79" i="2"/>
  <c r="ER79" i="2" s="1"/>
  <c r="EJ79" i="2"/>
  <c r="EE79" i="2"/>
  <c r="EF79" i="2" s="1"/>
  <c r="DX79" i="2"/>
  <c r="DP79" i="2"/>
  <c r="DF79" i="2"/>
  <c r="DH79" i="2" s="1"/>
  <c r="DE79" i="2"/>
  <c r="CY79" i="2"/>
  <c r="CZ79" i="2" s="1"/>
  <c r="CF79" i="2"/>
  <c r="CH79" i="2"/>
  <c r="CA79" i="2"/>
  <c r="DA79" i="2"/>
  <c r="DB79" i="2" s="1"/>
  <c r="BO79" i="2"/>
  <c r="BJ79" i="2"/>
  <c r="BC79" i="2"/>
  <c r="AZ79" i="2"/>
  <c r="AY79" i="2"/>
  <c r="AO79" i="2"/>
  <c r="AN79" i="2"/>
  <c r="AM79" i="2"/>
  <c r="AL79" i="2"/>
  <c r="AK79" i="2"/>
  <c r="AG79" i="2"/>
  <c r="AE79" i="2"/>
  <c r="AF79" i="2" s="1"/>
  <c r="U79" i="2"/>
  <c r="S79" i="2"/>
  <c r="R79" i="2"/>
  <c r="E79" i="2"/>
  <c r="GR78" i="2"/>
  <c r="GS78" i="2" s="1"/>
  <c r="GP78" i="2"/>
  <c r="GQ78" i="2" s="1"/>
  <c r="GN78" i="2"/>
  <c r="GO78" i="2" s="1"/>
  <c r="GL78" i="2"/>
  <c r="GM78" i="2" s="1"/>
  <c r="GH78" i="2"/>
  <c r="GG78" i="2"/>
  <c r="GI78" i="2" s="1"/>
  <c r="GD78" i="2"/>
  <c r="GC78" i="2"/>
  <c r="GB78" i="2"/>
  <c r="FY78" i="2"/>
  <c r="GA78" i="2" s="1"/>
  <c r="FS78" i="2"/>
  <c r="FT78" i="2" s="1"/>
  <c r="EW78" i="2"/>
  <c r="ET78" i="2"/>
  <c r="EU78" i="2" s="1"/>
  <c r="EQ78" i="2"/>
  <c r="ER78" i="2" s="1"/>
  <c r="EJ78" i="2"/>
  <c r="EE78" i="2"/>
  <c r="EF78" i="2" s="1"/>
  <c r="DX78" i="2"/>
  <c r="DP78" i="2"/>
  <c r="DF78" i="2"/>
  <c r="DG78" i="2" s="1"/>
  <c r="DE78" i="2"/>
  <c r="CY78" i="2"/>
  <c r="CZ78" i="2" s="1"/>
  <c r="CF78" i="2"/>
  <c r="CH78" i="2"/>
  <c r="CA78" i="2"/>
  <c r="DA78" i="2"/>
  <c r="DB78" i="2" s="1"/>
  <c r="BO78" i="2"/>
  <c r="BJ78" i="2"/>
  <c r="BM78" i="2" s="1"/>
  <c r="BN78" i="2" s="1"/>
  <c r="BC78" i="2"/>
  <c r="AZ78" i="2"/>
  <c r="AY78" i="2"/>
  <c r="AO78" i="2"/>
  <c r="AN78" i="2"/>
  <c r="AM78" i="2"/>
  <c r="AL78" i="2"/>
  <c r="AK78" i="2"/>
  <c r="AG78" i="2"/>
  <c r="AE78" i="2"/>
  <c r="AF78" i="2" s="1"/>
  <c r="U78" i="2"/>
  <c r="S78" i="2"/>
  <c r="T78" i="2" s="1"/>
  <c r="R78" i="2"/>
  <c r="X78" i="2" s="1"/>
  <c r="E78" i="2"/>
  <c r="GR77" i="2"/>
  <c r="GS77" i="2" s="1"/>
  <c r="GP77" i="2"/>
  <c r="GQ77" i="2" s="1"/>
  <c r="DU77" i="2" s="1"/>
  <c r="EG77" i="2" s="1"/>
  <c r="GN77" i="2"/>
  <c r="GO77" i="2" s="1"/>
  <c r="GL77" i="2"/>
  <c r="GM77" i="2" s="1"/>
  <c r="GH77" i="2"/>
  <c r="GG77" i="2"/>
  <c r="GI77" i="2" s="1"/>
  <c r="GD77" i="2"/>
  <c r="GC77" i="2"/>
  <c r="GB77" i="2"/>
  <c r="FY77" i="2"/>
  <c r="FZ77" i="2" s="1"/>
  <c r="FS77" i="2"/>
  <c r="FT77" i="2" s="1"/>
  <c r="EW77" i="2"/>
  <c r="ET77" i="2"/>
  <c r="EU77" i="2" s="1"/>
  <c r="EQ77" i="2"/>
  <c r="ER77" i="2" s="1"/>
  <c r="EJ77" i="2"/>
  <c r="EE77" i="2"/>
  <c r="EF77" i="2" s="1"/>
  <c r="DX77" i="2"/>
  <c r="DP77" i="2"/>
  <c r="DF77" i="2"/>
  <c r="DH77" i="2" s="1"/>
  <c r="DE77" i="2"/>
  <c r="CY77" i="2"/>
  <c r="CZ77" i="2" s="1"/>
  <c r="CF77" i="2"/>
  <c r="CH77" i="2"/>
  <c r="CA77" i="2"/>
  <c r="DA77" i="2"/>
  <c r="DB77" i="2" s="1"/>
  <c r="BO77" i="2"/>
  <c r="BJ77" i="2"/>
  <c r="BC77" i="2"/>
  <c r="AZ77" i="2"/>
  <c r="AY77" i="2"/>
  <c r="AO77" i="2"/>
  <c r="AN77" i="2"/>
  <c r="AM77" i="2"/>
  <c r="AL77" i="2"/>
  <c r="AI77" i="2"/>
  <c r="AK77" i="2" s="1"/>
  <c r="AG77" i="2"/>
  <c r="AE77" i="2"/>
  <c r="AF77" i="2" s="1"/>
  <c r="U77" i="2"/>
  <c r="S77" i="2"/>
  <c r="T77" i="2" s="1"/>
  <c r="R77" i="2"/>
  <c r="X77" i="2" s="1"/>
  <c r="AA77" i="2" s="1"/>
  <c r="E77" i="2"/>
  <c r="GR76" i="2"/>
  <c r="GS76" i="2" s="1"/>
  <c r="GP76" i="2"/>
  <c r="GQ76" i="2" s="1"/>
  <c r="DU76" i="2" s="1"/>
  <c r="EG76" i="2" s="1"/>
  <c r="GN76" i="2"/>
  <c r="GO76" i="2" s="1"/>
  <c r="GL76" i="2"/>
  <c r="GM76" i="2" s="1"/>
  <c r="GH76" i="2"/>
  <c r="GG76" i="2"/>
  <c r="GI76" i="2" s="1"/>
  <c r="GD76" i="2"/>
  <c r="GC76" i="2"/>
  <c r="GB76" i="2"/>
  <c r="FY76" i="2"/>
  <c r="FZ76" i="2" s="1"/>
  <c r="FS76" i="2"/>
  <c r="FT76" i="2" s="1"/>
  <c r="EW76" i="2"/>
  <c r="ET76" i="2"/>
  <c r="EU76" i="2" s="1"/>
  <c r="EQ76" i="2"/>
  <c r="ER76" i="2" s="1"/>
  <c r="EJ76" i="2"/>
  <c r="EE76" i="2"/>
  <c r="EF76" i="2" s="1"/>
  <c r="DX76" i="2"/>
  <c r="DP76" i="2"/>
  <c r="DF76" i="2"/>
  <c r="DH76" i="2" s="1"/>
  <c r="DE76" i="2"/>
  <c r="CY76" i="2"/>
  <c r="CZ76" i="2" s="1"/>
  <c r="CF76" i="2"/>
  <c r="CH76" i="2"/>
  <c r="CA76" i="2"/>
  <c r="DA76" i="2"/>
  <c r="DB76" i="2" s="1"/>
  <c r="BO76" i="2"/>
  <c r="BJ76" i="2"/>
  <c r="BM76" i="2" s="1"/>
  <c r="BN76" i="2" s="1"/>
  <c r="BC76" i="2"/>
  <c r="AZ76" i="2"/>
  <c r="AY76" i="2"/>
  <c r="AO76" i="2"/>
  <c r="AN76" i="2"/>
  <c r="AM76" i="2"/>
  <c r="AL76" i="2"/>
  <c r="AK76" i="2"/>
  <c r="AG76" i="2"/>
  <c r="AE76" i="2"/>
  <c r="AF76" i="2" s="1"/>
  <c r="U76" i="2"/>
  <c r="S76" i="2"/>
  <c r="T76" i="2" s="1"/>
  <c r="R76" i="2"/>
  <c r="X76" i="2" s="1"/>
  <c r="AA76" i="2" s="1"/>
  <c r="E76" i="2"/>
  <c r="GR75" i="2"/>
  <c r="GS75" i="2" s="1"/>
  <c r="GP75" i="2"/>
  <c r="GQ75" i="2" s="1"/>
  <c r="DU75" i="2" s="1"/>
  <c r="EG75" i="2" s="1"/>
  <c r="GN75" i="2"/>
  <c r="GO75" i="2" s="1"/>
  <c r="GL75" i="2"/>
  <c r="GM75" i="2" s="1"/>
  <c r="GH75" i="2"/>
  <c r="GG75" i="2"/>
  <c r="GI75" i="2" s="1"/>
  <c r="GD75" i="2"/>
  <c r="GC75" i="2"/>
  <c r="GB75" i="2"/>
  <c r="FY75" i="2"/>
  <c r="FS75" i="2"/>
  <c r="FT75" i="2" s="1"/>
  <c r="EW75" i="2"/>
  <c r="ET75" i="2"/>
  <c r="EU75" i="2" s="1"/>
  <c r="EQ75" i="2"/>
  <c r="ER75" i="2" s="1"/>
  <c r="EJ75" i="2"/>
  <c r="EE75" i="2"/>
  <c r="EF75" i="2" s="1"/>
  <c r="DX75" i="2"/>
  <c r="DP75" i="2"/>
  <c r="DF75" i="2"/>
  <c r="DH75" i="2" s="1"/>
  <c r="DE75" i="2"/>
  <c r="CY75" i="2"/>
  <c r="CZ75" i="2" s="1"/>
  <c r="CF75" i="2"/>
  <c r="CH75" i="2"/>
  <c r="CA75" i="2"/>
  <c r="DA75" i="2"/>
  <c r="DB75" i="2" s="1"/>
  <c r="BO75" i="2"/>
  <c r="BJ75" i="2"/>
  <c r="BM75" i="2" s="1"/>
  <c r="BN75" i="2" s="1"/>
  <c r="BC75" i="2"/>
  <c r="AZ75" i="2"/>
  <c r="AY75" i="2"/>
  <c r="AO75" i="2"/>
  <c r="AN75" i="2"/>
  <c r="AM75" i="2"/>
  <c r="AL75" i="2"/>
  <c r="AK75" i="2"/>
  <c r="AG75" i="2"/>
  <c r="AE75" i="2"/>
  <c r="AF75" i="2" s="1"/>
  <c r="U75" i="2"/>
  <c r="S75" i="2"/>
  <c r="T75" i="2" s="1"/>
  <c r="R75" i="2"/>
  <c r="E75" i="2"/>
  <c r="GR74" i="2"/>
  <c r="GS74" i="2" s="1"/>
  <c r="GP74" i="2"/>
  <c r="GQ74" i="2" s="1"/>
  <c r="DU74" i="2" s="1"/>
  <c r="EG74" i="2" s="1"/>
  <c r="GN74" i="2"/>
  <c r="GO74" i="2" s="1"/>
  <c r="GL74" i="2"/>
  <c r="GM74" i="2" s="1"/>
  <c r="GH74" i="2"/>
  <c r="GG74" i="2"/>
  <c r="GI74" i="2" s="1"/>
  <c r="GD74" i="2"/>
  <c r="GC74" i="2"/>
  <c r="GB74" i="2"/>
  <c r="FY74" i="2"/>
  <c r="FZ74" i="2" s="1"/>
  <c r="FS74" i="2"/>
  <c r="FT74" i="2" s="1"/>
  <c r="EW74" i="2"/>
  <c r="ET74" i="2"/>
  <c r="EU74" i="2" s="1"/>
  <c r="EQ74" i="2"/>
  <c r="ER74" i="2" s="1"/>
  <c r="EJ74" i="2"/>
  <c r="EE74" i="2"/>
  <c r="EF74" i="2" s="1"/>
  <c r="DX74" i="2"/>
  <c r="DP74" i="2"/>
  <c r="DF74" i="2"/>
  <c r="DG74" i="2" s="1"/>
  <c r="DE74" i="2"/>
  <c r="CY74" i="2"/>
  <c r="CZ74" i="2" s="1"/>
  <c r="CF74" i="2"/>
  <c r="CH74" i="2"/>
  <c r="CA74" i="2"/>
  <c r="DA74" i="2"/>
  <c r="DB74" i="2" s="1"/>
  <c r="BO74" i="2"/>
  <c r="BJ74" i="2"/>
  <c r="BM74" i="2" s="1"/>
  <c r="BN74" i="2" s="1"/>
  <c r="BC74" i="2"/>
  <c r="AZ74" i="2"/>
  <c r="AY74" i="2"/>
  <c r="AO74" i="2"/>
  <c r="AN74" i="2"/>
  <c r="AM74" i="2"/>
  <c r="AL74" i="2"/>
  <c r="AK74" i="2"/>
  <c r="AG74" i="2"/>
  <c r="AE74" i="2"/>
  <c r="AF74" i="2" s="1"/>
  <c r="U74" i="2"/>
  <c r="S74" i="2"/>
  <c r="T74" i="2" s="1"/>
  <c r="R74" i="2"/>
  <c r="X74" i="2" s="1"/>
  <c r="AA74" i="2" s="1"/>
  <c r="E74" i="2"/>
  <c r="GR73" i="2"/>
  <c r="GS73" i="2" s="1"/>
  <c r="GP73" i="2"/>
  <c r="GQ73" i="2" s="1"/>
  <c r="DU73" i="2" s="1"/>
  <c r="GN73" i="2"/>
  <c r="GO73" i="2" s="1"/>
  <c r="GL73" i="2"/>
  <c r="GM73" i="2" s="1"/>
  <c r="GH73" i="2"/>
  <c r="GG73" i="2"/>
  <c r="GI73" i="2" s="1"/>
  <c r="GD73" i="2"/>
  <c r="GC73" i="2"/>
  <c r="GB73" i="2"/>
  <c r="FY73" i="2"/>
  <c r="FZ73" i="2" s="1"/>
  <c r="FS73" i="2"/>
  <c r="FT73" i="2" s="1"/>
  <c r="EW73" i="2"/>
  <c r="ET73" i="2"/>
  <c r="EU73" i="2" s="1"/>
  <c r="EQ73" i="2"/>
  <c r="ER73" i="2" s="1"/>
  <c r="EJ73" i="2"/>
  <c r="EE73" i="2"/>
  <c r="EF73" i="2" s="1"/>
  <c r="DX73" i="2"/>
  <c r="DP73" i="2"/>
  <c r="DF73" i="2"/>
  <c r="DH73" i="2" s="1"/>
  <c r="DE73" i="2"/>
  <c r="CY73" i="2"/>
  <c r="CZ73" i="2" s="1"/>
  <c r="CF73" i="2"/>
  <c r="CH73" i="2"/>
  <c r="CA73" i="2"/>
  <c r="DA73" i="2"/>
  <c r="DB73" i="2" s="1"/>
  <c r="BO73" i="2"/>
  <c r="BJ73" i="2"/>
  <c r="BM73" i="2" s="1"/>
  <c r="BN73" i="2" s="1"/>
  <c r="BC73" i="2"/>
  <c r="AZ73" i="2"/>
  <c r="AY73" i="2"/>
  <c r="AO73" i="2"/>
  <c r="AN73" i="2"/>
  <c r="AM73" i="2"/>
  <c r="AL73" i="2"/>
  <c r="AK73" i="2"/>
  <c r="AG73" i="2"/>
  <c r="AE73" i="2"/>
  <c r="AF73" i="2" s="1"/>
  <c r="U73" i="2"/>
  <c r="S73" i="2"/>
  <c r="T73" i="2" s="1"/>
  <c r="R73" i="2"/>
  <c r="X73" i="2" s="1"/>
  <c r="AA73" i="2" s="1"/>
  <c r="E73" i="2"/>
  <c r="GR72" i="2"/>
  <c r="GS72" i="2" s="1"/>
  <c r="GP72" i="2"/>
  <c r="GQ72" i="2" s="1"/>
  <c r="DU72" i="2" s="1"/>
  <c r="EG72" i="2" s="1"/>
  <c r="GN72" i="2"/>
  <c r="GO72" i="2" s="1"/>
  <c r="GL72" i="2"/>
  <c r="GM72" i="2" s="1"/>
  <c r="GH72" i="2"/>
  <c r="GG72" i="2"/>
  <c r="GI72" i="2" s="1"/>
  <c r="GD72" i="2"/>
  <c r="GC72" i="2"/>
  <c r="GB72" i="2"/>
  <c r="FY72" i="2"/>
  <c r="FZ72" i="2" s="1"/>
  <c r="FS72" i="2"/>
  <c r="FT72" i="2" s="1"/>
  <c r="EW72" i="2"/>
  <c r="ET72" i="2"/>
  <c r="EU72" i="2" s="1"/>
  <c r="EQ72" i="2"/>
  <c r="ER72" i="2" s="1"/>
  <c r="EJ72" i="2"/>
  <c r="EE72" i="2"/>
  <c r="EF72" i="2" s="1"/>
  <c r="DX72" i="2"/>
  <c r="DP72" i="2"/>
  <c r="DF72" i="2"/>
  <c r="DH72" i="2" s="1"/>
  <c r="DE72" i="2"/>
  <c r="CY72" i="2"/>
  <c r="CZ72" i="2" s="1"/>
  <c r="CF72" i="2"/>
  <c r="CH72" i="2"/>
  <c r="CA72" i="2"/>
  <c r="DA72" i="2"/>
  <c r="DB72" i="2" s="1"/>
  <c r="BO72" i="2"/>
  <c r="BJ72" i="2"/>
  <c r="BM72" i="2" s="1"/>
  <c r="BN72" i="2" s="1"/>
  <c r="BC72" i="2"/>
  <c r="AZ72" i="2"/>
  <c r="AY72" i="2"/>
  <c r="AO72" i="2"/>
  <c r="AN72" i="2"/>
  <c r="AM72" i="2"/>
  <c r="AL72" i="2"/>
  <c r="AK72" i="2"/>
  <c r="AG72" i="2"/>
  <c r="AE72" i="2"/>
  <c r="AF72" i="2" s="1"/>
  <c r="U72" i="2"/>
  <c r="S72" i="2"/>
  <c r="T72" i="2" s="1"/>
  <c r="R72" i="2"/>
  <c r="X72" i="2" s="1"/>
  <c r="AA72" i="2" s="1"/>
  <c r="E72" i="2"/>
  <c r="GR71" i="2"/>
  <c r="GS71" i="2" s="1"/>
  <c r="GP71" i="2"/>
  <c r="GQ71" i="2" s="1"/>
  <c r="DU71" i="2" s="1"/>
  <c r="GN71" i="2"/>
  <c r="GO71" i="2" s="1"/>
  <c r="GL71" i="2"/>
  <c r="GM71" i="2" s="1"/>
  <c r="GH71" i="2"/>
  <c r="GG71" i="2"/>
  <c r="GI71" i="2" s="1"/>
  <c r="GD71" i="2"/>
  <c r="GC71" i="2"/>
  <c r="GB71" i="2"/>
  <c r="FY71" i="2"/>
  <c r="FZ71" i="2" s="1"/>
  <c r="FS71" i="2"/>
  <c r="FT71" i="2" s="1"/>
  <c r="EW71" i="2"/>
  <c r="ET71" i="2"/>
  <c r="EU71" i="2" s="1"/>
  <c r="EQ71" i="2"/>
  <c r="ER71" i="2" s="1"/>
  <c r="EJ71" i="2"/>
  <c r="EE71" i="2"/>
  <c r="EF71" i="2" s="1"/>
  <c r="DX71" i="2"/>
  <c r="DP71" i="2"/>
  <c r="DF71" i="2"/>
  <c r="DG71" i="2" s="1"/>
  <c r="DE71" i="2"/>
  <c r="CY71" i="2"/>
  <c r="CZ71" i="2" s="1"/>
  <c r="CF71" i="2"/>
  <c r="CH71" i="2"/>
  <c r="CA71" i="2"/>
  <c r="DA71" i="2"/>
  <c r="DB71" i="2" s="1"/>
  <c r="BO71" i="2"/>
  <c r="BJ71" i="2"/>
  <c r="BM71" i="2" s="1"/>
  <c r="BN71" i="2" s="1"/>
  <c r="BC71" i="2"/>
  <c r="AZ71" i="2"/>
  <c r="AY71" i="2"/>
  <c r="AV71" i="2"/>
  <c r="AO71" i="2"/>
  <c r="AN71" i="2"/>
  <c r="AM71" i="2"/>
  <c r="AL71" i="2"/>
  <c r="AK71" i="2"/>
  <c r="AG71" i="2"/>
  <c r="AE71" i="2"/>
  <c r="AF71" i="2" s="1"/>
  <c r="U71" i="2"/>
  <c r="S71" i="2"/>
  <c r="T71" i="2" s="1"/>
  <c r="R71" i="2"/>
  <c r="Y71" i="2" s="1"/>
  <c r="AB71" i="2" s="1"/>
  <c r="E71" i="2"/>
  <c r="GR70" i="2"/>
  <c r="GS70" i="2" s="1"/>
  <c r="GP70" i="2"/>
  <c r="GQ70" i="2" s="1"/>
  <c r="DU70" i="2" s="1"/>
  <c r="EG70" i="2" s="1"/>
  <c r="GN70" i="2"/>
  <c r="GO70" i="2" s="1"/>
  <c r="GL70" i="2"/>
  <c r="GM70" i="2" s="1"/>
  <c r="GH70" i="2"/>
  <c r="GG70" i="2"/>
  <c r="GI70" i="2" s="1"/>
  <c r="GD70" i="2"/>
  <c r="GC70" i="2"/>
  <c r="GB70" i="2"/>
  <c r="FY70" i="2"/>
  <c r="GA70" i="2" s="1"/>
  <c r="FS70" i="2"/>
  <c r="FT70" i="2" s="1"/>
  <c r="EW70" i="2"/>
  <c r="ET70" i="2"/>
  <c r="EU70" i="2" s="1"/>
  <c r="EQ70" i="2"/>
  <c r="ER70" i="2" s="1"/>
  <c r="EJ70" i="2"/>
  <c r="EE70" i="2"/>
  <c r="EF70" i="2" s="1"/>
  <c r="DX70" i="2"/>
  <c r="DP70" i="2"/>
  <c r="DF70" i="2"/>
  <c r="DG70" i="2" s="1"/>
  <c r="DE70" i="2"/>
  <c r="CY70" i="2"/>
  <c r="CZ70" i="2" s="1"/>
  <c r="CF70" i="2"/>
  <c r="CH70" i="2"/>
  <c r="CA70" i="2"/>
  <c r="DA70" i="2"/>
  <c r="DB70" i="2" s="1"/>
  <c r="BO70" i="2"/>
  <c r="BJ70" i="2"/>
  <c r="BM70" i="2" s="1"/>
  <c r="BN70" i="2" s="1"/>
  <c r="BC70" i="2"/>
  <c r="AZ70" i="2"/>
  <c r="AY70" i="2"/>
  <c r="AO70" i="2"/>
  <c r="AN70" i="2"/>
  <c r="AM70" i="2"/>
  <c r="AL70" i="2"/>
  <c r="AK70" i="2"/>
  <c r="AG70" i="2"/>
  <c r="AE70" i="2"/>
  <c r="AF70" i="2" s="1"/>
  <c r="U70" i="2"/>
  <c r="S70" i="2"/>
  <c r="T70" i="2" s="1"/>
  <c r="R70" i="2"/>
  <c r="Y70" i="2" s="1"/>
  <c r="AB70" i="2" s="1"/>
  <c r="E70" i="2"/>
  <c r="GR69" i="2"/>
  <c r="GS69" i="2" s="1"/>
  <c r="GP69" i="2"/>
  <c r="GQ69" i="2" s="1"/>
  <c r="DU69" i="2" s="1"/>
  <c r="GN69" i="2"/>
  <c r="GO69" i="2" s="1"/>
  <c r="GL69" i="2"/>
  <c r="GM69" i="2" s="1"/>
  <c r="GH69" i="2"/>
  <c r="GG69" i="2"/>
  <c r="GI69" i="2" s="1"/>
  <c r="GD69" i="2"/>
  <c r="GC69" i="2"/>
  <c r="GB69" i="2"/>
  <c r="FY69" i="2"/>
  <c r="GA69" i="2" s="1"/>
  <c r="FS69" i="2"/>
  <c r="FT69" i="2" s="1"/>
  <c r="EW69" i="2"/>
  <c r="ET69" i="2"/>
  <c r="EU69" i="2" s="1"/>
  <c r="EQ69" i="2"/>
  <c r="ER69" i="2" s="1"/>
  <c r="EJ69" i="2"/>
  <c r="EE69" i="2"/>
  <c r="EF69" i="2" s="1"/>
  <c r="DX69" i="2"/>
  <c r="DP69" i="2"/>
  <c r="DF69" i="2"/>
  <c r="DG69" i="2" s="1"/>
  <c r="DE69" i="2"/>
  <c r="CY69" i="2"/>
  <c r="CZ69" i="2" s="1"/>
  <c r="CF69" i="2"/>
  <c r="CH69" i="2"/>
  <c r="CA69" i="2"/>
  <c r="CR69" i="2"/>
  <c r="BO69" i="2"/>
  <c r="BJ69" i="2"/>
  <c r="BM69" i="2" s="1"/>
  <c r="BN69" i="2" s="1"/>
  <c r="BC69" i="2"/>
  <c r="AZ69" i="2"/>
  <c r="AY69" i="2"/>
  <c r="AO69" i="2"/>
  <c r="AN69" i="2"/>
  <c r="AM69" i="2"/>
  <c r="AL69" i="2"/>
  <c r="AK69" i="2"/>
  <c r="AG69" i="2"/>
  <c r="AE69" i="2"/>
  <c r="AF69" i="2" s="1"/>
  <c r="U69" i="2"/>
  <c r="S69" i="2"/>
  <c r="T69" i="2" s="1"/>
  <c r="R69" i="2"/>
  <c r="Y69" i="2" s="1"/>
  <c r="AB69" i="2" s="1"/>
  <c r="E69" i="2"/>
  <c r="GR68" i="2"/>
  <c r="GS68" i="2" s="1"/>
  <c r="GP68" i="2"/>
  <c r="GQ68" i="2" s="1"/>
  <c r="GN68" i="2"/>
  <c r="GO68" i="2" s="1"/>
  <c r="GL68" i="2"/>
  <c r="GM68" i="2" s="1"/>
  <c r="GH68" i="2"/>
  <c r="GG68" i="2"/>
  <c r="GI68" i="2" s="1"/>
  <c r="GD68" i="2"/>
  <c r="GC68" i="2"/>
  <c r="GB68" i="2"/>
  <c r="FY68" i="2"/>
  <c r="GA68" i="2" s="1"/>
  <c r="FS68" i="2"/>
  <c r="FT68" i="2" s="1"/>
  <c r="EW68" i="2"/>
  <c r="ET68" i="2"/>
  <c r="EU68" i="2" s="1"/>
  <c r="EQ68" i="2"/>
  <c r="ER68" i="2" s="1"/>
  <c r="EJ68" i="2"/>
  <c r="EE68" i="2"/>
  <c r="EF68" i="2" s="1"/>
  <c r="DX68" i="2"/>
  <c r="DP68" i="2"/>
  <c r="DF68" i="2"/>
  <c r="DG68" i="2" s="1"/>
  <c r="DE68" i="2"/>
  <c r="CY68" i="2"/>
  <c r="CZ68" i="2" s="1"/>
  <c r="CF68" i="2"/>
  <c r="CH68" i="2"/>
  <c r="CA68" i="2"/>
  <c r="DA68" i="2"/>
  <c r="DB68" i="2" s="1"/>
  <c r="BO68" i="2"/>
  <c r="BJ68" i="2"/>
  <c r="BM68" i="2" s="1"/>
  <c r="BN68" i="2" s="1"/>
  <c r="BC68" i="2"/>
  <c r="AZ68" i="2"/>
  <c r="AY68" i="2"/>
  <c r="AO68" i="2"/>
  <c r="AN68" i="2"/>
  <c r="AM68" i="2"/>
  <c r="AL68" i="2"/>
  <c r="AK68" i="2"/>
  <c r="AG68" i="2"/>
  <c r="AE68" i="2"/>
  <c r="AF68" i="2" s="1"/>
  <c r="U68" i="2"/>
  <c r="S68" i="2"/>
  <c r="T68" i="2" s="1"/>
  <c r="R68" i="2"/>
  <c r="Y68" i="2" s="1"/>
  <c r="AB68" i="2" s="1"/>
  <c r="E68" i="2"/>
  <c r="GR67" i="2"/>
  <c r="GS67" i="2" s="1"/>
  <c r="GP67" i="2"/>
  <c r="GQ67" i="2" s="1"/>
  <c r="DU67" i="2" s="1"/>
  <c r="GN67" i="2"/>
  <c r="GO67" i="2" s="1"/>
  <c r="GL67" i="2"/>
  <c r="GM67" i="2" s="1"/>
  <c r="GH67" i="2"/>
  <c r="GG67" i="2"/>
  <c r="GI67" i="2" s="1"/>
  <c r="GD67" i="2"/>
  <c r="GC67" i="2"/>
  <c r="GB67" i="2"/>
  <c r="FY67" i="2"/>
  <c r="GA67" i="2" s="1"/>
  <c r="FS67" i="2"/>
  <c r="FT67" i="2" s="1"/>
  <c r="EW67" i="2"/>
  <c r="ET67" i="2"/>
  <c r="EU67" i="2" s="1"/>
  <c r="EQ67" i="2"/>
  <c r="ER67" i="2" s="1"/>
  <c r="EJ67" i="2"/>
  <c r="DX67" i="2"/>
  <c r="DP67" i="2"/>
  <c r="DF67" i="2"/>
  <c r="DG67" i="2" s="1"/>
  <c r="DE67" i="2"/>
  <c r="CY67" i="2"/>
  <c r="CZ67" i="2" s="1"/>
  <c r="CF67" i="2"/>
  <c r="CH67" i="2"/>
  <c r="CA67" i="2"/>
  <c r="BO67" i="2"/>
  <c r="BJ67" i="2"/>
  <c r="BM67" i="2" s="1"/>
  <c r="BN67" i="2" s="1"/>
  <c r="BC67" i="2"/>
  <c r="AZ67" i="2"/>
  <c r="AY67" i="2"/>
  <c r="AO67" i="2"/>
  <c r="AN67" i="2"/>
  <c r="AM67" i="2"/>
  <c r="AL67" i="2"/>
  <c r="AK67" i="2"/>
  <c r="AG67" i="2"/>
  <c r="AE67" i="2"/>
  <c r="AF67" i="2" s="1"/>
  <c r="U67" i="2"/>
  <c r="S67" i="2"/>
  <c r="T67" i="2" s="1"/>
  <c r="R67" i="2"/>
  <c r="Y67" i="2" s="1"/>
  <c r="AB67" i="2" s="1"/>
  <c r="E67" i="2"/>
  <c r="GR66" i="2"/>
  <c r="GS66" i="2" s="1"/>
  <c r="GP66" i="2"/>
  <c r="GQ66" i="2" s="1"/>
  <c r="DU66" i="2" s="1"/>
  <c r="GN66" i="2"/>
  <c r="GO66" i="2" s="1"/>
  <c r="GL66" i="2"/>
  <c r="GM66" i="2" s="1"/>
  <c r="GH66" i="2"/>
  <c r="GG66" i="2"/>
  <c r="GI66" i="2" s="1"/>
  <c r="GD66" i="2"/>
  <c r="GC66" i="2"/>
  <c r="GB66" i="2"/>
  <c r="FY66" i="2"/>
  <c r="GA66" i="2" s="1"/>
  <c r="FS66" i="2"/>
  <c r="FT66" i="2" s="1"/>
  <c r="EW66" i="2"/>
  <c r="ET66" i="2"/>
  <c r="EU66" i="2" s="1"/>
  <c r="EQ66" i="2"/>
  <c r="ER66" i="2" s="1"/>
  <c r="EJ66" i="2"/>
  <c r="EE66" i="2"/>
  <c r="EF66" i="2" s="1"/>
  <c r="DX66" i="2"/>
  <c r="DP66" i="2"/>
  <c r="DF66" i="2"/>
  <c r="DG66" i="2" s="1"/>
  <c r="DE66" i="2"/>
  <c r="CY66" i="2"/>
  <c r="CZ66" i="2" s="1"/>
  <c r="CF66" i="2"/>
  <c r="CH66" i="2"/>
  <c r="CA66" i="2"/>
  <c r="DA66" i="2"/>
  <c r="DB66" i="2" s="1"/>
  <c r="BO66" i="2"/>
  <c r="BJ66" i="2"/>
  <c r="BM66" i="2" s="1"/>
  <c r="BN66" i="2" s="1"/>
  <c r="BC66" i="2"/>
  <c r="AZ66" i="2"/>
  <c r="AY66" i="2"/>
  <c r="AO66" i="2"/>
  <c r="AN66" i="2"/>
  <c r="AM66" i="2"/>
  <c r="AL66" i="2"/>
  <c r="AK66" i="2"/>
  <c r="AG66" i="2"/>
  <c r="AE66" i="2"/>
  <c r="AF66" i="2" s="1"/>
  <c r="U66" i="2"/>
  <c r="S66" i="2"/>
  <c r="T66" i="2" s="1"/>
  <c r="R66" i="2"/>
  <c r="Y66" i="2" s="1"/>
  <c r="AB66" i="2" s="1"/>
  <c r="E66" i="2"/>
  <c r="GR65" i="2"/>
  <c r="GS65" i="2" s="1"/>
  <c r="GP65" i="2"/>
  <c r="GQ65" i="2" s="1"/>
  <c r="DU65" i="2" s="1"/>
  <c r="EG65" i="2" s="1"/>
  <c r="GN65" i="2"/>
  <c r="GO65" i="2" s="1"/>
  <c r="GL65" i="2"/>
  <c r="GM65" i="2" s="1"/>
  <c r="GH65" i="2"/>
  <c r="GG65" i="2"/>
  <c r="GI65" i="2" s="1"/>
  <c r="GD65" i="2"/>
  <c r="GC65" i="2"/>
  <c r="GB65" i="2"/>
  <c r="FY65" i="2"/>
  <c r="GA65" i="2" s="1"/>
  <c r="FS65" i="2"/>
  <c r="FT65" i="2" s="1"/>
  <c r="EW65" i="2"/>
  <c r="ET65" i="2"/>
  <c r="EU65" i="2" s="1"/>
  <c r="EQ65" i="2"/>
  <c r="ER65" i="2" s="1"/>
  <c r="EJ65" i="2"/>
  <c r="EE65" i="2"/>
  <c r="EF65" i="2" s="1"/>
  <c r="DX65" i="2"/>
  <c r="DP65" i="2"/>
  <c r="DF65" i="2"/>
  <c r="DG65" i="2" s="1"/>
  <c r="DE65" i="2"/>
  <c r="CY65" i="2"/>
  <c r="CZ65" i="2" s="1"/>
  <c r="CF65" i="2"/>
  <c r="CA65" i="2"/>
  <c r="DA65" i="2"/>
  <c r="DB65" i="2" s="1"/>
  <c r="BO65" i="2"/>
  <c r="BJ65" i="2"/>
  <c r="BM65" i="2" s="1"/>
  <c r="BN65" i="2" s="1"/>
  <c r="BC65" i="2"/>
  <c r="AZ65" i="2"/>
  <c r="AY65" i="2"/>
  <c r="AO65" i="2"/>
  <c r="AN65" i="2"/>
  <c r="AM65" i="2"/>
  <c r="AL65" i="2"/>
  <c r="AK65" i="2"/>
  <c r="AG65" i="2"/>
  <c r="AE65" i="2"/>
  <c r="AF65" i="2" s="1"/>
  <c r="U65" i="2"/>
  <c r="S65" i="2"/>
  <c r="T65" i="2" s="1"/>
  <c r="R65" i="2"/>
  <c r="Y65" i="2" s="1"/>
  <c r="E65" i="2"/>
  <c r="GP161" i="2"/>
  <c r="GQ161" i="2" s="1"/>
  <c r="GN161" i="2"/>
  <c r="GO161" i="2" s="1"/>
  <c r="GL161" i="2"/>
  <c r="GM161" i="2" s="1"/>
  <c r="GG161" i="2"/>
  <c r="GI161" i="2" s="1"/>
  <c r="GD161" i="2"/>
  <c r="GC161" i="2"/>
  <c r="GB161" i="2"/>
  <c r="FY161" i="2"/>
  <c r="FS161" i="2"/>
  <c r="FT161" i="2" s="1"/>
  <c r="EW161" i="2"/>
  <c r="ET161" i="2"/>
  <c r="EU161" i="2" s="1"/>
  <c r="EQ161" i="2"/>
  <c r="ER161" i="2" s="1"/>
  <c r="EJ161" i="2"/>
  <c r="EE161" i="2"/>
  <c r="EF161" i="2" s="1"/>
  <c r="DP161" i="2"/>
  <c r="DF161" i="2"/>
  <c r="DH161" i="2" s="1"/>
  <c r="DE161" i="2"/>
  <c r="CY161" i="2"/>
  <c r="CZ161" i="2" s="1"/>
  <c r="CF161" i="2"/>
  <c r="CH161" i="2"/>
  <c r="CA161" i="2"/>
  <c r="BO161" i="2"/>
  <c r="BJ161" i="2"/>
  <c r="BM161" i="2" s="1"/>
  <c r="BN161" i="2" s="1"/>
  <c r="BC161" i="2"/>
  <c r="AZ161" i="2"/>
  <c r="AY161" i="2"/>
  <c r="AO161" i="2"/>
  <c r="AM161" i="2"/>
  <c r="AL161" i="2" s="1"/>
  <c r="AI161" i="2"/>
  <c r="AK161" i="2" s="1"/>
  <c r="AG161" i="2"/>
  <c r="AE161" i="2"/>
  <c r="AF161" i="2" s="1"/>
  <c r="S161" i="2"/>
  <c r="T161" i="2" s="1"/>
  <c r="U161" i="2" s="1"/>
  <c r="R161" i="2"/>
  <c r="E161" i="2"/>
  <c r="GR63" i="2"/>
  <c r="GS63" i="2" s="1"/>
  <c r="GP63" i="2"/>
  <c r="GQ63" i="2" s="1"/>
  <c r="DU63" i="2" s="1"/>
  <c r="EG63" i="2" s="1"/>
  <c r="GN63" i="2"/>
  <c r="GO63" i="2" s="1"/>
  <c r="GL63" i="2"/>
  <c r="GM63" i="2" s="1"/>
  <c r="GH63" i="2"/>
  <c r="GG63" i="2"/>
  <c r="GI63" i="2" s="1"/>
  <c r="GD63" i="2"/>
  <c r="GC63" i="2"/>
  <c r="GB63" i="2"/>
  <c r="FY63" i="2"/>
  <c r="FZ63" i="2" s="1"/>
  <c r="FS63" i="2"/>
  <c r="FT63" i="2" s="1"/>
  <c r="EW63" i="2"/>
  <c r="ET63" i="2"/>
  <c r="EU63" i="2" s="1"/>
  <c r="EQ63" i="2"/>
  <c r="ER63" i="2" s="1"/>
  <c r="EJ63" i="2"/>
  <c r="EE63" i="2"/>
  <c r="EF63" i="2" s="1"/>
  <c r="DX63" i="2"/>
  <c r="DP63" i="2"/>
  <c r="DF63" i="2"/>
  <c r="DH63" i="2" s="1"/>
  <c r="DE63" i="2"/>
  <c r="CY63" i="2"/>
  <c r="CZ63" i="2" s="1"/>
  <c r="CF63" i="2"/>
  <c r="CH63" i="2"/>
  <c r="CA63" i="2"/>
  <c r="BO63" i="2"/>
  <c r="BJ63" i="2"/>
  <c r="BM63" i="2" s="1"/>
  <c r="BN63" i="2" s="1"/>
  <c r="BC63" i="2"/>
  <c r="AZ63" i="2"/>
  <c r="AY63" i="2"/>
  <c r="AO63" i="2"/>
  <c r="AN63" i="2"/>
  <c r="AM63" i="2"/>
  <c r="AL63" i="2"/>
  <c r="AK63" i="2"/>
  <c r="AG63" i="2"/>
  <c r="AE63" i="2"/>
  <c r="AF63" i="2" s="1"/>
  <c r="U63" i="2"/>
  <c r="S63" i="2"/>
  <c r="T63" i="2" s="1"/>
  <c r="R63" i="2"/>
  <c r="X63" i="2" s="1"/>
  <c r="AA63" i="2" s="1"/>
  <c r="E63" i="2"/>
  <c r="GR62" i="2"/>
  <c r="GS62" i="2" s="1"/>
  <c r="GP62" i="2"/>
  <c r="GQ62" i="2" s="1"/>
  <c r="DU62" i="2" s="1"/>
  <c r="GN62" i="2"/>
  <c r="GO62" i="2" s="1"/>
  <c r="GL62" i="2"/>
  <c r="GM62" i="2" s="1"/>
  <c r="GH62" i="2"/>
  <c r="GG62" i="2"/>
  <c r="GI62" i="2" s="1"/>
  <c r="GD62" i="2"/>
  <c r="GC62" i="2"/>
  <c r="GB62" i="2"/>
  <c r="FY62" i="2"/>
  <c r="FZ62" i="2" s="1"/>
  <c r="FS62" i="2"/>
  <c r="FT62" i="2" s="1"/>
  <c r="EW62" i="2"/>
  <c r="ET62" i="2"/>
  <c r="EU62" i="2" s="1"/>
  <c r="EQ62" i="2"/>
  <c r="ER62" i="2" s="1"/>
  <c r="EJ62" i="2"/>
  <c r="EE62" i="2"/>
  <c r="EF62" i="2" s="1"/>
  <c r="DX62" i="2"/>
  <c r="DP62" i="2"/>
  <c r="DF62" i="2"/>
  <c r="DH62" i="2" s="1"/>
  <c r="DE62" i="2"/>
  <c r="CY62" i="2"/>
  <c r="CZ62" i="2" s="1"/>
  <c r="CF62" i="2"/>
  <c r="CH62" i="2"/>
  <c r="CA62" i="2"/>
  <c r="BO62" i="2"/>
  <c r="BJ62" i="2"/>
  <c r="BM62" i="2" s="1"/>
  <c r="BN62" i="2" s="1"/>
  <c r="BC62" i="2"/>
  <c r="AZ62" i="2"/>
  <c r="AY62" i="2"/>
  <c r="AO62" i="2"/>
  <c r="AN62" i="2"/>
  <c r="AM62" i="2"/>
  <c r="AL62" i="2"/>
  <c r="AK62" i="2"/>
  <c r="AG62" i="2"/>
  <c r="AE62" i="2"/>
  <c r="AF62" i="2" s="1"/>
  <c r="U62" i="2"/>
  <c r="S62" i="2"/>
  <c r="T62" i="2" s="1"/>
  <c r="R62" i="2"/>
  <c r="X62" i="2" s="1"/>
  <c r="AA62" i="2" s="1"/>
  <c r="E62" i="2"/>
  <c r="GR61" i="2"/>
  <c r="GS61" i="2" s="1"/>
  <c r="GP61" i="2"/>
  <c r="GQ61" i="2" s="1"/>
  <c r="DU61" i="2" s="1"/>
  <c r="EG61" i="2" s="1"/>
  <c r="GN61" i="2"/>
  <c r="GO61" i="2" s="1"/>
  <c r="GL61" i="2"/>
  <c r="GM61" i="2" s="1"/>
  <c r="GH61" i="2"/>
  <c r="GG61" i="2"/>
  <c r="GI61" i="2" s="1"/>
  <c r="GD61" i="2"/>
  <c r="GC61" i="2"/>
  <c r="GB61" i="2"/>
  <c r="FY61" i="2"/>
  <c r="FZ61" i="2" s="1"/>
  <c r="FS61" i="2"/>
  <c r="FT61" i="2" s="1"/>
  <c r="EW61" i="2"/>
  <c r="ET61" i="2"/>
  <c r="EU61" i="2" s="1"/>
  <c r="EQ61" i="2"/>
  <c r="ER61" i="2" s="1"/>
  <c r="EJ61" i="2"/>
  <c r="EE61" i="2"/>
  <c r="EF61" i="2" s="1"/>
  <c r="DX61" i="2"/>
  <c r="DP61" i="2"/>
  <c r="DF61" i="2"/>
  <c r="DH61" i="2" s="1"/>
  <c r="DE61" i="2"/>
  <c r="CY61" i="2"/>
  <c r="CZ61" i="2" s="1"/>
  <c r="CF61" i="2"/>
  <c r="CH61" i="2"/>
  <c r="CA61" i="2"/>
  <c r="BO61" i="2"/>
  <c r="BJ61" i="2"/>
  <c r="BM61" i="2" s="1"/>
  <c r="BN61" i="2" s="1"/>
  <c r="BC61" i="2"/>
  <c r="AZ61" i="2"/>
  <c r="AY61" i="2"/>
  <c r="AO61" i="2"/>
  <c r="AN61" i="2"/>
  <c r="AM61" i="2"/>
  <c r="AL61" i="2"/>
  <c r="AK61" i="2"/>
  <c r="AG61" i="2"/>
  <c r="AE61" i="2"/>
  <c r="AF61" i="2" s="1"/>
  <c r="U61" i="2"/>
  <c r="S61" i="2"/>
  <c r="T61" i="2" s="1"/>
  <c r="R61" i="2"/>
  <c r="E61" i="2"/>
  <c r="GR60" i="2"/>
  <c r="GS60" i="2" s="1"/>
  <c r="GP60" i="2"/>
  <c r="GQ60" i="2" s="1"/>
  <c r="DU60" i="2" s="1"/>
  <c r="GN60" i="2"/>
  <c r="GO60" i="2" s="1"/>
  <c r="GL60" i="2"/>
  <c r="GM60" i="2" s="1"/>
  <c r="GH60" i="2"/>
  <c r="GG60" i="2"/>
  <c r="GI60" i="2" s="1"/>
  <c r="GD60" i="2"/>
  <c r="GC60" i="2"/>
  <c r="GB60" i="2"/>
  <c r="FY60" i="2"/>
  <c r="FZ60" i="2" s="1"/>
  <c r="FS60" i="2"/>
  <c r="FT60" i="2" s="1"/>
  <c r="EW60" i="2"/>
  <c r="ET60" i="2"/>
  <c r="EU60" i="2" s="1"/>
  <c r="EQ60" i="2"/>
  <c r="ER60" i="2" s="1"/>
  <c r="EJ60" i="2"/>
  <c r="EE60" i="2"/>
  <c r="EF60" i="2" s="1"/>
  <c r="DX60" i="2"/>
  <c r="DP60" i="2"/>
  <c r="DF60" i="2"/>
  <c r="DG60" i="2" s="1"/>
  <c r="DE60" i="2"/>
  <c r="CY60" i="2"/>
  <c r="CZ60" i="2" s="1"/>
  <c r="CF60" i="2"/>
  <c r="CH60" i="2"/>
  <c r="CA60" i="2"/>
  <c r="BO60" i="2"/>
  <c r="BJ60" i="2"/>
  <c r="BM60" i="2" s="1"/>
  <c r="BN60" i="2" s="1"/>
  <c r="BC60" i="2"/>
  <c r="AZ60" i="2"/>
  <c r="AY60" i="2"/>
  <c r="AO60" i="2"/>
  <c r="AN60" i="2"/>
  <c r="AM60" i="2"/>
  <c r="AL60" i="2"/>
  <c r="AK60" i="2"/>
  <c r="AG60" i="2"/>
  <c r="AE60" i="2"/>
  <c r="AF60" i="2" s="1"/>
  <c r="U60" i="2"/>
  <c r="S60" i="2"/>
  <c r="T60" i="2" s="1"/>
  <c r="R60" i="2"/>
  <c r="X60" i="2" s="1"/>
  <c r="AA60" i="2" s="1"/>
  <c r="E60" i="2"/>
  <c r="GR59" i="2"/>
  <c r="GS59" i="2" s="1"/>
  <c r="GP59" i="2"/>
  <c r="GQ59" i="2" s="1"/>
  <c r="GN59" i="2"/>
  <c r="GO59" i="2" s="1"/>
  <c r="GL59" i="2"/>
  <c r="GM59" i="2" s="1"/>
  <c r="GH59" i="2"/>
  <c r="GG59" i="2"/>
  <c r="GI59" i="2" s="1"/>
  <c r="GD59" i="2"/>
  <c r="GC59" i="2"/>
  <c r="GB59" i="2"/>
  <c r="FY59" i="2"/>
  <c r="FZ59" i="2" s="1"/>
  <c r="FS59" i="2"/>
  <c r="FT59" i="2" s="1"/>
  <c r="EW59" i="2"/>
  <c r="ET59" i="2"/>
  <c r="EU59" i="2" s="1"/>
  <c r="EQ59" i="2"/>
  <c r="ER59" i="2" s="1"/>
  <c r="EJ59" i="2"/>
  <c r="EE59" i="2"/>
  <c r="EF59" i="2" s="1"/>
  <c r="DX59" i="2"/>
  <c r="DP59" i="2"/>
  <c r="DF59" i="2"/>
  <c r="DH59" i="2" s="1"/>
  <c r="DE59" i="2"/>
  <c r="CY59" i="2"/>
  <c r="CZ59" i="2" s="1"/>
  <c r="CF59" i="2"/>
  <c r="CH59" i="2"/>
  <c r="CA59" i="2"/>
  <c r="BO59" i="2"/>
  <c r="BJ59" i="2"/>
  <c r="BM59" i="2" s="1"/>
  <c r="BN59" i="2" s="1"/>
  <c r="BC59" i="2"/>
  <c r="AZ59" i="2"/>
  <c r="AY59" i="2"/>
  <c r="AO59" i="2"/>
  <c r="AN59" i="2"/>
  <c r="AM59" i="2"/>
  <c r="AL59" i="2"/>
  <c r="AK59" i="2"/>
  <c r="AG59" i="2"/>
  <c r="AE59" i="2"/>
  <c r="AF59" i="2" s="1"/>
  <c r="U59" i="2"/>
  <c r="S59" i="2"/>
  <c r="T59" i="2" s="1"/>
  <c r="R59" i="2"/>
  <c r="X59" i="2" s="1"/>
  <c r="AA59" i="2" s="1"/>
  <c r="E59" i="2"/>
  <c r="GR58" i="2"/>
  <c r="GS58" i="2" s="1"/>
  <c r="GP58" i="2"/>
  <c r="GQ58" i="2" s="1"/>
  <c r="DO58" i="2" s="1"/>
  <c r="EC58" i="2" s="1"/>
  <c r="GN58" i="2"/>
  <c r="GO58" i="2" s="1"/>
  <c r="GL58" i="2"/>
  <c r="GM58" i="2" s="1"/>
  <c r="GH58" i="2"/>
  <c r="GG58" i="2"/>
  <c r="GI58" i="2" s="1"/>
  <c r="GD58" i="2"/>
  <c r="GC58" i="2"/>
  <c r="GB58" i="2"/>
  <c r="FY58" i="2"/>
  <c r="FZ58" i="2" s="1"/>
  <c r="FS58" i="2"/>
  <c r="FT58" i="2" s="1"/>
  <c r="EW58" i="2"/>
  <c r="ET58" i="2"/>
  <c r="EU58" i="2" s="1"/>
  <c r="EQ58" i="2"/>
  <c r="ER58" i="2" s="1"/>
  <c r="EJ58" i="2"/>
  <c r="EE58" i="2"/>
  <c r="EF58" i="2" s="1"/>
  <c r="DX58" i="2"/>
  <c r="DP58" i="2"/>
  <c r="DF58" i="2"/>
  <c r="DH58" i="2" s="1"/>
  <c r="DE58" i="2"/>
  <c r="CY58" i="2"/>
  <c r="CZ58" i="2" s="1"/>
  <c r="CF58" i="2"/>
  <c r="CH58" i="2"/>
  <c r="CA58" i="2"/>
  <c r="BO58" i="2"/>
  <c r="BJ58" i="2"/>
  <c r="BM58" i="2" s="1"/>
  <c r="BN58" i="2" s="1"/>
  <c r="BC58" i="2"/>
  <c r="AZ58" i="2"/>
  <c r="AY58" i="2"/>
  <c r="AO58" i="2"/>
  <c r="AN58" i="2"/>
  <c r="AM58" i="2"/>
  <c r="AL58" i="2"/>
  <c r="AK58" i="2"/>
  <c r="AG58" i="2"/>
  <c r="AE58" i="2"/>
  <c r="AF58" i="2" s="1"/>
  <c r="U58" i="2"/>
  <c r="S58" i="2"/>
  <c r="T58" i="2" s="1"/>
  <c r="R58" i="2"/>
  <c r="X58" i="2" s="1"/>
  <c r="AA58" i="2" s="1"/>
  <c r="E58" i="2"/>
  <c r="GR57" i="2"/>
  <c r="GS57" i="2" s="1"/>
  <c r="GP57" i="2"/>
  <c r="GQ57" i="2" s="1"/>
  <c r="GN57" i="2"/>
  <c r="GO57" i="2" s="1"/>
  <c r="GL57" i="2"/>
  <c r="GM57" i="2" s="1"/>
  <c r="GH57" i="2"/>
  <c r="GG57" i="2"/>
  <c r="GI57" i="2" s="1"/>
  <c r="GD57" i="2"/>
  <c r="GC57" i="2"/>
  <c r="GB57" i="2"/>
  <c r="FY57" i="2"/>
  <c r="FZ57" i="2" s="1"/>
  <c r="FS57" i="2"/>
  <c r="FT57" i="2" s="1"/>
  <c r="EW57" i="2"/>
  <c r="ET57" i="2"/>
  <c r="EU57" i="2" s="1"/>
  <c r="EQ57" i="2"/>
  <c r="ER57" i="2" s="1"/>
  <c r="EJ57" i="2"/>
  <c r="EE57" i="2"/>
  <c r="EF57" i="2" s="1"/>
  <c r="DP57" i="2"/>
  <c r="DF57" i="2"/>
  <c r="DE57" i="2"/>
  <c r="CY57" i="2"/>
  <c r="CZ57" i="2" s="1"/>
  <c r="CF57" i="2"/>
  <c r="CH57" i="2"/>
  <c r="CA57" i="2"/>
  <c r="CW57" i="2"/>
  <c r="BO57" i="2"/>
  <c r="BJ57" i="2"/>
  <c r="BK57" i="2" s="1"/>
  <c r="CL57" i="2" s="1"/>
  <c r="BC57" i="2"/>
  <c r="AZ57" i="2"/>
  <c r="AY57" i="2"/>
  <c r="AO57" i="2"/>
  <c r="AN57" i="2"/>
  <c r="AM57" i="2"/>
  <c r="AL57" i="2"/>
  <c r="AK57" i="2"/>
  <c r="AG57" i="2"/>
  <c r="AE57" i="2"/>
  <c r="AF57" i="2" s="1"/>
  <c r="U57" i="2"/>
  <c r="S57" i="2"/>
  <c r="R57" i="2"/>
  <c r="X57" i="2" s="1"/>
  <c r="E57" i="2"/>
  <c r="GR56" i="2"/>
  <c r="GS56" i="2" s="1"/>
  <c r="GP56" i="2"/>
  <c r="GQ56" i="2" s="1"/>
  <c r="GN56" i="2"/>
  <c r="GO56" i="2" s="1"/>
  <c r="GL56" i="2"/>
  <c r="GM56" i="2" s="1"/>
  <c r="GH56" i="2"/>
  <c r="GG56" i="2"/>
  <c r="GI56" i="2" s="1"/>
  <c r="GD56" i="2"/>
  <c r="GC56" i="2"/>
  <c r="GB56" i="2"/>
  <c r="FY56" i="2"/>
  <c r="GA56" i="2" s="1"/>
  <c r="FS56" i="2"/>
  <c r="FT56" i="2" s="1"/>
  <c r="EW56" i="2"/>
  <c r="ET56" i="2"/>
  <c r="EU56" i="2" s="1"/>
  <c r="EQ56" i="2"/>
  <c r="ER56" i="2" s="1"/>
  <c r="EJ56" i="2"/>
  <c r="EE56" i="2"/>
  <c r="EF56" i="2" s="1"/>
  <c r="DX56" i="2"/>
  <c r="DP56" i="2"/>
  <c r="DF56" i="2"/>
  <c r="DH56" i="2" s="1"/>
  <c r="DE56" i="2"/>
  <c r="CY56" i="2"/>
  <c r="CZ56" i="2" s="1"/>
  <c r="CF56" i="2"/>
  <c r="CH56" i="2"/>
  <c r="CA56" i="2"/>
  <c r="BO56" i="2"/>
  <c r="BJ56" i="2"/>
  <c r="BK56" i="2" s="1"/>
  <c r="CL56" i="2" s="1"/>
  <c r="BC56" i="2"/>
  <c r="AZ56" i="2"/>
  <c r="AY56" i="2"/>
  <c r="AO56" i="2"/>
  <c r="AN56" i="2"/>
  <c r="AM56" i="2"/>
  <c r="AL56" i="2"/>
  <c r="AK56" i="2"/>
  <c r="AG56" i="2"/>
  <c r="AE56" i="2"/>
  <c r="AF56" i="2" s="1"/>
  <c r="U56" i="2"/>
  <c r="S56" i="2"/>
  <c r="T56" i="2" s="1"/>
  <c r="R56" i="2"/>
  <c r="Y56" i="2" s="1"/>
  <c r="AB56" i="2" s="1"/>
  <c r="E56" i="2"/>
  <c r="GR55" i="2"/>
  <c r="GS55" i="2" s="1"/>
  <c r="GP55" i="2"/>
  <c r="GQ55" i="2" s="1"/>
  <c r="GN55" i="2"/>
  <c r="GO55" i="2" s="1"/>
  <c r="GL55" i="2"/>
  <c r="GM55" i="2" s="1"/>
  <c r="GH55" i="2"/>
  <c r="GG55" i="2"/>
  <c r="GI55" i="2" s="1"/>
  <c r="GD55" i="2"/>
  <c r="GC55" i="2"/>
  <c r="GB55" i="2"/>
  <c r="FY55" i="2"/>
  <c r="GA55" i="2" s="1"/>
  <c r="FS55" i="2"/>
  <c r="FT55" i="2" s="1"/>
  <c r="EW55" i="2"/>
  <c r="ET55" i="2"/>
  <c r="EU55" i="2" s="1"/>
  <c r="EQ55" i="2"/>
  <c r="ER55" i="2" s="1"/>
  <c r="EJ55" i="2"/>
  <c r="EE55" i="2"/>
  <c r="EF55" i="2" s="1"/>
  <c r="DX55" i="2"/>
  <c r="DP55" i="2"/>
  <c r="DF55" i="2"/>
  <c r="DH55" i="2" s="1"/>
  <c r="DE55" i="2"/>
  <c r="CY55" i="2"/>
  <c r="CZ55" i="2" s="1"/>
  <c r="CF55" i="2"/>
  <c r="CH55" i="2"/>
  <c r="CA55" i="2"/>
  <c r="BO55" i="2"/>
  <c r="BJ55" i="2"/>
  <c r="BK55" i="2" s="1"/>
  <c r="CL55" i="2" s="1"/>
  <c r="BC55" i="2"/>
  <c r="AZ55" i="2"/>
  <c r="AY55" i="2"/>
  <c r="AO55" i="2"/>
  <c r="AN55" i="2"/>
  <c r="AM55" i="2"/>
  <c r="AL55" i="2"/>
  <c r="AK55" i="2"/>
  <c r="AG55" i="2"/>
  <c r="AE55" i="2"/>
  <c r="AF55" i="2" s="1"/>
  <c r="U55" i="2"/>
  <c r="S55" i="2"/>
  <c r="T55" i="2" s="1"/>
  <c r="R55" i="2"/>
  <c r="X55" i="2" s="1"/>
  <c r="E55" i="2"/>
  <c r="GR54" i="2"/>
  <c r="GS54" i="2" s="1"/>
  <c r="GP54" i="2"/>
  <c r="GQ54" i="2" s="1"/>
  <c r="DU54" i="2" s="1"/>
  <c r="GN54" i="2"/>
  <c r="GO54" i="2" s="1"/>
  <c r="GL54" i="2"/>
  <c r="GM54" i="2" s="1"/>
  <c r="GH54" i="2"/>
  <c r="GG54" i="2"/>
  <c r="GI54" i="2" s="1"/>
  <c r="GD54" i="2"/>
  <c r="GC54" i="2"/>
  <c r="GB54" i="2"/>
  <c r="FY54" i="2"/>
  <c r="GA54" i="2" s="1"/>
  <c r="FS54" i="2"/>
  <c r="FT54" i="2" s="1"/>
  <c r="EW54" i="2"/>
  <c r="ET54" i="2"/>
  <c r="EU54" i="2" s="1"/>
  <c r="EQ54" i="2"/>
  <c r="ER54" i="2" s="1"/>
  <c r="EJ54" i="2"/>
  <c r="EE54" i="2"/>
  <c r="EF54" i="2" s="1"/>
  <c r="DX54" i="2"/>
  <c r="DP54" i="2"/>
  <c r="DF54" i="2"/>
  <c r="DH54" i="2" s="1"/>
  <c r="DE54" i="2"/>
  <c r="CY54" i="2"/>
  <c r="CZ54" i="2" s="1"/>
  <c r="CF54" i="2"/>
  <c r="CH54" i="2"/>
  <c r="CA54" i="2"/>
  <c r="BO54" i="2"/>
  <c r="BJ54" i="2"/>
  <c r="BK54" i="2" s="1"/>
  <c r="CL54" i="2" s="1"/>
  <c r="BC54" i="2"/>
  <c r="AZ54" i="2"/>
  <c r="AY54" i="2"/>
  <c r="AO54" i="2"/>
  <c r="AN54" i="2"/>
  <c r="AM54" i="2"/>
  <c r="AL54" i="2"/>
  <c r="AK54" i="2"/>
  <c r="AG54" i="2"/>
  <c r="AE54" i="2"/>
  <c r="AF54" i="2" s="1"/>
  <c r="U54" i="2"/>
  <c r="S54" i="2"/>
  <c r="R54" i="2"/>
  <c r="Y54" i="2" s="1"/>
  <c r="AB54" i="2" s="1"/>
  <c r="E54" i="2"/>
  <c r="GR53" i="2"/>
  <c r="GS53" i="2" s="1"/>
  <c r="GP53" i="2"/>
  <c r="GQ53" i="2" s="1"/>
  <c r="GN53" i="2"/>
  <c r="GO53" i="2" s="1"/>
  <c r="GL53" i="2"/>
  <c r="GM53" i="2" s="1"/>
  <c r="GH53" i="2"/>
  <c r="GG53" i="2"/>
  <c r="GI53" i="2" s="1"/>
  <c r="GD53" i="2"/>
  <c r="GC53" i="2"/>
  <c r="GB53" i="2"/>
  <c r="FY53" i="2"/>
  <c r="GA53" i="2" s="1"/>
  <c r="FS53" i="2"/>
  <c r="FT53" i="2" s="1"/>
  <c r="EW53" i="2"/>
  <c r="ET53" i="2"/>
  <c r="EU53" i="2" s="1"/>
  <c r="EQ53" i="2"/>
  <c r="ER53" i="2" s="1"/>
  <c r="EJ53" i="2"/>
  <c r="EE53" i="2"/>
  <c r="EF53" i="2" s="1"/>
  <c r="DX53" i="2"/>
  <c r="DP53" i="2"/>
  <c r="DF53" i="2"/>
  <c r="DH53" i="2" s="1"/>
  <c r="DE53" i="2"/>
  <c r="CY53" i="2"/>
  <c r="CZ53" i="2" s="1"/>
  <c r="CF53" i="2"/>
  <c r="CH53" i="2"/>
  <c r="CA53" i="2"/>
  <c r="DA53" i="2"/>
  <c r="DB53" i="2" s="1"/>
  <c r="BO53" i="2"/>
  <c r="BJ53" i="2"/>
  <c r="BK53" i="2" s="1"/>
  <c r="CL53" i="2" s="1"/>
  <c r="BC53" i="2"/>
  <c r="AZ53" i="2"/>
  <c r="AY53" i="2"/>
  <c r="AO53" i="2"/>
  <c r="AN53" i="2"/>
  <c r="AM53" i="2"/>
  <c r="AL53" i="2"/>
  <c r="AK53" i="2"/>
  <c r="AG53" i="2"/>
  <c r="AE53" i="2"/>
  <c r="AF53" i="2" s="1"/>
  <c r="U53" i="2"/>
  <c r="S53" i="2"/>
  <c r="R53" i="2"/>
  <c r="X53" i="2" s="1"/>
  <c r="AA53" i="2" s="1"/>
  <c r="E53" i="2"/>
  <c r="GR52" i="2"/>
  <c r="GS52" i="2" s="1"/>
  <c r="GP52" i="2"/>
  <c r="GQ52" i="2" s="1"/>
  <c r="GN52" i="2"/>
  <c r="GO52" i="2" s="1"/>
  <c r="GL52" i="2"/>
  <c r="GM52" i="2" s="1"/>
  <c r="GH52" i="2"/>
  <c r="GG52" i="2"/>
  <c r="GI52" i="2" s="1"/>
  <c r="GD52" i="2"/>
  <c r="GC52" i="2"/>
  <c r="GB52" i="2"/>
  <c r="FY52" i="2"/>
  <c r="FS52" i="2"/>
  <c r="FT52" i="2" s="1"/>
  <c r="EW52" i="2"/>
  <c r="ET52" i="2"/>
  <c r="EU52" i="2" s="1"/>
  <c r="EQ52" i="2"/>
  <c r="ER52" i="2" s="1"/>
  <c r="EJ52" i="2"/>
  <c r="EE52" i="2"/>
  <c r="EF52" i="2" s="1"/>
  <c r="DX52" i="2"/>
  <c r="DP52" i="2"/>
  <c r="DF52" i="2"/>
  <c r="DH52" i="2" s="1"/>
  <c r="DE52" i="2"/>
  <c r="CY52" i="2"/>
  <c r="CZ52" i="2" s="1"/>
  <c r="CF52" i="2"/>
  <c r="CH52" i="2"/>
  <c r="CA52" i="2"/>
  <c r="CR52" i="2"/>
  <c r="BO52" i="2"/>
  <c r="BJ52" i="2"/>
  <c r="BM52" i="2" s="1"/>
  <c r="BN52" i="2" s="1"/>
  <c r="BC52" i="2"/>
  <c r="AZ52" i="2"/>
  <c r="AY52" i="2"/>
  <c r="AO52" i="2"/>
  <c r="AN52" i="2"/>
  <c r="AM52" i="2"/>
  <c r="AL52" i="2"/>
  <c r="AK52" i="2"/>
  <c r="AG52" i="2"/>
  <c r="AE52" i="2"/>
  <c r="AF52" i="2" s="1"/>
  <c r="U52" i="2"/>
  <c r="S52" i="2"/>
  <c r="T52" i="2" s="1"/>
  <c r="R52" i="2"/>
  <c r="E52" i="2"/>
  <c r="GR51" i="2"/>
  <c r="GS51" i="2" s="1"/>
  <c r="GP51" i="2"/>
  <c r="GQ51" i="2" s="1"/>
  <c r="DO51" i="2" s="1"/>
  <c r="GN51" i="2"/>
  <c r="GO51" i="2" s="1"/>
  <c r="GL51" i="2"/>
  <c r="GM51" i="2" s="1"/>
  <c r="GH51" i="2"/>
  <c r="GG51" i="2"/>
  <c r="GI51" i="2" s="1"/>
  <c r="GD51" i="2"/>
  <c r="GC51" i="2"/>
  <c r="GB51" i="2"/>
  <c r="FY51" i="2"/>
  <c r="FZ51" i="2" s="1"/>
  <c r="FS51" i="2"/>
  <c r="FT51" i="2" s="1"/>
  <c r="EW51" i="2"/>
  <c r="ET51" i="2"/>
  <c r="EU51" i="2" s="1"/>
  <c r="EQ51" i="2"/>
  <c r="ER51" i="2" s="1"/>
  <c r="EJ51" i="2"/>
  <c r="EE51" i="2"/>
  <c r="EF51" i="2" s="1"/>
  <c r="DX51" i="2"/>
  <c r="DP51" i="2"/>
  <c r="DF51" i="2"/>
  <c r="DG51" i="2" s="1"/>
  <c r="DE51" i="2"/>
  <c r="CY51" i="2"/>
  <c r="CZ51" i="2" s="1"/>
  <c r="CF51" i="2"/>
  <c r="CH51" i="2"/>
  <c r="CA51" i="2"/>
  <c r="CR51" i="2"/>
  <c r="BO51" i="2"/>
  <c r="BJ51" i="2"/>
  <c r="BM51" i="2" s="1"/>
  <c r="BN51" i="2" s="1"/>
  <c r="BC51" i="2"/>
  <c r="AZ51" i="2"/>
  <c r="AY51" i="2"/>
  <c r="AO51" i="2"/>
  <c r="AN51" i="2"/>
  <c r="AM51" i="2"/>
  <c r="AL51" i="2"/>
  <c r="AK51" i="2"/>
  <c r="AG51" i="2"/>
  <c r="AE51" i="2"/>
  <c r="AF51" i="2" s="1"/>
  <c r="U51" i="2"/>
  <c r="S51" i="2"/>
  <c r="R51" i="2"/>
  <c r="X51" i="2" s="1"/>
  <c r="AA51" i="2" s="1"/>
  <c r="E51" i="2"/>
  <c r="GR50" i="2"/>
  <c r="GS50" i="2" s="1"/>
  <c r="GP50" i="2"/>
  <c r="GQ50" i="2" s="1"/>
  <c r="DO50" i="2" s="1"/>
  <c r="EH50" i="2" s="1"/>
  <c r="GN50" i="2"/>
  <c r="GO50" i="2" s="1"/>
  <c r="GL50" i="2"/>
  <c r="GM50" i="2" s="1"/>
  <c r="GH50" i="2"/>
  <c r="GG50" i="2"/>
  <c r="GI50" i="2" s="1"/>
  <c r="GD50" i="2"/>
  <c r="GC50" i="2"/>
  <c r="GB50" i="2"/>
  <c r="FY50" i="2"/>
  <c r="FZ50" i="2" s="1"/>
  <c r="FS50" i="2"/>
  <c r="FT50" i="2" s="1"/>
  <c r="EW50" i="2"/>
  <c r="ET50" i="2"/>
  <c r="EU50" i="2" s="1"/>
  <c r="EQ50" i="2"/>
  <c r="ER50" i="2" s="1"/>
  <c r="EJ50" i="2"/>
  <c r="EE50" i="2"/>
  <c r="EF50" i="2" s="1"/>
  <c r="DX50" i="2"/>
  <c r="DP50" i="2"/>
  <c r="DF50" i="2"/>
  <c r="DG50" i="2" s="1"/>
  <c r="DE50" i="2"/>
  <c r="CY50" i="2"/>
  <c r="CZ50" i="2" s="1"/>
  <c r="CF50" i="2"/>
  <c r="CH50" i="2"/>
  <c r="CA50" i="2"/>
  <c r="DA50" i="2"/>
  <c r="DB50" i="2" s="1"/>
  <c r="BO50" i="2"/>
  <c r="BJ50" i="2"/>
  <c r="BM50" i="2" s="1"/>
  <c r="BN50" i="2" s="1"/>
  <c r="BC50" i="2"/>
  <c r="AZ50" i="2"/>
  <c r="AY50" i="2"/>
  <c r="AO50" i="2"/>
  <c r="AN50" i="2"/>
  <c r="AM50" i="2"/>
  <c r="AL50" i="2"/>
  <c r="AK50" i="2"/>
  <c r="AG50" i="2"/>
  <c r="AE50" i="2"/>
  <c r="AF50" i="2" s="1"/>
  <c r="U50" i="2"/>
  <c r="S50" i="2"/>
  <c r="T50" i="2" s="1"/>
  <c r="R50" i="2"/>
  <c r="Y50" i="2" s="1"/>
  <c r="E50" i="2"/>
  <c r="GR49" i="2"/>
  <c r="GS49" i="2" s="1"/>
  <c r="GP49" i="2"/>
  <c r="GQ49" i="2" s="1"/>
  <c r="GN49" i="2"/>
  <c r="GO49" i="2" s="1"/>
  <c r="GL49" i="2"/>
  <c r="GM49" i="2" s="1"/>
  <c r="GH49" i="2"/>
  <c r="GG49" i="2"/>
  <c r="GI49" i="2" s="1"/>
  <c r="GD49" i="2"/>
  <c r="GC49" i="2"/>
  <c r="GB49" i="2"/>
  <c r="FY49" i="2"/>
  <c r="FS49" i="2"/>
  <c r="FT49" i="2" s="1"/>
  <c r="EW49" i="2"/>
  <c r="ET49" i="2"/>
  <c r="EU49" i="2" s="1"/>
  <c r="EQ49" i="2"/>
  <c r="ER49" i="2" s="1"/>
  <c r="EJ49" i="2"/>
  <c r="EE49" i="2"/>
  <c r="EF49" i="2" s="1"/>
  <c r="DX49" i="2"/>
  <c r="DP49" i="2"/>
  <c r="DF49" i="2"/>
  <c r="DG49" i="2" s="1"/>
  <c r="DE49" i="2"/>
  <c r="CY49" i="2"/>
  <c r="CZ49" i="2" s="1"/>
  <c r="CF49" i="2"/>
  <c r="CH49" i="2"/>
  <c r="CA49" i="2"/>
  <c r="BO49" i="2"/>
  <c r="BJ49" i="2"/>
  <c r="BC49" i="2"/>
  <c r="AZ49" i="2"/>
  <c r="AY49" i="2"/>
  <c r="AO49" i="2"/>
  <c r="AN49" i="2"/>
  <c r="AM49" i="2"/>
  <c r="AL49" i="2"/>
  <c r="AK49" i="2"/>
  <c r="AG49" i="2"/>
  <c r="AE49" i="2"/>
  <c r="AF49" i="2" s="1"/>
  <c r="U49" i="2"/>
  <c r="S49" i="2"/>
  <c r="T49" i="2" s="1"/>
  <c r="R49" i="2"/>
  <c r="Y49" i="2" s="1"/>
  <c r="E49" i="2"/>
  <c r="GR48" i="2"/>
  <c r="GS48" i="2" s="1"/>
  <c r="GP48" i="2"/>
  <c r="GQ48" i="2" s="1"/>
  <c r="GN48" i="2"/>
  <c r="GO48" i="2" s="1"/>
  <c r="GL48" i="2"/>
  <c r="GM48" i="2" s="1"/>
  <c r="GH48" i="2"/>
  <c r="GG48" i="2"/>
  <c r="GI48" i="2" s="1"/>
  <c r="GD48" i="2"/>
  <c r="GC48" i="2"/>
  <c r="GB48" i="2"/>
  <c r="FY48" i="2"/>
  <c r="FS48" i="2"/>
  <c r="FT48" i="2" s="1"/>
  <c r="EW48" i="2"/>
  <c r="ET48" i="2"/>
  <c r="EU48" i="2" s="1"/>
  <c r="EQ48" i="2"/>
  <c r="ER48" i="2" s="1"/>
  <c r="EJ48" i="2"/>
  <c r="EE48" i="2"/>
  <c r="EF48" i="2" s="1"/>
  <c r="DX48" i="2"/>
  <c r="DP48" i="2"/>
  <c r="DF48" i="2"/>
  <c r="DE48" i="2"/>
  <c r="CY48" i="2"/>
  <c r="CZ48" i="2" s="1"/>
  <c r="CF48" i="2"/>
  <c r="CH48" i="2"/>
  <c r="CA48" i="2"/>
  <c r="CR48" i="2"/>
  <c r="BO48" i="2"/>
  <c r="BJ48" i="2"/>
  <c r="BK48" i="2" s="1"/>
  <c r="CL48" i="2" s="1"/>
  <c r="BC48" i="2"/>
  <c r="AZ48" i="2"/>
  <c r="AY48" i="2"/>
  <c r="AO48" i="2"/>
  <c r="AN48" i="2"/>
  <c r="AM48" i="2"/>
  <c r="AL48" i="2"/>
  <c r="AK48" i="2"/>
  <c r="AG48" i="2"/>
  <c r="AE48" i="2"/>
  <c r="AF48" i="2" s="1"/>
  <c r="U48" i="2"/>
  <c r="S48" i="2"/>
  <c r="T48" i="2" s="1"/>
  <c r="R48" i="2"/>
  <c r="X48" i="2" s="1"/>
  <c r="E48" i="2"/>
  <c r="GR46" i="2"/>
  <c r="GS46" i="2" s="1"/>
  <c r="GP46" i="2"/>
  <c r="GQ46" i="2" s="1"/>
  <c r="DU46" i="2" s="1"/>
  <c r="EI46" i="2" s="1"/>
  <c r="GN46" i="2"/>
  <c r="GO46" i="2" s="1"/>
  <c r="GL46" i="2"/>
  <c r="GM46" i="2" s="1"/>
  <c r="GH46" i="2"/>
  <c r="GG46" i="2"/>
  <c r="GI46" i="2" s="1"/>
  <c r="GD46" i="2"/>
  <c r="GC46" i="2"/>
  <c r="GB46" i="2"/>
  <c r="FY46" i="2"/>
  <c r="GA46" i="2" s="1"/>
  <c r="FS46" i="2"/>
  <c r="FT46" i="2" s="1"/>
  <c r="EW46" i="2"/>
  <c r="ET46" i="2"/>
  <c r="EU46" i="2" s="1"/>
  <c r="EQ46" i="2"/>
  <c r="ER46" i="2" s="1"/>
  <c r="EJ46" i="2"/>
  <c r="EE46" i="2"/>
  <c r="EF46" i="2" s="1"/>
  <c r="DX46" i="2"/>
  <c r="DP46" i="2"/>
  <c r="DF46" i="2"/>
  <c r="DE46" i="2"/>
  <c r="CY46" i="2"/>
  <c r="CZ46" i="2" s="1"/>
  <c r="CF46" i="2"/>
  <c r="CH46" i="2"/>
  <c r="CA46" i="2"/>
  <c r="BO46" i="2"/>
  <c r="BJ46" i="2"/>
  <c r="BC46" i="2"/>
  <c r="AZ46" i="2"/>
  <c r="AY46" i="2"/>
  <c r="AO46" i="2"/>
  <c r="AN46" i="2"/>
  <c r="AM46" i="2"/>
  <c r="AL46" i="2"/>
  <c r="AK46" i="2"/>
  <c r="AG46" i="2"/>
  <c r="AE46" i="2"/>
  <c r="AF46" i="2" s="1"/>
  <c r="U46" i="2"/>
  <c r="S46" i="2"/>
  <c r="T46" i="2" s="1"/>
  <c r="R46" i="2"/>
  <c r="Y46" i="2" s="1"/>
  <c r="AB46" i="2" s="1"/>
  <c r="E46" i="2"/>
  <c r="GR45" i="2"/>
  <c r="GS45" i="2" s="1"/>
  <c r="GP45" i="2"/>
  <c r="GQ45" i="2" s="1"/>
  <c r="GN45" i="2"/>
  <c r="GO45" i="2" s="1"/>
  <c r="GL45" i="2"/>
  <c r="GM45" i="2" s="1"/>
  <c r="GH45" i="2"/>
  <c r="GG45" i="2"/>
  <c r="GI45" i="2" s="1"/>
  <c r="GD45" i="2"/>
  <c r="GC45" i="2"/>
  <c r="GB45" i="2"/>
  <c r="FY45" i="2"/>
  <c r="GA45" i="2" s="1"/>
  <c r="FS45" i="2"/>
  <c r="FT45" i="2" s="1"/>
  <c r="EW45" i="2"/>
  <c r="ET45" i="2"/>
  <c r="EU45" i="2" s="1"/>
  <c r="EQ45" i="2"/>
  <c r="ER45" i="2" s="1"/>
  <c r="EJ45" i="2"/>
  <c r="EE45" i="2"/>
  <c r="EF45" i="2" s="1"/>
  <c r="DX45" i="2"/>
  <c r="DP45" i="2"/>
  <c r="DF45" i="2"/>
  <c r="DH45" i="2" s="1"/>
  <c r="DE45" i="2"/>
  <c r="CY45" i="2"/>
  <c r="CZ45" i="2" s="1"/>
  <c r="CF45" i="2"/>
  <c r="CH45" i="2"/>
  <c r="CA45" i="2"/>
  <c r="DA45" i="2"/>
  <c r="DB45" i="2" s="1"/>
  <c r="BO45" i="2"/>
  <c r="BJ45" i="2"/>
  <c r="BC45" i="2"/>
  <c r="AZ45" i="2"/>
  <c r="AY45" i="2"/>
  <c r="AO45" i="2"/>
  <c r="AN45" i="2"/>
  <c r="AM45" i="2"/>
  <c r="AL45" i="2"/>
  <c r="AK45" i="2"/>
  <c r="AG45" i="2"/>
  <c r="AE45" i="2"/>
  <c r="AF45" i="2" s="1"/>
  <c r="U45" i="2"/>
  <c r="S45" i="2"/>
  <c r="T45" i="2" s="1"/>
  <c r="R45" i="2"/>
  <c r="X45" i="2" s="1"/>
  <c r="E45" i="2"/>
  <c r="GR44" i="2"/>
  <c r="GS44" i="2" s="1"/>
  <c r="GP44" i="2"/>
  <c r="GQ44" i="2" s="1"/>
  <c r="GN44" i="2"/>
  <c r="GO44" i="2" s="1"/>
  <c r="GL44" i="2"/>
  <c r="GM44" i="2" s="1"/>
  <c r="GH44" i="2"/>
  <c r="GG44" i="2"/>
  <c r="GD44" i="2"/>
  <c r="GC44" i="2"/>
  <c r="GB44" i="2"/>
  <c r="FY44" i="2"/>
  <c r="FZ44" i="2" s="1"/>
  <c r="FS44" i="2"/>
  <c r="FT44" i="2" s="1"/>
  <c r="EW44" i="2"/>
  <c r="ET44" i="2"/>
  <c r="EU44" i="2" s="1"/>
  <c r="EQ44" i="2"/>
  <c r="ER44" i="2" s="1"/>
  <c r="EJ44" i="2"/>
  <c r="EE44" i="2"/>
  <c r="EF44" i="2" s="1"/>
  <c r="DX44" i="2"/>
  <c r="DP44" i="2"/>
  <c r="DF44" i="2"/>
  <c r="DH44" i="2" s="1"/>
  <c r="DE44" i="2"/>
  <c r="CY44" i="2"/>
  <c r="CZ44" i="2" s="1"/>
  <c r="CF44" i="2"/>
  <c r="CA44" i="2"/>
  <c r="CW44" i="2"/>
  <c r="BO44" i="2"/>
  <c r="BJ44" i="2"/>
  <c r="BC44" i="2"/>
  <c r="AZ44" i="2"/>
  <c r="AY44" i="2"/>
  <c r="AO44" i="2"/>
  <c r="AN44" i="2"/>
  <c r="AM44" i="2"/>
  <c r="AL44" i="2"/>
  <c r="AK44" i="2"/>
  <c r="AG44" i="2"/>
  <c r="AE44" i="2"/>
  <c r="AF44" i="2" s="1"/>
  <c r="U44" i="2"/>
  <c r="S44" i="2"/>
  <c r="T44" i="2" s="1"/>
  <c r="R44" i="2"/>
  <c r="X44" i="2" s="1"/>
  <c r="E44" i="2"/>
  <c r="GR111" i="2"/>
  <c r="GS111" i="2" s="1"/>
  <c r="GP111" i="2"/>
  <c r="GQ111" i="2" s="1"/>
  <c r="DU111" i="2" s="1"/>
  <c r="EI111" i="2" s="1"/>
  <c r="GN111" i="2"/>
  <c r="GO111" i="2" s="1"/>
  <c r="GL111" i="2"/>
  <c r="GM111" i="2" s="1"/>
  <c r="GH111" i="2"/>
  <c r="GG111" i="2"/>
  <c r="GI111" i="2" s="1"/>
  <c r="GD111" i="2"/>
  <c r="GC111" i="2"/>
  <c r="GB111" i="2"/>
  <c r="FY111" i="2"/>
  <c r="GA111" i="2" s="1"/>
  <c r="FS111" i="2"/>
  <c r="FT111" i="2" s="1"/>
  <c r="EW111" i="2"/>
  <c r="ET111" i="2"/>
  <c r="EU111" i="2" s="1"/>
  <c r="EQ111" i="2"/>
  <c r="ER111" i="2" s="1"/>
  <c r="EJ111" i="2"/>
  <c r="EE111" i="2"/>
  <c r="EF111" i="2" s="1"/>
  <c r="DX111" i="2"/>
  <c r="DP111" i="2"/>
  <c r="DF111" i="2"/>
  <c r="DH111" i="2" s="1"/>
  <c r="DE111" i="2"/>
  <c r="CY111" i="2"/>
  <c r="CZ111" i="2" s="1"/>
  <c r="CF111" i="2"/>
  <c r="CA111" i="2"/>
  <c r="CW111" i="2"/>
  <c r="BO111" i="2"/>
  <c r="BJ111" i="2"/>
  <c r="BK111" i="2" s="1"/>
  <c r="CL111" i="2" s="1"/>
  <c r="BC111" i="2"/>
  <c r="AZ111" i="2"/>
  <c r="AY111" i="2"/>
  <c r="AO111" i="2"/>
  <c r="AN111" i="2"/>
  <c r="AM111" i="2"/>
  <c r="AL111" i="2"/>
  <c r="AK111" i="2"/>
  <c r="AG111" i="2"/>
  <c r="AE111" i="2"/>
  <c r="AF111" i="2" s="1"/>
  <c r="U111" i="2"/>
  <c r="S111" i="2"/>
  <c r="T111" i="2" s="1"/>
  <c r="R111" i="2"/>
  <c r="Y111" i="2" s="1"/>
  <c r="AB111" i="2" s="1"/>
  <c r="E111" i="2"/>
  <c r="GR42" i="2"/>
  <c r="GS42" i="2" s="1"/>
  <c r="GP42" i="2"/>
  <c r="GQ42" i="2" s="1"/>
  <c r="GN42" i="2"/>
  <c r="GO42" i="2" s="1"/>
  <c r="GL42" i="2"/>
  <c r="GM42" i="2" s="1"/>
  <c r="GH42" i="2"/>
  <c r="GG42" i="2"/>
  <c r="GI42" i="2" s="1"/>
  <c r="GD42" i="2"/>
  <c r="GC42" i="2"/>
  <c r="GB42" i="2"/>
  <c r="FY42" i="2"/>
  <c r="GA42" i="2" s="1"/>
  <c r="FS42" i="2"/>
  <c r="FT42" i="2" s="1"/>
  <c r="EW42" i="2"/>
  <c r="ET42" i="2"/>
  <c r="EU42" i="2" s="1"/>
  <c r="EQ42" i="2"/>
  <c r="ER42" i="2" s="1"/>
  <c r="EJ42" i="2"/>
  <c r="EE42" i="2"/>
  <c r="EF42" i="2" s="1"/>
  <c r="DX42" i="2"/>
  <c r="DP42" i="2"/>
  <c r="DF42" i="2"/>
  <c r="DH42" i="2" s="1"/>
  <c r="DE42" i="2"/>
  <c r="CY42" i="2"/>
  <c r="CZ42" i="2" s="1"/>
  <c r="CF42" i="2"/>
  <c r="CH42" i="2"/>
  <c r="CA42" i="2"/>
  <c r="CW42" i="2"/>
  <c r="BO42" i="2"/>
  <c r="BJ42" i="2"/>
  <c r="BK42" i="2" s="1"/>
  <c r="CL42" i="2" s="1"/>
  <c r="BC42" i="2"/>
  <c r="AO42" i="2"/>
  <c r="AN42" i="2"/>
  <c r="AM42" i="2"/>
  <c r="AL42" i="2"/>
  <c r="AK42" i="2"/>
  <c r="AG42" i="2"/>
  <c r="AE42" i="2"/>
  <c r="AF42" i="2" s="1"/>
  <c r="U42" i="2"/>
  <c r="S42" i="2"/>
  <c r="T42" i="2" s="1"/>
  <c r="R42" i="2"/>
  <c r="X42" i="2" s="1"/>
  <c r="AA42" i="2" s="1"/>
  <c r="E42" i="2"/>
  <c r="GR41" i="2"/>
  <c r="GS41" i="2" s="1"/>
  <c r="GP41" i="2"/>
  <c r="GQ41" i="2" s="1"/>
  <c r="GN41" i="2"/>
  <c r="GO41" i="2" s="1"/>
  <c r="GL41" i="2"/>
  <c r="GM41" i="2" s="1"/>
  <c r="GH41" i="2"/>
  <c r="GG41" i="2"/>
  <c r="GI41" i="2" s="1"/>
  <c r="GD41" i="2"/>
  <c r="GC41" i="2"/>
  <c r="GB41" i="2"/>
  <c r="FY41" i="2"/>
  <c r="FZ41" i="2" s="1"/>
  <c r="FS41" i="2"/>
  <c r="FT41" i="2" s="1"/>
  <c r="EW41" i="2"/>
  <c r="ET41" i="2"/>
  <c r="EU41" i="2" s="1"/>
  <c r="EQ41" i="2"/>
  <c r="ER41" i="2" s="1"/>
  <c r="EJ41" i="2"/>
  <c r="EE41" i="2"/>
  <c r="EF41" i="2" s="1"/>
  <c r="DX41" i="2"/>
  <c r="DP41" i="2"/>
  <c r="DF41" i="2"/>
  <c r="DG41" i="2" s="1"/>
  <c r="DE41" i="2"/>
  <c r="CY41" i="2"/>
  <c r="CZ41" i="2" s="1"/>
  <c r="CF41" i="2"/>
  <c r="CH41" i="2"/>
  <c r="CA41" i="2"/>
  <c r="DA41" i="2"/>
  <c r="DB41" i="2" s="1"/>
  <c r="BO41" i="2"/>
  <c r="BJ41" i="2"/>
  <c r="BM41" i="2" s="1"/>
  <c r="BN41" i="2" s="1"/>
  <c r="BC41" i="2"/>
  <c r="AZ41" i="2"/>
  <c r="AY41" i="2"/>
  <c r="AO41" i="2"/>
  <c r="AN41" i="2"/>
  <c r="AM41" i="2"/>
  <c r="AL41" i="2"/>
  <c r="AK41" i="2"/>
  <c r="AG41" i="2"/>
  <c r="AE41" i="2"/>
  <c r="AF41" i="2" s="1"/>
  <c r="U41" i="2"/>
  <c r="S41" i="2"/>
  <c r="T41" i="2" s="1"/>
  <c r="R41" i="2"/>
  <c r="X41" i="2" s="1"/>
  <c r="AA41" i="2" s="1"/>
  <c r="E41" i="2"/>
  <c r="GR40" i="2"/>
  <c r="GS40" i="2" s="1"/>
  <c r="GP40" i="2"/>
  <c r="GQ40" i="2" s="1"/>
  <c r="GN40" i="2"/>
  <c r="GO40" i="2" s="1"/>
  <c r="GL40" i="2"/>
  <c r="GM40" i="2" s="1"/>
  <c r="GH40" i="2"/>
  <c r="GG40" i="2"/>
  <c r="GI40" i="2" s="1"/>
  <c r="GD40" i="2"/>
  <c r="GC40" i="2"/>
  <c r="GB40" i="2"/>
  <c r="FY40" i="2"/>
  <c r="FZ40" i="2" s="1"/>
  <c r="FS40" i="2"/>
  <c r="FT40" i="2" s="1"/>
  <c r="EW40" i="2"/>
  <c r="ET40" i="2"/>
  <c r="EU40" i="2" s="1"/>
  <c r="EQ40" i="2"/>
  <c r="ER40" i="2" s="1"/>
  <c r="EJ40" i="2"/>
  <c r="EE40" i="2"/>
  <c r="EF40" i="2" s="1"/>
  <c r="DX40" i="2"/>
  <c r="DP40" i="2"/>
  <c r="DF40" i="2"/>
  <c r="DH40" i="2" s="1"/>
  <c r="DE40" i="2"/>
  <c r="CY40" i="2"/>
  <c r="CZ40" i="2" s="1"/>
  <c r="CF40" i="2"/>
  <c r="CH40" i="2"/>
  <c r="CA40" i="2"/>
  <c r="BO40" i="2"/>
  <c r="BJ40" i="2"/>
  <c r="BM40" i="2" s="1"/>
  <c r="BN40" i="2" s="1"/>
  <c r="BC40" i="2"/>
  <c r="AZ40" i="2"/>
  <c r="AY40" i="2"/>
  <c r="AO40" i="2"/>
  <c r="AN40" i="2"/>
  <c r="AM40" i="2"/>
  <c r="AL40" i="2"/>
  <c r="AK40" i="2"/>
  <c r="AG40" i="2"/>
  <c r="AE40" i="2"/>
  <c r="AF40" i="2" s="1"/>
  <c r="U40" i="2"/>
  <c r="S40" i="2"/>
  <c r="T40" i="2" s="1"/>
  <c r="R40" i="2"/>
  <c r="X40" i="2" s="1"/>
  <c r="AA40" i="2" s="1"/>
  <c r="E40" i="2"/>
  <c r="GR39" i="2"/>
  <c r="GS39" i="2" s="1"/>
  <c r="GP39" i="2"/>
  <c r="GQ39" i="2" s="1"/>
  <c r="GN39" i="2"/>
  <c r="GO39" i="2" s="1"/>
  <c r="GL39" i="2"/>
  <c r="GM39" i="2" s="1"/>
  <c r="GH39" i="2"/>
  <c r="GG39" i="2"/>
  <c r="GI39" i="2" s="1"/>
  <c r="GD39" i="2"/>
  <c r="GC39" i="2"/>
  <c r="GB39" i="2"/>
  <c r="FY39" i="2"/>
  <c r="FZ39" i="2" s="1"/>
  <c r="FS39" i="2"/>
  <c r="FT39" i="2" s="1"/>
  <c r="EW39" i="2"/>
  <c r="ET39" i="2"/>
  <c r="EU39" i="2" s="1"/>
  <c r="EQ39" i="2"/>
  <c r="ER39" i="2" s="1"/>
  <c r="EJ39" i="2"/>
  <c r="EE39" i="2"/>
  <c r="EF39" i="2" s="1"/>
  <c r="DX39" i="2"/>
  <c r="DP39" i="2"/>
  <c r="DF39" i="2"/>
  <c r="DH39" i="2" s="1"/>
  <c r="DE39" i="2"/>
  <c r="CY39" i="2"/>
  <c r="CZ39" i="2" s="1"/>
  <c r="CF39" i="2"/>
  <c r="CH39" i="2"/>
  <c r="CA39" i="2"/>
  <c r="DA39" i="2"/>
  <c r="DB39" i="2" s="1"/>
  <c r="BO39" i="2"/>
  <c r="BJ39" i="2"/>
  <c r="BM39" i="2" s="1"/>
  <c r="BN39" i="2" s="1"/>
  <c r="BC39" i="2"/>
  <c r="AZ39" i="2"/>
  <c r="AY39" i="2"/>
  <c r="AO39" i="2"/>
  <c r="AN39" i="2"/>
  <c r="AM39" i="2"/>
  <c r="AL39" i="2"/>
  <c r="AK39" i="2"/>
  <c r="AG39" i="2"/>
  <c r="AE39" i="2"/>
  <c r="AF39" i="2" s="1"/>
  <c r="U39" i="2"/>
  <c r="S39" i="2"/>
  <c r="T39" i="2" s="1"/>
  <c r="R39" i="2"/>
  <c r="X39" i="2" s="1"/>
  <c r="AA39" i="2" s="1"/>
  <c r="E39" i="2"/>
  <c r="GR38" i="2"/>
  <c r="GS38" i="2" s="1"/>
  <c r="GP38" i="2"/>
  <c r="GQ38" i="2" s="1"/>
  <c r="DO38" i="2" s="1"/>
  <c r="GN38" i="2"/>
  <c r="GO38" i="2" s="1"/>
  <c r="GL38" i="2"/>
  <c r="GM38" i="2" s="1"/>
  <c r="GH38" i="2"/>
  <c r="GG38" i="2"/>
  <c r="GI38" i="2" s="1"/>
  <c r="GD38" i="2"/>
  <c r="GC38" i="2"/>
  <c r="GB38" i="2"/>
  <c r="FY38" i="2"/>
  <c r="FZ38" i="2" s="1"/>
  <c r="FS38" i="2"/>
  <c r="FT38" i="2" s="1"/>
  <c r="EW38" i="2"/>
  <c r="ET38" i="2"/>
  <c r="EU38" i="2" s="1"/>
  <c r="EQ38" i="2"/>
  <c r="ER38" i="2" s="1"/>
  <c r="EJ38" i="2"/>
  <c r="EE38" i="2"/>
  <c r="EF38" i="2" s="1"/>
  <c r="DX38" i="2"/>
  <c r="DP38" i="2"/>
  <c r="DF38" i="2"/>
  <c r="DG38" i="2" s="1"/>
  <c r="DE38" i="2"/>
  <c r="CY38" i="2"/>
  <c r="CZ38" i="2" s="1"/>
  <c r="CF38" i="2"/>
  <c r="CH38" i="2"/>
  <c r="CA38" i="2"/>
  <c r="DA38" i="2"/>
  <c r="DB38" i="2" s="1"/>
  <c r="BO38" i="2"/>
  <c r="BJ38" i="2"/>
  <c r="BM38" i="2" s="1"/>
  <c r="BN38" i="2" s="1"/>
  <c r="BC38" i="2"/>
  <c r="AZ38" i="2"/>
  <c r="AY38" i="2"/>
  <c r="AO38" i="2"/>
  <c r="AN38" i="2"/>
  <c r="AM38" i="2"/>
  <c r="AL38" i="2"/>
  <c r="AK38" i="2"/>
  <c r="AG38" i="2"/>
  <c r="AE38" i="2"/>
  <c r="AF38" i="2" s="1"/>
  <c r="U38" i="2"/>
  <c r="S38" i="2"/>
  <c r="T38" i="2" s="1"/>
  <c r="R38" i="2"/>
  <c r="X38" i="2" s="1"/>
  <c r="AA38" i="2" s="1"/>
  <c r="E38" i="2"/>
  <c r="GR37" i="2"/>
  <c r="GS37" i="2" s="1"/>
  <c r="GP37" i="2"/>
  <c r="GQ37" i="2" s="1"/>
  <c r="GN37" i="2"/>
  <c r="GO37" i="2" s="1"/>
  <c r="GL37" i="2"/>
  <c r="GM37" i="2" s="1"/>
  <c r="GH37" i="2"/>
  <c r="GG37" i="2"/>
  <c r="GI37" i="2" s="1"/>
  <c r="GD37" i="2"/>
  <c r="GC37" i="2"/>
  <c r="GB37" i="2"/>
  <c r="FY37" i="2"/>
  <c r="FZ37" i="2" s="1"/>
  <c r="FS37" i="2"/>
  <c r="FT37" i="2" s="1"/>
  <c r="EW37" i="2"/>
  <c r="ET37" i="2"/>
  <c r="EU37" i="2" s="1"/>
  <c r="EQ37" i="2"/>
  <c r="ER37" i="2" s="1"/>
  <c r="EJ37" i="2"/>
  <c r="EE37" i="2"/>
  <c r="EF37" i="2" s="1"/>
  <c r="DX37" i="2"/>
  <c r="DP37" i="2"/>
  <c r="DF37" i="2"/>
  <c r="DH37" i="2" s="1"/>
  <c r="DE37" i="2"/>
  <c r="CY37" i="2"/>
  <c r="CZ37" i="2" s="1"/>
  <c r="CF37" i="2"/>
  <c r="CH37" i="2"/>
  <c r="CA37" i="2"/>
  <c r="DA37" i="2"/>
  <c r="DB37" i="2" s="1"/>
  <c r="BO37" i="2"/>
  <c r="BJ37" i="2"/>
  <c r="BM37" i="2" s="1"/>
  <c r="BN37" i="2" s="1"/>
  <c r="BC37" i="2"/>
  <c r="AZ37" i="2"/>
  <c r="AY37" i="2"/>
  <c r="AO37" i="2"/>
  <c r="AN37" i="2"/>
  <c r="AM37" i="2"/>
  <c r="AL37" i="2"/>
  <c r="AK37" i="2"/>
  <c r="AG37" i="2"/>
  <c r="AE37" i="2"/>
  <c r="AF37" i="2" s="1"/>
  <c r="U37" i="2"/>
  <c r="S37" i="2"/>
  <c r="T37" i="2" s="1"/>
  <c r="R37" i="2"/>
  <c r="X37" i="2" s="1"/>
  <c r="AA37" i="2" s="1"/>
  <c r="E37" i="2"/>
  <c r="GR36" i="2"/>
  <c r="GS36" i="2" s="1"/>
  <c r="GP36" i="2"/>
  <c r="GQ36" i="2" s="1"/>
  <c r="DO36" i="2" s="1"/>
  <c r="GN36" i="2"/>
  <c r="GO36" i="2" s="1"/>
  <c r="GL36" i="2"/>
  <c r="GM36" i="2" s="1"/>
  <c r="GH36" i="2"/>
  <c r="GG36" i="2"/>
  <c r="GI36" i="2" s="1"/>
  <c r="GD36" i="2"/>
  <c r="GC36" i="2"/>
  <c r="GB36" i="2"/>
  <c r="FY36" i="2"/>
  <c r="FZ36" i="2" s="1"/>
  <c r="FS36" i="2"/>
  <c r="FT36" i="2" s="1"/>
  <c r="EW36" i="2"/>
  <c r="ET36" i="2"/>
  <c r="EU36" i="2" s="1"/>
  <c r="EQ36" i="2"/>
  <c r="ER36" i="2" s="1"/>
  <c r="EJ36" i="2"/>
  <c r="EE36" i="2"/>
  <c r="EF36" i="2" s="1"/>
  <c r="DX36" i="2"/>
  <c r="DP36" i="2"/>
  <c r="DF36" i="2"/>
  <c r="DH36" i="2" s="1"/>
  <c r="DE36" i="2"/>
  <c r="CY36" i="2"/>
  <c r="CZ36" i="2" s="1"/>
  <c r="CF36" i="2"/>
  <c r="CH36" i="2"/>
  <c r="CA36" i="2"/>
  <c r="BO36" i="2"/>
  <c r="BJ36" i="2"/>
  <c r="BM36" i="2" s="1"/>
  <c r="BN36" i="2" s="1"/>
  <c r="BC36" i="2"/>
  <c r="AZ36" i="2"/>
  <c r="AY36" i="2"/>
  <c r="AO36" i="2"/>
  <c r="AN36" i="2"/>
  <c r="AM36" i="2"/>
  <c r="AL36" i="2"/>
  <c r="AK36" i="2"/>
  <c r="AG36" i="2"/>
  <c r="AE36" i="2"/>
  <c r="AF36" i="2" s="1"/>
  <c r="U36" i="2"/>
  <c r="S36" i="2"/>
  <c r="T36" i="2" s="1"/>
  <c r="R36" i="2"/>
  <c r="X36" i="2" s="1"/>
  <c r="AA36" i="2" s="1"/>
  <c r="E36" i="2"/>
  <c r="GR35" i="2"/>
  <c r="GS35" i="2" s="1"/>
  <c r="GP35" i="2"/>
  <c r="GQ35" i="2" s="1"/>
  <c r="GN35" i="2"/>
  <c r="GO35" i="2" s="1"/>
  <c r="GL35" i="2"/>
  <c r="GM35" i="2" s="1"/>
  <c r="GH35" i="2"/>
  <c r="GG35" i="2"/>
  <c r="GI35" i="2" s="1"/>
  <c r="GD35" i="2"/>
  <c r="GC35" i="2"/>
  <c r="GB35" i="2"/>
  <c r="FY35" i="2"/>
  <c r="GA35" i="2" s="1"/>
  <c r="FS35" i="2"/>
  <c r="FT35" i="2" s="1"/>
  <c r="EW35" i="2"/>
  <c r="ET35" i="2"/>
  <c r="EU35" i="2" s="1"/>
  <c r="EQ35" i="2"/>
  <c r="ER35" i="2" s="1"/>
  <c r="EJ35" i="2"/>
  <c r="EE35" i="2"/>
  <c r="EF35" i="2" s="1"/>
  <c r="DX35" i="2"/>
  <c r="DP35" i="2"/>
  <c r="DF35" i="2"/>
  <c r="DG35" i="2" s="1"/>
  <c r="DE35" i="2"/>
  <c r="CY35" i="2"/>
  <c r="CZ35" i="2" s="1"/>
  <c r="CF35" i="2"/>
  <c r="CH35" i="2"/>
  <c r="CA35" i="2"/>
  <c r="DA35" i="2"/>
  <c r="DB35" i="2" s="1"/>
  <c r="BO35" i="2"/>
  <c r="BJ35" i="2"/>
  <c r="BK35" i="2" s="1"/>
  <c r="CL35" i="2" s="1"/>
  <c r="BC35" i="2"/>
  <c r="AZ35" i="2"/>
  <c r="AY35" i="2"/>
  <c r="AO35" i="2"/>
  <c r="AN35" i="2"/>
  <c r="AM35" i="2"/>
  <c r="AL35" i="2"/>
  <c r="AK35" i="2"/>
  <c r="AG35" i="2"/>
  <c r="AE35" i="2"/>
  <c r="AF35" i="2" s="1"/>
  <c r="Y35" i="2"/>
  <c r="AB35" i="2" s="1"/>
  <c r="X35" i="2"/>
  <c r="AA35" i="2" s="1"/>
  <c r="U35" i="2"/>
  <c r="S35" i="2"/>
  <c r="T35" i="2" s="1"/>
  <c r="E35" i="2"/>
  <c r="GR34" i="2"/>
  <c r="GS34" i="2" s="1"/>
  <c r="GP34" i="2"/>
  <c r="GQ34" i="2" s="1"/>
  <c r="GN34" i="2"/>
  <c r="GO34" i="2" s="1"/>
  <c r="GL34" i="2"/>
  <c r="GM34" i="2" s="1"/>
  <c r="GH34" i="2"/>
  <c r="GG34" i="2"/>
  <c r="GI34" i="2" s="1"/>
  <c r="GD34" i="2"/>
  <c r="GC34" i="2"/>
  <c r="GB34" i="2"/>
  <c r="FY34" i="2"/>
  <c r="FZ34" i="2" s="1"/>
  <c r="FS34" i="2"/>
  <c r="FT34" i="2" s="1"/>
  <c r="EW34" i="2"/>
  <c r="ET34" i="2"/>
  <c r="EU34" i="2" s="1"/>
  <c r="EQ34" i="2"/>
  <c r="ER34" i="2" s="1"/>
  <c r="EJ34" i="2"/>
  <c r="EE34" i="2"/>
  <c r="EF34" i="2" s="1"/>
  <c r="DX34" i="2"/>
  <c r="DP34" i="2"/>
  <c r="DF34" i="2"/>
  <c r="DH34" i="2" s="1"/>
  <c r="DE34" i="2"/>
  <c r="CY34" i="2"/>
  <c r="CZ34" i="2" s="1"/>
  <c r="CF34" i="2"/>
  <c r="CH34" i="2"/>
  <c r="CA34" i="2"/>
  <c r="BO34" i="2"/>
  <c r="BJ34" i="2"/>
  <c r="BM34" i="2" s="1"/>
  <c r="BN34" i="2" s="1"/>
  <c r="BC34" i="2"/>
  <c r="AZ34" i="2"/>
  <c r="AY34" i="2"/>
  <c r="AO34" i="2"/>
  <c r="AN34" i="2"/>
  <c r="AM34" i="2"/>
  <c r="AL34" i="2"/>
  <c r="AK34" i="2"/>
  <c r="AG34" i="2"/>
  <c r="AE34" i="2"/>
  <c r="AF34" i="2" s="1"/>
  <c r="U34" i="2"/>
  <c r="S34" i="2"/>
  <c r="T34" i="2" s="1"/>
  <c r="R34" i="2"/>
  <c r="X34" i="2" s="1"/>
  <c r="AA34" i="2" s="1"/>
  <c r="E34" i="2"/>
  <c r="GR33" i="2"/>
  <c r="GS33" i="2" s="1"/>
  <c r="GP33" i="2"/>
  <c r="GQ33" i="2" s="1"/>
  <c r="GN33" i="2"/>
  <c r="GO33" i="2" s="1"/>
  <c r="GL33" i="2"/>
  <c r="GM33" i="2" s="1"/>
  <c r="GH33" i="2"/>
  <c r="GG33" i="2"/>
  <c r="GI33" i="2" s="1"/>
  <c r="GD33" i="2"/>
  <c r="GC33" i="2"/>
  <c r="GB33" i="2"/>
  <c r="FY33" i="2"/>
  <c r="FZ33" i="2" s="1"/>
  <c r="FS33" i="2"/>
  <c r="FT33" i="2" s="1"/>
  <c r="EW33" i="2"/>
  <c r="ET33" i="2"/>
  <c r="EU33" i="2" s="1"/>
  <c r="EQ33" i="2"/>
  <c r="ER33" i="2" s="1"/>
  <c r="EJ33" i="2"/>
  <c r="EE33" i="2"/>
  <c r="EF33" i="2" s="1"/>
  <c r="DX33" i="2"/>
  <c r="DP33" i="2"/>
  <c r="DF33" i="2"/>
  <c r="DH33" i="2" s="1"/>
  <c r="DE33" i="2"/>
  <c r="CY33" i="2"/>
  <c r="CZ33" i="2" s="1"/>
  <c r="CF33" i="2"/>
  <c r="CH33" i="2"/>
  <c r="CA33" i="2"/>
  <c r="BO33" i="2"/>
  <c r="BJ33" i="2"/>
  <c r="BM33" i="2" s="1"/>
  <c r="BN33" i="2" s="1"/>
  <c r="BC33" i="2"/>
  <c r="AZ33" i="2"/>
  <c r="AY33" i="2"/>
  <c r="AO33" i="2"/>
  <c r="AN33" i="2"/>
  <c r="AM33" i="2"/>
  <c r="AL33" i="2"/>
  <c r="AK33" i="2"/>
  <c r="AG33" i="2"/>
  <c r="AE33" i="2"/>
  <c r="AF33" i="2" s="1"/>
  <c r="U33" i="2"/>
  <c r="S33" i="2"/>
  <c r="T33" i="2" s="1"/>
  <c r="R33" i="2"/>
  <c r="X33" i="2" s="1"/>
  <c r="AA33" i="2" s="1"/>
  <c r="E33" i="2"/>
  <c r="GR32" i="2"/>
  <c r="GS32" i="2" s="1"/>
  <c r="GP32" i="2"/>
  <c r="GQ32" i="2" s="1"/>
  <c r="DO32" i="2" s="1"/>
  <c r="GN32" i="2"/>
  <c r="GO32" i="2" s="1"/>
  <c r="GL32" i="2"/>
  <c r="GM32" i="2" s="1"/>
  <c r="GH32" i="2"/>
  <c r="GG32" i="2"/>
  <c r="GI32" i="2" s="1"/>
  <c r="GD32" i="2"/>
  <c r="GC32" i="2"/>
  <c r="GB32" i="2"/>
  <c r="FY32" i="2"/>
  <c r="FZ32" i="2" s="1"/>
  <c r="FS32" i="2"/>
  <c r="FT32" i="2" s="1"/>
  <c r="EW32" i="2"/>
  <c r="ET32" i="2"/>
  <c r="EU32" i="2" s="1"/>
  <c r="EQ32" i="2"/>
  <c r="ER32" i="2" s="1"/>
  <c r="EJ32" i="2"/>
  <c r="EE32" i="2"/>
  <c r="EF32" i="2" s="1"/>
  <c r="DX32" i="2"/>
  <c r="DP32" i="2"/>
  <c r="DF32" i="2"/>
  <c r="DH32" i="2" s="1"/>
  <c r="DE32" i="2"/>
  <c r="CY32" i="2"/>
  <c r="CZ32" i="2" s="1"/>
  <c r="CF32" i="2"/>
  <c r="CH32" i="2"/>
  <c r="CA32" i="2"/>
  <c r="BO32" i="2"/>
  <c r="BJ32" i="2"/>
  <c r="BM32" i="2" s="1"/>
  <c r="BN32" i="2" s="1"/>
  <c r="BC32" i="2"/>
  <c r="AZ32" i="2"/>
  <c r="AY32" i="2"/>
  <c r="AO32" i="2"/>
  <c r="AN32" i="2"/>
  <c r="AM32" i="2"/>
  <c r="AL32" i="2"/>
  <c r="AK32" i="2"/>
  <c r="AG32" i="2"/>
  <c r="AE32" i="2"/>
  <c r="AF32" i="2" s="1"/>
  <c r="U32" i="2"/>
  <c r="S32" i="2"/>
  <c r="T32" i="2" s="1"/>
  <c r="R32" i="2"/>
  <c r="X32" i="2" s="1"/>
  <c r="AA32" i="2" s="1"/>
  <c r="E32" i="2"/>
  <c r="GR31" i="2"/>
  <c r="GS31" i="2" s="1"/>
  <c r="GP31" i="2"/>
  <c r="GQ31" i="2" s="1"/>
  <c r="GN31" i="2"/>
  <c r="GO31" i="2" s="1"/>
  <c r="GL31" i="2"/>
  <c r="GM31" i="2" s="1"/>
  <c r="GH31" i="2"/>
  <c r="GG31" i="2"/>
  <c r="GI31" i="2" s="1"/>
  <c r="GD31" i="2"/>
  <c r="GC31" i="2"/>
  <c r="GB31" i="2"/>
  <c r="FY31" i="2"/>
  <c r="GA31" i="2" s="1"/>
  <c r="FS31" i="2"/>
  <c r="FT31" i="2" s="1"/>
  <c r="EW31" i="2"/>
  <c r="ET31" i="2"/>
  <c r="EU31" i="2" s="1"/>
  <c r="EQ31" i="2"/>
  <c r="ER31" i="2" s="1"/>
  <c r="EJ31" i="2"/>
  <c r="EE31" i="2"/>
  <c r="EF31" i="2" s="1"/>
  <c r="DX31" i="2"/>
  <c r="DP31" i="2"/>
  <c r="DF31" i="2"/>
  <c r="DH31" i="2" s="1"/>
  <c r="DE31" i="2"/>
  <c r="CY31" i="2"/>
  <c r="CZ31" i="2" s="1"/>
  <c r="CF31" i="2"/>
  <c r="CH31" i="2"/>
  <c r="CA31" i="2"/>
  <c r="BO31" i="2"/>
  <c r="BJ31" i="2"/>
  <c r="BC31" i="2"/>
  <c r="AZ31" i="2"/>
  <c r="AY31" i="2"/>
  <c r="AO31" i="2"/>
  <c r="AN31" i="2"/>
  <c r="AM31" i="2"/>
  <c r="AL31" i="2"/>
  <c r="AK31" i="2"/>
  <c r="AG31" i="2"/>
  <c r="AE31" i="2"/>
  <c r="AF31" i="2" s="1"/>
  <c r="U31" i="2"/>
  <c r="S31" i="2"/>
  <c r="T31" i="2" s="1"/>
  <c r="R31" i="2"/>
  <c r="Y31" i="2" s="1"/>
  <c r="AB31" i="2" s="1"/>
  <c r="E31" i="2"/>
  <c r="GR14" i="2"/>
  <c r="GS14" i="2" s="1"/>
  <c r="GP14" i="2"/>
  <c r="GQ14" i="2" s="1"/>
  <c r="GN14" i="2"/>
  <c r="GO14" i="2" s="1"/>
  <c r="GL14" i="2"/>
  <c r="GM14" i="2" s="1"/>
  <c r="GH14" i="2"/>
  <c r="GG14" i="2"/>
  <c r="GI14" i="2" s="1"/>
  <c r="GD14" i="2"/>
  <c r="GC14" i="2"/>
  <c r="GB14" i="2"/>
  <c r="FY14" i="2"/>
  <c r="GA14" i="2" s="1"/>
  <c r="FS14" i="2"/>
  <c r="FT14" i="2" s="1"/>
  <c r="EW14" i="2"/>
  <c r="ET14" i="2"/>
  <c r="EU14" i="2" s="1"/>
  <c r="EQ14" i="2"/>
  <c r="ER14" i="2" s="1"/>
  <c r="EJ14" i="2"/>
  <c r="EE14" i="2"/>
  <c r="EF14" i="2" s="1"/>
  <c r="DX14" i="2"/>
  <c r="DP14" i="2"/>
  <c r="DF14" i="2"/>
  <c r="DH14" i="2" s="1"/>
  <c r="DE14" i="2"/>
  <c r="CY14" i="2"/>
  <c r="CZ14" i="2" s="1"/>
  <c r="CF14" i="2"/>
  <c r="CH14" i="2"/>
  <c r="CA14" i="2"/>
  <c r="BO14" i="2"/>
  <c r="BJ14" i="2"/>
  <c r="BC14" i="2"/>
  <c r="AZ14" i="2"/>
  <c r="AY14" i="2"/>
  <c r="AO14" i="2"/>
  <c r="AN14" i="2"/>
  <c r="AM14" i="2"/>
  <c r="AL14" i="2"/>
  <c r="AK14" i="2"/>
  <c r="AG14" i="2"/>
  <c r="AE14" i="2"/>
  <c r="AF14" i="2" s="1"/>
  <c r="U14" i="2"/>
  <c r="S14" i="2"/>
  <c r="T14" i="2" s="1"/>
  <c r="R14" i="2"/>
  <c r="X14" i="2" s="1"/>
  <c r="E14" i="2"/>
  <c r="GR29" i="2"/>
  <c r="GS29" i="2" s="1"/>
  <c r="GP29" i="2"/>
  <c r="GQ29" i="2" s="1"/>
  <c r="GN29" i="2"/>
  <c r="GO29" i="2" s="1"/>
  <c r="GL29" i="2"/>
  <c r="GM29" i="2" s="1"/>
  <c r="GH29" i="2"/>
  <c r="GG29" i="2"/>
  <c r="GI29" i="2" s="1"/>
  <c r="GD29" i="2"/>
  <c r="GC29" i="2"/>
  <c r="GB29" i="2"/>
  <c r="FY29" i="2"/>
  <c r="FZ29" i="2" s="1"/>
  <c r="FS29" i="2"/>
  <c r="FT29" i="2" s="1"/>
  <c r="EW29" i="2"/>
  <c r="ET29" i="2"/>
  <c r="EU29" i="2" s="1"/>
  <c r="EQ29" i="2"/>
  <c r="ER29" i="2" s="1"/>
  <c r="EJ29" i="2"/>
  <c r="EE29" i="2"/>
  <c r="EF29" i="2" s="1"/>
  <c r="DX29" i="2"/>
  <c r="DP29" i="2"/>
  <c r="DF29" i="2"/>
  <c r="DH29" i="2" s="1"/>
  <c r="DE29" i="2"/>
  <c r="CY29" i="2"/>
  <c r="CZ29" i="2" s="1"/>
  <c r="CF29" i="2"/>
  <c r="CH29" i="2"/>
  <c r="CA29" i="2"/>
  <c r="BO29" i="2"/>
  <c r="BJ29" i="2"/>
  <c r="BM29" i="2" s="1"/>
  <c r="BN29" i="2" s="1"/>
  <c r="BC29" i="2"/>
  <c r="AZ29" i="2"/>
  <c r="AY29" i="2"/>
  <c r="AO29" i="2"/>
  <c r="AN29" i="2"/>
  <c r="AM29" i="2"/>
  <c r="AL29" i="2"/>
  <c r="AK29" i="2"/>
  <c r="AG29" i="2"/>
  <c r="AE29" i="2"/>
  <c r="AF29" i="2" s="1"/>
  <c r="U29" i="2"/>
  <c r="S29" i="2"/>
  <c r="T29" i="2" s="1"/>
  <c r="R29" i="2"/>
  <c r="X29" i="2" s="1"/>
  <c r="AA29" i="2" s="1"/>
  <c r="E29" i="2"/>
  <c r="GR28" i="2"/>
  <c r="GS28" i="2" s="1"/>
  <c r="GP28" i="2"/>
  <c r="GQ28" i="2" s="1"/>
  <c r="GN28" i="2"/>
  <c r="GO28" i="2" s="1"/>
  <c r="GL28" i="2"/>
  <c r="GM28" i="2" s="1"/>
  <c r="GH28" i="2"/>
  <c r="GG28" i="2"/>
  <c r="GI28" i="2" s="1"/>
  <c r="GD28" i="2"/>
  <c r="GC28" i="2"/>
  <c r="GB28" i="2"/>
  <c r="FY28" i="2"/>
  <c r="FZ28" i="2" s="1"/>
  <c r="FS28" i="2"/>
  <c r="FT28" i="2" s="1"/>
  <c r="EW28" i="2"/>
  <c r="ET28" i="2"/>
  <c r="EU28" i="2" s="1"/>
  <c r="EQ28" i="2"/>
  <c r="ER28" i="2" s="1"/>
  <c r="EJ28" i="2"/>
  <c r="EE28" i="2"/>
  <c r="EF28" i="2" s="1"/>
  <c r="DX28" i="2"/>
  <c r="DP28" i="2"/>
  <c r="DF28" i="2"/>
  <c r="DH28" i="2" s="1"/>
  <c r="DE28" i="2"/>
  <c r="CY28" i="2"/>
  <c r="CZ28" i="2" s="1"/>
  <c r="CF28" i="2"/>
  <c r="CH28" i="2"/>
  <c r="CA28" i="2"/>
  <c r="BO28" i="2"/>
  <c r="BJ28" i="2"/>
  <c r="BM28" i="2" s="1"/>
  <c r="BN28" i="2" s="1"/>
  <c r="BC28" i="2"/>
  <c r="AZ28" i="2"/>
  <c r="AY28" i="2"/>
  <c r="AO28" i="2"/>
  <c r="AN28" i="2"/>
  <c r="AM28" i="2"/>
  <c r="AL28" i="2"/>
  <c r="AK28" i="2"/>
  <c r="AG28" i="2"/>
  <c r="AE28" i="2"/>
  <c r="AF28" i="2" s="1"/>
  <c r="U28" i="2"/>
  <c r="S28" i="2"/>
  <c r="T28" i="2" s="1"/>
  <c r="R28" i="2"/>
  <c r="X28" i="2" s="1"/>
  <c r="AA28" i="2" s="1"/>
  <c r="E28" i="2"/>
  <c r="GR27" i="2"/>
  <c r="GS27" i="2" s="1"/>
  <c r="GP27" i="2"/>
  <c r="GQ27" i="2" s="1"/>
  <c r="GN27" i="2"/>
  <c r="GO27" i="2" s="1"/>
  <c r="GL27" i="2"/>
  <c r="GM27" i="2" s="1"/>
  <c r="GH27" i="2"/>
  <c r="GG27" i="2"/>
  <c r="GI27" i="2" s="1"/>
  <c r="GD27" i="2"/>
  <c r="GC27" i="2"/>
  <c r="GB27" i="2"/>
  <c r="FY27" i="2"/>
  <c r="FZ27" i="2" s="1"/>
  <c r="FS27" i="2"/>
  <c r="FT27" i="2" s="1"/>
  <c r="EW27" i="2"/>
  <c r="ET27" i="2"/>
  <c r="EU27" i="2" s="1"/>
  <c r="EQ27" i="2"/>
  <c r="ER27" i="2" s="1"/>
  <c r="EJ27" i="2"/>
  <c r="EE27" i="2"/>
  <c r="EF27" i="2" s="1"/>
  <c r="DX27" i="2"/>
  <c r="DP27" i="2"/>
  <c r="DF27" i="2"/>
  <c r="DH27" i="2" s="1"/>
  <c r="DE27" i="2"/>
  <c r="CY27" i="2"/>
  <c r="CZ27" i="2" s="1"/>
  <c r="CF27" i="2"/>
  <c r="CH27" i="2"/>
  <c r="CA27" i="2"/>
  <c r="BO27" i="2"/>
  <c r="BJ27" i="2"/>
  <c r="BM27" i="2" s="1"/>
  <c r="BN27" i="2" s="1"/>
  <c r="BC27" i="2"/>
  <c r="AZ27" i="2"/>
  <c r="AY27" i="2"/>
  <c r="AO27" i="2"/>
  <c r="AN27" i="2"/>
  <c r="AM27" i="2"/>
  <c r="AL27" i="2"/>
  <c r="AK27" i="2"/>
  <c r="AG27" i="2"/>
  <c r="AE27" i="2"/>
  <c r="AF27" i="2" s="1"/>
  <c r="U27" i="2"/>
  <c r="S27" i="2"/>
  <c r="T27" i="2" s="1"/>
  <c r="R27" i="2"/>
  <c r="X27" i="2" s="1"/>
  <c r="AA27" i="2" s="1"/>
  <c r="E27" i="2"/>
  <c r="GR26" i="2"/>
  <c r="GS26" i="2" s="1"/>
  <c r="GP26" i="2"/>
  <c r="GQ26" i="2" s="1"/>
  <c r="GN26" i="2"/>
  <c r="GO26" i="2" s="1"/>
  <c r="GL26" i="2"/>
  <c r="GM26" i="2" s="1"/>
  <c r="GH26" i="2"/>
  <c r="GG26" i="2"/>
  <c r="GI26" i="2" s="1"/>
  <c r="GD26" i="2"/>
  <c r="GC26" i="2"/>
  <c r="GB26" i="2"/>
  <c r="FY26" i="2"/>
  <c r="FZ26" i="2" s="1"/>
  <c r="FS26" i="2"/>
  <c r="FT26" i="2" s="1"/>
  <c r="EW26" i="2"/>
  <c r="ET26" i="2"/>
  <c r="EU26" i="2" s="1"/>
  <c r="EQ26" i="2"/>
  <c r="ER26" i="2" s="1"/>
  <c r="EJ26" i="2"/>
  <c r="EE26" i="2"/>
  <c r="EF26" i="2" s="1"/>
  <c r="DX26" i="2"/>
  <c r="DP26" i="2"/>
  <c r="DF26" i="2"/>
  <c r="DH26" i="2" s="1"/>
  <c r="DE26" i="2"/>
  <c r="CY26" i="2"/>
  <c r="CZ26" i="2" s="1"/>
  <c r="CF26" i="2"/>
  <c r="CH26" i="2"/>
  <c r="CA26" i="2"/>
  <c r="BO26" i="2"/>
  <c r="BJ26" i="2"/>
  <c r="BM26" i="2" s="1"/>
  <c r="BN26" i="2" s="1"/>
  <c r="BC26" i="2"/>
  <c r="AZ26" i="2"/>
  <c r="AY26" i="2"/>
  <c r="AO26" i="2"/>
  <c r="AN26" i="2"/>
  <c r="AM26" i="2"/>
  <c r="AL26" i="2"/>
  <c r="AK26" i="2"/>
  <c r="AG26" i="2"/>
  <c r="AE26" i="2"/>
  <c r="AF26" i="2" s="1"/>
  <c r="U26" i="2"/>
  <c r="S26" i="2"/>
  <c r="T26" i="2" s="1"/>
  <c r="R26" i="2"/>
  <c r="X26" i="2" s="1"/>
  <c r="AA26" i="2" s="1"/>
  <c r="E26" i="2"/>
  <c r="GR25" i="2"/>
  <c r="GS25" i="2" s="1"/>
  <c r="GP25" i="2"/>
  <c r="GQ25" i="2" s="1"/>
  <c r="GN25" i="2"/>
  <c r="GO25" i="2" s="1"/>
  <c r="GL25" i="2"/>
  <c r="GM25" i="2" s="1"/>
  <c r="GH25" i="2"/>
  <c r="GG25" i="2"/>
  <c r="GI25" i="2" s="1"/>
  <c r="GD25" i="2"/>
  <c r="GC25" i="2"/>
  <c r="GB25" i="2"/>
  <c r="FY25" i="2"/>
  <c r="FZ25" i="2" s="1"/>
  <c r="FS25" i="2"/>
  <c r="FT25" i="2" s="1"/>
  <c r="EW25" i="2"/>
  <c r="ET25" i="2"/>
  <c r="EU25" i="2" s="1"/>
  <c r="EQ25" i="2"/>
  <c r="ER25" i="2" s="1"/>
  <c r="EJ25" i="2"/>
  <c r="DX25" i="2"/>
  <c r="DP25" i="2"/>
  <c r="DF25" i="2"/>
  <c r="DG25" i="2" s="1"/>
  <c r="DE25" i="2"/>
  <c r="CY25" i="2"/>
  <c r="CZ25" i="2" s="1"/>
  <c r="CF25" i="2"/>
  <c r="CH25" i="2"/>
  <c r="CA25" i="2"/>
  <c r="BO25" i="2"/>
  <c r="BJ25" i="2"/>
  <c r="BM25" i="2" s="1"/>
  <c r="BN25" i="2" s="1"/>
  <c r="BC25" i="2"/>
  <c r="AZ25" i="2"/>
  <c r="AY25" i="2"/>
  <c r="AO25" i="2"/>
  <c r="AN25" i="2"/>
  <c r="AM25" i="2"/>
  <c r="AL25" i="2"/>
  <c r="AK25" i="2"/>
  <c r="AG25" i="2"/>
  <c r="AE25" i="2"/>
  <c r="AF25" i="2" s="1"/>
  <c r="U25" i="2"/>
  <c r="S25" i="2"/>
  <c r="T25" i="2" s="1"/>
  <c r="R25" i="2"/>
  <c r="X25" i="2" s="1"/>
  <c r="AA25" i="2" s="1"/>
  <c r="E25" i="2"/>
  <c r="GR24" i="2"/>
  <c r="GS24" i="2" s="1"/>
  <c r="GP24" i="2"/>
  <c r="GQ24" i="2" s="1"/>
  <c r="GN24" i="2"/>
  <c r="GO24" i="2" s="1"/>
  <c r="GL24" i="2"/>
  <c r="GM24" i="2" s="1"/>
  <c r="GH24" i="2"/>
  <c r="GG24" i="2"/>
  <c r="GI24" i="2" s="1"/>
  <c r="GD24" i="2"/>
  <c r="GC24" i="2"/>
  <c r="GB24" i="2"/>
  <c r="FY24" i="2"/>
  <c r="FZ24" i="2" s="1"/>
  <c r="FS24" i="2"/>
  <c r="FT24" i="2" s="1"/>
  <c r="EW24" i="2"/>
  <c r="ET24" i="2"/>
  <c r="EU24" i="2" s="1"/>
  <c r="EQ24" i="2"/>
  <c r="ER24" i="2" s="1"/>
  <c r="EJ24" i="2"/>
  <c r="EE24" i="2"/>
  <c r="EF24" i="2" s="1"/>
  <c r="DX24" i="2"/>
  <c r="DP24" i="2"/>
  <c r="DF24" i="2"/>
  <c r="DG24" i="2" s="1"/>
  <c r="DE24" i="2"/>
  <c r="CY24" i="2"/>
  <c r="CZ24" i="2" s="1"/>
  <c r="CF24" i="2"/>
  <c r="CH24" i="2"/>
  <c r="CA24" i="2"/>
  <c r="BO24" i="2"/>
  <c r="BJ24" i="2"/>
  <c r="BM24" i="2" s="1"/>
  <c r="BN24" i="2" s="1"/>
  <c r="BC24" i="2"/>
  <c r="AZ24" i="2"/>
  <c r="AY24" i="2"/>
  <c r="AO24" i="2"/>
  <c r="AN24" i="2"/>
  <c r="AM24" i="2"/>
  <c r="AL24" i="2"/>
  <c r="AK24" i="2"/>
  <c r="AG24" i="2"/>
  <c r="AE24" i="2"/>
  <c r="AF24" i="2" s="1"/>
  <c r="U24" i="2"/>
  <c r="S24" i="2"/>
  <c r="T24" i="2" s="1"/>
  <c r="R24" i="2"/>
  <c r="X24" i="2" s="1"/>
  <c r="AA24" i="2" s="1"/>
  <c r="E24" i="2"/>
  <c r="GR23" i="2"/>
  <c r="GS23" i="2" s="1"/>
  <c r="GP23" i="2"/>
  <c r="GQ23" i="2" s="1"/>
  <c r="GN23" i="2"/>
  <c r="GO23" i="2" s="1"/>
  <c r="GL23" i="2"/>
  <c r="GM23" i="2" s="1"/>
  <c r="GH23" i="2"/>
  <c r="GG23" i="2"/>
  <c r="GI23" i="2" s="1"/>
  <c r="GD23" i="2"/>
  <c r="GC23" i="2"/>
  <c r="GB23" i="2"/>
  <c r="FY23" i="2"/>
  <c r="FZ23" i="2" s="1"/>
  <c r="FS23" i="2"/>
  <c r="FT23" i="2" s="1"/>
  <c r="EW23" i="2"/>
  <c r="ET23" i="2"/>
  <c r="EU23" i="2" s="1"/>
  <c r="EQ23" i="2"/>
  <c r="ER23" i="2" s="1"/>
  <c r="EJ23" i="2"/>
  <c r="EE23" i="2"/>
  <c r="EF23" i="2" s="1"/>
  <c r="DX23" i="2"/>
  <c r="DP23" i="2"/>
  <c r="DF23" i="2"/>
  <c r="DG23" i="2" s="1"/>
  <c r="DE23" i="2"/>
  <c r="CY23" i="2"/>
  <c r="CZ23" i="2" s="1"/>
  <c r="CF23" i="2"/>
  <c r="CH23" i="2"/>
  <c r="CA23" i="2"/>
  <c r="BO23" i="2"/>
  <c r="BJ23" i="2"/>
  <c r="BM23" i="2" s="1"/>
  <c r="BN23" i="2" s="1"/>
  <c r="BC23" i="2"/>
  <c r="AZ23" i="2"/>
  <c r="AY23" i="2"/>
  <c r="AO23" i="2"/>
  <c r="AN23" i="2"/>
  <c r="AM23" i="2"/>
  <c r="AL23" i="2"/>
  <c r="AK23" i="2"/>
  <c r="AG23" i="2"/>
  <c r="AE23" i="2"/>
  <c r="AF23" i="2" s="1"/>
  <c r="U23" i="2"/>
  <c r="S23" i="2"/>
  <c r="T23" i="2" s="1"/>
  <c r="R23" i="2"/>
  <c r="X23" i="2" s="1"/>
  <c r="E23" i="2"/>
  <c r="GR22" i="2"/>
  <c r="GS22" i="2" s="1"/>
  <c r="GP22" i="2"/>
  <c r="GQ22" i="2" s="1"/>
  <c r="DO22" i="2" s="1"/>
  <c r="EC22" i="2" s="1"/>
  <c r="GN22" i="2"/>
  <c r="GO22" i="2" s="1"/>
  <c r="GL22" i="2"/>
  <c r="GM22" i="2" s="1"/>
  <c r="GH22" i="2"/>
  <c r="GG22" i="2"/>
  <c r="GI22" i="2" s="1"/>
  <c r="GD22" i="2"/>
  <c r="GC22" i="2"/>
  <c r="GB22" i="2"/>
  <c r="FY22" i="2"/>
  <c r="FZ22" i="2" s="1"/>
  <c r="FS22" i="2"/>
  <c r="FT22" i="2" s="1"/>
  <c r="EW22" i="2"/>
  <c r="ET22" i="2"/>
  <c r="EU22" i="2" s="1"/>
  <c r="EQ22" i="2"/>
  <c r="ER22" i="2" s="1"/>
  <c r="EJ22" i="2"/>
  <c r="EE22" i="2"/>
  <c r="EF22" i="2" s="1"/>
  <c r="DX22" i="2"/>
  <c r="DP22" i="2"/>
  <c r="DF22" i="2"/>
  <c r="DG22" i="2" s="1"/>
  <c r="DE22" i="2"/>
  <c r="CY22" i="2"/>
  <c r="CZ22" i="2" s="1"/>
  <c r="CF22" i="2"/>
  <c r="CH22" i="2"/>
  <c r="CA22" i="2"/>
  <c r="BO22" i="2"/>
  <c r="BJ22" i="2"/>
  <c r="BM22" i="2" s="1"/>
  <c r="BN22" i="2" s="1"/>
  <c r="BC22" i="2"/>
  <c r="AZ22" i="2"/>
  <c r="AY22" i="2"/>
  <c r="AO22" i="2"/>
  <c r="AN22" i="2"/>
  <c r="AM22" i="2"/>
  <c r="AL22" i="2"/>
  <c r="AK22" i="2"/>
  <c r="AG22" i="2"/>
  <c r="AE22" i="2"/>
  <c r="AF22" i="2" s="1"/>
  <c r="U22" i="2"/>
  <c r="S22" i="2"/>
  <c r="T22" i="2" s="1"/>
  <c r="R22" i="2"/>
  <c r="X22" i="2" s="1"/>
  <c r="AA22" i="2" s="1"/>
  <c r="E22" i="2"/>
  <c r="GR21" i="2"/>
  <c r="GS21" i="2" s="1"/>
  <c r="GP21" i="2"/>
  <c r="GQ21" i="2" s="1"/>
  <c r="DO21" i="2" s="1"/>
  <c r="GN21" i="2"/>
  <c r="GO21" i="2" s="1"/>
  <c r="GL21" i="2"/>
  <c r="GM21" i="2" s="1"/>
  <c r="GH21" i="2"/>
  <c r="GG21" i="2"/>
  <c r="GI21" i="2" s="1"/>
  <c r="GD21" i="2"/>
  <c r="GC21" i="2"/>
  <c r="GB21" i="2"/>
  <c r="FY21" i="2"/>
  <c r="FZ21" i="2" s="1"/>
  <c r="FS21" i="2"/>
  <c r="FT21" i="2" s="1"/>
  <c r="EW21" i="2"/>
  <c r="ET21" i="2"/>
  <c r="EU21" i="2" s="1"/>
  <c r="EQ21" i="2"/>
  <c r="ER21" i="2" s="1"/>
  <c r="EJ21" i="2"/>
  <c r="EE21" i="2"/>
  <c r="EF21" i="2" s="1"/>
  <c r="DX21" i="2"/>
  <c r="DP21" i="2"/>
  <c r="DF21" i="2"/>
  <c r="DH21" i="2" s="1"/>
  <c r="DE21" i="2"/>
  <c r="CY21" i="2"/>
  <c r="CZ21" i="2" s="1"/>
  <c r="CF21" i="2"/>
  <c r="CH21" i="2"/>
  <c r="CA21" i="2"/>
  <c r="BO21" i="2"/>
  <c r="BJ21" i="2"/>
  <c r="BM21" i="2" s="1"/>
  <c r="BN21" i="2" s="1"/>
  <c r="BC21" i="2"/>
  <c r="AZ21" i="2"/>
  <c r="AY21" i="2"/>
  <c r="AO21" i="2"/>
  <c r="AN21" i="2"/>
  <c r="AM21" i="2"/>
  <c r="AL21" i="2"/>
  <c r="AK21" i="2"/>
  <c r="AG21" i="2"/>
  <c r="AE21" i="2"/>
  <c r="AF21" i="2" s="1"/>
  <c r="U21" i="2"/>
  <c r="S21" i="2"/>
  <c r="T21" i="2" s="1"/>
  <c r="R21" i="2"/>
  <c r="Y21" i="2" s="1"/>
  <c r="AB21" i="2" s="1"/>
  <c r="E21" i="2"/>
  <c r="GR20" i="2"/>
  <c r="GS20" i="2" s="1"/>
  <c r="GP20" i="2"/>
  <c r="GQ20" i="2" s="1"/>
  <c r="GN20" i="2"/>
  <c r="GO20" i="2" s="1"/>
  <c r="GL20" i="2"/>
  <c r="GM20" i="2" s="1"/>
  <c r="GH20" i="2"/>
  <c r="GG20" i="2"/>
  <c r="GI20" i="2" s="1"/>
  <c r="GD20" i="2"/>
  <c r="GC20" i="2"/>
  <c r="GB20" i="2"/>
  <c r="FY20" i="2"/>
  <c r="FZ20" i="2" s="1"/>
  <c r="FS20" i="2"/>
  <c r="FT20" i="2" s="1"/>
  <c r="EW20" i="2"/>
  <c r="ET20" i="2"/>
  <c r="EU20" i="2" s="1"/>
  <c r="EQ20" i="2"/>
  <c r="ER20" i="2" s="1"/>
  <c r="EJ20" i="2"/>
  <c r="EE20" i="2"/>
  <c r="EF20" i="2" s="1"/>
  <c r="DX20" i="2"/>
  <c r="DP20" i="2"/>
  <c r="DF20" i="2"/>
  <c r="DH20" i="2" s="1"/>
  <c r="DE20" i="2"/>
  <c r="CY20" i="2"/>
  <c r="CZ20" i="2" s="1"/>
  <c r="CF20" i="2"/>
  <c r="CH20" i="2"/>
  <c r="CA20" i="2"/>
  <c r="BO20" i="2"/>
  <c r="BJ20" i="2"/>
  <c r="BM20" i="2" s="1"/>
  <c r="BN20" i="2" s="1"/>
  <c r="BC20" i="2"/>
  <c r="AZ20" i="2"/>
  <c r="AY20" i="2"/>
  <c r="AO20" i="2"/>
  <c r="AN20" i="2"/>
  <c r="AM20" i="2"/>
  <c r="AL20" i="2"/>
  <c r="AK20" i="2"/>
  <c r="AG20" i="2"/>
  <c r="AE20" i="2"/>
  <c r="AF20" i="2" s="1"/>
  <c r="U20" i="2"/>
  <c r="S20" i="2"/>
  <c r="T20" i="2" s="1"/>
  <c r="R20" i="2"/>
  <c r="E20" i="2"/>
  <c r="GR19" i="2"/>
  <c r="GS19" i="2" s="1"/>
  <c r="GP19" i="2"/>
  <c r="GQ19" i="2" s="1"/>
  <c r="DO19" i="2" s="1"/>
  <c r="EH19" i="2" s="1"/>
  <c r="GN19" i="2"/>
  <c r="GO19" i="2" s="1"/>
  <c r="GL19" i="2"/>
  <c r="GM19" i="2" s="1"/>
  <c r="GH19" i="2"/>
  <c r="GG19" i="2"/>
  <c r="GI19" i="2" s="1"/>
  <c r="GD19" i="2"/>
  <c r="GC19" i="2"/>
  <c r="GB19" i="2"/>
  <c r="FY19" i="2"/>
  <c r="FZ19" i="2" s="1"/>
  <c r="FS19" i="2"/>
  <c r="FT19" i="2" s="1"/>
  <c r="EW19" i="2"/>
  <c r="ET19" i="2"/>
  <c r="EU19" i="2" s="1"/>
  <c r="EQ19" i="2"/>
  <c r="ER19" i="2" s="1"/>
  <c r="EJ19" i="2"/>
  <c r="EE19" i="2"/>
  <c r="EF19" i="2" s="1"/>
  <c r="DX19" i="2"/>
  <c r="DP19" i="2"/>
  <c r="DF19" i="2"/>
  <c r="DH19" i="2" s="1"/>
  <c r="DE19" i="2"/>
  <c r="CY19" i="2"/>
  <c r="CZ19" i="2" s="1"/>
  <c r="CF19" i="2"/>
  <c r="CH19" i="2"/>
  <c r="CA19" i="2"/>
  <c r="CR19" i="2"/>
  <c r="BO19" i="2"/>
  <c r="BM19" i="2"/>
  <c r="BN19" i="2" s="1"/>
  <c r="BK19" i="2"/>
  <c r="CL19" i="2" s="1"/>
  <c r="BC19" i="2"/>
  <c r="AZ19" i="2"/>
  <c r="AY19" i="2"/>
  <c r="AO19" i="2"/>
  <c r="AN19" i="2"/>
  <c r="AM19" i="2"/>
  <c r="AL19" i="2"/>
  <c r="AK19" i="2"/>
  <c r="AG19" i="2"/>
  <c r="AE19" i="2"/>
  <c r="AF19" i="2" s="1"/>
  <c r="U19" i="2"/>
  <c r="S19" i="2"/>
  <c r="T19" i="2" s="1"/>
  <c r="R19" i="2"/>
  <c r="X19" i="2" s="1"/>
  <c r="E19" i="2"/>
  <c r="GR18" i="2"/>
  <c r="GS18" i="2" s="1"/>
  <c r="GP18" i="2"/>
  <c r="GQ18" i="2" s="1"/>
  <c r="DU18" i="2" s="1"/>
  <c r="GN18" i="2"/>
  <c r="GO18" i="2" s="1"/>
  <c r="GL18" i="2"/>
  <c r="GM18" i="2" s="1"/>
  <c r="GH18" i="2"/>
  <c r="GG18" i="2"/>
  <c r="GI18" i="2" s="1"/>
  <c r="GD18" i="2"/>
  <c r="GC18" i="2"/>
  <c r="GB18" i="2"/>
  <c r="FY18" i="2"/>
  <c r="GA18" i="2" s="1"/>
  <c r="FS18" i="2"/>
  <c r="FT18" i="2" s="1"/>
  <c r="EW18" i="2"/>
  <c r="ET18" i="2"/>
  <c r="EU18" i="2" s="1"/>
  <c r="EQ18" i="2"/>
  <c r="ER18" i="2" s="1"/>
  <c r="EJ18" i="2"/>
  <c r="EE18" i="2"/>
  <c r="EF18" i="2" s="1"/>
  <c r="DX18" i="2"/>
  <c r="DP18" i="2"/>
  <c r="DF18" i="2"/>
  <c r="DH18" i="2" s="1"/>
  <c r="DE18" i="2"/>
  <c r="CY18" i="2"/>
  <c r="CZ18" i="2" s="1"/>
  <c r="CF18" i="2"/>
  <c r="CH18" i="2"/>
  <c r="CA18" i="2"/>
  <c r="DA18" i="2"/>
  <c r="DB18" i="2" s="1"/>
  <c r="BO18" i="2"/>
  <c r="BJ18" i="2"/>
  <c r="BK18" i="2" s="1"/>
  <c r="CL18" i="2" s="1"/>
  <c r="BC18" i="2"/>
  <c r="AZ18" i="2"/>
  <c r="AY18" i="2"/>
  <c r="AO18" i="2"/>
  <c r="AN18" i="2"/>
  <c r="AM18" i="2"/>
  <c r="AL18" i="2"/>
  <c r="AK18" i="2"/>
  <c r="AG18" i="2"/>
  <c r="AE18" i="2"/>
  <c r="AF18" i="2" s="1"/>
  <c r="U18" i="2"/>
  <c r="S18" i="2"/>
  <c r="T18" i="2" s="1"/>
  <c r="R18" i="2"/>
  <c r="Y18" i="2" s="1"/>
  <c r="AB18" i="2" s="1"/>
  <c r="E18" i="2"/>
  <c r="GR17" i="2"/>
  <c r="GS17" i="2" s="1"/>
  <c r="GP17" i="2"/>
  <c r="GQ17" i="2" s="1"/>
  <c r="DU17" i="2" s="1"/>
  <c r="GN17" i="2"/>
  <c r="GO17" i="2" s="1"/>
  <c r="GL17" i="2"/>
  <c r="GM17" i="2" s="1"/>
  <c r="GH17" i="2"/>
  <c r="GG17" i="2"/>
  <c r="GI17" i="2" s="1"/>
  <c r="GD17" i="2"/>
  <c r="GC17" i="2"/>
  <c r="GB17" i="2"/>
  <c r="FY17" i="2"/>
  <c r="FZ17" i="2" s="1"/>
  <c r="FS17" i="2"/>
  <c r="FT17" i="2" s="1"/>
  <c r="EW17" i="2"/>
  <c r="ET17" i="2"/>
  <c r="EU17" i="2" s="1"/>
  <c r="EQ17" i="2"/>
  <c r="ER17" i="2" s="1"/>
  <c r="EJ17" i="2"/>
  <c r="EE17" i="2"/>
  <c r="EF17" i="2" s="1"/>
  <c r="DX17" i="2"/>
  <c r="DP17" i="2"/>
  <c r="DF17" i="2"/>
  <c r="DH17" i="2" s="1"/>
  <c r="DE17" i="2"/>
  <c r="CY17" i="2"/>
  <c r="CZ17" i="2" s="1"/>
  <c r="CF17" i="2"/>
  <c r="CH17" i="2"/>
  <c r="CA17" i="2"/>
  <c r="DA17" i="2"/>
  <c r="DB17" i="2" s="1"/>
  <c r="BO17" i="2"/>
  <c r="BJ17" i="2"/>
  <c r="BK17" i="2" s="1"/>
  <c r="CL17" i="2" s="1"/>
  <c r="BC17" i="2"/>
  <c r="AZ17" i="2"/>
  <c r="AY17" i="2"/>
  <c r="AO17" i="2"/>
  <c r="AN17" i="2"/>
  <c r="AM17" i="2"/>
  <c r="AL17" i="2"/>
  <c r="AK17" i="2"/>
  <c r="AG17" i="2"/>
  <c r="AE17" i="2"/>
  <c r="AF17" i="2" s="1"/>
  <c r="U17" i="2"/>
  <c r="S17" i="2"/>
  <c r="R17" i="2"/>
  <c r="X17" i="2" s="1"/>
  <c r="AA17" i="2" s="1"/>
  <c r="E17" i="2"/>
  <c r="GR16" i="2"/>
  <c r="GS16" i="2" s="1"/>
  <c r="GP16" i="2"/>
  <c r="GQ16" i="2" s="1"/>
  <c r="DU16" i="2" s="1"/>
  <c r="GN16" i="2"/>
  <c r="GO16" i="2" s="1"/>
  <c r="GL16" i="2"/>
  <c r="GM16" i="2" s="1"/>
  <c r="GH16" i="2"/>
  <c r="GG16" i="2"/>
  <c r="GI16" i="2" s="1"/>
  <c r="GD16" i="2"/>
  <c r="GC16" i="2"/>
  <c r="GB16" i="2"/>
  <c r="FY16" i="2"/>
  <c r="FZ16" i="2" s="1"/>
  <c r="FS16" i="2"/>
  <c r="FT16" i="2" s="1"/>
  <c r="EW16" i="2"/>
  <c r="ET16" i="2"/>
  <c r="EU16" i="2" s="1"/>
  <c r="EQ16" i="2"/>
  <c r="ER16" i="2" s="1"/>
  <c r="EJ16" i="2"/>
  <c r="EE16" i="2"/>
  <c r="EF16" i="2" s="1"/>
  <c r="DX16" i="2"/>
  <c r="DP16" i="2"/>
  <c r="DF16" i="2"/>
  <c r="DH16" i="2" s="1"/>
  <c r="DE16" i="2"/>
  <c r="CY16" i="2"/>
  <c r="CZ16" i="2" s="1"/>
  <c r="CF16" i="2"/>
  <c r="CH16" i="2"/>
  <c r="CA16" i="2"/>
  <c r="DA16" i="2"/>
  <c r="DB16" i="2" s="1"/>
  <c r="BO16" i="2"/>
  <c r="BJ16" i="2"/>
  <c r="BK16" i="2" s="1"/>
  <c r="CL16" i="2" s="1"/>
  <c r="BC16" i="2"/>
  <c r="AZ16" i="2"/>
  <c r="AY16" i="2"/>
  <c r="AO16" i="2"/>
  <c r="AN16" i="2"/>
  <c r="AM16" i="2"/>
  <c r="AL16" i="2"/>
  <c r="AK16" i="2"/>
  <c r="AG16" i="2"/>
  <c r="AE16" i="2"/>
  <c r="AF16" i="2" s="1"/>
  <c r="U16" i="2"/>
  <c r="S16" i="2"/>
  <c r="T16" i="2" s="1"/>
  <c r="R16" i="2"/>
  <c r="Y16" i="2" s="1"/>
  <c r="AB16" i="2" s="1"/>
  <c r="E16" i="2"/>
  <c r="GR15" i="2"/>
  <c r="GS15" i="2" s="1"/>
  <c r="GP15" i="2"/>
  <c r="GQ15" i="2" s="1"/>
  <c r="DU15" i="2" s="1"/>
  <c r="GN15" i="2"/>
  <c r="GO15" i="2" s="1"/>
  <c r="GL15" i="2"/>
  <c r="GM15" i="2" s="1"/>
  <c r="GH15" i="2"/>
  <c r="GG15" i="2"/>
  <c r="GI15" i="2" s="1"/>
  <c r="GD15" i="2"/>
  <c r="GC15" i="2"/>
  <c r="GB15" i="2"/>
  <c r="FY15" i="2"/>
  <c r="GA15" i="2" s="1"/>
  <c r="FS15" i="2"/>
  <c r="FT15" i="2" s="1"/>
  <c r="EW15" i="2"/>
  <c r="ET15" i="2"/>
  <c r="EU15" i="2" s="1"/>
  <c r="EQ15" i="2"/>
  <c r="ER15" i="2" s="1"/>
  <c r="EJ15" i="2"/>
  <c r="EE15" i="2"/>
  <c r="EF15" i="2" s="1"/>
  <c r="DX15" i="2"/>
  <c r="DP15" i="2"/>
  <c r="DF15" i="2"/>
  <c r="DH15" i="2" s="1"/>
  <c r="DE15" i="2"/>
  <c r="CY15" i="2"/>
  <c r="CZ15" i="2" s="1"/>
  <c r="CF15" i="2"/>
  <c r="CH15" i="2"/>
  <c r="CA15" i="2"/>
  <c r="BO15" i="2"/>
  <c r="BJ15" i="2"/>
  <c r="BK15" i="2" s="1"/>
  <c r="CL15" i="2" s="1"/>
  <c r="BC15" i="2"/>
  <c r="AZ15" i="2"/>
  <c r="AY15" i="2"/>
  <c r="AO15" i="2"/>
  <c r="AN15" i="2"/>
  <c r="AM15" i="2"/>
  <c r="AL15" i="2"/>
  <c r="AK15" i="2"/>
  <c r="AG15" i="2"/>
  <c r="AE15" i="2"/>
  <c r="AF15" i="2" s="1"/>
  <c r="U15" i="2"/>
  <c r="S15" i="2"/>
  <c r="R15" i="2"/>
  <c r="Y15" i="2" s="1"/>
  <c r="AB15" i="2" s="1"/>
  <c r="E15" i="2"/>
  <c r="GR116" i="2"/>
  <c r="GS116" i="2" s="1"/>
  <c r="GP116" i="2"/>
  <c r="GQ116" i="2" s="1"/>
  <c r="GN116" i="2"/>
  <c r="GO116" i="2" s="1"/>
  <c r="GL116" i="2"/>
  <c r="GM116" i="2" s="1"/>
  <c r="GH116" i="2"/>
  <c r="GG116" i="2"/>
  <c r="GI116" i="2" s="1"/>
  <c r="GD116" i="2"/>
  <c r="GC116" i="2"/>
  <c r="GB116" i="2"/>
  <c r="FY116" i="2"/>
  <c r="GA116" i="2" s="1"/>
  <c r="FS116" i="2"/>
  <c r="FT116" i="2" s="1"/>
  <c r="EW116" i="2"/>
  <c r="ET116" i="2"/>
  <c r="EU116" i="2" s="1"/>
  <c r="EQ116" i="2"/>
  <c r="ER116" i="2" s="1"/>
  <c r="EJ116" i="2"/>
  <c r="EE116" i="2"/>
  <c r="EF116" i="2" s="1"/>
  <c r="DX116" i="2"/>
  <c r="DP116" i="2"/>
  <c r="DF116" i="2"/>
  <c r="DH116" i="2" s="1"/>
  <c r="DE116" i="2"/>
  <c r="CY116" i="2"/>
  <c r="CZ116" i="2" s="1"/>
  <c r="CF116" i="2"/>
  <c r="CH116" i="2"/>
  <c r="CA116" i="2"/>
  <c r="CW116" i="2"/>
  <c r="BO116" i="2"/>
  <c r="BJ116" i="2"/>
  <c r="BK116" i="2" s="1"/>
  <c r="CL116" i="2" s="1"/>
  <c r="BC116" i="2"/>
  <c r="AZ116" i="2"/>
  <c r="AY116" i="2"/>
  <c r="AO116" i="2"/>
  <c r="AN116" i="2"/>
  <c r="AM116" i="2"/>
  <c r="AL116" i="2"/>
  <c r="AK116" i="2"/>
  <c r="AG116" i="2"/>
  <c r="AE116" i="2"/>
  <c r="AF116" i="2" s="1"/>
  <c r="U116" i="2"/>
  <c r="S116" i="2"/>
  <c r="T116" i="2" s="1"/>
  <c r="R116" i="2"/>
  <c r="Y116" i="2" s="1"/>
  <c r="AB116" i="2" s="1"/>
  <c r="E116" i="2"/>
  <c r="GR13" i="2"/>
  <c r="GS13" i="2" s="1"/>
  <c r="GP13" i="2"/>
  <c r="GQ13" i="2" s="1"/>
  <c r="GN13" i="2"/>
  <c r="GO13" i="2" s="1"/>
  <c r="GL13" i="2"/>
  <c r="GM13" i="2" s="1"/>
  <c r="GH13" i="2"/>
  <c r="GG13" i="2"/>
  <c r="GI13" i="2" s="1"/>
  <c r="GD13" i="2"/>
  <c r="GC13" i="2"/>
  <c r="GB13" i="2"/>
  <c r="FY13" i="2"/>
  <c r="FZ13" i="2" s="1"/>
  <c r="FS13" i="2"/>
  <c r="FT13" i="2" s="1"/>
  <c r="EW13" i="2"/>
  <c r="ET13" i="2"/>
  <c r="EU13" i="2" s="1"/>
  <c r="EQ13" i="2"/>
  <c r="ER13" i="2" s="1"/>
  <c r="EJ13" i="2"/>
  <c r="EE13" i="2"/>
  <c r="EF13" i="2" s="1"/>
  <c r="DX13" i="2"/>
  <c r="DP13" i="2"/>
  <c r="DF13" i="2"/>
  <c r="DH13" i="2" s="1"/>
  <c r="DE13" i="2"/>
  <c r="CY13" i="2"/>
  <c r="CZ13" i="2" s="1"/>
  <c r="CF13" i="2"/>
  <c r="CH13" i="2"/>
  <c r="CA13" i="2"/>
  <c r="CW13" i="2"/>
  <c r="BO13" i="2"/>
  <c r="BJ13" i="2"/>
  <c r="BK13" i="2" s="1"/>
  <c r="CL13" i="2" s="1"/>
  <c r="BC13" i="2"/>
  <c r="AZ13" i="2"/>
  <c r="AY13" i="2"/>
  <c r="AO13" i="2"/>
  <c r="AN13" i="2"/>
  <c r="AM13" i="2"/>
  <c r="AL13" i="2"/>
  <c r="AK13" i="2"/>
  <c r="AG13" i="2"/>
  <c r="AE13" i="2"/>
  <c r="AF13" i="2" s="1"/>
  <c r="U13" i="2"/>
  <c r="S13" i="2"/>
  <c r="R13" i="2"/>
  <c r="X13" i="2" s="1"/>
  <c r="AA13" i="2" s="1"/>
  <c r="E13" i="2"/>
  <c r="GR12" i="2"/>
  <c r="GS12" i="2" s="1"/>
  <c r="GP12" i="2"/>
  <c r="GQ12" i="2" s="1"/>
  <c r="GN12" i="2"/>
  <c r="GO12" i="2" s="1"/>
  <c r="GL12" i="2"/>
  <c r="GM12" i="2" s="1"/>
  <c r="GH12" i="2"/>
  <c r="GG12" i="2"/>
  <c r="GI12" i="2" s="1"/>
  <c r="GD12" i="2"/>
  <c r="GC12" i="2"/>
  <c r="GB12" i="2"/>
  <c r="FY12" i="2"/>
  <c r="FZ12" i="2" s="1"/>
  <c r="FS12" i="2"/>
  <c r="FT12" i="2" s="1"/>
  <c r="EW12" i="2"/>
  <c r="ET12" i="2"/>
  <c r="EU12" i="2" s="1"/>
  <c r="EQ12" i="2"/>
  <c r="ER12" i="2" s="1"/>
  <c r="EJ12" i="2"/>
  <c r="EE12" i="2"/>
  <c r="EF12" i="2" s="1"/>
  <c r="DX12" i="2"/>
  <c r="DP12" i="2"/>
  <c r="DF12" i="2"/>
  <c r="DH12" i="2" s="1"/>
  <c r="DE12" i="2"/>
  <c r="CY12" i="2"/>
  <c r="CZ12" i="2" s="1"/>
  <c r="CF12" i="2"/>
  <c r="CH12" i="2"/>
  <c r="CA12" i="2"/>
  <c r="CW12" i="2"/>
  <c r="BO12" i="2"/>
  <c r="BJ12" i="2"/>
  <c r="BK12" i="2" s="1"/>
  <c r="CL12" i="2" s="1"/>
  <c r="BC12" i="2"/>
  <c r="AZ12" i="2"/>
  <c r="AY12" i="2"/>
  <c r="AO12" i="2"/>
  <c r="AN12" i="2"/>
  <c r="AM12" i="2"/>
  <c r="AL12" i="2"/>
  <c r="AK12" i="2"/>
  <c r="AG12" i="2"/>
  <c r="AE12" i="2"/>
  <c r="AF12" i="2" s="1"/>
  <c r="U12" i="2"/>
  <c r="S12" i="2"/>
  <c r="R12" i="2"/>
  <c r="Y12" i="2" s="1"/>
  <c r="AB12" i="2" s="1"/>
  <c r="E12" i="2"/>
  <c r="GR212" i="2"/>
  <c r="GS212" i="2" s="1"/>
  <c r="GP212" i="2"/>
  <c r="GQ212" i="2" s="1"/>
  <c r="GN212" i="2"/>
  <c r="GO212" i="2" s="1"/>
  <c r="GL212" i="2"/>
  <c r="GM212" i="2" s="1"/>
  <c r="GH212" i="2"/>
  <c r="GG212" i="2"/>
  <c r="GI212" i="2" s="1"/>
  <c r="GD212" i="2"/>
  <c r="GC212" i="2"/>
  <c r="GB212" i="2"/>
  <c r="FY212" i="2"/>
  <c r="GA212" i="2" s="1"/>
  <c r="FS212" i="2"/>
  <c r="FT212" i="2" s="1"/>
  <c r="EW212" i="2"/>
  <c r="ET212" i="2"/>
  <c r="EU212" i="2" s="1"/>
  <c r="EQ212" i="2"/>
  <c r="ER212" i="2" s="1"/>
  <c r="EJ212" i="2"/>
  <c r="EE212" i="2"/>
  <c r="EF212" i="2" s="1"/>
  <c r="DX212" i="2"/>
  <c r="DP212" i="2"/>
  <c r="DF212" i="2"/>
  <c r="DH212" i="2" s="1"/>
  <c r="DE212" i="2"/>
  <c r="CY212" i="2"/>
  <c r="CZ212" i="2" s="1"/>
  <c r="CF212" i="2"/>
  <c r="CH212" i="2"/>
  <c r="CA212" i="2"/>
  <c r="CW212" i="2"/>
  <c r="BO212" i="2"/>
  <c r="BJ212" i="2"/>
  <c r="BM212" i="2" s="1"/>
  <c r="BN212" i="2" s="1"/>
  <c r="BC212" i="2"/>
  <c r="AZ212" i="2"/>
  <c r="AY212" i="2"/>
  <c r="AO212" i="2"/>
  <c r="AN212" i="2"/>
  <c r="AM212" i="2"/>
  <c r="AL212" i="2"/>
  <c r="AI212" i="2"/>
  <c r="AK212" i="2" s="1"/>
  <c r="AG212" i="2"/>
  <c r="AE212" i="2"/>
  <c r="AF212" i="2" s="1"/>
  <c r="U212" i="2"/>
  <c r="S212" i="2"/>
  <c r="T212" i="2" s="1"/>
  <c r="R212" i="2"/>
  <c r="Y212" i="2" s="1"/>
  <c r="AB212" i="2" s="1"/>
  <c r="E212" i="2"/>
  <c r="GR10" i="2"/>
  <c r="GS10" i="2" s="1"/>
  <c r="GP10" i="2"/>
  <c r="GQ10" i="2" s="1"/>
  <c r="GN10" i="2"/>
  <c r="GO10" i="2" s="1"/>
  <c r="GL10" i="2"/>
  <c r="GM10" i="2" s="1"/>
  <c r="GH10" i="2"/>
  <c r="GG10" i="2"/>
  <c r="GI10" i="2" s="1"/>
  <c r="GD10" i="2"/>
  <c r="GC10" i="2"/>
  <c r="GB10" i="2"/>
  <c r="FY10" i="2"/>
  <c r="FZ10" i="2" s="1"/>
  <c r="FS10" i="2"/>
  <c r="FT10" i="2" s="1"/>
  <c r="EW10" i="2"/>
  <c r="ET10" i="2"/>
  <c r="EU10" i="2" s="1"/>
  <c r="EQ10" i="2"/>
  <c r="ER10" i="2" s="1"/>
  <c r="EJ10" i="2"/>
  <c r="EE10" i="2"/>
  <c r="EF10" i="2" s="1"/>
  <c r="DX10" i="2"/>
  <c r="DP10" i="2"/>
  <c r="DF10" i="2"/>
  <c r="DG10" i="2" s="1"/>
  <c r="DE10" i="2"/>
  <c r="CY10" i="2"/>
  <c r="CZ10" i="2" s="1"/>
  <c r="CF10" i="2"/>
  <c r="CH10" i="2"/>
  <c r="CA10" i="2"/>
  <c r="DA10" i="2"/>
  <c r="DB10" i="2" s="1"/>
  <c r="BO10" i="2"/>
  <c r="BJ10" i="2"/>
  <c r="BM10" i="2" s="1"/>
  <c r="BN10" i="2" s="1"/>
  <c r="BC10" i="2"/>
  <c r="AZ10" i="2"/>
  <c r="AY10" i="2"/>
  <c r="AO10" i="2"/>
  <c r="AN10" i="2"/>
  <c r="AM10" i="2"/>
  <c r="AL10" i="2"/>
  <c r="AK10" i="2"/>
  <c r="AG10" i="2"/>
  <c r="AE10" i="2"/>
  <c r="AF10" i="2" s="1"/>
  <c r="U10" i="2"/>
  <c r="S10" i="2"/>
  <c r="T10" i="2" s="1"/>
  <c r="R10" i="2"/>
  <c r="X10" i="2" s="1"/>
  <c r="AA10" i="2" s="1"/>
  <c r="E10" i="2"/>
  <c r="GR9" i="2"/>
  <c r="GS9" i="2" s="1"/>
  <c r="GP9" i="2"/>
  <c r="GQ9" i="2" s="1"/>
  <c r="GN9" i="2"/>
  <c r="GO9" i="2" s="1"/>
  <c r="GL9" i="2"/>
  <c r="GM9" i="2" s="1"/>
  <c r="GH9" i="2"/>
  <c r="GG9" i="2"/>
  <c r="GI9" i="2" s="1"/>
  <c r="GD9" i="2"/>
  <c r="GC9" i="2"/>
  <c r="GB9" i="2"/>
  <c r="FY9" i="2"/>
  <c r="FZ9" i="2" s="1"/>
  <c r="FS9" i="2"/>
  <c r="FT9" i="2" s="1"/>
  <c r="EW9" i="2"/>
  <c r="ET9" i="2"/>
  <c r="EU9" i="2" s="1"/>
  <c r="EQ9" i="2"/>
  <c r="ER9" i="2" s="1"/>
  <c r="EJ9" i="2"/>
  <c r="EE9" i="2"/>
  <c r="EF9" i="2" s="1"/>
  <c r="DX9" i="2"/>
  <c r="DP9" i="2"/>
  <c r="DF9" i="2"/>
  <c r="DG9" i="2" s="1"/>
  <c r="DE9" i="2"/>
  <c r="CY9" i="2"/>
  <c r="CZ9" i="2" s="1"/>
  <c r="CF9" i="2"/>
  <c r="CH9" i="2"/>
  <c r="CA9" i="2"/>
  <c r="DA9" i="2"/>
  <c r="DB9" i="2" s="1"/>
  <c r="BO9" i="2"/>
  <c r="BJ9" i="2"/>
  <c r="BM9" i="2" s="1"/>
  <c r="BN9" i="2" s="1"/>
  <c r="BC9" i="2"/>
  <c r="AZ9" i="2"/>
  <c r="AY9" i="2"/>
  <c r="AO9" i="2"/>
  <c r="AN9" i="2"/>
  <c r="AM9" i="2"/>
  <c r="AL9" i="2"/>
  <c r="AK9" i="2"/>
  <c r="AG9" i="2"/>
  <c r="AE9" i="2"/>
  <c r="AF9" i="2" s="1"/>
  <c r="U9" i="2"/>
  <c r="S9" i="2"/>
  <c r="T9" i="2" s="1"/>
  <c r="R9" i="2"/>
  <c r="Y9" i="2" s="1"/>
  <c r="AB9" i="2" s="1"/>
  <c r="E9" i="2"/>
  <c r="EX5" i="2"/>
  <c r="EZ2" i="2"/>
  <c r="EZ5" i="2" s="1"/>
  <c r="GR167" i="2"/>
  <c r="GR248" i="2"/>
  <c r="GR30" i="2"/>
  <c r="GR175" i="2"/>
  <c r="GN175" i="2"/>
  <c r="GR246" i="2"/>
  <c r="GN201" i="2"/>
  <c r="GR161" i="2"/>
  <c r="GN167" i="2"/>
  <c r="GN202" i="2"/>
  <c r="FF246" i="2" l="1" a="1"/>
  <c r="FF246" i="2" s="1"/>
  <c r="FF111" i="2" a="1"/>
  <c r="FF111" i="2" s="1"/>
  <c r="FJ111" i="2"/>
  <c r="FF87" i="2" a="1"/>
  <c r="FF87" i="2" s="1"/>
  <c r="FJ87" i="2"/>
  <c r="FF213" i="2" a="1"/>
  <c r="FF213" i="2" s="1"/>
  <c r="FJ213" i="2"/>
  <c r="FF215" i="2" a="1"/>
  <c r="FF215" i="2" s="1"/>
  <c r="FJ215" i="2"/>
  <c r="FF202" i="2" a="1"/>
  <c r="FF202" i="2" s="1"/>
  <c r="FJ202" i="2"/>
  <c r="FF62" i="2" a="1"/>
  <c r="FF62" i="2" s="1"/>
  <c r="FJ62" i="2"/>
  <c r="FF99" i="2" a="1"/>
  <c r="FF99" i="2" s="1"/>
  <c r="FJ99" i="2"/>
  <c r="FF101" i="2" a="1"/>
  <c r="FF101" i="2" s="1"/>
  <c r="FJ101" i="2"/>
  <c r="FF117" i="2" a="1"/>
  <c r="FF117" i="2" s="1"/>
  <c r="FJ117" i="2"/>
  <c r="FF134" i="2" a="1"/>
  <c r="FF134" i="2" s="1"/>
  <c r="FJ134" i="2"/>
  <c r="FF147" i="2" a="1"/>
  <c r="FF147" i="2" s="1"/>
  <c r="FJ147" i="2"/>
  <c r="FF169" i="2" a="1"/>
  <c r="FF169" i="2" s="1"/>
  <c r="FJ169" i="2"/>
  <c r="FF204" i="2" a="1"/>
  <c r="FF204" i="2" s="1"/>
  <c r="FJ204" i="2"/>
  <c r="FF206" i="2" a="1"/>
  <c r="FF206" i="2" s="1"/>
  <c r="FJ206" i="2"/>
  <c r="FF58" i="2" a="1"/>
  <c r="FF58" i="2" s="1"/>
  <c r="FJ58" i="2"/>
  <c r="FF149" i="2" a="1"/>
  <c r="FF149" i="2" s="1"/>
  <c r="FJ149" i="2"/>
  <c r="FF9" i="2" a="1"/>
  <c r="FF9" i="2" s="1"/>
  <c r="FJ9" i="2"/>
  <c r="FF18" i="2" a="1"/>
  <c r="FF18" i="2" s="1"/>
  <c r="FJ18" i="2"/>
  <c r="FF89" i="2" a="1"/>
  <c r="FF89" i="2" s="1"/>
  <c r="FJ89" i="2"/>
  <c r="FF91" i="2" a="1"/>
  <c r="FF91" i="2" s="1"/>
  <c r="FJ91" i="2"/>
  <c r="FF93" i="2" a="1"/>
  <c r="FF93" i="2" s="1"/>
  <c r="FJ93" i="2"/>
  <c r="FF95" i="2" a="1"/>
  <c r="FF95" i="2" s="1"/>
  <c r="FJ95" i="2"/>
  <c r="FF97" i="2" a="1"/>
  <c r="FF97" i="2" s="1"/>
  <c r="FJ97" i="2"/>
  <c r="FF103" i="2" a="1"/>
  <c r="FF103" i="2" s="1"/>
  <c r="FJ103" i="2"/>
  <c r="FF115" i="2" a="1"/>
  <c r="FF115" i="2" s="1"/>
  <c r="FJ115" i="2"/>
  <c r="FF151" i="2" a="1"/>
  <c r="FF151" i="2" s="1"/>
  <c r="FJ151" i="2"/>
  <c r="FF175" i="2" a="1"/>
  <c r="FF175" i="2" s="1"/>
  <c r="FJ175" i="2"/>
  <c r="FF171" i="2" a="1"/>
  <c r="FF171" i="2" s="1"/>
  <c r="FJ171" i="2"/>
  <c r="FF177" i="2" a="1"/>
  <c r="FF177" i="2" s="1"/>
  <c r="FJ177" i="2"/>
  <c r="FF190" i="2" a="1"/>
  <c r="FF190" i="2" s="1"/>
  <c r="FJ190" i="2"/>
  <c r="FF217" i="2" a="1"/>
  <c r="FF217" i="2" s="1"/>
  <c r="FJ217" i="2"/>
  <c r="FF221" i="2" a="1"/>
  <c r="FF221" i="2" s="1"/>
  <c r="FJ221" i="2"/>
  <c r="FF247" i="2" a="1"/>
  <c r="FF247" i="2" s="1"/>
  <c r="FJ247" i="2"/>
  <c r="FF143" i="2" a="1"/>
  <c r="FF143" i="2" s="1"/>
  <c r="FJ143" i="2"/>
  <c r="FF188" i="2" a="1"/>
  <c r="FF188" i="2" s="1"/>
  <c r="FJ188" i="2"/>
  <c r="FF45" i="2" a="1"/>
  <c r="FF45" i="2" s="1"/>
  <c r="FJ45" i="2"/>
  <c r="FF26" i="2" a="1"/>
  <c r="FF26" i="2" s="1"/>
  <c r="FJ26" i="2"/>
  <c r="FF28" i="2" a="1"/>
  <c r="FF28" i="2" s="1"/>
  <c r="FJ28" i="2"/>
  <c r="FF14" i="2" a="1"/>
  <c r="FF14" i="2" s="1"/>
  <c r="FJ14" i="2"/>
  <c r="FF32" i="2" a="1"/>
  <c r="FF32" i="2" s="1"/>
  <c r="FJ32" i="2"/>
  <c r="FF34" i="2" a="1"/>
  <c r="FF34" i="2" s="1"/>
  <c r="FJ34" i="2"/>
  <c r="FF49" i="2" a="1"/>
  <c r="FF49" i="2" s="1"/>
  <c r="FJ49" i="2"/>
  <c r="FF69" i="2" a="1"/>
  <c r="FF69" i="2" s="1"/>
  <c r="FJ69" i="2"/>
  <c r="FF76" i="2" a="1"/>
  <c r="FF76" i="2" s="1"/>
  <c r="FJ76" i="2"/>
  <c r="FF113" i="2" a="1"/>
  <c r="FF113" i="2" s="1"/>
  <c r="FJ113" i="2"/>
  <c r="FF123" i="2" a="1"/>
  <c r="FF123" i="2" s="1"/>
  <c r="FJ123" i="2"/>
  <c r="FF136" i="2" a="1"/>
  <c r="FF136" i="2" s="1"/>
  <c r="FJ136" i="2"/>
  <c r="FF138" i="2" a="1"/>
  <c r="FF138" i="2" s="1"/>
  <c r="FJ138" i="2"/>
  <c r="FF159" i="2" a="1"/>
  <c r="FF159" i="2" s="1"/>
  <c r="FJ159" i="2"/>
  <c r="FF173" i="2" a="1"/>
  <c r="FF173" i="2" s="1"/>
  <c r="FJ173" i="2"/>
  <c r="FF179" i="2" a="1"/>
  <c r="FF179" i="2" s="1"/>
  <c r="FJ179" i="2"/>
  <c r="FF181" i="2" a="1"/>
  <c r="FF181" i="2" s="1"/>
  <c r="FJ181" i="2"/>
  <c r="FF248" i="2" a="1"/>
  <c r="FF248" i="2" s="1"/>
  <c r="FJ248" i="2"/>
  <c r="FF220" i="2" a="1"/>
  <c r="FF220" i="2" s="1"/>
  <c r="FJ220" i="2"/>
  <c r="FF219" i="2" a="1"/>
  <c r="FF219" i="2" s="1"/>
  <c r="FJ219" i="2"/>
  <c r="FF16" i="2" a="1"/>
  <c r="FF16" i="2" s="1"/>
  <c r="FJ16" i="2"/>
  <c r="FF166" i="2" a="1"/>
  <c r="FF166" i="2" s="1"/>
  <c r="FJ166" i="2"/>
  <c r="FF74" i="2" a="1"/>
  <c r="FF74" i="2" s="1"/>
  <c r="FJ74" i="2"/>
  <c r="FF212" i="2" a="1"/>
  <c r="FF212" i="2" s="1"/>
  <c r="FJ212" i="2"/>
  <c r="FF20" i="2" a="1"/>
  <c r="FF20" i="2" s="1"/>
  <c r="FJ20" i="2"/>
  <c r="FF22" i="2" a="1"/>
  <c r="FF22" i="2" s="1"/>
  <c r="FJ22" i="2"/>
  <c r="FF24" i="2" a="1"/>
  <c r="FF24" i="2" s="1"/>
  <c r="FJ24" i="2"/>
  <c r="FF105" i="2" a="1"/>
  <c r="FF105" i="2" s="1"/>
  <c r="FJ105" i="2"/>
  <c r="FF85" i="2" a="1"/>
  <c r="FF85" i="2" s="1"/>
  <c r="FJ85" i="2"/>
  <c r="FF140" i="2" a="1"/>
  <c r="FF140" i="2" s="1"/>
  <c r="FJ140" i="2"/>
  <c r="FF153" i="2" a="1"/>
  <c r="FF153" i="2" s="1"/>
  <c r="FJ153" i="2"/>
  <c r="FF155" i="2" a="1"/>
  <c r="FF155" i="2" s="1"/>
  <c r="FJ155" i="2"/>
  <c r="FF157" i="2" a="1"/>
  <c r="FF157" i="2" s="1"/>
  <c r="FJ157" i="2"/>
  <c r="FF183" i="2" a="1"/>
  <c r="FF183" i="2" s="1"/>
  <c r="FJ183" i="2"/>
  <c r="FF192" i="2" a="1"/>
  <c r="FF192" i="2" s="1"/>
  <c r="FJ192" i="2"/>
  <c r="FF223" i="2" a="1"/>
  <c r="FF223" i="2" s="1"/>
  <c r="FJ223" i="2"/>
  <c r="FF239" i="2" a="1"/>
  <c r="FF239" i="2" s="1"/>
  <c r="FJ239" i="2"/>
  <c r="FF244" i="2" a="1"/>
  <c r="FF244" i="2" s="1"/>
  <c r="FJ244" i="2"/>
  <c r="FF47" i="2" a="1"/>
  <c r="FF47" i="2" s="1"/>
  <c r="FJ47" i="2"/>
  <c r="FF36" i="2" a="1"/>
  <c r="FF36" i="2" s="1"/>
  <c r="FJ36" i="2"/>
  <c r="FF51" i="2" a="1"/>
  <c r="FF51" i="2" s="1"/>
  <c r="FJ51" i="2"/>
  <c r="FF78" i="2" a="1"/>
  <c r="FF78" i="2" s="1"/>
  <c r="FJ78" i="2"/>
  <c r="FF107" i="2" a="1"/>
  <c r="FF107" i="2" s="1"/>
  <c r="FJ107" i="2"/>
  <c r="FF125" i="2" a="1"/>
  <c r="FF125" i="2" s="1"/>
  <c r="FJ125" i="2"/>
  <c r="FF194" i="2" a="1"/>
  <c r="FF194" i="2" s="1"/>
  <c r="FJ194" i="2"/>
  <c r="FF225" i="2" a="1"/>
  <c r="FF225" i="2" s="1"/>
  <c r="FJ225" i="2"/>
  <c r="FF227" i="2" a="1"/>
  <c r="FF227" i="2" s="1"/>
  <c r="FJ227" i="2"/>
  <c r="FF54" i="2" a="1"/>
  <c r="FF54" i="2" s="1"/>
  <c r="FJ54" i="2"/>
  <c r="FF83" i="2" a="1"/>
  <c r="FF83" i="2" s="1"/>
  <c r="FJ83" i="2"/>
  <c r="FF110" i="2" a="1"/>
  <c r="FF110" i="2" s="1"/>
  <c r="FJ110" i="2"/>
  <c r="FF132" i="2" a="1"/>
  <c r="FF132" i="2" s="1"/>
  <c r="FJ132" i="2"/>
  <c r="FF199" i="2" a="1"/>
  <c r="FF199" i="2" s="1"/>
  <c r="FJ199" i="2"/>
  <c r="FF13" i="2" a="1"/>
  <c r="FF13" i="2" s="1"/>
  <c r="FJ13" i="2"/>
  <c r="FF71" i="2" a="1"/>
  <c r="FF71" i="2" s="1"/>
  <c r="FJ71" i="2"/>
  <c r="FF80" i="2" a="1"/>
  <c r="FF80" i="2" s="1"/>
  <c r="FJ80" i="2"/>
  <c r="FF109" i="2" a="1"/>
  <c r="FF109" i="2" s="1"/>
  <c r="FJ109" i="2"/>
  <c r="FF127" i="2" a="1"/>
  <c r="FF127" i="2" s="1"/>
  <c r="FJ127" i="2"/>
  <c r="FF129" i="2" a="1"/>
  <c r="FF129" i="2" s="1"/>
  <c r="FJ129" i="2"/>
  <c r="FF131" i="2" a="1"/>
  <c r="FF131" i="2" s="1"/>
  <c r="FJ131" i="2"/>
  <c r="FF142" i="2" a="1"/>
  <c r="FF142" i="2" s="1"/>
  <c r="FJ142" i="2"/>
  <c r="FF185" i="2" a="1"/>
  <c r="FF185" i="2" s="1"/>
  <c r="FJ185" i="2"/>
  <c r="FF196" i="2" a="1"/>
  <c r="FF196" i="2" s="1"/>
  <c r="FJ196" i="2"/>
  <c r="FF200" i="2" a="1"/>
  <c r="FF200" i="2" s="1"/>
  <c r="FJ200" i="2"/>
  <c r="FF30" i="2" a="1"/>
  <c r="FF30" i="2" s="1"/>
  <c r="FJ30" i="2"/>
  <c r="FF102" i="2" a="1"/>
  <c r="FF102" i="2" s="1"/>
  <c r="FJ102" i="2"/>
  <c r="FF208" i="2" a="1"/>
  <c r="FF208" i="2" s="1"/>
  <c r="FJ208" i="2"/>
  <c r="FF210" i="2" a="1"/>
  <c r="FF210" i="2" s="1"/>
  <c r="FJ210" i="2"/>
  <c r="FF231" i="2" a="1"/>
  <c r="FF231" i="2" s="1"/>
  <c r="FJ231" i="2"/>
  <c r="FF233" i="2" a="1"/>
  <c r="FF233" i="2" s="1"/>
  <c r="FJ233" i="2"/>
  <c r="FF235" i="2" a="1"/>
  <c r="FF235" i="2" s="1"/>
  <c r="FJ235" i="2"/>
  <c r="FF237" i="2" a="1"/>
  <c r="FF237" i="2" s="1"/>
  <c r="FJ237" i="2"/>
  <c r="FF241" i="2" a="1"/>
  <c r="FF241" i="2" s="1"/>
  <c r="FJ241" i="2"/>
  <c r="FF72" i="2" a="1"/>
  <c r="FF72" i="2" s="1"/>
  <c r="FJ72" i="2"/>
  <c r="FF41" i="2" a="1"/>
  <c r="FF41" i="2" s="1"/>
  <c r="FJ41" i="2"/>
  <c r="FF15" i="2" a="1"/>
  <c r="FF15" i="2" s="1"/>
  <c r="FJ15" i="2"/>
  <c r="FF38" i="2" a="1"/>
  <c r="FF38" i="2" s="1"/>
  <c r="FJ38" i="2"/>
  <c r="FF53" i="2" a="1"/>
  <c r="FF53" i="2" s="1"/>
  <c r="FJ53" i="2"/>
  <c r="FF55" i="2" a="1"/>
  <c r="FF55" i="2" s="1"/>
  <c r="FJ55" i="2"/>
  <c r="FF57" i="2" a="1"/>
  <c r="FF57" i="2" s="1"/>
  <c r="FJ57" i="2"/>
  <c r="FF59" i="2" a="1"/>
  <c r="FF59" i="2" s="1"/>
  <c r="FJ59" i="2"/>
  <c r="FF61" i="2" a="1"/>
  <c r="FF61" i="2" s="1"/>
  <c r="FJ61" i="2"/>
  <c r="FF63" i="2" a="1"/>
  <c r="FF63" i="2" s="1"/>
  <c r="FJ63" i="2"/>
  <c r="FF82" i="2" a="1"/>
  <c r="FF82" i="2" s="1"/>
  <c r="FJ82" i="2"/>
  <c r="FF144" i="2" a="1"/>
  <c r="FF144" i="2" s="1"/>
  <c r="FJ144" i="2"/>
  <c r="FF164" i="2" a="1"/>
  <c r="FF164" i="2" s="1"/>
  <c r="FJ164" i="2"/>
  <c r="FF187" i="2" a="1"/>
  <c r="FF187" i="2" s="1"/>
  <c r="FJ187" i="2"/>
  <c r="FF229" i="2" a="1"/>
  <c r="FF229" i="2" s="1"/>
  <c r="FJ229" i="2"/>
  <c r="FF250" i="2" a="1"/>
  <c r="FF250" i="2" s="1"/>
  <c r="FJ250" i="2"/>
  <c r="FF56" i="2" a="1"/>
  <c r="FF56" i="2" s="1"/>
  <c r="FJ56" i="2"/>
  <c r="FF40" i="2" a="1"/>
  <c r="FF40" i="2" s="1"/>
  <c r="FJ40" i="2"/>
  <c r="FF42" i="2" a="1"/>
  <c r="FF42" i="2" s="1"/>
  <c r="FJ42" i="2"/>
  <c r="FF44" i="2" a="1"/>
  <c r="FF44" i="2" s="1"/>
  <c r="FJ44" i="2"/>
  <c r="FF73" i="2" a="1"/>
  <c r="FF73" i="2" s="1"/>
  <c r="FJ73" i="2"/>
  <c r="FF84" i="2" a="1"/>
  <c r="FF84" i="2" s="1"/>
  <c r="FJ84" i="2"/>
  <c r="FF86" i="2" a="1"/>
  <c r="FF86" i="2" s="1"/>
  <c r="FJ86" i="2"/>
  <c r="FF118" i="2" a="1"/>
  <c r="FF118" i="2" s="1"/>
  <c r="FJ118" i="2"/>
  <c r="FF120" i="2" a="1"/>
  <c r="FF120" i="2" s="1"/>
  <c r="FJ120" i="2"/>
  <c r="FF122" i="2" a="1"/>
  <c r="FF122" i="2" s="1"/>
  <c r="FJ122" i="2"/>
  <c r="FF133" i="2" a="1"/>
  <c r="FF133" i="2" s="1"/>
  <c r="FJ133" i="2"/>
  <c r="FF146" i="2" a="1"/>
  <c r="FF146" i="2" s="1"/>
  <c r="FJ146" i="2"/>
  <c r="FF162" i="2" a="1"/>
  <c r="FF162" i="2" s="1"/>
  <c r="FJ162" i="2"/>
  <c r="FF11" i="2" a="1"/>
  <c r="FF11" i="2" s="1"/>
  <c r="FJ11" i="2"/>
  <c r="FF168" i="2" a="1"/>
  <c r="FF168" i="2" s="1"/>
  <c r="FJ168" i="2"/>
  <c r="FF98" i="2" a="1"/>
  <c r="FF98" i="2" s="1"/>
  <c r="FJ98" i="2"/>
  <c r="FF214" i="2" a="1"/>
  <c r="FF214" i="2" s="1"/>
  <c r="FJ214" i="2"/>
  <c r="FF17" i="2" a="1"/>
  <c r="FF17" i="2" s="1"/>
  <c r="FJ17" i="2"/>
  <c r="FF46" i="2" a="1"/>
  <c r="FF46" i="2" s="1"/>
  <c r="FJ46" i="2"/>
  <c r="FF88" i="2" a="1"/>
  <c r="FF88" i="2" s="1"/>
  <c r="FJ88" i="2"/>
  <c r="FF100" i="2" a="1"/>
  <c r="FF100" i="2" s="1"/>
  <c r="FJ100" i="2"/>
  <c r="FF43" i="2" a="1"/>
  <c r="FF43" i="2" s="1"/>
  <c r="FJ43" i="2"/>
  <c r="FF148" i="2" a="1"/>
  <c r="FF148" i="2" s="1"/>
  <c r="FJ148" i="2"/>
  <c r="FF150" i="2" a="1"/>
  <c r="FF150" i="2" s="1"/>
  <c r="FJ150" i="2"/>
  <c r="FF189" i="2" a="1"/>
  <c r="FF189" i="2" s="1"/>
  <c r="FJ189" i="2"/>
  <c r="FF203" i="2" a="1"/>
  <c r="FF203" i="2" s="1"/>
  <c r="FJ203" i="2"/>
  <c r="FF205" i="2" a="1"/>
  <c r="FF205" i="2" s="1"/>
  <c r="FJ205" i="2"/>
  <c r="FF207" i="2" a="1"/>
  <c r="FF207" i="2" s="1"/>
  <c r="FJ207" i="2"/>
  <c r="FF216" i="2" a="1"/>
  <c r="FF216" i="2" s="1"/>
  <c r="FJ216" i="2"/>
  <c r="FF249" i="2" a="1"/>
  <c r="FF249" i="2" s="1"/>
  <c r="FJ249" i="2"/>
  <c r="FF201" i="2" a="1"/>
  <c r="FF201" i="2" s="1"/>
  <c r="FJ201" i="2"/>
  <c r="FF119" i="2" a="1"/>
  <c r="FF119" i="2" s="1"/>
  <c r="FJ119" i="2"/>
  <c r="FF65" i="2" a="1"/>
  <c r="FF65" i="2" s="1"/>
  <c r="FJ65" i="2"/>
  <c r="FF66" i="2" a="1"/>
  <c r="FF66" i="2" s="1"/>
  <c r="FJ66" i="2"/>
  <c r="FF68" i="2" a="1"/>
  <c r="FF68" i="2" s="1"/>
  <c r="FJ68" i="2"/>
  <c r="FF75" i="2" a="1"/>
  <c r="FF75" i="2" s="1"/>
  <c r="FJ75" i="2"/>
  <c r="FF90" i="2" a="1"/>
  <c r="FF90" i="2" s="1"/>
  <c r="FJ90" i="2"/>
  <c r="FF92" i="2" a="1"/>
  <c r="FF92" i="2" s="1"/>
  <c r="FJ92" i="2"/>
  <c r="FF94" i="2" a="1"/>
  <c r="FF94" i="2" s="1"/>
  <c r="FJ94" i="2"/>
  <c r="FF96" i="2" a="1"/>
  <c r="FF96" i="2" s="1"/>
  <c r="FJ96" i="2"/>
  <c r="FF114" i="2" a="1"/>
  <c r="FF114" i="2" s="1"/>
  <c r="FJ114" i="2"/>
  <c r="FF198" i="2" a="1"/>
  <c r="FF198" i="2" s="1"/>
  <c r="FJ198" i="2"/>
  <c r="FF135" i="2" a="1"/>
  <c r="FF135" i="2" s="1"/>
  <c r="FJ135" i="2"/>
  <c r="FF170" i="2" a="1"/>
  <c r="FF170" i="2" s="1"/>
  <c r="FJ170" i="2"/>
  <c r="FF172" i="2" a="1"/>
  <c r="FF172" i="2" s="1"/>
  <c r="FJ172" i="2"/>
  <c r="FF176" i="2" a="1"/>
  <c r="FF176" i="2" s="1"/>
  <c r="FJ176" i="2"/>
  <c r="FF178" i="2" a="1"/>
  <c r="FF178" i="2" s="1"/>
  <c r="FJ178" i="2"/>
  <c r="FF242" i="2" a="1"/>
  <c r="FF242" i="2" s="1"/>
  <c r="FJ242" i="2"/>
  <c r="FF60" i="2" a="1"/>
  <c r="FF60" i="2" s="1"/>
  <c r="FJ60" i="2"/>
  <c r="FF145" i="2" a="1"/>
  <c r="FF145" i="2" s="1"/>
  <c r="FJ145" i="2"/>
  <c r="FF211" i="2" a="1"/>
  <c r="FF211" i="2" s="1"/>
  <c r="FJ211" i="2"/>
  <c r="FF230" i="2" a="1"/>
  <c r="FF230" i="2" s="1"/>
  <c r="FJ230" i="2"/>
  <c r="FF10" i="2" a="1"/>
  <c r="FF10" i="2" s="1"/>
  <c r="FJ10" i="2"/>
  <c r="FF25" i="2" a="1"/>
  <c r="FF25" i="2" s="1"/>
  <c r="FJ25" i="2"/>
  <c r="FF27" i="2" a="1"/>
  <c r="FF27" i="2" s="1"/>
  <c r="FJ27" i="2"/>
  <c r="FF29" i="2" a="1"/>
  <c r="FF29" i="2" s="1"/>
  <c r="FJ29" i="2"/>
  <c r="FF31" i="2" a="1"/>
  <c r="FF31" i="2" s="1"/>
  <c r="FJ31" i="2"/>
  <c r="FF33" i="2" a="1"/>
  <c r="FF33" i="2" s="1"/>
  <c r="FJ33" i="2"/>
  <c r="FF48" i="2" a="1"/>
  <c r="FF48" i="2" s="1"/>
  <c r="FJ48" i="2"/>
  <c r="FJ161" i="2"/>
  <c r="FF104" i="2" a="1"/>
  <c r="FF104" i="2" s="1"/>
  <c r="FJ104" i="2"/>
  <c r="FF112" i="2" a="1"/>
  <c r="FF112" i="2" s="1"/>
  <c r="FJ112" i="2"/>
  <c r="FF137" i="2" a="1"/>
  <c r="FF137" i="2" s="1"/>
  <c r="FJ137" i="2"/>
  <c r="FF139" i="2" a="1"/>
  <c r="FF139" i="2" s="1"/>
  <c r="FJ139" i="2"/>
  <c r="FF152" i="2" a="1"/>
  <c r="FF152" i="2" s="1"/>
  <c r="FJ152" i="2"/>
  <c r="FF160" i="2" a="1"/>
  <c r="FF160" i="2" s="1"/>
  <c r="FJ160" i="2"/>
  <c r="FF180" i="2" a="1"/>
  <c r="FF180" i="2" s="1"/>
  <c r="FJ180" i="2"/>
  <c r="FF191" i="2" a="1"/>
  <c r="FF191" i="2" s="1"/>
  <c r="FJ191" i="2"/>
  <c r="FF218" i="2" a="1"/>
  <c r="FF218" i="2" s="1"/>
  <c r="FJ218" i="2"/>
  <c r="FF222" i="2" a="1"/>
  <c r="FF222" i="2" s="1"/>
  <c r="FJ222" i="2"/>
  <c r="FF245" i="2" a="1"/>
  <c r="FF245" i="2" s="1"/>
  <c r="FJ245" i="2"/>
  <c r="FF121" i="2" a="1"/>
  <c r="FF121" i="2" s="1"/>
  <c r="FJ121" i="2"/>
  <c r="FF67" i="2" a="1"/>
  <c r="FF67" i="2" s="1"/>
  <c r="FJ67" i="2"/>
  <c r="FF19" i="2" a="1"/>
  <c r="FF19" i="2" s="1"/>
  <c r="FJ19" i="2"/>
  <c r="FF21" i="2" a="1"/>
  <c r="FF21" i="2" s="1"/>
  <c r="FJ21" i="2"/>
  <c r="FF23" i="2" a="1"/>
  <c r="FF23" i="2" s="1"/>
  <c r="FJ23" i="2"/>
  <c r="FF50" i="2" a="1"/>
  <c r="FF50" i="2" s="1"/>
  <c r="FJ50" i="2"/>
  <c r="FF70" i="2" a="1"/>
  <c r="FF70" i="2" s="1"/>
  <c r="FJ70" i="2"/>
  <c r="FF77" i="2" a="1"/>
  <c r="FF77" i="2" s="1"/>
  <c r="FJ77" i="2"/>
  <c r="FF106" i="2" a="1"/>
  <c r="FF106" i="2" s="1"/>
  <c r="FJ106" i="2"/>
  <c r="FF124" i="2" a="1"/>
  <c r="FF124" i="2" s="1"/>
  <c r="FJ124" i="2"/>
  <c r="FF154" i="2" a="1"/>
  <c r="FF154" i="2" s="1"/>
  <c r="FJ154" i="2"/>
  <c r="FF156" i="2" a="1"/>
  <c r="FF156" i="2" s="1"/>
  <c r="FJ156" i="2"/>
  <c r="FF158" i="2" a="1"/>
  <c r="FF158" i="2" s="1"/>
  <c r="FJ158" i="2"/>
  <c r="FF174" i="2" a="1"/>
  <c r="FF174" i="2" s="1"/>
  <c r="FJ174" i="2"/>
  <c r="FF182" i="2" a="1"/>
  <c r="FF182" i="2" s="1"/>
  <c r="FJ182" i="2"/>
  <c r="FF193" i="2" a="1"/>
  <c r="FF193" i="2" s="1"/>
  <c r="FJ193" i="2"/>
  <c r="FF39" i="2" a="1"/>
  <c r="FF39" i="2" s="1"/>
  <c r="FJ39" i="2"/>
  <c r="FF12" i="2" a="1"/>
  <c r="FF12" i="2" s="1"/>
  <c r="FJ12" i="2"/>
  <c r="FF35" i="2" a="1"/>
  <c r="FF35" i="2" s="1"/>
  <c r="FJ35" i="2"/>
  <c r="FF126" i="2" a="1"/>
  <c r="FF126" i="2" s="1"/>
  <c r="FJ126" i="2"/>
  <c r="FF141" i="2" a="1"/>
  <c r="FF141" i="2" s="1"/>
  <c r="FJ141" i="2"/>
  <c r="FF184" i="2" a="1"/>
  <c r="FF184" i="2" s="1"/>
  <c r="FJ184" i="2"/>
  <c r="FF195" i="2" a="1"/>
  <c r="FF195" i="2" s="1"/>
  <c r="FJ195" i="2"/>
  <c r="FF224" i="2" a="1"/>
  <c r="FF224" i="2" s="1"/>
  <c r="FJ224" i="2"/>
  <c r="FF226" i="2" a="1"/>
  <c r="FF226" i="2" s="1"/>
  <c r="FJ226" i="2"/>
  <c r="FF238" i="2" a="1"/>
  <c r="FF238" i="2" s="1"/>
  <c r="FJ238" i="2"/>
  <c r="FF240" i="2" a="1"/>
  <c r="FF240" i="2" s="1"/>
  <c r="FJ240" i="2"/>
  <c r="FF243" i="2" a="1"/>
  <c r="FF243" i="2" s="1"/>
  <c r="FJ243" i="2"/>
  <c r="FF116" i="2" a="1"/>
  <c r="FF116" i="2" s="1"/>
  <c r="FJ116" i="2"/>
  <c r="FF163" i="2" a="1"/>
  <c r="FF163" i="2" s="1"/>
  <c r="FJ163" i="2"/>
  <c r="FF37" i="2" a="1"/>
  <c r="FF37" i="2" s="1"/>
  <c r="FJ37" i="2"/>
  <c r="FF52" i="2" a="1"/>
  <c r="FF52" i="2" s="1"/>
  <c r="FJ52" i="2"/>
  <c r="FF79" i="2" a="1"/>
  <c r="FF79" i="2" s="1"/>
  <c r="FJ79" i="2"/>
  <c r="FF81" i="2" a="1"/>
  <c r="FF81" i="2" s="1"/>
  <c r="FJ81" i="2"/>
  <c r="FF108" i="2" a="1"/>
  <c r="FF108" i="2" s="1"/>
  <c r="FJ108" i="2"/>
  <c r="FF130" i="2" a="1"/>
  <c r="FF130" i="2" s="1"/>
  <c r="FJ130" i="2"/>
  <c r="FF165" i="2" a="1"/>
  <c r="FF165" i="2" s="1"/>
  <c r="FJ165" i="2"/>
  <c r="FF186" i="2" a="1"/>
  <c r="FF186" i="2" s="1"/>
  <c r="FJ186" i="2"/>
  <c r="FF197" i="2" a="1"/>
  <c r="FF197" i="2" s="1"/>
  <c r="FJ197" i="2"/>
  <c r="FF167" i="2" a="1"/>
  <c r="FF167" i="2" s="1"/>
  <c r="FJ167" i="2"/>
  <c r="FF128" i="2" a="1"/>
  <c r="FF128" i="2" s="1"/>
  <c r="FJ128" i="2"/>
  <c r="FF209" i="2" a="1"/>
  <c r="FF209" i="2" s="1"/>
  <c r="FJ209" i="2"/>
  <c r="FF228" i="2" a="1"/>
  <c r="FF228" i="2" s="1"/>
  <c r="FJ228" i="2"/>
  <c r="FF232" i="2" a="1"/>
  <c r="FF232" i="2" s="1"/>
  <c r="FJ232" i="2"/>
  <c r="FF234" i="2" a="1"/>
  <c r="FF234" i="2" s="1"/>
  <c r="FJ234" i="2"/>
  <c r="FF236" i="2" a="1"/>
  <c r="FF236" i="2" s="1"/>
  <c r="FJ236" i="2"/>
  <c r="GS161" i="2"/>
  <c r="GU161" i="2" s="1"/>
  <c r="AU13" i="2"/>
  <c r="AU122" i="2"/>
  <c r="AU78" i="2"/>
  <c r="AU189" i="2"/>
  <c r="AU67" i="2"/>
  <c r="AU194" i="2"/>
  <c r="AU83" i="2"/>
  <c r="AU230" i="2"/>
  <c r="AU32" i="2"/>
  <c r="AU49" i="2"/>
  <c r="AU239" i="2"/>
  <c r="AU61" i="2"/>
  <c r="AU65" i="2"/>
  <c r="AU18" i="2"/>
  <c r="AU97" i="2"/>
  <c r="AU185" i="2"/>
  <c r="AU184" i="2"/>
  <c r="AU23" i="2"/>
  <c r="AU248" i="2"/>
  <c r="AU75" i="2"/>
  <c r="AU127" i="2"/>
  <c r="AU232" i="2"/>
  <c r="AU10" i="2"/>
  <c r="AU174" i="2"/>
  <c r="AU220" i="2"/>
  <c r="AU22" i="2"/>
  <c r="AU31" i="2"/>
  <c r="AU84" i="2"/>
  <c r="AU126" i="2"/>
  <c r="AU26" i="2"/>
  <c r="AU233" i="2"/>
  <c r="AU63" i="2"/>
  <c r="AU9" i="2"/>
  <c r="AU152" i="2"/>
  <c r="AU90" i="2"/>
  <c r="AU137" i="2"/>
  <c r="AU166" i="2"/>
  <c r="AU66" i="2"/>
  <c r="AU133" i="2"/>
  <c r="AU153" i="2"/>
  <c r="BP16" i="2"/>
  <c r="AU16" i="2"/>
  <c r="AU21" i="2"/>
  <c r="AU14" i="2"/>
  <c r="BP42" i="2"/>
  <c r="AU42" i="2"/>
  <c r="AU59" i="2"/>
  <c r="AU70" i="2"/>
  <c r="AU95" i="2"/>
  <c r="AU125" i="2"/>
  <c r="AU157" i="2"/>
  <c r="BP177" i="2"/>
  <c r="AU177" i="2"/>
  <c r="AU192" i="2"/>
  <c r="BP246" i="2"/>
  <c r="AU246" i="2"/>
  <c r="BP223" i="2"/>
  <c r="AU223" i="2"/>
  <c r="BP37" i="2"/>
  <c r="AU37" i="2"/>
  <c r="BP104" i="2"/>
  <c r="AU104" i="2"/>
  <c r="AU132" i="2"/>
  <c r="BP163" i="2"/>
  <c r="AU163" i="2"/>
  <c r="BP170" i="2"/>
  <c r="AU170" i="2"/>
  <c r="BP203" i="2"/>
  <c r="AU203" i="2"/>
  <c r="BP30" i="2"/>
  <c r="AU30" i="2"/>
  <c r="BP237" i="2"/>
  <c r="AU237" i="2"/>
  <c r="BP44" i="2"/>
  <c r="AU44" i="2"/>
  <c r="BP109" i="2"/>
  <c r="AU109" i="2"/>
  <c r="BP142" i="2"/>
  <c r="AU142" i="2"/>
  <c r="BP147" i="2"/>
  <c r="AU147" i="2"/>
  <c r="BP159" i="2"/>
  <c r="AU159" i="2"/>
  <c r="BP165" i="2"/>
  <c r="AU165" i="2"/>
  <c r="BP179" i="2"/>
  <c r="AU179" i="2"/>
  <c r="BP199" i="2"/>
  <c r="AU199" i="2"/>
  <c r="BP213" i="2"/>
  <c r="AU213" i="2"/>
  <c r="BP218" i="2"/>
  <c r="AU218" i="2"/>
  <c r="BP54" i="2"/>
  <c r="AU54" i="2"/>
  <c r="BP85" i="2"/>
  <c r="AU85" i="2"/>
  <c r="BP113" i="2"/>
  <c r="AU113" i="2"/>
  <c r="BP175" i="2"/>
  <c r="AU175" i="2"/>
  <c r="BP205" i="2"/>
  <c r="AU205" i="2"/>
  <c r="BP208" i="2"/>
  <c r="AU208" i="2"/>
  <c r="AU25" i="2"/>
  <c r="BP34" i="2"/>
  <c r="AU34" i="2"/>
  <c r="BP99" i="2"/>
  <c r="AU99" i="2"/>
  <c r="BP115" i="2"/>
  <c r="AU115" i="2"/>
  <c r="BP139" i="2"/>
  <c r="AU139" i="2"/>
  <c r="AU154" i="2"/>
  <c r="BP172" i="2"/>
  <c r="AU172" i="2"/>
  <c r="BP102" i="2"/>
  <c r="AU102" i="2"/>
  <c r="BP242" i="2"/>
  <c r="AU242" i="2"/>
  <c r="BP225" i="2"/>
  <c r="AU225" i="2"/>
  <c r="BP241" i="2"/>
  <c r="AU241" i="2"/>
  <c r="BP244" i="2"/>
  <c r="AU244" i="2"/>
  <c r="BP247" i="2"/>
  <c r="AU247" i="2"/>
  <c r="BP15" i="2"/>
  <c r="AU15" i="2"/>
  <c r="AU27" i="2"/>
  <c r="BP39" i="2"/>
  <c r="AU39" i="2"/>
  <c r="BP46" i="2"/>
  <c r="AU46" i="2"/>
  <c r="BP51" i="2"/>
  <c r="AU51" i="2"/>
  <c r="AU56" i="2"/>
  <c r="AU72" i="2"/>
  <c r="BP80" i="2"/>
  <c r="AU80" i="2"/>
  <c r="AU92" i="2"/>
  <c r="BP101" i="2"/>
  <c r="AU101" i="2"/>
  <c r="AU106" i="2"/>
  <c r="AU134" i="2"/>
  <c r="AU149" i="2"/>
  <c r="BP201" i="2"/>
  <c r="AU201" i="2"/>
  <c r="AU181" i="2"/>
  <c r="BP186" i="2"/>
  <c r="AU186" i="2"/>
  <c r="AU196" i="2"/>
  <c r="BP207" i="2"/>
  <c r="AU207" i="2"/>
  <c r="BP215" i="2"/>
  <c r="AU215" i="2"/>
  <c r="BP202" i="2"/>
  <c r="AU202" i="2"/>
  <c r="AU69" i="2"/>
  <c r="AU87" i="2"/>
  <c r="BP117" i="2"/>
  <c r="AU117" i="2"/>
  <c r="AU119" i="2"/>
  <c r="AU124" i="2"/>
  <c r="BP144" i="2"/>
  <c r="AU144" i="2"/>
  <c r="AU191" i="2"/>
  <c r="BP210" i="2"/>
  <c r="AU210" i="2"/>
  <c r="AU222" i="2"/>
  <c r="BP227" i="2"/>
  <c r="AU227" i="2"/>
  <c r="AU234" i="2"/>
  <c r="BP12" i="2"/>
  <c r="AU12" i="2"/>
  <c r="AU20" i="2"/>
  <c r="AU29" i="2"/>
  <c r="AU58" i="2"/>
  <c r="AU77" i="2"/>
  <c r="BP82" i="2"/>
  <c r="AU82" i="2"/>
  <c r="AU94" i="2"/>
  <c r="BP103" i="2"/>
  <c r="AU103" i="2"/>
  <c r="BP129" i="2"/>
  <c r="AU129" i="2"/>
  <c r="BP151" i="2"/>
  <c r="AU151" i="2"/>
  <c r="AU156" i="2"/>
  <c r="BP169" i="2"/>
  <c r="AU169" i="2"/>
  <c r="BP176" i="2"/>
  <c r="AU176" i="2"/>
  <c r="BP17" i="2"/>
  <c r="AU17" i="2"/>
  <c r="BP36" i="2"/>
  <c r="AU36" i="2"/>
  <c r="BP41" i="2"/>
  <c r="AU41" i="2"/>
  <c r="BP48" i="2"/>
  <c r="AU48" i="2"/>
  <c r="AU108" i="2"/>
  <c r="BP121" i="2"/>
  <c r="AU121" i="2"/>
  <c r="BP131" i="2"/>
  <c r="AU131" i="2"/>
  <c r="BP141" i="2"/>
  <c r="AU141" i="2"/>
  <c r="BP146" i="2"/>
  <c r="AU146" i="2"/>
  <c r="BP162" i="2"/>
  <c r="AU162" i="2"/>
  <c r="AU183" i="2"/>
  <c r="BP188" i="2"/>
  <c r="AU188" i="2"/>
  <c r="BP128" i="2"/>
  <c r="AU128" i="2"/>
  <c r="AU217" i="2"/>
  <c r="BP236" i="2"/>
  <c r="AU236" i="2"/>
  <c r="AU238" i="2"/>
  <c r="BP53" i="2"/>
  <c r="AU53" i="2"/>
  <c r="AU60" i="2"/>
  <c r="AU74" i="2"/>
  <c r="AU89" i="2"/>
  <c r="AU96" i="2"/>
  <c r="BP136" i="2"/>
  <c r="AU136" i="2"/>
  <c r="BP158" i="2"/>
  <c r="AU158" i="2"/>
  <c r="BP178" i="2"/>
  <c r="AU178" i="2"/>
  <c r="AU193" i="2"/>
  <c r="BP229" i="2"/>
  <c r="AU229" i="2"/>
  <c r="BP111" i="2"/>
  <c r="AU111" i="2"/>
  <c r="BP161" i="2"/>
  <c r="AU161" i="2"/>
  <c r="BP160" i="2"/>
  <c r="AU160" i="2"/>
  <c r="BP164" i="2"/>
  <c r="AU164" i="2"/>
  <c r="BP204" i="2"/>
  <c r="AU204" i="2"/>
  <c r="BP224" i="2"/>
  <c r="AU224" i="2"/>
  <c r="BP240" i="2"/>
  <c r="AU240" i="2"/>
  <c r="BP116" i="2"/>
  <c r="AU116" i="2"/>
  <c r="AU24" i="2"/>
  <c r="BP33" i="2"/>
  <c r="AU33" i="2"/>
  <c r="BP38" i="2"/>
  <c r="AU38" i="2"/>
  <c r="BP45" i="2"/>
  <c r="AU45" i="2"/>
  <c r="AU50" i="2"/>
  <c r="AU62" i="2"/>
  <c r="AU71" i="2"/>
  <c r="BP79" i="2"/>
  <c r="AU79" i="2"/>
  <c r="BP105" i="2"/>
  <c r="AU105" i="2"/>
  <c r="BP110" i="2"/>
  <c r="AU110" i="2"/>
  <c r="BP112" i="2"/>
  <c r="AU112" i="2"/>
  <c r="BP171" i="2"/>
  <c r="AU171" i="2"/>
  <c r="AU200" i="2"/>
  <c r="BP250" i="2"/>
  <c r="AU250" i="2"/>
  <c r="BP55" i="2"/>
  <c r="AU55" i="2"/>
  <c r="AU68" i="2"/>
  <c r="AU91" i="2"/>
  <c r="BP100" i="2"/>
  <c r="AU100" i="2"/>
  <c r="AU114" i="2"/>
  <c r="AU123" i="2"/>
  <c r="AU138" i="2"/>
  <c r="BP143" i="2"/>
  <c r="AU143" i="2"/>
  <c r="BP148" i="2"/>
  <c r="AU148" i="2"/>
  <c r="BP180" i="2"/>
  <c r="AU180" i="2"/>
  <c r="AU190" i="2"/>
  <c r="AU195" i="2"/>
  <c r="BP206" i="2"/>
  <c r="AU206" i="2"/>
  <c r="BP98" i="2"/>
  <c r="AU98" i="2"/>
  <c r="BP214" i="2"/>
  <c r="AU214" i="2"/>
  <c r="BP219" i="2"/>
  <c r="AU219" i="2"/>
  <c r="BP221" i="2"/>
  <c r="AU221" i="2"/>
  <c r="AU231" i="2"/>
  <c r="BP245" i="2"/>
  <c r="AU245" i="2"/>
  <c r="BP249" i="2"/>
  <c r="AU249" i="2"/>
  <c r="BP212" i="2"/>
  <c r="AU212" i="2"/>
  <c r="BP19" i="2"/>
  <c r="AU19" i="2"/>
  <c r="AU76" i="2"/>
  <c r="AU86" i="2"/>
  <c r="BP198" i="2"/>
  <c r="AU198" i="2"/>
  <c r="AU47" i="2"/>
  <c r="AU150" i="2"/>
  <c r="BP11" i="2"/>
  <c r="AU11" i="2"/>
  <c r="BP168" i="2"/>
  <c r="AU168" i="2"/>
  <c r="BP173" i="2"/>
  <c r="AU173" i="2"/>
  <c r="BP167" i="2"/>
  <c r="AU167" i="2"/>
  <c r="BP209" i="2"/>
  <c r="AU209" i="2"/>
  <c r="AU226" i="2"/>
  <c r="BP243" i="2"/>
  <c r="AU243" i="2"/>
  <c r="AU28" i="2"/>
  <c r="AU35" i="2"/>
  <c r="BP57" i="2"/>
  <c r="AU57" i="2"/>
  <c r="AU81" i="2"/>
  <c r="AU93" i="2"/>
  <c r="BP43" i="2"/>
  <c r="AU43" i="2"/>
  <c r="BP107" i="2"/>
  <c r="AU107" i="2"/>
  <c r="AU118" i="2"/>
  <c r="BP140" i="2"/>
  <c r="AU140" i="2"/>
  <c r="AU155" i="2"/>
  <c r="AU182" i="2"/>
  <c r="BP187" i="2"/>
  <c r="AU187" i="2"/>
  <c r="AU216" i="2"/>
  <c r="BP40" i="2"/>
  <c r="AU40" i="2"/>
  <c r="BP52" i="2"/>
  <c r="AU52" i="2"/>
  <c r="AU73" i="2"/>
  <c r="AU88" i="2"/>
  <c r="BP120" i="2"/>
  <c r="AU120" i="2"/>
  <c r="AU130" i="2"/>
  <c r="BP135" i="2"/>
  <c r="AU135" i="2"/>
  <c r="BP145" i="2"/>
  <c r="AU145" i="2"/>
  <c r="AU197" i="2"/>
  <c r="AU211" i="2"/>
  <c r="BP228" i="2"/>
  <c r="AU228" i="2"/>
  <c r="AU235" i="2"/>
  <c r="FM89" i="2"/>
  <c r="FN89" i="2" s="1"/>
  <c r="FL89" i="2"/>
  <c r="FM112" i="2"/>
  <c r="FP112" i="2" s="1"/>
  <c r="FL112" i="2"/>
  <c r="FM141" i="2"/>
  <c r="FP141" i="2" s="1"/>
  <c r="FL141" i="2"/>
  <c r="FM173" i="2"/>
  <c r="FP173" i="2" s="1"/>
  <c r="FL173" i="2"/>
  <c r="FL194" i="2"/>
  <c r="FM194" i="2"/>
  <c r="FP194" i="2" s="1"/>
  <c r="FM218" i="2"/>
  <c r="FP218" i="2" s="1"/>
  <c r="FL218" i="2"/>
  <c r="FL225" i="2"/>
  <c r="FM225" i="2"/>
  <c r="FP225" i="2" s="1"/>
  <c r="FM234" i="2"/>
  <c r="FO234" i="2" s="1"/>
  <c r="GJ234" i="2" s="1"/>
  <c r="FL234" i="2"/>
  <c r="FM12" i="2"/>
  <c r="FP12" i="2" s="1"/>
  <c r="FL12" i="2"/>
  <c r="FM32" i="2"/>
  <c r="FP32" i="2" s="1"/>
  <c r="FL32" i="2"/>
  <c r="FM46" i="2"/>
  <c r="FN46" i="2" s="1"/>
  <c r="FL46" i="2"/>
  <c r="FL68" i="2"/>
  <c r="FM68" i="2"/>
  <c r="FP68" i="2" s="1"/>
  <c r="FL72" i="2"/>
  <c r="FM72" i="2"/>
  <c r="FP72" i="2" s="1"/>
  <c r="FM76" i="2"/>
  <c r="FP76" i="2" s="1"/>
  <c r="FL76" i="2"/>
  <c r="FM92" i="2"/>
  <c r="FP92" i="2" s="1"/>
  <c r="FL92" i="2"/>
  <c r="FM109" i="2"/>
  <c r="FP109" i="2" s="1"/>
  <c r="FL109" i="2"/>
  <c r="FL119" i="2"/>
  <c r="FM119" i="2"/>
  <c r="FP119" i="2" s="1"/>
  <c r="FM127" i="2"/>
  <c r="FL127" i="2"/>
  <c r="FL134" i="2"/>
  <c r="FM134" i="2"/>
  <c r="FP134" i="2" s="1"/>
  <c r="FL148" i="2"/>
  <c r="FM148" i="2"/>
  <c r="FP148" i="2" s="1"/>
  <c r="FL197" i="2"/>
  <c r="FM197" i="2"/>
  <c r="FO197" i="2" s="1"/>
  <c r="GJ197" i="2" s="1"/>
  <c r="FM214" i="2"/>
  <c r="FP214" i="2" s="1"/>
  <c r="FL214" i="2"/>
  <c r="FM228" i="2"/>
  <c r="FN228" i="2" s="1"/>
  <c r="FL228" i="2"/>
  <c r="FL237" i="2"/>
  <c r="FM237" i="2"/>
  <c r="FP237" i="2" s="1"/>
  <c r="FM62" i="2"/>
  <c r="FP62" i="2" s="1"/>
  <c r="FL62" i="2"/>
  <c r="FM95" i="2"/>
  <c r="FP95" i="2" s="1"/>
  <c r="FL95" i="2"/>
  <c r="FM43" i="2"/>
  <c r="FN43" i="2" s="1"/>
  <c r="FL43" i="2"/>
  <c r="FM123" i="2"/>
  <c r="FP123" i="2" s="1"/>
  <c r="FL123" i="2"/>
  <c r="FM137" i="2"/>
  <c r="FP137" i="2" s="1"/>
  <c r="FL137" i="2"/>
  <c r="FM158" i="2"/>
  <c r="FN158" i="2" s="1"/>
  <c r="FL158" i="2"/>
  <c r="FL175" i="2"/>
  <c r="FM175" i="2"/>
  <c r="FP175" i="2" s="1"/>
  <c r="FL164" i="2"/>
  <c r="FM164" i="2"/>
  <c r="FP164" i="2" s="1"/>
  <c r="FM169" i="2"/>
  <c r="FP169" i="2" s="1"/>
  <c r="FL169" i="2"/>
  <c r="FL179" i="2"/>
  <c r="FM179" i="2"/>
  <c r="FP179" i="2" s="1"/>
  <c r="FM186" i="2"/>
  <c r="FP186" i="2" s="1"/>
  <c r="FL186" i="2"/>
  <c r="FM190" i="2"/>
  <c r="FP190" i="2" s="1"/>
  <c r="FL190" i="2"/>
  <c r="FM200" i="2"/>
  <c r="FN200" i="2" s="1"/>
  <c r="FL200" i="2"/>
  <c r="FL206" i="2"/>
  <c r="FM206" i="2"/>
  <c r="FN206" i="2" s="1"/>
  <c r="FM128" i="2"/>
  <c r="FP128" i="2" s="1"/>
  <c r="FL128" i="2"/>
  <c r="FL221" i="2"/>
  <c r="FM221" i="2"/>
  <c r="FP221" i="2" s="1"/>
  <c r="FM231" i="2"/>
  <c r="FP231" i="2" s="1"/>
  <c r="FL231" i="2"/>
  <c r="FL50" i="2"/>
  <c r="FM50" i="2"/>
  <c r="FP50" i="2" s="1"/>
  <c r="FM15" i="2"/>
  <c r="FL15" i="2"/>
  <c r="FL19" i="2"/>
  <c r="FM19" i="2"/>
  <c r="FP19" i="2" s="1"/>
  <c r="FL39" i="2"/>
  <c r="FM39" i="2"/>
  <c r="FP39" i="2" s="1"/>
  <c r="FL53" i="2"/>
  <c r="FM53" i="2"/>
  <c r="FP53" i="2" s="1"/>
  <c r="FM59" i="2"/>
  <c r="FP59" i="2" s="1"/>
  <c r="FL59" i="2"/>
  <c r="FL115" i="2"/>
  <c r="FM115" i="2"/>
  <c r="FP115" i="2" s="1"/>
  <c r="FM122" i="2"/>
  <c r="FN122" i="2" s="1"/>
  <c r="FL122" i="2"/>
  <c r="FL130" i="2"/>
  <c r="FM130" i="2"/>
  <c r="FP130" i="2" s="1"/>
  <c r="FM144" i="2"/>
  <c r="FP144" i="2" s="1"/>
  <c r="FL144" i="2"/>
  <c r="FL151" i="2"/>
  <c r="FM151" i="2"/>
  <c r="FP151" i="2" s="1"/>
  <c r="FM243" i="2"/>
  <c r="FP243" i="2" s="1"/>
  <c r="FL243" i="2"/>
  <c r="FM212" i="2"/>
  <c r="FP212" i="2" s="1"/>
  <c r="FL212" i="2"/>
  <c r="FL22" i="2"/>
  <c r="FM22" i="2"/>
  <c r="FP22" i="2" s="1"/>
  <c r="FM25" i="2"/>
  <c r="FP25" i="2" s="1"/>
  <c r="FL25" i="2"/>
  <c r="FL35" i="2"/>
  <c r="FM35" i="2"/>
  <c r="FN35" i="2" s="1"/>
  <c r="FM42" i="2"/>
  <c r="FP42" i="2" s="1"/>
  <c r="FL42" i="2"/>
  <c r="FL49" i="2"/>
  <c r="FM49" i="2"/>
  <c r="FP49" i="2" s="1"/>
  <c r="FL56" i="2"/>
  <c r="FM56" i="2"/>
  <c r="FN56" i="2" s="1"/>
  <c r="FM161" i="2"/>
  <c r="FP161" i="2" s="1"/>
  <c r="FL161" i="2"/>
  <c r="FL82" i="2"/>
  <c r="FM82" i="2"/>
  <c r="FP82" i="2" s="1"/>
  <c r="FL166" i="2"/>
  <c r="FM166" i="2"/>
  <c r="FP166" i="2" s="1"/>
  <c r="FM105" i="2"/>
  <c r="FO105" i="2" s="1"/>
  <c r="GJ105" i="2" s="1"/>
  <c r="FL105" i="2"/>
  <c r="FM140" i="2"/>
  <c r="FP140" i="2" s="1"/>
  <c r="FL140" i="2"/>
  <c r="FM154" i="2"/>
  <c r="FO154" i="2" s="1"/>
  <c r="GJ154" i="2" s="1"/>
  <c r="FL154" i="2"/>
  <c r="FM172" i="2"/>
  <c r="FP172" i="2" s="1"/>
  <c r="FL172" i="2"/>
  <c r="FL182" i="2"/>
  <c r="FM182" i="2"/>
  <c r="FP182" i="2" s="1"/>
  <c r="FL193" i="2"/>
  <c r="FM193" i="2"/>
  <c r="FP193" i="2" s="1"/>
  <c r="FM167" i="2"/>
  <c r="FP167" i="2" s="1"/>
  <c r="FL167" i="2"/>
  <c r="FM210" i="2"/>
  <c r="FP210" i="2" s="1"/>
  <c r="FL210" i="2"/>
  <c r="FM217" i="2"/>
  <c r="FN217" i="2" s="1"/>
  <c r="FL217" i="2"/>
  <c r="FL239" i="2"/>
  <c r="FM239" i="2"/>
  <c r="FP239" i="2" s="1"/>
  <c r="FM28" i="2"/>
  <c r="FP28" i="2" s="1"/>
  <c r="FL28" i="2"/>
  <c r="FL67" i="2"/>
  <c r="FM67" i="2"/>
  <c r="FP67" i="2" s="1"/>
  <c r="FL71" i="2"/>
  <c r="FM71" i="2"/>
  <c r="FP71" i="2" s="1"/>
  <c r="FM75" i="2"/>
  <c r="FP75" i="2" s="1"/>
  <c r="FL75" i="2"/>
  <c r="FM79" i="2"/>
  <c r="FN79" i="2" s="1"/>
  <c r="FL79" i="2"/>
  <c r="FL88" i="2"/>
  <c r="FM88" i="2"/>
  <c r="FN88" i="2" s="1"/>
  <c r="FL85" i="2"/>
  <c r="FM85" i="2"/>
  <c r="FP85" i="2" s="1"/>
  <c r="FL118" i="2"/>
  <c r="FM118" i="2"/>
  <c r="FP118" i="2" s="1"/>
  <c r="FM126" i="2"/>
  <c r="FP126" i="2" s="1"/>
  <c r="FL126" i="2"/>
  <c r="FM224" i="2"/>
  <c r="FP224" i="2" s="1"/>
  <c r="FL224" i="2"/>
  <c r="FM227" i="2"/>
  <c r="FP227" i="2" s="1"/>
  <c r="FL227" i="2"/>
  <c r="FL236" i="2"/>
  <c r="FM236" i="2"/>
  <c r="FP236" i="2" s="1"/>
  <c r="FM245" i="2"/>
  <c r="FL245" i="2"/>
  <c r="FL18" i="2"/>
  <c r="FM18" i="2"/>
  <c r="FN18" i="2" s="1"/>
  <c r="FM31" i="2"/>
  <c r="FP31" i="2" s="1"/>
  <c r="FL31" i="2"/>
  <c r="FM45" i="2"/>
  <c r="FP45" i="2" s="1"/>
  <c r="FL45" i="2"/>
  <c r="FM91" i="2"/>
  <c r="FP91" i="2" s="1"/>
  <c r="FL91" i="2"/>
  <c r="FL133" i="2"/>
  <c r="FM133" i="2"/>
  <c r="FO133" i="2" s="1"/>
  <c r="GJ133" i="2" s="1"/>
  <c r="FL147" i="2"/>
  <c r="FM147" i="2"/>
  <c r="FP147" i="2" s="1"/>
  <c r="FM157" i="2"/>
  <c r="FN157" i="2" s="1"/>
  <c r="FL157" i="2"/>
  <c r="FM189" i="2"/>
  <c r="FP189" i="2" s="1"/>
  <c r="FL189" i="2"/>
  <c r="FL196" i="2"/>
  <c r="FM196" i="2"/>
  <c r="FP196" i="2" s="1"/>
  <c r="FL205" i="2"/>
  <c r="FM205" i="2"/>
  <c r="FN205" i="2" s="1"/>
  <c r="FM30" i="2"/>
  <c r="FP30" i="2" s="1"/>
  <c r="FL30" i="2"/>
  <c r="FM213" i="2"/>
  <c r="FP213" i="2" s="1"/>
  <c r="FL213" i="2"/>
  <c r="FM233" i="2"/>
  <c r="FP233" i="2" s="1"/>
  <c r="FL233" i="2"/>
  <c r="FL34" i="2"/>
  <c r="FM34" i="2"/>
  <c r="FP34" i="2" s="1"/>
  <c r="FL38" i="2"/>
  <c r="FM38" i="2"/>
  <c r="FP38" i="2" s="1"/>
  <c r="FM61" i="2"/>
  <c r="FP61" i="2" s="1"/>
  <c r="FL61" i="2"/>
  <c r="FM94" i="2"/>
  <c r="FP94" i="2" s="1"/>
  <c r="FL94" i="2"/>
  <c r="FL101" i="2"/>
  <c r="FM101" i="2"/>
  <c r="FP101" i="2" s="1"/>
  <c r="FM108" i="2"/>
  <c r="FP108" i="2" s="1"/>
  <c r="FL108" i="2"/>
  <c r="FL114" i="2"/>
  <c r="FM114" i="2"/>
  <c r="FP114" i="2" s="1"/>
  <c r="FL129" i="2"/>
  <c r="FM129" i="2"/>
  <c r="FP129" i="2" s="1"/>
  <c r="FL163" i="2"/>
  <c r="FM163" i="2"/>
  <c r="FP163" i="2" s="1"/>
  <c r="FM201" i="2"/>
  <c r="FP201" i="2" s="1"/>
  <c r="FL201" i="2"/>
  <c r="FM168" i="2"/>
  <c r="FP168" i="2" s="1"/>
  <c r="FL168" i="2"/>
  <c r="FL178" i="2"/>
  <c r="FM178" i="2"/>
  <c r="FP178" i="2" s="1"/>
  <c r="FM185" i="2"/>
  <c r="FP185" i="2" s="1"/>
  <c r="FL185" i="2"/>
  <c r="FM199" i="2"/>
  <c r="FP199" i="2" s="1"/>
  <c r="FL199" i="2"/>
  <c r="FM242" i="2"/>
  <c r="FP242" i="2" s="1"/>
  <c r="FL242" i="2"/>
  <c r="FM249" i="2"/>
  <c r="FP249" i="2" s="1"/>
  <c r="FL249" i="2"/>
  <c r="FM10" i="2"/>
  <c r="FP10" i="2" s="1"/>
  <c r="FL10" i="2"/>
  <c r="FL116" i="2"/>
  <c r="FM116" i="2"/>
  <c r="FP116" i="2" s="1"/>
  <c r="FL52" i="2"/>
  <c r="FM52" i="2"/>
  <c r="FL70" i="2"/>
  <c r="FM70" i="2"/>
  <c r="FP70" i="2" s="1"/>
  <c r="FL97" i="2"/>
  <c r="FM97" i="2"/>
  <c r="FP97" i="2" s="1"/>
  <c r="FL136" i="2"/>
  <c r="FM136" i="2"/>
  <c r="FP136" i="2" s="1"/>
  <c r="FM139" i="2"/>
  <c r="FP139" i="2" s="1"/>
  <c r="FL139" i="2"/>
  <c r="FM143" i="2"/>
  <c r="FP143" i="2" s="1"/>
  <c r="FL143" i="2"/>
  <c r="FL150" i="2"/>
  <c r="FM150" i="2"/>
  <c r="FP150" i="2" s="1"/>
  <c r="FL181" i="2"/>
  <c r="FM181" i="2"/>
  <c r="FP181" i="2" s="1"/>
  <c r="FM216" i="2"/>
  <c r="FP216" i="2" s="1"/>
  <c r="FL216" i="2"/>
  <c r="FM230" i="2"/>
  <c r="FP230" i="2" s="1"/>
  <c r="FL230" i="2"/>
  <c r="FM250" i="2"/>
  <c r="FP250" i="2" s="1"/>
  <c r="FL250" i="2"/>
  <c r="FL21" i="2"/>
  <c r="FM21" i="2"/>
  <c r="FP21" i="2" s="1"/>
  <c r="FM48" i="2"/>
  <c r="FP48" i="2" s="1"/>
  <c r="FL48" i="2"/>
  <c r="FL55" i="2"/>
  <c r="FM55" i="2"/>
  <c r="FP55" i="2" s="1"/>
  <c r="FM58" i="2"/>
  <c r="FL58" i="2"/>
  <c r="FM74" i="2"/>
  <c r="FP74" i="2" s="1"/>
  <c r="FL74" i="2"/>
  <c r="FM78" i="2"/>
  <c r="FP78" i="2" s="1"/>
  <c r="FL78" i="2"/>
  <c r="FL81" i="2"/>
  <c r="FM81" i="2"/>
  <c r="FO81" i="2" s="1"/>
  <c r="GJ81" i="2" s="1"/>
  <c r="FL104" i="2"/>
  <c r="FM104" i="2"/>
  <c r="FP104" i="2" s="1"/>
  <c r="FM121" i="2"/>
  <c r="FP121" i="2" s="1"/>
  <c r="FL121" i="2"/>
  <c r="FM160" i="2"/>
  <c r="FP160" i="2" s="1"/>
  <c r="FL160" i="2"/>
  <c r="FM171" i="2"/>
  <c r="FP171" i="2" s="1"/>
  <c r="FL171" i="2"/>
  <c r="FL192" i="2"/>
  <c r="FM192" i="2"/>
  <c r="FP192" i="2" s="1"/>
  <c r="FL98" i="2"/>
  <c r="FM98" i="2"/>
  <c r="FP98" i="2" s="1"/>
  <c r="FL209" i="2"/>
  <c r="FM209" i="2"/>
  <c r="FP209" i="2" s="1"/>
  <c r="FL17" i="2"/>
  <c r="FM17" i="2"/>
  <c r="FP17" i="2" s="1"/>
  <c r="FL24" i="2"/>
  <c r="FM24" i="2"/>
  <c r="FP24" i="2" s="1"/>
  <c r="FM27" i="2"/>
  <c r="FP27" i="2" s="1"/>
  <c r="FL27" i="2"/>
  <c r="FM41" i="2"/>
  <c r="FP41" i="2" s="1"/>
  <c r="FL41" i="2"/>
  <c r="FM44" i="2"/>
  <c r="FN44" i="2" s="1"/>
  <c r="FL44" i="2"/>
  <c r="FL84" i="2"/>
  <c r="FM84" i="2"/>
  <c r="FP84" i="2" s="1"/>
  <c r="FL87" i="2"/>
  <c r="FM87" i="2"/>
  <c r="FN87" i="2" s="1"/>
  <c r="FL117" i="2"/>
  <c r="FM117" i="2"/>
  <c r="FP117" i="2" s="1"/>
  <c r="FM125" i="2"/>
  <c r="FP125" i="2" s="1"/>
  <c r="FL125" i="2"/>
  <c r="FL132" i="2"/>
  <c r="FM132" i="2"/>
  <c r="FN132" i="2" s="1"/>
  <c r="FL146" i="2"/>
  <c r="FM146" i="2"/>
  <c r="FP146" i="2" s="1"/>
  <c r="FM153" i="2"/>
  <c r="FP153" i="2" s="1"/>
  <c r="FL153" i="2"/>
  <c r="FM156" i="2"/>
  <c r="FN156" i="2" s="1"/>
  <c r="FL156" i="2"/>
  <c r="FM188" i="2"/>
  <c r="FP188" i="2" s="1"/>
  <c r="FL188" i="2"/>
  <c r="FL102" i="2"/>
  <c r="FM102" i="2"/>
  <c r="FP102" i="2" s="1"/>
  <c r="FM246" i="2"/>
  <c r="FP246" i="2" s="1"/>
  <c r="FL246" i="2"/>
  <c r="FL223" i="2"/>
  <c r="FM223" i="2"/>
  <c r="FO223" i="2" s="1"/>
  <c r="GJ223" i="2" s="1"/>
  <c r="FL235" i="2"/>
  <c r="FM235" i="2"/>
  <c r="FN235" i="2" s="1"/>
  <c r="FL241" i="2"/>
  <c r="FM241" i="2"/>
  <c r="FM29" i="2"/>
  <c r="FP29" i="2" s="1"/>
  <c r="FL29" i="2"/>
  <c r="FM14" i="2"/>
  <c r="FP14" i="2" s="1"/>
  <c r="FL14" i="2"/>
  <c r="FL37" i="2"/>
  <c r="FM37" i="2"/>
  <c r="FP37" i="2" s="1"/>
  <c r="FL66" i="2"/>
  <c r="FM66" i="2"/>
  <c r="FP66" i="2" s="1"/>
  <c r="FM90" i="2"/>
  <c r="FP90" i="2" s="1"/>
  <c r="FL90" i="2"/>
  <c r="FL100" i="2"/>
  <c r="FM100" i="2"/>
  <c r="FP100" i="2" s="1"/>
  <c r="FM107" i="2"/>
  <c r="FP107" i="2" s="1"/>
  <c r="FL107" i="2"/>
  <c r="FL162" i="2"/>
  <c r="FM162" i="2"/>
  <c r="FP162" i="2" s="1"/>
  <c r="FM174" i="2"/>
  <c r="FP174" i="2" s="1"/>
  <c r="FL174" i="2"/>
  <c r="FL177" i="2"/>
  <c r="FM177" i="2"/>
  <c r="FP177" i="2" s="1"/>
  <c r="FM184" i="2"/>
  <c r="FP184" i="2" s="1"/>
  <c r="FL184" i="2"/>
  <c r="FL195" i="2"/>
  <c r="FM195" i="2"/>
  <c r="FP195" i="2" s="1"/>
  <c r="FL204" i="2"/>
  <c r="FM204" i="2"/>
  <c r="FN204" i="2" s="1"/>
  <c r="FL226" i="2"/>
  <c r="FM226" i="2"/>
  <c r="FO226" i="2" s="1"/>
  <c r="GJ226" i="2" s="1"/>
  <c r="FL238" i="2"/>
  <c r="FM238" i="2"/>
  <c r="FO238" i="2" s="1"/>
  <c r="GJ238" i="2" s="1"/>
  <c r="FM9" i="2"/>
  <c r="FP9" i="2" s="1"/>
  <c r="FL9" i="2"/>
  <c r="FM13" i="2"/>
  <c r="FP13" i="2" s="1"/>
  <c r="FL13" i="2"/>
  <c r="FL33" i="2"/>
  <c r="FM33" i="2"/>
  <c r="FP33" i="2" s="1"/>
  <c r="FL51" i="2"/>
  <c r="FM51" i="2"/>
  <c r="FN51" i="2" s="1"/>
  <c r="FM93" i="2"/>
  <c r="FP93" i="2" s="1"/>
  <c r="FL93" i="2"/>
  <c r="FM110" i="2"/>
  <c r="FP110" i="2" s="1"/>
  <c r="FL110" i="2"/>
  <c r="FL113" i="2"/>
  <c r="FM113" i="2"/>
  <c r="FP113" i="2" s="1"/>
  <c r="FM47" i="2"/>
  <c r="FP47" i="2" s="1"/>
  <c r="FL47" i="2"/>
  <c r="FL135" i="2"/>
  <c r="FM135" i="2"/>
  <c r="FP135" i="2" s="1"/>
  <c r="FM142" i="2"/>
  <c r="FP142" i="2" s="1"/>
  <c r="FL142" i="2"/>
  <c r="FL149" i="2"/>
  <c r="FM149" i="2"/>
  <c r="FP149" i="2" s="1"/>
  <c r="FL165" i="2"/>
  <c r="FM165" i="2"/>
  <c r="FP165" i="2" s="1"/>
  <c r="FM248" i="2"/>
  <c r="FP248" i="2" s="1"/>
  <c r="FL248" i="2"/>
  <c r="FL220" i="2"/>
  <c r="FM220" i="2"/>
  <c r="FN220" i="2" s="1"/>
  <c r="FM215" i="2"/>
  <c r="FP215" i="2" s="1"/>
  <c r="FL215" i="2"/>
  <c r="FL219" i="2"/>
  <c r="FM219" i="2"/>
  <c r="FP219" i="2" s="1"/>
  <c r="FM232" i="2"/>
  <c r="FO232" i="2" s="1"/>
  <c r="GJ232" i="2" s="1"/>
  <c r="FL232" i="2"/>
  <c r="FM244" i="2"/>
  <c r="FP244" i="2" s="1"/>
  <c r="FL244" i="2"/>
  <c r="FM60" i="2"/>
  <c r="FP60" i="2" s="1"/>
  <c r="FL60" i="2"/>
  <c r="FM63" i="2"/>
  <c r="FP63" i="2" s="1"/>
  <c r="FL63" i="2"/>
  <c r="FL69" i="2"/>
  <c r="FM69" i="2"/>
  <c r="FP69" i="2" s="1"/>
  <c r="FM73" i="2"/>
  <c r="FP73" i="2" s="1"/>
  <c r="FL73" i="2"/>
  <c r="FM77" i="2"/>
  <c r="FP77" i="2" s="1"/>
  <c r="FL77" i="2"/>
  <c r="FM96" i="2"/>
  <c r="FP96" i="2" s="1"/>
  <c r="FL96" i="2"/>
  <c r="FL120" i="2"/>
  <c r="FM120" i="2"/>
  <c r="FP120" i="2" s="1"/>
  <c r="FM138" i="2"/>
  <c r="FP138" i="2" s="1"/>
  <c r="FL138" i="2"/>
  <c r="FM159" i="2"/>
  <c r="FP159" i="2" s="1"/>
  <c r="FL159" i="2"/>
  <c r="FM11" i="2"/>
  <c r="FP11" i="2" s="1"/>
  <c r="FL11" i="2"/>
  <c r="FL180" i="2"/>
  <c r="FM180" i="2"/>
  <c r="FP180" i="2" s="1"/>
  <c r="FM229" i="2"/>
  <c r="FP229" i="2" s="1"/>
  <c r="FL229" i="2"/>
  <c r="FM16" i="2"/>
  <c r="FP16" i="2" s="1"/>
  <c r="FL16" i="2"/>
  <c r="FL20" i="2"/>
  <c r="FM20" i="2"/>
  <c r="FP20" i="2" s="1"/>
  <c r="FL40" i="2"/>
  <c r="FM40" i="2"/>
  <c r="FP40" i="2" s="1"/>
  <c r="FL54" i="2"/>
  <c r="FM54" i="2"/>
  <c r="FP54" i="2" s="1"/>
  <c r="FM57" i="2"/>
  <c r="FN57" i="2" s="1"/>
  <c r="FL57" i="2"/>
  <c r="FL103" i="2"/>
  <c r="FM103" i="2"/>
  <c r="FO103" i="2" s="1"/>
  <c r="GJ103" i="2" s="1"/>
  <c r="FM124" i="2"/>
  <c r="FN124" i="2" s="1"/>
  <c r="FL124" i="2"/>
  <c r="FL145" i="2"/>
  <c r="FM145" i="2"/>
  <c r="FP145" i="2" s="1"/>
  <c r="FM155" i="2"/>
  <c r="FP155" i="2" s="1"/>
  <c r="FL155" i="2"/>
  <c r="FM170" i="2"/>
  <c r="FP170" i="2" s="1"/>
  <c r="FL170" i="2"/>
  <c r="FM187" i="2"/>
  <c r="FP187" i="2" s="1"/>
  <c r="FL187" i="2"/>
  <c r="FL191" i="2"/>
  <c r="FM191" i="2"/>
  <c r="FP191" i="2" s="1"/>
  <c r="FL207" i="2"/>
  <c r="FM207" i="2"/>
  <c r="FP207" i="2" s="1"/>
  <c r="FM208" i="2"/>
  <c r="FP208" i="2" s="1"/>
  <c r="FL208" i="2"/>
  <c r="FL222" i="2"/>
  <c r="FM222" i="2"/>
  <c r="FP222" i="2" s="1"/>
  <c r="FM247" i="2"/>
  <c r="FP247" i="2" s="1"/>
  <c r="FL247" i="2"/>
  <c r="FL23" i="2"/>
  <c r="FM23" i="2"/>
  <c r="FP23" i="2" s="1"/>
  <c r="FM26" i="2"/>
  <c r="FP26" i="2" s="1"/>
  <c r="FL26" i="2"/>
  <c r="FL36" i="2"/>
  <c r="FM36" i="2"/>
  <c r="FP36" i="2" s="1"/>
  <c r="FM111" i="2"/>
  <c r="FN111" i="2" s="1"/>
  <c r="FL111" i="2"/>
  <c r="FL65" i="2"/>
  <c r="FM65" i="2"/>
  <c r="FP65" i="2" s="1"/>
  <c r="FM80" i="2"/>
  <c r="FP80" i="2" s="1"/>
  <c r="FL80" i="2"/>
  <c r="FL83" i="2"/>
  <c r="FM83" i="2"/>
  <c r="FO83" i="2" s="1"/>
  <c r="GJ83" i="2" s="1"/>
  <c r="FL86" i="2"/>
  <c r="FM86" i="2"/>
  <c r="FP86" i="2" s="1"/>
  <c r="FL99" i="2"/>
  <c r="FM99" i="2"/>
  <c r="FP99" i="2" s="1"/>
  <c r="FM106" i="2"/>
  <c r="FP106" i="2" s="1"/>
  <c r="FL106" i="2"/>
  <c r="FL198" i="2"/>
  <c r="FM198" i="2"/>
  <c r="FP198" i="2" s="1"/>
  <c r="FL131" i="2"/>
  <c r="FM131" i="2"/>
  <c r="FO131" i="2" s="1"/>
  <c r="GJ131" i="2" s="1"/>
  <c r="FL152" i="2"/>
  <c r="FM152" i="2"/>
  <c r="FO152" i="2" s="1"/>
  <c r="GJ152" i="2" s="1"/>
  <c r="FL176" i="2"/>
  <c r="FM176" i="2"/>
  <c r="FP176" i="2" s="1"/>
  <c r="FM183" i="2"/>
  <c r="FP183" i="2" s="1"/>
  <c r="FL183" i="2"/>
  <c r="FL203" i="2"/>
  <c r="FM203" i="2"/>
  <c r="FN203" i="2" s="1"/>
  <c r="FM211" i="2"/>
  <c r="FO211" i="2" s="1"/>
  <c r="GJ211" i="2" s="1"/>
  <c r="FL211" i="2"/>
  <c r="FM240" i="2"/>
  <c r="FP240" i="2" s="1"/>
  <c r="FL240" i="2"/>
  <c r="FL202" i="2"/>
  <c r="FM202" i="2"/>
  <c r="FN202" i="2" s="1"/>
  <c r="FQ213" i="2"/>
  <c r="FW213" i="2" s="1"/>
  <c r="FX213" i="2" s="1" a="1"/>
  <c r="FX213" i="2" s="1"/>
  <c r="FQ241" i="2"/>
  <c r="FW241" i="2" s="1"/>
  <c r="FX241" i="2" s="1" a="1"/>
  <c r="FX241" i="2" s="1"/>
  <c r="FQ43" i="2"/>
  <c r="FR43" i="2" s="1" a="1"/>
  <c r="FR43" i="2" s="1"/>
  <c r="EY158" i="2"/>
  <c r="EY186" i="2"/>
  <c r="EX242" i="2"/>
  <c r="EY227" i="2"/>
  <c r="EV234" i="2"/>
  <c r="FQ247" i="2"/>
  <c r="FW247" i="2" s="1"/>
  <c r="FX247" i="2" s="1" a="1"/>
  <c r="FX247" i="2" s="1"/>
  <c r="EY42" i="2"/>
  <c r="EY178" i="2"/>
  <c r="EY166" i="2"/>
  <c r="FQ93" i="2"/>
  <c r="FW93" i="2" s="1"/>
  <c r="FX93" i="2" s="1" a="1"/>
  <c r="FX93" i="2" s="1"/>
  <c r="EY127" i="2"/>
  <c r="EY142" i="2"/>
  <c r="EY157" i="2"/>
  <c r="EX170" i="2"/>
  <c r="EY185" i="2"/>
  <c r="FQ240" i="2"/>
  <c r="FW240" i="2" s="1"/>
  <c r="FX240" i="2" s="1" a="1"/>
  <c r="FX240" i="2" s="1"/>
  <c r="EY35" i="2"/>
  <c r="EY192" i="2"/>
  <c r="EX207" i="2"/>
  <c r="EY233" i="2"/>
  <c r="EY76" i="2"/>
  <c r="EY84" i="2"/>
  <c r="FQ92" i="2"/>
  <c r="FW92" i="2" s="1"/>
  <c r="FX92" i="2" s="1" a="1"/>
  <c r="FX92" i="2" s="1"/>
  <c r="FQ108" i="2"/>
  <c r="FR108" i="2" s="1" a="1"/>
  <c r="FR108" i="2" s="1"/>
  <c r="EX115" i="2"/>
  <c r="EY126" i="2"/>
  <c r="EX149" i="2"/>
  <c r="EY156" i="2"/>
  <c r="EX169" i="2"/>
  <c r="EY184" i="2"/>
  <c r="EV248" i="2"/>
  <c r="FQ211" i="2"/>
  <c r="FW211" i="2" s="1"/>
  <c r="FX211" i="2" s="1" a="1"/>
  <c r="FX211" i="2" s="1"/>
  <c r="EX219" i="2"/>
  <c r="EX226" i="2"/>
  <c r="FQ239" i="2"/>
  <c r="FW239" i="2" s="1"/>
  <c r="FX239" i="2" s="1" a="1"/>
  <c r="FX239" i="2" s="1"/>
  <c r="FQ78" i="2"/>
  <c r="FW78" i="2" s="1"/>
  <c r="FX78" i="2" s="1" a="1"/>
  <c r="FX78" i="2" s="1"/>
  <c r="EV16" i="2"/>
  <c r="EV32" i="2"/>
  <c r="EY62" i="2"/>
  <c r="EY67" i="2"/>
  <c r="EY141" i="2"/>
  <c r="EY206" i="2"/>
  <c r="EY232" i="2"/>
  <c r="FQ245" i="2"/>
  <c r="FW245" i="2" s="1"/>
  <c r="FX245" i="2" s="1" a="1"/>
  <c r="FX245" i="2" s="1"/>
  <c r="EY10" i="2"/>
  <c r="EV34" i="2"/>
  <c r="EY9" i="2"/>
  <c r="EV41" i="2"/>
  <c r="EY24" i="2"/>
  <c r="EX54" i="2"/>
  <c r="EY75" i="2"/>
  <c r="EY83" i="2"/>
  <c r="EX107" i="2"/>
  <c r="EY122" i="2"/>
  <c r="FQ133" i="2"/>
  <c r="FW133" i="2" s="1"/>
  <c r="FX133" i="2" s="1" a="1"/>
  <c r="FX133" i="2" s="1"/>
  <c r="EY155" i="2"/>
  <c r="EY183" i="2"/>
  <c r="EX218" i="2"/>
  <c r="EX225" i="2"/>
  <c r="EY17" i="2"/>
  <c r="EY48" i="2"/>
  <c r="EY15" i="2"/>
  <c r="EY31" i="2"/>
  <c r="EY61" i="2"/>
  <c r="EY140" i="2"/>
  <c r="EY205" i="2"/>
  <c r="EY231" i="2"/>
  <c r="FQ238" i="2"/>
  <c r="FW238" i="2" s="1"/>
  <c r="FX238" i="2" s="1" a="1"/>
  <c r="FX238" i="2" s="1"/>
  <c r="EY26" i="2"/>
  <c r="EY23" i="2"/>
  <c r="EV39" i="2"/>
  <c r="EX53" i="2"/>
  <c r="EY66" i="2"/>
  <c r="EY74" i="2"/>
  <c r="EX113" i="2"/>
  <c r="EX121" i="2"/>
  <c r="EY124" i="2"/>
  <c r="FQ132" i="2"/>
  <c r="FW132" i="2" s="1"/>
  <c r="FX132" i="2" s="1" a="1"/>
  <c r="FX132" i="2" s="1"/>
  <c r="EY147" i="2"/>
  <c r="EY182" i="2"/>
  <c r="EY197" i="2"/>
  <c r="EV128" i="2"/>
  <c r="EX224" i="2"/>
  <c r="FQ94" i="2"/>
  <c r="FW94" i="2" s="1"/>
  <c r="FX94" i="2" s="1" a="1"/>
  <c r="FX94" i="2" s="1"/>
  <c r="EY143" i="2"/>
  <c r="EX116" i="2"/>
  <c r="EY14" i="2"/>
  <c r="EY45" i="2"/>
  <c r="EY60" i="2"/>
  <c r="EY139" i="2"/>
  <c r="EY154" i="2"/>
  <c r="EY204" i="2"/>
  <c r="EY230" i="2"/>
  <c r="FQ202" i="2"/>
  <c r="FR202" i="2" s="1" a="1"/>
  <c r="FR202" i="2" s="1"/>
  <c r="EY86" i="2"/>
  <c r="EY25" i="2"/>
  <c r="EY22" i="2"/>
  <c r="EV38" i="2"/>
  <c r="FQ52" i="2"/>
  <c r="FW52" i="2" s="1"/>
  <c r="FX52" i="2" s="1" a="1"/>
  <c r="FX52" i="2" s="1"/>
  <c r="EY65" i="2"/>
  <c r="EY73" i="2"/>
  <c r="EV81" i="2"/>
  <c r="EY89" i="2"/>
  <c r="EX105" i="2"/>
  <c r="EX112" i="2"/>
  <c r="EX120" i="2"/>
  <c r="EY123" i="2"/>
  <c r="EY146" i="2"/>
  <c r="EY181" i="2"/>
  <c r="EY189" i="2"/>
  <c r="EY196" i="2"/>
  <c r="EX208" i="2"/>
  <c r="EX216" i="2"/>
  <c r="EX223" i="2"/>
  <c r="EY63" i="2"/>
  <c r="EX13" i="2"/>
  <c r="EY29" i="2"/>
  <c r="EY44" i="2"/>
  <c r="EY59" i="2"/>
  <c r="EY229" i="2"/>
  <c r="EY237" i="2"/>
  <c r="FQ110" i="2"/>
  <c r="FW110" i="2" s="1"/>
  <c r="FX110" i="2" s="1" a="1"/>
  <c r="FX110" i="2" s="1"/>
  <c r="EY69" i="2"/>
  <c r="EY21" i="2"/>
  <c r="EV37" i="2"/>
  <c r="EX51" i="2"/>
  <c r="EY72" i="2"/>
  <c r="EY80" i="2"/>
  <c r="EY88" i="2"/>
  <c r="FQ96" i="2"/>
  <c r="FW96" i="2" s="1"/>
  <c r="FX96" i="2" s="1" a="1"/>
  <c r="FX96" i="2" s="1"/>
  <c r="EX119" i="2"/>
  <c r="EX130" i="2"/>
  <c r="EY138" i="2"/>
  <c r="EY145" i="2"/>
  <c r="EX153" i="2"/>
  <c r="EY180" i="2"/>
  <c r="EY188" i="2"/>
  <c r="EY195" i="2"/>
  <c r="EX215" i="2"/>
  <c r="EX222" i="2"/>
  <c r="EX12" i="2"/>
  <c r="EY28" i="2"/>
  <c r="EY111" i="2"/>
  <c r="EY58" i="2"/>
  <c r="FQ249" i="2"/>
  <c r="FW249" i="2" s="1"/>
  <c r="FX249" i="2" s="1" a="1"/>
  <c r="FX249" i="2" s="1"/>
  <c r="EV33" i="2"/>
  <c r="EY20" i="2"/>
  <c r="EV36" i="2"/>
  <c r="EY71" i="2"/>
  <c r="EY79" i="2"/>
  <c r="FQ103" i="2"/>
  <c r="FW103" i="2" s="1"/>
  <c r="FX103" i="2" s="1" a="1"/>
  <c r="FX103" i="2" s="1"/>
  <c r="EX118" i="2"/>
  <c r="EX129" i="2"/>
  <c r="EY137" i="2"/>
  <c r="EY144" i="2"/>
  <c r="FQ152" i="2"/>
  <c r="FW152" i="2" s="1"/>
  <c r="FX152" i="2" s="1" a="1"/>
  <c r="FX152" i="2" s="1"/>
  <c r="EV159" i="2"/>
  <c r="EX172" i="2"/>
  <c r="EY179" i="2"/>
  <c r="EY187" i="2"/>
  <c r="EY194" i="2"/>
  <c r="FQ214" i="2"/>
  <c r="FW214" i="2" s="1"/>
  <c r="FX214" i="2" s="1" a="1"/>
  <c r="FX214" i="2" s="1"/>
  <c r="EX221" i="2"/>
  <c r="EY77" i="2"/>
  <c r="EX212" i="2"/>
  <c r="EY27" i="2"/>
  <c r="EY70" i="2"/>
  <c r="DG175" i="2"/>
  <c r="DH175" i="2" s="1"/>
  <c r="CZ175" i="2"/>
  <c r="GO175" i="2"/>
  <c r="GS175" i="2"/>
  <c r="GH161" i="2"/>
  <c r="X161" i="2"/>
  <c r="AA161" i="2" s="1"/>
  <c r="AN161" i="2"/>
  <c r="BY251" i="2"/>
  <c r="EJ251" i="2"/>
  <c r="BJ251" i="2"/>
  <c r="S251" i="2"/>
  <c r="GM251" i="2"/>
  <c r="AM251" i="2"/>
  <c r="CG257" i="2"/>
  <c r="CG254" i="2"/>
  <c r="CG256" i="2"/>
  <c r="CZ167" i="2"/>
  <c r="GO167" i="2"/>
  <c r="EG234" i="2"/>
  <c r="DA228" i="2"/>
  <c r="DB228" i="2" s="1"/>
  <c r="CW228" i="2"/>
  <c r="BK160" i="2"/>
  <c r="CL160" i="2" s="1"/>
  <c r="X56" i="2"/>
  <c r="AA56" i="2" s="1"/>
  <c r="CG83" i="2"/>
  <c r="EY222" i="2"/>
  <c r="DH109" i="2"/>
  <c r="CG50" i="2"/>
  <c r="BK237" i="2"/>
  <c r="CL237" i="2" s="1"/>
  <c r="X21" i="2"/>
  <c r="AA21" i="2" s="1"/>
  <c r="EX21" i="2"/>
  <c r="CG209" i="2"/>
  <c r="DU229" i="2"/>
  <c r="EG229" i="2" s="1"/>
  <c r="Y44" i="2"/>
  <c r="AB44" i="2" s="1"/>
  <c r="X140" i="2"/>
  <c r="AA140" i="2" s="1"/>
  <c r="DG72" i="2"/>
  <c r="BK25" i="2"/>
  <c r="CL25" i="2" s="1"/>
  <c r="DG63" i="2"/>
  <c r="DH74" i="2"/>
  <c r="X247" i="2"/>
  <c r="AA247" i="2" s="1"/>
  <c r="DH182" i="2"/>
  <c r="GA239" i="2"/>
  <c r="Y247" i="2"/>
  <c r="DH71" i="2"/>
  <c r="EY129" i="2"/>
  <c r="EX34" i="2"/>
  <c r="Y238" i="2"/>
  <c r="AB238" i="2" s="1"/>
  <c r="CG116" i="2"/>
  <c r="EV230" i="2"/>
  <c r="CR237" i="2"/>
  <c r="CG107" i="2"/>
  <c r="Y77" i="2"/>
  <c r="AB77" i="2" s="1"/>
  <c r="BK218" i="2"/>
  <c r="CL218" i="2" s="1"/>
  <c r="CR221" i="2"/>
  <c r="EX230" i="2"/>
  <c r="BK122" i="2"/>
  <c r="CL122" i="2" s="1"/>
  <c r="CG54" i="2"/>
  <c r="EV43" i="2"/>
  <c r="CG127" i="2"/>
  <c r="DH78" i="2"/>
  <c r="Y218" i="2"/>
  <c r="Z218" i="2" s="1"/>
  <c r="BK68" i="2"/>
  <c r="CL68" i="2" s="1"/>
  <c r="CR217" i="2"/>
  <c r="Y53" i="2"/>
  <c r="AB53" i="2" s="1"/>
  <c r="CR18" i="2"/>
  <c r="CR111" i="2"/>
  <c r="DG105" i="2"/>
  <c r="X134" i="2"/>
  <c r="AA134" i="2" s="1"/>
  <c r="CG134" i="2"/>
  <c r="DH191" i="2"/>
  <c r="Y197" i="2"/>
  <c r="AB197" i="2" s="1"/>
  <c r="BM181" i="2"/>
  <c r="BN181" i="2" s="1"/>
  <c r="GA180" i="2"/>
  <c r="EV189" i="2"/>
  <c r="DA42" i="2"/>
  <c r="DB42" i="2" s="1"/>
  <c r="CG87" i="2"/>
  <c r="Y129" i="2"/>
  <c r="AB129" i="2" s="1"/>
  <c r="EV156" i="2"/>
  <c r="Y248" i="2"/>
  <c r="AB248" i="2" s="1"/>
  <c r="BK208" i="2"/>
  <c r="CL208" i="2" s="1"/>
  <c r="CR222" i="2"/>
  <c r="BK27" i="2"/>
  <c r="CL27" i="2" s="1"/>
  <c r="FQ116" i="2"/>
  <c r="FW116" i="2" s="1"/>
  <c r="FX116" i="2" s="1" a="1"/>
  <c r="FX116" i="2" s="1"/>
  <c r="DA111" i="2"/>
  <c r="DB111" i="2" s="1"/>
  <c r="DA69" i="2"/>
  <c r="DB69" i="2" s="1"/>
  <c r="Y112" i="2"/>
  <c r="AB112" i="2" s="1"/>
  <c r="X159" i="2"/>
  <c r="AA159" i="2" s="1"/>
  <c r="X179" i="2"/>
  <c r="AA179" i="2" s="1"/>
  <c r="DO30" i="2"/>
  <c r="DS30" i="2" s="1"/>
  <c r="DG239" i="2"/>
  <c r="DG61" i="2"/>
  <c r="Y14" i="2"/>
  <c r="AB14" i="2" s="1"/>
  <c r="BM103" i="2"/>
  <c r="BN103" i="2" s="1"/>
  <c r="Y163" i="2"/>
  <c r="AB163" i="2" s="1"/>
  <c r="X176" i="2"/>
  <c r="Z176" i="2" s="1"/>
  <c r="EY208" i="2"/>
  <c r="FZ217" i="2"/>
  <c r="DV234" i="2"/>
  <c r="DW234" i="2" s="1"/>
  <c r="X114" i="2"/>
  <c r="AA114" i="2" s="1"/>
  <c r="X117" i="2"/>
  <c r="AA117" i="2" s="1"/>
  <c r="X118" i="2"/>
  <c r="AA118" i="2" s="1"/>
  <c r="DG151" i="2"/>
  <c r="DG152" i="2"/>
  <c r="FZ162" i="2"/>
  <c r="FZ165" i="2"/>
  <c r="DH199" i="2"/>
  <c r="CG198" i="2"/>
  <c r="FQ169" i="2"/>
  <c r="FW169" i="2" s="1"/>
  <c r="FX169" i="2" s="1" a="1"/>
  <c r="FX169" i="2" s="1"/>
  <c r="Y26" i="2"/>
  <c r="AB26" i="2" s="1"/>
  <c r="DU32" i="2"/>
  <c r="EG32" i="2" s="1"/>
  <c r="DG36" i="2"/>
  <c r="EX76" i="2"/>
  <c r="GA145" i="2"/>
  <c r="DV203" i="2"/>
  <c r="DW203" i="2" s="1"/>
  <c r="GH248" i="2"/>
  <c r="FZ211" i="2"/>
  <c r="BK60" i="2"/>
  <c r="CL60" i="2" s="1"/>
  <c r="EX78" i="2"/>
  <c r="EY99" i="2"/>
  <c r="CW43" i="2"/>
  <c r="EV103" i="2"/>
  <c r="DA113" i="2"/>
  <c r="DB113" i="2" s="1"/>
  <c r="FZ115" i="2"/>
  <c r="FZ118" i="2"/>
  <c r="GT219" i="2"/>
  <c r="CG58" i="2"/>
  <c r="EY78" i="2"/>
  <c r="CR141" i="2"/>
  <c r="FZ141" i="2"/>
  <c r="BM232" i="2"/>
  <c r="BN232" i="2" s="1"/>
  <c r="EX59" i="2"/>
  <c r="EY103" i="2"/>
  <c r="BK224" i="2"/>
  <c r="CL224" i="2" s="1"/>
  <c r="GT121" i="2"/>
  <c r="FQ58" i="2"/>
  <c r="FW58" i="2" s="1"/>
  <c r="FX58" i="2" s="1" a="1"/>
  <c r="FX58" i="2" s="1"/>
  <c r="DA82" i="2"/>
  <c r="DB82" i="2" s="1"/>
  <c r="CW30" i="2"/>
  <c r="GA229" i="2"/>
  <c r="CG33" i="2"/>
  <c r="EY33" i="2"/>
  <c r="EX35" i="2"/>
  <c r="CG42" i="2"/>
  <c r="EX69" i="2"/>
  <c r="BM91" i="2"/>
  <c r="BN91" i="2" s="1"/>
  <c r="DA101" i="2"/>
  <c r="DB101" i="2" s="1"/>
  <c r="X104" i="2"/>
  <c r="AA104" i="2" s="1"/>
  <c r="CG104" i="2"/>
  <c r="BK47" i="2"/>
  <c r="CL47" i="2" s="1"/>
  <c r="X204" i="2"/>
  <c r="AA204" i="2" s="1"/>
  <c r="CW204" i="2"/>
  <c r="DA98" i="2"/>
  <c r="DB98" i="2" s="1"/>
  <c r="Y226" i="2"/>
  <c r="AB226" i="2" s="1"/>
  <c r="Y239" i="2"/>
  <c r="AB239" i="2" s="1"/>
  <c r="Y19" i="2"/>
  <c r="AB19" i="2" s="1"/>
  <c r="X111" i="2"/>
  <c r="Z111" i="2" s="1"/>
  <c r="X46" i="2"/>
  <c r="AA46" i="2" s="1"/>
  <c r="EX94" i="2"/>
  <c r="CW35" i="2"/>
  <c r="CR42" i="2"/>
  <c r="CG67" i="2"/>
  <c r="GT155" i="2"/>
  <c r="FQ204" i="2"/>
  <c r="FW204" i="2" s="1"/>
  <c r="FX204" i="2" s="1" a="1"/>
  <c r="FX204" i="2" s="1"/>
  <c r="FQ205" i="2"/>
  <c r="FW205" i="2" s="1"/>
  <c r="FX205" i="2" s="1" a="1"/>
  <c r="FX205" i="2" s="1"/>
  <c r="CW242" i="2"/>
  <c r="X221" i="2"/>
  <c r="AA221" i="2" s="1"/>
  <c r="Y222" i="2"/>
  <c r="AB222" i="2" s="1"/>
  <c r="CW222" i="2"/>
  <c r="GA231" i="2"/>
  <c r="FQ234" i="2"/>
  <c r="FW234" i="2" s="1"/>
  <c r="FX234" i="2" s="1" a="1"/>
  <c r="FX234" i="2" s="1"/>
  <c r="DO41" i="2"/>
  <c r="EC41" i="2" s="1"/>
  <c r="DU41" i="2"/>
  <c r="EI41" i="2" s="1"/>
  <c r="CG49" i="2"/>
  <c r="BK50" i="2"/>
  <c r="CL50" i="2" s="1"/>
  <c r="DG58" i="2"/>
  <c r="FQ61" i="2"/>
  <c r="FW61" i="2" s="1"/>
  <c r="FX61" i="2" s="1" a="1"/>
  <c r="FX61" i="2" s="1"/>
  <c r="DA148" i="2"/>
  <c r="DB148" i="2" s="1"/>
  <c r="CW148" i="2"/>
  <c r="DA149" i="2"/>
  <c r="DB149" i="2" s="1"/>
  <c r="CG149" i="2"/>
  <c r="CW149" i="2"/>
  <c r="Y172" i="2"/>
  <c r="AB172" i="2" s="1"/>
  <c r="X172" i="2"/>
  <c r="AA172" i="2" s="1"/>
  <c r="FQ13" i="2"/>
  <c r="FW13" i="2" s="1"/>
  <c r="FX13" i="2" s="1" a="1"/>
  <c r="FX13" i="2" s="1"/>
  <c r="FZ18" i="2"/>
  <c r="GU22" i="2"/>
  <c r="DA84" i="2"/>
  <c r="DB84" i="2" s="1"/>
  <c r="Y148" i="2"/>
  <c r="AB148" i="2" s="1"/>
  <c r="FZ178" i="2"/>
  <c r="GA178" i="2"/>
  <c r="DH25" i="2"/>
  <c r="DA13" i="2"/>
  <c r="DB13" i="2" s="1"/>
  <c r="EX22" i="2"/>
  <c r="EX37" i="2"/>
  <c r="DG53" i="2"/>
  <c r="Y72" i="2"/>
  <c r="AB72" i="2" s="1"/>
  <c r="DQ156" i="2"/>
  <c r="DR156" i="2" s="1"/>
  <c r="DO184" i="2"/>
  <c r="EH184" i="2" s="1"/>
  <c r="EX114" i="2"/>
  <c r="EY114" i="2"/>
  <c r="DA145" i="2"/>
  <c r="DB145" i="2" s="1"/>
  <c r="CR145" i="2"/>
  <c r="X50" i="2"/>
  <c r="AA50" i="2" s="1"/>
  <c r="DH60" i="2"/>
  <c r="DO70" i="2"/>
  <c r="EH70" i="2" s="1"/>
  <c r="CW114" i="2"/>
  <c r="CG114" i="2"/>
  <c r="DA122" i="2"/>
  <c r="DB122" i="2" s="1"/>
  <c r="CW122" i="2"/>
  <c r="EY191" i="2"/>
  <c r="FQ191" i="2"/>
  <c r="FR191" i="2" s="1" a="1"/>
  <c r="FR191" i="2" s="1"/>
  <c r="GI44" i="2"/>
  <c r="GJ44" i="2" s="1"/>
  <c r="FQ72" i="2"/>
  <c r="FW72" i="2" s="1"/>
  <c r="FX72" i="2" s="1" a="1"/>
  <c r="FX72" i="2" s="1"/>
  <c r="BM99" i="2"/>
  <c r="BN99" i="2" s="1"/>
  <c r="BK99" i="2"/>
  <c r="CL99" i="2" s="1"/>
  <c r="DG19" i="2"/>
  <c r="FQ22" i="2"/>
  <c r="FW22" i="2" s="1"/>
  <c r="FX22" i="2" s="1" a="1"/>
  <c r="FX22" i="2" s="1"/>
  <c r="FO29" i="2"/>
  <c r="GJ29" i="2" s="1"/>
  <c r="CG32" i="2"/>
  <c r="Y51" i="2"/>
  <c r="AB51" i="2" s="1"/>
  <c r="CG51" i="2"/>
  <c r="DO162" i="2"/>
  <c r="DS162" i="2" s="1"/>
  <c r="DU162" i="2"/>
  <c r="DV162" i="2" s="1"/>
  <c r="DW162" i="2" s="1"/>
  <c r="BK185" i="2"/>
  <c r="CL185" i="2" s="1"/>
  <c r="BM185" i="2"/>
  <c r="BN185" i="2" s="1"/>
  <c r="Y76" i="2"/>
  <c r="AB76" i="2" s="1"/>
  <c r="GU106" i="2"/>
  <c r="CW118" i="2"/>
  <c r="DA118" i="2"/>
  <c r="DB118" i="2" s="1"/>
  <c r="X132" i="2"/>
  <c r="AA132" i="2" s="1"/>
  <c r="Y132" i="2"/>
  <c r="AB132" i="2" s="1"/>
  <c r="EY203" i="2"/>
  <c r="FQ203" i="2"/>
  <c r="FW203" i="2" s="1"/>
  <c r="FX203" i="2" s="1" a="1"/>
  <c r="FX203" i="2" s="1"/>
  <c r="FQ24" i="2"/>
  <c r="FW24" i="2" s="1"/>
  <c r="FX24" i="2" s="1" a="1"/>
  <c r="FX24" i="2" s="1"/>
  <c r="EX33" i="2"/>
  <c r="BM56" i="2"/>
  <c r="BN56" i="2" s="1"/>
  <c r="BK66" i="2"/>
  <c r="CL66" i="2" s="1"/>
  <c r="GA72" i="2"/>
  <c r="Y78" i="2"/>
  <c r="AB78" i="2" s="1"/>
  <c r="FZ113" i="2"/>
  <c r="GA113" i="2"/>
  <c r="GA144" i="2"/>
  <c r="FZ144" i="2"/>
  <c r="BM203" i="2"/>
  <c r="BN203" i="2" s="1"/>
  <c r="BK203" i="2"/>
  <c r="CL203" i="2" s="1"/>
  <c r="FQ90" i="2"/>
  <c r="FW90" i="2" s="1"/>
  <c r="FX90" i="2" s="1" a="1"/>
  <c r="FX90" i="2" s="1"/>
  <c r="GU168" i="2"/>
  <c r="DG193" i="2"/>
  <c r="DH193" i="2"/>
  <c r="FQ32" i="2"/>
  <c r="FW32" i="2" s="1"/>
  <c r="FX32" i="2" s="1" a="1"/>
  <c r="FX32" i="2" s="1"/>
  <c r="EY34" i="2"/>
  <c r="BM35" i="2"/>
  <c r="BN35" i="2" s="1"/>
  <c r="DH38" i="2"/>
  <c r="CW53" i="2"/>
  <c r="FQ91" i="2"/>
  <c r="FW91" i="2" s="1"/>
  <c r="FX91" i="2" s="1" a="1"/>
  <c r="FX91" i="2" s="1"/>
  <c r="EY91" i="2"/>
  <c r="Y199" i="2"/>
  <c r="AB199" i="2" s="1"/>
  <c r="X199" i="2"/>
  <c r="AA199" i="2" s="1"/>
  <c r="DU22" i="2"/>
  <c r="EI22" i="2" s="1"/>
  <c r="CG53" i="2"/>
  <c r="EY53" i="2"/>
  <c r="EV88" i="2"/>
  <c r="X124" i="2"/>
  <c r="AA124" i="2" s="1"/>
  <c r="Y124" i="2"/>
  <c r="AB124" i="2" s="1"/>
  <c r="DO217" i="2"/>
  <c r="EC217" i="2" s="1"/>
  <c r="DU217" i="2"/>
  <c r="EI217" i="2" s="1"/>
  <c r="FZ31" i="2"/>
  <c r="GA41" i="2"/>
  <c r="DH51" i="2"/>
  <c r="DG52" i="2"/>
  <c r="CG161" i="2"/>
  <c r="DG73" i="2"/>
  <c r="Y80" i="2"/>
  <c r="AB80" i="2" s="1"/>
  <c r="CG90" i="2"/>
  <c r="FZ190" i="2"/>
  <c r="GA190" i="2"/>
  <c r="Y10" i="2"/>
  <c r="AB10" i="2" s="1"/>
  <c r="FQ33" i="2"/>
  <c r="FW33" i="2" s="1"/>
  <c r="FX33" i="2" s="1" a="1"/>
  <c r="FX33" i="2" s="1"/>
  <c r="CG111" i="2"/>
  <c r="FZ55" i="2"/>
  <c r="FQ59" i="2"/>
  <c r="FW59" i="2" s="1"/>
  <c r="FX59" i="2" s="1" a="1"/>
  <c r="FX59" i="2" s="1"/>
  <c r="EX62" i="2"/>
  <c r="EX63" i="2"/>
  <c r="X83" i="2"/>
  <c r="AA83" i="2" s="1"/>
  <c r="DG114" i="2"/>
  <c r="X123" i="2"/>
  <c r="AA123" i="2" s="1"/>
  <c r="Y123" i="2"/>
  <c r="AB123" i="2" s="1"/>
  <c r="FZ132" i="2"/>
  <c r="GA133" i="2"/>
  <c r="FZ135" i="2"/>
  <c r="DU152" i="2"/>
  <c r="DV152" i="2" s="1"/>
  <c r="DW152" i="2" s="1"/>
  <c r="DO152" i="2"/>
  <c r="DS152" i="2" s="1"/>
  <c r="FQ95" i="2"/>
  <c r="FW95" i="2" s="1"/>
  <c r="FX95" i="2" s="1" a="1"/>
  <c r="FX95" i="2" s="1"/>
  <c r="EY95" i="2"/>
  <c r="Y13" i="2"/>
  <c r="AB13" i="2" s="1"/>
  <c r="GA12" i="2"/>
  <c r="EX19" i="2"/>
  <c r="DH23" i="2"/>
  <c r="CG36" i="2"/>
  <c r="Y88" i="2"/>
  <c r="AB88" i="2" s="1"/>
  <c r="BM172" i="2"/>
  <c r="BN172" i="2" s="1"/>
  <c r="BK172" i="2"/>
  <c r="CL172" i="2" s="1"/>
  <c r="BK225" i="2"/>
  <c r="CL225" i="2" s="1"/>
  <c r="BM228" i="2"/>
  <c r="BN228" i="2" s="1"/>
  <c r="BK221" i="2"/>
  <c r="CL221" i="2" s="1"/>
  <c r="GU228" i="2"/>
  <c r="EV232" i="2"/>
  <c r="CG121" i="2"/>
  <c r="CG145" i="2"/>
  <c r="CR170" i="2"/>
  <c r="BK209" i="2"/>
  <c r="CL209" i="2" s="1"/>
  <c r="CR219" i="2"/>
  <c r="FQ223" i="2"/>
  <c r="FW223" i="2" s="1"/>
  <c r="FX223" i="2" s="1" a="1"/>
  <c r="FX223" i="2" s="1"/>
  <c r="X196" i="2"/>
  <c r="AA196" i="2" s="1"/>
  <c r="CW196" i="2"/>
  <c r="EX128" i="2"/>
  <c r="CG242" i="2"/>
  <c r="DO230" i="2"/>
  <c r="EH230" i="2" s="1"/>
  <c r="FZ99" i="2"/>
  <c r="GU131" i="2"/>
  <c r="BK169" i="2"/>
  <c r="CL169" i="2" s="1"/>
  <c r="BM174" i="2"/>
  <c r="BN174" i="2" s="1"/>
  <c r="EY128" i="2"/>
  <c r="DS102" i="2"/>
  <c r="FZ121" i="2"/>
  <c r="CG146" i="2"/>
  <c r="EX154" i="2"/>
  <c r="DA170" i="2"/>
  <c r="DB170" i="2" s="1"/>
  <c r="BM179" i="2"/>
  <c r="BN179" i="2" s="1"/>
  <c r="BM180" i="2"/>
  <c r="BN180" i="2" s="1"/>
  <c r="BM184" i="2"/>
  <c r="BN184" i="2" s="1"/>
  <c r="DH187" i="2"/>
  <c r="FQ227" i="2"/>
  <c r="FW227" i="2" s="1"/>
  <c r="FX227" i="2" s="1" a="1"/>
  <c r="FX227" i="2" s="1"/>
  <c r="EY43" i="2"/>
  <c r="DG104" i="2"/>
  <c r="DG198" i="2"/>
  <c r="DG117" i="2"/>
  <c r="CW153" i="2"/>
  <c r="CG154" i="2"/>
  <c r="GT158" i="2"/>
  <c r="FQ189" i="2"/>
  <c r="FR189" i="2" s="1" a="1"/>
  <c r="FR189" i="2" s="1"/>
  <c r="DA208" i="2"/>
  <c r="DB208" i="2" s="1"/>
  <c r="GA223" i="2"/>
  <c r="FQ232" i="2"/>
  <c r="FW232" i="2" s="1"/>
  <c r="FX232" i="2" s="1" a="1"/>
  <c r="FX232" i="2" s="1"/>
  <c r="EX234" i="2"/>
  <c r="FZ208" i="2"/>
  <c r="DH223" i="2"/>
  <c r="EY234" i="2"/>
  <c r="EY235" i="2"/>
  <c r="CR43" i="2"/>
  <c r="GT136" i="2"/>
  <c r="CG168" i="2"/>
  <c r="DV207" i="2"/>
  <c r="DW207" i="2" s="1"/>
  <c r="CW98" i="2"/>
  <c r="FN128" i="2"/>
  <c r="CG169" i="2"/>
  <c r="EY169" i="2"/>
  <c r="FZ172" i="2"/>
  <c r="FQ128" i="2"/>
  <c r="FW128" i="2" s="1"/>
  <c r="FX128" i="2" s="1" a="1"/>
  <c r="FX128" i="2" s="1"/>
  <c r="CR220" i="2"/>
  <c r="DH242" i="2"/>
  <c r="BM143" i="2"/>
  <c r="BN143" i="2" s="1"/>
  <c r="DH194" i="2"/>
  <c r="CR30" i="2"/>
  <c r="DH224" i="2"/>
  <c r="CG94" i="2"/>
  <c r="CG95" i="2"/>
  <c r="DG47" i="2"/>
  <c r="CR169" i="2"/>
  <c r="EV99" i="2"/>
  <c r="DH101" i="2"/>
  <c r="DG106" i="2"/>
  <c r="EX157" i="2"/>
  <c r="BK242" i="2"/>
  <c r="CL242" i="2" s="1"/>
  <c r="GA221" i="2"/>
  <c r="BK223" i="2"/>
  <c r="CL223" i="2" s="1"/>
  <c r="BK175" i="2"/>
  <c r="BK201" i="2"/>
  <c r="EV123" i="2"/>
  <c r="DQ155" i="2"/>
  <c r="DR155" i="2" s="1"/>
  <c r="X157" i="2"/>
  <c r="AA157" i="2" s="1"/>
  <c r="DU163" i="2"/>
  <c r="DV163" i="2" s="1"/>
  <c r="DW163" i="2" s="1"/>
  <c r="DA169" i="2"/>
  <c r="DB169" i="2" s="1"/>
  <c r="GA174" i="2"/>
  <c r="CW205" i="2"/>
  <c r="DG210" i="2"/>
  <c r="DH221" i="2"/>
  <c r="DO82" i="2"/>
  <c r="DQ82" i="2" s="1"/>
  <c r="DR82" i="2" s="1"/>
  <c r="DU82" i="2"/>
  <c r="EI82" i="2" s="1"/>
  <c r="DO33" i="2"/>
  <c r="DQ33" i="2" s="1"/>
  <c r="DR33" i="2" s="1"/>
  <c r="DU33" i="2"/>
  <c r="DV33" i="2" s="1"/>
  <c r="DW33" i="2" s="1"/>
  <c r="DO83" i="2"/>
  <c r="DQ83" i="2" s="1"/>
  <c r="DR83" i="2" s="1"/>
  <c r="DU83" i="2"/>
  <c r="EI83" i="2" s="1"/>
  <c r="DO20" i="2"/>
  <c r="EC20" i="2" s="1"/>
  <c r="DU20" i="2"/>
  <c r="DV20" i="2" s="1"/>
  <c r="DW20" i="2" s="1"/>
  <c r="DO47" i="2"/>
  <c r="EC47" i="2" s="1"/>
  <c r="DU47" i="2"/>
  <c r="EI47" i="2" s="1"/>
  <c r="DQ21" i="2"/>
  <c r="DR21" i="2" s="1"/>
  <c r="EC21" i="2"/>
  <c r="DS21" i="2"/>
  <c r="DU48" i="2"/>
  <c r="EG48" i="2" s="1"/>
  <c r="DO48" i="2"/>
  <c r="EH48" i="2" s="1"/>
  <c r="EH133" i="2"/>
  <c r="DQ133" i="2"/>
  <c r="DR133" i="2" s="1"/>
  <c r="EH51" i="2"/>
  <c r="EC51" i="2"/>
  <c r="DY51" i="2"/>
  <c r="DZ51" i="2" s="1"/>
  <c r="EA51" i="2" s="1"/>
  <c r="DS51" i="2"/>
  <c r="DO104" i="2"/>
  <c r="DY104" i="2" s="1"/>
  <c r="DZ104" i="2" s="1"/>
  <c r="EA104" i="2" s="1"/>
  <c r="DU104" i="2"/>
  <c r="EI104" i="2" s="1"/>
  <c r="DO10" i="2"/>
  <c r="DY10" i="2" s="1"/>
  <c r="DZ10" i="2" s="1"/>
  <c r="EA10" i="2" s="1"/>
  <c r="DU10" i="2"/>
  <c r="DV10" i="2" s="1"/>
  <c r="DW10" i="2" s="1"/>
  <c r="DO23" i="2"/>
  <c r="EC23" i="2" s="1"/>
  <c r="DU23" i="2"/>
  <c r="EG23" i="2" s="1"/>
  <c r="CG183" i="2"/>
  <c r="CR183" i="2"/>
  <c r="BK124" i="2"/>
  <c r="CL124" i="2" s="1"/>
  <c r="DG127" i="2"/>
  <c r="BM140" i="2"/>
  <c r="BN140" i="2" s="1"/>
  <c r="FZ142" i="2"/>
  <c r="GA164" i="2"/>
  <c r="FZ164" i="2"/>
  <c r="DS200" i="2"/>
  <c r="DQ200" i="2"/>
  <c r="DR200" i="2" s="1"/>
  <c r="EC200" i="2"/>
  <c r="DG111" i="2"/>
  <c r="DH49" i="2"/>
  <c r="BM111" i="2"/>
  <c r="BN111" i="2" s="1"/>
  <c r="GU48" i="2"/>
  <c r="GA50" i="2"/>
  <c r="BK161" i="2"/>
  <c r="CL161" i="2" s="1"/>
  <c r="CR66" i="2"/>
  <c r="CR70" i="2"/>
  <c r="EX70" i="2"/>
  <c r="Y73" i="2"/>
  <c r="AB73" i="2" s="1"/>
  <c r="BK87" i="2"/>
  <c r="CL87" i="2" s="1"/>
  <c r="EX90" i="2"/>
  <c r="EY94" i="2"/>
  <c r="BM101" i="2"/>
  <c r="BN101" i="2" s="1"/>
  <c r="GA198" i="2"/>
  <c r="DA120" i="2"/>
  <c r="DB120" i="2" s="1"/>
  <c r="FZ120" i="2"/>
  <c r="X133" i="2"/>
  <c r="AA133" i="2" s="1"/>
  <c r="CG143" i="2"/>
  <c r="CG150" i="2"/>
  <c r="EV157" i="2"/>
  <c r="BK158" i="2"/>
  <c r="CL158" i="2" s="1"/>
  <c r="CG197" i="2"/>
  <c r="DA197" i="2"/>
  <c r="DB197" i="2" s="1"/>
  <c r="CR197" i="2"/>
  <c r="CW197" i="2"/>
  <c r="CW83" i="2"/>
  <c r="CR100" i="2"/>
  <c r="GT105" i="2"/>
  <c r="X113" i="2"/>
  <c r="AA113" i="2" s="1"/>
  <c r="GT115" i="2"/>
  <c r="GT118" i="2"/>
  <c r="EX126" i="2"/>
  <c r="Y139" i="2"/>
  <c r="AB139" i="2" s="1"/>
  <c r="CW151" i="2"/>
  <c r="BM11" i="2"/>
  <c r="BN11" i="2" s="1"/>
  <c r="BK11" i="2"/>
  <c r="CL11" i="2" s="1"/>
  <c r="Y168" i="2"/>
  <c r="AB168" i="2" s="1"/>
  <c r="GA171" i="2"/>
  <c r="FZ171" i="2"/>
  <c r="EY172" i="2"/>
  <c r="DH24" i="2"/>
  <c r="GA24" i="2"/>
  <c r="FP35" i="2"/>
  <c r="Y38" i="2"/>
  <c r="AB38" i="2" s="1"/>
  <c r="Y41" i="2"/>
  <c r="AB41" i="2" s="1"/>
  <c r="Y48" i="2"/>
  <c r="AB48" i="2" s="1"/>
  <c r="Y57" i="2"/>
  <c r="AB57" i="2" s="1"/>
  <c r="Y60" i="2"/>
  <c r="AB60" i="2" s="1"/>
  <c r="BK65" i="2"/>
  <c r="CL65" i="2" s="1"/>
  <c r="DG76" i="2"/>
  <c r="FQ76" i="2"/>
  <c r="FW76" i="2" s="1"/>
  <c r="FX76" i="2" s="1" a="1"/>
  <c r="FX76" i="2" s="1"/>
  <c r="X81" i="2"/>
  <c r="AA81" i="2" s="1"/>
  <c r="BK92" i="2"/>
  <c r="CL92" i="2" s="1"/>
  <c r="X105" i="2"/>
  <c r="AA105" i="2" s="1"/>
  <c r="X130" i="2"/>
  <c r="AA130" i="2" s="1"/>
  <c r="CG130" i="2"/>
  <c r="GA138" i="2"/>
  <c r="CR143" i="2"/>
  <c r="X144" i="2"/>
  <c r="AA144" i="2" s="1"/>
  <c r="CR150" i="2"/>
  <c r="DU156" i="2"/>
  <c r="EI156" i="2" s="1"/>
  <c r="GA160" i="2"/>
  <c r="X175" i="2"/>
  <c r="AA175" i="2" s="1"/>
  <c r="X11" i="2"/>
  <c r="AA11" i="2" s="1"/>
  <c r="Y11" i="2"/>
  <c r="AB11" i="2" s="1"/>
  <c r="BK32" i="2"/>
  <c r="CL32" i="2" s="1"/>
  <c r="FZ212" i="2"/>
  <c r="FQ12" i="2"/>
  <c r="FW12" i="2" s="1"/>
  <c r="FX12" i="2" s="1" a="1"/>
  <c r="FX12" i="2" s="1"/>
  <c r="FQ21" i="2"/>
  <c r="FW21" i="2" s="1"/>
  <c r="FX21" i="2" s="1" a="1"/>
  <c r="FX21" i="2" s="1"/>
  <c r="DG40" i="2"/>
  <c r="GA59" i="2"/>
  <c r="EX60" i="2"/>
  <c r="FZ106" i="2"/>
  <c r="GA114" i="2"/>
  <c r="CG115" i="2"/>
  <c r="EY115" i="2"/>
  <c r="DA121" i="2"/>
  <c r="DB121" i="2" s="1"/>
  <c r="Y122" i="2"/>
  <c r="AB122" i="2" s="1"/>
  <c r="FQ123" i="2"/>
  <c r="FW123" i="2" s="1"/>
  <c r="FX123" i="2" s="1" a="1"/>
  <c r="FX123" i="2" s="1"/>
  <c r="CG147" i="2"/>
  <c r="CG151" i="2"/>
  <c r="GU151" i="2"/>
  <c r="DH165" i="2"/>
  <c r="DG165" i="2"/>
  <c r="Y23" i="2"/>
  <c r="AB23" i="2" s="1"/>
  <c r="DA212" i="2"/>
  <c r="DB212" i="2" s="1"/>
  <c r="EX20" i="2"/>
  <c r="GA26" i="2"/>
  <c r="Y28" i="2"/>
  <c r="AB28" i="2" s="1"/>
  <c r="EX36" i="2"/>
  <c r="DG37" i="2"/>
  <c r="GA37" i="2"/>
  <c r="EX41" i="2"/>
  <c r="EV45" i="2"/>
  <c r="FQ51" i="2"/>
  <c r="FW51" i="2" s="1"/>
  <c r="FX51" i="2" s="1" a="1"/>
  <c r="FX51" i="2" s="1"/>
  <c r="CG57" i="2"/>
  <c r="FQ63" i="2"/>
  <c r="FW63" i="2" s="1"/>
  <c r="FX63" i="2" s="1" a="1"/>
  <c r="FX63" i="2" s="1"/>
  <c r="Y74" i="2"/>
  <c r="AB74" i="2" s="1"/>
  <c r="CR83" i="2"/>
  <c r="CG99" i="2"/>
  <c r="GT85" i="2"/>
  <c r="CW124" i="2"/>
  <c r="EX124" i="2"/>
  <c r="FZ139" i="2"/>
  <c r="X178" i="2"/>
  <c r="AA178" i="2" s="1"/>
  <c r="Y178" i="2"/>
  <c r="AB178" i="2" s="1"/>
  <c r="CG186" i="2"/>
  <c r="DH189" i="2"/>
  <c r="DG189" i="2"/>
  <c r="BM48" i="2"/>
  <c r="BN48" i="2" s="1"/>
  <c r="FO35" i="2"/>
  <c r="GJ35" i="2" s="1"/>
  <c r="Y17" i="2"/>
  <c r="AB17" i="2" s="1"/>
  <c r="CG24" i="2"/>
  <c r="EX32" i="2"/>
  <c r="EY36" i="2"/>
  <c r="EY41" i="2"/>
  <c r="FQ53" i="2"/>
  <c r="FR53" i="2" s="1" a="1"/>
  <c r="FR53" i="2" s="1"/>
  <c r="X65" i="2"/>
  <c r="AA65" i="2" s="1"/>
  <c r="GA73" i="2"/>
  <c r="CG77" i="2"/>
  <c r="CG82" i="2"/>
  <c r="BK166" i="2"/>
  <c r="CL166" i="2" s="1"/>
  <c r="CG88" i="2"/>
  <c r="EX92" i="2"/>
  <c r="CW103" i="2"/>
  <c r="GT109" i="2"/>
  <c r="BK125" i="2"/>
  <c r="CL125" i="2" s="1"/>
  <c r="Y127" i="2"/>
  <c r="AB127" i="2" s="1"/>
  <c r="CW127" i="2"/>
  <c r="GA130" i="2"/>
  <c r="Y131" i="2"/>
  <c r="AB131" i="2" s="1"/>
  <c r="CG140" i="2"/>
  <c r="DS154" i="2"/>
  <c r="EV158" i="2"/>
  <c r="FQ172" i="2"/>
  <c r="FW172" i="2" s="1"/>
  <c r="FX172" i="2" s="1" a="1"/>
  <c r="FX172" i="2" s="1"/>
  <c r="X177" i="2"/>
  <c r="AA177" i="2" s="1"/>
  <c r="DO179" i="2"/>
  <c r="EC179" i="2" s="1"/>
  <c r="BK28" i="2"/>
  <c r="CL28" i="2" s="1"/>
  <c r="AA44" i="2"/>
  <c r="Y27" i="2"/>
  <c r="AB27" i="2" s="1"/>
  <c r="Y29" i="2"/>
  <c r="AB29" i="2" s="1"/>
  <c r="EY32" i="2"/>
  <c r="GU39" i="2"/>
  <c r="DO46" i="2"/>
  <c r="EC46" i="2" s="1"/>
  <c r="FQ48" i="2"/>
  <c r="FW48" i="2" s="1"/>
  <c r="FX48" i="2" s="1" a="1"/>
  <c r="FX48" i="2" s="1"/>
  <c r="GT50" i="2"/>
  <c r="Y58" i="2"/>
  <c r="AB58" i="2" s="1"/>
  <c r="DH66" i="2"/>
  <c r="DA67" i="2"/>
  <c r="DB67" i="2" s="1"/>
  <c r="DH70" i="2"/>
  <c r="FQ74" i="2"/>
  <c r="FW74" i="2" s="1"/>
  <c r="FX74" i="2" s="1" a="1"/>
  <c r="FX74" i="2" s="1"/>
  <c r="EV78" i="2"/>
  <c r="EY92" i="2"/>
  <c r="CG96" i="2"/>
  <c r="EX99" i="2"/>
  <c r="EY101" i="2"/>
  <c r="BK43" i="2"/>
  <c r="CL43" i="2" s="1"/>
  <c r="CG103" i="2"/>
  <c r="EX103" i="2"/>
  <c r="DA130" i="2"/>
  <c r="DB130" i="2" s="1"/>
  <c r="CR151" i="2"/>
  <c r="FZ111" i="2"/>
  <c r="DA83" i="2"/>
  <c r="DB83" i="2" s="1"/>
  <c r="CG137" i="2"/>
  <c r="FZ147" i="2"/>
  <c r="CW152" i="2"/>
  <c r="GT156" i="2"/>
  <c r="EX158" i="2"/>
  <c r="DG184" i="2"/>
  <c r="DH184" i="2"/>
  <c r="DG190" i="2"/>
  <c r="DH190" i="2"/>
  <c r="DG16" i="2"/>
  <c r="FQ20" i="2"/>
  <c r="FW20" i="2" s="1"/>
  <c r="FX20" i="2" s="1" a="1"/>
  <c r="FX20" i="2" s="1"/>
  <c r="BK33" i="2"/>
  <c r="CL33" i="2" s="1"/>
  <c r="GA34" i="2"/>
  <c r="Z35" i="2"/>
  <c r="EV35" i="2"/>
  <c r="DH41" i="2"/>
  <c r="EV111" i="2"/>
  <c r="GA44" i="2"/>
  <c r="FZ46" i="2"/>
  <c r="GA51" i="2"/>
  <c r="CG52" i="2"/>
  <c r="FZ53" i="2"/>
  <c r="X54" i="2"/>
  <c r="Z54" i="2" s="1"/>
  <c r="EX58" i="2"/>
  <c r="BK70" i="2"/>
  <c r="CL70" i="2" s="1"/>
  <c r="CG89" i="2"/>
  <c r="EY96" i="2"/>
  <c r="GU97" i="2"/>
  <c r="CG108" i="2"/>
  <c r="DA115" i="2"/>
  <c r="DB115" i="2" s="1"/>
  <c r="DG126" i="2"/>
  <c r="CG131" i="2"/>
  <c r="BM164" i="2"/>
  <c r="BN164" i="2" s="1"/>
  <c r="BK164" i="2"/>
  <c r="CL164" i="2" s="1"/>
  <c r="FQ9" i="2"/>
  <c r="FW9" i="2" s="1"/>
  <c r="FX9" i="2" s="1" a="1"/>
  <c r="FX9" i="2" s="1"/>
  <c r="EV116" i="2"/>
  <c r="FN29" i="2"/>
  <c r="GA38" i="2"/>
  <c r="Y39" i="2"/>
  <c r="AB39" i="2" s="1"/>
  <c r="CG40" i="2"/>
  <c r="CI40" i="2" s="1"/>
  <c r="FQ41" i="2"/>
  <c r="FW41" i="2" s="1"/>
  <c r="FX41" i="2" s="1" a="1"/>
  <c r="FX41" i="2" s="1"/>
  <c r="DG44" i="2"/>
  <c r="CH65" i="2"/>
  <c r="DO67" i="2"/>
  <c r="EH67" i="2" s="1"/>
  <c r="GA74" i="2"/>
  <c r="FQ75" i="2"/>
  <c r="FW75" i="2" s="1"/>
  <c r="FX75" i="2" s="1" a="1"/>
  <c r="FX75" i="2" s="1"/>
  <c r="GA77" i="2"/>
  <c r="EV89" i="2"/>
  <c r="FQ124" i="2"/>
  <c r="FW124" i="2" s="1"/>
  <c r="FX124" i="2" s="1" a="1"/>
  <c r="FX124" i="2" s="1"/>
  <c r="CR135" i="2"/>
  <c r="CG138" i="2"/>
  <c r="FZ140" i="2"/>
  <c r="GT146" i="2"/>
  <c r="X156" i="2"/>
  <c r="AA156" i="2" s="1"/>
  <c r="DU157" i="2"/>
  <c r="EG157" i="2" s="1"/>
  <c r="X164" i="2"/>
  <c r="AA164" i="2" s="1"/>
  <c r="Y164" i="2"/>
  <c r="AB164" i="2" s="1"/>
  <c r="CR186" i="2"/>
  <c r="DH197" i="2"/>
  <c r="DG197" i="2"/>
  <c r="GU82" i="2"/>
  <c r="X198" i="2"/>
  <c r="AA198" i="2" s="1"/>
  <c r="CW125" i="2"/>
  <c r="GT133" i="2"/>
  <c r="GT139" i="2"/>
  <c r="EY160" i="2"/>
  <c r="EV160" i="2"/>
  <c r="GT51" i="2"/>
  <c r="EY116" i="2"/>
  <c r="GU26" i="2"/>
  <c r="DG32" i="2"/>
  <c r="FN32" i="2"/>
  <c r="GU33" i="2"/>
  <c r="FQ36" i="2"/>
  <c r="FW36" i="2" s="1"/>
  <c r="FX36" i="2" s="1" a="1"/>
  <c r="FX36" i="2" s="1"/>
  <c r="Y55" i="2"/>
  <c r="AB55" i="2" s="1"/>
  <c r="BP56" i="2"/>
  <c r="CG62" i="2"/>
  <c r="DG161" i="2"/>
  <c r="DH68" i="2"/>
  <c r="GA71" i="2"/>
  <c r="DG77" i="2"/>
  <c r="EX166" i="2"/>
  <c r="BK90" i="2"/>
  <c r="CL90" i="2" s="1"/>
  <c r="BK94" i="2"/>
  <c r="CL94" i="2" s="1"/>
  <c r="CG97" i="2"/>
  <c r="FQ99" i="2"/>
  <c r="FR99" i="2" s="1" a="1"/>
  <c r="FR99" i="2" s="1"/>
  <c r="DG124" i="2"/>
  <c r="FZ201" i="2"/>
  <c r="Y171" i="2"/>
  <c r="AB171" i="2" s="1"/>
  <c r="X171" i="2"/>
  <c r="AA171" i="2" s="1"/>
  <c r="DU181" i="2"/>
  <c r="DV181" i="2" s="1"/>
  <c r="DW181" i="2" s="1"/>
  <c r="DO181" i="2"/>
  <c r="EH181" i="2" s="1"/>
  <c r="BK182" i="2"/>
  <c r="CL182" i="2" s="1"/>
  <c r="BM182" i="2"/>
  <c r="BN182" i="2" s="1"/>
  <c r="EY193" i="2"/>
  <c r="FQ193" i="2"/>
  <c r="FW193" i="2" s="1"/>
  <c r="FX193" i="2" s="1" a="1"/>
  <c r="FX193" i="2" s="1"/>
  <c r="CG25" i="2"/>
  <c r="EV56" i="2"/>
  <c r="CG80" i="2"/>
  <c r="CG125" i="2"/>
  <c r="DG148" i="2"/>
  <c r="GA163" i="2"/>
  <c r="FZ163" i="2"/>
  <c r="DO165" i="2"/>
  <c r="DQ165" i="2" s="1"/>
  <c r="DR165" i="2" s="1"/>
  <c r="DU165" i="2"/>
  <c r="EI165" i="2" s="1"/>
  <c r="EY190" i="2"/>
  <c r="FQ190" i="2"/>
  <c r="FR190" i="2" s="1" a="1"/>
  <c r="FR190" i="2" s="1"/>
  <c r="EV190" i="2"/>
  <c r="BM194" i="2"/>
  <c r="BN194" i="2" s="1"/>
  <c r="BK194" i="2"/>
  <c r="CL194" i="2" s="1"/>
  <c r="BM12" i="2"/>
  <c r="BN12" i="2" s="1"/>
  <c r="GA13" i="2"/>
  <c r="DG17" i="2"/>
  <c r="DH22" i="2"/>
  <c r="BK23" i="2"/>
  <c r="CL23" i="2" s="1"/>
  <c r="GA29" i="2"/>
  <c r="DU36" i="2"/>
  <c r="DV36" i="2" s="1"/>
  <c r="DW36" i="2" s="1"/>
  <c r="Y42" i="2"/>
  <c r="AB42" i="2" s="1"/>
  <c r="FZ45" i="2"/>
  <c r="GT57" i="2"/>
  <c r="Y59" i="2"/>
  <c r="AB59" i="2" s="1"/>
  <c r="DG75" i="2"/>
  <c r="BM86" i="2"/>
  <c r="BN86" i="2" s="1"/>
  <c r="GU114" i="2"/>
  <c r="DG118" i="2"/>
  <c r="EY121" i="2"/>
  <c r="DG122" i="2"/>
  <c r="Y47" i="2"/>
  <c r="AB47" i="2" s="1"/>
  <c r="X143" i="2"/>
  <c r="AA143" i="2" s="1"/>
  <c r="BM147" i="2"/>
  <c r="BN147" i="2" s="1"/>
  <c r="CR153" i="2"/>
  <c r="EV154" i="2"/>
  <c r="BK155" i="2"/>
  <c r="CL155" i="2" s="1"/>
  <c r="DU155" i="2"/>
  <c r="EI155" i="2" s="1"/>
  <c r="GT157" i="2"/>
  <c r="GA158" i="2"/>
  <c r="X160" i="2"/>
  <c r="AA160" i="2" s="1"/>
  <c r="Y180" i="2"/>
  <c r="AB180" i="2" s="1"/>
  <c r="X180" i="2"/>
  <c r="X193" i="2"/>
  <c r="AA193" i="2" s="1"/>
  <c r="Y193" i="2"/>
  <c r="AB193" i="2" s="1"/>
  <c r="FQ207" i="2"/>
  <c r="FW207" i="2" s="1"/>
  <c r="FX207" i="2" s="1" a="1"/>
  <c r="FX207" i="2" s="1"/>
  <c r="DH30" i="2"/>
  <c r="DG30" i="2"/>
  <c r="DH204" i="2"/>
  <c r="X167" i="2"/>
  <c r="AA167" i="2" s="1"/>
  <c r="AN246" i="2"/>
  <c r="T246" i="2"/>
  <c r="U246" i="2" s="1"/>
  <c r="GU184" i="2"/>
  <c r="BK188" i="2"/>
  <c r="CL188" i="2" s="1"/>
  <c r="X203" i="2"/>
  <c r="AA203" i="2" s="1"/>
  <c r="EV203" i="2"/>
  <c r="BK30" i="2"/>
  <c r="CL30" i="2" s="1"/>
  <c r="BM30" i="2"/>
  <c r="BN30" i="2" s="1"/>
  <c r="X200" i="2"/>
  <c r="AA200" i="2" s="1"/>
  <c r="CW203" i="2"/>
  <c r="EV206" i="2"/>
  <c r="GA207" i="2"/>
  <c r="CG176" i="2"/>
  <c r="DV206" i="2"/>
  <c r="DW206" i="2" s="1"/>
  <c r="CG167" i="2"/>
  <c r="BP248" i="2"/>
  <c r="DS221" i="2"/>
  <c r="DQ221" i="2"/>
  <c r="DR221" i="2" s="1"/>
  <c r="GU181" i="2"/>
  <c r="GU185" i="2"/>
  <c r="DH186" i="2"/>
  <c r="GA205" i="2"/>
  <c r="BK207" i="2"/>
  <c r="CL207" i="2" s="1"/>
  <c r="CG195" i="2"/>
  <c r="X170" i="2"/>
  <c r="Z170" i="2" s="1"/>
  <c r="CR173" i="2"/>
  <c r="X181" i="2"/>
  <c r="AA181" i="2" s="1"/>
  <c r="BM186" i="2"/>
  <c r="BN186" i="2" s="1"/>
  <c r="EV191" i="2"/>
  <c r="DV204" i="2"/>
  <c r="DW204" i="2" s="1"/>
  <c r="DG162" i="2"/>
  <c r="DH203" i="2"/>
  <c r="EV204" i="2"/>
  <c r="BK205" i="2"/>
  <c r="CL205" i="2" s="1"/>
  <c r="FQ206" i="2"/>
  <c r="FW206" i="2" s="1"/>
  <c r="FX206" i="2" s="1" a="1"/>
  <c r="FX206" i="2" s="1"/>
  <c r="EV207" i="2"/>
  <c r="CG248" i="2"/>
  <c r="CW207" i="2"/>
  <c r="DS218" i="2"/>
  <c r="DQ218" i="2"/>
  <c r="DR218" i="2" s="1"/>
  <c r="CG170" i="2"/>
  <c r="EY170" i="2"/>
  <c r="CG199" i="2"/>
  <c r="EY207" i="2"/>
  <c r="DH208" i="2"/>
  <c r="GU209" i="2"/>
  <c r="X213" i="2"/>
  <c r="AA213" i="2" s="1"/>
  <c r="CG215" i="2"/>
  <c r="GT216" i="2"/>
  <c r="CG218" i="2"/>
  <c r="CG222" i="2"/>
  <c r="Y225" i="2"/>
  <c r="AB225" i="2" s="1"/>
  <c r="BM234" i="2"/>
  <c r="BN234" i="2" s="1"/>
  <c r="GA234" i="2"/>
  <c r="FZ241" i="2"/>
  <c r="BM98" i="2"/>
  <c r="BN98" i="2" s="1"/>
  <c r="CG210" i="2"/>
  <c r="CG214" i="2"/>
  <c r="EY226" i="2"/>
  <c r="CW229" i="2"/>
  <c r="FZ228" i="2"/>
  <c r="EV231" i="2"/>
  <c r="DG237" i="2"/>
  <c r="FZ245" i="2"/>
  <c r="X214" i="2"/>
  <c r="AA214" i="2" s="1"/>
  <c r="DA242" i="2"/>
  <c r="DB242" i="2" s="1"/>
  <c r="FQ222" i="2"/>
  <c r="FW222" i="2" s="1"/>
  <c r="FX222" i="2" s="1" a="1"/>
  <c r="FX222" i="2" s="1"/>
  <c r="EX227" i="2"/>
  <c r="CG236" i="2"/>
  <c r="DG245" i="2"/>
  <c r="FQ215" i="2"/>
  <c r="FW215" i="2" s="1"/>
  <c r="FX215" i="2" s="1" a="1"/>
  <c r="FX215" i="2" s="1"/>
  <c r="FQ226" i="2"/>
  <c r="FW226" i="2" s="1"/>
  <c r="FX226" i="2" s="1" a="1"/>
  <c r="FX226" i="2" s="1"/>
  <c r="EV229" i="2"/>
  <c r="EX231" i="2"/>
  <c r="X234" i="2"/>
  <c r="AA234" i="2" s="1"/>
  <c r="Y202" i="2"/>
  <c r="AB202" i="2" s="1"/>
  <c r="FZ250" i="2"/>
  <c r="GT217" i="2"/>
  <c r="X223" i="2"/>
  <c r="AA223" i="2" s="1"/>
  <c r="CR229" i="2"/>
  <c r="EG230" i="2"/>
  <c r="CR236" i="2"/>
  <c r="X237" i="2"/>
  <c r="AA237" i="2" s="1"/>
  <c r="DG209" i="2"/>
  <c r="GA209" i="2"/>
  <c r="X219" i="2"/>
  <c r="AA219" i="2" s="1"/>
  <c r="CG221" i="2"/>
  <c r="GA222" i="2"/>
  <c r="DG250" i="2"/>
  <c r="BM128" i="2"/>
  <c r="BN128" i="2" s="1"/>
  <c r="CG208" i="2"/>
  <c r="Y211" i="2"/>
  <c r="AB211" i="2" s="1"/>
  <c r="DA215" i="2"/>
  <c r="DB215" i="2" s="1"/>
  <c r="CR216" i="2"/>
  <c r="FQ216" i="2"/>
  <c r="FW216" i="2" s="1"/>
  <c r="FX216" i="2" s="1" a="1"/>
  <c r="FX216" i="2" s="1"/>
  <c r="DH233" i="2"/>
  <c r="CG30" i="2"/>
  <c r="DS209" i="2"/>
  <c r="FQ231" i="2"/>
  <c r="FW231" i="2" s="1"/>
  <c r="FX231" i="2" s="1" a="1"/>
  <c r="FX231" i="2" s="1"/>
  <c r="GU234" i="2"/>
  <c r="DQ102" i="2"/>
  <c r="DR102" i="2" s="1"/>
  <c r="CR208" i="2"/>
  <c r="CR211" i="2"/>
  <c r="DG202" i="2"/>
  <c r="DH202" i="2" s="1"/>
  <c r="EC209" i="2"/>
  <c r="FZ219" i="2"/>
  <c r="BK235" i="2"/>
  <c r="CL235" i="2" s="1"/>
  <c r="GU235" i="2"/>
  <c r="DG247" i="2"/>
  <c r="X242" i="2"/>
  <c r="AA242" i="2" s="1"/>
  <c r="X224" i="2"/>
  <c r="DG227" i="2"/>
  <c r="X232" i="2"/>
  <c r="Z232" i="2" s="1"/>
  <c r="EG233" i="2"/>
  <c r="CG237" i="2"/>
  <c r="Y242" i="2"/>
  <c r="AB242" i="2" s="1"/>
  <c r="GU230" i="2"/>
  <c r="DO234" i="2"/>
  <c r="DQ234" i="2" s="1"/>
  <c r="DR234" i="2" s="1"/>
  <c r="DG249" i="2"/>
  <c r="DO26" i="2"/>
  <c r="EC26" i="2" s="1"/>
  <c r="DU26" i="2"/>
  <c r="EG26" i="2" s="1"/>
  <c r="DO37" i="2"/>
  <c r="EC37" i="2" s="1"/>
  <c r="DU37" i="2"/>
  <c r="EI37" i="2" s="1"/>
  <c r="AA23" i="2"/>
  <c r="DO27" i="2"/>
  <c r="EC27" i="2" s="1"/>
  <c r="DU27" i="2"/>
  <c r="EG27" i="2" s="1"/>
  <c r="DU35" i="2"/>
  <c r="DO35" i="2"/>
  <c r="EH35" i="2" s="1"/>
  <c r="DO28" i="2"/>
  <c r="EC28" i="2" s="1"/>
  <c r="DU28" i="2"/>
  <c r="EI28" i="2" s="1"/>
  <c r="DO34" i="2"/>
  <c r="EH34" i="2" s="1"/>
  <c r="DU34" i="2"/>
  <c r="EI34" i="2" s="1"/>
  <c r="DU116" i="2"/>
  <c r="DV116" i="2" s="1"/>
  <c r="DW116" i="2" s="1"/>
  <c r="DO116" i="2"/>
  <c r="EH116" i="2" s="1"/>
  <c r="DO25" i="2"/>
  <c r="EC25" i="2" s="1"/>
  <c r="EE25" i="2" s="1"/>
  <c r="EF25" i="2" s="1"/>
  <c r="DU25" i="2"/>
  <c r="DO24" i="2"/>
  <c r="EC24" i="2" s="1"/>
  <c r="DU24" i="2"/>
  <c r="EG24" i="2" s="1"/>
  <c r="DO9" i="2"/>
  <c r="DY9" i="2" s="1"/>
  <c r="DZ9" i="2" s="1"/>
  <c r="EA9" i="2" s="1"/>
  <c r="DU9" i="2"/>
  <c r="DV9" i="2" s="1"/>
  <c r="DW9" i="2" s="1"/>
  <c r="DU45" i="2"/>
  <c r="EI45" i="2" s="1"/>
  <c r="DO45" i="2"/>
  <c r="EH45" i="2" s="1"/>
  <c r="GT116" i="2"/>
  <c r="DO39" i="2"/>
  <c r="DY39" i="2" s="1"/>
  <c r="DZ39" i="2" s="1"/>
  <c r="EA39" i="2" s="1"/>
  <c r="DU39" i="2"/>
  <c r="EI39" i="2" s="1"/>
  <c r="GU18" i="2"/>
  <c r="DA126" i="2"/>
  <c r="DB126" i="2" s="1"/>
  <c r="CG126" i="2"/>
  <c r="CW126" i="2"/>
  <c r="BM16" i="2"/>
  <c r="BN16" i="2" s="1"/>
  <c r="BK67" i="2"/>
  <c r="CL67" i="2" s="1"/>
  <c r="DU78" i="2"/>
  <c r="EG78" i="2" s="1"/>
  <c r="GU78" i="2"/>
  <c r="Y82" i="2"/>
  <c r="AB82" i="2" s="1"/>
  <c r="X82" i="2"/>
  <c r="AA82" i="2" s="1"/>
  <c r="FQ10" i="2"/>
  <c r="FW10" i="2" s="1"/>
  <c r="FX10" i="2" s="1" a="1"/>
  <c r="FX10" i="2" s="1"/>
  <c r="DA116" i="2"/>
  <c r="DB116" i="2" s="1"/>
  <c r="FZ15" i="2"/>
  <c r="X18" i="2"/>
  <c r="AA18" i="2" s="1"/>
  <c r="Y22" i="2"/>
  <c r="AB22" i="2" s="1"/>
  <c r="CG23" i="2"/>
  <c r="Y25" i="2"/>
  <c r="AB25" i="2" s="1"/>
  <c r="DG33" i="2"/>
  <c r="DG34" i="2"/>
  <c r="GU36" i="2"/>
  <c r="EY37" i="2"/>
  <c r="EX38" i="2"/>
  <c r="Y40" i="2"/>
  <c r="AB40" i="2" s="1"/>
  <c r="EV42" i="2"/>
  <c r="CG44" i="2"/>
  <c r="EV44" i="2"/>
  <c r="EY57" i="2"/>
  <c r="FQ57" i="2"/>
  <c r="FW57" i="2" s="1"/>
  <c r="FX57" i="2" s="1" a="1"/>
  <c r="FX57" i="2" s="1"/>
  <c r="EX57" i="2"/>
  <c r="Y84" i="2"/>
  <c r="AB84" i="2" s="1"/>
  <c r="X84" i="2"/>
  <c r="AA84" i="2" s="1"/>
  <c r="GA39" i="2"/>
  <c r="GA40" i="2"/>
  <c r="Y24" i="2"/>
  <c r="AB24" i="2" s="1"/>
  <c r="CG35" i="2"/>
  <c r="EY38" i="2"/>
  <c r="EV40" i="2"/>
  <c r="FQ40" i="2"/>
  <c r="FW40" i="2" s="1"/>
  <c r="FX40" i="2" s="1" a="1"/>
  <c r="FX40" i="2" s="1"/>
  <c r="CH111" i="2"/>
  <c r="CH44" i="2"/>
  <c r="BK46" i="2"/>
  <c r="CL46" i="2" s="1"/>
  <c r="BM46" i="2"/>
  <c r="BN46" i="2" s="1"/>
  <c r="BM49" i="2"/>
  <c r="BN49" i="2" s="1"/>
  <c r="BK49" i="2"/>
  <c r="CL49" i="2" s="1"/>
  <c r="DU57" i="2"/>
  <c r="DV57" i="2" s="1"/>
  <c r="DW57" i="2" s="1"/>
  <c r="DO57" i="2"/>
  <c r="EH57" i="2" s="1"/>
  <c r="X12" i="2"/>
  <c r="AA12" i="2" s="1"/>
  <c r="BM13" i="2"/>
  <c r="BN13" i="2" s="1"/>
  <c r="DO15" i="2"/>
  <c r="EH15" i="2" s="1"/>
  <c r="GA23" i="2"/>
  <c r="GU29" i="2"/>
  <c r="EX39" i="2"/>
  <c r="DG45" i="2"/>
  <c r="AB49" i="2"/>
  <c r="EY49" i="2"/>
  <c r="FQ49" i="2"/>
  <c r="FW49" i="2" s="1"/>
  <c r="FX49" i="2" s="1" a="1"/>
  <c r="FX49" i="2" s="1"/>
  <c r="EX49" i="2"/>
  <c r="EV49" i="2"/>
  <c r="FZ75" i="2"/>
  <c r="GA75" i="2"/>
  <c r="Y79" i="2"/>
  <c r="AB79" i="2" s="1"/>
  <c r="X79" i="2"/>
  <c r="AA79" i="2" s="1"/>
  <c r="X9" i="2"/>
  <c r="Z9" i="2" s="1"/>
  <c r="GU116" i="2"/>
  <c r="CR35" i="2"/>
  <c r="GU37" i="2"/>
  <c r="GT38" i="2"/>
  <c r="EY39" i="2"/>
  <c r="CR44" i="2"/>
  <c r="DA46" i="2"/>
  <c r="DB46" i="2" s="1"/>
  <c r="CR46" i="2"/>
  <c r="GA100" i="2"/>
  <c r="FZ100" i="2"/>
  <c r="EV9" i="2"/>
  <c r="GA9" i="2"/>
  <c r="BP13" i="2"/>
  <c r="X116" i="2"/>
  <c r="BM116" i="2"/>
  <c r="BN116" i="2" s="1"/>
  <c r="X20" i="2"/>
  <c r="AA20" i="2" s="1"/>
  <c r="GU25" i="2"/>
  <c r="GU27" i="2"/>
  <c r="GU28" i="2"/>
  <c r="DG29" i="2"/>
  <c r="FQ29" i="2"/>
  <c r="FW29" i="2" s="1"/>
  <c r="FX29" i="2" s="1" a="1"/>
  <c r="FX29" i="2" s="1"/>
  <c r="DG31" i="2"/>
  <c r="Y32" i="2"/>
  <c r="AB32" i="2" s="1"/>
  <c r="BK34" i="2"/>
  <c r="CL34" i="2" s="1"/>
  <c r="FQ34" i="2"/>
  <c r="FW34" i="2" s="1"/>
  <c r="FX34" i="2" s="1" a="1"/>
  <c r="FX34" i="2" s="1"/>
  <c r="BK37" i="2"/>
  <c r="CL37" i="2" s="1"/>
  <c r="BM93" i="2"/>
  <c r="BN93" i="2" s="1"/>
  <c r="BK93" i="2"/>
  <c r="CL93" i="2" s="1"/>
  <c r="DO124" i="2"/>
  <c r="EC124" i="2" s="1"/>
  <c r="DU124" i="2"/>
  <c r="CG9" i="2"/>
  <c r="EV10" i="2"/>
  <c r="GA10" i="2"/>
  <c r="X212" i="2"/>
  <c r="AA212" i="2" s="1"/>
  <c r="CG16" i="2"/>
  <c r="CW17" i="2"/>
  <c r="GU20" i="2"/>
  <c r="DG21" i="2"/>
  <c r="DG26" i="2"/>
  <c r="FZ14" i="2"/>
  <c r="DG39" i="2"/>
  <c r="EX40" i="2"/>
  <c r="BK45" i="2"/>
  <c r="CL45" i="2" s="1"/>
  <c r="BM45" i="2"/>
  <c r="BN45" i="2" s="1"/>
  <c r="Y161" i="2"/>
  <c r="AB161" i="2" s="1"/>
  <c r="EY68" i="2"/>
  <c r="EX68" i="2"/>
  <c r="GU68" i="2"/>
  <c r="FQ97" i="2"/>
  <c r="FW97" i="2" s="1"/>
  <c r="FX97" i="2" s="1" a="1"/>
  <c r="FX97" i="2" s="1"/>
  <c r="EY97" i="2"/>
  <c r="EX97" i="2"/>
  <c r="CW117" i="2"/>
  <c r="DA117" i="2"/>
  <c r="DB117" i="2" s="1"/>
  <c r="EX9" i="2"/>
  <c r="CG10" i="2"/>
  <c r="FZ116" i="2"/>
  <c r="CG15" i="2"/>
  <c r="GT16" i="2"/>
  <c r="EV17" i="2"/>
  <c r="CG18" i="2"/>
  <c r="CI18" i="2" s="1"/>
  <c r="DS19" i="2"/>
  <c r="EX24" i="2"/>
  <c r="DG27" i="2"/>
  <c r="DG28" i="2"/>
  <c r="BP31" i="2"/>
  <c r="CG34" i="2"/>
  <c r="Y36" i="2"/>
  <c r="AB36" i="2" s="1"/>
  <c r="CG37" i="2"/>
  <c r="FQ37" i="2"/>
  <c r="FW37" i="2" s="1"/>
  <c r="FX37" i="2" s="1" a="1"/>
  <c r="FX37" i="2" s="1"/>
  <c r="DU38" i="2"/>
  <c r="EI38" i="2" s="1"/>
  <c r="DA40" i="2"/>
  <c r="DB40" i="2" s="1"/>
  <c r="EY40" i="2"/>
  <c r="GU41" i="2"/>
  <c r="DA44" i="2"/>
  <c r="DB44" i="2" s="1"/>
  <c r="CW46" i="2"/>
  <c r="EY46" i="2"/>
  <c r="EV46" i="2"/>
  <c r="X49" i="2"/>
  <c r="AA49" i="2" s="1"/>
  <c r="EV50" i="2"/>
  <c r="FQ50" i="2"/>
  <c r="FW50" i="2" s="1"/>
  <c r="FX50" i="2" s="1" a="1"/>
  <c r="FX50" i="2" s="1"/>
  <c r="EY50" i="2"/>
  <c r="EX50" i="2"/>
  <c r="BM104" i="2"/>
  <c r="BN104" i="2" s="1"/>
  <c r="BK104" i="2"/>
  <c r="CL104" i="2" s="1"/>
  <c r="GA21" i="2"/>
  <c r="EX10" i="2"/>
  <c r="CG12" i="2"/>
  <c r="EV12" i="2"/>
  <c r="EX16" i="2"/>
  <c r="GU21" i="2"/>
  <c r="EX23" i="2"/>
  <c r="FQ26" i="2"/>
  <c r="FW26" i="2" s="1"/>
  <c r="FX26" i="2" s="1" a="1"/>
  <c r="FX26" i="2" s="1"/>
  <c r="X31" i="2"/>
  <c r="Z31" i="2" s="1"/>
  <c r="CG31" i="2"/>
  <c r="Y33" i="2"/>
  <c r="AB33" i="2" s="1"/>
  <c r="FQ38" i="2"/>
  <c r="FW38" i="2" s="1"/>
  <c r="FX38" i="2" s="1" a="1"/>
  <c r="FX38" i="2" s="1"/>
  <c r="Y45" i="2"/>
  <c r="AB45" i="2" s="1"/>
  <c r="CG46" i="2"/>
  <c r="DH48" i="2"/>
  <c r="DG48" i="2"/>
  <c r="FO101" i="2"/>
  <c r="GJ101" i="2" s="1"/>
  <c r="BK142" i="2"/>
  <c r="CL142" i="2" s="1"/>
  <c r="BM142" i="2"/>
  <c r="BN142" i="2" s="1"/>
  <c r="GU35" i="2"/>
  <c r="CG212" i="2"/>
  <c r="EV212" i="2"/>
  <c r="CG13" i="2"/>
  <c r="EV13" i="2"/>
  <c r="X15" i="2"/>
  <c r="AA15" i="2" s="1"/>
  <c r="GT15" i="2"/>
  <c r="EY16" i="2"/>
  <c r="GU24" i="2"/>
  <c r="FQ25" i="2"/>
  <c r="FW25" i="2" s="1"/>
  <c r="FX25" i="2" s="1" a="1"/>
  <c r="FX25" i="2" s="1"/>
  <c r="FQ27" i="2"/>
  <c r="FW27" i="2" s="1"/>
  <c r="FX27" i="2" s="1" a="1"/>
  <c r="FX27" i="2" s="1"/>
  <c r="FQ28" i="2"/>
  <c r="FW28" i="2" s="1"/>
  <c r="FX28" i="2" s="1" a="1"/>
  <c r="FX28" i="2" s="1"/>
  <c r="GA32" i="2"/>
  <c r="GA33" i="2"/>
  <c r="Y34" i="2"/>
  <c r="AB34" i="2" s="1"/>
  <c r="GA36" i="2"/>
  <c r="Y37" i="2"/>
  <c r="AB37" i="2" s="1"/>
  <c r="CG38" i="2"/>
  <c r="CI38" i="2" s="1"/>
  <c r="GU40" i="2"/>
  <c r="BM42" i="2"/>
  <c r="BN42" i="2" s="1"/>
  <c r="DG42" i="2"/>
  <c r="AA45" i="2"/>
  <c r="CR45" i="2"/>
  <c r="CW45" i="2"/>
  <c r="X61" i="2"/>
  <c r="AA61" i="2" s="1"/>
  <c r="Y61" i="2"/>
  <c r="AB61" i="2" s="1"/>
  <c r="FZ79" i="2"/>
  <c r="FO89" i="2"/>
  <c r="GJ89" i="2" s="1"/>
  <c r="Y90" i="2"/>
  <c r="AB90" i="2" s="1"/>
  <c r="FQ100" i="2"/>
  <c r="EY100" i="2"/>
  <c r="EX100" i="2"/>
  <c r="EV100" i="2"/>
  <c r="GA22" i="2"/>
  <c r="GU32" i="2"/>
  <c r="EY12" i="2"/>
  <c r="GU23" i="2"/>
  <c r="DO40" i="2"/>
  <c r="EC40" i="2" s="1"/>
  <c r="DU40" i="2"/>
  <c r="EI40" i="2" s="1"/>
  <c r="DH99" i="2"/>
  <c r="DG99" i="2"/>
  <c r="DO137" i="2"/>
  <c r="EH137" i="2" s="1"/>
  <c r="DU137" i="2"/>
  <c r="EG137" i="2" s="1"/>
  <c r="DH46" i="2"/>
  <c r="DG46" i="2"/>
  <c r="CR200" i="2"/>
  <c r="CW200" i="2"/>
  <c r="BM17" i="2"/>
  <c r="BN17" i="2" s="1"/>
  <c r="GT9" i="2"/>
  <c r="EY212" i="2"/>
  <c r="EY13" i="2"/>
  <c r="DU21" i="2"/>
  <c r="EI21" i="2" s="1"/>
  <c r="CG26" i="2"/>
  <c r="CG29" i="2"/>
  <c r="BP14" i="2"/>
  <c r="CG39" i="2"/>
  <c r="FQ39" i="2"/>
  <c r="FW39" i="2" s="1"/>
  <c r="FX39" i="2" s="1" a="1"/>
  <c r="FX39" i="2" s="1"/>
  <c r="FZ42" i="2"/>
  <c r="BK44" i="2"/>
  <c r="CL44" i="2" s="1"/>
  <c r="BM44" i="2"/>
  <c r="BN44" i="2" s="1"/>
  <c r="EY87" i="2"/>
  <c r="EV87" i="2"/>
  <c r="GT18" i="2"/>
  <c r="CG27" i="2"/>
  <c r="CG28" i="2"/>
  <c r="CG14" i="2"/>
  <c r="GT31" i="2"/>
  <c r="GT56" i="2"/>
  <c r="X75" i="2"/>
  <c r="Y75" i="2"/>
  <c r="AB75" i="2" s="1"/>
  <c r="CG81" i="2"/>
  <c r="DA81" i="2"/>
  <c r="DB81" i="2" s="1"/>
  <c r="CR81" i="2"/>
  <c r="CW81" i="2"/>
  <c r="BM154" i="2"/>
  <c r="BN154" i="2" s="1"/>
  <c r="BK154" i="2"/>
  <c r="CL154" i="2" s="1"/>
  <c r="GU19" i="2"/>
  <c r="BK22" i="2"/>
  <c r="CL22" i="2" s="1"/>
  <c r="FP127" i="2"/>
  <c r="FO127" i="2"/>
  <c r="GJ127" i="2" s="1"/>
  <c r="DV149" i="2"/>
  <c r="DW149" i="2" s="1"/>
  <c r="EI149" i="2"/>
  <c r="DA12" i="2"/>
  <c r="DB12" i="2" s="1"/>
  <c r="FO15" i="2"/>
  <c r="GJ15" i="2" s="1"/>
  <c r="FQ16" i="2"/>
  <c r="FW16" i="2" s="1"/>
  <c r="FX16" i="2" s="1" a="1"/>
  <c r="FX16" i="2" s="1"/>
  <c r="FQ23" i="2"/>
  <c r="FW23" i="2" s="1"/>
  <c r="FX23" i="2" s="1" a="1"/>
  <c r="FX23" i="2" s="1"/>
  <c r="GA25" i="2"/>
  <c r="GA27" i="2"/>
  <c r="GA28" i="2"/>
  <c r="DH35" i="2"/>
  <c r="DA48" i="2"/>
  <c r="DB48" i="2" s="1"/>
  <c r="CW48" i="2"/>
  <c r="GU62" i="2"/>
  <c r="GU66" i="2"/>
  <c r="DH67" i="2"/>
  <c r="FN127" i="2"/>
  <c r="GU72" i="2"/>
  <c r="GT99" i="2"/>
  <c r="DO122" i="2"/>
  <c r="EC122" i="2" s="1"/>
  <c r="DU122" i="2"/>
  <c r="DH123" i="2"/>
  <c r="DG123" i="2"/>
  <c r="GU132" i="2"/>
  <c r="Y142" i="2"/>
  <c r="AB142" i="2" s="1"/>
  <c r="X142" i="2"/>
  <c r="AA142" i="2" s="1"/>
  <c r="EY148" i="2"/>
  <c r="FQ148" i="2"/>
  <c r="FW148" i="2" s="1"/>
  <c r="FX148" i="2" s="1" a="1"/>
  <c r="FX148" i="2" s="1"/>
  <c r="EX148" i="2"/>
  <c r="EV148" i="2"/>
  <c r="EY56" i="2"/>
  <c r="GU57" i="2"/>
  <c r="DG59" i="2"/>
  <c r="GA60" i="2"/>
  <c r="GT65" i="2"/>
  <c r="CG70" i="2"/>
  <c r="CG71" i="2"/>
  <c r="EX72" i="2"/>
  <c r="FQ73" i="2"/>
  <c r="FW73" i="2" s="1"/>
  <c r="FX73" i="2" s="1" a="1"/>
  <c r="FX73" i="2" s="1"/>
  <c r="CG76" i="2"/>
  <c r="DU81" i="2"/>
  <c r="EI81" i="2" s="1"/>
  <c r="CG84" i="2"/>
  <c r="EX91" i="2"/>
  <c r="BK96" i="2"/>
  <c r="CL96" i="2" s="1"/>
  <c r="CG101" i="2"/>
  <c r="FQ101" i="2"/>
  <c r="EH105" i="2"/>
  <c r="DY105" i="2"/>
  <c r="DZ105" i="2" s="1"/>
  <c r="EA105" i="2" s="1"/>
  <c r="DS105" i="2"/>
  <c r="FQ107" i="2"/>
  <c r="FW107" i="2" s="1"/>
  <c r="FX107" i="2" s="1" a="1"/>
  <c r="FX107" i="2" s="1"/>
  <c r="DG119" i="2"/>
  <c r="FZ119" i="2"/>
  <c r="DO126" i="2"/>
  <c r="DY126" i="2" s="1"/>
  <c r="DZ126" i="2" s="1"/>
  <c r="EA126" i="2" s="1"/>
  <c r="DU126" i="2"/>
  <c r="Y138" i="2"/>
  <c r="AB138" i="2" s="1"/>
  <c r="X138" i="2"/>
  <c r="AA138" i="2" s="1"/>
  <c r="GT145" i="2"/>
  <c r="DO149" i="2"/>
  <c r="EC149" i="2" s="1"/>
  <c r="BM191" i="2"/>
  <c r="BN191" i="2" s="1"/>
  <c r="BK191" i="2"/>
  <c r="CL191" i="2" s="1"/>
  <c r="CG48" i="2"/>
  <c r="GT52" i="2"/>
  <c r="EV54" i="2"/>
  <c r="CR68" i="2"/>
  <c r="DH108" i="2"/>
  <c r="DG108" i="2"/>
  <c r="EX85" i="2"/>
  <c r="EY85" i="2"/>
  <c r="GU11" i="2"/>
  <c r="DU188" i="2"/>
  <c r="EI188" i="2" s="1"/>
  <c r="DO188" i="2"/>
  <c r="EC188" i="2" s="1"/>
  <c r="EX52" i="2"/>
  <c r="CR53" i="2"/>
  <c r="GT61" i="2"/>
  <c r="FQ62" i="2"/>
  <c r="FW62" i="2" s="1"/>
  <c r="FX62" i="2" s="1" a="1"/>
  <c r="FX62" i="2" s="1"/>
  <c r="GA63" i="2"/>
  <c r="CR65" i="2"/>
  <c r="EX65" i="2"/>
  <c r="BK69" i="2"/>
  <c r="CL69" i="2" s="1"/>
  <c r="DH69" i="2"/>
  <c r="GU77" i="2"/>
  <c r="CW79" i="2"/>
  <c r="CW80" i="2"/>
  <c r="DA88" i="2"/>
  <c r="DB88" i="2" s="1"/>
  <c r="CG93" i="2"/>
  <c r="DH43" i="2"/>
  <c r="FZ103" i="2"/>
  <c r="BP114" i="2"/>
  <c r="BP118" i="2"/>
  <c r="EY47" i="2"/>
  <c r="EX47" i="2"/>
  <c r="EV47" i="2"/>
  <c r="BP130" i="2"/>
  <c r="DO138" i="2"/>
  <c r="EC138" i="2" s="1"/>
  <c r="DU138" i="2"/>
  <c r="EG138" i="2" s="1"/>
  <c r="CG45" i="2"/>
  <c r="EV53" i="2"/>
  <c r="DA57" i="2"/>
  <c r="DB57" i="2" s="1"/>
  <c r="DG62" i="2"/>
  <c r="CG63" i="2"/>
  <c r="DO69" i="2"/>
  <c r="EC69" i="2" s="1"/>
  <c r="EX71" i="2"/>
  <c r="CG75" i="2"/>
  <c r="EX77" i="2"/>
  <c r="EV84" i="2"/>
  <c r="DO107" i="2"/>
  <c r="DU107" i="2"/>
  <c r="EI107" i="2" s="1"/>
  <c r="CW85" i="2"/>
  <c r="DA85" i="2"/>
  <c r="DB85" i="2" s="1"/>
  <c r="EX198" i="2"/>
  <c r="EY198" i="2"/>
  <c r="BK59" i="2"/>
  <c r="CL59" i="2" s="1"/>
  <c r="EX61" i="2"/>
  <c r="GU76" i="2"/>
  <c r="EV80" i="2"/>
  <c r="X89" i="2"/>
  <c r="AA89" i="2" s="1"/>
  <c r="BK95" i="2"/>
  <c r="CL95" i="2" s="1"/>
  <c r="CW99" i="2"/>
  <c r="GT114" i="2"/>
  <c r="BM123" i="2"/>
  <c r="BN123" i="2" s="1"/>
  <c r="BK123" i="2"/>
  <c r="CL123" i="2" s="1"/>
  <c r="BK135" i="2"/>
  <c r="CL135" i="2" s="1"/>
  <c r="BM135" i="2"/>
  <c r="BN135" i="2" s="1"/>
  <c r="CG69" i="2"/>
  <c r="CG74" i="2"/>
  <c r="BK100" i="2"/>
  <c r="CL100" i="2" s="1"/>
  <c r="FZ101" i="2"/>
  <c r="GA43" i="2"/>
  <c r="FZ43" i="2"/>
  <c r="EY125" i="2"/>
  <c r="FQ125" i="2"/>
  <c r="FW125" i="2" s="1"/>
  <c r="FX125" i="2" s="1" a="1"/>
  <c r="FX125" i="2" s="1"/>
  <c r="EX125" i="2"/>
  <c r="EV125" i="2"/>
  <c r="AA163" i="2"/>
  <c r="GT46" i="2"/>
  <c r="GU50" i="2"/>
  <c r="GU51" i="2"/>
  <c r="FZ56" i="2"/>
  <c r="BK58" i="2"/>
  <c r="CL58" i="2" s="1"/>
  <c r="GA62" i="2"/>
  <c r="Y63" i="2"/>
  <c r="AB63" i="2" s="1"/>
  <c r="EX67" i="2"/>
  <c r="GT70" i="2"/>
  <c r="GU75" i="2"/>
  <c r="CR79" i="2"/>
  <c r="CR80" i="2"/>
  <c r="CW82" i="2"/>
  <c r="CR84" i="2"/>
  <c r="CW89" i="2"/>
  <c r="EY90" i="2"/>
  <c r="EX93" i="2"/>
  <c r="DG100" i="2"/>
  <c r="CR101" i="2"/>
  <c r="FZ105" i="2"/>
  <c r="GA105" i="2"/>
  <c r="CG85" i="2"/>
  <c r="CW112" i="2"/>
  <c r="DA112" i="2"/>
  <c r="DB112" i="2" s="1"/>
  <c r="CG112" i="2"/>
  <c r="GU158" i="2"/>
  <c r="DO175" i="2"/>
  <c r="EH175" i="2" s="1"/>
  <c r="DU175" i="2"/>
  <c r="DV175" i="2" s="1"/>
  <c r="DW175" i="2" s="1"/>
  <c r="DU177" i="2"/>
  <c r="DV177" i="2" s="1"/>
  <c r="DW177" i="2" s="1"/>
  <c r="DO177" i="2"/>
  <c r="EC177" i="2" s="1"/>
  <c r="CG41" i="2"/>
  <c r="EV48" i="2"/>
  <c r="DH50" i="2"/>
  <c r="CG66" i="2"/>
  <c r="CR67" i="2"/>
  <c r="FQ71" i="2"/>
  <c r="FW71" i="2" s="1"/>
  <c r="FX71" i="2" s="1" a="1"/>
  <c r="FX71" i="2" s="1"/>
  <c r="EX75" i="2"/>
  <c r="FQ77" i="2"/>
  <c r="FW77" i="2" s="1"/>
  <c r="FX77" i="2" s="1" a="1"/>
  <c r="FX77" i="2" s="1"/>
  <c r="EV83" i="2"/>
  <c r="CG86" i="2"/>
  <c r="CG92" i="2"/>
  <c r="EY93" i="2"/>
  <c r="EX96" i="2"/>
  <c r="CR99" i="2"/>
  <c r="EV101" i="2"/>
  <c r="EX43" i="2"/>
  <c r="DO114" i="2"/>
  <c r="DY114" i="2" s="1"/>
  <c r="DZ114" i="2" s="1"/>
  <c r="EA114" i="2" s="1"/>
  <c r="DU114" i="2"/>
  <c r="DV114" i="2" s="1"/>
  <c r="DW114" i="2" s="1"/>
  <c r="Y119" i="2"/>
  <c r="AB119" i="2" s="1"/>
  <c r="X119" i="2"/>
  <c r="AA119" i="2" s="1"/>
  <c r="DO123" i="2"/>
  <c r="DY123" i="2" s="1"/>
  <c r="DZ123" i="2" s="1"/>
  <c r="EA123" i="2" s="1"/>
  <c r="DU123" i="2"/>
  <c r="Y135" i="2"/>
  <c r="AB135" i="2" s="1"/>
  <c r="X135" i="2"/>
  <c r="AA135" i="2" s="1"/>
  <c r="EC135" i="2"/>
  <c r="DQ135" i="2"/>
  <c r="DR135" i="2" s="1"/>
  <c r="Y155" i="2"/>
  <c r="AB155" i="2" s="1"/>
  <c r="X155" i="2"/>
  <c r="AA155" i="2" s="1"/>
  <c r="GU165" i="2"/>
  <c r="GU83" i="2"/>
  <c r="DO108" i="2"/>
  <c r="EH108" i="2" s="1"/>
  <c r="DU108" i="2"/>
  <c r="BK136" i="2"/>
  <c r="CL136" i="2" s="1"/>
  <c r="BM136" i="2"/>
  <c r="BN136" i="2" s="1"/>
  <c r="GU149" i="2"/>
  <c r="CW172" i="2"/>
  <c r="DA172" i="2"/>
  <c r="DB172" i="2" s="1"/>
  <c r="CR172" i="2"/>
  <c r="DH173" i="2"/>
  <c r="DG173" i="2"/>
  <c r="DQ50" i="2"/>
  <c r="DR50" i="2" s="1"/>
  <c r="FZ54" i="2"/>
  <c r="GU63" i="2"/>
  <c r="DH65" i="2"/>
  <c r="CG73" i="2"/>
  <c r="EX74" i="2"/>
  <c r="GU81" i="2"/>
  <c r="CR89" i="2"/>
  <c r="CG100" i="2"/>
  <c r="EX101" i="2"/>
  <c r="DU105" i="2"/>
  <c r="EG105" i="2" s="1"/>
  <c r="EH106" i="2"/>
  <c r="EC106" i="2"/>
  <c r="DG107" i="2"/>
  <c r="BM109" i="2"/>
  <c r="BN109" i="2" s="1"/>
  <c r="BK109" i="2"/>
  <c r="CL109" i="2" s="1"/>
  <c r="GA85" i="2"/>
  <c r="FZ85" i="2"/>
  <c r="GU147" i="2"/>
  <c r="X152" i="2"/>
  <c r="AA152" i="2" s="1"/>
  <c r="Y152" i="2"/>
  <c r="AB152" i="2" s="1"/>
  <c r="DQ51" i="2"/>
  <c r="DR51" i="2" s="1"/>
  <c r="CG65" i="2"/>
  <c r="DA80" i="2"/>
  <c r="DB80" i="2" s="1"/>
  <c r="GU80" i="2"/>
  <c r="GT106" i="2"/>
  <c r="DH110" i="2"/>
  <c r="DG110" i="2"/>
  <c r="DU136" i="2"/>
  <c r="EI136" i="2" s="1"/>
  <c r="DO136" i="2"/>
  <c r="DU147" i="2"/>
  <c r="EG147" i="2" s="1"/>
  <c r="DO147" i="2"/>
  <c r="EH147" i="2" s="1"/>
  <c r="DU158" i="2"/>
  <c r="DV158" i="2" s="1"/>
  <c r="DW158" i="2" s="1"/>
  <c r="GT169" i="2"/>
  <c r="CG56" i="2"/>
  <c r="CG68" i="2"/>
  <c r="GU73" i="2"/>
  <c r="CW88" i="2"/>
  <c r="BK97" i="2"/>
  <c r="CL97" i="2" s="1"/>
  <c r="DO127" i="2"/>
  <c r="EC127" i="2" s="1"/>
  <c r="DU127" i="2"/>
  <c r="Y136" i="2"/>
  <c r="AB136" i="2" s="1"/>
  <c r="X136" i="2"/>
  <c r="AA136" i="2" s="1"/>
  <c r="GT137" i="2"/>
  <c r="DA144" i="2"/>
  <c r="DB144" i="2" s="1"/>
  <c r="CR144" i="2"/>
  <c r="CG144" i="2"/>
  <c r="GT45" i="2"/>
  <c r="AA48" i="2"/>
  <c r="FQ60" i="2"/>
  <c r="FW60" i="2" s="1"/>
  <c r="FX60" i="2" s="1" a="1"/>
  <c r="FX60" i="2" s="1"/>
  <c r="GA61" i="2"/>
  <c r="Y62" i="2"/>
  <c r="AB62" i="2" s="1"/>
  <c r="EX66" i="2"/>
  <c r="CG72" i="2"/>
  <c r="EX73" i="2"/>
  <c r="GA76" i="2"/>
  <c r="CG78" i="2"/>
  <c r="CG166" i="2"/>
  <c r="EX86" i="2"/>
  <c r="CG91" i="2"/>
  <c r="EX95" i="2"/>
  <c r="DA99" i="2"/>
  <c r="DB99" i="2" s="1"/>
  <c r="CW100" i="2"/>
  <c r="GT101" i="2"/>
  <c r="GT43" i="2"/>
  <c r="BK107" i="2"/>
  <c r="CL107" i="2" s="1"/>
  <c r="EX117" i="2"/>
  <c r="EY117" i="2"/>
  <c r="Y120" i="2"/>
  <c r="AB120" i="2" s="1"/>
  <c r="X120" i="2"/>
  <c r="AA120" i="2" s="1"/>
  <c r="CW129" i="2"/>
  <c r="DA129" i="2"/>
  <c r="DB129" i="2" s="1"/>
  <c r="Y158" i="2"/>
  <c r="AB158" i="2" s="1"/>
  <c r="X158" i="2"/>
  <c r="AA158" i="2" s="1"/>
  <c r="GU159" i="2"/>
  <c r="FQ122" i="2"/>
  <c r="FW122" i="2" s="1"/>
  <c r="FX122" i="2" s="1" a="1"/>
  <c r="FX122" i="2" s="1"/>
  <c r="EX123" i="2"/>
  <c r="CG124" i="2"/>
  <c r="Y126" i="2"/>
  <c r="AB126" i="2" s="1"/>
  <c r="DU133" i="2"/>
  <c r="DV133" i="2" s="1"/>
  <c r="DW133" i="2" s="1"/>
  <c r="CG139" i="2"/>
  <c r="GT144" i="2"/>
  <c r="CR148" i="2"/>
  <c r="BM159" i="2"/>
  <c r="BN159" i="2" s="1"/>
  <c r="BK159" i="2"/>
  <c r="CL159" i="2" s="1"/>
  <c r="DH164" i="2"/>
  <c r="DG164" i="2"/>
  <c r="DO201" i="2"/>
  <c r="DS201" i="2" s="1"/>
  <c r="DU201" i="2"/>
  <c r="EI201" i="2" s="1"/>
  <c r="GA176" i="2"/>
  <c r="FZ176" i="2"/>
  <c r="CG181" i="2"/>
  <c r="CR181" i="2"/>
  <c r="BK106" i="2"/>
  <c r="CL106" i="2" s="1"/>
  <c r="GT108" i="2"/>
  <c r="BK110" i="2"/>
  <c r="CL110" i="2" s="1"/>
  <c r="FZ110" i="2"/>
  <c r="GU115" i="2"/>
  <c r="CG117" i="2"/>
  <c r="CI117" i="2" s="1"/>
  <c r="BP119" i="2"/>
  <c r="DG120" i="2"/>
  <c r="CG129" i="2"/>
  <c r="CR140" i="2"/>
  <c r="CR147" i="2"/>
  <c r="EY159" i="2"/>
  <c r="EX159" i="2"/>
  <c r="DH183" i="2"/>
  <c r="GT123" i="2"/>
  <c r="CR146" i="2"/>
  <c r="FQ153" i="2"/>
  <c r="FW153" i="2" s="1"/>
  <c r="FX153" i="2" s="1" a="1"/>
  <c r="FX153" i="2" s="1"/>
  <c r="GU162" i="2"/>
  <c r="EX171" i="2"/>
  <c r="FQ171" i="2"/>
  <c r="FW171" i="2" s="1"/>
  <c r="FX171" i="2" s="1" a="1"/>
  <c r="FX171" i="2" s="1"/>
  <c r="EY171" i="2"/>
  <c r="DO176" i="2"/>
  <c r="EC176" i="2" s="1"/>
  <c r="GU103" i="2"/>
  <c r="GT107" i="2"/>
  <c r="DG125" i="2"/>
  <c r="GT47" i="2"/>
  <c r="GT138" i="2"/>
  <c r="BM141" i="2"/>
  <c r="BN141" i="2" s="1"/>
  <c r="GU143" i="2"/>
  <c r="DG150" i="2"/>
  <c r="FZ151" i="2"/>
  <c r="DG153" i="2"/>
  <c r="DU164" i="2"/>
  <c r="DV164" i="2" s="1"/>
  <c r="DW164" i="2" s="1"/>
  <c r="EX168" i="2"/>
  <c r="FQ168" i="2"/>
  <c r="FW168" i="2" s="1"/>
  <c r="FX168" i="2" s="1" a="1"/>
  <c r="FX168" i="2" s="1"/>
  <c r="EY168" i="2"/>
  <c r="BM176" i="2"/>
  <c r="BN176" i="2" s="1"/>
  <c r="CG43" i="2"/>
  <c r="DA103" i="2"/>
  <c r="DB103" i="2" s="1"/>
  <c r="CG105" i="2"/>
  <c r="X106" i="2"/>
  <c r="AA106" i="2" s="1"/>
  <c r="BK108" i="2"/>
  <c r="CL108" i="2" s="1"/>
  <c r="EY112" i="2"/>
  <c r="CG113" i="2"/>
  <c r="DA198" i="2"/>
  <c r="DB198" i="2" s="1"/>
  <c r="GU117" i="2"/>
  <c r="CG118" i="2"/>
  <c r="DG121" i="2"/>
  <c r="EV122" i="2"/>
  <c r="CR139" i="2"/>
  <c r="CR149" i="2"/>
  <c r="Y153" i="2"/>
  <c r="AB153" i="2" s="1"/>
  <c r="DO159" i="2"/>
  <c r="DS159" i="2" s="1"/>
  <c r="DU159" i="2"/>
  <c r="DV159" i="2" s="1"/>
  <c r="DW159" i="2" s="1"/>
  <c r="DH163" i="2"/>
  <c r="DG163" i="2"/>
  <c r="CW171" i="2"/>
  <c r="DA171" i="2"/>
  <c r="DB171" i="2" s="1"/>
  <c r="CR171" i="2"/>
  <c r="DU182" i="2"/>
  <c r="EG182" i="2" s="1"/>
  <c r="DO182" i="2"/>
  <c r="EH182" i="2" s="1"/>
  <c r="BM183" i="2"/>
  <c r="BN183" i="2" s="1"/>
  <c r="BK183" i="2"/>
  <c r="CL183" i="2" s="1"/>
  <c r="BM199" i="2"/>
  <c r="BN199" i="2" s="1"/>
  <c r="BK199" i="2"/>
  <c r="CL199" i="2" s="1"/>
  <c r="GT104" i="2"/>
  <c r="EY113" i="2"/>
  <c r="GT113" i="2"/>
  <c r="CG119" i="2"/>
  <c r="CW123" i="2"/>
  <c r="GT142" i="2"/>
  <c r="DH11" i="2"/>
  <c r="DG11" i="2"/>
  <c r="GA200" i="2"/>
  <c r="FZ200" i="2"/>
  <c r="FZ108" i="2"/>
  <c r="GU113" i="2"/>
  <c r="X115" i="2"/>
  <c r="AA115" i="2" s="1"/>
  <c r="DG115" i="2"/>
  <c r="EY118" i="2"/>
  <c r="X121" i="2"/>
  <c r="AA121" i="2" s="1"/>
  <c r="EX122" i="2"/>
  <c r="Y125" i="2"/>
  <c r="AB125" i="2" s="1"/>
  <c r="DU125" i="2"/>
  <c r="FQ126" i="2"/>
  <c r="FW126" i="2" s="1"/>
  <c r="FX126" i="2" s="1" a="1"/>
  <c r="FX126" i="2" s="1"/>
  <c r="BK127" i="2"/>
  <c r="CL127" i="2" s="1"/>
  <c r="EV127" i="2"/>
  <c r="CW47" i="2"/>
  <c r="EY130" i="2"/>
  <c r="DG132" i="2"/>
  <c r="X141" i="2"/>
  <c r="AA141" i="2" s="1"/>
  <c r="BM146" i="2"/>
  <c r="BN146" i="2" s="1"/>
  <c r="FZ146" i="2"/>
  <c r="CW150" i="2"/>
  <c r="EV155" i="2"/>
  <c r="EX156" i="2"/>
  <c r="GT162" i="2"/>
  <c r="GU104" i="2"/>
  <c r="GT110" i="2"/>
  <c r="GU118" i="2"/>
  <c r="CG123" i="2"/>
  <c r="EV124" i="2"/>
  <c r="X137" i="2"/>
  <c r="Z137" i="2" s="1"/>
  <c r="GU148" i="2"/>
  <c r="CG152" i="2"/>
  <c r="CI152" i="2" s="1"/>
  <c r="CG153" i="2"/>
  <c r="GA169" i="2"/>
  <c r="FZ169" i="2"/>
  <c r="GU173" i="2"/>
  <c r="GA107" i="2"/>
  <c r="CG110" i="2"/>
  <c r="EY119" i="2"/>
  <c r="CG120" i="2"/>
  <c r="EX127" i="2"/>
  <c r="CG47" i="2"/>
  <c r="CG135" i="2"/>
  <c r="CG136" i="2"/>
  <c r="BM139" i="2"/>
  <c r="BN139" i="2" s="1"/>
  <c r="GT141" i="2"/>
  <c r="CG142" i="2"/>
  <c r="BM145" i="2"/>
  <c r="BN145" i="2" s="1"/>
  <c r="X147" i="2"/>
  <c r="AA147" i="2" s="1"/>
  <c r="X148" i="2"/>
  <c r="AA148" i="2" s="1"/>
  <c r="EX155" i="2"/>
  <c r="DA193" i="2"/>
  <c r="DB193" i="2" s="1"/>
  <c r="CG193" i="2"/>
  <c r="GU119" i="2"/>
  <c r="GU135" i="2"/>
  <c r="X146" i="2"/>
  <c r="AA146" i="2" s="1"/>
  <c r="GU155" i="2"/>
  <c r="GU156" i="2"/>
  <c r="X162" i="2"/>
  <c r="CG180" i="2"/>
  <c r="CR180" i="2"/>
  <c r="FZ117" i="2"/>
  <c r="DA119" i="2"/>
  <c r="DB119" i="2" s="1"/>
  <c r="DG129" i="2"/>
  <c r="FZ131" i="2"/>
  <c r="BM144" i="2"/>
  <c r="BN144" i="2" s="1"/>
  <c r="GU157" i="2"/>
  <c r="FZ159" i="2"/>
  <c r="GA159" i="2"/>
  <c r="BK163" i="2"/>
  <c r="CL163" i="2" s="1"/>
  <c r="EG176" i="2"/>
  <c r="EI176" i="2"/>
  <c r="DG112" i="2"/>
  <c r="FZ112" i="2"/>
  <c r="DA114" i="2"/>
  <c r="DB114" i="2" s="1"/>
  <c r="EY120" i="2"/>
  <c r="EV126" i="2"/>
  <c r="FZ129" i="2"/>
  <c r="CG141" i="2"/>
  <c r="FZ143" i="2"/>
  <c r="X145" i="2"/>
  <c r="AA145" i="2" s="1"/>
  <c r="DG149" i="2"/>
  <c r="GU150" i="2"/>
  <c r="BK156" i="2"/>
  <c r="CL156" i="2" s="1"/>
  <c r="BK157" i="2"/>
  <c r="CL157" i="2" s="1"/>
  <c r="DQ157" i="2"/>
  <c r="DR157" i="2" s="1"/>
  <c r="BM165" i="2"/>
  <c r="BN165" i="2" s="1"/>
  <c r="BK165" i="2"/>
  <c r="CL165" i="2" s="1"/>
  <c r="GU120" i="2"/>
  <c r="CG122" i="2"/>
  <c r="BK126" i="2"/>
  <c r="CL126" i="2" s="1"/>
  <c r="DG130" i="2"/>
  <c r="DG131" i="2"/>
  <c r="CR136" i="2"/>
  <c r="GU140" i="2"/>
  <c r="CR142" i="2"/>
  <c r="CG148" i="2"/>
  <c r="CR152" i="2"/>
  <c r="GA175" i="2"/>
  <c r="FZ175" i="2"/>
  <c r="DO11" i="2"/>
  <c r="EH11" i="2" s="1"/>
  <c r="DU11" i="2"/>
  <c r="DV11" i="2" s="1"/>
  <c r="DW11" i="2" s="1"/>
  <c r="DG205" i="2"/>
  <c r="DH205" i="2"/>
  <c r="CW168" i="2"/>
  <c r="GT170" i="2"/>
  <c r="DH185" i="2"/>
  <c r="FZ185" i="2"/>
  <c r="GA192" i="2"/>
  <c r="GA193" i="2"/>
  <c r="FZ194" i="2"/>
  <c r="DU199" i="2"/>
  <c r="DV199" i="2" s="1"/>
  <c r="DW199" i="2" s="1"/>
  <c r="CG171" i="2"/>
  <c r="Y194" i="2"/>
  <c r="AB194" i="2" s="1"/>
  <c r="CR196" i="2"/>
  <c r="X169" i="2"/>
  <c r="AA169" i="2" s="1"/>
  <c r="FZ173" i="2"/>
  <c r="BM177" i="2"/>
  <c r="BN177" i="2" s="1"/>
  <c r="FZ177" i="2"/>
  <c r="GA189" i="2"/>
  <c r="Y190" i="2"/>
  <c r="AB190" i="2" s="1"/>
  <c r="Y191" i="2"/>
  <c r="AB191" i="2" s="1"/>
  <c r="GA191" i="2"/>
  <c r="CG194" i="2"/>
  <c r="Y195" i="2"/>
  <c r="AB195" i="2" s="1"/>
  <c r="FQ170" i="2"/>
  <c r="FW170" i="2" s="1"/>
  <c r="FX170" i="2" s="1" a="1"/>
  <c r="FX170" i="2" s="1"/>
  <c r="GT171" i="2"/>
  <c r="BK173" i="2"/>
  <c r="CL173" i="2" s="1"/>
  <c r="X174" i="2"/>
  <c r="Z174" i="2" s="1"/>
  <c r="CG185" i="2"/>
  <c r="Y192" i="2"/>
  <c r="AB192" i="2" s="1"/>
  <c r="EV193" i="2"/>
  <c r="GU163" i="2"/>
  <c r="Y165" i="2"/>
  <c r="AB165" i="2" s="1"/>
  <c r="FZ11" i="2"/>
  <c r="BK170" i="2"/>
  <c r="CL170" i="2" s="1"/>
  <c r="CG172" i="2"/>
  <c r="X173" i="2"/>
  <c r="AA173" i="2" s="1"/>
  <c r="BM178" i="2"/>
  <c r="BN178" i="2" s="1"/>
  <c r="DO178" i="2"/>
  <c r="EC178" i="2" s="1"/>
  <c r="DH188" i="2"/>
  <c r="FZ188" i="2"/>
  <c r="Y189" i="2"/>
  <c r="AB189" i="2" s="1"/>
  <c r="CG190" i="2"/>
  <c r="CG191" i="2"/>
  <c r="CG192" i="2"/>
  <c r="EV194" i="2"/>
  <c r="DG206" i="2"/>
  <c r="DH206" i="2"/>
  <c r="BK162" i="2"/>
  <c r="CL162" i="2" s="1"/>
  <c r="CR168" i="2"/>
  <c r="CG177" i="2"/>
  <c r="CG189" i="2"/>
  <c r="EV192" i="2"/>
  <c r="GT200" i="2"/>
  <c r="Y201" i="2"/>
  <c r="AB201" i="2" s="1"/>
  <c r="FZ170" i="2"/>
  <c r="CG178" i="2"/>
  <c r="FZ179" i="2"/>
  <c r="CG182" i="2"/>
  <c r="BK187" i="2"/>
  <c r="CL187" i="2" s="1"/>
  <c r="FZ187" i="2"/>
  <c r="CG188" i="2"/>
  <c r="DG196" i="2"/>
  <c r="CR199" i="2"/>
  <c r="GT168" i="2"/>
  <c r="GT172" i="2"/>
  <c r="EI178" i="2"/>
  <c r="BM206" i="2"/>
  <c r="BN206" i="2" s="1"/>
  <c r="BK206" i="2"/>
  <c r="CL206" i="2" s="1"/>
  <c r="CG184" i="2"/>
  <c r="CG196" i="2"/>
  <c r="EX160" i="2"/>
  <c r="BK168" i="2"/>
  <c r="CL168" i="2" s="1"/>
  <c r="BK171" i="2"/>
  <c r="CL171" i="2" s="1"/>
  <c r="CG173" i="2"/>
  <c r="DG192" i="2"/>
  <c r="GT11" i="2"/>
  <c r="CG179" i="2"/>
  <c r="DH181" i="2"/>
  <c r="GT182" i="2"/>
  <c r="FZ186" i="2"/>
  <c r="CG187" i="2"/>
  <c r="FQ192" i="2"/>
  <c r="BK193" i="2"/>
  <c r="CL193" i="2" s="1"/>
  <c r="FQ194" i="2"/>
  <c r="DO195" i="2"/>
  <c r="EH195" i="2" s="1"/>
  <c r="DU200" i="2"/>
  <c r="DG207" i="2"/>
  <c r="DH207" i="2"/>
  <c r="GU169" i="2"/>
  <c r="DH128" i="2"/>
  <c r="DG128" i="2"/>
  <c r="BK204" i="2"/>
  <c r="CL204" i="2" s="1"/>
  <c r="X206" i="2"/>
  <c r="AA206" i="2" s="1"/>
  <c r="GA206" i="2"/>
  <c r="X207" i="2"/>
  <c r="AA207" i="2" s="1"/>
  <c r="GA204" i="2"/>
  <c r="FZ248" i="2"/>
  <c r="GA248" i="2" s="1"/>
  <c r="X205" i="2"/>
  <c r="AA205" i="2" s="1"/>
  <c r="CW206" i="2"/>
  <c r="EV205" i="2"/>
  <c r="CR128" i="2"/>
  <c r="DA128" i="2"/>
  <c r="DB128" i="2" s="1"/>
  <c r="CG128" i="2"/>
  <c r="CI128" i="2" s="1"/>
  <c r="CW128" i="2"/>
  <c r="GT206" i="2"/>
  <c r="GT204" i="2"/>
  <c r="EV98" i="2"/>
  <c r="EX98" i="2"/>
  <c r="EY98" i="2"/>
  <c r="EV30" i="2"/>
  <c r="DG98" i="2"/>
  <c r="Y167" i="2"/>
  <c r="AB167" i="2" s="1"/>
  <c r="FO248" i="2"/>
  <c r="CG98" i="2"/>
  <c r="FQ98" i="2"/>
  <c r="FW98" i="2" s="1"/>
  <c r="FX98" i="2" s="1" a="1"/>
  <c r="FX98" i="2" s="1"/>
  <c r="CG246" i="2"/>
  <c r="DO222" i="2"/>
  <c r="DS222" i="2" s="1"/>
  <c r="DU222" i="2"/>
  <c r="DV222" i="2" s="1"/>
  <c r="DW222" i="2" s="1"/>
  <c r="AA226" i="2"/>
  <c r="X102" i="2"/>
  <c r="AA102" i="2" s="1"/>
  <c r="DU102" i="2"/>
  <c r="EI102" i="2" s="1"/>
  <c r="BM220" i="2"/>
  <c r="BN220" i="2" s="1"/>
  <c r="AB221" i="2"/>
  <c r="X246" i="2"/>
  <c r="Z246" i="2" s="1"/>
  <c r="BM219" i="2"/>
  <c r="BN219" i="2" s="1"/>
  <c r="BK219" i="2"/>
  <c r="CL219" i="2" s="1"/>
  <c r="EC211" i="2"/>
  <c r="DS211" i="2"/>
  <c r="DQ211" i="2"/>
  <c r="DR211" i="2" s="1"/>
  <c r="DA227" i="2"/>
  <c r="DB227" i="2" s="1"/>
  <c r="CR227" i="2"/>
  <c r="CW227" i="2"/>
  <c r="CG102" i="2"/>
  <c r="GU220" i="2"/>
  <c r="GU219" i="2"/>
  <c r="CG220" i="2"/>
  <c r="DO219" i="2"/>
  <c r="DY219" i="2" s="1"/>
  <c r="DZ219" i="2" s="1"/>
  <c r="EA219" i="2" s="1"/>
  <c r="DU219" i="2"/>
  <c r="EI219" i="2" s="1"/>
  <c r="DO223" i="2"/>
  <c r="EC223" i="2" s="1"/>
  <c r="DU223" i="2"/>
  <c r="DV223" i="2" s="1"/>
  <c r="DW223" i="2" s="1"/>
  <c r="GU102" i="2"/>
  <c r="CR246" i="2"/>
  <c r="DO208" i="2"/>
  <c r="DY208" i="2" s="1"/>
  <c r="DZ208" i="2" s="1"/>
  <c r="EA208" i="2" s="1"/>
  <c r="DU208" i="2"/>
  <c r="EI208" i="2" s="1"/>
  <c r="GT224" i="2"/>
  <c r="AB241" i="2"/>
  <c r="DU237" i="2"/>
  <c r="EI237" i="2" s="1"/>
  <c r="DO237" i="2"/>
  <c r="EH237" i="2" s="1"/>
  <c r="DA220" i="2"/>
  <c r="DB220" i="2" s="1"/>
  <c r="GU242" i="2"/>
  <c r="DV238" i="2"/>
  <c r="DW238" i="2" s="1"/>
  <c r="EI238" i="2"/>
  <c r="FZ220" i="2"/>
  <c r="DO213" i="2"/>
  <c r="EH213" i="2" s="1"/>
  <c r="DU213" i="2"/>
  <c r="EI213" i="2" s="1"/>
  <c r="GT218" i="2"/>
  <c r="DG219" i="2"/>
  <c r="DH219" i="2"/>
  <c r="AA225" i="2"/>
  <c r="DU246" i="2"/>
  <c r="EI246" i="2" s="1"/>
  <c r="DH220" i="2"/>
  <c r="DG220" i="2"/>
  <c r="DO214" i="2"/>
  <c r="DQ214" i="2" s="1"/>
  <c r="DR214" i="2" s="1"/>
  <c r="DU214" i="2"/>
  <c r="EG214" i="2" s="1"/>
  <c r="GT222" i="2"/>
  <c r="GU218" i="2"/>
  <c r="GU222" i="2"/>
  <c r="GA218" i="2"/>
  <c r="BM233" i="2"/>
  <c r="BN233" i="2" s="1"/>
  <c r="GU233" i="2"/>
  <c r="X209" i="2"/>
  <c r="AA209" i="2" s="1"/>
  <c r="GU215" i="2"/>
  <c r="GT242" i="2"/>
  <c r="DU221" i="2"/>
  <c r="EI221" i="2" s="1"/>
  <c r="FQ221" i="2"/>
  <c r="FW221" i="2" s="1"/>
  <c r="FX221" i="2" s="1" a="1"/>
  <c r="FX221" i="2" s="1"/>
  <c r="EY225" i="2"/>
  <c r="DH234" i="2"/>
  <c r="GT235" i="2"/>
  <c r="X245" i="2"/>
  <c r="AA245" i="2" s="1"/>
  <c r="X210" i="2"/>
  <c r="AA210" i="2" s="1"/>
  <c r="FQ233" i="2"/>
  <c r="FW233" i="2" s="1"/>
  <c r="FX233" i="2" s="1" a="1"/>
  <c r="FX233" i="2" s="1"/>
  <c r="DG244" i="2"/>
  <c r="FZ244" i="2"/>
  <c r="Y245" i="2"/>
  <c r="AB245" i="2" s="1"/>
  <c r="GT210" i="2"/>
  <c r="DU215" i="2"/>
  <c r="EG215" i="2" s="1"/>
  <c r="CG216" i="2"/>
  <c r="DH226" i="2"/>
  <c r="CR214" i="2"/>
  <c r="EY224" i="2"/>
  <c r="FQ225" i="2"/>
  <c r="FW225" i="2" s="1"/>
  <c r="FX225" i="2" s="1" a="1"/>
  <c r="FX225" i="2" s="1"/>
  <c r="GT229" i="2"/>
  <c r="GT230" i="2"/>
  <c r="GT234" i="2"/>
  <c r="DG240" i="2"/>
  <c r="X244" i="2"/>
  <c r="AA244" i="2" s="1"/>
  <c r="GT208" i="2"/>
  <c r="CR213" i="2"/>
  <c r="X216" i="2"/>
  <c r="AA216" i="2" s="1"/>
  <c r="EY216" i="2"/>
  <c r="DH222" i="2"/>
  <c r="GT223" i="2"/>
  <c r="GT237" i="2"/>
  <c r="DG241" i="2"/>
  <c r="DG243" i="2"/>
  <c r="FZ243" i="2"/>
  <c r="Y244" i="2"/>
  <c r="CZ202" i="2"/>
  <c r="BK222" i="2"/>
  <c r="CL222" i="2" s="1"/>
  <c r="DH225" i="2"/>
  <c r="BK226" i="2"/>
  <c r="CL226" i="2" s="1"/>
  <c r="FZ227" i="2"/>
  <c r="DG229" i="2"/>
  <c r="EX232" i="2"/>
  <c r="DG235" i="2"/>
  <c r="DA236" i="2"/>
  <c r="DB236" i="2" s="1"/>
  <c r="FZ240" i="2"/>
  <c r="BM243" i="2"/>
  <c r="BN243" i="2" s="1"/>
  <c r="GT209" i="2"/>
  <c r="DA214" i="2"/>
  <c r="DB214" i="2" s="1"/>
  <c r="CW219" i="2"/>
  <c r="EV221" i="2"/>
  <c r="EY223" i="2"/>
  <c r="Y228" i="2"/>
  <c r="AB228" i="2" s="1"/>
  <c r="DG228" i="2"/>
  <c r="DH231" i="2"/>
  <c r="X241" i="2"/>
  <c r="AA241" i="2" s="1"/>
  <c r="X243" i="2"/>
  <c r="AA243" i="2" s="1"/>
  <c r="Y250" i="2"/>
  <c r="AB250" i="2" s="1"/>
  <c r="FQ224" i="2"/>
  <c r="FW224" i="2" s="1"/>
  <c r="FX224" i="2" s="1" a="1"/>
  <c r="FX224" i="2" s="1"/>
  <c r="EV227" i="2"/>
  <c r="FQ230" i="2"/>
  <c r="FW230" i="2" s="1"/>
  <c r="FX230" i="2" s="1" a="1"/>
  <c r="FX230" i="2" s="1"/>
  <c r="GT231" i="2"/>
  <c r="EV233" i="2"/>
  <c r="DO235" i="2"/>
  <c r="DY235" i="2" s="1"/>
  <c r="DZ235" i="2" s="1"/>
  <c r="EA235" i="2" s="1"/>
  <c r="X236" i="2"/>
  <c r="BK236" i="2"/>
  <c r="CL236" i="2" s="1"/>
  <c r="DA237" i="2"/>
  <c r="DB237" i="2" s="1"/>
  <c r="DH238" i="2"/>
  <c r="FZ238" i="2"/>
  <c r="X240" i="2"/>
  <c r="AA240" i="2" s="1"/>
  <c r="Y243" i="2"/>
  <c r="AB243" i="2" s="1"/>
  <c r="BM249" i="2"/>
  <c r="BN249" i="2" s="1"/>
  <c r="FZ249" i="2"/>
  <c r="FZ202" i="2"/>
  <c r="X215" i="2"/>
  <c r="AA215" i="2" s="1"/>
  <c r="CG219" i="2"/>
  <c r="DA221" i="2"/>
  <c r="DB221" i="2" s="1"/>
  <c r="EY221" i="2"/>
  <c r="Y229" i="2"/>
  <c r="AB229" i="2" s="1"/>
  <c r="CG229" i="2"/>
  <c r="BK230" i="2"/>
  <c r="CL230" i="2" s="1"/>
  <c r="BK231" i="2"/>
  <c r="CL231" i="2" s="1"/>
  <c r="DV231" i="2"/>
  <c r="DW231" i="2" s="1"/>
  <c r="DH236" i="2"/>
  <c r="GT250" i="2"/>
  <c r="GU213" i="2"/>
  <c r="EY215" i="2"/>
  <c r="EX233" i="2"/>
  <c r="BM239" i="2"/>
  <c r="BN239" i="2" s="1"/>
  <c r="Y249" i="2"/>
  <c r="AB249" i="2" s="1"/>
  <c r="FN209" i="2"/>
  <c r="DU210" i="2"/>
  <c r="DV210" i="2" s="1"/>
  <c r="DW210" i="2" s="1"/>
  <c r="CR215" i="2"/>
  <c r="CG217" i="2"/>
  <c r="DU218" i="2"/>
  <c r="DU242" i="2"/>
  <c r="EI242" i="2" s="1"/>
  <c r="EG231" i="2"/>
  <c r="DO233" i="2"/>
  <c r="DS233" i="2" s="1"/>
  <c r="FZ247" i="2"/>
  <c r="GT211" i="2"/>
  <c r="GT225" i="2"/>
  <c r="GT227" i="2"/>
  <c r="GT233" i="2"/>
  <c r="X208" i="2"/>
  <c r="AA208" i="2" s="1"/>
  <c r="DQ209" i="2"/>
  <c r="DR209" i="2" s="1"/>
  <c r="DY210" i="2"/>
  <c r="DZ210" i="2" s="1"/>
  <c r="EA210" i="2" s="1"/>
  <c r="GU211" i="2"/>
  <c r="X217" i="2"/>
  <c r="AA217" i="2" s="1"/>
  <c r="GU226" i="2"/>
  <c r="X235" i="2"/>
  <c r="AA235" i="2" s="1"/>
  <c r="CR202" i="2"/>
  <c r="CX202" i="2" s="1"/>
  <c r="GO201" i="2"/>
  <c r="GU201" i="2" s="1"/>
  <c r="GS30" i="2"/>
  <c r="GT30" i="2" s="1"/>
  <c r="GS248" i="2"/>
  <c r="GT248" i="2" s="1"/>
  <c r="GS246" i="2"/>
  <c r="GT246" i="2" s="1"/>
  <c r="GS167" i="2"/>
  <c r="GO202" i="2"/>
  <c r="GU202" i="2" s="1"/>
  <c r="GT13" i="2"/>
  <c r="GU13" i="2"/>
  <c r="DU13" i="2"/>
  <c r="DO13" i="2"/>
  <c r="DV15" i="2"/>
  <c r="DW15" i="2" s="1"/>
  <c r="EG15" i="2"/>
  <c r="EI15" i="2"/>
  <c r="DV16" i="2"/>
  <c r="DW16" i="2" s="1"/>
  <c r="EG16" i="2"/>
  <c r="EI16" i="2"/>
  <c r="GT20" i="2"/>
  <c r="DU44" i="2"/>
  <c r="DO44" i="2"/>
  <c r="GU16" i="2"/>
  <c r="DV17" i="2"/>
  <c r="DW17" i="2" s="1"/>
  <c r="EG17" i="2"/>
  <c r="EI17" i="2"/>
  <c r="GU15" i="2"/>
  <c r="GT17" i="2"/>
  <c r="GU17" i="2"/>
  <c r="DU42" i="2"/>
  <c r="DO42" i="2"/>
  <c r="DU12" i="2"/>
  <c r="DO12" i="2"/>
  <c r="GT19" i="2"/>
  <c r="DV18" i="2"/>
  <c r="DW18" i="2" s="1"/>
  <c r="EG18" i="2"/>
  <c r="EI18" i="2"/>
  <c r="GU9" i="2"/>
  <c r="GT212" i="2"/>
  <c r="GT10" i="2"/>
  <c r="GU212" i="2"/>
  <c r="GU10" i="2"/>
  <c r="DU212" i="2"/>
  <c r="DO212" i="2"/>
  <c r="GT12" i="2"/>
  <c r="GU12" i="2"/>
  <c r="T12" i="2"/>
  <c r="DH80" i="2"/>
  <c r="DG80" i="2"/>
  <c r="DU91" i="2"/>
  <c r="DO91" i="2"/>
  <c r="BM15" i="2"/>
  <c r="BN15" i="2" s="1"/>
  <c r="FP15" i="2"/>
  <c r="GA16" i="2"/>
  <c r="GA17" i="2"/>
  <c r="DG18" i="2"/>
  <c r="EY18" i="2"/>
  <c r="EX18" i="2"/>
  <c r="FQ18" i="2"/>
  <c r="FW18" i="2" s="1"/>
  <c r="FX18" i="2" s="1" a="1"/>
  <c r="FX18" i="2" s="1"/>
  <c r="DY19" i="2"/>
  <c r="DZ19" i="2" s="1"/>
  <c r="EA19" i="2" s="1"/>
  <c r="GA19" i="2"/>
  <c r="BP21" i="2"/>
  <c r="BK26" i="2"/>
  <c r="CL26" i="2" s="1"/>
  <c r="GT27" i="2"/>
  <c r="DG14" i="2"/>
  <c r="DU31" i="2"/>
  <c r="DO31" i="2"/>
  <c r="GA49" i="2"/>
  <c r="FZ49" i="2"/>
  <c r="T54" i="2"/>
  <c r="FQ15" i="2"/>
  <c r="DO18" i="2"/>
  <c r="AA19" i="2"/>
  <c r="EC19" i="2"/>
  <c r="CG21" i="2"/>
  <c r="CI21" i="2" s="1"/>
  <c r="DA21" i="2"/>
  <c r="DB21" i="2" s="1"/>
  <c r="CW21" i="2"/>
  <c r="CR21" i="2"/>
  <c r="AA14" i="2"/>
  <c r="BM31" i="2"/>
  <c r="BN31" i="2" s="1"/>
  <c r="BK31" i="2"/>
  <c r="CL31" i="2" s="1"/>
  <c r="GT32" i="2"/>
  <c r="GT36" i="2"/>
  <c r="GU38" i="2"/>
  <c r="BP50" i="2"/>
  <c r="DO54" i="2"/>
  <c r="DH9" i="2"/>
  <c r="DG12" i="2"/>
  <c r="DG13" i="2"/>
  <c r="DG116" i="2"/>
  <c r="EV15" i="2"/>
  <c r="DO16" i="2"/>
  <c r="BK36" i="2"/>
  <c r="CL36" i="2" s="1"/>
  <c r="GT41" i="2"/>
  <c r="GT48" i="2"/>
  <c r="BP59" i="2"/>
  <c r="CG60" i="2"/>
  <c r="CI60" i="2" s="1"/>
  <c r="DA60" i="2"/>
  <c r="DB60" i="2" s="1"/>
  <c r="CW60" i="2"/>
  <c r="CR60" i="2"/>
  <c r="AB65" i="2"/>
  <c r="T13" i="2"/>
  <c r="BK9" i="2"/>
  <c r="CL9" i="2" s="1"/>
  <c r="BK10" i="2"/>
  <c r="CL10" i="2" s="1"/>
  <c r="DH10" i="2"/>
  <c r="DG212" i="2"/>
  <c r="BK212" i="2"/>
  <c r="CL212" i="2" s="1"/>
  <c r="CR15" i="2"/>
  <c r="X16" i="2"/>
  <c r="CG17" i="2"/>
  <c r="CI17" i="2" s="1"/>
  <c r="EV18" i="2"/>
  <c r="CG19" i="2"/>
  <c r="CI19" i="2" s="1"/>
  <c r="DA19" i="2"/>
  <c r="DB19" i="2" s="1"/>
  <c r="CW19" i="2"/>
  <c r="BK20" i="2"/>
  <c r="CL20" i="2" s="1"/>
  <c r="CG22" i="2"/>
  <c r="CI22" i="2" s="1"/>
  <c r="DA22" i="2"/>
  <c r="DB22" i="2" s="1"/>
  <c r="CW22" i="2"/>
  <c r="CR22" i="2"/>
  <c r="DS22" i="2"/>
  <c r="GT28" i="2"/>
  <c r="EC38" i="2"/>
  <c r="DY38" i="2"/>
  <c r="DZ38" i="2" s="1"/>
  <c r="EA38" i="2" s="1"/>
  <c r="DS38" i="2"/>
  <c r="DQ38" i="2"/>
  <c r="DR38" i="2" s="1"/>
  <c r="EH38" i="2"/>
  <c r="BK41" i="2"/>
  <c r="CL41" i="2" s="1"/>
  <c r="AB50" i="2"/>
  <c r="BK51" i="2"/>
  <c r="CL51" i="2" s="1"/>
  <c r="DA59" i="2"/>
  <c r="DB59" i="2" s="1"/>
  <c r="CW59" i="2"/>
  <c r="CR59" i="2"/>
  <c r="CG59" i="2"/>
  <c r="CI59" i="2" s="1"/>
  <c r="EX15" i="2"/>
  <c r="GT24" i="2"/>
  <c r="DU56" i="2"/>
  <c r="DO56" i="2"/>
  <c r="DU68" i="2"/>
  <c r="DO68" i="2"/>
  <c r="AA78" i="2"/>
  <c r="BK78" i="2"/>
  <c r="CL78" i="2" s="1"/>
  <c r="T17" i="2"/>
  <c r="DO17" i="2"/>
  <c r="Y20" i="2"/>
  <c r="AB20" i="2" s="1"/>
  <c r="BP20" i="2"/>
  <c r="GT22" i="2"/>
  <c r="BK24" i="2"/>
  <c r="CL24" i="2" s="1"/>
  <c r="EC32" i="2"/>
  <c r="DY32" i="2"/>
  <c r="DZ32" i="2" s="1"/>
  <c r="EA32" i="2" s="1"/>
  <c r="DS32" i="2"/>
  <c r="DQ32" i="2"/>
  <c r="DR32" i="2" s="1"/>
  <c r="EH32" i="2"/>
  <c r="GT33" i="2"/>
  <c r="EC36" i="2"/>
  <c r="DY36" i="2"/>
  <c r="DZ36" i="2" s="1"/>
  <c r="EA36" i="2" s="1"/>
  <c r="DS36" i="2"/>
  <c r="DQ36" i="2"/>
  <c r="DR36" i="2" s="1"/>
  <c r="EH36" i="2"/>
  <c r="DO52" i="2"/>
  <c r="DU52" i="2"/>
  <c r="BK21" i="2"/>
  <c r="CL21" i="2" s="1"/>
  <c r="BP9" i="2"/>
  <c r="CR9" i="2"/>
  <c r="BP10" i="2"/>
  <c r="CR10" i="2"/>
  <c r="FQ17" i="2"/>
  <c r="FW17" i="2" s="1"/>
  <c r="FX17" i="2" s="1" a="1"/>
  <c r="FX17" i="2" s="1"/>
  <c r="BM18" i="2"/>
  <c r="BN18" i="2" s="1"/>
  <c r="CG20" i="2"/>
  <c r="CI20" i="2" s="1"/>
  <c r="DA20" i="2"/>
  <c r="DB20" i="2" s="1"/>
  <c r="CW20" i="2"/>
  <c r="CR20" i="2"/>
  <c r="BK39" i="2"/>
  <c r="CL39" i="2" s="1"/>
  <c r="GT39" i="2"/>
  <c r="CR55" i="2"/>
  <c r="CG55" i="2"/>
  <c r="CI55" i="2" s="1"/>
  <c r="DA55" i="2"/>
  <c r="DB55" i="2" s="1"/>
  <c r="CW55" i="2"/>
  <c r="GU61" i="2"/>
  <c r="EC97" i="2"/>
  <c r="DY97" i="2"/>
  <c r="DZ97" i="2" s="1"/>
  <c r="EA97" i="2" s="1"/>
  <c r="DS97" i="2"/>
  <c r="DQ97" i="2"/>
  <c r="DR97" i="2" s="1"/>
  <c r="EH97" i="2"/>
  <c r="AB235" i="2"/>
  <c r="CR212" i="2"/>
  <c r="CR12" i="2"/>
  <c r="CR13" i="2"/>
  <c r="CR116" i="2"/>
  <c r="CW15" i="2"/>
  <c r="CR16" i="2"/>
  <c r="EY19" i="2"/>
  <c r="EV19" i="2"/>
  <c r="FQ19" i="2"/>
  <c r="GT29" i="2"/>
  <c r="GT49" i="2"/>
  <c r="GT60" i="2"/>
  <c r="GT25" i="2"/>
  <c r="GT37" i="2"/>
  <c r="X52" i="2"/>
  <c r="Y52" i="2"/>
  <c r="AB52" i="2" s="1"/>
  <c r="DU55" i="2"/>
  <c r="DO55" i="2"/>
  <c r="DA15" i="2"/>
  <c r="DB15" i="2" s="1"/>
  <c r="BP18" i="2"/>
  <c r="DG20" i="2"/>
  <c r="DY22" i="2"/>
  <c r="DZ22" i="2" s="1"/>
  <c r="EA22" i="2" s="1"/>
  <c r="DQ22" i="2"/>
  <c r="DR22" i="2" s="1"/>
  <c r="EH22" i="2"/>
  <c r="DU29" i="2"/>
  <c r="DO29" i="2"/>
  <c r="GU46" i="2"/>
  <c r="GU49" i="2"/>
  <c r="GA52" i="2"/>
  <c r="FZ52" i="2"/>
  <c r="DO88" i="2"/>
  <c r="DU88" i="2"/>
  <c r="BM14" i="2"/>
  <c r="BN14" i="2" s="1"/>
  <c r="BK14" i="2"/>
  <c r="CL14" i="2" s="1"/>
  <c r="GU42" i="2"/>
  <c r="BK38" i="2"/>
  <c r="CL38" i="2" s="1"/>
  <c r="CW9" i="2"/>
  <c r="CW10" i="2"/>
  <c r="EX17" i="2"/>
  <c r="DQ19" i="2"/>
  <c r="DR19" i="2" s="1"/>
  <c r="DY21" i="2"/>
  <c r="DZ21" i="2" s="1"/>
  <c r="EA21" i="2" s="1"/>
  <c r="EH21" i="2"/>
  <c r="BK29" i="2"/>
  <c r="CL29" i="2" s="1"/>
  <c r="GT14" i="2"/>
  <c r="GT34" i="2"/>
  <c r="GT44" i="2"/>
  <c r="GU45" i="2"/>
  <c r="EG111" i="2"/>
  <c r="DV111" i="2"/>
  <c r="DW111" i="2" s="1"/>
  <c r="CW16" i="2"/>
  <c r="CR17" i="2"/>
  <c r="GU14" i="2"/>
  <c r="GT35" i="2"/>
  <c r="DO111" i="2"/>
  <c r="GT111" i="2"/>
  <c r="GU44" i="2"/>
  <c r="EG46" i="2"/>
  <c r="DV46" i="2"/>
  <c r="DW46" i="2" s="1"/>
  <c r="GA48" i="2"/>
  <c r="FZ48" i="2"/>
  <c r="DO49" i="2"/>
  <c r="DU49" i="2"/>
  <c r="DU53" i="2"/>
  <c r="DO53" i="2"/>
  <c r="DH57" i="2"/>
  <c r="DG57" i="2"/>
  <c r="DV60" i="2"/>
  <c r="DW60" i="2" s="1"/>
  <c r="EI60" i="2"/>
  <c r="EG60" i="2"/>
  <c r="GT72" i="2"/>
  <c r="GU74" i="2"/>
  <c r="GT75" i="2"/>
  <c r="FQ212" i="2"/>
  <c r="FW212" i="2" s="1"/>
  <c r="FX212" i="2" s="1" a="1"/>
  <c r="FX212" i="2" s="1"/>
  <c r="GT21" i="2"/>
  <c r="GT26" i="2"/>
  <c r="DU14" i="2"/>
  <c r="DO14" i="2"/>
  <c r="GU34" i="2"/>
  <c r="GT40" i="2"/>
  <c r="GU111" i="2"/>
  <c r="BP49" i="2"/>
  <c r="GU71" i="2"/>
  <c r="DV54" i="2"/>
  <c r="DW54" i="2" s="1"/>
  <c r="EG54" i="2"/>
  <c r="EI54" i="2"/>
  <c r="DV71" i="2"/>
  <c r="DW71" i="2" s="1"/>
  <c r="EI71" i="2"/>
  <c r="EG71" i="2"/>
  <c r="CG175" i="2"/>
  <c r="DA175" i="2"/>
  <c r="DB175" i="2" s="1"/>
  <c r="CW175" i="2"/>
  <c r="FN15" i="2"/>
  <c r="T15" i="2"/>
  <c r="DG15" i="2"/>
  <c r="CW18" i="2"/>
  <c r="DU19" i="2"/>
  <c r="GA20" i="2"/>
  <c r="GT23" i="2"/>
  <c r="BK40" i="2"/>
  <c r="CL40" i="2" s="1"/>
  <c r="GT42" i="2"/>
  <c r="GU54" i="2"/>
  <c r="GT54" i="2"/>
  <c r="CR49" i="2"/>
  <c r="CR50" i="2"/>
  <c r="DS50" i="2"/>
  <c r="GU65" i="2"/>
  <c r="DO84" i="2"/>
  <c r="DU84" i="2"/>
  <c r="EC96" i="2"/>
  <c r="DY96" i="2"/>
  <c r="DZ96" i="2" s="1"/>
  <c r="EA96" i="2" s="1"/>
  <c r="DS96" i="2"/>
  <c r="DQ96" i="2"/>
  <c r="DR96" i="2" s="1"/>
  <c r="EH96" i="2"/>
  <c r="GU100" i="2"/>
  <c r="DU50" i="2"/>
  <c r="EY54" i="2"/>
  <c r="GT62" i="2"/>
  <c r="DV65" i="2"/>
  <c r="DW65" i="2" s="1"/>
  <c r="EI65" i="2"/>
  <c r="GT69" i="2"/>
  <c r="BK75" i="2"/>
  <c r="CL75" i="2" s="1"/>
  <c r="DU100" i="2"/>
  <c r="DO100" i="2"/>
  <c r="BP35" i="2"/>
  <c r="FZ35" i="2"/>
  <c r="BK52" i="2"/>
  <c r="CL52" i="2" s="1"/>
  <c r="BM54" i="2"/>
  <c r="BN54" i="2" s="1"/>
  <c r="CR56" i="2"/>
  <c r="GA57" i="2"/>
  <c r="FP58" i="2"/>
  <c r="FO58" i="2"/>
  <c r="GJ58" i="2" s="1"/>
  <c r="DV61" i="2"/>
  <c r="DW61" i="2" s="1"/>
  <c r="EI61" i="2"/>
  <c r="DO65" i="2"/>
  <c r="BK72" i="2"/>
  <c r="CL72" i="2" s="1"/>
  <c r="DV75" i="2"/>
  <c r="DW75" i="2" s="1"/>
  <c r="EI75" i="2"/>
  <c r="CH100" i="2"/>
  <c r="BP22" i="2"/>
  <c r="BP23" i="2"/>
  <c r="CR23" i="2"/>
  <c r="BP24" i="2"/>
  <c r="CR24" i="2"/>
  <c r="BP25" i="2"/>
  <c r="CR25" i="2"/>
  <c r="BP26" i="2"/>
  <c r="CR26" i="2"/>
  <c r="BP27" i="2"/>
  <c r="CR27" i="2"/>
  <c r="BP28" i="2"/>
  <c r="CR28" i="2"/>
  <c r="BP29" i="2"/>
  <c r="CR29" i="2"/>
  <c r="BP32" i="2"/>
  <c r="CR32" i="2"/>
  <c r="CR33" i="2"/>
  <c r="CR34" i="2"/>
  <c r="CR36" i="2"/>
  <c r="CR37" i="2"/>
  <c r="CR38" i="2"/>
  <c r="CR39" i="2"/>
  <c r="CR40" i="2"/>
  <c r="CR41" i="2"/>
  <c r="DA51" i="2"/>
  <c r="DB51" i="2" s="1"/>
  <c r="CW51" i="2"/>
  <c r="T57" i="2"/>
  <c r="FN58" i="2"/>
  <c r="BK61" i="2"/>
  <c r="CL61" i="2" s="1"/>
  <c r="GT66" i="2"/>
  <c r="GU69" i="2"/>
  <c r="DV72" i="2"/>
  <c r="DW72" i="2" s="1"/>
  <c r="EI72" i="2"/>
  <c r="GT76" i="2"/>
  <c r="CR14" i="2"/>
  <c r="CR31" i="2"/>
  <c r="CW49" i="2"/>
  <c r="CW50" i="2"/>
  <c r="DY50" i="2"/>
  <c r="DZ50" i="2" s="1"/>
  <c r="EA50" i="2" s="1"/>
  <c r="CR54" i="2"/>
  <c r="EX55" i="2"/>
  <c r="FQ55" i="2"/>
  <c r="GU55" i="2"/>
  <c r="GU58" i="2"/>
  <c r="GU59" i="2"/>
  <c r="GT63" i="2"/>
  <c r="DV69" i="2"/>
  <c r="DW69" i="2" s="1"/>
  <c r="EI69" i="2"/>
  <c r="GT73" i="2"/>
  <c r="EC95" i="2"/>
  <c r="DY95" i="2"/>
  <c r="DZ95" i="2" s="1"/>
  <c r="EA95" i="2" s="1"/>
  <c r="DS95" i="2"/>
  <c r="DQ95" i="2"/>
  <c r="DR95" i="2" s="1"/>
  <c r="EH95" i="2"/>
  <c r="GT117" i="2"/>
  <c r="GU53" i="2"/>
  <c r="CG61" i="2"/>
  <c r="CI61" i="2" s="1"/>
  <c r="DA61" i="2"/>
  <c r="DB61" i="2" s="1"/>
  <c r="CW61" i="2"/>
  <c r="CR61" i="2"/>
  <c r="DV62" i="2"/>
  <c r="DW62" i="2" s="1"/>
  <c r="EI62" i="2"/>
  <c r="EV104" i="2"/>
  <c r="EY104" i="2"/>
  <c r="EX104" i="2"/>
  <c r="FQ104" i="2"/>
  <c r="FW104" i="2" s="1"/>
  <c r="FX104" i="2" s="1" a="1"/>
  <c r="FX104" i="2" s="1"/>
  <c r="FN14" i="2"/>
  <c r="FO32" i="2"/>
  <c r="GJ32" i="2" s="1"/>
  <c r="FQ42" i="2"/>
  <c r="FW42" i="2" s="1"/>
  <c r="FX42" i="2" s="1" a="1"/>
  <c r="FX42" i="2" s="1"/>
  <c r="FQ111" i="2"/>
  <c r="FW111" i="2" s="1"/>
  <c r="FX111" i="2" s="1" a="1"/>
  <c r="FX111" i="2" s="1"/>
  <c r="FQ44" i="2"/>
  <c r="FW44" i="2" s="1"/>
  <c r="FX44" i="2" s="1" a="1"/>
  <c r="FX44" i="2" s="1"/>
  <c r="FQ45" i="2"/>
  <c r="FW45" i="2" s="1"/>
  <c r="FX45" i="2" s="1" a="1"/>
  <c r="FX45" i="2" s="1"/>
  <c r="FQ46" i="2"/>
  <c r="FW46" i="2" s="1"/>
  <c r="FX46" i="2" s="1" a="1"/>
  <c r="FX46" i="2" s="1"/>
  <c r="DA52" i="2"/>
  <c r="DB52" i="2" s="1"/>
  <c r="CW52" i="2"/>
  <c r="FP52" i="2"/>
  <c r="FO52" i="2"/>
  <c r="GJ52" i="2" s="1"/>
  <c r="T53" i="2"/>
  <c r="DG55" i="2"/>
  <c r="BM57" i="2"/>
  <c r="BN57" i="2" s="1"/>
  <c r="BP58" i="2"/>
  <c r="DY58" i="2"/>
  <c r="DZ58" i="2" s="1"/>
  <c r="EA58" i="2" s="1"/>
  <c r="EH58" i="2"/>
  <c r="DU59" i="2"/>
  <c r="DO59" i="2"/>
  <c r="BK62" i="2"/>
  <c r="CL62" i="2" s="1"/>
  <c r="DV66" i="2"/>
  <c r="DW66" i="2" s="1"/>
  <c r="EI66" i="2"/>
  <c r="BK76" i="2"/>
  <c r="CL76" i="2" s="1"/>
  <c r="EV20" i="2"/>
  <c r="EV21" i="2"/>
  <c r="EV22" i="2"/>
  <c r="CW23" i="2"/>
  <c r="EV23" i="2"/>
  <c r="CW24" i="2"/>
  <c r="EV24" i="2"/>
  <c r="CW25" i="2"/>
  <c r="EV25" i="2"/>
  <c r="CW26" i="2"/>
  <c r="EV26" i="2"/>
  <c r="CW27" i="2"/>
  <c r="EV27" i="2"/>
  <c r="CW28" i="2"/>
  <c r="EV28" i="2"/>
  <c r="CW29" i="2"/>
  <c r="EV29" i="2"/>
  <c r="FO14" i="2"/>
  <c r="GJ14" i="2" s="1"/>
  <c r="CW32" i="2"/>
  <c r="CW33" i="2"/>
  <c r="CW34" i="2"/>
  <c r="FQ35" i="2"/>
  <c r="FW35" i="2" s="1"/>
  <c r="FX35" i="2" s="1" a="1"/>
  <c r="FX35" i="2" s="1"/>
  <c r="CW36" i="2"/>
  <c r="CW37" i="2"/>
  <c r="CW38" i="2"/>
  <c r="CW39" i="2"/>
  <c r="CW40" i="2"/>
  <c r="CW41" i="2"/>
  <c r="EX42" i="2"/>
  <c r="EX111" i="2"/>
  <c r="EX44" i="2"/>
  <c r="EX45" i="2"/>
  <c r="EX46" i="2"/>
  <c r="EX48" i="2"/>
  <c r="DA49" i="2"/>
  <c r="DB49" i="2" s="1"/>
  <c r="EC50" i="2"/>
  <c r="EY51" i="2"/>
  <c r="EV51" i="2"/>
  <c r="FN52" i="2"/>
  <c r="EV55" i="2"/>
  <c r="DA56" i="2"/>
  <c r="DB56" i="2" s="1"/>
  <c r="AA57" i="2"/>
  <c r="CR57" i="2"/>
  <c r="DA58" i="2"/>
  <c r="DB58" i="2" s="1"/>
  <c r="CW58" i="2"/>
  <c r="CR58" i="2"/>
  <c r="DO66" i="2"/>
  <c r="GT67" i="2"/>
  <c r="BK73" i="2"/>
  <c r="CL73" i="2" s="1"/>
  <c r="DV76" i="2"/>
  <c r="DW76" i="2" s="1"/>
  <c r="EI76" i="2"/>
  <c r="GT77" i="2"/>
  <c r="CW14" i="2"/>
  <c r="EV14" i="2"/>
  <c r="CW31" i="2"/>
  <c r="EV31" i="2"/>
  <c r="CW56" i="2"/>
  <c r="GT58" i="2"/>
  <c r="GT59" i="2"/>
  <c r="DV63" i="2"/>
  <c r="DW63" i="2" s="1"/>
  <c r="EI63" i="2"/>
  <c r="GT161" i="2"/>
  <c r="GU70" i="2"/>
  <c r="DV73" i="2"/>
  <c r="DW73" i="2" s="1"/>
  <c r="EI73" i="2"/>
  <c r="BP83" i="2"/>
  <c r="DU94" i="2"/>
  <c r="DO94" i="2"/>
  <c r="EX25" i="2"/>
  <c r="EX26" i="2"/>
  <c r="EX27" i="2"/>
  <c r="EX28" i="2"/>
  <c r="EX29" i="2"/>
  <c r="FQ14" i="2"/>
  <c r="FW14" i="2" s="1"/>
  <c r="FX14" i="2" s="1" a="1"/>
  <c r="FX14" i="2" s="1"/>
  <c r="FQ31" i="2"/>
  <c r="FW31" i="2" s="1"/>
  <c r="FX31" i="2" s="1" a="1"/>
  <c r="FX31" i="2" s="1"/>
  <c r="BM53" i="2"/>
  <c r="BN53" i="2" s="1"/>
  <c r="CW54" i="2"/>
  <c r="DA54" i="2"/>
  <c r="DB54" i="2" s="1"/>
  <c r="EY55" i="2"/>
  <c r="GT55" i="2"/>
  <c r="EX56" i="2"/>
  <c r="FQ56" i="2"/>
  <c r="GU56" i="2"/>
  <c r="BK63" i="2"/>
  <c r="CL63" i="2" s="1"/>
  <c r="GU67" i="2"/>
  <c r="EG69" i="2"/>
  <c r="DV70" i="2"/>
  <c r="DW70" i="2" s="1"/>
  <c r="EI70" i="2"/>
  <c r="GT74" i="2"/>
  <c r="GU79" i="2"/>
  <c r="DU90" i="2"/>
  <c r="DO90" i="2"/>
  <c r="DA23" i="2"/>
  <c r="DB23" i="2" s="1"/>
  <c r="DA24" i="2"/>
  <c r="DB24" i="2" s="1"/>
  <c r="DA25" i="2"/>
  <c r="DB25" i="2" s="1"/>
  <c r="DA26" i="2"/>
  <c r="DB26" i="2" s="1"/>
  <c r="DA27" i="2"/>
  <c r="DB27" i="2" s="1"/>
  <c r="DA28" i="2"/>
  <c r="DB28" i="2" s="1"/>
  <c r="DA29" i="2"/>
  <c r="DB29" i="2" s="1"/>
  <c r="EX14" i="2"/>
  <c r="EX31" i="2"/>
  <c r="DA32" i="2"/>
  <c r="DB32" i="2" s="1"/>
  <c r="DA33" i="2"/>
  <c r="DB33" i="2" s="1"/>
  <c r="DA34" i="2"/>
  <c r="DB34" i="2" s="1"/>
  <c r="DA36" i="2"/>
  <c r="DB36" i="2" s="1"/>
  <c r="EY52" i="2"/>
  <c r="EV52" i="2"/>
  <c r="GT53" i="2"/>
  <c r="EI67" i="2"/>
  <c r="GT71" i="2"/>
  <c r="BM77" i="2"/>
  <c r="BN77" i="2" s="1"/>
  <c r="BK77" i="2"/>
  <c r="CL77" i="2" s="1"/>
  <c r="DA14" i="2"/>
  <c r="DB14" i="2" s="1"/>
  <c r="DA31" i="2"/>
  <c r="DB31" i="2" s="1"/>
  <c r="FQ54" i="2"/>
  <c r="BM55" i="2"/>
  <c r="BN55" i="2" s="1"/>
  <c r="DG56" i="2"/>
  <c r="DQ58" i="2"/>
  <c r="DR58" i="2" s="1"/>
  <c r="GA58" i="2"/>
  <c r="EG62" i="2"/>
  <c r="DU161" i="2"/>
  <c r="DO161" i="2"/>
  <c r="EG66" i="2"/>
  <c r="DV77" i="2"/>
  <c r="DW77" i="2" s="1"/>
  <c r="EI77" i="2"/>
  <c r="FZ78" i="2"/>
  <c r="GU52" i="2"/>
  <c r="AA55" i="2"/>
  <c r="DS58" i="2"/>
  <c r="GU60" i="2"/>
  <c r="GT68" i="2"/>
  <c r="BK74" i="2"/>
  <c r="CL74" i="2" s="1"/>
  <c r="DU93" i="2"/>
  <c r="GT93" i="2"/>
  <c r="DO93" i="2"/>
  <c r="T51" i="2"/>
  <c r="DU51" i="2"/>
  <c r="DG54" i="2"/>
  <c r="DU58" i="2"/>
  <c r="BK71" i="2"/>
  <c r="CL71" i="2" s="1"/>
  <c r="EG73" i="2"/>
  <c r="DV74" i="2"/>
  <c r="DW74" i="2" s="1"/>
  <c r="EI74" i="2"/>
  <c r="DO89" i="2"/>
  <c r="DU89" i="2"/>
  <c r="DO60" i="2"/>
  <c r="DO61" i="2"/>
  <c r="DO62" i="2"/>
  <c r="DO63" i="2"/>
  <c r="DO71" i="2"/>
  <c r="DO72" i="2"/>
  <c r="DO73" i="2"/>
  <c r="DO74" i="2"/>
  <c r="DO75" i="2"/>
  <c r="DO76" i="2"/>
  <c r="DO77" i="2"/>
  <c r="DO78" i="2"/>
  <c r="GT79" i="2"/>
  <c r="GT84" i="2"/>
  <c r="GA87" i="2"/>
  <c r="FZ87" i="2"/>
  <c r="BP88" i="2"/>
  <c r="GT89" i="2"/>
  <c r="AA129" i="2"/>
  <c r="GT147" i="2"/>
  <c r="GU84" i="2"/>
  <c r="GU89" i="2"/>
  <c r="DU97" i="2"/>
  <c r="GT97" i="2"/>
  <c r="BM113" i="2"/>
  <c r="BN113" i="2" s="1"/>
  <c r="BK113" i="2"/>
  <c r="CL113" i="2" s="1"/>
  <c r="T198" i="2"/>
  <c r="BP65" i="2"/>
  <c r="FZ65" i="2"/>
  <c r="BP66" i="2"/>
  <c r="FZ66" i="2"/>
  <c r="BP67" i="2"/>
  <c r="FZ67" i="2"/>
  <c r="BP68" i="2"/>
  <c r="FZ68" i="2"/>
  <c r="BP69" i="2"/>
  <c r="FZ69" i="2"/>
  <c r="BP70" i="2"/>
  <c r="FZ70" i="2"/>
  <c r="T79" i="2"/>
  <c r="BP81" i="2"/>
  <c r="GT82" i="2"/>
  <c r="DO92" i="2"/>
  <c r="GU92" i="2"/>
  <c r="GT92" i="2"/>
  <c r="CH99" i="2"/>
  <c r="GU99" i="2"/>
  <c r="BP60" i="2"/>
  <c r="BP61" i="2"/>
  <c r="BP62" i="2"/>
  <c r="CR62" i="2"/>
  <c r="BP63" i="2"/>
  <c r="CR63" i="2"/>
  <c r="CR161" i="2"/>
  <c r="BP71" i="2"/>
  <c r="CR71" i="2"/>
  <c r="BP72" i="2"/>
  <c r="CR72" i="2"/>
  <c r="BP73" i="2"/>
  <c r="CR73" i="2"/>
  <c r="BP74" i="2"/>
  <c r="CR74" i="2"/>
  <c r="BP75" i="2"/>
  <c r="CR75" i="2"/>
  <c r="BP76" i="2"/>
  <c r="CR76" i="2"/>
  <c r="CR77" i="2"/>
  <c r="BP78" i="2"/>
  <c r="CR78" i="2"/>
  <c r="BM79" i="2"/>
  <c r="BN79" i="2" s="1"/>
  <c r="BK79" i="2"/>
  <c r="CL79" i="2" s="1"/>
  <c r="EH79" i="2"/>
  <c r="EC79" i="2"/>
  <c r="DY79" i="2"/>
  <c r="DZ79" i="2" s="1"/>
  <c r="EA79" i="2" s="1"/>
  <c r="DS79" i="2"/>
  <c r="DU80" i="2"/>
  <c r="GA88" i="2"/>
  <c r="FZ88" i="2"/>
  <c r="BP89" i="2"/>
  <c r="GU95" i="2"/>
  <c r="DU99" i="2"/>
  <c r="DO99" i="2"/>
  <c r="GU43" i="2"/>
  <c r="BP132" i="2"/>
  <c r="GT81" i="2"/>
  <c r="GT166" i="2"/>
  <c r="EG92" i="2"/>
  <c r="DV92" i="2"/>
  <c r="DW92" i="2" s="1"/>
  <c r="DU43" i="2"/>
  <c r="DO43" i="2"/>
  <c r="FO67" i="2"/>
  <c r="GJ67" i="2" s="1"/>
  <c r="EX79" i="2"/>
  <c r="FQ79" i="2"/>
  <c r="FW79" i="2" s="1"/>
  <c r="FX79" i="2" s="1" a="1"/>
  <c r="FX79" i="2" s="1"/>
  <c r="GT80" i="2"/>
  <c r="GA83" i="2"/>
  <c r="FZ83" i="2"/>
  <c r="BP84" i="2"/>
  <c r="GU166" i="2"/>
  <c r="DU95" i="2"/>
  <c r="GT95" i="2"/>
  <c r="EV161" i="2"/>
  <c r="FZ161" i="2" s="1"/>
  <c r="GA161" i="2" s="1"/>
  <c r="CW65" i="2"/>
  <c r="EV65" i="2"/>
  <c r="CW66" i="2"/>
  <c r="EV66" i="2"/>
  <c r="CW67" i="2"/>
  <c r="EV67" i="2"/>
  <c r="CW68" i="2"/>
  <c r="EV68" i="2"/>
  <c r="CW69" i="2"/>
  <c r="EV69" i="2"/>
  <c r="CW70" i="2"/>
  <c r="EV70" i="2"/>
  <c r="DO166" i="2"/>
  <c r="CH43" i="2"/>
  <c r="GU105" i="2"/>
  <c r="DV109" i="2"/>
  <c r="DW109" i="2" s="1"/>
  <c r="EI109" i="2"/>
  <c r="GU85" i="2"/>
  <c r="EV57" i="2"/>
  <c r="EV58" i="2"/>
  <c r="EV59" i="2"/>
  <c r="EV60" i="2"/>
  <c r="EV61" i="2"/>
  <c r="CW62" i="2"/>
  <c r="EV62" i="2"/>
  <c r="CW63" i="2"/>
  <c r="EV63" i="2"/>
  <c r="CW161" i="2"/>
  <c r="FQ65" i="2"/>
  <c r="FW65" i="2" s="1"/>
  <c r="FX65" i="2" s="1" a="1"/>
  <c r="FX65" i="2" s="1"/>
  <c r="FQ66" i="2"/>
  <c r="FW66" i="2" s="1"/>
  <c r="FX66" i="2" s="1" a="1"/>
  <c r="FX66" i="2" s="1"/>
  <c r="FQ67" i="2"/>
  <c r="FW67" i="2" s="1"/>
  <c r="FX67" i="2" s="1" a="1"/>
  <c r="FX67" i="2" s="1"/>
  <c r="FQ68" i="2"/>
  <c r="FW68" i="2" s="1"/>
  <c r="FX68" i="2" s="1" a="1"/>
  <c r="FX68" i="2" s="1"/>
  <c r="FQ69" i="2"/>
  <c r="FW69" i="2" s="1"/>
  <c r="FX69" i="2" s="1" a="1"/>
  <c r="FX69" i="2" s="1"/>
  <c r="FQ70" i="2"/>
  <c r="FW70" i="2" s="1"/>
  <c r="FX70" i="2" s="1" a="1"/>
  <c r="FX70" i="2" s="1"/>
  <c r="CW71" i="2"/>
  <c r="EV71" i="2"/>
  <c r="CW72" i="2"/>
  <c r="EV72" i="2"/>
  <c r="CW73" i="2"/>
  <c r="EV73" i="2"/>
  <c r="CW74" i="2"/>
  <c r="EV74" i="2"/>
  <c r="CW75" i="2"/>
  <c r="EV75" i="2"/>
  <c r="CW76" i="2"/>
  <c r="EV76" i="2"/>
  <c r="CW77" i="2"/>
  <c r="EV77" i="2"/>
  <c r="CW78" i="2"/>
  <c r="CG79" i="2"/>
  <c r="CI79" i="2" s="1"/>
  <c r="EV79" i="2"/>
  <c r="EH81" i="2"/>
  <c r="EC81" i="2"/>
  <c r="DY81" i="2"/>
  <c r="DZ81" i="2" s="1"/>
  <c r="EA81" i="2" s="1"/>
  <c r="DS81" i="2"/>
  <c r="EG166" i="2"/>
  <c r="DV166" i="2"/>
  <c r="DW166" i="2" s="1"/>
  <c r="GU90" i="2"/>
  <c r="GT90" i="2"/>
  <c r="EI92" i="2"/>
  <c r="GT78" i="2"/>
  <c r="EH80" i="2"/>
  <c r="EC80" i="2"/>
  <c r="DY80" i="2"/>
  <c r="DZ80" i="2" s="1"/>
  <c r="EA80" i="2" s="1"/>
  <c r="DS80" i="2"/>
  <c r="GA84" i="2"/>
  <c r="FZ84" i="2"/>
  <c r="GT86" i="2"/>
  <c r="GT87" i="2"/>
  <c r="GA89" i="2"/>
  <c r="FZ89" i="2"/>
  <c r="DY125" i="2"/>
  <c r="DZ125" i="2" s="1"/>
  <c r="EA125" i="2" s="1"/>
  <c r="DS125" i="2"/>
  <c r="DQ125" i="2"/>
  <c r="DR125" i="2" s="1"/>
  <c r="EH125" i="2"/>
  <c r="EC125" i="2"/>
  <c r="DG79" i="2"/>
  <c r="GU86" i="2"/>
  <c r="GU87" i="2"/>
  <c r="GU96" i="2"/>
  <c r="DA62" i="2"/>
  <c r="DB62" i="2" s="1"/>
  <c r="DA63" i="2"/>
  <c r="DB63" i="2" s="1"/>
  <c r="DA161" i="2"/>
  <c r="DB161" i="2" s="1"/>
  <c r="T80" i="2"/>
  <c r="EX80" i="2"/>
  <c r="FQ80" i="2"/>
  <c r="FW80" i="2" s="1"/>
  <c r="FX80" i="2" s="1" a="1"/>
  <c r="FX80" i="2" s="1"/>
  <c r="FZ82" i="2"/>
  <c r="DO86" i="2"/>
  <c r="CH101" i="2"/>
  <c r="GU101" i="2"/>
  <c r="GT103" i="2"/>
  <c r="T119" i="2"/>
  <c r="EY82" i="2"/>
  <c r="EX82" i="2"/>
  <c r="FQ82" i="2"/>
  <c r="FW82" i="2" s="1"/>
  <c r="FX82" i="2" s="1" a="1"/>
  <c r="FX82" i="2" s="1"/>
  <c r="EG86" i="2"/>
  <c r="DV86" i="2"/>
  <c r="DW86" i="2" s="1"/>
  <c r="DO87" i="2"/>
  <c r="DU87" i="2"/>
  <c r="GT88" i="2"/>
  <c r="GU93" i="2"/>
  <c r="DU96" i="2"/>
  <c r="GT96" i="2"/>
  <c r="DU101" i="2"/>
  <c r="DO101" i="2"/>
  <c r="DO134" i="2"/>
  <c r="DU134" i="2"/>
  <c r="X66" i="2"/>
  <c r="X67" i="2"/>
  <c r="X68" i="2"/>
  <c r="X69" i="2"/>
  <c r="X70" i="2"/>
  <c r="X71" i="2"/>
  <c r="AA80" i="2"/>
  <c r="FZ81" i="2"/>
  <c r="GU88" i="2"/>
  <c r="GT100" i="2"/>
  <c r="DU103" i="2"/>
  <c r="DO103" i="2"/>
  <c r="GU129" i="2"/>
  <c r="GT129" i="2"/>
  <c r="DU79" i="2"/>
  <c r="FZ80" i="2"/>
  <c r="EY81" i="2"/>
  <c r="EX81" i="2"/>
  <c r="FQ81" i="2"/>
  <c r="FW81" i="2" s="1"/>
  <c r="FX81" i="2" s="1" a="1"/>
  <c r="FX81" i="2" s="1"/>
  <c r="EV82" i="2"/>
  <c r="GT83" i="2"/>
  <c r="GU91" i="2"/>
  <c r="GT91" i="2"/>
  <c r="GU94" i="2"/>
  <c r="GT94" i="2"/>
  <c r="CR87" i="2"/>
  <c r="CW109" i="2"/>
  <c r="DA109" i="2"/>
  <c r="DB109" i="2" s="1"/>
  <c r="EV109" i="2"/>
  <c r="EY109" i="2"/>
  <c r="DU112" i="2"/>
  <c r="GT119" i="2"/>
  <c r="AA47" i="2"/>
  <c r="GU134" i="2"/>
  <c r="BP166" i="2"/>
  <c r="CR166" i="2"/>
  <c r="FZ166" i="2"/>
  <c r="BP86" i="2"/>
  <c r="CR86" i="2"/>
  <c r="FZ86" i="2"/>
  <c r="BP87" i="2"/>
  <c r="BP90" i="2"/>
  <c r="CR90" i="2"/>
  <c r="FZ90" i="2"/>
  <c r="BP91" i="2"/>
  <c r="CR91" i="2"/>
  <c r="FZ91" i="2"/>
  <c r="BP92" i="2"/>
  <c r="CR92" i="2"/>
  <c r="FZ92" i="2"/>
  <c r="BP93" i="2"/>
  <c r="CR93" i="2"/>
  <c r="FZ93" i="2"/>
  <c r="BP94" i="2"/>
  <c r="CR94" i="2"/>
  <c r="FZ94" i="2"/>
  <c r="BP95" i="2"/>
  <c r="CR95" i="2"/>
  <c r="FZ95" i="2"/>
  <c r="BP96" i="2"/>
  <c r="CR96" i="2"/>
  <c r="FZ96" i="2"/>
  <c r="BP97" i="2"/>
  <c r="CR97" i="2"/>
  <c r="FZ97" i="2"/>
  <c r="BK105" i="2"/>
  <c r="CL105" i="2" s="1"/>
  <c r="BP106" i="2"/>
  <c r="GU110" i="2"/>
  <c r="DV117" i="2"/>
  <c r="DW117" i="2" s="1"/>
  <c r="EI117" i="2"/>
  <c r="EG117" i="2"/>
  <c r="DV129" i="2"/>
  <c r="DW129" i="2" s="1"/>
  <c r="EI129" i="2"/>
  <c r="EG129" i="2"/>
  <c r="DU153" i="2"/>
  <c r="DO153" i="2"/>
  <c r="CW106" i="2"/>
  <c r="DA106" i="2"/>
  <c r="DB106" i="2" s="1"/>
  <c r="Y107" i="2"/>
  <c r="AB107" i="2" s="1"/>
  <c r="X107" i="2"/>
  <c r="Y108" i="2"/>
  <c r="AB108" i="2" s="1"/>
  <c r="X108" i="2"/>
  <c r="DY85" i="2"/>
  <c r="DZ85" i="2" s="1"/>
  <c r="EA85" i="2" s="1"/>
  <c r="DS85" i="2"/>
  <c r="DQ85" i="2"/>
  <c r="DR85" i="2" s="1"/>
  <c r="EH85" i="2"/>
  <c r="EC85" i="2"/>
  <c r="BM114" i="2"/>
  <c r="BN114" i="2" s="1"/>
  <c r="BK114" i="2"/>
  <c r="CL114" i="2" s="1"/>
  <c r="GT122" i="2"/>
  <c r="AA125" i="2"/>
  <c r="AA126" i="2"/>
  <c r="AA127" i="2"/>
  <c r="GU133" i="2"/>
  <c r="FN86" i="2"/>
  <c r="T103" i="2"/>
  <c r="FZ109" i="2"/>
  <c r="DV110" i="2"/>
  <c r="DW110" i="2" s="1"/>
  <c r="EI110" i="2"/>
  <c r="DG113" i="2"/>
  <c r="DV119" i="2"/>
  <c r="DW119" i="2" s="1"/>
  <c r="EI119" i="2"/>
  <c r="EG119" i="2"/>
  <c r="EY131" i="2"/>
  <c r="EV131" i="2"/>
  <c r="EX131" i="2"/>
  <c r="GU137" i="2"/>
  <c r="BK153" i="2"/>
  <c r="CL153" i="2" s="1"/>
  <c r="BM153" i="2"/>
  <c r="BN153" i="2" s="1"/>
  <c r="Y110" i="2"/>
  <c r="AB110" i="2" s="1"/>
  <c r="X110" i="2"/>
  <c r="GT112" i="2"/>
  <c r="GU122" i="2"/>
  <c r="FQ83" i="2"/>
  <c r="FW83" i="2" s="1"/>
  <c r="FX83" i="2" s="1" a="1"/>
  <c r="FX83" i="2" s="1"/>
  <c r="FQ84" i="2"/>
  <c r="FW84" i="2" s="1"/>
  <c r="FX84" i="2" s="1" a="1"/>
  <c r="FX84" i="2" s="1"/>
  <c r="CW166" i="2"/>
  <c r="EV166" i="2"/>
  <c r="CW86" i="2"/>
  <c r="EV86" i="2"/>
  <c r="CW87" i="2"/>
  <c r="FQ87" i="2"/>
  <c r="FW87" i="2" s="1"/>
  <c r="FX87" i="2" s="1" a="1"/>
  <c r="FX87" i="2" s="1"/>
  <c r="FQ88" i="2"/>
  <c r="FW88" i="2" s="1"/>
  <c r="FX88" i="2" s="1" a="1"/>
  <c r="FX88" i="2" s="1"/>
  <c r="FQ89" i="2"/>
  <c r="FW89" i="2" s="1"/>
  <c r="FX89" i="2" s="1" a="1"/>
  <c r="FX89" i="2" s="1"/>
  <c r="CW90" i="2"/>
  <c r="EV90" i="2"/>
  <c r="CW91" i="2"/>
  <c r="EV91" i="2"/>
  <c r="CW92" i="2"/>
  <c r="EV92" i="2"/>
  <c r="CW93" i="2"/>
  <c r="EV93" i="2"/>
  <c r="CW94" i="2"/>
  <c r="EV94" i="2"/>
  <c r="CW95" i="2"/>
  <c r="EV95" i="2"/>
  <c r="CW96" i="2"/>
  <c r="EV96" i="2"/>
  <c r="CW97" i="2"/>
  <c r="EV97" i="2"/>
  <c r="X99" i="2"/>
  <c r="X100" i="2"/>
  <c r="X101" i="2"/>
  <c r="X43" i="2"/>
  <c r="X103" i="2"/>
  <c r="DG103" i="2"/>
  <c r="CW105" i="2"/>
  <c r="DA105" i="2"/>
  <c r="DB105" i="2" s="1"/>
  <c r="BP108" i="2"/>
  <c r="GU108" i="2"/>
  <c r="EX109" i="2"/>
  <c r="BM85" i="2"/>
  <c r="BN85" i="2" s="1"/>
  <c r="BK85" i="2"/>
  <c r="CL85" i="2" s="1"/>
  <c r="DU113" i="2"/>
  <c r="GT198" i="2"/>
  <c r="DV121" i="2"/>
  <c r="DW121" i="2" s="1"/>
  <c r="EI121" i="2"/>
  <c r="EG121" i="2"/>
  <c r="EX83" i="2"/>
  <c r="EX84" i="2"/>
  <c r="FQ166" i="2"/>
  <c r="FQ86" i="2"/>
  <c r="EX87" i="2"/>
  <c r="EX88" i="2"/>
  <c r="EX89" i="2"/>
  <c r="EC105" i="2"/>
  <c r="CW108" i="2"/>
  <c r="DA108" i="2"/>
  <c r="DB108" i="2" s="1"/>
  <c r="CG109" i="2"/>
  <c r="CI109" i="2" s="1"/>
  <c r="GU198" i="2"/>
  <c r="GT131" i="2"/>
  <c r="GU136" i="2"/>
  <c r="DA87" i="2"/>
  <c r="DB87" i="2" s="1"/>
  <c r="EV110" i="2"/>
  <c r="EY110" i="2"/>
  <c r="Y85" i="2"/>
  <c r="AB85" i="2" s="1"/>
  <c r="X85" i="2"/>
  <c r="DY112" i="2"/>
  <c r="DZ112" i="2" s="1"/>
  <c r="EA112" i="2" s="1"/>
  <c r="DS112" i="2"/>
  <c r="DQ112" i="2"/>
  <c r="DR112" i="2" s="1"/>
  <c r="EH112" i="2"/>
  <c r="EC112" i="2"/>
  <c r="GU130" i="2"/>
  <c r="GT130" i="2"/>
  <c r="DU132" i="2"/>
  <c r="DO132" i="2"/>
  <c r="DA166" i="2"/>
  <c r="DB166" i="2" s="1"/>
  <c r="DA86" i="2"/>
  <c r="DB86" i="2" s="1"/>
  <c r="DA90" i="2"/>
  <c r="DB90" i="2" s="1"/>
  <c r="DA91" i="2"/>
  <c r="DB91" i="2" s="1"/>
  <c r="DA92" i="2"/>
  <c r="DB92" i="2" s="1"/>
  <c r="DA93" i="2"/>
  <c r="DB93" i="2" s="1"/>
  <c r="DA94" i="2"/>
  <c r="DB94" i="2" s="1"/>
  <c r="DA95" i="2"/>
  <c r="DB95" i="2" s="1"/>
  <c r="DA96" i="2"/>
  <c r="DB96" i="2" s="1"/>
  <c r="DA97" i="2"/>
  <c r="DB97" i="2" s="1"/>
  <c r="CW104" i="2"/>
  <c r="DA104" i="2"/>
  <c r="DB104" i="2" s="1"/>
  <c r="CG106" i="2"/>
  <c r="CI106" i="2" s="1"/>
  <c r="EV106" i="2"/>
  <c r="EY106" i="2"/>
  <c r="FQ106" i="2"/>
  <c r="FW106" i="2" s="1"/>
  <c r="FX106" i="2" s="1" a="1"/>
  <c r="FX106" i="2" s="1"/>
  <c r="CW107" i="2"/>
  <c r="DA107" i="2"/>
  <c r="DB107" i="2" s="1"/>
  <c r="EV108" i="2"/>
  <c r="EY108" i="2"/>
  <c r="CW110" i="2"/>
  <c r="DA110" i="2"/>
  <c r="DB110" i="2" s="1"/>
  <c r="DU198" i="2"/>
  <c r="DO198" i="2"/>
  <c r="DU131" i="2"/>
  <c r="DO131" i="2"/>
  <c r="GU142" i="2"/>
  <c r="FZ104" i="2"/>
  <c r="CH106" i="2"/>
  <c r="DG85" i="2"/>
  <c r="T112" i="2"/>
  <c r="T120" i="2"/>
  <c r="GT120" i="2"/>
  <c r="AA122" i="2"/>
  <c r="GT127" i="2"/>
  <c r="GU47" i="2"/>
  <c r="DV130" i="2"/>
  <c r="DW130" i="2" s="1"/>
  <c r="EI130" i="2"/>
  <c r="EG130" i="2"/>
  <c r="FQ131" i="2"/>
  <c r="GT132" i="2"/>
  <c r="DQ106" i="2"/>
  <c r="DR106" i="2" s="1"/>
  <c r="CR109" i="2"/>
  <c r="BM112" i="2"/>
  <c r="BN112" i="2" s="1"/>
  <c r="BK112" i="2"/>
  <c r="CL112" i="2" s="1"/>
  <c r="GU112" i="2"/>
  <c r="DY113" i="2"/>
  <c r="DZ113" i="2" s="1"/>
  <c r="EA113" i="2" s="1"/>
  <c r="DS113" i="2"/>
  <c r="DQ113" i="2"/>
  <c r="DR113" i="2" s="1"/>
  <c r="EH113" i="2"/>
  <c r="EC113" i="2"/>
  <c r="DU115" i="2"/>
  <c r="DO115" i="2"/>
  <c r="DV118" i="2"/>
  <c r="DW118" i="2" s="1"/>
  <c r="EI118" i="2"/>
  <c r="EG118" i="2"/>
  <c r="DG81" i="2"/>
  <c r="DG82" i="2"/>
  <c r="DG83" i="2"/>
  <c r="DG84" i="2"/>
  <c r="X166" i="2"/>
  <c r="X86" i="2"/>
  <c r="X87" i="2"/>
  <c r="DG87" i="2"/>
  <c r="DG88" i="2"/>
  <c r="DG89" i="2"/>
  <c r="X90" i="2"/>
  <c r="X91" i="2"/>
  <c r="X92" i="2"/>
  <c r="X93" i="2"/>
  <c r="X94" i="2"/>
  <c r="X95" i="2"/>
  <c r="X96" i="2"/>
  <c r="X97" i="2"/>
  <c r="GU107" i="2"/>
  <c r="EX110" i="2"/>
  <c r="DU85" i="2"/>
  <c r="AA112" i="2"/>
  <c r="GT124" i="2"/>
  <c r="GT125" i="2"/>
  <c r="GT126" i="2"/>
  <c r="GU127" i="2"/>
  <c r="BK80" i="2"/>
  <c r="CL80" i="2" s="1"/>
  <c r="BK81" i="2"/>
  <c r="CL81" i="2" s="1"/>
  <c r="BK82" i="2"/>
  <c r="CL82" i="2" s="1"/>
  <c r="BK83" i="2"/>
  <c r="CL83" i="2" s="1"/>
  <c r="BK84" i="2"/>
  <c r="CL84" i="2" s="1"/>
  <c r="DG166" i="2"/>
  <c r="DG86" i="2"/>
  <c r="BK88" i="2"/>
  <c r="CL88" i="2" s="1"/>
  <c r="BK89" i="2"/>
  <c r="CL89" i="2" s="1"/>
  <c r="DG90" i="2"/>
  <c r="DG91" i="2"/>
  <c r="DG92" i="2"/>
  <c r="DG93" i="2"/>
  <c r="DG94" i="2"/>
  <c r="DG95" i="2"/>
  <c r="DG96" i="2"/>
  <c r="DG97" i="2"/>
  <c r="EV105" i="2"/>
  <c r="EY105" i="2"/>
  <c r="DS106" i="2"/>
  <c r="EV107" i="2"/>
  <c r="EY107" i="2"/>
  <c r="Y109" i="2"/>
  <c r="AB109" i="2" s="1"/>
  <c r="X109" i="2"/>
  <c r="DV120" i="2"/>
  <c r="DW120" i="2" s="1"/>
  <c r="EI120" i="2"/>
  <c r="EG120" i="2"/>
  <c r="GT134" i="2"/>
  <c r="FQ105" i="2"/>
  <c r="DU106" i="2"/>
  <c r="EX106" i="2"/>
  <c r="EX108" i="2"/>
  <c r="FQ109" i="2"/>
  <c r="GU109" i="2"/>
  <c r="GU123" i="2"/>
  <c r="GU124" i="2"/>
  <c r="GU125" i="2"/>
  <c r="GU126" i="2"/>
  <c r="GT135" i="2"/>
  <c r="GA148" i="2"/>
  <c r="FZ148" i="2"/>
  <c r="CH85" i="2"/>
  <c r="CH112" i="2"/>
  <c r="CH113" i="2"/>
  <c r="CH114" i="2"/>
  <c r="CH115" i="2"/>
  <c r="CH198" i="2"/>
  <c r="CH117" i="2"/>
  <c r="CH118" i="2"/>
  <c r="CH119" i="2"/>
  <c r="CH120" i="2"/>
  <c r="CH121" i="2"/>
  <c r="CH129" i="2"/>
  <c r="CH130" i="2"/>
  <c r="CH131" i="2"/>
  <c r="DY135" i="2"/>
  <c r="DZ135" i="2" s="1"/>
  <c r="EA135" i="2" s="1"/>
  <c r="DS135" i="2"/>
  <c r="EH135" i="2"/>
  <c r="GU145" i="2"/>
  <c r="CG165" i="2"/>
  <c r="CI165" i="2" s="1"/>
  <c r="DA165" i="2"/>
  <c r="DB165" i="2" s="1"/>
  <c r="CW165" i="2"/>
  <c r="CR165" i="2"/>
  <c r="EG179" i="2"/>
  <c r="DV179" i="2"/>
  <c r="DW179" i="2" s="1"/>
  <c r="EI179" i="2"/>
  <c r="DA132" i="2"/>
  <c r="DB132" i="2" s="1"/>
  <c r="CW132" i="2"/>
  <c r="DS133" i="2"/>
  <c r="EY134" i="2"/>
  <c r="EX134" i="2"/>
  <c r="FQ134" i="2"/>
  <c r="FW134" i="2" s="1"/>
  <c r="FX134" i="2" s="1" a="1"/>
  <c r="FX134" i="2" s="1"/>
  <c r="EV134" i="2"/>
  <c r="DH137" i="2"/>
  <c r="DG137" i="2"/>
  <c r="GU138" i="2"/>
  <c r="DV142" i="2"/>
  <c r="DW142" i="2" s="1"/>
  <c r="EI142" i="2"/>
  <c r="EG142" i="2"/>
  <c r="DH138" i="2"/>
  <c r="DG138" i="2"/>
  <c r="DV145" i="2"/>
  <c r="DW145" i="2" s="1"/>
  <c r="EI145" i="2"/>
  <c r="EG145" i="2"/>
  <c r="DV169" i="2"/>
  <c r="DW169" i="2" s="1"/>
  <c r="EI169" i="2"/>
  <c r="EG169" i="2"/>
  <c r="BP197" i="2"/>
  <c r="BK115" i="2"/>
  <c r="CL115" i="2" s="1"/>
  <c r="BK198" i="2"/>
  <c r="CL198" i="2" s="1"/>
  <c r="BK117" i="2"/>
  <c r="CL117" i="2" s="1"/>
  <c r="BK118" i="2"/>
  <c r="CL118" i="2" s="1"/>
  <c r="BK119" i="2"/>
  <c r="CL119" i="2" s="1"/>
  <c r="BK120" i="2"/>
  <c r="CL120" i="2" s="1"/>
  <c r="BK121" i="2"/>
  <c r="CL121" i="2" s="1"/>
  <c r="BK129" i="2"/>
  <c r="CL129" i="2" s="1"/>
  <c r="BK130" i="2"/>
  <c r="CL130" i="2" s="1"/>
  <c r="BK131" i="2"/>
  <c r="CL131" i="2" s="1"/>
  <c r="BM133" i="2"/>
  <c r="BN133" i="2" s="1"/>
  <c r="BK133" i="2"/>
  <c r="CL133" i="2" s="1"/>
  <c r="BP134" i="2"/>
  <c r="FZ134" i="2"/>
  <c r="GU139" i="2"/>
  <c r="GT143" i="2"/>
  <c r="BM148" i="2"/>
  <c r="BN148" i="2" s="1"/>
  <c r="BK148" i="2"/>
  <c r="CL148" i="2" s="1"/>
  <c r="EY151" i="2"/>
  <c r="EV151" i="2"/>
  <c r="FQ151" i="2"/>
  <c r="FW151" i="2" s="1"/>
  <c r="FX151" i="2" s="1" a="1"/>
  <c r="FX151" i="2" s="1"/>
  <c r="EX151" i="2"/>
  <c r="FZ152" i="2"/>
  <c r="GU164" i="2"/>
  <c r="GT164" i="2"/>
  <c r="GA196" i="2"/>
  <c r="FZ196" i="2"/>
  <c r="DO117" i="2"/>
  <c r="DO118" i="2"/>
  <c r="DO119" i="2"/>
  <c r="DO120" i="2"/>
  <c r="DO121" i="2"/>
  <c r="DO129" i="2"/>
  <c r="DO130" i="2"/>
  <c r="GI132" i="2"/>
  <c r="GJ132" i="2" s="1"/>
  <c r="DY133" i="2"/>
  <c r="DZ133" i="2" s="1"/>
  <c r="EA133" i="2" s="1"/>
  <c r="DA134" i="2"/>
  <c r="DB134" i="2" s="1"/>
  <c r="CW134" i="2"/>
  <c r="EY135" i="2"/>
  <c r="EX135" i="2"/>
  <c r="FQ135" i="2"/>
  <c r="FW135" i="2" s="1"/>
  <c r="FX135" i="2" s="1" a="1"/>
  <c r="FX135" i="2" s="1"/>
  <c r="EV135" i="2"/>
  <c r="EY150" i="2"/>
  <c r="EV150" i="2"/>
  <c r="FQ150" i="2"/>
  <c r="FW150" i="2" s="1"/>
  <c r="FX150" i="2" s="1" a="1"/>
  <c r="FX150" i="2" s="1"/>
  <c r="EX150" i="2"/>
  <c r="CH162" i="2"/>
  <c r="GU174" i="2"/>
  <c r="DH134" i="2"/>
  <c r="DG134" i="2"/>
  <c r="DV139" i="2"/>
  <c r="DW139" i="2" s="1"/>
  <c r="EI139" i="2"/>
  <c r="EG139" i="2"/>
  <c r="GT148" i="2"/>
  <c r="DU174" i="2"/>
  <c r="DO174" i="2"/>
  <c r="DO109" i="2"/>
  <c r="DO110" i="2"/>
  <c r="BP122" i="2"/>
  <c r="CR122" i="2"/>
  <c r="FZ122" i="2"/>
  <c r="BP123" i="2"/>
  <c r="CR123" i="2"/>
  <c r="FZ123" i="2"/>
  <c r="BP124" i="2"/>
  <c r="CR124" i="2"/>
  <c r="FZ124" i="2"/>
  <c r="BP125" i="2"/>
  <c r="CR125" i="2"/>
  <c r="FZ125" i="2"/>
  <c r="BP126" i="2"/>
  <c r="CR126" i="2"/>
  <c r="FZ126" i="2"/>
  <c r="BP127" i="2"/>
  <c r="CR127" i="2"/>
  <c r="FZ127" i="2"/>
  <c r="BP47" i="2"/>
  <c r="CR47" i="2"/>
  <c r="FZ47" i="2"/>
  <c r="BP133" i="2"/>
  <c r="EC133" i="2"/>
  <c r="GA136" i="2"/>
  <c r="DV143" i="2"/>
  <c r="DW143" i="2" s="1"/>
  <c r="EI143" i="2"/>
  <c r="EG143" i="2"/>
  <c r="GU146" i="2"/>
  <c r="DU151" i="2"/>
  <c r="DO151" i="2"/>
  <c r="CH156" i="2"/>
  <c r="CR85" i="2"/>
  <c r="CR112" i="2"/>
  <c r="CR113" i="2"/>
  <c r="CR114" i="2"/>
  <c r="CR115" i="2"/>
  <c r="CR198" i="2"/>
  <c r="CR117" i="2"/>
  <c r="CR118" i="2"/>
  <c r="CR119" i="2"/>
  <c r="CR120" i="2"/>
  <c r="CR121" i="2"/>
  <c r="CR129" i="2"/>
  <c r="CR130" i="2"/>
  <c r="CR131" i="2"/>
  <c r="CG132" i="2"/>
  <c r="CI132" i="2" s="1"/>
  <c r="EY132" i="2"/>
  <c r="EV132" i="2"/>
  <c r="DA133" i="2"/>
  <c r="DB133" i="2" s="1"/>
  <c r="CW133" i="2"/>
  <c r="GT140" i="2"/>
  <c r="DU150" i="2"/>
  <c r="DO150" i="2"/>
  <c r="CH157" i="2"/>
  <c r="GU170" i="2"/>
  <c r="BM189" i="2"/>
  <c r="BN189" i="2" s="1"/>
  <c r="BK189" i="2"/>
  <c r="CL189" i="2" s="1"/>
  <c r="EY136" i="2"/>
  <c r="EX136" i="2"/>
  <c r="FQ136" i="2"/>
  <c r="FW136" i="2" s="1"/>
  <c r="FX136" i="2" s="1" a="1"/>
  <c r="FX136" i="2" s="1"/>
  <c r="EV136" i="2"/>
  <c r="DV146" i="2"/>
  <c r="DW146" i="2" s="1"/>
  <c r="EI146" i="2"/>
  <c r="EG146" i="2"/>
  <c r="DU148" i="2"/>
  <c r="DO148" i="2"/>
  <c r="FN130" i="2"/>
  <c r="DH135" i="2"/>
  <c r="DG135" i="2"/>
  <c r="AA139" i="2"/>
  <c r="DV173" i="2"/>
  <c r="DW173" i="2" s="1"/>
  <c r="EI173" i="2"/>
  <c r="EG173" i="2"/>
  <c r="FO119" i="2"/>
  <c r="GJ119" i="2" s="1"/>
  <c r="FO120" i="2"/>
  <c r="GJ120" i="2" s="1"/>
  <c r="FO130" i="2"/>
  <c r="GJ130" i="2" s="1"/>
  <c r="EY133" i="2"/>
  <c r="EX133" i="2"/>
  <c r="EV133" i="2"/>
  <c r="DH136" i="2"/>
  <c r="DG136" i="2"/>
  <c r="DV140" i="2"/>
  <c r="DW140" i="2" s="1"/>
  <c r="EI140" i="2"/>
  <c r="EG140" i="2"/>
  <c r="GU144" i="2"/>
  <c r="CH158" i="2"/>
  <c r="DU186" i="2"/>
  <c r="DO186" i="2"/>
  <c r="EV85" i="2"/>
  <c r="EV112" i="2"/>
  <c r="EV113" i="2"/>
  <c r="EV114" i="2"/>
  <c r="EV115" i="2"/>
  <c r="EV198" i="2"/>
  <c r="EV117" i="2"/>
  <c r="EV118" i="2"/>
  <c r="EV119" i="2"/>
  <c r="EV120" i="2"/>
  <c r="EV121" i="2"/>
  <c r="FQ127" i="2"/>
  <c r="FW127" i="2" s="1"/>
  <c r="FX127" i="2" s="1" a="1"/>
  <c r="FX127" i="2" s="1"/>
  <c r="FQ47" i="2"/>
  <c r="FW47" i="2" s="1"/>
  <c r="FX47" i="2" s="1" a="1"/>
  <c r="FX47" i="2" s="1"/>
  <c r="EV129" i="2"/>
  <c r="EV130" i="2"/>
  <c r="CW131" i="2"/>
  <c r="EX132" i="2"/>
  <c r="GU141" i="2"/>
  <c r="GU154" i="2"/>
  <c r="GT154" i="2"/>
  <c r="FQ85" i="2"/>
  <c r="FW85" i="2" s="1"/>
  <c r="FX85" i="2" s="1" a="1"/>
  <c r="FX85" i="2" s="1"/>
  <c r="FQ112" i="2"/>
  <c r="FW112" i="2" s="1"/>
  <c r="FX112" i="2" s="1" a="1"/>
  <c r="FX112" i="2" s="1"/>
  <c r="FQ113" i="2"/>
  <c r="FW113" i="2" s="1"/>
  <c r="FX113" i="2" s="1" a="1"/>
  <c r="FX113" i="2" s="1"/>
  <c r="FQ114" i="2"/>
  <c r="FW114" i="2" s="1"/>
  <c r="FX114" i="2" s="1" a="1"/>
  <c r="FX114" i="2" s="1"/>
  <c r="FQ115" i="2"/>
  <c r="FW115" i="2" s="1"/>
  <c r="FX115" i="2" s="1" a="1"/>
  <c r="FX115" i="2" s="1"/>
  <c r="FQ198" i="2"/>
  <c r="FW198" i="2" s="1"/>
  <c r="FX198" i="2" s="1" a="1"/>
  <c r="FX198" i="2" s="1"/>
  <c r="FQ117" i="2"/>
  <c r="FW117" i="2" s="1"/>
  <c r="FX117" i="2" s="1" a="1"/>
  <c r="FX117" i="2" s="1"/>
  <c r="FQ118" i="2"/>
  <c r="FW118" i="2" s="1"/>
  <c r="FX118" i="2" s="1" a="1"/>
  <c r="FX118" i="2" s="1"/>
  <c r="FQ119" i="2"/>
  <c r="FW119" i="2" s="1"/>
  <c r="FX119" i="2" s="1" a="1"/>
  <c r="FX119" i="2" s="1"/>
  <c r="FQ120" i="2"/>
  <c r="FW120" i="2" s="1"/>
  <c r="FX120" i="2" s="1" a="1"/>
  <c r="FX120" i="2" s="1"/>
  <c r="FQ121" i="2"/>
  <c r="FW121" i="2" s="1"/>
  <c r="FX121" i="2" s="1" a="1"/>
  <c r="FX121" i="2" s="1"/>
  <c r="FQ129" i="2"/>
  <c r="FW129" i="2" s="1"/>
  <c r="FX129" i="2" s="1" a="1"/>
  <c r="FX129" i="2" s="1"/>
  <c r="FQ130" i="2"/>
  <c r="FW130" i="2" s="1"/>
  <c r="FX130" i="2" s="1" a="1"/>
  <c r="FX130" i="2" s="1"/>
  <c r="FP131" i="2"/>
  <c r="FO134" i="2"/>
  <c r="GJ134" i="2" s="1"/>
  <c r="DV144" i="2"/>
  <c r="DW144" i="2" s="1"/>
  <c r="EI144" i="2"/>
  <c r="EG144" i="2"/>
  <c r="BM132" i="2"/>
  <c r="BN132" i="2" s="1"/>
  <c r="CG133" i="2"/>
  <c r="CI133" i="2" s="1"/>
  <c r="DG133" i="2"/>
  <c r="FN134" i="2"/>
  <c r="DU135" i="2"/>
  <c r="DV141" i="2"/>
  <c r="DW141" i="2" s="1"/>
  <c r="EI141" i="2"/>
  <c r="EG141" i="2"/>
  <c r="GU153" i="2"/>
  <c r="EY163" i="2"/>
  <c r="EX163" i="2"/>
  <c r="FQ163" i="2"/>
  <c r="FW163" i="2" s="1"/>
  <c r="FX163" i="2" s="1" a="1"/>
  <c r="FX163" i="2" s="1"/>
  <c r="EV163" i="2"/>
  <c r="DG201" i="2"/>
  <c r="DH201" i="2" s="1"/>
  <c r="CG201" i="2"/>
  <c r="DA201" i="2"/>
  <c r="DB201" i="2" s="1"/>
  <c r="CW201" i="2"/>
  <c r="DV168" i="2"/>
  <c r="DW168" i="2" s="1"/>
  <c r="EI168" i="2"/>
  <c r="EG168" i="2"/>
  <c r="DH177" i="2"/>
  <c r="DG177" i="2"/>
  <c r="AA189" i="2"/>
  <c r="BK137" i="2"/>
  <c r="CL137" i="2" s="1"/>
  <c r="BK138" i="2"/>
  <c r="CL138" i="2" s="1"/>
  <c r="DG139" i="2"/>
  <c r="DG140" i="2"/>
  <c r="DG141" i="2"/>
  <c r="DG142" i="2"/>
  <c r="DG143" i="2"/>
  <c r="DG144" i="2"/>
  <c r="DG145" i="2"/>
  <c r="DG146" i="2"/>
  <c r="DG147" i="2"/>
  <c r="X150" i="2"/>
  <c r="DQ154" i="2"/>
  <c r="DR154" i="2" s="1"/>
  <c r="EH154" i="2"/>
  <c r="DY154" i="2"/>
  <c r="DZ154" i="2" s="1"/>
  <c r="EA154" i="2" s="1"/>
  <c r="CH175" i="2"/>
  <c r="CH165" i="2"/>
  <c r="GT165" i="2"/>
  <c r="DV170" i="2"/>
  <c r="DW170" i="2" s="1"/>
  <c r="EI170" i="2"/>
  <c r="EG170" i="2"/>
  <c r="GU171" i="2"/>
  <c r="BK134" i="2"/>
  <c r="CL134" i="2" s="1"/>
  <c r="FZ149" i="2"/>
  <c r="BP153" i="2"/>
  <c r="EH155" i="2"/>
  <c r="EC155" i="2"/>
  <c r="EE155" i="2" s="1"/>
  <c r="EF155" i="2" s="1"/>
  <c r="DY155" i="2"/>
  <c r="DZ155" i="2" s="1"/>
  <c r="EA155" i="2" s="1"/>
  <c r="EH157" i="2"/>
  <c r="EC157" i="2"/>
  <c r="DY157" i="2"/>
  <c r="DZ157" i="2" s="1"/>
  <c r="EA157" i="2" s="1"/>
  <c r="CR160" i="2"/>
  <c r="CG160" i="2"/>
  <c r="CI160" i="2" s="1"/>
  <c r="DA160" i="2"/>
  <c r="DB160" i="2" s="1"/>
  <c r="CH201" i="2"/>
  <c r="GU199" i="2"/>
  <c r="DO139" i="2"/>
  <c r="DO140" i="2"/>
  <c r="DO141" i="2"/>
  <c r="DO142" i="2"/>
  <c r="DO143" i="2"/>
  <c r="DO144" i="2"/>
  <c r="DO145" i="2"/>
  <c r="DO146" i="2"/>
  <c r="EY153" i="2"/>
  <c r="EV153" i="2"/>
  <c r="EH156" i="2"/>
  <c r="EC156" i="2"/>
  <c r="DY156" i="2"/>
  <c r="DZ156" i="2" s="1"/>
  <c r="EA156" i="2" s="1"/>
  <c r="DU160" i="2"/>
  <c r="EY162" i="2"/>
  <c r="EX162" i="2"/>
  <c r="FQ162" i="2"/>
  <c r="FW162" i="2" s="1"/>
  <c r="FX162" i="2" s="1" a="1"/>
  <c r="FX162" i="2" s="1"/>
  <c r="EV162" i="2"/>
  <c r="DQ164" i="2"/>
  <c r="DR164" i="2" s="1"/>
  <c r="EH164" i="2"/>
  <c r="EC164" i="2"/>
  <c r="DY164" i="2"/>
  <c r="DZ164" i="2" s="1"/>
  <c r="EA164" i="2" s="1"/>
  <c r="DV171" i="2"/>
  <c r="DW171" i="2" s="1"/>
  <c r="EI171" i="2"/>
  <c r="EG171" i="2"/>
  <c r="GU172" i="2"/>
  <c r="EY199" i="2"/>
  <c r="EX199" i="2"/>
  <c r="FQ199" i="2"/>
  <c r="FW199" i="2" s="1"/>
  <c r="FX199" i="2" s="1" a="1"/>
  <c r="FX199" i="2" s="1"/>
  <c r="EV199" i="2"/>
  <c r="X151" i="2"/>
  <c r="CH160" i="2"/>
  <c r="DQ160" i="2"/>
  <c r="DR160" i="2" s="1"/>
  <c r="EH160" i="2"/>
  <c r="EC160" i="2"/>
  <c r="DY160" i="2"/>
  <c r="DZ160" i="2" s="1"/>
  <c r="EA160" i="2" s="1"/>
  <c r="CG164" i="2"/>
  <c r="CI164" i="2" s="1"/>
  <c r="DA164" i="2"/>
  <c r="DB164" i="2" s="1"/>
  <c r="CW164" i="2"/>
  <c r="GU191" i="2"/>
  <c r="GT191" i="2"/>
  <c r="GU192" i="2"/>
  <c r="GT192" i="2"/>
  <c r="EH199" i="2"/>
  <c r="EC199" i="2"/>
  <c r="DY199" i="2"/>
  <c r="DZ199" i="2" s="1"/>
  <c r="EA199" i="2" s="1"/>
  <c r="DS199" i="2"/>
  <c r="DQ199" i="2"/>
  <c r="DR199" i="2" s="1"/>
  <c r="BP137" i="2"/>
  <c r="CR137" i="2"/>
  <c r="FZ137" i="2"/>
  <c r="BP138" i="2"/>
  <c r="CR138" i="2"/>
  <c r="AE139" i="2"/>
  <c r="AF139" i="2" s="1"/>
  <c r="EG149" i="2"/>
  <c r="Y150" i="2"/>
  <c r="AB150" i="2" s="1"/>
  <c r="BK150" i="2"/>
  <c r="CL150" i="2" s="1"/>
  <c r="FZ150" i="2"/>
  <c r="BM152" i="2"/>
  <c r="BN152" i="2" s="1"/>
  <c r="GT152" i="2"/>
  <c r="CG11" i="2"/>
  <c r="CI11" i="2" s="1"/>
  <c r="DA11" i="2"/>
  <c r="DB11" i="2" s="1"/>
  <c r="CW11" i="2"/>
  <c r="EY201" i="2"/>
  <c r="EX201" i="2"/>
  <c r="FQ201" i="2"/>
  <c r="FW201" i="2" s="1"/>
  <c r="FX201" i="2" s="1" a="1"/>
  <c r="FX201" i="2" s="1"/>
  <c r="EV201" i="2"/>
  <c r="T169" i="2"/>
  <c r="T170" i="2"/>
  <c r="DV172" i="2"/>
  <c r="DW172" i="2" s="1"/>
  <c r="EI172" i="2"/>
  <c r="EG172" i="2"/>
  <c r="DU191" i="2"/>
  <c r="DO191" i="2"/>
  <c r="CH149" i="2"/>
  <c r="GU152" i="2"/>
  <c r="GT160" i="2"/>
  <c r="EY175" i="2"/>
  <c r="EX175" i="2"/>
  <c r="FQ175" i="2"/>
  <c r="FW175" i="2" s="1"/>
  <c r="FX175" i="2" s="1" a="1"/>
  <c r="FX175" i="2" s="1"/>
  <c r="EV175" i="2"/>
  <c r="CH164" i="2"/>
  <c r="EY165" i="2"/>
  <c r="EX165" i="2"/>
  <c r="FQ165" i="2"/>
  <c r="FW165" i="2" s="1"/>
  <c r="FX165" i="2" s="1" a="1"/>
  <c r="FX165" i="2" s="1"/>
  <c r="EV165" i="2"/>
  <c r="AA168" i="2"/>
  <c r="FN138" i="2"/>
  <c r="FZ153" i="2"/>
  <c r="GA154" i="2"/>
  <c r="CR159" i="2"/>
  <c r="CG159" i="2"/>
  <c r="CI159" i="2" s="1"/>
  <c r="DA159" i="2"/>
  <c r="DB159" i="2" s="1"/>
  <c r="GU160" i="2"/>
  <c r="CH11" i="2"/>
  <c r="DH169" i="2"/>
  <c r="DG169" i="2"/>
  <c r="DH178" i="2"/>
  <c r="DG178" i="2"/>
  <c r="GT179" i="2"/>
  <c r="FO138" i="2"/>
  <c r="GJ138" i="2" s="1"/>
  <c r="FN144" i="2"/>
  <c r="X149" i="2"/>
  <c r="GT149" i="2"/>
  <c r="Y151" i="2"/>
  <c r="AB151" i="2" s="1"/>
  <c r="BK151" i="2"/>
  <c r="CL151" i="2" s="1"/>
  <c r="BP152" i="2"/>
  <c r="Y154" i="2"/>
  <c r="AB154" i="2" s="1"/>
  <c r="GA155" i="2"/>
  <c r="GA157" i="2"/>
  <c r="DQ163" i="2"/>
  <c r="DR163" i="2" s="1"/>
  <c r="EH163" i="2"/>
  <c r="EC163" i="2"/>
  <c r="DY163" i="2"/>
  <c r="DZ163" i="2" s="1"/>
  <c r="EA163" i="2" s="1"/>
  <c r="DH168" i="2"/>
  <c r="DG168" i="2"/>
  <c r="GU179" i="2"/>
  <c r="CW137" i="2"/>
  <c r="EV137" i="2"/>
  <c r="CW138" i="2"/>
  <c r="EV138" i="2"/>
  <c r="FO144" i="2"/>
  <c r="GJ144" i="2" s="1"/>
  <c r="Y149" i="2"/>
  <c r="AB149" i="2" s="1"/>
  <c r="BK149" i="2"/>
  <c r="CL149" i="2" s="1"/>
  <c r="EY149" i="2"/>
  <c r="EV149" i="2"/>
  <c r="FQ149" i="2"/>
  <c r="FW149" i="2" s="1"/>
  <c r="FX149" i="2" s="1" a="1"/>
  <c r="FX149" i="2" s="1"/>
  <c r="BP150" i="2"/>
  <c r="AA154" i="2"/>
  <c r="DA154" i="2"/>
  <c r="DB154" i="2" s="1"/>
  <c r="CW154" i="2"/>
  <c r="GA156" i="2"/>
  <c r="CH159" i="2"/>
  <c r="CG163" i="2"/>
  <c r="CI163" i="2" s="1"/>
  <c r="DA163" i="2"/>
  <c r="DB163" i="2" s="1"/>
  <c r="CW163" i="2"/>
  <c r="DS163" i="2"/>
  <c r="CR164" i="2"/>
  <c r="CZ201" i="2"/>
  <c r="DH170" i="2"/>
  <c r="DG170" i="2"/>
  <c r="EY174" i="2"/>
  <c r="EX174" i="2"/>
  <c r="FQ174" i="2"/>
  <c r="FW174" i="2" s="1"/>
  <c r="FX174" i="2" s="1" a="1"/>
  <c r="FX174" i="2" s="1"/>
  <c r="EV174" i="2"/>
  <c r="DO197" i="2"/>
  <c r="DU197" i="2"/>
  <c r="CW135" i="2"/>
  <c r="CW136" i="2"/>
  <c r="FQ137" i="2"/>
  <c r="FW137" i="2" s="1"/>
  <c r="FX137" i="2" s="1" a="1"/>
  <c r="FX137" i="2" s="1"/>
  <c r="FQ138" i="2"/>
  <c r="FW138" i="2" s="1"/>
  <c r="FX138" i="2" s="1" a="1"/>
  <c r="FX138" i="2" s="1"/>
  <c r="CW139" i="2"/>
  <c r="EV139" i="2"/>
  <c r="CW140" i="2"/>
  <c r="EV140" i="2"/>
  <c r="CW141" i="2"/>
  <c r="EV141" i="2"/>
  <c r="CW142" i="2"/>
  <c r="EV142" i="2"/>
  <c r="CW143" i="2"/>
  <c r="EV143" i="2"/>
  <c r="CW144" i="2"/>
  <c r="EV144" i="2"/>
  <c r="CW145" i="2"/>
  <c r="EV145" i="2"/>
  <c r="CW146" i="2"/>
  <c r="EV146" i="2"/>
  <c r="CW147" i="2"/>
  <c r="EV147" i="2"/>
  <c r="GT151" i="2"/>
  <c r="EY152" i="2"/>
  <c r="EV152" i="2"/>
  <c r="BP155" i="2"/>
  <c r="CW159" i="2"/>
  <c r="GT159" i="2"/>
  <c r="AA165" i="2"/>
  <c r="CR11" i="2"/>
  <c r="DH176" i="2"/>
  <c r="DG176" i="2"/>
  <c r="EX137" i="2"/>
  <c r="EX138" i="2"/>
  <c r="FQ139" i="2"/>
  <c r="FW139" i="2" s="1"/>
  <c r="FX139" i="2" s="1" a="1"/>
  <c r="FX139" i="2" s="1"/>
  <c r="FQ140" i="2"/>
  <c r="FW140" i="2" s="1"/>
  <c r="FX140" i="2" s="1" a="1"/>
  <c r="FX140" i="2" s="1"/>
  <c r="FQ141" i="2"/>
  <c r="FW141" i="2" s="1"/>
  <c r="FX141" i="2" s="1" a="1"/>
  <c r="FX141" i="2" s="1"/>
  <c r="FQ142" i="2"/>
  <c r="FW142" i="2" s="1"/>
  <c r="FX142" i="2" s="1" a="1"/>
  <c r="FX142" i="2" s="1"/>
  <c r="FQ143" i="2"/>
  <c r="FW143" i="2" s="1"/>
  <c r="FX143" i="2" s="1" a="1"/>
  <c r="FX143" i="2" s="1"/>
  <c r="FQ144" i="2"/>
  <c r="FW144" i="2" s="1"/>
  <c r="FX144" i="2" s="1" a="1"/>
  <c r="FX144" i="2" s="1"/>
  <c r="FQ145" i="2"/>
  <c r="FQ146" i="2"/>
  <c r="FQ147" i="2"/>
  <c r="GT150" i="2"/>
  <c r="CR155" i="2"/>
  <c r="CG155" i="2"/>
  <c r="CI155" i="2" s="1"/>
  <c r="DA155" i="2"/>
  <c r="DB155" i="2" s="1"/>
  <c r="DH155" i="2"/>
  <c r="DG155" i="2"/>
  <c r="BP156" i="2"/>
  <c r="CH163" i="2"/>
  <c r="GT163" i="2"/>
  <c r="EY164" i="2"/>
  <c r="EX164" i="2"/>
  <c r="FQ164" i="2"/>
  <c r="FW164" i="2" s="1"/>
  <c r="FX164" i="2" s="1" a="1"/>
  <c r="FX164" i="2" s="1"/>
  <c r="EV164" i="2"/>
  <c r="AA201" i="2"/>
  <c r="DH171" i="2"/>
  <c r="DG171" i="2"/>
  <c r="GT186" i="2"/>
  <c r="DA137" i="2"/>
  <c r="DB137" i="2" s="1"/>
  <c r="DA138" i="2"/>
  <c r="DB138" i="2" s="1"/>
  <c r="EX139" i="2"/>
  <c r="EX140" i="2"/>
  <c r="EX141" i="2"/>
  <c r="EX142" i="2"/>
  <c r="EX143" i="2"/>
  <c r="EX144" i="2"/>
  <c r="EX145" i="2"/>
  <c r="EX146" i="2"/>
  <c r="EX147" i="2"/>
  <c r="CR156" i="2"/>
  <c r="CG156" i="2"/>
  <c r="CI156" i="2" s="1"/>
  <c r="DA156" i="2"/>
  <c r="DB156" i="2" s="1"/>
  <c r="DH156" i="2"/>
  <c r="DG156" i="2"/>
  <c r="BP157" i="2"/>
  <c r="CR158" i="2"/>
  <c r="CG158" i="2"/>
  <c r="CI158" i="2" s="1"/>
  <c r="DA158" i="2"/>
  <c r="DB158" i="2" s="1"/>
  <c r="CG162" i="2"/>
  <c r="CI162" i="2" s="1"/>
  <c r="DA162" i="2"/>
  <c r="DB162" i="2" s="1"/>
  <c r="CW162" i="2"/>
  <c r="EY11" i="2"/>
  <c r="EX11" i="2"/>
  <c r="FQ11" i="2"/>
  <c r="FW11" i="2" s="1"/>
  <c r="FX11" i="2" s="1" a="1"/>
  <c r="FX11" i="2" s="1"/>
  <c r="EV11" i="2"/>
  <c r="GT173" i="2"/>
  <c r="DU180" i="2"/>
  <c r="DO180" i="2"/>
  <c r="GT181" i="2"/>
  <c r="GU188" i="2"/>
  <c r="BP149" i="2"/>
  <c r="EX152" i="2"/>
  <c r="GT153" i="2"/>
  <c r="DU154" i="2"/>
  <c r="CR157" i="2"/>
  <c r="CG157" i="2"/>
  <c r="CI157" i="2" s="1"/>
  <c r="DA157" i="2"/>
  <c r="DB157" i="2" s="1"/>
  <c r="DH157" i="2"/>
  <c r="DG157" i="2"/>
  <c r="DQ158" i="2"/>
  <c r="DR158" i="2" s="1"/>
  <c r="EH158" i="2"/>
  <c r="EC158" i="2"/>
  <c r="DY158" i="2"/>
  <c r="DZ158" i="2" s="1"/>
  <c r="EA158" i="2" s="1"/>
  <c r="DH172" i="2"/>
  <c r="DG172" i="2"/>
  <c r="GT174" i="2"/>
  <c r="GU186" i="2"/>
  <c r="GU189" i="2"/>
  <c r="GT189" i="2"/>
  <c r="AA194" i="2"/>
  <c r="GU194" i="2"/>
  <c r="GT194" i="2"/>
  <c r="FQ154" i="2"/>
  <c r="FW154" i="2" s="1"/>
  <c r="FX154" i="2" s="1" a="1"/>
  <c r="FX154" i="2" s="1"/>
  <c r="FQ155" i="2"/>
  <c r="FW155" i="2" s="1"/>
  <c r="FX155" i="2" s="1" a="1"/>
  <c r="FX155" i="2" s="1"/>
  <c r="FQ156" i="2"/>
  <c r="FW156" i="2" s="1"/>
  <c r="FX156" i="2" s="1" a="1"/>
  <c r="FX156" i="2" s="1"/>
  <c r="FQ157" i="2"/>
  <c r="FW157" i="2" s="1"/>
  <c r="FX157" i="2" s="1" a="1"/>
  <c r="FX157" i="2" s="1"/>
  <c r="FQ158" i="2"/>
  <c r="FW158" i="2" s="1"/>
  <c r="FX158" i="2" s="1" a="1"/>
  <c r="FX158" i="2" s="1"/>
  <c r="FQ159" i="2"/>
  <c r="FW159" i="2" s="1"/>
  <c r="FX159" i="2" s="1" a="1"/>
  <c r="FX159" i="2" s="1"/>
  <c r="FQ160" i="2"/>
  <c r="FW160" i="2" s="1"/>
  <c r="FX160" i="2" s="1" a="1"/>
  <c r="FX160" i="2" s="1"/>
  <c r="DU194" i="2"/>
  <c r="DO194" i="2"/>
  <c r="GU195" i="2"/>
  <c r="GT195" i="2"/>
  <c r="DO173" i="2"/>
  <c r="EY173" i="2"/>
  <c r="EX173" i="2"/>
  <c r="FQ173" i="2"/>
  <c r="FW173" i="2" s="1"/>
  <c r="FX173" i="2" s="1" a="1"/>
  <c r="FX173" i="2" s="1"/>
  <c r="EV173" i="2"/>
  <c r="BP174" i="2"/>
  <c r="DV176" i="2"/>
  <c r="DW176" i="2" s="1"/>
  <c r="GT176" i="2"/>
  <c r="GT177" i="2"/>
  <c r="DV178" i="2"/>
  <c r="DW178" i="2" s="1"/>
  <c r="GT178" i="2"/>
  <c r="GU182" i="2"/>
  <c r="GT183" i="2"/>
  <c r="GA197" i="2"/>
  <c r="FZ197" i="2"/>
  <c r="GU200" i="2"/>
  <c r="DO168" i="2"/>
  <c r="DO169" i="2"/>
  <c r="DO170" i="2"/>
  <c r="DO171" i="2"/>
  <c r="DO172" i="2"/>
  <c r="CG174" i="2"/>
  <c r="CI174" i="2" s="1"/>
  <c r="DA174" i="2"/>
  <c r="DB174" i="2" s="1"/>
  <c r="CW174" i="2"/>
  <c r="DH174" i="2"/>
  <c r="DG174" i="2"/>
  <c r="CH176" i="2"/>
  <c r="GU176" i="2"/>
  <c r="CH177" i="2"/>
  <c r="GU177" i="2"/>
  <c r="CH178" i="2"/>
  <c r="GU178" i="2"/>
  <c r="GT187" i="2"/>
  <c r="DU189" i="2"/>
  <c r="DO189" i="2"/>
  <c r="BK192" i="2"/>
  <c r="CL192" i="2" s="1"/>
  <c r="EG195" i="2"/>
  <c r="DV195" i="2"/>
  <c r="DW195" i="2" s="1"/>
  <c r="GU183" i="2"/>
  <c r="GT184" i="2"/>
  <c r="DU192" i="2"/>
  <c r="DO192" i="2"/>
  <c r="DV183" i="2"/>
  <c r="DW183" i="2" s="1"/>
  <c r="EI183" i="2"/>
  <c r="GU187" i="2"/>
  <c r="FZ168" i="2"/>
  <c r="DV187" i="2"/>
  <c r="DW187" i="2" s="1"/>
  <c r="EI187" i="2"/>
  <c r="GU196" i="2"/>
  <c r="GT196" i="2"/>
  <c r="FZ199" i="2"/>
  <c r="DG158" i="2"/>
  <c r="DG159" i="2"/>
  <c r="DG160" i="2"/>
  <c r="GT180" i="2"/>
  <c r="DV184" i="2"/>
  <c r="DW184" i="2" s="1"/>
  <c r="EI184" i="2"/>
  <c r="GT185" i="2"/>
  <c r="BK190" i="2"/>
  <c r="CL190" i="2" s="1"/>
  <c r="BK195" i="2"/>
  <c r="CL195" i="2" s="1"/>
  <c r="EY176" i="2"/>
  <c r="EX176" i="2"/>
  <c r="FQ176" i="2"/>
  <c r="FW176" i="2" s="1"/>
  <c r="FX176" i="2" s="1" a="1"/>
  <c r="FX176" i="2" s="1"/>
  <c r="EV176" i="2"/>
  <c r="EY177" i="2"/>
  <c r="EX177" i="2"/>
  <c r="FQ177" i="2"/>
  <c r="FW177" i="2" s="1"/>
  <c r="FX177" i="2" s="1" a="1"/>
  <c r="FX177" i="2" s="1"/>
  <c r="EV177" i="2"/>
  <c r="GU180" i="2"/>
  <c r="DO183" i="2"/>
  <c r="DO187" i="2"/>
  <c r="GU190" i="2"/>
  <c r="GT190" i="2"/>
  <c r="GA195" i="2"/>
  <c r="FZ195" i="2"/>
  <c r="BP196" i="2"/>
  <c r="DO196" i="2"/>
  <c r="DU196" i="2"/>
  <c r="DU190" i="2"/>
  <c r="DO190" i="2"/>
  <c r="GU193" i="2"/>
  <c r="GT193" i="2"/>
  <c r="EV168" i="2"/>
  <c r="EV169" i="2"/>
  <c r="EV170" i="2"/>
  <c r="EV171" i="2"/>
  <c r="EV172" i="2"/>
  <c r="CW173" i="2"/>
  <c r="DV185" i="2"/>
  <c r="DW185" i="2" s="1"/>
  <c r="EI185" i="2"/>
  <c r="GT188" i="2"/>
  <c r="DU193" i="2"/>
  <c r="DO193" i="2"/>
  <c r="CH200" i="2"/>
  <c r="GU197" i="2"/>
  <c r="GT197" i="2"/>
  <c r="EG183" i="2"/>
  <c r="DO185" i="2"/>
  <c r="EG187" i="2"/>
  <c r="GT199" i="2"/>
  <c r="DG200" i="2"/>
  <c r="EY200" i="2"/>
  <c r="EX200" i="2"/>
  <c r="BP181" i="2"/>
  <c r="FZ181" i="2"/>
  <c r="BP182" i="2"/>
  <c r="FZ182" i="2"/>
  <c r="BP183" i="2"/>
  <c r="FZ183" i="2"/>
  <c r="BP184" i="2"/>
  <c r="FZ184" i="2"/>
  <c r="BP185" i="2"/>
  <c r="CR195" i="2"/>
  <c r="FQ200" i="2"/>
  <c r="FW200" i="2" s="1"/>
  <c r="FX200" i="2" s="1" a="1"/>
  <c r="FX200" i="2" s="1"/>
  <c r="BP189" i="2"/>
  <c r="CR189" i="2"/>
  <c r="BP190" i="2"/>
  <c r="CR190" i="2"/>
  <c r="BP191" i="2"/>
  <c r="CR191" i="2"/>
  <c r="BP192" i="2"/>
  <c r="CR192" i="2"/>
  <c r="BP193" i="2"/>
  <c r="CR193" i="2"/>
  <c r="BP194" i="2"/>
  <c r="CR194" i="2"/>
  <c r="CW199" i="2"/>
  <c r="EV195" i="2"/>
  <c r="EV196" i="2"/>
  <c r="EV197" i="2"/>
  <c r="CW176" i="2"/>
  <c r="CW177" i="2"/>
  <c r="CW178" i="2"/>
  <c r="EV178" i="2"/>
  <c r="CW179" i="2"/>
  <c r="EV179" i="2"/>
  <c r="CW180" i="2"/>
  <c r="EV180" i="2"/>
  <c r="FO181" i="2"/>
  <c r="GJ181" i="2" s="1"/>
  <c r="FO182" i="2"/>
  <c r="GJ182" i="2" s="1"/>
  <c r="FN189" i="2"/>
  <c r="FQ195" i="2"/>
  <c r="FW195" i="2" s="1"/>
  <c r="FX195" i="2" s="1" a="1"/>
  <c r="FX195" i="2" s="1"/>
  <c r="FQ196" i="2"/>
  <c r="FW196" i="2" s="1"/>
  <c r="FX196" i="2" s="1" a="1"/>
  <c r="FX196" i="2" s="1"/>
  <c r="FQ197" i="2"/>
  <c r="FW197" i="2" s="1"/>
  <c r="FX197" i="2" s="1" a="1"/>
  <c r="FX197" i="2" s="1"/>
  <c r="EV200" i="2"/>
  <c r="FQ178" i="2"/>
  <c r="FW178" i="2" s="1"/>
  <c r="FX178" i="2" s="1" a="1"/>
  <c r="FX178" i="2" s="1"/>
  <c r="FQ179" i="2"/>
  <c r="FW179" i="2" s="1"/>
  <c r="FX179" i="2" s="1" a="1"/>
  <c r="FX179" i="2" s="1"/>
  <c r="FQ180" i="2"/>
  <c r="FW180" i="2" s="1"/>
  <c r="FX180" i="2" s="1" a="1"/>
  <c r="FX180" i="2" s="1"/>
  <c r="CW181" i="2"/>
  <c r="EV181" i="2"/>
  <c r="CW182" i="2"/>
  <c r="EV182" i="2"/>
  <c r="CW183" i="2"/>
  <c r="EV183" i="2"/>
  <c r="CW184" i="2"/>
  <c r="EV184" i="2"/>
  <c r="CW185" i="2"/>
  <c r="EV185" i="2"/>
  <c r="CW186" i="2"/>
  <c r="EV186" i="2"/>
  <c r="CW187" i="2"/>
  <c r="EV187" i="2"/>
  <c r="CW188" i="2"/>
  <c r="EV188" i="2"/>
  <c r="FO189" i="2"/>
  <c r="GJ189" i="2" s="1"/>
  <c r="CW195" i="2"/>
  <c r="EX195" i="2"/>
  <c r="EX196" i="2"/>
  <c r="EX197" i="2"/>
  <c r="DA199" i="2"/>
  <c r="DB199" i="2" s="1"/>
  <c r="EH200" i="2"/>
  <c r="DY200" i="2"/>
  <c r="DZ200" i="2" s="1"/>
  <c r="EA200" i="2" s="1"/>
  <c r="EX178" i="2"/>
  <c r="EX179" i="2"/>
  <c r="EX180" i="2"/>
  <c r="FQ181" i="2"/>
  <c r="FW181" i="2" s="1"/>
  <c r="FX181" i="2" s="1" a="1"/>
  <c r="FX181" i="2" s="1"/>
  <c r="FQ182" i="2"/>
  <c r="FW182" i="2" s="1"/>
  <c r="FX182" i="2" s="1" a="1"/>
  <c r="FX182" i="2" s="1"/>
  <c r="FQ183" i="2"/>
  <c r="FW183" i="2" s="1"/>
  <c r="FX183" i="2" s="1" a="1"/>
  <c r="FX183" i="2" s="1"/>
  <c r="FQ184" i="2"/>
  <c r="FW184" i="2" s="1"/>
  <c r="FX184" i="2" s="1" a="1"/>
  <c r="FX184" i="2" s="1"/>
  <c r="FQ185" i="2"/>
  <c r="FW185" i="2" s="1"/>
  <c r="FX185" i="2" s="1" a="1"/>
  <c r="FX185" i="2" s="1"/>
  <c r="FQ186" i="2"/>
  <c r="FW186" i="2" s="1"/>
  <c r="FX186" i="2" s="1" a="1"/>
  <c r="FX186" i="2" s="1"/>
  <c r="FQ187" i="2"/>
  <c r="FW187" i="2" s="1"/>
  <c r="FX187" i="2" s="1" a="1"/>
  <c r="FX187" i="2" s="1"/>
  <c r="FQ188" i="2"/>
  <c r="FW188" i="2" s="1"/>
  <c r="FX188" i="2" s="1" a="1"/>
  <c r="FX188" i="2" s="1"/>
  <c r="CW189" i="2"/>
  <c r="CW190" i="2"/>
  <c r="CW191" i="2"/>
  <c r="CW192" i="2"/>
  <c r="CW193" i="2"/>
  <c r="CW194" i="2"/>
  <c r="DA176" i="2"/>
  <c r="DB176" i="2" s="1"/>
  <c r="DA177" i="2"/>
  <c r="DB177" i="2" s="1"/>
  <c r="DA178" i="2"/>
  <c r="DB178" i="2" s="1"/>
  <c r="DA179" i="2"/>
  <c r="DB179" i="2" s="1"/>
  <c r="DA180" i="2"/>
  <c r="DB180" i="2" s="1"/>
  <c r="EX181" i="2"/>
  <c r="EX182" i="2"/>
  <c r="EX183" i="2"/>
  <c r="EX184" i="2"/>
  <c r="EX185" i="2"/>
  <c r="EX186" i="2"/>
  <c r="EX187" i="2"/>
  <c r="EX188" i="2"/>
  <c r="DA181" i="2"/>
  <c r="DB181" i="2" s="1"/>
  <c r="DA182" i="2"/>
  <c r="DB182" i="2" s="1"/>
  <c r="DA183" i="2"/>
  <c r="DB183" i="2" s="1"/>
  <c r="DA184" i="2"/>
  <c r="DB184" i="2" s="1"/>
  <c r="DA185" i="2"/>
  <c r="DB185" i="2" s="1"/>
  <c r="DA186" i="2"/>
  <c r="DB186" i="2" s="1"/>
  <c r="DA187" i="2"/>
  <c r="DB187" i="2" s="1"/>
  <c r="DA188" i="2"/>
  <c r="DB188" i="2" s="1"/>
  <c r="EX189" i="2"/>
  <c r="EX190" i="2"/>
  <c r="EX191" i="2"/>
  <c r="EX192" i="2"/>
  <c r="EX193" i="2"/>
  <c r="EX194" i="2"/>
  <c r="DA195" i="2"/>
  <c r="DB195" i="2" s="1"/>
  <c r="BK200" i="2"/>
  <c r="CL200" i="2" s="1"/>
  <c r="DG179" i="2"/>
  <c r="DG180" i="2"/>
  <c r="X182" i="2"/>
  <c r="X183" i="2"/>
  <c r="X184" i="2"/>
  <c r="X185" i="2"/>
  <c r="X186" i="2"/>
  <c r="X187" i="2"/>
  <c r="X188" i="2"/>
  <c r="BK196" i="2"/>
  <c r="CL196" i="2" s="1"/>
  <c r="BK197" i="2"/>
  <c r="CL197" i="2" s="1"/>
  <c r="BP200" i="2"/>
  <c r="CG200" i="2"/>
  <c r="CI200" i="2" s="1"/>
  <c r="DA200" i="2"/>
  <c r="DB200" i="2" s="1"/>
  <c r="CH207" i="2"/>
  <c r="CH203" i="2"/>
  <c r="EI205" i="2"/>
  <c r="EG205" i="2"/>
  <c r="DV205" i="2"/>
  <c r="DW205" i="2" s="1"/>
  <c r="CH204" i="2"/>
  <c r="AB205" i="2"/>
  <c r="GU206" i="2"/>
  <c r="EG30" i="2"/>
  <c r="EI30" i="2"/>
  <c r="DV30" i="2"/>
  <c r="DW30" i="2" s="1"/>
  <c r="GT203" i="2"/>
  <c r="AB206" i="2"/>
  <c r="EI206" i="2"/>
  <c r="EG206" i="2"/>
  <c r="CH205" i="2"/>
  <c r="GU203" i="2"/>
  <c r="GT207" i="2"/>
  <c r="EI203" i="2"/>
  <c r="EG203" i="2"/>
  <c r="GU207" i="2"/>
  <c r="AB207" i="2"/>
  <c r="AB203" i="2"/>
  <c r="GU204" i="2"/>
  <c r="CH206" i="2"/>
  <c r="EI207" i="2"/>
  <c r="EG207" i="2"/>
  <c r="GT205" i="2"/>
  <c r="EI204" i="2"/>
  <c r="EG204" i="2"/>
  <c r="AB204" i="2"/>
  <c r="GU205" i="2"/>
  <c r="EX203" i="2"/>
  <c r="EX204" i="2"/>
  <c r="EX205" i="2"/>
  <c r="EX206" i="2"/>
  <c r="AA248" i="2"/>
  <c r="DA203" i="2"/>
  <c r="DB203" i="2" s="1"/>
  <c r="DA204" i="2"/>
  <c r="DB204" i="2" s="1"/>
  <c r="DA205" i="2"/>
  <c r="DB205" i="2" s="1"/>
  <c r="DA206" i="2"/>
  <c r="DB206" i="2" s="1"/>
  <c r="DA207" i="2"/>
  <c r="DB207" i="2" s="1"/>
  <c r="CG203" i="2"/>
  <c r="CI203" i="2" s="1"/>
  <c r="CG204" i="2"/>
  <c r="CI204" i="2" s="1"/>
  <c r="CG205" i="2"/>
  <c r="CI205" i="2" s="1"/>
  <c r="CG206" i="2"/>
  <c r="CI206" i="2" s="1"/>
  <c r="CG207" i="2"/>
  <c r="CI207" i="2" s="1"/>
  <c r="DO203" i="2"/>
  <c r="DO204" i="2"/>
  <c r="DO205" i="2"/>
  <c r="DO206" i="2"/>
  <c r="DO207" i="2"/>
  <c r="DG167" i="2"/>
  <c r="DH167" i="2" s="1"/>
  <c r="DU167" i="2"/>
  <c r="DO167" i="2"/>
  <c r="FZ203" i="2"/>
  <c r="DU248" i="2"/>
  <c r="DO248" i="2"/>
  <c r="DH248" i="2"/>
  <c r="DG248" i="2"/>
  <c r="BK167" i="2"/>
  <c r="BK248" i="2"/>
  <c r="CL248" i="2" s="1"/>
  <c r="GT98" i="2"/>
  <c r="GU98" i="2"/>
  <c r="CR167" i="2"/>
  <c r="CX167" i="2" s="1"/>
  <c r="CR248" i="2"/>
  <c r="DU98" i="2"/>
  <c r="DO98" i="2"/>
  <c r="CW167" i="2"/>
  <c r="EV167" i="2"/>
  <c r="FZ167" i="2" s="1"/>
  <c r="GA167" i="2" s="1"/>
  <c r="CW248" i="2"/>
  <c r="DU128" i="2"/>
  <c r="DO128" i="2"/>
  <c r="GU128" i="2"/>
  <c r="EH246" i="2"/>
  <c r="DY246" i="2"/>
  <c r="DZ246" i="2" s="1"/>
  <c r="EA246" i="2" s="1"/>
  <c r="DS246" i="2"/>
  <c r="EC246" i="2"/>
  <c r="GT128" i="2"/>
  <c r="GA102" i="2"/>
  <c r="FZ102" i="2"/>
  <c r="CH98" i="2"/>
  <c r="CH128" i="2"/>
  <c r="GT102" i="2"/>
  <c r="DQ246" i="2"/>
  <c r="DR246" i="2" s="1"/>
  <c r="CH30" i="2"/>
  <c r="GH30" i="2"/>
  <c r="FN102" i="2"/>
  <c r="EV246" i="2"/>
  <c r="X30" i="2"/>
  <c r="X98" i="2"/>
  <c r="X128" i="2"/>
  <c r="FO102" i="2"/>
  <c r="GJ102" i="2" s="1"/>
  <c r="EH102" i="2"/>
  <c r="DY102" i="2"/>
  <c r="DZ102" i="2" s="1"/>
  <c r="EA102" i="2" s="1"/>
  <c r="EY102" i="2"/>
  <c r="EX102" i="2"/>
  <c r="FQ102" i="2"/>
  <c r="FW102" i="2" s="1"/>
  <c r="FX102" i="2" s="1" a="1"/>
  <c r="FX102" i="2" s="1"/>
  <c r="EV102" i="2"/>
  <c r="DA102" i="2"/>
  <c r="DB102" i="2" s="1"/>
  <c r="CW102" i="2"/>
  <c r="FZ98" i="2"/>
  <c r="FZ128" i="2"/>
  <c r="DH246" i="2"/>
  <c r="DG246" i="2"/>
  <c r="DH102" i="2"/>
  <c r="DG102" i="2"/>
  <c r="CW246" i="2"/>
  <c r="GH246" i="2"/>
  <c r="DA246" i="2"/>
  <c r="DB246" i="2" s="1"/>
  <c r="BK102" i="2"/>
  <c r="CL102" i="2" s="1"/>
  <c r="BK246" i="2"/>
  <c r="CL246" i="2" s="1"/>
  <c r="GT220" i="2"/>
  <c r="EH220" i="2"/>
  <c r="EC220" i="2"/>
  <c r="DY220" i="2"/>
  <c r="DZ220" i="2" s="1"/>
  <c r="EA220" i="2" s="1"/>
  <c r="DS220" i="2"/>
  <c r="DQ220" i="2"/>
  <c r="DR220" i="2" s="1"/>
  <c r="EX220" i="2"/>
  <c r="FQ220" i="2"/>
  <c r="FW220" i="2" s="1"/>
  <c r="FX220" i="2" s="1" a="1"/>
  <c r="FX220" i="2" s="1"/>
  <c r="BP220" i="2"/>
  <c r="DU220" i="2"/>
  <c r="EV220" i="2"/>
  <c r="EY220" i="2"/>
  <c r="T220" i="2"/>
  <c r="U220" i="2" s="1"/>
  <c r="X220" i="2"/>
  <c r="Y220" i="2"/>
  <c r="AB220" i="2" s="1"/>
  <c r="AA211" i="2"/>
  <c r="T211" i="2"/>
  <c r="AB210" i="2"/>
  <c r="EX217" i="2"/>
  <c r="EY217" i="2"/>
  <c r="EV217" i="2"/>
  <c r="FQ217" i="2"/>
  <c r="FW217" i="2" s="1"/>
  <c r="FX217" i="2" s="1" a="1"/>
  <c r="FX217" i="2" s="1"/>
  <c r="T208" i="2"/>
  <c r="GU208" i="2"/>
  <c r="BP226" i="2"/>
  <c r="EY209" i="2"/>
  <c r="EX209" i="2"/>
  <c r="EV209" i="2"/>
  <c r="FQ209" i="2"/>
  <c r="FW209" i="2" s="1"/>
  <c r="FX209" i="2" s="1" a="1"/>
  <c r="FX209" i="2" s="1"/>
  <c r="EY210" i="2"/>
  <c r="EX210" i="2"/>
  <c r="EV210" i="2"/>
  <c r="FQ210" i="2"/>
  <c r="GU210" i="2"/>
  <c r="AB209" i="2"/>
  <c r="T209" i="2"/>
  <c r="DH214" i="2"/>
  <c r="DG214" i="2"/>
  <c r="EH215" i="2"/>
  <c r="EC215" i="2"/>
  <c r="DY215" i="2"/>
  <c r="DZ215" i="2" s="1"/>
  <c r="EA215" i="2" s="1"/>
  <c r="DS215" i="2"/>
  <c r="CH231" i="2"/>
  <c r="FO209" i="2"/>
  <c r="GJ209" i="2" s="1"/>
  <c r="BM211" i="2"/>
  <c r="BN211" i="2" s="1"/>
  <c r="BK211" i="2"/>
  <c r="CL211" i="2" s="1"/>
  <c r="GU216" i="2"/>
  <c r="GU217" i="2"/>
  <c r="Y208" i="2"/>
  <c r="DQ210" i="2"/>
  <c r="DR210" i="2" s="1"/>
  <c r="EX211" i="2"/>
  <c r="EV211" i="2"/>
  <c r="GT213" i="2"/>
  <c r="EH216" i="2"/>
  <c r="EC216" i="2"/>
  <c r="DY216" i="2"/>
  <c r="DZ216" i="2" s="1"/>
  <c r="EA216" i="2" s="1"/>
  <c r="DS216" i="2"/>
  <c r="CR209" i="2"/>
  <c r="DU209" i="2"/>
  <c r="DS210" i="2"/>
  <c r="BP211" i="2"/>
  <c r="GT214" i="2"/>
  <c r="GA215" i="2"/>
  <c r="FZ215" i="2"/>
  <c r="BP216" i="2"/>
  <c r="DQ216" i="2"/>
  <c r="DR216" i="2" s="1"/>
  <c r="CH242" i="2"/>
  <c r="GU221" i="2"/>
  <c r="GT221" i="2"/>
  <c r="BM210" i="2"/>
  <c r="BN210" i="2" s="1"/>
  <c r="BK210" i="2"/>
  <c r="CL210" i="2" s="1"/>
  <c r="CG211" i="2"/>
  <c r="CI211" i="2" s="1"/>
  <c r="CW211" i="2"/>
  <c r="EH211" i="2"/>
  <c r="DY211" i="2"/>
  <c r="DZ211" i="2" s="1"/>
  <c r="EA211" i="2" s="1"/>
  <c r="DU216" i="2"/>
  <c r="CR210" i="2"/>
  <c r="DH211" i="2"/>
  <c r="DG211" i="2"/>
  <c r="DO226" i="2"/>
  <c r="DU226" i="2"/>
  <c r="EX213" i="2"/>
  <c r="EV213" i="2"/>
  <c r="BP217" i="2"/>
  <c r="DY209" i="2"/>
  <c r="DZ209" i="2" s="1"/>
  <c r="EA209" i="2" s="1"/>
  <c r="EY211" i="2"/>
  <c r="EX214" i="2"/>
  <c r="EV214" i="2"/>
  <c r="GU214" i="2"/>
  <c r="GA216" i="2"/>
  <c r="FZ216" i="2"/>
  <c r="CW209" i="2"/>
  <c r="DH218" i="2"/>
  <c r="DG218" i="2"/>
  <c r="CH219" i="2"/>
  <c r="EV208" i="2"/>
  <c r="DA209" i="2"/>
  <c r="DB209" i="2" s="1"/>
  <c r="EC210" i="2"/>
  <c r="FZ210" i="2"/>
  <c r="DU211" i="2"/>
  <c r="CG213" i="2"/>
  <c r="CI213" i="2" s="1"/>
  <c r="DH213" i="2"/>
  <c r="DG213" i="2"/>
  <c r="EY213" i="2"/>
  <c r="FZ213" i="2"/>
  <c r="FQ208" i="2"/>
  <c r="FW208" i="2" s="1"/>
  <c r="FX208" i="2" s="1" a="1"/>
  <c r="FX208" i="2" s="1"/>
  <c r="CW210" i="2"/>
  <c r="EY214" i="2"/>
  <c r="FZ214" i="2"/>
  <c r="T215" i="2"/>
  <c r="GT215" i="2"/>
  <c r="DA210" i="2"/>
  <c r="DB210" i="2" s="1"/>
  <c r="T214" i="2"/>
  <c r="DQ215" i="2"/>
  <c r="DR215" i="2" s="1"/>
  <c r="CW226" i="2"/>
  <c r="CR226" i="2"/>
  <c r="T221" i="2"/>
  <c r="T224" i="2"/>
  <c r="EC229" i="2"/>
  <c r="DY229" i="2"/>
  <c r="DZ229" i="2" s="1"/>
  <c r="EA229" i="2" s="1"/>
  <c r="DS229" i="2"/>
  <c r="DQ229" i="2"/>
  <c r="DR229" i="2" s="1"/>
  <c r="GU225" i="2"/>
  <c r="EH221" i="2"/>
  <c r="DY221" i="2"/>
  <c r="DZ221" i="2" s="1"/>
  <c r="EA221" i="2" s="1"/>
  <c r="BP222" i="2"/>
  <c r="T223" i="2"/>
  <c r="CW225" i="2"/>
  <c r="CR225" i="2"/>
  <c r="CW213" i="2"/>
  <c r="CW214" i="2"/>
  <c r="CW215" i="2"/>
  <c r="EV215" i="2"/>
  <c r="CW216" i="2"/>
  <c r="EV216" i="2"/>
  <c r="CW217" i="2"/>
  <c r="DQ242" i="2"/>
  <c r="DR242" i="2" s="1"/>
  <c r="FQ242" i="2"/>
  <c r="FW242" i="2" s="1"/>
  <c r="FX242" i="2" s="1" a="1"/>
  <c r="FX242" i="2" s="1"/>
  <c r="DO225" i="2"/>
  <c r="DU225" i="2"/>
  <c r="GA226" i="2"/>
  <c r="AA227" i="2"/>
  <c r="BM227" i="2"/>
  <c r="BN227" i="2" s="1"/>
  <c r="FQ218" i="2"/>
  <c r="FW218" i="2" s="1"/>
  <c r="FX218" i="2" s="1" a="1"/>
  <c r="FX218" i="2" s="1"/>
  <c r="FQ219" i="2"/>
  <c r="FW219" i="2" s="1"/>
  <c r="FX219" i="2" s="1" a="1"/>
  <c r="FX219" i="2" s="1"/>
  <c r="GU224" i="2"/>
  <c r="CG226" i="2"/>
  <c r="CI226" i="2" s="1"/>
  <c r="Y230" i="2"/>
  <c r="AB230" i="2" s="1"/>
  <c r="X230" i="2"/>
  <c r="CR218" i="2"/>
  <c r="EV218" i="2"/>
  <c r="EV219" i="2"/>
  <c r="EV242" i="2"/>
  <c r="CW224" i="2"/>
  <c r="CR224" i="2"/>
  <c r="CH226" i="2"/>
  <c r="EH242" i="2"/>
  <c r="DY242" i="2"/>
  <c r="DZ242" i="2" s="1"/>
  <c r="EA242" i="2" s="1"/>
  <c r="DO224" i="2"/>
  <c r="DU224" i="2"/>
  <c r="EG227" i="2"/>
  <c r="DV227" i="2"/>
  <c r="DW227" i="2" s="1"/>
  <c r="EI227" i="2"/>
  <c r="DU228" i="2"/>
  <c r="DO228" i="2"/>
  <c r="DV235" i="2"/>
  <c r="DW235" i="2" s="1"/>
  <c r="EI235" i="2"/>
  <c r="EG235" i="2"/>
  <c r="T217" i="2"/>
  <c r="EY218" i="2"/>
  <c r="EY219" i="2"/>
  <c r="EY242" i="2"/>
  <c r="EC221" i="2"/>
  <c r="CW223" i="2"/>
  <c r="CR223" i="2"/>
  <c r="GU223" i="2"/>
  <c r="CG225" i="2"/>
  <c r="CI225" i="2" s="1"/>
  <c r="GA225" i="2"/>
  <c r="Y227" i="2"/>
  <c r="AB227" i="2" s="1"/>
  <c r="BP234" i="2"/>
  <c r="CH225" i="2"/>
  <c r="GU227" i="2"/>
  <c r="DO227" i="2"/>
  <c r="DG215" i="2"/>
  <c r="DG216" i="2"/>
  <c r="DG217" i="2"/>
  <c r="EH218" i="2"/>
  <c r="DY218" i="2"/>
  <c r="DZ218" i="2" s="1"/>
  <c r="EA218" i="2" s="1"/>
  <c r="FZ242" i="2"/>
  <c r="CG224" i="2"/>
  <c r="CI224" i="2" s="1"/>
  <c r="GA224" i="2"/>
  <c r="T226" i="2"/>
  <c r="BK213" i="2"/>
  <c r="CL213" i="2" s="1"/>
  <c r="BK214" i="2"/>
  <c r="CL214" i="2" s="1"/>
  <c r="BK215" i="2"/>
  <c r="CL215" i="2" s="1"/>
  <c r="BK216" i="2"/>
  <c r="CL216" i="2" s="1"/>
  <c r="BK217" i="2"/>
  <c r="CL217" i="2" s="1"/>
  <c r="CW218" i="2"/>
  <c r="EC218" i="2"/>
  <c r="GT226" i="2"/>
  <c r="AA229" i="2"/>
  <c r="BK229" i="2"/>
  <c r="CL229" i="2" s="1"/>
  <c r="BM229" i="2"/>
  <c r="BN229" i="2" s="1"/>
  <c r="EC242" i="2"/>
  <c r="CG223" i="2"/>
  <c r="CI223" i="2" s="1"/>
  <c r="T229" i="2"/>
  <c r="DU232" i="2"/>
  <c r="DO232" i="2"/>
  <c r="GT232" i="2"/>
  <c r="DU202" i="2"/>
  <c r="DO202" i="2"/>
  <c r="EX228" i="2"/>
  <c r="CG234" i="2"/>
  <c r="CI234" i="2" s="1"/>
  <c r="DA234" i="2"/>
  <c r="DB234" i="2" s="1"/>
  <c r="CW234" i="2"/>
  <c r="CR234" i="2"/>
  <c r="GU236" i="2"/>
  <c r="GT236" i="2"/>
  <c r="BP232" i="2"/>
  <c r="CH236" i="2"/>
  <c r="DU236" i="2"/>
  <c r="DO236" i="2"/>
  <c r="EV228" i="2"/>
  <c r="CG232" i="2"/>
  <c r="CI232" i="2" s="1"/>
  <c r="DA232" i="2"/>
  <c r="DB232" i="2" s="1"/>
  <c r="CW232" i="2"/>
  <c r="CR232" i="2"/>
  <c r="DH232" i="2"/>
  <c r="BP235" i="2"/>
  <c r="CG235" i="2"/>
  <c r="CI235" i="2" s="1"/>
  <c r="DA235" i="2"/>
  <c r="DB235" i="2" s="1"/>
  <c r="CW235" i="2"/>
  <c r="CR235" i="2"/>
  <c r="EV222" i="2"/>
  <c r="EV223" i="2"/>
  <c r="EV224" i="2"/>
  <c r="EV225" i="2"/>
  <c r="EV226" i="2"/>
  <c r="EY228" i="2"/>
  <c r="GA232" i="2"/>
  <c r="BP230" i="2"/>
  <c r="CG230" i="2"/>
  <c r="CI230" i="2" s="1"/>
  <c r="DA230" i="2"/>
  <c r="DB230" i="2" s="1"/>
  <c r="CW230" i="2"/>
  <c r="CR230" i="2"/>
  <c r="DH230" i="2"/>
  <c r="DU239" i="2"/>
  <c r="DO239" i="2"/>
  <c r="DU249" i="2"/>
  <c r="DO249" i="2"/>
  <c r="GU231" i="2"/>
  <c r="X233" i="2"/>
  <c r="BP233" i="2"/>
  <c r="GA230" i="2"/>
  <c r="CG233" i="2"/>
  <c r="CI233" i="2" s="1"/>
  <c r="DA233" i="2"/>
  <c r="DB233" i="2" s="1"/>
  <c r="CW233" i="2"/>
  <c r="CR233" i="2"/>
  <c r="GT239" i="2"/>
  <c r="DU247" i="2"/>
  <c r="DO247" i="2"/>
  <c r="GT247" i="2"/>
  <c r="T236" i="2"/>
  <c r="DU240" i="2"/>
  <c r="DO240" i="2"/>
  <c r="GT240" i="2"/>
  <c r="DU245" i="2"/>
  <c r="DO245" i="2"/>
  <c r="GT245" i="2"/>
  <c r="GA235" i="2"/>
  <c r="DU244" i="2"/>
  <c r="DO244" i="2"/>
  <c r="GT244" i="2"/>
  <c r="CG228" i="2"/>
  <c r="CI228" i="2" s="1"/>
  <c r="GU229" i="2"/>
  <c r="DV230" i="2"/>
  <c r="DW230" i="2" s="1"/>
  <c r="X231" i="2"/>
  <c r="BP231" i="2"/>
  <c r="GA233" i="2"/>
  <c r="GA237" i="2"/>
  <c r="FZ237" i="2"/>
  <c r="DU243" i="2"/>
  <c r="GT243" i="2"/>
  <c r="DO243" i="2"/>
  <c r="EX229" i="2"/>
  <c r="FQ229" i="2"/>
  <c r="FW229" i="2" s="1"/>
  <c r="FX229" i="2" s="1" a="1"/>
  <c r="FX229" i="2" s="1"/>
  <c r="CG231" i="2"/>
  <c r="CI231" i="2" s="1"/>
  <c r="DA231" i="2"/>
  <c r="DB231" i="2" s="1"/>
  <c r="CW231" i="2"/>
  <c r="CR231" i="2"/>
  <c r="DU241" i="2"/>
  <c r="DO241" i="2"/>
  <c r="CG227" i="2"/>
  <c r="CI227" i="2" s="1"/>
  <c r="FQ228" i="2"/>
  <c r="FW228" i="2" s="1"/>
  <c r="FX228" i="2" s="1" a="1"/>
  <c r="FX228" i="2" s="1"/>
  <c r="GT228" i="2"/>
  <c r="DO231" i="2"/>
  <c r="GU232" i="2"/>
  <c r="DV233" i="2"/>
  <c r="DW233" i="2" s="1"/>
  <c r="GU240" i="2"/>
  <c r="GU249" i="2"/>
  <c r="DV250" i="2"/>
  <c r="DW250" i="2" s="1"/>
  <c r="EG250" i="2"/>
  <c r="BP239" i="2"/>
  <c r="EY243" i="2"/>
  <c r="EX243" i="2"/>
  <c r="EV243" i="2"/>
  <c r="EX235" i="2"/>
  <c r="FQ235" i="2"/>
  <c r="FW235" i="2" s="1"/>
  <c r="FX235" i="2" s="1" a="1"/>
  <c r="FX235" i="2" s="1"/>
  <c r="FZ236" i="2"/>
  <c r="T238" i="2"/>
  <c r="BK238" i="2"/>
  <c r="CL238" i="2" s="1"/>
  <c r="CG239" i="2"/>
  <c r="CI239" i="2" s="1"/>
  <c r="DA239" i="2"/>
  <c r="DB239" i="2" s="1"/>
  <c r="CW239" i="2"/>
  <c r="BM244" i="2"/>
  <c r="BN244" i="2" s="1"/>
  <c r="EG238" i="2"/>
  <c r="GU238" i="2"/>
  <c r="EY244" i="2"/>
  <c r="EX244" i="2"/>
  <c r="EV244" i="2"/>
  <c r="BM240" i="2"/>
  <c r="BN240" i="2" s="1"/>
  <c r="CG243" i="2"/>
  <c r="CI243" i="2" s="1"/>
  <c r="DA243" i="2"/>
  <c r="DB243" i="2" s="1"/>
  <c r="CW243" i="2"/>
  <c r="BM245" i="2"/>
  <c r="BN245" i="2" s="1"/>
  <c r="EY245" i="2"/>
  <c r="EX245" i="2"/>
  <c r="EV245" i="2"/>
  <c r="GT249" i="2"/>
  <c r="EI250" i="2"/>
  <c r="EV235" i="2"/>
  <c r="CH237" i="2"/>
  <c r="EX237" i="2"/>
  <c r="FQ237" i="2"/>
  <c r="FW237" i="2" s="1"/>
  <c r="FX237" i="2" s="1" a="1"/>
  <c r="FX237" i="2" s="1"/>
  <c r="EV237" i="2"/>
  <c r="BP238" i="2"/>
  <c r="EY240" i="2"/>
  <c r="EX240" i="2"/>
  <c r="EV240" i="2"/>
  <c r="FP241" i="2"/>
  <c r="FO241" i="2"/>
  <c r="GJ241" i="2" s="1"/>
  <c r="FN241" i="2"/>
  <c r="CG244" i="2"/>
  <c r="CI244" i="2" s="1"/>
  <c r="DA244" i="2"/>
  <c r="DB244" i="2" s="1"/>
  <c r="CW244" i="2"/>
  <c r="BM247" i="2"/>
  <c r="BN247" i="2" s="1"/>
  <c r="EX236" i="2"/>
  <c r="FQ236" i="2"/>
  <c r="FW236" i="2" s="1"/>
  <c r="FX236" i="2" s="1" a="1"/>
  <c r="FX236" i="2" s="1"/>
  <c r="EV236" i="2"/>
  <c r="CG238" i="2"/>
  <c r="CI238" i="2" s="1"/>
  <c r="DA238" i="2"/>
  <c r="DB238" i="2" s="1"/>
  <c r="CW238" i="2"/>
  <c r="EY238" i="2"/>
  <c r="EX238" i="2"/>
  <c r="EV238" i="2"/>
  <c r="AB240" i="2"/>
  <c r="GU241" i="2"/>
  <c r="EY247" i="2"/>
  <c r="EX247" i="2"/>
  <c r="EV247" i="2"/>
  <c r="EY202" i="2"/>
  <c r="EX202" i="2"/>
  <c r="EV202" i="2"/>
  <c r="EY250" i="2"/>
  <c r="EX250" i="2"/>
  <c r="FQ250" i="2"/>
  <c r="EV250" i="2"/>
  <c r="GT238" i="2"/>
  <c r="CG240" i="2"/>
  <c r="CI240" i="2" s="1"/>
  <c r="DA240" i="2"/>
  <c r="DB240" i="2" s="1"/>
  <c r="CW240" i="2"/>
  <c r="CG245" i="2"/>
  <c r="CI245" i="2" s="1"/>
  <c r="DA245" i="2"/>
  <c r="DB245" i="2" s="1"/>
  <c r="CW245" i="2"/>
  <c r="EY249" i="2"/>
  <c r="EX249" i="2"/>
  <c r="EV249" i="2"/>
  <c r="BM250" i="2"/>
  <c r="BN250" i="2" s="1"/>
  <c r="FR238" i="2" a="1"/>
  <c r="FR238" i="2" s="1"/>
  <c r="GU239" i="2"/>
  <c r="GU243" i="2"/>
  <c r="AA249" i="2"/>
  <c r="BM202" i="2"/>
  <c r="BN202" i="2" s="1"/>
  <c r="GU237" i="2"/>
  <c r="FQ243" i="2"/>
  <c r="FW243" i="2" s="1"/>
  <c r="FX243" i="2" s="1" a="1"/>
  <c r="FX243" i="2" s="1"/>
  <c r="CG247" i="2"/>
  <c r="CI247" i="2" s="1"/>
  <c r="DA247" i="2"/>
  <c r="DB247" i="2" s="1"/>
  <c r="CW247" i="2"/>
  <c r="AA250" i="2"/>
  <c r="DO238" i="2"/>
  <c r="BM241" i="2"/>
  <c r="BN241" i="2" s="1"/>
  <c r="GU244" i="2"/>
  <c r="CG249" i="2"/>
  <c r="CI249" i="2" s="1"/>
  <c r="DA249" i="2"/>
  <c r="DB249" i="2" s="1"/>
  <c r="CW249" i="2"/>
  <c r="AA202" i="2"/>
  <c r="EY236" i="2"/>
  <c r="GT241" i="2"/>
  <c r="FQ244" i="2"/>
  <c r="FW244" i="2" s="1"/>
  <c r="FX244" i="2" s="1" a="1"/>
  <c r="FX244" i="2" s="1"/>
  <c r="CG250" i="2"/>
  <c r="CI250" i="2" s="1"/>
  <c r="DA250" i="2"/>
  <c r="DB250" i="2" s="1"/>
  <c r="CW250" i="2"/>
  <c r="CR239" i="2"/>
  <c r="EY241" i="2"/>
  <c r="EX241" i="2"/>
  <c r="EV241" i="2"/>
  <c r="FP245" i="2"/>
  <c r="FO245" i="2"/>
  <c r="GJ245" i="2" s="1"/>
  <c r="FN245" i="2"/>
  <c r="GU245" i="2"/>
  <c r="CG202" i="2"/>
  <c r="CI202" i="2" s="1"/>
  <c r="DA202" i="2"/>
  <c r="DB202" i="2" s="1"/>
  <c r="CW202" i="2"/>
  <c r="DO250" i="2"/>
  <c r="GU250" i="2"/>
  <c r="EY239" i="2"/>
  <c r="EX239" i="2"/>
  <c r="EV239" i="2"/>
  <c r="CG241" i="2"/>
  <c r="CI241" i="2" s="1"/>
  <c r="DA241" i="2"/>
  <c r="DB241" i="2" s="1"/>
  <c r="CW241" i="2"/>
  <c r="CR243" i="2"/>
  <c r="GU247" i="2"/>
  <c r="CG255" i="2"/>
  <c r="CG259" i="2"/>
  <c r="GH249" i="2"/>
  <c r="GH250" i="2"/>
  <c r="FF161" i="2" a="1"/>
  <c r="FP228" i="2" l="1"/>
  <c r="FO210" i="2"/>
  <c r="GJ210" i="2" s="1"/>
  <c r="FN175" i="2"/>
  <c r="FO128" i="2"/>
  <c r="GJ128" i="2" s="1"/>
  <c r="FN210" i="2"/>
  <c r="FO228" i="2"/>
  <c r="GJ228" i="2" s="1"/>
  <c r="FN105" i="2"/>
  <c r="FN240" i="2"/>
  <c r="FP105" i="2"/>
  <c r="FO240" i="2"/>
  <c r="GJ240" i="2" s="1"/>
  <c r="FO99" i="2"/>
  <c r="GJ99" i="2" s="1"/>
  <c r="FP89" i="2"/>
  <c r="FP205" i="2"/>
  <c r="FO221" i="2"/>
  <c r="GJ221" i="2" s="1"/>
  <c r="FN211" i="2"/>
  <c r="FO225" i="2"/>
  <c r="GJ225" i="2" s="1"/>
  <c r="FO115" i="2"/>
  <c r="GJ115" i="2" s="1"/>
  <c r="FP211" i="2"/>
  <c r="FN225" i="2"/>
  <c r="FN237" i="2"/>
  <c r="FO42" i="2"/>
  <c r="GJ42" i="2" s="1"/>
  <c r="FN221" i="2"/>
  <c r="FO146" i="2"/>
  <c r="GJ146" i="2" s="1"/>
  <c r="FN196" i="2"/>
  <c r="FO142" i="2"/>
  <c r="GJ142" i="2" s="1"/>
  <c r="FO220" i="2"/>
  <c r="GJ220" i="2" s="1"/>
  <c r="FP220" i="2"/>
  <c r="FO233" i="2"/>
  <c r="GJ233" i="2" s="1"/>
  <c r="FN233" i="2"/>
  <c r="FO135" i="2"/>
  <c r="GJ135" i="2" s="1"/>
  <c r="FN146" i="2"/>
  <c r="FN142" i="2"/>
  <c r="FP111" i="2"/>
  <c r="FO111" i="2"/>
  <c r="GJ111" i="2" s="1"/>
  <c r="FR214" i="2" a="1"/>
  <c r="FR214" i="2" s="1"/>
  <c r="FN226" i="2"/>
  <c r="FP226" i="2"/>
  <c r="FN223" i="2"/>
  <c r="FO194" i="2"/>
  <c r="GJ194" i="2" s="1"/>
  <c r="FO178" i="2"/>
  <c r="GJ178" i="2" s="1"/>
  <c r="FP223" i="2"/>
  <c r="FN178" i="2"/>
  <c r="FN219" i="2"/>
  <c r="FO40" i="2"/>
  <c r="GJ40" i="2" s="1"/>
  <c r="FN194" i="2"/>
  <c r="FO219" i="2"/>
  <c r="GJ219" i="2" s="1"/>
  <c r="FN40" i="2"/>
  <c r="FR52" i="2" a="1"/>
  <c r="FR52" i="2" s="1"/>
  <c r="FN246" i="2"/>
  <c r="GT175" i="2"/>
  <c r="FO186" i="2"/>
  <c r="GJ186" i="2" s="1"/>
  <c r="FN182" i="2"/>
  <c r="FN99" i="2"/>
  <c r="FN115" i="2"/>
  <c r="FO205" i="2"/>
  <c r="GJ205" i="2" s="1"/>
  <c r="FN100" i="2"/>
  <c r="FN101" i="2"/>
  <c r="FN82" i="2"/>
  <c r="FO110" i="2"/>
  <c r="GJ110" i="2" s="1"/>
  <c r="FN67" i="2"/>
  <c r="FO82" i="2"/>
  <c r="GJ82" i="2" s="1"/>
  <c r="FO100" i="2"/>
  <c r="GJ100" i="2" s="1"/>
  <c r="FN179" i="2"/>
  <c r="FN180" i="2"/>
  <c r="FN239" i="2"/>
  <c r="FO239" i="2"/>
  <c r="GJ239" i="2" s="1"/>
  <c r="FO56" i="2"/>
  <c r="GJ56" i="2" s="1"/>
  <c r="FO136" i="2"/>
  <c r="GJ136" i="2" s="1"/>
  <c r="FN222" i="2"/>
  <c r="FN197" i="2"/>
  <c r="FO72" i="2"/>
  <c r="GJ72" i="2" s="1"/>
  <c r="FN195" i="2"/>
  <c r="FN81" i="2"/>
  <c r="FN136" i="2"/>
  <c r="FP56" i="2"/>
  <c r="FR133" i="2" a="1"/>
  <c r="FR133" i="2" s="1"/>
  <c r="FN72" i="2"/>
  <c r="FO195" i="2"/>
  <c r="GJ195" i="2" s="1"/>
  <c r="FP81" i="2"/>
  <c r="FO69" i="2"/>
  <c r="GJ69" i="2" s="1"/>
  <c r="FO118" i="2"/>
  <c r="GJ118" i="2" s="1"/>
  <c r="FO66" i="2"/>
  <c r="GJ66" i="2" s="1"/>
  <c r="FF161" i="2"/>
  <c r="FN45" i="2"/>
  <c r="FO16" i="2"/>
  <c r="GJ16" i="2" s="1"/>
  <c r="FN169" i="2"/>
  <c r="FN173" i="2"/>
  <c r="FO155" i="2"/>
  <c r="GJ155" i="2" s="1"/>
  <c r="FO173" i="2"/>
  <c r="GJ173" i="2" s="1"/>
  <c r="FN27" i="2"/>
  <c r="FO168" i="2"/>
  <c r="GJ168" i="2" s="1"/>
  <c r="FO230" i="2"/>
  <c r="GJ230" i="2" s="1"/>
  <c r="FO27" i="2"/>
  <c r="GJ27" i="2" s="1"/>
  <c r="FN155" i="2"/>
  <c r="FO95" i="2"/>
  <c r="GJ95" i="2" s="1"/>
  <c r="FN95" i="2"/>
  <c r="FO93" i="2"/>
  <c r="GJ93" i="2" s="1"/>
  <c r="FN93" i="2"/>
  <c r="FN61" i="2"/>
  <c r="FN230" i="2"/>
  <c r="FO183" i="2"/>
  <c r="GJ183" i="2" s="1"/>
  <c r="FN183" i="2"/>
  <c r="FO61" i="2"/>
  <c r="GJ61" i="2" s="1"/>
  <c r="FN168" i="2"/>
  <c r="FN16" i="2"/>
  <c r="FO45" i="2"/>
  <c r="GJ45" i="2" s="1"/>
  <c r="FP154" i="2"/>
  <c r="CI201" i="2"/>
  <c r="CM201" i="2" s="1"/>
  <c r="FP217" i="2"/>
  <c r="FO216" i="2"/>
  <c r="GJ216" i="2" s="1"/>
  <c r="FO217" i="2"/>
  <c r="GJ217" i="2" s="1"/>
  <c r="FN216" i="2"/>
  <c r="FO11" i="2"/>
  <c r="GJ11" i="2" s="1"/>
  <c r="FN78" i="2"/>
  <c r="FN31" i="2"/>
  <c r="FN201" i="2"/>
  <c r="FN141" i="2"/>
  <c r="FN208" i="2"/>
  <c r="FO208" i="2"/>
  <c r="GJ208" i="2" s="1"/>
  <c r="FN80" i="2"/>
  <c r="FO68" i="2"/>
  <c r="GJ68" i="2" s="1"/>
  <c r="FO201" i="2"/>
  <c r="GJ201" i="2" s="1"/>
  <c r="FO63" i="2"/>
  <c r="GJ63" i="2" s="1"/>
  <c r="FO31" i="2"/>
  <c r="GJ31" i="2" s="1"/>
  <c r="FO125" i="2"/>
  <c r="GJ125" i="2" s="1"/>
  <c r="FO78" i="2"/>
  <c r="GJ78" i="2" s="1"/>
  <c r="FO62" i="2"/>
  <c r="GJ62" i="2" s="1"/>
  <c r="FO24" i="2"/>
  <c r="GJ24" i="2" s="1"/>
  <c r="FN63" i="2"/>
  <c r="FN229" i="2"/>
  <c r="FN62" i="2"/>
  <c r="FN125" i="2"/>
  <c r="FO80" i="2"/>
  <c r="GJ80" i="2" s="1"/>
  <c r="FO141" i="2"/>
  <c r="GJ141" i="2" s="1"/>
  <c r="FO184" i="2"/>
  <c r="GJ184" i="2" s="1"/>
  <c r="FO229" i="2"/>
  <c r="GJ229" i="2" s="1"/>
  <c r="FN184" i="2"/>
  <c r="FN154" i="2"/>
  <c r="FO169" i="2"/>
  <c r="GJ169" i="2" s="1"/>
  <c r="FN11" i="2"/>
  <c r="FN39" i="2"/>
  <c r="FO85" i="2"/>
  <c r="GJ85" i="2" s="1"/>
  <c r="FN176" i="2"/>
  <c r="FN145" i="2"/>
  <c r="FN49" i="2"/>
  <c r="FN149" i="2"/>
  <c r="FO202" i="2"/>
  <c r="GJ202" i="2" s="1"/>
  <c r="FP202" i="2"/>
  <c r="FO163" i="2"/>
  <c r="GJ163" i="2" s="1"/>
  <c r="FO145" i="2"/>
  <c r="GJ145" i="2" s="1"/>
  <c r="FN163" i="2"/>
  <c r="FO97" i="2"/>
  <c r="GJ97" i="2" s="1"/>
  <c r="FO51" i="2"/>
  <c r="GJ51" i="2" s="1"/>
  <c r="FN97" i="2"/>
  <c r="FP51" i="2"/>
  <c r="FN37" i="2"/>
  <c r="FN24" i="2"/>
  <c r="FO37" i="2"/>
  <c r="GJ37" i="2" s="1"/>
  <c r="FO151" i="2"/>
  <c r="GJ151" i="2" s="1"/>
  <c r="FO49" i="2"/>
  <c r="GJ49" i="2" s="1"/>
  <c r="FO17" i="2"/>
  <c r="GJ17" i="2" s="1"/>
  <c r="FN165" i="2"/>
  <c r="FP234" i="2"/>
  <c r="FO227" i="2"/>
  <c r="GJ227" i="2" s="1"/>
  <c r="FO160" i="2"/>
  <c r="GJ160" i="2" s="1"/>
  <c r="FO199" i="2"/>
  <c r="GJ199" i="2" s="1"/>
  <c r="FN137" i="2"/>
  <c r="FN147" i="2"/>
  <c r="FN166" i="2"/>
  <c r="FO150" i="2"/>
  <c r="GJ150" i="2" s="1"/>
  <c r="FN238" i="2"/>
  <c r="FO193" i="2"/>
  <c r="GJ193" i="2" s="1"/>
  <c r="FN71" i="2"/>
  <c r="FP238" i="2"/>
  <c r="FN150" i="2"/>
  <c r="FO147" i="2"/>
  <c r="GJ147" i="2" s="1"/>
  <c r="FO71" i="2"/>
  <c r="GJ71" i="2" s="1"/>
  <c r="FO166" i="2"/>
  <c r="GJ166" i="2" s="1"/>
  <c r="FO191" i="2"/>
  <c r="GJ191" i="2" s="1"/>
  <c r="FR213" i="2" a="1"/>
  <c r="FR213" i="2" s="1"/>
  <c r="FN193" i="2"/>
  <c r="FN191" i="2"/>
  <c r="FO188" i="2"/>
  <c r="GJ188" i="2" s="1"/>
  <c r="FR241" i="2" a="1"/>
  <c r="FR241" i="2" s="1"/>
  <c r="FN244" i="2"/>
  <c r="FO244" i="2"/>
  <c r="GJ244" i="2" s="1"/>
  <c r="FN75" i="2"/>
  <c r="FO75" i="2"/>
  <c r="GJ75" i="2" s="1"/>
  <c r="FR94" i="2" a="1"/>
  <c r="FR94" i="2" s="1"/>
  <c r="FO158" i="2"/>
  <c r="GJ158" i="2" s="1"/>
  <c r="FP158" i="2"/>
  <c r="FN25" i="2"/>
  <c r="FO25" i="2"/>
  <c r="GJ25" i="2" s="1"/>
  <c r="FN214" i="2"/>
  <c r="FN9" i="2"/>
  <c r="FO214" i="2"/>
  <c r="GJ214" i="2" s="1"/>
  <c r="FO12" i="2"/>
  <c r="GJ12" i="2" s="1"/>
  <c r="FO171" i="2"/>
  <c r="GJ171" i="2" s="1"/>
  <c r="FO157" i="2"/>
  <c r="GJ157" i="2" s="1"/>
  <c r="FO9" i="2"/>
  <c r="GJ9" i="2" s="1"/>
  <c r="FN12" i="2"/>
  <c r="FO213" i="2"/>
  <c r="GJ213" i="2" s="1"/>
  <c r="FP157" i="2"/>
  <c r="FN188" i="2"/>
  <c r="FN213" i="2"/>
  <c r="FN171" i="2"/>
  <c r="FN198" i="2"/>
  <c r="FW43" i="2"/>
  <c r="FX43" i="2" s="1" a="1"/>
  <c r="FX43" i="2" s="1"/>
  <c r="FO116" i="2"/>
  <c r="GJ116" i="2" s="1"/>
  <c r="FP203" i="2"/>
  <c r="FO87" i="2"/>
  <c r="GJ87" i="2" s="1"/>
  <c r="FN162" i="2"/>
  <c r="FO198" i="2"/>
  <c r="GJ198" i="2" s="1"/>
  <c r="FN50" i="2"/>
  <c r="FN116" i="2"/>
  <c r="FO236" i="2"/>
  <c r="GJ236" i="2" s="1"/>
  <c r="FN55" i="2"/>
  <c r="FN236" i="2"/>
  <c r="FN181" i="2"/>
  <c r="FO50" i="2"/>
  <c r="GJ50" i="2" s="1"/>
  <c r="FP87" i="2"/>
  <c r="FO36" i="2"/>
  <c r="GJ36" i="2" s="1"/>
  <c r="FO55" i="2"/>
  <c r="GJ55" i="2" s="1"/>
  <c r="FO162" i="2"/>
  <c r="GJ162" i="2" s="1"/>
  <c r="FN120" i="2"/>
  <c r="CI175" i="2"/>
  <c r="CM175" i="2" s="1"/>
  <c r="FN119" i="2"/>
  <c r="FN42" i="2"/>
  <c r="FP46" i="2"/>
  <c r="FO46" i="2"/>
  <c r="GJ46" i="2" s="1"/>
  <c r="FR110" i="2" a="1"/>
  <c r="FR110" i="2" s="1"/>
  <c r="FO124" i="2"/>
  <c r="GJ124" i="2" s="1"/>
  <c r="FP124" i="2"/>
  <c r="FO112" i="2"/>
  <c r="GJ112" i="2" s="1"/>
  <c r="FN74" i="2"/>
  <c r="FO159" i="2"/>
  <c r="GJ159" i="2" s="1"/>
  <c r="FN159" i="2"/>
  <c r="FO74" i="2"/>
  <c r="GJ74" i="2" s="1"/>
  <c r="FN112" i="2"/>
  <c r="FO140" i="2"/>
  <c r="GJ140" i="2" s="1"/>
  <c r="FN68" i="2"/>
  <c r="FN85" i="2"/>
  <c r="FO129" i="2"/>
  <c r="GJ129" i="2" s="1"/>
  <c r="FN103" i="2"/>
  <c r="FO175" i="2"/>
  <c r="GJ175" i="2" s="1"/>
  <c r="FN192" i="2"/>
  <c r="FN131" i="2"/>
  <c r="FO117" i="2"/>
  <c r="GJ117" i="2" s="1"/>
  <c r="FO204" i="2"/>
  <c r="GJ204" i="2" s="1"/>
  <c r="FP204" i="2"/>
  <c r="FR103" i="2" a="1"/>
  <c r="FR103" i="2" s="1"/>
  <c r="FO192" i="2"/>
  <c r="GJ192" i="2" s="1"/>
  <c r="FN117" i="2"/>
  <c r="FO176" i="2"/>
  <c r="GJ176" i="2" s="1"/>
  <c r="FO165" i="2"/>
  <c r="GJ165" i="2" s="1"/>
  <c r="FO224" i="2"/>
  <c r="GJ224" i="2" s="1"/>
  <c r="FP232" i="2"/>
  <c r="FN190" i="2"/>
  <c r="FN108" i="2"/>
  <c r="FN48" i="2"/>
  <c r="FO212" i="2"/>
  <c r="GJ212" i="2" s="1"/>
  <c r="FO108" i="2"/>
  <c r="GJ108" i="2" s="1"/>
  <c r="FN123" i="2"/>
  <c r="FN160" i="2"/>
  <c r="FO190" i="2"/>
  <c r="GJ190" i="2" s="1"/>
  <c r="FN109" i="2"/>
  <c r="FN248" i="2"/>
  <c r="FN224" i="2"/>
  <c r="FO187" i="2"/>
  <c r="GJ187" i="2" s="1"/>
  <c r="FO153" i="2"/>
  <c r="GJ153" i="2" s="1"/>
  <c r="FO109" i="2"/>
  <c r="GJ109" i="2" s="1"/>
  <c r="FO86" i="2"/>
  <c r="GJ86" i="2" s="1"/>
  <c r="FN20" i="2"/>
  <c r="FO20" i="2"/>
  <c r="GJ20" i="2" s="1"/>
  <c r="FO231" i="2"/>
  <c r="GJ231" i="2" s="1"/>
  <c r="FN212" i="2"/>
  <c r="FO10" i="2"/>
  <c r="GJ10" i="2" s="1"/>
  <c r="FO185" i="2"/>
  <c r="GJ185" i="2" s="1"/>
  <c r="FN199" i="2"/>
  <c r="FN107" i="2"/>
  <c r="FO122" i="2"/>
  <c r="GJ122" i="2" s="1"/>
  <c r="FN187" i="2"/>
  <c r="FO92" i="2"/>
  <c r="GJ92" i="2" s="1"/>
  <c r="FP156" i="2"/>
  <c r="FP122" i="2"/>
  <c r="FN249" i="2"/>
  <c r="FO107" i="2"/>
  <c r="GJ107" i="2" s="1"/>
  <c r="FN106" i="2"/>
  <c r="FN232" i="2"/>
  <c r="FO249" i="2"/>
  <c r="GJ249" i="2" s="1"/>
  <c r="FN92" i="2"/>
  <c r="FO48" i="2"/>
  <c r="GJ48" i="2" s="1"/>
  <c r="FO200" i="2"/>
  <c r="GJ200" i="2" s="1"/>
  <c r="FO123" i="2"/>
  <c r="GJ123" i="2" s="1"/>
  <c r="FN10" i="2"/>
  <c r="FN231" i="2"/>
  <c r="FP200" i="2"/>
  <c r="FO137" i="2"/>
  <c r="GJ137" i="2" s="1"/>
  <c r="FO121" i="2"/>
  <c r="GJ121" i="2" s="1"/>
  <c r="FN121" i="2"/>
  <c r="FN234" i="2"/>
  <c r="FO156" i="2"/>
  <c r="GJ156" i="2" s="1"/>
  <c r="FN227" i="2"/>
  <c r="CI14" i="2"/>
  <c r="CM14" i="2" s="1"/>
  <c r="CK26" i="2"/>
  <c r="CI26" i="2"/>
  <c r="CM26" i="2" s="1"/>
  <c r="CK12" i="2"/>
  <c r="CI12" i="2"/>
  <c r="CM12" i="2" s="1"/>
  <c r="CI15" i="2"/>
  <c r="CM15" i="2" s="1"/>
  <c r="CE126" i="2"/>
  <c r="CI126" i="2"/>
  <c r="CM126" i="2" s="1"/>
  <c r="CK88" i="2"/>
  <c r="CI88" i="2"/>
  <c r="CM88" i="2" s="1"/>
  <c r="CE127" i="2"/>
  <c r="CI127" i="2"/>
  <c r="CM127" i="2" s="1"/>
  <c r="CK50" i="2"/>
  <c r="CI50" i="2"/>
  <c r="CM50" i="2" s="1"/>
  <c r="CI120" i="2"/>
  <c r="CM120" i="2" s="1"/>
  <c r="CE123" i="2"/>
  <c r="CI123" i="2"/>
  <c r="CM123" i="2" s="1"/>
  <c r="CE113" i="2"/>
  <c r="CI113" i="2"/>
  <c r="CM113" i="2" s="1"/>
  <c r="CE75" i="2"/>
  <c r="CI75" i="2"/>
  <c r="CM75" i="2" s="1"/>
  <c r="CK76" i="2"/>
  <c r="CI76" i="2"/>
  <c r="CM76" i="2" s="1"/>
  <c r="CK28" i="2"/>
  <c r="CI28" i="2"/>
  <c r="CM28" i="2" s="1"/>
  <c r="CK46" i="2"/>
  <c r="CI46" i="2"/>
  <c r="CM46" i="2" s="1"/>
  <c r="CK111" i="2"/>
  <c r="CI111" i="2"/>
  <c r="CM111" i="2" s="1"/>
  <c r="CK49" i="2"/>
  <c r="CI49" i="2"/>
  <c r="CM49" i="2" s="1"/>
  <c r="CK42" i="2"/>
  <c r="CI42" i="2"/>
  <c r="CM42" i="2" s="1"/>
  <c r="CI178" i="2"/>
  <c r="CM178" i="2" s="1"/>
  <c r="CE141" i="2"/>
  <c r="CI141" i="2"/>
  <c r="CM141" i="2" s="1"/>
  <c r="CE193" i="2"/>
  <c r="CI193" i="2"/>
  <c r="CM193" i="2" s="1"/>
  <c r="CK72" i="2"/>
  <c r="CI72" i="2"/>
  <c r="CM72" i="2" s="1"/>
  <c r="FP88" i="2"/>
  <c r="CK27" i="2"/>
  <c r="CI27" i="2"/>
  <c r="CM27" i="2" s="1"/>
  <c r="CK10" i="2"/>
  <c r="CI10" i="2"/>
  <c r="CM10" i="2" s="1"/>
  <c r="FN164" i="2"/>
  <c r="CE108" i="2"/>
  <c r="CI108" i="2"/>
  <c r="CM108" i="2" s="1"/>
  <c r="CI137" i="2"/>
  <c r="CM137" i="2" s="1"/>
  <c r="CE57" i="2"/>
  <c r="CI57" i="2"/>
  <c r="CM57" i="2" s="1"/>
  <c r="CE115" i="2"/>
  <c r="CI115" i="2"/>
  <c r="CM115" i="2" s="1"/>
  <c r="CE51" i="2"/>
  <c r="CI51" i="2"/>
  <c r="CM51" i="2" s="1"/>
  <c r="CK67" i="2"/>
  <c r="CI67" i="2"/>
  <c r="CM67" i="2" s="1"/>
  <c r="CK107" i="2"/>
  <c r="CI107" i="2"/>
  <c r="CM107" i="2" s="1"/>
  <c r="CI173" i="2"/>
  <c r="CM173" i="2" s="1"/>
  <c r="CK196" i="2"/>
  <c r="CI196" i="2"/>
  <c r="CM196" i="2" s="1"/>
  <c r="CK192" i="2"/>
  <c r="CI192" i="2"/>
  <c r="CM192" i="2" s="1"/>
  <c r="FO196" i="2"/>
  <c r="GJ196" i="2" s="1"/>
  <c r="FN70" i="2"/>
  <c r="CE92" i="2"/>
  <c r="CI92" i="2"/>
  <c r="CM92" i="2" s="1"/>
  <c r="CK37" i="2"/>
  <c r="CI37" i="2"/>
  <c r="CM37" i="2" s="1"/>
  <c r="CK23" i="2"/>
  <c r="CI23" i="2"/>
  <c r="CM23" i="2" s="1"/>
  <c r="FO164" i="2"/>
  <c r="GJ164" i="2" s="1"/>
  <c r="CK97" i="2"/>
  <c r="CI97" i="2"/>
  <c r="CM97" i="2" s="1"/>
  <c r="CK82" i="2"/>
  <c r="CI82" i="2"/>
  <c r="CM82" i="2" s="1"/>
  <c r="CE209" i="2"/>
  <c r="CI209" i="2"/>
  <c r="CM209" i="2" s="1"/>
  <c r="CK184" i="2"/>
  <c r="CI184" i="2"/>
  <c r="CM184" i="2" s="1"/>
  <c r="CK191" i="2"/>
  <c r="CI191" i="2"/>
  <c r="CM191" i="2" s="1"/>
  <c r="CK110" i="2"/>
  <c r="CI110" i="2"/>
  <c r="CM110" i="2" s="1"/>
  <c r="CE139" i="2"/>
  <c r="CI139" i="2"/>
  <c r="CM139" i="2" s="1"/>
  <c r="CK86" i="2"/>
  <c r="CI86" i="2"/>
  <c r="CM86" i="2" s="1"/>
  <c r="CI112" i="2"/>
  <c r="CM112" i="2" s="1"/>
  <c r="CK63" i="2"/>
  <c r="CI63" i="2"/>
  <c r="CM63" i="2" s="1"/>
  <c r="CK71" i="2"/>
  <c r="CI71" i="2"/>
  <c r="CM71" i="2" s="1"/>
  <c r="CI77" i="2"/>
  <c r="CM77" i="2" s="1"/>
  <c r="CI197" i="2"/>
  <c r="CM197" i="2" s="1"/>
  <c r="CI169" i="2"/>
  <c r="CM169" i="2" s="1"/>
  <c r="CK32" i="2"/>
  <c r="CI32" i="2"/>
  <c r="CM32" i="2" s="1"/>
  <c r="CK33" i="2"/>
  <c r="CI33" i="2"/>
  <c r="CM33" i="2" s="1"/>
  <c r="FO88" i="2"/>
  <c r="GJ88" i="2" s="1"/>
  <c r="CE54" i="2"/>
  <c r="CI54" i="2"/>
  <c r="CM54" i="2" s="1"/>
  <c r="FO70" i="2"/>
  <c r="GJ70" i="2" s="1"/>
  <c r="FO19" i="2"/>
  <c r="GJ19" i="2" s="1"/>
  <c r="CE190" i="2"/>
  <c r="CI190" i="2"/>
  <c r="CM190" i="2" s="1"/>
  <c r="CE122" i="2"/>
  <c r="CI122" i="2"/>
  <c r="CM122" i="2" s="1"/>
  <c r="CE105" i="2"/>
  <c r="CI105" i="2"/>
  <c r="CM105" i="2" s="1"/>
  <c r="CK100" i="2"/>
  <c r="CI100" i="2"/>
  <c r="CM100" i="2" s="1"/>
  <c r="CI70" i="2"/>
  <c r="CM70" i="2" s="1"/>
  <c r="FO18" i="2"/>
  <c r="GJ18" i="2" s="1"/>
  <c r="CK34" i="2"/>
  <c r="CI34" i="2"/>
  <c r="CM34" i="2" s="1"/>
  <c r="CE208" i="2"/>
  <c r="CI208" i="2"/>
  <c r="CM208" i="2" s="1"/>
  <c r="CK195" i="2"/>
  <c r="CI195" i="2"/>
  <c r="CM195" i="2" s="1"/>
  <c r="CI167" i="2"/>
  <c r="CM167" i="2" s="1"/>
  <c r="CK186" i="2"/>
  <c r="CI186" i="2"/>
  <c r="CM186" i="2" s="1"/>
  <c r="CE116" i="2"/>
  <c r="CI116" i="2"/>
  <c r="CM116" i="2" s="1"/>
  <c r="CI229" i="2"/>
  <c r="CM229" i="2" s="1"/>
  <c r="CK185" i="2"/>
  <c r="CI185" i="2"/>
  <c r="CM185" i="2" s="1"/>
  <c r="CK194" i="2"/>
  <c r="CI194" i="2"/>
  <c r="CM194" i="2" s="1"/>
  <c r="CK65" i="2"/>
  <c r="CI65" i="2"/>
  <c r="CM65" i="2" s="1"/>
  <c r="CK48" i="2"/>
  <c r="CI48" i="2"/>
  <c r="CM48" i="2" s="1"/>
  <c r="CK89" i="2"/>
  <c r="CI89" i="2"/>
  <c r="CM89" i="2" s="1"/>
  <c r="FN17" i="2"/>
  <c r="CK114" i="2"/>
  <c r="CI114" i="2"/>
  <c r="CM114" i="2" s="1"/>
  <c r="CE220" i="2"/>
  <c r="CI220" i="2"/>
  <c r="CM220" i="2" s="1"/>
  <c r="CE119" i="2"/>
  <c r="CI119" i="2"/>
  <c r="CM119" i="2" s="1"/>
  <c r="CK43" i="2"/>
  <c r="CI43" i="2"/>
  <c r="CM43" i="2" s="1"/>
  <c r="CK124" i="2"/>
  <c r="CI124" i="2"/>
  <c r="CM124" i="2" s="1"/>
  <c r="CK68" i="2"/>
  <c r="CI68" i="2"/>
  <c r="CM68" i="2" s="1"/>
  <c r="CI85" i="2"/>
  <c r="CM85" i="2" s="1"/>
  <c r="CK74" i="2"/>
  <c r="CI74" i="2"/>
  <c r="CM74" i="2" s="1"/>
  <c r="CE13" i="2"/>
  <c r="CI13" i="2"/>
  <c r="CM13" i="2" s="1"/>
  <c r="CI31" i="2"/>
  <c r="CM31" i="2" s="1"/>
  <c r="CK221" i="2"/>
  <c r="CI221" i="2"/>
  <c r="CM221" i="2" s="1"/>
  <c r="CE140" i="2"/>
  <c r="CI140" i="2"/>
  <c r="CM140" i="2" s="1"/>
  <c r="CK242" i="2"/>
  <c r="CI242" i="2"/>
  <c r="CM242" i="2" s="1"/>
  <c r="CI145" i="2"/>
  <c r="CM145" i="2" s="1"/>
  <c r="CE134" i="2"/>
  <c r="CI134" i="2"/>
  <c r="CM134" i="2" s="1"/>
  <c r="CI187" i="2"/>
  <c r="CM187" i="2" s="1"/>
  <c r="CE56" i="2"/>
  <c r="CI56" i="2"/>
  <c r="CM56" i="2" s="1"/>
  <c r="CK69" i="2"/>
  <c r="CI69" i="2"/>
  <c r="CM69" i="2" s="1"/>
  <c r="CE138" i="2"/>
  <c r="CI138" i="2"/>
  <c r="CM138" i="2" s="1"/>
  <c r="CI121" i="2"/>
  <c r="CM121" i="2" s="1"/>
  <c r="CK90" i="2"/>
  <c r="CI90" i="2"/>
  <c r="CM90" i="2" s="1"/>
  <c r="CK58" i="2"/>
  <c r="CI58" i="2"/>
  <c r="CM58" i="2" s="1"/>
  <c r="CE198" i="2"/>
  <c r="CI198" i="2"/>
  <c r="CM198" i="2" s="1"/>
  <c r="CK180" i="2"/>
  <c r="CI180" i="2"/>
  <c r="CM180" i="2" s="1"/>
  <c r="CI142" i="2"/>
  <c r="CM142" i="2" s="1"/>
  <c r="CK181" i="2"/>
  <c r="CI181" i="2"/>
  <c r="CM181" i="2" s="1"/>
  <c r="CK45" i="2"/>
  <c r="CI45" i="2"/>
  <c r="CM45" i="2" s="1"/>
  <c r="CK101" i="2"/>
  <c r="CI101" i="2"/>
  <c r="CM101" i="2" s="1"/>
  <c r="FP18" i="2"/>
  <c r="CE212" i="2"/>
  <c r="CI212" i="2"/>
  <c r="CM212" i="2" s="1"/>
  <c r="CK30" i="2"/>
  <c r="CI30" i="2"/>
  <c r="CM30" i="2" s="1"/>
  <c r="CK199" i="2"/>
  <c r="CI199" i="2"/>
  <c r="CM199" i="2" s="1"/>
  <c r="CK103" i="2"/>
  <c r="CI103" i="2"/>
  <c r="CM103" i="2" s="1"/>
  <c r="CE130" i="2"/>
  <c r="CI130" i="2"/>
  <c r="CM130" i="2" s="1"/>
  <c r="CE146" i="2"/>
  <c r="CI146" i="2"/>
  <c r="CM146" i="2" s="1"/>
  <c r="CK53" i="2"/>
  <c r="CI53" i="2"/>
  <c r="CM53" i="2" s="1"/>
  <c r="CK83" i="2"/>
  <c r="CI83" i="2"/>
  <c r="CM83" i="2" s="1"/>
  <c r="FO33" i="2"/>
  <c r="GJ33" i="2" s="1"/>
  <c r="FO237" i="2"/>
  <c r="GJ237" i="2" s="1"/>
  <c r="CK219" i="2"/>
  <c r="CI219" i="2"/>
  <c r="CM219" i="2" s="1"/>
  <c r="CI91" i="2"/>
  <c r="CM91" i="2" s="1"/>
  <c r="CE144" i="2"/>
  <c r="CI144" i="2"/>
  <c r="CM144" i="2" s="1"/>
  <c r="CE66" i="2"/>
  <c r="CI66" i="2"/>
  <c r="CM66" i="2" s="1"/>
  <c r="CK93" i="2"/>
  <c r="CI93" i="2"/>
  <c r="CM93" i="2" s="1"/>
  <c r="CK44" i="2"/>
  <c r="CI44" i="2"/>
  <c r="CM44" i="2" s="1"/>
  <c r="CK150" i="2"/>
  <c r="CI150" i="2"/>
  <c r="CM150" i="2" s="1"/>
  <c r="CK36" i="2"/>
  <c r="CI36" i="2"/>
  <c r="CM36" i="2" s="1"/>
  <c r="CK149" i="2"/>
  <c r="CI149" i="2"/>
  <c r="CM149" i="2" s="1"/>
  <c r="CE153" i="2"/>
  <c r="CI153" i="2"/>
  <c r="CM153" i="2" s="1"/>
  <c r="CK73" i="2"/>
  <c r="CI73" i="2"/>
  <c r="CM73" i="2" s="1"/>
  <c r="FN152" i="2"/>
  <c r="CI81" i="2"/>
  <c r="CM81" i="2" s="1"/>
  <c r="CK16" i="2"/>
  <c r="CI16" i="2"/>
  <c r="CM16" i="2" s="1"/>
  <c r="CE236" i="2"/>
  <c r="CI236" i="2"/>
  <c r="CM236" i="2" s="1"/>
  <c r="CE170" i="2"/>
  <c r="CI170" i="2"/>
  <c r="CM170" i="2" s="1"/>
  <c r="CK62" i="2"/>
  <c r="CI62" i="2"/>
  <c r="CM62" i="2" s="1"/>
  <c r="CK52" i="2"/>
  <c r="CI52" i="2"/>
  <c r="CM52" i="2" s="1"/>
  <c r="CK24" i="2"/>
  <c r="CI24" i="2"/>
  <c r="CM24" i="2" s="1"/>
  <c r="CK151" i="2"/>
  <c r="CI151" i="2"/>
  <c r="CM151" i="2" s="1"/>
  <c r="CE143" i="2"/>
  <c r="CI143" i="2"/>
  <c r="CM143" i="2" s="1"/>
  <c r="CI168" i="2"/>
  <c r="CM168" i="2" s="1"/>
  <c r="CE161" i="2"/>
  <c r="CI161" i="2"/>
  <c r="CM161" i="2" s="1"/>
  <c r="CK246" i="2"/>
  <c r="CI246" i="2"/>
  <c r="CM246" i="2" s="1"/>
  <c r="CK179" i="2"/>
  <c r="CI179" i="2"/>
  <c r="CM179" i="2" s="1"/>
  <c r="CK188" i="2"/>
  <c r="CI188" i="2"/>
  <c r="CM188" i="2" s="1"/>
  <c r="CE172" i="2"/>
  <c r="CI172" i="2"/>
  <c r="CM172" i="2" s="1"/>
  <c r="CE136" i="2"/>
  <c r="CI136" i="2"/>
  <c r="CM136" i="2" s="1"/>
  <c r="CK166" i="2"/>
  <c r="CI166" i="2"/>
  <c r="CM166" i="2" s="1"/>
  <c r="CK35" i="2"/>
  <c r="CI35" i="2"/>
  <c r="CM35" i="2" s="1"/>
  <c r="CE222" i="2"/>
  <c r="CI222" i="2"/>
  <c r="CM222" i="2" s="1"/>
  <c r="CE125" i="2"/>
  <c r="CI125" i="2"/>
  <c r="CM125" i="2" s="1"/>
  <c r="CK99" i="2"/>
  <c r="CI99" i="2"/>
  <c r="CM99" i="2" s="1"/>
  <c r="CE147" i="2"/>
  <c r="CI147" i="2"/>
  <c r="CM147" i="2" s="1"/>
  <c r="CK183" i="2"/>
  <c r="CI183" i="2"/>
  <c r="CM183" i="2" s="1"/>
  <c r="CE104" i="2"/>
  <c r="CI104" i="2"/>
  <c r="CM104" i="2" s="1"/>
  <c r="CK87" i="2"/>
  <c r="CI87" i="2"/>
  <c r="CM87" i="2" s="1"/>
  <c r="CK216" i="2"/>
  <c r="CI216" i="2"/>
  <c r="CM216" i="2" s="1"/>
  <c r="CK189" i="2"/>
  <c r="CI189" i="2"/>
  <c r="CM189" i="2" s="1"/>
  <c r="CI135" i="2"/>
  <c r="CM135" i="2" s="1"/>
  <c r="CK129" i="2"/>
  <c r="CI129" i="2"/>
  <c r="CM129" i="2" s="1"/>
  <c r="CI39" i="2"/>
  <c r="CM39" i="2" s="1"/>
  <c r="CK214" i="2"/>
  <c r="CI214" i="2"/>
  <c r="CM214" i="2" s="1"/>
  <c r="CE218" i="2"/>
  <c r="CI218" i="2"/>
  <c r="CM218" i="2" s="1"/>
  <c r="CK80" i="2"/>
  <c r="CI80" i="2"/>
  <c r="CM80" i="2" s="1"/>
  <c r="CK96" i="2"/>
  <c r="CI96" i="2"/>
  <c r="CM96" i="2" s="1"/>
  <c r="FN33" i="2"/>
  <c r="FN19" i="2"/>
  <c r="CE98" i="2"/>
  <c r="CI98" i="2"/>
  <c r="CM98" i="2" s="1"/>
  <c r="CI177" i="2"/>
  <c r="CM177" i="2" s="1"/>
  <c r="CE171" i="2"/>
  <c r="CI171" i="2"/>
  <c r="CM171" i="2" s="1"/>
  <c r="CE148" i="2"/>
  <c r="CI148" i="2"/>
  <c r="CM148" i="2" s="1"/>
  <c r="FO149" i="2"/>
  <c r="GJ149" i="2" s="1"/>
  <c r="CE47" i="2"/>
  <c r="CI47" i="2"/>
  <c r="CM47" i="2" s="1"/>
  <c r="CE118" i="2"/>
  <c r="CI118" i="2"/>
  <c r="CM118" i="2" s="1"/>
  <c r="CK41" i="2"/>
  <c r="CI41" i="2"/>
  <c r="CM41" i="2" s="1"/>
  <c r="FP152" i="2"/>
  <c r="CE210" i="2"/>
  <c r="CI210" i="2"/>
  <c r="CM210" i="2" s="1"/>
  <c r="CK95" i="2"/>
  <c r="CI95" i="2"/>
  <c r="CM95" i="2" s="1"/>
  <c r="CK154" i="2"/>
  <c r="CI154" i="2"/>
  <c r="CM154" i="2" s="1"/>
  <c r="CK217" i="2"/>
  <c r="CI217" i="2"/>
  <c r="CM217" i="2" s="1"/>
  <c r="CI102" i="2"/>
  <c r="CM102" i="2" s="1"/>
  <c r="CK182" i="2"/>
  <c r="CI182" i="2"/>
  <c r="CM182" i="2" s="1"/>
  <c r="CE78" i="2"/>
  <c r="CI78" i="2"/>
  <c r="CM78" i="2" s="1"/>
  <c r="CK84" i="2"/>
  <c r="CI84" i="2"/>
  <c r="CM84" i="2" s="1"/>
  <c r="CK29" i="2"/>
  <c r="CI29" i="2"/>
  <c r="CM29" i="2" s="1"/>
  <c r="CE9" i="2"/>
  <c r="CI9" i="2"/>
  <c r="CM9" i="2" s="1"/>
  <c r="CE237" i="2"/>
  <c r="CI237" i="2"/>
  <c r="CM237" i="2" s="1"/>
  <c r="CE215" i="2"/>
  <c r="CI215" i="2"/>
  <c r="CM215" i="2" s="1"/>
  <c r="CI248" i="2"/>
  <c r="CM248" i="2" s="1"/>
  <c r="CI176" i="2"/>
  <c r="CM176" i="2" s="1"/>
  <c r="CK25" i="2"/>
  <c r="CI25" i="2"/>
  <c r="CM25" i="2" s="1"/>
  <c r="CI131" i="2"/>
  <c r="CM131" i="2" s="1"/>
  <c r="CK94" i="2"/>
  <c r="CI94" i="2"/>
  <c r="CM94" i="2" s="1"/>
  <c r="FO91" i="2"/>
  <c r="GJ91" i="2" s="1"/>
  <c r="FN126" i="2"/>
  <c r="FO161" i="2"/>
  <c r="FO218" i="2"/>
  <c r="GJ218" i="2" s="1"/>
  <c r="FO126" i="2"/>
  <c r="GJ126" i="2" s="1"/>
  <c r="FN139" i="2"/>
  <c r="FO222" i="2"/>
  <c r="GJ222" i="2" s="1"/>
  <c r="FO172" i="2"/>
  <c r="GJ172" i="2" s="1"/>
  <c r="FO94" i="2"/>
  <c r="GJ94" i="2" s="1"/>
  <c r="FN218" i="2"/>
  <c r="FN110" i="2"/>
  <c r="FO41" i="2"/>
  <c r="GJ41" i="2" s="1"/>
  <c r="FN59" i="2"/>
  <c r="FN243" i="2"/>
  <c r="FO59" i="2"/>
  <c r="GJ59" i="2" s="1"/>
  <c r="FN66" i="2"/>
  <c r="FN247" i="2"/>
  <c r="FO139" i="2"/>
  <c r="GJ139" i="2" s="1"/>
  <c r="FO243" i="2"/>
  <c r="GJ243" i="2" s="1"/>
  <c r="FN69" i="2"/>
  <c r="FN94" i="2"/>
  <c r="FO242" i="2"/>
  <c r="GJ242" i="2" s="1"/>
  <c r="FO76" i="2"/>
  <c r="GJ76" i="2" s="1"/>
  <c r="FN215" i="2"/>
  <c r="FO30" i="2"/>
  <c r="FO180" i="2"/>
  <c r="GJ180" i="2" s="1"/>
  <c r="FO179" i="2"/>
  <c r="GJ179" i="2" s="1"/>
  <c r="FN76" i="2"/>
  <c r="FN98" i="2"/>
  <c r="FN250" i="2"/>
  <c r="FO250" i="2"/>
  <c r="GJ250" i="2" s="1"/>
  <c r="FN91" i="2"/>
  <c r="FN186" i="2"/>
  <c r="FO247" i="2"/>
  <c r="GJ247" i="2" s="1"/>
  <c r="FN90" i="2"/>
  <c r="FO73" i="2"/>
  <c r="GJ73" i="2" s="1"/>
  <c r="FN118" i="2"/>
  <c r="FN28" i="2"/>
  <c r="FN73" i="2"/>
  <c r="FN172" i="2"/>
  <c r="FO28" i="2"/>
  <c r="GJ28" i="2" s="1"/>
  <c r="FP197" i="2"/>
  <c r="FN242" i="2"/>
  <c r="FR92" i="2" a="1"/>
  <c r="FR92" i="2" s="1"/>
  <c r="FN30" i="2"/>
  <c r="FN167" i="2"/>
  <c r="FN161" i="2"/>
  <c r="FO98" i="2"/>
  <c r="GJ98" i="2" s="1"/>
  <c r="FN153" i="2"/>
  <c r="FN84" i="2"/>
  <c r="FN135" i="2"/>
  <c r="FN129" i="2"/>
  <c r="FN104" i="2"/>
  <c r="FP235" i="2"/>
  <c r="FP103" i="2"/>
  <c r="FO104" i="2"/>
  <c r="GJ104" i="2" s="1"/>
  <c r="FO90" i="2"/>
  <c r="GJ90" i="2" s="1"/>
  <c r="FO235" i="2"/>
  <c r="GJ235" i="2" s="1"/>
  <c r="FO84" i="2"/>
  <c r="GJ84" i="2" s="1"/>
  <c r="FP133" i="2"/>
  <c r="FO132" i="2"/>
  <c r="FN143" i="2"/>
  <c r="FN113" i="2"/>
  <c r="FO143" i="2"/>
  <c r="GJ143" i="2" s="1"/>
  <c r="FO79" i="2"/>
  <c r="GJ79" i="2" s="1"/>
  <c r="FP206" i="2"/>
  <c r="FN133" i="2"/>
  <c r="FN140" i="2"/>
  <c r="FP79" i="2"/>
  <c r="FN60" i="2"/>
  <c r="FN114" i="2"/>
  <c r="FN207" i="2"/>
  <c r="FO44" i="2"/>
  <c r="FN53" i="2"/>
  <c r="FO206" i="2"/>
  <c r="GJ206" i="2" s="1"/>
  <c r="FO96" i="2"/>
  <c r="GJ96" i="2" s="1"/>
  <c r="FO53" i="2"/>
  <c r="GJ53" i="2" s="1"/>
  <c r="FO207" i="2"/>
  <c r="GJ207" i="2" s="1"/>
  <c r="FP132" i="2"/>
  <c r="FN13" i="2"/>
  <c r="FN174" i="2"/>
  <c r="FO114" i="2"/>
  <c r="GJ114" i="2" s="1"/>
  <c r="FO60" i="2"/>
  <c r="GJ60" i="2" s="1"/>
  <c r="FO113" i="2"/>
  <c r="GJ113" i="2" s="1"/>
  <c r="FN96" i="2"/>
  <c r="FO174" i="2"/>
  <c r="GJ174" i="2" s="1"/>
  <c r="FO13" i="2"/>
  <c r="GJ13" i="2" s="1"/>
  <c r="FN23" i="2"/>
  <c r="FR211" i="2" a="1"/>
  <c r="FR211" i="2" s="1"/>
  <c r="FO34" i="2"/>
  <c r="GJ34" i="2" s="1"/>
  <c r="FN185" i="2"/>
  <c r="FP83" i="2"/>
  <c r="FP44" i="2"/>
  <c r="FN54" i="2"/>
  <c r="FN21" i="2"/>
  <c r="FO21" i="2"/>
  <c r="GJ21" i="2" s="1"/>
  <c r="FN34" i="2"/>
  <c r="FO54" i="2"/>
  <c r="GJ54" i="2" s="1"/>
  <c r="FO23" i="2"/>
  <c r="GJ23" i="2" s="1"/>
  <c r="FW108" i="2"/>
  <c r="FX108" i="2" s="1" a="1"/>
  <c r="FX108" i="2" s="1"/>
  <c r="FN151" i="2"/>
  <c r="FM251" i="2"/>
  <c r="FO39" i="2"/>
  <c r="GJ39" i="2" s="1"/>
  <c r="FN36" i="2"/>
  <c r="FR247" i="2" a="1"/>
  <c r="FR247" i="2" s="1"/>
  <c r="FN65" i="2"/>
  <c r="FN41" i="2"/>
  <c r="FR152" i="2" a="1"/>
  <c r="FR152" i="2" s="1"/>
  <c r="FO65" i="2"/>
  <c r="GJ65" i="2" s="1"/>
  <c r="FO77" i="2"/>
  <c r="GJ77" i="2" s="1"/>
  <c r="FN77" i="2"/>
  <c r="FO106" i="2"/>
  <c r="GJ106" i="2" s="1"/>
  <c r="FR245" i="2" a="1"/>
  <c r="FR245" i="2" s="1"/>
  <c r="FO215" i="2"/>
  <c r="GJ215" i="2" s="1"/>
  <c r="FO170" i="2"/>
  <c r="GJ170" i="2" s="1"/>
  <c r="FO43" i="2"/>
  <c r="GJ43" i="2" s="1"/>
  <c r="FN38" i="2"/>
  <c r="FO47" i="2"/>
  <c r="GJ47" i="2" s="1"/>
  <c r="FO26" i="2"/>
  <c r="GJ26" i="2" s="1"/>
  <c r="FN26" i="2"/>
  <c r="FN177" i="2"/>
  <c r="FN22" i="2"/>
  <c r="FO177" i="2"/>
  <c r="GJ177" i="2" s="1"/>
  <c r="FO148" i="2"/>
  <c r="GJ148" i="2" s="1"/>
  <c r="FP43" i="2"/>
  <c r="FO38" i="2"/>
  <c r="GJ38" i="2" s="1"/>
  <c r="FN170" i="2"/>
  <c r="FO203" i="2"/>
  <c r="GJ203" i="2" s="1"/>
  <c r="FN83" i="2"/>
  <c r="FN148" i="2"/>
  <c r="FO57" i="2"/>
  <c r="GJ57" i="2" s="1"/>
  <c r="FR239" i="2" a="1"/>
  <c r="FR239" i="2" s="1"/>
  <c r="FP57" i="2"/>
  <c r="FO22" i="2"/>
  <c r="GJ22" i="2" s="1"/>
  <c r="FR240" i="2" a="1"/>
  <c r="FR240" i="2" s="1"/>
  <c r="FN47" i="2"/>
  <c r="FH11" i="2"/>
  <c r="FK11" i="2" s="1"/>
  <c r="FG11" i="2"/>
  <c r="FU11" i="2" s="1"/>
  <c r="FV11" i="2" s="1"/>
  <c r="FE11" i="2"/>
  <c r="FC11" i="2"/>
  <c r="FH220" i="2"/>
  <c r="FK220" i="2" s="1"/>
  <c r="FG220" i="2"/>
  <c r="FU220" i="2" s="1"/>
  <c r="FV220" i="2" s="1"/>
  <c r="FE220" i="2"/>
  <c r="FC220" i="2"/>
  <c r="FH104" i="2"/>
  <c r="FK104" i="2" s="1"/>
  <c r="FG104" i="2"/>
  <c r="FU104" i="2" s="1"/>
  <c r="FV104" i="2" s="1"/>
  <c r="FC104" i="2"/>
  <c r="FE104" i="2"/>
  <c r="FH91" i="2"/>
  <c r="FK91" i="2" s="1"/>
  <c r="FG91" i="2"/>
  <c r="FU91" i="2" s="1"/>
  <c r="FV91" i="2" s="1"/>
  <c r="FC91" i="2"/>
  <c r="FE91" i="2"/>
  <c r="FG63" i="2"/>
  <c r="FU63" i="2" s="1"/>
  <c r="FV63" i="2" s="1"/>
  <c r="FH63" i="2"/>
  <c r="FK63" i="2" s="1"/>
  <c r="FE63" i="2"/>
  <c r="FC63" i="2"/>
  <c r="FH33" i="2"/>
  <c r="FK33" i="2" s="1"/>
  <c r="FG33" i="2"/>
  <c r="FU33" i="2" s="1"/>
  <c r="FV33" i="2" s="1"/>
  <c r="FE33" i="2"/>
  <c r="FC33" i="2"/>
  <c r="FH66" i="2"/>
  <c r="FK66" i="2" s="1"/>
  <c r="FG66" i="2"/>
  <c r="FU66" i="2" s="1"/>
  <c r="FV66" i="2" s="1"/>
  <c r="FC66" i="2"/>
  <c r="FE66" i="2"/>
  <c r="FG246" i="2"/>
  <c r="FH246" i="2" s="1"/>
  <c r="FG17" i="2"/>
  <c r="FU17" i="2" s="1"/>
  <c r="FV17" i="2" s="1"/>
  <c r="FH17" i="2"/>
  <c r="FK17" i="2" s="1"/>
  <c r="FE17" i="2"/>
  <c r="FC17" i="2"/>
  <c r="FH52" i="2"/>
  <c r="FK52" i="2" s="1"/>
  <c r="FG52" i="2"/>
  <c r="FU52" i="2" s="1"/>
  <c r="FV52" i="2" s="1"/>
  <c r="FC52" i="2"/>
  <c r="FE52" i="2"/>
  <c r="FG18" i="2"/>
  <c r="FU18" i="2" s="1"/>
  <c r="FV18" i="2" s="1"/>
  <c r="FH18" i="2"/>
  <c r="FK18" i="2" s="1"/>
  <c r="FC18" i="2"/>
  <c r="FE18" i="2"/>
  <c r="FH88" i="2"/>
  <c r="FK88" i="2" s="1"/>
  <c r="FG88" i="2"/>
  <c r="FU88" i="2" s="1"/>
  <c r="FV88" i="2" s="1"/>
  <c r="FC88" i="2"/>
  <c r="FE88" i="2"/>
  <c r="FH154" i="2"/>
  <c r="FK154" i="2" s="1"/>
  <c r="FG154" i="2"/>
  <c r="FU154" i="2" s="1"/>
  <c r="FV154" i="2" s="1"/>
  <c r="FE154" i="2"/>
  <c r="FC154" i="2"/>
  <c r="FG161" i="2"/>
  <c r="EX161" i="2" s="1"/>
  <c r="EY161" i="2" s="1"/>
  <c r="FG169" i="2"/>
  <c r="FU169" i="2" s="1"/>
  <c r="FV169" i="2" s="1"/>
  <c r="FH169" i="2"/>
  <c r="FK169" i="2" s="1"/>
  <c r="FC169" i="2"/>
  <c r="FE169" i="2"/>
  <c r="FH92" i="2"/>
  <c r="FK92" i="2" s="1"/>
  <c r="FG92" i="2"/>
  <c r="FU92" i="2" s="1"/>
  <c r="FV92" i="2" s="1"/>
  <c r="FE92" i="2"/>
  <c r="FC92" i="2"/>
  <c r="FH12" i="2"/>
  <c r="FK12" i="2" s="1"/>
  <c r="FG12" i="2"/>
  <c r="FU12" i="2" s="1"/>
  <c r="FV12" i="2" s="1"/>
  <c r="FE12" i="2"/>
  <c r="FC12" i="2"/>
  <c r="FG114" i="2"/>
  <c r="FU114" i="2" s="1"/>
  <c r="FV114" i="2" s="1"/>
  <c r="FH114" i="2"/>
  <c r="FK114" i="2" s="1"/>
  <c r="FC114" i="2"/>
  <c r="FE114" i="2"/>
  <c r="FH151" i="2"/>
  <c r="FK151" i="2" s="1"/>
  <c r="FC151" i="2"/>
  <c r="FG151" i="2"/>
  <c r="FU151" i="2" s="1"/>
  <c r="FV151" i="2" s="1"/>
  <c r="FE151" i="2"/>
  <c r="FH173" i="2"/>
  <c r="FK173" i="2" s="1"/>
  <c r="FG173" i="2"/>
  <c r="FU173" i="2" s="1"/>
  <c r="FV173" i="2" s="1"/>
  <c r="FE173" i="2"/>
  <c r="FC173" i="2"/>
  <c r="FH26" i="2"/>
  <c r="FK26" i="2" s="1"/>
  <c r="FG26" i="2"/>
  <c r="FU26" i="2" s="1"/>
  <c r="FV26" i="2" s="1"/>
  <c r="FE26" i="2"/>
  <c r="FC26" i="2"/>
  <c r="FH57" i="2"/>
  <c r="FK57" i="2" s="1"/>
  <c r="FG57" i="2"/>
  <c r="FU57" i="2" s="1"/>
  <c r="FV57" i="2" s="1"/>
  <c r="FC57" i="2"/>
  <c r="FE57" i="2"/>
  <c r="FH120" i="2"/>
  <c r="FK120" i="2" s="1"/>
  <c r="FG120" i="2"/>
  <c r="FU120" i="2" s="1"/>
  <c r="FV120" i="2" s="1"/>
  <c r="FC120" i="2"/>
  <c r="FE120" i="2"/>
  <c r="FG215" i="2"/>
  <c r="FU215" i="2" s="1"/>
  <c r="FV215" i="2" s="1"/>
  <c r="FH215" i="2"/>
  <c r="FK215" i="2" s="1"/>
  <c r="FE215" i="2"/>
  <c r="FC215" i="2"/>
  <c r="FG47" i="2"/>
  <c r="FU47" i="2" s="1"/>
  <c r="FV47" i="2" s="1"/>
  <c r="FH47" i="2"/>
  <c r="FK47" i="2" s="1"/>
  <c r="FE47" i="2"/>
  <c r="FC47" i="2"/>
  <c r="FH84" i="2"/>
  <c r="FK84" i="2" s="1"/>
  <c r="FG84" i="2"/>
  <c r="FU84" i="2" s="1"/>
  <c r="FV84" i="2" s="1"/>
  <c r="FC84" i="2"/>
  <c r="FE84" i="2"/>
  <c r="FH129" i="2"/>
  <c r="FK129" i="2" s="1"/>
  <c r="FG129" i="2"/>
  <c r="FU129" i="2" s="1"/>
  <c r="FV129" i="2" s="1"/>
  <c r="FE129" i="2"/>
  <c r="FC129" i="2"/>
  <c r="FG50" i="2"/>
  <c r="FU50" i="2" s="1"/>
  <c r="FV50" i="2" s="1"/>
  <c r="FH50" i="2"/>
  <c r="FK50" i="2" s="1"/>
  <c r="FC50" i="2"/>
  <c r="FE50" i="2"/>
  <c r="FH43" i="2"/>
  <c r="FK43" i="2" s="1"/>
  <c r="FG43" i="2"/>
  <c r="FU43" i="2" s="1"/>
  <c r="FV43" i="2" s="1"/>
  <c r="FE43" i="2"/>
  <c r="FC43" i="2"/>
  <c r="FH100" i="2"/>
  <c r="FK100" i="2" s="1"/>
  <c r="FG100" i="2"/>
  <c r="FU100" i="2" s="1"/>
  <c r="FV100" i="2" s="1"/>
  <c r="FC100" i="2"/>
  <c r="FE100" i="2"/>
  <c r="FH198" i="2"/>
  <c r="FK198" i="2" s="1"/>
  <c r="FG198" i="2"/>
  <c r="FU198" i="2" s="1"/>
  <c r="FV198" i="2" s="1"/>
  <c r="FC198" i="2"/>
  <c r="FE198" i="2"/>
  <c r="FG117" i="2"/>
  <c r="FU117" i="2" s="1"/>
  <c r="FV117" i="2" s="1"/>
  <c r="FH117" i="2"/>
  <c r="FK117" i="2" s="1"/>
  <c r="FC117" i="2"/>
  <c r="FE117" i="2"/>
  <c r="FH174" i="2"/>
  <c r="FK174" i="2" s="1"/>
  <c r="FG174" i="2"/>
  <c r="FU174" i="2" s="1"/>
  <c r="FV174" i="2" s="1"/>
  <c r="FE174" i="2"/>
  <c r="FC174" i="2"/>
  <c r="FH83" i="2"/>
  <c r="FK83" i="2" s="1"/>
  <c r="FG83" i="2"/>
  <c r="FU83" i="2" s="1"/>
  <c r="FV83" i="2" s="1"/>
  <c r="FE83" i="2"/>
  <c r="FC83" i="2"/>
  <c r="FH170" i="2"/>
  <c r="FK170" i="2" s="1"/>
  <c r="FG170" i="2"/>
  <c r="FU170" i="2" s="1"/>
  <c r="FV170" i="2" s="1"/>
  <c r="FE170" i="2"/>
  <c r="FC170" i="2"/>
  <c r="FH223" i="2"/>
  <c r="FK223" i="2" s="1"/>
  <c r="FG223" i="2"/>
  <c r="FU223" i="2" s="1"/>
  <c r="FV223" i="2" s="1"/>
  <c r="FE223" i="2"/>
  <c r="FC223" i="2"/>
  <c r="FH146" i="2"/>
  <c r="FK146" i="2" s="1"/>
  <c r="FG146" i="2"/>
  <c r="FC146" i="2"/>
  <c r="FE146" i="2"/>
  <c r="FH48" i="2"/>
  <c r="FK48" i="2" s="1"/>
  <c r="FG48" i="2"/>
  <c r="FU48" i="2" s="1"/>
  <c r="FV48" i="2" s="1"/>
  <c r="FE48" i="2"/>
  <c r="FC48" i="2"/>
  <c r="FH38" i="2"/>
  <c r="FK38" i="2" s="1"/>
  <c r="FG38" i="2"/>
  <c r="FU38" i="2" s="1"/>
  <c r="FV38" i="2" s="1"/>
  <c r="FC38" i="2"/>
  <c r="FE38" i="2"/>
  <c r="FH147" i="2"/>
  <c r="FK147" i="2" s="1"/>
  <c r="FG147" i="2"/>
  <c r="FU147" i="2" s="1"/>
  <c r="FV147" i="2" s="1"/>
  <c r="FE147" i="2"/>
  <c r="FC147" i="2"/>
  <c r="FH239" i="2"/>
  <c r="FK239" i="2" s="1"/>
  <c r="FG239" i="2"/>
  <c r="FU239" i="2" s="1"/>
  <c r="FV239" i="2" s="1"/>
  <c r="FE239" i="2"/>
  <c r="FC239" i="2"/>
  <c r="FG22" i="2"/>
  <c r="FU22" i="2" s="1"/>
  <c r="FV22" i="2" s="1"/>
  <c r="FH22" i="2"/>
  <c r="FK22" i="2" s="1"/>
  <c r="FC22" i="2"/>
  <c r="FE22" i="2"/>
  <c r="FH59" i="2"/>
  <c r="FK59" i="2" s="1"/>
  <c r="FG59" i="2"/>
  <c r="FU59" i="2" s="1"/>
  <c r="FV59" i="2" s="1"/>
  <c r="FC59" i="2"/>
  <c r="FE59" i="2"/>
  <c r="FH87" i="2"/>
  <c r="FK87" i="2" s="1"/>
  <c r="FC87" i="2"/>
  <c r="FG87" i="2"/>
  <c r="FU87" i="2" s="1"/>
  <c r="FV87" i="2" s="1"/>
  <c r="FE87" i="2"/>
  <c r="FG97" i="2"/>
  <c r="FU97" i="2" s="1"/>
  <c r="FV97" i="2" s="1"/>
  <c r="FE97" i="2"/>
  <c r="FH97" i="2"/>
  <c r="FK97" i="2" s="1"/>
  <c r="FC97" i="2"/>
  <c r="FH90" i="2"/>
  <c r="FK90" i="2" s="1"/>
  <c r="FG90" i="2"/>
  <c r="FU90" i="2" s="1"/>
  <c r="FV90" i="2" s="1"/>
  <c r="FE90" i="2"/>
  <c r="FC90" i="2"/>
  <c r="FH82" i="2"/>
  <c r="FK82" i="2" s="1"/>
  <c r="FG82" i="2"/>
  <c r="FU82" i="2" s="1"/>
  <c r="FV82" i="2" s="1"/>
  <c r="FC82" i="2"/>
  <c r="FE82" i="2"/>
  <c r="FG202" i="2"/>
  <c r="FU202" i="2" s="1"/>
  <c r="FV202" i="2" s="1"/>
  <c r="FH202" i="2"/>
  <c r="FK202" i="2" s="1"/>
  <c r="FC202" i="2"/>
  <c r="FE202" i="2"/>
  <c r="FH152" i="2"/>
  <c r="FK152" i="2" s="1"/>
  <c r="FG152" i="2"/>
  <c r="FU152" i="2" s="1"/>
  <c r="FV152" i="2" s="1"/>
  <c r="FC152" i="2"/>
  <c r="FE152" i="2"/>
  <c r="FH60" i="2"/>
  <c r="FK60" i="2" s="1"/>
  <c r="FG60" i="2"/>
  <c r="FU60" i="2" s="1"/>
  <c r="FV60" i="2" s="1"/>
  <c r="FE60" i="2"/>
  <c r="FC60" i="2"/>
  <c r="FG13" i="2"/>
  <c r="FU13" i="2" s="1"/>
  <c r="FV13" i="2" s="1"/>
  <c r="FH13" i="2"/>
  <c r="FK13" i="2" s="1"/>
  <c r="FE13" i="2"/>
  <c r="FC13" i="2"/>
  <c r="FH37" i="2"/>
  <c r="FK37" i="2" s="1"/>
  <c r="FG37" i="2"/>
  <c r="FU37" i="2" s="1"/>
  <c r="FV37" i="2" s="1"/>
  <c r="FC37" i="2"/>
  <c r="FE37" i="2"/>
  <c r="FH102" i="2"/>
  <c r="FK102" i="2" s="1"/>
  <c r="FG102" i="2"/>
  <c r="FU102" i="2" s="1"/>
  <c r="FV102" i="2" s="1"/>
  <c r="FC102" i="2"/>
  <c r="FE102" i="2"/>
  <c r="FH81" i="2"/>
  <c r="FK81" i="2" s="1"/>
  <c r="FG81" i="2"/>
  <c r="FU81" i="2" s="1"/>
  <c r="FV81" i="2" s="1"/>
  <c r="FE81" i="2"/>
  <c r="FC81" i="2"/>
  <c r="FG143" i="2"/>
  <c r="FU143" i="2" s="1"/>
  <c r="FV143" i="2" s="1"/>
  <c r="FH143" i="2"/>
  <c r="FK143" i="2" s="1"/>
  <c r="FE143" i="2"/>
  <c r="FC143" i="2"/>
  <c r="FG116" i="2"/>
  <c r="FU116" i="2" s="1"/>
  <c r="FV116" i="2" s="1"/>
  <c r="FH116" i="2"/>
  <c r="FK116" i="2" s="1"/>
  <c r="FC116" i="2"/>
  <c r="FE116" i="2"/>
  <c r="FG245" i="2"/>
  <c r="FU245" i="2" s="1"/>
  <c r="FV245" i="2" s="1"/>
  <c r="FH245" i="2"/>
  <c r="FK245" i="2" s="1"/>
  <c r="FE245" i="2"/>
  <c r="FC245" i="2"/>
  <c r="FH79" i="2"/>
  <c r="FK79" i="2" s="1"/>
  <c r="FG79" i="2"/>
  <c r="FU79" i="2" s="1"/>
  <c r="FV79" i="2" s="1"/>
  <c r="FE79" i="2"/>
  <c r="FC79" i="2"/>
  <c r="FH140" i="2"/>
  <c r="FK140" i="2" s="1"/>
  <c r="FG140" i="2"/>
  <c r="FU140" i="2" s="1"/>
  <c r="FV140" i="2" s="1"/>
  <c r="FE140" i="2"/>
  <c r="FC140" i="2"/>
  <c r="FH56" i="2"/>
  <c r="FK56" i="2" s="1"/>
  <c r="FG56" i="2"/>
  <c r="FU56" i="2" s="1"/>
  <c r="FV56" i="2" s="1"/>
  <c r="FC56" i="2"/>
  <c r="FE56" i="2"/>
  <c r="FG164" i="2"/>
  <c r="FU164" i="2" s="1"/>
  <c r="FV164" i="2" s="1"/>
  <c r="FH164" i="2"/>
  <c r="FK164" i="2" s="1"/>
  <c r="FC164" i="2"/>
  <c r="FE164" i="2"/>
  <c r="FH76" i="2"/>
  <c r="FK76" i="2" s="1"/>
  <c r="FG76" i="2"/>
  <c r="FU76" i="2" s="1"/>
  <c r="FV76" i="2" s="1"/>
  <c r="FE76" i="2"/>
  <c r="FC76" i="2"/>
  <c r="FG234" i="2"/>
  <c r="FU234" i="2" s="1"/>
  <c r="FV234" i="2" s="1"/>
  <c r="FH234" i="2"/>
  <c r="FK234" i="2" s="1"/>
  <c r="FE234" i="2"/>
  <c r="FC234" i="2"/>
  <c r="FH236" i="2"/>
  <c r="FK236" i="2" s="1"/>
  <c r="FG236" i="2"/>
  <c r="FU236" i="2" s="1"/>
  <c r="FV236" i="2" s="1"/>
  <c r="FE236" i="2"/>
  <c r="FC236" i="2"/>
  <c r="FG46" i="2"/>
  <c r="FU46" i="2" s="1"/>
  <c r="FV46" i="2" s="1"/>
  <c r="FH46" i="2"/>
  <c r="FK46" i="2" s="1"/>
  <c r="FE46" i="2"/>
  <c r="FC46" i="2"/>
  <c r="FH23" i="2"/>
  <c r="FK23" i="2" s="1"/>
  <c r="FG23" i="2"/>
  <c r="FU23" i="2" s="1"/>
  <c r="FV23" i="2" s="1"/>
  <c r="FC23" i="2"/>
  <c r="FE23" i="2"/>
  <c r="FH54" i="2"/>
  <c r="FK54" i="2" s="1"/>
  <c r="FG54" i="2"/>
  <c r="FU54" i="2" s="1"/>
  <c r="FV54" i="2" s="1"/>
  <c r="FC54" i="2"/>
  <c r="FE54" i="2"/>
  <c r="FG96" i="2"/>
  <c r="FU96" i="2" s="1"/>
  <c r="FV96" i="2" s="1"/>
  <c r="FH96" i="2"/>
  <c r="FK96" i="2" s="1"/>
  <c r="FE96" i="2"/>
  <c r="FC96" i="2"/>
  <c r="FG113" i="2"/>
  <c r="FU113" i="2" s="1"/>
  <c r="FV113" i="2" s="1"/>
  <c r="FH113" i="2"/>
  <c r="FK113" i="2" s="1"/>
  <c r="FE113" i="2"/>
  <c r="FC113" i="2"/>
  <c r="FH44" i="2"/>
  <c r="FK44" i="2" s="1"/>
  <c r="FG44" i="2"/>
  <c r="FU44" i="2" s="1"/>
  <c r="FV44" i="2" s="1"/>
  <c r="FE44" i="2"/>
  <c r="FC44" i="2"/>
  <c r="FG185" i="2"/>
  <c r="FU185" i="2" s="1"/>
  <c r="FV185" i="2" s="1"/>
  <c r="FH185" i="2"/>
  <c r="FK185" i="2" s="1"/>
  <c r="FC185" i="2"/>
  <c r="FE185" i="2"/>
  <c r="FG167" i="2"/>
  <c r="FE167" i="2"/>
  <c r="FH167" i="2"/>
  <c r="FC167" i="2"/>
  <c r="FH193" i="2"/>
  <c r="FK193" i="2" s="1"/>
  <c r="FG193" i="2"/>
  <c r="FU193" i="2" s="1"/>
  <c r="FV193" i="2" s="1"/>
  <c r="FE193" i="2"/>
  <c r="FC193" i="2"/>
  <c r="FG231" i="2"/>
  <c r="FU231" i="2" s="1"/>
  <c r="FV231" i="2" s="1"/>
  <c r="FH231" i="2"/>
  <c r="FK231" i="2" s="1"/>
  <c r="FE231" i="2"/>
  <c r="FC231" i="2"/>
  <c r="FH134" i="2"/>
  <c r="FK134" i="2" s="1"/>
  <c r="FG134" i="2"/>
  <c r="FU134" i="2" s="1"/>
  <c r="FV134" i="2" s="1"/>
  <c r="FC134" i="2"/>
  <c r="FE134" i="2"/>
  <c r="FH194" i="2"/>
  <c r="FK194" i="2" s="1"/>
  <c r="FG194" i="2"/>
  <c r="FU194" i="2" s="1"/>
  <c r="FV194" i="2" s="1"/>
  <c r="FC194" i="2"/>
  <c r="FE194" i="2"/>
  <c r="FH136" i="2"/>
  <c r="FK136" i="2" s="1"/>
  <c r="FG136" i="2"/>
  <c r="FU136" i="2" s="1"/>
  <c r="FV136" i="2" s="1"/>
  <c r="FC136" i="2"/>
  <c r="FE136" i="2"/>
  <c r="FH199" i="2"/>
  <c r="FK199" i="2" s="1"/>
  <c r="FG199" i="2"/>
  <c r="FU199" i="2" s="1"/>
  <c r="FV199" i="2" s="1"/>
  <c r="FE199" i="2"/>
  <c r="FC199" i="2"/>
  <c r="FH200" i="2"/>
  <c r="FK200" i="2" s="1"/>
  <c r="FG200" i="2"/>
  <c r="FU200" i="2" s="1"/>
  <c r="FV200" i="2" s="1"/>
  <c r="FE200" i="2"/>
  <c r="FC200" i="2"/>
  <c r="FG244" i="2"/>
  <c r="FU244" i="2" s="1"/>
  <c r="FV244" i="2" s="1"/>
  <c r="FH244" i="2"/>
  <c r="FK244" i="2" s="1"/>
  <c r="FE244" i="2"/>
  <c r="FC244" i="2"/>
  <c r="FH80" i="2"/>
  <c r="FK80" i="2" s="1"/>
  <c r="FG80" i="2"/>
  <c r="FU80" i="2" s="1"/>
  <c r="FV80" i="2" s="1"/>
  <c r="FE80" i="2"/>
  <c r="FC80" i="2"/>
  <c r="FH207" i="2"/>
  <c r="FK207" i="2" s="1"/>
  <c r="FG207" i="2"/>
  <c r="FU207" i="2" s="1"/>
  <c r="FV207" i="2" s="1"/>
  <c r="FC207" i="2"/>
  <c r="FE207" i="2"/>
  <c r="FG155" i="2"/>
  <c r="FU155" i="2" s="1"/>
  <c r="FV155" i="2" s="1"/>
  <c r="FH155" i="2"/>
  <c r="FK155" i="2" s="1"/>
  <c r="FC155" i="2"/>
  <c r="FE155" i="2"/>
  <c r="FH132" i="2"/>
  <c r="FK132" i="2" s="1"/>
  <c r="FG132" i="2"/>
  <c r="FU132" i="2" s="1"/>
  <c r="FV132" i="2" s="1"/>
  <c r="FC132" i="2"/>
  <c r="FE132" i="2"/>
  <c r="FG21" i="2"/>
  <c r="FU21" i="2" s="1"/>
  <c r="FV21" i="2" s="1"/>
  <c r="FC21" i="2"/>
  <c r="FH21" i="2"/>
  <c r="FK21" i="2" s="1"/>
  <c r="FE21" i="2"/>
  <c r="FH34" i="2"/>
  <c r="FK34" i="2" s="1"/>
  <c r="FG34" i="2"/>
  <c r="FU34" i="2" s="1"/>
  <c r="FV34" i="2" s="1"/>
  <c r="FC34" i="2"/>
  <c r="FE34" i="2"/>
  <c r="FH133" i="2"/>
  <c r="FK133" i="2" s="1"/>
  <c r="FG133" i="2"/>
  <c r="FU133" i="2" s="1"/>
  <c r="FV133" i="2" s="1"/>
  <c r="FC133" i="2"/>
  <c r="FE133" i="2"/>
  <c r="FG212" i="2"/>
  <c r="FU212" i="2" s="1"/>
  <c r="FV212" i="2" s="1"/>
  <c r="FH212" i="2"/>
  <c r="FK212" i="2" s="1"/>
  <c r="FE212" i="2"/>
  <c r="FC212" i="2"/>
  <c r="FH53" i="2"/>
  <c r="FK53" i="2" s="1"/>
  <c r="FG53" i="2"/>
  <c r="FU53" i="2" s="1"/>
  <c r="FV53" i="2" s="1"/>
  <c r="FC53" i="2"/>
  <c r="FE53" i="2"/>
  <c r="FH206" i="2"/>
  <c r="FK206" i="2" s="1"/>
  <c r="FG206" i="2"/>
  <c r="FU206" i="2" s="1"/>
  <c r="FV206" i="2" s="1"/>
  <c r="FE206" i="2"/>
  <c r="FC206" i="2"/>
  <c r="FH106" i="2"/>
  <c r="FK106" i="2" s="1"/>
  <c r="FG106" i="2"/>
  <c r="FU106" i="2" s="1"/>
  <c r="FV106" i="2" s="1"/>
  <c r="FE106" i="2"/>
  <c r="FC106" i="2"/>
  <c r="FH190" i="2"/>
  <c r="FK190" i="2" s="1"/>
  <c r="FG190" i="2"/>
  <c r="FU190" i="2" s="1"/>
  <c r="FV190" i="2" s="1"/>
  <c r="FE190" i="2"/>
  <c r="FC190" i="2"/>
  <c r="FH243" i="2"/>
  <c r="FK243" i="2" s="1"/>
  <c r="FG243" i="2"/>
  <c r="FU243" i="2" s="1"/>
  <c r="FV243" i="2" s="1"/>
  <c r="FC243" i="2"/>
  <c r="FE243" i="2"/>
  <c r="FH240" i="2"/>
  <c r="FK240" i="2" s="1"/>
  <c r="FG240" i="2"/>
  <c r="FU240" i="2" s="1"/>
  <c r="FV240" i="2" s="1"/>
  <c r="FE240" i="2"/>
  <c r="FC240" i="2"/>
  <c r="FH180" i="2"/>
  <c r="FK180" i="2" s="1"/>
  <c r="FG180" i="2"/>
  <c r="FU180" i="2" s="1"/>
  <c r="FV180" i="2" s="1"/>
  <c r="FC180" i="2"/>
  <c r="FE180" i="2"/>
  <c r="FH9" i="2"/>
  <c r="FK9" i="2" s="1"/>
  <c r="FG9" i="2"/>
  <c r="FU9" i="2" s="1"/>
  <c r="FV9" i="2" s="1"/>
  <c r="FC9" i="2"/>
  <c r="FE9" i="2"/>
  <c r="FG162" i="2"/>
  <c r="FU162" i="2" s="1"/>
  <c r="FV162" i="2" s="1"/>
  <c r="FH162" i="2"/>
  <c r="FK162" i="2" s="1"/>
  <c r="FC162" i="2"/>
  <c r="FE162" i="2"/>
  <c r="FG14" i="2"/>
  <c r="FU14" i="2" s="1"/>
  <c r="FV14" i="2" s="1"/>
  <c r="FH14" i="2"/>
  <c r="FK14" i="2" s="1"/>
  <c r="FE14" i="2"/>
  <c r="FC14" i="2"/>
  <c r="FG78" i="2"/>
  <c r="FU78" i="2" s="1"/>
  <c r="FV78" i="2" s="1"/>
  <c r="FH78" i="2"/>
  <c r="FK78" i="2" s="1"/>
  <c r="FE78" i="2"/>
  <c r="FC78" i="2"/>
  <c r="FG139" i="2"/>
  <c r="FU139" i="2" s="1"/>
  <c r="FV139" i="2" s="1"/>
  <c r="FH139" i="2"/>
  <c r="FK139" i="2" s="1"/>
  <c r="FC139" i="2"/>
  <c r="FE139" i="2"/>
  <c r="FH10" i="2"/>
  <c r="FK10" i="2" s="1"/>
  <c r="FG10" i="2"/>
  <c r="FU10" i="2" s="1"/>
  <c r="FV10" i="2" s="1"/>
  <c r="FE10" i="2"/>
  <c r="FC10" i="2"/>
  <c r="FH108" i="2"/>
  <c r="FK108" i="2" s="1"/>
  <c r="FG108" i="2"/>
  <c r="FU108" i="2" s="1"/>
  <c r="FV108" i="2" s="1"/>
  <c r="FE108" i="2"/>
  <c r="FC108" i="2"/>
  <c r="FH75" i="2"/>
  <c r="FK75" i="2" s="1"/>
  <c r="FG75" i="2"/>
  <c r="FU75" i="2" s="1"/>
  <c r="FV75" i="2" s="1"/>
  <c r="FC75" i="2"/>
  <c r="FE75" i="2"/>
  <c r="FH105" i="2"/>
  <c r="FK105" i="2" s="1"/>
  <c r="FG105" i="2"/>
  <c r="FU105" i="2" s="1"/>
  <c r="FV105" i="2" s="1"/>
  <c r="FC105" i="2"/>
  <c r="FE105" i="2"/>
  <c r="FG49" i="2"/>
  <c r="FU49" i="2" s="1"/>
  <c r="FV49" i="2" s="1"/>
  <c r="FE49" i="2"/>
  <c r="FH49" i="2"/>
  <c r="FK49" i="2" s="1"/>
  <c r="FC49" i="2"/>
  <c r="FG144" i="2"/>
  <c r="FU144" i="2" s="1"/>
  <c r="FV144" i="2" s="1"/>
  <c r="FH144" i="2"/>
  <c r="FK144" i="2" s="1"/>
  <c r="FE144" i="2"/>
  <c r="FC144" i="2"/>
  <c r="FG62" i="2"/>
  <c r="FU62" i="2" s="1"/>
  <c r="FV62" i="2" s="1"/>
  <c r="FH62" i="2"/>
  <c r="FK62" i="2" s="1"/>
  <c r="FE62" i="2"/>
  <c r="FC62" i="2"/>
  <c r="FH72" i="2"/>
  <c r="FK72" i="2" s="1"/>
  <c r="FG72" i="2"/>
  <c r="FU72" i="2" s="1"/>
  <c r="FV72" i="2" s="1"/>
  <c r="FC72" i="2"/>
  <c r="FE72" i="2"/>
  <c r="FH225" i="2"/>
  <c r="FK225" i="2" s="1"/>
  <c r="FG225" i="2"/>
  <c r="FU225" i="2" s="1"/>
  <c r="FV225" i="2" s="1"/>
  <c r="FE225" i="2"/>
  <c r="FC225" i="2"/>
  <c r="FH217" i="2"/>
  <c r="FK217" i="2" s="1"/>
  <c r="FG217" i="2"/>
  <c r="FU217" i="2" s="1"/>
  <c r="FV217" i="2" s="1"/>
  <c r="FE217" i="2"/>
  <c r="FC217" i="2"/>
  <c r="FH68" i="2"/>
  <c r="FK68" i="2" s="1"/>
  <c r="FG68" i="2"/>
  <c r="FU68" i="2" s="1"/>
  <c r="FV68" i="2" s="1"/>
  <c r="FC68" i="2"/>
  <c r="FE68" i="2"/>
  <c r="FG160" i="2"/>
  <c r="FU160" i="2" s="1"/>
  <c r="FV160" i="2" s="1"/>
  <c r="FH160" i="2"/>
  <c r="FK160" i="2" s="1"/>
  <c r="FE160" i="2"/>
  <c r="FC160" i="2"/>
  <c r="FG247" i="2"/>
  <c r="FU247" i="2" s="1"/>
  <c r="FV247" i="2" s="1"/>
  <c r="FH247" i="2"/>
  <c r="FK247" i="2" s="1"/>
  <c r="FE247" i="2"/>
  <c r="FC247" i="2"/>
  <c r="FG77" i="2"/>
  <c r="FU77" i="2" s="1"/>
  <c r="FV77" i="2" s="1"/>
  <c r="FH77" i="2"/>
  <c r="FK77" i="2" s="1"/>
  <c r="FE77" i="2"/>
  <c r="FC77" i="2"/>
  <c r="FG110" i="2"/>
  <c r="FU110" i="2" s="1"/>
  <c r="FV110" i="2" s="1"/>
  <c r="FH110" i="2"/>
  <c r="FK110" i="2" s="1"/>
  <c r="FE110" i="2"/>
  <c r="FC110" i="2"/>
  <c r="FH41" i="2"/>
  <c r="FK41" i="2" s="1"/>
  <c r="FG41" i="2"/>
  <c r="FU41" i="2" s="1"/>
  <c r="FV41" i="2" s="1"/>
  <c r="FC41" i="2"/>
  <c r="FE41" i="2"/>
  <c r="FH192" i="2"/>
  <c r="FK192" i="2" s="1"/>
  <c r="FG192" i="2"/>
  <c r="FU192" i="2" s="1"/>
  <c r="FV192" i="2" s="1"/>
  <c r="FC192" i="2"/>
  <c r="FE192" i="2"/>
  <c r="FH178" i="2"/>
  <c r="FK178" i="2" s="1"/>
  <c r="FG178" i="2"/>
  <c r="FU178" i="2" s="1"/>
  <c r="FV178" i="2" s="1"/>
  <c r="FC178" i="2"/>
  <c r="FE178" i="2"/>
  <c r="FH182" i="2"/>
  <c r="FK182" i="2" s="1"/>
  <c r="FG182" i="2"/>
  <c r="FU182" i="2" s="1"/>
  <c r="FV182" i="2" s="1"/>
  <c r="FC182" i="2"/>
  <c r="FE182" i="2"/>
  <c r="FH221" i="2"/>
  <c r="FK221" i="2" s="1"/>
  <c r="FG221" i="2"/>
  <c r="FU221" i="2" s="1"/>
  <c r="FV221" i="2" s="1"/>
  <c r="FE221" i="2"/>
  <c r="FC221" i="2"/>
  <c r="FH127" i="2"/>
  <c r="FK127" i="2" s="1"/>
  <c r="FG127" i="2"/>
  <c r="FU127" i="2" s="1"/>
  <c r="FV127" i="2" s="1"/>
  <c r="FE127" i="2"/>
  <c r="FC127" i="2"/>
  <c r="GU175" i="2"/>
  <c r="FG228" i="2"/>
  <c r="FU228" i="2" s="1"/>
  <c r="FV228" i="2" s="1"/>
  <c r="FH228" i="2"/>
  <c r="FK228" i="2" s="1"/>
  <c r="FE228" i="2"/>
  <c r="FC228" i="2"/>
  <c r="FH65" i="2"/>
  <c r="FK65" i="2" s="1"/>
  <c r="FG65" i="2"/>
  <c r="FU65" i="2" s="1"/>
  <c r="FV65" i="2" s="1"/>
  <c r="FE65" i="2"/>
  <c r="FC65" i="2"/>
  <c r="FG145" i="2"/>
  <c r="FU145" i="2" s="1"/>
  <c r="FV145" i="2" s="1"/>
  <c r="FH145" i="2"/>
  <c r="FK145" i="2" s="1"/>
  <c r="FE145" i="2"/>
  <c r="FC145" i="2"/>
  <c r="FG248" i="2"/>
  <c r="FU248" i="2" s="1"/>
  <c r="FV248" i="2" s="1"/>
  <c r="FH248" i="2"/>
  <c r="FE248" i="2"/>
  <c r="FC248" i="2"/>
  <c r="FH233" i="2"/>
  <c r="FK233" i="2" s="1"/>
  <c r="FG233" i="2"/>
  <c r="FU233" i="2" s="1"/>
  <c r="FV233" i="2" s="1"/>
  <c r="FE233" i="2"/>
  <c r="FC233" i="2"/>
  <c r="FH227" i="2"/>
  <c r="FK227" i="2" s="1"/>
  <c r="FG227" i="2"/>
  <c r="FU227" i="2" s="1"/>
  <c r="FV227" i="2" s="1"/>
  <c r="FE227" i="2"/>
  <c r="FC227" i="2"/>
  <c r="FH126" i="2"/>
  <c r="FK126" i="2" s="1"/>
  <c r="FG126" i="2"/>
  <c r="FU126" i="2" s="1"/>
  <c r="FV126" i="2" s="1"/>
  <c r="FE126" i="2"/>
  <c r="FC126" i="2"/>
  <c r="FH39" i="2"/>
  <c r="FK39" i="2" s="1"/>
  <c r="FG39" i="2"/>
  <c r="FU39" i="2" s="1"/>
  <c r="FV39" i="2" s="1"/>
  <c r="FC39" i="2"/>
  <c r="FE39" i="2"/>
  <c r="FG158" i="2"/>
  <c r="FU158" i="2" s="1"/>
  <c r="FV158" i="2" s="1"/>
  <c r="FH158" i="2"/>
  <c r="FK158" i="2" s="1"/>
  <c r="FE158" i="2"/>
  <c r="FC158" i="2"/>
  <c r="FH135" i="2"/>
  <c r="FK135" i="2" s="1"/>
  <c r="FC135" i="2"/>
  <c r="FG135" i="2"/>
  <c r="FU135" i="2" s="1"/>
  <c r="FV135" i="2" s="1"/>
  <c r="FE135" i="2"/>
  <c r="FH191" i="2"/>
  <c r="FK191" i="2" s="1"/>
  <c r="FG191" i="2"/>
  <c r="FU191" i="2" s="1"/>
  <c r="FV191" i="2" s="1"/>
  <c r="FE191" i="2"/>
  <c r="FC191" i="2"/>
  <c r="FH211" i="2"/>
  <c r="FK211" i="2" s="1"/>
  <c r="FG211" i="2"/>
  <c r="FU211" i="2" s="1"/>
  <c r="FV211" i="2" s="1"/>
  <c r="FE211" i="2"/>
  <c r="FC211" i="2"/>
  <c r="FG20" i="2"/>
  <c r="FU20" i="2" s="1"/>
  <c r="FV20" i="2" s="1"/>
  <c r="FH20" i="2"/>
  <c r="FK20" i="2" s="1"/>
  <c r="FC20" i="2"/>
  <c r="FE20" i="2"/>
  <c r="FH149" i="2"/>
  <c r="FK149" i="2" s="1"/>
  <c r="FG149" i="2"/>
  <c r="FU149" i="2" s="1"/>
  <c r="FV149" i="2" s="1"/>
  <c r="FC149" i="2"/>
  <c r="FE149" i="2"/>
  <c r="FH238" i="2"/>
  <c r="FK238" i="2" s="1"/>
  <c r="FG238" i="2"/>
  <c r="FU238" i="2" s="1"/>
  <c r="FV238" i="2" s="1"/>
  <c r="FE238" i="2"/>
  <c r="FC238" i="2"/>
  <c r="FH107" i="2"/>
  <c r="FK107" i="2" s="1"/>
  <c r="FG107" i="2"/>
  <c r="FU107" i="2" s="1"/>
  <c r="FV107" i="2" s="1"/>
  <c r="FC107" i="2"/>
  <c r="FE107" i="2"/>
  <c r="FH29" i="2"/>
  <c r="FK29" i="2" s="1"/>
  <c r="FG29" i="2"/>
  <c r="FU29" i="2" s="1"/>
  <c r="FV29" i="2" s="1"/>
  <c r="FE29" i="2"/>
  <c r="FC29" i="2"/>
  <c r="FH188" i="2"/>
  <c r="FK188" i="2" s="1"/>
  <c r="FG188" i="2"/>
  <c r="FU188" i="2" s="1"/>
  <c r="FV188" i="2" s="1"/>
  <c r="FE188" i="2"/>
  <c r="FC188" i="2"/>
  <c r="FH74" i="2"/>
  <c r="FK74" i="2" s="1"/>
  <c r="FG74" i="2"/>
  <c r="FU74" i="2" s="1"/>
  <c r="FV74" i="2" s="1"/>
  <c r="FE74" i="2"/>
  <c r="FC74" i="2"/>
  <c r="FH249" i="2"/>
  <c r="FK249" i="2" s="1"/>
  <c r="FE249" i="2"/>
  <c r="FG249" i="2"/>
  <c r="FU249" i="2" s="1"/>
  <c r="FV249" i="2" s="1"/>
  <c r="FC249" i="2"/>
  <c r="FH101" i="2"/>
  <c r="FK101" i="2" s="1"/>
  <c r="FG101" i="2"/>
  <c r="FU101" i="2" s="1"/>
  <c r="FV101" i="2" s="1"/>
  <c r="FC101" i="2"/>
  <c r="FE101" i="2"/>
  <c r="FH196" i="2"/>
  <c r="FK196" i="2" s="1"/>
  <c r="FG196" i="2"/>
  <c r="FU196" i="2" s="1"/>
  <c r="FV196" i="2" s="1"/>
  <c r="FC196" i="2"/>
  <c r="FE196" i="2"/>
  <c r="FC71" i="2"/>
  <c r="FG71" i="2"/>
  <c r="FU71" i="2" s="1"/>
  <c r="FV71" i="2" s="1"/>
  <c r="FH71" i="2"/>
  <c r="FK71" i="2" s="1"/>
  <c r="FE71" i="2"/>
  <c r="FH42" i="2"/>
  <c r="FK42" i="2" s="1"/>
  <c r="FG42" i="2"/>
  <c r="FU42" i="2" s="1"/>
  <c r="FV42" i="2" s="1"/>
  <c r="FE42" i="2"/>
  <c r="FC42" i="2"/>
  <c r="FH130" i="2"/>
  <c r="FK130" i="2" s="1"/>
  <c r="FG130" i="2"/>
  <c r="FU130" i="2" s="1"/>
  <c r="FV130" i="2" s="1"/>
  <c r="FC130" i="2"/>
  <c r="FE130" i="2"/>
  <c r="FH237" i="2"/>
  <c r="FK237" i="2" s="1"/>
  <c r="FG237" i="2"/>
  <c r="FU237" i="2" s="1"/>
  <c r="FV237" i="2" s="1"/>
  <c r="FE237" i="2"/>
  <c r="FC237" i="2"/>
  <c r="FG218" i="2"/>
  <c r="FU218" i="2" s="1"/>
  <c r="FV218" i="2" s="1"/>
  <c r="FH218" i="2"/>
  <c r="FK218" i="2" s="1"/>
  <c r="FE218" i="2"/>
  <c r="FC218" i="2"/>
  <c r="FG141" i="2"/>
  <c r="FU141" i="2" s="1"/>
  <c r="FV141" i="2" s="1"/>
  <c r="FH141" i="2"/>
  <c r="FK141" i="2" s="1"/>
  <c r="FE141" i="2"/>
  <c r="FC141" i="2"/>
  <c r="FG125" i="2"/>
  <c r="FU125" i="2" s="1"/>
  <c r="FV125" i="2" s="1"/>
  <c r="FH125" i="2"/>
  <c r="FK125" i="2" s="1"/>
  <c r="FE125" i="2"/>
  <c r="FC125" i="2"/>
  <c r="FH171" i="2"/>
  <c r="FK171" i="2" s="1"/>
  <c r="FG171" i="2"/>
  <c r="FU171" i="2" s="1"/>
  <c r="FV171" i="2" s="1"/>
  <c r="FE171" i="2"/>
  <c r="FC171" i="2"/>
  <c r="FH40" i="2"/>
  <c r="FK40" i="2" s="1"/>
  <c r="FG40" i="2"/>
  <c r="FU40" i="2" s="1"/>
  <c r="FV40" i="2" s="1"/>
  <c r="FC40" i="2"/>
  <c r="FE40" i="2"/>
  <c r="FH177" i="2"/>
  <c r="FK177" i="2" s="1"/>
  <c r="FG177" i="2"/>
  <c r="FU177" i="2" s="1"/>
  <c r="FV177" i="2" s="1"/>
  <c r="FE177" i="2"/>
  <c r="FC177" i="2"/>
  <c r="FH222" i="2"/>
  <c r="FK222" i="2" s="1"/>
  <c r="FG222" i="2"/>
  <c r="FU222" i="2" s="1"/>
  <c r="FV222" i="2" s="1"/>
  <c r="FE222" i="2"/>
  <c r="FC222" i="2"/>
  <c r="FH73" i="2"/>
  <c r="FK73" i="2" s="1"/>
  <c r="FG73" i="2"/>
  <c r="FU73" i="2" s="1"/>
  <c r="FV73" i="2" s="1"/>
  <c r="FC73" i="2"/>
  <c r="FE73" i="2"/>
  <c r="FG93" i="2"/>
  <c r="FH93" i="2"/>
  <c r="FK93" i="2" s="1"/>
  <c r="FE93" i="2"/>
  <c r="FC93" i="2"/>
  <c r="FH27" i="2"/>
  <c r="FK27" i="2" s="1"/>
  <c r="FG27" i="2"/>
  <c r="FU27" i="2" s="1"/>
  <c r="FV27" i="2" s="1"/>
  <c r="FE27" i="2"/>
  <c r="FC27" i="2"/>
  <c r="FG230" i="2"/>
  <c r="FU230" i="2" s="1"/>
  <c r="FV230" i="2" s="1"/>
  <c r="FH230" i="2"/>
  <c r="FK230" i="2" s="1"/>
  <c r="FE230" i="2"/>
  <c r="FC230" i="2"/>
  <c r="FH30" i="2"/>
  <c r="FG30" i="2"/>
  <c r="FE30" i="2"/>
  <c r="FC30" i="2"/>
  <c r="FG45" i="2"/>
  <c r="FU45" i="2" s="1"/>
  <c r="FV45" i="2" s="1"/>
  <c r="FH45" i="2"/>
  <c r="FK45" i="2" s="1"/>
  <c r="FE45" i="2"/>
  <c r="FC45" i="2"/>
  <c r="FH172" i="2"/>
  <c r="FK172" i="2" s="1"/>
  <c r="FG172" i="2"/>
  <c r="FU172" i="2" s="1"/>
  <c r="FV172" i="2" s="1"/>
  <c r="FE172" i="2"/>
  <c r="FC172" i="2"/>
  <c r="FH186" i="2"/>
  <c r="FK186" i="2" s="1"/>
  <c r="FG186" i="2"/>
  <c r="FU186" i="2" s="1"/>
  <c r="FV186" i="2" s="1"/>
  <c r="FE186" i="2"/>
  <c r="FC186" i="2"/>
  <c r="FH119" i="2"/>
  <c r="FK119" i="2" s="1"/>
  <c r="FC119" i="2"/>
  <c r="FG119" i="2"/>
  <c r="FU119" i="2" s="1"/>
  <c r="FV119" i="2" s="1"/>
  <c r="FE119" i="2"/>
  <c r="FH150" i="2"/>
  <c r="FK150" i="2" s="1"/>
  <c r="FG150" i="2"/>
  <c r="FU150" i="2" s="1"/>
  <c r="FV150" i="2" s="1"/>
  <c r="FC150" i="2"/>
  <c r="FE150" i="2"/>
  <c r="FG250" i="2"/>
  <c r="FU250" i="2" s="1"/>
  <c r="FV250" i="2" s="1"/>
  <c r="FH250" i="2"/>
  <c r="FK250" i="2" s="1"/>
  <c r="FE250" i="2"/>
  <c r="FC250" i="2"/>
  <c r="FH168" i="2"/>
  <c r="FK168" i="2" s="1"/>
  <c r="FG168" i="2"/>
  <c r="FU168" i="2" s="1"/>
  <c r="FV168" i="2" s="1"/>
  <c r="FE168" i="2"/>
  <c r="FC168" i="2"/>
  <c r="FG111" i="2"/>
  <c r="FU111" i="2" s="1"/>
  <c r="FV111" i="2" s="1"/>
  <c r="FH111" i="2"/>
  <c r="FK111" i="2" s="1"/>
  <c r="FE111" i="2"/>
  <c r="FC111" i="2"/>
  <c r="FH124" i="2"/>
  <c r="FK124" i="2" s="1"/>
  <c r="FG124" i="2"/>
  <c r="FU124" i="2" s="1"/>
  <c r="FV124" i="2" s="1"/>
  <c r="FE124" i="2"/>
  <c r="FC124" i="2"/>
  <c r="FG159" i="2"/>
  <c r="FU159" i="2" s="1"/>
  <c r="FV159" i="2" s="1"/>
  <c r="FH159" i="2"/>
  <c r="FK159" i="2" s="1"/>
  <c r="FE159" i="2"/>
  <c r="FC159" i="2"/>
  <c r="FG232" i="2"/>
  <c r="FU232" i="2" s="1"/>
  <c r="FV232" i="2" s="1"/>
  <c r="FH232" i="2"/>
  <c r="FK232" i="2" s="1"/>
  <c r="FE232" i="2"/>
  <c r="FC232" i="2"/>
  <c r="FG213" i="2"/>
  <c r="FU213" i="2" s="1"/>
  <c r="FV213" i="2" s="1"/>
  <c r="FH213" i="2"/>
  <c r="FK213" i="2" s="1"/>
  <c r="FE213" i="2"/>
  <c r="FC213" i="2"/>
  <c r="FH224" i="2"/>
  <c r="FK224" i="2" s="1"/>
  <c r="FG224" i="2"/>
  <c r="FU224" i="2" s="1"/>
  <c r="FV224" i="2" s="1"/>
  <c r="FE224" i="2"/>
  <c r="FC224" i="2"/>
  <c r="FG118" i="2"/>
  <c r="FU118" i="2" s="1"/>
  <c r="FV118" i="2" s="1"/>
  <c r="FC118" i="2"/>
  <c r="FE118" i="2"/>
  <c r="FH118" i="2"/>
  <c r="FK118" i="2" s="1"/>
  <c r="FH166" i="2"/>
  <c r="FK166" i="2" s="1"/>
  <c r="FC166" i="2"/>
  <c r="FG166" i="2"/>
  <c r="FU166" i="2" s="1"/>
  <c r="FV166" i="2" s="1"/>
  <c r="FE166" i="2"/>
  <c r="FG19" i="2"/>
  <c r="FU19" i="2" s="1"/>
  <c r="FV19" i="2" s="1"/>
  <c r="FH19" i="2"/>
  <c r="FK19" i="2" s="1"/>
  <c r="FE19" i="2"/>
  <c r="FC19" i="2"/>
  <c r="FH128" i="2"/>
  <c r="FK128" i="2" s="1"/>
  <c r="FG128" i="2"/>
  <c r="FU128" i="2" s="1"/>
  <c r="FV128" i="2" s="1"/>
  <c r="FE128" i="2"/>
  <c r="FC128" i="2"/>
  <c r="FH137" i="2"/>
  <c r="FK137" i="2" s="1"/>
  <c r="FG137" i="2"/>
  <c r="FU137" i="2" s="1"/>
  <c r="FV137" i="2" s="1"/>
  <c r="FC137" i="2"/>
  <c r="FE137" i="2"/>
  <c r="FH131" i="2"/>
  <c r="FK131" i="2" s="1"/>
  <c r="FG131" i="2"/>
  <c r="FU131" i="2" s="1"/>
  <c r="FV131" i="2" s="1"/>
  <c r="FE131" i="2"/>
  <c r="FC131" i="2"/>
  <c r="FH210" i="2"/>
  <c r="FK210" i="2" s="1"/>
  <c r="FG210" i="2"/>
  <c r="FU210" i="2" s="1"/>
  <c r="FV210" i="2" s="1"/>
  <c r="FE210" i="2"/>
  <c r="FC210" i="2"/>
  <c r="FG165" i="2"/>
  <c r="FU165" i="2" s="1"/>
  <c r="FV165" i="2" s="1"/>
  <c r="FH165" i="2"/>
  <c r="FK165" i="2" s="1"/>
  <c r="FC165" i="2"/>
  <c r="FE165" i="2"/>
  <c r="FG99" i="2"/>
  <c r="FU99" i="2" s="1"/>
  <c r="FV99" i="2" s="1"/>
  <c r="FH99" i="2"/>
  <c r="FK99" i="2" s="1"/>
  <c r="FE99" i="2"/>
  <c r="FC99" i="2"/>
  <c r="FH16" i="2"/>
  <c r="FK16" i="2" s="1"/>
  <c r="FG16" i="2"/>
  <c r="FU16" i="2" s="1"/>
  <c r="FV16" i="2" s="1"/>
  <c r="FE16" i="2"/>
  <c r="FC16" i="2"/>
  <c r="FG142" i="2"/>
  <c r="FU142" i="2" s="1"/>
  <c r="FV142" i="2" s="1"/>
  <c r="FH142" i="2"/>
  <c r="FK142" i="2" s="1"/>
  <c r="FE142" i="2"/>
  <c r="FC142" i="2"/>
  <c r="FH226" i="2"/>
  <c r="FK226" i="2" s="1"/>
  <c r="FG226" i="2"/>
  <c r="FU226" i="2" s="1"/>
  <c r="FV226" i="2" s="1"/>
  <c r="FE226" i="2"/>
  <c r="FC226" i="2"/>
  <c r="FH195" i="2"/>
  <c r="FK195" i="2" s="1"/>
  <c r="FG195" i="2"/>
  <c r="FU195" i="2" s="1"/>
  <c r="FV195" i="2" s="1"/>
  <c r="FE195" i="2"/>
  <c r="FC195" i="2"/>
  <c r="FH241" i="2"/>
  <c r="FK241" i="2" s="1"/>
  <c r="FG241" i="2"/>
  <c r="FU241" i="2" s="1"/>
  <c r="FV241" i="2" s="1"/>
  <c r="FE241" i="2"/>
  <c r="FC241" i="2"/>
  <c r="FH156" i="2"/>
  <c r="FK156" i="2" s="1"/>
  <c r="FG156" i="2"/>
  <c r="FU156" i="2" s="1"/>
  <c r="FV156" i="2" s="1"/>
  <c r="FE156" i="2"/>
  <c r="FC156" i="2"/>
  <c r="FH58" i="2"/>
  <c r="FK58" i="2" s="1"/>
  <c r="FG58" i="2"/>
  <c r="FU58" i="2" s="1"/>
  <c r="FV58" i="2" s="1"/>
  <c r="FE58" i="2"/>
  <c r="FC58" i="2"/>
  <c r="FH242" i="2"/>
  <c r="FK242" i="2" s="1"/>
  <c r="FG242" i="2"/>
  <c r="FU242" i="2" s="1"/>
  <c r="FV242" i="2" s="1"/>
  <c r="FE242" i="2"/>
  <c r="FC242" i="2"/>
  <c r="FH201" i="2"/>
  <c r="FK201" i="2" s="1"/>
  <c r="FG201" i="2"/>
  <c r="FU201" i="2" s="1"/>
  <c r="FV201" i="2" s="1"/>
  <c r="FE201" i="2"/>
  <c r="FC201" i="2"/>
  <c r="FG94" i="2"/>
  <c r="FU94" i="2" s="1"/>
  <c r="FV94" i="2" s="1"/>
  <c r="FH94" i="2"/>
  <c r="FK94" i="2" s="1"/>
  <c r="FE94" i="2"/>
  <c r="FC94" i="2"/>
  <c r="FH189" i="2"/>
  <c r="FK189" i="2" s="1"/>
  <c r="FG189" i="2"/>
  <c r="FU189" i="2" s="1"/>
  <c r="FV189" i="2" s="1"/>
  <c r="FE189" i="2"/>
  <c r="FC189" i="2"/>
  <c r="FH67" i="2"/>
  <c r="FK67" i="2" s="1"/>
  <c r="FG67" i="2"/>
  <c r="FU67" i="2" s="1"/>
  <c r="FV67" i="2" s="1"/>
  <c r="FE67" i="2"/>
  <c r="FC67" i="2"/>
  <c r="FH35" i="2"/>
  <c r="FK35" i="2" s="1"/>
  <c r="FG35" i="2"/>
  <c r="FU35" i="2" s="1"/>
  <c r="FV35" i="2" s="1"/>
  <c r="FE35" i="2"/>
  <c r="FC35" i="2"/>
  <c r="FH122" i="2"/>
  <c r="FK122" i="2" s="1"/>
  <c r="FG122" i="2"/>
  <c r="FU122" i="2" s="1"/>
  <c r="FV122" i="2" s="1"/>
  <c r="FE122" i="2"/>
  <c r="FC122" i="2"/>
  <c r="FG112" i="2"/>
  <c r="FU112" i="2" s="1"/>
  <c r="FV112" i="2" s="1"/>
  <c r="FH112" i="2"/>
  <c r="FK112" i="2" s="1"/>
  <c r="FE112" i="2"/>
  <c r="FC112" i="2"/>
  <c r="FR78" i="2" a="1"/>
  <c r="FR78" i="2" s="1"/>
  <c r="FH209" i="2"/>
  <c r="FK209" i="2" s="1"/>
  <c r="FE209" i="2"/>
  <c r="FG209" i="2"/>
  <c r="FU209" i="2" s="1"/>
  <c r="FV209" i="2" s="1"/>
  <c r="FC209" i="2"/>
  <c r="FH85" i="2"/>
  <c r="FK85" i="2" s="1"/>
  <c r="FG85" i="2"/>
  <c r="FU85" i="2" s="1"/>
  <c r="FV85" i="2" s="1"/>
  <c r="FC85" i="2"/>
  <c r="FE85" i="2"/>
  <c r="FH175" i="2"/>
  <c r="FK175" i="2" s="1"/>
  <c r="FG175" i="2"/>
  <c r="FU175" i="2" s="1"/>
  <c r="FV175" i="2" s="1"/>
  <c r="FC175" i="2"/>
  <c r="FE175" i="2"/>
  <c r="FH208" i="2"/>
  <c r="FK208" i="2" s="1"/>
  <c r="FE208" i="2"/>
  <c r="FG208" i="2"/>
  <c r="FU208" i="2" s="1"/>
  <c r="FV208" i="2" s="1"/>
  <c r="FC208" i="2"/>
  <c r="FH69" i="2"/>
  <c r="FK69" i="2" s="1"/>
  <c r="FG69" i="2"/>
  <c r="FU69" i="2" s="1"/>
  <c r="FV69" i="2" s="1"/>
  <c r="FC69" i="2"/>
  <c r="FE69" i="2"/>
  <c r="FG51" i="2"/>
  <c r="FU51" i="2" s="1"/>
  <c r="FV51" i="2" s="1"/>
  <c r="FH51" i="2"/>
  <c r="FK51" i="2" s="1"/>
  <c r="FE51" i="2"/>
  <c r="FC51" i="2"/>
  <c r="FH24" i="2"/>
  <c r="FK24" i="2" s="1"/>
  <c r="FG24" i="2"/>
  <c r="FU24" i="2" s="1"/>
  <c r="FV24" i="2" s="1"/>
  <c r="FC24" i="2"/>
  <c r="FE24" i="2"/>
  <c r="FG216" i="2"/>
  <c r="FU216" i="2" s="1"/>
  <c r="FV216" i="2" s="1"/>
  <c r="FH216" i="2"/>
  <c r="FK216" i="2" s="1"/>
  <c r="FE216" i="2"/>
  <c r="FC216" i="2"/>
  <c r="FH70" i="2"/>
  <c r="FK70" i="2" s="1"/>
  <c r="FG70" i="2"/>
  <c r="FU70" i="2" s="1"/>
  <c r="FV70" i="2" s="1"/>
  <c r="FC70" i="2"/>
  <c r="FE70" i="2"/>
  <c r="FH31" i="2"/>
  <c r="FK31" i="2" s="1"/>
  <c r="FG31" i="2"/>
  <c r="FU31" i="2" s="1"/>
  <c r="FV31" i="2" s="1"/>
  <c r="FE31" i="2"/>
  <c r="FC31" i="2"/>
  <c r="FH179" i="2"/>
  <c r="FK179" i="2" s="1"/>
  <c r="FG179" i="2"/>
  <c r="FU179" i="2" s="1"/>
  <c r="FV179" i="2" s="1"/>
  <c r="FC179" i="2"/>
  <c r="FE179" i="2"/>
  <c r="FG109" i="2"/>
  <c r="FU109" i="2" s="1"/>
  <c r="FV109" i="2" s="1"/>
  <c r="FH109" i="2"/>
  <c r="FK109" i="2" s="1"/>
  <c r="FE109" i="2"/>
  <c r="FC109" i="2"/>
  <c r="FH32" i="2"/>
  <c r="FK32" i="2" s="1"/>
  <c r="FG32" i="2"/>
  <c r="FU32" i="2" s="1"/>
  <c r="FV32" i="2" s="1"/>
  <c r="FE32" i="2"/>
  <c r="FC32" i="2"/>
  <c r="FG163" i="2"/>
  <c r="FU163" i="2" s="1"/>
  <c r="FV163" i="2" s="1"/>
  <c r="FH163" i="2"/>
  <c r="FK163" i="2" s="1"/>
  <c r="FE163" i="2"/>
  <c r="FC163" i="2"/>
  <c r="FH203" i="2"/>
  <c r="FK203" i="2" s="1"/>
  <c r="FG203" i="2"/>
  <c r="FU203" i="2" s="1"/>
  <c r="FV203" i="2" s="1"/>
  <c r="FE203" i="2"/>
  <c r="FC203" i="2"/>
  <c r="FH183" i="2"/>
  <c r="FK183" i="2" s="1"/>
  <c r="FG183" i="2"/>
  <c r="FU183" i="2" s="1"/>
  <c r="FV183" i="2" s="1"/>
  <c r="FC183" i="2"/>
  <c r="FE183" i="2"/>
  <c r="FH36" i="2"/>
  <c r="FK36" i="2" s="1"/>
  <c r="FG36" i="2"/>
  <c r="FU36" i="2" s="1"/>
  <c r="FV36" i="2" s="1"/>
  <c r="FC36" i="2"/>
  <c r="FE36" i="2"/>
  <c r="FH103" i="2"/>
  <c r="FK103" i="2" s="1"/>
  <c r="FC103" i="2"/>
  <c r="FG103" i="2"/>
  <c r="FU103" i="2" s="1"/>
  <c r="FV103" i="2" s="1"/>
  <c r="FE103" i="2"/>
  <c r="FH138" i="2"/>
  <c r="FK138" i="2" s="1"/>
  <c r="FG138" i="2"/>
  <c r="FU138" i="2" s="1"/>
  <c r="FV138" i="2" s="1"/>
  <c r="FE138" i="2"/>
  <c r="FC138" i="2"/>
  <c r="FG219" i="2"/>
  <c r="FU219" i="2" s="1"/>
  <c r="FV219" i="2" s="1"/>
  <c r="FH219" i="2"/>
  <c r="FK219" i="2" s="1"/>
  <c r="FE219" i="2"/>
  <c r="FC219" i="2"/>
  <c r="FH204" i="2"/>
  <c r="FK204" i="2" s="1"/>
  <c r="FG204" i="2"/>
  <c r="FU204" i="2" s="1"/>
  <c r="FV204" i="2" s="1"/>
  <c r="FE204" i="2"/>
  <c r="FC204" i="2"/>
  <c r="FH121" i="2"/>
  <c r="FK121" i="2" s="1"/>
  <c r="FG121" i="2"/>
  <c r="FU121" i="2" s="1"/>
  <c r="FV121" i="2" s="1"/>
  <c r="FC121" i="2"/>
  <c r="FE121" i="2"/>
  <c r="FH181" i="2"/>
  <c r="FK181" i="2" s="1"/>
  <c r="FG181" i="2"/>
  <c r="FU181" i="2" s="1"/>
  <c r="FV181" i="2" s="1"/>
  <c r="FE181" i="2"/>
  <c r="FC181" i="2"/>
  <c r="FG15" i="2"/>
  <c r="FU15" i="2" s="1"/>
  <c r="FV15" i="2" s="1"/>
  <c r="FH15" i="2"/>
  <c r="FK15" i="2" s="1"/>
  <c r="FE15" i="2"/>
  <c r="FC15" i="2"/>
  <c r="FH123" i="2"/>
  <c r="FK123" i="2" s="1"/>
  <c r="FG123" i="2"/>
  <c r="FU123" i="2" s="1"/>
  <c r="FV123" i="2" s="1"/>
  <c r="FC123" i="2"/>
  <c r="FE123" i="2"/>
  <c r="FG214" i="2"/>
  <c r="FU214" i="2" s="1"/>
  <c r="FV214" i="2" s="1"/>
  <c r="FH214" i="2"/>
  <c r="FK214" i="2" s="1"/>
  <c r="FE214" i="2"/>
  <c r="FC214" i="2"/>
  <c r="FH176" i="2"/>
  <c r="FK176" i="2" s="1"/>
  <c r="FG176" i="2"/>
  <c r="FU176" i="2" s="1"/>
  <c r="FV176" i="2" s="1"/>
  <c r="FC176" i="2"/>
  <c r="FE176" i="2"/>
  <c r="FH148" i="2"/>
  <c r="FK148" i="2" s="1"/>
  <c r="FG148" i="2"/>
  <c r="FU148" i="2" s="1"/>
  <c r="FV148" i="2" s="1"/>
  <c r="FC148" i="2"/>
  <c r="FE148" i="2"/>
  <c r="FG95" i="2"/>
  <c r="FU95" i="2" s="1"/>
  <c r="FV95" i="2" s="1"/>
  <c r="FH95" i="2"/>
  <c r="FK95" i="2" s="1"/>
  <c r="FE95" i="2"/>
  <c r="FC95" i="2"/>
  <c r="FH86" i="2"/>
  <c r="FK86" i="2" s="1"/>
  <c r="FG86" i="2"/>
  <c r="FU86" i="2" s="1"/>
  <c r="FV86" i="2" s="1"/>
  <c r="FC86" i="2"/>
  <c r="FE86" i="2"/>
  <c r="FG187" i="2"/>
  <c r="FU187" i="2" s="1"/>
  <c r="FV187" i="2" s="1"/>
  <c r="FH187" i="2"/>
  <c r="FK187" i="2" s="1"/>
  <c r="FE187" i="2"/>
  <c r="FC187" i="2"/>
  <c r="FG229" i="2"/>
  <c r="FU229" i="2" s="1"/>
  <c r="FV229" i="2" s="1"/>
  <c r="FH229" i="2"/>
  <c r="FK229" i="2" s="1"/>
  <c r="FE229" i="2"/>
  <c r="FC229" i="2"/>
  <c r="FH184" i="2"/>
  <c r="FK184" i="2" s="1"/>
  <c r="FG184" i="2"/>
  <c r="FU184" i="2" s="1"/>
  <c r="FV184" i="2" s="1"/>
  <c r="FE184" i="2"/>
  <c r="FC184" i="2"/>
  <c r="FG235" i="2"/>
  <c r="FU235" i="2" s="1"/>
  <c r="FV235" i="2" s="1"/>
  <c r="FH235" i="2"/>
  <c r="FK235" i="2" s="1"/>
  <c r="FE235" i="2"/>
  <c r="FC235" i="2"/>
  <c r="FH153" i="2"/>
  <c r="FK153" i="2" s="1"/>
  <c r="FG153" i="2"/>
  <c r="FU153" i="2" s="1"/>
  <c r="FV153" i="2" s="1"/>
  <c r="FC153" i="2"/>
  <c r="FE153" i="2"/>
  <c r="FG98" i="2"/>
  <c r="FU98" i="2" s="1"/>
  <c r="FV98" i="2" s="1"/>
  <c r="FH98" i="2"/>
  <c r="FK98" i="2" s="1"/>
  <c r="FC98" i="2"/>
  <c r="FE98" i="2"/>
  <c r="FH55" i="2"/>
  <c r="FK55" i="2" s="1"/>
  <c r="FG55" i="2"/>
  <c r="FU55" i="2" s="1"/>
  <c r="FV55" i="2" s="1"/>
  <c r="FC55" i="2"/>
  <c r="FE55" i="2"/>
  <c r="FG61" i="2"/>
  <c r="FU61" i="2" s="1"/>
  <c r="FV61" i="2" s="1"/>
  <c r="FH61" i="2"/>
  <c r="FK61" i="2" s="1"/>
  <c r="FE61" i="2"/>
  <c r="FC61" i="2"/>
  <c r="FH205" i="2"/>
  <c r="FK205" i="2" s="1"/>
  <c r="FG205" i="2"/>
  <c r="FU205" i="2" s="1"/>
  <c r="FV205" i="2" s="1"/>
  <c r="FC205" i="2"/>
  <c r="FE205" i="2"/>
  <c r="FG157" i="2"/>
  <c r="FU157" i="2" s="1"/>
  <c r="FV157" i="2" s="1"/>
  <c r="FH157" i="2"/>
  <c r="FK157" i="2" s="1"/>
  <c r="FE157" i="2"/>
  <c r="FC157" i="2"/>
  <c r="FH28" i="2"/>
  <c r="FK28" i="2" s="1"/>
  <c r="FG28" i="2"/>
  <c r="FU28" i="2" s="1"/>
  <c r="FV28" i="2" s="1"/>
  <c r="FE28" i="2"/>
  <c r="FC28" i="2"/>
  <c r="FH25" i="2"/>
  <c r="FK25" i="2" s="1"/>
  <c r="FG25" i="2"/>
  <c r="FU25" i="2" s="1"/>
  <c r="FV25" i="2" s="1"/>
  <c r="FC25" i="2"/>
  <c r="FE25" i="2"/>
  <c r="FG115" i="2"/>
  <c r="FU115" i="2" s="1"/>
  <c r="FV115" i="2" s="1"/>
  <c r="FH115" i="2"/>
  <c r="FK115" i="2" s="1"/>
  <c r="FE115" i="2"/>
  <c r="FC115" i="2"/>
  <c r="FH197" i="2"/>
  <c r="FK197" i="2" s="1"/>
  <c r="FE197" i="2"/>
  <c r="FG197" i="2"/>
  <c r="FU197" i="2" s="1"/>
  <c r="FV197" i="2" s="1"/>
  <c r="FC197" i="2"/>
  <c r="FH89" i="2"/>
  <c r="FK89" i="2" s="1"/>
  <c r="FG89" i="2"/>
  <c r="FU89" i="2" s="1"/>
  <c r="FV89" i="2" s="1"/>
  <c r="FC89" i="2"/>
  <c r="FE89" i="2"/>
  <c r="FR132" i="2" a="1"/>
  <c r="FR132" i="2" s="1"/>
  <c r="FR249" i="2" a="1"/>
  <c r="FR249" i="2" s="1"/>
  <c r="FR93" i="2" a="1"/>
  <c r="FR93" i="2" s="1"/>
  <c r="FR96" i="2" a="1"/>
  <c r="FR96" i="2" s="1"/>
  <c r="FW202" i="2"/>
  <c r="FX202" i="2" s="1" a="1"/>
  <c r="FX202" i="2" s="1"/>
  <c r="GV38" i="2"/>
  <c r="GW38" i="2" s="1"/>
  <c r="CR175" i="2"/>
  <c r="CX175" i="2" s="1"/>
  <c r="CL251" i="2"/>
  <c r="AN251" i="2"/>
  <c r="AE251" i="2"/>
  <c r="AF251" i="2"/>
  <c r="GQ251" i="2"/>
  <c r="GS251" i="2"/>
  <c r="T251" i="2"/>
  <c r="CG251" i="2"/>
  <c r="EV251" i="2"/>
  <c r="GO251" i="2"/>
  <c r="DV229" i="2"/>
  <c r="DW229" i="2" s="1"/>
  <c r="GV218" i="2"/>
  <c r="GW218" i="2" s="1"/>
  <c r="CK218" i="2"/>
  <c r="EI229" i="2"/>
  <c r="CK222" i="2"/>
  <c r="DQ34" i="2"/>
  <c r="DR34" i="2" s="1"/>
  <c r="CK134" i="2"/>
  <c r="Z175" i="2"/>
  <c r="GV44" i="2"/>
  <c r="GW44" i="2" s="1"/>
  <c r="CK212" i="2"/>
  <c r="Z61" i="2"/>
  <c r="EH40" i="2"/>
  <c r="GT167" i="2"/>
  <c r="DQ40" i="2"/>
  <c r="DR40" i="2" s="1"/>
  <c r="DS40" i="2"/>
  <c r="DY40" i="2"/>
  <c r="DZ40" i="2" s="1"/>
  <c r="EA40" i="2" s="1"/>
  <c r="Z33" i="2"/>
  <c r="Z80" i="2"/>
  <c r="Z18" i="2"/>
  <c r="Z179" i="2"/>
  <c r="DS175" i="2"/>
  <c r="DQ175" i="2"/>
  <c r="DR175" i="2" s="1"/>
  <c r="DS57" i="2"/>
  <c r="Z203" i="2"/>
  <c r="Z36" i="2"/>
  <c r="DV188" i="2"/>
  <c r="DW188" i="2" s="1"/>
  <c r="DQ137" i="2"/>
  <c r="DR137" i="2" s="1"/>
  <c r="DS137" i="2"/>
  <c r="Z11" i="2"/>
  <c r="DY137" i="2"/>
  <c r="DZ137" i="2" s="1"/>
  <c r="EA137" i="2" s="1"/>
  <c r="EC104" i="2"/>
  <c r="EG155" i="2"/>
  <c r="DS104" i="2"/>
  <c r="CK145" i="2"/>
  <c r="EG152" i="2"/>
  <c r="CE145" i="2"/>
  <c r="DQ47" i="2"/>
  <c r="DR47" i="2" s="1"/>
  <c r="DY47" i="2"/>
  <c r="DZ47" i="2" s="1"/>
  <c r="EA47" i="2" s="1"/>
  <c r="CK197" i="2"/>
  <c r="Z124" i="2"/>
  <c r="DQ152" i="2"/>
  <c r="DR152" i="2" s="1"/>
  <c r="DY152" i="2"/>
  <c r="DZ152" i="2" s="1"/>
  <c r="EA152" i="2" s="1"/>
  <c r="EG162" i="2"/>
  <c r="EC152" i="2"/>
  <c r="EI162" i="2"/>
  <c r="EH152" i="2"/>
  <c r="EI152" i="2"/>
  <c r="DS47" i="2"/>
  <c r="EG10" i="2"/>
  <c r="CK168" i="2"/>
  <c r="CE168" i="2"/>
  <c r="CE62" i="2"/>
  <c r="EH47" i="2"/>
  <c r="Z226" i="2"/>
  <c r="EG47" i="2"/>
  <c r="Z10" i="2"/>
  <c r="EH23" i="2"/>
  <c r="CE42" i="2"/>
  <c r="FR234" i="2" a="1"/>
  <c r="FR234" i="2" s="1"/>
  <c r="DQ23" i="2"/>
  <c r="DR23" i="2" s="1"/>
  <c r="Z39" i="2"/>
  <c r="DS23" i="2"/>
  <c r="CE197" i="2"/>
  <c r="DY23" i="2"/>
  <c r="DZ23" i="2" s="1"/>
  <c r="EA23" i="2" s="1"/>
  <c r="DV47" i="2"/>
  <c r="DW47" i="2" s="1"/>
  <c r="CE96" i="2"/>
  <c r="EC137" i="2"/>
  <c r="DQ57" i="2"/>
  <c r="DR57" i="2" s="1"/>
  <c r="DY57" i="2"/>
  <c r="DZ57" i="2" s="1"/>
  <c r="EA57" i="2" s="1"/>
  <c r="FR227" i="2" a="1"/>
  <c r="FR227" i="2" s="1"/>
  <c r="Z113" i="2"/>
  <c r="CE89" i="2"/>
  <c r="FR51" i="2" a="1"/>
  <c r="FR51" i="2" s="1"/>
  <c r="CK138" i="2"/>
  <c r="EI10" i="2"/>
  <c r="CK137" i="2"/>
  <c r="FR90" i="2" a="1"/>
  <c r="FR90" i="2" s="1"/>
  <c r="Z172" i="2"/>
  <c r="CE58" i="2"/>
  <c r="Z239" i="2"/>
  <c r="DV221" i="2"/>
  <c r="DW221" i="2" s="1"/>
  <c r="FR206" i="2" a="1"/>
  <c r="FR206" i="2" s="1"/>
  <c r="Z238" i="2"/>
  <c r="AA111" i="2"/>
  <c r="CE67" i="2"/>
  <c r="CE50" i="2"/>
  <c r="FR58" i="2" a="1"/>
  <c r="FR58" i="2" s="1"/>
  <c r="GV50" i="2"/>
  <c r="GW50" i="2" s="1"/>
  <c r="Z163" i="2"/>
  <c r="CK215" i="2"/>
  <c r="CK118" i="2"/>
  <c r="Z62" i="2"/>
  <c r="Z145" i="2"/>
  <c r="EH28" i="2"/>
  <c r="DQ28" i="2"/>
  <c r="DR28" i="2" s="1"/>
  <c r="DS28" i="2"/>
  <c r="DY28" i="2"/>
  <c r="DZ28" i="2" s="1"/>
  <c r="EA28" i="2" s="1"/>
  <c r="CE44" i="2"/>
  <c r="Z19" i="2"/>
  <c r="Z50" i="2"/>
  <c r="FR91" i="2" a="1"/>
  <c r="FR91" i="2" s="1"/>
  <c r="EH41" i="2"/>
  <c r="DQ41" i="2"/>
  <c r="DR41" i="2" s="1"/>
  <c r="DS41" i="2"/>
  <c r="Z29" i="2"/>
  <c r="GV96" i="2"/>
  <c r="GW96" i="2" s="1"/>
  <c r="DY41" i="2"/>
  <c r="DZ41" i="2" s="1"/>
  <c r="EA41" i="2" s="1"/>
  <c r="DY237" i="2"/>
  <c r="DZ237" i="2" s="1"/>
  <c r="EA237" i="2" s="1"/>
  <c r="DV32" i="2"/>
  <c r="DW32" i="2" s="1"/>
  <c r="CE87" i="2"/>
  <c r="CK135" i="2"/>
  <c r="GV40" i="2"/>
  <c r="GW40" i="2" s="1"/>
  <c r="Z134" i="2"/>
  <c r="CE114" i="2"/>
  <c r="Z140" i="2"/>
  <c r="Z217" i="2"/>
  <c r="EI32" i="2"/>
  <c r="DS230" i="2"/>
  <c r="DY230" i="2"/>
  <c r="DZ230" i="2" s="1"/>
  <c r="EA230" i="2" s="1"/>
  <c r="EC230" i="2"/>
  <c r="DQ223" i="2"/>
  <c r="DR223" i="2" s="1"/>
  <c r="DV217" i="2"/>
  <c r="DW217" i="2" s="1"/>
  <c r="FR204" i="2" a="1"/>
  <c r="FR204" i="2" s="1"/>
  <c r="DV45" i="2"/>
  <c r="DW45" i="2" s="1"/>
  <c r="EH27" i="2"/>
  <c r="CK167" i="2"/>
  <c r="CK140" i="2"/>
  <c r="EG45" i="2"/>
  <c r="DQ27" i="2"/>
  <c r="DR27" i="2" s="1"/>
  <c r="CE167" i="2"/>
  <c r="DS27" i="2"/>
  <c r="Z56" i="2"/>
  <c r="DY27" i="2"/>
  <c r="DZ27" i="2" s="1"/>
  <c r="EA27" i="2" s="1"/>
  <c r="Z129" i="2"/>
  <c r="CM40" i="2"/>
  <c r="CE40" i="2"/>
  <c r="CK40" i="2"/>
  <c r="DQ70" i="2"/>
  <c r="DR70" i="2" s="1"/>
  <c r="CK116" i="2"/>
  <c r="DS70" i="2"/>
  <c r="Z131" i="2"/>
  <c r="DY70" i="2"/>
  <c r="DZ70" i="2" s="1"/>
  <c r="EA70" i="2" s="1"/>
  <c r="EC70" i="2"/>
  <c r="Z74" i="2"/>
  <c r="CE196" i="2"/>
  <c r="Z192" i="2"/>
  <c r="CE80" i="2"/>
  <c r="Z26" i="2"/>
  <c r="EH176" i="2"/>
  <c r="DQ176" i="2"/>
  <c r="DR176" i="2" s="1"/>
  <c r="DS176" i="2"/>
  <c r="DS223" i="2"/>
  <c r="DY223" i="2"/>
  <c r="DZ223" i="2" s="1"/>
  <c r="EA223" i="2" s="1"/>
  <c r="GT202" i="2"/>
  <c r="EH223" i="2"/>
  <c r="DQ233" i="2"/>
  <c r="DR233" i="2" s="1"/>
  <c r="EG221" i="2"/>
  <c r="GV220" i="2"/>
  <c r="Z229" i="2"/>
  <c r="GV152" i="2"/>
  <c r="GW152" i="2" s="1"/>
  <c r="Z46" i="2"/>
  <c r="Z76" i="2"/>
  <c r="CK54" i="2"/>
  <c r="DY34" i="2"/>
  <c r="DZ34" i="2" s="1"/>
  <c r="EA34" i="2" s="1"/>
  <c r="Z121" i="2"/>
  <c r="AA9" i="2"/>
  <c r="Z24" i="2"/>
  <c r="EH124" i="2"/>
  <c r="DQ124" i="2"/>
  <c r="DR124" i="2" s="1"/>
  <c r="EC15" i="2"/>
  <c r="Z125" i="2"/>
  <c r="GU248" i="2"/>
  <c r="AA31" i="2"/>
  <c r="EH104" i="2"/>
  <c r="DQ104" i="2"/>
  <c r="DR104" i="2" s="1"/>
  <c r="FR76" i="2" a="1"/>
  <c r="FR76" i="2" s="1"/>
  <c r="GV36" i="2"/>
  <c r="GW36" i="2" s="1"/>
  <c r="CE36" i="2"/>
  <c r="DV83" i="2"/>
  <c r="DW83" i="2" s="1"/>
  <c r="EG83" i="2"/>
  <c r="GV89" i="2"/>
  <c r="GW89" i="2" s="1"/>
  <c r="EX30" i="2"/>
  <c r="DS34" i="2"/>
  <c r="DS83" i="2"/>
  <c r="EC34" i="2"/>
  <c r="DY83" i="2"/>
  <c r="DZ83" i="2" s="1"/>
  <c r="EA83" i="2" s="1"/>
  <c r="EC83" i="2"/>
  <c r="CE179" i="2"/>
  <c r="CE97" i="2"/>
  <c r="EH83" i="2"/>
  <c r="Z205" i="2"/>
  <c r="Z59" i="2"/>
  <c r="CK126" i="2"/>
  <c r="DV104" i="2"/>
  <c r="DW104" i="2" s="1"/>
  <c r="DS124" i="2"/>
  <c r="EH20" i="2"/>
  <c r="DY124" i="2"/>
  <c r="DZ124" i="2" s="1"/>
  <c r="EA124" i="2" s="1"/>
  <c r="DQ20" i="2"/>
  <c r="DR20" i="2" s="1"/>
  <c r="DY20" i="2"/>
  <c r="DZ20" i="2" s="1"/>
  <c r="EA20" i="2" s="1"/>
  <c r="AB218" i="2"/>
  <c r="Z81" i="2"/>
  <c r="GV215" i="2"/>
  <c r="GW215" i="2" s="1"/>
  <c r="FR203" i="2" a="1"/>
  <c r="FR203" i="2" s="1"/>
  <c r="Z88" i="2"/>
  <c r="CK121" i="2"/>
  <c r="Z117" i="2"/>
  <c r="Z112" i="2"/>
  <c r="CE90" i="2"/>
  <c r="CE35" i="2"/>
  <c r="CE12" i="2"/>
  <c r="EG104" i="2"/>
  <c r="FR40" i="2" a="1"/>
  <c r="FR40" i="2" s="1"/>
  <c r="DS20" i="2"/>
  <c r="Z219" i="2"/>
  <c r="CE124" i="2"/>
  <c r="CK92" i="2"/>
  <c r="EG20" i="2"/>
  <c r="EH39" i="2"/>
  <c r="GV221" i="2"/>
  <c r="GW221" i="2" s="1"/>
  <c r="CE73" i="2"/>
  <c r="DQ39" i="2"/>
  <c r="DR39" i="2" s="1"/>
  <c r="CE121" i="2"/>
  <c r="CE72" i="2"/>
  <c r="EC39" i="2"/>
  <c r="EI20" i="2"/>
  <c r="FR24" i="2" a="1"/>
  <c r="FR24" i="2" s="1"/>
  <c r="FR124" i="2" a="1"/>
  <c r="FR124" i="2" s="1"/>
  <c r="CE221" i="2"/>
  <c r="GV209" i="2"/>
  <c r="GW209" i="2" s="1"/>
  <c r="EC10" i="2"/>
  <c r="DQ35" i="2"/>
  <c r="DR35" i="2" s="1"/>
  <c r="EH10" i="2"/>
  <c r="EC35" i="2"/>
  <c r="DQ10" i="2"/>
  <c r="DR10" i="2" s="1"/>
  <c r="DS10" i="2"/>
  <c r="GV35" i="2"/>
  <c r="GW35" i="2" s="1"/>
  <c r="GV42" i="2"/>
  <c r="GW42" i="2" s="1"/>
  <c r="DQ149" i="2"/>
  <c r="DR149" i="2" s="1"/>
  <c r="FW189" i="2"/>
  <c r="FX189" i="2" s="1" a="1"/>
  <c r="FX189" i="2" s="1"/>
  <c r="GV124" i="2"/>
  <c r="GW124" i="2" s="1"/>
  <c r="CE24" i="2"/>
  <c r="CE101" i="2"/>
  <c r="EI157" i="2"/>
  <c r="FR13" i="2" a="1"/>
  <c r="FR13" i="2" s="1"/>
  <c r="CE107" i="2"/>
  <c r="EH46" i="2"/>
  <c r="Z104" i="2"/>
  <c r="DQ46" i="2"/>
  <c r="DR46" i="2" s="1"/>
  <c r="Z23" i="2"/>
  <c r="CE82" i="2"/>
  <c r="DS46" i="2"/>
  <c r="DY46" i="2"/>
  <c r="DZ46" i="2" s="1"/>
  <c r="EA46" i="2" s="1"/>
  <c r="Z78" i="2"/>
  <c r="EG116" i="2"/>
  <c r="CE110" i="2"/>
  <c r="EI116" i="2"/>
  <c r="EI147" i="2"/>
  <c r="Z147" i="2"/>
  <c r="Z247" i="2"/>
  <c r="GV13" i="2"/>
  <c r="GW13" i="2" s="1"/>
  <c r="DY15" i="2"/>
  <c r="DZ15" i="2" s="1"/>
  <c r="EA15" i="2" s="1"/>
  <c r="DQ15" i="2"/>
  <c r="DR15" i="2" s="1"/>
  <c r="CE188" i="2"/>
  <c r="DS15" i="2"/>
  <c r="CE129" i="2"/>
  <c r="FR172" i="2" a="1"/>
  <c r="FR172" i="2" s="1"/>
  <c r="CK236" i="2"/>
  <c r="GV216" i="2"/>
  <c r="GW216" i="2" s="1"/>
  <c r="CE83" i="2"/>
  <c r="CE216" i="2"/>
  <c r="CK177" i="2"/>
  <c r="CE246" i="2"/>
  <c r="DQ11" i="2"/>
  <c r="DR11" i="2" s="1"/>
  <c r="CE84" i="2"/>
  <c r="Z120" i="2"/>
  <c r="GV87" i="2"/>
  <c r="GW87" i="2" s="1"/>
  <c r="CE217" i="2"/>
  <c r="EI158" i="2"/>
  <c r="EG163" i="2"/>
  <c r="EH219" i="2"/>
  <c r="FR23" i="2" a="1"/>
  <c r="FR23" i="2" s="1"/>
  <c r="AA170" i="2"/>
  <c r="DV147" i="2"/>
  <c r="DW147" i="2" s="1"/>
  <c r="FR226" i="2" a="1"/>
  <c r="FR226" i="2" s="1"/>
  <c r="EH208" i="2"/>
  <c r="CE102" i="2"/>
  <c r="Z197" i="2"/>
  <c r="CK142" i="2"/>
  <c r="CE93" i="2"/>
  <c r="DQ208" i="2"/>
  <c r="DR208" i="2" s="1"/>
  <c r="CK102" i="2"/>
  <c r="CE142" i="2"/>
  <c r="EC208" i="2"/>
  <c r="DS208" i="2"/>
  <c r="GV99" i="2"/>
  <c r="GW99" i="2" s="1"/>
  <c r="CE99" i="2"/>
  <c r="AB247" i="2"/>
  <c r="CE43" i="2"/>
  <c r="CK131" i="2"/>
  <c r="FR48" i="2" a="1"/>
  <c r="FR48" i="2" s="1"/>
  <c r="CE131" i="2"/>
  <c r="DV156" i="2"/>
  <c r="DW156" i="2" s="1"/>
  <c r="DS127" i="2"/>
  <c r="GV103" i="2"/>
  <c r="GW103" i="2" s="1"/>
  <c r="DY127" i="2"/>
  <c r="DZ127" i="2" s="1"/>
  <c r="EA127" i="2" s="1"/>
  <c r="EG156" i="2"/>
  <c r="EH33" i="2"/>
  <c r="CE103" i="2"/>
  <c r="EG136" i="2"/>
  <c r="DS33" i="2"/>
  <c r="DY33" i="2"/>
  <c r="DZ33" i="2" s="1"/>
  <c r="EA33" i="2" s="1"/>
  <c r="CE180" i="2"/>
  <c r="GV88" i="2"/>
  <c r="GW88" i="2" s="1"/>
  <c r="EC33" i="2"/>
  <c r="DS214" i="2"/>
  <c r="Z57" i="2"/>
  <c r="DY214" i="2"/>
  <c r="DZ214" i="2" s="1"/>
  <c r="EA214" i="2" s="1"/>
  <c r="DY165" i="2"/>
  <c r="DZ165" i="2" s="1"/>
  <c r="EA165" i="2" s="1"/>
  <c r="EC214" i="2"/>
  <c r="DQ184" i="2"/>
  <c r="DR184" i="2" s="1"/>
  <c r="DS165" i="2"/>
  <c r="EC165" i="2"/>
  <c r="DQ67" i="2"/>
  <c r="DR67" i="2" s="1"/>
  <c r="Z177" i="2"/>
  <c r="EH214" i="2"/>
  <c r="DS184" i="2"/>
  <c r="CK187" i="2"/>
  <c r="EH165" i="2"/>
  <c r="DV136" i="2"/>
  <c r="DW136" i="2" s="1"/>
  <c r="DS67" i="2"/>
  <c r="DY184" i="2"/>
  <c r="DZ184" i="2" s="1"/>
  <c r="EA184" i="2" s="1"/>
  <c r="EC184" i="2"/>
  <c r="Z17" i="2"/>
  <c r="Z28" i="2"/>
  <c r="EI163" i="2"/>
  <c r="Z126" i="2"/>
  <c r="CE154" i="2"/>
  <c r="CK143" i="2"/>
  <c r="CE88" i="2"/>
  <c r="EH127" i="2"/>
  <c r="FR216" i="2" a="1"/>
  <c r="FR216" i="2" s="1"/>
  <c r="DQ127" i="2"/>
  <c r="DR127" i="2" s="1"/>
  <c r="GV197" i="2"/>
  <c r="GW197" i="2" s="1"/>
  <c r="CE41" i="2"/>
  <c r="GV34" i="2"/>
  <c r="GW34" i="2" s="1"/>
  <c r="GV41" i="2"/>
  <c r="GW41" i="2" s="1"/>
  <c r="GV54" i="2"/>
  <c r="GW54" i="2" s="1"/>
  <c r="CE128" i="2"/>
  <c r="FR116" i="2" a="1"/>
  <c r="FR116" i="2" s="1"/>
  <c r="GV188" i="2"/>
  <c r="GW188" i="2" s="1"/>
  <c r="DY176" i="2"/>
  <c r="DZ176" i="2" s="1"/>
  <c r="EA176" i="2" s="1"/>
  <c r="CE137" i="2"/>
  <c r="Z65" i="2"/>
  <c r="CE182" i="2"/>
  <c r="AA137" i="2"/>
  <c r="CE81" i="2"/>
  <c r="Z196" i="2"/>
  <c r="EH188" i="2"/>
  <c r="CE71" i="2"/>
  <c r="CK81" i="2"/>
  <c r="DY67" i="2"/>
  <c r="DZ67" i="2" s="1"/>
  <c r="EA67" i="2" s="1"/>
  <c r="Z51" i="2"/>
  <c r="Z42" i="2"/>
  <c r="FR205" i="2" a="1"/>
  <c r="FR205" i="2" s="1"/>
  <c r="FW191" i="2"/>
  <c r="FX191" i="2" s="1" a="1"/>
  <c r="FX191" i="2" s="1"/>
  <c r="Z199" i="2"/>
  <c r="EH178" i="2"/>
  <c r="DQ188" i="2"/>
  <c r="DR188" i="2" s="1"/>
  <c r="DV155" i="2"/>
  <c r="DW155" i="2" s="1"/>
  <c r="FR95" i="2" a="1"/>
  <c r="FR95" i="2" s="1"/>
  <c r="EC67" i="2"/>
  <c r="EE67" i="2" s="1"/>
  <c r="EF67" i="2" s="1"/>
  <c r="EG67" i="2" s="1"/>
  <c r="EC57" i="2"/>
  <c r="Z22" i="2"/>
  <c r="Z202" i="2"/>
  <c r="DQ230" i="2"/>
  <c r="DR230" i="2" s="1"/>
  <c r="EH30" i="2"/>
  <c r="DQ178" i="2"/>
  <c r="DR178" i="2" s="1"/>
  <c r="EG164" i="2"/>
  <c r="DS188" i="2"/>
  <c r="Z144" i="2"/>
  <c r="GV67" i="2"/>
  <c r="GW67" i="2" s="1"/>
  <c r="GV111" i="2"/>
  <c r="GW111" i="2" s="1"/>
  <c r="DQ26" i="2"/>
  <c r="DR26" i="2" s="1"/>
  <c r="DV102" i="2"/>
  <c r="DW102" i="2" s="1"/>
  <c r="DY30" i="2"/>
  <c r="DZ30" i="2" s="1"/>
  <c r="EA30" i="2" s="1"/>
  <c r="DS178" i="2"/>
  <c r="EI164" i="2"/>
  <c r="DY188" i="2"/>
  <c r="DZ188" i="2" s="1"/>
  <c r="EA188" i="2" s="1"/>
  <c r="Z141" i="2"/>
  <c r="GV81" i="2"/>
  <c r="GW81" i="2" s="1"/>
  <c r="CE100" i="2"/>
  <c r="CE69" i="2"/>
  <c r="FR26" i="2" a="1"/>
  <c r="FR26" i="2" s="1"/>
  <c r="GV127" i="2"/>
  <c r="GW127" i="2" s="1"/>
  <c r="EG102" i="2"/>
  <c r="EC30" i="2"/>
  <c r="GU167" i="2"/>
  <c r="Z194" i="2"/>
  <c r="DY178" i="2"/>
  <c r="DZ178" i="2" s="1"/>
  <c r="EA178" i="2" s="1"/>
  <c r="Z164" i="2"/>
  <c r="CK127" i="2"/>
  <c r="FW99" i="2"/>
  <c r="FX99" i="2" s="1" a="1"/>
  <c r="FX99" i="2" s="1"/>
  <c r="FR9" i="2" a="1"/>
  <c r="FR9" i="2" s="1"/>
  <c r="GV229" i="2"/>
  <c r="GW229" i="2" s="1"/>
  <c r="EG217" i="2"/>
  <c r="DQ30" i="2"/>
  <c r="DR30" i="2" s="1"/>
  <c r="GV148" i="2"/>
  <c r="GW148" i="2" s="1"/>
  <c r="Z115" i="2"/>
  <c r="Z127" i="2"/>
  <c r="CE166" i="2"/>
  <c r="Z72" i="2"/>
  <c r="Z200" i="2"/>
  <c r="Z213" i="2"/>
  <c r="GV246" i="2"/>
  <c r="DY175" i="2"/>
  <c r="DZ175" i="2" s="1"/>
  <c r="EA175" i="2" s="1"/>
  <c r="GV154" i="2"/>
  <c r="GW154" i="2" s="1"/>
  <c r="CK147" i="2"/>
  <c r="DV67" i="2"/>
  <c r="DW67" i="2" s="1"/>
  <c r="CE49" i="2"/>
  <c r="CK57" i="2"/>
  <c r="CE229" i="2"/>
  <c r="EC175" i="2"/>
  <c r="EI114" i="2"/>
  <c r="CE111" i="2"/>
  <c r="FR61" i="2" a="1"/>
  <c r="FR61" i="2" s="1"/>
  <c r="CK229" i="2"/>
  <c r="CE178" i="2"/>
  <c r="EG188" i="2"/>
  <c r="EG158" i="2"/>
  <c r="GV57" i="2"/>
  <c r="GW57" i="2" s="1"/>
  <c r="GV32" i="2"/>
  <c r="GW32" i="2" s="1"/>
  <c r="CE34" i="2"/>
  <c r="Z21" i="2"/>
  <c r="FR59" i="2" a="1"/>
  <c r="FR59" i="2" s="1"/>
  <c r="Z77" i="2"/>
  <c r="FR225" i="2" a="1"/>
  <c r="FR225" i="2" s="1"/>
  <c r="CE177" i="2"/>
  <c r="CE32" i="2"/>
  <c r="GV113" i="2"/>
  <c r="GW113" i="2" s="1"/>
  <c r="CE185" i="2"/>
  <c r="GV83" i="2"/>
  <c r="GW83" i="2" s="1"/>
  <c r="GV82" i="2"/>
  <c r="GW82" i="2" s="1"/>
  <c r="EC123" i="2"/>
  <c r="EH123" i="2"/>
  <c r="DQ123" i="2"/>
  <c r="DR123" i="2" s="1"/>
  <c r="Z235" i="2"/>
  <c r="DS123" i="2"/>
  <c r="GV18" i="2"/>
  <c r="GW18" i="2" s="1"/>
  <c r="GV189" i="2"/>
  <c r="GW189" i="2" s="1"/>
  <c r="CE48" i="2"/>
  <c r="CK113" i="2"/>
  <c r="CE189" i="2"/>
  <c r="DS82" i="2"/>
  <c r="Z169" i="2"/>
  <c r="DY82" i="2"/>
  <c r="DZ82" i="2" s="1"/>
  <c r="EA82" i="2" s="1"/>
  <c r="EC82" i="2"/>
  <c r="CE76" i="2"/>
  <c r="EH82" i="2"/>
  <c r="DV165" i="2"/>
  <c r="DW165" i="2" s="1"/>
  <c r="CK66" i="2"/>
  <c r="EC116" i="2"/>
  <c r="CE187" i="2"/>
  <c r="DQ116" i="2"/>
  <c r="DR116" i="2" s="1"/>
  <c r="FR135" i="2" a="1"/>
  <c r="FR135" i="2" s="1"/>
  <c r="GV104" i="2"/>
  <c r="GW104" i="2" s="1"/>
  <c r="EG165" i="2"/>
  <c r="CK70" i="2"/>
  <c r="EH69" i="2"/>
  <c r="DQ69" i="2"/>
  <c r="DR69" i="2" s="1"/>
  <c r="Z191" i="2"/>
  <c r="CE85" i="2"/>
  <c r="DS69" i="2"/>
  <c r="DY69" i="2"/>
  <c r="DZ69" i="2" s="1"/>
  <c r="EA69" i="2" s="1"/>
  <c r="Z195" i="2"/>
  <c r="GV193" i="2"/>
  <c r="GW193" i="2" s="1"/>
  <c r="CK85" i="2"/>
  <c r="Z152" i="2"/>
  <c r="CK91" i="2"/>
  <c r="Z201" i="2"/>
  <c r="DS213" i="2"/>
  <c r="DY213" i="2"/>
  <c r="DZ213" i="2" s="1"/>
  <c r="EA213" i="2" s="1"/>
  <c r="CK248" i="2"/>
  <c r="EC219" i="2"/>
  <c r="CE248" i="2"/>
  <c r="Z204" i="2"/>
  <c r="Z210" i="2"/>
  <c r="Z159" i="2"/>
  <c r="Z135" i="2"/>
  <c r="GV26" i="2"/>
  <c r="GW26" i="2" s="1"/>
  <c r="CE27" i="2"/>
  <c r="Z212" i="2"/>
  <c r="EH26" i="2"/>
  <c r="DV25" i="2"/>
  <c r="DW25" i="2" s="1"/>
  <c r="CE86" i="2"/>
  <c r="DS26" i="2"/>
  <c r="FR32" i="2" a="1"/>
  <c r="FR32" i="2" s="1"/>
  <c r="CK144" i="2"/>
  <c r="Z123" i="2"/>
  <c r="DY26" i="2"/>
  <c r="DZ26" i="2" s="1"/>
  <c r="EA26" i="2" s="1"/>
  <c r="FR36" i="2" a="1"/>
  <c r="FR36" i="2" s="1"/>
  <c r="FR49" i="2" a="1"/>
  <c r="FR49" i="2" s="1"/>
  <c r="GV116" i="2"/>
  <c r="GW116" i="2" s="1"/>
  <c r="CE149" i="2"/>
  <c r="Z48" i="2"/>
  <c r="DY159" i="2"/>
  <c r="DZ159" i="2" s="1"/>
  <c r="EA159" i="2" s="1"/>
  <c r="EG175" i="2"/>
  <c r="Z73" i="2"/>
  <c r="EH25" i="2"/>
  <c r="CE26" i="2"/>
  <c r="EG223" i="2"/>
  <c r="GV177" i="2"/>
  <c r="GW177" i="2" s="1"/>
  <c r="EC159" i="2"/>
  <c r="EI175" i="2"/>
  <c r="Z157" i="2"/>
  <c r="DS108" i="2"/>
  <c r="EI33" i="2"/>
  <c r="DQ25" i="2"/>
  <c r="DR25" i="2" s="1"/>
  <c r="FR63" i="2" a="1"/>
  <c r="FR63" i="2" s="1"/>
  <c r="Z55" i="2"/>
  <c r="EG33" i="2"/>
  <c r="EI223" i="2"/>
  <c r="CK169" i="2"/>
  <c r="EH159" i="2"/>
  <c r="CK173" i="2"/>
  <c r="EC108" i="2"/>
  <c r="DS25" i="2"/>
  <c r="CE169" i="2"/>
  <c r="DQ159" i="2"/>
  <c r="DR159" i="2" s="1"/>
  <c r="CE173" i="2"/>
  <c r="Z133" i="2"/>
  <c r="CK119" i="2"/>
  <c r="CE77" i="2"/>
  <c r="DY25" i="2"/>
  <c r="DZ25" i="2" s="1"/>
  <c r="EA25" i="2" s="1"/>
  <c r="EH24" i="2"/>
  <c r="Z60" i="2"/>
  <c r="CK123" i="2"/>
  <c r="CK209" i="2"/>
  <c r="CK77" i="2"/>
  <c r="Z168" i="2"/>
  <c r="EH177" i="2"/>
  <c r="Z118" i="2"/>
  <c r="GV123" i="2"/>
  <c r="GW123" i="2" s="1"/>
  <c r="CE65" i="2"/>
  <c r="Z180" i="2"/>
  <c r="Z249" i="2"/>
  <c r="Z234" i="2"/>
  <c r="DQ177" i="2"/>
  <c r="DR177" i="2" s="1"/>
  <c r="DS177" i="2"/>
  <c r="CK120" i="2"/>
  <c r="DV82" i="2"/>
  <c r="DW82" i="2" s="1"/>
  <c r="CE46" i="2"/>
  <c r="Z209" i="2"/>
  <c r="DY177" i="2"/>
  <c r="DZ177" i="2" s="1"/>
  <c r="EA177" i="2" s="1"/>
  <c r="EG82" i="2"/>
  <c r="Z15" i="2"/>
  <c r="Z14" i="2"/>
  <c r="CE16" i="2"/>
  <c r="Z153" i="2"/>
  <c r="Z198" i="2"/>
  <c r="Z37" i="2"/>
  <c r="GV176" i="2"/>
  <c r="GW176" i="2" s="1"/>
  <c r="Z82" i="2"/>
  <c r="DY217" i="2"/>
  <c r="DZ217" i="2" s="1"/>
  <c r="EA217" i="2" s="1"/>
  <c r="CE176" i="2"/>
  <c r="CK172" i="2"/>
  <c r="EH217" i="2"/>
  <c r="CE181" i="2"/>
  <c r="CK176" i="2"/>
  <c r="Z146" i="2"/>
  <c r="EI27" i="2"/>
  <c r="CK47" i="2"/>
  <c r="DV27" i="2"/>
  <c r="DW27" i="2" s="1"/>
  <c r="Z142" i="2"/>
  <c r="DQ45" i="2"/>
  <c r="DR45" i="2" s="1"/>
  <c r="Z155" i="2"/>
  <c r="DS45" i="2"/>
  <c r="FR236" i="2" a="1"/>
  <c r="FR236" i="2" s="1"/>
  <c r="FR223" i="2" a="1"/>
  <c r="FR223" i="2" s="1"/>
  <c r="EI23" i="2"/>
  <c r="DY45" i="2"/>
  <c r="DZ45" i="2" s="1"/>
  <c r="EA45" i="2" s="1"/>
  <c r="Z79" i="2"/>
  <c r="DV23" i="2"/>
  <c r="DW23" i="2" s="1"/>
  <c r="EC45" i="2"/>
  <c r="DQ217" i="2"/>
  <c r="DR217" i="2" s="1"/>
  <c r="DS217" i="2"/>
  <c r="GV47" i="2"/>
  <c r="GW47" i="2" s="1"/>
  <c r="Z44" i="2"/>
  <c r="Z102" i="2"/>
  <c r="GV134" i="2"/>
  <c r="GW134" i="2" s="1"/>
  <c r="CK104" i="2"/>
  <c r="CE70" i="2"/>
  <c r="CE242" i="2"/>
  <c r="GV172" i="2"/>
  <c r="GW172" i="2" s="1"/>
  <c r="CE45" i="2"/>
  <c r="CK178" i="2"/>
  <c r="CE135" i="2"/>
  <c r="Z136" i="2"/>
  <c r="GV46" i="2"/>
  <c r="GW46" i="2" s="1"/>
  <c r="FR74" i="2" a="1"/>
  <c r="FR74" i="2" s="1"/>
  <c r="GV49" i="2"/>
  <c r="GW49" i="2" s="1"/>
  <c r="Z248" i="2"/>
  <c r="Z143" i="2"/>
  <c r="Z139" i="2"/>
  <c r="GV45" i="2"/>
  <c r="GW45" i="2" s="1"/>
  <c r="AA54" i="2"/>
  <c r="DQ48" i="2"/>
  <c r="DR48" i="2" s="1"/>
  <c r="FR75" i="2" a="1"/>
  <c r="FR75" i="2" s="1"/>
  <c r="DV246" i="2"/>
  <c r="DW246" i="2" s="1"/>
  <c r="GV78" i="2"/>
  <c r="GW78" i="2" s="1"/>
  <c r="DS48" i="2"/>
  <c r="DV22" i="2"/>
  <c r="DW22" i="2" s="1"/>
  <c r="FR193" i="2" a="1"/>
  <c r="FR193" i="2" s="1"/>
  <c r="EG246" i="2"/>
  <c r="GV30" i="2"/>
  <c r="GV147" i="2"/>
  <c r="GW147" i="2" s="1"/>
  <c r="DQ147" i="2"/>
  <c r="DR147" i="2" s="1"/>
  <c r="GV80" i="2"/>
  <c r="GW80" i="2" s="1"/>
  <c r="FW53" i="2"/>
  <c r="FX53" i="2" s="1" a="1"/>
  <c r="FX53" i="2" s="1"/>
  <c r="DY48" i="2"/>
  <c r="DZ48" i="2" s="1"/>
  <c r="EA48" i="2" s="1"/>
  <c r="EC235" i="2"/>
  <c r="Z193" i="2"/>
  <c r="AA174" i="2"/>
  <c r="GV28" i="2"/>
  <c r="GW28" i="2" s="1"/>
  <c r="EC48" i="2"/>
  <c r="CK38" i="2"/>
  <c r="Z237" i="2"/>
  <c r="EI214" i="2"/>
  <c r="Z228" i="2"/>
  <c r="EH235" i="2"/>
  <c r="DY222" i="2"/>
  <c r="DZ222" i="2" s="1"/>
  <c r="EA222" i="2" s="1"/>
  <c r="GV210" i="2"/>
  <c r="GW210" i="2" s="1"/>
  <c r="Z84" i="2"/>
  <c r="EI78" i="2"/>
  <c r="GV33" i="2"/>
  <c r="GW33" i="2" s="1"/>
  <c r="FZ30" i="2"/>
  <c r="GA30" i="2" s="1"/>
  <c r="FR21" i="2" a="1"/>
  <c r="FR21" i="2" s="1"/>
  <c r="CK210" i="2"/>
  <c r="GV135" i="2"/>
  <c r="GW135" i="2" s="1"/>
  <c r="Z114" i="2"/>
  <c r="EI36" i="2"/>
  <c r="DQ235" i="2"/>
  <c r="DR235" i="2" s="1"/>
  <c r="DS235" i="2"/>
  <c r="EH222" i="2"/>
  <c r="Z214" i="2"/>
  <c r="GV178" i="2"/>
  <c r="GW178" i="2" s="1"/>
  <c r="Z173" i="2"/>
  <c r="Z122" i="2"/>
  <c r="GV48" i="2"/>
  <c r="GW48" i="2" s="1"/>
  <c r="CM38" i="2"/>
  <c r="FR128" i="2" a="1"/>
  <c r="FR128" i="2" s="1"/>
  <c r="FR170" i="2" a="1"/>
  <c r="FR170" i="2" s="1"/>
  <c r="EG36" i="2"/>
  <c r="GV214" i="2"/>
  <c r="GW214" i="2" s="1"/>
  <c r="CE195" i="2"/>
  <c r="CK198" i="2"/>
  <c r="Z38" i="2"/>
  <c r="GV16" i="2"/>
  <c r="GW16" i="2" s="1"/>
  <c r="Z222" i="2"/>
  <c r="CE117" i="2"/>
  <c r="FR221" i="2" a="1"/>
  <c r="FR221" i="2" s="1"/>
  <c r="EC237" i="2"/>
  <c r="EG222" i="2"/>
  <c r="CE29" i="2"/>
  <c r="CE38" i="2"/>
  <c r="CE33" i="2"/>
  <c r="EI222" i="2"/>
  <c r="CE186" i="2"/>
  <c r="CE28" i="2"/>
  <c r="FR10" i="2" a="1"/>
  <c r="FR10" i="2" s="1"/>
  <c r="CK237" i="2"/>
  <c r="CE214" i="2"/>
  <c r="DQ237" i="2"/>
  <c r="DR237" i="2" s="1"/>
  <c r="CK139" i="2"/>
  <c r="Z47" i="2"/>
  <c r="GV237" i="2"/>
  <c r="GW237" i="2" s="1"/>
  <c r="DS237" i="2"/>
  <c r="Z119" i="2"/>
  <c r="Z89" i="2"/>
  <c r="Z221" i="2"/>
  <c r="FR169" i="2" a="1"/>
  <c r="FR169" i="2" s="1"/>
  <c r="FR107" i="2" a="1"/>
  <c r="FR107" i="2" s="1"/>
  <c r="FR232" i="2" a="1"/>
  <c r="FR232" i="2" s="1"/>
  <c r="EI26" i="2"/>
  <c r="FR209" i="2" a="1"/>
  <c r="FR209" i="2" s="1"/>
  <c r="Z158" i="2"/>
  <c r="EG159" i="2"/>
  <c r="DV26" i="2"/>
  <c r="DW26" i="2" s="1"/>
  <c r="EI159" i="2"/>
  <c r="CK13" i="2"/>
  <c r="Z223" i="2"/>
  <c r="GV23" i="2"/>
  <c r="GW23" i="2" s="1"/>
  <c r="CE23" i="2"/>
  <c r="GV12" i="2"/>
  <c r="GW12" i="2" s="1"/>
  <c r="Z53" i="2"/>
  <c r="CE52" i="2"/>
  <c r="EG21" i="2"/>
  <c r="Z13" i="2"/>
  <c r="CK51" i="2"/>
  <c r="EI25" i="2"/>
  <c r="DV201" i="2"/>
  <c r="DW201" i="2" s="1"/>
  <c r="DV81" i="2"/>
  <c r="DW81" i="2" s="1"/>
  <c r="EG201" i="2"/>
  <c r="CK125" i="2"/>
  <c r="EG81" i="2"/>
  <c r="AA180" i="2"/>
  <c r="FR201" i="2" a="1"/>
  <c r="FR201" i="2" s="1"/>
  <c r="GV125" i="2"/>
  <c r="GW125" i="2" s="1"/>
  <c r="CE120" i="2"/>
  <c r="GV51" i="2"/>
  <c r="GW51" i="2" s="1"/>
  <c r="GV10" i="2"/>
  <c r="GW10" i="2" s="1"/>
  <c r="FR151" i="2" a="1"/>
  <c r="FR151" i="2" s="1"/>
  <c r="DV21" i="2"/>
  <c r="DW21" i="2" s="1"/>
  <c r="GV244" i="2"/>
  <c r="Z189" i="2"/>
  <c r="CE150" i="2"/>
  <c r="EI133" i="2"/>
  <c r="EG133" i="2"/>
  <c r="FR163" i="2" a="1"/>
  <c r="FR163" i="2" s="1"/>
  <c r="Z190" i="2"/>
  <c r="GV173" i="2"/>
  <c r="GW173" i="2" s="1"/>
  <c r="FR168" i="2" a="1"/>
  <c r="FR168" i="2" s="1"/>
  <c r="FW190" i="2"/>
  <c r="FX190" i="2" s="1" a="1"/>
  <c r="FX190" i="2" s="1"/>
  <c r="Z181" i="2"/>
  <c r="AA176" i="2"/>
  <c r="Z63" i="2"/>
  <c r="DQ24" i="2"/>
  <c r="DR24" i="2" s="1"/>
  <c r="FR123" i="2" a="1"/>
  <c r="FR123" i="2" s="1"/>
  <c r="FR125" i="2" a="1"/>
  <c r="FR125" i="2" s="1"/>
  <c r="FR38" i="2" a="1"/>
  <c r="FR38" i="2" s="1"/>
  <c r="CK220" i="2"/>
  <c r="GV150" i="2"/>
  <c r="GW150" i="2" s="1"/>
  <c r="GV90" i="2"/>
  <c r="GW90" i="2" s="1"/>
  <c r="Z106" i="2"/>
  <c r="DS24" i="2"/>
  <c r="CE10" i="2"/>
  <c r="AA232" i="2"/>
  <c r="DY24" i="2"/>
  <c r="DZ24" i="2" s="1"/>
  <c r="EA24" i="2" s="1"/>
  <c r="DS35" i="2"/>
  <c r="FR50" i="2" a="1"/>
  <c r="FR50" i="2" s="1"/>
  <c r="EI215" i="2"/>
  <c r="GV185" i="2"/>
  <c r="GW185" i="2" s="1"/>
  <c r="Z161" i="2"/>
  <c r="DY35" i="2"/>
  <c r="DZ35" i="2" s="1"/>
  <c r="EA35" i="2" s="1"/>
  <c r="CE39" i="2"/>
  <c r="Z41" i="2"/>
  <c r="DV215" i="2"/>
  <c r="DW215" i="2" s="1"/>
  <c r="Z225" i="2"/>
  <c r="DQ108" i="2"/>
  <c r="DR108" i="2" s="1"/>
  <c r="EH37" i="2"/>
  <c r="DY201" i="2"/>
  <c r="DZ201" i="2" s="1"/>
  <c r="EA201" i="2" s="1"/>
  <c r="CK136" i="2"/>
  <c r="DY108" i="2"/>
  <c r="DZ108" i="2" s="1"/>
  <c r="EA108" i="2" s="1"/>
  <c r="CE63" i="2"/>
  <c r="DQ37" i="2"/>
  <c r="DR37" i="2" s="1"/>
  <c r="Z25" i="2"/>
  <c r="EC201" i="2"/>
  <c r="DS37" i="2"/>
  <c r="Z12" i="2"/>
  <c r="Z34" i="2"/>
  <c r="CE30" i="2"/>
  <c r="EH201" i="2"/>
  <c r="FR165" i="2" a="1"/>
  <c r="FR165" i="2" s="1"/>
  <c r="DY37" i="2"/>
  <c r="DZ37" i="2" s="1"/>
  <c r="EA37" i="2" s="1"/>
  <c r="DS39" i="2"/>
  <c r="DQ201" i="2"/>
  <c r="DR201" i="2" s="1"/>
  <c r="GV24" i="2"/>
  <c r="GW24" i="2" s="1"/>
  <c r="FR16" i="2" a="1"/>
  <c r="FR16" i="2" s="1"/>
  <c r="GU30" i="2"/>
  <c r="GV212" i="2"/>
  <c r="GW212" i="2" s="1"/>
  <c r="EI9" i="2"/>
  <c r="Z215" i="2"/>
  <c r="AA246" i="2"/>
  <c r="GV184" i="2"/>
  <c r="GW184" i="2" s="1"/>
  <c r="DS195" i="2"/>
  <c r="DY181" i="2"/>
  <c r="DZ181" i="2" s="1"/>
  <c r="EA181" i="2" s="1"/>
  <c r="DY162" i="2"/>
  <c r="DZ162" i="2" s="1"/>
  <c r="EA162" i="2" s="1"/>
  <c r="Z130" i="2"/>
  <c r="CK115" i="2"/>
  <c r="GV166" i="2"/>
  <c r="GW166" i="2" s="1"/>
  <c r="GV53" i="2"/>
  <c r="GW53" i="2" s="1"/>
  <c r="FR171" i="2" a="1"/>
  <c r="FR171" i="2" s="1"/>
  <c r="Z132" i="2"/>
  <c r="Z242" i="2"/>
  <c r="DY195" i="2"/>
  <c r="DZ195" i="2" s="1"/>
  <c r="EA195" i="2" s="1"/>
  <c r="EC181" i="2"/>
  <c r="EC162" i="2"/>
  <c r="CK108" i="2"/>
  <c r="CK170" i="2"/>
  <c r="CM117" i="2"/>
  <c r="EG25" i="2"/>
  <c r="GV226" i="2"/>
  <c r="GW226" i="2" s="1"/>
  <c r="FR218" i="2" a="1"/>
  <c r="FR218" i="2" s="1"/>
  <c r="Z211" i="2"/>
  <c r="Z167" i="2"/>
  <c r="EC195" i="2"/>
  <c r="EH162" i="2"/>
  <c r="EH138" i="2"/>
  <c r="EC114" i="2"/>
  <c r="DV107" i="2"/>
  <c r="DW107" i="2" s="1"/>
  <c r="CK117" i="2"/>
  <c r="GV100" i="2"/>
  <c r="GW100" i="2" s="1"/>
  <c r="CK31" i="2"/>
  <c r="CE25" i="2"/>
  <c r="GV15" i="2"/>
  <c r="GW15" i="2" s="1"/>
  <c r="Z27" i="2"/>
  <c r="FR12" i="2" a="1"/>
  <c r="FR12" i="2" s="1"/>
  <c r="DS181" i="2"/>
  <c r="DV157" i="2"/>
  <c r="DW157" i="2" s="1"/>
  <c r="GV190" i="2"/>
  <c r="GW190" i="2" s="1"/>
  <c r="DQ162" i="2"/>
  <c r="DR162" i="2" s="1"/>
  <c r="FR153" i="2" a="1"/>
  <c r="FR153" i="2" s="1"/>
  <c r="DQ138" i="2"/>
  <c r="DR138" i="2" s="1"/>
  <c r="GV107" i="2"/>
  <c r="GW107" i="2" s="1"/>
  <c r="EH114" i="2"/>
  <c r="GV126" i="2"/>
  <c r="GW126" i="2" s="1"/>
  <c r="EH122" i="2"/>
  <c r="Z105" i="2"/>
  <c r="CK122" i="2"/>
  <c r="EC126" i="2"/>
  <c r="GV25" i="2"/>
  <c r="GW25" i="2" s="1"/>
  <c r="Z40" i="2"/>
  <c r="FR222" i="2" a="1"/>
  <c r="FR222" i="2" s="1"/>
  <c r="FR33" i="2" a="1"/>
  <c r="FR33" i="2" s="1"/>
  <c r="GV195" i="2"/>
  <c r="GW195" i="2" s="1"/>
  <c r="DQ195" i="2"/>
  <c r="DR195" i="2" s="1"/>
  <c r="GV199" i="2"/>
  <c r="GW199" i="2" s="1"/>
  <c r="Z156" i="2"/>
  <c r="GV191" i="2"/>
  <c r="GW191" i="2" s="1"/>
  <c r="DS138" i="2"/>
  <c r="DQ114" i="2"/>
  <c r="DR114" i="2" s="1"/>
  <c r="EG107" i="2"/>
  <c r="CK146" i="2"/>
  <c r="EG114" i="2"/>
  <c r="DQ122" i="2"/>
  <c r="DR122" i="2" s="1"/>
  <c r="GV122" i="2"/>
  <c r="GW122" i="2" s="1"/>
  <c r="EH126" i="2"/>
  <c r="FR122" i="2" a="1"/>
  <c r="FR122" i="2" s="1"/>
  <c r="CE151" i="2"/>
  <c r="DQ182" i="2"/>
  <c r="DR182" i="2" s="1"/>
  <c r="EG11" i="2"/>
  <c r="GV130" i="2"/>
  <c r="GW130" i="2" s="1"/>
  <c r="DY138" i="2"/>
  <c r="DZ138" i="2" s="1"/>
  <c r="EA138" i="2" s="1"/>
  <c r="DS114" i="2"/>
  <c r="DS122" i="2"/>
  <c r="DQ126" i="2"/>
  <c r="DR126" i="2" s="1"/>
  <c r="GV39" i="2"/>
  <c r="GW39" i="2" s="1"/>
  <c r="GV84" i="2"/>
  <c r="GW84" i="2" s="1"/>
  <c r="EG22" i="2"/>
  <c r="CE184" i="2"/>
  <c r="DS182" i="2"/>
  <c r="EI182" i="2"/>
  <c r="GV171" i="2"/>
  <c r="GW171" i="2" s="1"/>
  <c r="EI11" i="2"/>
  <c r="Z148" i="2"/>
  <c r="EH179" i="2"/>
  <c r="DY122" i="2"/>
  <c r="DZ122" i="2" s="1"/>
  <c r="EA122" i="2" s="1"/>
  <c r="DS126" i="2"/>
  <c r="CE94" i="2"/>
  <c r="GV56" i="2"/>
  <c r="GW56" i="2" s="1"/>
  <c r="CE68" i="2"/>
  <c r="FR57" i="2" a="1"/>
  <c r="FR57" i="2" s="1"/>
  <c r="FR25" i="2" a="1"/>
  <c r="FR25" i="2" s="1"/>
  <c r="DQ181" i="2"/>
  <c r="DR181" i="2" s="1"/>
  <c r="GV95" i="2"/>
  <c r="GW95" i="2" s="1"/>
  <c r="DV78" i="2"/>
  <c r="DW78" i="2" s="1"/>
  <c r="CK208" i="2"/>
  <c r="Z206" i="2"/>
  <c r="Z160" i="2"/>
  <c r="DY182" i="2"/>
  <c r="DZ182" i="2" s="1"/>
  <c r="EA182" i="2" s="1"/>
  <c r="DV182" i="2"/>
  <c r="DW182" i="2" s="1"/>
  <c r="Z165" i="2"/>
  <c r="CK171" i="2"/>
  <c r="DQ179" i="2"/>
  <c r="DR179" i="2" s="1"/>
  <c r="GV198" i="2"/>
  <c r="GW198" i="2" s="1"/>
  <c r="FR80" i="2" a="1"/>
  <c r="FR80" i="2" s="1"/>
  <c r="CE95" i="2"/>
  <c r="CK39" i="2"/>
  <c r="CK56" i="2"/>
  <c r="CE53" i="2"/>
  <c r="FR22" i="2" a="1"/>
  <c r="FR22" i="2" s="1"/>
  <c r="Z216" i="2"/>
  <c r="EH234" i="2"/>
  <c r="Z83" i="2"/>
  <c r="DS234" i="2"/>
  <c r="GV219" i="2"/>
  <c r="GW219" i="2" s="1"/>
  <c r="GV208" i="2"/>
  <c r="GW208" i="2" s="1"/>
  <c r="CE183" i="2"/>
  <c r="GV187" i="2"/>
  <c r="GW187" i="2" s="1"/>
  <c r="EC182" i="2"/>
  <c r="DS179" i="2"/>
  <c r="GV68" i="2"/>
  <c r="GW68" i="2" s="1"/>
  <c r="CK130" i="2"/>
  <c r="EG9" i="2"/>
  <c r="EC9" i="2"/>
  <c r="DY234" i="2"/>
  <c r="DZ234" i="2" s="1"/>
  <c r="EA234" i="2" s="1"/>
  <c r="CE194" i="2"/>
  <c r="EI181" i="2"/>
  <c r="Z171" i="2"/>
  <c r="DS11" i="2"/>
  <c r="CK141" i="2"/>
  <c r="DY179" i="2"/>
  <c r="DZ179" i="2" s="1"/>
  <c r="EA179" i="2" s="1"/>
  <c r="FR97" i="2" a="1"/>
  <c r="FR97" i="2" s="1"/>
  <c r="Z58" i="2"/>
  <c r="GV37" i="2"/>
  <c r="GW37" i="2" s="1"/>
  <c r="GV9" i="2"/>
  <c r="GW9" i="2" s="1"/>
  <c r="EH9" i="2"/>
  <c r="CE15" i="2"/>
  <c r="EC234" i="2"/>
  <c r="CE219" i="2"/>
  <c r="EG181" i="2"/>
  <c r="CE199" i="2"/>
  <c r="DY11" i="2"/>
  <c r="DZ11" i="2" s="1"/>
  <c r="EA11" i="2" s="1"/>
  <c r="GV114" i="2"/>
  <c r="GW114" i="2" s="1"/>
  <c r="EI48" i="2"/>
  <c r="CE37" i="2"/>
  <c r="DV48" i="2"/>
  <c r="DW48" i="2" s="1"/>
  <c r="EI24" i="2"/>
  <c r="CK9" i="2"/>
  <c r="DQ9" i="2"/>
  <c r="DR9" i="2" s="1"/>
  <c r="CK15" i="2"/>
  <c r="FR72" i="2" a="1"/>
  <c r="FR72" i="2" s="1"/>
  <c r="DV41" i="2"/>
  <c r="DW41" i="2" s="1"/>
  <c r="EG41" i="2"/>
  <c r="FR215" i="2" a="1"/>
  <c r="FR215" i="2" s="1"/>
  <c r="Z207" i="2"/>
  <c r="CE192" i="2"/>
  <c r="EC11" i="2"/>
  <c r="CE91" i="2"/>
  <c r="CK161" i="2"/>
  <c r="DV24" i="2"/>
  <c r="DW24" i="2" s="1"/>
  <c r="CE31" i="2"/>
  <c r="DS9" i="2"/>
  <c r="FR37" i="2" a="1"/>
  <c r="FR37" i="2" s="1"/>
  <c r="CE191" i="2"/>
  <c r="GV186" i="2"/>
  <c r="GW186" i="2" s="1"/>
  <c r="FR177" i="2" a="1"/>
  <c r="FR177" i="2" s="1"/>
  <c r="GV112" i="2"/>
  <c r="GW112" i="2" s="1"/>
  <c r="Z138" i="2"/>
  <c r="CE74" i="2"/>
  <c r="FR27" i="2" a="1"/>
  <c r="FR27" i="2" s="1"/>
  <c r="Z178" i="2"/>
  <c r="DV214" i="2"/>
  <c r="DW214" i="2" s="1"/>
  <c r="FR29" i="2" a="1"/>
  <c r="FR29" i="2" s="1"/>
  <c r="GV238" i="2"/>
  <c r="GW238" i="2" s="1"/>
  <c r="FR186" i="2" a="1"/>
  <c r="FR186" i="2" s="1"/>
  <c r="FR237" i="2" a="1"/>
  <c r="FR237" i="2" s="1"/>
  <c r="Z250" i="2"/>
  <c r="FR102" i="2" a="1"/>
  <c r="FR102" i="2" s="1"/>
  <c r="FR136" i="2" a="1"/>
  <c r="FR136" i="2" s="1"/>
  <c r="GT201" i="2"/>
  <c r="GV94" i="2"/>
  <c r="GW94" i="2" s="1"/>
  <c r="GV29" i="2"/>
  <c r="GW29" i="2" s="1"/>
  <c r="FR230" i="2" a="1"/>
  <c r="FR230" i="2" s="1"/>
  <c r="GV223" i="2"/>
  <c r="GW223" i="2" s="1"/>
  <c r="FR217" i="2" a="1"/>
  <c r="FR217" i="2" s="1"/>
  <c r="GV75" i="2"/>
  <c r="GW75" i="2" s="1"/>
  <c r="GV161" i="2"/>
  <c r="FR231" i="2" a="1"/>
  <c r="FR231" i="2" s="1"/>
  <c r="GV235" i="2"/>
  <c r="GW235" i="2" s="1"/>
  <c r="FR173" i="2" a="1"/>
  <c r="FR173" i="2" s="1"/>
  <c r="GV141" i="2"/>
  <c r="GW141" i="2" s="1"/>
  <c r="AA224" i="2"/>
  <c r="Z224" i="2"/>
  <c r="FR207" i="2" a="1"/>
  <c r="FR207" i="2" s="1"/>
  <c r="GV139" i="2"/>
  <c r="GW139" i="2" s="1"/>
  <c r="FR69" i="2" a="1"/>
  <c r="FR69" i="2" s="1"/>
  <c r="FR20" i="2" a="1"/>
  <c r="FR20" i="2" s="1"/>
  <c r="FR41" i="2" a="1"/>
  <c r="FR41" i="2" s="1"/>
  <c r="Z245" i="2"/>
  <c r="DV242" i="2"/>
  <c r="DW242" i="2" s="1"/>
  <c r="EG242" i="2"/>
  <c r="FR233" i="2" a="1"/>
  <c r="FR233" i="2" s="1"/>
  <c r="FR194" i="2" a="1"/>
  <c r="FR194" i="2" s="1"/>
  <c r="FW194" i="2"/>
  <c r="FX194" i="2" s="1" a="1"/>
  <c r="FX194" i="2" s="1"/>
  <c r="CK148" i="2"/>
  <c r="AA162" i="2"/>
  <c r="Z162" i="2"/>
  <c r="EI137" i="2"/>
  <c r="DV137" i="2"/>
  <c r="DW137" i="2" s="1"/>
  <c r="DV38" i="2"/>
  <c r="DW38" i="2" s="1"/>
  <c r="EG38" i="2"/>
  <c r="DV34" i="2"/>
  <c r="DW34" i="2" s="1"/>
  <c r="EG34" i="2"/>
  <c r="FR164" i="2" a="1"/>
  <c r="FR164" i="2" s="1"/>
  <c r="GV143" i="2"/>
  <c r="GW143" i="2" s="1"/>
  <c r="FR159" i="2" a="1"/>
  <c r="FR159" i="2" s="1"/>
  <c r="EG213" i="2"/>
  <c r="DV213" i="2"/>
  <c r="DW213" i="2" s="1"/>
  <c r="EI199" i="2"/>
  <c r="EG199" i="2"/>
  <c r="EI108" i="2"/>
  <c r="EG108" i="2"/>
  <c r="DV108" i="2"/>
  <c r="DW108" i="2" s="1"/>
  <c r="EH107" i="2"/>
  <c r="EC107" i="2"/>
  <c r="DY107" i="2"/>
  <c r="DZ107" i="2" s="1"/>
  <c r="EA107" i="2" s="1"/>
  <c r="DQ107" i="2"/>
  <c r="DR107" i="2" s="1"/>
  <c r="DS107" i="2"/>
  <c r="EI138" i="2"/>
  <c r="DV138" i="2"/>
  <c r="DW138" i="2" s="1"/>
  <c r="CE14" i="2"/>
  <c r="CK14" i="2"/>
  <c r="FR243" i="2" a="1"/>
  <c r="FR243" i="2" s="1"/>
  <c r="FR208" i="2" a="1"/>
  <c r="FR208" i="2" s="1"/>
  <c r="GV142" i="2"/>
  <c r="GW142" i="2" s="1"/>
  <c r="EG218" i="2"/>
  <c r="EI218" i="2"/>
  <c r="DQ213" i="2"/>
  <c r="DR213" i="2" s="1"/>
  <c r="EC213" i="2"/>
  <c r="FR192" i="2" a="1"/>
  <c r="FR192" i="2" s="1"/>
  <c r="FW192" i="2"/>
  <c r="FX192" i="2" s="1" a="1"/>
  <c r="FX192" i="2" s="1"/>
  <c r="DS149" i="2"/>
  <c r="EH149" i="2"/>
  <c r="DY149" i="2"/>
  <c r="DZ149" i="2" s="1"/>
  <c r="EA149" i="2" s="1"/>
  <c r="FR101" i="2" a="1"/>
  <c r="FR101" i="2" s="1"/>
  <c r="FW101" i="2"/>
  <c r="FX101" i="2" s="1" a="1"/>
  <c r="FX101" i="2" s="1"/>
  <c r="DV28" i="2"/>
  <c r="DW28" i="2" s="1"/>
  <c r="EG28" i="2"/>
  <c r="GV211" i="2"/>
  <c r="GW211" i="2" s="1"/>
  <c r="FR17" i="2" a="1"/>
  <c r="FR17" i="2" s="1"/>
  <c r="FR62" i="2" a="1"/>
  <c r="FR62" i="2" s="1"/>
  <c r="DY147" i="2"/>
  <c r="DZ147" i="2" s="1"/>
  <c r="EA147" i="2" s="1"/>
  <c r="EC147" i="2"/>
  <c r="DS147" i="2"/>
  <c r="FR100" i="2" a="1"/>
  <c r="FR100" i="2" s="1"/>
  <c r="FW100" i="2"/>
  <c r="FX100" i="2" s="1" a="1"/>
  <c r="FX100" i="2" s="1"/>
  <c r="FR228" i="2" a="1"/>
  <c r="FR228" i="2" s="1"/>
  <c r="GV140" i="2"/>
  <c r="GW140" i="2" s="1"/>
  <c r="GV132" i="2"/>
  <c r="GW132" i="2" s="1"/>
  <c r="GV77" i="2"/>
  <c r="GW77" i="2" s="1"/>
  <c r="DV237" i="2"/>
  <c r="DW237" i="2" s="1"/>
  <c r="EG237" i="2"/>
  <c r="Z241" i="2"/>
  <c r="DV40" i="2"/>
  <c r="DW40" i="2" s="1"/>
  <c r="EG40" i="2"/>
  <c r="Z32" i="2"/>
  <c r="FR244" i="2" a="1"/>
  <c r="FR244" i="2" s="1"/>
  <c r="Z243" i="2"/>
  <c r="FR224" i="2" a="1"/>
  <c r="FR224" i="2" s="1"/>
  <c r="CK190" i="2"/>
  <c r="EH136" i="2"/>
  <c r="EC136" i="2"/>
  <c r="DY136" i="2"/>
  <c r="DZ136" i="2" s="1"/>
  <c r="EA136" i="2" s="1"/>
  <c r="DS136" i="2"/>
  <c r="DQ136" i="2"/>
  <c r="DR136" i="2" s="1"/>
  <c r="CK75" i="2"/>
  <c r="EI124" i="2"/>
  <c r="EG124" i="2"/>
  <c r="DV124" i="2"/>
  <c r="DW124" i="2" s="1"/>
  <c r="FR28" i="2" a="1"/>
  <c r="FR28" i="2" s="1"/>
  <c r="EI35" i="2"/>
  <c r="EG35" i="2"/>
  <c r="DV35" i="2"/>
  <c r="DW35" i="2" s="1"/>
  <c r="FR162" i="2" a="1"/>
  <c r="FR162" i="2" s="1"/>
  <c r="Z240" i="2"/>
  <c r="CK98" i="2"/>
  <c r="FR126" i="2" a="1"/>
  <c r="FR126" i="2" s="1"/>
  <c r="EI123" i="2"/>
  <c r="EG123" i="2"/>
  <c r="DV123" i="2"/>
  <c r="DW123" i="2" s="1"/>
  <c r="EG177" i="2"/>
  <c r="EI177" i="2"/>
  <c r="FR60" i="2" a="1"/>
  <c r="FR60" i="2" s="1"/>
  <c r="FR77" i="2" a="1"/>
  <c r="FR77" i="2" s="1"/>
  <c r="GV249" i="2"/>
  <c r="GV213" i="2"/>
  <c r="GW213" i="2" s="1"/>
  <c r="GV129" i="2"/>
  <c r="GW129" i="2" s="1"/>
  <c r="GV74" i="2"/>
  <c r="GW74" i="2" s="1"/>
  <c r="EG210" i="2"/>
  <c r="EI210" i="2"/>
  <c r="FR71" i="2" a="1"/>
  <c r="FR71" i="2" s="1"/>
  <c r="EI126" i="2"/>
  <c r="EG126" i="2"/>
  <c r="DV126" i="2"/>
  <c r="DW126" i="2" s="1"/>
  <c r="EI122" i="2"/>
  <c r="DV122" i="2"/>
  <c r="DW122" i="2" s="1"/>
  <c r="EG122" i="2"/>
  <c r="FR138" i="2" a="1"/>
  <c r="FR138" i="2" s="1"/>
  <c r="Z49" i="2"/>
  <c r="EI57" i="2"/>
  <c r="EG57" i="2"/>
  <c r="FR134" i="2" a="1"/>
  <c r="FR134" i="2" s="1"/>
  <c r="GU246" i="2"/>
  <c r="DV218" i="2"/>
  <c r="DW218" i="2" s="1"/>
  <c r="DV219" i="2"/>
  <c r="DW219" i="2" s="1"/>
  <c r="EG219" i="2"/>
  <c r="CK153" i="2"/>
  <c r="FR175" i="2" a="1"/>
  <c r="FR175" i="2" s="1"/>
  <c r="GV71" i="2"/>
  <c r="GW71" i="2" s="1"/>
  <c r="DS219" i="2"/>
  <c r="DQ219" i="2"/>
  <c r="DR219" i="2" s="1"/>
  <c r="CK193" i="2"/>
  <c r="CM152" i="2"/>
  <c r="CK152" i="2"/>
  <c r="EI125" i="2"/>
  <c r="EG125" i="2"/>
  <c r="DV125" i="2"/>
  <c r="DW125" i="2" s="1"/>
  <c r="CK105" i="2"/>
  <c r="FR87" i="2" a="1"/>
  <c r="FR87" i="2" s="1"/>
  <c r="FR104" i="2" a="1"/>
  <c r="FR104" i="2" s="1"/>
  <c r="AA236" i="2"/>
  <c r="Z236" i="2"/>
  <c r="CM128" i="2"/>
  <c r="CK128" i="2"/>
  <c r="FR148" i="2" a="1"/>
  <c r="FR148" i="2" s="1"/>
  <c r="CE152" i="2"/>
  <c r="DV37" i="2"/>
  <c r="DW37" i="2" s="1"/>
  <c r="EG37" i="2"/>
  <c r="FR35" i="2" a="1"/>
  <c r="FR35" i="2" s="1"/>
  <c r="EC222" i="2"/>
  <c r="DQ222" i="2"/>
  <c r="DR222" i="2" s="1"/>
  <c r="CE112" i="2"/>
  <c r="CK112" i="2"/>
  <c r="FR39" i="2" a="1"/>
  <c r="FR39" i="2" s="1"/>
  <c r="FR150" i="2" a="1"/>
  <c r="FR150" i="2" s="1"/>
  <c r="EC233" i="2"/>
  <c r="EH233" i="2"/>
  <c r="DY233" i="2"/>
  <c r="DZ233" i="2" s="1"/>
  <c r="EA233" i="2" s="1"/>
  <c r="Z244" i="2"/>
  <c r="AB244" i="2"/>
  <c r="CK78" i="2"/>
  <c r="AA75" i="2"/>
  <c r="Z75" i="2"/>
  <c r="Z45" i="2"/>
  <c r="Z116" i="2"/>
  <c r="AA116" i="2"/>
  <c r="FR235" i="2" a="1"/>
  <c r="FR235" i="2" s="1"/>
  <c r="GV236" i="2"/>
  <c r="GW236" i="2" s="1"/>
  <c r="Z20" i="2"/>
  <c r="DV200" i="2"/>
  <c r="DW200" i="2" s="1"/>
  <c r="EI200" i="2"/>
  <c r="EG200" i="2"/>
  <c r="DY116" i="2"/>
  <c r="DZ116" i="2" s="1"/>
  <c r="EA116" i="2" s="1"/>
  <c r="DS116" i="2"/>
  <c r="GV245" i="2"/>
  <c r="FR199" i="2" a="1"/>
  <c r="FR199" i="2" s="1"/>
  <c r="FR18" i="2" a="1"/>
  <c r="FR18" i="2" s="1"/>
  <c r="DV208" i="2"/>
  <c r="DW208" i="2" s="1"/>
  <c r="EG208" i="2"/>
  <c r="FR98" i="2" a="1"/>
  <c r="FR98" i="2" s="1"/>
  <c r="EI127" i="2"/>
  <c r="DV127" i="2"/>
  <c r="DW127" i="2" s="1"/>
  <c r="EG127" i="2"/>
  <c r="FR73" i="2" a="1"/>
  <c r="FR73" i="2" s="1"/>
  <c r="EI105" i="2"/>
  <c r="DV105" i="2"/>
  <c r="DW105" i="2" s="1"/>
  <c r="FR34" i="2" a="1"/>
  <c r="FR34" i="2" s="1"/>
  <c r="CK18" i="2"/>
  <c r="CM18" i="2"/>
  <c r="CE18" i="2"/>
  <c r="DV39" i="2"/>
  <c r="DW39" i="2" s="1"/>
  <c r="EG39" i="2"/>
  <c r="EG44" i="2"/>
  <c r="DV44" i="2"/>
  <c r="DW44" i="2" s="1"/>
  <c r="EI44" i="2"/>
  <c r="CK159" i="2"/>
  <c r="CM159" i="2"/>
  <c r="CE159" i="2"/>
  <c r="GV159" i="2"/>
  <c r="GW159" i="2" s="1"/>
  <c r="Z90" i="2"/>
  <c r="AA90" i="2"/>
  <c r="AA231" i="2"/>
  <c r="Z231" i="2"/>
  <c r="FR147" i="2" a="1"/>
  <c r="FR147" i="2" s="1"/>
  <c r="FW147" i="2"/>
  <c r="FX147" i="2" s="1" a="1"/>
  <c r="FX147" i="2" s="1"/>
  <c r="CK163" i="2"/>
  <c r="CM163" i="2"/>
  <c r="CE163" i="2"/>
  <c r="GV163" i="2"/>
  <c r="GW163" i="2" s="1"/>
  <c r="DS110" i="2"/>
  <c r="EH110" i="2"/>
  <c r="DQ110" i="2"/>
  <c r="DR110" i="2" s="1"/>
  <c r="EC110" i="2"/>
  <c r="DY110" i="2"/>
  <c r="DZ110" i="2" s="1"/>
  <c r="EA110" i="2" s="1"/>
  <c r="DY119" i="2"/>
  <c r="DZ119" i="2" s="1"/>
  <c r="EA119" i="2" s="1"/>
  <c r="DS119" i="2"/>
  <c r="DQ119" i="2"/>
  <c r="DR119" i="2" s="1"/>
  <c r="EH119" i="2"/>
  <c r="EC119" i="2"/>
  <c r="DY115" i="2"/>
  <c r="DZ115" i="2" s="1"/>
  <c r="EA115" i="2" s="1"/>
  <c r="DS115" i="2"/>
  <c r="DQ115" i="2"/>
  <c r="DR115" i="2" s="1"/>
  <c r="EH115" i="2"/>
  <c r="EC115" i="2"/>
  <c r="FU93" i="2"/>
  <c r="FV93" i="2" s="1"/>
  <c r="EC153" i="2"/>
  <c r="DS153" i="2"/>
  <c r="DY153" i="2"/>
  <c r="DZ153" i="2" s="1"/>
  <c r="EA153" i="2" s="1"/>
  <c r="DQ153" i="2"/>
  <c r="DR153" i="2" s="1"/>
  <c r="EH153" i="2"/>
  <c r="AA70" i="2"/>
  <c r="Z70" i="2"/>
  <c r="EG96" i="2"/>
  <c r="DV96" i="2"/>
  <c r="DW96" i="2" s="1"/>
  <c r="EI96" i="2"/>
  <c r="EC86" i="2"/>
  <c r="DY86" i="2"/>
  <c r="DZ86" i="2" s="1"/>
  <c r="EA86" i="2" s="1"/>
  <c r="DS86" i="2"/>
  <c r="DQ86" i="2"/>
  <c r="DR86" i="2" s="1"/>
  <c r="EH86" i="2"/>
  <c r="EC63" i="2"/>
  <c r="DY63" i="2"/>
  <c r="DZ63" i="2" s="1"/>
  <c r="EA63" i="2" s="1"/>
  <c r="DS63" i="2"/>
  <c r="DQ63" i="2"/>
  <c r="DR63" i="2" s="1"/>
  <c r="EH63" i="2"/>
  <c r="EC55" i="2"/>
  <c r="DY55" i="2"/>
  <c r="DZ55" i="2" s="1"/>
  <c r="EA55" i="2" s="1"/>
  <c r="DQ55" i="2"/>
  <c r="DR55" i="2" s="1"/>
  <c r="DS55" i="2"/>
  <c r="EH55" i="2"/>
  <c r="CM20" i="2"/>
  <c r="GV20" i="2"/>
  <c r="GW20" i="2" s="1"/>
  <c r="CE20" i="2"/>
  <c r="CK20" i="2"/>
  <c r="CM59" i="2"/>
  <c r="CE59" i="2"/>
  <c r="CK59" i="2"/>
  <c r="FW15" i="2"/>
  <c r="FX15" i="2" s="1" a="1"/>
  <c r="FX15" i="2" s="1"/>
  <c r="FR15" i="2" a="1"/>
  <c r="FR15" i="2" s="1"/>
  <c r="EC240" i="2"/>
  <c r="DY240" i="2"/>
  <c r="DZ240" i="2" s="1"/>
  <c r="EA240" i="2" s="1"/>
  <c r="DS240" i="2"/>
  <c r="DQ240" i="2"/>
  <c r="DR240" i="2" s="1"/>
  <c r="EH240" i="2"/>
  <c r="DS128" i="2"/>
  <c r="DQ128" i="2"/>
  <c r="DR128" i="2" s="1"/>
  <c r="EC128" i="2"/>
  <c r="DY128" i="2"/>
  <c r="DZ128" i="2" s="1"/>
  <c r="EA128" i="2" s="1"/>
  <c r="GV128" i="2"/>
  <c r="GW128" i="2" s="1"/>
  <c r="EH128" i="2"/>
  <c r="CM241" i="2"/>
  <c r="GV241" i="2"/>
  <c r="GW241" i="2" s="1"/>
  <c r="CK241" i="2"/>
  <c r="CE241" i="2"/>
  <c r="AA233" i="2"/>
  <c r="Z233" i="2"/>
  <c r="FO246" i="2"/>
  <c r="EG128" i="2"/>
  <c r="DV128" i="2"/>
  <c r="DW128" i="2" s="1"/>
  <c r="EI128" i="2"/>
  <c r="GV181" i="2"/>
  <c r="GW181" i="2" s="1"/>
  <c r="FR188" i="2" a="1"/>
  <c r="FR188" i="2" s="1"/>
  <c r="FR160" i="2" a="1"/>
  <c r="FR160" i="2" s="1"/>
  <c r="FR146" i="2" a="1"/>
  <c r="FR146" i="2" s="1"/>
  <c r="FW146" i="2"/>
  <c r="FX146" i="2" s="1" a="1"/>
  <c r="FX146" i="2" s="1"/>
  <c r="CR201" i="2"/>
  <c r="CX201" i="2" s="1"/>
  <c r="GV151" i="2"/>
  <c r="GW151" i="2" s="1"/>
  <c r="EC186" i="2"/>
  <c r="DY186" i="2"/>
  <c r="DZ186" i="2" s="1"/>
  <c r="EA186" i="2" s="1"/>
  <c r="DS186" i="2"/>
  <c r="DQ186" i="2"/>
  <c r="DR186" i="2" s="1"/>
  <c r="EH186" i="2"/>
  <c r="EH109" i="2"/>
  <c r="EC109" i="2"/>
  <c r="DY109" i="2"/>
  <c r="DZ109" i="2" s="1"/>
  <c r="EA109" i="2" s="1"/>
  <c r="DS109" i="2"/>
  <c r="DQ109" i="2"/>
  <c r="DR109" i="2" s="1"/>
  <c r="DY118" i="2"/>
  <c r="DZ118" i="2" s="1"/>
  <c r="EA118" i="2" s="1"/>
  <c r="DS118" i="2"/>
  <c r="DQ118" i="2"/>
  <c r="DR118" i="2" s="1"/>
  <c r="EH118" i="2"/>
  <c r="EC118" i="2"/>
  <c r="FR121" i="2" a="1"/>
  <c r="FR121" i="2" s="1"/>
  <c r="DV115" i="2"/>
  <c r="DW115" i="2" s="1"/>
  <c r="EG115" i="2"/>
  <c r="EI115" i="2"/>
  <c r="AA85" i="2"/>
  <c r="Z85" i="2"/>
  <c r="GV109" i="2"/>
  <c r="GW109" i="2" s="1"/>
  <c r="CK109" i="2"/>
  <c r="CM109" i="2"/>
  <c r="CE109" i="2"/>
  <c r="FR130" i="2" a="1"/>
  <c r="FR130" i="2" s="1"/>
  <c r="EG153" i="2"/>
  <c r="DV153" i="2"/>
  <c r="DW153" i="2" s="1"/>
  <c r="EI153" i="2"/>
  <c r="AA69" i="2"/>
  <c r="Z69" i="2"/>
  <c r="DS43" i="2"/>
  <c r="DQ43" i="2"/>
  <c r="DR43" i="2" s="1"/>
  <c r="EH43" i="2"/>
  <c r="EC43" i="2"/>
  <c r="DY43" i="2"/>
  <c r="DZ43" i="2" s="1"/>
  <c r="EA43" i="2" s="1"/>
  <c r="EC62" i="2"/>
  <c r="DY62" i="2"/>
  <c r="DZ62" i="2" s="1"/>
  <c r="EA62" i="2" s="1"/>
  <c r="DS62" i="2"/>
  <c r="DQ62" i="2"/>
  <c r="DR62" i="2" s="1"/>
  <c r="EH62" i="2"/>
  <c r="FR54" i="2" a="1"/>
  <c r="FR54" i="2" s="1"/>
  <c r="FW54" i="2"/>
  <c r="FX54" i="2" s="1" a="1"/>
  <c r="FX54" i="2" s="1"/>
  <c r="EC90" i="2"/>
  <c r="DY90" i="2"/>
  <c r="DZ90" i="2" s="1"/>
  <c r="EA90" i="2" s="1"/>
  <c r="DS90" i="2"/>
  <c r="DQ90" i="2"/>
  <c r="DR90" i="2" s="1"/>
  <c r="EH90" i="2"/>
  <c r="EC94" i="2"/>
  <c r="DY94" i="2"/>
  <c r="DZ94" i="2" s="1"/>
  <c r="EA94" i="2" s="1"/>
  <c r="DS94" i="2"/>
  <c r="DQ94" i="2"/>
  <c r="DR94" i="2" s="1"/>
  <c r="EH94" i="2"/>
  <c r="DV55" i="2"/>
  <c r="DW55" i="2" s="1"/>
  <c r="EG55" i="2"/>
  <c r="EI55" i="2"/>
  <c r="CK17" i="2"/>
  <c r="CM17" i="2"/>
  <c r="CE17" i="2"/>
  <c r="EH196" i="2"/>
  <c r="EC196" i="2"/>
  <c r="DY196" i="2"/>
  <c r="DZ196" i="2" s="1"/>
  <c r="EA196" i="2" s="1"/>
  <c r="DS196" i="2"/>
  <c r="DQ196" i="2"/>
  <c r="DR196" i="2" s="1"/>
  <c r="AB208" i="2"/>
  <c r="Z208" i="2"/>
  <c r="EX248" i="2"/>
  <c r="DS207" i="2"/>
  <c r="DQ207" i="2"/>
  <c r="DR207" i="2" s="1"/>
  <c r="EH207" i="2"/>
  <c r="EC207" i="2"/>
  <c r="DY207" i="2"/>
  <c r="DZ207" i="2" s="1"/>
  <c r="EA207" i="2" s="1"/>
  <c r="GV196" i="2"/>
  <c r="GW196" i="2" s="1"/>
  <c r="EC185" i="2"/>
  <c r="DY185" i="2"/>
  <c r="DZ185" i="2" s="1"/>
  <c r="EA185" i="2" s="1"/>
  <c r="DS185" i="2"/>
  <c r="DQ185" i="2"/>
  <c r="DR185" i="2" s="1"/>
  <c r="EH185" i="2"/>
  <c r="FR185" i="2" a="1"/>
  <c r="FR185" i="2" s="1"/>
  <c r="EC194" i="2"/>
  <c r="DY194" i="2"/>
  <c r="DZ194" i="2" s="1"/>
  <c r="EA194" i="2" s="1"/>
  <c r="DS194" i="2"/>
  <c r="DQ194" i="2"/>
  <c r="DR194" i="2" s="1"/>
  <c r="EH194" i="2"/>
  <c r="FR145" i="2" a="1"/>
  <c r="FR145" i="2" s="1"/>
  <c r="FW145" i="2"/>
  <c r="FX145" i="2" s="1" a="1"/>
  <c r="FX145" i="2" s="1"/>
  <c r="DV186" i="2"/>
  <c r="DW186" i="2" s="1"/>
  <c r="EI186" i="2"/>
  <c r="EG186" i="2"/>
  <c r="GV194" i="2"/>
  <c r="GW194" i="2" s="1"/>
  <c r="DY117" i="2"/>
  <c r="DZ117" i="2" s="1"/>
  <c r="EA117" i="2" s="1"/>
  <c r="DS117" i="2"/>
  <c r="DQ117" i="2"/>
  <c r="DR117" i="2" s="1"/>
  <c r="EH117" i="2"/>
  <c r="EC117" i="2"/>
  <c r="GV117" i="2"/>
  <c r="GW117" i="2" s="1"/>
  <c r="FR127" i="2" a="1"/>
  <c r="FR127" i="2" s="1"/>
  <c r="AA68" i="2"/>
  <c r="Z68" i="2"/>
  <c r="GV93" i="2"/>
  <c r="GW93" i="2" s="1"/>
  <c r="GV119" i="2"/>
  <c r="GW119" i="2" s="1"/>
  <c r="EG95" i="2"/>
  <c r="DV95" i="2"/>
  <c r="DW95" i="2" s="1"/>
  <c r="EI95" i="2"/>
  <c r="EI43" i="2"/>
  <c r="EG43" i="2"/>
  <c r="DV43" i="2"/>
  <c r="DW43" i="2" s="1"/>
  <c r="EC61" i="2"/>
  <c r="DY61" i="2"/>
  <c r="DZ61" i="2" s="1"/>
  <c r="EA61" i="2" s="1"/>
  <c r="DS61" i="2"/>
  <c r="DQ61" i="2"/>
  <c r="DR61" i="2" s="1"/>
  <c r="EH61" i="2"/>
  <c r="EG90" i="2"/>
  <c r="DV90" i="2"/>
  <c r="DW90" i="2" s="1"/>
  <c r="EI90" i="2"/>
  <c r="EG94" i="2"/>
  <c r="DV94" i="2"/>
  <c r="DW94" i="2" s="1"/>
  <c r="EI94" i="2"/>
  <c r="GV62" i="2"/>
  <c r="GW62" i="2" s="1"/>
  <c r="DV190" i="2"/>
  <c r="DW190" i="2" s="1"/>
  <c r="EI190" i="2"/>
  <c r="EG190" i="2"/>
  <c r="GV105" i="2"/>
  <c r="GW105" i="2" s="1"/>
  <c r="CM243" i="2"/>
  <c r="GV243" i="2"/>
  <c r="CK243" i="2"/>
  <c r="CE243" i="2"/>
  <c r="FR220" i="2" a="1"/>
  <c r="FR220" i="2" s="1"/>
  <c r="Z30" i="2"/>
  <c r="AA30" i="2"/>
  <c r="DY248" i="2"/>
  <c r="DZ248" i="2" s="1"/>
  <c r="EA248" i="2" s="1"/>
  <c r="DS248" i="2"/>
  <c r="DQ248" i="2"/>
  <c r="DR248" i="2" s="1"/>
  <c r="EH248" i="2"/>
  <c r="EC248" i="2"/>
  <c r="DS206" i="2"/>
  <c r="DQ206" i="2"/>
  <c r="DR206" i="2" s="1"/>
  <c r="EH206" i="2"/>
  <c r="EC206" i="2"/>
  <c r="DY206" i="2"/>
  <c r="DZ206" i="2" s="1"/>
  <c r="EA206" i="2" s="1"/>
  <c r="GV248" i="2"/>
  <c r="AA188" i="2"/>
  <c r="Z188" i="2"/>
  <c r="DV194" i="2"/>
  <c r="DW194" i="2" s="1"/>
  <c r="EI194" i="2"/>
  <c r="EG194" i="2"/>
  <c r="EC180" i="2"/>
  <c r="DY180" i="2"/>
  <c r="DZ180" i="2" s="1"/>
  <c r="EA180" i="2" s="1"/>
  <c r="DS180" i="2"/>
  <c r="DQ180" i="2"/>
  <c r="DR180" i="2" s="1"/>
  <c r="EH180" i="2"/>
  <c r="EG197" i="2"/>
  <c r="DV197" i="2"/>
  <c r="DW197" i="2" s="1"/>
  <c r="EI197" i="2"/>
  <c r="DY146" i="2"/>
  <c r="DZ146" i="2" s="1"/>
  <c r="EA146" i="2" s="1"/>
  <c r="DS146" i="2"/>
  <c r="DQ146" i="2"/>
  <c r="DR146" i="2" s="1"/>
  <c r="EH146" i="2"/>
  <c r="EC146" i="2"/>
  <c r="CE133" i="2"/>
  <c r="CK133" i="2"/>
  <c r="CM133" i="2"/>
  <c r="Z87" i="2"/>
  <c r="AA87" i="2"/>
  <c r="AA103" i="2"/>
  <c r="Z103" i="2"/>
  <c r="AA67" i="2"/>
  <c r="Z67" i="2"/>
  <c r="FR198" i="2" a="1"/>
  <c r="FR198" i="2" s="1"/>
  <c r="EC60" i="2"/>
  <c r="DY60" i="2"/>
  <c r="DZ60" i="2" s="1"/>
  <c r="EA60" i="2" s="1"/>
  <c r="DQ60" i="2"/>
  <c r="DR60" i="2" s="1"/>
  <c r="EH60" i="2"/>
  <c r="DS60" i="2"/>
  <c r="GV73" i="2"/>
  <c r="GW73" i="2" s="1"/>
  <c r="EC59" i="2"/>
  <c r="DY59" i="2"/>
  <c r="DZ59" i="2" s="1"/>
  <c r="EA59" i="2" s="1"/>
  <c r="EH59" i="2"/>
  <c r="DS59" i="2"/>
  <c r="DQ59" i="2"/>
  <c r="DR59" i="2" s="1"/>
  <c r="CM61" i="2"/>
  <c r="CE61" i="2"/>
  <c r="CK61" i="2"/>
  <c r="FR67" i="2" a="1"/>
  <c r="FR67" i="2" s="1"/>
  <c r="EC53" i="2"/>
  <c r="DY53" i="2"/>
  <c r="DZ53" i="2" s="1"/>
  <c r="EA53" i="2" s="1"/>
  <c r="DS53" i="2"/>
  <c r="DQ53" i="2"/>
  <c r="DR53" i="2" s="1"/>
  <c r="EH53" i="2"/>
  <c r="EC111" i="2"/>
  <c r="DY111" i="2"/>
  <c r="DZ111" i="2" s="1"/>
  <c r="EA111" i="2" s="1"/>
  <c r="DS111" i="2"/>
  <c r="DQ111" i="2"/>
  <c r="DR111" i="2" s="1"/>
  <c r="EH111" i="2"/>
  <c r="EC68" i="2"/>
  <c r="DY68" i="2"/>
  <c r="DZ68" i="2" s="1"/>
  <c r="EA68" i="2" s="1"/>
  <c r="DS68" i="2"/>
  <c r="DQ68" i="2"/>
  <c r="DR68" i="2" s="1"/>
  <c r="EH68" i="2"/>
  <c r="Z16" i="2"/>
  <c r="AA16" i="2"/>
  <c r="EC54" i="2"/>
  <c r="DY54" i="2"/>
  <c r="DZ54" i="2" s="1"/>
  <c r="EA54" i="2" s="1"/>
  <c r="EH54" i="2"/>
  <c r="DS54" i="2"/>
  <c r="DQ54" i="2"/>
  <c r="DR54" i="2" s="1"/>
  <c r="CM249" i="2"/>
  <c r="CE249" i="2"/>
  <c r="CK249" i="2"/>
  <c r="CK224" i="2"/>
  <c r="CM224" i="2"/>
  <c r="CE224" i="2"/>
  <c r="FZ246" i="2"/>
  <c r="GA246" i="2" s="1"/>
  <c r="GV228" i="2"/>
  <c r="GW228" i="2" s="1"/>
  <c r="CM239" i="2"/>
  <c r="GV239" i="2"/>
  <c r="GW239" i="2" s="1"/>
  <c r="CK239" i="2"/>
  <c r="CE239" i="2"/>
  <c r="CM228" i="2"/>
  <c r="CK228" i="2"/>
  <c r="CE228" i="2"/>
  <c r="EC247" i="2"/>
  <c r="DY247" i="2"/>
  <c r="DZ247" i="2" s="1"/>
  <c r="EA247" i="2" s="1"/>
  <c r="DQ247" i="2"/>
  <c r="DR247" i="2" s="1"/>
  <c r="EH247" i="2"/>
  <c r="DS247" i="2"/>
  <c r="DV249" i="2"/>
  <c r="DW249" i="2" s="1"/>
  <c r="EG249" i="2"/>
  <c r="EI249" i="2"/>
  <c r="DV236" i="2"/>
  <c r="DW236" i="2" s="1"/>
  <c r="EG236" i="2"/>
  <c r="EI236" i="2"/>
  <c r="EG228" i="2"/>
  <c r="EI228" i="2"/>
  <c r="DV228" i="2"/>
  <c r="DW228" i="2" s="1"/>
  <c r="Z227" i="2"/>
  <c r="EI226" i="2"/>
  <c r="EG226" i="2"/>
  <c r="DV226" i="2"/>
  <c r="DW226" i="2" s="1"/>
  <c r="EG220" i="2"/>
  <c r="DV220" i="2"/>
  <c r="DW220" i="2" s="1"/>
  <c r="EI220" i="2"/>
  <c r="DV248" i="2"/>
  <c r="DW248" i="2" s="1"/>
  <c r="EI248" i="2"/>
  <c r="EG248" i="2"/>
  <c r="DS205" i="2"/>
  <c r="DQ205" i="2"/>
  <c r="DR205" i="2" s="1"/>
  <c r="EH205" i="2"/>
  <c r="EC205" i="2"/>
  <c r="DY205" i="2"/>
  <c r="DZ205" i="2" s="1"/>
  <c r="EA205" i="2" s="1"/>
  <c r="AA187" i="2"/>
  <c r="Z187" i="2"/>
  <c r="EG180" i="2"/>
  <c r="DV180" i="2"/>
  <c r="DW180" i="2" s="1"/>
  <c r="EI180" i="2"/>
  <c r="CK162" i="2"/>
  <c r="CM162" i="2"/>
  <c r="CE162" i="2"/>
  <c r="GV162" i="2"/>
  <c r="GW162" i="2" s="1"/>
  <c r="EH197" i="2"/>
  <c r="EC197" i="2"/>
  <c r="DY197" i="2"/>
  <c r="DZ197" i="2" s="1"/>
  <c r="EA197" i="2" s="1"/>
  <c r="DS197" i="2"/>
  <c r="DQ197" i="2"/>
  <c r="DR197" i="2" s="1"/>
  <c r="FR183" i="2" a="1"/>
  <c r="FR183" i="2" s="1"/>
  <c r="CK164" i="2"/>
  <c r="CM164" i="2"/>
  <c r="CE164" i="2"/>
  <c r="GV164" i="2"/>
  <c r="GW164" i="2" s="1"/>
  <c r="DY145" i="2"/>
  <c r="DZ145" i="2" s="1"/>
  <c r="EA145" i="2" s="1"/>
  <c r="DS145" i="2"/>
  <c r="DQ145" i="2"/>
  <c r="DR145" i="2" s="1"/>
  <c r="EH145" i="2"/>
  <c r="EC145" i="2"/>
  <c r="CK201" i="2"/>
  <c r="CE201" i="2"/>
  <c r="GV201" i="2"/>
  <c r="FR140" i="2" a="1"/>
  <c r="FR140" i="2" s="1"/>
  <c r="GV145" i="2"/>
  <c r="GW145" i="2" s="1"/>
  <c r="DV85" i="2"/>
  <c r="DW85" i="2" s="1"/>
  <c r="EG85" i="2"/>
  <c r="EI85" i="2"/>
  <c r="Z86" i="2"/>
  <c r="AA86" i="2"/>
  <c r="FW131" i="2"/>
  <c r="FX131" i="2" s="1" a="1"/>
  <c r="FX131" i="2" s="1"/>
  <c r="FR131" i="2" a="1"/>
  <c r="FR131" i="2" s="1"/>
  <c r="AA43" i="2"/>
  <c r="Z43" i="2"/>
  <c r="FR120" i="2" a="1"/>
  <c r="FR120" i="2" s="1"/>
  <c r="FR89" i="2" a="1"/>
  <c r="FR89" i="2" s="1"/>
  <c r="AA66" i="2"/>
  <c r="Z66" i="2"/>
  <c r="GV43" i="2"/>
  <c r="GW43" i="2" s="1"/>
  <c r="GV91" i="2"/>
  <c r="GW91" i="2" s="1"/>
  <c r="DV58" i="2"/>
  <c r="DW58" i="2" s="1"/>
  <c r="EI58" i="2"/>
  <c r="EG58" i="2"/>
  <c r="DV59" i="2"/>
  <c r="DW59" i="2" s="1"/>
  <c r="EI59" i="2"/>
  <c r="EG59" i="2"/>
  <c r="DS100" i="2"/>
  <c r="DQ100" i="2"/>
  <c r="DR100" i="2" s="1"/>
  <c r="EH100" i="2"/>
  <c r="EC100" i="2"/>
  <c r="DY100" i="2"/>
  <c r="DZ100" i="2" s="1"/>
  <c r="EA100" i="2" s="1"/>
  <c r="DV53" i="2"/>
  <c r="DW53" i="2" s="1"/>
  <c r="EG53" i="2"/>
  <c r="EI53" i="2"/>
  <c r="FR66" i="2" a="1"/>
  <c r="FR66" i="2" s="1"/>
  <c r="FR14" i="2" a="1"/>
  <c r="FR14" i="2" s="1"/>
  <c r="CK55" i="2"/>
  <c r="CM55" i="2"/>
  <c r="CE55" i="2"/>
  <c r="DV68" i="2"/>
  <c r="DW68" i="2" s="1"/>
  <c r="EI68" i="2"/>
  <c r="EG68" i="2"/>
  <c r="EC42" i="2"/>
  <c r="DY42" i="2"/>
  <c r="DZ42" i="2" s="1"/>
  <c r="EA42" i="2" s="1"/>
  <c r="DS42" i="2"/>
  <c r="DQ42" i="2"/>
  <c r="DR42" i="2" s="1"/>
  <c r="EH42" i="2"/>
  <c r="CM247" i="2"/>
  <c r="CE247" i="2"/>
  <c r="CK247" i="2"/>
  <c r="AA71" i="2"/>
  <c r="Z71" i="2"/>
  <c r="CM245" i="2"/>
  <c r="CK245" i="2"/>
  <c r="CE245" i="2"/>
  <c r="DY236" i="2"/>
  <c r="DZ236" i="2" s="1"/>
  <c r="EA236" i="2" s="1"/>
  <c r="DS236" i="2"/>
  <c r="DQ236" i="2"/>
  <c r="DR236" i="2" s="1"/>
  <c r="EH236" i="2"/>
  <c r="EC236" i="2"/>
  <c r="EH226" i="2"/>
  <c r="DY226" i="2"/>
  <c r="DZ226" i="2" s="1"/>
  <c r="EA226" i="2" s="1"/>
  <c r="EC226" i="2"/>
  <c r="DS226" i="2"/>
  <c r="DQ226" i="2"/>
  <c r="DR226" i="2" s="1"/>
  <c r="Z128" i="2"/>
  <c r="AA128" i="2"/>
  <c r="FO167" i="2"/>
  <c r="DS204" i="2"/>
  <c r="DQ204" i="2"/>
  <c r="DR204" i="2" s="1"/>
  <c r="EH204" i="2"/>
  <c r="EC204" i="2"/>
  <c r="DY204" i="2"/>
  <c r="DZ204" i="2" s="1"/>
  <c r="EA204" i="2" s="1"/>
  <c r="CK207" i="2"/>
  <c r="CM207" i="2"/>
  <c r="GV207" i="2"/>
  <c r="GW207" i="2" s="1"/>
  <c r="CE207" i="2"/>
  <c r="AA186" i="2"/>
  <c r="Z186" i="2"/>
  <c r="FR155" i="2" a="1"/>
  <c r="FR155" i="2" s="1"/>
  <c r="DY144" i="2"/>
  <c r="DZ144" i="2" s="1"/>
  <c r="EA144" i="2" s="1"/>
  <c r="DS144" i="2"/>
  <c r="DQ144" i="2"/>
  <c r="DR144" i="2" s="1"/>
  <c r="EH144" i="2"/>
  <c r="EC144" i="2"/>
  <c r="CK160" i="2"/>
  <c r="CM160" i="2"/>
  <c r="CE160" i="2"/>
  <c r="GV160" i="2"/>
  <c r="GW160" i="2" s="1"/>
  <c r="FR143" i="2" a="1"/>
  <c r="FR143" i="2" s="1"/>
  <c r="GV136" i="2"/>
  <c r="GW136" i="2" s="1"/>
  <c r="AA109" i="2"/>
  <c r="Z109" i="2"/>
  <c r="Z166" i="2"/>
  <c r="AA166" i="2"/>
  <c r="FR117" i="2" a="1"/>
  <c r="FR117" i="2" s="1"/>
  <c r="AA101" i="2"/>
  <c r="Z101" i="2"/>
  <c r="GV121" i="2"/>
  <c r="GW121" i="2" s="1"/>
  <c r="DV134" i="2"/>
  <c r="DW134" i="2" s="1"/>
  <c r="EG134" i="2"/>
  <c r="EI134" i="2"/>
  <c r="CE79" i="2"/>
  <c r="CM79" i="2"/>
  <c r="CK79" i="2"/>
  <c r="FR79" i="2" a="1"/>
  <c r="FR79" i="2" s="1"/>
  <c r="EG80" i="2"/>
  <c r="DV80" i="2"/>
  <c r="DW80" i="2" s="1"/>
  <c r="EI80" i="2"/>
  <c r="FR65" i="2" a="1"/>
  <c r="FR65" i="2" s="1"/>
  <c r="EC66" i="2"/>
  <c r="DY66" i="2"/>
  <c r="DZ66" i="2" s="1"/>
  <c r="EA66" i="2" s="1"/>
  <c r="DS66" i="2"/>
  <c r="DQ66" i="2"/>
  <c r="DR66" i="2" s="1"/>
  <c r="EH66" i="2"/>
  <c r="GV55" i="2"/>
  <c r="GW55" i="2" s="1"/>
  <c r="GV72" i="2"/>
  <c r="GW72" i="2" s="1"/>
  <c r="EI100" i="2"/>
  <c r="EG100" i="2"/>
  <c r="DV100" i="2"/>
  <c r="DW100" i="2" s="1"/>
  <c r="CK175" i="2"/>
  <c r="CE175" i="2"/>
  <c r="GV175" i="2"/>
  <c r="EG49" i="2"/>
  <c r="DV49" i="2"/>
  <c r="DW49" i="2" s="1"/>
  <c r="EI49" i="2"/>
  <c r="EG42" i="2"/>
  <c r="DV42" i="2"/>
  <c r="DW42" i="2" s="1"/>
  <c r="EI42" i="2"/>
  <c r="CK225" i="2"/>
  <c r="CM225" i="2"/>
  <c r="GV225" i="2"/>
  <c r="GW225" i="2" s="1"/>
  <c r="CE225" i="2"/>
  <c r="CK211" i="2"/>
  <c r="CM211" i="2"/>
  <c r="CE211" i="2"/>
  <c r="DY18" i="2"/>
  <c r="DZ18" i="2" s="1"/>
  <c r="EA18" i="2" s="1"/>
  <c r="EH18" i="2"/>
  <c r="EC18" i="2"/>
  <c r="DS18" i="2"/>
  <c r="DQ18" i="2"/>
  <c r="DR18" i="2" s="1"/>
  <c r="CK232" i="2"/>
  <c r="CE232" i="2"/>
  <c r="CM232" i="2"/>
  <c r="GV232" i="2"/>
  <c r="GW232" i="2" s="1"/>
  <c r="DV192" i="2"/>
  <c r="DW192" i="2" s="1"/>
  <c r="EI192" i="2"/>
  <c r="EG192" i="2"/>
  <c r="GV247" i="2"/>
  <c r="EC231" i="2"/>
  <c r="EH231" i="2"/>
  <c r="DY231" i="2"/>
  <c r="DZ231" i="2" s="1"/>
  <c r="EA231" i="2" s="1"/>
  <c r="DS231" i="2"/>
  <c r="DQ231" i="2"/>
  <c r="DR231" i="2" s="1"/>
  <c r="EC249" i="2"/>
  <c r="DY249" i="2"/>
  <c r="DZ249" i="2" s="1"/>
  <c r="EA249" i="2" s="1"/>
  <c r="DQ249" i="2"/>
  <c r="DR249" i="2" s="1"/>
  <c r="EH249" i="2"/>
  <c r="DS249" i="2"/>
  <c r="CK234" i="2"/>
  <c r="CE234" i="2"/>
  <c r="GV234" i="2"/>
  <c r="GW234" i="2" s="1"/>
  <c r="CM234" i="2"/>
  <c r="CM240" i="2"/>
  <c r="GV240" i="2"/>
  <c r="GW240" i="2" s="1"/>
  <c r="CE240" i="2"/>
  <c r="CK240" i="2"/>
  <c r="EC239" i="2"/>
  <c r="EE239" i="2" s="1"/>
  <c r="EF239" i="2" s="1"/>
  <c r="DY239" i="2"/>
  <c r="DZ239" i="2" s="1"/>
  <c r="EA239" i="2" s="1"/>
  <c r="EH239" i="2"/>
  <c r="DS239" i="2"/>
  <c r="DQ239" i="2"/>
  <c r="DR239" i="2" s="1"/>
  <c r="DV239" i="2"/>
  <c r="DW239" i="2" s="1"/>
  <c r="EG239" i="2"/>
  <c r="EI239" i="2"/>
  <c r="DV225" i="2"/>
  <c r="DW225" i="2" s="1"/>
  <c r="EI225" i="2"/>
  <c r="EG225" i="2"/>
  <c r="FW210" i="2"/>
  <c r="FX210" i="2" s="1" a="1"/>
  <c r="FX210" i="2" s="1"/>
  <c r="FR210" i="2" a="1"/>
  <c r="FR210" i="2" s="1"/>
  <c r="GV242" i="2"/>
  <c r="DS203" i="2"/>
  <c r="DQ203" i="2"/>
  <c r="DR203" i="2" s="1"/>
  <c r="EH203" i="2"/>
  <c r="EC203" i="2"/>
  <c r="DY203" i="2"/>
  <c r="DZ203" i="2" s="1"/>
  <c r="EA203" i="2" s="1"/>
  <c r="CK206" i="2"/>
  <c r="CM206" i="2"/>
  <c r="CE206" i="2"/>
  <c r="GV206" i="2"/>
  <c r="GW206" i="2" s="1"/>
  <c r="AA185" i="2"/>
  <c r="Z185" i="2"/>
  <c r="FR181" i="2" a="1"/>
  <c r="FR181" i="2" s="1"/>
  <c r="GV180" i="2"/>
  <c r="GW180" i="2" s="1"/>
  <c r="FR197" i="2" a="1"/>
  <c r="FR197" i="2" s="1"/>
  <c r="CE174" i="2"/>
  <c r="CK174" i="2"/>
  <c r="CM174" i="2"/>
  <c r="GV174" i="2"/>
  <c r="GW174" i="2" s="1"/>
  <c r="CK157" i="2"/>
  <c r="CE157" i="2"/>
  <c r="GV157" i="2"/>
  <c r="GW157" i="2" s="1"/>
  <c r="CM157" i="2"/>
  <c r="CK158" i="2"/>
  <c r="CM158" i="2"/>
  <c r="CE158" i="2"/>
  <c r="GV158" i="2"/>
  <c r="GW158" i="2" s="1"/>
  <c r="FR157" i="2" a="1"/>
  <c r="FR157" i="2" s="1"/>
  <c r="CK11" i="2"/>
  <c r="CM11" i="2"/>
  <c r="CE11" i="2"/>
  <c r="GV11" i="2"/>
  <c r="GW11" i="2" s="1"/>
  <c r="GV149" i="2"/>
  <c r="GW149" i="2" s="1"/>
  <c r="DY143" i="2"/>
  <c r="DZ143" i="2" s="1"/>
  <c r="EA143" i="2" s="1"/>
  <c r="DS143" i="2"/>
  <c r="DQ143" i="2"/>
  <c r="DR143" i="2" s="1"/>
  <c r="EH143" i="2"/>
  <c r="EC143" i="2"/>
  <c r="FW109" i="2"/>
  <c r="FX109" i="2" s="1" a="1"/>
  <c r="FX109" i="2" s="1"/>
  <c r="FR109" i="2" a="1"/>
  <c r="FR109" i="2" s="1"/>
  <c r="EH131" i="2"/>
  <c r="EC131" i="2"/>
  <c r="DY131" i="2"/>
  <c r="DZ131" i="2" s="1"/>
  <c r="EA131" i="2" s="1"/>
  <c r="DS131" i="2"/>
  <c r="DQ131" i="2"/>
  <c r="DR131" i="2" s="1"/>
  <c r="CM106" i="2"/>
  <c r="CK106" i="2"/>
  <c r="CE106" i="2"/>
  <c r="GV106" i="2"/>
  <c r="GW106" i="2" s="1"/>
  <c r="AA100" i="2"/>
  <c r="Z100" i="2"/>
  <c r="AA110" i="2"/>
  <c r="Z110" i="2"/>
  <c r="AA108" i="2"/>
  <c r="Z108" i="2"/>
  <c r="FR84" i="2" a="1"/>
  <c r="FR84" i="2" s="1"/>
  <c r="DY134" i="2"/>
  <c r="DZ134" i="2" s="1"/>
  <c r="EA134" i="2" s="1"/>
  <c r="EH134" i="2"/>
  <c r="EC134" i="2"/>
  <c r="DS134" i="2"/>
  <c r="DQ134" i="2"/>
  <c r="DR134" i="2" s="1"/>
  <c r="GV131" i="2"/>
  <c r="GW131" i="2" s="1"/>
  <c r="EC161" i="2"/>
  <c r="DY161" i="2"/>
  <c r="DZ161" i="2" s="1"/>
  <c r="EA161" i="2" s="1"/>
  <c r="DS161" i="2"/>
  <c r="DQ161" i="2"/>
  <c r="DR161" i="2" s="1"/>
  <c r="EH161" i="2"/>
  <c r="GV66" i="2"/>
  <c r="GW66" i="2" s="1"/>
  <c r="FR70" i="2" a="1"/>
  <c r="FR70" i="2" s="1"/>
  <c r="GV86" i="2"/>
  <c r="GW86" i="2" s="1"/>
  <c r="EH49" i="2"/>
  <c r="EC49" i="2"/>
  <c r="DY49" i="2"/>
  <c r="DZ49" i="2" s="1"/>
  <c r="EA49" i="2" s="1"/>
  <c r="DS49" i="2"/>
  <c r="DQ49" i="2"/>
  <c r="DR49" i="2" s="1"/>
  <c r="AA52" i="2"/>
  <c r="Z52" i="2"/>
  <c r="GV31" i="2"/>
  <c r="GW31" i="2" s="1"/>
  <c r="GV17" i="2"/>
  <c r="GW17" i="2" s="1"/>
  <c r="FR46" i="2" a="1"/>
  <c r="FR46" i="2" s="1"/>
  <c r="CK231" i="2"/>
  <c r="CE231" i="2"/>
  <c r="GV231" i="2"/>
  <c r="GW231" i="2" s="1"/>
  <c r="CM231" i="2"/>
  <c r="DY120" i="2"/>
  <c r="DZ120" i="2" s="1"/>
  <c r="EA120" i="2" s="1"/>
  <c r="DS120" i="2"/>
  <c r="DQ120" i="2"/>
  <c r="DR120" i="2" s="1"/>
  <c r="EH120" i="2"/>
  <c r="EC120" i="2"/>
  <c r="DV189" i="2"/>
  <c r="DW189" i="2" s="1"/>
  <c r="EI189" i="2"/>
  <c r="EG189" i="2"/>
  <c r="FR229" i="2" a="1"/>
  <c r="FR229" i="2" s="1"/>
  <c r="DV243" i="2"/>
  <c r="DW243" i="2" s="1"/>
  <c r="EG243" i="2"/>
  <c r="EI243" i="2"/>
  <c r="EH225" i="2"/>
  <c r="DY225" i="2"/>
  <c r="DZ225" i="2" s="1"/>
  <c r="EA225" i="2" s="1"/>
  <c r="EC225" i="2"/>
  <c r="DS225" i="2"/>
  <c r="DQ225" i="2"/>
  <c r="DR225" i="2" s="1"/>
  <c r="DY167" i="2"/>
  <c r="DZ167" i="2" s="1"/>
  <c r="EA167" i="2" s="1"/>
  <c r="DS167" i="2"/>
  <c r="DQ167" i="2"/>
  <c r="DR167" i="2" s="1"/>
  <c r="EH167" i="2"/>
  <c r="EC167" i="2"/>
  <c r="CK205" i="2"/>
  <c r="CM205" i="2"/>
  <c r="CE205" i="2"/>
  <c r="GV205" i="2"/>
  <c r="GW205" i="2" s="1"/>
  <c r="GV167" i="2"/>
  <c r="AA184" i="2"/>
  <c r="Z184" i="2"/>
  <c r="FR154" i="2" a="1"/>
  <c r="FR154" i="2" s="1"/>
  <c r="EI160" i="2"/>
  <c r="EG160" i="2"/>
  <c r="DV160" i="2"/>
  <c r="DW160" i="2" s="1"/>
  <c r="DY142" i="2"/>
  <c r="DZ142" i="2" s="1"/>
  <c r="EA142" i="2" s="1"/>
  <c r="DS142" i="2"/>
  <c r="DQ142" i="2"/>
  <c r="DR142" i="2" s="1"/>
  <c r="EH142" i="2"/>
  <c r="EC142" i="2"/>
  <c r="FR142" i="2" a="1"/>
  <c r="FR142" i="2" s="1"/>
  <c r="FR149" i="2" a="1"/>
  <c r="FR149" i="2" s="1"/>
  <c r="FR11" i="2" a="1"/>
  <c r="FR11" i="2" s="1"/>
  <c r="DV131" i="2"/>
  <c r="DW131" i="2" s="1"/>
  <c r="EG131" i="2"/>
  <c r="EI131" i="2"/>
  <c r="DV113" i="2"/>
  <c r="DW113" i="2" s="1"/>
  <c r="EG113" i="2"/>
  <c r="EI113" i="2"/>
  <c r="AA99" i="2"/>
  <c r="Z99" i="2"/>
  <c r="FR115" i="2" a="1"/>
  <c r="FR115" i="2" s="1"/>
  <c r="DS103" i="2"/>
  <c r="DQ103" i="2"/>
  <c r="DR103" i="2" s="1"/>
  <c r="EH103" i="2"/>
  <c r="EC103" i="2"/>
  <c r="DY103" i="2"/>
  <c r="DZ103" i="2" s="1"/>
  <c r="EA103" i="2" s="1"/>
  <c r="EG87" i="2"/>
  <c r="DV87" i="2"/>
  <c r="DW87" i="2" s="1"/>
  <c r="EI87" i="2"/>
  <c r="EG97" i="2"/>
  <c r="DV97" i="2"/>
  <c r="DW97" i="2" s="1"/>
  <c r="EI97" i="2"/>
  <c r="EG89" i="2"/>
  <c r="DV89" i="2"/>
  <c r="DW89" i="2" s="1"/>
  <c r="EI89" i="2"/>
  <c r="DV161" i="2"/>
  <c r="DW161" i="2" s="1"/>
  <c r="EI161" i="2"/>
  <c r="EG161" i="2"/>
  <c r="GV61" i="2"/>
  <c r="GW61" i="2" s="1"/>
  <c r="EC227" i="2"/>
  <c r="DQ227" i="2"/>
  <c r="DR227" i="2" s="1"/>
  <c r="EH227" i="2"/>
  <c r="DY227" i="2"/>
  <c r="DZ227" i="2" s="1"/>
  <c r="EA227" i="2" s="1"/>
  <c r="DS227" i="2"/>
  <c r="DV132" i="2"/>
  <c r="DW132" i="2" s="1"/>
  <c r="EG132" i="2"/>
  <c r="EI132" i="2"/>
  <c r="EC71" i="2"/>
  <c r="DY71" i="2"/>
  <c r="DZ71" i="2" s="1"/>
  <c r="EA71" i="2" s="1"/>
  <c r="DS71" i="2"/>
  <c r="DQ71" i="2"/>
  <c r="DR71" i="2" s="1"/>
  <c r="EH71" i="2"/>
  <c r="FR56" i="2" a="1"/>
  <c r="FR56" i="2" s="1"/>
  <c r="FW56" i="2"/>
  <c r="FX56" i="2" s="1" a="1"/>
  <c r="FX56" i="2" s="1"/>
  <c r="CM238" i="2"/>
  <c r="CE238" i="2"/>
  <c r="CK238" i="2"/>
  <c r="CK223" i="2"/>
  <c r="CM223" i="2"/>
  <c r="CE223" i="2"/>
  <c r="DY228" i="2"/>
  <c r="DZ228" i="2" s="1"/>
  <c r="EA228" i="2" s="1"/>
  <c r="DQ228" i="2"/>
  <c r="DR228" i="2" s="1"/>
  <c r="EH228" i="2"/>
  <c r="EC228" i="2"/>
  <c r="DS228" i="2"/>
  <c r="GV224" i="2"/>
  <c r="GW224" i="2" s="1"/>
  <c r="EC238" i="2"/>
  <c r="DY238" i="2"/>
  <c r="DZ238" i="2" s="1"/>
  <c r="EA238" i="2" s="1"/>
  <c r="DS238" i="2"/>
  <c r="DQ238" i="2"/>
  <c r="DR238" i="2" s="1"/>
  <c r="EH238" i="2"/>
  <c r="EC243" i="2"/>
  <c r="DY243" i="2"/>
  <c r="DZ243" i="2" s="1"/>
  <c r="EA243" i="2" s="1"/>
  <c r="DQ243" i="2"/>
  <c r="DR243" i="2" s="1"/>
  <c r="EH243" i="2"/>
  <c r="DS243" i="2"/>
  <c r="DV247" i="2"/>
  <c r="DW247" i="2" s="1"/>
  <c r="EG247" i="2"/>
  <c r="EI247" i="2"/>
  <c r="EG216" i="2"/>
  <c r="DV216" i="2"/>
  <c r="DW216" i="2" s="1"/>
  <c r="EI216" i="2"/>
  <c r="EC244" i="2"/>
  <c r="DY244" i="2"/>
  <c r="DZ244" i="2" s="1"/>
  <c r="EA244" i="2" s="1"/>
  <c r="DQ244" i="2"/>
  <c r="DR244" i="2" s="1"/>
  <c r="DS244" i="2"/>
  <c r="EH244" i="2"/>
  <c r="CM227" i="2"/>
  <c r="CK227" i="2"/>
  <c r="GV227" i="2"/>
  <c r="GW227" i="2" s="1"/>
  <c r="CE227" i="2"/>
  <c r="DV244" i="2"/>
  <c r="DW244" i="2" s="1"/>
  <c r="EG244" i="2"/>
  <c r="EI244" i="2"/>
  <c r="DV224" i="2"/>
  <c r="DW224" i="2" s="1"/>
  <c r="EI224" i="2"/>
  <c r="EG224" i="2"/>
  <c r="EG209" i="2"/>
  <c r="DV209" i="2"/>
  <c r="DW209" i="2" s="1"/>
  <c r="EI209" i="2"/>
  <c r="DV167" i="2"/>
  <c r="DW167" i="2" s="1"/>
  <c r="EI167" i="2"/>
  <c r="EG167" i="2"/>
  <c r="CK204" i="2"/>
  <c r="CM204" i="2"/>
  <c r="CE204" i="2"/>
  <c r="GV204" i="2"/>
  <c r="GW204" i="2" s="1"/>
  <c r="AA183" i="2"/>
  <c r="Z183" i="2"/>
  <c r="FR178" i="2" a="1"/>
  <c r="FR178" i="2" s="1"/>
  <c r="DY172" i="2"/>
  <c r="DZ172" i="2" s="1"/>
  <c r="EA172" i="2" s="1"/>
  <c r="DS172" i="2"/>
  <c r="DQ172" i="2"/>
  <c r="DR172" i="2" s="1"/>
  <c r="EH172" i="2"/>
  <c r="EC172" i="2"/>
  <c r="FR174" i="2" a="1"/>
  <c r="FR174" i="2" s="1"/>
  <c r="FR195" i="2" a="1"/>
  <c r="FR195" i="2" s="1"/>
  <c r="DY141" i="2"/>
  <c r="DZ141" i="2" s="1"/>
  <c r="EA141" i="2" s="1"/>
  <c r="DS141" i="2"/>
  <c r="DQ141" i="2"/>
  <c r="DR141" i="2" s="1"/>
  <c r="EH141" i="2"/>
  <c r="EC141" i="2"/>
  <c r="DS150" i="2"/>
  <c r="EH150" i="2"/>
  <c r="EC150" i="2"/>
  <c r="DY150" i="2"/>
  <c r="DZ150" i="2" s="1"/>
  <c r="EA150" i="2" s="1"/>
  <c r="DQ150" i="2"/>
  <c r="DR150" i="2" s="1"/>
  <c r="EC174" i="2"/>
  <c r="DY174" i="2"/>
  <c r="DZ174" i="2" s="1"/>
  <c r="EA174" i="2" s="1"/>
  <c r="DS174" i="2"/>
  <c r="DQ174" i="2"/>
  <c r="DR174" i="2" s="1"/>
  <c r="EH174" i="2"/>
  <c r="FR139" i="2" a="1"/>
  <c r="FR139" i="2" s="1"/>
  <c r="Z97" i="2"/>
  <c r="AA97" i="2"/>
  <c r="FR129" i="2" a="1"/>
  <c r="FR129" i="2" s="1"/>
  <c r="GV120" i="2"/>
  <c r="GW120" i="2" s="1"/>
  <c r="AA107" i="2"/>
  <c r="Z107" i="2"/>
  <c r="DV103" i="2"/>
  <c r="DW103" i="2" s="1"/>
  <c r="EI103" i="2"/>
  <c r="EG103" i="2"/>
  <c r="FR82" i="2" a="1"/>
  <c r="FR82" i="2" s="1"/>
  <c r="EH87" i="2"/>
  <c r="EC87" i="2"/>
  <c r="DY87" i="2"/>
  <c r="DZ87" i="2" s="1"/>
  <c r="EA87" i="2" s="1"/>
  <c r="DS87" i="2"/>
  <c r="DQ87" i="2"/>
  <c r="DR87" i="2" s="1"/>
  <c r="GV79" i="2"/>
  <c r="GW79" i="2" s="1"/>
  <c r="EC78" i="2"/>
  <c r="DY78" i="2"/>
  <c r="DZ78" i="2" s="1"/>
  <c r="EA78" i="2" s="1"/>
  <c r="DS78" i="2"/>
  <c r="DQ78" i="2"/>
  <c r="DR78" i="2" s="1"/>
  <c r="EH78" i="2"/>
  <c r="EH89" i="2"/>
  <c r="EC89" i="2"/>
  <c r="DY89" i="2"/>
  <c r="DZ89" i="2" s="1"/>
  <c r="EA89" i="2" s="1"/>
  <c r="DS89" i="2"/>
  <c r="DQ89" i="2"/>
  <c r="DR89" i="2" s="1"/>
  <c r="EC65" i="2"/>
  <c r="DY65" i="2"/>
  <c r="DZ65" i="2" s="1"/>
  <c r="EA65" i="2" s="1"/>
  <c r="DS65" i="2"/>
  <c r="DQ65" i="2"/>
  <c r="DR65" i="2" s="1"/>
  <c r="EH65" i="2"/>
  <c r="FR31" i="2" a="1"/>
  <c r="FR31" i="2" s="1"/>
  <c r="FR44" i="2" a="1"/>
  <c r="FR44" i="2" s="1"/>
  <c r="CM22" i="2"/>
  <c r="CE22" i="2"/>
  <c r="GV22" i="2"/>
  <c r="GW22" i="2" s="1"/>
  <c r="CK22" i="2"/>
  <c r="CM60" i="2"/>
  <c r="CE60" i="2"/>
  <c r="CK60" i="2"/>
  <c r="EC16" i="2"/>
  <c r="DY16" i="2"/>
  <c r="DZ16" i="2" s="1"/>
  <c r="EA16" i="2" s="1"/>
  <c r="DS16" i="2"/>
  <c r="DQ16" i="2"/>
  <c r="DR16" i="2" s="1"/>
  <c r="EH16" i="2"/>
  <c r="EC31" i="2"/>
  <c r="DY31" i="2"/>
  <c r="DZ31" i="2" s="1"/>
  <c r="EA31" i="2" s="1"/>
  <c r="DS31" i="2"/>
  <c r="DQ31" i="2"/>
  <c r="DR31" i="2" s="1"/>
  <c r="EH31" i="2"/>
  <c r="DY212" i="2"/>
  <c r="DZ212" i="2" s="1"/>
  <c r="EA212" i="2" s="1"/>
  <c r="DS212" i="2"/>
  <c r="DQ212" i="2"/>
  <c r="DR212" i="2" s="1"/>
  <c r="EC212" i="2"/>
  <c r="EH212" i="2"/>
  <c r="FR212" i="2" a="1"/>
  <c r="FR212" i="2" s="1"/>
  <c r="Z230" i="2"/>
  <c r="AA230" i="2"/>
  <c r="CK203" i="2"/>
  <c r="CM203" i="2"/>
  <c r="GV203" i="2"/>
  <c r="GW203" i="2" s="1"/>
  <c r="CE203" i="2"/>
  <c r="AA182" i="2"/>
  <c r="Z182" i="2"/>
  <c r="EC187" i="2"/>
  <c r="DY187" i="2"/>
  <c r="DZ187" i="2" s="1"/>
  <c r="EA187" i="2" s="1"/>
  <c r="DS187" i="2"/>
  <c r="DQ187" i="2"/>
  <c r="DR187" i="2" s="1"/>
  <c r="EH187" i="2"/>
  <c r="FR179" i="2" a="1"/>
  <c r="FR179" i="2" s="1"/>
  <c r="DY171" i="2"/>
  <c r="DZ171" i="2" s="1"/>
  <c r="EA171" i="2" s="1"/>
  <c r="DS171" i="2"/>
  <c r="DQ171" i="2"/>
  <c r="DR171" i="2" s="1"/>
  <c r="EH171" i="2"/>
  <c r="EC171" i="2"/>
  <c r="AA149" i="2"/>
  <c r="Z149" i="2"/>
  <c r="DY140" i="2"/>
  <c r="DZ140" i="2" s="1"/>
  <c r="EA140" i="2" s="1"/>
  <c r="DS140" i="2"/>
  <c r="DQ140" i="2"/>
  <c r="DR140" i="2" s="1"/>
  <c r="EH140" i="2"/>
  <c r="EC140" i="2"/>
  <c r="AA150" i="2"/>
  <c r="Z150" i="2"/>
  <c r="EC148" i="2"/>
  <c r="DY148" i="2"/>
  <c r="DZ148" i="2" s="1"/>
  <c r="EA148" i="2" s="1"/>
  <c r="DS148" i="2"/>
  <c r="DQ148" i="2"/>
  <c r="DR148" i="2" s="1"/>
  <c r="EH148" i="2"/>
  <c r="DV150" i="2"/>
  <c r="DW150" i="2" s="1"/>
  <c r="EI150" i="2"/>
  <c r="EG150" i="2"/>
  <c r="EG174" i="2"/>
  <c r="DV174" i="2"/>
  <c r="DW174" i="2" s="1"/>
  <c r="EI174" i="2"/>
  <c r="GV138" i="2"/>
  <c r="GW138" i="2" s="1"/>
  <c r="GV108" i="2"/>
  <c r="GW108" i="2" s="1"/>
  <c r="FR119" i="2" a="1"/>
  <c r="FR119" i="2" s="1"/>
  <c r="Z96" i="2"/>
  <c r="AA96" i="2"/>
  <c r="DY198" i="2"/>
  <c r="DZ198" i="2" s="1"/>
  <c r="EA198" i="2" s="1"/>
  <c r="DS198" i="2"/>
  <c r="DQ198" i="2"/>
  <c r="DR198" i="2" s="1"/>
  <c r="EH198" i="2"/>
  <c r="EC198" i="2"/>
  <c r="FR85" i="2" a="1"/>
  <c r="FR85" i="2" s="1"/>
  <c r="GV92" i="2"/>
  <c r="GW92" i="2" s="1"/>
  <c r="DS99" i="2"/>
  <c r="DQ99" i="2"/>
  <c r="DR99" i="2" s="1"/>
  <c r="EH99" i="2"/>
  <c r="EC99" i="2"/>
  <c r="DY99" i="2"/>
  <c r="DZ99" i="2" s="1"/>
  <c r="EA99" i="2" s="1"/>
  <c r="EC77" i="2"/>
  <c r="DY77" i="2"/>
  <c r="DZ77" i="2" s="1"/>
  <c r="EA77" i="2" s="1"/>
  <c r="DS77" i="2"/>
  <c r="DQ77" i="2"/>
  <c r="DR77" i="2" s="1"/>
  <c r="EH77" i="2"/>
  <c r="DV51" i="2"/>
  <c r="DW51" i="2" s="1"/>
  <c r="EI51" i="2"/>
  <c r="EG51" i="2"/>
  <c r="GV58" i="2"/>
  <c r="GW58" i="2" s="1"/>
  <c r="GV65" i="2"/>
  <c r="GW65" i="2" s="1"/>
  <c r="EI50" i="2"/>
  <c r="EG50" i="2"/>
  <c r="DV50" i="2"/>
  <c r="DW50" i="2" s="1"/>
  <c r="EC14" i="2"/>
  <c r="DY14" i="2"/>
  <c r="DZ14" i="2" s="1"/>
  <c r="EA14" i="2" s="1"/>
  <c r="DS14" i="2"/>
  <c r="DQ14" i="2"/>
  <c r="DR14" i="2" s="1"/>
  <c r="EH14" i="2"/>
  <c r="DV52" i="2"/>
  <c r="DW52" i="2" s="1"/>
  <c r="EI52" i="2"/>
  <c r="EG52" i="2"/>
  <c r="CM21" i="2"/>
  <c r="CE21" i="2"/>
  <c r="CK21" i="2"/>
  <c r="GV21" i="2"/>
  <c r="GW21" i="2" s="1"/>
  <c r="DV31" i="2"/>
  <c r="DW31" i="2" s="1"/>
  <c r="EI31" i="2"/>
  <c r="EG31" i="2"/>
  <c r="DV212" i="2"/>
  <c r="DW212" i="2" s="1"/>
  <c r="EI212" i="2"/>
  <c r="EG212" i="2"/>
  <c r="EC193" i="2"/>
  <c r="DY193" i="2"/>
  <c r="DZ193" i="2" s="1"/>
  <c r="EA193" i="2" s="1"/>
  <c r="DS193" i="2"/>
  <c r="DQ193" i="2"/>
  <c r="DR193" i="2" s="1"/>
  <c r="EH193" i="2"/>
  <c r="EC192" i="2"/>
  <c r="DY192" i="2"/>
  <c r="DZ192" i="2" s="1"/>
  <c r="EA192" i="2" s="1"/>
  <c r="DS192" i="2"/>
  <c r="DQ192" i="2"/>
  <c r="DR192" i="2" s="1"/>
  <c r="EH192" i="2"/>
  <c r="DV240" i="2"/>
  <c r="DW240" i="2" s="1"/>
  <c r="EG240" i="2"/>
  <c r="EI240" i="2"/>
  <c r="DV241" i="2"/>
  <c r="DW241" i="2" s="1"/>
  <c r="EG241" i="2"/>
  <c r="EI241" i="2"/>
  <c r="FR242" i="2" a="1"/>
  <c r="FR242" i="2" s="1"/>
  <c r="CK213" i="2"/>
  <c r="CM213" i="2"/>
  <c r="CE213" i="2"/>
  <c r="Z98" i="2"/>
  <c r="AA98" i="2"/>
  <c r="FR176" i="2" a="1"/>
  <c r="FR176" i="2" s="1"/>
  <c r="EC183" i="2"/>
  <c r="DY183" i="2"/>
  <c r="DZ183" i="2" s="1"/>
  <c r="EA183" i="2" s="1"/>
  <c r="DS183" i="2"/>
  <c r="DQ183" i="2"/>
  <c r="DR183" i="2" s="1"/>
  <c r="EH183" i="2"/>
  <c r="DY170" i="2"/>
  <c r="DZ170" i="2" s="1"/>
  <c r="EA170" i="2" s="1"/>
  <c r="DS170" i="2"/>
  <c r="DQ170" i="2"/>
  <c r="DR170" i="2" s="1"/>
  <c r="EH170" i="2"/>
  <c r="EC170" i="2"/>
  <c r="FR196" i="2" a="1"/>
  <c r="FR196" i="2" s="1"/>
  <c r="CK155" i="2"/>
  <c r="CE155" i="2"/>
  <c r="GV155" i="2"/>
  <c r="GW155" i="2" s="1"/>
  <c r="CM155" i="2"/>
  <c r="GV170" i="2"/>
  <c r="GW170" i="2" s="1"/>
  <c r="DY139" i="2"/>
  <c r="DZ139" i="2" s="1"/>
  <c r="EA139" i="2" s="1"/>
  <c r="DS139" i="2"/>
  <c r="DQ139" i="2"/>
  <c r="DR139" i="2" s="1"/>
  <c r="EH139" i="2"/>
  <c r="EC139" i="2"/>
  <c r="DV148" i="2"/>
  <c r="DW148" i="2" s="1"/>
  <c r="EI148" i="2"/>
  <c r="EG148" i="2"/>
  <c r="EI106" i="2"/>
  <c r="EG106" i="2"/>
  <c r="DV106" i="2"/>
  <c r="DW106" i="2" s="1"/>
  <c r="Z95" i="2"/>
  <c r="AA95" i="2"/>
  <c r="DV198" i="2"/>
  <c r="DW198" i="2" s="1"/>
  <c r="EG198" i="2"/>
  <c r="EI198" i="2"/>
  <c r="FR47" i="2" a="1"/>
  <c r="FR47" i="2" s="1"/>
  <c r="EI99" i="2"/>
  <c r="EG99" i="2"/>
  <c r="DV99" i="2"/>
  <c r="DW99" i="2" s="1"/>
  <c r="GV85" i="2"/>
  <c r="GW85" i="2" s="1"/>
  <c r="EC76" i="2"/>
  <c r="DY76" i="2"/>
  <c r="DZ76" i="2" s="1"/>
  <c r="EA76" i="2" s="1"/>
  <c r="DS76" i="2"/>
  <c r="DQ76" i="2"/>
  <c r="DR76" i="2" s="1"/>
  <c r="EH76" i="2"/>
  <c r="FR68" i="2" a="1"/>
  <c r="FR68" i="2" s="1"/>
  <c r="GV69" i="2"/>
  <c r="GW69" i="2" s="1"/>
  <c r="DV14" i="2"/>
  <c r="DW14" i="2" s="1"/>
  <c r="EI14" i="2"/>
  <c r="EG14" i="2"/>
  <c r="FR42" i="2" a="1"/>
  <c r="FR42" i="2" s="1"/>
  <c r="GV27" i="2"/>
  <c r="GW27" i="2" s="1"/>
  <c r="EH52" i="2"/>
  <c r="DQ52" i="2"/>
  <c r="DR52" i="2" s="1"/>
  <c r="EC52" i="2"/>
  <c r="DY52" i="2"/>
  <c r="DZ52" i="2" s="1"/>
  <c r="EA52" i="2" s="1"/>
  <c r="DS52" i="2"/>
  <c r="EC56" i="2"/>
  <c r="DY56" i="2"/>
  <c r="DZ56" i="2" s="1"/>
  <c r="EA56" i="2" s="1"/>
  <c r="DQ56" i="2"/>
  <c r="DR56" i="2" s="1"/>
  <c r="EH56" i="2"/>
  <c r="DS56" i="2"/>
  <c r="EC91" i="2"/>
  <c r="DY91" i="2"/>
  <c r="DZ91" i="2" s="1"/>
  <c r="EA91" i="2" s="1"/>
  <c r="DS91" i="2"/>
  <c r="DQ91" i="2"/>
  <c r="DR91" i="2" s="1"/>
  <c r="EH91" i="2"/>
  <c r="CM244" i="2"/>
  <c r="CK244" i="2"/>
  <c r="CE244" i="2"/>
  <c r="EC250" i="2"/>
  <c r="DY250" i="2"/>
  <c r="DZ250" i="2" s="1"/>
  <c r="EA250" i="2" s="1"/>
  <c r="DQ250" i="2"/>
  <c r="DR250" i="2" s="1"/>
  <c r="EH250" i="2"/>
  <c r="DS250" i="2"/>
  <c r="DV202" i="2"/>
  <c r="DW202" i="2" s="1"/>
  <c r="EG202" i="2"/>
  <c r="EI202" i="2"/>
  <c r="DS98" i="2"/>
  <c r="DQ98" i="2"/>
  <c r="DR98" i="2" s="1"/>
  <c r="EC98" i="2"/>
  <c r="DY98" i="2"/>
  <c r="DZ98" i="2" s="1"/>
  <c r="EA98" i="2" s="1"/>
  <c r="GV98" i="2"/>
  <c r="GW98" i="2" s="1"/>
  <c r="EH98" i="2"/>
  <c r="GV183" i="2"/>
  <c r="GW183" i="2" s="1"/>
  <c r="DY169" i="2"/>
  <c r="DZ169" i="2" s="1"/>
  <c r="EA169" i="2" s="1"/>
  <c r="DS169" i="2"/>
  <c r="DQ169" i="2"/>
  <c r="DR169" i="2" s="1"/>
  <c r="EH169" i="2"/>
  <c r="EC169" i="2"/>
  <c r="GV179" i="2"/>
  <c r="GW179" i="2" s="1"/>
  <c r="EG154" i="2"/>
  <c r="DV154" i="2"/>
  <c r="DW154" i="2" s="1"/>
  <c r="FR156" i="2" a="1"/>
  <c r="FR156" i="2" s="1"/>
  <c r="EC191" i="2"/>
  <c r="DY191" i="2"/>
  <c r="DZ191" i="2" s="1"/>
  <c r="EA191" i="2" s="1"/>
  <c r="DS191" i="2"/>
  <c r="DQ191" i="2"/>
  <c r="DR191" i="2" s="1"/>
  <c r="EH191" i="2"/>
  <c r="GV169" i="2"/>
  <c r="GW169" i="2" s="1"/>
  <c r="Z154" i="2"/>
  <c r="GV144" i="2"/>
  <c r="GW144" i="2" s="1"/>
  <c r="DS151" i="2"/>
  <c r="EH151" i="2"/>
  <c r="EC151" i="2"/>
  <c r="DY151" i="2"/>
  <c r="DZ151" i="2" s="1"/>
  <c r="EA151" i="2" s="1"/>
  <c r="DQ151" i="2"/>
  <c r="DR151" i="2" s="1"/>
  <c r="FW105" i="2"/>
  <c r="FX105" i="2" s="1" a="1"/>
  <c r="FX105" i="2" s="1"/>
  <c r="FR105" i="2" a="1"/>
  <c r="FR105" i="2" s="1"/>
  <c r="Z94" i="2"/>
  <c r="AA94" i="2"/>
  <c r="FR112" i="2" a="1"/>
  <c r="FR112" i="2" s="1"/>
  <c r="DV112" i="2"/>
  <c r="DW112" i="2" s="1"/>
  <c r="EG112" i="2"/>
  <c r="EI112" i="2"/>
  <c r="DS101" i="2"/>
  <c r="DQ101" i="2"/>
  <c r="DR101" i="2" s="1"/>
  <c r="EH101" i="2"/>
  <c r="EC101" i="2"/>
  <c r="DY101" i="2"/>
  <c r="DZ101" i="2" s="1"/>
  <c r="EA101" i="2" s="1"/>
  <c r="GV101" i="2"/>
  <c r="GW101" i="2" s="1"/>
  <c r="FR113" i="2" a="1"/>
  <c r="FR113" i="2" s="1"/>
  <c r="FR88" i="2" a="1"/>
  <c r="FR88" i="2" s="1"/>
  <c r="EC75" i="2"/>
  <c r="DY75" i="2"/>
  <c r="DZ75" i="2" s="1"/>
  <c r="EA75" i="2" s="1"/>
  <c r="DS75" i="2"/>
  <c r="DQ75" i="2"/>
  <c r="DR75" i="2" s="1"/>
  <c r="EH75" i="2"/>
  <c r="GV60" i="2"/>
  <c r="GW60" i="2" s="1"/>
  <c r="GV63" i="2"/>
  <c r="GW63" i="2" s="1"/>
  <c r="GV76" i="2"/>
  <c r="GW76" i="2" s="1"/>
  <c r="FR55" i="2" a="1"/>
  <c r="FR55" i="2" s="1"/>
  <c r="FW55" i="2"/>
  <c r="FX55" i="2" s="1" a="1"/>
  <c r="FX55" i="2" s="1"/>
  <c r="GV52" i="2"/>
  <c r="GW52" i="2" s="1"/>
  <c r="DY17" i="2"/>
  <c r="DZ17" i="2" s="1"/>
  <c r="EA17" i="2" s="1"/>
  <c r="DS17" i="2"/>
  <c r="DQ17" i="2"/>
  <c r="DR17" i="2" s="1"/>
  <c r="EC17" i="2"/>
  <c r="EH17" i="2"/>
  <c r="DV56" i="2"/>
  <c r="DW56" i="2" s="1"/>
  <c r="EG56" i="2"/>
  <c r="EI56" i="2"/>
  <c r="EG91" i="2"/>
  <c r="DV91" i="2"/>
  <c r="DW91" i="2" s="1"/>
  <c r="EI91" i="2"/>
  <c r="DY13" i="2"/>
  <c r="DZ13" i="2" s="1"/>
  <c r="EA13" i="2" s="1"/>
  <c r="DS13" i="2"/>
  <c r="DQ13" i="2"/>
  <c r="DR13" i="2" s="1"/>
  <c r="EH13" i="2"/>
  <c r="EC13" i="2"/>
  <c r="EC189" i="2"/>
  <c r="DY189" i="2"/>
  <c r="DZ189" i="2" s="1"/>
  <c r="EA189" i="2" s="1"/>
  <c r="DS189" i="2"/>
  <c r="DQ189" i="2"/>
  <c r="DR189" i="2" s="1"/>
  <c r="EH189" i="2"/>
  <c r="CK132" i="2"/>
  <c r="CM132" i="2"/>
  <c r="CE132" i="2"/>
  <c r="EH224" i="2"/>
  <c r="DY224" i="2"/>
  <c r="DZ224" i="2" s="1"/>
  <c r="EA224" i="2" s="1"/>
  <c r="DS224" i="2"/>
  <c r="DQ224" i="2"/>
  <c r="DR224" i="2" s="1"/>
  <c r="EC224" i="2"/>
  <c r="EC202" i="2"/>
  <c r="DY202" i="2"/>
  <c r="DZ202" i="2" s="1"/>
  <c r="EA202" i="2" s="1"/>
  <c r="DQ202" i="2"/>
  <c r="DR202" i="2" s="1"/>
  <c r="EH202" i="2"/>
  <c r="DS202" i="2"/>
  <c r="CK226" i="2"/>
  <c r="CM226" i="2"/>
  <c r="CE226" i="2"/>
  <c r="EG98" i="2"/>
  <c r="DV98" i="2"/>
  <c r="DW98" i="2" s="1"/>
  <c r="EI98" i="2"/>
  <c r="GV192" i="2"/>
  <c r="GW192" i="2" s="1"/>
  <c r="DY168" i="2"/>
  <c r="DZ168" i="2" s="1"/>
  <c r="EA168" i="2" s="1"/>
  <c r="DS168" i="2"/>
  <c r="DQ168" i="2"/>
  <c r="DR168" i="2" s="1"/>
  <c r="EH168" i="2"/>
  <c r="EC168" i="2"/>
  <c r="FR187" i="2" a="1"/>
  <c r="FR187" i="2" s="1"/>
  <c r="FR180" i="2" a="1"/>
  <c r="FR180" i="2" s="1"/>
  <c r="DV191" i="2"/>
  <c r="DW191" i="2" s="1"/>
  <c r="EI191" i="2"/>
  <c r="EG191" i="2"/>
  <c r="GV146" i="2"/>
  <c r="GW146" i="2" s="1"/>
  <c r="EG151" i="2"/>
  <c r="DV151" i="2"/>
  <c r="DW151" i="2" s="1"/>
  <c r="EI151" i="2"/>
  <c r="GV137" i="2"/>
  <c r="GW137" i="2" s="1"/>
  <c r="DY130" i="2"/>
  <c r="DZ130" i="2" s="1"/>
  <c r="EA130" i="2" s="1"/>
  <c r="DS130" i="2"/>
  <c r="DQ130" i="2"/>
  <c r="DR130" i="2" s="1"/>
  <c r="EH130" i="2"/>
  <c r="EC130" i="2"/>
  <c r="GV133" i="2"/>
  <c r="GW133" i="2" s="1"/>
  <c r="Z93" i="2"/>
  <c r="AA93" i="2"/>
  <c r="FW86" i="2"/>
  <c r="FX86" i="2" s="1" a="1"/>
  <c r="FX86" i="2" s="1"/>
  <c r="FR86" i="2" a="1"/>
  <c r="FR86" i="2" s="1"/>
  <c r="GV115" i="2"/>
  <c r="GW115" i="2" s="1"/>
  <c r="EI101" i="2"/>
  <c r="EG101" i="2"/>
  <c r="DV101" i="2"/>
  <c r="DW101" i="2" s="1"/>
  <c r="FR83" i="2" a="1"/>
  <c r="FR83" i="2" s="1"/>
  <c r="EC92" i="2"/>
  <c r="DY92" i="2"/>
  <c r="DZ92" i="2" s="1"/>
  <c r="EA92" i="2" s="1"/>
  <c r="DS92" i="2"/>
  <c r="DQ92" i="2"/>
  <c r="DR92" i="2" s="1"/>
  <c r="EH92" i="2"/>
  <c r="EC74" i="2"/>
  <c r="DY74" i="2"/>
  <c r="DZ74" i="2" s="1"/>
  <c r="EA74" i="2" s="1"/>
  <c r="DS74" i="2"/>
  <c r="DQ74" i="2"/>
  <c r="DR74" i="2" s="1"/>
  <c r="EH74" i="2"/>
  <c r="EC93" i="2"/>
  <c r="DY93" i="2"/>
  <c r="DZ93" i="2" s="1"/>
  <c r="EA93" i="2" s="1"/>
  <c r="DS93" i="2"/>
  <c r="DQ93" i="2"/>
  <c r="DR93" i="2" s="1"/>
  <c r="EH93" i="2"/>
  <c r="GV59" i="2"/>
  <c r="GW59" i="2" s="1"/>
  <c r="EG84" i="2"/>
  <c r="DV84" i="2"/>
  <c r="DW84" i="2" s="1"/>
  <c r="EI84" i="2"/>
  <c r="FR45" i="2" a="1"/>
  <c r="FR45" i="2" s="1"/>
  <c r="DY12" i="2"/>
  <c r="DZ12" i="2" s="1"/>
  <c r="EA12" i="2" s="1"/>
  <c r="DS12" i="2"/>
  <c r="DQ12" i="2"/>
  <c r="DR12" i="2" s="1"/>
  <c r="EH12" i="2"/>
  <c r="EC12" i="2"/>
  <c r="DV13" i="2"/>
  <c r="DW13" i="2" s="1"/>
  <c r="EI13" i="2"/>
  <c r="EG13" i="2"/>
  <c r="CM250" i="2"/>
  <c r="CE250" i="2"/>
  <c r="CK250" i="2"/>
  <c r="DV193" i="2"/>
  <c r="DW193" i="2" s="1"/>
  <c r="EI193" i="2"/>
  <c r="EG193" i="2"/>
  <c r="CK233" i="2"/>
  <c r="CE233" i="2"/>
  <c r="CM233" i="2"/>
  <c r="GV233" i="2"/>
  <c r="GW233" i="2" s="1"/>
  <c r="EC245" i="2"/>
  <c r="DY245" i="2"/>
  <c r="DZ245" i="2" s="1"/>
  <c r="EA245" i="2" s="1"/>
  <c r="DQ245" i="2"/>
  <c r="DR245" i="2" s="1"/>
  <c r="DS245" i="2"/>
  <c r="EH245" i="2"/>
  <c r="EG211" i="2"/>
  <c r="DV211" i="2"/>
  <c r="DW211" i="2" s="1"/>
  <c r="EI211" i="2"/>
  <c r="GV250" i="2"/>
  <c r="EC232" i="2"/>
  <c r="EH232" i="2"/>
  <c r="DY232" i="2"/>
  <c r="DZ232" i="2" s="1"/>
  <c r="EA232" i="2" s="1"/>
  <c r="DS232" i="2"/>
  <c r="DQ232" i="2"/>
  <c r="DR232" i="2" s="1"/>
  <c r="FR219" i="2" a="1"/>
  <c r="FR219" i="2" s="1"/>
  <c r="GV200" i="2"/>
  <c r="GW200" i="2" s="1"/>
  <c r="CK200" i="2"/>
  <c r="CM200" i="2"/>
  <c r="CE200" i="2"/>
  <c r="FR184" i="2" a="1"/>
  <c r="FR184" i="2" s="1"/>
  <c r="GV153" i="2"/>
  <c r="GW153" i="2" s="1"/>
  <c r="CK156" i="2"/>
  <c r="CE156" i="2"/>
  <c r="GV156" i="2"/>
  <c r="GW156" i="2" s="1"/>
  <c r="CM156" i="2"/>
  <c r="FR182" i="2" a="1"/>
  <c r="FR182" i="2" s="1"/>
  <c r="FU146" i="2"/>
  <c r="FV146" i="2" s="1"/>
  <c r="FR158" i="2" a="1"/>
  <c r="FR158" i="2" s="1"/>
  <c r="AA151" i="2"/>
  <c r="Z151" i="2"/>
  <c r="GV168" i="2"/>
  <c r="GW168" i="2" s="1"/>
  <c r="FR137" i="2" a="1"/>
  <c r="FR137" i="2" s="1"/>
  <c r="FR144" i="2" a="1"/>
  <c r="FR144" i="2" s="1"/>
  <c r="DY129" i="2"/>
  <c r="DZ129" i="2" s="1"/>
  <c r="EA129" i="2" s="1"/>
  <c r="DS129" i="2"/>
  <c r="DQ129" i="2"/>
  <c r="DR129" i="2" s="1"/>
  <c r="EH129" i="2"/>
  <c r="EC129" i="2"/>
  <c r="Z92" i="2"/>
  <c r="AA92" i="2"/>
  <c r="FW166" i="2"/>
  <c r="FX166" i="2" s="1" a="1"/>
  <c r="FX166" i="2" s="1"/>
  <c r="FR166" i="2" a="1"/>
  <c r="FR166" i="2" s="1"/>
  <c r="GV97" i="2"/>
  <c r="GW97" i="2" s="1"/>
  <c r="FR106" i="2" a="1"/>
  <c r="FR106" i="2" s="1"/>
  <c r="GV110" i="2"/>
  <c r="GW110" i="2" s="1"/>
  <c r="EC73" i="2"/>
  <c r="DY73" i="2"/>
  <c r="DZ73" i="2" s="1"/>
  <c r="EA73" i="2" s="1"/>
  <c r="DS73" i="2"/>
  <c r="DQ73" i="2"/>
  <c r="DR73" i="2" s="1"/>
  <c r="EH73" i="2"/>
  <c r="FR81" i="2" a="1"/>
  <c r="FR81" i="2" s="1"/>
  <c r="EH84" i="2"/>
  <c r="EC84" i="2"/>
  <c r="DY84" i="2"/>
  <c r="DZ84" i="2" s="1"/>
  <c r="EA84" i="2" s="1"/>
  <c r="DS84" i="2"/>
  <c r="DQ84" i="2"/>
  <c r="DR84" i="2" s="1"/>
  <c r="EI19" i="2"/>
  <c r="EG19" i="2"/>
  <c r="DV19" i="2"/>
  <c r="DW19" i="2" s="1"/>
  <c r="EG88" i="2"/>
  <c r="DV88" i="2"/>
  <c r="DW88" i="2" s="1"/>
  <c r="EI88" i="2"/>
  <c r="EC29" i="2"/>
  <c r="DY29" i="2"/>
  <c r="DZ29" i="2" s="1"/>
  <c r="EA29" i="2" s="1"/>
  <c r="DS29" i="2"/>
  <c r="DQ29" i="2"/>
  <c r="DR29" i="2" s="1"/>
  <c r="EH29" i="2"/>
  <c r="FW19" i="2"/>
  <c r="FX19" i="2" s="1" a="1"/>
  <c r="FX19" i="2" s="1"/>
  <c r="FR19" i="2" a="1"/>
  <c r="FR19" i="2" s="1"/>
  <c r="GV14" i="2"/>
  <c r="GW14" i="2" s="1"/>
  <c r="CK19" i="2"/>
  <c r="CM19" i="2"/>
  <c r="CE19" i="2"/>
  <c r="GV19" i="2"/>
  <c r="GW19" i="2" s="1"/>
  <c r="DV12" i="2"/>
  <c r="DW12" i="2" s="1"/>
  <c r="EI12" i="2"/>
  <c r="EG12" i="2"/>
  <c r="EC241" i="2"/>
  <c r="DY241" i="2"/>
  <c r="DZ241" i="2" s="1"/>
  <c r="EA241" i="2" s="1"/>
  <c r="EH241" i="2"/>
  <c r="DS241" i="2"/>
  <c r="DQ241" i="2"/>
  <c r="DR241" i="2" s="1"/>
  <c r="GV217" i="2"/>
  <c r="GW217" i="2" s="1"/>
  <c r="GV222" i="2"/>
  <c r="GW222" i="2" s="1"/>
  <c r="FR250" i="2" a="1"/>
  <c r="FR250" i="2" s="1"/>
  <c r="FW250" i="2"/>
  <c r="FX250" i="2" s="1" a="1"/>
  <c r="FX250" i="2" s="1"/>
  <c r="DV245" i="2"/>
  <c r="DW245" i="2" s="1"/>
  <c r="EG245" i="2"/>
  <c r="EI245" i="2"/>
  <c r="CK230" i="2"/>
  <c r="CE230" i="2"/>
  <c r="CM230" i="2"/>
  <c r="GV230" i="2"/>
  <c r="GW230" i="2" s="1"/>
  <c r="GV202" i="2"/>
  <c r="CM202" i="2"/>
  <c r="CK202" i="2"/>
  <c r="CE202" i="2"/>
  <c r="CK235" i="2"/>
  <c r="CE235" i="2"/>
  <c r="CM235" i="2"/>
  <c r="EI232" i="2"/>
  <c r="EG232" i="2"/>
  <c r="DV232" i="2"/>
  <c r="DW232" i="2" s="1"/>
  <c r="Z220" i="2"/>
  <c r="AA220" i="2"/>
  <c r="GV102" i="2"/>
  <c r="GW102" i="2" s="1"/>
  <c r="GV182" i="2"/>
  <c r="GW182" i="2" s="1"/>
  <c r="FR200" i="2" a="1"/>
  <c r="FR200" i="2" s="1"/>
  <c r="EC190" i="2"/>
  <c r="DY190" i="2"/>
  <c r="DZ190" i="2" s="1"/>
  <c r="EA190" i="2" s="1"/>
  <c r="DS190" i="2"/>
  <c r="DQ190" i="2"/>
  <c r="DR190" i="2" s="1"/>
  <c r="EH190" i="2"/>
  <c r="EG196" i="2"/>
  <c r="DV196" i="2"/>
  <c r="DW196" i="2" s="1"/>
  <c r="EI196" i="2"/>
  <c r="DY173" i="2"/>
  <c r="DZ173" i="2" s="1"/>
  <c r="EA173" i="2" s="1"/>
  <c r="EC173" i="2"/>
  <c r="DS173" i="2"/>
  <c r="DQ173" i="2"/>
  <c r="DR173" i="2" s="1"/>
  <c r="EH173" i="2"/>
  <c r="DV135" i="2"/>
  <c r="DW135" i="2" s="1"/>
  <c r="EG135" i="2"/>
  <c r="EI135" i="2"/>
  <c r="FR141" i="2" a="1"/>
  <c r="FR141" i="2" s="1"/>
  <c r="DY121" i="2"/>
  <c r="DZ121" i="2" s="1"/>
  <c r="EA121" i="2" s="1"/>
  <c r="DS121" i="2"/>
  <c r="DQ121" i="2"/>
  <c r="DR121" i="2" s="1"/>
  <c r="EH121" i="2"/>
  <c r="EC121" i="2"/>
  <c r="CK165" i="2"/>
  <c r="CM165" i="2"/>
  <c r="CE165" i="2"/>
  <c r="GV165" i="2"/>
  <c r="GW165" i="2" s="1"/>
  <c r="Z91" i="2"/>
  <c r="AA91" i="2"/>
  <c r="DS132" i="2"/>
  <c r="DQ132" i="2"/>
  <c r="DR132" i="2" s="1"/>
  <c r="EH132" i="2"/>
  <c r="EC132" i="2"/>
  <c r="DY132" i="2"/>
  <c r="DZ132" i="2" s="1"/>
  <c r="EA132" i="2" s="1"/>
  <c r="GV118" i="2"/>
  <c r="GW118" i="2" s="1"/>
  <c r="FR118" i="2" a="1"/>
  <c r="FR118" i="2" s="1"/>
  <c r="FR114" i="2" a="1"/>
  <c r="FR114" i="2" s="1"/>
  <c r="EG79" i="2"/>
  <c r="DV79" i="2"/>
  <c r="DW79" i="2" s="1"/>
  <c r="EI79" i="2"/>
  <c r="EC166" i="2"/>
  <c r="DY166" i="2"/>
  <c r="DZ166" i="2" s="1"/>
  <c r="EA166" i="2" s="1"/>
  <c r="DS166" i="2"/>
  <c r="DQ166" i="2"/>
  <c r="DR166" i="2" s="1"/>
  <c r="EH166" i="2"/>
  <c r="EC72" i="2"/>
  <c r="DY72" i="2"/>
  <c r="DZ72" i="2" s="1"/>
  <c r="EA72" i="2" s="1"/>
  <c r="DS72" i="2"/>
  <c r="DQ72" i="2"/>
  <c r="DR72" i="2" s="1"/>
  <c r="EH72" i="2"/>
  <c r="EG93" i="2"/>
  <c r="DV93" i="2"/>
  <c r="DW93" i="2" s="1"/>
  <c r="EI93" i="2"/>
  <c r="GV70" i="2"/>
  <c r="GW70" i="2" s="1"/>
  <c r="EH88" i="2"/>
  <c r="EC88" i="2"/>
  <c r="DY88" i="2"/>
  <c r="DZ88" i="2" s="1"/>
  <c r="EA88" i="2" s="1"/>
  <c r="DS88" i="2"/>
  <c r="DQ88" i="2"/>
  <c r="DR88" i="2" s="1"/>
  <c r="DV29" i="2"/>
  <c r="DW29" i="2" s="1"/>
  <c r="EI29" i="2"/>
  <c r="EG29" i="2"/>
  <c r="FR111" i="2" a="1"/>
  <c r="FR111" i="2" s="1"/>
  <c r="EC44" i="2"/>
  <c r="DY44" i="2"/>
  <c r="DZ44" i="2" s="1"/>
  <c r="EA44" i="2" s="1"/>
  <c r="DS44" i="2"/>
  <c r="DQ44" i="2"/>
  <c r="DR44" i="2" s="1"/>
  <c r="EH44" i="2"/>
  <c r="FE161" i="2"/>
  <c r="FC161" i="2"/>
  <c r="FC246" i="2"/>
  <c r="FE246" i="2"/>
  <c r="FU161" i="2" l="1"/>
  <c r="FV161" i="2" s="1"/>
  <c r="FH161" i="2"/>
  <c r="FK161" i="2" s="1"/>
  <c r="GJ161" i="2"/>
  <c r="FN251" i="2"/>
  <c r="AB251" i="2"/>
  <c r="DU251" i="2"/>
  <c r="DO251" i="2"/>
  <c r="CM251" i="2"/>
  <c r="CI251" i="2"/>
  <c r="AA251" i="2"/>
  <c r="CK251" i="2"/>
  <c r="CF261" i="2" s="1"/>
  <c r="CF262" i="2" s="1"/>
  <c r="FO251" i="2"/>
  <c r="FU30" i="2"/>
  <c r="FV30" i="2" s="1"/>
  <c r="FK30" i="2"/>
  <c r="EY248" i="2"/>
  <c r="GJ248" i="2"/>
  <c r="FU246" i="2"/>
  <c r="FV246" i="2" s="1"/>
  <c r="EX246" i="2"/>
  <c r="EY246" i="2" s="1"/>
  <c r="GJ30" i="2"/>
  <c r="EY30" i="2"/>
  <c r="FK246" i="2"/>
  <c r="FK248" i="2"/>
  <c r="FQ248" i="2"/>
  <c r="FU167" i="2"/>
  <c r="FV167" i="2" s="1"/>
  <c r="EX167" i="2"/>
  <c r="EY167" i="2" s="1"/>
  <c r="FQ161" i="2" l="1"/>
  <c r="FW161" i="2" s="1"/>
  <c r="FX161" i="2" s="1" a="1"/>
  <c r="GV251" i="2"/>
  <c r="DS251" i="2"/>
  <c r="EG251" i="2"/>
  <c r="EH251" i="2"/>
  <c r="DV251" i="2"/>
  <c r="FQ30" i="2"/>
  <c r="FW30" i="2" s="1"/>
  <c r="FX30" i="2" s="1" a="1"/>
  <c r="GJ246" i="2"/>
  <c r="FQ246" i="2"/>
  <c r="FW246" i="2" s="1"/>
  <c r="FX246" i="2" s="1" a="1"/>
  <c r="GJ167" i="2"/>
  <c r="FW248" i="2"/>
  <c r="FX248" i="2" s="1" a="1"/>
  <c r="FK167" i="2"/>
  <c r="FQ167" i="2"/>
  <c r="FR248" i="2" a="1"/>
  <c r="FR161" i="2" l="1" a="1"/>
  <c r="FR161" i="2" s="1"/>
  <c r="FX161" i="2"/>
  <c r="GW64" i="2"/>
  <c r="GW175" i="2"/>
  <c r="FR30" i="2" a="1"/>
  <c r="FR30" i="2" s="1"/>
  <c r="GW161" i="2"/>
  <c r="GW244" i="2"/>
  <c r="GW245" i="2"/>
  <c r="GW201" i="2"/>
  <c r="GW220" i="2"/>
  <c r="GW243" i="2"/>
  <c r="GW167" i="2"/>
  <c r="GW247" i="2"/>
  <c r="GW30" i="2"/>
  <c r="GW249" i="2"/>
  <c r="GW250" i="2"/>
  <c r="GW202" i="2"/>
  <c r="GW248" i="2"/>
  <c r="GW242" i="2"/>
  <c r="GW246" i="2"/>
  <c r="FX246" i="2"/>
  <c r="FR248" i="2"/>
  <c r="FX30" i="2"/>
  <c r="FX248" i="2"/>
  <c r="FW167" i="2"/>
  <c r="FX167" i="2" s="1" a="1"/>
  <c r="FR167" i="2" a="1"/>
  <c r="FR246" i="2" a="1"/>
  <c r="GW251" i="2" l="1"/>
  <c r="FR246" i="2"/>
  <c r="FR167" i="2"/>
  <c r="FX16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<sst xmlns="http://schemas.openxmlformats.org/spreadsheetml/2006/main" count="2065" uniqueCount="1015">
  <si>
    <t xml:space="preserve"> </t>
  </si>
  <si>
    <t>IRA</t>
  </si>
  <si>
    <t>N/A</t>
  </si>
  <si>
    <t>Confirmed</t>
  </si>
  <si>
    <t>Financial</t>
  </si>
  <si>
    <t>Exchange Traded Fund</t>
  </si>
  <si>
    <t>XLU</t>
  </si>
  <si>
    <t>Technology</t>
  </si>
  <si>
    <t>Semiconductor - Integrated Circuits</t>
  </si>
  <si>
    <t>XLNX</t>
  </si>
  <si>
    <t>Services</t>
  </si>
  <si>
    <t>Air Delivery &amp; Freight Services</t>
  </si>
  <si>
    <t>Consumer Goods</t>
  </si>
  <si>
    <t>Industrial Goods</t>
  </si>
  <si>
    <t>Money Center Banks</t>
  </si>
  <si>
    <t>Assignment</t>
  </si>
  <si>
    <t>assignment</t>
  </si>
  <si>
    <t>Diversified Machinery</t>
  </si>
  <si>
    <t>Textile - Apparel Footwear &amp; Accessories</t>
  </si>
  <si>
    <t>stop out</t>
  </si>
  <si>
    <t>FL</t>
  </si>
  <si>
    <t>Textile - Apparel Clothing</t>
  </si>
  <si>
    <t>free money</t>
  </si>
  <si>
    <t>Internet Software &amp; Services</t>
  </si>
  <si>
    <t>Basic Materials</t>
  </si>
  <si>
    <t>Oil &amp; Gas Equipment &amp; Services</t>
  </si>
  <si>
    <t>Sporting Goods Stores</t>
  </si>
  <si>
    <t>DKS</t>
  </si>
  <si>
    <t>Losses</t>
  </si>
  <si>
    <t>ITM</t>
  </si>
  <si>
    <t>Specialty Retail, Other</t>
  </si>
  <si>
    <t>EBAY</t>
  </si>
  <si>
    <t>Healthcare</t>
  </si>
  <si>
    <t>AGN</t>
  </si>
  <si>
    <t>Specialty Eateries</t>
  </si>
  <si>
    <t>SBUX</t>
  </si>
  <si>
    <t>Silver</t>
  </si>
  <si>
    <t>Business Software &amp; Services</t>
  </si>
  <si>
    <t>AVGO</t>
  </si>
  <si>
    <t>AMD</t>
  </si>
  <si>
    <t>Security Software &amp; Services</t>
  </si>
  <si>
    <t>CHKP</t>
  </si>
  <si>
    <t>Restaurants</t>
  </si>
  <si>
    <t>DRI</t>
  </si>
  <si>
    <t>DPZ</t>
  </si>
  <si>
    <t>Resorts &amp; Casinos</t>
  </si>
  <si>
    <t>WYNN</t>
  </si>
  <si>
    <t>Rental &amp; Leasing Services</t>
  </si>
  <si>
    <t>CAR</t>
  </si>
  <si>
    <t>REIT - Office</t>
  </si>
  <si>
    <t>ARE</t>
  </si>
  <si>
    <t>Regional - Southeast Banks</t>
  </si>
  <si>
    <t>CSFL</t>
  </si>
  <si>
    <t>AIG</t>
  </si>
  <si>
    <t>Printed Circuit Boards</t>
  </si>
  <si>
    <t>FLEX</t>
  </si>
  <si>
    <t>Drug Manufacturers - Major</t>
  </si>
  <si>
    <t>Packaging &amp; Containers</t>
  </si>
  <si>
    <t>WRK</t>
  </si>
  <si>
    <t>T1</t>
  </si>
  <si>
    <t>Oil &amp; Gas Pipelines</t>
  </si>
  <si>
    <t>KMI</t>
  </si>
  <si>
    <t>Internet Information Providers</t>
  </si>
  <si>
    <t>HAL</t>
  </si>
  <si>
    <t>DNOW</t>
  </si>
  <si>
    <t>Oil &amp; Gas Drilling &amp; Exploration</t>
  </si>
  <si>
    <t>ESV</t>
  </si>
  <si>
    <t>CSCO</t>
  </si>
  <si>
    <t>ATVI</t>
  </si>
  <si>
    <t>WFC</t>
  </si>
  <si>
    <t>BAC</t>
  </si>
  <si>
    <t>AAPL</t>
  </si>
  <si>
    <t>tax reform beneficiary, provider of data to growing data stream consumers</t>
  </si>
  <si>
    <t>Entertainment - Diversified</t>
  </si>
  <si>
    <t>CMCSA</t>
  </si>
  <si>
    <t>Medical Laboratories &amp; Research</t>
  </si>
  <si>
    <t>max loss</t>
  </si>
  <si>
    <t>max gain</t>
  </si>
  <si>
    <t>Independent Oil &amp; Gas</t>
  </si>
  <si>
    <t>XEC</t>
  </si>
  <si>
    <t>Major Integrated Oil &amp; Gas</t>
  </si>
  <si>
    <t>XOM</t>
  </si>
  <si>
    <t>BP</t>
  </si>
  <si>
    <t>Major Airlines</t>
  </si>
  <si>
    <t>DAL</t>
  </si>
  <si>
    <t>Waste Management</t>
  </si>
  <si>
    <t>GDDY</t>
  </si>
  <si>
    <t>Discount, Variety Stores</t>
  </si>
  <si>
    <t>WMT</t>
  </si>
  <si>
    <t>Information Technology Services</t>
  </si>
  <si>
    <t>DXC</t>
  </si>
  <si>
    <t>Industrial Equipment Wholesale</t>
  </si>
  <si>
    <t>FAST</t>
  </si>
  <si>
    <t>Aerospace/Defense Products &amp; Services</t>
  </si>
  <si>
    <t>PEP</t>
  </si>
  <si>
    <t>EOG</t>
  </si>
  <si>
    <t>APA</t>
  </si>
  <si>
    <t>Housewares &amp; Accessories</t>
  </si>
  <si>
    <t>ex-div</t>
  </si>
  <si>
    <t>Home Furnishing Stores</t>
  </si>
  <si>
    <t>WSM</t>
  </si>
  <si>
    <t>BBBY</t>
  </si>
  <si>
    <t>Health Care Plans</t>
  </si>
  <si>
    <t>CI</t>
  </si>
  <si>
    <t>conference</t>
  </si>
  <si>
    <t>Foreign Money Center Banks</t>
  </si>
  <si>
    <t>CS</t>
  </si>
  <si>
    <t>Farm Products</t>
  </si>
  <si>
    <t>ADM</t>
  </si>
  <si>
    <t>XRT</t>
  </si>
  <si>
    <t>XLI</t>
  </si>
  <si>
    <t>-</t>
  </si>
  <si>
    <t>XLE</t>
  </si>
  <si>
    <t>XLB</t>
  </si>
  <si>
    <t>Capped Gain</t>
  </si>
  <si>
    <t>GLD</t>
  </si>
  <si>
    <t>EZU</t>
  </si>
  <si>
    <t>FOXA</t>
  </si>
  <si>
    <t>CBS</t>
  </si>
  <si>
    <t>BBY</t>
  </si>
  <si>
    <t>Utilities</t>
  </si>
  <si>
    <t>Electric Utilities</t>
  </si>
  <si>
    <t>ED</t>
  </si>
  <si>
    <t>DUK</t>
  </si>
  <si>
    <t>AEP</t>
  </si>
  <si>
    <t>Credit Services</t>
  </si>
  <si>
    <t>Chemicals - Major Diversified</t>
  </si>
  <si>
    <t>GSK</t>
  </si>
  <si>
    <t>ABBV</t>
  </si>
  <si>
    <t>GE</t>
  </si>
  <si>
    <t>ETN</t>
  </si>
  <si>
    <t>CMI</t>
  </si>
  <si>
    <t>keep?</t>
  </si>
  <si>
    <t>DG</t>
  </si>
  <si>
    <t>file form 10s for breakup entities</t>
  </si>
  <si>
    <t>AXP</t>
  </si>
  <si>
    <t>Copper</t>
  </si>
  <si>
    <t>Communication Equipment</t>
  </si>
  <si>
    <t>CIEN</t>
  </si>
  <si>
    <t>Cleaning Products</t>
  </si>
  <si>
    <t>ECL</t>
  </si>
  <si>
    <t>Industrial Electrical Equipment</t>
  </si>
  <si>
    <t>EMR</t>
  </si>
  <si>
    <t>C</t>
  </si>
  <si>
    <t>BABA</t>
  </si>
  <si>
    <t>DHR</t>
  </si>
  <si>
    <t>FFIV</t>
  </si>
  <si>
    <t>Business Services</t>
  </si>
  <si>
    <t>FDC</t>
  </si>
  <si>
    <t>Biotechnology</t>
  </si>
  <si>
    <t>GILD</t>
  </si>
  <si>
    <t>CELG</t>
  </si>
  <si>
    <t>BIIB</t>
  </si>
  <si>
    <t>Y</t>
  </si>
  <si>
    <t>AMGN</t>
  </si>
  <si>
    <t>FIVE</t>
  </si>
  <si>
    <t>Application Software</t>
  </si>
  <si>
    <t>CRM</t>
  </si>
  <si>
    <t>Beverages - Brewers</t>
  </si>
  <si>
    <t>BUD</t>
  </si>
  <si>
    <t>Auto Parts</t>
  </si>
  <si>
    <t>LEA</t>
  </si>
  <si>
    <t>Auto Manufacturers - Major</t>
  </si>
  <si>
    <t>GM</t>
  </si>
  <si>
    <t>Auto Dealerships</t>
  </si>
  <si>
    <t>ABG</t>
  </si>
  <si>
    <t>Asset Management</t>
  </si>
  <si>
    <t>BK</t>
  </si>
  <si>
    <t>Semiconductor Equipment &amp; Materials</t>
  </si>
  <si>
    <t>AMAT</t>
  </si>
  <si>
    <t>ADBE</t>
  </si>
  <si>
    <t>APC</t>
  </si>
  <si>
    <t>Aluminum</t>
  </si>
  <si>
    <t>ARNC</t>
  </si>
  <si>
    <t>XPO</t>
  </si>
  <si>
    <t>FDX</t>
  </si>
  <si>
    <t>BA</t>
  </si>
  <si>
    <t>ABT</t>
  </si>
  <si>
    <t>Exposure</t>
  </si>
  <si>
    <t>Position</t>
  </si>
  <si>
    <t>Has Position</t>
  </si>
  <si>
    <t>SC Symbol Count</t>
  </si>
  <si>
    <t>SC Symbol</t>
  </si>
  <si>
    <t>LC Symbol Count</t>
  </si>
  <si>
    <t>LC Symbol</t>
  </si>
  <si>
    <t>SP Symbol Count</t>
  </si>
  <si>
    <t>SP Symbol</t>
  </si>
  <si>
    <t>LP Symbol Count</t>
  </si>
  <si>
    <t>LP Symbol</t>
  </si>
  <si>
    <t>Simple Sell ROI</t>
  </si>
  <si>
    <t>Sale G/L</t>
  </si>
  <si>
    <t>Sale Basis</t>
  </si>
  <si>
    <t>Sale Proceeds</t>
  </si>
  <si>
    <t>Booked Sale Price</t>
  </si>
  <si>
    <t>Booked Sale Shares</t>
  </si>
  <si>
    <t>Sell Price Gain</t>
  </si>
  <si>
    <t>Sell Price Tgt</t>
  </si>
  <si>
    <t>Sell Shares Pct</t>
  </si>
  <si>
    <t>SC Simple ROO</t>
  </si>
  <si>
    <t>SC Exercise Share Price</t>
  </si>
  <si>
    <t>SC Exercise Gross</t>
  </si>
  <si>
    <t>Gap From Strike</t>
  </si>
  <si>
    <t>SC Time Val</t>
  </si>
  <si>
    <t>SC Break Even</t>
  </si>
  <si>
    <t>SC Min Prem Req</t>
  </si>
  <si>
    <t>SC Premium</t>
  </si>
  <si>
    <t>SC Term</t>
  </si>
  <si>
    <t>SC Book Price</t>
  </si>
  <si>
    <t>SC Fill Date</t>
  </si>
  <si>
    <t>SC Book Date</t>
  </si>
  <si>
    <t>SC Qty</t>
  </si>
  <si>
    <t>SC Strike Price</t>
  </si>
  <si>
    <t>SC Exp Date</t>
  </si>
  <si>
    <t>SC Max Qty</t>
  </si>
  <si>
    <t>LC Contract Value</t>
  </si>
  <si>
    <t>LC Premium</t>
  </si>
  <si>
    <t>LC Book Price</t>
  </si>
  <si>
    <t>LC Fill Date</t>
  </si>
  <si>
    <t>LC Book Date</t>
  </si>
  <si>
    <t>LC Qty</t>
  </si>
  <si>
    <t>LC Strike Price</t>
  </si>
  <si>
    <t>LC Exp Date</t>
  </si>
  <si>
    <t>SP Actual Loss</t>
  </si>
  <si>
    <t>SP Actual Spend</t>
  </si>
  <si>
    <t>SP Gap</t>
  </si>
  <si>
    <t>SP Potential Spend</t>
  </si>
  <si>
    <t>SP Premium</t>
  </si>
  <si>
    <t>SP Book Price</t>
  </si>
  <si>
    <t>SP Fill Date</t>
  </si>
  <si>
    <t>SP Book Date</t>
  </si>
  <si>
    <t>SP Qty</t>
  </si>
  <si>
    <t>SP Strike Price</t>
  </si>
  <si>
    <t>SP Exp Date</t>
  </si>
  <si>
    <t>LP Total Value</t>
  </si>
  <si>
    <t>LP Contract Value</t>
  </si>
  <si>
    <t>LP Premium</t>
  </si>
  <si>
    <t>LP Book Price</t>
  </si>
  <si>
    <t>LP Fill Date</t>
  </si>
  <si>
    <t>LP Book Date</t>
  </si>
  <si>
    <t>LP Qty</t>
  </si>
  <si>
    <t>LP Strike Price</t>
  </si>
  <si>
    <t>LP Exp Date</t>
  </si>
  <si>
    <t>Trade Exp</t>
  </si>
  <si>
    <t>Target Updated</t>
  </si>
  <si>
    <t>Downside Target Reason</t>
  </si>
  <si>
    <t>Downside Target</t>
  </si>
  <si>
    <t>Upside Target Reason</t>
  </si>
  <si>
    <t>From Current %</t>
  </si>
  <si>
    <t>From Current $</t>
  </si>
  <si>
    <t>From Basis $</t>
  </si>
  <si>
    <t xml:space="preserve">From Basis % </t>
  </si>
  <si>
    <t>AAP % From Current</t>
  </si>
  <si>
    <t>Long Term Target</t>
  </si>
  <si>
    <t>Div Ex Date</t>
  </si>
  <si>
    <t>Div Yield</t>
  </si>
  <si>
    <t>Annual Div $</t>
  </si>
  <si>
    <t>Quarterly Div $</t>
  </si>
  <si>
    <t>Div Pay Date</t>
  </si>
  <si>
    <t>EBF Rank</t>
  </si>
  <si>
    <t>Is Core</t>
  </si>
  <si>
    <t>AAP Rank</t>
  </si>
  <si>
    <t>Next Catalyst</t>
  </si>
  <si>
    <t>Earnings Status</t>
  </si>
  <si>
    <t>Earnings Time</t>
  </si>
  <si>
    <t>Earnings Date</t>
  </si>
  <si>
    <t>Watch List</t>
  </si>
  <si>
    <t>Sector</t>
  </si>
  <si>
    <t>Industry</t>
  </si>
  <si>
    <t>Market Crash Price</t>
  </si>
  <si>
    <t>Last Price</t>
  </si>
  <si>
    <t>Symbol</t>
  </si>
  <si>
    <t>Short Calls</t>
  </si>
  <si>
    <t>Long Calls</t>
  </si>
  <si>
    <t>Short Puts</t>
  </si>
  <si>
    <t>Long Puts</t>
  </si>
  <si>
    <t>Targets</t>
  </si>
  <si>
    <t>Target Forecast</t>
  </si>
  <si>
    <t>Current Position</t>
  </si>
  <si>
    <t xml:space="preserve">Target Gap </t>
  </si>
  <si>
    <t>Dividends</t>
  </si>
  <si>
    <t>Portfolio</t>
  </si>
  <si>
    <t>Rank</t>
  </si>
  <si>
    <t>Catalysts</t>
  </si>
  <si>
    <t/>
  </si>
  <si>
    <t>Target</t>
  </si>
  <si>
    <t>Holdings</t>
  </si>
  <si>
    <t>% over</t>
  </si>
  <si>
    <t>% of</t>
  </si>
  <si>
    <t>Crash discount</t>
  </si>
  <si>
    <t>ebf_NotEqual</t>
  </si>
  <si>
    <t>ebf_Equal</t>
  </si>
  <si>
    <t>Highlights a single symbol</t>
  </si>
  <si>
    <t>Symbol Isolation</t>
  </si>
  <si>
    <t>NakedPutAnalysis</t>
  </si>
  <si>
    <t>Naked puts with open GTC BTC orders</t>
  </si>
  <si>
    <t>NakedPut_GTCs</t>
  </si>
  <si>
    <t>*LNG*</t>
  </si>
  <si>
    <t>Long positions including stock and calls</t>
  </si>
  <si>
    <t>LongUpside</t>
  </si>
  <si>
    <t>All long positions</t>
  </si>
  <si>
    <t>LongsOnly</t>
  </si>
  <si>
    <t>All positions with long puts in place</t>
  </si>
  <si>
    <t>LongPutAnalysis</t>
  </si>
  <si>
    <t>All positions with long calls in place</t>
  </si>
  <si>
    <t>LongCallAnalysis</t>
  </si>
  <si>
    <t>LngsOnly</t>
  </si>
  <si>
    <t>ebf_GreaterThan</t>
  </si>
  <si>
    <t>All active positions that report earnings</t>
  </si>
  <si>
    <t>EarningsParticipant</t>
  </si>
  <si>
    <t>All active positions with dividend payouts</t>
  </si>
  <si>
    <t>DividendPayers</t>
  </si>
  <si>
    <t>All positions with covered calls in place</t>
  </si>
  <si>
    <t>CoveredCallAnalysis</t>
  </si>
  <si>
    <t>CC Exp Date</t>
  </si>
  <si>
    <t>CoveredCallExpirationAnalysis</t>
  </si>
  <si>
    <t>Covered calls with open GTC BTC orders</t>
  </si>
  <si>
    <t>CoveredCall_GTCs</t>
  </si>
  <si>
    <t>*W*</t>
  </si>
  <si>
    <t>Show any &amp; all positions held, excluding Watch items</t>
  </si>
  <si>
    <t>AllActivePositions</t>
  </si>
  <si>
    <t>All positions ranked by AAP, whether currently held or not</t>
  </si>
  <si>
    <t>AapRanked</t>
  </si>
  <si>
    <t>2nd Criteria Op2</t>
  </si>
  <si>
    <t>2nd Criteria2</t>
  </si>
  <si>
    <t>XlAutoFilter Op2</t>
  </si>
  <si>
    <t>1st Criteria Op2</t>
  </si>
  <si>
    <t>1st Criteria2</t>
  </si>
  <si>
    <t>Column Name2</t>
  </si>
  <si>
    <t>2nd Criteria Op1</t>
  </si>
  <si>
    <t>2nd Criteria1</t>
  </si>
  <si>
    <t>XlAutoFilter Op1</t>
  </si>
  <si>
    <t>1st Criteria Op1</t>
  </si>
  <si>
    <t>1st Criteria1</t>
  </si>
  <si>
    <t>Column Name1</t>
  </si>
  <si>
    <t>Comments</t>
  </si>
  <si>
    <t>Spec Name</t>
  </si>
  <si>
    <t>Filter Name</t>
  </si>
  <si>
    <t>Auto  Filters</t>
  </si>
  <si>
    <t>Desc</t>
  </si>
  <si>
    <t>Asc</t>
  </si>
  <si>
    <t>Trades Expiring</t>
  </si>
  <si>
    <t>Option Cleanup</t>
  </si>
  <si>
    <t>NakedPuts By Open GTC Orders</t>
  </si>
  <si>
    <t>NakedPuts By Expiration Date</t>
  </si>
  <si>
    <t>NakedPut Exposure</t>
  </si>
  <si>
    <t>Long Puts Exposure</t>
  </si>
  <si>
    <t>Long Exposure</t>
  </si>
  <si>
    <t>Long Calls Exposure</t>
  </si>
  <si>
    <t>Earnings Upcoming</t>
  </si>
  <si>
    <t>Dividend Upcoming</t>
  </si>
  <si>
    <t>CoveredCalls By Open GTC Orders</t>
  </si>
  <si>
    <t>CoveredCalls By Expiration Date</t>
  </si>
  <si>
    <t>CoveredCalls Available To Sell</t>
  </si>
  <si>
    <t>All Active Positions</t>
  </si>
  <si>
    <t>AAP Rankings</t>
  </si>
  <si>
    <t>AAP Potential Gains</t>
  </si>
  <si>
    <t>SortDir3</t>
  </si>
  <si>
    <t>SortCol3</t>
  </si>
  <si>
    <t>SortDir2</t>
  </si>
  <si>
    <t>SortCol2</t>
  </si>
  <si>
    <t>SortDir1</t>
  </si>
  <si>
    <t>SortCol1</t>
  </si>
  <si>
    <t>CriteriaFilterName</t>
  </si>
  <si>
    <t>AutoFilterName</t>
  </si>
  <si>
    <t>GroupName3</t>
  </si>
  <si>
    <t>GroupName2</t>
  </si>
  <si>
    <t>GroupName1</t>
  </si>
  <si>
    <t>ViewName</t>
  </si>
  <si>
    <t>Total</t>
  </si>
  <si>
    <t>Validated:</t>
  </si>
  <si>
    <t>Last Updated:</t>
  </si>
  <si>
    <t>Level</t>
  </si>
  <si>
    <t>Parent</t>
  </si>
  <si>
    <t>Address</t>
  </si>
  <si>
    <t>Order</t>
  </si>
  <si>
    <t>Name</t>
  </si>
  <si>
    <t>Grand Total</t>
  </si>
  <si>
    <t>Pct of Total</t>
  </si>
  <si>
    <t>Total Exposure</t>
  </si>
  <si>
    <t>Sector Analysis / Industry</t>
  </si>
  <si>
    <t>CoveredCall_Unfilled</t>
  </si>
  <si>
    <t>Covered call bids not yet filled</t>
  </si>
  <si>
    <t>CoveredCalls With Unfilled Bids</t>
  </si>
  <si>
    <t>NakedPut_Unfilled</t>
  </si>
  <si>
    <t>Naked put bids not yet filled</t>
  </si>
  <si>
    <t>NakedPuts With Unfilled Bids</t>
  </si>
  <si>
    <t>ACN</t>
  </si>
  <si>
    <t>GUID Lookup</t>
  </si>
  <si>
    <t>{B8945C0B-CB16-DC6E-B1E5-8C19749A44CC}</t>
  </si>
  <si>
    <t>{9FE3AF48-2FA0-922C-9146-5EF6422A66B5}</t>
  </si>
  <si>
    <t>{933917E4-C64E-9961-AAED-08E6A8875641}</t>
  </si>
  <si>
    <t>{4F165727-4982-EA86-8C7B-9C03125208A8}</t>
  </si>
  <si>
    <t>{C13A752B-E81B-6773-9193-E174DB4A4105}</t>
  </si>
  <si>
    <t>{C4474517-3D9B-E581-A6E2-E95273F2058E}</t>
  </si>
  <si>
    <t>{86DCABF5-76A3-68C8-9839-7AD65428395D}</t>
  </si>
  <si>
    <t>{73AB9C2C-3E11-C672-831B-8837BB6EB1AB}</t>
  </si>
  <si>
    <t>{0664FCA6-B457-E2A5-8316-E87F3664828E}</t>
  </si>
  <si>
    <t>{8EA7A1BB-7235-C18B-A5FC-AED62ECA6032}</t>
  </si>
  <si>
    <t>{8624AD73-D65C-374D-A66D-9E85D44350BD}</t>
  </si>
  <si>
    <t>{4B6CB716-5B5C-29E4-B2F9-9E94D17B4668}</t>
  </si>
  <si>
    <t>{4931D2AE-3ED7-7CD6-9562-913A83F7064B}</t>
  </si>
  <si>
    <t>{DC320263-FD9B-240C-AC57-8C8335958691}</t>
  </si>
  <si>
    <t>{83EEFD6C-F43A-05A2-8468-54C566D6BA6E}</t>
  </si>
  <si>
    <t>{A839B7E4-AD46-04FB-A948-CD18617A76EF}</t>
  </si>
  <si>
    <t>{98913402-688C-1615-A895-EC96B214BE5A}</t>
  </si>
  <si>
    <t>{C1C739EE-A0AE-0E14-AC11-8568B75169B9}</t>
  </si>
  <si>
    <t>{F495D5C3-5177-9052-9B9E-C893E599CBAB}</t>
  </si>
  <si>
    <t>{4888465F-8970-62A2-9619-B765B31D17BB}</t>
  </si>
  <si>
    <t>CVS</t>
  </si>
  <si>
    <t>YNDX</t>
  </si>
  <si>
    <t>XBI</t>
  </si>
  <si>
    <t>ADSK</t>
  </si>
  <si>
    <t>ZUO</t>
  </si>
  <si>
    <t>CRON</t>
  </si>
  <si>
    <t>CMG</t>
  </si>
  <si>
    <t>DOW</t>
  </si>
  <si>
    <t>CNC</t>
  </si>
  <si>
    <t>condor</t>
  </si>
  <si>
    <t>LP Max Value</t>
  </si>
  <si>
    <t>SC Buyback Override</t>
  </si>
  <si>
    <t>SC Buyback Point</t>
  </si>
  <si>
    <t>SC Buyback GTC Date</t>
  </si>
  <si>
    <t>SP Buyback Point</t>
  </si>
  <si>
    <t>SP Buyback GTC Date</t>
  </si>
  <si>
    <t>SC Should Buyback</t>
  </si>
  <si>
    <t>SP Buyback Override</t>
  </si>
  <si>
    <t>SP Buyback Price to Use</t>
  </si>
  <si>
    <t>ARWR</t>
  </si>
  <si>
    <t>DE</t>
  </si>
  <si>
    <t>Farm &amp; Construction Machinery</t>
  </si>
  <si>
    <t>CTVA</t>
  </si>
  <si>
    <t>DD</t>
  </si>
  <si>
    <t>BuPS</t>
  </si>
  <si>
    <t>BuCS</t>
  </si>
  <si>
    <t>GH</t>
  </si>
  <si>
    <t>BuyWrite</t>
  </si>
  <si>
    <t>CODA</t>
  </si>
  <si>
    <t>BRKS</t>
  </si>
  <si>
    <t>SPs</t>
  </si>
  <si>
    <t>Sample usage of Match/Index</t>
  </si>
  <si>
    <t>BURL</t>
  </si>
  <si>
    <t>CAT</t>
  </si>
  <si>
    <t>CCs</t>
  </si>
  <si>
    <t>BIDU</t>
  </si>
  <si>
    <t>BeCS</t>
  </si>
  <si>
    <t>Gold</t>
  </si>
  <si>
    <t>GIS</t>
  </si>
  <si>
    <t>Processed &amp; Packaged Goods</t>
  </si>
  <si>
    <t>Strangle</t>
  </si>
  <si>
    <t>ZM</t>
  </si>
  <si>
    <t>AAP</t>
  </si>
  <si>
    <t>Annual Dividend Per Share</t>
  </si>
  <si>
    <t>2./20/2020</t>
  </si>
  <si>
    <t>2/233/2020</t>
  </si>
  <si>
    <t>CPRT</t>
  </si>
  <si>
    <t>No Fill</t>
  </si>
  <si>
    <t>Position Description</t>
  </si>
  <si>
    <t>SP No Fill</t>
  </si>
  <si>
    <t>LP No Fill</t>
  </si>
  <si>
    <t>LC Not Filled</t>
  </si>
  <si>
    <t>SC Not Filled</t>
  </si>
  <si>
    <t>EWZ</t>
  </si>
  <si>
    <t>Agricultural Chemicals</t>
  </si>
  <si>
    <t>CLX</t>
  </si>
  <si>
    <t>FLT</t>
  </si>
  <si>
    <t>BMY</t>
  </si>
  <si>
    <t>LCs</t>
  </si>
  <si>
    <t>Swing</t>
  </si>
  <si>
    <t>BYND</t>
  </si>
  <si>
    <t>ABBV takeover</t>
  </si>
  <si>
    <t>*</t>
  </si>
  <si>
    <t>AEM</t>
  </si>
  <si>
    <t>ENPH</t>
  </si>
  <si>
    <t>LT</t>
  </si>
  <si>
    <t>MT</t>
  </si>
  <si>
    <t>ScrollToCol</t>
  </si>
  <si>
    <t>CCL</t>
  </si>
  <si>
    <t>WORK</t>
  </si>
  <si>
    <t>ST</t>
  </si>
  <si>
    <t>Implied Move</t>
  </si>
  <si>
    <t>IM Date</t>
  </si>
  <si>
    <t>IM Lower Bound</t>
  </si>
  <si>
    <t>IM Upper Bound</t>
  </si>
  <si>
    <t>AllSymbols</t>
  </si>
  <si>
    <t>Show everything, simulate Symbol=UI_ALL</t>
  </si>
  <si>
    <t>{B1776455-1E23-4D13-8583-F1AA4A38F0C6}</t>
  </si>
  <si>
    <t>All Symbols</t>
  </si>
  <si>
    <t>CODX</t>
  </si>
  <si>
    <t>Diagnostics &amp; Research</t>
  </si>
  <si>
    <t>Z</t>
  </si>
  <si>
    <t>Communication Services</t>
  </si>
  <si>
    <t>Internet Content &amp; Information</t>
  </si>
  <si>
    <t>DKNG</t>
  </si>
  <si>
    <t>Consumer Cyclical</t>
  </si>
  <si>
    <t>Travel Services</t>
  </si>
  <si>
    <t>DOCU</t>
  </si>
  <si>
    <t>Software - Application</t>
  </si>
  <si>
    <t>Semiconductors</t>
  </si>
  <si>
    <t>{6FB33F74-E7C7-4910-962B-B833AC82E8BE}</t>
  </si>
  <si>
    <t>{1BA783CE-7AF3-4306-8F08-6854743B1D17}</t>
  </si>
  <si>
    <t>{7DAA12AF-5BCA-42C2-9DE2-CB0D378BEAF2}</t>
  </si>
  <si>
    <t>{5955B11D-F29C-487D-918B-2B3004854B73}</t>
  </si>
  <si>
    <t>{63689E7E-E462-4BCB-BDB7-96B3D19B15BF}</t>
  </si>
  <si>
    <t>{2598AB40-AF9D-431E-AC06-E844DA0F563E}</t>
  </si>
  <si>
    <t>{8E1B1B2D-57E6-43FC-B0F5-93541A980C17}</t>
  </si>
  <si>
    <t>{282DDDD3-9E4F-437E-AE58-5BE6210C02E3}</t>
  </si>
  <si>
    <t>{2FB09869-DBF3-4E28-872B-C3585AFD2F67}</t>
  </si>
  <si>
    <t>{BEC209B9-BBCA-40CA-8441-A8723485632F}</t>
  </si>
  <si>
    <t>{42C737A1-3D2E-44D6-AF7D-D84606B15ED2}</t>
  </si>
  <si>
    <t>{823949A0-9E8B-48C6-91C5-1009C20DB64E}</t>
  </si>
  <si>
    <t>{71E300A2-5687-4B14-A62E-A87823414EDB}</t>
  </si>
  <si>
    <t>{27EAF4E1-EF9F-462F-9B0A-38D968424E38}</t>
  </si>
  <si>
    <t>{A7F1FC24-F58D-4086-8DAF-411A6BA77975}</t>
  </si>
  <si>
    <t>{D6A35841-14E7-458E-8FB9-714E12465E6A}</t>
  </si>
  <si>
    <t>{CAEACB77-850F-4D60-95E8-CC22F144E4D9}</t>
  </si>
  <si>
    <t>{40DED7F4-898A-43BF-84BE-747181E0235A}</t>
  </si>
  <si>
    <t>{938E10F5-75AD-4E62-A96E-7EBDED124E18}</t>
  </si>
  <si>
    <t>{53606FE8-5E18-4E76-B8E4-5E14C3EB7BF0}</t>
  </si>
  <si>
    <t>{80D290A3-419D-4202-850C-484E3D0F82CD}</t>
  </si>
  <si>
    <t>{AF6FA183-A7A4-421A-A675-08B218E3866A}</t>
  </si>
  <si>
    <t>{486E9EC1-1D7A-417B-B2A6-60ED729CBB41}</t>
  </si>
  <si>
    <t>{37ABFC74-0411-4D6C-BB17-CA5DFB91336B}</t>
  </si>
  <si>
    <t>{3550435D-00A9-4C21-8103-D8D6BFD4D11E}</t>
  </si>
  <si>
    <t>{D98CD9BF-0A17-4956-9D9D-B2D9AA7E04B5}</t>
  </si>
  <si>
    <t>{34A0AF90-4F48-495C-A731-27593AC5121C}</t>
  </si>
  <si>
    <t>{463B724E-EB01-4CD8-A1D6-1712C439CE40}</t>
  </si>
  <si>
    <t>{18876C20-7EA5-4128-B552-EE41F6931471}</t>
  </si>
  <si>
    <t>{B329405F-AC8A-472C-8138-461C42E5139D}</t>
  </si>
  <si>
    <t>{1BD537D8-8B51-422C-9EEB-831D596D6D93}</t>
  </si>
  <si>
    <t>{B18F52FE-E6CB-4DEB-8B97-EB3BD3022B03}</t>
  </si>
  <si>
    <t>{FFD6580A-D07A-4413-8C5A-5FF0EC144786}</t>
  </si>
  <si>
    <t>{BB73E22F-F876-4322-B779-53F15CEF6579}</t>
  </si>
  <si>
    <t>{9CBDF77F-E3E6-4FEC-BD9A-B33E19BDDA6E}</t>
  </si>
  <si>
    <t>{BC2C8657-E661-4FCB-B61A-5AE8CE54F012}</t>
  </si>
  <si>
    <t>{2F28B7FF-1C27-4CFB-AE14-87A6341A3CC5}</t>
  </si>
  <si>
    <t>{A9094A24-723C-4ED5-9846-F80383292398}</t>
  </si>
  <si>
    <t>{80C268A5-3249-4683-8EB5-8062F99754DA}</t>
  </si>
  <si>
    <t>{662A9CC1-A939-4A1C-9DE2-3E2550A89066}</t>
  </si>
  <si>
    <t>{141495B3-F3C7-4FC7-AD66-8EDDF1A82B7E}</t>
  </si>
  <si>
    <t>{7671341B-9B64-4FF3-B864-B0546904CCD5}</t>
  </si>
  <si>
    <t>{311E0B8B-81BD-40B8-81C4-D5C5E1BAB6E9}</t>
  </si>
  <si>
    <t>{4A731E44-4F2B-4561-912E-BD0220CFAE6D}</t>
  </si>
  <si>
    <t>{6E07AF3B-33E1-4BED-8E7D-98B27ED6EB22}</t>
  </si>
  <si>
    <t>{8CE45186-8D96-4B2E-B729-556BB99CE679}</t>
  </si>
  <si>
    <t>{B2212D8D-E00F-46D2-941D-A6E6530FBC13}</t>
  </si>
  <si>
    <t>{D29F65EB-7146-4C31-AF59-7BAC7E15E814}</t>
  </si>
  <si>
    <t>{AED795D5-2E25-4180-A8C0-B5134F39EF1B}</t>
  </si>
  <si>
    <t>{3065901B-0E6A-4B5B-9C22-C090FF560A70}</t>
  </si>
  <si>
    <t>{E59D9FE5-220D-4884-9455-EAAC127F89FD}</t>
  </si>
  <si>
    <t>{654C2FCB-9A05-47F2-90C8-C8F4390EF8B3}</t>
  </si>
  <si>
    <t>{5F6927B9-1611-4D3F-819A-DDAD55F0BEF3}</t>
  </si>
  <si>
    <t>{1B78C132-DDDC-42BB-BF3A-0E6EBA0B6893}</t>
  </si>
  <si>
    <t>{C52D6780-B6F3-471F-98A0-CF29B611B2E2}</t>
  </si>
  <si>
    <t>{1C90A2CC-E3C1-45F4-8BC4-B5B6B87DFFCB}</t>
  </si>
  <si>
    <t>{D356279B-CBDB-4B63-8619-D6CF3150F3F0}</t>
  </si>
  <si>
    <t>{9EFF860A-7DEB-463C-9634-31FD817552E2}</t>
  </si>
  <si>
    <t>{FF8D6851-C9D1-4A34-A61E-57C2B3C02FB8}</t>
  </si>
  <si>
    <t>{B0B975CA-30DF-4F94-B0DC-C330BF1528F7}</t>
  </si>
  <si>
    <t>{584F06BA-38CE-42AA-B963-A3A3972E09DF}</t>
  </si>
  <si>
    <t>{180656A5-1233-46B2-809B-B299554CCAF6}</t>
  </si>
  <si>
    <t>{330D127F-6D8A-49DB-ACE2-CBDADB741FE2}</t>
  </si>
  <si>
    <t>{1E6F7740-2382-42CE-B896-95050ACE1FB7}</t>
  </si>
  <si>
    <t>{2A9DFBEE-BC6A-438C-AEAB-F1993571D7B9}</t>
  </si>
  <si>
    <t>{62A8D1D0-33DD-40D2-8C18-E3996457DCC8}</t>
  </si>
  <si>
    <t>{EDE1BA6A-3E26-4927-82D1-7044C9071370}</t>
  </si>
  <si>
    <t>{B3807DBE-DE4E-49DA-83BC-FDD096F6BCAE}</t>
  </si>
  <si>
    <t>{CD9EA3DD-405D-4CD5-98D3-770DB88310F9}</t>
  </si>
  <si>
    <t>{B68688BA-6836-410F-B149-B50F5277E13C}</t>
  </si>
  <si>
    <t>{6F3DA2A1-7582-449C-A05C-EBB7DFB51C37}</t>
  </si>
  <si>
    <t>{D21C173B-7C49-427B-9272-774348ED745C}</t>
  </si>
  <si>
    <t>{4CDE1ECA-25E8-44C7-8580-2F382B44BF54}</t>
  </si>
  <si>
    <t>{CB65D80B-663A-4E5D-8F9D-EEB0023565D1}</t>
  </si>
  <si>
    <t>{76EF5D98-4C65-4C26-B19C-591F67CCA617}</t>
  </si>
  <si>
    <t>{E27BEF32-055E-4A03-A943-9A51C1B9A2F6}</t>
  </si>
  <si>
    <t>{9F3004D3-2C40-487D-A2D3-E48EFE525E23}</t>
  </si>
  <si>
    <t>{89F3C79D-1D98-495C-BAD2-1B087BFD287F}</t>
  </si>
  <si>
    <t>{26C62638-5CE9-480F-A27A-C442B6F0D57C}</t>
  </si>
  <si>
    <t>{F0D0512F-62FC-4950-99B9-F45F95A6EA53}</t>
  </si>
  <si>
    <t>{AA037B2F-0D25-4B86-939D-98DC80ACEAC2}</t>
  </si>
  <si>
    <t>{1D72F8E7-72EC-4490-9B7D-34054A061033}</t>
  </si>
  <si>
    <t>{820E9F3B-4E92-4D9A-B36B-A44FEC2883C5}</t>
  </si>
  <si>
    <t>{DCDF9AE0-FAAB-408A-AFAF-61200767F17C}</t>
  </si>
  <si>
    <t>{38E8E17B-AB36-49B0-8BE1-E3578416434F}</t>
  </si>
  <si>
    <t>{DE785C8F-02BA-4F49-ACAF-6F73F05A4D76}</t>
  </si>
  <si>
    <t>{5D1CF3B1-946A-4B8A-8ACA-CBB093E487F6}</t>
  </si>
  <si>
    <t>{882F57CA-158B-41B1-B78B-45F7FA03D986}</t>
  </si>
  <si>
    <t>{3E4C95F2-6E29-4171-935C-FC0AD84DA4BD}</t>
  </si>
  <si>
    <t>{DDC9D136-72F8-4940-9C95-0336B02D0EA5}</t>
  </si>
  <si>
    <t>{AFD82012-55BE-46EB-BA7E-C5382C69D050}</t>
  </si>
  <si>
    <t>{ADDC6BC6-E2D6-4436-96A8-4511B5213E18}</t>
  </si>
  <si>
    <t>{D3411823-5E16-4528-9AB4-BC120FC1F84C}</t>
  </si>
  <si>
    <t>{DC1B80EC-0528-4862-9611-0CF4B52F570A}</t>
  </si>
  <si>
    <t>{64AF0BD7-B6C8-4FAF-BD32-28A9E237DFCE}</t>
  </si>
  <si>
    <t>{E871EC27-4B25-497F-AC56-5D1335B58138}</t>
  </si>
  <si>
    <t>{41373C92-A821-48A0-B4E3-66456895501F}</t>
  </si>
  <si>
    <t>{53858FC8-5301-444C-A574-31C8DA7F105D}</t>
  </si>
  <si>
    <t>{A18190CB-1000-4646-A354-3B0CA558F520}</t>
  </si>
  <si>
    <t>{951630D9-6DA4-4C4A-B8F7-7D37DAC65849}</t>
  </si>
  <si>
    <t>{5A3E5B99-14F3-477C-A8CB-79A396E3B1A3}</t>
  </si>
  <si>
    <t>{3B02850D-6B29-4A1A-A6CD-B74B1ED69C11}</t>
  </si>
  <si>
    <t>{98825FA2-148B-454C-BC2B-86BF99AA5F92}</t>
  </si>
  <si>
    <t>{607B67BC-A431-464A-838F-D27DFC8DB4BB}</t>
  </si>
  <si>
    <t>{AF4CCB4E-80DB-4638-9773-88B68020A2AB}</t>
  </si>
  <si>
    <t>{A264BA4A-4DB3-437B-AC26-0AE55E0F1A8D}</t>
  </si>
  <si>
    <t>{A43965DD-60CA-41F4-BBA3-674716E1B326}</t>
  </si>
  <si>
    <t>{58ACF3D6-B512-4548-9C4C-9240EAFA5161}</t>
  </si>
  <si>
    <t>{66221A37-53A7-4B26-B95E-68CF763B5BE8}</t>
  </si>
  <si>
    <t>{D09D7D74-3432-48E7-BCE6-91D1B46CA895}</t>
  </si>
  <si>
    <t>{4E831A2F-1446-406E-A549-15D3D10D1C74}</t>
  </si>
  <si>
    <t>{30069EA6-7C6A-49DC-A2DB-1095EFC9DDE8}</t>
  </si>
  <si>
    <t>{8DFB5D95-3A80-492C-AFB8-93DFD8ACD79E}</t>
  </si>
  <si>
    <t>{456FBE52-85CA-4A47-93DD-4C3ABD3695BF}</t>
  </si>
  <si>
    <t>{E8417F80-F8A5-4792-9E0E-C87C9D372818}</t>
  </si>
  <si>
    <t>{69B5DD53-AC03-4613-B55D-AE8EC0494241}</t>
  </si>
  <si>
    <t>{CFC5EA32-6373-4358-BE09-E765FC1AB4F8}</t>
  </si>
  <si>
    <t>{20D1FF43-8A60-43B2-89B2-124D7350A485}</t>
  </si>
  <si>
    <t>{37E48C14-3372-4164-BF19-0790C8607E6A}</t>
  </si>
  <si>
    <t>{3858ABAB-2D02-4ACA-B3AF-E89E3BA4B337}</t>
  </si>
  <si>
    <t>{6CA8D63A-B394-4F6A-B152-E4EA891C42B5}</t>
  </si>
  <si>
    <t>{2414E342-B46D-4C81-BC84-ECDED2520930}</t>
  </si>
  <si>
    <t>{A590B76C-447D-4A93-8B88-8A614E7C8DDD}</t>
  </si>
  <si>
    <t>{D33698C9-60B3-4CB3-BC06-A50D0547ECF9}</t>
  </si>
  <si>
    <t>{86881B99-0901-4FE6-AFAA-F6929A73B44C}</t>
  </si>
  <si>
    <t>{9B36A4E4-8304-451B-90E8-E4832F0F18E8}</t>
  </si>
  <si>
    <t>Leisure</t>
  </si>
  <si>
    <t>LC Stop %</t>
  </si>
  <si>
    <t>LC Break Even</t>
  </si>
  <si>
    <t>CoveredCall_Available</t>
  </si>
  <si>
    <t>Potential Covered Call Candidates</t>
  </si>
  <si>
    <t>Consumer Defensive</t>
  </si>
  <si>
    <t>Energy</t>
  </si>
  <si>
    <t>SP Unfilled Potential Spend</t>
  </si>
  <si>
    <t>All positions with naked puts in place, plus CASH on hand (includes Unfilled orders)</t>
  </si>
  <si>
    <t>{7E32722E-981C-4B16-BD45-B50ACFA6A23F}</t>
  </si>
  <si>
    <t>Diagonal</t>
  </si>
  <si>
    <t>GTC</t>
  </si>
  <si>
    <t>SP Strike Based Stop Loss</t>
  </si>
  <si>
    <t>SP Option Based Stop Loss</t>
  </si>
  <si>
    <t>SP Strike  Stop Per Share</t>
  </si>
  <si>
    <t>SP Option  Stop Contract</t>
  </si>
  <si>
    <t>SP Option  Stop Total</t>
  </si>
  <si>
    <t>SP Total Value</t>
  </si>
  <si>
    <t>SP Buyback Cutoff</t>
  </si>
  <si>
    <t>Exp %</t>
  </si>
  <si>
    <t>SC Buy Back Cutoff</t>
  </si>
  <si>
    <t>Eliquis patent decision</t>
  </si>
  <si>
    <t>CL</t>
  </si>
  <si>
    <t>Household &amp; Personal Products</t>
  </si>
  <si>
    <t>Software - Infrastructure</t>
  </si>
  <si>
    <t>SGEN</t>
  </si>
  <si>
    <t>Packaged Foods</t>
  </si>
  <si>
    <t>SP Gain Loss</t>
  </si>
  <si>
    <t>SP Pct Earned</t>
  </si>
  <si>
    <t>SC Gain Loss</t>
  </si>
  <si>
    <t>SC Pct Earned</t>
  </si>
  <si>
    <t>SC Time Value Closing Pct</t>
  </si>
  <si>
    <t>Time Value Portfolio Threshhold Pct</t>
  </si>
  <si>
    <t>Short Call Earned Value Threshhold Pct</t>
  </si>
  <si>
    <t>CORE</t>
  </si>
  <si>
    <t>LC Next Target</t>
  </si>
  <si>
    <t>LC Target Gross</t>
  </si>
  <si>
    <t>LC Stop Loss Calc Target</t>
  </si>
  <si>
    <t>LC Stop  To Use</t>
  </si>
  <si>
    <t>LC Stop Loss Amount</t>
  </si>
  <si>
    <t>SC Intrinsic Value</t>
  </si>
  <si>
    <t>Equity Shares</t>
  </si>
  <si>
    <t>Equity Basis Total</t>
  </si>
  <si>
    <t>Equity Basis Per Share</t>
  </si>
  <si>
    <t>Equity Value</t>
  </si>
  <si>
    <t>Equity G/L</t>
  </si>
  <si>
    <t>Equity ROI</t>
  </si>
  <si>
    <t>Equity Target</t>
  </si>
  <si>
    <t>Equity Stop Loss</t>
  </si>
  <si>
    <t>Equity Max Gain Per Share</t>
  </si>
  <si>
    <t>Equity Max Loss Per Share</t>
  </si>
  <si>
    <t>Risk Reward</t>
  </si>
  <si>
    <t>Equity Max Profit</t>
  </si>
  <si>
    <t>Equity Max Risk</t>
  </si>
  <si>
    <t>Industrials</t>
  </si>
  <si>
    <t>IND</t>
  </si>
  <si>
    <t>Available</t>
  </si>
  <si>
    <t>CASH on hand</t>
  </si>
  <si>
    <t>Reserve</t>
  </si>
  <si>
    <t>LC Stop Loss Override</t>
  </si>
  <si>
    <t>LC Stop Gain Loss</t>
  </si>
  <si>
    <t>LC Total Value</t>
  </si>
  <si>
    <t>LC Target Gain Loss</t>
  </si>
  <si>
    <t>LC Next Review Date</t>
  </si>
  <si>
    <t>Real Estate</t>
  </si>
  <si>
    <t>Goal</t>
  </si>
  <si>
    <t>Prem</t>
  </si>
  <si>
    <t>LC Target ROI</t>
  </si>
  <si>
    <t>LC  Stop ROI</t>
  </si>
  <si>
    <t>LC Actual Gain Loss</t>
  </si>
  <si>
    <t>LC Actual ROI</t>
  </si>
  <si>
    <t>SP Should Buyback</t>
  </si>
  <si>
    <t>Online Betting</t>
  </si>
  <si>
    <t>Gambling</t>
  </si>
  <si>
    <t>YETI</t>
  </si>
  <si>
    <t>BLDR</t>
  </si>
  <si>
    <t>Internet Retail</t>
  </si>
  <si>
    <t>Auto Manufacturers</t>
  </si>
  <si>
    <t>Medical Devices</t>
  </si>
  <si>
    <t>Specialty Retail</t>
  </si>
  <si>
    <t>Building Products &amp; Equipment</t>
  </si>
  <si>
    <t>LEN</t>
  </si>
  <si>
    <t>Residential Construction</t>
  </si>
  <si>
    <t>Any position with exposure</t>
  </si>
  <si>
    <t>SC Bid TIF</t>
  </si>
  <si>
    <t>DDOG</t>
  </si>
  <si>
    <t>WKHS</t>
  </si>
  <si>
    <t>Consumer Electronics</t>
  </si>
  <si>
    <t>Electrical Equipment &amp; Parts</t>
  </si>
  <si>
    <t>Equity Exposure</t>
  </si>
  <si>
    <t>All positions that have equity expose</t>
  </si>
  <si>
    <t>{5FD8CE26-A502-43FA-B125-63DD61E29028}</t>
  </si>
  <si>
    <t>{6D09818A-917B-424D-9886-A23B52E166C1}</t>
  </si>
  <si>
    <t>{C8E28B7E-4E7C-4B57-BCB2-177572EC24B7}</t>
  </si>
  <si>
    <t>{FA632C37-6603-4CCC-B8E0-3CBCEB4F1DC7}</t>
  </si>
  <si>
    <t>SP Stop Override</t>
  </si>
  <si>
    <t>SP Stop To Use</t>
  </si>
  <si>
    <t>SP Stop Loss</t>
  </si>
  <si>
    <t>Short Put Stops</t>
  </si>
  <si>
    <t>SP Strike  Stop  Max Loss</t>
  </si>
  <si>
    <t>EL</t>
  </si>
  <si>
    <t>FTCH</t>
  </si>
  <si>
    <t>Shell Companies</t>
  </si>
  <si>
    <t>AA</t>
  </si>
  <si>
    <t>ACB</t>
  </si>
  <si>
    <t>Drug Manufacturers - Specialty &amp; Generic</t>
  </si>
  <si>
    <t>FOCS</t>
  </si>
  <si>
    <t>Capital Markets</t>
  </si>
  <si>
    <t>ANGI</t>
  </si>
  <si>
    <t>LAZR</t>
  </si>
  <si>
    <t>Beverages - Non-Alcoholic</t>
  </si>
  <si>
    <t>Drug Manufacturers - General</t>
  </si>
  <si>
    <t>Banks - Diversified</t>
  </si>
  <si>
    <t>Auto &amp; Truck Dealerships</t>
  </si>
  <si>
    <t>Utilities - Regulated Electric</t>
  </si>
  <si>
    <t>Entertainment</t>
  </si>
  <si>
    <t>XHB</t>
  </si>
  <si>
    <t>AXTA</t>
  </si>
  <si>
    <t>Specialty Chemicals</t>
  </si>
  <si>
    <t>GBTC</t>
  </si>
  <si>
    <t>Crypto</t>
  </si>
  <si>
    <t>FCEL</t>
  </si>
  <si>
    <t>BRK.B</t>
  </si>
  <si>
    <t>Insurance - Diversified</t>
  </si>
  <si>
    <t>CC</t>
  </si>
  <si>
    <t>Computer Hardware</t>
  </si>
  <si>
    <t>SP POW</t>
  </si>
  <si>
    <t>SP Cash Reserve</t>
  </si>
  <si>
    <t>GME</t>
  </si>
  <si>
    <t>BLNK</t>
  </si>
  <si>
    <t>Real Estate Services</t>
  </si>
  <si>
    <t>FROG</t>
  </si>
  <si>
    <t>CHWY</t>
  </si>
  <si>
    <t>Stock 6.83</t>
  </si>
  <si>
    <t>To Do</t>
  </si>
  <si>
    <t>roll up?</t>
  </si>
  <si>
    <t>WPM</t>
  </si>
  <si>
    <t>Aerospace &amp; Defense</t>
  </si>
  <si>
    <t>CRWD</t>
  </si>
  <si>
    <t>ER</t>
  </si>
  <si>
    <t>Oil &amp; Gas E&amp;P</t>
  </si>
  <si>
    <t>CZR</t>
  </si>
  <si>
    <t>ZS</t>
  </si>
  <si>
    <t>SC Max ROO</t>
  </si>
  <si>
    <t>SC P&amp;L Analysis</t>
  </si>
  <si>
    <t>Expected Move</t>
  </si>
  <si>
    <t>X</t>
  </si>
  <si>
    <t>Steel</t>
  </si>
  <si>
    <t>MU</t>
  </si>
  <si>
    <t>ETH</t>
  </si>
  <si>
    <t>Furnishings, Fixtures &amp; Appliances</t>
  </si>
  <si>
    <t>COIN</t>
  </si>
  <si>
    <t>Wk $37.50</t>
  </si>
  <si>
    <t>XLV</t>
  </si>
  <si>
    <t>BuPS also</t>
  </si>
  <si>
    <t>SC Annual ROO</t>
  </si>
  <si>
    <t>SP Break Even</t>
  </si>
  <si>
    <t>GOGO</t>
  </si>
  <si>
    <t>YELP</t>
  </si>
  <si>
    <t>Telecom Services</t>
  </si>
  <si>
    <t>EBF Target</t>
  </si>
  <si>
    <t>GTC Expires Jul-2</t>
  </si>
  <si>
    <t>GRWG</t>
  </si>
  <si>
    <t>Home Improvement Retail</t>
  </si>
  <si>
    <t>{07/03/21 @ 08:25 AM}: 
41.6</t>
  </si>
  <si>
    <t>SC Max Dollars</t>
  </si>
  <si>
    <t>SP Annual ROO</t>
  </si>
  <si>
    <t>Dump %</t>
  </si>
  <si>
    <t>GNRC</t>
  </si>
  <si>
    <t>Specialty Industrial Machinery</t>
  </si>
  <si>
    <t>Ids 4/5</t>
  </si>
  <si>
    <t>AFRM</t>
  </si>
  <si>
    <t>DEN</t>
  </si>
  <si>
    <t>FUBO</t>
  </si>
  <si>
    <t>Broadcasting</t>
  </si>
  <si>
    <t>SC Upside Potential</t>
  </si>
  <si>
    <t>LCID</t>
  </si>
  <si>
    <t>{63F05D95-E0E2-4096-900B-9BC47E8C48DC}</t>
  </si>
  <si>
    <t>{2B2DE5DF-1094-421D-BFC2-5DE23168F5FD}</t>
  </si>
  <si>
    <t>{BB549F43-26B8-4DDC-A210-1139E6482E1E}</t>
  </si>
  <si>
    <t>{A3855D45-5D09-40C2-9837-DAC3CB9F84D0}</t>
  </si>
  <si>
    <t>{774CA4D8-DE6F-4B78-AF4A-F6DEA3900055}</t>
  </si>
  <si>
    <t>{0940800E-8051-47BC-87FE-06057DAA9B2D}</t>
  </si>
  <si>
    <t>{A769CD2C-BBFB-4AF8-9A47-8A613340E2F9}</t>
  </si>
  <si>
    <t>BTU</t>
  </si>
  <si>
    <t>Thermal Coal</t>
  </si>
  <si>
    <t>Lottery</t>
  </si>
  <si>
    <t>CLF</t>
  </si>
  <si>
    <t>Uranium</t>
  </si>
  <si>
    <t>DVA</t>
  </si>
  <si>
    <t>Medical Care Facilities</t>
  </si>
  <si>
    <t>GOGL</t>
  </si>
  <si>
    <t>Marine Shipping</t>
  </si>
  <si>
    <t>WEAT</t>
  </si>
  <si>
    <t>EGLE</t>
  </si>
  <si>
    <t>Oil &amp; Gas Integrated</t>
  </si>
  <si>
    <t>Oil &amp; Gas Midstream</t>
  </si>
  <si>
    <t>DQ</t>
  </si>
  <si>
    <t>ABNB</t>
  </si>
  <si>
    <t>Metal Fabrication</t>
  </si>
  <si>
    <t>Electronic Gaming &amp; Multimedia</t>
  </si>
  <si>
    <t>GFS</t>
  </si>
  <si>
    <t>{0AEF0458-4962-42DD-A718-77308CF6D20C}</t>
  </si>
  <si>
    <t>BOIL</t>
  </si>
  <si>
    <t>DIA</t>
  </si>
  <si>
    <t>{4388D3DB-142B-4022-9583-6A2ED61222AD}</t>
  </si>
  <si>
    <t>{19D2BAA8-EA6E-4C13-A4D3-CC2B70BCF6E0}</t>
  </si>
  <si>
    <t>{087D3E63-CFBE-48EC-844E-B6545AB987FF}</t>
  </si>
  <si>
    <t>{A397172B-EFC7-420A-AD29-B0DBFFF5C2A5}</t>
  </si>
  <si>
    <t>GUSH</t>
  </si>
  <si>
    <t>BITO</t>
  </si>
  <si>
    <t>DIS</t>
  </si>
  <si>
    <t>DWAC</t>
  </si>
  <si>
    <t>StopOut</t>
  </si>
  <si>
    <t>PutsLong</t>
  </si>
  <si>
    <t>Roll OUT</t>
  </si>
  <si>
    <t>BKNG</t>
  </si>
  <si>
    <t>Wheel</t>
  </si>
  <si>
    <t>CROX</t>
  </si>
  <si>
    <t>Footwear &amp; Accessories</t>
  </si>
  <si>
    <t>AI</t>
  </si>
  <si>
    <t>ANET</t>
  </si>
  <si>
    <t>UpperLeg</t>
  </si>
  <si>
    <t>LowerLeg</t>
  </si>
  <si>
    <t>LP Protection</t>
  </si>
  <si>
    <t>SC Upside Pct</t>
  </si>
  <si>
    <t>SC Downside Protect</t>
  </si>
  <si>
    <t>SC Downside Pct</t>
  </si>
  <si>
    <t>Min Premium</t>
  </si>
  <si>
    <t>ARKK</t>
  </si>
  <si>
    <t>NakedPutsUnmatched</t>
  </si>
  <si>
    <t>All long put positions without a hedged short put</t>
  </si>
  <si>
    <t>{DAF6C854-5F7F-4BB3-B7D7-028FA8AFFD34}</t>
  </si>
  <si>
    <t>NakedPuts Unwritten With Long Puts</t>
  </si>
  <si>
    <t>{A26DE9E4-09A7-4547-9DE3-116DE3873C8A}</t>
  </si>
  <si>
    <t>day</t>
  </si>
  <si>
    <t>week</t>
  </si>
  <si>
    <t>month</t>
  </si>
  <si>
    <t>year</t>
  </si>
  <si>
    <t>SC Basis</t>
  </si>
  <si>
    <t>SC Current Delta</t>
  </si>
  <si>
    <t>SC Current Ask</t>
  </si>
  <si>
    <t>SC Fill Delta</t>
  </si>
  <si>
    <t>SC Current Value</t>
  </si>
  <si>
    <t>SP Current Delta</t>
  </si>
  <si>
    <t>CPB</t>
  </si>
  <si>
    <t>{1DEAE4DB-DE91-48FB-8144-94E8255E5037}</t>
  </si>
  <si>
    <t>{6EEDBEBB-2618-42F9-B105-921760D0F935}</t>
  </si>
  <si>
    <t>{7C470A51-6B87-49F5-9B36-032BFDB84613}</t>
  </si>
  <si>
    <t>{6B7CCFBA-998E-438E-B0FE-8675FF84F990}</t>
  </si>
  <si>
    <t>{C081F489-44A7-40A0-A4CB-B6C714459884}</t>
  </si>
  <si>
    <t>{A854D714-D429-469D-8C7F-F9DD710A7B60}</t>
  </si>
  <si>
    <t>{BB2CA8D1-0D68-4177-8837-55668A7B5EDF}</t>
  </si>
  <si>
    <t>SP Current Ask</t>
  </si>
  <si>
    <t>SP LPs</t>
  </si>
  <si>
    <t>DT</t>
  </si>
  <si>
    <t>ACLS</t>
  </si>
  <si>
    <t>SP Fill Delta</t>
  </si>
  <si>
    <t>FSLY</t>
  </si>
  <si>
    <t>COP</t>
  </si>
  <si>
    <t>WFRD</t>
  </si>
  <si>
    <t>Share Liquidation</t>
  </si>
  <si>
    <t>EquityOnly</t>
  </si>
  <si>
    <t>Farm &amp; Heavy Construction Machinery</t>
  </si>
  <si>
    <t>SYD</t>
  </si>
  <si>
    <t>ExpirationDays</t>
  </si>
  <si>
    <t>IBKR</t>
  </si>
  <si>
    <t>EXPIRE</t>
  </si>
  <si>
    <t>MAX LOSS COMING</t>
  </si>
  <si>
    <t>SP DTE</t>
  </si>
  <si>
    <t>CCRRF</t>
  </si>
  <si>
    <t>Talc</t>
  </si>
  <si>
    <t>{058CCA02-214F-4412-A330-004302838D96}</t>
  </si>
  <si>
    <t>EGO</t>
  </si>
  <si>
    <t>BePS</t>
  </si>
  <si>
    <t>SC Exercise P&amp;L (TAX)</t>
  </si>
  <si>
    <t>DELL</t>
  </si>
  <si>
    <t>SC DTE</t>
  </si>
  <si>
    <t>SP Term</t>
  </si>
  <si>
    <t>LP Term</t>
  </si>
  <si>
    <t>LP DTE</t>
  </si>
  <si>
    <t>LC Term</t>
  </si>
  <si>
    <t>LC DTE</t>
  </si>
  <si>
    <t>ARM</t>
  </si>
  <si>
    <t>WILL CALL</t>
  </si>
  <si>
    <t>OKLO</t>
  </si>
  <si>
    <t>Regulated Electric</t>
  </si>
  <si>
    <t>Upside Target</t>
  </si>
  <si>
    <t>CLSK</t>
  </si>
  <si>
    <t>SC Bid TIF2</t>
  </si>
  <si>
    <t>SP Bid TIF</t>
  </si>
  <si>
    <t>CWST</t>
  </si>
  <si>
    <t>SP Buyback Cost to Close</t>
  </si>
  <si>
    <t>{AAF09123-8F9B-4357-85AC-6D269741EB07}</t>
  </si>
  <si>
    <t>COMP</t>
  </si>
  <si>
    <t>EXEL</t>
  </si>
  <si>
    <t>Industrals</t>
  </si>
  <si>
    <t>ConvSpr</t>
  </si>
  <si>
    <t>ASC</t>
  </si>
  <si>
    <t>GDX</t>
  </si>
  <si>
    <t>WULF</t>
  </si>
  <si>
    <t>WULF_2</t>
  </si>
  <si>
    <t>tax loss?</t>
  </si>
  <si>
    <t>{ACD78BBA-629A-4951-8CE7-29B0E1517072}</t>
  </si>
  <si>
    <t xml:space="preserve"> . </t>
  </si>
  <si>
    <t>LC Cost To Exercise</t>
  </si>
  <si>
    <t>$AW$8:$AZ$8</t>
  </si>
  <si>
    <t>$AL$8:$AN$8</t>
  </si>
  <si>
    <t>$AC$8:$AG$8</t>
  </si>
  <si>
    <t>$P$8:$AA$8</t>
  </si>
  <si>
    <t>$M$8:$N$8</t>
  </si>
  <si>
    <t>$H$8:$K$8</t>
  </si>
  <si>
    <t>$F$8</t>
  </si>
  <si>
    <t>ASTS</t>
  </si>
  <si>
    <t>LLC</t>
  </si>
  <si>
    <t>BB</t>
  </si>
  <si>
    <t>DEFT_1</t>
  </si>
  <si>
    <t>SC Current Cost To Close</t>
  </si>
  <si>
    <t>SP ROO Term</t>
  </si>
  <si>
    <t>AG</t>
  </si>
  <si>
    <t>DNN</t>
  </si>
  <si>
    <t>Chat GBT</t>
  </si>
  <si>
    <t>DECK</t>
  </si>
  <si>
    <t>Special Industrial Machinary</t>
  </si>
  <si>
    <t>CVX</t>
  </si>
  <si>
    <t>$EJ$8:$FZ$8</t>
  </si>
  <si>
    <t>$FS$8:$FY$8</t>
  </si>
  <si>
    <t>$BQ$8:$DF$8</t>
  </si>
  <si>
    <t>$CX$8:$DC$8</t>
  </si>
  <si>
    <t>$BD$8:$BO$8</t>
  </si>
  <si>
    <t>$AI$8:$BB$8</t>
  </si>
  <si>
    <t>SC Exercise Oppty Cost</t>
  </si>
  <si>
    <t>DEFT_2</t>
  </si>
  <si>
    <t>$DH$8:$EG$8</t>
  </si>
  <si>
    <t>AGX</t>
  </si>
  <si>
    <t>Engineering &amp; Construction</t>
  </si>
  <si>
    <t>TGEN</t>
  </si>
  <si>
    <t>DVN</t>
  </si>
  <si>
    <t>LGDTF</t>
  </si>
  <si>
    <t>AETUF</t>
  </si>
  <si>
    <t>LEU</t>
  </si>
  <si>
    <t>CRWV</t>
  </si>
  <si>
    <t>BTG_2</t>
  </si>
  <si>
    <t>152 &gt;= SC's</t>
  </si>
  <si>
    <t>{D69D2DDF-123D-4FAB-B22B-18A698ACEA33}</t>
  </si>
  <si>
    <t>BTG_3</t>
  </si>
  <si>
    <t>{50E1D342-378B-494E-8E67-BCA9C2F2BE77}</t>
  </si>
  <si>
    <t>IREN</t>
  </si>
  <si>
    <t>CPRX</t>
  </si>
  <si>
    <t>CLPT</t>
  </si>
  <si>
    <t>Health Care Equipment &amp; Supplies</t>
  </si>
  <si>
    <t>SOFI_6</t>
  </si>
  <si>
    <t>NAK</t>
  </si>
  <si>
    <t>ONDS_3</t>
  </si>
  <si>
    <t>INFQ_2</t>
  </si>
  <si>
    <t>NFLX</t>
  </si>
  <si>
    <t>SMR_2</t>
  </si>
  <si>
    <t>AMPX</t>
  </si>
  <si>
    <t>OSLO</t>
  </si>
  <si>
    <t>FIADH</t>
  </si>
  <si>
    <t>LULU_7</t>
  </si>
  <si>
    <t>TSM</t>
  </si>
  <si>
    <t>UUUU_3.1</t>
  </si>
  <si>
    <t>UUUU_3.2</t>
  </si>
  <si>
    <t>DRAM</t>
  </si>
  <si>
    <t>$GM$8:$GT$8</t>
  </si>
  <si>
    <t>$GB$8:$GK$8</t>
  </si>
  <si>
    <t>SC Is Booked</t>
  </si>
  <si>
    <t>SC Is Filled</t>
  </si>
  <si>
    <t>SP Is Booked</t>
  </si>
  <si>
    <t>SP Is Filled</t>
  </si>
  <si>
    <t>{8D506559-2C07-4095-A4D9-07CC4F5C0C3D}</t>
  </si>
  <si>
    <t>{22FD95B8-4B2F-4DFB-B8EA-29E8ED3CB785}</t>
  </si>
  <si>
    <t>{95B201EB-CE97-454F-A76E-20086AE62C2C}</t>
  </si>
  <si>
    <t>{5BF2E2DB-50B9-4D7F-9BE7-3EA9F19499F4}</t>
  </si>
  <si>
    <t>{20075F46-EA4B-4BD8-818E-41DD3F306B62}</t>
  </si>
  <si>
    <t>{682EC81C-3412-43C2-B645-D38C464D4070}</t>
  </si>
  <si>
    <t>{ED9535E5-89F4-4C27-A3C8-BA59C4FDCA67}</t>
  </si>
  <si>
    <t>{7F0E9734-BE40-4478-8A60-062228A02CF5}</t>
  </si>
  <si>
    <t>{DDB7C8F5-2A97-4FA6-8C92-D87BCE75FF04}</t>
  </si>
  <si>
    <t>{46B9AA4C-62B5-44C7-AF61-1E60681DE72F}</t>
  </si>
  <si>
    <t>{D5E25AD7-D72D-429A-83CC-3CAC1BB8F327}</t>
  </si>
  <si>
    <t>{718F048E-63F4-49AA-B766-3605D95FD621}</t>
  </si>
  <si>
    <t>{E72D2F3D-EF0F-4ED2-8232-A3408884BF21}</t>
  </si>
  <si>
    <t>{148AE326-BB70-45D8-8131-E98A224E9F19}</t>
  </si>
  <si>
    <t>{21B40DC9-D2B2-4DF0-8939-9246BD745764}</t>
  </si>
  <si>
    <t>{7A6E0A09-5492-46BB-9906-81489A266545}</t>
  </si>
  <si>
    <t>CurrentView {cViewer}</t>
  </si>
  <si>
    <t>SheetIdx {cSheets}</t>
  </si>
  <si>
    <t>next Friday OPEX</t>
  </si>
  <si>
    <t>next monthly OPEX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</si>
</sst>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42" formatCode="_(&quot;$&quot;* #,##0_);_(&quot;$&quot;* \(#,##0\);_(&quot;$&quot;* &quot;-&quot;_);_(@_)"/>
    <numFmt numFmtId="44" formatCode="_(&quot;$&quot;* #,##0.00_);_(&quot;$&quot;* \(#,##0.00\);_(&quot;$&quot;* &quot;-&quot;??_);_(@_)"/>
    <numFmt numFmtId="43" formatCode="_(* #,##0.00_);_(* \(#,##0.00\);_(* &quot;-&quot;??_);_(@_)"/>
    <numFmt numFmtId="164" formatCode="[$-409]d\-mmm;@"/>
    <numFmt numFmtId="165" formatCode="0.0%"/>
    <numFmt numFmtId="166" formatCode="_(&quot;$&quot;* #,##0_);_(&quot;$&quot;* \(#,##0\);_(&quot;$&quot;* &quot;-&quot;??_);_(@_)"/>
    <numFmt numFmtId="167" formatCode="_(&quot;$&quot;* #,##0.0000_);_(&quot;$&quot;* \(#,##0.0000\);_(&quot;$&quot;* &quot;-&quot;??_);_(@_)"/>
    <numFmt numFmtId="168" formatCode="_(* #,##0_);_(* \(#,##0\);_(* &quot;-&quot;??_);_(@_)"/>
    <numFmt numFmtId="169" formatCode="mm/dd/yy;@"/>
    <numFmt numFmtId="170" formatCode="_(* #,##0.000_);_(* \(#,##0.000\);_(* &quot;-&quot;??_);_(@_)"/>
    <numFmt numFmtId="171" formatCode="0.000"/>
    <numFmt numFmtId="172" formatCode="[$-409]h:mm\ AM/PM;@"/>
    <numFmt numFmtId="173" formatCode="[$-F800]dddd\,\ mmmm\ dd\,\ yyyy"/>
    <numFmt numFmtId="174" formatCode="&quot;$&quot;#,##0"/>
    <numFmt numFmtId="175" formatCode="&quot;$&quot;#,##0.00"/>
    <numFmt numFmtId="176" formatCode="dd\-mmm\ yyyy;@"/>
    <numFmt numFmtId="177" formatCode="d\-mmm"/>
    <numFmt numFmtId="178" formatCode="dd/mmm\ yyyy;@"/>
    <numFmt numFmtId="179" formatCode="#,##0.000_);\(#,##0.000\)"/>
    <numFmt numFmtId="180" formatCode="yyyy\-mm\-dd;@"/>
  </numFmts>
  <fonts count="63" x14ac:knownFonts="1">
    <font>
      <sz val="11"/>
      <color theme="1"/>
      <name val="Calibri"/>
      <family val="2"/>
      <scheme val="minor"/>
    </font>
    <font>
      <sz val="10"/>
      <name val="Arial"/>
      <family val="2"/>
    </font>
    <font>
      <sz val="10"/>
      <name val="Arial"/>
      <family val="2"/>
    </font>
    <font>
      <sz val="10"/>
      <color indexed="23"/>
      <name val="Arial"/>
      <family val="2"/>
    </font>
    <font>
      <sz val="8"/>
      <name val="Arial"/>
      <family val="2"/>
    </font>
    <font>
      <sz val="8"/>
      <color indexed="23"/>
      <name val="Arial"/>
      <family val="2"/>
    </font>
    <font>
      <sz val="9"/>
      <color indexed="23"/>
      <name val="Arial"/>
      <family val="2"/>
    </font>
    <font>
      <sz val="8"/>
      <color theme="0" tint="-0.499984740745262"/>
      <name val="Arial"/>
      <family val="2"/>
    </font>
    <font>
      <i/>
      <sz val="8"/>
      <color indexed="23"/>
      <name val="Arial"/>
      <family val="2"/>
    </font>
    <font>
      <i/>
      <sz val="10"/>
      <name val="Arial"/>
      <family val="2"/>
    </font>
    <font>
      <sz val="8"/>
      <color theme="2" tint="-0.499984740745262"/>
      <name val="Arial"/>
      <family val="2"/>
    </font>
    <font>
      <i/>
      <sz val="10"/>
      <color indexed="23"/>
      <name val="Arial"/>
      <family val="2"/>
    </font>
    <font>
      <b/>
      <i/>
      <sz val="8"/>
      <name val="Arial"/>
      <family val="2"/>
    </font>
    <font>
      <b/>
      <sz val="10"/>
      <name val="Arial"/>
      <family val="2"/>
    </font>
    <font>
      <b/>
      <sz val="10"/>
      <color indexed="23"/>
      <name val="Arial"/>
      <family val="2"/>
    </font>
    <font>
      <strike/>
      <sz val="10"/>
      <name val="Arial"/>
      <family val="2"/>
    </font>
    <font>
      <b/>
      <sz val="8"/>
      <color indexed="23"/>
      <name val="Arial"/>
      <family val="2"/>
    </font>
    <font>
      <i/>
      <sz val="8"/>
      <name val="Arial"/>
      <family val="2"/>
    </font>
    <font>
      <sz val="8"/>
      <color theme="1"/>
      <name val="Arial"/>
      <family val="2"/>
    </font>
    <font>
      <b/>
      <sz val="10"/>
      <color theme="0"/>
      <name val="Arial"/>
      <family val="2"/>
    </font>
    <font>
      <sz val="9"/>
      <color theme="1"/>
      <name val="Arial"/>
      <family val="2"/>
    </font>
    <font>
      <sz val="8"/>
      <color theme="0"/>
      <name val="Arial"/>
      <family val="2"/>
    </font>
    <font>
      <b/>
      <sz val="8"/>
      <color theme="1"/>
      <name val="Arial"/>
      <family val="2"/>
    </font>
    <font>
      <b/>
      <sz val="10"/>
      <color theme="1"/>
      <name val="Arial"/>
      <family val="2"/>
    </font>
    <font>
      <sz val="10"/>
      <color theme="1"/>
      <name val="Arial"/>
      <family val="2"/>
    </font>
    <font>
      <i/>
      <sz val="8"/>
      <color theme="1"/>
      <name val="Arial"/>
      <family val="2"/>
    </font>
    <font>
      <b/>
      <sz val="8"/>
      <color theme="0"/>
      <name val="Arial"/>
      <family val="2"/>
    </font>
    <font>
      <sz val="8"/>
      <color theme="1"/>
      <name val="Arial"/>
      <family val="2"/>
    </font>
    <font>
      <sz val="10"/>
      <name val="Arial"/>
      <family val="2"/>
    </font>
    <font>
      <sz val="10"/>
      <color theme="0" tint="-0.499984740745262"/>
      <name val="Arial"/>
      <family val="2"/>
    </font>
    <font>
      <sz val="8"/>
      <color theme="1"/>
      <name val="Arial"/>
      <family val="2"/>
    </font>
    <font>
      <sz val="11"/>
      <color theme="1"/>
      <name val="Calibri"/>
      <family val="2"/>
      <scheme val="minor"/>
    </font>
    <font>
      <b/>
      <sz val="9"/>
      <color indexed="23"/>
      <name val="Arial"/>
      <family val="2"/>
    </font>
    <font>
      <i/>
      <sz val="10"/>
      <color theme="0" tint="-0.499984740745262"/>
      <name val="Arial"/>
      <family val="2"/>
    </font>
    <font>
      <b/>
      <sz val="8"/>
      <color rgb="FFFF0000"/>
      <name val="Arial"/>
      <family val="2"/>
    </font>
    <font>
      <b/>
      <sz val="10"/>
      <color rgb="FFFF0000"/>
      <name val="Arial"/>
      <family val="2"/>
    </font>
    <font>
      <sz val="10"/>
      <name val="Arial"/>
      <family val="2"/>
    </font>
    <font>
      <sz val="10"/>
      <name val="Arial"/>
      <family val="2"/>
    </font>
    <font>
      <sz val="10"/>
      <name val="Arial"/>
      <family val="2"/>
    </font>
    <font>
      <sz val="10"/>
      <color rgb="FFFF0000"/>
      <name val="Arial"/>
      <family val="2"/>
    </font>
    <font>
      <u/>
      <sz val="11"/>
      <color theme="10"/>
      <name val="Calibri"/>
      <family val="2"/>
      <scheme val="minor"/>
    </font>
    <font>
      <sz val="10"/>
      <name val="Arial"/>
      <family val="2"/>
    </font>
    <font>
      <i/>
      <sz val="8"/>
      <color theme="1" tint="0.499984740745262"/>
      <name val="Arial"/>
      <family val="2"/>
    </font>
    <font>
      <i/>
      <sz val="8"/>
      <color theme="2" tint="-0.499984740745262"/>
      <name val="Arial"/>
      <family val="2"/>
    </font>
    <font>
      <sz val="8"/>
      <color theme="1"/>
      <name val="Arial"/>
      <family val="2"/>
    </font>
    <font>
      <sz val="10"/>
      <name val="Arial"/>
      <family val="2"/>
    </font>
    <font>
      <sz val="8"/>
      <color theme="1"/>
      <name val="Arial"/>
      <family val="2"/>
    </font>
    <font>
      <sz val="8"/>
      <name val="Calibri"/>
      <family val="2"/>
      <scheme val="minor"/>
    </font>
    <font>
      <sz val="10"/>
      <color theme="2" tint="-0.499984740745262"/>
      <name val="Arial"/>
      <family val="2"/>
    </font>
    <font>
      <b/>
      <sz val="8"/>
      <name val="Arial"/>
      <family val="2"/>
    </font>
    <font>
      <sz val="10"/>
      <name val="Arial"/>
      <family val="2"/>
    </font>
    <font>
      <sz val="10"/>
      <name val="Arial"/>
      <family val="2"/>
    </font>
    <font>
      <sz val="10"/>
      <name val="Arial"/>
      <family val="2"/>
    </font>
    <font>
      <b/>
      <i/>
      <sz val="8"/>
      <color indexed="23"/>
      <name val="Arial"/>
      <family val="2"/>
    </font>
    <font>
      <b/>
      <sz val="9"/>
      <name val="Courier New"/>
      <family val="3"/>
    </font>
    <font>
      <b/>
      <sz val="9"/>
      <color theme="0"/>
      <name val="Arial"/>
      <family val="2"/>
    </font>
    <font>
      <i/>
      <sz val="10"/>
      <color theme="2" tint="-0.499984740745262"/>
      <name val="Arial"/>
      <family val="2"/>
    </font>
    <font>
      <sz val="10"/>
      <color theme="4"/>
      <name val="Arial"/>
      <family val="2"/>
    </font>
    <font>
      <b/>
      <i/>
      <sz val="10"/>
      <name val="Arial"/>
      <family val="2"/>
    </font>
    <font>
      <u/>
      <sz val="3"/>
      <color theme="10"/>
      <name val="Calibri"/>
      <family val="2"/>
      <scheme val="minor"/>
    </font>
    <font>
      <sz val="10"/>
      <name val="Arial"/>
      <family val="2"/>
    </font>
    <font>
      <b/>
      <sz val="11"/>
      <color rgb="FF3F3F3F"/>
      <name val="Calibri"/>
      <family val="2"/>
      <scheme val="minor"/>
    </font>
    <font>
      <i/>
      <sz val="11"/>
      <color rgb="FF7F7F7F"/>
      <name val="Calibri"/>
      <family val="2"/>
      <scheme val="minor"/>
    </font>
  </fonts>
  <fills count="5">
    <fill>
      <patternFill patternType="none"/>
    </fill>
    <fill>
      <patternFill patternType="gray125"/>
    </fill>
    <fill>
      <patternFill patternType="solid">
        <fgColor theme="4"/>
        <bgColor theme="4"/>
      </patternFill>
    </fill>
    <fill>
      <patternFill patternType="solid">
        <fgColor theme="9" tint="0.79998168889431442"/>
        <bgColor indexed="64"/>
      </patternFill>
    </fill>
    <fill>
      <patternFill patternType="solid">
        <fgColor rgb="FFF2F2F2"/>
      </patternFill>
    </fill>
  </fills>
  <borders count="7">
    <border>
      <left/>
      <right/>
      <top/>
      <bottom/>
      <diagonal/>
    </border>
    <border>
      <left style="thick">
        <color theme="4" tint="0.39991454817346722"/>
      </left>
      <right style="thick">
        <color theme="4" tint="0.39991454817346722"/>
      </right>
      <top/>
      <bottom style="thick">
        <color theme="4" tint="0.39991454817346722"/>
      </bottom>
      <diagonal/>
    </border>
    <border>
      <left style="thick">
        <color theme="4" tint="0.39991454817346722"/>
      </left>
      <right style="thick">
        <color theme="4" tint="0.39991454817346722"/>
      </right>
      <top style="thick">
        <color theme="4" tint="0.39991454817346722"/>
      </top>
      <bottom style="thin">
        <color theme="4" tint="0.39997558519241921"/>
      </bottom>
      <diagonal/>
    </border>
    <border>
      <left/>
      <right/>
      <top style="thin">
        <color theme="1"/>
      </top>
      <bottom style="thin">
        <color theme="1"/>
      </bottom>
      <diagonal/>
    </border>
    <border>
      <left style="thin">
        <color indexed="64"/>
      </left>
      <right style="thin">
        <color indexed="64"/>
      </right>
      <top style="thin">
        <color indexed="64"/>
      </top>
      <bottom style="double">
        <color indexed="64"/>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s>
  <cellStyleXfs count="12">
    <xf numFmtId="0" fontId="0" fillId="0" borderId="0"/>
    <xf numFmtId="0" fontId="1"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0" borderId="0"/>
    <xf numFmtId="44" fontId="31" fillId="0" borderId="0" applyFont="0" applyFill="0" applyBorder="0" applyAlignment="0" applyProtection="0"/>
    <xf numFmtId="0" fontId="40" fillId="0" borderId="0" applyNumberFormat="0" applyFill="0" applyBorder="0" applyAlignment="0" applyProtection="0"/>
    <xf numFmtId="9" fontId="31" fillId="0" borderId="0" applyFont="0" applyFill="0" applyBorder="0" applyAlignment="0" applyProtection="0"/>
    <xf numFmtId="43" fontId="31" fillId="0" borderId="0" applyFont="0" applyFill="0" applyBorder="0" applyAlignment="0" applyProtection="0"/>
    <xf numFmtId="0" fontId="61" fillId="4" borderId="5" applyNumberFormat="0" applyAlignment="0" applyProtection="0"/>
    <xf numFmtId="0" fontId="62" fillId="0" borderId="0" applyNumberFormat="0" applyFill="0" applyBorder="0" applyAlignment="0" applyProtection="0"/>
  </cellStyleXfs>
  <cellXfs count="388">
    <xf numFmtId="0" fontId="0" fillId="0" borderId="0" xfId="0"/>
    <xf numFmtId="0" fontId="2" fillId="0" borderId="0" xfId="1" applyFont="1"/>
    <xf numFmtId="164" fontId="2" fillId="0" borderId="0" xfId="1" applyNumberFormat="1" applyFont="1"/>
    <xf numFmtId="0" fontId="3" fillId="0" borderId="0" xfId="1" applyFont="1"/>
    <xf numFmtId="44" fontId="3" fillId="0" borderId="0" xfId="2" applyFont="1"/>
    <xf numFmtId="44" fontId="2" fillId="0" borderId="0" xfId="2"/>
    <xf numFmtId="165" fontId="2" fillId="0" borderId="0" xfId="1" applyNumberFormat="1" applyFont="1"/>
    <xf numFmtId="165" fontId="3" fillId="0" borderId="0" xfId="3" applyNumberFormat="1" applyFont="1"/>
    <xf numFmtId="10" fontId="2" fillId="0" borderId="0" xfId="3" applyNumberFormat="1"/>
    <xf numFmtId="166" fontId="3" fillId="0" borderId="0" xfId="1" applyNumberFormat="1" applyFont="1"/>
    <xf numFmtId="43" fontId="2" fillId="0" borderId="0" xfId="4"/>
    <xf numFmtId="43" fontId="3" fillId="0" borderId="0" xfId="4" applyFont="1"/>
    <xf numFmtId="0" fontId="1" fillId="0" borderId="0" xfId="1"/>
    <xf numFmtId="164" fontId="2" fillId="0" borderId="0" xfId="2" applyNumberFormat="1"/>
    <xf numFmtId="1" fontId="2" fillId="0" borderId="0" xfId="2" applyNumberFormat="1"/>
    <xf numFmtId="37" fontId="2" fillId="0" borderId="0" xfId="2" applyNumberFormat="1"/>
    <xf numFmtId="3" fontId="3" fillId="0" borderId="0" xfId="1" applyNumberFormat="1" applyFont="1"/>
    <xf numFmtId="4" fontId="3" fillId="0" borderId="0" xfId="1" applyNumberFormat="1" applyFont="1"/>
    <xf numFmtId="167" fontId="2" fillId="0" borderId="0" xfId="2" applyNumberFormat="1"/>
    <xf numFmtId="0" fontId="3" fillId="0" borderId="0" xfId="3" applyNumberFormat="1" applyFont="1"/>
    <xf numFmtId="16" fontId="2" fillId="0" borderId="0" xfId="1" applyNumberFormat="1" applyFont="1"/>
    <xf numFmtId="166" fontId="4" fillId="0" borderId="0" xfId="2" applyNumberFormat="1" applyFont="1"/>
    <xf numFmtId="168" fontId="2" fillId="0" borderId="0" xfId="4" applyNumberFormat="1"/>
    <xf numFmtId="168" fontId="3" fillId="0" borderId="0" xfId="4" applyNumberFormat="1" applyFont="1"/>
    <xf numFmtId="169" fontId="2" fillId="0" borderId="0" xfId="4" applyNumberFormat="1"/>
    <xf numFmtId="166" fontId="2" fillId="0" borderId="0" xfId="2" applyNumberFormat="1"/>
    <xf numFmtId="170" fontId="2" fillId="0" borderId="0" xfId="4" applyNumberFormat="1"/>
    <xf numFmtId="10" fontId="3" fillId="0" borderId="0" xfId="3" applyNumberFormat="1" applyFont="1"/>
    <xf numFmtId="165" fontId="2" fillId="0" borderId="0" xfId="3" applyNumberFormat="1"/>
    <xf numFmtId="0" fontId="4" fillId="0" borderId="0" xfId="4" applyNumberFormat="1" applyFont="1" applyAlignment="1">
      <alignment horizontal="center"/>
    </xf>
    <xf numFmtId="1" fontId="5" fillId="0" borderId="0" xfId="2" applyNumberFormat="1" applyFont="1"/>
    <xf numFmtId="166" fontId="3" fillId="0" borderId="0" xfId="2" applyNumberFormat="1" applyFont="1"/>
    <xf numFmtId="5" fontId="3" fillId="0" borderId="0" xfId="2" applyNumberFormat="1" applyFont="1"/>
    <xf numFmtId="42" fontId="3" fillId="0" borderId="0" xfId="2" applyNumberFormat="1" applyFont="1"/>
    <xf numFmtId="1" fontId="3" fillId="0" borderId="0" xfId="2" applyNumberFormat="1" applyFont="1"/>
    <xf numFmtId="37" fontId="3" fillId="0" borderId="0" xfId="2" applyNumberFormat="1" applyFont="1"/>
    <xf numFmtId="1" fontId="2" fillId="0" borderId="0" xfId="2" applyNumberFormat="1" applyAlignment="1">
      <alignment horizontal="center"/>
    </xf>
    <xf numFmtId="164" fontId="7" fillId="0" borderId="0" xfId="2" applyNumberFormat="1" applyFont="1"/>
    <xf numFmtId="165" fontId="6" fillId="0" borderId="0" xfId="3" applyNumberFormat="1" applyFont="1"/>
    <xf numFmtId="2" fontId="10" fillId="0" borderId="0" xfId="4" applyNumberFormat="1" applyFont="1"/>
    <xf numFmtId="4" fontId="1" fillId="0" borderId="0" xfId="1" applyNumberFormat="1"/>
    <xf numFmtId="3" fontId="1" fillId="0" borderId="0" xfId="1" applyNumberFormat="1"/>
    <xf numFmtId="168" fontId="1" fillId="0" borderId="0" xfId="1" applyNumberFormat="1"/>
    <xf numFmtId="42" fontId="5" fillId="0" borderId="0" xfId="2" applyNumberFormat="1" applyFont="1"/>
    <xf numFmtId="165" fontId="11" fillId="0" borderId="0" xfId="3" applyNumberFormat="1" applyFont="1"/>
    <xf numFmtId="0" fontId="15" fillId="0" borderId="0" xfId="1" applyFont="1"/>
    <xf numFmtId="0" fontId="13" fillId="0" borderId="0" xfId="1" applyFont="1" applyAlignment="1">
      <alignment horizontal="center" wrapText="1"/>
    </xf>
    <xf numFmtId="166" fontId="14" fillId="0" borderId="0" xfId="2" applyNumberFormat="1" applyFont="1" applyAlignment="1">
      <alignment horizontal="center" wrapText="1"/>
    </xf>
    <xf numFmtId="4" fontId="14" fillId="0" borderId="0" xfId="1" applyNumberFormat="1" applyFont="1" applyAlignment="1">
      <alignment horizontal="center" wrapText="1"/>
    </xf>
    <xf numFmtId="44" fontId="14" fillId="0" borderId="0" xfId="2" applyFont="1" applyAlignment="1">
      <alignment horizontal="center" wrapText="1"/>
    </xf>
    <xf numFmtId="0" fontId="14" fillId="0" borderId="0" xfId="1" applyFont="1" applyAlignment="1">
      <alignment horizontal="center" wrapText="1"/>
    </xf>
    <xf numFmtId="166" fontId="16" fillId="0" borderId="0" xfId="2" applyNumberFormat="1" applyFont="1" applyAlignment="1">
      <alignment horizontal="center" wrapText="1"/>
    </xf>
    <xf numFmtId="0" fontId="4" fillId="0" borderId="0" xfId="1" applyFont="1" applyAlignment="1">
      <alignment wrapText="1"/>
    </xf>
    <xf numFmtId="0" fontId="8" fillId="0" borderId="0" xfId="1" applyFont="1" applyAlignment="1">
      <alignment wrapText="1"/>
    </xf>
    <xf numFmtId="0" fontId="17" fillId="0" borderId="0" xfId="1" applyFont="1" applyAlignment="1">
      <alignment wrapText="1"/>
    </xf>
    <xf numFmtId="166" fontId="8" fillId="0" borderId="0" xfId="2" applyNumberFormat="1" applyFont="1" applyAlignment="1">
      <alignment wrapText="1"/>
    </xf>
    <xf numFmtId="44" fontId="17" fillId="0" borderId="0" xfId="2" applyFont="1" applyAlignment="1">
      <alignment wrapText="1"/>
    </xf>
    <xf numFmtId="166" fontId="17" fillId="0" borderId="0" xfId="2" applyNumberFormat="1" applyFont="1" applyAlignment="1">
      <alignment wrapText="1"/>
    </xf>
    <xf numFmtId="1" fontId="17" fillId="0" borderId="0" xfId="2" applyNumberFormat="1" applyFont="1" applyAlignment="1">
      <alignment wrapText="1"/>
    </xf>
    <xf numFmtId="164" fontId="17" fillId="0" borderId="0" xfId="2" applyNumberFormat="1" applyFont="1" applyAlignment="1">
      <alignment wrapText="1"/>
    </xf>
    <xf numFmtId="0" fontId="8" fillId="0" borderId="0" xfId="1" applyFont="1" applyAlignment="1">
      <alignment horizontal="center" wrapText="1"/>
    </xf>
    <xf numFmtId="44" fontId="8" fillId="0" borderId="0" xfId="2" applyFont="1" applyAlignment="1">
      <alignment wrapText="1"/>
    </xf>
    <xf numFmtId="165" fontId="8" fillId="0" borderId="0" xfId="3" applyNumberFormat="1" applyFont="1" applyAlignment="1">
      <alignment wrapText="1"/>
    </xf>
    <xf numFmtId="10" fontId="17" fillId="0" borderId="0" xfId="3" applyNumberFormat="1" applyFont="1" applyAlignment="1">
      <alignment wrapText="1"/>
    </xf>
    <xf numFmtId="166" fontId="8" fillId="0" borderId="0" xfId="1" applyNumberFormat="1" applyFont="1" applyAlignment="1">
      <alignment wrapText="1"/>
    </xf>
    <xf numFmtId="43" fontId="8" fillId="0" borderId="0" xfId="4" applyFont="1" applyAlignment="1">
      <alignment wrapText="1"/>
    </xf>
    <xf numFmtId="170" fontId="17" fillId="0" borderId="0" xfId="4" applyNumberFormat="1" applyFont="1" applyAlignment="1">
      <alignment wrapText="1"/>
    </xf>
    <xf numFmtId="166" fontId="12" fillId="0" borderId="0" xfId="2" applyNumberFormat="1" applyFont="1" applyAlignment="1">
      <alignment horizontal="center"/>
    </xf>
    <xf numFmtId="4" fontId="12" fillId="0" borderId="0" xfId="1" applyNumberFormat="1" applyFont="1" applyAlignment="1">
      <alignment horizontal="center"/>
    </xf>
    <xf numFmtId="9" fontId="2" fillId="0" borderId="0" xfId="3"/>
    <xf numFmtId="0" fontId="9" fillId="0" borderId="0" xfId="1" applyFont="1"/>
    <xf numFmtId="0" fontId="11" fillId="0" borderId="0" xfId="1" applyFont="1"/>
    <xf numFmtId="0" fontId="12" fillId="0" borderId="0" xfId="1" applyFont="1" applyAlignment="1">
      <alignment horizontal="center"/>
    </xf>
    <xf numFmtId="164" fontId="9" fillId="0" borderId="0" xfId="1" applyNumberFormat="1" applyFont="1"/>
    <xf numFmtId="44" fontId="11" fillId="0" borderId="0" xfId="2" applyFont="1"/>
    <xf numFmtId="16" fontId="11" fillId="0" borderId="0" xfId="1" applyNumberFormat="1" applyFont="1"/>
    <xf numFmtId="44" fontId="9" fillId="0" borderId="0" xfId="2" applyFont="1"/>
    <xf numFmtId="165" fontId="9" fillId="0" borderId="0" xfId="3" applyNumberFormat="1" applyFont="1"/>
    <xf numFmtId="10" fontId="9" fillId="0" borderId="0" xfId="3" applyNumberFormat="1" applyFont="1"/>
    <xf numFmtId="166" fontId="11" fillId="0" borderId="0" xfId="1" applyNumberFormat="1" applyFont="1"/>
    <xf numFmtId="43" fontId="9" fillId="0" borderId="0" xfId="4" applyFont="1"/>
    <xf numFmtId="43" fontId="11" fillId="0" borderId="0" xfId="4" applyFont="1"/>
    <xf numFmtId="9" fontId="12" fillId="0" borderId="0" xfId="3" applyFont="1" applyAlignment="1">
      <alignment wrapText="1"/>
    </xf>
    <xf numFmtId="165" fontId="12" fillId="0" borderId="0" xfId="3" applyNumberFormat="1" applyFont="1" applyAlignment="1">
      <alignment wrapText="1"/>
    </xf>
    <xf numFmtId="0" fontId="18" fillId="0" borderId="0" xfId="1" applyFont="1"/>
    <xf numFmtId="49" fontId="18" fillId="0" borderId="0" xfId="1" applyNumberFormat="1" applyFont="1"/>
    <xf numFmtId="0" fontId="1" fillId="0" borderId="1" xfId="1" applyBorder="1"/>
    <xf numFmtId="0" fontId="19" fillId="2" borderId="2" xfId="1" applyFont="1" applyFill="1" applyBorder="1" applyAlignment="1">
      <alignment wrapText="1"/>
    </xf>
    <xf numFmtId="0" fontId="20" fillId="0" borderId="0" xfId="1" applyFont="1"/>
    <xf numFmtId="0" fontId="21" fillId="0" borderId="0" xfId="1" applyFont="1" applyAlignment="1">
      <alignment horizontal="center" wrapText="1"/>
    </xf>
    <xf numFmtId="0" fontId="22" fillId="0" borderId="0" xfId="1" applyFont="1" applyAlignment="1">
      <alignment horizontal="center"/>
    </xf>
    <xf numFmtId="0" fontId="23" fillId="0" borderId="0" xfId="1" applyFont="1"/>
    <xf numFmtId="0" fontId="19" fillId="0" borderId="0" xfId="1" applyFont="1"/>
    <xf numFmtId="0" fontId="24" fillId="0" borderId="0" xfId="5"/>
    <xf numFmtId="172" fontId="25" fillId="0" borderId="0" xfId="1" applyNumberFormat="1" applyFont="1"/>
    <xf numFmtId="173" fontId="25" fillId="0" borderId="0" xfId="1" applyNumberFormat="1" applyFont="1"/>
    <xf numFmtId="0" fontId="25" fillId="0" borderId="0" xfId="1" applyFont="1" applyAlignment="1">
      <alignment horizontal="right"/>
    </xf>
    <xf numFmtId="0" fontId="19" fillId="0" borderId="0" xfId="5" applyFont="1"/>
    <xf numFmtId="43" fontId="0" fillId="0" borderId="0" xfId="4" applyFont="1"/>
    <xf numFmtId="166" fontId="26" fillId="0" borderId="0" xfId="2" applyNumberFormat="1" applyFont="1" applyAlignment="1">
      <alignment horizontal="center" wrapText="1"/>
    </xf>
    <xf numFmtId="0" fontId="0" fillId="0" borderId="0" xfId="0" pivotButton="1"/>
    <xf numFmtId="0" fontId="0" fillId="0" borderId="0" xfId="0" applyAlignment="1">
      <alignment horizontal="left"/>
    </xf>
    <xf numFmtId="42" fontId="0" fillId="0" borderId="0" xfId="0" applyNumberFormat="1"/>
    <xf numFmtId="165" fontId="0" fillId="0" borderId="0" xfId="0" applyNumberFormat="1"/>
    <xf numFmtId="0" fontId="1" fillId="0" borderId="0" xfId="0" applyFont="1"/>
    <xf numFmtId="170" fontId="1" fillId="0" borderId="0" xfId="0" applyNumberFormat="1" applyFont="1"/>
    <xf numFmtId="0" fontId="1" fillId="0" borderId="0" xfId="0" applyFont="1" applyAlignment="1">
      <alignment horizontal="center"/>
    </xf>
    <xf numFmtId="43" fontId="1" fillId="0" borderId="0" xfId="0" applyNumberFormat="1" applyFont="1"/>
    <xf numFmtId="165" fontId="1" fillId="0" borderId="0" xfId="0" applyNumberFormat="1" applyFont="1"/>
    <xf numFmtId="169" fontId="3" fillId="0" borderId="0" xfId="0" applyNumberFormat="1" applyFont="1" applyAlignment="1">
      <alignment wrapText="1"/>
    </xf>
    <xf numFmtId="165" fontId="1" fillId="0" borderId="0" xfId="0" applyNumberFormat="1" applyFont="1" applyAlignment="1">
      <alignment wrapText="1"/>
    </xf>
    <xf numFmtId="168" fontId="1" fillId="0" borderId="0" xfId="0" applyNumberFormat="1" applyFont="1"/>
    <xf numFmtId="166" fontId="1" fillId="0" borderId="0" xfId="0" applyNumberFormat="1" applyFont="1"/>
    <xf numFmtId="44" fontId="3" fillId="0" borderId="0" xfId="0" applyNumberFormat="1" applyFont="1"/>
    <xf numFmtId="171" fontId="1" fillId="0" borderId="0" xfId="0" applyNumberFormat="1" applyFont="1"/>
    <xf numFmtId="16" fontId="1" fillId="0" borderId="0" xfId="0" applyNumberFormat="1" applyFont="1"/>
    <xf numFmtId="42" fontId="3" fillId="0" borderId="0" xfId="0" applyNumberFormat="1" applyFont="1"/>
    <xf numFmtId="166" fontId="3" fillId="0" borderId="0" xfId="0" applyNumberFormat="1" applyFont="1"/>
    <xf numFmtId="10" fontId="3" fillId="0" borderId="0" xfId="0" applyNumberFormat="1" applyFont="1"/>
    <xf numFmtId="39" fontId="1" fillId="0" borderId="0" xfId="0" applyNumberFormat="1" applyFont="1"/>
    <xf numFmtId="0" fontId="3" fillId="0" borderId="0" xfId="0" applyFont="1"/>
    <xf numFmtId="165" fontId="3" fillId="0" borderId="0" xfId="0" applyNumberFormat="1" applyFont="1"/>
    <xf numFmtId="3" fontId="1" fillId="0" borderId="0" xfId="0" applyNumberFormat="1" applyFont="1"/>
    <xf numFmtId="164" fontId="1" fillId="0" borderId="0" xfId="0" applyNumberFormat="1" applyFont="1"/>
    <xf numFmtId="1" fontId="1" fillId="0" borderId="0" xfId="0" applyNumberFormat="1" applyFont="1"/>
    <xf numFmtId="44" fontId="1" fillId="0" borderId="0" xfId="0" applyNumberFormat="1" applyFont="1"/>
    <xf numFmtId="164" fontId="3" fillId="0" borderId="0" xfId="0" applyNumberFormat="1" applyFont="1"/>
    <xf numFmtId="37" fontId="3" fillId="0" borderId="0" xfId="0" applyNumberFormat="1" applyFont="1"/>
    <xf numFmtId="1" fontId="3" fillId="0" borderId="0" xfId="0" applyNumberFormat="1" applyFont="1"/>
    <xf numFmtId="4" fontId="1" fillId="0" borderId="0" xfId="0" applyNumberFormat="1" applyFont="1"/>
    <xf numFmtId="9" fontId="3" fillId="0" borderId="0" xfId="0" applyNumberFormat="1" applyFont="1"/>
    <xf numFmtId="0" fontId="27" fillId="0" borderId="0" xfId="1" applyFont="1"/>
    <xf numFmtId="49" fontId="27" fillId="0" borderId="0" xfId="1" applyNumberFormat="1" applyFont="1"/>
    <xf numFmtId="0" fontId="28" fillId="0" borderId="0" xfId="1" applyFont="1"/>
    <xf numFmtId="166" fontId="29" fillId="0" borderId="0" xfId="2" applyNumberFormat="1" applyFont="1"/>
    <xf numFmtId="0" fontId="1" fillId="0" borderId="0" xfId="5" applyFont="1"/>
    <xf numFmtId="44" fontId="1" fillId="0" borderId="0" xfId="2" applyFont="1"/>
    <xf numFmtId="165" fontId="1" fillId="0" borderId="0" xfId="3" applyNumberFormat="1" applyFont="1"/>
    <xf numFmtId="0" fontId="1" fillId="0" borderId="0" xfId="1" applyAlignment="1">
      <alignment horizontal="center"/>
    </xf>
    <xf numFmtId="0" fontId="30" fillId="0" borderId="0" xfId="1" applyFont="1"/>
    <xf numFmtId="0" fontId="30" fillId="0" borderId="0" xfId="1" applyFont="1" applyAlignment="1">
      <alignment horizontal="center" wrapText="1"/>
    </xf>
    <xf numFmtId="164" fontId="9" fillId="0" borderId="0" xfId="2" applyNumberFormat="1" applyFont="1"/>
    <xf numFmtId="164" fontId="29" fillId="0" borderId="0" xfId="2" applyNumberFormat="1" applyFont="1"/>
    <xf numFmtId="39" fontId="1" fillId="0" borderId="3" xfId="6" applyNumberFormat="1" applyFont="1" applyBorder="1"/>
    <xf numFmtId="165" fontId="1" fillId="0" borderId="0" xfId="6" applyNumberFormat="1" applyFont="1"/>
    <xf numFmtId="164" fontId="1" fillId="0" borderId="0" xfId="2" applyNumberFormat="1" applyFont="1"/>
    <xf numFmtId="1" fontId="1" fillId="0" borderId="0" xfId="2" applyNumberFormat="1" applyFont="1"/>
    <xf numFmtId="165" fontId="1" fillId="0" borderId="0" xfId="3" applyNumberFormat="1" applyFont="1" applyAlignment="1">
      <alignment horizontal="center"/>
    </xf>
    <xf numFmtId="171" fontId="1" fillId="0" borderId="0" xfId="2" applyNumberFormat="1" applyFont="1"/>
    <xf numFmtId="16" fontId="1" fillId="0" borderId="0" xfId="1" applyNumberFormat="1"/>
    <xf numFmtId="165" fontId="3" fillId="0" borderId="0" xfId="3" applyNumberFormat="1" applyFont="1" applyFill="1"/>
    <xf numFmtId="166" fontId="29" fillId="0" borderId="0" xfId="2" applyNumberFormat="1" applyFont="1" applyAlignment="1"/>
    <xf numFmtId="44" fontId="9" fillId="0" borderId="0" xfId="2" applyFont="1" applyAlignment="1"/>
    <xf numFmtId="164" fontId="33" fillId="0" borderId="0" xfId="2" applyNumberFormat="1" applyFont="1" applyAlignment="1"/>
    <xf numFmtId="164" fontId="9" fillId="0" borderId="0" xfId="2" applyNumberFormat="1" applyFont="1" applyAlignment="1"/>
    <xf numFmtId="166" fontId="3" fillId="0" borderId="0" xfId="2" applyNumberFormat="1" applyFont="1" applyFill="1"/>
    <xf numFmtId="10" fontId="3" fillId="0" borderId="0" xfId="3" applyNumberFormat="1" applyFont="1" applyFill="1"/>
    <xf numFmtId="42" fontId="5" fillId="0" borderId="0" xfId="2" applyNumberFormat="1" applyFont="1" applyFill="1"/>
    <xf numFmtId="1" fontId="5" fillId="0" borderId="0" xfId="2" applyNumberFormat="1" applyFont="1" applyFill="1"/>
    <xf numFmtId="0" fontId="4" fillId="0" borderId="0" xfId="4" applyNumberFormat="1" applyFont="1" applyFill="1" applyAlignment="1">
      <alignment horizontal="center"/>
    </xf>
    <xf numFmtId="0" fontId="8" fillId="0" borderId="0" xfId="1" applyFont="1"/>
    <xf numFmtId="44" fontId="34" fillId="0" borderId="0" xfId="2" applyFont="1"/>
    <xf numFmtId="44" fontId="35" fillId="0" borderId="0" xfId="2" applyFont="1"/>
    <xf numFmtId="0" fontId="1" fillId="0" borderId="0" xfId="0" applyFont="1" applyAlignment="1">
      <alignment horizontal="right"/>
    </xf>
    <xf numFmtId="1" fontId="1" fillId="0" borderId="0" xfId="2" applyNumberFormat="1" applyFont="1" applyAlignment="1"/>
    <xf numFmtId="164" fontId="1" fillId="0" borderId="0" xfId="2" applyNumberFormat="1" applyFont="1" applyAlignment="1"/>
    <xf numFmtId="44" fontId="36" fillId="0" borderId="0" xfId="2" applyFont="1"/>
    <xf numFmtId="1" fontId="36" fillId="0" borderId="0" xfId="2" applyNumberFormat="1" applyFont="1" applyAlignment="1"/>
    <xf numFmtId="164" fontId="36" fillId="0" borderId="0" xfId="2" applyNumberFormat="1" applyFont="1" applyAlignment="1"/>
    <xf numFmtId="168" fontId="36" fillId="0" borderId="0" xfId="1" applyNumberFormat="1" applyFont="1"/>
    <xf numFmtId="4" fontId="36" fillId="0" borderId="0" xfId="1" applyNumberFormat="1" applyFont="1"/>
    <xf numFmtId="3" fontId="36" fillId="0" borderId="0" xfId="1" applyNumberFormat="1" applyFont="1"/>
    <xf numFmtId="44" fontId="37" fillId="0" borderId="0" xfId="2" applyFont="1"/>
    <xf numFmtId="1" fontId="37" fillId="0" borderId="0" xfId="2" applyNumberFormat="1" applyFont="1" applyAlignment="1"/>
    <xf numFmtId="164" fontId="37" fillId="0" borderId="0" xfId="2" applyNumberFormat="1" applyFont="1" applyAlignment="1"/>
    <xf numFmtId="168" fontId="37" fillId="0" borderId="0" xfId="1" applyNumberFormat="1" applyFont="1"/>
    <xf numFmtId="4" fontId="37" fillId="0" borderId="0" xfId="1" applyNumberFormat="1" applyFont="1"/>
    <xf numFmtId="3" fontId="37" fillId="0" borderId="0" xfId="1" applyNumberFormat="1" applyFont="1"/>
    <xf numFmtId="44" fontId="38" fillId="0" borderId="0" xfId="2" applyFont="1"/>
    <xf numFmtId="1" fontId="38" fillId="0" borderId="0" xfId="2" applyNumberFormat="1" applyFont="1" applyAlignment="1"/>
    <xf numFmtId="164" fontId="38" fillId="0" borderId="0" xfId="2" applyNumberFormat="1" applyFont="1" applyAlignment="1"/>
    <xf numFmtId="168" fontId="38" fillId="0" borderId="0" xfId="1" applyNumberFormat="1" applyFont="1"/>
    <xf numFmtId="4" fontId="38" fillId="0" borderId="0" xfId="1" applyNumberFormat="1" applyFont="1"/>
    <xf numFmtId="3" fontId="38" fillId="0" borderId="0" xfId="1" applyNumberFormat="1" applyFont="1"/>
    <xf numFmtId="4" fontId="3" fillId="0" borderId="0" xfId="0" applyNumberFormat="1" applyFont="1"/>
    <xf numFmtId="0" fontId="35" fillId="0" borderId="0" xfId="6" applyNumberFormat="1" applyFont="1" applyFill="1" applyAlignment="1">
      <alignment horizontal="center"/>
    </xf>
    <xf numFmtId="164" fontId="3" fillId="0" borderId="0" xfId="2" applyNumberFormat="1" applyFont="1" applyAlignment="1">
      <alignment wrapText="1"/>
    </xf>
    <xf numFmtId="172" fontId="5" fillId="0" borderId="0" xfId="3" applyNumberFormat="1" applyFont="1" applyAlignment="1" applyProtection="1"/>
    <xf numFmtId="165" fontId="8" fillId="0" borderId="0" xfId="3" applyNumberFormat="1" applyFont="1" applyAlignment="1" applyProtection="1">
      <alignment horizontal="center"/>
    </xf>
    <xf numFmtId="44" fontId="2" fillId="0" borderId="0" xfId="6" applyFont="1"/>
    <xf numFmtId="44" fontId="41" fillId="0" borderId="0" xfId="2" applyFont="1"/>
    <xf numFmtId="1" fontId="41" fillId="0" borderId="0" xfId="2" applyNumberFormat="1" applyFont="1" applyAlignment="1"/>
    <xf numFmtId="164" fontId="41" fillId="0" borderId="0" xfId="2" applyNumberFormat="1" applyFont="1" applyAlignment="1"/>
    <xf numFmtId="168" fontId="41" fillId="0" borderId="0" xfId="1" applyNumberFormat="1" applyFont="1"/>
    <xf numFmtId="4" fontId="41" fillId="0" borderId="0" xfId="1" applyNumberFormat="1" applyFont="1"/>
    <xf numFmtId="3" fontId="41" fillId="0" borderId="0" xfId="1" applyNumberFormat="1" applyFont="1"/>
    <xf numFmtId="43" fontId="42" fillId="0" borderId="0" xfId="4" applyFont="1"/>
    <xf numFmtId="170" fontId="43" fillId="0" borderId="0" xfId="4" applyNumberFormat="1" applyFont="1" applyAlignment="1">
      <alignment wrapText="1"/>
    </xf>
    <xf numFmtId="43" fontId="10" fillId="0" borderId="0" xfId="4" applyFont="1"/>
    <xf numFmtId="170" fontId="10" fillId="0" borderId="0" xfId="4" applyNumberFormat="1" applyFont="1"/>
    <xf numFmtId="39" fontId="10" fillId="0" borderId="0" xfId="6" applyNumberFormat="1" applyFont="1"/>
    <xf numFmtId="170" fontId="10" fillId="0" borderId="0" xfId="0" applyNumberFormat="1" applyFont="1"/>
    <xf numFmtId="44" fontId="42" fillId="0" borderId="0" xfId="6" applyFont="1"/>
    <xf numFmtId="44" fontId="26" fillId="0" borderId="0" xfId="6" applyFont="1" applyAlignment="1">
      <alignment horizontal="center" wrapText="1"/>
    </xf>
    <xf numFmtId="44" fontId="9" fillId="0" borderId="0" xfId="7" applyNumberFormat="1" applyFont="1"/>
    <xf numFmtId="44" fontId="39" fillId="0" borderId="0" xfId="6" applyFont="1" applyAlignment="1"/>
    <xf numFmtId="164" fontId="39" fillId="0" borderId="0" xfId="6" applyNumberFormat="1" applyFont="1" applyAlignment="1"/>
    <xf numFmtId="44" fontId="1" fillId="0" borderId="0" xfId="2" applyFont="1" applyAlignment="1"/>
    <xf numFmtId="0" fontId="44" fillId="0" borderId="0" xfId="1" applyFont="1"/>
    <xf numFmtId="49" fontId="44" fillId="0" borderId="0" xfId="1" applyNumberFormat="1" applyFont="1"/>
    <xf numFmtId="0" fontId="45" fillId="0" borderId="0" xfId="1" applyFont="1"/>
    <xf numFmtId="44" fontId="39" fillId="0" borderId="0" xfId="6" applyFont="1" applyBorder="1" applyAlignment="1"/>
    <xf numFmtId="166" fontId="21" fillId="0" borderId="0" xfId="2" applyNumberFormat="1" applyFont="1" applyAlignment="1">
      <alignment horizontal="center" wrapText="1"/>
    </xf>
    <xf numFmtId="44" fontId="9" fillId="0" borderId="0" xfId="7" applyNumberFormat="1" applyFont="1" applyAlignment="1"/>
    <xf numFmtId="0" fontId="46" fillId="0" borderId="0" xfId="1" applyFont="1"/>
    <xf numFmtId="49" fontId="46" fillId="0" borderId="0" xfId="1" applyNumberFormat="1" applyFont="1"/>
    <xf numFmtId="42" fontId="3" fillId="0" borderId="0" xfId="3" applyNumberFormat="1" applyFont="1" applyAlignment="1"/>
    <xf numFmtId="166" fontId="32" fillId="0" borderId="0" xfId="2" applyNumberFormat="1" applyFont="1" applyAlignment="1">
      <alignment horizontal="center" wrapText="1"/>
    </xf>
    <xf numFmtId="168" fontId="32" fillId="0" borderId="0" xfId="4" applyNumberFormat="1" applyFont="1" applyAlignment="1">
      <alignment horizontal="center" wrapText="1"/>
    </xf>
    <xf numFmtId="44" fontId="3" fillId="0" borderId="0" xfId="6" applyFont="1"/>
    <xf numFmtId="166" fontId="3" fillId="0" borderId="0" xfId="2" applyNumberFormat="1" applyFont="1" applyAlignment="1">
      <alignment horizontal="center"/>
    </xf>
    <xf numFmtId="166" fontId="3" fillId="0" borderId="0" xfId="6" applyNumberFormat="1" applyFont="1"/>
    <xf numFmtId="9" fontId="2" fillId="0" borderId="0" xfId="8" applyFont="1"/>
    <xf numFmtId="9" fontId="9" fillId="0" borderId="0" xfId="8" applyFont="1"/>
    <xf numFmtId="9" fontId="32" fillId="0" borderId="0" xfId="8" applyFont="1" applyAlignment="1">
      <alignment horizontal="center" wrapText="1"/>
    </xf>
    <xf numFmtId="9" fontId="3" fillId="0" borderId="0" xfId="8" applyFont="1"/>
    <xf numFmtId="9" fontId="2" fillId="0" borderId="0" xfId="1" applyNumberFormat="1" applyFont="1"/>
    <xf numFmtId="9" fontId="17" fillId="0" borderId="0" xfId="1" applyNumberFormat="1" applyFont="1" applyAlignment="1">
      <alignment wrapText="1"/>
    </xf>
    <xf numFmtId="9" fontId="32" fillId="0" borderId="0" xfId="2" applyNumberFormat="1" applyFont="1" applyAlignment="1">
      <alignment horizontal="center" wrapText="1"/>
    </xf>
    <xf numFmtId="9" fontId="3" fillId="0" borderId="0" xfId="2" applyNumberFormat="1" applyFont="1"/>
    <xf numFmtId="9" fontId="0" fillId="0" borderId="0" xfId="0" applyNumberFormat="1"/>
    <xf numFmtId="9" fontId="8" fillId="0" borderId="0" xfId="1" applyNumberFormat="1" applyFont="1" applyAlignment="1">
      <alignment wrapText="1"/>
    </xf>
    <xf numFmtId="10" fontId="12" fillId="0" borderId="0" xfId="8" applyNumberFormat="1" applyFont="1" applyAlignment="1">
      <alignment wrapText="1"/>
    </xf>
    <xf numFmtId="10" fontId="4" fillId="0" borderId="0" xfId="8" applyNumberFormat="1" applyFont="1" applyAlignment="1">
      <alignment wrapText="1"/>
    </xf>
    <xf numFmtId="10" fontId="32" fillId="0" borderId="0" xfId="8" applyNumberFormat="1" applyFont="1" applyAlignment="1">
      <alignment horizontal="center" wrapText="1"/>
    </xf>
    <xf numFmtId="10" fontId="3" fillId="0" borderId="0" xfId="8" applyNumberFormat="1" applyFont="1"/>
    <xf numFmtId="175" fontId="3" fillId="0" borderId="0" xfId="1" applyNumberFormat="1" applyFont="1"/>
    <xf numFmtId="175" fontId="9" fillId="0" borderId="0" xfId="1" applyNumberFormat="1" applyFont="1"/>
    <xf numFmtId="175" fontId="2" fillId="0" borderId="0" xfId="2" applyNumberFormat="1"/>
    <xf numFmtId="175" fontId="4" fillId="0" borderId="0" xfId="1" applyNumberFormat="1" applyFont="1" applyAlignment="1">
      <alignment wrapText="1"/>
    </xf>
    <xf numFmtId="175" fontId="32" fillId="0" borderId="0" xfId="2" applyNumberFormat="1" applyFont="1" applyAlignment="1">
      <alignment horizontal="center" wrapText="1"/>
    </xf>
    <xf numFmtId="175" fontId="3" fillId="0" borderId="0" xfId="0" applyNumberFormat="1" applyFont="1"/>
    <xf numFmtId="175" fontId="2" fillId="0" borderId="0" xfId="1" applyNumberFormat="1" applyFont="1"/>
    <xf numFmtId="175" fontId="3" fillId="0" borderId="0" xfId="1" applyNumberFormat="1" applyFont="1" applyAlignment="1">
      <alignment horizontal="center"/>
    </xf>
    <xf numFmtId="175" fontId="9" fillId="0" borderId="0" xfId="1" applyNumberFormat="1" applyFont="1" applyAlignment="1">
      <alignment horizontal="center"/>
    </xf>
    <xf numFmtId="175" fontId="2" fillId="0" borderId="0" xfId="2" applyNumberFormat="1" applyAlignment="1">
      <alignment horizontal="center"/>
    </xf>
    <xf numFmtId="175" fontId="4" fillId="0" borderId="0" xfId="1" applyNumberFormat="1" applyFont="1" applyAlignment="1">
      <alignment horizontal="center" wrapText="1"/>
    </xf>
    <xf numFmtId="175" fontId="6" fillId="0" borderId="0" xfId="2" applyNumberFormat="1" applyFont="1" applyAlignment="1">
      <alignment horizontal="center"/>
    </xf>
    <xf numFmtId="175" fontId="3" fillId="0" borderId="0" xfId="0" applyNumberFormat="1" applyFont="1" applyAlignment="1">
      <alignment horizontal="center"/>
    </xf>
    <xf numFmtId="175" fontId="2" fillId="0" borderId="0" xfId="1" applyNumberFormat="1" applyFont="1" applyAlignment="1">
      <alignment horizontal="center"/>
    </xf>
    <xf numFmtId="174" fontId="6" fillId="0" borderId="0" xfId="2" applyNumberFormat="1" applyFont="1"/>
    <xf numFmtId="44" fontId="9" fillId="0" borderId="0" xfId="6" applyFont="1"/>
    <xf numFmtId="44" fontId="8" fillId="0" borderId="0" xfId="6" applyFont="1" applyAlignment="1">
      <alignment wrapText="1"/>
    </xf>
    <xf numFmtId="44" fontId="1" fillId="0" borderId="0" xfId="6" applyFont="1"/>
    <xf numFmtId="166" fontId="48" fillId="0" borderId="0" xfId="2" applyNumberFormat="1" applyFont="1"/>
    <xf numFmtId="165" fontId="48" fillId="0" borderId="0" xfId="3" applyNumberFormat="1" applyFont="1"/>
    <xf numFmtId="44" fontId="3" fillId="0" borderId="0" xfId="6" applyFont="1" applyAlignment="1">
      <alignment horizontal="center"/>
    </xf>
    <xf numFmtId="44" fontId="9" fillId="0" borderId="0" xfId="6" applyFont="1" applyAlignment="1">
      <alignment horizontal="center"/>
    </xf>
    <xf numFmtId="44" fontId="2" fillId="0" borderId="0" xfId="6" applyFont="1" applyAlignment="1">
      <alignment horizontal="center"/>
    </xf>
    <xf numFmtId="44" fontId="8" fillId="0" borderId="0" xfId="6" applyFont="1" applyAlignment="1">
      <alignment horizontal="center" wrapText="1"/>
    </xf>
    <xf numFmtId="44" fontId="3" fillId="0" borderId="0" xfId="2" applyFont="1" applyAlignment="1">
      <alignment horizontal="center"/>
    </xf>
    <xf numFmtId="44" fontId="1" fillId="0" borderId="0" xfId="0" applyNumberFormat="1" applyFont="1" applyAlignment="1">
      <alignment horizontal="center"/>
    </xf>
    <xf numFmtId="166" fontId="9" fillId="0" borderId="0" xfId="6" applyNumberFormat="1" applyFont="1"/>
    <xf numFmtId="166" fontId="2" fillId="0" borderId="0" xfId="6" applyNumberFormat="1" applyFont="1"/>
    <xf numFmtId="166" fontId="8" fillId="0" borderId="0" xfId="6" applyNumberFormat="1" applyFont="1" applyAlignment="1">
      <alignment wrapText="1"/>
    </xf>
    <xf numFmtId="44" fontId="24" fillId="0" borderId="0" xfId="7" applyNumberFormat="1" applyFont="1"/>
    <xf numFmtId="44" fontId="5" fillId="0" borderId="0" xfId="2" applyFont="1" applyBorder="1" applyAlignment="1">
      <alignment horizontal="right"/>
    </xf>
    <xf numFmtId="44" fontId="4" fillId="0" borderId="0" xfId="2" applyFont="1" applyBorder="1"/>
    <xf numFmtId="44" fontId="5" fillId="0" borderId="0" xfId="2" applyFont="1"/>
    <xf numFmtId="44" fontId="49" fillId="0" borderId="0" xfId="2" applyFont="1"/>
    <xf numFmtId="166" fontId="34" fillId="0" borderId="0" xfId="2" applyNumberFormat="1" applyFont="1"/>
    <xf numFmtId="44" fontId="16" fillId="0" borderId="0" xfId="2" applyFont="1"/>
    <xf numFmtId="9" fontId="3" fillId="0" borderId="0" xfId="8" applyFont="1" applyAlignment="1">
      <alignment horizontal="right"/>
    </xf>
    <xf numFmtId="174" fontId="3" fillId="0" borderId="0" xfId="1" applyNumberFormat="1" applyFont="1"/>
    <xf numFmtId="174" fontId="9" fillId="0" borderId="0" xfId="1" applyNumberFormat="1" applyFont="1"/>
    <xf numFmtId="174" fontId="2" fillId="0" borderId="0" xfId="2" applyNumberFormat="1"/>
    <xf numFmtId="174" fontId="4" fillId="0" borderId="0" xfId="1" applyNumberFormat="1" applyFont="1" applyAlignment="1">
      <alignment wrapText="1"/>
    </xf>
    <xf numFmtId="174" fontId="32" fillId="0" borderId="0" xfId="2" applyNumberFormat="1" applyFont="1" applyAlignment="1">
      <alignment horizontal="center" wrapText="1"/>
    </xf>
    <xf numFmtId="174" fontId="3" fillId="0" borderId="0" xfId="0" applyNumberFormat="1" applyFont="1"/>
    <xf numFmtId="174" fontId="2" fillId="0" borderId="0" xfId="1" applyNumberFormat="1" applyFont="1"/>
    <xf numFmtId="165" fontId="3" fillId="0" borderId="0" xfId="8" applyNumberFormat="1" applyFont="1"/>
    <xf numFmtId="165" fontId="2" fillId="0" borderId="0" xfId="8" applyNumberFormat="1" applyFont="1"/>
    <xf numFmtId="165" fontId="32" fillId="0" borderId="0" xfId="8" applyNumberFormat="1" applyFont="1" applyAlignment="1">
      <alignment horizontal="center" wrapText="1"/>
    </xf>
    <xf numFmtId="9" fontId="6" fillId="0" borderId="0" xfId="8" applyFont="1"/>
    <xf numFmtId="165" fontId="42" fillId="0" borderId="0" xfId="8" applyNumberFormat="1" applyFont="1"/>
    <xf numFmtId="165" fontId="17" fillId="0" borderId="0" xfId="8" applyNumberFormat="1" applyFont="1" applyAlignment="1">
      <alignment wrapText="1"/>
    </xf>
    <xf numFmtId="9" fontId="4" fillId="0" borderId="0" xfId="8" applyFont="1" applyAlignment="1">
      <alignment wrapText="1"/>
    </xf>
    <xf numFmtId="9" fontId="1" fillId="0" borderId="0" xfId="0" applyNumberFormat="1" applyFont="1"/>
    <xf numFmtId="168" fontId="50" fillId="0" borderId="0" xfId="1" applyNumberFormat="1" applyFont="1"/>
    <xf numFmtId="4" fontId="50" fillId="0" borderId="0" xfId="1" applyNumberFormat="1" applyFont="1"/>
    <xf numFmtId="3" fontId="50" fillId="0" borderId="0" xfId="1" applyNumberFormat="1" applyFont="1"/>
    <xf numFmtId="44" fontId="11" fillId="0" borderId="0" xfId="2" applyFont="1" applyAlignment="1"/>
    <xf numFmtId="166" fontId="14" fillId="0" borderId="0" xfId="2" applyNumberFormat="1" applyFont="1"/>
    <xf numFmtId="168" fontId="51" fillId="0" borderId="0" xfId="1" applyNumberFormat="1" applyFont="1"/>
    <xf numFmtId="4" fontId="51" fillId="0" borderId="0" xfId="1" applyNumberFormat="1" applyFont="1"/>
    <xf numFmtId="3" fontId="51" fillId="0" borderId="0" xfId="1" applyNumberFormat="1" applyFont="1"/>
    <xf numFmtId="170" fontId="1" fillId="0" borderId="0" xfId="4" applyNumberFormat="1" applyFont="1"/>
    <xf numFmtId="165" fontId="6" fillId="0" borderId="0" xfId="3" applyNumberFormat="1" applyFont="1" applyFill="1" applyAlignment="1"/>
    <xf numFmtId="165" fontId="32" fillId="0" borderId="0" xfId="3" applyNumberFormat="1" applyFont="1" applyFill="1" applyAlignment="1"/>
    <xf numFmtId="168" fontId="1" fillId="0" borderId="0" xfId="4" applyNumberFormat="1" applyFont="1"/>
    <xf numFmtId="166" fontId="48" fillId="0" borderId="0" xfId="2" applyNumberFormat="1" applyFont="1" applyAlignment="1"/>
    <xf numFmtId="165" fontId="1" fillId="0" borderId="0" xfId="2" applyNumberFormat="1" applyFont="1"/>
    <xf numFmtId="44" fontId="35" fillId="0" borderId="0" xfId="6" applyFont="1" applyAlignment="1">
      <alignment horizontal="center"/>
    </xf>
    <xf numFmtId="165" fontId="40" fillId="0" borderId="0" xfId="7" applyNumberFormat="1"/>
    <xf numFmtId="44" fontId="3" fillId="0" borderId="0" xfId="8" applyNumberFormat="1" applyFont="1"/>
    <xf numFmtId="44" fontId="1" fillId="0" borderId="0" xfId="6" applyFont="1" applyAlignment="1">
      <alignment wrapText="1"/>
    </xf>
    <xf numFmtId="166" fontId="4" fillId="0" borderId="0" xfId="6" applyNumberFormat="1" applyFont="1" applyAlignment="1">
      <alignment wrapText="1"/>
    </xf>
    <xf numFmtId="166" fontId="32" fillId="0" borderId="0" xfId="6" applyNumberFormat="1" applyFont="1" applyAlignment="1">
      <alignment horizontal="center" wrapText="1"/>
    </xf>
    <xf numFmtId="9" fontId="7" fillId="0" borderId="0" xfId="8" applyFont="1" applyBorder="1"/>
    <xf numFmtId="0" fontId="39" fillId="0" borderId="0" xfId="6" applyNumberFormat="1" applyFont="1" applyAlignment="1"/>
    <xf numFmtId="10" fontId="39" fillId="0" borderId="0" xfId="6" applyNumberFormat="1" applyFont="1" applyBorder="1" applyAlignment="1"/>
    <xf numFmtId="44" fontId="52" fillId="0" borderId="0" xfId="2" applyFont="1"/>
    <xf numFmtId="1" fontId="52" fillId="0" borderId="0" xfId="2" applyNumberFormat="1" applyFont="1" applyAlignment="1"/>
    <xf numFmtId="164" fontId="52" fillId="0" borderId="0" xfId="2" applyNumberFormat="1" applyFont="1" applyAlignment="1"/>
    <xf numFmtId="44" fontId="52" fillId="0" borderId="0" xfId="2" applyFont="1" applyAlignment="1"/>
    <xf numFmtId="168" fontId="52" fillId="0" borderId="0" xfId="1" applyNumberFormat="1" applyFont="1"/>
    <xf numFmtId="4" fontId="52" fillId="0" borderId="0" xfId="1" applyNumberFormat="1" applyFont="1"/>
    <xf numFmtId="3" fontId="52" fillId="0" borderId="0" xfId="1" applyNumberFormat="1" applyFont="1"/>
    <xf numFmtId="0" fontId="34" fillId="0" borderId="0" xfId="6" applyNumberFormat="1" applyFont="1" applyAlignment="1">
      <alignment horizontal="left"/>
    </xf>
    <xf numFmtId="10" fontId="2" fillId="0" borderId="0" xfId="8" applyNumberFormat="1" applyFont="1"/>
    <xf numFmtId="177" fontId="1" fillId="0" borderId="0" xfId="1" applyNumberFormat="1"/>
    <xf numFmtId="178" fontId="1" fillId="0" borderId="0" xfId="2" applyNumberFormat="1" applyFont="1"/>
    <xf numFmtId="172" fontId="16" fillId="0" borderId="0" xfId="3" applyNumberFormat="1" applyFont="1" applyAlignment="1" applyProtection="1"/>
    <xf numFmtId="165" fontId="53" fillId="0" borderId="0" xfId="3" applyNumberFormat="1" applyFont="1" applyAlignment="1" applyProtection="1">
      <alignment horizontal="center"/>
    </xf>
    <xf numFmtId="166" fontId="1" fillId="0" borderId="0" xfId="2" applyNumberFormat="1" applyFont="1"/>
    <xf numFmtId="165" fontId="14" fillId="0" borderId="0" xfId="6" applyNumberFormat="1" applyFont="1"/>
    <xf numFmtId="179" fontId="3" fillId="0" borderId="0" xfId="9" applyNumberFormat="1" applyFont="1"/>
    <xf numFmtId="179" fontId="9" fillId="0" borderId="0" xfId="9" applyNumberFormat="1" applyFont="1"/>
    <xf numFmtId="179" fontId="2" fillId="0" borderId="0" xfId="9" applyNumberFormat="1" applyFont="1"/>
    <xf numFmtId="179" fontId="17" fillId="0" borderId="0" xfId="9" applyNumberFormat="1" applyFont="1" applyAlignment="1">
      <alignment wrapText="1"/>
    </xf>
    <xf numFmtId="179" fontId="26" fillId="0" borderId="0" xfId="9" applyNumberFormat="1" applyFont="1" applyAlignment="1">
      <alignment horizontal="center" wrapText="1"/>
    </xf>
    <xf numFmtId="179" fontId="0" fillId="0" borderId="0" xfId="9" applyNumberFormat="1" applyFont="1"/>
    <xf numFmtId="179" fontId="1" fillId="0" borderId="0" xfId="0" applyNumberFormat="1" applyFont="1"/>
    <xf numFmtId="171" fontId="3" fillId="0" borderId="0" xfId="1" applyNumberFormat="1" applyFont="1"/>
    <xf numFmtId="171" fontId="17" fillId="0" borderId="0" xfId="2" applyNumberFormat="1" applyFont="1" applyAlignment="1">
      <alignment wrapText="1"/>
    </xf>
    <xf numFmtId="171" fontId="26" fillId="0" borderId="0" xfId="2" applyNumberFormat="1" applyFont="1" applyAlignment="1">
      <alignment horizontal="center" wrapText="1"/>
    </xf>
    <xf numFmtId="171" fontId="3" fillId="0" borderId="0" xfId="0" applyNumberFormat="1" applyFont="1"/>
    <xf numFmtId="10" fontId="54" fillId="0" borderId="0" xfId="3" applyNumberFormat="1" applyFont="1" applyAlignment="1">
      <alignment wrapText="1"/>
    </xf>
    <xf numFmtId="0" fontId="3" fillId="0" borderId="0" xfId="9" applyNumberFormat="1" applyFont="1"/>
    <xf numFmtId="43" fontId="9" fillId="0" borderId="0" xfId="9" applyFont="1" applyAlignment="1"/>
    <xf numFmtId="2" fontId="9" fillId="0" borderId="0" xfId="7" applyNumberFormat="1" applyFont="1"/>
    <xf numFmtId="43" fontId="0" fillId="0" borderId="0" xfId="9" applyFont="1"/>
    <xf numFmtId="164" fontId="14" fillId="0" borderId="0" xfId="2" applyNumberFormat="1" applyFont="1" applyAlignment="1">
      <alignment wrapText="1"/>
    </xf>
    <xf numFmtId="42" fontId="9" fillId="0" borderId="0" xfId="9" applyNumberFormat="1" applyFont="1" applyAlignment="1"/>
    <xf numFmtId="42" fontId="3" fillId="0" borderId="0" xfId="6" applyNumberFormat="1" applyFont="1"/>
    <xf numFmtId="44" fontId="39" fillId="0" borderId="0" xfId="6" applyFont="1" applyFill="1" applyAlignment="1"/>
    <xf numFmtId="166" fontId="55" fillId="0" borderId="0" xfId="2" applyNumberFormat="1" applyFont="1" applyAlignment="1">
      <alignment horizontal="center" wrapText="1"/>
    </xf>
    <xf numFmtId="0" fontId="8" fillId="0" borderId="0" xfId="1" applyFont="1" applyAlignment="1">
      <alignment horizontal="left"/>
    </xf>
    <xf numFmtId="1" fontId="56" fillId="0" borderId="0" xfId="2" applyNumberFormat="1" applyFont="1" applyAlignment="1"/>
    <xf numFmtId="44" fontId="4" fillId="0" borderId="0" xfId="6" applyFont="1" applyAlignment="1">
      <alignment wrapText="1"/>
    </xf>
    <xf numFmtId="44" fontId="13" fillId="0" borderId="0" xfId="6" applyFont="1" applyAlignment="1">
      <alignment horizontal="center" wrapText="1"/>
    </xf>
    <xf numFmtId="44" fontId="15" fillId="0" borderId="0" xfId="6" applyFont="1"/>
    <xf numFmtId="44" fontId="57" fillId="0" borderId="0" xfId="2" applyFont="1"/>
    <xf numFmtId="21" fontId="0" fillId="0" borderId="0" xfId="0" applyNumberFormat="1"/>
    <xf numFmtId="9" fontId="0" fillId="0" borderId="0" xfId="8" applyFont="1"/>
    <xf numFmtId="0" fontId="9" fillId="0" borderId="0" xfId="2" applyNumberFormat="1" applyFont="1" applyAlignment="1"/>
    <xf numFmtId="0" fontId="34" fillId="0" borderId="0" xfId="2" applyNumberFormat="1" applyFont="1"/>
    <xf numFmtId="44" fontId="0" fillId="0" borderId="0" xfId="6" applyFont="1"/>
    <xf numFmtId="165" fontId="6" fillId="0" borderId="0" xfId="3" applyNumberFormat="1" applyFont="1" applyFill="1"/>
    <xf numFmtId="165" fontId="1" fillId="0" borderId="0" xfId="6" applyNumberFormat="1" applyFont="1" applyFill="1"/>
    <xf numFmtId="166" fontId="11" fillId="0" borderId="0" xfId="2" applyNumberFormat="1" applyFont="1" applyAlignment="1">
      <alignment horizontal="center"/>
    </xf>
    <xf numFmtId="44" fontId="58" fillId="0" borderId="0" xfId="7" applyNumberFormat="1" applyFont="1" applyAlignment="1">
      <alignment horizontal="center"/>
    </xf>
    <xf numFmtId="2" fontId="58" fillId="0" borderId="0" xfId="7" applyNumberFormat="1" applyFont="1" applyAlignment="1">
      <alignment horizontal="center"/>
    </xf>
    <xf numFmtId="44" fontId="10" fillId="0" borderId="0" xfId="6" applyFont="1"/>
    <xf numFmtId="44" fontId="5" fillId="0" borderId="0" xfId="6" applyFont="1" applyBorder="1" applyAlignment="1">
      <alignment horizontal="right"/>
    </xf>
    <xf numFmtId="44" fontId="4" fillId="0" borderId="0" xfId="6" applyFont="1" applyBorder="1"/>
    <xf numFmtId="44" fontId="5" fillId="0" borderId="0" xfId="6" applyFont="1" applyBorder="1"/>
    <xf numFmtId="6" fontId="34" fillId="0" borderId="0" xfId="6" applyNumberFormat="1" applyFont="1" applyAlignment="1">
      <alignment horizontal="left"/>
    </xf>
    <xf numFmtId="44" fontId="59" fillId="0" borderId="0" xfId="7" applyNumberFormat="1" applyFont="1"/>
    <xf numFmtId="180" fontId="1" fillId="0" borderId="0" xfId="2" applyNumberFormat="1" applyFont="1"/>
    <xf numFmtId="166" fontId="32" fillId="3" borderId="4" xfId="6" applyNumberFormat="1" applyFont="1" applyFill="1" applyBorder="1"/>
    <xf numFmtId="170" fontId="1" fillId="0" borderId="0" xfId="4" applyNumberFormat="1" applyFont="1" applyAlignment="1">
      <alignment horizontal="center"/>
    </xf>
    <xf numFmtId="44" fontId="60" fillId="0" borderId="0" xfId="2" applyFont="1"/>
    <xf numFmtId="1" fontId="60" fillId="0" borderId="0" xfId="2" applyNumberFormat="1" applyFont="1" applyAlignment="1"/>
    <xf numFmtId="164" fontId="60" fillId="0" borderId="0" xfId="2" applyNumberFormat="1" applyFont="1" applyAlignment="1"/>
    <xf numFmtId="44" fontId="60" fillId="0" borderId="0" xfId="2" applyFont="1" applyAlignment="1"/>
    <xf numFmtId="1" fontId="1" fillId="0" borderId="0" xfId="2" applyNumberFormat="1" applyFont="1" applyAlignment="1">
      <alignment horizontal="center"/>
    </xf>
    <xf numFmtId="44" fontId="16" fillId="0" borderId="0" xfId="2" applyFont="1" applyAlignment="1">
      <alignment horizontal="center"/>
    </xf>
    <xf numFmtId="168" fontId="60" fillId="0" borderId="0" xfId="1" applyNumberFormat="1" applyFont="1"/>
    <xf numFmtId="4" fontId="60" fillId="0" borderId="0" xfId="1" applyNumberFormat="1" applyFont="1"/>
    <xf numFmtId="3" fontId="60" fillId="0" borderId="0" xfId="1" applyNumberFormat="1" applyFont="1"/>
    <xf numFmtId="44" fontId="0" fillId="0" borderId="0" xfId="0" applyNumberFormat="1"/>
    <xf numFmtId="44" fontId="62" fillId="0" borderId="0" xfId="11" applyNumberFormat="1"/>
    <xf numFmtId="42" fontId="5" fillId="0" borderId="0" xfId="6" applyNumberFormat="1" applyFont="1" applyBorder="1"/>
    <xf numFmtId="176" fontId="61" fillId="4" borderId="5" xfId="10" applyNumberFormat="1" applyAlignment="1">
      <alignment horizontal="center" wrapText="1"/>
    </xf>
    <xf numFmtId="7" fontId="0" fillId="0" borderId="0" xfId="6" applyNumberFormat="1" applyFont="1"/>
    <xf numFmtId="7" fontId="9" fillId="0" borderId="0" xfId="7" applyNumberFormat="1" applyFont="1"/>
    <xf numFmtId="0" fontId="2" fillId="0" borderId="6" xfId="1" applyFont="1" applyBorder="1"/>
  </cellXfs>
  <cellStyles count="12">
    <cellStyle name="Comma" xfId="9" builtinId="3"/>
    <cellStyle name="Comma 2" xfId="4" xr:uid="{458031F1-BED5-4B96-ABC7-2399AC4723FB}"/>
    <cellStyle name="Currency" xfId="6" builtinId="4"/>
    <cellStyle name="Currency 2" xfId="2" xr:uid="{5818863E-CB46-43FD-BEAF-E705F7824DC5}"/>
    <cellStyle name="Explanatory Text" xfId="11" builtinId="53"/>
    <cellStyle name="Hyperlink" xfId="7" builtinId="8"/>
    <cellStyle name="Normal" xfId="0" builtinId="0"/>
    <cellStyle name="Normal 2" xfId="1" xr:uid="{F5D340D6-6F73-4787-9B4D-6C4EA883FF87}"/>
    <cellStyle name="Normal 2 2" xfId="5" xr:uid="{B68E9A46-FE56-4014-AEA1-93BE814959F3}"/>
    <cellStyle name="Output" xfId="10" builtinId="21"/>
    <cellStyle name="Percent" xfId="8" builtinId="5"/>
    <cellStyle name="Percent 2" xfId="3" xr:uid="{ED73C437-F7FD-42D1-8B8F-9D3E02C5DFE8}"/>
  </cellStyles>
  <dxfs count="491">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79" formatCode="#,##0.000_);\(#,##0.0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4" formatCode="&quot;$&quot;#,##0"/>
    </dxf>
    <dxf>
      <font>
        <b val="0"/>
        <i val="0"/>
        <strike val="0"/>
        <condense val="0"/>
        <extend val="0"/>
        <outline val="0"/>
        <shadow val="0"/>
        <u val="none"/>
        <vertAlign val="baseline"/>
        <sz val="10"/>
        <color indexed="23"/>
        <name val="Arial"/>
        <family val="2"/>
        <scheme val="none"/>
      </font>
      <numFmt numFmtId="175" formatCode="&quot;$&quot;#,##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7" formatCode="#,##0.00_);\(#,##0.00\)"/>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auto="1"/>
        <name val="Arial"/>
        <family val="2"/>
        <scheme val="none"/>
      </font>
      <numFmt numFmtId="21" formatCode="dd\-mmm"/>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69" formatCode="mm/dd/yy;@"/>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5" formatCode="_(* #,##0.00_);_(* \(#,##0.00\);_(* &quot;-&quot;??_);_(@_)"/>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8"/>
        <color theme="2" tint="-0.499984740745262"/>
        <name val="Arial"/>
        <family val="2"/>
        <scheme val="none"/>
      </font>
      <numFmt numFmtId="170" formatCode="_(* #,##0.000_);_(* \(#,##0.000\);_(*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color rgb="FFFFFFFF"/>
      </font>
      <fill>
        <patternFill patternType="solid">
          <fgColor indexed="64"/>
          <bgColor rgb="FF00B050"/>
        </patternFill>
      </fill>
    </dxf>
    <dxf>
      <font>
        <b/>
        <i val="0"/>
        <color rgb="FF008000"/>
      </font>
    </dxf>
    <dxf>
      <font>
        <color rgb="FFFFFFFF"/>
      </font>
      <fill>
        <patternFill patternType="solid">
          <fgColor indexed="64"/>
          <bgColor rgb="FFFF0000"/>
        </patternFill>
      </fill>
      <border>
        <left style="thin">
          <color rgb="FF000000"/>
        </left>
        <right style="thin">
          <color rgb="FF000000"/>
        </right>
        <top style="thin">
          <color rgb="FF000000"/>
        </top>
        <bottom style="thin">
          <color rgb="FF000000"/>
        </bottom>
      </border>
    </dxf>
    <dxf>
      <font>
        <color rgb="FFFFFFFF"/>
      </font>
      <fill>
        <patternFill patternType="solid">
          <fgColor indexed="64"/>
          <bgColor rgb="FF00B050"/>
        </patternFill>
      </fill>
    </dxf>
    <dxf>
      <font>
        <color rgb="FFFFFFFF"/>
      </font>
      <fill>
        <patternFill patternType="solid">
          <fgColor indexed="64"/>
          <bgColor rgb="FF00B050"/>
        </patternFill>
      </fill>
    </dxf>
    <dxf>
      <font>
        <color rgb="FFFFFFFF"/>
      </font>
      <fill>
        <patternFill patternType="solid">
          <fgColor indexed="64"/>
          <bgColor rgb="FF70AD47"/>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FFC000"/>
        </patternFill>
      </fill>
    </dxf>
    <dxf>
      <font>
        <color rgb="FFFFFFFF"/>
      </font>
      <fill>
        <patternFill patternType="solid">
          <fgColor indexed="64"/>
          <bgColor rgb="FFFF0000"/>
        </patternFill>
      </fill>
    </dxf>
    <dxf>
      <font>
        <b val="0"/>
        <i val="0"/>
      </font>
      <fill>
        <patternFill patternType="solid">
          <fgColor indexed="64"/>
          <bgColor rgb="FFFFFF0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b val="0"/>
        <i val="0"/>
        <color rgb="FFFFFFFF"/>
      </font>
      <fill>
        <patternFill patternType="solid">
          <fgColor indexed="64"/>
          <bgColor rgb="FF00B05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color rgb="FFFFFFFF"/>
      </font>
      <fill>
        <patternFill patternType="solid">
          <fgColor indexed="64"/>
          <bgColor rgb="FF00B050"/>
        </patternFill>
      </fill>
    </dxf>
    <dxf>
      <font>
        <color rgb="FFFFFFFF"/>
      </font>
      <fill>
        <patternFill patternType="solid">
          <fgColor indexed="64"/>
          <bgColor rgb="FF2F75B5"/>
        </patternFill>
      </fill>
    </dxf>
    <dxf>
      <font>
        <color rgb="FFFFFFFF"/>
      </font>
      <fill>
        <patternFill patternType="solid">
          <fgColor indexed="64"/>
          <bgColor rgb="FF00B050"/>
        </patternFill>
      </fill>
    </dxf>
    <dxf>
      <font>
        <color rgb="FFFFFFFF"/>
      </font>
      <fill>
        <patternFill patternType="solid">
          <fgColor indexed="64"/>
          <bgColor rgb="FF00B050"/>
        </patternFill>
      </fill>
    </dxf>
    <dxf>
      <font>
        <b val="0"/>
        <i val="0"/>
      </font>
      <fill>
        <patternFill patternType="solid">
          <fgColor indexed="64"/>
          <bgColor rgb="FFFFFF00"/>
        </patternFill>
      </fill>
    </dxf>
    <dxf>
      <font>
        <color rgb="FFFFFFFF"/>
      </font>
      <fill>
        <patternFill patternType="solid">
          <fgColor indexed="64"/>
          <bgColor rgb="FFAEAAAA"/>
        </patternFill>
      </fill>
    </dxf>
    <dxf>
      <font>
        <color rgb="FFFFFFFF"/>
      </font>
      <fill>
        <patternFill patternType="solid">
          <fgColor indexed="64"/>
          <bgColor rgb="FFAEAAAA"/>
        </patternFill>
      </fill>
    </dxf>
    <dxf>
      <font>
        <color rgb="FFFFFFFF"/>
      </font>
      <fill>
        <patternFill patternType="solid">
          <fgColor indexed="64"/>
          <bgColor rgb="FF008000"/>
        </patternFill>
      </fill>
    </dxf>
    <dxf>
      <font>
        <b val="0"/>
        <i val="0"/>
        <color rgb="FFFFFFFF"/>
      </font>
      <fill>
        <patternFill patternType="solid">
          <fgColor indexed="64"/>
          <bgColor rgb="FF00B050"/>
        </patternFill>
      </fill>
    </dxf>
    <dxf>
      <font>
        <color rgb="FFFFFFFF"/>
      </font>
      <fill>
        <patternFill patternType="solid">
          <fgColor indexed="64"/>
          <bgColor rgb="FFAEAAAA"/>
        </patternFill>
      </fill>
    </dxf>
    <dxf>
      <font>
        <b val="0"/>
        <i/>
        <color rgb="FF333F4F"/>
      </font>
      <fill>
        <patternFill patternType="solid">
          <fgColor indexed="64"/>
          <bgColor rgb="FFB4C6E7"/>
        </patternFill>
      </fill>
      <border>
        <left style="thin">
          <color auto="1"/>
        </left>
        <right style="thin">
          <color auto="1"/>
        </right>
        <top style="thin">
          <color auto="1"/>
        </top>
        <bottom style="thin">
          <color auto="1"/>
        </bottom>
      </border>
    </dxf>
    <dxf>
      <font>
        <color rgb="FFFFFFFF"/>
      </font>
      <fill>
        <patternFill patternType="solid">
          <fgColor indexed="64"/>
          <bgColor rgb="FF00B050"/>
        </patternFill>
      </fill>
    </dxf>
    <dxf>
      <numFmt numFmtId="165" formatCode="0.0%"/>
    </dxf>
    <dxf>
      <numFmt numFmtId="32" formatCode="_(&quot;$&quot;* #,##0_);_(&quot;$&quot;* \(#,##0\);_(&quot;$&quot;* &quot;-&quot;_);_(@_)"/>
    </dxf>
    <dxf>
      <numFmt numFmtId="174" formatCode="&quot;$&quot;#,##0"/>
    </dxf>
    <dxf>
      <numFmt numFmtId="174" formatCode="&quot;$&quot;#,##0"/>
    </dxf>
    <dxf>
      <numFmt numFmtId="174" formatCode="&quot;$&quot;#,##0"/>
    </dxf>
    <dxf>
      <numFmt numFmtId="174" formatCode="&quot;$&quot;#,##0"/>
    </dxf>
    <dxf>
      <numFmt numFmtId="174" formatCode="&quot;$&quot;#,##0"/>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0"/>
        <name val="Arial"/>
        <family val="2"/>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0" formatCode="@"/>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family val="2"/>
        <scheme val="none"/>
      </font>
      <numFmt numFmtId="0" formatCode="General"/>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sz val="8"/>
        <color theme="1"/>
        <family val="2"/>
      </font>
      <numFmt numFmtId="0" formatCode="General"/>
    </dxf>
    <dxf>
      <font>
        <b val="0"/>
        <i val="0"/>
        <strike val="0"/>
        <condense val="0"/>
        <extend val="0"/>
        <outline val="0"/>
        <shadow val="0"/>
        <u val="none"/>
        <vertAlign val="baseline"/>
        <sz val="8"/>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2"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fill>
        <patternFill patternType="none">
          <fgColor indexed="64"/>
          <bgColor indexed="65"/>
        </patternFill>
      </fill>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8"/>
        <color indexed="23"/>
        <name val="Arial"/>
        <family val="2"/>
        <scheme val="none"/>
      </font>
      <numFmt numFmtId="1" formatCode="0"/>
    </dxf>
    <dxf>
      <font>
        <b val="0"/>
        <i val="0"/>
        <strike val="0"/>
        <condense val="0"/>
        <extend val="0"/>
        <outline val="0"/>
        <shadow val="0"/>
        <u val="none"/>
        <vertAlign val="baseline"/>
        <sz val="8"/>
        <color indexed="23"/>
        <name val="Arial"/>
        <family val="2"/>
        <scheme val="none"/>
      </font>
      <numFmt numFmtId="32"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4" formatCode="0.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3" formatCode="#,##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scheme val="none"/>
      </font>
      <numFmt numFmtId="4" formatCode="#,##0.00"/>
    </dxf>
    <dxf>
      <font>
        <b val="0"/>
        <i val="0"/>
        <strike val="0"/>
        <condense val="0"/>
        <extend val="0"/>
        <outline val="0"/>
        <shadow val="0"/>
        <u val="none"/>
        <vertAlign val="baseline"/>
        <sz val="10"/>
        <color auto="1"/>
        <name val="Arial"/>
        <scheme val="none"/>
      </font>
      <numFmt numFmtId="168" formatCode="_(* #,##0_);_(* \(#,##0\);_(*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4" formatCode="0.00%"/>
    </dxf>
    <dxf>
      <numFmt numFmtId="34" formatCode="_(&quot;$&quot;* #,##0.00_);_(&quot;$&quot;* \(#,##0.00\);_(&quot;$&quot;* &quot;-&quot;??_);_(@_)"/>
    </dxf>
    <dxf>
      <font>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indexed="23"/>
        <name val="Arial"/>
        <family val="2"/>
        <scheme val="none"/>
      </font>
      <numFmt numFmtId="9" formatCode="&quot;$&quot;#,##0_);\(&quot;$&quot;#,##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theme="4"/>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81" formatCode="_(&quot;$&quot;* #,##0.000_);_(&quot;$&quot;* \(#,##0.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71" formatCode="0.000"/>
    </dxf>
    <dxf>
      <font>
        <b/>
        <i/>
        <strike val="0"/>
        <condense val="0"/>
        <extend val="0"/>
        <outline val="0"/>
        <shadow val="0"/>
        <u val="none"/>
        <vertAlign val="baseline"/>
        <sz val="10"/>
        <color auto="1"/>
        <name val="Arial"/>
        <family val="2"/>
        <scheme val="none"/>
      </font>
      <numFmt numFmtId="2" formatCode="0.00"/>
      <alignment horizontal="center" vertical="bottom" textRotation="0" wrapText="0" indent="0" justifyLastLine="0" shrinkToFit="0" readingOrder="0"/>
    </dxf>
    <dxf>
      <font>
        <b/>
        <i/>
        <strike val="0"/>
        <condense val="0"/>
        <extend val="0"/>
        <outline val="0"/>
        <shadow val="0"/>
        <u val="none"/>
        <vertAlign val="baseline"/>
        <sz val="10"/>
        <color auto="1"/>
        <name val="Arial"/>
        <family val="2"/>
        <scheme val="none"/>
      </font>
      <numFmt numFmtId="34" formatCode="_(&quot;$&quot;* #,##0.00_);_(&quot;$&quot;* \(#,##0.00\);_(&quot;$&quot;* &quot;-&quot;??_);_(@_)"/>
      <alignment horizontal="center" vertical="bottom" textRotation="0" wrapText="0" indent="0" justifyLastLine="0" shrinkToFit="0" readingOrder="0"/>
    </dxf>
    <dxf>
      <font>
        <b/>
        <i val="0"/>
        <strike val="0"/>
        <condense val="0"/>
        <extend val="0"/>
        <outline val="0"/>
        <shadow val="0"/>
        <u val="none"/>
        <vertAlign val="baseline"/>
        <sz val="8"/>
        <color indexed="23"/>
        <name val="Arial"/>
        <family val="2"/>
        <scheme val="none"/>
      </font>
      <numFmt numFmtId="34" formatCode="_(&quot;$&quot;* #,##0.00_);_(&quot;$&quot;* \(#,##0.00\);_(&quot;$&quot;* &quot;-&quot;??_);_(@_)"/>
      <alignment horizontal="center"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indexed="23"/>
        <name val="Arial"/>
        <family val="2"/>
        <scheme val="none"/>
      </font>
      <numFmt numFmtId="32"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val="0"/>
        <strike val="0"/>
        <condense val="0"/>
        <extend val="0"/>
        <outline val="0"/>
        <shadow val="0"/>
        <u val="none"/>
        <vertAlign val="baseline"/>
        <sz val="10"/>
        <color indexed="23"/>
        <name val="Arial"/>
        <family val="2"/>
        <scheme val="none"/>
      </font>
      <numFmt numFmtId="1" formatCode="0"/>
    </dxf>
    <dxf>
      <font>
        <sz val="10"/>
        <color indexed="23"/>
        <name val="Arial"/>
        <family val="2"/>
        <scheme val="none"/>
      </font>
      <numFmt numFmtId="1" formatCode="0"/>
    </dxf>
    <dxf>
      <font>
        <b val="0"/>
        <i/>
        <strike val="0"/>
        <condense val="0"/>
        <extend val="0"/>
        <outline val="0"/>
        <shadow val="0"/>
        <u val="none"/>
        <vertAlign val="baseline"/>
        <sz val="10"/>
        <color auto="1"/>
        <name val="Arial"/>
        <family val="2"/>
        <scheme val="none"/>
      </font>
      <numFmt numFmtId="2" formatCode="0.00"/>
    </dxf>
    <dxf>
      <font>
        <b/>
        <i val="0"/>
        <strike val="0"/>
        <condense val="0"/>
        <extend val="0"/>
        <outline val="0"/>
        <shadow val="0"/>
        <u val="none"/>
        <vertAlign val="baseline"/>
        <sz val="8"/>
        <color rgb="FFFF0000"/>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sz val="10"/>
        <color indexed="23"/>
        <name val="Arial"/>
        <family val="2"/>
        <scheme val="none"/>
      </font>
      <numFmt numFmtId="5" formatCode="#,##0_);\(#,##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i val="0"/>
        <strike val="0"/>
        <condense val="0"/>
        <extend val="0"/>
        <outline val="0"/>
        <shadow val="0"/>
        <u val="none"/>
        <vertAlign val="baseline"/>
        <sz val="8"/>
        <color auto="1"/>
        <name val="Arial"/>
        <family val="2"/>
        <scheme val="none"/>
      </font>
      <numFmt numFmtId="34" formatCode="_(&quot;$&quot;* #,##0.00_);_(&quot;$&quot;* \(#,##0.00\);_(&quot;$&quot;* &quot;-&quot;??_);_(@_)"/>
    </dxf>
    <dxf>
      <font>
        <b/>
        <i val="0"/>
        <strike val="0"/>
        <condense val="0"/>
        <extend val="0"/>
        <outline val="0"/>
        <shadow val="0"/>
        <u val="none"/>
        <vertAlign val="baseline"/>
        <sz val="8"/>
        <color indexed="23"/>
        <name val="Arial"/>
        <family val="2"/>
        <scheme val="none"/>
      </font>
      <numFmt numFmtId="34" formatCode="_(&quot;$&quot;* #,##0.00_);_(&quot;$&quot;* \(#,##0.00\);_(&quot;$&quot;* &quot;-&quot;??_);_(@_)"/>
    </dxf>
    <dxf>
      <font>
        <b val="0"/>
        <i val="0"/>
        <strike val="0"/>
        <condense val="0"/>
        <extend val="0"/>
        <outline val="0"/>
        <shadow val="0"/>
        <u val="none"/>
        <vertAlign val="baseline"/>
        <sz val="9"/>
        <color indexed="23"/>
        <name val="Arial"/>
        <family val="2"/>
        <scheme val="none"/>
      </font>
      <numFmt numFmtId="175" formatCode="&quot;$&quot;#,##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3" formatCode="0%"/>
    </dxf>
    <dxf>
      <font>
        <b val="0"/>
        <i val="0"/>
        <strike val="0"/>
        <condense val="0"/>
        <extend val="0"/>
        <outline val="0"/>
        <shadow val="0"/>
        <u val="none"/>
        <vertAlign val="baseline"/>
        <sz val="9"/>
        <color indexed="23"/>
        <name val="Arial"/>
        <family val="2"/>
        <scheme val="none"/>
      </font>
      <numFmt numFmtId="174" formatCode="&quot;$&quot;#,##0"/>
    </dxf>
    <dxf>
      <font>
        <b val="0"/>
        <i val="0"/>
        <strike val="0"/>
        <condense val="0"/>
        <extend val="0"/>
        <outline val="0"/>
        <shadow val="0"/>
        <u val="none"/>
        <vertAlign val="baseline"/>
        <sz val="9"/>
        <color indexed="23"/>
        <name val="Arial"/>
        <family val="2"/>
        <scheme val="none"/>
      </font>
      <numFmt numFmtId="174" formatCode="&quot;$&quot;#,##0"/>
    </dxf>
    <dxf>
      <font>
        <b/>
        <i val="0"/>
        <strike val="0"/>
        <condense val="0"/>
        <extend val="0"/>
        <outline val="0"/>
        <shadow val="0"/>
        <u val="none"/>
        <vertAlign val="baseline"/>
        <sz val="8"/>
        <color auto="1"/>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8"/>
        <color rgb="FFFF0000"/>
        <name val="Arial"/>
        <family val="2"/>
        <scheme val="none"/>
      </font>
    </dxf>
    <dxf>
      <font>
        <b/>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0" formatCode="General"/>
    </dxf>
    <dxf>
      <font>
        <b/>
        <i val="0"/>
        <strike val="0"/>
        <condense val="0"/>
        <extend val="0"/>
        <outline val="0"/>
        <shadow val="0"/>
        <u val="none"/>
        <vertAlign val="baseline"/>
        <sz val="8"/>
        <color rgb="FFFF0000"/>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80" formatCode="yyyy\-mm\-dd;@"/>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2" tint="-0.499984740745262"/>
        <name val="Arial"/>
        <family val="2"/>
        <scheme val="none"/>
      </font>
      <numFmt numFmtId="1" formatCode="0"/>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166" formatCode="_(&quot;$&quot;* #,##0_);_(&quot;$&quot;* \(#,##0\);_(&quot;$&quot;* &quot;-&quot;??_);_(@_)"/>
      <alignment horizontal="center"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strike val="0"/>
        <condense val="0"/>
        <extend val="0"/>
        <outline val="0"/>
        <shadow val="0"/>
        <u val="none"/>
        <vertAlign val="baseline"/>
        <sz val="10"/>
        <color theme="0" tint="-0.499984740745262"/>
        <name val="Arial"/>
        <family val="2"/>
        <scheme val="none"/>
      </font>
      <numFmt numFmtId="164" formatCode="[$-409]d\-mmm;@"/>
      <alignment horizontal="general" vertical="bottom" textRotation="0" wrapText="0" indent="0" justifyLastLine="0" shrinkToFit="0" readingOrder="0"/>
    </dxf>
    <dxf>
      <font>
        <b val="0"/>
        <i/>
        <strike val="0"/>
        <condense val="0"/>
        <extend val="0"/>
        <outline val="0"/>
        <shadow val="0"/>
        <u val="none"/>
        <vertAlign val="baseline"/>
        <sz val="10"/>
        <color indexed="23"/>
        <name val="Arial"/>
        <family val="2"/>
        <scheme val="none"/>
      </font>
      <numFmt numFmtId="34" formatCode="_(&quot;$&quot;* #,##0.00_);_(&quot;$&quot;* \(#,##0.00\);_(&quot;$&quot;* &quot;-&quot;??_);_(@_)"/>
    </dxf>
    <dxf>
      <font>
        <b val="0"/>
        <i/>
        <strike val="0"/>
        <condense val="0"/>
        <extend val="0"/>
        <outline val="0"/>
        <shadow val="0"/>
        <u val="none"/>
        <vertAlign val="baseline"/>
        <sz val="10"/>
        <color auto="1"/>
        <name val="Arial"/>
        <family val="2"/>
        <scheme val="none"/>
      </font>
    </dxf>
    <dxf>
      <font>
        <b val="0"/>
        <i/>
        <strike val="0"/>
        <condense val="0"/>
        <extend val="0"/>
        <outline val="0"/>
        <shadow val="0"/>
        <u val="none"/>
        <vertAlign val="baseline"/>
        <sz val="10"/>
        <color indexed="23"/>
        <name val="Arial"/>
        <family val="2"/>
        <scheme val="none"/>
      </font>
      <numFmt numFmtId="34" formatCode="_(&quot;$&quot;* #,##0.00_);_(&quot;$&quot;* \(#,##0.00\);_(&quot;$&quot;*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5" formatCode="_(* #,##0.00_);_(* \(#,##0.00\);_(* &quot;-&quot;??_);_(@_)"/>
      <alignment horizontal="general" vertical="bottom" textRotation="0" wrapText="0" indent="0" justifyLastLine="0" shrinkToFit="0" readingOrder="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i val="0"/>
        <strike val="0"/>
        <condense val="0"/>
        <extend val="0"/>
        <outline val="0"/>
        <shadow val="0"/>
        <u val="none"/>
        <vertAlign val="baseline"/>
        <sz val="10"/>
        <color rgb="FFFF0000"/>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0" formatCode="General"/>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0" formatCode="General"/>
    </dxf>
    <dxf>
      <font>
        <b val="0"/>
        <i/>
        <strike val="0"/>
        <condense val="0"/>
        <extend val="0"/>
        <outline val="0"/>
        <shadow val="0"/>
        <u val="none"/>
        <vertAlign val="baseline"/>
        <sz val="10"/>
        <color auto="1"/>
        <name val="Arial"/>
        <family val="2"/>
        <scheme val="none"/>
      </font>
      <numFmt numFmtId="32" formatCode="_(&quot;$&quot;* #,##0_);_(&quot;$&quot;* \(#,##0\);_(&quot;$&quot;* &quot;-&quot;_);_(@_)"/>
      <alignment horizontal="general" vertical="bottom" textRotation="0" wrapText="0" indent="0" justifyLastLine="0" shrinkToFit="0" readingOrder="0"/>
    </dxf>
    <dxf>
      <font>
        <sz val="10"/>
        <color indexed="23"/>
        <name val="Arial"/>
        <family val="2"/>
        <scheme val="none"/>
      </font>
      <numFmt numFmtId="32"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1" formatCode="0"/>
    </dxf>
    <dxf>
      <font>
        <b val="0"/>
        <i val="0"/>
        <strike val="0"/>
        <condense val="0"/>
        <extend val="0"/>
        <outline val="0"/>
        <shadow val="0"/>
        <u val="none"/>
        <vertAlign val="baseline"/>
        <sz val="10"/>
        <color auto="1"/>
        <name val="Arial"/>
        <family val="2"/>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409]d\-mmm;@"/>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i val="0"/>
        <strike val="0"/>
        <condense val="0"/>
        <extend val="0"/>
        <outline val="0"/>
        <shadow val="0"/>
        <u val="none"/>
        <vertAlign val="baseline"/>
        <sz val="8"/>
        <color rgb="FFFF0000"/>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strike val="0"/>
        <condense val="0"/>
        <extend val="0"/>
        <outline val="0"/>
        <shadow val="0"/>
        <u val="none"/>
        <vertAlign val="baseline"/>
        <sz val="10"/>
        <color auto="1"/>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theme="0" tint="-0.499984740745262"/>
        <name val="Arial"/>
        <family val="2"/>
        <scheme val="none"/>
      </font>
      <numFmt numFmtId="166" formatCode="_(&quot;$&quot;* #,##0_);_(&quot;$&quot;* \(#,##0\);_(&quot;$&quot;*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family val="2"/>
        <scheme val="none"/>
      </font>
      <numFmt numFmtId="3" formatCode="#,##0"/>
    </dxf>
    <dxf>
      <font>
        <sz val="10"/>
        <color auto="1"/>
        <name val="Arial"/>
        <family val="2"/>
        <scheme val="none"/>
      </font>
      <numFmt numFmtId="178" formatCode="dd/mmm\ yyyy;@"/>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8"/>
        <color theme="0" tint="-0.499984740745262"/>
        <name val="Arial"/>
        <family val="2"/>
        <scheme val="none"/>
      </font>
      <numFmt numFmtId="164" formatCode="[$-409]d\-mmm;@"/>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8"/>
        <color rgb="FFFF0000"/>
        <name val="Arial"/>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4" formatCode="#,##0.00"/>
    </dxf>
    <dxf>
      <font>
        <b/>
        <i val="0"/>
        <strike val="0"/>
        <condense val="0"/>
        <extend val="0"/>
        <outline val="0"/>
        <shadow val="0"/>
        <u val="none"/>
        <vertAlign val="baseline"/>
        <sz val="10"/>
        <color rgb="FFFF0000"/>
        <name val="Arial"/>
        <family val="2"/>
        <scheme val="none"/>
      </font>
      <numFmt numFmtId="4" formatCode="#,##0.00"/>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34" formatCode="_(&quot;$&quot;* #,##0.00_);_(&quot;$&quot;* \(#,##0.00\);_(&quot;$&quot;* &quot;-&quot;??_);_(@_)"/>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64" formatCode="[$-409]d\-mmm;@"/>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14" formatCode="0.00%"/>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rgb="FFFF0000"/>
        <name val="Arial"/>
        <family val="2"/>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i val="0"/>
        <strike val="0"/>
        <condense val="0"/>
        <extend val="0"/>
        <outline val="0"/>
        <shadow val="0"/>
        <u val="none"/>
        <vertAlign val="baseline"/>
        <sz val="10"/>
        <color rgb="FFFF0000"/>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6" formatCode="_(&quot;$&quot;* #,##0_);_(&quot;$&quot;* \(#,##0\);_(&quot;$&quot;* &quot;-&quot;??_);_(@_)"/>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indexed="23"/>
        <name val="Arial"/>
        <family val="2"/>
        <scheme val="none"/>
      </font>
      <numFmt numFmtId="14" formatCode="0.00%"/>
    </dxf>
    <dxf>
      <font>
        <b val="0"/>
        <i val="0"/>
        <strike val="0"/>
        <condense val="0"/>
        <extend val="0"/>
        <outline val="0"/>
        <shadow val="0"/>
        <u val="none"/>
        <vertAlign val="baseline"/>
        <sz val="10"/>
        <color auto="1"/>
        <name val="Arial"/>
        <family val="2"/>
        <scheme val="none"/>
      </font>
      <numFmt numFmtId="165" formatCode="0.0%"/>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indexed="23"/>
        <name val="Arial"/>
        <family val="2"/>
        <scheme val="none"/>
      </font>
      <numFmt numFmtId="14" formatCode="0.00%"/>
    </dxf>
    <dxf>
      <font>
        <sz val="10"/>
        <color indexed="23"/>
        <name val="Arial"/>
        <family val="2"/>
        <scheme val="none"/>
      </font>
      <numFmt numFmtId="165" formatCode="0.0%"/>
    </dxf>
    <dxf>
      <font>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sz val="10"/>
        <color auto="1"/>
        <name val="Arial"/>
        <family val="2"/>
        <scheme val="none"/>
      </font>
      <numFmt numFmtId="177" formatCode="d\-mmm"/>
      <fill>
        <patternFill patternType="none">
          <fgColor indexed="64"/>
          <bgColor indexed="65"/>
        </patternFill>
      </fill>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auto="1"/>
        <name val="Arial"/>
        <family val="2"/>
        <scheme val="none"/>
      </font>
      <numFmt numFmtId="171" formatCode="0.000"/>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166" formatCode="_(&quot;$&quot;* #,##0_);_(&quot;$&quot;* \(#,##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alignment horizontal="center" vertical="bottom" textRotation="0" wrapText="0" indent="0" justifyLastLine="0" shrinkToFit="0" readingOrder="0"/>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indexed="23"/>
        <name val="Arial"/>
        <family val="2"/>
        <scheme val="none"/>
      </font>
      <numFmt numFmtId="34" formatCode="_(&quot;$&quot;* #,##0.00_);_(&quot;$&quot;* \(#,##0.00\);_(&quot;$&quot;* &quot;-&quot;??_);_(@_)"/>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5" formatCode="0.0%"/>
    </dxf>
    <dxf>
      <font>
        <sz val="10"/>
        <color theme="2" tint="-0.499984740745262"/>
        <name val="Arial"/>
        <family val="2"/>
        <scheme val="none"/>
      </font>
      <numFmt numFmtId="165" formatCode="0.0%"/>
    </dxf>
    <dxf>
      <font>
        <b val="0"/>
        <i val="0"/>
        <strike val="0"/>
        <condense val="0"/>
        <extend val="0"/>
        <outline val="0"/>
        <shadow val="0"/>
        <u val="none"/>
        <vertAlign val="baseline"/>
        <sz val="10"/>
        <color theme="2" tint="-0.499984740745262"/>
        <name val="Arial"/>
        <family val="2"/>
        <scheme val="none"/>
      </font>
      <numFmt numFmtId="166" formatCode="_(&quot;$&quot;* #,##0_);_(&quot;$&quot;* \(#,##0\);_(&quot;$&quot;* &quot;-&quot;??_);_(@_)"/>
    </dxf>
    <dxf>
      <font>
        <sz val="10"/>
        <color theme="2" tint="-0.499984740745262"/>
        <name val="Arial"/>
        <family val="2"/>
        <scheme val="none"/>
      </font>
      <numFmt numFmtId="166" formatCode="_(&quot;$&quot;* #,##0_);_(&quot;$&quot;* \(#,##0\);_(&quot;$&quot;* &quot;-&quot;??_);_(@_)"/>
      <alignment horizontal="general" vertical="bottom" textRotation="0" wrapText="0" indent="0" justifyLastLine="0" shrinkToFit="0" readingOrder="0"/>
    </dxf>
    <dxf>
      <font>
        <sz val="10"/>
        <color indexed="23"/>
        <name val="Arial"/>
        <family val="2"/>
        <scheme val="none"/>
      </font>
      <numFmt numFmtId="34" formatCode="_(&quot;$&quot;* #,##0.00_);_(&quot;$&quot;* \(#,##0.00\);_(&quot;$&quot;* &quot;-&quot;??_);_(@_)"/>
    </dxf>
    <dxf>
      <font>
        <sz val="10"/>
        <color auto="1"/>
        <name val="Arial"/>
        <family val="2"/>
        <scheme val="none"/>
      </font>
      <numFmt numFmtId="166" formatCode="_(&quot;$&quot;* #,##0_);_(&quot;$&quot;* \(#,##0\);_(&quot;$&quot;* &quot;-&quot;??_);_(@_)"/>
    </dxf>
    <dxf>
      <font>
        <b val="0"/>
        <i val="0"/>
        <strike val="0"/>
        <condense val="0"/>
        <extend val="0"/>
        <outline val="0"/>
        <shadow val="0"/>
        <u val="none"/>
        <vertAlign val="baseline"/>
        <sz val="10"/>
        <color auto="1"/>
        <name val="Arial"/>
        <family val="2"/>
        <scheme val="none"/>
      </font>
      <numFmt numFmtId="168" formatCode="_(* #,##0_);_(* \(#,##0\);_(* &quot;-&quot;??_);_(@_)"/>
    </dxf>
    <dxf>
      <font>
        <sz val="10"/>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sz val="10"/>
        <color auto="1"/>
        <name val="Arial"/>
        <family val="2"/>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9"/>
        <color indexed="23"/>
        <name val="Arial"/>
        <family val="2"/>
        <scheme val="none"/>
      </font>
      <numFmt numFmtId="165" formatCode="0.0%"/>
      <fill>
        <patternFill patternType="none">
          <fgColor indexed="64"/>
          <bgColor indexed="65"/>
        </patternFill>
      </fill>
      <alignment horizontal="general" vertical="bottom" textRotation="0" wrapText="0" indent="0" justifyLastLine="0" shrinkToFit="0" readingOrder="0"/>
    </dxf>
    <dxf>
      <font>
        <b/>
        <i/>
        <sz val="8"/>
        <color indexed="23"/>
        <name val="Arial"/>
        <family val="2"/>
        <scheme val="none"/>
      </font>
      <numFmt numFmtId="165" formatCode="0.0%"/>
      <alignment horizontal="center" vertical="bottom" textRotation="0" wrapText="0" indent="0" justifyLastLine="0" shrinkToFit="0" readingOrder="0"/>
      <protection locked="1" hidden="0"/>
    </dxf>
    <dxf>
      <font>
        <b/>
        <i val="0"/>
        <strike val="0"/>
        <condense val="0"/>
        <extend val="0"/>
        <outline val="0"/>
        <shadow val="0"/>
        <u val="none"/>
        <vertAlign val="baseline"/>
        <sz val="8"/>
        <color indexed="23"/>
        <name val="Arial"/>
        <family val="2"/>
        <scheme val="none"/>
      </font>
      <numFmt numFmtId="172" formatCode="[$-409]h:mm\ AM/PM;@"/>
      <alignment horizontal="general" vertical="bottom" textRotation="0" wrapText="0" indent="0" justifyLastLine="0" shrinkToFit="0" readingOrder="0"/>
      <protection locked="1" hidden="0"/>
    </dxf>
    <dxf>
      <font>
        <b/>
        <i val="0"/>
        <strike val="0"/>
        <condense val="0"/>
        <extend val="0"/>
        <outline val="0"/>
        <shadow val="0"/>
        <u val="none"/>
        <vertAlign val="baseline"/>
        <sz val="10"/>
        <color indexed="23"/>
        <name val="Arial"/>
        <family val="2"/>
        <scheme val="none"/>
      </font>
      <numFmt numFmtId="164" formatCode="[$-409]d\-mmm;@"/>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165" formatCode="0.0%"/>
    </dxf>
    <dxf>
      <font>
        <b val="0"/>
        <i val="0"/>
        <strike val="0"/>
        <condense val="0"/>
        <extend val="0"/>
        <outline val="0"/>
        <shadow val="0"/>
        <u val="none"/>
        <vertAlign val="baseline"/>
        <sz val="10"/>
        <color auto="1"/>
        <name val="Arial"/>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0" formatCode="_(* #,##0.000_);_(* \(#,##0.000\);_(* &quot;-&quot;??_);_(@_)"/>
    </dxf>
    <dxf>
      <font>
        <b val="0"/>
        <i val="0"/>
        <strike val="0"/>
        <condense val="0"/>
        <extend val="0"/>
        <outline val="0"/>
        <shadow val="0"/>
        <u val="none"/>
        <vertAlign val="baseline"/>
        <sz val="10"/>
        <color auto="1"/>
        <name val="Arial"/>
        <family val="2"/>
        <scheme val="none"/>
      </font>
      <numFmt numFmtId="170" formatCode="_(* #,##0.000_);_(* \(#,##0.000\);_(* &quot;-&quot;??_);_(@_)"/>
      <alignment horizontal="center" vertical="bottom" textRotation="0" wrapText="0" indent="0" justifyLastLine="0" shrinkToFit="0" readingOrder="0"/>
    </dxf>
    <dxf>
      <font>
        <b val="0"/>
        <i val="0"/>
        <strike val="0"/>
        <condense val="0"/>
        <extend val="0"/>
        <outline val="0"/>
        <shadow val="0"/>
        <u val="none"/>
        <vertAlign val="baseline"/>
        <sz val="8"/>
        <color theme="2" tint="-0.499984740745262"/>
        <name val="Arial"/>
        <family val="2"/>
        <scheme val="none"/>
      </font>
      <numFmt numFmtId="2" formatCode="0.00"/>
    </dxf>
    <dxf>
      <font>
        <b val="0"/>
        <i val="0"/>
        <strike val="0"/>
        <condense val="0"/>
        <extend val="0"/>
        <outline val="0"/>
        <shadow val="0"/>
        <u val="none"/>
        <vertAlign val="baseline"/>
        <sz val="8"/>
        <color theme="2" tint="-0.499984740745262"/>
        <name val="Arial"/>
        <family val="2"/>
        <scheme val="none"/>
      </font>
      <numFmt numFmtId="7" formatCode="#,##0.00_);\(#,##0.00\)"/>
    </dxf>
    <dxf>
      <fill>
        <patternFill patternType="none">
          <fgColor indexed="64"/>
          <bgColor indexed="65"/>
        </patternFill>
      </fill>
    </dxf>
    <dxf>
      <font>
        <b val="0"/>
        <i val="0"/>
        <strike val="0"/>
        <condense val="0"/>
        <extend val="0"/>
        <outline val="0"/>
        <shadow val="0"/>
        <u val="none"/>
        <vertAlign val="baseline"/>
        <sz val="10"/>
        <color indexed="23"/>
        <name val="Arial"/>
        <scheme val="none"/>
      </font>
      <numFmt numFmtId="166" formatCode="_(&quot;$&quot;* #,##0_);_(&quot;$&quot;* \(#,##0\);_(&quot;$&quot;* &quot;-&quot;??_);_(@_)"/>
      <fill>
        <patternFill patternType="none">
          <fgColor indexed="64"/>
          <bgColor indexed="65"/>
        </patternFill>
      </fill>
    </dxf>
    <dxf>
      <font>
        <b/>
        <i val="0"/>
        <strike val="0"/>
        <condense val="0"/>
        <extend val="0"/>
        <outline val="0"/>
        <shadow val="0"/>
        <u val="none"/>
        <vertAlign val="baseline"/>
        <sz val="10"/>
        <color indexed="23"/>
        <name val="Arial"/>
        <scheme val="none"/>
      </font>
      <numFmt numFmtId="4" formatCode="#,##0.00"/>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[snapshot SP pricing.xlsx]Sector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Exposure By Sector /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s>
    <c:plotArea>
      <c:layout/>
      <c:pieChart>
        <c:varyColors val="1"/>
        <c:ser>
          <c:idx val="0"/>
          <c:order val="0"/>
          <c:tx>
            <c:strRef>
              <c:f>'Sector Analysis'!$B$3</c:f>
              <c:strCache>
                <c:ptCount val="1"/>
                <c:pt idx="0">
                  <c:v>Total Exposure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D22-455D-8ACE-40A3E831B12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D22-455D-8ACE-40A3E831B12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D22-455D-8ACE-40A3E831B12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D22-455D-8ACE-40A3E831B12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D22-455D-8ACE-40A3E831B12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Analysis'!$A$4</c:f>
              <c:strCache>
                <c:ptCount val="1"/>
                <c:pt idx="0">
                  <c:v>Grand Total</c:v>
                </c:pt>
              </c:strCache>
            </c:strRef>
          </c:cat>
          <c:val>
            <c:numRef>
              <c:f>'Sector Analysis'!$B$4</c:f>
              <c:numCache>
                <c:formatCode>_("$"* #,##0_);_("$"* \(#,##0\);_("$"* "-"_);_(@_)</c:formatCode>
                <c:ptCount val="1"/>
              </c:numCache>
            </c:numRef>
          </c:val>
          <c:extLst>
            <c:ext xmlns:c16="http://schemas.microsoft.com/office/drawing/2014/chart" uri="{C3380CC4-5D6E-409C-BE32-E72D297353CC}">
              <c16:uniqueId val="{00000022-9D22-455D-8ACE-40A3E831B121}"/>
            </c:ext>
          </c:extLst>
        </c:ser>
        <c:ser>
          <c:idx val="1"/>
          <c:order val="1"/>
          <c:tx>
            <c:strRef>
              <c:f>'Sector Analysis'!$C$3</c:f>
              <c:strCache>
                <c:ptCount val="1"/>
                <c:pt idx="0">
                  <c:v>Pct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D22-455D-8ACE-40A3E831B1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D22-455D-8ACE-40A3E831B1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D22-455D-8ACE-40A3E831B1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9D22-455D-8ACE-40A3E831B1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9D22-455D-8ACE-40A3E831B1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9D22-455D-8ACE-40A3E831B1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9D22-455D-8ACE-40A3E831B1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9D22-455D-8ACE-40A3E831B1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9D22-455D-8ACE-40A3E831B1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9D22-455D-8ACE-40A3E831B12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9D22-455D-8ACE-40A3E831B12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9D22-455D-8ACE-40A3E831B12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B-6BC8-4BAD-BE58-8E8A3F1DCF0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D-6BC8-4BAD-BE58-8E8A3F1DCF0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F-6BC8-4BAD-BE58-8E8A3F1DCF0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3-5B25-4678-8978-B690959EE4C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5B25-4678-8978-B690959EE4C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7-5B25-4678-8978-B690959EE4C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5-1052-4991-9E36-6463E4F2460D}"/>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7-1052-4991-9E36-6463E4F2460D}"/>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9-1052-4991-9E36-6463E4F2460D}"/>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B-1052-4991-9E36-6463E4F2460D}"/>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D-1052-4991-9E36-6463E4F2460D}"/>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5F-1052-4991-9E36-6463E4F246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'Sector Analysis'!$A$4</c:f>
              <c:strCache>
                <c:ptCount val="1"/>
                <c:pt idx="0">
                  <c:v>Grand Total</c:v>
                </c:pt>
              </c:strCache>
            </c:strRef>
          </c:cat>
          <c:val>
            <c:numRef>
              <c:f>'Sector Analysis'!$C$4</c:f>
              <c:numCache>
                <c:formatCode>0.0%</c:formatCode>
                <c:ptCount val="1"/>
                <c:pt idx="0">
                  <c:v>#N/A</c:v>
                </c:pt>
              </c:numCache>
            </c:numRef>
          </c:val>
          <c:extLst>
            <c:ext xmlns:c16="http://schemas.microsoft.com/office/drawing/2014/chart" uri="{C3380CC4-5D6E-409C-BE32-E72D297353CC}">
              <c16:uniqueId val="{0000003B-9D22-455D-8ACE-40A3E831B1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142875</xdr:rowOff>
    </xdr:from>
    <xdr:to>
      <xdr:col>11</xdr:col>
      <xdr:colOff>285750</xdr:colOff>
      <xdr:row>18</xdr:row>
      <xdr:rowOff>133350</xdr:rowOff>
    </xdr:to>
    <xdr:graphicFrame macro="">
      <xdr:nvGraphicFramePr>
        <xdr:cNvPr id="2" name="Chart 1">
          <a:extLst>
            <a:ext uri="{FF2B5EF4-FFF2-40B4-BE49-F238E27FC236}">
              <a16:creationId xmlns:a16="http://schemas.microsoft.com/office/drawing/2014/main" id="{654BB44E-1C9B-46A8-AC09-45BA80F16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Green%20Olive/Investing/dev/constants.xlsm" TargetMode="External"/><Relationship Id="rId2" Type="http://schemas.openxmlformats.org/officeDocument/2006/relationships/externalLinkPath" Target="file:///C:\Users\finge\Dropbox\Green%20Olive\Investing\dev\constants.xlsm" TargetMode="External"/><Relationship Id="rId1" Type="http://schemas.openxmlformats.org/officeDocument/2006/relationships/externalLinkPath" Target="/Users/finge/Dropbox/Green%20Olive/Investing/dev/constant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rokerage Constants"/>
      <sheetName val="IRS"/>
      <sheetName val="Data Transfer Names"/>
      <sheetName val="DataLists"/>
      <sheetName val="Trade Journal"/>
      <sheetName val="Recognia Data"/>
      <sheetName val="Common Filters"/>
      <sheetName val="Yahoo Finance Strings"/>
      <sheetName val="Svc"/>
      <sheetName val="SvcConfig"/>
      <sheetName val="DtoConfig SNAP"/>
      <sheetName val="DtoConfig CAGR"/>
      <sheetName val="Best Sectors"/>
      <sheetName val="UiText"/>
      <sheetName val="TestingConstants"/>
      <sheetName val="WbData"/>
      <sheetName val="Market Holidays"/>
      <sheetName val="Links"/>
    </sheetNames>
    <definedNames>
      <definedName name="Choices_Bias"/>
      <definedName name="Choices_EbfCriteriaOp" refersTo="#REF!"/>
      <definedName name="Choices_MacdCrossing" refersTo="#REF!"/>
      <definedName name="Choices_MacdDirection" refersTo="#REF!"/>
      <definedName name="Choices_PositionDirection"/>
      <definedName name="Choices_ShortTermOutlook" refersTo="#REF!"/>
      <definedName name="Choices_StochasticK_Pct" refersTo="#REF!"/>
      <definedName name="Choices_Trend" refersTo="#REF!"/>
      <definedName name="Choices_Volume" refersTo="#REF!"/>
      <definedName name="Choices_XlAutoFilterOp" refersTo="#REF!"/>
      <definedName name="ToOptionSymbol"/>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c Fingerhut" refreshedDate="46229.683242245374" createdVersion="5" refreshedVersion="8" minRefreshableVersion="3" recordCount="386" xr:uid="{21C26A19-6708-4A38-90B9-2752C6BE048E}">
  <cacheSource type="worksheet">
    <worksheetSource name="SnapshotTable"/>
  </cacheSource>
  <cacheFields count="204">
    <cacheField name="Symbol" numFmtId="0">
      <sharedItems/>
    </cacheField>
    <cacheField name="Last Price" numFmtId="0">
      <sharedItems containsSemiMixedTypes="0" containsString="0" containsNumber="1" minValue="1E-4" maxValue="1163.01"/>
    </cacheField>
    <cacheField name="Goal" numFmtId="39">
      <sharedItems containsBlank="1" containsMixedTypes="1" containsNumber="1" minValue="8.1999999999999993" maxValue="45"/>
    </cacheField>
    <cacheField name="Market Crash Price" numFmtId="2">
      <sharedItems containsSemiMixedTypes="0" containsString="0" containsNumber="1" minValue="8.5000000000000006E-5" maxValue="988.55849999999998"/>
    </cacheField>
    <cacheField name="Industry" numFmtId="170">
      <sharedItems containsBlank="1" containsMixedTypes="1" containsNumber="1" containsInteger="1" minValue="0" maxValue="0" count="158">
        <s v="Aluminum"/>
        <s v="Specialty Retail"/>
        <s v="Consumer Electronics"/>
        <s v="Auto &amp; Truck Dealerships"/>
        <s v="Travel Services"/>
        <s v="Semiconductors"/>
        <s v="Drug Manufacturers - Specialty &amp; Generic"/>
        <s v="Semiconductor Equipment &amp; Materials"/>
        <s v="Information Technology Services"/>
        <s v="Software - Infrastructure"/>
        <s v="Farm Products"/>
        <s v="Software - Application"/>
        <s v="Gold"/>
        <s v="Utilities - Regulated Electric"/>
        <s v="Marine Shipping"/>
        <s v="Biotechnology"/>
        <s v="Engineering &amp; Construction"/>
        <s v="Insurance - Diversified"/>
        <s v="Health Care Equipment &amp; Supplies"/>
        <s v="Drug Manufacturers - General"/>
        <s v="Computer Hardware"/>
        <s v="Internet Content &amp; Information"/>
        <s v="Oil &amp; Gas E&amp;P"/>
        <s v="REIT - Office"/>
        <m/>
        <s v="Metal Fabrication"/>
        <s v="Communication Equipment"/>
        <s v="Electronic Gaming &amp; Multimedia"/>
        <s v="Application Software"/>
        <s v="Credit Services"/>
        <s v="Specialty Chemicals"/>
        <s v="Oil &amp; Gas Midstream"/>
        <s v="Entertainment"/>
        <s v="Internet Retail"/>
        <s v="Banks - Diversified"/>
        <s v="Exchange Traded Fund"/>
        <s v="Asset Management"/>
        <s v="Building Products &amp; Equipment"/>
        <s v="Oil &amp; Gas Integrated"/>
        <s v="Electrical Equipment &amp; Parts"/>
        <s v="Capital Markets"/>
        <s v="Oil &amp; Gas Equipment &amp; Services"/>
        <s v="Thermal Coal"/>
        <s v="Beverages - Brewers"/>
        <s v="Discount, Variety Stores"/>
        <s v="Processed &amp; Packaged Goods"/>
        <s v="Rental &amp; Leasing Services"/>
        <s v="Farm &amp; Heavy Construction Machinery"/>
        <s v="Entertainment - Diversified"/>
        <s v="Regulated Electric"/>
        <s v="Resorts &amp; Casinos"/>
        <s v="Silver"/>
        <s v="Security Software &amp; Services"/>
        <s v="Health Care Plans"/>
        <s v="Steel"/>
        <s v="Housewares &amp; Accessories"/>
        <s v="Restaurants"/>
        <s v="Diversified Machinery"/>
        <s v="Aerospace/Defense Products &amp; Services"/>
        <s v="Diagnostics &amp; Research"/>
        <s v="Real Estate Services"/>
        <s v="Specialty Eateries"/>
        <s v="Packaged Foods"/>
        <s v="Auto Dealerships"/>
        <s v="Beverages - Non-Alcoholic"/>
        <s v="Footwear &amp; Accessories"/>
        <s v="Foreign Money Center Banks"/>
        <s v="Regional - Southeast Banks"/>
        <s v="Chemicals - Major Diversified"/>
        <s v="Waste Management"/>
        <s v="Major Airlines"/>
        <s v="Medical Devices"/>
        <s v="Farm &amp; Construction Machinery"/>
        <s v="Consumer Cyclical"/>
        <s v="Online Betting"/>
        <s v="Sporting Goods Stores"/>
        <s v="Uranium"/>
        <s v="Electric Utilities"/>
        <s v="Medical Care Facilities"/>
        <s v="Specialty Retail, Other"/>
        <s v="Cleaning Products"/>
        <s v="Household &amp; Personal Products"/>
        <s v="Industrial Electrical Equipment"/>
        <s v="Independent Oil &amp; Gas"/>
        <s v="Oil &amp; Gas Drilling &amp; Exploration"/>
        <s v="Furnishings, Fixtures &amp; Appliances"/>
        <s v="Industrial Equipment Wholesale"/>
        <s v="Aerospace &amp; Defense"/>
        <s v="Textile - Apparel Clothing"/>
        <s v="Special Industrial Machinary"/>
        <s v="Business Services"/>
        <s v="Air Delivery &amp; Freight Services"/>
        <s v="Business Software &amp; Services"/>
        <s v="Textile - Apparel Footwear &amp; Accessories"/>
        <s v="Printed Circuit Boards"/>
        <s v="Broadcasting"/>
        <s v="Internet Software &amp; Services"/>
        <s v="Specialty Industrial Machinery"/>
        <s v="Medical Laboratories &amp; Research"/>
        <s v="Oil &amp; Gas Pipelines"/>
        <s v="Auto Manufacturers - Major"/>
        <s v="Telecom Services"/>
        <s v="Home Improvement Retail"/>
        <s v="Agricultural Chemicals"/>
        <s v="Drug Manufacturers - Major"/>
        <s v="Toys &amp; Games"/>
        <s v="Home Improvement Stores"/>
        <s v="Property &amp; Casualty Insurance"/>
        <s v="Other Precious Metals &amp; Mining"/>
        <s v="Personal Services"/>
        <s v="Confectioners"/>
        <s v="Apparel Stores"/>
        <s v="Insurance - Life"/>
        <s v="Regional - Midwest Banks"/>
        <s v="Food - Major Diversified"/>
        <s v="Beverages - Soft Drinks"/>
        <s v="Grocery Stores"/>
        <s v="Department Stores"/>
        <s v="Other Industrial Metals &amp; Mining"/>
        <s v="Auto Manufacturers"/>
        <s v="Auto Parts"/>
        <s v="Residential Construction"/>
        <s v="Security &amp; Protection Services"/>
        <s v="Regional Airlines"/>
        <s v="Lodging"/>
        <s v="Shell Companies"/>
        <s v="Metals &amp; Mining"/>
        <s v="Pollution &amp; Treatment Controls"/>
        <s v="Copper"/>
        <s v="Money Center Banks"/>
        <s v="Beverages - Wineries &amp; Distillers"/>
        <s v="Machine Tools &amp; Accessories"/>
        <s v="Telecom Services - Domestic"/>
        <s v="Education &amp; Training Services"/>
        <s v="Healthcare Information Services"/>
        <s v="Internet Information Providers"/>
        <s v="Wireless Communications"/>
        <s v="Medical Instruments &amp; Supplies"/>
        <s v="General Building Materials"/>
        <s v="Gaming Activities"/>
        <s v="Meat Products"/>
        <s v="Aerospace/Defense - Major Diversified"/>
        <s v="Personal Products"/>
        <s v="Natural Gas"/>
        <s v="Industrial Metals &amp; Minerals"/>
        <s v="CBOE Volatility Index"/>
        <s v="Oil &amp; Gas Refining &amp; Marketing"/>
        <s v="Regional - Northeast Banks"/>
        <s v="Technical &amp; System Software"/>
        <s v="Leisure"/>
        <s v="Auto Manuffacturers"/>
        <s v="Drug Stores"/>
        <s v="Packaging &amp; Containers"/>
        <s v="Home Furnishing Stores"/>
        <s v="Semiconductor - Integrated Circuits"/>
        <s v="Major Integrated Oil &amp; Gas"/>
        <s v="Talc"/>
        <n v="0" u="1"/>
      </sharedItems>
    </cacheField>
    <cacheField name="Sector" numFmtId="170">
      <sharedItems containsBlank="1" containsMixedTypes="1" containsNumber="1" containsInteger="1" minValue="0" maxValue="0" count="20">
        <s v="Basic Materials"/>
        <s v="Consumer Cyclical"/>
        <s v="Technology"/>
        <s v="Healthcare"/>
        <s v="Consumer Defensive"/>
        <s v="Utilities"/>
        <s v="Industrals"/>
        <s v="Industrials"/>
        <s v="Financial"/>
        <s v="Communication Services"/>
        <s v="Energy"/>
        <s v="Real Estate"/>
        <m/>
        <s v="Consumer Goods"/>
        <s v="Services"/>
        <s v="Industrial Goods"/>
        <s v="Footwear &amp; Accessories"/>
        <s v="Gambling"/>
        <s v="Crypto"/>
        <n v="0" u="1"/>
      </sharedItems>
    </cacheField>
    <cacheField name="Watch List" numFmtId="165">
      <sharedItems containsNonDate="0" containsString="0" containsBlank="1"/>
    </cacheField>
    <cacheField name="Earnings Date" numFmtId="164">
      <sharedItems containsDate="1" containsBlank="1" containsMixedTypes="1" minDate="2022-02-04T00:00:00" maxDate="2025-03-28T00:00:00"/>
    </cacheField>
    <cacheField name="Earnings Time" numFmtId="172">
      <sharedItems containsNonDate="0" containsDate="1" containsString="0" containsBlank="1" minDate="1899-12-30T06:00:00" maxDate="2023-08-30T16:15:00"/>
    </cacheField>
    <cacheField name="Earnings Status" numFmtId="165">
      <sharedItems containsBlank="1"/>
    </cacheField>
    <cacheField name="Next Catalyst" numFmtId="165">
      <sharedItems containsBlank="1"/>
    </cacheField>
    <cacheField name="AAP Rank" numFmtId="0">
      <sharedItems containsString="0" containsBlank="1" containsNumber="1" containsInteger="1" minValue="1" maxValue="2"/>
    </cacheField>
    <cacheField name="Is Core" numFmtId="0">
      <sharedItems containsBlank="1"/>
    </cacheField>
    <cacheField name="EBF Rank" numFmtId="0">
      <sharedItems containsString="0" containsBlank="1" containsNumber="1" containsInteger="1" minValue="0" maxValue="6"/>
    </cacheField>
    <cacheField name="Equity Shares" numFmtId="168">
      <sharedItems containsString="0" containsBlank="1" containsNumber="1" containsInteger="1" minValue="30" maxValue="30000"/>
    </cacheField>
    <cacheField name="Equity Basis Total" numFmtId="0">
      <sharedItems containsString="0" containsBlank="1" containsNumber="1" minValue="446" maxValue="70701"/>
    </cacheField>
    <cacheField name="Equity Basis Per Share" numFmtId="44">
      <sharedItems containsBlank="1" containsMixedTypes="1" containsNumber="1" minValue="3.3000000000000002E-2" maxValue="250"/>
    </cacheField>
    <cacheField name="Equity Value" numFmtId="166">
      <sharedItems containsSemiMixedTypes="0" containsString="0" containsNumber="1" minValue="0" maxValue="53200"/>
    </cacheField>
    <cacheField name="Equity G/L" numFmtId="166">
      <sharedItems containsSemiMixedTypes="0" containsString="0" containsNumber="1" minValue="-17501" maxValue="4690"/>
    </cacheField>
    <cacheField name="Equity ROI" numFmtId="165">
      <sharedItems containsMixedTypes="1" containsNumber="1" minValue="-0.99696969696969695" maxValue="6.3811659192825116"/>
    </cacheField>
    <cacheField name="Equity Target" numFmtId="44">
      <sharedItems containsString="0" containsBlank="1" containsNumber="1" minValue="2.5" maxValue="550"/>
    </cacheField>
    <cacheField name="Equity Stop Loss" numFmtId="44">
      <sharedItems containsBlank="1" containsMixedTypes="1" containsNumber="1" minValue="2.75" maxValue="464.85"/>
    </cacheField>
    <cacheField name="Equity Max Gain Per Share" numFmtId="44">
      <sharedItems containsBlank="1" containsMixedTypes="1" containsNumber="1" minValue="-10" maxValue="47.386399999999981"/>
    </cacheField>
    <cacheField name="Equity Max Loss Per Share" numFmtId="44">
      <sharedItems containsBlank="1" containsMixedTypes="1" containsNumber="1" minValue="-55" maxValue="14.169999999999998"/>
    </cacheField>
    <cacheField name="Risk Reward" numFmtId="44">
      <sharedItems containsBlank="1"/>
    </cacheField>
    <cacheField name="Equity Max Profit" numFmtId="166">
      <sharedItems containsBlank="1" containsMixedTypes="1" containsNumber="1" minValue="-1000" maxValue="14000"/>
    </cacheField>
    <cacheField name="Equity Max Risk" numFmtId="166">
      <sharedItems containsBlank="1" containsMixedTypes="1" containsNumber="1" minValue="-5600.0000000000018" maxValue="2833.9999999999995"/>
    </cacheField>
    <cacheField name="Annual Dividend Per Share" numFmtId="171">
      <sharedItems containsString="0" containsBlank="1" containsNumber="1" minValue="0" maxValue="6.6"/>
    </cacheField>
    <cacheField name="Div Pay Date" numFmtId="0">
      <sharedItems containsDate="1" containsBlank="1" containsMixedTypes="1" minDate="2015-10-14T00:00:00" maxDate="2021-11-03T00:00:00"/>
    </cacheField>
    <cacheField name="Quarterly Div $" numFmtId="166">
      <sharedItems containsSemiMixedTypes="0" containsString="0" containsNumber="1" minValue="0" maxValue="109.00000000000001"/>
    </cacheField>
    <cacheField name="Annual Div $" numFmtId="166">
      <sharedItems containsSemiMixedTypes="0" containsString="0" containsNumber="1" minValue="0" maxValue="436.00000000000006"/>
    </cacheField>
    <cacheField name="Div Yield" numFmtId="165">
      <sharedItems containsSemiMixedTypes="0" containsString="0" containsNumber="1" minValue="0" maxValue="0.14656488549618321"/>
    </cacheField>
    <cacheField name="Div Ex Date" numFmtId="0">
      <sharedItems containsDate="1" containsBlank="1" containsMixedTypes="1" minDate="2006-02-21T00:00:00" maxDate="2024-01-31T00:00:00"/>
    </cacheField>
    <cacheField name="EBF Target" numFmtId="0">
      <sharedItems containsString="0" containsBlank="1" containsNumber="1" minValue="0" maxValue="350"/>
    </cacheField>
    <cacheField name="Long Term Target" numFmtId="44">
      <sharedItems containsBlank="1" containsMixedTypes="1" containsNumber="1" minValue="2.65" maxValue="3362.58"/>
    </cacheField>
    <cacheField name="AAP % From Current" numFmtId="165">
      <sharedItems containsMixedTypes="1" containsNumber="1" minValue="-1" maxValue="9.6269925611052081"/>
    </cacheField>
    <cacheField name="From Basis % " numFmtId="165">
      <sharedItems containsMixedTypes="1" containsNumber="1" minValue="-0.14147203944413103" maxValue="16.937219730941703"/>
    </cacheField>
    <cacheField name="From Basis $" numFmtId="166">
      <sharedItems containsSemiMixedTypes="0" containsString="0" containsNumber="1" minValue="-3149.3600000000006" maxValue="18000"/>
    </cacheField>
    <cacheField name="From Current $" numFmtId="166">
      <sharedItems containsSemiMixedTypes="0" containsString="0" containsNumber="1" containsInteger="1" minValue="-1840" maxValue="23540"/>
    </cacheField>
    <cacheField name="From Current %" numFmtId="0">
      <sharedItems containsMixedTypes="1" containsNumber="1" minValue="-0.95057506994093877" maxValue="197.43333333333337"/>
    </cacheField>
    <cacheField name="Upside Target" numFmtId="0">
      <sharedItems containsString="0" containsBlank="1" containsNumber="1" minValue="7.0000000000000007E-2" maxValue="2800"/>
    </cacheField>
    <cacheField name="Upside Target Reason" numFmtId="165">
      <sharedItems containsBlank="1"/>
    </cacheField>
    <cacheField name="Downside Target" numFmtId="0">
      <sharedItems containsBlank="1" containsMixedTypes="1" containsNumber="1" minValue="1.4" maxValue="2400"/>
    </cacheField>
    <cacheField name="Downside Target Reason" numFmtId="165">
      <sharedItems containsBlank="1"/>
    </cacheField>
    <cacheField name="Position Description" numFmtId="165">
      <sharedItems containsBlank="1"/>
    </cacheField>
    <cacheField name="No Fill" numFmtId="0">
      <sharedItems/>
    </cacheField>
    <cacheField name="Chat GBT" numFmtId="0">
      <sharedItems containsBlank="1" containsMixedTypes="1" containsNumber="1" minValue="15.37" maxValue="159.5"/>
    </cacheField>
    <cacheField name="Implied Move" numFmtId="0">
      <sharedItems containsString="0" containsBlank="1" containsNumber="1" minValue="0.52900000000000003" maxValue="8.5779999999999994"/>
    </cacheField>
    <cacheField name="IM Date" numFmtId="164">
      <sharedItems containsNonDate="0" containsDate="1" containsString="0" containsBlank="1" minDate="2020-05-01T00:00:00" maxDate="2021-07-03T00:00:00"/>
    </cacheField>
    <cacheField name="IM Lower Bound" numFmtId="44">
      <sharedItems containsBlank="1" containsMixedTypes="1" containsNumber="1" minValue="1.0369999999999999" maxValue="133.68199999999999"/>
    </cacheField>
    <cacheField name="IM Upper Bound" numFmtId="44">
      <sharedItems containsBlank="1" containsMixedTypes="1" containsNumber="1" minValue="7.9029999999999996" maxValue="150.83799999999999"/>
    </cacheField>
    <cacheField name="ACB" numFmtId="44">
      <sharedItems containsString="0" containsBlank="1" containsNumber="1" minValue="-19.21" maxValue="722"/>
    </cacheField>
    <cacheField name="To Do" numFmtId="0">
      <sharedItems containsBlank="1"/>
    </cacheField>
    <cacheField name="Trade Exp" numFmtId="164">
      <sharedItems containsDate="1" containsBlank="1" containsMixedTypes="1" minDate="2023-08-04T00:00:00" maxDate="2028-06-17T00:00:00"/>
    </cacheField>
    <cacheField name="LP Exp Date" numFmtId="178">
      <sharedItems containsNonDate="0" containsDate="1" containsString="0" containsBlank="1" minDate="2025-11-07T00:00:00" maxDate="2025-11-08T00:00:00"/>
    </cacheField>
    <cacheField name="LP Strike Price" numFmtId="44">
      <sharedItems containsNonDate="0" containsString="0" containsBlank="1"/>
    </cacheField>
    <cacheField name="LP Qty" numFmtId="1">
      <sharedItems containsNonDate="0" containsString="0" containsBlank="1"/>
    </cacheField>
    <cacheField name="LP Book Date" numFmtId="164">
      <sharedItems containsNonDate="0" containsString="0" containsBlank="1"/>
    </cacheField>
    <cacheField name="LP Fill Date" numFmtId="164">
      <sharedItems containsNonDate="0" containsDate="1" containsString="0" containsBlank="1" minDate="2017-03-16T00:00:00" maxDate="2017-03-21T00:00:00"/>
    </cacheField>
    <cacheField name="LP Book Price" numFmtId="44">
      <sharedItems containsNonDate="0" containsString="0" containsBlank="1"/>
    </cacheField>
    <cacheField name="LP Premium" numFmtId="166">
      <sharedItems containsString="0" containsBlank="1" containsNumber="1" containsInteger="1" minValue="0" maxValue="0"/>
    </cacheField>
    <cacheField name="LP Max Value" numFmtId="166">
      <sharedItems containsSemiMixedTypes="0" containsString="0" containsNumber="1" containsInteger="1" minValue="0" maxValue="0"/>
    </cacheField>
    <cacheField name="LP Contract Value" numFmtId="44">
      <sharedItems containsNonDate="0" containsString="0" containsBlank="1"/>
    </cacheField>
    <cacheField name="LP Term" numFmtId="0">
      <sharedItems/>
    </cacheField>
    <cacheField name="LP DTE" numFmtId="0">
      <sharedItems/>
    </cacheField>
    <cacheField name="LP No Fill" numFmtId="44">
      <sharedItems/>
    </cacheField>
    <cacheField name="LP Total Value" numFmtId="166">
      <sharedItems containsBlank="1"/>
    </cacheField>
    <cacheField name="SP Exp Date" numFmtId="164">
      <sharedItems containsNonDate="0" containsDate="1" containsString="0" containsBlank="1" minDate="2023-08-04T00:00:00" maxDate="2026-11-21T00:00:00"/>
    </cacheField>
    <cacheField name="SP Strike Price" numFmtId="44">
      <sharedItems containsString="0" containsBlank="1" containsNumber="1" minValue="4" maxValue="210"/>
    </cacheField>
    <cacheField name="SP Qty" numFmtId="1">
      <sharedItems containsString="0" containsBlank="1" containsNumber="1" containsInteger="1" minValue="1" maxValue="30"/>
    </cacheField>
    <cacheField name="SP Book Date" numFmtId="164">
      <sharedItems containsNonDate="0" containsDate="1" containsString="0" containsBlank="1" minDate="2026-05-13T00:00:00" maxDate="2026-07-08T00:00:00"/>
    </cacheField>
    <cacheField name="SP Fill Date" numFmtId="164">
      <sharedItems containsNonDate="0" containsDate="1" containsString="0" containsBlank="1" minDate="2026-05-13T00:00:00" maxDate="2026-07-08T00:00:00"/>
    </cacheField>
    <cacheField name="SP Book Price" numFmtId="44">
      <sharedItems containsString="0" containsBlank="1" containsNumber="1" minValue="0.5" maxValue="14.9"/>
    </cacheField>
    <cacheField name="SP Is Booked" numFmtId="44">
      <sharedItems/>
    </cacheField>
    <cacheField name="SP Is Filled" numFmtId="44">
      <sharedItems/>
    </cacheField>
    <cacheField name="SP Premium" numFmtId="42">
      <sharedItems containsSemiMixedTypes="0" containsString="0" containsNumber="1" minValue="0" maxValue="1500"/>
    </cacheField>
    <cacheField name="SP Fill Delta" numFmtId="0">
      <sharedItems containsString="0" containsBlank="1" containsNumber="1" minValue="0.18" maxValue="0.65"/>
    </cacheField>
    <cacheField name="SP LPs" numFmtId="0">
      <sharedItems containsSemiMixedTypes="0" containsString="0" containsNumber="1" containsInteger="1" minValue="0" maxValue="0"/>
    </cacheField>
    <cacheField name="SP Break Even" numFmtId="44">
      <sharedItems containsMixedTypes="1" containsNumber="1" minValue="3.5" maxValue="195.1"/>
    </cacheField>
    <cacheField name="SP Term" numFmtId="0">
      <sharedItems containsMixedTypes="1" containsNumber="1" containsInteger="1" minValue="3" maxValue="168"/>
    </cacheField>
    <cacheField name="SP ROO Term" numFmtId="165">
      <sharedItems containsMixedTypes="1" containsNumber="1" minValue="0.02" maxValue="0.125"/>
    </cacheField>
    <cacheField name="SP Annual ROO" numFmtId="165">
      <sharedItems containsMixedTypes="1" containsNumber="1" minValue="0.27157738095238093" maxValue="2.4333333333333336"/>
    </cacheField>
    <cacheField name="LP Protection" numFmtId="166">
      <sharedItems containsSemiMixedTypes="0" containsString="0" containsNumber="1" containsInteger="1" minValue="0" maxValue="0"/>
    </cacheField>
    <cacheField name="SP Potential Spend" numFmtId="166">
      <sharedItems containsSemiMixedTypes="0" containsString="0" containsNumber="1" containsInteger="1" minValue="0" maxValue="55000"/>
    </cacheField>
    <cacheField name="SP Gap" numFmtId="165">
      <sharedItems containsMixedTypes="1" containsNumber="1" minValue="-0.40973451327433619" maxValue="9.5607235142118885E-2"/>
    </cacheField>
    <cacheField name="SP Actual Spend" numFmtId="166">
      <sharedItems containsSemiMixedTypes="0" containsString="0" containsNumber="1" containsInteger="1" minValue="0" maxValue="55000"/>
    </cacheField>
    <cacheField name="SP POW" numFmtId="9">
      <sharedItems containsString="0" containsBlank="1" containsNumber="1" minValue="0" maxValue="1"/>
    </cacheField>
    <cacheField name="SP Cash Reserve" numFmtId="166">
      <sharedItems containsSemiMixedTypes="0" containsString="0" containsNumber="1" containsInteger="1" minValue="0" maxValue="55000"/>
    </cacheField>
    <cacheField name="SP Unfilled Potential Spend" numFmtId="44">
      <sharedItems containsMixedTypes="1" containsNumber="1" containsInteger="1" minValue="0" maxValue="0"/>
    </cacheField>
    <cacheField name="SP Actual Loss" numFmtId="166">
      <sharedItems containsMixedTypes="1" containsNumber="1" minValue="-7249.9999999999982" maxValue="1110.0000000000005"/>
    </cacheField>
    <cacheField name="SP Current Ask" numFmtId="44">
      <sharedItems containsString="0" containsBlank="1" containsNumber="1" minValue="0" maxValue="37.450000000000003"/>
    </cacheField>
    <cacheField name="SP Current Delta" numFmtId="43">
      <sharedItems containsString="0" containsBlank="1" containsNumber="1" minValue="0" maxValue="0.55000000000000004"/>
    </cacheField>
    <cacheField name="SP Buyback Point" numFmtId="44">
      <sharedItems/>
    </cacheField>
    <cacheField name="SP Buyback Override" numFmtId="44">
      <sharedItems containsString="0" containsBlank="1" containsNumber="1" minValue="0.55000000000000004" maxValue="0.55000000000000004"/>
    </cacheField>
    <cacheField name="SP Buyback Price to Use" numFmtId="44">
      <sharedItems/>
    </cacheField>
    <cacheField name="SP Buyback GTC Date" numFmtId="164">
      <sharedItems/>
    </cacheField>
    <cacheField name="SP Should Buyback" numFmtId="166">
      <sharedItems/>
    </cacheField>
    <cacheField name="SP Buyback Cutoff" numFmtId="164">
      <sharedItems containsNonDate="0" containsDate="1" containsString="0" containsBlank="1" minDate="2021-01-09T00:00:00" maxDate="2026-09-01T00:00:00"/>
    </cacheField>
    <cacheField name="SP Bid TIF" numFmtId="166">
      <sharedItems containsBlank="1"/>
    </cacheField>
    <cacheField name="SP DTE" numFmtId="1">
      <sharedItems containsMixedTypes="1" containsNumber="1" containsInteger="1" minValue="-16" maxValue="117"/>
    </cacheField>
    <cacheField name="SP Buyback Cost to Close" numFmtId="166">
      <sharedItems/>
    </cacheField>
    <cacheField name="SP Strike  Stop Per Share" numFmtId="44">
      <sharedItems containsMixedTypes="1" containsNumber="1" minValue="3.88" maxValue="203.7"/>
    </cacheField>
    <cacheField name="SP Strike  Stop  Max Loss" numFmtId="166">
      <sharedItems containsMixedTypes="1" containsNumber="1" minValue="-549.99999999999864" maxValue="1139.9999999999995"/>
    </cacheField>
    <cacheField name="SP Option  Stop Contract" numFmtId="44">
      <sharedItems containsMixedTypes="1" containsNumber="1" minValue="0.75" maxValue="22.35"/>
    </cacheField>
    <cacheField name="SP Option  Stop Total" numFmtId="166">
      <sharedItems containsMixedTypes="1" containsNumber="1" minValue="200" maxValue="750"/>
    </cacheField>
    <cacheField name="SP Stop Override" numFmtId="44">
      <sharedItems containsString="0" containsBlank="1" containsNumber="1" minValue="4.07" maxValue="28"/>
    </cacheField>
    <cacheField name="SP Stop To Use" numFmtId="44">
      <sharedItems containsString="0" containsBlank="1" containsNumber="1" minValue="3.3" maxValue="3.3"/>
    </cacheField>
    <cacheField name="SP Stop Loss" numFmtId="44">
      <sharedItems/>
    </cacheField>
    <cacheField name="SP Total Value" numFmtId="166">
      <sharedItems containsMixedTypes="1" containsNumber="1" containsInteger="1" minValue="-2190" maxValue="-400"/>
    </cacheField>
    <cacheField name="SP Gain Loss" numFmtId="166">
      <sharedItems containsMixedTypes="1" containsNumber="1" minValue="-1120" maxValue="220"/>
    </cacheField>
    <cacheField name="SP Pct Earned" numFmtId="9">
      <sharedItems containsBlank="1" containsMixedTypes="1" containsNumber="1" minValue="-1.06" maxValue="0.35483870967741937"/>
    </cacheField>
    <cacheField name="LC Exp Date" numFmtId="180">
      <sharedItems containsNonDate="0" containsDate="1" containsString="0" containsBlank="1" minDate="2026-09-18T00:00:00" maxDate="2028-06-17T00:00:00"/>
    </cacheField>
    <cacheField name="LC Strike Price" numFmtId="0">
      <sharedItems containsString="0" containsBlank="1" containsNumber="1" containsInteger="1" minValue="20" maxValue="400"/>
    </cacheField>
    <cacheField name="LC Qty" numFmtId="1">
      <sharedItems containsString="0" containsBlank="1" containsNumber="1" containsInteger="1" minValue="2" maxValue="16"/>
    </cacheField>
    <cacheField name="LC Book Date" numFmtId="164">
      <sharedItems containsNonDate="0" containsDate="1" containsString="0" containsBlank="1" minDate="2026-02-23T00:00:00" maxDate="2026-03-07T00:00:00"/>
    </cacheField>
    <cacheField name="LC Fill Date" numFmtId="164">
      <sharedItems containsNonDate="0" containsDate="1" containsString="0" containsBlank="1" minDate="2026-02-23T00:00:00" maxDate="2026-03-07T00:00:00"/>
    </cacheField>
    <cacheField name="LC Book Price" numFmtId="0">
      <sharedItems containsString="0" containsBlank="1" containsNumber="1" minValue="4.2" maxValue="118.98"/>
    </cacheField>
    <cacheField name="LC Premium" numFmtId="166">
      <sharedItems containsSemiMixedTypes="0" containsString="0" containsNumber="1" minValue="0" maxValue="23796"/>
    </cacheField>
    <cacheField name="LC Not Filled" numFmtId="0">
      <sharedItems/>
    </cacheField>
    <cacheField name="LC Term" numFmtId="0">
      <sharedItems containsMixedTypes="1" containsNumber="1" containsInteger="1" minValue="207" maxValue="841"/>
    </cacheField>
    <cacheField name="LC DTE" numFmtId="0">
      <sharedItems containsMixedTypes="1" containsNumber="1" containsInteger="1" minValue="54" maxValue="691"/>
    </cacheField>
    <cacheField name="LC Break Even" numFmtId="0">
      <sharedItems containsMixedTypes="1" containsNumber="1" minValue="25.78" maxValue="518.98"/>
    </cacheField>
    <cacheField name="LC Contract Value" numFmtId="44">
      <sharedItems containsString="0" containsBlank="1" containsNumber="1" minValue="0" maxValue="103.99"/>
    </cacheField>
    <cacheField name="LC Total Value" numFmtId="166">
      <sharedItems containsMixedTypes="1" containsNumber="1" containsInteger="1" minValue="0" maxValue="20798"/>
    </cacheField>
    <cacheField name="LC Actual Gain Loss" numFmtId="166">
      <sharedItems containsMixedTypes="1" containsNumber="1" containsInteger="1" minValue="-2998" maxValue="368"/>
    </cacheField>
    <cacheField name="LC Actual ROI" numFmtId="9">
      <sharedItems containsMixedTypes="1" containsNumber="1" minValue="-0.12598756093461086" maxValue="3.9792387543252594E-2"/>
    </cacheField>
    <cacheField name="LC Next Target" numFmtId="44">
      <sharedItems containsBlank="1" containsMixedTypes="1" containsNumber="1" minValue="6.3000000000000007" maxValue="178.47"/>
    </cacheField>
    <cacheField name="LC Target Gross" numFmtId="174">
      <sharedItems containsMixedTypes="1" containsNumber="1" minValue="13872" maxValue="35694"/>
    </cacheField>
    <cacheField name="LC Target Gain Loss" numFmtId="174">
      <sharedItems containsMixedTypes="1" containsNumber="1" minValue="4624" maxValue="11898"/>
    </cacheField>
    <cacheField name="LC Target ROI" numFmtId="9">
      <sharedItems containsMixedTypes="1" containsNumber="1" minValue="0.49999999999999983" maxValue="0.50000000000000022"/>
    </cacheField>
    <cacheField name="LC Next Review Date" numFmtId="175">
      <sharedItems containsBlank="1"/>
    </cacheField>
    <cacheField name="LC Stop Loss Calc Target" numFmtId="44">
      <sharedItems containsMixedTypes="1" containsNumber="1" minValue="4.335" maxValue="89.234999999999999"/>
    </cacheField>
    <cacheField name="LC Stop Loss Override" numFmtId="44">
      <sharedItems containsBlank="1" containsMixedTypes="1" containsNumber="1" minValue="160.6" maxValue="160.6"/>
    </cacheField>
    <cacheField name="LC Stop  To Use" numFmtId="44">
      <sharedItems containsMixedTypes="1" containsNumber="1" minValue="4.335" maxValue="160.6"/>
    </cacheField>
    <cacheField name="LC Stop Loss Amount" numFmtId="166">
      <sharedItems containsMixedTypes="1" containsNumber="1" containsInteger="1" minValue="6936" maxValue="32120"/>
    </cacheField>
    <cacheField name="LC Stop Gain Loss" numFmtId="166">
      <sharedItems containsMixedTypes="1" containsNumber="1" containsInteger="1" minValue="-2312" maxValue="8324"/>
    </cacheField>
    <cacheField name="LC Cost To Exercise" numFmtId="166">
      <sharedItems containsSemiMixedTypes="0" containsString="0" containsNumber="1" containsInteger="1" minValue="0" maxValue="105000"/>
    </cacheField>
    <cacheField name="LC  Stop ROI" numFmtId="9">
      <sharedItems containsBlank="1" containsMixedTypes="1" containsNumber="1" minValue="-0.25" maxValue="0.34980669020003363"/>
    </cacheField>
    <cacheField name="SC Max Qty" numFmtId="37">
      <sharedItems containsSemiMixedTypes="0" containsString="0" containsNumber="1" containsInteger="1" minValue="0" maxValue="300"/>
    </cacheField>
    <cacheField name="SC Exp Date" numFmtId="164">
      <sharedItems containsNonDate="0" containsDate="1" containsString="0" containsBlank="1" minDate="2026-07-31T00:00:00" maxDate="2026-08-22T00:00:00"/>
    </cacheField>
    <cacheField name="SC Strike Price" numFmtId="44">
      <sharedItems containsString="0" containsBlank="1" containsNumber="1" containsInteger="1" minValue="18" maxValue="530"/>
    </cacheField>
    <cacheField name="SC Qty" numFmtId="1">
      <sharedItems containsString="0" containsBlank="1" containsNumber="1" containsInteger="1" minValue="0" maxValue="16"/>
    </cacheField>
    <cacheField name="SC Book Date" numFmtId="164">
      <sharedItems containsNonDate="0" containsDate="1" containsString="0" containsBlank="1" minDate="2023-05-30T00:00:00" maxDate="2026-07-27T00:00:00"/>
    </cacheField>
    <cacheField name="SC Fill Date" numFmtId="164">
      <sharedItems containsNonDate="0" containsDate="1" containsString="0" containsBlank="1" minDate="2026-07-26T00:00:00" maxDate="2026-07-27T00:00:00"/>
    </cacheField>
    <cacheField name="SC Book Price" numFmtId="44">
      <sharedItems containsString="0" containsBlank="1" containsNumber="1" minValue="0.08" maxValue="26.5"/>
    </cacheField>
    <cacheField name="SC Is Booked" numFmtId="44">
      <sharedItems/>
    </cacheField>
    <cacheField name="SC Is Filled" numFmtId="44">
      <sharedItems/>
    </cacheField>
    <cacheField name="SC Fill Delta" numFmtId="2">
      <sharedItems containsString="0" containsBlank="1" containsNumber="1" minValue="0.15" maxValue="0.75"/>
    </cacheField>
    <cacheField name="SC Term" numFmtId="1">
      <sharedItems containsMixedTypes="1" containsNumber="1" containsInteger="1" minValue="6" maxValue="27"/>
    </cacheField>
    <cacheField name="SC DTE" numFmtId="1">
      <sharedItems containsMixedTypes="1" containsNumber="1" containsInteger="1" minValue="5" maxValue="26"/>
    </cacheField>
    <cacheField name="SC Premium" numFmtId="166">
      <sharedItems containsSemiMixedTypes="0" containsString="0" containsNumber="1" minValue="0" maxValue="4140.0000000000009"/>
    </cacheField>
    <cacheField name="SC Break Even" numFmtId="44">
      <sharedItems containsMixedTypes="1" containsNumber="1" minValue="3.7800000000000002" maxValue="229.61"/>
    </cacheField>
    <cacheField name="SC Basis" numFmtId="0">
      <sharedItems containsMixedTypes="1" containsNumber="1" minValue="16.46" maxValue="232.11"/>
    </cacheField>
    <cacheField name="SC Min Prem Req" numFmtId="44">
      <sharedItems containsSemiMixedTypes="0" containsString="0" containsNumber="1" minValue="0" maxValue="1.39266"/>
    </cacheField>
    <cacheField name="SC Bid TIF2" numFmtId="44">
      <sharedItems containsNonDate="0" containsString="0" containsBlank="1"/>
    </cacheField>
    <cacheField name="SC Current Ask" numFmtId="0">
      <sharedItems containsString="0" containsBlank="1" containsNumber="1" minValue="0.69" maxValue="3.65"/>
    </cacheField>
    <cacheField name="SC Current Delta" numFmtId="2">
      <sharedItems containsString="0" containsBlank="1" containsNumber="1" minValue="6.6000000000000003E-2" maxValue="0.98650000000000004"/>
    </cacheField>
    <cacheField name="SC Buyback Point" numFmtId="44">
      <sharedItems containsMixedTypes="1" containsNumber="1" containsInteger="1" minValue="0" maxValue="0"/>
    </cacheField>
    <cacheField name="SC Buyback Override" numFmtId="44">
      <sharedItems containsString="0" containsBlank="1" containsNumber="1" minValue="0.8" maxValue="0.8"/>
    </cacheField>
    <cacheField name="SC Buyback GTC Date" numFmtId="164">
      <sharedItems/>
    </cacheField>
    <cacheField name="SC Should Buyback" numFmtId="44">
      <sharedItems/>
    </cacheField>
    <cacheField name="SC Intrinsic Value" numFmtId="0">
      <sharedItems containsSemiMixedTypes="0" containsString="0" containsNumber="1" containsInteger="1" minValue="0" maxValue="0"/>
    </cacheField>
    <cacheField name="SC Time Val" numFmtId="44">
      <sharedItems containsSemiMixedTypes="0" containsString="0" containsNumber="1" minValue="0" maxValue="3.65"/>
    </cacheField>
    <cacheField name="SC Buy Back Cutoff" numFmtId="164">
      <sharedItems containsNonDate="0" containsDate="1" containsString="0" containsBlank="1" minDate="2021-03-19T00:00:00" maxDate="2026-08-22T00:00:00"/>
    </cacheField>
    <cacheField name="SC Current Cost To Close" numFmtId="5">
      <sharedItems containsMixedTypes="1" containsNumber="1" containsInteger="1" minValue="271" maxValue="950"/>
    </cacheField>
    <cacheField name="SC Time Value Closing Pct" numFmtId="10">
      <sharedItems containsMixedTypes="1" containsNumber="1" minValue="1.2934326078655975E-2" maxValue="4.2306655887900835E-2"/>
    </cacheField>
    <cacheField name="Gap From Strike" numFmtId="165">
      <sharedItems containsMixedTypes="1" containsNumber="1" minValue="2.3982753974669917E-2" maxValue="0.12781954887218039"/>
    </cacheField>
    <cacheField name="SC Exercise Gross" numFmtId="166">
      <sharedItems containsMixedTypes="1" containsNumber="1" minValue="17999.310000000001" maxValue="59999.05"/>
    </cacheField>
    <cacheField name="SC Exercise Oppty Cost" numFmtId="166">
      <sharedItems/>
    </cacheField>
    <cacheField name="SC Exercise P&amp;L (TAX)" numFmtId="166">
      <sharedItems containsMixedTypes="1" containsNumber="1" minValue="-9301.9499999999971" maxValue="1422.4300000000012"/>
    </cacheField>
    <cacheField name="SC Exercise Share Price" numFmtId="44">
      <sharedItems containsMixedTypes="1" containsNumber="1" minValue="17.999310000000001" maxValue="244.96349999999998"/>
    </cacheField>
    <cacheField name="SC Simple ROO" numFmtId="10">
      <sharedItems containsMixedTypes="1" containsNumber="1" minValue="1.2934326078655975E-2" maxValue="4.2306655887900835E-2"/>
    </cacheField>
    <cacheField name="SC Annual ROO" numFmtId="10">
      <sharedItems/>
    </cacheField>
    <cacheField name="SC Upside Potential" numFmtId="44">
      <sharedItems containsSemiMixedTypes="0" containsString="0" containsNumber="1" minValue="0" maxValue="351.15"/>
    </cacheField>
    <cacheField name="SC Upside Pct" numFmtId="10">
      <sharedItems containsMixedTypes="1" containsNumber="1" minValue="2.6823387582881272E-2" maxValue="0.65994474618955434"/>
    </cacheField>
    <cacheField name="SC Downside Protect" numFmtId="44">
      <sharedItems/>
    </cacheField>
    <cacheField name="SC Downside Pct" numFmtId="10">
      <sharedItems/>
    </cacheField>
    <cacheField name="SC Max Dollars" numFmtId="166">
      <sharedItems containsMixedTypes="1" containsNumber="1" minValue="151.47999999999999" maxValue="4145.3400000000011"/>
    </cacheField>
    <cacheField name="SC Max ROO" numFmtId="165">
      <sharedItems/>
    </cacheField>
    <cacheField name="SC Current Value" numFmtId="166">
      <sharedItems containsMixedTypes="1" containsNumber="1" containsInteger="1" minValue="-950" maxValue="-271"/>
    </cacheField>
    <cacheField name="SC Gain Loss" numFmtId="166">
      <sharedItems containsMixedTypes="1" containsNumber="1" minValue="-130" maxValue="3198.0000000000009"/>
    </cacheField>
    <cacheField name="SC Pct Earned" numFmtId="9">
      <sharedItems containsMixedTypes="1" containsNumber="1" minValue="-0.92198581560283688" maxValue="0.77246376811594208"/>
    </cacheField>
    <cacheField name="Sell Shares Pct" numFmtId="168">
      <sharedItems containsSemiMixedTypes="0" containsString="0" containsNumber="1" containsInteger="1" minValue="0" maxValue="6000"/>
    </cacheField>
    <cacheField name="Sell Price Tgt" numFmtId="4">
      <sharedItems containsMixedTypes="1" containsNumber="1" minValue="0" maxValue="3194.4509999999996"/>
    </cacheField>
    <cacheField name="Sell Price Gain" numFmtId="4">
      <sharedItems containsSemiMixedTypes="0" containsString="0" containsNumber="1" minValue="1.95E-4" maxValue="2267.8694999999998"/>
    </cacheField>
    <cacheField name="Booked Sale Shares" numFmtId="3">
      <sharedItems containsString="0" containsBlank="1" containsNumber="1" containsInteger="1" minValue="50" maxValue="200"/>
    </cacheField>
    <cacheField name="Booked Sale Price" numFmtId="4">
      <sharedItems containsString="0" containsBlank="1" containsNumber="1" minValue="15.18" maxValue="128.88"/>
    </cacheField>
    <cacheField name="Sale Proceeds" numFmtId="166">
      <sharedItems containsSemiMixedTypes="0" containsString="0" containsNumber="1" minValue="0" maxValue="16716"/>
    </cacheField>
    <cacheField name="Sale Basis" numFmtId="166">
      <sharedItems containsMixedTypes="1" containsNumber="1" containsInteger="1" minValue="0" maxValue="0"/>
    </cacheField>
    <cacheField name="Sale G/L" numFmtId="166">
      <sharedItems containsMixedTypes="1" containsNumber="1" containsInteger="1" minValue="0" maxValue="0"/>
    </cacheField>
    <cacheField name="Simple Sell ROI" numFmtId="10">
      <sharedItems containsMixedTypes="1" containsNumber="1" minValue="-182.30194410692579" maxValue="38.330099703583976"/>
    </cacheField>
    <cacheField name="GUID Lookup" numFmtId="10">
      <sharedItems containsBlank="1"/>
    </cacheField>
    <cacheField name="LP Symbol" numFmtId="42">
      <sharedItems/>
    </cacheField>
    <cacheField name="LP Symbol Count" numFmtId="1">
      <sharedItems/>
    </cacheField>
    <cacheField name="SP Symbol" numFmtId="42">
      <sharedItems/>
    </cacheField>
    <cacheField name="SP Symbol Count" numFmtId="1">
      <sharedItems containsMixedTypes="1" containsNumber="1" containsInteger="1" minValue="1" maxValue="1"/>
    </cacheField>
    <cacheField name="LC Symbol" numFmtId="42">
      <sharedItems/>
    </cacheField>
    <cacheField name="LC Symbol Count" numFmtId="1">
      <sharedItems containsMixedTypes="1" containsNumber="1" containsInteger="1" minValue="1" maxValue="1"/>
    </cacheField>
    <cacheField name="SC Symbol" numFmtId="42">
      <sharedItems/>
    </cacheField>
    <cacheField name="SC Symbol Count" numFmtId="1">
      <sharedItems containsMixedTypes="1" containsNumber="1" containsInteger="1" minValue="1" maxValue="1"/>
    </cacheField>
    <cacheField name="Has Position" numFmtId="0">
      <sharedItems/>
    </cacheField>
    <cacheField name="Position" numFmtId="0">
      <sharedItems containsBlank="1"/>
    </cacheField>
    <cacheField name="Exposure" numFmtId="42">
      <sharedItems containsSemiMixedTypes="0" containsString="0" containsNumber="1" minValue="-1200" maxValue="1733473.91" count="477">
        <n v="0"/>
        <n v="28510"/>
        <n v="22120.36"/>
        <n v="21600"/>
        <n v="123201"/>
        <n v="19510"/>
        <n v="18470"/>
        <n v="15930"/>
        <n v="14860"/>
        <n v="11477"/>
        <n v="24750"/>
        <n v="23796"/>
        <n v="15000"/>
        <n v="14460.000000000002"/>
        <n v="3243"/>
        <n v="13000"/>
        <n v="12900"/>
        <n v="454"/>
        <n v="9978"/>
        <n v="9248"/>
        <n v="37590"/>
        <n v="3292"/>
        <n v="21376"/>
        <n v="2142.4"/>
        <n v="886.95"/>
        <n v="6790"/>
        <n v="2030"/>
        <n v="985"/>
        <n v="21000"/>
        <n v="990"/>
        <n v="964"/>
        <n v="1846"/>
        <n v="1260" u="1"/>
        <n v="34240" u="1"/>
        <n v="17120" u="1"/>
        <n v="23936" u="1"/>
        <n v="7000" u="1"/>
        <n v="370000" u="1"/>
        <n v="36850" u="1"/>
        <n v="37632" u="1"/>
        <n v="38200" u="1"/>
        <n v="102730" u="1"/>
        <n v="15600" u="1"/>
        <n v="4600" u="1"/>
        <n v="1710.0000000000002" u="1"/>
        <n v="1980" u="1"/>
        <n v="10400" u="1"/>
        <n v="41172" u="1"/>
        <n v="9874" u="1"/>
        <n v="38660" u="1"/>
        <n v="13209.6" u="1"/>
        <n v="2428" u="1"/>
        <n v="84666" u="1"/>
        <n v="18150" u="1"/>
        <n v="31409.4" u="1"/>
        <n v="25377" u="1"/>
        <n v="41505" u="1"/>
        <n v="22634.36" u="1"/>
        <n v="15940" u="1"/>
        <n v="184008" u="1"/>
        <n v="39720" u="1"/>
        <n v="-1040" u="1"/>
        <n v="19528" u="1"/>
        <n v="235000" u="1"/>
        <n v="28830" u="1"/>
        <n v="31244" u="1"/>
        <n v="33980" u="1"/>
        <n v="43210" u="1"/>
        <n v="99639.39" u="1"/>
        <n v="105253.54" u="1"/>
        <n v="24012" u="1"/>
        <n v="31664.95" u="1"/>
        <n v="67500" u="1"/>
        <n v="73890" u="1"/>
        <n v="80249.649999999994" u="1"/>
        <n v="111165" u="1"/>
        <n v="130080.2" u="1"/>
        <n v="153170" u="1"/>
        <n v="18200" u="1"/>
        <n v="83586" u="1"/>
        <n v="99009.39" u="1"/>
        <n v="108198.3" u="1"/>
        <n v="128600" u="1"/>
        <n v="19446.650000000001" u="1"/>
        <n v="26375" u="1"/>
        <n v="41990.64" u="1"/>
        <n v="88880" u="1"/>
        <n v="596.9" u="1"/>
        <n v="18788" u="1"/>
        <n v="28515" u="1"/>
        <n v="32698.949999999997" u="1"/>
        <n v="36190" u="1"/>
        <n v="67975" u="1"/>
        <n v="86588.45" u="1"/>
        <n v="105865.15999999999" u="1"/>
        <n v="114935.2" u="1"/>
        <n v="152700" u="1"/>
        <n v="158096" u="1"/>
        <n v="15177" u="1"/>
        <n v="26734.95" u="1"/>
        <n v="31720" u="1"/>
        <n v="73340" u="1"/>
        <n v="230028" u="1"/>
        <n v="2041" u="1"/>
        <n v="14614" u="1"/>
        <n v="31730" u="1"/>
        <n v="77661.98000000001" u="1"/>
        <n v="83604" u="1"/>
        <n v="2408" u="1"/>
        <n v="8300" u="1"/>
        <n v="18960" u="1"/>
        <n v="112470" u="1"/>
        <n v="16328" u="1"/>
        <n v="19538" u="1"/>
        <n v="20772.86" u="1"/>
        <n v="32673" u="1"/>
        <n v="44080" u="1"/>
        <n v="56505" u="1"/>
        <n v="108438.3" u="1"/>
        <n v="165090" u="1"/>
        <n v="1663628.6" u="1"/>
        <n v="16566" u="1"/>
        <n v="17952.63" u="1"/>
        <n v="60824.999999999993" u="1"/>
        <n v="71725" u="1"/>
        <n v="102602.13" u="1"/>
        <n v="118372" u="1"/>
        <n v="1470139.83" u="1"/>
        <n v="1658501.52" u="1"/>
        <n v="3118.8" u="1"/>
        <n v="13640" u="1"/>
        <n v="17570" u="1"/>
        <n v="19443.18" u="1"/>
        <n v="112673.1" u="1"/>
        <n v="1660859.59" u="1"/>
        <n v="4003.45" u="1"/>
        <n v="28230" u="1"/>
        <n v="49749" u="1"/>
        <n v="79902.58" u="1"/>
        <n v="334127" u="1"/>
        <n v="780" u="1"/>
        <n v="16333.56" u="1"/>
        <n v="31292.89" u="1"/>
        <n v="32500" u="1"/>
        <n v="63756" u="1"/>
        <n v="76105" u="1"/>
        <n v="112670" u="1"/>
        <n v="179397" u="1"/>
        <n v="15998" u="1"/>
        <n v="32368" u="1"/>
        <n v="68690" u="1"/>
        <n v="76855" u="1"/>
        <n v="77139" u="1"/>
        <n v="825" u="1"/>
        <n v="12240" u="1"/>
        <n v="15648" u="1"/>
        <n v="26627" u="1"/>
        <n v="32504.95" u="1"/>
        <n v="94270.89" u="1"/>
        <n v="142140" u="1"/>
        <n v="4649.9999999999991" u="1"/>
        <n v="6420" u="1"/>
        <n v="31110" u="1"/>
        <n v="44930" u="1"/>
        <n v="8162" u="1"/>
        <n v="22997.8" u="1"/>
        <n v="109990" u="1"/>
        <n v="115315" u="1"/>
        <n v="121609.95" u="1"/>
        <n v="365" u="1"/>
        <n v="22894" u="1"/>
        <n v="47100" u="1"/>
        <n v="66269.95" u="1"/>
        <n v="73820" u="1"/>
        <n v="1289993.3899999999" u="1"/>
        <n v="29720" u="1"/>
        <n v="31159.999999999996" u="1"/>
        <n v="50670" u="1"/>
        <n v="56776" u="1"/>
        <n v="1394042.86" u="1"/>
        <n v="17731" u="1"/>
        <n v="19790" u="1"/>
        <n v="105235.26" u="1"/>
        <n v="105850" u="1"/>
        <n v="139520.19999999998" u="1"/>
        <n v="188051" u="1"/>
        <n v="1890" u="1"/>
        <n v="21220" u="1"/>
        <n v="22706.06" u="1"/>
        <n v="33670" u="1"/>
        <n v="84306" u="1"/>
        <n v="136656" u="1"/>
        <n v="992002.21" u="1"/>
        <n v="-1200" u="1"/>
        <n v="-1147.9999999999998" u="1"/>
        <n v="20662" u="1"/>
        <n v="34400" u="1"/>
        <n v="77530" u="1"/>
        <n v="126520" u="1"/>
        <n v="129360" u="1"/>
        <n v="24080" u="1"/>
        <n v="37970" u="1"/>
        <n v="40727.980000000003" u="1"/>
        <n v="42585" u="1"/>
        <n v="13137" u="1"/>
        <n v="18978" u="1"/>
        <n v="29060" u="1"/>
        <n v="34328.99" u="1"/>
        <n v="74060" u="1"/>
        <n v="85704" u="1"/>
        <n v="3086" u="1"/>
        <n v="15840" u="1"/>
        <n v="30895.1" u="1"/>
        <n v="31412.89" u="1"/>
        <n v="33040" u="1"/>
        <n v="150395" u="1"/>
        <n v="86565" u="1"/>
        <n v="113900" u="1"/>
        <n v="1282721.2100000002" u="1"/>
        <n v="30510" u="1"/>
        <n v="129560" u="1"/>
        <n v="144520" u="1"/>
        <n v="352502" u="1"/>
        <n v="25605.95" u="1"/>
        <n v="43750" u="1"/>
        <n v="138740.19999999998" u="1"/>
        <n v="22152" u="1"/>
        <n v="38837.29" u="1"/>
        <n v="56266" u="1"/>
        <n v="70000" u="1"/>
        <n v="107299.91" u="1"/>
        <n v="227040" u="1"/>
        <n v="1298850.6000000001" u="1"/>
        <n v="20174" u="1"/>
        <n v="67009.899999999994" u="1"/>
        <n v="229605" u="1"/>
        <n v="231735" u="1"/>
        <n v="1473211.52" u="1"/>
        <n v="6422" u="1"/>
        <n v="19503.990000000002" u="1"/>
        <n v="27568" u="1"/>
        <n v="33870" u="1"/>
        <n v="161904.74" u="1"/>
        <n v="227910" u="1"/>
        <n v="1342089.8899999999" u="1"/>
        <n v="1682208.73" u="1"/>
        <n v="5884.95" u="1"/>
        <n v="63000" u="1"/>
        <n v="19701.150000000001" u="1"/>
        <n v="21269" u="1"/>
        <n v="27020" u="1"/>
        <n v="31990" u="1"/>
        <n v="86490" u="1"/>
        <n v="114180" u="1"/>
        <n v="124120" u="1"/>
        <n v="1499.9999999999998" u="1"/>
        <n v="21776" u="1"/>
        <n v="49905" u="1"/>
        <n v="5580" u="1"/>
        <n v="37145" u="1"/>
        <n v="37500" u="1"/>
        <n v="39241.29" u="1"/>
        <n v="42671.98" u="1"/>
        <n v="61115.37" u="1"/>
        <n v="121193.3" u="1"/>
        <n v="144095" u="1"/>
        <n v="2940" u="1"/>
        <n v="14475" u="1"/>
        <n v="24210" u="1"/>
        <n v="29180" u="1"/>
        <n v="8800" u="1"/>
        <n v="11640" u="1"/>
        <n v="15817.2" u="1"/>
        <n v="23387.999999999996" u="1"/>
        <n v="29900" u="1"/>
        <n v="56000" u="1"/>
        <n v="141060" u="1"/>
        <n v="9344.6299999999992" u="1"/>
        <n v="56730" u="1"/>
        <n v="83566" u="1"/>
        <n v="10230" u="1"/>
        <n v="12801.28" u="1"/>
        <n v="15844.95" u="1"/>
        <n v="15952.63" u="1"/>
        <n v="16185.07" u="1"/>
        <n v="17401.310000000001" u="1"/>
        <n v="55944.95" u="1"/>
        <n v="120004.95" u="1"/>
        <n v="121890.74" u="1"/>
        <n v="138380" u="1"/>
        <n v="145480" u="1"/>
        <n v="1393344.82" u="1"/>
        <n v="19731.28" u="1"/>
        <n v="55386.61" u="1"/>
        <n v="57906" u="1"/>
        <n v="67504.95" u="1"/>
        <n v="74345" u="1"/>
        <n v="79315" u="1"/>
        <n v="85776" u="1"/>
        <n v="106674.91" u="1"/>
        <n v="178078" u="1"/>
        <n v="1566700.38" u="1"/>
        <n v="2467" u="1"/>
        <n v="13719" u="1"/>
        <n v="22840" u="1"/>
        <n v="31518.73" u="1"/>
        <n v="183412" u="1"/>
        <n v="10600" u="1"/>
        <n v="16285.95" u="1"/>
        <n v="20136.95" u="1"/>
        <n v="54490.15" u="1"/>
        <n v="86424" u="1"/>
        <n v="96770.89" u="1"/>
        <n v="112765" u="1"/>
        <n v="138265" u="1"/>
        <n v="25471.95" u="1"/>
        <n v="31735" u="1"/>
        <n v="52103.100000000006" u="1"/>
        <n v="144380" u="1"/>
        <n v="1550032.45" u="1"/>
        <n v="15225" u="1"/>
        <n v="23225" u="1"/>
        <n v="29118" u="1"/>
        <n v="50389" u="1"/>
        <n v="114620" u="1"/>
        <n v="37700" u="1"/>
        <n v="-372" u="1"/>
        <n v="33247" u="1"/>
        <n v="34170" u="1"/>
        <n v="42181.98" u="1"/>
        <n v="44291.999999999993" u="1"/>
        <n v="78716.67" u="1"/>
        <n v="87434.849999999991" u="1"/>
        <n v="88004" u="1"/>
        <n v="121704.95" u="1"/>
        <n v="123220" u="1"/>
        <n v="128190" u="1"/>
        <n v="136801.84" u="1"/>
        <n v="17504" u="1"/>
        <n v="23092.44" u="1"/>
        <n v="26166" u="1"/>
        <n v="32770" u="1"/>
        <n v="33480" u="1"/>
        <n v="13612" u="1"/>
        <n v="23904" u="1"/>
        <n v="34068" u="1"/>
        <n v="106994.91" u="1"/>
        <n v="20838.080000000002" u="1"/>
        <n v="22920" u="1"/>
        <n v="1089353.6200000001" u="1"/>
        <n v="73680" u="1"/>
        <n v="82009.899999999994" u="1"/>
        <n v="108658.3" u="1"/>
        <n v="152750" u="1"/>
        <n v="1820" u="1"/>
        <n v="2657" u="1"/>
        <n v="3296" u="1"/>
        <n v="11781" u="1"/>
        <n v="50742" u="1"/>
        <n v="52020" u="1"/>
        <n v="142180" u="1"/>
        <n v="1393322" u="1"/>
        <n v="1517462.81" u="1"/>
        <n v="9940" u="1"/>
        <n v="14910" u="1"/>
        <n v="43875" u="1"/>
        <n v="64039" u="1"/>
        <n v="68790" u="1"/>
        <n v="103378.45" u="1"/>
        <n v="148295" u="1"/>
        <n v="227559.05" u="1"/>
        <n v="1295628.7" u="1"/>
        <n v="1650354.4" u="1"/>
        <n v="25800" u="1"/>
        <n v="87290" u="1"/>
        <n v="12293" u="1"/>
        <n v="12790" u="1"/>
        <n v="18000" u="1"/>
        <n v="49916.97" u="1"/>
        <n v="60458" u="1"/>
        <n v="64189.999999999993" u="1"/>
        <n v="25110" u="1"/>
        <n v="34793.75" u="1"/>
        <n v="65638.350000000006" u="1"/>
        <n v="68910" u="1"/>
        <n v="187" u="1"/>
        <n v="3940.0000000000005" u="1"/>
        <n v="5100" u="1"/>
        <n v="17162.490000000002" u="1"/>
        <n v="108000" u="1"/>
        <n v="16000" u="1"/>
        <n v="27260" u="1"/>
        <n v="37088" u="1"/>
        <n v="40496" u="1"/>
        <n v="52243.35" u="1"/>
        <n v="68635" u="1"/>
        <n v="73960" u="1"/>
        <n v="10680" u="1"/>
        <n v="25779" u="1"/>
        <n v="25790.9" u="1"/>
        <n v="26276" u="1"/>
        <n v="37960" u="1"/>
        <n v="44350" u="1"/>
        <n v="52160" u="1"/>
        <n v="95635.89" u="1"/>
        <n v="323809.43" u="1"/>
        <n v="2880" u="1"/>
        <n v="42086.98" u="1"/>
        <n v="79720" u="1"/>
        <n v="89872.290000000008" u="1"/>
        <n v="127290" u="1"/>
        <n v="1733473.91" u="1"/>
        <n v="32918.339999999997" u="1"/>
        <n v="34450" u="1"/>
        <n v="35870" u="1"/>
        <n v="45004.95" u="1"/>
        <n v="52200" u="1"/>
        <n v="124490" u="1"/>
        <n v="231295" u="1"/>
        <n v="4864" u="1"/>
        <n v="8210" u="1"/>
        <n v="17928" u="1"/>
        <n v="18638" u="1"/>
        <n v="18764.95" u="1"/>
        <n v="33760" u="1"/>
        <n v="38020" u="1"/>
        <n v="115300" u="1"/>
        <n v="640" u="1"/>
        <n v="6109" u="1"/>
        <n v="36620" u="1"/>
        <n v="184950" u="1"/>
        <n v="12556.95" u="1"/>
        <n v="79525" u="1"/>
        <n v="163730" u="1"/>
        <n v="340004.95" u="1"/>
        <n v="1349503.23" u="1"/>
        <n v="19179.259999999998" u="1"/>
        <n v="49369" u="1"/>
        <n v="51037.5" u="1"/>
        <n v="52280" u="1"/>
        <n v="104578.54" u="1"/>
        <n v="-220.00000000000003" u="1"/>
        <n v="1456" u="1"/>
        <n v="24358" u="1"/>
        <n v="140460" u="1"/>
        <n v="230275" u="1"/>
        <n v="-1050" u="1"/>
        <n v="13631" u="1"/>
        <n v="16700" u="1"/>
        <n v="102002.13" u="1"/>
        <n v="128990" u="1"/>
        <n v="10102.459999999999" u="1"/>
        <n v="33960.200000000004" u="1"/>
        <n v="122640" u="1"/>
        <n v="135996.84" u="1"/>
        <n v="846" u="1"/>
        <n v="11173.41" u="1"/>
        <n v="50585" u="1"/>
        <n v="200340" u="1"/>
        <n v="2218" u="1"/>
        <n v="8250" u="1"/>
        <n v="15385.5" u="1"/>
        <n v="21744.93" u="1"/>
        <n v="47055" u="1"/>
        <n v="112780" u="1"/>
        <n v="162080" u="1"/>
        <n v="15953.39" u="1"/>
        <n v="49560" u="1"/>
        <n v="67380" u="1"/>
        <n v="79805" u="1"/>
        <n v="164710.56" u="1"/>
        <n v="16004.95" u="1"/>
        <n v="23140" u="1"/>
        <n v="52420" u="1"/>
        <n v="55958.3" u="1"/>
        <n v="65104.95" u="1"/>
        <n v="84744" u="1"/>
      </sharedItems>
    </cacheField>
    <cacheField name="Exp %" numFmtId="165">
      <sharedItems containsMixedTypes="1" containsNumber="1" minValue="2.1369999608373577E-3" maxValue="0.579913066465029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6">
  <r>
    <s v="AA"/>
    <n v="46.17"/>
    <s v="CC"/>
    <n v="39.244500000000002"/>
    <x v="0"/>
    <x v="0"/>
    <m/>
    <d v="2022-07-20T16:10:00"/>
    <d v="2022-07-20T16:10:00"/>
    <m/>
    <m/>
    <m/>
    <m/>
    <m/>
    <m/>
    <m/>
    <s v=""/>
    <n v="0"/>
    <n v="0"/>
    <s v=""/>
    <m/>
    <n v="26.35"/>
    <s v=""/>
    <s v=""/>
    <s v=""/>
    <s v=""/>
    <s v=""/>
    <m/>
    <m/>
    <n v="0"/>
    <n v="0"/>
    <n v="0"/>
    <m/>
    <m/>
    <n v="40"/>
    <s v=""/>
    <s v=""/>
    <n v="0"/>
    <n v="0"/>
    <n v="-0.13363656053714537"/>
    <n v="28"/>
    <s v="assignment"/>
    <n v="28"/>
    <s v="free money"/>
    <s v="CCs"/>
    <s v=""/>
    <m/>
    <n v="2.2749999999999999"/>
    <d v="2021-04-16T00:00:00"/>
    <n v="43.895000000000003"/>
    <n v="48.445"/>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
    <n v="90.031500000000008"/>
    <m/>
    <m/>
    <n v="0"/>
    <s v=""/>
    <n v="0"/>
    <s v=""/>
    <s v="{2B2DE5DF-1094-421D-BFC2-5DE23168F5FD}"/>
    <s v=""/>
    <s v=""/>
    <s v=""/>
    <s v=""/>
    <s v=""/>
    <s v=""/>
    <s v=""/>
    <s v=""/>
    <s v=""/>
    <s v=""/>
    <x v="0"/>
    <s v=""/>
  </r>
  <r>
    <s v="AAP"/>
    <n v="55.49"/>
    <m/>
    <n v="47.166499999999999"/>
    <x v="1"/>
    <x v="1"/>
    <m/>
    <d v="2022-08-22T16:30:00"/>
    <d v="2022-08-22T16:30:00"/>
    <m/>
    <m/>
    <m/>
    <m/>
    <m/>
    <m/>
    <m/>
    <s v=""/>
    <n v="0"/>
    <n v="0"/>
    <s v=""/>
    <m/>
    <m/>
    <s v=""/>
    <s v=""/>
    <s v=""/>
    <s v=""/>
    <s v=""/>
    <m/>
    <m/>
    <n v="0"/>
    <n v="0"/>
    <n v="0"/>
    <m/>
    <m/>
    <n v="78.75"/>
    <s v=""/>
    <s v=""/>
    <n v="0"/>
    <n v="0"/>
    <n v="0.41917462605874928"/>
    <n v="170"/>
    <s v="max gain"/>
    <n v="160"/>
    <s v="free money"/>
    <s v="Be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74.8125"/>
    <n v="108.2055"/>
    <m/>
    <m/>
    <n v="0"/>
    <s v=""/>
    <n v="0"/>
    <s v=""/>
    <s v="{6FB33F74-E7C7-4910-962B-B833AC82E8BE}"/>
    <s v=""/>
    <s v=""/>
    <s v=""/>
    <s v=""/>
    <s v=""/>
    <s v=""/>
    <s v=""/>
    <s v=""/>
    <s v=""/>
    <s v=""/>
    <x v="0"/>
    <s v=""/>
  </r>
  <r>
    <s v="AAPL"/>
    <n v="325.89"/>
    <s v="Swing"/>
    <n v="277.00649999999996"/>
    <x v="2"/>
    <x v="2"/>
    <m/>
    <d v="2022-07-28T16:30:00"/>
    <d v="2022-07-28T16:30:00"/>
    <m/>
    <m/>
    <n v="2"/>
    <b v="1"/>
    <m/>
    <m/>
    <m/>
    <s v=""/>
    <n v="0"/>
    <n v="0"/>
    <s v=""/>
    <m/>
    <m/>
    <s v=""/>
    <s v=""/>
    <s v=""/>
    <s v=""/>
    <s v=""/>
    <n v="2.2799999999999998"/>
    <d v="2019-11-15T00:00:00"/>
    <n v="0"/>
    <n v="0"/>
    <n v="6.9962257203350824E-3"/>
    <m/>
    <m/>
    <n v="193.49"/>
    <s v=""/>
    <s v=""/>
    <n v="0"/>
    <n v="0"/>
    <n v="-0.40627205498787927"/>
    <m/>
    <m/>
    <m/>
    <m/>
    <s v="CCs"/>
    <s v=""/>
    <n v="159.5"/>
    <m/>
    <m/>
    <s v=""/>
    <s v=""/>
    <n v="244.28"/>
    <m/>
    <s v=""/>
    <m/>
    <m/>
    <m/>
    <m/>
    <m/>
    <m/>
    <n v="0"/>
    <n v="0"/>
    <m/>
    <s v=""/>
    <s v=""/>
    <s v=""/>
    <s v=""/>
    <m/>
    <m/>
    <m/>
    <m/>
    <m/>
    <m/>
    <b v="0"/>
    <b v="0"/>
    <n v="0"/>
    <m/>
    <n v="0"/>
    <s v=""/>
    <s v=""/>
    <s v=""/>
    <s v=""/>
    <n v="0"/>
    <n v="0"/>
    <s v=""/>
    <n v="0"/>
    <n v="0.8"/>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3.81549999999999"/>
    <n v="635.4855"/>
    <m/>
    <m/>
    <n v="0"/>
    <s v=""/>
    <n v="0"/>
    <s v=""/>
    <s v="{1BA783CE-7AF3-4306-8F08-6854743B1D17}"/>
    <s v=""/>
    <s v=""/>
    <s v=""/>
    <s v=""/>
    <s v=""/>
    <s v=""/>
    <s v=""/>
    <s v=""/>
    <s v=""/>
    <s v=""/>
    <x v="0"/>
    <s v=""/>
  </r>
  <r>
    <s v="ABG"/>
    <n v="223.36"/>
    <m/>
    <n v="189.85599999999999"/>
    <x v="3"/>
    <x v="1"/>
    <m/>
    <d v="2022-07-28T06:50:00"/>
    <d v="2022-07-28T06:50:00"/>
    <m/>
    <m/>
    <m/>
    <m/>
    <m/>
    <m/>
    <m/>
    <s v=""/>
    <n v="0"/>
    <n v="0"/>
    <s v=""/>
    <m/>
    <m/>
    <s v=""/>
    <s v=""/>
    <s v=""/>
    <s v=""/>
    <s v=""/>
    <n v="2.08"/>
    <d v="2016-05-11T00:00:00"/>
    <n v="0"/>
    <n v="0"/>
    <n v="9.3123209169054446E-3"/>
    <d v="2016-05-02T00:00:00"/>
    <m/>
    <n v="260"/>
    <s v=""/>
    <s v=""/>
    <n v="0"/>
    <n v="0"/>
    <n v="0.1640401146131804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247"/>
    <n v="435.55200000000002"/>
    <m/>
    <m/>
    <n v="0"/>
    <s v=""/>
    <n v="0"/>
    <s v=""/>
    <s v="{5955B11D-F29C-487D-918B-2B3004854B73}"/>
    <s v=""/>
    <s v=""/>
    <s v=""/>
    <s v=""/>
    <s v=""/>
    <s v=""/>
    <s v=""/>
    <s v=""/>
    <s v=""/>
    <s v=""/>
    <x v="0"/>
    <s v=""/>
  </r>
  <r>
    <s v="ABNB"/>
    <n v="140.05000000000001"/>
    <m/>
    <n v="119.0425"/>
    <x v="4"/>
    <x v="1"/>
    <m/>
    <d v="2022-08-02T16:05:00"/>
    <d v="2022-08-02T16:05:00"/>
    <m/>
    <m/>
    <m/>
    <m/>
    <m/>
    <m/>
    <m/>
    <s v=""/>
    <n v="0"/>
    <n v="0"/>
    <s v=""/>
    <m/>
    <m/>
    <s v=""/>
    <s v=""/>
    <s v=""/>
    <s v=""/>
    <s v=""/>
    <m/>
    <m/>
    <n v="0"/>
    <n v="0"/>
    <n v="0"/>
    <m/>
    <m/>
    <n v="141.85"/>
    <s v=""/>
    <s v=""/>
    <n v="0"/>
    <n v="0"/>
    <n v="1.2852552659764246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134.75749999999999"/>
    <n v="273.09750000000003"/>
    <m/>
    <m/>
    <n v="0"/>
    <s v=""/>
    <n v="0"/>
    <s v=""/>
    <s v="{282DDDD3-9E4F-437E-AE58-5BE6210C02E3}"/>
    <s v=""/>
    <s v=""/>
    <s v=""/>
    <s v=""/>
    <s v=""/>
    <s v=""/>
    <s v=""/>
    <s v=""/>
    <s v=""/>
    <s v=""/>
    <x v="0"/>
    <s v=""/>
  </r>
  <r>
    <s v="AMD"/>
    <n v="552.33000000000004"/>
    <s v="Position"/>
    <n v="469.48050000000001"/>
    <x v="5"/>
    <x v="2"/>
    <m/>
    <d v="2023-11-02T16:10:00"/>
    <d v="2022-08-02T16:10:00"/>
    <m/>
    <m/>
    <n v="1"/>
    <m/>
    <n v="1"/>
    <m/>
    <m/>
    <s v=""/>
    <n v="0"/>
    <n v="0"/>
    <s v=""/>
    <n v="153"/>
    <n v="92"/>
    <s v=""/>
    <s v=""/>
    <s v=""/>
    <s v=""/>
    <s v=""/>
    <m/>
    <m/>
    <n v="0"/>
    <n v="0"/>
    <n v="0"/>
    <m/>
    <m/>
    <n v="138"/>
    <s v=""/>
    <s v=""/>
    <n v="0"/>
    <n v="0"/>
    <n v="-0.7501493672261148"/>
    <n v="145"/>
    <s v="free money"/>
    <n v="145"/>
    <s v="Assignment"/>
    <s v="SPs"/>
    <s v=""/>
    <m/>
    <m/>
    <m/>
    <s v=""/>
    <s v=""/>
    <n v="209.42"/>
    <m/>
    <s v=""/>
    <m/>
    <m/>
    <m/>
    <m/>
    <m/>
    <m/>
    <n v="0"/>
    <n v="0"/>
    <m/>
    <s v=""/>
    <s v=""/>
    <s v=""/>
    <s v=""/>
    <m/>
    <m/>
    <m/>
    <m/>
    <m/>
    <m/>
    <b v="0"/>
    <b v="0"/>
    <n v="0"/>
    <m/>
    <n v="0"/>
    <s v=""/>
    <s v=""/>
    <s v=""/>
    <s v=""/>
    <n v="0"/>
    <n v="0"/>
    <s v=""/>
    <n v="0"/>
    <m/>
    <n v="0"/>
    <n v="0"/>
    <s v=""/>
    <m/>
    <m/>
    <s v=""/>
    <m/>
    <s v=""/>
    <s v=""/>
    <s v=""/>
    <m/>
    <s v="GTC"/>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31.1"/>
    <n v="1077.0435"/>
    <m/>
    <m/>
    <n v="0"/>
    <s v=""/>
    <n v="0"/>
    <s v=""/>
    <m/>
    <s v=""/>
    <s v=""/>
    <s v=""/>
    <s v=""/>
    <s v=""/>
    <s v=""/>
    <s v=""/>
    <s v=""/>
    <s v=""/>
    <s v=""/>
    <x v="0"/>
    <s v=""/>
  </r>
  <r>
    <s v="ACB"/>
    <n v="2.66"/>
    <s v="CC"/>
    <n v="2.2610000000000001"/>
    <x v="6"/>
    <x v="3"/>
    <m/>
    <d v="2022-08-11T16:15:00"/>
    <d v="2022-08-11T16:15:00"/>
    <m/>
    <m/>
    <m/>
    <m/>
    <m/>
    <m/>
    <m/>
    <s v=""/>
    <n v="0"/>
    <n v="0"/>
    <s v=""/>
    <m/>
    <m/>
    <s v=""/>
    <s v=""/>
    <s v=""/>
    <s v=""/>
    <s v=""/>
    <m/>
    <m/>
    <n v="0"/>
    <n v="0"/>
    <n v="0"/>
    <m/>
    <m/>
    <s v="-"/>
    <s v=""/>
    <s v=""/>
    <n v="0"/>
    <n v="0"/>
    <s v=""/>
    <n v="15"/>
    <s v="assignment"/>
    <n v="15"/>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e v="#VALUE!"/>
    <n v="5.1870000000000003"/>
    <m/>
    <m/>
    <n v="0"/>
    <s v=""/>
    <n v="0"/>
    <s v=""/>
    <m/>
    <s v=""/>
    <s v=""/>
    <s v=""/>
    <s v=""/>
    <s v=""/>
    <s v=""/>
    <s v=""/>
    <s v=""/>
    <s v=""/>
    <s v=""/>
    <x v="0"/>
    <s v=""/>
  </r>
  <r>
    <s v="ACLS"/>
    <n v="141.94999999999999"/>
    <m/>
    <n v="120.65749999999998"/>
    <x v="7"/>
    <x v="2"/>
    <m/>
    <m/>
    <m/>
    <m/>
    <m/>
    <m/>
    <m/>
    <m/>
    <m/>
    <m/>
    <s v=""/>
    <n v="0"/>
    <n v="0"/>
    <s v=""/>
    <m/>
    <m/>
    <s v=""/>
    <s v=""/>
    <s v=""/>
    <s v=""/>
    <s v=""/>
    <m/>
    <m/>
    <n v="0"/>
    <n v="0"/>
    <n v="0"/>
    <m/>
    <m/>
    <n v="213.75"/>
    <s v=""/>
    <s v=""/>
    <n v="0"/>
    <n v="0"/>
    <n v="0.5058119056005636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203.0625"/>
    <n v="276.80249999999995"/>
    <m/>
    <m/>
    <n v="0"/>
    <s v=""/>
    <n v="0"/>
    <s v=""/>
    <m/>
    <s v=""/>
    <s v=""/>
    <s v=""/>
    <s v=""/>
    <s v=""/>
    <s v=""/>
    <s v=""/>
    <s v=""/>
    <s v=""/>
    <s v=""/>
    <x v="0"/>
    <s v=""/>
  </r>
  <r>
    <s v="ACN"/>
    <n v="140.09"/>
    <m/>
    <n v="119.0765"/>
    <x v="8"/>
    <x v="2"/>
    <m/>
    <d v="2022-06-23T06:45:00"/>
    <d v="2022-06-23T06:45:00"/>
    <s v="Confirmed"/>
    <m/>
    <m/>
    <m/>
    <m/>
    <m/>
    <m/>
    <s v=""/>
    <n v="0"/>
    <n v="0"/>
    <s v=""/>
    <m/>
    <m/>
    <s v=""/>
    <s v=""/>
    <s v=""/>
    <s v=""/>
    <s v=""/>
    <m/>
    <m/>
    <n v="0"/>
    <n v="0"/>
    <n v="0"/>
    <m/>
    <m/>
    <n v="337.95"/>
    <s v=""/>
    <s v=""/>
    <n v="0"/>
    <n v="0"/>
    <n v="1.4123777571561138"/>
    <n v="170"/>
    <s v="ITM"/>
    <n v="170"/>
    <s v="max los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321.05249999999995"/>
    <n v="273.1755"/>
    <m/>
    <m/>
    <n v="0"/>
    <s v=""/>
    <n v="0"/>
    <s v=""/>
    <s v="{2598AB40-AF9D-431E-AC06-E844DA0F563E}"/>
    <s v=""/>
    <s v=""/>
    <s v=""/>
    <s v=""/>
    <s v=""/>
    <s v=""/>
    <s v=""/>
    <s v=""/>
    <s v=""/>
    <s v=""/>
    <x v="0"/>
    <s v=""/>
  </r>
  <r>
    <s v="ADBE"/>
    <n v="218.36"/>
    <m/>
    <n v="185.60599999999999"/>
    <x v="9"/>
    <x v="2"/>
    <m/>
    <d v="2022-06-16T16:05:00"/>
    <d v="2022-06-16T16:05:00"/>
    <s v="Confirmed"/>
    <m/>
    <m/>
    <m/>
    <m/>
    <m/>
    <m/>
    <s v=""/>
    <n v="0"/>
    <n v="0"/>
    <s v=""/>
    <m/>
    <m/>
    <s v=""/>
    <s v=""/>
    <s v=""/>
    <s v=""/>
    <s v=""/>
    <m/>
    <m/>
    <n v="0"/>
    <n v="0"/>
    <n v="0"/>
    <m/>
    <m/>
    <n v="553.86"/>
    <s v=""/>
    <s v=""/>
    <n v="0"/>
    <n v="0"/>
    <n v="1.536453562923612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526.16700000000003"/>
    <n v="425.80200000000002"/>
    <m/>
    <m/>
    <n v="0"/>
    <s v=""/>
    <n v="0"/>
    <s v=""/>
    <s v="{8E1B1B2D-57E6-43FC-B0F5-93541A980C17}"/>
    <s v=""/>
    <s v=""/>
    <s v=""/>
    <s v=""/>
    <s v=""/>
    <s v=""/>
    <s v=""/>
    <s v=""/>
    <s v=""/>
    <s v=""/>
    <x v="0"/>
    <s v=""/>
  </r>
  <r>
    <s v="ADM"/>
    <n v="87.32"/>
    <m/>
    <n v="74.221999999999994"/>
    <x v="10"/>
    <x v="4"/>
    <m/>
    <d v="2022-07-26T07:00:00"/>
    <d v="2022-07-26T07:00:00"/>
    <m/>
    <m/>
    <m/>
    <m/>
    <m/>
    <m/>
    <m/>
    <s v=""/>
    <n v="0"/>
    <n v="0"/>
    <s v=""/>
    <m/>
    <m/>
    <s v=""/>
    <s v=""/>
    <s v=""/>
    <s v=""/>
    <s v=""/>
    <n v="1.2"/>
    <d v="2017-03-07T00:00:00"/>
    <n v="0"/>
    <n v="0"/>
    <n v="1.3742556115437472E-2"/>
    <d v="2017-02-10T00:00:00"/>
    <m/>
    <n v="98.89"/>
    <s v=""/>
    <s v=""/>
    <n v="0"/>
    <n v="0"/>
    <n v="0.13250114521300971"/>
    <n v="49.88"/>
    <s v="T1"/>
    <n v="44"/>
    <s v="Losses"/>
    <m/>
    <s v=""/>
    <m/>
    <m/>
    <m/>
    <s v=""/>
    <s v=""/>
    <m/>
    <m/>
    <s v=""/>
    <m/>
    <m/>
    <m/>
    <m/>
    <m/>
    <m/>
    <m/>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93.945499999999996"/>
    <n v="170.27399999999997"/>
    <m/>
    <m/>
    <n v="0"/>
    <s v=""/>
    <n v="0"/>
    <s v=""/>
    <s v="{2FB09869-DBF3-4E28-872B-C3585AFD2F67}"/>
    <s v=""/>
    <s v=""/>
    <s v=""/>
    <s v=""/>
    <s v=""/>
    <s v=""/>
    <s v=""/>
    <s v=""/>
    <s v=""/>
    <s v=""/>
    <x v="0"/>
    <s v=""/>
  </r>
  <r>
    <s v="ADSK"/>
    <n v="203.5"/>
    <m/>
    <n v="172.97499999999999"/>
    <x v="11"/>
    <x v="2"/>
    <m/>
    <d v="2022-08-25T16:00:00"/>
    <d v="2022-08-25T16:00:00"/>
    <m/>
    <m/>
    <m/>
    <m/>
    <m/>
    <m/>
    <m/>
    <s v=""/>
    <n v="0"/>
    <n v="0"/>
    <s v=""/>
    <m/>
    <m/>
    <s v=""/>
    <s v=""/>
    <s v=""/>
    <s v=""/>
    <s v=""/>
    <m/>
    <m/>
    <n v="0"/>
    <n v="0"/>
    <n v="0"/>
    <m/>
    <m/>
    <n v="231.7"/>
    <s v=""/>
    <s v=""/>
    <n v="0"/>
    <n v="0"/>
    <n v="0.1385749385749385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220.11499999999998"/>
    <n v="396.82499999999999"/>
    <m/>
    <m/>
    <n v="0"/>
    <s v=""/>
    <n v="0"/>
    <s v=""/>
    <s v="{BEC209B9-BBCA-40CA-8441-A8723485632F}"/>
    <s v=""/>
    <s v=""/>
    <s v=""/>
    <s v=""/>
    <s v=""/>
    <s v=""/>
    <s v=""/>
    <s v=""/>
    <s v=""/>
    <s v=""/>
    <x v="0"/>
    <s v=""/>
  </r>
  <r>
    <s v="AEM"/>
    <n v="147.05000000000001"/>
    <s v="Swing"/>
    <n v="124.99250000000001"/>
    <x v="12"/>
    <x v="0"/>
    <m/>
    <d v="2025-02-13T00:00:00"/>
    <d v="1899-12-30T16:00:00"/>
    <m/>
    <m/>
    <m/>
    <m/>
    <m/>
    <m/>
    <m/>
    <s v=""/>
    <n v="0"/>
    <n v="0"/>
    <s v=""/>
    <m/>
    <m/>
    <s v=""/>
    <s v=""/>
    <s v=""/>
    <s v=""/>
    <s v=""/>
    <m/>
    <m/>
    <n v="0"/>
    <n v="0"/>
    <n v="0"/>
    <m/>
    <m/>
    <n v="66.78"/>
    <s v=""/>
    <s v=""/>
    <n v="0"/>
    <n v="0"/>
    <n v="-0.54586875212512753"/>
    <n v="118"/>
    <s v="free money"/>
    <n v="118"/>
    <s v="Assignment"/>
    <s v="SPs"/>
    <s v=""/>
    <m/>
    <m/>
    <m/>
    <s v=""/>
    <s v=""/>
    <n v="114.5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6-20T00:00:00"/>
    <s v=""/>
    <s v=""/>
    <s v=""/>
    <s v=""/>
    <s v=""/>
    <s v=""/>
    <s v=""/>
    <s v=""/>
    <s v=""/>
    <n v="0"/>
    <s v=""/>
    <s v=""/>
    <s v=""/>
    <s v=""/>
    <s v=""/>
    <s v=""/>
    <s v=""/>
    <s v=""/>
    <n v="0"/>
    <n v="63.440999999999995"/>
    <n v="286.7475"/>
    <m/>
    <m/>
    <n v="0"/>
    <s v=""/>
    <n v="0"/>
    <s v=""/>
    <s v="{42C737A1-3D2E-44D6-AF7D-D84606B15ED2}"/>
    <s v=""/>
    <s v=""/>
    <s v=""/>
    <s v=""/>
    <s v=""/>
    <s v=""/>
    <s v=""/>
    <s v=""/>
    <s v=""/>
    <s v=""/>
    <x v="0"/>
    <s v=""/>
  </r>
  <r>
    <s v="AEP"/>
    <n v="133.07"/>
    <m/>
    <n v="113.1095"/>
    <x v="13"/>
    <x v="5"/>
    <m/>
    <d v="2022-07-28T06:55:00"/>
    <d v="2022-07-28T06:55:00"/>
    <m/>
    <m/>
    <m/>
    <m/>
    <m/>
    <m/>
    <m/>
    <s v=""/>
    <n v="0"/>
    <n v="0"/>
    <s v=""/>
    <m/>
    <m/>
    <s v=""/>
    <s v=""/>
    <s v=""/>
    <s v=""/>
    <s v=""/>
    <n v="2.2400000000000002"/>
    <d v="2016-09-10T00:00:00"/>
    <n v="0"/>
    <n v="0"/>
    <n v="1.6833245660178856E-2"/>
    <d v="2016-08-04T00:00:00"/>
    <m/>
    <n v="97.82"/>
    <s v=""/>
    <s v=""/>
    <n v="0"/>
    <n v="0"/>
    <n v="-0.2648981738934395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92.928999999999988"/>
    <n v="259.48649999999998"/>
    <m/>
    <m/>
    <n v="0"/>
    <s v=""/>
    <n v="0"/>
    <s v=""/>
    <s v="{823949A0-9E8B-48C6-91C5-1009C20DB64E}"/>
    <s v=""/>
    <s v=""/>
    <s v=""/>
    <s v=""/>
    <s v=""/>
    <s v=""/>
    <s v=""/>
    <s v=""/>
    <s v=""/>
    <s v=""/>
    <x v="0"/>
    <s v=""/>
  </r>
  <r>
    <s v="ASC"/>
    <n v="16.04"/>
    <s v="Swing"/>
    <n v="13.633999999999999"/>
    <x v="14"/>
    <x v="6"/>
    <m/>
    <m/>
    <m/>
    <m/>
    <m/>
    <m/>
    <m/>
    <m/>
    <m/>
    <m/>
    <s v=""/>
    <n v="0"/>
    <n v="0"/>
    <s v=""/>
    <m/>
    <m/>
    <s v=""/>
    <s v=""/>
    <s v=""/>
    <s v=""/>
    <s v=""/>
    <m/>
    <m/>
    <n v="0"/>
    <n v="0"/>
    <n v="0"/>
    <m/>
    <m/>
    <n v="21"/>
    <s v=""/>
    <s v=""/>
    <n v="0"/>
    <n v="0"/>
    <n v="0.30922693266832924"/>
    <n v="17"/>
    <s v="T1"/>
    <n v="13.3"/>
    <s v="stop out"/>
    <s v="EquityOnly"/>
    <s v=""/>
    <m/>
    <m/>
    <m/>
    <s v=""/>
    <s v=""/>
    <n v="12.6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95"/>
    <n v="31.277999999999999"/>
    <m/>
    <m/>
    <n v="0"/>
    <s v=""/>
    <n v="0"/>
    <s v=""/>
    <m/>
    <s v=""/>
    <s v=""/>
    <s v=""/>
    <s v=""/>
    <s v=""/>
    <s v=""/>
    <s v=""/>
    <s v=""/>
    <s v=""/>
    <s v=""/>
    <x v="0"/>
    <s v=""/>
  </r>
  <r>
    <s v="AFRM"/>
    <n v="73.92"/>
    <s v="Swing"/>
    <n v="62.832000000000001"/>
    <x v="9"/>
    <x v="2"/>
    <m/>
    <d v="2022-08-11T16:05:00"/>
    <d v="2022-08-11T16:05:00"/>
    <m/>
    <m/>
    <m/>
    <m/>
    <m/>
    <m/>
    <m/>
    <s v=""/>
    <n v="0"/>
    <n v="0"/>
    <s v=""/>
    <m/>
    <m/>
    <s v=""/>
    <s v=""/>
    <s v=""/>
    <s v=""/>
    <s v=""/>
    <m/>
    <m/>
    <n v="0"/>
    <n v="0"/>
    <n v="0"/>
    <m/>
    <m/>
    <n v="14.54"/>
    <s v=""/>
    <s v=""/>
    <n v="0"/>
    <n v="0"/>
    <n v="-0.80330086580086579"/>
    <n v="110"/>
    <s v="ITM"/>
    <n v="100"/>
    <s v="max gain"/>
    <s v="BuPS"/>
    <s v=""/>
    <m/>
    <m/>
    <m/>
    <s v=""/>
    <s v=""/>
    <n v="1.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13.812999999999999"/>
    <n v="144.14400000000001"/>
    <m/>
    <m/>
    <n v="0"/>
    <s v=""/>
    <n v="0"/>
    <s v=""/>
    <m/>
    <s v=""/>
    <s v=""/>
    <s v=""/>
    <s v=""/>
    <s v=""/>
    <s v=""/>
    <s v=""/>
    <s v=""/>
    <s v=""/>
    <s v=""/>
    <x v="0"/>
    <s v=""/>
  </r>
  <r>
    <s v="GILD"/>
    <n v="130.34"/>
    <m/>
    <n v="110.789"/>
    <x v="15"/>
    <x v="3"/>
    <m/>
    <d v="2022-07-28T16:00:00"/>
    <d v="2022-07-28T16:00:00"/>
    <m/>
    <m/>
    <m/>
    <m/>
    <n v="2"/>
    <m/>
    <m/>
    <s v=""/>
    <n v="0"/>
    <n v="0"/>
    <s v=""/>
    <m/>
    <m/>
    <s v=""/>
    <s v=""/>
    <s v=""/>
    <s v=""/>
    <s v=""/>
    <n v="2.08"/>
    <d v="2017-09-29T00:00:00"/>
    <n v="0"/>
    <n v="0"/>
    <n v="1.5958263004449899E-2"/>
    <d v="2018-09-14T00:00:00"/>
    <m/>
    <n v="75.319999999999993"/>
    <s v=""/>
    <s v=""/>
    <n v="0"/>
    <n v="0"/>
    <n v="-0.42212674543501616"/>
    <m/>
    <m/>
    <m/>
    <m/>
    <m/>
    <s v=""/>
    <m/>
    <m/>
    <m/>
    <s v=""/>
    <s v=""/>
    <n v="9.32"/>
    <m/>
    <s v=""/>
    <m/>
    <m/>
    <m/>
    <m/>
    <m/>
    <m/>
    <n v="0"/>
    <n v="0"/>
    <m/>
    <s v=""/>
    <s v=""/>
    <s v=""/>
    <s v=""/>
    <m/>
    <m/>
    <m/>
    <m/>
    <m/>
    <m/>
    <b v="0"/>
    <b v="0"/>
    <n v="0"/>
    <m/>
    <n v="0"/>
    <s v=""/>
    <s v=""/>
    <s v=""/>
    <s v=""/>
    <n v="0"/>
    <n v="0"/>
    <s v=""/>
    <n v="0"/>
    <m/>
    <n v="0"/>
    <n v="0"/>
    <s v=""/>
    <m/>
    <m/>
    <s v=""/>
    <m/>
    <s v=""/>
    <s v=""/>
    <s v=""/>
    <m/>
    <m/>
    <s v=""/>
    <s v=""/>
    <s v=""/>
    <s v=""/>
    <s v=""/>
    <s v=""/>
    <m/>
    <m/>
    <s v=""/>
    <s v=""/>
    <s v=""/>
    <s v=""/>
    <m/>
    <m/>
    <m/>
    <m/>
    <m/>
    <m/>
    <n v="0"/>
    <s v=""/>
    <s v=""/>
    <s v=""/>
    <s v=""/>
    <n v="15.8"/>
    <n v="0"/>
    <n v="0"/>
    <e v="#DIV/0!"/>
    <s v=""/>
    <s v=""/>
    <s v=""/>
    <s v=""/>
    <m/>
    <s v=""/>
    <m/>
    <s v=""/>
    <s v=""/>
    <e v="#VALUE!"/>
    <n v="0"/>
    <s v=""/>
    <n v="0"/>
    <m/>
    <m/>
    <m/>
    <m/>
    <m/>
    <m/>
    <b v="0"/>
    <b v="0"/>
    <m/>
    <s v=""/>
    <s v=""/>
    <n v="0"/>
    <s v=""/>
    <s v=""/>
    <n v="0"/>
    <m/>
    <m/>
    <m/>
    <n v="0"/>
    <m/>
    <s v=""/>
    <s v=""/>
    <n v="0"/>
    <n v="0"/>
    <m/>
    <s v=""/>
    <s v=""/>
    <s v=""/>
    <s v=""/>
    <s v=""/>
    <s v=""/>
    <s v=""/>
    <s v=""/>
    <s v=""/>
    <n v="0"/>
    <s v=""/>
    <s v=""/>
    <s v=""/>
    <s v=""/>
    <s v=""/>
    <s v=""/>
    <s v=""/>
    <s v=""/>
    <n v="0"/>
    <n v="71.553999999999988"/>
    <n v="254.16300000000001"/>
    <m/>
    <m/>
    <n v="0"/>
    <s v=""/>
    <n v="0"/>
    <s v=""/>
    <s v="{E871EC27-4B25-497F-AC56-5D1335B58138}"/>
    <s v=""/>
    <s v=""/>
    <s v=""/>
    <s v=""/>
    <s v=""/>
    <s v=""/>
    <s v=""/>
    <s v=""/>
    <s v=""/>
    <s v=""/>
    <x v="0"/>
    <s v=""/>
  </r>
  <r>
    <s v="AGN"/>
    <n v="193.02"/>
    <s v="LT"/>
    <n v="164.06700000000001"/>
    <x v="12"/>
    <x v="0"/>
    <m/>
    <d v="2022-07-28T17:00:00"/>
    <d v="2022-07-28T17:00:00"/>
    <m/>
    <s v="ABBV takeover"/>
    <m/>
    <m/>
    <m/>
    <m/>
    <m/>
    <s v=""/>
    <n v="0"/>
    <n v="0"/>
    <s v=""/>
    <m/>
    <m/>
    <s v=""/>
    <s v=""/>
    <s v=""/>
    <s v=""/>
    <s v=""/>
    <n v="2.88"/>
    <d v="2017-09-15T00:00:00"/>
    <n v="0"/>
    <n v="0"/>
    <n v="1.4920733602735466E-2"/>
    <d v="2019-11-13T00:00:00"/>
    <n v="205"/>
    <n v="9.5399999999999991"/>
    <n v="6.2066107139156508E-2"/>
    <s v=""/>
    <n v="0"/>
    <n v="0"/>
    <n v="-0.95057506994093877"/>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9.0629999999999988"/>
    <n v="376.38900000000001"/>
    <m/>
    <m/>
    <n v="0"/>
    <s v=""/>
    <n v="0"/>
    <s v=""/>
    <s v="{71E300A2-5687-4B14-A62E-A87823414EDB}"/>
    <s v=""/>
    <s v=""/>
    <s v=""/>
    <s v=""/>
    <s v=""/>
    <s v=""/>
    <s v=""/>
    <s v=""/>
    <s v=""/>
    <s v=""/>
    <x v="0"/>
    <s v=""/>
  </r>
  <r>
    <s v="AGX"/>
    <n v="610.35"/>
    <m/>
    <n v="518.79750000000001"/>
    <x v="16"/>
    <x v="7"/>
    <m/>
    <m/>
    <m/>
    <m/>
    <m/>
    <m/>
    <m/>
    <m/>
    <m/>
    <m/>
    <s v=""/>
    <n v="0"/>
    <n v="0"/>
    <s v=""/>
    <m/>
    <m/>
    <s v=""/>
    <s v=""/>
    <s v=""/>
    <s v=""/>
    <s v=""/>
    <m/>
    <m/>
    <n v="0"/>
    <n v="0"/>
    <n v="0"/>
    <m/>
    <m/>
    <m/>
    <s v=""/>
    <s v=""/>
    <n v="0"/>
    <n v="0"/>
    <s v=""/>
    <m/>
    <m/>
    <m/>
    <m/>
    <m/>
    <s v=""/>
    <m/>
    <m/>
    <m/>
    <s v=""/>
    <s v=""/>
    <n v="202.56"/>
    <m/>
    <s v=""/>
    <m/>
    <m/>
    <m/>
    <m/>
    <m/>
    <m/>
    <n v="0"/>
    <n v="0"/>
    <m/>
    <s v=""/>
    <s v=""/>
    <s v=""/>
    <s v=""/>
    <m/>
    <m/>
    <m/>
    <m/>
    <m/>
    <m/>
    <b v="0"/>
    <b v="0"/>
    <n v="0"/>
    <m/>
    <n v="0"/>
    <s v=""/>
    <s v=""/>
    <s v=""/>
    <s v=""/>
    <n v="0"/>
    <n v="0"/>
    <s v=""/>
    <n v="0"/>
    <n v="0.5"/>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190.1825000000001"/>
    <m/>
    <m/>
    <n v="0"/>
    <s v=""/>
    <n v="0"/>
    <s v=""/>
    <m/>
    <s v=""/>
    <s v=""/>
    <s v=""/>
    <s v=""/>
    <s v=""/>
    <s v=""/>
    <s v=""/>
    <s v=""/>
    <s v=""/>
    <s v=""/>
    <x v="0"/>
    <s v=""/>
  </r>
  <r>
    <s v="AI"/>
    <n v="8.19"/>
    <s v="Swing"/>
    <n v="6.9614999999999991"/>
    <x v="11"/>
    <x v="2"/>
    <m/>
    <d v="2023-08-30T16:15:00"/>
    <d v="2023-08-30T16:15:00"/>
    <m/>
    <m/>
    <m/>
    <m/>
    <m/>
    <m/>
    <m/>
    <s v=""/>
    <n v="0"/>
    <n v="0"/>
    <s v=""/>
    <n v="55"/>
    <n v="36"/>
    <s v=""/>
    <s v=""/>
    <s v=""/>
    <s v=""/>
    <s v=""/>
    <m/>
    <m/>
    <n v="0"/>
    <n v="0"/>
    <n v="0"/>
    <m/>
    <m/>
    <m/>
    <s v=""/>
    <s v=""/>
    <n v="0"/>
    <n v="0"/>
    <s v=""/>
    <n v="29"/>
    <s v="assignment"/>
    <n v="29"/>
    <s v="free money"/>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n v="0.41"/>
    <s v=""/>
    <s v=""/>
    <n v="0"/>
    <s v=""/>
    <s v=""/>
    <n v="0"/>
    <m/>
    <m/>
    <m/>
    <n v="0"/>
    <m/>
    <s v=""/>
    <s v=""/>
    <n v="0"/>
    <n v="0"/>
    <d v="2025-05-09T00:00:00"/>
    <s v=""/>
    <s v=""/>
    <s v=""/>
    <s v=""/>
    <s v=""/>
    <s v=""/>
    <s v=""/>
    <s v=""/>
    <s v=""/>
    <n v="0"/>
    <s v=""/>
    <s v=""/>
    <s v=""/>
    <s v=""/>
    <s v=""/>
    <s v=""/>
    <s v=""/>
    <s v=""/>
    <n v="0"/>
    <n v="0"/>
    <n v="15.970499999999999"/>
    <m/>
    <m/>
    <n v="0"/>
    <s v=""/>
    <n v="0"/>
    <s v=""/>
    <m/>
    <s v=""/>
    <s v=""/>
    <s v=""/>
    <s v=""/>
    <s v=""/>
    <s v=""/>
    <s v=""/>
    <s v=""/>
    <s v=""/>
    <s v=""/>
    <x v="0"/>
    <s v=""/>
  </r>
  <r>
    <s v="AIG"/>
    <n v="78.25"/>
    <m/>
    <n v="66.512500000000003"/>
    <x v="17"/>
    <x v="8"/>
    <m/>
    <d v="2022-08-02T16:15:00"/>
    <d v="2022-08-02T16:15:00"/>
    <m/>
    <m/>
    <m/>
    <m/>
    <m/>
    <m/>
    <m/>
    <s v=""/>
    <n v="0"/>
    <n v="0"/>
    <s v=""/>
    <m/>
    <m/>
    <s v=""/>
    <s v=""/>
    <s v=""/>
    <s v=""/>
    <s v=""/>
    <n v="1.28"/>
    <d v="2016-03-21T00:00:00"/>
    <n v="0"/>
    <n v="0"/>
    <n v="1.6357827476038339E-2"/>
    <d v="2015-12-01T00:00:00"/>
    <m/>
    <n v="42.8"/>
    <s v=""/>
    <s v=""/>
    <n v="0"/>
    <n v="0"/>
    <n v="-0.45303514376996806"/>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40.659999999999997"/>
    <n v="152.58750000000001"/>
    <m/>
    <m/>
    <n v="0"/>
    <s v=""/>
    <n v="0"/>
    <s v=""/>
    <s v="{27EAF4E1-EF9F-462F-9B0A-38D968424E38}"/>
    <s v=""/>
    <s v=""/>
    <s v=""/>
    <s v=""/>
    <s v=""/>
    <s v=""/>
    <s v=""/>
    <s v=""/>
    <s v=""/>
    <s v=""/>
    <x v="0"/>
    <s v=""/>
  </r>
  <r>
    <s v="CLPT"/>
    <n v="15.03"/>
    <m/>
    <n v="12.775499999999999"/>
    <x v="18"/>
    <x v="3"/>
    <m/>
    <m/>
    <m/>
    <m/>
    <m/>
    <m/>
    <m/>
    <m/>
    <m/>
    <m/>
    <s v=""/>
    <n v="0"/>
    <n v="0"/>
    <s v=""/>
    <m/>
    <m/>
    <s v=""/>
    <s v=""/>
    <s v=""/>
    <s v=""/>
    <s v=""/>
    <m/>
    <m/>
    <n v="0"/>
    <n v="0"/>
    <n v="0"/>
    <m/>
    <m/>
    <m/>
    <s v=""/>
    <s v=""/>
    <n v="0"/>
    <n v="0"/>
    <s v=""/>
    <m/>
    <m/>
    <m/>
    <m/>
    <m/>
    <s v=""/>
    <m/>
    <m/>
    <m/>
    <s v=""/>
    <s v=""/>
    <n v="14.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n v="0.16"/>
    <s v=""/>
    <s v=""/>
    <n v="0"/>
    <s v=""/>
    <s v=""/>
    <n v="0"/>
    <m/>
    <m/>
    <m/>
    <n v="0"/>
    <m/>
    <s v=""/>
    <s v=""/>
    <n v="0"/>
    <n v="0"/>
    <m/>
    <s v=""/>
    <s v=""/>
    <s v=""/>
    <s v=""/>
    <s v=""/>
    <s v=""/>
    <s v=""/>
    <s v=""/>
    <s v=""/>
    <n v="0"/>
    <s v=""/>
    <s v=""/>
    <s v=""/>
    <s v=""/>
    <s v=""/>
    <s v=""/>
    <s v=""/>
    <s v=""/>
    <n v="0"/>
    <n v="0"/>
    <n v="29.308499999999999"/>
    <m/>
    <m/>
    <n v="0"/>
    <s v=""/>
    <n v="0"/>
    <s v=""/>
    <m/>
    <s v=""/>
    <s v=""/>
    <s v=""/>
    <s v=""/>
    <s v=""/>
    <s v=""/>
    <s v=""/>
    <s v=""/>
    <s v=""/>
    <s v=""/>
    <x v="0"/>
    <s v=""/>
  </r>
  <r>
    <s v="AMGN"/>
    <n v="366.05"/>
    <m/>
    <n v="311.14249999999998"/>
    <x v="19"/>
    <x v="3"/>
    <m/>
    <d v="2022-07-27T16:00:00"/>
    <d v="2022-07-27T16:00:00"/>
    <m/>
    <m/>
    <m/>
    <m/>
    <m/>
    <m/>
    <m/>
    <s v=""/>
    <n v="0"/>
    <n v="0"/>
    <s v=""/>
    <m/>
    <m/>
    <s v=""/>
    <s v=""/>
    <s v=""/>
    <s v=""/>
    <s v=""/>
    <n v="4"/>
    <d v="2016-09-08T00:00:00"/>
    <n v="0"/>
    <n v="0"/>
    <n v="1.0927468925010245E-2"/>
    <d v="2019-11-14T00:00:00"/>
    <n v="220"/>
    <n v="254.2"/>
    <n v="-0.39898920912443658"/>
    <s v=""/>
    <n v="0"/>
    <n v="0"/>
    <n v="-0.30555934981559901"/>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241.48999999999998"/>
    <n v="713.79750000000001"/>
    <m/>
    <m/>
    <n v="0"/>
    <s v=""/>
    <n v="0"/>
    <s v=""/>
    <s v="{40DED7F4-898A-43BF-84BE-747181E0235A}"/>
    <s v=""/>
    <s v=""/>
    <s v=""/>
    <s v=""/>
    <s v=""/>
    <s v=""/>
    <s v=""/>
    <s v=""/>
    <s v=""/>
    <m/>
    <x v="0"/>
    <s v=""/>
  </r>
  <r>
    <s v="ANET"/>
    <n v="174.87"/>
    <m/>
    <n v="148.6395"/>
    <x v="20"/>
    <x v="2"/>
    <m/>
    <d v="2023-07-31T16:05:00"/>
    <d v="2023-07-31T16:05:00"/>
    <m/>
    <m/>
    <m/>
    <m/>
    <m/>
    <m/>
    <m/>
    <s v=""/>
    <n v="0"/>
    <n v="0"/>
    <s v=""/>
    <m/>
    <m/>
    <s v=""/>
    <s v=""/>
    <s v=""/>
    <s v=""/>
    <s v=""/>
    <m/>
    <m/>
    <n v="0"/>
    <n v="0"/>
    <n v="0"/>
    <m/>
    <m/>
    <n v="171.41"/>
    <s v=""/>
    <s v=""/>
    <n v="0"/>
    <n v="0"/>
    <n v="-1.9786126837079018E-2"/>
    <n v="130"/>
    <s v="UpperLeg"/>
    <n v="120"/>
    <s v="LowerLeg"/>
    <s v="BuPS"/>
    <s v=""/>
    <m/>
    <m/>
    <m/>
    <s v=""/>
    <s v=""/>
    <n v="-2.2799999999999998"/>
    <m/>
    <s v=""/>
    <m/>
    <m/>
    <m/>
    <m/>
    <m/>
    <m/>
    <n v="0"/>
    <n v="0"/>
    <m/>
    <s v=""/>
    <s v=""/>
    <s v=""/>
    <s v=""/>
    <m/>
    <m/>
    <m/>
    <m/>
    <m/>
    <m/>
    <b v="0"/>
    <b v="0"/>
    <n v="0"/>
    <m/>
    <n v="0"/>
    <s v=""/>
    <s v=""/>
    <s v=""/>
    <s v=""/>
    <n v="0"/>
    <n v="0"/>
    <s v=""/>
    <n v="0"/>
    <n v="0.5"/>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2.83949999999999"/>
    <n v="340.99650000000003"/>
    <m/>
    <m/>
    <n v="0"/>
    <s v=""/>
    <n v="0"/>
    <s v=""/>
    <m/>
    <s v=""/>
    <s v=""/>
    <s v=""/>
    <s v=""/>
    <s v=""/>
    <s v=""/>
    <s v=""/>
    <s v=""/>
    <s v=""/>
    <s v=""/>
    <x v="0"/>
    <s v=""/>
  </r>
  <r>
    <s v="ANGI"/>
    <n v="5.78"/>
    <s v="Swing"/>
    <n v="4.9130000000000003"/>
    <x v="21"/>
    <x v="9"/>
    <m/>
    <d v="2022-08-08T16:10:00"/>
    <d v="2022-08-08T16:10:00"/>
    <m/>
    <m/>
    <m/>
    <m/>
    <m/>
    <m/>
    <m/>
    <s v=""/>
    <n v="0"/>
    <n v="0"/>
    <s v=""/>
    <m/>
    <m/>
    <s v=""/>
    <s v=""/>
    <s v=""/>
    <s v=""/>
    <s v=""/>
    <m/>
    <m/>
    <n v="0"/>
    <n v="0"/>
    <n v="0"/>
    <m/>
    <m/>
    <n v="16.04"/>
    <s v=""/>
    <s v=""/>
    <n v="0"/>
    <n v="0"/>
    <n v="1.7750865051903111"/>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237999999999998"/>
    <n v="11.271000000000001"/>
    <m/>
    <m/>
    <n v="0"/>
    <s v=""/>
    <n v="0"/>
    <s v=""/>
    <m/>
    <s v=""/>
    <s v=""/>
    <s v=""/>
    <s v=""/>
    <s v=""/>
    <s v=""/>
    <s v=""/>
    <s v=""/>
    <s v=""/>
    <s v=""/>
    <x v="0"/>
    <s v=""/>
  </r>
  <r>
    <s v="APA"/>
    <n v="36.18"/>
    <m/>
    <n v="30.753"/>
    <x v="22"/>
    <x v="10"/>
    <m/>
    <d v="2022-08-03T17:00:00"/>
    <d v="2022-08-03T17:00:00"/>
    <m/>
    <m/>
    <m/>
    <m/>
    <m/>
    <m/>
    <m/>
    <s v=""/>
    <n v="0"/>
    <n v="0"/>
    <s v=""/>
    <n v="39.93"/>
    <n v="43.8"/>
    <s v=""/>
    <s v=""/>
    <s v=""/>
    <s v=""/>
    <s v=""/>
    <n v="1"/>
    <d v="2017-05-22T00:00:00"/>
    <n v="0"/>
    <n v="0"/>
    <n v="2.7639579878385848E-2"/>
    <d v="2017-04-14T00:00:00"/>
    <n v="32.5"/>
    <n v="56.04"/>
    <n v="-0.10171365395245992"/>
    <s v=""/>
    <n v="0"/>
    <n v="0"/>
    <n v="0.5489220563847429"/>
    <n v="32.5"/>
    <s v="T1"/>
    <n v="29.38"/>
    <s v="stop out"/>
    <s v="EquityOnly"/>
    <s v=""/>
    <m/>
    <m/>
    <m/>
    <s v=""/>
    <s v=""/>
    <n v="29.6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3.238"/>
    <n v="70.551000000000002"/>
    <m/>
    <m/>
    <n v="0"/>
    <s v=""/>
    <n v="0"/>
    <s v=""/>
    <s v="{53606FE8-5E18-4E76-B8E4-5E14C3EB7BF0}"/>
    <s v=""/>
    <s v=""/>
    <s v=""/>
    <s v=""/>
    <s v=""/>
    <s v=""/>
    <s v=""/>
    <s v=""/>
    <s v=""/>
    <s v=""/>
    <x v="0"/>
    <s v=""/>
  </r>
  <r>
    <s v="APC"/>
    <n v="20.71"/>
    <m/>
    <n v="17.6035"/>
    <x v="22"/>
    <x v="10"/>
    <m/>
    <d v="2022-08-03T17:00:00"/>
    <d v="2022-08-03T17:00:00"/>
    <m/>
    <m/>
    <m/>
    <m/>
    <m/>
    <m/>
    <m/>
    <m/>
    <n v="0"/>
    <n v="0"/>
    <s v=""/>
    <m/>
    <m/>
    <s v=""/>
    <s v=""/>
    <s v=""/>
    <s v=""/>
    <s v=""/>
    <n v="0.2"/>
    <d v="2016-03-23T00:00:00"/>
    <n v="0"/>
    <n v="0"/>
    <n v="9.6571704490584255E-3"/>
    <d v="2015-12-03T00:00:00"/>
    <n v="65"/>
    <n v="19.61"/>
    <n v="2.1385803959439884"/>
    <s v=""/>
    <n v="0"/>
    <n v="0"/>
    <n v="-5.3114437469821411E-2"/>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6295"/>
    <n v="40.384500000000003"/>
    <m/>
    <m/>
    <n v="0"/>
    <s v=""/>
    <n v="0"/>
    <s v=""/>
    <s v="{80D290A3-419D-4202-850C-484E3D0F82CD}"/>
    <s v=""/>
    <s v=""/>
    <s v=""/>
    <s v=""/>
    <s v=""/>
    <s v=""/>
    <s v=""/>
    <s v=""/>
    <s v=""/>
    <s v=""/>
    <x v="0"/>
    <s v=""/>
  </r>
  <r>
    <s v="ARE"/>
    <n v="49.64"/>
    <m/>
    <n v="42.194000000000003"/>
    <x v="23"/>
    <x v="11"/>
    <m/>
    <d v="2022-07-25T16:10:00"/>
    <d v="2022-07-25T16:10:00"/>
    <s v="Confirmed"/>
    <m/>
    <m/>
    <m/>
    <m/>
    <m/>
    <m/>
    <s v=""/>
    <n v="0"/>
    <n v="0"/>
    <s v=""/>
    <m/>
    <m/>
    <s v=""/>
    <s v=""/>
    <s v=""/>
    <s v=""/>
    <s v=""/>
    <n v="3.08"/>
    <d v="2016-04-15T00:00:00"/>
    <n v="0"/>
    <n v="0"/>
    <n v="6.2046736502820304E-2"/>
    <d v="2015-12-25T00:00:00"/>
    <m/>
    <n v="192.38"/>
    <s v=""/>
    <s v=""/>
    <n v="0"/>
    <n v="0"/>
    <n v="2.8755036261079776"/>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2.761"/>
    <n v="96.798000000000002"/>
    <m/>
    <m/>
    <n v="0"/>
    <s v=""/>
    <n v="0"/>
    <s v=""/>
    <s v="{AF6FA183-A7A4-421A-A675-08B218E3866A}"/>
    <s v=""/>
    <s v=""/>
    <s v=""/>
    <s v=""/>
    <s v=""/>
    <s v=""/>
    <s v=""/>
    <s v=""/>
    <s v=""/>
    <s v=""/>
    <x v="0"/>
    <s v=""/>
  </r>
  <r>
    <s v="ARKK"/>
    <n v="76.03"/>
    <s v="Swing"/>
    <n v="64.625500000000002"/>
    <x v="24"/>
    <x v="12"/>
    <m/>
    <s v="N/A"/>
    <m/>
    <m/>
    <m/>
    <m/>
    <m/>
    <m/>
    <m/>
    <m/>
    <s v=""/>
    <n v="0"/>
    <n v="0"/>
    <s v=""/>
    <n v="44.2"/>
    <n v="38.72"/>
    <s v=""/>
    <s v=""/>
    <s v=""/>
    <s v=""/>
    <s v=""/>
    <m/>
    <m/>
    <n v="0"/>
    <n v="0"/>
    <n v="0"/>
    <m/>
    <m/>
    <m/>
    <s v=""/>
    <s v=""/>
    <n v="0"/>
    <n v="0"/>
    <s v=""/>
    <n v="44.2"/>
    <s v="T1"/>
    <n v="38.72"/>
    <s v="stop out"/>
    <m/>
    <s v=""/>
    <m/>
    <m/>
    <m/>
    <s v=""/>
    <s v=""/>
    <n v="40.549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48.2585"/>
    <m/>
    <m/>
    <n v="0"/>
    <s v=""/>
    <n v="0"/>
    <s v=""/>
    <m/>
    <s v=""/>
    <s v=""/>
    <s v=""/>
    <s v=""/>
    <s v=""/>
    <s v=""/>
    <s v=""/>
    <s v=""/>
    <s v=""/>
    <s v=""/>
    <x v="0"/>
    <s v=""/>
  </r>
  <r>
    <s v="ARM"/>
    <n v="283.39999999999998"/>
    <s v="Swing"/>
    <n v="240.89"/>
    <x v="5"/>
    <x v="2"/>
    <m/>
    <m/>
    <m/>
    <m/>
    <m/>
    <m/>
    <m/>
    <m/>
    <m/>
    <m/>
    <s v=""/>
    <n v="0"/>
    <n v="0"/>
    <s v=""/>
    <m/>
    <m/>
    <s v=""/>
    <s v=""/>
    <s v=""/>
    <s v=""/>
    <s v=""/>
    <m/>
    <m/>
    <n v="0"/>
    <n v="0"/>
    <n v="0"/>
    <m/>
    <m/>
    <m/>
    <s v=""/>
    <s v=""/>
    <n v="0"/>
    <n v="0"/>
    <s v=""/>
    <m/>
    <m/>
    <m/>
    <m/>
    <m/>
    <s v=""/>
    <m/>
    <m/>
    <m/>
    <s v=""/>
    <s v=""/>
    <n v="118.5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52.63"/>
    <m/>
    <m/>
    <n v="0"/>
    <s v=""/>
    <n v="0"/>
    <s v=""/>
    <m/>
    <s v=""/>
    <s v=""/>
    <s v=""/>
    <s v=""/>
    <s v=""/>
    <s v=""/>
    <s v=""/>
    <s v=""/>
    <s v=""/>
    <s v=""/>
    <x v="0"/>
    <s v=""/>
  </r>
  <r>
    <s v="ARNC"/>
    <n v="25.22"/>
    <m/>
    <n v="21.436999999999998"/>
    <x v="25"/>
    <x v="7"/>
    <m/>
    <d v="2022-08-02T06:45:00"/>
    <d v="2022-08-02T06:45:00"/>
    <m/>
    <m/>
    <m/>
    <m/>
    <m/>
    <m/>
    <m/>
    <s v=""/>
    <n v="0"/>
    <n v="0"/>
    <s v=""/>
    <m/>
    <m/>
    <s v=""/>
    <s v=""/>
    <s v=""/>
    <s v=""/>
    <s v=""/>
    <n v="0.24"/>
    <d v="2017-08-25T00:00:00"/>
    <n v="0"/>
    <n v="0"/>
    <n v="9.5162569389373522E-3"/>
    <d v="2017-11-01T00:00:00"/>
    <n v="31"/>
    <n v="36.33"/>
    <n v="0.22918318794607459"/>
    <s v=""/>
    <n v="0"/>
    <n v="0"/>
    <n v="0.44052339413164154"/>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4.513499999999993"/>
    <n v="49.178999999999995"/>
    <m/>
    <m/>
    <n v="0"/>
    <s v=""/>
    <n v="0"/>
    <s v=""/>
    <s v="{486E9EC1-1D7A-417B-B2A6-60ED729CBB41}"/>
    <s v=""/>
    <s v=""/>
    <s v=""/>
    <s v=""/>
    <s v=""/>
    <s v=""/>
    <s v=""/>
    <s v=""/>
    <s v=""/>
    <s v=""/>
    <x v="0"/>
    <s v=""/>
  </r>
  <r>
    <s v="ARWR"/>
    <n v="88.7"/>
    <m/>
    <n v="75.394999999999996"/>
    <x v="15"/>
    <x v="3"/>
    <m/>
    <d v="2022-08-09T16:00:00"/>
    <d v="2022-08-09T16:00:00"/>
    <m/>
    <m/>
    <m/>
    <m/>
    <m/>
    <m/>
    <m/>
    <s v=""/>
    <n v="0"/>
    <n v="0"/>
    <s v=""/>
    <m/>
    <m/>
    <s v=""/>
    <s v=""/>
    <s v=""/>
    <s v=""/>
    <s v=""/>
    <m/>
    <m/>
    <n v="0"/>
    <n v="0"/>
    <n v="0"/>
    <m/>
    <m/>
    <n v="92.42"/>
    <s v=""/>
    <s v=""/>
    <n v="0"/>
    <n v="0"/>
    <n v="4.1939120631341587E-2"/>
    <n v="8"/>
    <s v="assignment"/>
    <n v="8"/>
    <s v="free money"/>
    <s v="CCs"/>
    <s v=""/>
    <m/>
    <m/>
    <m/>
    <s v=""/>
    <s v=""/>
    <n v="1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7.798999999999992"/>
    <n v="172.965"/>
    <m/>
    <m/>
    <n v="0"/>
    <s v=""/>
    <n v="0"/>
    <s v=""/>
    <s v="{37ABFC74-0411-4D6C-BB17-CA5DFB91336B}"/>
    <s v=""/>
    <s v=""/>
    <s v=""/>
    <s v=""/>
    <s v=""/>
    <s v=""/>
    <s v=""/>
    <s v=""/>
    <s v=""/>
    <s v=""/>
    <x v="0"/>
    <s v=""/>
  </r>
  <r>
    <s v="ASTS"/>
    <n v="61.95"/>
    <m/>
    <n v="52.657499999999999"/>
    <x v="26"/>
    <x v="2"/>
    <m/>
    <m/>
    <m/>
    <m/>
    <m/>
    <m/>
    <m/>
    <m/>
    <m/>
    <m/>
    <s v=""/>
    <n v="0"/>
    <n v="0"/>
    <s v=""/>
    <m/>
    <m/>
    <s v=""/>
    <s v=""/>
    <s v=""/>
    <s v=""/>
    <s v=""/>
    <m/>
    <m/>
    <n v="0"/>
    <n v="0"/>
    <n v="0"/>
    <m/>
    <m/>
    <m/>
    <s v=""/>
    <s v=""/>
    <n v="0"/>
    <n v="0"/>
    <s v=""/>
    <n v="17.5"/>
    <s v="free money"/>
    <n v="17.5"/>
    <s v="Assignment"/>
    <s v="SPs"/>
    <s v=""/>
    <m/>
    <m/>
    <m/>
    <s v=""/>
    <s v=""/>
    <n v="16.45"/>
    <m/>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20.80250000000001"/>
    <m/>
    <m/>
    <n v="0"/>
    <s v=""/>
    <n v="0"/>
    <s v=""/>
    <m/>
    <s v=""/>
    <s v=""/>
    <s v=""/>
    <s v=""/>
    <s v=""/>
    <s v=""/>
    <s v=""/>
    <s v=""/>
    <s v=""/>
    <s v=""/>
    <x v="0"/>
    <s v=""/>
  </r>
  <r>
    <s v="ATVI"/>
    <n v="84.19"/>
    <s v="MT"/>
    <n v="71.561499999999995"/>
    <x v="27"/>
    <x v="9"/>
    <m/>
    <d v="2022-07-25T07:30:00"/>
    <d v="2022-07-25T07:30:00"/>
    <m/>
    <m/>
    <m/>
    <m/>
    <m/>
    <m/>
    <m/>
    <s v=""/>
    <n v="0"/>
    <n v="0"/>
    <s v=""/>
    <m/>
    <m/>
    <s v=""/>
    <s v=""/>
    <s v=""/>
    <s v=""/>
    <s v=""/>
    <n v="1.44"/>
    <d v="2020-05-06T00:00:00"/>
    <n v="0"/>
    <n v="0"/>
    <n v="1.7104169141228174E-2"/>
    <d v="2020-04-14T00:00:00"/>
    <m/>
    <n v="111.48"/>
    <s v=""/>
    <s v=""/>
    <n v="0"/>
    <n v="0"/>
    <n v="0.32414776101674792"/>
    <n v="8"/>
    <s v="assignment"/>
    <n v="8"/>
    <s v="free money"/>
    <s v="CCs"/>
    <s v=""/>
    <m/>
    <m/>
    <m/>
    <m/>
    <m/>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5.90600000000001"/>
    <n v="164.1705"/>
    <m/>
    <m/>
    <n v="0"/>
    <s v=""/>
    <n v="0"/>
    <s v=""/>
    <s v="{5A3E5B99-14F3-477C-A8CB-79A396E3B1A3}"/>
    <s v=""/>
    <s v=""/>
    <s v=""/>
    <s v=""/>
    <s v=""/>
    <s v=""/>
    <s v=""/>
    <s v=""/>
    <s v=""/>
    <s v=""/>
    <x v="0"/>
    <s v=""/>
  </r>
  <r>
    <s v="CRM"/>
    <n v="163"/>
    <s v="CORE"/>
    <n v="138.54999999999998"/>
    <x v="28"/>
    <x v="2"/>
    <m/>
    <d v="2022-08-30T16:05:00"/>
    <d v="2022-08-30T16:05:00"/>
    <m/>
    <m/>
    <n v="2"/>
    <m/>
    <m/>
    <m/>
    <m/>
    <s v=""/>
    <n v="0"/>
    <n v="0"/>
    <s v=""/>
    <n v="275"/>
    <n v="195"/>
    <s v=""/>
    <s v=""/>
    <s v=""/>
    <s v=""/>
    <s v=""/>
    <m/>
    <m/>
    <n v="0"/>
    <n v="0"/>
    <n v="0"/>
    <m/>
    <m/>
    <n v="277.33999999999997"/>
    <s v=""/>
    <s v=""/>
    <n v="0"/>
    <n v="0"/>
    <n v="0.70147239263803662"/>
    <n v="220"/>
    <s v="assignment"/>
    <n v="220"/>
    <s v="free money"/>
    <s v="CCs"/>
    <s v=""/>
    <m/>
    <m/>
    <m/>
    <s v=""/>
    <s v=""/>
    <n v="149.38"/>
    <m/>
    <s v=""/>
    <m/>
    <m/>
    <m/>
    <m/>
    <m/>
    <m/>
    <n v="0"/>
    <n v="0"/>
    <m/>
    <s v=""/>
    <s v=""/>
    <s v=""/>
    <s v=""/>
    <m/>
    <m/>
    <m/>
    <m/>
    <m/>
    <m/>
    <b v="0"/>
    <b v="0"/>
    <n v="0"/>
    <m/>
    <n v="0"/>
    <s v=""/>
    <s v=""/>
    <s v=""/>
    <s v=""/>
    <n v="0"/>
    <n v="0"/>
    <s v=""/>
    <n v="0"/>
    <n v="0.75"/>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3.47299999999996"/>
    <n v="317.84999999999997"/>
    <m/>
    <m/>
    <n v="0"/>
    <s v=""/>
    <n v="0"/>
    <s v=""/>
    <s v="{607B67BC-A431-464A-838F-D27DFC8DB4BB}"/>
    <s v=""/>
    <s v=""/>
    <s v=""/>
    <s v=""/>
    <s v=""/>
    <s v=""/>
    <s v=""/>
    <s v=""/>
    <s v=""/>
    <s v=""/>
    <x v="0"/>
    <s v=""/>
  </r>
  <r>
    <s v="AXP"/>
    <n v="348.74"/>
    <m/>
    <n v="296.42899999999997"/>
    <x v="29"/>
    <x v="8"/>
    <m/>
    <d v="2022-07-22T07:00:00"/>
    <d v="2022-07-22T07:00:00"/>
    <m/>
    <m/>
    <m/>
    <m/>
    <m/>
    <m/>
    <m/>
    <s v=""/>
    <n v="0"/>
    <n v="0"/>
    <s v=""/>
    <m/>
    <m/>
    <s v=""/>
    <s v=""/>
    <s v=""/>
    <s v=""/>
    <s v=""/>
    <n v="1.1599999999999999"/>
    <d v="2016-05-10T00:00:00"/>
    <n v="0"/>
    <n v="0"/>
    <n v="3.3262602511899978E-3"/>
    <d v="2016-01-04T00:00:00"/>
    <m/>
    <n v="130.32"/>
    <s v=""/>
    <s v=""/>
    <n v="0"/>
    <n v="0"/>
    <n v="-0.62631186557320639"/>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3.80399999999999"/>
    <n v="680.04300000000001"/>
    <n v="200"/>
    <n v="83.58"/>
    <n v="16716"/>
    <s v=""/>
    <e v="#VALUE!"/>
    <e v="#VALUE!"/>
    <s v="{D98CD9BF-0A17-4956-9D9D-B2D9AA7E04B5}"/>
    <s v=""/>
    <s v=""/>
    <s v=""/>
    <s v=""/>
    <s v=""/>
    <s v=""/>
    <s v=""/>
    <s v=""/>
    <s v=""/>
    <s v=""/>
    <x v="0"/>
    <s v=""/>
  </r>
  <r>
    <s v="AXTA"/>
    <n v="32.799999999999997"/>
    <s v="Swing"/>
    <n v="27.879999999999995"/>
    <x v="30"/>
    <x v="0"/>
    <m/>
    <d v="2022-07-25T16:15:00"/>
    <d v="2022-07-25T16:15:00"/>
    <m/>
    <m/>
    <m/>
    <m/>
    <m/>
    <m/>
    <m/>
    <s v=""/>
    <n v="0"/>
    <n v="0"/>
    <s v=""/>
    <m/>
    <m/>
    <s v=""/>
    <s v=""/>
    <s v=""/>
    <s v=""/>
    <s v=""/>
    <m/>
    <m/>
    <n v="0"/>
    <n v="0"/>
    <n v="0"/>
    <m/>
    <m/>
    <n v="32.75"/>
    <s v=""/>
    <s v=""/>
    <n v="0"/>
    <n v="0"/>
    <n v="-1.5243902439023526E-3"/>
    <n v="8"/>
    <s v="assignment"/>
    <n v="8"/>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112499999999997"/>
    <n v="63.959999999999994"/>
    <m/>
    <m/>
    <n v="0"/>
    <s v=""/>
    <n v="0"/>
    <s v=""/>
    <m/>
    <s v=""/>
    <s v=""/>
    <s v=""/>
    <s v=""/>
    <s v=""/>
    <s v=""/>
    <s v=""/>
    <s v=""/>
    <s v=""/>
    <s v=""/>
    <x v="0"/>
    <s v=""/>
  </r>
  <r>
    <s v="AETUF"/>
    <n v="23.06"/>
    <m/>
    <n v="19.600999999999999"/>
    <x v="31"/>
    <x v="10"/>
    <m/>
    <m/>
    <m/>
    <m/>
    <m/>
    <m/>
    <m/>
    <m/>
    <m/>
    <m/>
    <s v=""/>
    <n v="0"/>
    <n v="0"/>
    <s v=""/>
    <m/>
    <m/>
    <s v=""/>
    <s v=""/>
    <s v=""/>
    <s v=""/>
    <s v=""/>
    <m/>
    <m/>
    <n v="0"/>
    <n v="0"/>
    <n v="0"/>
    <m/>
    <m/>
    <m/>
    <s v=""/>
    <s v=""/>
    <n v="0"/>
    <n v="0"/>
    <s v=""/>
    <m/>
    <m/>
    <m/>
    <m/>
    <m/>
    <s v=""/>
    <m/>
    <m/>
    <m/>
    <s v=""/>
    <s v=""/>
    <n v="17.1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4.966999999999999"/>
    <m/>
    <m/>
    <n v="0"/>
    <s v=""/>
    <n v="0"/>
    <s v=""/>
    <m/>
    <s v=""/>
    <s v=""/>
    <s v=""/>
    <s v=""/>
    <s v=""/>
    <s v=""/>
    <s v=""/>
    <s v=""/>
    <s v=""/>
    <s v=""/>
    <x v="0"/>
    <s v=""/>
  </r>
  <r>
    <s v="DIS"/>
    <n v="95.87"/>
    <s v="CORE"/>
    <n v="81.489500000000007"/>
    <x v="32"/>
    <x v="9"/>
    <m/>
    <d v="2023-02-08T16:05:00"/>
    <d v="2023-02-08T16:05:00"/>
    <s v="Confirmed"/>
    <m/>
    <n v="2"/>
    <b v="1"/>
    <m/>
    <m/>
    <m/>
    <s v=""/>
    <n v="0"/>
    <n v="0"/>
    <s v=""/>
    <n v="210"/>
    <n v="134.9"/>
    <s v=""/>
    <s v=""/>
    <s v=""/>
    <s v=""/>
    <s v=""/>
    <m/>
    <m/>
    <n v="0"/>
    <n v="0"/>
    <n v="0"/>
    <m/>
    <m/>
    <n v="126.29"/>
    <s v=""/>
    <s v=""/>
    <n v="0"/>
    <n v="0"/>
    <n v="0.31730468342547202"/>
    <n v="95"/>
    <s v="assignment"/>
    <n v="95"/>
    <s v="free money"/>
    <s v="CCs"/>
    <s v=""/>
    <m/>
    <m/>
    <m/>
    <s v=""/>
    <s v=""/>
    <n v="91.56"/>
    <s v="Roll OUT"/>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9.9755"/>
    <n v="186.94650000000001"/>
    <m/>
    <m/>
    <n v="0"/>
    <s v=""/>
    <n v="0"/>
    <s v=""/>
    <s v="{A397172B-EFC7-420A-AD29-B0DBFFF5C2A5}"/>
    <s v=""/>
    <s v=""/>
    <s v=""/>
    <s v=""/>
    <s v=""/>
    <s v=""/>
    <s v=""/>
    <s v=""/>
    <s v=""/>
    <s v=""/>
    <x v="0"/>
    <s v=""/>
  </r>
  <r>
    <s v="BABA"/>
    <n v="116.56"/>
    <m/>
    <n v="99.075999999999993"/>
    <x v="33"/>
    <x v="1"/>
    <m/>
    <d v="2022-08-25T07:00:00"/>
    <d v="2022-08-25T07:00:00"/>
    <m/>
    <m/>
    <m/>
    <m/>
    <n v="1"/>
    <m/>
    <m/>
    <s v=""/>
    <n v="0"/>
    <n v="0"/>
    <s v=""/>
    <n v="150"/>
    <n v="128"/>
    <s v=""/>
    <s v=""/>
    <s v=""/>
    <s v=""/>
    <s v=""/>
    <m/>
    <m/>
    <n v="0"/>
    <n v="0"/>
    <n v="0"/>
    <m/>
    <m/>
    <n v="321.43"/>
    <s v=""/>
    <s v=""/>
    <n v="0"/>
    <n v="0"/>
    <n v="1.7576355525051475"/>
    <n v="180"/>
    <s v="assignment"/>
    <m/>
    <s v="free money"/>
    <m/>
    <s v=""/>
    <m/>
    <m/>
    <m/>
    <s v=""/>
    <s v=""/>
    <n v="124.8"/>
    <m/>
    <s v=""/>
    <m/>
    <m/>
    <m/>
    <m/>
    <m/>
    <m/>
    <n v="0"/>
    <n v="0"/>
    <m/>
    <s v=""/>
    <s v=""/>
    <s v=""/>
    <s v=""/>
    <m/>
    <m/>
    <m/>
    <m/>
    <m/>
    <m/>
    <b v="0"/>
    <b v="0"/>
    <n v="0"/>
    <m/>
    <n v="0"/>
    <s v=""/>
    <s v=""/>
    <s v=""/>
    <s v=""/>
    <n v="0"/>
    <n v="0"/>
    <s v=""/>
    <n v="0"/>
    <n v="0.5"/>
    <n v="0"/>
    <n v="0"/>
    <s v=""/>
    <m/>
    <m/>
    <s v=""/>
    <m/>
    <s v=""/>
    <s v=""/>
    <s v=""/>
    <m/>
    <m/>
    <s v=""/>
    <s v=""/>
    <s v=""/>
    <s v=""/>
    <s v=""/>
    <s v=""/>
    <m/>
    <m/>
    <s v=""/>
    <s v=""/>
    <s v=""/>
    <s v=""/>
    <m/>
    <m/>
    <m/>
    <m/>
    <m/>
    <m/>
    <n v="0"/>
    <s v=""/>
    <s v=""/>
    <s v=""/>
    <s v=""/>
    <m/>
    <s v=""/>
    <s v=""/>
    <s v=""/>
    <s v=""/>
    <s v=""/>
    <s v=""/>
    <s v=""/>
    <m/>
    <s v=""/>
    <m/>
    <s v=""/>
    <s v=""/>
    <s v=""/>
    <n v="0"/>
    <s v=""/>
    <n v="0"/>
    <m/>
    <m/>
    <m/>
    <m/>
    <m/>
    <m/>
    <b v="0"/>
    <b v="0"/>
    <m/>
    <s v=""/>
    <s v=""/>
    <n v="0"/>
    <s v=""/>
    <s v=""/>
    <n v="0"/>
    <m/>
    <m/>
    <n v="0.55000000000000004"/>
    <n v="0"/>
    <m/>
    <s v=""/>
    <s v=""/>
    <n v="0"/>
    <n v="0"/>
    <m/>
    <s v=""/>
    <s v=""/>
    <s v=""/>
    <s v=""/>
    <s v=""/>
    <s v=""/>
    <s v=""/>
    <s v=""/>
    <s v=""/>
    <n v="0"/>
    <s v=""/>
    <s v=""/>
    <s v=""/>
    <s v=""/>
    <s v=""/>
    <s v=""/>
    <s v=""/>
    <s v=""/>
    <n v="0"/>
    <n v="305.35849999999999"/>
    <n v="227.292"/>
    <m/>
    <m/>
    <n v="0"/>
    <s v=""/>
    <n v="0"/>
    <s v=""/>
    <s v="{34A0AF90-4F48-495C-A731-27593AC5121C}"/>
    <s v=""/>
    <s v=""/>
    <s v=""/>
    <s v=""/>
    <s v=""/>
    <s v=""/>
    <s v=""/>
    <s v=""/>
    <s v=""/>
    <s v=""/>
    <x v="0"/>
    <s v=""/>
  </r>
  <r>
    <s v="BAC"/>
    <n v="61.62"/>
    <m/>
    <n v="52.376999999999995"/>
    <x v="34"/>
    <x v="8"/>
    <m/>
    <d v="2022-07-18T06:45:00"/>
    <d v="2022-07-18T06:45:00"/>
    <m/>
    <m/>
    <m/>
    <m/>
    <n v="1"/>
    <m/>
    <m/>
    <s v=""/>
    <n v="0"/>
    <n v="0"/>
    <s v=""/>
    <m/>
    <m/>
    <s v=""/>
    <s v=""/>
    <s v=""/>
    <s v=""/>
    <s v=""/>
    <n v="0.3"/>
    <d v="2017-03-31T00:00:00"/>
    <n v="0"/>
    <n v="0"/>
    <n v="4.8685491723466411E-3"/>
    <d v="2017-02-28T00:00:00"/>
    <n v="33"/>
    <n v="36.07"/>
    <n v="-0.46445959104186951"/>
    <s v=""/>
    <n v="0"/>
    <n v="0"/>
    <n v="-0.41463810451152222"/>
    <n v="29.5"/>
    <s v="free money"/>
    <m/>
    <s v="Assignment"/>
    <m/>
    <s v=""/>
    <m/>
    <m/>
    <m/>
    <s v=""/>
    <s v=""/>
    <n v="29.5"/>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4.266500000000001"/>
    <n v="120.15899999999999"/>
    <m/>
    <n v="17.68"/>
    <n v="0"/>
    <s v=""/>
    <n v="0"/>
    <s v=""/>
    <s v="{463B724E-EB01-4CD8-A1D6-1712C439CE40}"/>
    <s v=""/>
    <s v=""/>
    <s v=""/>
    <s v=""/>
    <s v=""/>
    <s v=""/>
    <s v=""/>
    <s v=""/>
    <s v=""/>
    <s v=""/>
    <x v="0"/>
    <s v=""/>
  </r>
  <r>
    <s v="BB"/>
    <n v="8.9499999999999993"/>
    <m/>
    <n v="7.607499999999999"/>
    <x v="9"/>
    <x v="2"/>
    <m/>
    <m/>
    <m/>
    <m/>
    <m/>
    <m/>
    <m/>
    <m/>
    <m/>
    <m/>
    <s v=""/>
    <n v="0"/>
    <n v="0"/>
    <s v=""/>
    <m/>
    <m/>
    <s v=""/>
    <s v=""/>
    <s v=""/>
    <s v=""/>
    <s v=""/>
    <m/>
    <m/>
    <n v="0"/>
    <n v="0"/>
    <n v="0"/>
    <m/>
    <m/>
    <n v="4.75"/>
    <s v=""/>
    <s v=""/>
    <n v="0"/>
    <n v="0"/>
    <n v="-0.46927374301675973"/>
    <n v="4"/>
    <s v="UpperLeg"/>
    <n v="2"/>
    <s v="LowerLeg"/>
    <s v="ConvSpr"/>
    <s v=""/>
    <m/>
    <m/>
    <m/>
    <s v=""/>
    <s v=""/>
    <n v="0.61"/>
    <s v="WILL CALL"/>
    <s v=""/>
    <m/>
    <m/>
    <m/>
    <m/>
    <m/>
    <m/>
    <n v="0"/>
    <n v="0"/>
    <m/>
    <s v=""/>
    <s v=""/>
    <s v=""/>
    <s v=""/>
    <m/>
    <m/>
    <m/>
    <m/>
    <m/>
    <m/>
    <b v="0"/>
    <b v="0"/>
    <n v="0"/>
    <m/>
    <n v="0"/>
    <s v=""/>
    <s v=""/>
    <s v=""/>
    <s v=""/>
    <n v="0"/>
    <n v="0"/>
    <s v=""/>
    <n v="0"/>
    <n v="0.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5125000000000002"/>
    <n v="17.452499999999997"/>
    <m/>
    <m/>
    <n v="0"/>
    <s v=""/>
    <n v="0"/>
    <s v=""/>
    <m/>
    <s v=""/>
    <s v=""/>
    <s v=""/>
    <s v=""/>
    <s v=""/>
    <s v=""/>
    <s v=""/>
    <s v=""/>
    <s v=""/>
    <s v=""/>
    <x v="0"/>
    <s v=""/>
  </r>
  <r>
    <s v="BBBY"/>
    <n v="5.15"/>
    <m/>
    <n v="4.3775000000000004"/>
    <x v="1"/>
    <x v="1"/>
    <m/>
    <d v="2022-07-13T07:30:00"/>
    <d v="2022-07-13T07:30:00"/>
    <m/>
    <m/>
    <m/>
    <m/>
    <n v="4"/>
    <m/>
    <m/>
    <s v=""/>
    <n v="0"/>
    <n v="0"/>
    <s v=""/>
    <m/>
    <m/>
    <s v=""/>
    <s v=""/>
    <s v=""/>
    <s v=""/>
    <s v=""/>
    <n v="0.6"/>
    <d v="2018-01-16T00:00:00"/>
    <n v="0"/>
    <n v="0"/>
    <n v="0.11650485436893203"/>
    <d v="2018-06-15T00:00:00"/>
    <m/>
    <n v="27.65"/>
    <s v=""/>
    <s v=""/>
    <n v="0"/>
    <n v="0"/>
    <n v="4.3689320388349513"/>
    <m/>
    <m/>
    <m/>
    <m/>
    <m/>
    <s v=""/>
    <m/>
    <m/>
    <m/>
    <s v=""/>
    <s v=""/>
    <m/>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267499999999998"/>
    <n v="10.0425"/>
    <m/>
    <m/>
    <n v="0"/>
    <s v=""/>
    <n v="0"/>
    <s v=""/>
    <s v="{18876C20-7EA5-4128-B552-EE41F6931471}"/>
    <s v=""/>
    <s v=""/>
    <s v=""/>
    <s v=""/>
    <s v=""/>
    <s v=""/>
    <s v=""/>
    <s v=""/>
    <s v=""/>
    <s v=""/>
    <x v="0"/>
    <s v=""/>
  </r>
  <r>
    <s v="BBY"/>
    <n v="87.11"/>
    <m/>
    <n v="74.043499999999995"/>
    <x v="1"/>
    <x v="1"/>
    <m/>
    <d v="2022-08-23T07:00:00"/>
    <d v="2022-08-23T07:00:00"/>
    <m/>
    <m/>
    <m/>
    <m/>
    <m/>
    <m/>
    <m/>
    <s v=""/>
    <n v="0"/>
    <n v="0"/>
    <s v=""/>
    <m/>
    <m/>
    <s v=""/>
    <s v=""/>
    <s v=""/>
    <s v=""/>
    <s v=""/>
    <n v="0.92"/>
    <d v="2016-01-06T00:00:00"/>
    <n v="0"/>
    <n v="0"/>
    <n v="1.0561359201010218E-2"/>
    <d v="2018-09-13T00:00:00"/>
    <m/>
    <n v="123.02"/>
    <s v=""/>
    <s v=""/>
    <n v="0"/>
    <n v="0"/>
    <n v="0.41223740098725747"/>
    <n v="78"/>
    <s v="free money"/>
    <m/>
    <s v="Assignment"/>
    <m/>
    <s v=""/>
    <m/>
    <m/>
    <m/>
    <s v=""/>
    <s v=""/>
    <n v="78"/>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6.86899999999999"/>
    <n v="169.86449999999999"/>
    <m/>
    <m/>
    <n v="0"/>
    <s v=""/>
    <n v="0"/>
    <s v=""/>
    <s v="{B329405F-AC8A-472C-8138-461C42E5139D}"/>
    <s v=""/>
    <s v=""/>
    <s v=""/>
    <s v=""/>
    <s v=""/>
    <s v=""/>
    <s v=""/>
    <s v=""/>
    <s v=""/>
    <s v=""/>
    <x v="0"/>
    <s v=""/>
  </r>
  <r>
    <s v="BIDU"/>
    <n v="107.52"/>
    <m/>
    <n v="91.391999999999996"/>
    <x v="21"/>
    <x v="9"/>
    <m/>
    <d v="2022-08-25T04:30:00"/>
    <d v="2022-08-25T04:30:00"/>
    <m/>
    <m/>
    <m/>
    <m/>
    <m/>
    <m/>
    <m/>
    <s v=""/>
    <n v="0"/>
    <n v="0"/>
    <s v=""/>
    <m/>
    <m/>
    <s v=""/>
    <s v=""/>
    <s v=""/>
    <s v=""/>
    <s v=""/>
    <m/>
    <m/>
    <n v="0"/>
    <n v="0"/>
    <n v="0"/>
    <m/>
    <m/>
    <n v="289.99"/>
    <s v=""/>
    <s v=""/>
    <n v="0"/>
    <n v="0"/>
    <n v="1.6970796130952384"/>
    <n v="105"/>
    <s v="Losses"/>
    <m/>
    <s v="free money"/>
    <s v="BeCS"/>
    <s v=""/>
    <m/>
    <m/>
    <m/>
    <s v=""/>
    <s v=""/>
    <n v="105"/>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75.4905"/>
    <n v="209.66399999999999"/>
    <m/>
    <m/>
    <n v="0"/>
    <s v=""/>
    <n v="0"/>
    <s v=""/>
    <s v="{1BD537D8-8B51-422C-9EEB-831D596D6D93}"/>
    <s v=""/>
    <s v=""/>
    <s v=""/>
    <s v=""/>
    <s v=""/>
    <s v=""/>
    <s v=""/>
    <s v=""/>
    <s v=""/>
    <s v=""/>
    <x v="0"/>
    <s v=""/>
  </r>
  <r>
    <s v="BIIB"/>
    <n v="197.74"/>
    <m/>
    <n v="168.07900000000001"/>
    <x v="19"/>
    <x v="3"/>
    <m/>
    <d v="2022-08-02T07:20:00"/>
    <d v="2022-08-02T07:20:00"/>
    <m/>
    <m/>
    <m/>
    <m/>
    <m/>
    <m/>
    <m/>
    <s v=""/>
    <n v="0"/>
    <n v="0"/>
    <s v=""/>
    <n v="275"/>
    <n v="236.84"/>
    <s v=""/>
    <s v=""/>
    <s v=""/>
    <s v=""/>
    <s v=""/>
    <n v="0"/>
    <s v="N/A"/>
    <n v="0"/>
    <n v="0"/>
    <n v="0"/>
    <s v="N/A"/>
    <m/>
    <n v="324.5"/>
    <s v=""/>
    <s v=""/>
    <n v="0"/>
    <n v="0"/>
    <n v="0.64104379488216845"/>
    <m/>
    <m/>
    <m/>
    <m/>
    <m/>
    <s v=""/>
    <m/>
    <m/>
    <m/>
    <s v=""/>
    <s v=""/>
    <m/>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08.27499999999998"/>
    <n v="385.59300000000002"/>
    <m/>
    <m/>
    <n v="0"/>
    <s v=""/>
    <n v="0"/>
    <s v=""/>
    <s v="{B18F52FE-E6CB-4DEB-8B97-EB3BD3022B03}"/>
    <s v=""/>
    <s v=""/>
    <s v=""/>
    <s v=""/>
    <s v=""/>
    <s v=""/>
    <s v=""/>
    <s v=""/>
    <s v=""/>
    <s v=""/>
    <x v="0"/>
    <s v=""/>
  </r>
  <r>
    <s v="BITO"/>
    <n v="8.9499999999999993"/>
    <s v="Swing"/>
    <n v="7.607499999999999"/>
    <x v="35"/>
    <x v="8"/>
    <m/>
    <s v="N/A"/>
    <m/>
    <m/>
    <m/>
    <m/>
    <m/>
    <m/>
    <m/>
    <m/>
    <s v=""/>
    <n v="0"/>
    <n v="0"/>
    <s v=""/>
    <m/>
    <m/>
    <s v=""/>
    <s v=""/>
    <s v=""/>
    <s v=""/>
    <s v=""/>
    <m/>
    <m/>
    <n v="0"/>
    <n v="0"/>
    <n v="0"/>
    <m/>
    <m/>
    <m/>
    <s v=""/>
    <s v=""/>
    <n v="0"/>
    <n v="0"/>
    <s v=""/>
    <m/>
    <m/>
    <m/>
    <m/>
    <m/>
    <s v=""/>
    <m/>
    <m/>
    <m/>
    <s v=""/>
    <s v=""/>
    <n v="3.0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7.452499999999997"/>
    <m/>
    <m/>
    <n v="0"/>
    <s v=""/>
    <n v="0"/>
    <s v=""/>
    <m/>
    <s v=""/>
    <s v=""/>
    <s v=""/>
    <s v=""/>
    <s v=""/>
    <s v=""/>
    <s v=""/>
    <s v=""/>
    <s v=""/>
    <s v=""/>
    <x v="0"/>
    <s v=""/>
  </r>
  <r>
    <s v="BK"/>
    <n v="137.16"/>
    <m/>
    <n v="116.586"/>
    <x v="36"/>
    <x v="8"/>
    <m/>
    <d v="2022-07-15T06:35:00"/>
    <d v="2022-07-15T06:35:00"/>
    <s v="Confirmed"/>
    <m/>
    <m/>
    <m/>
    <n v="4"/>
    <m/>
    <m/>
    <s v=""/>
    <n v="0"/>
    <n v="0"/>
    <s v=""/>
    <m/>
    <m/>
    <s v=""/>
    <s v=""/>
    <s v=""/>
    <s v=""/>
    <s v=""/>
    <n v="0.76"/>
    <d v="2017-02-10T00:00:00"/>
    <n v="0"/>
    <n v="0"/>
    <n v="5.5409740449110529E-3"/>
    <d v="2017-01-26T00:00:00"/>
    <m/>
    <n v="48.81"/>
    <s v=""/>
    <s v=""/>
    <n v="0"/>
    <n v="0"/>
    <n v="-0.64413823272090986"/>
    <n v="51.5"/>
    <s v="T1"/>
    <m/>
    <s v="Losses"/>
    <m/>
    <s v=""/>
    <m/>
    <m/>
    <m/>
    <s v=""/>
    <s v=""/>
    <n v="48"/>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6.369500000000002"/>
    <n v="267.46199999999999"/>
    <m/>
    <m/>
    <n v="0"/>
    <s v=""/>
    <n v="0"/>
    <s v=""/>
    <s v="{FFD6580A-D07A-4413-8C5A-5FF0EC144786}"/>
    <s v=""/>
    <s v=""/>
    <s v=""/>
    <s v=""/>
    <s v=""/>
    <s v=""/>
    <s v=""/>
    <s v=""/>
    <s v=""/>
    <s v=""/>
    <x v="0"/>
    <s v=""/>
  </r>
  <r>
    <s v="BKNG"/>
    <n v="177.86"/>
    <s v="Swing"/>
    <n v="151.18100000000001"/>
    <x v="4"/>
    <x v="1"/>
    <m/>
    <d v="2023-08-03T16:30:00"/>
    <d v="2023-08-03T16:30:00"/>
    <m/>
    <m/>
    <m/>
    <m/>
    <m/>
    <m/>
    <m/>
    <s v=""/>
    <n v="0"/>
    <n v="0"/>
    <s v=""/>
    <m/>
    <m/>
    <s v=""/>
    <s v=""/>
    <s v=""/>
    <s v=""/>
    <s v=""/>
    <m/>
    <m/>
    <n v="0"/>
    <n v="0"/>
    <n v="0"/>
    <m/>
    <m/>
    <n v="2321.4299999999998"/>
    <s v=""/>
    <s v=""/>
    <n v="0"/>
    <n v="0"/>
    <n v="12.052007196671537"/>
    <n v="2800"/>
    <s v="UpperLeg"/>
    <n v="2400"/>
    <s v="LowerLeg"/>
    <s v="condor"/>
    <s v=""/>
    <m/>
    <m/>
    <m/>
    <s v=""/>
    <s v=""/>
    <n v="-19.21"/>
    <s v="MAX LOSS COMING"/>
    <s v=""/>
    <m/>
    <m/>
    <m/>
    <m/>
    <m/>
    <m/>
    <n v="0"/>
    <n v="0"/>
    <m/>
    <s v=""/>
    <s v=""/>
    <s v=""/>
    <s v=""/>
    <m/>
    <m/>
    <m/>
    <m/>
    <m/>
    <m/>
    <b v="0"/>
    <b v="0"/>
    <n v="0"/>
    <m/>
    <n v="0"/>
    <s v=""/>
    <s v=""/>
    <s v=""/>
    <s v=""/>
    <n v="0"/>
    <n v="0"/>
    <s v=""/>
    <n v="0"/>
    <n v="0.5"/>
    <n v="0"/>
    <n v="0"/>
    <s v=""/>
    <m/>
    <m/>
    <s v=""/>
    <m/>
    <s v=""/>
    <s v=""/>
    <s v=""/>
    <m/>
    <m/>
    <s v=""/>
    <s v=""/>
    <s v=""/>
    <s v=""/>
    <s v=""/>
    <s v=""/>
    <m/>
    <m/>
    <s v=""/>
    <s v=""/>
    <s v=""/>
    <s v=""/>
    <m/>
    <m/>
    <m/>
    <m/>
    <m/>
    <m/>
    <n v="0"/>
    <s v=""/>
    <s v=""/>
    <s v=""/>
    <s v=""/>
    <m/>
    <s v=""/>
    <s v=""/>
    <s v=""/>
    <m/>
    <s v=""/>
    <s v=""/>
    <s v=""/>
    <m/>
    <s v=""/>
    <m/>
    <s v=""/>
    <s v=""/>
    <s v=""/>
    <n v="0"/>
    <s v=""/>
    <n v="0"/>
    <m/>
    <m/>
    <m/>
    <m/>
    <m/>
    <m/>
    <b v="0"/>
    <b v="0"/>
    <m/>
    <s v=""/>
    <s v=""/>
    <n v="0"/>
    <s v=""/>
    <s v=""/>
    <n v="0"/>
    <m/>
    <m/>
    <m/>
    <n v="0"/>
    <m/>
    <s v=""/>
    <s v=""/>
    <n v="0"/>
    <n v="0"/>
    <m/>
    <s v=""/>
    <s v=""/>
    <s v=""/>
    <s v=""/>
    <s v=""/>
    <s v=""/>
    <s v=""/>
    <s v=""/>
    <s v=""/>
    <n v="0"/>
    <s v=""/>
    <s v=""/>
    <s v=""/>
    <s v=""/>
    <s v=""/>
    <s v=""/>
    <s v=""/>
    <s v=""/>
    <n v="0"/>
    <n v="2205.3584999999998"/>
    <n v="346.827"/>
    <m/>
    <m/>
    <n v="0"/>
    <s v=""/>
    <n v="0"/>
    <s v=""/>
    <s v="{6EEDBEBB-2618-42F9-B105-921760D0F935}"/>
    <s v=""/>
    <s v=""/>
    <s v=""/>
    <s v=""/>
    <s v=""/>
    <s v=""/>
    <s v=""/>
    <s v=""/>
    <s v=""/>
    <s v=""/>
    <x v="0"/>
    <s v=""/>
  </r>
  <r>
    <s v="BLDR"/>
    <n v="71.03"/>
    <m/>
    <n v="60.375500000000002"/>
    <x v="37"/>
    <x v="7"/>
    <m/>
    <d v="2022-08-09T07:00:00"/>
    <d v="2022-08-09T07:00:00"/>
    <m/>
    <m/>
    <m/>
    <m/>
    <m/>
    <m/>
    <m/>
    <s v=""/>
    <n v="0"/>
    <n v="0"/>
    <s v=""/>
    <m/>
    <m/>
    <s v=""/>
    <s v=""/>
    <s v=""/>
    <s v=""/>
    <s v=""/>
    <m/>
    <m/>
    <n v="0"/>
    <n v="0"/>
    <n v="0"/>
    <m/>
    <m/>
    <n v="47.15"/>
    <s v=""/>
    <s v=""/>
    <n v="0"/>
    <n v="0"/>
    <n v="-0.33619597353231034"/>
    <m/>
    <m/>
    <m/>
    <m/>
    <m/>
    <s v=""/>
    <m/>
    <m/>
    <m/>
    <s v=""/>
    <s v=""/>
    <m/>
    <m/>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4.792499999999997"/>
    <n v="138.5085"/>
    <m/>
    <m/>
    <n v="0"/>
    <s v=""/>
    <n v="0"/>
    <s v=""/>
    <m/>
    <s v=""/>
    <s v=""/>
    <s v=""/>
    <s v=""/>
    <s v=""/>
    <s v=""/>
    <s v=""/>
    <s v=""/>
    <s v=""/>
    <s v=""/>
    <x v="0"/>
    <s v=""/>
  </r>
  <r>
    <s v="BLNK"/>
    <n v="0.55000000000000004"/>
    <s v="Prem"/>
    <n v="0.46750000000000003"/>
    <x v="1"/>
    <x v="1"/>
    <m/>
    <d v="2022-08-08T16:00:00"/>
    <d v="2022-08-08T16:00:00"/>
    <m/>
    <s v="conference"/>
    <m/>
    <m/>
    <m/>
    <m/>
    <m/>
    <s v=""/>
    <n v="0"/>
    <n v="0"/>
    <s v=""/>
    <m/>
    <m/>
    <s v=""/>
    <s v=""/>
    <s v=""/>
    <s v=""/>
    <s v=""/>
    <m/>
    <m/>
    <n v="0"/>
    <n v="0"/>
    <n v="0"/>
    <m/>
    <m/>
    <n v="34.6"/>
    <s v=""/>
    <s v=""/>
    <n v="0"/>
    <n v="0"/>
    <n v="61.909090909090914"/>
    <n v="37"/>
    <s v="assignment"/>
    <n v="37"/>
    <s v="free money"/>
    <s v="CCs"/>
    <s v=""/>
    <m/>
    <m/>
    <m/>
    <s v=""/>
    <s v=""/>
    <n v="43.41"/>
    <s v="Wk $37.50"/>
    <s v=""/>
    <m/>
    <m/>
    <m/>
    <m/>
    <m/>
    <m/>
    <n v="0"/>
    <n v="0"/>
    <m/>
    <s v=""/>
    <s v=""/>
    <s v=""/>
    <s v=""/>
    <m/>
    <m/>
    <m/>
    <m/>
    <m/>
    <m/>
    <b v="0"/>
    <b v="0"/>
    <n v="0"/>
    <m/>
    <n v="0"/>
    <s v=""/>
    <s v=""/>
    <s v=""/>
    <s v=""/>
    <n v="0"/>
    <n v="0"/>
    <s v=""/>
    <n v="0"/>
    <m/>
    <n v="0"/>
    <n v="0"/>
    <s v=""/>
    <m/>
    <m/>
    <s v=""/>
    <m/>
    <s v=""/>
    <s v=""/>
    <s v=""/>
    <d v="2022-11-1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869999999999997"/>
    <n v="1.0725"/>
    <m/>
    <m/>
    <n v="0"/>
    <s v=""/>
    <n v="0"/>
    <s v=""/>
    <m/>
    <s v=""/>
    <s v=""/>
    <s v=""/>
    <s v=""/>
    <s v=""/>
    <s v=""/>
    <s v=""/>
    <s v=""/>
    <s v=""/>
    <s v=""/>
    <x v="0"/>
    <s v=""/>
  </r>
  <r>
    <s v="BMY"/>
    <n v="60.76"/>
    <m/>
    <n v="51.645999999999994"/>
    <x v="19"/>
    <x v="3"/>
    <m/>
    <d v="2022-07-29T07:00:00"/>
    <d v="2022-07-29T07:00:00"/>
    <m/>
    <s v="Eliquis patent decision"/>
    <n v="1"/>
    <m/>
    <m/>
    <m/>
    <m/>
    <s v=""/>
    <n v="0"/>
    <n v="0"/>
    <s v=""/>
    <m/>
    <m/>
    <s v=""/>
    <s v=""/>
    <s v=""/>
    <s v=""/>
    <s v=""/>
    <m/>
    <m/>
    <n v="0"/>
    <n v="0"/>
    <n v="0"/>
    <m/>
    <n v="74"/>
    <n v="72.680000000000007"/>
    <n v="0.21790651744568798"/>
    <s v=""/>
    <n v="0"/>
    <n v="0"/>
    <n v="0.196181698485846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69.046000000000006"/>
    <n v="118.482"/>
    <m/>
    <m/>
    <n v="0"/>
    <s v=""/>
    <n v="0"/>
    <s v=""/>
    <s v="{BB73E22F-F876-4322-B779-53F15CEF6579}"/>
    <s v=""/>
    <s v=""/>
    <s v=""/>
    <s v=""/>
    <s v=""/>
    <s v=""/>
    <s v=""/>
    <s v=""/>
    <s v=""/>
    <s v=""/>
    <x v="0"/>
    <s v=""/>
  </r>
  <r>
    <s v="BP"/>
    <n v="43.32"/>
    <s v="LT"/>
    <n v="36.822000000000003"/>
    <x v="38"/>
    <x v="10"/>
    <m/>
    <d v="2022-08-02T05:00:00"/>
    <d v="2022-08-02T05:00:00"/>
    <m/>
    <m/>
    <m/>
    <m/>
    <m/>
    <m/>
    <m/>
    <s v=""/>
    <n v="0"/>
    <n v="0"/>
    <s v=""/>
    <m/>
    <m/>
    <s v=""/>
    <s v=""/>
    <s v=""/>
    <s v=""/>
    <s v=""/>
    <n v="2.3199999999999998"/>
    <d v="2020-06-27T00:00:00"/>
    <n v="0"/>
    <n v="0"/>
    <n v="5.3554939981532775E-2"/>
    <d v="2020-05-13T00:00:00"/>
    <m/>
    <n v="27.98"/>
    <s v=""/>
    <s v=""/>
    <n v="0"/>
    <n v="0"/>
    <n v="-0.3541089566020314"/>
    <m/>
    <m/>
    <m/>
    <m/>
    <m/>
    <s v=""/>
    <m/>
    <n v="2.3839999999999999"/>
    <d v="2020-05-01T00:00:00"/>
    <n v="40.936"/>
    <n v="45.704000000000001"/>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581"/>
    <n v="84.474000000000004"/>
    <m/>
    <m/>
    <n v="0"/>
    <s v=""/>
    <n v="0"/>
    <s v=""/>
    <s v="{1C90A2CC-E3C1-45F4-8BC4-B5B6B87DFFCB}"/>
    <s v=""/>
    <s v=""/>
    <s v=""/>
    <s v=""/>
    <s v=""/>
    <s v=""/>
    <s v=""/>
    <s v=""/>
    <s v=""/>
    <s v=""/>
    <x v="0"/>
    <s v=""/>
  </r>
  <r>
    <s v="BRK.B"/>
    <n v="260.02"/>
    <s v="LT"/>
    <n v="221.01699999999997"/>
    <x v="17"/>
    <x v="8"/>
    <m/>
    <d v="2022-08-01T08:00:00"/>
    <d v="2022-08-01T08:00:00"/>
    <m/>
    <m/>
    <m/>
    <m/>
    <m/>
    <m/>
    <m/>
    <s v=""/>
    <n v="0"/>
    <n v="0"/>
    <s v=""/>
    <m/>
    <m/>
    <s v=""/>
    <s v=""/>
    <s v=""/>
    <s v=""/>
    <s v=""/>
    <m/>
    <m/>
    <n v="0"/>
    <n v="0"/>
    <n v="0"/>
    <m/>
    <m/>
    <n v="260"/>
    <s v=""/>
    <s v=""/>
    <n v="0"/>
    <n v="0"/>
    <n v="-7.6917160218374791E-5"/>
    <n v="257.5"/>
    <s v="assignment"/>
    <n v="257.5"/>
    <s v="free money"/>
    <s v="CCs"/>
    <s v=""/>
    <m/>
    <m/>
    <m/>
    <s v=""/>
    <s v=""/>
    <n v="222.71"/>
    <m/>
    <s v=""/>
    <m/>
    <m/>
    <m/>
    <m/>
    <m/>
    <m/>
    <n v="0"/>
    <n v="0"/>
    <m/>
    <s v=""/>
    <s v=""/>
    <s v=""/>
    <s v=""/>
    <m/>
    <m/>
    <m/>
    <m/>
    <m/>
    <m/>
    <b v="0"/>
    <b v="0"/>
    <n v="0"/>
    <m/>
    <n v="0"/>
    <s v=""/>
    <s v=""/>
    <s v=""/>
    <s v=""/>
    <n v="0"/>
    <n v="0"/>
    <s v=""/>
    <n v="0"/>
    <m/>
    <n v="0"/>
    <n v="0"/>
    <s v=""/>
    <m/>
    <m/>
    <s v=""/>
    <m/>
    <s v=""/>
    <s v=""/>
    <s v=""/>
    <d v="2021-01-09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7"/>
    <n v="507.03899999999993"/>
    <m/>
    <m/>
    <n v="0"/>
    <s v=""/>
    <n v="0"/>
    <s v=""/>
    <m/>
    <s v=""/>
    <s v=""/>
    <s v=""/>
    <s v=""/>
    <s v=""/>
    <s v=""/>
    <s v=""/>
    <s v=""/>
    <s v=""/>
    <s v=""/>
    <x v="0"/>
    <s v=""/>
  </r>
  <r>
    <s v="BRKS"/>
    <n v="31.59"/>
    <m/>
    <n v="26.851499999999998"/>
    <x v="7"/>
    <x v="2"/>
    <m/>
    <d v="2022-08-01T08:00:00"/>
    <d v="2022-08-01T08:00:00"/>
    <m/>
    <m/>
    <m/>
    <m/>
    <m/>
    <m/>
    <m/>
    <s v=""/>
    <n v="0"/>
    <n v="0"/>
    <s v=""/>
    <m/>
    <m/>
    <s v=""/>
    <s v=""/>
    <s v=""/>
    <s v=""/>
    <s v=""/>
    <m/>
    <m/>
    <n v="0"/>
    <n v="0"/>
    <n v="0"/>
    <m/>
    <m/>
    <n v="95.17"/>
    <s v=""/>
    <s v=""/>
    <n v="0"/>
    <n v="0"/>
    <n v="2.012662234884456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0.411500000000004"/>
    <n v="61.600499999999997"/>
    <m/>
    <m/>
    <n v="0"/>
    <s v=""/>
    <n v="0"/>
    <s v=""/>
    <s v="{9CBDF77F-E3E6-4FEC-BD9A-B33E19BDDA6E}"/>
    <s v=""/>
    <s v=""/>
    <s v=""/>
    <s v=""/>
    <s v=""/>
    <s v=""/>
    <s v=""/>
    <s v=""/>
    <s v=""/>
    <s v=""/>
    <x v="0"/>
    <s v=""/>
  </r>
  <r>
    <s v="FCEL"/>
    <n v="21.26"/>
    <s v="Lottery"/>
    <n v="18.071000000000002"/>
    <x v="39"/>
    <x v="7"/>
    <m/>
    <d v="2022-06-09T07:30:00"/>
    <d v="2022-06-09T07:30:00"/>
    <s v="Confirmed"/>
    <m/>
    <m/>
    <m/>
    <m/>
    <m/>
    <m/>
    <s v=""/>
    <n v="0"/>
    <n v="0"/>
    <s v=""/>
    <n v="20"/>
    <n v="15"/>
    <s v=""/>
    <s v=""/>
    <s v=""/>
    <s v=""/>
    <s v=""/>
    <m/>
    <m/>
    <n v="0"/>
    <n v="0"/>
    <n v="0"/>
    <m/>
    <n v="20"/>
    <n v="5.61"/>
    <n v="-5.9266227657572973E-2"/>
    <s v=""/>
    <n v="0"/>
    <n v="0"/>
    <n v="-0.73612417685794929"/>
    <m/>
    <m/>
    <m/>
    <m/>
    <m/>
    <s v="Y"/>
    <m/>
    <m/>
    <m/>
    <s v=""/>
    <s v=""/>
    <n v="28.52"/>
    <m/>
    <d v="2026-07-10T00:00:00"/>
    <m/>
    <m/>
    <m/>
    <m/>
    <m/>
    <m/>
    <n v="0"/>
    <n v="0"/>
    <m/>
    <s v=""/>
    <s v=""/>
    <s v=""/>
    <s v=""/>
    <d v="2026-07-10T00:00:00"/>
    <n v="30"/>
    <n v="10"/>
    <d v="2026-06-30T00:00:00"/>
    <d v="2026-06-30T00:00:00"/>
    <n v="1.49"/>
    <b v="1"/>
    <b v="1"/>
    <n v="1490"/>
    <n v="0.19"/>
    <n v="0"/>
    <n v="28.51"/>
    <n v="10"/>
    <n v="4.9666666666666665E-2"/>
    <n v="1.8128333333333333"/>
    <n v="0"/>
    <n v="30000"/>
    <n v="-0.34101599247412978"/>
    <n v="30000"/>
    <m/>
    <n v="30000"/>
    <s v=""/>
    <n v="-7249.9999999999982"/>
    <n v="1.6"/>
    <n v="0.19"/>
    <e v="#NAME?"/>
    <m/>
    <e v="#NAME?"/>
    <e v="#NAME?"/>
    <e v="#NAME?"/>
    <d v="2026-07-07T00:00:00"/>
    <m/>
    <n v="-16"/>
    <e v="#NAME?"/>
    <n v="29.099999999999998"/>
    <n v="589.99999999999784"/>
    <n v="2.2349999999999999"/>
    <n v="745"/>
    <m/>
    <m/>
    <s v=""/>
    <n v="-1600"/>
    <n v="-110"/>
    <n v="-7.3825503355704702E-2"/>
    <m/>
    <m/>
    <m/>
    <m/>
    <m/>
    <m/>
    <n v="0"/>
    <s v=""/>
    <s v=""/>
    <s v=""/>
    <s v=""/>
    <m/>
    <s v=""/>
    <s v=""/>
    <s v=""/>
    <s v=""/>
    <s v=""/>
    <s v=""/>
    <s v=""/>
    <m/>
    <s v=""/>
    <m/>
    <s v=""/>
    <s v=""/>
    <s v=""/>
    <n v="0"/>
    <s v=""/>
    <n v="0"/>
    <m/>
    <m/>
    <m/>
    <m/>
    <m/>
    <m/>
    <b v="0"/>
    <b v="0"/>
    <m/>
    <s v=""/>
    <s v=""/>
    <n v="0"/>
    <s v=""/>
    <s v=""/>
    <n v="0"/>
    <m/>
    <m/>
    <m/>
    <n v="0"/>
    <m/>
    <s v=""/>
    <s v=""/>
    <n v="0"/>
    <n v="0"/>
    <m/>
    <s v=""/>
    <s v=""/>
    <s v=""/>
    <s v=""/>
    <s v=""/>
    <s v=""/>
    <s v=""/>
    <s v=""/>
    <s v=""/>
    <n v="0"/>
    <s v=""/>
    <s v=""/>
    <s v=""/>
    <s v=""/>
    <s v=""/>
    <s v=""/>
    <s v=""/>
    <s v=""/>
    <n v="0"/>
    <n v="5.3295000000000003"/>
    <n v="41.457000000000001"/>
    <m/>
    <m/>
    <n v="0"/>
    <s v=""/>
    <n v="0"/>
    <s v=""/>
    <s v="{BB549F43-26B8-4DDC-A210-1139E6482E1E}"/>
    <s v=""/>
    <s v=""/>
    <s v="FCEL260710P00030000"/>
    <n v="1"/>
    <s v=""/>
    <s v=""/>
    <s v=""/>
    <s v=""/>
    <s v="Y"/>
    <s v="SP "/>
    <x v="1"/>
    <n v="0.13419794908253979"/>
  </r>
  <r>
    <s v="IREN"/>
    <n v="41.28"/>
    <m/>
    <n v="35.088000000000001"/>
    <x v="40"/>
    <x v="8"/>
    <m/>
    <m/>
    <m/>
    <m/>
    <m/>
    <m/>
    <m/>
    <m/>
    <m/>
    <m/>
    <s v=""/>
    <n v="0"/>
    <n v="0"/>
    <s v=""/>
    <m/>
    <m/>
    <s v=""/>
    <s v=""/>
    <s v=""/>
    <s v=""/>
    <s v=""/>
    <m/>
    <m/>
    <n v="0"/>
    <n v="0"/>
    <n v="0"/>
    <m/>
    <m/>
    <m/>
    <s v=""/>
    <s v=""/>
    <n v="0"/>
    <n v="0"/>
    <s v=""/>
    <m/>
    <m/>
    <m/>
    <m/>
    <m/>
    <s v=""/>
    <m/>
    <m/>
    <m/>
    <s v=""/>
    <s v=""/>
    <n v="2.76"/>
    <m/>
    <d v="2025-11-07T00:00:00"/>
    <d v="2025-11-07T00:00:00"/>
    <m/>
    <m/>
    <m/>
    <m/>
    <m/>
    <n v="0"/>
    <n v="0"/>
    <m/>
    <s v=""/>
    <s v=""/>
    <s v=""/>
    <s v=""/>
    <m/>
    <m/>
    <m/>
    <m/>
    <m/>
    <n v="2.2200000000000002"/>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80.495999999999995"/>
    <m/>
    <m/>
    <n v="0"/>
    <s v=""/>
    <n v="0"/>
    <s v=""/>
    <m/>
    <s v=""/>
    <s v=""/>
    <s v=""/>
    <s v=""/>
    <s v=""/>
    <s v=""/>
    <s v=""/>
    <s v=""/>
    <s v=""/>
    <s v=""/>
    <x v="0"/>
    <s v=""/>
  </r>
  <r>
    <s v="HAL"/>
    <n v="33.03"/>
    <s v="Swing"/>
    <n v="28.075500000000002"/>
    <x v="41"/>
    <x v="10"/>
    <m/>
    <d v="2023-04-25T06:45:00"/>
    <d v="2023-04-25T06:45:00"/>
    <m/>
    <m/>
    <m/>
    <m/>
    <m/>
    <m/>
    <m/>
    <s v=""/>
    <n v="0"/>
    <n v="0"/>
    <s v=""/>
    <n v="46"/>
    <n v="37.549999999999997"/>
    <s v=""/>
    <s v=""/>
    <s v=""/>
    <s v=""/>
    <s v=""/>
    <m/>
    <m/>
    <n v="0"/>
    <n v="0"/>
    <n v="0"/>
    <m/>
    <m/>
    <n v="45.68"/>
    <s v=""/>
    <s v=""/>
    <n v="0"/>
    <n v="0"/>
    <n v="0.38298516500151369"/>
    <n v="38"/>
    <s v="free money"/>
    <n v="38"/>
    <s v="Assignment"/>
    <s v="SPs"/>
    <s v=""/>
    <m/>
    <m/>
    <m/>
    <s v=""/>
    <s v=""/>
    <n v="30.7"/>
    <s v="EXPIRE"/>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3.396000000000001"/>
    <n v="64.408500000000004"/>
    <m/>
    <m/>
    <n v="0"/>
    <s v=""/>
    <n v="0"/>
    <s v=""/>
    <s v="{938E10F5-75AD-4E62-A96E-7EBDED124E18}"/>
    <s v=""/>
    <s v=""/>
    <s v=""/>
    <s v=""/>
    <s v=""/>
    <s v=""/>
    <s v=""/>
    <s v=""/>
    <s v=""/>
    <s v=""/>
    <x v="0"/>
    <s v=""/>
  </r>
  <r>
    <s v="BTU"/>
    <n v="23.88"/>
    <m/>
    <n v="20.297999999999998"/>
    <x v="42"/>
    <x v="10"/>
    <m/>
    <d v="2023-05-16T08:00:00"/>
    <d v="2023-05-16T08:00:00"/>
    <m/>
    <m/>
    <m/>
    <m/>
    <m/>
    <m/>
    <m/>
    <s v=""/>
    <n v="0"/>
    <n v="0"/>
    <s v=""/>
    <m/>
    <m/>
    <s v=""/>
    <s v=""/>
    <s v=""/>
    <s v=""/>
    <s v=""/>
    <m/>
    <m/>
    <n v="0"/>
    <n v="0"/>
    <n v="0"/>
    <m/>
    <m/>
    <n v="33.200000000000003"/>
    <s v=""/>
    <s v=""/>
    <n v="0"/>
    <n v="0"/>
    <n v="0.39028475711892813"/>
    <n v="25"/>
    <s v="free money"/>
    <n v="25"/>
    <s v="Assignment"/>
    <s v="SPs"/>
    <s v=""/>
    <m/>
    <m/>
    <m/>
    <s v=""/>
    <s v=""/>
    <n v="13.58"/>
    <m/>
    <s v=""/>
    <m/>
    <m/>
    <m/>
    <m/>
    <m/>
    <m/>
    <n v="0"/>
    <n v="0"/>
    <m/>
    <s v=""/>
    <s v=""/>
    <s v=""/>
    <s v=""/>
    <m/>
    <m/>
    <m/>
    <m/>
    <m/>
    <m/>
    <b v="0"/>
    <b v="0"/>
    <n v="0"/>
    <m/>
    <n v="0"/>
    <s v=""/>
    <s v=""/>
    <s v=""/>
    <s v=""/>
    <n v="0"/>
    <n v="0"/>
    <s v=""/>
    <n v="0"/>
    <m/>
    <n v="0"/>
    <n v="0"/>
    <s v=""/>
    <m/>
    <m/>
    <s v=""/>
    <m/>
    <s v=""/>
    <s v=""/>
    <s v=""/>
    <m/>
    <m/>
    <s v=""/>
    <s v=""/>
    <s v=""/>
    <s v=""/>
    <s v=""/>
    <s v=""/>
    <m/>
    <m/>
    <s v=""/>
    <s v=""/>
    <s v=""/>
    <s v=""/>
    <m/>
    <m/>
    <m/>
    <m/>
    <m/>
    <m/>
    <n v="0"/>
    <s v=""/>
    <s v=""/>
    <s v=""/>
    <s v=""/>
    <n v="1.1599999999999999"/>
    <n v="0"/>
    <n v="0"/>
    <e v="#DIV/0!"/>
    <s v=""/>
    <s v=""/>
    <s v=""/>
    <s v=""/>
    <m/>
    <s v=""/>
    <m/>
    <s v=""/>
    <s v=""/>
    <e v="#VALUE!"/>
    <n v="0"/>
    <s v=""/>
    <n v="0"/>
    <m/>
    <m/>
    <m/>
    <m/>
    <m/>
    <m/>
    <b v="0"/>
    <b v="0"/>
    <m/>
    <s v=""/>
    <s v=""/>
    <n v="0"/>
    <s v=""/>
    <s v=""/>
    <n v="0"/>
    <m/>
    <m/>
    <m/>
    <n v="0"/>
    <m/>
    <s v=""/>
    <s v=""/>
    <n v="0"/>
    <n v="0"/>
    <m/>
    <s v=""/>
    <s v=""/>
    <s v=""/>
    <s v=""/>
    <s v=""/>
    <s v=""/>
    <s v=""/>
    <s v=""/>
    <s v=""/>
    <n v="0"/>
    <s v=""/>
    <s v=""/>
    <s v=""/>
    <s v=""/>
    <s v=""/>
    <s v=""/>
    <s v=""/>
    <s v=""/>
    <n v="0"/>
    <n v="31.540000000000003"/>
    <n v="46.565999999999995"/>
    <m/>
    <m/>
    <n v="0"/>
    <s v=""/>
    <n v="0"/>
    <s v=""/>
    <m/>
    <s v=""/>
    <s v=""/>
    <s v=""/>
    <s v=""/>
    <s v=""/>
    <s v=""/>
    <s v=""/>
    <s v=""/>
    <s v=""/>
    <s v=""/>
    <x v="0"/>
    <s v=""/>
  </r>
  <r>
    <s v="BUD"/>
    <n v="83.08"/>
    <m/>
    <n v="70.617999999999995"/>
    <x v="43"/>
    <x v="13"/>
    <m/>
    <d v="2022-08-04T09:25:00"/>
    <d v="2022-08-04T09:25:00"/>
    <m/>
    <m/>
    <m/>
    <m/>
    <m/>
    <m/>
    <m/>
    <s v=""/>
    <n v="0"/>
    <n v="0"/>
    <s v=""/>
    <m/>
    <m/>
    <s v=""/>
    <s v=""/>
    <s v=""/>
    <s v=""/>
    <s v=""/>
    <n v="4.5999999999999996"/>
    <d v="2016-11-30T00:00:00"/>
    <n v="0"/>
    <n v="0"/>
    <n v="5.536831969186326E-2"/>
    <d v="2016-07-26T00:00:00"/>
    <m/>
    <n v="77.75"/>
    <s v=""/>
    <s v=""/>
    <n v="0"/>
    <n v="0"/>
    <n v="-6.4155031295137194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3.862499999999997"/>
    <n v="162.006"/>
    <m/>
    <m/>
    <n v="0"/>
    <s v=""/>
    <n v="0"/>
    <s v=""/>
    <s v="{BC2C8657-E661-4FCB-B61A-5AE8CE54F012}"/>
    <s v=""/>
    <s v=""/>
    <s v=""/>
    <s v=""/>
    <s v=""/>
    <s v=""/>
    <s v=""/>
    <s v=""/>
    <s v=""/>
    <s v=""/>
    <x v="0"/>
    <s v=""/>
  </r>
  <r>
    <s v="BURL"/>
    <n v="353.98"/>
    <m/>
    <n v="300.88299999999998"/>
    <x v="44"/>
    <x v="14"/>
    <m/>
    <d v="2022-08-25T06:45:00"/>
    <d v="2022-08-25T06:45:00"/>
    <m/>
    <m/>
    <m/>
    <m/>
    <m/>
    <m/>
    <m/>
    <s v=""/>
    <n v="0"/>
    <n v="0"/>
    <s v=""/>
    <m/>
    <m/>
    <s v=""/>
    <s v=""/>
    <s v=""/>
    <s v=""/>
    <s v=""/>
    <m/>
    <m/>
    <n v="0"/>
    <n v="0"/>
    <n v="0"/>
    <m/>
    <n v="220"/>
    <n v="269.67"/>
    <n v="-0.37849596022374149"/>
    <s v=""/>
    <n v="0"/>
    <n v="0"/>
    <n v="-0.23817729815243799"/>
    <m/>
    <m/>
    <n v="306"/>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56.18650000000002"/>
    <n v="690.26099999999997"/>
    <m/>
    <m/>
    <n v="0"/>
    <s v=""/>
    <n v="0"/>
    <s v=""/>
    <s v="{2F28B7FF-1C27-4CFB-AE14-87A6341A3CC5}"/>
    <s v=""/>
    <s v=""/>
    <s v=""/>
    <s v=""/>
    <s v=""/>
    <s v=""/>
    <s v=""/>
    <s v=""/>
    <s v=""/>
    <s v=""/>
    <x v="0"/>
    <s v=""/>
  </r>
  <r>
    <s v="BYND"/>
    <n v="0.6"/>
    <m/>
    <n v="0.51"/>
    <x v="45"/>
    <x v="13"/>
    <m/>
    <d v="2022-08-10T16:05:00"/>
    <d v="2022-08-10T16:05:00"/>
    <m/>
    <m/>
    <m/>
    <m/>
    <m/>
    <m/>
    <m/>
    <s v=""/>
    <n v="0"/>
    <n v="0"/>
    <s v=""/>
    <m/>
    <m/>
    <s v=""/>
    <s v=""/>
    <s v=""/>
    <s v=""/>
    <s v=""/>
    <m/>
    <m/>
    <n v="0"/>
    <n v="0"/>
    <n v="0"/>
    <m/>
    <m/>
    <n v="119.06"/>
    <s v=""/>
    <s v=""/>
    <n v="0"/>
    <n v="0"/>
    <n v="197.43333333333337"/>
    <n v="155"/>
    <s v="free money"/>
    <n v="140"/>
    <s v="max loss"/>
    <s v="Bu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3.107"/>
    <n v="1.17"/>
    <m/>
    <m/>
    <n v="0"/>
    <s v=""/>
    <n v="0"/>
    <s v=""/>
    <s v="{A9094A24-723C-4ED5-9846-F80383292398}"/>
    <s v=""/>
    <s v=""/>
    <s v=""/>
    <s v=""/>
    <s v=""/>
    <s v=""/>
    <s v=""/>
    <s v=""/>
    <s v=""/>
    <s v=""/>
    <x v="0"/>
    <s v=""/>
  </r>
  <r>
    <s v="C"/>
    <n v="132.25"/>
    <s v="CORE"/>
    <n v="112.41249999999999"/>
    <x v="34"/>
    <x v="8"/>
    <m/>
    <d v="2023-01-13T00:00:00"/>
    <d v="2023-01-13T00:00:00"/>
    <s v="Confirmed"/>
    <m/>
    <m/>
    <m/>
    <m/>
    <m/>
    <m/>
    <s v=""/>
    <n v="0"/>
    <n v="0"/>
    <s v=""/>
    <m/>
    <m/>
    <s v=""/>
    <s v=""/>
    <s v=""/>
    <s v=""/>
    <s v=""/>
    <n v="0.95750000000000002"/>
    <d v="2017-08-25T00:00:00"/>
    <n v="0"/>
    <n v="0"/>
    <n v="7.2400756143667297E-3"/>
    <d v="2019-11-03T00:00:00"/>
    <n v="92"/>
    <n v="85.23"/>
    <n v="-0.30434782608695654"/>
    <s v=""/>
    <n v="0"/>
    <n v="0"/>
    <n v="-0.35553875236294891"/>
    <n v="76.150000000000006"/>
    <s v="ITM"/>
    <n v="76.150000000000006"/>
    <s v="Losses"/>
    <s v="LCs"/>
    <s v=""/>
    <n v="76.150000000000006"/>
    <m/>
    <m/>
    <s v=""/>
    <s v=""/>
    <n v="3.6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0.968500000000006"/>
    <n v="257.88749999999999"/>
    <m/>
    <m/>
    <n v="0"/>
    <s v=""/>
    <n v="0"/>
    <s v=""/>
    <s v="{7DAA12AF-5BCA-42C2-9DE2-CB0D378BEAF2}"/>
    <s v=""/>
    <s v=""/>
    <s v=""/>
    <s v=""/>
    <s v=""/>
    <s v=""/>
    <s v=""/>
    <s v=""/>
    <s v=""/>
    <s v=""/>
    <x v="0"/>
    <s v=""/>
  </r>
  <r>
    <s v="CAR"/>
    <n v="164.36"/>
    <m/>
    <n v="139.70600000000002"/>
    <x v="46"/>
    <x v="14"/>
    <m/>
    <d v="2022-08-01T16:00:00"/>
    <d v="2022-08-01T16:00:00"/>
    <m/>
    <m/>
    <m/>
    <m/>
    <m/>
    <m/>
    <m/>
    <s v=""/>
    <n v="0"/>
    <n v="0"/>
    <s v=""/>
    <m/>
    <m/>
    <s v=""/>
    <s v=""/>
    <s v=""/>
    <s v=""/>
    <s v=""/>
    <n v="0"/>
    <s v="N/A"/>
    <n v="0"/>
    <n v="0"/>
    <n v="0"/>
    <d v="2006-02-21T00:00:00"/>
    <m/>
    <n v="51.5"/>
    <s v=""/>
    <s v=""/>
    <n v="0"/>
    <n v="0"/>
    <n v="-0.6866634217571185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8.924999999999997"/>
    <n v="320.50200000000001"/>
    <m/>
    <m/>
    <n v="0"/>
    <s v=""/>
    <n v="0"/>
    <s v=""/>
    <s v="{80C268A5-3249-4683-8EB5-8062F99754DA}"/>
    <s v=""/>
    <s v=""/>
    <s v=""/>
    <s v=""/>
    <s v=""/>
    <s v=""/>
    <s v=""/>
    <s v=""/>
    <s v=""/>
    <s v=""/>
    <x v="0"/>
    <s v=""/>
  </r>
  <r>
    <s v="CAT"/>
    <n v="889.31"/>
    <m/>
    <n v="755.91349999999989"/>
    <x v="47"/>
    <x v="7"/>
    <m/>
    <d v="2022-07-28T06:30:00"/>
    <d v="2022-07-28T06:30:00"/>
    <m/>
    <m/>
    <m/>
    <m/>
    <m/>
    <m/>
    <m/>
    <s v=""/>
    <n v="0"/>
    <n v="0"/>
    <s v=""/>
    <m/>
    <m/>
    <s v=""/>
    <s v=""/>
    <s v=""/>
    <s v=""/>
    <s v=""/>
    <n v="4.12"/>
    <s v="2./20/2020"/>
    <n v="0"/>
    <n v="0"/>
    <n v="4.6328052085324581E-3"/>
    <d v="2020-01-18T00:00:00"/>
    <n v="150"/>
    <n v="201.25"/>
    <n v="-0.8313299074563425"/>
    <s v=""/>
    <n v="0"/>
    <n v="0"/>
    <n v="-0.77370095917059289"/>
    <n v="260"/>
    <s v="max loss"/>
    <n v="250"/>
    <s v="LowerLeg"/>
    <s v="BeCS"/>
    <s v=""/>
    <m/>
    <m/>
    <m/>
    <s v=""/>
    <s v=""/>
    <n v="-2.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1.1875"/>
    <n v="1734.1544999999999"/>
    <m/>
    <m/>
    <n v="0"/>
    <s v=""/>
    <n v="0"/>
    <s v=""/>
    <s v="{662A9CC1-A939-4A1C-9DE2-3E2550A89066}"/>
    <s v=""/>
    <s v=""/>
    <s v=""/>
    <s v=""/>
    <s v=""/>
    <s v=""/>
    <s v=""/>
    <s v=""/>
    <s v=""/>
    <s v=""/>
    <x v="0"/>
    <s v=""/>
  </r>
  <r>
    <s v="CBS"/>
    <n v="1"/>
    <m/>
    <n v="0.85"/>
    <x v="48"/>
    <x v="14"/>
    <m/>
    <d v="2022-07-28T06:30:00"/>
    <d v="2022-07-28T06:30:00"/>
    <m/>
    <m/>
    <m/>
    <m/>
    <m/>
    <m/>
    <m/>
    <s v=""/>
    <n v="0"/>
    <n v="0"/>
    <s v=""/>
    <m/>
    <m/>
    <s v=""/>
    <s v=""/>
    <s v=""/>
    <s v=""/>
    <s v=""/>
    <m/>
    <m/>
    <n v="0"/>
    <n v="0"/>
    <n v="0"/>
    <m/>
    <m/>
    <n v="69.540000000000006"/>
    <s v=""/>
    <s v=""/>
    <n v="0"/>
    <n v="0"/>
    <n v="68.54000000000000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6.063000000000002"/>
    <n v="1.95"/>
    <m/>
    <m/>
    <n v="0"/>
    <s v=""/>
    <n v="0"/>
    <s v=""/>
    <s v="{141495B3-F3C7-4FC7-AD66-8EDDF1A82B7E}"/>
    <s v=""/>
    <s v=""/>
    <s v=""/>
    <s v=""/>
    <s v=""/>
    <s v=""/>
    <s v=""/>
    <s v=""/>
    <s v=""/>
    <s v=""/>
    <x v="0"/>
    <s v=""/>
  </r>
  <r>
    <s v="CBS"/>
    <n v="48.91"/>
    <m/>
    <n v="41.573499999999996"/>
    <x v="48"/>
    <x v="14"/>
    <m/>
    <d v="2022-07-28T06:30:00"/>
    <d v="2022-07-28T06:30:00"/>
    <m/>
    <m/>
    <m/>
    <m/>
    <m/>
    <m/>
    <m/>
    <s v=""/>
    <n v="0"/>
    <n v="0"/>
    <s v=""/>
    <m/>
    <m/>
    <s v=""/>
    <s v=""/>
    <s v=""/>
    <s v=""/>
    <s v=""/>
    <m/>
    <m/>
    <n v="0"/>
    <n v="0"/>
    <n v="0"/>
    <m/>
    <n v="0.01"/>
    <n v="62.89"/>
    <n v="-0.99979554283377636"/>
    <s v=""/>
    <n v="0"/>
    <n v="0"/>
    <n v="0.2858311183806993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9.7455"/>
    <n v="95.374499999999998"/>
    <m/>
    <m/>
    <n v="0"/>
    <s v=""/>
    <n v="0"/>
    <s v=""/>
    <s v="{7671341B-9B64-4FF3-B864-B0546904CCD5}"/>
    <s v=""/>
    <s v=""/>
    <s v=""/>
    <s v=""/>
    <s v=""/>
    <s v=""/>
    <s v=""/>
    <s v=""/>
    <s v=""/>
    <s v=""/>
    <x v="0"/>
    <s v=""/>
  </r>
  <r>
    <s v="OKLO"/>
    <n v="44.5"/>
    <m/>
    <n v="37.824999999999996"/>
    <x v="49"/>
    <x v="5"/>
    <m/>
    <d v="2025-02-25T00:00:00"/>
    <m/>
    <m/>
    <m/>
    <m/>
    <m/>
    <m/>
    <m/>
    <m/>
    <s v=""/>
    <n v="0"/>
    <n v="0"/>
    <s v=""/>
    <n v="60"/>
    <m/>
    <s v=""/>
    <s v=""/>
    <s v=""/>
    <s v=""/>
    <s v=""/>
    <m/>
    <m/>
    <n v="0"/>
    <n v="0"/>
    <n v="0"/>
    <m/>
    <m/>
    <n v="50"/>
    <s v=""/>
    <s v=""/>
    <n v="0"/>
    <n v="0"/>
    <n v="0.12359550561797752"/>
    <m/>
    <m/>
    <m/>
    <m/>
    <m/>
    <s v=""/>
    <m/>
    <m/>
    <m/>
    <s v=""/>
    <s v=""/>
    <n v="-15.58"/>
    <m/>
    <s v=""/>
    <m/>
    <m/>
    <m/>
    <m/>
    <m/>
    <m/>
    <n v="0"/>
    <n v="0"/>
    <m/>
    <s v=""/>
    <s v=""/>
    <s v=""/>
    <s v=""/>
    <m/>
    <m/>
    <m/>
    <m/>
    <m/>
    <m/>
    <b v="0"/>
    <b v="0"/>
    <n v="0"/>
    <m/>
    <n v="0"/>
    <s v=""/>
    <s v=""/>
    <s v=""/>
    <s v=""/>
    <n v="0"/>
    <n v="0"/>
    <s v=""/>
    <n v="0"/>
    <n v="0"/>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7.5"/>
    <n v="86.774999999999991"/>
    <m/>
    <m/>
    <n v="0"/>
    <s v=""/>
    <n v="0"/>
    <s v=""/>
    <s v="{ACD78BBA-629A-4951-8CE7-29B0E1517072}"/>
    <s v=""/>
    <s v=""/>
    <s v=""/>
    <s v=""/>
    <s v=""/>
    <s v=""/>
    <s v=""/>
    <s v=""/>
    <s v=""/>
    <s v=""/>
    <x v="0"/>
    <s v=""/>
  </r>
  <r>
    <s v="CCL"/>
    <n v="26.1"/>
    <s v="Swing"/>
    <n v="22.185000000000002"/>
    <x v="50"/>
    <x v="14"/>
    <m/>
    <d v="2022-06-27T09:15:00"/>
    <d v="2022-06-27T09:15:00"/>
    <m/>
    <m/>
    <m/>
    <m/>
    <m/>
    <m/>
    <m/>
    <s v=""/>
    <n v="0"/>
    <n v="0"/>
    <s v=""/>
    <n v="18"/>
    <n v="15.5"/>
    <s v=""/>
    <s v=""/>
    <s v=""/>
    <s v=""/>
    <s v=""/>
    <m/>
    <m/>
    <n v="0"/>
    <n v="0"/>
    <n v="0"/>
    <m/>
    <n v="18"/>
    <n v="24.73"/>
    <n v="-0.31034482758620696"/>
    <s v=""/>
    <n v="0"/>
    <n v="0"/>
    <n v="-5.2490421455938734E-2"/>
    <m/>
    <s v="assignment"/>
    <m/>
    <s v="free money"/>
    <s v="SPs"/>
    <s v=""/>
    <m/>
    <m/>
    <m/>
    <s v=""/>
    <s v=""/>
    <n v="15.33"/>
    <s v="WILL CALL"/>
    <s v=""/>
    <m/>
    <m/>
    <m/>
    <m/>
    <m/>
    <m/>
    <n v="0"/>
    <n v="0"/>
    <m/>
    <s v=""/>
    <s v=""/>
    <s v=""/>
    <m/>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3.493500000000001"/>
    <n v="50.895000000000003"/>
    <m/>
    <m/>
    <n v="0"/>
    <s v=""/>
    <n v="0"/>
    <s v=""/>
    <s v="{311E0B8B-81BD-40B8-81C4-D5C5E1BAB6E9}"/>
    <s v=""/>
    <s v=""/>
    <s v=""/>
    <s v=""/>
    <s v=""/>
    <s v=""/>
    <s v=""/>
    <s v=""/>
    <s v=""/>
    <s v=""/>
    <x v="0"/>
    <s v=""/>
  </r>
  <r>
    <s v="AG"/>
    <n v="17.309999999999999"/>
    <s v="Prem"/>
    <n v="14.713499999999998"/>
    <x v="51"/>
    <x v="0"/>
    <m/>
    <d v="2025-02-20T00:00:00"/>
    <d v="1899-12-30T06:00:00"/>
    <m/>
    <m/>
    <m/>
    <m/>
    <m/>
    <m/>
    <m/>
    <s v=""/>
    <n v="0"/>
    <n v="0"/>
    <s v=""/>
    <m/>
    <m/>
    <s v=""/>
    <s v=""/>
    <s v=""/>
    <s v=""/>
    <s v=""/>
    <m/>
    <m/>
    <n v="0"/>
    <n v="0"/>
    <n v="0"/>
    <m/>
    <m/>
    <m/>
    <s v=""/>
    <s v=""/>
    <n v="0"/>
    <n v="0"/>
    <s v=""/>
    <m/>
    <s v="assignment"/>
    <m/>
    <s v="Assignment"/>
    <s v="SPs"/>
    <s v=""/>
    <m/>
    <m/>
    <m/>
    <s v=""/>
    <s v=""/>
    <n v="15.69"/>
    <s v="EXPIRE"/>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3.7545"/>
    <m/>
    <m/>
    <n v="0"/>
    <s v=""/>
    <n v="0"/>
    <s v=""/>
    <s v="{1DEAE4DB-DE91-48FB-8144-94E8255E5037}"/>
    <s v=""/>
    <s v=""/>
    <s v=""/>
    <s v=""/>
    <s v=""/>
    <s v=""/>
    <s v=""/>
    <s v=""/>
    <s v=""/>
    <s v=""/>
    <x v="0"/>
    <s v=""/>
  </r>
  <r>
    <s v="MU"/>
    <n v="959.48"/>
    <m/>
    <n v="815.55799999999999"/>
    <x v="5"/>
    <x v="2"/>
    <m/>
    <d v="2022-06-30T16:05:00"/>
    <d v="2022-06-30T16:05:00"/>
    <s v="Confirmed"/>
    <m/>
    <m/>
    <m/>
    <m/>
    <m/>
    <m/>
    <s v=""/>
    <n v="0"/>
    <n v="0"/>
    <s v=""/>
    <m/>
    <m/>
    <s v=""/>
    <s v=""/>
    <s v=""/>
    <s v=""/>
    <s v=""/>
    <m/>
    <m/>
    <n v="0"/>
    <n v="0"/>
    <n v="0"/>
    <m/>
    <m/>
    <n v="113.3"/>
    <s v=""/>
    <s v=""/>
    <n v="0"/>
    <n v="0"/>
    <n v="-0.8819152040688707"/>
    <n v="85"/>
    <s v="free money"/>
    <n v="85"/>
    <s v="Losses"/>
    <s v="BuPS"/>
    <s v=""/>
    <m/>
    <m/>
    <m/>
    <s v=""/>
    <s v=""/>
    <n v="342.2"/>
    <m/>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7.63499999999999"/>
    <n v="1870.9860000000001"/>
    <m/>
    <m/>
    <n v="0"/>
    <s v=""/>
    <n v="0"/>
    <s v=""/>
    <m/>
    <s v=""/>
    <s v=""/>
    <s v=""/>
    <s v=""/>
    <s v=""/>
    <s v=""/>
    <s v=""/>
    <s v=""/>
    <s v=""/>
    <s v=""/>
    <x v="0"/>
    <s v=""/>
  </r>
  <r>
    <s v="CELG"/>
    <n v="95.14"/>
    <m/>
    <n v="80.869"/>
    <x v="15"/>
    <x v="3"/>
    <m/>
    <d v="2022-06-27T09:15:00"/>
    <d v="2022-06-27T09:15:00"/>
    <m/>
    <m/>
    <m/>
    <m/>
    <m/>
    <m/>
    <m/>
    <s v=""/>
    <n v="0"/>
    <n v="0"/>
    <s v=""/>
    <m/>
    <m/>
    <s v=""/>
    <s v=""/>
    <s v=""/>
    <s v=""/>
    <s v=""/>
    <n v="0"/>
    <s v="N/A"/>
    <n v="0"/>
    <n v="0"/>
    <n v="0"/>
    <s v="N/A"/>
    <m/>
    <n v="95"/>
    <s v=""/>
    <s v=""/>
    <n v="0"/>
    <n v="0"/>
    <n v="-1.4715156611309708E-3"/>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0.25"/>
    <n v="185.523"/>
    <m/>
    <n v="85.79"/>
    <n v="0"/>
    <s v=""/>
    <n v="0"/>
    <s v=""/>
    <s v="{4A731E44-4F2B-4561-912E-BD0220CFAE6D}"/>
    <s v=""/>
    <s v=""/>
    <s v=""/>
    <s v=""/>
    <s v=""/>
    <s v=""/>
    <s v=""/>
    <s v=""/>
    <s v=""/>
    <s v=""/>
    <x v="0"/>
    <s v=""/>
  </r>
  <r>
    <s v="CHKP"/>
    <n v="127.91"/>
    <m/>
    <n v="108.7235"/>
    <x v="52"/>
    <x v="2"/>
    <m/>
    <d v="2022-07-27T05:00:00"/>
    <d v="2022-07-27T05:00:00"/>
    <m/>
    <m/>
    <m/>
    <m/>
    <m/>
    <m/>
    <m/>
    <s v=""/>
    <n v="0"/>
    <n v="0"/>
    <s v=""/>
    <m/>
    <m/>
    <s v=""/>
    <s v=""/>
    <s v=""/>
    <s v=""/>
    <s v=""/>
    <n v="0"/>
    <s v="N/A"/>
    <n v="0"/>
    <n v="0"/>
    <n v="0"/>
    <s v="N/A"/>
    <m/>
    <n v="105"/>
    <s v=""/>
    <s v=""/>
    <n v="0"/>
    <n v="0"/>
    <n v="-0.17911031193808144"/>
    <n v="101.05"/>
    <s v="ITM"/>
    <n v="101.4"/>
    <s v="Losse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9.75"/>
    <n v="249.42449999999999"/>
    <m/>
    <m/>
    <n v="0"/>
    <s v=""/>
    <n v="0"/>
    <s v=""/>
    <s v="{6E07AF3B-33E1-4BED-8E7D-98B27ED6EB22}"/>
    <s v=""/>
    <s v=""/>
    <s v=""/>
    <s v=""/>
    <s v=""/>
    <s v=""/>
    <s v=""/>
    <s v=""/>
    <s v=""/>
    <s v=""/>
    <x v="0"/>
    <s v=""/>
  </r>
  <r>
    <s v="CHWY"/>
    <n v="21.52"/>
    <s v="Swing"/>
    <n v="18.291999999999998"/>
    <x v="33"/>
    <x v="1"/>
    <m/>
    <d v="2022-08-31T16:05:00"/>
    <d v="2022-08-31T16:05:00"/>
    <m/>
    <m/>
    <m/>
    <m/>
    <m/>
    <m/>
    <m/>
    <s v=""/>
    <n v="0"/>
    <n v="0"/>
    <s v=""/>
    <m/>
    <m/>
    <s v=""/>
    <s v=""/>
    <s v=""/>
    <s v=""/>
    <s v=""/>
    <m/>
    <m/>
    <n v="0"/>
    <n v="0"/>
    <n v="0"/>
    <m/>
    <m/>
    <n v="101.42"/>
    <s v=""/>
    <s v=""/>
    <n v="0"/>
    <n v="0"/>
    <n v="3.7128252788104095"/>
    <n v="120"/>
    <s v="ITM"/>
    <n v="106.83"/>
    <s v="stop out"/>
    <m/>
    <s v=""/>
    <m/>
    <m/>
    <m/>
    <s v=""/>
    <s v=""/>
    <n v="37.56"/>
    <m/>
    <s v=""/>
    <m/>
    <m/>
    <m/>
    <m/>
    <m/>
    <m/>
    <n v="0"/>
    <n v="0"/>
    <m/>
    <s v=""/>
    <s v=""/>
    <s v=""/>
    <s v=""/>
    <m/>
    <m/>
    <m/>
    <m/>
    <m/>
    <m/>
    <b v="0"/>
    <b v="0"/>
    <n v="0"/>
    <m/>
    <n v="0"/>
    <s v=""/>
    <s v=""/>
    <s v=""/>
    <s v=""/>
    <n v="0"/>
    <n v="0"/>
    <s v=""/>
    <n v="0"/>
    <m/>
    <n v="0"/>
    <n v="0"/>
    <s v=""/>
    <m/>
    <m/>
    <s v=""/>
    <m/>
    <s v=""/>
    <s v=""/>
    <s v=""/>
    <m/>
    <m/>
    <s v=""/>
    <s v=""/>
    <s v=""/>
    <s v=""/>
    <s v=""/>
    <s v=""/>
    <m/>
    <m/>
    <s v=""/>
    <s v=""/>
    <s v=""/>
    <s v=""/>
    <m/>
    <m/>
    <m/>
    <m/>
    <m/>
    <m/>
    <n v="0"/>
    <s v=""/>
    <s v=""/>
    <s v=""/>
    <s v=""/>
    <m/>
    <s v=""/>
    <s v=""/>
    <s v=""/>
    <s v=""/>
    <s v=""/>
    <s v=""/>
    <s v=""/>
    <m/>
    <s v=""/>
    <s v="Stock 6.83"/>
    <s v=""/>
    <s v=""/>
    <s v=""/>
    <n v="0"/>
    <s v=""/>
    <n v="0"/>
    <m/>
    <m/>
    <m/>
    <m/>
    <m/>
    <m/>
    <b v="0"/>
    <b v="0"/>
    <m/>
    <s v=""/>
    <s v=""/>
    <n v="0"/>
    <s v=""/>
    <s v=""/>
    <n v="0"/>
    <m/>
    <m/>
    <m/>
    <n v="0"/>
    <m/>
    <s v=""/>
    <s v=""/>
    <n v="0"/>
    <n v="0"/>
    <m/>
    <s v=""/>
    <s v=""/>
    <s v=""/>
    <s v=""/>
    <s v=""/>
    <s v=""/>
    <s v=""/>
    <s v=""/>
    <s v=""/>
    <n v="0"/>
    <s v=""/>
    <s v=""/>
    <s v=""/>
    <s v=""/>
    <s v=""/>
    <s v=""/>
    <s v=""/>
    <s v=""/>
    <n v="0"/>
    <n v="96.349000000000004"/>
    <n v="41.963999999999999"/>
    <m/>
    <m/>
    <n v="0"/>
    <s v=""/>
    <n v="0"/>
    <s v=""/>
    <m/>
    <s v=""/>
    <s v=""/>
    <s v=""/>
    <s v=""/>
    <s v=""/>
    <s v=""/>
    <s v=""/>
    <s v=""/>
    <s v=""/>
    <s v=""/>
    <x v="0"/>
    <s v=""/>
  </r>
  <r>
    <s v="CI"/>
    <n v="284.85000000000002"/>
    <m/>
    <n v="242.1225"/>
    <x v="53"/>
    <x v="3"/>
    <m/>
    <d v="2022-08-05T06:00:00"/>
    <d v="2022-08-05T06:00:00"/>
    <m/>
    <m/>
    <m/>
    <m/>
    <m/>
    <m/>
    <m/>
    <s v=""/>
    <n v="0"/>
    <n v="0"/>
    <s v=""/>
    <m/>
    <m/>
    <s v=""/>
    <s v=""/>
    <s v=""/>
    <s v=""/>
    <s v=""/>
    <n v="0.04"/>
    <d v="2016-04-10T00:00:00"/>
    <n v="0"/>
    <n v="0"/>
    <n v="1.40424784974548E-4"/>
    <d v="2015-03-06T00:00:00"/>
    <m/>
    <n v="115"/>
    <s v=""/>
    <s v=""/>
    <n v="0"/>
    <n v="0"/>
    <n v="-0.59627874319817453"/>
    <m/>
    <m/>
    <m/>
    <m/>
    <m/>
    <s v=""/>
    <m/>
    <m/>
    <m/>
    <s v=""/>
    <s v=""/>
    <m/>
    <m/>
    <s v=""/>
    <m/>
    <m/>
    <m/>
    <m/>
    <d v="2017-03-20T00:00:00"/>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9.25"/>
    <n v="555.45749999999998"/>
    <m/>
    <m/>
    <n v="0"/>
    <s v=""/>
    <n v="0"/>
    <s v=""/>
    <s v="{8CE45186-8D96-4B2E-B729-556BB99CE679}"/>
    <s v=""/>
    <s v=""/>
    <s v=""/>
    <s v=""/>
    <s v=""/>
    <s v=""/>
    <s v=""/>
    <s v=""/>
    <s v=""/>
    <s v=""/>
    <x v="0"/>
    <s v=""/>
  </r>
  <r>
    <s v="CIEN"/>
    <n v="397.16"/>
    <s v="Swing"/>
    <n v="337.58600000000001"/>
    <x v="26"/>
    <x v="2"/>
    <m/>
    <d v="2022-09-01T07:00:00"/>
    <d v="2022-09-01T07:00:00"/>
    <m/>
    <m/>
    <m/>
    <m/>
    <m/>
    <m/>
    <m/>
    <s v=""/>
    <n v="0"/>
    <n v="0"/>
    <s v=""/>
    <m/>
    <m/>
    <s v=""/>
    <s v=""/>
    <s v=""/>
    <s v=""/>
    <s v=""/>
    <n v="0"/>
    <s v="N/A"/>
    <n v="0"/>
    <n v="0"/>
    <n v="0"/>
    <s v="N/A"/>
    <n v="68"/>
    <n v="60.88"/>
    <n v="-0.82878436902004227"/>
    <s v=""/>
    <n v="0"/>
    <n v="0"/>
    <n v="-0.8467116527344144"/>
    <n v="59.8"/>
    <s v="T1"/>
    <n v="53.9"/>
    <s v="stop ou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7.835999999999999"/>
    <n v="774.46199999999999"/>
    <m/>
    <n v="22.18"/>
    <n v="0"/>
    <s v=""/>
    <n v="0"/>
    <s v=""/>
    <s v="{B2212D8D-E00F-46D2-941D-A6E6530FBC13}"/>
    <s v=""/>
    <s v=""/>
    <s v=""/>
    <s v=""/>
    <s v=""/>
    <s v=""/>
    <s v=""/>
    <s v=""/>
    <s v=""/>
    <s v=""/>
    <x v="0"/>
    <s v=""/>
  </r>
  <r>
    <s v="CVS"/>
    <n v="108.08"/>
    <s v="CORE"/>
    <n v="91.867999999999995"/>
    <x v="53"/>
    <x v="3"/>
    <m/>
    <d v="2022-08-03T06:30:00"/>
    <d v="2022-08-03T06:30:00"/>
    <m/>
    <m/>
    <n v="1"/>
    <b v="1"/>
    <n v="3"/>
    <m/>
    <m/>
    <s v=""/>
    <n v="0"/>
    <n v="0"/>
    <s v=""/>
    <n v="80"/>
    <n v="52.5"/>
    <s v=""/>
    <s v=""/>
    <s v=""/>
    <s v=""/>
    <s v=""/>
    <n v="2"/>
    <d v="2020-05-03T00:00:00"/>
    <n v="0"/>
    <n v="0"/>
    <n v="1.8504811250925242E-2"/>
    <d v="2020-04-22T00:00:00"/>
    <n v="84"/>
    <n v="78.680000000000007"/>
    <n v="-0.22279792746113988"/>
    <s v=""/>
    <n v="0"/>
    <n v="0"/>
    <n v="-0.27202072538860095"/>
    <m/>
    <m/>
    <m/>
    <m/>
    <m/>
    <s v=""/>
    <m/>
    <m/>
    <m/>
    <m/>
    <m/>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74.746000000000009"/>
    <n v="210.756"/>
    <m/>
    <m/>
    <n v="0"/>
    <s v=""/>
    <n v="0"/>
    <s v=""/>
    <s v="{D6A35841-14E7-458E-8FB9-714E12465E6A}"/>
    <s v=""/>
    <s v=""/>
    <s v=""/>
    <s v=""/>
    <s v=""/>
    <s v=""/>
    <s v=""/>
    <s v=""/>
    <s v=""/>
    <s v=""/>
    <x v="0"/>
    <s v=""/>
  </r>
  <r>
    <s v="CLF"/>
    <n v="9.4499999999999993"/>
    <s v="Position"/>
    <n v="8.0324999999999989"/>
    <x v="54"/>
    <x v="0"/>
    <m/>
    <d v="2022-07-22T06:00:00"/>
    <d v="2022-07-22T06:00:00"/>
    <m/>
    <m/>
    <m/>
    <m/>
    <m/>
    <m/>
    <m/>
    <s v=""/>
    <n v="0"/>
    <n v="0"/>
    <s v=""/>
    <m/>
    <m/>
    <s v=""/>
    <s v=""/>
    <s v=""/>
    <s v=""/>
    <s v=""/>
    <m/>
    <m/>
    <n v="0"/>
    <n v="0"/>
    <n v="0"/>
    <m/>
    <m/>
    <n v="31.86"/>
    <s v=""/>
    <s v=""/>
    <n v="0"/>
    <n v="0"/>
    <n v="2.3714285714285714"/>
    <m/>
    <m/>
    <m/>
    <m/>
    <s v="SPs"/>
    <s v=""/>
    <n v="28"/>
    <m/>
    <m/>
    <s v=""/>
    <s v=""/>
    <n v="32.299999999999997"/>
    <m/>
    <s v=""/>
    <m/>
    <m/>
    <m/>
    <m/>
    <m/>
    <m/>
    <n v="0"/>
    <n v="0"/>
    <m/>
    <s v=""/>
    <s v=""/>
    <s v=""/>
    <s v=""/>
    <m/>
    <m/>
    <m/>
    <m/>
    <m/>
    <m/>
    <b v="0"/>
    <b v="0"/>
    <n v="0"/>
    <m/>
    <n v="0"/>
    <s v=""/>
    <s v=""/>
    <s v=""/>
    <s v=""/>
    <n v="0"/>
    <n v="0"/>
    <s v=""/>
    <n v="0"/>
    <m/>
    <n v="0"/>
    <n v="0"/>
    <s v=""/>
    <m/>
    <m/>
    <s v=""/>
    <m/>
    <s v=""/>
    <s v=""/>
    <s v=""/>
    <m/>
    <m/>
    <s v=""/>
    <s v=""/>
    <s v=""/>
    <s v=""/>
    <s v=""/>
    <s v=""/>
    <n v="28"/>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0.266999999999999"/>
    <n v="18.427499999999998"/>
    <m/>
    <m/>
    <n v="0"/>
    <s v=""/>
    <n v="0"/>
    <s v=""/>
    <m/>
    <s v=""/>
    <s v=""/>
    <s v=""/>
    <s v=""/>
    <s v=""/>
    <s v=""/>
    <s v=""/>
    <s v=""/>
    <s v=""/>
    <s v=""/>
    <x v="0"/>
    <s v=""/>
  </r>
  <r>
    <s v="CLSK"/>
    <n v="15.33"/>
    <s v="Swing"/>
    <n v="13.0305"/>
    <x v="40"/>
    <x v="8"/>
    <m/>
    <m/>
    <m/>
    <m/>
    <m/>
    <m/>
    <m/>
    <m/>
    <m/>
    <m/>
    <s v=""/>
    <n v="0"/>
    <n v="0"/>
    <s v=""/>
    <m/>
    <m/>
    <s v=""/>
    <s v=""/>
    <s v=""/>
    <s v=""/>
    <s v=""/>
    <m/>
    <m/>
    <n v="0"/>
    <n v="0"/>
    <n v="0"/>
    <m/>
    <m/>
    <m/>
    <s v=""/>
    <s v=""/>
    <n v="0"/>
    <n v="0"/>
    <s v=""/>
    <n v="18"/>
    <s v="assignment"/>
    <n v="16"/>
    <s v="Assignment"/>
    <s v="Strangle"/>
    <s v=""/>
    <m/>
    <m/>
    <m/>
    <s v=""/>
    <s v=""/>
    <n v="12.5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29.8935"/>
    <m/>
    <m/>
    <n v="0"/>
    <s v=""/>
    <n v="0"/>
    <s v=""/>
    <m/>
    <s v=""/>
    <s v=""/>
    <s v=""/>
    <s v=""/>
    <s v=""/>
    <s v=""/>
    <s v=""/>
    <s v=""/>
    <s v=""/>
    <s v=""/>
    <x v="0"/>
    <s v=""/>
  </r>
  <r>
    <s v="CLX"/>
    <n v="95.76"/>
    <s v="LT"/>
    <n v="81.396000000000001"/>
    <x v="55"/>
    <x v="13"/>
    <m/>
    <d v="2022-08-01T16:10:00"/>
    <d v="2022-08-01T16:10:00"/>
    <m/>
    <m/>
    <n v="2"/>
    <m/>
    <m/>
    <m/>
    <m/>
    <s v=""/>
    <n v="0"/>
    <n v="0"/>
    <s v=""/>
    <m/>
    <m/>
    <s v=""/>
    <s v=""/>
    <s v=""/>
    <s v=""/>
    <s v=""/>
    <m/>
    <m/>
    <n v="0"/>
    <n v="0"/>
    <n v="0"/>
    <m/>
    <n v="225"/>
    <n v="213.71"/>
    <n v="1.3496240601503759"/>
    <s v=""/>
    <n v="0"/>
    <n v="0"/>
    <n v="1.2317251461988303"/>
    <n v="192.5"/>
    <s v="assignment"/>
    <n v="192.5"/>
    <s v="free money"/>
    <s v="CCs"/>
    <s v=""/>
    <m/>
    <m/>
    <m/>
    <s v=""/>
    <s v=""/>
    <n v="197.32"/>
    <m/>
    <s v=""/>
    <m/>
    <m/>
    <m/>
    <m/>
    <m/>
    <m/>
    <n v="0"/>
    <n v="0"/>
    <m/>
    <s v=""/>
    <s v=""/>
    <s v=""/>
    <s v=""/>
    <m/>
    <m/>
    <m/>
    <m/>
    <m/>
    <m/>
    <b v="0"/>
    <b v="0"/>
    <n v="0"/>
    <m/>
    <n v="0"/>
    <s v=""/>
    <s v=""/>
    <s v=""/>
    <s v=""/>
    <n v="0"/>
    <n v="0"/>
    <s v=""/>
    <n v="0"/>
    <m/>
    <n v="0"/>
    <n v="0"/>
    <s v=""/>
    <m/>
    <m/>
    <s v=""/>
    <n v="0.55000000000000004"/>
    <s v=""/>
    <s v=""/>
    <s v=""/>
    <d v="2021-01-15T00:00:00"/>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203.02449999999999"/>
    <n v="186.732"/>
    <m/>
    <m/>
    <n v="0"/>
    <s v=""/>
    <n v="0"/>
    <s v=""/>
    <s v="{D29F65EB-7146-4C31-AF59-7BAC7E15E814}"/>
    <s v=""/>
    <s v=""/>
    <s v=""/>
    <s v=""/>
    <s v=""/>
    <s v=""/>
    <s v=""/>
    <s v=""/>
    <s v=""/>
    <s v=""/>
    <x v="0"/>
    <s v=""/>
  </r>
  <r>
    <s v="CMCSA"/>
    <n v="23.52"/>
    <m/>
    <n v="19.992000000000001"/>
    <x v="48"/>
    <x v="14"/>
    <m/>
    <d v="2022-07-28T07:00:00"/>
    <d v="2022-07-28T07:00:00"/>
    <m/>
    <s v="tax reform beneficiary, provider of data to growing data stream consumers"/>
    <m/>
    <b v="1"/>
    <m/>
    <m/>
    <m/>
    <s v=""/>
    <n v="0"/>
    <n v="0"/>
    <s v=""/>
    <m/>
    <m/>
    <s v=""/>
    <s v=""/>
    <s v=""/>
    <s v=""/>
    <s v=""/>
    <n v="0.84"/>
    <s v="2/233/2020"/>
    <n v="0"/>
    <n v="0"/>
    <n v="3.5714285714285712E-2"/>
    <d v="2020-02-01T00:00:00"/>
    <n v="56"/>
    <n v="45.6"/>
    <n v="1.3809523809523812"/>
    <s v=""/>
    <n v="0"/>
    <n v="0"/>
    <n v="0.93877551020408168"/>
    <m/>
    <m/>
    <m/>
    <m/>
    <m/>
    <s v=""/>
    <m/>
    <m/>
    <m/>
    <s v=""/>
    <s v=""/>
    <m/>
    <m/>
    <s v=""/>
    <m/>
    <m/>
    <m/>
    <m/>
    <d v="2017-03-16T00:00:00"/>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3.32"/>
    <n v="45.863999999999997"/>
    <m/>
    <m/>
    <n v="0"/>
    <s v=""/>
    <n v="0"/>
    <s v=""/>
    <s v="{AED795D5-2E25-4180-A8C0-B5134F39EF1B}"/>
    <s v=""/>
    <s v=""/>
    <s v=""/>
    <s v=""/>
    <s v=""/>
    <s v=""/>
    <s v=""/>
    <s v=""/>
    <s v=""/>
    <s v=""/>
    <x v="0"/>
    <s v=""/>
  </r>
  <r>
    <s v="CMG"/>
    <n v="32.200000000000003"/>
    <m/>
    <n v="27.37"/>
    <x v="56"/>
    <x v="14"/>
    <m/>
    <d v="2022-07-26T16:10:00"/>
    <d v="2022-07-26T16:10:00"/>
    <m/>
    <m/>
    <m/>
    <m/>
    <m/>
    <m/>
    <m/>
    <s v=""/>
    <n v="0"/>
    <n v="0"/>
    <s v=""/>
    <m/>
    <m/>
    <s v=""/>
    <s v=""/>
    <s v=""/>
    <s v=""/>
    <s v=""/>
    <m/>
    <m/>
    <n v="0"/>
    <n v="0"/>
    <n v="0"/>
    <m/>
    <m/>
    <n v="557.25"/>
    <s v=""/>
    <s v=""/>
    <n v="0"/>
    <n v="0"/>
    <n v="16.3059006211180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29.38749999999993"/>
    <n v="62.790000000000006"/>
    <m/>
    <m/>
    <n v="0"/>
    <s v=""/>
    <n v="0"/>
    <s v=""/>
    <s v="{3065901B-0E6A-4B5B-9C22-C090FF560A70}"/>
    <s v=""/>
    <s v=""/>
    <s v=""/>
    <s v=""/>
    <s v=""/>
    <s v=""/>
    <s v=""/>
    <s v=""/>
    <s v=""/>
    <s v=""/>
    <x v="0"/>
    <s v=""/>
  </r>
  <r>
    <s v="CMI"/>
    <n v="660.75"/>
    <m/>
    <n v="561.63749999999993"/>
    <x v="57"/>
    <x v="15"/>
    <m/>
    <d v="2022-08-02T07:30:00"/>
    <d v="2022-08-02T07:30:00"/>
    <m/>
    <m/>
    <m/>
    <m/>
    <m/>
    <m/>
    <m/>
    <s v=""/>
    <n v="0"/>
    <n v="0"/>
    <s v=""/>
    <m/>
    <m/>
    <s v=""/>
    <s v=""/>
    <s v=""/>
    <s v=""/>
    <s v=""/>
    <n v="3.9"/>
    <d v="2015-12-01T00:00:00"/>
    <n v="0"/>
    <n v="0"/>
    <n v="5.902383654937571E-3"/>
    <d v="2015-08-17T00:00:00"/>
    <m/>
    <n v="155"/>
    <s v=""/>
    <s v=""/>
    <n v="0"/>
    <n v="0"/>
    <n v="-0.7654180855088914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7.25"/>
    <n v="1288.4624999999999"/>
    <m/>
    <m/>
    <n v="0"/>
    <s v=""/>
    <n v="0"/>
    <s v=""/>
    <s v="{E59D9FE5-220D-4884-9455-EAAC127F89FD}"/>
    <s v=""/>
    <s v=""/>
    <s v=""/>
    <s v=""/>
    <s v=""/>
    <s v=""/>
    <s v=""/>
    <s v=""/>
    <s v=""/>
    <s v=""/>
    <x v="0"/>
    <s v=""/>
  </r>
  <r>
    <s v="CNC"/>
    <n v="65.89"/>
    <m/>
    <n v="56.006499999999996"/>
    <x v="53"/>
    <x v="3"/>
    <m/>
    <d v="2022-07-26T06:00:00"/>
    <d v="2022-07-26T06:00:00"/>
    <m/>
    <m/>
    <m/>
    <m/>
    <m/>
    <m/>
    <m/>
    <s v=""/>
    <n v="0"/>
    <n v="0"/>
    <s v=""/>
    <m/>
    <m/>
    <s v=""/>
    <s v=""/>
    <s v=""/>
    <s v=""/>
    <s v=""/>
    <m/>
    <m/>
    <n v="0"/>
    <n v="0"/>
    <n v="0"/>
    <m/>
    <m/>
    <n v="74.78"/>
    <s v=""/>
    <s v=""/>
    <n v="0"/>
    <n v="0"/>
    <n v="0.13492183942935196"/>
    <n v="60"/>
    <s v="Losses"/>
    <n v="45"/>
    <s v="Losses"/>
    <s v="condor"/>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1.040999999999997"/>
    <n v="128.4855"/>
    <m/>
    <m/>
    <n v="0"/>
    <s v=""/>
    <n v="0"/>
    <s v=""/>
    <s v="{654C2FCB-9A05-47F2-90C8-C8F4390EF8B3}"/>
    <s v=""/>
    <s v=""/>
    <s v=""/>
    <s v=""/>
    <s v=""/>
    <s v=""/>
    <s v=""/>
    <s v=""/>
    <s v=""/>
    <s v=""/>
    <x v="0"/>
    <s v=""/>
  </r>
  <r>
    <s v="CODA"/>
    <n v="10"/>
    <m/>
    <n v="8.5"/>
    <x v="58"/>
    <x v="15"/>
    <m/>
    <d v="2022-07-26T06:00:00"/>
    <d v="2022-07-26T06:00:00"/>
    <m/>
    <m/>
    <m/>
    <m/>
    <m/>
    <m/>
    <m/>
    <s v=""/>
    <n v="0"/>
    <n v="0"/>
    <s v=""/>
    <m/>
    <m/>
    <s v=""/>
    <s v=""/>
    <s v=""/>
    <s v=""/>
    <s v=""/>
    <m/>
    <m/>
    <n v="0"/>
    <n v="0"/>
    <n v="0"/>
    <m/>
    <m/>
    <n v="18"/>
    <s v=""/>
    <s v=""/>
    <n v="0"/>
    <n v="0"/>
    <n v="0.8"/>
    <n v="19.28"/>
    <s v="T1"/>
    <n v="9.25"/>
    <s v="stop ou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7.099999999999998"/>
    <n v="19.5"/>
    <m/>
    <m/>
    <n v="0"/>
    <s v=""/>
    <n v="0"/>
    <s v=""/>
    <s v="{5F6927B9-1611-4D3F-819A-DDAD55F0BEF3}"/>
    <s v=""/>
    <s v=""/>
    <s v=""/>
    <s v=""/>
    <s v=""/>
    <s v=""/>
    <s v=""/>
    <s v=""/>
    <s v=""/>
    <s v=""/>
    <x v="0"/>
    <s v=""/>
  </r>
  <r>
    <s v="CODX"/>
    <n v="2.2799999999999998"/>
    <s v="Swing"/>
    <n v="1.9379999999999997"/>
    <x v="59"/>
    <x v="3"/>
    <m/>
    <d v="2022-08-11T16:00:00"/>
    <d v="2022-08-11T16:00:00"/>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4459999999999997"/>
    <m/>
    <m/>
    <n v="0"/>
    <s v=""/>
    <n v="0"/>
    <s v=""/>
    <s v="{1B78C132-DDDC-42BB-BF3A-0E6EBA0B6893}"/>
    <s v=""/>
    <s v=""/>
    <s v=""/>
    <s v=""/>
    <s v=""/>
    <s v=""/>
    <s v=""/>
    <s v=""/>
    <s v=""/>
    <s v=""/>
    <x v="0"/>
    <s v=""/>
  </r>
  <r>
    <s v="COIN"/>
    <n v="166.12"/>
    <s v="Swing"/>
    <n v="141.202"/>
    <x v="11"/>
    <x v="2"/>
    <m/>
    <d v="2023-02-02T00:00:00"/>
    <d v="2023-02-02T00:00:00"/>
    <m/>
    <m/>
    <m/>
    <m/>
    <m/>
    <m/>
    <m/>
    <s v=""/>
    <n v="0"/>
    <n v="0"/>
    <s v=""/>
    <n v="280"/>
    <n v="238.5"/>
    <s v=""/>
    <s v=""/>
    <s v=""/>
    <s v=""/>
    <s v=""/>
    <m/>
    <m/>
    <n v="0"/>
    <n v="0"/>
    <n v="0"/>
    <m/>
    <m/>
    <n v="75.400000000000006"/>
    <s v=""/>
    <s v=""/>
    <n v="0"/>
    <n v="0"/>
    <n v="-0.54611124488321694"/>
    <n v="320"/>
    <s v="free money"/>
    <n v="320"/>
    <s v="Assignment"/>
    <s v="SPs"/>
    <s v=""/>
    <m/>
    <m/>
    <m/>
    <s v=""/>
    <s v=""/>
    <n v="192.13"/>
    <s v="WILL CALL"/>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1.63"/>
    <n v="323.93400000000003"/>
    <m/>
    <m/>
    <n v="0"/>
    <s v=""/>
    <n v="0"/>
    <s v=""/>
    <s v="{19D2BAA8-EA6E-4C13-A4D3-CC2B70BCF6E0}"/>
    <s v=""/>
    <s v=""/>
    <s v=""/>
    <s v=""/>
    <s v=""/>
    <s v=""/>
    <s v=""/>
    <s v=""/>
    <s v=""/>
    <s v=""/>
    <x v="0"/>
    <s v=""/>
  </r>
  <r>
    <s v="COMP"/>
    <n v="11.26"/>
    <s v="Swing"/>
    <n v="9.5709999999999997"/>
    <x v="60"/>
    <x v="11"/>
    <m/>
    <m/>
    <m/>
    <m/>
    <m/>
    <m/>
    <m/>
    <m/>
    <m/>
    <m/>
    <s v=""/>
    <n v="0"/>
    <n v="0"/>
    <s v=""/>
    <m/>
    <m/>
    <s v=""/>
    <s v=""/>
    <s v=""/>
    <s v=""/>
    <s v=""/>
    <m/>
    <m/>
    <n v="0"/>
    <n v="0"/>
    <n v="0"/>
    <m/>
    <m/>
    <m/>
    <s v=""/>
    <s v=""/>
    <n v="0"/>
    <n v="0"/>
    <s v=""/>
    <m/>
    <m/>
    <m/>
    <m/>
    <m/>
    <s v=""/>
    <m/>
    <m/>
    <m/>
    <s v=""/>
    <s v=""/>
    <n v="5.7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0"/>
    <n v="21.957000000000001"/>
    <m/>
    <m/>
    <n v="0"/>
    <s v=""/>
    <n v="0"/>
    <s v=""/>
    <m/>
    <s v=""/>
    <s v=""/>
    <s v=""/>
    <s v=""/>
    <s v=""/>
    <s v=""/>
    <s v=""/>
    <s v=""/>
    <s v=""/>
    <s v=""/>
    <x v="0"/>
    <s v=""/>
  </r>
  <r>
    <s v="COP"/>
    <n v="118.79"/>
    <m/>
    <n v="100.97150000000001"/>
    <x v="24"/>
    <x v="12"/>
    <m/>
    <m/>
    <m/>
    <m/>
    <m/>
    <m/>
    <m/>
    <m/>
    <m/>
    <m/>
    <s v=""/>
    <n v="0"/>
    <n v="0"/>
    <s v=""/>
    <n v="127.3"/>
    <n v="113.45"/>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231.6405"/>
    <m/>
    <m/>
    <n v="0"/>
    <s v=""/>
    <n v="0"/>
    <s v=""/>
    <m/>
    <s v=""/>
    <s v=""/>
    <s v=""/>
    <s v=""/>
    <s v=""/>
    <s v=""/>
    <s v=""/>
    <s v=""/>
    <s v=""/>
    <s v=""/>
    <x v="0"/>
    <s v=""/>
  </r>
  <r>
    <s v="SBUX"/>
    <n v="103.98"/>
    <m/>
    <n v="88.382999999999996"/>
    <x v="61"/>
    <x v="14"/>
    <m/>
    <d v="2022-08-02T16:10:00"/>
    <d v="2022-08-02T16:10:00"/>
    <m/>
    <m/>
    <n v="1"/>
    <b v="1"/>
    <m/>
    <m/>
    <m/>
    <s v=""/>
    <n v="0"/>
    <n v="0"/>
    <s v=""/>
    <m/>
    <m/>
    <s v=""/>
    <s v=""/>
    <s v=""/>
    <s v=""/>
    <s v=""/>
    <n v="0.8"/>
    <d v="2016-08-20T00:00:00"/>
    <n v="0"/>
    <n v="0"/>
    <n v="7.6937872667820735E-3"/>
    <d v="2016-08-01T00:00:00"/>
    <n v="95"/>
    <n v="80.28"/>
    <n v="-8.6362762069628812E-2"/>
    <s v=""/>
    <n v="0"/>
    <n v="0"/>
    <n v="-0.22792844777841895"/>
    <n v="82.5"/>
    <s v="free money"/>
    <n v="82.5"/>
    <s v="Assignment"/>
    <s v="SPs"/>
    <s v=""/>
    <m/>
    <m/>
    <m/>
    <s v=""/>
    <s v=""/>
    <m/>
    <m/>
    <s v=""/>
    <m/>
    <m/>
    <m/>
    <m/>
    <m/>
    <m/>
    <n v="0"/>
    <n v="0"/>
    <m/>
    <s v=""/>
    <s v=""/>
    <s v=""/>
    <s v=""/>
    <m/>
    <m/>
    <m/>
    <m/>
    <m/>
    <m/>
    <b v="0"/>
    <b v="0"/>
    <n v="0"/>
    <m/>
    <n v="0"/>
    <s v=""/>
    <s v=""/>
    <s v=""/>
    <s v=""/>
    <n v="0"/>
    <n v="0"/>
    <s v=""/>
    <n v="0"/>
    <m/>
    <n v="0"/>
    <n v="0"/>
    <s v=""/>
    <n v="0"/>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6.265999999999991"/>
    <n v="202.761"/>
    <m/>
    <n v="88.88"/>
    <n v="0"/>
    <s v=""/>
    <n v="0"/>
    <s v=""/>
    <s v="{58ACF3D6-B512-4548-9C4C-9240EAFA5161}"/>
    <s v=""/>
    <s v=""/>
    <s v=""/>
    <s v=""/>
    <s v=""/>
    <s v=""/>
    <s v=""/>
    <s v=""/>
    <s v=""/>
    <s v=""/>
    <x v="0"/>
    <s v=""/>
  </r>
  <r>
    <s v="CPB"/>
    <n v="21.88"/>
    <m/>
    <n v="18.597999999999999"/>
    <x v="24"/>
    <x v="12"/>
    <m/>
    <m/>
    <m/>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2.665999999999997"/>
    <m/>
    <m/>
    <n v="0"/>
    <s v=""/>
    <n v="0"/>
    <s v=""/>
    <s v="{6B7CCFBA-998E-438E-B0FE-8675FF84F990}"/>
    <s v=""/>
    <s v=""/>
    <s v=""/>
    <s v=""/>
    <s v=""/>
    <s v=""/>
    <s v=""/>
    <s v=""/>
    <s v=""/>
    <s v=""/>
    <x v="0"/>
    <s v=""/>
  </r>
  <r>
    <s v="CPB"/>
    <n v="21.88"/>
    <m/>
    <n v="18.597999999999999"/>
    <x v="62"/>
    <x v="4"/>
    <m/>
    <d v="2023-08-23T00:00:00"/>
    <m/>
    <m/>
    <m/>
    <m/>
    <m/>
    <m/>
    <m/>
    <m/>
    <s v=""/>
    <n v="0"/>
    <n v="0"/>
    <s v=""/>
    <n v="48.68"/>
    <n v="44.76"/>
    <s v=""/>
    <s v=""/>
    <s v=""/>
    <s v=""/>
    <s v=""/>
    <m/>
    <m/>
    <n v="0"/>
    <n v="0"/>
    <n v="0"/>
    <m/>
    <m/>
    <m/>
    <s v=""/>
    <s v=""/>
    <n v="0"/>
    <n v="0"/>
    <s v=""/>
    <n v="48.68"/>
    <s v="T1"/>
    <n v="44.76"/>
    <s v="stop out"/>
    <m/>
    <s v=""/>
    <m/>
    <m/>
    <m/>
    <s v=""/>
    <s v=""/>
    <n v="46.1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2.665999999999997"/>
    <m/>
    <m/>
    <n v="0"/>
    <s v=""/>
    <n v="0"/>
    <s v=""/>
    <m/>
    <s v=""/>
    <s v=""/>
    <s v=""/>
    <s v=""/>
    <s v=""/>
    <s v=""/>
    <s v=""/>
    <s v=""/>
    <s v=""/>
    <s v=""/>
    <x v="0"/>
    <s v=""/>
  </r>
  <r>
    <s v="CPRT"/>
    <n v="27.17"/>
    <m/>
    <n v="23.0945"/>
    <x v="63"/>
    <x v="14"/>
    <m/>
    <d v="2022-08-18T18:15:00"/>
    <d v="2022-08-18T18:15:00"/>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2.981500000000004"/>
    <m/>
    <m/>
    <n v="0"/>
    <s v=""/>
    <n v="0"/>
    <s v=""/>
    <s v="{C52D6780-B6F3-471F-98A0-CF29B611B2E2}"/>
    <s v=""/>
    <s v=""/>
    <s v=""/>
    <s v=""/>
    <s v=""/>
    <s v=""/>
    <s v=""/>
    <s v=""/>
    <s v=""/>
    <s v=""/>
    <x v="0"/>
    <s v=""/>
  </r>
  <r>
    <s v="PEP"/>
    <n v="135.65"/>
    <s v="CORE"/>
    <n v="115.30249999999999"/>
    <x v="64"/>
    <x v="4"/>
    <m/>
    <d v="2022-07-12T06:00:00"/>
    <d v="2022-07-12T06:00:00"/>
    <s v="Confirmed"/>
    <m/>
    <n v="1"/>
    <m/>
    <n v="2"/>
    <m/>
    <m/>
    <s v=""/>
    <n v="0"/>
    <n v="0"/>
    <s v=""/>
    <n v="147"/>
    <n v="130"/>
    <s v=""/>
    <s v=""/>
    <s v=""/>
    <s v=""/>
    <s v=""/>
    <n v="3.84"/>
    <d v="2020-06-30T00:00:00"/>
    <n v="0"/>
    <n v="0"/>
    <n v="2.8308145963877623E-2"/>
    <d v="2020-07-05T00:00:00"/>
    <n v="175"/>
    <n v="151.96"/>
    <n v="0.29008477699963137"/>
    <s v=""/>
    <n v="0"/>
    <n v="0"/>
    <n v="0.12023590121636565"/>
    <n v="138"/>
    <s v="assignment"/>
    <n v="138"/>
    <s v="free money"/>
    <s v="CCs"/>
    <s v=""/>
    <m/>
    <n v="2.91"/>
    <d v="2021-04-01T00:00:00"/>
    <n v="132.74"/>
    <n v="138.56"/>
    <n v="139.66999999999999"/>
    <m/>
    <s v=""/>
    <m/>
    <m/>
    <m/>
    <m/>
    <m/>
    <m/>
    <n v="0"/>
    <n v="0"/>
    <m/>
    <s v=""/>
    <s v=""/>
    <s v=""/>
    <s v=""/>
    <m/>
    <m/>
    <m/>
    <m/>
    <m/>
    <m/>
    <b v="0"/>
    <b v="0"/>
    <n v="0"/>
    <n v="0.18"/>
    <n v="0"/>
    <s v=""/>
    <s v=""/>
    <s v=""/>
    <s v=""/>
    <n v="0"/>
    <n v="0"/>
    <s v=""/>
    <n v="0"/>
    <m/>
    <n v="0"/>
    <n v="0"/>
    <s v=""/>
    <m/>
    <m/>
    <s v=""/>
    <m/>
    <s v=""/>
    <s v=""/>
    <s v=""/>
    <m/>
    <m/>
    <s v=""/>
    <s v=""/>
    <s v=""/>
    <s v=""/>
    <s v=""/>
    <s v=""/>
    <m/>
    <m/>
    <s v=""/>
    <s v=""/>
    <s v=""/>
    <s v=""/>
    <m/>
    <m/>
    <m/>
    <m/>
    <m/>
    <m/>
    <n v="0"/>
    <s v=""/>
    <s v=""/>
    <s v=""/>
    <s v=""/>
    <n v="0"/>
    <s v=""/>
    <s v=""/>
    <s v=""/>
    <s v=""/>
    <s v=""/>
    <s v=""/>
    <s v=""/>
    <m/>
    <s v=""/>
    <m/>
    <s v=""/>
    <s v=""/>
    <s v=""/>
    <n v="0"/>
    <s v=""/>
    <n v="0"/>
    <m/>
    <m/>
    <m/>
    <m/>
    <m/>
    <m/>
    <b v="0"/>
    <b v="0"/>
    <m/>
    <s v=""/>
    <s v=""/>
    <n v="0"/>
    <s v=""/>
    <s v=""/>
    <n v="0"/>
    <m/>
    <m/>
    <m/>
    <n v="0"/>
    <m/>
    <s v=""/>
    <s v=""/>
    <n v="0"/>
    <n v="0"/>
    <m/>
    <s v=""/>
    <s v=""/>
    <s v=""/>
    <s v=""/>
    <s v=""/>
    <s v=""/>
    <s v=""/>
    <s v=""/>
    <s v=""/>
    <n v="0"/>
    <s v=""/>
    <s v=""/>
    <s v=""/>
    <s v=""/>
    <s v=""/>
    <s v=""/>
    <s v=""/>
    <s v=""/>
    <n v="0"/>
    <n v="144.36199999999999"/>
    <n v="264.51749999999998"/>
    <m/>
    <m/>
    <n v="0"/>
    <s v=""/>
    <n v="0"/>
    <s v=""/>
    <s v="{CAEACB77-850F-4D60-95E8-CC22F144E4D9}"/>
    <s v=""/>
    <s v=""/>
    <s v=""/>
    <s v=""/>
    <s v=""/>
    <s v=""/>
    <s v=""/>
    <s v=""/>
    <s v=""/>
    <s v=""/>
    <x v="0"/>
    <s v=""/>
  </r>
  <r>
    <s v="CRON"/>
    <n v="2.78"/>
    <s v="Swing"/>
    <n v="2.363"/>
    <x v="15"/>
    <x v="3"/>
    <m/>
    <d v="2022-08-09T07:30:00"/>
    <d v="2022-08-09T07:30:00"/>
    <m/>
    <m/>
    <m/>
    <m/>
    <m/>
    <m/>
    <m/>
    <s v=""/>
    <n v="0"/>
    <n v="0"/>
    <s v=""/>
    <m/>
    <m/>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5.4209999999999994"/>
    <m/>
    <m/>
    <n v="0"/>
    <s v=""/>
    <n v="0"/>
    <s v=""/>
    <s v="{A43965DD-60CA-41F4-BBA3-674716E1B326}"/>
    <s v=""/>
    <s v=""/>
    <s v=""/>
    <s v=""/>
    <s v=""/>
    <s v=""/>
    <s v=""/>
    <s v=""/>
    <s v=""/>
    <s v=""/>
    <x v="0"/>
    <s v=""/>
  </r>
  <r>
    <s v="CROX"/>
    <n v="136.19999999999999"/>
    <s v="Wheel"/>
    <n v="115.76999999999998"/>
    <x v="65"/>
    <x v="1"/>
    <m/>
    <d v="2023-05-18T07:00:00"/>
    <d v="2023-05-18T07:00:00"/>
    <m/>
    <m/>
    <m/>
    <m/>
    <m/>
    <m/>
    <m/>
    <s v=""/>
    <n v="0"/>
    <n v="0"/>
    <s v=""/>
    <m/>
    <m/>
    <s v=""/>
    <s v=""/>
    <s v=""/>
    <s v=""/>
    <s v=""/>
    <m/>
    <m/>
    <n v="0"/>
    <n v="0"/>
    <n v="0"/>
    <m/>
    <m/>
    <n v="150.33000000000001"/>
    <s v=""/>
    <s v=""/>
    <n v="0"/>
    <n v="0"/>
    <n v="0.10374449339207067"/>
    <n v="119"/>
    <s v="free money"/>
    <n v="119"/>
    <s v="Assignment"/>
    <s v="SPs"/>
    <s v=""/>
    <m/>
    <m/>
    <m/>
    <s v=""/>
    <s v=""/>
    <n v="116.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2.8135"/>
    <n v="265.58999999999997"/>
    <m/>
    <m/>
    <n v="0"/>
    <s v=""/>
    <n v="0"/>
    <s v=""/>
    <m/>
    <s v=""/>
    <s v=""/>
    <s v=""/>
    <s v=""/>
    <s v=""/>
    <s v=""/>
    <s v=""/>
    <s v=""/>
    <s v=""/>
    <s v=""/>
    <x v="0"/>
    <s v=""/>
  </r>
  <r>
    <s v="BTG_3"/>
    <n v="3.95"/>
    <s v="Position"/>
    <n v="3.3574999999999999"/>
    <x v="12"/>
    <x v="0"/>
    <m/>
    <m/>
    <m/>
    <m/>
    <m/>
    <m/>
    <m/>
    <m/>
    <m/>
    <m/>
    <s v=""/>
    <n v="0"/>
    <n v="0"/>
    <s v=""/>
    <m/>
    <m/>
    <s v=""/>
    <s v=""/>
    <s v=""/>
    <s v=""/>
    <s v=""/>
    <m/>
    <m/>
    <n v="0"/>
    <n v="0"/>
    <n v="0"/>
    <m/>
    <m/>
    <m/>
    <s v=""/>
    <s v=""/>
    <n v="0"/>
    <n v="0"/>
    <s v=""/>
    <n v="4"/>
    <s v="assignment"/>
    <n v="2"/>
    <s v="LowerLeg"/>
    <s v="BuCS"/>
    <s v=""/>
    <m/>
    <m/>
    <m/>
    <s v=""/>
    <s v=""/>
    <n v="0.19"/>
    <m/>
    <s v=""/>
    <m/>
    <m/>
    <m/>
    <m/>
    <m/>
    <m/>
    <n v="0"/>
    <n v="0"/>
    <m/>
    <s v=""/>
    <s v=""/>
    <s v=""/>
    <s v=""/>
    <m/>
    <m/>
    <m/>
    <m/>
    <m/>
    <m/>
    <b v="0"/>
    <b v="0"/>
    <n v="0"/>
    <m/>
    <n v="0"/>
    <s v=""/>
    <s v=""/>
    <s v=""/>
    <s v=""/>
    <n v="0"/>
    <n v="0"/>
    <s v=""/>
    <n v="0"/>
    <n v="0.8"/>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7.7025000000000006"/>
    <m/>
    <m/>
    <n v="0"/>
    <s v=""/>
    <n v="0"/>
    <s v=""/>
    <s v="{D69D2DDF-123D-4FAB-B22B-18A698ACEA33}"/>
    <s v=""/>
    <s v=""/>
    <s v=""/>
    <s v=""/>
    <s v=""/>
    <s v=""/>
    <s v=""/>
    <s v=""/>
    <s v=""/>
    <s v=""/>
    <x v="0"/>
    <s v=""/>
  </r>
  <r>
    <s v="CRWV"/>
    <n v="82.64"/>
    <m/>
    <n v="70.244"/>
    <x v="9"/>
    <x v="2"/>
    <m/>
    <m/>
    <m/>
    <m/>
    <m/>
    <m/>
    <m/>
    <m/>
    <m/>
    <m/>
    <s v=""/>
    <n v="0"/>
    <n v="0"/>
    <s v=""/>
    <m/>
    <m/>
    <s v=""/>
    <s v=""/>
    <s v=""/>
    <s v=""/>
    <s v=""/>
    <m/>
    <m/>
    <n v="0"/>
    <n v="0"/>
    <n v="0"/>
    <m/>
    <m/>
    <m/>
    <s v=""/>
    <s v=""/>
    <n v="0"/>
    <n v="0"/>
    <s v=""/>
    <m/>
    <m/>
    <m/>
    <m/>
    <m/>
    <s v=""/>
    <m/>
    <m/>
    <m/>
    <s v=""/>
    <s v=""/>
    <n v="136.15"/>
    <s v="152 &gt;= SC's"/>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61.148"/>
    <m/>
    <m/>
    <n v="0"/>
    <s v=""/>
    <n v="0"/>
    <s v=""/>
    <m/>
    <s v=""/>
    <s v=""/>
    <s v=""/>
    <s v=""/>
    <s v=""/>
    <s v=""/>
    <s v=""/>
    <s v=""/>
    <s v=""/>
    <s v=""/>
    <x v="0"/>
    <s v=""/>
  </r>
  <r>
    <s v="CS"/>
    <n v="11.58"/>
    <m/>
    <n v="9.843"/>
    <x v="66"/>
    <x v="8"/>
    <m/>
    <d v="2022-07-27T00:00:00"/>
    <d v="2022-07-27T00:00:00"/>
    <m/>
    <m/>
    <m/>
    <m/>
    <m/>
    <m/>
    <m/>
    <s v=""/>
    <n v="0"/>
    <n v="0"/>
    <s v=""/>
    <m/>
    <m/>
    <s v=""/>
    <s v=""/>
    <s v=""/>
    <s v=""/>
    <s v=""/>
    <n v="0.72"/>
    <d v="2017-06-13T00:00:00"/>
    <n v="0"/>
    <n v="0"/>
    <n v="6.2176165803108807E-2"/>
    <d v="2017-05-08T00:00:00"/>
    <m/>
    <n v="11.2"/>
    <s v=""/>
    <s v=""/>
    <n v="0"/>
    <n v="0"/>
    <n v="-3.2815198618307492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639999999999999"/>
    <n v="22.581"/>
    <m/>
    <m/>
    <n v="0"/>
    <s v=""/>
    <n v="0"/>
    <s v=""/>
    <s v="{D356279B-CBDB-4B63-8619-D6CF3150F3F0}"/>
    <s v=""/>
    <s v=""/>
    <s v=""/>
    <s v=""/>
    <s v=""/>
    <s v=""/>
    <s v=""/>
    <s v=""/>
    <s v=""/>
    <s v=""/>
    <x v="0"/>
    <s v=""/>
  </r>
  <r>
    <s v="CSCO"/>
    <n v="112.21"/>
    <s v="LT"/>
    <n v="95.378499999999988"/>
    <x v="26"/>
    <x v="2"/>
    <m/>
    <d v="2022-08-17T16:05:00"/>
    <d v="2022-08-17T16:05:00"/>
    <m/>
    <m/>
    <m/>
    <m/>
    <n v="1"/>
    <m/>
    <m/>
    <s v=""/>
    <n v="0"/>
    <n v="0"/>
    <s v=""/>
    <m/>
    <m/>
    <s v=""/>
    <s v=""/>
    <s v=""/>
    <s v=""/>
    <s v=""/>
    <n v="1.4"/>
    <d v="2019-01-23T00:00:00"/>
    <n v="0"/>
    <n v="0"/>
    <n v="1.2476606363069244E-2"/>
    <d v="2020-01-03T00:00:00"/>
    <n v="56"/>
    <n v="49.35"/>
    <n v="-0.50093574547723019"/>
    <s v=""/>
    <n v="0"/>
    <n v="0"/>
    <n v="-0.56019962570180903"/>
    <n v="47.5"/>
    <s v="free money"/>
    <n v="47.5"/>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6.8825"/>
    <n v="218.80949999999999"/>
    <m/>
    <m/>
    <n v="0"/>
    <s v=""/>
    <n v="0"/>
    <s v=""/>
    <s v="{9EFF860A-7DEB-463C-9634-31FD817552E2}"/>
    <s v=""/>
    <s v=""/>
    <s v=""/>
    <s v=""/>
    <s v=""/>
    <s v=""/>
    <s v=""/>
    <s v=""/>
    <s v=""/>
    <s v=""/>
    <x v="0"/>
    <s v=""/>
  </r>
  <r>
    <s v="CSFL"/>
    <n v="22.96"/>
    <m/>
    <n v="19.516000000000002"/>
    <x v="67"/>
    <x v="8"/>
    <m/>
    <d v="2022-08-17T16:05:00"/>
    <d v="2022-08-17T16:05:00"/>
    <m/>
    <m/>
    <m/>
    <m/>
    <m/>
    <m/>
    <m/>
    <s v=""/>
    <n v="0"/>
    <n v="0"/>
    <s v=""/>
    <m/>
    <m/>
    <s v=""/>
    <s v=""/>
    <s v=""/>
    <s v=""/>
    <s v=""/>
    <n v="0.08"/>
    <d v="2015-12-30T00:00:00"/>
    <n v="0"/>
    <n v="0"/>
    <n v="3.4843205574912892E-3"/>
    <d v="2015-09-09T00:00:00"/>
    <m/>
    <n v="16"/>
    <s v=""/>
    <s v=""/>
    <n v="0"/>
    <n v="0"/>
    <n v="-0.3031358885017421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2"/>
    <n v="44.771999999999998"/>
    <m/>
    <m/>
    <n v="0"/>
    <s v=""/>
    <n v="0"/>
    <s v=""/>
    <s v="{FF8D6851-C9D1-4A34-A61E-57C2B3C02FB8}"/>
    <s v=""/>
    <s v=""/>
    <s v=""/>
    <s v=""/>
    <s v=""/>
    <s v=""/>
    <s v=""/>
    <s v=""/>
    <s v=""/>
    <s v=""/>
    <x v="0"/>
    <s v=""/>
  </r>
  <r>
    <s v="CTVA"/>
    <n v="88.53"/>
    <m/>
    <n v="75.250500000000002"/>
    <x v="68"/>
    <x v="0"/>
    <m/>
    <d v="2022-08-03T17:00:00"/>
    <d v="2022-08-03T17:00:00"/>
    <m/>
    <s v="file form 10s for breakup entities"/>
    <m/>
    <b v="1"/>
    <n v="3"/>
    <m/>
    <m/>
    <s v=""/>
    <n v="0"/>
    <n v="0"/>
    <s v=""/>
    <m/>
    <m/>
    <s v=""/>
    <s v=""/>
    <s v=""/>
    <s v=""/>
    <s v=""/>
    <m/>
    <m/>
    <n v="0"/>
    <n v="0"/>
    <n v="0"/>
    <d v="2019-08-28T00:00:00"/>
    <n v="70"/>
    <n v="31.35"/>
    <n v="-0.20930757935163222"/>
    <s v=""/>
    <n v="0"/>
    <n v="0"/>
    <n v="-0.64588275160962383"/>
    <n v="180"/>
    <s v="ITM"/>
    <n v="160"/>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9.782499999999999"/>
    <n v="172.6335"/>
    <m/>
    <m/>
    <n v="0"/>
    <s v=""/>
    <n v="0"/>
    <s v=""/>
    <s v="{B0B975CA-30DF-4F94-B0DC-C330BF1528F7}"/>
    <s v=""/>
    <s v=""/>
    <s v=""/>
    <s v=""/>
    <s v=""/>
    <s v=""/>
    <s v=""/>
    <s v=""/>
    <s v=""/>
    <s v=""/>
    <x v="0"/>
    <s v=""/>
  </r>
  <r>
    <s v="AVGO"/>
    <n v="396.81"/>
    <m/>
    <n v="337.2885"/>
    <x v="5"/>
    <x v="2"/>
    <m/>
    <d v="2022-08-25T07:00:00"/>
    <d v="2022-08-25T07:00:00"/>
    <m/>
    <m/>
    <n v="2"/>
    <b v="1"/>
    <n v="2"/>
    <m/>
    <m/>
    <s v=""/>
    <n v="0"/>
    <n v="0"/>
    <s v=""/>
    <m/>
    <m/>
    <s v=""/>
    <s v=""/>
    <s v=""/>
    <s v=""/>
    <s v=""/>
    <n v="4.08"/>
    <d v="2017-09-30T00:00:00"/>
    <n v="0"/>
    <n v="0"/>
    <n v="1.0281998941558932E-2"/>
    <d v="2018-06-15T00:00:00"/>
    <n v="345"/>
    <n v="476.54"/>
    <n v="-0.13056626597111967"/>
    <s v=""/>
    <n v="0"/>
    <n v="0"/>
    <n v="0.20092739598296419"/>
    <n v="8"/>
    <s v="assignment"/>
    <n v="8"/>
    <s v="free money"/>
    <s v="CCs"/>
    <s v=""/>
    <m/>
    <m/>
    <m/>
    <s v=""/>
    <s v=""/>
    <n v="232.5"/>
    <m/>
    <s v=""/>
    <m/>
    <m/>
    <m/>
    <m/>
    <m/>
    <m/>
    <n v="0"/>
    <n v="0"/>
    <m/>
    <s v=""/>
    <s v=""/>
    <s v=""/>
    <s v=""/>
    <m/>
    <m/>
    <m/>
    <m/>
    <m/>
    <m/>
    <b v="0"/>
    <b v="0"/>
    <n v="0"/>
    <m/>
    <n v="0"/>
    <s v=""/>
    <s v=""/>
    <s v=""/>
    <s v=""/>
    <n v="0"/>
    <n v="0"/>
    <s v=""/>
    <n v="0"/>
    <m/>
    <n v="0"/>
    <n v="0"/>
    <s v=""/>
    <n v="0.4"/>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52.71300000000002"/>
    <n v="773.77949999999998"/>
    <m/>
    <m/>
    <n v="0"/>
    <s v=""/>
    <n v="0"/>
    <s v=""/>
    <s v="{3550435D-00A9-4C21-8103-D8D6BFD4D11E}"/>
    <s v=""/>
    <s v=""/>
    <s v=""/>
    <s v=""/>
    <s v=""/>
    <s v=""/>
    <s v=""/>
    <s v=""/>
    <s v=""/>
    <s v=""/>
    <x v="0"/>
    <s v=""/>
  </r>
  <r>
    <s v="CVX"/>
    <n v="192.98"/>
    <s v="Prem"/>
    <n v="164.03299999999999"/>
    <x v="38"/>
    <x v="10"/>
    <m/>
    <d v="2024-01-27T00:00:00"/>
    <d v="2023-07-28T06:15:00"/>
    <m/>
    <m/>
    <m/>
    <m/>
    <m/>
    <m/>
    <m/>
    <s v=""/>
    <n v="0"/>
    <n v="0"/>
    <s v=""/>
    <n v="200"/>
    <n v="171.45"/>
    <s v=""/>
    <s v=""/>
    <s v=""/>
    <s v=""/>
    <s v=""/>
    <n v="4.28"/>
    <d v="2015-12-10T00:00:00"/>
    <n v="0"/>
    <n v="0"/>
    <n v="2.2178464089542962E-2"/>
    <d v="2022-08-18T00:00:00"/>
    <m/>
    <n v="195"/>
    <s v=""/>
    <s v=""/>
    <n v="0"/>
    <n v="0"/>
    <n v="1.0467405948803039E-2"/>
    <n v="162.5"/>
    <s v="assignment"/>
    <n v="145"/>
    <s v="Assignment"/>
    <s v="Strangle"/>
    <s v=""/>
    <m/>
    <m/>
    <m/>
    <s v=""/>
    <s v=""/>
    <n v="147.3899999999999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5.25"/>
    <n v="376.31099999999998"/>
    <m/>
    <m/>
    <n v="0"/>
    <s v=""/>
    <n v="0"/>
    <s v=""/>
    <s v="{C081F489-44A7-40A0-A4CB-B6C714459884}"/>
    <s v=""/>
    <s v=""/>
    <s v=""/>
    <s v=""/>
    <s v=""/>
    <s v=""/>
    <s v=""/>
    <s v=""/>
    <s v=""/>
    <s v=""/>
    <x v="0"/>
    <s v=""/>
  </r>
  <r>
    <s v="CWST"/>
    <n v="90.43"/>
    <m/>
    <n v="76.865499999999997"/>
    <x v="69"/>
    <x v="7"/>
    <m/>
    <m/>
    <m/>
    <m/>
    <m/>
    <m/>
    <m/>
    <m/>
    <m/>
    <m/>
    <s v=""/>
    <n v="0"/>
    <n v="0"/>
    <s v=""/>
    <n v="115.75"/>
    <n v="99.95"/>
    <s v=""/>
    <s v=""/>
    <s v=""/>
    <s v=""/>
    <s v=""/>
    <m/>
    <m/>
    <n v="0"/>
    <n v="0"/>
    <n v="0"/>
    <m/>
    <m/>
    <m/>
    <s v=""/>
    <s v=""/>
    <n v="0"/>
    <n v="0"/>
    <s v=""/>
    <m/>
    <m/>
    <m/>
    <m/>
    <m/>
    <s v=""/>
    <m/>
    <m/>
    <m/>
    <s v=""/>
    <s v=""/>
    <n v="106.5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0"/>
    <n v="176.33850000000001"/>
    <m/>
    <m/>
    <n v="0"/>
    <s v=""/>
    <n v="0"/>
    <s v=""/>
    <m/>
    <s v=""/>
    <s v=""/>
    <s v=""/>
    <s v=""/>
    <s v=""/>
    <s v=""/>
    <s v=""/>
    <s v=""/>
    <s v=""/>
    <s v=""/>
    <x v="0"/>
    <s v=""/>
  </r>
  <r>
    <s v="CZR"/>
    <n v="29.94"/>
    <s v="Swing"/>
    <n v="25.449000000000002"/>
    <x v="50"/>
    <x v="1"/>
    <m/>
    <d v="2022-08-02T16:00:00"/>
    <d v="2022-08-02T16:00:00"/>
    <m/>
    <m/>
    <m/>
    <m/>
    <m/>
    <m/>
    <m/>
    <s v=""/>
    <n v="0"/>
    <n v="0"/>
    <s v=""/>
    <n v="100"/>
    <n v="86.17"/>
    <s v=""/>
    <s v=""/>
    <s v=""/>
    <s v=""/>
    <s v=""/>
    <m/>
    <m/>
    <n v="0"/>
    <n v="0"/>
    <n v="0"/>
    <m/>
    <m/>
    <n v="102.64"/>
    <s v=""/>
    <s v=""/>
    <n v="0"/>
    <n v="0"/>
    <n v="2.4281897127588512"/>
    <n v="94"/>
    <s v="assignment"/>
    <n v="86.5"/>
    <s v="stop out"/>
    <s v="CCs"/>
    <s v=""/>
    <m/>
    <m/>
    <m/>
    <s v=""/>
    <s v=""/>
    <n v="79.2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7.507999999999996"/>
    <n v="58.383000000000003"/>
    <m/>
    <m/>
    <n v="0"/>
    <s v=""/>
    <n v="0"/>
    <s v=""/>
    <m/>
    <s v=""/>
    <s v=""/>
    <s v=""/>
    <s v=""/>
    <s v=""/>
    <s v=""/>
    <s v=""/>
    <s v=""/>
    <s v=""/>
    <s v=""/>
    <x v="0"/>
    <s v=""/>
  </r>
  <r>
    <s v="DAL"/>
    <n v="83.52"/>
    <m/>
    <n v="70.99199999999999"/>
    <x v="70"/>
    <x v="14"/>
    <m/>
    <d v="2022-07-13T06:30:00"/>
    <d v="2022-07-13T06:30:00"/>
    <m/>
    <m/>
    <m/>
    <m/>
    <m/>
    <m/>
    <m/>
    <s v=""/>
    <n v="0"/>
    <n v="0"/>
    <s v=""/>
    <m/>
    <m/>
    <s v=""/>
    <s v=""/>
    <s v=""/>
    <s v=""/>
    <s v=""/>
    <n v="0.54"/>
    <d v="2016-06-09T00:00:00"/>
    <n v="0"/>
    <n v="0"/>
    <n v="6.4655172413793111E-3"/>
    <d v="2016-05-10T00:00:00"/>
    <m/>
    <n v="60"/>
    <s v=""/>
    <s v=""/>
    <n v="0"/>
    <n v="0"/>
    <n v="-0.28160919540229884"/>
    <n v="39.5"/>
    <s v="StopOut"/>
    <n v="36.200000000000003"/>
    <s v="T1"/>
    <s v="PutsLong"/>
    <s v=""/>
    <m/>
    <m/>
    <m/>
    <s v=""/>
    <s v=""/>
    <n v="2.180000000000000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7"/>
    <n v="162.86399999999998"/>
    <m/>
    <m/>
    <n v="0"/>
    <s v=""/>
    <n v="0"/>
    <s v=""/>
    <s v="{584F06BA-38CE-42AA-B963-A3A3972E09DF}"/>
    <s v=""/>
    <s v=""/>
    <s v=""/>
    <s v=""/>
    <s v=""/>
    <s v=""/>
    <s v=""/>
    <s v=""/>
    <s v=""/>
    <s v=""/>
    <x v="0"/>
    <s v=""/>
  </r>
  <r>
    <s v="ABT"/>
    <n v="100.57"/>
    <m/>
    <n v="85.484499999999997"/>
    <x v="71"/>
    <x v="3"/>
    <m/>
    <d v="2022-07-20T07:30:00"/>
    <d v="2022-07-20T07:30:00"/>
    <m/>
    <m/>
    <n v="2"/>
    <m/>
    <m/>
    <m/>
    <m/>
    <s v=""/>
    <n v="0"/>
    <n v="0"/>
    <s v=""/>
    <m/>
    <m/>
    <s v=""/>
    <s v=""/>
    <s v=""/>
    <s v=""/>
    <s v=""/>
    <n v="1.32"/>
    <d v="2017-08-15T00:00:00"/>
    <n v="0"/>
    <n v="0"/>
    <n v="1.3125186437307349E-2"/>
    <d v="2020-01-11T00:00:00"/>
    <n v="110"/>
    <n v="134.88"/>
    <n v="9.3765536442279085E-2"/>
    <s v=""/>
    <n v="0"/>
    <n v="0"/>
    <n v="0.3411554141394054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8.136"/>
    <n v="196.11149999999998"/>
    <m/>
    <m/>
    <n v="0"/>
    <s v=""/>
    <n v="0"/>
    <s v=""/>
    <s v="{63689E7E-E462-4BCB-BDB7-96B3D19B15BF}"/>
    <s v=""/>
    <s v=""/>
    <s v=""/>
    <s v=""/>
    <s v=""/>
    <s v=""/>
    <s v=""/>
    <s v=""/>
    <s v=""/>
    <s v=""/>
    <x v="0"/>
    <s v=""/>
  </r>
  <r>
    <s v="DDOG"/>
    <n v="245.77"/>
    <m/>
    <n v="208.90450000000001"/>
    <x v="11"/>
    <x v="2"/>
    <m/>
    <d v="2022-08-04T07:00:00"/>
    <d v="2022-08-04T07:00:00"/>
    <m/>
    <m/>
    <m/>
    <m/>
    <m/>
    <m/>
    <m/>
    <s v=""/>
    <n v="0"/>
    <n v="0"/>
    <s v=""/>
    <n v="130"/>
    <n v="110.5"/>
    <s v=""/>
    <s v=""/>
    <s v=""/>
    <s v=""/>
    <s v=""/>
    <m/>
    <m/>
    <n v="0"/>
    <n v="0"/>
    <n v="0"/>
    <m/>
    <m/>
    <n v="95.93"/>
    <s v=""/>
    <s v=""/>
    <n v="0"/>
    <n v="0"/>
    <n v="-0.6096757130650608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1.133499999999998"/>
    <n v="479.25150000000002"/>
    <m/>
    <m/>
    <n v="0"/>
    <s v=""/>
    <n v="0"/>
    <s v=""/>
    <m/>
    <s v=""/>
    <s v=""/>
    <s v=""/>
    <s v=""/>
    <s v=""/>
    <s v=""/>
    <s v=""/>
    <s v=""/>
    <s v=""/>
    <s v=""/>
    <x v="0"/>
    <s v=""/>
  </r>
  <r>
    <s v="DE"/>
    <n v="607.33000000000004"/>
    <s v="Swing"/>
    <n v="516.23050000000001"/>
    <x v="72"/>
    <x v="15"/>
    <m/>
    <d v="2022-08-19T06:45:00"/>
    <d v="2022-08-19T06:45:00"/>
    <s v="Confirmed"/>
    <m/>
    <m/>
    <m/>
    <m/>
    <m/>
    <m/>
    <s v=""/>
    <n v="0"/>
    <n v="0"/>
    <s v=""/>
    <n v="430"/>
    <n v="406.95"/>
    <s v=""/>
    <s v=""/>
    <s v=""/>
    <s v=""/>
    <s v=""/>
    <m/>
    <m/>
    <n v="0"/>
    <n v="0"/>
    <n v="0"/>
    <m/>
    <m/>
    <n v="437.3"/>
    <s v=""/>
    <s v=""/>
    <n v="0"/>
    <n v="0"/>
    <n v="-0.27996311725091799"/>
    <n v="340"/>
    <s v="assignment"/>
    <n v="340"/>
    <s v="free money"/>
    <s v="CCs"/>
    <s v=""/>
    <m/>
    <m/>
    <m/>
    <s v=""/>
    <s v=""/>
    <n v="401.2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15.435"/>
    <n v="1184.2935"/>
    <m/>
    <m/>
    <n v="0"/>
    <s v=""/>
    <n v="0"/>
    <s v=""/>
    <s v="{330D127F-6D8A-49DB-ACE2-CBDADB741FE2}"/>
    <s v=""/>
    <s v=""/>
    <s v=""/>
    <s v=""/>
    <s v=""/>
    <s v=""/>
    <s v=""/>
    <s v=""/>
    <s v=""/>
    <s v=""/>
    <x v="0"/>
    <s v=""/>
  </r>
  <r>
    <s v="DECK"/>
    <n v="102.47"/>
    <m/>
    <n v="87.099499999999992"/>
    <x v="73"/>
    <x v="16"/>
    <m/>
    <m/>
    <m/>
    <m/>
    <m/>
    <m/>
    <m/>
    <m/>
    <m/>
    <m/>
    <s v=""/>
    <n v="0"/>
    <n v="0"/>
    <s v=""/>
    <m/>
    <m/>
    <s v=""/>
    <s v=""/>
    <s v=""/>
    <s v=""/>
    <s v=""/>
    <m/>
    <m/>
    <n v="0"/>
    <n v="0"/>
    <n v="0"/>
    <m/>
    <m/>
    <m/>
    <s v=""/>
    <s v=""/>
    <n v="0"/>
    <n v="0"/>
    <s v=""/>
    <m/>
    <m/>
    <m/>
    <m/>
    <m/>
    <s v=""/>
    <m/>
    <m/>
    <m/>
    <s v=""/>
    <s v=""/>
    <n v="94.5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99.81649999999999"/>
    <m/>
    <m/>
    <n v="0"/>
    <s v=""/>
    <n v="0"/>
    <s v=""/>
    <m/>
    <s v=""/>
    <s v=""/>
    <s v=""/>
    <s v=""/>
    <s v=""/>
    <s v=""/>
    <s v=""/>
    <s v=""/>
    <s v=""/>
    <s v=""/>
    <x v="0"/>
    <s v=""/>
  </r>
  <r>
    <s v="BTG_2"/>
    <n v="3.95"/>
    <s v="Position"/>
    <n v="3.3574999999999999"/>
    <x v="12"/>
    <x v="0"/>
    <m/>
    <m/>
    <m/>
    <m/>
    <m/>
    <m/>
    <m/>
    <m/>
    <m/>
    <m/>
    <s v=""/>
    <n v="0"/>
    <n v="0"/>
    <s v=""/>
    <m/>
    <m/>
    <s v=""/>
    <s v=""/>
    <s v=""/>
    <s v=""/>
    <s v=""/>
    <m/>
    <m/>
    <n v="0"/>
    <n v="0"/>
    <n v="0"/>
    <m/>
    <m/>
    <m/>
    <s v=""/>
    <s v=""/>
    <n v="0"/>
    <n v="0"/>
    <s v=""/>
    <n v="4"/>
    <s v="assignment"/>
    <n v="2"/>
    <s v="LowerLeg"/>
    <s v="BuCS"/>
    <s v=""/>
    <m/>
    <m/>
    <m/>
    <s v=""/>
    <s v=""/>
    <n v="0.19"/>
    <m/>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n v="0.17"/>
    <b v="0"/>
    <b v="0"/>
    <m/>
    <s v=""/>
    <s v=""/>
    <n v="0"/>
    <n v="3.7800000000000002"/>
    <s v=""/>
    <n v="0"/>
    <m/>
    <m/>
    <m/>
    <n v="0"/>
    <m/>
    <s v=""/>
    <s v=""/>
    <n v="0"/>
    <n v="0"/>
    <m/>
    <s v=""/>
    <s v=""/>
    <s v=""/>
    <s v=""/>
    <s v=""/>
    <s v=""/>
    <s v=""/>
    <s v=""/>
    <s v=""/>
    <n v="0"/>
    <s v=""/>
    <s v=""/>
    <s v=""/>
    <s v=""/>
    <s v=""/>
    <s v=""/>
    <s v=""/>
    <s v=""/>
    <n v="0"/>
    <n v="0"/>
    <n v="7.7025000000000006"/>
    <m/>
    <m/>
    <n v="0"/>
    <s v=""/>
    <n v="0"/>
    <s v=""/>
    <s v="{50E1D342-378B-494E-8E67-BCA9C2F2BE77}"/>
    <s v=""/>
    <s v=""/>
    <s v=""/>
    <s v=""/>
    <s v=""/>
    <s v=""/>
    <s v=""/>
    <s v=""/>
    <s v=""/>
    <s v=""/>
    <x v="0"/>
    <s v=""/>
  </r>
  <r>
    <s v="AMAT"/>
    <n v="553.91999999999996"/>
    <m/>
    <n v="470.83199999999994"/>
    <x v="7"/>
    <x v="2"/>
    <m/>
    <d v="2022-08-18T16:00:00"/>
    <d v="2022-08-18T16:00:00"/>
    <m/>
    <m/>
    <m/>
    <m/>
    <m/>
    <m/>
    <m/>
    <s v=""/>
    <n v="0"/>
    <n v="0"/>
    <s v=""/>
    <n v="270"/>
    <n v="196.4"/>
    <s v=""/>
    <s v=""/>
    <s v=""/>
    <s v=""/>
    <s v=""/>
    <m/>
    <m/>
    <n v="0"/>
    <n v="0"/>
    <n v="0"/>
    <m/>
    <m/>
    <n v="115.32"/>
    <s v=""/>
    <s v=""/>
    <n v="0"/>
    <n v="0"/>
    <n v="-0.79181109185441945"/>
    <n v="8"/>
    <s v="assignment"/>
    <n v="8"/>
    <s v="free money"/>
    <s v="EquityOnly"/>
    <s v=""/>
    <m/>
    <m/>
    <m/>
    <s v=""/>
    <s v=""/>
    <n v="350.7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9.55399999999999"/>
    <n v="1080.144"/>
    <m/>
    <m/>
    <n v="0"/>
    <s v=""/>
    <n v="0"/>
    <s v=""/>
    <s v="{A7F1FC24-F58D-4086-8DAF-411A6BA77975}"/>
    <s v=""/>
    <s v=""/>
    <s v=""/>
    <s v=""/>
    <s v=""/>
    <s v=""/>
    <s v=""/>
    <s v=""/>
    <s v=""/>
    <m/>
    <x v="0"/>
    <s v=""/>
  </r>
  <r>
    <s v="BOIL"/>
    <n v="22.85"/>
    <s v="Swing"/>
    <n v="19.422499999999999"/>
    <x v="35"/>
    <x v="8"/>
    <m/>
    <m/>
    <m/>
    <m/>
    <m/>
    <m/>
    <m/>
    <m/>
    <m/>
    <m/>
    <s v=""/>
    <n v="0"/>
    <n v="0"/>
    <s v=""/>
    <m/>
    <m/>
    <s v=""/>
    <s v=""/>
    <s v=""/>
    <s v=""/>
    <s v=""/>
    <m/>
    <m/>
    <n v="0"/>
    <n v="0"/>
    <n v="0"/>
    <m/>
    <m/>
    <m/>
    <s v=""/>
    <s v=""/>
    <n v="0"/>
    <n v="0"/>
    <s v=""/>
    <m/>
    <s v="assignment"/>
    <m/>
    <s v="free money"/>
    <s v="CCs"/>
    <s v=""/>
    <m/>
    <m/>
    <m/>
    <s v=""/>
    <s v=""/>
    <n v="72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4.557500000000005"/>
    <m/>
    <m/>
    <n v="0"/>
    <s v=""/>
    <n v="0"/>
    <s v=""/>
    <s v="{7C470A51-6B87-49F5-9B36-032BFDB84613}"/>
    <s v=""/>
    <s v=""/>
    <s v=""/>
    <s v=""/>
    <s v=""/>
    <s v=""/>
    <s v=""/>
    <s v=""/>
    <s v=""/>
    <s v=""/>
    <x v="0"/>
    <s v=""/>
  </r>
  <r>
    <s v="DELL"/>
    <n v="441.8"/>
    <m/>
    <n v="375.53"/>
    <x v="20"/>
    <x v="2"/>
    <m/>
    <m/>
    <m/>
    <m/>
    <m/>
    <m/>
    <m/>
    <m/>
    <m/>
    <m/>
    <s v=""/>
    <n v="0"/>
    <n v="0"/>
    <s v=""/>
    <n v="135"/>
    <n v="121.7"/>
    <s v=""/>
    <s v=""/>
    <s v=""/>
    <s v=""/>
    <s v=""/>
    <m/>
    <m/>
    <n v="0"/>
    <n v="0"/>
    <n v="0"/>
    <m/>
    <m/>
    <m/>
    <s v=""/>
    <s v=""/>
    <n v="0"/>
    <n v="0"/>
    <s v=""/>
    <n v="135"/>
    <s v="T1"/>
    <n v="121.7"/>
    <s v="stop out"/>
    <s v="EquityOnly"/>
    <s v=""/>
    <m/>
    <m/>
    <m/>
    <s v=""/>
    <s v=""/>
    <n v="131.4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861.51"/>
    <m/>
    <m/>
    <n v="0"/>
    <s v=""/>
    <n v="0"/>
    <s v=""/>
    <m/>
    <s v=""/>
    <s v=""/>
    <s v=""/>
    <s v=""/>
    <s v=""/>
    <s v=""/>
    <s v=""/>
    <s v=""/>
    <s v=""/>
    <s v=""/>
    <x v="0"/>
    <s v=""/>
  </r>
  <r>
    <s v="DEN"/>
    <n v="85.75"/>
    <s v="Swing"/>
    <n v="72.887500000000003"/>
    <x v="22"/>
    <x v="10"/>
    <m/>
    <d v="2022-08-04T06:30:00"/>
    <d v="2022-08-04T06:30:00"/>
    <m/>
    <m/>
    <m/>
    <m/>
    <m/>
    <m/>
    <m/>
    <s v=""/>
    <n v="0"/>
    <n v="0"/>
    <s v=""/>
    <n v="100"/>
    <n v="72.900000000000006"/>
    <s v=""/>
    <s v=""/>
    <s v=""/>
    <s v=""/>
    <s v=""/>
    <m/>
    <m/>
    <n v="0"/>
    <n v="0"/>
    <n v="0"/>
    <m/>
    <m/>
    <n v="87.82"/>
    <s v=""/>
    <s v=""/>
    <n v="0"/>
    <n v="0"/>
    <n v="2.4139941690962018E-2"/>
    <m/>
    <m/>
    <m/>
    <m/>
    <m/>
    <s v=""/>
    <m/>
    <m/>
    <m/>
    <s v=""/>
    <s v=""/>
    <n v="76.40000000000000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3.428999999999988"/>
    <n v="167.21250000000001"/>
    <m/>
    <m/>
    <n v="0"/>
    <s v=""/>
    <n v="0"/>
    <s v=""/>
    <m/>
    <s v=""/>
    <s v=""/>
    <s v=""/>
    <s v=""/>
    <s v=""/>
    <s v=""/>
    <s v=""/>
    <s v=""/>
    <s v=""/>
    <s v=""/>
    <x v="0"/>
    <s v=""/>
  </r>
  <r>
    <s v="DG"/>
    <n v="120.24"/>
    <m/>
    <n v="102.20399999999999"/>
    <x v="44"/>
    <x v="14"/>
    <m/>
    <d v="2022-08-25T06:55:00"/>
    <d v="2022-08-25T06:55:00"/>
    <m/>
    <m/>
    <m/>
    <m/>
    <m/>
    <m/>
    <m/>
    <s v=""/>
    <n v="0"/>
    <n v="0"/>
    <s v=""/>
    <m/>
    <m/>
    <s v=""/>
    <s v=""/>
    <s v=""/>
    <s v=""/>
    <s v=""/>
    <n v="1"/>
    <d v="2016-12-28T00:00:00"/>
    <n v="0"/>
    <n v="0"/>
    <n v="8.3166999334664017E-3"/>
    <d v="2016-12-08T00:00:00"/>
    <m/>
    <n v="90"/>
    <s v=""/>
    <s v=""/>
    <n v="0"/>
    <n v="0"/>
    <n v="-0.25149700598802394"/>
    <n v="72.5"/>
    <s v="assignment"/>
    <n v="72.5"/>
    <s v="keep?"/>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5.5"/>
    <n v="234.46799999999999"/>
    <m/>
    <m/>
    <n v="0"/>
    <s v=""/>
    <n v="0"/>
    <s v=""/>
    <s v="{1E6F7740-2382-42CE-B896-95050ACE1FB7}"/>
    <s v=""/>
    <s v=""/>
    <s v=""/>
    <s v=""/>
    <s v=""/>
    <s v=""/>
    <s v=""/>
    <s v=""/>
    <s v=""/>
    <s v=""/>
    <x v="0"/>
    <s v=""/>
  </r>
  <r>
    <s v="DHR"/>
    <n v="179.14"/>
    <m/>
    <n v="152.26899999999998"/>
    <x v="57"/>
    <x v="15"/>
    <m/>
    <d v="2022-07-21T06:00:00"/>
    <d v="2022-07-21T06:00:00"/>
    <m/>
    <m/>
    <m/>
    <b v="1"/>
    <m/>
    <m/>
    <m/>
    <s v=""/>
    <n v="0"/>
    <n v="0"/>
    <s v=""/>
    <m/>
    <m/>
    <s v=""/>
    <s v=""/>
    <s v=""/>
    <s v=""/>
    <s v=""/>
    <n v="0.56000000000000005"/>
    <d v="2017-10-28T00:00:00"/>
    <n v="0"/>
    <n v="0"/>
    <n v="3.1260466674109641E-3"/>
    <d v="2018-06-27T00:00:00"/>
    <n v="118"/>
    <n v="154.54"/>
    <n v="-0.3412973093669755"/>
    <s v=""/>
    <n v="0"/>
    <n v="0"/>
    <n v="-0.1373227643184101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6.81299999999999"/>
    <n v="349.32299999999998"/>
    <m/>
    <m/>
    <n v="0"/>
    <s v=""/>
    <n v="0"/>
    <s v=""/>
    <s v="{2A9DFBEE-BC6A-438C-AEAB-F1993571D7B9}"/>
    <s v=""/>
    <s v=""/>
    <s v=""/>
    <s v=""/>
    <s v=""/>
    <s v=""/>
    <s v=""/>
    <s v=""/>
    <s v=""/>
    <s v=""/>
    <x v="0"/>
    <s v=""/>
  </r>
  <r>
    <s v="DIA"/>
    <n v="521.47"/>
    <s v="Position"/>
    <n v="443.24950000000001"/>
    <x v="35"/>
    <x v="8"/>
    <m/>
    <m/>
    <m/>
    <m/>
    <m/>
    <m/>
    <m/>
    <m/>
    <m/>
    <m/>
    <s v=""/>
    <n v="0"/>
    <n v="0"/>
    <s v=""/>
    <m/>
    <m/>
    <s v=""/>
    <s v=""/>
    <s v=""/>
    <s v=""/>
    <s v=""/>
    <m/>
    <m/>
    <n v="0"/>
    <n v="0"/>
    <n v="0"/>
    <m/>
    <m/>
    <m/>
    <s v=""/>
    <s v=""/>
    <n v="0"/>
    <n v="0"/>
    <s v=""/>
    <n v="335"/>
    <s v="free money"/>
    <n v="335"/>
    <s v="Assignment"/>
    <s v="SPs"/>
    <s v=""/>
    <m/>
    <m/>
    <m/>
    <s v=""/>
    <s v=""/>
    <n v="22.33"/>
    <s v="EXPIRE"/>
    <s v=""/>
    <m/>
    <m/>
    <m/>
    <m/>
    <m/>
    <m/>
    <n v="0"/>
    <n v="0"/>
    <m/>
    <s v=""/>
    <s v=""/>
    <s v=""/>
    <s v=""/>
    <m/>
    <m/>
    <m/>
    <m/>
    <m/>
    <m/>
    <b v="0"/>
    <b v="0"/>
    <n v="0"/>
    <m/>
    <n v="0"/>
    <s v=""/>
    <s v=""/>
    <s v=""/>
    <s v=""/>
    <n v="0"/>
    <n v="0"/>
    <s v=""/>
    <n v="0"/>
    <m/>
    <n v="0"/>
    <n v="0"/>
    <s v=""/>
    <m/>
    <n v="0"/>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016.8665"/>
    <m/>
    <m/>
    <n v="0"/>
    <s v=""/>
    <n v="0"/>
    <s v=""/>
    <s v="{A854D714-D429-469D-8C7F-F9DD710A7B60}"/>
    <s v=""/>
    <s v=""/>
    <s v=""/>
    <s v=""/>
    <s v=""/>
    <s v=""/>
    <s v=""/>
    <s v=""/>
    <s v=""/>
    <s v=""/>
    <x v="0"/>
    <s v=""/>
  </r>
  <r>
    <s v="SGEN"/>
    <n v="168.82"/>
    <m/>
    <n v="143.49699999999999"/>
    <x v="15"/>
    <x v="3"/>
    <m/>
    <d v="2022-07-28T16:00:00"/>
    <d v="2022-07-28T16:00:00"/>
    <m/>
    <m/>
    <n v="1"/>
    <m/>
    <m/>
    <m/>
    <m/>
    <s v=""/>
    <n v="0"/>
    <n v="0"/>
    <s v=""/>
    <m/>
    <m/>
    <s v=""/>
    <s v=""/>
    <s v=""/>
    <s v=""/>
    <s v=""/>
    <m/>
    <m/>
    <n v="0"/>
    <n v="0"/>
    <n v="0"/>
    <m/>
    <n v="185"/>
    <n v="167.53"/>
    <n v="9.5841724914109749E-2"/>
    <s v=""/>
    <n v="0"/>
    <n v="0"/>
    <n v="-7.6412747304821236E-3"/>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9.15349999999998"/>
    <n v="329.19899999999996"/>
    <m/>
    <m/>
    <n v="0"/>
    <s v=""/>
    <n v="0"/>
    <s v=""/>
    <m/>
    <s v=""/>
    <s v=""/>
    <s v=""/>
    <s v=""/>
    <s v=""/>
    <s v=""/>
    <s v=""/>
    <s v=""/>
    <s v=""/>
    <s v=""/>
    <x v="0"/>
    <s v=""/>
  </r>
  <r>
    <s v="DKNG"/>
    <n v="22.83"/>
    <s v="Swing"/>
    <n v="19.405499999999996"/>
    <x v="74"/>
    <x v="17"/>
    <m/>
    <d v="2023-08-04T00:00:00"/>
    <d v="2022-08-05T07:00:00"/>
    <m/>
    <m/>
    <m/>
    <m/>
    <m/>
    <m/>
    <m/>
    <s v=""/>
    <n v="0"/>
    <n v="0"/>
    <s v=""/>
    <n v="80"/>
    <n v="45.7"/>
    <s v=""/>
    <s v=""/>
    <s v=""/>
    <s v=""/>
    <s v=""/>
    <m/>
    <m/>
    <n v="0"/>
    <n v="0"/>
    <n v="0"/>
    <m/>
    <n v="80"/>
    <n v="33.56"/>
    <n v="2.5041611914148052"/>
    <s v=""/>
    <n v="0"/>
    <n v="0"/>
    <n v="0.46999561979851096"/>
    <n v="25.5"/>
    <s v="free money"/>
    <n v="25.5"/>
    <s v="Assignment"/>
    <s v="SPs"/>
    <s v=""/>
    <m/>
    <m/>
    <m/>
    <s v=""/>
    <s v=""/>
    <n v="22.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882000000000001"/>
    <n v="44.518499999999996"/>
    <m/>
    <m/>
    <n v="0"/>
    <s v=""/>
    <n v="0"/>
    <s v=""/>
    <s v="{BB2CA8D1-0D68-4177-8837-55668A7B5EDF}"/>
    <s v=""/>
    <s v=""/>
    <s v=""/>
    <s v=""/>
    <s v=""/>
    <s v=""/>
    <s v=""/>
    <s v=""/>
    <s v=""/>
    <s v=""/>
    <x v="0"/>
    <s v=""/>
  </r>
  <r>
    <s v="DKS"/>
    <n v="210.13"/>
    <m/>
    <n v="178.6105"/>
    <x v="75"/>
    <x v="14"/>
    <m/>
    <d v="2022-08-24T07:30:00"/>
    <d v="2022-08-24T07:30:00"/>
    <m/>
    <m/>
    <m/>
    <m/>
    <m/>
    <m/>
    <m/>
    <s v=""/>
    <n v="0"/>
    <n v="0"/>
    <s v=""/>
    <m/>
    <m/>
    <s v=""/>
    <s v=""/>
    <s v=""/>
    <s v=""/>
    <s v=""/>
    <m/>
    <m/>
    <n v="0"/>
    <n v="0"/>
    <n v="0"/>
    <m/>
    <m/>
    <n v="39.17"/>
    <s v=""/>
    <s v=""/>
    <n v="0"/>
    <n v="0"/>
    <n v="-0.81359158616094795"/>
    <m/>
    <m/>
    <n v="57"/>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7.211500000000001"/>
    <n v="409.75349999999997"/>
    <m/>
    <m/>
    <n v="0"/>
    <s v=""/>
    <n v="0"/>
    <s v=""/>
    <s v="{62A8D1D0-33DD-40D2-8C18-E3996457DCC8}"/>
    <s v=""/>
    <s v=""/>
    <s v=""/>
    <s v=""/>
    <s v=""/>
    <s v=""/>
    <s v=""/>
    <s v=""/>
    <s v=""/>
    <s v=""/>
    <x v="0"/>
    <s v=""/>
  </r>
  <r>
    <s v="DNN"/>
    <n v="3.05"/>
    <m/>
    <n v="2.5924999999999998"/>
    <x v="76"/>
    <x v="10"/>
    <m/>
    <m/>
    <m/>
    <m/>
    <m/>
    <m/>
    <m/>
    <m/>
    <m/>
    <m/>
    <s v=""/>
    <n v="0"/>
    <n v="0"/>
    <s v=""/>
    <m/>
    <m/>
    <s v=""/>
    <s v=""/>
    <s v=""/>
    <s v=""/>
    <s v=""/>
    <m/>
    <m/>
    <n v="0"/>
    <n v="0"/>
    <n v="0"/>
    <m/>
    <m/>
    <n v="2.65"/>
    <s v=""/>
    <s v=""/>
    <n v="0"/>
    <n v="0"/>
    <n v="-0.13114754098360654"/>
    <m/>
    <m/>
    <m/>
    <m/>
    <s v="EquityOnly"/>
    <s v=""/>
    <m/>
    <m/>
    <m/>
    <s v=""/>
    <s v=""/>
    <n v="1.7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5174999999999996"/>
    <n v="5.9474999999999998"/>
    <m/>
    <m/>
    <n v="0"/>
    <s v=""/>
    <n v="0"/>
    <s v=""/>
    <m/>
    <s v=""/>
    <s v=""/>
    <s v=""/>
    <s v=""/>
    <s v=""/>
    <s v=""/>
    <s v=""/>
    <s v=""/>
    <s v=""/>
    <s v=""/>
    <x v="0"/>
    <s v=""/>
  </r>
  <r>
    <s v="DNOW"/>
    <n v="14.24"/>
    <m/>
    <n v="12.103999999999999"/>
    <x v="41"/>
    <x v="0"/>
    <m/>
    <d v="2022-08-04T06:45:00"/>
    <d v="2022-08-04T06:45:00"/>
    <m/>
    <m/>
    <m/>
    <m/>
    <n v="4"/>
    <m/>
    <m/>
    <s v=""/>
    <n v="0"/>
    <n v="0"/>
    <s v=""/>
    <m/>
    <m/>
    <s v=""/>
    <s v=""/>
    <s v=""/>
    <s v=""/>
    <s v=""/>
    <n v="0"/>
    <s v="N/A"/>
    <n v="0"/>
    <n v="0"/>
    <n v="0"/>
    <s v="N/A"/>
    <m/>
    <n v="20"/>
    <s v=""/>
    <s v=""/>
    <n v="0"/>
    <n v="0"/>
    <n v="0.404494382022471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
    <n v="27.768000000000001"/>
    <n v="50"/>
    <n v="34.880000000000003"/>
    <n v="1744.0000000000002"/>
    <s v=""/>
    <e v="#VALUE!"/>
    <e v="#VALUE!"/>
    <s v="{EDE1BA6A-3E26-4927-82D1-7044C9071370}"/>
    <s v=""/>
    <s v=""/>
    <s v=""/>
    <s v=""/>
    <s v=""/>
    <s v=""/>
    <s v=""/>
    <s v=""/>
    <s v=""/>
    <s v=""/>
    <x v="0"/>
    <s v=""/>
  </r>
  <r>
    <s v="DOCU"/>
    <n v="47.89"/>
    <m/>
    <n v="40.706499999999998"/>
    <x v="11"/>
    <x v="2"/>
    <m/>
    <d v="2022-06-09T16:05:00"/>
    <d v="2022-06-09T16:05:00"/>
    <s v="Confirmed"/>
    <m/>
    <m/>
    <m/>
    <m/>
    <m/>
    <m/>
    <s v=""/>
    <n v="0"/>
    <n v="0"/>
    <s v=""/>
    <m/>
    <m/>
    <s v=""/>
    <s v=""/>
    <s v=""/>
    <s v=""/>
    <s v=""/>
    <m/>
    <m/>
    <n v="0"/>
    <n v="0"/>
    <n v="0"/>
    <m/>
    <m/>
    <n v="90.46"/>
    <s v=""/>
    <s v=""/>
    <n v="0"/>
    <n v="0"/>
    <n v="0.88891209020672357"/>
    <n v="135"/>
    <s v="free money"/>
    <n v="135"/>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5.936999999999983"/>
    <n v="93.385499999999993"/>
    <m/>
    <m/>
    <n v="0"/>
    <s v=""/>
    <n v="0"/>
    <s v=""/>
    <s v="{B3807DBE-DE4E-49DA-83BC-FDD096F6BCAE}"/>
    <s v=""/>
    <s v=""/>
    <s v=""/>
    <s v=""/>
    <s v=""/>
    <s v=""/>
    <s v=""/>
    <s v=""/>
    <s v=""/>
    <s v=""/>
    <x v="0"/>
    <s v=""/>
  </r>
  <r>
    <s v="DOW"/>
    <n v="31.25"/>
    <s v="Swing"/>
    <n v="26.5625"/>
    <x v="68"/>
    <x v="0"/>
    <m/>
    <d v="2022-07-21T06:00:00"/>
    <d v="2022-07-21T06:00:00"/>
    <m/>
    <m/>
    <m/>
    <m/>
    <m/>
    <m/>
    <m/>
    <s v=""/>
    <n v="0"/>
    <n v="0"/>
    <s v=""/>
    <m/>
    <m/>
    <s v=""/>
    <s v=""/>
    <s v=""/>
    <s v=""/>
    <s v=""/>
    <n v="2.8"/>
    <d v="2019-06-14T00:00:00"/>
    <n v="0"/>
    <n v="0"/>
    <n v="8.9599999999999999E-2"/>
    <d v="2019-08-30T00:00:00"/>
    <n v="62"/>
    <n v="56.95"/>
    <n v="0.98399999999999999"/>
    <s v=""/>
    <n v="0"/>
    <n v="0"/>
    <n v="0.82240000000000013"/>
    <m/>
    <m/>
    <m/>
    <m/>
    <m/>
    <s v=""/>
    <m/>
    <n v="1.9079999999999999"/>
    <d v="2021-04-16T00:00:00"/>
    <n v="29.341999999999999"/>
    <n v="33.158000000000001"/>
    <n v="59.6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4.102499999999999"/>
    <n v="60.9375"/>
    <m/>
    <m/>
    <n v="0"/>
    <s v=""/>
    <n v="0"/>
    <s v=""/>
    <s v="{CD9EA3DD-405D-4CD5-98D3-770DB88310F9}"/>
    <s v=""/>
    <s v=""/>
    <s v=""/>
    <s v=""/>
    <s v=""/>
    <s v=""/>
    <s v=""/>
    <s v=""/>
    <s v=""/>
    <s v=""/>
    <x v="0"/>
    <s v=""/>
  </r>
  <r>
    <s v="DPZ"/>
    <n v="319.83"/>
    <m/>
    <n v="271.85550000000001"/>
    <x v="56"/>
    <x v="14"/>
    <m/>
    <d v="2022-07-28T07:30:00"/>
    <d v="2022-07-28T07:30:00"/>
    <m/>
    <m/>
    <m/>
    <m/>
    <m/>
    <m/>
    <m/>
    <s v=""/>
    <n v="0"/>
    <n v="0"/>
    <s v=""/>
    <m/>
    <m/>
    <s v=""/>
    <s v=""/>
    <s v=""/>
    <s v=""/>
    <s v=""/>
    <n v="1.24"/>
    <d v="2015-12-30T00:00:00"/>
    <n v="0"/>
    <n v="0"/>
    <n v="3.8770596879592286E-3"/>
    <d v="2015-09-09T00:00:00"/>
    <m/>
    <n v="110"/>
    <s v=""/>
    <s v=""/>
    <n v="0"/>
    <n v="0"/>
    <n v="-0.6560672857455522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4.5"/>
    <n v="623.66849999999999"/>
    <m/>
    <m/>
    <n v="0"/>
    <s v=""/>
    <n v="0"/>
    <s v=""/>
    <s v="{B68688BA-6836-410F-B149-B50F5277E13C}"/>
    <s v=""/>
    <s v=""/>
    <s v=""/>
    <s v=""/>
    <s v=""/>
    <s v=""/>
    <s v=""/>
    <s v=""/>
    <s v=""/>
    <s v=""/>
    <x v="0"/>
    <s v=""/>
  </r>
  <r>
    <s v="DQ"/>
    <n v="12"/>
    <s v="Swing"/>
    <n v="10.199999999999999"/>
    <x v="7"/>
    <x v="2"/>
    <m/>
    <d v="2022-08-17T06:45:00"/>
    <d v="2022-08-17T06:45:00"/>
    <m/>
    <m/>
    <m/>
    <m/>
    <m/>
    <m/>
    <m/>
    <s v=""/>
    <n v="0"/>
    <n v="0"/>
    <s v=""/>
    <n v="90"/>
    <n v="64.25"/>
    <s v=""/>
    <s v=""/>
    <s v=""/>
    <s v=""/>
    <s v=""/>
    <m/>
    <m/>
    <n v="0"/>
    <n v="0"/>
    <n v="0"/>
    <m/>
    <m/>
    <n v="81"/>
    <s v=""/>
    <s v=""/>
    <n v="0"/>
    <n v="0"/>
    <n v="5.75"/>
    <n v="55"/>
    <s v="free money"/>
    <n v="55"/>
    <s v="Assignment"/>
    <s v="SPs"/>
    <s v=""/>
    <m/>
    <m/>
    <m/>
    <s v=""/>
    <s v=""/>
    <n v="61.12"/>
    <m/>
    <s v=""/>
    <m/>
    <m/>
    <m/>
    <m/>
    <m/>
    <m/>
    <n v="0"/>
    <n v="0"/>
    <m/>
    <s v=""/>
    <s v=""/>
    <s v=""/>
    <s v=""/>
    <m/>
    <m/>
    <m/>
    <m/>
    <m/>
    <m/>
    <b v="0"/>
    <b v="0"/>
    <n v="0"/>
    <m/>
    <n v="0"/>
    <s v=""/>
    <s v=""/>
    <s v=""/>
    <s v=""/>
    <n v="0"/>
    <n v="0"/>
    <s v=""/>
    <n v="0"/>
    <m/>
    <n v="0"/>
    <n v="0"/>
    <s v=""/>
    <m/>
    <m/>
    <s v=""/>
    <m/>
    <s v=""/>
    <s v=""/>
    <s v=""/>
    <m/>
    <m/>
    <s v=""/>
    <s v=""/>
    <s v=""/>
    <s v=""/>
    <s v=""/>
    <s v=""/>
    <m/>
    <n v="3.3"/>
    <s v=""/>
    <s v=""/>
    <s v=""/>
    <s v=""/>
    <m/>
    <m/>
    <m/>
    <m/>
    <m/>
    <m/>
    <n v="0"/>
    <s v=""/>
    <s v=""/>
    <s v=""/>
    <s v=""/>
    <m/>
    <s v=""/>
    <s v=""/>
    <s v=""/>
    <s v=""/>
    <s v=""/>
    <s v=""/>
    <s v=""/>
    <m/>
    <s v=""/>
    <m/>
    <s v=""/>
    <s v=""/>
    <s v=""/>
    <n v="0"/>
    <s v=""/>
    <n v="0"/>
    <m/>
    <m/>
    <m/>
    <m/>
    <m/>
    <m/>
    <b v="0"/>
    <b v="0"/>
    <m/>
    <s v=""/>
    <s v=""/>
    <n v="0"/>
    <s v=""/>
    <s v=""/>
    <n v="0"/>
    <m/>
    <m/>
    <m/>
    <n v="0"/>
    <m/>
    <s v=""/>
    <s v=""/>
    <n v="0"/>
    <n v="0"/>
    <m/>
    <s v=""/>
    <s v=""/>
    <s v=""/>
    <s v=""/>
    <s v=""/>
    <s v=""/>
    <s v=""/>
    <s v=""/>
    <s v=""/>
    <n v="0"/>
    <s v=""/>
    <s v=""/>
    <s v=""/>
    <s v=""/>
    <s v=""/>
    <s v=""/>
    <s v=""/>
    <s v=""/>
    <n v="0"/>
    <n v="76.95"/>
    <n v="23.4"/>
    <m/>
    <m/>
    <n v="0"/>
    <s v=""/>
    <n v="0"/>
    <s v=""/>
    <m/>
    <s v=""/>
    <s v=""/>
    <s v=""/>
    <s v=""/>
    <s v=""/>
    <s v=""/>
    <s v=""/>
    <s v=""/>
    <s v=""/>
    <s v=""/>
    <x v="0"/>
    <s v=""/>
  </r>
  <r>
    <s v="DRI"/>
    <n v="193.94"/>
    <m/>
    <n v="164.84899999999999"/>
    <x v="56"/>
    <x v="14"/>
    <m/>
    <d v="2022-06-23T07:00:00"/>
    <d v="2022-06-23T07:00:00"/>
    <s v="Confirmed"/>
    <m/>
    <m/>
    <m/>
    <m/>
    <m/>
    <m/>
    <s v=""/>
    <n v="0"/>
    <n v="0"/>
    <s v=""/>
    <m/>
    <m/>
    <s v=""/>
    <s v=""/>
    <s v=""/>
    <s v=""/>
    <s v=""/>
    <m/>
    <m/>
    <n v="0"/>
    <n v="0"/>
    <n v="0"/>
    <m/>
    <m/>
    <n v="102.82"/>
    <s v=""/>
    <s v=""/>
    <n v="0"/>
    <n v="0"/>
    <n v="-0.469836031762400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7.678999999999988"/>
    <n v="378.18299999999999"/>
    <m/>
    <m/>
    <n v="0"/>
    <s v=""/>
    <n v="0"/>
    <s v=""/>
    <s v="{6F3DA2A1-7582-449C-A05C-EBB7DFB51C37}"/>
    <s v=""/>
    <s v=""/>
    <s v=""/>
    <s v=""/>
    <s v=""/>
    <s v=""/>
    <s v=""/>
    <s v=""/>
    <s v=""/>
    <s v=""/>
    <x v="0"/>
    <s v=""/>
  </r>
  <r>
    <s v="DT"/>
    <n v="41.36"/>
    <m/>
    <n v="35.155999999999999"/>
    <x v="11"/>
    <x v="2"/>
    <m/>
    <d v="2023-08-29T00:00:00"/>
    <m/>
    <m/>
    <m/>
    <m/>
    <m/>
    <m/>
    <m/>
    <m/>
    <s v=""/>
    <n v="0"/>
    <n v="0"/>
    <s v=""/>
    <m/>
    <m/>
    <s v=""/>
    <s v=""/>
    <s v=""/>
    <s v=""/>
    <s v=""/>
    <m/>
    <m/>
    <n v="0"/>
    <n v="0"/>
    <n v="0"/>
    <m/>
    <m/>
    <n v="52.42"/>
    <s v=""/>
    <s v=""/>
    <n v="0"/>
    <n v="0"/>
    <n v="0.26740812379110257"/>
    <n v="5"/>
    <s v="T1"/>
    <n v="2.5"/>
    <s v="stop out"/>
    <s v="LCs"/>
    <s v=""/>
    <m/>
    <m/>
    <m/>
    <s v=""/>
    <s v=""/>
    <n v="2.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9.798999999999999"/>
    <n v="80.652000000000001"/>
    <m/>
    <m/>
    <n v="0"/>
    <s v=""/>
    <n v="0"/>
    <s v=""/>
    <m/>
    <s v=""/>
    <s v=""/>
    <s v=""/>
    <s v=""/>
    <s v=""/>
    <s v=""/>
    <s v=""/>
    <s v=""/>
    <s v=""/>
    <s v=""/>
    <x v="0"/>
    <s v=""/>
  </r>
  <r>
    <s v="DUK"/>
    <n v="127.95"/>
    <m/>
    <n v="108.75749999999999"/>
    <x v="77"/>
    <x v="5"/>
    <m/>
    <d v="2022-08-08T07:00:00"/>
    <d v="2022-08-08T07:00:00"/>
    <m/>
    <m/>
    <m/>
    <m/>
    <m/>
    <m/>
    <m/>
    <s v=""/>
    <n v="0"/>
    <n v="0"/>
    <s v=""/>
    <m/>
    <m/>
    <s v=""/>
    <s v=""/>
    <s v=""/>
    <s v=""/>
    <s v=""/>
    <n v="3.56"/>
    <d v="2018-03-16T00:00:00"/>
    <n v="0"/>
    <n v="0"/>
    <n v="2.7823368503321611E-2"/>
    <d v="2018-02-15T00:00:00"/>
    <m/>
    <n v="88.25"/>
    <s v=""/>
    <s v=""/>
    <n v="0"/>
    <n v="0"/>
    <n v="-0.3102774521297381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3.837499999999991"/>
    <n v="249.5025"/>
    <m/>
    <m/>
    <n v="0"/>
    <s v=""/>
    <n v="0"/>
    <s v=""/>
    <s v="{D21C173B-7C49-427B-9272-774348ED745C}"/>
    <s v=""/>
    <s v=""/>
    <s v=""/>
    <s v=""/>
    <s v=""/>
    <s v=""/>
    <s v=""/>
    <s v=""/>
    <s v=""/>
    <s v=""/>
    <x v="0"/>
    <s v=""/>
  </r>
  <r>
    <s v="DVA"/>
    <n v="232.08"/>
    <m/>
    <n v="197.268"/>
    <x v="78"/>
    <x v="3"/>
    <m/>
    <d v="2022-08-04T16:05:00"/>
    <d v="2022-08-04T16:05:00"/>
    <m/>
    <m/>
    <m/>
    <m/>
    <m/>
    <m/>
    <m/>
    <s v=""/>
    <n v="0"/>
    <n v="0"/>
    <s v=""/>
    <n v="175"/>
    <n v="113"/>
    <s v=""/>
    <s v=""/>
    <s v=""/>
    <s v=""/>
    <s v=""/>
    <m/>
    <m/>
    <n v="0"/>
    <n v="0"/>
    <n v="0"/>
    <m/>
    <m/>
    <n v="127"/>
    <s v=""/>
    <s v=""/>
    <n v="0"/>
    <n v="0"/>
    <n v="-0.45277490520510172"/>
    <m/>
    <m/>
    <n v="113"/>
    <s v="stop out"/>
    <m/>
    <s v=""/>
    <m/>
    <m/>
    <m/>
    <s v=""/>
    <s v=""/>
    <n v="122.2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0.64999999999999"/>
    <n v="452.55600000000004"/>
    <m/>
    <m/>
    <n v="0"/>
    <s v=""/>
    <n v="0"/>
    <s v=""/>
    <m/>
    <s v=""/>
    <s v=""/>
    <s v=""/>
    <s v=""/>
    <s v=""/>
    <s v=""/>
    <s v=""/>
    <s v=""/>
    <s v=""/>
    <s v=""/>
    <x v="0"/>
    <s v=""/>
  </r>
  <r>
    <s v="CRWD"/>
    <n v="188.42"/>
    <s v="ER"/>
    <n v="160.15699999999998"/>
    <x v="9"/>
    <x v="2"/>
    <m/>
    <d v="2023-02-28T00:00:00"/>
    <d v="2023-02-28T00:00:00"/>
    <m/>
    <m/>
    <m/>
    <m/>
    <m/>
    <m/>
    <m/>
    <s v=""/>
    <n v="0"/>
    <n v="0"/>
    <s v=""/>
    <m/>
    <m/>
    <s v=""/>
    <s v=""/>
    <s v=""/>
    <s v=""/>
    <s v=""/>
    <m/>
    <m/>
    <n v="0"/>
    <n v="0"/>
    <n v="0"/>
    <m/>
    <m/>
    <n v="560"/>
    <s v=""/>
    <s v=""/>
    <n v="0"/>
    <n v="0"/>
    <n v="1.9720836429253799"/>
    <m/>
    <s v="max gain"/>
    <m/>
    <s v="Assignment"/>
    <m/>
    <s v=""/>
    <m/>
    <m/>
    <m/>
    <s v=""/>
    <s v=""/>
    <n v="433.48"/>
    <m/>
    <s v=""/>
    <m/>
    <m/>
    <m/>
    <m/>
    <m/>
    <m/>
    <n v="0"/>
    <n v="0"/>
    <m/>
    <s v=""/>
    <s v=""/>
    <s v=""/>
    <s v=""/>
    <m/>
    <m/>
    <m/>
    <m/>
    <m/>
    <m/>
    <b v="0"/>
    <b v="0"/>
    <n v="0"/>
    <m/>
    <n v="0"/>
    <s v=""/>
    <s v=""/>
    <s v=""/>
    <s v=""/>
    <n v="0"/>
    <n v="0"/>
    <s v=""/>
    <n v="0"/>
    <n v="0.4"/>
    <n v="0"/>
    <n v="0"/>
    <s v=""/>
    <m/>
    <m/>
    <s v=""/>
    <m/>
    <s v=""/>
    <s v=""/>
    <s v=""/>
    <m/>
    <m/>
    <s v=""/>
    <s v=""/>
    <s v=""/>
    <s v=""/>
    <s v=""/>
    <s v=""/>
    <m/>
    <m/>
    <s v=""/>
    <s v=""/>
    <s v=""/>
    <s v=""/>
    <m/>
    <m/>
    <m/>
    <m/>
    <m/>
    <m/>
    <n v="0"/>
    <s v=""/>
    <s v=""/>
    <s v=""/>
    <s v=""/>
    <m/>
    <s v=""/>
    <s v=""/>
    <s v=""/>
    <s v=""/>
    <s v=""/>
    <s v=""/>
    <s v=""/>
    <m/>
    <s v=""/>
    <m/>
    <s v=""/>
    <s v=""/>
    <s v=""/>
    <n v="0"/>
    <s v=""/>
    <n v="0"/>
    <m/>
    <m/>
    <m/>
    <m/>
    <m/>
    <m/>
    <b v="0"/>
    <b v="0"/>
    <m/>
    <s v=""/>
    <s v=""/>
    <n v="0"/>
    <s v=""/>
    <s v=""/>
    <n v="0"/>
    <m/>
    <m/>
    <m/>
    <n v="0"/>
    <m/>
    <s v=""/>
    <s v=""/>
    <n v="0"/>
    <n v="0"/>
    <d v="2021-03-19T00:00:00"/>
    <s v=""/>
    <s v=""/>
    <s v=""/>
    <s v=""/>
    <s v=""/>
    <s v=""/>
    <s v=""/>
    <s v=""/>
    <s v=""/>
    <n v="0"/>
    <s v=""/>
    <s v=""/>
    <s v=""/>
    <s v=""/>
    <s v=""/>
    <s v=""/>
    <s v=""/>
    <s v=""/>
    <n v="0"/>
    <n v="532"/>
    <n v="367.41899999999998"/>
    <m/>
    <m/>
    <n v="0"/>
    <s v=""/>
    <n v="0"/>
    <s v=""/>
    <m/>
    <s v=""/>
    <s v=""/>
    <s v=""/>
    <s v=""/>
    <s v=""/>
    <s v=""/>
    <s v=""/>
    <s v=""/>
    <s v=""/>
    <s v=""/>
    <x v="0"/>
    <s v=""/>
  </r>
  <r>
    <s v="DWAC"/>
    <n v="18.16"/>
    <s v="Swing"/>
    <n v="15.436"/>
    <x v="24"/>
    <x v="12"/>
    <m/>
    <s v="N/A"/>
    <m/>
    <m/>
    <m/>
    <m/>
    <m/>
    <m/>
    <m/>
    <m/>
    <s v=""/>
    <n v="0"/>
    <n v="0"/>
    <s v=""/>
    <n v="24.94"/>
    <m/>
    <s v=""/>
    <s v=""/>
    <s v=""/>
    <s v=""/>
    <s v=""/>
    <m/>
    <m/>
    <n v="0"/>
    <n v="0"/>
    <n v="0"/>
    <m/>
    <m/>
    <m/>
    <s v=""/>
    <s v=""/>
    <n v="0"/>
    <n v="0"/>
    <s v=""/>
    <m/>
    <m/>
    <m/>
    <m/>
    <m/>
    <s v=""/>
    <m/>
    <m/>
    <m/>
    <s v=""/>
    <s v=""/>
    <n v="21.7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5.411999999999999"/>
    <m/>
    <m/>
    <n v="0"/>
    <s v=""/>
    <n v="0"/>
    <s v=""/>
    <m/>
    <s v=""/>
    <s v=""/>
    <s v=""/>
    <s v=""/>
    <s v=""/>
    <s v=""/>
    <s v=""/>
    <s v=""/>
    <s v=""/>
    <s v=""/>
    <x v="0"/>
    <s v=""/>
  </r>
  <r>
    <s v="DXC"/>
    <n v="9.41"/>
    <m/>
    <n v="7.9984999999999999"/>
    <x v="8"/>
    <x v="2"/>
    <m/>
    <d v="2022-08-24T16:15:00"/>
    <d v="2022-08-24T16:15:00"/>
    <m/>
    <m/>
    <m/>
    <m/>
    <m/>
    <m/>
    <m/>
    <s v=""/>
    <n v="0"/>
    <n v="0"/>
    <s v=""/>
    <m/>
    <m/>
    <s v=""/>
    <s v=""/>
    <s v=""/>
    <s v=""/>
    <s v=""/>
    <n v="0.72"/>
    <d v="2017-10-11T00:00:00"/>
    <n v="0"/>
    <n v="0"/>
    <n v="7.6514346439957484E-2"/>
    <d v="2017-09-08T00:00:00"/>
    <n v="100"/>
    <n v="111.5"/>
    <n v="9.6269925611052081"/>
    <s v=""/>
    <n v="0"/>
    <n v="0"/>
    <n v="10.84909670563230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5.925"/>
    <n v="18.349499999999999"/>
    <m/>
    <m/>
    <n v="0"/>
    <s v=""/>
    <n v="0"/>
    <s v=""/>
    <s v="{4CDE1ECA-25E8-44C7-8580-2F382B44BF54}"/>
    <s v=""/>
    <s v=""/>
    <s v=""/>
    <s v=""/>
    <s v=""/>
    <s v=""/>
    <s v=""/>
    <s v=""/>
    <s v=""/>
    <s v=""/>
    <x v="0"/>
    <s v=""/>
  </r>
  <r>
    <s v="EBAY"/>
    <n v="110.95"/>
    <s v="Prem"/>
    <n v="94.307500000000005"/>
    <x v="79"/>
    <x v="14"/>
    <m/>
    <d v="2022-08-03T16:05:00"/>
    <d v="2022-08-03T16:05:00"/>
    <m/>
    <m/>
    <m/>
    <m/>
    <m/>
    <m/>
    <m/>
    <s v=""/>
    <n v="0"/>
    <n v="0"/>
    <s v=""/>
    <m/>
    <m/>
    <s v=""/>
    <s v=""/>
    <s v=""/>
    <s v=""/>
    <s v=""/>
    <m/>
    <s v="N/A"/>
    <n v="0"/>
    <n v="0"/>
    <n v="0"/>
    <m/>
    <m/>
    <m/>
    <s v=""/>
    <s v=""/>
    <n v="0"/>
    <n v="0"/>
    <s v=""/>
    <n v="34"/>
    <s v="ITM"/>
    <n v="32"/>
    <s v="Losse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216.35249999999999"/>
    <m/>
    <m/>
    <n v="0"/>
    <s v=""/>
    <n v="0"/>
    <s v=""/>
    <s v="{CB65D80B-663A-4E5D-8F9D-EEB0023565D1}"/>
    <s v=""/>
    <s v=""/>
    <s v=""/>
    <s v=""/>
    <s v=""/>
    <s v=""/>
    <s v=""/>
    <s v=""/>
    <s v=""/>
    <s v=""/>
    <x v="0"/>
    <s v=""/>
  </r>
  <r>
    <s v="ECL"/>
    <n v="266.88"/>
    <m/>
    <n v="226.84799999999998"/>
    <x v="80"/>
    <x v="13"/>
    <m/>
    <d v="2022-07-26T08:30:00"/>
    <d v="2022-07-26T08:30:00"/>
    <m/>
    <m/>
    <m/>
    <m/>
    <m/>
    <m/>
    <m/>
    <s v=""/>
    <n v="0"/>
    <n v="0"/>
    <s v=""/>
    <m/>
    <m/>
    <s v=""/>
    <s v=""/>
    <s v=""/>
    <s v=""/>
    <s v=""/>
    <n v="1.4"/>
    <d v="2017-01-17T00:00:00"/>
    <n v="0"/>
    <n v="0"/>
    <n v="5.2458033573141482E-3"/>
    <d v="2016-12-14T00:00:00"/>
    <m/>
    <n v="125.06"/>
    <s v=""/>
    <s v=""/>
    <n v="0"/>
    <n v="0"/>
    <n v="-0.531399880095923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8.807"/>
    <n v="520.41599999999994"/>
    <m/>
    <m/>
    <n v="0"/>
    <s v=""/>
    <n v="0"/>
    <s v=""/>
    <s v="{76EF5D98-4C65-4C26-B19C-591F67CCA617}"/>
    <s v=""/>
    <s v=""/>
    <s v=""/>
    <s v=""/>
    <s v=""/>
    <s v=""/>
    <s v=""/>
    <s v=""/>
    <s v=""/>
    <s v=""/>
    <x v="0"/>
    <s v=""/>
  </r>
  <r>
    <s v="ED"/>
    <n v="112.09"/>
    <m/>
    <n v="95.276499999999999"/>
    <x v="77"/>
    <x v="5"/>
    <m/>
    <d v="2022-08-04T20:30:00"/>
    <d v="2022-08-04T20:30:00"/>
    <m/>
    <m/>
    <m/>
    <m/>
    <m/>
    <m/>
    <m/>
    <s v=""/>
    <n v="0"/>
    <n v="0"/>
    <s v=""/>
    <m/>
    <m/>
    <s v=""/>
    <s v=""/>
    <s v=""/>
    <s v=""/>
    <s v=""/>
    <n v="2.6"/>
    <d v="2015-12-15T00:00:00"/>
    <n v="0"/>
    <n v="0"/>
    <n v="2.3195646355607103E-2"/>
    <d v="2015-08-13T00:00:00"/>
    <m/>
    <n v="63"/>
    <s v=""/>
    <s v=""/>
    <n v="0"/>
    <n v="0"/>
    <n v="-0.43795164599875103"/>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9.849999999999994"/>
    <n v="218.57550000000001"/>
    <m/>
    <n v="60"/>
    <n v="0"/>
    <s v=""/>
    <n v="0"/>
    <s v=""/>
    <s v="{E27BEF32-055E-4A03-A943-9A51C1B9A2F6}"/>
    <s v=""/>
    <s v=""/>
    <s v=""/>
    <s v=""/>
    <s v=""/>
    <s v=""/>
    <s v=""/>
    <s v=""/>
    <s v=""/>
    <s v=""/>
    <x v="0"/>
    <s v=""/>
  </r>
  <r>
    <s v="EGLE"/>
    <n v="30.81"/>
    <s v="Swing"/>
    <n v="26.188499999999998"/>
    <x v="14"/>
    <x v="7"/>
    <m/>
    <d v="2022-08-04T17:00:00"/>
    <d v="2022-08-04T17:00:00"/>
    <m/>
    <m/>
    <m/>
    <m/>
    <m/>
    <m/>
    <m/>
    <s v=""/>
    <n v="0"/>
    <n v="0"/>
    <s v=""/>
    <n v="75"/>
    <n v="63.65"/>
    <s v=""/>
    <s v=""/>
    <s v=""/>
    <s v=""/>
    <s v=""/>
    <m/>
    <m/>
    <n v="0"/>
    <n v="0"/>
    <n v="0"/>
    <m/>
    <m/>
    <n v="78.099999999999994"/>
    <s v=""/>
    <s v=""/>
    <n v="0"/>
    <n v="0"/>
    <n v="1.5348912690684842"/>
    <m/>
    <m/>
    <m/>
    <m/>
    <m/>
    <s v=""/>
    <m/>
    <m/>
    <m/>
    <s v=""/>
    <s v=""/>
    <n v="66.2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4.194999999999993"/>
    <n v="60.079499999999996"/>
    <m/>
    <m/>
    <n v="0"/>
    <s v=""/>
    <n v="0"/>
    <s v=""/>
    <m/>
    <s v=""/>
    <s v=""/>
    <s v=""/>
    <s v=""/>
    <s v=""/>
    <s v=""/>
    <s v=""/>
    <s v=""/>
    <s v=""/>
    <s v=""/>
    <x v="0"/>
    <s v=""/>
  </r>
  <r>
    <s v="EGO"/>
    <n v="32.090000000000003"/>
    <m/>
    <n v="27.276500000000002"/>
    <x v="51"/>
    <x v="0"/>
    <m/>
    <m/>
    <m/>
    <m/>
    <m/>
    <m/>
    <m/>
    <m/>
    <m/>
    <m/>
    <s v=""/>
    <n v="0"/>
    <n v="0"/>
    <s v=""/>
    <m/>
    <m/>
    <s v=""/>
    <s v=""/>
    <s v=""/>
    <s v=""/>
    <s v=""/>
    <m/>
    <m/>
    <n v="0"/>
    <n v="0"/>
    <n v="0"/>
    <m/>
    <m/>
    <m/>
    <s v=""/>
    <s v=""/>
    <n v="0"/>
    <n v="0"/>
    <s v=""/>
    <m/>
    <m/>
    <m/>
    <m/>
    <m/>
    <s v=""/>
    <m/>
    <m/>
    <m/>
    <s v=""/>
    <s v=""/>
    <n v="12.3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62.575500000000005"/>
    <m/>
    <m/>
    <n v="0"/>
    <s v=""/>
    <n v="0"/>
    <s v=""/>
    <m/>
    <s v=""/>
    <s v=""/>
    <s v=""/>
    <s v=""/>
    <s v=""/>
    <s v=""/>
    <s v=""/>
    <s v=""/>
    <s v=""/>
    <s v=""/>
    <x v="0"/>
    <s v=""/>
  </r>
  <r>
    <s v="EL"/>
    <n v="82.63"/>
    <m/>
    <n v="70.235499999999988"/>
    <x v="81"/>
    <x v="4"/>
    <m/>
    <d v="2022-08-02T06:45:00"/>
    <d v="2022-08-02T06:45:00"/>
    <m/>
    <m/>
    <m/>
    <m/>
    <m/>
    <m/>
    <m/>
    <s v=""/>
    <n v="0"/>
    <n v="0"/>
    <s v=""/>
    <m/>
    <m/>
    <s v=""/>
    <s v=""/>
    <s v=""/>
    <s v=""/>
    <s v=""/>
    <m/>
    <m/>
    <n v="0"/>
    <n v="0"/>
    <n v="0"/>
    <m/>
    <m/>
    <n v="223.86"/>
    <s v=""/>
    <s v=""/>
    <n v="0"/>
    <n v="0"/>
    <n v="1.709185525838073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12.667"/>
    <n v="161.12849999999997"/>
    <m/>
    <m/>
    <n v="0"/>
    <s v=""/>
    <n v="0"/>
    <s v=""/>
    <m/>
    <s v=""/>
    <s v=""/>
    <s v=""/>
    <s v=""/>
    <s v=""/>
    <s v=""/>
    <s v=""/>
    <s v=""/>
    <s v=""/>
    <s v=""/>
    <x v="0"/>
    <s v=""/>
  </r>
  <r>
    <s v="EMR"/>
    <n v="139.63"/>
    <m/>
    <n v="118.68549999999999"/>
    <x v="82"/>
    <x v="15"/>
    <m/>
    <d v="2022-08-03T06:55:00"/>
    <d v="2022-08-03T06:55:00"/>
    <m/>
    <m/>
    <m/>
    <m/>
    <m/>
    <m/>
    <m/>
    <s v=""/>
    <n v="0"/>
    <n v="0"/>
    <s v=""/>
    <m/>
    <m/>
    <s v=""/>
    <s v=""/>
    <s v=""/>
    <s v=""/>
    <s v=""/>
    <n v="1.88"/>
    <d v="2015-12-10T00:00:00"/>
    <n v="0"/>
    <n v="0"/>
    <n v="1.3464155267492658E-2"/>
    <d v="2015-08-10T00:00:00"/>
    <n v="80"/>
    <n v="72.260000000000005"/>
    <n v="-0.42705722265988683"/>
    <s v=""/>
    <n v="0"/>
    <n v="0"/>
    <n v="-0.4824894363675427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8.647000000000006"/>
    <n v="272.27850000000001"/>
    <m/>
    <m/>
    <n v="0"/>
    <s v=""/>
    <n v="0"/>
    <s v=""/>
    <s v="{9F3004D3-2C40-487D-A2D3-E48EFE525E23}"/>
    <s v=""/>
    <s v=""/>
    <s v=""/>
    <s v=""/>
    <s v=""/>
    <s v=""/>
    <s v=""/>
    <s v=""/>
    <s v=""/>
    <s v=""/>
    <x v="0"/>
    <s v=""/>
  </r>
  <r>
    <s v="ENPH"/>
    <n v="39.58"/>
    <m/>
    <n v="33.643000000000001"/>
    <x v="7"/>
    <x v="2"/>
    <m/>
    <d v="2023-01-24T00:00:00"/>
    <d v="2023-01-24T00:00:00"/>
    <m/>
    <m/>
    <m/>
    <m/>
    <m/>
    <m/>
    <m/>
    <s v=""/>
    <n v="0"/>
    <n v="0"/>
    <s v=""/>
    <m/>
    <m/>
    <s v=""/>
    <s v=""/>
    <s v=""/>
    <s v=""/>
    <s v=""/>
    <m/>
    <m/>
    <n v="0"/>
    <n v="0"/>
    <n v="0"/>
    <m/>
    <m/>
    <n v="36.67"/>
    <s v=""/>
    <s v=""/>
    <n v="0"/>
    <n v="0"/>
    <n v="-7.3521980798382944E-2"/>
    <n v="65"/>
    <s v="max gain"/>
    <n v="60"/>
    <s v="free money"/>
    <s v="Be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4.836500000000001"/>
    <n v="77.180999999999997"/>
    <m/>
    <m/>
    <n v="0"/>
    <s v=""/>
    <n v="0"/>
    <s v=""/>
    <s v="{89F3C79D-1D98-495C-BAD2-1B087BFD287F}"/>
    <s v=""/>
    <s v=""/>
    <s v=""/>
    <s v=""/>
    <s v=""/>
    <s v=""/>
    <s v=""/>
    <s v=""/>
    <s v=""/>
    <s v=""/>
    <x v="0"/>
    <s v=""/>
  </r>
  <r>
    <s v="EOG"/>
    <n v="144"/>
    <m/>
    <n v="122.39999999999999"/>
    <x v="83"/>
    <x v="0"/>
    <m/>
    <d v="2022-07-26T16:05:00"/>
    <d v="2022-07-26T16:05:00"/>
    <m/>
    <m/>
    <m/>
    <m/>
    <n v="3"/>
    <m/>
    <m/>
    <s v=""/>
    <n v="0"/>
    <n v="0"/>
    <s v=""/>
    <m/>
    <m/>
    <s v=""/>
    <s v=""/>
    <s v=""/>
    <s v=""/>
    <s v=""/>
    <n v="0.67"/>
    <d v="2016-01-29T00:00:00"/>
    <n v="0"/>
    <n v="0"/>
    <n v="4.6527777777777782E-3"/>
    <d v="2016-01-11T00:00:00"/>
    <m/>
    <n v="90"/>
    <s v=""/>
    <s v=""/>
    <n v="0"/>
    <n v="0"/>
    <n v="-0.37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5.5"/>
    <n v="280.8"/>
    <m/>
    <m/>
    <n v="0"/>
    <s v=""/>
    <n v="0"/>
    <s v=""/>
    <s v="{26C62638-5CE9-480F-A27A-C442B6F0D57C}"/>
    <s v=""/>
    <s v=""/>
    <s v=""/>
    <s v=""/>
    <s v=""/>
    <s v=""/>
    <s v=""/>
    <s v=""/>
    <s v=""/>
    <s v=""/>
    <x v="0"/>
    <s v=""/>
  </r>
  <r>
    <s v="ESV"/>
    <n v="8.19"/>
    <m/>
    <n v="6.9614999999999991"/>
    <x v="84"/>
    <x v="0"/>
    <m/>
    <d v="2022-07-26T16:05:00"/>
    <d v="2022-07-26T16:05:00"/>
    <m/>
    <m/>
    <m/>
    <m/>
    <m/>
    <m/>
    <m/>
    <s v=""/>
    <n v="0"/>
    <n v="0"/>
    <s v=""/>
    <m/>
    <m/>
    <s v=""/>
    <s v=""/>
    <s v=""/>
    <s v=""/>
    <s v=""/>
    <n v="0.6"/>
    <d v="2015-12-18T00:00:00"/>
    <n v="0"/>
    <n v="0"/>
    <n v="7.3260073260073263E-2"/>
    <d v="2015-08-31T00:00:00"/>
    <m/>
    <n v="20"/>
    <s v=""/>
    <s v=""/>
    <n v="0"/>
    <n v="0"/>
    <n v="1.442002442002442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
    <n v="15.970499999999999"/>
    <m/>
    <n v="57.88"/>
    <n v="0"/>
    <s v=""/>
    <n v="0"/>
    <s v=""/>
    <s v="{F0D0512F-62FC-4950-99B9-F45F95A6EA53}"/>
    <s v=""/>
    <s v=""/>
    <s v=""/>
    <s v=""/>
    <s v=""/>
    <s v=""/>
    <s v=""/>
    <s v=""/>
    <s v=""/>
    <s v=""/>
    <x v="0"/>
    <s v=""/>
  </r>
  <r>
    <s v="ETH"/>
    <n v="18.329999999999998"/>
    <s v="Swing"/>
    <n v="15.580499999999999"/>
    <x v="85"/>
    <x v="1"/>
    <m/>
    <d v="2022-07-26T16:05:00"/>
    <d v="2022-07-26T16:05:00"/>
    <m/>
    <m/>
    <m/>
    <m/>
    <m/>
    <m/>
    <m/>
    <s v=""/>
    <n v="0"/>
    <n v="0"/>
    <s v=""/>
    <n v="28.44"/>
    <m/>
    <s v=""/>
    <s v=""/>
    <s v=""/>
    <s v=""/>
    <s v=""/>
    <m/>
    <m/>
    <n v="0"/>
    <n v="0"/>
    <n v="0"/>
    <m/>
    <m/>
    <n v="34"/>
    <s v=""/>
    <s v=""/>
    <n v="0"/>
    <n v="0"/>
    <n v="0.85488270594653593"/>
    <n v="28.44"/>
    <s v="T1"/>
    <n v="26.88"/>
    <s v="stop out"/>
    <m/>
    <s v=""/>
    <m/>
    <m/>
    <m/>
    <s v=""/>
    <s v=""/>
    <n v="26.17"/>
    <s v="GTC Expires Jul-2"/>
    <m/>
    <m/>
    <m/>
    <m/>
    <m/>
    <m/>
    <m/>
    <n v="0"/>
    <n v="0"/>
    <m/>
    <s v=""/>
    <s v=""/>
    <s v=""/>
    <m/>
    <m/>
    <m/>
    <m/>
    <m/>
    <m/>
    <m/>
    <b v="0"/>
    <b v="0"/>
    <n v="0"/>
    <m/>
    <n v="0"/>
    <s v=""/>
    <s v=""/>
    <s v=""/>
    <s v=""/>
    <n v="0"/>
    <n v="0"/>
    <s v=""/>
    <n v="0"/>
    <m/>
    <n v="0"/>
    <n v="0"/>
    <s v=""/>
    <m/>
    <m/>
    <s v=""/>
    <m/>
    <s v=""/>
    <s v=""/>
    <s v=""/>
    <m/>
    <m/>
    <s v=""/>
    <s v=""/>
    <s v=""/>
    <s v=""/>
    <s v=""/>
    <s v=""/>
    <m/>
    <m/>
    <s v=""/>
    <s v=""/>
    <s v=""/>
    <m/>
    <m/>
    <m/>
    <m/>
    <m/>
    <m/>
    <m/>
    <n v="0"/>
    <s v=""/>
    <s v=""/>
    <s v=""/>
    <s v=""/>
    <m/>
    <s v=""/>
    <s v=""/>
    <s v=""/>
    <s v=""/>
    <s v=""/>
    <s v=""/>
    <s v=""/>
    <m/>
    <s v=""/>
    <m/>
    <s v=""/>
    <s v=""/>
    <s v=""/>
    <n v="0"/>
    <m/>
    <n v="0"/>
    <m/>
    <m/>
    <m/>
    <m/>
    <m/>
    <m/>
    <b v="0"/>
    <b v="0"/>
    <m/>
    <s v=""/>
    <s v=""/>
    <n v="0"/>
    <s v=""/>
    <s v=""/>
    <n v="0"/>
    <m/>
    <m/>
    <m/>
    <n v="0"/>
    <m/>
    <s v=""/>
    <s v=""/>
    <n v="0"/>
    <n v="0"/>
    <m/>
    <s v=""/>
    <s v=""/>
    <s v=""/>
    <s v=""/>
    <s v=""/>
    <s v=""/>
    <s v=""/>
    <s v=""/>
    <s v=""/>
    <n v="0"/>
    <s v=""/>
    <s v=""/>
    <s v=""/>
    <s v=""/>
    <s v=""/>
    <s v=""/>
    <s v=""/>
    <s v=""/>
    <n v="0"/>
    <n v="32.299999999999997"/>
    <n v="35.743499999999997"/>
    <m/>
    <m/>
    <n v="0"/>
    <s v=""/>
    <n v="0"/>
    <s v=""/>
    <m/>
    <s v=""/>
    <s v=""/>
    <s v=""/>
    <s v=""/>
    <s v=""/>
    <s v=""/>
    <s v=""/>
    <s v=""/>
    <s v=""/>
    <s v=""/>
    <x v="0"/>
    <s v=""/>
  </r>
  <r>
    <s v="DVN"/>
    <n v="44.88"/>
    <n v="8.1999999999999993"/>
    <n v="38.148000000000003"/>
    <x v="22"/>
    <x v="10"/>
    <m/>
    <m/>
    <m/>
    <m/>
    <m/>
    <m/>
    <m/>
    <m/>
    <m/>
    <m/>
    <s v=""/>
    <n v="0"/>
    <n v="0"/>
    <s v=""/>
    <m/>
    <m/>
    <s v=""/>
    <s v=""/>
    <s v=""/>
    <s v=""/>
    <s v=""/>
    <m/>
    <m/>
    <n v="0"/>
    <n v="0"/>
    <n v="0"/>
    <m/>
    <m/>
    <n v="60.21"/>
    <s v=""/>
    <s v=""/>
    <n v="0"/>
    <n v="0"/>
    <n v="0.34157754010695179"/>
    <n v="55"/>
    <s v="ITM"/>
    <n v="55"/>
    <s v="Losses"/>
    <s v="LCs"/>
    <s v=""/>
    <m/>
    <m/>
    <m/>
    <s v=""/>
    <s v=""/>
    <n v="31.45"/>
    <m/>
    <s v=""/>
    <m/>
    <m/>
    <m/>
    <m/>
    <m/>
    <m/>
    <n v="0"/>
    <n v="0"/>
    <m/>
    <s v=""/>
    <s v=""/>
    <s v=""/>
    <s v=""/>
    <m/>
    <m/>
    <m/>
    <m/>
    <m/>
    <m/>
    <b v="0"/>
    <b v="0"/>
    <n v="0"/>
    <m/>
    <n v="0"/>
    <s v=""/>
    <s v=""/>
    <s v=""/>
    <s v=""/>
    <n v="0"/>
    <n v="0"/>
    <s v=""/>
    <n v="0"/>
    <m/>
    <n v="0"/>
    <n v="0"/>
    <s v=""/>
    <m/>
    <m/>
    <s v=""/>
    <m/>
    <s v=""/>
    <s v=""/>
    <s v=""/>
    <m/>
    <m/>
    <s v=""/>
    <s v=""/>
    <s v=""/>
    <s v=""/>
    <s v=""/>
    <s v=""/>
    <m/>
    <m/>
    <s v=""/>
    <s v=""/>
    <s v=""/>
    <s v=""/>
    <m/>
    <m/>
    <m/>
    <m/>
    <m/>
    <m/>
    <n v="0"/>
    <s v=""/>
    <s v=""/>
    <s v=""/>
    <s v=""/>
    <n v="7.15"/>
    <n v="0"/>
    <n v="0"/>
    <e v="#DIV/0!"/>
    <s v=""/>
    <s v=""/>
    <s v=""/>
    <s v=""/>
    <m/>
    <s v=""/>
    <m/>
    <s v=""/>
    <s v=""/>
    <e v="#VALUE!"/>
    <n v="0"/>
    <s v=""/>
    <n v="0"/>
    <m/>
    <m/>
    <m/>
    <m/>
    <m/>
    <m/>
    <b v="0"/>
    <b v="0"/>
    <m/>
    <s v=""/>
    <s v=""/>
    <n v="0"/>
    <s v=""/>
    <s v=""/>
    <n v="0"/>
    <m/>
    <m/>
    <m/>
    <n v="0"/>
    <m/>
    <s v=""/>
    <s v=""/>
    <n v="0"/>
    <n v="0"/>
    <m/>
    <s v=""/>
    <s v=""/>
    <s v=""/>
    <s v=""/>
    <s v=""/>
    <s v=""/>
    <s v=""/>
    <s v=""/>
    <s v=""/>
    <n v="0"/>
    <s v=""/>
    <s v=""/>
    <s v=""/>
    <s v=""/>
    <s v=""/>
    <s v=""/>
    <s v=""/>
    <s v=""/>
    <n v="0"/>
    <n v="57.1995"/>
    <n v="87.516000000000005"/>
    <m/>
    <m/>
    <n v="0"/>
    <s v=""/>
    <n v="0"/>
    <s v=""/>
    <s v="{058CCA02-214F-4412-A330-004302838D96}"/>
    <s v=""/>
    <s v=""/>
    <s v=""/>
    <s v=""/>
    <s v=""/>
    <s v=""/>
    <s v=""/>
    <s v=""/>
    <s v=""/>
    <s v=""/>
    <x v="0"/>
    <s v=""/>
  </r>
  <r>
    <s v="ETN"/>
    <n v="406.91"/>
    <m/>
    <n v="345.87350000000004"/>
    <x v="57"/>
    <x v="15"/>
    <m/>
    <d v="2022-08-02T06:30:00"/>
    <d v="2022-08-02T06:30:00"/>
    <m/>
    <m/>
    <m/>
    <m/>
    <m/>
    <m/>
    <m/>
    <s v=""/>
    <n v="0"/>
    <n v="0"/>
    <s v=""/>
    <m/>
    <m/>
    <s v=""/>
    <s v=""/>
    <s v=""/>
    <s v=""/>
    <s v=""/>
    <n v="2.2000000000000002"/>
    <d v="2015-11-21T00:00:00"/>
    <n v="0"/>
    <n v="0"/>
    <n v="5.4066009682730825E-3"/>
    <d v="2015-07-28T00:00:00"/>
    <m/>
    <n v="74"/>
    <s v=""/>
    <s v=""/>
    <n v="0"/>
    <n v="0"/>
    <n v="-0.8181416037944508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0.3"/>
    <n v="793.47450000000003"/>
    <m/>
    <m/>
    <n v="0"/>
    <s v=""/>
    <n v="0"/>
    <s v=""/>
    <s v="{AA037B2F-0D25-4B86-939D-98DC80ACEAC2}"/>
    <s v=""/>
    <s v=""/>
    <s v=""/>
    <s v=""/>
    <s v=""/>
    <s v=""/>
    <s v=""/>
    <s v=""/>
    <s v=""/>
    <s v=""/>
    <x v="0"/>
    <s v=""/>
  </r>
  <r>
    <s v="EWZ"/>
    <n v="36.619999999999997"/>
    <m/>
    <n v="31.126999999999995"/>
    <x v="35"/>
    <x v="8"/>
    <m/>
    <d v="2022-08-02T06:30:00"/>
    <d v="2022-08-02T06:30:00"/>
    <m/>
    <m/>
    <m/>
    <m/>
    <m/>
    <m/>
    <m/>
    <s v=""/>
    <n v="0"/>
    <n v="0"/>
    <s v=""/>
    <m/>
    <m/>
    <s v=""/>
    <s v=""/>
    <s v=""/>
    <s v=""/>
    <s v=""/>
    <m/>
    <m/>
    <n v="0"/>
    <n v="0"/>
    <n v="0"/>
    <m/>
    <m/>
    <s v="-"/>
    <s v=""/>
    <s v=""/>
    <n v="0"/>
    <n v="0"/>
    <s v=""/>
    <n v="40.5"/>
    <s v="free money"/>
    <n v="40.5"/>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71.408999999999992"/>
    <m/>
    <m/>
    <n v="0"/>
    <s v=""/>
    <n v="0"/>
    <s v=""/>
    <s v="{1D72F8E7-72EC-4490-9B7D-34054A061033}"/>
    <s v=""/>
    <s v=""/>
    <s v=""/>
    <s v=""/>
    <s v=""/>
    <s v=""/>
    <s v=""/>
    <s v=""/>
    <s v=""/>
    <s v=""/>
    <x v="0"/>
    <s v=""/>
  </r>
  <r>
    <s v="EXEL"/>
    <n v="54.98"/>
    <s v="Swing"/>
    <n v="46.732999999999997"/>
    <x v="15"/>
    <x v="3"/>
    <m/>
    <m/>
    <m/>
    <m/>
    <m/>
    <m/>
    <m/>
    <m/>
    <m/>
    <m/>
    <s v=""/>
    <n v="0"/>
    <n v="0"/>
    <s v=""/>
    <n v="32"/>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0"/>
    <n v="107.211"/>
    <m/>
    <m/>
    <n v="0"/>
    <s v=""/>
    <n v="0"/>
    <s v=""/>
    <m/>
    <s v=""/>
    <s v=""/>
    <s v=""/>
    <s v=""/>
    <s v=""/>
    <s v=""/>
    <s v=""/>
    <s v=""/>
    <s v=""/>
    <s v=""/>
    <x v="0"/>
    <s v=""/>
  </r>
  <r>
    <s v="EZU"/>
    <n v="68.819999999999993"/>
    <m/>
    <n v="58.496999999999993"/>
    <x v="35"/>
    <x v="8"/>
    <m/>
    <d v="2022-08-02T06:30:00"/>
    <d v="2022-08-02T06:30:00"/>
    <m/>
    <m/>
    <m/>
    <m/>
    <m/>
    <m/>
    <m/>
    <s v=""/>
    <n v="0"/>
    <n v="0"/>
    <s v=""/>
    <m/>
    <m/>
    <s v=""/>
    <s v=""/>
    <s v=""/>
    <s v=""/>
    <s v=""/>
    <m/>
    <s v="N/A"/>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34.19899999999998"/>
    <m/>
    <m/>
    <n v="0"/>
    <s v=""/>
    <n v="0"/>
    <s v=""/>
    <s v="{820E9F3B-4E92-4D9A-B36B-A44FEC2883C5}"/>
    <s v=""/>
    <s v=""/>
    <s v=""/>
    <s v=""/>
    <s v=""/>
    <s v=""/>
    <s v=""/>
    <s v=""/>
    <s v=""/>
    <s v=""/>
    <x v="0"/>
    <s v=""/>
  </r>
  <r>
    <s v="FAST"/>
    <n v="45.33"/>
    <m/>
    <n v="38.530499999999996"/>
    <x v="86"/>
    <x v="14"/>
    <m/>
    <d v="2022-07-13T06:50:00"/>
    <d v="2022-07-13T06:50:00"/>
    <m/>
    <m/>
    <m/>
    <m/>
    <m/>
    <m/>
    <m/>
    <s v=""/>
    <n v="0"/>
    <n v="0"/>
    <s v=""/>
    <m/>
    <m/>
    <s v=""/>
    <s v=""/>
    <s v=""/>
    <s v=""/>
    <s v=""/>
    <n v="1.28"/>
    <d v="2017-05-28T00:00:00"/>
    <n v="0"/>
    <n v="0"/>
    <n v="2.8237370394881979E-2"/>
    <d v="2017-04-27T00:00:00"/>
    <m/>
    <n v="50.4"/>
    <s v=""/>
    <s v=""/>
    <n v="0"/>
    <n v="0"/>
    <n v="0.11184645929847783"/>
    <n v="51.58"/>
    <s v="ITM"/>
    <n v="51.58"/>
    <s v="Losse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7.879999999999995"/>
    <n v="88.393499999999989"/>
    <m/>
    <m/>
    <n v="0"/>
    <s v=""/>
    <n v="0"/>
    <s v=""/>
    <s v="{DCDF9AE0-FAAB-408A-AFAF-61200767F17C}"/>
    <s v=""/>
    <s v=""/>
    <s v=""/>
    <s v=""/>
    <s v=""/>
    <s v=""/>
    <s v=""/>
    <s v=""/>
    <s v=""/>
    <s v=""/>
    <x v="0"/>
    <s v=""/>
  </r>
  <r>
    <s v="BA"/>
    <n v="209.52"/>
    <s v="Prem"/>
    <n v="178.09200000000001"/>
    <x v="87"/>
    <x v="7"/>
    <m/>
    <d v="2023-01-25T00:00:00"/>
    <d v="2023-01-25T00:00:00"/>
    <m/>
    <m/>
    <m/>
    <m/>
    <m/>
    <n v="100"/>
    <n v="22261.360000000001"/>
    <n v="222.61360000000002"/>
    <n v="20952"/>
    <n v="-1309.3600000000006"/>
    <n v="-5.8817610424520363E-2"/>
    <n v="270"/>
    <n v="207"/>
    <n v="47.386399999999981"/>
    <n v="-15.613600000000019"/>
    <s v="3.0  : 1"/>
    <n v="4738.6399999999976"/>
    <n v="-1561.3600000000019"/>
    <n v="4.3600000000000003"/>
    <d v="2016-03-04T00:00:00"/>
    <n v="109.00000000000001"/>
    <n v="436.00000000000006"/>
    <n v="2.0809469263077512E-2"/>
    <d v="2018-05-08T00:00:00"/>
    <n v="270"/>
    <n v="191.12"/>
    <n v="0.28865979381443291"/>
    <n v="-0.14147203944413103"/>
    <n v="-3149.3600000000006"/>
    <n v="-1840"/>
    <n v="-8.7819778541428042E-2"/>
    <n v="180"/>
    <s v="free money"/>
    <n v="180"/>
    <s v="Assignment"/>
    <s v="SPs"/>
    <s v="Y"/>
    <m/>
    <m/>
    <m/>
    <s v=""/>
    <s v=""/>
    <n v="218.03"/>
    <m/>
    <d v="2026-07-31T00:00:00"/>
    <m/>
    <m/>
    <m/>
    <m/>
    <m/>
    <m/>
    <n v="0"/>
    <n v="0"/>
    <m/>
    <s v=""/>
    <s v=""/>
    <s v=""/>
    <s v=""/>
    <m/>
    <m/>
    <m/>
    <m/>
    <m/>
    <m/>
    <b v="0"/>
    <b v="0"/>
    <n v="0"/>
    <n v="0.65"/>
    <n v="0"/>
    <s v=""/>
    <s v=""/>
    <s v=""/>
    <s v=""/>
    <n v="0"/>
    <n v="0"/>
    <s v=""/>
    <n v="0"/>
    <m/>
    <n v="0"/>
    <n v="0"/>
    <s v=""/>
    <m/>
    <m/>
    <s v=""/>
    <m/>
    <s v=""/>
    <s v=""/>
    <s v=""/>
    <m/>
    <m/>
    <s v=""/>
    <s v=""/>
    <s v=""/>
    <s v=""/>
    <s v=""/>
    <s v=""/>
    <m/>
    <m/>
    <s v=""/>
    <s v=""/>
    <s v=""/>
    <s v=""/>
    <m/>
    <m/>
    <m/>
    <m/>
    <m/>
    <m/>
    <n v="0"/>
    <s v=""/>
    <s v=""/>
    <s v=""/>
    <s v=""/>
    <m/>
    <s v=""/>
    <s v=""/>
    <s v=""/>
    <m/>
    <s v=""/>
    <s v=""/>
    <s v=""/>
    <m/>
    <s v=""/>
    <m/>
    <s v=""/>
    <s v=""/>
    <s v=""/>
    <n v="0"/>
    <s v=""/>
    <n v="1"/>
    <d v="2026-07-31T00:00:00"/>
    <n v="220"/>
    <n v="1"/>
    <d v="2026-07-26T00:00:00"/>
    <d v="2026-07-26T00:00:00"/>
    <n v="1.41"/>
    <b v="1"/>
    <b v="1"/>
    <n v="0.38"/>
    <n v="6"/>
    <n v="5"/>
    <n v="141"/>
    <n v="208.11"/>
    <n v="209.52"/>
    <n v="1.25712"/>
    <m/>
    <n v="2.71"/>
    <n v="0.09"/>
    <e v="#NAME?"/>
    <m/>
    <e v="#NAME?"/>
    <e v="#NAME?"/>
    <n v="0"/>
    <n v="2.71"/>
    <d v="2026-07-08T00:00:00"/>
    <n v="271"/>
    <n v="1.2934326078655975E-2"/>
    <n v="5.0019091256204608E-2"/>
    <n v="21997.29"/>
    <s v=""/>
    <n v="-123.06999999999971"/>
    <n v="219.97290000000001"/>
    <n v="1.2934326078655975E-2"/>
    <e v="#NAME?"/>
    <n v="10.47999999999999"/>
    <n v="4.806677980094478E-2"/>
    <s v=""/>
    <s v=""/>
    <n v="151.47999999999999"/>
    <e v="#NAME?"/>
    <n v="-271"/>
    <n v="-130"/>
    <n v="-0.92198581560283688"/>
    <n v="20"/>
    <n v="181.56399999999999"/>
    <n v="408.56400000000002"/>
    <m/>
    <m/>
    <n v="0"/>
    <n v="0"/>
    <n v="0"/>
    <n v="-0.58739022527682183"/>
    <s v="{63F05D95-E0E2-4096-900B-9BC47E8C48DC}"/>
    <s v=""/>
    <s v=""/>
    <s v=""/>
    <s v=""/>
    <s v=""/>
    <s v=""/>
    <s v="BA260731C00220000"/>
    <n v="1"/>
    <s v="Y"/>
    <s v="LNG SC "/>
    <x v="2"/>
    <n v="0.10412160452358646"/>
  </r>
  <r>
    <s v="CPRX"/>
    <n v="31.49"/>
    <m/>
    <n v="26.766499999999997"/>
    <x v="15"/>
    <x v="3"/>
    <m/>
    <m/>
    <m/>
    <m/>
    <m/>
    <m/>
    <m/>
    <m/>
    <m/>
    <m/>
    <s v=""/>
    <n v="0"/>
    <n v="0"/>
    <s v=""/>
    <m/>
    <m/>
    <s v=""/>
    <s v=""/>
    <s v=""/>
    <s v=""/>
    <s v=""/>
    <m/>
    <m/>
    <n v="0"/>
    <n v="0"/>
    <n v="0"/>
    <m/>
    <m/>
    <m/>
    <s v=""/>
    <s v=""/>
    <n v="0"/>
    <n v="0"/>
    <s v=""/>
    <m/>
    <m/>
    <m/>
    <m/>
    <m/>
    <s v=""/>
    <m/>
    <m/>
    <m/>
    <s v=""/>
    <s v=""/>
    <n v="24.2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61.405499999999996"/>
    <m/>
    <m/>
    <n v="0"/>
    <s v=""/>
    <n v="0"/>
    <s v=""/>
    <m/>
    <s v=""/>
    <s v=""/>
    <s v=""/>
    <s v=""/>
    <s v=""/>
    <s v=""/>
    <s v=""/>
    <s v=""/>
    <s v=""/>
    <s v=""/>
    <x v="0"/>
    <s v=""/>
  </r>
  <r>
    <s v="AMPX"/>
    <n v="10.17"/>
    <m/>
    <n v="8.644499999999999"/>
    <x v="39"/>
    <x v="7"/>
    <m/>
    <m/>
    <m/>
    <m/>
    <m/>
    <m/>
    <m/>
    <m/>
    <m/>
    <m/>
    <s v=""/>
    <n v="0"/>
    <n v="0"/>
    <s v=""/>
    <n v="24.5"/>
    <n v="18.95"/>
    <s v=""/>
    <s v=""/>
    <s v=""/>
    <s v=""/>
    <s v=""/>
    <m/>
    <m/>
    <n v="0"/>
    <n v="0"/>
    <n v="0"/>
    <m/>
    <m/>
    <m/>
    <s v=""/>
    <s v=""/>
    <n v="0"/>
    <n v="0"/>
    <s v=""/>
    <m/>
    <m/>
    <m/>
    <m/>
    <m/>
    <s v=""/>
    <m/>
    <m/>
    <m/>
    <s v=""/>
    <s v=""/>
    <n v="20.8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9.831499999999998"/>
    <m/>
    <m/>
    <n v="0"/>
    <s v=""/>
    <n v="0"/>
    <s v=""/>
    <m/>
    <s v=""/>
    <s v=""/>
    <s v=""/>
    <s v=""/>
    <s v=""/>
    <s v=""/>
    <s v=""/>
    <s v=""/>
    <s v=""/>
    <s v=""/>
    <x v="0"/>
    <s v=""/>
  </r>
  <r>
    <s v="LULU_7"/>
    <n v="113.37"/>
    <s v="Swing"/>
    <n v="96.364500000000007"/>
    <x v="88"/>
    <x v="13"/>
    <m/>
    <d v="2022-09-01T16:05:00"/>
    <d v="2022-09-01T16:05:00"/>
    <m/>
    <m/>
    <m/>
    <m/>
    <m/>
    <m/>
    <m/>
    <s v=""/>
    <n v="0"/>
    <n v="0"/>
    <s v=""/>
    <n v="350"/>
    <n v="299.88"/>
    <s v=""/>
    <s v=""/>
    <s v=""/>
    <s v=""/>
    <s v=""/>
    <m/>
    <m/>
    <n v="0"/>
    <n v="0"/>
    <n v="0"/>
    <s v="N/A"/>
    <m/>
    <n v="320.74"/>
    <s v=""/>
    <s v=""/>
    <n v="0"/>
    <n v="0"/>
    <n v="1.8291435123930493"/>
    <n v="350"/>
    <s v="assignment"/>
    <n v="350"/>
    <s v="free money"/>
    <s v="CCs"/>
    <s v=""/>
    <m/>
    <m/>
    <m/>
    <s v=""/>
    <s v=""/>
    <n v="159.3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04.70299999999997"/>
    <n v="221.07150000000001"/>
    <m/>
    <m/>
    <n v="0"/>
    <s v=""/>
    <n v="0"/>
    <s v=""/>
    <s v="{AF4CCB4E-80DB-4638-9773-88B68020A2AB}"/>
    <s v=""/>
    <s v=""/>
    <s v=""/>
    <s v=""/>
    <s v=""/>
    <s v=""/>
    <s v=""/>
    <s v=""/>
    <s v=""/>
    <s v=""/>
    <x v="0"/>
    <s v=""/>
  </r>
  <r>
    <s v="TSM"/>
    <n v="421.21"/>
    <m/>
    <n v="358.02849999999995"/>
    <x v="24"/>
    <x v="12"/>
    <m/>
    <m/>
    <m/>
    <m/>
    <m/>
    <m/>
    <m/>
    <m/>
    <m/>
    <m/>
    <s v=""/>
    <n v="0"/>
    <n v="0"/>
    <s v=""/>
    <m/>
    <m/>
    <s v=""/>
    <s v=""/>
    <s v=""/>
    <s v=""/>
    <s v=""/>
    <m/>
    <m/>
    <n v="0"/>
    <n v="0"/>
    <n v="0"/>
    <m/>
    <m/>
    <m/>
    <s v=""/>
    <s v=""/>
    <n v="0"/>
    <n v="0"/>
    <s v=""/>
    <m/>
    <m/>
    <m/>
    <m/>
    <m/>
    <s v=""/>
    <m/>
    <m/>
    <m/>
    <s v=""/>
    <s v=""/>
    <n v="323.2099999999999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821.35949999999991"/>
    <m/>
    <m/>
    <n v="0"/>
    <s v=""/>
    <n v="0"/>
    <s v=""/>
    <m/>
    <s v=""/>
    <s v=""/>
    <s v=""/>
    <s v=""/>
    <s v=""/>
    <s v=""/>
    <s v=""/>
    <s v=""/>
    <s v=""/>
    <s v=""/>
    <x v="0"/>
    <s v=""/>
  </r>
  <r>
    <s v="CL"/>
    <n v="91.63"/>
    <m/>
    <n v="77.885499999999993"/>
    <x v="81"/>
    <x v="4"/>
    <m/>
    <d v="2022-07-20T06:55:00"/>
    <d v="2022-07-20T06:55:00"/>
    <s v="Confirmed"/>
    <m/>
    <n v="1"/>
    <m/>
    <m/>
    <m/>
    <m/>
    <s v=""/>
    <n v="0"/>
    <n v="0"/>
    <s v=""/>
    <m/>
    <m/>
    <s v=""/>
    <s v=""/>
    <s v=""/>
    <s v=""/>
    <s v=""/>
    <m/>
    <m/>
    <n v="0"/>
    <n v="0"/>
    <n v="0"/>
    <m/>
    <n v="77"/>
    <n v="75.69"/>
    <n v="-0.15966386554621845"/>
    <s v=""/>
    <n v="0"/>
    <n v="0"/>
    <n v="-0.1739604932882243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1.905499999999989"/>
    <n v="178.67849999999999"/>
    <m/>
    <m/>
    <n v="0"/>
    <s v=""/>
    <n v="0"/>
    <s v=""/>
    <m/>
    <s v=""/>
    <s v=""/>
    <s v=""/>
    <s v=""/>
    <s v=""/>
    <s v=""/>
    <s v=""/>
    <s v=""/>
    <s v=""/>
    <s v=""/>
    <x v="0"/>
    <s v=""/>
  </r>
  <r>
    <s v="SMR_2"/>
    <n v="8.09"/>
    <m/>
    <n v="6.8765000000000001"/>
    <x v="89"/>
    <x v="7"/>
    <m/>
    <m/>
    <m/>
    <m/>
    <m/>
    <m/>
    <m/>
    <m/>
    <n v="800"/>
    <n v="13600"/>
    <n v="17"/>
    <n v="6472"/>
    <n v="-7128"/>
    <n v="-0.52411764705882358"/>
    <n v="25"/>
    <n v="17.66"/>
    <n v="8"/>
    <n v="0.66000000000000014"/>
    <s v="12.1  : 1"/>
    <n v="6400"/>
    <n v="528.00000000000011"/>
    <m/>
    <m/>
    <n v="0"/>
    <n v="0"/>
    <n v="0"/>
    <m/>
    <m/>
    <m/>
    <s v=""/>
    <s v=""/>
    <n v="0"/>
    <n v="0"/>
    <s v=""/>
    <m/>
    <m/>
    <m/>
    <m/>
    <m/>
    <s v="Y"/>
    <m/>
    <m/>
    <m/>
    <s v=""/>
    <s v=""/>
    <n v="13.36"/>
    <m/>
    <d v="2026-07-10T00:00:00"/>
    <m/>
    <m/>
    <m/>
    <m/>
    <m/>
    <m/>
    <n v="0"/>
    <n v="0"/>
    <m/>
    <s v=""/>
    <s v=""/>
    <s v=""/>
    <s v=""/>
    <d v="2026-07-10T00:00:00"/>
    <n v="10.5"/>
    <n v="8"/>
    <d v="2026-06-26T00:00:00"/>
    <d v="2026-06-26T00:00:00"/>
    <n v="0.5"/>
    <b v="1"/>
    <b v="1"/>
    <n v="400"/>
    <n v="0.55000000000000004"/>
    <n v="0"/>
    <n v="10"/>
    <n v="14"/>
    <n v="4.7619047619047616E-2"/>
    <n v="1.2414965986394557"/>
    <n v="0"/>
    <n v="8400"/>
    <n v="-0.23609394313967863"/>
    <n v="8400"/>
    <m/>
    <n v="8400"/>
    <s v=""/>
    <n v="-1528"/>
    <n v="1.03"/>
    <n v="0.55000000000000004"/>
    <e v="#NAME?"/>
    <m/>
    <e v="#NAME?"/>
    <e v="#NAME?"/>
    <e v="#NAME?"/>
    <d v="2026-07-10T00:00:00"/>
    <m/>
    <n v="-16"/>
    <e v="#NAME?"/>
    <n v="10.185"/>
    <n v="148.0000000000004"/>
    <n v="0.75"/>
    <n v="200"/>
    <m/>
    <m/>
    <s v=""/>
    <n v="-824"/>
    <n v="-424"/>
    <n v="-1.06"/>
    <m/>
    <m/>
    <m/>
    <m/>
    <m/>
    <m/>
    <n v="0"/>
    <s v=""/>
    <s v=""/>
    <s v=""/>
    <s v=""/>
    <m/>
    <s v=""/>
    <s v=""/>
    <s v=""/>
    <s v=""/>
    <s v=""/>
    <s v=""/>
    <s v=""/>
    <m/>
    <s v=""/>
    <m/>
    <s v=""/>
    <s v=""/>
    <s v=""/>
    <n v="0"/>
    <s v=""/>
    <n v="8"/>
    <m/>
    <m/>
    <m/>
    <m/>
    <m/>
    <m/>
    <b v="0"/>
    <b v="0"/>
    <m/>
    <s v=""/>
    <s v=""/>
    <n v="0"/>
    <s v=""/>
    <s v=""/>
    <n v="0"/>
    <m/>
    <m/>
    <m/>
    <n v="0"/>
    <m/>
    <s v=""/>
    <s v=""/>
    <n v="0"/>
    <n v="0"/>
    <m/>
    <s v=""/>
    <s v=""/>
    <s v=""/>
    <s v=""/>
    <s v=""/>
    <s v=""/>
    <s v=""/>
    <s v=""/>
    <s v=""/>
    <n v="0"/>
    <s v=""/>
    <s v=""/>
    <s v=""/>
    <s v=""/>
    <s v=""/>
    <s v=""/>
    <s v=""/>
    <s v=""/>
    <n v="160"/>
    <n v="0"/>
    <n v="15.775499999999999"/>
    <m/>
    <m/>
    <n v="0"/>
    <n v="0"/>
    <n v="0"/>
    <s v=""/>
    <m/>
    <s v=""/>
    <s v=""/>
    <s v="SMR260710P00010500"/>
    <n v="1"/>
    <s v=""/>
    <s v=""/>
    <s v=""/>
    <s v=""/>
    <s v="Y"/>
    <s v="LNG SP "/>
    <x v="3"/>
    <n v="0.10167224483279058"/>
  </r>
  <r>
    <s v="FDC"/>
    <n v="31.69"/>
    <m/>
    <n v="26.936499999999999"/>
    <x v="90"/>
    <x v="14"/>
    <m/>
    <d v="2022-07-21T07:45:00"/>
    <d v="2022-07-21T07:45:00"/>
    <m/>
    <m/>
    <m/>
    <m/>
    <m/>
    <m/>
    <m/>
    <s v=""/>
    <n v="0"/>
    <n v="0"/>
    <s v=""/>
    <m/>
    <m/>
    <s v=""/>
    <s v=""/>
    <s v=""/>
    <s v=""/>
    <s v=""/>
    <m/>
    <m/>
    <n v="0"/>
    <n v="0"/>
    <n v="0"/>
    <m/>
    <n v="21"/>
    <n v="21.22"/>
    <n v="-0.33733038813505839"/>
    <s v=""/>
    <n v="0"/>
    <n v="0"/>
    <n v="-0.3303881350583781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0.158999999999999"/>
    <n v="61.795500000000004"/>
    <m/>
    <m/>
    <n v="0"/>
    <s v=""/>
    <n v="0"/>
    <s v=""/>
    <s v="{38E8E17B-AB36-49B0-8BE1-E3578416434F}"/>
    <s v=""/>
    <s v=""/>
    <s v=""/>
    <s v=""/>
    <s v=""/>
    <s v=""/>
    <s v=""/>
    <s v=""/>
    <s v=""/>
    <s v=""/>
    <x v="0"/>
    <s v=""/>
  </r>
  <r>
    <s v="FDX"/>
    <n v="321.02"/>
    <s v="Swing"/>
    <n v="272.86699999999996"/>
    <x v="91"/>
    <x v="14"/>
    <m/>
    <d v="2022-06-23T16:00:00"/>
    <d v="2022-06-23T16:00:00"/>
    <s v="Confirmed"/>
    <m/>
    <m/>
    <m/>
    <m/>
    <m/>
    <m/>
    <s v=""/>
    <n v="0"/>
    <n v="0"/>
    <s v=""/>
    <m/>
    <m/>
    <s v=""/>
    <s v=""/>
    <s v=""/>
    <s v=""/>
    <s v=""/>
    <m/>
    <m/>
    <n v="0"/>
    <n v="0"/>
    <n v="0"/>
    <m/>
    <m/>
    <n v="336.19"/>
    <s v=""/>
    <s v=""/>
    <n v="0"/>
    <n v="0"/>
    <n v="4.7255622702635405E-2"/>
    <n v="320"/>
    <s v="assignment"/>
    <n v="300"/>
    <s v="Losses"/>
    <s v="Diagonal"/>
    <s v=""/>
    <s v="BuPS also"/>
    <m/>
    <m/>
    <s v=""/>
    <s v=""/>
    <n v="11.6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9.38049999999998"/>
    <n v="625.98899999999992"/>
    <m/>
    <m/>
    <n v="0"/>
    <s v=""/>
    <n v="0"/>
    <s v=""/>
    <s v="{DE785C8F-02BA-4F49-ACAF-6F73F05A4D76}"/>
    <s v=""/>
    <s v=""/>
    <s v=""/>
    <s v=""/>
    <s v=""/>
    <s v=""/>
    <s v=""/>
    <s v=""/>
    <s v=""/>
    <s v=""/>
    <x v="0"/>
    <s v=""/>
  </r>
  <r>
    <s v="FFIV"/>
    <n v="400.61"/>
    <m/>
    <n v="340.51850000000002"/>
    <x v="92"/>
    <x v="2"/>
    <m/>
    <d v="2022-07-26T16:05:00"/>
    <d v="2022-07-26T16:05:00"/>
    <m/>
    <s v="conference"/>
    <m/>
    <m/>
    <m/>
    <m/>
    <m/>
    <s v=""/>
    <n v="0"/>
    <n v="0"/>
    <s v=""/>
    <m/>
    <m/>
    <s v=""/>
    <s v=""/>
    <s v=""/>
    <s v=""/>
    <s v=""/>
    <n v="0"/>
    <s v="N/A"/>
    <n v="0"/>
    <n v="0"/>
    <n v="0"/>
    <s v="N/A"/>
    <n v="125"/>
    <n v="134.13999999999999"/>
    <n v="-0.68797583684880559"/>
    <s v=""/>
    <n v="0"/>
    <n v="0"/>
    <n v="-0.6651606300391902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7.43299999999998"/>
    <n v="781.18949999999995"/>
    <m/>
    <n v="121.18"/>
    <n v="0"/>
    <s v=""/>
    <n v="0"/>
    <s v=""/>
    <s v="{5D1CF3B1-946A-4B8A-8ACA-CBB093E487F6}"/>
    <s v=""/>
    <s v=""/>
    <s v=""/>
    <s v=""/>
    <s v=""/>
    <s v=""/>
    <s v=""/>
    <s v=""/>
    <s v=""/>
    <s v=""/>
    <x v="0"/>
    <s v=""/>
  </r>
  <r>
    <s v="FIVE"/>
    <n v="204.87"/>
    <m/>
    <n v="174.1395"/>
    <x v="79"/>
    <x v="14"/>
    <m/>
    <d v="2022-06-08T16:00:00"/>
    <d v="2022-06-08T16:00:00"/>
    <s v="Confirmed"/>
    <m/>
    <m/>
    <m/>
    <m/>
    <m/>
    <m/>
    <s v=""/>
    <n v="0"/>
    <n v="0"/>
    <s v=""/>
    <m/>
    <m/>
    <s v=""/>
    <s v=""/>
    <s v=""/>
    <s v=""/>
    <s v=""/>
    <m/>
    <m/>
    <n v="0"/>
    <n v="0"/>
    <n v="0"/>
    <m/>
    <m/>
    <n v="85.19"/>
    <s v=""/>
    <s v=""/>
    <n v="0"/>
    <n v="0"/>
    <n v="-0.58417533069751548"/>
    <n v="120"/>
    <s v="ITM"/>
    <n v="115"/>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0.930499999999995"/>
    <n v="399.49650000000003"/>
    <m/>
    <m/>
    <n v="0"/>
    <s v=""/>
    <n v="0"/>
    <s v=""/>
    <s v="{882F57CA-158B-41B1-B78B-45F7FA03D986}"/>
    <s v=""/>
    <s v=""/>
    <s v=""/>
    <s v=""/>
    <s v=""/>
    <s v=""/>
    <s v=""/>
    <s v=""/>
    <s v=""/>
    <s v=""/>
    <x v="0"/>
    <s v=""/>
  </r>
  <r>
    <s v="FL"/>
    <n v="40.92"/>
    <m/>
    <n v="34.782000000000004"/>
    <x v="93"/>
    <x v="13"/>
    <m/>
    <d v="2022-08-19T06:45:00"/>
    <d v="2022-08-19T06:45:00"/>
    <m/>
    <m/>
    <m/>
    <m/>
    <n v="2"/>
    <m/>
    <m/>
    <s v=""/>
    <n v="0"/>
    <n v="0"/>
    <s v=""/>
    <m/>
    <m/>
    <s v=""/>
    <s v=""/>
    <s v=""/>
    <s v=""/>
    <s v=""/>
    <n v="1.24"/>
    <d v="2017-04-28T00:00:00"/>
    <n v="0"/>
    <n v="0"/>
    <n v="3.03030303030303E-2"/>
    <d v="2019-07-17T00:00:00"/>
    <m/>
    <n v="33.520000000000003"/>
    <s v=""/>
    <s v=""/>
    <n v="0"/>
    <n v="0"/>
    <n v="-0.1808406647116324"/>
    <n v="25"/>
    <s v="max loss"/>
    <n v="20"/>
    <s v="max gain"/>
    <s v="BePS"/>
    <s v=""/>
    <m/>
    <m/>
    <m/>
    <s v=""/>
    <s v=""/>
    <n v="1.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844000000000001"/>
    <n v="79.793999999999997"/>
    <m/>
    <m/>
    <n v="0"/>
    <s v=""/>
    <n v="0"/>
    <s v=""/>
    <s v="{3E4C95F2-6E29-4171-935C-FC0AD84DA4BD}"/>
    <s v=""/>
    <s v=""/>
    <s v=""/>
    <s v=""/>
    <s v=""/>
    <s v=""/>
    <s v=""/>
    <s v=""/>
    <s v=""/>
    <s v=""/>
    <x v="0"/>
    <s v=""/>
  </r>
  <r>
    <s v="FLEX"/>
    <n v="127"/>
    <m/>
    <n v="107.95"/>
    <x v="94"/>
    <x v="2"/>
    <m/>
    <d v="2022-08-03T16:00:00"/>
    <d v="2022-08-03T16:00:00"/>
    <m/>
    <m/>
    <m/>
    <m/>
    <m/>
    <m/>
    <m/>
    <s v=""/>
    <n v="0"/>
    <n v="0"/>
    <s v=""/>
    <m/>
    <m/>
    <s v=""/>
    <s v=""/>
    <s v=""/>
    <s v=""/>
    <s v=""/>
    <m/>
    <m/>
    <n v="0"/>
    <n v="0"/>
    <n v="0"/>
    <m/>
    <m/>
    <n v="13.6"/>
    <s v=""/>
    <s v=""/>
    <n v="0"/>
    <n v="0"/>
    <n v="-0.89291338582677171"/>
    <m/>
    <m/>
    <m/>
    <m/>
    <m/>
    <s v=""/>
    <m/>
    <m/>
    <m/>
    <s v=""/>
    <s v=""/>
    <n v="12.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92"/>
    <n v="247.65"/>
    <m/>
    <m/>
    <n v="0"/>
    <s v=""/>
    <n v="0"/>
    <s v=""/>
    <s v="{DDC9D136-72F8-4940-9C95-0336B02D0EA5}"/>
    <s v=""/>
    <s v=""/>
    <s v=""/>
    <s v=""/>
    <s v=""/>
    <s v=""/>
    <s v=""/>
    <s v=""/>
    <s v=""/>
    <s v=""/>
    <x v="0"/>
    <s v=""/>
  </r>
  <r>
    <s v="FLT"/>
    <n v="303.79000000000002"/>
    <m/>
    <n v="258.22149999999999"/>
    <x v="90"/>
    <x v="14"/>
    <m/>
    <d v="2022-08-04T16:05:00"/>
    <d v="2022-08-04T16:05:00"/>
    <m/>
    <m/>
    <m/>
    <m/>
    <m/>
    <m/>
    <m/>
    <s v=""/>
    <n v="0"/>
    <n v="0"/>
    <s v=""/>
    <m/>
    <m/>
    <s v=""/>
    <s v=""/>
    <s v=""/>
    <s v=""/>
    <s v=""/>
    <m/>
    <m/>
    <n v="0"/>
    <n v="0"/>
    <n v="0"/>
    <m/>
    <m/>
    <n v="267.76"/>
    <s v=""/>
    <s v=""/>
    <n v="0"/>
    <n v="0"/>
    <n v="-0.11860166562428003"/>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54.37199999999999"/>
    <n v="592.39049999999997"/>
    <m/>
    <m/>
    <n v="0"/>
    <s v=""/>
    <n v="0"/>
    <s v=""/>
    <s v="{AFD82012-55BE-46EB-BA7E-C5382C69D050}"/>
    <s v=""/>
    <s v=""/>
    <s v=""/>
    <s v=""/>
    <s v=""/>
    <s v=""/>
    <s v=""/>
    <s v=""/>
    <s v=""/>
    <s v=""/>
    <x v="0"/>
    <s v=""/>
  </r>
  <r>
    <s v="DRAM"/>
    <n v="53.2"/>
    <m/>
    <n v="45.22"/>
    <x v="35"/>
    <x v="8"/>
    <m/>
    <m/>
    <m/>
    <m/>
    <m/>
    <m/>
    <m/>
    <m/>
    <n v="1000"/>
    <n v="70701"/>
    <n v="70.700999999999993"/>
    <n v="53200"/>
    <n v="-17501"/>
    <n v="-0.24753539553895984"/>
    <m/>
    <m/>
    <s v=""/>
    <s v=""/>
    <s v=""/>
    <s v=""/>
    <s v=""/>
    <m/>
    <m/>
    <n v="0"/>
    <n v="0"/>
    <n v="0"/>
    <m/>
    <m/>
    <m/>
    <s v=""/>
    <s v=""/>
    <n v="0"/>
    <n v="0"/>
    <s v=""/>
    <m/>
    <m/>
    <m/>
    <m/>
    <m/>
    <s v="Y"/>
    <m/>
    <m/>
    <m/>
    <s v=""/>
    <s v=""/>
    <n v="67.13"/>
    <m/>
    <d v="2026-07-10T00:00:00"/>
    <m/>
    <m/>
    <m/>
    <m/>
    <m/>
    <m/>
    <n v="0"/>
    <n v="0"/>
    <m/>
    <s v=""/>
    <s v=""/>
    <s v=""/>
    <s v=""/>
    <d v="2026-07-10T00:00:00"/>
    <n v="55"/>
    <n v="10"/>
    <d v="2026-07-07T00:00:00"/>
    <d v="2026-07-07T00:00:00"/>
    <n v="1.1000000000000001"/>
    <b v="1"/>
    <b v="1"/>
    <n v="1100"/>
    <n v="0.25"/>
    <n v="0"/>
    <n v="53.9"/>
    <n v="3"/>
    <n v="0.02"/>
    <n v="2.4333333333333336"/>
    <n v="0"/>
    <n v="55000"/>
    <n v="-1.3157894736842025E-2"/>
    <n v="55000"/>
    <m/>
    <n v="55000"/>
    <s v=""/>
    <n v="-699.99999999999727"/>
    <n v="1.47"/>
    <n v="0.28999999999999998"/>
    <e v="#NAME?"/>
    <m/>
    <e v="#NAME?"/>
    <e v="#NAME?"/>
    <e v="#NAME?"/>
    <d v="2026-07-09T00:00:00"/>
    <m/>
    <n v="-16"/>
    <e v="#NAME?"/>
    <n v="53.35"/>
    <n v="-549.99999999999864"/>
    <n v="1.6500000000000001"/>
    <n v="550.00000000000023"/>
    <m/>
    <m/>
    <s v=""/>
    <n v="-1470"/>
    <n v="-370"/>
    <n v="-0.33636363636363636"/>
    <m/>
    <m/>
    <m/>
    <m/>
    <m/>
    <m/>
    <n v="0"/>
    <s v=""/>
    <s v=""/>
    <s v=""/>
    <s v=""/>
    <m/>
    <s v=""/>
    <s v=""/>
    <s v=""/>
    <s v=""/>
    <s v=""/>
    <s v=""/>
    <s v=""/>
    <m/>
    <s v=""/>
    <m/>
    <s v=""/>
    <s v=""/>
    <s v=""/>
    <n v="0"/>
    <s v=""/>
    <n v="10"/>
    <d v="2026-07-31T00:00:00"/>
    <n v="60"/>
    <n v="10"/>
    <d v="2026-07-26T00:00:00"/>
    <d v="2026-07-26T00:00:00"/>
    <n v="1.4"/>
    <b v="1"/>
    <b v="1"/>
    <n v="0.3"/>
    <n v="6"/>
    <n v="5"/>
    <n v="1400"/>
    <n v="51.800000000000004"/>
    <n v="53.2"/>
    <n v="0.31920000000000004"/>
    <m/>
    <n v="0.95"/>
    <n v="6.6000000000000003E-2"/>
    <e v="#NAME?"/>
    <m/>
    <e v="#NAME?"/>
    <e v="#NAME?"/>
    <n v="0"/>
    <n v="0.95"/>
    <d v="2026-07-08T00:00:00"/>
    <n v="950"/>
    <n v="1.7857142857142856E-2"/>
    <n v="0.12781954887218039"/>
    <n v="59999.05"/>
    <s v=""/>
    <n v="-9301.9499999999971"/>
    <n v="59.999050000000004"/>
    <n v="1.7857142857142856E-2"/>
    <e v="#NAME?"/>
    <n v="6.7999999999999972"/>
    <n v="0.10129599284969459"/>
    <s v=""/>
    <s v=""/>
    <n v="1468"/>
    <e v="#NAME?"/>
    <n v="-950"/>
    <n v="450"/>
    <n v="0.32142857142857145"/>
    <n v="200"/>
    <n v="0"/>
    <n v="103.74000000000001"/>
    <m/>
    <m/>
    <n v="0"/>
    <n v="0"/>
    <n v="0"/>
    <n v="-174.84868421052624"/>
    <m/>
    <s v=""/>
    <s v=""/>
    <s v="DRAM260710P00055000"/>
    <n v="1"/>
    <s v=""/>
    <s v=""/>
    <s v="DRAM260731C00060000"/>
    <n v="1"/>
    <s v="Y"/>
    <s v="LNG SP SC "/>
    <x v="4"/>
    <n v="0.57991306646502927"/>
  </r>
  <r>
    <s v="FOCS"/>
    <n v="46.17"/>
    <m/>
    <n v="39.244500000000002"/>
    <x v="40"/>
    <x v="8"/>
    <m/>
    <d v="2022-08-04T07:55:00"/>
    <d v="2022-08-04T07:55:00"/>
    <m/>
    <m/>
    <m/>
    <m/>
    <m/>
    <m/>
    <m/>
    <s v=""/>
    <n v="0"/>
    <n v="0"/>
    <s v=""/>
    <m/>
    <m/>
    <s v=""/>
    <s v=""/>
    <s v=""/>
    <s v=""/>
    <s v=""/>
    <m/>
    <m/>
    <n v="0"/>
    <n v="0"/>
    <n v="0"/>
    <m/>
    <m/>
    <n v="46.55"/>
    <s v=""/>
    <s v=""/>
    <n v="0"/>
    <n v="0"/>
    <n v="8.2304526748970212E-3"/>
    <m/>
    <m/>
    <n v="39.9"/>
    <s v="stop ou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4.222499999999997"/>
    <n v="90.031500000000008"/>
    <m/>
    <m/>
    <n v="0"/>
    <s v=""/>
    <n v="0"/>
    <s v=""/>
    <m/>
    <s v=""/>
    <s v=""/>
    <s v=""/>
    <s v=""/>
    <s v=""/>
    <s v=""/>
    <s v=""/>
    <s v=""/>
    <s v=""/>
    <s v=""/>
    <x v="0"/>
    <s v=""/>
  </r>
  <r>
    <s v="FOXA"/>
    <n v="56.45"/>
    <m/>
    <n v="47.982500000000002"/>
    <x v="48"/>
    <x v="14"/>
    <m/>
    <d v="2022-08-09T00:00:00"/>
    <d v="2022-08-09T00:00:00"/>
    <m/>
    <m/>
    <m/>
    <m/>
    <m/>
    <m/>
    <m/>
    <s v=""/>
    <n v="0"/>
    <n v="0"/>
    <s v=""/>
    <m/>
    <m/>
    <s v=""/>
    <s v=""/>
    <s v=""/>
    <s v=""/>
    <s v=""/>
    <n v="0.3"/>
    <d v="2015-10-14T00:00:00"/>
    <n v="0"/>
    <n v="0"/>
    <n v="5.3144375553587243E-3"/>
    <d v="2015-09-02T00:00:00"/>
    <m/>
    <n v="34.270000000000003"/>
    <s v=""/>
    <s v=""/>
    <n v="0"/>
    <n v="0"/>
    <n v="-0.3929140832595216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5565"/>
    <n v="110.0775"/>
    <m/>
    <m/>
    <n v="0"/>
    <s v=""/>
    <n v="0"/>
    <s v=""/>
    <s v="{ADDC6BC6-E2D6-4436-96A8-4511B5213E18}"/>
    <s v=""/>
    <s v=""/>
    <s v=""/>
    <s v=""/>
    <s v=""/>
    <s v=""/>
    <s v=""/>
    <s v=""/>
    <s v=""/>
    <s v=""/>
    <x v="0"/>
    <s v=""/>
  </r>
  <r>
    <s v="FROG"/>
    <n v="79.680000000000007"/>
    <s v="Swing"/>
    <n v="67.728000000000009"/>
    <x v="11"/>
    <x v="2"/>
    <m/>
    <d v="2022-08-08T16:05:00"/>
    <d v="2022-08-08T16:05:00"/>
    <m/>
    <m/>
    <m/>
    <m/>
    <m/>
    <m/>
    <m/>
    <s v=""/>
    <n v="0"/>
    <n v="0"/>
    <s v=""/>
    <m/>
    <m/>
    <s v=""/>
    <s v=""/>
    <s v=""/>
    <s v=""/>
    <s v=""/>
    <m/>
    <m/>
    <n v="0"/>
    <n v="0"/>
    <n v="0"/>
    <m/>
    <m/>
    <n v="76.78"/>
    <s v=""/>
    <s v=""/>
    <n v="0"/>
    <n v="0"/>
    <n v="-3.639558232931734E-2"/>
    <m/>
    <m/>
    <m/>
    <m/>
    <m/>
    <s v=""/>
    <m/>
    <m/>
    <m/>
    <s v=""/>
    <s v=""/>
    <m/>
    <s v="roll up?"/>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2.941000000000003"/>
    <n v="155.376"/>
    <m/>
    <m/>
    <n v="0"/>
    <s v=""/>
    <n v="0"/>
    <s v=""/>
    <m/>
    <s v=""/>
    <s v=""/>
    <s v=""/>
    <s v=""/>
    <s v=""/>
    <s v=""/>
    <s v=""/>
    <s v=""/>
    <s v=""/>
    <s v=""/>
    <x v="0"/>
    <s v=""/>
  </r>
  <r>
    <s v="FSLY"/>
    <n v="20.46"/>
    <m/>
    <n v="17.391000000000002"/>
    <x v="11"/>
    <x v="2"/>
    <m/>
    <d v="2023-11-01T00:00:00"/>
    <m/>
    <m/>
    <m/>
    <m/>
    <m/>
    <m/>
    <m/>
    <m/>
    <s v=""/>
    <n v="0"/>
    <n v="0"/>
    <s v=""/>
    <m/>
    <m/>
    <s v=""/>
    <s v=""/>
    <s v=""/>
    <s v=""/>
    <s v=""/>
    <m/>
    <m/>
    <n v="0"/>
    <n v="0"/>
    <n v="0"/>
    <m/>
    <m/>
    <n v="18.75"/>
    <s v=""/>
    <s v=""/>
    <n v="0"/>
    <n v="0"/>
    <n v="-8.3577712609970711E-2"/>
    <n v="24"/>
    <s v="T1"/>
    <m/>
    <m/>
    <m/>
    <s v=""/>
    <m/>
    <m/>
    <m/>
    <s v=""/>
    <s v=""/>
    <n v="1.3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7.8125"/>
    <n v="39.896999999999998"/>
    <m/>
    <m/>
    <n v="0"/>
    <s v=""/>
    <n v="0"/>
    <s v=""/>
    <m/>
    <s v=""/>
    <s v=""/>
    <s v=""/>
    <s v=""/>
    <s v=""/>
    <s v=""/>
    <s v=""/>
    <s v=""/>
    <s v=""/>
    <s v=""/>
    <x v="0"/>
    <s v=""/>
  </r>
  <r>
    <s v="FTCH"/>
    <n v="35.049999999999997"/>
    <m/>
    <n v="29.792499999999997"/>
    <x v="33"/>
    <x v="1"/>
    <m/>
    <d v="2022-08-25T16:05:00"/>
    <d v="2022-08-25T16:05:00"/>
    <m/>
    <m/>
    <m/>
    <m/>
    <m/>
    <m/>
    <m/>
    <s v=""/>
    <n v="0"/>
    <n v="0"/>
    <s v=""/>
    <m/>
    <m/>
    <s v=""/>
    <s v=""/>
    <s v=""/>
    <s v=""/>
    <s v=""/>
    <m/>
    <m/>
    <n v="0"/>
    <n v="0"/>
    <n v="0"/>
    <m/>
    <m/>
    <n v="30.67"/>
    <s v=""/>
    <s v=""/>
    <n v="0"/>
    <n v="0"/>
    <n v="-0.1249643366619114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9.136500000000002"/>
    <n v="68.347499999999997"/>
    <m/>
    <m/>
    <n v="0"/>
    <s v=""/>
    <n v="0"/>
    <s v=""/>
    <m/>
    <s v=""/>
    <s v=""/>
    <s v=""/>
    <s v=""/>
    <s v=""/>
    <s v=""/>
    <s v=""/>
    <s v=""/>
    <s v=""/>
    <s v=""/>
    <x v="0"/>
    <s v=""/>
  </r>
  <r>
    <s v="FUBO"/>
    <n v="8.99"/>
    <s v="Swing"/>
    <n v="7.6414999999999997"/>
    <x v="95"/>
    <x v="9"/>
    <m/>
    <d v="2022-07-28T17:00:00"/>
    <d v="2022-07-28T17:00:00"/>
    <m/>
    <m/>
    <m/>
    <m/>
    <m/>
    <m/>
    <m/>
    <s v=""/>
    <n v="0"/>
    <n v="0"/>
    <s v=""/>
    <m/>
    <m/>
    <s v=""/>
    <s v=""/>
    <s v=""/>
    <s v=""/>
    <s v=""/>
    <m/>
    <m/>
    <n v="0"/>
    <n v="0"/>
    <n v="0"/>
    <m/>
    <n v="0"/>
    <n v="16.11"/>
    <n v="-1"/>
    <s v=""/>
    <n v="0"/>
    <n v="0"/>
    <n v="0.79199110122358163"/>
    <n v="8"/>
    <s v="assignment"/>
    <n v="8"/>
    <s v="free money"/>
    <s v="CCs"/>
    <s v=""/>
    <m/>
    <m/>
    <m/>
    <s v=""/>
    <s v=""/>
    <n v="22.4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304499999999999"/>
    <n v="17.5305"/>
    <m/>
    <m/>
    <n v="0"/>
    <s v=""/>
    <n v="0"/>
    <s v=""/>
    <s v="{A3855D45-5D09-40C2-9837-DAC3CB9F84D0}"/>
    <s v=""/>
    <s v=""/>
    <s v=""/>
    <s v=""/>
    <s v=""/>
    <s v=""/>
    <s v=""/>
    <s v=""/>
    <s v=""/>
    <s v=""/>
    <x v="0"/>
    <s v=""/>
  </r>
  <r>
    <s v="GBTC"/>
    <n v="51.08"/>
    <s v="CORE"/>
    <n v="43.417999999999999"/>
    <x v="35"/>
    <x v="18"/>
    <m/>
    <d v="2022-07-21T06:45:00"/>
    <d v="2022-07-21T06:45:00"/>
    <m/>
    <m/>
    <m/>
    <m/>
    <m/>
    <m/>
    <m/>
    <s v=""/>
    <n v="0"/>
    <n v="0"/>
    <s v=""/>
    <m/>
    <m/>
    <s v=""/>
    <s v=""/>
    <s v=""/>
    <s v=""/>
    <s v=""/>
    <m/>
    <m/>
    <n v="0"/>
    <n v="0"/>
    <n v="0"/>
    <m/>
    <m/>
    <n v="40"/>
    <s v=""/>
    <s v=""/>
    <n v="0"/>
    <n v="0"/>
    <n v="-0.2169146436961628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
    <n v="99.605999999999995"/>
    <m/>
    <m/>
    <n v="0"/>
    <s v=""/>
    <n v="0"/>
    <s v=""/>
    <m/>
    <s v=""/>
    <s v=""/>
    <s v=""/>
    <s v=""/>
    <s v=""/>
    <s v=""/>
    <s v=""/>
    <s v=""/>
    <s v=""/>
    <s v=""/>
    <x v="0"/>
    <s v=""/>
  </r>
  <r>
    <s v="GDDY"/>
    <n v="89.4"/>
    <m/>
    <n v="75.990000000000009"/>
    <x v="96"/>
    <x v="2"/>
    <m/>
    <d v="2022-08-03T16:05:00"/>
    <d v="2022-08-03T16:05:00"/>
    <m/>
    <m/>
    <m/>
    <m/>
    <n v="4"/>
    <m/>
    <m/>
    <s v=""/>
    <n v="0"/>
    <n v="0"/>
    <s v=""/>
    <m/>
    <m/>
    <s v=""/>
    <s v=""/>
    <s v=""/>
    <s v=""/>
    <s v=""/>
    <n v="0"/>
    <s v="N/A"/>
    <n v="0"/>
    <n v="0"/>
    <n v="0"/>
    <s v="N/A"/>
    <m/>
    <n v="79.540000000000006"/>
    <s v=""/>
    <s v=""/>
    <n v="0"/>
    <n v="0"/>
    <n v="-0.11029082774049216"/>
    <n v="35"/>
    <s v="Losses"/>
    <n v="30"/>
    <s v="IT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5.563000000000002"/>
    <n v="174.33"/>
    <m/>
    <m/>
    <n v="0"/>
    <s v=""/>
    <n v="0"/>
    <s v=""/>
    <s v="{D3411823-5E16-4528-9AB4-BC120FC1F84C}"/>
    <s v=""/>
    <s v=""/>
    <s v=""/>
    <s v=""/>
    <s v=""/>
    <s v=""/>
    <s v=""/>
    <s v=""/>
    <s v=""/>
    <s v=""/>
    <x v="0"/>
    <s v=""/>
  </r>
  <r>
    <s v="GDX"/>
    <n v="76.680000000000007"/>
    <m/>
    <n v="65.177999999999997"/>
    <x v="35"/>
    <x v="8"/>
    <m/>
    <m/>
    <m/>
    <m/>
    <m/>
    <m/>
    <m/>
    <m/>
    <m/>
    <m/>
    <s v=""/>
    <n v="0"/>
    <n v="0"/>
    <s v=""/>
    <m/>
    <m/>
    <s v=""/>
    <s v=""/>
    <s v=""/>
    <s v=""/>
    <s v=""/>
    <m/>
    <m/>
    <n v="0"/>
    <n v="0"/>
    <n v="0"/>
    <m/>
    <m/>
    <m/>
    <s v=""/>
    <s v=""/>
    <n v="0"/>
    <n v="0"/>
    <s v=""/>
    <n v="37"/>
    <s v="ITM"/>
    <n v="37"/>
    <s v="Losses"/>
    <s v="LCs"/>
    <s v=""/>
    <m/>
    <m/>
    <m/>
    <s v=""/>
    <s v=""/>
    <n v="61.4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n v="0.75"/>
    <s v=""/>
    <s v=""/>
    <n v="0"/>
    <s v=""/>
    <s v=""/>
    <n v="0"/>
    <m/>
    <m/>
    <m/>
    <n v="0"/>
    <m/>
    <s v=""/>
    <s v=""/>
    <n v="0"/>
    <n v="0"/>
    <m/>
    <s v=""/>
    <s v=""/>
    <s v=""/>
    <s v=""/>
    <s v=""/>
    <s v=""/>
    <s v=""/>
    <s v=""/>
    <s v=""/>
    <n v="0"/>
    <s v=""/>
    <s v=""/>
    <s v=""/>
    <s v=""/>
    <s v=""/>
    <s v=""/>
    <s v=""/>
    <s v=""/>
    <n v="0"/>
    <n v="0"/>
    <n v="149.52600000000001"/>
    <m/>
    <m/>
    <n v="0"/>
    <s v=""/>
    <n v="0"/>
    <s v=""/>
    <m/>
    <s v=""/>
    <s v=""/>
    <s v=""/>
    <s v=""/>
    <s v=""/>
    <s v=""/>
    <s v=""/>
    <s v=""/>
    <s v=""/>
    <s v=""/>
    <x v="0"/>
    <s v=""/>
  </r>
  <r>
    <s v="GE"/>
    <n v="341.19"/>
    <s v="Position"/>
    <n v="290.01150000000001"/>
    <x v="97"/>
    <x v="7"/>
    <m/>
    <d v="2022-10-25T06:20:00"/>
    <d v="2022-10-25T06:20:00"/>
    <m/>
    <m/>
    <m/>
    <m/>
    <m/>
    <m/>
    <m/>
    <s v=""/>
    <n v="0"/>
    <n v="0"/>
    <s v=""/>
    <n v="136"/>
    <n v="104"/>
    <s v=""/>
    <s v=""/>
    <s v=""/>
    <s v=""/>
    <s v=""/>
    <n v="0.96"/>
    <d v="2017-10-25T00:00:00"/>
    <n v="0"/>
    <n v="0"/>
    <n v="2.813681526422228E-3"/>
    <d v="2017-09-14T00:00:00"/>
    <n v="21"/>
    <n v="110.22"/>
    <n v="-0.93845071660951374"/>
    <s v=""/>
    <n v="0"/>
    <n v="0"/>
    <n v="-0.67695418974764798"/>
    <m/>
    <m/>
    <m/>
    <m/>
    <m/>
    <s v=""/>
    <m/>
    <m/>
    <m/>
    <s v=""/>
    <s v=""/>
    <n v="93.4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4.70899999999999"/>
    <n v="665.32049999999992"/>
    <m/>
    <n v="26.48"/>
    <n v="0"/>
    <s v=""/>
    <n v="0"/>
    <s v=""/>
    <s v="{DC1B80EC-0528-4862-9611-0CF4B52F570A}"/>
    <s v=""/>
    <s v=""/>
    <s v=""/>
    <s v=""/>
    <s v=""/>
    <s v=""/>
    <s v=""/>
    <s v=""/>
    <s v=""/>
    <s v=""/>
    <x v="0"/>
    <s v=""/>
  </r>
  <r>
    <s v="GFS"/>
    <n v="58.49"/>
    <s v="Swing"/>
    <n v="49.716500000000003"/>
    <x v="5"/>
    <x v="2"/>
    <m/>
    <d v="2023-02-07T00:00:00"/>
    <d v="2023-02-07T00:00:00"/>
    <m/>
    <m/>
    <m/>
    <m/>
    <m/>
    <m/>
    <m/>
    <s v=""/>
    <n v="0"/>
    <n v="0"/>
    <s v=""/>
    <m/>
    <m/>
    <s v=""/>
    <s v=""/>
    <s v=""/>
    <s v=""/>
    <s v=""/>
    <m/>
    <m/>
    <n v="0"/>
    <n v="0"/>
    <n v="0"/>
    <m/>
    <m/>
    <n v="68.930000000000007"/>
    <s v=""/>
    <s v=""/>
    <n v="0"/>
    <n v="0"/>
    <n v="0.17849204992306386"/>
    <n v="70"/>
    <s v="assignment"/>
    <n v="70"/>
    <s v="free money"/>
    <s v="CCs"/>
    <s v=""/>
    <m/>
    <m/>
    <m/>
    <s v=""/>
    <s v=""/>
    <n v="51.8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5.483500000000006"/>
    <n v="114.05549999999999"/>
    <m/>
    <m/>
    <n v="0"/>
    <s v=""/>
    <n v="0"/>
    <s v=""/>
    <s v="{0AEF0458-4962-42DD-A718-77308CF6D20C}"/>
    <s v=""/>
    <s v=""/>
    <s v=""/>
    <s v=""/>
    <s v=""/>
    <s v=""/>
    <s v=""/>
    <s v=""/>
    <s v=""/>
    <s v=""/>
    <x v="0"/>
    <s v=""/>
  </r>
  <r>
    <s v="GH"/>
    <n v="150.75"/>
    <m/>
    <n v="128.13749999999999"/>
    <x v="98"/>
    <x v="3"/>
    <m/>
    <d v="2022-08-04T16:05:00"/>
    <d v="2022-08-04T16:05:00"/>
    <m/>
    <m/>
    <m/>
    <m/>
    <m/>
    <m/>
    <m/>
    <s v=""/>
    <n v="0"/>
    <n v="0"/>
    <s v=""/>
    <m/>
    <m/>
    <s v=""/>
    <s v=""/>
    <s v=""/>
    <s v=""/>
    <s v=""/>
    <m/>
    <m/>
    <n v="0"/>
    <n v="0"/>
    <n v="0"/>
    <m/>
    <m/>
    <n v="108.33"/>
    <s v=""/>
    <s v=""/>
    <n v="0"/>
    <n v="0"/>
    <n v="-0.28139303482587064"/>
    <n v="95"/>
    <s v="assignment"/>
    <n v="85"/>
    <s v="stop out"/>
    <s v="BuyWrite"/>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2.9135"/>
    <n v="293.96249999999998"/>
    <m/>
    <m/>
    <n v="0"/>
    <s v=""/>
    <n v="0"/>
    <s v=""/>
    <s v="{64AF0BD7-B6C8-4FAF-BD32-28A9E237DFCE}"/>
    <s v=""/>
    <s v=""/>
    <s v=""/>
    <s v=""/>
    <s v=""/>
    <s v=""/>
    <s v=""/>
    <s v=""/>
    <s v=""/>
    <s v=""/>
    <x v="0"/>
    <s v=""/>
  </r>
  <r>
    <s v="KMI"/>
    <n v="32.49"/>
    <m/>
    <n v="27.616500000000002"/>
    <x v="99"/>
    <x v="0"/>
    <m/>
    <d v="2023-07-19T16:05:00"/>
    <d v="2023-07-19T16:05:00"/>
    <m/>
    <m/>
    <m/>
    <m/>
    <n v="0"/>
    <m/>
    <m/>
    <s v=""/>
    <n v="0"/>
    <n v="0"/>
    <s v=""/>
    <m/>
    <m/>
    <s v=""/>
    <s v=""/>
    <s v=""/>
    <s v=""/>
    <s v=""/>
    <n v="0.5"/>
    <d v="2017-02-15T00:00:00"/>
    <n v="0"/>
    <n v="0"/>
    <n v="1.538935056940597E-2"/>
    <d v="2024-01-30T00:00:00"/>
    <m/>
    <n v="20.36"/>
    <s v=""/>
    <s v=""/>
    <n v="0"/>
    <n v="0"/>
    <n v="-0.3733456448137889"/>
    <n v="17"/>
    <s v="assignment"/>
    <n v="17"/>
    <s v="free money"/>
    <s v="CCs"/>
    <s v=""/>
    <s v="SYD"/>
    <m/>
    <m/>
    <s v=""/>
    <s v=""/>
    <n v="16.68"/>
    <m/>
    <s v=""/>
    <m/>
    <m/>
    <m/>
    <m/>
    <m/>
    <m/>
    <n v="0"/>
    <n v="0"/>
    <m/>
    <s v=""/>
    <s v=""/>
    <s v=""/>
    <s v=""/>
    <m/>
    <m/>
    <m/>
    <m/>
    <m/>
    <m/>
    <b v="0"/>
    <b v="0"/>
    <n v="0"/>
    <m/>
    <n v="0"/>
    <s v=""/>
    <s v=""/>
    <s v=""/>
    <s v=""/>
    <n v="0"/>
    <n v="0"/>
    <s v=""/>
    <n v="0"/>
    <m/>
    <n v="0"/>
    <n v="0"/>
    <s v=""/>
    <m/>
    <m/>
    <s v=""/>
    <m/>
    <s v=""/>
    <s v=""/>
    <s v=""/>
    <m/>
    <m/>
    <s v=""/>
    <s v=""/>
    <s v=""/>
    <s v=""/>
    <s v=""/>
    <s v=""/>
    <m/>
    <m/>
    <s v=""/>
    <s v=""/>
    <s v=""/>
    <s v=""/>
    <m/>
    <m/>
    <m/>
    <m/>
    <m/>
    <n v="5.0199999999999996"/>
    <n v="0"/>
    <s v=""/>
    <s v=""/>
    <s v=""/>
    <s v=""/>
    <m/>
    <s v=""/>
    <s v=""/>
    <s v=""/>
    <n v="7.5299999999999994"/>
    <s v=""/>
    <s v=""/>
    <s v=""/>
    <m/>
    <s v=""/>
    <m/>
    <s v=""/>
    <s v=""/>
    <s v=""/>
    <n v="0"/>
    <s v=""/>
    <n v="0"/>
    <m/>
    <m/>
    <m/>
    <m/>
    <m/>
    <m/>
    <b v="0"/>
    <b v="0"/>
    <n v="0.61"/>
    <s v=""/>
    <s v=""/>
    <n v="0"/>
    <s v=""/>
    <s v=""/>
    <n v="0"/>
    <m/>
    <m/>
    <m/>
    <n v="0"/>
    <m/>
    <s v=""/>
    <s v=""/>
    <n v="0"/>
    <n v="0"/>
    <m/>
    <s v=""/>
    <s v=""/>
    <s v=""/>
    <s v=""/>
    <s v=""/>
    <s v=""/>
    <s v=""/>
    <s v=""/>
    <s v=""/>
    <n v="0"/>
    <s v=""/>
    <s v=""/>
    <s v=""/>
    <s v=""/>
    <s v=""/>
    <s v=""/>
    <s v=""/>
    <s v=""/>
    <n v="0"/>
    <n v="19.341999999999999"/>
    <n v="63.355499999999999"/>
    <m/>
    <m/>
    <n v="0"/>
    <s v=""/>
    <n v="0"/>
    <s v=""/>
    <s v="{3B02850D-6B29-4A1A-A6CD-B74B1ED69C11}"/>
    <s v=""/>
    <s v=""/>
    <s v=""/>
    <s v=""/>
    <s v=""/>
    <s v=""/>
    <s v=""/>
    <s v=""/>
    <s v=""/>
    <s v=""/>
    <x v="0"/>
    <s v=""/>
  </r>
  <r>
    <s v="GIS"/>
    <n v="36.909999999999997"/>
    <m/>
    <n v="31.373499999999996"/>
    <x v="45"/>
    <x v="13"/>
    <m/>
    <d v="2022-06-29T07:00:00"/>
    <d v="2022-06-29T07:00:00"/>
    <s v="Confirmed"/>
    <m/>
    <m/>
    <m/>
    <m/>
    <m/>
    <m/>
    <s v=""/>
    <n v="0"/>
    <n v="0"/>
    <s v=""/>
    <m/>
    <m/>
    <s v=""/>
    <s v=""/>
    <s v=""/>
    <s v=""/>
    <s v=""/>
    <m/>
    <m/>
    <n v="0"/>
    <n v="0"/>
    <n v="0"/>
    <m/>
    <m/>
    <n v="58.88"/>
    <s v=""/>
    <s v=""/>
    <n v="0"/>
    <n v="0"/>
    <n v="0.5952316445407750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5.936"/>
    <n v="71.974499999999992"/>
    <m/>
    <m/>
    <n v="0"/>
    <s v=""/>
    <n v="0"/>
    <s v=""/>
    <s v="{41373C92-A821-48A0-B4E3-66456895501F}"/>
    <s v=""/>
    <s v=""/>
    <s v=""/>
    <s v=""/>
    <s v=""/>
    <s v=""/>
    <s v=""/>
    <s v=""/>
    <s v=""/>
    <s v=""/>
    <x v="0"/>
    <s v=""/>
  </r>
  <r>
    <s v="GLD"/>
    <n v="379.12"/>
    <m/>
    <n v="322.25200000000001"/>
    <x v="35"/>
    <x v="8"/>
    <m/>
    <d v="2022-06-29T07:00:00"/>
    <d v="2022-06-29T07:00:00"/>
    <s v="Confirmed"/>
    <m/>
    <m/>
    <m/>
    <n v="2"/>
    <m/>
    <m/>
    <s v=""/>
    <n v="0"/>
    <n v="0"/>
    <s v=""/>
    <m/>
    <m/>
    <s v=""/>
    <s v=""/>
    <s v=""/>
    <s v=""/>
    <s v=""/>
    <n v="0"/>
    <s v="N/A"/>
    <n v="0"/>
    <n v="0"/>
    <n v="0"/>
    <s v="N/A"/>
    <m/>
    <s v="-"/>
    <s v=""/>
    <s v=""/>
    <n v="0"/>
    <n v="0"/>
    <s v=""/>
    <n v="370"/>
    <s v="Capped Gain"/>
    <m/>
    <s v="Losses"/>
    <m/>
    <s v=""/>
    <m/>
    <m/>
    <m/>
    <s v=""/>
    <s v=""/>
    <n v="354.8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739.28399999999999"/>
    <m/>
    <m/>
    <n v="0"/>
    <s v=""/>
    <n v="0"/>
    <s v=""/>
    <s v="{53858FC8-5301-444C-A574-31C8DA7F105D}"/>
    <s v=""/>
    <s v=""/>
    <s v=""/>
    <s v=""/>
    <s v=""/>
    <s v=""/>
    <s v=""/>
    <s v=""/>
    <s v=""/>
    <s v=""/>
    <x v="0"/>
    <s v=""/>
  </r>
  <r>
    <s v="GM"/>
    <n v="82.13"/>
    <s v="Swing"/>
    <n v="69.81049999999999"/>
    <x v="100"/>
    <x v="13"/>
    <m/>
    <d v="2022-10-25T06:00:00"/>
    <d v="2022-10-25T06:00:00"/>
    <s v="Confirmed"/>
    <m/>
    <m/>
    <m/>
    <m/>
    <m/>
    <m/>
    <s v=""/>
    <n v="0"/>
    <n v="0"/>
    <s v=""/>
    <m/>
    <m/>
    <s v=""/>
    <s v=""/>
    <s v=""/>
    <s v=""/>
    <s v=""/>
    <m/>
    <m/>
    <n v="0"/>
    <n v="0"/>
    <n v="0"/>
    <m/>
    <m/>
    <n v="70.83"/>
    <s v=""/>
    <s v=""/>
    <n v="0"/>
    <n v="0"/>
    <n v="-0.13758675270911966"/>
    <m/>
    <m/>
    <m/>
    <m/>
    <m/>
    <s v=""/>
    <m/>
    <m/>
    <m/>
    <s v=""/>
    <s v=""/>
    <n v="6.4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7.288499999999999"/>
    <n v="160.15349999999998"/>
    <m/>
    <n v="45"/>
    <n v="0"/>
    <s v=""/>
    <n v="0"/>
    <s v=""/>
    <s v="{087D3E63-CFBE-48EC-844E-B6545AB987FF}"/>
    <s v=""/>
    <s v=""/>
    <s v=""/>
    <s v=""/>
    <s v=""/>
    <s v=""/>
    <s v=""/>
    <s v=""/>
    <s v=""/>
    <s v=""/>
    <x v="0"/>
    <s v=""/>
  </r>
  <r>
    <s v="GME"/>
    <n v="21.6"/>
    <m/>
    <n v="18.36"/>
    <x v="1"/>
    <x v="1"/>
    <m/>
    <d v="2022-08-31T16:05:00"/>
    <d v="2022-08-31T16:05:00"/>
    <m/>
    <m/>
    <m/>
    <m/>
    <m/>
    <m/>
    <m/>
    <s v=""/>
    <n v="0"/>
    <n v="0"/>
    <s v=""/>
    <m/>
    <m/>
    <s v=""/>
    <s v=""/>
    <s v=""/>
    <s v=""/>
    <s v=""/>
    <m/>
    <m/>
    <n v="0"/>
    <n v="0"/>
    <n v="0"/>
    <m/>
    <m/>
    <n v="13.44"/>
    <s v=""/>
    <s v=""/>
    <n v="0"/>
    <n v="0"/>
    <n v="-0.37777777777777782"/>
    <m/>
    <m/>
    <m/>
    <m/>
    <m/>
    <s v=""/>
    <m/>
    <m/>
    <m/>
    <s v=""/>
    <s v=""/>
    <m/>
    <m/>
    <s v=""/>
    <m/>
    <m/>
    <m/>
    <m/>
    <m/>
    <m/>
    <n v="0"/>
    <n v="0"/>
    <m/>
    <s v=""/>
    <s v=""/>
    <s v=""/>
    <s v=""/>
    <m/>
    <m/>
    <m/>
    <m/>
    <m/>
    <m/>
    <b v="0"/>
    <b v="0"/>
    <n v="0"/>
    <m/>
    <n v="0"/>
    <s v=""/>
    <s v=""/>
    <s v=""/>
    <s v=""/>
    <n v="0"/>
    <n v="0"/>
    <s v=""/>
    <n v="0"/>
    <m/>
    <n v="0"/>
    <n v="0"/>
    <s v=""/>
    <n v="37.450000000000003"/>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767999999999999"/>
    <n v="42.120000000000005"/>
    <m/>
    <m/>
    <n v="0"/>
    <s v=""/>
    <n v="0"/>
    <s v=""/>
    <m/>
    <s v=""/>
    <s v=""/>
    <s v=""/>
    <s v=""/>
    <s v=""/>
    <s v=""/>
    <s v=""/>
    <s v=""/>
    <s v=""/>
    <s v=""/>
    <x v="0"/>
    <s v=""/>
  </r>
  <r>
    <s v="GNRC"/>
    <n v="213.42"/>
    <m/>
    <n v="181.40699999999998"/>
    <x v="97"/>
    <x v="7"/>
    <m/>
    <d v="2022-08-03T06:00:00"/>
    <d v="2022-08-03T06:00:00"/>
    <m/>
    <m/>
    <m/>
    <m/>
    <m/>
    <m/>
    <m/>
    <s v=""/>
    <n v="0"/>
    <n v="0"/>
    <s v=""/>
    <m/>
    <m/>
    <s v=""/>
    <s v=""/>
    <s v=""/>
    <s v=""/>
    <s v=""/>
    <m/>
    <m/>
    <n v="0"/>
    <n v="0"/>
    <n v="0"/>
    <m/>
    <m/>
    <n v="420.43"/>
    <s v=""/>
    <s v=""/>
    <n v="0"/>
    <n v="0"/>
    <n v="0.9699653265860745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99.4085"/>
    <n v="416.16899999999998"/>
    <m/>
    <m/>
    <n v="0"/>
    <s v=""/>
    <n v="0"/>
    <s v=""/>
    <m/>
    <s v=""/>
    <s v=""/>
    <s v=""/>
    <s v=""/>
    <s v=""/>
    <s v=""/>
    <s v=""/>
    <s v=""/>
    <s v=""/>
    <s v=""/>
    <x v="0"/>
    <s v=""/>
  </r>
  <r>
    <s v="GOGL"/>
    <n v="24.25"/>
    <m/>
    <n v="20.612500000000001"/>
    <x v="14"/>
    <x v="7"/>
    <m/>
    <d v="2022-08-18T02:00:00"/>
    <d v="2022-08-18T02:00:00"/>
    <m/>
    <m/>
    <m/>
    <m/>
    <m/>
    <m/>
    <m/>
    <s v=""/>
    <n v="0"/>
    <n v="0"/>
    <s v=""/>
    <m/>
    <m/>
    <s v=""/>
    <s v=""/>
    <s v=""/>
    <s v=""/>
    <s v=""/>
    <m/>
    <m/>
    <n v="0"/>
    <n v="0"/>
    <n v="0"/>
    <m/>
    <m/>
    <n v="14.68"/>
    <s v=""/>
    <s v=""/>
    <n v="0"/>
    <n v="0"/>
    <n v="-0.3946391752577319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3.946"/>
    <n v="47.287500000000001"/>
    <m/>
    <m/>
    <n v="0"/>
    <s v=""/>
    <n v="0"/>
    <s v=""/>
    <m/>
    <s v=""/>
    <s v=""/>
    <s v=""/>
    <s v=""/>
    <s v=""/>
    <s v=""/>
    <s v=""/>
    <s v=""/>
    <s v=""/>
    <s v=""/>
    <x v="0"/>
    <s v=""/>
  </r>
  <r>
    <s v="GOGO"/>
    <n v="3.71"/>
    <s v="Swing"/>
    <n v="3.1534999999999997"/>
    <x v="101"/>
    <x v="9"/>
    <m/>
    <d v="2022-08-04T07:00:00"/>
    <d v="2022-08-04T07:00:00"/>
    <m/>
    <m/>
    <m/>
    <m/>
    <m/>
    <m/>
    <m/>
    <s v=""/>
    <n v="0"/>
    <n v="0"/>
    <s v=""/>
    <m/>
    <m/>
    <s v=""/>
    <s v=""/>
    <s v=""/>
    <s v=""/>
    <s v=""/>
    <m/>
    <m/>
    <n v="0"/>
    <n v="0"/>
    <n v="0"/>
    <m/>
    <m/>
    <n v="14"/>
    <s v=""/>
    <s v=""/>
    <n v="0"/>
    <n v="0"/>
    <n v="2.773584905660377"/>
    <n v="14"/>
    <s v="assignment"/>
    <n v="14"/>
    <s v="free money"/>
    <s v="CCs"/>
    <s v=""/>
    <m/>
    <m/>
    <m/>
    <s v=""/>
    <s v=""/>
    <n v="10.83"/>
    <m/>
    <s v=""/>
    <m/>
    <m/>
    <m/>
    <m/>
    <m/>
    <m/>
    <n v="0"/>
    <n v="0"/>
    <m/>
    <s v=""/>
    <s v=""/>
    <s v=""/>
    <m/>
    <m/>
    <m/>
    <m/>
    <m/>
    <m/>
    <m/>
    <b v="0"/>
    <b v="0"/>
    <n v="0"/>
    <m/>
    <n v="0"/>
    <s v=""/>
    <s v=""/>
    <s v=""/>
    <s v=""/>
    <n v="0"/>
    <n v="0"/>
    <s v=""/>
    <n v="0"/>
    <m/>
    <n v="0"/>
    <n v="0"/>
    <s v=""/>
    <m/>
    <m/>
    <s v=""/>
    <m/>
    <s v=""/>
    <s v=""/>
    <s v=""/>
    <m/>
    <m/>
    <s v=""/>
    <s v=""/>
    <s v=""/>
    <s v=""/>
    <s v=""/>
    <s v=""/>
    <m/>
    <m/>
    <s v=""/>
    <s v=""/>
    <s v=""/>
    <m/>
    <m/>
    <m/>
    <m/>
    <m/>
    <m/>
    <m/>
    <n v="0"/>
    <s v=""/>
    <s v=""/>
    <s v=""/>
    <s v=""/>
    <m/>
    <s v=""/>
    <s v=""/>
    <s v=""/>
    <s v=""/>
    <s v=""/>
    <s v=""/>
    <s v=""/>
    <m/>
    <s v=""/>
    <m/>
    <s v=""/>
    <s v=""/>
    <s v=""/>
    <n v="0"/>
    <m/>
    <n v="0"/>
    <m/>
    <m/>
    <m/>
    <m/>
    <m/>
    <m/>
    <b v="0"/>
    <b v="0"/>
    <m/>
    <s v=""/>
    <s v=""/>
    <n v="0"/>
    <s v=""/>
    <s v=""/>
    <n v="0"/>
    <m/>
    <m/>
    <m/>
    <n v="0"/>
    <m/>
    <s v=""/>
    <s v=""/>
    <n v="0"/>
    <n v="0"/>
    <m/>
    <s v=""/>
    <s v=""/>
    <s v=""/>
    <s v=""/>
    <s v=""/>
    <s v=""/>
    <s v=""/>
    <s v=""/>
    <s v=""/>
    <n v="0"/>
    <s v=""/>
    <s v=""/>
    <s v=""/>
    <s v=""/>
    <s v=""/>
    <s v=""/>
    <s v=""/>
    <s v=""/>
    <n v="0"/>
    <n v="13.299999999999999"/>
    <n v="7.2344999999999997"/>
    <m/>
    <m/>
    <n v="0"/>
    <s v=""/>
    <n v="0"/>
    <s v=""/>
    <m/>
    <s v=""/>
    <s v=""/>
    <s v=""/>
    <s v=""/>
    <s v=""/>
    <s v=""/>
    <s v=""/>
    <s v=""/>
    <s v=""/>
    <s v=""/>
    <x v="0"/>
    <s v=""/>
  </r>
  <r>
    <s v="NFLX"/>
    <n v="68.53"/>
    <m/>
    <n v="58.250500000000002"/>
    <x v="32"/>
    <x v="9"/>
    <m/>
    <m/>
    <m/>
    <m/>
    <m/>
    <m/>
    <m/>
    <m/>
    <m/>
    <m/>
    <s v=""/>
    <n v="0"/>
    <n v="0"/>
    <s v=""/>
    <m/>
    <m/>
    <s v=""/>
    <s v=""/>
    <s v=""/>
    <s v=""/>
    <s v=""/>
    <m/>
    <m/>
    <n v="0"/>
    <n v="0"/>
    <n v="0"/>
    <m/>
    <m/>
    <m/>
    <s v=""/>
    <s v=""/>
    <n v="0"/>
    <n v="0"/>
    <s v=""/>
    <m/>
    <m/>
    <m/>
    <m/>
    <m/>
    <s v=""/>
    <m/>
    <m/>
    <m/>
    <s v=""/>
    <s v=""/>
    <n v="99.39"/>
    <s v="ER"/>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33.6335"/>
    <m/>
    <m/>
    <n v="0"/>
    <s v=""/>
    <n v="0"/>
    <s v=""/>
    <m/>
    <s v=""/>
    <s v=""/>
    <s v=""/>
    <s v=""/>
    <s v=""/>
    <s v=""/>
    <s v=""/>
    <s v=""/>
    <s v=""/>
    <s v=""/>
    <x v="0"/>
    <s v=""/>
  </r>
  <r>
    <s v="GRWG"/>
    <n v="1.38"/>
    <m/>
    <n v="1.1729999999999998"/>
    <x v="102"/>
    <x v="1"/>
    <m/>
    <d v="2022-08-09T16:00:00"/>
    <d v="2022-08-09T16:00:00"/>
    <m/>
    <m/>
    <m/>
    <m/>
    <m/>
    <m/>
    <m/>
    <s v=""/>
    <n v="0"/>
    <n v="0"/>
    <s v=""/>
    <n v="60"/>
    <s v="{07/03/21 @ 08:25 AM}: _x000a_41.6"/>
    <s v=""/>
    <s v=""/>
    <s v=""/>
    <s v=""/>
    <s v=""/>
    <m/>
    <m/>
    <n v="0"/>
    <n v="0"/>
    <n v="0"/>
    <m/>
    <m/>
    <n v="59.88"/>
    <s v=""/>
    <s v=""/>
    <n v="0"/>
    <n v="0"/>
    <n v="42.391304347826093"/>
    <m/>
    <m/>
    <m/>
    <m/>
    <m/>
    <s v=""/>
    <m/>
    <m/>
    <m/>
    <s v=""/>
    <s v=""/>
    <n v="41.4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6.886000000000003"/>
    <n v="2.6909999999999998"/>
    <m/>
    <m/>
    <n v="0"/>
    <s v=""/>
    <n v="0"/>
    <s v=""/>
    <m/>
    <s v=""/>
    <s v=""/>
    <s v=""/>
    <s v=""/>
    <s v=""/>
    <s v=""/>
    <s v=""/>
    <s v=""/>
    <s v=""/>
    <s v=""/>
    <x v="0"/>
    <s v=""/>
  </r>
  <r>
    <s v="DD"/>
    <n v="139.63999999999999"/>
    <m/>
    <n v="118.69399999999999"/>
    <x v="103"/>
    <x v="0"/>
    <m/>
    <d v="2022-08-02T06:00:00"/>
    <d v="2022-08-02T06:00:00"/>
    <m/>
    <m/>
    <n v="1"/>
    <m/>
    <m/>
    <m/>
    <m/>
    <s v=""/>
    <n v="0"/>
    <n v="0"/>
    <s v=""/>
    <m/>
    <m/>
    <s v=""/>
    <s v=""/>
    <s v=""/>
    <s v=""/>
    <s v=""/>
    <n v="1.2"/>
    <d v="2019-12-13T00:00:00"/>
    <n v="0"/>
    <n v="0"/>
    <n v="8.5935262102549426E-3"/>
    <d v="2019-10-30T00:00:00"/>
    <n v="64"/>
    <n v="67.2"/>
    <n v="-0.5416786021197364"/>
    <s v=""/>
    <n v="0"/>
    <n v="0"/>
    <n v="-0.5187625322257232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3.839999999999996"/>
    <n v="272.29799999999994"/>
    <m/>
    <m/>
    <n v="0"/>
    <s v=""/>
    <n v="0"/>
    <s v=""/>
    <s v="{180656A5-1233-46B2-809B-B299554CCAF6}"/>
    <s v=""/>
    <s v=""/>
    <s v=""/>
    <s v=""/>
    <s v=""/>
    <s v=""/>
    <s v=""/>
    <s v=""/>
    <s v=""/>
    <s v=""/>
    <x v="0"/>
    <s v=""/>
  </r>
  <r>
    <s v="GSK"/>
    <n v="50.76"/>
    <m/>
    <n v="43.145999999999994"/>
    <x v="104"/>
    <x v="3"/>
    <m/>
    <d v="2022-07-27T00:00:00"/>
    <d v="2022-07-27T00:00:00"/>
    <m/>
    <m/>
    <m/>
    <m/>
    <m/>
    <m/>
    <m/>
    <s v=""/>
    <n v="0"/>
    <n v="0"/>
    <s v=""/>
    <m/>
    <m/>
    <s v=""/>
    <s v=""/>
    <s v=""/>
    <s v=""/>
    <s v=""/>
    <n v="2.31"/>
    <d v="2016-01-01T00:00:00"/>
    <n v="0"/>
    <n v="0"/>
    <n v="4.550827423167849E-2"/>
    <d v="2015-08-10T00:00:00"/>
    <m/>
    <n v="48.25"/>
    <s v=""/>
    <s v=""/>
    <n v="0"/>
    <n v="0"/>
    <n v="-4.9448384554767494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5.837499999999999"/>
    <n v="98.981999999999999"/>
    <m/>
    <m/>
    <n v="0"/>
    <s v=""/>
    <n v="0"/>
    <s v=""/>
    <s v="{A18190CB-1000-4646-A354-3B0CA558F520}"/>
    <s v=""/>
    <s v=""/>
    <s v=""/>
    <s v=""/>
    <s v=""/>
    <s v=""/>
    <s v=""/>
    <s v=""/>
    <s v=""/>
    <s v=""/>
    <x v="0"/>
    <s v=""/>
  </r>
  <r>
    <s v="GUSH"/>
    <n v="39.96"/>
    <s v="Swing"/>
    <n v="33.966000000000001"/>
    <x v="35"/>
    <x v="8"/>
    <m/>
    <m/>
    <m/>
    <m/>
    <m/>
    <m/>
    <m/>
    <m/>
    <m/>
    <m/>
    <s v=""/>
    <n v="0"/>
    <n v="0"/>
    <s v=""/>
    <m/>
    <m/>
    <s v=""/>
    <s v=""/>
    <s v=""/>
    <s v=""/>
    <s v=""/>
    <m/>
    <m/>
    <n v="0"/>
    <n v="0"/>
    <n v="0"/>
    <m/>
    <m/>
    <m/>
    <s v=""/>
    <s v=""/>
    <n v="0"/>
    <n v="0"/>
    <s v=""/>
    <n v="32"/>
    <s v="assignment"/>
    <n v="32"/>
    <s v="free money"/>
    <s v="CCs"/>
    <s v=""/>
    <m/>
    <m/>
    <m/>
    <s v=""/>
    <s v=""/>
    <n v="32.17"/>
    <s v="tax loss?"/>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77.921999999999997"/>
    <m/>
    <m/>
    <n v="0"/>
    <s v=""/>
    <n v="0"/>
    <s v=""/>
    <s v="{AAF09123-8F9B-4357-85AC-6D269741EB07}"/>
    <s v=""/>
    <s v=""/>
    <s v=""/>
    <s v=""/>
    <s v=""/>
    <s v=""/>
    <s v=""/>
    <s v=""/>
    <s v=""/>
    <s v=""/>
    <x v="0"/>
    <s v=""/>
  </r>
  <r>
    <s v="FNV"/>
    <n v="214.68"/>
    <m/>
    <n v="182.47800000000001"/>
    <x v="12"/>
    <x v="0"/>
    <m/>
    <d v="2022-08-03T17:00:00"/>
    <d v="2022-08-03T17:00:00"/>
    <m/>
    <m/>
    <m/>
    <m/>
    <m/>
    <m/>
    <m/>
    <s v=""/>
    <n v="0"/>
    <n v="0"/>
    <s v=""/>
    <n v="175"/>
    <n v="139.9"/>
    <s v=""/>
    <s v=""/>
    <s v=""/>
    <s v=""/>
    <s v=""/>
    <m/>
    <m/>
    <n v="0"/>
    <n v="0"/>
    <n v="0"/>
    <m/>
    <m/>
    <n v="81.27"/>
    <s v=""/>
    <s v=""/>
    <n v="0"/>
    <n v="0"/>
    <n v="-0.6214365567356066"/>
    <n v="160"/>
    <s v="T1"/>
    <n v="132.80000000000001"/>
    <s v="stop out"/>
    <m/>
    <s v="Y"/>
    <m/>
    <m/>
    <m/>
    <s v=""/>
    <s v=""/>
    <n v="195.11"/>
    <m/>
    <d v="2026-08-17T00:00:00"/>
    <m/>
    <m/>
    <m/>
    <m/>
    <m/>
    <m/>
    <n v="0"/>
    <n v="0"/>
    <m/>
    <s v=""/>
    <s v=""/>
    <s v=""/>
    <s v=""/>
    <d v="2026-08-17T00:00:00"/>
    <n v="210"/>
    <n v="1"/>
    <d v="2026-06-10T00:00:00"/>
    <d v="2026-06-10T00:00:00"/>
    <n v="14.9"/>
    <b v="1"/>
    <b v="1"/>
    <n v="1490"/>
    <n v="0.46"/>
    <n v="0"/>
    <n v="195.1"/>
    <n v="68"/>
    <n v="7.0952380952380947E-2"/>
    <n v="0.38084733893557415"/>
    <n v="0"/>
    <n v="21000"/>
    <n v="9.1205515185392272E-2"/>
    <n v="0"/>
    <m/>
    <n v="21000"/>
    <s v=""/>
    <s v=""/>
    <n v="15.9"/>
    <n v="0.47"/>
    <e v="#NAME?"/>
    <m/>
    <e v="#NAME?"/>
    <e v="#NAME?"/>
    <e v="#NAME?"/>
    <d v="2026-07-15T00:00:00"/>
    <m/>
    <n v="22"/>
    <e v="#NAME?"/>
    <n v="203.7"/>
    <n v="859.99999999999886"/>
    <n v="22.35"/>
    <n v="745"/>
    <m/>
    <m/>
    <s v=""/>
    <n v="-1590"/>
    <n v="-100"/>
    <n v="-6.7114093959731544E-2"/>
    <m/>
    <m/>
    <m/>
    <m/>
    <m/>
    <m/>
    <n v="0"/>
    <s v=""/>
    <s v=""/>
    <s v=""/>
    <s v=""/>
    <m/>
    <s v=""/>
    <s v=""/>
    <s v=""/>
    <s v=""/>
    <s v=""/>
    <s v=""/>
    <s v=""/>
    <m/>
    <s v=""/>
    <m/>
    <s v=""/>
    <s v=""/>
    <s v=""/>
    <n v="0"/>
    <s v=""/>
    <n v="0"/>
    <m/>
    <m/>
    <m/>
    <m/>
    <m/>
    <m/>
    <b v="0"/>
    <b v="0"/>
    <m/>
    <s v=""/>
    <s v=""/>
    <n v="0"/>
    <s v=""/>
    <s v=""/>
    <n v="0"/>
    <m/>
    <m/>
    <m/>
    <n v="0"/>
    <m/>
    <s v=""/>
    <s v=""/>
    <n v="0"/>
    <n v="0"/>
    <m/>
    <s v=""/>
    <s v=""/>
    <s v=""/>
    <s v=""/>
    <s v=""/>
    <s v=""/>
    <s v=""/>
    <s v=""/>
    <s v=""/>
    <n v="0"/>
    <s v=""/>
    <s v=""/>
    <s v=""/>
    <s v=""/>
    <s v=""/>
    <s v=""/>
    <s v=""/>
    <s v=""/>
    <n v="0"/>
    <n v="77.206499999999991"/>
    <n v="418.62599999999998"/>
    <m/>
    <m/>
    <n v="0"/>
    <s v=""/>
    <n v="0"/>
    <s v=""/>
    <m/>
    <s v=""/>
    <s v=""/>
    <s v="FNV260817P00210000"/>
    <n v="1"/>
    <s v=""/>
    <s v=""/>
    <s v=""/>
    <s v=""/>
    <s v="Y"/>
    <s v="SP "/>
    <x v="5"/>
    <n v="9.1834513735543716E-2"/>
  </r>
  <r>
    <s v="HALO"/>
    <n v="77.819999999999993"/>
    <m/>
    <n v="66.146999999999991"/>
    <x v="15"/>
    <x v="3"/>
    <m/>
    <d v="2022-07-18T07:30:00"/>
    <d v="2022-07-18T07:30:00"/>
    <s v="Confirmed"/>
    <m/>
    <m/>
    <m/>
    <m/>
    <m/>
    <m/>
    <s v=""/>
    <n v="0"/>
    <n v="0"/>
    <s v=""/>
    <n v="60"/>
    <n v="43"/>
    <s v=""/>
    <s v=""/>
    <s v=""/>
    <s v=""/>
    <s v=""/>
    <m/>
    <m/>
    <n v="0"/>
    <n v="0"/>
    <n v="0"/>
    <m/>
    <m/>
    <n v="47.67"/>
    <s v=""/>
    <s v=""/>
    <n v="0"/>
    <n v="0"/>
    <n v="-0.387432536622976"/>
    <m/>
    <m/>
    <m/>
    <m/>
    <m/>
    <s v=""/>
    <m/>
    <m/>
    <m/>
    <s v=""/>
    <s v=""/>
    <n v="48.4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5.286499999999997"/>
    <n v="151.749"/>
    <m/>
    <m/>
    <n v="0"/>
    <s v=""/>
    <n v="0"/>
    <s v=""/>
    <m/>
    <s v=""/>
    <s v=""/>
    <s v=""/>
    <s v=""/>
    <s v=""/>
    <s v=""/>
    <s v=""/>
    <s v=""/>
    <s v=""/>
    <s v=""/>
    <x v="0"/>
    <s v=""/>
  </r>
  <r>
    <s v="HAS"/>
    <n v="89.04"/>
    <m/>
    <n v="75.683999999999997"/>
    <x v="105"/>
    <x v="13"/>
    <m/>
    <d v="2022-07-19T06:30:00"/>
    <d v="2022-07-19T06:30:00"/>
    <m/>
    <m/>
    <m/>
    <m/>
    <m/>
    <m/>
    <m/>
    <s v=""/>
    <n v="0"/>
    <n v="0"/>
    <s v=""/>
    <m/>
    <m/>
    <s v=""/>
    <s v=""/>
    <s v=""/>
    <s v=""/>
    <s v=""/>
    <m/>
    <m/>
    <n v="0"/>
    <n v="0"/>
    <n v="0"/>
    <m/>
    <m/>
    <n v="91.67"/>
    <s v=""/>
    <s v=""/>
    <n v="0"/>
    <n v="0"/>
    <n v="2.9537286612758257E-2"/>
    <n v="115"/>
    <s v="max gain"/>
    <n v="105"/>
    <s v="max loss"/>
    <s v="Bu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7.086500000000001"/>
    <n v="173.62800000000001"/>
    <m/>
    <m/>
    <n v="0"/>
    <s v=""/>
    <n v="0"/>
    <s v=""/>
    <s v="{FDA4BE7D-5FB8-46BF-9A03-BB8B86FEE8C7}"/>
    <s v=""/>
    <s v=""/>
    <s v=""/>
    <s v=""/>
    <s v=""/>
    <s v=""/>
    <s v=""/>
    <s v=""/>
    <s v=""/>
    <s v=""/>
    <x v="0"/>
    <s v=""/>
  </r>
  <r>
    <s v="HD"/>
    <n v="331.45"/>
    <m/>
    <n v="281.73249999999996"/>
    <x v="106"/>
    <x v="14"/>
    <m/>
    <d v="2022-08-16T06:00:00"/>
    <d v="2022-08-16T06:00:00"/>
    <m/>
    <m/>
    <m/>
    <b v="1"/>
    <m/>
    <m/>
    <m/>
    <s v=""/>
    <n v="0"/>
    <n v="0"/>
    <s v=""/>
    <m/>
    <m/>
    <s v=""/>
    <s v=""/>
    <s v=""/>
    <s v=""/>
    <s v=""/>
    <n v="2.76"/>
    <d v="2017-03-15T00:00:00"/>
    <n v="0"/>
    <n v="0"/>
    <n v="8.3270478201840394E-3"/>
    <d v="2019-05-27T00:00:00"/>
    <n v="230"/>
    <n v="255.74"/>
    <n v="-0.30607934831799666"/>
    <s v=""/>
    <n v="0"/>
    <n v="0"/>
    <n v="-0.2284205762558454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2.953"/>
    <n v="646.32749999999999"/>
    <m/>
    <m/>
    <n v="0"/>
    <s v=""/>
    <n v="0"/>
    <s v=""/>
    <s v="{E3D2239A-4F6C-4BB4-8C5B-ABE3A59B098C}"/>
    <s v=""/>
    <s v=""/>
    <s v=""/>
    <s v=""/>
    <s v=""/>
    <s v=""/>
    <s v=""/>
    <s v=""/>
    <s v=""/>
    <s v=""/>
    <x v="0"/>
    <s v=""/>
  </r>
  <r>
    <s v="HIBB"/>
    <n v="33.07"/>
    <m/>
    <n v="28.109500000000001"/>
    <x v="1"/>
    <x v="1"/>
    <m/>
    <d v="2022-08-26T06:30:00"/>
    <d v="2022-08-26T06:30:00"/>
    <m/>
    <m/>
    <m/>
    <m/>
    <m/>
    <m/>
    <m/>
    <s v=""/>
    <n v="0"/>
    <n v="0"/>
    <s v=""/>
    <m/>
    <m/>
    <s v=""/>
    <s v=""/>
    <s v=""/>
    <s v=""/>
    <s v=""/>
    <m/>
    <m/>
    <n v="0"/>
    <n v="0"/>
    <n v="0"/>
    <m/>
    <m/>
    <n v="29.5"/>
    <s v=""/>
    <s v=""/>
    <n v="0"/>
    <n v="0"/>
    <n v="-0.1079528273359540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8.024999999999999"/>
    <n v="64.486499999999992"/>
    <m/>
    <m/>
    <n v="0"/>
    <s v=""/>
    <n v="0"/>
    <s v=""/>
    <m/>
    <s v=""/>
    <s v=""/>
    <s v=""/>
    <s v=""/>
    <s v=""/>
    <s v=""/>
    <s v=""/>
    <s v=""/>
    <s v=""/>
    <s v=""/>
    <x v="0"/>
    <s v=""/>
  </r>
  <r>
    <s v="HIG"/>
    <n v="140.84"/>
    <m/>
    <n v="119.714"/>
    <x v="107"/>
    <x v="8"/>
    <m/>
    <d v="2022-07-28T16:15:00"/>
    <d v="2022-07-28T16:15:00"/>
    <m/>
    <m/>
    <m/>
    <m/>
    <m/>
    <m/>
    <m/>
    <s v=""/>
    <n v="0"/>
    <n v="0"/>
    <s v=""/>
    <m/>
    <m/>
    <s v=""/>
    <s v=""/>
    <s v=""/>
    <s v=""/>
    <s v=""/>
    <n v="0.84"/>
    <d v="2016-01-01T00:00:00"/>
    <n v="0"/>
    <n v="0"/>
    <n v="5.9642147117296221E-3"/>
    <d v="2015-08-26T00:00:00"/>
    <m/>
    <n v="54.5"/>
    <s v=""/>
    <s v=""/>
    <n v="0"/>
    <n v="0"/>
    <n v="-0.6130360692984947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1.774999999999999"/>
    <n v="274.63799999999998"/>
    <m/>
    <n v="38.880000000000003"/>
    <n v="0"/>
    <s v=""/>
    <n v="0"/>
    <s v=""/>
    <s v="{D173FEA7-855A-4798-8898-C0EFE8DCCEF9}"/>
    <s v=""/>
    <s v=""/>
    <s v=""/>
    <s v=""/>
    <s v=""/>
    <s v=""/>
    <s v=""/>
    <s v=""/>
    <s v=""/>
    <s v=""/>
    <x v="0"/>
    <s v=""/>
  </r>
  <r>
    <s v="HL_6"/>
    <n v="15.69"/>
    <m/>
    <n v="13.336499999999999"/>
    <x v="108"/>
    <x v="0"/>
    <m/>
    <m/>
    <m/>
    <m/>
    <m/>
    <m/>
    <m/>
    <m/>
    <m/>
    <m/>
    <s v=""/>
    <n v="0"/>
    <n v="0"/>
    <s v=""/>
    <m/>
    <m/>
    <s v=""/>
    <s v=""/>
    <s v=""/>
    <s v=""/>
    <s v=""/>
    <m/>
    <m/>
    <n v="0"/>
    <n v="0"/>
    <n v="0"/>
    <m/>
    <m/>
    <m/>
    <s v=""/>
    <s v=""/>
    <n v="0"/>
    <n v="0"/>
    <s v=""/>
    <n v="4.5"/>
    <s v="assignment"/>
    <n v="3.5"/>
    <s v="Assignment"/>
    <s v="Strangle"/>
    <s v=""/>
    <m/>
    <m/>
    <m/>
    <s v=""/>
    <s v=""/>
    <n v="3.57"/>
    <m/>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0.595499999999998"/>
    <m/>
    <m/>
    <n v="0"/>
    <s v=""/>
    <n v="0"/>
    <s v=""/>
    <m/>
    <s v=""/>
    <s v=""/>
    <s v=""/>
    <s v=""/>
    <s v=""/>
    <s v=""/>
    <s v=""/>
    <s v=""/>
    <s v=""/>
    <s v=""/>
    <x v="0"/>
    <s v=""/>
  </r>
  <r>
    <s v="HON"/>
    <n v="232.99"/>
    <m/>
    <n v="198.04150000000001"/>
    <x v="57"/>
    <x v="15"/>
    <m/>
    <d v="2022-07-29T06:30:00"/>
    <d v="2022-07-29T06:30:00"/>
    <m/>
    <s v="spinoff Homes &amp; Transportation Services div, aerospace growth"/>
    <m/>
    <b v="1"/>
    <n v="3"/>
    <m/>
    <m/>
    <s v=""/>
    <n v="0"/>
    <n v="0"/>
    <s v=""/>
    <m/>
    <m/>
    <s v=""/>
    <s v=""/>
    <s v=""/>
    <s v=""/>
    <s v=""/>
    <n v="2.52"/>
    <d v="2019-12-06T00:00:00"/>
    <n v="0"/>
    <n v="0"/>
    <n v="1.0815914846130734E-2"/>
    <d v="2019-11-15T00:00:00"/>
    <n v="175"/>
    <n v="157.85"/>
    <n v="-0.24889480235203232"/>
    <s v=""/>
    <n v="0"/>
    <n v="0"/>
    <n v="-0.3225031117215331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9.95749999999998"/>
    <n v="454.33050000000003"/>
    <m/>
    <m/>
    <n v="0"/>
    <s v=""/>
    <n v="0"/>
    <s v=""/>
    <s v="{54C65AEA-CAF4-4A32-84DF-BE67C8389CA3}"/>
    <s v=""/>
    <s v=""/>
    <s v=""/>
    <s v=""/>
    <s v=""/>
    <s v=""/>
    <s v=""/>
    <s v=""/>
    <s v=""/>
    <s v=""/>
    <x v="0"/>
    <s v=""/>
  </r>
  <r>
    <s v="HRB"/>
    <n v="39.549999999999997"/>
    <m/>
    <n v="33.6175"/>
    <x v="109"/>
    <x v="14"/>
    <m/>
    <d v="2022-07-29T06:30:00"/>
    <d v="2022-07-29T06:30:00"/>
    <m/>
    <m/>
    <m/>
    <m/>
    <m/>
    <m/>
    <m/>
    <s v=""/>
    <n v="0"/>
    <n v="0"/>
    <s v=""/>
    <m/>
    <m/>
    <s v=""/>
    <s v=""/>
    <s v=""/>
    <s v=""/>
    <s v=""/>
    <n v="0.88"/>
    <d v="2017-01-03T00:00:00"/>
    <n v="0"/>
    <n v="0"/>
    <n v="2.2250316055625791E-2"/>
    <d v="2016-12-08T00:00:00"/>
    <m/>
    <n v="17.329999999999998"/>
    <s v=""/>
    <s v=""/>
    <n v="0"/>
    <n v="0"/>
    <n v="-0.56182048040455124"/>
    <n v="26"/>
    <s v="ITM"/>
    <n v="23"/>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463499999999996"/>
    <n v="77.122499999999988"/>
    <m/>
    <m/>
    <n v="0"/>
    <s v=""/>
    <n v="0"/>
    <s v=""/>
    <s v="{272CADD7-405B-47DF-8D0E-B556C7F51C9F}"/>
    <s v=""/>
    <s v=""/>
    <s v=""/>
    <s v=""/>
    <s v=""/>
    <s v=""/>
    <s v=""/>
    <s v=""/>
    <s v=""/>
    <s v=""/>
    <x v="0"/>
    <s v=""/>
  </r>
  <r>
    <s v="HSBC"/>
    <n v="103.11"/>
    <m/>
    <n v="87.643500000000003"/>
    <x v="66"/>
    <x v="8"/>
    <m/>
    <d v="2022-07-26T00:00:00"/>
    <d v="2022-07-26T00:00:00"/>
    <m/>
    <m/>
    <m/>
    <m/>
    <m/>
    <m/>
    <m/>
    <s v=""/>
    <n v="0"/>
    <n v="0"/>
    <s v=""/>
    <m/>
    <m/>
    <s v=""/>
    <s v=""/>
    <s v=""/>
    <s v=""/>
    <s v=""/>
    <n v="2"/>
    <d v="2016-09-28T00:00:00"/>
    <n v="0"/>
    <n v="0"/>
    <n v="1.9396760740956261E-2"/>
    <d v="2016-11-08T00:00:00"/>
    <m/>
    <n v="28.47"/>
    <s v=""/>
    <s v=""/>
    <n v="0"/>
    <n v="0"/>
    <n v="-0.72388711085248769"/>
    <m/>
    <m/>
    <m/>
    <m/>
    <m/>
    <s v=""/>
    <m/>
    <m/>
    <m/>
    <s v=""/>
    <s v=""/>
    <m/>
    <m/>
    <s v=""/>
    <m/>
    <m/>
    <m/>
    <m/>
    <m/>
    <m/>
    <m/>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7.046499999999998"/>
    <n v="201.06449999999998"/>
    <m/>
    <m/>
    <n v="0"/>
    <s v=""/>
    <n v="0"/>
    <s v=""/>
    <s v="{FF9D9E4D-9A21-4303-BBA4-578561BCF15C}"/>
    <s v=""/>
    <s v=""/>
    <s v=""/>
    <s v=""/>
    <s v=""/>
    <s v=""/>
    <s v=""/>
    <s v=""/>
    <s v=""/>
    <s v=""/>
    <x v="0"/>
    <s v=""/>
  </r>
  <r>
    <s v="HSY"/>
    <n v="172.33"/>
    <m/>
    <n v="146.48050000000001"/>
    <x v="110"/>
    <x v="4"/>
    <m/>
    <m/>
    <m/>
    <m/>
    <m/>
    <m/>
    <m/>
    <m/>
    <m/>
    <m/>
    <s v=""/>
    <n v="0"/>
    <n v="0"/>
    <s v=""/>
    <m/>
    <m/>
    <s v=""/>
    <s v=""/>
    <s v=""/>
    <s v=""/>
    <s v=""/>
    <m/>
    <m/>
    <n v="0"/>
    <n v="0"/>
    <n v="0"/>
    <m/>
    <m/>
    <n v="257.64999999999998"/>
    <s v=""/>
    <s v=""/>
    <n v="0"/>
    <n v="0"/>
    <n v="0.49509661695584029"/>
    <m/>
    <m/>
    <m/>
    <m/>
    <m/>
    <s v=""/>
    <m/>
    <m/>
    <m/>
    <s v=""/>
    <s v=""/>
    <m/>
    <s v="N/A"/>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4.76749999999996"/>
    <n v="336.04349999999999"/>
    <m/>
    <m/>
    <n v="0"/>
    <s v=""/>
    <n v="0"/>
    <s v=""/>
    <m/>
    <s v=""/>
    <s v=""/>
    <s v=""/>
    <s v=""/>
    <s v=""/>
    <s v=""/>
    <s v=""/>
    <s v=""/>
    <s v=""/>
    <s v=""/>
    <x v="0"/>
    <s v=""/>
  </r>
  <r>
    <s v="JNJ"/>
    <n v="255.63"/>
    <s v="Swing"/>
    <n v="217.28549999999998"/>
    <x v="104"/>
    <x v="3"/>
    <m/>
    <d v="2022-07-19T06:25:00"/>
    <d v="2022-07-19T06:25:00"/>
    <m/>
    <m/>
    <n v="2"/>
    <m/>
    <m/>
    <m/>
    <m/>
    <s v=""/>
    <n v="0"/>
    <n v="0"/>
    <s v=""/>
    <m/>
    <m/>
    <s v=""/>
    <s v=""/>
    <s v=""/>
    <s v=""/>
    <s v=""/>
    <n v="3.8"/>
    <d v="2019-12-10T00:00:00"/>
    <n v="0"/>
    <n v="0"/>
    <n v="1.4865234909830613E-2"/>
    <d v="2019-11-26T00:00:00"/>
    <n v="160"/>
    <n v="166.06"/>
    <n v="-0.37409537221765832"/>
    <s v=""/>
    <n v="0"/>
    <n v="0"/>
    <n v="-0.350389234440402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7.75700000000001"/>
    <n v="498.4785"/>
    <m/>
    <m/>
    <n v="0"/>
    <s v=""/>
    <n v="0"/>
    <s v=""/>
    <s v="{72B18052-993F-4D65-9484-9698AF3A203C}"/>
    <s v=""/>
    <s v=""/>
    <s v=""/>
    <s v=""/>
    <s v=""/>
    <s v=""/>
    <s v=""/>
    <s v=""/>
    <s v=""/>
    <s v=""/>
    <x v="0"/>
    <s v=""/>
  </r>
  <r>
    <s v="JWN"/>
    <n v="29.3"/>
    <m/>
    <n v="24.905000000000001"/>
    <x v="111"/>
    <x v="14"/>
    <m/>
    <d v="2022-08-23T16:05:00"/>
    <d v="2022-08-23T16:05:00"/>
    <m/>
    <m/>
    <m/>
    <m/>
    <m/>
    <m/>
    <m/>
    <s v=""/>
    <n v="0"/>
    <n v="0"/>
    <s v=""/>
    <m/>
    <m/>
    <s v=""/>
    <s v=""/>
    <s v=""/>
    <s v=""/>
    <s v=""/>
    <m/>
    <m/>
    <n v="0"/>
    <n v="0"/>
    <n v="0"/>
    <m/>
    <n v="60"/>
    <n v="25.94"/>
    <n v="1.0477815699658704"/>
    <s v=""/>
    <n v="0"/>
    <n v="0"/>
    <n v="-0.1146757679180887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643000000000001"/>
    <n v="57.134999999999998"/>
    <m/>
    <m/>
    <n v="0"/>
    <s v=""/>
    <n v="0"/>
    <s v=""/>
    <s v="{3E783568-9835-495E-A946-52D62A05FDAD}"/>
    <s v=""/>
    <s v=""/>
    <s v=""/>
    <s v=""/>
    <s v=""/>
    <s v=""/>
    <s v=""/>
    <s v=""/>
    <s v=""/>
    <s v=""/>
    <x v="0"/>
    <s v=""/>
  </r>
  <r>
    <s v="JXN"/>
    <n v="123.75"/>
    <m/>
    <n v="105.1875"/>
    <x v="112"/>
    <x v="8"/>
    <m/>
    <m/>
    <m/>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0"/>
    <n v="241.3125"/>
    <m/>
    <m/>
    <n v="0"/>
    <s v=""/>
    <n v="0"/>
    <s v=""/>
    <m/>
    <s v=""/>
    <s v=""/>
    <s v=""/>
    <s v=""/>
    <s v=""/>
    <s v=""/>
    <s v=""/>
    <s v=""/>
    <s v=""/>
    <s v=""/>
    <x v="0"/>
    <s v=""/>
  </r>
  <r>
    <s v="KEY"/>
    <n v="23.11"/>
    <m/>
    <n v="19.6435"/>
    <x v="113"/>
    <x v="8"/>
    <m/>
    <d v="2022-07-21T06:30:00"/>
    <d v="2022-07-21T06:30:00"/>
    <m/>
    <m/>
    <m/>
    <m/>
    <m/>
    <m/>
    <m/>
    <s v=""/>
    <n v="0"/>
    <n v="0"/>
    <s v=""/>
    <m/>
    <m/>
    <s v=""/>
    <s v=""/>
    <s v=""/>
    <s v=""/>
    <s v=""/>
    <n v="0.3"/>
    <d v="2015-12-15T00:00:00"/>
    <n v="0"/>
    <n v="0"/>
    <n v="1.2981393336218087E-2"/>
    <d v="2015-08-26T00:00:00"/>
    <n v="21"/>
    <n v="13.16"/>
    <n v="-9.1302466464733861E-2"/>
    <s v=""/>
    <n v="0"/>
    <n v="0"/>
    <n v="-0.4305495456512332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501999999999999"/>
    <n v="45.064499999999995"/>
    <m/>
    <m/>
    <n v="0"/>
    <s v=""/>
    <n v="0"/>
    <s v=""/>
    <s v="{DB024C9F-B37C-4F30-A1B0-01BCABEB311D}"/>
    <s v=""/>
    <s v=""/>
    <s v=""/>
    <s v=""/>
    <s v=""/>
    <s v=""/>
    <s v=""/>
    <s v=""/>
    <s v=""/>
    <s v=""/>
    <x v="0"/>
    <s v=""/>
  </r>
  <r>
    <s v="KGC"/>
    <n v="24.24"/>
    <m/>
    <n v="20.603999999999999"/>
    <x v="12"/>
    <x v="0"/>
    <m/>
    <d v="2022-07-21T06:30:00"/>
    <d v="2022-07-21T06:30:00"/>
    <m/>
    <m/>
    <m/>
    <m/>
    <m/>
    <m/>
    <m/>
    <s v=""/>
    <n v="0"/>
    <n v="0"/>
    <s v=""/>
    <m/>
    <m/>
    <s v=""/>
    <s v=""/>
    <s v=""/>
    <s v=""/>
    <s v=""/>
    <m/>
    <m/>
    <n v="0"/>
    <n v="0"/>
    <n v="0"/>
    <m/>
    <m/>
    <n v="10.55"/>
    <s v=""/>
    <s v=""/>
    <n v="0"/>
    <n v="0"/>
    <n v="-0.5647689768976896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022500000000001"/>
    <n v="47.267999999999994"/>
    <m/>
    <m/>
    <n v="0"/>
    <s v=""/>
    <n v="0"/>
    <s v=""/>
    <m/>
    <s v=""/>
    <s v=""/>
    <s v=""/>
    <s v=""/>
    <s v=""/>
    <s v=""/>
    <s v=""/>
    <s v=""/>
    <s v=""/>
    <s v=""/>
    <x v="0"/>
    <s v=""/>
  </r>
  <r>
    <s v="KHC"/>
    <n v="25.96"/>
    <m/>
    <n v="22.065999999999999"/>
    <x v="114"/>
    <x v="13"/>
    <m/>
    <d v="2022-07-27T07:00:00"/>
    <d v="2022-07-27T07:00:00"/>
    <m/>
    <m/>
    <m/>
    <m/>
    <m/>
    <m/>
    <m/>
    <s v=""/>
    <n v="0"/>
    <n v="0"/>
    <s v=""/>
    <m/>
    <m/>
    <s v=""/>
    <s v=""/>
    <s v=""/>
    <s v=""/>
    <s v=""/>
    <n v="2.2999999999999998"/>
    <d v="2016-10-08T00:00:00"/>
    <n v="0"/>
    <n v="0"/>
    <n v="8.859784283513096E-2"/>
    <d v="2016-08-23T00:00:00"/>
    <m/>
    <n v="28.24"/>
    <s v=""/>
    <s v=""/>
    <n v="0"/>
    <n v="0"/>
    <n v="8.782742681047756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827999999999996"/>
    <n v="50.622"/>
    <m/>
    <n v="88.88"/>
    <n v="0"/>
    <s v=""/>
    <n v="0"/>
    <s v=""/>
    <s v="{8DA739A0-96B7-4A73-83CD-33911C8EABF1}"/>
    <s v=""/>
    <s v=""/>
    <s v=""/>
    <s v=""/>
    <s v=""/>
    <s v=""/>
    <s v=""/>
    <s v=""/>
    <s v=""/>
    <s v=""/>
    <x v="0"/>
    <s v=""/>
  </r>
  <r>
    <s v="KKR"/>
    <n v="95.53"/>
    <m/>
    <n v="81.200500000000005"/>
    <x v="36"/>
    <x v="8"/>
    <m/>
    <d v="2022-08-02T06:50:00"/>
    <d v="2022-08-02T06:50:00"/>
    <m/>
    <m/>
    <m/>
    <m/>
    <m/>
    <m/>
    <m/>
    <s v=""/>
    <n v="0"/>
    <n v="0"/>
    <s v=""/>
    <m/>
    <m/>
    <s v=""/>
    <s v=""/>
    <s v=""/>
    <s v=""/>
    <s v=""/>
    <m/>
    <m/>
    <n v="0"/>
    <n v="0"/>
    <n v="0"/>
    <m/>
    <m/>
    <n v="40.35"/>
    <s v=""/>
    <s v=""/>
    <n v="0"/>
    <n v="0"/>
    <n v="-0.5776195959384486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332499999999996"/>
    <n v="186.2835"/>
    <m/>
    <m/>
    <n v="0"/>
    <s v=""/>
    <n v="0"/>
    <s v=""/>
    <m/>
    <s v=""/>
    <s v=""/>
    <s v=""/>
    <s v=""/>
    <s v=""/>
    <s v=""/>
    <s v=""/>
    <s v=""/>
    <s v=""/>
    <s v=""/>
    <x v="0"/>
    <s v=""/>
  </r>
  <r>
    <s v="KO"/>
    <n v="82.2"/>
    <m/>
    <n v="69.87"/>
    <x v="115"/>
    <x v="13"/>
    <m/>
    <d v="2022-07-25T06:55:00"/>
    <d v="2022-07-25T06:55:00"/>
    <m/>
    <m/>
    <m/>
    <m/>
    <m/>
    <m/>
    <m/>
    <s v=""/>
    <n v="0"/>
    <n v="0"/>
    <s v=""/>
    <m/>
    <m/>
    <s v=""/>
    <s v=""/>
    <s v=""/>
    <s v=""/>
    <s v=""/>
    <m/>
    <m/>
    <n v="0"/>
    <n v="0"/>
    <n v="0"/>
    <m/>
    <m/>
    <n v="53.05"/>
    <s v=""/>
    <s v=""/>
    <n v="0"/>
    <n v="0"/>
    <n v="-0.35462287104622875"/>
    <n v="52.5"/>
    <s v="ITM"/>
    <n v="46"/>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0.397499999999994"/>
    <n v="160.29"/>
    <m/>
    <m/>
    <n v="0"/>
    <s v=""/>
    <n v="0"/>
    <s v=""/>
    <s v="{EE0D4A5A-9BEE-468D-9068-299BF7A1ABE1}"/>
    <s v=""/>
    <s v=""/>
    <s v=""/>
    <s v=""/>
    <s v=""/>
    <s v=""/>
    <s v=""/>
    <s v=""/>
    <s v=""/>
    <s v=""/>
    <x v="0"/>
    <s v=""/>
  </r>
  <r>
    <s v="KOLD"/>
    <n v="26.6"/>
    <s v="Swing"/>
    <n v="22.61"/>
    <x v="35"/>
    <x v="8"/>
    <m/>
    <d v="2022-11-10T06:30:00"/>
    <d v="2022-11-10T06:30:00"/>
    <m/>
    <m/>
    <m/>
    <m/>
    <m/>
    <m/>
    <m/>
    <s v=""/>
    <n v="0"/>
    <n v="0"/>
    <s v=""/>
    <m/>
    <m/>
    <s v=""/>
    <s v=""/>
    <s v=""/>
    <s v=""/>
    <s v=""/>
    <m/>
    <m/>
    <n v="0"/>
    <n v="0"/>
    <n v="0"/>
    <m/>
    <m/>
    <m/>
    <s v=""/>
    <s v=""/>
    <n v="0"/>
    <n v="0"/>
    <s v=""/>
    <n v="10"/>
    <s v="free money"/>
    <n v="10"/>
    <s v="Assignment"/>
    <s v="SPs"/>
    <s v=""/>
    <m/>
    <m/>
    <m/>
    <s v=""/>
    <s v=""/>
    <n v="8.449999999999999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1.870000000000005"/>
    <m/>
    <m/>
    <n v="0"/>
    <s v=""/>
    <n v="0"/>
    <s v=""/>
    <s v="{FDF25B13-6E92-4573-A111-0020070B436E}"/>
    <s v=""/>
    <s v=""/>
    <s v=""/>
    <s v=""/>
    <s v=""/>
    <s v=""/>
    <s v=""/>
    <s v=""/>
    <s v=""/>
    <s v=""/>
    <x v="0"/>
    <s v=""/>
  </r>
  <r>
    <s v="KR"/>
    <n v="57.54"/>
    <m/>
    <n v="48.908999999999999"/>
    <x v="116"/>
    <x v="14"/>
    <m/>
    <d v="2022-06-16T08:00:00"/>
    <d v="2022-06-16T08:00:00"/>
    <s v="Confirmed"/>
    <m/>
    <m/>
    <m/>
    <m/>
    <m/>
    <m/>
    <s v=""/>
    <n v="0"/>
    <n v="0"/>
    <s v=""/>
    <m/>
    <m/>
    <s v=""/>
    <s v=""/>
    <s v=""/>
    <s v=""/>
    <s v=""/>
    <n v="0.48"/>
    <d v="2017-09-01T00:00:00"/>
    <n v="0"/>
    <n v="0"/>
    <n v="8.3420229405630868E-3"/>
    <d v="2017-08-10T00:00:00"/>
    <m/>
    <n v="34.15"/>
    <s v=""/>
    <s v=""/>
    <n v="0"/>
    <n v="0"/>
    <n v="-0.4064998262078554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442499999999995"/>
    <n v="112.20299999999999"/>
    <m/>
    <m/>
    <n v="0"/>
    <s v=""/>
    <n v="0"/>
    <s v=""/>
    <s v="{81EB0FCD-CA16-4242-BD2A-29E1A2DA2DEF}"/>
    <s v=""/>
    <s v=""/>
    <s v=""/>
    <s v=""/>
    <s v=""/>
    <s v=""/>
    <s v=""/>
    <s v=""/>
    <s v=""/>
    <s v=""/>
    <x v="0"/>
    <s v=""/>
  </r>
  <r>
    <s v="KRE"/>
    <n v="75.599999999999994"/>
    <m/>
    <n v="64.259999999999991"/>
    <x v="35"/>
    <x v="8"/>
    <m/>
    <m/>
    <m/>
    <m/>
    <m/>
    <m/>
    <m/>
    <m/>
    <m/>
    <m/>
    <s v=""/>
    <n v="0"/>
    <n v="0"/>
    <s v=""/>
    <m/>
    <m/>
    <s v=""/>
    <s v=""/>
    <s v=""/>
    <s v=""/>
    <s v=""/>
    <m/>
    <m/>
    <n v="0"/>
    <n v="0"/>
    <n v="0"/>
    <m/>
    <m/>
    <m/>
    <s v=""/>
    <s v=""/>
    <n v="0"/>
    <n v="0"/>
    <s v=""/>
    <n v="44"/>
    <s v="free money"/>
    <n v="44"/>
    <s v="Assignment"/>
    <s v="Diagonal"/>
    <s v=""/>
    <m/>
    <m/>
    <m/>
    <s v=""/>
    <s v=""/>
    <n v="5.6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47.41999999999999"/>
    <m/>
    <m/>
    <n v="0"/>
    <s v=""/>
    <n v="0"/>
    <s v=""/>
    <s v="{7E963ED3-E8DA-4200-B64D-C0446788257E}"/>
    <s v=""/>
    <s v=""/>
    <s v=""/>
    <s v=""/>
    <s v=""/>
    <s v=""/>
    <s v=""/>
    <s v=""/>
    <s v=""/>
    <s v=""/>
    <x v="0"/>
    <s v=""/>
  </r>
  <r>
    <s v="KSS"/>
    <n v="19.079999999999998"/>
    <s v="Swing"/>
    <n v="16.217999999999996"/>
    <x v="117"/>
    <x v="14"/>
    <m/>
    <d v="2022-08-18T07:00:00"/>
    <d v="2022-08-18T07:00:00"/>
    <m/>
    <m/>
    <m/>
    <m/>
    <m/>
    <m/>
    <m/>
    <s v=""/>
    <n v="0"/>
    <n v="0"/>
    <s v=""/>
    <m/>
    <m/>
    <s v=""/>
    <s v=""/>
    <s v=""/>
    <s v=""/>
    <s v=""/>
    <n v="2.68"/>
    <d v="2019-12-25T00:00:00"/>
    <n v="0"/>
    <n v="0"/>
    <n v="0.14046121593291408"/>
    <d v="2019-12-10T00:00:00"/>
    <n v="56"/>
    <n v="20.88"/>
    <n v="1.9350104821802938"/>
    <s v=""/>
    <n v="0"/>
    <n v="0"/>
    <n v="9.4339622641509482E-2"/>
    <n v="20"/>
    <s v="free money"/>
    <n v="20"/>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835999999999999"/>
    <n v="37.205999999999996"/>
    <m/>
    <m/>
    <n v="0"/>
    <s v=""/>
    <n v="0"/>
    <s v=""/>
    <s v="{0644BE2D-ECC7-4E81-9225-BF2ECF52DCC4}"/>
    <s v=""/>
    <s v=""/>
    <s v=""/>
    <s v=""/>
    <s v=""/>
    <s v=""/>
    <s v=""/>
    <s v=""/>
    <s v=""/>
    <s v=""/>
    <x v="0"/>
    <s v=""/>
  </r>
  <r>
    <s v="KTOS"/>
    <n v="47.89"/>
    <s v="Swing"/>
    <n v="40.706499999999998"/>
    <x v="87"/>
    <x v="7"/>
    <m/>
    <d v="2023-02-02T00:00:00"/>
    <d v="2023-02-02T00:00:00"/>
    <m/>
    <m/>
    <m/>
    <m/>
    <m/>
    <m/>
    <m/>
    <s v=""/>
    <n v="0"/>
    <n v="0"/>
    <s v=""/>
    <n v="10.5"/>
    <n v="9.0299999999999994"/>
    <s v=""/>
    <s v=""/>
    <s v=""/>
    <s v=""/>
    <s v=""/>
    <m/>
    <m/>
    <n v="0"/>
    <n v="0"/>
    <n v="0"/>
    <m/>
    <m/>
    <n v="23.21"/>
    <s v=""/>
    <s v=""/>
    <n v="0"/>
    <n v="0"/>
    <n v="-0.51534767174775531"/>
    <n v="10.5"/>
    <s v="T1"/>
    <n v="9.0299999999999994"/>
    <s v="stop out"/>
    <m/>
    <s v=""/>
    <m/>
    <m/>
    <m/>
    <s v=""/>
    <s v=""/>
    <n v="9.3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2.049499999999998"/>
    <n v="93.385499999999993"/>
    <m/>
    <m/>
    <n v="0"/>
    <s v=""/>
    <n v="0"/>
    <s v=""/>
    <s v="{6769565A-0B0C-4785-B3EF-7A2643C373C3}"/>
    <s v=""/>
    <s v=""/>
    <s v=""/>
    <s v=""/>
    <s v=""/>
    <s v=""/>
    <s v=""/>
    <s v=""/>
    <s v=""/>
    <s v=""/>
    <x v="0"/>
    <s v=""/>
  </r>
  <r>
    <s v="KWEB"/>
    <n v="26.44"/>
    <m/>
    <n v="22.474"/>
    <x v="24"/>
    <x v="12"/>
    <m/>
    <d v="2022-07-28T06:25:00"/>
    <d v="2022-07-28T06:25:00"/>
    <m/>
    <m/>
    <m/>
    <m/>
    <m/>
    <m/>
    <m/>
    <s v=""/>
    <n v="0"/>
    <n v="0"/>
    <s v=""/>
    <m/>
    <m/>
    <s v=""/>
    <s v=""/>
    <s v=""/>
    <s v=""/>
    <s v=""/>
    <m/>
    <m/>
    <n v="0"/>
    <n v="0"/>
    <n v="0"/>
    <m/>
    <m/>
    <m/>
    <s v=""/>
    <s v=""/>
    <n v="0"/>
    <n v="0"/>
    <s v=""/>
    <n v="52.5"/>
    <s v="max gain"/>
    <n v="52.5"/>
    <s v="Losses"/>
    <s v="BuPS"/>
    <s v=""/>
    <m/>
    <m/>
    <m/>
    <s v=""/>
    <s v=""/>
    <n v="1.4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1.558"/>
    <m/>
    <m/>
    <n v="0"/>
    <s v=""/>
    <n v="0"/>
    <s v=""/>
    <m/>
    <s v=""/>
    <s v=""/>
    <s v=""/>
    <s v=""/>
    <s v=""/>
    <s v=""/>
    <s v=""/>
    <s v=""/>
    <s v=""/>
    <s v=""/>
    <x v="0"/>
    <s v=""/>
  </r>
  <r>
    <s v="LABU"/>
    <n v="253.68"/>
    <m/>
    <n v="215.62800000000001"/>
    <x v="35"/>
    <x v="8"/>
    <m/>
    <d v="2022-07-28T06:25:00"/>
    <d v="2022-07-28T06:25:00"/>
    <m/>
    <m/>
    <m/>
    <m/>
    <m/>
    <m/>
    <m/>
    <s v=""/>
    <n v="0"/>
    <n v="0"/>
    <s v=""/>
    <m/>
    <m/>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494.67599999999999"/>
    <m/>
    <m/>
    <n v="0"/>
    <s v=""/>
    <n v="0"/>
    <s v=""/>
    <s v="{73AE56AA-005E-482A-B0E4-099719F98224}"/>
    <s v=""/>
    <s v=""/>
    <s v=""/>
    <s v=""/>
    <s v=""/>
    <s v=""/>
    <s v=""/>
    <s v=""/>
    <s v=""/>
    <s v=""/>
    <x v="0"/>
    <s v=""/>
  </r>
  <r>
    <s v="UAMY"/>
    <n v="5.17"/>
    <m/>
    <n v="4.3944999999999999"/>
    <x v="118"/>
    <x v="0"/>
    <m/>
    <m/>
    <m/>
    <m/>
    <m/>
    <m/>
    <m/>
    <m/>
    <n v="1000"/>
    <n v="11620"/>
    <n v="11.62"/>
    <n v="5170"/>
    <n v="-6450"/>
    <n v="-0.55507745266781416"/>
    <m/>
    <m/>
    <s v=""/>
    <s v=""/>
    <s v=""/>
    <s v=""/>
    <s v=""/>
    <m/>
    <m/>
    <n v="0"/>
    <n v="0"/>
    <n v="0"/>
    <m/>
    <m/>
    <m/>
    <s v=""/>
    <s v=""/>
    <n v="0"/>
    <n v="0"/>
    <s v=""/>
    <m/>
    <m/>
    <m/>
    <m/>
    <m/>
    <s v="Y"/>
    <m/>
    <m/>
    <m/>
    <s v=""/>
    <s v=""/>
    <n v="10.98"/>
    <m/>
    <d v="2026-07-17T00:00:00"/>
    <m/>
    <m/>
    <m/>
    <m/>
    <m/>
    <m/>
    <n v="0"/>
    <n v="0"/>
    <m/>
    <s v=""/>
    <s v=""/>
    <s v=""/>
    <s v=""/>
    <d v="2026-07-17T00:00:00"/>
    <n v="7.5"/>
    <n v="10"/>
    <d v="2026-06-03T00:00:00"/>
    <d v="2026-06-03T00:00:00"/>
    <n v="0.65"/>
    <b v="1"/>
    <b v="1"/>
    <n v="650"/>
    <n v="0.22"/>
    <n v="0"/>
    <n v="6.85"/>
    <n v="44"/>
    <n v="8.666666666666667E-2"/>
    <n v="0.71893939393939388"/>
    <n v="0"/>
    <n v="7500"/>
    <n v="-0.32495164410058019"/>
    <n v="7500"/>
    <m/>
    <n v="7500"/>
    <s v=""/>
    <n v="-1680"/>
    <n v="0.75"/>
    <n v="0.24"/>
    <e v="#NAME?"/>
    <m/>
    <e v="#NAME?"/>
    <e v="#NAME?"/>
    <e v="#NAME?"/>
    <d v="2026-07-17T00:00:00"/>
    <m/>
    <n v="-9"/>
    <e v="#NAME?"/>
    <n v="7.2749999999999995"/>
    <n v="424.99999999999943"/>
    <n v="0.97500000000000009"/>
    <n v="325.00000000000011"/>
    <m/>
    <m/>
    <s v=""/>
    <n v="-750"/>
    <n v="-100"/>
    <n v="-0.15384615384615385"/>
    <m/>
    <m/>
    <m/>
    <m/>
    <m/>
    <m/>
    <n v="0"/>
    <s v=""/>
    <s v=""/>
    <s v=""/>
    <s v=""/>
    <m/>
    <s v=""/>
    <s v=""/>
    <s v=""/>
    <s v=""/>
    <s v=""/>
    <s v=""/>
    <s v=""/>
    <m/>
    <s v=""/>
    <m/>
    <s v=""/>
    <s v=""/>
    <s v=""/>
    <n v="0"/>
    <s v=""/>
    <n v="10"/>
    <m/>
    <m/>
    <m/>
    <m/>
    <m/>
    <m/>
    <b v="0"/>
    <b v="0"/>
    <m/>
    <s v=""/>
    <s v=""/>
    <n v="0"/>
    <s v=""/>
    <s v=""/>
    <n v="0"/>
    <m/>
    <m/>
    <m/>
    <n v="0"/>
    <m/>
    <s v=""/>
    <s v=""/>
    <n v="0"/>
    <n v="0"/>
    <m/>
    <s v=""/>
    <s v=""/>
    <s v=""/>
    <s v=""/>
    <s v=""/>
    <s v=""/>
    <s v=""/>
    <s v=""/>
    <s v=""/>
    <n v="0"/>
    <s v=""/>
    <s v=""/>
    <s v=""/>
    <s v=""/>
    <s v=""/>
    <s v=""/>
    <s v=""/>
    <s v=""/>
    <n v="200"/>
    <n v="0"/>
    <n v="10.0815"/>
    <m/>
    <m/>
    <n v="0"/>
    <n v="0"/>
    <n v="0"/>
    <s v=""/>
    <m/>
    <s v=""/>
    <s v=""/>
    <s v="UAMY260717P00007500"/>
    <n v="1"/>
    <s v=""/>
    <s v=""/>
    <s v=""/>
    <s v=""/>
    <s v="Y"/>
    <s v="LNG SP "/>
    <x v="6"/>
    <n v="8.6939183428779723E-2"/>
  </r>
  <r>
    <s v="UUUU_3.1"/>
    <n v="11.3"/>
    <m/>
    <n v="9.6050000000000004"/>
    <x v="76"/>
    <x v="10"/>
    <m/>
    <m/>
    <m/>
    <m/>
    <m/>
    <m/>
    <m/>
    <m/>
    <m/>
    <m/>
    <s v=""/>
    <n v="0"/>
    <n v="0"/>
    <s v=""/>
    <m/>
    <m/>
    <s v=""/>
    <s v=""/>
    <s v=""/>
    <s v=""/>
    <s v=""/>
    <m/>
    <m/>
    <n v="0"/>
    <n v="0"/>
    <n v="0"/>
    <m/>
    <m/>
    <m/>
    <s v=""/>
    <s v=""/>
    <n v="0"/>
    <n v="0"/>
    <s v=""/>
    <m/>
    <m/>
    <m/>
    <m/>
    <m/>
    <s v="Y"/>
    <m/>
    <m/>
    <m/>
    <s v=""/>
    <s v=""/>
    <n v="14.95"/>
    <m/>
    <d v="2026-07-17T00:00:00"/>
    <m/>
    <m/>
    <m/>
    <m/>
    <m/>
    <m/>
    <n v="0"/>
    <n v="0"/>
    <m/>
    <s v=""/>
    <s v=""/>
    <s v=""/>
    <s v=""/>
    <d v="2026-07-17T00:00:00"/>
    <n v="17"/>
    <n v="10"/>
    <d v="2026-06-18T00:00:00"/>
    <d v="2026-06-18T00:00:00"/>
    <n v="1.07"/>
    <b v="1"/>
    <b v="1"/>
    <n v="1070"/>
    <n v="0.48"/>
    <n v="0"/>
    <n v="15.93"/>
    <n v="29"/>
    <n v="6.2941176470588237E-2"/>
    <n v="0.79219066937119675"/>
    <n v="0"/>
    <n v="17000"/>
    <n v="-0.40973451327433619"/>
    <n v="17000"/>
    <m/>
    <n v="17000"/>
    <s v=""/>
    <n v="-4629.9999999999991"/>
    <n v="2.19"/>
    <n v="0.48"/>
    <e v="#NAME?"/>
    <m/>
    <e v="#NAME?"/>
    <e v="#NAME?"/>
    <e v="#NAME?"/>
    <d v="2026-07-17T00:00:00"/>
    <m/>
    <n v="-9"/>
    <e v="#NAME?"/>
    <n v="16.489999999999998"/>
    <n v="559.99999999999841"/>
    <n v="1.605"/>
    <n v="535"/>
    <m/>
    <m/>
    <s v=""/>
    <n v="-2190"/>
    <n v="-1120"/>
    <n v="-1.0467289719626167"/>
    <m/>
    <m/>
    <m/>
    <m/>
    <m/>
    <m/>
    <n v="0"/>
    <s v=""/>
    <s v=""/>
    <s v=""/>
    <s v=""/>
    <m/>
    <s v=""/>
    <s v=""/>
    <s v=""/>
    <s v=""/>
    <s v=""/>
    <s v=""/>
    <s v=""/>
    <m/>
    <s v=""/>
    <m/>
    <s v=""/>
    <s v=""/>
    <s v=""/>
    <n v="0"/>
    <s v=""/>
    <n v="0"/>
    <m/>
    <m/>
    <m/>
    <m/>
    <m/>
    <m/>
    <b v="0"/>
    <b v="0"/>
    <m/>
    <s v=""/>
    <s v=""/>
    <n v="0"/>
    <s v=""/>
    <s v=""/>
    <n v="0"/>
    <m/>
    <m/>
    <m/>
    <n v="0"/>
    <m/>
    <s v=""/>
    <s v=""/>
    <n v="0"/>
    <n v="0"/>
    <m/>
    <s v=""/>
    <s v=""/>
    <s v=""/>
    <s v=""/>
    <s v=""/>
    <s v=""/>
    <s v=""/>
    <s v=""/>
    <s v=""/>
    <n v="0"/>
    <s v=""/>
    <s v=""/>
    <s v=""/>
    <s v=""/>
    <s v=""/>
    <s v=""/>
    <s v=""/>
    <s v=""/>
    <n v="0"/>
    <n v="0"/>
    <n v="22.035"/>
    <m/>
    <m/>
    <n v="0"/>
    <s v=""/>
    <n v="0"/>
    <s v=""/>
    <m/>
    <s v=""/>
    <s v=""/>
    <s v="UUUU260717P00017000"/>
    <n v="1"/>
    <s v=""/>
    <s v=""/>
    <s v=""/>
    <s v=""/>
    <s v="Y"/>
    <s v="SP "/>
    <x v="7"/>
    <n v="7.4983280564183061E-2"/>
  </r>
  <r>
    <s v="UUUU_3.2"/>
    <n v="11.3"/>
    <m/>
    <n v="9.6050000000000004"/>
    <x v="76"/>
    <x v="10"/>
    <m/>
    <m/>
    <m/>
    <m/>
    <m/>
    <m/>
    <m/>
    <m/>
    <m/>
    <m/>
    <s v=""/>
    <n v="0"/>
    <n v="0"/>
    <s v=""/>
    <m/>
    <m/>
    <s v=""/>
    <s v=""/>
    <s v=""/>
    <s v=""/>
    <s v=""/>
    <m/>
    <m/>
    <n v="0"/>
    <n v="0"/>
    <n v="0"/>
    <m/>
    <m/>
    <m/>
    <s v=""/>
    <s v=""/>
    <n v="0"/>
    <n v="0"/>
    <s v=""/>
    <m/>
    <m/>
    <m/>
    <m/>
    <m/>
    <s v="Y"/>
    <m/>
    <m/>
    <m/>
    <s v=""/>
    <s v=""/>
    <n v="14.95"/>
    <m/>
    <d v="2026-07-17T00:00:00"/>
    <m/>
    <m/>
    <m/>
    <m/>
    <m/>
    <m/>
    <n v="0"/>
    <n v="0"/>
    <m/>
    <s v=""/>
    <s v=""/>
    <s v=""/>
    <s v=""/>
    <d v="2026-07-17T00:00:00"/>
    <n v="16"/>
    <n v="10"/>
    <d v="2026-05-27T00:00:00"/>
    <d v="2026-05-27T00:00:00"/>
    <n v="1.1399999999999999"/>
    <b v="1"/>
    <b v="1"/>
    <n v="1139.9999999999998"/>
    <n v="0.25"/>
    <n v="0"/>
    <n v="14.86"/>
    <n v="51"/>
    <n v="7.1249999999999994E-2"/>
    <n v="0.50992647058823526"/>
    <n v="0"/>
    <n v="16000"/>
    <n v="-0.31504424778761048"/>
    <n v="16000"/>
    <m/>
    <n v="16000"/>
    <s v=""/>
    <n v="-3559.9999999999991"/>
    <n v="1.1200000000000001"/>
    <n v="0.27"/>
    <e v="#NAME?"/>
    <m/>
    <e v="#NAME?"/>
    <e v="#NAME?"/>
    <e v="#NAME?"/>
    <d v="2026-07-17T00:00:00"/>
    <m/>
    <n v="-9"/>
    <e v="#NAME?"/>
    <n v="15.52"/>
    <n v="659.99999999999932"/>
    <n v="1.71"/>
    <n v="570.00000000000023"/>
    <m/>
    <m/>
    <s v=""/>
    <n v="-1120"/>
    <n v="19.999999999999773"/>
    <n v="1.7543859649122612E-2"/>
    <m/>
    <m/>
    <m/>
    <m/>
    <m/>
    <m/>
    <n v="0"/>
    <s v=""/>
    <s v=""/>
    <s v=""/>
    <s v=""/>
    <m/>
    <s v=""/>
    <s v=""/>
    <s v=""/>
    <s v=""/>
    <s v=""/>
    <s v=""/>
    <s v=""/>
    <m/>
    <s v=""/>
    <m/>
    <s v=""/>
    <s v=""/>
    <s v=""/>
    <n v="0"/>
    <s v=""/>
    <n v="0"/>
    <m/>
    <m/>
    <m/>
    <m/>
    <m/>
    <m/>
    <b v="0"/>
    <b v="0"/>
    <m/>
    <s v=""/>
    <s v=""/>
    <n v="0"/>
    <s v=""/>
    <s v=""/>
    <n v="0"/>
    <m/>
    <m/>
    <m/>
    <n v="0"/>
    <m/>
    <s v=""/>
    <s v=""/>
    <n v="0"/>
    <n v="0"/>
    <m/>
    <s v=""/>
    <s v=""/>
    <s v=""/>
    <s v=""/>
    <s v=""/>
    <s v=""/>
    <s v=""/>
    <s v=""/>
    <s v=""/>
    <n v="0"/>
    <s v=""/>
    <s v=""/>
    <s v=""/>
    <s v=""/>
    <s v=""/>
    <s v=""/>
    <s v=""/>
    <s v=""/>
    <n v="0"/>
    <n v="0"/>
    <n v="22.035"/>
    <m/>
    <m/>
    <n v="0"/>
    <s v=""/>
    <n v="0"/>
    <s v=""/>
    <m/>
    <s v=""/>
    <s v=""/>
    <s v="UUUU260717P00016000"/>
    <n v="1"/>
    <s v=""/>
    <s v=""/>
    <s v=""/>
    <s v=""/>
    <s v="Y"/>
    <s v="SP "/>
    <x v="8"/>
    <n v="6.9946738806262412E-2"/>
  </r>
  <r>
    <s v="LAZR"/>
    <n v="41.13"/>
    <s v="Prem"/>
    <n v="34.960500000000003"/>
    <x v="11"/>
    <x v="2"/>
    <m/>
    <d v="2022-08-04T16:00:00"/>
    <d v="2022-08-04T16:00:00"/>
    <m/>
    <m/>
    <m/>
    <m/>
    <m/>
    <m/>
    <m/>
    <s v=""/>
    <n v="0"/>
    <n v="0"/>
    <s v=""/>
    <m/>
    <m/>
    <s v=""/>
    <s v=""/>
    <s v=""/>
    <s v=""/>
    <s v=""/>
    <m/>
    <m/>
    <n v="0"/>
    <n v="0"/>
    <n v="0"/>
    <m/>
    <m/>
    <s v="-"/>
    <s v=""/>
    <s v=""/>
    <n v="0"/>
    <n v="0"/>
    <s v=""/>
    <n v="25"/>
    <s v="free money"/>
    <n v="25"/>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80.203500000000005"/>
    <m/>
    <m/>
    <n v="0"/>
    <s v=""/>
    <n v="0"/>
    <s v=""/>
    <m/>
    <s v=""/>
    <s v=""/>
    <s v=""/>
    <s v=""/>
    <s v=""/>
    <s v=""/>
    <s v=""/>
    <s v=""/>
    <s v=""/>
    <s v=""/>
    <x v="0"/>
    <s v=""/>
  </r>
  <r>
    <s v="LCID"/>
    <n v="6.78"/>
    <s v="Swing"/>
    <n v="5.7629999999999999"/>
    <x v="119"/>
    <x v="1"/>
    <m/>
    <d v="2022-08-03T16:05:00"/>
    <d v="2022-08-03T16:05:00"/>
    <s v="Confirmed"/>
    <m/>
    <m/>
    <m/>
    <m/>
    <m/>
    <m/>
    <s v=""/>
    <n v="0"/>
    <n v="0"/>
    <s v=""/>
    <n v="57"/>
    <n v="35"/>
    <s v=""/>
    <s v=""/>
    <s v=""/>
    <s v=""/>
    <s v=""/>
    <m/>
    <m/>
    <n v="0"/>
    <n v="0"/>
    <n v="0"/>
    <m/>
    <m/>
    <n v="23.33"/>
    <s v=""/>
    <s v=""/>
    <n v="0"/>
    <n v="0"/>
    <n v="2.441002949852507"/>
    <n v="25"/>
    <s v="T1"/>
    <n v="19.850000000000001"/>
    <s v="stop out"/>
    <m/>
    <s v=""/>
    <m/>
    <m/>
    <m/>
    <s v=""/>
    <s v=""/>
    <n v="21.9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2.163499999999999"/>
    <n v="13.221"/>
    <m/>
    <m/>
    <n v="0"/>
    <s v=""/>
    <n v="0"/>
    <s v=""/>
    <s v="{774CA4D8-DE6F-4B78-AF4A-F6DEA3900055}"/>
    <s v=""/>
    <s v=""/>
    <s v=""/>
    <s v=""/>
    <s v=""/>
    <s v=""/>
    <s v=""/>
    <s v=""/>
    <s v=""/>
    <s v=""/>
    <x v="0"/>
    <s v=""/>
  </r>
  <r>
    <s v="LEA"/>
    <n v="143.69"/>
    <m/>
    <n v="122.1365"/>
    <x v="120"/>
    <x v="13"/>
    <m/>
    <d v="2022-08-02T06:30:00"/>
    <d v="2022-08-02T06:30:00"/>
    <m/>
    <m/>
    <m/>
    <m/>
    <m/>
    <m/>
    <m/>
    <s v=""/>
    <n v="0"/>
    <n v="0"/>
    <s v=""/>
    <m/>
    <m/>
    <s v=""/>
    <s v=""/>
    <s v=""/>
    <s v=""/>
    <s v=""/>
    <n v="1"/>
    <d v="2015-12-21T00:00:00"/>
    <n v="0"/>
    <n v="0"/>
    <n v="6.9594265432528363E-3"/>
    <d v="2015-08-27T00:00:00"/>
    <m/>
    <n v="117.75"/>
    <s v=""/>
    <s v=""/>
    <n v="0"/>
    <n v="0"/>
    <n v="-0.1805275245319785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1.8625"/>
    <n v="280.19549999999998"/>
    <m/>
    <n v="108.18"/>
    <n v="0"/>
    <s v=""/>
    <n v="0"/>
    <s v=""/>
    <s v="{98825FA2-148B-454C-BC2B-86BF99AA5F92}"/>
    <s v=""/>
    <s v=""/>
    <s v=""/>
    <s v=""/>
    <s v=""/>
    <s v=""/>
    <s v=""/>
    <s v=""/>
    <s v=""/>
    <s v=""/>
    <x v="0"/>
    <s v=""/>
  </r>
  <r>
    <s v="LEN"/>
    <n v="82.15"/>
    <m/>
    <n v="69.827500000000001"/>
    <x v="121"/>
    <x v="1"/>
    <m/>
    <d v="2022-06-15T16:30:00"/>
    <d v="2022-06-15T16:30:00"/>
    <m/>
    <m/>
    <m/>
    <m/>
    <m/>
    <m/>
    <m/>
    <s v=""/>
    <n v="0"/>
    <n v="0"/>
    <s v=""/>
    <m/>
    <m/>
    <s v=""/>
    <s v=""/>
    <s v=""/>
    <s v=""/>
    <s v=""/>
    <m/>
    <m/>
    <n v="0"/>
    <n v="0"/>
    <n v="0"/>
    <m/>
    <m/>
    <n v="87.53"/>
    <s v=""/>
    <s v=""/>
    <n v="0"/>
    <n v="0"/>
    <n v="6.5489957395009069E-2"/>
    <n v="75"/>
    <s v="free money"/>
    <n v="75"/>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3.153499999999994"/>
    <n v="160.1925"/>
    <m/>
    <m/>
    <n v="0"/>
    <s v=""/>
    <n v="0"/>
    <s v=""/>
    <m/>
    <s v=""/>
    <s v=""/>
    <s v=""/>
    <s v=""/>
    <s v=""/>
    <s v=""/>
    <s v=""/>
    <s v=""/>
    <s v=""/>
    <s v=""/>
    <x v="0"/>
    <s v=""/>
  </r>
  <r>
    <s v="LEU"/>
    <n v="174.28"/>
    <m/>
    <n v="148.13800000000001"/>
    <x v="76"/>
    <x v="10"/>
    <m/>
    <m/>
    <m/>
    <m/>
    <m/>
    <m/>
    <m/>
    <m/>
    <m/>
    <m/>
    <s v=""/>
    <n v="0"/>
    <n v="0"/>
    <s v=""/>
    <m/>
    <m/>
    <s v=""/>
    <s v=""/>
    <s v=""/>
    <s v=""/>
    <s v=""/>
    <m/>
    <m/>
    <n v="0"/>
    <n v="0"/>
    <n v="0"/>
    <m/>
    <m/>
    <m/>
    <s v=""/>
    <s v=""/>
    <n v="0"/>
    <n v="0"/>
    <s v=""/>
    <m/>
    <m/>
    <m/>
    <m/>
    <m/>
    <s v=""/>
    <m/>
    <m/>
    <m/>
    <s v=""/>
    <s v=""/>
    <n v="256.83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39.846"/>
    <m/>
    <m/>
    <n v="0"/>
    <s v=""/>
    <n v="0"/>
    <s v=""/>
    <m/>
    <s v=""/>
    <s v=""/>
    <s v=""/>
    <s v=""/>
    <s v=""/>
    <s v=""/>
    <s v=""/>
    <s v=""/>
    <s v=""/>
    <s v=""/>
    <x v="0"/>
    <s v=""/>
  </r>
  <r>
    <s v="EVLV"/>
    <n v="5.24"/>
    <m/>
    <n v="4.4539999999999997"/>
    <x v="122"/>
    <x v="7"/>
    <m/>
    <m/>
    <m/>
    <m/>
    <m/>
    <m/>
    <m/>
    <m/>
    <n v="1000"/>
    <n v="6097"/>
    <n v="6.0970000000000004"/>
    <n v="5240"/>
    <n v="-857"/>
    <n v="-0.14056093160570773"/>
    <n v="8.5"/>
    <n v="5.3"/>
    <n v="2.4029999999999996"/>
    <n v="-0.7970000000000006"/>
    <s v="3.0  : 1"/>
    <n v="2402.9999999999995"/>
    <n v="-797.00000000000057"/>
    <m/>
    <m/>
    <n v="0"/>
    <n v="0"/>
    <n v="0"/>
    <m/>
    <m/>
    <m/>
    <s v=""/>
    <s v=""/>
    <n v="0"/>
    <n v="0"/>
    <s v=""/>
    <m/>
    <m/>
    <m/>
    <m/>
    <m/>
    <s v="Y"/>
    <m/>
    <m/>
    <m/>
    <s v=""/>
    <s v=""/>
    <n v="5.48"/>
    <m/>
    <d v="2026-07-17T00:00:00"/>
    <m/>
    <m/>
    <m/>
    <m/>
    <m/>
    <m/>
    <n v="0"/>
    <n v="0"/>
    <m/>
    <s v=""/>
    <s v=""/>
    <s v=""/>
    <s v=""/>
    <d v="2026-07-17T00:00:00"/>
    <n v="6"/>
    <n v="10"/>
    <d v="2026-05-13T00:00:00"/>
    <d v="2026-05-13T00:00:00"/>
    <n v="0.62"/>
    <b v="1"/>
    <b v="1"/>
    <n v="620"/>
    <n v="0.42"/>
    <n v="0"/>
    <n v="5.38"/>
    <n v="65"/>
    <n v="0.10333333333333333"/>
    <n v="0.58025641025641017"/>
    <n v="0"/>
    <n v="6000"/>
    <n v="-2.6717557251908334E-2"/>
    <n v="6000"/>
    <m/>
    <n v="6000"/>
    <s v=""/>
    <n v="-139.99999999999977"/>
    <n v="0.4"/>
    <n v="0.28000000000000003"/>
    <e v="#NAME?"/>
    <m/>
    <e v="#NAME?"/>
    <e v="#NAME?"/>
    <e v="#NAME?"/>
    <d v="2026-07-17T00:00:00"/>
    <m/>
    <n v="-9"/>
    <e v="#NAME?"/>
    <n v="5.82"/>
    <n v="440.00000000000028"/>
    <n v="0.92999999999999994"/>
    <n v="309.99999999999989"/>
    <m/>
    <m/>
    <s v=""/>
    <n v="-400"/>
    <n v="220"/>
    <n v="0.35483870967741937"/>
    <m/>
    <m/>
    <m/>
    <m/>
    <m/>
    <m/>
    <n v="0"/>
    <s v=""/>
    <s v=""/>
    <s v=""/>
    <s v=""/>
    <m/>
    <s v=""/>
    <s v=""/>
    <s v=""/>
    <s v=""/>
    <s v=""/>
    <s v=""/>
    <s v=""/>
    <m/>
    <s v=""/>
    <m/>
    <s v=""/>
    <s v=""/>
    <s v=""/>
    <n v="0"/>
    <s v=""/>
    <n v="10"/>
    <m/>
    <m/>
    <m/>
    <m/>
    <m/>
    <m/>
    <b v="0"/>
    <b v="0"/>
    <m/>
    <s v=""/>
    <s v=""/>
    <n v="0"/>
    <s v=""/>
    <s v=""/>
    <n v="0"/>
    <m/>
    <m/>
    <m/>
    <n v="0"/>
    <m/>
    <s v=""/>
    <s v=""/>
    <n v="0"/>
    <n v="0"/>
    <m/>
    <s v=""/>
    <s v=""/>
    <s v=""/>
    <s v=""/>
    <s v=""/>
    <s v=""/>
    <s v=""/>
    <s v=""/>
    <s v=""/>
    <n v="0"/>
    <s v=""/>
    <s v=""/>
    <s v=""/>
    <s v=""/>
    <s v=""/>
    <s v=""/>
    <s v=""/>
    <s v=""/>
    <n v="200"/>
    <n v="0"/>
    <n v="10.218"/>
    <m/>
    <m/>
    <n v="0"/>
    <n v="0"/>
    <n v="0"/>
    <s v=""/>
    <m/>
    <s v=""/>
    <s v=""/>
    <s v="EVLV260717P00006000"/>
    <n v="1"/>
    <s v=""/>
    <s v=""/>
    <s v=""/>
    <s v=""/>
    <s v="Y"/>
    <s v="LNG SP "/>
    <x v="9"/>
    <n v="5.4022794164163779E-2"/>
  </r>
  <r>
    <s v="LITE"/>
    <n v="829.7"/>
    <s v="Swing"/>
    <n v="705.245"/>
    <x v="26"/>
    <x v="2"/>
    <m/>
    <d v="2022-09-03T00:00:00"/>
    <d v="2022-09-03T00:00:00"/>
    <s v="Confirmed"/>
    <m/>
    <m/>
    <m/>
    <n v="4"/>
    <m/>
    <m/>
    <s v=""/>
    <n v="0"/>
    <n v="0"/>
    <s v=""/>
    <m/>
    <m/>
    <s v=""/>
    <s v=""/>
    <s v=""/>
    <s v=""/>
    <s v=""/>
    <m/>
    <m/>
    <n v="0"/>
    <n v="0"/>
    <n v="0"/>
    <m/>
    <n v="140"/>
    <n v="96"/>
    <n v="-0.8312643124020731"/>
    <s v=""/>
    <n v="0"/>
    <n v="0"/>
    <n v="-0.88429552850427862"/>
    <n v="110"/>
    <s v="T1"/>
    <n v="81.11"/>
    <s v="stop out"/>
    <s v="LEA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1.199999999999989"/>
    <n v="1617.915"/>
    <m/>
    <m/>
    <n v="0"/>
    <s v=""/>
    <n v="0"/>
    <s v=""/>
    <s v="{2496A88D-1AB8-4EDC-BA2D-2D05D6A955E1}"/>
    <s v=""/>
    <s v=""/>
    <s v=""/>
    <s v=""/>
    <s v=""/>
    <s v=""/>
    <s v=""/>
    <s v=""/>
    <s v=""/>
    <s v=""/>
    <x v="0"/>
    <s v=""/>
  </r>
  <r>
    <s v="LKNCY"/>
    <n v="32.26"/>
    <s v="Lottery"/>
    <n v="27.420999999999996"/>
    <x v="56"/>
    <x v="14"/>
    <m/>
    <d v="2023-04-25T06:55:00"/>
    <d v="2023-04-25T06:55:00"/>
    <m/>
    <m/>
    <m/>
    <m/>
    <m/>
    <m/>
    <m/>
    <s v=""/>
    <n v="0"/>
    <n v="0"/>
    <s v=""/>
    <m/>
    <m/>
    <s v=""/>
    <s v=""/>
    <s v=""/>
    <s v=""/>
    <s v=""/>
    <m/>
    <m/>
    <n v="0"/>
    <n v="0"/>
    <n v="0"/>
    <m/>
    <m/>
    <n v="5.78"/>
    <s v=""/>
    <s v=""/>
    <n v="0"/>
    <n v="0"/>
    <n v="-0.82083075015499063"/>
    <m/>
    <m/>
    <m/>
    <m/>
    <m/>
    <s v=""/>
    <m/>
    <m/>
    <m/>
    <s v=""/>
    <s v=""/>
    <n v="41.6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4909999999999997"/>
    <n v="62.906999999999996"/>
    <m/>
    <m/>
    <n v="0"/>
    <s v=""/>
    <n v="0"/>
    <s v=""/>
    <s v="{55AFD75F-8239-4D7B-8FF0-ED7706C09EB3}"/>
    <s v=""/>
    <s v=""/>
    <s v=""/>
    <s v=""/>
    <s v=""/>
    <s v=""/>
    <s v=""/>
    <s v=""/>
    <s v=""/>
    <s v=""/>
    <x v="0"/>
    <s v=""/>
  </r>
  <r>
    <s v="LLY"/>
    <n v="1163.01"/>
    <m/>
    <n v="988.55849999999998"/>
    <x v="104"/>
    <x v="3"/>
    <m/>
    <d v="2022-11-01T06:25:00"/>
    <d v="2022-11-01T06:25:00"/>
    <s v="Confirmed"/>
    <s v="Elanco Animal Health division sale or spin"/>
    <m/>
    <m/>
    <m/>
    <m/>
    <m/>
    <s v=""/>
    <n v="0"/>
    <n v="0"/>
    <s v=""/>
    <m/>
    <m/>
    <s v=""/>
    <s v=""/>
    <s v=""/>
    <s v=""/>
    <s v=""/>
    <n v="2.04"/>
    <d v="2016-09-10T00:00:00"/>
    <n v="0"/>
    <n v="0"/>
    <n v="1.7540691825521707E-3"/>
    <d v="2019-05-14T00:00:00"/>
    <m/>
    <n v="147.29"/>
    <s v=""/>
    <s v=""/>
    <n v="0"/>
    <n v="0"/>
    <n v="-0.87335448534406412"/>
    <n v="335"/>
    <s v="WRITE CC"/>
    <n v="320"/>
    <s v="Assignment"/>
    <s v="SPs"/>
    <s v=""/>
    <m/>
    <m/>
    <m/>
    <s v=""/>
    <s v=""/>
    <n v="324.27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39.9255"/>
    <n v="2267.8694999999998"/>
    <m/>
    <m/>
    <n v="0"/>
    <s v=""/>
    <n v="0"/>
    <s v=""/>
    <s v="{34391AA7-7C69-40A4-89E3-4F7453C86B1B}"/>
    <s v=""/>
    <s v=""/>
    <s v=""/>
    <s v=""/>
    <s v=""/>
    <s v=""/>
    <s v=""/>
    <s v=""/>
    <s v=""/>
    <s v=""/>
    <x v="0"/>
    <s v=""/>
  </r>
  <r>
    <s v="LMT"/>
    <n v="514.36"/>
    <m/>
    <n v="437.20600000000002"/>
    <x v="58"/>
    <x v="15"/>
    <m/>
    <d v="2022-10-18T07:30:00"/>
    <d v="2022-10-18T07:30:00"/>
    <m/>
    <m/>
    <m/>
    <m/>
    <n v="1"/>
    <m/>
    <m/>
    <s v=""/>
    <n v="0"/>
    <n v="0"/>
    <s v=""/>
    <m/>
    <m/>
    <s v=""/>
    <s v=""/>
    <s v=""/>
    <s v=""/>
    <s v=""/>
    <n v="6.6"/>
    <d v="2016-09-24T00:00:00"/>
    <n v="0"/>
    <n v="0"/>
    <n v="1.2831479897348159E-2"/>
    <d v="2019-11-30T00:00:00"/>
    <m/>
    <n v="434.12"/>
    <s v=""/>
    <s v=""/>
    <n v="0"/>
    <n v="0"/>
    <n v="-0.15599968893382068"/>
    <n v="385"/>
    <s v="free money"/>
    <n v="385"/>
    <s v="Assignment"/>
    <s v="SPs"/>
    <s v=""/>
    <m/>
    <m/>
    <m/>
    <s v=""/>
    <s v=""/>
    <n v="382.55"/>
    <m/>
    <s v=""/>
    <m/>
    <m/>
    <m/>
    <m/>
    <m/>
    <m/>
    <n v="0"/>
    <n v="0"/>
    <m/>
    <s v=""/>
    <s v=""/>
    <s v=""/>
    <s v=""/>
    <m/>
    <m/>
    <m/>
    <m/>
    <m/>
    <m/>
    <b v="0"/>
    <b v="0"/>
    <n v="0"/>
    <m/>
    <n v="0"/>
    <s v=""/>
    <s v=""/>
    <s v=""/>
    <s v=""/>
    <n v="0"/>
    <n v="0"/>
    <s v=""/>
    <n v="0"/>
    <m/>
    <n v="0"/>
    <n v="0"/>
    <s v=""/>
    <m/>
    <m/>
    <s v=""/>
    <m/>
    <s v=""/>
    <s v=""/>
    <s v=""/>
    <d v="2022-07-29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12.41399999999999"/>
    <n v="1003.002"/>
    <m/>
    <m/>
    <n v="0"/>
    <s v=""/>
    <n v="0"/>
    <s v=""/>
    <s v="{B933738F-E59C-4758-B476-34ECA02B8F89}"/>
    <s v=""/>
    <s v=""/>
    <s v=""/>
    <s v=""/>
    <s v=""/>
    <s v=""/>
    <s v=""/>
    <s v=""/>
    <s v=""/>
    <s v=""/>
    <x v="0"/>
    <s v=""/>
  </r>
  <r>
    <s v="LNG"/>
    <n v="267.39999999999998"/>
    <s v="Swing"/>
    <n v="227.28999999999996"/>
    <x v="31"/>
    <x v="10"/>
    <m/>
    <d v="2023-02-02T00:00:00"/>
    <d v="2023-02-02T00:00:00"/>
    <m/>
    <m/>
    <m/>
    <m/>
    <m/>
    <m/>
    <m/>
    <s v=""/>
    <n v="0"/>
    <n v="0"/>
    <s v=""/>
    <n v="157"/>
    <n v="133.9"/>
    <s v=""/>
    <s v=""/>
    <s v=""/>
    <s v=""/>
    <s v=""/>
    <m/>
    <m/>
    <n v="0"/>
    <n v="0"/>
    <n v="0"/>
    <m/>
    <m/>
    <n v="158.55000000000001"/>
    <s v=""/>
    <s v=""/>
    <n v="0"/>
    <n v="0"/>
    <n v="-0.40706806282722502"/>
    <n v="165"/>
    <s v="T1"/>
    <n v="150"/>
    <s v="stop out"/>
    <s v="LCs"/>
    <s v=""/>
    <m/>
    <m/>
    <m/>
    <s v=""/>
    <s v=""/>
    <n v="2.4300000000000002"/>
    <m/>
    <s v=""/>
    <m/>
    <m/>
    <m/>
    <m/>
    <m/>
    <m/>
    <n v="0"/>
    <n v="0"/>
    <m/>
    <s v=""/>
    <s v=""/>
    <s v=""/>
    <s v=""/>
    <m/>
    <m/>
    <m/>
    <m/>
    <m/>
    <m/>
    <b v="0"/>
    <b v="0"/>
    <n v="0"/>
    <m/>
    <n v="0"/>
    <s v=""/>
    <s v=""/>
    <s v=""/>
    <s v=""/>
    <n v="0"/>
    <n v="0"/>
    <s v=""/>
    <n v="0"/>
    <m/>
    <n v="0"/>
    <n v="0"/>
    <s v=""/>
    <m/>
    <m/>
    <s v=""/>
    <m/>
    <s v=""/>
    <s v=""/>
    <s v=""/>
    <m/>
    <m/>
    <s v=""/>
    <s v=""/>
    <s v=""/>
    <s v=""/>
    <s v=""/>
    <s v=""/>
    <m/>
    <m/>
    <s v=""/>
    <s v=""/>
    <s v=""/>
    <s v=""/>
    <m/>
    <m/>
    <m/>
    <m/>
    <m/>
    <m/>
    <n v="0"/>
    <s v=""/>
    <s v=""/>
    <s v=""/>
    <s v=""/>
    <n v="2.85"/>
    <n v="0"/>
    <n v="0"/>
    <e v="#DIV/0!"/>
    <s v=""/>
    <s v=""/>
    <s v=""/>
    <s v=""/>
    <m/>
    <s v=""/>
    <m/>
    <s v=""/>
    <s v=""/>
    <e v="#VALUE!"/>
    <n v="0"/>
    <s v=""/>
    <n v="0"/>
    <m/>
    <m/>
    <m/>
    <m/>
    <m/>
    <m/>
    <b v="0"/>
    <b v="0"/>
    <m/>
    <s v=""/>
    <s v=""/>
    <n v="0"/>
    <s v=""/>
    <s v=""/>
    <n v="0"/>
    <m/>
    <m/>
    <m/>
    <n v="0"/>
    <m/>
    <s v=""/>
    <s v=""/>
    <n v="0"/>
    <n v="0"/>
    <m/>
    <s v=""/>
    <s v=""/>
    <s v=""/>
    <s v=""/>
    <s v=""/>
    <s v=""/>
    <s v=""/>
    <s v=""/>
    <s v=""/>
    <n v="0"/>
    <s v=""/>
    <s v=""/>
    <s v=""/>
    <s v=""/>
    <s v=""/>
    <s v=""/>
    <s v=""/>
    <s v=""/>
    <n v="0"/>
    <n v="150.6225"/>
    <n v="521.42999999999995"/>
    <m/>
    <m/>
    <n v="0"/>
    <s v=""/>
    <n v="0"/>
    <s v=""/>
    <m/>
    <s v=""/>
    <s v=""/>
    <s v=""/>
    <s v=""/>
    <s v=""/>
    <s v=""/>
    <s v=""/>
    <s v=""/>
    <s v=""/>
    <s v=""/>
    <x v="0"/>
    <s v=""/>
  </r>
  <r>
    <s v="LNTH"/>
    <n v="104.61"/>
    <m/>
    <n v="88.918499999999995"/>
    <x v="59"/>
    <x v="3"/>
    <m/>
    <d v="2022-11-03T07:00:00"/>
    <d v="2022-11-03T07:00:00"/>
    <m/>
    <m/>
    <m/>
    <m/>
    <m/>
    <m/>
    <m/>
    <s v=""/>
    <n v="0"/>
    <n v="0"/>
    <s v=""/>
    <m/>
    <m/>
    <s v=""/>
    <s v=""/>
    <s v=""/>
    <s v=""/>
    <s v=""/>
    <m/>
    <m/>
    <n v="0"/>
    <n v="0"/>
    <n v="0"/>
    <m/>
    <m/>
    <n v="92"/>
    <s v=""/>
    <s v=""/>
    <n v="0"/>
    <n v="0"/>
    <n v="-0.12054296912341075"/>
    <n v="65"/>
    <s v="free money"/>
    <n v="65"/>
    <s v="Assignment"/>
    <s v="SPs"/>
    <s v=""/>
    <m/>
    <m/>
    <m/>
    <s v=""/>
    <s v=""/>
    <n v="61.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7.399999999999991"/>
    <n v="203.98949999999999"/>
    <m/>
    <m/>
    <n v="0"/>
    <s v=""/>
    <n v="0"/>
    <s v=""/>
    <s v="{F913FC11-CA3A-4A1A-B727-AC49F5B25177}"/>
    <s v=""/>
    <s v=""/>
    <s v=""/>
    <s v=""/>
    <s v=""/>
    <s v=""/>
    <s v=""/>
    <s v=""/>
    <s v=""/>
    <s v=""/>
    <x v="0"/>
    <s v=""/>
  </r>
  <r>
    <s v="LOW"/>
    <n v="204.35"/>
    <s v="ST"/>
    <n v="173.69749999999999"/>
    <x v="106"/>
    <x v="14"/>
    <m/>
    <d v="2022-08-17T06:00:00"/>
    <d v="2022-08-17T06:00:00"/>
    <m/>
    <m/>
    <m/>
    <m/>
    <m/>
    <m/>
    <m/>
    <s v=""/>
    <n v="0"/>
    <n v="0"/>
    <s v=""/>
    <m/>
    <m/>
    <s v=""/>
    <s v=""/>
    <s v=""/>
    <s v=""/>
    <s v=""/>
    <n v="1.1200000000000001"/>
    <d v="2015-11-04T00:00:00"/>
    <n v="0"/>
    <n v="0"/>
    <n v="5.480792757523857E-3"/>
    <d v="2015-07-16T00:00:00"/>
    <m/>
    <n v="117.76"/>
    <s v=""/>
    <s v=""/>
    <n v="0"/>
    <n v="0"/>
    <n v="-0.4237337900660631"/>
    <n v="120"/>
    <s v="Losses"/>
    <n v="115"/>
    <s v="max gain"/>
    <s v="Be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1.872"/>
    <n v="398.48249999999996"/>
    <m/>
    <m/>
    <n v="0"/>
    <s v=""/>
    <n v="0"/>
    <s v=""/>
    <s v="{2920C6EC-BAEA-4B20-A9C1-46FE9C9BABA4}"/>
    <s v=""/>
    <s v=""/>
    <s v=""/>
    <s v=""/>
    <s v=""/>
    <s v=""/>
    <s v=""/>
    <s v=""/>
    <s v=""/>
    <s v=""/>
    <x v="0"/>
    <s v=""/>
  </r>
  <r>
    <s v="LRCX"/>
    <n v="319.29000000000002"/>
    <m/>
    <n v="271.3965"/>
    <x v="7"/>
    <x v="2"/>
    <m/>
    <d v="2022-07-20T16:05:00"/>
    <d v="2022-07-20T16:05:00"/>
    <m/>
    <m/>
    <m/>
    <m/>
    <m/>
    <m/>
    <m/>
    <s v=""/>
    <n v="0"/>
    <n v="0"/>
    <s v=""/>
    <m/>
    <m/>
    <s v=""/>
    <s v=""/>
    <s v=""/>
    <s v=""/>
    <s v=""/>
    <n v="4.5999999999999996"/>
    <s v="1/163/2020"/>
    <n v="0"/>
    <n v="0"/>
    <n v="1.4406965454602396E-2"/>
    <d v="2019-12-30T00:00:00"/>
    <n v="230"/>
    <n v="334.68"/>
    <n v="-0.27965172726988008"/>
    <s v=""/>
    <n v="0"/>
    <n v="0"/>
    <n v="4.820069529268059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7.94599999999997"/>
    <n v="622.6155"/>
    <m/>
    <m/>
    <n v="0"/>
    <s v=""/>
    <n v="0"/>
    <s v=""/>
    <s v="{21D1EE1E-75A5-4403-8754-5204775F977C}"/>
    <s v=""/>
    <s v=""/>
    <s v=""/>
    <s v=""/>
    <s v=""/>
    <s v=""/>
    <s v=""/>
    <s v=""/>
    <s v=""/>
    <s v=""/>
    <x v="0"/>
    <s v=""/>
  </r>
  <r>
    <s v="AMZN"/>
    <n v="232.11"/>
    <s v="Swing"/>
    <n v="197.29349999999999"/>
    <x v="33"/>
    <x v="1"/>
    <m/>
    <d v="2023-10-26T00:00:00"/>
    <d v="2023-05-04T16:00:00"/>
    <m/>
    <m/>
    <n v="2"/>
    <b v="1"/>
    <n v="2"/>
    <n v="100"/>
    <n v="25000"/>
    <n v="250"/>
    <n v="23211"/>
    <n v="-1789"/>
    <n v="-7.1559999999999999E-2"/>
    <n v="240"/>
    <n v="195"/>
    <n v="-10"/>
    <n v="-55"/>
    <s v="-0.2  : 1"/>
    <n v="-1000"/>
    <n v="-5500"/>
    <m/>
    <s v="N/A"/>
    <n v="0"/>
    <n v="0"/>
    <n v="0"/>
    <m/>
    <m/>
    <m/>
    <s v=""/>
    <s v=""/>
    <n v="0"/>
    <n v="0"/>
    <s v=""/>
    <m/>
    <m/>
    <m/>
    <m/>
    <m/>
    <s v="Y"/>
    <m/>
    <m/>
    <m/>
    <s v=""/>
    <s v=""/>
    <n v="234.62"/>
    <m/>
    <d v="2026-07-31T00:00:00"/>
    <m/>
    <m/>
    <m/>
    <m/>
    <m/>
    <m/>
    <n v="0"/>
    <n v="0"/>
    <m/>
    <s v=""/>
    <s v=""/>
    <s v=""/>
    <s v=""/>
    <m/>
    <m/>
    <m/>
    <m/>
    <m/>
    <m/>
    <b v="0"/>
    <b v="0"/>
    <n v="0"/>
    <m/>
    <n v="0"/>
    <s v=""/>
    <s v=""/>
    <s v=""/>
    <s v=""/>
    <n v="0"/>
    <n v="0"/>
    <s v=""/>
    <n v="0"/>
    <m/>
    <n v="0"/>
    <n v="0"/>
    <s v=""/>
    <m/>
    <m/>
    <s v=""/>
    <m/>
    <s v=""/>
    <s v=""/>
    <s v=""/>
    <m/>
    <m/>
    <s v=""/>
    <s v=""/>
    <s v=""/>
    <s v=""/>
    <s v=""/>
    <s v=""/>
    <n v="4.07"/>
    <m/>
    <s v=""/>
    <s v=""/>
    <s v=""/>
    <s v=""/>
    <m/>
    <m/>
    <m/>
    <m/>
    <m/>
    <m/>
    <n v="0"/>
    <s v=""/>
    <s v=""/>
    <s v=""/>
    <s v=""/>
    <m/>
    <s v=""/>
    <s v=""/>
    <s v=""/>
    <s v=""/>
    <s v=""/>
    <s v=""/>
    <s v=""/>
    <m/>
    <s v=""/>
    <m/>
    <s v=""/>
    <s v=""/>
    <s v=""/>
    <n v="0"/>
    <s v=""/>
    <n v="1"/>
    <d v="2026-07-31T00:00:00"/>
    <n v="245"/>
    <n v="1"/>
    <d v="2026-07-26T00:00:00"/>
    <d v="2026-07-26T00:00:00"/>
    <n v="2.5"/>
    <b v="1"/>
    <b v="1"/>
    <n v="0.5"/>
    <n v="6"/>
    <n v="5"/>
    <n v="250"/>
    <n v="229.61"/>
    <n v="232.11"/>
    <n v="1.39266"/>
    <m/>
    <n v="3.65"/>
    <n v="0.46"/>
    <e v="#NAME?"/>
    <m/>
    <e v="#NAME?"/>
    <e v="#NAME?"/>
    <n v="0"/>
    <n v="3.65"/>
    <d v="2026-07-13T00:00:00"/>
    <n v="365"/>
    <n v="1.5725302658222393E-2"/>
    <n v="5.5534014045064778E-2"/>
    <n v="24496.35"/>
    <s v=""/>
    <n v="-253.65000000000146"/>
    <n v="244.96349999999998"/>
    <n v="1.5725302658222393E-2"/>
    <e v="#NAME?"/>
    <n v="12.889999999999986"/>
    <n v="5.4939902821583779E-2"/>
    <s v=""/>
    <s v=""/>
    <n v="262.89"/>
    <e v="#NAME?"/>
    <n v="-365"/>
    <n v="-115"/>
    <n v="-0.46"/>
    <n v="20"/>
    <n v="0"/>
    <n v="452.61450000000002"/>
    <m/>
    <m/>
    <n v="0"/>
    <n v="0"/>
    <n v="0"/>
    <n v="-1.0928008271940091"/>
    <s v="{FBBD2E7F-5DCD-48EF-8006-B1D089D70FC9}"/>
    <s v=""/>
    <s v=""/>
    <s v=""/>
    <s v=""/>
    <s v=""/>
    <s v=""/>
    <s v="AMZN260731C00245000"/>
    <n v="1"/>
    <s v="Y"/>
    <s v="LNG SC "/>
    <x v="10"/>
    <n v="0.11649944720423921"/>
  </r>
  <r>
    <s v="LUV"/>
    <n v="47.66"/>
    <m/>
    <n v="40.510999999999996"/>
    <x v="123"/>
    <x v="14"/>
    <m/>
    <d v="2022-07-28T06:45:00"/>
    <d v="2022-07-28T06:45:00"/>
    <m/>
    <m/>
    <m/>
    <m/>
    <m/>
    <m/>
    <m/>
    <s v=""/>
    <n v="0"/>
    <n v="0"/>
    <s v=""/>
    <m/>
    <m/>
    <s v=""/>
    <s v=""/>
    <s v=""/>
    <s v=""/>
    <s v=""/>
    <n v="0.5"/>
    <d v="2017-09-14T00:00:00"/>
    <n v="0"/>
    <n v="0"/>
    <n v="1.0490977759127152E-2"/>
    <d v="2017-09-01T00:00:00"/>
    <m/>
    <n v="44.56"/>
    <s v=""/>
    <s v=""/>
    <n v="0"/>
    <n v="0"/>
    <n v="-6.5044062106588224E-2"/>
    <n v="50.5"/>
    <s v="free money"/>
    <n v="50.5"/>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2.332000000000001"/>
    <n v="92.936999999999998"/>
    <m/>
    <m/>
    <n v="0"/>
    <s v=""/>
    <n v="0"/>
    <s v=""/>
    <s v="{86B08927-4EC8-4F40-815E-5E5A8A74ACE6}"/>
    <s v=""/>
    <s v=""/>
    <s v=""/>
    <s v=""/>
    <s v=""/>
    <s v=""/>
    <s v=""/>
    <s v=""/>
    <s v=""/>
    <s v=""/>
    <x v="0"/>
    <s v=""/>
  </r>
  <r>
    <s v="LVGO"/>
    <n v="138.88999999999999"/>
    <m/>
    <n v="118.05649999999999"/>
    <x v="71"/>
    <x v="3"/>
    <m/>
    <d v="2022-07-28T06:45:00"/>
    <d v="2022-07-28T06:45:00"/>
    <m/>
    <m/>
    <m/>
    <m/>
    <m/>
    <m/>
    <m/>
    <s v=""/>
    <n v="0"/>
    <n v="0"/>
    <s v=""/>
    <m/>
    <m/>
    <s v=""/>
    <s v=""/>
    <s v=""/>
    <s v=""/>
    <s v=""/>
    <m/>
    <m/>
    <n v="0"/>
    <n v="0"/>
    <n v="0"/>
    <m/>
    <m/>
    <n v="127.41"/>
    <s v=""/>
    <s v=""/>
    <n v="0"/>
    <n v="0"/>
    <n v="-8.2655338757289878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1.03949999999999"/>
    <n v="270.83549999999997"/>
    <m/>
    <m/>
    <n v="0"/>
    <s v=""/>
    <n v="0"/>
    <s v=""/>
    <m/>
    <s v=""/>
    <s v=""/>
    <s v=""/>
    <s v=""/>
    <s v=""/>
    <s v=""/>
    <s v=""/>
    <s v=""/>
    <s v=""/>
    <s v=""/>
    <x v="0"/>
    <s v=""/>
  </r>
  <r>
    <s v="LVS"/>
    <n v="45.25"/>
    <s v="CORE"/>
    <n v="38.462499999999999"/>
    <x v="50"/>
    <x v="17"/>
    <m/>
    <d v="2022-07-27T16:20:00"/>
    <d v="2022-07-27T16:20:00"/>
    <m/>
    <s v="Macau revenue release"/>
    <m/>
    <m/>
    <m/>
    <m/>
    <m/>
    <s v=""/>
    <n v="0"/>
    <n v="0"/>
    <s v=""/>
    <n v="70"/>
    <n v="45"/>
    <s v=""/>
    <s v=""/>
    <s v=""/>
    <s v=""/>
    <s v=""/>
    <m/>
    <m/>
    <n v="0"/>
    <n v="0"/>
    <n v="0"/>
    <m/>
    <m/>
    <n v="68.5"/>
    <s v=""/>
    <s v=""/>
    <n v="0"/>
    <n v="0"/>
    <n v="0.51381215469613262"/>
    <m/>
    <m/>
    <m/>
    <m/>
    <m/>
    <s v=""/>
    <m/>
    <m/>
    <m/>
    <s v=""/>
    <s v=""/>
    <n v="52.7"/>
    <m/>
    <s v=""/>
    <m/>
    <m/>
    <m/>
    <m/>
    <m/>
    <m/>
    <n v="0"/>
    <n v="0"/>
    <m/>
    <s v=""/>
    <s v=""/>
    <s v=""/>
    <s v=""/>
    <m/>
    <m/>
    <m/>
    <m/>
    <m/>
    <m/>
    <b v="0"/>
    <b v="0"/>
    <n v="0"/>
    <m/>
    <n v="0"/>
    <s v=""/>
    <s v=""/>
    <s v=""/>
    <s v=""/>
    <n v="0"/>
    <n v="0"/>
    <s v=""/>
    <n v="0"/>
    <m/>
    <n v="0"/>
    <n v="0"/>
    <s v=""/>
    <m/>
    <m/>
    <s v=""/>
    <m/>
    <s v=""/>
    <s v=""/>
    <s v=""/>
    <m/>
    <m/>
    <s v=""/>
    <s v=""/>
    <s v=""/>
    <s v=""/>
    <s v=""/>
    <s v=""/>
    <m/>
    <m/>
    <s v=""/>
    <s v=""/>
    <s v=""/>
    <s v=""/>
    <m/>
    <m/>
    <m/>
    <m/>
    <m/>
    <n v="4.2"/>
    <n v="0"/>
    <s v=""/>
    <s v=""/>
    <s v=""/>
    <s v=""/>
    <m/>
    <s v=""/>
    <s v=""/>
    <s v=""/>
    <n v="6.3000000000000007"/>
    <s v=""/>
    <s v=""/>
    <s v=""/>
    <m/>
    <s v=""/>
    <m/>
    <s v=""/>
    <s v=""/>
    <s v=""/>
    <n v="0"/>
    <s v=""/>
    <n v="0"/>
    <m/>
    <m/>
    <m/>
    <m/>
    <m/>
    <m/>
    <b v="0"/>
    <b v="0"/>
    <m/>
    <s v=""/>
    <s v=""/>
    <n v="0"/>
    <s v=""/>
    <s v=""/>
    <n v="0"/>
    <m/>
    <m/>
    <m/>
    <n v="0"/>
    <m/>
    <s v=""/>
    <s v=""/>
    <n v="0"/>
    <n v="0"/>
    <m/>
    <s v=""/>
    <s v=""/>
    <s v=""/>
    <s v=""/>
    <s v=""/>
    <s v=""/>
    <s v=""/>
    <s v=""/>
    <s v=""/>
    <n v="0"/>
    <s v=""/>
    <s v=""/>
    <s v=""/>
    <s v=""/>
    <s v=""/>
    <s v=""/>
    <s v=""/>
    <s v=""/>
    <n v="0"/>
    <n v="65.075000000000003"/>
    <n v="88.237499999999997"/>
    <m/>
    <m/>
    <n v="0"/>
    <s v=""/>
    <n v="0"/>
    <s v=""/>
    <s v="{C016408D-9402-4203-BDF7-4D935D1A4DE1}"/>
    <s v=""/>
    <s v=""/>
    <s v=""/>
    <s v=""/>
    <s v=""/>
    <s v=""/>
    <s v=""/>
    <s v=""/>
    <s v=""/>
    <s v=""/>
    <x v="0"/>
    <s v=""/>
  </r>
  <r>
    <s v="LYFT"/>
    <n v="14.66"/>
    <m/>
    <n v="12.461"/>
    <x v="28"/>
    <x v="2"/>
    <m/>
    <d v="2022-08-02T16:05:00"/>
    <d v="2022-08-02T16:05:00"/>
    <m/>
    <m/>
    <m/>
    <m/>
    <m/>
    <m/>
    <m/>
    <s v=""/>
    <n v="0"/>
    <n v="0"/>
    <s v=""/>
    <m/>
    <m/>
    <s v=""/>
    <s v=""/>
    <s v=""/>
    <s v=""/>
    <s v=""/>
    <m/>
    <m/>
    <n v="0"/>
    <n v="0"/>
    <n v="0"/>
    <m/>
    <m/>
    <n v="52.75"/>
    <s v=""/>
    <s v=""/>
    <n v="0"/>
    <n v="0"/>
    <n v="2.5982264665757167"/>
    <n v="60"/>
    <s v="free money"/>
    <n v="55"/>
    <s v="max loss"/>
    <s v="Bu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0.112499999999997"/>
    <n v="28.587"/>
    <m/>
    <m/>
    <n v="0"/>
    <s v=""/>
    <n v="0"/>
    <s v=""/>
    <s v="{9D358DDA-F147-4F1F-9391-96212E464F31}"/>
    <s v=""/>
    <s v=""/>
    <s v=""/>
    <s v=""/>
    <s v=""/>
    <s v=""/>
    <s v=""/>
    <s v=""/>
    <s v=""/>
    <s v=""/>
    <x v="0"/>
    <s v=""/>
  </r>
  <r>
    <s v="M"/>
    <n v="24.33"/>
    <m/>
    <n v="20.680499999999999"/>
    <x v="117"/>
    <x v="14"/>
    <m/>
    <d v="2022-08-25T06:55:00"/>
    <d v="2022-08-25T06:55:00"/>
    <m/>
    <m/>
    <m/>
    <m/>
    <n v="4"/>
    <m/>
    <m/>
    <s v=""/>
    <n v="0"/>
    <n v="0"/>
    <s v=""/>
    <m/>
    <m/>
    <s v=""/>
    <s v=""/>
    <s v=""/>
    <s v=""/>
    <s v=""/>
    <n v="1.44"/>
    <d v="2016-01-04T00:00:00"/>
    <n v="0"/>
    <n v="0"/>
    <n v="5.9186189889025895E-2"/>
    <d v="2016-03-09T00:00:00"/>
    <m/>
    <n v="8.81"/>
    <s v=""/>
    <s v=""/>
    <n v="0"/>
    <n v="0"/>
    <n v="-0.63789560213727903"/>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3695000000000004"/>
    <n v="47.443499999999993"/>
    <m/>
    <m/>
    <n v="0"/>
    <s v=""/>
    <n v="0"/>
    <s v=""/>
    <s v="{078210DC-B5F4-4412-9C5D-9DA007AC8607}"/>
    <s v=""/>
    <s v=""/>
    <s v=""/>
    <s v=""/>
    <s v=""/>
    <s v=""/>
    <s v=""/>
    <s v=""/>
    <s v=""/>
    <s v=""/>
    <x v="0"/>
    <s v=""/>
  </r>
  <r>
    <s v="MA"/>
    <n v="531.98"/>
    <s v="Swing"/>
    <n v="452.18299999999999"/>
    <x v="29"/>
    <x v="8"/>
    <m/>
    <d v="2022-07-28T08:00:00"/>
    <d v="2022-07-28T08:00:00"/>
    <m/>
    <m/>
    <n v="2"/>
    <b v="1"/>
    <m/>
    <m/>
    <m/>
    <s v=""/>
    <n v="0"/>
    <n v="0"/>
    <s v=""/>
    <m/>
    <m/>
    <s v=""/>
    <s v=""/>
    <s v=""/>
    <s v=""/>
    <s v=""/>
    <n v="1.32"/>
    <d v="2020-02-08T00:00:00"/>
    <n v="0"/>
    <n v="0"/>
    <n v="2.4812962893341855E-3"/>
    <d v="2020-01-08T00:00:00"/>
    <n v="315"/>
    <n v="429.91"/>
    <n v="-0.40787247640888757"/>
    <s v=""/>
    <n v="0"/>
    <n v="0"/>
    <n v="-0.19186811534268203"/>
    <n v="390"/>
    <s v="max gain"/>
    <n v="370"/>
    <s v="max loss"/>
    <s v="BuCS"/>
    <s v=""/>
    <m/>
    <m/>
    <m/>
    <s v=""/>
    <s v=""/>
    <n v="5.1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08.41450000000003"/>
    <n v="1037.3610000000001"/>
    <m/>
    <m/>
    <n v="0"/>
    <s v=""/>
    <n v="0"/>
    <s v=""/>
    <s v="{40BCAF82-7026-4293-8E9C-D44E8F8FC5CE}"/>
    <s v=""/>
    <s v=""/>
    <s v=""/>
    <s v=""/>
    <s v=""/>
    <s v=""/>
    <s v=""/>
    <s v=""/>
    <s v=""/>
    <s v=""/>
    <x v="0"/>
    <s v=""/>
  </r>
  <r>
    <s v="MAR"/>
    <n v="369.8"/>
    <m/>
    <n v="314.33"/>
    <x v="124"/>
    <x v="14"/>
    <m/>
    <d v="2022-08-03T07:00:00"/>
    <d v="2022-08-03T07:00:00"/>
    <m/>
    <m/>
    <m/>
    <m/>
    <m/>
    <m/>
    <m/>
    <s v=""/>
    <n v="0"/>
    <n v="0"/>
    <s v=""/>
    <m/>
    <m/>
    <s v=""/>
    <s v=""/>
    <s v=""/>
    <s v=""/>
    <s v=""/>
    <n v="1.32"/>
    <m/>
    <n v="0"/>
    <n v="0"/>
    <n v="3.5694970254191456E-3"/>
    <d v="2019-05-28T00:00:00"/>
    <n v="150"/>
    <n v="99.05"/>
    <n v="-0.59437533802055165"/>
    <s v=""/>
    <n v="0"/>
    <n v="0"/>
    <n v="-0.73215251487290423"/>
    <n v="130"/>
    <s v="ITM"/>
    <n v="120"/>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4.097499999999997"/>
    <n v="721.11"/>
    <m/>
    <m/>
    <n v="0"/>
    <s v=""/>
    <n v="0"/>
    <s v=""/>
    <s v="{91FF562C-66CA-4258-8903-90D3D6F966C5}"/>
    <s v=""/>
    <s v=""/>
    <s v=""/>
    <s v=""/>
    <s v=""/>
    <s v=""/>
    <s v=""/>
    <s v=""/>
    <s v=""/>
    <s v=""/>
    <x v="0"/>
    <s v=""/>
  </r>
  <r>
    <s v="TSLA"/>
    <n v="313.02999999999997"/>
    <s v="Position"/>
    <n v="266.07549999999998"/>
    <x v="100"/>
    <x v="13"/>
    <m/>
    <d v="2023-10-19T16:05:00"/>
    <d v="2023-07-19T16:05:00"/>
    <m/>
    <m/>
    <m/>
    <m/>
    <m/>
    <m/>
    <m/>
    <s v=""/>
    <n v="0"/>
    <n v="0"/>
    <s v=""/>
    <n v="550"/>
    <n v="464.85"/>
    <s v=""/>
    <s v=""/>
    <s v=""/>
    <s v=""/>
    <s v=""/>
    <n v="0"/>
    <s v="N/A"/>
    <n v="0"/>
    <n v="0"/>
    <n v="0"/>
    <m/>
    <m/>
    <m/>
    <s v=""/>
    <s v=""/>
    <n v="0"/>
    <n v="0"/>
    <s v=""/>
    <m/>
    <m/>
    <m/>
    <m/>
    <m/>
    <s v=""/>
    <m/>
    <m/>
    <m/>
    <s v=""/>
    <s v=""/>
    <n v="513.29999999999995"/>
    <m/>
    <d v="2028-01-21T00:00:00"/>
    <m/>
    <m/>
    <m/>
    <m/>
    <m/>
    <m/>
    <n v="0"/>
    <n v="0"/>
    <m/>
    <s v=""/>
    <s v=""/>
    <s v=""/>
    <s v=""/>
    <m/>
    <m/>
    <m/>
    <m/>
    <m/>
    <m/>
    <b v="0"/>
    <b v="0"/>
    <n v="0"/>
    <m/>
    <n v="0"/>
    <s v=""/>
    <s v=""/>
    <s v=""/>
    <s v=""/>
    <n v="0"/>
    <n v="0"/>
    <s v=""/>
    <n v="0"/>
    <m/>
    <n v="0"/>
    <n v="0"/>
    <s v=""/>
    <m/>
    <m/>
    <s v=""/>
    <m/>
    <s v=""/>
    <s v=""/>
    <s v=""/>
    <m/>
    <m/>
    <s v=""/>
    <s v=""/>
    <s v=""/>
    <s v=""/>
    <s v=""/>
    <s v=""/>
    <m/>
    <m/>
    <s v=""/>
    <s v=""/>
    <s v=""/>
    <s v=""/>
    <d v="2028-01-21T00:00:00"/>
    <n v="400"/>
    <n v="2"/>
    <d v="2026-02-25T00:00:00"/>
    <d v="2026-02-25T00:00:00"/>
    <n v="118.98"/>
    <n v="23796"/>
    <s v=""/>
    <n v="695"/>
    <n v="544"/>
    <n v="518.98"/>
    <n v="103.99"/>
    <n v="20798"/>
    <n v="-2998"/>
    <n v="-0.12598756093461086"/>
    <n v="178.47"/>
    <n v="35694"/>
    <n v="11898"/>
    <n v="0.5"/>
    <m/>
    <n v="89.234999999999999"/>
    <n v="160.6"/>
    <n v="160.6"/>
    <n v="32120"/>
    <n v="8324"/>
    <n v="80000"/>
    <n v="0.34980669020003363"/>
    <n v="2"/>
    <m/>
    <m/>
    <m/>
    <m/>
    <m/>
    <m/>
    <b v="0"/>
    <b v="0"/>
    <m/>
    <s v=""/>
    <s v=""/>
    <n v="0"/>
    <s v=""/>
    <s v=""/>
    <n v="0"/>
    <m/>
    <m/>
    <m/>
    <n v="0"/>
    <m/>
    <s v=""/>
    <s v=""/>
    <n v="0"/>
    <n v="0"/>
    <m/>
    <s v=""/>
    <s v=""/>
    <s v=""/>
    <s v=""/>
    <s v=""/>
    <s v=""/>
    <s v=""/>
    <s v=""/>
    <s v=""/>
    <n v="0"/>
    <s v=""/>
    <s v=""/>
    <s v=""/>
    <s v=""/>
    <s v=""/>
    <s v=""/>
    <s v=""/>
    <s v=""/>
    <n v="0"/>
    <n v="0"/>
    <n v="610.40849999999989"/>
    <m/>
    <m/>
    <n v="0"/>
    <s v=""/>
    <n v="0"/>
    <s v=""/>
    <s v="{62ACC40E-EEDD-46FC-9AAD-6CE7D2C27F30}"/>
    <s v=""/>
    <s v=""/>
    <s v=""/>
    <s v=""/>
    <s v="TSLA280121C00400000"/>
    <n v="1"/>
    <s v=""/>
    <s v=""/>
    <s v="Y"/>
    <s v="LC "/>
    <x v="11"/>
    <n v="0.11200892305745763"/>
  </r>
  <r>
    <s v="SMCI"/>
    <n v="30.56"/>
    <n v="45"/>
    <n v="25.975999999999999"/>
    <x v="20"/>
    <x v="2"/>
    <m/>
    <m/>
    <m/>
    <m/>
    <m/>
    <m/>
    <m/>
    <m/>
    <m/>
    <m/>
    <s v=""/>
    <n v="0"/>
    <n v="0"/>
    <s v=""/>
    <m/>
    <m/>
    <s v=""/>
    <s v=""/>
    <s v=""/>
    <s v=""/>
    <s v=""/>
    <m/>
    <m/>
    <n v="0"/>
    <n v="0"/>
    <n v="0"/>
    <m/>
    <m/>
    <n v="375.2"/>
    <s v=""/>
    <s v=""/>
    <n v="0"/>
    <n v="0"/>
    <n v="11.277486910994764"/>
    <n v="810"/>
    <s v="free money"/>
    <n v="800"/>
    <s v="max loss"/>
    <s v="BuPS"/>
    <s v=""/>
    <m/>
    <m/>
    <m/>
    <s v=""/>
    <s v=""/>
    <n v="43.23"/>
    <s v="WILL CALL"/>
    <s v=""/>
    <m/>
    <m/>
    <m/>
    <m/>
    <m/>
    <m/>
    <n v="0"/>
    <n v="0"/>
    <m/>
    <s v=""/>
    <s v=""/>
    <s v=""/>
    <s v=""/>
    <m/>
    <m/>
    <m/>
    <m/>
    <m/>
    <m/>
    <b v="0"/>
    <b v="0"/>
    <n v="0"/>
    <m/>
    <n v="0"/>
    <s v=""/>
    <s v=""/>
    <s v=""/>
    <s v=""/>
    <n v="0"/>
    <n v="0"/>
    <s v=""/>
    <n v="0"/>
    <m/>
    <n v="0"/>
    <n v="0"/>
    <s v=""/>
    <m/>
    <m/>
    <s v=""/>
    <m/>
    <s v=""/>
    <s v=""/>
    <s v=""/>
    <d v="2025-08-22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56.44"/>
    <n v="59.591999999999999"/>
    <m/>
    <m/>
    <n v="0"/>
    <s v=""/>
    <n v="0"/>
    <s v=""/>
    <m/>
    <s v=""/>
    <s v=""/>
    <s v=""/>
    <s v=""/>
    <s v=""/>
    <s v=""/>
    <s v=""/>
    <s v=""/>
    <s v=""/>
    <s v=""/>
    <x v="0"/>
    <s v=""/>
  </r>
  <r>
    <s v="SMH"/>
    <n v="586.91"/>
    <s v="Swing"/>
    <n v="498.87349999999998"/>
    <x v="35"/>
    <x v="8"/>
    <m/>
    <d v="2023-04-25T06:55:00"/>
    <d v="2023-04-25T06:55:00"/>
    <m/>
    <m/>
    <m/>
    <m/>
    <m/>
    <m/>
    <m/>
    <s v=""/>
    <n v="0"/>
    <n v="0"/>
    <s v=""/>
    <m/>
    <m/>
    <s v=""/>
    <s v=""/>
    <s v=""/>
    <s v=""/>
    <s v=""/>
    <m/>
    <m/>
    <n v="0"/>
    <n v="0"/>
    <n v="0"/>
    <m/>
    <m/>
    <m/>
    <s v=""/>
    <s v=""/>
    <n v="0"/>
    <n v="0"/>
    <s v=""/>
    <n v="232"/>
    <s v="StopOut"/>
    <n v="212.91"/>
    <s v="T1"/>
    <s v="LPs"/>
    <s v=""/>
    <m/>
    <m/>
    <m/>
    <s v=""/>
    <s v=""/>
    <n v="2.67"/>
    <s v="Gap @ $213 T1, MA $211.20 STOP $1.35"/>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144.4744999999998"/>
    <m/>
    <m/>
    <n v="0"/>
    <s v=""/>
    <n v="0"/>
    <s v=""/>
    <m/>
    <s v=""/>
    <s v=""/>
    <s v=""/>
    <s v=""/>
    <s v=""/>
    <s v=""/>
    <s v=""/>
    <s v=""/>
    <s v=""/>
    <s v=""/>
    <x v="0"/>
    <s v=""/>
  </r>
  <r>
    <s v="MNMD"/>
    <n v="8.5500000000000007"/>
    <m/>
    <n v="7.2675000000000001"/>
    <x v="15"/>
    <x v="3"/>
    <m/>
    <m/>
    <m/>
    <m/>
    <m/>
    <m/>
    <m/>
    <m/>
    <m/>
    <m/>
    <s v=""/>
    <n v="0"/>
    <n v="0"/>
    <s v=""/>
    <m/>
    <m/>
    <s v=""/>
    <s v=""/>
    <s v=""/>
    <s v=""/>
    <s v=""/>
    <m/>
    <m/>
    <n v="0"/>
    <n v="0"/>
    <n v="0"/>
    <m/>
    <m/>
    <m/>
    <s v=""/>
    <s v=""/>
    <n v="0"/>
    <n v="0"/>
    <s v=""/>
    <m/>
    <m/>
    <m/>
    <m/>
    <m/>
    <s v=""/>
    <m/>
    <m/>
    <m/>
    <s v=""/>
    <s v=""/>
    <n v="6.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6.672499999999999"/>
    <m/>
    <m/>
    <n v="0"/>
    <s v=""/>
    <n v="0"/>
    <s v=""/>
    <m/>
    <s v=""/>
    <s v=""/>
    <s v=""/>
    <s v=""/>
    <s v=""/>
    <s v=""/>
    <s v=""/>
    <s v=""/>
    <s v=""/>
    <s v=""/>
    <x v="0"/>
    <s v=""/>
  </r>
  <r>
    <s v="SNAP"/>
    <n v="4.47"/>
    <s v="Swing"/>
    <n v="3.7994999999999997"/>
    <x v="96"/>
    <x v="2"/>
    <m/>
    <d v="2022-07-21T16:10:00"/>
    <d v="2022-07-21T16:10:00"/>
    <m/>
    <m/>
    <m/>
    <m/>
    <m/>
    <m/>
    <m/>
    <s v=""/>
    <n v="0"/>
    <n v="0"/>
    <s v=""/>
    <n v="75"/>
    <n v="63.05"/>
    <s v=""/>
    <s v=""/>
    <s v=""/>
    <s v=""/>
    <s v=""/>
    <m/>
    <m/>
    <n v="0"/>
    <n v="0"/>
    <n v="0"/>
    <m/>
    <m/>
    <n v="77.12"/>
    <s v=""/>
    <s v=""/>
    <n v="0"/>
    <n v="0"/>
    <n v="16.252796420581657"/>
    <n v="75"/>
    <s v="T1"/>
    <n v="63.05"/>
    <s v="stop out"/>
    <m/>
    <s v=""/>
    <m/>
    <n v="3.4329999999999998"/>
    <d v="2020-10-23T00:00:00"/>
    <n v="1.0369999999999999"/>
    <n v="7.9029999999999996"/>
    <n v="66.4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3.263999999999996"/>
    <n v="8.7164999999999999"/>
    <m/>
    <m/>
    <n v="0"/>
    <s v=""/>
    <n v="0"/>
    <s v=""/>
    <s v="{138F147C-7937-4F68-84BB-F86BB66F920E}"/>
    <s v=""/>
    <s v=""/>
    <s v=""/>
    <s v=""/>
    <s v=""/>
    <s v=""/>
    <s v=""/>
    <s v=""/>
    <s v=""/>
    <s v=""/>
    <x v="0"/>
    <s v=""/>
  </r>
  <r>
    <s v="INFQ_1"/>
    <n v="8.9700000000000006"/>
    <m/>
    <n v="7.6245000000000003"/>
    <x v="125"/>
    <x v="8"/>
    <m/>
    <m/>
    <m/>
    <m/>
    <m/>
    <m/>
    <m/>
    <m/>
    <n v="1000"/>
    <n v="15000"/>
    <n v="15"/>
    <n v="8970"/>
    <n v="-6030"/>
    <n v="-0.40200000000000002"/>
    <m/>
    <m/>
    <s v=""/>
    <s v=""/>
    <s v=""/>
    <s v=""/>
    <s v=""/>
    <m/>
    <m/>
    <n v="0"/>
    <n v="0"/>
    <n v="0"/>
    <m/>
    <m/>
    <m/>
    <s v=""/>
    <s v=""/>
    <n v="0"/>
    <n v="0"/>
    <s v=""/>
    <m/>
    <m/>
    <m/>
    <m/>
    <m/>
    <s v=""/>
    <m/>
    <m/>
    <m/>
    <s v=""/>
    <s v=""/>
    <n v="9.5399999999999991"/>
    <m/>
    <s v=""/>
    <m/>
    <m/>
    <m/>
    <m/>
    <m/>
    <m/>
    <n v="0"/>
    <n v="0"/>
    <m/>
    <s v=""/>
    <s v=""/>
    <s v=""/>
    <s v=""/>
    <m/>
    <m/>
    <m/>
    <m/>
    <m/>
    <m/>
    <b v="0"/>
    <b v="0"/>
    <n v="0"/>
    <n v="0.42"/>
    <n v="0"/>
    <s v=""/>
    <s v=""/>
    <s v=""/>
    <s v=""/>
    <n v="0"/>
    <n v="0"/>
    <s v=""/>
    <n v="0"/>
    <m/>
    <n v="0"/>
    <n v="0"/>
    <s v=""/>
    <m/>
    <m/>
    <s v=""/>
    <m/>
    <s v=""/>
    <s v=""/>
    <s v=""/>
    <m/>
    <m/>
    <s v=""/>
    <s v=""/>
    <s v=""/>
    <s v=""/>
    <s v=""/>
    <s v=""/>
    <m/>
    <m/>
    <s v=""/>
    <s v=""/>
    <s v=""/>
    <s v=""/>
    <m/>
    <m/>
    <m/>
    <m/>
    <m/>
    <m/>
    <n v="0"/>
    <s v=""/>
    <s v=""/>
    <s v=""/>
    <s v=""/>
    <m/>
    <s v=""/>
    <s v=""/>
    <s v=""/>
    <s v=""/>
    <s v=""/>
    <s v=""/>
    <s v=""/>
    <m/>
    <s v=""/>
    <m/>
    <s v=""/>
    <s v=""/>
    <s v=""/>
    <n v="0"/>
    <s v=""/>
    <n v="10"/>
    <m/>
    <m/>
    <m/>
    <m/>
    <m/>
    <m/>
    <b v="0"/>
    <b v="0"/>
    <m/>
    <s v=""/>
    <s v=""/>
    <n v="0"/>
    <s v=""/>
    <s v=""/>
    <n v="0"/>
    <m/>
    <m/>
    <m/>
    <n v="0"/>
    <m/>
    <s v=""/>
    <s v=""/>
    <n v="0"/>
    <n v="0"/>
    <m/>
    <s v=""/>
    <s v=""/>
    <s v=""/>
    <s v=""/>
    <s v=""/>
    <s v=""/>
    <s v=""/>
    <s v=""/>
    <s v=""/>
    <n v="0"/>
    <s v=""/>
    <s v=""/>
    <s v=""/>
    <s v=""/>
    <s v=""/>
    <s v=""/>
    <s v=""/>
    <s v=""/>
    <n v="200"/>
    <n v="0"/>
    <n v="17.491500000000002"/>
    <m/>
    <m/>
    <n v="0"/>
    <n v="0"/>
    <n v="0"/>
    <s v=""/>
    <m/>
    <s v=""/>
    <s v=""/>
    <s v=""/>
    <s v=""/>
    <s v=""/>
    <s v=""/>
    <s v=""/>
    <s v=""/>
    <s v=""/>
    <s v="LNG "/>
    <x v="12"/>
    <n v="7.0605725578326797E-2"/>
  </r>
  <r>
    <s v="IBIT_5"/>
    <n v="36.35"/>
    <s v="sw"/>
    <n v="30.897500000000001"/>
    <x v="35"/>
    <x v="8"/>
    <m/>
    <m/>
    <m/>
    <m/>
    <m/>
    <m/>
    <m/>
    <m/>
    <m/>
    <m/>
    <s v=""/>
    <n v="0"/>
    <n v="0"/>
    <s v=""/>
    <n v="68"/>
    <m/>
    <s v=""/>
    <s v=""/>
    <s v=""/>
    <s v=""/>
    <s v=""/>
    <m/>
    <m/>
    <n v="0"/>
    <n v="0"/>
    <n v="0"/>
    <m/>
    <m/>
    <m/>
    <s v=""/>
    <s v=""/>
    <n v="0"/>
    <n v="0"/>
    <s v=""/>
    <n v="51.5"/>
    <s v="free money"/>
    <n v="51.5"/>
    <s v="Assignment"/>
    <s v="SPs"/>
    <s v=""/>
    <m/>
    <m/>
    <m/>
    <s v=""/>
    <s v=""/>
    <n v="58.86"/>
    <m/>
    <d v="2028-06-16T00:00:00"/>
    <m/>
    <m/>
    <m/>
    <m/>
    <m/>
    <m/>
    <n v="0"/>
    <n v="0"/>
    <m/>
    <s v=""/>
    <s v=""/>
    <s v=""/>
    <s v=""/>
    <m/>
    <m/>
    <m/>
    <m/>
    <m/>
    <m/>
    <b v="0"/>
    <b v="0"/>
    <n v="0"/>
    <m/>
    <n v="0"/>
    <s v=""/>
    <s v=""/>
    <s v=""/>
    <s v=""/>
    <n v="0"/>
    <n v="0"/>
    <s v=""/>
    <n v="0"/>
    <m/>
    <n v="0"/>
    <n v="0"/>
    <s v=""/>
    <m/>
    <m/>
    <s v=""/>
    <m/>
    <s v=""/>
    <s v=""/>
    <s v=""/>
    <m/>
    <m/>
    <s v=""/>
    <s v=""/>
    <s v=""/>
    <s v=""/>
    <s v=""/>
    <s v=""/>
    <m/>
    <m/>
    <s v=""/>
    <s v=""/>
    <s v=""/>
    <s v=""/>
    <d v="2028-06-16T00:00:00"/>
    <n v="40"/>
    <n v="10"/>
    <d v="2026-02-26T00:00:00"/>
    <d v="2026-02-26T00:00:00"/>
    <n v="14.46"/>
    <n v="14460.000000000002"/>
    <s v=""/>
    <n v="841"/>
    <n v="691"/>
    <n v="54.46"/>
    <m/>
    <s v=""/>
    <s v=""/>
    <s v=""/>
    <n v="21.69"/>
    <n v="21690"/>
    <n v="7229.9999999999982"/>
    <n v="0.49999999999999983"/>
    <m/>
    <n v="10.845000000000001"/>
    <m/>
    <s v=""/>
    <s v=""/>
    <s v=""/>
    <n v="40000"/>
    <s v=""/>
    <n v="10"/>
    <m/>
    <n v="47"/>
    <n v="10"/>
    <d v="2026-05-01T00:00:00"/>
    <m/>
    <n v="0.22"/>
    <b v="0"/>
    <b v="0"/>
    <n v="0.15"/>
    <s v=""/>
    <s v=""/>
    <n v="0"/>
    <n v="36.130000000000003"/>
    <s v=""/>
    <n v="0"/>
    <m/>
    <m/>
    <m/>
    <n v="0"/>
    <m/>
    <s v=""/>
    <s v=""/>
    <n v="0"/>
    <n v="0"/>
    <m/>
    <s v=""/>
    <s v=""/>
    <s v=""/>
    <s v=""/>
    <s v=""/>
    <s v=""/>
    <s v=""/>
    <s v=""/>
    <s v=""/>
    <n v="10.649999999999999"/>
    <n v="0.18093781855249744"/>
    <s v=""/>
    <s v=""/>
    <s v=""/>
    <s v=""/>
    <s v=""/>
    <s v=""/>
    <s v=""/>
    <n v="0"/>
    <n v="0"/>
    <n v="70.882500000000007"/>
    <m/>
    <m/>
    <n v="0"/>
    <s v=""/>
    <n v="0"/>
    <s v=""/>
    <m/>
    <s v=""/>
    <s v=""/>
    <s v=""/>
    <s v=""/>
    <s v="IBIT280616C00040000"/>
    <n v="1"/>
    <s v=""/>
    <s v=""/>
    <s v="Y"/>
    <s v="LC "/>
    <x v="13"/>
    <n v="6.8063919457507047E-2"/>
  </r>
  <r>
    <s v="NLR"/>
    <n v="108.1"/>
    <s v="Position"/>
    <n v="91.884999999999991"/>
    <x v="35"/>
    <x v="8"/>
    <m/>
    <m/>
    <m/>
    <m/>
    <m/>
    <m/>
    <m/>
    <m/>
    <n v="30"/>
    <n v="2618.8900000000003"/>
    <n v="87.296333333333351"/>
    <n v="3243"/>
    <n v="624.10999999999967"/>
    <n v="0.23831088743704379"/>
    <m/>
    <m/>
    <s v=""/>
    <s v=""/>
    <s v=""/>
    <s v=""/>
    <s v=""/>
    <m/>
    <m/>
    <n v="0"/>
    <n v="0"/>
    <n v="0"/>
    <m/>
    <m/>
    <m/>
    <s v=""/>
    <s v=""/>
    <n v="0"/>
    <n v="0"/>
    <s v=""/>
    <m/>
    <m/>
    <m/>
    <m/>
    <s v="EquityOnly"/>
    <s v=""/>
    <s v="SYD"/>
    <m/>
    <m/>
    <s v=""/>
    <s v=""/>
    <n v="88.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6"/>
    <n v="0"/>
    <n v="210.79499999999999"/>
    <m/>
    <m/>
    <n v="0"/>
    <n v="0"/>
    <n v="0"/>
    <s v=""/>
    <m/>
    <s v=""/>
    <s v=""/>
    <s v=""/>
    <s v=""/>
    <s v=""/>
    <s v=""/>
    <s v=""/>
    <s v=""/>
    <s v=""/>
    <s v="LNG "/>
    <x v="14"/>
    <n v="1.5264957870034254E-2"/>
  </r>
  <r>
    <s v="RKLB"/>
    <n v="69.75"/>
    <s v="Position"/>
    <n v="59.287500000000001"/>
    <x v="87"/>
    <x v="7"/>
    <m/>
    <m/>
    <m/>
    <m/>
    <m/>
    <m/>
    <m/>
    <m/>
    <m/>
    <m/>
    <s v=""/>
    <n v="0"/>
    <n v="0"/>
    <s v=""/>
    <m/>
    <n v="17.2"/>
    <s v=""/>
    <s v=""/>
    <s v=""/>
    <s v=""/>
    <s v=""/>
    <m/>
    <m/>
    <n v="0"/>
    <n v="0"/>
    <n v="0"/>
    <m/>
    <m/>
    <m/>
    <s v=""/>
    <s v=""/>
    <n v="0"/>
    <n v="0"/>
    <s v=""/>
    <n v="40"/>
    <s v="assignment"/>
    <n v="36"/>
    <s v="LowerLeg"/>
    <s v="ConvSpr"/>
    <s v=""/>
    <m/>
    <m/>
    <m/>
    <s v=""/>
    <s v=""/>
    <n v="35.22"/>
    <m/>
    <s v=""/>
    <m/>
    <m/>
    <m/>
    <m/>
    <m/>
    <m/>
    <n v="0"/>
    <n v="0"/>
    <m/>
    <s v=""/>
    <s v=""/>
    <s v=""/>
    <m/>
    <m/>
    <m/>
    <m/>
    <m/>
    <m/>
    <m/>
    <b v="0"/>
    <b v="0"/>
    <n v="0"/>
    <m/>
    <n v="0"/>
    <s v=""/>
    <s v=""/>
    <s v=""/>
    <s v=""/>
    <n v="0"/>
    <n v="0"/>
    <s v=""/>
    <n v="0"/>
    <m/>
    <n v="0"/>
    <n v="0"/>
    <s v=""/>
    <m/>
    <m/>
    <s v=""/>
    <m/>
    <s v=""/>
    <s v=""/>
    <s v=""/>
    <m/>
    <m/>
    <s v=""/>
    <s v=""/>
    <s v=""/>
    <s v=""/>
    <s v=""/>
    <s v=""/>
    <m/>
    <m/>
    <s v=""/>
    <s v=""/>
    <s v=""/>
    <s v=""/>
    <m/>
    <m/>
    <m/>
    <m/>
    <m/>
    <m/>
    <n v="0"/>
    <s v=""/>
    <s v=""/>
    <s v=""/>
    <s v=""/>
    <n v="12.15"/>
    <n v="0"/>
    <n v="0"/>
    <e v="#DIV/0!"/>
    <s v=""/>
    <s v=""/>
    <s v=""/>
    <s v=""/>
    <m/>
    <s v=""/>
    <m/>
    <s v=""/>
    <s v=""/>
    <e v="#VALUE!"/>
    <n v="0"/>
    <s v=""/>
    <n v="0"/>
    <m/>
    <m/>
    <m/>
    <m/>
    <m/>
    <m/>
    <b v="0"/>
    <b v="0"/>
    <m/>
    <s v=""/>
    <s v=""/>
    <n v="0"/>
    <s v=""/>
    <s v=""/>
    <n v="0"/>
    <m/>
    <m/>
    <m/>
    <n v="0"/>
    <m/>
    <s v=""/>
    <s v=""/>
    <n v="0"/>
    <n v="0"/>
    <m/>
    <s v=""/>
    <s v=""/>
    <s v=""/>
    <s v=""/>
    <s v=""/>
    <s v=""/>
    <s v=""/>
    <s v=""/>
    <s v=""/>
    <n v="0"/>
    <s v=""/>
    <s v=""/>
    <s v=""/>
    <s v=""/>
    <s v=""/>
    <s v=""/>
    <s v=""/>
    <s v=""/>
    <n v="0"/>
    <n v="0"/>
    <n v="136.01249999999999"/>
    <m/>
    <m/>
    <n v="0"/>
    <s v=""/>
    <n v="0"/>
    <s v=""/>
    <m/>
    <s v=""/>
    <s v=""/>
    <s v=""/>
    <s v=""/>
    <s v=""/>
    <s v=""/>
    <s v=""/>
    <s v=""/>
    <s v=""/>
    <s v=""/>
    <x v="0"/>
    <s v=""/>
  </r>
  <r>
    <s v="LAC"/>
    <n v="2.81"/>
    <m/>
    <n v="2.3885000000000001"/>
    <x v="126"/>
    <x v="0"/>
    <m/>
    <m/>
    <m/>
    <m/>
    <m/>
    <m/>
    <m/>
    <m/>
    <n v="2000"/>
    <n v="13000"/>
    <n v="6.5"/>
    <n v="5620"/>
    <n v="-7380"/>
    <n v="-0.56769230769230772"/>
    <m/>
    <m/>
    <s v=""/>
    <s v=""/>
    <s v=""/>
    <s v=""/>
    <s v=""/>
    <m/>
    <m/>
    <n v="0"/>
    <n v="0"/>
    <n v="0"/>
    <m/>
    <m/>
    <m/>
    <s v=""/>
    <s v=""/>
    <n v="0"/>
    <n v="0"/>
    <s v=""/>
    <m/>
    <m/>
    <m/>
    <m/>
    <m/>
    <s v=""/>
    <m/>
    <m/>
    <m/>
    <s v=""/>
    <s v=""/>
    <n v="4.93"/>
    <m/>
    <s v=""/>
    <m/>
    <m/>
    <m/>
    <m/>
    <m/>
    <m/>
    <n v="0"/>
    <n v="0"/>
    <m/>
    <s v=""/>
    <s v=""/>
    <s v=""/>
    <s v=""/>
    <m/>
    <m/>
    <m/>
    <m/>
    <m/>
    <m/>
    <b v="0"/>
    <b v="0"/>
    <n v="0"/>
    <m/>
    <n v="0"/>
    <s v=""/>
    <s v=""/>
    <s v=""/>
    <s v=""/>
    <n v="0"/>
    <n v="0"/>
    <s v=""/>
    <n v="0"/>
    <n v="0.5"/>
    <n v="0"/>
    <n v="0"/>
    <s v=""/>
    <m/>
    <m/>
    <s v=""/>
    <m/>
    <s v=""/>
    <s v=""/>
    <s v=""/>
    <m/>
    <m/>
    <s v=""/>
    <s v=""/>
    <s v=""/>
    <s v=""/>
    <s v=""/>
    <s v=""/>
    <m/>
    <m/>
    <s v=""/>
    <s v=""/>
    <s v=""/>
    <s v=""/>
    <m/>
    <m/>
    <m/>
    <m/>
    <m/>
    <m/>
    <n v="0"/>
    <s v=""/>
    <s v=""/>
    <s v=""/>
    <s v=""/>
    <m/>
    <s v=""/>
    <s v=""/>
    <s v=""/>
    <s v=""/>
    <s v=""/>
    <s v=""/>
    <s v=""/>
    <m/>
    <s v=""/>
    <m/>
    <s v=""/>
    <s v=""/>
    <s v=""/>
    <n v="0"/>
    <s v=""/>
    <n v="20"/>
    <m/>
    <m/>
    <m/>
    <m/>
    <m/>
    <m/>
    <b v="0"/>
    <b v="0"/>
    <m/>
    <s v=""/>
    <s v=""/>
    <n v="0"/>
    <s v=""/>
    <s v=""/>
    <n v="0"/>
    <m/>
    <m/>
    <m/>
    <n v="0"/>
    <m/>
    <s v=""/>
    <s v=""/>
    <n v="0"/>
    <n v="0"/>
    <m/>
    <s v=""/>
    <s v=""/>
    <s v=""/>
    <s v=""/>
    <s v=""/>
    <s v=""/>
    <s v=""/>
    <s v=""/>
    <s v=""/>
    <n v="0"/>
    <s v=""/>
    <s v=""/>
    <s v=""/>
    <s v=""/>
    <s v=""/>
    <s v=""/>
    <s v=""/>
    <s v=""/>
    <n v="400"/>
    <n v="0"/>
    <n v="5.4794999999999998"/>
    <m/>
    <m/>
    <n v="0"/>
    <n v="0"/>
    <n v="0"/>
    <s v=""/>
    <m/>
    <s v=""/>
    <s v=""/>
    <s v=""/>
    <s v=""/>
    <s v=""/>
    <s v=""/>
    <s v=""/>
    <s v=""/>
    <s v=""/>
    <s v="LNG "/>
    <x v="15"/>
    <n v="6.1191628834549892E-2"/>
  </r>
  <r>
    <s v="SOLO"/>
    <n v="7.27"/>
    <s v="Prem"/>
    <n v="6.1794999999999991"/>
    <x v="119"/>
    <x v="1"/>
    <m/>
    <d v="2022-08-11T16:35:00"/>
    <d v="2022-08-11T16:35:00"/>
    <m/>
    <m/>
    <m/>
    <m/>
    <m/>
    <m/>
    <m/>
    <s v=""/>
    <n v="0"/>
    <n v="0"/>
    <s v=""/>
    <m/>
    <m/>
    <s v=""/>
    <s v=""/>
    <s v=""/>
    <s v=""/>
    <s v=""/>
    <m/>
    <m/>
    <n v="0"/>
    <n v="0"/>
    <n v="0"/>
    <m/>
    <m/>
    <s v="-"/>
    <s v=""/>
    <s v=""/>
    <n v="0"/>
    <n v="0"/>
    <s v=""/>
    <n v="10"/>
    <s v="assignment"/>
    <n v="10"/>
    <s v="free money"/>
    <s v="C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4.176499999999999"/>
    <m/>
    <m/>
    <n v="0"/>
    <s v=""/>
    <n v="0"/>
    <s v=""/>
    <m/>
    <s v=""/>
    <s v=""/>
    <s v=""/>
    <s v=""/>
    <s v=""/>
    <s v=""/>
    <s v=""/>
    <s v=""/>
    <s v=""/>
    <s v=""/>
    <x v="0"/>
    <s v=""/>
  </r>
  <r>
    <s v="SLV_31"/>
    <n v="52.59"/>
    <s v="Position"/>
    <n v="44.701500000000003"/>
    <x v="35"/>
    <x v="8"/>
    <m/>
    <m/>
    <m/>
    <m/>
    <m/>
    <m/>
    <m/>
    <m/>
    <m/>
    <m/>
    <s v=""/>
    <n v="0"/>
    <n v="0"/>
    <s v=""/>
    <m/>
    <m/>
    <s v=""/>
    <s v=""/>
    <s v=""/>
    <s v=""/>
    <s v=""/>
    <m/>
    <m/>
    <n v="0"/>
    <n v="0"/>
    <n v="0"/>
    <m/>
    <m/>
    <m/>
    <s v=""/>
    <s v=""/>
    <n v="0"/>
    <n v="0"/>
    <s v=""/>
    <m/>
    <m/>
    <m/>
    <m/>
    <m/>
    <s v=""/>
    <m/>
    <m/>
    <m/>
    <s v=""/>
    <s v=""/>
    <n v="117.9"/>
    <m/>
    <d v="2026-09-18T00:00:00"/>
    <m/>
    <m/>
    <m/>
    <m/>
    <m/>
    <m/>
    <n v="0"/>
    <n v="0"/>
    <m/>
    <s v=""/>
    <s v=""/>
    <s v=""/>
    <s v=""/>
    <m/>
    <m/>
    <m/>
    <m/>
    <m/>
    <m/>
    <b v="0"/>
    <b v="0"/>
    <n v="0"/>
    <m/>
    <n v="0"/>
    <s v=""/>
    <s v=""/>
    <s v=""/>
    <s v=""/>
    <n v="0"/>
    <n v="0"/>
    <s v=""/>
    <n v="0"/>
    <m/>
    <n v="0"/>
    <n v="0"/>
    <s v=""/>
    <m/>
    <m/>
    <s v=""/>
    <m/>
    <s v=""/>
    <s v=""/>
    <s v=""/>
    <m/>
    <m/>
    <s v=""/>
    <s v=""/>
    <s v=""/>
    <s v=""/>
    <s v=""/>
    <s v=""/>
    <m/>
    <m/>
    <s v=""/>
    <s v=""/>
    <s v=""/>
    <s v=""/>
    <d v="2026-09-18T00:00:00"/>
    <n v="105"/>
    <n v="10"/>
    <d v="2026-02-23T00:00:00"/>
    <d v="2026-02-23T00:00:00"/>
    <n v="12.9"/>
    <n v="12900"/>
    <s v=""/>
    <n v="207"/>
    <n v="54"/>
    <n v="117.9"/>
    <m/>
    <s v=""/>
    <s v=""/>
    <s v=""/>
    <n v="19.350000000000001"/>
    <n v="19350"/>
    <n v="6450"/>
    <n v="0.5"/>
    <m/>
    <n v="9.6750000000000007"/>
    <m/>
    <s v=""/>
    <s v=""/>
    <s v=""/>
    <n v="105000"/>
    <s v=""/>
    <n v="10"/>
    <m/>
    <m/>
    <m/>
    <m/>
    <m/>
    <m/>
    <b v="0"/>
    <b v="0"/>
    <m/>
    <s v=""/>
    <s v=""/>
    <n v="0"/>
    <s v=""/>
    <s v=""/>
    <n v="0"/>
    <m/>
    <m/>
    <m/>
    <n v="0"/>
    <m/>
    <s v=""/>
    <s v=""/>
    <n v="0"/>
    <n v="0"/>
    <m/>
    <s v=""/>
    <s v=""/>
    <s v=""/>
    <s v=""/>
    <s v=""/>
    <s v=""/>
    <s v=""/>
    <s v=""/>
    <s v=""/>
    <n v="0"/>
    <s v=""/>
    <s v=""/>
    <s v=""/>
    <s v=""/>
    <s v=""/>
    <s v=""/>
    <s v=""/>
    <s v=""/>
    <n v="0"/>
    <n v="0"/>
    <n v="102.5505"/>
    <m/>
    <m/>
    <n v="0"/>
    <s v=""/>
    <n v="0"/>
    <s v=""/>
    <m/>
    <s v=""/>
    <s v=""/>
    <s v=""/>
    <s v=""/>
    <s v="SLV260918C00105000"/>
    <n v="1"/>
    <s v=""/>
    <s v=""/>
    <s v="Y"/>
    <s v="LC "/>
    <x v="16"/>
    <n v="6.0720923997361044E-2"/>
  </r>
  <r>
    <s v="PCT_1"/>
    <n v="5.85"/>
    <m/>
    <n v="4.9724999999999993"/>
    <x v="127"/>
    <x v="7"/>
    <m/>
    <m/>
    <m/>
    <m/>
    <m/>
    <m/>
    <m/>
    <m/>
    <n v="50"/>
    <n v="454"/>
    <n v="9.08"/>
    <n v="292.5"/>
    <n v="-161.5"/>
    <n v="-0.35572687224669602"/>
    <m/>
    <m/>
    <s v=""/>
    <s v=""/>
    <s v=""/>
    <s v=""/>
    <s v=""/>
    <m/>
    <m/>
    <n v="0"/>
    <n v="0"/>
    <n v="0"/>
    <m/>
    <m/>
    <m/>
    <s v=""/>
    <s v=""/>
    <n v="0"/>
    <n v="0"/>
    <s v=""/>
    <m/>
    <m/>
    <m/>
    <m/>
    <m/>
    <s v=""/>
    <m/>
    <m/>
    <m/>
    <s v=""/>
    <s v=""/>
    <n v="8.289999999999999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10"/>
    <n v="0"/>
    <n v="11.407499999999999"/>
    <m/>
    <m/>
    <n v="0"/>
    <n v="0"/>
    <n v="0"/>
    <s v=""/>
    <m/>
    <s v=""/>
    <s v=""/>
    <s v=""/>
    <s v=""/>
    <s v=""/>
    <s v=""/>
    <s v=""/>
    <s v=""/>
    <s v=""/>
    <s v="LNG "/>
    <x v="17"/>
    <n v="2.1369999608373577E-3"/>
  </r>
  <r>
    <s v="FCX_20"/>
    <n v="62.6"/>
    <s v="Wheel"/>
    <n v="53.21"/>
    <x v="128"/>
    <x v="0"/>
    <m/>
    <m/>
    <m/>
    <m/>
    <m/>
    <m/>
    <m/>
    <m/>
    <m/>
    <m/>
    <s v=""/>
    <n v="0"/>
    <n v="0"/>
    <s v=""/>
    <m/>
    <m/>
    <s v=""/>
    <s v=""/>
    <s v=""/>
    <s v=""/>
    <s v=""/>
    <m/>
    <m/>
    <n v="0"/>
    <n v="0"/>
    <n v="0"/>
    <m/>
    <m/>
    <m/>
    <s v=""/>
    <s v=""/>
    <n v="0"/>
    <n v="0"/>
    <s v=""/>
    <m/>
    <m/>
    <m/>
    <m/>
    <m/>
    <s v=""/>
    <m/>
    <m/>
    <m/>
    <s v=""/>
    <s v=""/>
    <n v="72.25"/>
    <m/>
    <d v="2028-01-21T00:00:00"/>
    <m/>
    <m/>
    <m/>
    <m/>
    <m/>
    <m/>
    <n v="0"/>
    <n v="0"/>
    <m/>
    <s v=""/>
    <s v=""/>
    <s v=""/>
    <s v=""/>
    <m/>
    <m/>
    <m/>
    <m/>
    <m/>
    <m/>
    <b v="0"/>
    <b v="0"/>
    <n v="0"/>
    <m/>
    <n v="0"/>
    <s v=""/>
    <s v=""/>
    <s v=""/>
    <s v=""/>
    <n v="0"/>
    <n v="0"/>
    <s v=""/>
    <n v="0"/>
    <m/>
    <n v="0"/>
    <n v="0"/>
    <s v=""/>
    <m/>
    <m/>
    <s v=""/>
    <m/>
    <s v=""/>
    <s v=""/>
    <s v=""/>
    <m/>
    <m/>
    <s v=""/>
    <s v=""/>
    <s v=""/>
    <s v=""/>
    <s v=""/>
    <s v=""/>
    <m/>
    <m/>
    <s v=""/>
    <s v=""/>
    <s v=""/>
    <s v=""/>
    <d v="2028-01-21T00:00:00"/>
    <n v="60"/>
    <n v="6"/>
    <d v="2026-03-06T00:00:00"/>
    <d v="2026-03-06T00:00:00"/>
    <n v="16.63"/>
    <n v="9978"/>
    <s v=""/>
    <n v="686"/>
    <n v="544"/>
    <n v="76.63"/>
    <m/>
    <s v=""/>
    <s v=""/>
    <s v=""/>
    <n v="24.945"/>
    <n v="14967.000000000002"/>
    <n v="4989.0000000000018"/>
    <n v="0.50000000000000022"/>
    <m/>
    <n v="12.4725"/>
    <m/>
    <s v=""/>
    <s v=""/>
    <s v=""/>
    <n v="36000"/>
    <s v=""/>
    <n v="6"/>
    <m/>
    <m/>
    <m/>
    <m/>
    <m/>
    <m/>
    <b v="0"/>
    <b v="0"/>
    <m/>
    <s v=""/>
    <s v=""/>
    <n v="0"/>
    <s v=""/>
    <s v=""/>
    <n v="0"/>
    <m/>
    <m/>
    <m/>
    <n v="0"/>
    <m/>
    <s v=""/>
    <s v=""/>
    <n v="0"/>
    <n v="0"/>
    <m/>
    <s v=""/>
    <s v=""/>
    <s v=""/>
    <s v=""/>
    <s v=""/>
    <s v=""/>
    <s v=""/>
    <s v=""/>
    <s v=""/>
    <n v="0"/>
    <s v=""/>
    <s v=""/>
    <s v=""/>
    <s v=""/>
    <s v=""/>
    <s v=""/>
    <s v=""/>
    <s v=""/>
    <n v="0"/>
    <n v="0"/>
    <n v="122.07"/>
    <m/>
    <m/>
    <n v="0"/>
    <s v=""/>
    <n v="0"/>
    <s v=""/>
    <m/>
    <s v=""/>
    <s v=""/>
    <s v=""/>
    <s v=""/>
    <s v="FCX280121C00060000"/>
    <n v="1"/>
    <s v=""/>
    <s v=""/>
    <s v="Y"/>
    <s v="LC "/>
    <x v="18"/>
    <n v="4.6966928654702984E-2"/>
  </r>
  <r>
    <s v="ETHA_1"/>
    <n v="14.04"/>
    <m/>
    <n v="11.933999999999999"/>
    <x v="35"/>
    <x v="8"/>
    <m/>
    <m/>
    <m/>
    <m/>
    <m/>
    <m/>
    <m/>
    <m/>
    <m/>
    <m/>
    <s v=""/>
    <n v="0"/>
    <n v="0"/>
    <s v=""/>
    <n v="30"/>
    <m/>
    <s v=""/>
    <s v=""/>
    <s v=""/>
    <s v=""/>
    <s v=""/>
    <m/>
    <m/>
    <n v="0"/>
    <n v="0"/>
    <n v="0"/>
    <m/>
    <m/>
    <m/>
    <s v=""/>
    <s v=""/>
    <n v="0"/>
    <n v="0"/>
    <s v=""/>
    <m/>
    <m/>
    <m/>
    <m/>
    <m/>
    <s v=""/>
    <m/>
    <m/>
    <m/>
    <s v=""/>
    <s v=""/>
    <n v="25.78"/>
    <m/>
    <d v="2028-06-16T00:00:00"/>
    <m/>
    <m/>
    <m/>
    <m/>
    <m/>
    <m/>
    <n v="0"/>
    <n v="0"/>
    <m/>
    <s v=""/>
    <s v=""/>
    <s v=""/>
    <s v=""/>
    <m/>
    <m/>
    <m/>
    <m/>
    <m/>
    <m/>
    <b v="0"/>
    <b v="0"/>
    <n v="0"/>
    <m/>
    <n v="0"/>
    <s v=""/>
    <s v=""/>
    <s v=""/>
    <s v=""/>
    <n v="0"/>
    <n v="0"/>
    <s v=""/>
    <n v="0"/>
    <m/>
    <n v="0"/>
    <n v="0"/>
    <s v=""/>
    <m/>
    <m/>
    <s v=""/>
    <m/>
    <s v=""/>
    <s v=""/>
    <s v=""/>
    <m/>
    <m/>
    <s v=""/>
    <s v=""/>
    <s v=""/>
    <s v=""/>
    <s v=""/>
    <s v=""/>
    <m/>
    <m/>
    <s v=""/>
    <s v=""/>
    <s v=""/>
    <s v=""/>
    <d v="2028-06-16T00:00:00"/>
    <n v="20"/>
    <n v="16"/>
    <d v="2026-02-26T00:00:00"/>
    <d v="2026-02-26T00:00:00"/>
    <n v="5.78"/>
    <n v="9248"/>
    <s v=""/>
    <n v="841"/>
    <n v="691"/>
    <n v="25.78"/>
    <n v="6.01"/>
    <n v="9616"/>
    <n v="368"/>
    <n v="3.9792387543252594E-2"/>
    <n v="8.67"/>
    <n v="13872"/>
    <n v="4624"/>
    <n v="0.5"/>
    <m/>
    <n v="4.335"/>
    <m/>
    <n v="4.335"/>
    <n v="6936"/>
    <n v="-2312"/>
    <n v="32000"/>
    <n v="-0.25"/>
    <n v="16"/>
    <m/>
    <n v="19"/>
    <n v="16"/>
    <d v="2026-05-01T00:00:00"/>
    <m/>
    <n v="0.08"/>
    <b v="0"/>
    <b v="0"/>
    <m/>
    <s v=""/>
    <s v=""/>
    <n v="0"/>
    <n v="13.959999999999999"/>
    <s v=""/>
    <n v="0"/>
    <m/>
    <m/>
    <m/>
    <n v="0"/>
    <m/>
    <s v=""/>
    <s v=""/>
    <n v="0"/>
    <n v="0"/>
    <m/>
    <s v=""/>
    <s v=""/>
    <s v=""/>
    <s v=""/>
    <s v=""/>
    <s v=""/>
    <s v=""/>
    <s v=""/>
    <s v=""/>
    <n v="4.9600000000000009"/>
    <n v="0.19239720713731578"/>
    <s v=""/>
    <s v=""/>
    <s v=""/>
    <s v=""/>
    <s v=""/>
    <s v=""/>
    <s v=""/>
    <n v="0"/>
    <n v="0"/>
    <n v="27.377999999999997"/>
    <m/>
    <m/>
    <n v="0"/>
    <s v=""/>
    <n v="0"/>
    <s v=""/>
    <m/>
    <s v=""/>
    <s v=""/>
    <s v=""/>
    <s v=""/>
    <s v="ETHA280616C00020000"/>
    <n v="1"/>
    <s v=""/>
    <s v=""/>
    <s v="Y"/>
    <s v="LC "/>
    <x v="19"/>
    <n v="4.3530783343224411E-2"/>
  </r>
  <r>
    <s v="PCT"/>
    <n v="6.27"/>
    <m/>
    <n v="5.3294999999999995"/>
    <x v="127"/>
    <x v="7"/>
    <m/>
    <m/>
    <m/>
    <m/>
    <m/>
    <m/>
    <m/>
    <m/>
    <m/>
    <m/>
    <s v=""/>
    <n v="0"/>
    <n v="0"/>
    <s v=""/>
    <m/>
    <m/>
    <s v=""/>
    <s v=""/>
    <s v=""/>
    <s v=""/>
    <s v=""/>
    <m/>
    <m/>
    <n v="0"/>
    <n v="0"/>
    <n v="0"/>
    <m/>
    <m/>
    <m/>
    <s v=""/>
    <s v=""/>
    <n v="0"/>
    <n v="0"/>
    <s v=""/>
    <m/>
    <m/>
    <m/>
    <m/>
    <m/>
    <s v=""/>
    <m/>
    <m/>
    <m/>
    <s v=""/>
    <s v=""/>
    <n v="8.369999999999999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2.2265"/>
    <m/>
    <m/>
    <n v="0"/>
    <s v=""/>
    <n v="0"/>
    <s v=""/>
    <m/>
    <s v=""/>
    <s v=""/>
    <s v=""/>
    <s v=""/>
    <s v=""/>
    <s v=""/>
    <s v=""/>
    <s v=""/>
    <s v=""/>
    <s v=""/>
    <x v="0"/>
    <s v=""/>
  </r>
  <r>
    <s v="SONO"/>
    <n v="14.66"/>
    <s v="Swing"/>
    <n v="12.461"/>
    <x v="2"/>
    <x v="2"/>
    <m/>
    <d v="2022-08-10T16:05:00"/>
    <d v="2022-08-10T16:05:00"/>
    <m/>
    <m/>
    <m/>
    <m/>
    <m/>
    <m/>
    <m/>
    <s v=""/>
    <n v="0"/>
    <n v="0"/>
    <s v=""/>
    <m/>
    <m/>
    <s v=""/>
    <s v=""/>
    <s v=""/>
    <s v=""/>
    <s v=""/>
    <m/>
    <m/>
    <n v="0"/>
    <n v="0"/>
    <n v="0"/>
    <m/>
    <m/>
    <n v="16.43"/>
    <s v=""/>
    <s v=""/>
    <n v="0"/>
    <n v="0"/>
    <n v="0.12073669849931784"/>
    <n v="17.5"/>
    <s v="assignment"/>
    <n v="17.5"/>
    <s v="free money"/>
    <s v="BuyWrite"/>
    <s v=""/>
    <m/>
    <n v="2.3039999999999998"/>
    <d v="2020-11-20T00:00:00"/>
    <n v="12.356"/>
    <n v="16.963999999999999"/>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608499999999999"/>
    <n v="28.587"/>
    <m/>
    <m/>
    <n v="0"/>
    <s v=""/>
    <n v="0"/>
    <s v=""/>
    <m/>
    <s v=""/>
    <s v=""/>
    <s v=""/>
    <s v=""/>
    <s v=""/>
    <s v=""/>
    <s v=""/>
    <s v=""/>
    <s v=""/>
    <s v=""/>
    <x v="0"/>
    <s v=""/>
  </r>
  <r>
    <s v="SOUN"/>
    <n v="6.46"/>
    <m/>
    <n v="5.4909999999999997"/>
    <x v="11"/>
    <x v="2"/>
    <m/>
    <m/>
    <m/>
    <m/>
    <m/>
    <m/>
    <m/>
    <m/>
    <m/>
    <m/>
    <s v=""/>
    <n v="0"/>
    <n v="0"/>
    <s v=""/>
    <n v="17.5"/>
    <n v="15.6"/>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2.597"/>
    <m/>
    <m/>
    <n v="0"/>
    <s v=""/>
    <n v="0"/>
    <s v=""/>
    <m/>
    <s v=""/>
    <s v=""/>
    <s v=""/>
    <s v=""/>
    <s v=""/>
    <s v=""/>
    <s v=""/>
    <s v=""/>
    <s v=""/>
    <s v=""/>
    <x v="0"/>
    <s v=""/>
  </r>
  <r>
    <s v="SPLK"/>
    <n v="116.27"/>
    <m/>
    <n v="98.829499999999996"/>
    <x v="28"/>
    <x v="2"/>
    <m/>
    <d v="2022-08-24T16:00:00"/>
    <d v="2022-08-24T16:00:00"/>
    <m/>
    <m/>
    <m/>
    <m/>
    <m/>
    <m/>
    <m/>
    <s v=""/>
    <n v="0"/>
    <n v="0"/>
    <s v=""/>
    <m/>
    <m/>
    <s v=""/>
    <s v=""/>
    <s v=""/>
    <s v=""/>
    <s v=""/>
    <m/>
    <m/>
    <n v="0"/>
    <n v="0"/>
    <n v="0"/>
    <m/>
    <m/>
    <n v="153.21"/>
    <s v=""/>
    <s v=""/>
    <n v="0"/>
    <n v="0"/>
    <n v="0.31770878128494034"/>
    <n v="132"/>
    <s v="max gain"/>
    <s v="127, 132"/>
    <s v="max loss"/>
    <s v="butterfly"/>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5.54949999999999"/>
    <n v="226.72649999999999"/>
    <m/>
    <m/>
    <n v="0"/>
    <s v=""/>
    <n v="0"/>
    <s v=""/>
    <s v="{0F93BA3B-D3F7-4C4D-A0E3-650AD241B2A6}"/>
    <s v=""/>
    <s v=""/>
    <s v=""/>
    <s v=""/>
    <s v=""/>
    <s v=""/>
    <s v=""/>
    <s v=""/>
    <s v=""/>
    <s v=""/>
    <x v="0"/>
    <s v=""/>
  </r>
  <r>
    <s v="SPOK"/>
    <n v="10.65"/>
    <m/>
    <n v="9.0525000000000002"/>
    <x v="24"/>
    <x v="12"/>
    <m/>
    <m/>
    <m/>
    <m/>
    <m/>
    <m/>
    <m/>
    <m/>
    <m/>
    <m/>
    <s v=""/>
    <n v="0"/>
    <n v="0"/>
    <s v=""/>
    <m/>
    <m/>
    <s v=""/>
    <s v=""/>
    <s v=""/>
    <s v=""/>
    <s v=""/>
    <m/>
    <m/>
    <n v="0"/>
    <n v="0"/>
    <n v="0"/>
    <m/>
    <m/>
    <m/>
    <s v=""/>
    <s v=""/>
    <n v="0"/>
    <n v="0"/>
    <s v=""/>
    <n v="17.5"/>
    <s v="assignment"/>
    <n v="17.5"/>
    <s v="free money"/>
    <s v="NAKED call"/>
    <s v=""/>
    <m/>
    <m/>
    <m/>
    <s v=""/>
    <s v=""/>
    <n v="16.39999999999999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20.767500000000002"/>
    <m/>
    <m/>
    <n v="0"/>
    <s v=""/>
    <n v="0"/>
    <s v=""/>
    <m/>
    <s v=""/>
    <s v=""/>
    <s v=""/>
    <s v=""/>
    <s v=""/>
    <s v=""/>
    <s v=""/>
    <s v=""/>
    <s v=""/>
    <s v=""/>
    <x v="0"/>
    <s v=""/>
  </r>
  <r>
    <s v="SPOT"/>
    <n v="474.16"/>
    <m/>
    <n v="403.036"/>
    <x v="21"/>
    <x v="9"/>
    <m/>
    <d v="2022-07-27T06:00:00"/>
    <d v="2022-07-27T06:00:00"/>
    <m/>
    <m/>
    <m/>
    <m/>
    <m/>
    <m/>
    <m/>
    <s v=""/>
    <n v="0"/>
    <n v="0"/>
    <s v=""/>
    <m/>
    <m/>
    <s v=""/>
    <s v=""/>
    <s v=""/>
    <s v=""/>
    <s v=""/>
    <m/>
    <m/>
    <n v="0"/>
    <n v="0"/>
    <n v="0"/>
    <m/>
    <m/>
    <n v="262.38"/>
    <s v=""/>
    <s v=""/>
    <n v="0"/>
    <n v="0"/>
    <n v="-0.4466424835498566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9.261"/>
    <n v="924.61200000000008"/>
    <m/>
    <m/>
    <n v="0"/>
    <s v=""/>
    <n v="0"/>
    <s v=""/>
    <m/>
    <s v=""/>
    <s v=""/>
    <s v=""/>
    <s v=""/>
    <s v=""/>
    <s v=""/>
    <s v=""/>
    <s v=""/>
    <s v=""/>
    <s v=""/>
    <x v="0"/>
    <s v=""/>
  </r>
  <r>
    <s v="SPY"/>
    <n v="747.41"/>
    <s v="LT"/>
    <n v="635.29849999999999"/>
    <x v="35"/>
    <x v="8"/>
    <m/>
    <m/>
    <m/>
    <m/>
    <m/>
    <m/>
    <m/>
    <m/>
    <m/>
    <m/>
    <s v=""/>
    <n v="0"/>
    <n v="0"/>
    <s v=""/>
    <m/>
    <m/>
    <s v=""/>
    <s v=""/>
    <s v=""/>
    <s v=""/>
    <s v=""/>
    <m/>
    <m/>
    <n v="0"/>
    <n v="0"/>
    <n v="0"/>
    <m/>
    <m/>
    <s v="-"/>
    <s v=""/>
    <s v=""/>
    <n v="0"/>
    <n v="0"/>
    <s v=""/>
    <n v="410"/>
    <s v="LongLeg"/>
    <n v="400"/>
    <s v="Assignment"/>
    <s v="Diagonal"/>
    <s v=""/>
    <m/>
    <m/>
    <m/>
    <s v=""/>
    <s v=""/>
    <n v="28.07"/>
    <s v="Max Loss"/>
    <m/>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457.4494999999999"/>
    <m/>
    <m/>
    <n v="0"/>
    <s v=""/>
    <n v="0"/>
    <s v=""/>
    <s v="{594FDB04-BA0D-4C4E-964C-A30453595F16}"/>
    <s v=""/>
    <s v=""/>
    <s v=""/>
    <s v=""/>
    <s v=""/>
    <s v=""/>
    <s v=""/>
    <s v=""/>
    <s v=""/>
    <s v=""/>
    <x v="0"/>
    <s v=""/>
  </r>
  <r>
    <s v="SQ"/>
    <n v="58.38"/>
    <m/>
    <n v="49.622999999999998"/>
    <x v="96"/>
    <x v="2"/>
    <m/>
    <d v="2023-11-03T00:00:00"/>
    <d v="2022-08-04T16:10:00"/>
    <m/>
    <m/>
    <m/>
    <m/>
    <m/>
    <m/>
    <m/>
    <s v=""/>
    <n v="0"/>
    <n v="0"/>
    <s v=""/>
    <m/>
    <m/>
    <s v=""/>
    <s v=""/>
    <s v=""/>
    <s v=""/>
    <s v=""/>
    <m/>
    <s v="N/A"/>
    <n v="0"/>
    <n v="0"/>
    <n v="0"/>
    <m/>
    <m/>
    <n v="85.72"/>
    <s v=""/>
    <s v=""/>
    <n v="0"/>
    <n v="0"/>
    <n v="0.46831106543336753"/>
    <n v="56"/>
    <s v="free money"/>
    <n v="56"/>
    <s v="Assignment"/>
    <s v="SPs"/>
    <s v=""/>
    <m/>
    <m/>
    <m/>
    <s v=""/>
    <s v=""/>
    <n v="54.7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1.433999999999997"/>
    <n v="113.84100000000001"/>
    <m/>
    <m/>
    <n v="0"/>
    <s v=""/>
    <n v="0"/>
    <s v=""/>
    <s v="{2606CC3A-AD5A-46F4-BEB6-65B01049EB55}"/>
    <s v=""/>
    <s v=""/>
    <s v=""/>
    <s v=""/>
    <s v=""/>
    <s v=""/>
    <s v=""/>
    <s v=""/>
    <s v=""/>
    <s v=""/>
    <x v="0"/>
    <s v=""/>
  </r>
  <r>
    <s v="SQQQ"/>
    <n v="40.94"/>
    <s v="Position"/>
    <n v="34.798999999999999"/>
    <x v="35"/>
    <x v="8"/>
    <m/>
    <m/>
    <m/>
    <m/>
    <m/>
    <m/>
    <m/>
    <m/>
    <m/>
    <m/>
    <s v=""/>
    <n v="0"/>
    <n v="0"/>
    <s v=""/>
    <m/>
    <m/>
    <s v=""/>
    <s v=""/>
    <s v=""/>
    <s v=""/>
    <s v=""/>
    <m/>
    <m/>
    <n v="0"/>
    <n v="0"/>
    <n v="0"/>
    <m/>
    <m/>
    <m/>
    <s v=""/>
    <s v=""/>
    <n v="0"/>
    <n v="0"/>
    <s v=""/>
    <n v="25"/>
    <s v="LongLeg"/>
    <m/>
    <s v="Assignment"/>
    <s v="InvertedDiagonal"/>
    <s v=""/>
    <m/>
    <m/>
    <m/>
    <s v=""/>
    <s v=""/>
    <n v="12.4"/>
    <s v="TAX LOSS"/>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79.832999999999998"/>
    <m/>
    <m/>
    <n v="0"/>
    <s v=""/>
    <n v="0"/>
    <s v=""/>
    <s v="{D3653A0A-2676-46AB-8B37-EA1061084C5B}"/>
    <s v=""/>
    <s v=""/>
    <s v=""/>
    <s v=""/>
    <s v=""/>
    <s v=""/>
    <s v=""/>
    <s v=""/>
    <s v=""/>
    <s v=""/>
    <x v="0"/>
    <s v=""/>
  </r>
  <r>
    <s v="SSO"/>
    <n v="67.27"/>
    <s v="Swing"/>
    <n v="57.179499999999997"/>
    <x v="35"/>
    <x v="8"/>
    <m/>
    <m/>
    <m/>
    <m/>
    <m/>
    <m/>
    <m/>
    <m/>
    <m/>
    <m/>
    <s v=""/>
    <n v="0"/>
    <n v="0"/>
    <s v=""/>
    <m/>
    <m/>
    <s v=""/>
    <s v=""/>
    <s v=""/>
    <s v=""/>
    <s v=""/>
    <m/>
    <m/>
    <n v="0"/>
    <n v="0"/>
    <n v="0"/>
    <m/>
    <m/>
    <m/>
    <s v=""/>
    <s v=""/>
    <n v="0"/>
    <n v="0"/>
    <s v=""/>
    <n v="65"/>
    <s v="T1"/>
    <n v="51.9"/>
    <s v="stop out"/>
    <m/>
    <s v=""/>
    <m/>
    <m/>
    <m/>
    <s v=""/>
    <s v=""/>
    <n v="53.35900000000000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31.17649999999998"/>
    <m/>
    <m/>
    <n v="0"/>
    <s v=""/>
    <n v="0"/>
    <s v=""/>
    <m/>
    <s v=""/>
    <s v=""/>
    <s v=""/>
    <s v=""/>
    <s v=""/>
    <s v=""/>
    <s v=""/>
    <s v=""/>
    <s v=""/>
    <s v=""/>
    <x v="0"/>
    <s v=""/>
  </r>
  <r>
    <s v="STEM"/>
    <n v="6.01"/>
    <m/>
    <n v="5.1084999999999994"/>
    <x v="9"/>
    <x v="2"/>
    <m/>
    <d v="2022-11-03T16:05:00"/>
    <d v="2022-11-03T16:05:00"/>
    <m/>
    <m/>
    <m/>
    <m/>
    <m/>
    <m/>
    <m/>
    <s v=""/>
    <n v="0"/>
    <n v="0"/>
    <s v=""/>
    <m/>
    <m/>
    <s v=""/>
    <s v=""/>
    <s v=""/>
    <s v=""/>
    <s v=""/>
    <m/>
    <m/>
    <n v="0"/>
    <n v="0"/>
    <n v="0"/>
    <m/>
    <m/>
    <n v="19.38"/>
    <s v=""/>
    <s v=""/>
    <n v="0"/>
    <n v="0"/>
    <n v="2.2246256239600664"/>
    <n v="19.43"/>
    <s v="T1"/>
    <n v="14.95"/>
    <s v="stop out"/>
    <m/>
    <s v=""/>
    <m/>
    <m/>
    <m/>
    <s v=""/>
    <s v=""/>
    <n v="17.0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410999999999998"/>
    <n v="11.7195"/>
    <m/>
    <m/>
    <n v="0"/>
    <s v=""/>
    <n v="0"/>
    <s v=""/>
    <m/>
    <s v=""/>
    <s v=""/>
    <s v=""/>
    <s v=""/>
    <s v=""/>
    <s v=""/>
    <s v=""/>
    <s v=""/>
    <s v=""/>
    <s v=""/>
    <x v="0"/>
    <s v=""/>
  </r>
  <r>
    <s v="STI"/>
    <n v="6.55"/>
    <m/>
    <n v="5.5674999999999999"/>
    <x v="129"/>
    <x v="8"/>
    <m/>
    <d v="2022-08-04T16:10:00"/>
    <d v="2022-08-04T16:10:00"/>
    <m/>
    <m/>
    <m/>
    <m/>
    <m/>
    <m/>
    <m/>
    <s v=""/>
    <n v="0"/>
    <n v="0"/>
    <s v=""/>
    <m/>
    <m/>
    <s v=""/>
    <s v=""/>
    <s v=""/>
    <s v=""/>
    <s v=""/>
    <n v="0.96"/>
    <d v="2015-12-15T00:00:00"/>
    <n v="0"/>
    <n v="0"/>
    <n v="0.14656488549618321"/>
    <d v="2015-08-25T00:00:00"/>
    <m/>
    <n v="79.42"/>
    <s v=""/>
    <s v=""/>
    <n v="0"/>
    <n v="0"/>
    <n v="11.12519083969465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5.448999999999998"/>
    <n v="12.772499999999999"/>
    <m/>
    <n v="44.18"/>
    <n v="0"/>
    <s v=""/>
    <n v="0"/>
    <s v=""/>
    <s v="{F37C2C6D-0F1C-4451-973F-B7FF82413989}"/>
    <s v=""/>
    <s v=""/>
    <s v=""/>
    <s v=""/>
    <s v=""/>
    <s v=""/>
    <s v=""/>
    <s v=""/>
    <s v=""/>
    <s v=""/>
    <x v="0"/>
    <s v=""/>
  </r>
  <r>
    <s v="STMP"/>
    <n v="220.93"/>
    <s v="Swing"/>
    <n v="187.79050000000001"/>
    <x v="11"/>
    <x v="2"/>
    <m/>
    <d v="2022-08-04T16:10:00"/>
    <d v="2022-08-04T16:10:00"/>
    <m/>
    <m/>
    <m/>
    <m/>
    <m/>
    <m/>
    <m/>
    <s v=""/>
    <n v="0"/>
    <n v="0"/>
    <s v=""/>
    <n v="327.5"/>
    <n v="233.8"/>
    <s v=""/>
    <s v=""/>
    <s v=""/>
    <s v=""/>
    <s v=""/>
    <m/>
    <m/>
    <n v="0"/>
    <n v="0"/>
    <n v="0"/>
    <m/>
    <m/>
    <n v="218"/>
    <s v=""/>
    <s v=""/>
    <n v="0"/>
    <n v="0"/>
    <n v="-1.3262119223283424E-2"/>
    <n v="310"/>
    <s v="T1"/>
    <n v="233.8"/>
    <s v="stop out"/>
    <m/>
    <s v=""/>
    <m/>
    <m/>
    <m/>
    <s v=""/>
    <s v=""/>
    <n v="173.4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07.1"/>
    <n v="430.81349999999998"/>
    <m/>
    <m/>
    <n v="0"/>
    <s v=""/>
    <n v="0"/>
    <s v=""/>
    <m/>
    <s v=""/>
    <s v=""/>
    <s v=""/>
    <s v=""/>
    <s v=""/>
    <s v=""/>
    <s v=""/>
    <s v=""/>
    <s v=""/>
    <s v=""/>
    <x v="0"/>
    <s v=""/>
  </r>
  <r>
    <s v="STNE"/>
    <n v="11.36"/>
    <s v="Swing"/>
    <n v="9.6559999999999988"/>
    <x v="28"/>
    <x v="2"/>
    <m/>
    <d v="2022-09-01T16:05:00"/>
    <d v="2022-09-01T16:05:00"/>
    <m/>
    <m/>
    <m/>
    <m/>
    <m/>
    <m/>
    <m/>
    <s v=""/>
    <n v="0"/>
    <n v="0"/>
    <s v=""/>
    <m/>
    <m/>
    <s v=""/>
    <s v=""/>
    <s v=""/>
    <s v=""/>
    <s v=""/>
    <m/>
    <m/>
    <n v="0"/>
    <n v="0"/>
    <n v="0"/>
    <m/>
    <m/>
    <n v="34.67"/>
    <s v=""/>
    <s v=""/>
    <n v="0"/>
    <n v="0"/>
    <n v="2.0519366197183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936500000000002"/>
    <n v="22.151999999999997"/>
    <m/>
    <m/>
    <n v="0"/>
    <s v=""/>
    <n v="0"/>
    <s v=""/>
    <s v="{D3234F7E-533B-40F5-A92B-737C1E25BFFB}"/>
    <s v=""/>
    <s v=""/>
    <s v=""/>
    <s v=""/>
    <s v=""/>
    <s v=""/>
    <s v=""/>
    <s v=""/>
    <s v=""/>
    <s v=""/>
    <x v="0"/>
    <s v=""/>
  </r>
  <r>
    <s v="STZ"/>
    <n v="132.08000000000001"/>
    <m/>
    <n v="112.268"/>
    <x v="130"/>
    <x v="13"/>
    <m/>
    <d v="2022-06-30T07:30:00"/>
    <d v="2022-06-30T07:30:00"/>
    <s v="Confirmed"/>
    <m/>
    <m/>
    <m/>
    <m/>
    <m/>
    <m/>
    <s v=""/>
    <n v="0"/>
    <n v="0"/>
    <s v=""/>
    <m/>
    <m/>
    <s v=""/>
    <s v=""/>
    <s v=""/>
    <s v=""/>
    <s v=""/>
    <m/>
    <m/>
    <n v="0"/>
    <n v="0"/>
    <n v="0"/>
    <d v="2019-05-09T00:00:00"/>
    <n v="247"/>
    <n v="178.06"/>
    <n v="0.8700787401574801"/>
    <s v=""/>
    <n v="0"/>
    <n v="0"/>
    <n v="0.3481223500908539"/>
    <m/>
    <m/>
    <m/>
    <m/>
    <m/>
    <s v=""/>
    <m/>
    <m/>
    <m/>
    <s v=""/>
    <s v=""/>
    <m/>
    <m/>
    <s v=""/>
    <m/>
    <m/>
    <m/>
    <m/>
    <m/>
    <m/>
    <n v="0"/>
    <n v="0"/>
    <m/>
    <s v=""/>
    <s v=""/>
    <s v=""/>
    <s v=""/>
    <m/>
    <m/>
    <m/>
    <m/>
    <m/>
    <m/>
    <b v="0"/>
    <b v="0"/>
    <n v="0"/>
    <m/>
    <n v="0"/>
    <s v=""/>
    <s v=""/>
    <s v=""/>
    <s v=""/>
    <n v="0"/>
    <n v="0"/>
    <s v=""/>
    <n v="0"/>
    <m/>
    <n v="0"/>
    <n v="0"/>
    <s v=""/>
    <n v="0.25"/>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9.15699999999998"/>
    <n v="257.55600000000004"/>
    <m/>
    <m/>
    <n v="0"/>
    <s v=""/>
    <n v="0"/>
    <s v=""/>
    <s v="{E8E0DFE1-DC58-4FAB-B13D-AEA82113ED3B}"/>
    <s v=""/>
    <s v=""/>
    <s v=""/>
    <s v=""/>
    <s v=""/>
    <s v=""/>
    <s v=""/>
    <s v=""/>
    <s v=""/>
    <s v=""/>
    <x v="0"/>
    <s v=""/>
  </r>
  <r>
    <s v="SVIX"/>
    <n v="24.23"/>
    <s v="Swing"/>
    <n v="20.595500000000001"/>
    <x v="35"/>
    <x v="8"/>
    <m/>
    <m/>
    <m/>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7.2485"/>
    <m/>
    <m/>
    <n v="0"/>
    <s v=""/>
    <n v="0"/>
    <s v=""/>
    <m/>
    <s v=""/>
    <s v=""/>
    <s v=""/>
    <s v=""/>
    <s v=""/>
    <s v=""/>
    <s v=""/>
    <s v=""/>
    <s v=""/>
    <s v=""/>
    <x v="0"/>
    <s v=""/>
  </r>
  <r>
    <s v="SWAV"/>
    <n v="262.55"/>
    <s v="sww"/>
    <n v="223.16749999999999"/>
    <x v="71"/>
    <x v="3"/>
    <m/>
    <d v="2023-11-06T00:00:00"/>
    <d v="2023-08-07T16:00:00"/>
    <m/>
    <m/>
    <m/>
    <m/>
    <m/>
    <m/>
    <m/>
    <s v=""/>
    <n v="0"/>
    <n v="0"/>
    <s v=""/>
    <n v="340"/>
    <n v="265"/>
    <s v=""/>
    <s v=""/>
    <s v=""/>
    <s v=""/>
    <s v=""/>
    <m/>
    <m/>
    <n v="0"/>
    <n v="0"/>
    <n v="0"/>
    <m/>
    <m/>
    <n v="289.33"/>
    <s v=""/>
    <s v=""/>
    <n v="0"/>
    <n v="0"/>
    <n v="0.10199961912016747"/>
    <n v="265"/>
    <s v="T1"/>
    <n v="203.47"/>
    <s v="stop out"/>
    <s v="FUBAR"/>
    <s v=""/>
    <m/>
    <m/>
    <m/>
    <s v=""/>
    <s v=""/>
    <n v="275.85000000000002"/>
    <m/>
    <s v=""/>
    <m/>
    <m/>
    <m/>
    <m/>
    <m/>
    <m/>
    <n v="0"/>
    <n v="0"/>
    <m/>
    <s v=""/>
    <s v=""/>
    <s v=""/>
    <s v=""/>
    <m/>
    <m/>
    <m/>
    <m/>
    <m/>
    <m/>
    <b v="0"/>
    <b v="0"/>
    <n v="0"/>
    <m/>
    <n v="0"/>
    <s v=""/>
    <s v=""/>
    <s v=""/>
    <s v=""/>
    <n v="0"/>
    <n v="0"/>
    <s v=""/>
    <n v="0"/>
    <n v="0.9"/>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74.86349999999999"/>
    <n v="511.97250000000003"/>
    <m/>
    <m/>
    <n v="0"/>
    <s v=""/>
    <n v="0"/>
    <s v=""/>
    <s v="{0E84BC8B-66A2-45BD-8C16-FD9F6E6EB50F}"/>
    <s v=""/>
    <s v=""/>
    <s v=""/>
    <s v=""/>
    <s v=""/>
    <s v=""/>
    <s v=""/>
    <s v=""/>
    <s v=""/>
    <s v=""/>
    <x v="0"/>
    <s v=""/>
  </r>
  <r>
    <s v="SWBI_3"/>
    <n v="14.62"/>
    <m/>
    <n v="12.427"/>
    <x v="87"/>
    <x v="7"/>
    <m/>
    <m/>
    <m/>
    <m/>
    <m/>
    <m/>
    <m/>
    <m/>
    <m/>
    <m/>
    <s v=""/>
    <n v="0"/>
    <n v="0"/>
    <s v=""/>
    <n v="14.4"/>
    <n v="11.85"/>
    <s v=""/>
    <s v=""/>
    <s v=""/>
    <s v=""/>
    <s v=""/>
    <m/>
    <m/>
    <n v="0"/>
    <n v="0"/>
    <n v="0"/>
    <m/>
    <m/>
    <m/>
    <s v=""/>
    <s v=""/>
    <n v="0"/>
    <n v="0"/>
    <s v=""/>
    <n v="14"/>
    <s v="assignment"/>
    <n v="14"/>
    <s v="Assignment"/>
    <s v="CCs"/>
    <s v=""/>
    <m/>
    <m/>
    <m/>
    <s v=""/>
    <s v=""/>
    <n v="11.11"/>
    <m/>
    <s v=""/>
    <m/>
    <m/>
    <m/>
    <m/>
    <m/>
    <m/>
    <n v="0"/>
    <n v="0"/>
    <m/>
    <s v=""/>
    <s v=""/>
    <s v=""/>
    <s v=""/>
    <m/>
    <m/>
    <m/>
    <m/>
    <m/>
    <m/>
    <b v="0"/>
    <b v="0"/>
    <n v="0"/>
    <m/>
    <n v="0"/>
    <s v=""/>
    <s v=""/>
    <s v=""/>
    <s v=""/>
    <n v="0"/>
    <n v="0"/>
    <s v=""/>
    <n v="0"/>
    <n v="0.01"/>
    <n v="0"/>
    <n v="0"/>
    <s v=""/>
    <m/>
    <m/>
    <s v=""/>
    <m/>
    <s v=""/>
    <s v=""/>
    <s v=""/>
    <m/>
    <m/>
    <s v=""/>
    <s v=""/>
    <s v=""/>
    <s v=""/>
    <s v=""/>
    <s v=""/>
    <m/>
    <m/>
    <s v=""/>
    <s v=""/>
    <s v=""/>
    <s v=""/>
    <m/>
    <m/>
    <m/>
    <m/>
    <m/>
    <m/>
    <n v="0"/>
    <s v=""/>
    <s v=""/>
    <s v=""/>
    <s v=""/>
    <m/>
    <s v=""/>
    <s v=""/>
    <s v=""/>
    <s v=""/>
    <s v=""/>
    <s v=""/>
    <s v=""/>
    <m/>
    <s v=""/>
    <m/>
    <s v=""/>
    <s v=""/>
    <s v=""/>
    <n v="0"/>
    <s v=""/>
    <n v="0"/>
    <m/>
    <m/>
    <m/>
    <m/>
    <m/>
    <m/>
    <b v="0"/>
    <b v="0"/>
    <n v="0.59"/>
    <s v=""/>
    <s v=""/>
    <n v="0"/>
    <s v=""/>
    <s v=""/>
    <n v="0"/>
    <m/>
    <m/>
    <m/>
    <n v="0"/>
    <m/>
    <s v=""/>
    <s v=""/>
    <n v="0"/>
    <n v="0"/>
    <m/>
    <s v=""/>
    <s v=""/>
    <s v=""/>
    <s v=""/>
    <s v=""/>
    <s v=""/>
    <s v=""/>
    <s v=""/>
    <s v=""/>
    <n v="0"/>
    <s v=""/>
    <s v=""/>
    <s v=""/>
    <s v=""/>
    <s v=""/>
    <s v=""/>
    <s v=""/>
    <s v=""/>
    <n v="0"/>
    <n v="0"/>
    <n v="28.508999999999997"/>
    <m/>
    <m/>
    <n v="0"/>
    <s v=""/>
    <n v="0"/>
    <s v=""/>
    <m/>
    <s v=""/>
    <s v=""/>
    <s v=""/>
    <s v=""/>
    <s v=""/>
    <s v=""/>
    <s v=""/>
    <s v=""/>
    <s v=""/>
    <s v=""/>
    <x v="0"/>
    <s v=""/>
  </r>
  <r>
    <s v="SWK"/>
    <n v="89.25"/>
    <m/>
    <n v="75.862499999999997"/>
    <x v="131"/>
    <x v="15"/>
    <m/>
    <d v="2022-07-28T06:00:00"/>
    <d v="2022-07-28T06:00:00"/>
    <m/>
    <m/>
    <m/>
    <m/>
    <m/>
    <m/>
    <m/>
    <s v=""/>
    <n v="0"/>
    <n v="0"/>
    <s v=""/>
    <m/>
    <m/>
    <s v=""/>
    <s v=""/>
    <s v=""/>
    <s v=""/>
    <s v=""/>
    <n v="0"/>
    <d v="2016-09-21T00:00:00"/>
    <n v="0"/>
    <n v="0"/>
    <n v="0"/>
    <d v="2016-08-25T00:00:00"/>
    <m/>
    <n v="141.5"/>
    <s v=""/>
    <s v=""/>
    <n v="0"/>
    <n v="0"/>
    <n v="0.5854341736694678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34.42499999999998"/>
    <n v="174.03749999999999"/>
    <m/>
    <m/>
    <n v="0"/>
    <s v=""/>
    <n v="0"/>
    <s v=""/>
    <s v="{CF2675AB-CE0B-48E2-AF62-EB6B70530A45}"/>
    <s v=""/>
    <s v=""/>
    <s v=""/>
    <s v=""/>
    <s v=""/>
    <s v=""/>
    <s v=""/>
    <s v=""/>
    <s v=""/>
    <s v=""/>
    <x v="0"/>
    <s v=""/>
  </r>
  <r>
    <s v="T"/>
    <n v="23.04"/>
    <s v="Div"/>
    <n v="19.584"/>
    <x v="132"/>
    <x v="2"/>
    <m/>
    <d v="2023-01-19T00:00:00"/>
    <d v="2023-01-19T00:00:00"/>
    <m/>
    <m/>
    <m/>
    <m/>
    <m/>
    <m/>
    <m/>
    <s v=""/>
    <n v="0"/>
    <n v="0"/>
    <s v=""/>
    <m/>
    <m/>
    <s v=""/>
    <s v=""/>
    <s v=""/>
    <s v=""/>
    <s v=""/>
    <n v="2.08"/>
    <d v="2021-11-02T00:00:00"/>
    <n v="0"/>
    <n v="0"/>
    <n v="9.027777777777779E-2"/>
    <d v="2021-10-08T00:00:00"/>
    <m/>
    <n v="26.71"/>
    <s v=""/>
    <s v=""/>
    <n v="0"/>
    <n v="0"/>
    <n v="0.15928819444444453"/>
    <n v="16.5"/>
    <s v="assignment"/>
    <n v="16.5"/>
    <s v="free money"/>
    <s v="CCs"/>
    <s v=""/>
    <m/>
    <n v="0.52900000000000003"/>
    <d v="2021-07-02T00:00:00"/>
    <n v="22.510999999999999"/>
    <n v="23.568999999999999"/>
    <n v="24.2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2-10-28T00:00:00"/>
    <s v=""/>
    <s v=""/>
    <s v=""/>
    <s v=""/>
    <s v=""/>
    <s v=""/>
    <s v=""/>
    <s v=""/>
    <s v=""/>
    <n v="0"/>
    <s v=""/>
    <s v=""/>
    <s v=""/>
    <s v=""/>
    <s v=""/>
    <s v=""/>
    <s v=""/>
    <s v=""/>
    <n v="0"/>
    <n v="25.374500000000001"/>
    <n v="44.927999999999997"/>
    <m/>
    <m/>
    <n v="0"/>
    <s v=""/>
    <n v="0"/>
    <s v=""/>
    <s v="{1A2599CA-3A9D-4D31-9F6B-F1E711CCD0F0}"/>
    <s v=""/>
    <s v=""/>
    <s v=""/>
    <s v=""/>
    <s v=""/>
    <s v=""/>
    <s v=""/>
    <s v=""/>
    <s v=""/>
    <s v=""/>
    <x v="0"/>
    <s v=""/>
  </r>
  <r>
    <s v="TAL"/>
    <n v="10.33"/>
    <m/>
    <n v="8.7805"/>
    <x v="133"/>
    <x v="4"/>
    <m/>
    <d v="2022-07-29T04:00:00"/>
    <d v="2022-07-29T04:00:00"/>
    <m/>
    <m/>
    <m/>
    <m/>
    <m/>
    <m/>
    <m/>
    <s v=""/>
    <n v="0"/>
    <n v="0"/>
    <s v=""/>
    <m/>
    <m/>
    <s v=""/>
    <s v=""/>
    <s v=""/>
    <s v=""/>
    <s v=""/>
    <m/>
    <m/>
    <n v="0"/>
    <n v="0"/>
    <n v="0"/>
    <m/>
    <m/>
    <n v="86.49"/>
    <s v=""/>
    <s v=""/>
    <n v="0"/>
    <n v="0"/>
    <n v="7.372700871248789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2.165499999999994"/>
    <n v="20.1435"/>
    <m/>
    <m/>
    <n v="0"/>
    <s v=""/>
    <n v="0"/>
    <s v=""/>
    <m/>
    <s v=""/>
    <s v=""/>
    <s v=""/>
    <s v=""/>
    <s v=""/>
    <s v=""/>
    <s v=""/>
    <s v=""/>
    <s v=""/>
    <s v=""/>
    <x v="0"/>
    <s v=""/>
  </r>
  <r>
    <s v="TAN"/>
    <n v="53.72"/>
    <s v="Swing"/>
    <n v="45.661999999999999"/>
    <x v="35"/>
    <x v="8"/>
    <m/>
    <m/>
    <m/>
    <m/>
    <m/>
    <m/>
    <m/>
    <m/>
    <m/>
    <m/>
    <s v=""/>
    <n v="0"/>
    <n v="0"/>
    <s v=""/>
    <m/>
    <m/>
    <s v=""/>
    <s v=""/>
    <s v=""/>
    <s v=""/>
    <s v=""/>
    <m/>
    <m/>
    <n v="0"/>
    <n v="0"/>
    <n v="0"/>
    <m/>
    <m/>
    <m/>
    <s v=""/>
    <s v=""/>
    <n v="0"/>
    <n v="0"/>
    <s v=""/>
    <m/>
    <m/>
    <m/>
    <m/>
    <m/>
    <s v=""/>
    <m/>
    <m/>
    <m/>
    <s v=""/>
    <s v=""/>
    <n v="75.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04.75399999999999"/>
    <m/>
    <m/>
    <n v="0"/>
    <s v=""/>
    <n v="0"/>
    <s v=""/>
    <m/>
    <s v=""/>
    <s v=""/>
    <s v=""/>
    <s v=""/>
    <s v=""/>
    <s v=""/>
    <s v=""/>
    <s v=""/>
    <s v=""/>
    <s v=""/>
    <x v="0"/>
    <s v=""/>
  </r>
  <r>
    <s v="TDOC"/>
    <n v="8.92"/>
    <s v="MT"/>
    <n v="7.5819999999999999"/>
    <x v="134"/>
    <x v="2"/>
    <m/>
    <d v="2022-07-26T16:05:00"/>
    <d v="2022-07-26T16:05:00"/>
    <m/>
    <m/>
    <m/>
    <m/>
    <m/>
    <m/>
    <m/>
    <s v=""/>
    <n v="0"/>
    <n v="0"/>
    <s v=""/>
    <m/>
    <m/>
    <s v=""/>
    <s v=""/>
    <s v=""/>
    <s v=""/>
    <s v=""/>
    <m/>
    <m/>
    <n v="0"/>
    <n v="0"/>
    <n v="0"/>
    <m/>
    <m/>
    <n v="57.66"/>
    <s v=""/>
    <s v=""/>
    <n v="0"/>
    <n v="0"/>
    <n v="5.4641255605381165"/>
    <n v="43"/>
    <s v="free money"/>
    <n v="43"/>
    <s v="Assignment"/>
    <s v="SPs"/>
    <s v=""/>
    <m/>
    <m/>
    <m/>
    <s v=""/>
    <s v=""/>
    <n v="41.71"/>
    <m/>
    <s v=""/>
    <m/>
    <m/>
    <m/>
    <m/>
    <m/>
    <m/>
    <n v="0"/>
    <n v="0"/>
    <m/>
    <s v=""/>
    <s v=""/>
    <s v=""/>
    <s v=""/>
    <m/>
    <m/>
    <m/>
    <m/>
    <m/>
    <m/>
    <b v="0"/>
    <b v="0"/>
    <n v="0"/>
    <m/>
    <n v="0"/>
    <s v=""/>
    <s v=""/>
    <s v=""/>
    <s v=""/>
    <n v="0"/>
    <n v="0"/>
    <s v=""/>
    <n v="0"/>
    <m/>
    <n v="0"/>
    <n v="0"/>
    <s v=""/>
    <m/>
    <m/>
    <s v=""/>
    <m/>
    <s v=""/>
    <s v=""/>
    <s v=""/>
    <d v="2022-07-08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4.776999999999994"/>
    <n v="17.393999999999998"/>
    <m/>
    <m/>
    <n v="0"/>
    <s v=""/>
    <n v="0"/>
    <s v=""/>
    <s v="{22EBFB91-0A5C-4055-A01B-881784AF2D54}"/>
    <s v=""/>
    <s v=""/>
    <s v=""/>
    <s v=""/>
    <s v=""/>
    <s v=""/>
    <s v=""/>
    <s v=""/>
    <s v=""/>
    <s v=""/>
    <x v="0"/>
    <s v=""/>
  </r>
  <r>
    <s v="TER"/>
    <n v="369.46"/>
    <m/>
    <n v="314.041"/>
    <x v="7"/>
    <x v="2"/>
    <m/>
    <d v="2022-08-12T00:00:00"/>
    <d v="2022-08-12T00:00:00"/>
    <s v="Confirmed"/>
    <m/>
    <m/>
    <m/>
    <m/>
    <m/>
    <m/>
    <s v=""/>
    <n v="0"/>
    <n v="0"/>
    <s v=""/>
    <m/>
    <m/>
    <s v=""/>
    <s v=""/>
    <s v=""/>
    <s v=""/>
    <s v=""/>
    <m/>
    <m/>
    <n v="0"/>
    <n v="0"/>
    <n v="0"/>
    <m/>
    <m/>
    <n v="68.75"/>
    <s v=""/>
    <s v=""/>
    <n v="0"/>
    <n v="0"/>
    <n v="-0.81391760948411196"/>
    <m/>
    <m/>
    <m/>
    <m/>
    <m/>
    <s v=""/>
    <m/>
    <m/>
    <m/>
    <s v=""/>
    <s v=""/>
    <n v="63.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65.3125"/>
    <n v="720.44699999999989"/>
    <m/>
    <m/>
    <n v="0"/>
    <s v=""/>
    <n v="0"/>
    <s v=""/>
    <s v="{66DC3F34-A4A7-4FA3-819A-D0F385E85706}"/>
    <s v=""/>
    <s v=""/>
    <s v=""/>
    <s v=""/>
    <s v=""/>
    <s v=""/>
    <s v=""/>
    <s v=""/>
    <s v=""/>
    <s v=""/>
    <x v="0"/>
    <s v=""/>
  </r>
  <r>
    <s v="TEVA"/>
    <n v="30.15"/>
    <s v="Prem"/>
    <n v="25.627499999999998"/>
    <x v="6"/>
    <x v="3"/>
    <m/>
    <d v="2022-08-02T07:00:00"/>
    <d v="2022-08-02T07:00:00"/>
    <m/>
    <m/>
    <m/>
    <m/>
    <m/>
    <m/>
    <m/>
    <s v=""/>
    <n v="0"/>
    <n v="0"/>
    <s v=""/>
    <m/>
    <m/>
    <s v=""/>
    <s v=""/>
    <s v=""/>
    <s v=""/>
    <s v=""/>
    <m/>
    <m/>
    <n v="0"/>
    <n v="0"/>
    <n v="0"/>
    <m/>
    <m/>
    <n v="11.92"/>
    <s v=""/>
    <s v=""/>
    <n v="0"/>
    <n v="0"/>
    <n v="-0.60464344941956871"/>
    <n v="11"/>
    <s v="assignment"/>
    <n v="11"/>
    <s v="free money"/>
    <s v="CCs"/>
    <s v=""/>
    <m/>
    <m/>
    <m/>
    <s v=""/>
    <s v=""/>
    <n v="10.7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324"/>
    <n v="58.792499999999997"/>
    <m/>
    <m/>
    <n v="0"/>
    <s v=""/>
    <n v="0"/>
    <s v=""/>
    <m/>
    <s v=""/>
    <s v=""/>
    <s v=""/>
    <s v=""/>
    <s v=""/>
    <s v=""/>
    <s v=""/>
    <s v=""/>
    <s v=""/>
    <s v=""/>
    <x v="0"/>
    <s v=""/>
  </r>
  <r>
    <s v="BTG"/>
    <n v="3.87"/>
    <s v="Position"/>
    <n v="3.2894999999999999"/>
    <x v="12"/>
    <x v="0"/>
    <m/>
    <m/>
    <m/>
    <m/>
    <m/>
    <m/>
    <m/>
    <m/>
    <n v="7000"/>
    <n v="26060"/>
    <n v="3.7228571428571429"/>
    <n v="27090"/>
    <n v="1030"/>
    <n v="3.9524174980813509E-2"/>
    <m/>
    <m/>
    <s v=""/>
    <s v=""/>
    <s v=""/>
    <s v=""/>
    <s v=""/>
    <m/>
    <m/>
    <n v="0"/>
    <n v="0"/>
    <n v="0"/>
    <m/>
    <m/>
    <m/>
    <s v=""/>
    <s v=""/>
    <n v="0"/>
    <n v="0"/>
    <s v=""/>
    <n v="5"/>
    <s v="assignment"/>
    <n v="2"/>
    <s v="LowerLeg"/>
    <s v="BuCS"/>
    <s v="Y"/>
    <m/>
    <m/>
    <m/>
    <s v=""/>
    <s v=""/>
    <n v="3.12"/>
    <m/>
    <d v="2026-11-20T00:00:00"/>
    <m/>
    <m/>
    <m/>
    <m/>
    <m/>
    <m/>
    <n v="0"/>
    <n v="0"/>
    <m/>
    <s v=""/>
    <s v=""/>
    <s v=""/>
    <s v=""/>
    <d v="2026-11-20T00:00:00"/>
    <n v="4"/>
    <n v="30"/>
    <d v="2026-06-05T00:00:00"/>
    <d v="2026-06-05T00:00:00"/>
    <n v="0.5"/>
    <b v="1"/>
    <b v="1"/>
    <n v="1500"/>
    <n v="0.37"/>
    <n v="0"/>
    <n v="3.5"/>
    <n v="168"/>
    <n v="0.125"/>
    <n v="0.27157738095238093"/>
    <n v="0"/>
    <n v="12000"/>
    <n v="9.5607235142118885E-2"/>
    <n v="12000"/>
    <m/>
    <n v="12000"/>
    <s v=""/>
    <n v="1110.0000000000005"/>
    <n v="0.55000000000000004"/>
    <n v="0.37"/>
    <e v="#NAME?"/>
    <m/>
    <e v="#NAME?"/>
    <e v="#NAME?"/>
    <e v="#NAME?"/>
    <d v="2026-08-31T00:00:00"/>
    <m/>
    <n v="117"/>
    <e v="#NAME?"/>
    <n v="3.88"/>
    <n v="1139.9999999999995"/>
    <n v="0.75"/>
    <n v="750"/>
    <m/>
    <m/>
    <s v=""/>
    <n v="-1650"/>
    <n v="-150"/>
    <n v="-0.1"/>
    <m/>
    <m/>
    <m/>
    <m/>
    <m/>
    <m/>
    <n v="0"/>
    <s v=""/>
    <s v=""/>
    <s v=""/>
    <s v=""/>
    <m/>
    <s v=""/>
    <s v=""/>
    <s v=""/>
    <s v=""/>
    <s v=""/>
    <s v=""/>
    <s v=""/>
    <m/>
    <s v=""/>
    <m/>
    <s v=""/>
    <s v=""/>
    <s v=""/>
    <n v="0"/>
    <s v=""/>
    <n v="70"/>
    <m/>
    <m/>
    <m/>
    <m/>
    <m/>
    <m/>
    <b v="0"/>
    <b v="0"/>
    <m/>
    <s v=""/>
    <s v=""/>
    <n v="0"/>
    <s v=""/>
    <s v=""/>
    <n v="0"/>
    <m/>
    <m/>
    <m/>
    <n v="0"/>
    <m/>
    <s v=""/>
    <s v=""/>
    <n v="0"/>
    <n v="0"/>
    <m/>
    <s v=""/>
    <s v=""/>
    <s v=""/>
    <s v=""/>
    <s v=""/>
    <s v=""/>
    <s v=""/>
    <s v=""/>
    <s v=""/>
    <n v="0"/>
    <s v=""/>
    <s v=""/>
    <s v=""/>
    <s v=""/>
    <s v=""/>
    <s v=""/>
    <s v=""/>
    <s v=""/>
    <n v="1400"/>
    <n v="0"/>
    <n v="7.5465"/>
    <m/>
    <m/>
    <n v="0"/>
    <n v="0"/>
    <n v="0"/>
    <s v=""/>
    <s v="{846D9CED-AF74-4F9C-B867-ADD4D115CE60}"/>
    <s v=""/>
    <s v=""/>
    <s v="BTG261120P00004000"/>
    <n v="1"/>
    <s v=""/>
    <s v=""/>
    <s v=""/>
    <s v=""/>
    <s v="Y"/>
    <s v="LNG SP "/>
    <x v="20"/>
    <n v="0.17693794829928694"/>
  </r>
  <r>
    <s v="TGT"/>
    <n v="137.91999999999999"/>
    <m/>
    <n v="117.23199999999999"/>
    <x v="44"/>
    <x v="14"/>
    <m/>
    <d v="2022-08-17T06:30:00"/>
    <d v="2022-08-17T06:30:00"/>
    <m/>
    <m/>
    <m/>
    <m/>
    <m/>
    <m/>
    <m/>
    <s v=""/>
    <n v="0"/>
    <n v="0"/>
    <s v=""/>
    <m/>
    <m/>
    <s v=""/>
    <s v=""/>
    <s v=""/>
    <s v=""/>
    <s v=""/>
    <n v="1"/>
    <d v="2016-12-28T00:00:00"/>
    <n v="0"/>
    <n v="0"/>
    <n v="7.2505800464037129E-3"/>
    <d v="2019-11-20T00:00:00"/>
    <m/>
    <n v="124.39"/>
    <s v=""/>
    <s v=""/>
    <n v="0"/>
    <n v="0"/>
    <n v="-9.8100348027842135E-2"/>
    <n v="165"/>
    <s v="max gain"/>
    <n v="157.5"/>
    <s v="max loss"/>
    <s v="BuCS"/>
    <s v=""/>
    <m/>
    <m/>
    <m/>
    <s v=""/>
    <s v=""/>
    <n v="1.100000000000000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8.17049999999999"/>
    <n v="268.94399999999996"/>
    <m/>
    <m/>
    <n v="0"/>
    <s v=""/>
    <n v="0"/>
    <s v=""/>
    <s v="{FAFBF6BB-4C5A-4C50-BD6F-2B82B6735BCB}"/>
    <s v=""/>
    <s v=""/>
    <s v=""/>
    <s v=""/>
    <s v=""/>
    <s v=""/>
    <s v=""/>
    <s v=""/>
    <s v=""/>
    <s v=""/>
    <x v="0"/>
    <s v=""/>
  </r>
  <r>
    <s v="TGTX"/>
    <n v="52.68"/>
    <s v="Swing"/>
    <n v="44.777999999999999"/>
    <x v="15"/>
    <x v="3"/>
    <m/>
    <m/>
    <m/>
    <m/>
    <m/>
    <m/>
    <m/>
    <m/>
    <m/>
    <m/>
    <s v=""/>
    <n v="0"/>
    <n v="0"/>
    <s v=""/>
    <m/>
    <m/>
    <s v=""/>
    <s v=""/>
    <s v=""/>
    <s v=""/>
    <s v=""/>
    <m/>
    <m/>
    <n v="0"/>
    <n v="0"/>
    <n v="0"/>
    <m/>
    <m/>
    <n v="33.75"/>
    <s v=""/>
    <s v=""/>
    <n v="0"/>
    <n v="0"/>
    <n v="-0.35933940774487472"/>
    <m/>
    <m/>
    <m/>
    <m/>
    <s v="EquityOnly"/>
    <s v=""/>
    <m/>
    <m/>
    <m/>
    <s v=""/>
    <s v=""/>
    <n v="24.6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0625"/>
    <n v="102.726"/>
    <m/>
    <m/>
    <n v="0"/>
    <s v=""/>
    <n v="0"/>
    <s v=""/>
    <m/>
    <s v=""/>
    <s v=""/>
    <s v=""/>
    <s v=""/>
    <s v=""/>
    <s v=""/>
    <s v=""/>
    <s v=""/>
    <s v=""/>
    <s v=""/>
    <x v="0"/>
    <s v=""/>
  </r>
  <r>
    <s v="JPM"/>
    <n v="348.21"/>
    <m/>
    <n v="295.9785"/>
    <x v="129"/>
    <x v="8"/>
    <m/>
    <d v="2022-07-13T07:00:00"/>
    <d v="2022-07-13T07:00:00"/>
    <m/>
    <m/>
    <n v="1"/>
    <b v="1"/>
    <m/>
    <m/>
    <m/>
    <s v=""/>
    <n v="0"/>
    <n v="0"/>
    <s v=""/>
    <m/>
    <m/>
    <s v=""/>
    <s v=""/>
    <s v=""/>
    <s v=""/>
    <s v=""/>
    <n v="3.6"/>
    <d v="2019-10-31T00:00:00"/>
    <n v="0"/>
    <n v="0"/>
    <n v="1.0338588782631171E-2"/>
    <m/>
    <n v="120"/>
    <n v="113.88"/>
    <n v="-0.65538037391229431"/>
    <s v=""/>
    <n v="0"/>
    <n v="0"/>
    <n v="-0.67295597484276726"/>
    <m/>
    <m/>
    <m/>
    <m/>
    <m/>
    <s v=""/>
    <m/>
    <m/>
    <m/>
    <s v=""/>
    <s v=""/>
    <n v="308.08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8.18599999999999"/>
    <n v="679.00949999999989"/>
    <m/>
    <m/>
    <n v="0"/>
    <s v=""/>
    <n v="0"/>
    <s v=""/>
    <s v="{DC95900F-070B-46FA-82EA-E3F4CD7332C9}"/>
    <s v=""/>
    <s v=""/>
    <s v=""/>
    <s v=""/>
    <s v=""/>
    <s v=""/>
    <s v=""/>
    <s v=""/>
    <s v=""/>
    <s v=""/>
    <x v="0"/>
    <s v=""/>
  </r>
  <r>
    <s v="TKR"/>
    <n v="141.63999999999999"/>
    <m/>
    <n v="120.39399999999999"/>
    <x v="131"/>
    <x v="15"/>
    <m/>
    <d v="2022-08-01T06:50:00"/>
    <d v="2022-08-01T06:50:00"/>
    <m/>
    <m/>
    <m/>
    <m/>
    <m/>
    <m/>
    <m/>
    <s v=""/>
    <n v="0"/>
    <n v="0"/>
    <s v=""/>
    <m/>
    <m/>
    <s v=""/>
    <s v=""/>
    <s v=""/>
    <s v=""/>
    <s v=""/>
    <n v="1"/>
    <d v="2016-12-28T00:00:00"/>
    <n v="0"/>
    <n v="0"/>
    <n v="7.0601524992939856E-3"/>
    <d v="2016-12-08T00:00:00"/>
    <m/>
    <n v="51.89"/>
    <s v=""/>
    <s v=""/>
    <n v="0"/>
    <n v="0"/>
    <n v="-0.6336486868116351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9.295499999999997"/>
    <n v="276.19799999999998"/>
    <m/>
    <m/>
    <n v="0"/>
    <s v=""/>
    <n v="0"/>
    <s v=""/>
    <s v="{40E2CAA2-1C99-4F9F-94B6-1FE69CE99ECE}"/>
    <s v=""/>
    <s v=""/>
    <s v=""/>
    <s v=""/>
    <s v=""/>
    <s v=""/>
    <s v=""/>
    <s v=""/>
    <s v=""/>
    <s v=""/>
    <x v="0"/>
    <s v=""/>
  </r>
  <r>
    <s v="TLRY"/>
    <n v="4.16"/>
    <s v="Lottery"/>
    <n v="3.536"/>
    <x v="6"/>
    <x v="3"/>
    <m/>
    <d v="2023-10-05T00:00:00"/>
    <d v="2022-07-06T07:00:00"/>
    <m/>
    <m/>
    <m/>
    <m/>
    <m/>
    <m/>
    <m/>
    <s v=""/>
    <n v="0"/>
    <n v="0"/>
    <s v=""/>
    <n v="3.5"/>
    <n v="2.75"/>
    <s v=""/>
    <s v=""/>
    <s v=""/>
    <s v=""/>
    <s v=""/>
    <m/>
    <m/>
    <n v="0"/>
    <n v="0"/>
    <n v="0"/>
    <m/>
    <m/>
    <n v="8.6999999999999993"/>
    <s v=""/>
    <s v=""/>
    <n v="0"/>
    <n v="0"/>
    <n v="1.0913461538461535"/>
    <n v="2.5"/>
    <s v="assignment"/>
    <n v="2.5"/>
    <s v="Assignment"/>
    <s v="CCs"/>
    <s v=""/>
    <m/>
    <m/>
    <m/>
    <s v=""/>
    <s v=""/>
    <n v="2.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n v="0.1"/>
    <n v="0"/>
    <m/>
    <s v=""/>
    <s v=""/>
    <n v="0"/>
    <n v="0"/>
    <m/>
    <s v=""/>
    <s v=""/>
    <s v=""/>
    <s v=""/>
    <s v=""/>
    <s v=""/>
    <s v=""/>
    <s v=""/>
    <s v=""/>
    <n v="0"/>
    <s v=""/>
    <s v=""/>
    <s v=""/>
    <s v=""/>
    <s v=""/>
    <s v=""/>
    <s v=""/>
    <s v=""/>
    <n v="0"/>
    <n v="8.2649999999999988"/>
    <n v="8.1120000000000001"/>
    <m/>
    <m/>
    <n v="0"/>
    <s v=""/>
    <n v="0"/>
    <s v=""/>
    <s v="{08554B1C-B1EF-461D-93BD-FA6DFBB4CDD8}"/>
    <s v=""/>
    <s v=""/>
    <s v=""/>
    <s v=""/>
    <s v=""/>
    <s v=""/>
    <s v=""/>
    <s v=""/>
    <s v=""/>
    <s v=""/>
    <x v="0"/>
    <s v=""/>
  </r>
  <r>
    <s v="TLT"/>
    <n v="83.44"/>
    <m/>
    <n v="70.923999999999992"/>
    <x v="35"/>
    <x v="8"/>
    <m/>
    <d v="2022-07-06T07:00:00"/>
    <d v="2022-07-06T07:00:00"/>
    <m/>
    <m/>
    <m/>
    <m/>
    <m/>
    <m/>
    <m/>
    <s v=""/>
    <n v="0"/>
    <n v="0"/>
    <s v=""/>
    <m/>
    <m/>
    <s v=""/>
    <s v=""/>
    <s v=""/>
    <s v=""/>
    <s v=""/>
    <m/>
    <m/>
    <n v="0"/>
    <n v="0"/>
    <n v="0"/>
    <m/>
    <m/>
    <s v="-"/>
    <s v=""/>
    <s v=""/>
    <n v="0"/>
    <n v="0"/>
    <s v=""/>
    <n v="2.65"/>
    <s v="T1"/>
    <n v="1.4"/>
    <s v="stop out"/>
    <s v="LCs"/>
    <s v=""/>
    <m/>
    <m/>
    <m/>
    <s v=""/>
    <s v=""/>
    <n v="1.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62.708"/>
    <m/>
    <m/>
    <n v="0"/>
    <s v=""/>
    <n v="0"/>
    <s v=""/>
    <s v="{5ECB8524-3904-428D-859D-A83A789B12C7}"/>
    <s v=""/>
    <s v=""/>
    <s v=""/>
    <s v=""/>
    <s v=""/>
    <s v=""/>
    <s v=""/>
    <s v=""/>
    <s v=""/>
    <s v=""/>
    <x v="0"/>
    <s v=""/>
  </r>
  <r>
    <s v="TME"/>
    <n v="8.7799999999999994"/>
    <m/>
    <n v="7.4629999999999992"/>
    <x v="135"/>
    <x v="2"/>
    <m/>
    <d v="2022-08-15T16:05:00"/>
    <d v="2022-08-15T16:05:00"/>
    <m/>
    <m/>
    <m/>
    <m/>
    <m/>
    <m/>
    <m/>
    <s v=""/>
    <n v="0"/>
    <n v="0"/>
    <s v=""/>
    <m/>
    <m/>
    <s v=""/>
    <s v=""/>
    <s v=""/>
    <s v=""/>
    <s v=""/>
    <m/>
    <m/>
    <n v="0"/>
    <n v="0"/>
    <n v="0"/>
    <m/>
    <m/>
    <n v="99.79"/>
    <s v=""/>
    <s v=""/>
    <n v="0"/>
    <n v="0"/>
    <n v="10.36560364464692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4.8005"/>
    <n v="17.120999999999999"/>
    <m/>
    <m/>
    <n v="0"/>
    <s v=""/>
    <n v="0"/>
    <s v=""/>
    <s v="{A589E0AF-1384-4B13-807D-532A6D051A28}"/>
    <s v=""/>
    <s v=""/>
    <s v=""/>
    <s v=""/>
    <s v=""/>
    <s v=""/>
    <s v=""/>
    <s v=""/>
    <s v=""/>
    <s v=""/>
    <x v="0"/>
    <s v=""/>
  </r>
  <r>
    <s v="TMO"/>
    <n v="526.46"/>
    <m/>
    <n v="447.49100000000004"/>
    <x v="98"/>
    <x v="3"/>
    <m/>
    <d v="2022-07-28T06:00:00"/>
    <d v="2022-07-28T06:00:00"/>
    <m/>
    <m/>
    <m/>
    <m/>
    <m/>
    <m/>
    <m/>
    <s v=""/>
    <n v="0"/>
    <n v="0"/>
    <s v=""/>
    <m/>
    <m/>
    <s v=""/>
    <s v=""/>
    <s v=""/>
    <s v=""/>
    <s v=""/>
    <n v="0.3"/>
    <d v="2016-12-23T00:00:00"/>
    <n v="0"/>
    <n v="0"/>
    <n v="5.6984386278159779E-4"/>
    <d v="2016-11-29T00:00:00"/>
    <m/>
    <n v="334.19"/>
    <s v=""/>
    <s v=""/>
    <n v="0"/>
    <n v="0"/>
    <n v="-0.3652129316567260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7.48050000000001"/>
    <n v="1026.597"/>
    <m/>
    <m/>
    <n v="0"/>
    <s v=""/>
    <n v="0"/>
    <s v=""/>
    <s v="{71C2447E-F9C5-447B-8C0F-6D9C1A271A80}"/>
    <s v=""/>
    <s v=""/>
    <s v=""/>
    <s v=""/>
    <s v=""/>
    <s v=""/>
    <s v=""/>
    <s v=""/>
    <s v=""/>
    <s v=""/>
    <x v="0"/>
    <s v=""/>
  </r>
  <r>
    <s v="TMUS"/>
    <n v="190.94"/>
    <m/>
    <n v="162.29900000000001"/>
    <x v="136"/>
    <x v="2"/>
    <m/>
    <d v="2023-04-25T06:55:00"/>
    <d v="2023-04-25T06:55:00"/>
    <s v="Confirmed"/>
    <s v="FCC ruling"/>
    <m/>
    <m/>
    <m/>
    <m/>
    <m/>
    <s v=""/>
    <n v="0"/>
    <n v="0"/>
    <s v=""/>
    <m/>
    <m/>
    <s v=""/>
    <s v=""/>
    <s v=""/>
    <s v=""/>
    <s v=""/>
    <m/>
    <m/>
    <n v="0"/>
    <n v="0"/>
    <n v="0"/>
    <m/>
    <m/>
    <n v="177.95"/>
    <s v=""/>
    <s v=""/>
    <n v="0"/>
    <n v="0"/>
    <n v="-6.803184246360118E-2"/>
    <n v="145"/>
    <s v="free money"/>
    <n v="145"/>
    <s v="Losses"/>
    <s v="BuPS"/>
    <s v=""/>
    <m/>
    <m/>
    <m/>
    <s v=""/>
    <s v=""/>
    <n v="-1.19"/>
    <s v="Close 58 cents or less"/>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9.05249999999998"/>
    <n v="372.33299999999997"/>
    <m/>
    <m/>
    <n v="0"/>
    <s v=""/>
    <n v="0"/>
    <s v=""/>
    <s v="{6090BC3C-ABAD-4406-A002-54F1EC440F48}"/>
    <s v=""/>
    <s v=""/>
    <s v=""/>
    <s v=""/>
    <s v=""/>
    <s v=""/>
    <s v=""/>
    <s v=""/>
    <s v=""/>
    <s v=""/>
    <x v="0"/>
    <s v=""/>
  </r>
  <r>
    <s v="TNA"/>
    <n v="69.69"/>
    <m/>
    <n v="59.236499999999999"/>
    <x v="35"/>
    <x v="8"/>
    <m/>
    <d v="2022-07-27T06:55:00"/>
    <d v="2022-07-27T06:55:00"/>
    <m/>
    <m/>
    <m/>
    <m/>
    <n v="1"/>
    <m/>
    <m/>
    <s v=""/>
    <n v="0"/>
    <n v="0"/>
    <s v=""/>
    <m/>
    <m/>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35.8955"/>
    <m/>
    <m/>
    <n v="0"/>
    <s v=""/>
    <n v="0"/>
    <s v=""/>
    <s v="{8B8A931D-B86F-4F3B-9BC1-FB09CF3E7C64}"/>
    <s v=""/>
    <s v=""/>
    <s v=""/>
    <s v=""/>
    <s v=""/>
    <s v=""/>
    <s v=""/>
    <s v=""/>
    <s v=""/>
    <s v=""/>
    <x v="0"/>
    <s v=""/>
  </r>
  <r>
    <s v="TNDM"/>
    <n v="16.91"/>
    <m/>
    <n v="14.3735"/>
    <x v="137"/>
    <x v="3"/>
    <m/>
    <d v="2022-08-03T16:00:00"/>
    <d v="2022-08-03T16:00:00"/>
    <m/>
    <m/>
    <m/>
    <m/>
    <m/>
    <m/>
    <m/>
    <s v=""/>
    <n v="0"/>
    <n v="0"/>
    <s v=""/>
    <m/>
    <m/>
    <s v=""/>
    <s v=""/>
    <s v=""/>
    <s v=""/>
    <s v=""/>
    <m/>
    <m/>
    <n v="0"/>
    <n v="0"/>
    <n v="0"/>
    <m/>
    <m/>
    <n v="88.07"/>
    <s v=""/>
    <s v=""/>
    <n v="0"/>
    <n v="0"/>
    <n v="4.2081608515671194"/>
    <n v="70"/>
    <s v="free money"/>
    <n v="70"/>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3.666499999999985"/>
    <n v="32.974499999999999"/>
    <m/>
    <m/>
    <n v="0"/>
    <s v=""/>
    <n v="0"/>
    <s v=""/>
    <s v="{E164EDA5-B79D-4345-81F3-6BE97A231799}"/>
    <s v=""/>
    <s v=""/>
    <s v=""/>
    <s v=""/>
    <s v=""/>
    <s v=""/>
    <s v=""/>
    <s v=""/>
    <s v=""/>
    <s v=""/>
    <x v="0"/>
    <s v=""/>
  </r>
  <r>
    <s v="TQQQ"/>
    <n v="70.28"/>
    <s v="Swing"/>
    <n v="59.738"/>
    <x v="35"/>
    <x v="8"/>
    <m/>
    <d v="2022-08-03T16:00:00"/>
    <d v="2022-08-03T16:00:00"/>
    <m/>
    <m/>
    <m/>
    <m/>
    <m/>
    <m/>
    <m/>
    <s v=""/>
    <n v="0"/>
    <n v="0"/>
    <s v=""/>
    <m/>
    <m/>
    <s v=""/>
    <s v=""/>
    <s v=""/>
    <s v=""/>
    <s v=""/>
    <m/>
    <m/>
    <n v="0"/>
    <n v="0"/>
    <n v="0"/>
    <m/>
    <m/>
    <s v="-"/>
    <s v=""/>
    <s v=""/>
    <n v="0"/>
    <n v="0"/>
    <s v=""/>
    <n v="105"/>
    <s v="Losses"/>
    <n v="80"/>
    <s v="Losses"/>
    <s v="condor"/>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137.04599999999999"/>
    <m/>
    <m/>
    <n v="0"/>
    <s v=""/>
    <n v="0"/>
    <s v=""/>
    <s v="{C0EBBBA1-37BB-4280-B95F-47A068BBA2F4}"/>
    <s v=""/>
    <s v=""/>
    <s v=""/>
    <s v=""/>
    <s v=""/>
    <s v=""/>
    <s v=""/>
    <s v=""/>
    <s v=""/>
    <s v=""/>
    <x v="0"/>
    <s v=""/>
  </r>
  <r>
    <s v="TREX"/>
    <n v="42.79"/>
    <m/>
    <n v="36.371499999999997"/>
    <x v="138"/>
    <x v="15"/>
    <m/>
    <d v="2022-08-08T16:05:00"/>
    <d v="2022-08-08T16:05:00"/>
    <m/>
    <m/>
    <m/>
    <m/>
    <m/>
    <m/>
    <m/>
    <s v=""/>
    <n v="0"/>
    <n v="0"/>
    <s v=""/>
    <m/>
    <m/>
    <s v=""/>
    <s v=""/>
    <s v=""/>
    <s v=""/>
    <s v=""/>
    <m/>
    <m/>
    <n v="0"/>
    <n v="0"/>
    <n v="0"/>
    <m/>
    <m/>
    <n v="88.5"/>
    <s v=""/>
    <s v=""/>
    <n v="0"/>
    <n v="0"/>
    <n v="1.0682402430474411"/>
    <n v="90"/>
    <s v="assignment"/>
    <n v="82"/>
    <s v="Exit"/>
    <s v="BuyWrite"/>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4.075000000000003"/>
    <n v="83.4405"/>
    <m/>
    <m/>
    <n v="0"/>
    <s v=""/>
    <n v="0"/>
    <s v=""/>
    <s v="{D871CA91-BEE5-4C56-9337-8A0B0E2CDB89}"/>
    <s v=""/>
    <s v=""/>
    <s v=""/>
    <s v=""/>
    <s v=""/>
    <s v=""/>
    <s v=""/>
    <s v=""/>
    <s v=""/>
    <s v=""/>
    <x v="0"/>
    <s v=""/>
  </r>
  <r>
    <s v="TSCO"/>
    <n v="29.36"/>
    <s v="Swing"/>
    <n v="24.956"/>
    <x v="1"/>
    <x v="1"/>
    <m/>
    <d v="2024-01-24T00:00:00"/>
    <d v="2023-07-27T06:05:00"/>
    <m/>
    <m/>
    <m/>
    <m/>
    <m/>
    <m/>
    <m/>
    <s v=""/>
    <n v="0"/>
    <n v="0"/>
    <s v=""/>
    <m/>
    <m/>
    <s v=""/>
    <s v=""/>
    <s v=""/>
    <s v=""/>
    <s v=""/>
    <m/>
    <m/>
    <n v="0"/>
    <n v="0"/>
    <n v="0"/>
    <m/>
    <m/>
    <n v="230.11"/>
    <s v=""/>
    <s v=""/>
    <n v="0"/>
    <n v="0"/>
    <n v="6.8375340599455043"/>
    <n v="220"/>
    <s v="UpperLeg"/>
    <n v="210"/>
    <s v="LowerLeg"/>
    <s v="Diagonal"/>
    <s v=""/>
    <m/>
    <m/>
    <m/>
    <s v=""/>
    <s v=""/>
    <n v="17.45"/>
    <m/>
    <s v=""/>
    <m/>
    <m/>
    <m/>
    <m/>
    <m/>
    <m/>
    <n v="0"/>
    <n v="0"/>
    <m/>
    <s v=""/>
    <s v=""/>
    <s v=""/>
    <s v=""/>
    <m/>
    <m/>
    <m/>
    <m/>
    <m/>
    <m/>
    <b v="0"/>
    <b v="0"/>
    <n v="0"/>
    <m/>
    <n v="0"/>
    <s v=""/>
    <s v=""/>
    <s v=""/>
    <s v=""/>
    <n v="0"/>
    <n v="0"/>
    <s v=""/>
    <n v="0"/>
    <m/>
    <n v="0"/>
    <n v="0"/>
    <s v=""/>
    <m/>
    <m/>
    <s v=""/>
    <m/>
    <s v=""/>
    <s v=""/>
    <s v=""/>
    <d v="2023-11-17T00:00:00"/>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18.6045"/>
    <n v="57.251999999999995"/>
    <m/>
    <m/>
    <n v="0"/>
    <s v=""/>
    <n v="0"/>
    <s v=""/>
    <s v="{70A44BF9-1F18-403C-8AB7-9E9DD7ADB58C}"/>
    <s v=""/>
    <s v=""/>
    <s v=""/>
    <s v=""/>
    <s v=""/>
    <s v=""/>
    <s v=""/>
    <s v=""/>
    <s v=""/>
    <s v=""/>
    <x v="0"/>
    <s v=""/>
  </r>
  <r>
    <s v="TSG"/>
    <n v="15.98"/>
    <m/>
    <n v="13.583"/>
    <x v="139"/>
    <x v="14"/>
    <m/>
    <d v="2022-08-08T16:05:00"/>
    <d v="2022-08-08T16:05:00"/>
    <m/>
    <m/>
    <m/>
    <m/>
    <n v="4"/>
    <m/>
    <m/>
    <s v=""/>
    <n v="0"/>
    <n v="0"/>
    <s v=""/>
    <m/>
    <m/>
    <s v=""/>
    <s v=""/>
    <s v=""/>
    <s v=""/>
    <s v=""/>
    <m/>
    <m/>
    <n v="0"/>
    <n v="0"/>
    <n v="0"/>
    <m/>
    <m/>
    <n v="27.78"/>
    <s v=""/>
    <s v=""/>
    <n v="0"/>
    <n v="0"/>
    <n v="0.73842302878598254"/>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390999999999998"/>
    <n v="31.161000000000001"/>
    <m/>
    <m/>
    <n v="0"/>
    <s v=""/>
    <n v="0"/>
    <s v=""/>
    <s v="{1A7AB8E6-6044-4E1D-A601-E3407A2E8362}"/>
    <s v=""/>
    <s v=""/>
    <s v=""/>
    <s v=""/>
    <s v=""/>
    <s v=""/>
    <s v=""/>
    <s v=""/>
    <s v=""/>
    <s v=""/>
    <x v="0"/>
    <s v=""/>
  </r>
  <r>
    <s v="SOFI_2"/>
    <n v="16.46"/>
    <s v="Position"/>
    <n v="13.991"/>
    <x v="29"/>
    <x v="8"/>
    <m/>
    <d v="2025-01-27T00:00:00"/>
    <d v="2022-10-17T06:15:00"/>
    <m/>
    <m/>
    <m/>
    <m/>
    <m/>
    <n v="200"/>
    <n v="446"/>
    <n v="2.23"/>
    <n v="3292"/>
    <n v="2846"/>
    <n v="6.3811659192825116"/>
    <n v="30"/>
    <n v="16.399999999999999"/>
    <n v="27.77"/>
    <n v="14.169999999999998"/>
    <s v="2.0  : 1"/>
    <n v="5554"/>
    <n v="2833.9999999999995"/>
    <m/>
    <m/>
    <n v="0"/>
    <n v="0"/>
    <n v="0"/>
    <m/>
    <m/>
    <n v="40"/>
    <s v=""/>
    <n v="16.937219730941703"/>
    <n v="7554"/>
    <n v="4708"/>
    <n v="1.4301336573511543"/>
    <n v="20"/>
    <s v="T1"/>
    <n v="6.5"/>
    <s v="stop out"/>
    <s v="EquityOnly"/>
    <s v=""/>
    <s v="SYD"/>
    <m/>
    <m/>
    <s v=""/>
    <s v=""/>
    <n v="7.0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2"/>
    <m/>
    <m/>
    <m/>
    <m/>
    <m/>
    <m/>
    <b v="0"/>
    <b v="0"/>
    <m/>
    <s v=""/>
    <s v=""/>
    <n v="0"/>
    <s v=""/>
    <s v=""/>
    <n v="0"/>
    <m/>
    <m/>
    <m/>
    <n v="0"/>
    <m/>
    <s v=""/>
    <s v=""/>
    <n v="0"/>
    <n v="0"/>
    <m/>
    <s v=""/>
    <s v=""/>
    <s v=""/>
    <s v=""/>
    <s v=""/>
    <s v=""/>
    <s v=""/>
    <s v=""/>
    <s v=""/>
    <n v="0"/>
    <s v=""/>
    <s v=""/>
    <s v=""/>
    <s v=""/>
    <s v=""/>
    <s v=""/>
    <s v=""/>
    <s v=""/>
    <n v="40"/>
    <n v="38"/>
    <n v="32.097000000000001"/>
    <m/>
    <m/>
    <n v="0"/>
    <n v="0"/>
    <n v="0"/>
    <s v=""/>
    <s v="{0940800E-8051-47BC-87FE-06057DAA9B2D}"/>
    <s v=""/>
    <s v=""/>
    <s v=""/>
    <s v=""/>
    <s v=""/>
    <s v=""/>
    <s v=""/>
    <s v=""/>
    <s v=""/>
    <s v="LNG "/>
    <x v="21"/>
    <n v="1.5495603240256787E-2"/>
  </r>
  <r>
    <s v="QUBT"/>
    <n v="7.91"/>
    <m/>
    <n v="6.7234999999999996"/>
    <x v="20"/>
    <x v="2"/>
    <m/>
    <m/>
    <m/>
    <m/>
    <m/>
    <m/>
    <m/>
    <m/>
    <m/>
    <m/>
    <s v=""/>
    <n v="0"/>
    <n v="0"/>
    <s v=""/>
    <m/>
    <m/>
    <s v=""/>
    <s v=""/>
    <s v=""/>
    <s v=""/>
    <s v=""/>
    <m/>
    <m/>
    <n v="0"/>
    <n v="0"/>
    <n v="0"/>
    <m/>
    <m/>
    <m/>
    <s v=""/>
    <s v=""/>
    <n v="0"/>
    <n v="0"/>
    <s v=""/>
    <m/>
    <m/>
    <m/>
    <m/>
    <m/>
    <s v=""/>
    <m/>
    <m/>
    <m/>
    <s v=""/>
    <s v=""/>
    <n v="13.1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5.4245"/>
    <m/>
    <m/>
    <n v="0"/>
    <s v=""/>
    <n v="0"/>
    <s v=""/>
    <m/>
    <s v=""/>
    <s v=""/>
    <s v=""/>
    <s v=""/>
    <s v=""/>
    <s v=""/>
    <s v=""/>
    <s v=""/>
    <s v=""/>
    <s v=""/>
    <x v="0"/>
    <s v=""/>
  </r>
  <r>
    <s v="PSIL"/>
    <n v="24.17"/>
    <m/>
    <n v="20.544499999999999"/>
    <x v="35"/>
    <x v="8"/>
    <m/>
    <m/>
    <m/>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47.131500000000003"/>
    <m/>
    <m/>
    <n v="0"/>
    <s v=""/>
    <n v="0"/>
    <s v=""/>
    <m/>
    <s v=""/>
    <s v=""/>
    <s v=""/>
    <s v=""/>
    <s v=""/>
    <s v=""/>
    <s v=""/>
    <s v=""/>
    <s v=""/>
    <s v=""/>
    <x v="0"/>
    <s v=""/>
  </r>
  <r>
    <s v="B"/>
    <n v="37.11"/>
    <m/>
    <n v="31.543499999999998"/>
    <x v="12"/>
    <x v="0"/>
    <m/>
    <m/>
    <m/>
    <m/>
    <m/>
    <m/>
    <m/>
    <m/>
    <n v="600"/>
    <n v="25516"/>
    <n v="42.526666666666664"/>
    <n v="22266"/>
    <n v="-3250"/>
    <n v="-0.1273710612948738"/>
    <m/>
    <m/>
    <s v=""/>
    <s v=""/>
    <s v=""/>
    <s v=""/>
    <s v=""/>
    <m/>
    <m/>
    <n v="0"/>
    <n v="0"/>
    <n v="0"/>
    <m/>
    <m/>
    <m/>
    <s v=""/>
    <s v=""/>
    <n v="0"/>
    <n v="0"/>
    <s v=""/>
    <n v="35"/>
    <s v="assignment"/>
    <n v="35"/>
    <s v="free money"/>
    <m/>
    <s v="Y"/>
    <m/>
    <m/>
    <m/>
    <s v=""/>
    <s v=""/>
    <n v="33.18"/>
    <m/>
    <d v="2026-08-21T00:00:00"/>
    <m/>
    <m/>
    <m/>
    <m/>
    <m/>
    <m/>
    <n v="0"/>
    <n v="0"/>
    <m/>
    <s v=""/>
    <s v=""/>
    <s v=""/>
    <s v=""/>
    <m/>
    <m/>
    <m/>
    <m/>
    <m/>
    <m/>
    <b v="0"/>
    <b v="0"/>
    <n v="0"/>
    <n v="0.48"/>
    <n v="0"/>
    <s v=""/>
    <s v=""/>
    <s v=""/>
    <s v=""/>
    <n v="0"/>
    <n v="0"/>
    <s v=""/>
    <n v="0"/>
    <m/>
    <n v="0"/>
    <n v="0"/>
    <s v=""/>
    <m/>
    <m/>
    <s v=""/>
    <m/>
    <s v=""/>
    <s v=""/>
    <s v=""/>
    <m/>
    <m/>
    <s v=""/>
    <s v=""/>
    <s v=""/>
    <s v=""/>
    <s v=""/>
    <s v=""/>
    <m/>
    <m/>
    <s v=""/>
    <s v=""/>
    <s v=""/>
    <s v=""/>
    <m/>
    <m/>
    <m/>
    <m/>
    <m/>
    <m/>
    <n v="0"/>
    <s v=""/>
    <s v=""/>
    <s v=""/>
    <s v=""/>
    <m/>
    <s v=""/>
    <s v=""/>
    <s v=""/>
    <s v=""/>
    <s v=""/>
    <s v=""/>
    <s v=""/>
    <m/>
    <s v=""/>
    <m/>
    <s v=""/>
    <s v=""/>
    <s v=""/>
    <n v="0"/>
    <s v=""/>
    <n v="6"/>
    <d v="2026-08-21T00:00:00"/>
    <n v="38"/>
    <n v="6"/>
    <d v="2026-07-26T00:00:00"/>
    <d v="2026-07-26T00:00:00"/>
    <n v="6.9"/>
    <b v="1"/>
    <b v="1"/>
    <n v="0.7"/>
    <n v="27"/>
    <n v="26"/>
    <n v="4140.0000000000009"/>
    <n v="30.21"/>
    <n v="37.11"/>
    <n v="1.00197"/>
    <m/>
    <n v="1.57"/>
    <n v="0.39"/>
    <e v="#NAME?"/>
    <m/>
    <e v="#NAME?"/>
    <e v="#NAME?"/>
    <n v="0"/>
    <n v="1.57"/>
    <d v="2026-07-21T00:00:00"/>
    <n v="942"/>
    <n v="4.2306655887900835E-2"/>
    <n v="2.3982753974669917E-2"/>
    <n v="22798.43"/>
    <s v=""/>
    <n v="1422.4300000000012"/>
    <n v="37.997383333333332"/>
    <n v="4.2306655887900835E-2"/>
    <e v="#NAME?"/>
    <n v="0.89000000000000057"/>
    <n v="2.6823387582881272E-2"/>
    <s v=""/>
    <s v=""/>
    <n v="4145.3400000000011"/>
    <e v="#NAME?"/>
    <n v="-942"/>
    <n v="3198.0000000000009"/>
    <n v="0.77246376811594208"/>
    <n v="120"/>
    <n v="0"/>
    <n v="72.364499999999992"/>
    <m/>
    <m/>
    <n v="0"/>
    <n v="0"/>
    <n v="0"/>
    <n v="38.330099703583976"/>
    <m/>
    <s v=""/>
    <s v=""/>
    <s v=""/>
    <s v=""/>
    <s v=""/>
    <s v=""/>
    <s v="B260821C00038000"/>
    <n v="1"/>
    <s v="Y"/>
    <s v="LNG SC "/>
    <x v="22"/>
    <n v="0.10061786599748757"/>
  </r>
  <r>
    <s v="TSN"/>
    <n v="57.06"/>
    <s v="MT"/>
    <n v="48.500999999999998"/>
    <x v="140"/>
    <x v="13"/>
    <m/>
    <d v="2022-08-08T07:30:00"/>
    <d v="2022-08-08T07:30:00"/>
    <m/>
    <m/>
    <m/>
    <m/>
    <n v="1"/>
    <m/>
    <m/>
    <s v=""/>
    <n v="0"/>
    <n v="0"/>
    <s v=""/>
    <m/>
    <m/>
    <s v=""/>
    <s v=""/>
    <s v=""/>
    <s v=""/>
    <s v=""/>
    <m/>
    <m/>
    <n v="0"/>
    <n v="0"/>
    <n v="0"/>
    <d v="2020-02-27T00:00:00"/>
    <n v="105"/>
    <n v="79.09"/>
    <n v="0.8401682439537328"/>
    <s v=""/>
    <n v="0"/>
    <n v="0"/>
    <n v="0.38608482299334035"/>
    <m/>
    <m/>
    <m/>
    <m/>
    <m/>
    <s v=""/>
    <m/>
    <m/>
    <m/>
    <m/>
    <m/>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5.135499999999993"/>
    <n v="111.267"/>
    <m/>
    <m/>
    <n v="0"/>
    <s v=""/>
    <n v="0"/>
    <s v=""/>
    <s v="{A72F58C2-60B3-4195-A885-6D2F789ED76E}"/>
    <s v=""/>
    <s v=""/>
    <s v=""/>
    <s v=""/>
    <s v=""/>
    <s v=""/>
    <s v=""/>
    <s v=""/>
    <s v=""/>
    <s v=""/>
    <x v="0"/>
    <s v=""/>
  </r>
  <r>
    <s v="COST"/>
    <n v="927.31"/>
    <s v="LT"/>
    <n v="788.21349999999995"/>
    <x v="44"/>
    <x v="14"/>
    <m/>
    <d v="2022-08-25T16:15:00"/>
    <d v="2022-08-25T16:15:00"/>
    <m/>
    <s v="sales report"/>
    <n v="1"/>
    <m/>
    <m/>
    <m/>
    <m/>
    <s v=""/>
    <n v="0"/>
    <n v="0"/>
    <s v=""/>
    <m/>
    <m/>
    <m/>
    <m/>
    <m/>
    <m/>
    <m/>
    <n v="2.6"/>
    <d v="2020-05-21T00:00:00"/>
    <n v="0"/>
    <n v="0"/>
    <n v="2.8038088665063464E-3"/>
    <m/>
    <n v="350"/>
    <n v="400.37"/>
    <n v="-0.6225641910472226"/>
    <s v=""/>
    <n v="0"/>
    <n v="0"/>
    <n v="-0.56824578619879007"/>
    <n v="350"/>
    <s v="assignment"/>
    <n v="350"/>
    <s v="free money"/>
    <s v="CCs"/>
    <s v=""/>
    <m/>
    <m/>
    <m/>
    <s v=""/>
    <s v=""/>
    <n v="304.7200000000000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0.35149999999999"/>
    <n v="1808.2544999999998"/>
    <m/>
    <n v="123.88"/>
    <n v="0"/>
    <s v=""/>
    <n v="0"/>
    <s v=""/>
    <s v="{318D19CE-5CD8-4B92-956F-D40D8C0FF4B3}"/>
    <s v=""/>
    <s v=""/>
    <s v=""/>
    <s v=""/>
    <s v=""/>
    <s v=""/>
    <s v=""/>
    <s v=""/>
    <s v=""/>
    <s v=""/>
    <x v="0"/>
    <s v=""/>
  </r>
  <r>
    <s v="TWLO"/>
    <n v="183.38"/>
    <m/>
    <n v="155.87299999999999"/>
    <x v="28"/>
    <x v="2"/>
    <m/>
    <d v="2022-08-03T16:05:00"/>
    <d v="2022-08-03T16:05:00"/>
    <m/>
    <m/>
    <m/>
    <m/>
    <m/>
    <m/>
    <m/>
    <s v=""/>
    <n v="0"/>
    <n v="0"/>
    <s v=""/>
    <m/>
    <m/>
    <s v=""/>
    <s v=""/>
    <s v=""/>
    <s v=""/>
    <s v=""/>
    <m/>
    <m/>
    <n v="0"/>
    <n v="0"/>
    <n v="0"/>
    <m/>
    <n v="150"/>
    <n v="224.95"/>
    <n v="-0.18202639328171008"/>
    <s v=""/>
    <n v="0"/>
    <n v="0"/>
    <n v="0.22668775220852871"/>
    <n v="110"/>
    <s v="free money"/>
    <n v="110"/>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13.70249999999999"/>
    <n v="357.59100000000001"/>
    <m/>
    <m/>
    <n v="0"/>
    <s v=""/>
    <n v="0"/>
    <s v=""/>
    <s v="{27744EC7-F451-425E-AA4A-B9B9951AAEBC}"/>
    <s v=""/>
    <s v=""/>
    <s v=""/>
    <s v=""/>
    <s v=""/>
    <s v=""/>
    <s v=""/>
    <s v=""/>
    <s v=""/>
    <s v=""/>
    <x v="0"/>
    <s v=""/>
  </r>
  <r>
    <s v="TWNK"/>
    <n v="23.31"/>
    <m/>
    <n v="19.813499999999998"/>
    <x v="62"/>
    <x v="4"/>
    <m/>
    <d v="2022-11-02T16:00:00"/>
    <d v="2022-11-02T16:00:00"/>
    <m/>
    <m/>
    <m/>
    <m/>
    <m/>
    <m/>
    <m/>
    <s v=""/>
    <n v="0"/>
    <n v="0"/>
    <s v=""/>
    <m/>
    <m/>
    <s v=""/>
    <s v=""/>
    <s v=""/>
    <s v=""/>
    <s v=""/>
    <m/>
    <m/>
    <n v="0"/>
    <n v="0"/>
    <n v="0"/>
    <m/>
    <m/>
    <n v="26.89"/>
    <s v=""/>
    <s v=""/>
    <n v="0"/>
    <n v="0"/>
    <n v="0.15358215358215366"/>
    <n v="26.58"/>
    <s v="T1"/>
    <n v="22.8"/>
    <s v="stop out"/>
    <m/>
    <s v=""/>
    <m/>
    <m/>
    <m/>
    <s v=""/>
    <s v=""/>
    <n v="24.0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5.545500000000001"/>
    <n v="45.454499999999996"/>
    <m/>
    <m/>
    <n v="0"/>
    <s v=""/>
    <n v="0"/>
    <s v=""/>
    <m/>
    <s v=""/>
    <s v=""/>
    <s v=""/>
    <s v=""/>
    <s v=""/>
    <s v=""/>
    <s v=""/>
    <s v=""/>
    <s v=""/>
    <s v=""/>
    <x v="0"/>
    <s v=""/>
  </r>
  <r>
    <s v="TWTR"/>
    <n v="51.7"/>
    <s v="Swing"/>
    <n v="43.945"/>
    <x v="135"/>
    <x v="2"/>
    <m/>
    <d v="2022-07-28T08:00:00"/>
    <d v="2022-07-28T08:00:00"/>
    <m/>
    <m/>
    <m/>
    <m/>
    <m/>
    <m/>
    <m/>
    <s v=""/>
    <n v="0"/>
    <n v="0"/>
    <s v=""/>
    <n v="55"/>
    <n v="48.29"/>
    <s v=""/>
    <s v=""/>
    <s v=""/>
    <s v=""/>
    <s v=""/>
    <m/>
    <s v="N/A"/>
    <n v="0"/>
    <n v="0"/>
    <n v="0"/>
    <m/>
    <m/>
    <n v="43.82"/>
    <s v=""/>
    <s v=""/>
    <n v="0"/>
    <n v="0"/>
    <n v="-0.15241779497098651"/>
    <n v="55"/>
    <s v="assignment"/>
    <n v="50"/>
    <s v="Assignment"/>
    <s v="Strangle"/>
    <s v=""/>
    <m/>
    <m/>
    <m/>
    <s v=""/>
    <s v=""/>
    <n v="41.3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1.628999999999998"/>
    <n v="100.815"/>
    <m/>
    <m/>
    <n v="0"/>
    <s v=""/>
    <n v="0"/>
    <s v=""/>
    <s v="{14C73A0B-682D-40C4-8A75-BFAD97D65F11}"/>
    <s v=""/>
    <s v=""/>
    <s v=""/>
    <s v=""/>
    <s v=""/>
    <s v=""/>
    <s v=""/>
    <s v=""/>
    <s v=""/>
    <s v=""/>
    <x v="0"/>
    <s v=""/>
  </r>
  <r>
    <s v="TXT"/>
    <n v="91.71"/>
    <m/>
    <n v="77.953499999999991"/>
    <x v="141"/>
    <x v="15"/>
    <m/>
    <d v="2022-07-28T06:30:00"/>
    <d v="2022-07-28T06:30:00"/>
    <m/>
    <m/>
    <m/>
    <m/>
    <m/>
    <m/>
    <m/>
    <s v=""/>
    <n v="0"/>
    <n v="0"/>
    <s v=""/>
    <m/>
    <m/>
    <s v=""/>
    <s v=""/>
    <s v=""/>
    <s v=""/>
    <s v=""/>
    <m/>
    <m/>
    <n v="0"/>
    <n v="0"/>
    <n v="0"/>
    <m/>
    <m/>
    <n v="40.729999999999997"/>
    <s v=""/>
    <s v=""/>
    <n v="0"/>
    <n v="0"/>
    <n v="-0.5558826736451859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693499999999993"/>
    <n v="178.83449999999999"/>
    <m/>
    <m/>
    <n v="0"/>
    <s v=""/>
    <n v="0"/>
    <s v=""/>
    <s v="{B3B543A9-CAC0-4231-83CA-D6F5F7DF3938}"/>
    <s v=""/>
    <s v=""/>
    <s v=""/>
    <s v=""/>
    <s v=""/>
    <s v=""/>
    <s v=""/>
    <s v=""/>
    <s v=""/>
    <s v=""/>
    <x v="0"/>
    <s v=""/>
  </r>
  <r>
    <s v="TXT"/>
    <n v="91.71"/>
    <m/>
    <n v="77.953499999999991"/>
    <x v="141"/>
    <x v="15"/>
    <m/>
    <d v="2022-07-28T06:30:00"/>
    <d v="2022-07-28T06:30:00"/>
    <m/>
    <m/>
    <m/>
    <m/>
    <m/>
    <m/>
    <m/>
    <s v=""/>
    <n v="0"/>
    <n v="0"/>
    <s v=""/>
    <m/>
    <m/>
    <s v=""/>
    <s v=""/>
    <s v=""/>
    <s v=""/>
    <s v=""/>
    <m/>
    <m/>
    <n v="0"/>
    <n v="0"/>
    <n v="0"/>
    <m/>
    <n v="72"/>
    <n v="40.729999999999997"/>
    <n v="-0.21491658488714421"/>
    <s v=""/>
    <n v="0"/>
    <n v="0"/>
    <n v="-0.5558826736451859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693499999999993"/>
    <n v="178.83449999999999"/>
    <m/>
    <m/>
    <n v="0"/>
    <s v=""/>
    <n v="0"/>
    <s v=""/>
    <s v="{029E3643-1A2F-4C51-B1E1-F8D41CF28A4A}"/>
    <s v=""/>
    <s v=""/>
    <s v=""/>
    <s v=""/>
    <s v=""/>
    <s v=""/>
    <s v=""/>
    <s v=""/>
    <s v=""/>
    <s v=""/>
    <x v="0"/>
    <s v=""/>
  </r>
  <r>
    <s v="U"/>
    <n v="29.27"/>
    <s v="Swing"/>
    <n v="24.8795"/>
    <x v="11"/>
    <x v="2"/>
    <m/>
    <d v="2023-08-09T16:20:00"/>
    <d v="2023-08-09T16:20:00"/>
    <m/>
    <m/>
    <m/>
    <m/>
    <m/>
    <m/>
    <m/>
    <s v=""/>
    <n v="0"/>
    <n v="0"/>
    <s v=""/>
    <n v="63"/>
    <n v="35"/>
    <s v=""/>
    <s v=""/>
    <s v=""/>
    <s v=""/>
    <s v=""/>
    <m/>
    <m/>
    <n v="0"/>
    <n v="0"/>
    <n v="0"/>
    <m/>
    <m/>
    <n v="37.200000000000003"/>
    <s v=""/>
    <s v=""/>
    <n v="0"/>
    <n v="0"/>
    <n v="0.27092586265801172"/>
    <n v="37.5"/>
    <s v="assignment"/>
    <n v="37.5"/>
    <s v="free money"/>
    <s v="Strangle"/>
    <s v=""/>
    <m/>
    <m/>
    <m/>
    <s v=""/>
    <s v=""/>
    <n v="36.799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n v="0.95069999999999999"/>
    <n v="0"/>
    <m/>
    <s v=""/>
    <s v=""/>
    <n v="0"/>
    <n v="0"/>
    <m/>
    <s v=""/>
    <s v=""/>
    <s v=""/>
    <s v=""/>
    <s v=""/>
    <s v=""/>
    <s v=""/>
    <s v=""/>
    <s v=""/>
    <n v="0"/>
    <s v=""/>
    <s v=""/>
    <s v=""/>
    <s v=""/>
    <s v=""/>
    <s v=""/>
    <s v=""/>
    <s v=""/>
    <n v="0"/>
    <n v="35.340000000000003"/>
    <n v="57.076499999999996"/>
    <m/>
    <m/>
    <n v="0"/>
    <s v=""/>
    <n v="0"/>
    <s v=""/>
    <m/>
    <s v=""/>
    <s v=""/>
    <s v=""/>
    <s v=""/>
    <s v=""/>
    <s v=""/>
    <s v=""/>
    <s v=""/>
    <s v=""/>
    <s v=""/>
    <x v="0"/>
    <s v=""/>
  </r>
  <r>
    <s v="U"/>
    <n v="29.27"/>
    <s v="Swing"/>
    <n v="24.8795"/>
    <x v="11"/>
    <x v="2"/>
    <m/>
    <d v="2023-08-09T16:20:00"/>
    <d v="2023-08-09T16:20:00"/>
    <m/>
    <m/>
    <m/>
    <m/>
    <m/>
    <m/>
    <m/>
    <s v=""/>
    <n v="0"/>
    <n v="0"/>
    <s v=""/>
    <n v="63"/>
    <n v="35"/>
    <s v=""/>
    <s v=""/>
    <s v=""/>
    <s v=""/>
    <s v=""/>
    <m/>
    <m/>
    <n v="0"/>
    <n v="0"/>
    <n v="0"/>
    <m/>
    <m/>
    <n v="37.200000000000003"/>
    <s v=""/>
    <s v=""/>
    <n v="0"/>
    <n v="0"/>
    <n v="0.27092586265801172"/>
    <n v="37.5"/>
    <s v="assignment"/>
    <n v="37.5"/>
    <s v="free money"/>
    <s v="Strangle"/>
    <s v=""/>
    <m/>
    <m/>
    <m/>
    <s v=""/>
    <s v=""/>
    <n v="36.799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n v="0.98650000000000004"/>
    <n v="0"/>
    <m/>
    <s v=""/>
    <s v=""/>
    <n v="0"/>
    <n v="0"/>
    <m/>
    <s v=""/>
    <s v=""/>
    <s v=""/>
    <s v=""/>
    <s v=""/>
    <s v=""/>
    <s v=""/>
    <s v=""/>
    <s v=""/>
    <n v="0"/>
    <s v=""/>
    <s v=""/>
    <s v=""/>
    <s v=""/>
    <s v=""/>
    <s v=""/>
    <s v=""/>
    <s v=""/>
    <n v="0"/>
    <n v="35.340000000000003"/>
    <n v="57.076499999999996"/>
    <m/>
    <m/>
    <n v="0"/>
    <s v=""/>
    <n v="0"/>
    <s v=""/>
    <m/>
    <s v=""/>
    <s v=""/>
    <s v=""/>
    <s v=""/>
    <s v=""/>
    <s v=""/>
    <s v=""/>
    <s v=""/>
    <s v=""/>
    <s v=""/>
    <x v="0"/>
    <s v=""/>
  </r>
  <r>
    <s v="UA"/>
    <n v="7.08"/>
    <m/>
    <n v="6.0179999999999998"/>
    <x v="88"/>
    <x v="13"/>
    <m/>
    <d v="2022-08-05T06:55:00"/>
    <d v="2022-08-05T06:55:00"/>
    <m/>
    <m/>
    <m/>
    <m/>
    <m/>
    <m/>
    <m/>
    <s v=""/>
    <n v="0"/>
    <n v="0"/>
    <s v=""/>
    <m/>
    <m/>
    <s v=""/>
    <s v=""/>
    <s v=""/>
    <s v=""/>
    <s v=""/>
    <n v="0.3"/>
    <d v="2016-12-23T00:00:00"/>
    <n v="0"/>
    <n v="0"/>
    <n v="4.2372881355932202E-2"/>
    <d v="2016-11-29T00:00:00"/>
    <m/>
    <n v="17.5"/>
    <s v=""/>
    <s v=""/>
    <n v="0"/>
    <n v="0"/>
    <n v="1.471751412429378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625"/>
    <n v="13.805999999999999"/>
    <m/>
    <m/>
    <n v="0"/>
    <s v=""/>
    <n v="0"/>
    <s v=""/>
    <s v="{BA9AEE1B-B71A-4C4A-9C75-1EDCADD0D84A}"/>
    <s v=""/>
    <s v=""/>
    <s v=""/>
    <s v=""/>
    <s v=""/>
    <s v=""/>
    <s v=""/>
    <s v=""/>
    <s v=""/>
    <s v=""/>
    <x v="0"/>
    <s v=""/>
  </r>
  <r>
    <s v="UBER"/>
    <n v="70.33"/>
    <s v="Prem"/>
    <n v="59.780499999999996"/>
    <x v="11"/>
    <x v="2"/>
    <m/>
    <d v="2022-08-03T07:00:00"/>
    <d v="2022-08-03T07:00:00"/>
    <m/>
    <m/>
    <m/>
    <m/>
    <m/>
    <m/>
    <m/>
    <s v=""/>
    <n v="0"/>
    <n v="0"/>
    <s v=""/>
    <n v="65"/>
    <n v="54.81"/>
    <s v=""/>
    <s v=""/>
    <s v=""/>
    <s v=""/>
    <s v=""/>
    <m/>
    <m/>
    <n v="0"/>
    <n v="0"/>
    <n v="0"/>
    <m/>
    <m/>
    <n v="57.25"/>
    <s v=""/>
    <s v=""/>
    <n v="0"/>
    <n v="0"/>
    <n v="-0.18598037821697708"/>
    <n v="65"/>
    <s v="assignment"/>
    <n v="54"/>
    <s v="Assignment"/>
    <s v="Strangle"/>
    <s v=""/>
    <m/>
    <n v="4.827"/>
    <d v="2021-02-12T00:00:00"/>
    <n v="65.503"/>
    <n v="75.156999999999996"/>
    <n v="58.25"/>
    <m/>
    <s v=""/>
    <m/>
    <m/>
    <m/>
    <m/>
    <m/>
    <m/>
    <n v="0"/>
    <n v="0"/>
    <m/>
    <s v=""/>
    <s v=""/>
    <s v=""/>
    <s v=""/>
    <m/>
    <m/>
    <m/>
    <m/>
    <m/>
    <m/>
    <b v="0"/>
    <b v="0"/>
    <n v="0"/>
    <m/>
    <n v="0"/>
    <s v=""/>
    <s v=""/>
    <s v=""/>
    <s v=""/>
    <n v="0"/>
    <n v="0"/>
    <s v=""/>
    <n v="0"/>
    <n v="1"/>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4.387499999999996"/>
    <n v="137.14349999999999"/>
    <m/>
    <m/>
    <n v="0"/>
    <s v=""/>
    <n v="0"/>
    <s v=""/>
    <s v="{1A6212CB-8452-44D4-AB22-56D3C496B794}"/>
    <s v=""/>
    <s v=""/>
    <s v=""/>
    <s v=""/>
    <s v=""/>
    <s v=""/>
    <s v=""/>
    <s v=""/>
    <s v=""/>
    <s v=""/>
    <x v="0"/>
    <s v=""/>
  </r>
  <r>
    <s v="UEC"/>
    <n v="9.73"/>
    <m/>
    <n v="8.2705000000000002"/>
    <x v="76"/>
    <x v="10"/>
    <m/>
    <m/>
    <m/>
    <m/>
    <m/>
    <m/>
    <m/>
    <m/>
    <m/>
    <m/>
    <s v=""/>
    <n v="0"/>
    <n v="0"/>
    <s v=""/>
    <n v="5.35"/>
    <n v="4.55"/>
    <s v=""/>
    <s v=""/>
    <s v=""/>
    <s v=""/>
    <s v=""/>
    <m/>
    <m/>
    <n v="0"/>
    <n v="0"/>
    <n v="0"/>
    <m/>
    <m/>
    <m/>
    <s v=""/>
    <s v=""/>
    <n v="0"/>
    <n v="0"/>
    <s v=""/>
    <n v="5.35"/>
    <s v="T1"/>
    <n v="5.1100000000000003"/>
    <s v="stop out"/>
    <s v="EquityOnly"/>
    <s v=""/>
    <m/>
    <m/>
    <m/>
    <s v=""/>
    <s v=""/>
    <n v="4.84"/>
    <s v="STOP $5.11"/>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8.973500000000001"/>
    <m/>
    <m/>
    <n v="0"/>
    <s v=""/>
    <n v="0"/>
    <s v=""/>
    <m/>
    <s v=""/>
    <s v=""/>
    <s v=""/>
    <s v=""/>
    <s v=""/>
    <s v=""/>
    <s v=""/>
    <s v=""/>
    <s v=""/>
    <s v=""/>
    <x v="0"/>
    <s v=""/>
  </r>
  <r>
    <s v="UN"/>
    <n v="26.29"/>
    <m/>
    <n v="22.346499999999999"/>
    <x v="142"/>
    <x v="13"/>
    <m/>
    <d v="2022-08-03T07:00:00"/>
    <d v="2022-08-03T07:00:00"/>
    <m/>
    <m/>
    <m/>
    <m/>
    <m/>
    <m/>
    <m/>
    <s v=""/>
    <n v="0"/>
    <n v="0"/>
    <s v=""/>
    <m/>
    <m/>
    <s v=""/>
    <s v=""/>
    <s v=""/>
    <s v=""/>
    <s v=""/>
    <n v="0.3"/>
    <d v="2016-12-23T00:00:00"/>
    <n v="0"/>
    <n v="0"/>
    <n v="1.1411182959300114E-2"/>
    <d v="2016-11-29T00:00:00"/>
    <m/>
    <n v="62"/>
    <s v=""/>
    <s v=""/>
    <n v="0"/>
    <n v="0"/>
    <n v="1.358311144922023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8.9"/>
    <n v="51.265499999999996"/>
    <m/>
    <m/>
    <n v="0"/>
    <s v=""/>
    <n v="0"/>
    <s v=""/>
    <s v="{C069F6B0-A0DB-4231-8CDA-A00903635AA9}"/>
    <s v=""/>
    <s v=""/>
    <s v=""/>
    <s v=""/>
    <s v=""/>
    <s v=""/>
    <s v=""/>
    <s v=""/>
    <s v=""/>
    <s v=""/>
    <x v="0"/>
    <s v=""/>
  </r>
  <r>
    <s v="UNG"/>
    <n v="10.6"/>
    <s v="Prem"/>
    <n v="9.01"/>
    <x v="143"/>
    <x v="10"/>
    <m/>
    <d v="2022-08-03T07:00:00"/>
    <d v="2022-08-03T07:00:00"/>
    <m/>
    <m/>
    <m/>
    <m/>
    <m/>
    <m/>
    <m/>
    <s v=""/>
    <n v="0"/>
    <n v="0"/>
    <s v=""/>
    <m/>
    <m/>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20.669999999999998"/>
    <m/>
    <m/>
    <n v="0"/>
    <s v=""/>
    <n v="0"/>
    <s v=""/>
    <m/>
    <s v=""/>
    <s v=""/>
    <s v=""/>
    <s v=""/>
    <s v=""/>
    <s v=""/>
    <s v=""/>
    <s v=""/>
    <s v=""/>
    <s v=""/>
    <x v="0"/>
    <s v=""/>
  </r>
  <r>
    <s v="UNH"/>
    <n v="431.31"/>
    <m/>
    <n v="366.61349999999999"/>
    <x v="53"/>
    <x v="3"/>
    <m/>
    <d v="2022-07-15T05:55:00"/>
    <d v="2022-07-15T05:55:00"/>
    <s v="Confirmed"/>
    <m/>
    <m/>
    <b v="1"/>
    <m/>
    <m/>
    <m/>
    <s v=""/>
    <n v="0"/>
    <n v="0"/>
    <s v=""/>
    <m/>
    <m/>
    <s v=""/>
    <s v=""/>
    <s v=""/>
    <s v=""/>
    <s v=""/>
    <n v="4.32"/>
    <d v="2019-12-24T00:00:00"/>
    <n v="0"/>
    <n v="0"/>
    <n v="1.0015997774222718E-2"/>
    <d v="2019-12-13T00:00:00"/>
    <n v="305"/>
    <n v="331.96"/>
    <n v="-0.29285200899584984"/>
    <s v=""/>
    <n v="0"/>
    <n v="0"/>
    <n v="-0.23034476362708961"/>
    <m/>
    <m/>
    <m/>
    <m/>
    <m/>
    <s v=""/>
    <m/>
    <m/>
    <m/>
    <s v=""/>
    <s v=""/>
    <n v="239.7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5.36199999999997"/>
    <n v="841.05449999999996"/>
    <m/>
    <m/>
    <n v="0"/>
    <s v=""/>
    <n v="0"/>
    <s v=""/>
    <s v="{C332C0EA-BE2A-49FA-81CF-F22E855E0010}"/>
    <s v=""/>
    <s v=""/>
    <s v=""/>
    <s v=""/>
    <s v=""/>
    <s v=""/>
    <s v=""/>
    <s v=""/>
    <s v=""/>
    <s v=""/>
    <x v="0"/>
    <s v=""/>
  </r>
  <r>
    <s v="UPS"/>
    <n v="115.84"/>
    <s v="LT"/>
    <n v="98.463999999999999"/>
    <x v="91"/>
    <x v="14"/>
    <m/>
    <d v="2022-07-26T06:00:00"/>
    <d v="2022-07-26T06:00:00"/>
    <m/>
    <m/>
    <m/>
    <m/>
    <m/>
    <m/>
    <m/>
    <s v=""/>
    <n v="0"/>
    <n v="0"/>
    <s v=""/>
    <m/>
    <m/>
    <s v=""/>
    <s v=""/>
    <s v=""/>
    <s v=""/>
    <s v=""/>
    <n v="0.3"/>
    <d v="2016-12-23T00:00:00"/>
    <n v="0"/>
    <n v="0"/>
    <n v="2.5897790055248618E-3"/>
    <d v="2016-11-29T00:00:00"/>
    <m/>
    <n v="172.44"/>
    <s v=""/>
    <s v=""/>
    <n v="0"/>
    <n v="0"/>
    <n v="0.48860497237569056"/>
    <n v="170"/>
    <s v="assignment"/>
    <n v="170"/>
    <s v="free money"/>
    <s v="CCs"/>
    <s v=""/>
    <m/>
    <n v="4.5030000000000001"/>
    <d v="2021-04-01T00:00:00"/>
    <n v="111.337"/>
    <n v="120.343"/>
    <n v="161.9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63.81799999999998"/>
    <n v="225.88800000000001"/>
    <m/>
    <m/>
    <n v="0"/>
    <s v=""/>
    <n v="0"/>
    <s v=""/>
    <s v="{62588183-9BC4-4290-B7EC-1075965C3C21}"/>
    <s v=""/>
    <s v=""/>
    <s v=""/>
    <s v=""/>
    <s v=""/>
    <s v=""/>
    <s v=""/>
    <s v=""/>
    <s v=""/>
    <s v=""/>
    <x v="0"/>
    <s v=""/>
  </r>
  <r>
    <s v="URA"/>
    <n v="40.97"/>
    <m/>
    <n v="34.8245"/>
    <x v="35"/>
    <x v="8"/>
    <m/>
    <m/>
    <m/>
    <m/>
    <m/>
    <m/>
    <m/>
    <m/>
    <m/>
    <m/>
    <s v=""/>
    <n v="0"/>
    <n v="0"/>
    <s v=""/>
    <m/>
    <m/>
    <s v=""/>
    <s v=""/>
    <s v=""/>
    <s v=""/>
    <s v=""/>
    <m/>
    <m/>
    <n v="0"/>
    <n v="0"/>
    <n v="0"/>
    <m/>
    <m/>
    <m/>
    <s v=""/>
    <s v=""/>
    <n v="0"/>
    <n v="0"/>
    <s v=""/>
    <n v="26.25"/>
    <s v="ITM"/>
    <n v="26.24"/>
    <s v="Losses"/>
    <s v="LCs"/>
    <s v=""/>
    <m/>
    <m/>
    <m/>
    <s v=""/>
    <s v=""/>
    <n v="24.8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79.891499999999994"/>
    <m/>
    <m/>
    <n v="0"/>
    <s v=""/>
    <n v="0"/>
    <s v=""/>
    <m/>
    <s v=""/>
    <s v=""/>
    <s v=""/>
    <s v=""/>
    <s v=""/>
    <s v=""/>
    <s v=""/>
    <s v=""/>
    <s v=""/>
    <s v=""/>
    <x v="0"/>
    <s v=""/>
  </r>
  <r>
    <s v="URI"/>
    <n v="1035.06"/>
    <s v="Swing"/>
    <n v="879.80099999999993"/>
    <x v="46"/>
    <x v="7"/>
    <m/>
    <d v="2022-07-27T16:15:00"/>
    <d v="2022-07-27T16:15:00"/>
    <m/>
    <m/>
    <m/>
    <m/>
    <m/>
    <m/>
    <m/>
    <s v=""/>
    <n v="0"/>
    <n v="0"/>
    <s v=""/>
    <m/>
    <m/>
    <s v=""/>
    <s v=""/>
    <s v=""/>
    <s v=""/>
    <s v=""/>
    <m/>
    <m/>
    <n v="0"/>
    <n v="0"/>
    <n v="0"/>
    <m/>
    <m/>
    <n v="164.29"/>
    <s v=""/>
    <s v=""/>
    <n v="0"/>
    <n v="0"/>
    <n v="-0.84127490193805188"/>
    <n v="170"/>
    <s v="free money"/>
    <n v="170"/>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6.07549999999998"/>
    <n v="2018.3669999999997"/>
    <m/>
    <m/>
    <n v="0"/>
    <s v=""/>
    <n v="0"/>
    <s v=""/>
    <m/>
    <s v=""/>
    <s v=""/>
    <s v=""/>
    <s v=""/>
    <s v=""/>
    <s v=""/>
    <s v=""/>
    <s v=""/>
    <s v=""/>
    <s v=""/>
    <x v="0"/>
    <s v=""/>
  </r>
  <r>
    <s v="USB"/>
    <n v="64.47"/>
    <m/>
    <n v="54.799499999999995"/>
    <x v="113"/>
    <x v="8"/>
    <m/>
    <d v="2022-07-14T06:45:00"/>
    <d v="2022-07-14T06:45:00"/>
    <m/>
    <m/>
    <m/>
    <m/>
    <m/>
    <m/>
    <m/>
    <s v=""/>
    <n v="0"/>
    <n v="0"/>
    <s v=""/>
    <m/>
    <m/>
    <s v=""/>
    <s v=""/>
    <s v=""/>
    <s v=""/>
    <s v=""/>
    <n v="0.3"/>
    <d v="2016-12-23T00:00:00"/>
    <n v="0"/>
    <n v="0"/>
    <n v="4.6533271288971617E-3"/>
    <d v="2016-11-29T00:00:00"/>
    <m/>
    <n v="42"/>
    <s v=""/>
    <s v=""/>
    <n v="0"/>
    <n v="0"/>
    <n v="-0.3485342019543973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9.9"/>
    <n v="125.7165"/>
    <m/>
    <n v="47.18"/>
    <n v="0"/>
    <s v=""/>
    <n v="0"/>
    <s v=""/>
    <s v="{1EADE3C8-1402-48FC-83EB-B3BF65EF0064}"/>
    <s v=""/>
    <s v=""/>
    <s v=""/>
    <s v=""/>
    <s v=""/>
    <s v=""/>
    <s v=""/>
    <s v=""/>
    <s v=""/>
    <s v=""/>
    <x v="0"/>
    <s v=""/>
  </r>
  <r>
    <s v="USO"/>
    <n v="131.68"/>
    <m/>
    <n v="111.928"/>
    <x v="35"/>
    <x v="8"/>
    <m/>
    <d v="2022-02-04T00:00:00"/>
    <d v="2022-02-04T00:00:00"/>
    <m/>
    <m/>
    <m/>
    <m/>
    <m/>
    <m/>
    <m/>
    <s v=""/>
    <n v="0"/>
    <n v="0"/>
    <s v=""/>
    <m/>
    <m/>
    <s v=""/>
    <s v=""/>
    <s v=""/>
    <s v=""/>
    <s v=""/>
    <m/>
    <m/>
    <n v="0"/>
    <n v="0"/>
    <n v="0"/>
    <m/>
    <m/>
    <s v="-"/>
    <s v=""/>
    <s v=""/>
    <n v="0"/>
    <n v="0"/>
    <s v=""/>
    <n v="13.5"/>
    <s v="ITM"/>
    <n v="13.5"/>
    <s v="Losse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256.77600000000001"/>
    <m/>
    <m/>
    <n v="0"/>
    <s v=""/>
    <n v="0"/>
    <s v=""/>
    <s v="{41474A13-563D-426E-863C-422E662BDD5D}"/>
    <s v=""/>
    <s v=""/>
    <s v=""/>
    <s v=""/>
    <s v=""/>
    <s v=""/>
    <s v=""/>
    <s v=""/>
    <s v=""/>
    <s v=""/>
    <x v="0"/>
    <s v=""/>
  </r>
  <r>
    <s v="UTX"/>
    <n v="131.24"/>
    <m/>
    <n v="111.554"/>
    <x v="58"/>
    <x v="15"/>
    <m/>
    <d v="2022-02-04T00:00:00"/>
    <d v="2022-02-04T00:00:00"/>
    <m/>
    <m/>
    <m/>
    <m/>
    <n v="1"/>
    <m/>
    <m/>
    <s v=""/>
    <n v="0"/>
    <n v="0"/>
    <s v=""/>
    <m/>
    <m/>
    <s v=""/>
    <s v=""/>
    <s v=""/>
    <s v=""/>
    <s v=""/>
    <n v="2.8"/>
    <d v="2017-09-10T00:00:00"/>
    <n v="0"/>
    <n v="0"/>
    <n v="2.1334958854007921E-2"/>
    <d v="2017-08-16T00:00:00"/>
    <m/>
    <n v="198.76"/>
    <s v=""/>
    <s v=""/>
    <n v="0"/>
    <n v="0"/>
    <n v="0.51447729350807658"/>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8.82199999999997"/>
    <n v="255.91800000000001"/>
    <m/>
    <n v="128.88"/>
    <n v="0"/>
    <s v=""/>
    <n v="0"/>
    <s v=""/>
    <s v="{2FBDC742-3742-45CD-B8A7-6B571A2A6E2D}"/>
    <s v=""/>
    <s v=""/>
    <s v=""/>
    <s v=""/>
    <s v=""/>
    <s v=""/>
    <s v=""/>
    <s v=""/>
    <s v=""/>
    <s v=""/>
    <x v="0"/>
    <s v=""/>
  </r>
  <r>
    <s v="UUP"/>
    <n v="28.45"/>
    <m/>
    <n v="24.182499999999997"/>
    <x v="24"/>
    <x v="12"/>
    <m/>
    <m/>
    <m/>
    <m/>
    <m/>
    <m/>
    <m/>
    <m/>
    <m/>
    <m/>
    <s v=""/>
    <n v="0"/>
    <n v="0"/>
    <s v=""/>
    <m/>
    <m/>
    <s v=""/>
    <s v=""/>
    <s v=""/>
    <s v=""/>
    <s v=""/>
    <m/>
    <m/>
    <n v="0"/>
    <n v="0"/>
    <n v="0"/>
    <m/>
    <m/>
    <m/>
    <s v=""/>
    <s v=""/>
    <n v="0"/>
    <n v="0"/>
    <s v=""/>
    <m/>
    <m/>
    <m/>
    <m/>
    <m/>
    <s v=""/>
    <m/>
    <m/>
    <m/>
    <s v=""/>
    <s v=""/>
    <n v="0.8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5.477499999999999"/>
    <m/>
    <m/>
    <n v="0"/>
    <s v=""/>
    <n v="0"/>
    <s v=""/>
    <m/>
    <s v=""/>
    <s v=""/>
    <s v=""/>
    <s v=""/>
    <s v=""/>
    <s v=""/>
    <s v=""/>
    <s v=""/>
    <s v=""/>
    <s v=""/>
    <x v="0"/>
    <s v=""/>
  </r>
  <r>
    <s v="RCUS"/>
    <n v="29.97"/>
    <m/>
    <n v="25.474499999999999"/>
    <x v="15"/>
    <x v="3"/>
    <m/>
    <m/>
    <m/>
    <m/>
    <m/>
    <m/>
    <m/>
    <m/>
    <m/>
    <m/>
    <s v=""/>
    <n v="0"/>
    <n v="0"/>
    <s v=""/>
    <n v="30"/>
    <n v="26.95"/>
    <s v=""/>
    <s v=""/>
    <s v=""/>
    <s v=""/>
    <s v=""/>
    <m/>
    <m/>
    <n v="0"/>
    <n v="0"/>
    <n v="0"/>
    <m/>
    <m/>
    <m/>
    <s v=""/>
    <s v=""/>
    <n v="0"/>
    <n v="0"/>
    <s v=""/>
    <m/>
    <m/>
    <m/>
    <m/>
    <m/>
    <s v=""/>
    <m/>
    <m/>
    <m/>
    <s v=""/>
    <s v=""/>
    <n v="24.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8.441499999999998"/>
    <m/>
    <m/>
    <n v="0"/>
    <s v=""/>
    <n v="0"/>
    <s v=""/>
    <m/>
    <s v=""/>
    <s v=""/>
    <s v=""/>
    <s v=""/>
    <s v=""/>
    <s v=""/>
    <s v=""/>
    <s v=""/>
    <s v=""/>
    <s v=""/>
    <x v="0"/>
    <s v=""/>
  </r>
  <r>
    <s v="V"/>
    <n v="353.42"/>
    <m/>
    <n v="300.40699999999998"/>
    <x v="29"/>
    <x v="8"/>
    <m/>
    <d v="2022-07-26T16:05:00"/>
    <d v="2022-07-26T16:05:00"/>
    <m/>
    <m/>
    <m/>
    <m/>
    <m/>
    <m/>
    <m/>
    <s v=""/>
    <n v="0"/>
    <n v="0"/>
    <s v=""/>
    <m/>
    <m/>
    <s v=""/>
    <s v=""/>
    <s v=""/>
    <s v=""/>
    <s v=""/>
    <n v="0.66"/>
    <d v="2017-03-07T00:00:00"/>
    <n v="0"/>
    <n v="0"/>
    <n v="1.8674664704883708E-3"/>
    <d v="2017-05-11T00:00:00"/>
    <m/>
    <n v="198.76"/>
    <s v=""/>
    <s v=""/>
    <n v="0"/>
    <n v="0"/>
    <n v="-0.43760964291777493"/>
    <n v="187.5"/>
    <s v="max gain"/>
    <n v="181.06"/>
    <s v="Losses"/>
    <s v="Bu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8.82199999999997"/>
    <n v="689.16899999999998"/>
    <m/>
    <m/>
    <n v="0"/>
    <s v=""/>
    <n v="0"/>
    <s v=""/>
    <s v="{6709E375-3B22-4C7E-B9BF-C439D95EB7BB}"/>
    <s v=""/>
    <s v=""/>
    <s v=""/>
    <s v=""/>
    <s v=""/>
    <s v=""/>
    <s v=""/>
    <s v=""/>
    <s v=""/>
    <s v=""/>
    <x v="0"/>
    <s v=""/>
  </r>
  <r>
    <s v="VALE"/>
    <n v="14.85"/>
    <m/>
    <n v="12.622499999999999"/>
    <x v="144"/>
    <x v="0"/>
    <m/>
    <d v="2022-07-27T19:15:00"/>
    <d v="2022-07-27T19:15:00"/>
    <m/>
    <m/>
    <m/>
    <m/>
    <n v="5"/>
    <m/>
    <m/>
    <s v=""/>
    <n v="0"/>
    <n v="0"/>
    <s v=""/>
    <m/>
    <m/>
    <s v=""/>
    <s v=""/>
    <s v=""/>
    <s v=""/>
    <s v=""/>
    <n v="0"/>
    <d v="2016-11-06T00:00:00"/>
    <n v="0"/>
    <n v="0"/>
    <n v="0"/>
    <d v="2015-10-14T00:00:00"/>
    <m/>
    <n v="12.92"/>
    <s v=""/>
    <s v=""/>
    <n v="0"/>
    <n v="0"/>
    <n v="-0.12996632996632995"/>
    <n v="7.25"/>
    <s v="exit"/>
    <n v="6.5"/>
    <s v="stop ou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2.273999999999999"/>
    <n v="28.9575"/>
    <n v="50"/>
    <n v="15.18"/>
    <n v="759"/>
    <s v=""/>
    <e v="#VALUE!"/>
    <e v="#VALUE!"/>
    <s v="{87D75973-71A1-4A9D-A756-6F1B161907CE}"/>
    <s v=""/>
    <s v=""/>
    <s v=""/>
    <s v=""/>
    <s v=""/>
    <s v=""/>
    <s v=""/>
    <s v=""/>
    <s v=""/>
    <s v=""/>
    <x v="0"/>
    <s v=""/>
  </r>
  <r>
    <s v="VET"/>
    <n v="11.03"/>
    <s v="Swing"/>
    <n v="9.3754999999999988"/>
    <x v="22"/>
    <x v="10"/>
    <m/>
    <d v="2022-08-10T16:05:00"/>
    <d v="2022-08-10T16:05:00"/>
    <m/>
    <m/>
    <m/>
    <m/>
    <m/>
    <m/>
    <m/>
    <s v=""/>
    <n v="0"/>
    <n v="0"/>
    <s v=""/>
    <m/>
    <m/>
    <s v=""/>
    <s v=""/>
    <s v=""/>
    <s v=""/>
    <s v=""/>
    <m/>
    <m/>
    <n v="0"/>
    <n v="0"/>
    <n v="0"/>
    <m/>
    <m/>
    <n v="25.78"/>
    <s v=""/>
    <s v=""/>
    <n v="0"/>
    <n v="0"/>
    <n v="1.3372620126926567"/>
    <n v="17.5"/>
    <s v="assignment"/>
    <n v="17.5"/>
    <s v="free money"/>
    <s v="CCs"/>
    <s v=""/>
    <m/>
    <m/>
    <m/>
    <s v=""/>
    <s v=""/>
    <n v="16.4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491"/>
    <n v="21.508499999999998"/>
    <m/>
    <m/>
    <n v="0"/>
    <s v=""/>
    <n v="0"/>
    <s v=""/>
    <m/>
    <s v=""/>
    <s v=""/>
    <s v=""/>
    <s v=""/>
    <s v=""/>
    <s v=""/>
    <s v=""/>
    <s v=""/>
    <s v=""/>
    <s v=""/>
    <x v="0"/>
    <s v=""/>
  </r>
  <r>
    <s v="VIAC"/>
    <n v="42.73"/>
    <m/>
    <n v="36.320499999999996"/>
    <x v="48"/>
    <x v="14"/>
    <m/>
    <d v="2022-07-27T19:15:00"/>
    <d v="2022-07-27T19:15:00"/>
    <m/>
    <m/>
    <m/>
    <m/>
    <m/>
    <m/>
    <m/>
    <s v=""/>
    <n v="0"/>
    <n v="0"/>
    <s v=""/>
    <m/>
    <m/>
    <s v=""/>
    <s v=""/>
    <s v=""/>
    <s v=""/>
    <s v=""/>
    <n v="0.8"/>
    <d v="2020-01-01T00:00:00"/>
    <n v="0"/>
    <n v="0"/>
    <n v="1.8722209220688044E-2"/>
    <d v="2019-12-13T00:00:00"/>
    <n v="40"/>
    <n v="27.81"/>
    <n v="-6.3889538965597875E-2"/>
    <s v=""/>
    <n v="0"/>
    <n v="0"/>
    <n v="-0.34916920196583195"/>
    <n v="30"/>
    <s v="ITM"/>
    <m/>
    <m/>
    <s v="L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6.419499999999999"/>
    <n v="83.323499999999996"/>
    <m/>
    <m/>
    <n v="0"/>
    <s v=""/>
    <n v="0"/>
    <s v=""/>
    <s v="{2CC6E0FF-0A20-4437-91DD-81407DDB18F4}"/>
    <s v=""/>
    <s v=""/>
    <s v=""/>
    <s v=""/>
    <s v=""/>
    <s v=""/>
    <s v=""/>
    <s v=""/>
    <s v=""/>
    <s v=""/>
    <x v="0"/>
    <s v=""/>
  </r>
  <r>
    <s v="VIPS"/>
    <n v="14.68"/>
    <s v="Swing"/>
    <n v="12.478"/>
    <x v="33"/>
    <x v="1"/>
    <m/>
    <d v="2022-08-18T05:00:00"/>
    <d v="2022-08-18T05:00:00"/>
    <m/>
    <m/>
    <m/>
    <m/>
    <m/>
    <m/>
    <m/>
    <s v=""/>
    <n v="0"/>
    <n v="0"/>
    <s v=""/>
    <m/>
    <m/>
    <s v=""/>
    <s v=""/>
    <s v=""/>
    <s v=""/>
    <s v=""/>
    <m/>
    <m/>
    <n v="0"/>
    <n v="0"/>
    <n v="0"/>
    <m/>
    <m/>
    <n v="40.049999999999997"/>
    <s v=""/>
    <s v=""/>
    <n v="0"/>
    <n v="0"/>
    <n v="1.7282016348773841"/>
    <m/>
    <m/>
    <n v="28.9"/>
    <s v="stop out"/>
    <m/>
    <s v=""/>
    <m/>
    <m/>
    <m/>
    <s v=""/>
    <s v=""/>
    <n v="131.8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047499999999992"/>
    <n v="28.625999999999998"/>
    <m/>
    <m/>
    <n v="0"/>
    <s v=""/>
    <n v="0"/>
    <s v=""/>
    <m/>
    <s v=""/>
    <s v=""/>
    <s v=""/>
    <s v=""/>
    <s v=""/>
    <s v=""/>
    <s v=""/>
    <s v=""/>
    <s v=""/>
    <s v=""/>
    <x v="0"/>
    <s v=""/>
  </r>
  <r>
    <s v="VIX"/>
    <n v="14.95"/>
    <s v="Swing"/>
    <n v="12.7075"/>
    <x v="145"/>
    <x v="8"/>
    <m/>
    <d v="2022-08-04T17:00:00"/>
    <d v="2022-08-04T17:00:00"/>
    <m/>
    <m/>
    <m/>
    <m/>
    <m/>
    <m/>
    <m/>
    <s v=""/>
    <n v="0"/>
    <n v="0"/>
    <s v=""/>
    <m/>
    <m/>
    <s v=""/>
    <s v=""/>
    <s v=""/>
    <s v=""/>
    <s v=""/>
    <m/>
    <m/>
    <n v="0"/>
    <n v="0"/>
    <n v="0"/>
    <m/>
    <m/>
    <n v="10"/>
    <s v=""/>
    <s v=""/>
    <n v="0"/>
    <n v="0"/>
    <n v="-0.33110367892976583"/>
    <n v="16"/>
    <s v="T1"/>
    <n v="15.37"/>
    <s v="BE"/>
    <s v="LCs"/>
    <s v=""/>
    <n v="15.37"/>
    <m/>
    <m/>
    <s v=""/>
    <s v=""/>
    <n v="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d v="2025-05-09T00:00:00"/>
    <s v=""/>
    <s v=""/>
    <s v=""/>
    <s v=""/>
    <s v=""/>
    <s v=""/>
    <s v=""/>
    <s v=""/>
    <s v=""/>
    <n v="0"/>
    <s v=""/>
    <s v=""/>
    <s v=""/>
    <s v=""/>
    <s v=""/>
    <s v=""/>
    <s v=""/>
    <s v=""/>
    <n v="0"/>
    <n v="9.5"/>
    <n v="29.152499999999996"/>
    <m/>
    <m/>
    <n v="0"/>
    <s v=""/>
    <n v="0"/>
    <s v=""/>
    <m/>
    <s v=""/>
    <s v=""/>
    <s v=""/>
    <s v=""/>
    <s v=""/>
    <s v=""/>
    <s v=""/>
    <s v=""/>
    <s v=""/>
    <s v=""/>
    <x v="0"/>
    <s v=""/>
  </r>
  <r>
    <s v="VLO"/>
    <n v="310.92"/>
    <m/>
    <n v="264.28199999999998"/>
    <x v="146"/>
    <x v="0"/>
    <m/>
    <d v="2022-07-26T06:45:00"/>
    <d v="2022-07-26T06:45:00"/>
    <m/>
    <m/>
    <m/>
    <m/>
    <m/>
    <m/>
    <m/>
    <s v=""/>
    <n v="0"/>
    <n v="0"/>
    <s v=""/>
    <m/>
    <m/>
    <s v=""/>
    <s v=""/>
    <s v=""/>
    <s v=""/>
    <s v=""/>
    <n v="2.4"/>
    <d v="2017-09-08T00:00:00"/>
    <n v="0"/>
    <n v="0"/>
    <n v="7.7190274025472783E-3"/>
    <d v="2017-02-16T00:00:00"/>
    <m/>
    <n v="75.53"/>
    <s v=""/>
    <s v=""/>
    <n v="0"/>
    <n v="0"/>
    <n v="-0.7570757751190017"/>
    <n v="67"/>
    <s v="T1"/>
    <n v="60"/>
    <s v="Exi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71.753500000000003"/>
    <n v="606.29399999999998"/>
    <m/>
    <m/>
    <n v="0"/>
    <s v=""/>
    <n v="0"/>
    <s v=""/>
    <s v="{81EF5F6F-42AB-45C5-8CF9-745865E6311E}"/>
    <s v=""/>
    <s v=""/>
    <s v=""/>
    <s v=""/>
    <s v=""/>
    <s v=""/>
    <s v=""/>
    <s v=""/>
    <s v=""/>
    <s v=""/>
    <x v="0"/>
    <s v=""/>
  </r>
  <r>
    <s v="VLY"/>
    <n v="14.52"/>
    <m/>
    <n v="12.341999999999999"/>
    <x v="147"/>
    <x v="8"/>
    <m/>
    <d v="2022-07-28T07:00:00"/>
    <d v="2022-07-28T07:00:00"/>
    <m/>
    <m/>
    <m/>
    <m/>
    <m/>
    <m/>
    <m/>
    <s v=""/>
    <n v="0"/>
    <n v="0"/>
    <s v=""/>
    <m/>
    <m/>
    <s v=""/>
    <s v=""/>
    <s v=""/>
    <s v=""/>
    <s v=""/>
    <m/>
    <m/>
    <n v="0"/>
    <n v="0"/>
    <n v="0"/>
    <m/>
    <m/>
    <n v="9.7799999999999994"/>
    <s v=""/>
    <s v=""/>
    <n v="0"/>
    <n v="0"/>
    <n v="-0.32644628099173556"/>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2909999999999986"/>
    <n v="28.314"/>
    <m/>
    <m/>
    <n v="0"/>
    <s v=""/>
    <n v="0"/>
    <s v=""/>
    <s v="{53B8A0CC-11EC-4D02-A2F6-3EB0C207EBFA}"/>
    <s v=""/>
    <s v=""/>
    <s v=""/>
    <s v=""/>
    <s v=""/>
    <s v=""/>
    <s v=""/>
    <s v=""/>
    <s v=""/>
    <s v=""/>
    <x v="0"/>
    <s v=""/>
  </r>
  <r>
    <s v="VMW"/>
    <n v="157.5"/>
    <m/>
    <n v="133.875"/>
    <x v="148"/>
    <x v="2"/>
    <m/>
    <d v="2022-08-25T07:15:00"/>
    <d v="2022-08-25T07:15:00"/>
    <m/>
    <m/>
    <m/>
    <m/>
    <m/>
    <m/>
    <m/>
    <s v=""/>
    <n v="0"/>
    <n v="0"/>
    <s v=""/>
    <m/>
    <m/>
    <s v=""/>
    <s v=""/>
    <s v=""/>
    <s v=""/>
    <s v=""/>
    <m/>
    <m/>
    <n v="0"/>
    <n v="0"/>
    <n v="0"/>
    <m/>
    <m/>
    <n v="154.4"/>
    <s v=""/>
    <s v=""/>
    <n v="0"/>
    <n v="0"/>
    <n v="-1.9682539682539645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46.68"/>
    <n v="307.125"/>
    <m/>
    <m/>
    <n v="0"/>
    <s v=""/>
    <n v="0"/>
    <s v=""/>
    <s v="{D5ED6150-BD95-4808-9ACA-A2D838C66EA2}"/>
    <s v=""/>
    <s v=""/>
    <s v=""/>
    <s v=""/>
    <s v=""/>
    <s v=""/>
    <s v=""/>
    <s v=""/>
    <s v=""/>
    <s v=""/>
    <x v="0"/>
    <s v=""/>
  </r>
  <r>
    <s v="VRT"/>
    <n v="301.16000000000003"/>
    <s v="Swing"/>
    <n v="255.98600000000002"/>
    <x v="39"/>
    <x v="7"/>
    <m/>
    <m/>
    <m/>
    <m/>
    <m/>
    <m/>
    <m/>
    <m/>
    <m/>
    <m/>
    <s v=""/>
    <n v="0"/>
    <n v="0"/>
    <s v=""/>
    <m/>
    <m/>
    <s v=""/>
    <s v=""/>
    <s v=""/>
    <s v=""/>
    <s v=""/>
    <m/>
    <m/>
    <n v="0"/>
    <n v="0"/>
    <n v="0"/>
    <m/>
    <m/>
    <n v="145"/>
    <s v=""/>
    <s v=""/>
    <n v="0"/>
    <n v="0"/>
    <n v="-0.5185283570195246"/>
    <n v="145"/>
    <s v="T1"/>
    <n v="129.15"/>
    <s v="stop out"/>
    <s v="EquityOnly"/>
    <s v=""/>
    <m/>
    <m/>
    <m/>
    <s v=""/>
    <s v=""/>
    <n v="135.3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37.75"/>
    <n v="587.26200000000006"/>
    <m/>
    <m/>
    <n v="0"/>
    <s v=""/>
    <n v="0"/>
    <s v=""/>
    <m/>
    <s v=""/>
    <s v=""/>
    <s v=""/>
    <s v=""/>
    <s v=""/>
    <s v=""/>
    <s v=""/>
    <s v=""/>
    <s v=""/>
    <s v=""/>
    <x v="0"/>
    <s v=""/>
  </r>
  <r>
    <s v="VSTO"/>
    <n v="21.53"/>
    <s v="Swing"/>
    <n v="18.3005"/>
    <x v="149"/>
    <x v="1"/>
    <m/>
    <d v="2022-08-04T05:00:00"/>
    <d v="2022-08-04T05:00:00"/>
    <m/>
    <m/>
    <m/>
    <m/>
    <m/>
    <m/>
    <m/>
    <s v=""/>
    <n v="0"/>
    <n v="0"/>
    <s v=""/>
    <m/>
    <m/>
    <s v=""/>
    <s v=""/>
    <s v=""/>
    <s v=""/>
    <s v=""/>
    <m/>
    <m/>
    <n v="0"/>
    <n v="0"/>
    <n v="0"/>
    <m/>
    <m/>
    <n v="29.6"/>
    <s v=""/>
    <s v=""/>
    <n v="0"/>
    <n v="0"/>
    <n v="0.3748258244310264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8.12"/>
    <n v="41.983499999999999"/>
    <m/>
    <m/>
    <n v="0"/>
    <s v=""/>
    <n v="0"/>
    <s v=""/>
    <m/>
    <s v=""/>
    <s v=""/>
    <s v=""/>
    <s v=""/>
    <s v=""/>
    <s v=""/>
    <s v=""/>
    <s v=""/>
    <s v=""/>
    <s v=""/>
    <x v="0"/>
    <s v=""/>
  </r>
  <r>
    <s v="VWAPY"/>
    <n v="8.27"/>
    <s v="Position"/>
    <n v="7.0294999999999996"/>
    <x v="150"/>
    <x v="1"/>
    <m/>
    <m/>
    <m/>
    <m/>
    <m/>
    <m/>
    <m/>
    <m/>
    <m/>
    <m/>
    <s v=""/>
    <n v="0"/>
    <n v="0"/>
    <s v=""/>
    <n v="15"/>
    <m/>
    <s v=""/>
    <s v=""/>
    <s v=""/>
    <s v=""/>
    <s v=""/>
    <m/>
    <m/>
    <n v="0"/>
    <n v="0"/>
    <n v="0"/>
    <m/>
    <m/>
    <m/>
    <s v=""/>
    <s v=""/>
    <n v="0"/>
    <n v="0"/>
    <s v=""/>
    <m/>
    <m/>
    <m/>
    <m/>
    <s v="EquityOnly"/>
    <s v=""/>
    <m/>
    <m/>
    <m/>
    <s v=""/>
    <s v=""/>
    <n v="11.5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16.1265"/>
    <m/>
    <m/>
    <n v="0"/>
    <s v=""/>
    <n v="0"/>
    <s v=""/>
    <m/>
    <s v=""/>
    <s v=""/>
    <s v=""/>
    <s v=""/>
    <s v=""/>
    <s v=""/>
    <s v=""/>
    <s v=""/>
    <s v=""/>
    <s v=""/>
    <x v="0"/>
    <s v=""/>
  </r>
  <r>
    <s v="VXX"/>
    <n v="21.55"/>
    <s v="Hedge"/>
    <n v="18.317499999999999"/>
    <x v="35"/>
    <x v="8"/>
    <m/>
    <d v="2022-08-04T05:00:00"/>
    <d v="2022-08-04T05:00:00"/>
    <m/>
    <m/>
    <m/>
    <m/>
    <m/>
    <m/>
    <m/>
    <s v=""/>
    <n v="0"/>
    <n v="0"/>
    <s v=""/>
    <m/>
    <m/>
    <s v=""/>
    <s v=""/>
    <s v=""/>
    <s v=""/>
    <s v=""/>
    <m/>
    <m/>
    <n v="0"/>
    <n v="0"/>
    <n v="0"/>
    <m/>
    <m/>
    <s v="-"/>
    <s v=""/>
    <s v=""/>
    <n v="0"/>
    <n v="0"/>
    <s v=""/>
    <n v="23.5"/>
    <s v="T1"/>
    <n v="19.2"/>
    <s v="stop out"/>
    <s v="EquityOnly"/>
    <s v=""/>
    <m/>
    <m/>
    <m/>
    <s v=""/>
    <s v=""/>
    <n v="20.1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42.022500000000001"/>
    <m/>
    <m/>
    <n v="0"/>
    <s v=""/>
    <n v="0"/>
    <s v=""/>
    <m/>
    <s v=""/>
    <s v=""/>
    <s v=""/>
    <s v=""/>
    <s v=""/>
    <s v=""/>
    <s v=""/>
    <s v=""/>
    <s v=""/>
    <s v=""/>
    <x v="0"/>
    <s v=""/>
  </r>
  <r>
    <s v="VZ"/>
    <n v="44.29"/>
    <m/>
    <n v="37.646499999999996"/>
    <x v="132"/>
    <x v="2"/>
    <m/>
    <d v="2022-07-22T07:30:00"/>
    <d v="2022-07-22T07:30:00"/>
    <m/>
    <m/>
    <m/>
    <m/>
    <n v="6"/>
    <m/>
    <m/>
    <s v=""/>
    <n v="0"/>
    <n v="0"/>
    <s v=""/>
    <m/>
    <m/>
    <s v=""/>
    <s v=""/>
    <s v=""/>
    <s v=""/>
    <s v=""/>
    <n v="0.2"/>
    <s v="N/A"/>
    <n v="0"/>
    <n v="0"/>
    <n v="4.5156920298035676E-3"/>
    <s v="N/A"/>
    <m/>
    <n v="59.96"/>
    <s v=""/>
    <s v=""/>
    <n v="0"/>
    <n v="0"/>
    <n v="0.3538044705351095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6.961999999999996"/>
    <n v="86.365499999999997"/>
    <m/>
    <m/>
    <n v="0"/>
    <s v=""/>
    <n v="0"/>
    <s v=""/>
    <s v="{28D19BE9-4BAC-4BFA-AFE5-126E082505EC}"/>
    <s v=""/>
    <s v=""/>
    <s v=""/>
    <s v=""/>
    <s v=""/>
    <s v=""/>
    <s v=""/>
    <s v=""/>
    <s v=""/>
    <s v=""/>
    <x v="0"/>
    <s v=""/>
  </r>
  <r>
    <s v="WBA"/>
    <n v="52.79"/>
    <m/>
    <n v="44.871499999999997"/>
    <x v="151"/>
    <x v="14"/>
    <m/>
    <d v="2022-06-30T07:00:00"/>
    <d v="2022-06-30T07:00:00"/>
    <s v="Confirmed"/>
    <m/>
    <m/>
    <m/>
    <n v="1"/>
    <m/>
    <m/>
    <s v=""/>
    <n v="0"/>
    <n v="0"/>
    <s v=""/>
    <m/>
    <m/>
    <s v=""/>
    <s v=""/>
    <s v=""/>
    <s v=""/>
    <s v=""/>
    <n v="0.2"/>
    <s v="N/A"/>
    <n v="0"/>
    <n v="0"/>
    <n v="3.7885963250615649E-3"/>
    <s v="N/A"/>
    <m/>
    <n v="47.28"/>
    <s v=""/>
    <s v=""/>
    <n v="0"/>
    <n v="0"/>
    <n v="-0.10437582875544607"/>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4.915999999999997"/>
    <n v="102.9405"/>
    <m/>
    <m/>
    <n v="0"/>
    <s v=""/>
    <n v="0"/>
    <s v=""/>
    <s v="{C7FCB5C2-EA1D-47D3-8501-C593B7F9FC52}"/>
    <s v=""/>
    <s v=""/>
    <s v=""/>
    <s v=""/>
    <s v=""/>
    <s v=""/>
    <s v=""/>
    <s v=""/>
    <s v=""/>
    <s v=""/>
    <x v="0"/>
    <s v=""/>
  </r>
  <r>
    <s v="WBD"/>
    <n v="25.85"/>
    <m/>
    <n v="21.9725"/>
    <x v="32"/>
    <x v="9"/>
    <m/>
    <d v="2022-07-26T07:00:00"/>
    <d v="2022-07-26T07:00:00"/>
    <m/>
    <m/>
    <m/>
    <m/>
    <m/>
    <m/>
    <m/>
    <s v=""/>
    <n v="0"/>
    <n v="0"/>
    <s v=""/>
    <m/>
    <m/>
    <s v=""/>
    <s v=""/>
    <s v=""/>
    <s v=""/>
    <s v=""/>
    <m/>
    <m/>
    <n v="0"/>
    <n v="0"/>
    <n v="0"/>
    <m/>
    <m/>
    <n v="37.159999999999997"/>
    <s v=""/>
    <s v=""/>
    <n v="0"/>
    <n v="0"/>
    <n v="0.43752417794970966"/>
    <m/>
    <m/>
    <m/>
    <m/>
    <m/>
    <s v=""/>
    <m/>
    <m/>
    <m/>
    <s v=""/>
    <s v=""/>
    <n v="33.8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5.301999999999992"/>
    <n v="50.407499999999999"/>
    <m/>
    <m/>
    <n v="0"/>
    <s v=""/>
    <n v="0"/>
    <s v=""/>
    <m/>
    <s v=""/>
    <s v=""/>
    <s v=""/>
    <s v=""/>
    <s v=""/>
    <s v=""/>
    <s v=""/>
    <s v=""/>
    <s v=""/>
    <s v=""/>
    <x v="0"/>
    <s v=""/>
  </r>
  <r>
    <s v="WDAY"/>
    <n v="132.41999999999999"/>
    <m/>
    <n v="112.55699999999999"/>
    <x v="11"/>
    <x v="2"/>
    <m/>
    <d v="2022-08-25T16:00:00"/>
    <d v="2022-08-25T16:00:00"/>
    <m/>
    <m/>
    <m/>
    <m/>
    <m/>
    <m/>
    <m/>
    <s v=""/>
    <n v="0"/>
    <n v="0"/>
    <s v=""/>
    <m/>
    <m/>
    <s v=""/>
    <s v=""/>
    <s v=""/>
    <s v=""/>
    <s v=""/>
    <m/>
    <m/>
    <n v="0"/>
    <n v="0"/>
    <n v="0"/>
    <m/>
    <m/>
    <n v="191.81"/>
    <s v=""/>
    <s v=""/>
    <n v="0"/>
    <n v="0"/>
    <n v="0.44849720586014213"/>
    <m/>
    <m/>
    <m/>
    <m/>
    <m/>
    <s v=""/>
    <m/>
    <m/>
    <m/>
    <s v=""/>
    <s v=""/>
    <m/>
    <m/>
    <d v="2023-08-04T00:00:00"/>
    <m/>
    <m/>
    <m/>
    <m/>
    <m/>
    <m/>
    <n v="0"/>
    <n v="0"/>
    <m/>
    <s v=""/>
    <s v=""/>
    <s v=""/>
    <s v=""/>
    <d v="2023-08-04T00:00:00"/>
    <m/>
    <m/>
    <m/>
    <m/>
    <n v="2.2000000000000002"/>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82.21949999999998"/>
    <n v="258.21899999999999"/>
    <m/>
    <m/>
    <n v="0"/>
    <s v=""/>
    <n v="0"/>
    <s v=""/>
    <m/>
    <s v=""/>
    <s v=""/>
    <s v=""/>
    <s v=""/>
    <s v=""/>
    <s v=""/>
    <s v=""/>
    <s v=""/>
    <s v=""/>
    <s v=""/>
    <x v="0"/>
    <s v=""/>
  </r>
  <r>
    <s v="WEAT"/>
    <n v="26"/>
    <m/>
    <n v="22.099999999999998"/>
    <x v="35"/>
    <x v="8"/>
    <m/>
    <d v="2022-07-28T06:00:00"/>
    <d v="2022-07-28T06:00:00"/>
    <m/>
    <m/>
    <m/>
    <m/>
    <m/>
    <m/>
    <m/>
    <s v=""/>
    <n v="0"/>
    <n v="0"/>
    <s v=""/>
    <m/>
    <m/>
    <s v=""/>
    <s v=""/>
    <s v=""/>
    <s v=""/>
    <s v=""/>
    <m/>
    <m/>
    <n v="0"/>
    <n v="0"/>
    <n v="0"/>
    <m/>
    <m/>
    <m/>
    <s v=""/>
    <s v=""/>
    <n v="0"/>
    <n v="0"/>
    <s v=""/>
    <n v="12"/>
    <s v="assignment"/>
    <n v="12"/>
    <s v="free money"/>
    <s v="CCs"/>
    <s v=""/>
    <m/>
    <m/>
    <m/>
    <s v=""/>
    <s v=""/>
    <n v="11.2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50.699999999999996"/>
    <m/>
    <m/>
    <n v="0"/>
    <s v=""/>
    <n v="0"/>
    <s v=""/>
    <m/>
    <s v=""/>
    <s v=""/>
    <s v=""/>
    <s v=""/>
    <s v=""/>
    <s v=""/>
    <s v=""/>
    <s v=""/>
    <s v=""/>
    <s v=""/>
    <x v="0"/>
    <s v=""/>
  </r>
  <r>
    <s v="WFC"/>
    <n v="86.42"/>
    <m/>
    <n v="73.456999999999994"/>
    <x v="129"/>
    <x v="8"/>
    <m/>
    <d v="2022-07-14T07:10:00"/>
    <d v="2022-07-14T07:10:00"/>
    <m/>
    <m/>
    <m/>
    <m/>
    <m/>
    <m/>
    <m/>
    <s v=""/>
    <n v="0"/>
    <n v="0"/>
    <s v=""/>
    <m/>
    <m/>
    <s v=""/>
    <s v=""/>
    <s v=""/>
    <s v=""/>
    <s v=""/>
    <n v="0.2"/>
    <s v="N/A"/>
    <n v="0"/>
    <n v="0"/>
    <n v="2.3142791020597086E-3"/>
    <s v="N/A"/>
    <m/>
    <n v="38.090000000000003"/>
    <s v=""/>
    <s v=""/>
    <n v="0"/>
    <n v="0"/>
    <n v="-0.5592455450127285"/>
    <n v="1.52"/>
    <s v="assignment"/>
    <n v="1.52"/>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6.185500000000005"/>
    <n v="168.51900000000001"/>
    <m/>
    <m/>
    <n v="0"/>
    <s v=""/>
    <n v="0"/>
    <s v=""/>
    <s v="{66221A37-53A7-4B26-B95E-68CF763B5BE8}"/>
    <s v=""/>
    <s v=""/>
    <s v=""/>
    <s v=""/>
    <s v=""/>
    <s v=""/>
    <s v=""/>
    <s v=""/>
    <s v=""/>
    <s v=""/>
    <x v="0"/>
    <s v=""/>
  </r>
  <r>
    <s v="WFRD"/>
    <n v="87.11"/>
    <m/>
    <n v="74.043499999999995"/>
    <x v="41"/>
    <x v="10"/>
    <m/>
    <d v="2023-10-23T00:00:00"/>
    <m/>
    <m/>
    <m/>
    <m/>
    <m/>
    <m/>
    <m/>
    <m/>
    <s v=""/>
    <n v="0"/>
    <n v="0"/>
    <s v=""/>
    <m/>
    <n v="86.35"/>
    <s v=""/>
    <s v=""/>
    <s v=""/>
    <s v=""/>
    <s v=""/>
    <m/>
    <m/>
    <n v="0"/>
    <n v="0"/>
    <n v="0"/>
    <m/>
    <m/>
    <n v="107.33"/>
    <s v=""/>
    <s v=""/>
    <n v="0"/>
    <n v="0"/>
    <n v="0.23212030765698541"/>
    <n v="104"/>
    <s v="T1"/>
    <n v="90"/>
    <s v="stop out"/>
    <s v="EquityOnly"/>
    <s v=""/>
    <m/>
    <m/>
    <m/>
    <s v=""/>
    <s v=""/>
    <n v="93.0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01.9635"/>
    <n v="169.86449999999999"/>
    <m/>
    <m/>
    <n v="0"/>
    <s v=""/>
    <n v="0"/>
    <s v=""/>
    <m/>
    <s v=""/>
    <s v=""/>
    <s v=""/>
    <s v=""/>
    <s v=""/>
    <s v=""/>
    <s v=""/>
    <s v=""/>
    <s v=""/>
    <s v=""/>
    <x v="0"/>
    <s v=""/>
  </r>
  <r>
    <s v="WKHS"/>
    <n v="2.79"/>
    <s v="Swing"/>
    <n v="2.3715000000000002"/>
    <x v="119"/>
    <x v="1"/>
    <m/>
    <d v="2022-08-09T00:00:00"/>
    <d v="2022-08-09T00:00:00"/>
    <m/>
    <m/>
    <m/>
    <m/>
    <m/>
    <m/>
    <m/>
    <s v=""/>
    <n v="0"/>
    <n v="0"/>
    <s v=""/>
    <m/>
    <m/>
    <s v=""/>
    <s v=""/>
    <s v=""/>
    <s v=""/>
    <s v=""/>
    <m/>
    <m/>
    <n v="0"/>
    <n v="0"/>
    <n v="0"/>
    <m/>
    <m/>
    <n v="25.5"/>
    <s v=""/>
    <s v=""/>
    <n v="0"/>
    <n v="0"/>
    <n v="8.1397849462365599"/>
    <n v="30"/>
    <s v="max gain"/>
    <n v="24"/>
    <s v="Losses"/>
    <s v="BuC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224999999999998"/>
    <n v="5.4405000000000001"/>
    <m/>
    <m/>
    <n v="0"/>
    <s v=""/>
    <n v="0"/>
    <s v=""/>
    <m/>
    <s v=""/>
    <s v=""/>
    <s v=""/>
    <s v=""/>
    <s v=""/>
    <s v=""/>
    <s v=""/>
    <s v=""/>
    <s v=""/>
    <s v=""/>
    <x v="0"/>
    <s v=""/>
  </r>
  <r>
    <s v="ABBV"/>
    <n v="253.3"/>
    <s v="CORE"/>
    <n v="215.30500000000001"/>
    <x v="19"/>
    <x v="3"/>
    <m/>
    <d v="2022-07-29T07:45:00"/>
    <d v="2022-07-29T07:45:00"/>
    <m/>
    <m/>
    <n v="1"/>
    <b v="1"/>
    <m/>
    <m/>
    <m/>
    <s v=""/>
    <n v="0"/>
    <n v="0"/>
    <s v=""/>
    <m/>
    <m/>
    <s v=""/>
    <s v=""/>
    <s v=""/>
    <s v=""/>
    <s v=""/>
    <n v="5.2"/>
    <d v="2021-08-16T00:00:00"/>
    <n v="0"/>
    <n v="0"/>
    <n v="2.0529016975917885E-2"/>
    <d v="2021-07-14T00:00:00"/>
    <n v="0"/>
    <n v="167.88"/>
    <n v="-1"/>
    <s v=""/>
    <n v="0"/>
    <n v="0"/>
    <n v="-0.33722858270825112"/>
    <m/>
    <m/>
    <m/>
    <m/>
    <m/>
    <s v=""/>
    <s v="Ids 4/5"/>
    <m/>
    <m/>
    <s v=""/>
    <s v=""/>
    <n v="74.3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9.48599999999999"/>
    <n v="493.935"/>
    <m/>
    <m/>
    <n v="0"/>
    <s v=""/>
    <n v="0"/>
    <s v=""/>
    <s v="{951630D9-6DA4-4C4A-B8F7-7D37DAC65849}"/>
    <s v=""/>
    <s v=""/>
    <s v=""/>
    <s v=""/>
    <s v=""/>
    <s v=""/>
    <s v=""/>
    <s v=""/>
    <s v=""/>
    <s v=""/>
    <x v="0"/>
    <s v=""/>
  </r>
  <r>
    <s v="WMT"/>
    <n v="109.33"/>
    <s v="CORE"/>
    <n v="92.930499999999995"/>
    <x v="44"/>
    <x v="14"/>
    <m/>
    <d v="2022-08-16T07:00:00"/>
    <d v="2022-08-16T07:00:00"/>
    <m/>
    <m/>
    <m/>
    <m/>
    <m/>
    <m/>
    <m/>
    <s v=""/>
    <n v="0"/>
    <n v="0"/>
    <s v=""/>
    <m/>
    <m/>
    <s v=""/>
    <s v=""/>
    <s v=""/>
    <s v=""/>
    <s v=""/>
    <n v="2.2000000000000002"/>
    <d v="2021-09-07T00:00:00"/>
    <n v="0"/>
    <n v="0"/>
    <n v="2.0122564712338791E-2"/>
    <d v="2021-08-12T00:00:00"/>
    <n v="125"/>
    <n v="163.24"/>
    <n v="0.14332754047379495"/>
    <s v=""/>
    <n v="0"/>
    <n v="0"/>
    <n v="0.49309430165553836"/>
    <n v="145"/>
    <s v="free money"/>
    <n v="145"/>
    <s v="Assignment"/>
    <s v="SPs"/>
    <s v=""/>
    <m/>
    <m/>
    <m/>
    <s v=""/>
    <s v=""/>
    <n v="140.53"/>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55.078"/>
    <n v="213.1935"/>
    <m/>
    <m/>
    <n v="0"/>
    <s v=""/>
    <n v="0"/>
    <s v=""/>
    <s v="{A769CD2C-BBFB-4AF8-9A47-8A613340E2F9}"/>
    <s v=""/>
    <s v=""/>
    <s v=""/>
    <s v=""/>
    <s v=""/>
    <s v=""/>
    <s v=""/>
    <s v=""/>
    <s v=""/>
    <s v=""/>
    <x v="0"/>
    <s v=""/>
  </r>
  <r>
    <s v="WORK"/>
    <n v="31.66"/>
    <s v="ST"/>
    <n v="26.910999999999998"/>
    <x v="28"/>
    <x v="2"/>
    <m/>
    <d v="2022-08-16T07:00:00"/>
    <d v="2022-08-16T07:00:00"/>
    <m/>
    <m/>
    <m/>
    <m/>
    <m/>
    <m/>
    <m/>
    <s v=""/>
    <n v="0"/>
    <n v="0"/>
    <s v=""/>
    <m/>
    <m/>
    <s v=""/>
    <s v=""/>
    <s v=""/>
    <s v=""/>
    <s v=""/>
    <m/>
    <m/>
    <n v="0"/>
    <n v="0"/>
    <n v="0"/>
    <m/>
    <m/>
    <n v="26.2"/>
    <s v=""/>
    <s v=""/>
    <n v="0"/>
    <n v="0"/>
    <n v="-0.17245735944409352"/>
    <n v="30"/>
    <s v="free money"/>
    <n v="30"/>
    <s v="Assignment"/>
    <s v="SPs"/>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4.889999999999997"/>
    <n v="61.737000000000002"/>
    <m/>
    <m/>
    <n v="0"/>
    <s v=""/>
    <n v="0"/>
    <s v=""/>
    <s v="{D09D7D74-3432-48E7-BCE6-91D1B46CA895}"/>
    <s v=""/>
    <s v=""/>
    <s v=""/>
    <s v=""/>
    <s v=""/>
    <s v=""/>
    <s v=""/>
    <s v=""/>
    <s v=""/>
    <s v=""/>
    <x v="0"/>
    <s v=""/>
  </r>
  <r>
    <s v="WPM"/>
    <n v="111.36"/>
    <s v="MT"/>
    <n v="94.655999999999992"/>
    <x v="12"/>
    <x v="0"/>
    <m/>
    <d v="2022-11-03T17:10:00"/>
    <d v="2022-11-03T17:10:00"/>
    <s v="Confirmed"/>
    <m/>
    <m/>
    <m/>
    <m/>
    <m/>
    <m/>
    <s v=""/>
    <n v="0"/>
    <n v="0"/>
    <s v=""/>
    <m/>
    <m/>
    <s v=""/>
    <s v=""/>
    <s v=""/>
    <s v=""/>
    <s v=""/>
    <m/>
    <m/>
    <n v="0"/>
    <n v="0"/>
    <n v="0"/>
    <m/>
    <m/>
    <n v="60.45"/>
    <s v=""/>
    <s v=""/>
    <n v="0"/>
    <n v="0"/>
    <n v="-0.45716594827586204"/>
    <n v="31"/>
    <s v="assignment"/>
    <n v="31"/>
    <s v="free money"/>
    <s v="CCs"/>
    <s v=""/>
    <m/>
    <m/>
    <m/>
    <s v=""/>
    <s v=""/>
    <n v="30.4"/>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7.427500000000002"/>
    <n v="217.15199999999999"/>
    <m/>
    <m/>
    <n v="0"/>
    <s v=""/>
    <n v="0"/>
    <s v=""/>
    <m/>
    <s v=""/>
    <s v=""/>
    <s v=""/>
    <s v=""/>
    <s v=""/>
    <s v=""/>
    <s v=""/>
    <s v=""/>
    <s v=""/>
    <s v=""/>
    <x v="0"/>
    <s v=""/>
  </r>
  <r>
    <s v="WRK"/>
    <n v="34.32"/>
    <m/>
    <n v="29.172000000000001"/>
    <x v="152"/>
    <x v="13"/>
    <m/>
    <d v="2022-08-04T06:30:00"/>
    <d v="2022-08-04T06:30:00"/>
    <m/>
    <m/>
    <m/>
    <m/>
    <m/>
    <m/>
    <m/>
    <s v=""/>
    <n v="0"/>
    <n v="0"/>
    <s v=""/>
    <m/>
    <m/>
    <s v=""/>
    <s v=""/>
    <s v=""/>
    <s v=""/>
    <s v=""/>
    <m/>
    <m/>
    <n v="0"/>
    <n v="0"/>
    <n v="0"/>
    <m/>
    <n v="75"/>
    <n v="41.08"/>
    <n v="1.1853146853146852"/>
    <s v=""/>
    <n v="0"/>
    <n v="0"/>
    <n v="0.1969696969696969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9.025999999999996"/>
    <n v="66.923999999999992"/>
    <m/>
    <m/>
    <n v="0"/>
    <s v=""/>
    <n v="0"/>
    <s v=""/>
    <s v="{4E831A2F-1446-406E-A549-15D3D10D1C74}"/>
    <s v=""/>
    <s v=""/>
    <s v=""/>
    <s v=""/>
    <s v=""/>
    <s v=""/>
    <s v=""/>
    <s v=""/>
    <s v=""/>
    <s v=""/>
    <x v="0"/>
    <s v=""/>
  </r>
  <r>
    <s v="WRK"/>
    <n v="34.32"/>
    <m/>
    <n v="29.172000000000001"/>
    <x v="152"/>
    <x v="13"/>
    <m/>
    <d v="2022-08-04T06:30:00"/>
    <d v="2022-08-04T06:30:00"/>
    <m/>
    <m/>
    <m/>
    <m/>
    <m/>
    <m/>
    <m/>
    <s v=""/>
    <n v="0"/>
    <n v="0"/>
    <s v=""/>
    <m/>
    <m/>
    <s v=""/>
    <s v=""/>
    <s v=""/>
    <s v=""/>
    <s v=""/>
    <m/>
    <m/>
    <n v="0"/>
    <n v="0"/>
    <n v="0"/>
    <m/>
    <m/>
    <n v="41.08"/>
    <s v=""/>
    <s v=""/>
    <n v="0"/>
    <n v="0"/>
    <n v="0.19696969696969691"/>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9.025999999999996"/>
    <n v="66.923999999999992"/>
    <m/>
    <m/>
    <n v="0"/>
    <s v=""/>
    <n v="0"/>
    <s v=""/>
    <s v="{30069EA6-7C6A-49DC-A2DB-1095EFC9DDE8}"/>
    <s v=""/>
    <s v=""/>
    <s v=""/>
    <s v=""/>
    <s v=""/>
    <s v=""/>
    <s v=""/>
    <s v=""/>
    <s v=""/>
    <s v=""/>
    <x v="0"/>
    <s v=""/>
  </r>
  <r>
    <s v="WSM"/>
    <n v="222.34"/>
    <m/>
    <n v="188.989"/>
    <x v="153"/>
    <x v="14"/>
    <m/>
    <d v="2022-08-24T16:15:00"/>
    <d v="2022-08-24T16:15:00"/>
    <m/>
    <s v="ex-div"/>
    <m/>
    <m/>
    <n v="2"/>
    <m/>
    <m/>
    <s v=""/>
    <n v="0"/>
    <n v="0"/>
    <s v=""/>
    <m/>
    <m/>
    <s v=""/>
    <s v=""/>
    <s v=""/>
    <s v=""/>
    <s v=""/>
    <n v="1.56"/>
    <d v="2017-05-26T00:00:00"/>
    <n v="0"/>
    <n v="0"/>
    <n v="7.0162813708734371E-3"/>
    <d v="2017-04-21T00:00:00"/>
    <m/>
    <n v="45.61"/>
    <s v=""/>
    <s v=""/>
    <n v="0"/>
    <n v="0"/>
    <n v="-0.79486372222721968"/>
    <n v="52.5"/>
    <s v="ITM"/>
    <n v="47.5"/>
    <s v="Losses"/>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3.329499999999996"/>
    <n v="433.56299999999999"/>
    <m/>
    <m/>
    <n v="0"/>
    <s v=""/>
    <n v="0"/>
    <s v=""/>
    <s v="{8DFB5D95-3A80-492C-AFB8-93DFD8ACD79E}"/>
    <s v=""/>
    <s v=""/>
    <s v=""/>
    <s v=""/>
    <s v=""/>
    <s v=""/>
    <s v=""/>
    <s v=""/>
    <s v=""/>
    <s v=""/>
    <x v="0"/>
    <s v=""/>
  </r>
  <r>
    <s v="WULF"/>
    <n v="19.489999999999998"/>
    <m/>
    <n v="16.566499999999998"/>
    <x v="40"/>
    <x v="8"/>
    <m/>
    <m/>
    <m/>
    <m/>
    <m/>
    <m/>
    <m/>
    <m/>
    <m/>
    <m/>
    <s v=""/>
    <n v="0"/>
    <n v="0"/>
    <s v=""/>
    <n v="9.5"/>
    <n v="6"/>
    <s v=""/>
    <s v=""/>
    <s v=""/>
    <s v=""/>
    <s v=""/>
    <m/>
    <m/>
    <n v="0"/>
    <n v="0"/>
    <n v="0"/>
    <m/>
    <m/>
    <m/>
    <s v=""/>
    <s v=""/>
    <n v="0"/>
    <n v="0"/>
    <s v=""/>
    <m/>
    <s v="free money"/>
    <m/>
    <s v="Assignment"/>
    <s v="ConvSpr"/>
    <s v=""/>
    <m/>
    <m/>
    <m/>
    <s v=""/>
    <s v=""/>
    <n v="3.87"/>
    <s v="WILL CALL"/>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8.005499999999998"/>
    <m/>
    <m/>
    <n v="0"/>
    <s v=""/>
    <n v="0"/>
    <s v=""/>
    <m/>
    <s v=""/>
    <s v=""/>
    <s v=""/>
    <s v=""/>
    <s v=""/>
    <s v=""/>
    <s v=""/>
    <s v=""/>
    <s v=""/>
    <s v=""/>
    <x v="0"/>
    <s v=""/>
  </r>
  <r>
    <s v="DEFT_1"/>
    <n v="0.39460000000000001"/>
    <m/>
    <n v="0.33540999999999999"/>
    <x v="40"/>
    <x v="8"/>
    <m/>
    <m/>
    <m/>
    <m/>
    <m/>
    <m/>
    <m/>
    <m/>
    <n v="1000"/>
    <n v="2142.4"/>
    <n v="2.1424000000000003"/>
    <n v="394.6"/>
    <n v="-1747.8000000000002"/>
    <n v="-0.8158140403286035"/>
    <m/>
    <m/>
    <s v=""/>
    <s v=""/>
    <s v=""/>
    <s v=""/>
    <s v=""/>
    <m/>
    <m/>
    <n v="0"/>
    <n v="0"/>
    <n v="0"/>
    <m/>
    <m/>
    <m/>
    <s v=""/>
    <s v=""/>
    <n v="0"/>
    <n v="0"/>
    <s v=""/>
    <m/>
    <m/>
    <m/>
    <m/>
    <s v="EquityOnly"/>
    <s v=""/>
    <m/>
    <m/>
    <m/>
    <s v=""/>
    <s v=""/>
    <n v="2.9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0"/>
    <m/>
    <m/>
    <m/>
    <m/>
    <m/>
    <m/>
    <b v="0"/>
    <b v="0"/>
    <m/>
    <s v=""/>
    <s v=""/>
    <n v="0"/>
    <s v=""/>
    <s v=""/>
    <n v="0"/>
    <m/>
    <m/>
    <m/>
    <n v="0"/>
    <m/>
    <s v=""/>
    <s v=""/>
    <n v="0"/>
    <n v="0"/>
    <m/>
    <s v=""/>
    <s v=""/>
    <s v=""/>
    <s v=""/>
    <s v=""/>
    <s v=""/>
    <s v=""/>
    <s v=""/>
    <s v=""/>
    <n v="0"/>
    <s v=""/>
    <s v=""/>
    <s v=""/>
    <s v=""/>
    <s v=""/>
    <s v=""/>
    <s v=""/>
    <s v=""/>
    <n v="200"/>
    <n v="0"/>
    <n v="0.76946999999999999"/>
    <m/>
    <m/>
    <n v="0"/>
    <n v="0"/>
    <n v="0"/>
    <s v=""/>
    <m/>
    <s v=""/>
    <s v=""/>
    <s v=""/>
    <s v=""/>
    <s v=""/>
    <s v=""/>
    <s v=""/>
    <s v=""/>
    <s v=""/>
    <s v="LNG "/>
    <x v="23"/>
    <n v="1.0084380431933822E-2"/>
  </r>
  <r>
    <s v="WYNN"/>
    <n v="94.37"/>
    <m/>
    <n v="80.214500000000001"/>
    <x v="50"/>
    <x v="14"/>
    <m/>
    <d v="2022-08-09T16:00:00"/>
    <d v="2022-08-09T16:00:00"/>
    <m/>
    <m/>
    <m/>
    <m/>
    <n v="1"/>
    <m/>
    <m/>
    <s v=""/>
    <n v="0"/>
    <n v="0"/>
    <s v=""/>
    <m/>
    <m/>
    <s v=""/>
    <s v=""/>
    <s v=""/>
    <s v=""/>
    <s v=""/>
    <n v="2"/>
    <d v="2017-02-28T00:00:00"/>
    <n v="0"/>
    <n v="0"/>
    <n v="2.119317579739324E-2"/>
    <d v="2017-05-08T00:00:00"/>
    <m/>
    <n v="117.81"/>
    <s v=""/>
    <s v=""/>
    <n v="0"/>
    <n v="0"/>
    <n v="0.24838402034544874"/>
    <n v="95"/>
    <s v="Losses"/>
    <n v="95"/>
    <s v="IT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1.9195"/>
    <n v="184.0215"/>
    <m/>
    <m/>
    <n v="0"/>
    <s v=""/>
    <n v="0"/>
    <s v=""/>
    <s v="{456FBE52-85CA-4A47-93DD-4C3ABD3695BF}"/>
    <s v=""/>
    <s v=""/>
    <s v=""/>
    <s v=""/>
    <s v=""/>
    <s v=""/>
    <s v=""/>
    <s v=""/>
    <s v=""/>
    <s v=""/>
    <x v="0"/>
    <s v=""/>
  </r>
  <r>
    <s v="X"/>
    <n v="32.5"/>
    <s v="Prem"/>
    <n v="27.625"/>
    <x v="54"/>
    <x v="0"/>
    <m/>
    <d v="2022-07-28T16:40:00"/>
    <d v="2022-07-28T16:40:00"/>
    <m/>
    <m/>
    <m/>
    <m/>
    <m/>
    <m/>
    <m/>
    <s v=""/>
    <n v="0"/>
    <n v="0"/>
    <s v=""/>
    <m/>
    <m/>
    <s v=""/>
    <s v=""/>
    <s v=""/>
    <s v=""/>
    <s v=""/>
    <m/>
    <m/>
    <n v="0"/>
    <n v="0"/>
    <n v="0"/>
    <m/>
    <m/>
    <n v="20.420000000000002"/>
    <s v=""/>
    <s v=""/>
    <n v="0"/>
    <n v="0"/>
    <n v="-0.37169230769230766"/>
    <n v="23"/>
    <s v="assignment"/>
    <n v="23"/>
    <s v="free money"/>
    <s v="CCs"/>
    <s v=""/>
    <m/>
    <m/>
    <m/>
    <s v=""/>
    <s v=""/>
    <n v="20.22"/>
    <s v="EXPIRE"/>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9.399000000000001"/>
    <n v="63.375"/>
    <m/>
    <m/>
    <n v="0"/>
    <s v=""/>
    <n v="0"/>
    <s v=""/>
    <m/>
    <s v=""/>
    <s v=""/>
    <s v=""/>
    <s v=""/>
    <s v=""/>
    <s v=""/>
    <s v=""/>
    <s v=""/>
    <s v=""/>
    <s v=""/>
    <x v="0"/>
    <s v=""/>
  </r>
  <r>
    <s v="XBI"/>
    <n v="152.11000000000001"/>
    <m/>
    <n v="129.29349999999999"/>
    <x v="35"/>
    <x v="8"/>
    <m/>
    <d v="2022-07-28T16:40:00"/>
    <d v="2022-07-28T16:40:00"/>
    <m/>
    <m/>
    <m/>
    <m/>
    <m/>
    <m/>
    <m/>
    <s v=""/>
    <n v="0"/>
    <n v="0"/>
    <s v=""/>
    <m/>
    <m/>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296.61450000000002"/>
    <m/>
    <m/>
    <n v="0"/>
    <s v=""/>
    <n v="0"/>
    <s v=""/>
    <s v="{E8417F80-F8A5-4792-9E0E-C87C9D372818}"/>
    <s v=""/>
    <s v=""/>
    <s v=""/>
    <s v=""/>
    <s v=""/>
    <s v=""/>
    <s v=""/>
    <s v=""/>
    <s v=""/>
    <s v=""/>
    <x v="0"/>
    <s v=""/>
  </r>
  <r>
    <s v="XEC"/>
    <n v="43.02"/>
    <m/>
    <n v="36.567"/>
    <x v="83"/>
    <x v="0"/>
    <m/>
    <d v="2022-07-28T16:40:00"/>
    <d v="2022-07-28T16:40:00"/>
    <m/>
    <m/>
    <m/>
    <m/>
    <m/>
    <m/>
    <m/>
    <s v=""/>
    <n v="0"/>
    <n v="0"/>
    <s v=""/>
    <m/>
    <m/>
    <s v=""/>
    <s v=""/>
    <s v=""/>
    <s v=""/>
    <s v=""/>
    <n v="0.32"/>
    <d v="2017-09-01T00:00:00"/>
    <n v="0"/>
    <n v="0"/>
    <n v="7.4384007438400741E-3"/>
    <d v="2018-05-10T00:00:00"/>
    <n v="130"/>
    <n v="34.26"/>
    <n v="2.02185030218503"/>
    <s v=""/>
    <n v="0"/>
    <n v="0"/>
    <n v="-0.2036262203626221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2.546999999999997"/>
    <n v="83.88900000000001"/>
    <m/>
    <m/>
    <n v="0"/>
    <s v=""/>
    <n v="0"/>
    <s v=""/>
    <s v="{69B5DD53-AC03-4613-B55D-AE8EC0494241}"/>
    <s v=""/>
    <s v=""/>
    <s v=""/>
    <s v=""/>
    <s v=""/>
    <s v=""/>
    <s v=""/>
    <s v=""/>
    <s v=""/>
    <s v=""/>
    <x v="0"/>
    <s v=""/>
  </r>
  <r>
    <s v="XHB"/>
    <n v="106.92"/>
    <m/>
    <n v="90.882000000000005"/>
    <x v="35"/>
    <x v="8"/>
    <m/>
    <d v="2022-07-28T16:40:00"/>
    <d v="2022-07-28T16:40:00"/>
    <m/>
    <m/>
    <m/>
    <m/>
    <m/>
    <m/>
    <m/>
    <s v=""/>
    <n v="0"/>
    <n v="0"/>
    <s v=""/>
    <n v="65"/>
    <n v="56.2"/>
    <s v=""/>
    <s v=""/>
    <s v=""/>
    <s v=""/>
    <s v=""/>
    <m/>
    <m/>
    <n v="0"/>
    <n v="0"/>
    <n v="0"/>
    <m/>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e v="#VALUE!"/>
    <n v="208.494"/>
    <m/>
    <m/>
    <n v="0"/>
    <s v=""/>
    <n v="0"/>
    <s v=""/>
    <m/>
    <s v=""/>
    <s v=""/>
    <s v=""/>
    <s v=""/>
    <s v=""/>
    <s v=""/>
    <s v=""/>
    <s v=""/>
    <s v=""/>
    <s v=""/>
    <x v="0"/>
    <s v=""/>
  </r>
  <r>
    <s v="XLB"/>
    <n v="50.82"/>
    <m/>
    <n v="43.196999999999996"/>
    <x v="35"/>
    <x v="8"/>
    <m/>
    <d v="2022-07-28T16:40:00"/>
    <d v="2022-07-28T16:40:00"/>
    <m/>
    <m/>
    <m/>
    <m/>
    <m/>
    <m/>
    <m/>
    <s v=""/>
    <n v="0"/>
    <n v="0"/>
    <s v=""/>
    <m/>
    <m/>
    <s v=""/>
    <s v=""/>
    <s v=""/>
    <s v=""/>
    <s v=""/>
    <n v="0"/>
    <s v="N/A"/>
    <n v="0"/>
    <n v="0"/>
    <n v="0"/>
    <s v="N/A"/>
    <m/>
    <s v="-"/>
    <s v=""/>
    <s v=""/>
    <n v="0"/>
    <n v="0"/>
    <s v=""/>
    <m/>
    <m/>
    <m/>
    <m/>
    <m/>
    <s v=""/>
    <m/>
    <m/>
    <m/>
    <s v=""/>
    <s v=""/>
    <n v="92.2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n v="89"/>
    <n v="0"/>
    <d v="2023-05-30T00:00:00"/>
    <m/>
    <n v="4.95"/>
    <b v="0"/>
    <b v="0"/>
    <m/>
    <s v=""/>
    <s v=""/>
    <n v="0"/>
    <n v="45.87"/>
    <s v=""/>
    <n v="0"/>
    <m/>
    <m/>
    <m/>
    <n v="0"/>
    <m/>
    <s v=""/>
    <s v=""/>
    <n v="0"/>
    <n v="0"/>
    <m/>
    <s v=""/>
    <s v=""/>
    <s v=""/>
    <s v=""/>
    <s v=""/>
    <s v=""/>
    <s v=""/>
    <s v=""/>
    <s v=""/>
    <n v="38.18"/>
    <n v="0.4140548747424358"/>
    <s v=""/>
    <s v=""/>
    <s v=""/>
    <s v=""/>
    <s v=""/>
    <s v=""/>
    <s v=""/>
    <n v="0"/>
    <e v="#VALUE!"/>
    <n v="99.099000000000004"/>
    <m/>
    <m/>
    <n v="0"/>
    <s v=""/>
    <n v="0"/>
    <s v=""/>
    <s v="{CFC5EA32-6373-4358-BE09-E765FC1AB4F8}"/>
    <s v=""/>
    <s v=""/>
    <s v=""/>
    <s v=""/>
    <s v=""/>
    <s v=""/>
    <s v=""/>
    <s v=""/>
    <s v=""/>
    <s v=""/>
    <x v="0"/>
    <s v=""/>
  </r>
  <r>
    <s v="XLE"/>
    <n v="59.2"/>
    <s v="Swing"/>
    <n v="50.32"/>
    <x v="35"/>
    <x v="8"/>
    <m/>
    <d v="2022-07-28T16:40:00"/>
    <d v="2022-07-28T16:40:00"/>
    <m/>
    <m/>
    <m/>
    <m/>
    <n v="3"/>
    <m/>
    <m/>
    <s v=""/>
    <n v="0"/>
    <n v="0"/>
    <s v=""/>
    <m/>
    <m/>
    <s v=""/>
    <s v=""/>
    <s v=""/>
    <s v=""/>
    <s v=""/>
    <m/>
    <s v="N/A"/>
    <n v="0"/>
    <n v="0"/>
    <n v="0"/>
    <m/>
    <m/>
    <s v="-"/>
    <s v=""/>
    <s v=""/>
    <n v="0"/>
    <n v="0"/>
    <s v=""/>
    <m/>
    <m/>
    <m/>
    <m/>
    <m/>
    <s v=""/>
    <m/>
    <n v="3.8820000000000001"/>
    <d v="2021-04-16T00:00:00"/>
    <n v="55.318000000000005"/>
    <n v="63.082000000000001"/>
    <n v="92.2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n v="95"/>
    <n v="0"/>
    <d v="2023-05-30T00:00:00"/>
    <m/>
    <n v="1.77"/>
    <b v="0"/>
    <b v="0"/>
    <m/>
    <s v=""/>
    <s v=""/>
    <n v="0"/>
    <n v="57.43"/>
    <s v=""/>
    <n v="0"/>
    <m/>
    <m/>
    <m/>
    <n v="0"/>
    <m/>
    <s v=""/>
    <s v=""/>
    <n v="0"/>
    <n v="0"/>
    <m/>
    <s v=""/>
    <s v=""/>
    <s v=""/>
    <s v=""/>
    <s v=""/>
    <s v=""/>
    <s v=""/>
    <s v=""/>
    <s v=""/>
    <n v="35.799999999999997"/>
    <n v="0.38824422513827134"/>
    <s v=""/>
    <s v=""/>
    <s v=""/>
    <s v=""/>
    <s v=""/>
    <s v=""/>
    <s v=""/>
    <n v="0"/>
    <e v="#VALUE!"/>
    <n v="115.44"/>
    <m/>
    <m/>
    <n v="0"/>
    <s v=""/>
    <n v="0"/>
    <s v=""/>
    <s v="{20D1FF43-8A60-43B2-89B2-124D7350A485}"/>
    <s v=""/>
    <s v=""/>
    <s v=""/>
    <s v=""/>
    <s v=""/>
    <s v=""/>
    <s v=""/>
    <s v=""/>
    <s v=""/>
    <s v=""/>
    <x v="0"/>
    <s v=""/>
  </r>
  <r>
    <s v="XLI"/>
    <n v="178.85"/>
    <m/>
    <n v="152.02249999999998"/>
    <x v="35"/>
    <x v="8"/>
    <m/>
    <d v="2022-07-28T16:40:00"/>
    <d v="2022-07-28T16:40:00"/>
    <m/>
    <m/>
    <m/>
    <m/>
    <n v="1"/>
    <m/>
    <m/>
    <s v=""/>
    <n v="0"/>
    <n v="0"/>
    <s v=""/>
    <m/>
    <m/>
    <s v=""/>
    <s v=""/>
    <s v=""/>
    <s v=""/>
    <s v=""/>
    <n v="0"/>
    <s v="N/A"/>
    <n v="0"/>
    <n v="0"/>
    <n v="0"/>
    <s v="N/A"/>
    <m/>
    <s v="-"/>
    <s v=""/>
    <s v=""/>
    <n v="0"/>
    <n v="0"/>
    <s v=""/>
    <m/>
    <m/>
    <m/>
    <m/>
    <m/>
    <s v=""/>
    <m/>
    <m/>
    <m/>
    <s v=""/>
    <s v=""/>
    <n v="532.09"/>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n v="530"/>
    <m/>
    <d v="2023-05-30T00:00:00"/>
    <m/>
    <n v="26.5"/>
    <b v="0"/>
    <b v="0"/>
    <m/>
    <s v=""/>
    <s v=""/>
    <n v="0"/>
    <n v="152.35"/>
    <s v=""/>
    <n v="0"/>
    <m/>
    <m/>
    <m/>
    <n v="0"/>
    <m/>
    <s v=""/>
    <s v=""/>
    <n v="0"/>
    <n v="0"/>
    <m/>
    <s v=""/>
    <s v=""/>
    <s v=""/>
    <s v=""/>
    <s v=""/>
    <s v=""/>
    <s v=""/>
    <s v=""/>
    <s v=""/>
    <n v="351.15"/>
    <n v="0.65994474618955434"/>
    <s v=""/>
    <s v=""/>
    <s v=""/>
    <s v=""/>
    <s v=""/>
    <s v=""/>
    <s v=""/>
    <n v="0"/>
    <e v="#VALUE!"/>
    <n v="348.75749999999999"/>
    <m/>
    <m/>
    <n v="0"/>
    <s v=""/>
    <n v="0"/>
    <s v=""/>
    <s v="{37E48C14-3372-4164-BF19-0790C8607E6A}"/>
    <s v=""/>
    <s v=""/>
    <s v=""/>
    <s v=""/>
    <s v=""/>
    <s v=""/>
    <s v=""/>
    <s v=""/>
    <s v=""/>
    <s v=""/>
    <x v="0"/>
    <s v=""/>
  </r>
  <r>
    <s v="XLNX"/>
    <n v="104.23"/>
    <m/>
    <n v="88.595500000000001"/>
    <x v="154"/>
    <x v="2"/>
    <m/>
    <d v="2022-07-28T16:40:00"/>
    <d v="2022-07-28T16:40:00"/>
    <m/>
    <m/>
    <m/>
    <m/>
    <n v="3"/>
    <m/>
    <m/>
    <s v=""/>
    <n v="0"/>
    <n v="0"/>
    <s v=""/>
    <m/>
    <m/>
    <s v=""/>
    <s v=""/>
    <s v=""/>
    <s v=""/>
    <s v=""/>
    <n v="1.32"/>
    <d v="2017-02-23T00:00:00"/>
    <n v="0"/>
    <n v="0"/>
    <n v="1.2664300105535835E-2"/>
    <d v="2017-05-04T00:00:00"/>
    <m/>
    <n v="95.95"/>
    <s v=""/>
    <s v=""/>
    <n v="0"/>
    <n v="0"/>
    <n v="-7.9439700661997514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91.152500000000003"/>
    <n v="203.24850000000001"/>
    <m/>
    <m/>
    <n v="0"/>
    <s v=""/>
    <n v="0"/>
    <s v=""/>
    <s v="{3858ABAB-2D02-4ACA-B3AF-E89E3BA4B337}"/>
    <s v=""/>
    <s v=""/>
    <s v=""/>
    <s v=""/>
    <s v=""/>
    <s v=""/>
    <s v=""/>
    <s v=""/>
    <s v=""/>
    <s v=""/>
    <x v="0"/>
    <s v=""/>
  </r>
  <r>
    <s v="XLU"/>
    <n v="45.93"/>
    <s v="MT"/>
    <n v="39.040500000000002"/>
    <x v="35"/>
    <x v="8"/>
    <m/>
    <d v="2022-07-28T16:40:00"/>
    <d v="2022-07-28T16:40:00"/>
    <m/>
    <m/>
    <m/>
    <m/>
    <m/>
    <m/>
    <m/>
    <s v=""/>
    <n v="0"/>
    <n v="0"/>
    <s v=""/>
    <m/>
    <m/>
    <s v=""/>
    <s v=""/>
    <s v=""/>
    <s v=""/>
    <s v=""/>
    <n v="0"/>
    <s v="N/A"/>
    <n v="0"/>
    <n v="0"/>
    <n v="0"/>
    <s v="N/A"/>
    <m/>
    <s v="-"/>
    <s v=""/>
    <s v=""/>
    <n v="0"/>
    <n v="0"/>
    <s v=""/>
    <m/>
    <m/>
    <m/>
    <m/>
    <m/>
    <s v=""/>
    <m/>
    <m/>
    <m/>
    <s v=""/>
    <s v=""/>
    <n v="66.4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n v="64"/>
    <m/>
    <d v="2023-06-15T00:00:00"/>
    <m/>
    <n v="3.8"/>
    <b v="0"/>
    <b v="0"/>
    <m/>
    <s v=""/>
    <s v=""/>
    <n v="0"/>
    <n v="42.13"/>
    <s v=""/>
    <n v="0"/>
    <m/>
    <m/>
    <m/>
    <n v="0"/>
    <m/>
    <s v=""/>
    <s v=""/>
    <n v="0"/>
    <n v="0"/>
    <m/>
    <s v=""/>
    <s v=""/>
    <s v=""/>
    <s v=""/>
    <s v=""/>
    <s v=""/>
    <s v=""/>
    <s v=""/>
    <s v=""/>
    <n v="18.07"/>
    <n v="0.27205660945498344"/>
    <s v=""/>
    <s v=""/>
    <s v=""/>
    <s v=""/>
    <s v=""/>
    <s v=""/>
    <s v=""/>
    <n v="0"/>
    <e v="#VALUE!"/>
    <n v="89.563499999999991"/>
    <m/>
    <m/>
    <n v="0"/>
    <s v=""/>
    <n v="0"/>
    <s v=""/>
    <s v="{6CA8D63A-B394-4F6A-B152-E4EA891C42B5}"/>
    <s v=""/>
    <s v=""/>
    <s v=""/>
    <s v=""/>
    <s v=""/>
    <s v=""/>
    <s v=""/>
    <s v=""/>
    <s v=""/>
    <s v=""/>
    <x v="0"/>
    <s v=""/>
  </r>
  <r>
    <s v="XLV"/>
    <n v="159.43"/>
    <m/>
    <n v="135.5155"/>
    <x v="35"/>
    <x v="8"/>
    <m/>
    <d v="2022-07-28T16:40:00"/>
    <d v="2022-07-28T16:40:00"/>
    <m/>
    <m/>
    <m/>
    <m/>
    <m/>
    <m/>
    <m/>
    <s v=""/>
    <n v="0"/>
    <n v="0"/>
    <s v=""/>
    <m/>
    <m/>
    <s v=""/>
    <s v=""/>
    <s v=""/>
    <s v=""/>
    <s v=""/>
    <m/>
    <m/>
    <n v="0"/>
    <n v="0"/>
    <n v="0"/>
    <m/>
    <m/>
    <m/>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310.88850000000002"/>
    <m/>
    <m/>
    <n v="0"/>
    <s v=""/>
    <n v="0"/>
    <s v=""/>
    <m/>
    <s v=""/>
    <s v=""/>
    <s v=""/>
    <s v=""/>
    <s v=""/>
    <s v=""/>
    <s v=""/>
    <s v=""/>
    <s v=""/>
    <s v=""/>
    <x v="0"/>
    <s v=""/>
  </r>
  <r>
    <s v="XOM"/>
    <n v="154.44999999999999"/>
    <m/>
    <n v="131.2825"/>
    <x v="155"/>
    <x v="0"/>
    <m/>
    <d v="2022-10-28T06:30:00"/>
    <d v="2022-10-28T06:30:00"/>
    <s v="Confirmed"/>
    <m/>
    <m/>
    <m/>
    <m/>
    <m/>
    <m/>
    <s v=""/>
    <n v="0"/>
    <n v="0"/>
    <s v=""/>
    <m/>
    <m/>
    <s v=""/>
    <s v=""/>
    <s v=""/>
    <s v=""/>
    <s v=""/>
    <n v="3"/>
    <d v="2017-03-10T00:00:00"/>
    <n v="0"/>
    <n v="0"/>
    <n v="1.9423761735189383E-2"/>
    <d v="2017-05-04T00:00:00"/>
    <m/>
    <n v="43.77"/>
    <s v=""/>
    <s v=""/>
    <n v="0"/>
    <n v="0"/>
    <n v="-0.71660731628358687"/>
    <n v="95"/>
    <s v="assignment"/>
    <n v="95"/>
    <s v="free money"/>
    <s v="CCs"/>
    <s v=""/>
    <m/>
    <m/>
    <m/>
    <s v=""/>
    <s v=""/>
    <n v="75.7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41.581499999999998"/>
    <n v="301.17749999999995"/>
    <m/>
    <m/>
    <n v="0"/>
    <s v=""/>
    <n v="0"/>
    <s v=""/>
    <s v="{4388D3DB-142B-4022-9583-6A2ED61222AD}"/>
    <s v=""/>
    <s v=""/>
    <s v=""/>
    <s v=""/>
    <s v=""/>
    <s v=""/>
    <s v=""/>
    <s v=""/>
    <s v=""/>
    <s v=""/>
    <x v="0"/>
    <s v=""/>
  </r>
  <r>
    <s v="XPO"/>
    <n v="213.65"/>
    <m/>
    <n v="181.60249999999999"/>
    <x v="91"/>
    <x v="14"/>
    <m/>
    <d v="2022-08-08T16:15:00"/>
    <d v="2022-08-08T16:15:00"/>
    <m/>
    <m/>
    <m/>
    <m/>
    <m/>
    <m/>
    <m/>
    <s v=""/>
    <n v="0"/>
    <n v="0"/>
    <s v=""/>
    <m/>
    <m/>
    <s v=""/>
    <s v=""/>
    <s v=""/>
    <s v=""/>
    <s v=""/>
    <m/>
    <m/>
    <n v="0"/>
    <n v="0"/>
    <n v="0"/>
    <m/>
    <m/>
    <n v="91.72"/>
    <s v=""/>
    <s v=""/>
    <n v="0"/>
    <n v="0"/>
    <n v="-0.57069974256962319"/>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87.134"/>
    <n v="416.61750000000001"/>
    <m/>
    <m/>
    <n v="0"/>
    <s v=""/>
    <n v="0"/>
    <s v=""/>
    <s v="{2414E342-B46D-4C81-BC84-ECDED2520930}"/>
    <s v=""/>
    <s v=""/>
    <s v=""/>
    <s v=""/>
    <s v=""/>
    <s v=""/>
    <s v=""/>
    <s v=""/>
    <s v=""/>
    <s v=""/>
    <x v="0"/>
    <s v=""/>
  </r>
  <r>
    <s v="XRT"/>
    <n v="88.74"/>
    <m/>
    <n v="75.428999999999988"/>
    <x v="35"/>
    <x v="8"/>
    <m/>
    <d v="2022-08-08T16:15:00"/>
    <d v="2022-08-08T16:15:00"/>
    <m/>
    <m/>
    <m/>
    <m/>
    <m/>
    <m/>
    <m/>
    <s v=""/>
    <n v="0"/>
    <n v="0"/>
    <s v=""/>
    <m/>
    <m/>
    <s v=""/>
    <s v=""/>
    <s v=""/>
    <s v=""/>
    <s v=""/>
    <n v="0"/>
    <s v="N/A"/>
    <n v="0"/>
    <n v="0"/>
    <n v="0"/>
    <s v="N/A"/>
    <m/>
    <s v="-"/>
    <s v=""/>
    <s v=""/>
    <n v="0"/>
    <n v="0"/>
    <s v=""/>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n v="0.8"/>
    <s v=""/>
    <s v=""/>
    <n v="0"/>
    <n v="0"/>
    <m/>
    <s v=""/>
    <s v=""/>
    <s v=""/>
    <s v=""/>
    <s v=""/>
    <s v=""/>
    <s v=""/>
    <s v=""/>
    <s v=""/>
    <n v="0"/>
    <s v=""/>
    <s v=""/>
    <s v=""/>
    <s v=""/>
    <s v=""/>
    <s v=""/>
    <s v=""/>
    <s v=""/>
    <n v="0"/>
    <e v="#VALUE!"/>
    <n v="173.04299999999998"/>
    <m/>
    <m/>
    <n v="0"/>
    <s v=""/>
    <n v="0"/>
    <s v=""/>
    <s v="{A590B76C-447D-4A93-8B88-8A614E7C8DDD}"/>
    <s v=""/>
    <s v=""/>
    <s v=""/>
    <s v=""/>
    <s v=""/>
    <s v=""/>
    <s v=""/>
    <s v=""/>
    <s v=""/>
    <s v=""/>
    <x v="0"/>
    <s v=""/>
  </r>
  <r>
    <s v="YELP"/>
    <n v="24.81"/>
    <m/>
    <n v="21.0885"/>
    <x v="21"/>
    <x v="9"/>
    <m/>
    <d v="2022-08-04T16:05:00"/>
    <d v="2022-08-04T16:05:00"/>
    <m/>
    <m/>
    <m/>
    <m/>
    <m/>
    <m/>
    <m/>
    <s v=""/>
    <n v="0"/>
    <n v="0"/>
    <s v=""/>
    <m/>
    <m/>
    <s v=""/>
    <s v=""/>
    <s v=""/>
    <s v=""/>
    <s v=""/>
    <m/>
    <m/>
    <n v="0"/>
    <n v="0"/>
    <n v="0"/>
    <m/>
    <m/>
    <n v="40.799999999999997"/>
    <s v=""/>
    <s v=""/>
    <n v="0"/>
    <n v="0"/>
    <n v="0.6444981862152358"/>
    <m/>
    <m/>
    <m/>
    <m/>
    <m/>
    <s v=""/>
    <m/>
    <m/>
    <m/>
    <s v=""/>
    <s v=""/>
    <n v="39.97999999999999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8.76"/>
    <n v="48.379499999999993"/>
    <m/>
    <m/>
    <n v="0"/>
    <s v=""/>
    <n v="0"/>
    <s v=""/>
    <m/>
    <s v=""/>
    <s v=""/>
    <s v=""/>
    <s v=""/>
    <s v=""/>
    <s v=""/>
    <s v=""/>
    <s v=""/>
    <s v=""/>
    <s v=""/>
    <x v="0"/>
    <s v=""/>
  </r>
  <r>
    <s v="YETI"/>
    <n v="51.76"/>
    <m/>
    <n v="43.995999999999995"/>
    <x v="149"/>
    <x v="1"/>
    <m/>
    <d v="2022-08-10T06:00:00"/>
    <d v="2022-08-10T06:00:00"/>
    <m/>
    <m/>
    <m/>
    <m/>
    <m/>
    <m/>
    <m/>
    <s v=""/>
    <n v="0"/>
    <n v="0"/>
    <s v=""/>
    <m/>
    <m/>
    <s v=""/>
    <s v=""/>
    <s v=""/>
    <s v=""/>
    <s v=""/>
    <m/>
    <m/>
    <n v="0"/>
    <n v="0"/>
    <n v="0"/>
    <m/>
    <m/>
    <n v="56.36"/>
    <s v=""/>
    <s v=""/>
    <n v="0"/>
    <n v="0"/>
    <n v="8.8871715610510077E-2"/>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53.541999999999994"/>
    <n v="100.93199999999999"/>
    <m/>
    <m/>
    <n v="0"/>
    <s v=""/>
    <n v="0"/>
    <s v=""/>
    <m/>
    <s v=""/>
    <s v=""/>
    <s v=""/>
    <s v=""/>
    <s v=""/>
    <s v=""/>
    <s v=""/>
    <s v=""/>
    <s v=""/>
    <s v=""/>
    <x v="0"/>
    <s v=""/>
  </r>
  <r>
    <s v="YNDX"/>
    <n v="36.96"/>
    <m/>
    <n v="31.416"/>
    <x v="135"/>
    <x v="2"/>
    <m/>
    <d v="2022-08-10T06:00:00"/>
    <d v="2022-08-10T06:00:00"/>
    <m/>
    <m/>
    <m/>
    <m/>
    <m/>
    <m/>
    <m/>
    <s v=""/>
    <n v="0"/>
    <n v="0"/>
    <s v=""/>
    <m/>
    <m/>
    <s v=""/>
    <s v=""/>
    <s v=""/>
    <s v=""/>
    <s v=""/>
    <m/>
    <m/>
    <n v="0"/>
    <n v="0"/>
    <n v="0"/>
    <m/>
    <m/>
    <n v="3362.58"/>
    <s v=""/>
    <s v=""/>
    <n v="0"/>
    <n v="0"/>
    <n v="89.978896103896105"/>
    <m/>
    <m/>
    <m/>
    <m/>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3194.4509999999996"/>
    <n v="72.072000000000003"/>
    <m/>
    <m/>
    <n v="0"/>
    <s v=""/>
    <n v="0"/>
    <s v=""/>
    <s v="{D33698C9-60B3-4CB3-BC06-A50D0547ECF9}"/>
    <s v=""/>
    <s v=""/>
    <s v=""/>
    <s v=""/>
    <s v=""/>
    <s v=""/>
    <s v=""/>
    <s v=""/>
    <s v=""/>
    <s v=""/>
    <x v="0"/>
    <s v=""/>
  </r>
  <r>
    <s v="Z"/>
    <n v="31.36"/>
    <s v="Swing"/>
    <n v="26.655999999999999"/>
    <x v="21"/>
    <x v="9"/>
    <m/>
    <d v="2022-08-04T16:05:00"/>
    <d v="2022-08-04T16:05:00"/>
    <m/>
    <m/>
    <m/>
    <m/>
    <m/>
    <m/>
    <m/>
    <s v=""/>
    <n v="0"/>
    <n v="0"/>
    <s v=""/>
    <m/>
    <m/>
    <s v=""/>
    <s v=""/>
    <s v=""/>
    <s v=""/>
    <s v=""/>
    <m/>
    <m/>
    <n v="0"/>
    <n v="0"/>
    <n v="0"/>
    <m/>
    <m/>
    <n v="58.5"/>
    <s v=""/>
    <s v=""/>
    <n v="0"/>
    <n v="0"/>
    <n v="0.86543367346938782"/>
    <n v="180"/>
    <s v="max gain"/>
    <n v="171.25"/>
    <s v="Losses"/>
    <s v="BuCS"/>
    <s v=""/>
    <m/>
    <m/>
    <m/>
    <m/>
    <m/>
    <n v="6.25"/>
    <m/>
    <s v=""/>
    <m/>
    <m/>
    <m/>
    <m/>
    <m/>
    <m/>
    <n v="0"/>
    <n v="0"/>
    <m/>
    <s v=""/>
    <s v=""/>
    <s v=""/>
    <s v=""/>
    <m/>
    <m/>
    <m/>
    <m/>
    <m/>
    <m/>
    <b v="0"/>
    <b v="0"/>
    <n v="0"/>
    <m/>
    <n v="0"/>
    <s v=""/>
    <s v=""/>
    <s v=""/>
    <s v=""/>
    <n v="0"/>
    <n v="0"/>
    <s v=""/>
    <n v="0"/>
    <m/>
    <n v="0"/>
    <n v="0"/>
    <s v=""/>
    <m/>
    <m/>
    <s v=""/>
    <m/>
    <s v=""/>
    <s v=""/>
    <s v=""/>
    <m/>
    <m/>
    <s v=""/>
    <s v=""/>
    <s v=""/>
    <s v=""/>
    <s v=""/>
    <s v=""/>
    <m/>
    <m/>
    <s v=""/>
    <s v=""/>
    <s v=""/>
    <s v=""/>
    <m/>
    <m/>
    <m/>
    <m/>
    <m/>
    <m/>
    <n v="0"/>
    <s v=""/>
    <s v=""/>
    <s v=""/>
    <s v=""/>
    <m/>
    <s v=""/>
    <s v=""/>
    <s v=""/>
    <s v=""/>
    <s v=""/>
    <s v=""/>
    <s v=""/>
    <s v="GTC"/>
    <s v=""/>
    <m/>
    <s v=""/>
    <s v=""/>
    <s v=""/>
    <n v="0"/>
    <s v=""/>
    <n v="0"/>
    <m/>
    <m/>
    <m/>
    <m/>
    <m/>
    <m/>
    <b v="0"/>
    <b v="0"/>
    <m/>
    <s v=""/>
    <s v=""/>
    <n v="0"/>
    <s v=""/>
    <s v=""/>
    <n v="0"/>
    <m/>
    <m/>
    <m/>
    <n v="0"/>
    <m/>
    <s v=""/>
    <s v=""/>
    <n v="0"/>
    <n v="0"/>
    <m/>
    <s v=""/>
    <s v=""/>
    <s v=""/>
    <s v=""/>
    <s v=""/>
    <s v=""/>
    <s v=""/>
    <s v=""/>
    <s v=""/>
    <n v="0"/>
    <s v=""/>
    <s v=""/>
    <s v=""/>
    <s v=""/>
    <s v=""/>
    <s v=""/>
    <s v=""/>
    <s v=""/>
    <n v="0"/>
    <n v="55.574999999999996"/>
    <n v="61.152000000000001"/>
    <m/>
    <m/>
    <n v="0"/>
    <s v=""/>
    <n v="0"/>
    <s v=""/>
    <s v="{A264BA4A-4DB3-437B-AC26-0AE55E0F1A8D}"/>
    <s v=""/>
    <s v=""/>
    <s v=""/>
    <s v=""/>
    <s v=""/>
    <s v=""/>
    <s v=""/>
    <s v=""/>
    <s v=""/>
    <s v=""/>
    <x v="0"/>
    <s v=""/>
  </r>
  <r>
    <s v="ZM"/>
    <n v="85.81"/>
    <s v="Swing"/>
    <n v="72.938500000000005"/>
    <x v="28"/>
    <x v="2"/>
    <m/>
    <d v="2022-08-22T16:05:00"/>
    <d v="2022-08-22T16:05:00"/>
    <m/>
    <m/>
    <m/>
    <m/>
    <m/>
    <m/>
    <m/>
    <s v=""/>
    <n v="0"/>
    <n v="0"/>
    <s v=""/>
    <m/>
    <m/>
    <s v=""/>
    <s v=""/>
    <s v=""/>
    <s v=""/>
    <s v=""/>
    <m/>
    <m/>
    <n v="0"/>
    <n v="0"/>
    <n v="0"/>
    <m/>
    <m/>
    <n v="413.23"/>
    <s v=""/>
    <s v=""/>
    <n v="0"/>
    <n v="0"/>
    <n v="3.8156392028901061"/>
    <m/>
    <m/>
    <m/>
    <m/>
    <m/>
    <s v=""/>
    <m/>
    <m/>
    <m/>
    <s v=""/>
    <s v=""/>
    <n v="107.99"/>
    <m/>
    <s v=""/>
    <m/>
    <m/>
    <m/>
    <m/>
    <m/>
    <m/>
    <n v="0"/>
    <n v="0"/>
    <m/>
    <s v=""/>
    <s v=""/>
    <s v=""/>
    <s v=""/>
    <m/>
    <m/>
    <m/>
    <m/>
    <m/>
    <m/>
    <b v="0"/>
    <b v="0"/>
    <n v="0"/>
    <m/>
    <n v="0"/>
    <s v=""/>
    <s v=""/>
    <s v=""/>
    <s v=""/>
    <n v="0"/>
    <n v="0"/>
    <s v=""/>
    <n v="0"/>
    <m/>
    <n v="0"/>
    <n v="0"/>
    <s v=""/>
    <m/>
    <m/>
    <s v=""/>
    <m/>
    <s v=""/>
    <s v=""/>
    <s v=""/>
    <d v="2022-07-01T00:00:00"/>
    <m/>
    <s v=""/>
    <s v=""/>
    <s v=""/>
    <s v=""/>
    <s v=""/>
    <s v=""/>
    <m/>
    <m/>
    <s v=""/>
    <s v=""/>
    <s v=""/>
    <s v=""/>
    <m/>
    <m/>
    <m/>
    <m/>
    <m/>
    <m/>
    <n v="0"/>
    <s v=""/>
    <s v=""/>
    <s v=""/>
    <s v=""/>
    <n v="0"/>
    <s v=""/>
    <s v=""/>
    <s v=""/>
    <s v=""/>
    <s v=""/>
    <s v=""/>
    <s v=""/>
    <m/>
    <s v=""/>
    <m/>
    <s v=""/>
    <s v=""/>
    <s v=""/>
    <n v="0"/>
    <s v=""/>
    <n v="0"/>
    <m/>
    <m/>
    <m/>
    <m/>
    <m/>
    <m/>
    <b v="0"/>
    <b v="0"/>
    <m/>
    <s v=""/>
    <s v=""/>
    <n v="0"/>
    <s v=""/>
    <s v=""/>
    <n v="0"/>
    <m/>
    <m/>
    <m/>
    <n v="0"/>
    <m/>
    <s v=""/>
    <s v=""/>
    <n v="0"/>
    <n v="0"/>
    <m/>
    <s v=""/>
    <s v=""/>
    <s v=""/>
    <s v=""/>
    <s v=""/>
    <s v=""/>
    <s v=""/>
    <s v=""/>
    <s v=""/>
    <n v="0"/>
    <s v=""/>
    <s v=""/>
    <s v=""/>
    <s v=""/>
    <s v=""/>
    <s v=""/>
    <s v=""/>
    <s v=""/>
    <n v="0"/>
    <n v="392.56849999999997"/>
    <n v="167.3295"/>
    <m/>
    <m/>
    <n v="0"/>
    <s v=""/>
    <n v="0"/>
    <s v=""/>
    <s v="{86881B99-0901-4FE6-AFAA-F6929A73B44C}"/>
    <s v=""/>
    <s v=""/>
    <s v=""/>
    <s v=""/>
    <s v=""/>
    <s v=""/>
    <s v=""/>
    <s v=""/>
    <s v=""/>
    <s v=""/>
    <x v="0"/>
    <s v=""/>
  </r>
  <r>
    <s v="ZS"/>
    <n v="142.26"/>
    <s v="CORE"/>
    <n v="120.92099999999999"/>
    <x v="9"/>
    <x v="2"/>
    <m/>
    <d v="2022-08-25T16:10:00"/>
    <d v="2022-08-25T16:10:00"/>
    <m/>
    <m/>
    <m/>
    <m/>
    <m/>
    <m/>
    <m/>
    <s v=""/>
    <n v="0"/>
    <n v="0"/>
    <s v=""/>
    <m/>
    <m/>
    <s v=""/>
    <s v=""/>
    <s v=""/>
    <s v=""/>
    <s v=""/>
    <m/>
    <m/>
    <n v="0"/>
    <n v="0"/>
    <n v="0"/>
    <m/>
    <m/>
    <n v="230.33"/>
    <s v=""/>
    <s v=""/>
    <n v="0"/>
    <n v="0"/>
    <n v="0.61907774497399148"/>
    <n v="150"/>
    <s v="free money"/>
    <n v="150"/>
    <s v="Assignment"/>
    <s v="SPs"/>
    <s v=""/>
    <m/>
    <n v="8.5779999999999994"/>
    <d v="2021-04-16T00:00:00"/>
    <n v="133.68199999999999"/>
    <n v="150.83799999999999"/>
    <n v="144.85"/>
    <m/>
    <s v=""/>
    <m/>
    <m/>
    <m/>
    <m/>
    <m/>
    <m/>
    <n v="0"/>
    <n v="0"/>
    <m/>
    <s v=""/>
    <s v=""/>
    <s v=""/>
    <s v=""/>
    <m/>
    <m/>
    <m/>
    <m/>
    <m/>
    <m/>
    <b v="0"/>
    <b v="0"/>
    <n v="0"/>
    <m/>
    <n v="0"/>
    <s v=""/>
    <s v=""/>
    <s v=""/>
    <s v=""/>
    <n v="0"/>
    <n v="0"/>
    <s v=""/>
    <n v="0"/>
    <n v="0.5"/>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218.8135"/>
    <n v="277.40699999999998"/>
    <m/>
    <m/>
    <n v="0"/>
    <s v=""/>
    <n v="0"/>
    <s v=""/>
    <m/>
    <s v=""/>
    <s v=""/>
    <s v=""/>
    <s v=""/>
    <s v=""/>
    <s v=""/>
    <s v=""/>
    <s v=""/>
    <s v=""/>
    <s v=""/>
    <x v="0"/>
    <s v=""/>
  </r>
  <r>
    <s v="ZUO"/>
    <n v="14.05"/>
    <m/>
    <n v="11.942500000000001"/>
    <x v="28"/>
    <x v="2"/>
    <m/>
    <d v="2022-08-24T16:00:00"/>
    <d v="2022-08-24T16:00:00"/>
    <m/>
    <m/>
    <m/>
    <m/>
    <m/>
    <m/>
    <m/>
    <s v=""/>
    <n v="0"/>
    <n v="0"/>
    <s v=""/>
    <m/>
    <m/>
    <s v=""/>
    <s v=""/>
    <s v=""/>
    <s v=""/>
    <s v=""/>
    <m/>
    <m/>
    <n v="0"/>
    <n v="0"/>
    <n v="0"/>
    <m/>
    <m/>
    <n v="11.92"/>
    <s v=""/>
    <s v=""/>
    <n v="0"/>
    <n v="0"/>
    <n v="-0.15160142348754455"/>
    <n v="17.5"/>
    <s v="free money"/>
    <n v="17.5"/>
    <s v="Assignment"/>
    <m/>
    <s v=""/>
    <m/>
    <m/>
    <m/>
    <s v=""/>
    <s v=""/>
    <m/>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11.324"/>
    <n v="27.397500000000001"/>
    <m/>
    <m/>
    <n v="0"/>
    <s v=""/>
    <n v="0"/>
    <s v=""/>
    <s v="{9B36A4E4-8304-451B-90E8-E4832F0F18E8}"/>
    <s v=""/>
    <s v=""/>
    <s v=""/>
    <s v=""/>
    <s v=""/>
    <s v=""/>
    <s v=""/>
    <s v=""/>
    <s v=""/>
    <s v=""/>
    <x v="0"/>
    <s v=""/>
  </r>
  <r>
    <s v="DEFT_2"/>
    <n v="0.39460000000000001"/>
    <m/>
    <n v="0.33540999999999999"/>
    <x v="40"/>
    <x v="8"/>
    <m/>
    <m/>
    <m/>
    <m/>
    <m/>
    <m/>
    <m/>
    <m/>
    <n v="1000"/>
    <n v="886.95"/>
    <n v="0.88695000000000002"/>
    <n v="394.6"/>
    <n v="-492.35"/>
    <n v="-0.55510457184734197"/>
    <m/>
    <m/>
    <s v=""/>
    <s v=""/>
    <s v=""/>
    <s v=""/>
    <s v=""/>
    <m/>
    <m/>
    <n v="0"/>
    <n v="0"/>
    <n v="0"/>
    <m/>
    <m/>
    <m/>
    <s v=""/>
    <s v=""/>
    <n v="0"/>
    <n v="0"/>
    <s v=""/>
    <m/>
    <m/>
    <m/>
    <m/>
    <s v="EquityOnly"/>
    <s v=""/>
    <s v="SYD"/>
    <m/>
    <m/>
    <s v=""/>
    <s v=""/>
    <n v="2.95"/>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0"/>
    <m/>
    <m/>
    <m/>
    <m/>
    <m/>
    <m/>
    <b v="0"/>
    <b v="0"/>
    <m/>
    <s v=""/>
    <s v=""/>
    <n v="0"/>
    <s v=""/>
    <s v=""/>
    <n v="0"/>
    <m/>
    <m/>
    <m/>
    <n v="0"/>
    <m/>
    <s v=""/>
    <s v=""/>
    <n v="0"/>
    <n v="0"/>
    <m/>
    <s v=""/>
    <s v=""/>
    <s v=""/>
    <s v=""/>
    <s v=""/>
    <s v=""/>
    <s v=""/>
    <s v=""/>
    <s v=""/>
    <n v="0"/>
    <s v=""/>
    <s v=""/>
    <s v=""/>
    <s v=""/>
    <s v=""/>
    <s v=""/>
    <s v=""/>
    <s v=""/>
    <n v="200"/>
    <n v="0"/>
    <n v="0.76946999999999999"/>
    <m/>
    <m/>
    <n v="0"/>
    <n v="0"/>
    <n v="0"/>
    <s v=""/>
    <m/>
    <s v=""/>
    <s v=""/>
    <s v=""/>
    <s v=""/>
    <s v=""/>
    <s v=""/>
    <s v=""/>
    <s v=""/>
    <s v=""/>
    <s v="LNG "/>
    <x v="24"/>
    <n v="4.1749165534464639E-3"/>
  </r>
  <r>
    <s v="LGDTF"/>
    <n v="0.97"/>
    <s v="Position"/>
    <n v="0.82450000000000001"/>
    <x v="12"/>
    <x v="0"/>
    <m/>
    <m/>
    <m/>
    <m/>
    <m/>
    <m/>
    <m/>
    <m/>
    <n v="7000"/>
    <n v="2100"/>
    <n v="0.3"/>
    <n v="6790"/>
    <n v="4690"/>
    <n v="2.2333333333333334"/>
    <m/>
    <m/>
    <s v=""/>
    <s v=""/>
    <s v=""/>
    <s v=""/>
    <s v=""/>
    <m/>
    <m/>
    <n v="0"/>
    <n v="0"/>
    <n v="0"/>
    <m/>
    <m/>
    <m/>
    <s v=""/>
    <s v=""/>
    <n v="0"/>
    <n v="0"/>
    <s v=""/>
    <m/>
    <m/>
    <m/>
    <m/>
    <m/>
    <s v=""/>
    <m/>
    <m/>
    <m/>
    <s v=""/>
    <s v=""/>
    <n v="0.31"/>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70"/>
    <m/>
    <m/>
    <m/>
    <m/>
    <m/>
    <m/>
    <b v="0"/>
    <b v="0"/>
    <m/>
    <s v=""/>
    <s v=""/>
    <n v="0"/>
    <s v=""/>
    <s v=""/>
    <n v="0"/>
    <m/>
    <m/>
    <m/>
    <n v="0"/>
    <m/>
    <s v=""/>
    <s v=""/>
    <n v="0"/>
    <n v="0"/>
    <m/>
    <s v=""/>
    <s v=""/>
    <s v=""/>
    <s v=""/>
    <s v=""/>
    <s v=""/>
    <s v=""/>
    <s v=""/>
    <s v=""/>
    <n v="0"/>
    <s v=""/>
    <s v=""/>
    <s v=""/>
    <s v=""/>
    <s v=""/>
    <s v=""/>
    <s v=""/>
    <s v=""/>
    <n v="1400"/>
    <n v="0"/>
    <n v="1.8915"/>
    <m/>
    <m/>
    <n v="0"/>
    <n v="0"/>
    <n v="0"/>
    <s v=""/>
    <m/>
    <s v=""/>
    <s v=""/>
    <s v=""/>
    <s v=""/>
    <s v=""/>
    <s v=""/>
    <s v=""/>
    <s v=""/>
    <s v=""/>
    <s v="LNG "/>
    <x v="25"/>
    <n v="3.1960858445122593E-2"/>
  </r>
  <r>
    <s v="NAK"/>
    <n v="1.58"/>
    <m/>
    <n v="1.343"/>
    <x v="128"/>
    <x v="0"/>
    <m/>
    <m/>
    <m/>
    <m/>
    <m/>
    <m/>
    <m/>
    <m/>
    <n v="1000"/>
    <n v="2030"/>
    <n v="2.0299999999999998"/>
    <n v="1580"/>
    <n v="-450"/>
    <n v="-0.22167487684729065"/>
    <n v="2.5"/>
    <m/>
    <n v="0.4700000000000002"/>
    <s v=""/>
    <s v=""/>
    <n v="470.00000000000017"/>
    <s v=""/>
    <m/>
    <m/>
    <n v="0"/>
    <n v="0"/>
    <n v="0"/>
    <m/>
    <m/>
    <m/>
    <s v=""/>
    <s v=""/>
    <n v="0"/>
    <n v="0"/>
    <s v=""/>
    <m/>
    <m/>
    <m/>
    <m/>
    <m/>
    <s v=""/>
    <m/>
    <m/>
    <m/>
    <s v=""/>
    <s v=""/>
    <n v="1.6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0"/>
    <m/>
    <m/>
    <m/>
    <m/>
    <m/>
    <m/>
    <b v="0"/>
    <b v="0"/>
    <m/>
    <s v=""/>
    <s v=""/>
    <n v="0"/>
    <s v=""/>
    <s v=""/>
    <n v="0"/>
    <m/>
    <m/>
    <m/>
    <n v="0"/>
    <m/>
    <s v=""/>
    <s v=""/>
    <n v="0"/>
    <n v="0"/>
    <m/>
    <s v=""/>
    <s v=""/>
    <s v=""/>
    <s v=""/>
    <s v=""/>
    <s v=""/>
    <s v=""/>
    <s v=""/>
    <s v=""/>
    <n v="0"/>
    <s v=""/>
    <s v=""/>
    <s v=""/>
    <s v=""/>
    <s v=""/>
    <s v=""/>
    <s v=""/>
    <s v=""/>
    <n v="200"/>
    <n v="0"/>
    <n v="3.081"/>
    <m/>
    <m/>
    <n v="0"/>
    <n v="0"/>
    <n v="0"/>
    <s v=""/>
    <m/>
    <s v=""/>
    <s v=""/>
    <s v=""/>
    <s v=""/>
    <s v=""/>
    <s v=""/>
    <s v=""/>
    <s v=""/>
    <s v=""/>
    <s v="LNG "/>
    <x v="26"/>
    <n v="9.5553081949335591E-3"/>
  </r>
  <r>
    <s v="INFQ_2"/>
    <n v="8.9700000000000006"/>
    <m/>
    <n v="7.6245000000000003"/>
    <x v="125"/>
    <x v="8"/>
    <m/>
    <m/>
    <m/>
    <m/>
    <m/>
    <m/>
    <m/>
    <m/>
    <n v="100"/>
    <n v="985"/>
    <n v="9.85"/>
    <n v="897.00000000000011"/>
    <n v="-87.999999999999886"/>
    <n v="-8.9340101522842524E-2"/>
    <m/>
    <m/>
    <s v=""/>
    <s v=""/>
    <s v=""/>
    <s v=""/>
    <s v=""/>
    <m/>
    <m/>
    <n v="0"/>
    <n v="0"/>
    <n v="0"/>
    <m/>
    <m/>
    <m/>
    <s v=""/>
    <s v=""/>
    <n v="0"/>
    <n v="0"/>
    <s v=""/>
    <m/>
    <m/>
    <m/>
    <m/>
    <m/>
    <s v=""/>
    <s v="SYD"/>
    <m/>
    <m/>
    <s v=""/>
    <s v=""/>
    <n v="10.67"/>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
    <m/>
    <m/>
    <m/>
    <m/>
    <m/>
    <m/>
    <b v="0"/>
    <b v="0"/>
    <n v="0.35"/>
    <s v=""/>
    <s v=""/>
    <n v="0"/>
    <s v=""/>
    <s v=""/>
    <n v="0"/>
    <m/>
    <m/>
    <m/>
    <n v="0"/>
    <m/>
    <s v=""/>
    <s v=""/>
    <n v="0"/>
    <n v="0"/>
    <m/>
    <s v=""/>
    <s v=""/>
    <s v=""/>
    <s v=""/>
    <s v=""/>
    <s v=""/>
    <s v=""/>
    <s v=""/>
    <s v=""/>
    <n v="0"/>
    <s v=""/>
    <s v=""/>
    <s v=""/>
    <s v=""/>
    <s v=""/>
    <s v=""/>
    <s v=""/>
    <s v=""/>
    <n v="20"/>
    <n v="0"/>
    <n v="17.491500000000002"/>
    <m/>
    <m/>
    <n v="0"/>
    <n v="0"/>
    <n v="0"/>
    <s v=""/>
    <m/>
    <s v=""/>
    <s v=""/>
    <s v=""/>
    <s v=""/>
    <s v=""/>
    <s v=""/>
    <s v=""/>
    <s v=""/>
    <s v=""/>
    <s v="LNG "/>
    <x v="27"/>
    <n v="4.6364426463101262E-3"/>
  </r>
  <r>
    <s v="SOFI_6"/>
    <n v="16.46"/>
    <s v="Position"/>
    <n v="13.991"/>
    <x v="29"/>
    <x v="8"/>
    <m/>
    <d v="2022-10-17T06:15:00"/>
    <d v="2022-10-17T06:15:00"/>
    <m/>
    <m/>
    <m/>
    <m/>
    <m/>
    <n v="1000"/>
    <n v="22000"/>
    <n v="22"/>
    <n v="16460"/>
    <n v="-5540"/>
    <n v="-0.25181818181818183"/>
    <n v="36"/>
    <n v="16.399999999999999"/>
    <n v="14"/>
    <n v="-5.6000000000000014"/>
    <s v="2.5  : 1"/>
    <n v="14000"/>
    <n v="-5600.0000000000018"/>
    <m/>
    <m/>
    <n v="0"/>
    <n v="0"/>
    <n v="0"/>
    <m/>
    <m/>
    <n v="40"/>
    <s v=""/>
    <n v="0.81818181818181823"/>
    <n v="18000"/>
    <n v="23540"/>
    <n v="1.4301336573511543"/>
    <m/>
    <m/>
    <m/>
    <m/>
    <m/>
    <s v="Y"/>
    <m/>
    <m/>
    <m/>
    <s v=""/>
    <s v=""/>
    <n v="21.97"/>
    <m/>
    <d v="2026-08-21T00:00:00"/>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0"/>
    <d v="2026-08-21T00:00:00"/>
    <n v="18"/>
    <n v="10"/>
    <d v="2026-07-26T00:00:00"/>
    <d v="2026-07-26T00:00:00"/>
    <n v="1"/>
    <b v="1"/>
    <b v="1"/>
    <n v="0.34"/>
    <n v="27"/>
    <n v="26"/>
    <n v="1000"/>
    <n v="15.46"/>
    <n v="16.46"/>
    <n v="0.44442000000000004"/>
    <m/>
    <n v="0.69"/>
    <n v="0.32"/>
    <e v="#NAME?"/>
    <m/>
    <e v="#NAME?"/>
    <e v="#NAME?"/>
    <n v="0"/>
    <n v="0.69"/>
    <d v="2026-08-21T00:00:00"/>
    <n v="690"/>
    <n v="4.1919805589307406E-2"/>
    <n v="9.3560145808019385E-2"/>
    <n v="17999.310000000001"/>
    <s v=""/>
    <n v="-3000.6899999999987"/>
    <n v="17.999310000000001"/>
    <n v="4.1919805589307406E-2"/>
    <e v="#NAME?"/>
    <n v="1.5399999999999991"/>
    <n v="7.0095584888484261E-2"/>
    <s v=""/>
    <s v=""/>
    <n v="1015.4"/>
    <e v="#NAME?"/>
    <n v="-690"/>
    <n v="310"/>
    <n v="0.31"/>
    <n v="200"/>
    <n v="38"/>
    <n v="32.097000000000001"/>
    <m/>
    <m/>
    <n v="0"/>
    <n v="0"/>
    <n v="0"/>
    <n v="-182.30194410692579"/>
    <s v="{0940800E-8051-47BC-87FE-06057DAA9B2D}"/>
    <s v=""/>
    <s v=""/>
    <s v=""/>
    <s v=""/>
    <s v=""/>
    <s v=""/>
    <s v="SOFI260821C00018000"/>
    <n v="1"/>
    <s v="Y"/>
    <s v="LNG SC "/>
    <x v="28"/>
    <n v="9.8848015809657519E-2"/>
  </r>
  <r>
    <s v="CCRRF"/>
    <n v="1E-4"/>
    <s v="Position"/>
    <n v="8.5000000000000006E-5"/>
    <x v="156"/>
    <x v="0"/>
    <m/>
    <m/>
    <m/>
    <m/>
    <m/>
    <m/>
    <m/>
    <m/>
    <n v="30000"/>
    <n v="990"/>
    <n v="3.3000000000000002E-2"/>
    <n v="3"/>
    <n v="-987"/>
    <n v="-0.99696969696969695"/>
    <m/>
    <m/>
    <s v=""/>
    <s v=""/>
    <s v=""/>
    <s v=""/>
    <s v=""/>
    <m/>
    <m/>
    <n v="0"/>
    <n v="0"/>
    <n v="0"/>
    <m/>
    <m/>
    <m/>
    <s v=""/>
    <s v=""/>
    <n v="0"/>
    <n v="0"/>
    <s v=""/>
    <n v="7.0000000000000007E-2"/>
    <m/>
    <m/>
    <m/>
    <m/>
    <s v=""/>
    <m/>
    <m/>
    <m/>
    <s v=""/>
    <s v=""/>
    <n v="3.3000000000000002E-2"/>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300"/>
    <m/>
    <m/>
    <m/>
    <m/>
    <m/>
    <m/>
    <b v="0"/>
    <b v="0"/>
    <m/>
    <s v=""/>
    <s v=""/>
    <n v="0"/>
    <s v=""/>
    <s v=""/>
    <n v="0"/>
    <m/>
    <m/>
    <m/>
    <n v="0"/>
    <m/>
    <s v=""/>
    <s v=""/>
    <n v="0"/>
    <n v="0"/>
    <m/>
    <s v=""/>
    <s v=""/>
    <s v=""/>
    <s v=""/>
    <s v=""/>
    <s v=""/>
    <s v=""/>
    <s v=""/>
    <s v=""/>
    <n v="0"/>
    <s v=""/>
    <s v=""/>
    <s v=""/>
    <s v=""/>
    <s v=""/>
    <s v=""/>
    <s v=""/>
    <s v=""/>
    <n v="6000"/>
    <n v="0"/>
    <n v="1.95E-4"/>
    <m/>
    <m/>
    <n v="0"/>
    <n v="0"/>
    <n v="0"/>
    <s v=""/>
    <m/>
    <s v=""/>
    <s v=""/>
    <s v=""/>
    <s v=""/>
    <s v=""/>
    <s v=""/>
    <s v=""/>
    <s v=""/>
    <s v=""/>
    <s v="LNG "/>
    <x v="29"/>
    <n v="4.6599778881695683E-3"/>
  </r>
  <r>
    <s v="TGEN"/>
    <n v="3.54"/>
    <m/>
    <n v="3.0089999999999999"/>
    <x v="39"/>
    <x v="7"/>
    <m/>
    <m/>
    <m/>
    <m/>
    <m/>
    <m/>
    <m/>
    <m/>
    <m/>
    <m/>
    <s v=""/>
    <n v="0"/>
    <n v="0"/>
    <s v=""/>
    <m/>
    <m/>
    <s v=""/>
    <s v=""/>
    <s v=""/>
    <s v=""/>
    <s v=""/>
    <m/>
    <m/>
    <n v="0"/>
    <n v="0"/>
    <n v="0"/>
    <m/>
    <m/>
    <m/>
    <s v=""/>
    <s v=""/>
    <n v="0"/>
    <n v="0"/>
    <s v=""/>
    <m/>
    <m/>
    <m/>
    <m/>
    <m/>
    <s v=""/>
    <m/>
    <m/>
    <m/>
    <s v=""/>
    <s v=""/>
    <n v="4.0999999999999996"/>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0"/>
    <m/>
    <m/>
    <m/>
    <m/>
    <m/>
    <m/>
    <b v="0"/>
    <b v="0"/>
    <m/>
    <s v=""/>
    <s v=""/>
    <n v="0"/>
    <s v=""/>
    <s v=""/>
    <n v="0"/>
    <m/>
    <m/>
    <m/>
    <n v="0"/>
    <m/>
    <s v=""/>
    <s v=""/>
    <n v="0"/>
    <n v="0"/>
    <m/>
    <s v=""/>
    <s v=""/>
    <s v=""/>
    <s v=""/>
    <s v=""/>
    <s v=""/>
    <s v=""/>
    <s v=""/>
    <s v=""/>
    <n v="0"/>
    <s v=""/>
    <s v=""/>
    <s v=""/>
    <s v=""/>
    <s v=""/>
    <s v=""/>
    <s v=""/>
    <s v=""/>
    <n v="0"/>
    <n v="0"/>
    <n v="6.9029999999999996"/>
    <m/>
    <m/>
    <n v="0"/>
    <s v=""/>
    <n v="0"/>
    <s v=""/>
    <m/>
    <s v=""/>
    <s v=""/>
    <s v=""/>
    <s v=""/>
    <s v=""/>
    <s v=""/>
    <s v=""/>
    <s v=""/>
    <s v=""/>
    <s v=""/>
    <x v="0"/>
    <s v=""/>
  </r>
  <r>
    <s v="ONDS_3"/>
    <n v="7.8"/>
    <m/>
    <n v="6.63"/>
    <x v="26"/>
    <x v="2"/>
    <m/>
    <m/>
    <m/>
    <m/>
    <m/>
    <m/>
    <m/>
    <m/>
    <n v="100"/>
    <n v="964"/>
    <n v="9.64"/>
    <n v="780"/>
    <n v="-184"/>
    <n v="-0.1908713692946058"/>
    <m/>
    <m/>
    <s v=""/>
    <s v=""/>
    <s v=""/>
    <s v=""/>
    <s v=""/>
    <m/>
    <m/>
    <n v="0"/>
    <n v="0"/>
    <n v="0"/>
    <m/>
    <m/>
    <m/>
    <s v=""/>
    <s v=""/>
    <n v="0"/>
    <n v="0"/>
    <s v=""/>
    <m/>
    <m/>
    <m/>
    <m/>
    <m/>
    <s v=""/>
    <m/>
    <m/>
    <m/>
    <s v=""/>
    <s v=""/>
    <n v="8.99"/>
    <s v="SYD"/>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
    <m/>
    <m/>
    <m/>
    <m/>
    <m/>
    <m/>
    <b v="0"/>
    <b v="0"/>
    <n v="0.2"/>
    <s v=""/>
    <s v=""/>
    <n v="0"/>
    <s v=""/>
    <s v=""/>
    <n v="0"/>
    <m/>
    <m/>
    <m/>
    <n v="0"/>
    <m/>
    <s v=""/>
    <s v=""/>
    <n v="0"/>
    <n v="0"/>
    <m/>
    <s v=""/>
    <s v=""/>
    <s v=""/>
    <s v=""/>
    <s v=""/>
    <s v=""/>
    <s v=""/>
    <s v=""/>
    <s v=""/>
    <n v="0"/>
    <s v=""/>
    <s v=""/>
    <s v=""/>
    <s v=""/>
    <s v=""/>
    <s v=""/>
    <s v=""/>
    <s v=""/>
    <n v="20"/>
    <n v="0"/>
    <n v="15.209999999999999"/>
    <m/>
    <m/>
    <n v="0"/>
    <n v="0"/>
    <n v="0"/>
    <s v=""/>
    <m/>
    <s v=""/>
    <s v=""/>
    <s v=""/>
    <s v=""/>
    <s v=""/>
    <s v=""/>
    <s v=""/>
    <s v=""/>
    <s v=""/>
    <s v="LNG "/>
    <x v="30"/>
    <n v="4.5375946305004685E-3"/>
  </r>
  <r>
    <s v="WULF_2"/>
    <n v="18.46"/>
    <m/>
    <n v="15.691000000000001"/>
    <x v="40"/>
    <x v="8"/>
    <m/>
    <d v="2025-03-27T00:00:00"/>
    <m/>
    <m/>
    <m/>
    <m/>
    <m/>
    <m/>
    <n v="100"/>
    <n v="742.99"/>
    <n v="7.4298999999999999"/>
    <n v="1846"/>
    <n v="1103.01"/>
    <n v="1.4845556467785568"/>
    <n v="9.5"/>
    <n v="6"/>
    <n v="2.0701000000000001"/>
    <n v="-1.4298999999999999"/>
    <s v="1.4  : 1"/>
    <n v="207.01"/>
    <n v="-142.99"/>
    <m/>
    <m/>
    <n v="0"/>
    <n v="0"/>
    <n v="0"/>
    <m/>
    <m/>
    <m/>
    <s v=""/>
    <s v=""/>
    <n v="0"/>
    <n v="0"/>
    <s v=""/>
    <m/>
    <s v="free money"/>
    <m/>
    <s v="Assignment"/>
    <s v="EquityOnly"/>
    <s v=""/>
    <s v="SYD"/>
    <m/>
    <m/>
    <s v=""/>
    <s v=""/>
    <n v="6.18"/>
    <m/>
    <s v=""/>
    <m/>
    <m/>
    <m/>
    <m/>
    <m/>
    <m/>
    <n v="0"/>
    <n v="0"/>
    <m/>
    <s v=""/>
    <s v=""/>
    <s v=""/>
    <s v=""/>
    <m/>
    <m/>
    <m/>
    <m/>
    <m/>
    <m/>
    <b v="0"/>
    <b v="0"/>
    <n v="0"/>
    <m/>
    <n v="0"/>
    <s v=""/>
    <s v=""/>
    <s v=""/>
    <s v=""/>
    <n v="0"/>
    <n v="0"/>
    <s v=""/>
    <n v="0"/>
    <m/>
    <n v="0"/>
    <n v="0"/>
    <s v=""/>
    <m/>
    <m/>
    <s v=""/>
    <m/>
    <s v=""/>
    <s v=""/>
    <s v=""/>
    <m/>
    <m/>
    <s v=""/>
    <s v=""/>
    <s v=""/>
    <s v=""/>
    <s v=""/>
    <s v=""/>
    <m/>
    <m/>
    <s v=""/>
    <s v=""/>
    <s v=""/>
    <s v=""/>
    <m/>
    <m/>
    <m/>
    <m/>
    <m/>
    <m/>
    <n v="0"/>
    <s v=""/>
    <s v=""/>
    <s v=""/>
    <s v=""/>
    <m/>
    <s v=""/>
    <s v=""/>
    <s v=""/>
    <s v=""/>
    <s v=""/>
    <s v=""/>
    <s v=""/>
    <m/>
    <s v=""/>
    <m/>
    <s v=""/>
    <s v=""/>
    <s v=""/>
    <n v="0"/>
    <s v=""/>
    <n v="1"/>
    <m/>
    <m/>
    <m/>
    <m/>
    <m/>
    <m/>
    <b v="0"/>
    <b v="0"/>
    <m/>
    <s v=""/>
    <s v=""/>
    <n v="0"/>
    <s v=""/>
    <s v=""/>
    <n v="0"/>
    <m/>
    <m/>
    <m/>
    <n v="0"/>
    <m/>
    <s v=""/>
    <s v=""/>
    <n v="0"/>
    <n v="0"/>
    <m/>
    <s v=""/>
    <s v=""/>
    <s v=""/>
    <s v=""/>
    <s v=""/>
    <s v=""/>
    <s v=""/>
    <s v=""/>
    <s v=""/>
    <n v="0"/>
    <s v=""/>
    <s v=""/>
    <s v=""/>
    <s v=""/>
    <s v=""/>
    <s v=""/>
    <s v=""/>
    <s v=""/>
    <n v="20"/>
    <n v="0"/>
    <n v="35.997"/>
    <m/>
    <m/>
    <n v="0"/>
    <n v="0"/>
    <n v="0"/>
    <s v=""/>
    <m/>
    <s v=""/>
    <s v=""/>
    <s v=""/>
    <s v=""/>
    <s v=""/>
    <s v=""/>
    <s v=""/>
    <s v=""/>
    <s v=""/>
    <s v="LNG "/>
    <x v="31"/>
    <n v="8.689211294506085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00F0E4-C2C8-48D6-B542-E32A38860458}" name="PivotTable2" cacheId="15"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 rowHeaderCaption="Sector Analysis / Industry" fieldListSortAscending="1">
  <location ref="A3:C4" firstHeaderRow="0" firstDataRow="1" firstDataCol="1" rowPageCount="1" colPageCount="1"/>
  <pivotFields count="204">
    <pivotField showAll="0"/>
    <pivotField showAll="0"/>
    <pivotField showAll="0"/>
    <pivotField showAll="0"/>
    <pivotField axis="axisRow" showAll="0">
      <items count="159">
        <item x="15"/>
        <item x="96"/>
        <item h="1" m="1" x="157"/>
        <item x="142"/>
        <item x="35"/>
        <item x="104"/>
        <item x="63"/>
        <item x="83"/>
        <item x="41"/>
        <item x="99"/>
        <item x="8"/>
        <item x="123"/>
        <item x="10"/>
        <item x="77"/>
        <item x="0"/>
        <item x="107"/>
        <item x="26"/>
        <item x="61"/>
        <item x="23"/>
        <item x="29"/>
        <item x="58"/>
        <item x="129"/>
        <item x="57"/>
        <item x="36"/>
        <item x="43"/>
        <item x="56"/>
        <item x="55"/>
        <item x="46"/>
        <item x="52"/>
        <item x="53"/>
        <item x="113"/>
        <item x="93"/>
        <item x="66"/>
        <item x="67"/>
        <item x="155"/>
        <item x="70"/>
        <item x="44"/>
        <item x="135"/>
        <item x="79"/>
        <item x="80"/>
        <item x="82"/>
        <item x="84"/>
        <item x="86"/>
        <item x="128"/>
        <item x="92"/>
        <item x="48"/>
        <item x="100"/>
        <item x="106"/>
        <item x="109"/>
        <item x="137"/>
        <item x="120"/>
        <item x="116"/>
        <item x="151"/>
        <item x="88"/>
        <item x="50"/>
        <item x="117"/>
        <item x="138"/>
        <item x="132"/>
        <item x="110"/>
        <item x="68"/>
        <item x="28"/>
        <item x="51"/>
        <item x="153"/>
        <item x="114"/>
        <item x="115"/>
        <item x="131"/>
        <item x="98"/>
        <item x="144"/>
        <item x="146"/>
        <item x="69"/>
        <item x="130"/>
        <item x="90"/>
        <item x="91"/>
        <item x="7"/>
        <item x="94"/>
        <item x="141"/>
        <item x="111"/>
        <item x="147"/>
        <item x="152"/>
        <item x="75"/>
        <item x="139"/>
        <item h="1" x="154"/>
        <item h="1" x="148"/>
        <item h="1" x="24"/>
        <item h="1" x="124"/>
        <item h="1" x="72"/>
        <item h="1" x="105"/>
        <item h="1" x="136"/>
        <item h="1" x="12"/>
        <item h="1" x="45"/>
        <item h="1" x="5"/>
        <item h="1" x="59"/>
        <item h="1" x="103"/>
        <item h="1" x="11"/>
        <item h="1" x="4"/>
        <item h="1" x="134"/>
        <item h="1" x="140"/>
        <item h="1" x="21"/>
        <item h="1" x="81"/>
        <item h="1" x="62"/>
        <item h="1" x="149"/>
        <item h="1" x="9"/>
        <item h="1" x="143"/>
        <item h="1" x="74"/>
        <item h="1" x="1"/>
        <item h="1" x="19"/>
        <item h="1" x="3"/>
        <item h="1" x="6"/>
        <item h="1" x="13"/>
        <item h="1" x="76"/>
        <item h="1" x="17"/>
        <item h="1" x="22"/>
        <item h="1" x="25"/>
        <item h="1" x="27"/>
        <item h="1" x="30"/>
        <item h="1" x="33"/>
        <item h="1" x="34"/>
        <item h="1" x="37"/>
        <item h="1" x="38"/>
        <item h="1" x="42"/>
        <item h="1" x="87"/>
        <item h="1" x="54"/>
        <item h="1" x="64"/>
        <item h="1" x="32"/>
        <item h="1" x="78"/>
        <item h="1" x="14"/>
        <item h="1" x="85"/>
        <item h="1" x="39"/>
        <item h="1" x="40"/>
        <item h="1" x="95"/>
        <item h="1" x="97"/>
        <item h="1" x="101"/>
        <item h="1" x="102"/>
        <item h="1" x="2"/>
        <item h="1" x="125"/>
        <item h="1" x="71"/>
        <item h="1" x="119"/>
        <item h="1" x="121"/>
        <item h="1" x="31"/>
        <item h="1" x="20"/>
        <item h="1" x="60"/>
        <item h="1" x="133"/>
        <item h="1" x="145"/>
        <item h="1" x="16"/>
        <item h="1" x="18"/>
        <item h="1" x="47"/>
        <item h="1" x="49"/>
        <item h="1" x="65"/>
        <item h="1" x="73"/>
        <item h="1" x="89"/>
        <item h="1" x="108"/>
        <item h="1" x="112"/>
        <item h="1" x="118"/>
        <item h="1" x="122"/>
        <item h="1" x="126"/>
        <item h="1" x="127"/>
        <item h="1" x="150"/>
        <item h="1" x="156"/>
        <item t="default"/>
      </items>
    </pivotField>
    <pivotField axis="axisRow" showAll="0" sortType="descending">
      <items count="21">
        <item sd="0" x="5"/>
        <item h="1" m="1" x="19"/>
        <item x="8"/>
        <item x="3"/>
        <item x="14"/>
        <item x="0"/>
        <item x="2"/>
        <item x="13"/>
        <item sd="0" x="15"/>
        <item x="12"/>
        <item x="1"/>
        <item x="9"/>
        <item x="11"/>
        <item x="4"/>
        <item x="10"/>
        <item x="7"/>
        <item x="17"/>
        <item x="18"/>
        <item h="1" x="6"/>
        <item h="1" x="16"/>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numFmtId="44" showAll="0"/>
    <pivotField numFmtId="166"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2" showAll="0"/>
    <pivotField showAll="0"/>
    <pivotField showAll="0"/>
    <pivotField showAll="0"/>
    <pivotField showAll="0"/>
    <pivotField showAll="0"/>
    <pivotField showAll="0"/>
    <pivotField numFmtId="166" showAll="0"/>
    <pivotField numFmtId="166" showAll="0"/>
    <pivotField showAll="0"/>
    <pivotField numFmtId="166" showAll="0"/>
    <pivotField showAll="0"/>
    <pivotField numFmtId="166"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44" showAll="0"/>
    <pivotField showAll="0"/>
    <pivotField numFmtId="44" showAll="0"/>
    <pivotField showAll="0"/>
    <pivotField showAll="0"/>
    <pivotField showAll="0"/>
    <pivotField numFmtId="44"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8" showAll="0"/>
    <pivotField showAll="0"/>
    <pivotField numFmtId="4" showAll="0"/>
    <pivotField showAll="0"/>
    <pivotField showAll="0"/>
    <pivotField numFmtId="166"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multipleItemSelectionAllowed="1" showAll="0">
      <items count="478">
        <item h="1" x="0"/>
        <item m="1" x="87"/>
        <item m="1" x="455"/>
        <item m="1" x="129"/>
        <item m="1" x="305"/>
        <item m="1" x="143"/>
        <item m="1" x="327"/>
        <item m="1" x="196"/>
        <item m="1" x="382"/>
        <item m="1" x="425"/>
        <item m="1" x="402"/>
        <item m="1" x="144"/>
        <item m="1" x="350"/>
        <item m="1" x="173"/>
        <item m="1" x="52"/>
        <item m="1" x="80"/>
        <item m="1" x="230"/>
        <item m="1" x="75"/>
        <item m="1" x="334"/>
        <item m="1" x="289"/>
        <item m="1" x="96"/>
        <item h="1" m="1" x="184"/>
        <item h="1" m="1" x="66"/>
        <item h="1" m="1" x="353"/>
        <item h="1" m="1" x="133"/>
        <item h="1" m="1" x="101"/>
        <item h="1" m="1" x="444"/>
        <item h="1" m="1" x="146"/>
        <item h="1" m="1" x="73"/>
        <item h="1" m="1" x="328"/>
        <item h="1" m="1" x="68"/>
        <item h="1" m="1" x="77"/>
        <item h="1" m="1" x="150"/>
        <item h="1" m="1" x="167"/>
        <item h="1" m="1" x="221"/>
        <item m="1" x="415"/>
        <item m="1" x="299"/>
        <item h="1" m="1" x="252"/>
        <item m="1" x="286"/>
        <item m="1" x="182"/>
        <item h="1" m="1" x="236"/>
        <item m="1" x="416"/>
        <item m="1" x="426"/>
        <item m="1" x="418"/>
        <item m="1" x="318"/>
        <item m="1" x="311"/>
        <item m="1" x="231"/>
        <item m="1" x="117"/>
        <item m="1" x="132"/>
        <item m="1" x="128"/>
        <item m="1" x="172"/>
        <item m="1" x="83"/>
        <item m="1" x="134"/>
        <item h="1" m="1" x="370"/>
        <item h="1" m="1" x="225"/>
        <item m="1" x="304"/>
        <item m="1" x="177"/>
        <item m="1" x="344"/>
        <item h="1" m="1" x="251"/>
        <item m="1" x="427"/>
        <item h="1" m="1" x="317"/>
        <item h="1" m="1" x="253"/>
        <item h="1" m="1" x="122"/>
        <item h="1" m="1" x="120"/>
        <item h="1" m="1" x="276"/>
        <item h="1" m="1" x="324"/>
        <item h="1" m="1" x="298"/>
        <item h="1" m="1" x="343"/>
        <item m="1" x="474"/>
        <item h="1" m="1" x="473"/>
        <item m="1" x="168"/>
        <item h="1" m="1" x="115"/>
        <item m="1" x="346"/>
        <item h="1" m="1" x="235"/>
        <item h="1" m="1" x="283"/>
        <item h="1" m="1" x="411"/>
        <item m="1" x="207"/>
        <item m="1" x="95"/>
        <item m="1" x="447"/>
        <item h="1" m="1" x="102"/>
        <item m="1" x="360"/>
        <item h="1" m="1" x="341"/>
        <item h="1" m="1" x="439"/>
        <item m="1" x="476"/>
        <item m="1" x="466"/>
        <item m="1" x="245"/>
        <item m="1" x="381"/>
        <item m="1" x="445"/>
        <item m="1" x="403"/>
        <item m="1" x="140"/>
        <item m="1" x="240"/>
        <item m="1" x="189"/>
        <item m="1" x="234"/>
        <item m="1" x="159"/>
        <item m="1" x="429"/>
        <item m="1" x="297"/>
        <item m="1" x="257"/>
        <item m="1" x="217"/>
        <item m="1" x="413"/>
        <item m="1" x="94"/>
        <item m="1" x="376"/>
        <item m="1" x="284"/>
        <item m="1" x="372"/>
        <item m="1" x="351"/>
        <item m="1" x="434"/>
        <item m="1" x="378"/>
        <item m="1" x="332"/>
        <item m="1" x="220"/>
        <item m="1" x="295"/>
        <item m="1" x="424"/>
        <item m="1" x="166"/>
        <item m="1" x="281"/>
        <item m="1" x="74"/>
        <item m="1" x="475"/>
        <item m="1" x="272"/>
        <item m="1" x="301"/>
        <item m="1" x="113"/>
        <item m="1" x="111"/>
        <item m="1" x="222"/>
        <item m="1" x="76"/>
        <item m="1" x="124"/>
        <item m="1" x="181"/>
        <item m="1" x="451"/>
        <item m="1" x="349"/>
        <item m="1" x="422"/>
        <item m="1" x="389"/>
        <item m="1" x="288"/>
        <item m="1" x="92"/>
        <item h="1" m="1" x="228"/>
        <item h="1" m="1" x="211"/>
        <item h="1" m="1" x="88"/>
        <item h="1" m="1" x="395"/>
        <item m="1" x="138"/>
        <item m="1" x="312"/>
        <item m="1" x="405"/>
        <item m="1" x="93"/>
        <item m="1" x="383"/>
        <item m="1" x="412"/>
        <item m="1" x="352"/>
        <item m="1" x="69"/>
        <item m="1" x="282"/>
        <item m="1" x="293"/>
        <item m="1" x="192"/>
        <item m="1" x="213"/>
        <item m="1" x="264"/>
        <item m="1" x="387"/>
        <item m="1" x="310"/>
        <item m="1" x="277"/>
        <item m="1" x="242"/>
        <item m="1" x="261"/>
        <item m="1" x="468"/>
        <item m="1" x="218"/>
        <item m="1" x="407"/>
        <item m="1" x="119"/>
        <item m="1" x="308"/>
        <item m="1" x="467"/>
        <item m="1" x="107"/>
        <item m="1" x="336"/>
        <item m="1" x="457"/>
        <item m="1" x="391"/>
        <item m="1" x="170"/>
        <item m="1" x="296"/>
        <item m="1" x="357"/>
        <item m="1" x="329"/>
        <item m="1" x="428"/>
        <item m="1" x="239"/>
        <item m="1" x="174"/>
        <item m="1" x="410"/>
        <item m="1" x="151"/>
        <item m="1" x="169"/>
        <item m="1" x="209"/>
        <item m="1" x="433"/>
        <item m="1" x="358"/>
        <item m="1" x="79"/>
        <item m="1" x="223"/>
        <item m="1" x="368"/>
        <item m="1" x="388"/>
        <item m="1" x="371"/>
        <item m="1" x="348"/>
        <item m="1" x="137"/>
        <item m="1" x="335"/>
        <item m="1" x="408"/>
        <item m="1" x="420"/>
        <item m="1" x="333"/>
        <item m="1" x="307"/>
        <item m="1" x="190"/>
        <item m="1" x="432"/>
        <item m="1" x="374"/>
        <item m="1" x="438"/>
        <item m="1" x="470"/>
        <item m="1" x="198"/>
        <item m="1" x="248"/>
        <item m="1" x="232"/>
        <item m="1" x="421"/>
        <item m="1" x="180"/>
        <item m="1" x="359"/>
        <item m="1" x="254"/>
        <item m="1" x="81"/>
        <item m="1" x="142"/>
        <item m="1" x="163"/>
        <item m="1" x="409"/>
        <item m="1" x="465"/>
        <item m="1" x="197"/>
        <item m="1" x="149"/>
        <item m="1" x="156"/>
        <item m="1" x="210"/>
        <item m="1" x="406"/>
        <item m="1" x="419"/>
        <item m="1" x="292"/>
        <item m="1" x="291"/>
        <item m="1" x="161"/>
        <item m="1" x="200"/>
        <item m="1" x="121"/>
        <item m="1" x="460"/>
        <item m="1" x="118"/>
        <item m="1" x="227"/>
        <item m="1" x="139"/>
        <item m="1" x="82"/>
        <item m="1" x="131"/>
        <item m="1" x="290"/>
        <item m="1" x="183"/>
        <item m="1" x="266"/>
        <item m="1" x="127"/>
        <item m="1" x="86"/>
        <item m="1" x="461"/>
        <item m="1" x="285"/>
        <item m="1" x="237"/>
        <item m="1" x="185"/>
        <item m="1" x="97"/>
        <item m="1" x="171"/>
        <item m="1" x="278"/>
        <item m="1" x="442"/>
        <item m="1" x="393"/>
        <item m="1" x="313"/>
        <item m="1" x="440"/>
        <item m="1" x="462"/>
        <item m="1" x="214"/>
        <item m="1" x="385"/>
        <item m="1" x="215"/>
        <item m="1" x="246"/>
        <item m="1" x="448"/>
        <item m="1" x="456"/>
        <item m="1" x="256"/>
        <item m="1" x="195"/>
        <item m="1" x="233"/>
        <item m="1" x="147"/>
        <item m="1" x="337"/>
        <item m="1" x="320"/>
        <item m="1" x="162"/>
        <item m="1" x="453"/>
        <item m="1" x="287"/>
        <item m="1" x="414"/>
        <item m="1" x="314"/>
        <item m="1" x="255"/>
        <item m="1" x="315"/>
        <item m="1" x="354"/>
        <item m="1" x="386"/>
        <item m="1" x="104"/>
        <item m="1" x="250"/>
        <item m="1" x="269"/>
        <item m="1" x="135"/>
        <item m="1" x="89"/>
        <item m="1" x="141"/>
        <item x="5"/>
        <item m="1" x="339"/>
        <item m="1" x="431"/>
        <item m="1" x="176"/>
        <item m="1" x="361"/>
        <item m="1" x="423"/>
        <item m="1" x="205"/>
        <item m="1" x="110"/>
        <item m="1" x="145"/>
        <item m="1" x="219"/>
        <item m="1" x="464"/>
        <item m="1" x="364"/>
        <item m="1" x="452"/>
        <item m="1" x="306"/>
        <item m="1" x="126"/>
        <item m="1" x="204"/>
        <item m="1" x="203"/>
        <item m="1" x="249"/>
        <item m="1" x="404"/>
        <item m="1" x="326"/>
        <item m="1" x="430"/>
        <item m="1" x="338"/>
        <item m="1" x="188"/>
        <item m="1" x="179"/>
        <item m="1" x="100"/>
        <item m="1" x="300"/>
        <item m="1" x="441"/>
        <item m="1" x="265"/>
        <item m="1" x="340"/>
        <item m="1" x="417"/>
        <item m="1" x="399"/>
        <item m="1" x="377"/>
        <item m="1" x="323"/>
        <item m="1" x="471"/>
        <item m="1" x="106"/>
        <item m="1" x="186"/>
        <item m="1" x="398"/>
        <item m="1" x="267"/>
        <item m="1" x="152"/>
        <item m="1" x="443"/>
        <item m="1" x="90"/>
        <item m="1" x="157"/>
        <item m="1" x="394"/>
        <item m="1" x="208"/>
        <item m="1" x="472"/>
        <item m="1" x="187"/>
        <item m="1" x="294"/>
        <item m="1" x="316"/>
        <item m="1" x="309"/>
        <item m="1" x="114"/>
        <item m="1" x="244"/>
        <item m="1" x="362"/>
        <item m="1" x="401"/>
        <item m="1" x="345"/>
        <item m="1" x="400"/>
        <item m="1" x="158"/>
        <item m="1" x="369"/>
        <item m="1" x="375"/>
        <item m="1" x="469"/>
        <item m="1" x="259"/>
        <item m="1" x="71"/>
        <item m="1" x="365"/>
        <item m="1" x="275"/>
        <item m="1" x="268"/>
        <item m="1" x="303"/>
        <item m="1" x="454"/>
        <item m="1" x="153"/>
        <item m="1" x="450"/>
        <item m="1" x="379"/>
        <item m="1" x="437"/>
        <item m="1" x="262"/>
        <item m="1" x="99"/>
        <item m="1" x="98"/>
        <item m="1" x="366"/>
        <item m="1" x="319"/>
        <item m="1" x="331"/>
        <item m="1" x="64"/>
        <item m="1" x="280"/>
        <item m="1" x="363"/>
        <item m="1" x="330"/>
        <item m="1" x="263"/>
        <item m="1" x="392"/>
        <item m="1" x="206"/>
        <item m="1" x="446"/>
        <item m="1" x="260"/>
        <item m="1" x="216"/>
        <item m="1" x="154"/>
        <item m="1" x="356"/>
        <item m="1" x="355"/>
        <item m="1" x="108"/>
        <item m="1" x="130"/>
        <item m="1" x="212"/>
        <item m="1" x="347"/>
        <item m="1" x="50"/>
        <item m="1" x="247"/>
        <item m="1" x="125"/>
        <item m="1" x="322"/>
        <item m="1" x="373"/>
        <item m="1" x="224"/>
        <item m="1" x="342"/>
        <item m="1" x="109"/>
        <item m="1" x="241"/>
        <item m="1" x="458"/>
        <item m="1" x="321"/>
        <item m="1" x="279"/>
        <item m="1" x="178"/>
        <item m="1" x="229"/>
        <item m="1" x="226"/>
        <item m="1" x="436"/>
        <item m="1" x="435"/>
        <item m="1" x="116"/>
        <item m="1" x="243"/>
        <item m="1" x="390"/>
        <item m="1" x="175"/>
        <item m="1" x="165"/>
        <item m="1" x="160"/>
        <item m="1" x="463"/>
        <item m="1" x="270"/>
        <item m="1" x="193"/>
        <item m="1" x="202"/>
        <item m="1" x="136"/>
        <item m="1" x="194"/>
        <item m="1" x="67"/>
        <item m="1" x="384"/>
        <item m="1" x="380"/>
        <item m="1" x="325"/>
        <item m="1" x="302"/>
        <item m="1" x="459"/>
        <item m="1" x="103"/>
        <item m="1" x="155"/>
        <item m="1" x="397"/>
        <item m="1" x="105"/>
        <item m="1" x="91"/>
        <item m="1" x="78"/>
        <item m="1" x="273"/>
        <item m="1" x="258"/>
        <item m="1" x="449"/>
        <item m="1" x="72"/>
        <item m="1" x="85"/>
        <item m="1" x="199"/>
        <item m="1" x="201"/>
        <item m="1" x="238"/>
        <item m="1" x="396"/>
        <item m="1" x="367"/>
        <item m="1" x="271"/>
        <item m="1" x="191"/>
        <item m="1" x="84"/>
        <item m="1" x="274"/>
        <item m="1" x="123"/>
        <item m="1" x="70"/>
        <item m="1" x="112"/>
        <item m="1" x="148"/>
        <item m="1" x="65"/>
        <item m="1" x="164"/>
        <item m="1" x="32"/>
        <item m="1" x="33"/>
        <item m="1" x="34"/>
        <item m="1" x="35"/>
        <item m="1" x="36"/>
        <item m="1" x="37"/>
        <item m="1" x="38"/>
        <item m="1" x="39"/>
        <item m="1" x="40"/>
        <item m="1" x="41"/>
        <item m="1" x="42"/>
        <item m="1" x="43"/>
        <item m="1" x="44"/>
        <item m="1" x="45"/>
        <item m="1" x="46"/>
        <item m="1" x="47"/>
        <item m="1" x="48"/>
        <item m="1" x="49"/>
        <item m="1" x="51"/>
        <item m="1" x="53"/>
        <item m="1" x="54"/>
        <item m="1" x="55"/>
        <item m="1" x="56"/>
        <item m="1" x="57"/>
        <item m="1" x="58"/>
        <item m="1" x="59"/>
        <item m="1" x="60"/>
        <item m="1" x="61"/>
        <item m="1" x="62"/>
        <item m="1" x="63"/>
        <item h="1" x="1"/>
        <item h="1" x="2"/>
        <item h="1" x="3"/>
        <item h="1" x="4"/>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t="default"/>
      </items>
    </pivotField>
    <pivotField showAll="0"/>
  </pivotFields>
  <rowFields count="2">
    <field x="5"/>
    <field x="4"/>
  </rowFields>
  <rowItems count="1">
    <i t="grand">
      <x/>
    </i>
  </rowItems>
  <colFields count="1">
    <field x="-2"/>
  </colFields>
  <colItems count="2">
    <i>
      <x/>
    </i>
    <i i="1">
      <x v="1"/>
    </i>
  </colItems>
  <pageFields count="1">
    <pageField fld="202" hier="-1"/>
  </pageFields>
  <dataFields count="2">
    <dataField name="Total Exposure" fld="202" baseField="4" baseItem="6" numFmtId="42"/>
    <dataField name="Pct of Total" fld="202" showDataAs="percentOfTotal" baseField="4" baseItem="2" numFmtId="165"/>
  </dataFields>
  <formats count="7">
    <format dxfId="180">
      <pivotArea dataOnly="0" labelOnly="1" outline="0" axis="axisValues" fieldPosition="0"/>
    </format>
    <format dxfId="179">
      <pivotArea dataOnly="0" labelOnly="1" outline="0" axis="axisValues" fieldPosition="0"/>
    </format>
    <format dxfId="178">
      <pivotArea outline="0" collapsedLevelsAreSubtotals="1" fieldPosition="0"/>
    </format>
    <format dxfId="177">
      <pivotArea dataOnly="0" labelOnly="1" outline="0" axis="axisValues" fieldPosition="0"/>
    </format>
    <format dxfId="176">
      <pivotArea dataOnly="0" labelOnly="1" outline="0" axis="axisValues" fieldPosition="0"/>
    </format>
    <format dxfId="175">
      <pivotArea outline="0" fieldPosition="0">
        <references count="1">
          <reference field="4294967294" count="1">
            <x v="0"/>
          </reference>
        </references>
      </pivotArea>
    </format>
    <format dxfId="174">
      <pivotArea outline="0" fieldPosition="0">
        <references count="1">
          <reference field="4294967294" count="1">
            <x v="1"/>
          </reference>
        </references>
      </pivotArea>
    </format>
  </formats>
  <chartFormats count="80">
    <chartFormat chart="1" format="75" series="1">
      <pivotArea type="data" outline="0" fieldPosition="0">
        <references count="1">
          <reference field="4294967294" count="1" selected="0">
            <x v="0"/>
          </reference>
        </references>
      </pivotArea>
    </chartFormat>
    <chartFormat chart="1" format="76">
      <pivotArea type="data" outline="0" fieldPosition="0">
        <references count="2">
          <reference field="4294967294" count="1" selected="0">
            <x v="0"/>
          </reference>
          <reference field="5" count="1" selected="0">
            <x v="3"/>
          </reference>
        </references>
      </pivotArea>
    </chartFormat>
    <chartFormat chart="1" format="77">
      <pivotArea type="data" outline="0" fieldPosition="0">
        <references count="3">
          <reference field="4294967294" count="1" selected="0">
            <x v="0"/>
          </reference>
          <reference field="4" count="1" selected="0">
            <x v="38"/>
          </reference>
          <reference field="5" count="1" selected="0">
            <x v="4"/>
          </reference>
        </references>
      </pivotArea>
    </chartFormat>
    <chartFormat chart="1" format="78">
      <pivotArea type="data" outline="0" fieldPosition="0">
        <references count="3">
          <reference field="4294967294" count="1" selected="0">
            <x v="0"/>
          </reference>
          <reference field="4" count="1" selected="0">
            <x v="45"/>
          </reference>
          <reference field="5" count="1" selected="0">
            <x v="4"/>
          </reference>
        </references>
      </pivotArea>
    </chartFormat>
    <chartFormat chart="1" format="79">
      <pivotArea type="data" outline="0" fieldPosition="0">
        <references count="3">
          <reference field="4294967294" count="1" selected="0">
            <x v="0"/>
          </reference>
          <reference field="4" count="1" selected="0">
            <x v="54"/>
          </reference>
          <reference field="5" count="1" selected="0">
            <x v="4"/>
          </reference>
        </references>
      </pivotArea>
    </chartFormat>
    <chartFormat chart="1" format="81">
      <pivotArea type="data" outline="0" fieldPosition="0">
        <references count="3">
          <reference field="4294967294" count="1" selected="0">
            <x v="0"/>
          </reference>
          <reference field="4" count="1" selected="0">
            <x v="80"/>
          </reference>
          <reference field="5" count="1" selected="0">
            <x v="4"/>
          </reference>
        </references>
      </pivotArea>
    </chartFormat>
    <chartFormat chart="1" format="82">
      <pivotArea type="data" outline="0" fieldPosition="0">
        <references count="2">
          <reference field="4294967294" count="1" selected="0">
            <x v="0"/>
          </reference>
          <reference field="5" count="1" selected="0">
            <x v="5"/>
          </reference>
        </references>
      </pivotArea>
    </chartFormat>
    <chartFormat chart="1" format="83">
      <pivotArea type="data" outline="0" fieldPosition="0">
        <references count="3">
          <reference field="4294967294" count="1" selected="0">
            <x v="0"/>
          </reference>
          <reference field="4" count="1" selected="0">
            <x v="37"/>
          </reference>
          <reference field="5" count="1" selected="0">
            <x v="6"/>
          </reference>
        </references>
      </pivotArea>
    </chartFormat>
    <chartFormat chart="1" format="84">
      <pivotArea type="data" outline="0" fieldPosition="0">
        <references count="3">
          <reference field="4294967294" count="1" selected="0">
            <x v="0"/>
          </reference>
          <reference field="4" count="1" selected="0">
            <x v="57"/>
          </reference>
          <reference field="5" count="1" selected="0">
            <x v="6"/>
          </reference>
        </references>
      </pivotArea>
    </chartFormat>
    <chartFormat chart="1" format="85">
      <pivotArea type="data" outline="0" fieldPosition="0">
        <references count="3">
          <reference field="4294967294" count="1" selected="0">
            <x v="0"/>
          </reference>
          <reference field="4" count="1" selected="0">
            <x v="60"/>
          </reference>
          <reference field="5" count="1" selected="0">
            <x v="6"/>
          </reference>
        </references>
      </pivotArea>
    </chartFormat>
    <chartFormat chart="1" format="87">
      <pivotArea type="data" outline="0" fieldPosition="0">
        <references count="2">
          <reference field="4294967294" count="1" selected="0">
            <x v="0"/>
          </reference>
          <reference field="5" count="1" selected="0">
            <x v="8"/>
          </reference>
        </references>
      </pivotArea>
    </chartFormat>
    <chartFormat chart="1" format="88" series="1">
      <pivotArea type="data" outline="0" fieldPosition="0">
        <references count="1">
          <reference field="4294967294" count="1" selected="0">
            <x v="1"/>
          </reference>
        </references>
      </pivotArea>
    </chartFormat>
    <chartFormat chart="1" format="89">
      <pivotArea type="data" outline="0" fieldPosition="0">
        <references count="2">
          <reference field="4294967294" count="1" selected="0">
            <x v="1"/>
          </reference>
          <reference field="5" count="1" selected="0">
            <x v="3"/>
          </reference>
        </references>
      </pivotArea>
    </chartFormat>
    <chartFormat chart="1" format="90">
      <pivotArea type="data" outline="0" fieldPosition="0">
        <references count="3">
          <reference field="4294967294" count="1" selected="0">
            <x v="1"/>
          </reference>
          <reference field="4" count="1" selected="0">
            <x v="38"/>
          </reference>
          <reference field="5" count="1" selected="0">
            <x v="4"/>
          </reference>
        </references>
      </pivotArea>
    </chartFormat>
    <chartFormat chart="1" format="91">
      <pivotArea type="data" outline="0" fieldPosition="0">
        <references count="3">
          <reference field="4294967294" count="1" selected="0">
            <x v="1"/>
          </reference>
          <reference field="4" count="1" selected="0">
            <x v="45"/>
          </reference>
          <reference field="5" count="1" selected="0">
            <x v="4"/>
          </reference>
        </references>
      </pivotArea>
    </chartFormat>
    <chartFormat chart="1" format="92">
      <pivotArea type="data" outline="0" fieldPosition="0">
        <references count="3">
          <reference field="4294967294" count="1" selected="0">
            <x v="1"/>
          </reference>
          <reference field="4" count="1" selected="0">
            <x v="54"/>
          </reference>
          <reference field="5" count="1" selected="0">
            <x v="4"/>
          </reference>
        </references>
      </pivotArea>
    </chartFormat>
    <chartFormat chart="1" format="94">
      <pivotArea type="data" outline="0" fieldPosition="0">
        <references count="3">
          <reference field="4294967294" count="1" selected="0">
            <x v="1"/>
          </reference>
          <reference field="4" count="1" selected="0">
            <x v="80"/>
          </reference>
          <reference field="5" count="1" selected="0">
            <x v="4"/>
          </reference>
        </references>
      </pivotArea>
    </chartFormat>
    <chartFormat chart="1" format="95">
      <pivotArea type="data" outline="0" fieldPosition="0">
        <references count="2">
          <reference field="4294967294" count="1" selected="0">
            <x v="1"/>
          </reference>
          <reference field="5" count="1" selected="0">
            <x v="5"/>
          </reference>
        </references>
      </pivotArea>
    </chartFormat>
    <chartFormat chart="1" format="96">
      <pivotArea type="data" outline="0" fieldPosition="0">
        <references count="3">
          <reference field="4294967294" count="1" selected="0">
            <x v="1"/>
          </reference>
          <reference field="4" count="1" selected="0">
            <x v="37"/>
          </reference>
          <reference field="5" count="1" selected="0">
            <x v="6"/>
          </reference>
        </references>
      </pivotArea>
    </chartFormat>
    <chartFormat chart="1" format="97">
      <pivotArea type="data" outline="0" fieldPosition="0">
        <references count="3">
          <reference field="4294967294" count="1" selected="0">
            <x v="1"/>
          </reference>
          <reference field="4" count="1" selected="0">
            <x v="57"/>
          </reference>
          <reference field="5" count="1" selected="0">
            <x v="6"/>
          </reference>
        </references>
      </pivotArea>
    </chartFormat>
    <chartFormat chart="1" format="98">
      <pivotArea type="data" outline="0" fieldPosition="0">
        <references count="3">
          <reference field="4294967294" count="1" selected="0">
            <x v="1"/>
          </reference>
          <reference field="4" count="1" selected="0">
            <x v="60"/>
          </reference>
          <reference field="5" count="1" selected="0">
            <x v="6"/>
          </reference>
        </references>
      </pivotArea>
    </chartFormat>
    <chartFormat chart="1" format="100">
      <pivotArea type="data" outline="0" fieldPosition="0">
        <references count="2">
          <reference field="4294967294" count="1" selected="0">
            <x v="1"/>
          </reference>
          <reference field="5" count="1" selected="0">
            <x v="8"/>
          </reference>
        </references>
      </pivotArea>
    </chartFormat>
    <chartFormat chart="1" format="101">
      <pivotArea type="data" outline="0" fieldPosition="0">
        <references count="2">
          <reference field="4294967294" count="1" selected="0">
            <x v="0"/>
          </reference>
          <reference field="5" count="1" selected="0">
            <x v="4"/>
          </reference>
        </references>
      </pivotArea>
    </chartFormat>
    <chartFormat chart="1" format="102">
      <pivotArea type="data" outline="0" fieldPosition="0">
        <references count="2">
          <reference field="4294967294" count="1" selected="0">
            <x v="1"/>
          </reference>
          <reference field="5" count="1" selected="0">
            <x v="4"/>
          </reference>
        </references>
      </pivotArea>
    </chartFormat>
    <chartFormat chart="1" format="103">
      <pivotArea type="data" outline="0" fieldPosition="0">
        <references count="2">
          <reference field="4294967294" count="1" selected="0">
            <x v="0"/>
          </reference>
          <reference field="5" count="1" selected="0">
            <x v="2"/>
          </reference>
        </references>
      </pivotArea>
    </chartFormat>
    <chartFormat chart="1" format="104">
      <pivotArea type="data" outline="0" fieldPosition="0">
        <references count="2">
          <reference field="4294967294" count="1" selected="0">
            <x v="0"/>
          </reference>
          <reference field="5" count="1" selected="0">
            <x v="6"/>
          </reference>
        </references>
      </pivotArea>
    </chartFormat>
    <chartFormat chart="1" format="105">
      <pivotArea type="data" outline="0" fieldPosition="0">
        <references count="2">
          <reference field="4294967294" count="1" selected="0">
            <x v="0"/>
          </reference>
          <reference field="5" count="1" selected="0">
            <x v="7"/>
          </reference>
        </references>
      </pivotArea>
    </chartFormat>
    <chartFormat chart="1" format="106">
      <pivotArea type="data" outline="0" fieldPosition="0">
        <references count="2">
          <reference field="4294967294" count="1" selected="0">
            <x v="1"/>
          </reference>
          <reference field="5" count="1" selected="0">
            <x v="2"/>
          </reference>
        </references>
      </pivotArea>
    </chartFormat>
    <chartFormat chart="1" format="107">
      <pivotArea type="data" outline="0" fieldPosition="0">
        <references count="2">
          <reference field="4294967294" count="1" selected="0">
            <x v="1"/>
          </reference>
          <reference field="5" count="1" selected="0">
            <x v="6"/>
          </reference>
        </references>
      </pivotArea>
    </chartFormat>
    <chartFormat chart="1" format="108">
      <pivotArea type="data" outline="0" fieldPosition="0">
        <references count="2">
          <reference field="4294967294" count="1" selected="0">
            <x v="1"/>
          </reference>
          <reference field="5" count="1" selected="0">
            <x v="7"/>
          </reference>
        </references>
      </pivotArea>
    </chartFormat>
    <chartFormat chart="1" format="110">
      <pivotArea type="data" outline="0" fieldPosition="0">
        <references count="3">
          <reference field="4294967294" count="1" selected="0">
            <x v="0"/>
          </reference>
          <reference field="4" count="1" selected="0">
            <x v="16"/>
          </reference>
          <reference field="5" count="1" selected="0">
            <x v="6"/>
          </reference>
        </references>
      </pivotArea>
    </chartFormat>
    <chartFormat chart="1" format="114">
      <pivotArea type="data" outline="0" fieldPosition="0">
        <references count="3">
          <reference field="4294967294" count="1" selected="0">
            <x v="1"/>
          </reference>
          <reference field="4" count="1" selected="0">
            <x v="16"/>
          </reference>
          <reference field="5" count="1" selected="0">
            <x v="6"/>
          </reference>
        </references>
      </pivotArea>
    </chartFormat>
    <chartFormat chart="1" format="117">
      <pivotArea type="data" outline="0" fieldPosition="0">
        <references count="3">
          <reference field="4294967294" count="1" selected="0">
            <x v="0"/>
          </reference>
          <reference field="4" count="1" selected="0">
            <x v="9"/>
          </reference>
          <reference field="5" count="1" selected="0">
            <x v="5"/>
          </reference>
        </references>
      </pivotArea>
    </chartFormat>
    <chartFormat chart="1" format="118">
      <pivotArea type="data" outline="0" fieldPosition="0">
        <references count="3">
          <reference field="4294967294" count="1" selected="0">
            <x v="0"/>
          </reference>
          <reference field="4" count="1" selected="0">
            <x v="34"/>
          </reference>
          <reference field="5" count="1" selected="0">
            <x v="5"/>
          </reference>
        </references>
      </pivotArea>
    </chartFormat>
    <chartFormat chart="1" format="119">
      <pivotArea type="data" outline="0" fieldPosition="0">
        <references count="3">
          <reference field="4294967294" count="1" selected="0">
            <x v="0"/>
          </reference>
          <reference field="4" count="1" selected="0">
            <x v="59"/>
          </reference>
          <reference field="5" count="1" selected="0">
            <x v="5"/>
          </reference>
        </references>
      </pivotArea>
    </chartFormat>
    <chartFormat chart="1" format="121">
      <pivotArea type="data" outline="0" fieldPosition="0">
        <references count="3">
          <reference field="4294967294" count="1" selected="0">
            <x v="1"/>
          </reference>
          <reference field="4" count="1" selected="0">
            <x v="9"/>
          </reference>
          <reference field="5" count="1" selected="0">
            <x v="5"/>
          </reference>
        </references>
      </pivotArea>
    </chartFormat>
    <chartFormat chart="1" format="122">
      <pivotArea type="data" outline="0" fieldPosition="0">
        <references count="3">
          <reference field="4294967294" count="1" selected="0">
            <x v="1"/>
          </reference>
          <reference field="4" count="1" selected="0">
            <x v="34"/>
          </reference>
          <reference field="5" count="1" selected="0">
            <x v="5"/>
          </reference>
        </references>
      </pivotArea>
    </chartFormat>
    <chartFormat chart="1" format="123">
      <pivotArea type="data" outline="0" fieldPosition="0">
        <references count="3">
          <reference field="4294967294" count="1" selected="0">
            <x v="1"/>
          </reference>
          <reference field="4" count="1" selected="0">
            <x v="59"/>
          </reference>
          <reference field="5" count="1" selected="0">
            <x v="5"/>
          </reference>
        </references>
      </pivotArea>
    </chartFormat>
    <chartFormat chart="1" format="127">
      <pivotArea type="data" outline="0" fieldPosition="0">
        <references count="3">
          <reference field="4294967294" count="1" selected="0">
            <x v="0"/>
          </reference>
          <reference field="4" count="1" selected="0">
            <x v="36"/>
          </reference>
          <reference field="5" count="1" selected="0">
            <x v="4"/>
          </reference>
        </references>
      </pivotArea>
    </chartFormat>
    <chartFormat chart="1" format="128">
      <pivotArea type="data" outline="0" fieldPosition="0">
        <references count="3">
          <reference field="4294967294" count="1" selected="0">
            <x v="1"/>
          </reference>
          <reference field="4" count="1" selected="0">
            <x v="36"/>
          </reference>
          <reference field="5" count="1" selected="0">
            <x v="4"/>
          </reference>
        </references>
      </pivotArea>
    </chartFormat>
    <chartFormat chart="1" format="131">
      <pivotArea type="data" outline="0" fieldPosition="0">
        <references count="3">
          <reference field="4294967294" count="1" selected="0">
            <x v="0"/>
          </reference>
          <reference field="4" count="1" selected="0">
            <x v="46"/>
          </reference>
          <reference field="5" count="1" selected="0">
            <x v="7"/>
          </reference>
        </references>
      </pivotArea>
    </chartFormat>
    <chartFormat chart="1" format="132">
      <pivotArea type="data" outline="0" fieldPosition="0">
        <references count="3">
          <reference field="4294967294" count="1" selected="0">
            <x v="0"/>
          </reference>
          <reference field="4" count="1" selected="0">
            <x v="53"/>
          </reference>
          <reference field="5" count="1" selected="0">
            <x v="7"/>
          </reference>
        </references>
      </pivotArea>
    </chartFormat>
    <chartFormat chart="1" format="133">
      <pivotArea type="data" outline="0" fieldPosition="0">
        <references count="3">
          <reference field="4294967294" count="1" selected="0">
            <x v="0"/>
          </reference>
          <reference field="4" count="1" selected="0">
            <x v="64"/>
          </reference>
          <reference field="5" count="1" selected="0">
            <x v="7"/>
          </reference>
        </references>
      </pivotArea>
    </chartFormat>
    <chartFormat chart="1" format="134">
      <pivotArea type="data" outline="0" fieldPosition="0">
        <references count="3">
          <reference field="4294967294" count="1" selected="0">
            <x v="1"/>
          </reference>
          <reference field="4" count="1" selected="0">
            <x v="46"/>
          </reference>
          <reference field="5" count="1" selected="0">
            <x v="7"/>
          </reference>
        </references>
      </pivotArea>
    </chartFormat>
    <chartFormat chart="1" format="135">
      <pivotArea type="data" outline="0" fieldPosition="0">
        <references count="3">
          <reference field="4294967294" count="1" selected="0">
            <x v="1"/>
          </reference>
          <reference field="4" count="1" selected="0">
            <x v="53"/>
          </reference>
          <reference field="5" count="1" selected="0">
            <x v="7"/>
          </reference>
        </references>
      </pivotArea>
    </chartFormat>
    <chartFormat chart="1" format="136">
      <pivotArea type="data" outline="0" fieldPosition="0">
        <references count="3">
          <reference field="4294967294" count="1" selected="0">
            <x v="1"/>
          </reference>
          <reference field="4" count="1" selected="0">
            <x v="64"/>
          </reference>
          <reference field="5" count="1" selected="0">
            <x v="7"/>
          </reference>
        </references>
      </pivotArea>
    </chartFormat>
    <chartFormat chart="1" format="137">
      <pivotArea type="data" outline="0" fieldPosition="0">
        <references count="3">
          <reference field="4294967294" count="1" selected="0">
            <x v="0"/>
          </reference>
          <reference field="4" count="1" selected="0">
            <x v="4"/>
          </reference>
          <reference field="5" count="1" selected="0">
            <x v="2"/>
          </reference>
        </references>
      </pivotArea>
    </chartFormat>
    <chartFormat chart="1" format="138">
      <pivotArea type="data" outline="0" fieldPosition="0">
        <references count="3">
          <reference field="4294967294" count="1" selected="0">
            <x v="0"/>
          </reference>
          <reference field="4" count="1" selected="0">
            <x v="19"/>
          </reference>
          <reference field="5" count="1" selected="0">
            <x v="2"/>
          </reference>
        </references>
      </pivotArea>
    </chartFormat>
    <chartFormat chart="1" format="139">
      <pivotArea type="data" outline="0" fieldPosition="0">
        <references count="3">
          <reference field="4294967294" count="1" selected="0">
            <x v="0"/>
          </reference>
          <reference field="4" count="1" selected="0">
            <x v="21"/>
          </reference>
          <reference field="5" count="1" selected="0">
            <x v="2"/>
          </reference>
        </references>
      </pivotArea>
    </chartFormat>
    <chartFormat chart="1" format="140">
      <pivotArea type="data" outline="0" fieldPosition="0">
        <references count="3">
          <reference field="4294967294" count="1" selected="0">
            <x v="0"/>
          </reference>
          <reference field="4" count="1" selected="0">
            <x v="0"/>
          </reference>
          <reference field="5" count="1" selected="0">
            <x v="3"/>
          </reference>
        </references>
      </pivotArea>
    </chartFormat>
    <chartFormat chart="1" format="141">
      <pivotArea type="data" outline="0" fieldPosition="0">
        <references count="3">
          <reference field="4294967294" count="1" selected="0">
            <x v="0"/>
          </reference>
          <reference field="4" count="1" selected="0">
            <x v="5"/>
          </reference>
          <reference field="5" count="1" selected="0">
            <x v="3"/>
          </reference>
        </references>
      </pivotArea>
    </chartFormat>
    <chartFormat chart="1" format="142">
      <pivotArea type="data" outline="0" fieldPosition="0">
        <references count="3">
          <reference field="4294967294" count="1" selected="0">
            <x v="0"/>
          </reference>
          <reference field="4" count="1" selected="0">
            <x v="29"/>
          </reference>
          <reference field="5" count="1" selected="0">
            <x v="3"/>
          </reference>
        </references>
      </pivotArea>
    </chartFormat>
    <chartFormat chart="1" format="143">
      <pivotArea type="data" outline="0" fieldPosition="0">
        <references count="3">
          <reference field="4294967294" count="1" selected="0">
            <x v="1"/>
          </reference>
          <reference field="4" count="1" selected="0">
            <x v="4"/>
          </reference>
          <reference field="5" count="1" selected="0">
            <x v="2"/>
          </reference>
        </references>
      </pivotArea>
    </chartFormat>
    <chartFormat chart="1" format="144">
      <pivotArea type="data" outline="0" fieldPosition="0">
        <references count="3">
          <reference field="4294967294" count="1" selected="0">
            <x v="1"/>
          </reference>
          <reference field="4" count="1" selected="0">
            <x v="19"/>
          </reference>
          <reference field="5" count="1" selected="0">
            <x v="2"/>
          </reference>
        </references>
      </pivotArea>
    </chartFormat>
    <chartFormat chart="1" format="145">
      <pivotArea type="data" outline="0" fieldPosition="0">
        <references count="3">
          <reference field="4294967294" count="1" selected="0">
            <x v="1"/>
          </reference>
          <reference field="4" count="1" selected="0">
            <x v="21"/>
          </reference>
          <reference field="5" count="1" selected="0">
            <x v="2"/>
          </reference>
        </references>
      </pivotArea>
    </chartFormat>
    <chartFormat chart="1" format="146">
      <pivotArea type="data" outline="0" fieldPosition="0">
        <references count="3">
          <reference field="4294967294" count="1" selected="0">
            <x v="1"/>
          </reference>
          <reference field="4" count="1" selected="0">
            <x v="0"/>
          </reference>
          <reference field="5" count="1" selected="0">
            <x v="3"/>
          </reference>
        </references>
      </pivotArea>
    </chartFormat>
    <chartFormat chart="1" format="147">
      <pivotArea type="data" outline="0" fieldPosition="0">
        <references count="3">
          <reference field="4294967294" count="1" selected="0">
            <x v="1"/>
          </reference>
          <reference field="4" count="1" selected="0">
            <x v="5"/>
          </reference>
          <reference field="5" count="1" selected="0">
            <x v="3"/>
          </reference>
        </references>
      </pivotArea>
    </chartFormat>
    <chartFormat chart="1" format="148">
      <pivotArea type="data" outline="0" fieldPosition="0">
        <references count="3">
          <reference field="4294967294" count="1" selected="0">
            <x v="1"/>
          </reference>
          <reference field="4" count="1" selected="0">
            <x v="29"/>
          </reference>
          <reference field="5" count="1" selected="0">
            <x v="3"/>
          </reference>
        </references>
      </pivotArea>
    </chartFormat>
    <chartFormat chart="1" format="149">
      <pivotArea type="data" outline="0" fieldPosition="0">
        <references count="3">
          <reference field="4294967294" count="1" selected="0">
            <x v="0"/>
          </reference>
          <reference field="4" count="1" selected="0">
            <x v="44"/>
          </reference>
          <reference field="5" count="1" selected="0">
            <x v="6"/>
          </reference>
        </references>
      </pivotArea>
    </chartFormat>
    <chartFormat chart="1" format="151">
      <pivotArea type="data" outline="0" fieldPosition="0">
        <references count="3">
          <reference field="4294967294" count="1" selected="0">
            <x v="0"/>
          </reference>
          <reference field="4" count="1" selected="0">
            <x v="25"/>
          </reference>
          <reference field="5" count="1" selected="0">
            <x v="4"/>
          </reference>
        </references>
      </pivotArea>
    </chartFormat>
    <chartFormat chart="1" format="152">
      <pivotArea type="data" outline="0" fieldPosition="0">
        <references count="3">
          <reference field="4294967294" count="1" selected="0">
            <x v="0"/>
          </reference>
          <reference field="4" count="1" selected="0">
            <x v="55"/>
          </reference>
          <reference field="5" count="1" selected="0">
            <x v="4"/>
          </reference>
        </references>
      </pivotArea>
    </chartFormat>
    <chartFormat chart="1" format="153">
      <pivotArea type="data" outline="0" fieldPosition="0">
        <references count="3">
          <reference field="4294967294" count="1" selected="0">
            <x v="0"/>
          </reference>
          <reference field="4" count="1" selected="0">
            <x v="8"/>
          </reference>
          <reference field="5" count="1" selected="0">
            <x v="14"/>
          </reference>
        </references>
      </pivotArea>
    </chartFormat>
    <chartFormat chart="1" format="154">
      <pivotArea type="data" outline="0" fieldPosition="0">
        <references count="3">
          <reference field="4294967294" count="1" selected="0">
            <x v="0"/>
          </reference>
          <reference field="4" count="1" selected="0">
            <x v="9"/>
          </reference>
          <reference field="5" count="1" selected="0">
            <x v="14"/>
          </reference>
        </references>
      </pivotArea>
    </chartFormat>
    <chartFormat chart="1" format="155">
      <pivotArea type="data" outline="0" fieldPosition="0">
        <references count="3">
          <reference field="4294967294" count="1" selected="0">
            <x v="0"/>
          </reference>
          <reference field="4" count="1" selected="0">
            <x v="54"/>
          </reference>
          <reference field="5" count="1" selected="0">
            <x v="16"/>
          </reference>
        </references>
      </pivotArea>
    </chartFormat>
    <chartFormat chart="1" format="156">
      <pivotArea type="data" outline="0" fieldPosition="0">
        <references count="3">
          <reference field="4294967294" count="1" selected="0">
            <x v="0"/>
          </reference>
          <reference field="4" count="1" selected="0">
            <x v="27"/>
          </reference>
          <reference field="5" count="1" selected="0">
            <x v="15"/>
          </reference>
        </references>
      </pivotArea>
    </chartFormat>
    <chartFormat chart="1" format="158">
      <pivotArea type="data" outline="0" fieldPosition="0">
        <references count="3">
          <reference field="4294967294" count="1" selected="0">
            <x v="1"/>
          </reference>
          <reference field="4" count="1" selected="0">
            <x v="44"/>
          </reference>
          <reference field="5" count="1" selected="0">
            <x v="6"/>
          </reference>
        </references>
      </pivotArea>
    </chartFormat>
    <chartFormat chart="1" format="160">
      <pivotArea type="data" outline="0" fieldPosition="0">
        <references count="3">
          <reference field="4294967294" count="1" selected="0">
            <x v="1"/>
          </reference>
          <reference field="4" count="1" selected="0">
            <x v="25"/>
          </reference>
          <reference field="5" count="1" selected="0">
            <x v="4"/>
          </reference>
        </references>
      </pivotArea>
    </chartFormat>
    <chartFormat chart="1" format="161">
      <pivotArea type="data" outline="0" fieldPosition="0">
        <references count="3">
          <reference field="4294967294" count="1" selected="0">
            <x v="1"/>
          </reference>
          <reference field="4" count="1" selected="0">
            <x v="55"/>
          </reference>
          <reference field="5" count="1" selected="0">
            <x v="4"/>
          </reference>
        </references>
      </pivotArea>
    </chartFormat>
    <chartFormat chart="1" format="162">
      <pivotArea type="data" outline="0" fieldPosition="0">
        <references count="3">
          <reference field="4294967294" count="1" selected="0">
            <x v="1"/>
          </reference>
          <reference field="4" count="1" selected="0">
            <x v="8"/>
          </reference>
          <reference field="5" count="1" selected="0">
            <x v="14"/>
          </reference>
        </references>
      </pivotArea>
    </chartFormat>
    <chartFormat chart="1" format="163">
      <pivotArea type="data" outline="0" fieldPosition="0">
        <references count="3">
          <reference field="4294967294" count="1" selected="0">
            <x v="1"/>
          </reference>
          <reference field="4" count="1" selected="0">
            <x v="9"/>
          </reference>
          <reference field="5" count="1" selected="0">
            <x v="14"/>
          </reference>
        </references>
      </pivotArea>
    </chartFormat>
    <chartFormat chart="1" format="164">
      <pivotArea type="data" outline="0" fieldPosition="0">
        <references count="3">
          <reference field="4294967294" count="1" selected="0">
            <x v="1"/>
          </reference>
          <reference field="4" count="1" selected="0">
            <x v="54"/>
          </reference>
          <reference field="5" count="1" selected="0">
            <x v="16"/>
          </reference>
        </references>
      </pivotArea>
    </chartFormat>
    <chartFormat chart="1" format="165">
      <pivotArea type="data" outline="0" fieldPosition="0">
        <references count="3">
          <reference field="4294967294" count="1" selected="0">
            <x v="1"/>
          </reference>
          <reference field="4" count="1" selected="0">
            <x v="27"/>
          </reference>
          <reference field="5" count="1" selected="0">
            <x v="15"/>
          </reference>
        </references>
      </pivotArea>
    </chartFormat>
    <chartFormat chart="1" format="167">
      <pivotArea type="data" outline="0" fieldPosition="0">
        <references count="3">
          <reference field="4294967294" count="1" selected="0">
            <x v="0"/>
          </reference>
          <reference field="4" count="1" selected="0">
            <x v="7"/>
          </reference>
          <reference field="5" count="1" selected="0">
            <x v="5"/>
          </reference>
        </references>
      </pivotArea>
    </chartFormat>
    <chartFormat chart="1" format="168">
      <pivotArea type="data" outline="0" fieldPosition="0">
        <references count="3">
          <reference field="4294967294" count="1" selected="0">
            <x v="0"/>
          </reference>
          <reference field="4" count="1" selected="0">
            <x v="43"/>
          </reference>
          <reference field="5" count="1" selected="0">
            <x v="5"/>
          </reference>
        </references>
      </pivotArea>
    </chartFormat>
    <chartFormat chart="1" format="169">
      <pivotArea type="data" outline="0" fieldPosition="0">
        <references count="3">
          <reference field="4294967294" count="1" selected="0">
            <x v="0"/>
          </reference>
          <reference field="4" count="1" selected="0">
            <x v="61"/>
          </reference>
          <reference field="5" count="1" selected="0">
            <x v="5"/>
          </reference>
        </references>
      </pivotArea>
    </chartFormat>
    <chartFormat chart="1" format="171">
      <pivotArea type="data" outline="0" fieldPosition="0">
        <references count="3">
          <reference field="4294967294" count="1" selected="0">
            <x v="1"/>
          </reference>
          <reference field="4" count="1" selected="0">
            <x v="7"/>
          </reference>
          <reference field="5" count="1" selected="0">
            <x v="5"/>
          </reference>
        </references>
      </pivotArea>
    </chartFormat>
    <chartFormat chart="1" format="172">
      <pivotArea type="data" outline="0" fieldPosition="0">
        <references count="3">
          <reference field="4294967294" count="1" selected="0">
            <x v="1"/>
          </reference>
          <reference field="4" count="1" selected="0">
            <x v="43"/>
          </reference>
          <reference field="5" count="1" selected="0">
            <x v="5"/>
          </reference>
        </references>
      </pivotArea>
    </chartFormat>
    <chartFormat chart="1" format="173">
      <pivotArea type="data" outline="0" fieldPosition="0">
        <references count="3">
          <reference field="4294967294" count="1" selected="0">
            <x v="1"/>
          </reference>
          <reference field="4" count="1" selected="0">
            <x v="61"/>
          </reference>
          <reference field="5" count="1" selected="0">
            <x v="5"/>
          </reference>
        </references>
      </pivotArea>
    </chartFormat>
    <chartFormat chart="1" format="175">
      <pivotArea type="data" outline="0" fieldPosition="0">
        <references count="1">
          <reference field="4294967294" count="1" selected="0">
            <x v="0"/>
          </reference>
        </references>
      </pivotArea>
    </chartFormat>
    <chartFormat chart="1" format="176">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B0560-660F-4FA4-B413-B37E35D90017}" name="SnapshotTable" displayName="SnapshotTable" ref="B8:GW251" insertRowShift="1" totalsRowCount="1" headerRowDxfId="490" totalsRowDxfId="489">
  <autoFilter ref="B8:GW250" xr:uid="{4CAB0560-660F-4FA4-B413-B37E35D90017}">
    <filterColumn colId="67">
      <customFilters>
        <customFilter operator="notEqual" val=" "/>
      </customFilters>
    </filterColumn>
  </autoFilter>
  <tableColumns count="204">
    <tableColumn id="1" xr3:uid="{00000000-0010-0000-0000-000001000000}" name="Symbol" totalsRowFunction="count" dataDxfId="488" totalsRowDxfId="137" dataCellStyle="Normal 2"/>
    <tableColumn id="2" xr3:uid="{00000000-0010-0000-0000-000002000000}" name="Last Price" totalsRowLabel=" . " totalsRowDxfId="136" dataCellStyle="Currency"/>
    <tableColumn id="73" xr3:uid="{55746430-3EAF-48A7-9CCF-D32B3C1B2A6E}" name="Goal" dataDxfId="487" totalsRowDxfId="135" dataCellStyle="Currency"/>
    <tableColumn id="82" xr3:uid="{00000000-0010-0000-0000-000052000000}" name="Market Crash Price" dataDxfId="486" totalsRowDxfId="134" dataCellStyle="Comma 2">
      <calculatedColumnFormula>SnapshotTable[[#This Row],[Last Price]]*(1 -CrashDiscount)</calculatedColumnFormula>
    </tableColumn>
    <tableColumn id="127" xr3:uid="{00000000-0010-0000-0000-00007F000000}" name="Industry" dataDxfId="485" totalsRowDxfId="133" dataCellStyle="Comma 2"/>
    <tableColumn id="22" xr3:uid="{00000000-0010-0000-0000-000016000000}" name="Sector" dataDxfId="484" totalsRowDxfId="132" dataCellStyle="Comma 2"/>
    <tableColumn id="108" xr3:uid="{00000000-0010-0000-0000-00006C000000}" name="Watch List" dataDxfId="483" totalsRowDxfId="482" dataCellStyle="Percent 2"/>
    <tableColumn id="56" xr3:uid="{00000000-0010-0000-0000-000038000000}" name="Earnings Date" dataDxfId="481" totalsRowDxfId="131" dataCellStyle="Currency 2"/>
    <tableColumn id="72" xr3:uid="{00000000-0010-0000-0000-000048000000}" name="Earnings Time" dataDxfId="480" totalsRowDxfId="130" dataCellStyle="Percent 2"/>
    <tableColumn id="24" xr3:uid="{00000000-0010-0000-0000-000018000000}" name="Earnings Status" dataDxfId="479" totalsRowDxfId="129" dataCellStyle="Percent 2"/>
    <tableColumn id="48" xr3:uid="{00000000-0010-0000-0000-000030000000}" name="Next Catalyst" dataDxfId="478" totalsRowDxfId="128" dataCellStyle="Percent 2"/>
    <tableColumn id="4" xr3:uid="{00000000-0010-0000-0000-000004000000}" name="AAP Rank" dataDxfId="477" totalsRowDxfId="127" dataCellStyle="Normal 2"/>
    <tableColumn id="35" xr3:uid="{00000000-0010-0000-0000-000023000000}" name="Is Core" dataDxfId="476" totalsRowDxfId="126" dataCellStyle="Normal 2"/>
    <tableColumn id="55" xr3:uid="{00000000-0010-0000-0000-000037000000}" name="EBF Rank" dataDxfId="475" totalsRowDxfId="125" dataCellStyle="Normal 2"/>
    <tableColumn id="5" xr3:uid="{00000000-0010-0000-0000-000005000000}" name="Equity Shares" totalsRowFunction="sum" dataDxfId="474" totalsRowDxfId="124" dataCellStyle="Comma 2"/>
    <tableColumn id="6" xr3:uid="{00000000-0010-0000-0000-000006000000}" name="Equity Basis Total" totalsRowFunction="sum" dataDxfId="473" totalsRowDxfId="123" dataCellStyle="Currency 2"/>
    <tableColumn id="36" xr3:uid="{00000000-0010-0000-0000-000024000000}" name="Equity Basis Per Share" dataDxfId="472" totalsRowDxfId="122" dataCellStyle="Currency 2">
      <calculatedColumnFormula>IF(SnapshotTable[[#This Row],[Equity Basis Total]] &gt; 0, SnapshotTable[[#This Row],[Equity Basis Total]] / SnapshotTable[[#This Row],[Equity Shares]], "")</calculatedColumnFormula>
    </tableColumn>
    <tableColumn id="7" xr3:uid="{00000000-0010-0000-0000-000007000000}" name="Equity Value" totalsRowFunction="sum" dataDxfId="471" totalsRowDxfId="121" dataCellStyle="Currency 2">
      <calculatedColumnFormula>SnapshotTable[[#This Row],[Last Price]] * SnapshotTable[[#This Row],[Equity Shares]]</calculatedColumnFormula>
    </tableColumn>
    <tableColumn id="8" xr3:uid="{00000000-0010-0000-0000-000008000000}" name="Equity G/L" totalsRowFunction="sum" dataDxfId="470" totalsRowDxfId="120" dataCellStyle="Currency 2">
      <calculatedColumnFormula>SnapshotTable[[#This Row],[Equity Value]] - SnapshotTable[[#This Row],[Equity Basis Total]]</calculatedColumnFormula>
    </tableColumn>
    <tableColumn id="9" xr3:uid="{00000000-0010-0000-0000-000009000000}" name="Equity ROI" dataDxfId="469" totalsRowDxfId="468" dataCellStyle="Percent 2">
      <calculatedColumnFormula>IF(SnapshotTable[[#This Row],[Equity Basis Total]] &gt; 0, SnapshotTable[[#This Row],[Equity G/L]] / SnapshotTable[[#This Row],[Equity Basis Total]], "")</calculatedColumnFormula>
    </tableColumn>
    <tableColumn id="191" xr3:uid="{CE5F830B-E730-4EF1-841D-075F79EEDE08}" name="Equity Target" dataDxfId="467" totalsRowDxfId="119" dataCellStyle="Currency"/>
    <tableColumn id="192" xr3:uid="{BEC037CD-3406-4BAD-8DF7-A8EDFBC47F31}" name="Equity Stop Loss" dataDxfId="466" totalsRowDxfId="118" dataCellStyle="Currency"/>
    <tableColumn id="193" xr3:uid="{1EC9B947-7450-43D3-83BF-3867320491B2}" name="Equity Max Gain Per Share" dataDxfId="465" totalsRowDxfId="117" dataCellStyle="Currency 2">
      <calculatedColumnFormula>IF(AND(ISNUMBER(SnapshotTable[[#This Row],[Equity Basis Per Share]]),ISNUMBER(SnapshotTable[[#This Row],[Equity Target]])),SnapshotTable[[#This Row],[Equity Target]]-SnapshotTable[[#This Row],[Equity Basis Per Share]],"")</calculatedColumnFormula>
    </tableColumn>
    <tableColumn id="194" xr3:uid="{EB723D27-9EA6-424B-BF2D-3A86952CCC71}" name="Equity Max Loss Per Share" dataDxfId="464" totalsRowDxfId="116" dataCellStyle="Currency 2">
      <calculatedColumnFormula>IF(AND(ISNUMBER(SnapshotTable[[#This Row],[Equity Basis Per Share]]),ISNUMBER(SnapshotTable[[#This Row],[Equity Stop Loss]])),SnapshotTable[[#This Row],[Equity Stop Loss]]-SnapshotTable[[#This Row],[Equity Basis Per Share]],"")</calculatedColumnFormula>
    </tableColumn>
    <tableColumn id="195" xr3:uid="{94962346-657C-40EB-BECD-D2C9BD6A8BFE}" name="Risk Reward" dataDxfId="463" totalsRowDxfId="115" dataCellStyle="Currency 2">
      <calculatedColumnFormula>IFERROR( TEXT(SnapshotTable[[#This Row],[Equity Max Gain Per Share]] /ABS( SnapshotTable[[#This Row],[Equity Max Loss Per Share]]),"0.0 " ) &amp; " : 1", "")</calculatedColumnFormula>
    </tableColumn>
    <tableColumn id="196" xr3:uid="{09456F42-A566-408F-9A08-60A6ABE5B5BD}" name="Equity Max Profit" totalsRowFunction="sum" dataDxfId="462" totalsRowDxfId="114" dataCellStyle="Currency 2">
      <calculatedColumnFormula>IF(ISNUMBER(SnapshotTable[[#This Row],[Equity Max Gain Per Share]]),SnapshotTable[[#This Row],[Equity Max Gain Per Share]] * SnapshotTable[[#This Row],[Equity Shares]],"")</calculatedColumnFormula>
    </tableColumn>
    <tableColumn id="197" xr3:uid="{22DE4794-27AE-47FF-91D1-DB9D18E3A75F}" name="Equity Max Risk" totalsRowFunction="sum" dataDxfId="461" totalsRowDxfId="113" dataCellStyle="Currency 2">
      <calculatedColumnFormula>IF(ISNUMBER(SnapshotTable[[#This Row],[Equity Max Loss Per Share]]),SnapshotTable[[#This Row],[Equity Max Loss Per Share]] * SnapshotTable[[#This Row],[Equity Shares]],"")</calculatedColumnFormula>
    </tableColumn>
    <tableColumn id="10" xr3:uid="{00000000-0010-0000-0000-00000A000000}" name="Annual Dividend Per Share" dataDxfId="460" totalsRowDxfId="459" dataCellStyle="Currency 2"/>
    <tableColumn id="12" xr3:uid="{00000000-0010-0000-0000-00000C000000}" name="Div Pay Date" dataDxfId="458" totalsRowDxfId="112" dataCellStyle="Normal 2"/>
    <tableColumn id="45" xr3:uid="{00000000-0010-0000-0000-00002D000000}" name="Quarterly Div $" totalsRowFunction="sum" dataDxfId="457" totalsRowDxfId="111" dataCellStyle="Currency 2">
      <calculatedColumnFormula>(SnapshotTable[[#This Row],[Annual Dividend Per Share]] / 4) * SnapshotTable[[#This Row],[Equity Shares]]</calculatedColumnFormula>
    </tableColumn>
    <tableColumn id="13" xr3:uid="{00000000-0010-0000-0000-00000D000000}" name="Annual Div $" totalsRowFunction="sum" dataDxfId="456" totalsRowDxfId="110" dataCellStyle="Currency 2">
      <calculatedColumnFormula>SnapshotTable[[#This Row],[Quarterly Div $]] * 4</calculatedColumnFormula>
    </tableColumn>
    <tableColumn id="50" xr3:uid="{00000000-0010-0000-0000-000032000000}" name="Div Yield" dataDxfId="455" totalsRowDxfId="454" dataCellStyle="Percent 2">
      <calculatedColumnFormula>IF(SnapshotTable[[#This Row],[Annual Dividend Per Share]]&gt;0, SnapshotTable[[#This Row],[Annual Dividend Per Share]]  / SnapshotTable[[#This Row],[Last Price]], 0)</calculatedColumnFormula>
    </tableColumn>
    <tableColumn id="11" xr3:uid="{00000000-0010-0000-0000-00000B000000}" name="Div Ex Date" dataDxfId="453" totalsRowDxfId="109" dataCellStyle="Normal 2"/>
    <tableColumn id="143" xr3:uid="{00000000-0010-0000-0000-00008F000000}" name="EBF Target" dataDxfId="452" totalsRowDxfId="451" dataCellStyle="Currency 2"/>
    <tableColumn id="14" xr3:uid="{00000000-0010-0000-0000-00000E000000}" name="Long Term Target" dataDxfId="450" totalsRowDxfId="108" dataCellStyle="Currency 2"/>
    <tableColumn id="144" xr3:uid="{00000000-0010-0000-0000-000090000000}" name="AAP % From Current" dataDxfId="449" totalsRowDxfId="107" dataCellStyle="Percent 2">
      <calculatedColumnFormula>IF(ISNUMBER( SnapshotTable[[#This Row],[EBF Target]]),(SnapshotTable[[#This Row],[EBF Target]] - SnapshotTable[[#This Row],[Last Price]]) / SnapshotTable[[#This Row],[Last Price]], "")</calculatedColumnFormula>
    </tableColumn>
    <tableColumn id="40" xr3:uid="{00000000-0010-0000-0000-000028000000}" name="From Basis % " dataDxfId="448" totalsRowDxfId="447" dataCellStyle="Percent 2">
      <calculatedColumnFormula>IF(AND(SnapshotTable[[#This Row],[Equity Basis Total]] &gt; 0,ISNUMBER( SnapshotTable[[#This Row],[Long Term Target]])), SnapshotTable[[#This Row],[From Basis $]] / SnapshotTable[[#This Row],[Equity Basis Total]], "")</calculatedColumnFormula>
    </tableColumn>
    <tableColumn id="15" xr3:uid="{00000000-0010-0000-0000-00000F000000}" name="From Basis $" totalsRowFunction="sum" dataDxfId="446" totalsRowDxfId="106" dataCellStyle="Normal 2">
      <calculatedColumnFormula>IF( AND(SnapshotTable[[#This Row],[Equity Shares]] &gt;0,ISNUMBER( SnapshotTable[[#This Row],[Long Term Target]])),(SnapshotTable[[#This Row],[Equity Shares]] * SnapshotTable[[#This Row],[Long Term Target]]) - SnapshotTable[[#This Row],[Equity Basis Total]],0)</calculatedColumnFormula>
    </tableColumn>
    <tableColumn id="131" xr3:uid="{00000000-0010-0000-0000-000083000000}" name="From Current $" totalsRowFunction="sum" dataDxfId="445" totalsRowDxfId="105" dataCellStyle="Normal 2">
      <calculatedColumnFormula>IF( AND(SnapshotTable[[#This Row],[Equity Shares]] &gt;0,ISNUMBER( SnapshotTable[[#This Row],[Long Term Target]])),(SnapshotTable[[#This Row],[Equity Shares]]*SnapshotTable[[#This Row],[Long Term Target]]) - SnapshotTable[[#This Row],[Equity Value]],0)</calculatedColumnFormula>
    </tableColumn>
    <tableColumn id="130" xr3:uid="{00000000-0010-0000-0000-000082000000}" name="From Current %" dataDxfId="444" totalsRowDxfId="443" dataCellStyle="Percent 2">
      <calculatedColumnFormula>IF(AND(ISNUMBER( SnapshotTable[[#This Row],[Long Term Target]]), ISNUMBER(SnapshotTable[[#This Row],[Last Price]])),(SnapshotTable[[#This Row],[Long Term Target]] - SnapshotTable[[#This Row],[Last Price]]) / SnapshotTable[[#This Row],[Last Price]], "")</calculatedColumnFormula>
    </tableColumn>
    <tableColumn id="16" xr3:uid="{00000000-0010-0000-0000-000010000000}" name="Upside Target" dataDxfId="442" totalsRowDxfId="441" dataCellStyle="Currency 2"/>
    <tableColumn id="39" xr3:uid="{00000000-0010-0000-0000-000027000000}" name="Upside Target Reason" dataDxfId="440" totalsRowDxfId="439" dataCellStyle="Percent 2"/>
    <tableColumn id="33" xr3:uid="{00000000-0010-0000-0000-000021000000}" name="Downside Target" dataDxfId="438" totalsRowDxfId="437" dataCellStyle="Currency 2"/>
    <tableColumn id="128" xr3:uid="{00000000-0010-0000-0000-000080000000}" name="Downside Target Reason" dataDxfId="436" totalsRowDxfId="435" dataCellStyle="Percent 2"/>
    <tableColumn id="133" xr3:uid="{E8527D5A-A270-4075-ADFA-5F1C218F01B8}" name="Position Description" dataDxfId="434" totalsRowDxfId="433" dataCellStyle="Currency"/>
    <tableColumn id="156" xr3:uid="{C533F3BF-3A48-40E6-83D4-622484367491}" name="No Fill" dataDxfId="432" totalsRowDxfId="431" dataCellStyle="Currency">
      <calculatedColumnFormula>IF(OR(SnapshotTable[[#This Row],[LP No Fill]]="Y",SnapshotTable[[#This Row],[SP Is Filled]],SnapshotTable[[#This Row],[LC Not Filled]]="Y",SnapshotTable[[#This Row],[SC Is Filled]]),"Y","")</calculatedColumnFormula>
    </tableColumn>
    <tableColumn id="165" xr3:uid="{9D2B7395-91D3-47AD-8860-53883D4C1148}" name="Chat GBT" dataDxfId="430" totalsRowDxfId="429" dataCellStyle="Currency"/>
    <tableColumn id="169" xr3:uid="{6AFEB731-39D6-4E5D-A898-A6364DBF83B9}" name="Implied Move" dataDxfId="428" totalsRowDxfId="427" dataCellStyle="Currency"/>
    <tableColumn id="170" xr3:uid="{C7B302C6-1B22-4512-88EE-E971A4342405}" name="IM Date" dataDxfId="426" totalsRowDxfId="425" dataCellStyle="Currency"/>
    <tableColumn id="168" xr3:uid="{CEC142BD-64E9-4F9D-8937-1D378CC65499}" name="IM Lower Bound" dataDxfId="424" totalsRowDxfId="423" dataCellStyle="Currency">
      <calculatedColumnFormula>IF(SnapshotTable[[#This Row],[Implied Move]]&gt;0, SnapshotTable[[#This Row],[Last Price]]-SnapshotTable[[#This Row],[Implied Move]],"")</calculatedColumnFormula>
    </tableColumn>
    <tableColumn id="167" xr3:uid="{691361CA-30D7-4862-9A04-8DF1121277CF}" name="IM Upper Bound" dataDxfId="422" totalsRowDxfId="421" dataCellStyle="Currency">
      <calculatedColumnFormula>IF(SnapshotTable[[#This Row],[Implied Move]]&gt;0, SnapshotTable[[#This Row],[Last Price]] + SnapshotTable[[#This Row],[Implied Move]],"")</calculatedColumnFormula>
    </tableColumn>
    <tableColumn id="164" xr3:uid="{9E976D56-83D5-415C-B4C1-534DD496327B}" name="ACB" dataDxfId="420" totalsRowDxfId="419" dataCellStyle="Currency"/>
    <tableColumn id="163" xr3:uid="{67ADFB62-C194-4FD7-9817-4FE8935085B0}" name="To Do" dataDxfId="418" totalsRowDxfId="417" dataCellStyle="Currency"/>
    <tableColumn id="132" xr3:uid="{00000000-0010-0000-0000-000084000000}" name="Trade Exp" dataDxfId="416" totalsRowDxfId="415" dataCellStyle="Currency 2">
      <calculatedColumnFormula>IF(MIN(SnapshotTable[[#This Row],[LP Exp Date]], SnapshotTable[[#This Row],[SP Exp Date]], SnapshotTable[[#This Row],[LC Exp Date]], SnapshotTable[[#This Row],[SC Exp Date]])&gt;0, MIN(SnapshotTable[[#This Row],[LP Exp Date]], SnapshotTable[[#This Row],[SP Exp Date]], SnapshotTable[[#This Row],[LC Exp Date]], SnapshotTable[[#This Row],[SC Exp Date]]), "")</calculatedColumnFormula>
    </tableColumn>
    <tableColumn id="89" xr3:uid="{00000000-0010-0000-0000-000059000000}" name="LP Exp Date" dataDxfId="414" totalsRowDxfId="413" dataCellStyle="Currency 2"/>
    <tableColumn id="87" xr3:uid="{00000000-0010-0000-0000-000057000000}" name="LP Strike Price" dataDxfId="412" totalsRowDxfId="411" dataCellStyle="Currency 2"/>
    <tableColumn id="85" xr3:uid="{00000000-0010-0000-0000-000055000000}" name="LP Qty" dataDxfId="410" totalsRowDxfId="409" dataCellStyle="Currency 2"/>
    <tableColumn id="84" xr3:uid="{00000000-0010-0000-0000-000054000000}" name="LP Book Date" dataDxfId="408" totalsRowDxfId="407" dataCellStyle="Currency 2"/>
    <tableColumn id="134" xr3:uid="{00000000-0010-0000-0000-000086000000}" name="LP Fill Date" dataDxfId="406" totalsRowDxfId="405" dataCellStyle="Currency 2"/>
    <tableColumn id="90" xr3:uid="{00000000-0010-0000-0000-00005A000000}" name="LP Book Price" dataDxfId="404" totalsRowDxfId="104" dataCellStyle="Currency 2"/>
    <tableColumn id="91" xr3:uid="{00000000-0010-0000-0000-00005B000000}" name="LP Premium" totalsRowFunction="sum" dataDxfId="403" totalsRowDxfId="402" dataCellStyle="Currency 2">
      <calculatedColumnFormula>IF(SnapshotTable[[#This Row],[LP Qty]] &gt; 0, SnapshotTable[[#This Row],[LP Qty]] * SnapshotTable[[#This Row],[LP Book Price]] * 100,0)</calculatedColumnFormula>
    </tableColumn>
    <tableColumn id="137" xr3:uid="{E0E10A59-3BBE-4E55-8143-8ED6E3F52881}" name="LP Max Value" dataDxfId="401" totalsRowDxfId="400" dataCellStyle="Currency 2">
      <calculatedColumnFormula>IF(SnapshotTable[[#This Row],[LP Premium]] &gt; 0, SnapshotTable[[#This Row],[LP Qty]] * SnapshotTable[[#This Row],[LP Strike Price]] * 100,0)</calculatedColumnFormula>
    </tableColumn>
    <tableColumn id="126" xr3:uid="{00000000-0010-0000-0000-00007E000000}" name="LP Contract Value" dataDxfId="399" totalsRowDxfId="398" dataCellStyle="Currency 2"/>
    <tableColumn id="46" xr3:uid="{F0929170-F0BC-496A-97A0-490193A2E0B1}" name="LP Term" dataDxfId="397" totalsRowDxfId="396" dataCellStyle="Currency 2">
      <calculatedColumnFormula>IF(SnapshotTable[[#This Row],[LP Premium]] &gt; 0,SnapshotTable[[#This Row],[LP Exp Date]]-MAX(SnapshotTable[[#This Row],[LP Book Date]], SnapshotTable[[#This Row],[LP Fill Date]]),"")</calculatedColumnFormula>
    </tableColumn>
    <tableColumn id="38" xr3:uid="{DA998DFD-592E-49EF-B1E6-592FA78D4252}" name="LP DTE" dataDxfId="395" totalsRowDxfId="394" dataCellStyle="Currency 2">
      <calculatedColumnFormula>IF(ISNUMBER( SnapshotTable[[#This Row],[LP Term]]), SnapshotTable[[#This Row],[LP Exp Date]] - MockToday,"")</calculatedColumnFormula>
    </tableColumn>
    <tableColumn id="158" xr3:uid="{7A502A71-E21B-4B28-92D2-39334D396C5C}" name="LP No Fill" dataDxfId="393" totalsRowDxfId="392" dataCellStyle="Currency 2">
      <calculatedColumnFormula>IF(AND(SnapshotTable[[#This Row],[LP Exp Date]]&gt;0, SnapshotTable[[#This Row],[LP Strike Price]]&gt;0,SnapshotTable[[#This Row],[LP Qty]]&gt;0,SnapshotTable[[#This Row],[LP Book Date]]&gt;0,SnapshotTable[[#This Row],[LP Book Price]]&gt;0,SnapshotTable[[#This Row],[LP Fill Date]]=0),"Y","")</calculatedColumnFormula>
    </tableColumn>
    <tableColumn id="111" xr3:uid="{00000000-0010-0000-0000-00006F000000}" name="LP Total Value" dataDxfId="391" totalsRowDxfId="390" dataCellStyle="Currency 2">
      <calculatedColumnFormula>IF(AND(SnapshotTable[[#This Row],[LP No Fill]]&lt;&gt;"Y",SnapshotTable[[#This Row],[LP Contract Value]]&gt;0, SnapshotTable[[#This Row],[LP Qty]]&gt;0), SnapshotTable[[#This Row],[LP Contract Value]]*SnapshotTable[[#This Row],[LP Qty]]*100,"")</calculatedColumnFormula>
    </tableColumn>
    <tableColumn id="101" xr3:uid="{00000000-0010-0000-0000-000065000000}" name="SP Exp Date" dataDxfId="389" totalsRowDxfId="103" dataCellStyle="Currency 2"/>
    <tableColumn id="102" xr3:uid="{00000000-0010-0000-0000-000066000000}" name="SP Strike Price" dataDxfId="388" totalsRowDxfId="102" dataCellStyle="Currency 2"/>
    <tableColumn id="103" xr3:uid="{00000000-0010-0000-0000-000067000000}" name="SP Qty" dataDxfId="387" totalsRowDxfId="386" dataCellStyle="Currency 2"/>
    <tableColumn id="105" xr3:uid="{00000000-0010-0000-0000-000069000000}" name="SP Book Date" dataDxfId="385" totalsRowDxfId="384" dataCellStyle="Currency 2"/>
    <tableColumn id="104" xr3:uid="{00000000-0010-0000-0000-000068000000}" name="SP Fill Date" dataDxfId="383" totalsRowDxfId="101" dataCellStyle="Currency 2"/>
    <tableColumn id="106" xr3:uid="{00000000-0010-0000-0000-00006A000000}" name="SP Book Price" dataDxfId="382" totalsRowDxfId="100" dataCellStyle="Currency 2"/>
    <tableColumn id="23" xr3:uid="{FE16B83A-A56E-4FCA-ABB5-1857F5788358}" name="SP Is Booked" dataDxfId="381" totalsRowDxfId="99" dataCellStyle="Explanatory Text">
      <calculatedColumnFormula>AND(ISNUMBER(SnapshotTable[[#This Row],[SP Exp Date]]), ISNUMBER(SnapshotTable[[#This Row],[SP Strike Price]]), ISNUMBER(SnapshotTable[[#This Row],[SP Qty]]), ISNUMBER(SnapshotTable[[#This Row],[SP Book Date]]), ISNUMBER(SnapshotTable[[#This Row],[SP Book Price]]))</calculatedColumnFormula>
    </tableColumn>
    <tableColumn id="51" xr3:uid="{EEF638FE-EA0B-4A2F-9660-B5729A617312}" name="SP Is Filled" dataDxfId="380" totalsRowDxfId="98" dataCellStyle="Explanatory Text">
      <calculatedColumnFormula>AND(SnapshotTable[[#This Row],[SP Is Booked]], NOT(ISBLANK(SnapshotTable[[#This Row],[SP Fill Date]])))</calculatedColumnFormula>
    </tableColumn>
    <tableColumn id="107" xr3:uid="{00000000-0010-0000-0000-00006B000000}" name="SP Premium" totalsRowFunction="sum" dataDxfId="379" totalsRowDxfId="97" dataCellStyle="Currency 2">
      <calculatedColumnFormula>IF(SnapshotTable[[#This Row],[SP Is Booked]], SnapshotTable[[#This Row],[SP Qty]] * SnapshotTable[[#This Row],[SP Book Price]] * 100, 0)</calculatedColumnFormula>
    </tableColumn>
    <tableColumn id="218" xr3:uid="{E93F057E-D520-4FE6-81A3-E44711128D2A}" name="SP Fill Delta" dataDxfId="378" totalsRowDxfId="96" dataCellStyle="Comma"/>
    <tableColumn id="166" xr3:uid="{099512A5-D44E-405B-A584-598B74D0C9E6}" name="SP LPs" dataDxfId="377" totalsRowDxfId="95" dataCellStyle="Comma">
      <calculatedColumnFormula>SnapshotTable[[#This Row],[LP Qty]]</calculatedColumnFormula>
    </tableColumn>
    <tableColumn id="3" xr3:uid="{00000000-0010-0000-0000-000003000000}" name="SP Break Even" dataDxfId="376" totalsRowDxfId="94" dataCellStyle="Currency 2">
      <calculatedColumnFormula>IF(SnapshotTable[[#This Row],[SP Is Booked]], SnapshotTable[[#This Row],[SP Strike Price]] - SnapshotTable[[#This Row],[SP Book Price]], "")</calculatedColumnFormula>
    </tableColumn>
    <tableColumn id="83" xr3:uid="{BFC6EFF2-7A18-4B85-AE25-F172CD9559D8}" name="SP Term" dataDxfId="375" totalsRowDxfId="93" dataCellStyle="Percent 2">
      <calculatedColumnFormula>IF(SnapshotTable[[#This Row],[SP Is Booked]],SnapshotTable[[#This Row],[SP Exp Date]]-MAX(SnapshotTable[[#This Row],[SP Book Date]], SnapshotTable[[#This Row],[SP Fill Date]]),"")</calculatedColumnFormula>
    </tableColumn>
    <tableColumn id="29" xr3:uid="{B1612A1C-CA69-4208-B2EA-43DA8D0D1D28}" name="SP ROO Term" dataDxfId="374" totalsRowDxfId="92" dataCellStyle="Percent 2">
      <calculatedColumnFormula>IF(SnapshotTable[[#This Row],[SP Is Booked]], SnapshotTable[[#This Row],[SP Book Price]]/SnapshotTable[[#This Row],[SP Strike Price]], "")</calculatedColumnFormula>
    </tableColumn>
    <tableColumn id="28" xr3:uid="{5EFDA6B2-53D5-42C7-A9E2-5E243CB8CB16}" name="SP Annual ROO" dataDxfId="373" totalsRowDxfId="91" dataCellStyle="Percent 2">
      <calculatedColumnFormula>IF(ISNUMBER(SnapshotTable[[#This Row],[SP ROO Term]]),SnapshotTable[[#This Row],[SP ROO Term]]*(365/SnapshotTable[[#This Row],[SP Term]]),"")</calculatedColumnFormula>
    </tableColumn>
    <tableColumn id="214" xr3:uid="{E8C4441A-EE67-47BD-92FE-D5998938A0C9}" name="LP Protection" dataDxfId="372" totalsRowDxfId="90" dataCellStyle="Currency">
      <calculatedColumnFormula>SnapshotTable[[#This Row],[LP Strike Price]] * SnapshotTable[[#This Row],[LP Qty]] * 100</calculatedColumnFormula>
    </tableColumn>
    <tableColumn id="27" xr3:uid="{00000000-0010-0000-0000-00001B000000}" name="SP Potential Spend" totalsRowFunction="sum" dataDxfId="371" totalsRowDxfId="89" dataCellStyle="Currency 2">
      <calculatedColumnFormula>IF(ISNUMBER(SnapshotTable[[#This Row],[SP Premium]]), (SnapshotTable[[#This Row],[SP Qty]] * SnapshotTable[[#This Row],[SP Strike Price]]* 100) - SnapshotTable[[#This Row],[LP Protection]], 0)</calculatedColumnFormula>
    </tableColumn>
    <tableColumn id="26" xr3:uid="{00000000-0010-0000-0000-00001A000000}" name="SP Gap" dataDxfId="370" totalsRowDxfId="88" dataCellStyle="Percent 2">
      <calculatedColumnFormula>IF(ISNUMBER(SnapshotTable[[#This Row],[SP Break Even]]),-1 * (SnapshotTable[[#This Row],[SP Break Even]] - SnapshotTable[[#This Row],[Last Price]]) / SnapshotTable[[#This Row],[Last Price]], "")</calculatedColumnFormula>
    </tableColumn>
    <tableColumn id="25" xr3:uid="{00000000-0010-0000-0000-000019000000}" name="SP Actual Spend" totalsRowFunction="sum" dataDxfId="369" totalsRowDxfId="87" dataCellStyle="Currency 2">
      <calculatedColumnFormula>IF(AND(ISNUMBER((SnapshotTable[[#This Row],[SP Potential Spend]])), SnapshotTable[[#This Row],[SP Strike Price]] &gt; SnapshotTable[[#This Row],[Last Price]], SnapshotTable[[#This Row],[SP Is Filled]]), SnapshotTable[[#This Row],[SP Potential Spend]] -  SnapshotTable[[#This Row],[LP Max Value]], 0)</calculatedColumnFormula>
    </tableColumn>
    <tableColumn id="181" xr3:uid="{B0A5C847-1715-4386-8B91-37481428A3F2}" name="SP POW" dataDxfId="368" totalsRowDxfId="367" dataCellStyle="Currency 2"/>
    <tableColumn id="182" xr3:uid="{C414FC97-91E0-4BB6-A616-13673514D9CC}" name="SP Cash Reserve" totalsRowFunction="sum" dataDxfId="366" totalsRowDxfId="86" dataCellStyle="Currency 2">
      <calculatedColumnFormula>IF(ISNUMBER(SnapshotTable[[#This Row],[SP Potential Spend]]),IF(ISNUMBER(SnapshotTable[[#This Row],[SP POW]]), SnapshotTable[[#This Row],[SP POW]] * SnapshotTable[[#This Row],[SP Potential Spend]], SnapshotTable[[#This Row],[SP Potential Spend]]), "")</calculatedColumnFormula>
    </tableColumn>
    <tableColumn id="172" xr3:uid="{2F6CAF03-D076-47EA-848D-5C71AAAB2578}" name="SP Unfilled Potential Spend" totalsRowFunction="sum" dataDxfId="365" totalsRowDxfId="85" dataCellStyle="Currency 2">
      <calculatedColumnFormula>IF(NOT(SnapshotTable[[#This Row],[SP Is Filled]]),(SnapshotTable[[#This Row],[SP Qty]] * SnapshotTable[[#This Row],[SP Strike Price]] * 100) - SnapshotTable[[#This Row],[LP Max Value]],"")</calculatedColumnFormula>
    </tableColumn>
    <tableColumn id="19" xr3:uid="{00000000-0010-0000-0000-000013000000}" name="SP Actual Loss" totalsRowFunction="sum" dataDxfId="364" totalsRowDxfId="84" dataCellStyle="Currency 2">
      <calculatedColumnFormula>IF(SnapshotTable[[#This Row],[SP Actual Spend]]&lt;&gt;0, ((SnapshotTable[[#This Row],[SP Strike Price]]-SnapshotTable[[#This Row],[Last Price]]) *(SnapshotTable[[#This Row],[SP Qty]]*100) - SnapshotTable[[#This Row],[SP Premium]]) * - 1, "")</calculatedColumnFormula>
    </tableColumn>
    <tableColumn id="120" xr3:uid="{00000000-0010-0000-0000-000078000000}" name="SP Current Ask" dataDxfId="363" totalsRowDxfId="83" dataCellStyle="Currency 2"/>
    <tableColumn id="86" xr3:uid="{A25158D6-88C3-49B5-A9AB-3CDC3C9E186E}" name="SP Current Delta" dataDxfId="362" totalsRowDxfId="82" dataCellStyle="Comma"/>
    <tableColumn id="206" xr3:uid="{95C86BE0-9A96-46F3-B906-E4E5A445DE27}" name="SP Buyback Point" dataDxfId="361" totalsRowDxfId="81" dataCellStyle="Currency 2">
      <calculatedColumnFormula>IF(SnapshotTable[[#This Row],[SP Is Filled]], btc_max_buyback_amount(SnapshotTable[[#This Row],[SP Fill Date]],SnapshotTable[[#This Row],[SP Exp Date]], SnapshotTable[[#This Row],[SP Book Price]]),"")</calculatedColumnFormula>
    </tableColumn>
    <tableColumn id="139" xr3:uid="{8BC5C962-F539-467B-8CF2-209F87517324}" name="SP Buyback Override" dataDxfId="360" totalsRowDxfId="80" dataCellStyle="Currency 2"/>
    <tableColumn id="155" xr3:uid="{2351FD77-0D0C-471A-86AC-C63C4601D523}" name="SP Buyback Price to Use" dataDxfId="359" totalsRowDxfId="79" dataCellStyle="Currency 2">
      <calculatedColumnFormula>IF(SnapshotTable[[#This Row],[SP Premium]]&gt;0,
           IF(SnapshotTable[[#This Row],[SP Buyback Override]]&gt;0, SnapshotTable[[#This Row],[SP Buyback Override]],
               IF(SnapshotTable[[#This Row],[SP Current Ask]]&gt;0,MIN(SnapshotTable[[#This Row],[SP Current Ask]],SnapshotTable[[#This Row],[SP Buyback Point]]),
                   SnapshotTable[[#This Row],[SP Buyback Point]])),
"")</calculatedColumnFormula>
    </tableColumn>
    <tableColumn id="95" xr3:uid="{AE2D1958-BB94-48E8-96A9-BFC4620551D7}" name="SP Buyback GTC Date" dataDxfId="358" totalsRowDxfId="78" dataCellStyle="Currency 2">
      <calculatedColumnFormula>IF(SnapshotTable[[#This Row],[SP Is Filled]], btc_next_cutoff_date(SnapshotTable[[#This Row],[SP Fill Date]],SnapshotTable[[#This Row],[SP Exp Date]]),"")</calculatedColumnFormula>
    </tableColumn>
    <tableColumn id="121" xr3:uid="{00000000-0010-0000-0000-000079000000}" name="SP Should Buyback" dataDxfId="357" totalsRowDxfId="77" dataCellStyle="Currency 2">
      <calculatedColumnFormula array="1">IF(SnapshotTable[[#This Row],[SP Is Filled]], btc_should_buy_back(SnapshotTable[[#This Row],[SP Fill Date]], SnapshotTable[[#This Row],[SP Exp Date]], SnapshotTable[[#This Row],[SP Book Price]], SnapshotTable[[#This Row],[SP Current Ask]], MockToday, SnapshotTable[[#This Row],[SP Buyback Override]]),"")</calculatedColumnFormula>
    </tableColumn>
    <tableColumn id="112" xr3:uid="{A26333C8-1F5F-4706-8CF7-06054EA0D4C3}" name="SP Buyback Cutoff" dataDxfId="356" totalsRowDxfId="76" dataCellStyle="Currency 2"/>
    <tableColumn id="52" xr3:uid="{5D70CF47-F992-4583-B0D3-0400CFEBF41F}" name="SP Bid TIF" dataDxfId="355" totalsRowDxfId="75" dataCellStyle="Currency 2"/>
    <tableColumn id="37" xr3:uid="{E68FB3BB-0707-41AE-B1C0-1CDA7A879D95}" name="SP DTE" dataDxfId="354" totalsRowDxfId="74" dataCellStyle="Currency 2">
      <calculatedColumnFormula>IF(ISNUMBER( SnapshotTable[[#This Row],[SP Term]]), SnapshotTable[[#This Row],[SP Exp Date]] - MockToday,"")</calculatedColumnFormula>
    </tableColumn>
    <tableColumn id="96" xr3:uid="{00000000-0010-0000-0000-000060000000}" name="SP Buyback Cost to Close" dataDxfId="353" totalsRowDxfId="73" dataCellStyle="Currency 2">
      <calculatedColumnFormula>IF(SnapshotTable[[#This Row],[SP Is Filled]],SnapshotTable[[#This Row],[SP Buyback Price to Use]] * 100 * SnapshotTable[[#This Row],[SP Qty]], "")</calculatedColumnFormula>
    </tableColumn>
    <tableColumn id="175" xr3:uid="{CFD35373-EDF0-4510-82C8-753A0F12C0AC}" name="SP Strike  Stop Per Share" dataDxfId="352" totalsRowDxfId="72" dataCellStyle="Currency 2">
      <calculatedColumnFormula>IF(ISNUMBER(SnapshotTable[[#This Row],[SP Strike Price]]), SnapshotTable[[#This Row],[SP Strike Price]] * (1 - SP_MaxLoss_StrikePct), "")</calculatedColumnFormula>
    </tableColumn>
    <tableColumn id="177" xr3:uid="{D0431C16-4840-476E-9213-EFF0E542BDD7}" name="SP Strike  Stop  Max Loss" dataDxfId="351" totalsRowDxfId="71" dataCellStyle="Currency 2">
      <calculatedColumnFormula>IF(ISNUMBER(SnapshotTable[[#This Row],[SP Strike  Stop Per Share]]),SnapshotTable[[#This Row],[SP Premium]] - ((SnapshotTable[[#This Row],[SP Strike Price]]-SnapshotTable[[#This Row],[SP Strike  Stop Per Share]]) *(SnapshotTable[[#This Row],[SP Qty]] * 100)),"")</calculatedColumnFormula>
    </tableColumn>
    <tableColumn id="176" xr3:uid="{4542709A-935A-4EDC-A332-37ED5C3CE286}" name="SP Option  Stop Contract" dataDxfId="350" totalsRowDxfId="70" dataCellStyle="Currency 2">
      <calculatedColumnFormula>IF(AND(ISNUMBER(SnapshotTable[[#This Row],[SP Premium]]),SnapshotTable[[#This Row],[SP Premium]]&gt;0), SnapshotTable[[#This Row],[SP Book Price]] * (1 + SP_MaxLoss_OptionPct), "")</calculatedColumnFormula>
    </tableColumn>
    <tableColumn id="178" xr3:uid="{2713B119-FA84-4E12-9DEC-6F85E1649D39}" name="SP Option  Stop Total" dataDxfId="349" totalsRowDxfId="69" dataCellStyle="Currency 2">
      <calculatedColumnFormula>IF(ISNUMBER(SnapshotTable[[#This Row],[SP Option  Stop Contract]]),(SnapshotTable[[#This Row],[SP Option  Stop Contract]] *(SnapshotTable[[#This Row],[SP Qty]] * 100) - SnapshotTable[[#This Row],[SP Premium]]),"")</calculatedColumnFormula>
    </tableColumn>
    <tableColumn id="203" xr3:uid="{0208802F-36FF-4F8C-8B20-156E76437D57}" name="SP Stop Override" dataDxfId="348" totalsRowDxfId="68" dataCellStyle="Currency 2"/>
    <tableColumn id="204" xr3:uid="{18158A39-98F0-4BE7-950E-F5D9C5BD3CD2}" name="SP Stop To Use" dataDxfId="347" totalsRowDxfId="67" dataCellStyle="Currency 2"/>
    <tableColumn id="205" xr3:uid="{F013BF25-FB4D-42A7-9B0F-7AC263CF587F}" name="SP Stop Loss" dataDxfId="346" totalsRowDxfId="66" dataCellStyle="Currency 2">
      <calculatedColumnFormula>IF(AND(SnapshotTable[[#This Row],[SP Qty]]&gt;0, SnapshotTable[[#This Row],[SP Stop To Use]]&gt;0),SnapshotTable[[#This Row],[SP Premium]] - ( SnapshotTable[[#This Row],[SP Qty]] * SnapshotTable[[#This Row],[SP Stop To Use]] * 100), "")</calculatedColumnFormula>
    </tableColumn>
    <tableColumn id="17" xr3:uid="{B8876817-3788-43D9-B040-FB4581D878CA}" name="SP Total Value" dataDxfId="345" totalsRowDxfId="65" dataCellStyle="Currency 2">
      <calculatedColumnFormula>IF(AND(SnapshotTable[[#This Row],[SP Qty]]&gt;0,SnapshotTable[[#This Row],[SP Current Ask]]&gt;0), SnapshotTable[[#This Row],[SP Qty]] * SnapshotTable[[#This Row],[SP Current Ask]] * -100, "")</calculatedColumnFormula>
    </tableColumn>
    <tableColumn id="179" xr3:uid="{E00543D9-80BF-444F-AF45-E667757D87CE}" name="SP Gain Loss" dataDxfId="344" totalsRowDxfId="64" dataCellStyle="Currency 2">
      <calculatedColumnFormula>IF(ISNUMBER((SnapshotTable[[#This Row],[SP Total Value]])), SnapshotTable[[#This Row],[SP Premium]] + SnapshotTable[[#This Row],[SP Total Value]], "")</calculatedColumnFormula>
    </tableColumn>
    <tableColumn id="180" xr3:uid="{F73C09D9-C6E3-47B9-91D0-0D9450484D4C}" name="SP Pct Earned" dataDxfId="343" totalsRowDxfId="342" dataCellStyle="Percent">
      <calculatedColumnFormula>IF(ISNUMBER((SnapshotTable[[#This Row],[SP Total Value]])), SnapshotTable[[#This Row],[SP Gain Loss]] / SnapshotTable[[#This Row],[SP Premium]], "")</calculatedColumnFormula>
    </tableColumn>
    <tableColumn id="114" xr3:uid="{00000000-0010-0000-0000-000072000000}" name="LC Exp Date" dataDxfId="341" totalsRowDxfId="63" dataCellStyle="Currency 2"/>
    <tableColumn id="118" xr3:uid="{00000000-0010-0000-0000-000076000000}" name="LC Strike Price" dataDxfId="340" totalsRowDxfId="62" dataCellStyle="Currency 2"/>
    <tableColumn id="117" xr3:uid="{00000000-0010-0000-0000-000075000000}" name="LC Qty" totalsRowFunction="sum" dataDxfId="339" totalsRowDxfId="338" dataCellStyle="Currency 2"/>
    <tableColumn id="116" xr3:uid="{00000000-0010-0000-0000-000074000000}" name="LC Book Date" dataDxfId="337" totalsRowDxfId="61" dataCellStyle="Currency 2"/>
    <tableColumn id="135" xr3:uid="{00000000-0010-0000-0000-000087000000}" name="LC Fill Date" dataDxfId="336" totalsRowDxfId="60" dataCellStyle="Currency 2"/>
    <tableColumn id="119" xr3:uid="{00000000-0010-0000-0000-000077000000}" name="LC Book Price" dataDxfId="335" totalsRowDxfId="59" dataCellStyle="Currency 2"/>
    <tableColumn id="140" xr3:uid="{00000000-0010-0000-0000-00008C000000}" name="LC Premium" totalsRowFunction="sum" dataDxfId="334" totalsRowDxfId="58" dataCellStyle="Currency 2">
      <calculatedColumnFormula>IF(SnapshotTable[[#This Row],[LC Symbol Count]]=1, SnapshotTable[[#This Row],[LC Qty]] * SnapshotTable[[#This Row],[LC Book Price]] * 100, 0)</calculatedColumnFormula>
    </tableColumn>
    <tableColumn id="159" xr3:uid="{3552D9A0-EE0F-427C-BEAF-01455FB4554C}" name="LC Not Filled" dataDxfId="333" totalsRowDxfId="57" dataCellStyle="Currency 2">
      <calculatedColumnFormula>IF(AND(SnapshotTable[[#This Row],[LC Exp Date]]&gt;0, SnapshotTable[[#This Row],[LC Strike Price]]&gt;0,SnapshotTable[[#This Row],[LC Qty]]&gt;0,SnapshotTable[[#This Row],[LC Book Date]]&gt;0,SnapshotTable[[#This Row],[LC Book Price]]&gt;0,SnapshotTable[[#This Row],[LC Fill Date]]=0),"Y","")</calculatedColumnFormula>
    </tableColumn>
    <tableColumn id="47" xr3:uid="{0C8D1826-6C9A-4009-9023-C7A655DAB0C3}" name="LC Term" dataDxfId="332" totalsRowDxfId="56" dataCellStyle="Currency 2">
      <calculatedColumnFormula>IF(SnapshotTable[[#This Row],[LC Premium]] &gt; 0,SnapshotTable[[#This Row],[LC Exp Date]]-MAX(SnapshotTable[[#This Row],[LC Book Date]], SnapshotTable[[#This Row],[LC Fill Date]]),"")</calculatedColumnFormula>
    </tableColumn>
    <tableColumn id="49" xr3:uid="{2AD27B80-0BF2-4FF3-AA91-0521B929AF46}" name="LC DTE" dataDxfId="331" totalsRowDxfId="55" dataCellStyle="Currency 2">
      <calculatedColumnFormula>IF(ISNUMBER(SnapshotTable[[#This Row],[LC Term]]), SnapshotTable[[#This Row],[LC Exp Date]] - MockToday, "")</calculatedColumnFormula>
    </tableColumn>
    <tableColumn id="162" xr3:uid="{2311FFF7-3C56-4F4A-B5C2-59A47DBD9026}" name="LC Break Even" totalsRowFunction="average" dataDxfId="330" totalsRowDxfId="54" dataCellStyle="Currency">
      <calculatedColumnFormula>IF(SnapshotTable[[#This Row],[LC Premium]]&gt;0,SnapshotTable[[#This Row],[LC Strike Price]] + SnapshotTable[[#This Row],[LC Book Price]],"")</calculatedColumnFormula>
    </tableColumn>
    <tableColumn id="124" xr3:uid="{00000000-0010-0000-0000-00007C000000}" name="LC Contract Value" dataDxfId="329" totalsRowDxfId="53" dataCellStyle="Currency 2"/>
    <tableColumn id="115" xr3:uid="{00000000-0010-0000-0000-000073000000}" name="LC Total Value" totalsRowFunction="sum" dataDxfId="328" totalsRowDxfId="52" dataCellStyle="Normal 2">
      <calculatedColumnFormula>IF(AND(SnapshotTable[[#This Row],[LC Symbol Count]]&gt;0, SnapshotTable[[#This Row],[LC Contract Value]]&gt;0), SnapshotTable[[#This Row],[LC Contract Value]] * SnapshotTable[[#This Row],[LC Qty]] * 100, "")</calculatedColumnFormula>
    </tableColumn>
    <tableColumn id="201" xr3:uid="{9433B85B-945D-4C7F-93A7-6C464F201C24}" name="LC Actual Gain Loss" totalsRowFunction="sum" dataDxfId="327" totalsRowDxfId="51" dataCellStyle="Normal 2">
      <calculatedColumnFormula>IF(AND(ISNUMBER(SnapshotTable[[#This Row],[LC Total Value]]), SnapshotTable[[#This Row],[LC Not Filled]]&lt;&gt;"Y"), SnapshotTable[[#This Row],[LC Total Value]]-SnapshotTable[[#This Row],[LC Premium]],"")</calculatedColumnFormula>
    </tableColumn>
    <tableColumn id="202" xr3:uid="{0CE965F6-1560-4C43-8E3F-A60C2DF616A7}" name="LC Actual ROI" dataDxfId="326" totalsRowDxfId="325" dataCellStyle="Percent">
      <calculatedColumnFormula>IF(ISNUMBER(SnapshotTable[[#This Row],[LC Actual Gain Loss]]), SnapshotTable[[#This Row],[LC Actual Gain Loss]] / SnapshotTable[[#This Row],[LC Premium]],"")</calculatedColumnFormula>
    </tableColumn>
    <tableColumn id="186" xr3:uid="{86C049BE-5EB3-430C-9934-DFB600CA1FB6}" name="LC Next Target" dataDxfId="324" totalsRowDxfId="50" dataCellStyle="Currency 2">
      <calculatedColumnFormula>IF(ISNUMBER(SnapshotTable[[#This Row],[LC Book Price]]),SnapshotTable[[#This Row],[LC Book Price]] * 1.5,"")</calculatedColumnFormula>
    </tableColumn>
    <tableColumn id="188" xr3:uid="{A59BFF88-88E9-479A-9E95-55A4473DFF3E}" name="LC Target Gross" dataDxfId="323" totalsRowDxfId="49" dataCellStyle="Currency 2">
      <calculatedColumnFormula>IF(SnapshotTable[[#This Row],[LC Premium]]&gt;0, SnapshotTable[[#This Row],[LC Next Target]] * SnapshotTable[[#This Row],[LC Qty]] * 100,"")</calculatedColumnFormula>
    </tableColumn>
    <tableColumn id="199" xr3:uid="{11389283-F55A-498D-B60D-B718525540A9}" name="LC Target Gain Loss" dataDxfId="322" totalsRowDxfId="48" dataCellStyle="Currency 2">
      <calculatedColumnFormula>IF(ISNUMBER(SnapshotTable[[#This Row],[LC Target Gross]]), SnapshotTable[[#This Row],[LC Target Gross]] - SnapshotTable[[#This Row],[LC Premium]], "")</calculatedColumnFormula>
    </tableColumn>
    <tableColumn id="200" xr3:uid="{684F0602-AF96-4D87-8BDD-E29045EBB0FE}" name="LC Target ROI" dataDxfId="321" totalsRowDxfId="320" dataCellStyle="Percent">
      <calculatedColumnFormula>IF(ISNUMBER(SnapshotTable[[#This Row],[LC Target Gain Loss]]), SnapshotTable[[#This Row],[LC Target Gain Loss]]/SnapshotTable[[#This Row],[LC Premium]], "")</calculatedColumnFormula>
    </tableColumn>
    <tableColumn id="187" xr3:uid="{700BD5AF-4030-4667-8B20-1853FE229690}" name="LC Next Review Date" dataDxfId="319" totalsRowDxfId="47" dataCellStyle="Currency 2"/>
    <tableColumn id="161" xr3:uid="{1DF50BC2-7C8B-4280-9946-69C4CDCC8BD1}" name="LC Stop Loss Calc Target" dataDxfId="318" totalsRowDxfId="46" dataCellStyle="Currency 2">
      <calculatedColumnFormula>IF(SnapshotTable[[#This Row],[LC Premium]]&gt;0, SnapshotTable[[#This Row],[LC Book Price]] * (1 - LC_StopLoss_Pct),"")</calculatedColumnFormula>
    </tableColumn>
    <tableColumn id="198" xr3:uid="{9A732FB3-5A70-40D3-AFDB-3134172C3BD0}" name="LC Stop Loss Override" dataDxfId="317" totalsRowDxfId="45" dataCellStyle="Currency 2"/>
    <tableColumn id="189" xr3:uid="{8C462B86-3CAC-44A4-915F-72463E7DC5A1}" name="LC Stop  To Use" dataDxfId="316" totalsRowDxfId="44" dataCellStyle="Currency 2">
      <calculatedColumnFormula>IF(ISNUMBER(SnapshotTable[[#This Row],[LC Contract Value]]),IF(ISNUMBER(SnapshotTable[[#This Row],[LC Stop Loss Override]]), SnapshotTable[[#This Row],[LC Stop Loss Override]],SnapshotTable[[#This Row],[LC Stop Loss Calc Target]]),"")</calculatedColumnFormula>
    </tableColumn>
    <tableColumn id="190" xr3:uid="{1070E85E-F985-4A61-BE9D-3B08C370A168}" name="LC Stop Loss Amount" dataDxfId="315" totalsRowDxfId="43" dataCellStyle="Currency 2">
      <calculatedColumnFormula>IF(ISNUMBER(SnapshotTable[[#This Row],[LC Stop  To Use]]), (SnapshotTable[[#This Row],[LC Stop  To Use]] * SnapshotTable[[#This Row],[LC Qty]] * 100),"")</calculatedColumnFormula>
    </tableColumn>
    <tableColumn id="92" xr3:uid="{A5648650-C1CA-45FB-A03D-F31E79AF5A8F}" name="LC Stop Gain Loss" totalsRowFunction="sum" dataDxfId="314" totalsRowDxfId="42" dataCellStyle="Normal 2">
      <calculatedColumnFormula>IF(ISNUMBER(SnapshotTable[[#This Row],[LC Total Value]]),SnapshotTable[[#This Row],[LC Stop Loss Amount]] - SnapshotTable[[#This Row],[LC Premium]],"")</calculatedColumnFormula>
    </tableColumn>
    <tableColumn id="53" xr3:uid="{849DFCFA-143A-4C04-9A2D-4204EF4B5DDA}" name="LC Cost To Exercise" totalsRowFunction="sum" dataDxfId="313" totalsRowDxfId="41" dataCellStyle="Normal 2">
      <calculatedColumnFormula>IF(ISNUMBER(SnapshotTable[[#This Row],[LC Premium]]), SnapshotTable[[#This Row],[LC Qty]] * 100 * SnapshotTable[[#This Row],[LC Strike Price]], "")</calculatedColumnFormula>
    </tableColumn>
    <tableColumn id="98" xr3:uid="{58899A00-E9AD-4BAC-AA0F-AC4602DEBE74}" name="LC  Stop ROI" dataDxfId="312" totalsRowDxfId="311" dataCellStyle="Percent">
      <calculatedColumnFormula>IF(AND(ISNUMBER(SnapshotTable[[#This Row],[LC Total Value]]),SnapshotTable[[#This Row],[LC Total Value]]&gt;0),SnapshotTable[[#This Row],[LC Stop Gain Loss]]  / SnapshotTable[[#This Row],[LC Premium]],"")</calculatedColumnFormula>
    </tableColumn>
    <tableColumn id="58" xr3:uid="{00000000-0010-0000-0000-00003A000000}" name="SC Max Qty" totalsRowFunction="sum" dataDxfId="310" totalsRowDxfId="40" dataCellStyle="Currency 2">
      <calculatedColumnFormula>IF(ISNUMBER(SnapshotTable[[#This Row],[Equity Shares]]),TRUNC(SnapshotTable[[#This Row],[Equity Shares]] / 100),0) + SnapshotTable[[#This Row],[LC Qty]]</calculatedColumnFormula>
    </tableColumn>
    <tableColumn id="61" xr3:uid="{00000000-0010-0000-0000-00003D000000}" name="SC Exp Date" dataDxfId="309" totalsRowDxfId="39" dataCellStyle="Currency 2"/>
    <tableColumn id="62" xr3:uid="{00000000-0010-0000-0000-00003E000000}" name="SC Strike Price" dataDxfId="308" totalsRowDxfId="38" dataCellStyle="Currency 2"/>
    <tableColumn id="63" xr3:uid="{00000000-0010-0000-0000-00003F000000}" name="SC Qty" totalsRowFunction="sum" dataDxfId="307" totalsRowDxfId="306" dataCellStyle="Currency 2"/>
    <tableColumn id="60" xr3:uid="{00000000-0010-0000-0000-00003C000000}" name="SC Book Date" dataDxfId="305" totalsRowDxfId="37" dataCellStyle="Currency 2"/>
    <tableColumn id="59" xr3:uid="{00000000-0010-0000-0000-00003B000000}" name="SC Fill Date" dataDxfId="304" totalsRowDxfId="36" dataCellStyle="Currency 2"/>
    <tableColumn id="65" xr3:uid="{00000000-0010-0000-0000-000041000000}" name="SC Book Price" dataDxfId="303" totalsRowDxfId="35" dataCellStyle="Currency 2"/>
    <tableColumn id="217" xr3:uid="{B5C750FB-2608-4C32-9499-79C9616301BF}" name="SC Is Booked" dataDxfId="302" totalsRowDxfId="34" dataCellStyle="Explanatory Text">
      <calculatedColumnFormula>AND(ISNUMBER(SnapshotTable[[#This Row],[SC Exp Date]]), ISNUMBER(SnapshotTable[[#This Row],[SC Strike Price]]), ISNUMBER(SnapshotTable[[#This Row],[SC Qty]]), ISNUMBER(SnapshotTable[[#This Row],[SC Book Date]]), ISNUMBER(SnapshotTable[[#This Row],[SC Book Price]]))</calculatedColumnFormula>
    </tableColumn>
    <tableColumn id="160" xr3:uid="{2F947670-4954-46A5-B07C-0B9401BCC9B6}" name="SC Is Filled" dataDxfId="301" totalsRowDxfId="33" dataCellStyle="Currency 2">
      <calculatedColumnFormula>AND(SnapshotTable[[#This Row],[SC Is Booked]], NOT(ISBLANK(SnapshotTable[[#This Row],[SC Fill Date]])))</calculatedColumnFormula>
    </tableColumn>
    <tableColumn id="211" xr3:uid="{C2B2E7E4-4296-4571-942D-8247C59F5281}" name="SC Fill Delta" dataDxfId="300" totalsRowDxfId="32" dataCellStyle="Hyperlink"/>
    <tableColumn id="99" xr3:uid="{00000000-0010-0000-0000-000063000000}" name="SC Term" dataDxfId="299" totalsRowDxfId="298" dataCellStyle="Currency 2">
      <calculatedColumnFormula>IF(AND(ISNUMBER(SnapshotTable[[#This Row],[SC Exp Date]]), ISNUMBER(SnapshotTable[[#This Row],[SC Book Date]])), SnapshotTable[[#This Row],[SC Exp Date]] - MAX(SnapshotTable[[#This Row],[SC Book Date]], SnapshotTable[[#This Row],[SC Fill Date]]) + 1, "")</calculatedColumnFormula>
    </tableColumn>
    <tableColumn id="67" xr3:uid="{00000000-0010-0000-0000-000043000000}" name="SC DTE" dataDxfId="297" totalsRowDxfId="296" dataCellStyle="Currency 2">
      <calculatedColumnFormula>IF(ISNUMBER(SnapshotTable[[#This Row],[SC Term]]), SnapshotTable[[#This Row],[SC Exp Date]]- MockToday, "")</calculatedColumnFormula>
    </tableColumn>
    <tableColumn id="64" xr3:uid="{00000000-0010-0000-0000-000040000000}" name="SC Premium" totalsRowFunction="sum" dataDxfId="295" totalsRowDxfId="31" dataCellStyle="Currency 2">
      <calculatedColumnFormula>IF(SnapshotTable[[#This Row],[SC Is Booked]], SnapshotTable[[#This Row],[SC Qty]] * SnapshotTable[[#This Row],[SC Book Price]] * 100, 0)</calculatedColumnFormula>
    </tableColumn>
    <tableColumn id="69" xr3:uid="{00000000-0010-0000-0000-000045000000}" name="SC Break Even" dataDxfId="294" totalsRowDxfId="30" dataCellStyle="Currency 2">
      <calculatedColumnFormula>IF(AND(ISNUMBER(SnapshotTable[[#This Row],[Last Price]]), ISNUMBER( SnapshotTable[[#This Row],[SC Book Price]])), SnapshotTable[[#This Row],[Last Price]] - SnapshotTable[[#This Row],[SC Book Price]],"")</calculatedColumnFormula>
    </tableColumn>
    <tableColumn id="66" xr3:uid="{00000000-0010-0000-0000-000042000000}" name="SC Basis" dataDxfId="293" totalsRowDxfId="29" dataCellStyle="Currency">
      <calculatedColumnFormula>IF(SnapshotTable[[#This Row],[SC Is Booked]],IF(SnapshotTable[[#This Row],[SC Intrinsic Value]] &gt; 0, SnapshotTable[[#This Row],[SC Strike Price]], SnapshotTable[[#This Row],[Last Price]]), "")</calculatedColumnFormula>
    </tableColumn>
    <tableColumn id="100" xr3:uid="{00000000-0010-0000-0000-000064000000}" name="SC Min Prem Req" dataDxfId="292" totalsRowDxfId="28" dataCellStyle="Currency 2">
      <calculatedColumnFormula>IF(SnapshotTable[[#This Row],[SC Is Booked]], (MinimumPremiumRequired * SnapshotTable[[#This Row],[SC Basis]] * SnapshotTable[[#This Row],[SC Term]]), 0)</calculatedColumnFormula>
    </tableColumn>
    <tableColumn id="173" xr3:uid="{918B2916-EB44-4CCD-BB2E-CA35D3833B18}" name="SC Bid TIF2" dataDxfId="291" totalsRowDxfId="27" dataCellStyle="Currency 2"/>
    <tableColumn id="122" xr3:uid="{00000000-0010-0000-0000-00007A000000}" name="SC Current Ask" dataDxfId="290" totalsRowDxfId="26" dataCellStyle="Hyperlink"/>
    <tableColumn id="216" xr3:uid="{F1C82F2E-1095-44B8-99BA-3A611113190D}" name="SC Current Delta" dataDxfId="289" totalsRowDxfId="288" dataCellStyle="Hyperlink"/>
    <tableColumn id="21" xr3:uid="{C63E2608-F1F3-4B90-A886-06BAF6E495CC}" name="SC Buyback Point" dataDxfId="287" totalsRowDxfId="25" dataCellStyle="Currency 2">
      <calculatedColumnFormula>IF(SnapshotTable[[#This Row],[SC Is Filled]], btc_max_buyback_amount(SnapshotTable[[#This Row],[SC Fill Date]],SnapshotTable[[#This Row],[SC Exp Date]], SnapshotTable[[#This Row],[SC Book Price]]),0)</calculatedColumnFormula>
    </tableColumn>
    <tableColumn id="136" xr3:uid="{456E926E-EE6E-45A9-9CC6-968B5BF956AF}" name="SC Buyback Override" dataDxfId="286" totalsRowDxfId="24" dataCellStyle="Currency 2"/>
    <tableColumn id="94" xr3:uid="{5BF354AD-7CA5-43F1-9BA6-CDD1E3919A1C}" name="SC Buyback GTC Date" dataDxfId="285" totalsRowDxfId="23" dataCellStyle="Currency 2">
      <calculatedColumnFormula>IF(SnapshotTable[[#This Row],[SC Is Filled]], btc_next_cutoff_date(SnapshotTable[[#This Row],[SC Fill Date]],SnapshotTable[[#This Row],[SC Exp Date]]),"")</calculatedColumnFormula>
    </tableColumn>
    <tableColumn id="123" xr3:uid="{00000000-0010-0000-0000-00007B000000}" name="SC Should Buyback" dataDxfId="284" totalsRowDxfId="283" dataCellStyle="Currency 2">
      <calculatedColumnFormula array="1">IF(SnapshotTable[[#This Row],[SC Is Filled]], btc_should_buy_back(SnapshotTable[[#This Row],[SC Fill Date]], SnapshotTable[[#This Row],[SC Exp Date]], SnapshotTable[[#This Row],[SC Book Price]], SnapshotTable[[#This Row],[SC Current Ask]], MockToday, SnapshotTable[[#This Row],[SC Buyback Override]]),"")</calculatedColumnFormula>
    </tableColumn>
    <tableColumn id="70" xr3:uid="{00000000-0010-0000-0000-000046000000}" name="SC Intrinsic Value" dataDxfId="282" totalsRowDxfId="22" dataCellStyle="Currency 2">
      <calculatedColumnFormula>IF(SnapshotTable[[#This Row],[SC Is Filled]], MAX(0,SnapshotTable[[#This Row],[Last Price]]  - SnapshotTable[[#This Row],[SC Strike Price]]), 0)</calculatedColumnFormula>
    </tableColumn>
    <tableColumn id="71" xr3:uid="{00000000-0010-0000-0000-000047000000}" name="SC Time Val" dataDxfId="281" totalsRowDxfId="21" dataCellStyle="Currency 2">
      <calculatedColumnFormula>IF(SnapshotTable[[#This Row],[SC Is Filled]], IF(ISNUMBER(SnapshotTable[[#This Row],[SC Current Ask]]), SnapshotTable[[#This Row],[SC Current Ask]], SnapshotTable[[#This Row],[SC Book Price]]) - SnapshotTable[[#This Row],[SC Intrinsic Value]], 0)</calculatedColumnFormula>
    </tableColumn>
    <tableColumn id="125" xr3:uid="{9D804487-6AC2-497D-92AF-61779C1EFB2F}" name="SC Buy Back Cutoff" dataDxfId="280" totalsRowDxfId="20" dataCellStyle="Currency 2"/>
    <tableColumn id="113" xr3:uid="{00000000-0010-0000-0000-000071000000}" name="SC Current Cost To Close" dataDxfId="279" totalsRowDxfId="19" dataCellStyle="Currency 2">
      <calculatedColumnFormula>IF(SnapshotTable[[#This Row],[SC Is Filled]],100 * SnapshotTable[[#This Row],[SC Qty]] * IF(ISNUMBER(SnapshotTable[[#This Row],[SC Buyback Override]]), SnapshotTable[[#This Row],[SC Buyback Override]], SnapshotTable[[#This Row],[SC Current Ask]]), "")</calculatedColumnFormula>
    </tableColumn>
    <tableColumn id="185" xr3:uid="{7C8FB692-DFE8-4839-A63F-7FC5B435A737}" name="SC Time Value Closing Pct" dataDxfId="278" totalsRowDxfId="277" dataCellStyle="Percent">
      <calculatedColumnFormula>IF(SnapshotTable[[#This Row],[SC Time Val]]&gt;0, SnapshotTable[[#This Row],[SC Time Val]] / SnapshotTable[[#This Row],[Last Price]],"")</calculatedColumnFormula>
    </tableColumn>
    <tableColumn id="97" xr3:uid="{00000000-0010-0000-0000-000061000000}" name="Gap From Strike" dataDxfId="276" totalsRowDxfId="275" dataCellStyle="Percent">
      <calculatedColumnFormula>IF(SnapshotTable[[#This Row],[SC Is Booked]], ((SnapshotTable[[#This Row],[Last Price]] -SnapshotTable[[#This Row],[SC Strike Price]]) / SnapshotTable[[#This Row],[Last Price]]) * -1, "")</calculatedColumnFormula>
    </tableColumn>
    <tableColumn id="78" xr3:uid="{00000000-0010-0000-0000-00004E000000}" name="SC Exercise Gross" totalsRowFunction="sum" dataDxfId="274" totalsRowDxfId="18" dataCellStyle="Currency 2">
      <calculatedColumnFormula>IF(SnapshotTable[[#This Row],[SC Is Booked]],  (SnapshotTable[[#This Row],[SC Qty]] * 100 * SnapshotTable[[#This Row],[SC Strike Price]]) - SnapshotTable[[#This Row],[SC Current Ask]], "")</calculatedColumnFormula>
    </tableColumn>
    <tableColumn id="88" xr3:uid="{00000000-0010-0000-0000-000058000000}" name="SC Exercise Oppty Cost" totalsRowFunction="sum" dataDxfId="273" totalsRowDxfId="17" dataCellStyle="Currency 2">
      <calculatedColumnFormula>IF(AND(ISNUMBER(SnapshotTable[[#This Row],[SC Exercise Gross]]), SnapshotTable[[#This Row],[SC Exercise Gross]] &lt; (SnapshotTable[[#This Row],[SC Qty]] * 100 * SnapshotTable[[#This Row],[Last Price]])),  (SnapshotTable[[#This Row],[SC Qty]] * 100 * SnapshotTable[[#This Row],[Last Price]]) - SnapshotTable[[#This Row],[SC Exercise Gross]], "")</calculatedColumnFormula>
    </tableColumn>
    <tableColumn id="77" xr3:uid="{00000000-0010-0000-0000-00004D000000}" name="SC Exercise P&amp;L (TAX)" totalsRowFunction="sum" dataDxfId="272" totalsRowDxfId="16" dataCellStyle="Currency 2">
      <calculatedColumnFormula>IF(AND(ISNUMBER(SnapshotTable[[#This Row],[SC Exercise Gross]]), ISNUMBER(SnapshotTable[[#This Row],[Equity Basis Per Share]] )), SnapshotTable[[#This Row],[SC Exercise Gross]] - SnapshotTable[[#This Row],[Equity Basis Total]] +  SnapshotTable[[#This Row],[SC Premium]], "")</calculatedColumnFormula>
    </tableColumn>
    <tableColumn id="76" xr3:uid="{00000000-0010-0000-0000-00004C000000}" name="SC Exercise Share Price" dataDxfId="271" totalsRowDxfId="15" dataCellStyle="Currency 2">
      <calculatedColumnFormula>IF(ISNUMBER(SnapshotTable[[#This Row],[SC Exercise Gross]]), (SnapshotTable[[#This Row],[SC Exercise Gross]]) / (SnapshotTable[[#This Row],[SC Qty]] * 100), "")</calculatedColumnFormula>
    </tableColumn>
    <tableColumn id="93" xr3:uid="{00000000-0010-0000-0000-00005D000000}" name="SC Simple ROO" dataDxfId="270" totalsRowDxfId="269" dataCellStyle="Percent 2">
      <calculatedColumnFormula>IF(SnapshotTable[[#This Row],[SC Is Booked]],SnapshotTable[[#This Row],[SC Time Val]] /SnapshotTable[[#This Row],[SC Basis]], "")</calculatedColumnFormula>
    </tableColumn>
    <tableColumn id="212" xr3:uid="{57278C5A-81F5-4B58-85C0-41B41666FFE8}" name="SC Annual ROO" dataDxfId="268" totalsRowDxfId="267" dataCellStyle="Percent 2">
      <calculatedColumnFormula array="1">IF(AND(ISNUMBER(SnapshotTable[[#This Row],[SC Term]]),ISNUMBER(SnapshotTable[[#This Row],[SC Simple ROO]])), EllmanAnnualize(SnapshotTable[[#This Row],[SC DTE]], SnapshotTable[[#This Row],[SC Simple ROO]] ),"")</calculatedColumnFormula>
    </tableColumn>
    <tableColumn id="215" xr3:uid="{F4DCD69B-AF12-45FB-8952-4DA6F3140C51}" name="SC Upside Potential" dataDxfId="266" totalsRowDxfId="265" dataCellStyle="Currency 2">
      <calculatedColumnFormula>IF(SnapshotTable[[#This Row],[SC Strike Price]] &gt; SnapshotTable[[#This Row],[Last Price]], SnapshotTable[[#This Row],[SC Strike Price]] - SnapshotTable[[#This Row],[Last Price]],0)</calculatedColumnFormula>
    </tableColumn>
    <tableColumn id="207" xr3:uid="{18854B2C-6C50-449B-B528-07DC822FAE4E}" name="SC Upside Pct" dataDxfId="264" totalsRowDxfId="263" dataCellStyle="Percent 2">
      <calculatedColumnFormula>IF(AND(ISNUMBER(SnapshotTable[[#This Row],[SC Upside Potential]]), SnapshotTable[[#This Row],[SC Upside Potential]] &gt; 0),(SnapshotTable[[#This Row],[SC Upside Potential]]/ SnapshotTable[[#This Row],[ACB]]),"")</calculatedColumnFormula>
    </tableColumn>
    <tableColumn id="208" xr3:uid="{363C9E3E-1A5E-4728-8421-A8A10F365E08}" name="SC Downside Protect" dataDxfId="262" totalsRowDxfId="261" dataCellStyle="Percent">
      <calculatedColumnFormula>IF(SnapshotTable[[#This Row],[SC Intrinsic Value]] &gt; 0,SnapshotTable[[#This Row],[SC Intrinsic Value]],"")</calculatedColumnFormula>
    </tableColumn>
    <tableColumn id="209" xr3:uid="{88C92A58-B2C7-495C-91B8-A59225312C6C}" name="SC Downside Pct" dataDxfId="260" totalsRowDxfId="259" dataCellStyle="Percent 2">
      <calculatedColumnFormula>IF(AND( ISNUMBER( SnapshotTable[[#This Row],[ACB]]),ISNUMBER(SnapshotTable[[#This Row],[SC Downside Protect]])),SnapshotTable[[#This Row],[SC Downside Protect]] / SnapshotTable[[#This Row],[ACB]],"")</calculatedColumnFormula>
    </tableColumn>
    <tableColumn id="68" xr3:uid="{C31DE70C-FE1E-418B-9B35-5EF1EEA2A829}" name="SC Max Dollars" dataDxfId="258" totalsRowDxfId="14" dataCellStyle="Currency">
      <calculatedColumnFormula>IF(AND(ISNUMBER(SnapshotTable[[#This Row],[SC Simple ROO]]),SnapshotTable[[#This Row],[SC Simple ROO]] &gt; 0), SnapshotTable[[#This Row],[SC Premium]] + (SnapshotTable[[#This Row],[SC Qty]] * SnapshotTable[[#This Row],[SC Upside Potential]]), "")</calculatedColumnFormula>
    </tableColumn>
    <tableColumn id="210" xr3:uid="{CFA98E2C-DA5A-417A-86F0-2EE666C3B5D9}" name="SC Max ROO" dataDxfId="257" totalsRowDxfId="256" dataCellStyle="Percent">
      <calculatedColumnFormula array="1">IF(ISNUMBER(SnapshotTable[[#This Row],[SC Max Dollars]]), annualize(SnapshotTable[[#This Row],[SC Term]],(SnapshotTable[[#This Row],[SC Max Dollars]]/SnapshotTable[[#This Row],[SC Basis]])),"")</calculatedColumnFormula>
    </tableColumn>
    <tableColumn id="174" xr3:uid="{E00C7A9A-089C-41CA-A5D6-D5CB0B6C6CE5}" name="SC Current Value" dataDxfId="255" totalsRowDxfId="254" dataCellStyle="Currency">
      <calculatedColumnFormula>IF(AND(SnapshotTable[[#This Row],[SC Qty]]&gt;0,SnapshotTable[[#This Row],[SC Current Ask]]&gt;0), SnapshotTable[[#This Row],[SC Qty]] * SnapshotTable[[#This Row],[SC Current Ask]] * -100, "")</calculatedColumnFormula>
    </tableColumn>
    <tableColumn id="184" xr3:uid="{D1FE58C6-4491-4E58-B757-FA218447566F}" name="SC Gain Loss" dataDxfId="253" totalsRowDxfId="13" dataCellStyle="Currency 2">
      <calculatedColumnFormula>IF(ISNUMBER((SnapshotTable[[#This Row],[SC Current Value]])), SnapshotTable[[#This Row],[SC Premium]] + SnapshotTable[[#This Row],[SC Current Value]], "")</calculatedColumnFormula>
    </tableColumn>
    <tableColumn id="183" xr3:uid="{6A7330B1-E411-462B-83AB-AB4BF217280B}" name="SC Pct Earned" dataDxfId="252" totalsRowDxfId="251" dataCellStyle="Percent">
      <calculatedColumnFormula>IFERROR( IF(ISNUMBER((SnapshotTable[[#This Row],[SC Current Value]])), SnapshotTable[[#This Row],[SC Gain Loss]] / SnapshotTable[[#This Row],[SC Premium]], ""), "")</calculatedColumnFormula>
    </tableColumn>
    <tableColumn id="18" xr3:uid="{00000000-0010-0000-0000-000012000000}" name="Sell Shares Pct" dataDxfId="250" totalsRowDxfId="12" dataCellStyle="Normal 2">
      <calculatedColumnFormula>SnapshotTable[[#This Row],[Equity Shares]] * SaleSharesToConsiderPercentage</calculatedColumnFormula>
    </tableColumn>
    <tableColumn id="20" xr3:uid="{00000000-0010-0000-0000-000014000000}" name="Sell Price Tgt" dataDxfId="249" totalsRowDxfId="248" dataCellStyle="Normal 2">
      <calculatedColumnFormula>SnapshotTable[[#This Row],[Long Term Target]] * SellingPriceToConsiderBasedOnTargetPercentage</calculatedColumnFormula>
    </tableColumn>
    <tableColumn id="30" xr3:uid="{00000000-0010-0000-0000-00001E000000}" name="Sell Price Gain" dataDxfId="247" totalsRowDxfId="246" dataCellStyle="Normal 2">
      <calculatedColumnFormula>SnapshotTable[[#This Row],[Last Price]] * (1+ SellingPriceToConsiderBasedOnTargetPercentage)</calculatedColumnFormula>
    </tableColumn>
    <tableColumn id="31" xr3:uid="{00000000-0010-0000-0000-00001F000000}" name="Booked Sale Shares" dataDxfId="245" totalsRowDxfId="244" dataCellStyle="Normal 2"/>
    <tableColumn id="32" xr3:uid="{00000000-0010-0000-0000-000020000000}" name="Booked Sale Price" dataDxfId="243" totalsRowDxfId="242" dataCellStyle="Normal 2"/>
    <tableColumn id="43" xr3:uid="{00000000-0010-0000-0000-00002B000000}" name="Sale Proceeds" dataDxfId="241" totalsRowDxfId="11" dataCellStyle="Currency 2">
      <calculatedColumnFormula>SnapshotTable[[#This Row],[Booked Sale Shares]] * SnapshotTable[[#This Row],[Booked Sale Price]]</calculatedColumnFormula>
    </tableColumn>
    <tableColumn id="44" xr3:uid="{00000000-0010-0000-0000-00002C000000}" name="Sale Basis" dataDxfId="240" totalsRowDxfId="10" dataCellStyle="Currency 2">
      <calculatedColumnFormula>IF(SnapshotTable[[#This Row],[Equity Basis Total]] &gt; 0, SnapshotTable[[#This Row],[Equity Basis Per Share]] * SnapshotTable[[#This Row],[Booked Sale Shares]], "")</calculatedColumnFormula>
    </tableColumn>
    <tableColumn id="42" xr3:uid="{00000000-0010-0000-0000-00002A000000}" name="Sale G/L" dataDxfId="239" totalsRowDxfId="9" dataCellStyle="Currency 2">
      <calculatedColumnFormula>IF(SnapshotTable[[#This Row],[Sale Proceeds]]&gt;0, SnapshotTable[[#This Row],[Sale Proceeds]] - SnapshotTable[[#This Row],[Sale Basis]], 0)</calculatedColumnFormula>
    </tableColumn>
    <tableColumn id="41" xr3:uid="{00000000-0010-0000-0000-000029000000}" name="Simple Sell ROI" dataDxfId="238" totalsRowDxfId="8" dataCellStyle="Percent 2">
      <calculatedColumnFormula>IF(SnapshotTable[[#This Row],[Sale G/L]]&gt;0, SnapshotTable[[#This Row],[Sale G/L]] / SnapshotTable[[#This Row],[Sale Basis]], IF(ISNUMBER(SnapshotTable[[#This Row],[SC Exercise P&amp;L (TAX)]]), SnapshotTable[[#This Row],[SC Exercise P&amp;L (TAX)]] / SnapshotTable[[#This Row],[SC Basis]], ""))</calculatedColumnFormula>
    </tableColumn>
    <tableColumn id="171" xr3:uid="{066B6EF8-977A-4E12-8942-7B2374C4A45D}" name="GUID Lookup" dataDxfId="237" totalsRowDxfId="7" dataCellStyle="Percent 2"/>
    <tableColumn id="154" xr3:uid="{00000000-0010-0000-0000-00009A000000}" name="LP Symbol" dataDxfId="236" totalsRowDxfId="6" dataCellStyle="Currency 2">
      <calculatedColumnFormula>IF(AND(SnapshotTable[[#This Row],[LP Exp Date]]&gt;0,SnapshotTable[[#This Row],[LP Strike Price]]&gt;0), [1]!ToOptionSymbol(SnapshotTable[[#This Row],[Symbol]], SnapshotTable[[#This Row],[LP Strike Price]],SnapshotTable[[#This Row],[LP Exp Date]],1), "")</calculatedColumnFormula>
    </tableColumn>
    <tableColumn id="145" xr3:uid="{00000000-0010-0000-0000-000091000000}" name="LP Symbol Count" totalsRowFunction="countNums" dataDxfId="235" totalsRowDxfId="234" dataCellStyle="Currency 2">
      <calculatedColumnFormula>IF(LEN(SnapshotTable[[#This Row],[LP Symbol]])&gt;0, 1, "")</calculatedColumnFormula>
    </tableColumn>
    <tableColumn id="146" xr3:uid="{00000000-0010-0000-0000-000092000000}" name="SP Symbol" dataDxfId="233" totalsRowDxfId="5" dataCellStyle="Currency 2">
      <calculatedColumnFormula>IF(AND(SnapshotTable[[#This Row],[SP Exp Date]]&gt;0,SnapshotTable[[#This Row],[SP Strike Price]]&gt;0), [1]!ToOptionSymbol(SnapshotTable[[#This Row],[Symbol]], SnapshotTable[[#This Row],[SP Strike Price]],SnapshotTable[[#This Row],[SP Exp Date]],1), "")</calculatedColumnFormula>
    </tableColumn>
    <tableColumn id="147" xr3:uid="{00000000-0010-0000-0000-000093000000}" name="SP Symbol Count" totalsRowFunction="countNums" dataDxfId="232" totalsRowDxfId="231" dataCellStyle="Currency 2">
      <calculatedColumnFormula>IF(LEN(SnapshotTable[[#This Row],[SP Symbol]])&gt;0, 1, "")</calculatedColumnFormula>
    </tableColumn>
    <tableColumn id="153" xr3:uid="{00000000-0010-0000-0000-000099000000}" name="LC Symbol" dataDxfId="230" totalsRowDxfId="4" dataCellStyle="Currency 2">
      <calculatedColumnFormula>IF(AND(SnapshotTable[[#This Row],[LC Exp Date]]&gt;0,SnapshotTable[[#This Row],[LC Strike Price]]&gt;0), [1]!ToOptionSymbol(SnapshotTable[[#This Row],[Symbol]], SnapshotTable[[#This Row],[LC Strike Price]],SnapshotTable[[#This Row],[LC Exp Date]],0), "")</calculatedColumnFormula>
    </tableColumn>
    <tableColumn id="152" xr3:uid="{00000000-0010-0000-0000-000098000000}" name="LC Symbol Count" totalsRowFunction="countNums" dataDxfId="229" totalsRowDxfId="228" dataCellStyle="Currency 2">
      <calculatedColumnFormula>IF(LEN(SnapshotTable[[#This Row],[LC Symbol]])&gt;0, 1, "")</calculatedColumnFormula>
    </tableColumn>
    <tableColumn id="151" xr3:uid="{00000000-0010-0000-0000-000097000000}" name="SC Symbol" dataDxfId="227" totalsRowDxfId="3" dataCellStyle="Currency 2">
      <calculatedColumnFormula>IF(AND(SnapshotTable[[#This Row],[SC Exp Date]]&gt;0,SnapshotTable[[#This Row],[SC Strike Price]]&gt;0), [1]!ToOptionSymbol(SnapshotTable[[#This Row],[Symbol]], SnapshotTable[[#This Row],[SC Strike Price]],SnapshotTable[[#This Row],[SC Exp Date]],0), "")</calculatedColumnFormula>
    </tableColumn>
    <tableColumn id="150" xr3:uid="{00000000-0010-0000-0000-000096000000}" name="SC Symbol Count" totalsRowFunction="countNums" dataDxfId="226" totalsRowDxfId="225" dataCellStyle="Currency 2">
      <calculatedColumnFormula>IF(LEN(SnapshotTable[[#This Row],[SC Symbol]])&gt;0, 1, "")</calculatedColumnFormula>
    </tableColumn>
    <tableColumn id="149" xr3:uid="{00000000-0010-0000-0000-000095000000}" name="Has Position" dataDxfId="224" totalsRowDxfId="2" dataCellStyle="Comma 2">
      <calculatedColumnFormula>IF(COUNT(SnapshotTable[[#This Row],[LP Symbol Count]],SnapshotTable[[#This Row],[SP Symbol Count]],SnapshotTable[[#This Row],[LC Symbol Count]],SnapshotTable[[#This Row],[SC Symbol Count]])&gt;0, "Y", "")</calculatedColumnFormula>
    </tableColumn>
    <tableColumn id="148" xr3:uid="{00000000-0010-0000-0000-000094000000}" name="Position" dataDxfId="223" totalsRowDxfId="1" dataCellStyle="Comma 2">
      <calculatedColumnFormula>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calculatedColumnFormula>
    </tableColumn>
    <tableColumn id="34" xr3:uid="{00000000-0010-0000-0000-000022000000}" name="Exposure" totalsRowFunction="sum" dataDxfId="222" totalsRowDxfId="0" dataCellStyle="Percent 2">
      <calculatedColumnFormula>MAX(SnapshotTable[[#This Row],[Equity Basis Total]],SnapshotTable[[#This Row],[Equity Value]]) + (SnapshotTable[[#This Row],[SP Potential Spend]]- SnapshotTable[[#This Row],[SP Premium]] + SnapshotTable[[#This Row],[LP Premium]])+ (SnapshotTable[[#This Row],[LC Premium]] - SnapshotTable[[#This Row],[SC Premium]])</calculatedColumnFormula>
    </tableColumn>
    <tableColumn id="80" xr3:uid="{00000000-0010-0000-0000-000050000000}" name="Exp %" totalsRowFunction="sum" dataDxfId="221" totalsRowDxfId="220" dataCellStyle="Percent 2">
      <calculatedColumnFormula>IF(AND(SnapshotTable[[#This Row],[Exposure]] &lt;&gt; 0),SnapshotTable[[#This Row],[Exposure]] / SnapshotTable[[#Totals],[Exposure]], "")</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9983B2-99F4-480E-BDC9-B35620BE344D}" name="tblFilters" displayName="tblFilters" ref="F3:T24" totalsRowShown="0" headerRowDxfId="219">
  <autoFilter ref="F3:T24" xr:uid="{00000000-0009-0000-0100-000004000000}"/>
  <sortState xmlns:xlrd2="http://schemas.microsoft.com/office/spreadsheetml/2017/richdata2" caseSensitive="1" ref="F4:T24">
    <sortCondition ref="F3:F24"/>
  </sortState>
  <tableColumns count="15">
    <tableColumn id="1" xr3:uid="{00000000-0010-0000-0100-000001000000}" name="Spec Name"/>
    <tableColumn id="2" xr3:uid="{00000000-0010-0000-0100-000002000000}" name="Comments"/>
    <tableColumn id="3" xr3:uid="{00000000-0010-0000-0100-000003000000}" name="Column Name1"/>
    <tableColumn id="4" xr3:uid="{00000000-0010-0000-0100-000004000000}" name="1st Criteria1" dataDxfId="218"/>
    <tableColumn id="5" xr3:uid="{00000000-0010-0000-0100-000005000000}" name="1st Criteria Op1" dataDxfId="217"/>
    <tableColumn id="6" xr3:uid="{00000000-0010-0000-0100-000006000000}" name="XlAutoFilter Op1" dataDxfId="216"/>
    <tableColumn id="7" xr3:uid="{00000000-0010-0000-0100-000007000000}" name="2nd Criteria1" dataDxfId="215"/>
    <tableColumn id="8" xr3:uid="{00000000-0010-0000-0100-000008000000}" name="2nd Criteria Op1" dataDxfId="214"/>
    <tableColumn id="9" xr3:uid="{00000000-0010-0000-0100-000009000000}" name="Column Name2" dataDxfId="213"/>
    <tableColumn id="10" xr3:uid="{00000000-0010-0000-0100-00000A000000}" name="1st Criteria2" dataDxfId="212"/>
    <tableColumn id="11" xr3:uid="{00000000-0010-0000-0100-00000B000000}" name="1st Criteria Op2" dataDxfId="211"/>
    <tableColumn id="12" xr3:uid="{00000000-0010-0000-0100-00000C000000}" name="XlAutoFilter Op2" dataDxfId="210"/>
    <tableColumn id="13" xr3:uid="{00000000-0010-0000-0100-00000D000000}" name="2nd Criteria2" dataDxfId="209"/>
    <tableColumn id="14" xr3:uid="{00000000-0010-0000-0100-00000E000000}" name="2nd Criteria Op2" dataDxfId="208"/>
    <tableColumn id="15" xr3:uid="{939ECCAE-1270-4FCE-A4A6-F87F9DAE1FFE}" name="GUID Lookup" dataDxfId="20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ECD5C-1806-4A6B-8967-8AD81077C693}" name="tblViewsTable" displayName="tblViewsTable" ref="B4:O26" totalsRowShown="0" headerRowDxfId="206">
  <autoFilter ref="B4:O26" xr:uid="{00000000-0009-0000-0100-000003000000}"/>
  <sortState xmlns:xlrd2="http://schemas.microsoft.com/office/spreadsheetml/2017/richdata2" caseSensitive="1" ref="B5:O26">
    <sortCondition ref="B4:B26"/>
  </sortState>
  <tableColumns count="14">
    <tableColumn id="16" xr3:uid="{00000000-0010-0000-0200-000010000000}" name="ViewName" dataDxfId="205"/>
    <tableColumn id="15" xr3:uid="{00000000-0010-0000-0200-00000F000000}" name="GroupName1" dataDxfId="204"/>
    <tableColumn id="1" xr3:uid="{00000000-0010-0000-0200-000001000000}" name="GroupName2" dataDxfId="203"/>
    <tableColumn id="2" xr3:uid="{00000000-0010-0000-0200-000002000000}" name="GroupName3"/>
    <tableColumn id="5" xr3:uid="{00000000-0010-0000-0200-000005000000}" name="AutoFilterName"/>
    <tableColumn id="6" xr3:uid="{00000000-0010-0000-0200-000006000000}" name="CriteriaFilterName"/>
    <tableColumn id="4" xr3:uid="{142B3E00-1FF3-428F-9B06-B75716ABE463}" name="ScrollToCol" dataDxfId="202" dataCellStyle="Normal 2"/>
    <tableColumn id="7" xr3:uid="{00000000-0010-0000-0200-000007000000}" name="SortCol1" dataDxfId="201"/>
    <tableColumn id="14" xr3:uid="{00000000-0010-0000-0200-00000E000000}" name="SortDir1" dataDxfId="200"/>
    <tableColumn id="8" xr3:uid="{00000000-0010-0000-0200-000008000000}" name="SortCol2" dataDxfId="199"/>
    <tableColumn id="9" xr3:uid="{00000000-0010-0000-0200-000009000000}" name="SortDir2" dataDxfId="198"/>
    <tableColumn id="10" xr3:uid="{00000000-0010-0000-0200-00000A000000}" name="SortCol3" dataDxfId="197"/>
    <tableColumn id="11" xr3:uid="{00000000-0010-0000-0200-00000B000000}" name="SortDir3" dataDxfId="196"/>
    <tableColumn id="3" xr3:uid="{2BC2C0DE-25E1-437F-B2D5-E8F14B190409}" name="GUID Lookup" dataDxfId="19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A5596A-6EF8-4800-85BE-932442C33DDD}" name="tblGroupNames" displayName="tblGroupNames" ref="A1:F18" totalsRowCount="1" headerRowDxfId="194" dataDxfId="193">
  <autoFilter ref="A1:F17" xr:uid="{00000000-0009-0000-0100-000005000000}"/>
  <sortState xmlns:xlrd2="http://schemas.microsoft.com/office/spreadsheetml/2017/richdata2" caseSensitive="1" ref="A2:F17">
    <sortCondition ref="E2:E17"/>
    <sortCondition ref="B2:B17"/>
  </sortState>
  <tableColumns count="6">
    <tableColumn id="1" xr3:uid="{00000000-0010-0000-0300-000001000000}" name="Name" totalsRowLabel="Total" dataDxfId="192" totalsRowDxfId="191"/>
    <tableColumn id="2" xr3:uid="{00000000-0010-0000-0300-000002000000}" name="Order" totalsRowFunction="count" dataDxfId="190" totalsRowDxfId="189"/>
    <tableColumn id="4" xr3:uid="{00000000-0010-0000-0300-000004000000}" name="Address" dataDxfId="188" totalsRowDxfId="187"/>
    <tableColumn id="5" xr3:uid="{C7168B92-A7F5-40BE-A870-2D4C49A77AFA}" name="Parent" dataDxfId="186" totalsRowDxfId="185" dataCellStyle="Normal 2"/>
    <tableColumn id="3" xr3:uid="{00000000-0010-0000-0300-000003000000}" name="Level" dataDxfId="184" totalsRowDxfId="183"/>
    <tableColumn id="6" xr3:uid="{D88398C7-90B8-41FD-B5D1-9D231122A6A6}" name="GUID Lookup" dataDxfId="182" totalsRowDxfId="18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E37384E-1D84-4F83-AD0C-11CB6DA99D63}">
  <we:reference id="wa200009404" version="1.0.0.8" store="en-US" storeType="OMEX"/>
  <we:alternateReferences>
    <we:reference id="wa200009404" version="1.0.0.8" store="wa200009404" storeType="OMEX"/>
  </we:alternateReferences>
  <we:properties>
    <we:property name="claude.fileId" value="&quot;4060b188-a605-498d-b8da-4b5894edf6f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AppData/AppData/AppData/AppData/AppData/AppData/AppData/AppData/AppData/AppData/AppData/AppData/AppData/AppData/AppData/AppData/AppData/Roaming/Microsoft/Excel/EDU/Option%20Specific/Ellman/Portfolio%20Overwriting.docx"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EED8-16C2-40BF-8D44-258B88B9DE16}">
  <sheetPr codeName="Sheet2">
    <pageSetUpPr autoPageBreaks="0"/>
  </sheetPr>
  <dimension ref="B1:HP286"/>
  <sheetViews>
    <sheetView tabSelected="1" zoomScale="110" zoomScaleNormal="110" workbookViewId="0">
      <pane xSplit="3" ySplit="21" topLeftCell="D64" activePane="bottomRight" state="frozen"/>
      <selection pane="topRight" activeCell="D1" sqref="D1"/>
      <selection pane="bottomLeft" activeCell="A21" sqref="A21"/>
      <selection pane="bottomRight" activeCell="BR3" sqref="BR3"/>
    </sheetView>
  </sheetViews>
  <sheetFormatPr defaultColWidth="9.140625" defaultRowHeight="15" outlineLevelCol="4" x14ac:dyDescent="0.25"/>
  <cols>
    <col min="1" max="1" width="1.7109375" style="1" customWidth="1"/>
    <col min="2" max="2" width="11.85546875" style="1" customWidth="1"/>
    <col min="3" max="3" width="13.85546875" style="189" customWidth="1"/>
    <col min="4" max="4" width="5.7109375" style="198" customWidth="1"/>
    <col min="5" max="5" width="12" style="10" customWidth="1"/>
    <col min="6" max="6" width="22.5703125" style="10" hidden="1" customWidth="1" outlineLevel="1"/>
    <col min="7" max="7" width="16.7109375" style="10" customWidth="1" collapsed="1"/>
    <col min="8" max="8" width="9.140625" style="1" hidden="1" customWidth="1" outlineLevel="1"/>
    <col min="9" max="9" width="11.7109375" style="5" hidden="1" customWidth="1" outlineLevel="1"/>
    <col min="10" max="11" width="10.7109375" style="10" hidden="1" customWidth="1" outlineLevel="1"/>
    <col min="12" max="12" width="9.7109375" style="10" customWidth="1" collapsed="1"/>
    <col min="13" max="13" width="6.7109375" style="10" hidden="1" customWidth="1" outlineLevel="1"/>
    <col min="14" max="14" width="7.5703125" style="10" hidden="1" customWidth="1" outlineLevel="1"/>
    <col min="15" max="15" width="6.7109375" style="10" hidden="1" customWidth="1" collapsed="1"/>
    <col min="16" max="16" width="9.7109375" style="10" hidden="1" customWidth="1" outlineLevel="1"/>
    <col min="17" max="17" width="11.7109375" style="10" hidden="1" customWidth="1" outlineLevel="1"/>
    <col min="18" max="18" width="13" style="10" hidden="1" customWidth="1" outlineLevel="1"/>
    <col min="19" max="19" width="12.7109375" style="10" hidden="1" customWidth="1" outlineLevel="1"/>
    <col min="20" max="20" width="13.7109375" style="10" hidden="1" customWidth="1" outlineLevel="1" collapsed="1"/>
    <col min="21" max="21" width="8.7109375" style="11" hidden="1" customWidth="1" outlineLevel="1"/>
    <col min="22" max="25" width="10.7109375" style="219" hidden="1" customWidth="1" outlineLevel="1"/>
    <col min="26" max="26" width="8.7109375" style="256" hidden="1" customWidth="1" outlineLevel="1"/>
    <col min="27" max="27" width="10.7109375" style="221" hidden="1" customWidth="1" outlineLevel="1"/>
    <col min="28" max="28" width="10.7109375" style="221" hidden="1" customWidth="1" collapsed="1"/>
    <col min="29" max="29" width="10.7109375" style="10" hidden="1" customWidth="1" outlineLevel="1"/>
    <col min="30" max="30" width="9.140625" style="12" hidden="1" customWidth="1" outlineLevel="1"/>
    <col min="31" max="32" width="11.7109375" style="1" hidden="1" customWidth="1" outlineLevel="1"/>
    <col min="33" max="33" width="11.7109375" style="10" hidden="1" customWidth="1" outlineLevel="1"/>
    <col min="34" max="34" width="8.7109375" style="10" hidden="1" customWidth="1" collapsed="1"/>
    <col min="35" max="35" width="12" style="11" hidden="1" customWidth="1" outlineLevel="1"/>
    <col min="36" max="36" width="11.7109375" style="10" hidden="1" customWidth="1" outlineLevel="1"/>
    <col min="37" max="37" width="9.5703125" style="1" hidden="1" customWidth="1" outlineLevel="1"/>
    <col min="38" max="38" width="10.5703125" style="1" hidden="1" customWidth="1" outlineLevel="2"/>
    <col min="39" max="39" width="12.7109375" style="1" hidden="1" customWidth="1" outlineLevel="2"/>
    <col min="40" max="40" width="12.7109375" style="3" hidden="1" customWidth="1" outlineLevel="2"/>
    <col min="41" max="41" width="11.7109375" style="1" hidden="1" customWidth="1" outlineLevel="1" collapsed="1"/>
    <col min="42" max="42" width="11.7109375" style="1" hidden="1" customWidth="1" outlineLevel="3"/>
    <col min="43" max="43" width="10.7109375" style="1" hidden="1" customWidth="1" outlineLevel="3"/>
    <col min="44" max="45" width="11.7109375" style="1" hidden="1" customWidth="1" outlineLevel="3"/>
    <col min="46" max="46" width="12.7109375" style="1" hidden="1" customWidth="1" outlineLevel="3"/>
    <col min="47" max="48" width="5.7109375" style="1" customWidth="1" outlineLevel="3"/>
    <col min="49" max="49" width="10.7109375" style="1" hidden="1" customWidth="1" outlineLevel="4"/>
    <col min="50" max="50" width="7.7109375" style="1" hidden="1" customWidth="1" outlineLevel="4"/>
    <col min="51" max="52" width="10.7109375" style="1" hidden="1" customWidth="1" outlineLevel="4"/>
    <col min="53" max="53" width="10.7109375" style="1" customWidth="1" outlineLevel="3" collapsed="1"/>
    <col min="54" max="54" width="30.7109375" style="1" customWidth="1" outlineLevel="3"/>
    <col min="55" max="55" width="7.7109375" style="1" hidden="1" customWidth="1"/>
    <col min="56" max="56" width="11.42578125" style="1" hidden="1" customWidth="1" outlineLevel="1"/>
    <col min="57" max="57" width="11.7109375" style="1" hidden="1" customWidth="1" outlineLevel="1"/>
    <col min="58" max="58" width="5.7109375" style="1" hidden="1" customWidth="1" outlineLevel="1"/>
    <col min="59" max="60" width="8.140625" style="1" hidden="1" customWidth="1" outlineLevel="1"/>
    <col min="61" max="63" width="10.7109375" style="1" hidden="1" customWidth="1" outlineLevel="1"/>
    <col min="64" max="64" width="9.7109375" style="1" hidden="1" customWidth="1" outlineLevel="1"/>
    <col min="65" max="65" width="7.7109375" style="1" hidden="1" customWidth="1" outlineLevel="1"/>
    <col min="66" max="66" width="5.7109375" style="1" hidden="1" customWidth="1" outlineLevel="1"/>
    <col min="67" max="67" width="3.7109375" style="1" customWidth="1" outlineLevel="1"/>
    <col min="68" max="68" width="10.7109375" style="1" hidden="1" customWidth="1"/>
    <col min="69" max="69" width="8.7109375" style="1" customWidth="1" outlineLevel="1"/>
    <col min="70" max="70" width="10.7109375" style="1" customWidth="1" outlineLevel="1"/>
    <col min="71" max="71" width="5.7109375" style="1" customWidth="1" outlineLevel="1"/>
    <col min="72" max="72" width="7.7109375" style="7" customWidth="1" outlineLevel="1"/>
    <col min="73" max="73" width="7.7109375" style="8" customWidth="1" outlineLevel="1" collapsed="1"/>
    <col min="74" max="74" width="10.7109375" style="1" customWidth="1" outlineLevel="1"/>
    <col min="75" max="76" width="3.7109375" style="7" customWidth="1" outlineLevel="1"/>
    <col min="77" max="77" width="11.7109375" style="7" customWidth="1" outlineLevel="1"/>
    <col min="78" max="78" width="8.7109375" style="7" customWidth="1" outlineLevel="1"/>
    <col min="79" max="79" width="6.7109375" style="7" customWidth="1" outlineLevel="1"/>
    <col min="80" max="80" width="10.7109375" style="1" customWidth="1" outlineLevel="1"/>
    <col min="81" max="81" width="7.7109375" customWidth="1" outlineLevel="1"/>
    <col min="82" max="83" width="7.7109375" style="1" customWidth="1" outlineLevel="1"/>
    <col min="84" max="84" width="14" style="1" customWidth="1" outlineLevel="1"/>
    <col min="85" max="85" width="13.7109375" customWidth="1" outlineLevel="1"/>
    <col min="86" max="86" width="9.140625" customWidth="1" outlineLevel="1"/>
    <col min="87" max="87" width="10.7109375" style="230" customWidth="1" outlineLevel="1"/>
    <col min="88" max="88" width="5.7109375" customWidth="1" outlineLevel="1"/>
    <col min="89" max="89" width="11.7109375" style="1" customWidth="1" outlineLevel="1"/>
    <col min="90" max="90" width="12.7109375" customWidth="1" outlineLevel="1"/>
    <col min="91" max="91" width="9.140625" customWidth="1" outlineLevel="1"/>
    <col min="92" max="92" width="9.7109375" customWidth="1" outlineLevel="1"/>
    <col min="93" max="93" width="8.7109375" style="1" customWidth="1" outlineLevel="1"/>
    <col min="94" max="94" width="10.7109375" customWidth="1" outlineLevel="1"/>
    <col min="95" max="96" width="9.140625" customWidth="1" outlineLevel="1"/>
    <col min="97" max="97" width="10.28515625" customWidth="1" outlineLevel="1"/>
    <col min="98" max="99" width="9.140625" customWidth="1" outlineLevel="1"/>
    <col min="100" max="100" width="5.7109375" customWidth="1" outlineLevel="1"/>
    <col min="101" max="101" width="5.140625" customWidth="1" outlineLevel="1"/>
    <col min="102" max="102" width="9.7109375" hidden="1" customWidth="1" outlineLevel="2"/>
    <col min="103" max="105" width="10.7109375" style="1" hidden="1" customWidth="1" outlineLevel="2"/>
    <col min="106" max="106" width="8.7109375" style="1" hidden="1" customWidth="1" outlineLevel="2"/>
    <col min="107" max="107" width="10.7109375" style="1" hidden="1" customWidth="1" outlineLevel="2"/>
    <col min="108" max="108" width="10.7109375" style="5" customWidth="1" outlineLevel="1" collapsed="1"/>
    <col min="109" max="109" width="10.7109375" customWidth="1" outlineLevel="1"/>
    <col min="110" max="110" width="9.140625" customWidth="1" outlineLevel="1"/>
    <col min="111" max="111" width="10.7109375" customWidth="1"/>
    <col min="112" max="112" width="6.7109375" style="1" customWidth="1" outlineLevel="1"/>
    <col min="113" max="113" width="10.7109375" style="6" hidden="1" customWidth="1" outlineLevel="1"/>
    <col min="114" max="114" width="5.7109375" style="6" hidden="1" customWidth="1" outlineLevel="1"/>
    <col min="115" max="116" width="10.7109375" style="6" hidden="1" customWidth="1" outlineLevel="1"/>
    <col min="117" max="118" width="10.7109375" style="5" hidden="1" customWidth="1" outlineLevel="1"/>
    <col min="119" max="119" width="2.7109375" style="222" hidden="1" customWidth="1" outlineLevel="1"/>
    <col min="120" max="120" width="7.7109375" style="222" hidden="1" customWidth="1" outlineLevel="1"/>
    <col min="121" max="121" width="5.7109375" style="222" hidden="1" customWidth="1" outlineLevel="1"/>
    <col min="122" max="122" width="10.7109375" style="5" hidden="1" customWidth="1" outlineLevel="1"/>
    <col min="123" max="123" width="9.7109375" style="5" hidden="1" customWidth="1" outlineLevel="1"/>
    <col min="124" max="124" width="10.7109375" style="5" hidden="1" customWidth="1" outlineLevel="1"/>
    <col min="125" max="125" width="9.7109375" style="5" hidden="1" customWidth="1" outlineLevel="1"/>
    <col min="126" max="126" width="8.7109375" style="5" hidden="1" customWidth="1" outlineLevel="1"/>
    <col min="127" max="127" width="11.140625" style="1" hidden="1" customWidth="1" outlineLevel="1"/>
    <col min="128" max="128" width="10.7109375" style="1" hidden="1" customWidth="1" outlineLevel="1"/>
    <col min="129" max="129" width="8.7109375" style="1" hidden="1" customWidth="1" outlineLevel="1"/>
    <col min="130" max="130" width="10.7109375" style="1" hidden="1" customWidth="1" outlineLevel="1"/>
    <col min="131" max="131" width="8.7109375" style="1" hidden="1" customWidth="1" outlineLevel="1"/>
    <col min="132" max="133" width="9.7109375" style="1" hidden="1" customWidth="1" outlineLevel="1"/>
    <col min="134" max="134" width="7.7109375" style="222" hidden="1" customWidth="1" outlineLevel="1"/>
    <col min="135" max="135" width="8.7109375" style="242" hidden="1" customWidth="1" outlineLevel="1"/>
    <col min="136" max="137" width="9.7109375" style="279" hidden="1" customWidth="1" outlineLevel="1"/>
    <col min="138" max="138" width="8.7109375" style="279" hidden="1" customWidth="1"/>
    <col min="139" max="139" width="8.7109375" style="222" hidden="1" customWidth="1"/>
    <col min="140" max="140" width="6.7109375" style="249" hidden="1" customWidth="1" outlineLevel="1"/>
    <col min="141" max="141" width="8.7109375" hidden="1" customWidth="1" outlineLevel="1"/>
    <col min="142" max="142" width="10.7109375" hidden="1" customWidth="1" outlineLevel="1"/>
    <col min="143" max="143" width="5.7109375" style="1" hidden="1" customWidth="1" outlineLevel="1"/>
    <col min="144" max="144" width="7.7109375" style="1" hidden="1" customWidth="1" outlineLevel="1"/>
    <col min="145" max="145" width="7.7109375" hidden="1" customWidth="1" outlineLevel="1"/>
    <col min="146" max="146" width="10.7109375" hidden="1" customWidth="1" outlineLevel="1"/>
    <col min="147" max="147" width="3.7109375" style="3" hidden="1" customWidth="1" outlineLevel="1"/>
    <col min="148" max="148" width="3.7109375" style="331" hidden="1" customWidth="1" outlineLevel="1"/>
    <col min="149" max="149" width="8.7109375" hidden="1" customWidth="1" outlineLevel="1"/>
    <col min="150" max="151" width="5.7109375" style="3" hidden="1" customWidth="1" outlineLevel="1"/>
    <col min="152" max="152" width="8.7109375" style="3" hidden="1" customWidth="1" outlineLevel="1"/>
    <col min="153" max="153" width="10.7109375" hidden="1" customWidth="1" outlineLevel="1"/>
    <col min="154" max="154" width="9.140625" hidden="1" customWidth="1" outlineLevel="1"/>
    <col min="155" max="155" width="9.140625" style="3" hidden="1" customWidth="1" outlineLevel="1"/>
    <col min="156" max="156" width="5.7109375" style="225" hidden="1" customWidth="1" outlineLevel="1"/>
    <col min="157" max="157" width="9.85546875" hidden="1" customWidth="1" outlineLevel="1"/>
    <col min="158" max="158" width="9.140625" style="3" hidden="1" customWidth="1" outlineLevel="1"/>
    <col min="159" max="159" width="9.7109375" style="3" hidden="1" customWidth="1" outlineLevel="1"/>
    <col min="160" max="162" width="9.140625" hidden="1" customWidth="1" outlineLevel="1"/>
    <col min="163" max="163" width="9.7109375" style="3" hidden="1" customWidth="1" outlineLevel="1"/>
    <col min="164" max="164" width="8.7109375" style="333" hidden="1" customWidth="1" outlineLevel="1"/>
    <col min="165" max="167" width="9.7109375" style="3" hidden="1" customWidth="1" outlineLevel="1"/>
    <col min="168" max="169" width="9.7109375" style="1" hidden="1" customWidth="1" outlineLevel="1"/>
    <col min="170" max="170" width="9.7109375" style="3" hidden="1" customWidth="1" outlineLevel="1"/>
    <col min="171" max="171" width="10.7109375" style="3" hidden="1" customWidth="1" outlineLevel="1"/>
    <col min="172" max="172" width="10.7109375" hidden="1" customWidth="1" outlineLevel="1"/>
    <col min="173" max="173" width="9.140625" hidden="1" customWidth="1" outlineLevel="1"/>
    <col min="174" max="174" width="9.140625" style="3" hidden="1" customWidth="1" outlineLevel="1"/>
    <col min="175" max="175" width="9.7109375" style="3" hidden="1" customWidth="1" outlineLevel="2"/>
    <col min="176" max="176" width="7.7109375" style="3" hidden="1" customWidth="1" outlineLevel="2"/>
    <col min="177" max="177" width="12.7109375" style="3" hidden="1" customWidth="1" outlineLevel="2"/>
    <col min="178" max="178" width="10.7109375" style="1" hidden="1" customWidth="1" outlineLevel="2"/>
    <col min="179" max="179" width="10.7109375" style="3" hidden="1" customWidth="1" outlineLevel="2"/>
    <col min="180" max="181" width="8.7109375" style="3" hidden="1" customWidth="1" outlineLevel="2"/>
    <col min="182" max="182" width="8.7109375" style="3" hidden="1" customWidth="1" outlineLevel="1" collapsed="1"/>
    <col min="183" max="183" width="8.7109375" style="3" hidden="1" customWidth="1" collapsed="1"/>
    <col min="184" max="184" width="8.7109375" style="3" hidden="1" customWidth="1" outlineLevel="1"/>
    <col min="185" max="185" width="9.7109375" style="3" hidden="1" customWidth="1" outlineLevel="1"/>
    <col min="186" max="186" width="8.7109375" style="221" hidden="1" customWidth="1" outlineLevel="1"/>
    <col min="187" max="187" width="6.7109375" style="3" hidden="1" customWidth="1" outlineLevel="1"/>
    <col min="188" max="188" width="10.7109375" style="3" hidden="1" customWidth="1" outlineLevel="1"/>
    <col min="189" max="189" width="10.7109375" style="280" hidden="1" customWidth="1" outlineLevel="1"/>
    <col min="190" max="190" width="7.7109375" style="3" hidden="1" customWidth="1" outlineLevel="1"/>
    <col min="191" max="191" width="6.7109375" style="3" hidden="1" customWidth="1" outlineLevel="1"/>
    <col min="192" max="192" width="8.7109375" style="235" hidden="1" customWidth="1" outlineLevel="1"/>
    <col min="193" max="193" width="43.85546875" style="3" hidden="1" customWidth="1" outlineLevel="1"/>
    <col min="194" max="194" width="6.7109375" style="3" hidden="1" customWidth="1" collapsed="1"/>
    <col min="195" max="195" width="43.85546875" style="222" hidden="1" customWidth="1" outlineLevel="1"/>
    <col min="196" max="196" width="10.7109375" style="4" hidden="1" customWidth="1" outlineLevel="1"/>
    <col min="197" max="197" width="8.7109375" style="1" hidden="1" customWidth="1" outlineLevel="1"/>
    <col min="198" max="198" width="7.7109375" style="1" hidden="1" customWidth="1" outlineLevel="1"/>
    <col min="199" max="199" width="8.7109375" style="1" hidden="1" customWidth="1" outlineLevel="1"/>
    <col min="200" max="200" width="5.7109375" style="1" hidden="1" customWidth="1" outlineLevel="1"/>
    <col min="201" max="201" width="43" style="2" hidden="1" customWidth="1" outlineLevel="1"/>
    <col min="202" max="202" width="11.7109375" style="226" hidden="1" customWidth="1" outlineLevel="1"/>
    <col min="203" max="203" width="10.7109375" style="3" customWidth="1" collapsed="1"/>
    <col min="204" max="204" width="11.7109375" style="1" customWidth="1"/>
    <col min="205" max="205" width="10.140625" style="1" customWidth="1"/>
    <col min="206" max="206" width="10.42578125" style="1" customWidth="1"/>
    <col min="207" max="207" width="11.7109375" style="189" customWidth="1"/>
    <col min="208" max="208" width="3.7109375" style="1" customWidth="1"/>
    <col min="209" max="210" width="8.7109375" style="1" customWidth="1"/>
    <col min="211" max="211" width="12" style="1" customWidth="1"/>
    <col min="212" max="212" width="11.5703125" style="1" customWidth="1"/>
    <col min="213" max="213" width="11.28515625" style="189" bestFit="1" customWidth="1"/>
    <col min="214" max="214" width="10.28515625" style="189" bestFit="1" customWidth="1"/>
    <col min="215" max="215" width="11" style="189" customWidth="1"/>
    <col min="216" max="216" width="12.28515625" style="189" bestFit="1" customWidth="1"/>
    <col min="217" max="217" width="11.7109375" style="189" customWidth="1"/>
    <col min="218" max="218" width="7.7109375" style="189" customWidth="1"/>
    <col min="219" max="219" width="8.7109375" style="2" customWidth="1"/>
    <col min="220" max="221" width="9.7109375" style="2" customWidth="1"/>
    <col min="222" max="222" width="7.7109375" style="2" customWidth="1"/>
    <col min="223" max="223" width="16.7109375" style="2" customWidth="1"/>
    <col min="224" max="224" width="12.7109375" style="2" customWidth="1"/>
    <col min="225" max="225" width="8.7109375" style="1" customWidth="1"/>
    <col min="226" max="230" width="9.140625" style="1"/>
    <col min="231" max="231" width="10.140625" style="1" bestFit="1" customWidth="1"/>
    <col min="232" max="16384" width="9.140625" style="1"/>
  </cols>
  <sheetData>
    <row r="1" spans="2:224" x14ac:dyDescent="0.25">
      <c r="C1" s="357"/>
      <c r="E1" s="69">
        <v>0.15</v>
      </c>
      <c r="CC1" s="1"/>
      <c r="CG1" s="6"/>
      <c r="CH1" s="1"/>
      <c r="CI1" s="226"/>
      <c r="CJ1" s="1"/>
      <c r="CL1" s="1"/>
      <c r="CM1" s="5"/>
      <c r="CN1" s="5"/>
      <c r="CO1" s="5"/>
      <c r="CP1" s="5"/>
      <c r="CQ1" s="5"/>
      <c r="CR1" s="5"/>
      <c r="CS1" s="5"/>
      <c r="CT1" s="1"/>
      <c r="CU1" s="1"/>
      <c r="CV1" s="1"/>
      <c r="CW1" s="1"/>
      <c r="CX1" s="1"/>
      <c r="DB1" s="5"/>
      <c r="DC1" s="5"/>
      <c r="DE1" s="1"/>
      <c r="DF1" s="1"/>
      <c r="DG1" s="222"/>
      <c r="DI1" s="1"/>
      <c r="DJ1" s="1"/>
      <c r="DK1" s="3"/>
      <c r="DL1" s="3"/>
      <c r="DM1" s="3"/>
      <c r="DN1" s="3"/>
      <c r="DO1" s="3"/>
      <c r="DP1" s="3"/>
      <c r="DQ1" s="3"/>
      <c r="DR1" s="3"/>
      <c r="DS1" s="3"/>
      <c r="DT1" s="1"/>
      <c r="DU1" s="1"/>
      <c r="DV1" s="222"/>
      <c r="DW1" s="236"/>
      <c r="DX1" s="273"/>
      <c r="DY1" s="273"/>
      <c r="DZ1" s="225"/>
      <c r="EA1" s="243"/>
      <c r="EB1" s="3"/>
      <c r="EC1" s="3"/>
      <c r="ED1" s="3"/>
      <c r="EE1" s="3"/>
      <c r="EF1" s="1"/>
      <c r="EG1" s="1"/>
      <c r="EH1" s="222"/>
      <c r="EI1" s="1"/>
      <c r="EJ1" s="3"/>
      <c r="EK1" s="3"/>
      <c r="EL1" s="3"/>
      <c r="EM1" s="3"/>
      <c r="EN1" s="3"/>
      <c r="EO1" s="3"/>
      <c r="EP1" s="3"/>
      <c r="ER1" s="326"/>
      <c r="ES1" s="3"/>
      <c r="EU1" s="1"/>
      <c r="EW1" s="3"/>
      <c r="EX1" s="202" t="s">
        <v>852</v>
      </c>
      <c r="EZ1" s="3"/>
      <c r="FA1" s="3"/>
      <c r="FD1" s="3"/>
      <c r="FE1" s="3"/>
      <c r="FF1" s="3"/>
      <c r="FG1" s="4"/>
      <c r="FH1" s="83"/>
      <c r="FJ1" s="1"/>
      <c r="FK1" s="232"/>
      <c r="FL1" s="281"/>
      <c r="FN1" s="1"/>
      <c r="FO1" s="1"/>
      <c r="FP1" s="1"/>
      <c r="FR1" s="1"/>
      <c r="FS1" s="1"/>
      <c r="FT1" s="222"/>
      <c r="FU1" s="222"/>
      <c r="FV1" s="222"/>
      <c r="FW1" s="263"/>
      <c r="FX1" s="222"/>
      <c r="FZ1" s="2"/>
      <c r="GA1" s="226"/>
      <c r="GB1" s="1"/>
      <c r="GC1" s="1"/>
      <c r="GD1" s="82">
        <v>0.2</v>
      </c>
      <c r="GE1" s="82">
        <v>0.95</v>
      </c>
      <c r="GF1" s="82">
        <v>0.1</v>
      </c>
      <c r="GG1" s="2"/>
      <c r="GH1" s="2"/>
      <c r="GI1" s="2"/>
      <c r="GJ1" s="2"/>
      <c r="GK1" s="2"/>
      <c r="GL1" s="2"/>
      <c r="GM1" s="2"/>
      <c r="GN1" s="2"/>
      <c r="GO1" s="2"/>
      <c r="GP1" s="2"/>
      <c r="GQ1" s="2"/>
      <c r="GR1" s="2"/>
      <c r="GT1" s="2"/>
      <c r="GU1" s="2"/>
      <c r="GV1" s="2"/>
      <c r="HK1" s="1"/>
      <c r="HL1" s="1"/>
      <c r="HM1" s="1"/>
      <c r="HN1" s="1"/>
      <c r="HO1" s="1"/>
      <c r="HP1" s="1"/>
    </row>
    <row r="2" spans="2:224" ht="12.75" customHeight="1" x14ac:dyDescent="0.25">
      <c r="B2" s="70"/>
      <c r="C2" s="357"/>
      <c r="D2" s="202" t="s">
        <v>288</v>
      </c>
      <c r="E2" s="80"/>
      <c r="F2" s="80"/>
      <c r="G2" s="80"/>
      <c r="H2" s="80"/>
      <c r="I2" s="81"/>
      <c r="J2" s="81"/>
      <c r="K2" s="80"/>
      <c r="L2" s="80"/>
      <c r="M2" s="80"/>
      <c r="N2" s="80"/>
      <c r="O2" s="80"/>
      <c r="P2" s="71"/>
      <c r="Q2" s="79"/>
      <c r="R2" s="70"/>
      <c r="S2" s="78"/>
      <c r="T2" s="70"/>
      <c r="U2" s="77"/>
      <c r="V2" s="251"/>
      <c r="W2" s="251"/>
      <c r="X2" s="251"/>
      <c r="Y2" s="251"/>
      <c r="Z2" s="257"/>
      <c r="AA2" s="262"/>
      <c r="AB2" s="262"/>
      <c r="AC2" s="70"/>
      <c r="AD2" s="76"/>
      <c r="AE2" s="70"/>
      <c r="AF2" s="70"/>
      <c r="AG2" s="70"/>
      <c r="AH2" s="76"/>
      <c r="AI2" s="70"/>
      <c r="AJ2" s="71"/>
      <c r="AK2" s="71"/>
      <c r="AL2" s="71"/>
      <c r="AM2" s="44"/>
      <c r="AN2" s="71"/>
      <c r="AO2" s="71"/>
      <c r="AP2" s="347" t="s">
        <v>889</v>
      </c>
      <c r="AQ2" s="71">
        <v>5</v>
      </c>
      <c r="AR2" s="75"/>
      <c r="AS2" s="71"/>
      <c r="AT2" s="71"/>
      <c r="AU2" s="71"/>
      <c r="AV2" s="71"/>
      <c r="AW2" s="71"/>
      <c r="AX2" s="71"/>
      <c r="AY2" s="71"/>
      <c r="AZ2" s="71"/>
      <c r="BA2" s="202" t="s">
        <v>791</v>
      </c>
      <c r="BB2" s="71"/>
      <c r="BC2" s="71"/>
      <c r="BD2" s="71"/>
      <c r="BE2" s="71"/>
      <c r="BF2" s="71"/>
      <c r="BG2" s="71"/>
      <c r="BH2" s="71"/>
      <c r="BI2" s="71"/>
      <c r="BJ2" s="71"/>
      <c r="BK2" s="71"/>
      <c r="BL2" s="71"/>
      <c r="BM2" s="71"/>
      <c r="BN2" s="71"/>
      <c r="BO2" s="71"/>
      <c r="BP2" s="71"/>
      <c r="BQ2" s="71"/>
      <c r="BR2" s="71"/>
      <c r="BS2" s="74"/>
      <c r="BT2" s="70"/>
      <c r="BU2" s="70"/>
      <c r="BV2" s="70"/>
      <c r="BW2" s="70"/>
      <c r="BX2" s="70"/>
      <c r="BY2" s="70"/>
      <c r="BZ2" s="70"/>
      <c r="CB2" s="70"/>
      <c r="CC2" s="70"/>
      <c r="CD2" s="70"/>
      <c r="CE2" s="70"/>
      <c r="CF2" s="70"/>
      <c r="CG2" s="70"/>
      <c r="CH2" s="1"/>
      <c r="CI2" s="226"/>
      <c r="CJ2" s="12"/>
      <c r="CK2" s="70"/>
      <c r="CL2" s="1"/>
      <c r="CM2" s="70"/>
      <c r="CN2" s="70"/>
      <c r="CO2" s="70"/>
      <c r="CP2" s="70"/>
      <c r="CQ2" s="70"/>
      <c r="CR2" s="70"/>
      <c r="CS2" s="70"/>
      <c r="CT2" s="73"/>
      <c r="CU2" s="73"/>
      <c r="CV2" s="73"/>
      <c r="CW2" s="73"/>
      <c r="CY2" s="69">
        <v>0.5</v>
      </c>
      <c r="CZ2" s="196" t="s">
        <v>637</v>
      </c>
      <c r="DA2" s="69"/>
      <c r="DB2" s="70"/>
      <c r="DC2" s="70"/>
      <c r="DD2" s="70"/>
      <c r="DE2" s="73"/>
      <c r="DF2" s="73"/>
      <c r="DG2" s="223"/>
      <c r="DH2" s="73"/>
      <c r="DI2" s="73"/>
      <c r="DJ2" s="73"/>
      <c r="DK2" s="73"/>
      <c r="DL2" s="73"/>
      <c r="DM2" s="73"/>
      <c r="DN2" s="73"/>
      <c r="DO2" s="1"/>
      <c r="DP2" s="1"/>
      <c r="DQ2" s="1"/>
      <c r="DR2" s="73"/>
      <c r="DS2" s="3"/>
      <c r="DT2" s="73"/>
      <c r="DU2" s="73"/>
      <c r="DV2" s="223"/>
      <c r="DW2" s="237"/>
      <c r="DX2" s="274"/>
      <c r="DY2" s="274"/>
      <c r="DZ2" s="223"/>
      <c r="EA2" s="244"/>
      <c r="EB2" s="73"/>
      <c r="EC2" s="73"/>
      <c r="ED2" s="73"/>
      <c r="EE2" s="73"/>
      <c r="EF2" s="73"/>
      <c r="EG2" s="73"/>
      <c r="EH2" s="223"/>
      <c r="EI2" s="73"/>
      <c r="EJ2" s="73"/>
      <c r="EK2" s="73"/>
      <c r="EL2" s="73"/>
      <c r="EM2" s="73"/>
      <c r="EN2" s="73"/>
      <c r="EO2" s="73"/>
      <c r="EP2" s="73"/>
      <c r="ER2" s="327"/>
      <c r="ES2" s="73"/>
      <c r="ET2" s="73"/>
      <c r="EU2" s="1"/>
      <c r="EW2" s="3"/>
      <c r="EX2" s="337">
        <v>1E-3</v>
      </c>
      <c r="EY2" s="202" t="s">
        <v>859</v>
      </c>
      <c r="EZ2" s="337">
        <f>MinimumPremiumRequired * 365</f>
        <v>0.36499999999999999</v>
      </c>
      <c r="FA2" s="202" t="s">
        <v>862</v>
      </c>
      <c r="FB2"/>
      <c r="FC2"/>
      <c r="FD2" s="73"/>
      <c r="FE2" s="73"/>
      <c r="FF2" s="73"/>
      <c r="FG2" s="73"/>
      <c r="FH2" s="72"/>
      <c r="FI2" s="73"/>
      <c r="FJ2" s="73"/>
      <c r="FK2" s="8">
        <v>5.0000000000000001E-4</v>
      </c>
      <c r="FL2" s="303" t="s">
        <v>656</v>
      </c>
      <c r="FM2" s="73"/>
      <c r="FN2" s="70"/>
      <c r="FO2" s="2"/>
      <c r="FP2" s="2"/>
      <c r="FQ2" s="1"/>
      <c r="FR2" s="1"/>
      <c r="FS2" s="1"/>
      <c r="FT2" s="222"/>
      <c r="FU2" s="222"/>
      <c r="FV2" s="222"/>
      <c r="FW2" s="263"/>
      <c r="FX2" s="222"/>
      <c r="FY2" s="1"/>
      <c r="FZ2" s="1"/>
      <c r="GA2" s="226"/>
      <c r="GB2" s="1"/>
      <c r="GC2" s="71"/>
      <c r="GD2" s="72" t="s">
        <v>287</v>
      </c>
      <c r="GE2" s="72" t="s">
        <v>287</v>
      </c>
      <c r="GF2" s="72" t="s">
        <v>286</v>
      </c>
      <c r="GG2" s="70"/>
      <c r="GH2" s="1"/>
      <c r="GI2" s="1"/>
      <c r="GJ2" s="1"/>
      <c r="GK2" s="1"/>
      <c r="GL2" s="1"/>
      <c r="GM2" s="1"/>
      <c r="GN2" s="1"/>
      <c r="GS2" s="1"/>
      <c r="GT2" s="1"/>
      <c r="GU2" s="1"/>
      <c r="HK2" s="1"/>
      <c r="HL2" s="1"/>
      <c r="HM2" s="1"/>
      <c r="HN2" s="1"/>
      <c r="HO2" s="1"/>
      <c r="HP2" s="1"/>
    </row>
    <row r="3" spans="2:224" ht="12.75" customHeight="1" x14ac:dyDescent="0.25">
      <c r="B3" s="70"/>
      <c r="C3" s="357"/>
      <c r="D3" s="202"/>
      <c r="E3" s="384">
        <f ca="1">TODAY()</f>
        <v>46229</v>
      </c>
      <c r="F3" s="80"/>
      <c r="G3" s="80"/>
      <c r="H3" s="80"/>
      <c r="I3" s="81"/>
      <c r="J3" s="81"/>
      <c r="K3" s="80"/>
      <c r="M3" s="80"/>
      <c r="N3" s="80"/>
      <c r="O3" s="80"/>
      <c r="P3" s="71"/>
      <c r="Q3" s="79"/>
      <c r="R3" s="70"/>
      <c r="S3" s="78"/>
      <c r="T3" s="70"/>
      <c r="U3" s="77"/>
      <c r="V3" s="251"/>
      <c r="W3" s="251"/>
      <c r="X3" s="251"/>
      <c r="Y3" s="251"/>
      <c r="Z3" s="257"/>
      <c r="AA3" s="262"/>
      <c r="AB3" s="262"/>
      <c r="AC3" s="70"/>
      <c r="AD3" s="76"/>
      <c r="AE3" s="70"/>
      <c r="AF3" s="70"/>
      <c r="AG3" s="70"/>
      <c r="AH3" s="76"/>
      <c r="AI3" s="70"/>
      <c r="AJ3" s="71"/>
      <c r="AK3" s="71"/>
      <c r="AL3" s="71"/>
      <c r="AM3" s="44"/>
      <c r="AN3" s="71"/>
      <c r="AO3" s="71"/>
      <c r="AP3" s="71"/>
      <c r="AQ3" s="75"/>
      <c r="AR3" s="75"/>
      <c r="AS3" s="71"/>
      <c r="AT3" s="71"/>
      <c r="AU3" s="71"/>
      <c r="AV3" s="71"/>
      <c r="AW3" s="71"/>
      <c r="AX3" s="71"/>
      <c r="AY3" s="71"/>
      <c r="AZ3" s="71"/>
      <c r="BA3" s="202"/>
      <c r="BB3" s="71"/>
      <c r="BC3" s="71"/>
      <c r="BD3" s="71"/>
      <c r="BE3" s="71"/>
      <c r="BF3" s="71"/>
      <c r="BG3" s="71"/>
      <c r="BH3" s="71"/>
      <c r="BI3" s="71"/>
      <c r="BJ3" s="71"/>
      <c r="BK3" s="71"/>
      <c r="BL3" s="71"/>
      <c r="BM3" s="71"/>
      <c r="BN3" s="71"/>
      <c r="BO3" s="71"/>
      <c r="BP3" s="71"/>
      <c r="BQ3" s="71"/>
      <c r="BR3" s="71"/>
      <c r="BS3" s="74"/>
      <c r="BT3" s="70"/>
      <c r="BU3" s="70"/>
      <c r="BV3" s="70"/>
      <c r="BW3" s="70"/>
      <c r="BX3" s="70"/>
      <c r="BY3" s="70"/>
      <c r="BZ3" s="70"/>
      <c r="CB3" s="70"/>
      <c r="CC3" s="70"/>
      <c r="CD3" s="70"/>
      <c r="CE3" s="70"/>
      <c r="CF3" s="70"/>
      <c r="CG3" s="70"/>
      <c r="CH3" s="1"/>
      <c r="CI3" s="226"/>
      <c r="CJ3" s="12"/>
      <c r="CK3" s="70"/>
      <c r="CL3" s="1"/>
      <c r="CM3" s="70"/>
      <c r="CN3" s="70"/>
      <c r="CO3" s="70"/>
      <c r="CP3" s="70"/>
      <c r="CQ3" s="70"/>
      <c r="CR3" s="70"/>
      <c r="CS3" s="70"/>
      <c r="CT3" s="73"/>
      <c r="CU3" s="73"/>
      <c r="CV3" s="73"/>
      <c r="CW3" s="73"/>
      <c r="CY3" s="69"/>
      <c r="CZ3" s="196"/>
      <c r="DA3" s="69"/>
      <c r="DB3" s="70"/>
      <c r="DC3" s="70"/>
      <c r="DD3" s="70"/>
      <c r="DE3" s="73"/>
      <c r="DF3" s="73"/>
      <c r="DG3" s="223"/>
      <c r="DH3" s="73"/>
      <c r="DI3" s="73"/>
      <c r="DJ3" s="73"/>
      <c r="DK3" s="73"/>
      <c r="DL3" s="73"/>
      <c r="DM3" s="73"/>
      <c r="DN3" s="73"/>
      <c r="DO3" s="1"/>
      <c r="DP3" s="1"/>
      <c r="DQ3" s="1"/>
      <c r="DR3" s="73"/>
      <c r="DS3" s="3"/>
      <c r="DT3" s="73"/>
      <c r="DU3" s="73"/>
      <c r="DV3" s="223"/>
      <c r="DW3" s="237"/>
      <c r="DX3" s="274"/>
      <c r="DY3" s="274"/>
      <c r="DZ3" s="223"/>
      <c r="EA3" s="244"/>
      <c r="EB3" s="73"/>
      <c r="EC3" s="73"/>
      <c r="ED3" s="73"/>
      <c r="EE3" s="73"/>
      <c r="EF3" s="73"/>
      <c r="EG3" s="73"/>
      <c r="EH3" s="223"/>
      <c r="EI3" s="73"/>
      <c r="EJ3" s="73"/>
      <c r="EK3" s="73"/>
      <c r="EL3" s="73"/>
      <c r="EM3" s="73"/>
      <c r="EN3" s="73"/>
      <c r="EO3" s="73"/>
      <c r="EP3" s="73"/>
      <c r="ER3" s="327"/>
      <c r="ES3" s="73"/>
      <c r="ET3" s="73"/>
      <c r="EU3" s="1"/>
      <c r="EW3" s="3"/>
      <c r="EX3" s="337"/>
      <c r="EY3" s="202"/>
      <c r="EZ3" s="337"/>
      <c r="FA3" s="202"/>
      <c r="FB3"/>
      <c r="FC3"/>
      <c r="FD3" s="73"/>
      <c r="FE3" s="73"/>
      <c r="FF3" s="73"/>
      <c r="FG3" s="73"/>
      <c r="FH3" s="72"/>
      <c r="FI3" s="73"/>
      <c r="FJ3" s="73"/>
      <c r="FK3" s="8"/>
      <c r="FL3" s="303"/>
      <c r="FM3" s="73"/>
      <c r="FN3" s="70"/>
      <c r="FO3" s="2"/>
      <c r="FP3" s="2"/>
      <c r="FQ3" s="1"/>
      <c r="FR3" s="1"/>
      <c r="FS3" s="1"/>
      <c r="FT3" s="222"/>
      <c r="FU3" s="222"/>
      <c r="FV3" s="222"/>
      <c r="FW3" s="263"/>
      <c r="FX3" s="222"/>
      <c r="FY3" s="1"/>
      <c r="FZ3" s="1"/>
      <c r="GA3" s="226"/>
      <c r="GB3" s="1"/>
      <c r="GC3" s="71"/>
      <c r="GD3" s="72"/>
      <c r="GE3" s="72"/>
      <c r="GF3" s="72"/>
      <c r="GG3" s="70"/>
      <c r="GH3" s="1"/>
      <c r="GI3" s="1"/>
      <c r="GJ3" s="1"/>
      <c r="GK3" s="1"/>
      <c r="GL3" s="1"/>
      <c r="GM3" s="1"/>
      <c r="GN3" s="1"/>
      <c r="GS3" s="1"/>
      <c r="GT3" s="1"/>
      <c r="GU3" s="1"/>
      <c r="HK3" s="1"/>
      <c r="HL3" s="1"/>
      <c r="HM3" s="1"/>
      <c r="HN3" s="1"/>
      <c r="HO3" s="1"/>
      <c r="HP3" s="1"/>
    </row>
    <row r="4" spans="2:224" ht="12.75" customHeight="1" x14ac:dyDescent="0.25">
      <c r="B4" s="70"/>
      <c r="C4" s="357"/>
      <c r="D4" s="202"/>
      <c r="E4" s="80"/>
      <c r="F4" s="80"/>
      <c r="H4" s="80"/>
      <c r="I4" s="81"/>
      <c r="J4" s="81"/>
      <c r="K4" s="80"/>
      <c r="L4" s="80"/>
      <c r="M4" s="80"/>
      <c r="N4" s="80"/>
      <c r="O4" s="80"/>
      <c r="P4" s="71"/>
      <c r="Q4" s="79"/>
      <c r="R4" s="70"/>
      <c r="S4" s="78"/>
      <c r="T4" s="70"/>
      <c r="U4" s="77"/>
      <c r="V4" s="251"/>
      <c r="W4" s="251"/>
      <c r="X4" s="251"/>
      <c r="Y4" s="251"/>
      <c r="Z4" s="257"/>
      <c r="AA4" s="262"/>
      <c r="AB4" s="262"/>
      <c r="AC4" s="70"/>
      <c r="AD4" s="76"/>
      <c r="AE4" s="70"/>
      <c r="AF4" s="70"/>
      <c r="AG4" s="70"/>
      <c r="AH4" s="76"/>
      <c r="AI4" s="70"/>
      <c r="AJ4" s="71"/>
      <c r="AK4" s="71"/>
      <c r="AL4" s="71"/>
      <c r="AM4" s="44"/>
      <c r="AN4" s="71"/>
      <c r="AO4" s="71"/>
      <c r="AP4" s="71"/>
      <c r="AQ4" s="75"/>
      <c r="AR4" s="75"/>
      <c r="AS4" s="71"/>
      <c r="AT4" s="71"/>
      <c r="AU4" s="71"/>
      <c r="AV4" s="71"/>
      <c r="AW4" s="71"/>
      <c r="AX4" s="71"/>
      <c r="AY4" s="71"/>
      <c r="AZ4" s="71"/>
      <c r="BA4" s="202"/>
      <c r="BB4" s="71"/>
      <c r="BC4" s="71"/>
      <c r="BD4" s="71"/>
      <c r="BE4" s="71"/>
      <c r="BF4" s="71"/>
      <c r="BG4" s="71"/>
      <c r="BH4" s="71"/>
      <c r="BI4" s="71"/>
      <c r="BJ4" s="71"/>
      <c r="BK4" s="71"/>
      <c r="BL4" s="71"/>
      <c r="BM4" s="71"/>
      <c r="BN4" s="71"/>
      <c r="BO4" s="71"/>
      <c r="BP4" s="71"/>
      <c r="BQ4" s="71"/>
      <c r="BR4" s="71"/>
      <c r="BS4" s="74"/>
      <c r="BT4" s="70"/>
      <c r="BU4" s="70"/>
      <c r="BV4" s="70"/>
      <c r="BW4" s="70"/>
      <c r="BX4" s="70"/>
      <c r="BY4" s="70"/>
      <c r="BZ4" s="70"/>
      <c r="CB4" s="70"/>
      <c r="CC4" s="70"/>
      <c r="CD4" s="70"/>
      <c r="CE4" s="70"/>
      <c r="CF4" s="70"/>
      <c r="CG4" s="70"/>
      <c r="CH4" s="1"/>
      <c r="CI4" s="226"/>
      <c r="CJ4" s="12"/>
      <c r="CK4" s="70"/>
      <c r="CL4" s="1"/>
      <c r="CM4" s="70"/>
      <c r="CN4" s="70"/>
      <c r="CO4" s="70"/>
      <c r="CP4" s="70"/>
      <c r="CQ4" s="70"/>
      <c r="CR4" s="70"/>
      <c r="CS4" s="70"/>
      <c r="CT4" s="73"/>
      <c r="CU4" s="73"/>
      <c r="CV4" s="73"/>
      <c r="CW4" s="73"/>
      <c r="CY4" s="69"/>
      <c r="CZ4" s="196"/>
      <c r="DA4" s="69"/>
      <c r="DB4" s="70"/>
      <c r="DC4" s="70"/>
      <c r="DD4" s="70"/>
      <c r="DE4" s="73"/>
      <c r="DF4" s="73"/>
      <c r="DG4" s="223"/>
      <c r="DH4" s="73"/>
      <c r="DI4" s="73"/>
      <c r="DJ4" s="73"/>
      <c r="DK4" s="73"/>
      <c r="DL4" s="73"/>
      <c r="DM4" s="73"/>
      <c r="DN4" s="73"/>
      <c r="DO4" s="1"/>
      <c r="DP4" s="1"/>
      <c r="DQ4" s="1"/>
      <c r="DR4" s="73"/>
      <c r="DS4" s="3"/>
      <c r="DT4" s="73"/>
      <c r="DU4" s="73"/>
      <c r="DV4" s="223"/>
      <c r="DW4" s="237"/>
      <c r="DX4" s="274"/>
      <c r="DY4" s="274"/>
      <c r="DZ4" s="223"/>
      <c r="EA4" s="244"/>
      <c r="EB4" s="73"/>
      <c r="EC4" s="73"/>
      <c r="ED4" s="73"/>
      <c r="EE4" s="73"/>
      <c r="EF4" s="73"/>
      <c r="EG4" s="73"/>
      <c r="EH4" s="223"/>
      <c r="EI4" s="73"/>
      <c r="EJ4" s="73"/>
      <c r="EK4" s="73"/>
      <c r="EL4" s="73"/>
      <c r="EM4" s="73"/>
      <c r="EN4" s="73"/>
      <c r="EO4" s="73"/>
      <c r="EP4" s="73"/>
      <c r="ER4" s="327"/>
      <c r="ES4" s="73"/>
      <c r="ET4" s="73"/>
      <c r="EU4" s="1"/>
      <c r="EW4" s="3"/>
      <c r="EX4" s="337"/>
      <c r="EY4" s="202"/>
      <c r="EZ4" s="337"/>
      <c r="FA4" s="202"/>
      <c r="FB4"/>
      <c r="FC4"/>
      <c r="FD4" s="73"/>
      <c r="FE4" s="73"/>
      <c r="FF4" s="73"/>
      <c r="FG4" s="73"/>
      <c r="FH4" s="72"/>
      <c r="FI4" s="73"/>
      <c r="FJ4" s="73"/>
      <c r="FK4" s="8"/>
      <c r="FL4" s="303"/>
      <c r="FM4" s="73"/>
      <c r="FN4" s="70"/>
      <c r="FO4" s="2"/>
      <c r="FP4" s="2"/>
      <c r="FQ4" s="1"/>
      <c r="FR4" s="1"/>
      <c r="FS4" s="1"/>
      <c r="FT4" s="222"/>
      <c r="FU4" s="222"/>
      <c r="FV4" s="222"/>
      <c r="FW4" s="263"/>
      <c r="FX4" s="222"/>
      <c r="FY4" s="1"/>
      <c r="FZ4" s="1"/>
      <c r="GA4" s="226"/>
      <c r="GB4" s="1"/>
      <c r="GC4" s="71"/>
      <c r="GD4" s="72"/>
      <c r="GE4" s="72"/>
      <c r="GF4" s="72"/>
      <c r="GG4" s="70"/>
      <c r="GH4" s="1"/>
      <c r="GI4" s="1"/>
      <c r="GJ4" s="1"/>
      <c r="GK4" s="1"/>
      <c r="GL4" s="1"/>
      <c r="GM4" s="1"/>
      <c r="GN4" s="1"/>
      <c r="GS4" s="1"/>
      <c r="GT4" s="1"/>
      <c r="GU4" s="1"/>
      <c r="HK4" s="1"/>
      <c r="HL4" s="1"/>
      <c r="HM4" s="1"/>
      <c r="HN4" s="1"/>
      <c r="HO4" s="1"/>
      <c r="HP4" s="1"/>
    </row>
    <row r="5" spans="2:224" ht="12.75" customHeight="1" thickBot="1" x14ac:dyDescent="0.3">
      <c r="C5" s="357"/>
      <c r="D5" s="199"/>
      <c r="E5" s="384">
        <f ca="1">MockToday + MOD(5 - WEEKDAY(MockToday, 2) + 7, 7)</f>
        <v>46234</v>
      </c>
      <c r="F5" s="26"/>
      <c r="G5" s="80" t="s">
        <v>1013</v>
      </c>
      <c r="H5" s="3"/>
      <c r="I5" s="3"/>
      <c r="J5" s="3"/>
      <c r="K5" s="3"/>
      <c r="L5" s="3"/>
      <c r="M5" s="3"/>
      <c r="N5" s="3"/>
      <c r="O5" s="3"/>
      <c r="P5" s="11"/>
      <c r="Q5" s="9"/>
      <c r="R5" s="1"/>
      <c r="S5" s="8"/>
      <c r="T5" s="3"/>
      <c r="U5" s="28"/>
      <c r="V5" s="189"/>
      <c r="W5" s="189"/>
      <c r="X5" s="189"/>
      <c r="Y5" s="189"/>
      <c r="Z5" s="258"/>
      <c r="AA5" s="263"/>
      <c r="AB5" s="263"/>
      <c r="AC5" s="1"/>
      <c r="AD5" s="4"/>
      <c r="AF5" s="3"/>
      <c r="AG5" s="3"/>
      <c r="AH5" s="5"/>
      <c r="AI5" s="3"/>
      <c r="AJ5" s="3"/>
      <c r="AK5" s="3"/>
      <c r="AL5" s="16"/>
      <c r="AM5" s="7"/>
      <c r="AN5" s="16"/>
      <c r="AO5" s="3"/>
      <c r="AP5" s="3"/>
      <c r="AQ5" s="3"/>
      <c r="AR5" s="3"/>
      <c r="AS5" s="3"/>
      <c r="AT5" s="3"/>
      <c r="AU5" s="3"/>
      <c r="AV5" s="3"/>
      <c r="AW5" s="3"/>
      <c r="AX5" s="3"/>
      <c r="AY5" s="3"/>
      <c r="AZ5" s="3"/>
      <c r="BA5" s="3"/>
      <c r="BB5" s="3"/>
      <c r="BC5" s="16"/>
      <c r="BD5" s="3"/>
      <c r="BE5" s="3"/>
      <c r="BF5" s="3"/>
      <c r="BG5" s="3"/>
      <c r="BH5" s="3"/>
      <c r="BI5" s="3"/>
      <c r="BJ5" s="3"/>
      <c r="BK5" s="3"/>
      <c r="BL5" s="3"/>
      <c r="BM5" s="3"/>
      <c r="BN5" s="3"/>
      <c r="BO5" s="16"/>
      <c r="BP5" s="16"/>
      <c r="BQ5" s="16"/>
      <c r="BR5" s="16"/>
      <c r="BS5" s="4"/>
      <c r="BT5" s="1"/>
      <c r="BU5" s="16"/>
      <c r="BV5" s="16"/>
      <c r="BW5" s="16"/>
      <c r="BX5" s="16"/>
      <c r="BY5" s="16"/>
      <c r="BZ5" s="16"/>
      <c r="CB5" s="3"/>
      <c r="CC5" s="3"/>
      <c r="CD5" s="3"/>
      <c r="CE5" s="3"/>
      <c r="CF5" s="3"/>
      <c r="CG5" s="1"/>
      <c r="CH5" s="1"/>
      <c r="CI5" s="226"/>
      <c r="CJ5" s="1"/>
      <c r="CK5" s="3"/>
      <c r="CL5" s="7"/>
      <c r="CM5" s="1"/>
      <c r="CN5" s="1"/>
      <c r="CP5" s="1"/>
      <c r="CQ5" s="1"/>
      <c r="CR5" s="1"/>
      <c r="CS5" s="1"/>
      <c r="CT5" s="13"/>
      <c r="CU5" s="13"/>
      <c r="CV5" s="13"/>
      <c r="CW5" s="5"/>
      <c r="CY5" s="69">
        <v>0.03</v>
      </c>
      <c r="CZ5" s="196" t="s">
        <v>636</v>
      </c>
      <c r="DA5" s="69"/>
      <c r="DD5" s="1"/>
      <c r="DE5" s="5"/>
      <c r="DF5" s="5"/>
      <c r="DG5" s="222"/>
      <c r="DH5" s="5"/>
      <c r="DI5" s="5"/>
      <c r="DJ5" s="5"/>
      <c r="DK5" s="5"/>
      <c r="DL5" s="5"/>
      <c r="DO5" s="5"/>
      <c r="DP5" s="5"/>
      <c r="DQ5" s="5"/>
      <c r="DR5" s="3"/>
      <c r="DT5" s="13"/>
      <c r="DU5" s="13"/>
      <c r="DV5" s="222"/>
      <c r="DW5" s="238"/>
      <c r="DX5" s="275"/>
      <c r="DY5" s="275"/>
      <c r="DZ5" s="222"/>
      <c r="EA5" s="245"/>
      <c r="EB5" s="69">
        <v>0.25</v>
      </c>
      <c r="EC5" s="202" t="s">
        <v>625</v>
      </c>
      <c r="ED5" s="1"/>
      <c r="EE5" s="202"/>
      <c r="EF5" s="13"/>
      <c r="EG5" s="13"/>
      <c r="EH5" s="222"/>
      <c r="EI5" s="13"/>
      <c r="EJ5" s="5"/>
      <c r="EK5" s="5"/>
      <c r="EL5" s="14"/>
      <c r="EM5" s="25"/>
      <c r="EN5" s="5"/>
      <c r="EO5" s="1"/>
      <c r="EP5" s="1"/>
      <c r="ER5" s="328"/>
      <c r="ES5" s="5"/>
      <c r="ET5" s="5"/>
      <c r="EU5" s="68"/>
      <c r="EW5" s="3"/>
      <c r="EX5" s="337">
        <f>MinimumPremiumRequired * 7</f>
        <v>7.0000000000000001E-3</v>
      </c>
      <c r="EY5" s="202" t="s">
        <v>860</v>
      </c>
      <c r="EZ5" s="337">
        <f>EZ2/12</f>
        <v>3.0416666666666665E-2</v>
      </c>
      <c r="FA5" s="202" t="s">
        <v>861</v>
      </c>
      <c r="FB5"/>
      <c r="FC5"/>
      <c r="FD5" s="5"/>
      <c r="FE5" s="5"/>
      <c r="FF5" s="5"/>
      <c r="FG5" s="5"/>
      <c r="FH5" s="68"/>
      <c r="FI5" s="5"/>
      <c r="FJ5" s="28"/>
      <c r="FK5" s="69">
        <v>0.5</v>
      </c>
      <c r="FL5" s="284" t="s">
        <v>657</v>
      </c>
      <c r="FM5" s="2"/>
      <c r="FO5" s="2"/>
      <c r="FP5" s="2"/>
      <c r="FZ5" s="1"/>
      <c r="GA5" s="226"/>
      <c r="GB5" s="1"/>
      <c r="GC5" s="31"/>
      <c r="GD5" s="68" t="s">
        <v>285</v>
      </c>
      <c r="GE5" s="68" t="s">
        <v>284</v>
      </c>
      <c r="GF5" s="67" t="s">
        <v>269</v>
      </c>
      <c r="GG5" s="1"/>
      <c r="GH5" s="1"/>
      <c r="GI5" s="1"/>
      <c r="GJ5" s="1"/>
      <c r="GK5" s="1"/>
      <c r="GL5" s="1"/>
      <c r="GM5" s="1"/>
      <c r="GN5" s="1"/>
      <c r="GS5" s="1"/>
      <c r="GT5" s="1"/>
      <c r="GU5" s="1"/>
      <c r="HK5" s="1"/>
      <c r="HL5" s="1"/>
      <c r="HM5" s="1"/>
      <c r="HN5" s="1"/>
      <c r="HO5" s="1"/>
      <c r="HP5" s="1"/>
    </row>
    <row r="6" spans="2:224" ht="12.75" customHeight="1" thickBot="1" x14ac:dyDescent="0.3">
      <c r="C6" s="357"/>
      <c r="D6" s="199"/>
      <c r="E6" s="384">
        <f ca="1">EOMONTH(MockToday,0)+1 + MOD(6 - WEEKDAY(EOMONTH(MockToday,0)+1),7) + 14</f>
        <v>46255</v>
      </c>
      <c r="F6" s="26"/>
      <c r="G6" s="296" t="s">
        <v>1014</v>
      </c>
      <c r="H6" s="3"/>
      <c r="I6" s="3"/>
      <c r="J6" s="3"/>
      <c r="K6" s="3"/>
      <c r="L6" s="3"/>
      <c r="M6" s="3"/>
      <c r="N6" s="3"/>
      <c r="O6" s="3"/>
      <c r="P6" s="11"/>
      <c r="Q6" s="9"/>
      <c r="R6" s="1"/>
      <c r="S6" s="8"/>
      <c r="T6" s="3"/>
      <c r="U6" s="28"/>
      <c r="V6" s="189"/>
      <c r="W6" s="189"/>
      <c r="X6" s="189"/>
      <c r="Y6" s="189"/>
      <c r="Z6" s="258"/>
      <c r="AA6" s="263"/>
      <c r="AB6" s="263"/>
      <c r="AC6" s="1"/>
      <c r="AD6" s="4"/>
      <c r="AF6" s="3"/>
      <c r="AG6" s="3"/>
      <c r="AH6" s="5"/>
      <c r="AI6" s="3"/>
      <c r="AJ6" s="3"/>
      <c r="AK6" s="3"/>
      <c r="AL6" s="16"/>
      <c r="AM6" s="7"/>
      <c r="AN6" s="16"/>
      <c r="AO6" s="3"/>
      <c r="AP6" s="3"/>
      <c r="AQ6" s="3"/>
      <c r="AR6" s="3"/>
      <c r="AS6" s="3"/>
      <c r="AT6" s="3"/>
      <c r="AU6" s="3"/>
      <c r="AV6" s="3"/>
      <c r="AW6" s="3"/>
      <c r="AX6" s="3"/>
      <c r="AY6" s="3"/>
      <c r="AZ6" s="3"/>
      <c r="BA6" s="3"/>
      <c r="BB6" s="3"/>
      <c r="BC6" s="16"/>
      <c r="BD6" s="3"/>
      <c r="BE6" s="3"/>
      <c r="BF6" s="3"/>
      <c r="BG6" s="3"/>
      <c r="BH6" s="3"/>
      <c r="BI6" s="3"/>
      <c r="BJ6" s="3"/>
      <c r="BK6" s="3"/>
      <c r="BL6" s="3"/>
      <c r="BM6" s="3"/>
      <c r="BN6" s="3"/>
      <c r="BO6" s="16"/>
      <c r="BP6" s="16"/>
      <c r="BQ6" s="16"/>
      <c r="BR6" s="16"/>
      <c r="BS6" s="4"/>
      <c r="BT6" s="1"/>
      <c r="BU6" s="16"/>
      <c r="BV6" s="16"/>
      <c r="BW6" s="16"/>
      <c r="BX6" s="16"/>
      <c r="BY6" s="16"/>
      <c r="BZ6" s="16"/>
      <c r="CB6" s="3"/>
      <c r="CC6" s="3"/>
      <c r="CD6" s="3"/>
      <c r="CE6" s="3"/>
      <c r="CF6" s="3"/>
      <c r="CG6" s="1"/>
      <c r="CH6" s="1"/>
      <c r="CI6" s="226"/>
      <c r="CJ6" s="1"/>
      <c r="CK6" s="3"/>
      <c r="CL6" s="7"/>
      <c r="CM6" s="1"/>
      <c r="CN6" s="387"/>
      <c r="CP6" s="1"/>
      <c r="CQ6" s="1"/>
      <c r="CR6" s="1"/>
      <c r="CS6" s="1"/>
      <c r="CT6" s="13"/>
      <c r="CU6" s="13"/>
      <c r="CV6" s="13"/>
      <c r="CW6" s="5"/>
      <c r="CY6" s="69"/>
      <c r="CZ6" s="196"/>
      <c r="DA6" s="69"/>
      <c r="DD6" s="1"/>
      <c r="DE6" s="5"/>
      <c r="DF6" s="5"/>
      <c r="DG6" s="222"/>
      <c r="DH6" s="5"/>
      <c r="DI6" s="5"/>
      <c r="DJ6" s="5"/>
      <c r="DK6" s="5"/>
      <c r="DL6" s="5"/>
      <c r="DO6" s="5"/>
      <c r="DP6" s="5"/>
      <c r="DQ6" s="5"/>
      <c r="DR6" s="3"/>
      <c r="DT6" s="13"/>
      <c r="DU6" s="13"/>
      <c r="DV6" s="222"/>
      <c r="DW6" s="238"/>
      <c r="DX6" s="275"/>
      <c r="DY6" s="275"/>
      <c r="DZ6" s="222"/>
      <c r="EA6" s="245"/>
      <c r="EB6" s="69"/>
      <c r="EC6" s="202"/>
      <c r="ED6" s="1"/>
      <c r="EE6" s="202"/>
      <c r="EF6" s="13"/>
      <c r="EG6" s="13"/>
      <c r="EH6" s="222"/>
      <c r="EI6" s="13"/>
      <c r="EJ6" s="5"/>
      <c r="EK6" s="5"/>
      <c r="EL6" s="14"/>
      <c r="EM6" s="25"/>
      <c r="EN6" s="5"/>
      <c r="EO6" s="1"/>
      <c r="EP6" s="1"/>
      <c r="ER6" s="328"/>
      <c r="ES6" s="5"/>
      <c r="ET6" s="5"/>
      <c r="EU6" s="68"/>
      <c r="EW6" s="3"/>
      <c r="EX6" s="337"/>
      <c r="EY6" s="202"/>
      <c r="EZ6" s="337"/>
      <c r="FA6" s="202"/>
      <c r="FB6"/>
      <c r="FC6"/>
      <c r="FD6" s="5"/>
      <c r="FE6" s="5"/>
      <c r="FF6" s="5"/>
      <c r="FG6" s="5"/>
      <c r="FH6" s="68"/>
      <c r="FI6" s="5"/>
      <c r="FJ6" s="28"/>
      <c r="FK6" s="69"/>
      <c r="FL6" s="284"/>
      <c r="FM6" s="2"/>
      <c r="FO6" s="2"/>
      <c r="FP6" s="2"/>
      <c r="FZ6" s="1"/>
      <c r="GA6" s="226"/>
      <c r="GB6" s="1"/>
      <c r="GC6" s="31"/>
      <c r="GD6" s="68"/>
      <c r="GE6" s="68"/>
      <c r="GF6" s="67"/>
      <c r="GG6" s="1"/>
      <c r="GH6" s="1"/>
      <c r="GI6" s="1"/>
      <c r="GJ6" s="1"/>
      <c r="GK6" s="1"/>
      <c r="GL6" s="1"/>
      <c r="GM6" s="1"/>
      <c r="GN6" s="1"/>
      <c r="GS6" s="1"/>
      <c r="GT6" s="1"/>
      <c r="GU6" s="1"/>
      <c r="HK6" s="1"/>
      <c r="HL6" s="1"/>
      <c r="HM6" s="1"/>
      <c r="HN6" s="1"/>
      <c r="HO6" s="1"/>
      <c r="HP6" s="1"/>
    </row>
    <row r="7" spans="2:224" s="52" customFormat="1" ht="23.25" x14ac:dyDescent="0.25">
      <c r="B7" s="54" t="s">
        <v>283</v>
      </c>
      <c r="C7" s="357"/>
      <c r="D7" s="197"/>
      <c r="F7" s="66"/>
      <c r="G7" s="53" t="s">
        <v>266</v>
      </c>
      <c r="H7" s="54"/>
      <c r="I7" s="53"/>
      <c r="J7" s="54"/>
      <c r="K7" s="53"/>
      <c r="L7" s="53" t="s">
        <v>282</v>
      </c>
      <c r="M7" s="54"/>
      <c r="N7" s="54"/>
      <c r="O7" s="53" t="s">
        <v>281</v>
      </c>
      <c r="P7" s="65"/>
      <c r="Q7" s="64"/>
      <c r="R7" s="54"/>
      <c r="S7" s="63"/>
      <c r="T7" s="54"/>
      <c r="V7" s="252"/>
      <c r="W7" s="252"/>
      <c r="X7" s="252"/>
      <c r="Y7" s="252"/>
      <c r="Z7" s="259"/>
      <c r="AA7" s="264"/>
      <c r="AB7" s="64" t="s">
        <v>280</v>
      </c>
      <c r="AC7" s="54"/>
      <c r="AD7" s="53"/>
      <c r="AE7" s="54"/>
      <c r="AH7" s="53" t="s">
        <v>279</v>
      </c>
      <c r="AI7" s="53"/>
      <c r="AJ7" s="53"/>
      <c r="AK7" s="53"/>
      <c r="AL7" s="53"/>
      <c r="AM7" s="62"/>
      <c r="AN7" s="62"/>
      <c r="AO7" s="53" t="s">
        <v>278</v>
      </c>
      <c r="AP7" s="53"/>
      <c r="AQ7" s="53"/>
      <c r="AR7" s="53"/>
      <c r="AS7" s="53"/>
      <c r="AT7" s="53"/>
      <c r="AU7" s="53"/>
      <c r="AV7" s="53"/>
      <c r="AW7" s="53"/>
      <c r="AX7" s="53"/>
      <c r="AY7" s="53"/>
      <c r="AZ7" s="53"/>
      <c r="BA7" s="53" t="s">
        <v>769</v>
      </c>
      <c r="BC7" s="53" t="s">
        <v>277</v>
      </c>
      <c r="BD7" s="53"/>
      <c r="BE7" s="53"/>
      <c r="BF7" s="54"/>
      <c r="BG7" s="54"/>
      <c r="BH7" s="53"/>
      <c r="BI7" s="53"/>
      <c r="BJ7" s="53"/>
      <c r="BP7" s="160" t="s">
        <v>274</v>
      </c>
      <c r="BQ7" s="53"/>
      <c r="BR7" s="53"/>
      <c r="BS7" s="61"/>
      <c r="BT7" s="54"/>
      <c r="BU7" s="53"/>
      <c r="BV7" s="53"/>
      <c r="BW7" s="53"/>
      <c r="BX7" s="53"/>
      <c r="BY7" s="53"/>
      <c r="BZ7" s="53"/>
      <c r="CA7" s="53"/>
      <c r="CB7" s="53"/>
      <c r="CC7" s="53"/>
      <c r="CD7" s="53"/>
      <c r="CE7" s="53"/>
      <c r="CF7" s="53"/>
      <c r="CG7" s="54"/>
      <c r="CH7" s="54"/>
      <c r="CI7" s="227"/>
      <c r="CJ7" s="54"/>
      <c r="CK7" s="53"/>
      <c r="CL7" s="54"/>
      <c r="CM7" s="54"/>
      <c r="CN7" s="54"/>
      <c r="CO7" s="54"/>
      <c r="CP7" s="54"/>
      <c r="CQ7" s="54"/>
      <c r="CW7" s="60"/>
      <c r="CX7" s="54"/>
      <c r="CY7" s="54"/>
      <c r="CZ7" s="54"/>
      <c r="DB7" s="54"/>
      <c r="DC7" s="54"/>
      <c r="DD7" s="60" t="s">
        <v>722</v>
      </c>
      <c r="DF7" s="60"/>
      <c r="DG7" s="60" t="s">
        <v>273</v>
      </c>
      <c r="DH7" s="56"/>
      <c r="DI7" s="56"/>
      <c r="DL7" s="56"/>
      <c r="DV7" s="53"/>
      <c r="DW7" s="239"/>
      <c r="DX7" s="276"/>
      <c r="DY7" s="276"/>
      <c r="DZ7" s="53"/>
      <c r="EA7" s="246"/>
      <c r="ED7" s="53"/>
      <c r="EF7" s="53"/>
      <c r="EG7" s="53"/>
      <c r="EH7" s="53" t="s">
        <v>272</v>
      </c>
      <c r="EI7" s="59"/>
      <c r="EJ7" s="56"/>
      <c r="EK7" s="56"/>
      <c r="EL7" s="58"/>
      <c r="EM7" s="57"/>
      <c r="EN7" s="56"/>
      <c r="EO7" s="56"/>
      <c r="EP7" s="56"/>
      <c r="EQ7" s="56"/>
      <c r="ER7" s="329"/>
      <c r="ES7" s="56"/>
      <c r="ET7" s="56"/>
      <c r="EV7" s="56"/>
      <c r="EW7" s="56"/>
      <c r="EX7" s="56"/>
      <c r="EY7" s="56"/>
      <c r="EZ7" s="56"/>
      <c r="FA7" s="334"/>
      <c r="FB7" s="56"/>
      <c r="FC7" s="56"/>
      <c r="FD7" s="56"/>
      <c r="FE7" s="56"/>
      <c r="FF7" s="56"/>
      <c r="FG7" s="56"/>
      <c r="FI7" s="53"/>
      <c r="FJ7" s="56"/>
      <c r="FK7" s="233"/>
      <c r="FL7" s="285"/>
      <c r="FO7" s="54"/>
      <c r="FQ7" s="53"/>
      <c r="FT7" s="286"/>
      <c r="FU7" s="286"/>
      <c r="FV7" s="286"/>
      <c r="FW7" s="306"/>
      <c r="FZ7" s="53" t="s">
        <v>768</v>
      </c>
      <c r="GA7" s="231" t="s">
        <v>271</v>
      </c>
      <c r="GD7" s="55"/>
      <c r="GE7" s="55"/>
      <c r="GF7" s="53"/>
      <c r="GG7" s="54"/>
      <c r="GI7" s="53"/>
      <c r="GL7" s="160" t="s">
        <v>885</v>
      </c>
      <c r="GU7" s="53" t="s">
        <v>179</v>
      </c>
      <c r="GY7" s="349"/>
      <c r="HE7" s="349"/>
      <c r="HF7" s="349"/>
      <c r="HG7" s="349"/>
      <c r="HH7" s="349"/>
      <c r="HI7" s="349"/>
      <c r="HJ7" s="349"/>
    </row>
    <row r="8" spans="2:224" s="46" customFormat="1" ht="54.75" customHeight="1" x14ac:dyDescent="0.25">
      <c r="B8" s="99" t="s">
        <v>270</v>
      </c>
      <c r="C8" s="357" t="s">
        <v>269</v>
      </c>
      <c r="D8" s="51" t="s">
        <v>689</v>
      </c>
      <c r="E8" s="51" t="s">
        <v>268</v>
      </c>
      <c r="F8" s="99" t="s">
        <v>267</v>
      </c>
      <c r="G8" s="99" t="s">
        <v>266</v>
      </c>
      <c r="H8" s="99" t="s">
        <v>265</v>
      </c>
      <c r="I8" s="212" t="s">
        <v>264</v>
      </c>
      <c r="J8" s="212" t="s">
        <v>263</v>
      </c>
      <c r="K8" s="212" t="s">
        <v>262</v>
      </c>
      <c r="L8" s="99" t="s">
        <v>261</v>
      </c>
      <c r="M8" s="99" t="s">
        <v>260</v>
      </c>
      <c r="N8" s="99" t="s">
        <v>259</v>
      </c>
      <c r="O8" s="99" t="s">
        <v>258</v>
      </c>
      <c r="P8" s="99" t="s">
        <v>665</v>
      </c>
      <c r="Q8" s="99" t="s">
        <v>666</v>
      </c>
      <c r="R8" s="99" t="s">
        <v>667</v>
      </c>
      <c r="S8" s="99" t="s">
        <v>668</v>
      </c>
      <c r="T8" s="51" t="s">
        <v>669</v>
      </c>
      <c r="U8" s="51" t="s">
        <v>670</v>
      </c>
      <c r="V8" s="203" t="s">
        <v>671</v>
      </c>
      <c r="W8" s="203" t="s">
        <v>672</v>
      </c>
      <c r="X8" s="51" t="s">
        <v>673</v>
      </c>
      <c r="Y8" s="51" t="s">
        <v>674</v>
      </c>
      <c r="Z8" s="51" t="s">
        <v>675</v>
      </c>
      <c r="AA8" s="51" t="s">
        <v>676</v>
      </c>
      <c r="AB8" s="51" t="s">
        <v>677</v>
      </c>
      <c r="AC8" s="99" t="s">
        <v>451</v>
      </c>
      <c r="AD8" s="99" t="s">
        <v>257</v>
      </c>
      <c r="AE8" s="50" t="s">
        <v>256</v>
      </c>
      <c r="AF8" s="49" t="s">
        <v>255</v>
      </c>
      <c r="AG8" s="49" t="s">
        <v>254</v>
      </c>
      <c r="AH8" s="99" t="s">
        <v>253</v>
      </c>
      <c r="AI8" s="99" t="s">
        <v>784</v>
      </c>
      <c r="AJ8" s="99" t="s">
        <v>252</v>
      </c>
      <c r="AK8" s="217" t="s">
        <v>251</v>
      </c>
      <c r="AL8" s="217" t="s">
        <v>250</v>
      </c>
      <c r="AM8" s="217" t="s">
        <v>249</v>
      </c>
      <c r="AN8" s="217" t="s">
        <v>248</v>
      </c>
      <c r="AO8" s="217" t="s">
        <v>247</v>
      </c>
      <c r="AP8" s="217" t="s">
        <v>911</v>
      </c>
      <c r="AQ8" s="217" t="s">
        <v>246</v>
      </c>
      <c r="AR8" s="217" t="s">
        <v>245</v>
      </c>
      <c r="AS8" s="217" t="s">
        <v>244</v>
      </c>
      <c r="AT8" s="217" t="s">
        <v>456</v>
      </c>
      <c r="AU8" s="217" t="s">
        <v>455</v>
      </c>
      <c r="AV8" s="217" t="s">
        <v>945</v>
      </c>
      <c r="AW8" s="217" t="s">
        <v>479</v>
      </c>
      <c r="AX8" s="217" t="s">
        <v>480</v>
      </c>
      <c r="AY8" s="217" t="s">
        <v>481</v>
      </c>
      <c r="AZ8" s="217" t="s">
        <v>482</v>
      </c>
      <c r="BA8" s="99" t="s">
        <v>728</v>
      </c>
      <c r="BB8" s="217" t="s">
        <v>758</v>
      </c>
      <c r="BC8" s="217" t="s">
        <v>242</v>
      </c>
      <c r="BD8" s="99" t="s">
        <v>241</v>
      </c>
      <c r="BE8" s="99" t="s">
        <v>240</v>
      </c>
      <c r="BF8" s="99" t="s">
        <v>239</v>
      </c>
      <c r="BG8" s="99" t="s">
        <v>238</v>
      </c>
      <c r="BH8" s="99" t="s">
        <v>237</v>
      </c>
      <c r="BI8" s="99" t="s">
        <v>236</v>
      </c>
      <c r="BJ8" s="99" t="s">
        <v>235</v>
      </c>
      <c r="BK8" s="217" t="s">
        <v>418</v>
      </c>
      <c r="BL8" s="99" t="s">
        <v>234</v>
      </c>
      <c r="BM8" s="99" t="s">
        <v>903</v>
      </c>
      <c r="BN8" s="99" t="s">
        <v>904</v>
      </c>
      <c r="BO8" s="217" t="s">
        <v>458</v>
      </c>
      <c r="BP8" s="217" t="s">
        <v>233</v>
      </c>
      <c r="BQ8" s="99" t="s">
        <v>232</v>
      </c>
      <c r="BR8" s="99" t="s">
        <v>231</v>
      </c>
      <c r="BS8" s="99" t="s">
        <v>230</v>
      </c>
      <c r="BT8" s="99" t="s">
        <v>229</v>
      </c>
      <c r="BU8" s="99" t="s">
        <v>228</v>
      </c>
      <c r="BV8" s="99" t="s">
        <v>227</v>
      </c>
      <c r="BW8" s="217" t="s">
        <v>993</v>
      </c>
      <c r="BX8" s="217" t="s">
        <v>994</v>
      </c>
      <c r="BY8" s="217" t="s">
        <v>226</v>
      </c>
      <c r="BZ8" s="99" t="s">
        <v>881</v>
      </c>
      <c r="CA8" s="217" t="s">
        <v>878</v>
      </c>
      <c r="CB8" s="217" t="s">
        <v>780</v>
      </c>
      <c r="CC8" s="217" t="s">
        <v>902</v>
      </c>
      <c r="CD8" s="217" t="s">
        <v>942</v>
      </c>
      <c r="CE8" s="217" t="s">
        <v>790</v>
      </c>
      <c r="CF8" s="217" t="s">
        <v>848</v>
      </c>
      <c r="CG8" s="217" t="s">
        <v>225</v>
      </c>
      <c r="CH8" s="217" t="s">
        <v>224</v>
      </c>
      <c r="CI8" s="217" t="s">
        <v>223</v>
      </c>
      <c r="CJ8" s="228" t="s">
        <v>750</v>
      </c>
      <c r="CK8" s="217" t="s">
        <v>751</v>
      </c>
      <c r="CL8" s="217" t="s">
        <v>631</v>
      </c>
      <c r="CM8" s="217" t="s">
        <v>222</v>
      </c>
      <c r="CN8" s="99" t="s">
        <v>877</v>
      </c>
      <c r="CO8" s="335" t="s">
        <v>868</v>
      </c>
      <c r="CP8" s="217" t="s">
        <v>422</v>
      </c>
      <c r="CQ8" s="335" t="s">
        <v>425</v>
      </c>
      <c r="CR8" s="218" t="s">
        <v>426</v>
      </c>
      <c r="CS8" s="217" t="s">
        <v>423</v>
      </c>
      <c r="CT8" s="217" t="s">
        <v>695</v>
      </c>
      <c r="CU8" s="99" t="s">
        <v>642</v>
      </c>
      <c r="CV8" s="217" t="s">
        <v>914</v>
      </c>
      <c r="CW8" s="99" t="s">
        <v>893</v>
      </c>
      <c r="CX8" s="217" t="s">
        <v>916</v>
      </c>
      <c r="CY8" s="217" t="s">
        <v>638</v>
      </c>
      <c r="CZ8" s="217" t="s">
        <v>723</v>
      </c>
      <c r="DA8" s="217" t="s">
        <v>639</v>
      </c>
      <c r="DB8" s="217" t="s">
        <v>640</v>
      </c>
      <c r="DC8" s="217" t="s">
        <v>719</v>
      </c>
      <c r="DD8" s="217" t="s">
        <v>720</v>
      </c>
      <c r="DE8" s="217" t="s">
        <v>721</v>
      </c>
      <c r="DF8" s="217" t="s">
        <v>641</v>
      </c>
      <c r="DG8" s="217" t="s">
        <v>651</v>
      </c>
      <c r="DH8" s="224" t="s">
        <v>652</v>
      </c>
      <c r="DI8" s="99" t="s">
        <v>221</v>
      </c>
      <c r="DJ8" s="99" t="s">
        <v>220</v>
      </c>
      <c r="DK8" s="99" t="s">
        <v>219</v>
      </c>
      <c r="DL8" s="99" t="s">
        <v>218</v>
      </c>
      <c r="DM8" s="99" t="s">
        <v>217</v>
      </c>
      <c r="DN8" s="99" t="s">
        <v>216</v>
      </c>
      <c r="DO8" s="217" t="s">
        <v>215</v>
      </c>
      <c r="DP8" s="217" t="s">
        <v>459</v>
      </c>
      <c r="DQ8" s="217" t="s">
        <v>905</v>
      </c>
      <c r="DR8" s="217" t="s">
        <v>906</v>
      </c>
      <c r="DS8" s="217" t="s">
        <v>626</v>
      </c>
      <c r="DT8" s="99" t="s">
        <v>214</v>
      </c>
      <c r="DU8" s="217" t="s">
        <v>685</v>
      </c>
      <c r="DV8" s="217" t="s">
        <v>693</v>
      </c>
      <c r="DW8" s="224" t="s">
        <v>694</v>
      </c>
      <c r="DX8" s="240" t="s">
        <v>659</v>
      </c>
      <c r="DY8" s="277" t="s">
        <v>660</v>
      </c>
      <c r="DZ8" s="277" t="s">
        <v>686</v>
      </c>
      <c r="EA8" s="224" t="s">
        <v>691</v>
      </c>
      <c r="EB8" s="240" t="s">
        <v>687</v>
      </c>
      <c r="EC8" s="217" t="s">
        <v>661</v>
      </c>
      <c r="ED8" s="217" t="s">
        <v>683</v>
      </c>
      <c r="EE8" s="217" t="s">
        <v>662</v>
      </c>
      <c r="EF8" s="217" t="s">
        <v>663</v>
      </c>
      <c r="EG8" s="217" t="s">
        <v>684</v>
      </c>
      <c r="EH8" s="217" t="s">
        <v>929</v>
      </c>
      <c r="EI8" s="224" t="s">
        <v>692</v>
      </c>
      <c r="EJ8" s="217" t="s">
        <v>213</v>
      </c>
      <c r="EK8" s="99" t="s">
        <v>212</v>
      </c>
      <c r="EL8" s="99" t="s">
        <v>211</v>
      </c>
      <c r="EM8" s="99" t="s">
        <v>210</v>
      </c>
      <c r="EN8" s="99" t="s">
        <v>209</v>
      </c>
      <c r="EO8" s="99" t="s">
        <v>208</v>
      </c>
      <c r="EP8" s="99" t="s">
        <v>207</v>
      </c>
      <c r="EQ8" s="217" t="s">
        <v>991</v>
      </c>
      <c r="ER8" s="217" t="s">
        <v>992</v>
      </c>
      <c r="ES8" s="330" t="s">
        <v>866</v>
      </c>
      <c r="ET8" s="217" t="s">
        <v>206</v>
      </c>
      <c r="EU8" s="217" t="s">
        <v>901</v>
      </c>
      <c r="EV8" s="217" t="s">
        <v>205</v>
      </c>
      <c r="EW8" s="217" t="s">
        <v>203</v>
      </c>
      <c r="EX8" s="217" t="s">
        <v>863</v>
      </c>
      <c r="EY8" s="217" t="s">
        <v>204</v>
      </c>
      <c r="EZ8" s="99" t="s">
        <v>913</v>
      </c>
      <c r="FA8" s="99" t="s">
        <v>865</v>
      </c>
      <c r="FB8" s="335" t="s">
        <v>864</v>
      </c>
      <c r="FC8" s="217" t="s">
        <v>420</v>
      </c>
      <c r="FD8" s="99" t="s">
        <v>419</v>
      </c>
      <c r="FE8" s="217" t="s">
        <v>421</v>
      </c>
      <c r="FF8" s="217" t="s">
        <v>424</v>
      </c>
      <c r="FG8" s="217" t="s">
        <v>664</v>
      </c>
      <c r="FH8" s="217" t="s">
        <v>202</v>
      </c>
      <c r="FI8" s="99" t="s">
        <v>644</v>
      </c>
      <c r="FJ8" s="217" t="s">
        <v>941</v>
      </c>
      <c r="FK8" s="234" t="s">
        <v>655</v>
      </c>
      <c r="FL8" s="282" t="s">
        <v>201</v>
      </c>
      <c r="FM8" s="217" t="s">
        <v>200</v>
      </c>
      <c r="FN8" s="217" t="s">
        <v>955</v>
      </c>
      <c r="FO8" s="217" t="s">
        <v>899</v>
      </c>
      <c r="FP8" s="217" t="s">
        <v>199</v>
      </c>
      <c r="FQ8" s="346" t="s">
        <v>198</v>
      </c>
      <c r="FR8" s="217" t="s">
        <v>779</v>
      </c>
      <c r="FS8" s="217" t="s">
        <v>799</v>
      </c>
      <c r="FT8" s="224" t="s">
        <v>849</v>
      </c>
      <c r="FU8" s="224" t="s">
        <v>850</v>
      </c>
      <c r="FV8" s="224" t="s">
        <v>851</v>
      </c>
      <c r="FW8" s="307" t="s">
        <v>789</v>
      </c>
      <c r="FX8" s="224" t="s">
        <v>767</v>
      </c>
      <c r="FY8" s="217" t="s">
        <v>867</v>
      </c>
      <c r="FZ8" s="217" t="s">
        <v>653</v>
      </c>
      <c r="GA8" s="228" t="s">
        <v>654</v>
      </c>
      <c r="GB8" s="99" t="s">
        <v>197</v>
      </c>
      <c r="GC8" s="99" t="s">
        <v>196</v>
      </c>
      <c r="GD8" s="99" t="s">
        <v>195</v>
      </c>
      <c r="GE8" s="99" t="s">
        <v>194</v>
      </c>
      <c r="GF8" s="99" t="s">
        <v>193</v>
      </c>
      <c r="GG8" s="47" t="s">
        <v>192</v>
      </c>
      <c r="GH8" s="47" t="s">
        <v>191</v>
      </c>
      <c r="GI8" s="48" t="s">
        <v>190</v>
      </c>
      <c r="GJ8" s="48" t="s">
        <v>189</v>
      </c>
      <c r="GK8" s="99" t="s">
        <v>387</v>
      </c>
      <c r="GL8" s="99" t="s">
        <v>188</v>
      </c>
      <c r="GM8" s="99" t="s">
        <v>187</v>
      </c>
      <c r="GN8" s="99" t="s">
        <v>186</v>
      </c>
      <c r="GO8" s="99" t="s">
        <v>185</v>
      </c>
      <c r="GP8" s="99" t="s">
        <v>184</v>
      </c>
      <c r="GQ8" s="99" t="s">
        <v>183</v>
      </c>
      <c r="GR8" s="99" t="s">
        <v>182</v>
      </c>
      <c r="GS8" s="99" t="s">
        <v>181</v>
      </c>
      <c r="GT8" s="99" t="s">
        <v>180</v>
      </c>
      <c r="GU8" s="99" t="s">
        <v>179</v>
      </c>
      <c r="GV8" s="212" t="s">
        <v>178</v>
      </c>
      <c r="GW8" s="99" t="s">
        <v>643</v>
      </c>
      <c r="GY8" s="350"/>
      <c r="HE8" s="350"/>
      <c r="HF8" s="350"/>
      <c r="HG8" s="350"/>
      <c r="HH8" s="350"/>
      <c r="HI8" s="350"/>
      <c r="HJ8" s="350"/>
    </row>
    <row r="9" spans="2:224" ht="12.75" hidden="1" customHeight="1" x14ac:dyDescent="0.25">
      <c r="B9" s="12" t="s">
        <v>727</v>
      </c>
      <c r="C9" s="385">
        <v>46.17</v>
      </c>
      <c r="D9" s="200" t="s">
        <v>748</v>
      </c>
      <c r="E9" s="39">
        <f>SnapshotTable[[#This Row],[Last Price]]*(1 -CrashDiscount)</f>
        <v>39.244500000000002</v>
      </c>
      <c r="F9" s="26" t="s">
        <v>172</v>
      </c>
      <c r="G9" s="26" t="s">
        <v>24</v>
      </c>
      <c r="H9" s="147"/>
      <c r="I9" s="186">
        <v>44762.673611111109</v>
      </c>
      <c r="J9" s="187">
        <v>44762.673611111109</v>
      </c>
      <c r="K9" s="188"/>
      <c r="L9" s="297"/>
      <c r="M9" s="138"/>
      <c r="N9" s="138"/>
      <c r="O9" s="138"/>
      <c r="P9" s="22"/>
      <c r="Q9" s="25"/>
      <c r="R9" s="4" t="str">
        <f>IF(SnapshotTable[[#This Row],[Equity Basis Total]] &gt; 0, SnapshotTable[[#This Row],[Equity Basis Total]] / SnapshotTable[[#This Row],[Equity Shares]], "")</f>
        <v/>
      </c>
      <c r="S9" s="254">
        <f>SnapshotTable[[#This Row],[Last Price]] * SnapshotTable[[#This Row],[Equity Shares]]</f>
        <v>0</v>
      </c>
      <c r="T9" s="254">
        <f>SnapshotTable[[#This Row],[Equity Value]] - SnapshotTable[[#This Row],[Equity Basis Total]]</f>
        <v>0</v>
      </c>
      <c r="U9" s="255" t="str">
        <f>IF(SnapshotTable[[#This Row],[Equity Basis Total]] &gt; 0, SnapshotTable[[#This Row],[Equity G/L]] / SnapshotTable[[#This Row],[Equity Basis Total]], "")</f>
        <v/>
      </c>
      <c r="V9" s="253"/>
      <c r="W9" s="253">
        <v>26.35</v>
      </c>
      <c r="X9" s="4" t="str">
        <f>IF(AND(ISNUMBER(SnapshotTable[[#This Row],[Equity Basis Per Share]]),ISNUMBER(SnapshotTable[[#This Row],[Equity Target]])),SnapshotTable[[#This Row],[Equity Target]]-SnapshotTable[[#This Row],[Equity Basis Per Share]],"")</f>
        <v/>
      </c>
      <c r="Y9" s="4" t="str">
        <f>IF(AND(ISNUMBER(SnapshotTable[[#This Row],[Equity Basis Per Share]]),ISNUMBER(SnapshotTable[[#This Row],[Equity Stop Loss]])),SnapshotTable[[#This Row],[Equity Stop Loss]]-SnapshotTable[[#This Row],[Equity Basis Per Share]],"")</f>
        <v/>
      </c>
      <c r="Z9" s="260" t="str">
        <f>IFERROR( TEXT(SnapshotTable[[#This Row],[Equity Max Gain Per Share]] /ABS( SnapshotTable[[#This Row],[Equity Max Loss Per Share]]),"0.0 " ) &amp; " : 1", "")</f>
        <v/>
      </c>
      <c r="AA9" s="31" t="str">
        <f>IF(ISNUMBER(SnapshotTable[[#This Row],[Equity Max Gain Per Share]]),SnapshotTable[[#This Row],[Equity Max Gain Per Share]] * SnapshotTable[[#This Row],[Equity Shares]],"")</f>
        <v/>
      </c>
      <c r="AB9" s="31" t="str">
        <f>IF(ISNUMBER(SnapshotTable[[#This Row],[Equity Max Loss Per Share]]),SnapshotTable[[#This Row],[Equity Max Loss Per Share]] * SnapshotTable[[#This Row],[Equity Shares]],"")</f>
        <v/>
      </c>
      <c r="AC9" s="148"/>
      <c r="AD9" s="149"/>
      <c r="AE9" s="31">
        <f>(SnapshotTable[[#This Row],[Annual Dividend Per Share]] / 4) * SnapshotTable[[#This Row],[Equity Shares]]</f>
        <v>0</v>
      </c>
      <c r="AF9" s="31">
        <f>SnapshotTable[[#This Row],[Quarterly Div $]] * 4</f>
        <v>0</v>
      </c>
      <c r="AG9" s="7">
        <f>IF(SnapshotTable[[#This Row],[Annual Dividend Per Share]]&gt;0, SnapshotTable[[#This Row],[Annual Dividend Per Share]]  / SnapshotTable[[#This Row],[Last Price]], 0)</f>
        <v>0</v>
      </c>
      <c r="AH9" s="149"/>
      <c r="AI9" s="5"/>
      <c r="AJ9" s="136">
        <v>40</v>
      </c>
      <c r="AK9" s="150" t="str">
        <f>IF(ISNUMBER( SnapshotTable[[#This Row],[EBF Target]]),(SnapshotTable[[#This Row],[EBF Target]] - SnapshotTable[[#This Row],[Last Price]]) / SnapshotTable[[#This Row],[Last Price]], "")</f>
        <v/>
      </c>
      <c r="AL9" s="150" t="str">
        <f>IF(AND(SnapshotTable[[#This Row],[Equity Basis Total]] &gt; 0,ISNUMBER( SnapshotTable[[#This Row],[Long Term Target]])), SnapshotTable[[#This Row],[From Basis $]] / SnapshotTable[[#This Row],[Equity Basis Total]], "")</f>
        <v/>
      </c>
      <c r="AM9" s="9">
        <f>IF( AND(SnapshotTable[[#This Row],[Equity Shares]] &gt;0,ISNUMBER( SnapshotTable[[#This Row],[Long Term Target]])),(SnapshotTable[[#This Row],[Equity Shares]] * SnapshotTable[[#This Row],[Long Term Target]]) - SnapshotTable[[#This Row],[Equity Basis Total]],0)</f>
        <v>0</v>
      </c>
      <c r="AN9" s="9">
        <f>IF( AND(SnapshotTable[[#This Row],[Equity Shares]] &gt;0,ISNUMBER( SnapshotTable[[#This Row],[Long Term Target]])),(SnapshotTable[[#This Row],[Equity Shares]]*SnapshotTable[[#This Row],[Long Term Target]]) - SnapshotTable[[#This Row],[Equity Value]],0)</f>
        <v>0</v>
      </c>
      <c r="AO9" s="150">
        <f>IF(AND(ISNUMBER( SnapshotTable[[#This Row],[Long Term Target]]), ISNUMBER(SnapshotTable[[#This Row],[Last Price]])),(SnapshotTable[[#This Row],[Long Term Target]] - SnapshotTable[[#This Row],[Last Price]]) / SnapshotTable[[#This Row],[Last Price]], "")</f>
        <v>-0.13363656053714537</v>
      </c>
      <c r="AP9" s="5">
        <v>28</v>
      </c>
      <c r="AQ9" s="38" t="s">
        <v>16</v>
      </c>
      <c r="AR9" s="5">
        <v>28</v>
      </c>
      <c r="AS9" s="38" t="s">
        <v>22</v>
      </c>
      <c r="AT9" s="144" t="s">
        <v>442</v>
      </c>
      <c r="AU9" s="185" t="str">
        <f>IF(OR(SnapshotTable[[#This Row],[LP No Fill]]="Y",SnapshotTable[[#This Row],[SP Is Filled]],SnapshotTable[[#This Row],[LC Not Filled]]="Y",SnapshotTable[[#This Row],[SC Is Filled]]),"Y","")</f>
        <v/>
      </c>
      <c r="AV9" s="205"/>
      <c r="AW9" s="211">
        <v>2.2749999999999999</v>
      </c>
      <c r="AX9" s="206">
        <v>44302</v>
      </c>
      <c r="AY9" s="205">
        <f>IF(SnapshotTable[[#This Row],[Implied Move]]&gt;0, SnapshotTable[[#This Row],[Last Price]]-SnapshotTable[[#This Row],[Implied Move]],"")</f>
        <v>43.895000000000003</v>
      </c>
      <c r="AZ9" s="205">
        <f>IF(SnapshotTable[[#This Row],[Implied Move]]&gt;0, SnapshotTable[[#This Row],[Last Price]] + SnapshotTable[[#This Row],[Implied Move]],"")</f>
        <v>48.445</v>
      </c>
      <c r="BA9" s="302"/>
      <c r="BB9" s="318"/>
      <c r="BC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 s="321"/>
      <c r="BE9" s="136"/>
      <c r="BF9" s="164"/>
      <c r="BG9" s="165"/>
      <c r="BH9" s="165"/>
      <c r="BI9" s="207"/>
      <c r="BJ9" s="151">
        <f>IF(SnapshotTable[[#This Row],[LP Qty]] &gt; 0, SnapshotTable[[#This Row],[LP Qty]] * SnapshotTable[[#This Row],[LP Book Price]] * 100,0)</f>
        <v>0</v>
      </c>
      <c r="BK9" s="134">
        <f>IF(SnapshotTable[[#This Row],[LP Premium]] &gt; 0, SnapshotTable[[#This Row],[LP Qty]] * SnapshotTable[[#This Row],[LP Strike Price]] * 100,0)</f>
        <v>0</v>
      </c>
      <c r="BL9" s="152"/>
      <c r="BM9" s="355" t="str">
        <f>IF(SnapshotTable[[#This Row],[LP Premium]] &gt; 0,SnapshotTable[[#This Row],[LP Exp Date]]-MAX(SnapshotTable[[#This Row],[LP Book Date]], SnapshotTable[[#This Row],[LP Fill Date]]),"")</f>
        <v/>
      </c>
      <c r="BN9" s="355" t="str">
        <f>IF(ISNUMBER( SnapshotTable[[#This Row],[LP Term]]), SnapshotTable[[#This Row],[LP Exp Date]] - MockToday,"")</f>
        <v/>
      </c>
      <c r="BO9" s="161" t="str">
        <f>IF(AND(SnapshotTable[[#This Row],[LP Exp Date]]&gt;0, SnapshotTable[[#This Row],[LP Strike Price]]&gt;0,SnapshotTable[[#This Row],[LP Qty]]&gt;0,SnapshotTable[[#This Row],[LP Book Date]]&gt;0,SnapshotTable[[#This Row],[LP Book Price]]&gt;0,SnapshotTable[[#This Row],[LP Fill Date]]=0),"Y","")</f>
        <v/>
      </c>
      <c r="BP9" s="31" t="str">
        <f>IF(AND(SnapshotTable[[#This Row],[LP No Fill]]&lt;&gt;"Y",SnapshotTable[[#This Row],[LP Contract Value]]&gt;0, SnapshotTable[[#This Row],[LP Qty]]&gt;0), SnapshotTable[[#This Row],[LP Contract Value]]*SnapshotTable[[#This Row],[LP Qty]]*100,"")</f>
        <v/>
      </c>
      <c r="BQ9" s="13"/>
      <c r="BR9" s="5"/>
      <c r="BS9" s="36"/>
      <c r="BT9" s="145"/>
      <c r="BU9" s="13"/>
      <c r="BV9" s="5"/>
      <c r="BW9" s="382" t="b">
        <f>AND(ISNUMBER(SnapshotTable[[#This Row],[SP Exp Date]]), ISNUMBER(SnapshotTable[[#This Row],[SP Strike Price]]), ISNUMBER(SnapshotTable[[#This Row],[SP Qty]]), ISNUMBER(SnapshotTable[[#This Row],[SP Book Date]]), ISNUMBER(SnapshotTable[[#This Row],[SP Book Price]]))</f>
        <v>0</v>
      </c>
      <c r="BX9" s="382" t="b">
        <f>AND(SnapshotTable[[#This Row],[SP Is Booked]], NOT(ISBLANK(SnapshotTable[[#This Row],[SP Fill Date]])))</f>
        <v>0</v>
      </c>
      <c r="BY9" s="33">
        <f>IF(SnapshotTable[[#This Row],[SP Is Booked]], SnapshotTable[[#This Row],[SP Qty]] * SnapshotTable[[#This Row],[SP Book Price]] * 100, 0)</f>
        <v>0</v>
      </c>
      <c r="BZ9" s="339"/>
      <c r="CA9" s="338">
        <f>SnapshotTable[[#This Row],[LP Qty]]</f>
        <v>0</v>
      </c>
      <c r="CB9" s="4" t="str">
        <f>IF(SnapshotTable[[#This Row],[SP Is Booked]], SnapshotTable[[#This Row],[SP Strike Price]] - SnapshotTable[[#This Row],[SP Book Price]], "")</f>
        <v/>
      </c>
      <c r="CC9" s="19" t="str">
        <f>IF(SnapshotTable[[#This Row],[SP Is Booked]],SnapshotTable[[#This Row],[SP Exp Date]]-MAX(SnapshotTable[[#This Row],[SP Book Date]], SnapshotTable[[#This Row],[SP Fill Date]]),"")</f>
        <v/>
      </c>
      <c r="CD9" s="7" t="str">
        <f>IF(SnapshotTable[[#This Row],[SP Is Booked]], SnapshotTable[[#This Row],[SP Book Price]]/SnapshotTable[[#This Row],[SP Strike Price]], "")</f>
        <v/>
      </c>
      <c r="CE9" s="7" t="str">
        <f>IF(ISNUMBER(SnapshotTable[[#This Row],[SP ROO Term]]),SnapshotTable[[#This Row],[SP ROO Term]]*(365/SnapshotTable[[#This Row],[SP Term]]),"")</f>
        <v/>
      </c>
      <c r="CF9" s="221">
        <f>SnapshotTable[[#This Row],[LP Strike Price]] * SnapshotTable[[#This Row],[LP Qty]] * 100</f>
        <v>0</v>
      </c>
      <c r="CG9" s="31">
        <f>IF(ISNUMBER(SnapshotTable[[#This Row],[SP Premium]]), (SnapshotTable[[#This Row],[SP Qty]] * SnapshotTable[[#This Row],[SP Strike Price]]* 100) - SnapshotTable[[#This Row],[LP Protection]], 0)</f>
        <v>0</v>
      </c>
      <c r="CH9" s="7" t="str">
        <f>IF(ISNUMBER(SnapshotTable[[#This Row],[SP Break Even]]),-1 * (SnapshotTable[[#This Row],[SP Break Even]] - SnapshotTable[[#This Row],[Last Price]]) / SnapshotTable[[#This Row],[Last Price]], "")</f>
        <v/>
      </c>
      <c r="CI9" s="31">
        <f>IF(AND(ISNUMBER((SnapshotTable[[#This Row],[SP Potential Spend]])), SnapshotTable[[#This Row],[SP Strike Price]] &gt; SnapshotTable[[#This Row],[Last Price]], SnapshotTable[[#This Row],[SP Is Filled]]), SnapshotTable[[#This Row],[SP Potential Spend]] -  SnapshotTable[[#This Row],[LP Max Value]], 0)</f>
        <v>0</v>
      </c>
      <c r="CJ9" s="229"/>
      <c r="CK9" s="31">
        <f>IF(ISNUMBER(SnapshotTable[[#This Row],[SP Potential Spend]]),IF(ISNUMBER(SnapshotTable[[#This Row],[SP POW]]), SnapshotTable[[#This Row],[SP POW]] * SnapshotTable[[#This Row],[SP Potential Spend]], SnapshotTable[[#This Row],[SP Potential Spend]]), "")</f>
        <v>0</v>
      </c>
      <c r="CL9" s="162">
        <f>IF(NOT(SnapshotTable[[#This Row],[SP Is Filled]]),(SnapshotTable[[#This Row],[SP Qty]] * SnapshotTable[[#This Row],[SP Strike Price]] * 100) - SnapshotTable[[#This Row],[LP Max Value]],"")</f>
        <v>0</v>
      </c>
      <c r="CM9" s="31" t="str">
        <f>IF(SnapshotTable[[#This Row],[SP Actual Spend]]&lt;&gt;0, ((SnapshotTable[[#This Row],[SP Strike Price]]-SnapshotTable[[#This Row],[Last Price]]) *(SnapshotTable[[#This Row],[SP Qty]]*100) - SnapshotTable[[#This Row],[SP Premium]]) * - 1, "")</f>
        <v/>
      </c>
      <c r="CN9" s="152"/>
      <c r="CO9" s="339"/>
      <c r="CP9" s="291" t="str">
        <f>IF(SnapshotTable[[#This Row],[SP Is Filled]], btc_max_buyback_amount(SnapshotTable[[#This Row],[SP Fill Date]],SnapshotTable[[#This Row],[SP Exp Date]], SnapshotTable[[#This Row],[SP Book Price]]),"")</f>
        <v/>
      </c>
      <c r="CQ9" s="76"/>
      <c r="CR9"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 s="153" t="str">
        <f>IF(SnapshotTable[[#This Row],[SP Is Filled]], btc_next_cutoff_date(SnapshotTable[[#This Row],[SP Fill Date]],SnapshotTable[[#This Row],[SP Exp Date]]),"")</f>
        <v/>
      </c>
      <c r="CT9" s="220" t="str" cm="1">
        <f t="array" ref="CT9">IF(SnapshotTable[[#This Row],[SP Is Filled]], btc_should_buy_back(SnapshotTable[[#This Row],[SP Fill Date]], SnapshotTable[[#This Row],[SP Exp Date]], SnapshotTable[[#This Row],[SP Book Price]], SnapshotTable[[#This Row],[SP Current Ask]], MockToday, SnapshotTable[[#This Row],[SP Buyback Override]]),"")</f>
        <v/>
      </c>
      <c r="CU9" s="154"/>
      <c r="CV9" s="220"/>
      <c r="CW9" s="348" t="str">
        <f>IF(ISNUMBER( SnapshotTable[[#This Row],[SP Term]]), SnapshotTable[[#This Row],[SP Exp Date]] - MockToday,"")</f>
        <v/>
      </c>
      <c r="CX9" s="31" t="str">
        <f>IF(SnapshotTable[[#This Row],[SP Is Filled]],SnapshotTable[[#This Row],[SP Buyback Price to Use]] * 100 * SnapshotTable[[#This Row],[SP Qty]], "")</f>
        <v/>
      </c>
      <c r="CY9" s="4" t="str">
        <f>IF(ISNUMBER(SnapshotTable[[#This Row],[SP Strike Price]]), SnapshotTable[[#This Row],[SP Strike Price]] * (1 - SP_MaxLoss_StrikePct), "")</f>
        <v/>
      </c>
      <c r="CZ9" s="31" t="str">
        <f>IF(ISNUMBER(SnapshotTable[[#This Row],[SP Strike  Stop Per Share]]),SnapshotTable[[#This Row],[SP Premium]] - ((SnapshotTable[[#This Row],[SP Strike Price]]-SnapshotTable[[#This Row],[SP Strike  Stop Per Share]]) *(SnapshotTable[[#This Row],[SP Qty]] * 100)),"")</f>
        <v/>
      </c>
      <c r="DA9" s="4" t="str">
        <f>IF(AND(ISNUMBER(SnapshotTable[[#This Row],[SP Premium]]),SnapshotTable[[#This Row],[SP Premium]]&gt;0), SnapshotTable[[#This Row],[SP Book Price]] * (1 + SP_MaxLoss_OptionPct), "")</f>
        <v/>
      </c>
      <c r="DB9" s="31" t="str">
        <f>IF(ISNUMBER(SnapshotTable[[#This Row],[SP Option  Stop Contract]]),(SnapshotTable[[#This Row],[SP Option  Stop Contract]] *(SnapshotTable[[#This Row],[SP Qty]] * 100) - SnapshotTable[[#This Row],[SP Premium]]),"")</f>
        <v/>
      </c>
      <c r="DC9" s="4"/>
      <c r="DD9" s="4"/>
      <c r="DE9" s="4" t="str">
        <f>IF(AND(SnapshotTable[[#This Row],[SP Qty]]&gt;0, SnapshotTable[[#This Row],[SP Stop To Use]]&gt;0),SnapshotTable[[#This Row],[SP Premium]] - ( SnapshotTable[[#This Row],[SP Qty]] * SnapshotTable[[#This Row],[SP Stop To Use]] * 100), "")</f>
        <v/>
      </c>
      <c r="DF9" s="31" t="str">
        <f>IF(AND(SnapshotTable[[#This Row],[SP Qty]]&gt;0,SnapshotTable[[#This Row],[SP Current Ask]]&gt;0), SnapshotTable[[#This Row],[SP Qty]] * SnapshotTable[[#This Row],[SP Current Ask]] * -100, "")</f>
        <v/>
      </c>
      <c r="DG9" s="31" t="str">
        <f>IF(ISNUMBER((SnapshotTable[[#This Row],[SP Total Value]])), SnapshotTable[[#This Row],[SP Premium]] + SnapshotTable[[#This Row],[SP Total Value]], "")</f>
        <v/>
      </c>
      <c r="DH9" s="272" t="str">
        <f>IF(ISNUMBER((SnapshotTable[[#This Row],[SP Total Value]])), SnapshotTable[[#This Row],[SP Gain Loss]] / SnapshotTable[[#This Row],[SP Premium]], "")</f>
        <v/>
      </c>
      <c r="DI9" s="369"/>
      <c r="DJ9" s="136"/>
      <c r="DK9" s="146"/>
      <c r="DL9" s="145"/>
      <c r="DM9" s="145"/>
      <c r="DO9" s="31">
        <f>IF(SnapshotTable[[#This Row],[LC Symbol Count]]=1, SnapshotTable[[#This Row],[LC Qty]] * SnapshotTable[[#This Row],[LC Book Price]] * 100, 0)</f>
        <v>0</v>
      </c>
      <c r="DP9" s="270" t="str">
        <f>IF(AND(SnapshotTable[[#This Row],[LC Exp Date]]&gt;0, SnapshotTable[[#This Row],[LC Strike Price]]&gt;0,SnapshotTable[[#This Row],[LC Qty]]&gt;0,SnapshotTable[[#This Row],[LC Book Date]]&gt;0,SnapshotTable[[#This Row],[LC Book Price]]&gt;0,SnapshotTable[[#This Row],[LC Fill Date]]=0),"Y","")</f>
        <v/>
      </c>
      <c r="DQ9" s="356" t="str">
        <f>IF(SnapshotTable[[#This Row],[LC Premium]] &gt; 0,SnapshotTable[[#This Row],[LC Exp Date]]-MAX(SnapshotTable[[#This Row],[LC Book Date]], SnapshotTable[[#This Row],[LC Fill Date]]),"")</f>
        <v/>
      </c>
      <c r="DR9" s="356" t="str">
        <f>IF(ISNUMBER(SnapshotTable[[#This Row],[LC Term]]), SnapshotTable[[#This Row],[LC Exp Date]] - MockToday, "")</f>
        <v/>
      </c>
      <c r="DS9" s="219" t="str">
        <f>IF(SnapshotTable[[#This Row],[LC Premium]]&gt;0,SnapshotTable[[#This Row],[LC Strike Price]] + SnapshotTable[[#This Row],[LC Book Price]],"")</f>
        <v/>
      </c>
      <c r="DU9" s="9" t="str">
        <f>IF(AND(SnapshotTable[[#This Row],[LC Symbol Count]]&gt;0, SnapshotTable[[#This Row],[LC Contract Value]]&gt;0), SnapshotTable[[#This Row],[LC Contract Value]] * SnapshotTable[[#This Row],[LC Qty]] * 100, "")</f>
        <v/>
      </c>
      <c r="DV9" s="9" t="str">
        <f>IF(AND(ISNUMBER(SnapshotTable[[#This Row],[LC Total Value]]), SnapshotTable[[#This Row],[LC Not Filled]]&lt;&gt;"Y"), SnapshotTable[[#This Row],[LC Total Value]]-SnapshotTable[[#This Row],[LC Premium]],"")</f>
        <v/>
      </c>
      <c r="DW9" s="225" t="str">
        <f>IF(ISNUMBER(SnapshotTable[[#This Row],[LC Actual Gain Loss]]), SnapshotTable[[#This Row],[LC Actual Gain Loss]] / SnapshotTable[[#This Row],[LC Premium]],"")</f>
        <v/>
      </c>
      <c r="DX9" s="269" t="str">
        <f>IF(ISNUMBER(SnapshotTable[[#This Row],[LC Book Price]]),SnapshotTable[[#This Row],[LC Book Price]] * 1.5,"")</f>
        <v/>
      </c>
      <c r="DY9" s="250" t="str">
        <f>IF(SnapshotTable[[#This Row],[LC Premium]]&gt;0, SnapshotTable[[#This Row],[LC Next Target]] * SnapshotTable[[#This Row],[LC Qty]] * 100,"")</f>
        <v/>
      </c>
      <c r="DZ9" s="250" t="str">
        <f>IF(ISNUMBER(SnapshotTable[[#This Row],[LC Target Gross]]), SnapshotTable[[#This Row],[LC Target Gross]] - SnapshotTable[[#This Row],[LC Premium]], "")</f>
        <v/>
      </c>
      <c r="EA9" s="283" t="str">
        <f>IF(ISNUMBER(SnapshotTable[[#This Row],[LC Target Gain Loss]]), SnapshotTable[[#This Row],[LC Target Gain Loss]]/SnapshotTable[[#This Row],[LC Premium]], "")</f>
        <v/>
      </c>
      <c r="EB9" s="247"/>
      <c r="EC9" s="271" t="str">
        <f>IF(SnapshotTable[[#This Row],[LC Premium]]&gt;0, SnapshotTable[[#This Row],[LC Book Price]] * (1 - LC_StopLoss_Pct),"")</f>
        <v/>
      </c>
      <c r="ED9" s="269"/>
      <c r="EE9" s="271" t="str">
        <f>IF(ISNUMBER(SnapshotTable[[#This Row],[LC Contract Value]]),IF(ISNUMBER(SnapshotTable[[#This Row],[LC Stop Loss Override]]), SnapshotTable[[#This Row],[LC Stop Loss Override]],SnapshotTable[[#This Row],[LC Stop Loss Calc Target]]),"")</f>
        <v/>
      </c>
      <c r="EF9" s="292" t="str">
        <f>IF(ISNUMBER(SnapshotTable[[#This Row],[LC Stop  To Use]]), (SnapshotTable[[#This Row],[LC Stop  To Use]] * SnapshotTable[[#This Row],[LC Qty]] * 100),"")</f>
        <v/>
      </c>
      <c r="EG9" s="9" t="str">
        <f>IF(ISNUMBER(SnapshotTable[[#This Row],[LC Total Value]]),SnapshotTable[[#This Row],[LC Stop Loss Amount]] - SnapshotTable[[#This Row],[LC Premium]],"")</f>
        <v/>
      </c>
      <c r="EH9" s="9">
        <f>IF(ISNUMBER(SnapshotTable[[#This Row],[LC Premium]]), SnapshotTable[[#This Row],[LC Qty]] * 100 * SnapshotTable[[#This Row],[LC Strike Price]], "")</f>
        <v>0</v>
      </c>
      <c r="EI9" s="225" t="str">
        <f>IF(AND(ISNUMBER(SnapshotTable[[#This Row],[LC Total Value]]),SnapshotTable[[#This Row],[LC Total Value]]&gt;0),SnapshotTable[[#This Row],[LC Stop Gain Loss]]  / SnapshotTable[[#This Row],[LC Premium]],"")</f>
        <v/>
      </c>
      <c r="EJ9" s="35">
        <f>IF(ISNUMBER(SnapshotTable[[#This Row],[Equity Shares]]),TRUNC(SnapshotTable[[#This Row],[Equity Shares]] / 100),0) + SnapshotTable[[#This Row],[LC Qty]]</f>
        <v>0</v>
      </c>
      <c r="EK9" s="145"/>
      <c r="EL9" s="136"/>
      <c r="EM9" s="146"/>
      <c r="EN9" s="145"/>
      <c r="EO9" s="145"/>
      <c r="EP9" s="136"/>
      <c r="EQ9" s="382" t="b">
        <f>AND(ISNUMBER(SnapshotTable[[#This Row],[SC Exp Date]]), ISNUMBER(SnapshotTable[[#This Row],[SC Strike Price]]), ISNUMBER(SnapshotTable[[#This Row],[SC Qty]]), ISNUMBER(SnapshotTable[[#This Row],[SC Book Date]]), ISNUMBER(SnapshotTable[[#This Row],[SC Book Price]]))</f>
        <v>0</v>
      </c>
      <c r="ER9" s="382" t="b">
        <f>AND(SnapshotTable[[#This Row],[SC Is Booked]], NOT(ISBLANK(SnapshotTable[[#This Row],[SC Fill Date]])))</f>
        <v>0</v>
      </c>
      <c r="ES9" s="340"/>
      <c r="ET9" s="34" t="str">
        <f>IF(AND(ISNUMBER(SnapshotTable[[#This Row],[SC Exp Date]]), ISNUMBER(SnapshotTable[[#This Row],[SC Book Date]])), SnapshotTable[[#This Row],[SC Exp Date]] - MAX(SnapshotTable[[#This Row],[SC Book Date]], SnapshotTable[[#This Row],[SC Fill Date]]) + 1, "")</f>
        <v/>
      </c>
      <c r="EU9" s="34" t="str">
        <f>IF(ISNUMBER(SnapshotTable[[#This Row],[SC Term]]), SnapshotTable[[#This Row],[SC Exp Date]]- MockToday, "")</f>
        <v/>
      </c>
      <c r="EV9" s="31">
        <f>IF(SnapshotTable[[#This Row],[SC Is Booked]], SnapshotTable[[#This Row],[SC Qty]] * SnapshotTable[[#This Row],[SC Book Price]] * 100, 0)</f>
        <v>0</v>
      </c>
      <c r="EW9" s="4" t="str">
        <f>IF(AND(ISNUMBER(SnapshotTable[[#This Row],[Last Price]]), ISNUMBER( SnapshotTable[[#This Row],[SC Book Price]])), SnapshotTable[[#This Row],[Last Price]] - SnapshotTable[[#This Row],[SC Book Price]],"")</f>
        <v/>
      </c>
      <c r="EX9" s="219" t="str">
        <f>IF(SnapshotTable[[#This Row],[SC Is Booked]],IF(SnapshotTable[[#This Row],[SC Intrinsic Value]] &gt; 0, SnapshotTable[[#This Row],[SC Strike Price]], SnapshotTable[[#This Row],[Last Price]]), "")</f>
        <v/>
      </c>
      <c r="EY9" s="4">
        <f>IF(SnapshotTable[[#This Row],[SC Is Booked]], (MinimumPremiumRequired * SnapshotTable[[#This Row],[SC Basis]] * SnapshotTable[[#This Row],[SC Term]]), 0)</f>
        <v>0</v>
      </c>
      <c r="EZ9" s="268"/>
      <c r="FA9" s="204"/>
      <c r="FB9" s="340"/>
      <c r="FC9" s="4">
        <f>IF(SnapshotTable[[#This Row],[SC Is Filled]], btc_max_buyback_amount(SnapshotTable[[#This Row],[SC Fill Date]],SnapshotTable[[#This Row],[SC Exp Date]], SnapshotTable[[#This Row],[SC Book Price]]),0)</f>
        <v>0</v>
      </c>
      <c r="FD9" s="5"/>
      <c r="FE9" s="142" t="str">
        <f>IF(SnapshotTable[[#This Row],[SC Is Filled]], btc_next_cutoff_date(SnapshotTable[[#This Row],[SC Fill Date]],SnapshotTable[[#This Row],[SC Exp Date]]),"")</f>
        <v/>
      </c>
      <c r="FF9" s="4" t="str" cm="1">
        <f t="array" ref="FF9">IF(SnapshotTable[[#This Row],[SC Is Filled]], btc_should_buy_back(SnapshotTable[[#This Row],[SC Fill Date]], SnapshotTable[[#This Row],[SC Exp Date]], SnapshotTable[[#This Row],[SC Book Price]], SnapshotTable[[#This Row],[SC Current Ask]], MockToday, SnapshotTable[[#This Row],[SC Buyback Override]]),"")</f>
        <v/>
      </c>
      <c r="FG9" s="4">
        <f>IF(SnapshotTable[[#This Row],[SC Is Filled]], MAX(0,SnapshotTable[[#This Row],[Last Price]]  - SnapshotTable[[#This Row],[SC Strike Price]]), 0)</f>
        <v>0</v>
      </c>
      <c r="FH9" s="352">
        <f>IF(SnapshotTable[[#This Row],[SC Is Filled]], IF(ISNUMBER(SnapshotTable[[#This Row],[SC Current Ask]]), SnapshotTable[[#This Row],[SC Current Ask]], SnapshotTable[[#This Row],[SC Book Price]]) - SnapshotTable[[#This Row],[SC Intrinsic Value]], 0)</f>
        <v>0</v>
      </c>
      <c r="FI9" s="141"/>
      <c r="FJ9" s="32" t="str">
        <f>IF(SnapshotTable[[#This Row],[SC Is Filled]],100 * SnapshotTable[[#This Row],[SC Qty]] * IF(ISNUMBER(SnapshotTable[[#This Row],[SC Buyback Override]]), SnapshotTable[[#This Row],[SC Buyback Override]], SnapshotTable[[#This Row],[SC Current Ask]]), "")</f>
        <v/>
      </c>
      <c r="FK9" s="235" t="str">
        <f>IF(SnapshotTable[[#This Row],[SC Time Val]]&gt;0, SnapshotTable[[#This Row],[SC Time Val]] / SnapshotTable[[#This Row],[Last Price]],"")</f>
        <v/>
      </c>
      <c r="FL9" s="280" t="str">
        <f>IF(SnapshotTable[[#This Row],[SC Is Booked]], ((SnapshotTable[[#This Row],[Last Price]] -SnapshotTable[[#This Row],[SC Strike Price]]) / SnapshotTable[[#This Row],[Last Price]]) * -1, "")</f>
        <v/>
      </c>
      <c r="FM9" s="155" t="str">
        <f>IF(SnapshotTable[[#This Row],[SC Is Booked]],  (SnapshotTable[[#This Row],[SC Qty]] * 100 * SnapshotTable[[#This Row],[SC Strike Price]]) - SnapshotTable[[#This Row],[SC Current Ask]], "")</f>
        <v/>
      </c>
      <c r="FN9"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 s="155" t="str">
        <f>IF(AND(ISNUMBER(SnapshotTable[[#This Row],[SC Exercise Gross]]), ISNUMBER(SnapshotTable[[#This Row],[Equity Basis Per Share]] )), SnapshotTable[[#This Row],[SC Exercise Gross]] - SnapshotTable[[#This Row],[Equity Basis Total]] +  SnapshotTable[[#This Row],[SC Premium]], "")</f>
        <v/>
      </c>
      <c r="FP9" s="5" t="str">
        <f>IF(ISNUMBER(SnapshotTable[[#This Row],[SC Exercise Gross]]), (SnapshotTable[[#This Row],[SC Exercise Gross]]) / (SnapshotTable[[#This Row],[SC Qty]] * 100), "")</f>
        <v/>
      </c>
      <c r="FQ9" s="27" t="str">
        <f>IF(SnapshotTable[[#This Row],[SC Is Booked]],SnapshotTable[[#This Row],[SC Time Val]] /SnapshotTable[[#This Row],[SC Basis]], "")</f>
        <v/>
      </c>
      <c r="FR9" s="27" t="str" cm="1">
        <f t="array" ref="FR9">IF(AND(ISNUMBER(SnapshotTable[[#This Row],[SC Term]]),ISNUMBER(SnapshotTable[[#This Row],[SC Simple ROO]])), EllmanAnnualize(SnapshotTable[[#This Row],[SC DTE]], SnapshotTable[[#This Row],[SC Simple ROO]] ),"")</f>
        <v/>
      </c>
      <c r="FS9" s="4">
        <f>IF(SnapshotTable[[#This Row],[SC Strike Price]] &gt; SnapshotTable[[#This Row],[Last Price]], SnapshotTable[[#This Row],[SC Strike Price]] - SnapshotTable[[#This Row],[Last Price]],0)</f>
        <v>0</v>
      </c>
      <c r="FT9" s="27" t="str">
        <f>IF(AND(ISNUMBER(SnapshotTable[[#This Row],[SC Upside Potential]]), SnapshotTable[[#This Row],[SC Upside Potential]] &gt; 0),(SnapshotTable[[#This Row],[SC Upside Potential]]/ SnapshotTable[[#This Row],[ACB]]),"")</f>
        <v/>
      </c>
      <c r="FU9" s="304" t="str">
        <f>IF(SnapshotTable[[#This Row],[SC Intrinsic Value]] &gt; 0,SnapshotTable[[#This Row],[SC Intrinsic Value]],"")</f>
        <v/>
      </c>
      <c r="FV9" s="27" t="str">
        <f>IF(AND( ISNUMBER( SnapshotTable[[#This Row],[ACB]]),ISNUMBER(SnapshotTable[[#This Row],[SC Downside Protect]])),SnapshotTable[[#This Row],[SC Downside Protect]] / SnapshotTable[[#This Row],[ACB]],"")</f>
        <v/>
      </c>
      <c r="FW9" s="221" t="str">
        <f>IF(AND(ISNUMBER(SnapshotTable[[#This Row],[SC Simple ROO]]),SnapshotTable[[#This Row],[SC Simple ROO]] &gt; 0), SnapshotTable[[#This Row],[SC Premium]] + (SnapshotTable[[#This Row],[SC Qty]] * SnapshotTable[[#This Row],[SC Upside Potential]]), "")</f>
        <v/>
      </c>
      <c r="FX9" s="280" t="str" cm="1">
        <f t="array" ref="FX9">IF(ISNUMBER(SnapshotTable[[#This Row],[SC Max Dollars]]), annualize(SnapshotTable[[#This Row],[SC Term]],(SnapshotTable[[#This Row],[SC Max Dollars]]/SnapshotTable[[#This Row],[SC Basis]])),"")</f>
        <v/>
      </c>
      <c r="FY9" s="221" t="str">
        <f>IF(AND(SnapshotTable[[#This Row],[SC Qty]]&gt;0,SnapshotTable[[#This Row],[SC Current Ask]]&gt;0), SnapshotTable[[#This Row],[SC Qty]] * SnapshotTable[[#This Row],[SC Current Ask]] * -100, "")</f>
        <v/>
      </c>
      <c r="FZ9" s="220" t="str">
        <f>IF(ISNUMBER((SnapshotTable[[#This Row],[SC Current Value]])), SnapshotTable[[#This Row],[SC Premium]] + SnapshotTable[[#This Row],[SC Current Value]], "")</f>
        <v/>
      </c>
      <c r="GA9" s="272" t="str">
        <f>IFERROR( IF(ISNUMBER((SnapshotTable[[#This Row],[SC Current Value]])), SnapshotTable[[#This Row],[SC Gain Loss]] / SnapshotTable[[#This Row],[SC Premium]], ""), "")</f>
        <v/>
      </c>
      <c r="GB9" s="42">
        <f>SnapshotTable[[#This Row],[Equity Shares]] * SaleSharesToConsiderPercentage</f>
        <v>0</v>
      </c>
      <c r="GC9" s="40">
        <f>SnapshotTable[[#This Row],[Long Term Target]] * SellingPriceToConsiderBasedOnTargetPercentage</f>
        <v>38</v>
      </c>
      <c r="GD9" s="40">
        <f>SnapshotTable[[#This Row],[Last Price]] * (1+ SellingPriceToConsiderBasedOnTargetPercentage)</f>
        <v>90.031500000000008</v>
      </c>
      <c r="GE9" s="41"/>
      <c r="GF9" s="40"/>
      <c r="GG9" s="31">
        <f>SnapshotTable[[#This Row],[Booked Sale Shares]] * SnapshotTable[[#This Row],[Booked Sale Price]]</f>
        <v>0</v>
      </c>
      <c r="GH9" s="31" t="str">
        <f>IF(SnapshotTable[[#This Row],[Equity Basis Total]] &gt; 0, SnapshotTable[[#This Row],[Equity Basis Per Share]] * SnapshotTable[[#This Row],[Booked Sale Shares]], "")</f>
        <v/>
      </c>
      <c r="GI9" s="31">
        <f>IF(SnapshotTable[[#This Row],[Sale Proceeds]]&gt;0, SnapshotTable[[#This Row],[Sale Proceeds]] - SnapshotTable[[#This Row],[Sale Basis]], 0)</f>
        <v>0</v>
      </c>
      <c r="GJ9" s="156" t="str">
        <f>IF(SnapshotTable[[#This Row],[Sale G/L]]&gt;0, SnapshotTable[[#This Row],[Sale G/L]] / SnapshotTable[[#This Row],[Sale Basis]], IF(ISNUMBER(SnapshotTable[[#This Row],[SC Exercise P&amp;L (TAX)]]), SnapshotTable[[#This Row],[SC Exercise P&amp;L (TAX)]] / SnapshotTable[[#This Row],[SC Basis]], ""))</f>
        <v/>
      </c>
      <c r="GK9" s="27" t="s">
        <v>802</v>
      </c>
      <c r="GL9" s="157" t="str">
        <f>IF(AND(SnapshotTable[[#This Row],[LP Exp Date]]&gt;0,SnapshotTable[[#This Row],[LP Strike Price]]&gt;0), [1]!ToOptionSymbol(SnapshotTable[[#This Row],[Symbol]], SnapshotTable[[#This Row],[LP Strike Price]],SnapshotTable[[#This Row],[LP Exp Date]],1), "")</f>
        <v/>
      </c>
      <c r="GM9" s="30" t="str">
        <f>IF(LEN(SnapshotTable[[#This Row],[LP Symbol]])&gt;0, 1, "")</f>
        <v/>
      </c>
      <c r="GN9" s="43" t="str">
        <f>IF(AND(SnapshotTable[[#This Row],[SP Exp Date]]&gt;0,SnapshotTable[[#This Row],[SP Strike Price]]&gt;0), [1]!ToOptionSymbol(SnapshotTable[[#This Row],[Symbol]], SnapshotTable[[#This Row],[SP Strike Price]],SnapshotTable[[#This Row],[SP Exp Date]],1), "")</f>
        <v/>
      </c>
      <c r="GO9" s="30" t="str">
        <f>IF(LEN(SnapshotTable[[#This Row],[SP Symbol]])&gt;0, 1, "")</f>
        <v/>
      </c>
      <c r="GP9" s="157" t="str">
        <f>IF(AND(SnapshotTable[[#This Row],[LC Exp Date]]&gt;0,SnapshotTable[[#This Row],[LC Strike Price]]&gt;0), [1]!ToOptionSymbol(SnapshotTable[[#This Row],[Symbol]], SnapshotTable[[#This Row],[LC Strike Price]],SnapshotTable[[#This Row],[LC Exp Date]],0), "")</f>
        <v/>
      </c>
      <c r="GQ9" s="158" t="str">
        <f>IF(LEN(SnapshotTable[[#This Row],[LC Symbol]])&gt;0, 1, "")</f>
        <v/>
      </c>
      <c r="GR9" s="157" t="str">
        <f>IF(AND(SnapshotTable[[#This Row],[SC Exp Date]]&gt;0,SnapshotTable[[#This Row],[SC Strike Price]]&gt;0), [1]!ToOptionSymbol(SnapshotTable[[#This Row],[Symbol]], SnapshotTable[[#This Row],[SC Strike Price]],SnapshotTable[[#This Row],[SC Exp Date]],0), "")</f>
        <v/>
      </c>
      <c r="GS9" s="158" t="str">
        <f>IF(LEN(SnapshotTable[[#This Row],[SC Symbol]])&gt;0, 1, "")</f>
        <v/>
      </c>
      <c r="GT9" s="159" t="str">
        <f>IF(COUNT(SnapshotTable[[#This Row],[LP Symbol Count]],SnapshotTable[[#This Row],[SP Symbol Count]],SnapshotTable[[#This Row],[LC Symbol Count]],SnapshotTable[[#This Row],[SC Symbol Count]])&gt;0, "Y", "")</f>
        <v/>
      </c>
      <c r="GU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 s="216">
        <f>MAX(SnapshotTable[[#This Row],[Equity Basis Total]],SnapshotTable[[#This Row],[Equity Value]]) + (SnapshotTable[[#This Row],[SP Potential Spend]]- SnapshotTable[[#This Row],[SP Premium]] + SnapshotTable[[#This Row],[LP Premium]])+ (SnapshotTable[[#This Row],[LC Premium]] - SnapshotTable[[#This Row],[SC Premium]])</f>
        <v>0</v>
      </c>
      <c r="GW9" s="137" t="str">
        <f>IF(AND(SnapshotTable[[#This Row],[Exposure]] &lt;&gt; 0),SnapshotTable[[#This Row],[Exposure]] / SnapshotTable[[#Totals],[Exposure]], "")</f>
        <v/>
      </c>
      <c r="HK9" s="1"/>
      <c r="HL9" s="1"/>
      <c r="HM9" s="1"/>
      <c r="HN9" s="1"/>
      <c r="HO9" s="1"/>
      <c r="HP9" s="1"/>
    </row>
    <row r="10" spans="2:224" ht="12.75" hidden="1" customHeight="1" x14ac:dyDescent="0.25">
      <c r="B10" s="12" t="s">
        <v>450</v>
      </c>
      <c r="C10" s="385">
        <v>55.49</v>
      </c>
      <c r="D10" s="200"/>
      <c r="E10" s="39">
        <f>SnapshotTable[[#This Row],[Last Price]]*(1 -CrashDiscount)</f>
        <v>47.166499999999999</v>
      </c>
      <c r="F10" s="26" t="s">
        <v>703</v>
      </c>
      <c r="G10" s="26" t="s">
        <v>493</v>
      </c>
      <c r="H10" s="147"/>
      <c r="I10" s="186">
        <v>44795.6875</v>
      </c>
      <c r="J10" s="187">
        <v>44795.6875</v>
      </c>
      <c r="K10" s="188"/>
      <c r="L10" s="297"/>
      <c r="M10" s="138"/>
      <c r="N10" s="138"/>
      <c r="O10" s="138"/>
      <c r="P10" s="22"/>
      <c r="Q10" s="25"/>
      <c r="R10" s="4" t="str">
        <f>IF(SnapshotTable[[#This Row],[Equity Basis Total]] &gt; 0, SnapshotTable[[#This Row],[Equity Basis Total]] / SnapshotTable[[#This Row],[Equity Shares]], "")</f>
        <v/>
      </c>
      <c r="S10" s="254">
        <f>SnapshotTable[[#This Row],[Last Price]] * SnapshotTable[[#This Row],[Equity Shares]]</f>
        <v>0</v>
      </c>
      <c r="T10" s="254">
        <f>SnapshotTable[[#This Row],[Equity Value]] - SnapshotTable[[#This Row],[Equity Basis Total]]</f>
        <v>0</v>
      </c>
      <c r="U10" s="255" t="str">
        <f>IF(SnapshotTable[[#This Row],[Equity Basis Total]] &gt; 0, SnapshotTable[[#This Row],[Equity G/L]] / SnapshotTable[[#This Row],[Equity Basis Total]], "")</f>
        <v/>
      </c>
      <c r="V10" s="253"/>
      <c r="W10" s="253"/>
      <c r="X10" s="4" t="str">
        <f>IF(AND(ISNUMBER(SnapshotTable[[#This Row],[Equity Basis Per Share]]),ISNUMBER(SnapshotTable[[#This Row],[Equity Target]])),SnapshotTable[[#This Row],[Equity Target]]-SnapshotTable[[#This Row],[Equity Basis Per Share]],"")</f>
        <v/>
      </c>
      <c r="Y10" s="4" t="str">
        <f>IF(AND(ISNUMBER(SnapshotTable[[#This Row],[Equity Basis Per Share]]),ISNUMBER(SnapshotTable[[#This Row],[Equity Stop Loss]])),SnapshotTable[[#This Row],[Equity Stop Loss]]-SnapshotTable[[#This Row],[Equity Basis Per Share]],"")</f>
        <v/>
      </c>
      <c r="Z10" s="260" t="str">
        <f>IFERROR( TEXT(SnapshotTable[[#This Row],[Equity Max Gain Per Share]] /ABS( SnapshotTable[[#This Row],[Equity Max Loss Per Share]]),"0.0 " ) &amp; " : 1", "")</f>
        <v/>
      </c>
      <c r="AA10" s="31" t="str">
        <f>IF(ISNUMBER(SnapshotTable[[#This Row],[Equity Max Gain Per Share]]),SnapshotTable[[#This Row],[Equity Max Gain Per Share]] * SnapshotTable[[#This Row],[Equity Shares]],"")</f>
        <v/>
      </c>
      <c r="AB10" s="31" t="str">
        <f>IF(ISNUMBER(SnapshotTable[[#This Row],[Equity Max Loss Per Share]]),SnapshotTable[[#This Row],[Equity Max Loss Per Share]] * SnapshotTable[[#This Row],[Equity Shares]],"")</f>
        <v/>
      </c>
      <c r="AC10" s="148"/>
      <c r="AD10" s="149"/>
      <c r="AE10" s="31">
        <f>(SnapshotTable[[#This Row],[Annual Dividend Per Share]] / 4) * SnapshotTable[[#This Row],[Equity Shares]]</f>
        <v>0</v>
      </c>
      <c r="AF10" s="31">
        <f>SnapshotTable[[#This Row],[Quarterly Div $]] * 4</f>
        <v>0</v>
      </c>
      <c r="AG10" s="7">
        <f>IF(SnapshotTable[[#This Row],[Annual Dividend Per Share]]&gt;0, SnapshotTable[[#This Row],[Annual Dividend Per Share]]  / SnapshotTable[[#This Row],[Last Price]], 0)</f>
        <v>0</v>
      </c>
      <c r="AH10" s="149"/>
      <c r="AI10" s="5"/>
      <c r="AJ10" s="136">
        <v>78.75</v>
      </c>
      <c r="AK10" s="150" t="str">
        <f>IF(ISNUMBER( SnapshotTable[[#This Row],[EBF Target]]),(SnapshotTable[[#This Row],[EBF Target]] - SnapshotTable[[#This Row],[Last Price]]) / SnapshotTable[[#This Row],[Last Price]], "")</f>
        <v/>
      </c>
      <c r="AL10" s="150" t="str">
        <f>IF(AND(SnapshotTable[[#This Row],[Equity Basis Total]] &gt; 0,ISNUMBER( SnapshotTable[[#This Row],[Long Term Target]])), SnapshotTable[[#This Row],[From Basis $]] / SnapshotTable[[#This Row],[Equity Basis Total]], "")</f>
        <v/>
      </c>
      <c r="AM10" s="9">
        <f>IF( AND(SnapshotTable[[#This Row],[Equity Shares]] &gt;0,ISNUMBER( SnapshotTable[[#This Row],[Long Term Target]])),(SnapshotTable[[#This Row],[Equity Shares]] * SnapshotTable[[#This Row],[Long Term Target]]) - SnapshotTable[[#This Row],[Equity Basis Total]],0)</f>
        <v>0</v>
      </c>
      <c r="AN10" s="9">
        <f>IF( AND(SnapshotTable[[#This Row],[Equity Shares]] &gt;0,ISNUMBER( SnapshotTable[[#This Row],[Long Term Target]])),(SnapshotTable[[#This Row],[Equity Shares]]*SnapshotTable[[#This Row],[Long Term Target]]) - SnapshotTable[[#This Row],[Equity Value]],0)</f>
        <v>0</v>
      </c>
      <c r="AO10" s="150">
        <f>IF(AND(ISNUMBER( SnapshotTable[[#This Row],[Long Term Target]]), ISNUMBER(SnapshotTable[[#This Row],[Last Price]])),(SnapshotTable[[#This Row],[Long Term Target]] - SnapshotTable[[#This Row],[Last Price]]) / SnapshotTable[[#This Row],[Last Price]], "")</f>
        <v>0.41917462605874928</v>
      </c>
      <c r="AP10" s="5">
        <v>170</v>
      </c>
      <c r="AQ10" s="38" t="s">
        <v>77</v>
      </c>
      <c r="AR10" s="5">
        <v>160</v>
      </c>
      <c r="AS10" s="38" t="s">
        <v>22</v>
      </c>
      <c r="AT10" s="144" t="s">
        <v>444</v>
      </c>
      <c r="AU10" s="185" t="str">
        <f>IF(OR(SnapshotTable[[#This Row],[LP No Fill]]="Y",SnapshotTable[[#This Row],[SP Is Filled]],SnapshotTable[[#This Row],[LC Not Filled]]="Y",SnapshotTable[[#This Row],[SC Is Filled]]),"Y","")</f>
        <v/>
      </c>
      <c r="AV10" s="205"/>
      <c r="AW10" s="211"/>
      <c r="AX10" s="206"/>
      <c r="AY10" s="205" t="str">
        <f>IF(SnapshotTable[[#This Row],[Implied Move]]&gt;0, SnapshotTable[[#This Row],[Last Price]]-SnapshotTable[[#This Row],[Implied Move]],"")</f>
        <v/>
      </c>
      <c r="AZ10" s="205" t="str">
        <f>IF(SnapshotTable[[#This Row],[Implied Move]]&gt;0, SnapshotTable[[#This Row],[Last Price]] + SnapshotTable[[#This Row],[Implied Move]],"")</f>
        <v/>
      </c>
      <c r="BA10" s="302"/>
      <c r="BB10" s="318"/>
      <c r="BC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 s="321"/>
      <c r="BE10" s="5"/>
      <c r="BF10" s="14"/>
      <c r="BG10" s="13"/>
      <c r="BH10" s="13"/>
      <c r="BI10" s="5"/>
      <c r="BJ10" s="134">
        <f>IF(SnapshotTable[[#This Row],[LP Qty]] &gt; 0, SnapshotTable[[#This Row],[LP Qty]] * SnapshotTable[[#This Row],[LP Book Price]] * 100,0)</f>
        <v>0</v>
      </c>
      <c r="BK10" s="134">
        <f>IF(SnapshotTable[[#This Row],[LP Premium]] &gt; 0, SnapshotTable[[#This Row],[LP Qty]] * SnapshotTable[[#This Row],[LP Strike Price]] * 100,0)</f>
        <v>0</v>
      </c>
      <c r="BL10" s="152"/>
      <c r="BM10" s="355" t="str">
        <f>IF(SnapshotTable[[#This Row],[LP Premium]] &gt; 0,SnapshotTable[[#This Row],[LP Exp Date]]-MAX(SnapshotTable[[#This Row],[LP Book Date]], SnapshotTable[[#This Row],[LP Fill Date]]),"")</f>
        <v/>
      </c>
      <c r="BN10" s="355" t="str">
        <f>IF(ISNUMBER( SnapshotTable[[#This Row],[LP Term]]), SnapshotTable[[#This Row],[LP Exp Date]] - MockToday,"")</f>
        <v/>
      </c>
      <c r="BO10" s="161" t="str">
        <f>IF(AND(SnapshotTable[[#This Row],[LP Exp Date]]&gt;0, SnapshotTable[[#This Row],[LP Strike Price]]&gt;0,SnapshotTable[[#This Row],[LP Qty]]&gt;0,SnapshotTable[[#This Row],[LP Book Date]]&gt;0,SnapshotTable[[#This Row],[LP Book Price]]&gt;0,SnapshotTable[[#This Row],[LP Fill Date]]=0),"Y","")</f>
        <v/>
      </c>
      <c r="BP10" s="31" t="str">
        <f>IF(AND(SnapshotTable[[#This Row],[LP No Fill]]&lt;&gt;"Y",SnapshotTable[[#This Row],[LP Contract Value]]&gt;0, SnapshotTable[[#This Row],[LP Qty]]&gt;0), SnapshotTable[[#This Row],[LP Contract Value]]*SnapshotTable[[#This Row],[LP Qty]]*100,"")</f>
        <v/>
      </c>
      <c r="BQ10" s="13"/>
      <c r="BR10" s="5"/>
      <c r="BS10" s="36"/>
      <c r="BT10" s="145"/>
      <c r="BU10" s="13"/>
      <c r="BV10" s="5"/>
      <c r="BW10" s="382" t="b">
        <f>AND(ISNUMBER(SnapshotTable[[#This Row],[SP Exp Date]]), ISNUMBER(SnapshotTable[[#This Row],[SP Strike Price]]), ISNUMBER(SnapshotTable[[#This Row],[SP Qty]]), ISNUMBER(SnapshotTable[[#This Row],[SP Book Date]]), ISNUMBER(SnapshotTable[[#This Row],[SP Book Price]]))</f>
        <v>0</v>
      </c>
      <c r="BX10" s="382" t="b">
        <f>AND(SnapshotTable[[#This Row],[SP Is Booked]], NOT(ISBLANK(SnapshotTable[[#This Row],[SP Fill Date]])))</f>
        <v>0</v>
      </c>
      <c r="BY10" s="33">
        <f>IF(SnapshotTable[[#This Row],[SP Is Booked]], SnapshotTable[[#This Row],[SP Qty]] * SnapshotTable[[#This Row],[SP Book Price]] * 100, 0)</f>
        <v>0</v>
      </c>
      <c r="BZ10" s="339"/>
      <c r="CA10" s="338">
        <f>SnapshotTable[[#This Row],[LP Qty]]</f>
        <v>0</v>
      </c>
      <c r="CB10" s="4" t="str">
        <f>IF(SnapshotTable[[#This Row],[SP Is Booked]], SnapshotTable[[#This Row],[SP Strike Price]] - SnapshotTable[[#This Row],[SP Book Price]], "")</f>
        <v/>
      </c>
      <c r="CC10" s="19" t="str">
        <f>IF(SnapshotTable[[#This Row],[SP Is Booked]],SnapshotTable[[#This Row],[SP Exp Date]]-MAX(SnapshotTable[[#This Row],[SP Book Date]], SnapshotTable[[#This Row],[SP Fill Date]]),"")</f>
        <v/>
      </c>
      <c r="CD10" s="7" t="str">
        <f>IF(SnapshotTable[[#This Row],[SP Is Booked]], SnapshotTable[[#This Row],[SP Book Price]]/SnapshotTable[[#This Row],[SP Strike Price]], "")</f>
        <v/>
      </c>
      <c r="CE10" s="7" t="str">
        <f>IF(ISNUMBER(SnapshotTable[[#This Row],[SP ROO Term]]),SnapshotTable[[#This Row],[SP ROO Term]]*(365/SnapshotTable[[#This Row],[SP Term]]),"")</f>
        <v/>
      </c>
      <c r="CF10" s="221">
        <f>SnapshotTable[[#This Row],[LP Strike Price]] * SnapshotTable[[#This Row],[LP Qty]] * 100</f>
        <v>0</v>
      </c>
      <c r="CG10" s="31">
        <f>IF(ISNUMBER(SnapshotTable[[#This Row],[SP Premium]]), (SnapshotTable[[#This Row],[SP Qty]] * SnapshotTable[[#This Row],[SP Strike Price]]* 100) - SnapshotTable[[#This Row],[LP Protection]], 0)</f>
        <v>0</v>
      </c>
      <c r="CH10" s="7" t="str">
        <f>IF(ISNUMBER(SnapshotTable[[#This Row],[SP Break Even]]),-1 * (SnapshotTable[[#This Row],[SP Break Even]] - SnapshotTable[[#This Row],[Last Price]]) / SnapshotTable[[#This Row],[Last Price]], "")</f>
        <v/>
      </c>
      <c r="CI10" s="31">
        <f>IF(AND(ISNUMBER((SnapshotTable[[#This Row],[SP Potential Spend]])), SnapshotTable[[#This Row],[SP Strike Price]] &gt; SnapshotTable[[#This Row],[Last Price]], SnapshotTable[[#This Row],[SP Is Filled]]), SnapshotTable[[#This Row],[SP Potential Spend]] -  SnapshotTable[[#This Row],[LP Max Value]], 0)</f>
        <v>0</v>
      </c>
      <c r="CJ10" s="229"/>
      <c r="CK10" s="31">
        <f>IF(ISNUMBER(SnapshotTable[[#This Row],[SP Potential Spend]]),IF(ISNUMBER(SnapshotTable[[#This Row],[SP POW]]), SnapshotTable[[#This Row],[SP POW]] * SnapshotTable[[#This Row],[SP Potential Spend]], SnapshotTable[[#This Row],[SP Potential Spend]]), "")</f>
        <v>0</v>
      </c>
      <c r="CL10" s="162">
        <f>IF(NOT(SnapshotTable[[#This Row],[SP Is Filled]]),(SnapshotTable[[#This Row],[SP Qty]] * SnapshotTable[[#This Row],[SP Strike Price]] * 100) - SnapshotTable[[#This Row],[LP Max Value]],"")</f>
        <v>0</v>
      </c>
      <c r="CM10" s="31" t="str">
        <f>IF(SnapshotTable[[#This Row],[SP Actual Spend]]&lt;&gt;0, ((SnapshotTable[[#This Row],[SP Strike Price]]-SnapshotTable[[#This Row],[Last Price]]) *(SnapshotTable[[#This Row],[SP Qty]]*100) - SnapshotTable[[#This Row],[SP Premium]]) * - 1, "")</f>
        <v/>
      </c>
      <c r="CN10" s="76"/>
      <c r="CO10" s="339"/>
      <c r="CP10" s="4" t="str">
        <f>IF(SnapshotTable[[#This Row],[SP Is Filled]], btc_max_buyback_amount(SnapshotTable[[#This Row],[SP Fill Date]],SnapshotTable[[#This Row],[SP Exp Date]], SnapshotTable[[#This Row],[SP Book Price]]),"")</f>
        <v/>
      </c>
      <c r="CQ10" s="76"/>
      <c r="CR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 s="153" t="str">
        <f>IF(SnapshotTable[[#This Row],[SP Is Filled]], btc_next_cutoff_date(SnapshotTable[[#This Row],[SP Fill Date]],SnapshotTable[[#This Row],[SP Exp Date]]),"")</f>
        <v/>
      </c>
      <c r="CT10" s="220" t="str" cm="1">
        <f t="array" ref="CT10">IF(SnapshotTable[[#This Row],[SP Is Filled]], btc_should_buy_back(SnapshotTable[[#This Row],[SP Fill Date]], SnapshotTable[[#This Row],[SP Exp Date]], SnapshotTable[[#This Row],[SP Book Price]], SnapshotTable[[#This Row],[SP Current Ask]], MockToday, SnapshotTable[[#This Row],[SP Buyback Override]]),"")</f>
        <v/>
      </c>
      <c r="CU10" s="141"/>
      <c r="CV10" s="220"/>
      <c r="CW10" s="348" t="str">
        <f>IF(ISNUMBER( SnapshotTable[[#This Row],[SP Term]]), SnapshotTable[[#This Row],[SP Exp Date]] - MockToday,"")</f>
        <v/>
      </c>
      <c r="CX10" s="31" t="str">
        <f>IF(SnapshotTable[[#This Row],[SP Is Filled]],SnapshotTable[[#This Row],[SP Buyback Price to Use]] * 100 * SnapshotTable[[#This Row],[SP Qty]], "")</f>
        <v/>
      </c>
      <c r="CY10" s="4" t="str">
        <f>IF(ISNUMBER(SnapshotTable[[#This Row],[SP Strike Price]]), SnapshotTable[[#This Row],[SP Strike Price]] * (1 - SP_MaxLoss_StrikePct), "")</f>
        <v/>
      </c>
      <c r="CZ10" s="31" t="str">
        <f>IF(ISNUMBER(SnapshotTable[[#This Row],[SP Strike  Stop Per Share]]),SnapshotTable[[#This Row],[SP Premium]] - ((SnapshotTable[[#This Row],[SP Strike Price]]-SnapshotTable[[#This Row],[SP Strike  Stop Per Share]]) *(SnapshotTable[[#This Row],[SP Qty]] * 100)),"")</f>
        <v/>
      </c>
      <c r="DA10" s="4" t="str">
        <f>IF(AND(ISNUMBER(SnapshotTable[[#This Row],[SP Premium]]),SnapshotTable[[#This Row],[SP Premium]]&gt;0), SnapshotTable[[#This Row],[SP Book Price]] * (1 + SP_MaxLoss_OptionPct), "")</f>
        <v/>
      </c>
      <c r="DB10" s="31" t="str">
        <f>IF(ISNUMBER(SnapshotTable[[#This Row],[SP Option  Stop Contract]]),(SnapshotTable[[#This Row],[SP Option  Stop Contract]] *(SnapshotTable[[#This Row],[SP Qty]] * 100) - SnapshotTable[[#This Row],[SP Premium]]),"")</f>
        <v/>
      </c>
      <c r="DC10" s="4"/>
      <c r="DD10" s="4"/>
      <c r="DE10" s="4" t="str">
        <f>IF(AND(SnapshotTable[[#This Row],[SP Qty]]&gt;0, SnapshotTable[[#This Row],[SP Stop To Use]]&gt;0),SnapshotTable[[#This Row],[SP Premium]] - ( SnapshotTable[[#This Row],[SP Qty]] * SnapshotTable[[#This Row],[SP Stop To Use]] * 100), "")</f>
        <v/>
      </c>
      <c r="DF10" s="31" t="str">
        <f>IF(AND(SnapshotTable[[#This Row],[SP Qty]]&gt;0,SnapshotTable[[#This Row],[SP Current Ask]]&gt;0), SnapshotTable[[#This Row],[SP Qty]] * SnapshotTable[[#This Row],[SP Current Ask]] * -100, "")</f>
        <v/>
      </c>
      <c r="DG10" s="31" t="str">
        <f>IF(ISNUMBER((SnapshotTable[[#This Row],[SP Total Value]])), SnapshotTable[[#This Row],[SP Premium]] + SnapshotTable[[#This Row],[SP Total Value]], "")</f>
        <v/>
      </c>
      <c r="DH10" s="272" t="str">
        <f>IF(ISNUMBER((SnapshotTable[[#This Row],[SP Total Value]])), SnapshotTable[[#This Row],[SP Gain Loss]] / SnapshotTable[[#This Row],[SP Premium]], "")</f>
        <v/>
      </c>
      <c r="DI10" s="369"/>
      <c r="DJ10" s="136"/>
      <c r="DK10" s="146"/>
      <c r="DL10" s="13"/>
      <c r="DM10" s="13"/>
      <c r="DO10" s="31">
        <f>IF(SnapshotTable[[#This Row],[LC Symbol Count]]=1, SnapshotTable[[#This Row],[LC Qty]] * SnapshotTable[[#This Row],[LC Book Price]] * 100, 0)</f>
        <v>0</v>
      </c>
      <c r="DP10" s="161" t="str">
        <f>IF(AND(SnapshotTable[[#This Row],[LC Exp Date]]&gt;0, SnapshotTable[[#This Row],[LC Strike Price]]&gt;0,SnapshotTable[[#This Row],[LC Qty]]&gt;0,SnapshotTable[[#This Row],[LC Book Date]]&gt;0,SnapshotTable[[#This Row],[LC Book Price]]&gt;0,SnapshotTable[[#This Row],[LC Fill Date]]=0),"Y","")</f>
        <v/>
      </c>
      <c r="DQ10" s="356" t="str">
        <f>IF(SnapshotTable[[#This Row],[LC Premium]] &gt; 0,SnapshotTable[[#This Row],[LC Exp Date]]-MAX(SnapshotTable[[#This Row],[LC Book Date]], SnapshotTable[[#This Row],[LC Fill Date]]),"")</f>
        <v/>
      </c>
      <c r="DR10" s="356" t="str">
        <f>IF(ISNUMBER(SnapshotTable[[#This Row],[LC Term]]), SnapshotTable[[#This Row],[LC Exp Date]] - MockToday, "")</f>
        <v/>
      </c>
      <c r="DS10" s="219" t="str">
        <f>IF(SnapshotTable[[#This Row],[LC Premium]]&gt;0,SnapshotTable[[#This Row],[LC Strike Price]] + SnapshotTable[[#This Row],[LC Book Price]],"")</f>
        <v/>
      </c>
      <c r="DU10" s="9" t="str">
        <f>IF(AND(SnapshotTable[[#This Row],[LC Symbol Count]]&gt;0, SnapshotTable[[#This Row],[LC Contract Value]]&gt;0), SnapshotTable[[#This Row],[LC Contract Value]] * SnapshotTable[[#This Row],[LC Qty]] * 100, "")</f>
        <v/>
      </c>
      <c r="DV10" s="9" t="str">
        <f>IF(AND(ISNUMBER(SnapshotTable[[#This Row],[LC Total Value]]), SnapshotTable[[#This Row],[LC Not Filled]]&lt;&gt;"Y"), SnapshotTable[[#This Row],[LC Total Value]]-SnapshotTable[[#This Row],[LC Premium]],"")</f>
        <v/>
      </c>
      <c r="DW10" s="225" t="str">
        <f>IF(ISNUMBER(SnapshotTable[[#This Row],[LC Actual Gain Loss]]), SnapshotTable[[#This Row],[LC Actual Gain Loss]] / SnapshotTable[[#This Row],[LC Premium]],"")</f>
        <v/>
      </c>
      <c r="DX10" s="269" t="str">
        <f>IF(ISNUMBER(SnapshotTable[[#This Row],[LC Book Price]]),SnapshotTable[[#This Row],[LC Book Price]] * 1.5,"")</f>
        <v/>
      </c>
      <c r="DY10" s="250" t="str">
        <f>IF(SnapshotTable[[#This Row],[LC Premium]]&gt;0, SnapshotTable[[#This Row],[LC Next Target]] * SnapshotTable[[#This Row],[LC Qty]] * 100,"")</f>
        <v/>
      </c>
      <c r="DZ10" s="250" t="str">
        <f>IF(ISNUMBER(SnapshotTable[[#This Row],[LC Target Gross]]), SnapshotTable[[#This Row],[LC Target Gross]] - SnapshotTable[[#This Row],[LC Premium]], "")</f>
        <v/>
      </c>
      <c r="EA10" s="283" t="str">
        <f>IF(ISNUMBER(SnapshotTable[[#This Row],[LC Target Gain Loss]]), SnapshotTable[[#This Row],[LC Target Gain Loss]]/SnapshotTable[[#This Row],[LC Premium]], "")</f>
        <v/>
      </c>
      <c r="EB10" s="247"/>
      <c r="EC10" s="268" t="str">
        <f>IF(SnapshotTable[[#This Row],[LC Premium]]&gt;0, SnapshotTable[[#This Row],[LC Book Price]] * (1 - LC_StopLoss_Pct),"")</f>
        <v/>
      </c>
      <c r="ED10" s="269"/>
      <c r="EE10" s="268" t="str">
        <f>IF(ISNUMBER(SnapshotTable[[#This Row],[LC Contract Value]]),IF(ISNUMBER(SnapshotTable[[#This Row],[LC Stop Loss Override]]), SnapshotTable[[#This Row],[LC Stop Loss Override]],SnapshotTable[[#This Row],[LC Stop Loss Calc Target]]),"")</f>
        <v/>
      </c>
      <c r="EF10" s="31" t="str">
        <f>IF(ISNUMBER(SnapshotTable[[#This Row],[LC Stop  To Use]]), (SnapshotTable[[#This Row],[LC Stop  To Use]] * SnapshotTable[[#This Row],[LC Qty]] * 100),"")</f>
        <v/>
      </c>
      <c r="EG10" s="9" t="str">
        <f>IF(ISNUMBER(SnapshotTable[[#This Row],[LC Total Value]]),SnapshotTable[[#This Row],[LC Stop Loss Amount]] - SnapshotTable[[#This Row],[LC Premium]],"")</f>
        <v/>
      </c>
      <c r="EH10" s="9">
        <f>IF(ISNUMBER(SnapshotTable[[#This Row],[LC Premium]]), SnapshotTable[[#This Row],[LC Qty]] * 100 * SnapshotTable[[#This Row],[LC Strike Price]], "")</f>
        <v>0</v>
      </c>
      <c r="EI10" s="225" t="str">
        <f>IF(AND(ISNUMBER(SnapshotTable[[#This Row],[LC Total Value]]),SnapshotTable[[#This Row],[LC Total Value]]&gt;0),SnapshotTable[[#This Row],[LC Stop Gain Loss]]  / SnapshotTable[[#This Row],[LC Premium]],"")</f>
        <v/>
      </c>
      <c r="EJ10" s="35">
        <f>IF(ISNUMBER(SnapshotTable[[#This Row],[Equity Shares]]),TRUNC(SnapshotTable[[#This Row],[Equity Shares]] / 100),0) + SnapshotTable[[#This Row],[LC Qty]]</f>
        <v>0</v>
      </c>
      <c r="EK10" s="145"/>
      <c r="EL10" s="136"/>
      <c r="EM10" s="146"/>
      <c r="EN10" s="145"/>
      <c r="EO10" s="145"/>
      <c r="EP10" s="136"/>
      <c r="EQ10" s="382" t="b">
        <f>AND(ISNUMBER(SnapshotTable[[#This Row],[SC Exp Date]]), ISNUMBER(SnapshotTable[[#This Row],[SC Strike Price]]), ISNUMBER(SnapshotTable[[#This Row],[SC Qty]]), ISNUMBER(SnapshotTable[[#This Row],[SC Book Date]]), ISNUMBER(SnapshotTable[[#This Row],[SC Book Price]]))</f>
        <v>0</v>
      </c>
      <c r="ER10" s="382" t="b">
        <f>AND(SnapshotTable[[#This Row],[SC Is Booked]], NOT(ISBLANK(SnapshotTable[[#This Row],[SC Fill Date]])))</f>
        <v>0</v>
      </c>
      <c r="ES10" s="340"/>
      <c r="ET10" s="34" t="str">
        <f>IF(AND(ISNUMBER(SnapshotTable[[#This Row],[SC Exp Date]]), ISNUMBER(SnapshotTable[[#This Row],[SC Book Date]])), SnapshotTable[[#This Row],[SC Exp Date]] - MAX(SnapshotTable[[#This Row],[SC Book Date]], SnapshotTable[[#This Row],[SC Fill Date]]) + 1, "")</f>
        <v/>
      </c>
      <c r="EU10" s="34" t="str">
        <f>IF(ISNUMBER(SnapshotTable[[#This Row],[SC Term]]), SnapshotTable[[#This Row],[SC Exp Date]]- MockToday, "")</f>
        <v/>
      </c>
      <c r="EV10" s="31">
        <f>IF(SnapshotTable[[#This Row],[SC Is Booked]], SnapshotTable[[#This Row],[SC Qty]] * SnapshotTable[[#This Row],[SC Book Price]] * 100, 0)</f>
        <v>0</v>
      </c>
      <c r="EW10" s="4" t="str">
        <f>IF(AND(ISNUMBER(SnapshotTable[[#This Row],[Last Price]]), ISNUMBER( SnapshotTable[[#This Row],[SC Book Price]])), SnapshotTable[[#This Row],[Last Price]] - SnapshotTable[[#This Row],[SC Book Price]],"")</f>
        <v/>
      </c>
      <c r="EX10" s="219" t="str">
        <f>IF(SnapshotTable[[#This Row],[SC Is Booked]],IF(SnapshotTable[[#This Row],[SC Intrinsic Value]] &gt; 0, SnapshotTable[[#This Row],[SC Strike Price]], SnapshotTable[[#This Row],[Last Price]]), "")</f>
        <v/>
      </c>
      <c r="EY10" s="4">
        <f>IF(SnapshotTable[[#This Row],[SC Is Booked]], (MinimumPremiumRequired * SnapshotTable[[#This Row],[SC Basis]] * SnapshotTable[[#This Row],[SC Term]]), 0)</f>
        <v>0</v>
      </c>
      <c r="EZ10" s="268"/>
      <c r="FA10" s="204"/>
      <c r="FB10" s="340"/>
      <c r="FC10" s="4">
        <f>IF(SnapshotTable[[#This Row],[SC Is Filled]], btc_max_buyback_amount(SnapshotTable[[#This Row],[SC Fill Date]],SnapshotTable[[#This Row],[SC Exp Date]], SnapshotTable[[#This Row],[SC Book Price]]),0)</f>
        <v>0</v>
      </c>
      <c r="FD10" s="5"/>
      <c r="FE10" s="142" t="str">
        <f>IF(SnapshotTable[[#This Row],[SC Is Filled]], btc_next_cutoff_date(SnapshotTable[[#This Row],[SC Fill Date]],SnapshotTable[[#This Row],[SC Exp Date]]),"")</f>
        <v/>
      </c>
      <c r="FF10" s="4" t="str" cm="1">
        <f t="array" ref="FF10">IF(SnapshotTable[[#This Row],[SC Is Filled]], btc_should_buy_back(SnapshotTable[[#This Row],[SC Fill Date]], SnapshotTable[[#This Row],[SC Exp Date]], SnapshotTable[[#This Row],[SC Book Price]], SnapshotTable[[#This Row],[SC Current Ask]], MockToday, SnapshotTable[[#This Row],[SC Buyback Override]]),"")</f>
        <v/>
      </c>
      <c r="FG10" s="4">
        <f>IF(SnapshotTable[[#This Row],[SC Is Filled]], MAX(0,SnapshotTable[[#This Row],[Last Price]]  - SnapshotTable[[#This Row],[SC Strike Price]]), 0)</f>
        <v>0</v>
      </c>
      <c r="FH10" s="352">
        <f>IF(SnapshotTable[[#This Row],[SC Is Filled]], IF(ISNUMBER(SnapshotTable[[#This Row],[SC Current Ask]]), SnapshotTable[[#This Row],[SC Current Ask]], SnapshotTable[[#This Row],[SC Book Price]]) - SnapshotTable[[#This Row],[SC Intrinsic Value]], 0)</f>
        <v>0</v>
      </c>
      <c r="FI10" s="141">
        <v>45786</v>
      </c>
      <c r="FJ10" s="32" t="str">
        <f>IF(SnapshotTable[[#This Row],[SC Is Filled]],100 * SnapshotTable[[#This Row],[SC Qty]] * IF(ISNUMBER(SnapshotTable[[#This Row],[SC Buyback Override]]), SnapshotTable[[#This Row],[SC Buyback Override]], SnapshotTable[[#This Row],[SC Current Ask]]), "")</f>
        <v/>
      </c>
      <c r="FK10" s="235" t="str">
        <f>IF(SnapshotTable[[#This Row],[SC Time Val]]&gt;0, SnapshotTable[[#This Row],[SC Time Val]] / SnapshotTable[[#This Row],[Last Price]],"")</f>
        <v/>
      </c>
      <c r="FL10" s="280" t="str">
        <f>IF(SnapshotTable[[#This Row],[SC Is Booked]], ((SnapshotTable[[#This Row],[Last Price]] -SnapshotTable[[#This Row],[SC Strike Price]]) / SnapshotTable[[#This Row],[Last Price]]) * -1, "")</f>
        <v/>
      </c>
      <c r="FM10" s="155" t="str">
        <f>IF(SnapshotTable[[#This Row],[SC Is Booked]],  (SnapshotTable[[#This Row],[SC Qty]] * 100 * SnapshotTable[[#This Row],[SC Strike Price]]) - SnapshotTable[[#This Row],[SC Current Ask]], "")</f>
        <v/>
      </c>
      <c r="FN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 s="31" t="str">
        <f>IF(AND(ISNUMBER(SnapshotTable[[#This Row],[SC Exercise Gross]]), ISNUMBER(SnapshotTable[[#This Row],[Equity Basis Per Share]] )), SnapshotTable[[#This Row],[SC Exercise Gross]] - SnapshotTable[[#This Row],[Equity Basis Total]] +  SnapshotTable[[#This Row],[SC Premium]], "")</f>
        <v/>
      </c>
      <c r="FP10" s="5" t="str">
        <f>IF(ISNUMBER(SnapshotTable[[#This Row],[SC Exercise Gross]]), (SnapshotTable[[#This Row],[SC Exercise Gross]]) / (SnapshotTable[[#This Row],[SC Qty]] * 100), "")</f>
        <v/>
      </c>
      <c r="FQ10" s="27" t="str">
        <f>IF(SnapshotTable[[#This Row],[SC Is Booked]],SnapshotTable[[#This Row],[SC Time Val]] /SnapshotTable[[#This Row],[SC Basis]], "")</f>
        <v/>
      </c>
      <c r="FR10" s="27" t="str" cm="1">
        <f t="array" ref="FR10">IF(AND(ISNUMBER(SnapshotTable[[#This Row],[SC Term]]),ISNUMBER(SnapshotTable[[#This Row],[SC Simple ROO]])), EllmanAnnualize(SnapshotTable[[#This Row],[SC DTE]], SnapshotTable[[#This Row],[SC Simple ROO]] ),"")</f>
        <v/>
      </c>
      <c r="FS10" s="4">
        <f>IF(SnapshotTable[[#This Row],[SC Strike Price]] &gt; SnapshotTable[[#This Row],[Last Price]], SnapshotTable[[#This Row],[SC Strike Price]] - SnapshotTable[[#This Row],[Last Price]],0)</f>
        <v>0</v>
      </c>
      <c r="FT10" s="27" t="str">
        <f>IF(AND(ISNUMBER(SnapshotTable[[#This Row],[SC Upside Potential]]), SnapshotTable[[#This Row],[SC Upside Potential]] &gt; 0),(SnapshotTable[[#This Row],[SC Upside Potential]]/ SnapshotTable[[#This Row],[ACB]]),"")</f>
        <v/>
      </c>
      <c r="FU10" s="304" t="str">
        <f>IF(SnapshotTable[[#This Row],[SC Intrinsic Value]] &gt; 0,SnapshotTable[[#This Row],[SC Intrinsic Value]],"")</f>
        <v/>
      </c>
      <c r="FV10" s="27" t="str">
        <f>IF(AND( ISNUMBER( SnapshotTable[[#This Row],[ACB]]),ISNUMBER(SnapshotTable[[#This Row],[SC Downside Protect]])),SnapshotTable[[#This Row],[SC Downside Protect]] / SnapshotTable[[#This Row],[ACB]],"")</f>
        <v/>
      </c>
      <c r="FW10" s="221" t="str">
        <f>IF(AND(ISNUMBER(SnapshotTable[[#This Row],[SC Simple ROO]]),SnapshotTable[[#This Row],[SC Simple ROO]] &gt; 0), SnapshotTable[[#This Row],[SC Premium]] + (SnapshotTable[[#This Row],[SC Qty]] * SnapshotTable[[#This Row],[SC Upside Potential]]), "")</f>
        <v/>
      </c>
      <c r="FX10" s="280" t="str" cm="1">
        <f t="array" ref="FX10">IF(ISNUMBER(SnapshotTable[[#This Row],[SC Max Dollars]]), annualize(SnapshotTable[[#This Row],[SC Term]],(SnapshotTable[[#This Row],[SC Max Dollars]]/SnapshotTable[[#This Row],[SC Basis]])),"")</f>
        <v/>
      </c>
      <c r="FY10" s="221" t="str">
        <f>IF(AND(SnapshotTable[[#This Row],[SC Qty]]&gt;0,SnapshotTable[[#This Row],[SC Current Ask]]&gt;0), SnapshotTable[[#This Row],[SC Qty]] * SnapshotTable[[#This Row],[SC Current Ask]] * -100, "")</f>
        <v/>
      </c>
      <c r="FZ10" s="31" t="str">
        <f>IF(ISNUMBER((SnapshotTable[[#This Row],[SC Current Value]])), SnapshotTable[[#This Row],[SC Premium]] + SnapshotTable[[#This Row],[SC Current Value]], "")</f>
        <v/>
      </c>
      <c r="GA10" s="272" t="str">
        <f>IFERROR( IF(ISNUMBER((SnapshotTable[[#This Row],[SC Current Value]])), SnapshotTable[[#This Row],[SC Gain Loss]] / SnapshotTable[[#This Row],[SC Premium]], ""), "")</f>
        <v/>
      </c>
      <c r="GB10" s="42">
        <f>SnapshotTable[[#This Row],[Equity Shares]] * SaleSharesToConsiderPercentage</f>
        <v>0</v>
      </c>
      <c r="GC10" s="40">
        <f>SnapshotTable[[#This Row],[Long Term Target]] * SellingPriceToConsiderBasedOnTargetPercentage</f>
        <v>74.8125</v>
      </c>
      <c r="GD10" s="40">
        <f>SnapshotTable[[#This Row],[Last Price]] * (1+ SellingPriceToConsiderBasedOnTargetPercentage)</f>
        <v>108.2055</v>
      </c>
      <c r="GE10" s="41"/>
      <c r="GF10" s="40"/>
      <c r="GG10" s="31">
        <f>SnapshotTable[[#This Row],[Booked Sale Shares]] * SnapshotTable[[#This Row],[Booked Sale Price]]</f>
        <v>0</v>
      </c>
      <c r="GH10" s="31" t="str">
        <f>IF(SnapshotTable[[#This Row],[Equity Basis Total]] &gt; 0, SnapshotTable[[#This Row],[Equity Basis Per Share]] * SnapshotTable[[#This Row],[Booked Sale Shares]], "")</f>
        <v/>
      </c>
      <c r="GI10" s="31">
        <f>IF(SnapshotTable[[#This Row],[Sale Proceeds]]&gt;0, SnapshotTable[[#This Row],[Sale Proceeds]] - SnapshotTable[[#This Row],[Sale Basis]], 0)</f>
        <v>0</v>
      </c>
      <c r="GJ10" s="27" t="str">
        <f>IF(SnapshotTable[[#This Row],[Sale G/L]]&gt;0, SnapshotTable[[#This Row],[Sale G/L]] / SnapshotTable[[#This Row],[Sale Basis]], IF(ISNUMBER(SnapshotTable[[#This Row],[SC Exercise P&amp;L (TAX)]]), SnapshotTable[[#This Row],[SC Exercise P&amp;L (TAX)]] / SnapshotTable[[#This Row],[SC Basis]], ""))</f>
        <v/>
      </c>
      <c r="GK10" s="27" t="s">
        <v>498</v>
      </c>
      <c r="GL10" s="43" t="str">
        <f>IF(AND(SnapshotTable[[#This Row],[LP Exp Date]]&gt;0,SnapshotTable[[#This Row],[LP Strike Price]]&gt;0), [1]!ToOptionSymbol(SnapshotTable[[#This Row],[Symbol]], SnapshotTable[[#This Row],[LP Strike Price]],SnapshotTable[[#This Row],[LP Exp Date]],1), "")</f>
        <v/>
      </c>
      <c r="GM10" s="30" t="str">
        <f>IF(LEN(SnapshotTable[[#This Row],[LP Symbol]])&gt;0, 1, "")</f>
        <v/>
      </c>
      <c r="GN10" s="43" t="str">
        <f>IF(AND(SnapshotTable[[#This Row],[SP Exp Date]]&gt;0,SnapshotTable[[#This Row],[SP Strike Price]]&gt;0), [1]!ToOptionSymbol(SnapshotTable[[#This Row],[Symbol]], SnapshotTable[[#This Row],[SP Strike Price]],SnapshotTable[[#This Row],[SP Exp Date]],1), "")</f>
        <v/>
      </c>
      <c r="GO10" s="30" t="str">
        <f>IF(LEN(SnapshotTable[[#This Row],[SP Symbol]])&gt;0, 1, "")</f>
        <v/>
      </c>
      <c r="GP10" s="43" t="str">
        <f>IF(AND(SnapshotTable[[#This Row],[LC Exp Date]]&gt;0,SnapshotTable[[#This Row],[LC Strike Price]]&gt;0), [1]!ToOptionSymbol(SnapshotTable[[#This Row],[Symbol]], SnapshotTable[[#This Row],[LC Strike Price]],SnapshotTable[[#This Row],[LC Exp Date]],0), "")</f>
        <v/>
      </c>
      <c r="GQ10" s="30" t="str">
        <f>IF(LEN(SnapshotTable[[#This Row],[LC Symbol]])&gt;0, 1, "")</f>
        <v/>
      </c>
      <c r="GR10" s="43" t="str">
        <f>IF(AND(SnapshotTable[[#This Row],[SC Exp Date]]&gt;0,SnapshotTable[[#This Row],[SC Strike Price]]&gt;0), [1]!ToOptionSymbol(SnapshotTable[[#This Row],[Symbol]], SnapshotTable[[#This Row],[SC Strike Price]],SnapshotTable[[#This Row],[SC Exp Date]],0), "")</f>
        <v/>
      </c>
      <c r="GS10" s="30" t="str">
        <f>IF(LEN(SnapshotTable[[#This Row],[SC Symbol]])&gt;0, 1, "")</f>
        <v/>
      </c>
      <c r="GT10" s="29" t="str">
        <f>IF(COUNT(SnapshotTable[[#This Row],[LP Symbol Count]],SnapshotTable[[#This Row],[SP Symbol Count]],SnapshotTable[[#This Row],[LC Symbol Count]],SnapshotTable[[#This Row],[SC Symbol Count]])&gt;0, "Y", "")</f>
        <v/>
      </c>
      <c r="GU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 s="216">
        <f>MAX(SnapshotTable[[#This Row],[Equity Basis Total]],SnapshotTable[[#This Row],[Equity Value]]) + (SnapshotTable[[#This Row],[SP Potential Spend]]- SnapshotTable[[#This Row],[SP Premium]] + SnapshotTable[[#This Row],[LP Premium]])+ (SnapshotTable[[#This Row],[LC Premium]] - SnapshotTable[[#This Row],[SC Premium]])</f>
        <v>0</v>
      </c>
      <c r="GW10" s="137" t="str">
        <f>IF(AND(SnapshotTable[[#This Row],[Exposure]] &lt;&gt; 0),SnapshotTable[[#This Row],[Exposure]] / SnapshotTable[[#Totals],[Exposure]], "")</f>
        <v/>
      </c>
      <c r="HK10" s="1"/>
      <c r="HL10" s="1"/>
      <c r="HM10" s="1"/>
      <c r="HN10" s="1"/>
      <c r="HO10" s="1"/>
      <c r="HP10" s="1"/>
    </row>
    <row r="11" spans="2:224" ht="12.75" hidden="1" customHeight="1" x14ac:dyDescent="0.25">
      <c r="B11" s="12" t="s">
        <v>71</v>
      </c>
      <c r="C11" s="385">
        <v>325.89</v>
      </c>
      <c r="D11" s="200" t="s">
        <v>467</v>
      </c>
      <c r="E11" s="39">
        <f>SnapshotTable[[#This Row],[Last Price]]*(1 -CrashDiscount)</f>
        <v>277.00649999999996</v>
      </c>
      <c r="F11" s="26" t="s">
        <v>711</v>
      </c>
      <c r="G11" s="26" t="s">
        <v>7</v>
      </c>
      <c r="H11" s="147"/>
      <c r="I11" s="186">
        <v>44770.6875</v>
      </c>
      <c r="J11" s="187">
        <v>44770.6875</v>
      </c>
      <c r="K11" s="188"/>
      <c r="L11" s="297"/>
      <c r="M11" s="138">
        <v>2</v>
      </c>
      <c r="N11" s="138" t="b">
        <v>1</v>
      </c>
      <c r="O11" s="138"/>
      <c r="P11" s="22"/>
      <c r="Q11" s="25"/>
      <c r="R11" s="4" t="str">
        <f>IF(SnapshotTable[[#This Row],[Equity Basis Total]] &gt; 0, SnapshotTable[[#This Row],[Equity Basis Total]] / SnapshotTable[[#This Row],[Equity Shares]], "")</f>
        <v/>
      </c>
      <c r="S11" s="254">
        <f>SnapshotTable[[#This Row],[Last Price]] * SnapshotTable[[#This Row],[Equity Shares]]</f>
        <v>0</v>
      </c>
      <c r="T11" s="254">
        <f>SnapshotTable[[#This Row],[Equity Value]] - SnapshotTable[[#This Row],[Equity Basis Total]]</f>
        <v>0</v>
      </c>
      <c r="U11" s="255" t="str">
        <f>IF(SnapshotTable[[#This Row],[Equity Basis Total]] &gt; 0, SnapshotTable[[#This Row],[Equity G/L]] / SnapshotTable[[#This Row],[Equity Basis Total]], "")</f>
        <v/>
      </c>
      <c r="V11" s="253"/>
      <c r="W11" s="253"/>
      <c r="X11" s="4" t="str">
        <f>IF(AND(ISNUMBER(SnapshotTable[[#This Row],[Equity Basis Per Share]]),ISNUMBER(SnapshotTable[[#This Row],[Equity Target]])),SnapshotTable[[#This Row],[Equity Target]]-SnapshotTable[[#This Row],[Equity Basis Per Share]],"")</f>
        <v/>
      </c>
      <c r="Y11" s="4" t="str">
        <f>IF(AND(ISNUMBER(SnapshotTable[[#This Row],[Equity Basis Per Share]]),ISNUMBER(SnapshotTable[[#This Row],[Equity Stop Loss]])),SnapshotTable[[#This Row],[Equity Stop Loss]]-SnapshotTable[[#This Row],[Equity Basis Per Share]],"")</f>
        <v/>
      </c>
      <c r="Z11" s="260" t="str">
        <f>IFERROR( TEXT(SnapshotTable[[#This Row],[Equity Max Gain Per Share]] /ABS( SnapshotTable[[#This Row],[Equity Max Loss Per Share]]),"0.0 " ) &amp; " : 1", "")</f>
        <v/>
      </c>
      <c r="AA11" s="31" t="str">
        <f>IF(ISNUMBER(SnapshotTable[[#This Row],[Equity Max Gain Per Share]]),SnapshotTable[[#This Row],[Equity Max Gain Per Share]] * SnapshotTable[[#This Row],[Equity Shares]],"")</f>
        <v/>
      </c>
      <c r="AB11" s="31" t="str">
        <f>IF(ISNUMBER(SnapshotTable[[#This Row],[Equity Max Loss Per Share]]),SnapshotTable[[#This Row],[Equity Max Loss Per Share]] * SnapshotTable[[#This Row],[Equity Shares]],"")</f>
        <v/>
      </c>
      <c r="AC11" s="148">
        <v>2.2799999999999998</v>
      </c>
      <c r="AD11" s="149">
        <v>43784</v>
      </c>
      <c r="AE11" s="31">
        <f>(SnapshotTable[[#This Row],[Annual Dividend Per Share]] / 4) * SnapshotTable[[#This Row],[Equity Shares]]</f>
        <v>0</v>
      </c>
      <c r="AF11" s="31">
        <f>SnapshotTable[[#This Row],[Quarterly Div $]] * 4</f>
        <v>0</v>
      </c>
      <c r="AG11" s="7">
        <f>IF(SnapshotTable[[#This Row],[Annual Dividend Per Share]]&gt;0, SnapshotTable[[#This Row],[Annual Dividend Per Share]]  / SnapshotTable[[#This Row],[Last Price]], 0)</f>
        <v>6.9962257203350824E-3</v>
      </c>
      <c r="AH11" s="149"/>
      <c r="AI11" s="5"/>
      <c r="AJ11" s="136">
        <v>193.49</v>
      </c>
      <c r="AK11" s="150" t="str">
        <f>IF(ISNUMBER( SnapshotTable[[#This Row],[EBF Target]]),(SnapshotTable[[#This Row],[EBF Target]] - SnapshotTable[[#This Row],[Last Price]]) / SnapshotTable[[#This Row],[Last Price]], "")</f>
        <v/>
      </c>
      <c r="AL11" s="150" t="str">
        <f>IF(AND(SnapshotTable[[#This Row],[Equity Basis Total]] &gt; 0,ISNUMBER( SnapshotTable[[#This Row],[Long Term Target]])), SnapshotTable[[#This Row],[From Basis $]] / SnapshotTable[[#This Row],[Equity Basis Total]], "")</f>
        <v/>
      </c>
      <c r="AM11" s="9">
        <f>IF( AND(SnapshotTable[[#This Row],[Equity Shares]] &gt;0,ISNUMBER( SnapshotTable[[#This Row],[Long Term Target]])),(SnapshotTable[[#This Row],[Equity Shares]] * SnapshotTable[[#This Row],[Long Term Target]]) - SnapshotTable[[#This Row],[Equity Basis Total]],0)</f>
        <v>0</v>
      </c>
      <c r="AN11" s="9">
        <f>IF( AND(SnapshotTable[[#This Row],[Equity Shares]] &gt;0,ISNUMBER( SnapshotTable[[#This Row],[Long Term Target]])),(SnapshotTable[[#This Row],[Equity Shares]]*SnapshotTable[[#This Row],[Long Term Target]]) - SnapshotTable[[#This Row],[Equity Value]],0)</f>
        <v>0</v>
      </c>
      <c r="AO11" s="150">
        <f>IF(AND(ISNUMBER( SnapshotTable[[#This Row],[Long Term Target]]), ISNUMBER(SnapshotTable[[#This Row],[Last Price]])),(SnapshotTable[[#This Row],[Long Term Target]] - SnapshotTable[[#This Row],[Last Price]]) / SnapshotTable[[#This Row],[Last Price]], "")</f>
        <v>-0.40627205498787927</v>
      </c>
      <c r="AP11" s="5"/>
      <c r="AQ11" s="38"/>
      <c r="AR11" s="5"/>
      <c r="AS11" s="38"/>
      <c r="AT11" s="144" t="s">
        <v>442</v>
      </c>
      <c r="AU11" s="185" t="str">
        <f>IF(OR(SnapshotTable[[#This Row],[LP No Fill]]="Y",SnapshotTable[[#This Row],[SP Is Filled]],SnapshotTable[[#This Row],[LC Not Filled]]="Y",SnapshotTable[[#This Row],[SC Is Filled]]),"Y","")</f>
        <v/>
      </c>
      <c r="AV11" s="205">
        <v>159.5</v>
      </c>
      <c r="AW11" s="211"/>
      <c r="AX11" s="206"/>
      <c r="AY11" s="205" t="str">
        <f>IF(SnapshotTable[[#This Row],[Implied Move]]&gt;0, SnapshotTable[[#This Row],[Last Price]]-SnapshotTable[[#This Row],[Implied Move]],"")</f>
        <v/>
      </c>
      <c r="AZ11" s="205" t="str">
        <f>IF(SnapshotTable[[#This Row],[Implied Move]]&gt;0, SnapshotTable[[#This Row],[Last Price]] + SnapshotTable[[#This Row],[Implied Move]],"")</f>
        <v/>
      </c>
      <c r="BA11" s="302">
        <v>244.28</v>
      </c>
      <c r="BB11" s="318"/>
      <c r="BC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 s="321"/>
      <c r="BE11" s="5"/>
      <c r="BF11" s="14"/>
      <c r="BG11" s="13"/>
      <c r="BH11" s="13"/>
      <c r="BI11" s="5"/>
      <c r="BJ11" s="134">
        <f>IF(SnapshotTable[[#This Row],[LP Qty]] &gt; 0, SnapshotTable[[#This Row],[LP Qty]] * SnapshotTable[[#This Row],[LP Book Price]] * 100,0)</f>
        <v>0</v>
      </c>
      <c r="BK11" s="134">
        <f>IF(SnapshotTable[[#This Row],[LP Premium]] &gt; 0, SnapshotTable[[#This Row],[LP Qty]] * SnapshotTable[[#This Row],[LP Strike Price]] * 100,0)</f>
        <v>0</v>
      </c>
      <c r="BL11" s="152"/>
      <c r="BM11" s="355" t="str">
        <f>IF(SnapshotTable[[#This Row],[LP Premium]] &gt; 0,SnapshotTable[[#This Row],[LP Exp Date]]-MAX(SnapshotTable[[#This Row],[LP Book Date]], SnapshotTable[[#This Row],[LP Fill Date]]),"")</f>
        <v/>
      </c>
      <c r="BN11" s="355" t="str">
        <f>IF(ISNUMBER( SnapshotTable[[#This Row],[LP Term]]), SnapshotTable[[#This Row],[LP Exp Date]] - MockToday,"")</f>
        <v/>
      </c>
      <c r="BO11" s="161" t="str">
        <f>IF(AND(SnapshotTable[[#This Row],[LP Exp Date]]&gt;0, SnapshotTable[[#This Row],[LP Strike Price]]&gt;0,SnapshotTable[[#This Row],[LP Qty]]&gt;0,SnapshotTable[[#This Row],[LP Book Date]]&gt;0,SnapshotTable[[#This Row],[LP Book Price]]&gt;0,SnapshotTable[[#This Row],[LP Fill Date]]=0),"Y","")</f>
        <v/>
      </c>
      <c r="BP11" s="31" t="str">
        <f>IF(AND(SnapshotTable[[#This Row],[LP No Fill]]&lt;&gt;"Y",SnapshotTable[[#This Row],[LP Contract Value]]&gt;0, SnapshotTable[[#This Row],[LP Qty]]&gt;0), SnapshotTable[[#This Row],[LP Contract Value]]*SnapshotTable[[#This Row],[LP Qty]]*100,"")</f>
        <v/>
      </c>
      <c r="BQ11" s="13"/>
      <c r="BR11" s="5"/>
      <c r="BS11" s="36"/>
      <c r="BT11" s="145"/>
      <c r="BU11" s="13"/>
      <c r="BV11" s="5"/>
      <c r="BW11" s="382" t="b">
        <f>AND(ISNUMBER(SnapshotTable[[#This Row],[SP Exp Date]]), ISNUMBER(SnapshotTable[[#This Row],[SP Strike Price]]), ISNUMBER(SnapshotTable[[#This Row],[SP Qty]]), ISNUMBER(SnapshotTable[[#This Row],[SP Book Date]]), ISNUMBER(SnapshotTable[[#This Row],[SP Book Price]]))</f>
        <v>0</v>
      </c>
      <c r="BX11" s="382" t="b">
        <f>AND(SnapshotTable[[#This Row],[SP Is Booked]], NOT(ISBLANK(SnapshotTable[[#This Row],[SP Fill Date]])))</f>
        <v>0</v>
      </c>
      <c r="BY11" s="33">
        <f>IF(SnapshotTable[[#This Row],[SP Is Booked]], SnapshotTable[[#This Row],[SP Qty]] * SnapshotTable[[#This Row],[SP Book Price]] * 100, 0)</f>
        <v>0</v>
      </c>
      <c r="BZ11" s="339"/>
      <c r="CA11" s="338">
        <f>SnapshotTable[[#This Row],[LP Qty]]</f>
        <v>0</v>
      </c>
      <c r="CB11" s="4" t="str">
        <f>IF(SnapshotTable[[#This Row],[SP Is Booked]], SnapshotTable[[#This Row],[SP Strike Price]] - SnapshotTable[[#This Row],[SP Book Price]], "")</f>
        <v/>
      </c>
      <c r="CC11" s="19" t="str">
        <f>IF(SnapshotTable[[#This Row],[SP Is Booked]],SnapshotTable[[#This Row],[SP Exp Date]]-MAX(SnapshotTable[[#This Row],[SP Book Date]], SnapshotTable[[#This Row],[SP Fill Date]]),"")</f>
        <v/>
      </c>
      <c r="CD11" s="7" t="str">
        <f>IF(SnapshotTable[[#This Row],[SP Is Booked]], SnapshotTable[[#This Row],[SP Book Price]]/SnapshotTable[[#This Row],[SP Strike Price]], "")</f>
        <v/>
      </c>
      <c r="CE11" s="7" t="str">
        <f>IF(ISNUMBER(SnapshotTable[[#This Row],[SP ROO Term]]),SnapshotTable[[#This Row],[SP ROO Term]]*(365/SnapshotTable[[#This Row],[SP Term]]),"")</f>
        <v/>
      </c>
      <c r="CF11" s="221">
        <f>SnapshotTable[[#This Row],[LP Strike Price]] * SnapshotTable[[#This Row],[LP Qty]] * 100</f>
        <v>0</v>
      </c>
      <c r="CG11" s="31">
        <f>IF(ISNUMBER(SnapshotTable[[#This Row],[SP Premium]]), (SnapshotTable[[#This Row],[SP Qty]] * SnapshotTable[[#This Row],[SP Strike Price]]* 100) - SnapshotTable[[#This Row],[LP Protection]], 0)</f>
        <v>0</v>
      </c>
      <c r="CH11" s="7" t="str">
        <f>IF(ISNUMBER(SnapshotTable[[#This Row],[SP Break Even]]),-1 * (SnapshotTable[[#This Row],[SP Break Even]] - SnapshotTable[[#This Row],[Last Price]]) / SnapshotTable[[#This Row],[Last Price]], "")</f>
        <v/>
      </c>
      <c r="CI11" s="31">
        <f>IF(AND(ISNUMBER((SnapshotTable[[#This Row],[SP Potential Spend]])), SnapshotTable[[#This Row],[SP Strike Price]] &gt; SnapshotTable[[#This Row],[Last Price]], SnapshotTable[[#This Row],[SP Is Filled]]), SnapshotTable[[#This Row],[SP Potential Spend]] -  SnapshotTable[[#This Row],[LP Max Value]], 0)</f>
        <v>0</v>
      </c>
      <c r="CJ11" s="229">
        <v>0.8</v>
      </c>
      <c r="CK11" s="31">
        <f>IF(ISNUMBER(SnapshotTable[[#This Row],[SP Potential Spend]]),IF(ISNUMBER(SnapshotTable[[#This Row],[SP POW]]), SnapshotTable[[#This Row],[SP POW]] * SnapshotTable[[#This Row],[SP Potential Spend]], SnapshotTable[[#This Row],[SP Potential Spend]]), "")</f>
        <v>0</v>
      </c>
      <c r="CL11" s="162">
        <f>IF(NOT(SnapshotTable[[#This Row],[SP Is Filled]]),(SnapshotTable[[#This Row],[SP Qty]] * SnapshotTable[[#This Row],[SP Strike Price]] * 100) - SnapshotTable[[#This Row],[LP Max Value]],"")</f>
        <v>0</v>
      </c>
      <c r="CM11" s="31" t="str">
        <f>IF(SnapshotTable[[#This Row],[SP Actual Spend]]&lt;&gt;0, ((SnapshotTable[[#This Row],[SP Strike Price]]-SnapshotTable[[#This Row],[Last Price]]) *(SnapshotTable[[#This Row],[SP Qty]]*100) - SnapshotTable[[#This Row],[SP Premium]]) * - 1, "")</f>
        <v/>
      </c>
      <c r="CN11" s="204"/>
      <c r="CO11" s="339"/>
      <c r="CP11" s="4" t="str">
        <f>IF(SnapshotTable[[#This Row],[SP Is Filled]], btc_max_buyback_amount(SnapshotTable[[#This Row],[SP Fill Date]],SnapshotTable[[#This Row],[SP Exp Date]], SnapshotTable[[#This Row],[SP Book Price]]),"")</f>
        <v/>
      </c>
      <c r="CQ11" s="76"/>
      <c r="CR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 s="153" t="str">
        <f>IF(SnapshotTable[[#This Row],[SP Is Filled]], btc_next_cutoff_date(SnapshotTable[[#This Row],[SP Fill Date]],SnapshotTable[[#This Row],[SP Exp Date]]),"")</f>
        <v/>
      </c>
      <c r="CT11" s="220" t="str" cm="1">
        <f t="array" ref="CT11">IF(SnapshotTable[[#This Row],[SP Is Filled]], btc_should_buy_back(SnapshotTable[[#This Row],[SP Fill Date]], SnapshotTable[[#This Row],[SP Exp Date]], SnapshotTable[[#This Row],[SP Book Price]], SnapshotTable[[#This Row],[SP Current Ask]], MockToday, SnapshotTable[[#This Row],[SP Buyback Override]]),"")</f>
        <v/>
      </c>
      <c r="CU11" s="141"/>
      <c r="CV11" s="220"/>
      <c r="CW11" s="348" t="str">
        <f>IF(ISNUMBER( SnapshotTable[[#This Row],[SP Term]]), SnapshotTable[[#This Row],[SP Exp Date]] - MockToday,"")</f>
        <v/>
      </c>
      <c r="CX11" s="31" t="str">
        <f>IF(SnapshotTable[[#This Row],[SP Is Filled]],SnapshotTable[[#This Row],[SP Buyback Price to Use]] * 100 * SnapshotTable[[#This Row],[SP Qty]], "")</f>
        <v/>
      </c>
      <c r="CY11" s="4" t="str">
        <f>IF(ISNUMBER(SnapshotTable[[#This Row],[SP Strike Price]]), SnapshotTable[[#This Row],[SP Strike Price]] * (1 - SP_MaxLoss_StrikePct), "")</f>
        <v/>
      </c>
      <c r="CZ11" s="31" t="str">
        <f>IF(ISNUMBER(SnapshotTable[[#This Row],[SP Strike  Stop Per Share]]),SnapshotTable[[#This Row],[SP Premium]] - ((SnapshotTable[[#This Row],[SP Strike Price]]-SnapshotTable[[#This Row],[SP Strike  Stop Per Share]]) *(SnapshotTable[[#This Row],[SP Qty]] * 100)),"")</f>
        <v/>
      </c>
      <c r="DA11" s="4" t="str">
        <f>IF(AND(ISNUMBER(SnapshotTable[[#This Row],[SP Premium]]),SnapshotTable[[#This Row],[SP Premium]]&gt;0), SnapshotTable[[#This Row],[SP Book Price]] * (1 + SP_MaxLoss_OptionPct), "")</f>
        <v/>
      </c>
      <c r="DB11" s="31" t="str">
        <f>IF(ISNUMBER(SnapshotTable[[#This Row],[SP Option  Stop Contract]]),(SnapshotTable[[#This Row],[SP Option  Stop Contract]] *(SnapshotTable[[#This Row],[SP Qty]] * 100) - SnapshotTable[[#This Row],[SP Premium]]),"")</f>
        <v/>
      </c>
      <c r="DC11" s="4"/>
      <c r="DD11" s="4"/>
      <c r="DE11" s="4" t="str">
        <f>IF(AND(SnapshotTable[[#This Row],[SP Qty]]&gt;0, SnapshotTable[[#This Row],[SP Stop To Use]]&gt;0),SnapshotTable[[#This Row],[SP Premium]] - ( SnapshotTable[[#This Row],[SP Qty]] * SnapshotTable[[#This Row],[SP Stop To Use]] * 100), "")</f>
        <v/>
      </c>
      <c r="DF11" s="31" t="str">
        <f>IF(AND(SnapshotTable[[#This Row],[SP Qty]]&gt;0,SnapshotTable[[#This Row],[SP Current Ask]]&gt;0), SnapshotTable[[#This Row],[SP Qty]] * SnapshotTable[[#This Row],[SP Current Ask]] * -100, "")</f>
        <v/>
      </c>
      <c r="DG11" s="31" t="str">
        <f>IF(ISNUMBER((SnapshotTable[[#This Row],[SP Total Value]])), SnapshotTable[[#This Row],[SP Premium]] + SnapshotTable[[#This Row],[SP Total Value]], "")</f>
        <v/>
      </c>
      <c r="DH11" s="272" t="str">
        <f>IF(ISNUMBER((SnapshotTable[[#This Row],[SP Total Value]])), SnapshotTable[[#This Row],[SP Gain Loss]] / SnapshotTable[[#This Row],[SP Premium]], "")</f>
        <v/>
      </c>
      <c r="DI11" s="369"/>
      <c r="DJ11" s="136"/>
      <c r="DK11" s="146"/>
      <c r="DL11" s="13"/>
      <c r="DM11" s="13"/>
      <c r="DO11" s="31">
        <f>IF(SnapshotTable[[#This Row],[LC Symbol Count]]=1, SnapshotTable[[#This Row],[LC Qty]] * SnapshotTable[[#This Row],[LC Book Price]] * 100, 0)</f>
        <v>0</v>
      </c>
      <c r="DP11" s="161" t="str">
        <f>IF(AND(SnapshotTable[[#This Row],[LC Exp Date]]&gt;0, SnapshotTable[[#This Row],[LC Strike Price]]&gt;0,SnapshotTable[[#This Row],[LC Qty]]&gt;0,SnapshotTable[[#This Row],[LC Book Date]]&gt;0,SnapshotTable[[#This Row],[LC Book Price]]&gt;0,SnapshotTable[[#This Row],[LC Fill Date]]=0),"Y","")</f>
        <v/>
      </c>
      <c r="DQ11" s="356" t="str">
        <f>IF(SnapshotTable[[#This Row],[LC Premium]] &gt; 0,SnapshotTable[[#This Row],[LC Exp Date]]-MAX(SnapshotTable[[#This Row],[LC Book Date]], SnapshotTable[[#This Row],[LC Fill Date]]),"")</f>
        <v/>
      </c>
      <c r="DR11" s="356" t="str">
        <f>IF(ISNUMBER(SnapshotTable[[#This Row],[LC Term]]), SnapshotTable[[#This Row],[LC Exp Date]] - MockToday, "")</f>
        <v/>
      </c>
      <c r="DS11" s="219" t="str">
        <f>IF(SnapshotTable[[#This Row],[LC Premium]]&gt;0,SnapshotTable[[#This Row],[LC Strike Price]] + SnapshotTable[[#This Row],[LC Book Price]],"")</f>
        <v/>
      </c>
      <c r="DU11" s="9" t="str">
        <f>IF(AND(SnapshotTable[[#This Row],[LC Symbol Count]]&gt;0, SnapshotTable[[#This Row],[LC Contract Value]]&gt;0), SnapshotTable[[#This Row],[LC Contract Value]] * SnapshotTable[[#This Row],[LC Qty]] * 100, "")</f>
        <v/>
      </c>
      <c r="DV11" s="9" t="str">
        <f>IF(AND(ISNUMBER(SnapshotTable[[#This Row],[LC Total Value]]), SnapshotTable[[#This Row],[LC Not Filled]]&lt;&gt;"Y"), SnapshotTable[[#This Row],[LC Total Value]]-SnapshotTable[[#This Row],[LC Premium]],"")</f>
        <v/>
      </c>
      <c r="DW11" s="225" t="str">
        <f>IF(ISNUMBER(SnapshotTable[[#This Row],[LC Actual Gain Loss]]), SnapshotTable[[#This Row],[LC Actual Gain Loss]] / SnapshotTable[[#This Row],[LC Premium]],"")</f>
        <v/>
      </c>
      <c r="DX11" s="269" t="str">
        <f>IF(ISNUMBER(SnapshotTable[[#This Row],[LC Book Price]]),SnapshotTable[[#This Row],[LC Book Price]] * 1.5,"")</f>
        <v/>
      </c>
      <c r="DY11" s="250" t="str">
        <f>IF(SnapshotTable[[#This Row],[LC Premium]]&gt;0, SnapshotTable[[#This Row],[LC Next Target]] * SnapshotTable[[#This Row],[LC Qty]] * 100,"")</f>
        <v/>
      </c>
      <c r="DZ11" s="250" t="str">
        <f>IF(ISNUMBER(SnapshotTable[[#This Row],[LC Target Gross]]), SnapshotTable[[#This Row],[LC Target Gross]] - SnapshotTable[[#This Row],[LC Premium]], "")</f>
        <v/>
      </c>
      <c r="EA11" s="283" t="str">
        <f>IF(ISNUMBER(SnapshotTable[[#This Row],[LC Target Gain Loss]]), SnapshotTable[[#This Row],[LC Target Gain Loss]]/SnapshotTable[[#This Row],[LC Premium]], "")</f>
        <v/>
      </c>
      <c r="EB11" s="247"/>
      <c r="EC11" s="268" t="str">
        <f>IF(SnapshotTable[[#This Row],[LC Premium]]&gt;0, SnapshotTable[[#This Row],[LC Book Price]] * (1 - LC_StopLoss_Pct),"")</f>
        <v/>
      </c>
      <c r="ED11" s="269"/>
      <c r="EE11" s="268" t="str">
        <f>IF(ISNUMBER(SnapshotTable[[#This Row],[LC Contract Value]]),IF(ISNUMBER(SnapshotTable[[#This Row],[LC Stop Loss Override]]), SnapshotTable[[#This Row],[LC Stop Loss Override]],SnapshotTable[[#This Row],[LC Stop Loss Calc Target]]),"")</f>
        <v/>
      </c>
      <c r="EF11" s="31" t="str">
        <f>IF(ISNUMBER(SnapshotTable[[#This Row],[LC Stop  To Use]]), (SnapshotTable[[#This Row],[LC Stop  To Use]] * SnapshotTable[[#This Row],[LC Qty]] * 100),"")</f>
        <v/>
      </c>
      <c r="EG11" s="9" t="str">
        <f>IF(ISNUMBER(SnapshotTable[[#This Row],[LC Total Value]]),SnapshotTable[[#This Row],[LC Stop Loss Amount]] - SnapshotTable[[#This Row],[LC Premium]],"")</f>
        <v/>
      </c>
      <c r="EH11" s="9">
        <f>IF(ISNUMBER(SnapshotTable[[#This Row],[LC Premium]]), SnapshotTable[[#This Row],[LC Qty]] * 100 * SnapshotTable[[#This Row],[LC Strike Price]], "")</f>
        <v>0</v>
      </c>
      <c r="EI11" s="225" t="str">
        <f>IF(AND(ISNUMBER(SnapshotTable[[#This Row],[LC Total Value]]),SnapshotTable[[#This Row],[LC Total Value]]&gt;0),SnapshotTable[[#This Row],[LC Stop Gain Loss]]  / SnapshotTable[[#This Row],[LC Premium]],"")</f>
        <v/>
      </c>
      <c r="EJ11" s="35">
        <f>IF(ISNUMBER(SnapshotTable[[#This Row],[Equity Shares]]),TRUNC(SnapshotTable[[#This Row],[Equity Shares]] / 100),0) + SnapshotTable[[#This Row],[LC Qty]]</f>
        <v>0</v>
      </c>
      <c r="EK11" s="145"/>
      <c r="EL11" s="136"/>
      <c r="EM11" s="146"/>
      <c r="EN11" s="145"/>
      <c r="EO11" s="145"/>
      <c r="EP11" s="136"/>
      <c r="EQ11" s="382" t="b">
        <f>AND(ISNUMBER(SnapshotTable[[#This Row],[SC Exp Date]]), ISNUMBER(SnapshotTable[[#This Row],[SC Strike Price]]), ISNUMBER(SnapshotTable[[#This Row],[SC Qty]]), ISNUMBER(SnapshotTable[[#This Row],[SC Book Date]]), ISNUMBER(SnapshotTable[[#This Row],[SC Book Price]]))</f>
        <v>0</v>
      </c>
      <c r="ER11" s="382" t="b">
        <f>AND(SnapshotTable[[#This Row],[SC Is Booked]], NOT(ISBLANK(SnapshotTable[[#This Row],[SC Fill Date]])))</f>
        <v>0</v>
      </c>
      <c r="ES11" s="340"/>
      <c r="ET11" s="34" t="str">
        <f>IF(AND(ISNUMBER(SnapshotTable[[#This Row],[SC Exp Date]]), ISNUMBER(SnapshotTable[[#This Row],[SC Book Date]])), SnapshotTable[[#This Row],[SC Exp Date]] - MAX(SnapshotTable[[#This Row],[SC Book Date]], SnapshotTable[[#This Row],[SC Fill Date]]) + 1, "")</f>
        <v/>
      </c>
      <c r="EU11" s="34" t="str">
        <f>IF(ISNUMBER(SnapshotTable[[#This Row],[SC Term]]), SnapshotTable[[#This Row],[SC Exp Date]]- MockToday, "")</f>
        <v/>
      </c>
      <c r="EV11" s="31">
        <f>IF(SnapshotTable[[#This Row],[SC Is Booked]], SnapshotTable[[#This Row],[SC Qty]] * SnapshotTable[[#This Row],[SC Book Price]] * 100, 0)</f>
        <v>0</v>
      </c>
      <c r="EW11" s="4" t="str">
        <f>IF(AND(ISNUMBER(SnapshotTable[[#This Row],[Last Price]]), ISNUMBER( SnapshotTable[[#This Row],[SC Book Price]])), SnapshotTable[[#This Row],[Last Price]] - SnapshotTable[[#This Row],[SC Book Price]],"")</f>
        <v/>
      </c>
      <c r="EX11" s="219" t="str">
        <f>IF(SnapshotTable[[#This Row],[SC Is Booked]],IF(SnapshotTable[[#This Row],[SC Intrinsic Value]] &gt; 0, SnapshotTable[[#This Row],[SC Strike Price]], SnapshotTable[[#This Row],[Last Price]]), "")</f>
        <v/>
      </c>
      <c r="EY11" s="4">
        <f>IF(SnapshotTable[[#This Row],[SC Is Booked]], (MinimumPremiumRequired * SnapshotTable[[#This Row],[SC Basis]] * SnapshotTable[[#This Row],[SC Term]]), 0)</f>
        <v>0</v>
      </c>
      <c r="EZ11" s="268"/>
      <c r="FA11" s="204"/>
      <c r="FB11" s="340"/>
      <c r="FC11" s="4">
        <f>IF(SnapshotTable[[#This Row],[SC Is Filled]], btc_max_buyback_amount(SnapshotTable[[#This Row],[SC Fill Date]],SnapshotTable[[#This Row],[SC Exp Date]], SnapshotTable[[#This Row],[SC Book Price]]),0)</f>
        <v>0</v>
      </c>
      <c r="FD11" s="5"/>
      <c r="FE11" s="142" t="str">
        <f>IF(SnapshotTable[[#This Row],[SC Is Filled]], btc_next_cutoff_date(SnapshotTable[[#This Row],[SC Fill Date]],SnapshotTable[[#This Row],[SC Exp Date]]),"")</f>
        <v/>
      </c>
      <c r="FF11" s="4" t="str" cm="1">
        <f t="array" ref="FF11">IF(SnapshotTable[[#This Row],[SC Is Filled]], btc_should_buy_back(SnapshotTable[[#This Row],[SC Fill Date]], SnapshotTable[[#This Row],[SC Exp Date]], SnapshotTable[[#This Row],[SC Book Price]], SnapshotTable[[#This Row],[SC Current Ask]], MockToday, SnapshotTable[[#This Row],[SC Buyback Override]]),"")</f>
        <v/>
      </c>
      <c r="FG11" s="4">
        <f>IF(SnapshotTable[[#This Row],[SC Is Filled]], MAX(0,SnapshotTable[[#This Row],[Last Price]]  - SnapshotTable[[#This Row],[SC Strike Price]]), 0)</f>
        <v>0</v>
      </c>
      <c r="FH11" s="352">
        <f>IF(SnapshotTable[[#This Row],[SC Is Filled]], IF(ISNUMBER(SnapshotTable[[#This Row],[SC Current Ask]]), SnapshotTable[[#This Row],[SC Current Ask]], SnapshotTable[[#This Row],[SC Book Price]]) - SnapshotTable[[#This Row],[SC Intrinsic Value]], 0)</f>
        <v>0</v>
      </c>
      <c r="FI11" s="141"/>
      <c r="FJ11" s="32" t="str">
        <f>IF(SnapshotTable[[#This Row],[SC Is Filled]],100 * SnapshotTable[[#This Row],[SC Qty]] * IF(ISNUMBER(SnapshotTable[[#This Row],[SC Buyback Override]]), SnapshotTable[[#This Row],[SC Buyback Override]], SnapshotTable[[#This Row],[SC Current Ask]]), "")</f>
        <v/>
      </c>
      <c r="FK11" s="235" t="str">
        <f>IF(SnapshotTable[[#This Row],[SC Time Val]]&gt;0, SnapshotTable[[#This Row],[SC Time Val]] / SnapshotTable[[#This Row],[Last Price]],"")</f>
        <v/>
      </c>
      <c r="FL11" s="280" t="str">
        <f>IF(SnapshotTable[[#This Row],[SC Is Booked]], ((SnapshotTable[[#This Row],[Last Price]] -SnapshotTable[[#This Row],[SC Strike Price]]) / SnapshotTable[[#This Row],[Last Price]]) * -1, "")</f>
        <v/>
      </c>
      <c r="FM11" s="155" t="str">
        <f>IF(SnapshotTable[[#This Row],[SC Is Booked]],  (SnapshotTable[[#This Row],[SC Qty]] * 100 * SnapshotTable[[#This Row],[SC Strike Price]]) - SnapshotTable[[#This Row],[SC Current Ask]], "")</f>
        <v/>
      </c>
      <c r="FN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 s="31" t="str">
        <f>IF(AND(ISNUMBER(SnapshotTable[[#This Row],[SC Exercise Gross]]), ISNUMBER(SnapshotTable[[#This Row],[Equity Basis Per Share]] )), SnapshotTable[[#This Row],[SC Exercise Gross]] - SnapshotTable[[#This Row],[Equity Basis Total]] +  SnapshotTable[[#This Row],[SC Premium]], "")</f>
        <v/>
      </c>
      <c r="FP11" s="5" t="str">
        <f>IF(ISNUMBER(SnapshotTable[[#This Row],[SC Exercise Gross]]), (SnapshotTable[[#This Row],[SC Exercise Gross]]) / (SnapshotTable[[#This Row],[SC Qty]] * 100), "")</f>
        <v/>
      </c>
      <c r="FQ11" s="27" t="str">
        <f>IF(SnapshotTable[[#This Row],[SC Is Booked]],SnapshotTable[[#This Row],[SC Time Val]] /SnapshotTable[[#This Row],[SC Basis]], "")</f>
        <v/>
      </c>
      <c r="FR11" s="27" t="str" cm="1">
        <f t="array" ref="FR11">IF(AND(ISNUMBER(SnapshotTable[[#This Row],[SC Term]]),ISNUMBER(SnapshotTable[[#This Row],[SC Simple ROO]])), EllmanAnnualize(SnapshotTable[[#This Row],[SC DTE]], SnapshotTable[[#This Row],[SC Simple ROO]] ),"")</f>
        <v/>
      </c>
      <c r="FS11" s="4">
        <f>IF(SnapshotTable[[#This Row],[SC Strike Price]] &gt; SnapshotTable[[#This Row],[Last Price]], SnapshotTable[[#This Row],[SC Strike Price]] - SnapshotTable[[#This Row],[Last Price]],0)</f>
        <v>0</v>
      </c>
      <c r="FT11" s="27" t="str">
        <f>IF(AND(ISNUMBER(SnapshotTable[[#This Row],[SC Upside Potential]]), SnapshotTable[[#This Row],[SC Upside Potential]] &gt; 0),(SnapshotTable[[#This Row],[SC Upside Potential]]/ SnapshotTable[[#This Row],[ACB]]),"")</f>
        <v/>
      </c>
      <c r="FU11" s="304" t="str">
        <f>IF(SnapshotTable[[#This Row],[SC Intrinsic Value]] &gt; 0,SnapshotTable[[#This Row],[SC Intrinsic Value]],"")</f>
        <v/>
      </c>
      <c r="FV11" s="27" t="str">
        <f>IF(AND( ISNUMBER( SnapshotTable[[#This Row],[ACB]]),ISNUMBER(SnapshotTable[[#This Row],[SC Downside Protect]])),SnapshotTable[[#This Row],[SC Downside Protect]] / SnapshotTable[[#This Row],[ACB]],"")</f>
        <v/>
      </c>
      <c r="FW11" s="221" t="str">
        <f>IF(AND(ISNUMBER(SnapshotTable[[#This Row],[SC Simple ROO]]),SnapshotTable[[#This Row],[SC Simple ROO]] &gt; 0), SnapshotTable[[#This Row],[SC Premium]] + (SnapshotTable[[#This Row],[SC Qty]] * SnapshotTable[[#This Row],[SC Upside Potential]]), "")</f>
        <v/>
      </c>
      <c r="FX11" s="280" t="str" cm="1">
        <f t="array" ref="FX11">IF(ISNUMBER(SnapshotTable[[#This Row],[SC Max Dollars]]), annualize(SnapshotTable[[#This Row],[SC Term]],(SnapshotTable[[#This Row],[SC Max Dollars]]/SnapshotTable[[#This Row],[SC Basis]])),"")</f>
        <v/>
      </c>
      <c r="FY11" s="221" t="str">
        <f>IF(AND(SnapshotTable[[#This Row],[SC Qty]]&gt;0,SnapshotTable[[#This Row],[SC Current Ask]]&gt;0), SnapshotTable[[#This Row],[SC Qty]] * SnapshotTable[[#This Row],[SC Current Ask]] * -100, "")</f>
        <v/>
      </c>
      <c r="FZ11" s="31" t="str">
        <f>IF(ISNUMBER((SnapshotTable[[#This Row],[SC Current Value]])), SnapshotTable[[#This Row],[SC Premium]] + SnapshotTable[[#This Row],[SC Current Value]], "")</f>
        <v/>
      </c>
      <c r="GA11" s="272" t="str">
        <f>IFERROR( IF(ISNUMBER((SnapshotTable[[#This Row],[SC Current Value]])), SnapshotTable[[#This Row],[SC Gain Loss]] / SnapshotTable[[#This Row],[SC Premium]], ""), "")</f>
        <v/>
      </c>
      <c r="GB11" s="42">
        <f>SnapshotTable[[#This Row],[Equity Shares]] * SaleSharesToConsiderPercentage</f>
        <v>0</v>
      </c>
      <c r="GC11" s="40">
        <f>SnapshotTable[[#This Row],[Long Term Target]] * SellingPriceToConsiderBasedOnTargetPercentage</f>
        <v>183.81549999999999</v>
      </c>
      <c r="GD11" s="40">
        <f>SnapshotTable[[#This Row],[Last Price]] * (1+ SellingPriceToConsiderBasedOnTargetPercentage)</f>
        <v>635.4855</v>
      </c>
      <c r="GE11" s="41"/>
      <c r="GF11" s="40"/>
      <c r="GG11" s="31">
        <f>SnapshotTable[[#This Row],[Booked Sale Shares]] * SnapshotTable[[#This Row],[Booked Sale Price]]</f>
        <v>0</v>
      </c>
      <c r="GH11" s="31" t="str">
        <f>IF(SnapshotTable[[#This Row],[Equity Basis Total]] &gt; 0, SnapshotTable[[#This Row],[Equity Basis Per Share]] * SnapshotTable[[#This Row],[Booked Sale Shares]], "")</f>
        <v/>
      </c>
      <c r="GI11" s="31">
        <f>IF(SnapshotTable[[#This Row],[Sale Proceeds]]&gt;0, SnapshotTable[[#This Row],[Sale Proceeds]] - SnapshotTable[[#This Row],[Sale Basis]], 0)</f>
        <v>0</v>
      </c>
      <c r="GJ11" s="27" t="str">
        <f>IF(SnapshotTable[[#This Row],[Sale G/L]]&gt;0, SnapshotTable[[#This Row],[Sale G/L]] / SnapshotTable[[#This Row],[Sale Basis]], IF(ISNUMBER(SnapshotTable[[#This Row],[SC Exercise P&amp;L (TAX)]]), SnapshotTable[[#This Row],[SC Exercise P&amp;L (TAX)]] / SnapshotTable[[#This Row],[SC Basis]], ""))</f>
        <v/>
      </c>
      <c r="GK11" s="27" t="s">
        <v>499</v>
      </c>
      <c r="GL11" s="43" t="str">
        <f>IF(AND(SnapshotTable[[#This Row],[LP Exp Date]]&gt;0,SnapshotTable[[#This Row],[LP Strike Price]]&gt;0), [1]!ToOptionSymbol(SnapshotTable[[#This Row],[Symbol]], SnapshotTable[[#This Row],[LP Strike Price]],SnapshotTable[[#This Row],[LP Exp Date]],1), "")</f>
        <v/>
      </c>
      <c r="GM11" s="30" t="str">
        <f>IF(LEN(SnapshotTable[[#This Row],[LP Symbol]])&gt;0, 1, "")</f>
        <v/>
      </c>
      <c r="GN11" s="43" t="str">
        <f>IF(AND(SnapshotTable[[#This Row],[SP Exp Date]]&gt;0,SnapshotTable[[#This Row],[SP Strike Price]]&gt;0), [1]!ToOptionSymbol(SnapshotTable[[#This Row],[Symbol]], SnapshotTable[[#This Row],[SP Strike Price]],SnapshotTable[[#This Row],[SP Exp Date]],1), "")</f>
        <v/>
      </c>
      <c r="GO11" s="30" t="str">
        <f>IF(LEN(SnapshotTable[[#This Row],[SP Symbol]])&gt;0, 1, "")</f>
        <v/>
      </c>
      <c r="GP11" s="43" t="str">
        <f>IF(AND(SnapshotTable[[#This Row],[LC Exp Date]]&gt;0,SnapshotTable[[#This Row],[LC Strike Price]]&gt;0), [1]!ToOptionSymbol(SnapshotTable[[#This Row],[Symbol]], SnapshotTable[[#This Row],[LC Strike Price]],SnapshotTable[[#This Row],[LC Exp Date]],0), "")</f>
        <v/>
      </c>
      <c r="GQ11" s="30" t="str">
        <f>IF(LEN(SnapshotTable[[#This Row],[LC Symbol]])&gt;0, 1, "")</f>
        <v/>
      </c>
      <c r="GR11" s="43" t="str">
        <f>IF(AND(SnapshotTable[[#This Row],[SC Exp Date]]&gt;0,SnapshotTable[[#This Row],[SC Strike Price]]&gt;0), [1]!ToOptionSymbol(SnapshotTable[[#This Row],[Symbol]], SnapshotTable[[#This Row],[SC Strike Price]],SnapshotTable[[#This Row],[SC Exp Date]],0), "")</f>
        <v/>
      </c>
      <c r="GS11" s="30" t="str">
        <f>IF(LEN(SnapshotTable[[#This Row],[SC Symbol]])&gt;0, 1, "")</f>
        <v/>
      </c>
      <c r="GT11" s="29" t="str">
        <f>IF(COUNT(SnapshotTable[[#This Row],[LP Symbol Count]],SnapshotTable[[#This Row],[SP Symbol Count]],SnapshotTable[[#This Row],[LC Symbol Count]],SnapshotTable[[#This Row],[SC Symbol Count]])&gt;0, "Y", "")</f>
        <v/>
      </c>
      <c r="GU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 s="216">
        <f>MAX(SnapshotTable[[#This Row],[Equity Basis Total]],SnapshotTable[[#This Row],[Equity Value]]) + (SnapshotTable[[#This Row],[SP Potential Spend]]- SnapshotTable[[#This Row],[SP Premium]] + SnapshotTable[[#This Row],[LP Premium]])+ (SnapshotTable[[#This Row],[LC Premium]] - SnapshotTable[[#This Row],[SC Premium]])</f>
        <v>0</v>
      </c>
      <c r="GW11" s="137" t="str">
        <f>IF(AND(SnapshotTable[[#This Row],[Exposure]] &lt;&gt; 0),SnapshotTable[[#This Row],[Exposure]] / SnapshotTable[[#Totals],[Exposure]], "")</f>
        <v/>
      </c>
      <c r="HK11" s="1"/>
      <c r="HL11" s="1"/>
      <c r="HM11" s="1"/>
      <c r="HN11" s="1"/>
      <c r="HO11" s="1"/>
      <c r="HP11" s="1"/>
    </row>
    <row r="12" spans="2:224" ht="12.75" hidden="1" customHeight="1" x14ac:dyDescent="0.25">
      <c r="B12" s="12" t="s">
        <v>165</v>
      </c>
      <c r="C12" s="385">
        <v>223.36</v>
      </c>
      <c r="D12" s="200"/>
      <c r="E12" s="39">
        <f>SnapshotTable[[#This Row],[Last Price]]*(1 -CrashDiscount)</f>
        <v>189.85599999999999</v>
      </c>
      <c r="F12" s="26" t="s">
        <v>737</v>
      </c>
      <c r="G12" s="26" t="s">
        <v>493</v>
      </c>
      <c r="H12" s="147"/>
      <c r="I12" s="186">
        <v>44770.284722222219</v>
      </c>
      <c r="J12" s="187">
        <v>44770.284722222219</v>
      </c>
      <c r="K12" s="188"/>
      <c r="L12" s="297"/>
      <c r="M12" s="138"/>
      <c r="N12" s="138"/>
      <c r="O12" s="138"/>
      <c r="P12" s="22"/>
      <c r="Q12" s="25"/>
      <c r="R12" s="4" t="str">
        <f>IF(SnapshotTable[[#This Row],[Equity Basis Total]] &gt; 0, SnapshotTable[[#This Row],[Equity Basis Total]] / SnapshotTable[[#This Row],[Equity Shares]], "")</f>
        <v/>
      </c>
      <c r="S12" s="254">
        <f>SnapshotTable[[#This Row],[Last Price]] * SnapshotTable[[#This Row],[Equity Shares]]</f>
        <v>0</v>
      </c>
      <c r="T12" s="254">
        <f>SnapshotTable[[#This Row],[Equity Value]] - SnapshotTable[[#This Row],[Equity Basis Total]]</f>
        <v>0</v>
      </c>
      <c r="U12" s="255" t="str">
        <f>IF(SnapshotTable[[#This Row],[Equity Basis Total]] &gt; 0, SnapshotTable[[#This Row],[Equity G/L]] / SnapshotTable[[#This Row],[Equity Basis Total]], "")</f>
        <v/>
      </c>
      <c r="V12" s="253"/>
      <c r="W12" s="253"/>
      <c r="X12" s="4" t="str">
        <f>IF(AND(ISNUMBER(SnapshotTable[[#This Row],[Equity Basis Per Share]]),ISNUMBER(SnapshotTable[[#This Row],[Equity Target]])),SnapshotTable[[#This Row],[Equity Target]]-SnapshotTable[[#This Row],[Equity Basis Per Share]],"")</f>
        <v/>
      </c>
      <c r="Y12" s="4" t="str">
        <f>IF(AND(ISNUMBER(SnapshotTable[[#This Row],[Equity Basis Per Share]]),ISNUMBER(SnapshotTable[[#This Row],[Equity Stop Loss]])),SnapshotTable[[#This Row],[Equity Stop Loss]]-SnapshotTable[[#This Row],[Equity Basis Per Share]],"")</f>
        <v/>
      </c>
      <c r="Z12" s="260" t="str">
        <f>IFERROR( TEXT(SnapshotTable[[#This Row],[Equity Max Gain Per Share]] /ABS( SnapshotTable[[#This Row],[Equity Max Loss Per Share]]),"0.0 " ) &amp; " : 1", "")</f>
        <v/>
      </c>
      <c r="AA12" s="31" t="str">
        <f>IF(ISNUMBER(SnapshotTable[[#This Row],[Equity Max Gain Per Share]]),SnapshotTable[[#This Row],[Equity Max Gain Per Share]] * SnapshotTable[[#This Row],[Equity Shares]],"")</f>
        <v/>
      </c>
      <c r="AB12" s="31" t="str">
        <f>IF(ISNUMBER(SnapshotTable[[#This Row],[Equity Max Loss Per Share]]),SnapshotTable[[#This Row],[Equity Max Loss Per Share]] * SnapshotTable[[#This Row],[Equity Shares]],"")</f>
        <v/>
      </c>
      <c r="AC12" s="148">
        <v>2.08</v>
      </c>
      <c r="AD12" s="149">
        <v>42501</v>
      </c>
      <c r="AE12" s="31">
        <f>(SnapshotTable[[#This Row],[Annual Dividend Per Share]] / 4) * SnapshotTable[[#This Row],[Equity Shares]]</f>
        <v>0</v>
      </c>
      <c r="AF12" s="31">
        <f>SnapshotTable[[#This Row],[Quarterly Div $]] * 4</f>
        <v>0</v>
      </c>
      <c r="AG12" s="7">
        <f>IF(SnapshotTable[[#This Row],[Annual Dividend Per Share]]&gt;0, SnapshotTable[[#This Row],[Annual Dividend Per Share]]  / SnapshotTable[[#This Row],[Last Price]], 0)</f>
        <v>9.3123209169054446E-3</v>
      </c>
      <c r="AH12" s="149">
        <v>42492</v>
      </c>
      <c r="AI12" s="5"/>
      <c r="AJ12" s="136">
        <v>260</v>
      </c>
      <c r="AK12" s="150" t="str">
        <f>IF(ISNUMBER( SnapshotTable[[#This Row],[EBF Target]]),(SnapshotTable[[#This Row],[EBF Target]] - SnapshotTable[[#This Row],[Last Price]]) / SnapshotTable[[#This Row],[Last Price]], "")</f>
        <v/>
      </c>
      <c r="AL12" s="150" t="str">
        <f>IF(AND(SnapshotTable[[#This Row],[Equity Basis Total]] &gt; 0,ISNUMBER( SnapshotTable[[#This Row],[Long Term Target]])), SnapshotTable[[#This Row],[From Basis $]] / SnapshotTable[[#This Row],[Equity Basis Total]], "")</f>
        <v/>
      </c>
      <c r="AM12" s="9">
        <f>IF( AND(SnapshotTable[[#This Row],[Equity Shares]] &gt;0,ISNUMBER( SnapshotTable[[#This Row],[Long Term Target]])),(SnapshotTable[[#This Row],[Equity Shares]] * SnapshotTable[[#This Row],[Long Term Target]]) - SnapshotTable[[#This Row],[Equity Basis Total]],0)</f>
        <v>0</v>
      </c>
      <c r="AN12" s="9">
        <f>IF( AND(SnapshotTable[[#This Row],[Equity Shares]] &gt;0,ISNUMBER( SnapshotTable[[#This Row],[Long Term Target]])),(SnapshotTable[[#This Row],[Equity Shares]]*SnapshotTable[[#This Row],[Long Term Target]]) - SnapshotTable[[#This Row],[Equity Value]],0)</f>
        <v>0</v>
      </c>
      <c r="AO12" s="150">
        <f>IF(AND(ISNUMBER( SnapshotTable[[#This Row],[Long Term Target]]), ISNUMBER(SnapshotTable[[#This Row],[Last Price]])),(SnapshotTable[[#This Row],[Long Term Target]] - SnapshotTable[[#This Row],[Last Price]]) / SnapshotTable[[#This Row],[Last Price]], "")</f>
        <v>0.16404011461318044</v>
      </c>
      <c r="AP12" s="5"/>
      <c r="AQ12" s="38"/>
      <c r="AR12" s="5"/>
      <c r="AS12" s="38"/>
      <c r="AT12" s="144"/>
      <c r="AU12" s="185" t="str">
        <f>IF(OR(SnapshotTable[[#This Row],[LP No Fill]]="Y",SnapshotTable[[#This Row],[SP Is Filled]],SnapshotTable[[#This Row],[LC Not Filled]]="Y",SnapshotTable[[#This Row],[SC Is Filled]]),"Y","")</f>
        <v/>
      </c>
      <c r="AV12" s="205"/>
      <c r="AW12" s="211"/>
      <c r="AX12" s="206"/>
      <c r="AY12" s="205" t="str">
        <f>IF(SnapshotTable[[#This Row],[Implied Move]]&gt;0, SnapshotTable[[#This Row],[Last Price]]-SnapshotTable[[#This Row],[Implied Move]],"")</f>
        <v/>
      </c>
      <c r="AZ12" s="205" t="str">
        <f>IF(SnapshotTable[[#This Row],[Implied Move]]&gt;0, SnapshotTable[[#This Row],[Last Price]] + SnapshotTable[[#This Row],[Implied Move]],"")</f>
        <v/>
      </c>
      <c r="BA12" s="302"/>
      <c r="BB12" s="318"/>
      <c r="BC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 s="321"/>
      <c r="BE12" s="5"/>
      <c r="BF12" s="14"/>
      <c r="BG12" s="13"/>
      <c r="BH12" s="13"/>
      <c r="BI12" s="5"/>
      <c r="BJ12" s="134">
        <f>IF(SnapshotTable[[#This Row],[LP Qty]] &gt; 0, SnapshotTable[[#This Row],[LP Qty]] * SnapshotTable[[#This Row],[LP Book Price]] * 100,0)</f>
        <v>0</v>
      </c>
      <c r="BK12" s="134">
        <f>IF(SnapshotTable[[#This Row],[LP Premium]] &gt; 0, SnapshotTable[[#This Row],[LP Qty]] * SnapshotTable[[#This Row],[LP Strike Price]] * 100,0)</f>
        <v>0</v>
      </c>
      <c r="BL12" s="152"/>
      <c r="BM12" s="355" t="str">
        <f>IF(SnapshotTable[[#This Row],[LP Premium]] &gt; 0,SnapshotTable[[#This Row],[LP Exp Date]]-MAX(SnapshotTable[[#This Row],[LP Book Date]], SnapshotTable[[#This Row],[LP Fill Date]]),"")</f>
        <v/>
      </c>
      <c r="BN12" s="355" t="str">
        <f>IF(ISNUMBER( SnapshotTable[[#This Row],[LP Term]]), SnapshotTable[[#This Row],[LP Exp Date]] - MockToday,"")</f>
        <v/>
      </c>
      <c r="BO12" s="161" t="str">
        <f>IF(AND(SnapshotTable[[#This Row],[LP Exp Date]]&gt;0, SnapshotTable[[#This Row],[LP Strike Price]]&gt;0,SnapshotTable[[#This Row],[LP Qty]]&gt;0,SnapshotTable[[#This Row],[LP Book Date]]&gt;0,SnapshotTable[[#This Row],[LP Book Price]]&gt;0,SnapshotTable[[#This Row],[LP Fill Date]]=0),"Y","")</f>
        <v/>
      </c>
      <c r="BP12" s="31" t="str">
        <f>IF(AND(SnapshotTable[[#This Row],[LP No Fill]]&lt;&gt;"Y",SnapshotTable[[#This Row],[LP Contract Value]]&gt;0, SnapshotTable[[#This Row],[LP Qty]]&gt;0), SnapshotTable[[#This Row],[LP Contract Value]]*SnapshotTable[[#This Row],[LP Qty]]*100,"")</f>
        <v/>
      </c>
      <c r="BQ12" s="13"/>
      <c r="BR12" s="5"/>
      <c r="BS12" s="36"/>
      <c r="BT12" s="145"/>
      <c r="BU12" s="13"/>
      <c r="BV12" s="5"/>
      <c r="BW12" s="382" t="b">
        <f>AND(ISNUMBER(SnapshotTable[[#This Row],[SP Exp Date]]), ISNUMBER(SnapshotTable[[#This Row],[SP Strike Price]]), ISNUMBER(SnapshotTable[[#This Row],[SP Qty]]), ISNUMBER(SnapshotTable[[#This Row],[SP Book Date]]), ISNUMBER(SnapshotTable[[#This Row],[SP Book Price]]))</f>
        <v>0</v>
      </c>
      <c r="BX12" s="382" t="b">
        <f>AND(SnapshotTable[[#This Row],[SP Is Booked]], NOT(ISBLANK(SnapshotTable[[#This Row],[SP Fill Date]])))</f>
        <v>0</v>
      </c>
      <c r="BY12" s="33">
        <f>IF(SnapshotTable[[#This Row],[SP Is Booked]], SnapshotTable[[#This Row],[SP Qty]] * SnapshotTable[[#This Row],[SP Book Price]] * 100, 0)</f>
        <v>0</v>
      </c>
      <c r="BZ12" s="339"/>
      <c r="CA12" s="338">
        <f>SnapshotTable[[#This Row],[LP Qty]]</f>
        <v>0</v>
      </c>
      <c r="CB12" s="4" t="str">
        <f>IF(SnapshotTable[[#This Row],[SP Is Booked]], SnapshotTable[[#This Row],[SP Strike Price]] - SnapshotTable[[#This Row],[SP Book Price]], "")</f>
        <v/>
      </c>
      <c r="CC12" s="19" t="str">
        <f>IF(SnapshotTable[[#This Row],[SP Is Booked]],SnapshotTable[[#This Row],[SP Exp Date]]-MAX(SnapshotTable[[#This Row],[SP Book Date]], SnapshotTable[[#This Row],[SP Fill Date]]),"")</f>
        <v/>
      </c>
      <c r="CD12" s="7" t="str">
        <f>IF(SnapshotTable[[#This Row],[SP Is Booked]], SnapshotTable[[#This Row],[SP Book Price]]/SnapshotTable[[#This Row],[SP Strike Price]], "")</f>
        <v/>
      </c>
      <c r="CE12" s="7" t="str">
        <f>IF(ISNUMBER(SnapshotTable[[#This Row],[SP ROO Term]]),SnapshotTable[[#This Row],[SP ROO Term]]*(365/SnapshotTable[[#This Row],[SP Term]]),"")</f>
        <v/>
      </c>
      <c r="CF12" s="221">
        <f>SnapshotTable[[#This Row],[LP Strike Price]] * SnapshotTable[[#This Row],[LP Qty]] * 100</f>
        <v>0</v>
      </c>
      <c r="CG12" s="31">
        <f>IF(ISNUMBER(SnapshotTable[[#This Row],[SP Premium]]), (SnapshotTable[[#This Row],[SP Qty]] * SnapshotTable[[#This Row],[SP Strike Price]]* 100) - SnapshotTable[[#This Row],[LP Protection]], 0)</f>
        <v>0</v>
      </c>
      <c r="CH12" s="7" t="str">
        <f>IF(ISNUMBER(SnapshotTable[[#This Row],[SP Break Even]]),-1 * (SnapshotTable[[#This Row],[SP Break Even]] - SnapshotTable[[#This Row],[Last Price]]) / SnapshotTable[[#This Row],[Last Price]], "")</f>
        <v/>
      </c>
      <c r="CI12" s="31">
        <f>IF(AND(ISNUMBER((SnapshotTable[[#This Row],[SP Potential Spend]])), SnapshotTable[[#This Row],[SP Strike Price]] &gt; SnapshotTable[[#This Row],[Last Price]], SnapshotTable[[#This Row],[SP Is Filled]]), SnapshotTable[[#This Row],[SP Potential Spend]] -  SnapshotTable[[#This Row],[LP Max Value]], 0)</f>
        <v>0</v>
      </c>
      <c r="CJ12" s="229"/>
      <c r="CK12" s="31">
        <f>IF(ISNUMBER(SnapshotTable[[#This Row],[SP Potential Spend]]),IF(ISNUMBER(SnapshotTable[[#This Row],[SP POW]]), SnapshotTable[[#This Row],[SP POW]] * SnapshotTable[[#This Row],[SP Potential Spend]], SnapshotTable[[#This Row],[SP Potential Spend]]), "")</f>
        <v>0</v>
      </c>
      <c r="CL12" s="162">
        <f>IF(NOT(SnapshotTable[[#This Row],[SP Is Filled]]),(SnapshotTable[[#This Row],[SP Qty]] * SnapshotTable[[#This Row],[SP Strike Price]] * 100) - SnapshotTable[[#This Row],[LP Max Value]],"")</f>
        <v>0</v>
      </c>
      <c r="CM12" s="31" t="str">
        <f>IF(SnapshotTable[[#This Row],[SP Actual Spend]]&lt;&gt;0, ((SnapshotTable[[#This Row],[SP Strike Price]]-SnapshotTable[[#This Row],[Last Price]]) *(SnapshotTable[[#This Row],[SP Qty]]*100) - SnapshotTable[[#This Row],[SP Premium]]) * - 1, "")</f>
        <v/>
      </c>
      <c r="CN12" s="76"/>
      <c r="CO12" s="339"/>
      <c r="CP12" s="4" t="str">
        <f>IF(SnapshotTable[[#This Row],[SP Is Filled]], btc_max_buyback_amount(SnapshotTable[[#This Row],[SP Fill Date]],SnapshotTable[[#This Row],[SP Exp Date]], SnapshotTable[[#This Row],[SP Book Price]]),"")</f>
        <v/>
      </c>
      <c r="CQ12" s="76"/>
      <c r="CR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 s="153" t="str">
        <f>IF(SnapshotTable[[#This Row],[SP Is Filled]], btc_next_cutoff_date(SnapshotTable[[#This Row],[SP Fill Date]],SnapshotTable[[#This Row],[SP Exp Date]]),"")</f>
        <v/>
      </c>
      <c r="CT12" s="220" t="str" cm="1">
        <f t="array" ref="CT12">IF(SnapshotTable[[#This Row],[SP Is Filled]], btc_should_buy_back(SnapshotTable[[#This Row],[SP Fill Date]], SnapshotTable[[#This Row],[SP Exp Date]], SnapshotTable[[#This Row],[SP Book Price]], SnapshotTable[[#This Row],[SP Current Ask]], MockToday, SnapshotTable[[#This Row],[SP Buyback Override]]),"")</f>
        <v/>
      </c>
      <c r="CU12" s="141"/>
      <c r="CV12" s="220"/>
      <c r="CW12" s="348" t="str">
        <f>IF(ISNUMBER( SnapshotTable[[#This Row],[SP Term]]), SnapshotTable[[#This Row],[SP Exp Date]] - MockToday,"")</f>
        <v/>
      </c>
      <c r="CX12" s="31" t="str">
        <f>IF(SnapshotTable[[#This Row],[SP Is Filled]],SnapshotTable[[#This Row],[SP Buyback Price to Use]] * 100 * SnapshotTable[[#This Row],[SP Qty]], "")</f>
        <v/>
      </c>
      <c r="CY12" s="4" t="str">
        <f>IF(ISNUMBER(SnapshotTable[[#This Row],[SP Strike Price]]), SnapshotTable[[#This Row],[SP Strike Price]] * (1 - SP_MaxLoss_StrikePct), "")</f>
        <v/>
      </c>
      <c r="CZ12" s="31" t="str">
        <f>IF(ISNUMBER(SnapshotTable[[#This Row],[SP Strike  Stop Per Share]]),SnapshotTable[[#This Row],[SP Premium]] - ((SnapshotTable[[#This Row],[SP Strike Price]]-SnapshotTable[[#This Row],[SP Strike  Stop Per Share]]) *(SnapshotTable[[#This Row],[SP Qty]] * 100)),"")</f>
        <v/>
      </c>
      <c r="DA12" s="4" t="str">
        <f>IF(AND(ISNUMBER(SnapshotTable[[#This Row],[SP Premium]]),SnapshotTable[[#This Row],[SP Premium]]&gt;0), SnapshotTable[[#This Row],[SP Book Price]] * (1 + SP_MaxLoss_OptionPct), "")</f>
        <v/>
      </c>
      <c r="DB12" s="31" t="str">
        <f>IF(ISNUMBER(SnapshotTable[[#This Row],[SP Option  Stop Contract]]),(SnapshotTable[[#This Row],[SP Option  Stop Contract]] *(SnapshotTable[[#This Row],[SP Qty]] * 100) - SnapshotTable[[#This Row],[SP Premium]]),"")</f>
        <v/>
      </c>
      <c r="DC12" s="4"/>
      <c r="DD12" s="4"/>
      <c r="DE12" s="4" t="str">
        <f>IF(AND(SnapshotTable[[#This Row],[SP Qty]]&gt;0, SnapshotTable[[#This Row],[SP Stop To Use]]&gt;0),SnapshotTable[[#This Row],[SP Premium]] - ( SnapshotTable[[#This Row],[SP Qty]] * SnapshotTable[[#This Row],[SP Stop To Use]] * 100), "")</f>
        <v/>
      </c>
      <c r="DF12" s="31" t="str">
        <f>IF(AND(SnapshotTable[[#This Row],[SP Qty]]&gt;0,SnapshotTable[[#This Row],[SP Current Ask]]&gt;0), SnapshotTable[[#This Row],[SP Qty]] * SnapshotTable[[#This Row],[SP Current Ask]] * -100, "")</f>
        <v/>
      </c>
      <c r="DG12" s="31" t="str">
        <f>IF(ISNUMBER((SnapshotTable[[#This Row],[SP Total Value]])), SnapshotTable[[#This Row],[SP Premium]] + SnapshotTable[[#This Row],[SP Total Value]], "")</f>
        <v/>
      </c>
      <c r="DH12" s="272" t="str">
        <f>IF(ISNUMBER((SnapshotTable[[#This Row],[SP Total Value]])), SnapshotTable[[#This Row],[SP Gain Loss]] / SnapshotTable[[#This Row],[SP Premium]], "")</f>
        <v/>
      </c>
      <c r="DI12" s="369"/>
      <c r="DJ12" s="136"/>
      <c r="DK12" s="146"/>
      <c r="DL12" s="13"/>
      <c r="DM12" s="13"/>
      <c r="DO12" s="31">
        <f>IF(SnapshotTable[[#This Row],[LC Symbol Count]]=1, SnapshotTable[[#This Row],[LC Qty]] * SnapshotTable[[#This Row],[LC Book Price]] * 100, 0)</f>
        <v>0</v>
      </c>
      <c r="DP12" s="161" t="str">
        <f>IF(AND(SnapshotTable[[#This Row],[LC Exp Date]]&gt;0, SnapshotTable[[#This Row],[LC Strike Price]]&gt;0,SnapshotTable[[#This Row],[LC Qty]]&gt;0,SnapshotTable[[#This Row],[LC Book Date]]&gt;0,SnapshotTable[[#This Row],[LC Book Price]]&gt;0,SnapshotTable[[#This Row],[LC Fill Date]]=0),"Y","")</f>
        <v/>
      </c>
      <c r="DQ12" s="356" t="str">
        <f>IF(SnapshotTable[[#This Row],[LC Premium]] &gt; 0,SnapshotTable[[#This Row],[LC Exp Date]]-MAX(SnapshotTable[[#This Row],[LC Book Date]], SnapshotTable[[#This Row],[LC Fill Date]]),"")</f>
        <v/>
      </c>
      <c r="DR12" s="356" t="str">
        <f>IF(ISNUMBER(SnapshotTable[[#This Row],[LC Term]]), SnapshotTable[[#This Row],[LC Exp Date]] - MockToday, "")</f>
        <v/>
      </c>
      <c r="DS12" s="219" t="str">
        <f>IF(SnapshotTable[[#This Row],[LC Premium]]&gt;0,SnapshotTable[[#This Row],[LC Strike Price]] + SnapshotTable[[#This Row],[LC Book Price]],"")</f>
        <v/>
      </c>
      <c r="DU12" s="9" t="str">
        <f>IF(AND(SnapshotTable[[#This Row],[LC Symbol Count]]&gt;0, SnapshotTable[[#This Row],[LC Contract Value]]&gt;0), SnapshotTable[[#This Row],[LC Contract Value]] * SnapshotTable[[#This Row],[LC Qty]] * 100, "")</f>
        <v/>
      </c>
      <c r="DV12" s="9" t="str">
        <f>IF(AND(ISNUMBER(SnapshotTable[[#This Row],[LC Total Value]]), SnapshotTable[[#This Row],[LC Not Filled]]&lt;&gt;"Y"), SnapshotTable[[#This Row],[LC Total Value]]-SnapshotTable[[#This Row],[LC Premium]],"")</f>
        <v/>
      </c>
      <c r="DW12" s="225" t="str">
        <f>IF(ISNUMBER(SnapshotTable[[#This Row],[LC Actual Gain Loss]]), SnapshotTable[[#This Row],[LC Actual Gain Loss]] / SnapshotTable[[#This Row],[LC Premium]],"")</f>
        <v/>
      </c>
      <c r="DX12" s="269" t="str">
        <f>IF(ISNUMBER(SnapshotTable[[#This Row],[LC Book Price]]),SnapshotTable[[#This Row],[LC Book Price]] * 1.5,"")</f>
        <v/>
      </c>
      <c r="DY12" s="250" t="str">
        <f>IF(SnapshotTable[[#This Row],[LC Premium]]&gt;0, SnapshotTable[[#This Row],[LC Next Target]] * SnapshotTable[[#This Row],[LC Qty]] * 100,"")</f>
        <v/>
      </c>
      <c r="DZ12" s="250" t="str">
        <f>IF(ISNUMBER(SnapshotTable[[#This Row],[LC Target Gross]]), SnapshotTable[[#This Row],[LC Target Gross]] - SnapshotTable[[#This Row],[LC Premium]], "")</f>
        <v/>
      </c>
      <c r="EA12" s="283" t="str">
        <f>IF(ISNUMBER(SnapshotTable[[#This Row],[LC Target Gain Loss]]), SnapshotTable[[#This Row],[LC Target Gain Loss]]/SnapshotTable[[#This Row],[LC Premium]], "")</f>
        <v/>
      </c>
      <c r="EB12" s="247"/>
      <c r="EC12" s="268" t="str">
        <f>IF(SnapshotTable[[#This Row],[LC Premium]]&gt;0, SnapshotTable[[#This Row],[LC Book Price]] * (1 - LC_StopLoss_Pct),"")</f>
        <v/>
      </c>
      <c r="ED12" s="269"/>
      <c r="EE12" s="268" t="str">
        <f>IF(ISNUMBER(SnapshotTable[[#This Row],[LC Contract Value]]),IF(ISNUMBER(SnapshotTable[[#This Row],[LC Stop Loss Override]]), SnapshotTable[[#This Row],[LC Stop Loss Override]],SnapshotTable[[#This Row],[LC Stop Loss Calc Target]]),"")</f>
        <v/>
      </c>
      <c r="EF12" s="31" t="str">
        <f>IF(ISNUMBER(SnapshotTable[[#This Row],[LC Stop  To Use]]), (SnapshotTable[[#This Row],[LC Stop  To Use]] * SnapshotTable[[#This Row],[LC Qty]] * 100),"")</f>
        <v/>
      </c>
      <c r="EG12" s="9" t="str">
        <f>IF(ISNUMBER(SnapshotTable[[#This Row],[LC Total Value]]),SnapshotTable[[#This Row],[LC Stop Loss Amount]] - SnapshotTable[[#This Row],[LC Premium]],"")</f>
        <v/>
      </c>
      <c r="EH12" s="9">
        <f>IF(ISNUMBER(SnapshotTable[[#This Row],[LC Premium]]), SnapshotTable[[#This Row],[LC Qty]] * 100 * SnapshotTable[[#This Row],[LC Strike Price]], "")</f>
        <v>0</v>
      </c>
      <c r="EI12" s="225" t="str">
        <f>IF(AND(ISNUMBER(SnapshotTable[[#This Row],[LC Total Value]]),SnapshotTable[[#This Row],[LC Total Value]]&gt;0),SnapshotTable[[#This Row],[LC Stop Gain Loss]]  / SnapshotTable[[#This Row],[LC Premium]],"")</f>
        <v/>
      </c>
      <c r="EJ12" s="35">
        <f>IF(ISNUMBER(SnapshotTable[[#This Row],[Equity Shares]]),TRUNC(SnapshotTable[[#This Row],[Equity Shares]] / 100),0) + SnapshotTable[[#This Row],[LC Qty]]</f>
        <v>0</v>
      </c>
      <c r="EK12" s="145"/>
      <c r="EL12" s="136"/>
      <c r="EM12" s="146"/>
      <c r="EN12" s="145"/>
      <c r="EO12" s="145"/>
      <c r="EP12" s="136"/>
      <c r="EQ12" s="382" t="b">
        <f>AND(ISNUMBER(SnapshotTable[[#This Row],[SC Exp Date]]), ISNUMBER(SnapshotTable[[#This Row],[SC Strike Price]]), ISNUMBER(SnapshotTable[[#This Row],[SC Qty]]), ISNUMBER(SnapshotTable[[#This Row],[SC Book Date]]), ISNUMBER(SnapshotTable[[#This Row],[SC Book Price]]))</f>
        <v>0</v>
      </c>
      <c r="ER12" s="382" t="b">
        <f>AND(SnapshotTable[[#This Row],[SC Is Booked]], NOT(ISBLANK(SnapshotTable[[#This Row],[SC Fill Date]])))</f>
        <v>0</v>
      </c>
      <c r="ES12" s="340"/>
      <c r="ET12" s="34" t="str">
        <f>IF(AND(ISNUMBER(SnapshotTable[[#This Row],[SC Exp Date]]), ISNUMBER(SnapshotTable[[#This Row],[SC Book Date]])), SnapshotTable[[#This Row],[SC Exp Date]] - MAX(SnapshotTable[[#This Row],[SC Book Date]], SnapshotTable[[#This Row],[SC Fill Date]]) + 1, "")</f>
        <v/>
      </c>
      <c r="EU12" s="34" t="str">
        <f>IF(ISNUMBER(SnapshotTable[[#This Row],[SC Term]]), SnapshotTable[[#This Row],[SC Exp Date]]- MockToday, "")</f>
        <v/>
      </c>
      <c r="EV12" s="31">
        <f>IF(SnapshotTable[[#This Row],[SC Is Booked]], SnapshotTable[[#This Row],[SC Qty]] * SnapshotTable[[#This Row],[SC Book Price]] * 100, 0)</f>
        <v>0</v>
      </c>
      <c r="EW12" s="4" t="str">
        <f>IF(AND(ISNUMBER(SnapshotTable[[#This Row],[Last Price]]), ISNUMBER( SnapshotTable[[#This Row],[SC Book Price]])), SnapshotTable[[#This Row],[Last Price]] - SnapshotTable[[#This Row],[SC Book Price]],"")</f>
        <v/>
      </c>
      <c r="EX12" s="219" t="str">
        <f>IF(SnapshotTable[[#This Row],[SC Is Booked]],IF(SnapshotTable[[#This Row],[SC Intrinsic Value]] &gt; 0, SnapshotTable[[#This Row],[SC Strike Price]], SnapshotTable[[#This Row],[Last Price]]), "")</f>
        <v/>
      </c>
      <c r="EY12" s="4">
        <f>IF(SnapshotTable[[#This Row],[SC Is Booked]], (MinimumPremiumRequired * SnapshotTable[[#This Row],[SC Basis]] * SnapshotTable[[#This Row],[SC Term]]), 0)</f>
        <v>0</v>
      </c>
      <c r="EZ12" s="268"/>
      <c r="FA12" s="204"/>
      <c r="FB12" s="340"/>
      <c r="FC12" s="4">
        <f>IF(SnapshotTable[[#This Row],[SC Is Filled]], btc_max_buyback_amount(SnapshotTable[[#This Row],[SC Fill Date]],SnapshotTable[[#This Row],[SC Exp Date]], SnapshotTable[[#This Row],[SC Book Price]]),0)</f>
        <v>0</v>
      </c>
      <c r="FD12" s="5"/>
      <c r="FE12" s="142" t="str">
        <f>IF(SnapshotTable[[#This Row],[SC Is Filled]], btc_next_cutoff_date(SnapshotTable[[#This Row],[SC Fill Date]],SnapshotTable[[#This Row],[SC Exp Date]]),"")</f>
        <v/>
      </c>
      <c r="FF12" s="4" t="str" cm="1">
        <f t="array" ref="FF12">IF(SnapshotTable[[#This Row],[SC Is Filled]], btc_should_buy_back(SnapshotTable[[#This Row],[SC Fill Date]], SnapshotTable[[#This Row],[SC Exp Date]], SnapshotTable[[#This Row],[SC Book Price]], SnapshotTable[[#This Row],[SC Current Ask]], MockToday, SnapshotTable[[#This Row],[SC Buyback Override]]),"")</f>
        <v/>
      </c>
      <c r="FG12" s="4">
        <f>IF(SnapshotTable[[#This Row],[SC Is Filled]], MAX(0,SnapshotTable[[#This Row],[Last Price]]  - SnapshotTable[[#This Row],[SC Strike Price]]), 0)</f>
        <v>0</v>
      </c>
      <c r="FH12" s="352">
        <f>IF(SnapshotTable[[#This Row],[SC Is Filled]], IF(ISNUMBER(SnapshotTable[[#This Row],[SC Current Ask]]), SnapshotTable[[#This Row],[SC Current Ask]], SnapshotTable[[#This Row],[SC Book Price]]) - SnapshotTable[[#This Row],[SC Intrinsic Value]], 0)</f>
        <v>0</v>
      </c>
      <c r="FI12" s="141">
        <v>45786</v>
      </c>
      <c r="FJ12" s="32" t="str">
        <f>IF(SnapshotTable[[#This Row],[SC Is Filled]],100 * SnapshotTable[[#This Row],[SC Qty]] * IF(ISNUMBER(SnapshotTable[[#This Row],[SC Buyback Override]]), SnapshotTable[[#This Row],[SC Buyback Override]], SnapshotTable[[#This Row],[SC Current Ask]]), "")</f>
        <v/>
      </c>
      <c r="FK12" s="235" t="str">
        <f>IF(SnapshotTable[[#This Row],[SC Time Val]]&gt;0, SnapshotTable[[#This Row],[SC Time Val]] / SnapshotTable[[#This Row],[Last Price]],"")</f>
        <v/>
      </c>
      <c r="FL12" s="280" t="str">
        <f>IF(SnapshotTable[[#This Row],[SC Is Booked]], ((SnapshotTable[[#This Row],[Last Price]] -SnapshotTable[[#This Row],[SC Strike Price]]) / SnapshotTable[[#This Row],[Last Price]]) * -1, "")</f>
        <v/>
      </c>
      <c r="FM12" s="155" t="str">
        <f>IF(SnapshotTable[[#This Row],[SC Is Booked]],  (SnapshotTable[[#This Row],[SC Qty]] * 100 * SnapshotTable[[#This Row],[SC Strike Price]]) - SnapshotTable[[#This Row],[SC Current Ask]], "")</f>
        <v/>
      </c>
      <c r="FN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 s="31" t="str">
        <f>IF(AND(ISNUMBER(SnapshotTable[[#This Row],[SC Exercise Gross]]), ISNUMBER(SnapshotTable[[#This Row],[Equity Basis Per Share]] )), SnapshotTable[[#This Row],[SC Exercise Gross]] - SnapshotTable[[#This Row],[Equity Basis Total]] +  SnapshotTable[[#This Row],[SC Premium]], "")</f>
        <v/>
      </c>
      <c r="FP12" s="5" t="str">
        <f>IF(ISNUMBER(SnapshotTable[[#This Row],[SC Exercise Gross]]), (SnapshotTable[[#This Row],[SC Exercise Gross]]) / (SnapshotTable[[#This Row],[SC Qty]] * 100), "")</f>
        <v/>
      </c>
      <c r="FQ12" s="27" t="str">
        <f>IF(SnapshotTable[[#This Row],[SC Is Booked]],SnapshotTable[[#This Row],[SC Time Val]] /SnapshotTable[[#This Row],[SC Basis]], "")</f>
        <v/>
      </c>
      <c r="FR12" s="27" t="str" cm="1">
        <f t="array" ref="FR12">IF(AND(ISNUMBER(SnapshotTable[[#This Row],[SC Term]]),ISNUMBER(SnapshotTable[[#This Row],[SC Simple ROO]])), EllmanAnnualize(SnapshotTable[[#This Row],[SC DTE]], SnapshotTable[[#This Row],[SC Simple ROO]] ),"")</f>
        <v/>
      </c>
      <c r="FS12" s="4">
        <f>IF(SnapshotTable[[#This Row],[SC Strike Price]] &gt; SnapshotTable[[#This Row],[Last Price]], SnapshotTable[[#This Row],[SC Strike Price]] - SnapshotTable[[#This Row],[Last Price]],0)</f>
        <v>0</v>
      </c>
      <c r="FT12" s="27" t="str">
        <f>IF(AND(ISNUMBER(SnapshotTable[[#This Row],[SC Upside Potential]]), SnapshotTable[[#This Row],[SC Upside Potential]] &gt; 0),(SnapshotTable[[#This Row],[SC Upside Potential]]/ SnapshotTable[[#This Row],[ACB]]),"")</f>
        <v/>
      </c>
      <c r="FU12" s="304" t="str">
        <f>IF(SnapshotTable[[#This Row],[SC Intrinsic Value]] &gt; 0,SnapshotTable[[#This Row],[SC Intrinsic Value]],"")</f>
        <v/>
      </c>
      <c r="FV12" s="27" t="str">
        <f>IF(AND( ISNUMBER( SnapshotTable[[#This Row],[ACB]]),ISNUMBER(SnapshotTable[[#This Row],[SC Downside Protect]])),SnapshotTable[[#This Row],[SC Downside Protect]] / SnapshotTable[[#This Row],[ACB]],"")</f>
        <v/>
      </c>
      <c r="FW12" s="221" t="str">
        <f>IF(AND(ISNUMBER(SnapshotTable[[#This Row],[SC Simple ROO]]),SnapshotTable[[#This Row],[SC Simple ROO]] &gt; 0), SnapshotTable[[#This Row],[SC Premium]] + (SnapshotTable[[#This Row],[SC Qty]] * SnapshotTable[[#This Row],[SC Upside Potential]]), "")</f>
        <v/>
      </c>
      <c r="FX12" s="280" t="str" cm="1">
        <f t="array" ref="FX12">IF(ISNUMBER(SnapshotTable[[#This Row],[SC Max Dollars]]), annualize(SnapshotTable[[#This Row],[SC Term]],(SnapshotTable[[#This Row],[SC Max Dollars]]/SnapshotTable[[#This Row],[SC Basis]])),"")</f>
        <v/>
      </c>
      <c r="FY12" s="221" t="str">
        <f>IF(AND(SnapshotTable[[#This Row],[SC Qty]]&gt;0,SnapshotTable[[#This Row],[SC Current Ask]]&gt;0), SnapshotTable[[#This Row],[SC Qty]] * SnapshotTable[[#This Row],[SC Current Ask]] * -100, "")</f>
        <v/>
      </c>
      <c r="FZ12" s="31" t="str">
        <f>IF(ISNUMBER((SnapshotTable[[#This Row],[SC Current Value]])), SnapshotTable[[#This Row],[SC Premium]] + SnapshotTable[[#This Row],[SC Current Value]], "")</f>
        <v/>
      </c>
      <c r="GA12" s="272" t="str">
        <f>IFERROR( IF(ISNUMBER((SnapshotTable[[#This Row],[SC Current Value]])), SnapshotTable[[#This Row],[SC Gain Loss]] / SnapshotTable[[#This Row],[SC Premium]], ""), "")</f>
        <v/>
      </c>
      <c r="GB12" s="42">
        <f>SnapshotTable[[#This Row],[Equity Shares]] * SaleSharesToConsiderPercentage</f>
        <v>0</v>
      </c>
      <c r="GC12" s="40">
        <f>SnapshotTable[[#This Row],[Long Term Target]] * SellingPriceToConsiderBasedOnTargetPercentage</f>
        <v>247</v>
      </c>
      <c r="GD12" s="40">
        <f>SnapshotTable[[#This Row],[Last Price]] * (1+ SellingPriceToConsiderBasedOnTargetPercentage)</f>
        <v>435.55200000000002</v>
      </c>
      <c r="GE12" s="41"/>
      <c r="GF12" s="40"/>
      <c r="GG12" s="31">
        <f>SnapshotTable[[#This Row],[Booked Sale Shares]] * SnapshotTable[[#This Row],[Booked Sale Price]]</f>
        <v>0</v>
      </c>
      <c r="GH12" s="31" t="str">
        <f>IF(SnapshotTable[[#This Row],[Equity Basis Total]] &gt; 0, SnapshotTable[[#This Row],[Equity Basis Per Share]] * SnapshotTable[[#This Row],[Booked Sale Shares]], "")</f>
        <v/>
      </c>
      <c r="GI12" s="31">
        <f>IF(SnapshotTable[[#This Row],[Sale Proceeds]]&gt;0, SnapshotTable[[#This Row],[Sale Proceeds]] - SnapshotTable[[#This Row],[Sale Basis]], 0)</f>
        <v>0</v>
      </c>
      <c r="GJ12" s="27" t="str">
        <f>IF(SnapshotTable[[#This Row],[Sale G/L]]&gt;0, SnapshotTable[[#This Row],[Sale G/L]] / SnapshotTable[[#This Row],[Sale Basis]], IF(ISNUMBER(SnapshotTable[[#This Row],[SC Exercise P&amp;L (TAX)]]), SnapshotTable[[#This Row],[SC Exercise P&amp;L (TAX)]] / SnapshotTable[[#This Row],[SC Basis]], ""))</f>
        <v/>
      </c>
      <c r="GK12" s="27" t="s">
        <v>501</v>
      </c>
      <c r="GL12" s="43" t="str">
        <f>IF(AND(SnapshotTable[[#This Row],[LP Exp Date]]&gt;0,SnapshotTable[[#This Row],[LP Strike Price]]&gt;0), [1]!ToOptionSymbol(SnapshotTable[[#This Row],[Symbol]], SnapshotTable[[#This Row],[LP Strike Price]],SnapshotTable[[#This Row],[LP Exp Date]],1), "")</f>
        <v/>
      </c>
      <c r="GM12" s="30" t="str">
        <f>IF(LEN(SnapshotTable[[#This Row],[LP Symbol]])&gt;0, 1, "")</f>
        <v/>
      </c>
      <c r="GN12" s="43" t="str">
        <f>IF(AND(SnapshotTable[[#This Row],[SP Exp Date]]&gt;0,SnapshotTable[[#This Row],[SP Strike Price]]&gt;0), [1]!ToOptionSymbol(SnapshotTable[[#This Row],[Symbol]], SnapshotTable[[#This Row],[SP Strike Price]],SnapshotTable[[#This Row],[SP Exp Date]],1), "")</f>
        <v/>
      </c>
      <c r="GO12" s="30" t="str">
        <f>IF(LEN(SnapshotTable[[#This Row],[SP Symbol]])&gt;0, 1, "")</f>
        <v/>
      </c>
      <c r="GP12" s="43" t="str">
        <f>IF(AND(SnapshotTable[[#This Row],[LC Exp Date]]&gt;0,SnapshotTable[[#This Row],[LC Strike Price]]&gt;0), [1]!ToOptionSymbol(SnapshotTable[[#This Row],[Symbol]], SnapshotTable[[#This Row],[LC Strike Price]],SnapshotTable[[#This Row],[LC Exp Date]],0), "")</f>
        <v/>
      </c>
      <c r="GQ12" s="30" t="str">
        <f>IF(LEN(SnapshotTable[[#This Row],[LC Symbol]])&gt;0, 1, "")</f>
        <v/>
      </c>
      <c r="GR12" s="43" t="str">
        <f>IF(AND(SnapshotTable[[#This Row],[SC Exp Date]]&gt;0,SnapshotTable[[#This Row],[SC Strike Price]]&gt;0), [1]!ToOptionSymbol(SnapshotTable[[#This Row],[Symbol]], SnapshotTable[[#This Row],[SC Strike Price]],SnapshotTable[[#This Row],[SC Exp Date]],0), "")</f>
        <v/>
      </c>
      <c r="GS12" s="30" t="str">
        <f>IF(LEN(SnapshotTable[[#This Row],[SC Symbol]])&gt;0, 1, "")</f>
        <v/>
      </c>
      <c r="GT12" s="29" t="str">
        <f>IF(COUNT(SnapshotTable[[#This Row],[LP Symbol Count]],SnapshotTable[[#This Row],[SP Symbol Count]],SnapshotTable[[#This Row],[LC Symbol Count]],SnapshotTable[[#This Row],[SC Symbol Count]])&gt;0, "Y", "")</f>
        <v/>
      </c>
      <c r="GU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 s="216">
        <f>MAX(SnapshotTable[[#This Row],[Equity Basis Total]],SnapshotTable[[#This Row],[Equity Value]]) + (SnapshotTable[[#This Row],[SP Potential Spend]]- SnapshotTable[[#This Row],[SP Premium]] + SnapshotTable[[#This Row],[LP Premium]])+ (SnapshotTable[[#This Row],[LC Premium]] - SnapshotTable[[#This Row],[SC Premium]])</f>
        <v>0</v>
      </c>
      <c r="GW12" s="137" t="str">
        <f>IF(AND(SnapshotTable[[#This Row],[Exposure]] &lt;&gt; 0),SnapshotTable[[#This Row],[Exposure]] / SnapshotTable[[#Totals],[Exposure]], "")</f>
        <v/>
      </c>
      <c r="HK12" s="1"/>
      <c r="HL12" s="1"/>
      <c r="HM12" s="1"/>
      <c r="HN12" s="1"/>
      <c r="HO12" s="1"/>
      <c r="HP12" s="1"/>
    </row>
    <row r="13" spans="2:224" ht="12.75" hidden="1" customHeight="1" x14ac:dyDescent="0.25">
      <c r="B13" s="12" t="s">
        <v>822</v>
      </c>
      <c r="C13" s="385">
        <v>140.05000000000001</v>
      </c>
      <c r="D13" s="200"/>
      <c r="E13" s="39">
        <f>SnapshotTable[[#This Row],[Last Price]]*(1 -CrashDiscount)</f>
        <v>119.0425</v>
      </c>
      <c r="F13" s="26" t="s">
        <v>494</v>
      </c>
      <c r="G13" s="26" t="s">
        <v>493</v>
      </c>
      <c r="H13" s="147"/>
      <c r="I13" s="186">
        <v>44775.670138888891</v>
      </c>
      <c r="J13" s="187">
        <v>44775.670138888891</v>
      </c>
      <c r="K13" s="188"/>
      <c r="L13" s="297"/>
      <c r="M13" s="138"/>
      <c r="N13" s="138"/>
      <c r="O13" s="138"/>
      <c r="P13" s="22"/>
      <c r="Q13" s="25"/>
      <c r="R13" s="4" t="str">
        <f>IF(SnapshotTable[[#This Row],[Equity Basis Total]] &gt; 0, SnapshotTable[[#This Row],[Equity Basis Total]] / SnapshotTable[[#This Row],[Equity Shares]], "")</f>
        <v/>
      </c>
      <c r="S13" s="254">
        <f>SnapshotTable[[#This Row],[Last Price]] * SnapshotTable[[#This Row],[Equity Shares]]</f>
        <v>0</v>
      </c>
      <c r="T13" s="254">
        <f>SnapshotTable[[#This Row],[Equity Value]] - SnapshotTable[[#This Row],[Equity Basis Total]]</f>
        <v>0</v>
      </c>
      <c r="U13" s="255" t="str">
        <f>IF(SnapshotTable[[#This Row],[Equity Basis Total]] &gt; 0, SnapshotTable[[#This Row],[Equity G/L]] / SnapshotTable[[#This Row],[Equity Basis Total]], "")</f>
        <v/>
      </c>
      <c r="V13" s="253"/>
      <c r="W13" s="253"/>
      <c r="X13" s="4" t="str">
        <f>IF(AND(ISNUMBER(SnapshotTable[[#This Row],[Equity Basis Per Share]]),ISNUMBER(SnapshotTable[[#This Row],[Equity Target]])),SnapshotTable[[#This Row],[Equity Target]]-SnapshotTable[[#This Row],[Equity Basis Per Share]],"")</f>
        <v/>
      </c>
      <c r="Y13" s="4" t="str">
        <f>IF(AND(ISNUMBER(SnapshotTable[[#This Row],[Equity Basis Per Share]]),ISNUMBER(SnapshotTable[[#This Row],[Equity Stop Loss]])),SnapshotTable[[#This Row],[Equity Stop Loss]]-SnapshotTable[[#This Row],[Equity Basis Per Share]],"")</f>
        <v/>
      </c>
      <c r="Z13" s="260" t="str">
        <f>IFERROR( TEXT(SnapshotTable[[#This Row],[Equity Max Gain Per Share]] /ABS( SnapshotTable[[#This Row],[Equity Max Loss Per Share]]),"0.0 " ) &amp; " : 1", "")</f>
        <v/>
      </c>
      <c r="AA13" s="31" t="str">
        <f>IF(ISNUMBER(SnapshotTable[[#This Row],[Equity Max Gain Per Share]]),SnapshotTable[[#This Row],[Equity Max Gain Per Share]] * SnapshotTable[[#This Row],[Equity Shares]],"")</f>
        <v/>
      </c>
      <c r="AB13" s="31" t="str">
        <f>IF(ISNUMBER(SnapshotTable[[#This Row],[Equity Max Loss Per Share]]),SnapshotTable[[#This Row],[Equity Max Loss Per Share]] * SnapshotTable[[#This Row],[Equity Shares]],"")</f>
        <v/>
      </c>
      <c r="AC13" s="148"/>
      <c r="AD13" s="149"/>
      <c r="AE13" s="31">
        <f>(SnapshotTable[[#This Row],[Annual Dividend Per Share]] / 4) * SnapshotTable[[#This Row],[Equity Shares]]</f>
        <v>0</v>
      </c>
      <c r="AF13" s="31">
        <f>SnapshotTable[[#This Row],[Quarterly Div $]] * 4</f>
        <v>0</v>
      </c>
      <c r="AG13" s="7">
        <f>IF(SnapshotTable[[#This Row],[Annual Dividend Per Share]]&gt;0, SnapshotTable[[#This Row],[Annual Dividend Per Share]]  / SnapshotTable[[#This Row],[Last Price]], 0)</f>
        <v>0</v>
      </c>
      <c r="AH13" s="149"/>
      <c r="AI13" s="5"/>
      <c r="AJ13" s="136">
        <v>141.85</v>
      </c>
      <c r="AK13" s="150" t="str">
        <f>IF(ISNUMBER( SnapshotTable[[#This Row],[EBF Target]]),(SnapshotTable[[#This Row],[EBF Target]] - SnapshotTable[[#This Row],[Last Price]]) / SnapshotTable[[#This Row],[Last Price]], "")</f>
        <v/>
      </c>
      <c r="AL13" s="150" t="str">
        <f>IF(AND(SnapshotTable[[#This Row],[Equity Basis Total]] &gt; 0,ISNUMBER( SnapshotTable[[#This Row],[Long Term Target]])), SnapshotTable[[#This Row],[From Basis $]] / SnapshotTable[[#This Row],[Equity Basis Total]], "")</f>
        <v/>
      </c>
      <c r="AM13" s="9">
        <f>IF( AND(SnapshotTable[[#This Row],[Equity Shares]] &gt;0,ISNUMBER( SnapshotTable[[#This Row],[Long Term Target]])),(SnapshotTable[[#This Row],[Equity Shares]] * SnapshotTable[[#This Row],[Long Term Target]]) - SnapshotTable[[#This Row],[Equity Basis Total]],0)</f>
        <v>0</v>
      </c>
      <c r="AN13" s="9">
        <f>IF( AND(SnapshotTable[[#This Row],[Equity Shares]] &gt;0,ISNUMBER( SnapshotTable[[#This Row],[Long Term Target]])),(SnapshotTable[[#This Row],[Equity Shares]]*SnapshotTable[[#This Row],[Long Term Target]]) - SnapshotTable[[#This Row],[Equity Value]],0)</f>
        <v>0</v>
      </c>
      <c r="AO13" s="150">
        <f>IF(AND(ISNUMBER( SnapshotTable[[#This Row],[Long Term Target]]), ISNUMBER(SnapshotTable[[#This Row],[Last Price]])),(SnapshotTable[[#This Row],[Long Term Target]] - SnapshotTable[[#This Row],[Last Price]]) / SnapshotTable[[#This Row],[Last Price]], "")</f>
        <v>1.2852552659764246E-2</v>
      </c>
      <c r="AP13" s="5"/>
      <c r="AQ13" s="38"/>
      <c r="AR13" s="5"/>
      <c r="AS13" s="38"/>
      <c r="AT13" s="144"/>
      <c r="AU13" s="185" t="str">
        <f>IF(OR(SnapshotTable[[#This Row],[LP No Fill]]="Y",SnapshotTable[[#This Row],[SP Is Filled]],SnapshotTable[[#This Row],[LC Not Filled]]="Y",SnapshotTable[[#This Row],[SC Is Filled]]),"Y","")</f>
        <v/>
      </c>
      <c r="AV13" s="205"/>
      <c r="AW13" s="211"/>
      <c r="AX13" s="206"/>
      <c r="AY13" s="205" t="str">
        <f>IF(SnapshotTable[[#This Row],[Implied Move]]&gt;0, SnapshotTable[[#This Row],[Last Price]]-SnapshotTable[[#This Row],[Implied Move]],"")</f>
        <v/>
      </c>
      <c r="AZ13" s="205" t="str">
        <f>IF(SnapshotTable[[#This Row],[Implied Move]]&gt;0, SnapshotTable[[#This Row],[Last Price]] + SnapshotTable[[#This Row],[Implied Move]],"")</f>
        <v/>
      </c>
      <c r="BA13" s="302"/>
      <c r="BB13" s="318"/>
      <c r="BC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 s="321"/>
      <c r="BE13" s="5"/>
      <c r="BF13" s="14"/>
      <c r="BG13" s="13"/>
      <c r="BH13" s="13"/>
      <c r="BI13" s="5"/>
      <c r="BJ13" s="134">
        <f>IF(SnapshotTable[[#This Row],[LP Qty]] &gt; 0, SnapshotTable[[#This Row],[LP Qty]] * SnapshotTable[[#This Row],[LP Book Price]] * 100,0)</f>
        <v>0</v>
      </c>
      <c r="BK13" s="134">
        <f>IF(SnapshotTable[[#This Row],[LP Premium]] &gt; 0, SnapshotTable[[#This Row],[LP Qty]] * SnapshotTable[[#This Row],[LP Strike Price]] * 100,0)</f>
        <v>0</v>
      </c>
      <c r="BL13" s="152"/>
      <c r="BM13" s="355" t="str">
        <f>IF(SnapshotTable[[#This Row],[LP Premium]] &gt; 0,SnapshotTable[[#This Row],[LP Exp Date]]-MAX(SnapshotTable[[#This Row],[LP Book Date]], SnapshotTable[[#This Row],[LP Fill Date]]),"")</f>
        <v/>
      </c>
      <c r="BN13" s="355" t="str">
        <f>IF(ISNUMBER( SnapshotTable[[#This Row],[LP Term]]), SnapshotTable[[#This Row],[LP Exp Date]] - MockToday,"")</f>
        <v/>
      </c>
      <c r="BO13" s="161" t="str">
        <f>IF(AND(SnapshotTable[[#This Row],[LP Exp Date]]&gt;0, SnapshotTable[[#This Row],[LP Strike Price]]&gt;0,SnapshotTable[[#This Row],[LP Qty]]&gt;0,SnapshotTable[[#This Row],[LP Book Date]]&gt;0,SnapshotTable[[#This Row],[LP Book Price]]&gt;0,SnapshotTable[[#This Row],[LP Fill Date]]=0),"Y","")</f>
        <v/>
      </c>
      <c r="BP13" s="31" t="str">
        <f>IF(AND(SnapshotTable[[#This Row],[LP No Fill]]&lt;&gt;"Y",SnapshotTable[[#This Row],[LP Contract Value]]&gt;0, SnapshotTable[[#This Row],[LP Qty]]&gt;0), SnapshotTable[[#This Row],[LP Contract Value]]*SnapshotTable[[#This Row],[LP Qty]]*100,"")</f>
        <v/>
      </c>
      <c r="BQ13" s="13"/>
      <c r="BR13" s="5"/>
      <c r="BS13" s="36"/>
      <c r="BT13" s="145"/>
      <c r="BU13" s="13"/>
      <c r="BV13" s="5"/>
      <c r="BW13" s="382" t="b">
        <f>AND(ISNUMBER(SnapshotTable[[#This Row],[SP Exp Date]]), ISNUMBER(SnapshotTable[[#This Row],[SP Strike Price]]), ISNUMBER(SnapshotTable[[#This Row],[SP Qty]]), ISNUMBER(SnapshotTable[[#This Row],[SP Book Date]]), ISNUMBER(SnapshotTable[[#This Row],[SP Book Price]]))</f>
        <v>0</v>
      </c>
      <c r="BX13" s="382" t="b">
        <f>AND(SnapshotTable[[#This Row],[SP Is Booked]], NOT(ISBLANK(SnapshotTable[[#This Row],[SP Fill Date]])))</f>
        <v>0</v>
      </c>
      <c r="BY13" s="33">
        <f>IF(SnapshotTable[[#This Row],[SP Is Booked]], SnapshotTable[[#This Row],[SP Qty]] * SnapshotTable[[#This Row],[SP Book Price]] * 100, 0)</f>
        <v>0</v>
      </c>
      <c r="BZ13" s="339"/>
      <c r="CA13" s="338">
        <f>SnapshotTable[[#This Row],[LP Qty]]</f>
        <v>0</v>
      </c>
      <c r="CB13" s="4" t="str">
        <f>IF(SnapshotTable[[#This Row],[SP Is Booked]], SnapshotTable[[#This Row],[SP Strike Price]] - SnapshotTable[[#This Row],[SP Book Price]], "")</f>
        <v/>
      </c>
      <c r="CC13" s="19" t="str">
        <f>IF(SnapshotTable[[#This Row],[SP Is Booked]],SnapshotTable[[#This Row],[SP Exp Date]]-MAX(SnapshotTable[[#This Row],[SP Book Date]], SnapshotTable[[#This Row],[SP Fill Date]]),"")</f>
        <v/>
      </c>
      <c r="CD13" s="7" t="str">
        <f>IF(SnapshotTable[[#This Row],[SP Is Booked]], SnapshotTable[[#This Row],[SP Book Price]]/SnapshotTable[[#This Row],[SP Strike Price]], "")</f>
        <v/>
      </c>
      <c r="CE13" s="7" t="str">
        <f>IF(ISNUMBER(SnapshotTable[[#This Row],[SP ROO Term]]),SnapshotTable[[#This Row],[SP ROO Term]]*(365/SnapshotTable[[#This Row],[SP Term]]),"")</f>
        <v/>
      </c>
      <c r="CF13" s="221">
        <f>SnapshotTable[[#This Row],[LP Strike Price]] * SnapshotTable[[#This Row],[LP Qty]] * 100</f>
        <v>0</v>
      </c>
      <c r="CG13" s="31">
        <f>IF(ISNUMBER(SnapshotTable[[#This Row],[SP Premium]]), (SnapshotTable[[#This Row],[SP Qty]] * SnapshotTable[[#This Row],[SP Strike Price]]* 100) - SnapshotTable[[#This Row],[LP Protection]], 0)</f>
        <v>0</v>
      </c>
      <c r="CH13" s="7" t="str">
        <f>IF(ISNUMBER(SnapshotTable[[#This Row],[SP Break Even]]),-1 * (SnapshotTable[[#This Row],[SP Break Even]] - SnapshotTable[[#This Row],[Last Price]]) / SnapshotTable[[#This Row],[Last Price]], "")</f>
        <v/>
      </c>
      <c r="CI13" s="31">
        <f>IF(AND(ISNUMBER((SnapshotTable[[#This Row],[SP Potential Spend]])), SnapshotTable[[#This Row],[SP Strike Price]] &gt; SnapshotTable[[#This Row],[Last Price]], SnapshotTable[[#This Row],[SP Is Filled]]), SnapshotTable[[#This Row],[SP Potential Spend]] -  SnapshotTable[[#This Row],[LP Max Value]], 0)</f>
        <v>0</v>
      </c>
      <c r="CJ13" s="229"/>
      <c r="CK13" s="31">
        <f>IF(ISNUMBER(SnapshotTable[[#This Row],[SP Potential Spend]]),IF(ISNUMBER(SnapshotTable[[#This Row],[SP POW]]), SnapshotTable[[#This Row],[SP POW]] * SnapshotTable[[#This Row],[SP Potential Spend]], SnapshotTable[[#This Row],[SP Potential Spend]]), "")</f>
        <v>0</v>
      </c>
      <c r="CL13" s="162">
        <f>IF(NOT(SnapshotTable[[#This Row],[SP Is Filled]]),(SnapshotTable[[#This Row],[SP Qty]] * SnapshotTable[[#This Row],[SP Strike Price]] * 100) - SnapshotTable[[#This Row],[LP Max Value]],"")</f>
        <v>0</v>
      </c>
      <c r="CM13" s="31" t="str">
        <f>IF(SnapshotTable[[#This Row],[SP Actual Spend]]&lt;&gt;0, ((SnapshotTable[[#This Row],[SP Strike Price]]-SnapshotTable[[#This Row],[Last Price]]) *(SnapshotTable[[#This Row],[SP Qty]]*100) - SnapshotTable[[#This Row],[SP Premium]]) * - 1, "")</f>
        <v/>
      </c>
      <c r="CN13" s="76"/>
      <c r="CO13" s="339"/>
      <c r="CP13" s="4" t="str">
        <f>IF(SnapshotTable[[#This Row],[SP Is Filled]], btc_max_buyback_amount(SnapshotTable[[#This Row],[SP Fill Date]],SnapshotTable[[#This Row],[SP Exp Date]], SnapshotTable[[#This Row],[SP Book Price]]),"")</f>
        <v/>
      </c>
      <c r="CQ13" s="76"/>
      <c r="CR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 s="153" t="str">
        <f>IF(SnapshotTable[[#This Row],[SP Is Filled]], btc_next_cutoff_date(SnapshotTable[[#This Row],[SP Fill Date]],SnapshotTable[[#This Row],[SP Exp Date]]),"")</f>
        <v/>
      </c>
      <c r="CT13" s="220" t="str" cm="1">
        <f t="array" ref="CT13">IF(SnapshotTable[[#This Row],[SP Is Filled]], btc_should_buy_back(SnapshotTable[[#This Row],[SP Fill Date]], SnapshotTable[[#This Row],[SP Exp Date]], SnapshotTable[[#This Row],[SP Book Price]], SnapshotTable[[#This Row],[SP Current Ask]], MockToday, SnapshotTable[[#This Row],[SP Buyback Override]]),"")</f>
        <v/>
      </c>
      <c r="CU13" s="141"/>
      <c r="CV13" s="220"/>
      <c r="CW13" s="348" t="str">
        <f>IF(ISNUMBER( SnapshotTable[[#This Row],[SP Term]]), SnapshotTable[[#This Row],[SP Exp Date]] - MockToday,"")</f>
        <v/>
      </c>
      <c r="CX13" s="31" t="str">
        <f>IF(SnapshotTable[[#This Row],[SP Is Filled]],SnapshotTable[[#This Row],[SP Buyback Price to Use]] * 100 * SnapshotTable[[#This Row],[SP Qty]], "")</f>
        <v/>
      </c>
      <c r="CY13" s="4" t="str">
        <f>IF(ISNUMBER(SnapshotTable[[#This Row],[SP Strike Price]]), SnapshotTable[[#This Row],[SP Strike Price]] * (1 - SP_MaxLoss_StrikePct), "")</f>
        <v/>
      </c>
      <c r="CZ13" s="31" t="str">
        <f>IF(ISNUMBER(SnapshotTable[[#This Row],[SP Strike  Stop Per Share]]),SnapshotTable[[#This Row],[SP Premium]] - ((SnapshotTable[[#This Row],[SP Strike Price]]-SnapshotTable[[#This Row],[SP Strike  Stop Per Share]]) *(SnapshotTable[[#This Row],[SP Qty]] * 100)),"")</f>
        <v/>
      </c>
      <c r="DA13" s="4" t="str">
        <f>IF(AND(ISNUMBER(SnapshotTable[[#This Row],[SP Premium]]),SnapshotTable[[#This Row],[SP Premium]]&gt;0), SnapshotTable[[#This Row],[SP Book Price]] * (1 + SP_MaxLoss_OptionPct), "")</f>
        <v/>
      </c>
      <c r="DB13" s="31" t="str">
        <f>IF(ISNUMBER(SnapshotTable[[#This Row],[SP Option  Stop Contract]]),(SnapshotTable[[#This Row],[SP Option  Stop Contract]] *(SnapshotTable[[#This Row],[SP Qty]] * 100) - SnapshotTable[[#This Row],[SP Premium]]),"")</f>
        <v/>
      </c>
      <c r="DC13" s="4"/>
      <c r="DD13" s="4"/>
      <c r="DE13" s="4" t="str">
        <f>IF(AND(SnapshotTable[[#This Row],[SP Qty]]&gt;0, SnapshotTable[[#This Row],[SP Stop To Use]]&gt;0),SnapshotTable[[#This Row],[SP Premium]] - ( SnapshotTable[[#This Row],[SP Qty]] * SnapshotTable[[#This Row],[SP Stop To Use]] * 100), "")</f>
        <v/>
      </c>
      <c r="DF13" s="31" t="str">
        <f>IF(AND(SnapshotTable[[#This Row],[SP Qty]]&gt;0,SnapshotTable[[#This Row],[SP Current Ask]]&gt;0), SnapshotTable[[#This Row],[SP Qty]] * SnapshotTable[[#This Row],[SP Current Ask]] * -100, "")</f>
        <v/>
      </c>
      <c r="DG13" s="31" t="str">
        <f>IF(ISNUMBER((SnapshotTable[[#This Row],[SP Total Value]])), SnapshotTable[[#This Row],[SP Premium]] + SnapshotTable[[#This Row],[SP Total Value]], "")</f>
        <v/>
      </c>
      <c r="DH13" s="272" t="str">
        <f>IF(ISNUMBER((SnapshotTable[[#This Row],[SP Total Value]])), SnapshotTable[[#This Row],[SP Gain Loss]] / SnapshotTable[[#This Row],[SP Premium]], "")</f>
        <v/>
      </c>
      <c r="DI13" s="369"/>
      <c r="DJ13" s="136"/>
      <c r="DK13" s="146"/>
      <c r="DL13" s="13"/>
      <c r="DM13" s="13"/>
      <c r="DO13" s="31">
        <f>IF(SnapshotTable[[#This Row],[LC Symbol Count]]=1, SnapshotTable[[#This Row],[LC Qty]] * SnapshotTable[[#This Row],[LC Book Price]] * 100, 0)</f>
        <v>0</v>
      </c>
      <c r="DP13" s="161" t="str">
        <f>IF(AND(SnapshotTable[[#This Row],[LC Exp Date]]&gt;0, SnapshotTable[[#This Row],[LC Strike Price]]&gt;0,SnapshotTable[[#This Row],[LC Qty]]&gt;0,SnapshotTable[[#This Row],[LC Book Date]]&gt;0,SnapshotTable[[#This Row],[LC Book Price]]&gt;0,SnapshotTable[[#This Row],[LC Fill Date]]=0),"Y","")</f>
        <v/>
      </c>
      <c r="DQ13" s="356" t="str">
        <f>IF(SnapshotTable[[#This Row],[LC Premium]] &gt; 0,SnapshotTable[[#This Row],[LC Exp Date]]-MAX(SnapshotTable[[#This Row],[LC Book Date]], SnapshotTable[[#This Row],[LC Fill Date]]),"")</f>
        <v/>
      </c>
      <c r="DR13" s="356" t="str">
        <f>IF(ISNUMBER(SnapshotTable[[#This Row],[LC Term]]), SnapshotTable[[#This Row],[LC Exp Date]] - MockToday, "")</f>
        <v/>
      </c>
      <c r="DS13" s="219" t="str">
        <f>IF(SnapshotTable[[#This Row],[LC Premium]]&gt;0,SnapshotTable[[#This Row],[LC Strike Price]] + SnapshotTable[[#This Row],[LC Book Price]],"")</f>
        <v/>
      </c>
      <c r="DU13" s="9" t="str">
        <f>IF(AND(SnapshotTable[[#This Row],[LC Symbol Count]]&gt;0, SnapshotTable[[#This Row],[LC Contract Value]]&gt;0), SnapshotTable[[#This Row],[LC Contract Value]] * SnapshotTable[[#This Row],[LC Qty]] * 100, "")</f>
        <v/>
      </c>
      <c r="DV13" s="9" t="str">
        <f>IF(AND(ISNUMBER(SnapshotTable[[#This Row],[LC Total Value]]), SnapshotTable[[#This Row],[LC Not Filled]]&lt;&gt;"Y"), SnapshotTable[[#This Row],[LC Total Value]]-SnapshotTable[[#This Row],[LC Premium]],"")</f>
        <v/>
      </c>
      <c r="DW13" s="225" t="str">
        <f>IF(ISNUMBER(SnapshotTable[[#This Row],[LC Actual Gain Loss]]), SnapshotTable[[#This Row],[LC Actual Gain Loss]] / SnapshotTable[[#This Row],[LC Premium]],"")</f>
        <v/>
      </c>
      <c r="DX13" s="269" t="str">
        <f>IF(ISNUMBER(SnapshotTable[[#This Row],[LC Book Price]]),SnapshotTable[[#This Row],[LC Book Price]] * 1.5,"")</f>
        <v/>
      </c>
      <c r="DY13" s="250" t="str">
        <f>IF(SnapshotTable[[#This Row],[LC Premium]]&gt;0, SnapshotTable[[#This Row],[LC Next Target]] * SnapshotTable[[#This Row],[LC Qty]] * 100,"")</f>
        <v/>
      </c>
      <c r="DZ13" s="250" t="str">
        <f>IF(ISNUMBER(SnapshotTable[[#This Row],[LC Target Gross]]), SnapshotTable[[#This Row],[LC Target Gross]] - SnapshotTable[[#This Row],[LC Premium]], "")</f>
        <v/>
      </c>
      <c r="EA13" s="283" t="str">
        <f>IF(ISNUMBER(SnapshotTable[[#This Row],[LC Target Gain Loss]]), SnapshotTable[[#This Row],[LC Target Gain Loss]]/SnapshotTable[[#This Row],[LC Premium]], "")</f>
        <v/>
      </c>
      <c r="EB13" s="247"/>
      <c r="EC13" s="268" t="str">
        <f>IF(SnapshotTable[[#This Row],[LC Premium]]&gt;0, SnapshotTable[[#This Row],[LC Book Price]] * (1 - LC_StopLoss_Pct),"")</f>
        <v/>
      </c>
      <c r="ED13" s="269"/>
      <c r="EE13" s="268" t="str">
        <f>IF(ISNUMBER(SnapshotTable[[#This Row],[LC Contract Value]]),IF(ISNUMBER(SnapshotTable[[#This Row],[LC Stop Loss Override]]), SnapshotTable[[#This Row],[LC Stop Loss Override]],SnapshotTable[[#This Row],[LC Stop Loss Calc Target]]),"")</f>
        <v/>
      </c>
      <c r="EF13" s="31" t="str">
        <f>IF(ISNUMBER(SnapshotTable[[#This Row],[LC Stop  To Use]]), (SnapshotTable[[#This Row],[LC Stop  To Use]] * SnapshotTable[[#This Row],[LC Qty]] * 100),"")</f>
        <v/>
      </c>
      <c r="EG13" s="9" t="str">
        <f>IF(ISNUMBER(SnapshotTable[[#This Row],[LC Total Value]]),SnapshotTable[[#This Row],[LC Stop Loss Amount]] - SnapshotTable[[#This Row],[LC Premium]],"")</f>
        <v/>
      </c>
      <c r="EH13" s="9">
        <f>IF(ISNUMBER(SnapshotTable[[#This Row],[LC Premium]]), SnapshotTable[[#This Row],[LC Qty]] * 100 * SnapshotTable[[#This Row],[LC Strike Price]], "")</f>
        <v>0</v>
      </c>
      <c r="EI13" s="225" t="str">
        <f>IF(AND(ISNUMBER(SnapshotTable[[#This Row],[LC Total Value]]),SnapshotTable[[#This Row],[LC Total Value]]&gt;0),SnapshotTable[[#This Row],[LC Stop Gain Loss]]  / SnapshotTable[[#This Row],[LC Premium]],"")</f>
        <v/>
      </c>
      <c r="EJ13" s="35">
        <f>IF(ISNUMBER(SnapshotTable[[#This Row],[Equity Shares]]),TRUNC(SnapshotTable[[#This Row],[Equity Shares]] / 100),0) + SnapshotTable[[#This Row],[LC Qty]]</f>
        <v>0</v>
      </c>
      <c r="EK13" s="145"/>
      <c r="EL13" s="136"/>
      <c r="EM13" s="146"/>
      <c r="EN13" s="145"/>
      <c r="EO13" s="145"/>
      <c r="EP13" s="136"/>
      <c r="EQ13" s="382" t="b">
        <f>AND(ISNUMBER(SnapshotTable[[#This Row],[SC Exp Date]]), ISNUMBER(SnapshotTable[[#This Row],[SC Strike Price]]), ISNUMBER(SnapshotTable[[#This Row],[SC Qty]]), ISNUMBER(SnapshotTable[[#This Row],[SC Book Date]]), ISNUMBER(SnapshotTable[[#This Row],[SC Book Price]]))</f>
        <v>0</v>
      </c>
      <c r="ER13" s="382" t="b">
        <f>AND(SnapshotTable[[#This Row],[SC Is Booked]], NOT(ISBLANK(SnapshotTable[[#This Row],[SC Fill Date]])))</f>
        <v>0</v>
      </c>
      <c r="ES13" s="340"/>
      <c r="ET13" s="34" t="str">
        <f>IF(AND(ISNUMBER(SnapshotTable[[#This Row],[SC Exp Date]]), ISNUMBER(SnapshotTable[[#This Row],[SC Book Date]])), SnapshotTable[[#This Row],[SC Exp Date]] - MAX(SnapshotTable[[#This Row],[SC Book Date]], SnapshotTable[[#This Row],[SC Fill Date]]) + 1, "")</f>
        <v/>
      </c>
      <c r="EU13" s="34" t="str">
        <f>IF(ISNUMBER(SnapshotTable[[#This Row],[SC Term]]), SnapshotTable[[#This Row],[SC Exp Date]]- MockToday, "")</f>
        <v/>
      </c>
      <c r="EV13" s="31">
        <f>IF(SnapshotTable[[#This Row],[SC Is Booked]], SnapshotTable[[#This Row],[SC Qty]] * SnapshotTable[[#This Row],[SC Book Price]] * 100, 0)</f>
        <v>0</v>
      </c>
      <c r="EW13" s="4" t="str">
        <f>IF(AND(ISNUMBER(SnapshotTable[[#This Row],[Last Price]]), ISNUMBER( SnapshotTable[[#This Row],[SC Book Price]])), SnapshotTable[[#This Row],[Last Price]] - SnapshotTable[[#This Row],[SC Book Price]],"")</f>
        <v/>
      </c>
      <c r="EX13" s="219" t="str">
        <f>IF(SnapshotTable[[#This Row],[SC Is Booked]],IF(SnapshotTable[[#This Row],[SC Intrinsic Value]] &gt; 0, SnapshotTable[[#This Row],[SC Strike Price]], SnapshotTable[[#This Row],[Last Price]]), "")</f>
        <v/>
      </c>
      <c r="EY13" s="4">
        <f>IF(SnapshotTable[[#This Row],[SC Is Booked]], (MinimumPremiumRequired * SnapshotTable[[#This Row],[SC Basis]] * SnapshotTable[[#This Row],[SC Term]]), 0)</f>
        <v>0</v>
      </c>
      <c r="EZ13" s="268"/>
      <c r="FA13" s="204"/>
      <c r="FB13" s="340"/>
      <c r="FC13" s="4">
        <f>IF(SnapshotTable[[#This Row],[SC Is Filled]], btc_max_buyback_amount(SnapshotTable[[#This Row],[SC Fill Date]],SnapshotTable[[#This Row],[SC Exp Date]], SnapshotTable[[#This Row],[SC Book Price]]),0)</f>
        <v>0</v>
      </c>
      <c r="FD13" s="5"/>
      <c r="FE13" s="142" t="str">
        <f>IF(SnapshotTable[[#This Row],[SC Is Filled]], btc_next_cutoff_date(SnapshotTable[[#This Row],[SC Fill Date]],SnapshotTable[[#This Row],[SC Exp Date]]),"")</f>
        <v/>
      </c>
      <c r="FF13" s="4" t="str" cm="1">
        <f t="array" ref="FF13">IF(SnapshotTable[[#This Row],[SC Is Filled]], btc_should_buy_back(SnapshotTable[[#This Row],[SC Fill Date]], SnapshotTable[[#This Row],[SC Exp Date]], SnapshotTable[[#This Row],[SC Book Price]], SnapshotTable[[#This Row],[SC Current Ask]], MockToday, SnapshotTable[[#This Row],[SC Buyback Override]]),"")</f>
        <v/>
      </c>
      <c r="FG13" s="4">
        <f>IF(SnapshotTable[[#This Row],[SC Is Filled]], MAX(0,SnapshotTable[[#This Row],[Last Price]]  - SnapshotTable[[#This Row],[SC Strike Price]]), 0)</f>
        <v>0</v>
      </c>
      <c r="FH13" s="352">
        <f>IF(SnapshotTable[[#This Row],[SC Is Filled]], IF(ISNUMBER(SnapshotTable[[#This Row],[SC Current Ask]]), SnapshotTable[[#This Row],[SC Current Ask]], SnapshotTable[[#This Row],[SC Book Price]]) - SnapshotTable[[#This Row],[SC Intrinsic Value]], 0)</f>
        <v>0</v>
      </c>
      <c r="FI13" s="141">
        <v>45786</v>
      </c>
      <c r="FJ13" s="32" t="str">
        <f>IF(SnapshotTable[[#This Row],[SC Is Filled]],100 * SnapshotTable[[#This Row],[SC Qty]] * IF(ISNUMBER(SnapshotTable[[#This Row],[SC Buyback Override]]), SnapshotTable[[#This Row],[SC Buyback Override]], SnapshotTable[[#This Row],[SC Current Ask]]), "")</f>
        <v/>
      </c>
      <c r="FK13" s="235" t="str">
        <f>IF(SnapshotTable[[#This Row],[SC Time Val]]&gt;0, SnapshotTable[[#This Row],[SC Time Val]] / SnapshotTable[[#This Row],[Last Price]],"")</f>
        <v/>
      </c>
      <c r="FL13" s="280" t="str">
        <f>IF(SnapshotTable[[#This Row],[SC Is Booked]], ((SnapshotTable[[#This Row],[Last Price]] -SnapshotTable[[#This Row],[SC Strike Price]]) / SnapshotTable[[#This Row],[Last Price]]) * -1, "")</f>
        <v/>
      </c>
      <c r="FM13" s="155" t="str">
        <f>IF(SnapshotTable[[#This Row],[SC Is Booked]],  (SnapshotTable[[#This Row],[SC Qty]] * 100 * SnapshotTable[[#This Row],[SC Strike Price]]) - SnapshotTable[[#This Row],[SC Current Ask]], "")</f>
        <v/>
      </c>
      <c r="FN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 s="31" t="str">
        <f>IF(AND(ISNUMBER(SnapshotTable[[#This Row],[SC Exercise Gross]]), ISNUMBER(SnapshotTable[[#This Row],[Equity Basis Per Share]] )), SnapshotTable[[#This Row],[SC Exercise Gross]] - SnapshotTable[[#This Row],[Equity Basis Total]] +  SnapshotTable[[#This Row],[SC Premium]], "")</f>
        <v/>
      </c>
      <c r="FP13" s="5" t="str">
        <f>IF(ISNUMBER(SnapshotTable[[#This Row],[SC Exercise Gross]]), (SnapshotTable[[#This Row],[SC Exercise Gross]]) / (SnapshotTable[[#This Row],[SC Qty]] * 100), "")</f>
        <v/>
      </c>
      <c r="FQ13" s="27" t="str">
        <f>IF(SnapshotTable[[#This Row],[SC Is Booked]],SnapshotTable[[#This Row],[SC Time Val]] /SnapshotTable[[#This Row],[SC Basis]], "")</f>
        <v/>
      </c>
      <c r="FR13" s="27" t="str" cm="1">
        <f t="array" ref="FR13">IF(AND(ISNUMBER(SnapshotTable[[#This Row],[SC Term]]),ISNUMBER(SnapshotTable[[#This Row],[SC Simple ROO]])), EllmanAnnualize(SnapshotTable[[#This Row],[SC DTE]], SnapshotTable[[#This Row],[SC Simple ROO]] ),"")</f>
        <v/>
      </c>
      <c r="FS13" s="4">
        <f>IF(SnapshotTable[[#This Row],[SC Strike Price]] &gt; SnapshotTable[[#This Row],[Last Price]], SnapshotTable[[#This Row],[SC Strike Price]] - SnapshotTable[[#This Row],[Last Price]],0)</f>
        <v>0</v>
      </c>
      <c r="FT13" s="27" t="str">
        <f>IF(AND(ISNUMBER(SnapshotTable[[#This Row],[SC Upside Potential]]), SnapshotTable[[#This Row],[SC Upside Potential]] &gt; 0),(SnapshotTable[[#This Row],[SC Upside Potential]]/ SnapshotTable[[#This Row],[ACB]]),"")</f>
        <v/>
      </c>
      <c r="FU13" s="304" t="str">
        <f>IF(SnapshotTable[[#This Row],[SC Intrinsic Value]] &gt; 0,SnapshotTable[[#This Row],[SC Intrinsic Value]],"")</f>
        <v/>
      </c>
      <c r="FV13" s="27" t="str">
        <f>IF(AND( ISNUMBER( SnapshotTable[[#This Row],[ACB]]),ISNUMBER(SnapshotTable[[#This Row],[SC Downside Protect]])),SnapshotTable[[#This Row],[SC Downside Protect]] / SnapshotTable[[#This Row],[ACB]],"")</f>
        <v/>
      </c>
      <c r="FW13" s="221" t="str">
        <f>IF(AND(ISNUMBER(SnapshotTable[[#This Row],[SC Simple ROO]]),SnapshotTable[[#This Row],[SC Simple ROO]] &gt; 0), SnapshotTable[[#This Row],[SC Premium]] + (SnapshotTable[[#This Row],[SC Qty]] * SnapshotTable[[#This Row],[SC Upside Potential]]), "")</f>
        <v/>
      </c>
      <c r="FX13" s="280" t="str" cm="1">
        <f t="array" ref="FX13">IF(ISNUMBER(SnapshotTable[[#This Row],[SC Max Dollars]]), annualize(SnapshotTable[[#This Row],[SC Term]],(SnapshotTable[[#This Row],[SC Max Dollars]]/SnapshotTable[[#This Row],[SC Basis]])),"")</f>
        <v/>
      </c>
      <c r="FY13" s="221" t="str">
        <f>IF(AND(SnapshotTable[[#This Row],[SC Qty]]&gt;0,SnapshotTable[[#This Row],[SC Current Ask]]&gt;0), SnapshotTable[[#This Row],[SC Qty]] * SnapshotTable[[#This Row],[SC Current Ask]] * -100, "")</f>
        <v/>
      </c>
      <c r="FZ13" s="31" t="str">
        <f>IF(ISNUMBER((SnapshotTable[[#This Row],[SC Current Value]])), SnapshotTable[[#This Row],[SC Premium]] + SnapshotTable[[#This Row],[SC Current Value]], "")</f>
        <v/>
      </c>
      <c r="GA13" s="272" t="str">
        <f>IFERROR( IF(ISNUMBER((SnapshotTable[[#This Row],[SC Current Value]])), SnapshotTable[[#This Row],[SC Gain Loss]] / SnapshotTable[[#This Row],[SC Premium]], ""), "")</f>
        <v/>
      </c>
      <c r="GB13" s="42">
        <f>SnapshotTable[[#This Row],[Equity Shares]] * SaleSharesToConsiderPercentage</f>
        <v>0</v>
      </c>
      <c r="GC13" s="40">
        <f>SnapshotTable[[#This Row],[Long Term Target]] * SellingPriceToConsiderBasedOnTargetPercentage</f>
        <v>134.75749999999999</v>
      </c>
      <c r="GD13" s="40">
        <f>SnapshotTable[[#This Row],[Last Price]] * (1+ SellingPriceToConsiderBasedOnTargetPercentage)</f>
        <v>273.09750000000003</v>
      </c>
      <c r="GE13" s="41"/>
      <c r="GF13" s="40"/>
      <c r="GG13" s="31">
        <f>SnapshotTable[[#This Row],[Booked Sale Shares]] * SnapshotTable[[#This Row],[Booked Sale Price]]</f>
        <v>0</v>
      </c>
      <c r="GH13" s="31" t="str">
        <f>IF(SnapshotTable[[#This Row],[Equity Basis Total]] &gt; 0, SnapshotTable[[#This Row],[Equity Basis Per Share]] * SnapshotTable[[#This Row],[Booked Sale Shares]], "")</f>
        <v/>
      </c>
      <c r="GI13" s="31">
        <f>IF(SnapshotTable[[#This Row],[Sale Proceeds]]&gt;0, SnapshotTable[[#This Row],[Sale Proceeds]] - SnapshotTable[[#This Row],[Sale Basis]], 0)</f>
        <v>0</v>
      </c>
      <c r="GJ13" s="27" t="str">
        <f>IF(SnapshotTable[[#This Row],[Sale G/L]]&gt;0, SnapshotTable[[#This Row],[Sale G/L]] / SnapshotTable[[#This Row],[Sale Basis]], IF(ISNUMBER(SnapshotTable[[#This Row],[SC Exercise P&amp;L (TAX)]]), SnapshotTable[[#This Row],[SC Exercise P&amp;L (TAX)]] / SnapshotTable[[#This Row],[SC Basis]], ""))</f>
        <v/>
      </c>
      <c r="GK13" s="27" t="s">
        <v>505</v>
      </c>
      <c r="GL13" s="43" t="str">
        <f>IF(AND(SnapshotTable[[#This Row],[LP Exp Date]]&gt;0,SnapshotTable[[#This Row],[LP Strike Price]]&gt;0), [1]!ToOptionSymbol(SnapshotTable[[#This Row],[Symbol]], SnapshotTable[[#This Row],[LP Strike Price]],SnapshotTable[[#This Row],[LP Exp Date]],1), "")</f>
        <v/>
      </c>
      <c r="GM13" s="30" t="str">
        <f>IF(LEN(SnapshotTable[[#This Row],[LP Symbol]])&gt;0, 1, "")</f>
        <v/>
      </c>
      <c r="GN13" s="43" t="str">
        <f>IF(AND(SnapshotTable[[#This Row],[SP Exp Date]]&gt;0,SnapshotTable[[#This Row],[SP Strike Price]]&gt;0), [1]!ToOptionSymbol(SnapshotTable[[#This Row],[Symbol]], SnapshotTable[[#This Row],[SP Strike Price]],SnapshotTable[[#This Row],[SP Exp Date]],1), "")</f>
        <v/>
      </c>
      <c r="GO13" s="30" t="str">
        <f>IF(LEN(SnapshotTable[[#This Row],[SP Symbol]])&gt;0, 1, "")</f>
        <v/>
      </c>
      <c r="GP13" s="43" t="str">
        <f>IF(AND(SnapshotTable[[#This Row],[LC Exp Date]]&gt;0,SnapshotTable[[#This Row],[LC Strike Price]]&gt;0), [1]!ToOptionSymbol(SnapshotTable[[#This Row],[Symbol]], SnapshotTable[[#This Row],[LC Strike Price]],SnapshotTable[[#This Row],[LC Exp Date]],0), "")</f>
        <v/>
      </c>
      <c r="GQ13" s="30" t="str">
        <f>IF(LEN(SnapshotTable[[#This Row],[LC Symbol]])&gt;0, 1, "")</f>
        <v/>
      </c>
      <c r="GR13" s="43" t="str">
        <f>IF(AND(SnapshotTable[[#This Row],[SC Exp Date]]&gt;0,SnapshotTable[[#This Row],[SC Strike Price]]&gt;0), [1]!ToOptionSymbol(SnapshotTable[[#This Row],[Symbol]], SnapshotTable[[#This Row],[SC Strike Price]],SnapshotTable[[#This Row],[SC Exp Date]],0), "")</f>
        <v/>
      </c>
      <c r="GS13" s="30" t="str">
        <f>IF(LEN(SnapshotTable[[#This Row],[SC Symbol]])&gt;0, 1, "")</f>
        <v/>
      </c>
      <c r="GT13" s="29" t="str">
        <f>IF(COUNT(SnapshotTable[[#This Row],[LP Symbol Count]],SnapshotTable[[#This Row],[SP Symbol Count]],SnapshotTable[[#This Row],[LC Symbol Count]],SnapshotTable[[#This Row],[SC Symbol Count]])&gt;0, "Y", "")</f>
        <v/>
      </c>
      <c r="GU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 s="216">
        <f>MAX(SnapshotTable[[#This Row],[Equity Basis Total]],SnapshotTable[[#This Row],[Equity Value]]) + (SnapshotTable[[#This Row],[SP Potential Spend]]- SnapshotTable[[#This Row],[SP Premium]] + SnapshotTable[[#This Row],[LP Premium]])+ (SnapshotTable[[#This Row],[LC Premium]] - SnapshotTable[[#This Row],[SC Premium]])</f>
        <v>0</v>
      </c>
      <c r="GW13" s="137" t="str">
        <f>IF(AND(SnapshotTable[[#This Row],[Exposure]] &lt;&gt; 0),SnapshotTable[[#This Row],[Exposure]] / SnapshotTable[[#Totals],[Exposure]], "")</f>
        <v/>
      </c>
      <c r="HK13" s="1"/>
      <c r="HL13" s="1"/>
      <c r="HM13" s="1"/>
      <c r="HN13" s="1"/>
      <c r="HO13" s="1"/>
      <c r="HP13" s="1"/>
    </row>
    <row r="14" spans="2:224" ht="12.75" hidden="1" customHeight="1" x14ac:dyDescent="0.25">
      <c r="B14" s="12" t="s">
        <v>39</v>
      </c>
      <c r="C14" s="385">
        <v>552.33000000000004</v>
      </c>
      <c r="D14" s="200" t="s">
        <v>179</v>
      </c>
      <c r="E14" s="39">
        <f>SnapshotTable[[#This Row],[Last Price]]*(1 -CrashDiscount)</f>
        <v>469.48050000000001</v>
      </c>
      <c r="F14" s="26" t="s">
        <v>497</v>
      </c>
      <c r="G14" s="26" t="s">
        <v>7</v>
      </c>
      <c r="H14" s="147"/>
      <c r="I14" s="186">
        <v>45232.673611111109</v>
      </c>
      <c r="J14" s="187">
        <v>44775.673611111109</v>
      </c>
      <c r="K14" s="188"/>
      <c r="L14" s="297"/>
      <c r="M14" s="138">
        <v>1</v>
      </c>
      <c r="N14" s="138"/>
      <c r="O14" s="138">
        <v>1</v>
      </c>
      <c r="P14" s="22"/>
      <c r="Q14" s="25"/>
      <c r="R14" s="4" t="str">
        <f>IF(SnapshotTable[[#This Row],[Equity Basis Total]] &gt; 0, SnapshotTable[[#This Row],[Equity Basis Total]] / SnapshotTable[[#This Row],[Equity Shares]], "")</f>
        <v/>
      </c>
      <c r="S14" s="254">
        <f>SnapshotTable[[#This Row],[Last Price]] * SnapshotTable[[#This Row],[Equity Shares]]</f>
        <v>0</v>
      </c>
      <c r="T14" s="254">
        <f>SnapshotTable[[#This Row],[Equity Value]] - SnapshotTable[[#This Row],[Equity Basis Total]]</f>
        <v>0</v>
      </c>
      <c r="U14" s="255" t="str">
        <f>IF(SnapshotTable[[#This Row],[Equity Basis Total]] &gt; 0, SnapshotTable[[#This Row],[Equity G/L]] / SnapshotTable[[#This Row],[Equity Basis Total]], "")</f>
        <v/>
      </c>
      <c r="V14" s="253">
        <v>153</v>
      </c>
      <c r="W14" s="253">
        <v>92</v>
      </c>
      <c r="X14" s="4" t="str">
        <f>IF(AND(ISNUMBER(SnapshotTable[[#This Row],[Equity Basis Per Share]]),ISNUMBER(SnapshotTable[[#This Row],[Equity Target]])),SnapshotTable[[#This Row],[Equity Target]]-SnapshotTable[[#This Row],[Equity Basis Per Share]],"")</f>
        <v/>
      </c>
      <c r="Y14" s="4" t="str">
        <f>IF(AND(ISNUMBER(SnapshotTable[[#This Row],[Equity Basis Per Share]]),ISNUMBER(SnapshotTable[[#This Row],[Equity Stop Loss]])),SnapshotTable[[#This Row],[Equity Stop Loss]]-SnapshotTable[[#This Row],[Equity Basis Per Share]],"")</f>
        <v/>
      </c>
      <c r="Z14" s="260" t="str">
        <f>IFERROR( TEXT(SnapshotTable[[#This Row],[Equity Max Gain Per Share]] /ABS( SnapshotTable[[#This Row],[Equity Max Loss Per Share]]),"0.0 " ) &amp; " : 1", "")</f>
        <v/>
      </c>
      <c r="AA14" s="31" t="str">
        <f>IF(ISNUMBER(SnapshotTable[[#This Row],[Equity Max Gain Per Share]]),SnapshotTable[[#This Row],[Equity Max Gain Per Share]] * SnapshotTable[[#This Row],[Equity Shares]],"")</f>
        <v/>
      </c>
      <c r="AB14" s="31" t="str">
        <f>IF(ISNUMBER(SnapshotTable[[#This Row],[Equity Max Loss Per Share]]),SnapshotTable[[#This Row],[Equity Max Loss Per Share]] * SnapshotTable[[#This Row],[Equity Shares]],"")</f>
        <v/>
      </c>
      <c r="AC14" s="148"/>
      <c r="AD14" s="149"/>
      <c r="AE14" s="31">
        <f>(SnapshotTable[[#This Row],[Annual Dividend Per Share]] / 4) * SnapshotTable[[#This Row],[Equity Shares]]</f>
        <v>0</v>
      </c>
      <c r="AF14" s="31">
        <f>SnapshotTable[[#This Row],[Quarterly Div $]] * 4</f>
        <v>0</v>
      </c>
      <c r="AG14" s="7">
        <f>IF(SnapshotTable[[#This Row],[Annual Dividend Per Share]]&gt;0, SnapshotTable[[#This Row],[Annual Dividend Per Share]]  / SnapshotTable[[#This Row],[Last Price]], 0)</f>
        <v>0</v>
      </c>
      <c r="AH14" s="149"/>
      <c r="AI14" s="5"/>
      <c r="AJ14" s="136">
        <v>138</v>
      </c>
      <c r="AK14" s="150" t="str">
        <f>IF(ISNUMBER( SnapshotTable[[#This Row],[EBF Target]]),(SnapshotTable[[#This Row],[EBF Target]] - SnapshotTable[[#This Row],[Last Price]]) / SnapshotTable[[#This Row],[Last Price]], "")</f>
        <v/>
      </c>
      <c r="AL14" s="150" t="str">
        <f>IF(AND(SnapshotTable[[#This Row],[Equity Basis Total]] &gt; 0,ISNUMBER( SnapshotTable[[#This Row],[Long Term Target]])), SnapshotTable[[#This Row],[From Basis $]] / SnapshotTable[[#This Row],[Equity Basis Total]], "")</f>
        <v/>
      </c>
      <c r="AM14" s="9">
        <f>IF( AND(SnapshotTable[[#This Row],[Equity Shares]] &gt;0,ISNUMBER( SnapshotTable[[#This Row],[Long Term Target]])),(SnapshotTable[[#This Row],[Equity Shares]] * SnapshotTable[[#This Row],[Long Term Target]]) - SnapshotTable[[#This Row],[Equity Basis Total]],0)</f>
        <v>0</v>
      </c>
      <c r="AN14" s="9">
        <f>IF( AND(SnapshotTable[[#This Row],[Equity Shares]] &gt;0,ISNUMBER( SnapshotTable[[#This Row],[Long Term Target]])),(SnapshotTable[[#This Row],[Equity Shares]]*SnapshotTable[[#This Row],[Long Term Target]]) - SnapshotTable[[#This Row],[Equity Value]],0)</f>
        <v>0</v>
      </c>
      <c r="AO14" s="150">
        <f>IF(AND(ISNUMBER( SnapshotTable[[#This Row],[Long Term Target]]), ISNUMBER(SnapshotTable[[#This Row],[Last Price]])),(SnapshotTable[[#This Row],[Long Term Target]] - SnapshotTable[[#This Row],[Last Price]]) / SnapshotTable[[#This Row],[Last Price]], "")</f>
        <v>-0.7501493672261148</v>
      </c>
      <c r="AP14" s="5">
        <v>145</v>
      </c>
      <c r="AQ14" s="38" t="s">
        <v>22</v>
      </c>
      <c r="AR14" s="5">
        <v>145</v>
      </c>
      <c r="AS14" s="38" t="s">
        <v>15</v>
      </c>
      <c r="AT14" s="144" t="s">
        <v>438</v>
      </c>
      <c r="AU14" s="185" t="str">
        <f>IF(OR(SnapshotTable[[#This Row],[LP No Fill]]="Y",SnapshotTable[[#This Row],[SP Is Filled]],SnapshotTable[[#This Row],[LC Not Filled]]="Y",SnapshotTable[[#This Row],[SC Is Filled]]),"Y","")</f>
        <v/>
      </c>
      <c r="AV14" s="345"/>
      <c r="AW14" s="211"/>
      <c r="AX14" s="206"/>
      <c r="AY14" s="205" t="str">
        <f>IF(SnapshotTable[[#This Row],[Implied Move]]&gt;0, SnapshotTable[[#This Row],[Last Price]]-SnapshotTable[[#This Row],[Implied Move]],"")</f>
        <v/>
      </c>
      <c r="AZ14" s="205" t="str">
        <f>IF(SnapshotTable[[#This Row],[Implied Move]]&gt;0, SnapshotTable[[#This Row],[Last Price]] + SnapshotTable[[#This Row],[Implied Move]],"")</f>
        <v/>
      </c>
      <c r="BA14" s="302">
        <v>209.42</v>
      </c>
      <c r="BB14" s="318"/>
      <c r="BC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 s="321"/>
      <c r="BE14" s="136"/>
      <c r="BF14" s="164"/>
      <c r="BG14" s="165"/>
      <c r="BH14" s="165"/>
      <c r="BI14" s="207"/>
      <c r="BJ14" s="151">
        <f>IF(SnapshotTable[[#This Row],[LP Qty]] &gt; 0, SnapshotTable[[#This Row],[LP Qty]] * SnapshotTable[[#This Row],[LP Book Price]] * 100,0)</f>
        <v>0</v>
      </c>
      <c r="BK14" s="134">
        <f>IF(SnapshotTable[[#This Row],[LP Premium]] &gt; 0, SnapshotTable[[#This Row],[LP Qty]] * SnapshotTable[[#This Row],[LP Strike Price]] * 100,0)</f>
        <v>0</v>
      </c>
      <c r="BL14" s="152"/>
      <c r="BM14" s="355" t="str">
        <f>IF(SnapshotTable[[#This Row],[LP Premium]] &gt; 0,SnapshotTable[[#This Row],[LP Exp Date]]-MAX(SnapshotTable[[#This Row],[LP Book Date]], SnapshotTable[[#This Row],[LP Fill Date]]),"")</f>
        <v/>
      </c>
      <c r="BN14" s="355" t="str">
        <f>IF(ISNUMBER( SnapshotTable[[#This Row],[LP Term]]), SnapshotTable[[#This Row],[LP Exp Date]] - MockToday,"")</f>
        <v/>
      </c>
      <c r="BO14" s="161" t="str">
        <f>IF(AND(SnapshotTable[[#This Row],[LP Exp Date]]&gt;0, SnapshotTable[[#This Row],[LP Strike Price]]&gt;0,SnapshotTable[[#This Row],[LP Qty]]&gt;0,SnapshotTable[[#This Row],[LP Book Date]]&gt;0,SnapshotTable[[#This Row],[LP Book Price]]&gt;0,SnapshotTable[[#This Row],[LP Fill Date]]=0),"Y","")</f>
        <v/>
      </c>
      <c r="BP14" s="31" t="str">
        <f>IF(AND(SnapshotTable[[#This Row],[LP No Fill]]&lt;&gt;"Y",SnapshotTable[[#This Row],[LP Contract Value]]&gt;0, SnapshotTable[[#This Row],[LP Qty]]&gt;0), SnapshotTable[[#This Row],[LP Contract Value]]*SnapshotTable[[#This Row],[LP Qty]]*100,"")</f>
        <v/>
      </c>
      <c r="BQ14" s="13"/>
      <c r="BR14" s="5"/>
      <c r="BS14" s="36"/>
      <c r="BT14" s="145"/>
      <c r="BU14" s="13"/>
      <c r="BV14" s="5"/>
      <c r="BW14" s="382" t="b">
        <f>AND(ISNUMBER(SnapshotTable[[#This Row],[SP Exp Date]]), ISNUMBER(SnapshotTable[[#This Row],[SP Strike Price]]), ISNUMBER(SnapshotTable[[#This Row],[SP Qty]]), ISNUMBER(SnapshotTable[[#This Row],[SP Book Date]]), ISNUMBER(SnapshotTable[[#This Row],[SP Book Price]]))</f>
        <v>0</v>
      </c>
      <c r="BX14" s="382" t="b">
        <f>AND(SnapshotTable[[#This Row],[SP Is Booked]], NOT(ISBLANK(SnapshotTable[[#This Row],[SP Fill Date]])))</f>
        <v>0</v>
      </c>
      <c r="BY14" s="33">
        <f>IF(SnapshotTable[[#This Row],[SP Is Booked]], SnapshotTable[[#This Row],[SP Qty]] * SnapshotTable[[#This Row],[SP Book Price]] * 100, 0)</f>
        <v>0</v>
      </c>
      <c r="BZ14" s="339"/>
      <c r="CA14" s="338">
        <f>SnapshotTable[[#This Row],[LP Qty]]</f>
        <v>0</v>
      </c>
      <c r="CB14" s="4" t="str">
        <f>IF(SnapshotTable[[#This Row],[SP Is Booked]], SnapshotTable[[#This Row],[SP Strike Price]] - SnapshotTable[[#This Row],[SP Book Price]], "")</f>
        <v/>
      </c>
      <c r="CC14" s="19" t="str">
        <f>IF(SnapshotTable[[#This Row],[SP Is Booked]],SnapshotTable[[#This Row],[SP Exp Date]]-MAX(SnapshotTable[[#This Row],[SP Book Date]], SnapshotTable[[#This Row],[SP Fill Date]]),"")</f>
        <v/>
      </c>
      <c r="CD14" s="7" t="str">
        <f>IF(SnapshotTable[[#This Row],[SP Is Booked]], SnapshotTable[[#This Row],[SP Book Price]]/SnapshotTable[[#This Row],[SP Strike Price]], "")</f>
        <v/>
      </c>
      <c r="CE14" s="7" t="str">
        <f>IF(ISNUMBER(SnapshotTable[[#This Row],[SP ROO Term]]),SnapshotTable[[#This Row],[SP ROO Term]]*(365/SnapshotTable[[#This Row],[SP Term]]),"")</f>
        <v/>
      </c>
      <c r="CF14" s="221">
        <f>SnapshotTable[[#This Row],[LP Strike Price]] * SnapshotTable[[#This Row],[LP Qty]] * 100</f>
        <v>0</v>
      </c>
      <c r="CG14" s="31">
        <f>IF(ISNUMBER(SnapshotTable[[#This Row],[SP Premium]]), (SnapshotTable[[#This Row],[SP Qty]] * SnapshotTable[[#This Row],[SP Strike Price]]* 100) - SnapshotTable[[#This Row],[LP Protection]], 0)</f>
        <v>0</v>
      </c>
      <c r="CH14" s="7" t="str">
        <f>IF(ISNUMBER(SnapshotTable[[#This Row],[SP Break Even]]),-1 * (SnapshotTable[[#This Row],[SP Break Even]] - SnapshotTable[[#This Row],[Last Price]]) / SnapshotTable[[#This Row],[Last Price]], "")</f>
        <v/>
      </c>
      <c r="CI14" s="31">
        <f>IF(AND(ISNUMBER((SnapshotTable[[#This Row],[SP Potential Spend]])), SnapshotTable[[#This Row],[SP Strike Price]] &gt; SnapshotTable[[#This Row],[Last Price]], SnapshotTable[[#This Row],[SP Is Filled]]), SnapshotTable[[#This Row],[SP Potential Spend]] -  SnapshotTable[[#This Row],[LP Max Value]], 0)</f>
        <v>0</v>
      </c>
      <c r="CJ14" s="229"/>
      <c r="CK14" s="31">
        <f>IF(ISNUMBER(SnapshotTable[[#This Row],[SP Potential Spend]]),IF(ISNUMBER(SnapshotTable[[#This Row],[SP POW]]), SnapshotTable[[#This Row],[SP POW]] * SnapshotTable[[#This Row],[SP Potential Spend]], SnapshotTable[[#This Row],[SP Potential Spend]]), "")</f>
        <v>0</v>
      </c>
      <c r="CL14" s="162">
        <f>IF(NOT(SnapshotTable[[#This Row],[SP Is Filled]]),(SnapshotTable[[#This Row],[SP Qty]] * SnapshotTable[[#This Row],[SP Strike Price]] * 100) - SnapshotTable[[#This Row],[LP Max Value]],"")</f>
        <v>0</v>
      </c>
      <c r="CM14" s="31" t="str">
        <f>IF(SnapshotTable[[#This Row],[SP Actual Spend]]&lt;&gt;0, ((SnapshotTable[[#This Row],[SP Strike Price]]-SnapshotTable[[#This Row],[Last Price]]) *(SnapshotTable[[#This Row],[SP Qty]]*100) - SnapshotTable[[#This Row],[SP Premium]]) * - 1, "")</f>
        <v/>
      </c>
      <c r="CN14" s="152"/>
      <c r="CO14" s="339"/>
      <c r="CP14" s="4" t="str">
        <f>IF(SnapshotTable[[#This Row],[SP Is Filled]], btc_max_buyback_amount(SnapshotTable[[#This Row],[SP Fill Date]],SnapshotTable[[#This Row],[SP Exp Date]], SnapshotTable[[#This Row],[SP Book Price]]),"")</f>
        <v/>
      </c>
      <c r="CQ14" s="76"/>
      <c r="CR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 s="153" t="str">
        <f>IF(SnapshotTable[[#This Row],[SP Is Filled]], btc_next_cutoff_date(SnapshotTable[[#This Row],[SP Fill Date]],SnapshotTable[[#This Row],[SP Exp Date]]),"")</f>
        <v/>
      </c>
      <c r="CT14" s="220" t="str" cm="1">
        <f t="array" ref="CT14">IF(SnapshotTable[[#This Row],[SP Is Filled]], btc_should_buy_back(SnapshotTable[[#This Row],[SP Fill Date]], SnapshotTable[[#This Row],[SP Exp Date]], SnapshotTable[[#This Row],[SP Book Price]], SnapshotTable[[#This Row],[SP Current Ask]], MockToday, SnapshotTable[[#This Row],[SP Buyback Override]]),"")</f>
        <v/>
      </c>
      <c r="CU14" s="154"/>
      <c r="CV14" s="220" t="s">
        <v>635</v>
      </c>
      <c r="CW14" s="348" t="str">
        <f>IF(ISNUMBER( SnapshotTable[[#This Row],[SP Term]]), SnapshotTable[[#This Row],[SP Exp Date]] - MockToday,"")</f>
        <v/>
      </c>
      <c r="CX14" s="31" t="str">
        <f>IF(SnapshotTable[[#This Row],[SP Is Filled]],SnapshotTable[[#This Row],[SP Buyback Price to Use]] * 100 * SnapshotTable[[#This Row],[SP Qty]], "")</f>
        <v/>
      </c>
      <c r="CY14" s="4" t="str">
        <f>IF(ISNUMBER(SnapshotTable[[#This Row],[SP Strike Price]]), SnapshotTable[[#This Row],[SP Strike Price]] * (1 - SP_MaxLoss_StrikePct), "")</f>
        <v/>
      </c>
      <c r="CZ14" s="31" t="str">
        <f>IF(ISNUMBER(SnapshotTable[[#This Row],[SP Strike  Stop Per Share]]),SnapshotTable[[#This Row],[SP Premium]] - ((SnapshotTable[[#This Row],[SP Strike Price]]-SnapshotTable[[#This Row],[SP Strike  Stop Per Share]]) *(SnapshotTable[[#This Row],[SP Qty]] * 100)),"")</f>
        <v/>
      </c>
      <c r="DA14" s="4" t="str">
        <f>IF(AND(ISNUMBER(SnapshotTable[[#This Row],[SP Premium]]),SnapshotTable[[#This Row],[SP Premium]]&gt;0), SnapshotTable[[#This Row],[SP Book Price]] * (1 + SP_MaxLoss_OptionPct), "")</f>
        <v/>
      </c>
      <c r="DB14" s="31" t="str">
        <f>IF(ISNUMBER(SnapshotTable[[#This Row],[SP Option  Stop Contract]]),(SnapshotTable[[#This Row],[SP Option  Stop Contract]] *(SnapshotTable[[#This Row],[SP Qty]] * 100) - SnapshotTable[[#This Row],[SP Premium]]),"")</f>
        <v/>
      </c>
      <c r="DC14" s="4"/>
      <c r="DD14" s="4"/>
      <c r="DE14" s="4" t="str">
        <f>IF(AND(SnapshotTable[[#This Row],[SP Qty]]&gt;0, SnapshotTable[[#This Row],[SP Stop To Use]]&gt;0),SnapshotTable[[#This Row],[SP Premium]] - ( SnapshotTable[[#This Row],[SP Qty]] * SnapshotTable[[#This Row],[SP Stop To Use]] * 100), "")</f>
        <v/>
      </c>
      <c r="DF14" s="31" t="str">
        <f>IF(AND(SnapshotTable[[#This Row],[SP Qty]]&gt;0,SnapshotTable[[#This Row],[SP Current Ask]]&gt;0), SnapshotTable[[#This Row],[SP Qty]] * SnapshotTable[[#This Row],[SP Current Ask]] * -100, "")</f>
        <v/>
      </c>
      <c r="DG14" s="31" t="str">
        <f>IF(ISNUMBER((SnapshotTable[[#This Row],[SP Total Value]])), SnapshotTable[[#This Row],[SP Premium]] + SnapshotTable[[#This Row],[SP Total Value]], "")</f>
        <v/>
      </c>
      <c r="DH14" s="272" t="str">
        <f>IF(ISNUMBER((SnapshotTable[[#This Row],[SP Total Value]])), SnapshotTable[[#This Row],[SP Gain Loss]] / SnapshotTable[[#This Row],[SP Premium]], "")</f>
        <v/>
      </c>
      <c r="DI14" s="369"/>
      <c r="DJ14" s="136"/>
      <c r="DK14" s="146"/>
      <c r="DL14" s="145"/>
      <c r="DM14" s="145"/>
      <c r="DO14" s="31">
        <f>IF(SnapshotTable[[#This Row],[LC Symbol Count]]=1, SnapshotTable[[#This Row],[LC Qty]] * SnapshotTable[[#This Row],[LC Book Price]] * 100, 0)</f>
        <v>0</v>
      </c>
      <c r="DP14" s="270" t="str">
        <f>IF(AND(SnapshotTable[[#This Row],[LC Exp Date]]&gt;0, SnapshotTable[[#This Row],[LC Strike Price]]&gt;0,SnapshotTable[[#This Row],[LC Qty]]&gt;0,SnapshotTable[[#This Row],[LC Book Date]]&gt;0,SnapshotTable[[#This Row],[LC Book Price]]&gt;0,SnapshotTable[[#This Row],[LC Fill Date]]=0),"Y","")</f>
        <v/>
      </c>
      <c r="DQ14" s="356" t="str">
        <f>IF(SnapshotTable[[#This Row],[LC Premium]] &gt; 0,SnapshotTable[[#This Row],[LC Exp Date]]-MAX(SnapshotTable[[#This Row],[LC Book Date]], SnapshotTable[[#This Row],[LC Fill Date]]),"")</f>
        <v/>
      </c>
      <c r="DR14" s="356" t="str">
        <f>IF(ISNUMBER(SnapshotTable[[#This Row],[LC Term]]), SnapshotTable[[#This Row],[LC Exp Date]] - MockToday, "")</f>
        <v/>
      </c>
      <c r="DS14" s="219" t="str">
        <f>IF(SnapshotTable[[#This Row],[LC Premium]]&gt;0,SnapshotTable[[#This Row],[LC Strike Price]] + SnapshotTable[[#This Row],[LC Book Price]],"")</f>
        <v/>
      </c>
      <c r="DU14" s="9" t="str">
        <f>IF(AND(SnapshotTable[[#This Row],[LC Symbol Count]]&gt;0, SnapshotTable[[#This Row],[LC Contract Value]]&gt;0), SnapshotTable[[#This Row],[LC Contract Value]] * SnapshotTable[[#This Row],[LC Qty]] * 100, "")</f>
        <v/>
      </c>
      <c r="DV14" s="9" t="str">
        <f>IF(AND(ISNUMBER(SnapshotTable[[#This Row],[LC Total Value]]), SnapshotTable[[#This Row],[LC Not Filled]]&lt;&gt;"Y"), SnapshotTable[[#This Row],[LC Total Value]]-SnapshotTable[[#This Row],[LC Premium]],"")</f>
        <v/>
      </c>
      <c r="DW14" s="225" t="str">
        <f>IF(ISNUMBER(SnapshotTable[[#This Row],[LC Actual Gain Loss]]), SnapshotTable[[#This Row],[LC Actual Gain Loss]] / SnapshotTable[[#This Row],[LC Premium]],"")</f>
        <v/>
      </c>
      <c r="DX14" s="269" t="str">
        <f>IF(ISNUMBER(SnapshotTable[[#This Row],[LC Book Price]]),SnapshotTable[[#This Row],[LC Book Price]] * 1.5,"")</f>
        <v/>
      </c>
      <c r="DY14" s="250" t="str">
        <f>IF(SnapshotTable[[#This Row],[LC Premium]]&gt;0, SnapshotTable[[#This Row],[LC Next Target]] * SnapshotTable[[#This Row],[LC Qty]] * 100,"")</f>
        <v/>
      </c>
      <c r="DZ14" s="250" t="str">
        <f>IF(ISNUMBER(SnapshotTable[[#This Row],[LC Target Gross]]), SnapshotTable[[#This Row],[LC Target Gross]] - SnapshotTable[[#This Row],[LC Premium]], "")</f>
        <v/>
      </c>
      <c r="EA14" s="283" t="str">
        <f>IF(ISNUMBER(SnapshotTable[[#This Row],[LC Target Gain Loss]]), SnapshotTable[[#This Row],[LC Target Gain Loss]]/SnapshotTable[[#This Row],[LC Premium]], "")</f>
        <v/>
      </c>
      <c r="EB14" s="247"/>
      <c r="EC14" s="268" t="str">
        <f>IF(SnapshotTable[[#This Row],[LC Premium]]&gt;0, SnapshotTable[[#This Row],[LC Book Price]] * (1 - LC_StopLoss_Pct),"")</f>
        <v/>
      </c>
      <c r="ED14" s="269"/>
      <c r="EE14" s="268" t="str">
        <f>IF(ISNUMBER(SnapshotTable[[#This Row],[LC Contract Value]]),IF(ISNUMBER(SnapshotTable[[#This Row],[LC Stop Loss Override]]), SnapshotTable[[#This Row],[LC Stop Loss Override]],SnapshotTable[[#This Row],[LC Stop Loss Calc Target]]),"")</f>
        <v/>
      </c>
      <c r="EF14" s="31" t="str">
        <f>IF(ISNUMBER(SnapshotTable[[#This Row],[LC Stop  To Use]]), (SnapshotTable[[#This Row],[LC Stop  To Use]] * SnapshotTable[[#This Row],[LC Qty]] * 100),"")</f>
        <v/>
      </c>
      <c r="EG14" s="9" t="str">
        <f>IF(ISNUMBER(SnapshotTable[[#This Row],[LC Total Value]]),SnapshotTable[[#This Row],[LC Stop Loss Amount]] - SnapshotTable[[#This Row],[LC Premium]],"")</f>
        <v/>
      </c>
      <c r="EH14" s="9">
        <f>IF(ISNUMBER(SnapshotTable[[#This Row],[LC Premium]]), SnapshotTable[[#This Row],[LC Qty]] * 100 * SnapshotTable[[#This Row],[LC Strike Price]], "")</f>
        <v>0</v>
      </c>
      <c r="EI14" s="225" t="str">
        <f>IF(AND(ISNUMBER(SnapshotTable[[#This Row],[LC Total Value]]),SnapshotTable[[#This Row],[LC Total Value]]&gt;0),SnapshotTable[[#This Row],[LC Stop Gain Loss]]  / SnapshotTable[[#This Row],[LC Premium]],"")</f>
        <v/>
      </c>
      <c r="EJ14" s="35">
        <f>IF(ISNUMBER(SnapshotTable[[#This Row],[Equity Shares]]),TRUNC(SnapshotTable[[#This Row],[Equity Shares]] / 100),0) + SnapshotTable[[#This Row],[LC Qty]]</f>
        <v>0</v>
      </c>
      <c r="EK14" s="145"/>
      <c r="EL14" s="136"/>
      <c r="EM14" s="146"/>
      <c r="EN14" s="145"/>
      <c r="EO14" s="145"/>
      <c r="EP14" s="136"/>
      <c r="EQ14" s="382" t="b">
        <f>AND(ISNUMBER(SnapshotTable[[#This Row],[SC Exp Date]]), ISNUMBER(SnapshotTable[[#This Row],[SC Strike Price]]), ISNUMBER(SnapshotTable[[#This Row],[SC Qty]]), ISNUMBER(SnapshotTable[[#This Row],[SC Book Date]]), ISNUMBER(SnapshotTable[[#This Row],[SC Book Price]]))</f>
        <v>0</v>
      </c>
      <c r="ER14" s="382" t="b">
        <f>AND(SnapshotTable[[#This Row],[SC Is Booked]], NOT(ISBLANK(SnapshotTable[[#This Row],[SC Fill Date]])))</f>
        <v>0</v>
      </c>
      <c r="ES14" s="340"/>
      <c r="ET14" s="34" t="str">
        <f>IF(AND(ISNUMBER(SnapshotTable[[#This Row],[SC Exp Date]]), ISNUMBER(SnapshotTable[[#This Row],[SC Book Date]])), SnapshotTable[[#This Row],[SC Exp Date]] - MAX(SnapshotTable[[#This Row],[SC Book Date]], SnapshotTable[[#This Row],[SC Fill Date]]) + 1, "")</f>
        <v/>
      </c>
      <c r="EU14" s="34" t="str">
        <f>IF(ISNUMBER(SnapshotTable[[#This Row],[SC Term]]), SnapshotTable[[#This Row],[SC Exp Date]]- MockToday, "")</f>
        <v/>
      </c>
      <c r="EV14" s="31">
        <f>IF(SnapshotTable[[#This Row],[SC Is Booked]], SnapshotTable[[#This Row],[SC Qty]] * SnapshotTable[[#This Row],[SC Book Price]] * 100, 0)</f>
        <v>0</v>
      </c>
      <c r="EW14" s="4" t="str">
        <f>IF(AND(ISNUMBER(SnapshotTable[[#This Row],[Last Price]]), ISNUMBER( SnapshotTable[[#This Row],[SC Book Price]])), SnapshotTable[[#This Row],[Last Price]] - SnapshotTable[[#This Row],[SC Book Price]],"")</f>
        <v/>
      </c>
      <c r="EX14" s="219" t="str">
        <f>IF(SnapshotTable[[#This Row],[SC Is Booked]],IF(SnapshotTable[[#This Row],[SC Intrinsic Value]] &gt; 0, SnapshotTable[[#This Row],[SC Strike Price]], SnapshotTable[[#This Row],[Last Price]]), "")</f>
        <v/>
      </c>
      <c r="EY14" s="4">
        <f>IF(SnapshotTable[[#This Row],[SC Is Booked]], (MinimumPremiumRequired * SnapshotTable[[#This Row],[SC Basis]] * SnapshotTable[[#This Row],[SC Term]]), 0)</f>
        <v>0</v>
      </c>
      <c r="EZ14" s="268"/>
      <c r="FA14" s="204"/>
      <c r="FB14" s="340"/>
      <c r="FC14" s="4">
        <f>IF(SnapshotTable[[#This Row],[SC Is Filled]], btc_max_buyback_amount(SnapshotTable[[#This Row],[SC Fill Date]],SnapshotTable[[#This Row],[SC Exp Date]], SnapshotTable[[#This Row],[SC Book Price]]),0)</f>
        <v>0</v>
      </c>
      <c r="FD14" s="5"/>
      <c r="FE14" s="142" t="str">
        <f>IF(SnapshotTable[[#This Row],[SC Is Filled]], btc_next_cutoff_date(SnapshotTable[[#This Row],[SC Fill Date]],SnapshotTable[[#This Row],[SC Exp Date]]),"")</f>
        <v/>
      </c>
      <c r="FF14" s="4" t="str" cm="1">
        <f t="array" ref="FF14">IF(SnapshotTable[[#This Row],[SC Is Filled]], btc_should_buy_back(SnapshotTable[[#This Row],[SC Fill Date]], SnapshotTable[[#This Row],[SC Exp Date]], SnapshotTable[[#This Row],[SC Book Price]], SnapshotTable[[#This Row],[SC Current Ask]], MockToday, SnapshotTable[[#This Row],[SC Buyback Override]]),"")</f>
        <v/>
      </c>
      <c r="FG14" s="4">
        <f>IF(SnapshotTable[[#This Row],[SC Is Filled]], MAX(0,SnapshotTable[[#This Row],[Last Price]]  - SnapshotTable[[#This Row],[SC Strike Price]]), 0)</f>
        <v>0</v>
      </c>
      <c r="FH14" s="352">
        <f>IF(SnapshotTable[[#This Row],[SC Is Filled]], IF(ISNUMBER(SnapshotTable[[#This Row],[SC Current Ask]]), SnapshotTable[[#This Row],[SC Current Ask]], SnapshotTable[[#This Row],[SC Book Price]]) - SnapshotTable[[#This Row],[SC Intrinsic Value]], 0)</f>
        <v>0</v>
      </c>
      <c r="FI14" s="141"/>
      <c r="FJ14" s="32" t="str">
        <f>IF(SnapshotTable[[#This Row],[SC Is Filled]],100 * SnapshotTable[[#This Row],[SC Qty]] * IF(ISNUMBER(SnapshotTable[[#This Row],[SC Buyback Override]]), SnapshotTable[[#This Row],[SC Buyback Override]], SnapshotTable[[#This Row],[SC Current Ask]]), "")</f>
        <v/>
      </c>
      <c r="FK14" s="235" t="str">
        <f>IF(SnapshotTable[[#This Row],[SC Time Val]]&gt;0, SnapshotTable[[#This Row],[SC Time Val]] / SnapshotTable[[#This Row],[Last Price]],"")</f>
        <v/>
      </c>
      <c r="FL14" s="280" t="str">
        <f>IF(SnapshotTable[[#This Row],[SC Is Booked]], ((SnapshotTable[[#This Row],[Last Price]] -SnapshotTable[[#This Row],[SC Strike Price]]) / SnapshotTable[[#This Row],[Last Price]]) * -1, "")</f>
        <v/>
      </c>
      <c r="FM14" s="155" t="str">
        <f>IF(SnapshotTable[[#This Row],[SC Is Booked]],  (SnapshotTable[[#This Row],[SC Qty]] * 100 * SnapshotTable[[#This Row],[SC Strike Price]]) - SnapshotTable[[#This Row],[SC Current Ask]], "")</f>
        <v/>
      </c>
      <c r="FN14"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 s="155" t="str">
        <f>IF(AND(ISNUMBER(SnapshotTable[[#This Row],[SC Exercise Gross]]), ISNUMBER(SnapshotTable[[#This Row],[Equity Basis Per Share]] )), SnapshotTable[[#This Row],[SC Exercise Gross]] - SnapshotTable[[#This Row],[Equity Basis Total]] +  SnapshotTable[[#This Row],[SC Premium]], "")</f>
        <v/>
      </c>
      <c r="FP14" s="5" t="str">
        <f>IF(ISNUMBER(SnapshotTable[[#This Row],[SC Exercise Gross]]), (SnapshotTable[[#This Row],[SC Exercise Gross]]) / (SnapshotTable[[#This Row],[SC Qty]] * 100), "")</f>
        <v/>
      </c>
      <c r="FQ14" s="27" t="str">
        <f>IF(SnapshotTable[[#This Row],[SC Is Booked]],SnapshotTable[[#This Row],[SC Time Val]] /SnapshotTable[[#This Row],[SC Basis]], "")</f>
        <v/>
      </c>
      <c r="FR14" s="27" t="str" cm="1">
        <f t="array" ref="FR14">IF(AND(ISNUMBER(SnapshotTable[[#This Row],[SC Term]]),ISNUMBER(SnapshotTable[[#This Row],[SC Simple ROO]])), EllmanAnnualize(SnapshotTable[[#This Row],[SC DTE]], SnapshotTable[[#This Row],[SC Simple ROO]] ),"")</f>
        <v/>
      </c>
      <c r="FS14" s="4">
        <f>IF(SnapshotTable[[#This Row],[SC Strike Price]] &gt; SnapshotTable[[#This Row],[Last Price]], SnapshotTable[[#This Row],[SC Strike Price]] - SnapshotTable[[#This Row],[Last Price]],0)</f>
        <v>0</v>
      </c>
      <c r="FT14" s="27" t="str">
        <f>IF(AND(ISNUMBER(SnapshotTable[[#This Row],[SC Upside Potential]]), SnapshotTable[[#This Row],[SC Upside Potential]] &gt; 0),(SnapshotTable[[#This Row],[SC Upside Potential]]/ SnapshotTable[[#This Row],[ACB]]),"")</f>
        <v/>
      </c>
      <c r="FU14" s="304" t="str">
        <f>IF(SnapshotTable[[#This Row],[SC Intrinsic Value]] &gt; 0,SnapshotTable[[#This Row],[SC Intrinsic Value]],"")</f>
        <v/>
      </c>
      <c r="FV14" s="27" t="str">
        <f>IF(AND( ISNUMBER( SnapshotTable[[#This Row],[ACB]]),ISNUMBER(SnapshotTable[[#This Row],[SC Downside Protect]])),SnapshotTable[[#This Row],[SC Downside Protect]] / SnapshotTable[[#This Row],[ACB]],"")</f>
        <v/>
      </c>
      <c r="FW14" s="221" t="str">
        <f>IF(AND(ISNUMBER(SnapshotTable[[#This Row],[SC Simple ROO]]),SnapshotTable[[#This Row],[SC Simple ROO]] &gt; 0), SnapshotTable[[#This Row],[SC Premium]] + (SnapshotTable[[#This Row],[SC Qty]] * SnapshotTable[[#This Row],[SC Upside Potential]]), "")</f>
        <v/>
      </c>
      <c r="FX14" s="280" t="str" cm="1">
        <f t="array" ref="FX14">IF(ISNUMBER(SnapshotTable[[#This Row],[SC Max Dollars]]), annualize(SnapshotTable[[#This Row],[SC Term]],(SnapshotTable[[#This Row],[SC Max Dollars]]/SnapshotTable[[#This Row],[SC Basis]])),"")</f>
        <v/>
      </c>
      <c r="FY14" s="221" t="str">
        <f>IF(AND(SnapshotTable[[#This Row],[SC Qty]]&gt;0,SnapshotTable[[#This Row],[SC Current Ask]]&gt;0), SnapshotTable[[#This Row],[SC Qty]] * SnapshotTable[[#This Row],[SC Current Ask]] * -100, "")</f>
        <v/>
      </c>
      <c r="FZ14" s="220" t="str">
        <f>IF(ISNUMBER((SnapshotTable[[#This Row],[SC Current Value]])), SnapshotTable[[#This Row],[SC Premium]] + SnapshotTable[[#This Row],[SC Current Value]], "")</f>
        <v/>
      </c>
      <c r="GA14" s="272" t="str">
        <f>IFERROR( IF(ISNUMBER((SnapshotTable[[#This Row],[SC Current Value]])), SnapshotTable[[#This Row],[SC Gain Loss]] / SnapshotTable[[#This Row],[SC Premium]], ""), "")</f>
        <v/>
      </c>
      <c r="GB14" s="42">
        <f>SnapshotTable[[#This Row],[Equity Shares]] * SaleSharesToConsiderPercentage</f>
        <v>0</v>
      </c>
      <c r="GC14" s="40">
        <f>SnapshotTable[[#This Row],[Long Term Target]] * SellingPriceToConsiderBasedOnTargetPercentage</f>
        <v>131.1</v>
      </c>
      <c r="GD14" s="40">
        <f>SnapshotTable[[#This Row],[Last Price]] * (1+ SellingPriceToConsiderBasedOnTargetPercentage)</f>
        <v>1077.0435</v>
      </c>
      <c r="GE14" s="41"/>
      <c r="GF14" s="40"/>
      <c r="GG14" s="31">
        <f>SnapshotTable[[#This Row],[Booked Sale Shares]] * SnapshotTable[[#This Row],[Booked Sale Price]]</f>
        <v>0</v>
      </c>
      <c r="GH14" s="31" t="str">
        <f>IF(SnapshotTable[[#This Row],[Equity Basis Total]] &gt; 0, SnapshotTable[[#This Row],[Equity Basis Per Share]] * SnapshotTable[[#This Row],[Booked Sale Shares]], "")</f>
        <v/>
      </c>
      <c r="GI14" s="31">
        <f>IF(SnapshotTable[[#This Row],[Sale Proceeds]]&gt;0, SnapshotTable[[#This Row],[Sale Proceeds]] - SnapshotTable[[#This Row],[Sale Basis]], 0)</f>
        <v>0</v>
      </c>
      <c r="GJ14" s="156" t="str">
        <f>IF(SnapshotTable[[#This Row],[Sale G/L]]&gt;0, SnapshotTable[[#This Row],[Sale G/L]] / SnapshotTable[[#This Row],[Sale Basis]], IF(ISNUMBER(SnapshotTable[[#This Row],[SC Exercise P&amp;L (TAX)]]), SnapshotTable[[#This Row],[SC Exercise P&amp;L (TAX)]] / SnapshotTable[[#This Row],[SC Basis]], ""))</f>
        <v/>
      </c>
      <c r="GK14" s="27"/>
      <c r="GL14" s="157" t="str">
        <f>IF(AND(SnapshotTable[[#This Row],[LP Exp Date]]&gt;0,SnapshotTable[[#This Row],[LP Strike Price]]&gt;0), [1]!ToOptionSymbol(SnapshotTable[[#This Row],[Symbol]], SnapshotTable[[#This Row],[LP Strike Price]],SnapshotTable[[#This Row],[LP Exp Date]],1), "")</f>
        <v/>
      </c>
      <c r="GM14" s="30" t="str">
        <f>IF(LEN(SnapshotTable[[#This Row],[LP Symbol]])&gt;0, 1, "")</f>
        <v/>
      </c>
      <c r="GN14" s="43" t="str">
        <f>IF(AND(SnapshotTable[[#This Row],[SP Exp Date]]&gt;0,SnapshotTable[[#This Row],[SP Strike Price]]&gt;0), [1]!ToOptionSymbol(SnapshotTable[[#This Row],[Symbol]], SnapshotTable[[#This Row],[SP Strike Price]],SnapshotTable[[#This Row],[SP Exp Date]],1), "")</f>
        <v/>
      </c>
      <c r="GO14" s="30" t="str">
        <f>IF(LEN(SnapshotTable[[#This Row],[SP Symbol]])&gt;0, 1, "")</f>
        <v/>
      </c>
      <c r="GP14" s="157" t="str">
        <f>IF(AND(SnapshotTable[[#This Row],[LC Exp Date]]&gt;0,SnapshotTable[[#This Row],[LC Strike Price]]&gt;0), [1]!ToOptionSymbol(SnapshotTable[[#This Row],[Symbol]], SnapshotTable[[#This Row],[LC Strike Price]],SnapshotTable[[#This Row],[LC Exp Date]],0), "")</f>
        <v/>
      </c>
      <c r="GQ14" s="158" t="str">
        <f>IF(LEN(SnapshotTable[[#This Row],[LC Symbol]])&gt;0, 1, "")</f>
        <v/>
      </c>
      <c r="GR14" s="157" t="str">
        <f>IF(AND(SnapshotTable[[#This Row],[SC Exp Date]]&gt;0,SnapshotTable[[#This Row],[SC Strike Price]]&gt;0), [1]!ToOptionSymbol(SnapshotTable[[#This Row],[Symbol]], SnapshotTable[[#This Row],[SC Strike Price]],SnapshotTable[[#This Row],[SC Exp Date]],0), "")</f>
        <v/>
      </c>
      <c r="GS14" s="158" t="str">
        <f>IF(LEN(SnapshotTable[[#This Row],[SC Symbol]])&gt;0, 1, "")</f>
        <v/>
      </c>
      <c r="GT14" s="159" t="str">
        <f>IF(COUNT(SnapshotTable[[#This Row],[LP Symbol Count]],SnapshotTable[[#This Row],[SP Symbol Count]],SnapshotTable[[#This Row],[LC Symbol Count]],SnapshotTable[[#This Row],[SC Symbol Count]])&gt;0, "Y", "")</f>
        <v/>
      </c>
      <c r="GU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 s="216">
        <f>MAX(SnapshotTable[[#This Row],[Equity Basis Total]],SnapshotTable[[#This Row],[Equity Value]]) + (SnapshotTable[[#This Row],[SP Potential Spend]]- SnapshotTable[[#This Row],[SP Premium]] + SnapshotTable[[#This Row],[LP Premium]])+ (SnapshotTable[[#This Row],[LC Premium]] - SnapshotTable[[#This Row],[SC Premium]])</f>
        <v>0</v>
      </c>
      <c r="GW14" s="137" t="str">
        <f>IF(AND(SnapshotTable[[#This Row],[Exposure]] &lt;&gt; 0),SnapshotTable[[#This Row],[Exposure]] / SnapshotTable[[#Totals],[Exposure]], "")</f>
        <v/>
      </c>
      <c r="HK14" s="1"/>
      <c r="HL14" s="1"/>
      <c r="HM14" s="1"/>
      <c r="HN14" s="1"/>
      <c r="HO14" s="1"/>
      <c r="HP14" s="1"/>
    </row>
    <row r="15" spans="2:224" ht="12.75" hidden="1" customHeight="1" x14ac:dyDescent="0.25">
      <c r="B15" s="12" t="s">
        <v>728</v>
      </c>
      <c r="C15" s="385">
        <v>2.66</v>
      </c>
      <c r="D15" s="200" t="s">
        <v>748</v>
      </c>
      <c r="E15" s="39">
        <f>SnapshotTable[[#This Row],[Last Price]]*(1 -CrashDiscount)</f>
        <v>2.2610000000000001</v>
      </c>
      <c r="F15" s="26" t="s">
        <v>729</v>
      </c>
      <c r="G15" s="26" t="s">
        <v>32</v>
      </c>
      <c r="H15" s="147"/>
      <c r="I15" s="186">
        <v>44784.677083333336</v>
      </c>
      <c r="J15" s="187">
        <v>44784.677083333336</v>
      </c>
      <c r="K15" s="188"/>
      <c r="L15" s="297"/>
      <c r="M15" s="138"/>
      <c r="N15" s="138"/>
      <c r="O15" s="138"/>
      <c r="P15" s="22"/>
      <c r="Q15" s="25"/>
      <c r="R15" s="4" t="str">
        <f>IF(SnapshotTable[[#This Row],[Equity Basis Total]] &gt; 0, SnapshotTable[[#This Row],[Equity Basis Total]] / SnapshotTable[[#This Row],[Equity Shares]], "")</f>
        <v/>
      </c>
      <c r="S15" s="254">
        <f>SnapshotTable[[#This Row],[Last Price]] * SnapshotTable[[#This Row],[Equity Shares]]</f>
        <v>0</v>
      </c>
      <c r="T15" s="254">
        <f>SnapshotTable[[#This Row],[Equity Value]] - SnapshotTable[[#This Row],[Equity Basis Total]]</f>
        <v>0</v>
      </c>
      <c r="U15" s="255" t="str">
        <f>IF(SnapshotTable[[#This Row],[Equity Basis Total]] &gt; 0, SnapshotTable[[#This Row],[Equity G/L]] / SnapshotTable[[#This Row],[Equity Basis Total]], "")</f>
        <v/>
      </c>
      <c r="V15" s="253"/>
      <c r="W15" s="253"/>
      <c r="X15" s="4" t="str">
        <f>IF(AND(ISNUMBER(SnapshotTable[[#This Row],[Equity Basis Per Share]]),ISNUMBER(SnapshotTable[[#This Row],[Equity Target]])),SnapshotTable[[#This Row],[Equity Target]]-SnapshotTable[[#This Row],[Equity Basis Per Share]],"")</f>
        <v/>
      </c>
      <c r="Y15" s="4" t="str">
        <f>IF(AND(ISNUMBER(SnapshotTable[[#This Row],[Equity Basis Per Share]]),ISNUMBER(SnapshotTable[[#This Row],[Equity Stop Loss]])),SnapshotTable[[#This Row],[Equity Stop Loss]]-SnapshotTable[[#This Row],[Equity Basis Per Share]],"")</f>
        <v/>
      </c>
      <c r="Z15" s="260" t="str">
        <f>IFERROR( TEXT(SnapshotTable[[#This Row],[Equity Max Gain Per Share]] /ABS( SnapshotTable[[#This Row],[Equity Max Loss Per Share]]),"0.0 " ) &amp; " : 1", "")</f>
        <v/>
      </c>
      <c r="AA15" s="31" t="str">
        <f>IF(ISNUMBER(SnapshotTable[[#This Row],[Equity Max Gain Per Share]]),SnapshotTable[[#This Row],[Equity Max Gain Per Share]] * SnapshotTable[[#This Row],[Equity Shares]],"")</f>
        <v/>
      </c>
      <c r="AB15" s="31" t="str">
        <f>IF(ISNUMBER(SnapshotTable[[#This Row],[Equity Max Loss Per Share]]),SnapshotTable[[#This Row],[Equity Max Loss Per Share]] * SnapshotTable[[#This Row],[Equity Shares]],"")</f>
        <v/>
      </c>
      <c r="AC15" s="148"/>
      <c r="AD15" s="149"/>
      <c r="AE15" s="31">
        <f>(SnapshotTable[[#This Row],[Annual Dividend Per Share]] / 4) * SnapshotTable[[#This Row],[Equity Shares]]</f>
        <v>0</v>
      </c>
      <c r="AF15" s="31">
        <f>SnapshotTable[[#This Row],[Quarterly Div $]] * 4</f>
        <v>0</v>
      </c>
      <c r="AG15" s="7">
        <f>IF(SnapshotTable[[#This Row],[Annual Dividend Per Share]]&gt;0, SnapshotTable[[#This Row],[Annual Dividend Per Share]]  / SnapshotTable[[#This Row],[Last Price]], 0)</f>
        <v>0</v>
      </c>
      <c r="AH15" s="149"/>
      <c r="AI15" s="5"/>
      <c r="AJ15" s="136" t="s">
        <v>111</v>
      </c>
      <c r="AK15" s="150" t="str">
        <f>IF(ISNUMBER( SnapshotTable[[#This Row],[EBF Target]]),(SnapshotTable[[#This Row],[EBF Target]] - SnapshotTable[[#This Row],[Last Price]]) / SnapshotTable[[#This Row],[Last Price]], "")</f>
        <v/>
      </c>
      <c r="AL15" s="150" t="str">
        <f>IF(AND(SnapshotTable[[#This Row],[Equity Basis Total]] &gt; 0,ISNUMBER( SnapshotTable[[#This Row],[Long Term Target]])), SnapshotTable[[#This Row],[From Basis $]] / SnapshotTable[[#This Row],[Equity Basis Total]], "")</f>
        <v/>
      </c>
      <c r="AM15" s="9">
        <f>IF( AND(SnapshotTable[[#This Row],[Equity Shares]] &gt;0,ISNUMBER( SnapshotTable[[#This Row],[Long Term Target]])),(SnapshotTable[[#This Row],[Equity Shares]] * SnapshotTable[[#This Row],[Long Term Target]]) - SnapshotTable[[#This Row],[Equity Basis Total]],0)</f>
        <v>0</v>
      </c>
      <c r="AN15" s="9">
        <f>IF( AND(SnapshotTable[[#This Row],[Equity Shares]] &gt;0,ISNUMBER( SnapshotTable[[#This Row],[Long Term Target]])),(SnapshotTable[[#This Row],[Equity Shares]]*SnapshotTable[[#This Row],[Long Term Target]]) - SnapshotTable[[#This Row],[Equity Value]],0)</f>
        <v>0</v>
      </c>
      <c r="AO15" s="5" t="str">
        <f>IF(AND(ISNUMBER( SnapshotTable[[#This Row],[Long Term Target]]), ISNUMBER(SnapshotTable[[#This Row],[Last Price]])),(SnapshotTable[[#This Row],[Long Term Target]] - SnapshotTable[[#This Row],[Last Price]]) / SnapshotTable[[#This Row],[Last Price]], "")</f>
        <v/>
      </c>
      <c r="AP15" s="5">
        <v>15</v>
      </c>
      <c r="AQ15" s="38" t="s">
        <v>16</v>
      </c>
      <c r="AR15" s="5">
        <v>15</v>
      </c>
      <c r="AS15" s="38" t="s">
        <v>22</v>
      </c>
      <c r="AT15" s="144" t="s">
        <v>442</v>
      </c>
      <c r="AU15" s="185" t="str">
        <f>IF(OR(SnapshotTable[[#This Row],[LP No Fill]]="Y",SnapshotTable[[#This Row],[SP Is Filled]],SnapshotTable[[#This Row],[LC Not Filled]]="Y",SnapshotTable[[#This Row],[SC Is Filled]]),"Y","")</f>
        <v/>
      </c>
      <c r="AV15" s="205"/>
      <c r="AW15" s="211"/>
      <c r="AX15" s="206"/>
      <c r="AY15" s="205" t="str">
        <f>IF(SnapshotTable[[#This Row],[Implied Move]]&gt;0, SnapshotTable[[#This Row],[Last Price]]-SnapshotTable[[#This Row],[Implied Move]],"")</f>
        <v/>
      </c>
      <c r="AZ15" s="205" t="str">
        <f>IF(SnapshotTable[[#This Row],[Implied Move]]&gt;0, SnapshotTable[[#This Row],[Last Price]] + SnapshotTable[[#This Row],[Implied Move]],"")</f>
        <v/>
      </c>
      <c r="BA15" s="302"/>
      <c r="BB15" s="318"/>
      <c r="BC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 s="321"/>
      <c r="BE15" s="5"/>
      <c r="BF15" s="14"/>
      <c r="BG15" s="13"/>
      <c r="BH15" s="13"/>
      <c r="BI15" s="5"/>
      <c r="BJ15" s="134">
        <f>IF(SnapshotTable[[#This Row],[LP Qty]] &gt; 0, SnapshotTable[[#This Row],[LP Qty]] * SnapshotTable[[#This Row],[LP Book Price]] * 100,0)</f>
        <v>0</v>
      </c>
      <c r="BK15" s="134">
        <f>IF(SnapshotTable[[#This Row],[LP Premium]] &gt; 0, SnapshotTable[[#This Row],[LP Qty]] * SnapshotTable[[#This Row],[LP Strike Price]] * 100,0)</f>
        <v>0</v>
      </c>
      <c r="BL15" s="152"/>
      <c r="BM15" s="355" t="str">
        <f>IF(SnapshotTable[[#This Row],[LP Premium]] &gt; 0,SnapshotTable[[#This Row],[LP Exp Date]]-MAX(SnapshotTable[[#This Row],[LP Book Date]], SnapshotTable[[#This Row],[LP Fill Date]]),"")</f>
        <v/>
      </c>
      <c r="BN15" s="355" t="str">
        <f>IF(ISNUMBER( SnapshotTable[[#This Row],[LP Term]]), SnapshotTable[[#This Row],[LP Exp Date]] - MockToday,"")</f>
        <v/>
      </c>
      <c r="BO15" s="161" t="str">
        <f>IF(AND(SnapshotTable[[#This Row],[LP Exp Date]]&gt;0, SnapshotTable[[#This Row],[LP Strike Price]]&gt;0,SnapshotTable[[#This Row],[LP Qty]]&gt;0,SnapshotTable[[#This Row],[LP Book Date]]&gt;0,SnapshotTable[[#This Row],[LP Book Price]]&gt;0,SnapshotTable[[#This Row],[LP Fill Date]]=0),"Y","")</f>
        <v/>
      </c>
      <c r="BP15" s="31" t="str">
        <f>IF(AND(SnapshotTable[[#This Row],[LP No Fill]]&lt;&gt;"Y",SnapshotTable[[#This Row],[LP Contract Value]]&gt;0, SnapshotTable[[#This Row],[LP Qty]]&gt;0), SnapshotTable[[#This Row],[LP Contract Value]]*SnapshotTable[[#This Row],[LP Qty]]*100,"")</f>
        <v/>
      </c>
      <c r="BQ15" s="13"/>
      <c r="BR15" s="5"/>
      <c r="BS15" s="36"/>
      <c r="BT15" s="145"/>
      <c r="BU15" s="13"/>
      <c r="BV15" s="5"/>
      <c r="BW15" s="382" t="b">
        <f>AND(ISNUMBER(SnapshotTable[[#This Row],[SP Exp Date]]), ISNUMBER(SnapshotTable[[#This Row],[SP Strike Price]]), ISNUMBER(SnapshotTable[[#This Row],[SP Qty]]), ISNUMBER(SnapshotTable[[#This Row],[SP Book Date]]), ISNUMBER(SnapshotTable[[#This Row],[SP Book Price]]))</f>
        <v>0</v>
      </c>
      <c r="BX15" s="382" t="b">
        <f>AND(SnapshotTable[[#This Row],[SP Is Booked]], NOT(ISBLANK(SnapshotTable[[#This Row],[SP Fill Date]])))</f>
        <v>0</v>
      </c>
      <c r="BY15" s="33">
        <f>IF(SnapshotTable[[#This Row],[SP Is Booked]], SnapshotTable[[#This Row],[SP Qty]] * SnapshotTable[[#This Row],[SP Book Price]] * 100, 0)</f>
        <v>0</v>
      </c>
      <c r="BZ15" s="339"/>
      <c r="CA15" s="338">
        <f>SnapshotTable[[#This Row],[LP Qty]]</f>
        <v>0</v>
      </c>
      <c r="CB15" s="4" t="str">
        <f>IF(SnapshotTable[[#This Row],[SP Is Booked]], SnapshotTable[[#This Row],[SP Strike Price]] - SnapshotTable[[#This Row],[SP Book Price]], "")</f>
        <v/>
      </c>
      <c r="CC15" s="19" t="str">
        <f>IF(SnapshotTable[[#This Row],[SP Is Booked]],SnapshotTable[[#This Row],[SP Exp Date]]-MAX(SnapshotTable[[#This Row],[SP Book Date]], SnapshotTable[[#This Row],[SP Fill Date]]),"")</f>
        <v/>
      </c>
      <c r="CD15" s="7" t="str">
        <f>IF(SnapshotTable[[#This Row],[SP Is Booked]], SnapshotTable[[#This Row],[SP Book Price]]/SnapshotTable[[#This Row],[SP Strike Price]], "")</f>
        <v/>
      </c>
      <c r="CE15" s="7" t="str">
        <f>IF(ISNUMBER(SnapshotTable[[#This Row],[SP ROO Term]]),SnapshotTable[[#This Row],[SP ROO Term]]*(365/SnapshotTable[[#This Row],[SP Term]]),"")</f>
        <v/>
      </c>
      <c r="CF15" s="221">
        <f>SnapshotTable[[#This Row],[LP Strike Price]] * SnapshotTable[[#This Row],[LP Qty]] * 100</f>
        <v>0</v>
      </c>
      <c r="CG15" s="31">
        <f>IF(ISNUMBER(SnapshotTable[[#This Row],[SP Premium]]), (SnapshotTable[[#This Row],[SP Qty]] * SnapshotTable[[#This Row],[SP Strike Price]]* 100) - SnapshotTable[[#This Row],[LP Protection]], 0)</f>
        <v>0</v>
      </c>
      <c r="CH15" s="7" t="str">
        <f>IF(ISNUMBER(SnapshotTable[[#This Row],[SP Break Even]]),-1 * (SnapshotTable[[#This Row],[SP Break Even]] - SnapshotTable[[#This Row],[Last Price]]) / SnapshotTable[[#This Row],[Last Price]], "")</f>
        <v/>
      </c>
      <c r="CI15" s="31">
        <f>IF(AND(ISNUMBER((SnapshotTable[[#This Row],[SP Potential Spend]])), SnapshotTable[[#This Row],[SP Strike Price]] &gt; SnapshotTable[[#This Row],[Last Price]], SnapshotTable[[#This Row],[SP Is Filled]]), SnapshotTable[[#This Row],[SP Potential Spend]] -  SnapshotTable[[#This Row],[LP Max Value]], 0)</f>
        <v>0</v>
      </c>
      <c r="CJ15" s="229"/>
      <c r="CK15" s="31">
        <f>IF(ISNUMBER(SnapshotTable[[#This Row],[SP Potential Spend]]),IF(ISNUMBER(SnapshotTable[[#This Row],[SP POW]]), SnapshotTable[[#This Row],[SP POW]] * SnapshotTable[[#This Row],[SP Potential Spend]], SnapshotTable[[#This Row],[SP Potential Spend]]), "")</f>
        <v>0</v>
      </c>
      <c r="CL15" s="162">
        <f>IF(NOT(SnapshotTable[[#This Row],[SP Is Filled]]),(SnapshotTable[[#This Row],[SP Qty]] * SnapshotTable[[#This Row],[SP Strike Price]] * 100) - SnapshotTable[[#This Row],[LP Max Value]],"")</f>
        <v>0</v>
      </c>
      <c r="CM15" s="31" t="str">
        <f>IF(SnapshotTable[[#This Row],[SP Actual Spend]]&lt;&gt;0, ((SnapshotTable[[#This Row],[SP Strike Price]]-SnapshotTable[[#This Row],[Last Price]]) *(SnapshotTable[[#This Row],[SP Qty]]*100) - SnapshotTable[[#This Row],[SP Premium]]) * - 1, "")</f>
        <v/>
      </c>
      <c r="CN15" s="76"/>
      <c r="CO15" s="339"/>
      <c r="CP15" s="4" t="str">
        <f>IF(SnapshotTable[[#This Row],[SP Is Filled]], btc_max_buyback_amount(SnapshotTable[[#This Row],[SP Fill Date]],SnapshotTable[[#This Row],[SP Exp Date]], SnapshotTable[[#This Row],[SP Book Price]]),"")</f>
        <v/>
      </c>
      <c r="CQ15" s="76"/>
      <c r="CR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 s="153" t="str">
        <f>IF(SnapshotTable[[#This Row],[SP Is Filled]], btc_next_cutoff_date(SnapshotTable[[#This Row],[SP Fill Date]],SnapshotTable[[#This Row],[SP Exp Date]]),"")</f>
        <v/>
      </c>
      <c r="CT15" s="220" t="str" cm="1">
        <f t="array" ref="CT15">IF(SnapshotTable[[#This Row],[SP Is Filled]], btc_should_buy_back(SnapshotTable[[#This Row],[SP Fill Date]], SnapshotTable[[#This Row],[SP Exp Date]], SnapshotTable[[#This Row],[SP Book Price]], SnapshotTable[[#This Row],[SP Current Ask]], MockToday, SnapshotTable[[#This Row],[SP Buyback Override]]),"")</f>
        <v/>
      </c>
      <c r="CU15" s="141"/>
      <c r="CV15" s="220"/>
      <c r="CW15" s="348" t="str">
        <f>IF(ISNUMBER( SnapshotTable[[#This Row],[SP Term]]), SnapshotTable[[#This Row],[SP Exp Date]] - MockToday,"")</f>
        <v/>
      </c>
      <c r="CX15" s="31" t="str">
        <f>IF(SnapshotTable[[#This Row],[SP Is Filled]],SnapshotTable[[#This Row],[SP Buyback Price to Use]] * 100 * SnapshotTable[[#This Row],[SP Qty]], "")</f>
        <v/>
      </c>
      <c r="CY15" s="4" t="str">
        <f>IF(ISNUMBER(SnapshotTable[[#This Row],[SP Strike Price]]), SnapshotTable[[#This Row],[SP Strike Price]] * (1 - SP_MaxLoss_StrikePct), "")</f>
        <v/>
      </c>
      <c r="CZ15" s="31" t="str">
        <f>IF(ISNUMBER(SnapshotTable[[#This Row],[SP Strike  Stop Per Share]]),SnapshotTable[[#This Row],[SP Premium]] - ((SnapshotTable[[#This Row],[SP Strike Price]]-SnapshotTable[[#This Row],[SP Strike  Stop Per Share]]) *(SnapshotTable[[#This Row],[SP Qty]] * 100)),"")</f>
        <v/>
      </c>
      <c r="DA15" s="4" t="str">
        <f>IF(AND(ISNUMBER(SnapshotTable[[#This Row],[SP Premium]]),SnapshotTable[[#This Row],[SP Premium]]&gt;0), SnapshotTable[[#This Row],[SP Book Price]] * (1 + SP_MaxLoss_OptionPct), "")</f>
        <v/>
      </c>
      <c r="DB15" s="31" t="str">
        <f>IF(ISNUMBER(SnapshotTable[[#This Row],[SP Option  Stop Contract]]),(SnapshotTable[[#This Row],[SP Option  Stop Contract]] *(SnapshotTable[[#This Row],[SP Qty]] * 100) - SnapshotTable[[#This Row],[SP Premium]]),"")</f>
        <v/>
      </c>
      <c r="DC15" s="4"/>
      <c r="DD15" s="4"/>
      <c r="DE15" s="4" t="str">
        <f>IF(AND(SnapshotTable[[#This Row],[SP Qty]]&gt;0, SnapshotTable[[#This Row],[SP Stop To Use]]&gt;0),SnapshotTable[[#This Row],[SP Premium]] - ( SnapshotTable[[#This Row],[SP Qty]] * SnapshotTable[[#This Row],[SP Stop To Use]] * 100), "")</f>
        <v/>
      </c>
      <c r="DF15" s="31" t="str">
        <f>IF(AND(SnapshotTable[[#This Row],[SP Qty]]&gt;0,SnapshotTable[[#This Row],[SP Current Ask]]&gt;0), SnapshotTable[[#This Row],[SP Qty]] * SnapshotTable[[#This Row],[SP Current Ask]] * -100, "")</f>
        <v/>
      </c>
      <c r="DG15" s="31" t="str">
        <f>IF(ISNUMBER((SnapshotTable[[#This Row],[SP Total Value]])), SnapshotTable[[#This Row],[SP Premium]] + SnapshotTable[[#This Row],[SP Total Value]], "")</f>
        <v/>
      </c>
      <c r="DH15" s="272" t="str">
        <f>IF(ISNUMBER((SnapshotTable[[#This Row],[SP Total Value]])), SnapshotTable[[#This Row],[SP Gain Loss]] / SnapshotTable[[#This Row],[SP Premium]], "")</f>
        <v/>
      </c>
      <c r="DI15" s="369"/>
      <c r="DJ15" s="136"/>
      <c r="DK15" s="146"/>
      <c r="DL15" s="13"/>
      <c r="DM15" s="13"/>
      <c r="DO15" s="31">
        <f>IF(SnapshotTable[[#This Row],[LC Symbol Count]]=1, SnapshotTable[[#This Row],[LC Qty]] * SnapshotTable[[#This Row],[LC Book Price]] * 100, 0)</f>
        <v>0</v>
      </c>
      <c r="DP15" s="161" t="str">
        <f>IF(AND(SnapshotTable[[#This Row],[LC Exp Date]]&gt;0, SnapshotTable[[#This Row],[LC Strike Price]]&gt;0,SnapshotTable[[#This Row],[LC Qty]]&gt;0,SnapshotTable[[#This Row],[LC Book Date]]&gt;0,SnapshotTable[[#This Row],[LC Book Price]]&gt;0,SnapshotTable[[#This Row],[LC Fill Date]]=0),"Y","")</f>
        <v/>
      </c>
      <c r="DQ15" s="356" t="str">
        <f>IF(SnapshotTable[[#This Row],[LC Premium]] &gt; 0,SnapshotTable[[#This Row],[LC Exp Date]]-MAX(SnapshotTable[[#This Row],[LC Book Date]], SnapshotTable[[#This Row],[LC Fill Date]]),"")</f>
        <v/>
      </c>
      <c r="DR15" s="356" t="str">
        <f>IF(ISNUMBER(SnapshotTable[[#This Row],[LC Term]]), SnapshotTable[[#This Row],[LC Exp Date]] - MockToday, "")</f>
        <v/>
      </c>
      <c r="DS15" s="219" t="str">
        <f>IF(SnapshotTable[[#This Row],[LC Premium]]&gt;0,SnapshotTable[[#This Row],[LC Strike Price]] + SnapshotTable[[#This Row],[LC Book Price]],"")</f>
        <v/>
      </c>
      <c r="DU15" s="9" t="str">
        <f>IF(AND(SnapshotTable[[#This Row],[LC Symbol Count]]&gt;0, SnapshotTable[[#This Row],[LC Contract Value]]&gt;0), SnapshotTable[[#This Row],[LC Contract Value]] * SnapshotTable[[#This Row],[LC Qty]] * 100, "")</f>
        <v/>
      </c>
      <c r="DV15" s="9" t="str">
        <f>IF(AND(ISNUMBER(SnapshotTable[[#This Row],[LC Total Value]]), SnapshotTable[[#This Row],[LC Not Filled]]&lt;&gt;"Y"), SnapshotTable[[#This Row],[LC Total Value]]-SnapshotTable[[#This Row],[LC Premium]],"")</f>
        <v/>
      </c>
      <c r="DW15" s="225" t="str">
        <f>IF(ISNUMBER(SnapshotTable[[#This Row],[LC Actual Gain Loss]]), SnapshotTable[[#This Row],[LC Actual Gain Loss]] / SnapshotTable[[#This Row],[LC Premium]],"")</f>
        <v/>
      </c>
      <c r="DX15" s="269" t="str">
        <f>IF(ISNUMBER(SnapshotTable[[#This Row],[LC Book Price]]),SnapshotTable[[#This Row],[LC Book Price]] * 1.5,"")</f>
        <v/>
      </c>
      <c r="DY15" s="250" t="str">
        <f>IF(SnapshotTable[[#This Row],[LC Premium]]&gt;0, SnapshotTable[[#This Row],[LC Next Target]] * SnapshotTable[[#This Row],[LC Qty]] * 100,"")</f>
        <v/>
      </c>
      <c r="DZ15" s="250" t="str">
        <f>IF(ISNUMBER(SnapshotTable[[#This Row],[LC Target Gross]]), SnapshotTable[[#This Row],[LC Target Gross]] - SnapshotTable[[#This Row],[LC Premium]], "")</f>
        <v/>
      </c>
      <c r="EA15" s="283" t="str">
        <f>IF(ISNUMBER(SnapshotTable[[#This Row],[LC Target Gain Loss]]), SnapshotTable[[#This Row],[LC Target Gain Loss]]/SnapshotTable[[#This Row],[LC Premium]], "")</f>
        <v/>
      </c>
      <c r="EB15" s="247"/>
      <c r="EC15" s="268" t="str">
        <f>IF(SnapshotTable[[#This Row],[LC Premium]]&gt;0, SnapshotTable[[#This Row],[LC Book Price]] * (1 - LC_StopLoss_Pct),"")</f>
        <v/>
      </c>
      <c r="ED15" s="269"/>
      <c r="EE15" s="268" t="str">
        <f>IF(ISNUMBER(SnapshotTable[[#This Row],[LC Contract Value]]),IF(ISNUMBER(SnapshotTable[[#This Row],[LC Stop Loss Override]]), SnapshotTable[[#This Row],[LC Stop Loss Override]],SnapshotTable[[#This Row],[LC Stop Loss Calc Target]]),"")</f>
        <v/>
      </c>
      <c r="EF15" s="31" t="str">
        <f>IF(ISNUMBER(SnapshotTable[[#This Row],[LC Stop  To Use]]), (SnapshotTable[[#This Row],[LC Stop  To Use]] * SnapshotTable[[#This Row],[LC Qty]] * 100),"")</f>
        <v/>
      </c>
      <c r="EG15" s="9" t="str">
        <f>IF(ISNUMBER(SnapshotTable[[#This Row],[LC Total Value]]),SnapshotTable[[#This Row],[LC Stop Loss Amount]] - SnapshotTable[[#This Row],[LC Premium]],"")</f>
        <v/>
      </c>
      <c r="EH15" s="9">
        <f>IF(ISNUMBER(SnapshotTable[[#This Row],[LC Premium]]), SnapshotTable[[#This Row],[LC Qty]] * 100 * SnapshotTable[[#This Row],[LC Strike Price]], "")</f>
        <v>0</v>
      </c>
      <c r="EI15" s="225" t="str">
        <f>IF(AND(ISNUMBER(SnapshotTable[[#This Row],[LC Total Value]]),SnapshotTable[[#This Row],[LC Total Value]]&gt;0),SnapshotTable[[#This Row],[LC Stop Gain Loss]]  / SnapshotTable[[#This Row],[LC Premium]],"")</f>
        <v/>
      </c>
      <c r="EJ15" s="35">
        <f>IF(ISNUMBER(SnapshotTable[[#This Row],[Equity Shares]]),TRUNC(SnapshotTable[[#This Row],[Equity Shares]] / 100),0) + SnapshotTable[[#This Row],[LC Qty]]</f>
        <v>0</v>
      </c>
      <c r="EK15" s="145"/>
      <c r="EL15" s="136"/>
      <c r="EM15" s="146"/>
      <c r="EN15" s="145"/>
      <c r="EO15" s="145"/>
      <c r="EP15" s="136"/>
      <c r="EQ15" s="382" t="b">
        <f>AND(ISNUMBER(SnapshotTable[[#This Row],[SC Exp Date]]), ISNUMBER(SnapshotTable[[#This Row],[SC Strike Price]]), ISNUMBER(SnapshotTable[[#This Row],[SC Qty]]), ISNUMBER(SnapshotTable[[#This Row],[SC Book Date]]), ISNUMBER(SnapshotTable[[#This Row],[SC Book Price]]))</f>
        <v>0</v>
      </c>
      <c r="ER15" s="382" t="b">
        <f>AND(SnapshotTable[[#This Row],[SC Is Booked]], NOT(ISBLANK(SnapshotTable[[#This Row],[SC Fill Date]])))</f>
        <v>0</v>
      </c>
      <c r="ES15" s="340"/>
      <c r="ET15" s="34" t="str">
        <f>IF(AND(ISNUMBER(SnapshotTable[[#This Row],[SC Exp Date]]), ISNUMBER(SnapshotTable[[#This Row],[SC Book Date]])), SnapshotTable[[#This Row],[SC Exp Date]] - MAX(SnapshotTable[[#This Row],[SC Book Date]], SnapshotTable[[#This Row],[SC Fill Date]]) + 1, "")</f>
        <v/>
      </c>
      <c r="EU15" s="34" t="str">
        <f>IF(ISNUMBER(SnapshotTable[[#This Row],[SC Term]]), SnapshotTable[[#This Row],[SC Exp Date]]- MockToday, "")</f>
        <v/>
      </c>
      <c r="EV15" s="31">
        <f>IF(SnapshotTable[[#This Row],[SC Is Booked]], SnapshotTable[[#This Row],[SC Qty]] * SnapshotTable[[#This Row],[SC Book Price]] * 100, 0)</f>
        <v>0</v>
      </c>
      <c r="EW15" s="4" t="str">
        <f>IF(AND(ISNUMBER(SnapshotTable[[#This Row],[Last Price]]), ISNUMBER( SnapshotTable[[#This Row],[SC Book Price]])), SnapshotTable[[#This Row],[Last Price]] - SnapshotTable[[#This Row],[SC Book Price]],"")</f>
        <v/>
      </c>
      <c r="EX15" s="219" t="str">
        <f>IF(SnapshotTable[[#This Row],[SC Is Booked]],IF(SnapshotTable[[#This Row],[SC Intrinsic Value]] &gt; 0, SnapshotTable[[#This Row],[SC Strike Price]], SnapshotTable[[#This Row],[Last Price]]), "")</f>
        <v/>
      </c>
      <c r="EY15" s="4">
        <f>IF(SnapshotTable[[#This Row],[SC Is Booked]], (MinimumPremiumRequired * SnapshotTable[[#This Row],[SC Basis]] * SnapshotTable[[#This Row],[SC Term]]), 0)</f>
        <v>0</v>
      </c>
      <c r="EZ15" s="268"/>
      <c r="FA15" s="204"/>
      <c r="FB15" s="340"/>
      <c r="FC15" s="4">
        <f>IF(SnapshotTable[[#This Row],[SC Is Filled]], btc_max_buyback_amount(SnapshotTable[[#This Row],[SC Fill Date]],SnapshotTable[[#This Row],[SC Exp Date]], SnapshotTable[[#This Row],[SC Book Price]]),0)</f>
        <v>0</v>
      </c>
      <c r="FD15" s="5"/>
      <c r="FE15" s="142" t="str">
        <f>IF(SnapshotTable[[#This Row],[SC Is Filled]], btc_next_cutoff_date(SnapshotTable[[#This Row],[SC Fill Date]],SnapshotTable[[#This Row],[SC Exp Date]]),"")</f>
        <v/>
      </c>
      <c r="FF15" s="4" t="str" cm="1">
        <f t="array" ref="FF15">IF(SnapshotTable[[#This Row],[SC Is Filled]], btc_should_buy_back(SnapshotTable[[#This Row],[SC Fill Date]], SnapshotTable[[#This Row],[SC Exp Date]], SnapshotTable[[#This Row],[SC Book Price]], SnapshotTable[[#This Row],[SC Current Ask]], MockToday, SnapshotTable[[#This Row],[SC Buyback Override]]),"")</f>
        <v/>
      </c>
      <c r="FG15" s="4">
        <f>IF(SnapshotTable[[#This Row],[SC Is Filled]], MAX(0,SnapshotTable[[#This Row],[Last Price]]  - SnapshotTable[[#This Row],[SC Strike Price]]), 0)</f>
        <v>0</v>
      </c>
      <c r="FH15" s="352">
        <f>IF(SnapshotTable[[#This Row],[SC Is Filled]], IF(ISNUMBER(SnapshotTable[[#This Row],[SC Current Ask]]), SnapshotTable[[#This Row],[SC Current Ask]], SnapshotTable[[#This Row],[SC Book Price]]) - SnapshotTable[[#This Row],[SC Intrinsic Value]], 0)</f>
        <v>0</v>
      </c>
      <c r="FI15" s="141">
        <v>45786</v>
      </c>
      <c r="FJ15" s="32" t="str">
        <f>IF(SnapshotTable[[#This Row],[SC Is Filled]],100 * SnapshotTable[[#This Row],[SC Qty]] * IF(ISNUMBER(SnapshotTable[[#This Row],[SC Buyback Override]]), SnapshotTable[[#This Row],[SC Buyback Override]], SnapshotTable[[#This Row],[SC Current Ask]]), "")</f>
        <v/>
      </c>
      <c r="FK15" s="235" t="str">
        <f>IF(SnapshotTable[[#This Row],[SC Time Val]]&gt;0, SnapshotTable[[#This Row],[SC Time Val]] / SnapshotTable[[#This Row],[Last Price]],"")</f>
        <v/>
      </c>
      <c r="FL15" s="280" t="str">
        <f>IF(SnapshotTable[[#This Row],[SC Is Booked]], ((SnapshotTable[[#This Row],[Last Price]] -SnapshotTable[[#This Row],[SC Strike Price]]) / SnapshotTable[[#This Row],[Last Price]]) * -1, "")</f>
        <v/>
      </c>
      <c r="FM15" s="155" t="str">
        <f>IF(SnapshotTable[[#This Row],[SC Is Booked]],  (SnapshotTable[[#This Row],[SC Qty]] * 100 * SnapshotTable[[#This Row],[SC Strike Price]]) - SnapshotTable[[#This Row],[SC Current Ask]], "")</f>
        <v/>
      </c>
      <c r="FN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 s="31" t="str">
        <f>IF(AND(ISNUMBER(SnapshotTable[[#This Row],[SC Exercise Gross]]), ISNUMBER(SnapshotTable[[#This Row],[Equity Basis Per Share]] )), SnapshotTable[[#This Row],[SC Exercise Gross]] - SnapshotTable[[#This Row],[Equity Basis Total]] +  SnapshotTable[[#This Row],[SC Premium]], "")</f>
        <v/>
      </c>
      <c r="FP15" s="5" t="str">
        <f>IF(ISNUMBER(SnapshotTable[[#This Row],[SC Exercise Gross]]), (SnapshotTable[[#This Row],[SC Exercise Gross]]) / (SnapshotTable[[#This Row],[SC Qty]] * 100), "")</f>
        <v/>
      </c>
      <c r="FQ15" s="27" t="str">
        <f>IF(SnapshotTable[[#This Row],[SC Is Booked]],SnapshotTable[[#This Row],[SC Time Val]] /SnapshotTable[[#This Row],[SC Basis]], "")</f>
        <v/>
      </c>
      <c r="FR15" s="27" t="str" cm="1">
        <f t="array" ref="FR15">IF(AND(ISNUMBER(SnapshotTable[[#This Row],[SC Term]]),ISNUMBER(SnapshotTable[[#This Row],[SC Simple ROO]])), EllmanAnnualize(SnapshotTable[[#This Row],[SC DTE]], SnapshotTable[[#This Row],[SC Simple ROO]] ),"")</f>
        <v/>
      </c>
      <c r="FS15" s="4">
        <f>IF(SnapshotTable[[#This Row],[SC Strike Price]] &gt; SnapshotTable[[#This Row],[Last Price]], SnapshotTable[[#This Row],[SC Strike Price]] - SnapshotTable[[#This Row],[Last Price]],0)</f>
        <v>0</v>
      </c>
      <c r="FT15" s="27" t="str">
        <f>IF(AND(ISNUMBER(SnapshotTable[[#This Row],[SC Upside Potential]]), SnapshotTable[[#This Row],[SC Upside Potential]] &gt; 0),(SnapshotTable[[#This Row],[SC Upside Potential]]/ SnapshotTable[[#This Row],[ACB]]),"")</f>
        <v/>
      </c>
      <c r="FU15" s="304" t="str">
        <f>IF(SnapshotTable[[#This Row],[SC Intrinsic Value]] &gt; 0,SnapshotTable[[#This Row],[SC Intrinsic Value]],"")</f>
        <v/>
      </c>
      <c r="FV15" s="27" t="str">
        <f>IF(AND( ISNUMBER( SnapshotTable[[#This Row],[ACB]]),ISNUMBER(SnapshotTable[[#This Row],[SC Downside Protect]])),SnapshotTable[[#This Row],[SC Downside Protect]] / SnapshotTable[[#This Row],[ACB]],"")</f>
        <v/>
      </c>
      <c r="FW15" s="221" t="str">
        <f>IF(AND(ISNUMBER(SnapshotTable[[#This Row],[SC Simple ROO]]),SnapshotTable[[#This Row],[SC Simple ROO]] &gt; 0), SnapshotTable[[#This Row],[SC Premium]] + (SnapshotTable[[#This Row],[SC Qty]] * SnapshotTable[[#This Row],[SC Upside Potential]]), "")</f>
        <v/>
      </c>
      <c r="FX15" s="280" t="str" cm="1">
        <f t="array" ref="FX15">IF(ISNUMBER(SnapshotTable[[#This Row],[SC Max Dollars]]), annualize(SnapshotTable[[#This Row],[SC Term]],(SnapshotTable[[#This Row],[SC Max Dollars]]/SnapshotTable[[#This Row],[SC Basis]])),"")</f>
        <v/>
      </c>
      <c r="FY15" s="221" t="str">
        <f>IF(AND(SnapshotTable[[#This Row],[SC Qty]]&gt;0,SnapshotTable[[#This Row],[SC Current Ask]]&gt;0), SnapshotTable[[#This Row],[SC Qty]] * SnapshotTable[[#This Row],[SC Current Ask]] * -100, "")</f>
        <v/>
      </c>
      <c r="FZ15" s="31" t="str">
        <f>IF(ISNUMBER((SnapshotTable[[#This Row],[SC Current Value]])), SnapshotTable[[#This Row],[SC Premium]] + SnapshotTable[[#This Row],[SC Current Value]], "")</f>
        <v/>
      </c>
      <c r="GA15" s="272" t="str">
        <f>IFERROR( IF(ISNUMBER((SnapshotTable[[#This Row],[SC Current Value]])), SnapshotTable[[#This Row],[SC Gain Loss]] / SnapshotTable[[#This Row],[SC Premium]], ""), "")</f>
        <v/>
      </c>
      <c r="GB15" s="42">
        <f>SnapshotTable[[#This Row],[Equity Shares]] * SaleSharesToConsiderPercentage</f>
        <v>0</v>
      </c>
      <c r="GC15" s="40" t="e">
        <f>SnapshotTable[[#This Row],[Long Term Target]] * SellingPriceToConsiderBasedOnTargetPercentage</f>
        <v>#VALUE!</v>
      </c>
      <c r="GD15" s="40">
        <f>SnapshotTable[[#This Row],[Last Price]] * (1+ SellingPriceToConsiderBasedOnTargetPercentage)</f>
        <v>5.1870000000000003</v>
      </c>
      <c r="GE15" s="41"/>
      <c r="GF15" s="40"/>
      <c r="GG15" s="31">
        <f>SnapshotTable[[#This Row],[Booked Sale Shares]] * SnapshotTable[[#This Row],[Booked Sale Price]]</f>
        <v>0</v>
      </c>
      <c r="GH15" s="31" t="str">
        <f>IF(SnapshotTable[[#This Row],[Equity Basis Total]] &gt; 0, SnapshotTable[[#This Row],[Equity Basis Per Share]] * SnapshotTable[[#This Row],[Booked Sale Shares]], "")</f>
        <v/>
      </c>
      <c r="GI15" s="31">
        <f>IF(SnapshotTable[[#This Row],[Sale Proceeds]]&gt;0, SnapshotTable[[#This Row],[Sale Proceeds]] - SnapshotTable[[#This Row],[Sale Basis]], 0)</f>
        <v>0</v>
      </c>
      <c r="GJ15" s="27" t="str">
        <f>IF(SnapshotTable[[#This Row],[Sale G/L]]&gt;0, SnapshotTable[[#This Row],[Sale G/L]] / SnapshotTable[[#This Row],[Sale Basis]], IF(ISNUMBER(SnapshotTable[[#This Row],[SC Exercise P&amp;L (TAX)]]), SnapshotTable[[#This Row],[SC Exercise P&amp;L (TAX)]] / SnapshotTable[[#This Row],[SC Basis]], ""))</f>
        <v/>
      </c>
      <c r="GK15" s="27"/>
      <c r="GL15" s="43" t="str">
        <f>IF(AND(SnapshotTable[[#This Row],[LP Exp Date]]&gt;0,SnapshotTable[[#This Row],[LP Strike Price]]&gt;0), [1]!ToOptionSymbol(SnapshotTable[[#This Row],[Symbol]], SnapshotTable[[#This Row],[LP Strike Price]],SnapshotTable[[#This Row],[LP Exp Date]],1), "")</f>
        <v/>
      </c>
      <c r="GM15" s="30" t="str">
        <f>IF(LEN(SnapshotTable[[#This Row],[LP Symbol]])&gt;0, 1, "")</f>
        <v/>
      </c>
      <c r="GN15" s="43" t="str">
        <f>IF(AND(SnapshotTable[[#This Row],[SP Exp Date]]&gt;0,SnapshotTable[[#This Row],[SP Strike Price]]&gt;0), [1]!ToOptionSymbol(SnapshotTable[[#This Row],[Symbol]], SnapshotTable[[#This Row],[SP Strike Price]],SnapshotTable[[#This Row],[SP Exp Date]],1), "")</f>
        <v/>
      </c>
      <c r="GO15" s="30" t="str">
        <f>IF(LEN(SnapshotTable[[#This Row],[SP Symbol]])&gt;0, 1, "")</f>
        <v/>
      </c>
      <c r="GP15" s="43" t="str">
        <f>IF(AND(SnapshotTable[[#This Row],[LC Exp Date]]&gt;0,SnapshotTable[[#This Row],[LC Strike Price]]&gt;0), [1]!ToOptionSymbol(SnapshotTable[[#This Row],[Symbol]], SnapshotTable[[#This Row],[LC Strike Price]],SnapshotTable[[#This Row],[LC Exp Date]],0), "")</f>
        <v/>
      </c>
      <c r="GQ15" s="30" t="str">
        <f>IF(LEN(SnapshotTable[[#This Row],[LC Symbol]])&gt;0, 1, "")</f>
        <v/>
      </c>
      <c r="GR15" s="43" t="str">
        <f>IF(AND(SnapshotTable[[#This Row],[SC Exp Date]]&gt;0,SnapshotTable[[#This Row],[SC Strike Price]]&gt;0), [1]!ToOptionSymbol(SnapshotTable[[#This Row],[Symbol]], SnapshotTable[[#This Row],[SC Strike Price]],SnapshotTable[[#This Row],[SC Exp Date]],0), "")</f>
        <v/>
      </c>
      <c r="GS15" s="30" t="str">
        <f>IF(LEN(SnapshotTable[[#This Row],[SC Symbol]])&gt;0, 1, "")</f>
        <v/>
      </c>
      <c r="GT15" s="29" t="str">
        <f>IF(COUNT(SnapshotTable[[#This Row],[LP Symbol Count]],SnapshotTable[[#This Row],[SP Symbol Count]],SnapshotTable[[#This Row],[LC Symbol Count]],SnapshotTable[[#This Row],[SC Symbol Count]])&gt;0, "Y", "")</f>
        <v/>
      </c>
      <c r="GU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 s="216">
        <f>MAX(SnapshotTable[[#This Row],[Equity Basis Total]],SnapshotTable[[#This Row],[Equity Value]]) + (SnapshotTable[[#This Row],[SP Potential Spend]]- SnapshotTable[[#This Row],[SP Premium]] + SnapshotTable[[#This Row],[LP Premium]])+ (SnapshotTable[[#This Row],[LC Premium]] - SnapshotTable[[#This Row],[SC Premium]])</f>
        <v>0</v>
      </c>
      <c r="GW15" s="137" t="str">
        <f>IF(AND(SnapshotTable[[#This Row],[Exposure]] &lt;&gt; 0),SnapshotTable[[#This Row],[Exposure]] / SnapshotTable[[#Totals],[Exposure]], "")</f>
        <v/>
      </c>
      <c r="HK15" s="1"/>
      <c r="HL15" s="1"/>
      <c r="HM15" s="1"/>
      <c r="HN15" s="1"/>
      <c r="HO15" s="1"/>
      <c r="HP15" s="1"/>
    </row>
    <row r="16" spans="2:224" ht="12.75" hidden="1" customHeight="1" x14ac:dyDescent="0.25">
      <c r="B16" s="12" t="s">
        <v>880</v>
      </c>
      <c r="C16" s="385">
        <v>141.94999999999999</v>
      </c>
      <c r="D16" s="200"/>
      <c r="E16" s="39">
        <f>SnapshotTable[[#This Row],[Last Price]]*(1 -CrashDiscount)</f>
        <v>120.65749999999998</v>
      </c>
      <c r="F16" s="26" t="s">
        <v>168</v>
      </c>
      <c r="G16" s="26" t="s">
        <v>7</v>
      </c>
      <c r="H16" s="147"/>
      <c r="I16" s="186"/>
      <c r="J16" s="187"/>
      <c r="K16" s="188"/>
      <c r="L16" s="297"/>
      <c r="M16" s="138"/>
      <c r="N16" s="138"/>
      <c r="O16" s="138"/>
      <c r="P16" s="22"/>
      <c r="Q16" s="25"/>
      <c r="R16" s="4" t="str">
        <f>IF(SnapshotTable[[#This Row],[Equity Basis Total]] &gt; 0, SnapshotTable[[#This Row],[Equity Basis Total]] / SnapshotTable[[#This Row],[Equity Shares]], "")</f>
        <v/>
      </c>
      <c r="S16" s="254">
        <f>SnapshotTable[[#This Row],[Last Price]] * SnapshotTable[[#This Row],[Equity Shares]]</f>
        <v>0</v>
      </c>
      <c r="T16" s="254">
        <f>SnapshotTable[[#This Row],[Equity Value]] - SnapshotTable[[#This Row],[Equity Basis Total]]</f>
        <v>0</v>
      </c>
      <c r="U16" s="255" t="str">
        <f>IF(SnapshotTable[[#This Row],[Equity Basis Total]] &gt; 0, SnapshotTable[[#This Row],[Equity G/L]] / SnapshotTable[[#This Row],[Equity Basis Total]], "")</f>
        <v/>
      </c>
      <c r="V16" s="253"/>
      <c r="W16" s="253"/>
      <c r="X16" s="4" t="str">
        <f>IF(AND(ISNUMBER(SnapshotTable[[#This Row],[Equity Basis Per Share]]),ISNUMBER(SnapshotTable[[#This Row],[Equity Target]])),SnapshotTable[[#This Row],[Equity Target]]-SnapshotTable[[#This Row],[Equity Basis Per Share]],"")</f>
        <v/>
      </c>
      <c r="Y16" s="4" t="str">
        <f>IF(AND(ISNUMBER(SnapshotTable[[#This Row],[Equity Basis Per Share]]),ISNUMBER(SnapshotTable[[#This Row],[Equity Stop Loss]])),SnapshotTable[[#This Row],[Equity Stop Loss]]-SnapshotTable[[#This Row],[Equity Basis Per Share]],"")</f>
        <v/>
      </c>
      <c r="Z16" s="260" t="str">
        <f>IFERROR( TEXT(SnapshotTable[[#This Row],[Equity Max Gain Per Share]] /ABS( SnapshotTable[[#This Row],[Equity Max Loss Per Share]]),"0.0 " ) &amp; " : 1", "")</f>
        <v/>
      </c>
      <c r="AA16" s="31" t="str">
        <f>IF(ISNUMBER(SnapshotTable[[#This Row],[Equity Max Gain Per Share]]),SnapshotTable[[#This Row],[Equity Max Gain Per Share]] * SnapshotTable[[#This Row],[Equity Shares]],"")</f>
        <v/>
      </c>
      <c r="AB16" s="31" t="str">
        <f>IF(ISNUMBER(SnapshotTable[[#This Row],[Equity Max Loss Per Share]]),SnapshotTable[[#This Row],[Equity Max Loss Per Share]] * SnapshotTable[[#This Row],[Equity Shares]],"")</f>
        <v/>
      </c>
      <c r="AC16" s="148"/>
      <c r="AD16" s="149"/>
      <c r="AE16" s="31">
        <f>(SnapshotTable[[#This Row],[Annual Dividend Per Share]] / 4) * SnapshotTable[[#This Row],[Equity Shares]]</f>
        <v>0</v>
      </c>
      <c r="AF16" s="31">
        <f>SnapshotTable[[#This Row],[Quarterly Div $]] * 4</f>
        <v>0</v>
      </c>
      <c r="AG16" s="7">
        <f>IF(SnapshotTable[[#This Row],[Annual Dividend Per Share]]&gt;0, SnapshotTable[[#This Row],[Annual Dividend Per Share]]  / SnapshotTable[[#This Row],[Last Price]], 0)</f>
        <v>0</v>
      </c>
      <c r="AH16" s="149"/>
      <c r="AI16" s="5"/>
      <c r="AJ16" s="136">
        <v>213.75</v>
      </c>
      <c r="AK16" s="150" t="str">
        <f>IF(ISNUMBER( SnapshotTable[[#This Row],[EBF Target]]),(SnapshotTable[[#This Row],[EBF Target]] - SnapshotTable[[#This Row],[Last Price]]) / SnapshotTable[[#This Row],[Last Price]], "")</f>
        <v/>
      </c>
      <c r="AL16" s="150" t="str">
        <f>IF(AND(SnapshotTable[[#This Row],[Equity Basis Total]] &gt; 0,ISNUMBER( SnapshotTable[[#This Row],[Long Term Target]])), SnapshotTable[[#This Row],[From Basis $]] / SnapshotTable[[#This Row],[Equity Basis Total]], "")</f>
        <v/>
      </c>
      <c r="AM16" s="9">
        <f>IF( AND(SnapshotTable[[#This Row],[Equity Shares]] &gt;0,ISNUMBER( SnapshotTable[[#This Row],[Long Term Target]])),(SnapshotTable[[#This Row],[Equity Shares]] * SnapshotTable[[#This Row],[Long Term Target]]) - SnapshotTable[[#This Row],[Equity Basis Total]],0)</f>
        <v>0</v>
      </c>
      <c r="AN16" s="9">
        <f>IF( AND(SnapshotTable[[#This Row],[Equity Shares]] &gt;0,ISNUMBER( SnapshotTable[[#This Row],[Long Term Target]])),(SnapshotTable[[#This Row],[Equity Shares]]*SnapshotTable[[#This Row],[Long Term Target]]) - SnapshotTable[[#This Row],[Equity Value]],0)</f>
        <v>0</v>
      </c>
      <c r="AO16" s="150">
        <f>IF(AND(ISNUMBER( SnapshotTable[[#This Row],[Long Term Target]]), ISNUMBER(SnapshotTable[[#This Row],[Last Price]])),(SnapshotTable[[#This Row],[Long Term Target]] - SnapshotTable[[#This Row],[Last Price]]) / SnapshotTable[[#This Row],[Last Price]], "")</f>
        <v>0.50581190560056366</v>
      </c>
      <c r="AP16" s="5"/>
      <c r="AQ16" s="38"/>
      <c r="AR16" s="5"/>
      <c r="AS16" s="38"/>
      <c r="AT16" s="144"/>
      <c r="AU16" s="185" t="str">
        <f>IF(OR(SnapshotTable[[#This Row],[LP No Fill]]="Y",SnapshotTable[[#This Row],[SP Is Filled]],SnapshotTable[[#This Row],[LC Not Filled]]="Y",SnapshotTable[[#This Row],[SC Is Filled]]),"Y","")</f>
        <v/>
      </c>
      <c r="AV16" s="205"/>
      <c r="AW16" s="211"/>
      <c r="AX16" s="206"/>
      <c r="AY16" s="205" t="str">
        <f>IF(SnapshotTable[[#This Row],[Implied Move]]&gt;0, SnapshotTable[[#This Row],[Last Price]]-SnapshotTable[[#This Row],[Implied Move]],"")</f>
        <v/>
      </c>
      <c r="AZ16" s="205" t="str">
        <f>IF(SnapshotTable[[#This Row],[Implied Move]]&gt;0, SnapshotTable[[#This Row],[Last Price]] + SnapshotTable[[#This Row],[Implied Move]],"")</f>
        <v/>
      </c>
      <c r="BA16" s="302"/>
      <c r="BB16" s="318"/>
      <c r="BC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 s="321"/>
      <c r="BE16" s="136"/>
      <c r="BF16" s="164"/>
      <c r="BG16" s="165"/>
      <c r="BH16" s="165"/>
      <c r="BI16" s="207"/>
      <c r="BJ16" s="151">
        <f>IF(SnapshotTable[[#This Row],[LP Qty]] &gt; 0, SnapshotTable[[#This Row],[LP Qty]] * SnapshotTable[[#This Row],[LP Book Price]] * 100,0)</f>
        <v>0</v>
      </c>
      <c r="BK16" s="134">
        <f>IF(SnapshotTable[[#This Row],[LP Premium]] &gt; 0, SnapshotTable[[#This Row],[LP Qty]] * SnapshotTable[[#This Row],[LP Strike Price]] * 100,0)</f>
        <v>0</v>
      </c>
      <c r="BL16" s="152"/>
      <c r="BM16" s="355" t="str">
        <f>IF(SnapshotTable[[#This Row],[LP Premium]] &gt; 0,SnapshotTable[[#This Row],[LP Exp Date]]-MAX(SnapshotTable[[#This Row],[LP Book Date]], SnapshotTable[[#This Row],[LP Fill Date]]),"")</f>
        <v/>
      </c>
      <c r="BN16" s="355" t="str">
        <f>IF(ISNUMBER( SnapshotTable[[#This Row],[LP Term]]), SnapshotTable[[#This Row],[LP Exp Date]] - MockToday,"")</f>
        <v/>
      </c>
      <c r="BO16" s="161" t="str">
        <f>IF(AND(SnapshotTable[[#This Row],[LP Exp Date]]&gt;0, SnapshotTable[[#This Row],[LP Strike Price]]&gt;0,SnapshotTable[[#This Row],[LP Qty]]&gt;0,SnapshotTable[[#This Row],[LP Book Date]]&gt;0,SnapshotTable[[#This Row],[LP Book Price]]&gt;0,SnapshotTable[[#This Row],[LP Fill Date]]=0),"Y","")</f>
        <v/>
      </c>
      <c r="BP16" s="31" t="str">
        <f>IF(AND(SnapshotTable[[#This Row],[LP No Fill]]&lt;&gt;"Y",SnapshotTable[[#This Row],[LP Contract Value]]&gt;0, SnapshotTable[[#This Row],[LP Qty]]&gt;0), SnapshotTable[[#This Row],[LP Contract Value]]*SnapshotTable[[#This Row],[LP Qty]]*100,"")</f>
        <v/>
      </c>
      <c r="BQ16" s="13"/>
      <c r="BR16" s="5"/>
      <c r="BS16" s="36"/>
      <c r="BT16" s="145"/>
      <c r="BU16" s="13"/>
      <c r="BV16" s="5"/>
      <c r="BW16" s="382" t="b">
        <f>AND(ISNUMBER(SnapshotTable[[#This Row],[SP Exp Date]]), ISNUMBER(SnapshotTable[[#This Row],[SP Strike Price]]), ISNUMBER(SnapshotTable[[#This Row],[SP Qty]]), ISNUMBER(SnapshotTable[[#This Row],[SP Book Date]]), ISNUMBER(SnapshotTable[[#This Row],[SP Book Price]]))</f>
        <v>0</v>
      </c>
      <c r="BX16" s="382" t="b">
        <f>AND(SnapshotTable[[#This Row],[SP Is Booked]], NOT(ISBLANK(SnapshotTable[[#This Row],[SP Fill Date]])))</f>
        <v>0</v>
      </c>
      <c r="BY16" s="33">
        <f>IF(SnapshotTable[[#This Row],[SP Is Booked]], SnapshotTable[[#This Row],[SP Qty]] * SnapshotTable[[#This Row],[SP Book Price]] * 100, 0)</f>
        <v>0</v>
      </c>
      <c r="BZ16" s="339"/>
      <c r="CA16" s="338">
        <f>SnapshotTable[[#This Row],[LP Qty]]</f>
        <v>0</v>
      </c>
      <c r="CB16" s="4" t="str">
        <f>IF(SnapshotTable[[#This Row],[SP Is Booked]], SnapshotTable[[#This Row],[SP Strike Price]] - SnapshotTable[[#This Row],[SP Book Price]], "")</f>
        <v/>
      </c>
      <c r="CC16" s="19" t="str">
        <f>IF(SnapshotTable[[#This Row],[SP Is Booked]],SnapshotTable[[#This Row],[SP Exp Date]]-MAX(SnapshotTable[[#This Row],[SP Book Date]], SnapshotTable[[#This Row],[SP Fill Date]]),"")</f>
        <v/>
      </c>
      <c r="CD16" s="7" t="str">
        <f>IF(SnapshotTable[[#This Row],[SP Is Booked]], SnapshotTable[[#This Row],[SP Book Price]]/SnapshotTable[[#This Row],[SP Strike Price]], "")</f>
        <v/>
      </c>
      <c r="CE16" s="7" t="str">
        <f>IF(ISNUMBER(SnapshotTable[[#This Row],[SP ROO Term]]),SnapshotTable[[#This Row],[SP ROO Term]]*(365/SnapshotTable[[#This Row],[SP Term]]),"")</f>
        <v/>
      </c>
      <c r="CF16" s="221">
        <f>SnapshotTable[[#This Row],[LP Strike Price]] * SnapshotTable[[#This Row],[LP Qty]] * 100</f>
        <v>0</v>
      </c>
      <c r="CG16" s="31">
        <f>IF(ISNUMBER(SnapshotTable[[#This Row],[SP Premium]]), (SnapshotTable[[#This Row],[SP Qty]] * SnapshotTable[[#This Row],[SP Strike Price]]* 100) - SnapshotTable[[#This Row],[LP Protection]], 0)</f>
        <v>0</v>
      </c>
      <c r="CH16" s="7" t="str">
        <f>IF(ISNUMBER(SnapshotTable[[#This Row],[SP Break Even]]),-1 * (SnapshotTable[[#This Row],[SP Break Even]] - SnapshotTable[[#This Row],[Last Price]]) / SnapshotTable[[#This Row],[Last Price]], "")</f>
        <v/>
      </c>
      <c r="CI16" s="31">
        <f>IF(AND(ISNUMBER((SnapshotTable[[#This Row],[SP Potential Spend]])), SnapshotTable[[#This Row],[SP Strike Price]] &gt; SnapshotTable[[#This Row],[Last Price]], SnapshotTable[[#This Row],[SP Is Filled]]), SnapshotTable[[#This Row],[SP Potential Spend]] -  SnapshotTable[[#This Row],[LP Max Value]], 0)</f>
        <v>0</v>
      </c>
      <c r="CJ16" s="229"/>
      <c r="CK16" s="31">
        <f>IF(ISNUMBER(SnapshotTable[[#This Row],[SP Potential Spend]]),IF(ISNUMBER(SnapshotTable[[#This Row],[SP POW]]), SnapshotTable[[#This Row],[SP POW]] * SnapshotTable[[#This Row],[SP Potential Spend]], SnapshotTable[[#This Row],[SP Potential Spend]]), "")</f>
        <v>0</v>
      </c>
      <c r="CL16" s="162">
        <f>IF(NOT(SnapshotTable[[#This Row],[SP Is Filled]]),(SnapshotTable[[#This Row],[SP Qty]] * SnapshotTable[[#This Row],[SP Strike Price]] * 100) - SnapshotTable[[#This Row],[LP Max Value]],"")</f>
        <v>0</v>
      </c>
      <c r="CM16" s="31" t="str">
        <f>IF(SnapshotTable[[#This Row],[SP Actual Spend]]&lt;&gt;0, ((SnapshotTable[[#This Row],[SP Strike Price]]-SnapshotTable[[#This Row],[Last Price]]) *(SnapshotTable[[#This Row],[SP Qty]]*100) - SnapshotTable[[#This Row],[SP Premium]]) * - 1, "")</f>
        <v/>
      </c>
      <c r="CN16" s="213"/>
      <c r="CO16" s="339"/>
      <c r="CP16" s="4" t="str">
        <f>IF(SnapshotTable[[#This Row],[SP Is Filled]], btc_max_buyback_amount(SnapshotTable[[#This Row],[SP Fill Date]],SnapshotTable[[#This Row],[SP Exp Date]], SnapshotTable[[#This Row],[SP Book Price]]),"")</f>
        <v/>
      </c>
      <c r="CQ16" s="76"/>
      <c r="CR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 s="153" t="str">
        <f>IF(SnapshotTable[[#This Row],[SP Is Filled]], btc_next_cutoff_date(SnapshotTable[[#This Row],[SP Fill Date]],SnapshotTable[[#This Row],[SP Exp Date]]),"")</f>
        <v/>
      </c>
      <c r="CT16" s="220" t="str" cm="1">
        <f t="array" ref="CT16">IF(SnapshotTable[[#This Row],[SP Is Filled]], btc_should_buy_back(SnapshotTable[[#This Row],[SP Fill Date]], SnapshotTable[[#This Row],[SP Exp Date]], SnapshotTable[[#This Row],[SP Book Price]], SnapshotTable[[#This Row],[SP Current Ask]], MockToday, SnapshotTable[[#This Row],[SP Buyback Override]]),"")</f>
        <v/>
      </c>
      <c r="CU16" s="154"/>
      <c r="CV16" s="220"/>
      <c r="CW16" s="348" t="str">
        <f>IF(ISNUMBER( SnapshotTable[[#This Row],[SP Term]]), SnapshotTable[[#This Row],[SP Exp Date]] - MockToday,"")</f>
        <v/>
      </c>
      <c r="CX16" s="31" t="str">
        <f>IF(SnapshotTable[[#This Row],[SP Is Filled]],SnapshotTable[[#This Row],[SP Buyback Price to Use]] * 100 * SnapshotTable[[#This Row],[SP Qty]], "")</f>
        <v/>
      </c>
      <c r="CY16" s="4" t="str">
        <f>IF(ISNUMBER(SnapshotTable[[#This Row],[SP Strike Price]]), SnapshotTable[[#This Row],[SP Strike Price]] * (1 - SP_MaxLoss_StrikePct), "")</f>
        <v/>
      </c>
      <c r="CZ16" s="31" t="str">
        <f>IF(ISNUMBER(SnapshotTable[[#This Row],[SP Strike  Stop Per Share]]),SnapshotTable[[#This Row],[SP Premium]] - ((SnapshotTable[[#This Row],[SP Strike Price]]-SnapshotTable[[#This Row],[SP Strike  Stop Per Share]]) *(SnapshotTable[[#This Row],[SP Qty]] * 100)),"")</f>
        <v/>
      </c>
      <c r="DA16" s="4" t="str">
        <f>IF(AND(ISNUMBER(SnapshotTable[[#This Row],[SP Premium]]),SnapshotTable[[#This Row],[SP Premium]]&gt;0), SnapshotTable[[#This Row],[SP Book Price]] * (1 + SP_MaxLoss_OptionPct), "")</f>
        <v/>
      </c>
      <c r="DB16" s="31" t="str">
        <f>IF(ISNUMBER(SnapshotTable[[#This Row],[SP Option  Stop Contract]]),(SnapshotTable[[#This Row],[SP Option  Stop Contract]] *(SnapshotTable[[#This Row],[SP Qty]] * 100) - SnapshotTable[[#This Row],[SP Premium]]),"")</f>
        <v/>
      </c>
      <c r="DC16" s="4"/>
      <c r="DD16" s="4"/>
      <c r="DE16" s="4" t="str">
        <f>IF(AND(SnapshotTable[[#This Row],[SP Qty]]&gt;0, SnapshotTable[[#This Row],[SP Stop To Use]]&gt;0),SnapshotTable[[#This Row],[SP Premium]] - ( SnapshotTable[[#This Row],[SP Qty]] * SnapshotTable[[#This Row],[SP Stop To Use]] * 100), "")</f>
        <v/>
      </c>
      <c r="DF16" s="31" t="str">
        <f>IF(AND(SnapshotTable[[#This Row],[SP Qty]]&gt;0,SnapshotTable[[#This Row],[SP Current Ask]]&gt;0), SnapshotTable[[#This Row],[SP Qty]] * SnapshotTable[[#This Row],[SP Current Ask]] * -100, "")</f>
        <v/>
      </c>
      <c r="DG16" s="31" t="str">
        <f>IF(ISNUMBER((SnapshotTable[[#This Row],[SP Total Value]])), SnapshotTable[[#This Row],[SP Premium]] + SnapshotTable[[#This Row],[SP Total Value]], "")</f>
        <v/>
      </c>
      <c r="DH16" s="272" t="str">
        <f>IF(ISNUMBER((SnapshotTable[[#This Row],[SP Total Value]])), SnapshotTable[[#This Row],[SP Gain Loss]] / SnapshotTable[[#This Row],[SP Premium]], "")</f>
        <v/>
      </c>
      <c r="DI16" s="369"/>
      <c r="DJ16" s="136"/>
      <c r="DK16" s="146"/>
      <c r="DL16" s="145"/>
      <c r="DM16" s="145"/>
      <c r="DO16" s="31">
        <f>IF(SnapshotTable[[#This Row],[LC Symbol Count]]=1, SnapshotTable[[#This Row],[LC Qty]] * SnapshotTable[[#This Row],[LC Book Price]] * 100, 0)</f>
        <v>0</v>
      </c>
      <c r="DP16" s="161" t="str">
        <f>IF(AND(SnapshotTable[[#This Row],[LC Exp Date]]&gt;0, SnapshotTable[[#This Row],[LC Strike Price]]&gt;0,SnapshotTable[[#This Row],[LC Qty]]&gt;0,SnapshotTable[[#This Row],[LC Book Date]]&gt;0,SnapshotTable[[#This Row],[LC Book Price]]&gt;0,SnapshotTable[[#This Row],[LC Fill Date]]=0),"Y","")</f>
        <v/>
      </c>
      <c r="DQ16" s="356" t="str">
        <f>IF(SnapshotTable[[#This Row],[LC Premium]] &gt; 0,SnapshotTable[[#This Row],[LC Exp Date]]-MAX(SnapshotTable[[#This Row],[LC Book Date]], SnapshotTable[[#This Row],[LC Fill Date]]),"")</f>
        <v/>
      </c>
      <c r="DR16" s="356" t="str">
        <f>IF(ISNUMBER(SnapshotTable[[#This Row],[LC Term]]), SnapshotTable[[#This Row],[LC Exp Date]] - MockToday, "")</f>
        <v/>
      </c>
      <c r="DS16" s="219" t="str">
        <f>IF(SnapshotTable[[#This Row],[LC Premium]]&gt;0,SnapshotTable[[#This Row],[LC Strike Price]] + SnapshotTable[[#This Row],[LC Book Price]],"")</f>
        <v/>
      </c>
      <c r="DU16" s="9" t="str">
        <f>IF(AND(SnapshotTable[[#This Row],[LC Symbol Count]]&gt;0, SnapshotTable[[#This Row],[LC Contract Value]]&gt;0), SnapshotTable[[#This Row],[LC Contract Value]] * SnapshotTable[[#This Row],[LC Qty]] * 100, "")</f>
        <v/>
      </c>
      <c r="DV16" s="9" t="str">
        <f>IF(AND(ISNUMBER(SnapshotTable[[#This Row],[LC Total Value]]), SnapshotTable[[#This Row],[LC Not Filled]]&lt;&gt;"Y"), SnapshotTable[[#This Row],[LC Total Value]]-SnapshotTable[[#This Row],[LC Premium]],"")</f>
        <v/>
      </c>
      <c r="DW16" s="225" t="str">
        <f>IF(ISNUMBER(SnapshotTable[[#This Row],[LC Actual Gain Loss]]), SnapshotTable[[#This Row],[LC Actual Gain Loss]] / SnapshotTable[[#This Row],[LC Premium]],"")</f>
        <v/>
      </c>
      <c r="DX16" s="269" t="str">
        <f>IF(ISNUMBER(SnapshotTable[[#This Row],[LC Book Price]]),SnapshotTable[[#This Row],[LC Book Price]] * 1.5,"")</f>
        <v/>
      </c>
      <c r="DY16" s="250" t="str">
        <f>IF(SnapshotTable[[#This Row],[LC Premium]]&gt;0, SnapshotTable[[#This Row],[LC Next Target]] * SnapshotTable[[#This Row],[LC Qty]] * 100,"")</f>
        <v/>
      </c>
      <c r="DZ16" s="250" t="str">
        <f>IF(ISNUMBER(SnapshotTable[[#This Row],[LC Target Gross]]), SnapshotTable[[#This Row],[LC Target Gross]] - SnapshotTable[[#This Row],[LC Premium]], "")</f>
        <v/>
      </c>
      <c r="EA16" s="283" t="str">
        <f>IF(ISNUMBER(SnapshotTable[[#This Row],[LC Target Gain Loss]]), SnapshotTable[[#This Row],[LC Target Gain Loss]]/SnapshotTable[[#This Row],[LC Premium]], "")</f>
        <v/>
      </c>
      <c r="EB16" s="247"/>
      <c r="EC16" s="268" t="str">
        <f>IF(SnapshotTable[[#This Row],[LC Premium]]&gt;0, SnapshotTable[[#This Row],[LC Book Price]] * (1 - LC_StopLoss_Pct),"")</f>
        <v/>
      </c>
      <c r="ED16" s="269"/>
      <c r="EE16" s="268" t="str">
        <f>IF(ISNUMBER(SnapshotTable[[#This Row],[LC Contract Value]]),IF(ISNUMBER(SnapshotTable[[#This Row],[LC Stop Loss Override]]), SnapshotTable[[#This Row],[LC Stop Loss Override]],SnapshotTable[[#This Row],[LC Stop Loss Calc Target]]),"")</f>
        <v/>
      </c>
      <c r="EF16" s="31" t="str">
        <f>IF(ISNUMBER(SnapshotTable[[#This Row],[LC Stop  To Use]]), (SnapshotTable[[#This Row],[LC Stop  To Use]] * SnapshotTable[[#This Row],[LC Qty]] * 100),"")</f>
        <v/>
      </c>
      <c r="EG16" s="9" t="str">
        <f>IF(ISNUMBER(SnapshotTable[[#This Row],[LC Total Value]]),SnapshotTable[[#This Row],[LC Stop Loss Amount]] - SnapshotTable[[#This Row],[LC Premium]],"")</f>
        <v/>
      </c>
      <c r="EH16" s="9">
        <f>IF(ISNUMBER(SnapshotTable[[#This Row],[LC Premium]]), SnapshotTable[[#This Row],[LC Qty]] * 100 * SnapshotTable[[#This Row],[LC Strike Price]], "")</f>
        <v>0</v>
      </c>
      <c r="EI16" s="225" t="str">
        <f>IF(AND(ISNUMBER(SnapshotTable[[#This Row],[LC Total Value]]),SnapshotTable[[#This Row],[LC Total Value]]&gt;0),SnapshotTable[[#This Row],[LC Stop Gain Loss]]  / SnapshotTable[[#This Row],[LC Premium]],"")</f>
        <v/>
      </c>
      <c r="EJ16" s="35">
        <f>IF(ISNUMBER(SnapshotTable[[#This Row],[Equity Shares]]),TRUNC(SnapshotTable[[#This Row],[Equity Shares]] / 100),0) + SnapshotTable[[#This Row],[LC Qty]]</f>
        <v>0</v>
      </c>
      <c r="EK16" s="145"/>
      <c r="EL16" s="136"/>
      <c r="EM16" s="146"/>
      <c r="EN16" s="145"/>
      <c r="EO16" s="145"/>
      <c r="EP16" s="136"/>
      <c r="EQ16" s="382" t="b">
        <f>AND(ISNUMBER(SnapshotTable[[#This Row],[SC Exp Date]]), ISNUMBER(SnapshotTable[[#This Row],[SC Strike Price]]), ISNUMBER(SnapshotTable[[#This Row],[SC Qty]]), ISNUMBER(SnapshotTable[[#This Row],[SC Book Date]]), ISNUMBER(SnapshotTable[[#This Row],[SC Book Price]]))</f>
        <v>0</v>
      </c>
      <c r="ER16" s="382" t="b">
        <f>AND(SnapshotTable[[#This Row],[SC Is Booked]], NOT(ISBLANK(SnapshotTable[[#This Row],[SC Fill Date]])))</f>
        <v>0</v>
      </c>
      <c r="ES16" s="340"/>
      <c r="ET16" s="34" t="str">
        <f>IF(AND(ISNUMBER(SnapshotTable[[#This Row],[SC Exp Date]]), ISNUMBER(SnapshotTable[[#This Row],[SC Book Date]])), SnapshotTable[[#This Row],[SC Exp Date]] - MAX(SnapshotTable[[#This Row],[SC Book Date]], SnapshotTable[[#This Row],[SC Fill Date]]) + 1, "")</f>
        <v/>
      </c>
      <c r="EU16" s="34" t="str">
        <f>IF(ISNUMBER(SnapshotTable[[#This Row],[SC Term]]), SnapshotTable[[#This Row],[SC Exp Date]]- MockToday, "")</f>
        <v/>
      </c>
      <c r="EV16" s="31">
        <f>IF(SnapshotTable[[#This Row],[SC Is Booked]], SnapshotTable[[#This Row],[SC Qty]] * SnapshotTable[[#This Row],[SC Book Price]] * 100, 0)</f>
        <v>0</v>
      </c>
      <c r="EW16" s="4" t="str">
        <f>IF(AND(ISNUMBER(SnapshotTable[[#This Row],[Last Price]]), ISNUMBER( SnapshotTable[[#This Row],[SC Book Price]])), SnapshotTable[[#This Row],[Last Price]] - SnapshotTable[[#This Row],[SC Book Price]],"")</f>
        <v/>
      </c>
      <c r="EX16" s="219" t="str">
        <f>IF(SnapshotTable[[#This Row],[SC Is Booked]],IF(SnapshotTable[[#This Row],[SC Intrinsic Value]] &gt; 0, SnapshotTable[[#This Row],[SC Strike Price]], SnapshotTable[[#This Row],[Last Price]]), "")</f>
        <v/>
      </c>
      <c r="EY16" s="4">
        <f>IF(SnapshotTable[[#This Row],[SC Is Booked]], (MinimumPremiumRequired * SnapshotTable[[#This Row],[SC Basis]] * SnapshotTable[[#This Row],[SC Term]]), 0)</f>
        <v>0</v>
      </c>
      <c r="EZ16" s="268"/>
      <c r="FA16" s="204"/>
      <c r="FB16" s="340"/>
      <c r="FC16" s="4">
        <f>IF(SnapshotTable[[#This Row],[SC Is Filled]], btc_max_buyback_amount(SnapshotTable[[#This Row],[SC Fill Date]],SnapshotTable[[#This Row],[SC Exp Date]], SnapshotTable[[#This Row],[SC Book Price]]),0)</f>
        <v>0</v>
      </c>
      <c r="FD16" s="5"/>
      <c r="FE16" s="142" t="str">
        <f>IF(SnapshotTable[[#This Row],[SC Is Filled]], btc_next_cutoff_date(SnapshotTable[[#This Row],[SC Fill Date]],SnapshotTable[[#This Row],[SC Exp Date]]),"")</f>
        <v/>
      </c>
      <c r="FF16" s="4" t="str" cm="1">
        <f t="array" ref="FF16">IF(SnapshotTable[[#This Row],[SC Is Filled]], btc_should_buy_back(SnapshotTable[[#This Row],[SC Fill Date]], SnapshotTable[[#This Row],[SC Exp Date]], SnapshotTable[[#This Row],[SC Book Price]], SnapshotTable[[#This Row],[SC Current Ask]], MockToday, SnapshotTable[[#This Row],[SC Buyback Override]]),"")</f>
        <v/>
      </c>
      <c r="FG16" s="4">
        <f>IF(SnapshotTable[[#This Row],[SC Is Filled]], MAX(0,SnapshotTable[[#This Row],[Last Price]]  - SnapshotTable[[#This Row],[SC Strike Price]]), 0)</f>
        <v>0</v>
      </c>
      <c r="FH16" s="352">
        <f>IF(SnapshotTable[[#This Row],[SC Is Filled]], IF(ISNUMBER(SnapshotTable[[#This Row],[SC Current Ask]]), SnapshotTable[[#This Row],[SC Current Ask]], SnapshotTable[[#This Row],[SC Book Price]]) - SnapshotTable[[#This Row],[SC Intrinsic Value]], 0)</f>
        <v>0</v>
      </c>
      <c r="FI16" s="141">
        <v>45786</v>
      </c>
      <c r="FJ16" s="32" t="str">
        <f>IF(SnapshotTable[[#This Row],[SC Is Filled]],100 * SnapshotTable[[#This Row],[SC Qty]] * IF(ISNUMBER(SnapshotTable[[#This Row],[SC Buyback Override]]), SnapshotTable[[#This Row],[SC Buyback Override]], SnapshotTable[[#This Row],[SC Current Ask]]), "")</f>
        <v/>
      </c>
      <c r="FK16" s="235" t="str">
        <f>IF(SnapshotTable[[#This Row],[SC Time Val]]&gt;0, SnapshotTable[[#This Row],[SC Time Val]] / SnapshotTable[[#This Row],[Last Price]],"")</f>
        <v/>
      </c>
      <c r="FL16" s="280" t="str">
        <f>IF(SnapshotTable[[#This Row],[SC Is Booked]], ((SnapshotTable[[#This Row],[Last Price]] -SnapshotTable[[#This Row],[SC Strike Price]]) / SnapshotTable[[#This Row],[Last Price]]) * -1, "")</f>
        <v/>
      </c>
      <c r="FM16" s="155" t="str">
        <f>IF(SnapshotTable[[#This Row],[SC Is Booked]],  (SnapshotTable[[#This Row],[SC Qty]] * 100 * SnapshotTable[[#This Row],[SC Strike Price]]) - SnapshotTable[[#This Row],[SC Current Ask]], "")</f>
        <v/>
      </c>
      <c r="FN16"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 s="155" t="str">
        <f>IF(AND(ISNUMBER(SnapshotTable[[#This Row],[SC Exercise Gross]]), ISNUMBER(SnapshotTable[[#This Row],[Equity Basis Per Share]] )), SnapshotTable[[#This Row],[SC Exercise Gross]] - SnapshotTable[[#This Row],[Equity Basis Total]] +  SnapshotTable[[#This Row],[SC Premium]], "")</f>
        <v/>
      </c>
      <c r="FP16" s="5" t="str">
        <f>IF(ISNUMBER(SnapshotTable[[#This Row],[SC Exercise Gross]]), (SnapshotTable[[#This Row],[SC Exercise Gross]]) / (SnapshotTable[[#This Row],[SC Qty]] * 100), "")</f>
        <v/>
      </c>
      <c r="FQ16" s="27" t="str">
        <f>IF(SnapshotTable[[#This Row],[SC Is Booked]],SnapshotTable[[#This Row],[SC Time Val]] /SnapshotTable[[#This Row],[SC Basis]], "")</f>
        <v/>
      </c>
      <c r="FR16" s="27" t="str" cm="1">
        <f t="array" ref="FR16">IF(AND(ISNUMBER(SnapshotTable[[#This Row],[SC Term]]),ISNUMBER(SnapshotTable[[#This Row],[SC Simple ROO]])), EllmanAnnualize(SnapshotTable[[#This Row],[SC DTE]], SnapshotTable[[#This Row],[SC Simple ROO]] ),"")</f>
        <v/>
      </c>
      <c r="FS16" s="4">
        <f>IF(SnapshotTable[[#This Row],[SC Strike Price]] &gt; SnapshotTable[[#This Row],[Last Price]], SnapshotTable[[#This Row],[SC Strike Price]] - SnapshotTable[[#This Row],[Last Price]],0)</f>
        <v>0</v>
      </c>
      <c r="FT16" s="27" t="str">
        <f>IF(AND(ISNUMBER(SnapshotTable[[#This Row],[SC Upside Potential]]), SnapshotTable[[#This Row],[SC Upside Potential]] &gt; 0),(SnapshotTable[[#This Row],[SC Upside Potential]]/ SnapshotTable[[#This Row],[ACB]]),"")</f>
        <v/>
      </c>
      <c r="FU16" s="304" t="str">
        <f>IF(SnapshotTable[[#This Row],[SC Intrinsic Value]] &gt; 0,SnapshotTable[[#This Row],[SC Intrinsic Value]],"")</f>
        <v/>
      </c>
      <c r="FV16" s="27" t="str">
        <f>IF(AND( ISNUMBER( SnapshotTable[[#This Row],[ACB]]),ISNUMBER(SnapshotTable[[#This Row],[SC Downside Protect]])),SnapshotTable[[#This Row],[SC Downside Protect]] / SnapshotTable[[#This Row],[ACB]],"")</f>
        <v/>
      </c>
      <c r="FW16" s="221" t="str">
        <f>IF(AND(ISNUMBER(SnapshotTable[[#This Row],[SC Simple ROO]]),SnapshotTable[[#This Row],[SC Simple ROO]] &gt; 0), SnapshotTable[[#This Row],[SC Premium]] + (SnapshotTable[[#This Row],[SC Qty]] * SnapshotTable[[#This Row],[SC Upside Potential]]), "")</f>
        <v/>
      </c>
      <c r="FX16" s="280" t="str" cm="1">
        <f t="array" ref="FX16">IF(ISNUMBER(SnapshotTable[[#This Row],[SC Max Dollars]]), annualize(SnapshotTable[[#This Row],[SC Term]],(SnapshotTable[[#This Row],[SC Max Dollars]]/SnapshotTable[[#This Row],[SC Basis]])),"")</f>
        <v/>
      </c>
      <c r="FY16" s="221" t="str">
        <f>IF(AND(SnapshotTable[[#This Row],[SC Qty]]&gt;0,SnapshotTable[[#This Row],[SC Current Ask]]&gt;0), SnapshotTable[[#This Row],[SC Qty]] * SnapshotTable[[#This Row],[SC Current Ask]] * -100, "")</f>
        <v/>
      </c>
      <c r="FZ16" s="31" t="str">
        <f>IF(ISNUMBER((SnapshotTable[[#This Row],[SC Current Value]])), SnapshotTable[[#This Row],[SC Premium]] + SnapshotTable[[#This Row],[SC Current Value]], "")</f>
        <v/>
      </c>
      <c r="GA16" s="272" t="str">
        <f>IFERROR( IF(ISNUMBER((SnapshotTable[[#This Row],[SC Current Value]])), SnapshotTable[[#This Row],[SC Gain Loss]] / SnapshotTable[[#This Row],[SC Premium]], ""), "")</f>
        <v/>
      </c>
      <c r="GB16" s="42">
        <f>SnapshotTable[[#This Row],[Equity Shares]] * SaleSharesToConsiderPercentage</f>
        <v>0</v>
      </c>
      <c r="GC16" s="40">
        <f>SnapshotTable[[#This Row],[Long Term Target]] * SellingPriceToConsiderBasedOnTargetPercentage</f>
        <v>203.0625</v>
      </c>
      <c r="GD16" s="40">
        <f>SnapshotTable[[#This Row],[Last Price]] * (1+ SellingPriceToConsiderBasedOnTargetPercentage)</f>
        <v>276.80249999999995</v>
      </c>
      <c r="GE16" s="41"/>
      <c r="GF16" s="40"/>
      <c r="GG16" s="31">
        <f>SnapshotTable[[#This Row],[Booked Sale Shares]] * SnapshotTable[[#This Row],[Booked Sale Price]]</f>
        <v>0</v>
      </c>
      <c r="GH16" s="31" t="str">
        <f>IF(SnapshotTable[[#This Row],[Equity Basis Total]] &gt; 0, SnapshotTable[[#This Row],[Equity Basis Per Share]] * SnapshotTable[[#This Row],[Booked Sale Shares]], "")</f>
        <v/>
      </c>
      <c r="GI16" s="31">
        <f>IF(SnapshotTable[[#This Row],[Sale Proceeds]]&gt;0, SnapshotTable[[#This Row],[Sale Proceeds]] - SnapshotTable[[#This Row],[Sale Basis]], 0)</f>
        <v>0</v>
      </c>
      <c r="GJ16" s="156" t="str">
        <f>IF(SnapshotTable[[#This Row],[Sale G/L]]&gt;0, SnapshotTable[[#This Row],[Sale G/L]] / SnapshotTable[[#This Row],[Sale Basis]], IF(ISNUMBER(SnapshotTable[[#This Row],[SC Exercise P&amp;L (TAX)]]), SnapshotTable[[#This Row],[SC Exercise P&amp;L (TAX)]] / SnapshotTable[[#This Row],[SC Basis]], ""))</f>
        <v/>
      </c>
      <c r="GK16" s="156"/>
      <c r="GL16" s="157" t="str">
        <f>IF(AND(SnapshotTable[[#This Row],[LP Exp Date]]&gt;0,SnapshotTable[[#This Row],[LP Strike Price]]&gt;0), [1]!ToOptionSymbol(SnapshotTable[[#This Row],[Symbol]], SnapshotTable[[#This Row],[LP Strike Price]],SnapshotTable[[#This Row],[LP Exp Date]],1), "")</f>
        <v/>
      </c>
      <c r="GM16" s="30" t="str">
        <f>IF(LEN(SnapshotTable[[#This Row],[LP Symbol]])&gt;0, 1, "")</f>
        <v/>
      </c>
      <c r="GN16" s="43" t="str">
        <f>IF(AND(SnapshotTable[[#This Row],[SP Exp Date]]&gt;0,SnapshotTable[[#This Row],[SP Strike Price]]&gt;0), [1]!ToOptionSymbol(SnapshotTable[[#This Row],[Symbol]], SnapshotTable[[#This Row],[SP Strike Price]],SnapshotTable[[#This Row],[SP Exp Date]],1), "")</f>
        <v/>
      </c>
      <c r="GO16" s="30" t="str">
        <f>IF(LEN(SnapshotTable[[#This Row],[SP Symbol]])&gt;0, 1, "")</f>
        <v/>
      </c>
      <c r="GP16" s="157" t="str">
        <f>IF(AND(SnapshotTable[[#This Row],[LC Exp Date]]&gt;0,SnapshotTable[[#This Row],[LC Strike Price]]&gt;0), [1]!ToOptionSymbol(SnapshotTable[[#This Row],[Symbol]], SnapshotTable[[#This Row],[LC Strike Price]],SnapshotTable[[#This Row],[LC Exp Date]],0), "")</f>
        <v/>
      </c>
      <c r="GQ16" s="158" t="str">
        <f>IF(LEN(SnapshotTable[[#This Row],[LC Symbol]])&gt;0, 1, "")</f>
        <v/>
      </c>
      <c r="GR16" s="157" t="str">
        <f>IF(AND(SnapshotTable[[#This Row],[SC Exp Date]]&gt;0,SnapshotTable[[#This Row],[SC Strike Price]]&gt;0), [1]!ToOptionSymbol(SnapshotTable[[#This Row],[Symbol]], SnapshotTable[[#This Row],[SC Strike Price]],SnapshotTable[[#This Row],[SC Exp Date]],0), "")</f>
        <v/>
      </c>
      <c r="GS16" s="158" t="str">
        <f>IF(LEN(SnapshotTable[[#This Row],[SC Symbol]])&gt;0, 1, "")</f>
        <v/>
      </c>
      <c r="GT16" s="159" t="str">
        <f>IF(COUNT(SnapshotTable[[#This Row],[LP Symbol Count]],SnapshotTable[[#This Row],[SP Symbol Count]],SnapshotTable[[#This Row],[LC Symbol Count]],SnapshotTable[[#This Row],[SC Symbol Count]])&gt;0, "Y", "")</f>
        <v/>
      </c>
      <c r="GU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 s="216">
        <f>MAX(SnapshotTable[[#This Row],[Equity Basis Total]],SnapshotTable[[#This Row],[Equity Value]]) + (SnapshotTable[[#This Row],[SP Potential Spend]]- SnapshotTable[[#This Row],[SP Premium]] + SnapshotTable[[#This Row],[LP Premium]])+ (SnapshotTable[[#This Row],[LC Premium]] - SnapshotTable[[#This Row],[SC Premium]])</f>
        <v>0</v>
      </c>
      <c r="GW16" s="137" t="str">
        <f>IF(AND(SnapshotTable[[#This Row],[Exposure]] &lt;&gt; 0),SnapshotTable[[#This Row],[Exposure]] / SnapshotTable[[#Totals],[Exposure]], "")</f>
        <v/>
      </c>
      <c r="HK16" s="1"/>
      <c r="HL16" s="1"/>
      <c r="HM16" s="1"/>
      <c r="HN16" s="1"/>
      <c r="HO16" s="1"/>
      <c r="HP16" s="1"/>
    </row>
    <row r="17" spans="2:224" ht="12.75" hidden="1" customHeight="1" x14ac:dyDescent="0.25">
      <c r="B17" s="12" t="s">
        <v>386</v>
      </c>
      <c r="C17" s="385">
        <v>140.09</v>
      </c>
      <c r="D17" s="200"/>
      <c r="E17" s="39">
        <f>SnapshotTable[[#This Row],[Last Price]]*(1 -CrashDiscount)</f>
        <v>119.0765</v>
      </c>
      <c r="F17" s="26" t="s">
        <v>89</v>
      </c>
      <c r="G17" s="26" t="s">
        <v>7</v>
      </c>
      <c r="H17" s="147"/>
      <c r="I17" s="186">
        <v>44735.28125</v>
      </c>
      <c r="J17" s="187">
        <v>44735.28125</v>
      </c>
      <c r="K17" s="188" t="s">
        <v>3</v>
      </c>
      <c r="L17" s="297"/>
      <c r="M17" s="138"/>
      <c r="N17" s="138"/>
      <c r="O17" s="138"/>
      <c r="P17" s="22"/>
      <c r="Q17" s="25"/>
      <c r="R17" s="4" t="str">
        <f>IF(SnapshotTable[[#This Row],[Equity Basis Total]] &gt; 0, SnapshotTable[[#This Row],[Equity Basis Total]] / SnapshotTable[[#This Row],[Equity Shares]], "")</f>
        <v/>
      </c>
      <c r="S17" s="254">
        <f>SnapshotTable[[#This Row],[Last Price]] * SnapshotTable[[#This Row],[Equity Shares]]</f>
        <v>0</v>
      </c>
      <c r="T17" s="254">
        <f>SnapshotTable[[#This Row],[Equity Value]] - SnapshotTable[[#This Row],[Equity Basis Total]]</f>
        <v>0</v>
      </c>
      <c r="U17" s="255" t="str">
        <f>IF(SnapshotTable[[#This Row],[Equity Basis Total]] &gt; 0, SnapshotTable[[#This Row],[Equity G/L]] / SnapshotTable[[#This Row],[Equity Basis Total]], "")</f>
        <v/>
      </c>
      <c r="V17" s="253"/>
      <c r="W17" s="253"/>
      <c r="X17" s="4" t="str">
        <f>IF(AND(ISNUMBER(SnapshotTable[[#This Row],[Equity Basis Per Share]]),ISNUMBER(SnapshotTable[[#This Row],[Equity Target]])),SnapshotTable[[#This Row],[Equity Target]]-SnapshotTable[[#This Row],[Equity Basis Per Share]],"")</f>
        <v/>
      </c>
      <c r="Y17" s="4" t="str">
        <f>IF(AND(ISNUMBER(SnapshotTable[[#This Row],[Equity Basis Per Share]]),ISNUMBER(SnapshotTable[[#This Row],[Equity Stop Loss]])),SnapshotTable[[#This Row],[Equity Stop Loss]]-SnapshotTable[[#This Row],[Equity Basis Per Share]],"")</f>
        <v/>
      </c>
      <c r="Z17" s="260" t="str">
        <f>IFERROR( TEXT(SnapshotTable[[#This Row],[Equity Max Gain Per Share]] /ABS( SnapshotTable[[#This Row],[Equity Max Loss Per Share]]),"0.0 " ) &amp; " : 1", "")</f>
        <v/>
      </c>
      <c r="AA17" s="31" t="str">
        <f>IF(ISNUMBER(SnapshotTable[[#This Row],[Equity Max Gain Per Share]]),SnapshotTable[[#This Row],[Equity Max Gain Per Share]] * SnapshotTable[[#This Row],[Equity Shares]],"")</f>
        <v/>
      </c>
      <c r="AB17" s="31" t="str">
        <f>IF(ISNUMBER(SnapshotTable[[#This Row],[Equity Max Loss Per Share]]),SnapshotTable[[#This Row],[Equity Max Loss Per Share]] * SnapshotTable[[#This Row],[Equity Shares]],"")</f>
        <v/>
      </c>
      <c r="AC17" s="148"/>
      <c r="AD17" s="149"/>
      <c r="AE17" s="31">
        <f>(SnapshotTable[[#This Row],[Annual Dividend Per Share]] / 4) * SnapshotTable[[#This Row],[Equity Shares]]</f>
        <v>0</v>
      </c>
      <c r="AF17" s="31">
        <f>SnapshotTable[[#This Row],[Quarterly Div $]] * 4</f>
        <v>0</v>
      </c>
      <c r="AG17" s="7">
        <f>IF(SnapshotTable[[#This Row],[Annual Dividend Per Share]]&gt;0, SnapshotTable[[#This Row],[Annual Dividend Per Share]]  / SnapshotTable[[#This Row],[Last Price]], 0)</f>
        <v>0</v>
      </c>
      <c r="AH17" s="149"/>
      <c r="AI17" s="5"/>
      <c r="AJ17" s="136">
        <v>337.95</v>
      </c>
      <c r="AK17" s="150" t="str">
        <f>IF(ISNUMBER( SnapshotTable[[#This Row],[EBF Target]]),(SnapshotTable[[#This Row],[EBF Target]] - SnapshotTable[[#This Row],[Last Price]]) / SnapshotTable[[#This Row],[Last Price]], "")</f>
        <v/>
      </c>
      <c r="AL17" s="150" t="str">
        <f>IF(AND(SnapshotTable[[#This Row],[Equity Basis Total]] &gt; 0,ISNUMBER( SnapshotTable[[#This Row],[Long Term Target]])), SnapshotTable[[#This Row],[From Basis $]] / SnapshotTable[[#This Row],[Equity Basis Total]], "")</f>
        <v/>
      </c>
      <c r="AM17" s="9">
        <f>IF( AND(SnapshotTable[[#This Row],[Equity Shares]] &gt;0,ISNUMBER( SnapshotTable[[#This Row],[Long Term Target]])),(SnapshotTable[[#This Row],[Equity Shares]] * SnapshotTable[[#This Row],[Long Term Target]]) - SnapshotTable[[#This Row],[Equity Basis Total]],0)</f>
        <v>0</v>
      </c>
      <c r="AN17" s="9">
        <f>IF( AND(SnapshotTable[[#This Row],[Equity Shares]] &gt;0,ISNUMBER( SnapshotTable[[#This Row],[Long Term Target]])),(SnapshotTable[[#This Row],[Equity Shares]]*SnapshotTable[[#This Row],[Long Term Target]]) - SnapshotTable[[#This Row],[Equity Value]],0)</f>
        <v>0</v>
      </c>
      <c r="AO17" s="5">
        <f>IF(AND(ISNUMBER( SnapshotTable[[#This Row],[Long Term Target]]), ISNUMBER(SnapshotTable[[#This Row],[Last Price]])),(SnapshotTable[[#This Row],[Long Term Target]] - SnapshotTable[[#This Row],[Last Price]]) / SnapshotTable[[#This Row],[Last Price]], "")</f>
        <v>1.4123777571561138</v>
      </c>
      <c r="AP17" s="5">
        <v>170</v>
      </c>
      <c r="AQ17" s="38" t="s">
        <v>29</v>
      </c>
      <c r="AR17" s="5">
        <v>170</v>
      </c>
      <c r="AS17" s="38" t="s">
        <v>76</v>
      </c>
      <c r="AT17" s="144"/>
      <c r="AU17" s="185" t="str">
        <f>IF(OR(SnapshotTable[[#This Row],[LP No Fill]]="Y",SnapshotTable[[#This Row],[SP Is Filled]],SnapshotTable[[#This Row],[LC Not Filled]]="Y",SnapshotTable[[#This Row],[SC Is Filled]]),"Y","")</f>
        <v/>
      </c>
      <c r="AV17" s="205"/>
      <c r="AW17" s="211"/>
      <c r="AX17" s="206"/>
      <c r="AY17" s="205" t="str">
        <f>IF(SnapshotTable[[#This Row],[Implied Move]]&gt;0, SnapshotTable[[#This Row],[Last Price]]-SnapshotTable[[#This Row],[Implied Move]],"")</f>
        <v/>
      </c>
      <c r="AZ17" s="205" t="str">
        <f>IF(SnapshotTable[[#This Row],[Implied Move]]&gt;0, SnapshotTable[[#This Row],[Last Price]] + SnapshotTable[[#This Row],[Implied Move]],"")</f>
        <v/>
      </c>
      <c r="BA17" s="302"/>
      <c r="BB17" s="318"/>
      <c r="BC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 s="321"/>
      <c r="BE17" s="5"/>
      <c r="BF17" s="14"/>
      <c r="BG17" s="13"/>
      <c r="BH17" s="13"/>
      <c r="BI17" s="5"/>
      <c r="BJ17" s="134">
        <f>IF(SnapshotTable[[#This Row],[LP Qty]] &gt; 0, SnapshotTable[[#This Row],[LP Qty]] * SnapshotTable[[#This Row],[LP Book Price]] * 100,0)</f>
        <v>0</v>
      </c>
      <c r="BK17" s="134">
        <f>IF(SnapshotTable[[#This Row],[LP Premium]] &gt; 0, SnapshotTable[[#This Row],[LP Qty]] * SnapshotTable[[#This Row],[LP Strike Price]] * 100,0)</f>
        <v>0</v>
      </c>
      <c r="BL17" s="152"/>
      <c r="BM17" s="355" t="str">
        <f>IF(SnapshotTable[[#This Row],[LP Premium]] &gt; 0,SnapshotTable[[#This Row],[LP Exp Date]]-MAX(SnapshotTable[[#This Row],[LP Book Date]], SnapshotTable[[#This Row],[LP Fill Date]]),"")</f>
        <v/>
      </c>
      <c r="BN17" s="355" t="str">
        <f>IF(ISNUMBER( SnapshotTable[[#This Row],[LP Term]]), SnapshotTable[[#This Row],[LP Exp Date]] - MockToday,"")</f>
        <v/>
      </c>
      <c r="BO17" s="161" t="str">
        <f>IF(AND(SnapshotTable[[#This Row],[LP Exp Date]]&gt;0, SnapshotTable[[#This Row],[LP Strike Price]]&gt;0,SnapshotTable[[#This Row],[LP Qty]]&gt;0,SnapshotTable[[#This Row],[LP Book Date]]&gt;0,SnapshotTable[[#This Row],[LP Book Price]]&gt;0,SnapshotTable[[#This Row],[LP Fill Date]]=0),"Y","")</f>
        <v/>
      </c>
      <c r="BP17" s="31" t="str">
        <f>IF(AND(SnapshotTable[[#This Row],[LP No Fill]]&lt;&gt;"Y",SnapshotTable[[#This Row],[LP Contract Value]]&gt;0, SnapshotTable[[#This Row],[LP Qty]]&gt;0), SnapshotTable[[#This Row],[LP Contract Value]]*SnapshotTable[[#This Row],[LP Qty]]*100,"")</f>
        <v/>
      </c>
      <c r="BQ17" s="13"/>
      <c r="BR17" s="5"/>
      <c r="BS17" s="36"/>
      <c r="BT17" s="145"/>
      <c r="BU17" s="13"/>
      <c r="BV17" s="5"/>
      <c r="BW17" s="382" t="b">
        <f>AND(ISNUMBER(SnapshotTable[[#This Row],[SP Exp Date]]), ISNUMBER(SnapshotTable[[#This Row],[SP Strike Price]]), ISNUMBER(SnapshotTable[[#This Row],[SP Qty]]), ISNUMBER(SnapshotTable[[#This Row],[SP Book Date]]), ISNUMBER(SnapshotTable[[#This Row],[SP Book Price]]))</f>
        <v>0</v>
      </c>
      <c r="BX17" s="382" t="b">
        <f>AND(SnapshotTable[[#This Row],[SP Is Booked]], NOT(ISBLANK(SnapshotTable[[#This Row],[SP Fill Date]])))</f>
        <v>0</v>
      </c>
      <c r="BY17" s="33">
        <f>IF(SnapshotTable[[#This Row],[SP Is Booked]], SnapshotTable[[#This Row],[SP Qty]] * SnapshotTable[[#This Row],[SP Book Price]] * 100, 0)</f>
        <v>0</v>
      </c>
      <c r="BZ17" s="339"/>
      <c r="CA17" s="338">
        <f>SnapshotTable[[#This Row],[LP Qty]]</f>
        <v>0</v>
      </c>
      <c r="CB17" s="4" t="str">
        <f>IF(SnapshotTable[[#This Row],[SP Is Booked]], SnapshotTable[[#This Row],[SP Strike Price]] - SnapshotTable[[#This Row],[SP Book Price]], "")</f>
        <v/>
      </c>
      <c r="CC17" s="19" t="str">
        <f>IF(SnapshotTable[[#This Row],[SP Is Booked]],SnapshotTable[[#This Row],[SP Exp Date]]-MAX(SnapshotTable[[#This Row],[SP Book Date]], SnapshotTable[[#This Row],[SP Fill Date]]),"")</f>
        <v/>
      </c>
      <c r="CD17" s="7" t="str">
        <f>IF(SnapshotTable[[#This Row],[SP Is Booked]], SnapshotTable[[#This Row],[SP Book Price]]/SnapshotTable[[#This Row],[SP Strike Price]], "")</f>
        <v/>
      </c>
      <c r="CE17" s="7" t="str">
        <f>IF(ISNUMBER(SnapshotTable[[#This Row],[SP ROO Term]]),SnapshotTable[[#This Row],[SP ROO Term]]*(365/SnapshotTable[[#This Row],[SP Term]]),"")</f>
        <v/>
      </c>
      <c r="CF17" s="221">
        <f>SnapshotTable[[#This Row],[LP Strike Price]] * SnapshotTable[[#This Row],[LP Qty]] * 100</f>
        <v>0</v>
      </c>
      <c r="CG17" s="31">
        <f>IF(ISNUMBER(SnapshotTable[[#This Row],[SP Premium]]), (SnapshotTable[[#This Row],[SP Qty]] * SnapshotTable[[#This Row],[SP Strike Price]]* 100) - SnapshotTable[[#This Row],[LP Protection]], 0)</f>
        <v>0</v>
      </c>
      <c r="CH17" s="7" t="str">
        <f>IF(ISNUMBER(SnapshotTable[[#This Row],[SP Break Even]]),-1 * (SnapshotTable[[#This Row],[SP Break Even]] - SnapshotTable[[#This Row],[Last Price]]) / SnapshotTable[[#This Row],[Last Price]], "")</f>
        <v/>
      </c>
      <c r="CI17" s="31">
        <f>IF(AND(ISNUMBER((SnapshotTable[[#This Row],[SP Potential Spend]])), SnapshotTable[[#This Row],[SP Strike Price]] &gt; SnapshotTable[[#This Row],[Last Price]], SnapshotTable[[#This Row],[SP Is Filled]]), SnapshotTable[[#This Row],[SP Potential Spend]] -  SnapshotTable[[#This Row],[LP Max Value]], 0)</f>
        <v>0</v>
      </c>
      <c r="CJ17" s="229"/>
      <c r="CK17" s="31">
        <f>IF(ISNUMBER(SnapshotTable[[#This Row],[SP Potential Spend]]),IF(ISNUMBER(SnapshotTable[[#This Row],[SP POW]]), SnapshotTable[[#This Row],[SP POW]] * SnapshotTable[[#This Row],[SP Potential Spend]], SnapshotTable[[#This Row],[SP Potential Spend]]), "")</f>
        <v>0</v>
      </c>
      <c r="CL17" s="162">
        <f>IF(NOT(SnapshotTable[[#This Row],[SP Is Filled]]),(SnapshotTable[[#This Row],[SP Qty]] * SnapshotTable[[#This Row],[SP Strike Price]] * 100) - SnapshotTable[[#This Row],[LP Max Value]],"")</f>
        <v>0</v>
      </c>
      <c r="CM17" s="31" t="str">
        <f>IF(SnapshotTable[[#This Row],[SP Actual Spend]]&lt;&gt;0, ((SnapshotTable[[#This Row],[SP Strike Price]]-SnapshotTable[[#This Row],[Last Price]]) *(SnapshotTable[[#This Row],[SP Qty]]*100) - SnapshotTable[[#This Row],[SP Premium]]) * - 1, "")</f>
        <v/>
      </c>
      <c r="CN17" s="76"/>
      <c r="CO17" s="339"/>
      <c r="CP17" s="4" t="str">
        <f>IF(SnapshotTable[[#This Row],[SP Is Filled]], btc_max_buyback_amount(SnapshotTable[[#This Row],[SP Fill Date]],SnapshotTable[[#This Row],[SP Exp Date]], SnapshotTable[[#This Row],[SP Book Price]]),"")</f>
        <v/>
      </c>
      <c r="CQ17" s="76"/>
      <c r="CR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 s="153" t="str">
        <f>IF(SnapshotTable[[#This Row],[SP Is Filled]], btc_next_cutoff_date(SnapshotTable[[#This Row],[SP Fill Date]],SnapshotTable[[#This Row],[SP Exp Date]]),"")</f>
        <v/>
      </c>
      <c r="CT17" s="220" t="str" cm="1">
        <f t="array" ref="CT17">IF(SnapshotTable[[#This Row],[SP Is Filled]], btc_should_buy_back(SnapshotTable[[#This Row],[SP Fill Date]], SnapshotTable[[#This Row],[SP Exp Date]], SnapshotTable[[#This Row],[SP Book Price]], SnapshotTable[[#This Row],[SP Current Ask]], MockToday, SnapshotTable[[#This Row],[SP Buyback Override]]),"")</f>
        <v/>
      </c>
      <c r="CU17" s="141"/>
      <c r="CV17" s="220"/>
      <c r="CW17" s="348" t="str">
        <f>IF(ISNUMBER( SnapshotTable[[#This Row],[SP Term]]), SnapshotTable[[#This Row],[SP Exp Date]] - MockToday,"")</f>
        <v/>
      </c>
      <c r="CX17" s="31" t="str">
        <f>IF(SnapshotTable[[#This Row],[SP Is Filled]],SnapshotTable[[#This Row],[SP Buyback Price to Use]] * 100 * SnapshotTable[[#This Row],[SP Qty]], "")</f>
        <v/>
      </c>
      <c r="CY17" s="4" t="str">
        <f>IF(ISNUMBER(SnapshotTable[[#This Row],[SP Strike Price]]), SnapshotTable[[#This Row],[SP Strike Price]] * (1 - SP_MaxLoss_StrikePct), "")</f>
        <v/>
      </c>
      <c r="CZ17" s="31" t="str">
        <f>IF(ISNUMBER(SnapshotTable[[#This Row],[SP Strike  Stop Per Share]]),SnapshotTable[[#This Row],[SP Premium]] - ((SnapshotTable[[#This Row],[SP Strike Price]]-SnapshotTable[[#This Row],[SP Strike  Stop Per Share]]) *(SnapshotTable[[#This Row],[SP Qty]] * 100)),"")</f>
        <v/>
      </c>
      <c r="DA17" s="4" t="str">
        <f>IF(AND(ISNUMBER(SnapshotTable[[#This Row],[SP Premium]]),SnapshotTable[[#This Row],[SP Premium]]&gt;0), SnapshotTable[[#This Row],[SP Book Price]] * (1 + SP_MaxLoss_OptionPct), "")</f>
        <v/>
      </c>
      <c r="DB17" s="31" t="str">
        <f>IF(ISNUMBER(SnapshotTable[[#This Row],[SP Option  Stop Contract]]),(SnapshotTable[[#This Row],[SP Option  Stop Contract]] *(SnapshotTable[[#This Row],[SP Qty]] * 100) - SnapshotTable[[#This Row],[SP Premium]]),"")</f>
        <v/>
      </c>
      <c r="DC17" s="4"/>
      <c r="DD17" s="4"/>
      <c r="DE17" s="4" t="str">
        <f>IF(AND(SnapshotTable[[#This Row],[SP Qty]]&gt;0, SnapshotTable[[#This Row],[SP Stop To Use]]&gt;0),SnapshotTable[[#This Row],[SP Premium]] - ( SnapshotTable[[#This Row],[SP Qty]] * SnapshotTable[[#This Row],[SP Stop To Use]] * 100), "")</f>
        <v/>
      </c>
      <c r="DF17" s="31" t="str">
        <f>IF(AND(SnapshotTable[[#This Row],[SP Qty]]&gt;0,SnapshotTable[[#This Row],[SP Current Ask]]&gt;0), SnapshotTable[[#This Row],[SP Qty]] * SnapshotTable[[#This Row],[SP Current Ask]] * -100, "")</f>
        <v/>
      </c>
      <c r="DG17" s="31" t="str">
        <f>IF(ISNUMBER((SnapshotTable[[#This Row],[SP Total Value]])), SnapshotTable[[#This Row],[SP Premium]] + SnapshotTable[[#This Row],[SP Total Value]], "")</f>
        <v/>
      </c>
      <c r="DH17" s="272" t="str">
        <f>IF(ISNUMBER((SnapshotTable[[#This Row],[SP Total Value]])), SnapshotTable[[#This Row],[SP Gain Loss]] / SnapshotTable[[#This Row],[SP Premium]], "")</f>
        <v/>
      </c>
      <c r="DI17" s="369"/>
      <c r="DJ17" s="136"/>
      <c r="DK17" s="146"/>
      <c r="DL17" s="13"/>
      <c r="DM17" s="13"/>
      <c r="DO17" s="31">
        <f>IF(SnapshotTable[[#This Row],[LC Symbol Count]]=1, SnapshotTable[[#This Row],[LC Qty]] * SnapshotTable[[#This Row],[LC Book Price]] * 100, 0)</f>
        <v>0</v>
      </c>
      <c r="DP17" s="161" t="str">
        <f>IF(AND(SnapshotTable[[#This Row],[LC Exp Date]]&gt;0, SnapshotTable[[#This Row],[LC Strike Price]]&gt;0,SnapshotTable[[#This Row],[LC Qty]]&gt;0,SnapshotTable[[#This Row],[LC Book Date]]&gt;0,SnapshotTable[[#This Row],[LC Book Price]]&gt;0,SnapshotTable[[#This Row],[LC Fill Date]]=0),"Y","")</f>
        <v/>
      </c>
      <c r="DQ17" s="356" t="str">
        <f>IF(SnapshotTable[[#This Row],[LC Premium]] &gt; 0,SnapshotTable[[#This Row],[LC Exp Date]]-MAX(SnapshotTable[[#This Row],[LC Book Date]], SnapshotTable[[#This Row],[LC Fill Date]]),"")</f>
        <v/>
      </c>
      <c r="DR17" s="356" t="str">
        <f>IF(ISNUMBER(SnapshotTable[[#This Row],[LC Term]]), SnapshotTable[[#This Row],[LC Exp Date]] - MockToday, "")</f>
        <v/>
      </c>
      <c r="DS17" s="219" t="str">
        <f>IF(SnapshotTable[[#This Row],[LC Premium]]&gt;0,SnapshotTable[[#This Row],[LC Strike Price]] + SnapshotTable[[#This Row],[LC Book Price]],"")</f>
        <v/>
      </c>
      <c r="DU17" s="9" t="str">
        <f>IF(AND(SnapshotTable[[#This Row],[LC Symbol Count]]&gt;0, SnapshotTable[[#This Row],[LC Contract Value]]&gt;0), SnapshotTable[[#This Row],[LC Contract Value]] * SnapshotTable[[#This Row],[LC Qty]] * 100, "")</f>
        <v/>
      </c>
      <c r="DV17" s="9" t="str">
        <f>IF(AND(ISNUMBER(SnapshotTable[[#This Row],[LC Total Value]]), SnapshotTable[[#This Row],[LC Not Filled]]&lt;&gt;"Y"), SnapshotTable[[#This Row],[LC Total Value]]-SnapshotTable[[#This Row],[LC Premium]],"")</f>
        <v/>
      </c>
      <c r="DW17" s="225" t="str">
        <f>IF(ISNUMBER(SnapshotTable[[#This Row],[LC Actual Gain Loss]]), SnapshotTable[[#This Row],[LC Actual Gain Loss]] / SnapshotTable[[#This Row],[LC Premium]],"")</f>
        <v/>
      </c>
      <c r="DX17" s="269" t="str">
        <f>IF(ISNUMBER(SnapshotTable[[#This Row],[LC Book Price]]),SnapshotTable[[#This Row],[LC Book Price]] * 1.5,"")</f>
        <v/>
      </c>
      <c r="DY17" s="250" t="str">
        <f>IF(SnapshotTable[[#This Row],[LC Premium]]&gt;0, SnapshotTable[[#This Row],[LC Next Target]] * SnapshotTable[[#This Row],[LC Qty]] * 100,"")</f>
        <v/>
      </c>
      <c r="DZ17" s="250" t="str">
        <f>IF(ISNUMBER(SnapshotTable[[#This Row],[LC Target Gross]]), SnapshotTable[[#This Row],[LC Target Gross]] - SnapshotTable[[#This Row],[LC Premium]], "")</f>
        <v/>
      </c>
      <c r="EA17" s="283" t="str">
        <f>IF(ISNUMBER(SnapshotTable[[#This Row],[LC Target Gain Loss]]), SnapshotTable[[#This Row],[LC Target Gain Loss]]/SnapshotTable[[#This Row],[LC Premium]], "")</f>
        <v/>
      </c>
      <c r="EB17" s="247"/>
      <c r="EC17" s="268" t="str">
        <f>IF(SnapshotTable[[#This Row],[LC Premium]]&gt;0, SnapshotTable[[#This Row],[LC Book Price]] * (1 - LC_StopLoss_Pct),"")</f>
        <v/>
      </c>
      <c r="ED17" s="269"/>
      <c r="EE17" s="268" t="str">
        <f>IF(ISNUMBER(SnapshotTable[[#This Row],[LC Contract Value]]),IF(ISNUMBER(SnapshotTable[[#This Row],[LC Stop Loss Override]]), SnapshotTable[[#This Row],[LC Stop Loss Override]],SnapshotTable[[#This Row],[LC Stop Loss Calc Target]]),"")</f>
        <v/>
      </c>
      <c r="EF17" s="31" t="str">
        <f>IF(ISNUMBER(SnapshotTable[[#This Row],[LC Stop  To Use]]), (SnapshotTable[[#This Row],[LC Stop  To Use]] * SnapshotTable[[#This Row],[LC Qty]] * 100),"")</f>
        <v/>
      </c>
      <c r="EG17" s="9" t="str">
        <f>IF(ISNUMBER(SnapshotTable[[#This Row],[LC Total Value]]),SnapshotTable[[#This Row],[LC Stop Loss Amount]] - SnapshotTable[[#This Row],[LC Premium]],"")</f>
        <v/>
      </c>
      <c r="EH17" s="9">
        <f>IF(ISNUMBER(SnapshotTable[[#This Row],[LC Premium]]), SnapshotTable[[#This Row],[LC Qty]] * 100 * SnapshotTable[[#This Row],[LC Strike Price]], "")</f>
        <v>0</v>
      </c>
      <c r="EI17" s="225" t="str">
        <f>IF(AND(ISNUMBER(SnapshotTable[[#This Row],[LC Total Value]]),SnapshotTable[[#This Row],[LC Total Value]]&gt;0),SnapshotTable[[#This Row],[LC Stop Gain Loss]]  / SnapshotTable[[#This Row],[LC Premium]],"")</f>
        <v/>
      </c>
      <c r="EJ17" s="35">
        <f>IF(ISNUMBER(SnapshotTable[[#This Row],[Equity Shares]]),TRUNC(SnapshotTable[[#This Row],[Equity Shares]] / 100),0) + SnapshotTable[[#This Row],[LC Qty]]</f>
        <v>0</v>
      </c>
      <c r="EK17" s="145"/>
      <c r="EL17" s="136"/>
      <c r="EM17" s="146"/>
      <c r="EN17" s="145"/>
      <c r="EO17" s="145"/>
      <c r="EP17" s="136"/>
      <c r="EQ17" s="382" t="b">
        <f>AND(ISNUMBER(SnapshotTable[[#This Row],[SC Exp Date]]), ISNUMBER(SnapshotTable[[#This Row],[SC Strike Price]]), ISNUMBER(SnapshotTable[[#This Row],[SC Qty]]), ISNUMBER(SnapshotTable[[#This Row],[SC Book Date]]), ISNUMBER(SnapshotTable[[#This Row],[SC Book Price]]))</f>
        <v>0</v>
      </c>
      <c r="ER17" s="382" t="b">
        <f>AND(SnapshotTable[[#This Row],[SC Is Booked]], NOT(ISBLANK(SnapshotTable[[#This Row],[SC Fill Date]])))</f>
        <v>0</v>
      </c>
      <c r="ES17" s="340"/>
      <c r="ET17" s="34" t="str">
        <f>IF(AND(ISNUMBER(SnapshotTable[[#This Row],[SC Exp Date]]), ISNUMBER(SnapshotTable[[#This Row],[SC Book Date]])), SnapshotTable[[#This Row],[SC Exp Date]] - MAX(SnapshotTable[[#This Row],[SC Book Date]], SnapshotTable[[#This Row],[SC Fill Date]]) + 1, "")</f>
        <v/>
      </c>
      <c r="EU17" s="34" t="str">
        <f>IF(ISNUMBER(SnapshotTable[[#This Row],[SC Term]]), SnapshotTable[[#This Row],[SC Exp Date]]- MockToday, "")</f>
        <v/>
      </c>
      <c r="EV17" s="31">
        <f>IF(SnapshotTable[[#This Row],[SC Is Booked]], SnapshotTable[[#This Row],[SC Qty]] * SnapshotTable[[#This Row],[SC Book Price]] * 100, 0)</f>
        <v>0</v>
      </c>
      <c r="EW17" s="4" t="str">
        <f>IF(AND(ISNUMBER(SnapshotTable[[#This Row],[Last Price]]), ISNUMBER( SnapshotTable[[#This Row],[SC Book Price]])), SnapshotTable[[#This Row],[Last Price]] - SnapshotTable[[#This Row],[SC Book Price]],"")</f>
        <v/>
      </c>
      <c r="EX17" s="219" t="str">
        <f>IF(SnapshotTable[[#This Row],[SC Is Booked]],IF(SnapshotTable[[#This Row],[SC Intrinsic Value]] &gt; 0, SnapshotTable[[#This Row],[SC Strike Price]], SnapshotTable[[#This Row],[Last Price]]), "")</f>
        <v/>
      </c>
      <c r="EY17" s="4">
        <f>IF(SnapshotTable[[#This Row],[SC Is Booked]], (MinimumPremiumRequired * SnapshotTable[[#This Row],[SC Basis]] * SnapshotTable[[#This Row],[SC Term]]), 0)</f>
        <v>0</v>
      </c>
      <c r="EZ17" s="268"/>
      <c r="FA17" s="204"/>
      <c r="FB17" s="340"/>
      <c r="FC17" s="4">
        <f>IF(SnapshotTable[[#This Row],[SC Is Filled]], btc_max_buyback_amount(SnapshotTable[[#This Row],[SC Fill Date]],SnapshotTable[[#This Row],[SC Exp Date]], SnapshotTable[[#This Row],[SC Book Price]]),0)</f>
        <v>0</v>
      </c>
      <c r="FD17" s="5"/>
      <c r="FE17" s="142" t="str">
        <f>IF(SnapshotTable[[#This Row],[SC Is Filled]], btc_next_cutoff_date(SnapshotTable[[#This Row],[SC Fill Date]],SnapshotTable[[#This Row],[SC Exp Date]]),"")</f>
        <v/>
      </c>
      <c r="FF17" s="4" t="str" cm="1">
        <f t="array" ref="FF17">IF(SnapshotTable[[#This Row],[SC Is Filled]], btc_should_buy_back(SnapshotTable[[#This Row],[SC Fill Date]], SnapshotTable[[#This Row],[SC Exp Date]], SnapshotTable[[#This Row],[SC Book Price]], SnapshotTable[[#This Row],[SC Current Ask]], MockToday, SnapshotTable[[#This Row],[SC Buyback Override]]),"")</f>
        <v/>
      </c>
      <c r="FG17" s="4">
        <f>IF(SnapshotTable[[#This Row],[SC Is Filled]], MAX(0,SnapshotTable[[#This Row],[Last Price]]  - SnapshotTable[[#This Row],[SC Strike Price]]), 0)</f>
        <v>0</v>
      </c>
      <c r="FH17" s="352">
        <f>IF(SnapshotTable[[#This Row],[SC Is Filled]], IF(ISNUMBER(SnapshotTable[[#This Row],[SC Current Ask]]), SnapshotTable[[#This Row],[SC Current Ask]], SnapshotTable[[#This Row],[SC Book Price]]) - SnapshotTable[[#This Row],[SC Intrinsic Value]], 0)</f>
        <v>0</v>
      </c>
      <c r="FI17" s="141">
        <v>45786</v>
      </c>
      <c r="FJ17" s="32" t="str">
        <f>IF(SnapshotTable[[#This Row],[SC Is Filled]],100 * SnapshotTable[[#This Row],[SC Qty]] * IF(ISNUMBER(SnapshotTable[[#This Row],[SC Buyback Override]]), SnapshotTable[[#This Row],[SC Buyback Override]], SnapshotTable[[#This Row],[SC Current Ask]]), "")</f>
        <v/>
      </c>
      <c r="FK17" s="235" t="str">
        <f>IF(SnapshotTable[[#This Row],[SC Time Val]]&gt;0, SnapshotTable[[#This Row],[SC Time Val]] / SnapshotTable[[#This Row],[Last Price]],"")</f>
        <v/>
      </c>
      <c r="FL17" s="280" t="str">
        <f>IF(SnapshotTable[[#This Row],[SC Is Booked]], ((SnapshotTable[[#This Row],[Last Price]] -SnapshotTable[[#This Row],[SC Strike Price]]) / SnapshotTable[[#This Row],[Last Price]]) * -1, "")</f>
        <v/>
      </c>
      <c r="FM17" s="155" t="str">
        <f>IF(SnapshotTable[[#This Row],[SC Is Booked]],  (SnapshotTable[[#This Row],[SC Qty]] * 100 * SnapshotTable[[#This Row],[SC Strike Price]]) - SnapshotTable[[#This Row],[SC Current Ask]], "")</f>
        <v/>
      </c>
      <c r="FN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 s="31" t="str">
        <f>IF(AND(ISNUMBER(SnapshotTable[[#This Row],[SC Exercise Gross]]), ISNUMBER(SnapshotTable[[#This Row],[Equity Basis Per Share]] )), SnapshotTable[[#This Row],[SC Exercise Gross]] - SnapshotTable[[#This Row],[Equity Basis Total]] +  SnapshotTable[[#This Row],[SC Premium]], "")</f>
        <v/>
      </c>
      <c r="FP17" s="5" t="str">
        <f>IF(ISNUMBER(SnapshotTable[[#This Row],[SC Exercise Gross]]), (SnapshotTable[[#This Row],[SC Exercise Gross]]) / (SnapshotTable[[#This Row],[SC Qty]] * 100), "")</f>
        <v/>
      </c>
      <c r="FQ17" s="27" t="str">
        <f>IF(SnapshotTable[[#This Row],[SC Is Booked]],SnapshotTable[[#This Row],[SC Time Val]] /SnapshotTable[[#This Row],[SC Basis]], "")</f>
        <v/>
      </c>
      <c r="FR17" s="27" t="str" cm="1">
        <f t="array" ref="FR17">IF(AND(ISNUMBER(SnapshotTable[[#This Row],[SC Term]]),ISNUMBER(SnapshotTable[[#This Row],[SC Simple ROO]])), EllmanAnnualize(SnapshotTable[[#This Row],[SC DTE]], SnapshotTable[[#This Row],[SC Simple ROO]] ),"")</f>
        <v/>
      </c>
      <c r="FS17" s="4">
        <f>IF(SnapshotTable[[#This Row],[SC Strike Price]] &gt; SnapshotTable[[#This Row],[Last Price]], SnapshotTable[[#This Row],[SC Strike Price]] - SnapshotTable[[#This Row],[Last Price]],0)</f>
        <v>0</v>
      </c>
      <c r="FT17" s="27" t="str">
        <f>IF(AND(ISNUMBER(SnapshotTable[[#This Row],[SC Upside Potential]]), SnapshotTable[[#This Row],[SC Upside Potential]] &gt; 0),(SnapshotTable[[#This Row],[SC Upside Potential]]/ SnapshotTable[[#This Row],[ACB]]),"")</f>
        <v/>
      </c>
      <c r="FU17" s="304" t="str">
        <f>IF(SnapshotTable[[#This Row],[SC Intrinsic Value]] &gt; 0,SnapshotTable[[#This Row],[SC Intrinsic Value]],"")</f>
        <v/>
      </c>
      <c r="FV17" s="27" t="str">
        <f>IF(AND( ISNUMBER( SnapshotTable[[#This Row],[ACB]]),ISNUMBER(SnapshotTable[[#This Row],[SC Downside Protect]])),SnapshotTable[[#This Row],[SC Downside Protect]] / SnapshotTable[[#This Row],[ACB]],"")</f>
        <v/>
      </c>
      <c r="FW17" s="221" t="str">
        <f>IF(AND(ISNUMBER(SnapshotTable[[#This Row],[SC Simple ROO]]),SnapshotTable[[#This Row],[SC Simple ROO]] &gt; 0), SnapshotTable[[#This Row],[SC Premium]] + (SnapshotTable[[#This Row],[SC Qty]] * SnapshotTable[[#This Row],[SC Upside Potential]]), "")</f>
        <v/>
      </c>
      <c r="FX17" s="280" t="str" cm="1">
        <f t="array" ref="FX17">IF(ISNUMBER(SnapshotTable[[#This Row],[SC Max Dollars]]), annualize(SnapshotTable[[#This Row],[SC Term]],(SnapshotTable[[#This Row],[SC Max Dollars]]/SnapshotTable[[#This Row],[SC Basis]])),"")</f>
        <v/>
      </c>
      <c r="FY17" s="221" t="str">
        <f>IF(AND(SnapshotTable[[#This Row],[SC Qty]]&gt;0,SnapshotTable[[#This Row],[SC Current Ask]]&gt;0), SnapshotTable[[#This Row],[SC Qty]] * SnapshotTable[[#This Row],[SC Current Ask]] * -100, "")</f>
        <v/>
      </c>
      <c r="FZ17" s="31" t="str">
        <f>IF(ISNUMBER((SnapshotTable[[#This Row],[SC Current Value]])), SnapshotTable[[#This Row],[SC Premium]] + SnapshotTable[[#This Row],[SC Current Value]], "")</f>
        <v/>
      </c>
      <c r="GA17" s="272" t="str">
        <f>IFERROR( IF(ISNUMBER((SnapshotTable[[#This Row],[SC Current Value]])), SnapshotTable[[#This Row],[SC Gain Loss]] / SnapshotTable[[#This Row],[SC Premium]], ""), "")</f>
        <v/>
      </c>
      <c r="GB17" s="42">
        <f>SnapshotTable[[#This Row],[Equity Shares]] * SaleSharesToConsiderPercentage</f>
        <v>0</v>
      </c>
      <c r="GC17" s="40">
        <f>SnapshotTable[[#This Row],[Long Term Target]] * SellingPriceToConsiderBasedOnTargetPercentage</f>
        <v>321.05249999999995</v>
      </c>
      <c r="GD17" s="40">
        <f>SnapshotTable[[#This Row],[Last Price]] * (1+ SellingPriceToConsiderBasedOnTargetPercentage)</f>
        <v>273.1755</v>
      </c>
      <c r="GE17" s="41"/>
      <c r="GF17" s="40"/>
      <c r="GG17" s="31">
        <f>SnapshotTable[[#This Row],[Booked Sale Shares]] * SnapshotTable[[#This Row],[Booked Sale Price]]</f>
        <v>0</v>
      </c>
      <c r="GH17" s="31" t="str">
        <f>IF(SnapshotTable[[#This Row],[Equity Basis Total]] &gt; 0, SnapshotTable[[#This Row],[Equity Basis Per Share]] * SnapshotTable[[#This Row],[Booked Sale Shares]], "")</f>
        <v/>
      </c>
      <c r="GI17" s="31">
        <f>IF(SnapshotTable[[#This Row],[Sale Proceeds]]&gt;0, SnapshotTable[[#This Row],[Sale Proceeds]] - SnapshotTable[[#This Row],[Sale Basis]], 0)</f>
        <v>0</v>
      </c>
      <c r="GJ17" s="27" t="str">
        <f>IF(SnapshotTable[[#This Row],[Sale G/L]]&gt;0, SnapshotTable[[#This Row],[Sale G/L]] / SnapshotTable[[#This Row],[Sale Basis]], IF(ISNUMBER(SnapshotTable[[#This Row],[SC Exercise P&amp;L (TAX)]]), SnapshotTable[[#This Row],[SC Exercise P&amp;L (TAX)]] / SnapshotTable[[#This Row],[SC Basis]], ""))</f>
        <v/>
      </c>
      <c r="GK17" s="27" t="s">
        <v>503</v>
      </c>
      <c r="GL17" s="43" t="str">
        <f>IF(AND(SnapshotTable[[#This Row],[LP Exp Date]]&gt;0,SnapshotTable[[#This Row],[LP Strike Price]]&gt;0), [1]!ToOptionSymbol(SnapshotTable[[#This Row],[Symbol]], SnapshotTable[[#This Row],[LP Strike Price]],SnapshotTable[[#This Row],[LP Exp Date]],1), "")</f>
        <v/>
      </c>
      <c r="GM17" s="30" t="str">
        <f>IF(LEN(SnapshotTable[[#This Row],[LP Symbol]])&gt;0, 1, "")</f>
        <v/>
      </c>
      <c r="GN17" s="43" t="str">
        <f>IF(AND(SnapshotTable[[#This Row],[SP Exp Date]]&gt;0,SnapshotTable[[#This Row],[SP Strike Price]]&gt;0), [1]!ToOptionSymbol(SnapshotTable[[#This Row],[Symbol]], SnapshotTable[[#This Row],[SP Strike Price]],SnapshotTable[[#This Row],[SP Exp Date]],1), "")</f>
        <v/>
      </c>
      <c r="GO17" s="30" t="str">
        <f>IF(LEN(SnapshotTable[[#This Row],[SP Symbol]])&gt;0, 1, "")</f>
        <v/>
      </c>
      <c r="GP17" s="43" t="str">
        <f>IF(AND(SnapshotTable[[#This Row],[LC Exp Date]]&gt;0,SnapshotTable[[#This Row],[LC Strike Price]]&gt;0), [1]!ToOptionSymbol(SnapshotTable[[#This Row],[Symbol]], SnapshotTable[[#This Row],[LC Strike Price]],SnapshotTable[[#This Row],[LC Exp Date]],0), "")</f>
        <v/>
      </c>
      <c r="GQ17" s="30" t="str">
        <f>IF(LEN(SnapshotTable[[#This Row],[LC Symbol]])&gt;0, 1, "")</f>
        <v/>
      </c>
      <c r="GR17" s="43" t="str">
        <f>IF(AND(SnapshotTable[[#This Row],[SC Exp Date]]&gt;0,SnapshotTable[[#This Row],[SC Strike Price]]&gt;0), [1]!ToOptionSymbol(SnapshotTable[[#This Row],[Symbol]], SnapshotTable[[#This Row],[SC Strike Price]],SnapshotTable[[#This Row],[SC Exp Date]],0), "")</f>
        <v/>
      </c>
      <c r="GS17" s="30" t="str">
        <f>IF(LEN(SnapshotTable[[#This Row],[SC Symbol]])&gt;0, 1, "")</f>
        <v/>
      </c>
      <c r="GT17" s="29" t="str">
        <f>IF(COUNT(SnapshotTable[[#This Row],[LP Symbol Count]],SnapshotTable[[#This Row],[SP Symbol Count]],SnapshotTable[[#This Row],[LC Symbol Count]],SnapshotTable[[#This Row],[SC Symbol Count]])&gt;0, "Y", "")</f>
        <v/>
      </c>
      <c r="GU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 s="216">
        <f>MAX(SnapshotTable[[#This Row],[Equity Basis Total]],SnapshotTable[[#This Row],[Equity Value]]) + (SnapshotTable[[#This Row],[SP Potential Spend]]- SnapshotTable[[#This Row],[SP Premium]] + SnapshotTable[[#This Row],[LP Premium]])+ (SnapshotTable[[#This Row],[LC Premium]] - SnapshotTable[[#This Row],[SC Premium]])</f>
        <v>0</v>
      </c>
      <c r="GW17" s="137" t="str">
        <f>IF(AND(SnapshotTable[[#This Row],[Exposure]] &lt;&gt; 0),SnapshotTable[[#This Row],[Exposure]] / SnapshotTable[[#Totals],[Exposure]], "")</f>
        <v/>
      </c>
      <c r="HK17" s="1"/>
      <c r="HL17" s="1"/>
      <c r="HM17" s="1"/>
      <c r="HN17" s="1"/>
      <c r="HO17" s="1"/>
      <c r="HP17" s="1"/>
    </row>
    <row r="18" spans="2:224" ht="12.75" hidden="1" customHeight="1" x14ac:dyDescent="0.25">
      <c r="B18" s="12" t="s">
        <v>170</v>
      </c>
      <c r="C18" s="385">
        <v>218.36</v>
      </c>
      <c r="D18" s="200"/>
      <c r="E18" s="39">
        <f>SnapshotTable[[#This Row],[Last Price]]*(1 -CrashDiscount)</f>
        <v>185.60599999999999</v>
      </c>
      <c r="F18" s="26" t="s">
        <v>648</v>
      </c>
      <c r="G18" s="26" t="s">
        <v>7</v>
      </c>
      <c r="H18" s="147"/>
      <c r="I18" s="186">
        <v>44728.670138888891</v>
      </c>
      <c r="J18" s="187">
        <v>44728.670138888891</v>
      </c>
      <c r="K18" s="188" t="s">
        <v>3</v>
      </c>
      <c r="L18" s="297"/>
      <c r="M18" s="138"/>
      <c r="N18" s="138"/>
      <c r="O18" s="138"/>
      <c r="P18" s="22"/>
      <c r="Q18" s="25"/>
      <c r="R18" s="4" t="str">
        <f>IF(SnapshotTable[[#This Row],[Equity Basis Total]] &gt; 0, SnapshotTable[[#This Row],[Equity Basis Total]] / SnapshotTable[[#This Row],[Equity Shares]], "")</f>
        <v/>
      </c>
      <c r="S18" s="254">
        <f>SnapshotTable[[#This Row],[Last Price]] * SnapshotTable[[#This Row],[Equity Shares]]</f>
        <v>0</v>
      </c>
      <c r="T18" s="254">
        <f>SnapshotTable[[#This Row],[Equity Value]] - SnapshotTable[[#This Row],[Equity Basis Total]]</f>
        <v>0</v>
      </c>
      <c r="U18" s="255" t="str">
        <f>IF(SnapshotTable[[#This Row],[Equity Basis Total]] &gt; 0, SnapshotTable[[#This Row],[Equity G/L]] / SnapshotTable[[#This Row],[Equity Basis Total]], "")</f>
        <v/>
      </c>
      <c r="V18" s="253"/>
      <c r="W18" s="253"/>
      <c r="X18" s="4" t="str">
        <f>IF(AND(ISNUMBER(SnapshotTable[[#This Row],[Equity Basis Per Share]]),ISNUMBER(SnapshotTable[[#This Row],[Equity Target]])),SnapshotTable[[#This Row],[Equity Target]]-SnapshotTable[[#This Row],[Equity Basis Per Share]],"")</f>
        <v/>
      </c>
      <c r="Y18" s="4" t="str">
        <f>IF(AND(ISNUMBER(SnapshotTable[[#This Row],[Equity Basis Per Share]]),ISNUMBER(SnapshotTable[[#This Row],[Equity Stop Loss]])),SnapshotTable[[#This Row],[Equity Stop Loss]]-SnapshotTable[[#This Row],[Equity Basis Per Share]],"")</f>
        <v/>
      </c>
      <c r="Z18" s="260" t="str">
        <f>IFERROR( TEXT(SnapshotTable[[#This Row],[Equity Max Gain Per Share]] /ABS( SnapshotTable[[#This Row],[Equity Max Loss Per Share]]),"0.0 " ) &amp; " : 1", "")</f>
        <v/>
      </c>
      <c r="AA18" s="31" t="str">
        <f>IF(ISNUMBER(SnapshotTable[[#This Row],[Equity Max Gain Per Share]]),SnapshotTable[[#This Row],[Equity Max Gain Per Share]] * SnapshotTable[[#This Row],[Equity Shares]],"")</f>
        <v/>
      </c>
      <c r="AB18" s="31" t="str">
        <f>IF(ISNUMBER(SnapshotTable[[#This Row],[Equity Max Loss Per Share]]),SnapshotTable[[#This Row],[Equity Max Loss Per Share]] * SnapshotTable[[#This Row],[Equity Shares]],"")</f>
        <v/>
      </c>
      <c r="AC18" s="148"/>
      <c r="AD18" s="149"/>
      <c r="AE18" s="31">
        <f>(SnapshotTable[[#This Row],[Annual Dividend Per Share]] / 4) * SnapshotTable[[#This Row],[Equity Shares]]</f>
        <v>0</v>
      </c>
      <c r="AF18" s="31">
        <f>SnapshotTable[[#This Row],[Quarterly Div $]] * 4</f>
        <v>0</v>
      </c>
      <c r="AG18" s="7">
        <f>IF(SnapshotTable[[#This Row],[Annual Dividend Per Share]]&gt;0, SnapshotTable[[#This Row],[Annual Dividend Per Share]]  / SnapshotTable[[#This Row],[Last Price]], 0)</f>
        <v>0</v>
      </c>
      <c r="AH18" s="149"/>
      <c r="AI18" s="5"/>
      <c r="AJ18" s="136">
        <v>553.86</v>
      </c>
      <c r="AK18" s="150" t="str">
        <f>IF(ISNUMBER( SnapshotTable[[#This Row],[EBF Target]]),(SnapshotTable[[#This Row],[EBF Target]] - SnapshotTable[[#This Row],[Last Price]]) / SnapshotTable[[#This Row],[Last Price]], "")</f>
        <v/>
      </c>
      <c r="AL18" s="150" t="str">
        <f>IF(AND(SnapshotTable[[#This Row],[Equity Basis Total]] &gt; 0,ISNUMBER( SnapshotTable[[#This Row],[Long Term Target]])), SnapshotTable[[#This Row],[From Basis $]] / SnapshotTable[[#This Row],[Equity Basis Total]], "")</f>
        <v/>
      </c>
      <c r="AM18" s="9">
        <f>IF( AND(SnapshotTable[[#This Row],[Equity Shares]] &gt;0,ISNUMBER( SnapshotTable[[#This Row],[Long Term Target]])),(SnapshotTable[[#This Row],[Equity Shares]] * SnapshotTable[[#This Row],[Long Term Target]]) - SnapshotTable[[#This Row],[Equity Basis Total]],0)</f>
        <v>0</v>
      </c>
      <c r="AN18" s="9">
        <f>IF( AND(SnapshotTable[[#This Row],[Equity Shares]] &gt;0,ISNUMBER( SnapshotTable[[#This Row],[Long Term Target]])),(SnapshotTable[[#This Row],[Equity Shares]]*SnapshotTable[[#This Row],[Long Term Target]]) - SnapshotTable[[#This Row],[Equity Value]],0)</f>
        <v>0</v>
      </c>
      <c r="AO18" s="150">
        <f>IF(AND(ISNUMBER( SnapshotTable[[#This Row],[Long Term Target]]), ISNUMBER(SnapshotTable[[#This Row],[Last Price]])),(SnapshotTable[[#This Row],[Long Term Target]] - SnapshotTable[[#This Row],[Last Price]]) / SnapshotTable[[#This Row],[Last Price]], "")</f>
        <v>1.5364535629236122</v>
      </c>
      <c r="AP18" s="5"/>
      <c r="AQ18" s="38"/>
      <c r="AR18" s="5"/>
      <c r="AS18" s="38"/>
      <c r="AT18" s="144"/>
      <c r="AU18" s="185" t="str">
        <f>IF(OR(SnapshotTable[[#This Row],[LP No Fill]]="Y",SnapshotTable[[#This Row],[SP Is Filled]],SnapshotTable[[#This Row],[LC Not Filled]]="Y",SnapshotTable[[#This Row],[SC Is Filled]]),"Y","")</f>
        <v/>
      </c>
      <c r="AV18" s="205"/>
      <c r="AW18" s="211"/>
      <c r="AX18" s="206"/>
      <c r="AY18" s="205" t="str">
        <f>IF(SnapshotTable[[#This Row],[Implied Move]]&gt;0, SnapshotTable[[#This Row],[Last Price]]-SnapshotTable[[#This Row],[Implied Move]],"")</f>
        <v/>
      </c>
      <c r="AZ18" s="205" t="str">
        <f>IF(SnapshotTable[[#This Row],[Implied Move]]&gt;0, SnapshotTable[[#This Row],[Last Price]] + SnapshotTable[[#This Row],[Implied Move]],"")</f>
        <v/>
      </c>
      <c r="BA18" s="302"/>
      <c r="BB18" s="318"/>
      <c r="BC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 s="321"/>
      <c r="BE18" s="5"/>
      <c r="BF18" s="14"/>
      <c r="BG18" s="13"/>
      <c r="BH18" s="13"/>
      <c r="BI18" s="5"/>
      <c r="BJ18" s="134">
        <f>IF(SnapshotTable[[#This Row],[LP Qty]] &gt; 0, SnapshotTable[[#This Row],[LP Qty]] * SnapshotTable[[#This Row],[LP Book Price]] * 100,0)</f>
        <v>0</v>
      </c>
      <c r="BK18" s="134">
        <f>IF(SnapshotTable[[#This Row],[LP Premium]] &gt; 0, SnapshotTable[[#This Row],[LP Qty]] * SnapshotTable[[#This Row],[LP Strike Price]] * 100,0)</f>
        <v>0</v>
      </c>
      <c r="BL18" s="152"/>
      <c r="BM18" s="355" t="str">
        <f>IF(SnapshotTable[[#This Row],[LP Premium]] &gt; 0,SnapshotTable[[#This Row],[LP Exp Date]]-MAX(SnapshotTable[[#This Row],[LP Book Date]], SnapshotTable[[#This Row],[LP Fill Date]]),"")</f>
        <v/>
      </c>
      <c r="BN18" s="355" t="str">
        <f>IF(ISNUMBER( SnapshotTable[[#This Row],[LP Term]]), SnapshotTable[[#This Row],[LP Exp Date]] - MockToday,"")</f>
        <v/>
      </c>
      <c r="BO18" s="161" t="str">
        <f>IF(AND(SnapshotTable[[#This Row],[LP Exp Date]]&gt;0, SnapshotTable[[#This Row],[LP Strike Price]]&gt;0,SnapshotTable[[#This Row],[LP Qty]]&gt;0,SnapshotTable[[#This Row],[LP Book Date]]&gt;0,SnapshotTable[[#This Row],[LP Book Price]]&gt;0,SnapshotTable[[#This Row],[LP Fill Date]]=0),"Y","")</f>
        <v/>
      </c>
      <c r="BP18" s="31" t="str">
        <f>IF(AND(SnapshotTable[[#This Row],[LP No Fill]]&lt;&gt;"Y",SnapshotTable[[#This Row],[LP Contract Value]]&gt;0, SnapshotTable[[#This Row],[LP Qty]]&gt;0), SnapshotTable[[#This Row],[LP Contract Value]]*SnapshotTable[[#This Row],[LP Qty]]*100,"")</f>
        <v/>
      </c>
      <c r="BQ18" s="13"/>
      <c r="BR18" s="5"/>
      <c r="BS18" s="36"/>
      <c r="BT18" s="145"/>
      <c r="BU18" s="13"/>
      <c r="BV18" s="5"/>
      <c r="BW18" s="382" t="b">
        <f>AND(ISNUMBER(SnapshotTable[[#This Row],[SP Exp Date]]), ISNUMBER(SnapshotTable[[#This Row],[SP Strike Price]]), ISNUMBER(SnapshotTable[[#This Row],[SP Qty]]), ISNUMBER(SnapshotTable[[#This Row],[SP Book Date]]), ISNUMBER(SnapshotTable[[#This Row],[SP Book Price]]))</f>
        <v>0</v>
      </c>
      <c r="BX18" s="382" t="b">
        <f>AND(SnapshotTable[[#This Row],[SP Is Booked]], NOT(ISBLANK(SnapshotTable[[#This Row],[SP Fill Date]])))</f>
        <v>0</v>
      </c>
      <c r="BY18" s="33">
        <f>IF(SnapshotTable[[#This Row],[SP Is Booked]], SnapshotTable[[#This Row],[SP Qty]] * SnapshotTable[[#This Row],[SP Book Price]] * 100, 0)</f>
        <v>0</v>
      </c>
      <c r="BZ18" s="339"/>
      <c r="CA18" s="338">
        <f>SnapshotTable[[#This Row],[LP Qty]]</f>
        <v>0</v>
      </c>
      <c r="CB18" s="4" t="str">
        <f>IF(SnapshotTable[[#This Row],[SP Is Booked]], SnapshotTable[[#This Row],[SP Strike Price]] - SnapshotTable[[#This Row],[SP Book Price]], "")</f>
        <v/>
      </c>
      <c r="CC18" s="19" t="str">
        <f>IF(SnapshotTable[[#This Row],[SP Is Booked]],SnapshotTable[[#This Row],[SP Exp Date]]-MAX(SnapshotTable[[#This Row],[SP Book Date]], SnapshotTable[[#This Row],[SP Fill Date]]),"")</f>
        <v/>
      </c>
      <c r="CD18" s="7" t="str">
        <f>IF(SnapshotTable[[#This Row],[SP Is Booked]], SnapshotTable[[#This Row],[SP Book Price]]/SnapshotTable[[#This Row],[SP Strike Price]], "")</f>
        <v/>
      </c>
      <c r="CE18" s="7" t="str">
        <f>IF(ISNUMBER(SnapshotTable[[#This Row],[SP ROO Term]]),SnapshotTable[[#This Row],[SP ROO Term]]*(365/SnapshotTable[[#This Row],[SP Term]]),"")</f>
        <v/>
      </c>
      <c r="CF18" s="221">
        <f>SnapshotTable[[#This Row],[LP Strike Price]] * SnapshotTable[[#This Row],[LP Qty]] * 100</f>
        <v>0</v>
      </c>
      <c r="CG18" s="31">
        <f>IF(ISNUMBER(SnapshotTable[[#This Row],[SP Premium]]), (SnapshotTable[[#This Row],[SP Qty]] * SnapshotTable[[#This Row],[SP Strike Price]]* 100) - SnapshotTable[[#This Row],[LP Protection]], 0)</f>
        <v>0</v>
      </c>
      <c r="CH18" s="7" t="str">
        <f>IF(ISNUMBER(SnapshotTable[[#This Row],[SP Break Even]]),-1 * (SnapshotTable[[#This Row],[SP Break Even]] - SnapshotTable[[#This Row],[Last Price]]) / SnapshotTable[[#This Row],[Last Price]], "")</f>
        <v/>
      </c>
      <c r="CI18" s="31">
        <f>IF(AND(ISNUMBER((SnapshotTable[[#This Row],[SP Potential Spend]])), SnapshotTable[[#This Row],[SP Strike Price]] &gt; SnapshotTable[[#This Row],[Last Price]], SnapshotTable[[#This Row],[SP Is Filled]]), SnapshotTable[[#This Row],[SP Potential Spend]] -  SnapshotTable[[#This Row],[LP Max Value]], 0)</f>
        <v>0</v>
      </c>
      <c r="CJ18" s="229"/>
      <c r="CK18" s="31">
        <f>IF(ISNUMBER(SnapshotTable[[#This Row],[SP Potential Spend]]),IF(ISNUMBER(SnapshotTable[[#This Row],[SP POW]]), SnapshotTable[[#This Row],[SP POW]] * SnapshotTable[[#This Row],[SP Potential Spend]], SnapshotTable[[#This Row],[SP Potential Spend]]), "")</f>
        <v>0</v>
      </c>
      <c r="CL18" s="162">
        <f>IF(NOT(SnapshotTable[[#This Row],[SP Is Filled]]),(SnapshotTable[[#This Row],[SP Qty]] * SnapshotTable[[#This Row],[SP Strike Price]] * 100) - SnapshotTable[[#This Row],[LP Max Value]],"")</f>
        <v>0</v>
      </c>
      <c r="CM18" s="31" t="str">
        <f>IF(SnapshotTable[[#This Row],[SP Actual Spend]]&lt;&gt;0, ((SnapshotTable[[#This Row],[SP Strike Price]]-SnapshotTable[[#This Row],[Last Price]]) *(SnapshotTable[[#This Row],[SP Qty]]*100) - SnapshotTable[[#This Row],[SP Premium]]) * - 1, "")</f>
        <v/>
      </c>
      <c r="CN18" s="76"/>
      <c r="CO18" s="339"/>
      <c r="CP18" s="4" t="str">
        <f>IF(SnapshotTable[[#This Row],[SP Is Filled]], btc_max_buyback_amount(SnapshotTable[[#This Row],[SP Fill Date]],SnapshotTable[[#This Row],[SP Exp Date]], SnapshotTable[[#This Row],[SP Book Price]]),"")</f>
        <v/>
      </c>
      <c r="CQ18" s="76"/>
      <c r="CR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 s="153" t="str">
        <f>IF(SnapshotTable[[#This Row],[SP Is Filled]], btc_next_cutoff_date(SnapshotTable[[#This Row],[SP Fill Date]],SnapshotTable[[#This Row],[SP Exp Date]]),"")</f>
        <v/>
      </c>
      <c r="CT18" s="220" t="str" cm="1">
        <f t="array" ref="CT18">IF(SnapshotTable[[#This Row],[SP Is Filled]], btc_should_buy_back(SnapshotTable[[#This Row],[SP Fill Date]], SnapshotTable[[#This Row],[SP Exp Date]], SnapshotTable[[#This Row],[SP Book Price]], SnapshotTable[[#This Row],[SP Current Ask]], MockToday, SnapshotTable[[#This Row],[SP Buyback Override]]),"")</f>
        <v/>
      </c>
      <c r="CU18" s="141"/>
      <c r="CV18" s="220"/>
      <c r="CW18" s="348" t="str">
        <f>IF(ISNUMBER( SnapshotTable[[#This Row],[SP Term]]), SnapshotTable[[#This Row],[SP Exp Date]] - MockToday,"")</f>
        <v/>
      </c>
      <c r="CX18" s="31" t="str">
        <f>IF(SnapshotTable[[#This Row],[SP Is Filled]],SnapshotTable[[#This Row],[SP Buyback Price to Use]] * 100 * SnapshotTable[[#This Row],[SP Qty]], "")</f>
        <v/>
      </c>
      <c r="CY18" s="4" t="str">
        <f>IF(ISNUMBER(SnapshotTable[[#This Row],[SP Strike Price]]), SnapshotTable[[#This Row],[SP Strike Price]] * (1 - SP_MaxLoss_StrikePct), "")</f>
        <v/>
      </c>
      <c r="CZ18" s="31" t="str">
        <f>IF(ISNUMBER(SnapshotTable[[#This Row],[SP Strike  Stop Per Share]]),SnapshotTable[[#This Row],[SP Premium]] - ((SnapshotTable[[#This Row],[SP Strike Price]]-SnapshotTable[[#This Row],[SP Strike  Stop Per Share]]) *(SnapshotTable[[#This Row],[SP Qty]] * 100)),"")</f>
        <v/>
      </c>
      <c r="DA18" s="4" t="str">
        <f>IF(AND(ISNUMBER(SnapshotTable[[#This Row],[SP Premium]]),SnapshotTable[[#This Row],[SP Premium]]&gt;0), SnapshotTable[[#This Row],[SP Book Price]] * (1 + SP_MaxLoss_OptionPct), "")</f>
        <v/>
      </c>
      <c r="DB18" s="31" t="str">
        <f>IF(ISNUMBER(SnapshotTable[[#This Row],[SP Option  Stop Contract]]),(SnapshotTable[[#This Row],[SP Option  Stop Contract]] *(SnapshotTable[[#This Row],[SP Qty]] * 100) - SnapshotTable[[#This Row],[SP Premium]]),"")</f>
        <v/>
      </c>
      <c r="DC18" s="4"/>
      <c r="DD18" s="4"/>
      <c r="DE18" s="4" t="str">
        <f>IF(AND(SnapshotTable[[#This Row],[SP Qty]]&gt;0, SnapshotTable[[#This Row],[SP Stop To Use]]&gt;0),SnapshotTable[[#This Row],[SP Premium]] - ( SnapshotTable[[#This Row],[SP Qty]] * SnapshotTable[[#This Row],[SP Stop To Use]] * 100), "")</f>
        <v/>
      </c>
      <c r="DF18" s="31" t="str">
        <f>IF(AND(SnapshotTable[[#This Row],[SP Qty]]&gt;0,SnapshotTable[[#This Row],[SP Current Ask]]&gt;0), SnapshotTable[[#This Row],[SP Qty]] * SnapshotTable[[#This Row],[SP Current Ask]] * -100, "")</f>
        <v/>
      </c>
      <c r="DG18" s="31" t="str">
        <f>IF(ISNUMBER((SnapshotTable[[#This Row],[SP Total Value]])), SnapshotTable[[#This Row],[SP Premium]] + SnapshotTable[[#This Row],[SP Total Value]], "")</f>
        <v/>
      </c>
      <c r="DH18" s="272" t="str">
        <f>IF(ISNUMBER((SnapshotTable[[#This Row],[SP Total Value]])), SnapshotTable[[#This Row],[SP Gain Loss]] / SnapshotTable[[#This Row],[SP Premium]], "")</f>
        <v/>
      </c>
      <c r="DI18" s="369"/>
      <c r="DJ18" s="136"/>
      <c r="DK18" s="146"/>
      <c r="DL18" s="13"/>
      <c r="DM18" s="13"/>
      <c r="DO18" s="31">
        <f>IF(SnapshotTable[[#This Row],[LC Symbol Count]]=1, SnapshotTable[[#This Row],[LC Qty]] * SnapshotTable[[#This Row],[LC Book Price]] * 100, 0)</f>
        <v>0</v>
      </c>
      <c r="DP18" s="161" t="str">
        <f>IF(AND(SnapshotTable[[#This Row],[LC Exp Date]]&gt;0, SnapshotTable[[#This Row],[LC Strike Price]]&gt;0,SnapshotTable[[#This Row],[LC Qty]]&gt;0,SnapshotTable[[#This Row],[LC Book Date]]&gt;0,SnapshotTable[[#This Row],[LC Book Price]]&gt;0,SnapshotTable[[#This Row],[LC Fill Date]]=0),"Y","")</f>
        <v/>
      </c>
      <c r="DQ18" s="356" t="str">
        <f>IF(SnapshotTable[[#This Row],[LC Premium]] &gt; 0,SnapshotTable[[#This Row],[LC Exp Date]]-MAX(SnapshotTable[[#This Row],[LC Book Date]], SnapshotTable[[#This Row],[LC Fill Date]]),"")</f>
        <v/>
      </c>
      <c r="DR18" s="356" t="str">
        <f>IF(ISNUMBER(SnapshotTable[[#This Row],[LC Term]]), SnapshotTable[[#This Row],[LC Exp Date]] - MockToday, "")</f>
        <v/>
      </c>
      <c r="DS18" s="219" t="str">
        <f>IF(SnapshotTable[[#This Row],[LC Premium]]&gt;0,SnapshotTable[[#This Row],[LC Strike Price]] + SnapshotTable[[#This Row],[LC Book Price]],"")</f>
        <v/>
      </c>
      <c r="DU18" s="9" t="str">
        <f>IF(AND(SnapshotTable[[#This Row],[LC Symbol Count]]&gt;0, SnapshotTable[[#This Row],[LC Contract Value]]&gt;0), SnapshotTable[[#This Row],[LC Contract Value]] * SnapshotTable[[#This Row],[LC Qty]] * 100, "")</f>
        <v/>
      </c>
      <c r="DV18" s="9" t="str">
        <f>IF(AND(ISNUMBER(SnapshotTable[[#This Row],[LC Total Value]]), SnapshotTable[[#This Row],[LC Not Filled]]&lt;&gt;"Y"), SnapshotTable[[#This Row],[LC Total Value]]-SnapshotTable[[#This Row],[LC Premium]],"")</f>
        <v/>
      </c>
      <c r="DW18" s="225" t="str">
        <f>IF(ISNUMBER(SnapshotTable[[#This Row],[LC Actual Gain Loss]]), SnapshotTable[[#This Row],[LC Actual Gain Loss]] / SnapshotTable[[#This Row],[LC Premium]],"")</f>
        <v/>
      </c>
      <c r="DX18" s="269" t="str">
        <f>IF(ISNUMBER(SnapshotTable[[#This Row],[LC Book Price]]),SnapshotTable[[#This Row],[LC Book Price]] * 1.5,"")</f>
        <v/>
      </c>
      <c r="DY18" s="250" t="str">
        <f>IF(SnapshotTable[[#This Row],[LC Premium]]&gt;0, SnapshotTable[[#This Row],[LC Next Target]] * SnapshotTable[[#This Row],[LC Qty]] * 100,"")</f>
        <v/>
      </c>
      <c r="DZ18" s="250" t="str">
        <f>IF(ISNUMBER(SnapshotTable[[#This Row],[LC Target Gross]]), SnapshotTable[[#This Row],[LC Target Gross]] - SnapshotTable[[#This Row],[LC Premium]], "")</f>
        <v/>
      </c>
      <c r="EA18" s="283" t="str">
        <f>IF(ISNUMBER(SnapshotTable[[#This Row],[LC Target Gain Loss]]), SnapshotTable[[#This Row],[LC Target Gain Loss]]/SnapshotTable[[#This Row],[LC Premium]], "")</f>
        <v/>
      </c>
      <c r="EB18" s="247"/>
      <c r="EC18" s="268" t="str">
        <f>IF(SnapshotTable[[#This Row],[LC Premium]]&gt;0, SnapshotTable[[#This Row],[LC Book Price]] * (1 - LC_StopLoss_Pct),"")</f>
        <v/>
      </c>
      <c r="ED18" s="269"/>
      <c r="EE18" s="268" t="str">
        <f>IF(ISNUMBER(SnapshotTable[[#This Row],[LC Contract Value]]),IF(ISNUMBER(SnapshotTable[[#This Row],[LC Stop Loss Override]]), SnapshotTable[[#This Row],[LC Stop Loss Override]],SnapshotTable[[#This Row],[LC Stop Loss Calc Target]]),"")</f>
        <v/>
      </c>
      <c r="EF18" s="31" t="str">
        <f>IF(ISNUMBER(SnapshotTable[[#This Row],[LC Stop  To Use]]), (SnapshotTable[[#This Row],[LC Stop  To Use]] * SnapshotTable[[#This Row],[LC Qty]] * 100),"")</f>
        <v/>
      </c>
      <c r="EG18" s="9" t="str">
        <f>IF(ISNUMBER(SnapshotTable[[#This Row],[LC Total Value]]),SnapshotTable[[#This Row],[LC Stop Loss Amount]] - SnapshotTable[[#This Row],[LC Premium]],"")</f>
        <v/>
      </c>
      <c r="EH18" s="9">
        <f>IF(ISNUMBER(SnapshotTable[[#This Row],[LC Premium]]), SnapshotTable[[#This Row],[LC Qty]] * 100 * SnapshotTable[[#This Row],[LC Strike Price]], "")</f>
        <v>0</v>
      </c>
      <c r="EI18" s="225" t="str">
        <f>IF(AND(ISNUMBER(SnapshotTable[[#This Row],[LC Total Value]]),SnapshotTable[[#This Row],[LC Total Value]]&gt;0),SnapshotTable[[#This Row],[LC Stop Gain Loss]]  / SnapshotTable[[#This Row],[LC Premium]],"")</f>
        <v/>
      </c>
      <c r="EJ18" s="35">
        <f>IF(ISNUMBER(SnapshotTable[[#This Row],[Equity Shares]]),TRUNC(SnapshotTable[[#This Row],[Equity Shares]] / 100),0) + SnapshotTable[[#This Row],[LC Qty]]</f>
        <v>0</v>
      </c>
      <c r="EK18" s="145"/>
      <c r="EL18" s="136"/>
      <c r="EM18" s="146"/>
      <c r="EN18" s="145"/>
      <c r="EO18" s="145"/>
      <c r="EP18" s="136"/>
      <c r="EQ18" s="382" t="b">
        <f>AND(ISNUMBER(SnapshotTable[[#This Row],[SC Exp Date]]), ISNUMBER(SnapshotTable[[#This Row],[SC Strike Price]]), ISNUMBER(SnapshotTable[[#This Row],[SC Qty]]), ISNUMBER(SnapshotTable[[#This Row],[SC Book Date]]), ISNUMBER(SnapshotTable[[#This Row],[SC Book Price]]))</f>
        <v>0</v>
      </c>
      <c r="ER18" s="382" t="b">
        <f>AND(SnapshotTable[[#This Row],[SC Is Booked]], NOT(ISBLANK(SnapshotTable[[#This Row],[SC Fill Date]])))</f>
        <v>0</v>
      </c>
      <c r="ES18" s="340"/>
      <c r="ET18" s="34" t="str">
        <f>IF(AND(ISNUMBER(SnapshotTable[[#This Row],[SC Exp Date]]), ISNUMBER(SnapshotTable[[#This Row],[SC Book Date]])), SnapshotTable[[#This Row],[SC Exp Date]] - MAX(SnapshotTable[[#This Row],[SC Book Date]], SnapshotTable[[#This Row],[SC Fill Date]]) + 1, "")</f>
        <v/>
      </c>
      <c r="EU18" s="34" t="str">
        <f>IF(ISNUMBER(SnapshotTable[[#This Row],[SC Term]]), SnapshotTable[[#This Row],[SC Exp Date]]- MockToday, "")</f>
        <v/>
      </c>
      <c r="EV18" s="31">
        <f>IF(SnapshotTable[[#This Row],[SC Is Booked]], SnapshotTable[[#This Row],[SC Qty]] * SnapshotTable[[#This Row],[SC Book Price]] * 100, 0)</f>
        <v>0</v>
      </c>
      <c r="EW18" s="4" t="str">
        <f>IF(AND(ISNUMBER(SnapshotTable[[#This Row],[Last Price]]), ISNUMBER( SnapshotTable[[#This Row],[SC Book Price]])), SnapshotTable[[#This Row],[Last Price]] - SnapshotTable[[#This Row],[SC Book Price]],"")</f>
        <v/>
      </c>
      <c r="EX18" s="219" t="str">
        <f>IF(SnapshotTable[[#This Row],[SC Is Booked]],IF(SnapshotTable[[#This Row],[SC Intrinsic Value]] &gt; 0, SnapshotTable[[#This Row],[SC Strike Price]], SnapshotTable[[#This Row],[Last Price]]), "")</f>
        <v/>
      </c>
      <c r="EY18" s="4">
        <f>IF(SnapshotTable[[#This Row],[SC Is Booked]], (MinimumPremiumRequired * SnapshotTable[[#This Row],[SC Basis]] * SnapshotTable[[#This Row],[SC Term]]), 0)</f>
        <v>0</v>
      </c>
      <c r="EZ18" s="268"/>
      <c r="FA18" s="204"/>
      <c r="FB18" s="340"/>
      <c r="FC18" s="4">
        <f>IF(SnapshotTable[[#This Row],[SC Is Filled]], btc_max_buyback_amount(SnapshotTable[[#This Row],[SC Fill Date]],SnapshotTable[[#This Row],[SC Exp Date]], SnapshotTable[[#This Row],[SC Book Price]]),0)</f>
        <v>0</v>
      </c>
      <c r="FD18" s="5"/>
      <c r="FE18" s="142" t="str">
        <f>IF(SnapshotTable[[#This Row],[SC Is Filled]], btc_next_cutoff_date(SnapshotTable[[#This Row],[SC Fill Date]],SnapshotTable[[#This Row],[SC Exp Date]]),"")</f>
        <v/>
      </c>
      <c r="FF18" s="4" t="str" cm="1">
        <f t="array" ref="FF18">IF(SnapshotTable[[#This Row],[SC Is Filled]], btc_should_buy_back(SnapshotTable[[#This Row],[SC Fill Date]], SnapshotTable[[#This Row],[SC Exp Date]], SnapshotTable[[#This Row],[SC Book Price]], SnapshotTable[[#This Row],[SC Current Ask]], MockToday, SnapshotTable[[#This Row],[SC Buyback Override]]),"")</f>
        <v/>
      </c>
      <c r="FG18" s="4">
        <f>IF(SnapshotTable[[#This Row],[SC Is Filled]], MAX(0,SnapshotTable[[#This Row],[Last Price]]  - SnapshotTable[[#This Row],[SC Strike Price]]), 0)</f>
        <v>0</v>
      </c>
      <c r="FH18" s="352">
        <f>IF(SnapshotTable[[#This Row],[SC Is Filled]], IF(ISNUMBER(SnapshotTable[[#This Row],[SC Current Ask]]), SnapshotTable[[#This Row],[SC Current Ask]], SnapshotTable[[#This Row],[SC Book Price]]) - SnapshotTable[[#This Row],[SC Intrinsic Value]], 0)</f>
        <v>0</v>
      </c>
      <c r="FI18" s="141">
        <v>45786</v>
      </c>
      <c r="FJ18" s="32" t="str">
        <f>IF(SnapshotTable[[#This Row],[SC Is Filled]],100 * SnapshotTable[[#This Row],[SC Qty]] * IF(ISNUMBER(SnapshotTable[[#This Row],[SC Buyback Override]]), SnapshotTable[[#This Row],[SC Buyback Override]], SnapshotTable[[#This Row],[SC Current Ask]]), "")</f>
        <v/>
      </c>
      <c r="FK18" s="235" t="str">
        <f>IF(SnapshotTable[[#This Row],[SC Time Val]]&gt;0, SnapshotTable[[#This Row],[SC Time Val]] / SnapshotTable[[#This Row],[Last Price]],"")</f>
        <v/>
      </c>
      <c r="FL18" s="280" t="str">
        <f>IF(SnapshotTable[[#This Row],[SC Is Booked]], ((SnapshotTable[[#This Row],[Last Price]] -SnapshotTable[[#This Row],[SC Strike Price]]) / SnapshotTable[[#This Row],[Last Price]]) * -1, "")</f>
        <v/>
      </c>
      <c r="FM18" s="155" t="str">
        <f>IF(SnapshotTable[[#This Row],[SC Is Booked]],  (SnapshotTable[[#This Row],[SC Qty]] * 100 * SnapshotTable[[#This Row],[SC Strike Price]]) - SnapshotTable[[#This Row],[SC Current Ask]], "")</f>
        <v/>
      </c>
      <c r="FN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 s="31" t="str">
        <f>IF(AND(ISNUMBER(SnapshotTable[[#This Row],[SC Exercise Gross]]), ISNUMBER(SnapshotTable[[#This Row],[Equity Basis Per Share]] )), SnapshotTable[[#This Row],[SC Exercise Gross]] - SnapshotTable[[#This Row],[Equity Basis Total]] +  SnapshotTable[[#This Row],[SC Premium]], "")</f>
        <v/>
      </c>
      <c r="FP18" s="5" t="str">
        <f>IF(ISNUMBER(SnapshotTable[[#This Row],[SC Exercise Gross]]), (SnapshotTable[[#This Row],[SC Exercise Gross]]) / (SnapshotTable[[#This Row],[SC Qty]] * 100), "")</f>
        <v/>
      </c>
      <c r="FQ18" s="27" t="str">
        <f>IF(SnapshotTable[[#This Row],[SC Is Booked]],SnapshotTable[[#This Row],[SC Time Val]] /SnapshotTable[[#This Row],[SC Basis]], "")</f>
        <v/>
      </c>
      <c r="FR18" s="27" t="str" cm="1">
        <f t="array" ref="FR18">IF(AND(ISNUMBER(SnapshotTable[[#This Row],[SC Term]]),ISNUMBER(SnapshotTable[[#This Row],[SC Simple ROO]])), EllmanAnnualize(SnapshotTable[[#This Row],[SC DTE]], SnapshotTable[[#This Row],[SC Simple ROO]] ),"")</f>
        <v/>
      </c>
      <c r="FS18" s="4">
        <f>IF(SnapshotTable[[#This Row],[SC Strike Price]] &gt; SnapshotTable[[#This Row],[Last Price]], SnapshotTable[[#This Row],[SC Strike Price]] - SnapshotTable[[#This Row],[Last Price]],0)</f>
        <v>0</v>
      </c>
      <c r="FT18" s="27" t="str">
        <f>IF(AND(ISNUMBER(SnapshotTable[[#This Row],[SC Upside Potential]]), SnapshotTable[[#This Row],[SC Upside Potential]] &gt; 0),(SnapshotTable[[#This Row],[SC Upside Potential]]/ SnapshotTable[[#This Row],[ACB]]),"")</f>
        <v/>
      </c>
      <c r="FU18" s="304" t="str">
        <f>IF(SnapshotTable[[#This Row],[SC Intrinsic Value]] &gt; 0,SnapshotTable[[#This Row],[SC Intrinsic Value]],"")</f>
        <v/>
      </c>
      <c r="FV18" s="27" t="str">
        <f>IF(AND( ISNUMBER( SnapshotTable[[#This Row],[ACB]]),ISNUMBER(SnapshotTable[[#This Row],[SC Downside Protect]])),SnapshotTable[[#This Row],[SC Downside Protect]] / SnapshotTable[[#This Row],[ACB]],"")</f>
        <v/>
      </c>
      <c r="FW18" s="221" t="str">
        <f>IF(AND(ISNUMBER(SnapshotTable[[#This Row],[SC Simple ROO]]),SnapshotTable[[#This Row],[SC Simple ROO]] &gt; 0), SnapshotTable[[#This Row],[SC Premium]] + (SnapshotTable[[#This Row],[SC Qty]] * SnapshotTable[[#This Row],[SC Upside Potential]]), "")</f>
        <v/>
      </c>
      <c r="FX18" s="280" t="str" cm="1">
        <f t="array" ref="FX18">IF(ISNUMBER(SnapshotTable[[#This Row],[SC Max Dollars]]), annualize(SnapshotTable[[#This Row],[SC Term]],(SnapshotTable[[#This Row],[SC Max Dollars]]/SnapshotTable[[#This Row],[SC Basis]])),"")</f>
        <v/>
      </c>
      <c r="FY18" s="221" t="str">
        <f>IF(AND(SnapshotTable[[#This Row],[SC Qty]]&gt;0,SnapshotTable[[#This Row],[SC Current Ask]]&gt;0), SnapshotTable[[#This Row],[SC Qty]] * SnapshotTable[[#This Row],[SC Current Ask]] * -100, "")</f>
        <v/>
      </c>
      <c r="FZ18" s="31" t="str">
        <f>IF(ISNUMBER((SnapshotTable[[#This Row],[SC Current Value]])), SnapshotTable[[#This Row],[SC Premium]] + SnapshotTable[[#This Row],[SC Current Value]], "")</f>
        <v/>
      </c>
      <c r="GA18" s="272" t="str">
        <f>IFERROR( IF(ISNUMBER((SnapshotTable[[#This Row],[SC Current Value]])), SnapshotTable[[#This Row],[SC Gain Loss]] / SnapshotTable[[#This Row],[SC Premium]], ""), "")</f>
        <v/>
      </c>
      <c r="GB18" s="42">
        <f>SnapshotTable[[#This Row],[Equity Shares]] * SaleSharesToConsiderPercentage</f>
        <v>0</v>
      </c>
      <c r="GC18" s="40">
        <f>SnapshotTable[[#This Row],[Long Term Target]] * SellingPriceToConsiderBasedOnTargetPercentage</f>
        <v>526.16700000000003</v>
      </c>
      <c r="GD18" s="40">
        <f>SnapshotTable[[#This Row],[Last Price]] * (1+ SellingPriceToConsiderBasedOnTargetPercentage)</f>
        <v>425.80200000000002</v>
      </c>
      <c r="GE18" s="41"/>
      <c r="GF18" s="40"/>
      <c r="GG18" s="31">
        <f>SnapshotTable[[#This Row],[Booked Sale Shares]] * SnapshotTable[[#This Row],[Booked Sale Price]]</f>
        <v>0</v>
      </c>
      <c r="GH18" s="31" t="str">
        <f>IF(SnapshotTable[[#This Row],[Equity Basis Total]] &gt; 0, SnapshotTable[[#This Row],[Equity Basis Per Share]] * SnapshotTable[[#This Row],[Booked Sale Shares]], "")</f>
        <v/>
      </c>
      <c r="GI18" s="31">
        <f>IF(SnapshotTable[[#This Row],[Sale Proceeds]]&gt;0, SnapshotTable[[#This Row],[Sale Proceeds]] - SnapshotTable[[#This Row],[Sale Basis]], 0)</f>
        <v>0</v>
      </c>
      <c r="GJ18" s="27" t="str">
        <f>IF(SnapshotTable[[#This Row],[Sale G/L]]&gt;0, SnapshotTable[[#This Row],[Sale G/L]] / SnapshotTable[[#This Row],[Sale Basis]], IF(ISNUMBER(SnapshotTable[[#This Row],[SC Exercise P&amp;L (TAX)]]), SnapshotTable[[#This Row],[SC Exercise P&amp;L (TAX)]] / SnapshotTable[[#This Row],[SC Basis]], ""))</f>
        <v/>
      </c>
      <c r="GK18" s="27" t="s">
        <v>504</v>
      </c>
      <c r="GL18" s="43" t="str">
        <f>IF(AND(SnapshotTable[[#This Row],[LP Exp Date]]&gt;0,SnapshotTable[[#This Row],[LP Strike Price]]&gt;0), [1]!ToOptionSymbol(SnapshotTable[[#This Row],[Symbol]], SnapshotTable[[#This Row],[LP Strike Price]],SnapshotTable[[#This Row],[LP Exp Date]],1), "")</f>
        <v/>
      </c>
      <c r="GM18" s="30" t="str">
        <f>IF(LEN(SnapshotTable[[#This Row],[LP Symbol]])&gt;0, 1, "")</f>
        <v/>
      </c>
      <c r="GN18" s="43" t="str">
        <f>IF(AND(SnapshotTable[[#This Row],[SP Exp Date]]&gt;0,SnapshotTable[[#This Row],[SP Strike Price]]&gt;0), [1]!ToOptionSymbol(SnapshotTable[[#This Row],[Symbol]], SnapshotTable[[#This Row],[SP Strike Price]],SnapshotTable[[#This Row],[SP Exp Date]],1), "")</f>
        <v/>
      </c>
      <c r="GO18" s="30" t="str">
        <f>IF(LEN(SnapshotTable[[#This Row],[SP Symbol]])&gt;0, 1, "")</f>
        <v/>
      </c>
      <c r="GP18" s="43" t="str">
        <f>IF(AND(SnapshotTable[[#This Row],[LC Exp Date]]&gt;0,SnapshotTable[[#This Row],[LC Strike Price]]&gt;0), [1]!ToOptionSymbol(SnapshotTable[[#This Row],[Symbol]], SnapshotTable[[#This Row],[LC Strike Price]],SnapshotTable[[#This Row],[LC Exp Date]],0), "")</f>
        <v/>
      </c>
      <c r="GQ18" s="30" t="str">
        <f>IF(LEN(SnapshotTable[[#This Row],[LC Symbol]])&gt;0, 1, "")</f>
        <v/>
      </c>
      <c r="GR18" s="43" t="str">
        <f>IF(AND(SnapshotTable[[#This Row],[SC Exp Date]]&gt;0,SnapshotTable[[#This Row],[SC Strike Price]]&gt;0), [1]!ToOptionSymbol(SnapshotTable[[#This Row],[Symbol]], SnapshotTable[[#This Row],[SC Strike Price]],SnapshotTable[[#This Row],[SC Exp Date]],0), "")</f>
        <v/>
      </c>
      <c r="GS18" s="30" t="str">
        <f>IF(LEN(SnapshotTable[[#This Row],[SC Symbol]])&gt;0, 1, "")</f>
        <v/>
      </c>
      <c r="GT18" s="29" t="str">
        <f>IF(COUNT(SnapshotTable[[#This Row],[LP Symbol Count]],SnapshotTable[[#This Row],[SP Symbol Count]],SnapshotTable[[#This Row],[LC Symbol Count]],SnapshotTable[[#This Row],[SC Symbol Count]])&gt;0, "Y", "")</f>
        <v/>
      </c>
      <c r="GU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 s="216">
        <f>MAX(SnapshotTable[[#This Row],[Equity Basis Total]],SnapshotTable[[#This Row],[Equity Value]]) + (SnapshotTable[[#This Row],[SP Potential Spend]]- SnapshotTable[[#This Row],[SP Premium]] + SnapshotTable[[#This Row],[LP Premium]])+ (SnapshotTable[[#This Row],[LC Premium]] - SnapshotTable[[#This Row],[SC Premium]])</f>
        <v>0</v>
      </c>
      <c r="GW18" s="137" t="str">
        <f>IF(AND(SnapshotTable[[#This Row],[Exposure]] &lt;&gt; 0),SnapshotTable[[#This Row],[Exposure]] / SnapshotTable[[#Totals],[Exposure]], "")</f>
        <v/>
      </c>
      <c r="HK18" s="1"/>
      <c r="HL18" s="1"/>
      <c r="HM18" s="1"/>
      <c r="HN18" s="1"/>
      <c r="HO18" s="1"/>
      <c r="HP18" s="1"/>
    </row>
    <row r="19" spans="2:224" ht="12.75" hidden="1" customHeight="1" x14ac:dyDescent="0.25">
      <c r="B19" s="12" t="s">
        <v>108</v>
      </c>
      <c r="C19" s="385">
        <v>87.32</v>
      </c>
      <c r="D19" s="200"/>
      <c r="E19" s="39">
        <f>SnapshotTable[[#This Row],[Last Price]]*(1 -CrashDiscount)</f>
        <v>74.221999999999994</v>
      </c>
      <c r="F19" s="26" t="s">
        <v>107</v>
      </c>
      <c r="G19" s="26" t="s">
        <v>629</v>
      </c>
      <c r="H19" s="147"/>
      <c r="I19" s="186">
        <v>44768.291666666664</v>
      </c>
      <c r="J19" s="187">
        <v>44768.291666666664</v>
      </c>
      <c r="K19" s="188"/>
      <c r="L19" s="297"/>
      <c r="M19" s="138"/>
      <c r="N19" s="138"/>
      <c r="O19" s="138"/>
      <c r="P19" s="22"/>
      <c r="Q19" s="25"/>
      <c r="R19" s="4" t="str">
        <f>IF(SnapshotTable[[#This Row],[Equity Basis Total]] &gt; 0, SnapshotTable[[#This Row],[Equity Basis Total]] / SnapshotTable[[#This Row],[Equity Shares]], "")</f>
        <v/>
      </c>
      <c r="S19" s="254">
        <f>SnapshotTable[[#This Row],[Last Price]] * SnapshotTable[[#This Row],[Equity Shares]]</f>
        <v>0</v>
      </c>
      <c r="T19" s="254">
        <f>SnapshotTable[[#This Row],[Equity Value]] - SnapshotTable[[#This Row],[Equity Basis Total]]</f>
        <v>0</v>
      </c>
      <c r="U19" s="255" t="str">
        <f>IF(SnapshotTable[[#This Row],[Equity Basis Total]] &gt; 0, SnapshotTable[[#This Row],[Equity G/L]] / SnapshotTable[[#This Row],[Equity Basis Total]], "")</f>
        <v/>
      </c>
      <c r="V19" s="253"/>
      <c r="W19" s="253"/>
      <c r="X19" s="4" t="str">
        <f>IF(AND(ISNUMBER(SnapshotTable[[#This Row],[Equity Basis Per Share]]),ISNUMBER(SnapshotTable[[#This Row],[Equity Target]])),SnapshotTable[[#This Row],[Equity Target]]-SnapshotTable[[#This Row],[Equity Basis Per Share]],"")</f>
        <v/>
      </c>
      <c r="Y19" s="4" t="str">
        <f>IF(AND(ISNUMBER(SnapshotTable[[#This Row],[Equity Basis Per Share]]),ISNUMBER(SnapshotTable[[#This Row],[Equity Stop Loss]])),SnapshotTable[[#This Row],[Equity Stop Loss]]-SnapshotTable[[#This Row],[Equity Basis Per Share]],"")</f>
        <v/>
      </c>
      <c r="Z19" s="260" t="str">
        <f>IFERROR( TEXT(SnapshotTable[[#This Row],[Equity Max Gain Per Share]] /ABS( SnapshotTable[[#This Row],[Equity Max Loss Per Share]]),"0.0 " ) &amp; " : 1", "")</f>
        <v/>
      </c>
      <c r="AA19" s="31" t="str">
        <f>IF(ISNUMBER(SnapshotTable[[#This Row],[Equity Max Gain Per Share]]),SnapshotTable[[#This Row],[Equity Max Gain Per Share]] * SnapshotTable[[#This Row],[Equity Shares]],"")</f>
        <v/>
      </c>
      <c r="AB19" s="31" t="str">
        <f>IF(ISNUMBER(SnapshotTable[[#This Row],[Equity Max Loss Per Share]]),SnapshotTable[[#This Row],[Equity Max Loss Per Share]] * SnapshotTable[[#This Row],[Equity Shares]],"")</f>
        <v/>
      </c>
      <c r="AC19" s="148">
        <v>1.2</v>
      </c>
      <c r="AD19" s="149">
        <v>42801</v>
      </c>
      <c r="AE19" s="31">
        <f>(SnapshotTable[[#This Row],[Annual Dividend Per Share]] / 4) * SnapshotTable[[#This Row],[Equity Shares]]</f>
        <v>0</v>
      </c>
      <c r="AF19" s="31">
        <f>SnapshotTable[[#This Row],[Quarterly Div $]] * 4</f>
        <v>0</v>
      </c>
      <c r="AG19" s="7">
        <f>IF(SnapshotTable[[#This Row],[Annual Dividend Per Share]]&gt;0, SnapshotTable[[#This Row],[Annual Dividend Per Share]]  / SnapshotTable[[#This Row],[Last Price]], 0)</f>
        <v>1.3742556115437472E-2</v>
      </c>
      <c r="AH19" s="149">
        <v>42776</v>
      </c>
      <c r="AI19" s="5"/>
      <c r="AJ19" s="136">
        <v>98.89</v>
      </c>
      <c r="AK19" s="150" t="str">
        <f>IF(ISNUMBER( SnapshotTable[[#This Row],[EBF Target]]),(SnapshotTable[[#This Row],[EBF Target]] - SnapshotTable[[#This Row],[Last Price]]) / SnapshotTable[[#This Row],[Last Price]], "")</f>
        <v/>
      </c>
      <c r="AL19" s="150" t="str">
        <f>IF(AND(SnapshotTable[[#This Row],[Equity Basis Total]] &gt; 0,ISNUMBER( SnapshotTable[[#This Row],[Long Term Target]])), SnapshotTable[[#This Row],[From Basis $]] / SnapshotTable[[#This Row],[Equity Basis Total]], "")</f>
        <v/>
      </c>
      <c r="AM19" s="9">
        <f>IF( AND(SnapshotTable[[#This Row],[Equity Shares]] &gt;0,ISNUMBER( SnapshotTable[[#This Row],[Long Term Target]])),(SnapshotTable[[#This Row],[Equity Shares]] * SnapshotTable[[#This Row],[Long Term Target]]) - SnapshotTable[[#This Row],[Equity Basis Total]],0)</f>
        <v>0</v>
      </c>
      <c r="AN19" s="9">
        <f>IF( AND(SnapshotTable[[#This Row],[Equity Shares]] &gt;0,ISNUMBER( SnapshotTable[[#This Row],[Long Term Target]])),(SnapshotTable[[#This Row],[Equity Shares]]*SnapshotTable[[#This Row],[Long Term Target]]) - SnapshotTable[[#This Row],[Equity Value]],0)</f>
        <v>0</v>
      </c>
      <c r="AO19" s="150">
        <f>IF(AND(ISNUMBER( SnapshotTable[[#This Row],[Long Term Target]]), ISNUMBER(SnapshotTable[[#This Row],[Last Price]])),(SnapshotTable[[#This Row],[Long Term Target]] - SnapshotTable[[#This Row],[Last Price]]) / SnapshotTable[[#This Row],[Last Price]], "")</f>
        <v>0.13250114521300971</v>
      </c>
      <c r="AP19" s="5">
        <v>49.88</v>
      </c>
      <c r="AQ19" s="38" t="s">
        <v>59</v>
      </c>
      <c r="AR19" s="5">
        <v>44</v>
      </c>
      <c r="AS19" s="38" t="s">
        <v>28</v>
      </c>
      <c r="AT19" s="144"/>
      <c r="AU19" s="185" t="str">
        <f>IF(OR(SnapshotTable[[#This Row],[LP No Fill]]="Y",SnapshotTable[[#This Row],[SP Is Filled]],SnapshotTable[[#This Row],[LC Not Filled]]="Y",SnapshotTable[[#This Row],[SC Is Filled]]),"Y","")</f>
        <v/>
      </c>
      <c r="AV19" s="205"/>
      <c r="AW19" s="211"/>
      <c r="AX19" s="206"/>
      <c r="AY19" s="205" t="str">
        <f>IF(SnapshotTable[[#This Row],[Implied Move]]&gt;0, SnapshotTable[[#This Row],[Last Price]]-SnapshotTable[[#This Row],[Implied Move]],"")</f>
        <v/>
      </c>
      <c r="AZ19" s="205" t="str">
        <f>IF(SnapshotTable[[#This Row],[Implied Move]]&gt;0, SnapshotTable[[#This Row],[Last Price]] + SnapshotTable[[#This Row],[Implied Move]],"")</f>
        <v/>
      </c>
      <c r="BA19" s="302"/>
      <c r="BB19" s="318"/>
      <c r="BC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 s="321"/>
      <c r="BE19" s="5"/>
      <c r="BF19" s="14"/>
      <c r="BG19" s="13"/>
      <c r="BH19" s="13"/>
      <c r="BI19" s="5"/>
      <c r="BJ19" s="134"/>
      <c r="BK19" s="134">
        <f>IF(SnapshotTable[[#This Row],[LP Premium]] &gt; 0, SnapshotTable[[#This Row],[LP Qty]] * SnapshotTable[[#This Row],[LP Strike Price]] * 100,0)</f>
        <v>0</v>
      </c>
      <c r="BL19" s="152"/>
      <c r="BM19" s="355" t="str">
        <f>IF(SnapshotTable[[#This Row],[LP Premium]] &gt; 0,SnapshotTable[[#This Row],[LP Exp Date]]-MAX(SnapshotTable[[#This Row],[LP Book Date]], SnapshotTable[[#This Row],[LP Fill Date]]),"")</f>
        <v/>
      </c>
      <c r="BN19" s="355" t="str">
        <f>IF(ISNUMBER( SnapshotTable[[#This Row],[LP Term]]), SnapshotTable[[#This Row],[LP Exp Date]] - MockToday,"")</f>
        <v/>
      </c>
      <c r="BO19" s="161" t="str">
        <f>IF(AND(SnapshotTable[[#This Row],[LP Exp Date]]&gt;0, SnapshotTable[[#This Row],[LP Strike Price]]&gt;0,SnapshotTable[[#This Row],[LP Qty]]&gt;0,SnapshotTable[[#This Row],[LP Book Date]]&gt;0,SnapshotTable[[#This Row],[LP Book Price]]&gt;0,SnapshotTable[[#This Row],[LP Fill Date]]=0),"Y","")</f>
        <v/>
      </c>
      <c r="BP19" s="31" t="str">
        <f>IF(AND(SnapshotTable[[#This Row],[LP No Fill]]&lt;&gt;"Y",SnapshotTable[[#This Row],[LP Contract Value]]&gt;0, SnapshotTable[[#This Row],[LP Qty]]&gt;0), SnapshotTable[[#This Row],[LP Contract Value]]*SnapshotTable[[#This Row],[LP Qty]]*100,"")</f>
        <v/>
      </c>
      <c r="BQ19" s="13"/>
      <c r="BR19" s="5"/>
      <c r="BS19" s="36"/>
      <c r="BT19" s="145"/>
      <c r="BU19" s="13"/>
      <c r="BV19" s="5"/>
      <c r="BW19" s="382" t="b">
        <f>AND(ISNUMBER(SnapshotTable[[#This Row],[SP Exp Date]]), ISNUMBER(SnapshotTable[[#This Row],[SP Strike Price]]), ISNUMBER(SnapshotTable[[#This Row],[SP Qty]]), ISNUMBER(SnapshotTable[[#This Row],[SP Book Date]]), ISNUMBER(SnapshotTable[[#This Row],[SP Book Price]]))</f>
        <v>0</v>
      </c>
      <c r="BX19" s="382" t="b">
        <f>AND(SnapshotTable[[#This Row],[SP Is Booked]], NOT(ISBLANK(SnapshotTable[[#This Row],[SP Fill Date]])))</f>
        <v>0</v>
      </c>
      <c r="BY19" s="33">
        <f>IF(SnapshotTable[[#This Row],[SP Is Booked]], SnapshotTable[[#This Row],[SP Qty]] * SnapshotTable[[#This Row],[SP Book Price]] * 100, 0)</f>
        <v>0</v>
      </c>
      <c r="BZ19" s="339"/>
      <c r="CA19" s="338">
        <f>SnapshotTable[[#This Row],[LP Qty]]</f>
        <v>0</v>
      </c>
      <c r="CB19" s="4" t="str">
        <f>IF(SnapshotTable[[#This Row],[SP Is Booked]], SnapshotTable[[#This Row],[SP Strike Price]] - SnapshotTable[[#This Row],[SP Book Price]], "")</f>
        <v/>
      </c>
      <c r="CC19" s="19" t="str">
        <f>IF(SnapshotTable[[#This Row],[SP Is Booked]],SnapshotTable[[#This Row],[SP Exp Date]]-MAX(SnapshotTable[[#This Row],[SP Book Date]], SnapshotTable[[#This Row],[SP Fill Date]]),"")</f>
        <v/>
      </c>
      <c r="CD19" s="7" t="str">
        <f>IF(SnapshotTable[[#This Row],[SP Is Booked]], SnapshotTable[[#This Row],[SP Book Price]]/SnapshotTable[[#This Row],[SP Strike Price]], "")</f>
        <v/>
      </c>
      <c r="CE19" s="7" t="str">
        <f>IF(ISNUMBER(SnapshotTable[[#This Row],[SP ROO Term]]),SnapshotTable[[#This Row],[SP ROO Term]]*(365/SnapshotTable[[#This Row],[SP Term]]),"")</f>
        <v/>
      </c>
      <c r="CF19" s="221">
        <f>SnapshotTable[[#This Row],[LP Strike Price]] * SnapshotTable[[#This Row],[LP Qty]] * 100</f>
        <v>0</v>
      </c>
      <c r="CG19" s="31">
        <f>IF(ISNUMBER(SnapshotTable[[#This Row],[SP Premium]]), (SnapshotTable[[#This Row],[SP Qty]] * SnapshotTable[[#This Row],[SP Strike Price]]* 100) - SnapshotTable[[#This Row],[LP Protection]], 0)</f>
        <v>0</v>
      </c>
      <c r="CH19" s="7" t="str">
        <f>IF(ISNUMBER(SnapshotTable[[#This Row],[SP Break Even]]),-1 * (SnapshotTable[[#This Row],[SP Break Even]] - SnapshotTable[[#This Row],[Last Price]]) / SnapshotTable[[#This Row],[Last Price]], "")</f>
        <v/>
      </c>
      <c r="CI19" s="31">
        <f>IF(AND(ISNUMBER((SnapshotTable[[#This Row],[SP Potential Spend]])), SnapshotTable[[#This Row],[SP Strike Price]] &gt; SnapshotTable[[#This Row],[Last Price]], SnapshotTable[[#This Row],[SP Is Filled]]), SnapshotTable[[#This Row],[SP Potential Spend]] -  SnapshotTable[[#This Row],[LP Max Value]], 0)</f>
        <v>0</v>
      </c>
      <c r="CJ19" s="229"/>
      <c r="CK19" s="31">
        <f>IF(ISNUMBER(SnapshotTable[[#This Row],[SP Potential Spend]]),IF(ISNUMBER(SnapshotTable[[#This Row],[SP POW]]), SnapshotTable[[#This Row],[SP POW]] * SnapshotTable[[#This Row],[SP Potential Spend]], SnapshotTable[[#This Row],[SP Potential Spend]]), "")</f>
        <v>0</v>
      </c>
      <c r="CL19" s="162">
        <f>IF(NOT(SnapshotTable[[#This Row],[SP Is Filled]]),(SnapshotTable[[#This Row],[SP Qty]] * SnapshotTable[[#This Row],[SP Strike Price]] * 100) - SnapshotTable[[#This Row],[LP Max Value]],"")</f>
        <v>0</v>
      </c>
      <c r="CM19" s="31" t="str">
        <f>IF(SnapshotTable[[#This Row],[SP Actual Spend]]&lt;&gt;0, ((SnapshotTable[[#This Row],[SP Strike Price]]-SnapshotTable[[#This Row],[Last Price]]) *(SnapshotTable[[#This Row],[SP Qty]]*100) - SnapshotTable[[#This Row],[SP Premium]]) * - 1, "")</f>
        <v/>
      </c>
      <c r="CN19" s="76"/>
      <c r="CO19" s="339"/>
      <c r="CP19" s="4" t="str">
        <f>IF(SnapshotTable[[#This Row],[SP Is Filled]], btc_max_buyback_amount(SnapshotTable[[#This Row],[SP Fill Date]],SnapshotTable[[#This Row],[SP Exp Date]], SnapshotTable[[#This Row],[SP Book Price]]),"")</f>
        <v/>
      </c>
      <c r="CQ19" s="76"/>
      <c r="CR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 s="153" t="str">
        <f>IF(SnapshotTable[[#This Row],[SP Is Filled]], btc_next_cutoff_date(SnapshotTable[[#This Row],[SP Fill Date]],SnapshotTable[[#This Row],[SP Exp Date]]),"")</f>
        <v/>
      </c>
      <c r="CT19" s="220" t="str" cm="1">
        <f t="array" ref="CT19">IF(SnapshotTable[[#This Row],[SP Is Filled]], btc_should_buy_back(SnapshotTable[[#This Row],[SP Fill Date]], SnapshotTable[[#This Row],[SP Exp Date]], SnapshotTable[[#This Row],[SP Book Price]], SnapshotTable[[#This Row],[SP Current Ask]], MockToday, SnapshotTable[[#This Row],[SP Buyback Override]]),"")</f>
        <v/>
      </c>
      <c r="CU19" s="141"/>
      <c r="CV19" s="220"/>
      <c r="CW19" s="348" t="str">
        <f>IF(ISNUMBER( SnapshotTable[[#This Row],[SP Term]]), SnapshotTable[[#This Row],[SP Exp Date]] - MockToday,"")</f>
        <v/>
      </c>
      <c r="CX19" s="31" t="str">
        <f>IF(SnapshotTable[[#This Row],[SP Is Filled]],SnapshotTable[[#This Row],[SP Buyback Price to Use]] * 100 * SnapshotTable[[#This Row],[SP Qty]], "")</f>
        <v/>
      </c>
      <c r="CY19" s="4" t="str">
        <f>IF(ISNUMBER(SnapshotTable[[#This Row],[SP Strike Price]]), SnapshotTable[[#This Row],[SP Strike Price]] * (1 - SP_MaxLoss_StrikePct), "")</f>
        <v/>
      </c>
      <c r="CZ19" s="31" t="str">
        <f>IF(ISNUMBER(SnapshotTable[[#This Row],[SP Strike  Stop Per Share]]),SnapshotTable[[#This Row],[SP Premium]] - ((SnapshotTable[[#This Row],[SP Strike Price]]-SnapshotTable[[#This Row],[SP Strike  Stop Per Share]]) *(SnapshotTable[[#This Row],[SP Qty]] * 100)),"")</f>
        <v/>
      </c>
      <c r="DA19" s="4" t="str">
        <f>IF(AND(ISNUMBER(SnapshotTable[[#This Row],[SP Premium]]),SnapshotTable[[#This Row],[SP Premium]]&gt;0), SnapshotTable[[#This Row],[SP Book Price]] * (1 + SP_MaxLoss_OptionPct), "")</f>
        <v/>
      </c>
      <c r="DB19" s="31" t="str">
        <f>IF(ISNUMBER(SnapshotTable[[#This Row],[SP Option  Stop Contract]]),(SnapshotTable[[#This Row],[SP Option  Stop Contract]] *(SnapshotTable[[#This Row],[SP Qty]] * 100) - SnapshotTable[[#This Row],[SP Premium]]),"")</f>
        <v/>
      </c>
      <c r="DC19" s="4"/>
      <c r="DD19" s="4"/>
      <c r="DE19" s="4" t="str">
        <f>IF(AND(SnapshotTable[[#This Row],[SP Qty]]&gt;0, SnapshotTable[[#This Row],[SP Stop To Use]]&gt;0),SnapshotTable[[#This Row],[SP Premium]] - ( SnapshotTable[[#This Row],[SP Qty]] * SnapshotTable[[#This Row],[SP Stop To Use]] * 100), "")</f>
        <v/>
      </c>
      <c r="DF19" s="31" t="str">
        <f>IF(AND(SnapshotTable[[#This Row],[SP Qty]]&gt;0,SnapshotTable[[#This Row],[SP Current Ask]]&gt;0), SnapshotTable[[#This Row],[SP Qty]] * SnapshotTable[[#This Row],[SP Current Ask]] * -100, "")</f>
        <v/>
      </c>
      <c r="DG19" s="31" t="str">
        <f>IF(ISNUMBER((SnapshotTable[[#This Row],[SP Total Value]])), SnapshotTable[[#This Row],[SP Premium]] + SnapshotTable[[#This Row],[SP Total Value]], "")</f>
        <v/>
      </c>
      <c r="DH19" s="272" t="str">
        <f>IF(ISNUMBER((SnapshotTable[[#This Row],[SP Total Value]])), SnapshotTable[[#This Row],[SP Gain Loss]] / SnapshotTable[[#This Row],[SP Premium]], "")</f>
        <v/>
      </c>
      <c r="DI19" s="369"/>
      <c r="DJ19" s="136"/>
      <c r="DK19" s="146"/>
      <c r="DL19" s="13"/>
      <c r="DM19" s="13"/>
      <c r="DO19" s="31">
        <f>IF(SnapshotTable[[#This Row],[LC Symbol Count]]=1, SnapshotTable[[#This Row],[LC Qty]] * SnapshotTable[[#This Row],[LC Book Price]] * 100, 0)</f>
        <v>0</v>
      </c>
      <c r="DP19" s="161" t="str">
        <f>IF(AND(SnapshotTable[[#This Row],[LC Exp Date]]&gt;0, SnapshotTable[[#This Row],[LC Strike Price]]&gt;0,SnapshotTable[[#This Row],[LC Qty]]&gt;0,SnapshotTable[[#This Row],[LC Book Date]]&gt;0,SnapshotTable[[#This Row],[LC Book Price]]&gt;0,SnapshotTable[[#This Row],[LC Fill Date]]=0),"Y","")</f>
        <v/>
      </c>
      <c r="DQ19" s="356" t="str">
        <f>IF(SnapshotTable[[#This Row],[LC Premium]] &gt; 0,SnapshotTable[[#This Row],[LC Exp Date]]-MAX(SnapshotTable[[#This Row],[LC Book Date]], SnapshotTable[[#This Row],[LC Fill Date]]),"")</f>
        <v/>
      </c>
      <c r="DR19" s="356" t="str">
        <f>IF(ISNUMBER(SnapshotTable[[#This Row],[LC Term]]), SnapshotTable[[#This Row],[LC Exp Date]] - MockToday, "")</f>
        <v/>
      </c>
      <c r="DS19" s="219" t="str">
        <f>IF(SnapshotTable[[#This Row],[LC Premium]]&gt;0,SnapshotTable[[#This Row],[LC Strike Price]] + SnapshotTable[[#This Row],[LC Book Price]],"")</f>
        <v/>
      </c>
      <c r="DU19" s="9" t="str">
        <f>IF(AND(SnapshotTable[[#This Row],[LC Symbol Count]]&gt;0, SnapshotTable[[#This Row],[LC Contract Value]]&gt;0), SnapshotTable[[#This Row],[LC Contract Value]] * SnapshotTable[[#This Row],[LC Qty]] * 100, "")</f>
        <v/>
      </c>
      <c r="DV19" s="9" t="str">
        <f>IF(AND(ISNUMBER(SnapshotTable[[#This Row],[LC Total Value]]), SnapshotTable[[#This Row],[LC Not Filled]]&lt;&gt;"Y"), SnapshotTable[[#This Row],[LC Total Value]]-SnapshotTable[[#This Row],[LC Premium]],"")</f>
        <v/>
      </c>
      <c r="DW19" s="225" t="str">
        <f>IF(ISNUMBER(SnapshotTable[[#This Row],[LC Actual Gain Loss]]), SnapshotTable[[#This Row],[LC Actual Gain Loss]] / SnapshotTable[[#This Row],[LC Premium]],"")</f>
        <v/>
      </c>
      <c r="DX19" s="269" t="str">
        <f>IF(ISNUMBER(SnapshotTable[[#This Row],[LC Book Price]]),SnapshotTable[[#This Row],[LC Book Price]] * 1.5,"")</f>
        <v/>
      </c>
      <c r="DY19" s="250" t="str">
        <f>IF(SnapshotTable[[#This Row],[LC Premium]]&gt;0, SnapshotTable[[#This Row],[LC Next Target]] * SnapshotTable[[#This Row],[LC Qty]] * 100,"")</f>
        <v/>
      </c>
      <c r="DZ19" s="250" t="str">
        <f>IF(ISNUMBER(SnapshotTable[[#This Row],[LC Target Gross]]), SnapshotTable[[#This Row],[LC Target Gross]] - SnapshotTable[[#This Row],[LC Premium]], "")</f>
        <v/>
      </c>
      <c r="EA19" s="283" t="str">
        <f>IF(ISNUMBER(SnapshotTable[[#This Row],[LC Target Gain Loss]]), SnapshotTable[[#This Row],[LC Target Gain Loss]]/SnapshotTable[[#This Row],[LC Premium]], "")</f>
        <v/>
      </c>
      <c r="EB19" s="247"/>
      <c r="EC19" s="268" t="str">
        <f>IF(SnapshotTable[[#This Row],[LC Premium]]&gt;0, SnapshotTable[[#This Row],[LC Book Price]] * (1 - LC_StopLoss_Pct),"")</f>
        <v/>
      </c>
      <c r="ED19" s="269"/>
      <c r="EE19" s="268" t="str">
        <f>IF(ISNUMBER(SnapshotTable[[#This Row],[LC Contract Value]]),IF(ISNUMBER(SnapshotTable[[#This Row],[LC Stop Loss Override]]), SnapshotTable[[#This Row],[LC Stop Loss Override]],SnapshotTable[[#This Row],[LC Stop Loss Calc Target]]),"")</f>
        <v/>
      </c>
      <c r="EF19" s="31" t="str">
        <f>IF(ISNUMBER(SnapshotTable[[#This Row],[LC Stop  To Use]]), (SnapshotTable[[#This Row],[LC Stop  To Use]] * SnapshotTable[[#This Row],[LC Qty]] * 100),"")</f>
        <v/>
      </c>
      <c r="EG19" s="9" t="str">
        <f>IF(ISNUMBER(SnapshotTable[[#This Row],[LC Total Value]]),SnapshotTable[[#This Row],[LC Stop Loss Amount]] - SnapshotTable[[#This Row],[LC Premium]],"")</f>
        <v/>
      </c>
      <c r="EH19" s="9">
        <f>IF(ISNUMBER(SnapshotTable[[#This Row],[LC Premium]]), SnapshotTable[[#This Row],[LC Qty]] * 100 * SnapshotTable[[#This Row],[LC Strike Price]], "")</f>
        <v>0</v>
      </c>
      <c r="EI19" s="225" t="str">
        <f>IF(AND(ISNUMBER(SnapshotTable[[#This Row],[LC Total Value]]),SnapshotTable[[#This Row],[LC Total Value]]&gt;0),SnapshotTable[[#This Row],[LC Stop Gain Loss]]  / SnapshotTable[[#This Row],[LC Premium]],"")</f>
        <v/>
      </c>
      <c r="EJ19" s="35">
        <f>IF(ISNUMBER(SnapshotTable[[#This Row],[Equity Shares]]),TRUNC(SnapshotTable[[#This Row],[Equity Shares]] / 100),0) + SnapshotTable[[#This Row],[LC Qty]]</f>
        <v>0</v>
      </c>
      <c r="EK19" s="145"/>
      <c r="EL19" s="136"/>
      <c r="EM19" s="146"/>
      <c r="EN19" s="145"/>
      <c r="EO19" s="145"/>
      <c r="EP19" s="136"/>
      <c r="EQ19" s="382" t="b">
        <f>AND(ISNUMBER(SnapshotTable[[#This Row],[SC Exp Date]]), ISNUMBER(SnapshotTable[[#This Row],[SC Strike Price]]), ISNUMBER(SnapshotTable[[#This Row],[SC Qty]]), ISNUMBER(SnapshotTable[[#This Row],[SC Book Date]]), ISNUMBER(SnapshotTable[[#This Row],[SC Book Price]]))</f>
        <v>0</v>
      </c>
      <c r="ER19" s="382" t="b">
        <f>AND(SnapshotTable[[#This Row],[SC Is Booked]], NOT(ISBLANK(SnapshotTable[[#This Row],[SC Fill Date]])))</f>
        <v>0</v>
      </c>
      <c r="ES19" s="340"/>
      <c r="ET19" s="34" t="str">
        <f>IF(AND(ISNUMBER(SnapshotTable[[#This Row],[SC Exp Date]]), ISNUMBER(SnapshotTable[[#This Row],[SC Book Date]])), SnapshotTable[[#This Row],[SC Exp Date]] - MAX(SnapshotTable[[#This Row],[SC Book Date]], SnapshotTable[[#This Row],[SC Fill Date]]) + 1, "")</f>
        <v/>
      </c>
      <c r="EU19" s="34" t="str">
        <f>IF(ISNUMBER(SnapshotTable[[#This Row],[SC Term]]), SnapshotTable[[#This Row],[SC Exp Date]]- MockToday, "")</f>
        <v/>
      </c>
      <c r="EV19" s="31">
        <f>IF(SnapshotTable[[#This Row],[SC Is Booked]], SnapshotTable[[#This Row],[SC Qty]] * SnapshotTable[[#This Row],[SC Book Price]] * 100, 0)</f>
        <v>0</v>
      </c>
      <c r="EW19" s="4" t="str">
        <f>IF(AND(ISNUMBER(SnapshotTable[[#This Row],[Last Price]]), ISNUMBER( SnapshotTable[[#This Row],[SC Book Price]])), SnapshotTable[[#This Row],[Last Price]] - SnapshotTable[[#This Row],[SC Book Price]],"")</f>
        <v/>
      </c>
      <c r="EX19" s="219" t="str">
        <f>IF(SnapshotTable[[#This Row],[SC Is Booked]],IF(SnapshotTable[[#This Row],[SC Intrinsic Value]] &gt; 0, SnapshotTable[[#This Row],[SC Strike Price]], SnapshotTable[[#This Row],[Last Price]]), "")</f>
        <v/>
      </c>
      <c r="EY19" s="4">
        <f>IF(SnapshotTable[[#This Row],[SC Is Booked]], (MinimumPremiumRequired * SnapshotTable[[#This Row],[SC Basis]] * SnapshotTable[[#This Row],[SC Term]]), 0)</f>
        <v>0</v>
      </c>
      <c r="EZ19" s="268"/>
      <c r="FA19" s="204"/>
      <c r="FB19" s="340"/>
      <c r="FC19" s="4">
        <f>IF(SnapshotTable[[#This Row],[SC Is Filled]], btc_max_buyback_amount(SnapshotTable[[#This Row],[SC Fill Date]],SnapshotTable[[#This Row],[SC Exp Date]], SnapshotTable[[#This Row],[SC Book Price]]),0)</f>
        <v>0</v>
      </c>
      <c r="FD19" s="5"/>
      <c r="FE19" s="142" t="str">
        <f>IF(SnapshotTable[[#This Row],[SC Is Filled]], btc_next_cutoff_date(SnapshotTable[[#This Row],[SC Fill Date]],SnapshotTable[[#This Row],[SC Exp Date]]),"")</f>
        <v/>
      </c>
      <c r="FF19" s="4" t="str" cm="1">
        <f t="array" ref="FF19">IF(SnapshotTable[[#This Row],[SC Is Filled]], btc_should_buy_back(SnapshotTable[[#This Row],[SC Fill Date]], SnapshotTable[[#This Row],[SC Exp Date]], SnapshotTable[[#This Row],[SC Book Price]], SnapshotTable[[#This Row],[SC Current Ask]], MockToday, SnapshotTable[[#This Row],[SC Buyback Override]]),"")</f>
        <v/>
      </c>
      <c r="FG19" s="4">
        <f>IF(SnapshotTable[[#This Row],[SC Is Filled]], MAX(0,SnapshotTable[[#This Row],[Last Price]]  - SnapshotTable[[#This Row],[SC Strike Price]]), 0)</f>
        <v>0</v>
      </c>
      <c r="FH19" s="352">
        <f>IF(SnapshotTable[[#This Row],[SC Is Filled]], IF(ISNUMBER(SnapshotTable[[#This Row],[SC Current Ask]]), SnapshotTable[[#This Row],[SC Current Ask]], SnapshotTable[[#This Row],[SC Book Price]]) - SnapshotTable[[#This Row],[SC Intrinsic Value]], 0)</f>
        <v>0</v>
      </c>
      <c r="FI19" s="141">
        <v>45786</v>
      </c>
      <c r="FJ19" s="32" t="str">
        <f>IF(SnapshotTable[[#This Row],[SC Is Filled]],100 * SnapshotTable[[#This Row],[SC Qty]] * IF(ISNUMBER(SnapshotTable[[#This Row],[SC Buyback Override]]), SnapshotTable[[#This Row],[SC Buyback Override]], SnapshotTable[[#This Row],[SC Current Ask]]), "")</f>
        <v/>
      </c>
      <c r="FK19" s="235" t="str">
        <f>IF(SnapshotTable[[#This Row],[SC Time Val]]&gt;0, SnapshotTable[[#This Row],[SC Time Val]] / SnapshotTable[[#This Row],[Last Price]],"")</f>
        <v/>
      </c>
      <c r="FL19" s="280" t="str">
        <f>IF(SnapshotTable[[#This Row],[SC Is Booked]], ((SnapshotTable[[#This Row],[Last Price]] -SnapshotTable[[#This Row],[SC Strike Price]]) / SnapshotTable[[#This Row],[Last Price]]) * -1, "")</f>
        <v/>
      </c>
      <c r="FM19" s="155" t="str">
        <f>IF(SnapshotTable[[#This Row],[SC Is Booked]],  (SnapshotTable[[#This Row],[SC Qty]] * 100 * SnapshotTable[[#This Row],[SC Strike Price]]) - SnapshotTable[[#This Row],[SC Current Ask]], "")</f>
        <v/>
      </c>
      <c r="FN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 s="31" t="str">
        <f>IF(AND(ISNUMBER(SnapshotTable[[#This Row],[SC Exercise Gross]]), ISNUMBER(SnapshotTable[[#This Row],[Equity Basis Per Share]] )), SnapshotTable[[#This Row],[SC Exercise Gross]] - SnapshotTable[[#This Row],[Equity Basis Total]] +  SnapshotTable[[#This Row],[SC Premium]], "")</f>
        <v/>
      </c>
      <c r="FP19" s="5" t="str">
        <f>IF(ISNUMBER(SnapshotTable[[#This Row],[SC Exercise Gross]]), (SnapshotTable[[#This Row],[SC Exercise Gross]]) / (SnapshotTable[[#This Row],[SC Qty]] * 100), "")</f>
        <v/>
      </c>
      <c r="FQ19" s="27" t="str">
        <f>IF(SnapshotTable[[#This Row],[SC Is Booked]],SnapshotTable[[#This Row],[SC Time Val]] /SnapshotTable[[#This Row],[SC Basis]], "")</f>
        <v/>
      </c>
      <c r="FR19" s="27" t="str" cm="1">
        <f t="array" ref="FR19">IF(AND(ISNUMBER(SnapshotTable[[#This Row],[SC Term]]),ISNUMBER(SnapshotTable[[#This Row],[SC Simple ROO]])), EllmanAnnualize(SnapshotTable[[#This Row],[SC DTE]], SnapshotTable[[#This Row],[SC Simple ROO]] ),"")</f>
        <v/>
      </c>
      <c r="FS19" s="4">
        <f>IF(SnapshotTable[[#This Row],[SC Strike Price]] &gt; SnapshotTable[[#This Row],[Last Price]], SnapshotTable[[#This Row],[SC Strike Price]] - SnapshotTable[[#This Row],[Last Price]],0)</f>
        <v>0</v>
      </c>
      <c r="FT19" s="27" t="str">
        <f>IF(AND(ISNUMBER(SnapshotTable[[#This Row],[SC Upside Potential]]), SnapshotTable[[#This Row],[SC Upside Potential]] &gt; 0),(SnapshotTable[[#This Row],[SC Upside Potential]]/ SnapshotTable[[#This Row],[ACB]]),"")</f>
        <v/>
      </c>
      <c r="FU19" s="304" t="str">
        <f>IF(SnapshotTable[[#This Row],[SC Intrinsic Value]] &gt; 0,SnapshotTable[[#This Row],[SC Intrinsic Value]],"")</f>
        <v/>
      </c>
      <c r="FV19" s="27" t="str">
        <f>IF(AND( ISNUMBER( SnapshotTable[[#This Row],[ACB]]),ISNUMBER(SnapshotTable[[#This Row],[SC Downside Protect]])),SnapshotTable[[#This Row],[SC Downside Protect]] / SnapshotTable[[#This Row],[ACB]],"")</f>
        <v/>
      </c>
      <c r="FW19" s="221" t="str">
        <f>IF(AND(ISNUMBER(SnapshotTable[[#This Row],[SC Simple ROO]]),SnapshotTable[[#This Row],[SC Simple ROO]] &gt; 0), SnapshotTable[[#This Row],[SC Premium]] + (SnapshotTable[[#This Row],[SC Qty]] * SnapshotTable[[#This Row],[SC Upside Potential]]), "")</f>
        <v/>
      </c>
      <c r="FX19" s="280" t="str" cm="1">
        <f t="array" ref="FX19">IF(ISNUMBER(SnapshotTable[[#This Row],[SC Max Dollars]]), annualize(SnapshotTable[[#This Row],[SC Term]],(SnapshotTable[[#This Row],[SC Max Dollars]]/SnapshotTable[[#This Row],[SC Basis]])),"")</f>
        <v/>
      </c>
      <c r="FY19" s="221" t="str">
        <f>IF(AND(SnapshotTable[[#This Row],[SC Qty]]&gt;0,SnapshotTable[[#This Row],[SC Current Ask]]&gt;0), SnapshotTable[[#This Row],[SC Qty]] * SnapshotTable[[#This Row],[SC Current Ask]] * -100, "")</f>
        <v/>
      </c>
      <c r="FZ19" s="31" t="str">
        <f>IF(ISNUMBER((SnapshotTable[[#This Row],[SC Current Value]])), SnapshotTable[[#This Row],[SC Premium]] + SnapshotTable[[#This Row],[SC Current Value]], "")</f>
        <v/>
      </c>
      <c r="GA19" s="272" t="str">
        <f>IFERROR( IF(ISNUMBER((SnapshotTable[[#This Row],[SC Current Value]])), SnapshotTable[[#This Row],[SC Gain Loss]] / SnapshotTable[[#This Row],[SC Premium]], ""), "")</f>
        <v/>
      </c>
      <c r="GB19" s="42">
        <f>SnapshotTable[[#This Row],[Equity Shares]] * SaleSharesToConsiderPercentage</f>
        <v>0</v>
      </c>
      <c r="GC19" s="40">
        <f>SnapshotTable[[#This Row],[Long Term Target]] * SellingPriceToConsiderBasedOnTargetPercentage</f>
        <v>93.945499999999996</v>
      </c>
      <c r="GD19" s="40">
        <f>SnapshotTable[[#This Row],[Last Price]] * (1+ SellingPriceToConsiderBasedOnTargetPercentage)</f>
        <v>170.27399999999997</v>
      </c>
      <c r="GE19" s="41"/>
      <c r="GF19" s="40"/>
      <c r="GG19" s="31">
        <f>SnapshotTable[[#This Row],[Booked Sale Shares]] * SnapshotTable[[#This Row],[Booked Sale Price]]</f>
        <v>0</v>
      </c>
      <c r="GH19" s="31" t="str">
        <f>IF(SnapshotTable[[#This Row],[Equity Basis Total]] &gt; 0, SnapshotTable[[#This Row],[Equity Basis Per Share]] * SnapshotTable[[#This Row],[Booked Sale Shares]], "")</f>
        <v/>
      </c>
      <c r="GI19" s="31">
        <f>IF(SnapshotTable[[#This Row],[Sale Proceeds]]&gt;0, SnapshotTable[[#This Row],[Sale Proceeds]] - SnapshotTable[[#This Row],[Sale Basis]], 0)</f>
        <v>0</v>
      </c>
      <c r="GJ19" s="27" t="str">
        <f>IF(SnapshotTable[[#This Row],[Sale G/L]]&gt;0, SnapshotTable[[#This Row],[Sale G/L]] / SnapshotTable[[#This Row],[Sale Basis]], IF(ISNUMBER(SnapshotTable[[#This Row],[SC Exercise P&amp;L (TAX)]]), SnapshotTable[[#This Row],[SC Exercise P&amp;L (TAX)]] / SnapshotTable[[#This Row],[SC Basis]], ""))</f>
        <v/>
      </c>
      <c r="GK19" s="27" t="s">
        <v>506</v>
      </c>
      <c r="GL19" s="43" t="str">
        <f>IF(AND(SnapshotTable[[#This Row],[LP Exp Date]]&gt;0,SnapshotTable[[#This Row],[LP Strike Price]]&gt;0), [1]!ToOptionSymbol(SnapshotTable[[#This Row],[Symbol]], SnapshotTable[[#This Row],[LP Strike Price]],SnapshotTable[[#This Row],[LP Exp Date]],1), "")</f>
        <v/>
      </c>
      <c r="GM19" s="30" t="str">
        <f>IF(LEN(SnapshotTable[[#This Row],[LP Symbol]])&gt;0, 1, "")</f>
        <v/>
      </c>
      <c r="GN19" s="43" t="str">
        <f>IF(AND(SnapshotTable[[#This Row],[SP Exp Date]]&gt;0,SnapshotTable[[#This Row],[SP Strike Price]]&gt;0), [1]!ToOptionSymbol(SnapshotTable[[#This Row],[Symbol]], SnapshotTable[[#This Row],[SP Strike Price]],SnapshotTable[[#This Row],[SP Exp Date]],1), "")</f>
        <v/>
      </c>
      <c r="GO19" s="30" t="str">
        <f>IF(LEN(SnapshotTable[[#This Row],[SP Symbol]])&gt;0, 1, "")</f>
        <v/>
      </c>
      <c r="GP19" s="43" t="str">
        <f>IF(AND(SnapshotTable[[#This Row],[LC Exp Date]]&gt;0,SnapshotTable[[#This Row],[LC Strike Price]]&gt;0), [1]!ToOptionSymbol(SnapshotTable[[#This Row],[Symbol]], SnapshotTable[[#This Row],[LC Strike Price]],SnapshotTable[[#This Row],[LC Exp Date]],0), "")</f>
        <v/>
      </c>
      <c r="GQ19" s="30" t="str">
        <f>IF(LEN(SnapshotTable[[#This Row],[LC Symbol]])&gt;0, 1, "")</f>
        <v/>
      </c>
      <c r="GR19" s="43" t="str">
        <f>IF(AND(SnapshotTable[[#This Row],[SC Exp Date]]&gt;0,SnapshotTable[[#This Row],[SC Strike Price]]&gt;0), [1]!ToOptionSymbol(SnapshotTable[[#This Row],[Symbol]], SnapshotTable[[#This Row],[SC Strike Price]],SnapshotTable[[#This Row],[SC Exp Date]],0), "")</f>
        <v/>
      </c>
      <c r="GS19" s="30" t="str">
        <f>IF(LEN(SnapshotTable[[#This Row],[SC Symbol]])&gt;0, 1, "")</f>
        <v/>
      </c>
      <c r="GT19" s="29" t="str">
        <f>IF(COUNT(SnapshotTable[[#This Row],[LP Symbol Count]],SnapshotTable[[#This Row],[SP Symbol Count]],SnapshotTable[[#This Row],[LC Symbol Count]],SnapshotTable[[#This Row],[SC Symbol Count]])&gt;0, "Y", "")</f>
        <v/>
      </c>
      <c r="GU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 s="216">
        <f>MAX(SnapshotTable[[#This Row],[Equity Basis Total]],SnapshotTable[[#This Row],[Equity Value]]) + (SnapshotTable[[#This Row],[SP Potential Spend]]- SnapshotTable[[#This Row],[SP Premium]] + SnapshotTable[[#This Row],[LP Premium]])+ (SnapshotTable[[#This Row],[LC Premium]] - SnapshotTable[[#This Row],[SC Premium]])</f>
        <v>0</v>
      </c>
      <c r="GW19" s="137" t="str">
        <f>IF(AND(SnapshotTable[[#This Row],[Exposure]] &lt;&gt; 0),SnapshotTable[[#This Row],[Exposure]] / SnapshotTable[[#Totals],[Exposure]], "")</f>
        <v/>
      </c>
      <c r="HK19" s="1"/>
      <c r="HL19" s="1"/>
      <c r="HM19" s="1"/>
      <c r="HN19" s="1"/>
      <c r="HO19" s="1"/>
      <c r="HP19" s="1"/>
    </row>
    <row r="20" spans="2:224" ht="12.75" hidden="1" customHeight="1" x14ac:dyDescent="0.25">
      <c r="B20" s="12" t="s">
        <v>411</v>
      </c>
      <c r="C20" s="385">
        <v>203.5</v>
      </c>
      <c r="D20" s="200"/>
      <c r="E20" s="39">
        <f>SnapshotTable[[#This Row],[Last Price]]*(1 -CrashDiscount)</f>
        <v>172.97499999999999</v>
      </c>
      <c r="F20" s="26" t="s">
        <v>496</v>
      </c>
      <c r="G20" s="26" t="s">
        <v>7</v>
      </c>
      <c r="H20" s="147"/>
      <c r="I20" s="186">
        <v>44798.666666666664</v>
      </c>
      <c r="J20" s="187">
        <v>44798.666666666664</v>
      </c>
      <c r="K20" s="188"/>
      <c r="L20" s="297"/>
      <c r="M20" s="138"/>
      <c r="N20" s="138"/>
      <c r="O20" s="138"/>
      <c r="P20" s="22"/>
      <c r="Q20" s="25"/>
      <c r="R20" s="4" t="str">
        <f>IF(SnapshotTable[[#This Row],[Equity Basis Total]] &gt; 0, SnapshotTable[[#This Row],[Equity Basis Total]] / SnapshotTable[[#This Row],[Equity Shares]], "")</f>
        <v/>
      </c>
      <c r="S20" s="254">
        <f>SnapshotTable[[#This Row],[Last Price]] * SnapshotTable[[#This Row],[Equity Shares]]</f>
        <v>0</v>
      </c>
      <c r="T20" s="254">
        <f>SnapshotTable[[#This Row],[Equity Value]] - SnapshotTable[[#This Row],[Equity Basis Total]]</f>
        <v>0</v>
      </c>
      <c r="U20" s="255" t="str">
        <f>IF(SnapshotTable[[#This Row],[Equity Basis Total]] &gt; 0, SnapshotTable[[#This Row],[Equity G/L]] / SnapshotTable[[#This Row],[Equity Basis Total]], "")</f>
        <v/>
      </c>
      <c r="V20" s="253"/>
      <c r="W20" s="253"/>
      <c r="X20" s="4" t="str">
        <f>IF(AND(ISNUMBER(SnapshotTable[[#This Row],[Equity Basis Per Share]]),ISNUMBER(SnapshotTable[[#This Row],[Equity Target]])),SnapshotTable[[#This Row],[Equity Target]]-SnapshotTable[[#This Row],[Equity Basis Per Share]],"")</f>
        <v/>
      </c>
      <c r="Y20" s="4" t="str">
        <f>IF(AND(ISNUMBER(SnapshotTable[[#This Row],[Equity Basis Per Share]]),ISNUMBER(SnapshotTable[[#This Row],[Equity Stop Loss]])),SnapshotTable[[#This Row],[Equity Stop Loss]]-SnapshotTable[[#This Row],[Equity Basis Per Share]],"")</f>
        <v/>
      </c>
      <c r="Z20" s="260" t="str">
        <f>IFERROR( TEXT(SnapshotTable[[#This Row],[Equity Max Gain Per Share]] /ABS( SnapshotTable[[#This Row],[Equity Max Loss Per Share]]),"0.0 " ) &amp; " : 1", "")</f>
        <v/>
      </c>
      <c r="AA20" s="31" t="str">
        <f>IF(ISNUMBER(SnapshotTable[[#This Row],[Equity Max Gain Per Share]]),SnapshotTable[[#This Row],[Equity Max Gain Per Share]] * SnapshotTable[[#This Row],[Equity Shares]],"")</f>
        <v/>
      </c>
      <c r="AB20" s="31" t="str">
        <f>IF(ISNUMBER(SnapshotTable[[#This Row],[Equity Max Loss Per Share]]),SnapshotTable[[#This Row],[Equity Max Loss Per Share]] * SnapshotTable[[#This Row],[Equity Shares]],"")</f>
        <v/>
      </c>
      <c r="AC20" s="148"/>
      <c r="AD20" s="149"/>
      <c r="AE20" s="31">
        <f>(SnapshotTable[[#This Row],[Annual Dividend Per Share]] / 4) * SnapshotTable[[#This Row],[Equity Shares]]</f>
        <v>0</v>
      </c>
      <c r="AF20" s="31">
        <f>SnapshotTable[[#This Row],[Quarterly Div $]] * 4</f>
        <v>0</v>
      </c>
      <c r="AG20" s="7">
        <f>IF(SnapshotTable[[#This Row],[Annual Dividend Per Share]]&gt;0, SnapshotTable[[#This Row],[Annual Dividend Per Share]]  / SnapshotTable[[#This Row],[Last Price]], 0)</f>
        <v>0</v>
      </c>
      <c r="AH20" s="149"/>
      <c r="AI20" s="5"/>
      <c r="AJ20" s="136">
        <v>231.7</v>
      </c>
      <c r="AK20" s="150" t="str">
        <f>IF(ISNUMBER( SnapshotTable[[#This Row],[EBF Target]]),(SnapshotTable[[#This Row],[EBF Target]] - SnapshotTable[[#This Row],[Last Price]]) / SnapshotTable[[#This Row],[Last Price]], "")</f>
        <v/>
      </c>
      <c r="AL20" s="150" t="str">
        <f>IF(AND(SnapshotTable[[#This Row],[Equity Basis Total]] &gt; 0,ISNUMBER( SnapshotTable[[#This Row],[Long Term Target]])), SnapshotTable[[#This Row],[From Basis $]] / SnapshotTable[[#This Row],[Equity Basis Total]], "")</f>
        <v/>
      </c>
      <c r="AM20" s="9">
        <f>IF( AND(SnapshotTable[[#This Row],[Equity Shares]] &gt;0,ISNUMBER( SnapshotTable[[#This Row],[Long Term Target]])),(SnapshotTable[[#This Row],[Equity Shares]] * SnapshotTable[[#This Row],[Long Term Target]]) - SnapshotTable[[#This Row],[Equity Basis Total]],0)</f>
        <v>0</v>
      </c>
      <c r="AN20" s="9">
        <f>IF( AND(SnapshotTable[[#This Row],[Equity Shares]] &gt;0,ISNUMBER( SnapshotTable[[#This Row],[Long Term Target]])),(SnapshotTable[[#This Row],[Equity Shares]]*SnapshotTable[[#This Row],[Long Term Target]]) - SnapshotTable[[#This Row],[Equity Value]],0)</f>
        <v>0</v>
      </c>
      <c r="AO20" s="150">
        <f>IF(AND(ISNUMBER( SnapshotTable[[#This Row],[Long Term Target]]), ISNUMBER(SnapshotTable[[#This Row],[Last Price]])),(SnapshotTable[[#This Row],[Long Term Target]] - SnapshotTable[[#This Row],[Last Price]]) / SnapshotTable[[#This Row],[Last Price]], "")</f>
        <v>0.13857493857493852</v>
      </c>
      <c r="AP20" s="5"/>
      <c r="AQ20" s="38"/>
      <c r="AR20" s="5"/>
      <c r="AS20" s="38"/>
      <c r="AT20" s="144"/>
      <c r="AU20" s="185" t="str">
        <f>IF(OR(SnapshotTable[[#This Row],[LP No Fill]]="Y",SnapshotTable[[#This Row],[SP Is Filled]],SnapshotTable[[#This Row],[LC Not Filled]]="Y",SnapshotTable[[#This Row],[SC Is Filled]]),"Y","")</f>
        <v/>
      </c>
      <c r="AV20" s="205"/>
      <c r="AW20" s="211"/>
      <c r="AX20" s="206"/>
      <c r="AY20" s="205" t="str">
        <f>IF(SnapshotTable[[#This Row],[Implied Move]]&gt;0, SnapshotTable[[#This Row],[Last Price]]-SnapshotTable[[#This Row],[Implied Move]],"")</f>
        <v/>
      </c>
      <c r="AZ20" s="205" t="str">
        <f>IF(SnapshotTable[[#This Row],[Implied Move]]&gt;0, SnapshotTable[[#This Row],[Last Price]] + SnapshotTable[[#This Row],[Implied Move]],"")</f>
        <v/>
      </c>
      <c r="BA20" s="302"/>
      <c r="BB20" s="318"/>
      <c r="BC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 s="321"/>
      <c r="BE20" s="5"/>
      <c r="BF20" s="14"/>
      <c r="BG20" s="13"/>
      <c r="BH20" s="13"/>
      <c r="BI20" s="5"/>
      <c r="BJ20" s="134">
        <f>IF(SnapshotTable[[#This Row],[LP Qty]] &gt; 0, SnapshotTable[[#This Row],[LP Qty]] * SnapshotTable[[#This Row],[LP Book Price]] * 100,0)</f>
        <v>0</v>
      </c>
      <c r="BK20" s="134">
        <f>IF(SnapshotTable[[#This Row],[LP Premium]] &gt; 0, SnapshotTable[[#This Row],[LP Qty]] * SnapshotTable[[#This Row],[LP Strike Price]] * 100,0)</f>
        <v>0</v>
      </c>
      <c r="BL20" s="152"/>
      <c r="BM20" s="355" t="str">
        <f>IF(SnapshotTable[[#This Row],[LP Premium]] &gt; 0,SnapshotTable[[#This Row],[LP Exp Date]]-MAX(SnapshotTable[[#This Row],[LP Book Date]], SnapshotTable[[#This Row],[LP Fill Date]]),"")</f>
        <v/>
      </c>
      <c r="BN20" s="355" t="str">
        <f>IF(ISNUMBER( SnapshotTable[[#This Row],[LP Term]]), SnapshotTable[[#This Row],[LP Exp Date]] - MockToday,"")</f>
        <v/>
      </c>
      <c r="BO20" s="161" t="str">
        <f>IF(AND(SnapshotTable[[#This Row],[LP Exp Date]]&gt;0, SnapshotTable[[#This Row],[LP Strike Price]]&gt;0,SnapshotTable[[#This Row],[LP Qty]]&gt;0,SnapshotTable[[#This Row],[LP Book Date]]&gt;0,SnapshotTable[[#This Row],[LP Book Price]]&gt;0,SnapshotTable[[#This Row],[LP Fill Date]]=0),"Y","")</f>
        <v/>
      </c>
      <c r="BP20" s="31" t="str">
        <f>IF(AND(SnapshotTable[[#This Row],[LP No Fill]]&lt;&gt;"Y",SnapshotTable[[#This Row],[LP Contract Value]]&gt;0, SnapshotTable[[#This Row],[LP Qty]]&gt;0), SnapshotTable[[#This Row],[LP Contract Value]]*SnapshotTable[[#This Row],[LP Qty]]*100,"")</f>
        <v/>
      </c>
      <c r="BQ20" s="13"/>
      <c r="BR20" s="5"/>
      <c r="BS20" s="36"/>
      <c r="BT20" s="145"/>
      <c r="BU20" s="13"/>
      <c r="BV20" s="5"/>
      <c r="BW20" s="382" t="b">
        <f>AND(ISNUMBER(SnapshotTable[[#This Row],[SP Exp Date]]), ISNUMBER(SnapshotTable[[#This Row],[SP Strike Price]]), ISNUMBER(SnapshotTable[[#This Row],[SP Qty]]), ISNUMBER(SnapshotTable[[#This Row],[SP Book Date]]), ISNUMBER(SnapshotTable[[#This Row],[SP Book Price]]))</f>
        <v>0</v>
      </c>
      <c r="BX20" s="382" t="b">
        <f>AND(SnapshotTable[[#This Row],[SP Is Booked]], NOT(ISBLANK(SnapshotTable[[#This Row],[SP Fill Date]])))</f>
        <v>0</v>
      </c>
      <c r="BY20" s="33">
        <f>IF(SnapshotTable[[#This Row],[SP Is Booked]], SnapshotTable[[#This Row],[SP Qty]] * SnapshotTable[[#This Row],[SP Book Price]] * 100, 0)</f>
        <v>0</v>
      </c>
      <c r="BZ20" s="339"/>
      <c r="CA20" s="338">
        <f>SnapshotTable[[#This Row],[LP Qty]]</f>
        <v>0</v>
      </c>
      <c r="CB20" s="4" t="str">
        <f>IF(SnapshotTable[[#This Row],[SP Is Booked]], SnapshotTable[[#This Row],[SP Strike Price]] - SnapshotTable[[#This Row],[SP Book Price]], "")</f>
        <v/>
      </c>
      <c r="CC20" s="19" t="str">
        <f>IF(SnapshotTable[[#This Row],[SP Is Booked]],SnapshotTable[[#This Row],[SP Exp Date]]-MAX(SnapshotTable[[#This Row],[SP Book Date]], SnapshotTable[[#This Row],[SP Fill Date]]),"")</f>
        <v/>
      </c>
      <c r="CD20" s="7" t="str">
        <f>IF(SnapshotTable[[#This Row],[SP Is Booked]], SnapshotTable[[#This Row],[SP Book Price]]/SnapshotTable[[#This Row],[SP Strike Price]], "")</f>
        <v/>
      </c>
      <c r="CE20" s="7" t="str">
        <f>IF(ISNUMBER(SnapshotTable[[#This Row],[SP ROO Term]]),SnapshotTable[[#This Row],[SP ROO Term]]*(365/SnapshotTable[[#This Row],[SP Term]]),"")</f>
        <v/>
      </c>
      <c r="CF20" s="221">
        <f>SnapshotTable[[#This Row],[LP Strike Price]] * SnapshotTable[[#This Row],[LP Qty]] * 100</f>
        <v>0</v>
      </c>
      <c r="CG20" s="31">
        <f>IF(ISNUMBER(SnapshotTable[[#This Row],[SP Premium]]), (SnapshotTable[[#This Row],[SP Qty]] * SnapshotTable[[#This Row],[SP Strike Price]]* 100) - SnapshotTable[[#This Row],[LP Protection]], 0)</f>
        <v>0</v>
      </c>
      <c r="CH20" s="7" t="str">
        <f>IF(ISNUMBER(SnapshotTable[[#This Row],[SP Break Even]]),-1 * (SnapshotTable[[#This Row],[SP Break Even]] - SnapshotTable[[#This Row],[Last Price]]) / SnapshotTable[[#This Row],[Last Price]], "")</f>
        <v/>
      </c>
      <c r="CI20" s="31">
        <f>IF(AND(ISNUMBER((SnapshotTable[[#This Row],[SP Potential Spend]])), SnapshotTable[[#This Row],[SP Strike Price]] &gt; SnapshotTable[[#This Row],[Last Price]], SnapshotTable[[#This Row],[SP Is Filled]]), SnapshotTable[[#This Row],[SP Potential Spend]] -  SnapshotTable[[#This Row],[LP Max Value]], 0)</f>
        <v>0</v>
      </c>
      <c r="CJ20" s="229"/>
      <c r="CK20" s="31">
        <f>IF(ISNUMBER(SnapshotTable[[#This Row],[SP Potential Spend]]),IF(ISNUMBER(SnapshotTable[[#This Row],[SP POW]]), SnapshotTable[[#This Row],[SP POW]] * SnapshotTable[[#This Row],[SP Potential Spend]], SnapshotTable[[#This Row],[SP Potential Spend]]), "")</f>
        <v>0</v>
      </c>
      <c r="CL20" s="162">
        <f>IF(NOT(SnapshotTable[[#This Row],[SP Is Filled]]),(SnapshotTable[[#This Row],[SP Qty]] * SnapshotTable[[#This Row],[SP Strike Price]] * 100) - SnapshotTable[[#This Row],[LP Max Value]],"")</f>
        <v>0</v>
      </c>
      <c r="CM20" s="31" t="str">
        <f>IF(SnapshotTable[[#This Row],[SP Actual Spend]]&lt;&gt;0, ((SnapshotTable[[#This Row],[SP Strike Price]]-SnapshotTable[[#This Row],[Last Price]]) *(SnapshotTable[[#This Row],[SP Qty]]*100) - SnapshotTable[[#This Row],[SP Premium]]) * - 1, "")</f>
        <v/>
      </c>
      <c r="CN20" s="76"/>
      <c r="CO20" s="339"/>
      <c r="CP20" s="4" t="str">
        <f>IF(SnapshotTable[[#This Row],[SP Is Filled]], btc_max_buyback_amount(SnapshotTable[[#This Row],[SP Fill Date]],SnapshotTable[[#This Row],[SP Exp Date]], SnapshotTable[[#This Row],[SP Book Price]]),"")</f>
        <v/>
      </c>
      <c r="CQ20" s="76"/>
      <c r="CR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 s="153" t="str">
        <f>IF(SnapshotTable[[#This Row],[SP Is Filled]], btc_next_cutoff_date(SnapshotTable[[#This Row],[SP Fill Date]],SnapshotTable[[#This Row],[SP Exp Date]]),"")</f>
        <v/>
      </c>
      <c r="CT20" s="220" t="str" cm="1">
        <f t="array" ref="CT20">IF(SnapshotTable[[#This Row],[SP Is Filled]], btc_should_buy_back(SnapshotTable[[#This Row],[SP Fill Date]], SnapshotTable[[#This Row],[SP Exp Date]], SnapshotTable[[#This Row],[SP Book Price]], SnapshotTable[[#This Row],[SP Current Ask]], MockToday, SnapshotTable[[#This Row],[SP Buyback Override]]),"")</f>
        <v/>
      </c>
      <c r="CU20" s="141"/>
      <c r="CV20" s="220"/>
      <c r="CW20" s="348" t="str">
        <f>IF(ISNUMBER( SnapshotTable[[#This Row],[SP Term]]), SnapshotTable[[#This Row],[SP Exp Date]] - MockToday,"")</f>
        <v/>
      </c>
      <c r="CX20" s="31" t="str">
        <f>IF(SnapshotTable[[#This Row],[SP Is Filled]],SnapshotTable[[#This Row],[SP Buyback Price to Use]] * 100 * SnapshotTable[[#This Row],[SP Qty]], "")</f>
        <v/>
      </c>
      <c r="CY20" s="4" t="str">
        <f>IF(ISNUMBER(SnapshotTable[[#This Row],[SP Strike Price]]), SnapshotTable[[#This Row],[SP Strike Price]] * (1 - SP_MaxLoss_StrikePct), "")</f>
        <v/>
      </c>
      <c r="CZ20" s="31" t="str">
        <f>IF(ISNUMBER(SnapshotTable[[#This Row],[SP Strike  Stop Per Share]]),SnapshotTable[[#This Row],[SP Premium]] - ((SnapshotTable[[#This Row],[SP Strike Price]]-SnapshotTable[[#This Row],[SP Strike  Stop Per Share]]) *(SnapshotTable[[#This Row],[SP Qty]] * 100)),"")</f>
        <v/>
      </c>
      <c r="DA20" s="4" t="str">
        <f>IF(AND(ISNUMBER(SnapshotTable[[#This Row],[SP Premium]]),SnapshotTable[[#This Row],[SP Premium]]&gt;0), SnapshotTable[[#This Row],[SP Book Price]] * (1 + SP_MaxLoss_OptionPct), "")</f>
        <v/>
      </c>
      <c r="DB20" s="31" t="str">
        <f>IF(ISNUMBER(SnapshotTable[[#This Row],[SP Option  Stop Contract]]),(SnapshotTable[[#This Row],[SP Option  Stop Contract]] *(SnapshotTable[[#This Row],[SP Qty]] * 100) - SnapshotTable[[#This Row],[SP Premium]]),"")</f>
        <v/>
      </c>
      <c r="DC20" s="4"/>
      <c r="DD20" s="4"/>
      <c r="DE20" s="4" t="str">
        <f>IF(AND(SnapshotTable[[#This Row],[SP Qty]]&gt;0, SnapshotTable[[#This Row],[SP Stop To Use]]&gt;0),SnapshotTable[[#This Row],[SP Premium]] - ( SnapshotTable[[#This Row],[SP Qty]] * SnapshotTable[[#This Row],[SP Stop To Use]] * 100), "")</f>
        <v/>
      </c>
      <c r="DF20" s="31" t="str">
        <f>IF(AND(SnapshotTable[[#This Row],[SP Qty]]&gt;0,SnapshotTable[[#This Row],[SP Current Ask]]&gt;0), SnapshotTable[[#This Row],[SP Qty]] * SnapshotTable[[#This Row],[SP Current Ask]] * -100, "")</f>
        <v/>
      </c>
      <c r="DG20" s="31" t="str">
        <f>IF(ISNUMBER((SnapshotTable[[#This Row],[SP Total Value]])), SnapshotTable[[#This Row],[SP Premium]] + SnapshotTable[[#This Row],[SP Total Value]], "")</f>
        <v/>
      </c>
      <c r="DH20" s="272" t="str">
        <f>IF(ISNUMBER((SnapshotTable[[#This Row],[SP Total Value]])), SnapshotTable[[#This Row],[SP Gain Loss]] / SnapshotTable[[#This Row],[SP Premium]], "")</f>
        <v/>
      </c>
      <c r="DI20" s="369"/>
      <c r="DJ20" s="136"/>
      <c r="DK20" s="146"/>
      <c r="DL20" s="13"/>
      <c r="DM20" s="13"/>
      <c r="DO20" s="31">
        <f>IF(SnapshotTable[[#This Row],[LC Symbol Count]]=1, SnapshotTable[[#This Row],[LC Qty]] * SnapshotTable[[#This Row],[LC Book Price]] * 100, 0)</f>
        <v>0</v>
      </c>
      <c r="DP20" s="161" t="str">
        <f>IF(AND(SnapshotTable[[#This Row],[LC Exp Date]]&gt;0, SnapshotTable[[#This Row],[LC Strike Price]]&gt;0,SnapshotTable[[#This Row],[LC Qty]]&gt;0,SnapshotTable[[#This Row],[LC Book Date]]&gt;0,SnapshotTable[[#This Row],[LC Book Price]]&gt;0,SnapshotTable[[#This Row],[LC Fill Date]]=0),"Y","")</f>
        <v/>
      </c>
      <c r="DQ20" s="356" t="str">
        <f>IF(SnapshotTable[[#This Row],[LC Premium]] &gt; 0,SnapshotTable[[#This Row],[LC Exp Date]]-MAX(SnapshotTable[[#This Row],[LC Book Date]], SnapshotTable[[#This Row],[LC Fill Date]]),"")</f>
        <v/>
      </c>
      <c r="DR20" s="356" t="str">
        <f>IF(ISNUMBER(SnapshotTable[[#This Row],[LC Term]]), SnapshotTable[[#This Row],[LC Exp Date]] - MockToday, "")</f>
        <v/>
      </c>
      <c r="DS20" s="219" t="str">
        <f>IF(SnapshotTable[[#This Row],[LC Premium]]&gt;0,SnapshotTable[[#This Row],[LC Strike Price]] + SnapshotTable[[#This Row],[LC Book Price]],"")</f>
        <v/>
      </c>
      <c r="DU20" s="9" t="str">
        <f>IF(AND(SnapshotTable[[#This Row],[LC Symbol Count]]&gt;0, SnapshotTable[[#This Row],[LC Contract Value]]&gt;0), SnapshotTable[[#This Row],[LC Contract Value]] * SnapshotTable[[#This Row],[LC Qty]] * 100, "")</f>
        <v/>
      </c>
      <c r="DV20" s="9" t="str">
        <f>IF(AND(ISNUMBER(SnapshotTable[[#This Row],[LC Total Value]]), SnapshotTable[[#This Row],[LC Not Filled]]&lt;&gt;"Y"), SnapshotTable[[#This Row],[LC Total Value]]-SnapshotTable[[#This Row],[LC Premium]],"")</f>
        <v/>
      </c>
      <c r="DW20" s="225" t="str">
        <f>IF(ISNUMBER(SnapshotTable[[#This Row],[LC Actual Gain Loss]]), SnapshotTable[[#This Row],[LC Actual Gain Loss]] / SnapshotTable[[#This Row],[LC Premium]],"")</f>
        <v/>
      </c>
      <c r="DX20" s="269" t="str">
        <f>IF(ISNUMBER(SnapshotTable[[#This Row],[LC Book Price]]),SnapshotTable[[#This Row],[LC Book Price]] * 1.5,"")</f>
        <v/>
      </c>
      <c r="DY20" s="250" t="str">
        <f>IF(SnapshotTable[[#This Row],[LC Premium]]&gt;0, SnapshotTable[[#This Row],[LC Next Target]] * SnapshotTable[[#This Row],[LC Qty]] * 100,"")</f>
        <v/>
      </c>
      <c r="DZ20" s="250" t="str">
        <f>IF(ISNUMBER(SnapshotTable[[#This Row],[LC Target Gross]]), SnapshotTable[[#This Row],[LC Target Gross]] - SnapshotTable[[#This Row],[LC Premium]], "")</f>
        <v/>
      </c>
      <c r="EA20" s="283" t="str">
        <f>IF(ISNUMBER(SnapshotTable[[#This Row],[LC Target Gain Loss]]), SnapshotTable[[#This Row],[LC Target Gain Loss]]/SnapshotTable[[#This Row],[LC Premium]], "")</f>
        <v/>
      </c>
      <c r="EB20" s="247"/>
      <c r="EC20" s="268" t="str">
        <f>IF(SnapshotTable[[#This Row],[LC Premium]]&gt;0, SnapshotTable[[#This Row],[LC Book Price]] * (1 - LC_StopLoss_Pct),"")</f>
        <v/>
      </c>
      <c r="ED20" s="269"/>
      <c r="EE20" s="268" t="str">
        <f>IF(ISNUMBER(SnapshotTable[[#This Row],[LC Contract Value]]),IF(ISNUMBER(SnapshotTable[[#This Row],[LC Stop Loss Override]]), SnapshotTable[[#This Row],[LC Stop Loss Override]],SnapshotTable[[#This Row],[LC Stop Loss Calc Target]]),"")</f>
        <v/>
      </c>
      <c r="EF20" s="31" t="str">
        <f>IF(ISNUMBER(SnapshotTable[[#This Row],[LC Stop  To Use]]), (SnapshotTable[[#This Row],[LC Stop  To Use]] * SnapshotTable[[#This Row],[LC Qty]] * 100),"")</f>
        <v/>
      </c>
      <c r="EG20" s="9" t="str">
        <f>IF(ISNUMBER(SnapshotTable[[#This Row],[LC Total Value]]),SnapshotTable[[#This Row],[LC Stop Loss Amount]] - SnapshotTable[[#This Row],[LC Premium]],"")</f>
        <v/>
      </c>
      <c r="EH20" s="9">
        <f>IF(ISNUMBER(SnapshotTable[[#This Row],[LC Premium]]), SnapshotTable[[#This Row],[LC Qty]] * 100 * SnapshotTable[[#This Row],[LC Strike Price]], "")</f>
        <v>0</v>
      </c>
      <c r="EI20" s="225" t="str">
        <f>IF(AND(ISNUMBER(SnapshotTable[[#This Row],[LC Total Value]]),SnapshotTable[[#This Row],[LC Total Value]]&gt;0),SnapshotTable[[#This Row],[LC Stop Gain Loss]]  / SnapshotTable[[#This Row],[LC Premium]],"")</f>
        <v/>
      </c>
      <c r="EJ20" s="35">
        <f>IF(ISNUMBER(SnapshotTable[[#This Row],[Equity Shares]]),TRUNC(SnapshotTable[[#This Row],[Equity Shares]] / 100),0) + SnapshotTable[[#This Row],[LC Qty]]</f>
        <v>0</v>
      </c>
      <c r="EK20" s="145"/>
      <c r="EL20" s="136"/>
      <c r="EM20" s="146"/>
      <c r="EN20" s="145"/>
      <c r="EO20" s="145"/>
      <c r="EP20" s="136"/>
      <c r="EQ20" s="382" t="b">
        <f>AND(ISNUMBER(SnapshotTable[[#This Row],[SC Exp Date]]), ISNUMBER(SnapshotTable[[#This Row],[SC Strike Price]]), ISNUMBER(SnapshotTable[[#This Row],[SC Qty]]), ISNUMBER(SnapshotTable[[#This Row],[SC Book Date]]), ISNUMBER(SnapshotTable[[#This Row],[SC Book Price]]))</f>
        <v>0</v>
      </c>
      <c r="ER20" s="382" t="b">
        <f>AND(SnapshotTable[[#This Row],[SC Is Booked]], NOT(ISBLANK(SnapshotTable[[#This Row],[SC Fill Date]])))</f>
        <v>0</v>
      </c>
      <c r="ES20" s="340"/>
      <c r="ET20" s="34" t="str">
        <f>IF(AND(ISNUMBER(SnapshotTable[[#This Row],[SC Exp Date]]), ISNUMBER(SnapshotTable[[#This Row],[SC Book Date]])), SnapshotTable[[#This Row],[SC Exp Date]] - MAX(SnapshotTable[[#This Row],[SC Book Date]], SnapshotTable[[#This Row],[SC Fill Date]]) + 1, "")</f>
        <v/>
      </c>
      <c r="EU20" s="34" t="str">
        <f>IF(ISNUMBER(SnapshotTable[[#This Row],[SC Term]]), SnapshotTable[[#This Row],[SC Exp Date]]- MockToday, "")</f>
        <v/>
      </c>
      <c r="EV20" s="31">
        <f>IF(SnapshotTable[[#This Row],[SC Is Booked]], SnapshotTable[[#This Row],[SC Qty]] * SnapshotTable[[#This Row],[SC Book Price]] * 100, 0)</f>
        <v>0</v>
      </c>
      <c r="EW20" s="4" t="str">
        <f>IF(AND(ISNUMBER(SnapshotTable[[#This Row],[Last Price]]), ISNUMBER( SnapshotTable[[#This Row],[SC Book Price]])), SnapshotTable[[#This Row],[Last Price]] - SnapshotTable[[#This Row],[SC Book Price]],"")</f>
        <v/>
      </c>
      <c r="EX20" s="219" t="str">
        <f>IF(SnapshotTable[[#This Row],[SC Is Booked]],IF(SnapshotTable[[#This Row],[SC Intrinsic Value]] &gt; 0, SnapshotTable[[#This Row],[SC Strike Price]], SnapshotTable[[#This Row],[Last Price]]), "")</f>
        <v/>
      </c>
      <c r="EY20" s="4">
        <f>IF(SnapshotTable[[#This Row],[SC Is Booked]], (MinimumPremiumRequired * SnapshotTable[[#This Row],[SC Basis]] * SnapshotTable[[#This Row],[SC Term]]), 0)</f>
        <v>0</v>
      </c>
      <c r="EZ20" s="268"/>
      <c r="FA20" s="204"/>
      <c r="FB20" s="340"/>
      <c r="FC20" s="4">
        <f>IF(SnapshotTable[[#This Row],[SC Is Filled]], btc_max_buyback_amount(SnapshotTable[[#This Row],[SC Fill Date]],SnapshotTable[[#This Row],[SC Exp Date]], SnapshotTable[[#This Row],[SC Book Price]]),0)</f>
        <v>0</v>
      </c>
      <c r="FD20" s="5"/>
      <c r="FE20" s="142" t="str">
        <f>IF(SnapshotTable[[#This Row],[SC Is Filled]], btc_next_cutoff_date(SnapshotTable[[#This Row],[SC Fill Date]],SnapshotTable[[#This Row],[SC Exp Date]]),"")</f>
        <v/>
      </c>
      <c r="FF20" s="4" t="str" cm="1">
        <f t="array" ref="FF20">IF(SnapshotTable[[#This Row],[SC Is Filled]], btc_should_buy_back(SnapshotTable[[#This Row],[SC Fill Date]], SnapshotTable[[#This Row],[SC Exp Date]], SnapshotTable[[#This Row],[SC Book Price]], SnapshotTable[[#This Row],[SC Current Ask]], MockToday, SnapshotTable[[#This Row],[SC Buyback Override]]),"")</f>
        <v/>
      </c>
      <c r="FG20" s="4">
        <f>IF(SnapshotTable[[#This Row],[SC Is Filled]], MAX(0,SnapshotTable[[#This Row],[Last Price]]  - SnapshotTable[[#This Row],[SC Strike Price]]), 0)</f>
        <v>0</v>
      </c>
      <c r="FH20" s="352">
        <f>IF(SnapshotTable[[#This Row],[SC Is Filled]], IF(ISNUMBER(SnapshotTable[[#This Row],[SC Current Ask]]), SnapshotTable[[#This Row],[SC Current Ask]], SnapshotTable[[#This Row],[SC Book Price]]) - SnapshotTable[[#This Row],[SC Intrinsic Value]], 0)</f>
        <v>0</v>
      </c>
      <c r="FI20" s="141">
        <v>45786</v>
      </c>
      <c r="FJ20" s="32" t="str">
        <f>IF(SnapshotTable[[#This Row],[SC Is Filled]],100 * SnapshotTable[[#This Row],[SC Qty]] * IF(ISNUMBER(SnapshotTable[[#This Row],[SC Buyback Override]]), SnapshotTable[[#This Row],[SC Buyback Override]], SnapshotTable[[#This Row],[SC Current Ask]]), "")</f>
        <v/>
      </c>
      <c r="FK20" s="235" t="str">
        <f>IF(SnapshotTable[[#This Row],[SC Time Val]]&gt;0, SnapshotTable[[#This Row],[SC Time Val]] / SnapshotTable[[#This Row],[Last Price]],"")</f>
        <v/>
      </c>
      <c r="FL20" s="280" t="str">
        <f>IF(SnapshotTable[[#This Row],[SC Is Booked]], ((SnapshotTable[[#This Row],[Last Price]] -SnapshotTable[[#This Row],[SC Strike Price]]) / SnapshotTable[[#This Row],[Last Price]]) * -1, "")</f>
        <v/>
      </c>
      <c r="FM20" s="155" t="str">
        <f>IF(SnapshotTable[[#This Row],[SC Is Booked]],  (SnapshotTable[[#This Row],[SC Qty]] * 100 * SnapshotTable[[#This Row],[SC Strike Price]]) - SnapshotTable[[#This Row],[SC Current Ask]], "")</f>
        <v/>
      </c>
      <c r="FN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 s="31" t="str">
        <f>IF(AND(ISNUMBER(SnapshotTable[[#This Row],[SC Exercise Gross]]), ISNUMBER(SnapshotTable[[#This Row],[Equity Basis Per Share]] )), SnapshotTable[[#This Row],[SC Exercise Gross]] - SnapshotTable[[#This Row],[Equity Basis Total]] +  SnapshotTable[[#This Row],[SC Premium]], "")</f>
        <v/>
      </c>
      <c r="FP20" s="5" t="str">
        <f>IF(ISNUMBER(SnapshotTable[[#This Row],[SC Exercise Gross]]), (SnapshotTable[[#This Row],[SC Exercise Gross]]) / (SnapshotTable[[#This Row],[SC Qty]] * 100), "")</f>
        <v/>
      </c>
      <c r="FQ20" s="27" t="str">
        <f>IF(SnapshotTable[[#This Row],[SC Is Booked]],SnapshotTable[[#This Row],[SC Time Val]] /SnapshotTable[[#This Row],[SC Basis]], "")</f>
        <v/>
      </c>
      <c r="FR20" s="27" t="str" cm="1">
        <f t="array" ref="FR20">IF(AND(ISNUMBER(SnapshotTable[[#This Row],[SC Term]]),ISNUMBER(SnapshotTable[[#This Row],[SC Simple ROO]])), EllmanAnnualize(SnapshotTable[[#This Row],[SC DTE]], SnapshotTable[[#This Row],[SC Simple ROO]] ),"")</f>
        <v/>
      </c>
      <c r="FS20" s="4">
        <f>IF(SnapshotTable[[#This Row],[SC Strike Price]] &gt; SnapshotTable[[#This Row],[Last Price]], SnapshotTable[[#This Row],[SC Strike Price]] - SnapshotTable[[#This Row],[Last Price]],0)</f>
        <v>0</v>
      </c>
      <c r="FT20" s="27" t="str">
        <f>IF(AND(ISNUMBER(SnapshotTable[[#This Row],[SC Upside Potential]]), SnapshotTable[[#This Row],[SC Upside Potential]] &gt; 0),(SnapshotTable[[#This Row],[SC Upside Potential]]/ SnapshotTable[[#This Row],[ACB]]),"")</f>
        <v/>
      </c>
      <c r="FU20" s="304" t="str">
        <f>IF(SnapshotTable[[#This Row],[SC Intrinsic Value]] &gt; 0,SnapshotTable[[#This Row],[SC Intrinsic Value]],"")</f>
        <v/>
      </c>
      <c r="FV20" s="27" t="str">
        <f>IF(AND( ISNUMBER( SnapshotTable[[#This Row],[ACB]]),ISNUMBER(SnapshotTable[[#This Row],[SC Downside Protect]])),SnapshotTable[[#This Row],[SC Downside Protect]] / SnapshotTable[[#This Row],[ACB]],"")</f>
        <v/>
      </c>
      <c r="FW20" s="221" t="str">
        <f>IF(AND(ISNUMBER(SnapshotTable[[#This Row],[SC Simple ROO]]),SnapshotTable[[#This Row],[SC Simple ROO]] &gt; 0), SnapshotTable[[#This Row],[SC Premium]] + (SnapshotTable[[#This Row],[SC Qty]] * SnapshotTable[[#This Row],[SC Upside Potential]]), "")</f>
        <v/>
      </c>
      <c r="FX20" s="280" t="str" cm="1">
        <f t="array" ref="FX20">IF(ISNUMBER(SnapshotTable[[#This Row],[SC Max Dollars]]), annualize(SnapshotTable[[#This Row],[SC Term]],(SnapshotTable[[#This Row],[SC Max Dollars]]/SnapshotTable[[#This Row],[SC Basis]])),"")</f>
        <v/>
      </c>
      <c r="FY20" s="221" t="str">
        <f>IF(AND(SnapshotTable[[#This Row],[SC Qty]]&gt;0,SnapshotTable[[#This Row],[SC Current Ask]]&gt;0), SnapshotTable[[#This Row],[SC Qty]] * SnapshotTable[[#This Row],[SC Current Ask]] * -100, "")</f>
        <v/>
      </c>
      <c r="FZ20" s="31" t="str">
        <f>IF(ISNUMBER((SnapshotTable[[#This Row],[SC Current Value]])), SnapshotTable[[#This Row],[SC Premium]] + SnapshotTable[[#This Row],[SC Current Value]], "")</f>
        <v/>
      </c>
      <c r="GA20" s="272" t="str">
        <f>IFERROR( IF(ISNUMBER((SnapshotTable[[#This Row],[SC Current Value]])), SnapshotTable[[#This Row],[SC Gain Loss]] / SnapshotTable[[#This Row],[SC Premium]], ""), "")</f>
        <v/>
      </c>
      <c r="GB20" s="42">
        <f>SnapshotTable[[#This Row],[Equity Shares]] * SaleSharesToConsiderPercentage</f>
        <v>0</v>
      </c>
      <c r="GC20" s="40">
        <f>SnapshotTable[[#This Row],[Long Term Target]] * SellingPriceToConsiderBasedOnTargetPercentage</f>
        <v>220.11499999999998</v>
      </c>
      <c r="GD20" s="40">
        <f>SnapshotTable[[#This Row],[Last Price]] * (1+ SellingPriceToConsiderBasedOnTargetPercentage)</f>
        <v>396.82499999999999</v>
      </c>
      <c r="GE20" s="41"/>
      <c r="GF20" s="40"/>
      <c r="GG20" s="31">
        <f>SnapshotTable[[#This Row],[Booked Sale Shares]] * SnapshotTable[[#This Row],[Booked Sale Price]]</f>
        <v>0</v>
      </c>
      <c r="GH20" s="31" t="str">
        <f>IF(SnapshotTable[[#This Row],[Equity Basis Total]] &gt; 0, SnapshotTable[[#This Row],[Equity Basis Per Share]] * SnapshotTable[[#This Row],[Booked Sale Shares]], "")</f>
        <v/>
      </c>
      <c r="GI20" s="31">
        <f>IF(SnapshotTable[[#This Row],[Sale Proceeds]]&gt;0, SnapshotTable[[#This Row],[Sale Proceeds]] - SnapshotTable[[#This Row],[Sale Basis]], 0)</f>
        <v>0</v>
      </c>
      <c r="GJ20" s="27" t="str">
        <f>IF(SnapshotTable[[#This Row],[Sale G/L]]&gt;0, SnapshotTable[[#This Row],[Sale G/L]] / SnapshotTable[[#This Row],[Sale Basis]], IF(ISNUMBER(SnapshotTable[[#This Row],[SC Exercise P&amp;L (TAX)]]), SnapshotTable[[#This Row],[SC Exercise P&amp;L (TAX)]] / SnapshotTable[[#This Row],[SC Basis]], ""))</f>
        <v/>
      </c>
      <c r="GK20" s="27" t="s">
        <v>507</v>
      </c>
      <c r="GL20" s="43" t="str">
        <f>IF(AND(SnapshotTable[[#This Row],[LP Exp Date]]&gt;0,SnapshotTable[[#This Row],[LP Strike Price]]&gt;0), [1]!ToOptionSymbol(SnapshotTable[[#This Row],[Symbol]], SnapshotTable[[#This Row],[LP Strike Price]],SnapshotTable[[#This Row],[LP Exp Date]],1), "")</f>
        <v/>
      </c>
      <c r="GM20" s="30" t="str">
        <f>IF(LEN(SnapshotTable[[#This Row],[LP Symbol]])&gt;0, 1, "")</f>
        <v/>
      </c>
      <c r="GN20" s="43" t="str">
        <f>IF(AND(SnapshotTable[[#This Row],[SP Exp Date]]&gt;0,SnapshotTable[[#This Row],[SP Strike Price]]&gt;0), [1]!ToOptionSymbol(SnapshotTable[[#This Row],[Symbol]], SnapshotTable[[#This Row],[SP Strike Price]],SnapshotTable[[#This Row],[SP Exp Date]],1), "")</f>
        <v/>
      </c>
      <c r="GO20" s="30" t="str">
        <f>IF(LEN(SnapshotTable[[#This Row],[SP Symbol]])&gt;0, 1, "")</f>
        <v/>
      </c>
      <c r="GP20" s="43" t="str">
        <f>IF(AND(SnapshotTable[[#This Row],[LC Exp Date]]&gt;0,SnapshotTable[[#This Row],[LC Strike Price]]&gt;0), [1]!ToOptionSymbol(SnapshotTable[[#This Row],[Symbol]], SnapshotTable[[#This Row],[LC Strike Price]],SnapshotTable[[#This Row],[LC Exp Date]],0), "")</f>
        <v/>
      </c>
      <c r="GQ20" s="30" t="str">
        <f>IF(LEN(SnapshotTable[[#This Row],[LC Symbol]])&gt;0, 1, "")</f>
        <v/>
      </c>
      <c r="GR20" s="43" t="str">
        <f>IF(AND(SnapshotTable[[#This Row],[SC Exp Date]]&gt;0,SnapshotTable[[#This Row],[SC Strike Price]]&gt;0), [1]!ToOptionSymbol(SnapshotTable[[#This Row],[Symbol]], SnapshotTable[[#This Row],[SC Strike Price]],SnapshotTable[[#This Row],[SC Exp Date]],0), "")</f>
        <v/>
      </c>
      <c r="GS20" s="30" t="str">
        <f>IF(LEN(SnapshotTable[[#This Row],[SC Symbol]])&gt;0, 1, "")</f>
        <v/>
      </c>
      <c r="GT20" s="29" t="str">
        <f>IF(COUNT(SnapshotTable[[#This Row],[LP Symbol Count]],SnapshotTable[[#This Row],[SP Symbol Count]],SnapshotTable[[#This Row],[LC Symbol Count]],SnapshotTable[[#This Row],[SC Symbol Count]])&gt;0, "Y", "")</f>
        <v/>
      </c>
      <c r="GU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 s="216">
        <f>MAX(SnapshotTable[[#This Row],[Equity Basis Total]],SnapshotTable[[#This Row],[Equity Value]]) + (SnapshotTable[[#This Row],[SP Potential Spend]]- SnapshotTable[[#This Row],[SP Premium]] + SnapshotTable[[#This Row],[LP Premium]])+ (SnapshotTable[[#This Row],[LC Premium]] - SnapshotTable[[#This Row],[SC Premium]])</f>
        <v>0</v>
      </c>
      <c r="GW20" s="137" t="str">
        <f>IF(AND(SnapshotTable[[#This Row],[Exposure]] &lt;&gt; 0),SnapshotTable[[#This Row],[Exposure]] / SnapshotTable[[#Totals],[Exposure]], "")</f>
        <v/>
      </c>
      <c r="HK20" s="1"/>
      <c r="HL20" s="1"/>
      <c r="HM20" s="1"/>
      <c r="HN20" s="1"/>
      <c r="HO20" s="1"/>
      <c r="HP20" s="1"/>
    </row>
    <row r="21" spans="2:224" ht="12.75" hidden="1" customHeight="1" x14ac:dyDescent="0.25">
      <c r="B21" s="12" t="s">
        <v>471</v>
      </c>
      <c r="C21" s="385">
        <v>147.05000000000001</v>
      </c>
      <c r="D21" s="200" t="s">
        <v>467</v>
      </c>
      <c r="E21" s="39">
        <f>SnapshotTable[[#This Row],[Last Price]]*(1 -CrashDiscount)</f>
        <v>124.99250000000001</v>
      </c>
      <c r="F21" s="26" t="s">
        <v>445</v>
      </c>
      <c r="G21" s="26" t="s">
        <v>24</v>
      </c>
      <c r="H21" s="147"/>
      <c r="I21" s="186">
        <v>45701</v>
      </c>
      <c r="J21" s="187">
        <v>0.66666666666666663</v>
      </c>
      <c r="K21" s="188"/>
      <c r="L21" s="297"/>
      <c r="M21" s="138"/>
      <c r="N21" s="138"/>
      <c r="O21" s="138"/>
      <c r="P21" s="22"/>
      <c r="Q21" s="25"/>
      <c r="R21" s="4" t="str">
        <f>IF(SnapshotTable[[#This Row],[Equity Basis Total]] &gt; 0, SnapshotTable[[#This Row],[Equity Basis Total]] / SnapshotTable[[#This Row],[Equity Shares]], "")</f>
        <v/>
      </c>
      <c r="S21" s="254">
        <f>SnapshotTable[[#This Row],[Last Price]] * SnapshotTable[[#This Row],[Equity Shares]]</f>
        <v>0</v>
      </c>
      <c r="T21" s="254">
        <f>SnapshotTable[[#This Row],[Equity Value]] - SnapshotTable[[#This Row],[Equity Basis Total]]</f>
        <v>0</v>
      </c>
      <c r="U21" s="255" t="str">
        <f>IF(SnapshotTable[[#This Row],[Equity Basis Total]] &gt; 0, SnapshotTable[[#This Row],[Equity G/L]] / SnapshotTable[[#This Row],[Equity Basis Total]], "")</f>
        <v/>
      </c>
      <c r="V21" s="253"/>
      <c r="W21" s="253"/>
      <c r="X21" s="4" t="str">
        <f>IF(AND(ISNUMBER(SnapshotTable[[#This Row],[Equity Basis Per Share]]),ISNUMBER(SnapshotTable[[#This Row],[Equity Target]])),SnapshotTable[[#This Row],[Equity Target]]-SnapshotTable[[#This Row],[Equity Basis Per Share]],"")</f>
        <v/>
      </c>
      <c r="Y21" s="4" t="str">
        <f>IF(AND(ISNUMBER(SnapshotTable[[#This Row],[Equity Basis Per Share]]),ISNUMBER(SnapshotTable[[#This Row],[Equity Stop Loss]])),SnapshotTable[[#This Row],[Equity Stop Loss]]-SnapshotTable[[#This Row],[Equity Basis Per Share]],"")</f>
        <v/>
      </c>
      <c r="Z21" s="260" t="str">
        <f>IFERROR( TEXT(SnapshotTable[[#This Row],[Equity Max Gain Per Share]] /ABS( SnapshotTable[[#This Row],[Equity Max Loss Per Share]]),"0.0 " ) &amp; " : 1", "")</f>
        <v/>
      </c>
      <c r="AA21" s="31" t="str">
        <f>IF(ISNUMBER(SnapshotTable[[#This Row],[Equity Max Gain Per Share]]),SnapshotTable[[#This Row],[Equity Max Gain Per Share]] * SnapshotTable[[#This Row],[Equity Shares]],"")</f>
        <v/>
      </c>
      <c r="AB21" s="31" t="str">
        <f>IF(ISNUMBER(SnapshotTable[[#This Row],[Equity Max Loss Per Share]]),SnapshotTable[[#This Row],[Equity Max Loss Per Share]] * SnapshotTable[[#This Row],[Equity Shares]],"")</f>
        <v/>
      </c>
      <c r="AC21" s="148"/>
      <c r="AD21" s="149"/>
      <c r="AE21" s="31">
        <f>(SnapshotTable[[#This Row],[Annual Dividend Per Share]] / 4) * SnapshotTable[[#This Row],[Equity Shares]]</f>
        <v>0</v>
      </c>
      <c r="AF21" s="31">
        <f>SnapshotTable[[#This Row],[Quarterly Div $]] * 4</f>
        <v>0</v>
      </c>
      <c r="AG21" s="7">
        <f>IF(SnapshotTable[[#This Row],[Annual Dividend Per Share]]&gt;0, SnapshotTable[[#This Row],[Annual Dividend Per Share]]  / SnapshotTable[[#This Row],[Last Price]], 0)</f>
        <v>0</v>
      </c>
      <c r="AH21" s="149"/>
      <c r="AI21" s="5"/>
      <c r="AJ21" s="136">
        <v>66.78</v>
      </c>
      <c r="AK21" s="150" t="str">
        <f>IF(ISNUMBER( SnapshotTable[[#This Row],[EBF Target]]),(SnapshotTable[[#This Row],[EBF Target]] - SnapshotTable[[#This Row],[Last Price]]) / SnapshotTable[[#This Row],[Last Price]], "")</f>
        <v/>
      </c>
      <c r="AL21" s="150" t="str">
        <f>IF(AND(SnapshotTable[[#This Row],[Equity Basis Total]] &gt; 0,ISNUMBER( SnapshotTable[[#This Row],[Long Term Target]])), SnapshotTable[[#This Row],[From Basis $]] / SnapshotTable[[#This Row],[Equity Basis Total]], "")</f>
        <v/>
      </c>
      <c r="AM21" s="9">
        <f>IF( AND(SnapshotTable[[#This Row],[Equity Shares]] &gt;0,ISNUMBER( SnapshotTable[[#This Row],[Long Term Target]])),(SnapshotTable[[#This Row],[Equity Shares]] * SnapshotTable[[#This Row],[Long Term Target]]) - SnapshotTable[[#This Row],[Equity Basis Total]],0)</f>
        <v>0</v>
      </c>
      <c r="AN21" s="9">
        <f>IF( AND(SnapshotTable[[#This Row],[Equity Shares]] &gt;0,ISNUMBER( SnapshotTable[[#This Row],[Long Term Target]])),(SnapshotTable[[#This Row],[Equity Shares]]*SnapshotTable[[#This Row],[Long Term Target]]) - SnapshotTable[[#This Row],[Equity Value]],0)</f>
        <v>0</v>
      </c>
      <c r="AO21" s="150">
        <f>IF(AND(ISNUMBER( SnapshotTable[[#This Row],[Long Term Target]]), ISNUMBER(SnapshotTable[[#This Row],[Last Price]])),(SnapshotTable[[#This Row],[Long Term Target]] - SnapshotTable[[#This Row],[Last Price]]) / SnapshotTable[[#This Row],[Last Price]], "")</f>
        <v>-0.54586875212512753</v>
      </c>
      <c r="AP21" s="5">
        <v>118</v>
      </c>
      <c r="AQ21" s="38" t="s">
        <v>22</v>
      </c>
      <c r="AR21" s="5">
        <v>118</v>
      </c>
      <c r="AS21" s="38" t="s">
        <v>15</v>
      </c>
      <c r="AT21" s="144" t="s">
        <v>438</v>
      </c>
      <c r="AU21" s="185" t="str">
        <f>IF(OR(SnapshotTable[[#This Row],[LP No Fill]]="Y",SnapshotTable[[#This Row],[SP Is Filled]],SnapshotTable[[#This Row],[LC Not Filled]]="Y",SnapshotTable[[#This Row],[SC Is Filled]]),"Y","")</f>
        <v/>
      </c>
      <c r="AV21" s="205"/>
      <c r="AW21" s="211"/>
      <c r="AX21" s="206"/>
      <c r="AY21" s="205" t="str">
        <f>IF(SnapshotTable[[#This Row],[Implied Move]]&gt;0, SnapshotTable[[#This Row],[Last Price]]-SnapshotTable[[#This Row],[Implied Move]],"")</f>
        <v/>
      </c>
      <c r="AZ21" s="205" t="str">
        <f>IF(SnapshotTable[[#This Row],[Implied Move]]&gt;0, SnapshotTable[[#This Row],[Last Price]] + SnapshotTable[[#This Row],[Implied Move]],"")</f>
        <v/>
      </c>
      <c r="BA21" s="302">
        <v>114.55</v>
      </c>
      <c r="BB21" s="318"/>
      <c r="BC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 s="321"/>
      <c r="BE21" s="136"/>
      <c r="BF21" s="164"/>
      <c r="BG21" s="165"/>
      <c r="BH21" s="165"/>
      <c r="BI21" s="5"/>
      <c r="BJ21" s="151">
        <f>IF(SnapshotTable[[#This Row],[LP Qty]] &gt; 0, SnapshotTable[[#This Row],[LP Qty]] * SnapshotTable[[#This Row],[LP Book Price]] * 100,0)</f>
        <v>0</v>
      </c>
      <c r="BK21" s="134">
        <f>IF(SnapshotTable[[#This Row],[LP Premium]] &gt; 0, SnapshotTable[[#This Row],[LP Qty]] * SnapshotTable[[#This Row],[LP Strike Price]] * 100,0)</f>
        <v>0</v>
      </c>
      <c r="BL21" s="152"/>
      <c r="BM21" s="355" t="str">
        <f>IF(SnapshotTable[[#This Row],[LP Premium]] &gt; 0,SnapshotTable[[#This Row],[LP Exp Date]]-MAX(SnapshotTable[[#This Row],[LP Book Date]], SnapshotTable[[#This Row],[LP Fill Date]]),"")</f>
        <v/>
      </c>
      <c r="BN21" s="355" t="str">
        <f>IF(ISNUMBER( SnapshotTable[[#This Row],[LP Term]]), SnapshotTable[[#This Row],[LP Exp Date]] - MockToday,"")</f>
        <v/>
      </c>
      <c r="BO21" s="161" t="str">
        <f>IF(AND(SnapshotTable[[#This Row],[LP Exp Date]]&gt;0, SnapshotTable[[#This Row],[LP Strike Price]]&gt;0,SnapshotTable[[#This Row],[LP Qty]]&gt;0,SnapshotTable[[#This Row],[LP Book Date]]&gt;0,SnapshotTable[[#This Row],[LP Book Price]]&gt;0,SnapshotTable[[#This Row],[LP Fill Date]]=0),"Y","")</f>
        <v/>
      </c>
      <c r="BP21" s="31" t="str">
        <f>IF(AND(SnapshotTable[[#This Row],[LP No Fill]]&lt;&gt;"Y",SnapshotTable[[#This Row],[LP Contract Value]]&gt;0, SnapshotTable[[#This Row],[LP Qty]]&gt;0), SnapshotTable[[#This Row],[LP Contract Value]]*SnapshotTable[[#This Row],[LP Qty]]*100,"")</f>
        <v/>
      </c>
      <c r="BQ21" s="13"/>
      <c r="BR21" s="5"/>
      <c r="BS21" s="36"/>
      <c r="BT21" s="145"/>
      <c r="BU21" s="13"/>
      <c r="BV21" s="5"/>
      <c r="BW21" s="382" t="b">
        <f>AND(ISNUMBER(SnapshotTable[[#This Row],[SP Exp Date]]), ISNUMBER(SnapshotTable[[#This Row],[SP Strike Price]]), ISNUMBER(SnapshotTable[[#This Row],[SP Qty]]), ISNUMBER(SnapshotTable[[#This Row],[SP Book Date]]), ISNUMBER(SnapshotTable[[#This Row],[SP Book Price]]))</f>
        <v>0</v>
      </c>
      <c r="BX21" s="382" t="b">
        <f>AND(SnapshotTable[[#This Row],[SP Is Booked]], NOT(ISBLANK(SnapshotTable[[#This Row],[SP Fill Date]])))</f>
        <v>0</v>
      </c>
      <c r="BY21" s="33">
        <f>IF(SnapshotTable[[#This Row],[SP Is Booked]], SnapshotTable[[#This Row],[SP Qty]] * SnapshotTable[[#This Row],[SP Book Price]] * 100, 0)</f>
        <v>0</v>
      </c>
      <c r="BZ21" s="339"/>
      <c r="CA21" s="338">
        <f>SnapshotTable[[#This Row],[LP Qty]]</f>
        <v>0</v>
      </c>
      <c r="CB21" s="4" t="str">
        <f>IF(SnapshotTable[[#This Row],[SP Is Booked]], SnapshotTable[[#This Row],[SP Strike Price]] - SnapshotTable[[#This Row],[SP Book Price]], "")</f>
        <v/>
      </c>
      <c r="CC21" s="19" t="str">
        <f>IF(SnapshotTable[[#This Row],[SP Is Booked]],SnapshotTable[[#This Row],[SP Exp Date]]-MAX(SnapshotTable[[#This Row],[SP Book Date]], SnapshotTable[[#This Row],[SP Fill Date]]),"")</f>
        <v/>
      </c>
      <c r="CD21" s="7" t="str">
        <f>IF(SnapshotTable[[#This Row],[SP Is Booked]], SnapshotTable[[#This Row],[SP Book Price]]/SnapshotTable[[#This Row],[SP Strike Price]], "")</f>
        <v/>
      </c>
      <c r="CE21" s="7" t="str">
        <f>IF(ISNUMBER(SnapshotTable[[#This Row],[SP ROO Term]]),SnapshotTable[[#This Row],[SP ROO Term]]*(365/SnapshotTable[[#This Row],[SP Term]]),"")</f>
        <v/>
      </c>
      <c r="CF21" s="221">
        <f>SnapshotTable[[#This Row],[LP Strike Price]] * SnapshotTable[[#This Row],[LP Qty]] * 100</f>
        <v>0</v>
      </c>
      <c r="CG21" s="31">
        <f>IF(ISNUMBER(SnapshotTable[[#This Row],[SP Premium]]), (SnapshotTable[[#This Row],[SP Qty]] * SnapshotTable[[#This Row],[SP Strike Price]]* 100) - SnapshotTable[[#This Row],[LP Protection]], 0)</f>
        <v>0</v>
      </c>
      <c r="CH21" s="7" t="str">
        <f>IF(ISNUMBER(SnapshotTable[[#This Row],[SP Break Even]]),-1 * (SnapshotTable[[#This Row],[SP Break Even]] - SnapshotTable[[#This Row],[Last Price]]) / SnapshotTable[[#This Row],[Last Price]], "")</f>
        <v/>
      </c>
      <c r="CI21" s="31">
        <f>IF(AND(ISNUMBER((SnapshotTable[[#This Row],[SP Potential Spend]])), SnapshotTable[[#This Row],[SP Strike Price]] &gt; SnapshotTable[[#This Row],[Last Price]], SnapshotTable[[#This Row],[SP Is Filled]]), SnapshotTable[[#This Row],[SP Potential Spend]] -  SnapshotTable[[#This Row],[LP Max Value]], 0)</f>
        <v>0</v>
      </c>
      <c r="CJ21" s="229"/>
      <c r="CK21" s="31">
        <f>IF(ISNUMBER(SnapshotTable[[#This Row],[SP Potential Spend]]),IF(ISNUMBER(SnapshotTable[[#This Row],[SP POW]]), SnapshotTable[[#This Row],[SP POW]] * SnapshotTable[[#This Row],[SP Potential Spend]], SnapshotTable[[#This Row],[SP Potential Spend]]), "")</f>
        <v>0</v>
      </c>
      <c r="CL21" s="162">
        <f>IF(NOT(SnapshotTable[[#This Row],[SP Is Filled]]),(SnapshotTable[[#This Row],[SP Qty]] * SnapshotTable[[#This Row],[SP Strike Price]] * 100) - SnapshotTable[[#This Row],[LP Max Value]],"")</f>
        <v>0</v>
      </c>
      <c r="CM21" s="31" t="str">
        <f>IF(SnapshotTable[[#This Row],[SP Actual Spend]]&lt;&gt;0, ((SnapshotTable[[#This Row],[SP Strike Price]]-SnapshotTable[[#This Row],[Last Price]]) *(SnapshotTable[[#This Row],[SP Qty]]*100) - SnapshotTable[[#This Row],[SP Premium]]) * - 1, "")</f>
        <v/>
      </c>
      <c r="CN21" s="152"/>
      <c r="CO21" s="339"/>
      <c r="CP21" s="4" t="str">
        <f>IF(SnapshotTable[[#This Row],[SP Is Filled]], btc_max_buyback_amount(SnapshotTable[[#This Row],[SP Fill Date]],SnapshotTable[[#This Row],[SP Exp Date]], SnapshotTable[[#This Row],[SP Book Price]]),"")</f>
        <v/>
      </c>
      <c r="CQ21" s="76"/>
      <c r="CR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 s="153" t="str">
        <f>IF(SnapshotTable[[#This Row],[SP Is Filled]], btc_next_cutoff_date(SnapshotTable[[#This Row],[SP Fill Date]],SnapshotTable[[#This Row],[SP Exp Date]]),"")</f>
        <v/>
      </c>
      <c r="CT21" s="220" t="str" cm="1">
        <f t="array" ref="CT21">IF(SnapshotTable[[#This Row],[SP Is Filled]], btc_should_buy_back(SnapshotTable[[#This Row],[SP Fill Date]], SnapshotTable[[#This Row],[SP Exp Date]], SnapshotTable[[#This Row],[SP Book Price]], SnapshotTable[[#This Row],[SP Current Ask]], MockToday, SnapshotTable[[#This Row],[SP Buyback Override]]),"")</f>
        <v/>
      </c>
      <c r="CU21" s="154"/>
      <c r="CV21" s="220"/>
      <c r="CW21" s="348" t="str">
        <f>IF(ISNUMBER( SnapshotTable[[#This Row],[SP Term]]), SnapshotTable[[#This Row],[SP Exp Date]] - MockToday,"")</f>
        <v/>
      </c>
      <c r="CX21" s="31" t="str">
        <f>IF(SnapshotTable[[#This Row],[SP Is Filled]],SnapshotTable[[#This Row],[SP Buyback Price to Use]] * 100 * SnapshotTable[[#This Row],[SP Qty]], "")</f>
        <v/>
      </c>
      <c r="CY21" s="4" t="str">
        <f>IF(ISNUMBER(SnapshotTable[[#This Row],[SP Strike Price]]), SnapshotTable[[#This Row],[SP Strike Price]] * (1 - SP_MaxLoss_StrikePct), "")</f>
        <v/>
      </c>
      <c r="CZ21" s="31" t="str">
        <f>IF(ISNUMBER(SnapshotTable[[#This Row],[SP Strike  Stop Per Share]]),SnapshotTable[[#This Row],[SP Premium]] - ((SnapshotTable[[#This Row],[SP Strike Price]]-SnapshotTable[[#This Row],[SP Strike  Stop Per Share]]) *(SnapshotTable[[#This Row],[SP Qty]] * 100)),"")</f>
        <v/>
      </c>
      <c r="DA21" s="4" t="str">
        <f>IF(AND(ISNUMBER(SnapshotTable[[#This Row],[SP Premium]]),SnapshotTable[[#This Row],[SP Premium]]&gt;0), SnapshotTable[[#This Row],[SP Book Price]] * (1 + SP_MaxLoss_OptionPct), "")</f>
        <v/>
      </c>
      <c r="DB21" s="31" t="str">
        <f>IF(ISNUMBER(SnapshotTable[[#This Row],[SP Option  Stop Contract]]),(SnapshotTable[[#This Row],[SP Option  Stop Contract]] *(SnapshotTable[[#This Row],[SP Qty]] * 100) - SnapshotTable[[#This Row],[SP Premium]]),"")</f>
        <v/>
      </c>
      <c r="DC21" s="4"/>
      <c r="DD21" s="4"/>
      <c r="DE21" s="4" t="str">
        <f>IF(AND(SnapshotTable[[#This Row],[SP Qty]]&gt;0, SnapshotTable[[#This Row],[SP Stop To Use]]&gt;0),SnapshotTable[[#This Row],[SP Premium]] - ( SnapshotTable[[#This Row],[SP Qty]] * SnapshotTable[[#This Row],[SP Stop To Use]] * 100), "")</f>
        <v/>
      </c>
      <c r="DF21" s="31" t="str">
        <f>IF(AND(SnapshotTable[[#This Row],[SP Qty]]&gt;0,SnapshotTable[[#This Row],[SP Current Ask]]&gt;0), SnapshotTable[[#This Row],[SP Qty]] * SnapshotTable[[#This Row],[SP Current Ask]] * -100, "")</f>
        <v/>
      </c>
      <c r="DG21" s="31" t="str">
        <f>IF(ISNUMBER((SnapshotTable[[#This Row],[SP Total Value]])), SnapshotTable[[#This Row],[SP Premium]] + SnapshotTable[[#This Row],[SP Total Value]], "")</f>
        <v/>
      </c>
      <c r="DH21" s="272" t="str">
        <f>IF(ISNUMBER((SnapshotTable[[#This Row],[SP Total Value]])), SnapshotTable[[#This Row],[SP Gain Loss]] / SnapshotTable[[#This Row],[SP Premium]], "")</f>
        <v/>
      </c>
      <c r="DI21" s="369"/>
      <c r="DJ21" s="136"/>
      <c r="DK21" s="146"/>
      <c r="DL21" s="145"/>
      <c r="DM21" s="145"/>
      <c r="DO21" s="31">
        <f>IF(SnapshotTable[[#This Row],[LC Symbol Count]]=1, SnapshotTable[[#This Row],[LC Qty]] * SnapshotTable[[#This Row],[LC Book Price]] * 100, 0)</f>
        <v>0</v>
      </c>
      <c r="DP21" s="161" t="str">
        <f>IF(AND(SnapshotTable[[#This Row],[LC Exp Date]]&gt;0, SnapshotTable[[#This Row],[LC Strike Price]]&gt;0,SnapshotTable[[#This Row],[LC Qty]]&gt;0,SnapshotTable[[#This Row],[LC Book Date]]&gt;0,SnapshotTable[[#This Row],[LC Book Price]]&gt;0,SnapshotTable[[#This Row],[LC Fill Date]]=0),"Y","")</f>
        <v/>
      </c>
      <c r="DQ21" s="356" t="str">
        <f>IF(SnapshotTable[[#This Row],[LC Premium]] &gt; 0,SnapshotTable[[#This Row],[LC Exp Date]]-MAX(SnapshotTable[[#This Row],[LC Book Date]], SnapshotTable[[#This Row],[LC Fill Date]]),"")</f>
        <v/>
      </c>
      <c r="DR21" s="356" t="str">
        <f>IF(ISNUMBER(SnapshotTable[[#This Row],[LC Term]]), SnapshotTable[[#This Row],[LC Exp Date]] - MockToday, "")</f>
        <v/>
      </c>
      <c r="DS21" s="219" t="str">
        <f>IF(SnapshotTable[[#This Row],[LC Premium]]&gt;0,SnapshotTable[[#This Row],[LC Strike Price]] + SnapshotTable[[#This Row],[LC Book Price]],"")</f>
        <v/>
      </c>
      <c r="DU21" s="9" t="str">
        <f>IF(AND(SnapshotTable[[#This Row],[LC Symbol Count]]&gt;0, SnapshotTable[[#This Row],[LC Contract Value]]&gt;0), SnapshotTable[[#This Row],[LC Contract Value]] * SnapshotTable[[#This Row],[LC Qty]] * 100, "")</f>
        <v/>
      </c>
      <c r="DV21" s="9" t="str">
        <f>IF(AND(ISNUMBER(SnapshotTable[[#This Row],[LC Total Value]]), SnapshotTable[[#This Row],[LC Not Filled]]&lt;&gt;"Y"), SnapshotTable[[#This Row],[LC Total Value]]-SnapshotTable[[#This Row],[LC Premium]],"")</f>
        <v/>
      </c>
      <c r="DW21" s="225" t="str">
        <f>IF(ISNUMBER(SnapshotTable[[#This Row],[LC Actual Gain Loss]]), SnapshotTable[[#This Row],[LC Actual Gain Loss]] / SnapshotTable[[#This Row],[LC Premium]],"")</f>
        <v/>
      </c>
      <c r="DX21" s="269" t="str">
        <f>IF(ISNUMBER(SnapshotTable[[#This Row],[LC Book Price]]),SnapshotTable[[#This Row],[LC Book Price]] * 1.5,"")</f>
        <v/>
      </c>
      <c r="DY21" s="250" t="str">
        <f>IF(SnapshotTable[[#This Row],[LC Premium]]&gt;0, SnapshotTable[[#This Row],[LC Next Target]] * SnapshotTable[[#This Row],[LC Qty]] * 100,"")</f>
        <v/>
      </c>
      <c r="DZ21" s="250" t="str">
        <f>IF(ISNUMBER(SnapshotTable[[#This Row],[LC Target Gross]]), SnapshotTable[[#This Row],[LC Target Gross]] - SnapshotTable[[#This Row],[LC Premium]], "")</f>
        <v/>
      </c>
      <c r="EA21" s="283" t="str">
        <f>IF(ISNUMBER(SnapshotTable[[#This Row],[LC Target Gain Loss]]), SnapshotTable[[#This Row],[LC Target Gain Loss]]/SnapshotTable[[#This Row],[LC Premium]], "")</f>
        <v/>
      </c>
      <c r="EB21" s="247"/>
      <c r="EC21" s="268" t="str">
        <f>IF(SnapshotTable[[#This Row],[LC Premium]]&gt;0, SnapshotTable[[#This Row],[LC Book Price]] * (1 - LC_StopLoss_Pct),"")</f>
        <v/>
      </c>
      <c r="ED21" s="269"/>
      <c r="EE21" s="268" t="str">
        <f>IF(ISNUMBER(SnapshotTable[[#This Row],[LC Contract Value]]),IF(ISNUMBER(SnapshotTable[[#This Row],[LC Stop Loss Override]]), SnapshotTable[[#This Row],[LC Stop Loss Override]],SnapshotTable[[#This Row],[LC Stop Loss Calc Target]]),"")</f>
        <v/>
      </c>
      <c r="EF21" s="31" t="str">
        <f>IF(ISNUMBER(SnapshotTable[[#This Row],[LC Stop  To Use]]), (SnapshotTable[[#This Row],[LC Stop  To Use]] * SnapshotTable[[#This Row],[LC Qty]] * 100),"")</f>
        <v/>
      </c>
      <c r="EG21" s="9" t="str">
        <f>IF(ISNUMBER(SnapshotTable[[#This Row],[LC Total Value]]),SnapshotTable[[#This Row],[LC Stop Loss Amount]] - SnapshotTable[[#This Row],[LC Premium]],"")</f>
        <v/>
      </c>
      <c r="EH21" s="9">
        <f>IF(ISNUMBER(SnapshotTable[[#This Row],[LC Premium]]), SnapshotTable[[#This Row],[LC Qty]] * 100 * SnapshotTable[[#This Row],[LC Strike Price]], "")</f>
        <v>0</v>
      </c>
      <c r="EI21" s="225" t="str">
        <f>IF(AND(ISNUMBER(SnapshotTable[[#This Row],[LC Total Value]]),SnapshotTable[[#This Row],[LC Total Value]]&gt;0),SnapshotTable[[#This Row],[LC Stop Gain Loss]]  / SnapshotTable[[#This Row],[LC Premium]],"")</f>
        <v/>
      </c>
      <c r="EJ21" s="35">
        <f>IF(ISNUMBER(SnapshotTable[[#This Row],[Equity Shares]]),TRUNC(SnapshotTable[[#This Row],[Equity Shares]] / 100),0) + SnapshotTable[[#This Row],[LC Qty]]</f>
        <v>0</v>
      </c>
      <c r="EK21" s="145"/>
      <c r="EL21" s="136"/>
      <c r="EM21" s="146"/>
      <c r="EN21" s="145"/>
      <c r="EO21" s="145"/>
      <c r="EP21" s="136"/>
      <c r="EQ21" s="382" t="b">
        <f>AND(ISNUMBER(SnapshotTable[[#This Row],[SC Exp Date]]), ISNUMBER(SnapshotTable[[#This Row],[SC Strike Price]]), ISNUMBER(SnapshotTable[[#This Row],[SC Qty]]), ISNUMBER(SnapshotTable[[#This Row],[SC Book Date]]), ISNUMBER(SnapshotTable[[#This Row],[SC Book Price]]))</f>
        <v>0</v>
      </c>
      <c r="ER21" s="382" t="b">
        <f>AND(SnapshotTable[[#This Row],[SC Is Booked]], NOT(ISBLANK(SnapshotTable[[#This Row],[SC Fill Date]])))</f>
        <v>0</v>
      </c>
      <c r="ES21" s="340"/>
      <c r="ET21" s="34" t="str">
        <f>IF(AND(ISNUMBER(SnapshotTable[[#This Row],[SC Exp Date]]), ISNUMBER(SnapshotTable[[#This Row],[SC Book Date]])), SnapshotTable[[#This Row],[SC Exp Date]] - MAX(SnapshotTable[[#This Row],[SC Book Date]], SnapshotTable[[#This Row],[SC Fill Date]]) + 1, "")</f>
        <v/>
      </c>
      <c r="EU21" s="34" t="str">
        <f>IF(ISNUMBER(SnapshotTable[[#This Row],[SC Term]]), SnapshotTable[[#This Row],[SC Exp Date]]- MockToday, "")</f>
        <v/>
      </c>
      <c r="EV21" s="31">
        <f>IF(SnapshotTable[[#This Row],[SC Is Booked]], SnapshotTable[[#This Row],[SC Qty]] * SnapshotTable[[#This Row],[SC Book Price]] * 100, 0)</f>
        <v>0</v>
      </c>
      <c r="EW21" s="4" t="str">
        <f>IF(AND(ISNUMBER(SnapshotTable[[#This Row],[Last Price]]), ISNUMBER( SnapshotTable[[#This Row],[SC Book Price]])), SnapshotTable[[#This Row],[Last Price]] - SnapshotTable[[#This Row],[SC Book Price]],"")</f>
        <v/>
      </c>
      <c r="EX21" s="219" t="str">
        <f>IF(SnapshotTable[[#This Row],[SC Is Booked]],IF(SnapshotTable[[#This Row],[SC Intrinsic Value]] &gt; 0, SnapshotTable[[#This Row],[SC Strike Price]], SnapshotTable[[#This Row],[Last Price]]), "")</f>
        <v/>
      </c>
      <c r="EY21" s="4">
        <f>IF(SnapshotTable[[#This Row],[SC Is Booked]], (MinimumPremiumRequired * SnapshotTable[[#This Row],[SC Basis]] * SnapshotTable[[#This Row],[SC Term]]), 0)</f>
        <v>0</v>
      </c>
      <c r="EZ21" s="268"/>
      <c r="FA21" s="204"/>
      <c r="FB21" s="340"/>
      <c r="FC21" s="4">
        <f>IF(SnapshotTable[[#This Row],[SC Is Filled]], btc_max_buyback_amount(SnapshotTable[[#This Row],[SC Fill Date]],SnapshotTable[[#This Row],[SC Exp Date]], SnapshotTable[[#This Row],[SC Book Price]]),0)</f>
        <v>0</v>
      </c>
      <c r="FD21" s="5"/>
      <c r="FE21" s="142" t="str">
        <f>IF(SnapshotTable[[#This Row],[SC Is Filled]], btc_next_cutoff_date(SnapshotTable[[#This Row],[SC Fill Date]],SnapshotTable[[#This Row],[SC Exp Date]]),"")</f>
        <v/>
      </c>
      <c r="FF21" s="4" t="str" cm="1">
        <f t="array" ref="FF21">IF(SnapshotTable[[#This Row],[SC Is Filled]], btc_should_buy_back(SnapshotTable[[#This Row],[SC Fill Date]], SnapshotTable[[#This Row],[SC Exp Date]], SnapshotTable[[#This Row],[SC Book Price]], SnapshotTable[[#This Row],[SC Current Ask]], MockToday, SnapshotTable[[#This Row],[SC Buyback Override]]),"")</f>
        <v/>
      </c>
      <c r="FG21" s="4">
        <f>IF(SnapshotTable[[#This Row],[SC Is Filled]], MAX(0,SnapshotTable[[#This Row],[Last Price]]  - SnapshotTable[[#This Row],[SC Strike Price]]), 0)</f>
        <v>0</v>
      </c>
      <c r="FH21" s="352">
        <f>IF(SnapshotTable[[#This Row],[SC Is Filled]], IF(ISNUMBER(SnapshotTable[[#This Row],[SC Current Ask]]), SnapshotTable[[#This Row],[SC Current Ask]], SnapshotTable[[#This Row],[SC Book Price]]) - SnapshotTable[[#This Row],[SC Intrinsic Value]], 0)</f>
        <v>0</v>
      </c>
      <c r="FI21" s="141">
        <v>45828</v>
      </c>
      <c r="FJ21" s="32" t="str">
        <f>IF(SnapshotTable[[#This Row],[SC Is Filled]],100 * SnapshotTable[[#This Row],[SC Qty]] * IF(ISNUMBER(SnapshotTable[[#This Row],[SC Buyback Override]]), SnapshotTable[[#This Row],[SC Buyback Override]], SnapshotTable[[#This Row],[SC Current Ask]]), "")</f>
        <v/>
      </c>
      <c r="FK21" s="235" t="str">
        <f>IF(SnapshotTable[[#This Row],[SC Time Val]]&gt;0, SnapshotTable[[#This Row],[SC Time Val]] / SnapshotTable[[#This Row],[Last Price]],"")</f>
        <v/>
      </c>
      <c r="FL21" s="280" t="str">
        <f>IF(SnapshotTable[[#This Row],[SC Is Booked]], ((SnapshotTable[[#This Row],[Last Price]] -SnapshotTable[[#This Row],[SC Strike Price]]) / SnapshotTable[[#This Row],[Last Price]]) * -1, "")</f>
        <v/>
      </c>
      <c r="FM21" s="155" t="str">
        <f>IF(SnapshotTable[[#This Row],[SC Is Booked]],  (SnapshotTable[[#This Row],[SC Qty]] * 100 * SnapshotTable[[#This Row],[SC Strike Price]]) - SnapshotTable[[#This Row],[SC Current Ask]], "")</f>
        <v/>
      </c>
      <c r="FN21"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 s="155" t="str">
        <f>IF(AND(ISNUMBER(SnapshotTable[[#This Row],[SC Exercise Gross]]), ISNUMBER(SnapshotTable[[#This Row],[Equity Basis Per Share]] )), SnapshotTable[[#This Row],[SC Exercise Gross]] - SnapshotTable[[#This Row],[Equity Basis Total]] +  SnapshotTable[[#This Row],[SC Premium]], "")</f>
        <v/>
      </c>
      <c r="FP21" s="5" t="str">
        <f>IF(ISNUMBER(SnapshotTable[[#This Row],[SC Exercise Gross]]), (SnapshotTable[[#This Row],[SC Exercise Gross]]) / (SnapshotTable[[#This Row],[SC Qty]] * 100), "")</f>
        <v/>
      </c>
      <c r="FQ21" s="27" t="str">
        <f>IF(SnapshotTable[[#This Row],[SC Is Booked]],SnapshotTable[[#This Row],[SC Time Val]] /SnapshotTable[[#This Row],[SC Basis]], "")</f>
        <v/>
      </c>
      <c r="FR21" s="27" t="str" cm="1">
        <f t="array" ref="FR21">IF(AND(ISNUMBER(SnapshotTable[[#This Row],[SC Term]]),ISNUMBER(SnapshotTable[[#This Row],[SC Simple ROO]])), EllmanAnnualize(SnapshotTable[[#This Row],[SC DTE]], SnapshotTable[[#This Row],[SC Simple ROO]] ),"")</f>
        <v/>
      </c>
      <c r="FS21" s="4">
        <f>IF(SnapshotTable[[#This Row],[SC Strike Price]] &gt; SnapshotTable[[#This Row],[Last Price]], SnapshotTable[[#This Row],[SC Strike Price]] - SnapshotTable[[#This Row],[Last Price]],0)</f>
        <v>0</v>
      </c>
      <c r="FT21" s="27" t="str">
        <f>IF(AND(ISNUMBER(SnapshotTable[[#This Row],[SC Upside Potential]]), SnapshotTable[[#This Row],[SC Upside Potential]] &gt; 0),(SnapshotTable[[#This Row],[SC Upside Potential]]/ SnapshotTable[[#This Row],[ACB]]),"")</f>
        <v/>
      </c>
      <c r="FU21" s="304" t="str">
        <f>IF(SnapshotTable[[#This Row],[SC Intrinsic Value]] &gt; 0,SnapshotTable[[#This Row],[SC Intrinsic Value]],"")</f>
        <v/>
      </c>
      <c r="FV21" s="27" t="str">
        <f>IF(AND( ISNUMBER( SnapshotTable[[#This Row],[ACB]]),ISNUMBER(SnapshotTable[[#This Row],[SC Downside Protect]])),SnapshotTable[[#This Row],[SC Downside Protect]] / SnapshotTable[[#This Row],[ACB]],"")</f>
        <v/>
      </c>
      <c r="FW21" s="221" t="str">
        <f>IF(AND(ISNUMBER(SnapshotTable[[#This Row],[SC Simple ROO]]),SnapshotTable[[#This Row],[SC Simple ROO]] &gt; 0), SnapshotTable[[#This Row],[SC Premium]] + (SnapshotTable[[#This Row],[SC Qty]] * SnapshotTable[[#This Row],[SC Upside Potential]]), "")</f>
        <v/>
      </c>
      <c r="FX21" s="280" t="str" cm="1">
        <f t="array" ref="FX21">IF(ISNUMBER(SnapshotTable[[#This Row],[SC Max Dollars]]), annualize(SnapshotTable[[#This Row],[SC Term]],(SnapshotTable[[#This Row],[SC Max Dollars]]/SnapshotTable[[#This Row],[SC Basis]])),"")</f>
        <v/>
      </c>
      <c r="FY21" s="221" t="str">
        <f>IF(AND(SnapshotTable[[#This Row],[SC Qty]]&gt;0,SnapshotTable[[#This Row],[SC Current Ask]]&gt;0), SnapshotTable[[#This Row],[SC Qty]] * SnapshotTable[[#This Row],[SC Current Ask]] * -100, "")</f>
        <v/>
      </c>
      <c r="FZ21" s="31" t="str">
        <f>IF(ISNUMBER((SnapshotTable[[#This Row],[SC Current Value]])), SnapshotTable[[#This Row],[SC Premium]] + SnapshotTable[[#This Row],[SC Current Value]], "")</f>
        <v/>
      </c>
      <c r="GA21" s="272" t="str">
        <f>IFERROR( IF(ISNUMBER((SnapshotTable[[#This Row],[SC Current Value]])), SnapshotTable[[#This Row],[SC Gain Loss]] / SnapshotTable[[#This Row],[SC Premium]], ""), "")</f>
        <v/>
      </c>
      <c r="GB21" s="42">
        <f>SnapshotTable[[#This Row],[Equity Shares]] * SaleSharesToConsiderPercentage</f>
        <v>0</v>
      </c>
      <c r="GC21" s="40">
        <f>SnapshotTable[[#This Row],[Long Term Target]] * SellingPriceToConsiderBasedOnTargetPercentage</f>
        <v>63.440999999999995</v>
      </c>
      <c r="GD21" s="40">
        <f>SnapshotTable[[#This Row],[Last Price]] * (1+ SellingPriceToConsiderBasedOnTargetPercentage)</f>
        <v>286.7475</v>
      </c>
      <c r="GE21" s="41"/>
      <c r="GF21" s="40"/>
      <c r="GG21" s="31">
        <f>SnapshotTable[[#This Row],[Booked Sale Shares]] * SnapshotTable[[#This Row],[Booked Sale Price]]</f>
        <v>0</v>
      </c>
      <c r="GH21" s="31" t="str">
        <f>IF(SnapshotTable[[#This Row],[Equity Basis Total]] &gt; 0, SnapshotTable[[#This Row],[Equity Basis Per Share]] * SnapshotTable[[#This Row],[Booked Sale Shares]], "")</f>
        <v/>
      </c>
      <c r="GI21" s="31">
        <f>IF(SnapshotTable[[#This Row],[Sale Proceeds]]&gt;0, SnapshotTable[[#This Row],[Sale Proceeds]] - SnapshotTable[[#This Row],[Sale Basis]], 0)</f>
        <v>0</v>
      </c>
      <c r="GJ21" s="156" t="str">
        <f>IF(SnapshotTable[[#This Row],[Sale G/L]]&gt;0, SnapshotTable[[#This Row],[Sale G/L]] / SnapshotTable[[#This Row],[Sale Basis]], IF(ISNUMBER(SnapshotTable[[#This Row],[SC Exercise P&amp;L (TAX)]]), SnapshotTable[[#This Row],[SC Exercise P&amp;L (TAX)]] / SnapshotTable[[#This Row],[SC Basis]], ""))</f>
        <v/>
      </c>
      <c r="GK21" s="156" t="s">
        <v>508</v>
      </c>
      <c r="GL21" s="157" t="str">
        <f>IF(AND(SnapshotTable[[#This Row],[LP Exp Date]]&gt;0,SnapshotTable[[#This Row],[LP Strike Price]]&gt;0), [1]!ToOptionSymbol(SnapshotTable[[#This Row],[Symbol]], SnapshotTable[[#This Row],[LP Strike Price]],SnapshotTable[[#This Row],[LP Exp Date]],1), "")</f>
        <v/>
      </c>
      <c r="GM21" s="30" t="str">
        <f>IF(LEN(SnapshotTable[[#This Row],[LP Symbol]])&gt;0, 1, "")</f>
        <v/>
      </c>
      <c r="GN21" s="43" t="str">
        <f>IF(AND(SnapshotTable[[#This Row],[SP Exp Date]]&gt;0,SnapshotTable[[#This Row],[SP Strike Price]]&gt;0), [1]!ToOptionSymbol(SnapshotTable[[#This Row],[Symbol]], SnapshotTable[[#This Row],[SP Strike Price]],SnapshotTable[[#This Row],[SP Exp Date]],1), "")</f>
        <v/>
      </c>
      <c r="GO21" s="30" t="str">
        <f>IF(LEN(SnapshotTable[[#This Row],[SP Symbol]])&gt;0, 1, "")</f>
        <v/>
      </c>
      <c r="GP21" s="157" t="str">
        <f>IF(AND(SnapshotTable[[#This Row],[LC Exp Date]]&gt;0,SnapshotTable[[#This Row],[LC Strike Price]]&gt;0), [1]!ToOptionSymbol(SnapshotTable[[#This Row],[Symbol]], SnapshotTable[[#This Row],[LC Strike Price]],SnapshotTable[[#This Row],[LC Exp Date]],0), "")</f>
        <v/>
      </c>
      <c r="GQ21" s="158" t="str">
        <f>IF(LEN(SnapshotTable[[#This Row],[LC Symbol]])&gt;0, 1, "")</f>
        <v/>
      </c>
      <c r="GR21" s="157" t="str">
        <f>IF(AND(SnapshotTable[[#This Row],[SC Exp Date]]&gt;0,SnapshotTable[[#This Row],[SC Strike Price]]&gt;0), [1]!ToOptionSymbol(SnapshotTable[[#This Row],[Symbol]], SnapshotTable[[#This Row],[SC Strike Price]],SnapshotTable[[#This Row],[SC Exp Date]],0), "")</f>
        <v/>
      </c>
      <c r="GS21" s="158" t="str">
        <f>IF(LEN(SnapshotTable[[#This Row],[SC Symbol]])&gt;0, 1, "")</f>
        <v/>
      </c>
      <c r="GT21" s="159" t="str">
        <f>IF(COUNT(SnapshotTable[[#This Row],[LP Symbol Count]],SnapshotTable[[#This Row],[SP Symbol Count]],SnapshotTable[[#This Row],[LC Symbol Count]],SnapshotTable[[#This Row],[SC Symbol Count]])&gt;0, "Y", "")</f>
        <v/>
      </c>
      <c r="GU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 s="216">
        <f>MAX(SnapshotTable[[#This Row],[Equity Basis Total]],SnapshotTable[[#This Row],[Equity Value]]) + (SnapshotTable[[#This Row],[SP Potential Spend]]- SnapshotTable[[#This Row],[SP Premium]] + SnapshotTable[[#This Row],[LP Premium]])+ (SnapshotTable[[#This Row],[LC Premium]] - SnapshotTable[[#This Row],[SC Premium]])</f>
        <v>0</v>
      </c>
      <c r="GW21" s="137" t="str">
        <f>IF(AND(SnapshotTable[[#This Row],[Exposure]] &lt;&gt; 0),SnapshotTable[[#This Row],[Exposure]] / SnapshotTable[[#Totals],[Exposure]], "")</f>
        <v/>
      </c>
      <c r="HK21" s="1"/>
      <c r="HL21" s="1"/>
      <c r="HM21" s="1"/>
      <c r="HN21" s="1"/>
      <c r="HO21" s="1"/>
      <c r="HP21" s="1"/>
    </row>
    <row r="22" spans="2:224" ht="12.75" hidden="1" customHeight="1" x14ac:dyDescent="0.25">
      <c r="B22" s="12" t="s">
        <v>124</v>
      </c>
      <c r="C22" s="385">
        <v>133.07</v>
      </c>
      <c r="D22" s="200"/>
      <c r="E22" s="39">
        <f>SnapshotTable[[#This Row],[Last Price]]*(1 -CrashDiscount)</f>
        <v>113.1095</v>
      </c>
      <c r="F22" s="26" t="s">
        <v>738</v>
      </c>
      <c r="G22" s="26" t="s">
        <v>120</v>
      </c>
      <c r="H22" s="147"/>
      <c r="I22" s="186">
        <v>44770.288194444445</v>
      </c>
      <c r="J22" s="187">
        <v>44770.288194444445</v>
      </c>
      <c r="K22" s="188"/>
      <c r="L22" s="297"/>
      <c r="M22" s="138"/>
      <c r="N22" s="138"/>
      <c r="O22" s="138"/>
      <c r="P22" s="22"/>
      <c r="Q22" s="25"/>
      <c r="R22" s="4" t="str">
        <f>IF(SnapshotTable[[#This Row],[Equity Basis Total]] &gt; 0, SnapshotTable[[#This Row],[Equity Basis Total]] / SnapshotTable[[#This Row],[Equity Shares]], "")</f>
        <v/>
      </c>
      <c r="S22" s="254">
        <f>SnapshotTable[[#This Row],[Last Price]] * SnapshotTable[[#This Row],[Equity Shares]]</f>
        <v>0</v>
      </c>
      <c r="T22" s="254">
        <f>SnapshotTable[[#This Row],[Equity Value]] - SnapshotTable[[#This Row],[Equity Basis Total]]</f>
        <v>0</v>
      </c>
      <c r="U22" s="255" t="str">
        <f>IF(SnapshotTable[[#This Row],[Equity Basis Total]] &gt; 0, SnapshotTable[[#This Row],[Equity G/L]] / SnapshotTable[[#This Row],[Equity Basis Total]], "")</f>
        <v/>
      </c>
      <c r="V22" s="253"/>
      <c r="W22" s="253"/>
      <c r="X22" s="4" t="str">
        <f>IF(AND(ISNUMBER(SnapshotTable[[#This Row],[Equity Basis Per Share]]),ISNUMBER(SnapshotTable[[#This Row],[Equity Target]])),SnapshotTable[[#This Row],[Equity Target]]-SnapshotTable[[#This Row],[Equity Basis Per Share]],"")</f>
        <v/>
      </c>
      <c r="Y22" s="4" t="str">
        <f>IF(AND(ISNUMBER(SnapshotTable[[#This Row],[Equity Basis Per Share]]),ISNUMBER(SnapshotTable[[#This Row],[Equity Stop Loss]])),SnapshotTable[[#This Row],[Equity Stop Loss]]-SnapshotTable[[#This Row],[Equity Basis Per Share]],"")</f>
        <v/>
      </c>
      <c r="Z22" s="260" t="str">
        <f>IFERROR( TEXT(SnapshotTable[[#This Row],[Equity Max Gain Per Share]] /ABS( SnapshotTable[[#This Row],[Equity Max Loss Per Share]]),"0.0 " ) &amp; " : 1", "")</f>
        <v/>
      </c>
      <c r="AA22" s="31" t="str">
        <f>IF(ISNUMBER(SnapshotTable[[#This Row],[Equity Max Gain Per Share]]),SnapshotTable[[#This Row],[Equity Max Gain Per Share]] * SnapshotTable[[#This Row],[Equity Shares]],"")</f>
        <v/>
      </c>
      <c r="AB22" s="31" t="str">
        <f>IF(ISNUMBER(SnapshotTable[[#This Row],[Equity Max Loss Per Share]]),SnapshotTable[[#This Row],[Equity Max Loss Per Share]] * SnapshotTable[[#This Row],[Equity Shares]],"")</f>
        <v/>
      </c>
      <c r="AC22" s="148">
        <v>2.2400000000000002</v>
      </c>
      <c r="AD22" s="149">
        <v>42623</v>
      </c>
      <c r="AE22" s="31">
        <f>(SnapshotTable[[#This Row],[Annual Dividend Per Share]] / 4) * SnapshotTable[[#This Row],[Equity Shares]]</f>
        <v>0</v>
      </c>
      <c r="AF22" s="31">
        <f>SnapshotTable[[#This Row],[Quarterly Div $]] * 4</f>
        <v>0</v>
      </c>
      <c r="AG22" s="7">
        <f>IF(SnapshotTable[[#This Row],[Annual Dividend Per Share]]&gt;0, SnapshotTable[[#This Row],[Annual Dividend Per Share]]  / SnapshotTable[[#This Row],[Last Price]], 0)</f>
        <v>1.6833245660178856E-2</v>
      </c>
      <c r="AH22" s="149">
        <v>42586</v>
      </c>
      <c r="AI22" s="5"/>
      <c r="AJ22" s="136">
        <v>97.82</v>
      </c>
      <c r="AK22" s="150" t="str">
        <f>IF(ISNUMBER( SnapshotTable[[#This Row],[EBF Target]]),(SnapshotTable[[#This Row],[EBF Target]] - SnapshotTable[[#This Row],[Last Price]]) / SnapshotTable[[#This Row],[Last Price]], "")</f>
        <v/>
      </c>
      <c r="AL22" s="150" t="str">
        <f>IF(AND(SnapshotTable[[#This Row],[Equity Basis Total]] &gt; 0,ISNUMBER( SnapshotTable[[#This Row],[Long Term Target]])), SnapshotTable[[#This Row],[From Basis $]] / SnapshotTable[[#This Row],[Equity Basis Total]], "")</f>
        <v/>
      </c>
      <c r="AM22" s="9">
        <f>IF( AND(SnapshotTable[[#This Row],[Equity Shares]] &gt;0,ISNUMBER( SnapshotTable[[#This Row],[Long Term Target]])),(SnapshotTable[[#This Row],[Equity Shares]] * SnapshotTable[[#This Row],[Long Term Target]]) - SnapshotTable[[#This Row],[Equity Basis Total]],0)</f>
        <v>0</v>
      </c>
      <c r="AN22" s="9">
        <f>IF( AND(SnapshotTable[[#This Row],[Equity Shares]] &gt;0,ISNUMBER( SnapshotTable[[#This Row],[Long Term Target]])),(SnapshotTable[[#This Row],[Equity Shares]]*SnapshotTable[[#This Row],[Long Term Target]]) - SnapshotTable[[#This Row],[Equity Value]],0)</f>
        <v>0</v>
      </c>
      <c r="AO22" s="150">
        <f>IF(AND(ISNUMBER( SnapshotTable[[#This Row],[Long Term Target]]), ISNUMBER(SnapshotTable[[#This Row],[Last Price]])),(SnapshotTable[[#This Row],[Long Term Target]] - SnapshotTable[[#This Row],[Last Price]]) / SnapshotTable[[#This Row],[Last Price]], "")</f>
        <v>-0.26489817389343956</v>
      </c>
      <c r="AP22" s="5"/>
      <c r="AQ22" s="38"/>
      <c r="AR22" s="5"/>
      <c r="AS22" s="38"/>
      <c r="AT22" s="144"/>
      <c r="AU22" s="185" t="str">
        <f>IF(OR(SnapshotTable[[#This Row],[LP No Fill]]="Y",SnapshotTable[[#This Row],[SP Is Filled]],SnapshotTable[[#This Row],[LC Not Filled]]="Y",SnapshotTable[[#This Row],[SC Is Filled]]),"Y","")</f>
        <v/>
      </c>
      <c r="AV22" s="205"/>
      <c r="AW22" s="211"/>
      <c r="AX22" s="206"/>
      <c r="AY22" s="205" t="str">
        <f>IF(SnapshotTable[[#This Row],[Implied Move]]&gt;0, SnapshotTable[[#This Row],[Last Price]]-SnapshotTable[[#This Row],[Implied Move]],"")</f>
        <v/>
      </c>
      <c r="AZ22" s="205" t="str">
        <f>IF(SnapshotTable[[#This Row],[Implied Move]]&gt;0, SnapshotTable[[#This Row],[Last Price]] + SnapshotTable[[#This Row],[Implied Move]],"")</f>
        <v/>
      </c>
      <c r="BA22" s="302"/>
      <c r="BB22" s="318"/>
      <c r="BC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 s="321"/>
      <c r="BE22" s="5"/>
      <c r="BF22" s="14"/>
      <c r="BG22" s="13"/>
      <c r="BH22" s="13"/>
      <c r="BI22" s="5"/>
      <c r="BJ22" s="134">
        <f>IF(SnapshotTable[[#This Row],[LP Qty]] &gt; 0, SnapshotTable[[#This Row],[LP Qty]] * SnapshotTable[[#This Row],[LP Book Price]] * 100,0)</f>
        <v>0</v>
      </c>
      <c r="BK22" s="134">
        <f>IF(SnapshotTable[[#This Row],[LP Premium]] &gt; 0, SnapshotTable[[#This Row],[LP Qty]] * SnapshotTable[[#This Row],[LP Strike Price]] * 100,0)</f>
        <v>0</v>
      </c>
      <c r="BL22" s="152"/>
      <c r="BM22" s="355" t="str">
        <f>IF(SnapshotTable[[#This Row],[LP Premium]] &gt; 0,SnapshotTable[[#This Row],[LP Exp Date]]-MAX(SnapshotTable[[#This Row],[LP Book Date]], SnapshotTable[[#This Row],[LP Fill Date]]),"")</f>
        <v/>
      </c>
      <c r="BN22" s="355" t="str">
        <f>IF(ISNUMBER( SnapshotTable[[#This Row],[LP Term]]), SnapshotTable[[#This Row],[LP Exp Date]] - MockToday,"")</f>
        <v/>
      </c>
      <c r="BO22" s="161" t="str">
        <f>IF(AND(SnapshotTable[[#This Row],[LP Exp Date]]&gt;0, SnapshotTable[[#This Row],[LP Strike Price]]&gt;0,SnapshotTable[[#This Row],[LP Qty]]&gt;0,SnapshotTable[[#This Row],[LP Book Date]]&gt;0,SnapshotTable[[#This Row],[LP Book Price]]&gt;0,SnapshotTable[[#This Row],[LP Fill Date]]=0),"Y","")</f>
        <v/>
      </c>
      <c r="BP22" s="31" t="str">
        <f>IF(AND(SnapshotTable[[#This Row],[LP No Fill]]&lt;&gt;"Y",SnapshotTable[[#This Row],[LP Contract Value]]&gt;0, SnapshotTable[[#This Row],[LP Qty]]&gt;0), SnapshotTable[[#This Row],[LP Contract Value]]*SnapshotTable[[#This Row],[LP Qty]]*100,"")</f>
        <v/>
      </c>
      <c r="BQ22" s="13"/>
      <c r="BR22" s="5"/>
      <c r="BS22" s="36"/>
      <c r="BT22" s="145"/>
      <c r="BU22" s="13"/>
      <c r="BV22" s="5"/>
      <c r="BW22" s="382" t="b">
        <f>AND(ISNUMBER(SnapshotTable[[#This Row],[SP Exp Date]]), ISNUMBER(SnapshotTable[[#This Row],[SP Strike Price]]), ISNUMBER(SnapshotTable[[#This Row],[SP Qty]]), ISNUMBER(SnapshotTable[[#This Row],[SP Book Date]]), ISNUMBER(SnapshotTable[[#This Row],[SP Book Price]]))</f>
        <v>0</v>
      </c>
      <c r="BX22" s="382" t="b">
        <f>AND(SnapshotTable[[#This Row],[SP Is Booked]], NOT(ISBLANK(SnapshotTable[[#This Row],[SP Fill Date]])))</f>
        <v>0</v>
      </c>
      <c r="BY22" s="33">
        <f>IF(SnapshotTable[[#This Row],[SP Is Booked]], SnapshotTable[[#This Row],[SP Qty]] * SnapshotTable[[#This Row],[SP Book Price]] * 100, 0)</f>
        <v>0</v>
      </c>
      <c r="BZ22" s="339"/>
      <c r="CA22" s="338">
        <f>SnapshotTable[[#This Row],[LP Qty]]</f>
        <v>0</v>
      </c>
      <c r="CB22" s="4" t="str">
        <f>IF(SnapshotTable[[#This Row],[SP Is Booked]], SnapshotTable[[#This Row],[SP Strike Price]] - SnapshotTable[[#This Row],[SP Book Price]], "")</f>
        <v/>
      </c>
      <c r="CC22" s="19" t="str">
        <f>IF(SnapshotTable[[#This Row],[SP Is Booked]],SnapshotTable[[#This Row],[SP Exp Date]]-MAX(SnapshotTable[[#This Row],[SP Book Date]], SnapshotTable[[#This Row],[SP Fill Date]]),"")</f>
        <v/>
      </c>
      <c r="CD22" s="7" t="str">
        <f>IF(SnapshotTable[[#This Row],[SP Is Booked]], SnapshotTable[[#This Row],[SP Book Price]]/SnapshotTable[[#This Row],[SP Strike Price]], "")</f>
        <v/>
      </c>
      <c r="CE22" s="7" t="str">
        <f>IF(ISNUMBER(SnapshotTable[[#This Row],[SP ROO Term]]),SnapshotTable[[#This Row],[SP ROO Term]]*(365/SnapshotTable[[#This Row],[SP Term]]),"")</f>
        <v/>
      </c>
      <c r="CF22" s="221">
        <f>SnapshotTable[[#This Row],[LP Strike Price]] * SnapshotTable[[#This Row],[LP Qty]] * 100</f>
        <v>0</v>
      </c>
      <c r="CG22" s="31">
        <f>IF(ISNUMBER(SnapshotTable[[#This Row],[SP Premium]]), (SnapshotTable[[#This Row],[SP Qty]] * SnapshotTable[[#This Row],[SP Strike Price]]* 100) - SnapshotTable[[#This Row],[LP Protection]], 0)</f>
        <v>0</v>
      </c>
      <c r="CH22" s="7" t="str">
        <f>IF(ISNUMBER(SnapshotTable[[#This Row],[SP Break Even]]),-1 * (SnapshotTable[[#This Row],[SP Break Even]] - SnapshotTable[[#This Row],[Last Price]]) / SnapshotTable[[#This Row],[Last Price]], "")</f>
        <v/>
      </c>
      <c r="CI22" s="31">
        <f>IF(AND(ISNUMBER((SnapshotTable[[#This Row],[SP Potential Spend]])), SnapshotTable[[#This Row],[SP Strike Price]] &gt; SnapshotTable[[#This Row],[Last Price]], SnapshotTable[[#This Row],[SP Is Filled]]), SnapshotTable[[#This Row],[SP Potential Spend]] -  SnapshotTable[[#This Row],[LP Max Value]], 0)</f>
        <v>0</v>
      </c>
      <c r="CJ22" s="229"/>
      <c r="CK22" s="31">
        <f>IF(ISNUMBER(SnapshotTable[[#This Row],[SP Potential Spend]]),IF(ISNUMBER(SnapshotTable[[#This Row],[SP POW]]), SnapshotTable[[#This Row],[SP POW]] * SnapshotTable[[#This Row],[SP Potential Spend]], SnapshotTable[[#This Row],[SP Potential Spend]]), "")</f>
        <v>0</v>
      </c>
      <c r="CL22" s="162">
        <f>IF(NOT(SnapshotTable[[#This Row],[SP Is Filled]]),(SnapshotTable[[#This Row],[SP Qty]] * SnapshotTable[[#This Row],[SP Strike Price]] * 100) - SnapshotTable[[#This Row],[LP Max Value]],"")</f>
        <v>0</v>
      </c>
      <c r="CM22" s="31" t="str">
        <f>IF(SnapshotTable[[#This Row],[SP Actual Spend]]&lt;&gt;0, ((SnapshotTable[[#This Row],[SP Strike Price]]-SnapshotTable[[#This Row],[Last Price]]) *(SnapshotTable[[#This Row],[SP Qty]]*100) - SnapshotTable[[#This Row],[SP Premium]]) * - 1, "")</f>
        <v/>
      </c>
      <c r="CN22" s="76"/>
      <c r="CO22" s="339"/>
      <c r="CP22" s="4" t="str">
        <f>IF(SnapshotTable[[#This Row],[SP Is Filled]], btc_max_buyback_amount(SnapshotTable[[#This Row],[SP Fill Date]],SnapshotTable[[#This Row],[SP Exp Date]], SnapshotTable[[#This Row],[SP Book Price]]),"")</f>
        <v/>
      </c>
      <c r="CQ22" s="76"/>
      <c r="CR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 s="153" t="str">
        <f>IF(SnapshotTable[[#This Row],[SP Is Filled]], btc_next_cutoff_date(SnapshotTable[[#This Row],[SP Fill Date]],SnapshotTable[[#This Row],[SP Exp Date]]),"")</f>
        <v/>
      </c>
      <c r="CT22" s="220" t="str" cm="1">
        <f t="array" ref="CT22">IF(SnapshotTable[[#This Row],[SP Is Filled]], btc_should_buy_back(SnapshotTable[[#This Row],[SP Fill Date]], SnapshotTable[[#This Row],[SP Exp Date]], SnapshotTable[[#This Row],[SP Book Price]], SnapshotTable[[#This Row],[SP Current Ask]], MockToday, SnapshotTable[[#This Row],[SP Buyback Override]]),"")</f>
        <v/>
      </c>
      <c r="CU22" s="141"/>
      <c r="CV22" s="220"/>
      <c r="CW22" s="348" t="str">
        <f>IF(ISNUMBER( SnapshotTable[[#This Row],[SP Term]]), SnapshotTable[[#This Row],[SP Exp Date]] - MockToday,"")</f>
        <v/>
      </c>
      <c r="CX22" s="31" t="str">
        <f>IF(SnapshotTable[[#This Row],[SP Is Filled]],SnapshotTable[[#This Row],[SP Buyback Price to Use]] * 100 * SnapshotTable[[#This Row],[SP Qty]], "")</f>
        <v/>
      </c>
      <c r="CY22" s="4" t="str">
        <f>IF(ISNUMBER(SnapshotTable[[#This Row],[SP Strike Price]]), SnapshotTable[[#This Row],[SP Strike Price]] * (1 - SP_MaxLoss_StrikePct), "")</f>
        <v/>
      </c>
      <c r="CZ22" s="31" t="str">
        <f>IF(ISNUMBER(SnapshotTable[[#This Row],[SP Strike  Stop Per Share]]),SnapshotTable[[#This Row],[SP Premium]] - ((SnapshotTable[[#This Row],[SP Strike Price]]-SnapshotTable[[#This Row],[SP Strike  Stop Per Share]]) *(SnapshotTable[[#This Row],[SP Qty]] * 100)),"")</f>
        <v/>
      </c>
      <c r="DA22" s="4" t="str">
        <f>IF(AND(ISNUMBER(SnapshotTable[[#This Row],[SP Premium]]),SnapshotTable[[#This Row],[SP Premium]]&gt;0), SnapshotTable[[#This Row],[SP Book Price]] * (1 + SP_MaxLoss_OptionPct), "")</f>
        <v/>
      </c>
      <c r="DB22" s="31" t="str">
        <f>IF(ISNUMBER(SnapshotTable[[#This Row],[SP Option  Stop Contract]]),(SnapshotTable[[#This Row],[SP Option  Stop Contract]] *(SnapshotTable[[#This Row],[SP Qty]] * 100) - SnapshotTable[[#This Row],[SP Premium]]),"")</f>
        <v/>
      </c>
      <c r="DC22" s="4"/>
      <c r="DD22" s="4"/>
      <c r="DE22" s="4" t="str">
        <f>IF(AND(SnapshotTable[[#This Row],[SP Qty]]&gt;0, SnapshotTable[[#This Row],[SP Stop To Use]]&gt;0),SnapshotTable[[#This Row],[SP Premium]] - ( SnapshotTable[[#This Row],[SP Qty]] * SnapshotTable[[#This Row],[SP Stop To Use]] * 100), "")</f>
        <v/>
      </c>
      <c r="DF22" s="31" t="str">
        <f>IF(AND(SnapshotTable[[#This Row],[SP Qty]]&gt;0,SnapshotTable[[#This Row],[SP Current Ask]]&gt;0), SnapshotTable[[#This Row],[SP Qty]] * SnapshotTable[[#This Row],[SP Current Ask]] * -100, "")</f>
        <v/>
      </c>
      <c r="DG22" s="31" t="str">
        <f>IF(ISNUMBER((SnapshotTable[[#This Row],[SP Total Value]])), SnapshotTable[[#This Row],[SP Premium]] + SnapshotTable[[#This Row],[SP Total Value]], "")</f>
        <v/>
      </c>
      <c r="DH22" s="272" t="str">
        <f>IF(ISNUMBER((SnapshotTable[[#This Row],[SP Total Value]])), SnapshotTable[[#This Row],[SP Gain Loss]] / SnapshotTable[[#This Row],[SP Premium]], "")</f>
        <v/>
      </c>
      <c r="DI22" s="369"/>
      <c r="DJ22" s="136"/>
      <c r="DK22" s="146"/>
      <c r="DL22" s="13"/>
      <c r="DM22" s="13"/>
      <c r="DO22" s="31">
        <f>IF(SnapshotTable[[#This Row],[LC Symbol Count]]=1, SnapshotTable[[#This Row],[LC Qty]] * SnapshotTable[[#This Row],[LC Book Price]] * 100, 0)</f>
        <v>0</v>
      </c>
      <c r="DP22" s="161" t="str">
        <f>IF(AND(SnapshotTable[[#This Row],[LC Exp Date]]&gt;0, SnapshotTable[[#This Row],[LC Strike Price]]&gt;0,SnapshotTable[[#This Row],[LC Qty]]&gt;0,SnapshotTable[[#This Row],[LC Book Date]]&gt;0,SnapshotTable[[#This Row],[LC Book Price]]&gt;0,SnapshotTable[[#This Row],[LC Fill Date]]=0),"Y","")</f>
        <v/>
      </c>
      <c r="DQ22" s="356" t="str">
        <f>IF(SnapshotTable[[#This Row],[LC Premium]] &gt; 0,SnapshotTable[[#This Row],[LC Exp Date]]-MAX(SnapshotTable[[#This Row],[LC Book Date]], SnapshotTable[[#This Row],[LC Fill Date]]),"")</f>
        <v/>
      </c>
      <c r="DR22" s="356" t="str">
        <f>IF(ISNUMBER(SnapshotTable[[#This Row],[LC Term]]), SnapshotTable[[#This Row],[LC Exp Date]] - MockToday, "")</f>
        <v/>
      </c>
      <c r="DS22" s="219" t="str">
        <f>IF(SnapshotTable[[#This Row],[LC Premium]]&gt;0,SnapshotTable[[#This Row],[LC Strike Price]] + SnapshotTable[[#This Row],[LC Book Price]],"")</f>
        <v/>
      </c>
      <c r="DU22" s="9" t="str">
        <f>IF(AND(SnapshotTable[[#This Row],[LC Symbol Count]]&gt;0, SnapshotTable[[#This Row],[LC Contract Value]]&gt;0), SnapshotTable[[#This Row],[LC Contract Value]] * SnapshotTable[[#This Row],[LC Qty]] * 100, "")</f>
        <v/>
      </c>
      <c r="DV22" s="9" t="str">
        <f>IF(AND(ISNUMBER(SnapshotTable[[#This Row],[LC Total Value]]), SnapshotTable[[#This Row],[LC Not Filled]]&lt;&gt;"Y"), SnapshotTable[[#This Row],[LC Total Value]]-SnapshotTable[[#This Row],[LC Premium]],"")</f>
        <v/>
      </c>
      <c r="DW22" s="225" t="str">
        <f>IF(ISNUMBER(SnapshotTable[[#This Row],[LC Actual Gain Loss]]), SnapshotTable[[#This Row],[LC Actual Gain Loss]] / SnapshotTable[[#This Row],[LC Premium]],"")</f>
        <v/>
      </c>
      <c r="DX22" s="269" t="str">
        <f>IF(ISNUMBER(SnapshotTable[[#This Row],[LC Book Price]]),SnapshotTable[[#This Row],[LC Book Price]] * 1.5,"")</f>
        <v/>
      </c>
      <c r="DY22" s="250" t="str">
        <f>IF(SnapshotTable[[#This Row],[LC Premium]]&gt;0, SnapshotTable[[#This Row],[LC Next Target]] * SnapshotTable[[#This Row],[LC Qty]] * 100,"")</f>
        <v/>
      </c>
      <c r="DZ22" s="250" t="str">
        <f>IF(ISNUMBER(SnapshotTable[[#This Row],[LC Target Gross]]), SnapshotTable[[#This Row],[LC Target Gross]] - SnapshotTable[[#This Row],[LC Premium]], "")</f>
        <v/>
      </c>
      <c r="EA22" s="283" t="str">
        <f>IF(ISNUMBER(SnapshotTable[[#This Row],[LC Target Gain Loss]]), SnapshotTable[[#This Row],[LC Target Gain Loss]]/SnapshotTable[[#This Row],[LC Premium]], "")</f>
        <v/>
      </c>
      <c r="EB22" s="247"/>
      <c r="EC22" s="268" t="str">
        <f>IF(SnapshotTable[[#This Row],[LC Premium]]&gt;0, SnapshotTable[[#This Row],[LC Book Price]] * (1 - LC_StopLoss_Pct),"")</f>
        <v/>
      </c>
      <c r="ED22" s="269"/>
      <c r="EE22" s="268" t="str">
        <f>IF(ISNUMBER(SnapshotTable[[#This Row],[LC Contract Value]]),IF(ISNUMBER(SnapshotTable[[#This Row],[LC Stop Loss Override]]), SnapshotTable[[#This Row],[LC Stop Loss Override]],SnapshotTable[[#This Row],[LC Stop Loss Calc Target]]),"")</f>
        <v/>
      </c>
      <c r="EF22" s="31" t="str">
        <f>IF(ISNUMBER(SnapshotTable[[#This Row],[LC Stop  To Use]]), (SnapshotTable[[#This Row],[LC Stop  To Use]] * SnapshotTable[[#This Row],[LC Qty]] * 100),"")</f>
        <v/>
      </c>
      <c r="EG22" s="9" t="str">
        <f>IF(ISNUMBER(SnapshotTable[[#This Row],[LC Total Value]]),SnapshotTable[[#This Row],[LC Stop Loss Amount]] - SnapshotTable[[#This Row],[LC Premium]],"")</f>
        <v/>
      </c>
      <c r="EH22" s="9">
        <f>IF(ISNUMBER(SnapshotTable[[#This Row],[LC Premium]]), SnapshotTable[[#This Row],[LC Qty]] * 100 * SnapshotTable[[#This Row],[LC Strike Price]], "")</f>
        <v>0</v>
      </c>
      <c r="EI22" s="225" t="str">
        <f>IF(AND(ISNUMBER(SnapshotTable[[#This Row],[LC Total Value]]),SnapshotTable[[#This Row],[LC Total Value]]&gt;0),SnapshotTable[[#This Row],[LC Stop Gain Loss]]  / SnapshotTable[[#This Row],[LC Premium]],"")</f>
        <v/>
      </c>
      <c r="EJ22" s="35">
        <f>IF(ISNUMBER(SnapshotTable[[#This Row],[Equity Shares]]),TRUNC(SnapshotTable[[#This Row],[Equity Shares]] / 100),0) + SnapshotTable[[#This Row],[LC Qty]]</f>
        <v>0</v>
      </c>
      <c r="EK22" s="145"/>
      <c r="EL22" s="136"/>
      <c r="EM22" s="146"/>
      <c r="EN22" s="145"/>
      <c r="EO22" s="145"/>
      <c r="EP22" s="136"/>
      <c r="EQ22" s="382" t="b">
        <f>AND(ISNUMBER(SnapshotTable[[#This Row],[SC Exp Date]]), ISNUMBER(SnapshotTable[[#This Row],[SC Strike Price]]), ISNUMBER(SnapshotTable[[#This Row],[SC Qty]]), ISNUMBER(SnapshotTable[[#This Row],[SC Book Date]]), ISNUMBER(SnapshotTable[[#This Row],[SC Book Price]]))</f>
        <v>0</v>
      </c>
      <c r="ER22" s="382" t="b">
        <f>AND(SnapshotTable[[#This Row],[SC Is Booked]], NOT(ISBLANK(SnapshotTable[[#This Row],[SC Fill Date]])))</f>
        <v>0</v>
      </c>
      <c r="ES22" s="340"/>
      <c r="ET22" s="34" t="str">
        <f>IF(AND(ISNUMBER(SnapshotTable[[#This Row],[SC Exp Date]]), ISNUMBER(SnapshotTable[[#This Row],[SC Book Date]])), SnapshotTable[[#This Row],[SC Exp Date]] - MAX(SnapshotTable[[#This Row],[SC Book Date]], SnapshotTable[[#This Row],[SC Fill Date]]) + 1, "")</f>
        <v/>
      </c>
      <c r="EU22" s="34" t="str">
        <f>IF(ISNUMBER(SnapshotTable[[#This Row],[SC Term]]), SnapshotTable[[#This Row],[SC Exp Date]]- MockToday, "")</f>
        <v/>
      </c>
      <c r="EV22" s="31">
        <f>IF(SnapshotTable[[#This Row],[SC Is Booked]], SnapshotTable[[#This Row],[SC Qty]] * SnapshotTable[[#This Row],[SC Book Price]] * 100, 0)</f>
        <v>0</v>
      </c>
      <c r="EW22" s="4" t="str">
        <f>IF(AND(ISNUMBER(SnapshotTable[[#This Row],[Last Price]]), ISNUMBER( SnapshotTable[[#This Row],[SC Book Price]])), SnapshotTable[[#This Row],[Last Price]] - SnapshotTable[[#This Row],[SC Book Price]],"")</f>
        <v/>
      </c>
      <c r="EX22" s="219" t="str">
        <f>IF(SnapshotTable[[#This Row],[SC Is Booked]],IF(SnapshotTable[[#This Row],[SC Intrinsic Value]] &gt; 0, SnapshotTable[[#This Row],[SC Strike Price]], SnapshotTable[[#This Row],[Last Price]]), "")</f>
        <v/>
      </c>
      <c r="EY22" s="4">
        <f>IF(SnapshotTable[[#This Row],[SC Is Booked]], (MinimumPremiumRequired * SnapshotTable[[#This Row],[SC Basis]] * SnapshotTable[[#This Row],[SC Term]]), 0)</f>
        <v>0</v>
      </c>
      <c r="EZ22" s="268"/>
      <c r="FA22" s="204"/>
      <c r="FB22" s="340"/>
      <c r="FC22" s="4">
        <f>IF(SnapshotTable[[#This Row],[SC Is Filled]], btc_max_buyback_amount(SnapshotTable[[#This Row],[SC Fill Date]],SnapshotTable[[#This Row],[SC Exp Date]], SnapshotTable[[#This Row],[SC Book Price]]),0)</f>
        <v>0</v>
      </c>
      <c r="FD22" s="5"/>
      <c r="FE22" s="142" t="str">
        <f>IF(SnapshotTable[[#This Row],[SC Is Filled]], btc_next_cutoff_date(SnapshotTable[[#This Row],[SC Fill Date]],SnapshotTable[[#This Row],[SC Exp Date]]),"")</f>
        <v/>
      </c>
      <c r="FF22" s="4" t="str" cm="1">
        <f t="array" ref="FF22">IF(SnapshotTable[[#This Row],[SC Is Filled]], btc_should_buy_back(SnapshotTable[[#This Row],[SC Fill Date]], SnapshotTable[[#This Row],[SC Exp Date]], SnapshotTable[[#This Row],[SC Book Price]], SnapshotTable[[#This Row],[SC Current Ask]], MockToday, SnapshotTable[[#This Row],[SC Buyback Override]]),"")</f>
        <v/>
      </c>
      <c r="FG22" s="4">
        <f>IF(SnapshotTable[[#This Row],[SC Is Filled]], MAX(0,SnapshotTable[[#This Row],[Last Price]]  - SnapshotTable[[#This Row],[SC Strike Price]]), 0)</f>
        <v>0</v>
      </c>
      <c r="FH22" s="352">
        <f>IF(SnapshotTable[[#This Row],[SC Is Filled]], IF(ISNUMBER(SnapshotTable[[#This Row],[SC Current Ask]]), SnapshotTable[[#This Row],[SC Current Ask]], SnapshotTable[[#This Row],[SC Book Price]]) - SnapshotTable[[#This Row],[SC Intrinsic Value]], 0)</f>
        <v>0</v>
      </c>
      <c r="FI22" s="141">
        <v>45786</v>
      </c>
      <c r="FJ22" s="32" t="str">
        <f>IF(SnapshotTable[[#This Row],[SC Is Filled]],100 * SnapshotTable[[#This Row],[SC Qty]] * IF(ISNUMBER(SnapshotTable[[#This Row],[SC Buyback Override]]), SnapshotTable[[#This Row],[SC Buyback Override]], SnapshotTable[[#This Row],[SC Current Ask]]), "")</f>
        <v/>
      </c>
      <c r="FK22" s="235" t="str">
        <f>IF(SnapshotTable[[#This Row],[SC Time Val]]&gt;0, SnapshotTable[[#This Row],[SC Time Val]] / SnapshotTable[[#This Row],[Last Price]],"")</f>
        <v/>
      </c>
      <c r="FL22" s="280" t="str">
        <f>IF(SnapshotTable[[#This Row],[SC Is Booked]], ((SnapshotTable[[#This Row],[Last Price]] -SnapshotTable[[#This Row],[SC Strike Price]]) / SnapshotTable[[#This Row],[Last Price]]) * -1, "")</f>
        <v/>
      </c>
      <c r="FM22" s="155" t="str">
        <f>IF(SnapshotTable[[#This Row],[SC Is Booked]],  (SnapshotTable[[#This Row],[SC Qty]] * 100 * SnapshotTable[[#This Row],[SC Strike Price]]) - SnapshotTable[[#This Row],[SC Current Ask]], "")</f>
        <v/>
      </c>
      <c r="FN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 s="31" t="str">
        <f>IF(AND(ISNUMBER(SnapshotTable[[#This Row],[SC Exercise Gross]]), ISNUMBER(SnapshotTable[[#This Row],[Equity Basis Per Share]] )), SnapshotTable[[#This Row],[SC Exercise Gross]] - SnapshotTable[[#This Row],[Equity Basis Total]] +  SnapshotTable[[#This Row],[SC Premium]], "")</f>
        <v/>
      </c>
      <c r="FP22" s="5" t="str">
        <f>IF(ISNUMBER(SnapshotTable[[#This Row],[SC Exercise Gross]]), (SnapshotTable[[#This Row],[SC Exercise Gross]]) / (SnapshotTable[[#This Row],[SC Qty]] * 100), "")</f>
        <v/>
      </c>
      <c r="FQ22" s="27" t="str">
        <f>IF(SnapshotTable[[#This Row],[SC Is Booked]],SnapshotTable[[#This Row],[SC Time Val]] /SnapshotTable[[#This Row],[SC Basis]], "")</f>
        <v/>
      </c>
      <c r="FR22" s="27" t="str" cm="1">
        <f t="array" ref="FR22">IF(AND(ISNUMBER(SnapshotTable[[#This Row],[SC Term]]),ISNUMBER(SnapshotTable[[#This Row],[SC Simple ROO]])), EllmanAnnualize(SnapshotTable[[#This Row],[SC DTE]], SnapshotTable[[#This Row],[SC Simple ROO]] ),"")</f>
        <v/>
      </c>
      <c r="FS22" s="4">
        <f>IF(SnapshotTable[[#This Row],[SC Strike Price]] &gt; SnapshotTable[[#This Row],[Last Price]], SnapshotTable[[#This Row],[SC Strike Price]] - SnapshotTable[[#This Row],[Last Price]],0)</f>
        <v>0</v>
      </c>
      <c r="FT22" s="27" t="str">
        <f>IF(AND(ISNUMBER(SnapshotTable[[#This Row],[SC Upside Potential]]), SnapshotTable[[#This Row],[SC Upside Potential]] &gt; 0),(SnapshotTable[[#This Row],[SC Upside Potential]]/ SnapshotTable[[#This Row],[ACB]]),"")</f>
        <v/>
      </c>
      <c r="FU22" s="304" t="str">
        <f>IF(SnapshotTable[[#This Row],[SC Intrinsic Value]] &gt; 0,SnapshotTable[[#This Row],[SC Intrinsic Value]],"")</f>
        <v/>
      </c>
      <c r="FV22" s="27" t="str">
        <f>IF(AND( ISNUMBER( SnapshotTable[[#This Row],[ACB]]),ISNUMBER(SnapshotTable[[#This Row],[SC Downside Protect]])),SnapshotTable[[#This Row],[SC Downside Protect]] / SnapshotTable[[#This Row],[ACB]],"")</f>
        <v/>
      </c>
      <c r="FW22" s="221" t="str">
        <f>IF(AND(ISNUMBER(SnapshotTable[[#This Row],[SC Simple ROO]]),SnapshotTable[[#This Row],[SC Simple ROO]] &gt; 0), SnapshotTable[[#This Row],[SC Premium]] + (SnapshotTable[[#This Row],[SC Qty]] * SnapshotTable[[#This Row],[SC Upside Potential]]), "")</f>
        <v/>
      </c>
      <c r="FX22" s="280" t="str" cm="1">
        <f t="array" ref="FX22">IF(ISNUMBER(SnapshotTable[[#This Row],[SC Max Dollars]]), annualize(SnapshotTable[[#This Row],[SC Term]],(SnapshotTable[[#This Row],[SC Max Dollars]]/SnapshotTable[[#This Row],[SC Basis]])),"")</f>
        <v/>
      </c>
      <c r="FY22" s="221" t="str">
        <f>IF(AND(SnapshotTable[[#This Row],[SC Qty]]&gt;0,SnapshotTable[[#This Row],[SC Current Ask]]&gt;0), SnapshotTable[[#This Row],[SC Qty]] * SnapshotTable[[#This Row],[SC Current Ask]] * -100, "")</f>
        <v/>
      </c>
      <c r="FZ22" s="31" t="str">
        <f>IF(ISNUMBER((SnapshotTable[[#This Row],[SC Current Value]])), SnapshotTable[[#This Row],[SC Premium]] + SnapshotTable[[#This Row],[SC Current Value]], "")</f>
        <v/>
      </c>
      <c r="GA22" s="272" t="str">
        <f>IFERROR( IF(ISNUMBER((SnapshotTable[[#This Row],[SC Current Value]])), SnapshotTable[[#This Row],[SC Gain Loss]] / SnapshotTable[[#This Row],[SC Premium]], ""), "")</f>
        <v/>
      </c>
      <c r="GB22" s="42">
        <f>SnapshotTable[[#This Row],[Equity Shares]] * SaleSharesToConsiderPercentage</f>
        <v>0</v>
      </c>
      <c r="GC22" s="40">
        <f>SnapshotTable[[#This Row],[Long Term Target]] * SellingPriceToConsiderBasedOnTargetPercentage</f>
        <v>92.928999999999988</v>
      </c>
      <c r="GD22" s="40">
        <f>SnapshotTable[[#This Row],[Last Price]] * (1+ SellingPriceToConsiderBasedOnTargetPercentage)</f>
        <v>259.48649999999998</v>
      </c>
      <c r="GE22" s="41"/>
      <c r="GF22" s="40"/>
      <c r="GG22" s="31">
        <f>SnapshotTable[[#This Row],[Booked Sale Shares]] * SnapshotTable[[#This Row],[Booked Sale Price]]</f>
        <v>0</v>
      </c>
      <c r="GH22" s="31" t="str">
        <f>IF(SnapshotTable[[#This Row],[Equity Basis Total]] &gt; 0, SnapshotTable[[#This Row],[Equity Basis Per Share]] * SnapshotTable[[#This Row],[Booked Sale Shares]], "")</f>
        <v/>
      </c>
      <c r="GI22" s="31">
        <f>IF(SnapshotTable[[#This Row],[Sale Proceeds]]&gt;0, SnapshotTable[[#This Row],[Sale Proceeds]] - SnapshotTable[[#This Row],[Sale Basis]], 0)</f>
        <v>0</v>
      </c>
      <c r="GJ22" s="27" t="str">
        <f>IF(SnapshotTable[[#This Row],[Sale G/L]]&gt;0, SnapshotTable[[#This Row],[Sale G/L]] / SnapshotTable[[#This Row],[Sale Basis]], IF(ISNUMBER(SnapshotTable[[#This Row],[SC Exercise P&amp;L (TAX)]]), SnapshotTable[[#This Row],[SC Exercise P&amp;L (TAX)]] / SnapshotTable[[#This Row],[SC Basis]], ""))</f>
        <v/>
      </c>
      <c r="GK22" s="27" t="s">
        <v>509</v>
      </c>
      <c r="GL22" s="43" t="str">
        <f>IF(AND(SnapshotTable[[#This Row],[LP Exp Date]]&gt;0,SnapshotTable[[#This Row],[LP Strike Price]]&gt;0), [1]!ToOptionSymbol(SnapshotTable[[#This Row],[Symbol]], SnapshotTable[[#This Row],[LP Strike Price]],SnapshotTable[[#This Row],[LP Exp Date]],1), "")</f>
        <v/>
      </c>
      <c r="GM22" s="30" t="str">
        <f>IF(LEN(SnapshotTable[[#This Row],[LP Symbol]])&gt;0, 1, "")</f>
        <v/>
      </c>
      <c r="GN22" s="43" t="str">
        <f>IF(AND(SnapshotTable[[#This Row],[SP Exp Date]]&gt;0,SnapshotTable[[#This Row],[SP Strike Price]]&gt;0), [1]!ToOptionSymbol(SnapshotTable[[#This Row],[Symbol]], SnapshotTable[[#This Row],[SP Strike Price]],SnapshotTable[[#This Row],[SP Exp Date]],1), "")</f>
        <v/>
      </c>
      <c r="GO22" s="30" t="str">
        <f>IF(LEN(SnapshotTable[[#This Row],[SP Symbol]])&gt;0, 1, "")</f>
        <v/>
      </c>
      <c r="GP22" s="43" t="str">
        <f>IF(AND(SnapshotTable[[#This Row],[LC Exp Date]]&gt;0,SnapshotTable[[#This Row],[LC Strike Price]]&gt;0), [1]!ToOptionSymbol(SnapshotTable[[#This Row],[Symbol]], SnapshotTable[[#This Row],[LC Strike Price]],SnapshotTable[[#This Row],[LC Exp Date]],0), "")</f>
        <v/>
      </c>
      <c r="GQ22" s="30" t="str">
        <f>IF(LEN(SnapshotTable[[#This Row],[LC Symbol]])&gt;0, 1, "")</f>
        <v/>
      </c>
      <c r="GR22" s="43" t="str">
        <f>IF(AND(SnapshotTable[[#This Row],[SC Exp Date]]&gt;0,SnapshotTable[[#This Row],[SC Strike Price]]&gt;0), [1]!ToOptionSymbol(SnapshotTable[[#This Row],[Symbol]], SnapshotTable[[#This Row],[SC Strike Price]],SnapshotTable[[#This Row],[SC Exp Date]],0), "")</f>
        <v/>
      </c>
      <c r="GS22" s="30" t="str">
        <f>IF(LEN(SnapshotTable[[#This Row],[SC Symbol]])&gt;0, 1, "")</f>
        <v/>
      </c>
      <c r="GT22" s="29" t="str">
        <f>IF(COUNT(SnapshotTable[[#This Row],[LP Symbol Count]],SnapshotTable[[#This Row],[SP Symbol Count]],SnapshotTable[[#This Row],[LC Symbol Count]],SnapshotTable[[#This Row],[SC Symbol Count]])&gt;0, "Y", "")</f>
        <v/>
      </c>
      <c r="GU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 s="216">
        <f>MAX(SnapshotTable[[#This Row],[Equity Basis Total]],SnapshotTable[[#This Row],[Equity Value]]) + (SnapshotTable[[#This Row],[SP Potential Spend]]- SnapshotTable[[#This Row],[SP Premium]] + SnapshotTable[[#This Row],[LP Premium]])+ (SnapshotTable[[#This Row],[LC Premium]] - SnapshotTable[[#This Row],[SC Premium]])</f>
        <v>0</v>
      </c>
      <c r="GW22" s="137" t="str">
        <f>IF(AND(SnapshotTable[[#This Row],[Exposure]] &lt;&gt; 0),SnapshotTable[[#This Row],[Exposure]] / SnapshotTable[[#Totals],[Exposure]], "")</f>
        <v/>
      </c>
      <c r="HK22" s="1"/>
      <c r="HL22" s="1"/>
      <c r="HM22" s="1"/>
      <c r="HN22" s="1"/>
      <c r="HO22" s="1"/>
      <c r="HP22" s="1"/>
    </row>
    <row r="23" spans="2:224" ht="12.75" hidden="1" customHeight="1" x14ac:dyDescent="0.25">
      <c r="B23" s="12" t="s">
        <v>922</v>
      </c>
      <c r="C23" s="385">
        <v>16.04</v>
      </c>
      <c r="D23" s="200" t="s">
        <v>467</v>
      </c>
      <c r="E23" s="39">
        <f>SnapshotTable[[#This Row],[Last Price]]*(1 -CrashDiscount)</f>
        <v>13.633999999999999</v>
      </c>
      <c r="F23" s="296" t="s">
        <v>816</v>
      </c>
      <c r="G23" s="296" t="s">
        <v>920</v>
      </c>
      <c r="H23" s="147"/>
      <c r="I23" s="186"/>
      <c r="J23" s="187"/>
      <c r="K23" s="188"/>
      <c r="L23" s="297"/>
      <c r="M23" s="138"/>
      <c r="N23" s="138"/>
      <c r="O23" s="138"/>
      <c r="P23" s="22"/>
      <c r="Q23" s="25"/>
      <c r="R23" s="4" t="str">
        <f>IF(SnapshotTable[[#This Row],[Equity Basis Total]] &gt; 0, SnapshotTable[[#This Row],[Equity Basis Total]] / SnapshotTable[[#This Row],[Equity Shares]], "")</f>
        <v/>
      </c>
      <c r="S23" s="254">
        <f>SnapshotTable[[#This Row],[Last Price]] * SnapshotTable[[#This Row],[Equity Shares]]</f>
        <v>0</v>
      </c>
      <c r="T23" s="254">
        <f>SnapshotTable[[#This Row],[Equity Value]] - SnapshotTable[[#This Row],[Equity Basis Total]]</f>
        <v>0</v>
      </c>
      <c r="U23" s="255" t="str">
        <f>IF(SnapshotTable[[#This Row],[Equity Basis Total]] &gt; 0, SnapshotTable[[#This Row],[Equity G/L]] / SnapshotTable[[#This Row],[Equity Basis Total]], "")</f>
        <v/>
      </c>
      <c r="V23" s="253"/>
      <c r="W23" s="253"/>
      <c r="X23" s="4" t="str">
        <f>IF(AND(ISNUMBER(SnapshotTable[[#This Row],[Equity Basis Per Share]]),ISNUMBER(SnapshotTable[[#This Row],[Equity Target]])),SnapshotTable[[#This Row],[Equity Target]]-SnapshotTable[[#This Row],[Equity Basis Per Share]],"")</f>
        <v/>
      </c>
      <c r="Y23" s="4" t="str">
        <f>IF(AND(ISNUMBER(SnapshotTable[[#This Row],[Equity Basis Per Share]]),ISNUMBER(SnapshotTable[[#This Row],[Equity Stop Loss]])),SnapshotTable[[#This Row],[Equity Stop Loss]]-SnapshotTable[[#This Row],[Equity Basis Per Share]],"")</f>
        <v/>
      </c>
      <c r="Z23" s="260" t="str">
        <f>IFERROR( TEXT(SnapshotTable[[#This Row],[Equity Max Gain Per Share]] /ABS( SnapshotTable[[#This Row],[Equity Max Loss Per Share]]),"0.0 " ) &amp; " : 1", "")</f>
        <v/>
      </c>
      <c r="AA23" s="31" t="str">
        <f>IF(ISNUMBER(SnapshotTable[[#This Row],[Equity Max Gain Per Share]]),SnapshotTable[[#This Row],[Equity Max Gain Per Share]] * SnapshotTable[[#This Row],[Equity Shares]],"")</f>
        <v/>
      </c>
      <c r="AB23" s="31" t="str">
        <f>IF(ISNUMBER(SnapshotTable[[#This Row],[Equity Max Loss Per Share]]),SnapshotTable[[#This Row],[Equity Max Loss Per Share]] * SnapshotTable[[#This Row],[Equity Shares]],"")</f>
        <v/>
      </c>
      <c r="AC23" s="148"/>
      <c r="AD23" s="149"/>
      <c r="AE23" s="31">
        <f>(SnapshotTable[[#This Row],[Annual Dividend Per Share]] / 4) * SnapshotTable[[#This Row],[Equity Shares]]</f>
        <v>0</v>
      </c>
      <c r="AF23" s="31">
        <f>SnapshotTable[[#This Row],[Quarterly Div $]] * 4</f>
        <v>0</v>
      </c>
      <c r="AG23" s="7">
        <f>IF(SnapshotTable[[#This Row],[Annual Dividend Per Share]]&gt;0, SnapshotTable[[#This Row],[Annual Dividend Per Share]]  / SnapshotTable[[#This Row],[Last Price]], 0)</f>
        <v>0</v>
      </c>
      <c r="AH23" s="149"/>
      <c r="AI23" s="5"/>
      <c r="AJ23" s="136">
        <v>21</v>
      </c>
      <c r="AK23" s="150" t="str">
        <f>IF(ISNUMBER( SnapshotTable[[#This Row],[EBF Target]]),(SnapshotTable[[#This Row],[EBF Target]] - SnapshotTable[[#This Row],[Last Price]]) / SnapshotTable[[#This Row],[Last Price]], "")</f>
        <v/>
      </c>
      <c r="AL23" s="150" t="str">
        <f>IF(AND(SnapshotTable[[#This Row],[Equity Basis Total]] &gt; 0,ISNUMBER( SnapshotTable[[#This Row],[Long Term Target]])), SnapshotTable[[#This Row],[From Basis $]] / SnapshotTable[[#This Row],[Equity Basis Total]], "")</f>
        <v/>
      </c>
      <c r="AM23" s="9">
        <f>IF( AND(SnapshotTable[[#This Row],[Equity Shares]] &gt;0,ISNUMBER( SnapshotTable[[#This Row],[Long Term Target]])),(SnapshotTable[[#This Row],[Equity Shares]] * SnapshotTable[[#This Row],[Long Term Target]]) - SnapshotTable[[#This Row],[Equity Basis Total]],0)</f>
        <v>0</v>
      </c>
      <c r="AN23" s="9">
        <f>IF( AND(SnapshotTable[[#This Row],[Equity Shares]] &gt;0,ISNUMBER( SnapshotTable[[#This Row],[Long Term Target]])),(SnapshotTable[[#This Row],[Equity Shares]]*SnapshotTable[[#This Row],[Long Term Target]]) - SnapshotTable[[#This Row],[Equity Value]],0)</f>
        <v>0</v>
      </c>
      <c r="AO23" s="150">
        <f>IF(AND(ISNUMBER( SnapshotTable[[#This Row],[Long Term Target]]), ISNUMBER(SnapshotTable[[#This Row],[Last Price]])),(SnapshotTable[[#This Row],[Long Term Target]] - SnapshotTable[[#This Row],[Last Price]]) / SnapshotTable[[#This Row],[Last Price]], "")</f>
        <v>0.30922693266832924</v>
      </c>
      <c r="AP23" s="5">
        <v>17</v>
      </c>
      <c r="AQ23" s="38" t="s">
        <v>59</v>
      </c>
      <c r="AR23" s="5">
        <v>13.3</v>
      </c>
      <c r="AS23" s="38" t="s">
        <v>19</v>
      </c>
      <c r="AT23" s="144" t="s">
        <v>886</v>
      </c>
      <c r="AU23" s="185" t="str">
        <f>IF(OR(SnapshotTable[[#This Row],[LP No Fill]]="Y",SnapshotTable[[#This Row],[SP Is Filled]],SnapshotTable[[#This Row],[LC Not Filled]]="Y",SnapshotTable[[#This Row],[SC Is Filled]]),"Y","")</f>
        <v/>
      </c>
      <c r="AV23" s="205"/>
      <c r="AW23" s="211"/>
      <c r="AX23" s="206"/>
      <c r="AY23" s="205" t="str">
        <f>IF(SnapshotTable[[#This Row],[Implied Move]]&gt;0, SnapshotTable[[#This Row],[Last Price]]-SnapshotTable[[#This Row],[Implied Move]],"")</f>
        <v/>
      </c>
      <c r="AZ23" s="205" t="str">
        <f>IF(SnapshotTable[[#This Row],[Implied Move]]&gt;0, SnapshotTable[[#This Row],[Last Price]] + SnapshotTable[[#This Row],[Implied Move]],"")</f>
        <v/>
      </c>
      <c r="BA23" s="302">
        <v>12.69</v>
      </c>
      <c r="BB23" s="318"/>
      <c r="BC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 s="321"/>
      <c r="BE23" s="5"/>
      <c r="BF23" s="14"/>
      <c r="BG23" s="13"/>
      <c r="BH23" s="13"/>
      <c r="BI23" s="5"/>
      <c r="BJ23" s="134">
        <f>IF(SnapshotTable[[#This Row],[LP Qty]] &gt; 0, SnapshotTable[[#This Row],[LP Qty]] * SnapshotTable[[#This Row],[LP Book Price]] * 100,0)</f>
        <v>0</v>
      </c>
      <c r="BK23" s="134">
        <f>IF(SnapshotTable[[#This Row],[LP Premium]] &gt; 0, SnapshotTable[[#This Row],[LP Qty]] * SnapshotTable[[#This Row],[LP Strike Price]] * 100,0)</f>
        <v>0</v>
      </c>
      <c r="BL23" s="152"/>
      <c r="BM23" s="355" t="str">
        <f>IF(SnapshotTable[[#This Row],[LP Premium]] &gt; 0,SnapshotTable[[#This Row],[LP Exp Date]]-MAX(SnapshotTable[[#This Row],[LP Book Date]], SnapshotTable[[#This Row],[LP Fill Date]]),"")</f>
        <v/>
      </c>
      <c r="BN23" s="355" t="str">
        <f>IF(ISNUMBER( SnapshotTable[[#This Row],[LP Term]]), SnapshotTable[[#This Row],[LP Exp Date]] - MockToday,"")</f>
        <v/>
      </c>
      <c r="BO23" s="161" t="str">
        <f>IF(AND(SnapshotTable[[#This Row],[LP Exp Date]]&gt;0, SnapshotTable[[#This Row],[LP Strike Price]]&gt;0,SnapshotTable[[#This Row],[LP Qty]]&gt;0,SnapshotTable[[#This Row],[LP Book Date]]&gt;0,SnapshotTable[[#This Row],[LP Book Price]]&gt;0,SnapshotTable[[#This Row],[LP Fill Date]]=0),"Y","")</f>
        <v/>
      </c>
      <c r="BP23" s="31" t="str">
        <f>IF(AND(SnapshotTable[[#This Row],[LP No Fill]]&lt;&gt;"Y",SnapshotTable[[#This Row],[LP Contract Value]]&gt;0, SnapshotTable[[#This Row],[LP Qty]]&gt;0), SnapshotTable[[#This Row],[LP Contract Value]]*SnapshotTable[[#This Row],[LP Qty]]*100,"")</f>
        <v/>
      </c>
      <c r="BQ23" s="13"/>
      <c r="BR23" s="5"/>
      <c r="BS23" s="36"/>
      <c r="BT23" s="145"/>
      <c r="BU23" s="13"/>
      <c r="BV23" s="5"/>
      <c r="BW23" s="382" t="b">
        <f>AND(ISNUMBER(SnapshotTable[[#This Row],[SP Exp Date]]), ISNUMBER(SnapshotTable[[#This Row],[SP Strike Price]]), ISNUMBER(SnapshotTable[[#This Row],[SP Qty]]), ISNUMBER(SnapshotTable[[#This Row],[SP Book Date]]), ISNUMBER(SnapshotTable[[#This Row],[SP Book Price]]))</f>
        <v>0</v>
      </c>
      <c r="BX23" s="382" t="b">
        <f>AND(SnapshotTable[[#This Row],[SP Is Booked]], NOT(ISBLANK(SnapshotTable[[#This Row],[SP Fill Date]])))</f>
        <v>0</v>
      </c>
      <c r="BY23" s="33">
        <f>IF(SnapshotTable[[#This Row],[SP Is Booked]], SnapshotTable[[#This Row],[SP Qty]] * SnapshotTable[[#This Row],[SP Book Price]] * 100, 0)</f>
        <v>0</v>
      </c>
      <c r="BZ23" s="339"/>
      <c r="CA23" s="338">
        <f>SnapshotTable[[#This Row],[LP Qty]]</f>
        <v>0</v>
      </c>
      <c r="CB23" s="4" t="str">
        <f>IF(SnapshotTable[[#This Row],[SP Is Booked]], SnapshotTable[[#This Row],[SP Strike Price]] - SnapshotTable[[#This Row],[SP Book Price]], "")</f>
        <v/>
      </c>
      <c r="CC23" s="19" t="str">
        <f>IF(SnapshotTable[[#This Row],[SP Is Booked]],SnapshotTable[[#This Row],[SP Exp Date]]-MAX(SnapshotTable[[#This Row],[SP Book Date]], SnapshotTable[[#This Row],[SP Fill Date]]),"")</f>
        <v/>
      </c>
      <c r="CD23" s="7" t="str">
        <f>IF(SnapshotTable[[#This Row],[SP Is Booked]], SnapshotTable[[#This Row],[SP Book Price]]/SnapshotTable[[#This Row],[SP Strike Price]], "")</f>
        <v/>
      </c>
      <c r="CE23" s="7" t="str">
        <f>IF(ISNUMBER(SnapshotTable[[#This Row],[SP ROO Term]]),SnapshotTable[[#This Row],[SP ROO Term]]*(365/SnapshotTable[[#This Row],[SP Term]]),"")</f>
        <v/>
      </c>
      <c r="CF23" s="221">
        <f>SnapshotTable[[#This Row],[LP Strike Price]] * SnapshotTable[[#This Row],[LP Qty]] * 100</f>
        <v>0</v>
      </c>
      <c r="CG23" s="31">
        <f>IF(ISNUMBER(SnapshotTable[[#This Row],[SP Premium]]), (SnapshotTable[[#This Row],[SP Qty]] * SnapshotTable[[#This Row],[SP Strike Price]]* 100) - SnapshotTable[[#This Row],[LP Protection]], 0)</f>
        <v>0</v>
      </c>
      <c r="CH23" s="7" t="str">
        <f>IF(ISNUMBER(SnapshotTable[[#This Row],[SP Break Even]]),-1 * (SnapshotTable[[#This Row],[SP Break Even]] - SnapshotTable[[#This Row],[Last Price]]) / SnapshotTable[[#This Row],[Last Price]], "")</f>
        <v/>
      </c>
      <c r="CI23" s="31">
        <f>IF(AND(ISNUMBER((SnapshotTable[[#This Row],[SP Potential Spend]])), SnapshotTable[[#This Row],[SP Strike Price]] &gt; SnapshotTable[[#This Row],[Last Price]], SnapshotTable[[#This Row],[SP Is Filled]]), SnapshotTable[[#This Row],[SP Potential Spend]] -  SnapshotTable[[#This Row],[LP Max Value]], 0)</f>
        <v>0</v>
      </c>
      <c r="CJ23" s="229"/>
      <c r="CK23" s="31">
        <f>IF(ISNUMBER(SnapshotTable[[#This Row],[SP Potential Spend]]),IF(ISNUMBER(SnapshotTable[[#This Row],[SP POW]]), SnapshotTable[[#This Row],[SP POW]] * SnapshotTable[[#This Row],[SP Potential Spend]], SnapshotTable[[#This Row],[SP Potential Spend]]), "")</f>
        <v>0</v>
      </c>
      <c r="CL23" s="162">
        <f>IF(NOT(SnapshotTable[[#This Row],[SP Is Filled]]),(SnapshotTable[[#This Row],[SP Qty]] * SnapshotTable[[#This Row],[SP Strike Price]] * 100) - SnapshotTable[[#This Row],[LP Max Value]],"")</f>
        <v>0</v>
      </c>
      <c r="CM23" s="31" t="str">
        <f>IF(SnapshotTable[[#This Row],[SP Actual Spend]]&lt;&gt;0, ((SnapshotTable[[#This Row],[SP Strike Price]]-SnapshotTable[[#This Row],[Last Price]]) *(SnapshotTable[[#This Row],[SP Qty]]*100) - SnapshotTable[[#This Row],[SP Premium]]) * - 1, "")</f>
        <v/>
      </c>
      <c r="CN23" s="76"/>
      <c r="CO23" s="339"/>
      <c r="CP23" s="4" t="str">
        <f>IF(SnapshotTable[[#This Row],[SP Is Filled]], btc_max_buyback_amount(SnapshotTable[[#This Row],[SP Fill Date]],SnapshotTable[[#This Row],[SP Exp Date]], SnapshotTable[[#This Row],[SP Book Price]]),"")</f>
        <v/>
      </c>
      <c r="CQ23" s="76"/>
      <c r="CR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 s="153" t="str">
        <f>IF(SnapshotTable[[#This Row],[SP Is Filled]], btc_next_cutoff_date(SnapshotTable[[#This Row],[SP Fill Date]],SnapshotTable[[#This Row],[SP Exp Date]]),"")</f>
        <v/>
      </c>
      <c r="CT23" s="220" t="str" cm="1">
        <f t="array" ref="CT23">IF(SnapshotTable[[#This Row],[SP Is Filled]], btc_should_buy_back(SnapshotTable[[#This Row],[SP Fill Date]], SnapshotTable[[#This Row],[SP Exp Date]], SnapshotTable[[#This Row],[SP Book Price]], SnapshotTable[[#This Row],[SP Current Ask]], MockToday, SnapshotTable[[#This Row],[SP Buyback Override]]),"")</f>
        <v/>
      </c>
      <c r="CU23" s="141"/>
      <c r="CV23" s="220"/>
      <c r="CW23" s="348" t="str">
        <f>IF(ISNUMBER( SnapshotTable[[#This Row],[SP Term]]), SnapshotTable[[#This Row],[SP Exp Date]] - MockToday,"")</f>
        <v/>
      </c>
      <c r="CX23" s="31" t="str">
        <f>IF(SnapshotTable[[#This Row],[SP Is Filled]],SnapshotTable[[#This Row],[SP Buyback Price to Use]] * 100 * SnapshotTable[[#This Row],[SP Qty]], "")</f>
        <v/>
      </c>
      <c r="CY23" s="4" t="str">
        <f>IF(ISNUMBER(SnapshotTable[[#This Row],[SP Strike Price]]), SnapshotTable[[#This Row],[SP Strike Price]] * (1 - SP_MaxLoss_StrikePct), "")</f>
        <v/>
      </c>
      <c r="CZ23" s="31" t="str">
        <f>IF(ISNUMBER(SnapshotTable[[#This Row],[SP Strike  Stop Per Share]]),SnapshotTable[[#This Row],[SP Premium]] - ((SnapshotTable[[#This Row],[SP Strike Price]]-SnapshotTable[[#This Row],[SP Strike  Stop Per Share]]) *(SnapshotTable[[#This Row],[SP Qty]] * 100)),"")</f>
        <v/>
      </c>
      <c r="DA23" s="4" t="str">
        <f>IF(AND(ISNUMBER(SnapshotTable[[#This Row],[SP Premium]]),SnapshotTable[[#This Row],[SP Premium]]&gt;0), SnapshotTable[[#This Row],[SP Book Price]] * (1 + SP_MaxLoss_OptionPct), "")</f>
        <v/>
      </c>
      <c r="DB23" s="31" t="str">
        <f>IF(ISNUMBER(SnapshotTable[[#This Row],[SP Option  Stop Contract]]),(SnapshotTable[[#This Row],[SP Option  Stop Contract]] *(SnapshotTable[[#This Row],[SP Qty]] * 100) - SnapshotTable[[#This Row],[SP Premium]]),"")</f>
        <v/>
      </c>
      <c r="DC23" s="4"/>
      <c r="DD23" s="4"/>
      <c r="DE23" s="4" t="str">
        <f>IF(AND(SnapshotTable[[#This Row],[SP Qty]]&gt;0, SnapshotTable[[#This Row],[SP Stop To Use]]&gt;0),SnapshotTable[[#This Row],[SP Premium]] - ( SnapshotTable[[#This Row],[SP Qty]] * SnapshotTable[[#This Row],[SP Stop To Use]] * 100), "")</f>
        <v/>
      </c>
      <c r="DF23" s="31" t="str">
        <f>IF(AND(SnapshotTable[[#This Row],[SP Qty]]&gt;0,SnapshotTable[[#This Row],[SP Current Ask]]&gt;0), SnapshotTable[[#This Row],[SP Qty]] * SnapshotTable[[#This Row],[SP Current Ask]] * -100, "")</f>
        <v/>
      </c>
      <c r="DG23" s="31" t="str">
        <f>IF(ISNUMBER((SnapshotTable[[#This Row],[SP Total Value]])), SnapshotTable[[#This Row],[SP Premium]] + SnapshotTable[[#This Row],[SP Total Value]], "")</f>
        <v/>
      </c>
      <c r="DH23" s="272" t="str">
        <f>IF(ISNUMBER((SnapshotTable[[#This Row],[SP Total Value]])), SnapshotTable[[#This Row],[SP Gain Loss]] / SnapshotTable[[#This Row],[SP Premium]], "")</f>
        <v/>
      </c>
      <c r="DI23" s="369"/>
      <c r="DJ23" s="136"/>
      <c r="DK23" s="146"/>
      <c r="DL23" s="145"/>
      <c r="DM23" s="145"/>
      <c r="DO23" s="31">
        <f>IF(SnapshotTable[[#This Row],[LC Symbol Count]]=1, SnapshotTable[[#This Row],[LC Qty]] * SnapshotTable[[#This Row],[LC Book Price]] * 100, 0)</f>
        <v>0</v>
      </c>
      <c r="DP23" s="161" t="str">
        <f>IF(AND(SnapshotTable[[#This Row],[LC Exp Date]]&gt;0, SnapshotTable[[#This Row],[LC Strike Price]]&gt;0,SnapshotTable[[#This Row],[LC Qty]]&gt;0,SnapshotTable[[#This Row],[LC Book Date]]&gt;0,SnapshotTable[[#This Row],[LC Book Price]]&gt;0,SnapshotTable[[#This Row],[LC Fill Date]]=0),"Y","")</f>
        <v/>
      </c>
      <c r="DQ23" s="356" t="str">
        <f>IF(SnapshotTable[[#This Row],[LC Premium]] &gt; 0,SnapshotTable[[#This Row],[LC Exp Date]]-MAX(SnapshotTable[[#This Row],[LC Book Date]], SnapshotTable[[#This Row],[LC Fill Date]]),"")</f>
        <v/>
      </c>
      <c r="DR23" s="356" t="str">
        <f>IF(ISNUMBER(SnapshotTable[[#This Row],[LC Term]]), SnapshotTable[[#This Row],[LC Exp Date]] - MockToday, "")</f>
        <v/>
      </c>
      <c r="DS23" s="219" t="str">
        <f>IF(SnapshotTable[[#This Row],[LC Premium]]&gt;0,SnapshotTable[[#This Row],[LC Strike Price]] + SnapshotTable[[#This Row],[LC Book Price]],"")</f>
        <v/>
      </c>
      <c r="DU23" s="9" t="str">
        <f>IF(AND(SnapshotTable[[#This Row],[LC Symbol Count]]&gt;0, SnapshotTable[[#This Row],[LC Contract Value]]&gt;0), SnapshotTable[[#This Row],[LC Contract Value]] * SnapshotTable[[#This Row],[LC Qty]] * 100, "")</f>
        <v/>
      </c>
      <c r="DV23" s="9" t="str">
        <f>IF(AND(ISNUMBER(SnapshotTable[[#This Row],[LC Total Value]]), SnapshotTable[[#This Row],[LC Not Filled]]&lt;&gt;"Y"), SnapshotTable[[#This Row],[LC Total Value]]-SnapshotTable[[#This Row],[LC Premium]],"")</f>
        <v/>
      </c>
      <c r="DW23" s="225" t="str">
        <f>IF(ISNUMBER(SnapshotTable[[#This Row],[LC Actual Gain Loss]]), SnapshotTable[[#This Row],[LC Actual Gain Loss]] / SnapshotTable[[#This Row],[LC Premium]],"")</f>
        <v/>
      </c>
      <c r="DX23" s="269" t="str">
        <f>IF(ISNUMBER(SnapshotTable[[#This Row],[LC Book Price]]),SnapshotTable[[#This Row],[LC Book Price]] * 1.5,"")</f>
        <v/>
      </c>
      <c r="DY23" s="250" t="str">
        <f>IF(SnapshotTable[[#This Row],[LC Premium]]&gt;0, SnapshotTable[[#This Row],[LC Next Target]] * SnapshotTable[[#This Row],[LC Qty]] * 100,"")</f>
        <v/>
      </c>
      <c r="DZ23" s="250" t="str">
        <f>IF(ISNUMBER(SnapshotTable[[#This Row],[LC Target Gross]]), SnapshotTable[[#This Row],[LC Target Gross]] - SnapshotTable[[#This Row],[LC Premium]], "")</f>
        <v/>
      </c>
      <c r="EA23" s="283" t="str">
        <f>IF(ISNUMBER(SnapshotTable[[#This Row],[LC Target Gain Loss]]), SnapshotTable[[#This Row],[LC Target Gain Loss]]/SnapshotTable[[#This Row],[LC Premium]], "")</f>
        <v/>
      </c>
      <c r="EB23" s="247"/>
      <c r="EC23" s="268" t="str">
        <f>IF(SnapshotTable[[#This Row],[LC Premium]]&gt;0, SnapshotTable[[#This Row],[LC Book Price]] * (1 - LC_StopLoss_Pct),"")</f>
        <v/>
      </c>
      <c r="ED23" s="269"/>
      <c r="EE23" s="268" t="str">
        <f>IF(ISNUMBER(SnapshotTable[[#This Row],[LC Contract Value]]),IF(ISNUMBER(SnapshotTable[[#This Row],[LC Stop Loss Override]]), SnapshotTable[[#This Row],[LC Stop Loss Override]],SnapshotTable[[#This Row],[LC Stop Loss Calc Target]]),"")</f>
        <v/>
      </c>
      <c r="EF23" s="31" t="str">
        <f>IF(ISNUMBER(SnapshotTable[[#This Row],[LC Stop  To Use]]), (SnapshotTable[[#This Row],[LC Stop  To Use]] * SnapshotTable[[#This Row],[LC Qty]] * 100),"")</f>
        <v/>
      </c>
      <c r="EG23" s="9" t="str">
        <f>IF(ISNUMBER(SnapshotTable[[#This Row],[LC Total Value]]),SnapshotTable[[#This Row],[LC Stop Loss Amount]] - SnapshotTable[[#This Row],[LC Premium]],"")</f>
        <v/>
      </c>
      <c r="EH23" s="9">
        <f>IF(ISNUMBER(SnapshotTable[[#This Row],[LC Premium]]), SnapshotTable[[#This Row],[LC Qty]] * 100 * SnapshotTable[[#This Row],[LC Strike Price]], "")</f>
        <v>0</v>
      </c>
      <c r="EI23" s="225" t="str">
        <f>IF(AND(ISNUMBER(SnapshotTable[[#This Row],[LC Total Value]]),SnapshotTable[[#This Row],[LC Total Value]]&gt;0),SnapshotTable[[#This Row],[LC Stop Gain Loss]]  / SnapshotTable[[#This Row],[LC Premium]],"")</f>
        <v/>
      </c>
      <c r="EJ23" s="35">
        <f>IF(ISNUMBER(SnapshotTable[[#This Row],[Equity Shares]]),TRUNC(SnapshotTable[[#This Row],[Equity Shares]] / 100),0) + SnapshotTable[[#This Row],[LC Qty]]</f>
        <v>0</v>
      </c>
      <c r="EK23" s="145"/>
      <c r="EL23" s="136"/>
      <c r="EM23" s="146"/>
      <c r="EN23" s="145"/>
      <c r="EO23" s="145"/>
      <c r="EP23" s="136"/>
      <c r="EQ23" s="382" t="b">
        <f>AND(ISNUMBER(SnapshotTable[[#This Row],[SC Exp Date]]), ISNUMBER(SnapshotTable[[#This Row],[SC Strike Price]]), ISNUMBER(SnapshotTable[[#This Row],[SC Qty]]), ISNUMBER(SnapshotTable[[#This Row],[SC Book Date]]), ISNUMBER(SnapshotTable[[#This Row],[SC Book Price]]))</f>
        <v>0</v>
      </c>
      <c r="ER23" s="382" t="b">
        <f>AND(SnapshotTable[[#This Row],[SC Is Booked]], NOT(ISBLANK(SnapshotTable[[#This Row],[SC Fill Date]])))</f>
        <v>0</v>
      </c>
      <c r="ES23" s="340"/>
      <c r="ET23" s="34" t="str">
        <f>IF(AND(ISNUMBER(SnapshotTable[[#This Row],[SC Exp Date]]), ISNUMBER(SnapshotTable[[#This Row],[SC Book Date]])), SnapshotTable[[#This Row],[SC Exp Date]] - MAX(SnapshotTable[[#This Row],[SC Book Date]], SnapshotTable[[#This Row],[SC Fill Date]]) + 1, "")</f>
        <v/>
      </c>
      <c r="EU23" s="34" t="str">
        <f>IF(ISNUMBER(SnapshotTable[[#This Row],[SC Term]]), SnapshotTable[[#This Row],[SC Exp Date]]- MockToday, "")</f>
        <v/>
      </c>
      <c r="EV23" s="31">
        <f>IF(SnapshotTable[[#This Row],[SC Is Booked]], SnapshotTable[[#This Row],[SC Qty]] * SnapshotTable[[#This Row],[SC Book Price]] * 100, 0)</f>
        <v>0</v>
      </c>
      <c r="EW23" s="4" t="str">
        <f>IF(AND(ISNUMBER(SnapshotTable[[#This Row],[Last Price]]), ISNUMBER( SnapshotTable[[#This Row],[SC Book Price]])), SnapshotTable[[#This Row],[Last Price]] - SnapshotTable[[#This Row],[SC Book Price]],"")</f>
        <v/>
      </c>
      <c r="EX23" s="219" t="str">
        <f>IF(SnapshotTable[[#This Row],[SC Is Booked]],IF(SnapshotTable[[#This Row],[SC Intrinsic Value]] &gt; 0, SnapshotTable[[#This Row],[SC Strike Price]], SnapshotTable[[#This Row],[Last Price]]), "")</f>
        <v/>
      </c>
      <c r="EY23" s="4">
        <f>IF(SnapshotTable[[#This Row],[SC Is Booked]], (MinimumPremiumRequired * SnapshotTable[[#This Row],[SC Basis]] * SnapshotTable[[#This Row],[SC Term]]), 0)</f>
        <v>0</v>
      </c>
      <c r="EZ23" s="268"/>
      <c r="FA23" s="204"/>
      <c r="FB23" s="340"/>
      <c r="FC23" s="4">
        <f>IF(SnapshotTable[[#This Row],[SC Is Filled]], btc_max_buyback_amount(SnapshotTable[[#This Row],[SC Fill Date]],SnapshotTable[[#This Row],[SC Exp Date]], SnapshotTable[[#This Row],[SC Book Price]]),0)</f>
        <v>0</v>
      </c>
      <c r="FD23" s="5"/>
      <c r="FE23" s="142" t="str">
        <f>IF(SnapshotTable[[#This Row],[SC Is Filled]], btc_next_cutoff_date(SnapshotTable[[#This Row],[SC Fill Date]],SnapshotTable[[#This Row],[SC Exp Date]]),"")</f>
        <v/>
      </c>
      <c r="FF23" s="4" t="str" cm="1">
        <f t="array" ref="FF23">IF(SnapshotTable[[#This Row],[SC Is Filled]], btc_should_buy_back(SnapshotTable[[#This Row],[SC Fill Date]], SnapshotTable[[#This Row],[SC Exp Date]], SnapshotTable[[#This Row],[SC Book Price]], SnapshotTable[[#This Row],[SC Current Ask]], MockToday, SnapshotTable[[#This Row],[SC Buyback Override]]),"")</f>
        <v/>
      </c>
      <c r="FG23" s="4">
        <f>IF(SnapshotTable[[#This Row],[SC Is Filled]], MAX(0,SnapshotTable[[#This Row],[Last Price]]  - SnapshotTable[[#This Row],[SC Strike Price]]), 0)</f>
        <v>0</v>
      </c>
      <c r="FH23" s="352">
        <f>IF(SnapshotTable[[#This Row],[SC Is Filled]], IF(ISNUMBER(SnapshotTable[[#This Row],[SC Current Ask]]), SnapshotTable[[#This Row],[SC Current Ask]], SnapshotTable[[#This Row],[SC Book Price]]) - SnapshotTable[[#This Row],[SC Intrinsic Value]], 0)</f>
        <v>0</v>
      </c>
      <c r="FI23" s="141"/>
      <c r="FJ23" s="32" t="str">
        <f>IF(SnapshotTable[[#This Row],[SC Is Filled]],100 * SnapshotTable[[#This Row],[SC Qty]] * IF(ISNUMBER(SnapshotTable[[#This Row],[SC Buyback Override]]), SnapshotTable[[#This Row],[SC Buyback Override]], SnapshotTable[[#This Row],[SC Current Ask]]), "")</f>
        <v/>
      </c>
      <c r="FK23" s="235" t="str">
        <f>IF(SnapshotTable[[#This Row],[SC Time Val]]&gt;0, SnapshotTable[[#This Row],[SC Time Val]] / SnapshotTable[[#This Row],[Last Price]],"")</f>
        <v/>
      </c>
      <c r="FL23" s="280" t="str">
        <f>IF(SnapshotTable[[#This Row],[SC Is Booked]], ((SnapshotTable[[#This Row],[Last Price]] -SnapshotTable[[#This Row],[SC Strike Price]]) / SnapshotTable[[#This Row],[Last Price]]) * -1, "")</f>
        <v/>
      </c>
      <c r="FM23" s="155" t="str">
        <f>IF(SnapshotTable[[#This Row],[SC Is Booked]],  (SnapshotTable[[#This Row],[SC Qty]] * 100 * SnapshotTable[[#This Row],[SC Strike Price]]) - SnapshotTable[[#This Row],[SC Current Ask]], "")</f>
        <v/>
      </c>
      <c r="FN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 s="31" t="str">
        <f>IF(AND(ISNUMBER(SnapshotTable[[#This Row],[SC Exercise Gross]]), ISNUMBER(SnapshotTable[[#This Row],[Equity Basis Per Share]] )), SnapshotTable[[#This Row],[SC Exercise Gross]] - SnapshotTable[[#This Row],[Equity Basis Total]] +  SnapshotTable[[#This Row],[SC Premium]], "")</f>
        <v/>
      </c>
      <c r="FP23" s="5" t="str">
        <f>IF(ISNUMBER(SnapshotTable[[#This Row],[SC Exercise Gross]]), (SnapshotTable[[#This Row],[SC Exercise Gross]]) / (SnapshotTable[[#This Row],[SC Qty]] * 100), "")</f>
        <v/>
      </c>
      <c r="FQ23" s="27" t="str">
        <f>IF(SnapshotTable[[#This Row],[SC Is Booked]],SnapshotTable[[#This Row],[SC Time Val]] /SnapshotTable[[#This Row],[SC Basis]], "")</f>
        <v/>
      </c>
      <c r="FR23" s="27" t="str" cm="1">
        <f t="array" ref="FR23">IF(AND(ISNUMBER(SnapshotTable[[#This Row],[SC Term]]),ISNUMBER(SnapshotTable[[#This Row],[SC Simple ROO]])), EllmanAnnualize(SnapshotTable[[#This Row],[SC DTE]], SnapshotTable[[#This Row],[SC Simple ROO]] ),"")</f>
        <v/>
      </c>
      <c r="FS23" s="4">
        <f>IF(SnapshotTable[[#This Row],[SC Strike Price]] &gt; SnapshotTable[[#This Row],[Last Price]], SnapshotTable[[#This Row],[SC Strike Price]] - SnapshotTable[[#This Row],[Last Price]],0)</f>
        <v>0</v>
      </c>
      <c r="FT23" s="27" t="str">
        <f>IF(AND(ISNUMBER(SnapshotTable[[#This Row],[SC Upside Potential]]), SnapshotTable[[#This Row],[SC Upside Potential]] &gt; 0),(SnapshotTable[[#This Row],[SC Upside Potential]]/ SnapshotTable[[#This Row],[ACB]]),"")</f>
        <v/>
      </c>
      <c r="FU23" s="304" t="str">
        <f>IF(SnapshotTable[[#This Row],[SC Intrinsic Value]] &gt; 0,SnapshotTable[[#This Row],[SC Intrinsic Value]],"")</f>
        <v/>
      </c>
      <c r="FV23" s="27" t="str">
        <f>IF(AND( ISNUMBER( SnapshotTable[[#This Row],[ACB]]),ISNUMBER(SnapshotTable[[#This Row],[SC Downside Protect]])),SnapshotTable[[#This Row],[SC Downside Protect]] / SnapshotTable[[#This Row],[ACB]],"")</f>
        <v/>
      </c>
      <c r="FW23" s="221" t="str">
        <f>IF(AND(ISNUMBER(SnapshotTable[[#This Row],[SC Simple ROO]]),SnapshotTable[[#This Row],[SC Simple ROO]] &gt; 0), SnapshotTable[[#This Row],[SC Premium]] + (SnapshotTable[[#This Row],[SC Qty]] * SnapshotTable[[#This Row],[SC Upside Potential]]), "")</f>
        <v/>
      </c>
      <c r="FX23" s="280" t="str" cm="1">
        <f t="array" ref="FX23">IF(ISNUMBER(SnapshotTable[[#This Row],[SC Max Dollars]]), annualize(SnapshotTable[[#This Row],[SC Term]],(SnapshotTable[[#This Row],[SC Max Dollars]]/SnapshotTable[[#This Row],[SC Basis]])),"")</f>
        <v/>
      </c>
      <c r="FY23" s="221" t="str">
        <f>IF(AND(SnapshotTable[[#This Row],[SC Qty]]&gt;0,SnapshotTable[[#This Row],[SC Current Ask]]&gt;0), SnapshotTable[[#This Row],[SC Qty]] * SnapshotTable[[#This Row],[SC Current Ask]] * -100, "")</f>
        <v/>
      </c>
      <c r="FZ23" s="31" t="str">
        <f>IF(ISNUMBER((SnapshotTable[[#This Row],[SC Current Value]])), SnapshotTable[[#This Row],[SC Premium]] + SnapshotTable[[#This Row],[SC Current Value]], "")</f>
        <v/>
      </c>
      <c r="GA23" s="272" t="str">
        <f>IFERROR( IF(ISNUMBER((SnapshotTable[[#This Row],[SC Current Value]])), SnapshotTable[[#This Row],[SC Gain Loss]] / SnapshotTable[[#This Row],[SC Premium]], ""), "")</f>
        <v/>
      </c>
      <c r="GB23" s="42">
        <f>SnapshotTable[[#This Row],[Equity Shares]] * SaleSharesToConsiderPercentage</f>
        <v>0</v>
      </c>
      <c r="GC23" s="40">
        <f>SnapshotTable[[#This Row],[Long Term Target]] * SellingPriceToConsiderBasedOnTargetPercentage</f>
        <v>19.95</v>
      </c>
      <c r="GD23" s="40">
        <f>SnapshotTable[[#This Row],[Last Price]] * (1+ SellingPriceToConsiderBasedOnTargetPercentage)</f>
        <v>31.277999999999999</v>
      </c>
      <c r="GE23" s="41"/>
      <c r="GF23" s="40"/>
      <c r="GG23" s="31">
        <f>SnapshotTable[[#This Row],[Booked Sale Shares]] * SnapshotTable[[#This Row],[Booked Sale Price]]</f>
        <v>0</v>
      </c>
      <c r="GH23" s="31" t="str">
        <f>IF(SnapshotTable[[#This Row],[Equity Basis Total]] &gt; 0, SnapshotTable[[#This Row],[Equity Basis Per Share]] * SnapshotTable[[#This Row],[Booked Sale Shares]], "")</f>
        <v/>
      </c>
      <c r="GI23" s="31">
        <f>IF(SnapshotTable[[#This Row],[Sale Proceeds]]&gt;0, SnapshotTable[[#This Row],[Sale Proceeds]] - SnapshotTable[[#This Row],[Sale Basis]], 0)</f>
        <v>0</v>
      </c>
      <c r="GJ23" s="27" t="str">
        <f>IF(SnapshotTable[[#This Row],[Sale G/L]]&gt;0, SnapshotTable[[#This Row],[Sale G/L]] / SnapshotTable[[#This Row],[Sale Basis]], IF(ISNUMBER(SnapshotTable[[#This Row],[SC Exercise P&amp;L (TAX)]]), SnapshotTable[[#This Row],[SC Exercise P&amp;L (TAX)]] / SnapshotTable[[#This Row],[SC Basis]], ""))</f>
        <v/>
      </c>
      <c r="GK23" s="27"/>
      <c r="GL23" s="43" t="str">
        <f>IF(AND(SnapshotTable[[#This Row],[LP Exp Date]]&gt;0,SnapshotTable[[#This Row],[LP Strike Price]]&gt;0), [1]!ToOptionSymbol(SnapshotTable[[#This Row],[Symbol]], SnapshotTable[[#This Row],[LP Strike Price]],SnapshotTable[[#This Row],[LP Exp Date]],1), "")</f>
        <v/>
      </c>
      <c r="GM23" s="30" t="str">
        <f>IF(LEN(SnapshotTable[[#This Row],[LP Symbol]])&gt;0, 1, "")</f>
        <v/>
      </c>
      <c r="GN23" s="43" t="str">
        <f>IF(AND(SnapshotTable[[#This Row],[SP Exp Date]]&gt;0,SnapshotTable[[#This Row],[SP Strike Price]]&gt;0), [1]!ToOptionSymbol(SnapshotTable[[#This Row],[Symbol]], SnapshotTable[[#This Row],[SP Strike Price]],SnapshotTable[[#This Row],[SP Exp Date]],1), "")</f>
        <v/>
      </c>
      <c r="GO23" s="30" t="str">
        <f>IF(LEN(SnapshotTable[[#This Row],[SP Symbol]])&gt;0, 1, "")</f>
        <v/>
      </c>
      <c r="GP23" s="43" t="str">
        <f>IF(AND(SnapshotTable[[#This Row],[LC Exp Date]]&gt;0,SnapshotTable[[#This Row],[LC Strike Price]]&gt;0), [1]!ToOptionSymbol(SnapshotTable[[#This Row],[Symbol]], SnapshotTable[[#This Row],[LC Strike Price]],SnapshotTable[[#This Row],[LC Exp Date]],0), "")</f>
        <v/>
      </c>
      <c r="GQ23" s="30" t="str">
        <f>IF(LEN(SnapshotTable[[#This Row],[LC Symbol]])&gt;0, 1, "")</f>
        <v/>
      </c>
      <c r="GR23" s="43" t="str">
        <f>IF(AND(SnapshotTable[[#This Row],[SC Exp Date]]&gt;0,SnapshotTable[[#This Row],[SC Strike Price]]&gt;0), [1]!ToOptionSymbol(SnapshotTable[[#This Row],[Symbol]], SnapshotTable[[#This Row],[SC Strike Price]],SnapshotTable[[#This Row],[SC Exp Date]],0), "")</f>
        <v/>
      </c>
      <c r="GS23" s="30" t="str">
        <f>IF(LEN(SnapshotTable[[#This Row],[SC Symbol]])&gt;0, 1, "")</f>
        <v/>
      </c>
      <c r="GT23" s="29" t="str">
        <f>IF(COUNT(SnapshotTable[[#This Row],[LP Symbol Count]],SnapshotTable[[#This Row],[SP Symbol Count]],SnapshotTable[[#This Row],[LC Symbol Count]],SnapshotTable[[#This Row],[SC Symbol Count]])&gt;0, "Y", "")</f>
        <v/>
      </c>
      <c r="GU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 s="216">
        <f>MAX(SnapshotTable[[#This Row],[Equity Basis Total]],SnapshotTable[[#This Row],[Equity Value]]) + (SnapshotTable[[#This Row],[SP Potential Spend]]- SnapshotTable[[#This Row],[SP Premium]] + SnapshotTable[[#This Row],[LP Premium]])+ (SnapshotTable[[#This Row],[LC Premium]] - SnapshotTable[[#This Row],[SC Premium]])</f>
        <v>0</v>
      </c>
      <c r="GW23" s="137" t="str">
        <f>IF(AND(SnapshotTable[[#This Row],[Exposure]] &lt;&gt; 0),SnapshotTable[[#This Row],[Exposure]] / SnapshotTable[[#Totals],[Exposure]], "")</f>
        <v/>
      </c>
      <c r="HK23" s="1"/>
      <c r="HL23" s="1"/>
      <c r="HM23" s="1"/>
      <c r="HN23" s="1"/>
      <c r="HO23" s="1"/>
      <c r="HP23" s="1"/>
    </row>
    <row r="24" spans="2:224" ht="12.75" hidden="1" customHeight="1" x14ac:dyDescent="0.25">
      <c r="B24" s="12" t="s">
        <v>795</v>
      </c>
      <c r="C24" s="385">
        <v>73.92</v>
      </c>
      <c r="D24" s="200" t="s">
        <v>467</v>
      </c>
      <c r="E24" s="39">
        <f>SnapshotTable[[#This Row],[Last Price]]*(1 -CrashDiscount)</f>
        <v>62.832000000000001</v>
      </c>
      <c r="F24" s="26" t="s">
        <v>648</v>
      </c>
      <c r="G24" s="26" t="s">
        <v>7</v>
      </c>
      <c r="H24" s="147"/>
      <c r="I24" s="186">
        <v>44784.670138888891</v>
      </c>
      <c r="J24" s="187">
        <v>44784.670138888891</v>
      </c>
      <c r="K24" s="188"/>
      <c r="L24" s="297"/>
      <c r="M24" s="138"/>
      <c r="N24" s="138"/>
      <c r="O24" s="138"/>
      <c r="P24" s="22"/>
      <c r="Q24" s="25"/>
      <c r="R24" s="4" t="str">
        <f>IF(SnapshotTable[[#This Row],[Equity Basis Total]] &gt; 0, SnapshotTable[[#This Row],[Equity Basis Total]] / SnapshotTable[[#This Row],[Equity Shares]], "")</f>
        <v/>
      </c>
      <c r="S24" s="254">
        <f>SnapshotTable[[#This Row],[Last Price]] * SnapshotTable[[#This Row],[Equity Shares]]</f>
        <v>0</v>
      </c>
      <c r="T24" s="254">
        <f>SnapshotTable[[#This Row],[Equity Value]] - SnapshotTable[[#This Row],[Equity Basis Total]]</f>
        <v>0</v>
      </c>
      <c r="U24" s="255" t="str">
        <f>IF(SnapshotTable[[#This Row],[Equity Basis Total]] &gt; 0, SnapshotTable[[#This Row],[Equity G/L]] / SnapshotTable[[#This Row],[Equity Basis Total]], "")</f>
        <v/>
      </c>
      <c r="V24" s="253"/>
      <c r="W24" s="253"/>
      <c r="X24" s="4" t="str">
        <f>IF(AND(ISNUMBER(SnapshotTable[[#This Row],[Equity Basis Per Share]]),ISNUMBER(SnapshotTable[[#This Row],[Equity Target]])),SnapshotTable[[#This Row],[Equity Target]]-SnapshotTable[[#This Row],[Equity Basis Per Share]],"")</f>
        <v/>
      </c>
      <c r="Y24" s="4" t="str">
        <f>IF(AND(ISNUMBER(SnapshotTable[[#This Row],[Equity Basis Per Share]]),ISNUMBER(SnapshotTable[[#This Row],[Equity Stop Loss]])),SnapshotTable[[#This Row],[Equity Stop Loss]]-SnapshotTable[[#This Row],[Equity Basis Per Share]],"")</f>
        <v/>
      </c>
      <c r="Z24" s="260" t="str">
        <f>IFERROR( TEXT(SnapshotTable[[#This Row],[Equity Max Gain Per Share]] /ABS( SnapshotTable[[#This Row],[Equity Max Loss Per Share]]),"0.0 " ) &amp; " : 1", "")</f>
        <v/>
      </c>
      <c r="AA24" s="31" t="str">
        <f>IF(ISNUMBER(SnapshotTable[[#This Row],[Equity Max Gain Per Share]]),SnapshotTable[[#This Row],[Equity Max Gain Per Share]] * SnapshotTable[[#This Row],[Equity Shares]],"")</f>
        <v/>
      </c>
      <c r="AB24" s="31" t="str">
        <f>IF(ISNUMBER(SnapshotTable[[#This Row],[Equity Max Loss Per Share]]),SnapshotTable[[#This Row],[Equity Max Loss Per Share]] * SnapshotTable[[#This Row],[Equity Shares]],"")</f>
        <v/>
      </c>
      <c r="AC24" s="148"/>
      <c r="AD24" s="149"/>
      <c r="AE24" s="31">
        <f>(SnapshotTable[[#This Row],[Annual Dividend Per Share]] / 4) * SnapshotTable[[#This Row],[Equity Shares]]</f>
        <v>0</v>
      </c>
      <c r="AF24" s="31">
        <f>SnapshotTable[[#This Row],[Quarterly Div $]] * 4</f>
        <v>0</v>
      </c>
      <c r="AG24" s="7">
        <f>IF(SnapshotTable[[#This Row],[Annual Dividend Per Share]]&gt;0, SnapshotTable[[#This Row],[Annual Dividend Per Share]]  / SnapshotTable[[#This Row],[Last Price]], 0)</f>
        <v>0</v>
      </c>
      <c r="AH24" s="149"/>
      <c r="AI24" s="5"/>
      <c r="AJ24" s="136">
        <v>14.54</v>
      </c>
      <c r="AK24" s="150" t="str">
        <f>IF(ISNUMBER( SnapshotTable[[#This Row],[EBF Target]]),(SnapshotTable[[#This Row],[EBF Target]] - SnapshotTable[[#This Row],[Last Price]]) / SnapshotTable[[#This Row],[Last Price]], "")</f>
        <v/>
      </c>
      <c r="AL24" s="150" t="str">
        <f>IF(AND(SnapshotTable[[#This Row],[Equity Basis Total]] &gt; 0,ISNUMBER( SnapshotTable[[#This Row],[Long Term Target]])), SnapshotTable[[#This Row],[From Basis $]] / SnapshotTable[[#This Row],[Equity Basis Total]], "")</f>
        <v/>
      </c>
      <c r="AM24" s="9">
        <f>IF( AND(SnapshotTable[[#This Row],[Equity Shares]] &gt;0,ISNUMBER( SnapshotTable[[#This Row],[Long Term Target]])),(SnapshotTable[[#This Row],[Equity Shares]] * SnapshotTable[[#This Row],[Long Term Target]]) - SnapshotTable[[#This Row],[Equity Basis Total]],0)</f>
        <v>0</v>
      </c>
      <c r="AN24" s="9">
        <f>IF( AND(SnapshotTable[[#This Row],[Equity Shares]] &gt;0,ISNUMBER( SnapshotTable[[#This Row],[Long Term Target]])),(SnapshotTable[[#This Row],[Equity Shares]]*SnapshotTable[[#This Row],[Long Term Target]]) - SnapshotTable[[#This Row],[Equity Value]],0)</f>
        <v>0</v>
      </c>
      <c r="AO24" s="150">
        <f>IF(AND(ISNUMBER( SnapshotTable[[#This Row],[Long Term Target]]), ISNUMBER(SnapshotTable[[#This Row],[Last Price]])),(SnapshotTable[[#This Row],[Long Term Target]] - SnapshotTable[[#This Row],[Last Price]]) / SnapshotTable[[#This Row],[Last Price]], "")</f>
        <v>-0.80330086580086579</v>
      </c>
      <c r="AP24" s="5">
        <v>110</v>
      </c>
      <c r="AQ24" s="38" t="s">
        <v>29</v>
      </c>
      <c r="AR24" s="5">
        <v>100</v>
      </c>
      <c r="AS24" s="38" t="s">
        <v>77</v>
      </c>
      <c r="AT24" s="144" t="s">
        <v>432</v>
      </c>
      <c r="AU24" s="185" t="str">
        <f>IF(OR(SnapshotTable[[#This Row],[LP No Fill]]="Y",SnapshotTable[[#This Row],[SP Is Filled]],SnapshotTable[[#This Row],[LC Not Filled]]="Y",SnapshotTable[[#This Row],[SC Is Filled]]),"Y","")</f>
        <v/>
      </c>
      <c r="AV24" s="205"/>
      <c r="AW24" s="211"/>
      <c r="AX24" s="206"/>
      <c r="AY24" s="205" t="str">
        <f>IF(SnapshotTable[[#This Row],[Implied Move]]&gt;0, SnapshotTable[[#This Row],[Last Price]]-SnapshotTable[[#This Row],[Implied Move]],"")</f>
        <v/>
      </c>
      <c r="AZ24" s="205" t="str">
        <f>IF(SnapshotTable[[#This Row],[Implied Move]]&gt;0, SnapshotTable[[#This Row],[Last Price]] + SnapshotTable[[#This Row],[Implied Move]],"")</f>
        <v/>
      </c>
      <c r="BA24" s="302">
        <v>1.7</v>
      </c>
      <c r="BB24" s="318"/>
      <c r="BC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 s="321"/>
      <c r="BE24" s="136"/>
      <c r="BF24" s="164"/>
      <c r="BG24" s="165"/>
      <c r="BH24" s="165"/>
      <c r="BI24" s="207"/>
      <c r="BJ24" s="151">
        <f>IF(SnapshotTable[[#This Row],[LP Qty]] &gt; 0, SnapshotTable[[#This Row],[LP Qty]] * SnapshotTable[[#This Row],[LP Book Price]] * 100,0)</f>
        <v>0</v>
      </c>
      <c r="BK24" s="134">
        <f>IF(SnapshotTable[[#This Row],[LP Premium]] &gt; 0, SnapshotTable[[#This Row],[LP Qty]] * SnapshotTable[[#This Row],[LP Strike Price]] * 100,0)</f>
        <v>0</v>
      </c>
      <c r="BL24" s="152"/>
      <c r="BM24" s="355" t="str">
        <f>IF(SnapshotTable[[#This Row],[LP Premium]] &gt; 0,SnapshotTable[[#This Row],[LP Exp Date]]-MAX(SnapshotTable[[#This Row],[LP Book Date]], SnapshotTable[[#This Row],[LP Fill Date]]),"")</f>
        <v/>
      </c>
      <c r="BN24" s="355" t="str">
        <f>IF(ISNUMBER( SnapshotTable[[#This Row],[LP Term]]), SnapshotTable[[#This Row],[LP Exp Date]] - MockToday,"")</f>
        <v/>
      </c>
      <c r="BO24" s="161" t="str">
        <f>IF(AND(SnapshotTable[[#This Row],[LP Exp Date]]&gt;0, SnapshotTable[[#This Row],[LP Strike Price]]&gt;0,SnapshotTable[[#This Row],[LP Qty]]&gt;0,SnapshotTable[[#This Row],[LP Book Date]]&gt;0,SnapshotTable[[#This Row],[LP Book Price]]&gt;0,SnapshotTable[[#This Row],[LP Fill Date]]=0),"Y","")</f>
        <v/>
      </c>
      <c r="BP24" s="31" t="str">
        <f>IF(AND(SnapshotTable[[#This Row],[LP No Fill]]&lt;&gt;"Y",SnapshotTable[[#This Row],[LP Contract Value]]&gt;0, SnapshotTable[[#This Row],[LP Qty]]&gt;0), SnapshotTable[[#This Row],[LP Contract Value]]*SnapshotTable[[#This Row],[LP Qty]]*100,"")</f>
        <v/>
      </c>
      <c r="BQ24" s="13"/>
      <c r="BR24" s="5"/>
      <c r="BS24" s="36"/>
      <c r="BT24" s="145"/>
      <c r="BU24" s="13"/>
      <c r="BV24" s="5"/>
      <c r="BW24" s="382" t="b">
        <f>AND(ISNUMBER(SnapshotTable[[#This Row],[SP Exp Date]]), ISNUMBER(SnapshotTable[[#This Row],[SP Strike Price]]), ISNUMBER(SnapshotTable[[#This Row],[SP Qty]]), ISNUMBER(SnapshotTable[[#This Row],[SP Book Date]]), ISNUMBER(SnapshotTable[[#This Row],[SP Book Price]]))</f>
        <v>0</v>
      </c>
      <c r="BX24" s="382" t="b">
        <f>AND(SnapshotTable[[#This Row],[SP Is Booked]], NOT(ISBLANK(SnapshotTable[[#This Row],[SP Fill Date]])))</f>
        <v>0</v>
      </c>
      <c r="BY24" s="33">
        <f>IF(SnapshotTable[[#This Row],[SP Is Booked]], SnapshotTable[[#This Row],[SP Qty]] * SnapshotTable[[#This Row],[SP Book Price]] * 100, 0)</f>
        <v>0</v>
      </c>
      <c r="BZ24" s="339"/>
      <c r="CA24" s="338">
        <f>SnapshotTable[[#This Row],[LP Qty]]</f>
        <v>0</v>
      </c>
      <c r="CB24" s="4" t="str">
        <f>IF(SnapshotTable[[#This Row],[SP Is Booked]], SnapshotTable[[#This Row],[SP Strike Price]] - SnapshotTable[[#This Row],[SP Book Price]], "")</f>
        <v/>
      </c>
      <c r="CC24" s="19" t="str">
        <f>IF(SnapshotTable[[#This Row],[SP Is Booked]],SnapshotTable[[#This Row],[SP Exp Date]]-MAX(SnapshotTable[[#This Row],[SP Book Date]], SnapshotTable[[#This Row],[SP Fill Date]]),"")</f>
        <v/>
      </c>
      <c r="CD24" s="7" t="str">
        <f>IF(SnapshotTable[[#This Row],[SP Is Booked]], SnapshotTable[[#This Row],[SP Book Price]]/SnapshotTable[[#This Row],[SP Strike Price]], "")</f>
        <v/>
      </c>
      <c r="CE24" s="7" t="str">
        <f>IF(ISNUMBER(SnapshotTable[[#This Row],[SP ROO Term]]),SnapshotTable[[#This Row],[SP ROO Term]]*(365/SnapshotTable[[#This Row],[SP Term]]),"")</f>
        <v/>
      </c>
      <c r="CF24" s="221">
        <f>SnapshotTable[[#This Row],[LP Strike Price]] * SnapshotTable[[#This Row],[LP Qty]] * 100</f>
        <v>0</v>
      </c>
      <c r="CG24" s="31">
        <f>IF(ISNUMBER(SnapshotTable[[#This Row],[SP Premium]]), (SnapshotTable[[#This Row],[SP Qty]] * SnapshotTable[[#This Row],[SP Strike Price]]* 100) - SnapshotTable[[#This Row],[LP Protection]], 0)</f>
        <v>0</v>
      </c>
      <c r="CH24" s="7" t="str">
        <f>IF(ISNUMBER(SnapshotTable[[#This Row],[SP Break Even]]),-1 * (SnapshotTable[[#This Row],[SP Break Even]] - SnapshotTable[[#This Row],[Last Price]]) / SnapshotTable[[#This Row],[Last Price]], "")</f>
        <v/>
      </c>
      <c r="CI24" s="31">
        <f>IF(AND(ISNUMBER((SnapshotTable[[#This Row],[SP Potential Spend]])), SnapshotTable[[#This Row],[SP Strike Price]] &gt; SnapshotTable[[#This Row],[Last Price]], SnapshotTable[[#This Row],[SP Is Filled]]), SnapshotTable[[#This Row],[SP Potential Spend]] -  SnapshotTable[[#This Row],[LP Max Value]], 0)</f>
        <v>0</v>
      </c>
      <c r="CJ24" s="229"/>
      <c r="CK24" s="31">
        <f>IF(ISNUMBER(SnapshotTable[[#This Row],[SP Potential Spend]]),IF(ISNUMBER(SnapshotTable[[#This Row],[SP POW]]), SnapshotTable[[#This Row],[SP POW]] * SnapshotTable[[#This Row],[SP Potential Spend]], SnapshotTable[[#This Row],[SP Potential Spend]]), "")</f>
        <v>0</v>
      </c>
      <c r="CL24" s="162">
        <f>IF(NOT(SnapshotTable[[#This Row],[SP Is Filled]]),(SnapshotTable[[#This Row],[SP Qty]] * SnapshotTable[[#This Row],[SP Strike Price]] * 100) - SnapshotTable[[#This Row],[LP Max Value]],"")</f>
        <v>0</v>
      </c>
      <c r="CM24" s="31" t="str">
        <f>IF(SnapshotTable[[#This Row],[SP Actual Spend]]&lt;&gt;0, ((SnapshotTable[[#This Row],[SP Strike Price]]-SnapshotTable[[#This Row],[Last Price]]) *(SnapshotTable[[#This Row],[SP Qty]]*100) - SnapshotTable[[#This Row],[SP Premium]]) * - 1, "")</f>
        <v/>
      </c>
      <c r="CN24" s="152"/>
      <c r="CO24" s="339"/>
      <c r="CP24" s="4" t="str">
        <f>IF(SnapshotTable[[#This Row],[SP Is Filled]], btc_max_buyback_amount(SnapshotTable[[#This Row],[SP Fill Date]],SnapshotTable[[#This Row],[SP Exp Date]], SnapshotTable[[#This Row],[SP Book Price]]),"")</f>
        <v/>
      </c>
      <c r="CQ24" s="76"/>
      <c r="CR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 s="153" t="str">
        <f>IF(SnapshotTable[[#This Row],[SP Is Filled]], btc_next_cutoff_date(SnapshotTable[[#This Row],[SP Fill Date]],SnapshotTable[[#This Row],[SP Exp Date]]),"")</f>
        <v/>
      </c>
      <c r="CT24" s="220" t="str" cm="1">
        <f t="array" ref="CT24">IF(SnapshotTable[[#This Row],[SP Is Filled]], btc_should_buy_back(SnapshotTable[[#This Row],[SP Fill Date]], SnapshotTable[[#This Row],[SP Exp Date]], SnapshotTable[[#This Row],[SP Book Price]], SnapshotTable[[#This Row],[SP Current Ask]], MockToday, SnapshotTable[[#This Row],[SP Buyback Override]]),"")</f>
        <v/>
      </c>
      <c r="CU24" s="141"/>
      <c r="CV24" s="220"/>
      <c r="CW24" s="348" t="str">
        <f>IF(ISNUMBER( SnapshotTable[[#This Row],[SP Term]]), SnapshotTable[[#This Row],[SP Exp Date]] - MockToday,"")</f>
        <v/>
      </c>
      <c r="CX24" s="31" t="str">
        <f>IF(SnapshotTable[[#This Row],[SP Is Filled]],SnapshotTable[[#This Row],[SP Buyback Price to Use]] * 100 * SnapshotTable[[#This Row],[SP Qty]], "")</f>
        <v/>
      </c>
      <c r="CY24" s="4" t="str">
        <f>IF(ISNUMBER(SnapshotTable[[#This Row],[SP Strike Price]]), SnapshotTable[[#This Row],[SP Strike Price]] * (1 - SP_MaxLoss_StrikePct), "")</f>
        <v/>
      </c>
      <c r="CZ24" s="31" t="str">
        <f>IF(ISNUMBER(SnapshotTable[[#This Row],[SP Strike  Stop Per Share]]),SnapshotTable[[#This Row],[SP Premium]] - ((SnapshotTable[[#This Row],[SP Strike Price]]-SnapshotTable[[#This Row],[SP Strike  Stop Per Share]]) *(SnapshotTable[[#This Row],[SP Qty]] * 100)),"")</f>
        <v/>
      </c>
      <c r="DA24" s="4" t="str">
        <f>IF(AND(ISNUMBER(SnapshotTable[[#This Row],[SP Premium]]),SnapshotTable[[#This Row],[SP Premium]]&gt;0), SnapshotTable[[#This Row],[SP Book Price]] * (1 + SP_MaxLoss_OptionPct), "")</f>
        <v/>
      </c>
      <c r="DB24" s="31" t="str">
        <f>IF(ISNUMBER(SnapshotTable[[#This Row],[SP Option  Stop Contract]]),(SnapshotTable[[#This Row],[SP Option  Stop Contract]] *(SnapshotTable[[#This Row],[SP Qty]] * 100) - SnapshotTable[[#This Row],[SP Premium]]),"")</f>
        <v/>
      </c>
      <c r="DC24" s="4"/>
      <c r="DD24" s="4"/>
      <c r="DE24" s="4" t="str">
        <f>IF(AND(SnapshotTable[[#This Row],[SP Qty]]&gt;0, SnapshotTable[[#This Row],[SP Stop To Use]]&gt;0),SnapshotTable[[#This Row],[SP Premium]] - ( SnapshotTable[[#This Row],[SP Qty]] * SnapshotTable[[#This Row],[SP Stop To Use]] * 100), "")</f>
        <v/>
      </c>
      <c r="DF24" s="31" t="str">
        <f>IF(AND(SnapshotTable[[#This Row],[SP Qty]]&gt;0,SnapshotTable[[#This Row],[SP Current Ask]]&gt;0), SnapshotTable[[#This Row],[SP Qty]] * SnapshotTable[[#This Row],[SP Current Ask]] * -100, "")</f>
        <v/>
      </c>
      <c r="DG24" s="31" t="str">
        <f>IF(ISNUMBER((SnapshotTable[[#This Row],[SP Total Value]])), SnapshotTable[[#This Row],[SP Premium]] + SnapshotTable[[#This Row],[SP Total Value]], "")</f>
        <v/>
      </c>
      <c r="DH24" s="272" t="str">
        <f>IF(ISNUMBER((SnapshotTable[[#This Row],[SP Total Value]])), SnapshotTable[[#This Row],[SP Gain Loss]] / SnapshotTable[[#This Row],[SP Premium]], "")</f>
        <v/>
      </c>
      <c r="DI24" s="369"/>
      <c r="DJ24" s="136"/>
      <c r="DK24" s="146"/>
      <c r="DL24" s="145"/>
      <c r="DM24" s="145"/>
      <c r="DO24" s="31">
        <f>IF(SnapshotTable[[#This Row],[LC Symbol Count]]=1, SnapshotTable[[#This Row],[LC Qty]] * SnapshotTable[[#This Row],[LC Book Price]] * 100, 0)</f>
        <v>0</v>
      </c>
      <c r="DP24" s="161" t="str">
        <f>IF(AND(SnapshotTable[[#This Row],[LC Exp Date]]&gt;0, SnapshotTable[[#This Row],[LC Strike Price]]&gt;0,SnapshotTable[[#This Row],[LC Qty]]&gt;0,SnapshotTable[[#This Row],[LC Book Date]]&gt;0,SnapshotTable[[#This Row],[LC Book Price]]&gt;0,SnapshotTable[[#This Row],[LC Fill Date]]=0),"Y","")</f>
        <v/>
      </c>
      <c r="DQ24" s="356" t="str">
        <f>IF(SnapshotTable[[#This Row],[LC Premium]] &gt; 0,SnapshotTable[[#This Row],[LC Exp Date]]-MAX(SnapshotTable[[#This Row],[LC Book Date]], SnapshotTable[[#This Row],[LC Fill Date]]),"")</f>
        <v/>
      </c>
      <c r="DR24" s="356" t="str">
        <f>IF(ISNUMBER(SnapshotTable[[#This Row],[LC Term]]), SnapshotTable[[#This Row],[LC Exp Date]] - MockToday, "")</f>
        <v/>
      </c>
      <c r="DS24" s="219" t="str">
        <f>IF(SnapshotTable[[#This Row],[LC Premium]]&gt;0,SnapshotTable[[#This Row],[LC Strike Price]] + SnapshotTable[[#This Row],[LC Book Price]],"")</f>
        <v/>
      </c>
      <c r="DU24" s="9" t="str">
        <f>IF(AND(SnapshotTable[[#This Row],[LC Symbol Count]]&gt;0, SnapshotTable[[#This Row],[LC Contract Value]]&gt;0), SnapshotTable[[#This Row],[LC Contract Value]] * SnapshotTable[[#This Row],[LC Qty]] * 100, "")</f>
        <v/>
      </c>
      <c r="DV24" s="9" t="str">
        <f>IF(AND(ISNUMBER(SnapshotTable[[#This Row],[LC Total Value]]), SnapshotTable[[#This Row],[LC Not Filled]]&lt;&gt;"Y"), SnapshotTable[[#This Row],[LC Total Value]]-SnapshotTable[[#This Row],[LC Premium]],"")</f>
        <v/>
      </c>
      <c r="DW24" s="225" t="str">
        <f>IF(ISNUMBER(SnapshotTable[[#This Row],[LC Actual Gain Loss]]), SnapshotTable[[#This Row],[LC Actual Gain Loss]] / SnapshotTable[[#This Row],[LC Premium]],"")</f>
        <v/>
      </c>
      <c r="DX24" s="269" t="str">
        <f>IF(ISNUMBER(SnapshotTable[[#This Row],[LC Book Price]]),SnapshotTable[[#This Row],[LC Book Price]] * 1.5,"")</f>
        <v/>
      </c>
      <c r="DY24" s="250" t="str">
        <f>IF(SnapshotTable[[#This Row],[LC Premium]]&gt;0, SnapshotTable[[#This Row],[LC Next Target]] * SnapshotTable[[#This Row],[LC Qty]] * 100,"")</f>
        <v/>
      </c>
      <c r="DZ24" s="250" t="str">
        <f>IF(ISNUMBER(SnapshotTable[[#This Row],[LC Target Gross]]), SnapshotTable[[#This Row],[LC Target Gross]] - SnapshotTable[[#This Row],[LC Premium]], "")</f>
        <v/>
      </c>
      <c r="EA24" s="283" t="str">
        <f>IF(ISNUMBER(SnapshotTable[[#This Row],[LC Target Gain Loss]]), SnapshotTable[[#This Row],[LC Target Gain Loss]]/SnapshotTable[[#This Row],[LC Premium]], "")</f>
        <v/>
      </c>
      <c r="EB24" s="247"/>
      <c r="EC24" s="268" t="str">
        <f>IF(SnapshotTable[[#This Row],[LC Premium]]&gt;0, SnapshotTable[[#This Row],[LC Book Price]] * (1 - LC_StopLoss_Pct),"")</f>
        <v/>
      </c>
      <c r="ED24" s="269"/>
      <c r="EE24" s="268" t="str">
        <f>IF(ISNUMBER(SnapshotTable[[#This Row],[LC Contract Value]]),IF(ISNUMBER(SnapshotTable[[#This Row],[LC Stop Loss Override]]), SnapshotTable[[#This Row],[LC Stop Loss Override]],SnapshotTable[[#This Row],[LC Stop Loss Calc Target]]),"")</f>
        <v/>
      </c>
      <c r="EF24" s="31" t="str">
        <f>IF(ISNUMBER(SnapshotTable[[#This Row],[LC Stop  To Use]]), (SnapshotTable[[#This Row],[LC Stop  To Use]] * SnapshotTable[[#This Row],[LC Qty]] * 100),"")</f>
        <v/>
      </c>
      <c r="EG24" s="9" t="str">
        <f>IF(ISNUMBER(SnapshotTable[[#This Row],[LC Total Value]]),SnapshotTable[[#This Row],[LC Stop Loss Amount]] - SnapshotTable[[#This Row],[LC Premium]],"")</f>
        <v/>
      </c>
      <c r="EH24" s="9">
        <f>IF(ISNUMBER(SnapshotTable[[#This Row],[LC Premium]]), SnapshotTable[[#This Row],[LC Qty]] * 100 * SnapshotTable[[#This Row],[LC Strike Price]], "")</f>
        <v>0</v>
      </c>
      <c r="EI24" s="225" t="str">
        <f>IF(AND(ISNUMBER(SnapshotTable[[#This Row],[LC Total Value]]),SnapshotTable[[#This Row],[LC Total Value]]&gt;0),SnapshotTable[[#This Row],[LC Stop Gain Loss]]  / SnapshotTable[[#This Row],[LC Premium]],"")</f>
        <v/>
      </c>
      <c r="EJ24" s="35">
        <f>IF(ISNUMBER(SnapshotTable[[#This Row],[Equity Shares]]),TRUNC(SnapshotTable[[#This Row],[Equity Shares]] / 100),0) + SnapshotTable[[#This Row],[LC Qty]]</f>
        <v>0</v>
      </c>
      <c r="EK24" s="145"/>
      <c r="EL24" s="136"/>
      <c r="EM24" s="146"/>
      <c r="EN24" s="145"/>
      <c r="EO24" s="145"/>
      <c r="EP24" s="136"/>
      <c r="EQ24" s="382" t="b">
        <f>AND(ISNUMBER(SnapshotTable[[#This Row],[SC Exp Date]]), ISNUMBER(SnapshotTable[[#This Row],[SC Strike Price]]), ISNUMBER(SnapshotTable[[#This Row],[SC Qty]]), ISNUMBER(SnapshotTable[[#This Row],[SC Book Date]]), ISNUMBER(SnapshotTable[[#This Row],[SC Book Price]]))</f>
        <v>0</v>
      </c>
      <c r="ER24" s="382" t="b">
        <f>AND(SnapshotTable[[#This Row],[SC Is Booked]], NOT(ISBLANK(SnapshotTable[[#This Row],[SC Fill Date]])))</f>
        <v>0</v>
      </c>
      <c r="ES24" s="340"/>
      <c r="ET24" s="34" t="str">
        <f>IF(AND(ISNUMBER(SnapshotTable[[#This Row],[SC Exp Date]]), ISNUMBER(SnapshotTable[[#This Row],[SC Book Date]])), SnapshotTable[[#This Row],[SC Exp Date]] - MAX(SnapshotTable[[#This Row],[SC Book Date]], SnapshotTable[[#This Row],[SC Fill Date]]) + 1, "")</f>
        <v/>
      </c>
      <c r="EU24" s="34" t="str">
        <f>IF(ISNUMBER(SnapshotTable[[#This Row],[SC Term]]), SnapshotTable[[#This Row],[SC Exp Date]]- MockToday, "")</f>
        <v/>
      </c>
      <c r="EV24" s="31">
        <f>IF(SnapshotTable[[#This Row],[SC Is Booked]], SnapshotTable[[#This Row],[SC Qty]] * SnapshotTable[[#This Row],[SC Book Price]] * 100, 0)</f>
        <v>0</v>
      </c>
      <c r="EW24" s="4" t="str">
        <f>IF(AND(ISNUMBER(SnapshotTable[[#This Row],[Last Price]]), ISNUMBER( SnapshotTable[[#This Row],[SC Book Price]])), SnapshotTable[[#This Row],[Last Price]] - SnapshotTable[[#This Row],[SC Book Price]],"")</f>
        <v/>
      </c>
      <c r="EX24" s="219" t="str">
        <f>IF(SnapshotTable[[#This Row],[SC Is Booked]],IF(SnapshotTable[[#This Row],[SC Intrinsic Value]] &gt; 0, SnapshotTable[[#This Row],[SC Strike Price]], SnapshotTable[[#This Row],[Last Price]]), "")</f>
        <v/>
      </c>
      <c r="EY24" s="4">
        <f>IF(SnapshotTable[[#This Row],[SC Is Booked]], (MinimumPremiumRequired * SnapshotTable[[#This Row],[SC Basis]] * SnapshotTable[[#This Row],[SC Term]]), 0)</f>
        <v>0</v>
      </c>
      <c r="EZ24" s="268"/>
      <c r="FA24" s="204"/>
      <c r="FB24" s="340"/>
      <c r="FC24" s="4">
        <f>IF(SnapshotTable[[#This Row],[SC Is Filled]], btc_max_buyback_amount(SnapshotTable[[#This Row],[SC Fill Date]],SnapshotTable[[#This Row],[SC Exp Date]], SnapshotTable[[#This Row],[SC Book Price]]),0)</f>
        <v>0</v>
      </c>
      <c r="FD24" s="5"/>
      <c r="FE24" s="142" t="str">
        <f>IF(SnapshotTable[[#This Row],[SC Is Filled]], btc_next_cutoff_date(SnapshotTable[[#This Row],[SC Fill Date]],SnapshotTable[[#This Row],[SC Exp Date]]),"")</f>
        <v/>
      </c>
      <c r="FF24" s="4" t="str" cm="1">
        <f t="array" ref="FF24">IF(SnapshotTable[[#This Row],[SC Is Filled]], btc_should_buy_back(SnapshotTable[[#This Row],[SC Fill Date]], SnapshotTable[[#This Row],[SC Exp Date]], SnapshotTable[[#This Row],[SC Book Price]], SnapshotTable[[#This Row],[SC Current Ask]], MockToday, SnapshotTable[[#This Row],[SC Buyback Override]]),"")</f>
        <v/>
      </c>
      <c r="FG24" s="4">
        <f>IF(SnapshotTable[[#This Row],[SC Is Filled]], MAX(0,SnapshotTable[[#This Row],[Last Price]]  - SnapshotTable[[#This Row],[SC Strike Price]]), 0)</f>
        <v>0</v>
      </c>
      <c r="FH24" s="352">
        <f>IF(SnapshotTable[[#This Row],[SC Is Filled]], IF(ISNUMBER(SnapshotTable[[#This Row],[SC Current Ask]]), SnapshotTable[[#This Row],[SC Current Ask]], SnapshotTable[[#This Row],[SC Book Price]]) - SnapshotTable[[#This Row],[SC Intrinsic Value]], 0)</f>
        <v>0</v>
      </c>
      <c r="FI24" s="141">
        <v>45786</v>
      </c>
      <c r="FJ24" s="32" t="str">
        <f>IF(SnapshotTable[[#This Row],[SC Is Filled]],100 * SnapshotTable[[#This Row],[SC Qty]] * IF(ISNUMBER(SnapshotTable[[#This Row],[SC Buyback Override]]), SnapshotTable[[#This Row],[SC Buyback Override]], SnapshotTable[[#This Row],[SC Current Ask]]), "")</f>
        <v/>
      </c>
      <c r="FK24" s="235" t="str">
        <f>IF(SnapshotTable[[#This Row],[SC Time Val]]&gt;0, SnapshotTable[[#This Row],[SC Time Val]] / SnapshotTable[[#This Row],[Last Price]],"")</f>
        <v/>
      </c>
      <c r="FL24" s="280" t="str">
        <f>IF(SnapshotTable[[#This Row],[SC Is Booked]], ((SnapshotTable[[#This Row],[Last Price]] -SnapshotTable[[#This Row],[SC Strike Price]]) / SnapshotTable[[#This Row],[Last Price]]) * -1, "")</f>
        <v/>
      </c>
      <c r="FM24" s="155" t="str">
        <f>IF(SnapshotTable[[#This Row],[SC Is Booked]],  (SnapshotTable[[#This Row],[SC Qty]] * 100 * SnapshotTable[[#This Row],[SC Strike Price]]) - SnapshotTable[[#This Row],[SC Current Ask]], "")</f>
        <v/>
      </c>
      <c r="FN24"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 s="155" t="str">
        <f>IF(AND(ISNUMBER(SnapshotTable[[#This Row],[SC Exercise Gross]]), ISNUMBER(SnapshotTable[[#This Row],[Equity Basis Per Share]] )), SnapshotTable[[#This Row],[SC Exercise Gross]] - SnapshotTable[[#This Row],[Equity Basis Total]] +  SnapshotTable[[#This Row],[SC Premium]], "")</f>
        <v/>
      </c>
      <c r="FP24" s="5" t="str">
        <f>IF(ISNUMBER(SnapshotTable[[#This Row],[SC Exercise Gross]]), (SnapshotTable[[#This Row],[SC Exercise Gross]]) / (SnapshotTable[[#This Row],[SC Qty]] * 100), "")</f>
        <v/>
      </c>
      <c r="FQ24" s="27" t="str">
        <f>IF(SnapshotTable[[#This Row],[SC Is Booked]],SnapshotTable[[#This Row],[SC Time Val]] /SnapshotTable[[#This Row],[SC Basis]], "")</f>
        <v/>
      </c>
      <c r="FR24" s="27" t="str" cm="1">
        <f t="array" ref="FR24">IF(AND(ISNUMBER(SnapshotTable[[#This Row],[SC Term]]),ISNUMBER(SnapshotTable[[#This Row],[SC Simple ROO]])), EllmanAnnualize(SnapshotTable[[#This Row],[SC DTE]], SnapshotTable[[#This Row],[SC Simple ROO]] ),"")</f>
        <v/>
      </c>
      <c r="FS24" s="4">
        <f>IF(SnapshotTable[[#This Row],[SC Strike Price]] &gt; SnapshotTable[[#This Row],[Last Price]], SnapshotTable[[#This Row],[SC Strike Price]] - SnapshotTable[[#This Row],[Last Price]],0)</f>
        <v>0</v>
      </c>
      <c r="FT24" s="27" t="str">
        <f>IF(AND(ISNUMBER(SnapshotTable[[#This Row],[SC Upside Potential]]), SnapshotTable[[#This Row],[SC Upside Potential]] &gt; 0),(SnapshotTable[[#This Row],[SC Upside Potential]]/ SnapshotTable[[#This Row],[ACB]]),"")</f>
        <v/>
      </c>
      <c r="FU24" s="304" t="str">
        <f>IF(SnapshotTable[[#This Row],[SC Intrinsic Value]] &gt; 0,SnapshotTable[[#This Row],[SC Intrinsic Value]],"")</f>
        <v/>
      </c>
      <c r="FV24" s="27" t="str">
        <f>IF(AND( ISNUMBER( SnapshotTable[[#This Row],[ACB]]),ISNUMBER(SnapshotTable[[#This Row],[SC Downside Protect]])),SnapshotTable[[#This Row],[SC Downside Protect]] / SnapshotTable[[#This Row],[ACB]],"")</f>
        <v/>
      </c>
      <c r="FW24" s="221" t="str">
        <f>IF(AND(ISNUMBER(SnapshotTable[[#This Row],[SC Simple ROO]]),SnapshotTable[[#This Row],[SC Simple ROO]] &gt; 0), SnapshotTable[[#This Row],[SC Premium]] + (SnapshotTable[[#This Row],[SC Qty]] * SnapshotTable[[#This Row],[SC Upside Potential]]), "")</f>
        <v/>
      </c>
      <c r="FX24" s="280" t="str" cm="1">
        <f t="array" ref="FX24">IF(ISNUMBER(SnapshotTable[[#This Row],[SC Max Dollars]]), annualize(SnapshotTable[[#This Row],[SC Term]],(SnapshotTable[[#This Row],[SC Max Dollars]]/SnapshotTable[[#This Row],[SC Basis]])),"")</f>
        <v/>
      </c>
      <c r="FY24" s="221" t="str">
        <f>IF(AND(SnapshotTable[[#This Row],[SC Qty]]&gt;0,SnapshotTable[[#This Row],[SC Current Ask]]&gt;0), SnapshotTable[[#This Row],[SC Qty]] * SnapshotTable[[#This Row],[SC Current Ask]] * -100, "")</f>
        <v/>
      </c>
      <c r="FZ24" s="220" t="str">
        <f>IF(ISNUMBER((SnapshotTable[[#This Row],[SC Current Value]])), SnapshotTable[[#This Row],[SC Premium]] + SnapshotTable[[#This Row],[SC Current Value]], "")</f>
        <v/>
      </c>
      <c r="GA24" s="272" t="str">
        <f>IFERROR( IF(ISNUMBER((SnapshotTable[[#This Row],[SC Current Value]])), SnapshotTable[[#This Row],[SC Gain Loss]] / SnapshotTable[[#This Row],[SC Premium]], ""), "")</f>
        <v/>
      </c>
      <c r="GB24" s="42">
        <f>SnapshotTable[[#This Row],[Equity Shares]] * SaleSharesToConsiderPercentage</f>
        <v>0</v>
      </c>
      <c r="GC24" s="40">
        <f>SnapshotTable[[#This Row],[Long Term Target]] * SellingPriceToConsiderBasedOnTargetPercentage</f>
        <v>13.812999999999999</v>
      </c>
      <c r="GD24" s="40">
        <f>SnapshotTable[[#This Row],[Last Price]] * (1+ SellingPriceToConsiderBasedOnTargetPercentage)</f>
        <v>144.14400000000001</v>
      </c>
      <c r="GE24" s="41"/>
      <c r="GF24" s="40"/>
      <c r="GG24" s="31">
        <f>SnapshotTable[[#This Row],[Booked Sale Shares]] * SnapshotTable[[#This Row],[Booked Sale Price]]</f>
        <v>0</v>
      </c>
      <c r="GH24" s="31" t="str">
        <f>IF(SnapshotTable[[#This Row],[Equity Basis Total]] &gt; 0, SnapshotTable[[#This Row],[Equity Basis Per Share]] * SnapshotTable[[#This Row],[Booked Sale Shares]], "")</f>
        <v/>
      </c>
      <c r="GI24" s="31">
        <f>IF(SnapshotTable[[#This Row],[Sale Proceeds]]&gt;0, SnapshotTable[[#This Row],[Sale Proceeds]] - SnapshotTable[[#This Row],[Sale Basis]], 0)</f>
        <v>0</v>
      </c>
      <c r="GJ24" s="156" t="str">
        <f>IF(SnapshotTable[[#This Row],[Sale G/L]]&gt;0, SnapshotTable[[#This Row],[Sale G/L]] / SnapshotTable[[#This Row],[Sale Basis]], IF(ISNUMBER(SnapshotTable[[#This Row],[SC Exercise P&amp;L (TAX)]]), SnapshotTable[[#This Row],[SC Exercise P&amp;L (TAX)]] / SnapshotTable[[#This Row],[SC Basis]], ""))</f>
        <v/>
      </c>
      <c r="GK24" s="27"/>
      <c r="GL24" s="157" t="str">
        <f>IF(AND(SnapshotTable[[#This Row],[LP Exp Date]]&gt;0,SnapshotTable[[#This Row],[LP Strike Price]]&gt;0), [1]!ToOptionSymbol(SnapshotTable[[#This Row],[Symbol]], SnapshotTable[[#This Row],[LP Strike Price]],SnapshotTable[[#This Row],[LP Exp Date]],1), "")</f>
        <v/>
      </c>
      <c r="GM24" s="30" t="str">
        <f>IF(LEN(SnapshotTable[[#This Row],[LP Symbol]])&gt;0, 1, "")</f>
        <v/>
      </c>
      <c r="GN24" s="43" t="str">
        <f>IF(AND(SnapshotTable[[#This Row],[SP Exp Date]]&gt;0,SnapshotTable[[#This Row],[SP Strike Price]]&gt;0), [1]!ToOptionSymbol(SnapshotTable[[#This Row],[Symbol]], SnapshotTable[[#This Row],[SP Strike Price]],SnapshotTable[[#This Row],[SP Exp Date]],1), "")</f>
        <v/>
      </c>
      <c r="GO24" s="30" t="str">
        <f>IF(LEN(SnapshotTable[[#This Row],[SP Symbol]])&gt;0, 1, "")</f>
        <v/>
      </c>
      <c r="GP24" s="157" t="str">
        <f>IF(AND(SnapshotTable[[#This Row],[LC Exp Date]]&gt;0,SnapshotTable[[#This Row],[LC Strike Price]]&gt;0), [1]!ToOptionSymbol(SnapshotTable[[#This Row],[Symbol]], SnapshotTable[[#This Row],[LC Strike Price]],SnapshotTable[[#This Row],[LC Exp Date]],0), "")</f>
        <v/>
      </c>
      <c r="GQ24" s="158" t="str">
        <f>IF(LEN(SnapshotTable[[#This Row],[LC Symbol]])&gt;0, 1, "")</f>
        <v/>
      </c>
      <c r="GR24" s="157" t="str">
        <f>IF(AND(SnapshotTable[[#This Row],[SC Exp Date]]&gt;0,SnapshotTable[[#This Row],[SC Strike Price]]&gt;0), [1]!ToOptionSymbol(SnapshotTable[[#This Row],[Symbol]], SnapshotTable[[#This Row],[SC Strike Price]],SnapshotTable[[#This Row],[SC Exp Date]],0), "")</f>
        <v/>
      </c>
      <c r="GS24" s="158" t="str">
        <f>IF(LEN(SnapshotTable[[#This Row],[SC Symbol]])&gt;0, 1, "")</f>
        <v/>
      </c>
      <c r="GT24" s="159" t="str">
        <f>IF(COUNT(SnapshotTable[[#This Row],[LP Symbol Count]],SnapshotTable[[#This Row],[SP Symbol Count]],SnapshotTable[[#This Row],[LC Symbol Count]],SnapshotTable[[#This Row],[SC Symbol Count]])&gt;0, "Y", "")</f>
        <v/>
      </c>
      <c r="GU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 s="216">
        <f>MAX(SnapshotTable[[#This Row],[Equity Basis Total]],SnapshotTable[[#This Row],[Equity Value]]) + (SnapshotTable[[#This Row],[SP Potential Spend]]- SnapshotTable[[#This Row],[SP Premium]] + SnapshotTable[[#This Row],[LP Premium]])+ (SnapshotTable[[#This Row],[LC Premium]] - SnapshotTable[[#This Row],[SC Premium]])</f>
        <v>0</v>
      </c>
      <c r="GW24" s="137" t="str">
        <f>IF(AND(SnapshotTable[[#This Row],[Exposure]] &lt;&gt; 0),SnapshotTable[[#This Row],[Exposure]] / SnapshotTable[[#Totals],[Exposure]], "")</f>
        <v/>
      </c>
      <c r="HK24" s="1"/>
      <c r="HL24" s="1"/>
      <c r="HM24" s="1"/>
      <c r="HN24" s="1"/>
      <c r="HO24" s="1"/>
      <c r="HP24" s="1"/>
    </row>
    <row r="25" spans="2:224" ht="12.75" hidden="1" customHeight="1" x14ac:dyDescent="0.25">
      <c r="B25" s="12" t="s">
        <v>150</v>
      </c>
      <c r="C25" s="385">
        <v>130.34</v>
      </c>
      <c r="D25" s="200"/>
      <c r="E25" s="39">
        <f>SnapshotTable[[#This Row],[Last Price]]*(1 -CrashDiscount)</f>
        <v>110.789</v>
      </c>
      <c r="F25" s="26" t="s">
        <v>149</v>
      </c>
      <c r="G25" s="26" t="s">
        <v>32</v>
      </c>
      <c r="H25" s="147"/>
      <c r="I25" s="186">
        <v>44770.666666666664</v>
      </c>
      <c r="J25" s="187">
        <v>44770.666666666664</v>
      </c>
      <c r="K25" s="188"/>
      <c r="L25" s="297"/>
      <c r="M25" s="138"/>
      <c r="N25" s="138"/>
      <c r="O25" s="138">
        <v>2</v>
      </c>
      <c r="P25" s="22"/>
      <c r="Q25" s="25"/>
      <c r="R25" s="4" t="str">
        <f>IF(SnapshotTable[[#This Row],[Equity Basis Total]] &gt; 0, SnapshotTable[[#This Row],[Equity Basis Total]] / SnapshotTable[[#This Row],[Equity Shares]], "")</f>
        <v/>
      </c>
      <c r="S25" s="254">
        <f>SnapshotTable[[#This Row],[Last Price]] * SnapshotTable[[#This Row],[Equity Shares]]</f>
        <v>0</v>
      </c>
      <c r="T25" s="254">
        <f>SnapshotTable[[#This Row],[Equity Value]] - SnapshotTable[[#This Row],[Equity Basis Total]]</f>
        <v>0</v>
      </c>
      <c r="U25" s="255" t="str">
        <f>IF(SnapshotTable[[#This Row],[Equity Basis Total]] &gt; 0, SnapshotTable[[#This Row],[Equity G/L]] / SnapshotTable[[#This Row],[Equity Basis Total]], "")</f>
        <v/>
      </c>
      <c r="V25" s="253"/>
      <c r="W25" s="253"/>
      <c r="X25" s="4" t="str">
        <f>IF(AND(ISNUMBER(SnapshotTable[[#This Row],[Equity Basis Per Share]]),ISNUMBER(SnapshotTable[[#This Row],[Equity Target]])),SnapshotTable[[#This Row],[Equity Target]]-SnapshotTable[[#This Row],[Equity Basis Per Share]],"")</f>
        <v/>
      </c>
      <c r="Y25" s="4" t="str">
        <f>IF(AND(ISNUMBER(SnapshotTable[[#This Row],[Equity Basis Per Share]]),ISNUMBER(SnapshotTable[[#This Row],[Equity Stop Loss]])),SnapshotTable[[#This Row],[Equity Stop Loss]]-SnapshotTable[[#This Row],[Equity Basis Per Share]],"")</f>
        <v/>
      </c>
      <c r="Z25" s="260" t="str">
        <f>IFERROR( TEXT(SnapshotTable[[#This Row],[Equity Max Gain Per Share]] /ABS( SnapshotTable[[#This Row],[Equity Max Loss Per Share]]),"0.0 " ) &amp; " : 1", "")</f>
        <v/>
      </c>
      <c r="AA25" s="31" t="str">
        <f>IF(ISNUMBER(SnapshotTable[[#This Row],[Equity Max Gain Per Share]]),SnapshotTable[[#This Row],[Equity Max Gain Per Share]] * SnapshotTable[[#This Row],[Equity Shares]],"")</f>
        <v/>
      </c>
      <c r="AB25" s="31" t="str">
        <f>IF(ISNUMBER(SnapshotTable[[#This Row],[Equity Max Loss Per Share]]),SnapshotTable[[#This Row],[Equity Max Loss Per Share]] * SnapshotTable[[#This Row],[Equity Shares]],"")</f>
        <v/>
      </c>
      <c r="AC25" s="148">
        <v>2.08</v>
      </c>
      <c r="AD25" s="149">
        <v>43007</v>
      </c>
      <c r="AE25" s="31">
        <f>(SnapshotTable[[#This Row],[Annual Dividend Per Share]] / 4) * SnapshotTable[[#This Row],[Equity Shares]]</f>
        <v>0</v>
      </c>
      <c r="AF25" s="31">
        <f>SnapshotTable[[#This Row],[Quarterly Div $]] * 4</f>
        <v>0</v>
      </c>
      <c r="AG25" s="7">
        <f>IF(SnapshotTable[[#This Row],[Annual Dividend Per Share]]&gt;0, SnapshotTable[[#This Row],[Annual Dividend Per Share]]  / SnapshotTable[[#This Row],[Last Price]], 0)</f>
        <v>1.5958263004449899E-2</v>
      </c>
      <c r="AH25" s="149">
        <v>43357</v>
      </c>
      <c r="AI25" s="5"/>
      <c r="AJ25" s="136">
        <v>75.319999999999993</v>
      </c>
      <c r="AK25" s="150" t="str">
        <f>IF(ISNUMBER( SnapshotTable[[#This Row],[EBF Target]]),(SnapshotTable[[#This Row],[EBF Target]] - SnapshotTable[[#This Row],[Last Price]]) / SnapshotTable[[#This Row],[Last Price]], "")</f>
        <v/>
      </c>
      <c r="AL25" s="150" t="str">
        <f>IF(AND(SnapshotTable[[#This Row],[Equity Basis Total]] &gt; 0,ISNUMBER( SnapshotTable[[#This Row],[Long Term Target]])), SnapshotTable[[#This Row],[From Basis $]] / SnapshotTable[[#This Row],[Equity Basis Total]], "")</f>
        <v/>
      </c>
      <c r="AM25" s="9">
        <f>IF( AND(SnapshotTable[[#This Row],[Equity Shares]] &gt;0,ISNUMBER( SnapshotTable[[#This Row],[Long Term Target]])),(SnapshotTable[[#This Row],[Equity Shares]] * SnapshotTable[[#This Row],[Long Term Target]]) - SnapshotTable[[#This Row],[Equity Basis Total]],0)</f>
        <v>0</v>
      </c>
      <c r="AN25" s="9">
        <f>IF( AND(SnapshotTable[[#This Row],[Equity Shares]] &gt;0,ISNUMBER( SnapshotTable[[#This Row],[Long Term Target]])),(SnapshotTable[[#This Row],[Equity Shares]]*SnapshotTable[[#This Row],[Long Term Target]]) - SnapshotTable[[#This Row],[Equity Value]],0)</f>
        <v>0</v>
      </c>
      <c r="AO25" s="150">
        <f>IF(AND(ISNUMBER( SnapshotTable[[#This Row],[Long Term Target]]), ISNUMBER(SnapshotTable[[#This Row],[Last Price]])),(SnapshotTable[[#This Row],[Long Term Target]] - SnapshotTable[[#This Row],[Last Price]]) / SnapshotTable[[#This Row],[Last Price]], "")</f>
        <v>-0.42212674543501616</v>
      </c>
      <c r="AP25" s="5"/>
      <c r="AQ25" s="38"/>
      <c r="AR25" s="5"/>
      <c r="AS25" s="38"/>
      <c r="AT25" s="144"/>
      <c r="AU25" s="185" t="str">
        <f>IF(OR(SnapshotTable[[#This Row],[LP No Fill]]="Y",SnapshotTable[[#This Row],[SP Is Filled]],SnapshotTable[[#This Row],[LC Not Filled]]="Y",SnapshotTable[[#This Row],[SC Is Filled]]),"Y","")</f>
        <v/>
      </c>
      <c r="AV25" s="205"/>
      <c r="AW25" s="211"/>
      <c r="AX25" s="206"/>
      <c r="AY25" s="205" t="str">
        <f>IF(SnapshotTable[[#This Row],[Implied Move]]&gt;0, SnapshotTable[[#This Row],[Last Price]]-SnapshotTable[[#This Row],[Implied Move]],"")</f>
        <v/>
      </c>
      <c r="AZ25" s="205" t="str">
        <f>IF(SnapshotTable[[#This Row],[Implied Move]]&gt;0, SnapshotTable[[#This Row],[Last Price]] + SnapshotTable[[#This Row],[Implied Move]],"")</f>
        <v/>
      </c>
      <c r="BA25" s="302">
        <v>9.32</v>
      </c>
      <c r="BB25" s="318"/>
      <c r="BC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 s="321"/>
      <c r="BE25" s="5"/>
      <c r="BF25" s="14"/>
      <c r="BG25" s="13"/>
      <c r="BH25" s="13"/>
      <c r="BI25" s="5"/>
      <c r="BJ25" s="134">
        <f>IF(SnapshotTable[[#This Row],[LP Qty]] &gt; 0, SnapshotTable[[#This Row],[LP Qty]] * SnapshotTable[[#This Row],[LP Book Price]] * 100,0)</f>
        <v>0</v>
      </c>
      <c r="BK25" s="134">
        <f>IF(SnapshotTable[[#This Row],[LP Premium]] &gt; 0, SnapshotTable[[#This Row],[LP Qty]] * SnapshotTable[[#This Row],[LP Strike Price]] * 100,0)</f>
        <v>0</v>
      </c>
      <c r="BL25" s="152"/>
      <c r="BM25" s="355" t="str">
        <f>IF(SnapshotTable[[#This Row],[LP Premium]] &gt; 0,SnapshotTable[[#This Row],[LP Exp Date]]-MAX(SnapshotTable[[#This Row],[LP Book Date]], SnapshotTable[[#This Row],[LP Fill Date]]),"")</f>
        <v/>
      </c>
      <c r="BN25" s="355" t="str">
        <f>IF(ISNUMBER( SnapshotTable[[#This Row],[LP Term]]), SnapshotTable[[#This Row],[LP Exp Date]] - MockToday,"")</f>
        <v/>
      </c>
      <c r="BO25" s="161" t="str">
        <f>IF(AND(SnapshotTable[[#This Row],[LP Exp Date]]&gt;0, SnapshotTable[[#This Row],[LP Strike Price]]&gt;0,SnapshotTable[[#This Row],[LP Qty]]&gt;0,SnapshotTable[[#This Row],[LP Book Date]]&gt;0,SnapshotTable[[#This Row],[LP Book Price]]&gt;0,SnapshotTable[[#This Row],[LP Fill Date]]=0),"Y","")</f>
        <v/>
      </c>
      <c r="BP25" s="31" t="str">
        <f>IF(AND(SnapshotTable[[#This Row],[LP No Fill]]&lt;&gt;"Y",SnapshotTable[[#This Row],[LP Contract Value]]&gt;0, SnapshotTable[[#This Row],[LP Qty]]&gt;0), SnapshotTable[[#This Row],[LP Contract Value]]*SnapshotTable[[#This Row],[LP Qty]]*100,"")</f>
        <v/>
      </c>
      <c r="BQ25" s="13"/>
      <c r="BR25" s="5"/>
      <c r="BS25" s="36"/>
      <c r="BT25" s="145"/>
      <c r="BU25" s="13"/>
      <c r="BV25" s="5"/>
      <c r="BW25" s="382" t="b">
        <f>AND(ISNUMBER(SnapshotTable[[#This Row],[SP Exp Date]]), ISNUMBER(SnapshotTable[[#This Row],[SP Strike Price]]), ISNUMBER(SnapshotTable[[#This Row],[SP Qty]]), ISNUMBER(SnapshotTable[[#This Row],[SP Book Date]]), ISNUMBER(SnapshotTable[[#This Row],[SP Book Price]]))</f>
        <v>0</v>
      </c>
      <c r="BX25" s="382" t="b">
        <f>AND(SnapshotTable[[#This Row],[SP Is Booked]], NOT(ISBLANK(SnapshotTable[[#This Row],[SP Fill Date]])))</f>
        <v>0</v>
      </c>
      <c r="BY25" s="33">
        <f>IF(SnapshotTable[[#This Row],[SP Is Booked]], SnapshotTable[[#This Row],[SP Qty]] * SnapshotTable[[#This Row],[SP Book Price]] * 100, 0)</f>
        <v>0</v>
      </c>
      <c r="BZ25" s="339"/>
      <c r="CA25" s="338">
        <f>SnapshotTable[[#This Row],[LP Qty]]</f>
        <v>0</v>
      </c>
      <c r="CB25" s="4" t="str">
        <f>IF(SnapshotTable[[#This Row],[SP Is Booked]], SnapshotTable[[#This Row],[SP Strike Price]] - SnapshotTable[[#This Row],[SP Book Price]], "")</f>
        <v/>
      </c>
      <c r="CC25" s="19" t="str">
        <f>IF(SnapshotTable[[#This Row],[SP Is Booked]],SnapshotTable[[#This Row],[SP Exp Date]]-MAX(SnapshotTable[[#This Row],[SP Book Date]], SnapshotTable[[#This Row],[SP Fill Date]]),"")</f>
        <v/>
      </c>
      <c r="CD25" s="7" t="str">
        <f>IF(SnapshotTable[[#This Row],[SP Is Booked]], SnapshotTable[[#This Row],[SP Book Price]]/SnapshotTable[[#This Row],[SP Strike Price]], "")</f>
        <v/>
      </c>
      <c r="CE25" s="7" t="str">
        <f>IF(ISNUMBER(SnapshotTable[[#This Row],[SP ROO Term]]),SnapshotTable[[#This Row],[SP ROO Term]]*(365/SnapshotTable[[#This Row],[SP Term]]),"")</f>
        <v/>
      </c>
      <c r="CF25" s="221">
        <f>SnapshotTable[[#This Row],[LP Strike Price]] * SnapshotTable[[#This Row],[LP Qty]] * 100</f>
        <v>0</v>
      </c>
      <c r="CG25" s="31">
        <f>IF(ISNUMBER(SnapshotTable[[#This Row],[SP Premium]]), (SnapshotTable[[#This Row],[SP Qty]] * SnapshotTable[[#This Row],[SP Strike Price]]* 100) - SnapshotTable[[#This Row],[LP Protection]], 0)</f>
        <v>0</v>
      </c>
      <c r="CH25" s="7" t="str">
        <f>IF(ISNUMBER(SnapshotTable[[#This Row],[SP Break Even]]),-1 * (SnapshotTable[[#This Row],[SP Break Even]] - SnapshotTable[[#This Row],[Last Price]]) / SnapshotTable[[#This Row],[Last Price]], "")</f>
        <v/>
      </c>
      <c r="CI25" s="31">
        <f>IF(AND(ISNUMBER((SnapshotTable[[#This Row],[SP Potential Spend]])), SnapshotTable[[#This Row],[SP Strike Price]] &gt; SnapshotTable[[#This Row],[Last Price]], SnapshotTable[[#This Row],[SP Is Filled]]), SnapshotTable[[#This Row],[SP Potential Spend]] -  SnapshotTable[[#This Row],[LP Max Value]], 0)</f>
        <v>0</v>
      </c>
      <c r="CJ25" s="229"/>
      <c r="CK25" s="31">
        <f>IF(ISNUMBER(SnapshotTable[[#This Row],[SP Potential Spend]]),IF(ISNUMBER(SnapshotTable[[#This Row],[SP POW]]), SnapshotTable[[#This Row],[SP POW]] * SnapshotTable[[#This Row],[SP Potential Spend]], SnapshotTable[[#This Row],[SP Potential Spend]]), "")</f>
        <v>0</v>
      </c>
      <c r="CL25" s="162">
        <f>IF(NOT(SnapshotTable[[#This Row],[SP Is Filled]]),(SnapshotTable[[#This Row],[SP Qty]] * SnapshotTable[[#This Row],[SP Strike Price]] * 100) - SnapshotTable[[#This Row],[LP Max Value]],"")</f>
        <v>0</v>
      </c>
      <c r="CM25" s="31" t="str">
        <f>IF(SnapshotTable[[#This Row],[SP Actual Spend]]&lt;&gt;0, ((SnapshotTable[[#This Row],[SP Strike Price]]-SnapshotTable[[#This Row],[Last Price]]) *(SnapshotTable[[#This Row],[SP Qty]]*100) - SnapshotTable[[#This Row],[SP Premium]]) * - 1, "")</f>
        <v/>
      </c>
      <c r="CN25" s="76"/>
      <c r="CO25" s="339"/>
      <c r="CP25" s="4" t="str">
        <f>IF(SnapshotTable[[#This Row],[SP Is Filled]], btc_max_buyback_amount(SnapshotTable[[#This Row],[SP Fill Date]],SnapshotTable[[#This Row],[SP Exp Date]], SnapshotTable[[#This Row],[SP Book Price]]),"")</f>
        <v/>
      </c>
      <c r="CQ25" s="76"/>
      <c r="CR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 s="153" t="str">
        <f>IF(SnapshotTable[[#This Row],[SP Is Filled]], btc_next_cutoff_date(SnapshotTable[[#This Row],[SP Fill Date]],SnapshotTable[[#This Row],[SP Exp Date]]),"")</f>
        <v/>
      </c>
      <c r="CT25" s="220" t="str" cm="1">
        <f t="array" ref="CT25">IF(SnapshotTable[[#This Row],[SP Is Filled]], btc_should_buy_back(SnapshotTable[[#This Row],[SP Fill Date]], SnapshotTable[[#This Row],[SP Exp Date]], SnapshotTable[[#This Row],[SP Book Price]], SnapshotTable[[#This Row],[SP Current Ask]], MockToday, SnapshotTable[[#This Row],[SP Buyback Override]]),"")</f>
        <v/>
      </c>
      <c r="CU25" s="141"/>
      <c r="CV25" s="220"/>
      <c r="CW25" s="348" t="str">
        <f>IF(ISNUMBER( SnapshotTable[[#This Row],[SP Term]]), SnapshotTable[[#This Row],[SP Exp Date]] - MockToday,"")</f>
        <v/>
      </c>
      <c r="CX25" s="31" t="str">
        <f>IF(SnapshotTable[[#This Row],[SP Is Filled]],SnapshotTable[[#This Row],[SP Buyback Price to Use]] * 100 * SnapshotTable[[#This Row],[SP Qty]], "")</f>
        <v/>
      </c>
      <c r="CY25" s="4" t="str">
        <f>IF(ISNUMBER(SnapshotTable[[#This Row],[SP Strike Price]]), SnapshotTable[[#This Row],[SP Strike Price]] * (1 - SP_MaxLoss_StrikePct), "")</f>
        <v/>
      </c>
      <c r="CZ25" s="31" t="str">
        <f>IF(ISNUMBER(SnapshotTable[[#This Row],[SP Strike  Stop Per Share]]),SnapshotTable[[#This Row],[SP Premium]] - ((SnapshotTable[[#This Row],[SP Strike Price]]-SnapshotTable[[#This Row],[SP Strike  Stop Per Share]]) *(SnapshotTable[[#This Row],[SP Qty]] * 100)),"")</f>
        <v/>
      </c>
      <c r="DA25" s="4" t="str">
        <f>IF(AND(ISNUMBER(SnapshotTable[[#This Row],[SP Premium]]),SnapshotTable[[#This Row],[SP Premium]]&gt;0), SnapshotTable[[#This Row],[SP Book Price]] * (1 + SP_MaxLoss_OptionPct), "")</f>
        <v/>
      </c>
      <c r="DB25" s="31" t="str">
        <f>IF(ISNUMBER(SnapshotTable[[#This Row],[SP Option  Stop Contract]]),(SnapshotTable[[#This Row],[SP Option  Stop Contract]] *(SnapshotTable[[#This Row],[SP Qty]] * 100) - SnapshotTable[[#This Row],[SP Premium]]),"")</f>
        <v/>
      </c>
      <c r="DC25" s="4"/>
      <c r="DD25" s="4"/>
      <c r="DE25" s="4" t="str">
        <f>IF(AND(SnapshotTable[[#This Row],[SP Qty]]&gt;0, SnapshotTable[[#This Row],[SP Stop To Use]]&gt;0),SnapshotTable[[#This Row],[SP Premium]] - ( SnapshotTable[[#This Row],[SP Qty]] * SnapshotTable[[#This Row],[SP Stop To Use]] * 100), "")</f>
        <v/>
      </c>
      <c r="DF25" s="31" t="str">
        <f>IF(AND(SnapshotTable[[#This Row],[SP Qty]]&gt;0,SnapshotTable[[#This Row],[SP Current Ask]]&gt;0), SnapshotTable[[#This Row],[SP Qty]] * SnapshotTable[[#This Row],[SP Current Ask]] * -100, "")</f>
        <v/>
      </c>
      <c r="DG25" s="31" t="str">
        <f>IF(ISNUMBER((SnapshotTable[[#This Row],[SP Total Value]])), SnapshotTable[[#This Row],[SP Premium]] + SnapshotTable[[#This Row],[SP Total Value]], "")</f>
        <v/>
      </c>
      <c r="DH25" s="272" t="str">
        <f>IF(ISNUMBER((SnapshotTable[[#This Row],[SP Total Value]])), SnapshotTable[[#This Row],[SP Gain Loss]] / SnapshotTable[[#This Row],[SP Premium]], "")</f>
        <v/>
      </c>
      <c r="DI25" s="369"/>
      <c r="DJ25" s="136"/>
      <c r="DK25" s="146"/>
      <c r="DL25" s="13"/>
      <c r="DM25" s="13"/>
      <c r="DO25" s="31">
        <f>IF(SnapshotTable[[#This Row],[LC Symbol Count]]=1, SnapshotTable[[#This Row],[LC Qty]] * SnapshotTable[[#This Row],[LC Book Price]] * 100, 0)</f>
        <v>0</v>
      </c>
      <c r="DP25" s="161" t="str">
        <f>IF(AND(SnapshotTable[[#This Row],[LC Exp Date]]&gt;0, SnapshotTable[[#This Row],[LC Strike Price]]&gt;0,SnapshotTable[[#This Row],[LC Qty]]&gt;0,SnapshotTable[[#This Row],[LC Book Date]]&gt;0,SnapshotTable[[#This Row],[LC Book Price]]&gt;0,SnapshotTable[[#This Row],[LC Fill Date]]=0),"Y","")</f>
        <v/>
      </c>
      <c r="DQ25" s="356" t="str">
        <f>IF(SnapshotTable[[#This Row],[LC Premium]] &gt; 0,SnapshotTable[[#This Row],[LC Exp Date]]-MAX(SnapshotTable[[#This Row],[LC Book Date]], SnapshotTable[[#This Row],[LC Fill Date]]),"")</f>
        <v/>
      </c>
      <c r="DR25" s="356" t="str">
        <f>IF(ISNUMBER(SnapshotTable[[#This Row],[LC Term]]), SnapshotTable[[#This Row],[LC Exp Date]] - MockToday, "")</f>
        <v/>
      </c>
      <c r="DS25" s="219" t="str">
        <f>IF(SnapshotTable[[#This Row],[LC Premium]]&gt;0,SnapshotTable[[#This Row],[LC Strike Price]] + SnapshotTable[[#This Row],[LC Book Price]],"")</f>
        <v/>
      </c>
      <c r="DT25" s="5">
        <v>15.8</v>
      </c>
      <c r="DU25" s="9">
        <f>IF(AND(SnapshotTable[[#This Row],[LC Symbol Count]]&gt;0, SnapshotTable[[#This Row],[LC Contract Value]]&gt;0), SnapshotTable[[#This Row],[LC Contract Value]] * SnapshotTable[[#This Row],[LC Qty]] * 100, "")</f>
        <v>0</v>
      </c>
      <c r="DV25" s="9">
        <f>IF(AND(ISNUMBER(SnapshotTable[[#This Row],[LC Total Value]]), SnapshotTable[[#This Row],[LC Not Filled]]&lt;&gt;"Y"), SnapshotTable[[#This Row],[LC Total Value]]-SnapshotTable[[#This Row],[LC Premium]],"")</f>
        <v>0</v>
      </c>
      <c r="DW25" s="225" t="e">
        <f>IF(ISNUMBER(SnapshotTable[[#This Row],[LC Actual Gain Loss]]), SnapshotTable[[#This Row],[LC Actual Gain Loss]] / SnapshotTable[[#This Row],[LC Premium]],"")</f>
        <v>#DIV/0!</v>
      </c>
      <c r="DX25" s="269" t="str">
        <f>IF(ISNUMBER(SnapshotTable[[#This Row],[LC Book Price]]),SnapshotTable[[#This Row],[LC Book Price]] * 1.5,"")</f>
        <v/>
      </c>
      <c r="DY25" s="250" t="str">
        <f>IF(SnapshotTable[[#This Row],[LC Premium]]&gt;0, SnapshotTable[[#This Row],[LC Next Target]] * SnapshotTable[[#This Row],[LC Qty]] * 100,"")</f>
        <v/>
      </c>
      <c r="DZ25" s="250" t="str">
        <f>IF(ISNUMBER(SnapshotTable[[#This Row],[LC Target Gross]]), SnapshotTable[[#This Row],[LC Target Gross]] - SnapshotTable[[#This Row],[LC Premium]], "")</f>
        <v/>
      </c>
      <c r="EA25" s="283" t="str">
        <f>IF(ISNUMBER(SnapshotTable[[#This Row],[LC Target Gain Loss]]), SnapshotTable[[#This Row],[LC Target Gain Loss]]/SnapshotTable[[#This Row],[LC Premium]], "")</f>
        <v/>
      </c>
      <c r="EB25" s="247"/>
      <c r="EC25" s="268" t="str">
        <f>IF(SnapshotTable[[#This Row],[LC Premium]]&gt;0, SnapshotTable[[#This Row],[LC Book Price]] * (1 - LC_StopLoss_Pct),"")</f>
        <v/>
      </c>
      <c r="ED25" s="269"/>
      <c r="EE25" s="268" t="str">
        <f>IF(ISNUMBER(SnapshotTable[[#This Row],[LC Contract Value]]),IF(ISNUMBER(SnapshotTable[[#This Row],[LC Stop Loss Override]]), SnapshotTable[[#This Row],[LC Stop Loss Override]],SnapshotTable[[#This Row],[LC Stop Loss Calc Target]]),"")</f>
        <v/>
      </c>
      <c r="EF25" s="31" t="str">
        <f>IF(ISNUMBER(SnapshotTable[[#This Row],[LC Stop  To Use]]), (SnapshotTable[[#This Row],[LC Stop  To Use]] * SnapshotTable[[#This Row],[LC Qty]] * 100),"")</f>
        <v/>
      </c>
      <c r="EG25" s="9" t="e">
        <f>IF(ISNUMBER(SnapshotTable[[#This Row],[LC Total Value]]),SnapshotTable[[#This Row],[LC Stop Loss Amount]] - SnapshotTable[[#This Row],[LC Premium]],"")</f>
        <v>#VALUE!</v>
      </c>
      <c r="EH25" s="9">
        <f>IF(ISNUMBER(SnapshotTable[[#This Row],[LC Premium]]), SnapshotTable[[#This Row],[LC Qty]] * 100 * SnapshotTable[[#This Row],[LC Strike Price]], "")</f>
        <v>0</v>
      </c>
      <c r="EI25" s="225" t="str">
        <f>IF(AND(ISNUMBER(SnapshotTable[[#This Row],[LC Total Value]]),SnapshotTable[[#This Row],[LC Total Value]]&gt;0),SnapshotTable[[#This Row],[LC Stop Gain Loss]]  / SnapshotTable[[#This Row],[LC Premium]],"")</f>
        <v/>
      </c>
      <c r="EJ25" s="35">
        <f>IF(ISNUMBER(SnapshotTable[[#This Row],[Equity Shares]]),TRUNC(SnapshotTable[[#This Row],[Equity Shares]] / 100),0) + SnapshotTable[[#This Row],[LC Qty]]</f>
        <v>0</v>
      </c>
      <c r="EK25" s="145"/>
      <c r="EL25" s="136"/>
      <c r="EM25" s="146"/>
      <c r="EN25" s="145"/>
      <c r="EO25" s="145"/>
      <c r="EP25" s="136"/>
      <c r="EQ25" s="382" t="b">
        <f>AND(ISNUMBER(SnapshotTable[[#This Row],[SC Exp Date]]), ISNUMBER(SnapshotTable[[#This Row],[SC Strike Price]]), ISNUMBER(SnapshotTable[[#This Row],[SC Qty]]), ISNUMBER(SnapshotTable[[#This Row],[SC Book Date]]), ISNUMBER(SnapshotTable[[#This Row],[SC Book Price]]))</f>
        <v>0</v>
      </c>
      <c r="ER25" s="382" t="b">
        <f>AND(SnapshotTable[[#This Row],[SC Is Booked]], NOT(ISBLANK(SnapshotTable[[#This Row],[SC Fill Date]])))</f>
        <v>0</v>
      </c>
      <c r="ES25" s="340"/>
      <c r="ET25" s="34" t="str">
        <f>IF(AND(ISNUMBER(SnapshotTable[[#This Row],[SC Exp Date]]), ISNUMBER(SnapshotTable[[#This Row],[SC Book Date]])), SnapshotTable[[#This Row],[SC Exp Date]] - MAX(SnapshotTable[[#This Row],[SC Book Date]], SnapshotTable[[#This Row],[SC Fill Date]]) + 1, "")</f>
        <v/>
      </c>
      <c r="EU25" s="34" t="str">
        <f>IF(ISNUMBER(SnapshotTable[[#This Row],[SC Term]]), SnapshotTable[[#This Row],[SC Exp Date]]- MockToday, "")</f>
        <v/>
      </c>
      <c r="EV25" s="31">
        <f>IF(SnapshotTable[[#This Row],[SC Is Booked]], SnapshotTable[[#This Row],[SC Qty]] * SnapshotTable[[#This Row],[SC Book Price]] * 100, 0)</f>
        <v>0</v>
      </c>
      <c r="EW25" s="4" t="str">
        <f>IF(AND(ISNUMBER(SnapshotTable[[#This Row],[Last Price]]), ISNUMBER( SnapshotTable[[#This Row],[SC Book Price]])), SnapshotTable[[#This Row],[Last Price]] - SnapshotTable[[#This Row],[SC Book Price]],"")</f>
        <v/>
      </c>
      <c r="EX25" s="219" t="str">
        <f>IF(SnapshotTable[[#This Row],[SC Is Booked]],IF(SnapshotTable[[#This Row],[SC Intrinsic Value]] &gt; 0, SnapshotTable[[#This Row],[SC Strike Price]], SnapshotTable[[#This Row],[Last Price]]), "")</f>
        <v/>
      </c>
      <c r="EY25" s="4">
        <f>IF(SnapshotTable[[#This Row],[SC Is Booked]], (MinimumPremiumRequired * SnapshotTable[[#This Row],[SC Basis]] * SnapshotTable[[#This Row],[SC Term]]), 0)</f>
        <v>0</v>
      </c>
      <c r="EZ25" s="268"/>
      <c r="FA25" s="204"/>
      <c r="FB25" s="340"/>
      <c r="FC25" s="4">
        <f>IF(SnapshotTable[[#This Row],[SC Is Filled]], btc_max_buyback_amount(SnapshotTable[[#This Row],[SC Fill Date]],SnapshotTable[[#This Row],[SC Exp Date]], SnapshotTable[[#This Row],[SC Book Price]]),0)</f>
        <v>0</v>
      </c>
      <c r="FD25" s="5"/>
      <c r="FE25" s="142" t="str">
        <f>IF(SnapshotTable[[#This Row],[SC Is Filled]], btc_next_cutoff_date(SnapshotTable[[#This Row],[SC Fill Date]],SnapshotTable[[#This Row],[SC Exp Date]]),"")</f>
        <v/>
      </c>
      <c r="FF25" s="4" t="str" cm="1">
        <f t="array" ref="FF25">IF(SnapshotTable[[#This Row],[SC Is Filled]], btc_should_buy_back(SnapshotTable[[#This Row],[SC Fill Date]], SnapshotTable[[#This Row],[SC Exp Date]], SnapshotTable[[#This Row],[SC Book Price]], SnapshotTable[[#This Row],[SC Current Ask]], MockToday, SnapshotTable[[#This Row],[SC Buyback Override]]),"")</f>
        <v/>
      </c>
      <c r="FG25" s="4">
        <f>IF(SnapshotTable[[#This Row],[SC Is Filled]], MAX(0,SnapshotTable[[#This Row],[Last Price]]  - SnapshotTable[[#This Row],[SC Strike Price]]), 0)</f>
        <v>0</v>
      </c>
      <c r="FH25" s="352">
        <f>IF(SnapshotTable[[#This Row],[SC Is Filled]], IF(ISNUMBER(SnapshotTable[[#This Row],[SC Current Ask]]), SnapshotTable[[#This Row],[SC Current Ask]], SnapshotTable[[#This Row],[SC Book Price]]) - SnapshotTable[[#This Row],[SC Intrinsic Value]], 0)</f>
        <v>0</v>
      </c>
      <c r="FI25" s="141"/>
      <c r="FJ25" s="32" t="str">
        <f>IF(SnapshotTable[[#This Row],[SC Is Filled]],100 * SnapshotTable[[#This Row],[SC Qty]] * IF(ISNUMBER(SnapshotTable[[#This Row],[SC Buyback Override]]), SnapshotTable[[#This Row],[SC Buyback Override]], SnapshotTable[[#This Row],[SC Current Ask]]), "")</f>
        <v/>
      </c>
      <c r="FK25" s="235" t="str">
        <f>IF(SnapshotTable[[#This Row],[SC Time Val]]&gt;0, SnapshotTable[[#This Row],[SC Time Val]] / SnapshotTable[[#This Row],[Last Price]],"")</f>
        <v/>
      </c>
      <c r="FL25" s="280" t="str">
        <f>IF(SnapshotTable[[#This Row],[SC Is Booked]], ((SnapshotTable[[#This Row],[Last Price]] -SnapshotTable[[#This Row],[SC Strike Price]]) / SnapshotTable[[#This Row],[Last Price]]) * -1, "")</f>
        <v/>
      </c>
      <c r="FM25" s="155" t="str">
        <f>IF(SnapshotTable[[#This Row],[SC Is Booked]],  (SnapshotTable[[#This Row],[SC Qty]] * 100 * SnapshotTable[[#This Row],[SC Strike Price]]) - SnapshotTable[[#This Row],[SC Current Ask]], "")</f>
        <v/>
      </c>
      <c r="FN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 s="31" t="str">
        <f>IF(AND(ISNUMBER(SnapshotTable[[#This Row],[SC Exercise Gross]]), ISNUMBER(SnapshotTable[[#This Row],[Equity Basis Per Share]] )), SnapshotTable[[#This Row],[SC Exercise Gross]] - SnapshotTable[[#This Row],[Equity Basis Total]] +  SnapshotTable[[#This Row],[SC Premium]], "")</f>
        <v/>
      </c>
      <c r="FP25" s="5" t="str">
        <f>IF(ISNUMBER(SnapshotTable[[#This Row],[SC Exercise Gross]]), (SnapshotTable[[#This Row],[SC Exercise Gross]]) / (SnapshotTable[[#This Row],[SC Qty]] * 100), "")</f>
        <v/>
      </c>
      <c r="FQ25" s="27" t="str">
        <f>IF(SnapshotTable[[#This Row],[SC Is Booked]],SnapshotTable[[#This Row],[SC Time Val]] /SnapshotTable[[#This Row],[SC Basis]], "")</f>
        <v/>
      </c>
      <c r="FR25" s="27" t="str" cm="1">
        <f t="array" ref="FR25">IF(AND(ISNUMBER(SnapshotTable[[#This Row],[SC Term]]),ISNUMBER(SnapshotTable[[#This Row],[SC Simple ROO]])), EllmanAnnualize(SnapshotTable[[#This Row],[SC DTE]], SnapshotTable[[#This Row],[SC Simple ROO]] ),"")</f>
        <v/>
      </c>
      <c r="FS25" s="4">
        <f>IF(SnapshotTable[[#This Row],[SC Strike Price]] &gt; SnapshotTable[[#This Row],[Last Price]], SnapshotTable[[#This Row],[SC Strike Price]] - SnapshotTable[[#This Row],[Last Price]],0)</f>
        <v>0</v>
      </c>
      <c r="FT25" s="27" t="str">
        <f>IF(AND(ISNUMBER(SnapshotTable[[#This Row],[SC Upside Potential]]), SnapshotTable[[#This Row],[SC Upside Potential]] &gt; 0),(SnapshotTable[[#This Row],[SC Upside Potential]]/ SnapshotTable[[#This Row],[ACB]]),"")</f>
        <v/>
      </c>
      <c r="FU25" s="304" t="str">
        <f>IF(SnapshotTable[[#This Row],[SC Intrinsic Value]] &gt; 0,SnapshotTable[[#This Row],[SC Intrinsic Value]],"")</f>
        <v/>
      </c>
      <c r="FV25" s="27" t="str">
        <f>IF(AND( ISNUMBER( SnapshotTable[[#This Row],[ACB]]),ISNUMBER(SnapshotTable[[#This Row],[SC Downside Protect]])),SnapshotTable[[#This Row],[SC Downside Protect]] / SnapshotTable[[#This Row],[ACB]],"")</f>
        <v/>
      </c>
      <c r="FW25" s="221" t="str">
        <f>IF(AND(ISNUMBER(SnapshotTable[[#This Row],[SC Simple ROO]]),SnapshotTable[[#This Row],[SC Simple ROO]] &gt; 0), SnapshotTable[[#This Row],[SC Premium]] + (SnapshotTable[[#This Row],[SC Qty]] * SnapshotTable[[#This Row],[SC Upside Potential]]), "")</f>
        <v/>
      </c>
      <c r="FX25" s="280" t="str" cm="1">
        <f t="array" ref="FX25">IF(ISNUMBER(SnapshotTable[[#This Row],[SC Max Dollars]]), annualize(SnapshotTable[[#This Row],[SC Term]],(SnapshotTable[[#This Row],[SC Max Dollars]]/SnapshotTable[[#This Row],[SC Basis]])),"")</f>
        <v/>
      </c>
      <c r="FY25" s="221" t="str">
        <f>IF(AND(SnapshotTable[[#This Row],[SC Qty]]&gt;0,SnapshotTable[[#This Row],[SC Current Ask]]&gt;0), SnapshotTable[[#This Row],[SC Qty]] * SnapshotTable[[#This Row],[SC Current Ask]] * -100, "")</f>
        <v/>
      </c>
      <c r="FZ25" s="31" t="str">
        <f>IF(ISNUMBER((SnapshotTable[[#This Row],[SC Current Value]])), SnapshotTable[[#This Row],[SC Premium]] + SnapshotTable[[#This Row],[SC Current Value]], "")</f>
        <v/>
      </c>
      <c r="GA25" s="272" t="str">
        <f>IFERROR( IF(ISNUMBER((SnapshotTable[[#This Row],[SC Current Value]])), SnapshotTable[[#This Row],[SC Gain Loss]] / SnapshotTable[[#This Row],[SC Premium]], ""), "")</f>
        <v/>
      </c>
      <c r="GB25" s="42">
        <f>SnapshotTable[[#This Row],[Equity Shares]] * SaleSharesToConsiderPercentage</f>
        <v>0</v>
      </c>
      <c r="GC25" s="40">
        <f>SnapshotTable[[#This Row],[Long Term Target]] * SellingPriceToConsiderBasedOnTargetPercentage</f>
        <v>71.553999999999988</v>
      </c>
      <c r="GD25" s="40">
        <f>SnapshotTable[[#This Row],[Last Price]] * (1+ SellingPriceToConsiderBasedOnTargetPercentage)</f>
        <v>254.16300000000001</v>
      </c>
      <c r="GE25" s="41"/>
      <c r="GF25" s="40"/>
      <c r="GG25" s="31">
        <f>SnapshotTable[[#This Row],[Booked Sale Shares]] * SnapshotTable[[#This Row],[Booked Sale Price]]</f>
        <v>0</v>
      </c>
      <c r="GH25" s="31" t="str">
        <f>IF(SnapshotTable[[#This Row],[Equity Basis Total]] &gt; 0, SnapshotTable[[#This Row],[Equity Basis Per Share]] * SnapshotTable[[#This Row],[Booked Sale Shares]], "")</f>
        <v/>
      </c>
      <c r="GI25" s="31">
        <f>IF(SnapshotTable[[#This Row],[Sale Proceeds]]&gt;0, SnapshotTable[[#This Row],[Sale Proceeds]] - SnapshotTable[[#This Row],[Sale Basis]], 0)</f>
        <v>0</v>
      </c>
      <c r="GJ25" s="27" t="str">
        <f>IF(SnapshotTable[[#This Row],[Sale G/L]]&gt;0, SnapshotTable[[#This Row],[Sale G/L]] / SnapshotTable[[#This Row],[Sale Basis]], IF(ISNUMBER(SnapshotTable[[#This Row],[SC Exercise P&amp;L (TAX)]]), SnapshotTable[[#This Row],[SC Exercise P&amp;L (TAX)]] / SnapshotTable[[#This Row],[SC Basis]], ""))</f>
        <v/>
      </c>
      <c r="GK25" s="27" t="s">
        <v>593</v>
      </c>
      <c r="GL25" s="43" t="str">
        <f>IF(AND(SnapshotTable[[#This Row],[LP Exp Date]]&gt;0,SnapshotTable[[#This Row],[LP Strike Price]]&gt;0), [1]!ToOptionSymbol(SnapshotTable[[#This Row],[Symbol]], SnapshotTable[[#This Row],[LP Strike Price]],SnapshotTable[[#This Row],[LP Exp Date]],1), "")</f>
        <v/>
      </c>
      <c r="GM25" s="30" t="str">
        <f>IF(LEN(SnapshotTable[[#This Row],[LP Symbol]])&gt;0, 1, "")</f>
        <v/>
      </c>
      <c r="GN25" s="43" t="str">
        <f>IF(AND(SnapshotTable[[#This Row],[SP Exp Date]]&gt;0,SnapshotTable[[#This Row],[SP Strike Price]]&gt;0), [1]!ToOptionSymbol(SnapshotTable[[#This Row],[Symbol]], SnapshotTable[[#This Row],[SP Strike Price]],SnapshotTable[[#This Row],[SP Exp Date]],1), "")</f>
        <v/>
      </c>
      <c r="GO25" s="30" t="str">
        <f>IF(LEN(SnapshotTable[[#This Row],[SP Symbol]])&gt;0, 1, "")</f>
        <v/>
      </c>
      <c r="GP25" s="43" t="str">
        <f>IF(AND(SnapshotTable[[#This Row],[LC Exp Date]]&gt;0,SnapshotTable[[#This Row],[LC Strike Price]]&gt;0), [1]!ToOptionSymbol(SnapshotTable[[#This Row],[Symbol]], SnapshotTable[[#This Row],[LC Strike Price]],SnapshotTable[[#This Row],[LC Exp Date]],0), "")</f>
        <v/>
      </c>
      <c r="GQ25" s="30" t="str">
        <f>IF(LEN(SnapshotTable[[#This Row],[LC Symbol]])&gt;0, 1, "")</f>
        <v/>
      </c>
      <c r="GR25" s="43" t="str">
        <f>IF(AND(SnapshotTable[[#This Row],[SC Exp Date]]&gt;0,SnapshotTable[[#This Row],[SC Strike Price]]&gt;0), [1]!ToOptionSymbol(SnapshotTable[[#This Row],[Symbol]], SnapshotTable[[#This Row],[SC Strike Price]],SnapshotTable[[#This Row],[SC Exp Date]],0), "")</f>
        <v/>
      </c>
      <c r="GS25" s="30" t="str">
        <f>IF(LEN(SnapshotTable[[#This Row],[SC Symbol]])&gt;0, 1, "")</f>
        <v/>
      </c>
      <c r="GT25" s="29" t="str">
        <f>IF(COUNT(SnapshotTable[[#This Row],[LP Symbol Count]],SnapshotTable[[#This Row],[SP Symbol Count]],SnapshotTable[[#This Row],[LC Symbol Count]],SnapshotTable[[#This Row],[SC Symbol Count]])&gt;0, "Y", "")</f>
        <v/>
      </c>
      <c r="GU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5" s="216">
        <f>MAX(SnapshotTable[[#This Row],[Equity Basis Total]],SnapshotTable[[#This Row],[Equity Value]]) + (SnapshotTable[[#This Row],[SP Potential Spend]]- SnapshotTable[[#This Row],[SP Premium]] + SnapshotTable[[#This Row],[LP Premium]])+ (SnapshotTable[[#This Row],[LC Premium]] - SnapshotTable[[#This Row],[SC Premium]])</f>
        <v>0</v>
      </c>
      <c r="GW25" s="137" t="str">
        <f>IF(AND(SnapshotTable[[#This Row],[Exposure]] &lt;&gt; 0),SnapshotTable[[#This Row],[Exposure]] / SnapshotTable[[#Totals],[Exposure]], "")</f>
        <v/>
      </c>
      <c r="HK25" s="1"/>
      <c r="HL25" s="1"/>
      <c r="HM25" s="1"/>
      <c r="HN25" s="1"/>
      <c r="HO25" s="1"/>
      <c r="HP25" s="1"/>
    </row>
    <row r="26" spans="2:224" ht="12.75" hidden="1" customHeight="1" x14ac:dyDescent="0.25">
      <c r="B26" s="12" t="s">
        <v>33</v>
      </c>
      <c r="C26" s="385">
        <v>193.02</v>
      </c>
      <c r="D26" s="200" t="s">
        <v>473</v>
      </c>
      <c r="E26" s="39">
        <f>SnapshotTable[[#This Row],[Last Price]]*(1 -CrashDiscount)</f>
        <v>164.06700000000001</v>
      </c>
      <c r="F26" s="26" t="s">
        <v>445</v>
      </c>
      <c r="G26" s="26" t="s">
        <v>24</v>
      </c>
      <c r="H26" s="147"/>
      <c r="I26" s="186">
        <v>44770.708333333336</v>
      </c>
      <c r="J26" s="187">
        <v>44770.708333333336</v>
      </c>
      <c r="K26" s="188"/>
      <c r="L26" s="297" t="s">
        <v>469</v>
      </c>
      <c r="M26" s="138"/>
      <c r="N26" s="138"/>
      <c r="O26" s="138"/>
      <c r="P26" s="22"/>
      <c r="Q26" s="25"/>
      <c r="R26" s="4" t="str">
        <f>IF(SnapshotTable[[#This Row],[Equity Basis Total]] &gt; 0, SnapshotTable[[#This Row],[Equity Basis Total]] / SnapshotTable[[#This Row],[Equity Shares]], "")</f>
        <v/>
      </c>
      <c r="S26" s="254">
        <f>SnapshotTable[[#This Row],[Last Price]] * SnapshotTable[[#This Row],[Equity Shares]]</f>
        <v>0</v>
      </c>
      <c r="T26" s="254">
        <f>SnapshotTable[[#This Row],[Equity Value]] - SnapshotTable[[#This Row],[Equity Basis Total]]</f>
        <v>0</v>
      </c>
      <c r="U26" s="255" t="str">
        <f>IF(SnapshotTable[[#This Row],[Equity Basis Total]] &gt; 0, SnapshotTable[[#This Row],[Equity G/L]] / SnapshotTable[[#This Row],[Equity Basis Total]], "")</f>
        <v/>
      </c>
      <c r="V26" s="253"/>
      <c r="W26" s="253"/>
      <c r="X26" s="4" t="str">
        <f>IF(AND(ISNUMBER(SnapshotTable[[#This Row],[Equity Basis Per Share]]),ISNUMBER(SnapshotTable[[#This Row],[Equity Target]])),SnapshotTable[[#This Row],[Equity Target]]-SnapshotTable[[#This Row],[Equity Basis Per Share]],"")</f>
        <v/>
      </c>
      <c r="Y26" s="4" t="str">
        <f>IF(AND(ISNUMBER(SnapshotTable[[#This Row],[Equity Basis Per Share]]),ISNUMBER(SnapshotTable[[#This Row],[Equity Stop Loss]])),SnapshotTable[[#This Row],[Equity Stop Loss]]-SnapshotTable[[#This Row],[Equity Basis Per Share]],"")</f>
        <v/>
      </c>
      <c r="Z26" s="260" t="str">
        <f>IFERROR( TEXT(SnapshotTable[[#This Row],[Equity Max Gain Per Share]] /ABS( SnapshotTable[[#This Row],[Equity Max Loss Per Share]]),"0.0 " ) &amp; " : 1", "")</f>
        <v/>
      </c>
      <c r="AA26" s="31" t="str">
        <f>IF(ISNUMBER(SnapshotTable[[#This Row],[Equity Max Gain Per Share]]),SnapshotTable[[#This Row],[Equity Max Gain Per Share]] * SnapshotTable[[#This Row],[Equity Shares]],"")</f>
        <v/>
      </c>
      <c r="AB26" s="31" t="str">
        <f>IF(ISNUMBER(SnapshotTable[[#This Row],[Equity Max Loss Per Share]]),SnapshotTable[[#This Row],[Equity Max Loss Per Share]] * SnapshotTable[[#This Row],[Equity Shares]],"")</f>
        <v/>
      </c>
      <c r="AC26" s="148">
        <v>2.88</v>
      </c>
      <c r="AD26" s="149">
        <v>42993</v>
      </c>
      <c r="AE26" s="31">
        <f>(SnapshotTable[[#This Row],[Annual Dividend Per Share]] / 4) * SnapshotTable[[#This Row],[Equity Shares]]</f>
        <v>0</v>
      </c>
      <c r="AF26" s="31">
        <f>SnapshotTable[[#This Row],[Quarterly Div $]] * 4</f>
        <v>0</v>
      </c>
      <c r="AG26" s="7">
        <f>IF(SnapshotTable[[#This Row],[Annual Dividend Per Share]]&gt;0, SnapshotTable[[#This Row],[Annual Dividend Per Share]]  / SnapshotTable[[#This Row],[Last Price]], 0)</f>
        <v>1.4920733602735466E-2</v>
      </c>
      <c r="AH26" s="149">
        <v>43782</v>
      </c>
      <c r="AI26" s="5">
        <v>205</v>
      </c>
      <c r="AJ26" s="136">
        <v>9.5399999999999991</v>
      </c>
      <c r="AK26" s="150">
        <f>IF(ISNUMBER( SnapshotTable[[#This Row],[EBF Target]]),(SnapshotTable[[#This Row],[EBF Target]] - SnapshotTable[[#This Row],[Last Price]]) / SnapshotTable[[#This Row],[Last Price]], "")</f>
        <v>6.2066107139156508E-2</v>
      </c>
      <c r="AL26" s="150" t="str">
        <f>IF(AND(SnapshotTable[[#This Row],[Equity Basis Total]] &gt; 0,ISNUMBER( SnapshotTable[[#This Row],[Long Term Target]])), SnapshotTable[[#This Row],[From Basis $]] / SnapshotTable[[#This Row],[Equity Basis Total]], "")</f>
        <v/>
      </c>
      <c r="AM26" s="9">
        <f>IF( AND(SnapshotTable[[#This Row],[Equity Shares]] &gt;0,ISNUMBER( SnapshotTable[[#This Row],[Long Term Target]])),(SnapshotTable[[#This Row],[Equity Shares]] * SnapshotTable[[#This Row],[Long Term Target]]) - SnapshotTable[[#This Row],[Equity Basis Total]],0)</f>
        <v>0</v>
      </c>
      <c r="AN26" s="9">
        <f>IF( AND(SnapshotTable[[#This Row],[Equity Shares]] &gt;0,ISNUMBER( SnapshotTable[[#This Row],[Long Term Target]])),(SnapshotTable[[#This Row],[Equity Shares]]*SnapshotTable[[#This Row],[Long Term Target]]) - SnapshotTable[[#This Row],[Equity Value]],0)</f>
        <v>0</v>
      </c>
      <c r="AO26" s="150">
        <f>IF(AND(ISNUMBER( SnapshotTable[[#This Row],[Long Term Target]]), ISNUMBER(SnapshotTable[[#This Row],[Last Price]])),(SnapshotTable[[#This Row],[Long Term Target]] - SnapshotTable[[#This Row],[Last Price]]) / SnapshotTable[[#This Row],[Last Price]], "")</f>
        <v>-0.95057506994093877</v>
      </c>
      <c r="AP26" s="5">
        <v>8</v>
      </c>
      <c r="AQ26" s="38" t="s">
        <v>16</v>
      </c>
      <c r="AR26" s="5">
        <v>8</v>
      </c>
      <c r="AS26" s="38" t="s">
        <v>22</v>
      </c>
      <c r="AT26" s="144" t="s">
        <v>442</v>
      </c>
      <c r="AU26" s="185" t="str">
        <f>IF(OR(SnapshotTable[[#This Row],[LP No Fill]]="Y",SnapshotTable[[#This Row],[SP Is Filled]],SnapshotTable[[#This Row],[LC Not Filled]]="Y",SnapshotTable[[#This Row],[SC Is Filled]]),"Y","")</f>
        <v/>
      </c>
      <c r="AV26" s="205"/>
      <c r="AW26" s="211"/>
      <c r="AX26" s="206"/>
      <c r="AY26" s="205" t="str">
        <f>IF(SnapshotTable[[#This Row],[Implied Move]]&gt;0, SnapshotTable[[#This Row],[Last Price]]-SnapshotTable[[#This Row],[Implied Move]],"")</f>
        <v/>
      </c>
      <c r="AZ26" s="205" t="str">
        <f>IF(SnapshotTable[[#This Row],[Implied Move]]&gt;0, SnapshotTable[[#This Row],[Last Price]] + SnapshotTable[[#This Row],[Implied Move]],"")</f>
        <v/>
      </c>
      <c r="BA26" s="302"/>
      <c r="BB26" s="318"/>
      <c r="BC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6" s="321"/>
      <c r="BE26" s="5"/>
      <c r="BF26" s="14"/>
      <c r="BG26" s="13"/>
      <c r="BH26" s="13"/>
      <c r="BI26" s="5"/>
      <c r="BJ26" s="134">
        <f>IF(SnapshotTable[[#This Row],[LP Qty]] &gt; 0, SnapshotTable[[#This Row],[LP Qty]] * SnapshotTable[[#This Row],[LP Book Price]] * 100,0)</f>
        <v>0</v>
      </c>
      <c r="BK26" s="134">
        <f>IF(SnapshotTable[[#This Row],[LP Premium]] &gt; 0, SnapshotTable[[#This Row],[LP Qty]] * SnapshotTable[[#This Row],[LP Strike Price]] * 100,0)</f>
        <v>0</v>
      </c>
      <c r="BL26" s="152"/>
      <c r="BM26" s="355" t="str">
        <f>IF(SnapshotTable[[#This Row],[LP Premium]] &gt; 0,SnapshotTable[[#This Row],[LP Exp Date]]-MAX(SnapshotTable[[#This Row],[LP Book Date]], SnapshotTable[[#This Row],[LP Fill Date]]),"")</f>
        <v/>
      </c>
      <c r="BN26" s="355" t="str">
        <f>IF(ISNUMBER( SnapshotTable[[#This Row],[LP Term]]), SnapshotTable[[#This Row],[LP Exp Date]] - MockToday,"")</f>
        <v/>
      </c>
      <c r="BO26" s="161" t="str">
        <f>IF(AND(SnapshotTable[[#This Row],[LP Exp Date]]&gt;0, SnapshotTable[[#This Row],[LP Strike Price]]&gt;0,SnapshotTable[[#This Row],[LP Qty]]&gt;0,SnapshotTable[[#This Row],[LP Book Date]]&gt;0,SnapshotTable[[#This Row],[LP Book Price]]&gt;0,SnapshotTable[[#This Row],[LP Fill Date]]=0),"Y","")</f>
        <v/>
      </c>
      <c r="BP26" s="31" t="str">
        <f>IF(AND(SnapshotTable[[#This Row],[LP No Fill]]&lt;&gt;"Y",SnapshotTable[[#This Row],[LP Contract Value]]&gt;0, SnapshotTable[[#This Row],[LP Qty]]&gt;0), SnapshotTable[[#This Row],[LP Contract Value]]*SnapshotTable[[#This Row],[LP Qty]]*100,"")</f>
        <v/>
      </c>
      <c r="BQ26" s="13"/>
      <c r="BR26" s="5"/>
      <c r="BS26" s="36"/>
      <c r="BT26" s="145"/>
      <c r="BU26" s="13"/>
      <c r="BV26" s="5"/>
      <c r="BW26" s="382" t="b">
        <f>AND(ISNUMBER(SnapshotTable[[#This Row],[SP Exp Date]]), ISNUMBER(SnapshotTable[[#This Row],[SP Strike Price]]), ISNUMBER(SnapshotTable[[#This Row],[SP Qty]]), ISNUMBER(SnapshotTable[[#This Row],[SP Book Date]]), ISNUMBER(SnapshotTable[[#This Row],[SP Book Price]]))</f>
        <v>0</v>
      </c>
      <c r="BX26" s="382" t="b">
        <f>AND(SnapshotTable[[#This Row],[SP Is Booked]], NOT(ISBLANK(SnapshotTable[[#This Row],[SP Fill Date]])))</f>
        <v>0</v>
      </c>
      <c r="BY26" s="33">
        <f>IF(SnapshotTable[[#This Row],[SP Is Booked]], SnapshotTable[[#This Row],[SP Qty]] * SnapshotTable[[#This Row],[SP Book Price]] * 100, 0)</f>
        <v>0</v>
      </c>
      <c r="BZ26" s="339"/>
      <c r="CA26" s="338">
        <f>SnapshotTable[[#This Row],[LP Qty]]</f>
        <v>0</v>
      </c>
      <c r="CB26" s="4" t="str">
        <f>IF(SnapshotTable[[#This Row],[SP Is Booked]], SnapshotTable[[#This Row],[SP Strike Price]] - SnapshotTable[[#This Row],[SP Book Price]], "")</f>
        <v/>
      </c>
      <c r="CC26" s="19" t="str">
        <f>IF(SnapshotTable[[#This Row],[SP Is Booked]],SnapshotTable[[#This Row],[SP Exp Date]]-MAX(SnapshotTable[[#This Row],[SP Book Date]], SnapshotTable[[#This Row],[SP Fill Date]]),"")</f>
        <v/>
      </c>
      <c r="CD26" s="7" t="str">
        <f>IF(SnapshotTable[[#This Row],[SP Is Booked]], SnapshotTable[[#This Row],[SP Book Price]]/SnapshotTable[[#This Row],[SP Strike Price]], "")</f>
        <v/>
      </c>
      <c r="CE26" s="7" t="str">
        <f>IF(ISNUMBER(SnapshotTable[[#This Row],[SP ROO Term]]),SnapshotTable[[#This Row],[SP ROO Term]]*(365/SnapshotTable[[#This Row],[SP Term]]),"")</f>
        <v/>
      </c>
      <c r="CF26" s="221">
        <f>SnapshotTable[[#This Row],[LP Strike Price]] * SnapshotTable[[#This Row],[LP Qty]] * 100</f>
        <v>0</v>
      </c>
      <c r="CG26" s="31">
        <f>IF(ISNUMBER(SnapshotTable[[#This Row],[SP Premium]]), (SnapshotTable[[#This Row],[SP Qty]] * SnapshotTable[[#This Row],[SP Strike Price]]* 100) - SnapshotTable[[#This Row],[LP Protection]], 0)</f>
        <v>0</v>
      </c>
      <c r="CH26" s="7" t="str">
        <f>IF(ISNUMBER(SnapshotTable[[#This Row],[SP Break Even]]),-1 * (SnapshotTable[[#This Row],[SP Break Even]] - SnapshotTable[[#This Row],[Last Price]]) / SnapshotTable[[#This Row],[Last Price]], "")</f>
        <v/>
      </c>
      <c r="CI26" s="31">
        <f>IF(AND(ISNUMBER((SnapshotTable[[#This Row],[SP Potential Spend]])), SnapshotTable[[#This Row],[SP Strike Price]] &gt; SnapshotTable[[#This Row],[Last Price]], SnapshotTable[[#This Row],[SP Is Filled]]), SnapshotTable[[#This Row],[SP Potential Spend]] -  SnapshotTable[[#This Row],[LP Max Value]], 0)</f>
        <v>0</v>
      </c>
      <c r="CJ26" s="229"/>
      <c r="CK26" s="31">
        <f>IF(ISNUMBER(SnapshotTable[[#This Row],[SP Potential Spend]]),IF(ISNUMBER(SnapshotTable[[#This Row],[SP POW]]), SnapshotTable[[#This Row],[SP POW]] * SnapshotTable[[#This Row],[SP Potential Spend]], SnapshotTable[[#This Row],[SP Potential Spend]]), "")</f>
        <v>0</v>
      </c>
      <c r="CL26" s="162">
        <f>IF(NOT(SnapshotTable[[#This Row],[SP Is Filled]]),(SnapshotTable[[#This Row],[SP Qty]] * SnapshotTable[[#This Row],[SP Strike Price]] * 100) - SnapshotTable[[#This Row],[LP Max Value]],"")</f>
        <v>0</v>
      </c>
      <c r="CM26" s="31" t="str">
        <f>IF(SnapshotTable[[#This Row],[SP Actual Spend]]&lt;&gt;0, ((SnapshotTable[[#This Row],[SP Strike Price]]-SnapshotTable[[#This Row],[Last Price]]) *(SnapshotTable[[#This Row],[SP Qty]]*100) - SnapshotTable[[#This Row],[SP Premium]]) * - 1, "")</f>
        <v/>
      </c>
      <c r="CN26" s="76"/>
      <c r="CO26" s="339"/>
      <c r="CP26" s="4" t="str">
        <f>IF(SnapshotTable[[#This Row],[SP Is Filled]], btc_max_buyback_amount(SnapshotTable[[#This Row],[SP Fill Date]],SnapshotTable[[#This Row],[SP Exp Date]], SnapshotTable[[#This Row],[SP Book Price]]),"")</f>
        <v/>
      </c>
      <c r="CQ26" s="76"/>
      <c r="CR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6" s="153" t="str">
        <f>IF(SnapshotTable[[#This Row],[SP Is Filled]], btc_next_cutoff_date(SnapshotTable[[#This Row],[SP Fill Date]],SnapshotTable[[#This Row],[SP Exp Date]]),"")</f>
        <v/>
      </c>
      <c r="CT26" s="220" t="str" cm="1">
        <f t="array" ref="CT26">IF(SnapshotTable[[#This Row],[SP Is Filled]], btc_should_buy_back(SnapshotTable[[#This Row],[SP Fill Date]], SnapshotTable[[#This Row],[SP Exp Date]], SnapshotTable[[#This Row],[SP Book Price]], SnapshotTable[[#This Row],[SP Current Ask]], MockToday, SnapshotTable[[#This Row],[SP Buyback Override]]),"")</f>
        <v/>
      </c>
      <c r="CU26" s="141"/>
      <c r="CV26" s="220"/>
      <c r="CW26" s="348" t="str">
        <f>IF(ISNUMBER( SnapshotTable[[#This Row],[SP Term]]), SnapshotTable[[#This Row],[SP Exp Date]] - MockToday,"")</f>
        <v/>
      </c>
      <c r="CX26" s="31" t="str">
        <f>IF(SnapshotTable[[#This Row],[SP Is Filled]],SnapshotTable[[#This Row],[SP Buyback Price to Use]] * 100 * SnapshotTable[[#This Row],[SP Qty]], "")</f>
        <v/>
      </c>
      <c r="CY26" s="4" t="str">
        <f>IF(ISNUMBER(SnapshotTable[[#This Row],[SP Strike Price]]), SnapshotTable[[#This Row],[SP Strike Price]] * (1 - SP_MaxLoss_StrikePct), "")</f>
        <v/>
      </c>
      <c r="CZ26" s="31" t="str">
        <f>IF(ISNUMBER(SnapshotTable[[#This Row],[SP Strike  Stop Per Share]]),SnapshotTable[[#This Row],[SP Premium]] - ((SnapshotTable[[#This Row],[SP Strike Price]]-SnapshotTable[[#This Row],[SP Strike  Stop Per Share]]) *(SnapshotTable[[#This Row],[SP Qty]] * 100)),"")</f>
        <v/>
      </c>
      <c r="DA26" s="4" t="str">
        <f>IF(AND(ISNUMBER(SnapshotTable[[#This Row],[SP Premium]]),SnapshotTable[[#This Row],[SP Premium]]&gt;0), SnapshotTable[[#This Row],[SP Book Price]] * (1 + SP_MaxLoss_OptionPct), "")</f>
        <v/>
      </c>
      <c r="DB26" s="31" t="str">
        <f>IF(ISNUMBER(SnapshotTable[[#This Row],[SP Option  Stop Contract]]),(SnapshotTable[[#This Row],[SP Option  Stop Contract]] *(SnapshotTable[[#This Row],[SP Qty]] * 100) - SnapshotTable[[#This Row],[SP Premium]]),"")</f>
        <v/>
      </c>
      <c r="DC26" s="4"/>
      <c r="DD26" s="4"/>
      <c r="DE26" s="4" t="str">
        <f>IF(AND(SnapshotTable[[#This Row],[SP Qty]]&gt;0, SnapshotTable[[#This Row],[SP Stop To Use]]&gt;0),SnapshotTable[[#This Row],[SP Premium]] - ( SnapshotTable[[#This Row],[SP Qty]] * SnapshotTable[[#This Row],[SP Stop To Use]] * 100), "")</f>
        <v/>
      </c>
      <c r="DF26" s="31" t="str">
        <f>IF(AND(SnapshotTable[[#This Row],[SP Qty]]&gt;0,SnapshotTable[[#This Row],[SP Current Ask]]&gt;0), SnapshotTable[[#This Row],[SP Qty]] * SnapshotTable[[#This Row],[SP Current Ask]] * -100, "")</f>
        <v/>
      </c>
      <c r="DG26" s="31" t="str">
        <f>IF(ISNUMBER((SnapshotTable[[#This Row],[SP Total Value]])), SnapshotTable[[#This Row],[SP Premium]] + SnapshotTable[[#This Row],[SP Total Value]], "")</f>
        <v/>
      </c>
      <c r="DH26" s="272" t="str">
        <f>IF(ISNUMBER((SnapshotTable[[#This Row],[SP Total Value]])), SnapshotTable[[#This Row],[SP Gain Loss]] / SnapshotTable[[#This Row],[SP Premium]], "")</f>
        <v/>
      </c>
      <c r="DI26" s="369"/>
      <c r="DJ26" s="136"/>
      <c r="DK26" s="146"/>
      <c r="DL26" s="13"/>
      <c r="DM26" s="13"/>
      <c r="DO26" s="31">
        <f>IF(SnapshotTable[[#This Row],[LC Symbol Count]]=1, SnapshotTable[[#This Row],[LC Qty]] * SnapshotTable[[#This Row],[LC Book Price]] * 100, 0)</f>
        <v>0</v>
      </c>
      <c r="DP26" s="161" t="str">
        <f>IF(AND(SnapshotTable[[#This Row],[LC Exp Date]]&gt;0, SnapshotTable[[#This Row],[LC Strike Price]]&gt;0,SnapshotTable[[#This Row],[LC Qty]]&gt;0,SnapshotTable[[#This Row],[LC Book Date]]&gt;0,SnapshotTable[[#This Row],[LC Book Price]]&gt;0,SnapshotTable[[#This Row],[LC Fill Date]]=0),"Y","")</f>
        <v/>
      </c>
      <c r="DQ26" s="356" t="str">
        <f>IF(SnapshotTable[[#This Row],[LC Premium]] &gt; 0,SnapshotTable[[#This Row],[LC Exp Date]]-MAX(SnapshotTable[[#This Row],[LC Book Date]], SnapshotTable[[#This Row],[LC Fill Date]]),"")</f>
        <v/>
      </c>
      <c r="DR26" s="356" t="str">
        <f>IF(ISNUMBER(SnapshotTable[[#This Row],[LC Term]]), SnapshotTable[[#This Row],[LC Exp Date]] - MockToday, "")</f>
        <v/>
      </c>
      <c r="DS26" s="219" t="str">
        <f>IF(SnapshotTable[[#This Row],[LC Premium]]&gt;0,SnapshotTable[[#This Row],[LC Strike Price]] + SnapshotTable[[#This Row],[LC Book Price]],"")</f>
        <v/>
      </c>
      <c r="DU26" s="9" t="str">
        <f>IF(AND(SnapshotTable[[#This Row],[LC Symbol Count]]&gt;0, SnapshotTable[[#This Row],[LC Contract Value]]&gt;0), SnapshotTable[[#This Row],[LC Contract Value]] * SnapshotTable[[#This Row],[LC Qty]] * 100, "")</f>
        <v/>
      </c>
      <c r="DV26" s="9" t="str">
        <f>IF(AND(ISNUMBER(SnapshotTable[[#This Row],[LC Total Value]]), SnapshotTable[[#This Row],[LC Not Filled]]&lt;&gt;"Y"), SnapshotTable[[#This Row],[LC Total Value]]-SnapshotTable[[#This Row],[LC Premium]],"")</f>
        <v/>
      </c>
      <c r="DW26" s="225" t="str">
        <f>IF(ISNUMBER(SnapshotTable[[#This Row],[LC Actual Gain Loss]]), SnapshotTable[[#This Row],[LC Actual Gain Loss]] / SnapshotTable[[#This Row],[LC Premium]],"")</f>
        <v/>
      </c>
      <c r="DX26" s="269" t="str">
        <f>IF(ISNUMBER(SnapshotTable[[#This Row],[LC Book Price]]),SnapshotTable[[#This Row],[LC Book Price]] * 1.5,"")</f>
        <v/>
      </c>
      <c r="DY26" s="250" t="str">
        <f>IF(SnapshotTable[[#This Row],[LC Premium]]&gt;0, SnapshotTable[[#This Row],[LC Next Target]] * SnapshotTable[[#This Row],[LC Qty]] * 100,"")</f>
        <v/>
      </c>
      <c r="DZ26" s="250" t="str">
        <f>IF(ISNUMBER(SnapshotTable[[#This Row],[LC Target Gross]]), SnapshotTable[[#This Row],[LC Target Gross]] - SnapshotTable[[#This Row],[LC Premium]], "")</f>
        <v/>
      </c>
      <c r="EA26" s="283" t="str">
        <f>IF(ISNUMBER(SnapshotTable[[#This Row],[LC Target Gain Loss]]), SnapshotTable[[#This Row],[LC Target Gain Loss]]/SnapshotTable[[#This Row],[LC Premium]], "")</f>
        <v/>
      </c>
      <c r="EB26" s="247"/>
      <c r="EC26" s="268" t="str">
        <f>IF(SnapshotTable[[#This Row],[LC Premium]]&gt;0, SnapshotTable[[#This Row],[LC Book Price]] * (1 - LC_StopLoss_Pct),"")</f>
        <v/>
      </c>
      <c r="ED26" s="269"/>
      <c r="EE26" s="268" t="str">
        <f>IF(ISNUMBER(SnapshotTable[[#This Row],[LC Contract Value]]),IF(ISNUMBER(SnapshotTable[[#This Row],[LC Stop Loss Override]]), SnapshotTable[[#This Row],[LC Stop Loss Override]],SnapshotTable[[#This Row],[LC Stop Loss Calc Target]]),"")</f>
        <v/>
      </c>
      <c r="EF26" s="31" t="str">
        <f>IF(ISNUMBER(SnapshotTable[[#This Row],[LC Stop  To Use]]), (SnapshotTable[[#This Row],[LC Stop  To Use]] * SnapshotTable[[#This Row],[LC Qty]] * 100),"")</f>
        <v/>
      </c>
      <c r="EG26" s="9" t="str">
        <f>IF(ISNUMBER(SnapshotTable[[#This Row],[LC Total Value]]),SnapshotTable[[#This Row],[LC Stop Loss Amount]] - SnapshotTable[[#This Row],[LC Premium]],"")</f>
        <v/>
      </c>
      <c r="EH26" s="9">
        <f>IF(ISNUMBER(SnapshotTable[[#This Row],[LC Premium]]), SnapshotTable[[#This Row],[LC Qty]] * 100 * SnapshotTable[[#This Row],[LC Strike Price]], "")</f>
        <v>0</v>
      </c>
      <c r="EI26" s="225" t="str">
        <f>IF(AND(ISNUMBER(SnapshotTable[[#This Row],[LC Total Value]]),SnapshotTable[[#This Row],[LC Total Value]]&gt;0),SnapshotTable[[#This Row],[LC Stop Gain Loss]]  / SnapshotTable[[#This Row],[LC Premium]],"")</f>
        <v/>
      </c>
      <c r="EJ26" s="35">
        <f>IF(ISNUMBER(SnapshotTable[[#This Row],[Equity Shares]]),TRUNC(SnapshotTable[[#This Row],[Equity Shares]] / 100),0) + SnapshotTable[[#This Row],[LC Qty]]</f>
        <v>0</v>
      </c>
      <c r="EK26" s="145"/>
      <c r="EL26" s="136"/>
      <c r="EM26" s="146"/>
      <c r="EN26" s="145"/>
      <c r="EO26" s="145"/>
      <c r="EP26" s="136"/>
      <c r="EQ26" s="382" t="b">
        <f>AND(ISNUMBER(SnapshotTable[[#This Row],[SC Exp Date]]), ISNUMBER(SnapshotTable[[#This Row],[SC Strike Price]]), ISNUMBER(SnapshotTable[[#This Row],[SC Qty]]), ISNUMBER(SnapshotTable[[#This Row],[SC Book Date]]), ISNUMBER(SnapshotTable[[#This Row],[SC Book Price]]))</f>
        <v>0</v>
      </c>
      <c r="ER26" s="382" t="b">
        <f>AND(SnapshotTable[[#This Row],[SC Is Booked]], NOT(ISBLANK(SnapshotTable[[#This Row],[SC Fill Date]])))</f>
        <v>0</v>
      </c>
      <c r="ES26" s="340"/>
      <c r="ET26" s="34" t="str">
        <f>IF(AND(ISNUMBER(SnapshotTable[[#This Row],[SC Exp Date]]), ISNUMBER(SnapshotTable[[#This Row],[SC Book Date]])), SnapshotTable[[#This Row],[SC Exp Date]] - MAX(SnapshotTable[[#This Row],[SC Book Date]], SnapshotTable[[#This Row],[SC Fill Date]]) + 1, "")</f>
        <v/>
      </c>
      <c r="EU26" s="34" t="str">
        <f>IF(ISNUMBER(SnapshotTable[[#This Row],[SC Term]]), SnapshotTable[[#This Row],[SC Exp Date]]- MockToday, "")</f>
        <v/>
      </c>
      <c r="EV26" s="31">
        <f>IF(SnapshotTable[[#This Row],[SC Is Booked]], SnapshotTable[[#This Row],[SC Qty]] * SnapshotTable[[#This Row],[SC Book Price]] * 100, 0)</f>
        <v>0</v>
      </c>
      <c r="EW26" s="4" t="str">
        <f>IF(AND(ISNUMBER(SnapshotTable[[#This Row],[Last Price]]), ISNUMBER( SnapshotTable[[#This Row],[SC Book Price]])), SnapshotTable[[#This Row],[Last Price]] - SnapshotTable[[#This Row],[SC Book Price]],"")</f>
        <v/>
      </c>
      <c r="EX26" s="219" t="str">
        <f>IF(SnapshotTable[[#This Row],[SC Is Booked]],IF(SnapshotTable[[#This Row],[SC Intrinsic Value]] &gt; 0, SnapshotTable[[#This Row],[SC Strike Price]], SnapshotTable[[#This Row],[Last Price]]), "")</f>
        <v/>
      </c>
      <c r="EY26" s="4">
        <f>IF(SnapshotTable[[#This Row],[SC Is Booked]], (MinimumPremiumRequired * SnapshotTable[[#This Row],[SC Basis]] * SnapshotTable[[#This Row],[SC Term]]), 0)</f>
        <v>0</v>
      </c>
      <c r="EZ26" s="268"/>
      <c r="FA26" s="204"/>
      <c r="FB26" s="340"/>
      <c r="FC26" s="4">
        <f>IF(SnapshotTable[[#This Row],[SC Is Filled]], btc_max_buyback_amount(SnapshotTable[[#This Row],[SC Fill Date]],SnapshotTable[[#This Row],[SC Exp Date]], SnapshotTable[[#This Row],[SC Book Price]]),0)</f>
        <v>0</v>
      </c>
      <c r="FD26" s="5"/>
      <c r="FE26" s="142" t="str">
        <f>IF(SnapshotTable[[#This Row],[SC Is Filled]], btc_next_cutoff_date(SnapshotTable[[#This Row],[SC Fill Date]],SnapshotTable[[#This Row],[SC Exp Date]]),"")</f>
        <v/>
      </c>
      <c r="FF26" s="4" t="str" cm="1">
        <f t="array" ref="FF26">IF(SnapshotTable[[#This Row],[SC Is Filled]], btc_should_buy_back(SnapshotTable[[#This Row],[SC Fill Date]], SnapshotTable[[#This Row],[SC Exp Date]], SnapshotTable[[#This Row],[SC Book Price]], SnapshotTable[[#This Row],[SC Current Ask]], MockToday, SnapshotTable[[#This Row],[SC Buyback Override]]),"")</f>
        <v/>
      </c>
      <c r="FG26" s="4">
        <f>IF(SnapshotTable[[#This Row],[SC Is Filled]], MAX(0,SnapshotTable[[#This Row],[Last Price]]  - SnapshotTable[[#This Row],[SC Strike Price]]), 0)</f>
        <v>0</v>
      </c>
      <c r="FH26" s="352">
        <f>IF(SnapshotTable[[#This Row],[SC Is Filled]], IF(ISNUMBER(SnapshotTable[[#This Row],[SC Current Ask]]), SnapshotTable[[#This Row],[SC Current Ask]], SnapshotTable[[#This Row],[SC Book Price]]) - SnapshotTable[[#This Row],[SC Intrinsic Value]], 0)</f>
        <v>0</v>
      </c>
      <c r="FI26" s="141">
        <v>45786</v>
      </c>
      <c r="FJ26" s="32" t="str">
        <f>IF(SnapshotTable[[#This Row],[SC Is Filled]],100 * SnapshotTable[[#This Row],[SC Qty]] * IF(ISNUMBER(SnapshotTable[[#This Row],[SC Buyback Override]]), SnapshotTable[[#This Row],[SC Buyback Override]], SnapshotTable[[#This Row],[SC Current Ask]]), "")</f>
        <v/>
      </c>
      <c r="FK26" s="235" t="str">
        <f>IF(SnapshotTable[[#This Row],[SC Time Val]]&gt;0, SnapshotTable[[#This Row],[SC Time Val]] / SnapshotTable[[#This Row],[Last Price]],"")</f>
        <v/>
      </c>
      <c r="FL26" s="280" t="str">
        <f>IF(SnapshotTable[[#This Row],[SC Is Booked]], ((SnapshotTable[[#This Row],[Last Price]] -SnapshotTable[[#This Row],[SC Strike Price]]) / SnapshotTable[[#This Row],[Last Price]]) * -1, "")</f>
        <v/>
      </c>
      <c r="FM26" s="155" t="str">
        <f>IF(SnapshotTable[[#This Row],[SC Is Booked]],  (SnapshotTable[[#This Row],[SC Qty]] * 100 * SnapshotTable[[#This Row],[SC Strike Price]]) - SnapshotTable[[#This Row],[SC Current Ask]], "")</f>
        <v/>
      </c>
      <c r="FN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6" s="31" t="str">
        <f>IF(AND(ISNUMBER(SnapshotTable[[#This Row],[SC Exercise Gross]]), ISNUMBER(SnapshotTable[[#This Row],[Equity Basis Per Share]] )), SnapshotTable[[#This Row],[SC Exercise Gross]] - SnapshotTable[[#This Row],[Equity Basis Total]] +  SnapshotTable[[#This Row],[SC Premium]], "")</f>
        <v/>
      </c>
      <c r="FP26" s="5" t="str">
        <f>IF(ISNUMBER(SnapshotTable[[#This Row],[SC Exercise Gross]]), (SnapshotTable[[#This Row],[SC Exercise Gross]]) / (SnapshotTable[[#This Row],[SC Qty]] * 100), "")</f>
        <v/>
      </c>
      <c r="FQ26" s="27" t="str">
        <f>IF(SnapshotTable[[#This Row],[SC Is Booked]],SnapshotTable[[#This Row],[SC Time Val]] /SnapshotTable[[#This Row],[SC Basis]], "")</f>
        <v/>
      </c>
      <c r="FR26" s="27" t="str" cm="1">
        <f t="array" ref="FR26">IF(AND(ISNUMBER(SnapshotTable[[#This Row],[SC Term]]),ISNUMBER(SnapshotTable[[#This Row],[SC Simple ROO]])), EllmanAnnualize(SnapshotTable[[#This Row],[SC DTE]], SnapshotTable[[#This Row],[SC Simple ROO]] ),"")</f>
        <v/>
      </c>
      <c r="FS26" s="4">
        <f>IF(SnapshotTable[[#This Row],[SC Strike Price]] &gt; SnapshotTable[[#This Row],[Last Price]], SnapshotTable[[#This Row],[SC Strike Price]] - SnapshotTable[[#This Row],[Last Price]],0)</f>
        <v>0</v>
      </c>
      <c r="FT26" s="27" t="str">
        <f>IF(AND(ISNUMBER(SnapshotTable[[#This Row],[SC Upside Potential]]), SnapshotTable[[#This Row],[SC Upside Potential]] &gt; 0),(SnapshotTable[[#This Row],[SC Upside Potential]]/ SnapshotTable[[#This Row],[ACB]]),"")</f>
        <v/>
      </c>
      <c r="FU26" s="304" t="str">
        <f>IF(SnapshotTable[[#This Row],[SC Intrinsic Value]] &gt; 0,SnapshotTable[[#This Row],[SC Intrinsic Value]],"")</f>
        <v/>
      </c>
      <c r="FV26" s="27" t="str">
        <f>IF(AND( ISNUMBER( SnapshotTable[[#This Row],[ACB]]),ISNUMBER(SnapshotTable[[#This Row],[SC Downside Protect]])),SnapshotTable[[#This Row],[SC Downside Protect]] / SnapshotTable[[#This Row],[ACB]],"")</f>
        <v/>
      </c>
      <c r="FW26" s="221" t="str">
        <f>IF(AND(ISNUMBER(SnapshotTable[[#This Row],[SC Simple ROO]]),SnapshotTable[[#This Row],[SC Simple ROO]] &gt; 0), SnapshotTable[[#This Row],[SC Premium]] + (SnapshotTable[[#This Row],[SC Qty]] * SnapshotTable[[#This Row],[SC Upside Potential]]), "")</f>
        <v/>
      </c>
      <c r="FX26" s="280" t="str" cm="1">
        <f t="array" ref="FX26">IF(ISNUMBER(SnapshotTable[[#This Row],[SC Max Dollars]]), annualize(SnapshotTable[[#This Row],[SC Term]],(SnapshotTable[[#This Row],[SC Max Dollars]]/SnapshotTable[[#This Row],[SC Basis]])),"")</f>
        <v/>
      </c>
      <c r="FY26" s="221" t="str">
        <f>IF(AND(SnapshotTable[[#This Row],[SC Qty]]&gt;0,SnapshotTable[[#This Row],[SC Current Ask]]&gt;0), SnapshotTable[[#This Row],[SC Qty]] * SnapshotTable[[#This Row],[SC Current Ask]] * -100, "")</f>
        <v/>
      </c>
      <c r="FZ26" s="31" t="str">
        <f>IF(ISNUMBER((SnapshotTable[[#This Row],[SC Current Value]])), SnapshotTable[[#This Row],[SC Premium]] + SnapshotTable[[#This Row],[SC Current Value]], "")</f>
        <v/>
      </c>
      <c r="GA26" s="272" t="str">
        <f>IFERROR( IF(ISNUMBER((SnapshotTable[[#This Row],[SC Current Value]])), SnapshotTable[[#This Row],[SC Gain Loss]] / SnapshotTable[[#This Row],[SC Premium]], ""), "")</f>
        <v/>
      </c>
      <c r="GB26" s="42">
        <f>SnapshotTable[[#This Row],[Equity Shares]] * SaleSharesToConsiderPercentage</f>
        <v>0</v>
      </c>
      <c r="GC26" s="40">
        <f>SnapshotTable[[#This Row],[Long Term Target]] * SellingPriceToConsiderBasedOnTargetPercentage</f>
        <v>9.0629999999999988</v>
      </c>
      <c r="GD26" s="40">
        <f>SnapshotTable[[#This Row],[Last Price]] * (1+ SellingPriceToConsiderBasedOnTargetPercentage)</f>
        <v>376.38900000000001</v>
      </c>
      <c r="GE26" s="41"/>
      <c r="GF26" s="40"/>
      <c r="GG26" s="31">
        <f>SnapshotTable[[#This Row],[Booked Sale Shares]] * SnapshotTable[[#This Row],[Booked Sale Price]]</f>
        <v>0</v>
      </c>
      <c r="GH26" s="31" t="str">
        <f>IF(SnapshotTable[[#This Row],[Equity Basis Total]] &gt; 0, SnapshotTable[[#This Row],[Equity Basis Per Share]] * SnapshotTable[[#This Row],[Booked Sale Shares]], "")</f>
        <v/>
      </c>
      <c r="GI26" s="31">
        <f>IF(SnapshotTable[[#This Row],[Sale Proceeds]]&gt;0, SnapshotTable[[#This Row],[Sale Proceeds]] - SnapshotTable[[#This Row],[Sale Basis]], 0)</f>
        <v>0</v>
      </c>
      <c r="GJ26" s="27" t="str">
        <f>IF(SnapshotTable[[#This Row],[Sale G/L]]&gt;0, SnapshotTable[[#This Row],[Sale G/L]] / SnapshotTable[[#This Row],[Sale Basis]], IF(ISNUMBER(SnapshotTable[[#This Row],[SC Exercise P&amp;L (TAX)]]), SnapshotTable[[#This Row],[SC Exercise P&amp;L (TAX)]] / SnapshotTable[[#This Row],[SC Basis]], ""))</f>
        <v/>
      </c>
      <c r="GK26" s="27" t="s">
        <v>510</v>
      </c>
      <c r="GL26" s="43" t="str">
        <f>IF(AND(SnapshotTable[[#This Row],[LP Exp Date]]&gt;0,SnapshotTable[[#This Row],[LP Strike Price]]&gt;0), [1]!ToOptionSymbol(SnapshotTable[[#This Row],[Symbol]], SnapshotTable[[#This Row],[LP Strike Price]],SnapshotTable[[#This Row],[LP Exp Date]],1), "")</f>
        <v/>
      </c>
      <c r="GM26" s="30" t="str">
        <f>IF(LEN(SnapshotTable[[#This Row],[LP Symbol]])&gt;0, 1, "")</f>
        <v/>
      </c>
      <c r="GN26" s="43" t="str">
        <f>IF(AND(SnapshotTable[[#This Row],[SP Exp Date]]&gt;0,SnapshotTable[[#This Row],[SP Strike Price]]&gt;0), [1]!ToOptionSymbol(SnapshotTable[[#This Row],[Symbol]], SnapshotTable[[#This Row],[SP Strike Price]],SnapshotTable[[#This Row],[SP Exp Date]],1), "")</f>
        <v/>
      </c>
      <c r="GO26" s="30" t="str">
        <f>IF(LEN(SnapshotTable[[#This Row],[SP Symbol]])&gt;0, 1, "")</f>
        <v/>
      </c>
      <c r="GP26" s="43" t="str">
        <f>IF(AND(SnapshotTable[[#This Row],[LC Exp Date]]&gt;0,SnapshotTable[[#This Row],[LC Strike Price]]&gt;0), [1]!ToOptionSymbol(SnapshotTable[[#This Row],[Symbol]], SnapshotTable[[#This Row],[LC Strike Price]],SnapshotTable[[#This Row],[LC Exp Date]],0), "")</f>
        <v/>
      </c>
      <c r="GQ26" s="30" t="str">
        <f>IF(LEN(SnapshotTable[[#This Row],[LC Symbol]])&gt;0, 1, "")</f>
        <v/>
      </c>
      <c r="GR26" s="43" t="str">
        <f>IF(AND(SnapshotTable[[#This Row],[SC Exp Date]]&gt;0,SnapshotTable[[#This Row],[SC Strike Price]]&gt;0), [1]!ToOptionSymbol(SnapshotTable[[#This Row],[Symbol]], SnapshotTable[[#This Row],[SC Strike Price]],SnapshotTable[[#This Row],[SC Exp Date]],0), "")</f>
        <v/>
      </c>
      <c r="GS26" s="30" t="str">
        <f>IF(LEN(SnapshotTable[[#This Row],[SC Symbol]])&gt;0, 1, "")</f>
        <v/>
      </c>
      <c r="GT26" s="29" t="str">
        <f>IF(COUNT(SnapshotTable[[#This Row],[LP Symbol Count]],SnapshotTable[[#This Row],[SP Symbol Count]],SnapshotTable[[#This Row],[LC Symbol Count]],SnapshotTable[[#This Row],[SC Symbol Count]])&gt;0, "Y", "")</f>
        <v/>
      </c>
      <c r="GU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6" s="216">
        <f>MAX(SnapshotTable[[#This Row],[Equity Basis Total]],SnapshotTable[[#This Row],[Equity Value]]) + (SnapshotTable[[#This Row],[SP Potential Spend]]- SnapshotTable[[#This Row],[SP Premium]] + SnapshotTable[[#This Row],[LP Premium]])+ (SnapshotTable[[#This Row],[LC Premium]] - SnapshotTable[[#This Row],[SC Premium]])</f>
        <v>0</v>
      </c>
      <c r="GW26" s="137" t="str">
        <f>IF(AND(SnapshotTable[[#This Row],[Exposure]] &lt;&gt; 0),SnapshotTable[[#This Row],[Exposure]] / SnapshotTable[[#Totals],[Exposure]], "")</f>
        <v/>
      </c>
      <c r="HK26" s="1"/>
      <c r="HL26" s="1"/>
      <c r="HM26" s="1"/>
      <c r="HN26" s="1"/>
      <c r="HO26" s="1"/>
      <c r="HP26" s="1"/>
    </row>
    <row r="27" spans="2:224" ht="12.75" hidden="1" customHeight="1" x14ac:dyDescent="0.25">
      <c r="B27" s="12" t="s">
        <v>958</v>
      </c>
      <c r="C27" s="385">
        <v>610.35</v>
      </c>
      <c r="D27" s="200"/>
      <c r="E27" s="39">
        <f>SnapshotTable[[#This Row],[Last Price]]*(1 -CrashDiscount)</f>
        <v>518.79750000000001</v>
      </c>
      <c r="F27" s="296" t="s">
        <v>959</v>
      </c>
      <c r="G27" s="296" t="s">
        <v>678</v>
      </c>
      <c r="H27" s="147"/>
      <c r="I27" s="186"/>
      <c r="J27" s="187"/>
      <c r="K27" s="188"/>
      <c r="L27" s="297"/>
      <c r="M27" s="138"/>
      <c r="N27" s="138"/>
      <c r="O27" s="138"/>
      <c r="P27" s="22"/>
      <c r="Q27" s="25"/>
      <c r="R27" s="4" t="str">
        <f>IF(SnapshotTable[[#This Row],[Equity Basis Total]] &gt; 0, SnapshotTable[[#This Row],[Equity Basis Total]] / SnapshotTable[[#This Row],[Equity Shares]], "")</f>
        <v/>
      </c>
      <c r="S27" s="254">
        <f>SnapshotTable[[#This Row],[Last Price]] * SnapshotTable[[#This Row],[Equity Shares]]</f>
        <v>0</v>
      </c>
      <c r="T27" s="254">
        <f>SnapshotTable[[#This Row],[Equity Value]] - SnapshotTable[[#This Row],[Equity Basis Total]]</f>
        <v>0</v>
      </c>
      <c r="U27" s="255" t="str">
        <f>IF(SnapshotTable[[#This Row],[Equity Basis Total]] &gt; 0, SnapshotTable[[#This Row],[Equity G/L]] / SnapshotTable[[#This Row],[Equity Basis Total]], "")</f>
        <v/>
      </c>
      <c r="V27" s="253"/>
      <c r="W27" s="253"/>
      <c r="X27" s="4" t="str">
        <f>IF(AND(ISNUMBER(SnapshotTable[[#This Row],[Equity Basis Per Share]]),ISNUMBER(SnapshotTable[[#This Row],[Equity Target]])),SnapshotTable[[#This Row],[Equity Target]]-SnapshotTable[[#This Row],[Equity Basis Per Share]],"")</f>
        <v/>
      </c>
      <c r="Y27" s="4" t="str">
        <f>IF(AND(ISNUMBER(SnapshotTable[[#This Row],[Equity Basis Per Share]]),ISNUMBER(SnapshotTable[[#This Row],[Equity Stop Loss]])),SnapshotTable[[#This Row],[Equity Stop Loss]]-SnapshotTable[[#This Row],[Equity Basis Per Share]],"")</f>
        <v/>
      </c>
      <c r="Z27" s="260" t="str">
        <f>IFERROR( TEXT(SnapshotTable[[#This Row],[Equity Max Gain Per Share]] /ABS( SnapshotTable[[#This Row],[Equity Max Loss Per Share]]),"0.0 " ) &amp; " : 1", "")</f>
        <v/>
      </c>
      <c r="AA27" s="31" t="str">
        <f>IF(ISNUMBER(SnapshotTable[[#This Row],[Equity Max Gain Per Share]]),SnapshotTable[[#This Row],[Equity Max Gain Per Share]] * SnapshotTable[[#This Row],[Equity Shares]],"")</f>
        <v/>
      </c>
      <c r="AB27" s="31" t="str">
        <f>IF(ISNUMBER(SnapshotTable[[#This Row],[Equity Max Loss Per Share]]),SnapshotTable[[#This Row],[Equity Max Loss Per Share]] * SnapshotTable[[#This Row],[Equity Shares]],"")</f>
        <v/>
      </c>
      <c r="AC27" s="148"/>
      <c r="AD27" s="149"/>
      <c r="AE27" s="31">
        <f>(SnapshotTable[[#This Row],[Annual Dividend Per Share]] / 4) * SnapshotTable[[#This Row],[Equity Shares]]</f>
        <v>0</v>
      </c>
      <c r="AF27" s="31">
        <f>SnapshotTable[[#This Row],[Quarterly Div $]] * 4</f>
        <v>0</v>
      </c>
      <c r="AG27" s="7">
        <f>IF(SnapshotTable[[#This Row],[Annual Dividend Per Share]]&gt;0, SnapshotTable[[#This Row],[Annual Dividend Per Share]]  / SnapshotTable[[#This Row],[Last Price]], 0)</f>
        <v>0</v>
      </c>
      <c r="AH27" s="149"/>
      <c r="AI27" s="5"/>
      <c r="AJ27" s="136"/>
      <c r="AK27" s="150" t="str">
        <f>IF(ISNUMBER( SnapshotTable[[#This Row],[EBF Target]]),(SnapshotTable[[#This Row],[EBF Target]] - SnapshotTable[[#This Row],[Last Price]]) / SnapshotTable[[#This Row],[Last Price]], "")</f>
        <v/>
      </c>
      <c r="AL27" s="150" t="str">
        <f>IF(AND(SnapshotTable[[#This Row],[Equity Basis Total]] &gt; 0,ISNUMBER( SnapshotTable[[#This Row],[Long Term Target]])), SnapshotTable[[#This Row],[From Basis $]] / SnapshotTable[[#This Row],[Equity Basis Total]], "")</f>
        <v/>
      </c>
      <c r="AM27" s="9">
        <f>IF( AND(SnapshotTable[[#This Row],[Equity Shares]] &gt;0,ISNUMBER( SnapshotTable[[#This Row],[Long Term Target]])),(SnapshotTable[[#This Row],[Equity Shares]] * SnapshotTable[[#This Row],[Long Term Target]]) - SnapshotTable[[#This Row],[Equity Basis Total]],0)</f>
        <v>0</v>
      </c>
      <c r="AN27" s="9">
        <f>IF( AND(SnapshotTable[[#This Row],[Equity Shares]] &gt;0,ISNUMBER( SnapshotTable[[#This Row],[Long Term Target]])),(SnapshotTable[[#This Row],[Equity Shares]]*SnapshotTable[[#This Row],[Long Term Target]]) - SnapshotTable[[#This Row],[Equity Value]],0)</f>
        <v>0</v>
      </c>
      <c r="AO27" s="150" t="str">
        <f>IF(AND(ISNUMBER( SnapshotTable[[#This Row],[Long Term Target]]), ISNUMBER(SnapshotTable[[#This Row],[Last Price]])),(SnapshotTable[[#This Row],[Long Term Target]] - SnapshotTable[[#This Row],[Last Price]]) / SnapshotTable[[#This Row],[Last Price]], "")</f>
        <v/>
      </c>
      <c r="AP27" s="5"/>
      <c r="AQ27" s="38"/>
      <c r="AR27" s="5"/>
      <c r="AS27" s="38"/>
      <c r="AT27" s="144"/>
      <c r="AU27" s="185" t="str">
        <f>IF(OR(SnapshotTable[[#This Row],[LP No Fill]]="Y",SnapshotTable[[#This Row],[SP Is Filled]],SnapshotTable[[#This Row],[LC Not Filled]]="Y",SnapshotTable[[#This Row],[SC Is Filled]]),"Y","")</f>
        <v/>
      </c>
      <c r="AV27" s="205"/>
      <c r="AW27" s="211"/>
      <c r="AX27" s="206"/>
      <c r="AY27" s="205" t="str">
        <f>IF(SnapshotTable[[#This Row],[Implied Move]]&gt;0, SnapshotTable[[#This Row],[Last Price]]-SnapshotTable[[#This Row],[Implied Move]],"")</f>
        <v/>
      </c>
      <c r="AZ27" s="205" t="str">
        <f>IF(SnapshotTable[[#This Row],[Implied Move]]&gt;0, SnapshotTable[[#This Row],[Last Price]] + SnapshotTable[[#This Row],[Implied Move]],"")</f>
        <v/>
      </c>
      <c r="BA27" s="302">
        <v>202.56</v>
      </c>
      <c r="BB27" s="318"/>
      <c r="BC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7" s="321"/>
      <c r="BE27" s="5"/>
      <c r="BF27" s="14"/>
      <c r="BG27" s="13"/>
      <c r="BH27" s="13"/>
      <c r="BI27" s="5"/>
      <c r="BJ27" s="134">
        <f>IF(SnapshotTable[[#This Row],[LP Qty]] &gt; 0, SnapshotTable[[#This Row],[LP Qty]] * SnapshotTable[[#This Row],[LP Book Price]] * 100,0)</f>
        <v>0</v>
      </c>
      <c r="BK27" s="134">
        <f>IF(SnapshotTable[[#This Row],[LP Premium]] &gt; 0, SnapshotTable[[#This Row],[LP Qty]] * SnapshotTable[[#This Row],[LP Strike Price]] * 100,0)</f>
        <v>0</v>
      </c>
      <c r="BL27" s="152"/>
      <c r="BM27" s="355" t="str">
        <f>IF(SnapshotTable[[#This Row],[LP Premium]] &gt; 0,SnapshotTable[[#This Row],[LP Exp Date]]-MAX(SnapshotTable[[#This Row],[LP Book Date]], SnapshotTable[[#This Row],[LP Fill Date]]),"")</f>
        <v/>
      </c>
      <c r="BN27" s="355" t="str">
        <f>IF(ISNUMBER( SnapshotTable[[#This Row],[LP Term]]), SnapshotTable[[#This Row],[LP Exp Date]] - MockToday,"")</f>
        <v/>
      </c>
      <c r="BO27" s="161" t="str">
        <f>IF(AND(SnapshotTable[[#This Row],[LP Exp Date]]&gt;0, SnapshotTable[[#This Row],[LP Strike Price]]&gt;0,SnapshotTable[[#This Row],[LP Qty]]&gt;0,SnapshotTable[[#This Row],[LP Book Date]]&gt;0,SnapshotTable[[#This Row],[LP Book Price]]&gt;0,SnapshotTable[[#This Row],[LP Fill Date]]=0),"Y","")</f>
        <v/>
      </c>
      <c r="BP27" s="31" t="str">
        <f>IF(AND(SnapshotTable[[#This Row],[LP No Fill]]&lt;&gt;"Y",SnapshotTable[[#This Row],[LP Contract Value]]&gt;0, SnapshotTable[[#This Row],[LP Qty]]&gt;0), SnapshotTable[[#This Row],[LP Contract Value]]*SnapshotTable[[#This Row],[LP Qty]]*100,"")</f>
        <v/>
      </c>
      <c r="BQ27" s="13"/>
      <c r="BR27" s="5"/>
      <c r="BS27" s="36"/>
      <c r="BT27" s="145"/>
      <c r="BU27" s="13"/>
      <c r="BV27" s="5"/>
      <c r="BW27" s="382" t="b">
        <f>AND(ISNUMBER(SnapshotTable[[#This Row],[SP Exp Date]]), ISNUMBER(SnapshotTable[[#This Row],[SP Strike Price]]), ISNUMBER(SnapshotTable[[#This Row],[SP Qty]]), ISNUMBER(SnapshotTable[[#This Row],[SP Book Date]]), ISNUMBER(SnapshotTable[[#This Row],[SP Book Price]]))</f>
        <v>0</v>
      </c>
      <c r="BX27" s="382" t="b">
        <f>AND(SnapshotTable[[#This Row],[SP Is Booked]], NOT(ISBLANK(SnapshotTable[[#This Row],[SP Fill Date]])))</f>
        <v>0</v>
      </c>
      <c r="BY27" s="33">
        <f>IF(SnapshotTable[[#This Row],[SP Is Booked]], SnapshotTable[[#This Row],[SP Qty]] * SnapshotTable[[#This Row],[SP Book Price]] * 100, 0)</f>
        <v>0</v>
      </c>
      <c r="BZ27" s="339"/>
      <c r="CA27" s="338">
        <f>SnapshotTable[[#This Row],[LP Qty]]</f>
        <v>0</v>
      </c>
      <c r="CB27" s="4" t="str">
        <f>IF(SnapshotTable[[#This Row],[SP Is Booked]], SnapshotTable[[#This Row],[SP Strike Price]] - SnapshotTable[[#This Row],[SP Book Price]], "")</f>
        <v/>
      </c>
      <c r="CC27" s="19" t="str">
        <f>IF(SnapshotTable[[#This Row],[SP Is Booked]],SnapshotTable[[#This Row],[SP Exp Date]]-MAX(SnapshotTable[[#This Row],[SP Book Date]], SnapshotTable[[#This Row],[SP Fill Date]]),"")</f>
        <v/>
      </c>
      <c r="CD27" s="7" t="str">
        <f>IF(SnapshotTable[[#This Row],[SP Is Booked]], SnapshotTable[[#This Row],[SP Book Price]]/SnapshotTable[[#This Row],[SP Strike Price]], "")</f>
        <v/>
      </c>
      <c r="CE27" s="7" t="str">
        <f>IF(ISNUMBER(SnapshotTable[[#This Row],[SP ROO Term]]),SnapshotTable[[#This Row],[SP ROO Term]]*(365/SnapshotTable[[#This Row],[SP Term]]),"")</f>
        <v/>
      </c>
      <c r="CF27" s="221">
        <f>SnapshotTable[[#This Row],[LP Strike Price]] * SnapshotTable[[#This Row],[LP Qty]] * 100</f>
        <v>0</v>
      </c>
      <c r="CG27" s="31">
        <f>IF(ISNUMBER(SnapshotTable[[#This Row],[SP Premium]]), (SnapshotTable[[#This Row],[SP Qty]] * SnapshotTable[[#This Row],[SP Strike Price]]* 100) - SnapshotTable[[#This Row],[LP Protection]], 0)</f>
        <v>0</v>
      </c>
      <c r="CH27" s="7" t="str">
        <f>IF(ISNUMBER(SnapshotTable[[#This Row],[SP Break Even]]),-1 * (SnapshotTable[[#This Row],[SP Break Even]] - SnapshotTable[[#This Row],[Last Price]]) / SnapshotTable[[#This Row],[Last Price]], "")</f>
        <v/>
      </c>
      <c r="CI27" s="31">
        <f>IF(AND(ISNUMBER((SnapshotTable[[#This Row],[SP Potential Spend]])), SnapshotTable[[#This Row],[SP Strike Price]] &gt; SnapshotTable[[#This Row],[Last Price]], SnapshotTable[[#This Row],[SP Is Filled]]), SnapshotTable[[#This Row],[SP Potential Spend]] -  SnapshotTable[[#This Row],[LP Max Value]], 0)</f>
        <v>0</v>
      </c>
      <c r="CJ27" s="229">
        <v>0.5</v>
      </c>
      <c r="CK27" s="31">
        <f>IF(ISNUMBER(SnapshotTable[[#This Row],[SP Potential Spend]]),IF(ISNUMBER(SnapshotTable[[#This Row],[SP POW]]), SnapshotTable[[#This Row],[SP POW]] * SnapshotTable[[#This Row],[SP Potential Spend]], SnapshotTable[[#This Row],[SP Potential Spend]]), "")</f>
        <v>0</v>
      </c>
      <c r="CL27" s="162">
        <f>IF(NOT(SnapshotTable[[#This Row],[SP Is Filled]]),(SnapshotTable[[#This Row],[SP Qty]] * SnapshotTable[[#This Row],[SP Strike Price]] * 100) - SnapshotTable[[#This Row],[LP Max Value]],"")</f>
        <v>0</v>
      </c>
      <c r="CM27" s="31" t="str">
        <f>IF(SnapshotTable[[#This Row],[SP Actual Spend]]&lt;&gt;0, ((SnapshotTable[[#This Row],[SP Strike Price]]-SnapshotTable[[#This Row],[Last Price]]) *(SnapshotTable[[#This Row],[SP Qty]]*100) - SnapshotTable[[#This Row],[SP Premium]]) * - 1, "")</f>
        <v/>
      </c>
      <c r="CN27" s="76"/>
      <c r="CO27" s="339"/>
      <c r="CP27" s="4" t="str">
        <f>IF(SnapshotTable[[#This Row],[SP Is Filled]], btc_max_buyback_amount(SnapshotTable[[#This Row],[SP Fill Date]],SnapshotTable[[#This Row],[SP Exp Date]], SnapshotTable[[#This Row],[SP Book Price]]),"")</f>
        <v/>
      </c>
      <c r="CQ27" s="76"/>
      <c r="CR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7" s="153" t="str">
        <f>IF(SnapshotTable[[#This Row],[SP Is Filled]], btc_next_cutoff_date(SnapshotTable[[#This Row],[SP Fill Date]],SnapshotTable[[#This Row],[SP Exp Date]]),"")</f>
        <v/>
      </c>
      <c r="CT27" s="220" t="str" cm="1">
        <f t="array" ref="CT27">IF(SnapshotTable[[#This Row],[SP Is Filled]], btc_should_buy_back(SnapshotTable[[#This Row],[SP Fill Date]], SnapshotTable[[#This Row],[SP Exp Date]], SnapshotTable[[#This Row],[SP Book Price]], SnapshotTable[[#This Row],[SP Current Ask]], MockToday, SnapshotTable[[#This Row],[SP Buyback Override]]),"")</f>
        <v/>
      </c>
      <c r="CU27" s="141"/>
      <c r="CV27" s="220"/>
      <c r="CW27" s="348" t="str">
        <f>IF(ISNUMBER( SnapshotTable[[#This Row],[SP Term]]), SnapshotTable[[#This Row],[SP Exp Date]] - MockToday,"")</f>
        <v/>
      </c>
      <c r="CX27" s="31" t="str">
        <f>IF(SnapshotTable[[#This Row],[SP Is Filled]],SnapshotTable[[#This Row],[SP Buyback Price to Use]] * 100 * SnapshotTable[[#This Row],[SP Qty]], "")</f>
        <v/>
      </c>
      <c r="CY27" s="4" t="str">
        <f>IF(ISNUMBER(SnapshotTable[[#This Row],[SP Strike Price]]), SnapshotTable[[#This Row],[SP Strike Price]] * (1 - SP_MaxLoss_StrikePct), "")</f>
        <v/>
      </c>
      <c r="CZ27" s="31" t="str">
        <f>IF(ISNUMBER(SnapshotTable[[#This Row],[SP Strike  Stop Per Share]]),SnapshotTable[[#This Row],[SP Premium]] - ((SnapshotTable[[#This Row],[SP Strike Price]]-SnapshotTable[[#This Row],[SP Strike  Stop Per Share]]) *(SnapshotTable[[#This Row],[SP Qty]] * 100)),"")</f>
        <v/>
      </c>
      <c r="DA27" s="4" t="str">
        <f>IF(AND(ISNUMBER(SnapshotTable[[#This Row],[SP Premium]]),SnapshotTable[[#This Row],[SP Premium]]&gt;0), SnapshotTable[[#This Row],[SP Book Price]] * (1 + SP_MaxLoss_OptionPct), "")</f>
        <v/>
      </c>
      <c r="DB27" s="31" t="str">
        <f>IF(ISNUMBER(SnapshotTable[[#This Row],[SP Option  Stop Contract]]),(SnapshotTable[[#This Row],[SP Option  Stop Contract]] *(SnapshotTable[[#This Row],[SP Qty]] * 100) - SnapshotTable[[#This Row],[SP Premium]]),"")</f>
        <v/>
      </c>
      <c r="DC27" s="4"/>
      <c r="DD27" s="4"/>
      <c r="DE27" s="4" t="str">
        <f>IF(AND(SnapshotTable[[#This Row],[SP Qty]]&gt;0, SnapshotTable[[#This Row],[SP Stop To Use]]&gt;0),SnapshotTable[[#This Row],[SP Premium]] - ( SnapshotTable[[#This Row],[SP Qty]] * SnapshotTable[[#This Row],[SP Stop To Use]] * 100), "")</f>
        <v/>
      </c>
      <c r="DF27" s="31" t="str">
        <f>IF(AND(SnapshotTable[[#This Row],[SP Qty]]&gt;0,SnapshotTable[[#This Row],[SP Current Ask]]&gt;0), SnapshotTable[[#This Row],[SP Qty]] * SnapshotTable[[#This Row],[SP Current Ask]] * -100, "")</f>
        <v/>
      </c>
      <c r="DG27" s="31" t="str">
        <f>IF(ISNUMBER((SnapshotTable[[#This Row],[SP Total Value]])), SnapshotTable[[#This Row],[SP Premium]] + SnapshotTable[[#This Row],[SP Total Value]], "")</f>
        <v/>
      </c>
      <c r="DH27" s="272" t="str">
        <f>IF(ISNUMBER((SnapshotTable[[#This Row],[SP Total Value]])), SnapshotTable[[#This Row],[SP Gain Loss]] / SnapshotTable[[#This Row],[SP Premium]], "")</f>
        <v/>
      </c>
      <c r="DI27" s="369"/>
      <c r="DJ27" s="136"/>
      <c r="DK27" s="146"/>
      <c r="DL27" s="13"/>
      <c r="DM27" s="13"/>
      <c r="DO27" s="31">
        <f>IF(SnapshotTable[[#This Row],[LC Symbol Count]]=1, SnapshotTable[[#This Row],[LC Qty]] * SnapshotTable[[#This Row],[LC Book Price]] * 100, 0)</f>
        <v>0</v>
      </c>
      <c r="DP27" s="161" t="str">
        <f>IF(AND(SnapshotTable[[#This Row],[LC Exp Date]]&gt;0, SnapshotTable[[#This Row],[LC Strike Price]]&gt;0,SnapshotTable[[#This Row],[LC Qty]]&gt;0,SnapshotTable[[#This Row],[LC Book Date]]&gt;0,SnapshotTable[[#This Row],[LC Book Price]]&gt;0,SnapshotTable[[#This Row],[LC Fill Date]]=0),"Y","")</f>
        <v/>
      </c>
      <c r="DQ27" s="356" t="str">
        <f>IF(SnapshotTable[[#This Row],[LC Premium]] &gt; 0,SnapshotTable[[#This Row],[LC Exp Date]]-MAX(SnapshotTable[[#This Row],[LC Book Date]], SnapshotTable[[#This Row],[LC Fill Date]]),"")</f>
        <v/>
      </c>
      <c r="DR27" s="356" t="str">
        <f>IF(ISNUMBER(SnapshotTable[[#This Row],[LC Term]]), SnapshotTable[[#This Row],[LC Exp Date]] - MockToday, "")</f>
        <v/>
      </c>
      <c r="DS27" s="219" t="str">
        <f>IF(SnapshotTable[[#This Row],[LC Premium]]&gt;0,SnapshotTable[[#This Row],[LC Strike Price]] + SnapshotTable[[#This Row],[LC Book Price]],"")</f>
        <v/>
      </c>
      <c r="DU27" s="9" t="str">
        <f>IF(AND(SnapshotTable[[#This Row],[LC Symbol Count]]&gt;0, SnapshotTable[[#This Row],[LC Contract Value]]&gt;0), SnapshotTable[[#This Row],[LC Contract Value]] * SnapshotTable[[#This Row],[LC Qty]] * 100, "")</f>
        <v/>
      </c>
      <c r="DV27" s="9" t="str">
        <f>IF(AND(ISNUMBER(SnapshotTable[[#This Row],[LC Total Value]]), SnapshotTable[[#This Row],[LC Not Filled]]&lt;&gt;"Y"), SnapshotTable[[#This Row],[LC Total Value]]-SnapshotTable[[#This Row],[LC Premium]],"")</f>
        <v/>
      </c>
      <c r="DW27" s="225" t="str">
        <f>IF(ISNUMBER(SnapshotTable[[#This Row],[LC Actual Gain Loss]]), SnapshotTable[[#This Row],[LC Actual Gain Loss]] / SnapshotTable[[#This Row],[LC Premium]],"")</f>
        <v/>
      </c>
      <c r="DX27" s="269" t="str">
        <f>IF(ISNUMBER(SnapshotTable[[#This Row],[LC Book Price]]),SnapshotTable[[#This Row],[LC Book Price]] * 1.5,"")</f>
        <v/>
      </c>
      <c r="DY27" s="250" t="str">
        <f>IF(SnapshotTable[[#This Row],[LC Premium]]&gt;0, SnapshotTable[[#This Row],[LC Next Target]] * SnapshotTable[[#This Row],[LC Qty]] * 100,"")</f>
        <v/>
      </c>
      <c r="DZ27" s="250" t="str">
        <f>IF(ISNUMBER(SnapshotTable[[#This Row],[LC Target Gross]]), SnapshotTable[[#This Row],[LC Target Gross]] - SnapshotTable[[#This Row],[LC Premium]], "")</f>
        <v/>
      </c>
      <c r="EA27" s="283" t="str">
        <f>IF(ISNUMBER(SnapshotTable[[#This Row],[LC Target Gain Loss]]), SnapshotTable[[#This Row],[LC Target Gain Loss]]/SnapshotTable[[#This Row],[LC Premium]], "")</f>
        <v/>
      </c>
      <c r="EB27" s="247"/>
      <c r="EC27" s="268" t="str">
        <f>IF(SnapshotTable[[#This Row],[LC Premium]]&gt;0, SnapshotTable[[#This Row],[LC Book Price]] * (1 - LC_StopLoss_Pct),"")</f>
        <v/>
      </c>
      <c r="ED27" s="269"/>
      <c r="EE27" s="268" t="str">
        <f>IF(ISNUMBER(SnapshotTable[[#This Row],[LC Contract Value]]),IF(ISNUMBER(SnapshotTable[[#This Row],[LC Stop Loss Override]]), SnapshotTable[[#This Row],[LC Stop Loss Override]],SnapshotTable[[#This Row],[LC Stop Loss Calc Target]]),"")</f>
        <v/>
      </c>
      <c r="EF27" s="31" t="str">
        <f>IF(ISNUMBER(SnapshotTable[[#This Row],[LC Stop  To Use]]), (SnapshotTable[[#This Row],[LC Stop  To Use]] * SnapshotTable[[#This Row],[LC Qty]] * 100),"")</f>
        <v/>
      </c>
      <c r="EG27" s="9" t="str">
        <f>IF(ISNUMBER(SnapshotTable[[#This Row],[LC Total Value]]),SnapshotTable[[#This Row],[LC Stop Loss Amount]] - SnapshotTable[[#This Row],[LC Premium]],"")</f>
        <v/>
      </c>
      <c r="EH27" s="9">
        <f>IF(ISNUMBER(SnapshotTable[[#This Row],[LC Premium]]), SnapshotTable[[#This Row],[LC Qty]] * 100 * SnapshotTable[[#This Row],[LC Strike Price]], "")</f>
        <v>0</v>
      </c>
      <c r="EI27" s="225" t="str">
        <f>IF(AND(ISNUMBER(SnapshotTable[[#This Row],[LC Total Value]]),SnapshotTable[[#This Row],[LC Total Value]]&gt;0),SnapshotTable[[#This Row],[LC Stop Gain Loss]]  / SnapshotTable[[#This Row],[LC Premium]],"")</f>
        <v/>
      </c>
      <c r="EJ27" s="35">
        <f>IF(ISNUMBER(SnapshotTable[[#This Row],[Equity Shares]]),TRUNC(SnapshotTable[[#This Row],[Equity Shares]] / 100),0) + SnapshotTable[[#This Row],[LC Qty]]</f>
        <v>0</v>
      </c>
      <c r="EK27" s="145"/>
      <c r="EL27" s="136"/>
      <c r="EM27" s="146"/>
      <c r="EN27" s="145"/>
      <c r="EO27" s="145"/>
      <c r="EP27" s="136"/>
      <c r="EQ27" s="382" t="b">
        <f>AND(ISNUMBER(SnapshotTable[[#This Row],[SC Exp Date]]), ISNUMBER(SnapshotTable[[#This Row],[SC Strike Price]]), ISNUMBER(SnapshotTable[[#This Row],[SC Qty]]), ISNUMBER(SnapshotTable[[#This Row],[SC Book Date]]), ISNUMBER(SnapshotTable[[#This Row],[SC Book Price]]))</f>
        <v>0</v>
      </c>
      <c r="ER27" s="382" t="b">
        <f>AND(SnapshotTable[[#This Row],[SC Is Booked]], NOT(ISBLANK(SnapshotTable[[#This Row],[SC Fill Date]])))</f>
        <v>0</v>
      </c>
      <c r="ES27" s="340"/>
      <c r="ET27" s="34" t="str">
        <f>IF(AND(ISNUMBER(SnapshotTable[[#This Row],[SC Exp Date]]), ISNUMBER(SnapshotTable[[#This Row],[SC Book Date]])), SnapshotTable[[#This Row],[SC Exp Date]] - MAX(SnapshotTable[[#This Row],[SC Book Date]], SnapshotTable[[#This Row],[SC Fill Date]]) + 1, "")</f>
        <v/>
      </c>
      <c r="EU27" s="34" t="str">
        <f>IF(ISNUMBER(SnapshotTable[[#This Row],[SC Term]]), SnapshotTable[[#This Row],[SC Exp Date]]- MockToday, "")</f>
        <v/>
      </c>
      <c r="EV27" s="31">
        <f>IF(SnapshotTable[[#This Row],[SC Is Booked]], SnapshotTable[[#This Row],[SC Qty]] * SnapshotTable[[#This Row],[SC Book Price]] * 100, 0)</f>
        <v>0</v>
      </c>
      <c r="EW27" s="4" t="str">
        <f>IF(AND(ISNUMBER(SnapshotTable[[#This Row],[Last Price]]), ISNUMBER( SnapshotTable[[#This Row],[SC Book Price]])), SnapshotTable[[#This Row],[Last Price]] - SnapshotTable[[#This Row],[SC Book Price]],"")</f>
        <v/>
      </c>
      <c r="EX27" s="219" t="str">
        <f>IF(SnapshotTable[[#This Row],[SC Is Booked]],IF(SnapshotTable[[#This Row],[SC Intrinsic Value]] &gt; 0, SnapshotTable[[#This Row],[SC Strike Price]], SnapshotTable[[#This Row],[Last Price]]), "")</f>
        <v/>
      </c>
      <c r="EY27" s="4">
        <f>IF(SnapshotTable[[#This Row],[SC Is Booked]], (MinimumPremiumRequired * SnapshotTable[[#This Row],[SC Basis]] * SnapshotTable[[#This Row],[SC Term]]), 0)</f>
        <v>0</v>
      </c>
      <c r="EZ27" s="268"/>
      <c r="FA27" s="204"/>
      <c r="FB27" s="340"/>
      <c r="FC27" s="4">
        <f>IF(SnapshotTable[[#This Row],[SC Is Filled]], btc_max_buyback_amount(SnapshotTable[[#This Row],[SC Fill Date]],SnapshotTable[[#This Row],[SC Exp Date]], SnapshotTable[[#This Row],[SC Book Price]]),0)</f>
        <v>0</v>
      </c>
      <c r="FD27" s="5"/>
      <c r="FE27" s="142" t="str">
        <f>IF(SnapshotTable[[#This Row],[SC Is Filled]], btc_next_cutoff_date(SnapshotTable[[#This Row],[SC Fill Date]],SnapshotTable[[#This Row],[SC Exp Date]]),"")</f>
        <v/>
      </c>
      <c r="FF27" s="4" t="str" cm="1">
        <f t="array" ref="FF27">IF(SnapshotTable[[#This Row],[SC Is Filled]], btc_should_buy_back(SnapshotTable[[#This Row],[SC Fill Date]], SnapshotTable[[#This Row],[SC Exp Date]], SnapshotTable[[#This Row],[SC Book Price]], SnapshotTable[[#This Row],[SC Current Ask]], MockToday, SnapshotTable[[#This Row],[SC Buyback Override]]),"")</f>
        <v/>
      </c>
      <c r="FG27" s="4">
        <f>IF(SnapshotTable[[#This Row],[SC Is Filled]], MAX(0,SnapshotTable[[#This Row],[Last Price]]  - SnapshotTable[[#This Row],[SC Strike Price]]), 0)</f>
        <v>0</v>
      </c>
      <c r="FH27" s="352">
        <f>IF(SnapshotTable[[#This Row],[SC Is Filled]], IF(ISNUMBER(SnapshotTable[[#This Row],[SC Current Ask]]), SnapshotTable[[#This Row],[SC Current Ask]], SnapshotTable[[#This Row],[SC Book Price]]) - SnapshotTable[[#This Row],[SC Intrinsic Value]], 0)</f>
        <v>0</v>
      </c>
      <c r="FI27" s="141"/>
      <c r="FJ27" s="32" t="str">
        <f>IF(SnapshotTable[[#This Row],[SC Is Filled]],100 * SnapshotTable[[#This Row],[SC Qty]] * IF(ISNUMBER(SnapshotTable[[#This Row],[SC Buyback Override]]), SnapshotTable[[#This Row],[SC Buyback Override]], SnapshotTable[[#This Row],[SC Current Ask]]), "")</f>
        <v/>
      </c>
      <c r="FK27" s="235" t="str">
        <f>IF(SnapshotTable[[#This Row],[SC Time Val]]&gt;0, SnapshotTable[[#This Row],[SC Time Val]] / SnapshotTable[[#This Row],[Last Price]],"")</f>
        <v/>
      </c>
      <c r="FL27" s="280" t="str">
        <f>IF(SnapshotTable[[#This Row],[SC Is Booked]], ((SnapshotTable[[#This Row],[Last Price]] -SnapshotTable[[#This Row],[SC Strike Price]]) / SnapshotTable[[#This Row],[Last Price]]) * -1, "")</f>
        <v/>
      </c>
      <c r="FM27" s="155" t="str">
        <f>IF(SnapshotTable[[#This Row],[SC Is Booked]],  (SnapshotTable[[#This Row],[SC Qty]] * 100 * SnapshotTable[[#This Row],[SC Strike Price]]) - SnapshotTable[[#This Row],[SC Current Ask]], "")</f>
        <v/>
      </c>
      <c r="FN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7" s="31" t="str">
        <f>IF(AND(ISNUMBER(SnapshotTable[[#This Row],[SC Exercise Gross]]), ISNUMBER(SnapshotTable[[#This Row],[Equity Basis Per Share]] )), SnapshotTable[[#This Row],[SC Exercise Gross]] - SnapshotTable[[#This Row],[Equity Basis Total]] +  SnapshotTable[[#This Row],[SC Premium]], "")</f>
        <v/>
      </c>
      <c r="FP27" s="5" t="str">
        <f>IF(ISNUMBER(SnapshotTable[[#This Row],[SC Exercise Gross]]), (SnapshotTable[[#This Row],[SC Exercise Gross]]) / (SnapshotTable[[#This Row],[SC Qty]] * 100), "")</f>
        <v/>
      </c>
      <c r="FQ27" s="27" t="str">
        <f>IF(SnapshotTable[[#This Row],[SC Is Booked]],SnapshotTable[[#This Row],[SC Time Val]] /SnapshotTable[[#This Row],[SC Basis]], "")</f>
        <v/>
      </c>
      <c r="FR27" s="27" t="str" cm="1">
        <f t="array" ref="FR27">IF(AND(ISNUMBER(SnapshotTable[[#This Row],[SC Term]]),ISNUMBER(SnapshotTable[[#This Row],[SC Simple ROO]])), EllmanAnnualize(SnapshotTable[[#This Row],[SC DTE]], SnapshotTable[[#This Row],[SC Simple ROO]] ),"")</f>
        <v/>
      </c>
      <c r="FS27" s="4">
        <f>IF(SnapshotTable[[#This Row],[SC Strike Price]] &gt; SnapshotTable[[#This Row],[Last Price]], SnapshotTable[[#This Row],[SC Strike Price]] - SnapshotTable[[#This Row],[Last Price]],0)</f>
        <v>0</v>
      </c>
      <c r="FT27" s="27" t="str">
        <f>IF(AND(ISNUMBER(SnapshotTable[[#This Row],[SC Upside Potential]]), SnapshotTable[[#This Row],[SC Upside Potential]] &gt; 0),(SnapshotTable[[#This Row],[SC Upside Potential]]/ SnapshotTable[[#This Row],[ACB]]),"")</f>
        <v/>
      </c>
      <c r="FU27" s="304" t="str">
        <f>IF(SnapshotTable[[#This Row],[SC Intrinsic Value]] &gt; 0,SnapshotTable[[#This Row],[SC Intrinsic Value]],"")</f>
        <v/>
      </c>
      <c r="FV27" s="27" t="str">
        <f>IF(AND( ISNUMBER( SnapshotTable[[#This Row],[ACB]]),ISNUMBER(SnapshotTable[[#This Row],[SC Downside Protect]])),SnapshotTable[[#This Row],[SC Downside Protect]] / SnapshotTable[[#This Row],[ACB]],"")</f>
        <v/>
      </c>
      <c r="FW27" s="221" t="str">
        <f>IF(AND(ISNUMBER(SnapshotTable[[#This Row],[SC Simple ROO]]),SnapshotTable[[#This Row],[SC Simple ROO]] &gt; 0), SnapshotTable[[#This Row],[SC Premium]] + (SnapshotTable[[#This Row],[SC Qty]] * SnapshotTable[[#This Row],[SC Upside Potential]]), "")</f>
        <v/>
      </c>
      <c r="FX27" s="280" t="str" cm="1">
        <f t="array" ref="FX27">IF(ISNUMBER(SnapshotTable[[#This Row],[SC Max Dollars]]), annualize(SnapshotTable[[#This Row],[SC Term]],(SnapshotTable[[#This Row],[SC Max Dollars]]/SnapshotTable[[#This Row],[SC Basis]])),"")</f>
        <v/>
      </c>
      <c r="FY27" s="221" t="str">
        <f>IF(AND(SnapshotTable[[#This Row],[SC Qty]]&gt;0,SnapshotTable[[#This Row],[SC Current Ask]]&gt;0), SnapshotTable[[#This Row],[SC Qty]] * SnapshotTable[[#This Row],[SC Current Ask]] * -100, "")</f>
        <v/>
      </c>
      <c r="FZ27" s="31" t="str">
        <f>IF(ISNUMBER((SnapshotTable[[#This Row],[SC Current Value]])), SnapshotTable[[#This Row],[SC Premium]] + SnapshotTable[[#This Row],[SC Current Value]], "")</f>
        <v/>
      </c>
      <c r="GA27" s="272" t="str">
        <f>IFERROR( IF(ISNUMBER((SnapshotTable[[#This Row],[SC Current Value]])), SnapshotTable[[#This Row],[SC Gain Loss]] / SnapshotTable[[#This Row],[SC Premium]], ""), "")</f>
        <v/>
      </c>
      <c r="GB27" s="42">
        <f>SnapshotTable[[#This Row],[Equity Shares]] * SaleSharesToConsiderPercentage</f>
        <v>0</v>
      </c>
      <c r="GC27" s="40">
        <f>SnapshotTable[[#This Row],[Long Term Target]] * SellingPriceToConsiderBasedOnTargetPercentage</f>
        <v>0</v>
      </c>
      <c r="GD27" s="40">
        <f>SnapshotTable[[#This Row],[Last Price]] * (1+ SellingPriceToConsiderBasedOnTargetPercentage)</f>
        <v>1190.1825000000001</v>
      </c>
      <c r="GE27" s="41"/>
      <c r="GF27" s="40"/>
      <c r="GG27" s="31">
        <f>SnapshotTable[[#This Row],[Booked Sale Shares]] * SnapshotTable[[#This Row],[Booked Sale Price]]</f>
        <v>0</v>
      </c>
      <c r="GH27" s="31" t="str">
        <f>IF(SnapshotTable[[#This Row],[Equity Basis Total]] &gt; 0, SnapshotTable[[#This Row],[Equity Basis Per Share]] * SnapshotTable[[#This Row],[Booked Sale Shares]], "")</f>
        <v/>
      </c>
      <c r="GI27" s="31">
        <f>IF(SnapshotTable[[#This Row],[Sale Proceeds]]&gt;0, SnapshotTable[[#This Row],[Sale Proceeds]] - SnapshotTable[[#This Row],[Sale Basis]], 0)</f>
        <v>0</v>
      </c>
      <c r="GJ27" s="27" t="str">
        <f>IF(SnapshotTable[[#This Row],[Sale G/L]]&gt;0, SnapshotTable[[#This Row],[Sale G/L]] / SnapshotTable[[#This Row],[Sale Basis]], IF(ISNUMBER(SnapshotTable[[#This Row],[SC Exercise P&amp;L (TAX)]]), SnapshotTable[[#This Row],[SC Exercise P&amp;L (TAX)]] / SnapshotTable[[#This Row],[SC Basis]], ""))</f>
        <v/>
      </c>
      <c r="GK27" s="27"/>
      <c r="GL27" s="43" t="str">
        <f>IF(AND(SnapshotTable[[#This Row],[LP Exp Date]]&gt;0,SnapshotTable[[#This Row],[LP Strike Price]]&gt;0), [1]!ToOptionSymbol(SnapshotTable[[#This Row],[Symbol]], SnapshotTable[[#This Row],[LP Strike Price]],SnapshotTable[[#This Row],[LP Exp Date]],1), "")</f>
        <v/>
      </c>
      <c r="GM27" s="30" t="str">
        <f>IF(LEN(SnapshotTable[[#This Row],[LP Symbol]])&gt;0, 1, "")</f>
        <v/>
      </c>
      <c r="GN27" s="43" t="str">
        <f>IF(AND(SnapshotTable[[#This Row],[SP Exp Date]]&gt;0,SnapshotTable[[#This Row],[SP Strike Price]]&gt;0), [1]!ToOptionSymbol(SnapshotTable[[#This Row],[Symbol]], SnapshotTable[[#This Row],[SP Strike Price]],SnapshotTable[[#This Row],[SP Exp Date]],1), "")</f>
        <v/>
      </c>
      <c r="GO27" s="30" t="str">
        <f>IF(LEN(SnapshotTable[[#This Row],[SP Symbol]])&gt;0, 1, "")</f>
        <v/>
      </c>
      <c r="GP27" s="43" t="str">
        <f>IF(AND(SnapshotTable[[#This Row],[LC Exp Date]]&gt;0,SnapshotTable[[#This Row],[LC Strike Price]]&gt;0), [1]!ToOptionSymbol(SnapshotTable[[#This Row],[Symbol]], SnapshotTable[[#This Row],[LC Strike Price]],SnapshotTable[[#This Row],[LC Exp Date]],0), "")</f>
        <v/>
      </c>
      <c r="GQ27" s="30" t="str">
        <f>IF(LEN(SnapshotTable[[#This Row],[LC Symbol]])&gt;0, 1, "")</f>
        <v/>
      </c>
      <c r="GR27" s="43" t="str">
        <f>IF(AND(SnapshotTable[[#This Row],[SC Exp Date]]&gt;0,SnapshotTable[[#This Row],[SC Strike Price]]&gt;0), [1]!ToOptionSymbol(SnapshotTable[[#This Row],[Symbol]], SnapshotTable[[#This Row],[SC Strike Price]],SnapshotTable[[#This Row],[SC Exp Date]],0), "")</f>
        <v/>
      </c>
      <c r="GS27" s="30" t="str">
        <f>IF(LEN(SnapshotTable[[#This Row],[SC Symbol]])&gt;0, 1, "")</f>
        <v/>
      </c>
      <c r="GT27" s="29" t="str">
        <f>IF(COUNT(SnapshotTable[[#This Row],[LP Symbol Count]],SnapshotTable[[#This Row],[SP Symbol Count]],SnapshotTable[[#This Row],[LC Symbol Count]],SnapshotTable[[#This Row],[SC Symbol Count]])&gt;0, "Y", "")</f>
        <v/>
      </c>
      <c r="GU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7" s="216">
        <f>MAX(SnapshotTable[[#This Row],[Equity Basis Total]],SnapshotTable[[#This Row],[Equity Value]]) + (SnapshotTable[[#This Row],[SP Potential Spend]]- SnapshotTable[[#This Row],[SP Premium]] + SnapshotTable[[#This Row],[LP Premium]])+ (SnapshotTable[[#This Row],[LC Premium]] - SnapshotTable[[#This Row],[SC Premium]])</f>
        <v>0</v>
      </c>
      <c r="GW27" s="137" t="str">
        <f>IF(AND(SnapshotTable[[#This Row],[Exposure]] &lt;&gt; 0),SnapshotTable[[#This Row],[Exposure]] / SnapshotTable[[#Totals],[Exposure]], "")</f>
        <v/>
      </c>
      <c r="HK27" s="1"/>
      <c r="HL27" s="1"/>
      <c r="HM27" s="1"/>
      <c r="HN27" s="1"/>
      <c r="HO27" s="1"/>
      <c r="HP27" s="1"/>
    </row>
    <row r="28" spans="2:224" ht="12.75" hidden="1" customHeight="1" x14ac:dyDescent="0.25">
      <c r="B28" s="12" t="s">
        <v>844</v>
      </c>
      <c r="C28" s="385">
        <v>8.19</v>
      </c>
      <c r="D28" s="200" t="s">
        <v>467</v>
      </c>
      <c r="E28" s="39">
        <f>SnapshotTable[[#This Row],[Last Price]]*(1 -CrashDiscount)</f>
        <v>6.9614999999999991</v>
      </c>
      <c r="F28" s="26" t="s">
        <v>496</v>
      </c>
      <c r="G28" s="26" t="s">
        <v>7</v>
      </c>
      <c r="H28" s="147"/>
      <c r="I28" s="186">
        <v>45168.677083333336</v>
      </c>
      <c r="J28" s="187">
        <v>45168.677083333336</v>
      </c>
      <c r="K28" s="188"/>
      <c r="L28" s="297"/>
      <c r="M28" s="138"/>
      <c r="N28" s="138"/>
      <c r="O28" s="138"/>
      <c r="P28" s="22"/>
      <c r="Q28" s="25"/>
      <c r="R28" s="4" t="str">
        <f>IF(SnapshotTable[[#This Row],[Equity Basis Total]] &gt; 0, SnapshotTable[[#This Row],[Equity Basis Total]] / SnapshotTable[[#This Row],[Equity Shares]], "")</f>
        <v/>
      </c>
      <c r="S28" s="254">
        <f>SnapshotTable[[#This Row],[Last Price]] * SnapshotTable[[#This Row],[Equity Shares]]</f>
        <v>0</v>
      </c>
      <c r="T28" s="254">
        <f>SnapshotTable[[#This Row],[Equity Value]] - SnapshotTable[[#This Row],[Equity Basis Total]]</f>
        <v>0</v>
      </c>
      <c r="U28" s="255" t="str">
        <f>IF(SnapshotTable[[#This Row],[Equity Basis Total]] &gt; 0, SnapshotTable[[#This Row],[Equity G/L]] / SnapshotTable[[#This Row],[Equity Basis Total]], "")</f>
        <v/>
      </c>
      <c r="V28" s="253">
        <v>55</v>
      </c>
      <c r="W28" s="253">
        <v>36</v>
      </c>
      <c r="X28" s="4" t="str">
        <f>IF(AND(ISNUMBER(SnapshotTable[[#This Row],[Equity Basis Per Share]]),ISNUMBER(SnapshotTable[[#This Row],[Equity Target]])),SnapshotTable[[#This Row],[Equity Target]]-SnapshotTable[[#This Row],[Equity Basis Per Share]],"")</f>
        <v/>
      </c>
      <c r="Y28" s="4" t="str">
        <f>IF(AND(ISNUMBER(SnapshotTable[[#This Row],[Equity Basis Per Share]]),ISNUMBER(SnapshotTable[[#This Row],[Equity Stop Loss]])),SnapshotTable[[#This Row],[Equity Stop Loss]]-SnapshotTable[[#This Row],[Equity Basis Per Share]],"")</f>
        <v/>
      </c>
      <c r="Z28" s="260" t="str">
        <f>IFERROR( TEXT(SnapshotTable[[#This Row],[Equity Max Gain Per Share]] /ABS( SnapshotTable[[#This Row],[Equity Max Loss Per Share]]),"0.0 " ) &amp; " : 1", "")</f>
        <v/>
      </c>
      <c r="AA28" s="31" t="str">
        <f>IF(ISNUMBER(SnapshotTable[[#This Row],[Equity Max Gain Per Share]]),SnapshotTable[[#This Row],[Equity Max Gain Per Share]] * SnapshotTable[[#This Row],[Equity Shares]],"")</f>
        <v/>
      </c>
      <c r="AB28" s="31" t="str">
        <f>IF(ISNUMBER(SnapshotTable[[#This Row],[Equity Max Loss Per Share]]),SnapshotTable[[#This Row],[Equity Max Loss Per Share]] * SnapshotTable[[#This Row],[Equity Shares]],"")</f>
        <v/>
      </c>
      <c r="AC28" s="148"/>
      <c r="AD28" s="149"/>
      <c r="AE28" s="31">
        <f>(SnapshotTable[[#This Row],[Annual Dividend Per Share]] / 4) * SnapshotTable[[#This Row],[Equity Shares]]</f>
        <v>0</v>
      </c>
      <c r="AF28" s="31">
        <f>SnapshotTable[[#This Row],[Quarterly Div $]] * 4</f>
        <v>0</v>
      </c>
      <c r="AG28" s="7">
        <f>IF(SnapshotTable[[#This Row],[Annual Dividend Per Share]]&gt;0, SnapshotTable[[#This Row],[Annual Dividend Per Share]]  / SnapshotTable[[#This Row],[Last Price]], 0)</f>
        <v>0</v>
      </c>
      <c r="AH28" s="149"/>
      <c r="AI28" s="5"/>
      <c r="AJ28" s="136"/>
      <c r="AK28" s="150" t="str">
        <f>IF(ISNUMBER( SnapshotTable[[#This Row],[EBF Target]]),(SnapshotTable[[#This Row],[EBF Target]] - SnapshotTable[[#This Row],[Last Price]]) / SnapshotTable[[#This Row],[Last Price]], "")</f>
        <v/>
      </c>
      <c r="AL28" s="150" t="str">
        <f>IF(AND(SnapshotTable[[#This Row],[Equity Basis Total]] &gt; 0,ISNUMBER( SnapshotTable[[#This Row],[Long Term Target]])), SnapshotTable[[#This Row],[From Basis $]] / SnapshotTable[[#This Row],[Equity Basis Total]], "")</f>
        <v/>
      </c>
      <c r="AM28" s="9">
        <f>IF( AND(SnapshotTable[[#This Row],[Equity Shares]] &gt;0,ISNUMBER( SnapshotTable[[#This Row],[Long Term Target]])),(SnapshotTable[[#This Row],[Equity Shares]] * SnapshotTable[[#This Row],[Long Term Target]]) - SnapshotTable[[#This Row],[Equity Basis Total]],0)</f>
        <v>0</v>
      </c>
      <c r="AN28" s="9">
        <f>IF( AND(SnapshotTable[[#This Row],[Equity Shares]] &gt;0,ISNUMBER( SnapshotTable[[#This Row],[Long Term Target]])),(SnapshotTable[[#This Row],[Equity Shares]]*SnapshotTable[[#This Row],[Long Term Target]]) - SnapshotTable[[#This Row],[Equity Value]],0)</f>
        <v>0</v>
      </c>
      <c r="AO28" s="150" t="str">
        <f>IF(AND(ISNUMBER( SnapshotTable[[#This Row],[Long Term Target]]), ISNUMBER(SnapshotTable[[#This Row],[Last Price]])),(SnapshotTable[[#This Row],[Long Term Target]] - SnapshotTable[[#This Row],[Last Price]]) / SnapshotTable[[#This Row],[Last Price]], "")</f>
        <v/>
      </c>
      <c r="AP28" s="5">
        <v>29</v>
      </c>
      <c r="AQ28" s="38" t="s">
        <v>16</v>
      </c>
      <c r="AR28" s="5">
        <v>29</v>
      </c>
      <c r="AS28" s="38" t="s">
        <v>22</v>
      </c>
      <c r="AT28" s="144" t="s">
        <v>438</v>
      </c>
      <c r="AU28" s="185" t="str">
        <f>IF(OR(SnapshotTable[[#This Row],[LP No Fill]]="Y",SnapshotTable[[#This Row],[SP Is Filled]],SnapshotTable[[#This Row],[LC Not Filled]]="Y",SnapshotTable[[#This Row],[SC Is Filled]]),"Y","")</f>
        <v/>
      </c>
      <c r="AV28" s="205"/>
      <c r="AW28" s="211"/>
      <c r="AX28" s="206"/>
      <c r="AY28" s="205" t="str">
        <f>IF(SnapshotTable[[#This Row],[Implied Move]]&gt;0, SnapshotTable[[#This Row],[Last Price]]-SnapshotTable[[#This Row],[Implied Move]],"")</f>
        <v/>
      </c>
      <c r="AZ28" s="205" t="str">
        <f>IF(SnapshotTable[[#This Row],[Implied Move]]&gt;0, SnapshotTable[[#This Row],[Last Price]] + SnapshotTable[[#This Row],[Implied Move]],"")</f>
        <v/>
      </c>
      <c r="BA28" s="302"/>
      <c r="BB28" s="318"/>
      <c r="BC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8" s="321"/>
      <c r="BE28" s="5"/>
      <c r="BF28" s="14"/>
      <c r="BG28" s="13"/>
      <c r="BH28" s="13"/>
      <c r="BI28" s="5"/>
      <c r="BJ28" s="134">
        <f>IF(SnapshotTable[[#This Row],[LP Qty]] &gt; 0, SnapshotTable[[#This Row],[LP Qty]] * SnapshotTable[[#This Row],[LP Book Price]] * 100,0)</f>
        <v>0</v>
      </c>
      <c r="BK28" s="134">
        <f>IF(SnapshotTable[[#This Row],[LP Premium]] &gt; 0, SnapshotTable[[#This Row],[LP Qty]] * SnapshotTable[[#This Row],[LP Strike Price]] * 100,0)</f>
        <v>0</v>
      </c>
      <c r="BL28" s="152"/>
      <c r="BM28" s="355" t="str">
        <f>IF(SnapshotTable[[#This Row],[LP Premium]] &gt; 0,SnapshotTable[[#This Row],[LP Exp Date]]-MAX(SnapshotTable[[#This Row],[LP Book Date]], SnapshotTable[[#This Row],[LP Fill Date]]),"")</f>
        <v/>
      </c>
      <c r="BN28" s="355" t="str">
        <f>IF(ISNUMBER( SnapshotTable[[#This Row],[LP Term]]), SnapshotTable[[#This Row],[LP Exp Date]] - MockToday,"")</f>
        <v/>
      </c>
      <c r="BO28" s="161" t="str">
        <f>IF(AND(SnapshotTable[[#This Row],[LP Exp Date]]&gt;0, SnapshotTable[[#This Row],[LP Strike Price]]&gt;0,SnapshotTable[[#This Row],[LP Qty]]&gt;0,SnapshotTable[[#This Row],[LP Book Date]]&gt;0,SnapshotTable[[#This Row],[LP Book Price]]&gt;0,SnapshotTable[[#This Row],[LP Fill Date]]=0),"Y","")</f>
        <v/>
      </c>
      <c r="BP28" s="31" t="str">
        <f>IF(AND(SnapshotTable[[#This Row],[LP No Fill]]&lt;&gt;"Y",SnapshotTable[[#This Row],[LP Contract Value]]&gt;0, SnapshotTable[[#This Row],[LP Qty]]&gt;0), SnapshotTable[[#This Row],[LP Contract Value]]*SnapshotTable[[#This Row],[LP Qty]]*100,"")</f>
        <v/>
      </c>
      <c r="BQ28" s="13"/>
      <c r="BR28" s="5"/>
      <c r="BS28" s="36"/>
      <c r="BT28" s="145"/>
      <c r="BU28" s="13"/>
      <c r="BV28" s="5"/>
      <c r="BW28" s="382" t="b">
        <f>AND(ISNUMBER(SnapshotTable[[#This Row],[SP Exp Date]]), ISNUMBER(SnapshotTable[[#This Row],[SP Strike Price]]), ISNUMBER(SnapshotTable[[#This Row],[SP Qty]]), ISNUMBER(SnapshotTable[[#This Row],[SP Book Date]]), ISNUMBER(SnapshotTable[[#This Row],[SP Book Price]]))</f>
        <v>0</v>
      </c>
      <c r="BX28" s="382" t="b">
        <f>AND(SnapshotTable[[#This Row],[SP Is Booked]], NOT(ISBLANK(SnapshotTable[[#This Row],[SP Fill Date]])))</f>
        <v>0</v>
      </c>
      <c r="BY28" s="33">
        <f>IF(SnapshotTable[[#This Row],[SP Is Booked]], SnapshotTable[[#This Row],[SP Qty]] * SnapshotTable[[#This Row],[SP Book Price]] * 100, 0)</f>
        <v>0</v>
      </c>
      <c r="BZ28" s="339"/>
      <c r="CA28" s="338">
        <f>SnapshotTable[[#This Row],[LP Qty]]</f>
        <v>0</v>
      </c>
      <c r="CB28" s="4" t="str">
        <f>IF(SnapshotTable[[#This Row],[SP Is Booked]], SnapshotTable[[#This Row],[SP Strike Price]] - SnapshotTable[[#This Row],[SP Book Price]], "")</f>
        <v/>
      </c>
      <c r="CC28" s="19" t="str">
        <f>IF(SnapshotTable[[#This Row],[SP Is Booked]],SnapshotTable[[#This Row],[SP Exp Date]]-MAX(SnapshotTable[[#This Row],[SP Book Date]], SnapshotTable[[#This Row],[SP Fill Date]]),"")</f>
        <v/>
      </c>
      <c r="CD28" s="7" t="str">
        <f>IF(SnapshotTable[[#This Row],[SP Is Booked]], SnapshotTable[[#This Row],[SP Book Price]]/SnapshotTable[[#This Row],[SP Strike Price]], "")</f>
        <v/>
      </c>
      <c r="CE28" s="7" t="str">
        <f>IF(ISNUMBER(SnapshotTable[[#This Row],[SP ROO Term]]),SnapshotTable[[#This Row],[SP ROO Term]]*(365/SnapshotTable[[#This Row],[SP Term]]),"")</f>
        <v/>
      </c>
      <c r="CF28" s="221">
        <f>SnapshotTable[[#This Row],[LP Strike Price]] * SnapshotTable[[#This Row],[LP Qty]] * 100</f>
        <v>0</v>
      </c>
      <c r="CG28" s="31">
        <f>IF(ISNUMBER(SnapshotTable[[#This Row],[SP Premium]]), (SnapshotTable[[#This Row],[SP Qty]] * SnapshotTable[[#This Row],[SP Strike Price]]* 100) - SnapshotTable[[#This Row],[LP Protection]], 0)</f>
        <v>0</v>
      </c>
      <c r="CH28" s="7" t="str">
        <f>IF(ISNUMBER(SnapshotTable[[#This Row],[SP Break Even]]),-1 * (SnapshotTable[[#This Row],[SP Break Even]] - SnapshotTable[[#This Row],[Last Price]]) / SnapshotTable[[#This Row],[Last Price]], "")</f>
        <v/>
      </c>
      <c r="CI28" s="31">
        <f>IF(AND(ISNUMBER((SnapshotTable[[#This Row],[SP Potential Spend]])), SnapshotTable[[#This Row],[SP Strike Price]] &gt; SnapshotTable[[#This Row],[Last Price]], SnapshotTable[[#This Row],[SP Is Filled]]), SnapshotTable[[#This Row],[SP Potential Spend]] -  SnapshotTable[[#This Row],[LP Max Value]], 0)</f>
        <v>0</v>
      </c>
      <c r="CJ28" s="229"/>
      <c r="CK28" s="31">
        <f>IF(ISNUMBER(SnapshotTable[[#This Row],[SP Potential Spend]]),IF(ISNUMBER(SnapshotTable[[#This Row],[SP POW]]), SnapshotTable[[#This Row],[SP POW]] * SnapshotTable[[#This Row],[SP Potential Spend]], SnapshotTable[[#This Row],[SP Potential Spend]]), "")</f>
        <v>0</v>
      </c>
      <c r="CL28" s="162">
        <f>IF(NOT(SnapshotTable[[#This Row],[SP Is Filled]]),(SnapshotTable[[#This Row],[SP Qty]] * SnapshotTable[[#This Row],[SP Strike Price]] * 100) - SnapshotTable[[#This Row],[LP Max Value]],"")</f>
        <v>0</v>
      </c>
      <c r="CM28" s="31" t="str">
        <f>IF(SnapshotTable[[#This Row],[SP Actual Spend]]&lt;&gt;0, ((SnapshotTable[[#This Row],[SP Strike Price]]-SnapshotTable[[#This Row],[Last Price]]) *(SnapshotTable[[#This Row],[SP Qty]]*100) - SnapshotTable[[#This Row],[SP Premium]]) * - 1, "")</f>
        <v/>
      </c>
      <c r="CN28" s="76"/>
      <c r="CO28" s="339"/>
      <c r="CP28" s="4" t="str">
        <f>IF(SnapshotTable[[#This Row],[SP Is Filled]], btc_max_buyback_amount(SnapshotTable[[#This Row],[SP Fill Date]],SnapshotTable[[#This Row],[SP Exp Date]], SnapshotTable[[#This Row],[SP Book Price]]),"")</f>
        <v/>
      </c>
      <c r="CQ28" s="76"/>
      <c r="CR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8" s="153" t="str">
        <f>IF(SnapshotTable[[#This Row],[SP Is Filled]], btc_next_cutoff_date(SnapshotTable[[#This Row],[SP Fill Date]],SnapshotTable[[#This Row],[SP Exp Date]]),"")</f>
        <v/>
      </c>
      <c r="CT28" s="220" t="str" cm="1">
        <f t="array" ref="CT28">IF(SnapshotTable[[#This Row],[SP Is Filled]], btc_should_buy_back(SnapshotTable[[#This Row],[SP Fill Date]], SnapshotTable[[#This Row],[SP Exp Date]], SnapshotTable[[#This Row],[SP Book Price]], SnapshotTable[[#This Row],[SP Current Ask]], MockToday, SnapshotTable[[#This Row],[SP Buyback Override]]),"")</f>
        <v/>
      </c>
      <c r="CU28" s="154"/>
      <c r="CV28" s="220"/>
      <c r="CW28" s="348" t="str">
        <f>IF(ISNUMBER( SnapshotTable[[#This Row],[SP Term]]), SnapshotTable[[#This Row],[SP Exp Date]] - MockToday,"")</f>
        <v/>
      </c>
      <c r="CX28" s="31" t="str">
        <f>IF(SnapshotTable[[#This Row],[SP Is Filled]],SnapshotTable[[#This Row],[SP Buyback Price to Use]] * 100 * SnapshotTable[[#This Row],[SP Qty]], "")</f>
        <v/>
      </c>
      <c r="CY28" s="4" t="str">
        <f>IF(ISNUMBER(SnapshotTable[[#This Row],[SP Strike Price]]), SnapshotTable[[#This Row],[SP Strike Price]] * (1 - SP_MaxLoss_StrikePct), "")</f>
        <v/>
      </c>
      <c r="CZ28" s="31" t="str">
        <f>IF(ISNUMBER(SnapshotTable[[#This Row],[SP Strike  Stop Per Share]]),SnapshotTable[[#This Row],[SP Premium]] - ((SnapshotTable[[#This Row],[SP Strike Price]]-SnapshotTable[[#This Row],[SP Strike  Stop Per Share]]) *(SnapshotTable[[#This Row],[SP Qty]] * 100)),"")</f>
        <v/>
      </c>
      <c r="DA28" s="4" t="str">
        <f>IF(AND(ISNUMBER(SnapshotTable[[#This Row],[SP Premium]]),SnapshotTable[[#This Row],[SP Premium]]&gt;0), SnapshotTable[[#This Row],[SP Book Price]] * (1 + SP_MaxLoss_OptionPct), "")</f>
        <v/>
      </c>
      <c r="DB28" s="31" t="str">
        <f>IF(ISNUMBER(SnapshotTable[[#This Row],[SP Option  Stop Contract]]),(SnapshotTable[[#This Row],[SP Option  Stop Contract]] *(SnapshotTable[[#This Row],[SP Qty]] * 100) - SnapshotTable[[#This Row],[SP Premium]]),"")</f>
        <v/>
      </c>
      <c r="DC28" s="4"/>
      <c r="DD28" s="4"/>
      <c r="DE28" s="4" t="str">
        <f>IF(AND(SnapshotTable[[#This Row],[SP Qty]]&gt;0, SnapshotTable[[#This Row],[SP Stop To Use]]&gt;0),SnapshotTable[[#This Row],[SP Premium]] - ( SnapshotTable[[#This Row],[SP Qty]] * SnapshotTable[[#This Row],[SP Stop To Use]] * 100), "")</f>
        <v/>
      </c>
      <c r="DF28" s="31" t="str">
        <f>IF(AND(SnapshotTable[[#This Row],[SP Qty]]&gt;0,SnapshotTable[[#This Row],[SP Current Ask]]&gt;0), SnapshotTable[[#This Row],[SP Qty]] * SnapshotTable[[#This Row],[SP Current Ask]] * -100, "")</f>
        <v/>
      </c>
      <c r="DG28" s="31" t="str">
        <f>IF(ISNUMBER((SnapshotTable[[#This Row],[SP Total Value]])), SnapshotTable[[#This Row],[SP Premium]] + SnapshotTable[[#This Row],[SP Total Value]], "")</f>
        <v/>
      </c>
      <c r="DH28" s="272" t="str">
        <f>IF(ISNUMBER((SnapshotTable[[#This Row],[SP Total Value]])), SnapshotTable[[#This Row],[SP Gain Loss]] / SnapshotTable[[#This Row],[SP Premium]], "")</f>
        <v/>
      </c>
      <c r="DI28" s="369"/>
      <c r="DJ28" s="136"/>
      <c r="DK28" s="146"/>
      <c r="DL28" s="13"/>
      <c r="DM28" s="13"/>
      <c r="DO28" s="31">
        <f>IF(SnapshotTable[[#This Row],[LC Symbol Count]]=1, SnapshotTable[[#This Row],[LC Qty]] * SnapshotTable[[#This Row],[LC Book Price]] * 100, 0)</f>
        <v>0</v>
      </c>
      <c r="DP28" s="161" t="str">
        <f>IF(AND(SnapshotTable[[#This Row],[LC Exp Date]]&gt;0, SnapshotTable[[#This Row],[LC Strike Price]]&gt;0,SnapshotTable[[#This Row],[LC Qty]]&gt;0,SnapshotTable[[#This Row],[LC Book Date]]&gt;0,SnapshotTable[[#This Row],[LC Book Price]]&gt;0,SnapshotTable[[#This Row],[LC Fill Date]]=0),"Y","")</f>
        <v/>
      </c>
      <c r="DQ28" s="356" t="str">
        <f>IF(SnapshotTable[[#This Row],[LC Premium]] &gt; 0,SnapshotTable[[#This Row],[LC Exp Date]]-MAX(SnapshotTable[[#This Row],[LC Book Date]], SnapshotTable[[#This Row],[LC Fill Date]]),"")</f>
        <v/>
      </c>
      <c r="DR28" s="356" t="str">
        <f>IF(ISNUMBER(SnapshotTable[[#This Row],[LC Term]]), SnapshotTable[[#This Row],[LC Exp Date]] - MockToday, "")</f>
        <v/>
      </c>
      <c r="DS28" s="219" t="str">
        <f>IF(SnapshotTable[[#This Row],[LC Premium]]&gt;0,SnapshotTable[[#This Row],[LC Strike Price]] + SnapshotTable[[#This Row],[LC Book Price]],"")</f>
        <v/>
      </c>
      <c r="DU28" s="9" t="str">
        <f>IF(AND(SnapshotTable[[#This Row],[LC Symbol Count]]&gt;0, SnapshotTable[[#This Row],[LC Contract Value]]&gt;0), SnapshotTable[[#This Row],[LC Contract Value]] * SnapshotTable[[#This Row],[LC Qty]] * 100, "")</f>
        <v/>
      </c>
      <c r="DV28" s="9" t="str">
        <f>IF(AND(ISNUMBER(SnapshotTable[[#This Row],[LC Total Value]]), SnapshotTable[[#This Row],[LC Not Filled]]&lt;&gt;"Y"), SnapshotTable[[#This Row],[LC Total Value]]-SnapshotTable[[#This Row],[LC Premium]],"")</f>
        <v/>
      </c>
      <c r="DW28" s="225" t="str">
        <f>IF(ISNUMBER(SnapshotTable[[#This Row],[LC Actual Gain Loss]]), SnapshotTable[[#This Row],[LC Actual Gain Loss]] / SnapshotTable[[#This Row],[LC Premium]],"")</f>
        <v/>
      </c>
      <c r="DX28" s="269" t="str">
        <f>IF(ISNUMBER(SnapshotTable[[#This Row],[LC Book Price]]),SnapshotTable[[#This Row],[LC Book Price]] * 1.5,"")</f>
        <v/>
      </c>
      <c r="DY28" s="250" t="str">
        <f>IF(SnapshotTable[[#This Row],[LC Premium]]&gt;0, SnapshotTable[[#This Row],[LC Next Target]] * SnapshotTable[[#This Row],[LC Qty]] * 100,"")</f>
        <v/>
      </c>
      <c r="DZ28" s="250" t="str">
        <f>IF(ISNUMBER(SnapshotTable[[#This Row],[LC Target Gross]]), SnapshotTable[[#This Row],[LC Target Gross]] - SnapshotTable[[#This Row],[LC Premium]], "")</f>
        <v/>
      </c>
      <c r="EA28" s="283" t="str">
        <f>IF(ISNUMBER(SnapshotTable[[#This Row],[LC Target Gain Loss]]), SnapshotTable[[#This Row],[LC Target Gain Loss]]/SnapshotTable[[#This Row],[LC Premium]], "")</f>
        <v/>
      </c>
      <c r="EB28" s="247"/>
      <c r="EC28" s="268" t="str">
        <f>IF(SnapshotTable[[#This Row],[LC Premium]]&gt;0, SnapshotTable[[#This Row],[LC Book Price]] * (1 - LC_StopLoss_Pct),"")</f>
        <v/>
      </c>
      <c r="ED28" s="269"/>
      <c r="EE28" s="268" t="str">
        <f>IF(ISNUMBER(SnapshotTable[[#This Row],[LC Contract Value]]),IF(ISNUMBER(SnapshotTable[[#This Row],[LC Stop Loss Override]]), SnapshotTable[[#This Row],[LC Stop Loss Override]],SnapshotTable[[#This Row],[LC Stop Loss Calc Target]]),"")</f>
        <v/>
      </c>
      <c r="EF28" s="31" t="str">
        <f>IF(ISNUMBER(SnapshotTable[[#This Row],[LC Stop  To Use]]), (SnapshotTable[[#This Row],[LC Stop  To Use]] * SnapshotTable[[#This Row],[LC Qty]] * 100),"")</f>
        <v/>
      </c>
      <c r="EG28" s="9" t="str">
        <f>IF(ISNUMBER(SnapshotTable[[#This Row],[LC Total Value]]),SnapshotTable[[#This Row],[LC Stop Loss Amount]] - SnapshotTable[[#This Row],[LC Premium]],"")</f>
        <v/>
      </c>
      <c r="EH28" s="9">
        <f>IF(ISNUMBER(SnapshotTable[[#This Row],[LC Premium]]), SnapshotTable[[#This Row],[LC Qty]] * 100 * SnapshotTable[[#This Row],[LC Strike Price]], "")</f>
        <v>0</v>
      </c>
      <c r="EI28" s="225" t="str">
        <f>IF(AND(ISNUMBER(SnapshotTable[[#This Row],[LC Total Value]]),SnapshotTable[[#This Row],[LC Total Value]]&gt;0),SnapshotTable[[#This Row],[LC Stop Gain Loss]]  / SnapshotTable[[#This Row],[LC Premium]],"")</f>
        <v/>
      </c>
      <c r="EJ28" s="35">
        <f>IF(ISNUMBER(SnapshotTable[[#This Row],[Equity Shares]]),TRUNC(SnapshotTable[[#This Row],[Equity Shares]] / 100),0) + SnapshotTable[[#This Row],[LC Qty]]</f>
        <v>0</v>
      </c>
      <c r="EK28" s="145"/>
      <c r="EL28" s="136"/>
      <c r="EM28" s="146"/>
      <c r="EN28" s="145"/>
      <c r="EO28" s="145"/>
      <c r="EP28" s="136"/>
      <c r="EQ28" s="382" t="b">
        <f>AND(ISNUMBER(SnapshotTable[[#This Row],[SC Exp Date]]), ISNUMBER(SnapshotTable[[#This Row],[SC Strike Price]]), ISNUMBER(SnapshotTable[[#This Row],[SC Qty]]), ISNUMBER(SnapshotTable[[#This Row],[SC Book Date]]), ISNUMBER(SnapshotTable[[#This Row],[SC Book Price]]))</f>
        <v>0</v>
      </c>
      <c r="ER28" s="382" t="b">
        <f>AND(SnapshotTable[[#This Row],[SC Is Booked]], NOT(ISBLANK(SnapshotTable[[#This Row],[SC Fill Date]])))</f>
        <v>0</v>
      </c>
      <c r="ES28" s="340">
        <v>0.41</v>
      </c>
      <c r="ET28" s="34" t="str">
        <f>IF(AND(ISNUMBER(SnapshotTable[[#This Row],[SC Exp Date]]), ISNUMBER(SnapshotTable[[#This Row],[SC Book Date]])), SnapshotTable[[#This Row],[SC Exp Date]] - MAX(SnapshotTable[[#This Row],[SC Book Date]], SnapshotTable[[#This Row],[SC Fill Date]]) + 1, "")</f>
        <v/>
      </c>
      <c r="EU28" s="34" t="str">
        <f>IF(ISNUMBER(SnapshotTable[[#This Row],[SC Term]]), SnapshotTable[[#This Row],[SC Exp Date]]- MockToday, "")</f>
        <v/>
      </c>
      <c r="EV28" s="31">
        <f>IF(SnapshotTable[[#This Row],[SC Is Booked]], SnapshotTable[[#This Row],[SC Qty]] * SnapshotTable[[#This Row],[SC Book Price]] * 100, 0)</f>
        <v>0</v>
      </c>
      <c r="EW28" s="4" t="str">
        <f>IF(AND(ISNUMBER(SnapshotTable[[#This Row],[Last Price]]), ISNUMBER( SnapshotTable[[#This Row],[SC Book Price]])), SnapshotTable[[#This Row],[Last Price]] - SnapshotTable[[#This Row],[SC Book Price]],"")</f>
        <v/>
      </c>
      <c r="EX28" s="219" t="str">
        <f>IF(SnapshotTable[[#This Row],[SC Is Booked]],IF(SnapshotTable[[#This Row],[SC Intrinsic Value]] &gt; 0, SnapshotTable[[#This Row],[SC Strike Price]], SnapshotTable[[#This Row],[Last Price]]), "")</f>
        <v/>
      </c>
      <c r="EY28" s="4">
        <f>IF(SnapshotTable[[#This Row],[SC Is Booked]], (MinimumPremiumRequired * SnapshotTable[[#This Row],[SC Basis]] * SnapshotTable[[#This Row],[SC Term]]), 0)</f>
        <v>0</v>
      </c>
      <c r="EZ28" s="268"/>
      <c r="FA28" s="204"/>
      <c r="FB28" s="340"/>
      <c r="FC28" s="4">
        <f>IF(SnapshotTable[[#This Row],[SC Is Filled]], btc_max_buyback_amount(SnapshotTable[[#This Row],[SC Fill Date]],SnapshotTable[[#This Row],[SC Exp Date]], SnapshotTable[[#This Row],[SC Book Price]]),0)</f>
        <v>0</v>
      </c>
      <c r="FD28" s="5"/>
      <c r="FE28" s="142" t="str">
        <f>IF(SnapshotTable[[#This Row],[SC Is Filled]], btc_next_cutoff_date(SnapshotTable[[#This Row],[SC Fill Date]],SnapshotTable[[#This Row],[SC Exp Date]]),"")</f>
        <v/>
      </c>
      <c r="FF28" s="4" t="str" cm="1">
        <f t="array" ref="FF28">IF(SnapshotTable[[#This Row],[SC Is Filled]], btc_should_buy_back(SnapshotTable[[#This Row],[SC Fill Date]], SnapshotTable[[#This Row],[SC Exp Date]], SnapshotTable[[#This Row],[SC Book Price]], SnapshotTable[[#This Row],[SC Current Ask]], MockToday, SnapshotTable[[#This Row],[SC Buyback Override]]),"")</f>
        <v/>
      </c>
      <c r="FG28" s="4">
        <f>IF(SnapshotTable[[#This Row],[SC Is Filled]], MAX(0,SnapshotTable[[#This Row],[Last Price]]  - SnapshotTable[[#This Row],[SC Strike Price]]), 0)</f>
        <v>0</v>
      </c>
      <c r="FH28" s="352">
        <f>IF(SnapshotTable[[#This Row],[SC Is Filled]], IF(ISNUMBER(SnapshotTable[[#This Row],[SC Current Ask]]), SnapshotTable[[#This Row],[SC Current Ask]], SnapshotTable[[#This Row],[SC Book Price]]) - SnapshotTable[[#This Row],[SC Intrinsic Value]], 0)</f>
        <v>0</v>
      </c>
      <c r="FI28" s="141">
        <v>45786</v>
      </c>
      <c r="FJ28" s="32" t="str">
        <f>IF(SnapshotTable[[#This Row],[SC Is Filled]],100 * SnapshotTable[[#This Row],[SC Qty]] * IF(ISNUMBER(SnapshotTable[[#This Row],[SC Buyback Override]]), SnapshotTable[[#This Row],[SC Buyback Override]], SnapshotTable[[#This Row],[SC Current Ask]]), "")</f>
        <v/>
      </c>
      <c r="FK28" s="235" t="str">
        <f>IF(SnapshotTable[[#This Row],[SC Time Val]]&gt;0, SnapshotTable[[#This Row],[SC Time Val]] / SnapshotTable[[#This Row],[Last Price]],"")</f>
        <v/>
      </c>
      <c r="FL28" s="280" t="str">
        <f>IF(SnapshotTable[[#This Row],[SC Is Booked]], ((SnapshotTable[[#This Row],[Last Price]] -SnapshotTable[[#This Row],[SC Strike Price]]) / SnapshotTable[[#This Row],[Last Price]]) * -1, "")</f>
        <v/>
      </c>
      <c r="FM28" s="155" t="str">
        <f>IF(SnapshotTable[[#This Row],[SC Is Booked]],  (SnapshotTable[[#This Row],[SC Qty]] * 100 * SnapshotTable[[#This Row],[SC Strike Price]]) - SnapshotTable[[#This Row],[SC Current Ask]], "")</f>
        <v/>
      </c>
      <c r="FN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8" s="31" t="str">
        <f>IF(AND(ISNUMBER(SnapshotTable[[#This Row],[SC Exercise Gross]]), ISNUMBER(SnapshotTable[[#This Row],[Equity Basis Per Share]] )), SnapshotTable[[#This Row],[SC Exercise Gross]] - SnapshotTable[[#This Row],[Equity Basis Total]] +  SnapshotTable[[#This Row],[SC Premium]], "")</f>
        <v/>
      </c>
      <c r="FP28" s="5" t="str">
        <f>IF(ISNUMBER(SnapshotTable[[#This Row],[SC Exercise Gross]]), (SnapshotTable[[#This Row],[SC Exercise Gross]]) / (SnapshotTable[[#This Row],[SC Qty]] * 100), "")</f>
        <v/>
      </c>
      <c r="FQ28" s="27" t="str">
        <f>IF(SnapshotTable[[#This Row],[SC Is Booked]],SnapshotTable[[#This Row],[SC Time Val]] /SnapshotTable[[#This Row],[SC Basis]], "")</f>
        <v/>
      </c>
      <c r="FR28" s="27" t="str" cm="1">
        <f t="array" ref="FR28">IF(AND(ISNUMBER(SnapshotTable[[#This Row],[SC Term]]),ISNUMBER(SnapshotTable[[#This Row],[SC Simple ROO]])), EllmanAnnualize(SnapshotTable[[#This Row],[SC DTE]], SnapshotTable[[#This Row],[SC Simple ROO]] ),"")</f>
        <v/>
      </c>
      <c r="FS28" s="4">
        <f>IF(SnapshotTable[[#This Row],[SC Strike Price]] &gt; SnapshotTable[[#This Row],[Last Price]], SnapshotTable[[#This Row],[SC Strike Price]] - SnapshotTable[[#This Row],[Last Price]],0)</f>
        <v>0</v>
      </c>
      <c r="FT28" s="27" t="str">
        <f>IF(AND(ISNUMBER(SnapshotTable[[#This Row],[SC Upside Potential]]), SnapshotTable[[#This Row],[SC Upside Potential]] &gt; 0),(SnapshotTable[[#This Row],[SC Upside Potential]]/ SnapshotTable[[#This Row],[ACB]]),"")</f>
        <v/>
      </c>
      <c r="FU28" s="304" t="str">
        <f>IF(SnapshotTable[[#This Row],[SC Intrinsic Value]] &gt; 0,SnapshotTable[[#This Row],[SC Intrinsic Value]],"")</f>
        <v/>
      </c>
      <c r="FV28" s="27" t="str">
        <f>IF(AND( ISNUMBER( SnapshotTable[[#This Row],[ACB]]),ISNUMBER(SnapshotTable[[#This Row],[SC Downside Protect]])),SnapshotTable[[#This Row],[SC Downside Protect]] / SnapshotTable[[#This Row],[ACB]],"")</f>
        <v/>
      </c>
      <c r="FW28" s="221" t="str">
        <f>IF(AND(ISNUMBER(SnapshotTable[[#This Row],[SC Simple ROO]]),SnapshotTable[[#This Row],[SC Simple ROO]] &gt; 0), SnapshotTable[[#This Row],[SC Premium]] + (SnapshotTable[[#This Row],[SC Qty]] * SnapshotTable[[#This Row],[SC Upside Potential]]), "")</f>
        <v/>
      </c>
      <c r="FX28" s="280" t="str" cm="1">
        <f t="array" ref="FX28">IF(ISNUMBER(SnapshotTable[[#This Row],[SC Max Dollars]]), annualize(SnapshotTable[[#This Row],[SC Term]],(SnapshotTable[[#This Row],[SC Max Dollars]]/SnapshotTable[[#This Row],[SC Basis]])),"")</f>
        <v/>
      </c>
      <c r="FY28" s="221" t="str">
        <f>IF(AND(SnapshotTable[[#This Row],[SC Qty]]&gt;0,SnapshotTable[[#This Row],[SC Current Ask]]&gt;0), SnapshotTable[[#This Row],[SC Qty]] * SnapshotTable[[#This Row],[SC Current Ask]] * -100, "")</f>
        <v/>
      </c>
      <c r="FZ28" s="31" t="str">
        <f>IF(ISNUMBER((SnapshotTable[[#This Row],[SC Current Value]])), SnapshotTable[[#This Row],[SC Premium]] + SnapshotTable[[#This Row],[SC Current Value]], "")</f>
        <v/>
      </c>
      <c r="GA28" s="272" t="str">
        <f>IFERROR( IF(ISNUMBER((SnapshotTable[[#This Row],[SC Current Value]])), SnapshotTable[[#This Row],[SC Gain Loss]] / SnapshotTable[[#This Row],[SC Premium]], ""), "")</f>
        <v/>
      </c>
      <c r="GB28" s="42">
        <f>SnapshotTable[[#This Row],[Equity Shares]] * SaleSharesToConsiderPercentage</f>
        <v>0</v>
      </c>
      <c r="GC28" s="40">
        <f>SnapshotTable[[#This Row],[Long Term Target]] * SellingPriceToConsiderBasedOnTargetPercentage</f>
        <v>0</v>
      </c>
      <c r="GD28" s="40">
        <f>SnapshotTable[[#This Row],[Last Price]] * (1+ SellingPriceToConsiderBasedOnTargetPercentage)</f>
        <v>15.970499999999999</v>
      </c>
      <c r="GE28" s="41"/>
      <c r="GF28" s="40"/>
      <c r="GG28" s="31">
        <f>SnapshotTable[[#This Row],[Booked Sale Shares]] * SnapshotTable[[#This Row],[Booked Sale Price]]</f>
        <v>0</v>
      </c>
      <c r="GH28" s="31" t="str">
        <f>IF(SnapshotTable[[#This Row],[Equity Basis Total]] &gt; 0, SnapshotTable[[#This Row],[Equity Basis Per Share]] * SnapshotTable[[#This Row],[Booked Sale Shares]], "")</f>
        <v/>
      </c>
      <c r="GI28" s="31">
        <f>IF(SnapshotTable[[#This Row],[Sale Proceeds]]&gt;0, SnapshotTable[[#This Row],[Sale Proceeds]] - SnapshotTable[[#This Row],[Sale Basis]], 0)</f>
        <v>0</v>
      </c>
      <c r="GJ28" s="27" t="str">
        <f>IF(SnapshotTable[[#This Row],[Sale G/L]]&gt;0, SnapshotTable[[#This Row],[Sale G/L]] / SnapshotTable[[#This Row],[Sale Basis]], IF(ISNUMBER(SnapshotTable[[#This Row],[SC Exercise P&amp;L (TAX)]]), SnapshotTable[[#This Row],[SC Exercise P&amp;L (TAX)]] / SnapshotTable[[#This Row],[SC Basis]], ""))</f>
        <v/>
      </c>
      <c r="GK28" s="27"/>
      <c r="GL28" s="43" t="str">
        <f>IF(AND(SnapshotTable[[#This Row],[LP Exp Date]]&gt;0,SnapshotTable[[#This Row],[LP Strike Price]]&gt;0), [1]!ToOptionSymbol(SnapshotTable[[#This Row],[Symbol]], SnapshotTable[[#This Row],[LP Strike Price]],SnapshotTable[[#This Row],[LP Exp Date]],1), "")</f>
        <v/>
      </c>
      <c r="GM28" s="30" t="str">
        <f>IF(LEN(SnapshotTable[[#This Row],[LP Symbol]])&gt;0, 1, "")</f>
        <v/>
      </c>
      <c r="GN28" s="43" t="str">
        <f>IF(AND(SnapshotTable[[#This Row],[SP Exp Date]]&gt;0,SnapshotTable[[#This Row],[SP Strike Price]]&gt;0), [1]!ToOptionSymbol(SnapshotTable[[#This Row],[Symbol]], SnapshotTable[[#This Row],[SP Strike Price]],SnapshotTable[[#This Row],[SP Exp Date]],1), "")</f>
        <v/>
      </c>
      <c r="GO28" s="30" t="str">
        <f>IF(LEN(SnapshotTable[[#This Row],[SP Symbol]])&gt;0, 1, "")</f>
        <v/>
      </c>
      <c r="GP28" s="43" t="str">
        <f>IF(AND(SnapshotTable[[#This Row],[LC Exp Date]]&gt;0,SnapshotTable[[#This Row],[LC Strike Price]]&gt;0), [1]!ToOptionSymbol(SnapshotTable[[#This Row],[Symbol]], SnapshotTable[[#This Row],[LC Strike Price]],SnapshotTable[[#This Row],[LC Exp Date]],0), "")</f>
        <v/>
      </c>
      <c r="GQ28" s="30" t="str">
        <f>IF(LEN(SnapshotTable[[#This Row],[LC Symbol]])&gt;0, 1, "")</f>
        <v/>
      </c>
      <c r="GR28" s="43" t="str">
        <f>IF(AND(SnapshotTable[[#This Row],[SC Exp Date]]&gt;0,SnapshotTable[[#This Row],[SC Strike Price]]&gt;0), [1]!ToOptionSymbol(SnapshotTable[[#This Row],[Symbol]], SnapshotTable[[#This Row],[SC Strike Price]],SnapshotTable[[#This Row],[SC Exp Date]],0), "")</f>
        <v/>
      </c>
      <c r="GS28" s="30" t="str">
        <f>IF(LEN(SnapshotTable[[#This Row],[SC Symbol]])&gt;0, 1, "")</f>
        <v/>
      </c>
      <c r="GT28" s="29" t="str">
        <f>IF(COUNT(SnapshotTable[[#This Row],[LP Symbol Count]],SnapshotTable[[#This Row],[SP Symbol Count]],SnapshotTable[[#This Row],[LC Symbol Count]],SnapshotTable[[#This Row],[SC Symbol Count]])&gt;0, "Y", "")</f>
        <v/>
      </c>
      <c r="GU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8" s="216">
        <f>MAX(SnapshotTable[[#This Row],[Equity Basis Total]],SnapshotTable[[#This Row],[Equity Value]]) + (SnapshotTable[[#This Row],[SP Potential Spend]]- SnapshotTable[[#This Row],[SP Premium]] + SnapshotTable[[#This Row],[LP Premium]])+ (SnapshotTable[[#This Row],[LC Premium]] - SnapshotTable[[#This Row],[SC Premium]])</f>
        <v>0</v>
      </c>
      <c r="GW28" s="137" t="str">
        <f>IF(AND(SnapshotTable[[#This Row],[Exposure]] &lt;&gt; 0),SnapshotTable[[#This Row],[Exposure]] / SnapshotTable[[#Totals],[Exposure]], "")</f>
        <v/>
      </c>
      <c r="HK28" s="1"/>
      <c r="HL28" s="1"/>
      <c r="HM28" s="1"/>
      <c r="HN28" s="1"/>
      <c r="HO28" s="1"/>
      <c r="HP28" s="1"/>
    </row>
    <row r="29" spans="2:224" ht="12.75" hidden="1" customHeight="1" x14ac:dyDescent="0.25">
      <c r="B29" s="12" t="s">
        <v>53</v>
      </c>
      <c r="C29" s="385">
        <v>78.25</v>
      </c>
      <c r="D29" s="200"/>
      <c r="E29" s="39">
        <f>SnapshotTable[[#This Row],[Last Price]]*(1 -CrashDiscount)</f>
        <v>66.512500000000003</v>
      </c>
      <c r="F29" s="26" t="s">
        <v>747</v>
      </c>
      <c r="G29" s="26" t="s">
        <v>4</v>
      </c>
      <c r="H29" s="147"/>
      <c r="I29" s="186">
        <v>44775.677083333336</v>
      </c>
      <c r="J29" s="187">
        <v>44775.677083333336</v>
      </c>
      <c r="K29" s="188"/>
      <c r="L29" s="297"/>
      <c r="M29" s="138"/>
      <c r="N29" s="138"/>
      <c r="O29" s="138"/>
      <c r="P29" s="22"/>
      <c r="Q29" s="25"/>
      <c r="R29" s="4" t="str">
        <f>IF(SnapshotTable[[#This Row],[Equity Basis Total]] &gt; 0, SnapshotTable[[#This Row],[Equity Basis Total]] / SnapshotTable[[#This Row],[Equity Shares]], "")</f>
        <v/>
      </c>
      <c r="S29" s="254">
        <f>SnapshotTable[[#This Row],[Last Price]] * SnapshotTable[[#This Row],[Equity Shares]]</f>
        <v>0</v>
      </c>
      <c r="T29" s="254">
        <f>SnapshotTable[[#This Row],[Equity Value]] - SnapshotTable[[#This Row],[Equity Basis Total]]</f>
        <v>0</v>
      </c>
      <c r="U29" s="255" t="str">
        <f>IF(SnapshotTable[[#This Row],[Equity Basis Total]] &gt; 0, SnapshotTable[[#This Row],[Equity G/L]] / SnapshotTable[[#This Row],[Equity Basis Total]], "")</f>
        <v/>
      </c>
      <c r="V29" s="253"/>
      <c r="W29" s="253"/>
      <c r="X29" s="4" t="str">
        <f>IF(AND(ISNUMBER(SnapshotTable[[#This Row],[Equity Basis Per Share]]),ISNUMBER(SnapshotTable[[#This Row],[Equity Target]])),SnapshotTable[[#This Row],[Equity Target]]-SnapshotTable[[#This Row],[Equity Basis Per Share]],"")</f>
        <v/>
      </c>
      <c r="Y29" s="4" t="str">
        <f>IF(AND(ISNUMBER(SnapshotTable[[#This Row],[Equity Basis Per Share]]),ISNUMBER(SnapshotTable[[#This Row],[Equity Stop Loss]])),SnapshotTable[[#This Row],[Equity Stop Loss]]-SnapshotTable[[#This Row],[Equity Basis Per Share]],"")</f>
        <v/>
      </c>
      <c r="Z29" s="260" t="str">
        <f>IFERROR( TEXT(SnapshotTable[[#This Row],[Equity Max Gain Per Share]] /ABS( SnapshotTable[[#This Row],[Equity Max Loss Per Share]]),"0.0 " ) &amp; " : 1", "")</f>
        <v/>
      </c>
      <c r="AA29" s="31" t="str">
        <f>IF(ISNUMBER(SnapshotTable[[#This Row],[Equity Max Gain Per Share]]),SnapshotTable[[#This Row],[Equity Max Gain Per Share]] * SnapshotTable[[#This Row],[Equity Shares]],"")</f>
        <v/>
      </c>
      <c r="AB29" s="31" t="str">
        <f>IF(ISNUMBER(SnapshotTable[[#This Row],[Equity Max Loss Per Share]]),SnapshotTable[[#This Row],[Equity Max Loss Per Share]] * SnapshotTable[[#This Row],[Equity Shares]],"")</f>
        <v/>
      </c>
      <c r="AC29" s="148">
        <v>1.28</v>
      </c>
      <c r="AD29" s="149">
        <v>42450</v>
      </c>
      <c r="AE29" s="31">
        <f>(SnapshotTable[[#This Row],[Annual Dividend Per Share]] / 4) * SnapshotTable[[#This Row],[Equity Shares]]</f>
        <v>0</v>
      </c>
      <c r="AF29" s="31">
        <f>SnapshotTable[[#This Row],[Quarterly Div $]] * 4</f>
        <v>0</v>
      </c>
      <c r="AG29" s="7">
        <f>IF(SnapshotTable[[#This Row],[Annual Dividend Per Share]]&gt;0, SnapshotTable[[#This Row],[Annual Dividend Per Share]]  / SnapshotTable[[#This Row],[Last Price]], 0)</f>
        <v>1.6357827476038339E-2</v>
      </c>
      <c r="AH29" s="149">
        <v>42339</v>
      </c>
      <c r="AI29" s="5"/>
      <c r="AJ29" s="136">
        <v>42.8</v>
      </c>
      <c r="AK29" s="150" t="str">
        <f>IF(ISNUMBER( SnapshotTable[[#This Row],[EBF Target]]),(SnapshotTable[[#This Row],[EBF Target]] - SnapshotTable[[#This Row],[Last Price]]) / SnapshotTable[[#This Row],[Last Price]], "")</f>
        <v/>
      </c>
      <c r="AL29" s="150" t="str">
        <f>IF(AND(SnapshotTable[[#This Row],[Equity Basis Total]] &gt; 0,ISNUMBER( SnapshotTable[[#This Row],[Long Term Target]])), SnapshotTable[[#This Row],[From Basis $]] / SnapshotTable[[#This Row],[Equity Basis Total]], "")</f>
        <v/>
      </c>
      <c r="AM29" s="9">
        <f>IF( AND(SnapshotTable[[#This Row],[Equity Shares]] &gt;0,ISNUMBER( SnapshotTable[[#This Row],[Long Term Target]])),(SnapshotTable[[#This Row],[Equity Shares]] * SnapshotTable[[#This Row],[Long Term Target]]) - SnapshotTable[[#This Row],[Equity Basis Total]],0)</f>
        <v>0</v>
      </c>
      <c r="AN29" s="9">
        <f>IF( AND(SnapshotTable[[#This Row],[Equity Shares]] &gt;0,ISNUMBER( SnapshotTable[[#This Row],[Long Term Target]])),(SnapshotTable[[#This Row],[Equity Shares]]*SnapshotTable[[#This Row],[Long Term Target]]) - SnapshotTable[[#This Row],[Equity Value]],0)</f>
        <v>0</v>
      </c>
      <c r="AO29" s="150">
        <f>IF(AND(ISNUMBER( SnapshotTable[[#This Row],[Long Term Target]]), ISNUMBER(SnapshotTable[[#This Row],[Last Price]])),(SnapshotTable[[#This Row],[Long Term Target]] - SnapshotTable[[#This Row],[Last Price]]) / SnapshotTable[[#This Row],[Last Price]], "")</f>
        <v>-0.45303514376996806</v>
      </c>
      <c r="AP29" s="5">
        <v>8</v>
      </c>
      <c r="AQ29" s="38" t="s">
        <v>16</v>
      </c>
      <c r="AR29" s="5">
        <v>8</v>
      </c>
      <c r="AS29" s="38" t="s">
        <v>22</v>
      </c>
      <c r="AT29" s="144" t="s">
        <v>442</v>
      </c>
      <c r="AU29" s="185" t="str">
        <f>IF(OR(SnapshotTable[[#This Row],[LP No Fill]]="Y",SnapshotTable[[#This Row],[SP Is Filled]],SnapshotTable[[#This Row],[LC Not Filled]]="Y",SnapshotTable[[#This Row],[SC Is Filled]]),"Y","")</f>
        <v/>
      </c>
      <c r="AV29" s="205"/>
      <c r="AW29" s="211"/>
      <c r="AX29" s="206"/>
      <c r="AY29" s="205" t="str">
        <f>IF(SnapshotTable[[#This Row],[Implied Move]]&gt;0, SnapshotTable[[#This Row],[Last Price]]-SnapshotTable[[#This Row],[Implied Move]],"")</f>
        <v/>
      </c>
      <c r="AZ29" s="205" t="str">
        <f>IF(SnapshotTable[[#This Row],[Implied Move]]&gt;0, SnapshotTable[[#This Row],[Last Price]] + SnapshotTable[[#This Row],[Implied Move]],"")</f>
        <v/>
      </c>
      <c r="BA29" s="302"/>
      <c r="BB29" s="318"/>
      <c r="BC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9" s="321"/>
      <c r="BE29" s="5"/>
      <c r="BF29" s="14"/>
      <c r="BG29" s="13"/>
      <c r="BH29" s="13"/>
      <c r="BI29" s="5"/>
      <c r="BJ29" s="134">
        <f>IF(SnapshotTable[[#This Row],[LP Qty]] &gt; 0, SnapshotTable[[#This Row],[LP Qty]] * SnapshotTable[[#This Row],[LP Book Price]] * 100,0)</f>
        <v>0</v>
      </c>
      <c r="BK29" s="134">
        <f>IF(SnapshotTable[[#This Row],[LP Premium]] &gt; 0, SnapshotTable[[#This Row],[LP Qty]] * SnapshotTable[[#This Row],[LP Strike Price]] * 100,0)</f>
        <v>0</v>
      </c>
      <c r="BL29" s="152"/>
      <c r="BM29" s="355" t="str">
        <f>IF(SnapshotTable[[#This Row],[LP Premium]] &gt; 0,SnapshotTable[[#This Row],[LP Exp Date]]-MAX(SnapshotTable[[#This Row],[LP Book Date]], SnapshotTable[[#This Row],[LP Fill Date]]),"")</f>
        <v/>
      </c>
      <c r="BN29" s="355" t="str">
        <f>IF(ISNUMBER( SnapshotTable[[#This Row],[LP Term]]), SnapshotTable[[#This Row],[LP Exp Date]] - MockToday,"")</f>
        <v/>
      </c>
      <c r="BO29" s="161" t="str">
        <f>IF(AND(SnapshotTable[[#This Row],[LP Exp Date]]&gt;0, SnapshotTable[[#This Row],[LP Strike Price]]&gt;0,SnapshotTable[[#This Row],[LP Qty]]&gt;0,SnapshotTable[[#This Row],[LP Book Date]]&gt;0,SnapshotTable[[#This Row],[LP Book Price]]&gt;0,SnapshotTable[[#This Row],[LP Fill Date]]=0),"Y","")</f>
        <v/>
      </c>
      <c r="BP29" s="31" t="str">
        <f>IF(AND(SnapshotTable[[#This Row],[LP No Fill]]&lt;&gt;"Y",SnapshotTable[[#This Row],[LP Contract Value]]&gt;0, SnapshotTable[[#This Row],[LP Qty]]&gt;0), SnapshotTable[[#This Row],[LP Contract Value]]*SnapshotTable[[#This Row],[LP Qty]]*100,"")</f>
        <v/>
      </c>
      <c r="BQ29" s="13"/>
      <c r="BR29" s="5"/>
      <c r="BS29" s="36"/>
      <c r="BT29" s="145"/>
      <c r="BU29" s="13"/>
      <c r="BV29" s="5"/>
      <c r="BW29" s="382" t="b">
        <f>AND(ISNUMBER(SnapshotTable[[#This Row],[SP Exp Date]]), ISNUMBER(SnapshotTable[[#This Row],[SP Strike Price]]), ISNUMBER(SnapshotTable[[#This Row],[SP Qty]]), ISNUMBER(SnapshotTable[[#This Row],[SP Book Date]]), ISNUMBER(SnapshotTable[[#This Row],[SP Book Price]]))</f>
        <v>0</v>
      </c>
      <c r="BX29" s="382" t="b">
        <f>AND(SnapshotTable[[#This Row],[SP Is Booked]], NOT(ISBLANK(SnapshotTable[[#This Row],[SP Fill Date]])))</f>
        <v>0</v>
      </c>
      <c r="BY29" s="33">
        <f>IF(SnapshotTable[[#This Row],[SP Is Booked]], SnapshotTable[[#This Row],[SP Qty]] * SnapshotTable[[#This Row],[SP Book Price]] * 100, 0)</f>
        <v>0</v>
      </c>
      <c r="BZ29" s="339"/>
      <c r="CA29" s="338">
        <f>SnapshotTable[[#This Row],[LP Qty]]</f>
        <v>0</v>
      </c>
      <c r="CB29" s="4" t="str">
        <f>IF(SnapshotTable[[#This Row],[SP Is Booked]], SnapshotTable[[#This Row],[SP Strike Price]] - SnapshotTable[[#This Row],[SP Book Price]], "")</f>
        <v/>
      </c>
      <c r="CC29" s="19" t="str">
        <f>IF(SnapshotTable[[#This Row],[SP Is Booked]],SnapshotTable[[#This Row],[SP Exp Date]]-MAX(SnapshotTable[[#This Row],[SP Book Date]], SnapshotTable[[#This Row],[SP Fill Date]]),"")</f>
        <v/>
      </c>
      <c r="CD29" s="7" t="str">
        <f>IF(SnapshotTable[[#This Row],[SP Is Booked]], SnapshotTable[[#This Row],[SP Book Price]]/SnapshotTable[[#This Row],[SP Strike Price]], "")</f>
        <v/>
      </c>
      <c r="CE29" s="7" t="str">
        <f>IF(ISNUMBER(SnapshotTable[[#This Row],[SP ROO Term]]),SnapshotTable[[#This Row],[SP ROO Term]]*(365/SnapshotTable[[#This Row],[SP Term]]),"")</f>
        <v/>
      </c>
      <c r="CF29" s="221">
        <f>SnapshotTable[[#This Row],[LP Strike Price]] * SnapshotTable[[#This Row],[LP Qty]] * 100</f>
        <v>0</v>
      </c>
      <c r="CG29" s="31">
        <f>IF(ISNUMBER(SnapshotTable[[#This Row],[SP Premium]]), (SnapshotTable[[#This Row],[SP Qty]] * SnapshotTable[[#This Row],[SP Strike Price]]* 100) - SnapshotTable[[#This Row],[LP Protection]], 0)</f>
        <v>0</v>
      </c>
      <c r="CH29" s="7" t="str">
        <f>IF(ISNUMBER(SnapshotTable[[#This Row],[SP Break Even]]),-1 * (SnapshotTable[[#This Row],[SP Break Even]] - SnapshotTable[[#This Row],[Last Price]]) / SnapshotTable[[#This Row],[Last Price]], "")</f>
        <v/>
      </c>
      <c r="CI29" s="31">
        <f>IF(AND(ISNUMBER((SnapshotTable[[#This Row],[SP Potential Spend]])), SnapshotTable[[#This Row],[SP Strike Price]] &gt; SnapshotTable[[#This Row],[Last Price]], SnapshotTable[[#This Row],[SP Is Filled]]), SnapshotTable[[#This Row],[SP Potential Spend]] -  SnapshotTable[[#This Row],[LP Max Value]], 0)</f>
        <v>0</v>
      </c>
      <c r="CJ29" s="229"/>
      <c r="CK29" s="31">
        <f>IF(ISNUMBER(SnapshotTable[[#This Row],[SP Potential Spend]]),IF(ISNUMBER(SnapshotTable[[#This Row],[SP POW]]), SnapshotTable[[#This Row],[SP POW]] * SnapshotTable[[#This Row],[SP Potential Spend]], SnapshotTable[[#This Row],[SP Potential Spend]]), "")</f>
        <v>0</v>
      </c>
      <c r="CL29" s="162">
        <f>IF(NOT(SnapshotTable[[#This Row],[SP Is Filled]]),(SnapshotTable[[#This Row],[SP Qty]] * SnapshotTable[[#This Row],[SP Strike Price]] * 100) - SnapshotTable[[#This Row],[LP Max Value]],"")</f>
        <v>0</v>
      </c>
      <c r="CM29" s="31" t="str">
        <f>IF(SnapshotTable[[#This Row],[SP Actual Spend]]&lt;&gt;0, ((SnapshotTable[[#This Row],[SP Strike Price]]-SnapshotTable[[#This Row],[Last Price]]) *(SnapshotTable[[#This Row],[SP Qty]]*100) - SnapshotTable[[#This Row],[SP Premium]]) * - 1, "")</f>
        <v/>
      </c>
      <c r="CN29" s="76"/>
      <c r="CO29" s="339"/>
      <c r="CP29" s="4" t="str">
        <f>IF(SnapshotTable[[#This Row],[SP Is Filled]], btc_max_buyback_amount(SnapshotTable[[#This Row],[SP Fill Date]],SnapshotTable[[#This Row],[SP Exp Date]], SnapshotTable[[#This Row],[SP Book Price]]),"")</f>
        <v/>
      </c>
      <c r="CQ29" s="76"/>
      <c r="CR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9" s="153" t="str">
        <f>IF(SnapshotTable[[#This Row],[SP Is Filled]], btc_next_cutoff_date(SnapshotTable[[#This Row],[SP Fill Date]],SnapshotTable[[#This Row],[SP Exp Date]]),"")</f>
        <v/>
      </c>
      <c r="CT29" s="220" t="str" cm="1">
        <f t="array" ref="CT29">IF(SnapshotTable[[#This Row],[SP Is Filled]], btc_should_buy_back(SnapshotTable[[#This Row],[SP Fill Date]], SnapshotTable[[#This Row],[SP Exp Date]], SnapshotTable[[#This Row],[SP Book Price]], SnapshotTable[[#This Row],[SP Current Ask]], MockToday, SnapshotTable[[#This Row],[SP Buyback Override]]),"")</f>
        <v/>
      </c>
      <c r="CU29" s="141"/>
      <c r="CV29" s="220"/>
      <c r="CW29" s="348" t="str">
        <f>IF(ISNUMBER( SnapshotTable[[#This Row],[SP Term]]), SnapshotTable[[#This Row],[SP Exp Date]] - MockToday,"")</f>
        <v/>
      </c>
      <c r="CX29" s="31" t="str">
        <f>IF(SnapshotTable[[#This Row],[SP Is Filled]],SnapshotTable[[#This Row],[SP Buyback Price to Use]] * 100 * SnapshotTable[[#This Row],[SP Qty]], "")</f>
        <v/>
      </c>
      <c r="CY29" s="4" t="str">
        <f>IF(ISNUMBER(SnapshotTable[[#This Row],[SP Strike Price]]), SnapshotTable[[#This Row],[SP Strike Price]] * (1 - SP_MaxLoss_StrikePct), "")</f>
        <v/>
      </c>
      <c r="CZ29" s="31" t="str">
        <f>IF(ISNUMBER(SnapshotTable[[#This Row],[SP Strike  Stop Per Share]]),SnapshotTable[[#This Row],[SP Premium]] - ((SnapshotTable[[#This Row],[SP Strike Price]]-SnapshotTable[[#This Row],[SP Strike  Stop Per Share]]) *(SnapshotTable[[#This Row],[SP Qty]] * 100)),"")</f>
        <v/>
      </c>
      <c r="DA29" s="4" t="str">
        <f>IF(AND(ISNUMBER(SnapshotTable[[#This Row],[SP Premium]]),SnapshotTable[[#This Row],[SP Premium]]&gt;0), SnapshotTable[[#This Row],[SP Book Price]] * (1 + SP_MaxLoss_OptionPct), "")</f>
        <v/>
      </c>
      <c r="DB29" s="31" t="str">
        <f>IF(ISNUMBER(SnapshotTable[[#This Row],[SP Option  Stop Contract]]),(SnapshotTable[[#This Row],[SP Option  Stop Contract]] *(SnapshotTable[[#This Row],[SP Qty]] * 100) - SnapshotTable[[#This Row],[SP Premium]]),"")</f>
        <v/>
      </c>
      <c r="DC29" s="4"/>
      <c r="DD29" s="4"/>
      <c r="DE29" s="4" t="str">
        <f>IF(AND(SnapshotTable[[#This Row],[SP Qty]]&gt;0, SnapshotTable[[#This Row],[SP Stop To Use]]&gt;0),SnapshotTable[[#This Row],[SP Premium]] - ( SnapshotTable[[#This Row],[SP Qty]] * SnapshotTable[[#This Row],[SP Stop To Use]] * 100), "")</f>
        <v/>
      </c>
      <c r="DF29" s="31" t="str">
        <f>IF(AND(SnapshotTable[[#This Row],[SP Qty]]&gt;0,SnapshotTable[[#This Row],[SP Current Ask]]&gt;0), SnapshotTable[[#This Row],[SP Qty]] * SnapshotTable[[#This Row],[SP Current Ask]] * -100, "")</f>
        <v/>
      </c>
      <c r="DG29" s="31" t="str">
        <f>IF(ISNUMBER((SnapshotTable[[#This Row],[SP Total Value]])), SnapshotTable[[#This Row],[SP Premium]] + SnapshotTable[[#This Row],[SP Total Value]], "")</f>
        <v/>
      </c>
      <c r="DH29" s="272" t="str">
        <f>IF(ISNUMBER((SnapshotTable[[#This Row],[SP Total Value]])), SnapshotTable[[#This Row],[SP Gain Loss]] / SnapshotTable[[#This Row],[SP Premium]], "")</f>
        <v/>
      </c>
      <c r="DI29" s="369"/>
      <c r="DJ29" s="136"/>
      <c r="DK29" s="146"/>
      <c r="DL29" s="13"/>
      <c r="DM29" s="13"/>
      <c r="DO29" s="31">
        <f>IF(SnapshotTable[[#This Row],[LC Symbol Count]]=1, SnapshotTable[[#This Row],[LC Qty]] * SnapshotTable[[#This Row],[LC Book Price]] * 100, 0)</f>
        <v>0</v>
      </c>
      <c r="DP29" s="161" t="str">
        <f>IF(AND(SnapshotTable[[#This Row],[LC Exp Date]]&gt;0, SnapshotTable[[#This Row],[LC Strike Price]]&gt;0,SnapshotTable[[#This Row],[LC Qty]]&gt;0,SnapshotTable[[#This Row],[LC Book Date]]&gt;0,SnapshotTable[[#This Row],[LC Book Price]]&gt;0,SnapshotTable[[#This Row],[LC Fill Date]]=0),"Y","")</f>
        <v/>
      </c>
      <c r="DQ29" s="356" t="str">
        <f>IF(SnapshotTable[[#This Row],[LC Premium]] &gt; 0,SnapshotTable[[#This Row],[LC Exp Date]]-MAX(SnapshotTable[[#This Row],[LC Book Date]], SnapshotTable[[#This Row],[LC Fill Date]]),"")</f>
        <v/>
      </c>
      <c r="DR29" s="356" t="str">
        <f>IF(ISNUMBER(SnapshotTable[[#This Row],[LC Term]]), SnapshotTable[[#This Row],[LC Exp Date]] - MockToday, "")</f>
        <v/>
      </c>
      <c r="DS29" s="219" t="str">
        <f>IF(SnapshotTable[[#This Row],[LC Premium]]&gt;0,SnapshotTable[[#This Row],[LC Strike Price]] + SnapshotTable[[#This Row],[LC Book Price]],"")</f>
        <v/>
      </c>
      <c r="DU29" s="9" t="str">
        <f>IF(AND(SnapshotTable[[#This Row],[LC Symbol Count]]&gt;0, SnapshotTable[[#This Row],[LC Contract Value]]&gt;0), SnapshotTable[[#This Row],[LC Contract Value]] * SnapshotTable[[#This Row],[LC Qty]] * 100, "")</f>
        <v/>
      </c>
      <c r="DV29" s="9" t="str">
        <f>IF(AND(ISNUMBER(SnapshotTable[[#This Row],[LC Total Value]]), SnapshotTable[[#This Row],[LC Not Filled]]&lt;&gt;"Y"), SnapshotTable[[#This Row],[LC Total Value]]-SnapshotTable[[#This Row],[LC Premium]],"")</f>
        <v/>
      </c>
      <c r="DW29" s="225" t="str">
        <f>IF(ISNUMBER(SnapshotTable[[#This Row],[LC Actual Gain Loss]]), SnapshotTable[[#This Row],[LC Actual Gain Loss]] / SnapshotTable[[#This Row],[LC Premium]],"")</f>
        <v/>
      </c>
      <c r="DX29" s="269" t="str">
        <f>IF(ISNUMBER(SnapshotTable[[#This Row],[LC Book Price]]),SnapshotTable[[#This Row],[LC Book Price]] * 1.5,"")</f>
        <v/>
      </c>
      <c r="DY29" s="250" t="str">
        <f>IF(SnapshotTable[[#This Row],[LC Premium]]&gt;0, SnapshotTable[[#This Row],[LC Next Target]] * SnapshotTable[[#This Row],[LC Qty]] * 100,"")</f>
        <v/>
      </c>
      <c r="DZ29" s="250" t="str">
        <f>IF(ISNUMBER(SnapshotTable[[#This Row],[LC Target Gross]]), SnapshotTable[[#This Row],[LC Target Gross]] - SnapshotTable[[#This Row],[LC Premium]], "")</f>
        <v/>
      </c>
      <c r="EA29" s="283" t="str">
        <f>IF(ISNUMBER(SnapshotTable[[#This Row],[LC Target Gain Loss]]), SnapshotTable[[#This Row],[LC Target Gain Loss]]/SnapshotTable[[#This Row],[LC Premium]], "")</f>
        <v/>
      </c>
      <c r="EB29" s="247"/>
      <c r="EC29" s="268" t="str">
        <f>IF(SnapshotTable[[#This Row],[LC Premium]]&gt;0, SnapshotTable[[#This Row],[LC Book Price]] * (1 - LC_StopLoss_Pct),"")</f>
        <v/>
      </c>
      <c r="ED29" s="269"/>
      <c r="EE29" s="268" t="str">
        <f>IF(ISNUMBER(SnapshotTable[[#This Row],[LC Contract Value]]),IF(ISNUMBER(SnapshotTable[[#This Row],[LC Stop Loss Override]]), SnapshotTable[[#This Row],[LC Stop Loss Override]],SnapshotTable[[#This Row],[LC Stop Loss Calc Target]]),"")</f>
        <v/>
      </c>
      <c r="EF29" s="31" t="str">
        <f>IF(ISNUMBER(SnapshotTable[[#This Row],[LC Stop  To Use]]), (SnapshotTable[[#This Row],[LC Stop  To Use]] * SnapshotTable[[#This Row],[LC Qty]] * 100),"")</f>
        <v/>
      </c>
      <c r="EG29" s="9" t="str">
        <f>IF(ISNUMBER(SnapshotTable[[#This Row],[LC Total Value]]),SnapshotTable[[#This Row],[LC Stop Loss Amount]] - SnapshotTable[[#This Row],[LC Premium]],"")</f>
        <v/>
      </c>
      <c r="EH29" s="9">
        <f>IF(ISNUMBER(SnapshotTable[[#This Row],[LC Premium]]), SnapshotTable[[#This Row],[LC Qty]] * 100 * SnapshotTable[[#This Row],[LC Strike Price]], "")</f>
        <v>0</v>
      </c>
      <c r="EI29" s="225" t="str">
        <f>IF(AND(ISNUMBER(SnapshotTable[[#This Row],[LC Total Value]]),SnapshotTable[[#This Row],[LC Total Value]]&gt;0),SnapshotTable[[#This Row],[LC Stop Gain Loss]]  / SnapshotTable[[#This Row],[LC Premium]],"")</f>
        <v/>
      </c>
      <c r="EJ29" s="35">
        <f>IF(ISNUMBER(SnapshotTable[[#This Row],[Equity Shares]]),TRUNC(SnapshotTable[[#This Row],[Equity Shares]] / 100),0) + SnapshotTable[[#This Row],[LC Qty]]</f>
        <v>0</v>
      </c>
      <c r="EK29" s="145"/>
      <c r="EL29" s="136"/>
      <c r="EM29" s="146"/>
      <c r="EN29" s="145"/>
      <c r="EO29" s="145"/>
      <c r="EP29" s="136"/>
      <c r="EQ29" s="382" t="b">
        <f>AND(ISNUMBER(SnapshotTable[[#This Row],[SC Exp Date]]), ISNUMBER(SnapshotTable[[#This Row],[SC Strike Price]]), ISNUMBER(SnapshotTable[[#This Row],[SC Qty]]), ISNUMBER(SnapshotTable[[#This Row],[SC Book Date]]), ISNUMBER(SnapshotTable[[#This Row],[SC Book Price]]))</f>
        <v>0</v>
      </c>
      <c r="ER29" s="382" t="b">
        <f>AND(SnapshotTable[[#This Row],[SC Is Booked]], NOT(ISBLANK(SnapshotTable[[#This Row],[SC Fill Date]])))</f>
        <v>0</v>
      </c>
      <c r="ES29" s="340"/>
      <c r="ET29" s="34" t="str">
        <f>IF(AND(ISNUMBER(SnapshotTable[[#This Row],[SC Exp Date]]), ISNUMBER(SnapshotTable[[#This Row],[SC Book Date]])), SnapshotTable[[#This Row],[SC Exp Date]] - MAX(SnapshotTable[[#This Row],[SC Book Date]], SnapshotTable[[#This Row],[SC Fill Date]]) + 1, "")</f>
        <v/>
      </c>
      <c r="EU29" s="34" t="str">
        <f>IF(ISNUMBER(SnapshotTable[[#This Row],[SC Term]]), SnapshotTable[[#This Row],[SC Exp Date]]- MockToday, "")</f>
        <v/>
      </c>
      <c r="EV29" s="31">
        <f>IF(SnapshotTable[[#This Row],[SC Is Booked]], SnapshotTable[[#This Row],[SC Qty]] * SnapshotTable[[#This Row],[SC Book Price]] * 100, 0)</f>
        <v>0</v>
      </c>
      <c r="EW29" s="4" t="str">
        <f>IF(AND(ISNUMBER(SnapshotTable[[#This Row],[Last Price]]), ISNUMBER( SnapshotTable[[#This Row],[SC Book Price]])), SnapshotTable[[#This Row],[Last Price]] - SnapshotTable[[#This Row],[SC Book Price]],"")</f>
        <v/>
      </c>
      <c r="EX29" s="219" t="str">
        <f>IF(SnapshotTable[[#This Row],[SC Is Booked]],IF(SnapshotTable[[#This Row],[SC Intrinsic Value]] &gt; 0, SnapshotTable[[#This Row],[SC Strike Price]], SnapshotTable[[#This Row],[Last Price]]), "")</f>
        <v/>
      </c>
      <c r="EY29" s="4">
        <f>IF(SnapshotTable[[#This Row],[SC Is Booked]], (MinimumPremiumRequired * SnapshotTable[[#This Row],[SC Basis]] * SnapshotTable[[#This Row],[SC Term]]), 0)</f>
        <v>0</v>
      </c>
      <c r="EZ29" s="268"/>
      <c r="FA29" s="204"/>
      <c r="FB29" s="340"/>
      <c r="FC29" s="4">
        <f>IF(SnapshotTable[[#This Row],[SC Is Filled]], btc_max_buyback_amount(SnapshotTable[[#This Row],[SC Fill Date]],SnapshotTable[[#This Row],[SC Exp Date]], SnapshotTable[[#This Row],[SC Book Price]]),0)</f>
        <v>0</v>
      </c>
      <c r="FD29" s="5"/>
      <c r="FE29" s="142" t="str">
        <f>IF(SnapshotTable[[#This Row],[SC Is Filled]], btc_next_cutoff_date(SnapshotTable[[#This Row],[SC Fill Date]],SnapshotTable[[#This Row],[SC Exp Date]]),"")</f>
        <v/>
      </c>
      <c r="FF29" s="4" t="str" cm="1">
        <f t="array" ref="FF29">IF(SnapshotTable[[#This Row],[SC Is Filled]], btc_should_buy_back(SnapshotTable[[#This Row],[SC Fill Date]], SnapshotTable[[#This Row],[SC Exp Date]], SnapshotTable[[#This Row],[SC Book Price]], SnapshotTable[[#This Row],[SC Current Ask]], MockToday, SnapshotTable[[#This Row],[SC Buyback Override]]),"")</f>
        <v/>
      </c>
      <c r="FG29" s="4">
        <f>IF(SnapshotTable[[#This Row],[SC Is Filled]], MAX(0,SnapshotTable[[#This Row],[Last Price]]  - SnapshotTable[[#This Row],[SC Strike Price]]), 0)</f>
        <v>0</v>
      </c>
      <c r="FH29" s="352">
        <f>IF(SnapshotTable[[#This Row],[SC Is Filled]], IF(ISNUMBER(SnapshotTable[[#This Row],[SC Current Ask]]), SnapshotTable[[#This Row],[SC Current Ask]], SnapshotTable[[#This Row],[SC Book Price]]) - SnapshotTable[[#This Row],[SC Intrinsic Value]], 0)</f>
        <v>0</v>
      </c>
      <c r="FI29" s="141">
        <v>45786</v>
      </c>
      <c r="FJ29" s="32" t="str">
        <f>IF(SnapshotTable[[#This Row],[SC Is Filled]],100 * SnapshotTable[[#This Row],[SC Qty]] * IF(ISNUMBER(SnapshotTable[[#This Row],[SC Buyback Override]]), SnapshotTable[[#This Row],[SC Buyback Override]], SnapshotTable[[#This Row],[SC Current Ask]]), "")</f>
        <v/>
      </c>
      <c r="FK29" s="235" t="str">
        <f>IF(SnapshotTable[[#This Row],[SC Time Val]]&gt;0, SnapshotTable[[#This Row],[SC Time Val]] / SnapshotTable[[#This Row],[Last Price]],"")</f>
        <v/>
      </c>
      <c r="FL29" s="280" t="str">
        <f>IF(SnapshotTable[[#This Row],[SC Is Booked]], ((SnapshotTable[[#This Row],[Last Price]] -SnapshotTable[[#This Row],[SC Strike Price]]) / SnapshotTable[[#This Row],[Last Price]]) * -1, "")</f>
        <v/>
      </c>
      <c r="FM29" s="155" t="str">
        <f>IF(SnapshotTable[[#This Row],[SC Is Booked]],  (SnapshotTable[[#This Row],[SC Qty]] * 100 * SnapshotTable[[#This Row],[SC Strike Price]]) - SnapshotTable[[#This Row],[SC Current Ask]], "")</f>
        <v/>
      </c>
      <c r="FN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9" s="31" t="str">
        <f>IF(AND(ISNUMBER(SnapshotTable[[#This Row],[SC Exercise Gross]]), ISNUMBER(SnapshotTable[[#This Row],[Equity Basis Per Share]] )), SnapshotTable[[#This Row],[SC Exercise Gross]] - SnapshotTable[[#This Row],[Equity Basis Total]] +  SnapshotTable[[#This Row],[SC Premium]], "")</f>
        <v/>
      </c>
      <c r="FP29" s="5" t="str">
        <f>IF(ISNUMBER(SnapshotTable[[#This Row],[SC Exercise Gross]]), (SnapshotTable[[#This Row],[SC Exercise Gross]]) / (SnapshotTable[[#This Row],[SC Qty]] * 100), "")</f>
        <v/>
      </c>
      <c r="FQ29" s="27" t="str">
        <f>IF(SnapshotTable[[#This Row],[SC Is Booked]],SnapshotTable[[#This Row],[SC Time Val]] /SnapshotTable[[#This Row],[SC Basis]], "")</f>
        <v/>
      </c>
      <c r="FR29" s="27" t="str" cm="1">
        <f t="array" ref="FR29">IF(AND(ISNUMBER(SnapshotTable[[#This Row],[SC Term]]),ISNUMBER(SnapshotTable[[#This Row],[SC Simple ROO]])), EllmanAnnualize(SnapshotTable[[#This Row],[SC DTE]], SnapshotTable[[#This Row],[SC Simple ROO]] ),"")</f>
        <v/>
      </c>
      <c r="FS29" s="4">
        <f>IF(SnapshotTable[[#This Row],[SC Strike Price]] &gt; SnapshotTable[[#This Row],[Last Price]], SnapshotTable[[#This Row],[SC Strike Price]] - SnapshotTable[[#This Row],[Last Price]],0)</f>
        <v>0</v>
      </c>
      <c r="FT29" s="27" t="str">
        <f>IF(AND(ISNUMBER(SnapshotTable[[#This Row],[SC Upside Potential]]), SnapshotTable[[#This Row],[SC Upside Potential]] &gt; 0),(SnapshotTable[[#This Row],[SC Upside Potential]]/ SnapshotTable[[#This Row],[ACB]]),"")</f>
        <v/>
      </c>
      <c r="FU29" s="304" t="str">
        <f>IF(SnapshotTable[[#This Row],[SC Intrinsic Value]] &gt; 0,SnapshotTable[[#This Row],[SC Intrinsic Value]],"")</f>
        <v/>
      </c>
      <c r="FV29" s="27" t="str">
        <f>IF(AND( ISNUMBER( SnapshotTable[[#This Row],[ACB]]),ISNUMBER(SnapshotTable[[#This Row],[SC Downside Protect]])),SnapshotTable[[#This Row],[SC Downside Protect]] / SnapshotTable[[#This Row],[ACB]],"")</f>
        <v/>
      </c>
      <c r="FW29" s="221" t="str">
        <f>IF(AND(ISNUMBER(SnapshotTable[[#This Row],[SC Simple ROO]]),SnapshotTable[[#This Row],[SC Simple ROO]] &gt; 0), SnapshotTable[[#This Row],[SC Premium]] + (SnapshotTable[[#This Row],[SC Qty]] * SnapshotTable[[#This Row],[SC Upside Potential]]), "")</f>
        <v/>
      </c>
      <c r="FX29" s="280" t="str" cm="1">
        <f t="array" ref="FX29">IF(ISNUMBER(SnapshotTable[[#This Row],[SC Max Dollars]]), annualize(SnapshotTable[[#This Row],[SC Term]],(SnapshotTable[[#This Row],[SC Max Dollars]]/SnapshotTable[[#This Row],[SC Basis]])),"")</f>
        <v/>
      </c>
      <c r="FY29" s="221" t="str">
        <f>IF(AND(SnapshotTable[[#This Row],[SC Qty]]&gt;0,SnapshotTable[[#This Row],[SC Current Ask]]&gt;0), SnapshotTable[[#This Row],[SC Qty]] * SnapshotTable[[#This Row],[SC Current Ask]] * -100, "")</f>
        <v/>
      </c>
      <c r="FZ29" s="31" t="str">
        <f>IF(ISNUMBER((SnapshotTable[[#This Row],[SC Current Value]])), SnapshotTable[[#This Row],[SC Premium]] + SnapshotTable[[#This Row],[SC Current Value]], "")</f>
        <v/>
      </c>
      <c r="GA29" s="272" t="str">
        <f>IFERROR( IF(ISNUMBER((SnapshotTable[[#This Row],[SC Current Value]])), SnapshotTable[[#This Row],[SC Gain Loss]] / SnapshotTable[[#This Row],[SC Premium]], ""), "")</f>
        <v/>
      </c>
      <c r="GB29" s="42">
        <f>SnapshotTable[[#This Row],[Equity Shares]] * SaleSharesToConsiderPercentage</f>
        <v>0</v>
      </c>
      <c r="GC29" s="40">
        <f>SnapshotTable[[#This Row],[Long Term Target]] * SellingPriceToConsiderBasedOnTargetPercentage</f>
        <v>40.659999999999997</v>
      </c>
      <c r="GD29" s="40">
        <f>SnapshotTable[[#This Row],[Last Price]] * (1+ SellingPriceToConsiderBasedOnTargetPercentage)</f>
        <v>152.58750000000001</v>
      </c>
      <c r="GE29" s="41"/>
      <c r="GF29" s="40"/>
      <c r="GG29" s="31">
        <f>SnapshotTable[[#This Row],[Booked Sale Shares]] * SnapshotTable[[#This Row],[Booked Sale Price]]</f>
        <v>0</v>
      </c>
      <c r="GH29" s="31" t="str">
        <f>IF(SnapshotTable[[#This Row],[Equity Basis Total]] &gt; 0, SnapshotTable[[#This Row],[Equity Basis Per Share]] * SnapshotTable[[#This Row],[Booked Sale Shares]], "")</f>
        <v/>
      </c>
      <c r="GI29" s="31">
        <f>IF(SnapshotTable[[#This Row],[Sale Proceeds]]&gt;0, SnapshotTable[[#This Row],[Sale Proceeds]] - SnapshotTable[[#This Row],[Sale Basis]], 0)</f>
        <v>0</v>
      </c>
      <c r="GJ29" s="27" t="str">
        <f>IF(SnapshotTable[[#This Row],[Sale G/L]]&gt;0, SnapshotTable[[#This Row],[Sale G/L]] / SnapshotTable[[#This Row],[Sale Basis]], IF(ISNUMBER(SnapshotTable[[#This Row],[SC Exercise P&amp;L (TAX)]]), SnapshotTable[[#This Row],[SC Exercise P&amp;L (TAX)]] / SnapshotTable[[#This Row],[SC Basis]], ""))</f>
        <v/>
      </c>
      <c r="GK29" s="27" t="s">
        <v>511</v>
      </c>
      <c r="GL29" s="43" t="str">
        <f>IF(AND(SnapshotTable[[#This Row],[LP Exp Date]]&gt;0,SnapshotTable[[#This Row],[LP Strike Price]]&gt;0), [1]!ToOptionSymbol(SnapshotTable[[#This Row],[Symbol]], SnapshotTable[[#This Row],[LP Strike Price]],SnapshotTable[[#This Row],[LP Exp Date]],1), "")</f>
        <v/>
      </c>
      <c r="GM29" s="30" t="str">
        <f>IF(LEN(SnapshotTable[[#This Row],[LP Symbol]])&gt;0, 1, "")</f>
        <v/>
      </c>
      <c r="GN29" s="43" t="str">
        <f>IF(AND(SnapshotTable[[#This Row],[SP Exp Date]]&gt;0,SnapshotTable[[#This Row],[SP Strike Price]]&gt;0), [1]!ToOptionSymbol(SnapshotTable[[#This Row],[Symbol]], SnapshotTable[[#This Row],[SP Strike Price]],SnapshotTable[[#This Row],[SP Exp Date]],1), "")</f>
        <v/>
      </c>
      <c r="GO29" s="30" t="str">
        <f>IF(LEN(SnapshotTable[[#This Row],[SP Symbol]])&gt;0, 1, "")</f>
        <v/>
      </c>
      <c r="GP29" s="43" t="str">
        <f>IF(AND(SnapshotTable[[#This Row],[LC Exp Date]]&gt;0,SnapshotTable[[#This Row],[LC Strike Price]]&gt;0), [1]!ToOptionSymbol(SnapshotTable[[#This Row],[Symbol]], SnapshotTable[[#This Row],[LC Strike Price]],SnapshotTable[[#This Row],[LC Exp Date]],0), "")</f>
        <v/>
      </c>
      <c r="GQ29" s="30" t="str">
        <f>IF(LEN(SnapshotTable[[#This Row],[LC Symbol]])&gt;0, 1, "")</f>
        <v/>
      </c>
      <c r="GR29" s="43" t="str">
        <f>IF(AND(SnapshotTable[[#This Row],[SC Exp Date]]&gt;0,SnapshotTable[[#This Row],[SC Strike Price]]&gt;0), [1]!ToOptionSymbol(SnapshotTable[[#This Row],[Symbol]], SnapshotTable[[#This Row],[SC Strike Price]],SnapshotTable[[#This Row],[SC Exp Date]],0), "")</f>
        <v/>
      </c>
      <c r="GS29" s="30" t="str">
        <f>IF(LEN(SnapshotTable[[#This Row],[SC Symbol]])&gt;0, 1, "")</f>
        <v/>
      </c>
      <c r="GT29" s="29" t="str">
        <f>IF(COUNT(SnapshotTable[[#This Row],[LP Symbol Count]],SnapshotTable[[#This Row],[SP Symbol Count]],SnapshotTable[[#This Row],[LC Symbol Count]],SnapshotTable[[#This Row],[SC Symbol Count]])&gt;0, "Y", "")</f>
        <v/>
      </c>
      <c r="GU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9" s="216">
        <f>MAX(SnapshotTable[[#This Row],[Equity Basis Total]],SnapshotTable[[#This Row],[Equity Value]]) + (SnapshotTable[[#This Row],[SP Potential Spend]]- SnapshotTable[[#This Row],[SP Premium]] + SnapshotTable[[#This Row],[LP Premium]])+ (SnapshotTable[[#This Row],[LC Premium]] - SnapshotTable[[#This Row],[SC Premium]])</f>
        <v>0</v>
      </c>
      <c r="GW29" s="137" t="str">
        <f>IF(AND(SnapshotTable[[#This Row],[Exposure]] &lt;&gt; 0),SnapshotTable[[#This Row],[Exposure]] / SnapshotTable[[#Totals],[Exposure]], "")</f>
        <v/>
      </c>
      <c r="HK29" s="1"/>
      <c r="HL29" s="1"/>
      <c r="HM29" s="1"/>
      <c r="HN29" s="1"/>
      <c r="HO29" s="1"/>
      <c r="HP29" s="1"/>
    </row>
    <row r="30" spans="2:224" ht="12.75" hidden="1" customHeight="1" x14ac:dyDescent="0.25">
      <c r="B30" s="12" t="s">
        <v>973</v>
      </c>
      <c r="C30" s="385">
        <v>15.03</v>
      </c>
      <c r="D30" s="200"/>
      <c r="E30" s="39">
        <f>SnapshotTable[[#This Row],[Last Price]]*(1 -CrashDiscount)</f>
        <v>12.775499999999999</v>
      </c>
      <c r="F30" s="296" t="s">
        <v>974</v>
      </c>
      <c r="G30" s="296" t="s">
        <v>32</v>
      </c>
      <c r="H30" s="147"/>
      <c r="I30" s="186"/>
      <c r="J30" s="187"/>
      <c r="K30" s="188"/>
      <c r="L30" s="297"/>
      <c r="M30" s="138"/>
      <c r="N30" s="138"/>
      <c r="O30" s="138"/>
      <c r="P30" s="299"/>
      <c r="Q30" s="25"/>
      <c r="R30" s="4" t="str">
        <f>IF(SnapshotTable[[#This Row],[Equity Basis Total]] &gt; 0, SnapshotTable[[#This Row],[Equity Basis Total]] / SnapshotTable[[#This Row],[Equity Shares]], "")</f>
        <v/>
      </c>
      <c r="S30" s="254">
        <f>SnapshotTable[[#This Row],[Last Price]] * SnapshotTable[[#This Row],[Equity Shares]]</f>
        <v>0</v>
      </c>
      <c r="T30" s="254">
        <f>SnapshotTable[[#This Row],[Equity Value]] - SnapshotTable[[#This Row],[Equity Basis Total]]</f>
        <v>0</v>
      </c>
      <c r="U30" s="255" t="str">
        <f>IF(SnapshotTable[[#This Row],[Equity Basis Total]] &gt; 0, SnapshotTable[[#This Row],[Equity G/L]] / SnapshotTable[[#This Row],[Equity Basis Total]], "")</f>
        <v/>
      </c>
      <c r="V30" s="253"/>
      <c r="W30" s="253"/>
      <c r="X30" s="4" t="str">
        <f>IF(AND(ISNUMBER(SnapshotTable[[#This Row],[Equity Basis Per Share]]),ISNUMBER(SnapshotTable[[#This Row],[Equity Target]])),SnapshotTable[[#This Row],[Equity Target]]-SnapshotTable[[#This Row],[Equity Basis Per Share]],"")</f>
        <v/>
      </c>
      <c r="Y30" s="4" t="str">
        <f>IF(AND(ISNUMBER(SnapshotTable[[#This Row],[Equity Basis Per Share]]),ISNUMBER(SnapshotTable[[#This Row],[Equity Stop Loss]])),SnapshotTable[[#This Row],[Equity Stop Loss]]-SnapshotTable[[#This Row],[Equity Basis Per Share]],"")</f>
        <v/>
      </c>
      <c r="Z30" s="260" t="str">
        <f>IFERROR( TEXT(SnapshotTable[[#This Row],[Equity Max Gain Per Share]] /ABS( SnapshotTable[[#This Row],[Equity Max Loss Per Share]]),"0.0 " ) &amp; " : 1", "")</f>
        <v/>
      </c>
      <c r="AA30" s="31" t="str">
        <f>IF(ISNUMBER(SnapshotTable[[#This Row],[Equity Max Gain Per Share]]),SnapshotTable[[#This Row],[Equity Max Gain Per Share]] * SnapshotTable[[#This Row],[Equity Shares]],"")</f>
        <v/>
      </c>
      <c r="AB30" s="31" t="str">
        <f>IF(ISNUMBER(SnapshotTable[[#This Row],[Equity Max Loss Per Share]]),SnapshotTable[[#This Row],[Equity Max Loss Per Share]] * SnapshotTable[[#This Row],[Equity Shares]],"")</f>
        <v/>
      </c>
      <c r="AC30" s="148"/>
      <c r="AD30" s="149"/>
      <c r="AE30" s="31">
        <f>(SnapshotTable[[#This Row],[Annual Dividend Per Share]] / 4) * SnapshotTable[[#This Row],[Equity Shares]]</f>
        <v>0</v>
      </c>
      <c r="AF30" s="31">
        <f>SnapshotTable[[#This Row],[Quarterly Div $]] * 4</f>
        <v>0</v>
      </c>
      <c r="AG30" s="7">
        <f>IF(SnapshotTable[[#This Row],[Annual Dividend Per Share]]&gt;0, SnapshotTable[[#This Row],[Annual Dividend Per Share]]  / SnapshotTable[[#This Row],[Last Price]], 0)</f>
        <v>0</v>
      </c>
      <c r="AH30" s="149"/>
      <c r="AI30" s="5"/>
      <c r="AJ30" s="136"/>
      <c r="AK30" s="150" t="str">
        <f>IF(ISNUMBER( SnapshotTable[[#This Row],[EBF Target]]),(SnapshotTable[[#This Row],[EBF Target]] - SnapshotTable[[#This Row],[Last Price]]) / SnapshotTable[[#This Row],[Last Price]], "")</f>
        <v/>
      </c>
      <c r="AL30" s="150" t="str">
        <f>IF(AND(SnapshotTable[[#This Row],[Equity Basis Total]] &gt; 0,ISNUMBER( SnapshotTable[[#This Row],[Long Term Target]])), SnapshotTable[[#This Row],[From Basis $]] / SnapshotTable[[#This Row],[Equity Basis Total]], "")</f>
        <v/>
      </c>
      <c r="AM30" s="9">
        <f>IF( AND(SnapshotTable[[#This Row],[Equity Shares]] &gt;0,ISNUMBER( SnapshotTable[[#This Row],[Long Term Target]])),(SnapshotTable[[#This Row],[Equity Shares]] * SnapshotTable[[#This Row],[Long Term Target]]) - SnapshotTable[[#This Row],[Equity Basis Total]],0)</f>
        <v>0</v>
      </c>
      <c r="AN30" s="9">
        <f>IF( AND(SnapshotTable[[#This Row],[Equity Shares]] &gt;0,ISNUMBER( SnapshotTable[[#This Row],[Long Term Target]])),(SnapshotTable[[#This Row],[Equity Shares]]*SnapshotTable[[#This Row],[Long Term Target]]) - SnapshotTable[[#This Row],[Equity Value]],0)</f>
        <v>0</v>
      </c>
      <c r="AO30" s="150" t="str">
        <f>IF(AND(ISNUMBER( SnapshotTable[[#This Row],[Long Term Target]]), ISNUMBER(SnapshotTable[[#This Row],[Last Price]])),(SnapshotTable[[#This Row],[Long Term Target]] - SnapshotTable[[#This Row],[Last Price]]) / SnapshotTable[[#This Row],[Last Price]], "")</f>
        <v/>
      </c>
      <c r="AP30" s="5"/>
      <c r="AQ30" s="38"/>
      <c r="AR30" s="5"/>
      <c r="AS30" s="38"/>
      <c r="AT30" s="144"/>
      <c r="AU30" s="185" t="str">
        <f>IF(OR(SnapshotTable[[#This Row],[LP No Fill]]="Y",SnapshotTable[[#This Row],[SP Is Filled]],SnapshotTable[[#This Row],[LC Not Filled]]="Y",SnapshotTable[[#This Row],[SC Is Filled]]),"Y","")</f>
        <v/>
      </c>
      <c r="AV30" s="205"/>
      <c r="AW30" s="211"/>
      <c r="AX30" s="206"/>
      <c r="AY30" s="205" t="str">
        <f>IF(SnapshotTable[[#This Row],[Implied Move]]&gt;0, SnapshotTable[[#This Row],[Last Price]]-SnapshotTable[[#This Row],[Implied Move]],"")</f>
        <v/>
      </c>
      <c r="AZ30" s="205" t="str">
        <f>IF(SnapshotTable[[#This Row],[Implied Move]]&gt;0, SnapshotTable[[#This Row],[Last Price]] + SnapshotTable[[#This Row],[Implied Move]],"")</f>
        <v/>
      </c>
      <c r="BA30" s="302">
        <v>14.6</v>
      </c>
      <c r="BB30" s="318"/>
      <c r="BC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0" s="321"/>
      <c r="BE30" s="5"/>
      <c r="BF30" s="14"/>
      <c r="BG30" s="13"/>
      <c r="BH30" s="13"/>
      <c r="BI30" s="5"/>
      <c r="BJ30" s="134">
        <f>IF(SnapshotTable[[#This Row],[LP Qty]] &gt; 0, SnapshotTable[[#This Row],[LP Qty]] * SnapshotTable[[#This Row],[LP Book Price]] * 100,0)</f>
        <v>0</v>
      </c>
      <c r="BK30" s="134">
        <f>IF(SnapshotTable[[#This Row],[LP Premium]] &gt; 0, SnapshotTable[[#This Row],[LP Qty]] * SnapshotTable[[#This Row],[LP Strike Price]] * 100,0)</f>
        <v>0</v>
      </c>
      <c r="BL30" s="152"/>
      <c r="BM30" s="355" t="str">
        <f>IF(SnapshotTable[[#This Row],[LP Premium]] &gt; 0,SnapshotTable[[#This Row],[LP Exp Date]]-MAX(SnapshotTable[[#This Row],[LP Book Date]], SnapshotTable[[#This Row],[LP Fill Date]]),"")</f>
        <v/>
      </c>
      <c r="BN30" s="355" t="str">
        <f>IF(ISNUMBER( SnapshotTable[[#This Row],[LP Term]]), SnapshotTable[[#This Row],[LP Exp Date]] - MockToday,"")</f>
        <v/>
      </c>
      <c r="BO30" s="161" t="str">
        <f>IF(AND(SnapshotTable[[#This Row],[LP Exp Date]]&gt;0, SnapshotTable[[#This Row],[LP Strike Price]]&gt;0,SnapshotTable[[#This Row],[LP Qty]]&gt;0,SnapshotTable[[#This Row],[LP Book Date]]&gt;0,SnapshotTable[[#This Row],[LP Book Price]]&gt;0,SnapshotTable[[#This Row],[LP Fill Date]]=0),"Y","")</f>
        <v/>
      </c>
      <c r="BP30" s="31" t="str">
        <f>IF(AND(SnapshotTable[[#This Row],[LP No Fill]]&lt;&gt;"Y",SnapshotTable[[#This Row],[LP Contract Value]]&gt;0, SnapshotTable[[#This Row],[LP Qty]]&gt;0), SnapshotTable[[#This Row],[LP Contract Value]]*SnapshotTable[[#This Row],[LP Qty]]*100,"")</f>
        <v/>
      </c>
      <c r="BQ30" s="13"/>
      <c r="BR30" s="5"/>
      <c r="BS30" s="36"/>
      <c r="BT30" s="145"/>
      <c r="BU30" s="13"/>
      <c r="BV30" s="5"/>
      <c r="BW30" s="382" t="b">
        <f>AND(ISNUMBER(SnapshotTable[[#This Row],[SP Exp Date]]), ISNUMBER(SnapshotTable[[#This Row],[SP Strike Price]]), ISNUMBER(SnapshotTable[[#This Row],[SP Qty]]), ISNUMBER(SnapshotTable[[#This Row],[SP Book Date]]), ISNUMBER(SnapshotTable[[#This Row],[SP Book Price]]))</f>
        <v>0</v>
      </c>
      <c r="BX30" s="382" t="b">
        <f>AND(SnapshotTable[[#This Row],[SP Is Booked]], NOT(ISBLANK(SnapshotTable[[#This Row],[SP Fill Date]])))</f>
        <v>0</v>
      </c>
      <c r="BY30" s="33">
        <f>IF(SnapshotTable[[#This Row],[SP Is Booked]], SnapshotTable[[#This Row],[SP Qty]] * SnapshotTable[[#This Row],[SP Book Price]] * 100, 0)</f>
        <v>0</v>
      </c>
      <c r="BZ30" s="339"/>
      <c r="CA30" s="338">
        <f>SnapshotTable[[#This Row],[LP Qty]]</f>
        <v>0</v>
      </c>
      <c r="CB30" s="4" t="str">
        <f>IF(SnapshotTable[[#This Row],[SP Is Booked]], SnapshotTable[[#This Row],[SP Strike Price]] - SnapshotTable[[#This Row],[SP Book Price]], "")</f>
        <v/>
      </c>
      <c r="CC30" s="19" t="str">
        <f>IF(SnapshotTable[[#This Row],[SP Is Booked]],SnapshotTable[[#This Row],[SP Exp Date]]-MAX(SnapshotTable[[#This Row],[SP Book Date]], SnapshotTable[[#This Row],[SP Fill Date]]),"")</f>
        <v/>
      </c>
      <c r="CD30" s="7" t="str">
        <f>IF(SnapshotTable[[#This Row],[SP Is Booked]], SnapshotTable[[#This Row],[SP Book Price]]/SnapshotTable[[#This Row],[SP Strike Price]], "")</f>
        <v/>
      </c>
      <c r="CE30" s="7" t="str">
        <f>IF(ISNUMBER(SnapshotTable[[#This Row],[SP ROO Term]]),SnapshotTable[[#This Row],[SP ROO Term]]*(365/SnapshotTable[[#This Row],[SP Term]]),"")</f>
        <v/>
      </c>
      <c r="CF30" s="221">
        <f>SnapshotTable[[#This Row],[LP Strike Price]] * SnapshotTable[[#This Row],[LP Qty]] * 100</f>
        <v>0</v>
      </c>
      <c r="CG30" s="31">
        <f>IF(ISNUMBER(SnapshotTable[[#This Row],[SP Premium]]), (SnapshotTable[[#This Row],[SP Qty]] * SnapshotTable[[#This Row],[SP Strike Price]]* 100) - SnapshotTable[[#This Row],[LP Protection]], 0)</f>
        <v>0</v>
      </c>
      <c r="CH30" s="7" t="str">
        <f>IF(ISNUMBER(SnapshotTable[[#This Row],[SP Break Even]]),-1 * (SnapshotTable[[#This Row],[SP Break Even]] - SnapshotTable[[#This Row],[Last Price]]) / SnapshotTable[[#This Row],[Last Price]], "")</f>
        <v/>
      </c>
      <c r="CI30" s="31">
        <f>IF(AND(ISNUMBER((SnapshotTable[[#This Row],[SP Potential Spend]])), SnapshotTable[[#This Row],[SP Strike Price]] &gt; SnapshotTable[[#This Row],[Last Price]], SnapshotTable[[#This Row],[SP Is Filled]]), SnapshotTable[[#This Row],[SP Potential Spend]] -  SnapshotTable[[#This Row],[LP Max Value]], 0)</f>
        <v>0</v>
      </c>
      <c r="CJ30" s="229"/>
      <c r="CK30" s="31">
        <f>IF(ISNUMBER(SnapshotTable[[#This Row],[SP Potential Spend]]),IF(ISNUMBER(SnapshotTable[[#This Row],[SP POW]]), SnapshotTable[[#This Row],[SP POW]] * SnapshotTable[[#This Row],[SP Potential Spend]], SnapshotTable[[#This Row],[SP Potential Spend]]), "")</f>
        <v>0</v>
      </c>
      <c r="CL30" s="162">
        <f>IF(NOT(SnapshotTable[[#This Row],[SP Is Filled]]),(SnapshotTable[[#This Row],[SP Qty]] * SnapshotTable[[#This Row],[SP Strike Price]] * 100) - SnapshotTable[[#This Row],[LP Max Value]],"")</f>
        <v>0</v>
      </c>
      <c r="CM30" s="31" t="str">
        <f>IF(SnapshotTable[[#This Row],[SP Actual Spend]]&lt;&gt;0, ((SnapshotTable[[#This Row],[SP Strike Price]]-SnapshotTable[[#This Row],[Last Price]]) *(SnapshotTable[[#This Row],[SP Qty]]*100) - SnapshotTable[[#This Row],[SP Premium]]) * - 1, "")</f>
        <v/>
      </c>
      <c r="CN30" s="76"/>
      <c r="CO30" s="339"/>
      <c r="CP30" s="4" t="str">
        <f>IF(SnapshotTable[[#This Row],[SP Is Filled]], btc_max_buyback_amount(SnapshotTable[[#This Row],[SP Fill Date]],SnapshotTable[[#This Row],[SP Exp Date]], SnapshotTable[[#This Row],[SP Book Price]]),"")</f>
        <v/>
      </c>
      <c r="CQ30" s="76"/>
      <c r="CR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0" s="153" t="str">
        <f>IF(SnapshotTable[[#This Row],[SP Is Filled]], btc_next_cutoff_date(SnapshotTable[[#This Row],[SP Fill Date]],SnapshotTable[[#This Row],[SP Exp Date]]),"")</f>
        <v/>
      </c>
      <c r="CT30" s="220" t="str" cm="1">
        <f t="array" ref="CT30">IF(SnapshotTable[[#This Row],[SP Is Filled]], btc_should_buy_back(SnapshotTable[[#This Row],[SP Fill Date]], SnapshotTable[[#This Row],[SP Exp Date]], SnapshotTable[[#This Row],[SP Book Price]], SnapshotTable[[#This Row],[SP Current Ask]], MockToday, SnapshotTable[[#This Row],[SP Buyback Override]]),"")</f>
        <v/>
      </c>
      <c r="CU30" s="141"/>
      <c r="CV30" s="220"/>
      <c r="CW30" s="348" t="str">
        <f>IF(ISNUMBER( SnapshotTable[[#This Row],[SP Term]]), SnapshotTable[[#This Row],[SP Exp Date]] - MockToday,"")</f>
        <v/>
      </c>
      <c r="CX30" s="31" t="str">
        <f>IF(SnapshotTable[[#This Row],[SP Is Filled]],SnapshotTable[[#This Row],[SP Buyback Price to Use]] * 100 * SnapshotTable[[#This Row],[SP Qty]], "")</f>
        <v/>
      </c>
      <c r="CY30" s="4" t="str">
        <f>IF(ISNUMBER(SnapshotTable[[#This Row],[SP Strike Price]]), SnapshotTable[[#This Row],[SP Strike Price]] * (1 - SP_MaxLoss_StrikePct), "")</f>
        <v/>
      </c>
      <c r="CZ30" s="31" t="str">
        <f>IF(ISNUMBER(SnapshotTable[[#This Row],[SP Strike  Stop Per Share]]),SnapshotTable[[#This Row],[SP Premium]] - ((SnapshotTable[[#This Row],[SP Strike Price]]-SnapshotTable[[#This Row],[SP Strike  Stop Per Share]]) *(SnapshotTable[[#This Row],[SP Qty]] * 100)),"")</f>
        <v/>
      </c>
      <c r="DA30" s="4" t="str">
        <f>IF(AND(ISNUMBER(SnapshotTable[[#This Row],[SP Premium]]),SnapshotTable[[#This Row],[SP Premium]]&gt;0), SnapshotTable[[#This Row],[SP Book Price]] * (1 + SP_MaxLoss_OptionPct), "")</f>
        <v/>
      </c>
      <c r="DB30" s="31" t="str">
        <f>IF(ISNUMBER(SnapshotTable[[#This Row],[SP Option  Stop Contract]]),(SnapshotTable[[#This Row],[SP Option  Stop Contract]] *(SnapshotTable[[#This Row],[SP Qty]] * 100) - SnapshotTable[[#This Row],[SP Premium]]),"")</f>
        <v/>
      </c>
      <c r="DC30" s="4"/>
      <c r="DD30" s="4"/>
      <c r="DE30" s="4" t="str">
        <f>IF(AND(SnapshotTable[[#This Row],[SP Qty]]&gt;0, SnapshotTable[[#This Row],[SP Stop To Use]]&gt;0),SnapshotTable[[#This Row],[SP Premium]] - ( SnapshotTable[[#This Row],[SP Qty]] * SnapshotTable[[#This Row],[SP Stop To Use]] * 100), "")</f>
        <v/>
      </c>
      <c r="DF30" s="31" t="str">
        <f>IF(AND(SnapshotTable[[#This Row],[SP Qty]]&gt;0,SnapshotTable[[#This Row],[SP Current Ask]]&gt;0), SnapshotTable[[#This Row],[SP Qty]] * SnapshotTable[[#This Row],[SP Current Ask]] * -100, "")</f>
        <v/>
      </c>
      <c r="DG30" s="31" t="str">
        <f>IF(ISNUMBER((SnapshotTable[[#This Row],[SP Total Value]])), SnapshotTable[[#This Row],[SP Premium]] + SnapshotTable[[#This Row],[SP Total Value]], "")</f>
        <v/>
      </c>
      <c r="DH30" s="272" t="str">
        <f>IF(ISNUMBER((SnapshotTable[[#This Row],[SP Total Value]])), SnapshotTable[[#This Row],[SP Gain Loss]] / SnapshotTable[[#This Row],[SP Premium]], "")</f>
        <v/>
      </c>
      <c r="DI30" s="369"/>
      <c r="DJ30" s="136"/>
      <c r="DK30" s="146"/>
      <c r="DL30" s="13"/>
      <c r="DM30" s="13"/>
      <c r="DO30" s="31">
        <f>IF(SnapshotTable[[#This Row],[LC Symbol Count]]=1, SnapshotTable[[#This Row],[LC Qty]] * SnapshotTable[[#This Row],[LC Book Price]] * 100, 0)</f>
        <v>0</v>
      </c>
      <c r="DP30" s="161" t="str">
        <f>IF(AND(SnapshotTable[[#This Row],[LC Exp Date]]&gt;0, SnapshotTable[[#This Row],[LC Strike Price]]&gt;0,SnapshotTable[[#This Row],[LC Qty]]&gt;0,SnapshotTable[[#This Row],[LC Book Date]]&gt;0,SnapshotTable[[#This Row],[LC Book Price]]&gt;0,SnapshotTable[[#This Row],[LC Fill Date]]=0),"Y","")</f>
        <v/>
      </c>
      <c r="DQ30" s="356" t="str">
        <f>IF(SnapshotTable[[#This Row],[LC Premium]] &gt; 0,SnapshotTable[[#This Row],[LC Exp Date]]-MAX(SnapshotTable[[#This Row],[LC Book Date]], SnapshotTable[[#This Row],[LC Fill Date]]),"")</f>
        <v/>
      </c>
      <c r="DR30" s="356" t="str">
        <f>IF(ISNUMBER(SnapshotTable[[#This Row],[LC Term]]), SnapshotTable[[#This Row],[LC Exp Date]] - MockToday, "")</f>
        <v/>
      </c>
      <c r="DS30" s="219" t="str">
        <f>IF(SnapshotTable[[#This Row],[LC Premium]]&gt;0,SnapshotTable[[#This Row],[LC Strike Price]] + SnapshotTable[[#This Row],[LC Book Price]],"")</f>
        <v/>
      </c>
      <c r="DU30" s="9" t="str">
        <f>IF(AND(SnapshotTable[[#This Row],[LC Symbol Count]]&gt;0, SnapshotTable[[#This Row],[LC Contract Value]]&gt;0), SnapshotTable[[#This Row],[LC Contract Value]] * SnapshotTable[[#This Row],[LC Qty]] * 100, "")</f>
        <v/>
      </c>
      <c r="DV30" s="9" t="str">
        <f>IF(AND(ISNUMBER(SnapshotTable[[#This Row],[LC Total Value]]), SnapshotTable[[#This Row],[LC Not Filled]]&lt;&gt;"Y"), SnapshotTable[[#This Row],[LC Total Value]]-SnapshotTable[[#This Row],[LC Premium]],"")</f>
        <v/>
      </c>
      <c r="DW30" s="225" t="str">
        <f>IF(ISNUMBER(SnapshotTable[[#This Row],[LC Actual Gain Loss]]), SnapshotTable[[#This Row],[LC Actual Gain Loss]] / SnapshotTable[[#This Row],[LC Premium]],"")</f>
        <v/>
      </c>
      <c r="DX30" s="269" t="str">
        <f>IF(ISNUMBER(SnapshotTable[[#This Row],[LC Book Price]]),SnapshotTable[[#This Row],[LC Book Price]] * 1.5,"")</f>
        <v/>
      </c>
      <c r="DY30" s="250" t="str">
        <f>IF(SnapshotTable[[#This Row],[LC Premium]]&gt;0, SnapshotTable[[#This Row],[LC Next Target]] * SnapshotTable[[#This Row],[LC Qty]] * 100,"")</f>
        <v/>
      </c>
      <c r="DZ30" s="250" t="str">
        <f>IF(ISNUMBER(SnapshotTable[[#This Row],[LC Target Gross]]), SnapshotTable[[#This Row],[LC Target Gross]] - SnapshotTable[[#This Row],[LC Premium]], "")</f>
        <v/>
      </c>
      <c r="EA30" s="283" t="str">
        <f>IF(ISNUMBER(SnapshotTable[[#This Row],[LC Target Gain Loss]]), SnapshotTable[[#This Row],[LC Target Gain Loss]]/SnapshotTable[[#This Row],[LC Premium]], "")</f>
        <v/>
      </c>
      <c r="EB30" s="247"/>
      <c r="EC30" s="268" t="str">
        <f>IF(SnapshotTable[[#This Row],[LC Premium]]&gt;0, SnapshotTable[[#This Row],[LC Book Price]] * (1 - LC_StopLoss_Pct),"")</f>
        <v/>
      </c>
      <c r="ED30" s="269"/>
      <c r="EE30" s="268" t="str">
        <f>IF(ISNUMBER(SnapshotTable[[#This Row],[LC Contract Value]]),IF(ISNUMBER(SnapshotTable[[#This Row],[LC Stop Loss Override]]), SnapshotTable[[#This Row],[LC Stop Loss Override]],SnapshotTable[[#This Row],[LC Stop Loss Calc Target]]),"")</f>
        <v/>
      </c>
      <c r="EF30" s="31" t="str">
        <f>IF(ISNUMBER(SnapshotTable[[#This Row],[LC Stop  To Use]]), (SnapshotTable[[#This Row],[LC Stop  To Use]] * SnapshotTable[[#This Row],[LC Qty]] * 100),"")</f>
        <v/>
      </c>
      <c r="EG30" s="9" t="str">
        <f>IF(ISNUMBER(SnapshotTable[[#This Row],[LC Total Value]]),SnapshotTable[[#This Row],[LC Stop Loss Amount]] - SnapshotTable[[#This Row],[LC Premium]],"")</f>
        <v/>
      </c>
      <c r="EH30" s="9">
        <f>IF(ISNUMBER(SnapshotTable[[#This Row],[LC Premium]]), SnapshotTable[[#This Row],[LC Qty]] * 100 * SnapshotTable[[#This Row],[LC Strike Price]], "")</f>
        <v>0</v>
      </c>
      <c r="EI30" s="225" t="str">
        <f>IF(AND(ISNUMBER(SnapshotTable[[#This Row],[LC Total Value]]),SnapshotTable[[#This Row],[LC Total Value]]&gt;0),SnapshotTable[[#This Row],[LC Stop Gain Loss]]  / SnapshotTable[[#This Row],[LC Premium]],"")</f>
        <v/>
      </c>
      <c r="EJ30" s="35">
        <f>IF(ISNUMBER(SnapshotTable[[#This Row],[Equity Shares]]),TRUNC(SnapshotTable[[#This Row],[Equity Shares]] / 100),0) + SnapshotTable[[#This Row],[LC Qty]]</f>
        <v>0</v>
      </c>
      <c r="EK30" s="145"/>
      <c r="EL30" s="136"/>
      <c r="EM30" s="146"/>
      <c r="EN30" s="145"/>
      <c r="EO30" s="145"/>
      <c r="EP30" s="136"/>
      <c r="EQ30" s="382" t="b">
        <f>AND(ISNUMBER(SnapshotTable[[#This Row],[SC Exp Date]]), ISNUMBER(SnapshotTable[[#This Row],[SC Strike Price]]), ISNUMBER(SnapshotTable[[#This Row],[SC Qty]]), ISNUMBER(SnapshotTable[[#This Row],[SC Book Date]]), ISNUMBER(SnapshotTable[[#This Row],[SC Book Price]]))</f>
        <v>0</v>
      </c>
      <c r="ER30" s="382" t="b">
        <f>AND(SnapshotTable[[#This Row],[SC Is Booked]], NOT(ISBLANK(SnapshotTable[[#This Row],[SC Fill Date]])))</f>
        <v>0</v>
      </c>
      <c r="ES30" s="340">
        <v>0.16</v>
      </c>
      <c r="ET30" s="34" t="str">
        <f>IF(AND(ISNUMBER(SnapshotTable[[#This Row],[SC Exp Date]]), ISNUMBER(SnapshotTable[[#This Row],[SC Book Date]])), SnapshotTable[[#This Row],[SC Exp Date]] - MAX(SnapshotTable[[#This Row],[SC Book Date]], SnapshotTable[[#This Row],[SC Fill Date]]) + 1, "")</f>
        <v/>
      </c>
      <c r="EU30" s="34" t="str">
        <f>IF(ISNUMBER(SnapshotTable[[#This Row],[SC Term]]), SnapshotTable[[#This Row],[SC Exp Date]]- MockToday, "")</f>
        <v/>
      </c>
      <c r="EV30" s="31">
        <f>IF(SnapshotTable[[#This Row],[SC Is Booked]], SnapshotTable[[#This Row],[SC Qty]] * SnapshotTable[[#This Row],[SC Book Price]] * 100, 0)</f>
        <v>0</v>
      </c>
      <c r="EW30" s="4" t="str">
        <f>IF(AND(ISNUMBER(SnapshotTable[[#This Row],[Last Price]]), ISNUMBER( SnapshotTable[[#This Row],[SC Book Price]])), SnapshotTable[[#This Row],[Last Price]] - SnapshotTable[[#This Row],[SC Book Price]],"")</f>
        <v/>
      </c>
      <c r="EX30" s="219" t="str">
        <f>IF(SnapshotTable[[#This Row],[SC Is Booked]],IF(SnapshotTable[[#This Row],[SC Intrinsic Value]] &gt; 0, SnapshotTable[[#This Row],[SC Strike Price]], SnapshotTable[[#This Row],[Last Price]]), "")</f>
        <v/>
      </c>
      <c r="EY30" s="4">
        <f>IF(SnapshotTable[[#This Row],[SC Is Booked]], (MinimumPremiumRequired * SnapshotTable[[#This Row],[SC Basis]] * SnapshotTable[[#This Row],[SC Term]]), 0)</f>
        <v>0</v>
      </c>
      <c r="EZ30" s="268"/>
      <c r="FA30" s="204"/>
      <c r="FB30" s="340"/>
      <c r="FC30" s="4">
        <f>IF(SnapshotTable[[#This Row],[SC Is Filled]], btc_max_buyback_amount(SnapshotTable[[#This Row],[SC Fill Date]],SnapshotTable[[#This Row],[SC Exp Date]], SnapshotTable[[#This Row],[SC Book Price]]),0)</f>
        <v>0</v>
      </c>
      <c r="FD30" s="5"/>
      <c r="FE30" s="142" t="str">
        <f>IF(SnapshotTable[[#This Row],[SC Is Filled]], btc_next_cutoff_date(SnapshotTable[[#This Row],[SC Fill Date]],SnapshotTable[[#This Row],[SC Exp Date]]),"")</f>
        <v/>
      </c>
      <c r="FF30" s="4" t="str" cm="1">
        <f t="array" ref="FF30">IF(SnapshotTable[[#This Row],[SC Is Filled]], btc_should_buy_back(SnapshotTable[[#This Row],[SC Fill Date]], SnapshotTable[[#This Row],[SC Exp Date]], SnapshotTable[[#This Row],[SC Book Price]], SnapshotTable[[#This Row],[SC Current Ask]], MockToday, SnapshotTable[[#This Row],[SC Buyback Override]]),"")</f>
        <v/>
      </c>
      <c r="FG30" s="4">
        <f>IF(SnapshotTable[[#This Row],[SC Is Filled]], MAX(0,SnapshotTable[[#This Row],[Last Price]]  - SnapshotTable[[#This Row],[SC Strike Price]]), 0)</f>
        <v>0</v>
      </c>
      <c r="FH30" s="352">
        <f>IF(SnapshotTable[[#This Row],[SC Is Filled]], IF(ISNUMBER(SnapshotTable[[#This Row],[SC Current Ask]]), SnapshotTable[[#This Row],[SC Current Ask]], SnapshotTable[[#This Row],[SC Book Price]]) - SnapshotTable[[#This Row],[SC Intrinsic Value]], 0)</f>
        <v>0</v>
      </c>
      <c r="FI30" s="141"/>
      <c r="FJ30" s="32" t="str">
        <f>IF(SnapshotTable[[#This Row],[SC Is Filled]],100 * SnapshotTable[[#This Row],[SC Qty]] * IF(ISNUMBER(SnapshotTable[[#This Row],[SC Buyback Override]]), SnapshotTable[[#This Row],[SC Buyback Override]], SnapshotTable[[#This Row],[SC Current Ask]]), "")</f>
        <v/>
      </c>
      <c r="FK30" s="235" t="str">
        <f>IF(SnapshotTable[[#This Row],[SC Time Val]]&gt;0, SnapshotTable[[#This Row],[SC Time Val]] / SnapshotTable[[#This Row],[Last Price]],"")</f>
        <v/>
      </c>
      <c r="FL30" s="280" t="str">
        <f>IF(SnapshotTable[[#This Row],[SC Is Booked]], ((SnapshotTable[[#This Row],[Last Price]] -SnapshotTable[[#This Row],[SC Strike Price]]) / SnapshotTable[[#This Row],[Last Price]]) * -1, "")</f>
        <v/>
      </c>
      <c r="FM30" s="155" t="str">
        <f>IF(SnapshotTable[[#This Row],[SC Is Booked]],  (SnapshotTable[[#This Row],[SC Qty]] * 100 * SnapshotTable[[#This Row],[SC Strike Price]]) - SnapshotTable[[#This Row],[SC Current Ask]], "")</f>
        <v/>
      </c>
      <c r="FN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0" s="31" t="str">
        <f>IF(AND(ISNUMBER(SnapshotTable[[#This Row],[SC Exercise Gross]]), ISNUMBER(SnapshotTable[[#This Row],[Equity Basis Per Share]] )), SnapshotTable[[#This Row],[SC Exercise Gross]] - SnapshotTable[[#This Row],[Equity Basis Total]] +  SnapshotTable[[#This Row],[SC Premium]], "")</f>
        <v/>
      </c>
      <c r="FP30" s="5" t="str">
        <f>IF(ISNUMBER(SnapshotTable[[#This Row],[SC Exercise Gross]]), (SnapshotTable[[#This Row],[SC Exercise Gross]]) / (SnapshotTable[[#This Row],[SC Qty]] * 100), "")</f>
        <v/>
      </c>
      <c r="FQ30" s="27" t="str">
        <f>IF(SnapshotTable[[#This Row],[SC Is Booked]],SnapshotTable[[#This Row],[SC Time Val]] /SnapshotTable[[#This Row],[SC Basis]], "")</f>
        <v/>
      </c>
      <c r="FR30" s="27" t="str" cm="1">
        <f t="array" ref="FR30">IF(AND(ISNUMBER(SnapshotTable[[#This Row],[SC Term]]),ISNUMBER(SnapshotTable[[#This Row],[SC Simple ROO]])), EllmanAnnualize(SnapshotTable[[#This Row],[SC DTE]], SnapshotTable[[#This Row],[SC Simple ROO]] ),"")</f>
        <v/>
      </c>
      <c r="FS30" s="4">
        <f>IF(SnapshotTable[[#This Row],[SC Strike Price]] &gt; SnapshotTable[[#This Row],[Last Price]], SnapshotTable[[#This Row],[SC Strike Price]] - SnapshotTable[[#This Row],[Last Price]],0)</f>
        <v>0</v>
      </c>
      <c r="FT30" s="27" t="str">
        <f>IF(AND(ISNUMBER(SnapshotTable[[#This Row],[SC Upside Potential]]), SnapshotTable[[#This Row],[SC Upside Potential]] &gt; 0),(SnapshotTable[[#This Row],[SC Upside Potential]]/ SnapshotTable[[#This Row],[ACB]]),"")</f>
        <v/>
      </c>
      <c r="FU30" s="304" t="str">
        <f>IF(SnapshotTable[[#This Row],[SC Intrinsic Value]] &gt; 0,SnapshotTable[[#This Row],[SC Intrinsic Value]],"")</f>
        <v/>
      </c>
      <c r="FV30" s="27" t="str">
        <f>IF(AND( ISNUMBER( SnapshotTable[[#This Row],[ACB]]),ISNUMBER(SnapshotTable[[#This Row],[SC Downside Protect]])),SnapshotTable[[#This Row],[SC Downside Protect]] / SnapshotTable[[#This Row],[ACB]],"")</f>
        <v/>
      </c>
      <c r="FW30" s="221" t="str">
        <f>IF(AND(ISNUMBER(SnapshotTable[[#This Row],[SC Simple ROO]]),SnapshotTable[[#This Row],[SC Simple ROO]] &gt; 0), SnapshotTable[[#This Row],[SC Premium]] + (SnapshotTable[[#This Row],[SC Qty]] * SnapshotTable[[#This Row],[SC Upside Potential]]), "")</f>
        <v/>
      </c>
      <c r="FX30" s="280" t="str" cm="1">
        <f t="array" ref="FX30">IF(ISNUMBER(SnapshotTable[[#This Row],[SC Max Dollars]]), annualize(SnapshotTable[[#This Row],[SC Term]],(SnapshotTable[[#This Row],[SC Max Dollars]]/SnapshotTable[[#This Row],[SC Basis]])),"")</f>
        <v/>
      </c>
      <c r="FY30" s="221" t="str">
        <f>IF(AND(SnapshotTable[[#This Row],[SC Qty]]&gt;0,SnapshotTable[[#This Row],[SC Current Ask]]&gt;0), SnapshotTable[[#This Row],[SC Qty]] * SnapshotTable[[#This Row],[SC Current Ask]] * -100, "")</f>
        <v/>
      </c>
      <c r="FZ30" s="31" t="str">
        <f>IF(ISNUMBER((SnapshotTable[[#This Row],[SC Current Value]])), SnapshotTable[[#This Row],[SC Premium]] + SnapshotTable[[#This Row],[SC Current Value]], "")</f>
        <v/>
      </c>
      <c r="GA30" s="272" t="str">
        <f>IFERROR( IF(ISNUMBER((SnapshotTable[[#This Row],[SC Current Value]])), SnapshotTable[[#This Row],[SC Gain Loss]] / SnapshotTable[[#This Row],[SC Premium]], ""), "")</f>
        <v/>
      </c>
      <c r="GB30" s="42">
        <f>SnapshotTable[[#This Row],[Equity Shares]] * SaleSharesToConsiderPercentage</f>
        <v>0</v>
      </c>
      <c r="GC30" s="40">
        <f>SnapshotTable[[#This Row],[Long Term Target]] * SellingPriceToConsiderBasedOnTargetPercentage</f>
        <v>0</v>
      </c>
      <c r="GD30" s="40">
        <f>SnapshotTable[[#This Row],[Last Price]] * (1+ SellingPriceToConsiderBasedOnTargetPercentage)</f>
        <v>29.308499999999999</v>
      </c>
      <c r="GE30" s="41"/>
      <c r="GF30" s="40"/>
      <c r="GG30" s="31">
        <f>SnapshotTable[[#This Row],[Booked Sale Shares]] * SnapshotTable[[#This Row],[Booked Sale Price]]</f>
        <v>0</v>
      </c>
      <c r="GH30" s="31" t="str">
        <f>IF(SnapshotTable[[#This Row],[Equity Basis Total]] &gt; 0, SnapshotTable[[#This Row],[Equity Basis Per Share]] * SnapshotTable[[#This Row],[Booked Sale Shares]], "")</f>
        <v/>
      </c>
      <c r="GI30" s="31">
        <f>IF(SnapshotTable[[#This Row],[Sale Proceeds]]&gt;0, SnapshotTable[[#This Row],[Sale Proceeds]] - SnapshotTable[[#This Row],[Sale Basis]], 0)</f>
        <v>0</v>
      </c>
      <c r="GJ30" s="27" t="str">
        <f>IF(SnapshotTable[[#This Row],[Sale G/L]]&gt;0, SnapshotTable[[#This Row],[Sale G/L]] / SnapshotTable[[#This Row],[Sale Basis]], IF(ISNUMBER(SnapshotTable[[#This Row],[SC Exercise P&amp;L (TAX)]]), SnapshotTable[[#This Row],[SC Exercise P&amp;L (TAX)]] / SnapshotTable[[#This Row],[SC Basis]], ""))</f>
        <v/>
      </c>
      <c r="GK30" s="27"/>
      <c r="GL30" s="43" t="str">
        <f>IF(AND(SnapshotTable[[#This Row],[LP Exp Date]]&gt;0,SnapshotTable[[#This Row],[LP Strike Price]]&gt;0), [1]!ToOptionSymbol(SnapshotTable[[#This Row],[Symbol]], SnapshotTable[[#This Row],[LP Strike Price]],SnapshotTable[[#This Row],[LP Exp Date]],1), "")</f>
        <v/>
      </c>
      <c r="GM30" s="30" t="str">
        <f>IF(LEN(SnapshotTable[[#This Row],[LP Symbol]])&gt;0, 1, "")</f>
        <v/>
      </c>
      <c r="GN30" s="43" t="str">
        <f>IF(AND(SnapshotTable[[#This Row],[SP Exp Date]]&gt;0,SnapshotTable[[#This Row],[SP Strike Price]]&gt;0), [1]!ToOptionSymbol(SnapshotTable[[#This Row],[Symbol]], SnapshotTable[[#This Row],[SP Strike Price]],SnapshotTable[[#This Row],[SP Exp Date]],1), "")</f>
        <v/>
      </c>
      <c r="GO30" s="30" t="str">
        <f>IF(LEN(SnapshotTable[[#This Row],[SP Symbol]])&gt;0, 1, "")</f>
        <v/>
      </c>
      <c r="GP30" s="43" t="str">
        <f>IF(AND(SnapshotTable[[#This Row],[LC Exp Date]]&gt;0,SnapshotTable[[#This Row],[LC Strike Price]]&gt;0), [1]!ToOptionSymbol(SnapshotTable[[#This Row],[Symbol]], SnapshotTable[[#This Row],[LC Strike Price]],SnapshotTable[[#This Row],[LC Exp Date]],0), "")</f>
        <v/>
      </c>
      <c r="GQ30" s="30" t="str">
        <f>IF(LEN(SnapshotTable[[#This Row],[LC Symbol]])&gt;0, 1, "")</f>
        <v/>
      </c>
      <c r="GR30" s="43" t="str">
        <f>IF(AND(SnapshotTable[[#This Row],[SC Exp Date]]&gt;0,SnapshotTable[[#This Row],[SC Strike Price]]&gt;0), [1]!ToOptionSymbol(SnapshotTable[[#This Row],[Symbol]], SnapshotTable[[#This Row],[SC Strike Price]],SnapshotTable[[#This Row],[SC Exp Date]],0), "")</f>
        <v/>
      </c>
      <c r="GS30" s="30" t="str">
        <f>IF(LEN(SnapshotTable[[#This Row],[SC Symbol]])&gt;0, 1, "")</f>
        <v/>
      </c>
      <c r="GT30" s="29" t="str">
        <f>IF(COUNT(SnapshotTable[[#This Row],[LP Symbol Count]],SnapshotTable[[#This Row],[SP Symbol Count]],SnapshotTable[[#This Row],[LC Symbol Count]],SnapshotTable[[#This Row],[SC Symbol Count]])&gt;0, "Y", "")</f>
        <v/>
      </c>
      <c r="GU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0" s="216">
        <f>MAX(SnapshotTable[[#This Row],[Equity Basis Total]],SnapshotTable[[#This Row],[Equity Value]]) + (SnapshotTable[[#This Row],[SP Potential Spend]]- SnapshotTable[[#This Row],[SP Premium]] + SnapshotTable[[#This Row],[LP Premium]])+ (SnapshotTable[[#This Row],[LC Premium]] - SnapshotTable[[#This Row],[SC Premium]])</f>
        <v>0</v>
      </c>
      <c r="GW30" s="137" t="str">
        <f>IF(AND(SnapshotTable[[#This Row],[Exposure]] &lt;&gt; 0),SnapshotTable[[#This Row],[Exposure]] / SnapshotTable[[#Totals],[Exposure]], "")</f>
        <v/>
      </c>
      <c r="HK30" s="1"/>
      <c r="HL30" s="1"/>
      <c r="HM30" s="1"/>
      <c r="HN30" s="1"/>
      <c r="HO30" s="1"/>
      <c r="HP30" s="1"/>
    </row>
    <row r="31" spans="2:224" ht="12.75" hidden="1" customHeight="1" x14ac:dyDescent="0.25">
      <c r="B31" s="12" t="s">
        <v>154</v>
      </c>
      <c r="C31" s="385">
        <v>366.05</v>
      </c>
      <c r="D31" s="200"/>
      <c r="E31" s="39">
        <f>SnapshotTable[[#This Row],[Last Price]]*(1 -CrashDiscount)</f>
        <v>311.14249999999998</v>
      </c>
      <c r="F31" s="26" t="s">
        <v>735</v>
      </c>
      <c r="G31" s="26" t="s">
        <v>32</v>
      </c>
      <c r="H31" s="147"/>
      <c r="I31" s="186">
        <v>44769.666666666664</v>
      </c>
      <c r="J31" s="187">
        <v>44769.666666666664</v>
      </c>
      <c r="K31" s="188"/>
      <c r="L31" s="297"/>
      <c r="M31" s="138"/>
      <c r="N31" s="138"/>
      <c r="O31" s="138"/>
      <c r="P31" s="22"/>
      <c r="Q31" s="25"/>
      <c r="R31" s="4" t="str">
        <f>IF(SnapshotTable[[#This Row],[Equity Basis Total]] &gt; 0, SnapshotTable[[#This Row],[Equity Basis Total]] / SnapshotTable[[#This Row],[Equity Shares]], "")</f>
        <v/>
      </c>
      <c r="S31" s="254">
        <f>SnapshotTable[[#This Row],[Last Price]] * SnapshotTable[[#This Row],[Equity Shares]]</f>
        <v>0</v>
      </c>
      <c r="T31" s="254">
        <f>SnapshotTable[[#This Row],[Equity Value]] - SnapshotTable[[#This Row],[Equity Basis Total]]</f>
        <v>0</v>
      </c>
      <c r="U31" s="255" t="str">
        <f>IF(SnapshotTable[[#This Row],[Equity Basis Total]] &gt; 0, SnapshotTable[[#This Row],[Equity G/L]] / SnapshotTable[[#This Row],[Equity Basis Total]], "")</f>
        <v/>
      </c>
      <c r="V31" s="253"/>
      <c r="W31" s="253"/>
      <c r="X31" s="4" t="str">
        <f>IF(AND(ISNUMBER(SnapshotTable[[#This Row],[Equity Basis Per Share]]),ISNUMBER(SnapshotTable[[#This Row],[Equity Target]])),SnapshotTable[[#This Row],[Equity Target]]-SnapshotTable[[#This Row],[Equity Basis Per Share]],"")</f>
        <v/>
      </c>
      <c r="Y31" s="4" t="str">
        <f>IF(AND(ISNUMBER(SnapshotTable[[#This Row],[Equity Basis Per Share]]),ISNUMBER(SnapshotTable[[#This Row],[Equity Stop Loss]])),SnapshotTable[[#This Row],[Equity Stop Loss]]-SnapshotTable[[#This Row],[Equity Basis Per Share]],"")</f>
        <v/>
      </c>
      <c r="Z31" s="260" t="str">
        <f>IFERROR( TEXT(SnapshotTable[[#This Row],[Equity Max Gain Per Share]] /ABS( SnapshotTable[[#This Row],[Equity Max Loss Per Share]]),"0.0 " ) &amp; " : 1", "")</f>
        <v/>
      </c>
      <c r="AA31" s="31" t="str">
        <f>IF(ISNUMBER(SnapshotTable[[#This Row],[Equity Max Gain Per Share]]),SnapshotTable[[#This Row],[Equity Max Gain Per Share]] * SnapshotTable[[#This Row],[Equity Shares]],"")</f>
        <v/>
      </c>
      <c r="AB31" s="31" t="str">
        <f>IF(ISNUMBER(SnapshotTable[[#This Row],[Equity Max Loss Per Share]]),SnapshotTable[[#This Row],[Equity Max Loss Per Share]] * SnapshotTable[[#This Row],[Equity Shares]],"")</f>
        <v/>
      </c>
      <c r="AC31" s="148">
        <v>4</v>
      </c>
      <c r="AD31" s="149">
        <v>42621</v>
      </c>
      <c r="AE31" s="31">
        <f>(SnapshotTable[[#This Row],[Annual Dividend Per Share]] / 4) * SnapshotTable[[#This Row],[Equity Shares]]</f>
        <v>0</v>
      </c>
      <c r="AF31" s="31">
        <f>SnapshotTable[[#This Row],[Quarterly Div $]] * 4</f>
        <v>0</v>
      </c>
      <c r="AG31" s="7">
        <f>IF(SnapshotTable[[#This Row],[Annual Dividend Per Share]]&gt;0, SnapshotTable[[#This Row],[Annual Dividend Per Share]]  / SnapshotTable[[#This Row],[Last Price]], 0)</f>
        <v>1.0927468925010245E-2</v>
      </c>
      <c r="AH31" s="149">
        <v>43783</v>
      </c>
      <c r="AI31" s="5">
        <v>220</v>
      </c>
      <c r="AJ31" s="136">
        <v>254.2</v>
      </c>
      <c r="AK31" s="150">
        <f>IF(ISNUMBER( SnapshotTable[[#This Row],[EBF Target]]),(SnapshotTable[[#This Row],[EBF Target]] - SnapshotTable[[#This Row],[Last Price]]) / SnapshotTable[[#This Row],[Last Price]], "")</f>
        <v>-0.39898920912443658</v>
      </c>
      <c r="AL31" s="150" t="str">
        <f>IF(AND(SnapshotTable[[#This Row],[Equity Basis Total]] &gt; 0,ISNUMBER( SnapshotTable[[#This Row],[Long Term Target]])), SnapshotTable[[#This Row],[From Basis $]] / SnapshotTable[[#This Row],[Equity Basis Total]], "")</f>
        <v/>
      </c>
      <c r="AM31" s="9">
        <f>IF( AND(SnapshotTable[[#This Row],[Equity Shares]] &gt;0,ISNUMBER( SnapshotTable[[#This Row],[Long Term Target]])),(SnapshotTable[[#This Row],[Equity Shares]] * SnapshotTable[[#This Row],[Long Term Target]]) - SnapshotTable[[#This Row],[Equity Basis Total]],0)</f>
        <v>0</v>
      </c>
      <c r="AN31" s="9">
        <f>IF( AND(SnapshotTable[[#This Row],[Equity Shares]] &gt;0,ISNUMBER( SnapshotTable[[#This Row],[Long Term Target]])),(SnapshotTable[[#This Row],[Equity Shares]]*SnapshotTable[[#This Row],[Long Term Target]]) - SnapshotTable[[#This Row],[Equity Value]],0)</f>
        <v>0</v>
      </c>
      <c r="AO31" s="150">
        <f>IF(AND(ISNUMBER( SnapshotTable[[#This Row],[Long Term Target]]), ISNUMBER(SnapshotTable[[#This Row],[Last Price]])),(SnapshotTable[[#This Row],[Long Term Target]] - SnapshotTable[[#This Row],[Last Price]]) / SnapshotTable[[#This Row],[Last Price]], "")</f>
        <v>-0.30555934981559901</v>
      </c>
      <c r="AP31" s="5">
        <v>8</v>
      </c>
      <c r="AQ31" s="38" t="s">
        <v>16</v>
      </c>
      <c r="AR31" s="5">
        <v>8</v>
      </c>
      <c r="AS31" s="38" t="s">
        <v>22</v>
      </c>
      <c r="AT31" s="144" t="s">
        <v>442</v>
      </c>
      <c r="AU31" s="185" t="str">
        <f>IF(OR(SnapshotTable[[#This Row],[LP No Fill]]="Y",SnapshotTable[[#This Row],[SP Is Filled]],SnapshotTable[[#This Row],[LC Not Filled]]="Y",SnapshotTable[[#This Row],[SC Is Filled]]),"Y","")</f>
        <v/>
      </c>
      <c r="AV31" s="205"/>
      <c r="AW31" s="211"/>
      <c r="AX31" s="206"/>
      <c r="AY31" s="205" t="str">
        <f>IF(SnapshotTable[[#This Row],[Implied Move]]&gt;0, SnapshotTable[[#This Row],[Last Price]]-SnapshotTable[[#This Row],[Implied Move]],"")</f>
        <v/>
      </c>
      <c r="AZ31" s="205" t="str">
        <f>IF(SnapshotTable[[#This Row],[Implied Move]]&gt;0, SnapshotTable[[#This Row],[Last Price]] + SnapshotTable[[#This Row],[Implied Move]],"")</f>
        <v/>
      </c>
      <c r="BA31" s="302"/>
      <c r="BB31" s="318"/>
      <c r="BC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1" s="321"/>
      <c r="BE31" s="5"/>
      <c r="BF31" s="14"/>
      <c r="BG31" s="13"/>
      <c r="BH31" s="13"/>
      <c r="BI31" s="5"/>
      <c r="BJ31" s="134">
        <f>IF(SnapshotTable[[#This Row],[LP Qty]] &gt; 0, SnapshotTable[[#This Row],[LP Qty]] * SnapshotTable[[#This Row],[LP Book Price]] * 100,0)</f>
        <v>0</v>
      </c>
      <c r="BK31" s="134">
        <f>IF(SnapshotTable[[#This Row],[LP Premium]] &gt; 0, SnapshotTable[[#This Row],[LP Qty]] * SnapshotTable[[#This Row],[LP Strike Price]] * 100,0)</f>
        <v>0</v>
      </c>
      <c r="BL31" s="152"/>
      <c r="BM31" s="355" t="str">
        <f>IF(SnapshotTable[[#This Row],[LP Premium]] &gt; 0,SnapshotTable[[#This Row],[LP Exp Date]]-MAX(SnapshotTable[[#This Row],[LP Book Date]], SnapshotTable[[#This Row],[LP Fill Date]]),"")</f>
        <v/>
      </c>
      <c r="BN31" s="355" t="str">
        <f>IF(ISNUMBER( SnapshotTable[[#This Row],[LP Term]]), SnapshotTable[[#This Row],[LP Exp Date]] - MockToday,"")</f>
        <v/>
      </c>
      <c r="BO31" s="161" t="str">
        <f>IF(AND(SnapshotTable[[#This Row],[LP Exp Date]]&gt;0, SnapshotTable[[#This Row],[LP Strike Price]]&gt;0,SnapshotTable[[#This Row],[LP Qty]]&gt;0,SnapshotTable[[#This Row],[LP Book Date]]&gt;0,SnapshotTable[[#This Row],[LP Book Price]]&gt;0,SnapshotTable[[#This Row],[LP Fill Date]]=0),"Y","")</f>
        <v/>
      </c>
      <c r="BP31" s="31" t="str">
        <f>IF(AND(SnapshotTable[[#This Row],[LP No Fill]]&lt;&gt;"Y",SnapshotTable[[#This Row],[LP Contract Value]]&gt;0, SnapshotTable[[#This Row],[LP Qty]]&gt;0), SnapshotTable[[#This Row],[LP Contract Value]]*SnapshotTable[[#This Row],[LP Qty]]*100,"")</f>
        <v/>
      </c>
      <c r="BQ31" s="13"/>
      <c r="BR31" s="5"/>
      <c r="BS31" s="36"/>
      <c r="BT31" s="145"/>
      <c r="BU31" s="13"/>
      <c r="BV31" s="5"/>
      <c r="BW31" s="382" t="b">
        <f>AND(ISNUMBER(SnapshotTable[[#This Row],[SP Exp Date]]), ISNUMBER(SnapshotTable[[#This Row],[SP Strike Price]]), ISNUMBER(SnapshotTable[[#This Row],[SP Qty]]), ISNUMBER(SnapshotTable[[#This Row],[SP Book Date]]), ISNUMBER(SnapshotTable[[#This Row],[SP Book Price]]))</f>
        <v>0</v>
      </c>
      <c r="BX31" s="382" t="b">
        <f>AND(SnapshotTable[[#This Row],[SP Is Booked]], NOT(ISBLANK(SnapshotTable[[#This Row],[SP Fill Date]])))</f>
        <v>0</v>
      </c>
      <c r="BY31" s="33">
        <f>IF(SnapshotTable[[#This Row],[SP Is Booked]], SnapshotTable[[#This Row],[SP Qty]] * SnapshotTable[[#This Row],[SP Book Price]] * 100, 0)</f>
        <v>0</v>
      </c>
      <c r="BZ31" s="339"/>
      <c r="CA31" s="338">
        <f>SnapshotTable[[#This Row],[LP Qty]]</f>
        <v>0</v>
      </c>
      <c r="CB31" s="4" t="str">
        <f>IF(SnapshotTable[[#This Row],[SP Is Booked]], SnapshotTable[[#This Row],[SP Strike Price]] - SnapshotTable[[#This Row],[SP Book Price]], "")</f>
        <v/>
      </c>
      <c r="CC31" s="19" t="str">
        <f>IF(SnapshotTable[[#This Row],[SP Is Booked]],SnapshotTable[[#This Row],[SP Exp Date]]-MAX(SnapshotTable[[#This Row],[SP Book Date]], SnapshotTable[[#This Row],[SP Fill Date]]),"")</f>
        <v/>
      </c>
      <c r="CD31" s="7" t="str">
        <f>IF(SnapshotTable[[#This Row],[SP Is Booked]], SnapshotTable[[#This Row],[SP Book Price]]/SnapshotTable[[#This Row],[SP Strike Price]], "")</f>
        <v/>
      </c>
      <c r="CE31" s="7" t="str">
        <f>IF(ISNUMBER(SnapshotTable[[#This Row],[SP ROO Term]]),SnapshotTable[[#This Row],[SP ROO Term]]*(365/SnapshotTable[[#This Row],[SP Term]]),"")</f>
        <v/>
      </c>
      <c r="CF31" s="221">
        <f>SnapshotTable[[#This Row],[LP Strike Price]] * SnapshotTable[[#This Row],[LP Qty]] * 100</f>
        <v>0</v>
      </c>
      <c r="CG31" s="31">
        <f>IF(ISNUMBER(SnapshotTable[[#This Row],[SP Premium]]), (SnapshotTable[[#This Row],[SP Qty]] * SnapshotTable[[#This Row],[SP Strike Price]]* 100) - SnapshotTable[[#This Row],[LP Protection]], 0)</f>
        <v>0</v>
      </c>
      <c r="CH31" s="7" t="str">
        <f>IF(ISNUMBER(SnapshotTable[[#This Row],[SP Break Even]]),-1 * (SnapshotTable[[#This Row],[SP Break Even]] - SnapshotTable[[#This Row],[Last Price]]) / SnapshotTable[[#This Row],[Last Price]], "")</f>
        <v/>
      </c>
      <c r="CI31" s="31">
        <f>IF(AND(ISNUMBER((SnapshotTable[[#This Row],[SP Potential Spend]])), SnapshotTable[[#This Row],[SP Strike Price]] &gt; SnapshotTable[[#This Row],[Last Price]], SnapshotTable[[#This Row],[SP Is Filled]]), SnapshotTable[[#This Row],[SP Potential Spend]] -  SnapshotTable[[#This Row],[LP Max Value]], 0)</f>
        <v>0</v>
      </c>
      <c r="CJ31" s="229"/>
      <c r="CK31" s="31">
        <f>IF(ISNUMBER(SnapshotTable[[#This Row],[SP Potential Spend]]),IF(ISNUMBER(SnapshotTable[[#This Row],[SP POW]]), SnapshotTable[[#This Row],[SP POW]] * SnapshotTable[[#This Row],[SP Potential Spend]], SnapshotTable[[#This Row],[SP Potential Spend]]), "")</f>
        <v>0</v>
      </c>
      <c r="CL31" s="162">
        <f>IF(NOT(SnapshotTable[[#This Row],[SP Is Filled]]),(SnapshotTable[[#This Row],[SP Qty]] * SnapshotTable[[#This Row],[SP Strike Price]] * 100) - SnapshotTable[[#This Row],[LP Max Value]],"")</f>
        <v>0</v>
      </c>
      <c r="CM31" s="31" t="str">
        <f>IF(SnapshotTable[[#This Row],[SP Actual Spend]]&lt;&gt;0, ((SnapshotTable[[#This Row],[SP Strike Price]]-SnapshotTable[[#This Row],[Last Price]]) *(SnapshotTable[[#This Row],[SP Qty]]*100) - SnapshotTable[[#This Row],[SP Premium]]) * - 1, "")</f>
        <v/>
      </c>
      <c r="CN31" s="76"/>
      <c r="CO31" s="339"/>
      <c r="CP31" s="4" t="str">
        <f>IF(SnapshotTable[[#This Row],[SP Is Filled]], btc_max_buyback_amount(SnapshotTable[[#This Row],[SP Fill Date]],SnapshotTable[[#This Row],[SP Exp Date]], SnapshotTable[[#This Row],[SP Book Price]]),"")</f>
        <v/>
      </c>
      <c r="CQ31" s="76"/>
      <c r="CR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1" s="153" t="str">
        <f>IF(SnapshotTable[[#This Row],[SP Is Filled]], btc_next_cutoff_date(SnapshotTable[[#This Row],[SP Fill Date]],SnapshotTable[[#This Row],[SP Exp Date]]),"")</f>
        <v/>
      </c>
      <c r="CT31" s="220" t="str" cm="1">
        <f t="array" ref="CT31">IF(SnapshotTable[[#This Row],[SP Is Filled]], btc_should_buy_back(SnapshotTable[[#This Row],[SP Fill Date]], SnapshotTable[[#This Row],[SP Exp Date]], SnapshotTable[[#This Row],[SP Book Price]], SnapshotTable[[#This Row],[SP Current Ask]], MockToday, SnapshotTable[[#This Row],[SP Buyback Override]]),"")</f>
        <v/>
      </c>
      <c r="CU31" s="141"/>
      <c r="CV31" s="220"/>
      <c r="CW31" s="348" t="str">
        <f>IF(ISNUMBER( SnapshotTable[[#This Row],[SP Term]]), SnapshotTable[[#This Row],[SP Exp Date]] - MockToday,"")</f>
        <v/>
      </c>
      <c r="CX31" s="31" t="str">
        <f>IF(SnapshotTable[[#This Row],[SP Is Filled]],SnapshotTable[[#This Row],[SP Buyback Price to Use]] * 100 * SnapshotTable[[#This Row],[SP Qty]], "")</f>
        <v/>
      </c>
      <c r="CY31" s="4" t="str">
        <f>IF(ISNUMBER(SnapshotTable[[#This Row],[SP Strike Price]]), SnapshotTable[[#This Row],[SP Strike Price]] * (1 - SP_MaxLoss_StrikePct), "")</f>
        <v/>
      </c>
      <c r="CZ31" s="31" t="str">
        <f>IF(ISNUMBER(SnapshotTable[[#This Row],[SP Strike  Stop Per Share]]),SnapshotTable[[#This Row],[SP Premium]] - ((SnapshotTable[[#This Row],[SP Strike Price]]-SnapshotTable[[#This Row],[SP Strike  Stop Per Share]]) *(SnapshotTable[[#This Row],[SP Qty]] * 100)),"")</f>
        <v/>
      </c>
      <c r="DA31" s="4" t="str">
        <f>IF(AND(ISNUMBER(SnapshotTable[[#This Row],[SP Premium]]),SnapshotTable[[#This Row],[SP Premium]]&gt;0), SnapshotTable[[#This Row],[SP Book Price]] * (1 + SP_MaxLoss_OptionPct), "")</f>
        <v/>
      </c>
      <c r="DB31" s="31" t="str">
        <f>IF(ISNUMBER(SnapshotTable[[#This Row],[SP Option  Stop Contract]]),(SnapshotTable[[#This Row],[SP Option  Stop Contract]] *(SnapshotTable[[#This Row],[SP Qty]] * 100) - SnapshotTable[[#This Row],[SP Premium]]),"")</f>
        <v/>
      </c>
      <c r="DC31" s="4"/>
      <c r="DD31" s="4"/>
      <c r="DE31" s="4" t="str">
        <f>IF(AND(SnapshotTable[[#This Row],[SP Qty]]&gt;0, SnapshotTable[[#This Row],[SP Stop To Use]]&gt;0),SnapshotTable[[#This Row],[SP Premium]] - ( SnapshotTable[[#This Row],[SP Qty]] * SnapshotTable[[#This Row],[SP Stop To Use]] * 100), "")</f>
        <v/>
      </c>
      <c r="DF31" s="31" t="str">
        <f>IF(AND(SnapshotTable[[#This Row],[SP Qty]]&gt;0,SnapshotTable[[#This Row],[SP Current Ask]]&gt;0), SnapshotTable[[#This Row],[SP Qty]] * SnapshotTable[[#This Row],[SP Current Ask]] * -100, "")</f>
        <v/>
      </c>
      <c r="DG31" s="31" t="str">
        <f>IF(ISNUMBER((SnapshotTable[[#This Row],[SP Total Value]])), SnapshotTable[[#This Row],[SP Premium]] + SnapshotTable[[#This Row],[SP Total Value]], "")</f>
        <v/>
      </c>
      <c r="DH31" s="272" t="str">
        <f>IF(ISNUMBER((SnapshotTable[[#This Row],[SP Total Value]])), SnapshotTable[[#This Row],[SP Gain Loss]] / SnapshotTable[[#This Row],[SP Premium]], "")</f>
        <v/>
      </c>
      <c r="DI31" s="369"/>
      <c r="DJ31" s="136"/>
      <c r="DK31" s="146"/>
      <c r="DL31" s="13"/>
      <c r="DM31" s="13"/>
      <c r="DO31" s="31">
        <f>IF(SnapshotTable[[#This Row],[LC Symbol Count]]=1, SnapshotTable[[#This Row],[LC Qty]] * SnapshotTable[[#This Row],[LC Book Price]] * 100, 0)</f>
        <v>0</v>
      </c>
      <c r="DP31" s="161" t="str">
        <f>IF(AND(SnapshotTable[[#This Row],[LC Exp Date]]&gt;0, SnapshotTable[[#This Row],[LC Strike Price]]&gt;0,SnapshotTable[[#This Row],[LC Qty]]&gt;0,SnapshotTable[[#This Row],[LC Book Date]]&gt;0,SnapshotTable[[#This Row],[LC Book Price]]&gt;0,SnapshotTable[[#This Row],[LC Fill Date]]=0),"Y","")</f>
        <v/>
      </c>
      <c r="DQ31" s="356" t="str">
        <f>IF(SnapshotTable[[#This Row],[LC Premium]] &gt; 0,SnapshotTable[[#This Row],[LC Exp Date]]-MAX(SnapshotTable[[#This Row],[LC Book Date]], SnapshotTable[[#This Row],[LC Fill Date]]),"")</f>
        <v/>
      </c>
      <c r="DR31" s="356" t="str">
        <f>IF(ISNUMBER(SnapshotTable[[#This Row],[LC Term]]), SnapshotTable[[#This Row],[LC Exp Date]] - MockToday, "")</f>
        <v/>
      </c>
      <c r="DS31" s="219" t="str">
        <f>IF(SnapshotTable[[#This Row],[LC Premium]]&gt;0,SnapshotTable[[#This Row],[LC Strike Price]] + SnapshotTable[[#This Row],[LC Book Price]],"")</f>
        <v/>
      </c>
      <c r="DU31" s="9" t="str">
        <f>IF(AND(SnapshotTable[[#This Row],[LC Symbol Count]]&gt;0, SnapshotTable[[#This Row],[LC Contract Value]]&gt;0), SnapshotTable[[#This Row],[LC Contract Value]] * SnapshotTable[[#This Row],[LC Qty]] * 100, "")</f>
        <v/>
      </c>
      <c r="DV31" s="9" t="str">
        <f>IF(AND(ISNUMBER(SnapshotTable[[#This Row],[LC Total Value]]), SnapshotTable[[#This Row],[LC Not Filled]]&lt;&gt;"Y"), SnapshotTable[[#This Row],[LC Total Value]]-SnapshotTable[[#This Row],[LC Premium]],"")</f>
        <v/>
      </c>
      <c r="DW31" s="225" t="str">
        <f>IF(ISNUMBER(SnapshotTable[[#This Row],[LC Actual Gain Loss]]), SnapshotTable[[#This Row],[LC Actual Gain Loss]] / SnapshotTable[[#This Row],[LC Premium]],"")</f>
        <v/>
      </c>
      <c r="DX31" s="269" t="str">
        <f>IF(ISNUMBER(SnapshotTable[[#This Row],[LC Book Price]]),SnapshotTable[[#This Row],[LC Book Price]] * 1.5,"")</f>
        <v/>
      </c>
      <c r="DY31" s="250" t="str">
        <f>IF(SnapshotTable[[#This Row],[LC Premium]]&gt;0, SnapshotTable[[#This Row],[LC Next Target]] * SnapshotTable[[#This Row],[LC Qty]] * 100,"")</f>
        <v/>
      </c>
      <c r="DZ31" s="250" t="str">
        <f>IF(ISNUMBER(SnapshotTable[[#This Row],[LC Target Gross]]), SnapshotTable[[#This Row],[LC Target Gross]] - SnapshotTable[[#This Row],[LC Premium]], "")</f>
        <v/>
      </c>
      <c r="EA31" s="283" t="str">
        <f>IF(ISNUMBER(SnapshotTable[[#This Row],[LC Target Gain Loss]]), SnapshotTable[[#This Row],[LC Target Gain Loss]]/SnapshotTable[[#This Row],[LC Premium]], "")</f>
        <v/>
      </c>
      <c r="EB31" s="247"/>
      <c r="EC31" s="268" t="str">
        <f>IF(SnapshotTable[[#This Row],[LC Premium]]&gt;0, SnapshotTable[[#This Row],[LC Book Price]] * (1 - LC_StopLoss_Pct),"")</f>
        <v/>
      </c>
      <c r="ED31" s="269"/>
      <c r="EE31" s="268" t="str">
        <f>IF(ISNUMBER(SnapshotTable[[#This Row],[LC Contract Value]]),IF(ISNUMBER(SnapshotTable[[#This Row],[LC Stop Loss Override]]), SnapshotTable[[#This Row],[LC Stop Loss Override]],SnapshotTable[[#This Row],[LC Stop Loss Calc Target]]),"")</f>
        <v/>
      </c>
      <c r="EF31" s="31" t="str">
        <f>IF(ISNUMBER(SnapshotTable[[#This Row],[LC Stop  To Use]]), (SnapshotTable[[#This Row],[LC Stop  To Use]] * SnapshotTable[[#This Row],[LC Qty]] * 100),"")</f>
        <v/>
      </c>
      <c r="EG31" s="9" t="str">
        <f>IF(ISNUMBER(SnapshotTable[[#This Row],[LC Total Value]]),SnapshotTable[[#This Row],[LC Stop Loss Amount]] - SnapshotTable[[#This Row],[LC Premium]],"")</f>
        <v/>
      </c>
      <c r="EH31" s="9">
        <f>IF(ISNUMBER(SnapshotTable[[#This Row],[LC Premium]]), SnapshotTable[[#This Row],[LC Qty]] * 100 * SnapshotTable[[#This Row],[LC Strike Price]], "")</f>
        <v>0</v>
      </c>
      <c r="EI31" s="225" t="str">
        <f>IF(AND(ISNUMBER(SnapshotTable[[#This Row],[LC Total Value]]),SnapshotTable[[#This Row],[LC Total Value]]&gt;0),SnapshotTable[[#This Row],[LC Stop Gain Loss]]  / SnapshotTable[[#This Row],[LC Premium]],"")</f>
        <v/>
      </c>
      <c r="EJ31" s="35">
        <f>IF(ISNUMBER(SnapshotTable[[#This Row],[Equity Shares]]),TRUNC(SnapshotTable[[#This Row],[Equity Shares]] / 100),0) + SnapshotTable[[#This Row],[LC Qty]]</f>
        <v>0</v>
      </c>
      <c r="EK31" s="145"/>
      <c r="EL31" s="136"/>
      <c r="EM31" s="146"/>
      <c r="EN31" s="145"/>
      <c r="EO31" s="145"/>
      <c r="EP31" s="136"/>
      <c r="EQ31" s="382" t="b">
        <f>AND(ISNUMBER(SnapshotTable[[#This Row],[SC Exp Date]]), ISNUMBER(SnapshotTable[[#This Row],[SC Strike Price]]), ISNUMBER(SnapshotTable[[#This Row],[SC Qty]]), ISNUMBER(SnapshotTable[[#This Row],[SC Book Date]]), ISNUMBER(SnapshotTable[[#This Row],[SC Book Price]]))</f>
        <v>0</v>
      </c>
      <c r="ER31" s="382" t="b">
        <f>AND(SnapshotTable[[#This Row],[SC Is Booked]], NOT(ISBLANK(SnapshotTable[[#This Row],[SC Fill Date]])))</f>
        <v>0</v>
      </c>
      <c r="ES31" s="340"/>
      <c r="ET31" s="34" t="str">
        <f>IF(AND(ISNUMBER(SnapshotTable[[#This Row],[SC Exp Date]]), ISNUMBER(SnapshotTable[[#This Row],[SC Book Date]])), SnapshotTable[[#This Row],[SC Exp Date]] - MAX(SnapshotTable[[#This Row],[SC Book Date]], SnapshotTable[[#This Row],[SC Fill Date]]) + 1, "")</f>
        <v/>
      </c>
      <c r="EU31" s="34" t="str">
        <f>IF(ISNUMBER(SnapshotTable[[#This Row],[SC Term]]), SnapshotTable[[#This Row],[SC Exp Date]]- MockToday, "")</f>
        <v/>
      </c>
      <c r="EV31" s="31">
        <f>IF(SnapshotTable[[#This Row],[SC Is Booked]], SnapshotTable[[#This Row],[SC Qty]] * SnapshotTable[[#This Row],[SC Book Price]] * 100, 0)</f>
        <v>0</v>
      </c>
      <c r="EW31" s="4" t="str">
        <f>IF(AND(ISNUMBER(SnapshotTable[[#This Row],[Last Price]]), ISNUMBER( SnapshotTable[[#This Row],[SC Book Price]])), SnapshotTable[[#This Row],[Last Price]] - SnapshotTable[[#This Row],[SC Book Price]],"")</f>
        <v/>
      </c>
      <c r="EX31" s="219" t="str">
        <f>IF(SnapshotTable[[#This Row],[SC Is Booked]],IF(SnapshotTable[[#This Row],[SC Intrinsic Value]] &gt; 0, SnapshotTable[[#This Row],[SC Strike Price]], SnapshotTable[[#This Row],[Last Price]]), "")</f>
        <v/>
      </c>
      <c r="EY31" s="4">
        <f>IF(SnapshotTable[[#This Row],[SC Is Booked]], (MinimumPremiumRequired * SnapshotTable[[#This Row],[SC Basis]] * SnapshotTable[[#This Row],[SC Term]]), 0)</f>
        <v>0</v>
      </c>
      <c r="EZ31" s="268"/>
      <c r="FA31" s="204"/>
      <c r="FB31" s="340"/>
      <c r="FC31" s="4">
        <f>IF(SnapshotTable[[#This Row],[SC Is Filled]], btc_max_buyback_amount(SnapshotTable[[#This Row],[SC Fill Date]],SnapshotTable[[#This Row],[SC Exp Date]], SnapshotTable[[#This Row],[SC Book Price]]),0)</f>
        <v>0</v>
      </c>
      <c r="FD31" s="5"/>
      <c r="FE31" s="142" t="str">
        <f>IF(SnapshotTable[[#This Row],[SC Is Filled]], btc_next_cutoff_date(SnapshotTable[[#This Row],[SC Fill Date]],SnapshotTable[[#This Row],[SC Exp Date]]),"")</f>
        <v/>
      </c>
      <c r="FF31" s="4" t="str" cm="1">
        <f t="array" ref="FF31">IF(SnapshotTable[[#This Row],[SC Is Filled]], btc_should_buy_back(SnapshotTable[[#This Row],[SC Fill Date]], SnapshotTable[[#This Row],[SC Exp Date]], SnapshotTable[[#This Row],[SC Book Price]], SnapshotTable[[#This Row],[SC Current Ask]], MockToday, SnapshotTable[[#This Row],[SC Buyback Override]]),"")</f>
        <v/>
      </c>
      <c r="FG31" s="4">
        <f>IF(SnapshotTable[[#This Row],[SC Is Filled]], MAX(0,SnapshotTable[[#This Row],[Last Price]]  - SnapshotTable[[#This Row],[SC Strike Price]]), 0)</f>
        <v>0</v>
      </c>
      <c r="FH31" s="352">
        <f>IF(SnapshotTable[[#This Row],[SC Is Filled]], IF(ISNUMBER(SnapshotTable[[#This Row],[SC Current Ask]]), SnapshotTable[[#This Row],[SC Current Ask]], SnapshotTable[[#This Row],[SC Book Price]]) - SnapshotTable[[#This Row],[SC Intrinsic Value]], 0)</f>
        <v>0</v>
      </c>
      <c r="FI31" s="141">
        <v>45786</v>
      </c>
      <c r="FJ31" s="32" t="str">
        <f>IF(SnapshotTable[[#This Row],[SC Is Filled]],100 * SnapshotTable[[#This Row],[SC Qty]] * IF(ISNUMBER(SnapshotTable[[#This Row],[SC Buyback Override]]), SnapshotTable[[#This Row],[SC Buyback Override]], SnapshotTable[[#This Row],[SC Current Ask]]), "")</f>
        <v/>
      </c>
      <c r="FK31" s="235" t="str">
        <f>IF(SnapshotTable[[#This Row],[SC Time Val]]&gt;0, SnapshotTable[[#This Row],[SC Time Val]] / SnapshotTable[[#This Row],[Last Price]],"")</f>
        <v/>
      </c>
      <c r="FL31" s="280" t="str">
        <f>IF(SnapshotTable[[#This Row],[SC Is Booked]], ((SnapshotTable[[#This Row],[Last Price]] -SnapshotTable[[#This Row],[SC Strike Price]]) / SnapshotTable[[#This Row],[Last Price]]) * -1, "")</f>
        <v/>
      </c>
      <c r="FM31" s="155" t="str">
        <f>IF(SnapshotTable[[#This Row],[SC Is Booked]],  (SnapshotTable[[#This Row],[SC Qty]] * 100 * SnapshotTable[[#This Row],[SC Strike Price]]) - SnapshotTable[[#This Row],[SC Current Ask]], "")</f>
        <v/>
      </c>
      <c r="FN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1" s="31" t="str">
        <f>IF(AND(ISNUMBER(SnapshotTable[[#This Row],[SC Exercise Gross]]), ISNUMBER(SnapshotTable[[#This Row],[Equity Basis Per Share]] )), SnapshotTable[[#This Row],[SC Exercise Gross]] - SnapshotTable[[#This Row],[Equity Basis Total]] +  SnapshotTable[[#This Row],[SC Premium]], "")</f>
        <v/>
      </c>
      <c r="FP31" s="5" t="str">
        <f>IF(ISNUMBER(SnapshotTable[[#This Row],[SC Exercise Gross]]), (SnapshotTable[[#This Row],[SC Exercise Gross]]) / (SnapshotTable[[#This Row],[SC Qty]] * 100), "")</f>
        <v/>
      </c>
      <c r="FQ31" s="27" t="str">
        <f>IF(SnapshotTable[[#This Row],[SC Is Booked]],SnapshotTable[[#This Row],[SC Time Val]] /SnapshotTable[[#This Row],[SC Basis]], "")</f>
        <v/>
      </c>
      <c r="FR31" s="27" t="str" cm="1">
        <f t="array" ref="FR31">IF(AND(ISNUMBER(SnapshotTable[[#This Row],[SC Term]]),ISNUMBER(SnapshotTable[[#This Row],[SC Simple ROO]])), EllmanAnnualize(SnapshotTable[[#This Row],[SC DTE]], SnapshotTable[[#This Row],[SC Simple ROO]] ),"")</f>
        <v/>
      </c>
      <c r="FS31" s="4">
        <f>IF(SnapshotTable[[#This Row],[SC Strike Price]] &gt; SnapshotTable[[#This Row],[Last Price]], SnapshotTable[[#This Row],[SC Strike Price]] - SnapshotTable[[#This Row],[Last Price]],0)</f>
        <v>0</v>
      </c>
      <c r="FT31" s="27" t="str">
        <f>IF(AND(ISNUMBER(SnapshotTable[[#This Row],[SC Upside Potential]]), SnapshotTable[[#This Row],[SC Upside Potential]] &gt; 0),(SnapshotTable[[#This Row],[SC Upside Potential]]/ SnapshotTable[[#This Row],[ACB]]),"")</f>
        <v/>
      </c>
      <c r="FU31" s="304" t="str">
        <f>IF(SnapshotTable[[#This Row],[SC Intrinsic Value]] &gt; 0,SnapshotTable[[#This Row],[SC Intrinsic Value]],"")</f>
        <v/>
      </c>
      <c r="FV31" s="27" t="str">
        <f>IF(AND( ISNUMBER( SnapshotTable[[#This Row],[ACB]]),ISNUMBER(SnapshotTable[[#This Row],[SC Downside Protect]])),SnapshotTable[[#This Row],[SC Downside Protect]] / SnapshotTable[[#This Row],[ACB]],"")</f>
        <v/>
      </c>
      <c r="FW31" s="221" t="str">
        <f>IF(AND(ISNUMBER(SnapshotTable[[#This Row],[SC Simple ROO]]),SnapshotTable[[#This Row],[SC Simple ROO]] &gt; 0), SnapshotTable[[#This Row],[SC Premium]] + (SnapshotTable[[#This Row],[SC Qty]] * SnapshotTable[[#This Row],[SC Upside Potential]]), "")</f>
        <v/>
      </c>
      <c r="FX31" s="280" t="str" cm="1">
        <f t="array" ref="FX31">IF(ISNUMBER(SnapshotTable[[#This Row],[SC Max Dollars]]), annualize(SnapshotTable[[#This Row],[SC Term]],(SnapshotTable[[#This Row],[SC Max Dollars]]/SnapshotTable[[#This Row],[SC Basis]])),"")</f>
        <v/>
      </c>
      <c r="FY31" s="221" t="str">
        <f>IF(AND(SnapshotTable[[#This Row],[SC Qty]]&gt;0,SnapshotTable[[#This Row],[SC Current Ask]]&gt;0), SnapshotTable[[#This Row],[SC Qty]] * SnapshotTable[[#This Row],[SC Current Ask]] * -100, "")</f>
        <v/>
      </c>
      <c r="FZ31" s="31" t="str">
        <f>IF(ISNUMBER((SnapshotTable[[#This Row],[SC Current Value]])), SnapshotTable[[#This Row],[SC Premium]] + SnapshotTable[[#This Row],[SC Current Value]], "")</f>
        <v/>
      </c>
      <c r="GA31" s="272" t="str">
        <f>IFERROR( IF(ISNUMBER((SnapshotTable[[#This Row],[SC Current Value]])), SnapshotTable[[#This Row],[SC Gain Loss]] / SnapshotTable[[#This Row],[SC Premium]], ""), "")</f>
        <v/>
      </c>
      <c r="GB31" s="42">
        <f>SnapshotTable[[#This Row],[Equity Shares]] * SaleSharesToConsiderPercentage</f>
        <v>0</v>
      </c>
      <c r="GC31" s="40">
        <f>SnapshotTable[[#This Row],[Long Term Target]] * SellingPriceToConsiderBasedOnTargetPercentage</f>
        <v>241.48999999999998</v>
      </c>
      <c r="GD31" s="40">
        <f>SnapshotTable[[#This Row],[Last Price]] * (1+ SellingPriceToConsiderBasedOnTargetPercentage)</f>
        <v>713.79750000000001</v>
      </c>
      <c r="GE31" s="41"/>
      <c r="GF31" s="40"/>
      <c r="GG31" s="31">
        <f>SnapshotTable[[#This Row],[Booked Sale Shares]] * SnapshotTable[[#This Row],[Booked Sale Price]]</f>
        <v>0</v>
      </c>
      <c r="GH31" s="31" t="str">
        <f>IF(SnapshotTable[[#This Row],[Equity Basis Total]] &gt; 0, SnapshotTable[[#This Row],[Equity Basis Per Share]] * SnapshotTable[[#This Row],[Booked Sale Shares]], "")</f>
        <v/>
      </c>
      <c r="GI31" s="31">
        <f>IF(SnapshotTable[[#This Row],[Sale Proceeds]]&gt;0, SnapshotTable[[#This Row],[Sale Proceeds]] - SnapshotTable[[#This Row],[Sale Basis]], 0)</f>
        <v>0</v>
      </c>
      <c r="GJ31" s="27" t="str">
        <f>IF(SnapshotTable[[#This Row],[Sale G/L]]&gt;0, SnapshotTable[[#This Row],[Sale G/L]] / SnapshotTable[[#This Row],[Sale Basis]], IF(ISNUMBER(SnapshotTable[[#This Row],[SC Exercise P&amp;L (TAX)]]), SnapshotTable[[#This Row],[SC Exercise P&amp;L (TAX)]] / SnapshotTable[[#This Row],[SC Basis]], ""))</f>
        <v/>
      </c>
      <c r="GK31" s="27" t="s">
        <v>515</v>
      </c>
      <c r="GL31" s="43" t="str">
        <f>IF(AND(SnapshotTable[[#This Row],[LP Exp Date]]&gt;0,SnapshotTable[[#This Row],[LP Strike Price]]&gt;0), [1]!ToOptionSymbol(SnapshotTable[[#This Row],[Symbol]], SnapshotTable[[#This Row],[LP Strike Price]],SnapshotTable[[#This Row],[LP Exp Date]],1), "")</f>
        <v/>
      </c>
      <c r="GM31" s="30" t="str">
        <f>IF(LEN(SnapshotTable[[#This Row],[LP Symbol]])&gt;0, 1, "")</f>
        <v/>
      </c>
      <c r="GN31" s="43" t="str">
        <f>IF(AND(SnapshotTable[[#This Row],[SP Exp Date]]&gt;0,SnapshotTable[[#This Row],[SP Strike Price]]&gt;0), [1]!ToOptionSymbol(SnapshotTable[[#This Row],[Symbol]], SnapshotTable[[#This Row],[SP Strike Price]],SnapshotTable[[#This Row],[SP Exp Date]],1), "")</f>
        <v/>
      </c>
      <c r="GO31" s="30" t="str">
        <f>IF(LEN(SnapshotTable[[#This Row],[SP Symbol]])&gt;0, 1, "")</f>
        <v/>
      </c>
      <c r="GP31" s="43" t="str">
        <f>IF(AND(SnapshotTable[[#This Row],[LC Exp Date]]&gt;0,SnapshotTable[[#This Row],[LC Strike Price]]&gt;0), [1]!ToOptionSymbol(SnapshotTable[[#This Row],[Symbol]], SnapshotTable[[#This Row],[LC Strike Price]],SnapshotTable[[#This Row],[LC Exp Date]],0), "")</f>
        <v/>
      </c>
      <c r="GQ31" s="30" t="str">
        <f>IF(LEN(SnapshotTable[[#This Row],[LC Symbol]])&gt;0, 1, "")</f>
        <v/>
      </c>
      <c r="GR31" s="43" t="str">
        <f>IF(AND(SnapshotTable[[#This Row],[SC Exp Date]]&gt;0,SnapshotTable[[#This Row],[SC Strike Price]]&gt;0), [1]!ToOptionSymbol(SnapshotTable[[#This Row],[Symbol]], SnapshotTable[[#This Row],[SC Strike Price]],SnapshotTable[[#This Row],[SC Exp Date]],0), "")</f>
        <v/>
      </c>
      <c r="GS31" s="30" t="str">
        <f>IF(LEN(SnapshotTable[[#This Row],[SC Symbol]])&gt;0, 1, "")</f>
        <v/>
      </c>
      <c r="GT31" s="29" t="str">
        <f>IF(COUNT(SnapshotTable[[#This Row],[LP Symbol Count]],SnapshotTable[[#This Row],[SP Symbol Count]],SnapshotTable[[#This Row],[LC Symbol Count]],SnapshotTable[[#This Row],[SC Symbol Count]])&gt;0, "Y", "")</f>
        <v/>
      </c>
      <c r="GU31" s="29"/>
      <c r="GV31" s="216">
        <f>MAX(SnapshotTable[[#This Row],[Equity Basis Total]],SnapshotTable[[#This Row],[Equity Value]]) + (SnapshotTable[[#This Row],[SP Potential Spend]]- SnapshotTable[[#This Row],[SP Premium]] + SnapshotTable[[#This Row],[LP Premium]])+ (SnapshotTable[[#This Row],[LC Premium]] - SnapshotTable[[#This Row],[SC Premium]])</f>
        <v>0</v>
      </c>
      <c r="GW31" s="137" t="str">
        <f>IF(AND(SnapshotTable[[#This Row],[Exposure]] &lt;&gt; 0),SnapshotTable[[#This Row],[Exposure]] / SnapshotTable[[#Totals],[Exposure]], "")</f>
        <v/>
      </c>
      <c r="HK31" s="1"/>
      <c r="HL31" s="1"/>
      <c r="HM31" s="1"/>
      <c r="HN31" s="1"/>
      <c r="HO31" s="1"/>
      <c r="HP31" s="1"/>
    </row>
    <row r="32" spans="2:224" ht="12.75" hidden="1" customHeight="1" x14ac:dyDescent="0.25">
      <c r="B32" s="12" t="s">
        <v>845</v>
      </c>
      <c r="C32" s="385">
        <v>174.87</v>
      </c>
      <c r="D32" s="200"/>
      <c r="E32" s="39">
        <f>SnapshotTable[[#This Row],[Last Price]]*(1 -CrashDiscount)</f>
        <v>148.6395</v>
      </c>
      <c r="F32" s="26" t="s">
        <v>749</v>
      </c>
      <c r="G32" s="26" t="s">
        <v>7</v>
      </c>
      <c r="H32" s="147"/>
      <c r="I32" s="186">
        <v>45138.670138888891</v>
      </c>
      <c r="J32" s="187">
        <v>45138.670138888891</v>
      </c>
      <c r="K32" s="188"/>
      <c r="L32" s="297"/>
      <c r="M32" s="138"/>
      <c r="N32" s="138"/>
      <c r="O32" s="138"/>
      <c r="P32" s="22"/>
      <c r="Q32" s="25"/>
      <c r="R32" s="4" t="str">
        <f>IF(SnapshotTable[[#This Row],[Equity Basis Total]] &gt; 0, SnapshotTable[[#This Row],[Equity Basis Total]] / SnapshotTable[[#This Row],[Equity Shares]], "")</f>
        <v/>
      </c>
      <c r="S32" s="254">
        <f>SnapshotTable[[#This Row],[Last Price]] * SnapshotTable[[#This Row],[Equity Shares]]</f>
        <v>0</v>
      </c>
      <c r="T32" s="254">
        <f>SnapshotTable[[#This Row],[Equity Value]] - SnapshotTable[[#This Row],[Equity Basis Total]]</f>
        <v>0</v>
      </c>
      <c r="U32" s="255" t="str">
        <f>IF(SnapshotTable[[#This Row],[Equity Basis Total]] &gt; 0, SnapshotTable[[#This Row],[Equity G/L]] / SnapshotTable[[#This Row],[Equity Basis Total]], "")</f>
        <v/>
      </c>
      <c r="V32" s="253"/>
      <c r="W32" s="253"/>
      <c r="X32" s="4" t="str">
        <f>IF(AND(ISNUMBER(SnapshotTable[[#This Row],[Equity Basis Per Share]]),ISNUMBER(SnapshotTable[[#This Row],[Equity Target]])),SnapshotTable[[#This Row],[Equity Target]]-SnapshotTable[[#This Row],[Equity Basis Per Share]],"")</f>
        <v/>
      </c>
      <c r="Y32" s="4" t="str">
        <f>IF(AND(ISNUMBER(SnapshotTable[[#This Row],[Equity Basis Per Share]]),ISNUMBER(SnapshotTable[[#This Row],[Equity Stop Loss]])),SnapshotTable[[#This Row],[Equity Stop Loss]]-SnapshotTable[[#This Row],[Equity Basis Per Share]],"")</f>
        <v/>
      </c>
      <c r="Z32" s="260" t="str">
        <f>IFERROR( TEXT(SnapshotTable[[#This Row],[Equity Max Gain Per Share]] /ABS( SnapshotTable[[#This Row],[Equity Max Loss Per Share]]),"0.0 " ) &amp; " : 1", "")</f>
        <v/>
      </c>
      <c r="AA32" s="31" t="str">
        <f>IF(ISNUMBER(SnapshotTable[[#This Row],[Equity Max Gain Per Share]]),SnapshotTable[[#This Row],[Equity Max Gain Per Share]] * SnapshotTable[[#This Row],[Equity Shares]],"")</f>
        <v/>
      </c>
      <c r="AB32" s="31" t="str">
        <f>IF(ISNUMBER(SnapshotTable[[#This Row],[Equity Max Loss Per Share]]),SnapshotTable[[#This Row],[Equity Max Loss Per Share]] * SnapshotTable[[#This Row],[Equity Shares]],"")</f>
        <v/>
      </c>
      <c r="AC32" s="148"/>
      <c r="AD32" s="149"/>
      <c r="AE32" s="31">
        <f>(SnapshotTable[[#This Row],[Annual Dividend Per Share]] / 4) * SnapshotTable[[#This Row],[Equity Shares]]</f>
        <v>0</v>
      </c>
      <c r="AF32" s="31">
        <f>SnapshotTable[[#This Row],[Quarterly Div $]] * 4</f>
        <v>0</v>
      </c>
      <c r="AG32" s="7">
        <f>IF(SnapshotTable[[#This Row],[Annual Dividend Per Share]]&gt;0, SnapshotTable[[#This Row],[Annual Dividend Per Share]]  / SnapshotTable[[#This Row],[Last Price]], 0)</f>
        <v>0</v>
      </c>
      <c r="AH32" s="149"/>
      <c r="AI32" s="5"/>
      <c r="AJ32" s="136">
        <v>171.41</v>
      </c>
      <c r="AK32" s="150" t="str">
        <f>IF(ISNUMBER( SnapshotTable[[#This Row],[EBF Target]]),(SnapshotTable[[#This Row],[EBF Target]] - SnapshotTable[[#This Row],[Last Price]]) / SnapshotTable[[#This Row],[Last Price]], "")</f>
        <v/>
      </c>
      <c r="AL32" s="150" t="str">
        <f>IF(AND(SnapshotTable[[#This Row],[Equity Basis Total]] &gt; 0,ISNUMBER( SnapshotTable[[#This Row],[Long Term Target]])), SnapshotTable[[#This Row],[From Basis $]] / SnapshotTable[[#This Row],[Equity Basis Total]], "")</f>
        <v/>
      </c>
      <c r="AM32" s="9">
        <f>IF( AND(SnapshotTable[[#This Row],[Equity Shares]] &gt;0,ISNUMBER( SnapshotTable[[#This Row],[Long Term Target]])),(SnapshotTable[[#This Row],[Equity Shares]] * SnapshotTable[[#This Row],[Long Term Target]]) - SnapshotTable[[#This Row],[Equity Basis Total]],0)</f>
        <v>0</v>
      </c>
      <c r="AN32" s="9">
        <f>IF( AND(SnapshotTable[[#This Row],[Equity Shares]] &gt;0,ISNUMBER( SnapshotTable[[#This Row],[Long Term Target]])),(SnapshotTable[[#This Row],[Equity Shares]]*SnapshotTable[[#This Row],[Long Term Target]]) - SnapshotTable[[#This Row],[Equity Value]],0)</f>
        <v>0</v>
      </c>
      <c r="AO32" s="150">
        <f>IF(AND(ISNUMBER( SnapshotTable[[#This Row],[Long Term Target]]), ISNUMBER(SnapshotTable[[#This Row],[Last Price]])),(SnapshotTable[[#This Row],[Long Term Target]] - SnapshotTable[[#This Row],[Last Price]]) / SnapshotTable[[#This Row],[Last Price]], "")</f>
        <v>-1.9786126837079018E-2</v>
      </c>
      <c r="AP32" s="5">
        <v>130</v>
      </c>
      <c r="AQ32" s="38" t="s">
        <v>846</v>
      </c>
      <c r="AR32" s="5">
        <v>120</v>
      </c>
      <c r="AS32" s="38" t="s">
        <v>847</v>
      </c>
      <c r="AT32" s="144" t="s">
        <v>432</v>
      </c>
      <c r="AU32" s="185" t="str">
        <f>IF(OR(SnapshotTable[[#This Row],[LP No Fill]]="Y",SnapshotTable[[#This Row],[SP Is Filled]],SnapshotTable[[#This Row],[LC Not Filled]]="Y",SnapshotTable[[#This Row],[SC Is Filled]]),"Y","")</f>
        <v/>
      </c>
      <c r="AV32" s="205"/>
      <c r="AW32" s="211"/>
      <c r="AX32" s="206"/>
      <c r="AY32" s="205" t="str">
        <f>IF(SnapshotTable[[#This Row],[Implied Move]]&gt;0, SnapshotTable[[#This Row],[Last Price]]-SnapshotTable[[#This Row],[Implied Move]],"")</f>
        <v/>
      </c>
      <c r="AZ32" s="205" t="str">
        <f>IF(SnapshotTable[[#This Row],[Implied Move]]&gt;0, SnapshotTable[[#This Row],[Last Price]] + SnapshotTable[[#This Row],[Implied Move]],"")</f>
        <v/>
      </c>
      <c r="BA32" s="302">
        <v>-2.2799999999999998</v>
      </c>
      <c r="BB32" s="318"/>
      <c r="BC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2" s="321"/>
      <c r="BE32" s="5"/>
      <c r="BF32" s="14"/>
      <c r="BG32" s="13"/>
      <c r="BH32" s="13"/>
      <c r="BI32" s="5"/>
      <c r="BJ32" s="134">
        <f>IF(SnapshotTable[[#This Row],[LP Qty]] &gt; 0, SnapshotTable[[#This Row],[LP Qty]] * SnapshotTable[[#This Row],[LP Book Price]] * 100,0)</f>
        <v>0</v>
      </c>
      <c r="BK32" s="134">
        <f>IF(SnapshotTable[[#This Row],[LP Premium]] &gt; 0, SnapshotTable[[#This Row],[LP Qty]] * SnapshotTable[[#This Row],[LP Strike Price]] * 100,0)</f>
        <v>0</v>
      </c>
      <c r="BL32" s="152"/>
      <c r="BM32" s="355" t="str">
        <f>IF(SnapshotTable[[#This Row],[LP Premium]] &gt; 0,SnapshotTable[[#This Row],[LP Exp Date]]-MAX(SnapshotTable[[#This Row],[LP Book Date]], SnapshotTable[[#This Row],[LP Fill Date]]),"")</f>
        <v/>
      </c>
      <c r="BN32" s="355" t="str">
        <f>IF(ISNUMBER( SnapshotTable[[#This Row],[LP Term]]), SnapshotTable[[#This Row],[LP Exp Date]] - MockToday,"")</f>
        <v/>
      </c>
      <c r="BO32" s="161" t="str">
        <f>IF(AND(SnapshotTable[[#This Row],[LP Exp Date]]&gt;0, SnapshotTable[[#This Row],[LP Strike Price]]&gt;0,SnapshotTable[[#This Row],[LP Qty]]&gt;0,SnapshotTable[[#This Row],[LP Book Date]]&gt;0,SnapshotTable[[#This Row],[LP Book Price]]&gt;0,SnapshotTable[[#This Row],[LP Fill Date]]=0),"Y","")</f>
        <v/>
      </c>
      <c r="BP32" s="31" t="str">
        <f>IF(AND(SnapshotTable[[#This Row],[LP No Fill]]&lt;&gt;"Y",SnapshotTable[[#This Row],[LP Contract Value]]&gt;0, SnapshotTable[[#This Row],[LP Qty]]&gt;0), SnapshotTable[[#This Row],[LP Contract Value]]*SnapshotTable[[#This Row],[LP Qty]]*100,"")</f>
        <v/>
      </c>
      <c r="BQ32" s="13"/>
      <c r="BR32" s="5"/>
      <c r="BS32" s="36"/>
      <c r="BT32" s="145"/>
      <c r="BU32" s="13"/>
      <c r="BV32" s="5"/>
      <c r="BW32" s="382" t="b">
        <f>AND(ISNUMBER(SnapshotTable[[#This Row],[SP Exp Date]]), ISNUMBER(SnapshotTable[[#This Row],[SP Strike Price]]), ISNUMBER(SnapshotTable[[#This Row],[SP Qty]]), ISNUMBER(SnapshotTable[[#This Row],[SP Book Date]]), ISNUMBER(SnapshotTable[[#This Row],[SP Book Price]]))</f>
        <v>0</v>
      </c>
      <c r="BX32" s="382" t="b">
        <f>AND(SnapshotTable[[#This Row],[SP Is Booked]], NOT(ISBLANK(SnapshotTable[[#This Row],[SP Fill Date]])))</f>
        <v>0</v>
      </c>
      <c r="BY32" s="33">
        <f>IF(SnapshotTable[[#This Row],[SP Is Booked]], SnapshotTable[[#This Row],[SP Qty]] * SnapshotTable[[#This Row],[SP Book Price]] * 100, 0)</f>
        <v>0</v>
      </c>
      <c r="BZ32" s="339"/>
      <c r="CA32" s="338">
        <f>SnapshotTable[[#This Row],[LP Qty]]</f>
        <v>0</v>
      </c>
      <c r="CB32" s="4" t="str">
        <f>IF(SnapshotTable[[#This Row],[SP Is Booked]], SnapshotTable[[#This Row],[SP Strike Price]] - SnapshotTable[[#This Row],[SP Book Price]], "")</f>
        <v/>
      </c>
      <c r="CC32" s="19" t="str">
        <f>IF(SnapshotTable[[#This Row],[SP Is Booked]],SnapshotTable[[#This Row],[SP Exp Date]]-MAX(SnapshotTable[[#This Row],[SP Book Date]], SnapshotTable[[#This Row],[SP Fill Date]]),"")</f>
        <v/>
      </c>
      <c r="CD32" s="7" t="str">
        <f>IF(SnapshotTable[[#This Row],[SP Is Booked]], SnapshotTable[[#This Row],[SP Book Price]]/SnapshotTable[[#This Row],[SP Strike Price]], "")</f>
        <v/>
      </c>
      <c r="CE32" s="7" t="str">
        <f>IF(ISNUMBER(SnapshotTable[[#This Row],[SP ROO Term]]),SnapshotTable[[#This Row],[SP ROO Term]]*(365/SnapshotTable[[#This Row],[SP Term]]),"")</f>
        <v/>
      </c>
      <c r="CF32" s="221">
        <f>SnapshotTable[[#This Row],[LP Strike Price]] * SnapshotTable[[#This Row],[LP Qty]] * 100</f>
        <v>0</v>
      </c>
      <c r="CG32" s="31">
        <f>IF(ISNUMBER(SnapshotTable[[#This Row],[SP Premium]]), (SnapshotTable[[#This Row],[SP Qty]] * SnapshotTable[[#This Row],[SP Strike Price]]* 100) - SnapshotTable[[#This Row],[LP Protection]], 0)</f>
        <v>0</v>
      </c>
      <c r="CH32" s="7" t="str">
        <f>IF(ISNUMBER(SnapshotTable[[#This Row],[SP Break Even]]),-1 * (SnapshotTable[[#This Row],[SP Break Even]] - SnapshotTable[[#This Row],[Last Price]]) / SnapshotTable[[#This Row],[Last Price]], "")</f>
        <v/>
      </c>
      <c r="CI32" s="31">
        <f>IF(AND(ISNUMBER((SnapshotTable[[#This Row],[SP Potential Spend]])), SnapshotTable[[#This Row],[SP Strike Price]] &gt; SnapshotTable[[#This Row],[Last Price]], SnapshotTable[[#This Row],[SP Is Filled]]), SnapshotTable[[#This Row],[SP Potential Spend]] -  SnapshotTable[[#This Row],[LP Max Value]], 0)</f>
        <v>0</v>
      </c>
      <c r="CJ32" s="229">
        <v>0.5</v>
      </c>
      <c r="CK32" s="31">
        <f>IF(ISNUMBER(SnapshotTable[[#This Row],[SP Potential Spend]]),IF(ISNUMBER(SnapshotTable[[#This Row],[SP POW]]), SnapshotTable[[#This Row],[SP POW]] * SnapshotTable[[#This Row],[SP Potential Spend]], SnapshotTable[[#This Row],[SP Potential Spend]]), "")</f>
        <v>0</v>
      </c>
      <c r="CL32" s="162">
        <f>IF(NOT(SnapshotTable[[#This Row],[SP Is Filled]]),(SnapshotTable[[#This Row],[SP Qty]] * SnapshotTable[[#This Row],[SP Strike Price]] * 100) - SnapshotTable[[#This Row],[LP Max Value]],"")</f>
        <v>0</v>
      </c>
      <c r="CM32" s="31" t="str">
        <f>IF(SnapshotTable[[#This Row],[SP Actual Spend]]&lt;&gt;0, ((SnapshotTable[[#This Row],[SP Strike Price]]-SnapshotTable[[#This Row],[Last Price]]) *(SnapshotTable[[#This Row],[SP Qty]]*100) - SnapshotTable[[#This Row],[SP Premium]]) * - 1, "")</f>
        <v/>
      </c>
      <c r="CN32" s="76"/>
      <c r="CO32" s="339"/>
      <c r="CP32" s="4" t="str">
        <f>IF(SnapshotTable[[#This Row],[SP Is Filled]], btc_max_buyback_amount(SnapshotTable[[#This Row],[SP Fill Date]],SnapshotTable[[#This Row],[SP Exp Date]], SnapshotTable[[#This Row],[SP Book Price]]),"")</f>
        <v/>
      </c>
      <c r="CQ32" s="76"/>
      <c r="CR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2" s="153" t="str">
        <f>IF(SnapshotTable[[#This Row],[SP Is Filled]], btc_next_cutoff_date(SnapshotTable[[#This Row],[SP Fill Date]],SnapshotTable[[#This Row],[SP Exp Date]]),"")</f>
        <v/>
      </c>
      <c r="CT32" s="220" t="str" cm="1">
        <f t="array" ref="CT32">IF(SnapshotTable[[#This Row],[SP Is Filled]], btc_should_buy_back(SnapshotTable[[#This Row],[SP Fill Date]], SnapshotTable[[#This Row],[SP Exp Date]], SnapshotTable[[#This Row],[SP Book Price]], SnapshotTable[[#This Row],[SP Current Ask]], MockToday, SnapshotTable[[#This Row],[SP Buyback Override]]),"")</f>
        <v/>
      </c>
      <c r="CU32" s="154"/>
      <c r="CV32" s="220"/>
      <c r="CW32" s="348" t="str">
        <f>IF(ISNUMBER( SnapshotTable[[#This Row],[SP Term]]), SnapshotTable[[#This Row],[SP Exp Date]] - MockToday,"")</f>
        <v/>
      </c>
      <c r="CX32" s="31" t="str">
        <f>IF(SnapshotTable[[#This Row],[SP Is Filled]],SnapshotTable[[#This Row],[SP Buyback Price to Use]] * 100 * SnapshotTable[[#This Row],[SP Qty]], "")</f>
        <v/>
      </c>
      <c r="CY32" s="4" t="str">
        <f>IF(ISNUMBER(SnapshotTable[[#This Row],[SP Strike Price]]), SnapshotTable[[#This Row],[SP Strike Price]] * (1 - SP_MaxLoss_StrikePct), "")</f>
        <v/>
      </c>
      <c r="CZ32" s="31" t="str">
        <f>IF(ISNUMBER(SnapshotTable[[#This Row],[SP Strike  Stop Per Share]]),SnapshotTable[[#This Row],[SP Premium]] - ((SnapshotTable[[#This Row],[SP Strike Price]]-SnapshotTable[[#This Row],[SP Strike  Stop Per Share]]) *(SnapshotTable[[#This Row],[SP Qty]] * 100)),"")</f>
        <v/>
      </c>
      <c r="DA32" s="4" t="str">
        <f>IF(AND(ISNUMBER(SnapshotTable[[#This Row],[SP Premium]]),SnapshotTable[[#This Row],[SP Premium]]&gt;0), SnapshotTable[[#This Row],[SP Book Price]] * (1 + SP_MaxLoss_OptionPct), "")</f>
        <v/>
      </c>
      <c r="DB32" s="31" t="str">
        <f>IF(ISNUMBER(SnapshotTable[[#This Row],[SP Option  Stop Contract]]),(SnapshotTable[[#This Row],[SP Option  Stop Contract]] *(SnapshotTable[[#This Row],[SP Qty]] * 100) - SnapshotTable[[#This Row],[SP Premium]]),"")</f>
        <v/>
      </c>
      <c r="DC32" s="4"/>
      <c r="DD32" s="4"/>
      <c r="DE32" s="4" t="str">
        <f>IF(AND(SnapshotTable[[#This Row],[SP Qty]]&gt;0, SnapshotTable[[#This Row],[SP Stop To Use]]&gt;0),SnapshotTable[[#This Row],[SP Premium]] - ( SnapshotTable[[#This Row],[SP Qty]] * SnapshotTable[[#This Row],[SP Stop To Use]] * 100), "")</f>
        <v/>
      </c>
      <c r="DF32" s="31" t="str">
        <f>IF(AND(SnapshotTable[[#This Row],[SP Qty]]&gt;0,SnapshotTable[[#This Row],[SP Current Ask]]&gt;0), SnapshotTable[[#This Row],[SP Qty]] * SnapshotTable[[#This Row],[SP Current Ask]] * -100, "")</f>
        <v/>
      </c>
      <c r="DG32" s="31" t="str">
        <f>IF(ISNUMBER((SnapshotTable[[#This Row],[SP Total Value]])), SnapshotTable[[#This Row],[SP Premium]] + SnapshotTable[[#This Row],[SP Total Value]], "")</f>
        <v/>
      </c>
      <c r="DH32" s="272" t="str">
        <f>IF(ISNUMBER((SnapshotTable[[#This Row],[SP Total Value]])), SnapshotTable[[#This Row],[SP Gain Loss]] / SnapshotTable[[#This Row],[SP Premium]], "")</f>
        <v/>
      </c>
      <c r="DI32" s="369"/>
      <c r="DJ32" s="136"/>
      <c r="DK32" s="146"/>
      <c r="DL32" s="13"/>
      <c r="DM32" s="13"/>
      <c r="DO32" s="31">
        <f>IF(SnapshotTable[[#This Row],[LC Symbol Count]]=1, SnapshotTable[[#This Row],[LC Qty]] * SnapshotTable[[#This Row],[LC Book Price]] * 100, 0)</f>
        <v>0</v>
      </c>
      <c r="DP32" s="161" t="str">
        <f>IF(AND(SnapshotTable[[#This Row],[LC Exp Date]]&gt;0, SnapshotTable[[#This Row],[LC Strike Price]]&gt;0,SnapshotTable[[#This Row],[LC Qty]]&gt;0,SnapshotTable[[#This Row],[LC Book Date]]&gt;0,SnapshotTable[[#This Row],[LC Book Price]]&gt;0,SnapshotTable[[#This Row],[LC Fill Date]]=0),"Y","")</f>
        <v/>
      </c>
      <c r="DQ32" s="356" t="str">
        <f>IF(SnapshotTable[[#This Row],[LC Premium]] &gt; 0,SnapshotTable[[#This Row],[LC Exp Date]]-MAX(SnapshotTable[[#This Row],[LC Book Date]], SnapshotTable[[#This Row],[LC Fill Date]]),"")</f>
        <v/>
      </c>
      <c r="DR32" s="356" t="str">
        <f>IF(ISNUMBER(SnapshotTable[[#This Row],[LC Term]]), SnapshotTable[[#This Row],[LC Exp Date]] - MockToday, "")</f>
        <v/>
      </c>
      <c r="DS32" s="219" t="str">
        <f>IF(SnapshotTable[[#This Row],[LC Premium]]&gt;0,SnapshotTable[[#This Row],[LC Strike Price]] + SnapshotTable[[#This Row],[LC Book Price]],"")</f>
        <v/>
      </c>
      <c r="DU32" s="9" t="str">
        <f>IF(AND(SnapshotTable[[#This Row],[LC Symbol Count]]&gt;0, SnapshotTable[[#This Row],[LC Contract Value]]&gt;0), SnapshotTable[[#This Row],[LC Contract Value]] * SnapshotTable[[#This Row],[LC Qty]] * 100, "")</f>
        <v/>
      </c>
      <c r="DV32" s="9" t="str">
        <f>IF(AND(ISNUMBER(SnapshotTable[[#This Row],[LC Total Value]]), SnapshotTable[[#This Row],[LC Not Filled]]&lt;&gt;"Y"), SnapshotTable[[#This Row],[LC Total Value]]-SnapshotTable[[#This Row],[LC Premium]],"")</f>
        <v/>
      </c>
      <c r="DW32" s="225" t="str">
        <f>IF(ISNUMBER(SnapshotTable[[#This Row],[LC Actual Gain Loss]]), SnapshotTable[[#This Row],[LC Actual Gain Loss]] / SnapshotTable[[#This Row],[LC Premium]],"")</f>
        <v/>
      </c>
      <c r="DX32" s="269" t="str">
        <f>IF(ISNUMBER(SnapshotTable[[#This Row],[LC Book Price]]),SnapshotTable[[#This Row],[LC Book Price]] * 1.5,"")</f>
        <v/>
      </c>
      <c r="DY32" s="250" t="str">
        <f>IF(SnapshotTable[[#This Row],[LC Premium]]&gt;0, SnapshotTable[[#This Row],[LC Next Target]] * SnapshotTable[[#This Row],[LC Qty]] * 100,"")</f>
        <v/>
      </c>
      <c r="DZ32" s="250" t="str">
        <f>IF(ISNUMBER(SnapshotTable[[#This Row],[LC Target Gross]]), SnapshotTable[[#This Row],[LC Target Gross]] - SnapshotTable[[#This Row],[LC Premium]], "")</f>
        <v/>
      </c>
      <c r="EA32" s="283" t="str">
        <f>IF(ISNUMBER(SnapshotTable[[#This Row],[LC Target Gain Loss]]), SnapshotTable[[#This Row],[LC Target Gain Loss]]/SnapshotTable[[#This Row],[LC Premium]], "")</f>
        <v/>
      </c>
      <c r="EB32" s="247"/>
      <c r="EC32" s="268" t="str">
        <f>IF(SnapshotTable[[#This Row],[LC Premium]]&gt;0, SnapshotTable[[#This Row],[LC Book Price]] * (1 - LC_StopLoss_Pct),"")</f>
        <v/>
      </c>
      <c r="ED32" s="269"/>
      <c r="EE32" s="268" t="str">
        <f>IF(ISNUMBER(SnapshotTable[[#This Row],[LC Contract Value]]),IF(ISNUMBER(SnapshotTable[[#This Row],[LC Stop Loss Override]]), SnapshotTable[[#This Row],[LC Stop Loss Override]],SnapshotTable[[#This Row],[LC Stop Loss Calc Target]]),"")</f>
        <v/>
      </c>
      <c r="EF32" s="31" t="str">
        <f>IF(ISNUMBER(SnapshotTable[[#This Row],[LC Stop  To Use]]), (SnapshotTable[[#This Row],[LC Stop  To Use]] * SnapshotTable[[#This Row],[LC Qty]] * 100),"")</f>
        <v/>
      </c>
      <c r="EG32" s="9" t="str">
        <f>IF(ISNUMBER(SnapshotTable[[#This Row],[LC Total Value]]),SnapshotTable[[#This Row],[LC Stop Loss Amount]] - SnapshotTable[[#This Row],[LC Premium]],"")</f>
        <v/>
      </c>
      <c r="EH32" s="9">
        <f>IF(ISNUMBER(SnapshotTable[[#This Row],[LC Premium]]), SnapshotTable[[#This Row],[LC Qty]] * 100 * SnapshotTable[[#This Row],[LC Strike Price]], "")</f>
        <v>0</v>
      </c>
      <c r="EI32" s="225" t="str">
        <f>IF(AND(ISNUMBER(SnapshotTable[[#This Row],[LC Total Value]]),SnapshotTable[[#This Row],[LC Total Value]]&gt;0),SnapshotTable[[#This Row],[LC Stop Gain Loss]]  / SnapshotTable[[#This Row],[LC Premium]],"")</f>
        <v/>
      </c>
      <c r="EJ32" s="35">
        <f>IF(ISNUMBER(SnapshotTable[[#This Row],[Equity Shares]]),TRUNC(SnapshotTable[[#This Row],[Equity Shares]] / 100),0) + SnapshotTable[[#This Row],[LC Qty]]</f>
        <v>0</v>
      </c>
      <c r="EK32" s="145"/>
      <c r="EL32" s="136"/>
      <c r="EM32" s="146"/>
      <c r="EN32" s="145"/>
      <c r="EO32" s="145"/>
      <c r="EP32" s="136"/>
      <c r="EQ32" s="382" t="b">
        <f>AND(ISNUMBER(SnapshotTable[[#This Row],[SC Exp Date]]), ISNUMBER(SnapshotTable[[#This Row],[SC Strike Price]]), ISNUMBER(SnapshotTable[[#This Row],[SC Qty]]), ISNUMBER(SnapshotTable[[#This Row],[SC Book Date]]), ISNUMBER(SnapshotTable[[#This Row],[SC Book Price]]))</f>
        <v>0</v>
      </c>
      <c r="ER32" s="382" t="b">
        <f>AND(SnapshotTable[[#This Row],[SC Is Booked]], NOT(ISBLANK(SnapshotTable[[#This Row],[SC Fill Date]])))</f>
        <v>0</v>
      </c>
      <c r="ES32" s="340"/>
      <c r="ET32" s="34" t="str">
        <f>IF(AND(ISNUMBER(SnapshotTable[[#This Row],[SC Exp Date]]), ISNUMBER(SnapshotTable[[#This Row],[SC Book Date]])), SnapshotTable[[#This Row],[SC Exp Date]] - MAX(SnapshotTable[[#This Row],[SC Book Date]], SnapshotTable[[#This Row],[SC Fill Date]]) + 1, "")</f>
        <v/>
      </c>
      <c r="EU32" s="34" t="str">
        <f>IF(ISNUMBER(SnapshotTable[[#This Row],[SC Term]]), SnapshotTable[[#This Row],[SC Exp Date]]- MockToday, "")</f>
        <v/>
      </c>
      <c r="EV32" s="31">
        <f>IF(SnapshotTable[[#This Row],[SC Is Booked]], SnapshotTable[[#This Row],[SC Qty]] * SnapshotTable[[#This Row],[SC Book Price]] * 100, 0)</f>
        <v>0</v>
      </c>
      <c r="EW32" s="4" t="str">
        <f>IF(AND(ISNUMBER(SnapshotTable[[#This Row],[Last Price]]), ISNUMBER( SnapshotTable[[#This Row],[SC Book Price]])), SnapshotTable[[#This Row],[Last Price]] - SnapshotTable[[#This Row],[SC Book Price]],"")</f>
        <v/>
      </c>
      <c r="EX32" s="219" t="str">
        <f>IF(SnapshotTable[[#This Row],[SC Is Booked]],IF(SnapshotTable[[#This Row],[SC Intrinsic Value]] &gt; 0, SnapshotTable[[#This Row],[SC Strike Price]], SnapshotTable[[#This Row],[Last Price]]), "")</f>
        <v/>
      </c>
      <c r="EY32" s="4">
        <f>IF(SnapshotTable[[#This Row],[SC Is Booked]], (MinimumPremiumRequired * SnapshotTable[[#This Row],[SC Basis]] * SnapshotTable[[#This Row],[SC Term]]), 0)</f>
        <v>0</v>
      </c>
      <c r="EZ32" s="268"/>
      <c r="FA32" s="204"/>
      <c r="FB32" s="340"/>
      <c r="FC32" s="4">
        <f>IF(SnapshotTable[[#This Row],[SC Is Filled]], btc_max_buyback_amount(SnapshotTable[[#This Row],[SC Fill Date]],SnapshotTable[[#This Row],[SC Exp Date]], SnapshotTable[[#This Row],[SC Book Price]]),0)</f>
        <v>0</v>
      </c>
      <c r="FD32" s="5"/>
      <c r="FE32" s="142" t="str">
        <f>IF(SnapshotTable[[#This Row],[SC Is Filled]], btc_next_cutoff_date(SnapshotTable[[#This Row],[SC Fill Date]],SnapshotTable[[#This Row],[SC Exp Date]]),"")</f>
        <v/>
      </c>
      <c r="FF32" s="4" t="str" cm="1">
        <f t="array" ref="FF32">IF(SnapshotTable[[#This Row],[SC Is Filled]], btc_should_buy_back(SnapshotTable[[#This Row],[SC Fill Date]], SnapshotTable[[#This Row],[SC Exp Date]], SnapshotTable[[#This Row],[SC Book Price]], SnapshotTable[[#This Row],[SC Current Ask]], MockToday, SnapshotTable[[#This Row],[SC Buyback Override]]),"")</f>
        <v/>
      </c>
      <c r="FG32" s="4">
        <f>IF(SnapshotTable[[#This Row],[SC Is Filled]], MAX(0,SnapshotTable[[#This Row],[Last Price]]  - SnapshotTable[[#This Row],[SC Strike Price]]), 0)</f>
        <v>0</v>
      </c>
      <c r="FH32" s="352">
        <f>IF(SnapshotTable[[#This Row],[SC Is Filled]], IF(ISNUMBER(SnapshotTable[[#This Row],[SC Current Ask]]), SnapshotTable[[#This Row],[SC Current Ask]], SnapshotTable[[#This Row],[SC Book Price]]) - SnapshotTable[[#This Row],[SC Intrinsic Value]], 0)</f>
        <v>0</v>
      </c>
      <c r="FI32" s="141"/>
      <c r="FJ32" s="32" t="str">
        <f>IF(SnapshotTable[[#This Row],[SC Is Filled]],100 * SnapshotTable[[#This Row],[SC Qty]] * IF(ISNUMBER(SnapshotTable[[#This Row],[SC Buyback Override]]), SnapshotTable[[#This Row],[SC Buyback Override]], SnapshotTable[[#This Row],[SC Current Ask]]), "")</f>
        <v/>
      </c>
      <c r="FK32" s="235" t="str">
        <f>IF(SnapshotTable[[#This Row],[SC Time Val]]&gt;0, SnapshotTable[[#This Row],[SC Time Val]] / SnapshotTable[[#This Row],[Last Price]],"")</f>
        <v/>
      </c>
      <c r="FL32" s="280" t="str">
        <f>IF(SnapshotTable[[#This Row],[SC Is Booked]], ((SnapshotTable[[#This Row],[Last Price]] -SnapshotTable[[#This Row],[SC Strike Price]]) / SnapshotTable[[#This Row],[Last Price]]) * -1, "")</f>
        <v/>
      </c>
      <c r="FM32" s="155" t="str">
        <f>IF(SnapshotTable[[#This Row],[SC Is Booked]],  (SnapshotTable[[#This Row],[SC Qty]] * 100 * SnapshotTable[[#This Row],[SC Strike Price]]) - SnapshotTable[[#This Row],[SC Current Ask]], "")</f>
        <v/>
      </c>
      <c r="FN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2" s="31" t="str">
        <f>IF(AND(ISNUMBER(SnapshotTable[[#This Row],[SC Exercise Gross]]), ISNUMBER(SnapshotTable[[#This Row],[Equity Basis Per Share]] )), SnapshotTable[[#This Row],[SC Exercise Gross]] - SnapshotTable[[#This Row],[Equity Basis Total]] +  SnapshotTable[[#This Row],[SC Premium]], "")</f>
        <v/>
      </c>
      <c r="FP32" s="5" t="str">
        <f>IF(ISNUMBER(SnapshotTable[[#This Row],[SC Exercise Gross]]), (SnapshotTable[[#This Row],[SC Exercise Gross]]) / (SnapshotTable[[#This Row],[SC Qty]] * 100), "")</f>
        <v/>
      </c>
      <c r="FQ32" s="27" t="str">
        <f>IF(SnapshotTable[[#This Row],[SC Is Booked]],SnapshotTable[[#This Row],[SC Time Val]] /SnapshotTable[[#This Row],[SC Basis]], "")</f>
        <v/>
      </c>
      <c r="FR32" s="27" t="str" cm="1">
        <f t="array" ref="FR32">IF(AND(ISNUMBER(SnapshotTable[[#This Row],[SC Term]]),ISNUMBER(SnapshotTable[[#This Row],[SC Simple ROO]])), EllmanAnnualize(SnapshotTable[[#This Row],[SC DTE]], SnapshotTable[[#This Row],[SC Simple ROO]] ),"")</f>
        <v/>
      </c>
      <c r="FS32" s="4">
        <f>IF(SnapshotTable[[#This Row],[SC Strike Price]] &gt; SnapshotTable[[#This Row],[Last Price]], SnapshotTable[[#This Row],[SC Strike Price]] - SnapshotTable[[#This Row],[Last Price]],0)</f>
        <v>0</v>
      </c>
      <c r="FT32" s="27" t="str">
        <f>IF(AND(ISNUMBER(SnapshotTable[[#This Row],[SC Upside Potential]]), SnapshotTable[[#This Row],[SC Upside Potential]] &gt; 0),(SnapshotTable[[#This Row],[SC Upside Potential]]/ SnapshotTable[[#This Row],[ACB]]),"")</f>
        <v/>
      </c>
      <c r="FU32" s="304" t="str">
        <f>IF(SnapshotTable[[#This Row],[SC Intrinsic Value]] &gt; 0,SnapshotTable[[#This Row],[SC Intrinsic Value]],"")</f>
        <v/>
      </c>
      <c r="FV32" s="27" t="str">
        <f>IF(AND( ISNUMBER( SnapshotTable[[#This Row],[ACB]]),ISNUMBER(SnapshotTable[[#This Row],[SC Downside Protect]])),SnapshotTable[[#This Row],[SC Downside Protect]] / SnapshotTable[[#This Row],[ACB]],"")</f>
        <v/>
      </c>
      <c r="FW32" s="221" t="str">
        <f>IF(AND(ISNUMBER(SnapshotTable[[#This Row],[SC Simple ROO]]),SnapshotTable[[#This Row],[SC Simple ROO]] &gt; 0), SnapshotTable[[#This Row],[SC Premium]] + (SnapshotTable[[#This Row],[SC Qty]] * SnapshotTable[[#This Row],[SC Upside Potential]]), "")</f>
        <v/>
      </c>
      <c r="FX32" s="280" t="str" cm="1">
        <f t="array" ref="FX32">IF(ISNUMBER(SnapshotTable[[#This Row],[SC Max Dollars]]), annualize(SnapshotTable[[#This Row],[SC Term]],(SnapshotTable[[#This Row],[SC Max Dollars]]/SnapshotTable[[#This Row],[SC Basis]])),"")</f>
        <v/>
      </c>
      <c r="FY32" s="221" t="str">
        <f>IF(AND(SnapshotTable[[#This Row],[SC Qty]]&gt;0,SnapshotTable[[#This Row],[SC Current Ask]]&gt;0), SnapshotTable[[#This Row],[SC Qty]] * SnapshotTable[[#This Row],[SC Current Ask]] * -100, "")</f>
        <v/>
      </c>
      <c r="FZ32" s="31" t="str">
        <f>IF(ISNUMBER((SnapshotTable[[#This Row],[SC Current Value]])), SnapshotTable[[#This Row],[SC Premium]] + SnapshotTable[[#This Row],[SC Current Value]], "")</f>
        <v/>
      </c>
      <c r="GA32" s="272" t="str">
        <f>IFERROR( IF(ISNUMBER((SnapshotTable[[#This Row],[SC Current Value]])), SnapshotTable[[#This Row],[SC Gain Loss]] / SnapshotTable[[#This Row],[SC Premium]], ""), "")</f>
        <v/>
      </c>
      <c r="GB32" s="42">
        <f>SnapshotTable[[#This Row],[Equity Shares]] * SaleSharesToConsiderPercentage</f>
        <v>0</v>
      </c>
      <c r="GC32" s="40">
        <f>SnapshotTable[[#This Row],[Long Term Target]] * SellingPriceToConsiderBasedOnTargetPercentage</f>
        <v>162.83949999999999</v>
      </c>
      <c r="GD32" s="40">
        <f>SnapshotTable[[#This Row],[Last Price]] * (1+ SellingPriceToConsiderBasedOnTargetPercentage)</f>
        <v>340.99650000000003</v>
      </c>
      <c r="GE32" s="41"/>
      <c r="GF32" s="40"/>
      <c r="GG32" s="31">
        <f>SnapshotTable[[#This Row],[Booked Sale Shares]] * SnapshotTable[[#This Row],[Booked Sale Price]]</f>
        <v>0</v>
      </c>
      <c r="GH32" s="31" t="str">
        <f>IF(SnapshotTable[[#This Row],[Equity Basis Total]] &gt; 0, SnapshotTable[[#This Row],[Equity Basis Per Share]] * SnapshotTable[[#This Row],[Booked Sale Shares]], "")</f>
        <v/>
      </c>
      <c r="GI32" s="31">
        <f>IF(SnapshotTable[[#This Row],[Sale Proceeds]]&gt;0, SnapshotTable[[#This Row],[Sale Proceeds]] - SnapshotTable[[#This Row],[Sale Basis]], 0)</f>
        <v>0</v>
      </c>
      <c r="GJ32" s="27" t="str">
        <f>IF(SnapshotTable[[#This Row],[Sale G/L]]&gt;0, SnapshotTable[[#This Row],[Sale G/L]] / SnapshotTable[[#This Row],[Sale Basis]], IF(ISNUMBER(SnapshotTable[[#This Row],[SC Exercise P&amp;L (TAX)]]), SnapshotTable[[#This Row],[SC Exercise P&amp;L (TAX)]] / SnapshotTable[[#This Row],[SC Basis]], ""))</f>
        <v/>
      </c>
      <c r="GK32" s="27"/>
      <c r="GL32" s="43" t="str">
        <f>IF(AND(SnapshotTable[[#This Row],[LP Exp Date]]&gt;0,SnapshotTable[[#This Row],[LP Strike Price]]&gt;0), [1]!ToOptionSymbol(SnapshotTable[[#This Row],[Symbol]], SnapshotTable[[#This Row],[LP Strike Price]],SnapshotTable[[#This Row],[LP Exp Date]],1), "")</f>
        <v/>
      </c>
      <c r="GM32" s="30" t="str">
        <f>IF(LEN(SnapshotTable[[#This Row],[LP Symbol]])&gt;0, 1, "")</f>
        <v/>
      </c>
      <c r="GN32" s="43" t="str">
        <f>IF(AND(SnapshotTable[[#This Row],[SP Exp Date]]&gt;0,SnapshotTable[[#This Row],[SP Strike Price]]&gt;0), [1]!ToOptionSymbol(SnapshotTable[[#This Row],[Symbol]], SnapshotTable[[#This Row],[SP Strike Price]],SnapshotTable[[#This Row],[SP Exp Date]],1), "")</f>
        <v/>
      </c>
      <c r="GO32" s="30" t="str">
        <f>IF(LEN(SnapshotTable[[#This Row],[SP Symbol]])&gt;0, 1, "")</f>
        <v/>
      </c>
      <c r="GP32" s="43" t="str">
        <f>IF(AND(SnapshotTable[[#This Row],[LC Exp Date]]&gt;0,SnapshotTable[[#This Row],[LC Strike Price]]&gt;0), [1]!ToOptionSymbol(SnapshotTable[[#This Row],[Symbol]], SnapshotTable[[#This Row],[LC Strike Price]],SnapshotTable[[#This Row],[LC Exp Date]],0), "")</f>
        <v/>
      </c>
      <c r="GQ32" s="30" t="str">
        <f>IF(LEN(SnapshotTable[[#This Row],[LC Symbol]])&gt;0, 1, "")</f>
        <v/>
      </c>
      <c r="GR32" s="43" t="str">
        <f>IF(AND(SnapshotTable[[#This Row],[SC Exp Date]]&gt;0,SnapshotTable[[#This Row],[SC Strike Price]]&gt;0), [1]!ToOptionSymbol(SnapshotTable[[#This Row],[Symbol]], SnapshotTable[[#This Row],[SC Strike Price]],SnapshotTable[[#This Row],[SC Exp Date]],0), "")</f>
        <v/>
      </c>
      <c r="GS32" s="30" t="str">
        <f>IF(LEN(SnapshotTable[[#This Row],[SC Symbol]])&gt;0, 1, "")</f>
        <v/>
      </c>
      <c r="GT32" s="29" t="str">
        <f>IF(COUNT(SnapshotTable[[#This Row],[LP Symbol Count]],SnapshotTable[[#This Row],[SP Symbol Count]],SnapshotTable[[#This Row],[LC Symbol Count]],SnapshotTable[[#This Row],[SC Symbol Count]])&gt;0, "Y", "")</f>
        <v/>
      </c>
      <c r="GU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2" s="216">
        <f>MAX(SnapshotTable[[#This Row],[Equity Basis Total]],SnapshotTable[[#This Row],[Equity Value]]) + (SnapshotTable[[#This Row],[SP Potential Spend]]- SnapshotTable[[#This Row],[SP Premium]] + SnapshotTable[[#This Row],[LP Premium]])+ (SnapshotTable[[#This Row],[LC Premium]] - SnapshotTable[[#This Row],[SC Premium]])</f>
        <v>0</v>
      </c>
      <c r="GW32" s="137" t="str">
        <f>IF(AND(SnapshotTable[[#This Row],[Exposure]] &lt;&gt; 0),SnapshotTable[[#This Row],[Exposure]] / SnapshotTable[[#Totals],[Exposure]], "")</f>
        <v/>
      </c>
      <c r="HK32" s="1"/>
      <c r="HL32" s="1"/>
      <c r="HM32" s="1"/>
      <c r="HN32" s="1"/>
      <c r="HO32" s="1"/>
      <c r="HP32" s="1"/>
    </row>
    <row r="33" spans="2:224" ht="12.75" hidden="1" customHeight="1" x14ac:dyDescent="0.25">
      <c r="B33" s="12" t="s">
        <v>732</v>
      </c>
      <c r="C33" s="385">
        <v>5.78</v>
      </c>
      <c r="D33" s="200" t="s">
        <v>467</v>
      </c>
      <c r="E33" s="39">
        <f>SnapshotTable[[#This Row],[Last Price]]*(1 -CrashDiscount)</f>
        <v>4.9130000000000003</v>
      </c>
      <c r="F33" s="26" t="s">
        <v>491</v>
      </c>
      <c r="G33" s="26" t="s">
        <v>490</v>
      </c>
      <c r="H33" s="147"/>
      <c r="I33" s="186">
        <v>44781.673611111109</v>
      </c>
      <c r="J33" s="187">
        <v>44781.673611111109</v>
      </c>
      <c r="K33" s="188"/>
      <c r="L33" s="297"/>
      <c r="M33" s="138"/>
      <c r="N33" s="138"/>
      <c r="O33" s="138"/>
      <c r="P33" s="22"/>
      <c r="Q33" s="25"/>
      <c r="R33" s="4" t="str">
        <f>IF(SnapshotTable[[#This Row],[Equity Basis Total]] &gt; 0, SnapshotTable[[#This Row],[Equity Basis Total]] / SnapshotTable[[#This Row],[Equity Shares]], "")</f>
        <v/>
      </c>
      <c r="S33" s="254">
        <f>SnapshotTable[[#This Row],[Last Price]] * SnapshotTable[[#This Row],[Equity Shares]]</f>
        <v>0</v>
      </c>
      <c r="T33" s="254">
        <f>SnapshotTable[[#This Row],[Equity Value]] - SnapshotTable[[#This Row],[Equity Basis Total]]</f>
        <v>0</v>
      </c>
      <c r="U33" s="255" t="str">
        <f>IF(SnapshotTable[[#This Row],[Equity Basis Total]] &gt; 0, SnapshotTable[[#This Row],[Equity G/L]] / SnapshotTable[[#This Row],[Equity Basis Total]], "")</f>
        <v/>
      </c>
      <c r="V33" s="253"/>
      <c r="W33" s="253"/>
      <c r="X33" s="4" t="str">
        <f>IF(AND(ISNUMBER(SnapshotTable[[#This Row],[Equity Basis Per Share]]),ISNUMBER(SnapshotTable[[#This Row],[Equity Target]])),SnapshotTable[[#This Row],[Equity Target]]-SnapshotTable[[#This Row],[Equity Basis Per Share]],"")</f>
        <v/>
      </c>
      <c r="Y33" s="4" t="str">
        <f>IF(AND(ISNUMBER(SnapshotTable[[#This Row],[Equity Basis Per Share]]),ISNUMBER(SnapshotTable[[#This Row],[Equity Stop Loss]])),SnapshotTable[[#This Row],[Equity Stop Loss]]-SnapshotTable[[#This Row],[Equity Basis Per Share]],"")</f>
        <v/>
      </c>
      <c r="Z33" s="260" t="str">
        <f>IFERROR( TEXT(SnapshotTable[[#This Row],[Equity Max Gain Per Share]] /ABS( SnapshotTable[[#This Row],[Equity Max Loss Per Share]]),"0.0 " ) &amp; " : 1", "")</f>
        <v/>
      </c>
      <c r="AA33" s="31" t="str">
        <f>IF(ISNUMBER(SnapshotTable[[#This Row],[Equity Max Gain Per Share]]),SnapshotTable[[#This Row],[Equity Max Gain Per Share]] * SnapshotTable[[#This Row],[Equity Shares]],"")</f>
        <v/>
      </c>
      <c r="AB33" s="31" t="str">
        <f>IF(ISNUMBER(SnapshotTable[[#This Row],[Equity Max Loss Per Share]]),SnapshotTable[[#This Row],[Equity Max Loss Per Share]] * SnapshotTable[[#This Row],[Equity Shares]],"")</f>
        <v/>
      </c>
      <c r="AC33" s="148"/>
      <c r="AD33" s="149"/>
      <c r="AE33" s="31">
        <f>(SnapshotTable[[#This Row],[Annual Dividend Per Share]] / 4) * SnapshotTable[[#This Row],[Equity Shares]]</f>
        <v>0</v>
      </c>
      <c r="AF33" s="31">
        <f>SnapshotTable[[#This Row],[Quarterly Div $]] * 4</f>
        <v>0</v>
      </c>
      <c r="AG33" s="7">
        <f>IF(SnapshotTable[[#This Row],[Annual Dividend Per Share]]&gt;0, SnapshotTable[[#This Row],[Annual Dividend Per Share]]  / SnapshotTable[[#This Row],[Last Price]], 0)</f>
        <v>0</v>
      </c>
      <c r="AH33" s="149"/>
      <c r="AI33" s="5"/>
      <c r="AJ33" s="136">
        <v>16.04</v>
      </c>
      <c r="AK33" s="150" t="str">
        <f>IF(ISNUMBER( SnapshotTable[[#This Row],[EBF Target]]),(SnapshotTable[[#This Row],[EBF Target]] - SnapshotTable[[#This Row],[Last Price]]) / SnapshotTable[[#This Row],[Last Price]], "")</f>
        <v/>
      </c>
      <c r="AL33" s="150" t="str">
        <f>IF(AND(SnapshotTable[[#This Row],[Equity Basis Total]] &gt; 0,ISNUMBER( SnapshotTable[[#This Row],[Long Term Target]])), SnapshotTable[[#This Row],[From Basis $]] / SnapshotTable[[#This Row],[Equity Basis Total]], "")</f>
        <v/>
      </c>
      <c r="AM33" s="9">
        <f>IF( AND(SnapshotTable[[#This Row],[Equity Shares]] &gt;0,ISNUMBER( SnapshotTable[[#This Row],[Long Term Target]])),(SnapshotTable[[#This Row],[Equity Shares]] * SnapshotTable[[#This Row],[Long Term Target]]) - SnapshotTable[[#This Row],[Equity Basis Total]],0)</f>
        <v>0</v>
      </c>
      <c r="AN33" s="9">
        <f>IF( AND(SnapshotTable[[#This Row],[Equity Shares]] &gt;0,ISNUMBER( SnapshotTable[[#This Row],[Long Term Target]])),(SnapshotTable[[#This Row],[Equity Shares]]*SnapshotTable[[#This Row],[Long Term Target]]) - SnapshotTable[[#This Row],[Equity Value]],0)</f>
        <v>0</v>
      </c>
      <c r="AO33" s="150">
        <f>IF(AND(ISNUMBER( SnapshotTable[[#This Row],[Long Term Target]]), ISNUMBER(SnapshotTable[[#This Row],[Last Price]])),(SnapshotTable[[#This Row],[Long Term Target]] - SnapshotTable[[#This Row],[Last Price]]) / SnapshotTable[[#This Row],[Last Price]], "")</f>
        <v>1.7750865051903111</v>
      </c>
      <c r="AP33" s="5">
        <v>8</v>
      </c>
      <c r="AQ33" s="38" t="s">
        <v>16</v>
      </c>
      <c r="AR33" s="5">
        <v>8</v>
      </c>
      <c r="AS33" s="38" t="s">
        <v>22</v>
      </c>
      <c r="AT33" s="144" t="s">
        <v>442</v>
      </c>
      <c r="AU33" s="185" t="str">
        <f>IF(OR(SnapshotTable[[#This Row],[LP No Fill]]="Y",SnapshotTable[[#This Row],[SP Is Filled]],SnapshotTable[[#This Row],[LC Not Filled]]="Y",SnapshotTable[[#This Row],[SC Is Filled]]),"Y","")</f>
        <v/>
      </c>
      <c r="AV33" s="205"/>
      <c r="AW33" s="211"/>
      <c r="AX33" s="206"/>
      <c r="AY33" s="205" t="str">
        <f>IF(SnapshotTable[[#This Row],[Implied Move]]&gt;0, SnapshotTable[[#This Row],[Last Price]]-SnapshotTable[[#This Row],[Implied Move]],"")</f>
        <v/>
      </c>
      <c r="AZ33" s="205" t="str">
        <f>IF(SnapshotTable[[#This Row],[Implied Move]]&gt;0, SnapshotTable[[#This Row],[Last Price]] + SnapshotTable[[#This Row],[Implied Move]],"")</f>
        <v/>
      </c>
      <c r="BA33" s="302"/>
      <c r="BB33" s="318"/>
      <c r="BC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3" s="321"/>
      <c r="BE33" s="5"/>
      <c r="BF33" s="14"/>
      <c r="BG33" s="13"/>
      <c r="BH33" s="13"/>
      <c r="BI33" s="5"/>
      <c r="BJ33" s="134">
        <f>IF(SnapshotTable[[#This Row],[LP Qty]] &gt; 0, SnapshotTable[[#This Row],[LP Qty]] * SnapshotTable[[#This Row],[LP Book Price]] * 100,0)</f>
        <v>0</v>
      </c>
      <c r="BK33" s="134">
        <f>IF(SnapshotTable[[#This Row],[LP Premium]] &gt; 0, SnapshotTable[[#This Row],[LP Qty]] * SnapshotTable[[#This Row],[LP Strike Price]] * 100,0)</f>
        <v>0</v>
      </c>
      <c r="BL33" s="152"/>
      <c r="BM33" s="355" t="str">
        <f>IF(SnapshotTable[[#This Row],[LP Premium]] &gt; 0,SnapshotTable[[#This Row],[LP Exp Date]]-MAX(SnapshotTable[[#This Row],[LP Book Date]], SnapshotTable[[#This Row],[LP Fill Date]]),"")</f>
        <v/>
      </c>
      <c r="BN33" s="355" t="str">
        <f>IF(ISNUMBER( SnapshotTable[[#This Row],[LP Term]]), SnapshotTable[[#This Row],[LP Exp Date]] - MockToday,"")</f>
        <v/>
      </c>
      <c r="BO33" s="161" t="str">
        <f>IF(AND(SnapshotTable[[#This Row],[LP Exp Date]]&gt;0, SnapshotTable[[#This Row],[LP Strike Price]]&gt;0,SnapshotTable[[#This Row],[LP Qty]]&gt;0,SnapshotTable[[#This Row],[LP Book Date]]&gt;0,SnapshotTable[[#This Row],[LP Book Price]]&gt;0,SnapshotTable[[#This Row],[LP Fill Date]]=0),"Y","")</f>
        <v/>
      </c>
      <c r="BP33" s="31" t="str">
        <f>IF(AND(SnapshotTable[[#This Row],[LP No Fill]]&lt;&gt;"Y",SnapshotTable[[#This Row],[LP Contract Value]]&gt;0, SnapshotTable[[#This Row],[LP Qty]]&gt;0), SnapshotTable[[#This Row],[LP Contract Value]]*SnapshotTable[[#This Row],[LP Qty]]*100,"")</f>
        <v/>
      </c>
      <c r="BQ33" s="13"/>
      <c r="BR33" s="5"/>
      <c r="BS33" s="36"/>
      <c r="BT33" s="145"/>
      <c r="BU33" s="13"/>
      <c r="BV33" s="5"/>
      <c r="BW33" s="382" t="b">
        <f>AND(ISNUMBER(SnapshotTable[[#This Row],[SP Exp Date]]), ISNUMBER(SnapshotTable[[#This Row],[SP Strike Price]]), ISNUMBER(SnapshotTable[[#This Row],[SP Qty]]), ISNUMBER(SnapshotTable[[#This Row],[SP Book Date]]), ISNUMBER(SnapshotTable[[#This Row],[SP Book Price]]))</f>
        <v>0</v>
      </c>
      <c r="BX33" s="382" t="b">
        <f>AND(SnapshotTable[[#This Row],[SP Is Booked]], NOT(ISBLANK(SnapshotTable[[#This Row],[SP Fill Date]])))</f>
        <v>0</v>
      </c>
      <c r="BY33" s="33">
        <f>IF(SnapshotTable[[#This Row],[SP Is Booked]], SnapshotTable[[#This Row],[SP Qty]] * SnapshotTable[[#This Row],[SP Book Price]] * 100, 0)</f>
        <v>0</v>
      </c>
      <c r="BZ33" s="339"/>
      <c r="CA33" s="338">
        <f>SnapshotTable[[#This Row],[LP Qty]]</f>
        <v>0</v>
      </c>
      <c r="CB33" s="4" t="str">
        <f>IF(SnapshotTable[[#This Row],[SP Is Booked]], SnapshotTable[[#This Row],[SP Strike Price]] - SnapshotTable[[#This Row],[SP Book Price]], "")</f>
        <v/>
      </c>
      <c r="CC33" s="19" t="str">
        <f>IF(SnapshotTable[[#This Row],[SP Is Booked]],SnapshotTable[[#This Row],[SP Exp Date]]-MAX(SnapshotTable[[#This Row],[SP Book Date]], SnapshotTable[[#This Row],[SP Fill Date]]),"")</f>
        <v/>
      </c>
      <c r="CD33" s="7" t="str">
        <f>IF(SnapshotTable[[#This Row],[SP Is Booked]], SnapshotTable[[#This Row],[SP Book Price]]/SnapshotTable[[#This Row],[SP Strike Price]], "")</f>
        <v/>
      </c>
      <c r="CE33" s="7" t="str">
        <f>IF(ISNUMBER(SnapshotTable[[#This Row],[SP ROO Term]]),SnapshotTable[[#This Row],[SP ROO Term]]*(365/SnapshotTable[[#This Row],[SP Term]]),"")</f>
        <v/>
      </c>
      <c r="CF33" s="221">
        <f>SnapshotTable[[#This Row],[LP Strike Price]] * SnapshotTable[[#This Row],[LP Qty]] * 100</f>
        <v>0</v>
      </c>
      <c r="CG33" s="31">
        <f>IF(ISNUMBER(SnapshotTable[[#This Row],[SP Premium]]), (SnapshotTable[[#This Row],[SP Qty]] * SnapshotTable[[#This Row],[SP Strike Price]]* 100) - SnapshotTable[[#This Row],[LP Protection]], 0)</f>
        <v>0</v>
      </c>
      <c r="CH33" s="7" t="str">
        <f>IF(ISNUMBER(SnapshotTable[[#This Row],[SP Break Even]]),-1 * (SnapshotTable[[#This Row],[SP Break Even]] - SnapshotTable[[#This Row],[Last Price]]) / SnapshotTable[[#This Row],[Last Price]], "")</f>
        <v/>
      </c>
      <c r="CI33" s="31">
        <f>IF(AND(ISNUMBER((SnapshotTable[[#This Row],[SP Potential Spend]])), SnapshotTable[[#This Row],[SP Strike Price]] &gt; SnapshotTable[[#This Row],[Last Price]], SnapshotTable[[#This Row],[SP Is Filled]]), SnapshotTable[[#This Row],[SP Potential Spend]] -  SnapshotTable[[#This Row],[LP Max Value]], 0)</f>
        <v>0</v>
      </c>
      <c r="CJ33" s="229"/>
      <c r="CK33" s="31">
        <f>IF(ISNUMBER(SnapshotTable[[#This Row],[SP Potential Spend]]),IF(ISNUMBER(SnapshotTable[[#This Row],[SP POW]]), SnapshotTable[[#This Row],[SP POW]] * SnapshotTable[[#This Row],[SP Potential Spend]], SnapshotTable[[#This Row],[SP Potential Spend]]), "")</f>
        <v>0</v>
      </c>
      <c r="CL33" s="162">
        <f>IF(NOT(SnapshotTable[[#This Row],[SP Is Filled]]),(SnapshotTable[[#This Row],[SP Qty]] * SnapshotTable[[#This Row],[SP Strike Price]] * 100) - SnapshotTable[[#This Row],[LP Max Value]],"")</f>
        <v>0</v>
      </c>
      <c r="CM33" s="31" t="str">
        <f>IF(SnapshotTable[[#This Row],[SP Actual Spend]]&lt;&gt;0, ((SnapshotTable[[#This Row],[SP Strike Price]]-SnapshotTable[[#This Row],[Last Price]]) *(SnapshotTable[[#This Row],[SP Qty]]*100) - SnapshotTable[[#This Row],[SP Premium]]) * - 1, "")</f>
        <v/>
      </c>
      <c r="CN33" s="76"/>
      <c r="CO33" s="339"/>
      <c r="CP33" s="4" t="str">
        <f>IF(SnapshotTable[[#This Row],[SP Is Filled]], btc_max_buyback_amount(SnapshotTable[[#This Row],[SP Fill Date]],SnapshotTable[[#This Row],[SP Exp Date]], SnapshotTable[[#This Row],[SP Book Price]]),"")</f>
        <v/>
      </c>
      <c r="CQ33" s="76"/>
      <c r="CR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3" s="153" t="str">
        <f>IF(SnapshotTable[[#This Row],[SP Is Filled]], btc_next_cutoff_date(SnapshotTable[[#This Row],[SP Fill Date]],SnapshotTable[[#This Row],[SP Exp Date]]),"")</f>
        <v/>
      </c>
      <c r="CT33" s="220" t="str" cm="1">
        <f t="array" ref="CT33">IF(SnapshotTable[[#This Row],[SP Is Filled]], btc_should_buy_back(SnapshotTable[[#This Row],[SP Fill Date]], SnapshotTable[[#This Row],[SP Exp Date]], SnapshotTable[[#This Row],[SP Book Price]], SnapshotTable[[#This Row],[SP Current Ask]], MockToday, SnapshotTable[[#This Row],[SP Buyback Override]]),"")</f>
        <v/>
      </c>
      <c r="CU33" s="141"/>
      <c r="CV33" s="220"/>
      <c r="CW33" s="348" t="str">
        <f>IF(ISNUMBER( SnapshotTable[[#This Row],[SP Term]]), SnapshotTable[[#This Row],[SP Exp Date]] - MockToday,"")</f>
        <v/>
      </c>
      <c r="CX33" s="31" t="str">
        <f>IF(SnapshotTable[[#This Row],[SP Is Filled]],SnapshotTable[[#This Row],[SP Buyback Price to Use]] * 100 * SnapshotTable[[#This Row],[SP Qty]], "")</f>
        <v/>
      </c>
      <c r="CY33" s="4" t="str">
        <f>IF(ISNUMBER(SnapshotTable[[#This Row],[SP Strike Price]]), SnapshotTable[[#This Row],[SP Strike Price]] * (1 - SP_MaxLoss_StrikePct), "")</f>
        <v/>
      </c>
      <c r="CZ33" s="31" t="str">
        <f>IF(ISNUMBER(SnapshotTable[[#This Row],[SP Strike  Stop Per Share]]),SnapshotTable[[#This Row],[SP Premium]] - ((SnapshotTable[[#This Row],[SP Strike Price]]-SnapshotTable[[#This Row],[SP Strike  Stop Per Share]]) *(SnapshotTable[[#This Row],[SP Qty]] * 100)),"")</f>
        <v/>
      </c>
      <c r="DA33" s="4" t="str">
        <f>IF(AND(ISNUMBER(SnapshotTable[[#This Row],[SP Premium]]),SnapshotTable[[#This Row],[SP Premium]]&gt;0), SnapshotTable[[#This Row],[SP Book Price]] * (1 + SP_MaxLoss_OptionPct), "")</f>
        <v/>
      </c>
      <c r="DB33" s="31" t="str">
        <f>IF(ISNUMBER(SnapshotTable[[#This Row],[SP Option  Stop Contract]]),(SnapshotTable[[#This Row],[SP Option  Stop Contract]] *(SnapshotTable[[#This Row],[SP Qty]] * 100) - SnapshotTable[[#This Row],[SP Premium]]),"")</f>
        <v/>
      </c>
      <c r="DC33" s="4"/>
      <c r="DD33" s="4"/>
      <c r="DE33" s="4" t="str">
        <f>IF(AND(SnapshotTable[[#This Row],[SP Qty]]&gt;0, SnapshotTable[[#This Row],[SP Stop To Use]]&gt;0),SnapshotTable[[#This Row],[SP Premium]] - ( SnapshotTable[[#This Row],[SP Qty]] * SnapshotTable[[#This Row],[SP Stop To Use]] * 100), "")</f>
        <v/>
      </c>
      <c r="DF33" s="31" t="str">
        <f>IF(AND(SnapshotTable[[#This Row],[SP Qty]]&gt;0,SnapshotTable[[#This Row],[SP Current Ask]]&gt;0), SnapshotTable[[#This Row],[SP Qty]] * SnapshotTable[[#This Row],[SP Current Ask]] * -100, "")</f>
        <v/>
      </c>
      <c r="DG33" s="31" t="str">
        <f>IF(ISNUMBER((SnapshotTable[[#This Row],[SP Total Value]])), SnapshotTable[[#This Row],[SP Premium]] + SnapshotTable[[#This Row],[SP Total Value]], "")</f>
        <v/>
      </c>
      <c r="DH33" s="272" t="str">
        <f>IF(ISNUMBER((SnapshotTable[[#This Row],[SP Total Value]])), SnapshotTable[[#This Row],[SP Gain Loss]] / SnapshotTable[[#This Row],[SP Premium]], "")</f>
        <v/>
      </c>
      <c r="DI33" s="369"/>
      <c r="DJ33" s="136"/>
      <c r="DK33" s="146"/>
      <c r="DL33" s="13"/>
      <c r="DM33" s="13"/>
      <c r="DO33" s="31">
        <f>IF(SnapshotTable[[#This Row],[LC Symbol Count]]=1, SnapshotTable[[#This Row],[LC Qty]] * SnapshotTable[[#This Row],[LC Book Price]] * 100, 0)</f>
        <v>0</v>
      </c>
      <c r="DP33" s="161" t="str">
        <f>IF(AND(SnapshotTable[[#This Row],[LC Exp Date]]&gt;0, SnapshotTable[[#This Row],[LC Strike Price]]&gt;0,SnapshotTable[[#This Row],[LC Qty]]&gt;0,SnapshotTable[[#This Row],[LC Book Date]]&gt;0,SnapshotTable[[#This Row],[LC Book Price]]&gt;0,SnapshotTable[[#This Row],[LC Fill Date]]=0),"Y","")</f>
        <v/>
      </c>
      <c r="DQ33" s="356" t="str">
        <f>IF(SnapshotTable[[#This Row],[LC Premium]] &gt; 0,SnapshotTable[[#This Row],[LC Exp Date]]-MAX(SnapshotTable[[#This Row],[LC Book Date]], SnapshotTable[[#This Row],[LC Fill Date]]),"")</f>
        <v/>
      </c>
      <c r="DR33" s="356" t="str">
        <f>IF(ISNUMBER(SnapshotTable[[#This Row],[LC Term]]), SnapshotTable[[#This Row],[LC Exp Date]] - MockToday, "")</f>
        <v/>
      </c>
      <c r="DS33" s="219" t="str">
        <f>IF(SnapshotTable[[#This Row],[LC Premium]]&gt;0,SnapshotTable[[#This Row],[LC Strike Price]] + SnapshotTable[[#This Row],[LC Book Price]],"")</f>
        <v/>
      </c>
      <c r="DU33" s="9" t="str">
        <f>IF(AND(SnapshotTable[[#This Row],[LC Symbol Count]]&gt;0, SnapshotTable[[#This Row],[LC Contract Value]]&gt;0), SnapshotTable[[#This Row],[LC Contract Value]] * SnapshotTable[[#This Row],[LC Qty]] * 100, "")</f>
        <v/>
      </c>
      <c r="DV33" s="9" t="str">
        <f>IF(AND(ISNUMBER(SnapshotTable[[#This Row],[LC Total Value]]), SnapshotTable[[#This Row],[LC Not Filled]]&lt;&gt;"Y"), SnapshotTable[[#This Row],[LC Total Value]]-SnapshotTable[[#This Row],[LC Premium]],"")</f>
        <v/>
      </c>
      <c r="DW33" s="225" t="str">
        <f>IF(ISNUMBER(SnapshotTable[[#This Row],[LC Actual Gain Loss]]), SnapshotTable[[#This Row],[LC Actual Gain Loss]] / SnapshotTable[[#This Row],[LC Premium]],"")</f>
        <v/>
      </c>
      <c r="DX33" s="269" t="str">
        <f>IF(ISNUMBER(SnapshotTable[[#This Row],[LC Book Price]]),SnapshotTable[[#This Row],[LC Book Price]] * 1.5,"")</f>
        <v/>
      </c>
      <c r="DY33" s="250" t="str">
        <f>IF(SnapshotTable[[#This Row],[LC Premium]]&gt;0, SnapshotTable[[#This Row],[LC Next Target]] * SnapshotTable[[#This Row],[LC Qty]] * 100,"")</f>
        <v/>
      </c>
      <c r="DZ33" s="250" t="str">
        <f>IF(ISNUMBER(SnapshotTable[[#This Row],[LC Target Gross]]), SnapshotTable[[#This Row],[LC Target Gross]] - SnapshotTable[[#This Row],[LC Premium]], "")</f>
        <v/>
      </c>
      <c r="EA33" s="283" t="str">
        <f>IF(ISNUMBER(SnapshotTable[[#This Row],[LC Target Gain Loss]]), SnapshotTable[[#This Row],[LC Target Gain Loss]]/SnapshotTable[[#This Row],[LC Premium]], "")</f>
        <v/>
      </c>
      <c r="EB33" s="247"/>
      <c r="EC33" s="268" t="str">
        <f>IF(SnapshotTable[[#This Row],[LC Premium]]&gt;0, SnapshotTable[[#This Row],[LC Book Price]] * (1 - LC_StopLoss_Pct),"")</f>
        <v/>
      </c>
      <c r="ED33" s="269"/>
      <c r="EE33" s="268" t="str">
        <f>IF(ISNUMBER(SnapshotTable[[#This Row],[LC Contract Value]]),IF(ISNUMBER(SnapshotTable[[#This Row],[LC Stop Loss Override]]), SnapshotTable[[#This Row],[LC Stop Loss Override]],SnapshotTable[[#This Row],[LC Stop Loss Calc Target]]),"")</f>
        <v/>
      </c>
      <c r="EF33" s="31" t="str">
        <f>IF(ISNUMBER(SnapshotTable[[#This Row],[LC Stop  To Use]]), (SnapshotTable[[#This Row],[LC Stop  To Use]] * SnapshotTable[[#This Row],[LC Qty]] * 100),"")</f>
        <v/>
      </c>
      <c r="EG33" s="9" t="str">
        <f>IF(ISNUMBER(SnapshotTable[[#This Row],[LC Total Value]]),SnapshotTable[[#This Row],[LC Stop Loss Amount]] - SnapshotTable[[#This Row],[LC Premium]],"")</f>
        <v/>
      </c>
      <c r="EH33" s="9">
        <f>IF(ISNUMBER(SnapshotTable[[#This Row],[LC Premium]]), SnapshotTable[[#This Row],[LC Qty]] * 100 * SnapshotTable[[#This Row],[LC Strike Price]], "")</f>
        <v>0</v>
      </c>
      <c r="EI33" s="225" t="str">
        <f>IF(AND(ISNUMBER(SnapshotTable[[#This Row],[LC Total Value]]),SnapshotTable[[#This Row],[LC Total Value]]&gt;0),SnapshotTable[[#This Row],[LC Stop Gain Loss]]  / SnapshotTable[[#This Row],[LC Premium]],"")</f>
        <v/>
      </c>
      <c r="EJ33" s="35">
        <f>IF(ISNUMBER(SnapshotTable[[#This Row],[Equity Shares]]),TRUNC(SnapshotTable[[#This Row],[Equity Shares]] / 100),0) + SnapshotTable[[#This Row],[LC Qty]]</f>
        <v>0</v>
      </c>
      <c r="EK33" s="145"/>
      <c r="EL33" s="136"/>
      <c r="EM33" s="146"/>
      <c r="EN33" s="145"/>
      <c r="EO33" s="145"/>
      <c r="EP33" s="136"/>
      <c r="EQ33" s="382" t="b">
        <f>AND(ISNUMBER(SnapshotTable[[#This Row],[SC Exp Date]]), ISNUMBER(SnapshotTable[[#This Row],[SC Strike Price]]), ISNUMBER(SnapshotTable[[#This Row],[SC Qty]]), ISNUMBER(SnapshotTable[[#This Row],[SC Book Date]]), ISNUMBER(SnapshotTable[[#This Row],[SC Book Price]]))</f>
        <v>0</v>
      </c>
      <c r="ER33" s="382" t="b">
        <f>AND(SnapshotTable[[#This Row],[SC Is Booked]], NOT(ISBLANK(SnapshotTable[[#This Row],[SC Fill Date]])))</f>
        <v>0</v>
      </c>
      <c r="ES33" s="340"/>
      <c r="ET33" s="34" t="str">
        <f>IF(AND(ISNUMBER(SnapshotTable[[#This Row],[SC Exp Date]]), ISNUMBER(SnapshotTable[[#This Row],[SC Book Date]])), SnapshotTable[[#This Row],[SC Exp Date]] - MAX(SnapshotTable[[#This Row],[SC Book Date]], SnapshotTable[[#This Row],[SC Fill Date]]) + 1, "")</f>
        <v/>
      </c>
      <c r="EU33" s="34" t="str">
        <f>IF(ISNUMBER(SnapshotTable[[#This Row],[SC Term]]), SnapshotTable[[#This Row],[SC Exp Date]]- MockToday, "")</f>
        <v/>
      </c>
      <c r="EV33" s="31">
        <f>IF(SnapshotTable[[#This Row],[SC Is Booked]], SnapshotTable[[#This Row],[SC Qty]] * SnapshotTable[[#This Row],[SC Book Price]] * 100, 0)</f>
        <v>0</v>
      </c>
      <c r="EW33" s="4" t="str">
        <f>IF(AND(ISNUMBER(SnapshotTable[[#This Row],[Last Price]]), ISNUMBER( SnapshotTable[[#This Row],[SC Book Price]])), SnapshotTable[[#This Row],[Last Price]] - SnapshotTable[[#This Row],[SC Book Price]],"")</f>
        <v/>
      </c>
      <c r="EX33" s="219" t="str">
        <f>IF(SnapshotTable[[#This Row],[SC Is Booked]],IF(SnapshotTable[[#This Row],[SC Intrinsic Value]] &gt; 0, SnapshotTable[[#This Row],[SC Strike Price]], SnapshotTable[[#This Row],[Last Price]]), "")</f>
        <v/>
      </c>
      <c r="EY33" s="4">
        <f>IF(SnapshotTable[[#This Row],[SC Is Booked]], (MinimumPremiumRequired * SnapshotTable[[#This Row],[SC Basis]] * SnapshotTable[[#This Row],[SC Term]]), 0)</f>
        <v>0</v>
      </c>
      <c r="EZ33" s="268"/>
      <c r="FA33" s="204"/>
      <c r="FB33" s="340"/>
      <c r="FC33" s="4">
        <f>IF(SnapshotTable[[#This Row],[SC Is Filled]], btc_max_buyback_amount(SnapshotTable[[#This Row],[SC Fill Date]],SnapshotTable[[#This Row],[SC Exp Date]], SnapshotTable[[#This Row],[SC Book Price]]),0)</f>
        <v>0</v>
      </c>
      <c r="FD33" s="5"/>
      <c r="FE33" s="142" t="str">
        <f>IF(SnapshotTable[[#This Row],[SC Is Filled]], btc_next_cutoff_date(SnapshotTable[[#This Row],[SC Fill Date]],SnapshotTable[[#This Row],[SC Exp Date]]),"")</f>
        <v/>
      </c>
      <c r="FF33" s="4" t="str" cm="1">
        <f t="array" ref="FF33">IF(SnapshotTable[[#This Row],[SC Is Filled]], btc_should_buy_back(SnapshotTable[[#This Row],[SC Fill Date]], SnapshotTable[[#This Row],[SC Exp Date]], SnapshotTable[[#This Row],[SC Book Price]], SnapshotTable[[#This Row],[SC Current Ask]], MockToday, SnapshotTable[[#This Row],[SC Buyback Override]]),"")</f>
        <v/>
      </c>
      <c r="FG33" s="4">
        <f>IF(SnapshotTable[[#This Row],[SC Is Filled]], MAX(0,SnapshotTable[[#This Row],[Last Price]]  - SnapshotTable[[#This Row],[SC Strike Price]]), 0)</f>
        <v>0</v>
      </c>
      <c r="FH33" s="352">
        <f>IF(SnapshotTable[[#This Row],[SC Is Filled]], IF(ISNUMBER(SnapshotTable[[#This Row],[SC Current Ask]]), SnapshotTable[[#This Row],[SC Current Ask]], SnapshotTable[[#This Row],[SC Book Price]]) - SnapshotTable[[#This Row],[SC Intrinsic Value]], 0)</f>
        <v>0</v>
      </c>
      <c r="FI33" s="141"/>
      <c r="FJ33" s="32" t="str">
        <f>IF(SnapshotTable[[#This Row],[SC Is Filled]],100 * SnapshotTable[[#This Row],[SC Qty]] * IF(ISNUMBER(SnapshotTable[[#This Row],[SC Buyback Override]]), SnapshotTable[[#This Row],[SC Buyback Override]], SnapshotTable[[#This Row],[SC Current Ask]]), "")</f>
        <v/>
      </c>
      <c r="FK33" s="235" t="str">
        <f>IF(SnapshotTable[[#This Row],[SC Time Val]]&gt;0, SnapshotTable[[#This Row],[SC Time Val]] / SnapshotTable[[#This Row],[Last Price]],"")</f>
        <v/>
      </c>
      <c r="FL33" s="280" t="str">
        <f>IF(SnapshotTable[[#This Row],[SC Is Booked]], ((SnapshotTable[[#This Row],[Last Price]] -SnapshotTable[[#This Row],[SC Strike Price]]) / SnapshotTable[[#This Row],[Last Price]]) * -1, "")</f>
        <v/>
      </c>
      <c r="FM33" s="155" t="str">
        <f>IF(SnapshotTable[[#This Row],[SC Is Booked]],  (SnapshotTable[[#This Row],[SC Qty]] * 100 * SnapshotTable[[#This Row],[SC Strike Price]]) - SnapshotTable[[#This Row],[SC Current Ask]], "")</f>
        <v/>
      </c>
      <c r="FN33"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3" s="155" t="str">
        <f>IF(AND(ISNUMBER(SnapshotTable[[#This Row],[SC Exercise Gross]]), ISNUMBER(SnapshotTable[[#This Row],[Equity Basis Per Share]] )), SnapshotTable[[#This Row],[SC Exercise Gross]] - SnapshotTable[[#This Row],[Equity Basis Total]] +  SnapshotTable[[#This Row],[SC Premium]], "")</f>
        <v/>
      </c>
      <c r="FP33" s="5" t="str">
        <f>IF(ISNUMBER(SnapshotTable[[#This Row],[SC Exercise Gross]]), (SnapshotTable[[#This Row],[SC Exercise Gross]]) / (SnapshotTable[[#This Row],[SC Qty]] * 100), "")</f>
        <v/>
      </c>
      <c r="FQ33" s="27" t="str">
        <f>IF(SnapshotTable[[#This Row],[SC Is Booked]],SnapshotTable[[#This Row],[SC Time Val]] /SnapshotTable[[#This Row],[SC Basis]], "")</f>
        <v/>
      </c>
      <c r="FR33" s="27" t="str" cm="1">
        <f t="array" ref="FR33">IF(AND(ISNUMBER(SnapshotTable[[#This Row],[SC Term]]),ISNUMBER(SnapshotTable[[#This Row],[SC Simple ROO]])), EllmanAnnualize(SnapshotTable[[#This Row],[SC DTE]], SnapshotTable[[#This Row],[SC Simple ROO]] ),"")</f>
        <v/>
      </c>
      <c r="FS33" s="4">
        <f>IF(SnapshotTable[[#This Row],[SC Strike Price]] &gt; SnapshotTable[[#This Row],[Last Price]], SnapshotTable[[#This Row],[SC Strike Price]] - SnapshotTable[[#This Row],[Last Price]],0)</f>
        <v>0</v>
      </c>
      <c r="FT33" s="27" t="str">
        <f>IF(AND(ISNUMBER(SnapshotTable[[#This Row],[SC Upside Potential]]), SnapshotTable[[#This Row],[SC Upside Potential]] &gt; 0),(SnapshotTable[[#This Row],[SC Upside Potential]]/ SnapshotTable[[#This Row],[ACB]]),"")</f>
        <v/>
      </c>
      <c r="FU33" s="304" t="str">
        <f>IF(SnapshotTable[[#This Row],[SC Intrinsic Value]] &gt; 0,SnapshotTable[[#This Row],[SC Intrinsic Value]],"")</f>
        <v/>
      </c>
      <c r="FV33" s="27" t="str">
        <f>IF(AND( ISNUMBER( SnapshotTable[[#This Row],[ACB]]),ISNUMBER(SnapshotTable[[#This Row],[SC Downside Protect]])),SnapshotTable[[#This Row],[SC Downside Protect]] / SnapshotTable[[#This Row],[ACB]],"")</f>
        <v/>
      </c>
      <c r="FW33" s="221" t="str">
        <f>IF(AND(ISNUMBER(SnapshotTable[[#This Row],[SC Simple ROO]]),SnapshotTable[[#This Row],[SC Simple ROO]] &gt; 0), SnapshotTable[[#This Row],[SC Premium]] + (SnapshotTable[[#This Row],[SC Qty]] * SnapshotTable[[#This Row],[SC Upside Potential]]), "")</f>
        <v/>
      </c>
      <c r="FX33" s="280" t="str" cm="1">
        <f t="array" ref="FX33">IF(ISNUMBER(SnapshotTable[[#This Row],[SC Max Dollars]]), annualize(SnapshotTable[[#This Row],[SC Term]],(SnapshotTable[[#This Row],[SC Max Dollars]]/SnapshotTable[[#This Row],[SC Basis]])),"")</f>
        <v/>
      </c>
      <c r="FY33" s="221" t="str">
        <f>IF(AND(SnapshotTable[[#This Row],[SC Qty]]&gt;0,SnapshotTable[[#This Row],[SC Current Ask]]&gt;0), SnapshotTable[[#This Row],[SC Qty]] * SnapshotTable[[#This Row],[SC Current Ask]] * -100, "")</f>
        <v/>
      </c>
      <c r="FZ33" s="220" t="str">
        <f>IF(ISNUMBER((SnapshotTable[[#This Row],[SC Current Value]])), SnapshotTable[[#This Row],[SC Premium]] + SnapshotTable[[#This Row],[SC Current Value]], "")</f>
        <v/>
      </c>
      <c r="GA33" s="272" t="str">
        <f>IFERROR( IF(ISNUMBER((SnapshotTable[[#This Row],[SC Current Value]])), SnapshotTable[[#This Row],[SC Gain Loss]] / SnapshotTable[[#This Row],[SC Premium]], ""), "")</f>
        <v/>
      </c>
      <c r="GB33" s="293">
        <f>SnapshotTable[[#This Row],[Equity Shares]] * SaleSharesToConsiderPercentage</f>
        <v>0</v>
      </c>
      <c r="GC33" s="294">
        <f>SnapshotTable[[#This Row],[Long Term Target]] * SellingPriceToConsiderBasedOnTargetPercentage</f>
        <v>15.237999999999998</v>
      </c>
      <c r="GD33" s="294">
        <f>SnapshotTable[[#This Row],[Last Price]] * (1+ SellingPriceToConsiderBasedOnTargetPercentage)</f>
        <v>11.271000000000001</v>
      </c>
      <c r="GE33" s="295"/>
      <c r="GF33" s="294"/>
      <c r="GG33" s="31">
        <f>SnapshotTable[[#This Row],[Booked Sale Shares]] * SnapshotTable[[#This Row],[Booked Sale Price]]</f>
        <v>0</v>
      </c>
      <c r="GH33" s="31" t="str">
        <f>IF(SnapshotTable[[#This Row],[Equity Basis Total]] &gt; 0, SnapshotTable[[#This Row],[Equity Basis Per Share]] * SnapshotTable[[#This Row],[Booked Sale Shares]], "")</f>
        <v/>
      </c>
      <c r="GI33" s="31">
        <f>IF(SnapshotTable[[#This Row],[Sale Proceeds]]&gt;0, SnapshotTable[[#This Row],[Sale Proceeds]] - SnapshotTable[[#This Row],[Sale Basis]], 0)</f>
        <v>0</v>
      </c>
      <c r="GJ33" s="156" t="str">
        <f>IF(SnapshotTable[[#This Row],[Sale G/L]]&gt;0, SnapshotTable[[#This Row],[Sale G/L]] / SnapshotTable[[#This Row],[Sale Basis]], IF(ISNUMBER(SnapshotTable[[#This Row],[SC Exercise P&amp;L (TAX)]]), SnapshotTable[[#This Row],[SC Exercise P&amp;L (TAX)]] / SnapshotTable[[#This Row],[SC Basis]], ""))</f>
        <v/>
      </c>
      <c r="GK33" s="27"/>
      <c r="GL33" s="157" t="str">
        <f>IF(AND(SnapshotTable[[#This Row],[LP Exp Date]]&gt;0,SnapshotTable[[#This Row],[LP Strike Price]]&gt;0), [1]!ToOptionSymbol(SnapshotTable[[#This Row],[Symbol]], SnapshotTable[[#This Row],[LP Strike Price]],SnapshotTable[[#This Row],[LP Exp Date]],1), "")</f>
        <v/>
      </c>
      <c r="GM33" s="30" t="str">
        <f>IF(LEN(SnapshotTable[[#This Row],[LP Symbol]])&gt;0, 1, "")</f>
        <v/>
      </c>
      <c r="GN33" s="43" t="str">
        <f>IF(AND(SnapshotTable[[#This Row],[SP Exp Date]]&gt;0,SnapshotTable[[#This Row],[SP Strike Price]]&gt;0), [1]!ToOptionSymbol(SnapshotTable[[#This Row],[Symbol]], SnapshotTable[[#This Row],[SP Strike Price]],SnapshotTable[[#This Row],[SP Exp Date]],1), "")</f>
        <v/>
      </c>
      <c r="GO33" s="30" t="str">
        <f>IF(LEN(SnapshotTable[[#This Row],[SP Symbol]])&gt;0, 1, "")</f>
        <v/>
      </c>
      <c r="GP33" s="157" t="str">
        <f>IF(AND(SnapshotTable[[#This Row],[LC Exp Date]]&gt;0,SnapshotTable[[#This Row],[LC Strike Price]]&gt;0), [1]!ToOptionSymbol(SnapshotTable[[#This Row],[Symbol]], SnapshotTable[[#This Row],[LC Strike Price]],SnapshotTable[[#This Row],[LC Exp Date]],0), "")</f>
        <v/>
      </c>
      <c r="GQ33" s="158" t="str">
        <f>IF(LEN(SnapshotTable[[#This Row],[LC Symbol]])&gt;0, 1, "")</f>
        <v/>
      </c>
      <c r="GR33" s="157" t="str">
        <f>IF(AND(SnapshotTable[[#This Row],[SC Exp Date]]&gt;0,SnapshotTable[[#This Row],[SC Strike Price]]&gt;0), [1]!ToOptionSymbol(SnapshotTable[[#This Row],[Symbol]], SnapshotTable[[#This Row],[SC Strike Price]],SnapshotTable[[#This Row],[SC Exp Date]],0), "")</f>
        <v/>
      </c>
      <c r="GS33" s="158" t="str">
        <f>IF(LEN(SnapshotTable[[#This Row],[SC Symbol]])&gt;0, 1, "")</f>
        <v/>
      </c>
      <c r="GT33" s="159" t="str">
        <f>IF(COUNT(SnapshotTable[[#This Row],[LP Symbol Count]],SnapshotTable[[#This Row],[SP Symbol Count]],SnapshotTable[[#This Row],[LC Symbol Count]],SnapshotTable[[#This Row],[SC Symbol Count]])&gt;0, "Y", "")</f>
        <v/>
      </c>
      <c r="GU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3" s="216">
        <f>MAX(SnapshotTable[[#This Row],[Equity Basis Total]],SnapshotTable[[#This Row],[Equity Value]]) + (SnapshotTable[[#This Row],[SP Potential Spend]]- SnapshotTable[[#This Row],[SP Premium]] + SnapshotTable[[#This Row],[LP Premium]])+ (SnapshotTable[[#This Row],[LC Premium]] - SnapshotTable[[#This Row],[SC Premium]])</f>
        <v>0</v>
      </c>
      <c r="GW33" s="137" t="str">
        <f>IF(AND(SnapshotTable[[#This Row],[Exposure]] &lt;&gt; 0),SnapshotTable[[#This Row],[Exposure]] / SnapshotTable[[#Totals],[Exposure]], "")</f>
        <v/>
      </c>
      <c r="HK33" s="1"/>
      <c r="HL33" s="1"/>
      <c r="HM33" s="1"/>
      <c r="HN33" s="1"/>
      <c r="HO33" s="1"/>
      <c r="HP33" s="1"/>
    </row>
    <row r="34" spans="2:224" s="45" customFormat="1" ht="12.75" hidden="1" customHeight="1" x14ac:dyDescent="0.25">
      <c r="B34" s="12" t="s">
        <v>96</v>
      </c>
      <c r="C34" s="385">
        <v>36.18</v>
      </c>
      <c r="D34" s="200"/>
      <c r="E34" s="39">
        <f>SnapshotTable[[#This Row],[Last Price]]*(1 -CrashDiscount)</f>
        <v>30.753</v>
      </c>
      <c r="F34" s="26" t="s">
        <v>764</v>
      </c>
      <c r="G34" s="26" t="s">
        <v>630</v>
      </c>
      <c r="H34" s="147"/>
      <c r="I34" s="186">
        <v>44776.708333333336</v>
      </c>
      <c r="J34" s="187">
        <v>44776.708333333336</v>
      </c>
      <c r="K34" s="188"/>
      <c r="L34" s="297"/>
      <c r="M34" s="138"/>
      <c r="N34" s="138"/>
      <c r="O34" s="138"/>
      <c r="P34" s="22"/>
      <c r="Q34" s="25"/>
      <c r="R34" s="4" t="str">
        <f>IF(SnapshotTable[[#This Row],[Equity Basis Total]] &gt; 0, SnapshotTable[[#This Row],[Equity Basis Total]] / SnapshotTable[[#This Row],[Equity Shares]], "")</f>
        <v/>
      </c>
      <c r="S34" s="254">
        <f>SnapshotTable[[#This Row],[Last Price]] * SnapshotTable[[#This Row],[Equity Shares]]</f>
        <v>0</v>
      </c>
      <c r="T34" s="254">
        <f>SnapshotTable[[#This Row],[Equity Value]] - SnapshotTable[[#This Row],[Equity Basis Total]]</f>
        <v>0</v>
      </c>
      <c r="U34" s="255" t="str">
        <f>IF(SnapshotTable[[#This Row],[Equity Basis Total]] &gt; 0, SnapshotTable[[#This Row],[Equity G/L]] / SnapshotTable[[#This Row],[Equity Basis Total]], "")</f>
        <v/>
      </c>
      <c r="V34" s="253">
        <v>39.93</v>
      </c>
      <c r="W34" s="253">
        <v>43.8</v>
      </c>
      <c r="X34" s="4" t="str">
        <f>IF(AND(ISNUMBER(SnapshotTable[[#This Row],[Equity Basis Per Share]]),ISNUMBER(SnapshotTable[[#This Row],[Equity Target]])),SnapshotTable[[#This Row],[Equity Target]]-SnapshotTable[[#This Row],[Equity Basis Per Share]],"")</f>
        <v/>
      </c>
      <c r="Y34" s="4" t="str">
        <f>IF(AND(ISNUMBER(SnapshotTable[[#This Row],[Equity Basis Per Share]]),ISNUMBER(SnapshotTable[[#This Row],[Equity Stop Loss]])),SnapshotTable[[#This Row],[Equity Stop Loss]]-SnapshotTable[[#This Row],[Equity Basis Per Share]],"")</f>
        <v/>
      </c>
      <c r="Z34" s="260" t="str">
        <f>IFERROR( TEXT(SnapshotTable[[#This Row],[Equity Max Gain Per Share]] /ABS( SnapshotTable[[#This Row],[Equity Max Loss Per Share]]),"0.0 " ) &amp; " : 1", "")</f>
        <v/>
      </c>
      <c r="AA34" s="31" t="str">
        <f>IF(ISNUMBER(SnapshotTable[[#This Row],[Equity Max Gain Per Share]]),SnapshotTable[[#This Row],[Equity Max Gain Per Share]] * SnapshotTable[[#This Row],[Equity Shares]],"")</f>
        <v/>
      </c>
      <c r="AB34" s="31" t="str">
        <f>IF(ISNUMBER(SnapshotTable[[#This Row],[Equity Max Loss Per Share]]),SnapshotTable[[#This Row],[Equity Max Loss Per Share]] * SnapshotTable[[#This Row],[Equity Shares]],"")</f>
        <v/>
      </c>
      <c r="AC34" s="148">
        <v>1</v>
      </c>
      <c r="AD34" s="149">
        <v>42877</v>
      </c>
      <c r="AE34" s="31">
        <f>(SnapshotTable[[#This Row],[Annual Dividend Per Share]] / 4) * SnapshotTable[[#This Row],[Equity Shares]]</f>
        <v>0</v>
      </c>
      <c r="AF34" s="31">
        <f>SnapshotTable[[#This Row],[Quarterly Div $]] * 4</f>
        <v>0</v>
      </c>
      <c r="AG34" s="7">
        <f>IF(SnapshotTable[[#This Row],[Annual Dividend Per Share]]&gt;0, SnapshotTable[[#This Row],[Annual Dividend Per Share]]  / SnapshotTable[[#This Row],[Last Price]], 0)</f>
        <v>2.7639579878385848E-2</v>
      </c>
      <c r="AH34" s="149">
        <v>42839</v>
      </c>
      <c r="AI34" s="5">
        <v>32.5</v>
      </c>
      <c r="AJ34" s="136">
        <v>56.04</v>
      </c>
      <c r="AK34" s="150">
        <f>IF(ISNUMBER( SnapshotTable[[#This Row],[EBF Target]]),(SnapshotTable[[#This Row],[EBF Target]] - SnapshotTable[[#This Row],[Last Price]]) / SnapshotTable[[#This Row],[Last Price]], "")</f>
        <v>-0.10171365395245992</v>
      </c>
      <c r="AL34" s="150" t="str">
        <f>IF(AND(SnapshotTable[[#This Row],[Equity Basis Total]] &gt; 0,ISNUMBER( SnapshotTable[[#This Row],[Long Term Target]])), SnapshotTable[[#This Row],[From Basis $]] / SnapshotTable[[#This Row],[Equity Basis Total]], "")</f>
        <v/>
      </c>
      <c r="AM34" s="9">
        <f>IF( AND(SnapshotTable[[#This Row],[Equity Shares]] &gt;0,ISNUMBER( SnapshotTable[[#This Row],[Long Term Target]])),(SnapshotTable[[#This Row],[Equity Shares]] * SnapshotTable[[#This Row],[Long Term Target]]) - SnapshotTable[[#This Row],[Equity Basis Total]],0)</f>
        <v>0</v>
      </c>
      <c r="AN34" s="9">
        <f>IF( AND(SnapshotTable[[#This Row],[Equity Shares]] &gt;0,ISNUMBER( SnapshotTable[[#This Row],[Long Term Target]])),(SnapshotTable[[#This Row],[Equity Shares]]*SnapshotTable[[#This Row],[Long Term Target]]) - SnapshotTable[[#This Row],[Equity Value]],0)</f>
        <v>0</v>
      </c>
      <c r="AO34" s="150">
        <f>IF(AND(ISNUMBER( SnapshotTable[[#This Row],[Long Term Target]]), ISNUMBER(SnapshotTable[[#This Row],[Last Price]])),(SnapshotTable[[#This Row],[Long Term Target]] - SnapshotTable[[#This Row],[Last Price]]) / SnapshotTable[[#This Row],[Last Price]], "")</f>
        <v>0.5489220563847429</v>
      </c>
      <c r="AP34" s="5">
        <v>32.5</v>
      </c>
      <c r="AQ34" s="38" t="s">
        <v>59</v>
      </c>
      <c r="AR34" s="5">
        <v>29.38</v>
      </c>
      <c r="AS34" s="38" t="s">
        <v>19</v>
      </c>
      <c r="AT34" s="144" t="s">
        <v>886</v>
      </c>
      <c r="AU34" s="185" t="str">
        <f>IF(OR(SnapshotTable[[#This Row],[LP No Fill]]="Y",SnapshotTable[[#This Row],[SP Is Filled]],SnapshotTable[[#This Row],[LC Not Filled]]="Y",SnapshotTable[[#This Row],[SC Is Filled]]),"Y","")</f>
        <v/>
      </c>
      <c r="AV34" s="205"/>
      <c r="AW34" s="211"/>
      <c r="AX34" s="206"/>
      <c r="AY34" s="205" t="str">
        <f>IF(SnapshotTable[[#This Row],[Implied Move]]&gt;0, SnapshotTable[[#This Row],[Last Price]]-SnapshotTable[[#This Row],[Implied Move]],"")</f>
        <v/>
      </c>
      <c r="AZ34" s="205" t="str">
        <f>IF(SnapshotTable[[#This Row],[Implied Move]]&gt;0, SnapshotTable[[#This Row],[Last Price]] + SnapshotTable[[#This Row],[Implied Move]],"")</f>
        <v/>
      </c>
      <c r="BA34" s="302">
        <v>29.65</v>
      </c>
      <c r="BB34" s="318"/>
      <c r="BC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4" s="321"/>
      <c r="BE34" s="5"/>
      <c r="BF34" s="14"/>
      <c r="BG34" s="13"/>
      <c r="BH34" s="13"/>
      <c r="BI34" s="5"/>
      <c r="BJ34" s="134">
        <f>IF(SnapshotTable[[#This Row],[LP Qty]] &gt; 0, SnapshotTable[[#This Row],[LP Qty]] * SnapshotTable[[#This Row],[LP Book Price]] * 100,0)</f>
        <v>0</v>
      </c>
      <c r="BK34" s="134">
        <f>IF(SnapshotTable[[#This Row],[LP Premium]] &gt; 0, SnapshotTable[[#This Row],[LP Qty]] * SnapshotTable[[#This Row],[LP Strike Price]] * 100,0)</f>
        <v>0</v>
      </c>
      <c r="BL34" s="152"/>
      <c r="BM34" s="355" t="str">
        <f>IF(SnapshotTable[[#This Row],[LP Premium]] &gt; 0,SnapshotTable[[#This Row],[LP Exp Date]]-MAX(SnapshotTable[[#This Row],[LP Book Date]], SnapshotTable[[#This Row],[LP Fill Date]]),"")</f>
        <v/>
      </c>
      <c r="BN34" s="355" t="str">
        <f>IF(ISNUMBER( SnapshotTable[[#This Row],[LP Term]]), SnapshotTable[[#This Row],[LP Exp Date]] - MockToday,"")</f>
        <v/>
      </c>
      <c r="BO34" s="161" t="str">
        <f>IF(AND(SnapshotTable[[#This Row],[LP Exp Date]]&gt;0, SnapshotTable[[#This Row],[LP Strike Price]]&gt;0,SnapshotTable[[#This Row],[LP Qty]]&gt;0,SnapshotTable[[#This Row],[LP Book Date]]&gt;0,SnapshotTable[[#This Row],[LP Book Price]]&gt;0,SnapshotTable[[#This Row],[LP Fill Date]]=0),"Y","")</f>
        <v/>
      </c>
      <c r="BP34" s="31" t="str">
        <f>IF(AND(SnapshotTable[[#This Row],[LP No Fill]]&lt;&gt;"Y",SnapshotTable[[#This Row],[LP Contract Value]]&gt;0, SnapshotTable[[#This Row],[LP Qty]]&gt;0), SnapshotTable[[#This Row],[LP Contract Value]]*SnapshotTable[[#This Row],[LP Qty]]*100,"")</f>
        <v/>
      </c>
      <c r="BQ34" s="13"/>
      <c r="BR34" s="5"/>
      <c r="BS34" s="36"/>
      <c r="BT34" s="145"/>
      <c r="BU34" s="13"/>
      <c r="BV34" s="5"/>
      <c r="BW34" s="382" t="b">
        <f>AND(ISNUMBER(SnapshotTable[[#This Row],[SP Exp Date]]), ISNUMBER(SnapshotTable[[#This Row],[SP Strike Price]]), ISNUMBER(SnapshotTable[[#This Row],[SP Qty]]), ISNUMBER(SnapshotTable[[#This Row],[SP Book Date]]), ISNUMBER(SnapshotTable[[#This Row],[SP Book Price]]))</f>
        <v>0</v>
      </c>
      <c r="BX34" s="382" t="b">
        <f>AND(SnapshotTable[[#This Row],[SP Is Booked]], NOT(ISBLANK(SnapshotTable[[#This Row],[SP Fill Date]])))</f>
        <v>0</v>
      </c>
      <c r="BY34" s="33">
        <f>IF(SnapshotTable[[#This Row],[SP Is Booked]], SnapshotTable[[#This Row],[SP Qty]] * SnapshotTable[[#This Row],[SP Book Price]] * 100, 0)</f>
        <v>0</v>
      </c>
      <c r="BZ34" s="339"/>
      <c r="CA34" s="338">
        <f>SnapshotTable[[#This Row],[LP Qty]]</f>
        <v>0</v>
      </c>
      <c r="CB34" s="4" t="str">
        <f>IF(SnapshotTable[[#This Row],[SP Is Booked]], SnapshotTable[[#This Row],[SP Strike Price]] - SnapshotTable[[#This Row],[SP Book Price]], "")</f>
        <v/>
      </c>
      <c r="CC34" s="19" t="str">
        <f>IF(SnapshotTable[[#This Row],[SP Is Booked]],SnapshotTable[[#This Row],[SP Exp Date]]-MAX(SnapshotTable[[#This Row],[SP Book Date]], SnapshotTable[[#This Row],[SP Fill Date]]),"")</f>
        <v/>
      </c>
      <c r="CD34" s="7" t="str">
        <f>IF(SnapshotTable[[#This Row],[SP Is Booked]], SnapshotTable[[#This Row],[SP Book Price]]/SnapshotTable[[#This Row],[SP Strike Price]], "")</f>
        <v/>
      </c>
      <c r="CE34" s="7" t="str">
        <f>IF(ISNUMBER(SnapshotTable[[#This Row],[SP ROO Term]]),SnapshotTable[[#This Row],[SP ROO Term]]*(365/SnapshotTable[[#This Row],[SP Term]]),"")</f>
        <v/>
      </c>
      <c r="CF34" s="221">
        <f>SnapshotTable[[#This Row],[LP Strike Price]] * SnapshotTable[[#This Row],[LP Qty]] * 100</f>
        <v>0</v>
      </c>
      <c r="CG34" s="31">
        <f>IF(ISNUMBER(SnapshotTable[[#This Row],[SP Premium]]), (SnapshotTable[[#This Row],[SP Qty]] * SnapshotTable[[#This Row],[SP Strike Price]]* 100) - SnapshotTable[[#This Row],[LP Protection]], 0)</f>
        <v>0</v>
      </c>
      <c r="CH34" s="7" t="str">
        <f>IF(ISNUMBER(SnapshotTable[[#This Row],[SP Break Even]]),-1 * (SnapshotTable[[#This Row],[SP Break Even]] - SnapshotTable[[#This Row],[Last Price]]) / SnapshotTable[[#This Row],[Last Price]], "")</f>
        <v/>
      </c>
      <c r="CI34" s="31">
        <f>IF(AND(ISNUMBER((SnapshotTable[[#This Row],[SP Potential Spend]])), SnapshotTable[[#This Row],[SP Strike Price]] &gt; SnapshotTable[[#This Row],[Last Price]], SnapshotTable[[#This Row],[SP Is Filled]]), SnapshotTable[[#This Row],[SP Potential Spend]] -  SnapshotTable[[#This Row],[LP Max Value]], 0)</f>
        <v>0</v>
      </c>
      <c r="CJ34" s="229"/>
      <c r="CK34" s="31">
        <f>IF(ISNUMBER(SnapshotTable[[#This Row],[SP Potential Spend]]),IF(ISNUMBER(SnapshotTable[[#This Row],[SP POW]]), SnapshotTable[[#This Row],[SP POW]] * SnapshotTable[[#This Row],[SP Potential Spend]], SnapshotTable[[#This Row],[SP Potential Spend]]), "")</f>
        <v>0</v>
      </c>
      <c r="CL34" s="162">
        <f>IF(NOT(SnapshotTable[[#This Row],[SP Is Filled]]),(SnapshotTable[[#This Row],[SP Qty]] * SnapshotTable[[#This Row],[SP Strike Price]] * 100) - SnapshotTable[[#This Row],[LP Max Value]],"")</f>
        <v>0</v>
      </c>
      <c r="CM34" s="31" t="str">
        <f>IF(SnapshotTable[[#This Row],[SP Actual Spend]]&lt;&gt;0, ((SnapshotTable[[#This Row],[SP Strike Price]]-SnapshotTable[[#This Row],[Last Price]]) *(SnapshotTable[[#This Row],[SP Qty]]*100) - SnapshotTable[[#This Row],[SP Premium]]) * - 1, "")</f>
        <v/>
      </c>
      <c r="CN34" s="76"/>
      <c r="CO34" s="339"/>
      <c r="CP34" s="4" t="str">
        <f>IF(SnapshotTable[[#This Row],[SP Is Filled]], btc_max_buyback_amount(SnapshotTable[[#This Row],[SP Fill Date]],SnapshotTable[[#This Row],[SP Exp Date]], SnapshotTable[[#This Row],[SP Book Price]]),"")</f>
        <v/>
      </c>
      <c r="CQ34" s="76"/>
      <c r="CR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4" s="153" t="str">
        <f>IF(SnapshotTable[[#This Row],[SP Is Filled]], btc_next_cutoff_date(SnapshotTable[[#This Row],[SP Fill Date]],SnapshotTable[[#This Row],[SP Exp Date]]),"")</f>
        <v/>
      </c>
      <c r="CT34" s="220" t="str" cm="1">
        <f t="array" ref="CT34">IF(SnapshotTable[[#This Row],[SP Is Filled]], btc_should_buy_back(SnapshotTable[[#This Row],[SP Fill Date]], SnapshotTable[[#This Row],[SP Exp Date]], SnapshotTable[[#This Row],[SP Book Price]], SnapshotTable[[#This Row],[SP Current Ask]], MockToday, SnapshotTable[[#This Row],[SP Buyback Override]]),"")</f>
        <v/>
      </c>
      <c r="CU34" s="141"/>
      <c r="CV34" s="220"/>
      <c r="CW34" s="348" t="str">
        <f>IF(ISNUMBER( SnapshotTable[[#This Row],[SP Term]]), SnapshotTable[[#This Row],[SP Exp Date]] - MockToday,"")</f>
        <v/>
      </c>
      <c r="CX34" s="31" t="str">
        <f>IF(SnapshotTable[[#This Row],[SP Is Filled]],SnapshotTable[[#This Row],[SP Buyback Price to Use]] * 100 * SnapshotTable[[#This Row],[SP Qty]], "")</f>
        <v/>
      </c>
      <c r="CY34" s="4" t="str">
        <f>IF(ISNUMBER(SnapshotTable[[#This Row],[SP Strike Price]]), SnapshotTable[[#This Row],[SP Strike Price]] * (1 - SP_MaxLoss_StrikePct), "")</f>
        <v/>
      </c>
      <c r="CZ34" s="31" t="str">
        <f>IF(ISNUMBER(SnapshotTable[[#This Row],[SP Strike  Stop Per Share]]),SnapshotTable[[#This Row],[SP Premium]] - ((SnapshotTable[[#This Row],[SP Strike Price]]-SnapshotTable[[#This Row],[SP Strike  Stop Per Share]]) *(SnapshotTable[[#This Row],[SP Qty]] * 100)),"")</f>
        <v/>
      </c>
      <c r="DA34" s="4" t="str">
        <f>IF(AND(ISNUMBER(SnapshotTable[[#This Row],[SP Premium]]),SnapshotTable[[#This Row],[SP Premium]]&gt;0), SnapshotTable[[#This Row],[SP Book Price]] * (1 + SP_MaxLoss_OptionPct), "")</f>
        <v/>
      </c>
      <c r="DB34" s="31" t="str">
        <f>IF(ISNUMBER(SnapshotTable[[#This Row],[SP Option  Stop Contract]]),(SnapshotTable[[#This Row],[SP Option  Stop Contract]] *(SnapshotTable[[#This Row],[SP Qty]] * 100) - SnapshotTable[[#This Row],[SP Premium]]),"")</f>
        <v/>
      </c>
      <c r="DC34" s="4"/>
      <c r="DD34" s="4"/>
      <c r="DE34" s="4" t="str">
        <f>IF(AND(SnapshotTable[[#This Row],[SP Qty]]&gt;0, SnapshotTable[[#This Row],[SP Stop To Use]]&gt;0),SnapshotTable[[#This Row],[SP Premium]] - ( SnapshotTable[[#This Row],[SP Qty]] * SnapshotTable[[#This Row],[SP Stop To Use]] * 100), "")</f>
        <v/>
      </c>
      <c r="DF34" s="31" t="str">
        <f>IF(AND(SnapshotTable[[#This Row],[SP Qty]]&gt;0,SnapshotTable[[#This Row],[SP Current Ask]]&gt;0), SnapshotTable[[#This Row],[SP Qty]] * SnapshotTable[[#This Row],[SP Current Ask]] * -100, "")</f>
        <v/>
      </c>
      <c r="DG34" s="31" t="str">
        <f>IF(ISNUMBER((SnapshotTable[[#This Row],[SP Total Value]])), SnapshotTable[[#This Row],[SP Premium]] + SnapshotTable[[#This Row],[SP Total Value]], "")</f>
        <v/>
      </c>
      <c r="DH34" s="272" t="str">
        <f>IF(ISNUMBER((SnapshotTable[[#This Row],[SP Total Value]])), SnapshotTable[[#This Row],[SP Gain Loss]] / SnapshotTable[[#This Row],[SP Premium]], "")</f>
        <v/>
      </c>
      <c r="DI34" s="369"/>
      <c r="DJ34" s="136"/>
      <c r="DK34" s="146"/>
      <c r="DL34" s="13"/>
      <c r="DM34" s="13"/>
      <c r="DN34" s="5"/>
      <c r="DO34" s="31">
        <f>IF(SnapshotTable[[#This Row],[LC Symbol Count]]=1, SnapshotTable[[#This Row],[LC Qty]] * SnapshotTable[[#This Row],[LC Book Price]] * 100, 0)</f>
        <v>0</v>
      </c>
      <c r="DP34" s="161" t="str">
        <f>IF(AND(SnapshotTable[[#This Row],[LC Exp Date]]&gt;0, SnapshotTable[[#This Row],[LC Strike Price]]&gt;0,SnapshotTable[[#This Row],[LC Qty]]&gt;0,SnapshotTable[[#This Row],[LC Book Date]]&gt;0,SnapshotTable[[#This Row],[LC Book Price]]&gt;0,SnapshotTable[[#This Row],[LC Fill Date]]=0),"Y","")</f>
        <v/>
      </c>
      <c r="DQ34" s="356" t="str">
        <f>IF(SnapshotTable[[#This Row],[LC Premium]] &gt; 0,SnapshotTable[[#This Row],[LC Exp Date]]-MAX(SnapshotTable[[#This Row],[LC Book Date]], SnapshotTable[[#This Row],[LC Fill Date]]),"")</f>
        <v/>
      </c>
      <c r="DR34" s="356" t="str">
        <f>IF(ISNUMBER(SnapshotTable[[#This Row],[LC Term]]), SnapshotTable[[#This Row],[LC Exp Date]] - MockToday, "")</f>
        <v/>
      </c>
      <c r="DS34" s="219" t="str">
        <f>IF(SnapshotTable[[#This Row],[LC Premium]]&gt;0,SnapshotTable[[#This Row],[LC Strike Price]] + SnapshotTable[[#This Row],[LC Book Price]],"")</f>
        <v/>
      </c>
      <c r="DT34" s="5"/>
      <c r="DU34" s="9" t="str">
        <f>IF(AND(SnapshotTable[[#This Row],[LC Symbol Count]]&gt;0, SnapshotTable[[#This Row],[LC Contract Value]]&gt;0), SnapshotTable[[#This Row],[LC Contract Value]] * SnapshotTable[[#This Row],[LC Qty]] * 100, "")</f>
        <v/>
      </c>
      <c r="DV34" s="9" t="str">
        <f>IF(AND(ISNUMBER(SnapshotTable[[#This Row],[LC Total Value]]), SnapshotTable[[#This Row],[LC Not Filled]]&lt;&gt;"Y"), SnapshotTable[[#This Row],[LC Total Value]]-SnapshotTable[[#This Row],[LC Premium]],"")</f>
        <v/>
      </c>
      <c r="DW34" s="225" t="str">
        <f>IF(ISNUMBER(SnapshotTable[[#This Row],[LC Actual Gain Loss]]), SnapshotTable[[#This Row],[LC Actual Gain Loss]] / SnapshotTable[[#This Row],[LC Premium]],"")</f>
        <v/>
      </c>
      <c r="DX34" s="269" t="str">
        <f>IF(ISNUMBER(SnapshotTable[[#This Row],[LC Book Price]]),SnapshotTable[[#This Row],[LC Book Price]] * 1.5,"")</f>
        <v/>
      </c>
      <c r="DY34" s="250" t="str">
        <f>IF(SnapshotTable[[#This Row],[LC Premium]]&gt;0, SnapshotTable[[#This Row],[LC Next Target]] * SnapshotTable[[#This Row],[LC Qty]] * 100,"")</f>
        <v/>
      </c>
      <c r="DZ34" s="250" t="str">
        <f>IF(ISNUMBER(SnapshotTable[[#This Row],[LC Target Gross]]), SnapshotTable[[#This Row],[LC Target Gross]] - SnapshotTable[[#This Row],[LC Premium]], "")</f>
        <v/>
      </c>
      <c r="EA34" s="283" t="str">
        <f>IF(ISNUMBER(SnapshotTable[[#This Row],[LC Target Gain Loss]]), SnapshotTable[[#This Row],[LC Target Gain Loss]]/SnapshotTable[[#This Row],[LC Premium]], "")</f>
        <v/>
      </c>
      <c r="EB34" s="247"/>
      <c r="EC34" s="268" t="str">
        <f>IF(SnapshotTable[[#This Row],[LC Premium]]&gt;0, SnapshotTable[[#This Row],[LC Book Price]] * (1 - LC_StopLoss_Pct),"")</f>
        <v/>
      </c>
      <c r="ED34" s="269"/>
      <c r="EE34" s="268" t="str">
        <f>IF(ISNUMBER(SnapshotTable[[#This Row],[LC Contract Value]]),IF(ISNUMBER(SnapshotTable[[#This Row],[LC Stop Loss Override]]), SnapshotTable[[#This Row],[LC Stop Loss Override]],SnapshotTable[[#This Row],[LC Stop Loss Calc Target]]),"")</f>
        <v/>
      </c>
      <c r="EF34" s="31" t="str">
        <f>IF(ISNUMBER(SnapshotTable[[#This Row],[LC Stop  To Use]]), (SnapshotTable[[#This Row],[LC Stop  To Use]] * SnapshotTable[[#This Row],[LC Qty]] * 100),"")</f>
        <v/>
      </c>
      <c r="EG34" s="9" t="str">
        <f>IF(ISNUMBER(SnapshotTable[[#This Row],[LC Total Value]]),SnapshotTable[[#This Row],[LC Stop Loss Amount]] - SnapshotTable[[#This Row],[LC Premium]],"")</f>
        <v/>
      </c>
      <c r="EH34" s="9">
        <f>IF(ISNUMBER(SnapshotTable[[#This Row],[LC Premium]]), SnapshotTable[[#This Row],[LC Qty]] * 100 * SnapshotTable[[#This Row],[LC Strike Price]], "")</f>
        <v>0</v>
      </c>
      <c r="EI34" s="225" t="str">
        <f>IF(AND(ISNUMBER(SnapshotTable[[#This Row],[LC Total Value]]),SnapshotTable[[#This Row],[LC Total Value]]&gt;0),SnapshotTable[[#This Row],[LC Stop Gain Loss]]  / SnapshotTable[[#This Row],[LC Premium]],"")</f>
        <v/>
      </c>
      <c r="EJ34" s="35">
        <f>IF(ISNUMBER(SnapshotTable[[#This Row],[Equity Shares]]),TRUNC(SnapshotTable[[#This Row],[Equity Shares]] / 100),0) + SnapshotTable[[#This Row],[LC Qty]]</f>
        <v>0</v>
      </c>
      <c r="EK34" s="145"/>
      <c r="EL34" s="136"/>
      <c r="EM34" s="146"/>
      <c r="EN34" s="145"/>
      <c r="EO34" s="145"/>
      <c r="EP34" s="136"/>
      <c r="EQ34" s="382" t="b">
        <f>AND(ISNUMBER(SnapshotTable[[#This Row],[SC Exp Date]]), ISNUMBER(SnapshotTable[[#This Row],[SC Strike Price]]), ISNUMBER(SnapshotTable[[#This Row],[SC Qty]]), ISNUMBER(SnapshotTable[[#This Row],[SC Book Date]]), ISNUMBER(SnapshotTable[[#This Row],[SC Book Price]]))</f>
        <v>0</v>
      </c>
      <c r="ER34" s="382" t="b">
        <f>AND(SnapshotTable[[#This Row],[SC Is Booked]], NOT(ISBLANK(SnapshotTable[[#This Row],[SC Fill Date]])))</f>
        <v>0</v>
      </c>
      <c r="ES34" s="340"/>
      <c r="ET34" s="34" t="str">
        <f>IF(AND(ISNUMBER(SnapshotTable[[#This Row],[SC Exp Date]]), ISNUMBER(SnapshotTable[[#This Row],[SC Book Date]])), SnapshotTable[[#This Row],[SC Exp Date]] - MAX(SnapshotTable[[#This Row],[SC Book Date]], SnapshotTable[[#This Row],[SC Fill Date]]) + 1, "")</f>
        <v/>
      </c>
      <c r="EU34" s="34" t="str">
        <f>IF(ISNUMBER(SnapshotTable[[#This Row],[SC Term]]), SnapshotTable[[#This Row],[SC Exp Date]]- MockToday, "")</f>
        <v/>
      </c>
      <c r="EV34" s="31">
        <f>IF(SnapshotTable[[#This Row],[SC Is Booked]], SnapshotTable[[#This Row],[SC Qty]] * SnapshotTable[[#This Row],[SC Book Price]] * 100, 0)</f>
        <v>0</v>
      </c>
      <c r="EW34" s="4" t="str">
        <f>IF(AND(ISNUMBER(SnapshotTable[[#This Row],[Last Price]]), ISNUMBER( SnapshotTable[[#This Row],[SC Book Price]])), SnapshotTable[[#This Row],[Last Price]] - SnapshotTable[[#This Row],[SC Book Price]],"")</f>
        <v/>
      </c>
      <c r="EX34" s="219" t="str">
        <f>IF(SnapshotTable[[#This Row],[SC Is Booked]],IF(SnapshotTable[[#This Row],[SC Intrinsic Value]] &gt; 0, SnapshotTable[[#This Row],[SC Strike Price]], SnapshotTable[[#This Row],[Last Price]]), "")</f>
        <v/>
      </c>
      <c r="EY34" s="4">
        <f>IF(SnapshotTable[[#This Row],[SC Is Booked]], (MinimumPremiumRequired * SnapshotTable[[#This Row],[SC Basis]] * SnapshotTable[[#This Row],[SC Term]]), 0)</f>
        <v>0</v>
      </c>
      <c r="EZ34" s="268"/>
      <c r="FA34" s="204"/>
      <c r="FB34" s="340"/>
      <c r="FC34" s="4">
        <f>IF(SnapshotTable[[#This Row],[SC Is Filled]], btc_max_buyback_amount(SnapshotTable[[#This Row],[SC Fill Date]],SnapshotTable[[#This Row],[SC Exp Date]], SnapshotTable[[#This Row],[SC Book Price]]),0)</f>
        <v>0</v>
      </c>
      <c r="FD34" s="5"/>
      <c r="FE34" s="142" t="str">
        <f>IF(SnapshotTable[[#This Row],[SC Is Filled]], btc_next_cutoff_date(SnapshotTable[[#This Row],[SC Fill Date]],SnapshotTable[[#This Row],[SC Exp Date]]),"")</f>
        <v/>
      </c>
      <c r="FF34" s="4" t="str" cm="1">
        <f t="array" ref="FF34">IF(SnapshotTable[[#This Row],[SC Is Filled]], btc_should_buy_back(SnapshotTable[[#This Row],[SC Fill Date]], SnapshotTable[[#This Row],[SC Exp Date]], SnapshotTable[[#This Row],[SC Book Price]], SnapshotTable[[#This Row],[SC Current Ask]], MockToday, SnapshotTable[[#This Row],[SC Buyback Override]]),"")</f>
        <v/>
      </c>
      <c r="FG34" s="4">
        <f>IF(SnapshotTable[[#This Row],[SC Is Filled]], MAX(0,SnapshotTable[[#This Row],[Last Price]]  - SnapshotTable[[#This Row],[SC Strike Price]]), 0)</f>
        <v>0</v>
      </c>
      <c r="FH34" s="352">
        <f>IF(SnapshotTable[[#This Row],[SC Is Filled]], IF(ISNUMBER(SnapshotTable[[#This Row],[SC Current Ask]]), SnapshotTable[[#This Row],[SC Current Ask]], SnapshotTable[[#This Row],[SC Book Price]]) - SnapshotTable[[#This Row],[SC Intrinsic Value]], 0)</f>
        <v>0</v>
      </c>
      <c r="FI34" s="141"/>
      <c r="FJ34" s="32" t="str">
        <f>IF(SnapshotTable[[#This Row],[SC Is Filled]],100 * SnapshotTable[[#This Row],[SC Qty]] * IF(ISNUMBER(SnapshotTable[[#This Row],[SC Buyback Override]]), SnapshotTable[[#This Row],[SC Buyback Override]], SnapshotTable[[#This Row],[SC Current Ask]]), "")</f>
        <v/>
      </c>
      <c r="FK34" s="235" t="str">
        <f>IF(SnapshotTable[[#This Row],[SC Time Val]]&gt;0, SnapshotTable[[#This Row],[SC Time Val]] / SnapshotTable[[#This Row],[Last Price]],"")</f>
        <v/>
      </c>
      <c r="FL34" s="280" t="str">
        <f>IF(SnapshotTable[[#This Row],[SC Is Booked]], ((SnapshotTable[[#This Row],[Last Price]] -SnapshotTable[[#This Row],[SC Strike Price]]) / SnapshotTable[[#This Row],[Last Price]]) * -1, "")</f>
        <v/>
      </c>
      <c r="FM34" s="155" t="str">
        <f>IF(SnapshotTable[[#This Row],[SC Is Booked]],  (SnapshotTable[[#This Row],[SC Qty]] * 100 * SnapshotTable[[#This Row],[SC Strike Price]]) - SnapshotTable[[#This Row],[SC Current Ask]], "")</f>
        <v/>
      </c>
      <c r="FN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4" s="31" t="str">
        <f>IF(AND(ISNUMBER(SnapshotTable[[#This Row],[SC Exercise Gross]]), ISNUMBER(SnapshotTable[[#This Row],[Equity Basis Per Share]] )), SnapshotTable[[#This Row],[SC Exercise Gross]] - SnapshotTable[[#This Row],[Equity Basis Total]] +  SnapshotTable[[#This Row],[SC Premium]], "")</f>
        <v/>
      </c>
      <c r="FP34" s="5" t="str">
        <f>IF(ISNUMBER(SnapshotTable[[#This Row],[SC Exercise Gross]]), (SnapshotTable[[#This Row],[SC Exercise Gross]]) / (SnapshotTable[[#This Row],[SC Qty]] * 100), "")</f>
        <v/>
      </c>
      <c r="FQ34" s="27" t="str">
        <f>IF(SnapshotTable[[#This Row],[SC Is Booked]],SnapshotTable[[#This Row],[SC Time Val]] /SnapshotTable[[#This Row],[SC Basis]], "")</f>
        <v/>
      </c>
      <c r="FR34" s="27" t="str" cm="1">
        <f t="array" ref="FR34">IF(AND(ISNUMBER(SnapshotTable[[#This Row],[SC Term]]),ISNUMBER(SnapshotTable[[#This Row],[SC Simple ROO]])), EllmanAnnualize(SnapshotTable[[#This Row],[SC DTE]], SnapshotTable[[#This Row],[SC Simple ROO]] ),"")</f>
        <v/>
      </c>
      <c r="FS34" s="4">
        <f>IF(SnapshotTable[[#This Row],[SC Strike Price]] &gt; SnapshotTable[[#This Row],[Last Price]], SnapshotTable[[#This Row],[SC Strike Price]] - SnapshotTable[[#This Row],[Last Price]],0)</f>
        <v>0</v>
      </c>
      <c r="FT34" s="27" t="str">
        <f>IF(AND(ISNUMBER(SnapshotTable[[#This Row],[SC Upside Potential]]), SnapshotTable[[#This Row],[SC Upside Potential]] &gt; 0),(SnapshotTable[[#This Row],[SC Upside Potential]]/ SnapshotTable[[#This Row],[ACB]]),"")</f>
        <v/>
      </c>
      <c r="FU34" s="304" t="str">
        <f>IF(SnapshotTable[[#This Row],[SC Intrinsic Value]] &gt; 0,SnapshotTable[[#This Row],[SC Intrinsic Value]],"")</f>
        <v/>
      </c>
      <c r="FV34" s="27" t="str">
        <f>IF(AND( ISNUMBER( SnapshotTable[[#This Row],[ACB]]),ISNUMBER(SnapshotTable[[#This Row],[SC Downside Protect]])),SnapshotTable[[#This Row],[SC Downside Protect]] / SnapshotTable[[#This Row],[ACB]],"")</f>
        <v/>
      </c>
      <c r="FW34" s="221" t="str">
        <f>IF(AND(ISNUMBER(SnapshotTable[[#This Row],[SC Simple ROO]]),SnapshotTable[[#This Row],[SC Simple ROO]] &gt; 0), SnapshotTable[[#This Row],[SC Premium]] + (SnapshotTable[[#This Row],[SC Qty]] * SnapshotTable[[#This Row],[SC Upside Potential]]), "")</f>
        <v/>
      </c>
      <c r="FX34" s="280" t="str" cm="1">
        <f t="array" ref="FX34">IF(ISNUMBER(SnapshotTable[[#This Row],[SC Max Dollars]]), annualize(SnapshotTable[[#This Row],[SC Term]],(SnapshotTable[[#This Row],[SC Max Dollars]]/SnapshotTable[[#This Row],[SC Basis]])),"")</f>
        <v/>
      </c>
      <c r="FY34" s="221" t="str">
        <f>IF(AND(SnapshotTable[[#This Row],[SC Qty]]&gt;0,SnapshotTable[[#This Row],[SC Current Ask]]&gt;0), SnapshotTable[[#This Row],[SC Qty]] * SnapshotTable[[#This Row],[SC Current Ask]] * -100, "")</f>
        <v/>
      </c>
      <c r="FZ34" s="31" t="str">
        <f>IF(ISNUMBER((SnapshotTable[[#This Row],[SC Current Value]])), SnapshotTable[[#This Row],[SC Premium]] + SnapshotTable[[#This Row],[SC Current Value]], "")</f>
        <v/>
      </c>
      <c r="GA34" s="272" t="str">
        <f>IFERROR( IF(ISNUMBER((SnapshotTable[[#This Row],[SC Current Value]])), SnapshotTable[[#This Row],[SC Gain Loss]] / SnapshotTable[[#This Row],[SC Premium]], ""), "")</f>
        <v/>
      </c>
      <c r="GB34" s="42">
        <f>SnapshotTable[[#This Row],[Equity Shares]] * SaleSharesToConsiderPercentage</f>
        <v>0</v>
      </c>
      <c r="GC34" s="40">
        <f>SnapshotTable[[#This Row],[Long Term Target]] * SellingPriceToConsiderBasedOnTargetPercentage</f>
        <v>53.238</v>
      </c>
      <c r="GD34" s="40">
        <f>SnapshotTable[[#This Row],[Last Price]] * (1+ SellingPriceToConsiderBasedOnTargetPercentage)</f>
        <v>70.551000000000002</v>
      </c>
      <c r="GE34" s="41"/>
      <c r="GF34" s="40"/>
      <c r="GG34" s="31">
        <f>SnapshotTable[[#This Row],[Booked Sale Shares]] * SnapshotTable[[#This Row],[Booked Sale Price]]</f>
        <v>0</v>
      </c>
      <c r="GH34" s="31" t="str">
        <f>IF(SnapshotTable[[#This Row],[Equity Basis Total]] &gt; 0, SnapshotTable[[#This Row],[Equity Basis Per Share]] * SnapshotTable[[#This Row],[Booked Sale Shares]], "")</f>
        <v/>
      </c>
      <c r="GI34" s="31">
        <f>IF(SnapshotTable[[#This Row],[Sale Proceeds]]&gt;0, SnapshotTable[[#This Row],[Sale Proceeds]] - SnapshotTable[[#This Row],[Sale Basis]], 0)</f>
        <v>0</v>
      </c>
      <c r="GJ34" s="27" t="str">
        <f>IF(SnapshotTable[[#This Row],[Sale G/L]]&gt;0, SnapshotTable[[#This Row],[Sale G/L]] / SnapshotTable[[#This Row],[Sale Basis]], IF(ISNUMBER(SnapshotTable[[#This Row],[SC Exercise P&amp;L (TAX)]]), SnapshotTable[[#This Row],[SC Exercise P&amp;L (TAX)]] / SnapshotTable[[#This Row],[SC Basis]], ""))</f>
        <v/>
      </c>
      <c r="GK34" s="27" t="s">
        <v>517</v>
      </c>
      <c r="GL34" s="43" t="str">
        <f>IF(AND(SnapshotTable[[#This Row],[LP Exp Date]]&gt;0,SnapshotTable[[#This Row],[LP Strike Price]]&gt;0), [1]!ToOptionSymbol(SnapshotTable[[#This Row],[Symbol]], SnapshotTable[[#This Row],[LP Strike Price]],SnapshotTable[[#This Row],[LP Exp Date]],1), "")</f>
        <v/>
      </c>
      <c r="GM34" s="30" t="str">
        <f>IF(LEN(SnapshotTable[[#This Row],[LP Symbol]])&gt;0, 1, "")</f>
        <v/>
      </c>
      <c r="GN34" s="43" t="str">
        <f>IF(AND(SnapshotTable[[#This Row],[SP Exp Date]]&gt;0,SnapshotTable[[#This Row],[SP Strike Price]]&gt;0), [1]!ToOptionSymbol(SnapshotTable[[#This Row],[Symbol]], SnapshotTable[[#This Row],[SP Strike Price]],SnapshotTable[[#This Row],[SP Exp Date]],1), "")</f>
        <v/>
      </c>
      <c r="GO34" s="30" t="str">
        <f>IF(LEN(SnapshotTable[[#This Row],[SP Symbol]])&gt;0, 1, "")</f>
        <v/>
      </c>
      <c r="GP34" s="43" t="str">
        <f>IF(AND(SnapshotTable[[#This Row],[LC Exp Date]]&gt;0,SnapshotTable[[#This Row],[LC Strike Price]]&gt;0), [1]!ToOptionSymbol(SnapshotTable[[#This Row],[Symbol]], SnapshotTable[[#This Row],[LC Strike Price]],SnapshotTable[[#This Row],[LC Exp Date]],0), "")</f>
        <v/>
      </c>
      <c r="GQ34" s="30" t="str">
        <f>IF(LEN(SnapshotTable[[#This Row],[LC Symbol]])&gt;0, 1, "")</f>
        <v/>
      </c>
      <c r="GR34" s="43" t="str">
        <f>IF(AND(SnapshotTable[[#This Row],[SC Exp Date]]&gt;0,SnapshotTable[[#This Row],[SC Strike Price]]&gt;0), [1]!ToOptionSymbol(SnapshotTable[[#This Row],[Symbol]], SnapshotTable[[#This Row],[SC Strike Price]],SnapshotTable[[#This Row],[SC Exp Date]],0), "")</f>
        <v/>
      </c>
      <c r="GS34" s="30" t="str">
        <f>IF(LEN(SnapshotTable[[#This Row],[SC Symbol]])&gt;0, 1, "")</f>
        <v/>
      </c>
      <c r="GT34" s="29" t="str">
        <f>IF(COUNT(SnapshotTable[[#This Row],[LP Symbol Count]],SnapshotTable[[#This Row],[SP Symbol Count]],SnapshotTable[[#This Row],[LC Symbol Count]],SnapshotTable[[#This Row],[SC Symbol Count]])&gt;0, "Y", "")</f>
        <v/>
      </c>
      <c r="GU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4" s="216">
        <f>MAX(SnapshotTable[[#This Row],[Equity Basis Total]],SnapshotTable[[#This Row],[Equity Value]]) + (SnapshotTable[[#This Row],[SP Potential Spend]]- SnapshotTable[[#This Row],[SP Premium]] + SnapshotTable[[#This Row],[LP Premium]])+ (SnapshotTable[[#This Row],[LC Premium]] - SnapshotTable[[#This Row],[SC Premium]])</f>
        <v>0</v>
      </c>
      <c r="GW34" s="137" t="str">
        <f>IF(AND(SnapshotTable[[#This Row],[Exposure]] &lt;&gt; 0),SnapshotTable[[#This Row],[Exposure]] / SnapshotTable[[#Totals],[Exposure]], "")</f>
        <v/>
      </c>
      <c r="GY34" s="351"/>
      <c r="HE34" s="253"/>
      <c r="HF34" s="253"/>
      <c r="HG34" s="351"/>
      <c r="HH34" s="351"/>
      <c r="HI34" s="351"/>
      <c r="HJ34" s="351"/>
    </row>
    <row r="35" spans="2:224" s="45" customFormat="1" ht="12.75" hidden="1" customHeight="1" x14ac:dyDescent="0.25">
      <c r="B35" s="12" t="s">
        <v>171</v>
      </c>
      <c r="C35" s="385">
        <v>20.71</v>
      </c>
      <c r="D35" s="200"/>
      <c r="E35" s="39">
        <f>SnapshotTable[[#This Row],[Last Price]]*(1 -CrashDiscount)</f>
        <v>17.6035</v>
      </c>
      <c r="F35" s="26" t="s">
        <v>764</v>
      </c>
      <c r="G35" s="26" t="s">
        <v>630</v>
      </c>
      <c r="H35" s="147"/>
      <c r="I35" s="186">
        <v>44776.708333333336</v>
      </c>
      <c r="J35" s="187">
        <v>44776.708333333336</v>
      </c>
      <c r="K35" s="188"/>
      <c r="L35" s="297"/>
      <c r="M35" s="138"/>
      <c r="N35" s="138"/>
      <c r="O35" s="138"/>
      <c r="P35" s="22"/>
      <c r="Q35" s="25"/>
      <c r="R35" s="4"/>
      <c r="S35" s="254">
        <f>SnapshotTable[[#This Row],[Last Price]] * SnapshotTable[[#This Row],[Equity Shares]]</f>
        <v>0</v>
      </c>
      <c r="T35" s="254">
        <f>SnapshotTable[[#This Row],[Equity Value]] - SnapshotTable[[#This Row],[Equity Basis Total]]</f>
        <v>0</v>
      </c>
      <c r="U35" s="255" t="str">
        <f>IF(SnapshotTable[[#This Row],[Equity Basis Total]] &gt; 0, SnapshotTable[[#This Row],[Equity G/L]] / SnapshotTable[[#This Row],[Equity Basis Total]], "")</f>
        <v/>
      </c>
      <c r="V35" s="253"/>
      <c r="W35" s="253"/>
      <c r="X35" s="4" t="str">
        <f>IF(AND(ISNUMBER(SnapshotTable[[#This Row],[Equity Basis Per Share]]),ISNUMBER(SnapshotTable[[#This Row],[Equity Target]])),SnapshotTable[[#This Row],[Equity Target]]-SnapshotTable[[#This Row],[Equity Basis Per Share]],"")</f>
        <v/>
      </c>
      <c r="Y35" s="4" t="str">
        <f>IF(AND(ISNUMBER(SnapshotTable[[#This Row],[Equity Basis Per Share]]),ISNUMBER(SnapshotTable[[#This Row],[Equity Stop Loss]])),SnapshotTable[[#This Row],[Equity Stop Loss]]-SnapshotTable[[#This Row],[Equity Basis Per Share]],"")</f>
        <v/>
      </c>
      <c r="Z35" s="260" t="str">
        <f>IFERROR( TEXT(SnapshotTable[[#This Row],[Equity Max Gain Per Share]] /ABS( SnapshotTable[[#This Row],[Equity Max Loss Per Share]]),"0.0 " ) &amp; " : 1", "")</f>
        <v/>
      </c>
      <c r="AA35" s="31" t="str">
        <f>IF(ISNUMBER(SnapshotTable[[#This Row],[Equity Max Gain Per Share]]),SnapshotTable[[#This Row],[Equity Max Gain Per Share]] * SnapshotTable[[#This Row],[Equity Shares]],"")</f>
        <v/>
      </c>
      <c r="AB35" s="31" t="str">
        <f>IF(ISNUMBER(SnapshotTable[[#This Row],[Equity Max Loss Per Share]]),SnapshotTable[[#This Row],[Equity Max Loss Per Share]] * SnapshotTable[[#This Row],[Equity Shares]],"")</f>
        <v/>
      </c>
      <c r="AC35" s="148">
        <v>0.2</v>
      </c>
      <c r="AD35" s="149">
        <v>42452</v>
      </c>
      <c r="AE35" s="31">
        <f>(SnapshotTable[[#This Row],[Annual Dividend Per Share]] / 4) * SnapshotTable[[#This Row],[Equity Shares]]</f>
        <v>0</v>
      </c>
      <c r="AF35" s="31">
        <f>SnapshotTable[[#This Row],[Quarterly Div $]] * 4</f>
        <v>0</v>
      </c>
      <c r="AG35" s="7">
        <f>IF(SnapshotTable[[#This Row],[Annual Dividend Per Share]]&gt;0, SnapshotTable[[#This Row],[Annual Dividend Per Share]]  / SnapshotTable[[#This Row],[Last Price]], 0)</f>
        <v>9.6571704490584255E-3</v>
      </c>
      <c r="AH35" s="149">
        <v>42341</v>
      </c>
      <c r="AI35" s="5">
        <v>65</v>
      </c>
      <c r="AJ35" s="136">
        <v>19.61</v>
      </c>
      <c r="AK35" s="150">
        <f>IF(ISNUMBER( SnapshotTable[[#This Row],[EBF Target]]),(SnapshotTable[[#This Row],[EBF Target]] - SnapshotTable[[#This Row],[Last Price]]) / SnapshotTable[[#This Row],[Last Price]], "")</f>
        <v>2.1385803959439884</v>
      </c>
      <c r="AL35" s="150" t="str">
        <f>IF(AND(SnapshotTable[[#This Row],[Equity Basis Total]] &gt; 0,ISNUMBER( SnapshotTable[[#This Row],[Long Term Target]])), SnapshotTable[[#This Row],[From Basis $]] / SnapshotTable[[#This Row],[Equity Basis Total]], "")</f>
        <v/>
      </c>
      <c r="AM35" s="9">
        <f>IF( AND(SnapshotTable[[#This Row],[Equity Shares]] &gt;0,ISNUMBER( SnapshotTable[[#This Row],[Long Term Target]])),(SnapshotTable[[#This Row],[Equity Shares]] * SnapshotTable[[#This Row],[Long Term Target]]) - SnapshotTable[[#This Row],[Equity Basis Total]],0)</f>
        <v>0</v>
      </c>
      <c r="AN35" s="9">
        <f>IF( AND(SnapshotTable[[#This Row],[Equity Shares]] &gt;0,ISNUMBER( SnapshotTable[[#This Row],[Long Term Target]])),(SnapshotTable[[#This Row],[Equity Shares]]*SnapshotTable[[#This Row],[Long Term Target]]) - SnapshotTable[[#This Row],[Equity Value]],0)</f>
        <v>0</v>
      </c>
      <c r="AO35" s="150">
        <f>IF(AND(ISNUMBER( SnapshotTable[[#This Row],[Long Term Target]]), ISNUMBER(SnapshotTable[[#This Row],[Last Price]])),(SnapshotTable[[#This Row],[Long Term Target]] - SnapshotTable[[#This Row],[Last Price]]) / SnapshotTable[[#This Row],[Last Price]], "")</f>
        <v>-5.3114437469821411E-2</v>
      </c>
      <c r="AP35" s="5">
        <v>8</v>
      </c>
      <c r="AQ35" s="38" t="s">
        <v>16</v>
      </c>
      <c r="AR35" s="5">
        <v>8</v>
      </c>
      <c r="AS35" s="38" t="s">
        <v>22</v>
      </c>
      <c r="AT35" s="144" t="s">
        <v>442</v>
      </c>
      <c r="AU35" s="185" t="str">
        <f>IF(OR(SnapshotTable[[#This Row],[LP No Fill]]="Y",SnapshotTable[[#This Row],[SP Is Filled]],SnapshotTable[[#This Row],[LC Not Filled]]="Y",SnapshotTable[[#This Row],[SC Is Filled]]),"Y","")</f>
        <v/>
      </c>
      <c r="AV35" s="205"/>
      <c r="AW35" s="211"/>
      <c r="AX35" s="206"/>
      <c r="AY35" s="205" t="str">
        <f>IF(SnapshotTable[[#This Row],[Implied Move]]&gt;0, SnapshotTable[[#This Row],[Last Price]]-SnapshotTable[[#This Row],[Implied Move]],"")</f>
        <v/>
      </c>
      <c r="AZ35" s="205" t="str">
        <f>IF(SnapshotTable[[#This Row],[Implied Move]]&gt;0, SnapshotTable[[#This Row],[Last Price]] + SnapshotTable[[#This Row],[Implied Move]],"")</f>
        <v/>
      </c>
      <c r="BA35" s="302"/>
      <c r="BB35" s="318"/>
      <c r="BC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5" s="321"/>
      <c r="BE35" s="5"/>
      <c r="BF35" s="14"/>
      <c r="BG35" s="13"/>
      <c r="BH35" s="13"/>
      <c r="BI35" s="5"/>
      <c r="BJ35" s="134">
        <f>IF(SnapshotTable[[#This Row],[LP Qty]] &gt; 0, SnapshotTable[[#This Row],[LP Qty]] * SnapshotTable[[#This Row],[LP Book Price]] * 100,0)</f>
        <v>0</v>
      </c>
      <c r="BK35" s="134">
        <f>IF(SnapshotTable[[#This Row],[LP Premium]] &gt; 0, SnapshotTable[[#This Row],[LP Qty]] * SnapshotTable[[#This Row],[LP Strike Price]] * 100,0)</f>
        <v>0</v>
      </c>
      <c r="BL35" s="152"/>
      <c r="BM35" s="355" t="str">
        <f>IF(SnapshotTable[[#This Row],[LP Premium]] &gt; 0,SnapshotTable[[#This Row],[LP Exp Date]]-MAX(SnapshotTable[[#This Row],[LP Book Date]], SnapshotTable[[#This Row],[LP Fill Date]]),"")</f>
        <v/>
      </c>
      <c r="BN35" s="355" t="str">
        <f>IF(ISNUMBER( SnapshotTable[[#This Row],[LP Term]]), SnapshotTable[[#This Row],[LP Exp Date]] - MockToday,"")</f>
        <v/>
      </c>
      <c r="BO35" s="161" t="str">
        <f>IF(AND(SnapshotTable[[#This Row],[LP Exp Date]]&gt;0, SnapshotTable[[#This Row],[LP Strike Price]]&gt;0,SnapshotTable[[#This Row],[LP Qty]]&gt;0,SnapshotTable[[#This Row],[LP Book Date]]&gt;0,SnapshotTable[[#This Row],[LP Book Price]]&gt;0,SnapshotTable[[#This Row],[LP Fill Date]]=0),"Y","")</f>
        <v/>
      </c>
      <c r="BP35" s="31" t="str">
        <f>IF(AND(SnapshotTable[[#This Row],[LP No Fill]]&lt;&gt;"Y",SnapshotTable[[#This Row],[LP Contract Value]]&gt;0, SnapshotTable[[#This Row],[LP Qty]]&gt;0), SnapshotTable[[#This Row],[LP Contract Value]]*SnapshotTable[[#This Row],[LP Qty]]*100,"")</f>
        <v/>
      </c>
      <c r="BQ35" s="13"/>
      <c r="BR35" s="5"/>
      <c r="BS35" s="36"/>
      <c r="BT35" s="145"/>
      <c r="BU35" s="13"/>
      <c r="BV35" s="5"/>
      <c r="BW35" s="382" t="b">
        <f>AND(ISNUMBER(SnapshotTable[[#This Row],[SP Exp Date]]), ISNUMBER(SnapshotTable[[#This Row],[SP Strike Price]]), ISNUMBER(SnapshotTable[[#This Row],[SP Qty]]), ISNUMBER(SnapshotTable[[#This Row],[SP Book Date]]), ISNUMBER(SnapshotTable[[#This Row],[SP Book Price]]))</f>
        <v>0</v>
      </c>
      <c r="BX35" s="382" t="b">
        <f>AND(SnapshotTable[[#This Row],[SP Is Booked]], NOT(ISBLANK(SnapshotTable[[#This Row],[SP Fill Date]])))</f>
        <v>0</v>
      </c>
      <c r="BY35" s="33">
        <f>IF(SnapshotTable[[#This Row],[SP Is Booked]], SnapshotTable[[#This Row],[SP Qty]] * SnapshotTable[[#This Row],[SP Book Price]] * 100, 0)</f>
        <v>0</v>
      </c>
      <c r="BZ35" s="339"/>
      <c r="CA35" s="338">
        <f>SnapshotTable[[#This Row],[LP Qty]]</f>
        <v>0</v>
      </c>
      <c r="CB35" s="4" t="str">
        <f>IF(SnapshotTable[[#This Row],[SP Is Booked]], SnapshotTable[[#This Row],[SP Strike Price]] - SnapshotTable[[#This Row],[SP Book Price]], "")</f>
        <v/>
      </c>
      <c r="CC35" s="19" t="str">
        <f>IF(SnapshotTable[[#This Row],[SP Is Booked]],SnapshotTable[[#This Row],[SP Exp Date]]-MAX(SnapshotTable[[#This Row],[SP Book Date]], SnapshotTable[[#This Row],[SP Fill Date]]),"")</f>
        <v/>
      </c>
      <c r="CD35" s="7" t="str">
        <f>IF(SnapshotTable[[#This Row],[SP Is Booked]], SnapshotTable[[#This Row],[SP Book Price]]/SnapshotTable[[#This Row],[SP Strike Price]], "")</f>
        <v/>
      </c>
      <c r="CE35" s="7" t="str">
        <f>IF(ISNUMBER(SnapshotTable[[#This Row],[SP ROO Term]]),SnapshotTable[[#This Row],[SP ROO Term]]*(365/SnapshotTable[[#This Row],[SP Term]]),"")</f>
        <v/>
      </c>
      <c r="CF35" s="221">
        <f>SnapshotTable[[#This Row],[LP Strike Price]] * SnapshotTable[[#This Row],[LP Qty]] * 100</f>
        <v>0</v>
      </c>
      <c r="CG35" s="31">
        <f>IF(ISNUMBER(SnapshotTable[[#This Row],[SP Premium]]), (SnapshotTable[[#This Row],[SP Qty]] * SnapshotTable[[#This Row],[SP Strike Price]]* 100) - SnapshotTable[[#This Row],[LP Protection]], 0)</f>
        <v>0</v>
      </c>
      <c r="CH35" s="7" t="str">
        <f>IF(ISNUMBER(SnapshotTable[[#This Row],[SP Break Even]]),-1 * (SnapshotTable[[#This Row],[SP Break Even]] - SnapshotTable[[#This Row],[Last Price]]) / SnapshotTable[[#This Row],[Last Price]], "")</f>
        <v/>
      </c>
      <c r="CI35" s="31">
        <f>IF(AND(ISNUMBER((SnapshotTable[[#This Row],[SP Potential Spend]])), SnapshotTable[[#This Row],[SP Strike Price]] &gt; SnapshotTable[[#This Row],[Last Price]], SnapshotTable[[#This Row],[SP Is Filled]]), SnapshotTable[[#This Row],[SP Potential Spend]] -  SnapshotTable[[#This Row],[LP Max Value]], 0)</f>
        <v>0</v>
      </c>
      <c r="CJ35" s="229"/>
      <c r="CK35" s="31">
        <f>IF(ISNUMBER(SnapshotTable[[#This Row],[SP Potential Spend]]),IF(ISNUMBER(SnapshotTable[[#This Row],[SP POW]]), SnapshotTable[[#This Row],[SP POW]] * SnapshotTable[[#This Row],[SP Potential Spend]], SnapshotTable[[#This Row],[SP Potential Spend]]), "")</f>
        <v>0</v>
      </c>
      <c r="CL35" s="162">
        <f>IF(NOT(SnapshotTable[[#This Row],[SP Is Filled]]),(SnapshotTable[[#This Row],[SP Qty]] * SnapshotTable[[#This Row],[SP Strike Price]] * 100) - SnapshotTable[[#This Row],[LP Max Value]],"")</f>
        <v>0</v>
      </c>
      <c r="CM35" s="31" t="str">
        <f>IF(SnapshotTable[[#This Row],[SP Actual Spend]]&lt;&gt;0, ((SnapshotTable[[#This Row],[SP Strike Price]]-SnapshotTable[[#This Row],[Last Price]]) *(SnapshotTable[[#This Row],[SP Qty]]*100) - SnapshotTable[[#This Row],[SP Premium]]) * - 1, "")</f>
        <v/>
      </c>
      <c r="CN35" s="76"/>
      <c r="CO35" s="339"/>
      <c r="CP35" s="4" t="str">
        <f>IF(SnapshotTable[[#This Row],[SP Is Filled]], btc_max_buyback_amount(SnapshotTable[[#This Row],[SP Fill Date]],SnapshotTable[[#This Row],[SP Exp Date]], SnapshotTable[[#This Row],[SP Book Price]]),"")</f>
        <v/>
      </c>
      <c r="CQ35" s="76"/>
      <c r="CR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5" s="153" t="str">
        <f>IF(SnapshotTable[[#This Row],[SP Is Filled]], btc_next_cutoff_date(SnapshotTable[[#This Row],[SP Fill Date]],SnapshotTable[[#This Row],[SP Exp Date]]),"")</f>
        <v/>
      </c>
      <c r="CT35" s="220" t="str" cm="1">
        <f t="array" ref="CT35">IF(SnapshotTable[[#This Row],[SP Is Filled]], btc_should_buy_back(SnapshotTable[[#This Row],[SP Fill Date]], SnapshotTable[[#This Row],[SP Exp Date]], SnapshotTable[[#This Row],[SP Book Price]], SnapshotTable[[#This Row],[SP Current Ask]], MockToday, SnapshotTable[[#This Row],[SP Buyback Override]]),"")</f>
        <v/>
      </c>
      <c r="CU35" s="141"/>
      <c r="CV35" s="220"/>
      <c r="CW35" s="348" t="str">
        <f>IF(ISNUMBER( SnapshotTable[[#This Row],[SP Term]]), SnapshotTable[[#This Row],[SP Exp Date]] - MockToday,"")</f>
        <v/>
      </c>
      <c r="CX35" s="31" t="str">
        <f>IF(SnapshotTable[[#This Row],[SP Is Filled]],SnapshotTable[[#This Row],[SP Buyback Price to Use]] * 100 * SnapshotTable[[#This Row],[SP Qty]], "")</f>
        <v/>
      </c>
      <c r="CY35" s="4" t="str">
        <f>IF(ISNUMBER(SnapshotTable[[#This Row],[SP Strike Price]]), SnapshotTable[[#This Row],[SP Strike Price]] * (1 - SP_MaxLoss_StrikePct), "")</f>
        <v/>
      </c>
      <c r="CZ35" s="31" t="str">
        <f>IF(ISNUMBER(SnapshotTable[[#This Row],[SP Strike  Stop Per Share]]),SnapshotTable[[#This Row],[SP Premium]] - ((SnapshotTable[[#This Row],[SP Strike Price]]-SnapshotTable[[#This Row],[SP Strike  Stop Per Share]]) *(SnapshotTable[[#This Row],[SP Qty]] * 100)),"")</f>
        <v/>
      </c>
      <c r="DA35" s="4" t="str">
        <f>IF(AND(ISNUMBER(SnapshotTable[[#This Row],[SP Premium]]),SnapshotTable[[#This Row],[SP Premium]]&gt;0), SnapshotTable[[#This Row],[SP Book Price]] * (1 + SP_MaxLoss_OptionPct), "")</f>
        <v/>
      </c>
      <c r="DB35" s="31" t="str">
        <f>IF(ISNUMBER(SnapshotTable[[#This Row],[SP Option  Stop Contract]]),(SnapshotTable[[#This Row],[SP Option  Stop Contract]] *(SnapshotTable[[#This Row],[SP Qty]] * 100) - SnapshotTable[[#This Row],[SP Premium]]),"")</f>
        <v/>
      </c>
      <c r="DC35" s="4"/>
      <c r="DD35" s="4"/>
      <c r="DE35" s="4" t="str">
        <f>IF(AND(SnapshotTable[[#This Row],[SP Qty]]&gt;0, SnapshotTable[[#This Row],[SP Stop To Use]]&gt;0),SnapshotTable[[#This Row],[SP Premium]] - ( SnapshotTable[[#This Row],[SP Qty]] * SnapshotTable[[#This Row],[SP Stop To Use]] * 100), "")</f>
        <v/>
      </c>
      <c r="DF35" s="31" t="str">
        <f>IF(AND(SnapshotTable[[#This Row],[SP Qty]]&gt;0,SnapshotTable[[#This Row],[SP Current Ask]]&gt;0), SnapshotTable[[#This Row],[SP Qty]] * SnapshotTable[[#This Row],[SP Current Ask]] * -100, "")</f>
        <v/>
      </c>
      <c r="DG35" s="31" t="str">
        <f>IF(ISNUMBER((SnapshotTable[[#This Row],[SP Total Value]])), SnapshotTable[[#This Row],[SP Premium]] + SnapshotTable[[#This Row],[SP Total Value]], "")</f>
        <v/>
      </c>
      <c r="DH35" s="272" t="str">
        <f>IF(ISNUMBER((SnapshotTable[[#This Row],[SP Total Value]])), SnapshotTable[[#This Row],[SP Gain Loss]] / SnapshotTable[[#This Row],[SP Premium]], "")</f>
        <v/>
      </c>
      <c r="DI35" s="369"/>
      <c r="DJ35" s="136"/>
      <c r="DK35" s="146"/>
      <c r="DL35" s="13"/>
      <c r="DM35" s="13"/>
      <c r="DN35" s="5"/>
      <c r="DO35" s="31">
        <f>IF(SnapshotTable[[#This Row],[LC Symbol Count]]=1, SnapshotTable[[#This Row],[LC Qty]] * SnapshotTable[[#This Row],[LC Book Price]] * 100, 0)</f>
        <v>0</v>
      </c>
      <c r="DP35" s="161" t="str">
        <f>IF(AND(SnapshotTable[[#This Row],[LC Exp Date]]&gt;0, SnapshotTable[[#This Row],[LC Strike Price]]&gt;0,SnapshotTable[[#This Row],[LC Qty]]&gt;0,SnapshotTable[[#This Row],[LC Book Date]]&gt;0,SnapshotTable[[#This Row],[LC Book Price]]&gt;0,SnapshotTable[[#This Row],[LC Fill Date]]=0),"Y","")</f>
        <v/>
      </c>
      <c r="DQ35" s="356" t="str">
        <f>IF(SnapshotTable[[#This Row],[LC Premium]] &gt; 0,SnapshotTable[[#This Row],[LC Exp Date]]-MAX(SnapshotTable[[#This Row],[LC Book Date]], SnapshotTable[[#This Row],[LC Fill Date]]),"")</f>
        <v/>
      </c>
      <c r="DR35" s="356" t="str">
        <f>IF(ISNUMBER(SnapshotTable[[#This Row],[LC Term]]), SnapshotTable[[#This Row],[LC Exp Date]] - MockToday, "")</f>
        <v/>
      </c>
      <c r="DS35" s="219" t="str">
        <f>IF(SnapshotTable[[#This Row],[LC Premium]]&gt;0,SnapshotTable[[#This Row],[LC Strike Price]] + SnapshotTable[[#This Row],[LC Book Price]],"")</f>
        <v/>
      </c>
      <c r="DT35" s="5"/>
      <c r="DU35" s="9" t="str">
        <f>IF(AND(SnapshotTable[[#This Row],[LC Symbol Count]]&gt;0, SnapshotTable[[#This Row],[LC Contract Value]]&gt;0), SnapshotTable[[#This Row],[LC Contract Value]] * SnapshotTable[[#This Row],[LC Qty]] * 100, "")</f>
        <v/>
      </c>
      <c r="DV35" s="9" t="str">
        <f>IF(AND(ISNUMBER(SnapshotTable[[#This Row],[LC Total Value]]), SnapshotTable[[#This Row],[LC Not Filled]]&lt;&gt;"Y"), SnapshotTable[[#This Row],[LC Total Value]]-SnapshotTable[[#This Row],[LC Premium]],"")</f>
        <v/>
      </c>
      <c r="DW35" s="225" t="str">
        <f>IF(ISNUMBER(SnapshotTable[[#This Row],[LC Actual Gain Loss]]), SnapshotTable[[#This Row],[LC Actual Gain Loss]] / SnapshotTable[[#This Row],[LC Premium]],"")</f>
        <v/>
      </c>
      <c r="DX35" s="269" t="str">
        <f>IF(ISNUMBER(SnapshotTable[[#This Row],[LC Book Price]]),SnapshotTable[[#This Row],[LC Book Price]] * 1.5,"")</f>
        <v/>
      </c>
      <c r="DY35" s="250" t="str">
        <f>IF(SnapshotTable[[#This Row],[LC Premium]]&gt;0, SnapshotTable[[#This Row],[LC Next Target]] * SnapshotTable[[#This Row],[LC Qty]] * 100,"")</f>
        <v/>
      </c>
      <c r="DZ35" s="250" t="str">
        <f>IF(ISNUMBER(SnapshotTable[[#This Row],[LC Target Gross]]), SnapshotTable[[#This Row],[LC Target Gross]] - SnapshotTable[[#This Row],[LC Premium]], "")</f>
        <v/>
      </c>
      <c r="EA35" s="283" t="str">
        <f>IF(ISNUMBER(SnapshotTable[[#This Row],[LC Target Gain Loss]]), SnapshotTable[[#This Row],[LC Target Gain Loss]]/SnapshotTable[[#This Row],[LC Premium]], "")</f>
        <v/>
      </c>
      <c r="EB35" s="247"/>
      <c r="EC35" s="268" t="str">
        <f>IF(SnapshotTable[[#This Row],[LC Premium]]&gt;0, SnapshotTable[[#This Row],[LC Book Price]] * (1 - LC_StopLoss_Pct),"")</f>
        <v/>
      </c>
      <c r="ED35" s="269"/>
      <c r="EE35" s="268" t="str">
        <f>IF(ISNUMBER(SnapshotTable[[#This Row],[LC Contract Value]]),IF(ISNUMBER(SnapshotTable[[#This Row],[LC Stop Loss Override]]), SnapshotTable[[#This Row],[LC Stop Loss Override]],SnapshotTable[[#This Row],[LC Stop Loss Calc Target]]),"")</f>
        <v/>
      </c>
      <c r="EF35" s="31" t="str">
        <f>IF(ISNUMBER(SnapshotTable[[#This Row],[LC Stop  To Use]]), (SnapshotTable[[#This Row],[LC Stop  To Use]] * SnapshotTable[[#This Row],[LC Qty]] * 100),"")</f>
        <v/>
      </c>
      <c r="EG35" s="9" t="str">
        <f>IF(ISNUMBER(SnapshotTable[[#This Row],[LC Total Value]]),SnapshotTable[[#This Row],[LC Stop Loss Amount]] - SnapshotTable[[#This Row],[LC Premium]],"")</f>
        <v/>
      </c>
      <c r="EH35" s="9">
        <f>IF(ISNUMBER(SnapshotTable[[#This Row],[LC Premium]]), SnapshotTable[[#This Row],[LC Qty]] * 100 * SnapshotTable[[#This Row],[LC Strike Price]], "")</f>
        <v>0</v>
      </c>
      <c r="EI35" s="225" t="str">
        <f>IF(AND(ISNUMBER(SnapshotTable[[#This Row],[LC Total Value]]),SnapshotTable[[#This Row],[LC Total Value]]&gt;0),SnapshotTable[[#This Row],[LC Stop Gain Loss]]  / SnapshotTable[[#This Row],[LC Premium]],"")</f>
        <v/>
      </c>
      <c r="EJ35" s="35">
        <f>IF(ISNUMBER(SnapshotTable[[#This Row],[Equity Shares]]),TRUNC(SnapshotTable[[#This Row],[Equity Shares]] / 100),0) + SnapshotTable[[#This Row],[LC Qty]]</f>
        <v>0</v>
      </c>
      <c r="EK35" s="145"/>
      <c r="EL35" s="136"/>
      <c r="EM35" s="146"/>
      <c r="EN35" s="145"/>
      <c r="EO35" s="145"/>
      <c r="EP35" s="136"/>
      <c r="EQ35" s="382" t="b">
        <f>AND(ISNUMBER(SnapshotTable[[#This Row],[SC Exp Date]]), ISNUMBER(SnapshotTable[[#This Row],[SC Strike Price]]), ISNUMBER(SnapshotTable[[#This Row],[SC Qty]]), ISNUMBER(SnapshotTable[[#This Row],[SC Book Date]]), ISNUMBER(SnapshotTable[[#This Row],[SC Book Price]]))</f>
        <v>0</v>
      </c>
      <c r="ER35" s="382" t="b">
        <f>AND(SnapshotTable[[#This Row],[SC Is Booked]], NOT(ISBLANK(SnapshotTable[[#This Row],[SC Fill Date]])))</f>
        <v>0</v>
      </c>
      <c r="ES35" s="340"/>
      <c r="ET35" s="34" t="str">
        <f>IF(AND(ISNUMBER(SnapshotTable[[#This Row],[SC Exp Date]]), ISNUMBER(SnapshotTable[[#This Row],[SC Book Date]])), SnapshotTable[[#This Row],[SC Exp Date]] - MAX(SnapshotTable[[#This Row],[SC Book Date]], SnapshotTable[[#This Row],[SC Fill Date]]) + 1, "")</f>
        <v/>
      </c>
      <c r="EU35" s="34" t="str">
        <f>IF(ISNUMBER(SnapshotTable[[#This Row],[SC Term]]), SnapshotTable[[#This Row],[SC Exp Date]]- MockToday, "")</f>
        <v/>
      </c>
      <c r="EV35" s="31">
        <f>IF(SnapshotTable[[#This Row],[SC Is Booked]], SnapshotTable[[#This Row],[SC Qty]] * SnapshotTable[[#This Row],[SC Book Price]] * 100, 0)</f>
        <v>0</v>
      </c>
      <c r="EW35" s="4" t="str">
        <f>IF(AND(ISNUMBER(SnapshotTable[[#This Row],[Last Price]]), ISNUMBER( SnapshotTable[[#This Row],[SC Book Price]])), SnapshotTable[[#This Row],[Last Price]] - SnapshotTable[[#This Row],[SC Book Price]],"")</f>
        <v/>
      </c>
      <c r="EX35" s="219" t="str">
        <f>IF(SnapshotTable[[#This Row],[SC Is Booked]],IF(SnapshotTable[[#This Row],[SC Intrinsic Value]] &gt; 0, SnapshotTable[[#This Row],[SC Strike Price]], SnapshotTable[[#This Row],[Last Price]]), "")</f>
        <v/>
      </c>
      <c r="EY35" s="4">
        <f>IF(SnapshotTable[[#This Row],[SC Is Booked]], (MinimumPremiumRequired * SnapshotTable[[#This Row],[SC Basis]] * SnapshotTable[[#This Row],[SC Term]]), 0)</f>
        <v>0</v>
      </c>
      <c r="EZ35" s="268"/>
      <c r="FA35" s="204"/>
      <c r="FB35" s="340"/>
      <c r="FC35" s="4">
        <f>IF(SnapshotTable[[#This Row],[SC Is Filled]], btc_max_buyback_amount(SnapshotTable[[#This Row],[SC Fill Date]],SnapshotTable[[#This Row],[SC Exp Date]], SnapshotTable[[#This Row],[SC Book Price]]),0)</f>
        <v>0</v>
      </c>
      <c r="FD35" s="5"/>
      <c r="FE35" s="142" t="str">
        <f>IF(SnapshotTable[[#This Row],[SC Is Filled]], btc_next_cutoff_date(SnapshotTable[[#This Row],[SC Fill Date]],SnapshotTable[[#This Row],[SC Exp Date]]),"")</f>
        <v/>
      </c>
      <c r="FF35" s="4" t="str" cm="1">
        <f t="array" ref="FF35">IF(SnapshotTable[[#This Row],[SC Is Filled]], btc_should_buy_back(SnapshotTable[[#This Row],[SC Fill Date]], SnapshotTable[[#This Row],[SC Exp Date]], SnapshotTable[[#This Row],[SC Book Price]], SnapshotTable[[#This Row],[SC Current Ask]], MockToday, SnapshotTable[[#This Row],[SC Buyback Override]]),"")</f>
        <v/>
      </c>
      <c r="FG35" s="4">
        <f>IF(SnapshotTable[[#This Row],[SC Is Filled]], MAX(0,SnapshotTable[[#This Row],[Last Price]]  - SnapshotTable[[#This Row],[SC Strike Price]]), 0)</f>
        <v>0</v>
      </c>
      <c r="FH35" s="352">
        <f>IF(SnapshotTable[[#This Row],[SC Is Filled]], IF(ISNUMBER(SnapshotTable[[#This Row],[SC Current Ask]]), SnapshotTable[[#This Row],[SC Current Ask]], SnapshotTable[[#This Row],[SC Book Price]]) - SnapshotTable[[#This Row],[SC Intrinsic Value]], 0)</f>
        <v>0</v>
      </c>
      <c r="FI35" s="141"/>
      <c r="FJ35" s="32" t="str">
        <f>IF(SnapshotTable[[#This Row],[SC Is Filled]],100 * SnapshotTable[[#This Row],[SC Qty]] * IF(ISNUMBER(SnapshotTable[[#This Row],[SC Buyback Override]]), SnapshotTable[[#This Row],[SC Buyback Override]], SnapshotTable[[#This Row],[SC Current Ask]]), "")</f>
        <v/>
      </c>
      <c r="FK35" s="235" t="str">
        <f>IF(SnapshotTable[[#This Row],[SC Time Val]]&gt;0, SnapshotTable[[#This Row],[SC Time Val]] / SnapshotTable[[#This Row],[Last Price]],"")</f>
        <v/>
      </c>
      <c r="FL35" s="280" t="str">
        <f>IF(SnapshotTable[[#This Row],[SC Is Booked]], ((SnapshotTable[[#This Row],[Last Price]] -SnapshotTable[[#This Row],[SC Strike Price]]) / SnapshotTable[[#This Row],[Last Price]]) * -1, "")</f>
        <v/>
      </c>
      <c r="FM35" s="155" t="str">
        <f>IF(SnapshotTable[[#This Row],[SC Is Booked]],  (SnapshotTable[[#This Row],[SC Qty]] * 100 * SnapshotTable[[#This Row],[SC Strike Price]]) - SnapshotTable[[#This Row],[SC Current Ask]], "")</f>
        <v/>
      </c>
      <c r="FN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5" s="31" t="str">
        <f>IF(AND(ISNUMBER(SnapshotTable[[#This Row],[SC Exercise Gross]]), ISNUMBER(SnapshotTable[[#This Row],[Equity Basis Per Share]] )), SnapshotTable[[#This Row],[SC Exercise Gross]] - SnapshotTable[[#This Row],[Equity Basis Total]] +  SnapshotTable[[#This Row],[SC Premium]], "")</f>
        <v/>
      </c>
      <c r="FP35" s="5" t="str">
        <f>IF(ISNUMBER(SnapshotTable[[#This Row],[SC Exercise Gross]]), (SnapshotTable[[#This Row],[SC Exercise Gross]]) / (SnapshotTable[[#This Row],[SC Qty]] * 100), "")</f>
        <v/>
      </c>
      <c r="FQ35" s="27" t="str">
        <f>IF(SnapshotTable[[#This Row],[SC Is Booked]],SnapshotTable[[#This Row],[SC Time Val]] /SnapshotTable[[#This Row],[SC Basis]], "")</f>
        <v/>
      </c>
      <c r="FR35" s="27" t="str" cm="1">
        <f t="array" ref="FR35">IF(AND(ISNUMBER(SnapshotTable[[#This Row],[SC Term]]),ISNUMBER(SnapshotTable[[#This Row],[SC Simple ROO]])), EllmanAnnualize(SnapshotTable[[#This Row],[SC DTE]], SnapshotTable[[#This Row],[SC Simple ROO]] ),"")</f>
        <v/>
      </c>
      <c r="FS35" s="4">
        <f>IF(SnapshotTable[[#This Row],[SC Strike Price]] &gt; SnapshotTable[[#This Row],[Last Price]], SnapshotTable[[#This Row],[SC Strike Price]] - SnapshotTable[[#This Row],[Last Price]],0)</f>
        <v>0</v>
      </c>
      <c r="FT35" s="27" t="str">
        <f>IF(AND(ISNUMBER(SnapshotTable[[#This Row],[SC Upside Potential]]), SnapshotTable[[#This Row],[SC Upside Potential]] &gt; 0),(SnapshotTable[[#This Row],[SC Upside Potential]]/ SnapshotTable[[#This Row],[ACB]]),"")</f>
        <v/>
      </c>
      <c r="FU35" s="304" t="str">
        <f>IF(SnapshotTable[[#This Row],[SC Intrinsic Value]] &gt; 0,SnapshotTable[[#This Row],[SC Intrinsic Value]],"")</f>
        <v/>
      </c>
      <c r="FV35" s="27" t="str">
        <f>IF(AND( ISNUMBER( SnapshotTable[[#This Row],[ACB]]),ISNUMBER(SnapshotTable[[#This Row],[SC Downside Protect]])),SnapshotTable[[#This Row],[SC Downside Protect]] / SnapshotTable[[#This Row],[ACB]],"")</f>
        <v/>
      </c>
      <c r="FW35" s="221" t="str">
        <f>IF(AND(ISNUMBER(SnapshotTable[[#This Row],[SC Simple ROO]]),SnapshotTable[[#This Row],[SC Simple ROO]] &gt; 0), SnapshotTable[[#This Row],[SC Premium]] + (SnapshotTable[[#This Row],[SC Qty]] * SnapshotTable[[#This Row],[SC Upside Potential]]), "")</f>
        <v/>
      </c>
      <c r="FX35" s="280" t="str" cm="1">
        <f t="array" ref="FX35">IF(ISNUMBER(SnapshotTable[[#This Row],[SC Max Dollars]]), annualize(SnapshotTable[[#This Row],[SC Term]],(SnapshotTable[[#This Row],[SC Max Dollars]]/SnapshotTable[[#This Row],[SC Basis]])),"")</f>
        <v/>
      </c>
      <c r="FY35" s="221" t="str">
        <f>IF(AND(SnapshotTable[[#This Row],[SC Qty]]&gt;0,SnapshotTable[[#This Row],[SC Current Ask]]&gt;0), SnapshotTable[[#This Row],[SC Qty]] * SnapshotTable[[#This Row],[SC Current Ask]] * -100, "")</f>
        <v/>
      </c>
      <c r="FZ35" s="31" t="str">
        <f>IF(ISNUMBER((SnapshotTable[[#This Row],[SC Current Value]])), SnapshotTable[[#This Row],[SC Premium]] + SnapshotTable[[#This Row],[SC Current Value]], "")</f>
        <v/>
      </c>
      <c r="GA35" s="272" t="str">
        <f>IFERROR( IF(ISNUMBER((SnapshotTable[[#This Row],[SC Current Value]])), SnapshotTable[[#This Row],[SC Gain Loss]] / SnapshotTable[[#This Row],[SC Premium]], ""), "")</f>
        <v/>
      </c>
      <c r="GB35" s="42">
        <f>SnapshotTable[[#This Row],[Equity Shares]] * SaleSharesToConsiderPercentage</f>
        <v>0</v>
      </c>
      <c r="GC35" s="40">
        <f>SnapshotTable[[#This Row],[Long Term Target]] * SellingPriceToConsiderBasedOnTargetPercentage</f>
        <v>18.6295</v>
      </c>
      <c r="GD35" s="40">
        <f>SnapshotTable[[#This Row],[Last Price]] * (1+ SellingPriceToConsiderBasedOnTargetPercentage)</f>
        <v>40.384500000000003</v>
      </c>
      <c r="GE35" s="41"/>
      <c r="GF35" s="40"/>
      <c r="GG35" s="31">
        <f>SnapshotTable[[#This Row],[Booked Sale Shares]] * SnapshotTable[[#This Row],[Booked Sale Price]]</f>
        <v>0</v>
      </c>
      <c r="GH35" s="31" t="str">
        <f>IF(SnapshotTable[[#This Row],[Equity Basis Total]] &gt; 0, SnapshotTable[[#This Row],[Equity Basis Per Share]] * SnapshotTable[[#This Row],[Booked Sale Shares]], "")</f>
        <v/>
      </c>
      <c r="GI35" s="31">
        <f>IF(SnapshotTable[[#This Row],[Sale Proceeds]]&gt;0, SnapshotTable[[#This Row],[Sale Proceeds]] - SnapshotTable[[#This Row],[Sale Basis]], 0)</f>
        <v>0</v>
      </c>
      <c r="GJ35" s="27" t="str">
        <f>IF(SnapshotTable[[#This Row],[Sale G/L]]&gt;0, SnapshotTable[[#This Row],[Sale G/L]] / SnapshotTable[[#This Row],[Sale Basis]], IF(ISNUMBER(SnapshotTable[[#This Row],[SC Exercise P&amp;L (TAX)]]), SnapshotTable[[#This Row],[SC Exercise P&amp;L (TAX)]] / SnapshotTable[[#This Row],[SC Basis]], ""))</f>
        <v/>
      </c>
      <c r="GK35" s="27" t="s">
        <v>518</v>
      </c>
      <c r="GL35" s="43" t="str">
        <f>IF(AND(SnapshotTable[[#This Row],[LP Exp Date]]&gt;0,SnapshotTable[[#This Row],[LP Strike Price]]&gt;0), [1]!ToOptionSymbol(SnapshotTable[[#This Row],[Symbol]], SnapshotTable[[#This Row],[LP Strike Price]],SnapshotTable[[#This Row],[LP Exp Date]],1), "")</f>
        <v/>
      </c>
      <c r="GM35" s="30" t="str">
        <f>IF(LEN(SnapshotTable[[#This Row],[LP Symbol]])&gt;0, 1, "")</f>
        <v/>
      </c>
      <c r="GN35" s="43" t="str">
        <f>IF(AND(SnapshotTable[[#This Row],[SP Exp Date]]&gt;0,SnapshotTable[[#This Row],[SP Strike Price]]&gt;0), [1]!ToOptionSymbol(SnapshotTable[[#This Row],[Symbol]], SnapshotTable[[#This Row],[SP Strike Price]],SnapshotTable[[#This Row],[SP Exp Date]],1), "")</f>
        <v/>
      </c>
      <c r="GO35" s="30" t="str">
        <f>IF(LEN(SnapshotTable[[#This Row],[SP Symbol]])&gt;0, 1, "")</f>
        <v/>
      </c>
      <c r="GP35" s="43" t="str">
        <f>IF(AND(SnapshotTable[[#This Row],[LC Exp Date]]&gt;0,SnapshotTable[[#This Row],[LC Strike Price]]&gt;0), [1]!ToOptionSymbol(SnapshotTable[[#This Row],[Symbol]], SnapshotTable[[#This Row],[LC Strike Price]],SnapshotTable[[#This Row],[LC Exp Date]],0), "")</f>
        <v/>
      </c>
      <c r="GQ35" s="30" t="str">
        <f>IF(LEN(SnapshotTable[[#This Row],[LC Symbol]])&gt;0, 1, "")</f>
        <v/>
      </c>
      <c r="GR35" s="43" t="str">
        <f>IF(AND(SnapshotTable[[#This Row],[SC Exp Date]]&gt;0,SnapshotTable[[#This Row],[SC Strike Price]]&gt;0), [1]!ToOptionSymbol(SnapshotTable[[#This Row],[Symbol]], SnapshotTable[[#This Row],[SC Strike Price]],SnapshotTable[[#This Row],[SC Exp Date]],0), "")</f>
        <v/>
      </c>
      <c r="GS35" s="30" t="str">
        <f>IF(LEN(SnapshotTable[[#This Row],[SC Symbol]])&gt;0, 1, "")</f>
        <v/>
      </c>
      <c r="GT35" s="29" t="str">
        <f>IF(COUNT(SnapshotTable[[#This Row],[LP Symbol Count]],SnapshotTable[[#This Row],[SP Symbol Count]],SnapshotTable[[#This Row],[LC Symbol Count]],SnapshotTable[[#This Row],[SC Symbol Count]])&gt;0, "Y", "")</f>
        <v/>
      </c>
      <c r="GU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5" s="216">
        <f>MAX(SnapshotTable[[#This Row],[Equity Basis Total]],SnapshotTable[[#This Row],[Equity Value]]) + (SnapshotTable[[#This Row],[SP Potential Spend]]- SnapshotTable[[#This Row],[SP Premium]] + SnapshotTable[[#This Row],[LP Premium]])+ (SnapshotTable[[#This Row],[LC Premium]] - SnapshotTable[[#This Row],[SC Premium]])</f>
        <v>0</v>
      </c>
      <c r="GW35" s="137" t="str">
        <f>IF(AND(SnapshotTable[[#This Row],[Exposure]] &lt;&gt; 0),SnapshotTable[[#This Row],[Exposure]] / SnapshotTable[[#Totals],[Exposure]], "")</f>
        <v/>
      </c>
      <c r="GY35" s="351"/>
      <c r="HE35" s="253"/>
      <c r="HF35" s="253"/>
      <c r="HG35" s="351"/>
      <c r="HH35" s="351"/>
      <c r="HI35" s="351"/>
      <c r="HJ35" s="351"/>
    </row>
    <row r="36" spans="2:224" s="45" customFormat="1" ht="12.75" hidden="1" customHeight="1" x14ac:dyDescent="0.25">
      <c r="B36" s="12" t="s">
        <v>50</v>
      </c>
      <c r="C36" s="385">
        <v>49.64</v>
      </c>
      <c r="D36" s="200"/>
      <c r="E36" s="39">
        <f>SnapshotTable[[#This Row],[Last Price]]*(1 -CrashDiscount)</f>
        <v>42.194000000000003</v>
      </c>
      <c r="F36" s="26" t="s">
        <v>49</v>
      </c>
      <c r="G36" s="26" t="s">
        <v>688</v>
      </c>
      <c r="H36" s="147"/>
      <c r="I36" s="186">
        <v>44767.673611111109</v>
      </c>
      <c r="J36" s="187">
        <v>44767.673611111109</v>
      </c>
      <c r="K36" s="188" t="s">
        <v>3</v>
      </c>
      <c r="L36" s="297"/>
      <c r="M36" s="138"/>
      <c r="N36" s="138"/>
      <c r="O36" s="138"/>
      <c r="P36" s="22"/>
      <c r="Q36" s="25"/>
      <c r="R36" s="4" t="str">
        <f>IF(SnapshotTable[[#This Row],[Equity Basis Total]] &gt; 0, SnapshotTable[[#This Row],[Equity Basis Total]] / SnapshotTable[[#This Row],[Equity Shares]], "")</f>
        <v/>
      </c>
      <c r="S36" s="254">
        <f>SnapshotTable[[#This Row],[Last Price]] * SnapshotTable[[#This Row],[Equity Shares]]</f>
        <v>0</v>
      </c>
      <c r="T36" s="254">
        <f>SnapshotTable[[#This Row],[Equity Value]] - SnapshotTable[[#This Row],[Equity Basis Total]]</f>
        <v>0</v>
      </c>
      <c r="U36" s="255" t="str">
        <f>IF(SnapshotTable[[#This Row],[Equity Basis Total]] &gt; 0, SnapshotTable[[#This Row],[Equity G/L]] / SnapshotTable[[#This Row],[Equity Basis Total]], "")</f>
        <v/>
      </c>
      <c r="V36" s="253"/>
      <c r="W36" s="253"/>
      <c r="X36" s="4" t="str">
        <f>IF(AND(ISNUMBER(SnapshotTable[[#This Row],[Equity Basis Per Share]]),ISNUMBER(SnapshotTable[[#This Row],[Equity Target]])),SnapshotTable[[#This Row],[Equity Target]]-SnapshotTable[[#This Row],[Equity Basis Per Share]],"")</f>
        <v/>
      </c>
      <c r="Y36" s="4" t="str">
        <f>IF(AND(ISNUMBER(SnapshotTable[[#This Row],[Equity Basis Per Share]]),ISNUMBER(SnapshotTable[[#This Row],[Equity Stop Loss]])),SnapshotTable[[#This Row],[Equity Stop Loss]]-SnapshotTable[[#This Row],[Equity Basis Per Share]],"")</f>
        <v/>
      </c>
      <c r="Z36" s="260" t="str">
        <f>IFERROR( TEXT(SnapshotTable[[#This Row],[Equity Max Gain Per Share]] /ABS( SnapshotTable[[#This Row],[Equity Max Loss Per Share]]),"0.0 " ) &amp; " : 1", "")</f>
        <v/>
      </c>
      <c r="AA36" s="31" t="str">
        <f>IF(ISNUMBER(SnapshotTable[[#This Row],[Equity Max Gain Per Share]]),SnapshotTable[[#This Row],[Equity Max Gain Per Share]] * SnapshotTable[[#This Row],[Equity Shares]],"")</f>
        <v/>
      </c>
      <c r="AB36" s="31" t="str">
        <f>IF(ISNUMBER(SnapshotTable[[#This Row],[Equity Max Loss Per Share]]),SnapshotTable[[#This Row],[Equity Max Loss Per Share]] * SnapshotTable[[#This Row],[Equity Shares]],"")</f>
        <v/>
      </c>
      <c r="AC36" s="148">
        <v>3.08</v>
      </c>
      <c r="AD36" s="149">
        <v>42475</v>
      </c>
      <c r="AE36" s="31">
        <f>(SnapshotTable[[#This Row],[Annual Dividend Per Share]] / 4) * SnapshotTable[[#This Row],[Equity Shares]]</f>
        <v>0</v>
      </c>
      <c r="AF36" s="31">
        <f>SnapshotTable[[#This Row],[Quarterly Div $]] * 4</f>
        <v>0</v>
      </c>
      <c r="AG36" s="7">
        <f>IF(SnapshotTable[[#This Row],[Annual Dividend Per Share]]&gt;0, SnapshotTable[[#This Row],[Annual Dividend Per Share]]  / SnapshotTable[[#This Row],[Last Price]], 0)</f>
        <v>6.2046736502820304E-2</v>
      </c>
      <c r="AH36" s="149">
        <v>42363</v>
      </c>
      <c r="AI36" s="5"/>
      <c r="AJ36" s="136">
        <v>192.38</v>
      </c>
      <c r="AK36" s="150" t="str">
        <f>IF(ISNUMBER( SnapshotTable[[#This Row],[EBF Target]]),(SnapshotTable[[#This Row],[EBF Target]] - SnapshotTable[[#This Row],[Last Price]]) / SnapshotTable[[#This Row],[Last Price]], "")</f>
        <v/>
      </c>
      <c r="AL36" s="150" t="str">
        <f>IF(AND(SnapshotTable[[#This Row],[Equity Basis Total]] &gt; 0,ISNUMBER( SnapshotTable[[#This Row],[Long Term Target]])), SnapshotTable[[#This Row],[From Basis $]] / SnapshotTable[[#This Row],[Equity Basis Total]], "")</f>
        <v/>
      </c>
      <c r="AM36" s="9">
        <f>IF( AND(SnapshotTable[[#This Row],[Equity Shares]] &gt;0,ISNUMBER( SnapshotTable[[#This Row],[Long Term Target]])),(SnapshotTable[[#This Row],[Equity Shares]] * SnapshotTable[[#This Row],[Long Term Target]]) - SnapshotTable[[#This Row],[Equity Basis Total]],0)</f>
        <v>0</v>
      </c>
      <c r="AN36" s="9">
        <f>IF( AND(SnapshotTable[[#This Row],[Equity Shares]] &gt;0,ISNUMBER( SnapshotTable[[#This Row],[Long Term Target]])),(SnapshotTable[[#This Row],[Equity Shares]]*SnapshotTable[[#This Row],[Long Term Target]]) - SnapshotTable[[#This Row],[Equity Value]],0)</f>
        <v>0</v>
      </c>
      <c r="AO36" s="150">
        <f>IF(AND(ISNUMBER( SnapshotTable[[#This Row],[Long Term Target]]), ISNUMBER(SnapshotTable[[#This Row],[Last Price]])),(SnapshotTable[[#This Row],[Long Term Target]] - SnapshotTable[[#This Row],[Last Price]]) / SnapshotTable[[#This Row],[Last Price]], "")</f>
        <v>2.8755036261079776</v>
      </c>
      <c r="AP36" s="5">
        <v>8</v>
      </c>
      <c r="AQ36" s="38" t="s">
        <v>16</v>
      </c>
      <c r="AR36" s="5">
        <v>8</v>
      </c>
      <c r="AS36" s="38" t="s">
        <v>22</v>
      </c>
      <c r="AT36" s="144" t="s">
        <v>442</v>
      </c>
      <c r="AU36" s="185" t="str">
        <f>IF(OR(SnapshotTable[[#This Row],[LP No Fill]]="Y",SnapshotTable[[#This Row],[SP Is Filled]],SnapshotTable[[#This Row],[LC Not Filled]]="Y",SnapshotTable[[#This Row],[SC Is Filled]]),"Y","")</f>
        <v/>
      </c>
      <c r="AV36" s="205"/>
      <c r="AW36" s="211"/>
      <c r="AX36" s="206"/>
      <c r="AY36" s="205" t="str">
        <f>IF(SnapshotTable[[#This Row],[Implied Move]]&gt;0, SnapshotTable[[#This Row],[Last Price]]-SnapshotTable[[#This Row],[Implied Move]],"")</f>
        <v/>
      </c>
      <c r="AZ36" s="205" t="str">
        <f>IF(SnapshotTable[[#This Row],[Implied Move]]&gt;0, SnapshotTable[[#This Row],[Last Price]] + SnapshotTable[[#This Row],[Implied Move]],"")</f>
        <v/>
      </c>
      <c r="BA36" s="302"/>
      <c r="BB36" s="318"/>
      <c r="BC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6" s="321"/>
      <c r="BE36" s="5"/>
      <c r="BF36" s="14"/>
      <c r="BG36" s="13"/>
      <c r="BH36" s="13"/>
      <c r="BI36" s="5"/>
      <c r="BJ36" s="134">
        <f>IF(SnapshotTable[[#This Row],[LP Qty]] &gt; 0, SnapshotTable[[#This Row],[LP Qty]] * SnapshotTable[[#This Row],[LP Book Price]] * 100,0)</f>
        <v>0</v>
      </c>
      <c r="BK36" s="134">
        <f>IF(SnapshotTable[[#This Row],[LP Premium]] &gt; 0, SnapshotTable[[#This Row],[LP Qty]] * SnapshotTable[[#This Row],[LP Strike Price]] * 100,0)</f>
        <v>0</v>
      </c>
      <c r="BL36" s="152"/>
      <c r="BM36" s="355" t="str">
        <f>IF(SnapshotTable[[#This Row],[LP Premium]] &gt; 0,SnapshotTable[[#This Row],[LP Exp Date]]-MAX(SnapshotTable[[#This Row],[LP Book Date]], SnapshotTable[[#This Row],[LP Fill Date]]),"")</f>
        <v/>
      </c>
      <c r="BN36" s="355" t="str">
        <f>IF(ISNUMBER( SnapshotTable[[#This Row],[LP Term]]), SnapshotTable[[#This Row],[LP Exp Date]] - MockToday,"")</f>
        <v/>
      </c>
      <c r="BO36" s="161" t="str">
        <f>IF(AND(SnapshotTable[[#This Row],[LP Exp Date]]&gt;0, SnapshotTable[[#This Row],[LP Strike Price]]&gt;0,SnapshotTable[[#This Row],[LP Qty]]&gt;0,SnapshotTable[[#This Row],[LP Book Date]]&gt;0,SnapshotTable[[#This Row],[LP Book Price]]&gt;0,SnapshotTable[[#This Row],[LP Fill Date]]=0),"Y","")</f>
        <v/>
      </c>
      <c r="BP36" s="31" t="str">
        <f>IF(AND(SnapshotTable[[#This Row],[LP No Fill]]&lt;&gt;"Y",SnapshotTable[[#This Row],[LP Contract Value]]&gt;0, SnapshotTable[[#This Row],[LP Qty]]&gt;0), SnapshotTable[[#This Row],[LP Contract Value]]*SnapshotTable[[#This Row],[LP Qty]]*100,"")</f>
        <v/>
      </c>
      <c r="BQ36" s="13"/>
      <c r="BR36" s="5"/>
      <c r="BS36" s="36"/>
      <c r="BT36" s="145"/>
      <c r="BU36" s="13"/>
      <c r="BV36" s="5"/>
      <c r="BW36" s="382" t="b">
        <f>AND(ISNUMBER(SnapshotTable[[#This Row],[SP Exp Date]]), ISNUMBER(SnapshotTable[[#This Row],[SP Strike Price]]), ISNUMBER(SnapshotTable[[#This Row],[SP Qty]]), ISNUMBER(SnapshotTable[[#This Row],[SP Book Date]]), ISNUMBER(SnapshotTable[[#This Row],[SP Book Price]]))</f>
        <v>0</v>
      </c>
      <c r="BX36" s="382" t="b">
        <f>AND(SnapshotTable[[#This Row],[SP Is Booked]], NOT(ISBLANK(SnapshotTable[[#This Row],[SP Fill Date]])))</f>
        <v>0</v>
      </c>
      <c r="BY36" s="33">
        <f>IF(SnapshotTable[[#This Row],[SP Is Booked]], SnapshotTable[[#This Row],[SP Qty]] * SnapshotTable[[#This Row],[SP Book Price]] * 100, 0)</f>
        <v>0</v>
      </c>
      <c r="BZ36" s="339"/>
      <c r="CA36" s="338">
        <f>SnapshotTable[[#This Row],[LP Qty]]</f>
        <v>0</v>
      </c>
      <c r="CB36" s="4" t="str">
        <f>IF(SnapshotTable[[#This Row],[SP Is Booked]], SnapshotTable[[#This Row],[SP Strike Price]] - SnapshotTable[[#This Row],[SP Book Price]], "")</f>
        <v/>
      </c>
      <c r="CC36" s="19" t="str">
        <f>IF(SnapshotTable[[#This Row],[SP Is Booked]],SnapshotTable[[#This Row],[SP Exp Date]]-MAX(SnapshotTable[[#This Row],[SP Book Date]], SnapshotTable[[#This Row],[SP Fill Date]]),"")</f>
        <v/>
      </c>
      <c r="CD36" s="7" t="str">
        <f>IF(SnapshotTable[[#This Row],[SP Is Booked]], SnapshotTable[[#This Row],[SP Book Price]]/SnapshotTable[[#This Row],[SP Strike Price]], "")</f>
        <v/>
      </c>
      <c r="CE36" s="7" t="str">
        <f>IF(ISNUMBER(SnapshotTable[[#This Row],[SP ROO Term]]),SnapshotTable[[#This Row],[SP ROO Term]]*(365/SnapshotTable[[#This Row],[SP Term]]),"")</f>
        <v/>
      </c>
      <c r="CF36" s="221">
        <f>SnapshotTable[[#This Row],[LP Strike Price]] * SnapshotTable[[#This Row],[LP Qty]] * 100</f>
        <v>0</v>
      </c>
      <c r="CG36" s="31">
        <f>IF(ISNUMBER(SnapshotTable[[#This Row],[SP Premium]]), (SnapshotTable[[#This Row],[SP Qty]] * SnapshotTable[[#This Row],[SP Strike Price]]* 100) - SnapshotTable[[#This Row],[LP Protection]], 0)</f>
        <v>0</v>
      </c>
      <c r="CH36" s="7" t="str">
        <f>IF(ISNUMBER(SnapshotTable[[#This Row],[SP Break Even]]),-1 * (SnapshotTable[[#This Row],[SP Break Even]] - SnapshotTable[[#This Row],[Last Price]]) / SnapshotTable[[#This Row],[Last Price]], "")</f>
        <v/>
      </c>
      <c r="CI36" s="31">
        <f>IF(AND(ISNUMBER((SnapshotTable[[#This Row],[SP Potential Spend]])), SnapshotTable[[#This Row],[SP Strike Price]] &gt; SnapshotTable[[#This Row],[Last Price]], SnapshotTable[[#This Row],[SP Is Filled]]), SnapshotTable[[#This Row],[SP Potential Spend]] -  SnapshotTable[[#This Row],[LP Max Value]], 0)</f>
        <v>0</v>
      </c>
      <c r="CJ36" s="229"/>
      <c r="CK36" s="31">
        <f>IF(ISNUMBER(SnapshotTable[[#This Row],[SP Potential Spend]]),IF(ISNUMBER(SnapshotTable[[#This Row],[SP POW]]), SnapshotTable[[#This Row],[SP POW]] * SnapshotTable[[#This Row],[SP Potential Spend]], SnapshotTable[[#This Row],[SP Potential Spend]]), "")</f>
        <v>0</v>
      </c>
      <c r="CL36" s="162">
        <f>IF(NOT(SnapshotTable[[#This Row],[SP Is Filled]]),(SnapshotTable[[#This Row],[SP Qty]] * SnapshotTable[[#This Row],[SP Strike Price]] * 100) - SnapshotTable[[#This Row],[LP Max Value]],"")</f>
        <v>0</v>
      </c>
      <c r="CM36" s="31" t="str">
        <f>IF(SnapshotTable[[#This Row],[SP Actual Spend]]&lt;&gt;0, ((SnapshotTable[[#This Row],[SP Strike Price]]-SnapshotTable[[#This Row],[Last Price]]) *(SnapshotTable[[#This Row],[SP Qty]]*100) - SnapshotTable[[#This Row],[SP Premium]]) * - 1, "")</f>
        <v/>
      </c>
      <c r="CN36" s="76"/>
      <c r="CO36" s="339"/>
      <c r="CP36" s="4" t="str">
        <f>IF(SnapshotTable[[#This Row],[SP Is Filled]], btc_max_buyback_amount(SnapshotTable[[#This Row],[SP Fill Date]],SnapshotTable[[#This Row],[SP Exp Date]], SnapshotTable[[#This Row],[SP Book Price]]),"")</f>
        <v/>
      </c>
      <c r="CQ36" s="76"/>
      <c r="CR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6" s="153" t="str">
        <f>IF(SnapshotTable[[#This Row],[SP Is Filled]], btc_next_cutoff_date(SnapshotTable[[#This Row],[SP Fill Date]],SnapshotTable[[#This Row],[SP Exp Date]]),"")</f>
        <v/>
      </c>
      <c r="CT36" s="220" t="str" cm="1">
        <f t="array" ref="CT36">IF(SnapshotTable[[#This Row],[SP Is Filled]], btc_should_buy_back(SnapshotTable[[#This Row],[SP Fill Date]], SnapshotTable[[#This Row],[SP Exp Date]], SnapshotTable[[#This Row],[SP Book Price]], SnapshotTable[[#This Row],[SP Current Ask]], MockToday, SnapshotTable[[#This Row],[SP Buyback Override]]),"")</f>
        <v/>
      </c>
      <c r="CU36" s="141"/>
      <c r="CV36" s="220"/>
      <c r="CW36" s="348" t="str">
        <f>IF(ISNUMBER( SnapshotTable[[#This Row],[SP Term]]), SnapshotTable[[#This Row],[SP Exp Date]] - MockToday,"")</f>
        <v/>
      </c>
      <c r="CX36" s="31" t="str">
        <f>IF(SnapshotTable[[#This Row],[SP Is Filled]],SnapshotTable[[#This Row],[SP Buyback Price to Use]] * 100 * SnapshotTable[[#This Row],[SP Qty]], "")</f>
        <v/>
      </c>
      <c r="CY36" s="4" t="str">
        <f>IF(ISNUMBER(SnapshotTable[[#This Row],[SP Strike Price]]), SnapshotTable[[#This Row],[SP Strike Price]] * (1 - SP_MaxLoss_StrikePct), "")</f>
        <v/>
      </c>
      <c r="CZ36" s="31" t="str">
        <f>IF(ISNUMBER(SnapshotTable[[#This Row],[SP Strike  Stop Per Share]]),SnapshotTable[[#This Row],[SP Premium]] - ((SnapshotTable[[#This Row],[SP Strike Price]]-SnapshotTable[[#This Row],[SP Strike  Stop Per Share]]) *(SnapshotTable[[#This Row],[SP Qty]] * 100)),"")</f>
        <v/>
      </c>
      <c r="DA36" s="4" t="str">
        <f>IF(AND(ISNUMBER(SnapshotTable[[#This Row],[SP Premium]]),SnapshotTable[[#This Row],[SP Premium]]&gt;0), SnapshotTable[[#This Row],[SP Book Price]] * (1 + SP_MaxLoss_OptionPct), "")</f>
        <v/>
      </c>
      <c r="DB36" s="31" t="str">
        <f>IF(ISNUMBER(SnapshotTable[[#This Row],[SP Option  Stop Contract]]),(SnapshotTable[[#This Row],[SP Option  Stop Contract]] *(SnapshotTable[[#This Row],[SP Qty]] * 100) - SnapshotTable[[#This Row],[SP Premium]]),"")</f>
        <v/>
      </c>
      <c r="DC36" s="4"/>
      <c r="DD36" s="4"/>
      <c r="DE36" s="4" t="str">
        <f>IF(AND(SnapshotTable[[#This Row],[SP Qty]]&gt;0, SnapshotTable[[#This Row],[SP Stop To Use]]&gt;0),SnapshotTable[[#This Row],[SP Premium]] - ( SnapshotTable[[#This Row],[SP Qty]] * SnapshotTable[[#This Row],[SP Stop To Use]] * 100), "")</f>
        <v/>
      </c>
      <c r="DF36" s="31" t="str">
        <f>IF(AND(SnapshotTable[[#This Row],[SP Qty]]&gt;0,SnapshotTable[[#This Row],[SP Current Ask]]&gt;0), SnapshotTable[[#This Row],[SP Qty]] * SnapshotTable[[#This Row],[SP Current Ask]] * -100, "")</f>
        <v/>
      </c>
      <c r="DG36" s="31" t="str">
        <f>IF(ISNUMBER((SnapshotTable[[#This Row],[SP Total Value]])), SnapshotTable[[#This Row],[SP Premium]] + SnapshotTable[[#This Row],[SP Total Value]], "")</f>
        <v/>
      </c>
      <c r="DH36" s="272" t="str">
        <f>IF(ISNUMBER((SnapshotTable[[#This Row],[SP Total Value]])), SnapshotTable[[#This Row],[SP Gain Loss]] / SnapshotTable[[#This Row],[SP Premium]], "")</f>
        <v/>
      </c>
      <c r="DI36" s="369"/>
      <c r="DJ36" s="136"/>
      <c r="DK36" s="146"/>
      <c r="DL36" s="13"/>
      <c r="DM36" s="13"/>
      <c r="DN36" s="5"/>
      <c r="DO36" s="31">
        <f>IF(SnapshotTable[[#This Row],[LC Symbol Count]]=1, SnapshotTable[[#This Row],[LC Qty]] * SnapshotTable[[#This Row],[LC Book Price]] * 100, 0)</f>
        <v>0</v>
      </c>
      <c r="DP36" s="161" t="str">
        <f>IF(AND(SnapshotTable[[#This Row],[LC Exp Date]]&gt;0, SnapshotTable[[#This Row],[LC Strike Price]]&gt;0,SnapshotTable[[#This Row],[LC Qty]]&gt;0,SnapshotTable[[#This Row],[LC Book Date]]&gt;0,SnapshotTable[[#This Row],[LC Book Price]]&gt;0,SnapshotTable[[#This Row],[LC Fill Date]]=0),"Y","")</f>
        <v/>
      </c>
      <c r="DQ36" s="356" t="str">
        <f>IF(SnapshotTable[[#This Row],[LC Premium]] &gt; 0,SnapshotTable[[#This Row],[LC Exp Date]]-MAX(SnapshotTable[[#This Row],[LC Book Date]], SnapshotTable[[#This Row],[LC Fill Date]]),"")</f>
        <v/>
      </c>
      <c r="DR36" s="356" t="str">
        <f>IF(ISNUMBER(SnapshotTable[[#This Row],[LC Term]]), SnapshotTable[[#This Row],[LC Exp Date]] - MockToday, "")</f>
        <v/>
      </c>
      <c r="DS36" s="219" t="str">
        <f>IF(SnapshotTable[[#This Row],[LC Premium]]&gt;0,SnapshotTable[[#This Row],[LC Strike Price]] + SnapshotTable[[#This Row],[LC Book Price]],"")</f>
        <v/>
      </c>
      <c r="DT36" s="5"/>
      <c r="DU36" s="9" t="str">
        <f>IF(AND(SnapshotTable[[#This Row],[LC Symbol Count]]&gt;0, SnapshotTable[[#This Row],[LC Contract Value]]&gt;0), SnapshotTable[[#This Row],[LC Contract Value]] * SnapshotTable[[#This Row],[LC Qty]] * 100, "")</f>
        <v/>
      </c>
      <c r="DV36" s="9" t="str">
        <f>IF(AND(ISNUMBER(SnapshotTable[[#This Row],[LC Total Value]]), SnapshotTable[[#This Row],[LC Not Filled]]&lt;&gt;"Y"), SnapshotTable[[#This Row],[LC Total Value]]-SnapshotTable[[#This Row],[LC Premium]],"")</f>
        <v/>
      </c>
      <c r="DW36" s="225" t="str">
        <f>IF(ISNUMBER(SnapshotTable[[#This Row],[LC Actual Gain Loss]]), SnapshotTable[[#This Row],[LC Actual Gain Loss]] / SnapshotTable[[#This Row],[LC Premium]],"")</f>
        <v/>
      </c>
      <c r="DX36" s="269" t="str">
        <f>IF(ISNUMBER(SnapshotTable[[#This Row],[LC Book Price]]),SnapshotTable[[#This Row],[LC Book Price]] * 1.5,"")</f>
        <v/>
      </c>
      <c r="DY36" s="250" t="str">
        <f>IF(SnapshotTable[[#This Row],[LC Premium]]&gt;0, SnapshotTable[[#This Row],[LC Next Target]] * SnapshotTable[[#This Row],[LC Qty]] * 100,"")</f>
        <v/>
      </c>
      <c r="DZ36" s="250" t="str">
        <f>IF(ISNUMBER(SnapshotTable[[#This Row],[LC Target Gross]]), SnapshotTable[[#This Row],[LC Target Gross]] - SnapshotTable[[#This Row],[LC Premium]], "")</f>
        <v/>
      </c>
      <c r="EA36" s="283" t="str">
        <f>IF(ISNUMBER(SnapshotTable[[#This Row],[LC Target Gain Loss]]), SnapshotTable[[#This Row],[LC Target Gain Loss]]/SnapshotTable[[#This Row],[LC Premium]], "")</f>
        <v/>
      </c>
      <c r="EB36" s="247"/>
      <c r="EC36" s="268" t="str">
        <f>IF(SnapshotTable[[#This Row],[LC Premium]]&gt;0, SnapshotTable[[#This Row],[LC Book Price]] * (1 - LC_StopLoss_Pct),"")</f>
        <v/>
      </c>
      <c r="ED36" s="269"/>
      <c r="EE36" s="268" t="str">
        <f>IF(ISNUMBER(SnapshotTable[[#This Row],[LC Contract Value]]),IF(ISNUMBER(SnapshotTable[[#This Row],[LC Stop Loss Override]]), SnapshotTable[[#This Row],[LC Stop Loss Override]],SnapshotTable[[#This Row],[LC Stop Loss Calc Target]]),"")</f>
        <v/>
      </c>
      <c r="EF36" s="31" t="str">
        <f>IF(ISNUMBER(SnapshotTable[[#This Row],[LC Stop  To Use]]), (SnapshotTable[[#This Row],[LC Stop  To Use]] * SnapshotTable[[#This Row],[LC Qty]] * 100),"")</f>
        <v/>
      </c>
      <c r="EG36" s="9" t="str">
        <f>IF(ISNUMBER(SnapshotTable[[#This Row],[LC Total Value]]),SnapshotTable[[#This Row],[LC Stop Loss Amount]] - SnapshotTable[[#This Row],[LC Premium]],"")</f>
        <v/>
      </c>
      <c r="EH36" s="9">
        <f>IF(ISNUMBER(SnapshotTable[[#This Row],[LC Premium]]), SnapshotTable[[#This Row],[LC Qty]] * 100 * SnapshotTable[[#This Row],[LC Strike Price]], "")</f>
        <v>0</v>
      </c>
      <c r="EI36" s="225" t="str">
        <f>IF(AND(ISNUMBER(SnapshotTable[[#This Row],[LC Total Value]]),SnapshotTable[[#This Row],[LC Total Value]]&gt;0),SnapshotTable[[#This Row],[LC Stop Gain Loss]]  / SnapshotTable[[#This Row],[LC Premium]],"")</f>
        <v/>
      </c>
      <c r="EJ36" s="35">
        <f>IF(ISNUMBER(SnapshotTable[[#This Row],[Equity Shares]]),TRUNC(SnapshotTable[[#This Row],[Equity Shares]] / 100),0) + SnapshotTable[[#This Row],[LC Qty]]</f>
        <v>0</v>
      </c>
      <c r="EK36" s="145"/>
      <c r="EL36" s="136"/>
      <c r="EM36" s="146"/>
      <c r="EN36" s="145"/>
      <c r="EO36" s="145"/>
      <c r="EP36" s="136"/>
      <c r="EQ36" s="382" t="b">
        <f>AND(ISNUMBER(SnapshotTable[[#This Row],[SC Exp Date]]), ISNUMBER(SnapshotTable[[#This Row],[SC Strike Price]]), ISNUMBER(SnapshotTable[[#This Row],[SC Qty]]), ISNUMBER(SnapshotTable[[#This Row],[SC Book Date]]), ISNUMBER(SnapshotTable[[#This Row],[SC Book Price]]))</f>
        <v>0</v>
      </c>
      <c r="ER36" s="382" t="b">
        <f>AND(SnapshotTable[[#This Row],[SC Is Booked]], NOT(ISBLANK(SnapshotTable[[#This Row],[SC Fill Date]])))</f>
        <v>0</v>
      </c>
      <c r="ES36" s="340"/>
      <c r="ET36" s="34" t="str">
        <f>IF(AND(ISNUMBER(SnapshotTable[[#This Row],[SC Exp Date]]), ISNUMBER(SnapshotTable[[#This Row],[SC Book Date]])), SnapshotTable[[#This Row],[SC Exp Date]] - MAX(SnapshotTable[[#This Row],[SC Book Date]], SnapshotTable[[#This Row],[SC Fill Date]]) + 1, "")</f>
        <v/>
      </c>
      <c r="EU36" s="34" t="str">
        <f>IF(ISNUMBER(SnapshotTable[[#This Row],[SC Term]]), SnapshotTable[[#This Row],[SC Exp Date]]- MockToday, "")</f>
        <v/>
      </c>
      <c r="EV36" s="31">
        <f>IF(SnapshotTable[[#This Row],[SC Is Booked]], SnapshotTable[[#This Row],[SC Qty]] * SnapshotTable[[#This Row],[SC Book Price]] * 100, 0)</f>
        <v>0</v>
      </c>
      <c r="EW36" s="4" t="str">
        <f>IF(AND(ISNUMBER(SnapshotTable[[#This Row],[Last Price]]), ISNUMBER( SnapshotTable[[#This Row],[SC Book Price]])), SnapshotTable[[#This Row],[Last Price]] - SnapshotTable[[#This Row],[SC Book Price]],"")</f>
        <v/>
      </c>
      <c r="EX36" s="219" t="str">
        <f>IF(SnapshotTable[[#This Row],[SC Is Booked]],IF(SnapshotTable[[#This Row],[SC Intrinsic Value]] &gt; 0, SnapshotTable[[#This Row],[SC Strike Price]], SnapshotTable[[#This Row],[Last Price]]), "")</f>
        <v/>
      </c>
      <c r="EY36" s="4">
        <f>IF(SnapshotTable[[#This Row],[SC Is Booked]], (MinimumPremiumRequired * SnapshotTable[[#This Row],[SC Basis]] * SnapshotTable[[#This Row],[SC Term]]), 0)</f>
        <v>0</v>
      </c>
      <c r="EZ36" s="268"/>
      <c r="FA36" s="204"/>
      <c r="FB36" s="340"/>
      <c r="FC36" s="4">
        <f>IF(SnapshotTable[[#This Row],[SC Is Filled]], btc_max_buyback_amount(SnapshotTable[[#This Row],[SC Fill Date]],SnapshotTable[[#This Row],[SC Exp Date]], SnapshotTable[[#This Row],[SC Book Price]]),0)</f>
        <v>0</v>
      </c>
      <c r="FD36" s="5"/>
      <c r="FE36" s="142" t="str">
        <f>IF(SnapshotTable[[#This Row],[SC Is Filled]], btc_next_cutoff_date(SnapshotTable[[#This Row],[SC Fill Date]],SnapshotTable[[#This Row],[SC Exp Date]]),"")</f>
        <v/>
      </c>
      <c r="FF36" s="4" t="str" cm="1">
        <f t="array" ref="FF36">IF(SnapshotTable[[#This Row],[SC Is Filled]], btc_should_buy_back(SnapshotTable[[#This Row],[SC Fill Date]], SnapshotTable[[#This Row],[SC Exp Date]], SnapshotTable[[#This Row],[SC Book Price]], SnapshotTable[[#This Row],[SC Current Ask]], MockToday, SnapshotTable[[#This Row],[SC Buyback Override]]),"")</f>
        <v/>
      </c>
      <c r="FG36" s="4">
        <f>IF(SnapshotTable[[#This Row],[SC Is Filled]], MAX(0,SnapshotTable[[#This Row],[Last Price]]  - SnapshotTable[[#This Row],[SC Strike Price]]), 0)</f>
        <v>0</v>
      </c>
      <c r="FH36" s="352">
        <f>IF(SnapshotTable[[#This Row],[SC Is Filled]], IF(ISNUMBER(SnapshotTable[[#This Row],[SC Current Ask]]), SnapshotTable[[#This Row],[SC Current Ask]], SnapshotTable[[#This Row],[SC Book Price]]) - SnapshotTable[[#This Row],[SC Intrinsic Value]], 0)</f>
        <v>0</v>
      </c>
      <c r="FI36" s="141"/>
      <c r="FJ36" s="32" t="str">
        <f>IF(SnapshotTable[[#This Row],[SC Is Filled]],100 * SnapshotTable[[#This Row],[SC Qty]] * IF(ISNUMBER(SnapshotTable[[#This Row],[SC Buyback Override]]), SnapshotTable[[#This Row],[SC Buyback Override]], SnapshotTable[[#This Row],[SC Current Ask]]), "")</f>
        <v/>
      </c>
      <c r="FK36" s="235" t="str">
        <f>IF(SnapshotTable[[#This Row],[SC Time Val]]&gt;0, SnapshotTable[[#This Row],[SC Time Val]] / SnapshotTable[[#This Row],[Last Price]],"")</f>
        <v/>
      </c>
      <c r="FL36" s="280" t="str">
        <f>IF(SnapshotTable[[#This Row],[SC Is Booked]], ((SnapshotTable[[#This Row],[Last Price]] -SnapshotTable[[#This Row],[SC Strike Price]]) / SnapshotTable[[#This Row],[Last Price]]) * -1, "")</f>
        <v/>
      </c>
      <c r="FM36" s="155" t="str">
        <f>IF(SnapshotTable[[#This Row],[SC Is Booked]],  (SnapshotTable[[#This Row],[SC Qty]] * 100 * SnapshotTable[[#This Row],[SC Strike Price]]) - SnapshotTable[[#This Row],[SC Current Ask]], "")</f>
        <v/>
      </c>
      <c r="FN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6" s="31" t="str">
        <f>IF(AND(ISNUMBER(SnapshotTable[[#This Row],[SC Exercise Gross]]), ISNUMBER(SnapshotTable[[#This Row],[Equity Basis Per Share]] )), SnapshotTable[[#This Row],[SC Exercise Gross]] - SnapshotTable[[#This Row],[Equity Basis Total]] +  SnapshotTable[[#This Row],[SC Premium]], "")</f>
        <v/>
      </c>
      <c r="FP36" s="5" t="str">
        <f>IF(ISNUMBER(SnapshotTable[[#This Row],[SC Exercise Gross]]), (SnapshotTable[[#This Row],[SC Exercise Gross]]) / (SnapshotTable[[#This Row],[SC Qty]] * 100), "")</f>
        <v/>
      </c>
      <c r="FQ36" s="27" t="str">
        <f>IF(SnapshotTable[[#This Row],[SC Is Booked]],SnapshotTable[[#This Row],[SC Time Val]] /SnapshotTable[[#This Row],[SC Basis]], "")</f>
        <v/>
      </c>
      <c r="FR36" s="27" t="str" cm="1">
        <f t="array" ref="FR36">IF(AND(ISNUMBER(SnapshotTable[[#This Row],[SC Term]]),ISNUMBER(SnapshotTable[[#This Row],[SC Simple ROO]])), EllmanAnnualize(SnapshotTable[[#This Row],[SC DTE]], SnapshotTable[[#This Row],[SC Simple ROO]] ),"")</f>
        <v/>
      </c>
      <c r="FS36" s="4">
        <f>IF(SnapshotTable[[#This Row],[SC Strike Price]] &gt; SnapshotTable[[#This Row],[Last Price]], SnapshotTable[[#This Row],[SC Strike Price]] - SnapshotTable[[#This Row],[Last Price]],0)</f>
        <v>0</v>
      </c>
      <c r="FT36" s="27" t="str">
        <f>IF(AND(ISNUMBER(SnapshotTable[[#This Row],[SC Upside Potential]]), SnapshotTable[[#This Row],[SC Upside Potential]] &gt; 0),(SnapshotTable[[#This Row],[SC Upside Potential]]/ SnapshotTable[[#This Row],[ACB]]),"")</f>
        <v/>
      </c>
      <c r="FU36" s="304" t="str">
        <f>IF(SnapshotTable[[#This Row],[SC Intrinsic Value]] &gt; 0,SnapshotTable[[#This Row],[SC Intrinsic Value]],"")</f>
        <v/>
      </c>
      <c r="FV36" s="27" t="str">
        <f>IF(AND( ISNUMBER( SnapshotTable[[#This Row],[ACB]]),ISNUMBER(SnapshotTable[[#This Row],[SC Downside Protect]])),SnapshotTable[[#This Row],[SC Downside Protect]] / SnapshotTable[[#This Row],[ACB]],"")</f>
        <v/>
      </c>
      <c r="FW36" s="221" t="str">
        <f>IF(AND(ISNUMBER(SnapshotTable[[#This Row],[SC Simple ROO]]),SnapshotTable[[#This Row],[SC Simple ROO]] &gt; 0), SnapshotTable[[#This Row],[SC Premium]] + (SnapshotTable[[#This Row],[SC Qty]] * SnapshotTable[[#This Row],[SC Upside Potential]]), "")</f>
        <v/>
      </c>
      <c r="FX36" s="280" t="str" cm="1">
        <f t="array" ref="FX36">IF(ISNUMBER(SnapshotTable[[#This Row],[SC Max Dollars]]), annualize(SnapshotTable[[#This Row],[SC Term]],(SnapshotTable[[#This Row],[SC Max Dollars]]/SnapshotTable[[#This Row],[SC Basis]])),"")</f>
        <v/>
      </c>
      <c r="FY36" s="221" t="str">
        <f>IF(AND(SnapshotTable[[#This Row],[SC Qty]]&gt;0,SnapshotTable[[#This Row],[SC Current Ask]]&gt;0), SnapshotTable[[#This Row],[SC Qty]] * SnapshotTable[[#This Row],[SC Current Ask]] * -100, "")</f>
        <v/>
      </c>
      <c r="FZ36" s="31" t="str">
        <f>IF(ISNUMBER((SnapshotTable[[#This Row],[SC Current Value]])), SnapshotTable[[#This Row],[SC Premium]] + SnapshotTable[[#This Row],[SC Current Value]], "")</f>
        <v/>
      </c>
      <c r="GA36" s="272" t="str">
        <f>IFERROR( IF(ISNUMBER((SnapshotTable[[#This Row],[SC Current Value]])), SnapshotTable[[#This Row],[SC Gain Loss]] / SnapshotTable[[#This Row],[SC Premium]], ""), "")</f>
        <v/>
      </c>
      <c r="GB36" s="42">
        <f>SnapshotTable[[#This Row],[Equity Shares]] * SaleSharesToConsiderPercentage</f>
        <v>0</v>
      </c>
      <c r="GC36" s="40">
        <f>SnapshotTable[[#This Row],[Long Term Target]] * SellingPriceToConsiderBasedOnTargetPercentage</f>
        <v>182.761</v>
      </c>
      <c r="GD36" s="40">
        <f>SnapshotTable[[#This Row],[Last Price]] * (1+ SellingPriceToConsiderBasedOnTargetPercentage)</f>
        <v>96.798000000000002</v>
      </c>
      <c r="GE36" s="41"/>
      <c r="GF36" s="40"/>
      <c r="GG36" s="31">
        <f>SnapshotTable[[#This Row],[Booked Sale Shares]] * SnapshotTable[[#This Row],[Booked Sale Price]]</f>
        <v>0</v>
      </c>
      <c r="GH36" s="31" t="str">
        <f>IF(SnapshotTable[[#This Row],[Equity Basis Total]] &gt; 0, SnapshotTable[[#This Row],[Equity Basis Per Share]] * SnapshotTable[[#This Row],[Booked Sale Shares]], "")</f>
        <v/>
      </c>
      <c r="GI36" s="31">
        <f>IF(SnapshotTable[[#This Row],[Sale Proceeds]]&gt;0, SnapshotTable[[#This Row],[Sale Proceeds]] - SnapshotTable[[#This Row],[Sale Basis]], 0)</f>
        <v>0</v>
      </c>
      <c r="GJ36" s="27" t="str">
        <f>IF(SnapshotTable[[#This Row],[Sale G/L]]&gt;0, SnapshotTable[[#This Row],[Sale G/L]] / SnapshotTable[[#This Row],[Sale Basis]], IF(ISNUMBER(SnapshotTable[[#This Row],[SC Exercise P&amp;L (TAX)]]), SnapshotTable[[#This Row],[SC Exercise P&amp;L (TAX)]] / SnapshotTable[[#This Row],[SC Basis]], ""))</f>
        <v/>
      </c>
      <c r="GK36" s="27" t="s">
        <v>519</v>
      </c>
      <c r="GL36" s="43" t="str">
        <f>IF(AND(SnapshotTable[[#This Row],[LP Exp Date]]&gt;0,SnapshotTable[[#This Row],[LP Strike Price]]&gt;0), [1]!ToOptionSymbol(SnapshotTable[[#This Row],[Symbol]], SnapshotTable[[#This Row],[LP Strike Price]],SnapshotTable[[#This Row],[LP Exp Date]],1), "")</f>
        <v/>
      </c>
      <c r="GM36" s="30" t="str">
        <f>IF(LEN(SnapshotTable[[#This Row],[LP Symbol]])&gt;0, 1, "")</f>
        <v/>
      </c>
      <c r="GN36" s="43" t="str">
        <f>IF(AND(SnapshotTable[[#This Row],[SP Exp Date]]&gt;0,SnapshotTable[[#This Row],[SP Strike Price]]&gt;0), [1]!ToOptionSymbol(SnapshotTable[[#This Row],[Symbol]], SnapshotTable[[#This Row],[SP Strike Price]],SnapshotTable[[#This Row],[SP Exp Date]],1), "")</f>
        <v/>
      </c>
      <c r="GO36" s="30" t="str">
        <f>IF(LEN(SnapshotTable[[#This Row],[SP Symbol]])&gt;0, 1, "")</f>
        <v/>
      </c>
      <c r="GP36" s="43" t="str">
        <f>IF(AND(SnapshotTable[[#This Row],[LC Exp Date]]&gt;0,SnapshotTable[[#This Row],[LC Strike Price]]&gt;0), [1]!ToOptionSymbol(SnapshotTable[[#This Row],[Symbol]], SnapshotTable[[#This Row],[LC Strike Price]],SnapshotTable[[#This Row],[LC Exp Date]],0), "")</f>
        <v/>
      </c>
      <c r="GQ36" s="30" t="str">
        <f>IF(LEN(SnapshotTable[[#This Row],[LC Symbol]])&gt;0, 1, "")</f>
        <v/>
      </c>
      <c r="GR36" s="43" t="str">
        <f>IF(AND(SnapshotTable[[#This Row],[SC Exp Date]]&gt;0,SnapshotTable[[#This Row],[SC Strike Price]]&gt;0), [1]!ToOptionSymbol(SnapshotTable[[#This Row],[Symbol]], SnapshotTable[[#This Row],[SC Strike Price]],SnapshotTable[[#This Row],[SC Exp Date]],0), "")</f>
        <v/>
      </c>
      <c r="GS36" s="30" t="str">
        <f>IF(LEN(SnapshotTable[[#This Row],[SC Symbol]])&gt;0, 1, "")</f>
        <v/>
      </c>
      <c r="GT36" s="29" t="str">
        <f>IF(COUNT(SnapshotTable[[#This Row],[LP Symbol Count]],SnapshotTable[[#This Row],[SP Symbol Count]],SnapshotTable[[#This Row],[LC Symbol Count]],SnapshotTable[[#This Row],[SC Symbol Count]])&gt;0, "Y", "")</f>
        <v/>
      </c>
      <c r="GU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6" s="216">
        <f>MAX(SnapshotTable[[#This Row],[Equity Basis Total]],SnapshotTable[[#This Row],[Equity Value]]) + (SnapshotTable[[#This Row],[SP Potential Spend]]- SnapshotTable[[#This Row],[SP Premium]] + SnapshotTable[[#This Row],[LP Premium]])+ (SnapshotTable[[#This Row],[LC Premium]] - SnapshotTable[[#This Row],[SC Premium]])</f>
        <v>0</v>
      </c>
      <c r="GW36" s="137" t="str">
        <f>IF(AND(SnapshotTable[[#This Row],[Exposure]] &lt;&gt; 0),SnapshotTable[[#This Row],[Exposure]] / SnapshotTable[[#Totals],[Exposure]], "")</f>
        <v/>
      </c>
      <c r="GY36" s="351"/>
      <c r="HE36" s="253"/>
      <c r="HF36" s="253"/>
      <c r="HG36" s="351"/>
      <c r="HH36" s="351"/>
      <c r="HI36" s="351"/>
      <c r="HJ36" s="351"/>
    </row>
    <row r="37" spans="2:224" ht="12.75" hidden="1" customHeight="1" x14ac:dyDescent="0.25">
      <c r="B37" s="12" t="s">
        <v>853</v>
      </c>
      <c r="C37" s="385">
        <v>76.03</v>
      </c>
      <c r="D37" s="200" t="s">
        <v>467</v>
      </c>
      <c r="E37" s="39">
        <f>SnapshotTable[[#This Row],[Last Price]]*(1 -CrashDiscount)</f>
        <v>64.625500000000002</v>
      </c>
      <c r="F37" s="26"/>
      <c r="G37" s="26"/>
      <c r="H37" s="147"/>
      <c r="I37" s="186" t="s">
        <v>2</v>
      </c>
      <c r="J37" s="187"/>
      <c r="K37" s="188"/>
      <c r="L37" s="297"/>
      <c r="M37" s="138"/>
      <c r="N37" s="138"/>
      <c r="O37" s="138"/>
      <c r="P37" s="22"/>
      <c r="Q37" s="25"/>
      <c r="R37" s="4" t="str">
        <f>IF(SnapshotTable[[#This Row],[Equity Basis Total]] &gt; 0, SnapshotTable[[#This Row],[Equity Basis Total]] / SnapshotTable[[#This Row],[Equity Shares]], "")</f>
        <v/>
      </c>
      <c r="S37" s="254">
        <f>SnapshotTable[[#This Row],[Last Price]] * SnapshotTable[[#This Row],[Equity Shares]]</f>
        <v>0</v>
      </c>
      <c r="T37" s="254">
        <f>SnapshotTable[[#This Row],[Equity Value]] - SnapshotTable[[#This Row],[Equity Basis Total]]</f>
        <v>0</v>
      </c>
      <c r="U37" s="255" t="str">
        <f>IF(SnapshotTable[[#This Row],[Equity Basis Total]] &gt; 0, SnapshotTable[[#This Row],[Equity G/L]] / SnapshotTable[[#This Row],[Equity Basis Total]], "")</f>
        <v/>
      </c>
      <c r="V37" s="253">
        <v>44.2</v>
      </c>
      <c r="W37" s="253">
        <v>38.72</v>
      </c>
      <c r="X37" s="4" t="str">
        <f>IF(AND(ISNUMBER(SnapshotTable[[#This Row],[Equity Basis Per Share]]),ISNUMBER(SnapshotTable[[#This Row],[Equity Target]])),SnapshotTable[[#This Row],[Equity Target]]-SnapshotTable[[#This Row],[Equity Basis Per Share]],"")</f>
        <v/>
      </c>
      <c r="Y37" s="4" t="str">
        <f>IF(AND(ISNUMBER(SnapshotTable[[#This Row],[Equity Basis Per Share]]),ISNUMBER(SnapshotTable[[#This Row],[Equity Stop Loss]])),SnapshotTable[[#This Row],[Equity Stop Loss]]-SnapshotTable[[#This Row],[Equity Basis Per Share]],"")</f>
        <v/>
      </c>
      <c r="Z37" s="260" t="str">
        <f>IFERROR( TEXT(SnapshotTable[[#This Row],[Equity Max Gain Per Share]] /ABS( SnapshotTable[[#This Row],[Equity Max Loss Per Share]]),"0.0 " ) &amp; " : 1", "")</f>
        <v/>
      </c>
      <c r="AA37" s="31" t="str">
        <f>IF(ISNUMBER(SnapshotTable[[#This Row],[Equity Max Gain Per Share]]),SnapshotTable[[#This Row],[Equity Max Gain Per Share]] * SnapshotTable[[#This Row],[Equity Shares]],"")</f>
        <v/>
      </c>
      <c r="AB37" s="31" t="str">
        <f>IF(ISNUMBER(SnapshotTable[[#This Row],[Equity Max Loss Per Share]]),SnapshotTable[[#This Row],[Equity Max Loss Per Share]] * SnapshotTable[[#This Row],[Equity Shares]],"")</f>
        <v/>
      </c>
      <c r="AC37" s="148"/>
      <c r="AD37" s="149"/>
      <c r="AE37" s="31">
        <f>(SnapshotTable[[#This Row],[Annual Dividend Per Share]] / 4) * SnapshotTable[[#This Row],[Equity Shares]]</f>
        <v>0</v>
      </c>
      <c r="AF37" s="31">
        <f>SnapshotTable[[#This Row],[Quarterly Div $]] * 4</f>
        <v>0</v>
      </c>
      <c r="AG37" s="7">
        <f>IF(SnapshotTable[[#This Row],[Annual Dividend Per Share]]&gt;0, SnapshotTable[[#This Row],[Annual Dividend Per Share]]  / SnapshotTable[[#This Row],[Last Price]], 0)</f>
        <v>0</v>
      </c>
      <c r="AH37" s="149"/>
      <c r="AI37" s="5"/>
      <c r="AJ37" s="136"/>
      <c r="AK37" s="150" t="str">
        <f>IF(ISNUMBER( SnapshotTable[[#This Row],[EBF Target]]),(SnapshotTable[[#This Row],[EBF Target]] - SnapshotTable[[#This Row],[Last Price]]) / SnapshotTable[[#This Row],[Last Price]], "")</f>
        <v/>
      </c>
      <c r="AL37" s="150" t="str">
        <f>IF(AND(SnapshotTable[[#This Row],[Equity Basis Total]] &gt; 0,ISNUMBER( SnapshotTable[[#This Row],[Long Term Target]])), SnapshotTable[[#This Row],[From Basis $]] / SnapshotTable[[#This Row],[Equity Basis Total]], "")</f>
        <v/>
      </c>
      <c r="AM37" s="9">
        <f>IF( AND(SnapshotTable[[#This Row],[Equity Shares]] &gt;0,ISNUMBER( SnapshotTable[[#This Row],[Long Term Target]])),(SnapshotTable[[#This Row],[Equity Shares]] * SnapshotTable[[#This Row],[Long Term Target]]) - SnapshotTable[[#This Row],[Equity Basis Total]],0)</f>
        <v>0</v>
      </c>
      <c r="AN37" s="9">
        <f>IF( AND(SnapshotTable[[#This Row],[Equity Shares]] &gt;0,ISNUMBER( SnapshotTable[[#This Row],[Long Term Target]])),(SnapshotTable[[#This Row],[Equity Shares]]*SnapshotTable[[#This Row],[Long Term Target]]) - SnapshotTable[[#This Row],[Equity Value]],0)</f>
        <v>0</v>
      </c>
      <c r="AO37" s="150" t="str">
        <f>IF(AND(ISNUMBER( SnapshotTable[[#This Row],[Long Term Target]]), ISNUMBER(SnapshotTable[[#This Row],[Last Price]])),(SnapshotTable[[#This Row],[Long Term Target]] - SnapshotTable[[#This Row],[Last Price]]) / SnapshotTable[[#This Row],[Last Price]], "")</f>
        <v/>
      </c>
      <c r="AP37" s="5">
        <v>44.2</v>
      </c>
      <c r="AQ37" s="38" t="s">
        <v>59</v>
      </c>
      <c r="AR37" s="5">
        <v>38.72</v>
      </c>
      <c r="AS37" s="38" t="s">
        <v>19</v>
      </c>
      <c r="AT37" s="144"/>
      <c r="AU37" s="185" t="str">
        <f>IF(OR(SnapshotTable[[#This Row],[LP No Fill]]="Y",SnapshotTable[[#This Row],[SP Is Filled]],SnapshotTable[[#This Row],[LC Not Filled]]="Y",SnapshotTable[[#This Row],[SC Is Filled]]),"Y","")</f>
        <v/>
      </c>
      <c r="AV37" s="205"/>
      <c r="AW37" s="211"/>
      <c r="AX37" s="206"/>
      <c r="AY37" s="205" t="str">
        <f>IF(SnapshotTable[[#This Row],[Implied Move]]&gt;0, SnapshotTable[[#This Row],[Last Price]]-SnapshotTable[[#This Row],[Implied Move]],"")</f>
        <v/>
      </c>
      <c r="AZ37" s="205" t="str">
        <f>IF(SnapshotTable[[#This Row],[Implied Move]]&gt;0, SnapshotTable[[#This Row],[Last Price]] + SnapshotTable[[#This Row],[Implied Move]],"")</f>
        <v/>
      </c>
      <c r="BA37" s="302">
        <v>40.549999999999997</v>
      </c>
      <c r="BB37" s="318"/>
      <c r="BC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7" s="321"/>
      <c r="BE37" s="136"/>
      <c r="BF37" s="164"/>
      <c r="BG37" s="165"/>
      <c r="BH37" s="165"/>
      <c r="BI37" s="207"/>
      <c r="BJ37" s="151">
        <f>IF(SnapshotTable[[#This Row],[LP Qty]] &gt; 0, SnapshotTable[[#This Row],[LP Qty]] * SnapshotTable[[#This Row],[LP Book Price]] * 100,0)</f>
        <v>0</v>
      </c>
      <c r="BK37" s="134">
        <f>IF(SnapshotTable[[#This Row],[LP Premium]] &gt; 0, SnapshotTable[[#This Row],[LP Qty]] * SnapshotTable[[#This Row],[LP Strike Price]] * 100,0)</f>
        <v>0</v>
      </c>
      <c r="BL37" s="152"/>
      <c r="BM37" s="355" t="str">
        <f>IF(SnapshotTable[[#This Row],[LP Premium]] &gt; 0,SnapshotTable[[#This Row],[LP Exp Date]]-MAX(SnapshotTable[[#This Row],[LP Book Date]], SnapshotTable[[#This Row],[LP Fill Date]]),"")</f>
        <v/>
      </c>
      <c r="BN37" s="355" t="str">
        <f>IF(ISNUMBER( SnapshotTable[[#This Row],[LP Term]]), SnapshotTable[[#This Row],[LP Exp Date]] - MockToday,"")</f>
        <v/>
      </c>
      <c r="BO37" s="161" t="str">
        <f>IF(AND(SnapshotTable[[#This Row],[LP Exp Date]]&gt;0, SnapshotTable[[#This Row],[LP Strike Price]]&gt;0,SnapshotTable[[#This Row],[LP Qty]]&gt;0,SnapshotTable[[#This Row],[LP Book Date]]&gt;0,SnapshotTable[[#This Row],[LP Book Price]]&gt;0,SnapshotTable[[#This Row],[LP Fill Date]]=0),"Y","")</f>
        <v/>
      </c>
      <c r="BP37" s="31" t="str">
        <f>IF(AND(SnapshotTable[[#This Row],[LP No Fill]]&lt;&gt;"Y",SnapshotTable[[#This Row],[LP Contract Value]]&gt;0, SnapshotTable[[#This Row],[LP Qty]]&gt;0), SnapshotTable[[#This Row],[LP Contract Value]]*SnapshotTable[[#This Row],[LP Qty]]*100,"")</f>
        <v/>
      </c>
      <c r="BQ37" s="13"/>
      <c r="BR37" s="5"/>
      <c r="BS37" s="36"/>
      <c r="BT37" s="145"/>
      <c r="BU37" s="13"/>
      <c r="BV37" s="5"/>
      <c r="BW37" s="382" t="b">
        <f>AND(ISNUMBER(SnapshotTable[[#This Row],[SP Exp Date]]), ISNUMBER(SnapshotTable[[#This Row],[SP Strike Price]]), ISNUMBER(SnapshotTable[[#This Row],[SP Qty]]), ISNUMBER(SnapshotTable[[#This Row],[SP Book Date]]), ISNUMBER(SnapshotTable[[#This Row],[SP Book Price]]))</f>
        <v>0</v>
      </c>
      <c r="BX37" s="382" t="b">
        <f>AND(SnapshotTable[[#This Row],[SP Is Booked]], NOT(ISBLANK(SnapshotTable[[#This Row],[SP Fill Date]])))</f>
        <v>0</v>
      </c>
      <c r="BY37" s="33">
        <f>IF(SnapshotTable[[#This Row],[SP Is Booked]], SnapshotTable[[#This Row],[SP Qty]] * SnapshotTable[[#This Row],[SP Book Price]] * 100, 0)</f>
        <v>0</v>
      </c>
      <c r="BZ37" s="339"/>
      <c r="CA37" s="338">
        <f>SnapshotTable[[#This Row],[LP Qty]]</f>
        <v>0</v>
      </c>
      <c r="CB37" s="4" t="str">
        <f>IF(SnapshotTable[[#This Row],[SP Is Booked]], SnapshotTable[[#This Row],[SP Strike Price]] - SnapshotTable[[#This Row],[SP Book Price]], "")</f>
        <v/>
      </c>
      <c r="CC37" s="19" t="str">
        <f>IF(SnapshotTable[[#This Row],[SP Is Booked]],SnapshotTable[[#This Row],[SP Exp Date]]-MAX(SnapshotTable[[#This Row],[SP Book Date]], SnapshotTable[[#This Row],[SP Fill Date]]),"")</f>
        <v/>
      </c>
      <c r="CD37" s="7" t="str">
        <f>IF(SnapshotTable[[#This Row],[SP Is Booked]], SnapshotTable[[#This Row],[SP Book Price]]/SnapshotTable[[#This Row],[SP Strike Price]], "")</f>
        <v/>
      </c>
      <c r="CE37" s="7" t="str">
        <f>IF(ISNUMBER(SnapshotTable[[#This Row],[SP ROO Term]]),SnapshotTable[[#This Row],[SP ROO Term]]*(365/SnapshotTable[[#This Row],[SP Term]]),"")</f>
        <v/>
      </c>
      <c r="CF37" s="221">
        <f>SnapshotTable[[#This Row],[LP Strike Price]] * SnapshotTable[[#This Row],[LP Qty]] * 100</f>
        <v>0</v>
      </c>
      <c r="CG37" s="31">
        <f>IF(ISNUMBER(SnapshotTable[[#This Row],[SP Premium]]), (SnapshotTable[[#This Row],[SP Qty]] * SnapshotTable[[#This Row],[SP Strike Price]]* 100) - SnapshotTable[[#This Row],[LP Protection]], 0)</f>
        <v>0</v>
      </c>
      <c r="CH37" s="7" t="str">
        <f>IF(ISNUMBER(SnapshotTable[[#This Row],[SP Break Even]]),-1 * (SnapshotTable[[#This Row],[SP Break Even]] - SnapshotTable[[#This Row],[Last Price]]) / SnapshotTable[[#This Row],[Last Price]], "")</f>
        <v/>
      </c>
      <c r="CI37" s="31">
        <f>IF(AND(ISNUMBER((SnapshotTable[[#This Row],[SP Potential Spend]])), SnapshotTable[[#This Row],[SP Strike Price]] &gt; SnapshotTable[[#This Row],[Last Price]], SnapshotTable[[#This Row],[SP Is Filled]]), SnapshotTable[[#This Row],[SP Potential Spend]] -  SnapshotTable[[#This Row],[LP Max Value]], 0)</f>
        <v>0</v>
      </c>
      <c r="CJ37" s="229"/>
      <c r="CK37" s="31">
        <f>IF(ISNUMBER(SnapshotTable[[#This Row],[SP Potential Spend]]),IF(ISNUMBER(SnapshotTable[[#This Row],[SP POW]]), SnapshotTable[[#This Row],[SP POW]] * SnapshotTable[[#This Row],[SP Potential Spend]], SnapshotTable[[#This Row],[SP Potential Spend]]), "")</f>
        <v>0</v>
      </c>
      <c r="CL37" s="162">
        <f>IF(NOT(SnapshotTable[[#This Row],[SP Is Filled]]),(SnapshotTable[[#This Row],[SP Qty]] * SnapshotTable[[#This Row],[SP Strike Price]] * 100) - SnapshotTable[[#This Row],[LP Max Value]],"")</f>
        <v>0</v>
      </c>
      <c r="CM37" s="31" t="str">
        <f>IF(SnapshotTable[[#This Row],[SP Actual Spend]]&lt;&gt;0, ((SnapshotTable[[#This Row],[SP Strike Price]]-SnapshotTable[[#This Row],[Last Price]]) *(SnapshotTable[[#This Row],[SP Qty]]*100) - SnapshotTable[[#This Row],[SP Premium]]) * - 1, "")</f>
        <v/>
      </c>
      <c r="CN37" s="152"/>
      <c r="CO37" s="339"/>
      <c r="CP37" s="4" t="str">
        <f>IF(SnapshotTable[[#This Row],[SP Is Filled]], btc_max_buyback_amount(SnapshotTable[[#This Row],[SP Fill Date]],SnapshotTable[[#This Row],[SP Exp Date]], SnapshotTable[[#This Row],[SP Book Price]]),"")</f>
        <v/>
      </c>
      <c r="CQ37" s="76"/>
      <c r="CR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7" s="153" t="str">
        <f>IF(SnapshotTable[[#This Row],[SP Is Filled]], btc_next_cutoff_date(SnapshotTable[[#This Row],[SP Fill Date]],SnapshotTable[[#This Row],[SP Exp Date]]),"")</f>
        <v/>
      </c>
      <c r="CT37" s="220" t="str" cm="1">
        <f t="array" ref="CT37">IF(SnapshotTable[[#This Row],[SP Is Filled]], btc_should_buy_back(SnapshotTable[[#This Row],[SP Fill Date]], SnapshotTable[[#This Row],[SP Exp Date]], SnapshotTable[[#This Row],[SP Book Price]], SnapshotTable[[#This Row],[SP Current Ask]], MockToday, SnapshotTable[[#This Row],[SP Buyback Override]]),"")</f>
        <v/>
      </c>
      <c r="CU37" s="154"/>
      <c r="CV37" s="220"/>
      <c r="CW37" s="348" t="str">
        <f>IF(ISNUMBER( SnapshotTable[[#This Row],[SP Term]]), SnapshotTable[[#This Row],[SP Exp Date]] - MockToday,"")</f>
        <v/>
      </c>
      <c r="CX37" s="31" t="str">
        <f>IF(SnapshotTable[[#This Row],[SP Is Filled]],SnapshotTable[[#This Row],[SP Buyback Price to Use]] * 100 * SnapshotTable[[#This Row],[SP Qty]], "")</f>
        <v/>
      </c>
      <c r="CY37" s="4" t="str">
        <f>IF(ISNUMBER(SnapshotTable[[#This Row],[SP Strike Price]]), SnapshotTable[[#This Row],[SP Strike Price]] * (1 - SP_MaxLoss_StrikePct), "")</f>
        <v/>
      </c>
      <c r="CZ37" s="31" t="str">
        <f>IF(ISNUMBER(SnapshotTable[[#This Row],[SP Strike  Stop Per Share]]),SnapshotTable[[#This Row],[SP Premium]] - ((SnapshotTable[[#This Row],[SP Strike Price]]-SnapshotTable[[#This Row],[SP Strike  Stop Per Share]]) *(SnapshotTable[[#This Row],[SP Qty]] * 100)),"")</f>
        <v/>
      </c>
      <c r="DA37" s="4" t="str">
        <f>IF(AND(ISNUMBER(SnapshotTable[[#This Row],[SP Premium]]),SnapshotTable[[#This Row],[SP Premium]]&gt;0), SnapshotTable[[#This Row],[SP Book Price]] * (1 + SP_MaxLoss_OptionPct), "")</f>
        <v/>
      </c>
      <c r="DB37" s="31" t="str">
        <f>IF(ISNUMBER(SnapshotTable[[#This Row],[SP Option  Stop Contract]]),(SnapshotTable[[#This Row],[SP Option  Stop Contract]] *(SnapshotTable[[#This Row],[SP Qty]] * 100) - SnapshotTable[[#This Row],[SP Premium]]),"")</f>
        <v/>
      </c>
      <c r="DC37" s="4"/>
      <c r="DD37" s="4"/>
      <c r="DE37" s="4" t="str">
        <f>IF(AND(SnapshotTable[[#This Row],[SP Qty]]&gt;0, SnapshotTable[[#This Row],[SP Stop To Use]]&gt;0),SnapshotTable[[#This Row],[SP Premium]] - ( SnapshotTable[[#This Row],[SP Qty]] * SnapshotTable[[#This Row],[SP Stop To Use]] * 100), "")</f>
        <v/>
      </c>
      <c r="DF37" s="31" t="str">
        <f>IF(AND(SnapshotTable[[#This Row],[SP Qty]]&gt;0,SnapshotTable[[#This Row],[SP Current Ask]]&gt;0), SnapshotTable[[#This Row],[SP Qty]] * SnapshotTable[[#This Row],[SP Current Ask]] * -100, "")</f>
        <v/>
      </c>
      <c r="DG37" s="31" t="str">
        <f>IF(ISNUMBER((SnapshotTable[[#This Row],[SP Total Value]])), SnapshotTable[[#This Row],[SP Premium]] + SnapshotTable[[#This Row],[SP Total Value]], "")</f>
        <v/>
      </c>
      <c r="DH37" s="272" t="str">
        <f>IF(ISNUMBER((SnapshotTable[[#This Row],[SP Total Value]])), SnapshotTable[[#This Row],[SP Gain Loss]] / SnapshotTable[[#This Row],[SP Premium]], "")</f>
        <v/>
      </c>
      <c r="DI37" s="369"/>
      <c r="DJ37" s="136"/>
      <c r="DK37" s="146"/>
      <c r="DL37" s="145"/>
      <c r="DM37" s="145"/>
      <c r="DO37" s="31">
        <f>IF(SnapshotTable[[#This Row],[LC Symbol Count]]=1, SnapshotTable[[#This Row],[LC Qty]] * SnapshotTable[[#This Row],[LC Book Price]] * 100, 0)</f>
        <v>0</v>
      </c>
      <c r="DP37" s="270" t="str">
        <f>IF(AND(SnapshotTable[[#This Row],[LC Exp Date]]&gt;0, SnapshotTable[[#This Row],[LC Strike Price]]&gt;0,SnapshotTable[[#This Row],[LC Qty]]&gt;0,SnapshotTable[[#This Row],[LC Book Date]]&gt;0,SnapshotTable[[#This Row],[LC Book Price]]&gt;0,SnapshotTable[[#This Row],[LC Fill Date]]=0),"Y","")</f>
        <v/>
      </c>
      <c r="DQ37" s="356" t="str">
        <f>IF(SnapshotTable[[#This Row],[LC Premium]] &gt; 0,SnapshotTable[[#This Row],[LC Exp Date]]-MAX(SnapshotTable[[#This Row],[LC Book Date]], SnapshotTable[[#This Row],[LC Fill Date]]),"")</f>
        <v/>
      </c>
      <c r="DR37" s="356" t="str">
        <f>IF(ISNUMBER(SnapshotTable[[#This Row],[LC Term]]), SnapshotTable[[#This Row],[LC Exp Date]] - MockToday, "")</f>
        <v/>
      </c>
      <c r="DS37" s="219" t="str">
        <f>IF(SnapshotTable[[#This Row],[LC Premium]]&gt;0,SnapshotTable[[#This Row],[LC Strike Price]] + SnapshotTable[[#This Row],[LC Book Price]],"")</f>
        <v/>
      </c>
      <c r="DU37" s="9" t="str">
        <f>IF(AND(SnapshotTable[[#This Row],[LC Symbol Count]]&gt;0, SnapshotTable[[#This Row],[LC Contract Value]]&gt;0), SnapshotTable[[#This Row],[LC Contract Value]] * SnapshotTable[[#This Row],[LC Qty]] * 100, "")</f>
        <v/>
      </c>
      <c r="DV37" s="9" t="str">
        <f>IF(AND(ISNUMBER(SnapshotTable[[#This Row],[LC Total Value]]), SnapshotTable[[#This Row],[LC Not Filled]]&lt;&gt;"Y"), SnapshotTable[[#This Row],[LC Total Value]]-SnapshotTable[[#This Row],[LC Premium]],"")</f>
        <v/>
      </c>
      <c r="DW37" s="225" t="str">
        <f>IF(ISNUMBER(SnapshotTable[[#This Row],[LC Actual Gain Loss]]), SnapshotTable[[#This Row],[LC Actual Gain Loss]] / SnapshotTable[[#This Row],[LC Premium]],"")</f>
        <v/>
      </c>
      <c r="DX37" s="269" t="str">
        <f>IF(ISNUMBER(SnapshotTable[[#This Row],[LC Book Price]]),SnapshotTable[[#This Row],[LC Book Price]] * 1.5,"")</f>
        <v/>
      </c>
      <c r="DY37" s="250" t="str">
        <f>IF(SnapshotTable[[#This Row],[LC Premium]]&gt;0, SnapshotTable[[#This Row],[LC Next Target]] * SnapshotTable[[#This Row],[LC Qty]] * 100,"")</f>
        <v/>
      </c>
      <c r="DZ37" s="250" t="str">
        <f>IF(ISNUMBER(SnapshotTable[[#This Row],[LC Target Gross]]), SnapshotTable[[#This Row],[LC Target Gross]] - SnapshotTable[[#This Row],[LC Premium]], "")</f>
        <v/>
      </c>
      <c r="EA37" s="283" t="str">
        <f>IF(ISNUMBER(SnapshotTable[[#This Row],[LC Target Gain Loss]]), SnapshotTable[[#This Row],[LC Target Gain Loss]]/SnapshotTable[[#This Row],[LC Premium]], "")</f>
        <v/>
      </c>
      <c r="EB37" s="247"/>
      <c r="EC37" s="268" t="str">
        <f>IF(SnapshotTable[[#This Row],[LC Premium]]&gt;0, SnapshotTable[[#This Row],[LC Book Price]] * (1 - LC_StopLoss_Pct),"")</f>
        <v/>
      </c>
      <c r="ED37" s="269"/>
      <c r="EE37" s="268" t="str">
        <f>IF(ISNUMBER(SnapshotTable[[#This Row],[LC Contract Value]]),IF(ISNUMBER(SnapshotTable[[#This Row],[LC Stop Loss Override]]), SnapshotTable[[#This Row],[LC Stop Loss Override]],SnapshotTable[[#This Row],[LC Stop Loss Calc Target]]),"")</f>
        <v/>
      </c>
      <c r="EF37" s="31" t="str">
        <f>IF(ISNUMBER(SnapshotTable[[#This Row],[LC Stop  To Use]]), (SnapshotTable[[#This Row],[LC Stop  To Use]] * SnapshotTable[[#This Row],[LC Qty]] * 100),"")</f>
        <v/>
      </c>
      <c r="EG37" s="9" t="str">
        <f>IF(ISNUMBER(SnapshotTable[[#This Row],[LC Total Value]]),SnapshotTable[[#This Row],[LC Stop Loss Amount]] - SnapshotTable[[#This Row],[LC Premium]],"")</f>
        <v/>
      </c>
      <c r="EH37" s="9">
        <f>IF(ISNUMBER(SnapshotTable[[#This Row],[LC Premium]]), SnapshotTable[[#This Row],[LC Qty]] * 100 * SnapshotTable[[#This Row],[LC Strike Price]], "")</f>
        <v>0</v>
      </c>
      <c r="EI37" s="225" t="str">
        <f>IF(AND(ISNUMBER(SnapshotTable[[#This Row],[LC Total Value]]),SnapshotTable[[#This Row],[LC Total Value]]&gt;0),SnapshotTable[[#This Row],[LC Stop Gain Loss]]  / SnapshotTable[[#This Row],[LC Premium]],"")</f>
        <v/>
      </c>
      <c r="EJ37" s="35">
        <f>IF(ISNUMBER(SnapshotTable[[#This Row],[Equity Shares]]),TRUNC(SnapshotTable[[#This Row],[Equity Shares]] / 100),0) + SnapshotTable[[#This Row],[LC Qty]]</f>
        <v>0</v>
      </c>
      <c r="EK37" s="145"/>
      <c r="EL37" s="136"/>
      <c r="EM37" s="146"/>
      <c r="EN37" s="145"/>
      <c r="EO37" s="145"/>
      <c r="EP37" s="136"/>
      <c r="EQ37" s="382" t="b">
        <f>AND(ISNUMBER(SnapshotTable[[#This Row],[SC Exp Date]]), ISNUMBER(SnapshotTable[[#This Row],[SC Strike Price]]), ISNUMBER(SnapshotTable[[#This Row],[SC Qty]]), ISNUMBER(SnapshotTable[[#This Row],[SC Book Date]]), ISNUMBER(SnapshotTable[[#This Row],[SC Book Price]]))</f>
        <v>0</v>
      </c>
      <c r="ER37" s="382" t="b">
        <f>AND(SnapshotTable[[#This Row],[SC Is Booked]], NOT(ISBLANK(SnapshotTable[[#This Row],[SC Fill Date]])))</f>
        <v>0</v>
      </c>
      <c r="ES37" s="340"/>
      <c r="ET37" s="34" t="str">
        <f>IF(AND(ISNUMBER(SnapshotTable[[#This Row],[SC Exp Date]]), ISNUMBER(SnapshotTable[[#This Row],[SC Book Date]])), SnapshotTable[[#This Row],[SC Exp Date]] - MAX(SnapshotTable[[#This Row],[SC Book Date]], SnapshotTable[[#This Row],[SC Fill Date]]) + 1, "")</f>
        <v/>
      </c>
      <c r="EU37" s="34" t="str">
        <f>IF(ISNUMBER(SnapshotTable[[#This Row],[SC Term]]), SnapshotTable[[#This Row],[SC Exp Date]]- MockToday, "")</f>
        <v/>
      </c>
      <c r="EV37" s="31">
        <f>IF(SnapshotTable[[#This Row],[SC Is Booked]], SnapshotTable[[#This Row],[SC Qty]] * SnapshotTable[[#This Row],[SC Book Price]] * 100, 0)</f>
        <v>0</v>
      </c>
      <c r="EW37" s="4" t="str">
        <f>IF(AND(ISNUMBER(SnapshotTable[[#This Row],[Last Price]]), ISNUMBER( SnapshotTable[[#This Row],[SC Book Price]])), SnapshotTable[[#This Row],[Last Price]] - SnapshotTable[[#This Row],[SC Book Price]],"")</f>
        <v/>
      </c>
      <c r="EX37" s="219" t="str">
        <f>IF(SnapshotTable[[#This Row],[SC Is Booked]],IF(SnapshotTable[[#This Row],[SC Intrinsic Value]] &gt; 0, SnapshotTable[[#This Row],[SC Strike Price]], SnapshotTable[[#This Row],[Last Price]]), "")</f>
        <v/>
      </c>
      <c r="EY37" s="4">
        <f>IF(SnapshotTable[[#This Row],[SC Is Booked]], (MinimumPremiumRequired * SnapshotTable[[#This Row],[SC Basis]] * SnapshotTable[[#This Row],[SC Term]]), 0)</f>
        <v>0</v>
      </c>
      <c r="EZ37" s="268"/>
      <c r="FA37" s="204"/>
      <c r="FB37" s="340"/>
      <c r="FC37" s="4">
        <f>IF(SnapshotTable[[#This Row],[SC Is Filled]], btc_max_buyback_amount(SnapshotTable[[#This Row],[SC Fill Date]],SnapshotTable[[#This Row],[SC Exp Date]], SnapshotTable[[#This Row],[SC Book Price]]),0)</f>
        <v>0</v>
      </c>
      <c r="FD37" s="5"/>
      <c r="FE37" s="142" t="str">
        <f>IF(SnapshotTable[[#This Row],[SC Is Filled]], btc_next_cutoff_date(SnapshotTable[[#This Row],[SC Fill Date]],SnapshotTable[[#This Row],[SC Exp Date]]),"")</f>
        <v/>
      </c>
      <c r="FF37" s="4" t="str" cm="1">
        <f t="array" ref="FF37">IF(SnapshotTable[[#This Row],[SC Is Filled]], btc_should_buy_back(SnapshotTable[[#This Row],[SC Fill Date]], SnapshotTable[[#This Row],[SC Exp Date]], SnapshotTable[[#This Row],[SC Book Price]], SnapshotTable[[#This Row],[SC Current Ask]], MockToday, SnapshotTable[[#This Row],[SC Buyback Override]]),"")</f>
        <v/>
      </c>
      <c r="FG37" s="4">
        <f>IF(SnapshotTable[[#This Row],[SC Is Filled]], MAX(0,SnapshotTable[[#This Row],[Last Price]]  - SnapshotTable[[#This Row],[SC Strike Price]]), 0)</f>
        <v>0</v>
      </c>
      <c r="FH37" s="352">
        <f>IF(SnapshotTable[[#This Row],[SC Is Filled]], IF(ISNUMBER(SnapshotTable[[#This Row],[SC Current Ask]]), SnapshotTable[[#This Row],[SC Current Ask]], SnapshotTable[[#This Row],[SC Book Price]]) - SnapshotTable[[#This Row],[SC Intrinsic Value]], 0)</f>
        <v>0</v>
      </c>
      <c r="FI37" s="141"/>
      <c r="FJ37" s="32" t="str">
        <f>IF(SnapshotTable[[#This Row],[SC Is Filled]],100 * SnapshotTable[[#This Row],[SC Qty]] * IF(ISNUMBER(SnapshotTable[[#This Row],[SC Buyback Override]]), SnapshotTable[[#This Row],[SC Buyback Override]], SnapshotTable[[#This Row],[SC Current Ask]]), "")</f>
        <v/>
      </c>
      <c r="FK37" s="235" t="str">
        <f>IF(SnapshotTable[[#This Row],[SC Time Val]]&gt;0, SnapshotTable[[#This Row],[SC Time Val]] / SnapshotTable[[#This Row],[Last Price]],"")</f>
        <v/>
      </c>
      <c r="FL37" s="280" t="str">
        <f>IF(SnapshotTable[[#This Row],[SC Is Booked]], ((SnapshotTable[[#This Row],[Last Price]] -SnapshotTable[[#This Row],[SC Strike Price]]) / SnapshotTable[[#This Row],[Last Price]]) * -1, "")</f>
        <v/>
      </c>
      <c r="FM37" s="155" t="str">
        <f>IF(SnapshotTable[[#This Row],[SC Is Booked]],  (SnapshotTable[[#This Row],[SC Qty]] * 100 * SnapshotTable[[#This Row],[SC Strike Price]]) - SnapshotTable[[#This Row],[SC Current Ask]], "")</f>
        <v/>
      </c>
      <c r="FN3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7" s="155" t="str">
        <f>IF(AND(ISNUMBER(SnapshotTable[[#This Row],[SC Exercise Gross]]), ISNUMBER(SnapshotTable[[#This Row],[Equity Basis Per Share]] )), SnapshotTable[[#This Row],[SC Exercise Gross]] - SnapshotTable[[#This Row],[Equity Basis Total]] +  SnapshotTable[[#This Row],[SC Premium]], "")</f>
        <v/>
      </c>
      <c r="FP37" s="5" t="str">
        <f>IF(ISNUMBER(SnapshotTable[[#This Row],[SC Exercise Gross]]), (SnapshotTable[[#This Row],[SC Exercise Gross]]) / (SnapshotTable[[#This Row],[SC Qty]] * 100), "")</f>
        <v/>
      </c>
      <c r="FQ37" s="27" t="str">
        <f>IF(SnapshotTable[[#This Row],[SC Is Booked]],SnapshotTable[[#This Row],[SC Time Val]] /SnapshotTable[[#This Row],[SC Basis]], "")</f>
        <v/>
      </c>
      <c r="FR37" s="27" t="str" cm="1">
        <f t="array" ref="FR37">IF(AND(ISNUMBER(SnapshotTable[[#This Row],[SC Term]]),ISNUMBER(SnapshotTable[[#This Row],[SC Simple ROO]])), EllmanAnnualize(SnapshotTable[[#This Row],[SC DTE]], SnapshotTable[[#This Row],[SC Simple ROO]] ),"")</f>
        <v/>
      </c>
      <c r="FS37" s="4">
        <f>IF(SnapshotTable[[#This Row],[SC Strike Price]] &gt; SnapshotTable[[#This Row],[Last Price]], SnapshotTable[[#This Row],[SC Strike Price]] - SnapshotTable[[#This Row],[Last Price]],0)</f>
        <v>0</v>
      </c>
      <c r="FT37" s="27" t="str">
        <f>IF(AND(ISNUMBER(SnapshotTable[[#This Row],[SC Upside Potential]]), SnapshotTable[[#This Row],[SC Upside Potential]] &gt; 0),(SnapshotTable[[#This Row],[SC Upside Potential]]/ SnapshotTable[[#This Row],[ACB]]),"")</f>
        <v/>
      </c>
      <c r="FU37" s="304" t="str">
        <f>IF(SnapshotTable[[#This Row],[SC Intrinsic Value]] &gt; 0,SnapshotTable[[#This Row],[SC Intrinsic Value]],"")</f>
        <v/>
      </c>
      <c r="FV37" s="27" t="str">
        <f>IF(AND( ISNUMBER( SnapshotTable[[#This Row],[ACB]]),ISNUMBER(SnapshotTable[[#This Row],[SC Downside Protect]])),SnapshotTable[[#This Row],[SC Downside Protect]] / SnapshotTable[[#This Row],[ACB]],"")</f>
        <v/>
      </c>
      <c r="FW37" s="221" t="str">
        <f>IF(AND(ISNUMBER(SnapshotTable[[#This Row],[SC Simple ROO]]),SnapshotTable[[#This Row],[SC Simple ROO]] &gt; 0), SnapshotTable[[#This Row],[SC Premium]] + (SnapshotTable[[#This Row],[SC Qty]] * SnapshotTable[[#This Row],[SC Upside Potential]]), "")</f>
        <v/>
      </c>
      <c r="FX37" s="280" t="str" cm="1">
        <f t="array" ref="FX37">IF(ISNUMBER(SnapshotTable[[#This Row],[SC Max Dollars]]), annualize(SnapshotTable[[#This Row],[SC Term]],(SnapshotTable[[#This Row],[SC Max Dollars]]/SnapshotTable[[#This Row],[SC Basis]])),"")</f>
        <v/>
      </c>
      <c r="FY37" s="221" t="str">
        <f>IF(AND(SnapshotTable[[#This Row],[SC Qty]]&gt;0,SnapshotTable[[#This Row],[SC Current Ask]]&gt;0), SnapshotTable[[#This Row],[SC Qty]] * SnapshotTable[[#This Row],[SC Current Ask]] * -100, "")</f>
        <v/>
      </c>
      <c r="FZ37" s="220" t="str">
        <f>IF(ISNUMBER((SnapshotTable[[#This Row],[SC Current Value]])), SnapshotTable[[#This Row],[SC Premium]] + SnapshotTable[[#This Row],[SC Current Value]], "")</f>
        <v/>
      </c>
      <c r="GA37" s="272" t="str">
        <f>IFERROR( IF(ISNUMBER((SnapshotTable[[#This Row],[SC Current Value]])), SnapshotTable[[#This Row],[SC Gain Loss]] / SnapshotTable[[#This Row],[SC Premium]], ""), "")</f>
        <v/>
      </c>
      <c r="GB37" s="42">
        <f>SnapshotTable[[#This Row],[Equity Shares]] * SaleSharesToConsiderPercentage</f>
        <v>0</v>
      </c>
      <c r="GC37" s="40">
        <f>SnapshotTable[[#This Row],[Long Term Target]] * SellingPriceToConsiderBasedOnTargetPercentage</f>
        <v>0</v>
      </c>
      <c r="GD37" s="40">
        <f>SnapshotTable[[#This Row],[Last Price]] * (1+ SellingPriceToConsiderBasedOnTargetPercentage)</f>
        <v>148.2585</v>
      </c>
      <c r="GE37" s="41"/>
      <c r="GF37" s="40"/>
      <c r="GG37" s="31">
        <f>SnapshotTable[[#This Row],[Booked Sale Shares]] * SnapshotTable[[#This Row],[Booked Sale Price]]</f>
        <v>0</v>
      </c>
      <c r="GH37" s="31" t="str">
        <f>IF(SnapshotTable[[#This Row],[Equity Basis Total]] &gt; 0, SnapshotTable[[#This Row],[Equity Basis Per Share]] * SnapshotTable[[#This Row],[Booked Sale Shares]], "")</f>
        <v/>
      </c>
      <c r="GI37" s="31">
        <f>IF(SnapshotTable[[#This Row],[Sale Proceeds]]&gt;0, SnapshotTable[[#This Row],[Sale Proceeds]] - SnapshotTable[[#This Row],[Sale Basis]], 0)</f>
        <v>0</v>
      </c>
      <c r="GJ37" s="156" t="str">
        <f>IF(SnapshotTable[[#This Row],[Sale G/L]]&gt;0, SnapshotTable[[#This Row],[Sale G/L]] / SnapshotTable[[#This Row],[Sale Basis]], IF(ISNUMBER(SnapshotTable[[#This Row],[SC Exercise P&amp;L (TAX)]]), SnapshotTable[[#This Row],[SC Exercise P&amp;L (TAX)]] / SnapshotTable[[#This Row],[SC Basis]], ""))</f>
        <v/>
      </c>
      <c r="GK37" s="27"/>
      <c r="GL37" s="157" t="str">
        <f>IF(AND(SnapshotTable[[#This Row],[LP Exp Date]]&gt;0,SnapshotTable[[#This Row],[LP Strike Price]]&gt;0), [1]!ToOptionSymbol(SnapshotTable[[#This Row],[Symbol]], SnapshotTable[[#This Row],[LP Strike Price]],SnapshotTable[[#This Row],[LP Exp Date]],1), "")</f>
        <v/>
      </c>
      <c r="GM37" s="30" t="str">
        <f>IF(LEN(SnapshotTable[[#This Row],[LP Symbol]])&gt;0, 1, "")</f>
        <v/>
      </c>
      <c r="GN37" s="43" t="str">
        <f>IF(AND(SnapshotTable[[#This Row],[SP Exp Date]]&gt;0,SnapshotTable[[#This Row],[SP Strike Price]]&gt;0), [1]!ToOptionSymbol(SnapshotTable[[#This Row],[Symbol]], SnapshotTable[[#This Row],[SP Strike Price]],SnapshotTable[[#This Row],[SP Exp Date]],1), "")</f>
        <v/>
      </c>
      <c r="GO37" s="30" t="str">
        <f>IF(LEN(SnapshotTable[[#This Row],[SP Symbol]])&gt;0, 1, "")</f>
        <v/>
      </c>
      <c r="GP37" s="157" t="str">
        <f>IF(AND(SnapshotTable[[#This Row],[LC Exp Date]]&gt;0,SnapshotTable[[#This Row],[LC Strike Price]]&gt;0), [1]!ToOptionSymbol(SnapshotTable[[#This Row],[Symbol]], SnapshotTable[[#This Row],[LC Strike Price]],SnapshotTable[[#This Row],[LC Exp Date]],0), "")</f>
        <v/>
      </c>
      <c r="GQ37" s="158" t="str">
        <f>IF(LEN(SnapshotTable[[#This Row],[LC Symbol]])&gt;0, 1, "")</f>
        <v/>
      </c>
      <c r="GR37" s="157" t="str">
        <f>IF(AND(SnapshotTable[[#This Row],[SC Exp Date]]&gt;0,SnapshotTable[[#This Row],[SC Strike Price]]&gt;0), [1]!ToOptionSymbol(SnapshotTable[[#This Row],[Symbol]], SnapshotTable[[#This Row],[SC Strike Price]],SnapshotTable[[#This Row],[SC Exp Date]],0), "")</f>
        <v/>
      </c>
      <c r="GS37" s="158" t="str">
        <f>IF(LEN(SnapshotTable[[#This Row],[SC Symbol]])&gt;0, 1, "")</f>
        <v/>
      </c>
      <c r="GT37" s="159" t="str">
        <f>IF(COUNT(SnapshotTable[[#This Row],[LP Symbol Count]],SnapshotTable[[#This Row],[SP Symbol Count]],SnapshotTable[[#This Row],[LC Symbol Count]],SnapshotTable[[#This Row],[SC Symbol Count]])&gt;0, "Y", "")</f>
        <v/>
      </c>
      <c r="GU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7" s="216">
        <f>MAX(SnapshotTable[[#This Row],[Equity Basis Total]],SnapshotTable[[#This Row],[Equity Value]]) + (SnapshotTable[[#This Row],[SP Potential Spend]]- SnapshotTable[[#This Row],[SP Premium]] + SnapshotTable[[#This Row],[LP Premium]])+ (SnapshotTable[[#This Row],[LC Premium]] - SnapshotTable[[#This Row],[SC Premium]])</f>
        <v>0</v>
      </c>
      <c r="GW37" s="137" t="str">
        <f>IF(AND(SnapshotTable[[#This Row],[Exposure]] &lt;&gt; 0),SnapshotTable[[#This Row],[Exposure]] / SnapshotTable[[#Totals],[Exposure]], "")</f>
        <v/>
      </c>
      <c r="HE37" s="253"/>
      <c r="HF37" s="253"/>
      <c r="HK37" s="1"/>
      <c r="HL37" s="1"/>
      <c r="HM37" s="1"/>
      <c r="HN37" s="1"/>
      <c r="HO37" s="1"/>
      <c r="HP37" s="1"/>
    </row>
    <row r="38" spans="2:224" ht="12.75" hidden="1" customHeight="1" x14ac:dyDescent="0.25">
      <c r="B38" s="12" t="s">
        <v>907</v>
      </c>
      <c r="C38" s="385">
        <v>283.39999999999998</v>
      </c>
      <c r="D38" s="200" t="s">
        <v>467</v>
      </c>
      <c r="E38" s="39">
        <f>SnapshotTable[[#This Row],[Last Price]]*(1 -CrashDiscount)</f>
        <v>240.89</v>
      </c>
      <c r="F38" s="26" t="s">
        <v>497</v>
      </c>
      <c r="G38" s="296" t="s">
        <v>7</v>
      </c>
      <c r="H38" s="147"/>
      <c r="I38" s="186"/>
      <c r="J38" s="187"/>
      <c r="K38" s="188"/>
      <c r="L38" s="297"/>
      <c r="M38" s="138"/>
      <c r="N38" s="138"/>
      <c r="O38" s="138"/>
      <c r="P38" s="22"/>
      <c r="Q38" s="25"/>
      <c r="R38" s="4" t="str">
        <f>IF(SnapshotTable[[#This Row],[Equity Basis Total]] &gt; 0, SnapshotTable[[#This Row],[Equity Basis Total]] / SnapshotTable[[#This Row],[Equity Shares]], "")</f>
        <v/>
      </c>
      <c r="S38" s="254">
        <f>SnapshotTable[[#This Row],[Last Price]] * SnapshotTable[[#This Row],[Equity Shares]]</f>
        <v>0</v>
      </c>
      <c r="T38" s="254">
        <f>SnapshotTable[[#This Row],[Equity Value]] - SnapshotTable[[#This Row],[Equity Basis Total]]</f>
        <v>0</v>
      </c>
      <c r="U38" s="255" t="str">
        <f>IF(SnapshotTable[[#This Row],[Equity Basis Total]] &gt; 0, SnapshotTable[[#This Row],[Equity G/L]] / SnapshotTable[[#This Row],[Equity Basis Total]], "")</f>
        <v/>
      </c>
      <c r="V38" s="253"/>
      <c r="W38" s="253"/>
      <c r="X38" s="4" t="str">
        <f>IF(AND(ISNUMBER(SnapshotTable[[#This Row],[Equity Basis Per Share]]),ISNUMBER(SnapshotTable[[#This Row],[Equity Target]])),SnapshotTable[[#This Row],[Equity Target]]-SnapshotTable[[#This Row],[Equity Basis Per Share]],"")</f>
        <v/>
      </c>
      <c r="Y38" s="4" t="str">
        <f>IF(AND(ISNUMBER(SnapshotTable[[#This Row],[Equity Basis Per Share]]),ISNUMBER(SnapshotTable[[#This Row],[Equity Stop Loss]])),SnapshotTable[[#This Row],[Equity Stop Loss]]-SnapshotTable[[#This Row],[Equity Basis Per Share]],"")</f>
        <v/>
      </c>
      <c r="Z38" s="260" t="str">
        <f>IFERROR( TEXT(SnapshotTable[[#This Row],[Equity Max Gain Per Share]] /ABS( SnapshotTable[[#This Row],[Equity Max Loss Per Share]]),"0.0 " ) &amp; " : 1", "")</f>
        <v/>
      </c>
      <c r="AA38" s="31" t="str">
        <f>IF(ISNUMBER(SnapshotTable[[#This Row],[Equity Max Gain Per Share]]),SnapshotTable[[#This Row],[Equity Max Gain Per Share]] * SnapshotTable[[#This Row],[Equity Shares]],"")</f>
        <v/>
      </c>
      <c r="AB38" s="31" t="str">
        <f>IF(ISNUMBER(SnapshotTable[[#This Row],[Equity Max Loss Per Share]]),SnapshotTable[[#This Row],[Equity Max Loss Per Share]] * SnapshotTable[[#This Row],[Equity Shares]],"")</f>
        <v/>
      </c>
      <c r="AC38" s="148"/>
      <c r="AD38" s="149"/>
      <c r="AE38" s="31">
        <f>(SnapshotTable[[#This Row],[Annual Dividend Per Share]] / 4) * SnapshotTable[[#This Row],[Equity Shares]]</f>
        <v>0</v>
      </c>
      <c r="AF38" s="31">
        <f>SnapshotTable[[#This Row],[Quarterly Div $]] * 4</f>
        <v>0</v>
      </c>
      <c r="AG38" s="7">
        <f>IF(SnapshotTable[[#This Row],[Annual Dividend Per Share]]&gt;0, SnapshotTable[[#This Row],[Annual Dividend Per Share]]  / SnapshotTable[[#This Row],[Last Price]], 0)</f>
        <v>0</v>
      </c>
      <c r="AH38" s="149"/>
      <c r="AI38" s="5"/>
      <c r="AJ38" s="136"/>
      <c r="AK38" s="150" t="str">
        <f>IF(ISNUMBER( SnapshotTable[[#This Row],[EBF Target]]),(SnapshotTable[[#This Row],[EBF Target]] - SnapshotTable[[#This Row],[Last Price]]) / SnapshotTable[[#This Row],[Last Price]], "")</f>
        <v/>
      </c>
      <c r="AL38" s="150" t="str">
        <f>IF(AND(SnapshotTable[[#This Row],[Equity Basis Total]] &gt; 0,ISNUMBER( SnapshotTable[[#This Row],[Long Term Target]])), SnapshotTable[[#This Row],[From Basis $]] / SnapshotTable[[#This Row],[Equity Basis Total]], "")</f>
        <v/>
      </c>
      <c r="AM38" s="9">
        <f>IF( AND(SnapshotTable[[#This Row],[Equity Shares]] &gt;0,ISNUMBER( SnapshotTable[[#This Row],[Long Term Target]])),(SnapshotTable[[#This Row],[Equity Shares]] * SnapshotTable[[#This Row],[Long Term Target]]) - SnapshotTable[[#This Row],[Equity Basis Total]],0)</f>
        <v>0</v>
      </c>
      <c r="AN38" s="9">
        <f>IF( AND(SnapshotTable[[#This Row],[Equity Shares]] &gt;0,ISNUMBER( SnapshotTable[[#This Row],[Long Term Target]])),(SnapshotTable[[#This Row],[Equity Shares]]*SnapshotTable[[#This Row],[Long Term Target]]) - SnapshotTable[[#This Row],[Equity Value]],0)</f>
        <v>0</v>
      </c>
      <c r="AO38" s="150" t="str">
        <f>IF(AND(ISNUMBER( SnapshotTable[[#This Row],[Long Term Target]]), ISNUMBER(SnapshotTable[[#This Row],[Last Price]])),(SnapshotTable[[#This Row],[Long Term Target]] - SnapshotTable[[#This Row],[Last Price]]) / SnapshotTable[[#This Row],[Last Price]], "")</f>
        <v/>
      </c>
      <c r="AP38" s="5"/>
      <c r="AQ38" s="38"/>
      <c r="AR38" s="5"/>
      <c r="AS38" s="38"/>
      <c r="AT38" s="144"/>
      <c r="AU38" s="185" t="str">
        <f>IF(OR(SnapshotTable[[#This Row],[LP No Fill]]="Y",SnapshotTable[[#This Row],[SP Is Filled]],SnapshotTable[[#This Row],[LC Not Filled]]="Y",SnapshotTable[[#This Row],[SC Is Filled]]),"Y","")</f>
        <v/>
      </c>
      <c r="AV38" s="205"/>
      <c r="AW38" s="211"/>
      <c r="AX38" s="206"/>
      <c r="AY38" s="205" t="str">
        <f>IF(SnapshotTable[[#This Row],[Implied Move]]&gt;0, SnapshotTable[[#This Row],[Last Price]]-SnapshotTable[[#This Row],[Implied Move]],"")</f>
        <v/>
      </c>
      <c r="AZ38" s="205" t="str">
        <f>IF(SnapshotTable[[#This Row],[Implied Move]]&gt;0, SnapshotTable[[#This Row],[Last Price]] + SnapshotTable[[#This Row],[Implied Move]],"")</f>
        <v/>
      </c>
      <c r="BA38" s="302">
        <v>118.56</v>
      </c>
      <c r="BB38" s="318"/>
      <c r="BC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8" s="321"/>
      <c r="BE38" s="5"/>
      <c r="BF38" s="14"/>
      <c r="BG38" s="13"/>
      <c r="BH38" s="13"/>
      <c r="BI38" s="5"/>
      <c r="BJ38" s="134">
        <f>IF(SnapshotTable[[#This Row],[LP Qty]] &gt; 0, SnapshotTable[[#This Row],[LP Qty]] * SnapshotTable[[#This Row],[LP Book Price]] * 100,0)</f>
        <v>0</v>
      </c>
      <c r="BK38" s="134">
        <f>IF(SnapshotTable[[#This Row],[LP Premium]] &gt; 0, SnapshotTable[[#This Row],[LP Qty]] * SnapshotTable[[#This Row],[LP Strike Price]] * 100,0)</f>
        <v>0</v>
      </c>
      <c r="BL38" s="152"/>
      <c r="BM38" s="355" t="str">
        <f>IF(SnapshotTable[[#This Row],[LP Premium]] &gt; 0,SnapshotTable[[#This Row],[LP Exp Date]]-MAX(SnapshotTable[[#This Row],[LP Book Date]], SnapshotTable[[#This Row],[LP Fill Date]]),"")</f>
        <v/>
      </c>
      <c r="BN38" s="355" t="str">
        <f>IF(ISNUMBER( SnapshotTable[[#This Row],[LP Term]]), SnapshotTable[[#This Row],[LP Exp Date]] - MockToday,"")</f>
        <v/>
      </c>
      <c r="BO38" s="161" t="str">
        <f>IF(AND(SnapshotTable[[#This Row],[LP Exp Date]]&gt;0, SnapshotTable[[#This Row],[LP Strike Price]]&gt;0,SnapshotTable[[#This Row],[LP Qty]]&gt;0,SnapshotTable[[#This Row],[LP Book Date]]&gt;0,SnapshotTable[[#This Row],[LP Book Price]]&gt;0,SnapshotTable[[#This Row],[LP Fill Date]]=0),"Y","")</f>
        <v/>
      </c>
      <c r="BP38" s="31" t="str">
        <f>IF(AND(SnapshotTable[[#This Row],[LP No Fill]]&lt;&gt;"Y",SnapshotTable[[#This Row],[LP Contract Value]]&gt;0, SnapshotTable[[#This Row],[LP Qty]]&gt;0), SnapshotTable[[#This Row],[LP Contract Value]]*SnapshotTable[[#This Row],[LP Qty]]*100,"")</f>
        <v/>
      </c>
      <c r="BQ38" s="13"/>
      <c r="BR38" s="5"/>
      <c r="BS38" s="36"/>
      <c r="BT38" s="145"/>
      <c r="BU38" s="13"/>
      <c r="BV38" s="5"/>
      <c r="BW38" s="382" t="b">
        <f>AND(ISNUMBER(SnapshotTable[[#This Row],[SP Exp Date]]), ISNUMBER(SnapshotTable[[#This Row],[SP Strike Price]]), ISNUMBER(SnapshotTable[[#This Row],[SP Qty]]), ISNUMBER(SnapshotTable[[#This Row],[SP Book Date]]), ISNUMBER(SnapshotTable[[#This Row],[SP Book Price]]))</f>
        <v>0</v>
      </c>
      <c r="BX38" s="382" t="b">
        <f>AND(SnapshotTable[[#This Row],[SP Is Booked]], NOT(ISBLANK(SnapshotTable[[#This Row],[SP Fill Date]])))</f>
        <v>0</v>
      </c>
      <c r="BY38" s="33">
        <f>IF(SnapshotTable[[#This Row],[SP Is Booked]], SnapshotTable[[#This Row],[SP Qty]] * SnapshotTable[[#This Row],[SP Book Price]] * 100, 0)</f>
        <v>0</v>
      </c>
      <c r="BZ38" s="339"/>
      <c r="CA38" s="338">
        <f>SnapshotTable[[#This Row],[LP Qty]]</f>
        <v>0</v>
      </c>
      <c r="CB38" s="4" t="str">
        <f>IF(SnapshotTable[[#This Row],[SP Is Booked]], SnapshotTable[[#This Row],[SP Strike Price]] - SnapshotTable[[#This Row],[SP Book Price]], "")</f>
        <v/>
      </c>
      <c r="CC38" s="19" t="str">
        <f>IF(SnapshotTable[[#This Row],[SP Is Booked]],SnapshotTable[[#This Row],[SP Exp Date]]-MAX(SnapshotTable[[#This Row],[SP Book Date]], SnapshotTable[[#This Row],[SP Fill Date]]),"")</f>
        <v/>
      </c>
      <c r="CD38" s="7" t="str">
        <f>IF(SnapshotTable[[#This Row],[SP Is Booked]], SnapshotTable[[#This Row],[SP Book Price]]/SnapshotTable[[#This Row],[SP Strike Price]], "")</f>
        <v/>
      </c>
      <c r="CE38" s="7" t="str">
        <f>IF(ISNUMBER(SnapshotTable[[#This Row],[SP ROO Term]]),SnapshotTable[[#This Row],[SP ROO Term]]*(365/SnapshotTable[[#This Row],[SP Term]]),"")</f>
        <v/>
      </c>
      <c r="CF38" s="221">
        <f>SnapshotTable[[#This Row],[LP Strike Price]] * SnapshotTable[[#This Row],[LP Qty]] * 100</f>
        <v>0</v>
      </c>
      <c r="CG38" s="31">
        <f>IF(ISNUMBER(SnapshotTable[[#This Row],[SP Premium]]), (SnapshotTable[[#This Row],[SP Qty]] * SnapshotTable[[#This Row],[SP Strike Price]]* 100) - SnapshotTable[[#This Row],[LP Protection]], 0)</f>
        <v>0</v>
      </c>
      <c r="CH38" s="7" t="str">
        <f>IF(ISNUMBER(SnapshotTable[[#This Row],[SP Break Even]]),-1 * (SnapshotTable[[#This Row],[SP Break Even]] - SnapshotTable[[#This Row],[Last Price]]) / SnapshotTable[[#This Row],[Last Price]], "")</f>
        <v/>
      </c>
      <c r="CI38" s="31">
        <f>IF(AND(ISNUMBER((SnapshotTable[[#This Row],[SP Potential Spend]])), SnapshotTable[[#This Row],[SP Strike Price]] &gt; SnapshotTable[[#This Row],[Last Price]], SnapshotTable[[#This Row],[SP Is Filled]]), SnapshotTable[[#This Row],[SP Potential Spend]] -  SnapshotTable[[#This Row],[LP Max Value]], 0)</f>
        <v>0</v>
      </c>
      <c r="CJ38" s="229"/>
      <c r="CK38" s="31">
        <f>IF(ISNUMBER(SnapshotTable[[#This Row],[SP Potential Spend]]),IF(ISNUMBER(SnapshotTable[[#This Row],[SP POW]]), SnapshotTable[[#This Row],[SP POW]] * SnapshotTable[[#This Row],[SP Potential Spend]], SnapshotTable[[#This Row],[SP Potential Spend]]), "")</f>
        <v>0</v>
      </c>
      <c r="CL38" s="162">
        <f>IF(NOT(SnapshotTable[[#This Row],[SP Is Filled]]),(SnapshotTable[[#This Row],[SP Qty]] * SnapshotTable[[#This Row],[SP Strike Price]] * 100) - SnapshotTable[[#This Row],[LP Max Value]],"")</f>
        <v>0</v>
      </c>
      <c r="CM38" s="31" t="str">
        <f>IF(SnapshotTable[[#This Row],[SP Actual Spend]]&lt;&gt;0, ((SnapshotTable[[#This Row],[SP Strike Price]]-SnapshotTable[[#This Row],[Last Price]]) *(SnapshotTable[[#This Row],[SP Qty]]*100) - SnapshotTable[[#This Row],[SP Premium]]) * - 1, "")</f>
        <v/>
      </c>
      <c r="CN38" s="76"/>
      <c r="CO38" s="339"/>
      <c r="CP38" s="4" t="str">
        <f>IF(SnapshotTable[[#This Row],[SP Is Filled]], btc_max_buyback_amount(SnapshotTable[[#This Row],[SP Fill Date]],SnapshotTable[[#This Row],[SP Exp Date]], SnapshotTable[[#This Row],[SP Book Price]]),"")</f>
        <v/>
      </c>
      <c r="CQ38" s="76"/>
      <c r="CR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8" s="153" t="str">
        <f>IF(SnapshotTable[[#This Row],[SP Is Filled]], btc_next_cutoff_date(SnapshotTable[[#This Row],[SP Fill Date]],SnapshotTable[[#This Row],[SP Exp Date]]),"")</f>
        <v/>
      </c>
      <c r="CT38" s="220" t="str" cm="1">
        <f t="array" ref="CT38">IF(SnapshotTable[[#This Row],[SP Is Filled]], btc_should_buy_back(SnapshotTable[[#This Row],[SP Fill Date]], SnapshotTable[[#This Row],[SP Exp Date]], SnapshotTable[[#This Row],[SP Book Price]], SnapshotTable[[#This Row],[SP Current Ask]], MockToday, SnapshotTable[[#This Row],[SP Buyback Override]]),"")</f>
        <v/>
      </c>
      <c r="CU38" s="154"/>
      <c r="CV38" s="220"/>
      <c r="CW38" s="348" t="str">
        <f>IF(ISNUMBER( SnapshotTable[[#This Row],[SP Term]]), SnapshotTable[[#This Row],[SP Exp Date]] - MockToday,"")</f>
        <v/>
      </c>
      <c r="CX38" s="31" t="str">
        <f>IF(SnapshotTable[[#This Row],[SP Is Filled]],SnapshotTable[[#This Row],[SP Buyback Price to Use]] * 100 * SnapshotTable[[#This Row],[SP Qty]], "")</f>
        <v/>
      </c>
      <c r="CY38" s="4" t="str">
        <f>IF(ISNUMBER(SnapshotTable[[#This Row],[SP Strike Price]]), SnapshotTable[[#This Row],[SP Strike Price]] * (1 - SP_MaxLoss_StrikePct), "")</f>
        <v/>
      </c>
      <c r="CZ38" s="31" t="str">
        <f>IF(ISNUMBER(SnapshotTable[[#This Row],[SP Strike  Stop Per Share]]),SnapshotTable[[#This Row],[SP Premium]] - ((SnapshotTable[[#This Row],[SP Strike Price]]-SnapshotTable[[#This Row],[SP Strike  Stop Per Share]]) *(SnapshotTable[[#This Row],[SP Qty]] * 100)),"")</f>
        <v/>
      </c>
      <c r="DA38" s="4" t="str">
        <f>IF(AND(ISNUMBER(SnapshotTable[[#This Row],[SP Premium]]),SnapshotTable[[#This Row],[SP Premium]]&gt;0), SnapshotTable[[#This Row],[SP Book Price]] * (1 + SP_MaxLoss_OptionPct), "")</f>
        <v/>
      </c>
      <c r="DB38" s="31" t="str">
        <f>IF(ISNUMBER(SnapshotTable[[#This Row],[SP Option  Stop Contract]]),(SnapshotTable[[#This Row],[SP Option  Stop Contract]] *(SnapshotTable[[#This Row],[SP Qty]] * 100) - SnapshotTable[[#This Row],[SP Premium]]),"")</f>
        <v/>
      </c>
      <c r="DC38" s="4"/>
      <c r="DD38" s="4"/>
      <c r="DE38" s="4" t="str">
        <f>IF(AND(SnapshotTable[[#This Row],[SP Qty]]&gt;0, SnapshotTable[[#This Row],[SP Stop To Use]]&gt;0),SnapshotTable[[#This Row],[SP Premium]] - ( SnapshotTable[[#This Row],[SP Qty]] * SnapshotTable[[#This Row],[SP Stop To Use]] * 100), "")</f>
        <v/>
      </c>
      <c r="DF38" s="31" t="str">
        <f>IF(AND(SnapshotTable[[#This Row],[SP Qty]]&gt;0,SnapshotTable[[#This Row],[SP Current Ask]]&gt;0), SnapshotTable[[#This Row],[SP Qty]] * SnapshotTable[[#This Row],[SP Current Ask]] * -100, "")</f>
        <v/>
      </c>
      <c r="DG38" s="31" t="str">
        <f>IF(ISNUMBER((SnapshotTable[[#This Row],[SP Total Value]])), SnapshotTable[[#This Row],[SP Premium]] + SnapshotTable[[#This Row],[SP Total Value]], "")</f>
        <v/>
      </c>
      <c r="DH38" s="272" t="str">
        <f>IF(ISNUMBER((SnapshotTable[[#This Row],[SP Total Value]])), SnapshotTable[[#This Row],[SP Gain Loss]] / SnapshotTable[[#This Row],[SP Premium]], "")</f>
        <v/>
      </c>
      <c r="DI38" s="369"/>
      <c r="DJ38" s="136"/>
      <c r="DK38" s="146"/>
      <c r="DL38" s="13"/>
      <c r="DM38" s="13"/>
      <c r="DO38" s="31">
        <f>IF(SnapshotTable[[#This Row],[LC Symbol Count]]=1, SnapshotTable[[#This Row],[LC Qty]] * SnapshotTable[[#This Row],[LC Book Price]] * 100, 0)</f>
        <v>0</v>
      </c>
      <c r="DP38" s="161" t="str">
        <f>IF(AND(SnapshotTable[[#This Row],[LC Exp Date]]&gt;0, SnapshotTable[[#This Row],[LC Strike Price]]&gt;0,SnapshotTable[[#This Row],[LC Qty]]&gt;0,SnapshotTable[[#This Row],[LC Book Date]]&gt;0,SnapshotTable[[#This Row],[LC Book Price]]&gt;0,SnapshotTable[[#This Row],[LC Fill Date]]=0),"Y","")</f>
        <v/>
      </c>
      <c r="DQ38" s="356" t="str">
        <f>IF(SnapshotTable[[#This Row],[LC Premium]] &gt; 0,SnapshotTable[[#This Row],[LC Exp Date]]-MAX(SnapshotTable[[#This Row],[LC Book Date]], SnapshotTable[[#This Row],[LC Fill Date]]),"")</f>
        <v/>
      </c>
      <c r="DR38" s="356" t="str">
        <f>IF(ISNUMBER(SnapshotTable[[#This Row],[LC Term]]), SnapshotTable[[#This Row],[LC Exp Date]] - MockToday, "")</f>
        <v/>
      </c>
      <c r="DS38" s="219" t="str">
        <f>IF(SnapshotTable[[#This Row],[LC Premium]]&gt;0,SnapshotTable[[#This Row],[LC Strike Price]] + SnapshotTable[[#This Row],[LC Book Price]],"")</f>
        <v/>
      </c>
      <c r="DU38" s="9" t="str">
        <f>IF(AND(SnapshotTable[[#This Row],[LC Symbol Count]]&gt;0, SnapshotTable[[#This Row],[LC Contract Value]]&gt;0), SnapshotTable[[#This Row],[LC Contract Value]] * SnapshotTable[[#This Row],[LC Qty]] * 100, "")</f>
        <v/>
      </c>
      <c r="DV38" s="9" t="str">
        <f>IF(AND(ISNUMBER(SnapshotTable[[#This Row],[LC Total Value]]), SnapshotTable[[#This Row],[LC Not Filled]]&lt;&gt;"Y"), SnapshotTable[[#This Row],[LC Total Value]]-SnapshotTable[[#This Row],[LC Premium]],"")</f>
        <v/>
      </c>
      <c r="DW38" s="225" t="str">
        <f>IF(ISNUMBER(SnapshotTable[[#This Row],[LC Actual Gain Loss]]), SnapshotTable[[#This Row],[LC Actual Gain Loss]] / SnapshotTable[[#This Row],[LC Premium]],"")</f>
        <v/>
      </c>
      <c r="DX38" s="269" t="str">
        <f>IF(ISNUMBER(SnapshotTable[[#This Row],[LC Book Price]]),SnapshotTable[[#This Row],[LC Book Price]] * 1.5,"")</f>
        <v/>
      </c>
      <c r="DY38" s="250" t="str">
        <f>IF(SnapshotTable[[#This Row],[LC Premium]]&gt;0, SnapshotTable[[#This Row],[LC Next Target]] * SnapshotTable[[#This Row],[LC Qty]] * 100,"")</f>
        <v/>
      </c>
      <c r="DZ38" s="250" t="str">
        <f>IF(ISNUMBER(SnapshotTable[[#This Row],[LC Target Gross]]), SnapshotTable[[#This Row],[LC Target Gross]] - SnapshotTable[[#This Row],[LC Premium]], "")</f>
        <v/>
      </c>
      <c r="EA38" s="283" t="str">
        <f>IF(ISNUMBER(SnapshotTable[[#This Row],[LC Target Gain Loss]]), SnapshotTable[[#This Row],[LC Target Gain Loss]]/SnapshotTable[[#This Row],[LC Premium]], "")</f>
        <v/>
      </c>
      <c r="EB38" s="247"/>
      <c r="EC38" s="268" t="str">
        <f>IF(SnapshotTable[[#This Row],[LC Premium]]&gt;0, SnapshotTable[[#This Row],[LC Book Price]] * (1 - LC_StopLoss_Pct),"")</f>
        <v/>
      </c>
      <c r="ED38" s="269"/>
      <c r="EE38" s="268" t="str">
        <f>IF(ISNUMBER(SnapshotTable[[#This Row],[LC Contract Value]]),IF(ISNUMBER(SnapshotTable[[#This Row],[LC Stop Loss Override]]), SnapshotTable[[#This Row],[LC Stop Loss Override]],SnapshotTable[[#This Row],[LC Stop Loss Calc Target]]),"")</f>
        <v/>
      </c>
      <c r="EF38" s="31" t="str">
        <f>IF(ISNUMBER(SnapshotTable[[#This Row],[LC Stop  To Use]]), (SnapshotTable[[#This Row],[LC Stop  To Use]] * SnapshotTable[[#This Row],[LC Qty]] * 100),"")</f>
        <v/>
      </c>
      <c r="EG38" s="9" t="str">
        <f>IF(ISNUMBER(SnapshotTable[[#This Row],[LC Total Value]]),SnapshotTable[[#This Row],[LC Stop Loss Amount]] - SnapshotTable[[#This Row],[LC Premium]],"")</f>
        <v/>
      </c>
      <c r="EH38" s="9">
        <f>IF(ISNUMBER(SnapshotTable[[#This Row],[LC Premium]]), SnapshotTable[[#This Row],[LC Qty]] * 100 * SnapshotTable[[#This Row],[LC Strike Price]], "")</f>
        <v>0</v>
      </c>
      <c r="EI38" s="225" t="str">
        <f>IF(AND(ISNUMBER(SnapshotTable[[#This Row],[LC Total Value]]),SnapshotTable[[#This Row],[LC Total Value]]&gt;0),SnapshotTable[[#This Row],[LC Stop Gain Loss]]  / SnapshotTable[[#This Row],[LC Premium]],"")</f>
        <v/>
      </c>
      <c r="EJ38" s="35">
        <f>IF(ISNUMBER(SnapshotTable[[#This Row],[Equity Shares]]),TRUNC(SnapshotTable[[#This Row],[Equity Shares]] / 100),0) + SnapshotTable[[#This Row],[LC Qty]]</f>
        <v>0</v>
      </c>
      <c r="EK38" s="145"/>
      <c r="EL38" s="136"/>
      <c r="EM38" s="146"/>
      <c r="EN38" s="145"/>
      <c r="EO38" s="145"/>
      <c r="EP38" s="136"/>
      <c r="EQ38" s="382" t="b">
        <f>AND(ISNUMBER(SnapshotTable[[#This Row],[SC Exp Date]]), ISNUMBER(SnapshotTable[[#This Row],[SC Strike Price]]), ISNUMBER(SnapshotTable[[#This Row],[SC Qty]]), ISNUMBER(SnapshotTable[[#This Row],[SC Book Date]]), ISNUMBER(SnapshotTable[[#This Row],[SC Book Price]]))</f>
        <v>0</v>
      </c>
      <c r="ER38" s="382" t="b">
        <f>AND(SnapshotTable[[#This Row],[SC Is Booked]], NOT(ISBLANK(SnapshotTable[[#This Row],[SC Fill Date]])))</f>
        <v>0</v>
      </c>
      <c r="ES38" s="340"/>
      <c r="ET38" s="34" t="str">
        <f>IF(AND(ISNUMBER(SnapshotTable[[#This Row],[SC Exp Date]]), ISNUMBER(SnapshotTable[[#This Row],[SC Book Date]])), SnapshotTable[[#This Row],[SC Exp Date]] - MAX(SnapshotTable[[#This Row],[SC Book Date]], SnapshotTable[[#This Row],[SC Fill Date]]) + 1, "")</f>
        <v/>
      </c>
      <c r="EU38" s="34" t="str">
        <f>IF(ISNUMBER(SnapshotTable[[#This Row],[SC Term]]), SnapshotTable[[#This Row],[SC Exp Date]]- MockToday, "")</f>
        <v/>
      </c>
      <c r="EV38" s="31">
        <f>IF(SnapshotTable[[#This Row],[SC Is Booked]], SnapshotTable[[#This Row],[SC Qty]] * SnapshotTable[[#This Row],[SC Book Price]] * 100, 0)</f>
        <v>0</v>
      </c>
      <c r="EW38" s="4" t="str">
        <f>IF(AND(ISNUMBER(SnapshotTable[[#This Row],[Last Price]]), ISNUMBER( SnapshotTable[[#This Row],[SC Book Price]])), SnapshotTable[[#This Row],[Last Price]] - SnapshotTable[[#This Row],[SC Book Price]],"")</f>
        <v/>
      </c>
      <c r="EX38" s="219" t="str">
        <f>IF(SnapshotTable[[#This Row],[SC Is Booked]],IF(SnapshotTable[[#This Row],[SC Intrinsic Value]] &gt; 0, SnapshotTable[[#This Row],[SC Strike Price]], SnapshotTable[[#This Row],[Last Price]]), "")</f>
        <v/>
      </c>
      <c r="EY38" s="4">
        <f>IF(SnapshotTable[[#This Row],[SC Is Booked]], (MinimumPremiumRequired * SnapshotTable[[#This Row],[SC Basis]] * SnapshotTable[[#This Row],[SC Term]]), 0)</f>
        <v>0</v>
      </c>
      <c r="EZ38" s="268"/>
      <c r="FA38" s="204"/>
      <c r="FB38" s="340"/>
      <c r="FC38" s="4">
        <f>IF(SnapshotTable[[#This Row],[SC Is Filled]], btc_max_buyback_amount(SnapshotTable[[#This Row],[SC Fill Date]],SnapshotTable[[#This Row],[SC Exp Date]], SnapshotTable[[#This Row],[SC Book Price]]),0)</f>
        <v>0</v>
      </c>
      <c r="FD38" s="5"/>
      <c r="FE38" s="142" t="str">
        <f>IF(SnapshotTable[[#This Row],[SC Is Filled]], btc_next_cutoff_date(SnapshotTable[[#This Row],[SC Fill Date]],SnapshotTable[[#This Row],[SC Exp Date]]),"")</f>
        <v/>
      </c>
      <c r="FF38" s="4" t="str" cm="1">
        <f t="array" ref="FF38">IF(SnapshotTable[[#This Row],[SC Is Filled]], btc_should_buy_back(SnapshotTable[[#This Row],[SC Fill Date]], SnapshotTable[[#This Row],[SC Exp Date]], SnapshotTable[[#This Row],[SC Book Price]], SnapshotTable[[#This Row],[SC Current Ask]], MockToday, SnapshotTable[[#This Row],[SC Buyback Override]]),"")</f>
        <v/>
      </c>
      <c r="FG38" s="4">
        <f>IF(SnapshotTable[[#This Row],[SC Is Filled]], MAX(0,SnapshotTable[[#This Row],[Last Price]]  - SnapshotTable[[#This Row],[SC Strike Price]]), 0)</f>
        <v>0</v>
      </c>
      <c r="FH38" s="352">
        <f>IF(SnapshotTable[[#This Row],[SC Is Filled]], IF(ISNUMBER(SnapshotTable[[#This Row],[SC Current Ask]]), SnapshotTable[[#This Row],[SC Current Ask]], SnapshotTable[[#This Row],[SC Book Price]]) - SnapshotTable[[#This Row],[SC Intrinsic Value]], 0)</f>
        <v>0</v>
      </c>
      <c r="FI38" s="141"/>
      <c r="FJ38" s="32" t="str">
        <f>IF(SnapshotTable[[#This Row],[SC Is Filled]],100 * SnapshotTable[[#This Row],[SC Qty]] * IF(ISNUMBER(SnapshotTable[[#This Row],[SC Buyback Override]]), SnapshotTable[[#This Row],[SC Buyback Override]], SnapshotTable[[#This Row],[SC Current Ask]]), "")</f>
        <v/>
      </c>
      <c r="FK38" s="235" t="str">
        <f>IF(SnapshotTable[[#This Row],[SC Time Val]]&gt;0, SnapshotTable[[#This Row],[SC Time Val]] / SnapshotTable[[#This Row],[Last Price]],"")</f>
        <v/>
      </c>
      <c r="FL38" s="280" t="str">
        <f>IF(SnapshotTable[[#This Row],[SC Is Booked]], ((SnapshotTable[[#This Row],[Last Price]] -SnapshotTable[[#This Row],[SC Strike Price]]) / SnapshotTable[[#This Row],[Last Price]]) * -1, "")</f>
        <v/>
      </c>
      <c r="FM38" s="155" t="str">
        <f>IF(SnapshotTable[[#This Row],[SC Is Booked]],  (SnapshotTable[[#This Row],[SC Qty]] * 100 * SnapshotTable[[#This Row],[SC Strike Price]]) - SnapshotTable[[#This Row],[SC Current Ask]], "")</f>
        <v/>
      </c>
      <c r="FN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8" s="31" t="str">
        <f>IF(AND(ISNUMBER(SnapshotTable[[#This Row],[SC Exercise Gross]]), ISNUMBER(SnapshotTable[[#This Row],[Equity Basis Per Share]] )), SnapshotTable[[#This Row],[SC Exercise Gross]] - SnapshotTable[[#This Row],[Equity Basis Total]] +  SnapshotTable[[#This Row],[SC Premium]], "")</f>
        <v/>
      </c>
      <c r="FP38" s="5" t="str">
        <f>IF(ISNUMBER(SnapshotTable[[#This Row],[SC Exercise Gross]]), (SnapshotTable[[#This Row],[SC Exercise Gross]]) / (SnapshotTable[[#This Row],[SC Qty]] * 100), "")</f>
        <v/>
      </c>
      <c r="FQ38" s="27" t="str">
        <f>IF(SnapshotTable[[#This Row],[SC Is Booked]],SnapshotTable[[#This Row],[SC Time Val]] /SnapshotTable[[#This Row],[SC Basis]], "")</f>
        <v/>
      </c>
      <c r="FR38" s="27" t="str" cm="1">
        <f t="array" ref="FR38">IF(AND(ISNUMBER(SnapshotTable[[#This Row],[SC Term]]),ISNUMBER(SnapshotTable[[#This Row],[SC Simple ROO]])), EllmanAnnualize(SnapshotTable[[#This Row],[SC DTE]], SnapshotTable[[#This Row],[SC Simple ROO]] ),"")</f>
        <v/>
      </c>
      <c r="FS38" s="4">
        <f>IF(SnapshotTable[[#This Row],[SC Strike Price]] &gt; SnapshotTable[[#This Row],[Last Price]], SnapshotTable[[#This Row],[SC Strike Price]] - SnapshotTable[[#This Row],[Last Price]],0)</f>
        <v>0</v>
      </c>
      <c r="FT38" s="27" t="str">
        <f>IF(AND(ISNUMBER(SnapshotTable[[#This Row],[SC Upside Potential]]), SnapshotTable[[#This Row],[SC Upside Potential]] &gt; 0),(SnapshotTable[[#This Row],[SC Upside Potential]]/ SnapshotTable[[#This Row],[ACB]]),"")</f>
        <v/>
      </c>
      <c r="FU38" s="304" t="str">
        <f>IF(SnapshotTable[[#This Row],[SC Intrinsic Value]] &gt; 0,SnapshotTable[[#This Row],[SC Intrinsic Value]],"")</f>
        <v/>
      </c>
      <c r="FV38" s="27" t="str">
        <f>IF(AND( ISNUMBER( SnapshotTable[[#This Row],[ACB]]),ISNUMBER(SnapshotTable[[#This Row],[SC Downside Protect]])),SnapshotTable[[#This Row],[SC Downside Protect]] / SnapshotTable[[#This Row],[ACB]],"")</f>
        <v/>
      </c>
      <c r="FW38" s="221" t="str">
        <f>IF(AND(ISNUMBER(SnapshotTable[[#This Row],[SC Simple ROO]]),SnapshotTable[[#This Row],[SC Simple ROO]] &gt; 0), SnapshotTable[[#This Row],[SC Premium]] + (SnapshotTable[[#This Row],[SC Qty]] * SnapshotTable[[#This Row],[SC Upside Potential]]), "")</f>
        <v/>
      </c>
      <c r="FX38" s="280" t="str" cm="1">
        <f t="array" ref="FX38">IF(ISNUMBER(SnapshotTable[[#This Row],[SC Max Dollars]]), annualize(SnapshotTable[[#This Row],[SC Term]],(SnapshotTable[[#This Row],[SC Max Dollars]]/SnapshotTable[[#This Row],[SC Basis]])),"")</f>
        <v/>
      </c>
      <c r="FY38" s="221" t="str">
        <f>IF(AND(SnapshotTable[[#This Row],[SC Qty]]&gt;0,SnapshotTable[[#This Row],[SC Current Ask]]&gt;0), SnapshotTable[[#This Row],[SC Qty]] * SnapshotTable[[#This Row],[SC Current Ask]] * -100, "")</f>
        <v/>
      </c>
      <c r="FZ38" s="31" t="str">
        <f>IF(ISNUMBER((SnapshotTable[[#This Row],[SC Current Value]])), SnapshotTable[[#This Row],[SC Premium]] + SnapshotTable[[#This Row],[SC Current Value]], "")</f>
        <v/>
      </c>
      <c r="GA38" s="272" t="str">
        <f>IFERROR( IF(ISNUMBER((SnapshotTable[[#This Row],[SC Current Value]])), SnapshotTable[[#This Row],[SC Gain Loss]] / SnapshotTable[[#This Row],[SC Premium]], ""), "")</f>
        <v/>
      </c>
      <c r="GB38" s="42">
        <f>SnapshotTable[[#This Row],[Equity Shares]] * SaleSharesToConsiderPercentage</f>
        <v>0</v>
      </c>
      <c r="GC38" s="40">
        <f>SnapshotTable[[#This Row],[Long Term Target]] * SellingPriceToConsiderBasedOnTargetPercentage</f>
        <v>0</v>
      </c>
      <c r="GD38" s="40">
        <f>SnapshotTable[[#This Row],[Last Price]] * (1+ SellingPriceToConsiderBasedOnTargetPercentage)</f>
        <v>552.63</v>
      </c>
      <c r="GE38" s="41"/>
      <c r="GF38" s="40"/>
      <c r="GG38" s="31">
        <f>SnapshotTable[[#This Row],[Booked Sale Shares]] * SnapshotTable[[#This Row],[Booked Sale Price]]</f>
        <v>0</v>
      </c>
      <c r="GH38" s="31" t="str">
        <f>IF(SnapshotTable[[#This Row],[Equity Basis Total]] &gt; 0, SnapshotTable[[#This Row],[Equity Basis Per Share]] * SnapshotTable[[#This Row],[Booked Sale Shares]], "")</f>
        <v/>
      </c>
      <c r="GI38" s="31">
        <f>IF(SnapshotTable[[#This Row],[Sale Proceeds]]&gt;0, SnapshotTable[[#This Row],[Sale Proceeds]] - SnapshotTable[[#This Row],[Sale Basis]], 0)</f>
        <v>0</v>
      </c>
      <c r="GJ38" s="27" t="str">
        <f>IF(SnapshotTable[[#This Row],[Sale G/L]]&gt;0, SnapshotTable[[#This Row],[Sale G/L]] / SnapshotTable[[#This Row],[Sale Basis]], IF(ISNUMBER(SnapshotTable[[#This Row],[SC Exercise P&amp;L (TAX)]]), SnapshotTable[[#This Row],[SC Exercise P&amp;L (TAX)]] / SnapshotTable[[#This Row],[SC Basis]], ""))</f>
        <v/>
      </c>
      <c r="GK38" s="27"/>
      <c r="GL38" s="43" t="str">
        <f>IF(AND(SnapshotTable[[#This Row],[LP Exp Date]]&gt;0,SnapshotTable[[#This Row],[LP Strike Price]]&gt;0), [1]!ToOptionSymbol(SnapshotTable[[#This Row],[Symbol]], SnapshotTable[[#This Row],[LP Strike Price]],SnapshotTable[[#This Row],[LP Exp Date]],1), "")</f>
        <v/>
      </c>
      <c r="GM38" s="30" t="str">
        <f>IF(LEN(SnapshotTable[[#This Row],[LP Symbol]])&gt;0, 1, "")</f>
        <v/>
      </c>
      <c r="GN38" s="43" t="str">
        <f>IF(AND(SnapshotTable[[#This Row],[SP Exp Date]]&gt;0,SnapshotTable[[#This Row],[SP Strike Price]]&gt;0), [1]!ToOptionSymbol(SnapshotTable[[#This Row],[Symbol]], SnapshotTable[[#This Row],[SP Strike Price]],SnapshotTable[[#This Row],[SP Exp Date]],1), "")</f>
        <v/>
      </c>
      <c r="GO38" s="30" t="str">
        <f>IF(LEN(SnapshotTable[[#This Row],[SP Symbol]])&gt;0, 1, "")</f>
        <v/>
      </c>
      <c r="GP38" s="43" t="str">
        <f>IF(AND(SnapshotTable[[#This Row],[LC Exp Date]]&gt;0,SnapshotTable[[#This Row],[LC Strike Price]]&gt;0), [1]!ToOptionSymbol(SnapshotTable[[#This Row],[Symbol]], SnapshotTable[[#This Row],[LC Strike Price]],SnapshotTable[[#This Row],[LC Exp Date]],0), "")</f>
        <v/>
      </c>
      <c r="GQ38" s="30" t="str">
        <f>IF(LEN(SnapshotTable[[#This Row],[LC Symbol]])&gt;0, 1, "")</f>
        <v/>
      </c>
      <c r="GR38" s="43" t="str">
        <f>IF(AND(SnapshotTable[[#This Row],[SC Exp Date]]&gt;0,SnapshotTable[[#This Row],[SC Strike Price]]&gt;0), [1]!ToOptionSymbol(SnapshotTable[[#This Row],[Symbol]], SnapshotTable[[#This Row],[SC Strike Price]],SnapshotTable[[#This Row],[SC Exp Date]],0), "")</f>
        <v/>
      </c>
      <c r="GS38" s="30" t="str">
        <f>IF(LEN(SnapshotTable[[#This Row],[SC Symbol]])&gt;0, 1, "")</f>
        <v/>
      </c>
      <c r="GT38" s="29" t="str">
        <f>IF(COUNT(SnapshotTable[[#This Row],[LP Symbol Count]],SnapshotTable[[#This Row],[SP Symbol Count]],SnapshotTable[[#This Row],[LC Symbol Count]],SnapshotTable[[#This Row],[SC Symbol Count]])&gt;0, "Y", "")</f>
        <v/>
      </c>
      <c r="GU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8" s="216">
        <f>MAX(SnapshotTable[[#This Row],[Equity Basis Total]],SnapshotTable[[#This Row],[Equity Value]]) + (SnapshotTable[[#This Row],[SP Potential Spend]]- SnapshotTable[[#This Row],[SP Premium]] + SnapshotTable[[#This Row],[LP Premium]])+ (SnapshotTable[[#This Row],[LC Premium]] - SnapshotTable[[#This Row],[SC Premium]])</f>
        <v>0</v>
      </c>
      <c r="GW38" s="137" t="str">
        <f>IF(AND(SnapshotTable[[#This Row],[Exposure]] &lt;&gt; 0),SnapshotTable[[#This Row],[Exposure]] / SnapshotTable[[#Totals],[Exposure]], "")</f>
        <v/>
      </c>
      <c r="HE38" s="253"/>
      <c r="HF38" s="253"/>
      <c r="HK38" s="1"/>
      <c r="HL38" s="1"/>
      <c r="HM38" s="1"/>
      <c r="HN38" s="1"/>
      <c r="HO38" s="1"/>
      <c r="HP38" s="1"/>
    </row>
    <row r="39" spans="2:224" s="45" customFormat="1" ht="12.75" hidden="1" customHeight="1" x14ac:dyDescent="0.25">
      <c r="B39" s="12" t="s">
        <v>173</v>
      </c>
      <c r="C39" s="385">
        <v>25.22</v>
      </c>
      <c r="D39" s="200"/>
      <c r="E39" s="39">
        <f>SnapshotTable[[#This Row],[Last Price]]*(1 -CrashDiscount)</f>
        <v>21.436999999999998</v>
      </c>
      <c r="F39" s="26" t="s">
        <v>823</v>
      </c>
      <c r="G39" s="26" t="s">
        <v>678</v>
      </c>
      <c r="H39" s="147"/>
      <c r="I39" s="186">
        <v>44775.28125</v>
      </c>
      <c r="J39" s="187">
        <v>44775.28125</v>
      </c>
      <c r="K39" s="188"/>
      <c r="L39" s="297"/>
      <c r="M39" s="138"/>
      <c r="N39" s="138"/>
      <c r="O39" s="138"/>
      <c r="P39" s="22"/>
      <c r="Q39" s="25"/>
      <c r="R39" s="4" t="str">
        <f>IF(SnapshotTable[[#This Row],[Equity Basis Total]] &gt; 0, SnapshotTable[[#This Row],[Equity Basis Total]] / SnapshotTable[[#This Row],[Equity Shares]], "")</f>
        <v/>
      </c>
      <c r="S39" s="254">
        <f>SnapshotTable[[#This Row],[Last Price]] * SnapshotTable[[#This Row],[Equity Shares]]</f>
        <v>0</v>
      </c>
      <c r="T39" s="254">
        <f>SnapshotTable[[#This Row],[Equity Value]] - SnapshotTable[[#This Row],[Equity Basis Total]]</f>
        <v>0</v>
      </c>
      <c r="U39" s="255" t="str">
        <f>IF(SnapshotTable[[#This Row],[Equity Basis Total]] &gt; 0, SnapshotTable[[#This Row],[Equity G/L]] / SnapshotTable[[#This Row],[Equity Basis Total]], "")</f>
        <v/>
      </c>
      <c r="V39" s="253"/>
      <c r="W39" s="253"/>
      <c r="X39" s="4" t="str">
        <f>IF(AND(ISNUMBER(SnapshotTable[[#This Row],[Equity Basis Per Share]]),ISNUMBER(SnapshotTable[[#This Row],[Equity Target]])),SnapshotTable[[#This Row],[Equity Target]]-SnapshotTable[[#This Row],[Equity Basis Per Share]],"")</f>
        <v/>
      </c>
      <c r="Y39" s="4" t="str">
        <f>IF(AND(ISNUMBER(SnapshotTable[[#This Row],[Equity Basis Per Share]]),ISNUMBER(SnapshotTable[[#This Row],[Equity Stop Loss]])),SnapshotTable[[#This Row],[Equity Stop Loss]]-SnapshotTable[[#This Row],[Equity Basis Per Share]],"")</f>
        <v/>
      </c>
      <c r="Z39" s="260" t="str">
        <f>IFERROR( TEXT(SnapshotTable[[#This Row],[Equity Max Gain Per Share]] /ABS( SnapshotTable[[#This Row],[Equity Max Loss Per Share]]),"0.0 " ) &amp; " : 1", "")</f>
        <v/>
      </c>
      <c r="AA39" s="31" t="str">
        <f>IF(ISNUMBER(SnapshotTable[[#This Row],[Equity Max Gain Per Share]]),SnapshotTable[[#This Row],[Equity Max Gain Per Share]] * SnapshotTable[[#This Row],[Equity Shares]],"")</f>
        <v/>
      </c>
      <c r="AB39" s="31" t="str">
        <f>IF(ISNUMBER(SnapshotTable[[#This Row],[Equity Max Loss Per Share]]),SnapshotTable[[#This Row],[Equity Max Loss Per Share]] * SnapshotTable[[#This Row],[Equity Shares]],"")</f>
        <v/>
      </c>
      <c r="AC39" s="148">
        <v>0.24</v>
      </c>
      <c r="AD39" s="149">
        <v>42972</v>
      </c>
      <c r="AE39" s="31">
        <f>(SnapshotTable[[#This Row],[Annual Dividend Per Share]] / 4) * SnapshotTable[[#This Row],[Equity Shares]]</f>
        <v>0</v>
      </c>
      <c r="AF39" s="31">
        <f>SnapshotTable[[#This Row],[Quarterly Div $]] * 4</f>
        <v>0</v>
      </c>
      <c r="AG39" s="7">
        <f>IF(SnapshotTable[[#This Row],[Annual Dividend Per Share]]&gt;0, SnapshotTable[[#This Row],[Annual Dividend Per Share]]  / SnapshotTable[[#This Row],[Last Price]], 0)</f>
        <v>9.5162569389373522E-3</v>
      </c>
      <c r="AH39" s="149">
        <v>43040</v>
      </c>
      <c r="AI39" s="5">
        <v>31</v>
      </c>
      <c r="AJ39" s="136">
        <v>36.33</v>
      </c>
      <c r="AK39" s="150">
        <f>IF(ISNUMBER( SnapshotTable[[#This Row],[EBF Target]]),(SnapshotTable[[#This Row],[EBF Target]] - SnapshotTable[[#This Row],[Last Price]]) / SnapshotTable[[#This Row],[Last Price]], "")</f>
        <v>0.22918318794607459</v>
      </c>
      <c r="AL39" s="150" t="str">
        <f>IF(AND(SnapshotTable[[#This Row],[Equity Basis Total]] &gt; 0,ISNUMBER( SnapshotTable[[#This Row],[Long Term Target]])), SnapshotTable[[#This Row],[From Basis $]] / SnapshotTable[[#This Row],[Equity Basis Total]], "")</f>
        <v/>
      </c>
      <c r="AM39" s="9">
        <f>IF( AND(SnapshotTable[[#This Row],[Equity Shares]] &gt;0,ISNUMBER( SnapshotTable[[#This Row],[Long Term Target]])),(SnapshotTable[[#This Row],[Equity Shares]] * SnapshotTable[[#This Row],[Long Term Target]]) - SnapshotTable[[#This Row],[Equity Basis Total]],0)</f>
        <v>0</v>
      </c>
      <c r="AN39" s="9">
        <f>IF( AND(SnapshotTable[[#This Row],[Equity Shares]] &gt;0,ISNUMBER( SnapshotTable[[#This Row],[Long Term Target]])),(SnapshotTable[[#This Row],[Equity Shares]]*SnapshotTable[[#This Row],[Long Term Target]]) - SnapshotTable[[#This Row],[Equity Value]],0)</f>
        <v>0</v>
      </c>
      <c r="AO39" s="150">
        <f>IF(AND(ISNUMBER( SnapshotTable[[#This Row],[Long Term Target]]), ISNUMBER(SnapshotTable[[#This Row],[Last Price]])),(SnapshotTable[[#This Row],[Long Term Target]] - SnapshotTable[[#This Row],[Last Price]]) / SnapshotTable[[#This Row],[Last Price]], "")</f>
        <v>0.44052339413164154</v>
      </c>
      <c r="AP39" s="5">
        <v>8</v>
      </c>
      <c r="AQ39" s="38" t="s">
        <v>16</v>
      </c>
      <c r="AR39" s="5">
        <v>8</v>
      </c>
      <c r="AS39" s="38" t="s">
        <v>22</v>
      </c>
      <c r="AT39" s="144" t="s">
        <v>442</v>
      </c>
      <c r="AU39" s="185" t="str">
        <f>IF(OR(SnapshotTable[[#This Row],[LP No Fill]]="Y",SnapshotTable[[#This Row],[SP Is Filled]],SnapshotTable[[#This Row],[LC Not Filled]]="Y",SnapshotTable[[#This Row],[SC Is Filled]]),"Y","")</f>
        <v/>
      </c>
      <c r="AV39" s="205"/>
      <c r="AW39" s="211"/>
      <c r="AX39" s="206"/>
      <c r="AY39" s="205" t="str">
        <f>IF(SnapshotTable[[#This Row],[Implied Move]]&gt;0, SnapshotTable[[#This Row],[Last Price]]-SnapshotTable[[#This Row],[Implied Move]],"")</f>
        <v/>
      </c>
      <c r="AZ39" s="205" t="str">
        <f>IF(SnapshotTable[[#This Row],[Implied Move]]&gt;0, SnapshotTable[[#This Row],[Last Price]] + SnapshotTable[[#This Row],[Implied Move]],"")</f>
        <v/>
      </c>
      <c r="BA39" s="302"/>
      <c r="BB39" s="318"/>
      <c r="BC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39" s="321"/>
      <c r="BE39" s="5"/>
      <c r="BF39" s="14"/>
      <c r="BG39" s="13"/>
      <c r="BH39" s="13"/>
      <c r="BI39" s="5"/>
      <c r="BJ39" s="134">
        <f>IF(SnapshotTable[[#This Row],[LP Qty]] &gt; 0, SnapshotTable[[#This Row],[LP Qty]] * SnapshotTable[[#This Row],[LP Book Price]] * 100,0)</f>
        <v>0</v>
      </c>
      <c r="BK39" s="134">
        <f>IF(SnapshotTable[[#This Row],[LP Premium]] &gt; 0, SnapshotTable[[#This Row],[LP Qty]] * SnapshotTable[[#This Row],[LP Strike Price]] * 100,0)</f>
        <v>0</v>
      </c>
      <c r="BL39" s="152"/>
      <c r="BM39" s="355" t="str">
        <f>IF(SnapshotTable[[#This Row],[LP Premium]] &gt; 0,SnapshotTable[[#This Row],[LP Exp Date]]-MAX(SnapshotTable[[#This Row],[LP Book Date]], SnapshotTable[[#This Row],[LP Fill Date]]),"")</f>
        <v/>
      </c>
      <c r="BN39" s="355" t="str">
        <f>IF(ISNUMBER( SnapshotTable[[#This Row],[LP Term]]), SnapshotTable[[#This Row],[LP Exp Date]] - MockToday,"")</f>
        <v/>
      </c>
      <c r="BO39" s="161" t="str">
        <f>IF(AND(SnapshotTable[[#This Row],[LP Exp Date]]&gt;0, SnapshotTable[[#This Row],[LP Strike Price]]&gt;0,SnapshotTable[[#This Row],[LP Qty]]&gt;0,SnapshotTable[[#This Row],[LP Book Date]]&gt;0,SnapshotTable[[#This Row],[LP Book Price]]&gt;0,SnapshotTable[[#This Row],[LP Fill Date]]=0),"Y","")</f>
        <v/>
      </c>
      <c r="BP39" s="31" t="str">
        <f>IF(AND(SnapshotTable[[#This Row],[LP No Fill]]&lt;&gt;"Y",SnapshotTable[[#This Row],[LP Contract Value]]&gt;0, SnapshotTable[[#This Row],[LP Qty]]&gt;0), SnapshotTable[[#This Row],[LP Contract Value]]*SnapshotTable[[#This Row],[LP Qty]]*100,"")</f>
        <v/>
      </c>
      <c r="BQ39" s="13"/>
      <c r="BR39" s="5"/>
      <c r="BS39" s="36"/>
      <c r="BT39" s="145"/>
      <c r="BU39" s="13"/>
      <c r="BV39" s="5"/>
      <c r="BW39" s="382" t="b">
        <f>AND(ISNUMBER(SnapshotTable[[#This Row],[SP Exp Date]]), ISNUMBER(SnapshotTable[[#This Row],[SP Strike Price]]), ISNUMBER(SnapshotTable[[#This Row],[SP Qty]]), ISNUMBER(SnapshotTable[[#This Row],[SP Book Date]]), ISNUMBER(SnapshotTable[[#This Row],[SP Book Price]]))</f>
        <v>0</v>
      </c>
      <c r="BX39" s="382" t="b">
        <f>AND(SnapshotTable[[#This Row],[SP Is Booked]], NOT(ISBLANK(SnapshotTable[[#This Row],[SP Fill Date]])))</f>
        <v>0</v>
      </c>
      <c r="BY39" s="33">
        <f>IF(SnapshotTable[[#This Row],[SP Is Booked]], SnapshotTable[[#This Row],[SP Qty]] * SnapshotTable[[#This Row],[SP Book Price]] * 100, 0)</f>
        <v>0</v>
      </c>
      <c r="BZ39" s="339"/>
      <c r="CA39" s="338">
        <f>SnapshotTable[[#This Row],[LP Qty]]</f>
        <v>0</v>
      </c>
      <c r="CB39" s="4" t="str">
        <f>IF(SnapshotTable[[#This Row],[SP Is Booked]], SnapshotTable[[#This Row],[SP Strike Price]] - SnapshotTable[[#This Row],[SP Book Price]], "")</f>
        <v/>
      </c>
      <c r="CC39" s="19" t="str">
        <f>IF(SnapshotTable[[#This Row],[SP Is Booked]],SnapshotTable[[#This Row],[SP Exp Date]]-MAX(SnapshotTable[[#This Row],[SP Book Date]], SnapshotTable[[#This Row],[SP Fill Date]]),"")</f>
        <v/>
      </c>
      <c r="CD39" s="7" t="str">
        <f>IF(SnapshotTable[[#This Row],[SP Is Booked]], SnapshotTable[[#This Row],[SP Book Price]]/SnapshotTable[[#This Row],[SP Strike Price]], "")</f>
        <v/>
      </c>
      <c r="CE39" s="7" t="str">
        <f>IF(ISNUMBER(SnapshotTable[[#This Row],[SP ROO Term]]),SnapshotTable[[#This Row],[SP ROO Term]]*(365/SnapshotTable[[#This Row],[SP Term]]),"")</f>
        <v/>
      </c>
      <c r="CF39" s="221">
        <f>SnapshotTable[[#This Row],[LP Strike Price]] * SnapshotTable[[#This Row],[LP Qty]] * 100</f>
        <v>0</v>
      </c>
      <c r="CG39" s="31">
        <f>IF(ISNUMBER(SnapshotTable[[#This Row],[SP Premium]]), (SnapshotTable[[#This Row],[SP Qty]] * SnapshotTable[[#This Row],[SP Strike Price]]* 100) - SnapshotTable[[#This Row],[LP Protection]], 0)</f>
        <v>0</v>
      </c>
      <c r="CH39" s="7" t="str">
        <f>IF(ISNUMBER(SnapshotTable[[#This Row],[SP Break Even]]),-1 * (SnapshotTable[[#This Row],[SP Break Even]] - SnapshotTable[[#This Row],[Last Price]]) / SnapshotTable[[#This Row],[Last Price]], "")</f>
        <v/>
      </c>
      <c r="CI39" s="31">
        <f>IF(AND(ISNUMBER((SnapshotTable[[#This Row],[SP Potential Spend]])), SnapshotTable[[#This Row],[SP Strike Price]] &gt; SnapshotTable[[#This Row],[Last Price]], SnapshotTable[[#This Row],[SP Is Filled]]), SnapshotTable[[#This Row],[SP Potential Spend]] -  SnapshotTable[[#This Row],[LP Max Value]], 0)</f>
        <v>0</v>
      </c>
      <c r="CJ39" s="229"/>
      <c r="CK39" s="31">
        <f>IF(ISNUMBER(SnapshotTable[[#This Row],[SP Potential Spend]]),IF(ISNUMBER(SnapshotTable[[#This Row],[SP POW]]), SnapshotTable[[#This Row],[SP POW]] * SnapshotTable[[#This Row],[SP Potential Spend]], SnapshotTable[[#This Row],[SP Potential Spend]]), "")</f>
        <v>0</v>
      </c>
      <c r="CL39" s="162">
        <f>IF(NOT(SnapshotTable[[#This Row],[SP Is Filled]]),(SnapshotTable[[#This Row],[SP Qty]] * SnapshotTable[[#This Row],[SP Strike Price]] * 100) - SnapshotTable[[#This Row],[LP Max Value]],"")</f>
        <v>0</v>
      </c>
      <c r="CM39" s="31" t="str">
        <f>IF(SnapshotTable[[#This Row],[SP Actual Spend]]&lt;&gt;0, ((SnapshotTable[[#This Row],[SP Strike Price]]-SnapshotTable[[#This Row],[Last Price]]) *(SnapshotTable[[#This Row],[SP Qty]]*100) - SnapshotTable[[#This Row],[SP Premium]]) * - 1, "")</f>
        <v/>
      </c>
      <c r="CN39" s="76"/>
      <c r="CO39" s="339"/>
      <c r="CP39" s="4" t="str">
        <f>IF(SnapshotTable[[#This Row],[SP Is Filled]], btc_max_buyback_amount(SnapshotTable[[#This Row],[SP Fill Date]],SnapshotTable[[#This Row],[SP Exp Date]], SnapshotTable[[#This Row],[SP Book Price]]),"")</f>
        <v/>
      </c>
      <c r="CQ39" s="76"/>
      <c r="CR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39" s="153" t="str">
        <f>IF(SnapshotTable[[#This Row],[SP Is Filled]], btc_next_cutoff_date(SnapshotTable[[#This Row],[SP Fill Date]],SnapshotTable[[#This Row],[SP Exp Date]]),"")</f>
        <v/>
      </c>
      <c r="CT39" s="220" t="str" cm="1">
        <f t="array" ref="CT39">IF(SnapshotTable[[#This Row],[SP Is Filled]], btc_should_buy_back(SnapshotTable[[#This Row],[SP Fill Date]], SnapshotTable[[#This Row],[SP Exp Date]], SnapshotTable[[#This Row],[SP Book Price]], SnapshotTable[[#This Row],[SP Current Ask]], MockToday, SnapshotTable[[#This Row],[SP Buyback Override]]),"")</f>
        <v/>
      </c>
      <c r="CU39" s="141"/>
      <c r="CV39" s="220"/>
      <c r="CW39" s="348" t="str">
        <f>IF(ISNUMBER( SnapshotTable[[#This Row],[SP Term]]), SnapshotTable[[#This Row],[SP Exp Date]] - MockToday,"")</f>
        <v/>
      </c>
      <c r="CX39" s="31" t="str">
        <f>IF(SnapshotTable[[#This Row],[SP Is Filled]],SnapshotTable[[#This Row],[SP Buyback Price to Use]] * 100 * SnapshotTable[[#This Row],[SP Qty]], "")</f>
        <v/>
      </c>
      <c r="CY39" s="4" t="str">
        <f>IF(ISNUMBER(SnapshotTable[[#This Row],[SP Strike Price]]), SnapshotTable[[#This Row],[SP Strike Price]] * (1 - SP_MaxLoss_StrikePct), "")</f>
        <v/>
      </c>
      <c r="CZ39" s="31" t="str">
        <f>IF(ISNUMBER(SnapshotTable[[#This Row],[SP Strike  Stop Per Share]]),SnapshotTable[[#This Row],[SP Premium]] - ((SnapshotTable[[#This Row],[SP Strike Price]]-SnapshotTable[[#This Row],[SP Strike  Stop Per Share]]) *(SnapshotTable[[#This Row],[SP Qty]] * 100)),"")</f>
        <v/>
      </c>
      <c r="DA39" s="4" t="str">
        <f>IF(AND(ISNUMBER(SnapshotTable[[#This Row],[SP Premium]]),SnapshotTable[[#This Row],[SP Premium]]&gt;0), SnapshotTable[[#This Row],[SP Book Price]] * (1 + SP_MaxLoss_OptionPct), "")</f>
        <v/>
      </c>
      <c r="DB39" s="31" t="str">
        <f>IF(ISNUMBER(SnapshotTable[[#This Row],[SP Option  Stop Contract]]),(SnapshotTable[[#This Row],[SP Option  Stop Contract]] *(SnapshotTable[[#This Row],[SP Qty]] * 100) - SnapshotTable[[#This Row],[SP Premium]]),"")</f>
        <v/>
      </c>
      <c r="DC39" s="4"/>
      <c r="DD39" s="4"/>
      <c r="DE39" s="4" t="str">
        <f>IF(AND(SnapshotTable[[#This Row],[SP Qty]]&gt;0, SnapshotTable[[#This Row],[SP Stop To Use]]&gt;0),SnapshotTable[[#This Row],[SP Premium]] - ( SnapshotTable[[#This Row],[SP Qty]] * SnapshotTable[[#This Row],[SP Stop To Use]] * 100), "")</f>
        <v/>
      </c>
      <c r="DF39" s="31" t="str">
        <f>IF(AND(SnapshotTable[[#This Row],[SP Qty]]&gt;0,SnapshotTable[[#This Row],[SP Current Ask]]&gt;0), SnapshotTable[[#This Row],[SP Qty]] * SnapshotTable[[#This Row],[SP Current Ask]] * -100, "")</f>
        <v/>
      </c>
      <c r="DG39" s="31" t="str">
        <f>IF(ISNUMBER((SnapshotTable[[#This Row],[SP Total Value]])), SnapshotTable[[#This Row],[SP Premium]] + SnapshotTable[[#This Row],[SP Total Value]], "")</f>
        <v/>
      </c>
      <c r="DH39" s="272" t="str">
        <f>IF(ISNUMBER((SnapshotTable[[#This Row],[SP Total Value]])), SnapshotTable[[#This Row],[SP Gain Loss]] / SnapshotTable[[#This Row],[SP Premium]], "")</f>
        <v/>
      </c>
      <c r="DI39" s="369"/>
      <c r="DJ39" s="136"/>
      <c r="DK39" s="146"/>
      <c r="DL39" s="13"/>
      <c r="DM39" s="13"/>
      <c r="DN39" s="5"/>
      <c r="DO39" s="31">
        <f>IF(SnapshotTable[[#This Row],[LC Symbol Count]]=1, SnapshotTable[[#This Row],[LC Qty]] * SnapshotTable[[#This Row],[LC Book Price]] * 100, 0)</f>
        <v>0</v>
      </c>
      <c r="DP39" s="161" t="str">
        <f>IF(AND(SnapshotTable[[#This Row],[LC Exp Date]]&gt;0, SnapshotTable[[#This Row],[LC Strike Price]]&gt;0,SnapshotTable[[#This Row],[LC Qty]]&gt;0,SnapshotTable[[#This Row],[LC Book Date]]&gt;0,SnapshotTable[[#This Row],[LC Book Price]]&gt;0,SnapshotTable[[#This Row],[LC Fill Date]]=0),"Y","")</f>
        <v/>
      </c>
      <c r="DQ39" s="356" t="str">
        <f>IF(SnapshotTable[[#This Row],[LC Premium]] &gt; 0,SnapshotTable[[#This Row],[LC Exp Date]]-MAX(SnapshotTable[[#This Row],[LC Book Date]], SnapshotTable[[#This Row],[LC Fill Date]]),"")</f>
        <v/>
      </c>
      <c r="DR39" s="356" t="str">
        <f>IF(ISNUMBER(SnapshotTable[[#This Row],[LC Term]]), SnapshotTable[[#This Row],[LC Exp Date]] - MockToday, "")</f>
        <v/>
      </c>
      <c r="DS39" s="219" t="str">
        <f>IF(SnapshotTable[[#This Row],[LC Premium]]&gt;0,SnapshotTable[[#This Row],[LC Strike Price]] + SnapshotTable[[#This Row],[LC Book Price]],"")</f>
        <v/>
      </c>
      <c r="DT39" s="5"/>
      <c r="DU39" s="9" t="str">
        <f>IF(AND(SnapshotTable[[#This Row],[LC Symbol Count]]&gt;0, SnapshotTable[[#This Row],[LC Contract Value]]&gt;0), SnapshotTable[[#This Row],[LC Contract Value]] * SnapshotTable[[#This Row],[LC Qty]] * 100, "")</f>
        <v/>
      </c>
      <c r="DV39" s="9" t="str">
        <f>IF(AND(ISNUMBER(SnapshotTable[[#This Row],[LC Total Value]]), SnapshotTable[[#This Row],[LC Not Filled]]&lt;&gt;"Y"), SnapshotTable[[#This Row],[LC Total Value]]-SnapshotTable[[#This Row],[LC Premium]],"")</f>
        <v/>
      </c>
      <c r="DW39" s="225" t="str">
        <f>IF(ISNUMBER(SnapshotTable[[#This Row],[LC Actual Gain Loss]]), SnapshotTable[[#This Row],[LC Actual Gain Loss]] / SnapshotTable[[#This Row],[LC Premium]],"")</f>
        <v/>
      </c>
      <c r="DX39" s="269" t="str">
        <f>IF(ISNUMBER(SnapshotTable[[#This Row],[LC Book Price]]),SnapshotTable[[#This Row],[LC Book Price]] * 1.5,"")</f>
        <v/>
      </c>
      <c r="DY39" s="250" t="str">
        <f>IF(SnapshotTable[[#This Row],[LC Premium]]&gt;0, SnapshotTable[[#This Row],[LC Next Target]] * SnapshotTable[[#This Row],[LC Qty]] * 100,"")</f>
        <v/>
      </c>
      <c r="DZ39" s="250" t="str">
        <f>IF(ISNUMBER(SnapshotTable[[#This Row],[LC Target Gross]]), SnapshotTable[[#This Row],[LC Target Gross]] - SnapshotTable[[#This Row],[LC Premium]], "")</f>
        <v/>
      </c>
      <c r="EA39" s="283" t="str">
        <f>IF(ISNUMBER(SnapshotTable[[#This Row],[LC Target Gain Loss]]), SnapshotTable[[#This Row],[LC Target Gain Loss]]/SnapshotTable[[#This Row],[LC Premium]], "")</f>
        <v/>
      </c>
      <c r="EB39" s="247"/>
      <c r="EC39" s="268" t="str">
        <f>IF(SnapshotTable[[#This Row],[LC Premium]]&gt;0, SnapshotTable[[#This Row],[LC Book Price]] * (1 - LC_StopLoss_Pct),"")</f>
        <v/>
      </c>
      <c r="ED39" s="269"/>
      <c r="EE39" s="268" t="str">
        <f>IF(ISNUMBER(SnapshotTable[[#This Row],[LC Contract Value]]),IF(ISNUMBER(SnapshotTable[[#This Row],[LC Stop Loss Override]]), SnapshotTable[[#This Row],[LC Stop Loss Override]],SnapshotTable[[#This Row],[LC Stop Loss Calc Target]]),"")</f>
        <v/>
      </c>
      <c r="EF39" s="31" t="str">
        <f>IF(ISNUMBER(SnapshotTable[[#This Row],[LC Stop  To Use]]), (SnapshotTable[[#This Row],[LC Stop  To Use]] * SnapshotTable[[#This Row],[LC Qty]] * 100),"")</f>
        <v/>
      </c>
      <c r="EG39" s="9" t="str">
        <f>IF(ISNUMBER(SnapshotTable[[#This Row],[LC Total Value]]),SnapshotTable[[#This Row],[LC Stop Loss Amount]] - SnapshotTable[[#This Row],[LC Premium]],"")</f>
        <v/>
      </c>
      <c r="EH39" s="9">
        <f>IF(ISNUMBER(SnapshotTable[[#This Row],[LC Premium]]), SnapshotTable[[#This Row],[LC Qty]] * 100 * SnapshotTable[[#This Row],[LC Strike Price]], "")</f>
        <v>0</v>
      </c>
      <c r="EI39" s="225" t="str">
        <f>IF(AND(ISNUMBER(SnapshotTable[[#This Row],[LC Total Value]]),SnapshotTable[[#This Row],[LC Total Value]]&gt;0),SnapshotTable[[#This Row],[LC Stop Gain Loss]]  / SnapshotTable[[#This Row],[LC Premium]],"")</f>
        <v/>
      </c>
      <c r="EJ39" s="35">
        <f>IF(ISNUMBER(SnapshotTable[[#This Row],[Equity Shares]]),TRUNC(SnapshotTable[[#This Row],[Equity Shares]] / 100),0) + SnapshotTable[[#This Row],[LC Qty]]</f>
        <v>0</v>
      </c>
      <c r="EK39" s="145"/>
      <c r="EL39" s="136"/>
      <c r="EM39" s="146"/>
      <c r="EN39" s="145"/>
      <c r="EO39" s="145"/>
      <c r="EP39" s="136"/>
      <c r="EQ39" s="382" t="b">
        <f>AND(ISNUMBER(SnapshotTable[[#This Row],[SC Exp Date]]), ISNUMBER(SnapshotTable[[#This Row],[SC Strike Price]]), ISNUMBER(SnapshotTable[[#This Row],[SC Qty]]), ISNUMBER(SnapshotTable[[#This Row],[SC Book Date]]), ISNUMBER(SnapshotTable[[#This Row],[SC Book Price]]))</f>
        <v>0</v>
      </c>
      <c r="ER39" s="382" t="b">
        <f>AND(SnapshotTable[[#This Row],[SC Is Booked]], NOT(ISBLANK(SnapshotTable[[#This Row],[SC Fill Date]])))</f>
        <v>0</v>
      </c>
      <c r="ES39" s="340"/>
      <c r="ET39" s="34" t="str">
        <f>IF(AND(ISNUMBER(SnapshotTable[[#This Row],[SC Exp Date]]), ISNUMBER(SnapshotTable[[#This Row],[SC Book Date]])), SnapshotTable[[#This Row],[SC Exp Date]] - MAX(SnapshotTable[[#This Row],[SC Book Date]], SnapshotTable[[#This Row],[SC Fill Date]]) + 1, "")</f>
        <v/>
      </c>
      <c r="EU39" s="34" t="str">
        <f>IF(ISNUMBER(SnapshotTable[[#This Row],[SC Term]]), SnapshotTable[[#This Row],[SC Exp Date]]- MockToday, "")</f>
        <v/>
      </c>
      <c r="EV39" s="31">
        <f>IF(SnapshotTable[[#This Row],[SC Is Booked]], SnapshotTable[[#This Row],[SC Qty]] * SnapshotTable[[#This Row],[SC Book Price]] * 100, 0)</f>
        <v>0</v>
      </c>
      <c r="EW39" s="4" t="str">
        <f>IF(AND(ISNUMBER(SnapshotTable[[#This Row],[Last Price]]), ISNUMBER( SnapshotTable[[#This Row],[SC Book Price]])), SnapshotTable[[#This Row],[Last Price]] - SnapshotTable[[#This Row],[SC Book Price]],"")</f>
        <v/>
      </c>
      <c r="EX39" s="219" t="str">
        <f>IF(SnapshotTable[[#This Row],[SC Is Booked]],IF(SnapshotTable[[#This Row],[SC Intrinsic Value]] &gt; 0, SnapshotTable[[#This Row],[SC Strike Price]], SnapshotTable[[#This Row],[Last Price]]), "")</f>
        <v/>
      </c>
      <c r="EY39" s="4">
        <f>IF(SnapshotTable[[#This Row],[SC Is Booked]], (MinimumPremiumRequired * SnapshotTable[[#This Row],[SC Basis]] * SnapshotTable[[#This Row],[SC Term]]), 0)</f>
        <v>0</v>
      </c>
      <c r="EZ39" s="268"/>
      <c r="FA39" s="204"/>
      <c r="FB39" s="340"/>
      <c r="FC39" s="4">
        <f>IF(SnapshotTable[[#This Row],[SC Is Filled]], btc_max_buyback_amount(SnapshotTable[[#This Row],[SC Fill Date]],SnapshotTable[[#This Row],[SC Exp Date]], SnapshotTable[[#This Row],[SC Book Price]]),0)</f>
        <v>0</v>
      </c>
      <c r="FD39" s="5"/>
      <c r="FE39" s="142" t="str">
        <f>IF(SnapshotTable[[#This Row],[SC Is Filled]], btc_next_cutoff_date(SnapshotTable[[#This Row],[SC Fill Date]],SnapshotTable[[#This Row],[SC Exp Date]]),"")</f>
        <v/>
      </c>
      <c r="FF39" s="4" t="str" cm="1">
        <f t="array" ref="FF39">IF(SnapshotTable[[#This Row],[SC Is Filled]], btc_should_buy_back(SnapshotTable[[#This Row],[SC Fill Date]], SnapshotTable[[#This Row],[SC Exp Date]], SnapshotTable[[#This Row],[SC Book Price]], SnapshotTable[[#This Row],[SC Current Ask]], MockToday, SnapshotTable[[#This Row],[SC Buyback Override]]),"")</f>
        <v/>
      </c>
      <c r="FG39" s="4">
        <f>IF(SnapshotTable[[#This Row],[SC Is Filled]], MAX(0,SnapshotTable[[#This Row],[Last Price]]  - SnapshotTable[[#This Row],[SC Strike Price]]), 0)</f>
        <v>0</v>
      </c>
      <c r="FH39" s="352">
        <f>IF(SnapshotTable[[#This Row],[SC Is Filled]], IF(ISNUMBER(SnapshotTable[[#This Row],[SC Current Ask]]), SnapshotTable[[#This Row],[SC Current Ask]], SnapshotTable[[#This Row],[SC Book Price]]) - SnapshotTable[[#This Row],[SC Intrinsic Value]], 0)</f>
        <v>0</v>
      </c>
      <c r="FI39" s="141"/>
      <c r="FJ39" s="32" t="str">
        <f>IF(SnapshotTable[[#This Row],[SC Is Filled]],100 * SnapshotTable[[#This Row],[SC Qty]] * IF(ISNUMBER(SnapshotTable[[#This Row],[SC Buyback Override]]), SnapshotTable[[#This Row],[SC Buyback Override]], SnapshotTable[[#This Row],[SC Current Ask]]), "")</f>
        <v/>
      </c>
      <c r="FK39" s="235" t="str">
        <f>IF(SnapshotTable[[#This Row],[SC Time Val]]&gt;0, SnapshotTable[[#This Row],[SC Time Val]] / SnapshotTable[[#This Row],[Last Price]],"")</f>
        <v/>
      </c>
      <c r="FL39" s="280" t="str">
        <f>IF(SnapshotTable[[#This Row],[SC Is Booked]], ((SnapshotTable[[#This Row],[Last Price]] -SnapshotTable[[#This Row],[SC Strike Price]]) / SnapshotTable[[#This Row],[Last Price]]) * -1, "")</f>
        <v/>
      </c>
      <c r="FM39" s="155" t="str">
        <f>IF(SnapshotTable[[#This Row],[SC Is Booked]],  (SnapshotTable[[#This Row],[SC Qty]] * 100 * SnapshotTable[[#This Row],[SC Strike Price]]) - SnapshotTable[[#This Row],[SC Current Ask]], "")</f>
        <v/>
      </c>
      <c r="FN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39" s="31" t="str">
        <f>IF(AND(ISNUMBER(SnapshotTable[[#This Row],[SC Exercise Gross]]), ISNUMBER(SnapshotTable[[#This Row],[Equity Basis Per Share]] )), SnapshotTable[[#This Row],[SC Exercise Gross]] - SnapshotTable[[#This Row],[Equity Basis Total]] +  SnapshotTable[[#This Row],[SC Premium]], "")</f>
        <v/>
      </c>
      <c r="FP39" s="5" t="str">
        <f>IF(ISNUMBER(SnapshotTable[[#This Row],[SC Exercise Gross]]), (SnapshotTable[[#This Row],[SC Exercise Gross]]) / (SnapshotTable[[#This Row],[SC Qty]] * 100), "")</f>
        <v/>
      </c>
      <c r="FQ39" s="27" t="str">
        <f>IF(SnapshotTable[[#This Row],[SC Is Booked]],SnapshotTable[[#This Row],[SC Time Val]] /SnapshotTable[[#This Row],[SC Basis]], "")</f>
        <v/>
      </c>
      <c r="FR39" s="27" t="str" cm="1">
        <f t="array" ref="FR39">IF(AND(ISNUMBER(SnapshotTable[[#This Row],[SC Term]]),ISNUMBER(SnapshotTable[[#This Row],[SC Simple ROO]])), EllmanAnnualize(SnapshotTable[[#This Row],[SC DTE]], SnapshotTable[[#This Row],[SC Simple ROO]] ),"")</f>
        <v/>
      </c>
      <c r="FS39" s="4">
        <f>IF(SnapshotTable[[#This Row],[SC Strike Price]] &gt; SnapshotTable[[#This Row],[Last Price]], SnapshotTable[[#This Row],[SC Strike Price]] - SnapshotTable[[#This Row],[Last Price]],0)</f>
        <v>0</v>
      </c>
      <c r="FT39" s="27" t="str">
        <f>IF(AND(ISNUMBER(SnapshotTable[[#This Row],[SC Upside Potential]]), SnapshotTable[[#This Row],[SC Upside Potential]] &gt; 0),(SnapshotTable[[#This Row],[SC Upside Potential]]/ SnapshotTable[[#This Row],[ACB]]),"")</f>
        <v/>
      </c>
      <c r="FU39" s="304" t="str">
        <f>IF(SnapshotTable[[#This Row],[SC Intrinsic Value]] &gt; 0,SnapshotTable[[#This Row],[SC Intrinsic Value]],"")</f>
        <v/>
      </c>
      <c r="FV39" s="27" t="str">
        <f>IF(AND( ISNUMBER( SnapshotTable[[#This Row],[ACB]]),ISNUMBER(SnapshotTable[[#This Row],[SC Downside Protect]])),SnapshotTable[[#This Row],[SC Downside Protect]] / SnapshotTable[[#This Row],[ACB]],"")</f>
        <v/>
      </c>
      <c r="FW39" s="221" t="str">
        <f>IF(AND(ISNUMBER(SnapshotTable[[#This Row],[SC Simple ROO]]),SnapshotTable[[#This Row],[SC Simple ROO]] &gt; 0), SnapshotTable[[#This Row],[SC Premium]] + (SnapshotTable[[#This Row],[SC Qty]] * SnapshotTable[[#This Row],[SC Upside Potential]]), "")</f>
        <v/>
      </c>
      <c r="FX39" s="280" t="str" cm="1">
        <f t="array" ref="FX39">IF(ISNUMBER(SnapshotTable[[#This Row],[SC Max Dollars]]), annualize(SnapshotTable[[#This Row],[SC Term]],(SnapshotTable[[#This Row],[SC Max Dollars]]/SnapshotTable[[#This Row],[SC Basis]])),"")</f>
        <v/>
      </c>
      <c r="FY39" s="221" t="str">
        <f>IF(AND(SnapshotTable[[#This Row],[SC Qty]]&gt;0,SnapshotTable[[#This Row],[SC Current Ask]]&gt;0), SnapshotTable[[#This Row],[SC Qty]] * SnapshotTable[[#This Row],[SC Current Ask]] * -100, "")</f>
        <v/>
      </c>
      <c r="FZ39" s="31" t="str">
        <f>IF(ISNUMBER((SnapshotTable[[#This Row],[SC Current Value]])), SnapshotTable[[#This Row],[SC Premium]] + SnapshotTable[[#This Row],[SC Current Value]], "")</f>
        <v/>
      </c>
      <c r="GA39" s="272" t="str">
        <f>IFERROR( IF(ISNUMBER((SnapshotTable[[#This Row],[SC Current Value]])), SnapshotTable[[#This Row],[SC Gain Loss]] / SnapshotTable[[#This Row],[SC Premium]], ""), "")</f>
        <v/>
      </c>
      <c r="GB39" s="42">
        <f>SnapshotTable[[#This Row],[Equity Shares]] * SaleSharesToConsiderPercentage</f>
        <v>0</v>
      </c>
      <c r="GC39" s="40">
        <f>SnapshotTable[[#This Row],[Long Term Target]] * SellingPriceToConsiderBasedOnTargetPercentage</f>
        <v>34.513499999999993</v>
      </c>
      <c r="GD39" s="40">
        <f>SnapshotTable[[#This Row],[Last Price]] * (1+ SellingPriceToConsiderBasedOnTargetPercentage)</f>
        <v>49.178999999999995</v>
      </c>
      <c r="GE39" s="41"/>
      <c r="GF39" s="40"/>
      <c r="GG39" s="31">
        <f>SnapshotTable[[#This Row],[Booked Sale Shares]] * SnapshotTable[[#This Row],[Booked Sale Price]]</f>
        <v>0</v>
      </c>
      <c r="GH39" s="31" t="str">
        <f>IF(SnapshotTable[[#This Row],[Equity Basis Total]] &gt; 0, SnapshotTable[[#This Row],[Equity Basis Per Share]] * SnapshotTable[[#This Row],[Booked Sale Shares]], "")</f>
        <v/>
      </c>
      <c r="GI39" s="31">
        <f>IF(SnapshotTable[[#This Row],[Sale Proceeds]]&gt;0, SnapshotTable[[#This Row],[Sale Proceeds]] - SnapshotTable[[#This Row],[Sale Basis]], 0)</f>
        <v>0</v>
      </c>
      <c r="GJ39" s="27" t="str">
        <f>IF(SnapshotTable[[#This Row],[Sale G/L]]&gt;0, SnapshotTable[[#This Row],[Sale G/L]] / SnapshotTable[[#This Row],[Sale Basis]], IF(ISNUMBER(SnapshotTable[[#This Row],[SC Exercise P&amp;L (TAX)]]), SnapshotTable[[#This Row],[SC Exercise P&amp;L (TAX)]] / SnapshotTable[[#This Row],[SC Basis]], ""))</f>
        <v/>
      </c>
      <c r="GK39" s="27" t="s">
        <v>520</v>
      </c>
      <c r="GL39" s="43" t="str">
        <f>IF(AND(SnapshotTable[[#This Row],[LP Exp Date]]&gt;0,SnapshotTable[[#This Row],[LP Strike Price]]&gt;0), [1]!ToOptionSymbol(SnapshotTable[[#This Row],[Symbol]], SnapshotTable[[#This Row],[LP Strike Price]],SnapshotTable[[#This Row],[LP Exp Date]],1), "")</f>
        <v/>
      </c>
      <c r="GM39" s="30" t="str">
        <f>IF(LEN(SnapshotTable[[#This Row],[LP Symbol]])&gt;0, 1, "")</f>
        <v/>
      </c>
      <c r="GN39" s="43" t="str">
        <f>IF(AND(SnapshotTable[[#This Row],[SP Exp Date]]&gt;0,SnapshotTable[[#This Row],[SP Strike Price]]&gt;0), [1]!ToOptionSymbol(SnapshotTable[[#This Row],[Symbol]], SnapshotTable[[#This Row],[SP Strike Price]],SnapshotTable[[#This Row],[SP Exp Date]],1), "")</f>
        <v/>
      </c>
      <c r="GO39" s="30" t="str">
        <f>IF(LEN(SnapshotTable[[#This Row],[SP Symbol]])&gt;0, 1, "")</f>
        <v/>
      </c>
      <c r="GP39" s="43" t="str">
        <f>IF(AND(SnapshotTable[[#This Row],[LC Exp Date]]&gt;0,SnapshotTable[[#This Row],[LC Strike Price]]&gt;0), [1]!ToOptionSymbol(SnapshotTable[[#This Row],[Symbol]], SnapshotTable[[#This Row],[LC Strike Price]],SnapshotTable[[#This Row],[LC Exp Date]],0), "")</f>
        <v/>
      </c>
      <c r="GQ39" s="30" t="str">
        <f>IF(LEN(SnapshotTable[[#This Row],[LC Symbol]])&gt;0, 1, "")</f>
        <v/>
      </c>
      <c r="GR39" s="43" t="str">
        <f>IF(AND(SnapshotTable[[#This Row],[SC Exp Date]]&gt;0,SnapshotTable[[#This Row],[SC Strike Price]]&gt;0), [1]!ToOptionSymbol(SnapshotTable[[#This Row],[Symbol]], SnapshotTable[[#This Row],[SC Strike Price]],SnapshotTable[[#This Row],[SC Exp Date]],0), "")</f>
        <v/>
      </c>
      <c r="GS39" s="30" t="str">
        <f>IF(LEN(SnapshotTable[[#This Row],[SC Symbol]])&gt;0, 1, "")</f>
        <v/>
      </c>
      <c r="GT39" s="29" t="str">
        <f>IF(COUNT(SnapshotTable[[#This Row],[LP Symbol Count]],SnapshotTable[[#This Row],[SP Symbol Count]],SnapshotTable[[#This Row],[LC Symbol Count]],SnapshotTable[[#This Row],[SC Symbol Count]])&gt;0, "Y", "")</f>
        <v/>
      </c>
      <c r="GU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39" s="216">
        <f>MAX(SnapshotTable[[#This Row],[Equity Basis Total]],SnapshotTable[[#This Row],[Equity Value]]) + (SnapshotTable[[#This Row],[SP Potential Spend]]- SnapshotTable[[#This Row],[SP Premium]] + SnapshotTable[[#This Row],[LP Premium]])+ (SnapshotTable[[#This Row],[LC Premium]] - SnapshotTable[[#This Row],[SC Premium]])</f>
        <v>0</v>
      </c>
      <c r="GW39" s="137" t="str">
        <f>IF(AND(SnapshotTable[[#This Row],[Exposure]] &lt;&gt; 0),SnapshotTable[[#This Row],[Exposure]] / SnapshotTable[[#Totals],[Exposure]], "")</f>
        <v/>
      </c>
      <c r="GY39" s="351"/>
      <c r="HE39" s="253"/>
      <c r="HF39" s="253"/>
      <c r="HG39" s="351"/>
      <c r="HH39" s="351"/>
      <c r="HI39" s="351"/>
      <c r="HJ39" s="351"/>
    </row>
    <row r="40" spans="2:224" s="45" customFormat="1" ht="12.75" hidden="1" customHeight="1" x14ac:dyDescent="0.25">
      <c r="B40" s="12" t="s">
        <v>427</v>
      </c>
      <c r="C40" s="385">
        <v>88.7</v>
      </c>
      <c r="D40" s="200"/>
      <c r="E40" s="39">
        <f>SnapshotTable[[#This Row],[Last Price]]*(1 -CrashDiscount)</f>
        <v>75.394999999999996</v>
      </c>
      <c r="F40" s="26" t="s">
        <v>149</v>
      </c>
      <c r="G40" s="26" t="s">
        <v>32</v>
      </c>
      <c r="H40" s="147"/>
      <c r="I40" s="186">
        <v>44782.666666666664</v>
      </c>
      <c r="J40" s="187">
        <v>44782.666666666664</v>
      </c>
      <c r="K40" s="188"/>
      <c r="L40" s="297"/>
      <c r="M40" s="138"/>
      <c r="N40" s="138"/>
      <c r="O40" s="138"/>
      <c r="P40" s="22"/>
      <c r="Q40" s="25"/>
      <c r="R40" s="4" t="str">
        <f>IF(SnapshotTable[[#This Row],[Equity Basis Total]] &gt; 0, SnapshotTable[[#This Row],[Equity Basis Total]] / SnapshotTable[[#This Row],[Equity Shares]], "")</f>
        <v/>
      </c>
      <c r="S40" s="254">
        <f>SnapshotTable[[#This Row],[Last Price]] * SnapshotTable[[#This Row],[Equity Shares]]</f>
        <v>0</v>
      </c>
      <c r="T40" s="254">
        <f>SnapshotTable[[#This Row],[Equity Value]] - SnapshotTable[[#This Row],[Equity Basis Total]]</f>
        <v>0</v>
      </c>
      <c r="U40" s="255" t="str">
        <f>IF(SnapshotTable[[#This Row],[Equity Basis Total]] &gt; 0, SnapshotTable[[#This Row],[Equity G/L]] / SnapshotTable[[#This Row],[Equity Basis Total]], "")</f>
        <v/>
      </c>
      <c r="V40" s="253"/>
      <c r="W40" s="253"/>
      <c r="X40" s="4" t="str">
        <f>IF(AND(ISNUMBER(SnapshotTable[[#This Row],[Equity Basis Per Share]]),ISNUMBER(SnapshotTable[[#This Row],[Equity Target]])),SnapshotTable[[#This Row],[Equity Target]]-SnapshotTable[[#This Row],[Equity Basis Per Share]],"")</f>
        <v/>
      </c>
      <c r="Y40" s="4" t="str">
        <f>IF(AND(ISNUMBER(SnapshotTable[[#This Row],[Equity Basis Per Share]]),ISNUMBER(SnapshotTable[[#This Row],[Equity Stop Loss]])),SnapshotTable[[#This Row],[Equity Stop Loss]]-SnapshotTable[[#This Row],[Equity Basis Per Share]],"")</f>
        <v/>
      </c>
      <c r="Z40" s="260" t="str">
        <f>IFERROR( TEXT(SnapshotTable[[#This Row],[Equity Max Gain Per Share]] /ABS( SnapshotTable[[#This Row],[Equity Max Loss Per Share]]),"0.0 " ) &amp; " : 1", "")</f>
        <v/>
      </c>
      <c r="AA40" s="31" t="str">
        <f>IF(ISNUMBER(SnapshotTable[[#This Row],[Equity Max Gain Per Share]]),SnapshotTable[[#This Row],[Equity Max Gain Per Share]] * SnapshotTable[[#This Row],[Equity Shares]],"")</f>
        <v/>
      </c>
      <c r="AB40" s="31" t="str">
        <f>IF(ISNUMBER(SnapshotTable[[#This Row],[Equity Max Loss Per Share]]),SnapshotTable[[#This Row],[Equity Max Loss Per Share]] * SnapshotTable[[#This Row],[Equity Shares]],"")</f>
        <v/>
      </c>
      <c r="AC40" s="148"/>
      <c r="AD40" s="149"/>
      <c r="AE40" s="31">
        <f>(SnapshotTable[[#This Row],[Annual Dividend Per Share]] / 4) * SnapshotTable[[#This Row],[Equity Shares]]</f>
        <v>0</v>
      </c>
      <c r="AF40" s="31">
        <f>SnapshotTable[[#This Row],[Quarterly Div $]] * 4</f>
        <v>0</v>
      </c>
      <c r="AG40" s="7">
        <f>IF(SnapshotTable[[#This Row],[Annual Dividend Per Share]]&gt;0, SnapshotTable[[#This Row],[Annual Dividend Per Share]]  / SnapshotTable[[#This Row],[Last Price]], 0)</f>
        <v>0</v>
      </c>
      <c r="AH40" s="149"/>
      <c r="AI40" s="5"/>
      <c r="AJ40" s="136">
        <v>92.42</v>
      </c>
      <c r="AK40" s="150" t="str">
        <f>IF(ISNUMBER( SnapshotTable[[#This Row],[EBF Target]]),(SnapshotTable[[#This Row],[EBF Target]] - SnapshotTable[[#This Row],[Last Price]]) / SnapshotTable[[#This Row],[Last Price]], "")</f>
        <v/>
      </c>
      <c r="AL40" s="150" t="str">
        <f>IF(AND(SnapshotTable[[#This Row],[Equity Basis Total]] &gt; 0,ISNUMBER( SnapshotTable[[#This Row],[Long Term Target]])), SnapshotTable[[#This Row],[From Basis $]] / SnapshotTable[[#This Row],[Equity Basis Total]], "")</f>
        <v/>
      </c>
      <c r="AM40" s="9">
        <f>IF( AND(SnapshotTable[[#This Row],[Equity Shares]] &gt;0,ISNUMBER( SnapshotTable[[#This Row],[Long Term Target]])),(SnapshotTable[[#This Row],[Equity Shares]] * SnapshotTable[[#This Row],[Long Term Target]]) - SnapshotTable[[#This Row],[Equity Basis Total]],0)</f>
        <v>0</v>
      </c>
      <c r="AN40" s="9">
        <f>IF( AND(SnapshotTable[[#This Row],[Equity Shares]] &gt;0,ISNUMBER( SnapshotTable[[#This Row],[Long Term Target]])),(SnapshotTable[[#This Row],[Equity Shares]]*SnapshotTable[[#This Row],[Long Term Target]]) - SnapshotTable[[#This Row],[Equity Value]],0)</f>
        <v>0</v>
      </c>
      <c r="AO40" s="150">
        <f>IF(AND(ISNUMBER( SnapshotTable[[#This Row],[Long Term Target]]), ISNUMBER(SnapshotTable[[#This Row],[Last Price]])),(SnapshotTable[[#This Row],[Long Term Target]] - SnapshotTable[[#This Row],[Last Price]]) / SnapshotTable[[#This Row],[Last Price]], "")</f>
        <v>4.1939120631341587E-2</v>
      </c>
      <c r="AP40" s="5">
        <v>8</v>
      </c>
      <c r="AQ40" s="38" t="s">
        <v>16</v>
      </c>
      <c r="AR40" s="5">
        <v>8</v>
      </c>
      <c r="AS40" s="38" t="s">
        <v>22</v>
      </c>
      <c r="AT40" s="144" t="s">
        <v>442</v>
      </c>
      <c r="AU40" s="185" t="str">
        <f>IF(OR(SnapshotTable[[#This Row],[LP No Fill]]="Y",SnapshotTable[[#This Row],[SP Is Filled]],SnapshotTable[[#This Row],[LC Not Filled]]="Y",SnapshotTable[[#This Row],[SC Is Filled]]),"Y","")</f>
        <v/>
      </c>
      <c r="AV40" s="205"/>
      <c r="AW40" s="211"/>
      <c r="AX40" s="206"/>
      <c r="AY40" s="205" t="str">
        <f>IF(SnapshotTable[[#This Row],[Implied Move]]&gt;0, SnapshotTable[[#This Row],[Last Price]]-SnapshotTable[[#This Row],[Implied Move]],"")</f>
        <v/>
      </c>
      <c r="AZ40" s="205" t="str">
        <f>IF(SnapshotTable[[#This Row],[Implied Move]]&gt;0, SnapshotTable[[#This Row],[Last Price]] + SnapshotTable[[#This Row],[Implied Move]],"")</f>
        <v/>
      </c>
      <c r="BA40" s="302">
        <v>18</v>
      </c>
      <c r="BB40" s="318"/>
      <c r="BC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0" s="321"/>
      <c r="BE40" s="5"/>
      <c r="BF40" s="14"/>
      <c r="BG40" s="13"/>
      <c r="BH40" s="13"/>
      <c r="BI40" s="5"/>
      <c r="BJ40" s="134">
        <f>IF(SnapshotTable[[#This Row],[LP Qty]] &gt; 0, SnapshotTable[[#This Row],[LP Qty]] * SnapshotTable[[#This Row],[LP Book Price]] * 100,0)</f>
        <v>0</v>
      </c>
      <c r="BK40" s="134">
        <f>IF(SnapshotTable[[#This Row],[LP Premium]] &gt; 0, SnapshotTable[[#This Row],[LP Qty]] * SnapshotTable[[#This Row],[LP Strike Price]] * 100,0)</f>
        <v>0</v>
      </c>
      <c r="BL40" s="152"/>
      <c r="BM40" s="355" t="str">
        <f>IF(SnapshotTable[[#This Row],[LP Premium]] &gt; 0,SnapshotTable[[#This Row],[LP Exp Date]]-MAX(SnapshotTable[[#This Row],[LP Book Date]], SnapshotTable[[#This Row],[LP Fill Date]]),"")</f>
        <v/>
      </c>
      <c r="BN40" s="355" t="str">
        <f>IF(ISNUMBER( SnapshotTable[[#This Row],[LP Term]]), SnapshotTable[[#This Row],[LP Exp Date]] - MockToday,"")</f>
        <v/>
      </c>
      <c r="BO40" s="161" t="str">
        <f>IF(AND(SnapshotTable[[#This Row],[LP Exp Date]]&gt;0, SnapshotTable[[#This Row],[LP Strike Price]]&gt;0,SnapshotTable[[#This Row],[LP Qty]]&gt;0,SnapshotTable[[#This Row],[LP Book Date]]&gt;0,SnapshotTable[[#This Row],[LP Book Price]]&gt;0,SnapshotTable[[#This Row],[LP Fill Date]]=0),"Y","")</f>
        <v/>
      </c>
      <c r="BP40" s="31" t="str">
        <f>IF(AND(SnapshotTable[[#This Row],[LP No Fill]]&lt;&gt;"Y",SnapshotTable[[#This Row],[LP Contract Value]]&gt;0, SnapshotTable[[#This Row],[LP Qty]]&gt;0), SnapshotTable[[#This Row],[LP Contract Value]]*SnapshotTable[[#This Row],[LP Qty]]*100,"")</f>
        <v/>
      </c>
      <c r="BQ40" s="13"/>
      <c r="BR40" s="5"/>
      <c r="BS40" s="36"/>
      <c r="BT40" s="145"/>
      <c r="BU40" s="13"/>
      <c r="BV40" s="5"/>
      <c r="BW40" s="382" t="b">
        <f>AND(ISNUMBER(SnapshotTable[[#This Row],[SP Exp Date]]), ISNUMBER(SnapshotTable[[#This Row],[SP Strike Price]]), ISNUMBER(SnapshotTable[[#This Row],[SP Qty]]), ISNUMBER(SnapshotTable[[#This Row],[SP Book Date]]), ISNUMBER(SnapshotTable[[#This Row],[SP Book Price]]))</f>
        <v>0</v>
      </c>
      <c r="BX40" s="382" t="b">
        <f>AND(SnapshotTable[[#This Row],[SP Is Booked]], NOT(ISBLANK(SnapshotTable[[#This Row],[SP Fill Date]])))</f>
        <v>0</v>
      </c>
      <c r="BY40" s="33">
        <f>IF(SnapshotTable[[#This Row],[SP Is Booked]], SnapshotTable[[#This Row],[SP Qty]] * SnapshotTable[[#This Row],[SP Book Price]] * 100, 0)</f>
        <v>0</v>
      </c>
      <c r="BZ40" s="339"/>
      <c r="CA40" s="338">
        <f>SnapshotTable[[#This Row],[LP Qty]]</f>
        <v>0</v>
      </c>
      <c r="CB40" s="4" t="str">
        <f>IF(SnapshotTable[[#This Row],[SP Is Booked]], SnapshotTable[[#This Row],[SP Strike Price]] - SnapshotTable[[#This Row],[SP Book Price]], "")</f>
        <v/>
      </c>
      <c r="CC40" s="19" t="str">
        <f>IF(SnapshotTable[[#This Row],[SP Is Booked]],SnapshotTable[[#This Row],[SP Exp Date]]-MAX(SnapshotTable[[#This Row],[SP Book Date]], SnapshotTable[[#This Row],[SP Fill Date]]),"")</f>
        <v/>
      </c>
      <c r="CD40" s="7" t="str">
        <f>IF(SnapshotTable[[#This Row],[SP Is Booked]], SnapshotTable[[#This Row],[SP Book Price]]/SnapshotTable[[#This Row],[SP Strike Price]], "")</f>
        <v/>
      </c>
      <c r="CE40" s="7" t="str">
        <f>IF(ISNUMBER(SnapshotTable[[#This Row],[SP ROO Term]]),SnapshotTable[[#This Row],[SP ROO Term]]*(365/SnapshotTable[[#This Row],[SP Term]]),"")</f>
        <v/>
      </c>
      <c r="CF40" s="221">
        <f>SnapshotTable[[#This Row],[LP Strike Price]] * SnapshotTable[[#This Row],[LP Qty]] * 100</f>
        <v>0</v>
      </c>
      <c r="CG40" s="31">
        <f>IF(ISNUMBER(SnapshotTable[[#This Row],[SP Premium]]), (SnapshotTable[[#This Row],[SP Qty]] * SnapshotTable[[#This Row],[SP Strike Price]]* 100) - SnapshotTable[[#This Row],[LP Protection]], 0)</f>
        <v>0</v>
      </c>
      <c r="CH40" s="7" t="str">
        <f>IF(ISNUMBER(SnapshotTable[[#This Row],[SP Break Even]]),-1 * (SnapshotTable[[#This Row],[SP Break Even]] - SnapshotTable[[#This Row],[Last Price]]) / SnapshotTable[[#This Row],[Last Price]], "")</f>
        <v/>
      </c>
      <c r="CI40" s="31">
        <f>IF(AND(ISNUMBER((SnapshotTable[[#This Row],[SP Potential Spend]])), SnapshotTable[[#This Row],[SP Strike Price]] &gt; SnapshotTable[[#This Row],[Last Price]], SnapshotTable[[#This Row],[SP Is Filled]]), SnapshotTable[[#This Row],[SP Potential Spend]] -  SnapshotTable[[#This Row],[LP Max Value]], 0)</f>
        <v>0</v>
      </c>
      <c r="CJ40" s="229"/>
      <c r="CK40" s="31">
        <f>IF(ISNUMBER(SnapshotTable[[#This Row],[SP Potential Spend]]),IF(ISNUMBER(SnapshotTable[[#This Row],[SP POW]]), SnapshotTable[[#This Row],[SP POW]] * SnapshotTable[[#This Row],[SP Potential Spend]], SnapshotTable[[#This Row],[SP Potential Spend]]), "")</f>
        <v>0</v>
      </c>
      <c r="CL40" s="162">
        <f>IF(NOT(SnapshotTable[[#This Row],[SP Is Filled]]),(SnapshotTable[[#This Row],[SP Qty]] * SnapshotTable[[#This Row],[SP Strike Price]] * 100) - SnapshotTable[[#This Row],[LP Max Value]],"")</f>
        <v>0</v>
      </c>
      <c r="CM40" s="31" t="str">
        <f>IF(SnapshotTable[[#This Row],[SP Actual Spend]]&lt;&gt;0, ((SnapshotTable[[#This Row],[SP Strike Price]]-SnapshotTable[[#This Row],[Last Price]]) *(SnapshotTable[[#This Row],[SP Qty]]*100) - SnapshotTable[[#This Row],[SP Premium]]) * - 1, "")</f>
        <v/>
      </c>
      <c r="CN40" s="76"/>
      <c r="CO40" s="339"/>
      <c r="CP40" s="4" t="str">
        <f>IF(SnapshotTable[[#This Row],[SP Is Filled]], btc_max_buyback_amount(SnapshotTable[[#This Row],[SP Fill Date]],SnapshotTable[[#This Row],[SP Exp Date]], SnapshotTable[[#This Row],[SP Book Price]]),"")</f>
        <v/>
      </c>
      <c r="CQ40" s="76"/>
      <c r="CR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0" s="153" t="str">
        <f>IF(SnapshotTable[[#This Row],[SP Is Filled]], btc_next_cutoff_date(SnapshotTable[[#This Row],[SP Fill Date]],SnapshotTable[[#This Row],[SP Exp Date]]),"")</f>
        <v/>
      </c>
      <c r="CT40" s="220" t="str" cm="1">
        <f t="array" ref="CT40">IF(SnapshotTable[[#This Row],[SP Is Filled]], btc_should_buy_back(SnapshotTable[[#This Row],[SP Fill Date]], SnapshotTable[[#This Row],[SP Exp Date]], SnapshotTable[[#This Row],[SP Book Price]], SnapshotTable[[#This Row],[SP Current Ask]], MockToday, SnapshotTable[[#This Row],[SP Buyback Override]]),"")</f>
        <v/>
      </c>
      <c r="CU40" s="141"/>
      <c r="CV40" s="220"/>
      <c r="CW40" s="348" t="str">
        <f>IF(ISNUMBER( SnapshotTable[[#This Row],[SP Term]]), SnapshotTable[[#This Row],[SP Exp Date]] - MockToday,"")</f>
        <v/>
      </c>
      <c r="CX40" s="31" t="str">
        <f>IF(SnapshotTable[[#This Row],[SP Is Filled]],SnapshotTable[[#This Row],[SP Buyback Price to Use]] * 100 * SnapshotTable[[#This Row],[SP Qty]], "")</f>
        <v/>
      </c>
      <c r="CY40" s="4" t="str">
        <f>IF(ISNUMBER(SnapshotTable[[#This Row],[SP Strike Price]]), SnapshotTable[[#This Row],[SP Strike Price]] * (1 - SP_MaxLoss_StrikePct), "")</f>
        <v/>
      </c>
      <c r="CZ40" s="31" t="str">
        <f>IF(ISNUMBER(SnapshotTable[[#This Row],[SP Strike  Stop Per Share]]),SnapshotTable[[#This Row],[SP Premium]] - ((SnapshotTable[[#This Row],[SP Strike Price]]-SnapshotTable[[#This Row],[SP Strike  Stop Per Share]]) *(SnapshotTable[[#This Row],[SP Qty]] * 100)),"")</f>
        <v/>
      </c>
      <c r="DA40" s="4" t="str">
        <f>IF(AND(ISNUMBER(SnapshotTable[[#This Row],[SP Premium]]),SnapshotTable[[#This Row],[SP Premium]]&gt;0), SnapshotTable[[#This Row],[SP Book Price]] * (1 + SP_MaxLoss_OptionPct), "")</f>
        <v/>
      </c>
      <c r="DB40" s="31" t="str">
        <f>IF(ISNUMBER(SnapshotTable[[#This Row],[SP Option  Stop Contract]]),(SnapshotTable[[#This Row],[SP Option  Stop Contract]] *(SnapshotTable[[#This Row],[SP Qty]] * 100) - SnapshotTable[[#This Row],[SP Premium]]),"")</f>
        <v/>
      </c>
      <c r="DC40" s="4"/>
      <c r="DD40" s="4"/>
      <c r="DE40" s="4" t="str">
        <f>IF(AND(SnapshotTable[[#This Row],[SP Qty]]&gt;0, SnapshotTable[[#This Row],[SP Stop To Use]]&gt;0),SnapshotTable[[#This Row],[SP Premium]] - ( SnapshotTable[[#This Row],[SP Qty]] * SnapshotTable[[#This Row],[SP Stop To Use]] * 100), "")</f>
        <v/>
      </c>
      <c r="DF40" s="31" t="str">
        <f>IF(AND(SnapshotTable[[#This Row],[SP Qty]]&gt;0,SnapshotTable[[#This Row],[SP Current Ask]]&gt;0), SnapshotTable[[#This Row],[SP Qty]] * SnapshotTable[[#This Row],[SP Current Ask]] * -100, "")</f>
        <v/>
      </c>
      <c r="DG40" s="31" t="str">
        <f>IF(ISNUMBER((SnapshotTable[[#This Row],[SP Total Value]])), SnapshotTable[[#This Row],[SP Premium]] + SnapshotTable[[#This Row],[SP Total Value]], "")</f>
        <v/>
      </c>
      <c r="DH40" s="272" t="str">
        <f>IF(ISNUMBER((SnapshotTable[[#This Row],[SP Total Value]])), SnapshotTable[[#This Row],[SP Gain Loss]] / SnapshotTable[[#This Row],[SP Premium]], "")</f>
        <v/>
      </c>
      <c r="DI40" s="369"/>
      <c r="DJ40" s="136"/>
      <c r="DK40" s="146"/>
      <c r="DL40" s="13"/>
      <c r="DM40" s="13"/>
      <c r="DN40" s="5"/>
      <c r="DO40" s="31">
        <f>IF(SnapshotTable[[#This Row],[LC Symbol Count]]=1, SnapshotTable[[#This Row],[LC Qty]] * SnapshotTable[[#This Row],[LC Book Price]] * 100, 0)</f>
        <v>0</v>
      </c>
      <c r="DP40" s="161" t="str">
        <f>IF(AND(SnapshotTable[[#This Row],[LC Exp Date]]&gt;0, SnapshotTable[[#This Row],[LC Strike Price]]&gt;0,SnapshotTable[[#This Row],[LC Qty]]&gt;0,SnapshotTable[[#This Row],[LC Book Date]]&gt;0,SnapshotTable[[#This Row],[LC Book Price]]&gt;0,SnapshotTable[[#This Row],[LC Fill Date]]=0),"Y","")</f>
        <v/>
      </c>
      <c r="DQ40" s="356" t="str">
        <f>IF(SnapshotTable[[#This Row],[LC Premium]] &gt; 0,SnapshotTable[[#This Row],[LC Exp Date]]-MAX(SnapshotTable[[#This Row],[LC Book Date]], SnapshotTable[[#This Row],[LC Fill Date]]),"")</f>
        <v/>
      </c>
      <c r="DR40" s="356" t="str">
        <f>IF(ISNUMBER(SnapshotTable[[#This Row],[LC Term]]), SnapshotTable[[#This Row],[LC Exp Date]] - MockToday, "")</f>
        <v/>
      </c>
      <c r="DS40" s="219" t="str">
        <f>IF(SnapshotTable[[#This Row],[LC Premium]]&gt;0,SnapshotTable[[#This Row],[LC Strike Price]] + SnapshotTable[[#This Row],[LC Book Price]],"")</f>
        <v/>
      </c>
      <c r="DT40" s="5"/>
      <c r="DU40" s="9" t="str">
        <f>IF(AND(SnapshotTable[[#This Row],[LC Symbol Count]]&gt;0, SnapshotTable[[#This Row],[LC Contract Value]]&gt;0), SnapshotTable[[#This Row],[LC Contract Value]] * SnapshotTable[[#This Row],[LC Qty]] * 100, "")</f>
        <v/>
      </c>
      <c r="DV40" s="9" t="str">
        <f>IF(AND(ISNUMBER(SnapshotTable[[#This Row],[LC Total Value]]), SnapshotTable[[#This Row],[LC Not Filled]]&lt;&gt;"Y"), SnapshotTable[[#This Row],[LC Total Value]]-SnapshotTable[[#This Row],[LC Premium]],"")</f>
        <v/>
      </c>
      <c r="DW40" s="225" t="str">
        <f>IF(ISNUMBER(SnapshotTable[[#This Row],[LC Actual Gain Loss]]), SnapshotTable[[#This Row],[LC Actual Gain Loss]] / SnapshotTable[[#This Row],[LC Premium]],"")</f>
        <v/>
      </c>
      <c r="DX40" s="269" t="str">
        <f>IF(ISNUMBER(SnapshotTable[[#This Row],[LC Book Price]]),SnapshotTable[[#This Row],[LC Book Price]] * 1.5,"")</f>
        <v/>
      </c>
      <c r="DY40" s="250" t="str">
        <f>IF(SnapshotTable[[#This Row],[LC Premium]]&gt;0, SnapshotTable[[#This Row],[LC Next Target]] * SnapshotTable[[#This Row],[LC Qty]] * 100,"")</f>
        <v/>
      </c>
      <c r="DZ40" s="250" t="str">
        <f>IF(ISNUMBER(SnapshotTable[[#This Row],[LC Target Gross]]), SnapshotTable[[#This Row],[LC Target Gross]] - SnapshotTable[[#This Row],[LC Premium]], "")</f>
        <v/>
      </c>
      <c r="EA40" s="283" t="str">
        <f>IF(ISNUMBER(SnapshotTable[[#This Row],[LC Target Gain Loss]]), SnapshotTable[[#This Row],[LC Target Gain Loss]]/SnapshotTable[[#This Row],[LC Premium]], "")</f>
        <v/>
      </c>
      <c r="EB40" s="247"/>
      <c r="EC40" s="268" t="str">
        <f>IF(SnapshotTable[[#This Row],[LC Premium]]&gt;0, SnapshotTable[[#This Row],[LC Book Price]] * (1 - LC_StopLoss_Pct),"")</f>
        <v/>
      </c>
      <c r="ED40" s="269"/>
      <c r="EE40" s="268" t="str">
        <f>IF(ISNUMBER(SnapshotTable[[#This Row],[LC Contract Value]]),IF(ISNUMBER(SnapshotTable[[#This Row],[LC Stop Loss Override]]), SnapshotTable[[#This Row],[LC Stop Loss Override]],SnapshotTable[[#This Row],[LC Stop Loss Calc Target]]),"")</f>
        <v/>
      </c>
      <c r="EF40" s="31" t="str">
        <f>IF(ISNUMBER(SnapshotTable[[#This Row],[LC Stop  To Use]]), (SnapshotTable[[#This Row],[LC Stop  To Use]] * SnapshotTable[[#This Row],[LC Qty]] * 100),"")</f>
        <v/>
      </c>
      <c r="EG40" s="9" t="str">
        <f>IF(ISNUMBER(SnapshotTable[[#This Row],[LC Total Value]]),SnapshotTable[[#This Row],[LC Stop Loss Amount]] - SnapshotTable[[#This Row],[LC Premium]],"")</f>
        <v/>
      </c>
      <c r="EH40" s="9">
        <f>IF(ISNUMBER(SnapshotTable[[#This Row],[LC Premium]]), SnapshotTable[[#This Row],[LC Qty]] * 100 * SnapshotTable[[#This Row],[LC Strike Price]], "")</f>
        <v>0</v>
      </c>
      <c r="EI40" s="225" t="str">
        <f>IF(AND(ISNUMBER(SnapshotTable[[#This Row],[LC Total Value]]),SnapshotTable[[#This Row],[LC Total Value]]&gt;0),SnapshotTable[[#This Row],[LC Stop Gain Loss]]  / SnapshotTable[[#This Row],[LC Premium]],"")</f>
        <v/>
      </c>
      <c r="EJ40" s="35">
        <f>IF(ISNUMBER(SnapshotTable[[#This Row],[Equity Shares]]),TRUNC(SnapshotTable[[#This Row],[Equity Shares]] / 100),0) + SnapshotTable[[#This Row],[LC Qty]]</f>
        <v>0</v>
      </c>
      <c r="EK40" s="145"/>
      <c r="EL40" s="136"/>
      <c r="EM40" s="146"/>
      <c r="EN40" s="145"/>
      <c r="EO40" s="145"/>
      <c r="EP40" s="136"/>
      <c r="EQ40" s="382" t="b">
        <f>AND(ISNUMBER(SnapshotTable[[#This Row],[SC Exp Date]]), ISNUMBER(SnapshotTable[[#This Row],[SC Strike Price]]), ISNUMBER(SnapshotTable[[#This Row],[SC Qty]]), ISNUMBER(SnapshotTable[[#This Row],[SC Book Date]]), ISNUMBER(SnapshotTable[[#This Row],[SC Book Price]]))</f>
        <v>0</v>
      </c>
      <c r="ER40" s="382" t="b">
        <f>AND(SnapshotTable[[#This Row],[SC Is Booked]], NOT(ISBLANK(SnapshotTable[[#This Row],[SC Fill Date]])))</f>
        <v>0</v>
      </c>
      <c r="ES40" s="340"/>
      <c r="ET40" s="34" t="str">
        <f>IF(AND(ISNUMBER(SnapshotTable[[#This Row],[SC Exp Date]]), ISNUMBER(SnapshotTable[[#This Row],[SC Book Date]])), SnapshotTable[[#This Row],[SC Exp Date]] - MAX(SnapshotTable[[#This Row],[SC Book Date]], SnapshotTable[[#This Row],[SC Fill Date]]) + 1, "")</f>
        <v/>
      </c>
      <c r="EU40" s="34" t="str">
        <f>IF(ISNUMBER(SnapshotTable[[#This Row],[SC Term]]), SnapshotTable[[#This Row],[SC Exp Date]]- MockToday, "")</f>
        <v/>
      </c>
      <c r="EV40" s="31">
        <f>IF(SnapshotTable[[#This Row],[SC Is Booked]], SnapshotTable[[#This Row],[SC Qty]] * SnapshotTable[[#This Row],[SC Book Price]] * 100, 0)</f>
        <v>0</v>
      </c>
      <c r="EW40" s="4" t="str">
        <f>IF(AND(ISNUMBER(SnapshotTable[[#This Row],[Last Price]]), ISNUMBER( SnapshotTable[[#This Row],[SC Book Price]])), SnapshotTable[[#This Row],[Last Price]] - SnapshotTable[[#This Row],[SC Book Price]],"")</f>
        <v/>
      </c>
      <c r="EX40" s="219" t="str">
        <f>IF(SnapshotTable[[#This Row],[SC Is Booked]],IF(SnapshotTable[[#This Row],[SC Intrinsic Value]] &gt; 0, SnapshotTable[[#This Row],[SC Strike Price]], SnapshotTable[[#This Row],[Last Price]]), "")</f>
        <v/>
      </c>
      <c r="EY40" s="4">
        <f>IF(SnapshotTable[[#This Row],[SC Is Booked]], (MinimumPremiumRequired * SnapshotTable[[#This Row],[SC Basis]] * SnapshotTable[[#This Row],[SC Term]]), 0)</f>
        <v>0</v>
      </c>
      <c r="EZ40" s="268"/>
      <c r="FA40" s="204"/>
      <c r="FB40" s="340"/>
      <c r="FC40" s="4">
        <f>IF(SnapshotTable[[#This Row],[SC Is Filled]], btc_max_buyback_amount(SnapshotTable[[#This Row],[SC Fill Date]],SnapshotTable[[#This Row],[SC Exp Date]], SnapshotTable[[#This Row],[SC Book Price]]),0)</f>
        <v>0</v>
      </c>
      <c r="FD40" s="5"/>
      <c r="FE40" s="142" t="str">
        <f>IF(SnapshotTable[[#This Row],[SC Is Filled]], btc_next_cutoff_date(SnapshotTable[[#This Row],[SC Fill Date]],SnapshotTable[[#This Row],[SC Exp Date]]),"")</f>
        <v/>
      </c>
      <c r="FF40" s="4" t="str" cm="1">
        <f t="array" ref="FF40">IF(SnapshotTable[[#This Row],[SC Is Filled]], btc_should_buy_back(SnapshotTable[[#This Row],[SC Fill Date]], SnapshotTable[[#This Row],[SC Exp Date]], SnapshotTable[[#This Row],[SC Book Price]], SnapshotTable[[#This Row],[SC Current Ask]], MockToday, SnapshotTable[[#This Row],[SC Buyback Override]]),"")</f>
        <v/>
      </c>
      <c r="FG40" s="4">
        <f>IF(SnapshotTable[[#This Row],[SC Is Filled]], MAX(0,SnapshotTable[[#This Row],[Last Price]]  - SnapshotTable[[#This Row],[SC Strike Price]]), 0)</f>
        <v>0</v>
      </c>
      <c r="FH40" s="352">
        <f>IF(SnapshotTable[[#This Row],[SC Is Filled]], IF(ISNUMBER(SnapshotTable[[#This Row],[SC Current Ask]]), SnapshotTable[[#This Row],[SC Current Ask]], SnapshotTable[[#This Row],[SC Book Price]]) - SnapshotTable[[#This Row],[SC Intrinsic Value]], 0)</f>
        <v>0</v>
      </c>
      <c r="FI40" s="141"/>
      <c r="FJ40" s="32" t="str">
        <f>IF(SnapshotTable[[#This Row],[SC Is Filled]],100 * SnapshotTable[[#This Row],[SC Qty]] * IF(ISNUMBER(SnapshotTable[[#This Row],[SC Buyback Override]]), SnapshotTable[[#This Row],[SC Buyback Override]], SnapshotTable[[#This Row],[SC Current Ask]]), "")</f>
        <v/>
      </c>
      <c r="FK40" s="235" t="str">
        <f>IF(SnapshotTable[[#This Row],[SC Time Val]]&gt;0, SnapshotTable[[#This Row],[SC Time Val]] / SnapshotTable[[#This Row],[Last Price]],"")</f>
        <v/>
      </c>
      <c r="FL40" s="280" t="str">
        <f>IF(SnapshotTable[[#This Row],[SC Is Booked]], ((SnapshotTable[[#This Row],[Last Price]] -SnapshotTable[[#This Row],[SC Strike Price]]) / SnapshotTable[[#This Row],[Last Price]]) * -1, "")</f>
        <v/>
      </c>
      <c r="FM40" s="155" t="str">
        <f>IF(SnapshotTable[[#This Row],[SC Is Booked]],  (SnapshotTable[[#This Row],[SC Qty]] * 100 * SnapshotTable[[#This Row],[SC Strike Price]]) - SnapshotTable[[#This Row],[SC Current Ask]], "")</f>
        <v/>
      </c>
      <c r="FN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0" s="31" t="str">
        <f>IF(AND(ISNUMBER(SnapshotTable[[#This Row],[SC Exercise Gross]]), ISNUMBER(SnapshotTable[[#This Row],[Equity Basis Per Share]] )), SnapshotTable[[#This Row],[SC Exercise Gross]] - SnapshotTable[[#This Row],[Equity Basis Total]] +  SnapshotTable[[#This Row],[SC Premium]], "")</f>
        <v/>
      </c>
      <c r="FP40" s="5" t="str">
        <f>IF(ISNUMBER(SnapshotTable[[#This Row],[SC Exercise Gross]]), (SnapshotTable[[#This Row],[SC Exercise Gross]]) / (SnapshotTable[[#This Row],[SC Qty]] * 100), "")</f>
        <v/>
      </c>
      <c r="FQ40" s="27" t="str">
        <f>IF(SnapshotTable[[#This Row],[SC Is Booked]],SnapshotTable[[#This Row],[SC Time Val]] /SnapshotTable[[#This Row],[SC Basis]], "")</f>
        <v/>
      </c>
      <c r="FR40" s="27" t="str" cm="1">
        <f t="array" ref="FR40">IF(AND(ISNUMBER(SnapshotTable[[#This Row],[SC Term]]),ISNUMBER(SnapshotTable[[#This Row],[SC Simple ROO]])), EllmanAnnualize(SnapshotTable[[#This Row],[SC DTE]], SnapshotTable[[#This Row],[SC Simple ROO]] ),"")</f>
        <v/>
      </c>
      <c r="FS40" s="4">
        <f>IF(SnapshotTable[[#This Row],[SC Strike Price]] &gt; SnapshotTable[[#This Row],[Last Price]], SnapshotTable[[#This Row],[SC Strike Price]] - SnapshotTable[[#This Row],[Last Price]],0)</f>
        <v>0</v>
      </c>
      <c r="FT40" s="27" t="str">
        <f>IF(AND(ISNUMBER(SnapshotTable[[#This Row],[SC Upside Potential]]), SnapshotTable[[#This Row],[SC Upside Potential]] &gt; 0),(SnapshotTable[[#This Row],[SC Upside Potential]]/ SnapshotTable[[#This Row],[ACB]]),"")</f>
        <v/>
      </c>
      <c r="FU40" s="304" t="str">
        <f>IF(SnapshotTable[[#This Row],[SC Intrinsic Value]] &gt; 0,SnapshotTable[[#This Row],[SC Intrinsic Value]],"")</f>
        <v/>
      </c>
      <c r="FV40" s="27" t="str">
        <f>IF(AND( ISNUMBER( SnapshotTable[[#This Row],[ACB]]),ISNUMBER(SnapshotTable[[#This Row],[SC Downside Protect]])),SnapshotTable[[#This Row],[SC Downside Protect]] / SnapshotTable[[#This Row],[ACB]],"")</f>
        <v/>
      </c>
      <c r="FW40" s="221" t="str">
        <f>IF(AND(ISNUMBER(SnapshotTable[[#This Row],[SC Simple ROO]]),SnapshotTable[[#This Row],[SC Simple ROO]] &gt; 0), SnapshotTable[[#This Row],[SC Premium]] + (SnapshotTable[[#This Row],[SC Qty]] * SnapshotTable[[#This Row],[SC Upside Potential]]), "")</f>
        <v/>
      </c>
      <c r="FX40" s="280" t="str" cm="1">
        <f t="array" ref="FX40">IF(ISNUMBER(SnapshotTable[[#This Row],[SC Max Dollars]]), annualize(SnapshotTable[[#This Row],[SC Term]],(SnapshotTable[[#This Row],[SC Max Dollars]]/SnapshotTable[[#This Row],[SC Basis]])),"")</f>
        <v/>
      </c>
      <c r="FY40" s="221" t="str">
        <f>IF(AND(SnapshotTable[[#This Row],[SC Qty]]&gt;0,SnapshotTable[[#This Row],[SC Current Ask]]&gt;0), SnapshotTable[[#This Row],[SC Qty]] * SnapshotTable[[#This Row],[SC Current Ask]] * -100, "")</f>
        <v/>
      </c>
      <c r="FZ40" s="31" t="str">
        <f>IF(ISNUMBER((SnapshotTable[[#This Row],[SC Current Value]])), SnapshotTable[[#This Row],[SC Premium]] + SnapshotTable[[#This Row],[SC Current Value]], "")</f>
        <v/>
      </c>
      <c r="GA40" s="272" t="str">
        <f>IFERROR( IF(ISNUMBER((SnapshotTable[[#This Row],[SC Current Value]])), SnapshotTable[[#This Row],[SC Gain Loss]] / SnapshotTable[[#This Row],[SC Premium]], ""), "")</f>
        <v/>
      </c>
      <c r="GB40" s="42">
        <f>SnapshotTable[[#This Row],[Equity Shares]] * SaleSharesToConsiderPercentage</f>
        <v>0</v>
      </c>
      <c r="GC40" s="40">
        <f>SnapshotTable[[#This Row],[Long Term Target]] * SellingPriceToConsiderBasedOnTargetPercentage</f>
        <v>87.798999999999992</v>
      </c>
      <c r="GD40" s="40">
        <f>SnapshotTable[[#This Row],[Last Price]] * (1+ SellingPriceToConsiderBasedOnTargetPercentage)</f>
        <v>172.965</v>
      </c>
      <c r="GE40" s="41"/>
      <c r="GF40" s="40"/>
      <c r="GG40" s="31">
        <f>SnapshotTable[[#This Row],[Booked Sale Shares]] * SnapshotTable[[#This Row],[Booked Sale Price]]</f>
        <v>0</v>
      </c>
      <c r="GH40" s="31" t="str">
        <f>IF(SnapshotTable[[#This Row],[Equity Basis Total]] &gt; 0, SnapshotTable[[#This Row],[Equity Basis Per Share]] * SnapshotTable[[#This Row],[Booked Sale Shares]], "")</f>
        <v/>
      </c>
      <c r="GI40" s="31">
        <f>IF(SnapshotTable[[#This Row],[Sale Proceeds]]&gt;0, SnapshotTable[[#This Row],[Sale Proceeds]] - SnapshotTable[[#This Row],[Sale Basis]], 0)</f>
        <v>0</v>
      </c>
      <c r="GJ40" s="27" t="str">
        <f>IF(SnapshotTable[[#This Row],[Sale G/L]]&gt;0, SnapshotTable[[#This Row],[Sale G/L]] / SnapshotTable[[#This Row],[Sale Basis]], IF(ISNUMBER(SnapshotTable[[#This Row],[SC Exercise P&amp;L (TAX)]]), SnapshotTable[[#This Row],[SC Exercise P&amp;L (TAX)]] / SnapshotTable[[#This Row],[SC Basis]], ""))</f>
        <v/>
      </c>
      <c r="GK40" s="27" t="s">
        <v>521</v>
      </c>
      <c r="GL40" s="43" t="str">
        <f>IF(AND(SnapshotTable[[#This Row],[LP Exp Date]]&gt;0,SnapshotTable[[#This Row],[LP Strike Price]]&gt;0), [1]!ToOptionSymbol(SnapshotTable[[#This Row],[Symbol]], SnapshotTable[[#This Row],[LP Strike Price]],SnapshotTable[[#This Row],[LP Exp Date]],1), "")</f>
        <v/>
      </c>
      <c r="GM40" s="30" t="str">
        <f>IF(LEN(SnapshotTable[[#This Row],[LP Symbol]])&gt;0, 1, "")</f>
        <v/>
      </c>
      <c r="GN40" s="43" t="str">
        <f>IF(AND(SnapshotTable[[#This Row],[SP Exp Date]]&gt;0,SnapshotTable[[#This Row],[SP Strike Price]]&gt;0), [1]!ToOptionSymbol(SnapshotTable[[#This Row],[Symbol]], SnapshotTable[[#This Row],[SP Strike Price]],SnapshotTable[[#This Row],[SP Exp Date]],1), "")</f>
        <v/>
      </c>
      <c r="GO40" s="30" t="str">
        <f>IF(LEN(SnapshotTable[[#This Row],[SP Symbol]])&gt;0, 1, "")</f>
        <v/>
      </c>
      <c r="GP40" s="43" t="str">
        <f>IF(AND(SnapshotTable[[#This Row],[LC Exp Date]]&gt;0,SnapshotTable[[#This Row],[LC Strike Price]]&gt;0), [1]!ToOptionSymbol(SnapshotTable[[#This Row],[Symbol]], SnapshotTable[[#This Row],[LC Strike Price]],SnapshotTable[[#This Row],[LC Exp Date]],0), "")</f>
        <v/>
      </c>
      <c r="GQ40" s="30" t="str">
        <f>IF(LEN(SnapshotTable[[#This Row],[LC Symbol]])&gt;0, 1, "")</f>
        <v/>
      </c>
      <c r="GR40" s="43" t="str">
        <f>IF(AND(SnapshotTable[[#This Row],[SC Exp Date]]&gt;0,SnapshotTable[[#This Row],[SC Strike Price]]&gt;0), [1]!ToOptionSymbol(SnapshotTable[[#This Row],[Symbol]], SnapshotTable[[#This Row],[SC Strike Price]],SnapshotTable[[#This Row],[SC Exp Date]],0), "")</f>
        <v/>
      </c>
      <c r="GS40" s="30" t="str">
        <f>IF(LEN(SnapshotTable[[#This Row],[SC Symbol]])&gt;0, 1, "")</f>
        <v/>
      </c>
      <c r="GT40" s="29" t="str">
        <f>IF(COUNT(SnapshotTable[[#This Row],[LP Symbol Count]],SnapshotTable[[#This Row],[SP Symbol Count]],SnapshotTable[[#This Row],[LC Symbol Count]],SnapshotTable[[#This Row],[SC Symbol Count]])&gt;0, "Y", "")</f>
        <v/>
      </c>
      <c r="GU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0" s="216">
        <f>MAX(SnapshotTable[[#This Row],[Equity Basis Total]],SnapshotTable[[#This Row],[Equity Value]]) + (SnapshotTable[[#This Row],[SP Potential Spend]]- SnapshotTable[[#This Row],[SP Premium]] + SnapshotTable[[#This Row],[LP Premium]])+ (SnapshotTable[[#This Row],[LC Premium]] - SnapshotTable[[#This Row],[SC Premium]])</f>
        <v>0</v>
      </c>
      <c r="GW40" s="137" t="str">
        <f>IF(AND(SnapshotTable[[#This Row],[Exposure]] &lt;&gt; 0),SnapshotTable[[#This Row],[Exposure]] / SnapshotTable[[#Totals],[Exposure]], "")</f>
        <v/>
      </c>
      <c r="GY40" s="351"/>
      <c r="HE40" s="253"/>
      <c r="HF40" s="253"/>
      <c r="HG40" s="351"/>
      <c r="HH40" s="351"/>
      <c r="HI40" s="351"/>
      <c r="HJ40" s="351"/>
    </row>
    <row r="41" spans="2:224" s="45" customFormat="1" ht="12.75" hidden="1" customHeight="1" x14ac:dyDescent="0.25">
      <c r="B41" s="12" t="s">
        <v>937</v>
      </c>
      <c r="C41" s="385">
        <v>61.95</v>
      </c>
      <c r="D41" s="200"/>
      <c r="E41" s="39">
        <f>SnapshotTable[[#This Row],[Last Price]]*(1 -CrashDiscount)</f>
        <v>52.657499999999999</v>
      </c>
      <c r="F41" s="26" t="s">
        <v>137</v>
      </c>
      <c r="G41" s="296" t="s">
        <v>7</v>
      </c>
      <c r="H41" s="147"/>
      <c r="I41" s="186"/>
      <c r="J41" s="187"/>
      <c r="K41" s="188"/>
      <c r="L41" s="297"/>
      <c r="M41" s="138"/>
      <c r="N41" s="138"/>
      <c r="O41" s="138"/>
      <c r="P41" s="22"/>
      <c r="Q41" s="25"/>
      <c r="R41" s="4" t="str">
        <f>IF(SnapshotTable[[#This Row],[Equity Basis Total]] &gt; 0, SnapshotTable[[#This Row],[Equity Basis Total]] / SnapshotTable[[#This Row],[Equity Shares]], "")</f>
        <v/>
      </c>
      <c r="S41" s="254">
        <f>SnapshotTable[[#This Row],[Last Price]] * SnapshotTable[[#This Row],[Equity Shares]]</f>
        <v>0</v>
      </c>
      <c r="T41" s="254">
        <f>SnapshotTable[[#This Row],[Equity Value]] - SnapshotTable[[#This Row],[Equity Basis Total]]</f>
        <v>0</v>
      </c>
      <c r="U41" s="255" t="str">
        <f>IF(SnapshotTable[[#This Row],[Equity Basis Total]] &gt; 0, SnapshotTable[[#This Row],[Equity G/L]] / SnapshotTable[[#This Row],[Equity Basis Total]], "")</f>
        <v/>
      </c>
      <c r="V41" s="253"/>
      <c r="W41" s="253"/>
      <c r="X41" s="4" t="str">
        <f>IF(AND(ISNUMBER(SnapshotTable[[#This Row],[Equity Basis Per Share]]),ISNUMBER(SnapshotTable[[#This Row],[Equity Target]])),SnapshotTable[[#This Row],[Equity Target]]-SnapshotTable[[#This Row],[Equity Basis Per Share]],"")</f>
        <v/>
      </c>
      <c r="Y41" s="4" t="str">
        <f>IF(AND(ISNUMBER(SnapshotTable[[#This Row],[Equity Basis Per Share]]),ISNUMBER(SnapshotTable[[#This Row],[Equity Stop Loss]])),SnapshotTable[[#This Row],[Equity Stop Loss]]-SnapshotTable[[#This Row],[Equity Basis Per Share]],"")</f>
        <v/>
      </c>
      <c r="Z41" s="260" t="str">
        <f>IFERROR( TEXT(SnapshotTable[[#This Row],[Equity Max Gain Per Share]] /ABS( SnapshotTable[[#This Row],[Equity Max Loss Per Share]]),"0.0 " ) &amp; " : 1", "")</f>
        <v/>
      </c>
      <c r="AA41" s="31" t="str">
        <f>IF(ISNUMBER(SnapshotTable[[#This Row],[Equity Max Gain Per Share]]),SnapshotTable[[#This Row],[Equity Max Gain Per Share]] * SnapshotTable[[#This Row],[Equity Shares]],"")</f>
        <v/>
      </c>
      <c r="AB41" s="31" t="str">
        <f>IF(ISNUMBER(SnapshotTable[[#This Row],[Equity Max Loss Per Share]]),SnapshotTable[[#This Row],[Equity Max Loss Per Share]] * SnapshotTable[[#This Row],[Equity Shares]],"")</f>
        <v/>
      </c>
      <c r="AC41" s="148"/>
      <c r="AD41" s="149"/>
      <c r="AE41" s="31">
        <f>(SnapshotTable[[#This Row],[Annual Dividend Per Share]] / 4) * SnapshotTable[[#This Row],[Equity Shares]]</f>
        <v>0</v>
      </c>
      <c r="AF41" s="31">
        <f>SnapshotTable[[#This Row],[Quarterly Div $]] * 4</f>
        <v>0</v>
      </c>
      <c r="AG41" s="7">
        <f>IF(SnapshotTable[[#This Row],[Annual Dividend Per Share]]&gt;0, SnapshotTable[[#This Row],[Annual Dividend Per Share]]  / SnapshotTable[[#This Row],[Last Price]], 0)</f>
        <v>0</v>
      </c>
      <c r="AH41" s="149"/>
      <c r="AI41" s="5"/>
      <c r="AJ41" s="136"/>
      <c r="AK41" s="150" t="str">
        <f>IF(ISNUMBER( SnapshotTable[[#This Row],[EBF Target]]),(SnapshotTable[[#This Row],[EBF Target]] - SnapshotTable[[#This Row],[Last Price]]) / SnapshotTable[[#This Row],[Last Price]], "")</f>
        <v/>
      </c>
      <c r="AL41" s="150" t="str">
        <f>IF(AND(SnapshotTable[[#This Row],[Equity Basis Total]] &gt; 0,ISNUMBER( SnapshotTable[[#This Row],[Long Term Target]])), SnapshotTable[[#This Row],[From Basis $]] / SnapshotTable[[#This Row],[Equity Basis Total]], "")</f>
        <v/>
      </c>
      <c r="AM41" s="9">
        <f>IF( AND(SnapshotTable[[#This Row],[Equity Shares]] &gt;0,ISNUMBER( SnapshotTable[[#This Row],[Long Term Target]])),(SnapshotTable[[#This Row],[Equity Shares]] * SnapshotTable[[#This Row],[Long Term Target]]) - SnapshotTable[[#This Row],[Equity Basis Total]],0)</f>
        <v>0</v>
      </c>
      <c r="AN41" s="9">
        <f>IF( AND(SnapshotTable[[#This Row],[Equity Shares]] &gt;0,ISNUMBER( SnapshotTable[[#This Row],[Long Term Target]])),(SnapshotTable[[#This Row],[Equity Shares]]*SnapshotTable[[#This Row],[Long Term Target]]) - SnapshotTable[[#This Row],[Equity Value]],0)</f>
        <v>0</v>
      </c>
      <c r="AO41" s="150" t="str">
        <f>IF(AND(ISNUMBER( SnapshotTable[[#This Row],[Long Term Target]]), ISNUMBER(SnapshotTable[[#This Row],[Last Price]])),(SnapshotTable[[#This Row],[Long Term Target]] - SnapshotTable[[#This Row],[Last Price]]) / SnapshotTable[[#This Row],[Last Price]], "")</f>
        <v/>
      </c>
      <c r="AP41" s="5">
        <v>17.5</v>
      </c>
      <c r="AQ41" s="38" t="s">
        <v>22</v>
      </c>
      <c r="AR41" s="5">
        <v>17.5</v>
      </c>
      <c r="AS41" s="38" t="s">
        <v>15</v>
      </c>
      <c r="AT41" s="144" t="s">
        <v>438</v>
      </c>
      <c r="AU41" s="185" t="str">
        <f>IF(OR(SnapshotTable[[#This Row],[LP No Fill]]="Y",SnapshotTable[[#This Row],[SP Is Filled]],SnapshotTable[[#This Row],[LC Not Filled]]="Y",SnapshotTable[[#This Row],[SC Is Filled]]),"Y","")</f>
        <v/>
      </c>
      <c r="AV41" s="205"/>
      <c r="AW41" s="211"/>
      <c r="AX41" s="206"/>
      <c r="AY41" s="205" t="str">
        <f>IF(SnapshotTable[[#This Row],[Implied Move]]&gt;0, SnapshotTable[[#This Row],[Last Price]]-SnapshotTable[[#This Row],[Implied Move]],"")</f>
        <v/>
      </c>
      <c r="AZ41" s="205" t="str">
        <f>IF(SnapshotTable[[#This Row],[Implied Move]]&gt;0, SnapshotTable[[#This Row],[Last Price]] + SnapshotTable[[#This Row],[Implied Move]],"")</f>
        <v/>
      </c>
      <c r="BA41" s="302">
        <v>16.45</v>
      </c>
      <c r="BB41" s="318"/>
      <c r="BC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1" s="321"/>
      <c r="BE41" s="5"/>
      <c r="BF41" s="14"/>
      <c r="BG41" s="13"/>
      <c r="BH41" s="13"/>
      <c r="BI41" s="5"/>
      <c r="BJ41" s="134">
        <f>IF(SnapshotTable[[#This Row],[LP Qty]] &gt; 0, SnapshotTable[[#This Row],[LP Qty]] * SnapshotTable[[#This Row],[LP Book Price]] * 100,0)</f>
        <v>0</v>
      </c>
      <c r="BK41" s="134">
        <f>IF(SnapshotTable[[#This Row],[LP Premium]] &gt; 0, SnapshotTable[[#This Row],[LP Qty]] * SnapshotTable[[#This Row],[LP Strike Price]] * 100,0)</f>
        <v>0</v>
      </c>
      <c r="BL41" s="152"/>
      <c r="BM41" s="355" t="str">
        <f>IF(SnapshotTable[[#This Row],[LP Premium]] &gt; 0,SnapshotTable[[#This Row],[LP Exp Date]]-MAX(SnapshotTable[[#This Row],[LP Book Date]], SnapshotTable[[#This Row],[LP Fill Date]]),"")</f>
        <v/>
      </c>
      <c r="BN41" s="355" t="str">
        <f>IF(ISNUMBER( SnapshotTable[[#This Row],[LP Term]]), SnapshotTable[[#This Row],[LP Exp Date]] - MockToday,"")</f>
        <v/>
      </c>
      <c r="BO41" s="161" t="str">
        <f>IF(AND(SnapshotTable[[#This Row],[LP Exp Date]]&gt;0, SnapshotTable[[#This Row],[LP Strike Price]]&gt;0,SnapshotTable[[#This Row],[LP Qty]]&gt;0,SnapshotTable[[#This Row],[LP Book Date]]&gt;0,SnapshotTable[[#This Row],[LP Book Price]]&gt;0,SnapshotTable[[#This Row],[LP Fill Date]]=0),"Y","")</f>
        <v/>
      </c>
      <c r="BP41" s="31" t="str">
        <f>IF(AND(SnapshotTable[[#This Row],[LP No Fill]]&lt;&gt;"Y",SnapshotTable[[#This Row],[LP Contract Value]]&gt;0, SnapshotTable[[#This Row],[LP Qty]]&gt;0), SnapshotTable[[#This Row],[LP Contract Value]]*SnapshotTable[[#This Row],[LP Qty]]*100,"")</f>
        <v/>
      </c>
      <c r="BQ41" s="13"/>
      <c r="BR41" s="5"/>
      <c r="BS41" s="36"/>
      <c r="BT41" s="145"/>
      <c r="BU41" s="13"/>
      <c r="BV41" s="5"/>
      <c r="BW41" s="382" t="b">
        <f>AND(ISNUMBER(SnapshotTable[[#This Row],[SP Exp Date]]), ISNUMBER(SnapshotTable[[#This Row],[SP Strike Price]]), ISNUMBER(SnapshotTable[[#This Row],[SP Qty]]), ISNUMBER(SnapshotTable[[#This Row],[SP Book Date]]), ISNUMBER(SnapshotTable[[#This Row],[SP Book Price]]))</f>
        <v>0</v>
      </c>
      <c r="BX41" s="382" t="b">
        <f>AND(SnapshotTable[[#This Row],[SP Is Booked]], NOT(ISBLANK(SnapshotTable[[#This Row],[SP Fill Date]])))</f>
        <v>0</v>
      </c>
      <c r="BY41" s="33">
        <f>IF(SnapshotTable[[#This Row],[SP Is Booked]], SnapshotTable[[#This Row],[SP Qty]] * SnapshotTable[[#This Row],[SP Book Price]] * 100, 0)</f>
        <v>0</v>
      </c>
      <c r="BZ41" s="339"/>
      <c r="CA41" s="338">
        <f>SnapshotTable[[#This Row],[LP Qty]]</f>
        <v>0</v>
      </c>
      <c r="CB41" s="4" t="str">
        <f>IF(SnapshotTable[[#This Row],[SP Is Booked]], SnapshotTable[[#This Row],[SP Strike Price]] - SnapshotTable[[#This Row],[SP Book Price]], "")</f>
        <v/>
      </c>
      <c r="CC41" s="19" t="str">
        <f>IF(SnapshotTable[[#This Row],[SP Is Booked]],SnapshotTable[[#This Row],[SP Exp Date]]-MAX(SnapshotTable[[#This Row],[SP Book Date]], SnapshotTable[[#This Row],[SP Fill Date]]),"")</f>
        <v/>
      </c>
      <c r="CD41" s="7" t="str">
        <f>IF(SnapshotTable[[#This Row],[SP Is Booked]], SnapshotTable[[#This Row],[SP Book Price]]/SnapshotTable[[#This Row],[SP Strike Price]], "")</f>
        <v/>
      </c>
      <c r="CE41" s="7" t="str">
        <f>IF(ISNUMBER(SnapshotTable[[#This Row],[SP ROO Term]]),SnapshotTable[[#This Row],[SP ROO Term]]*(365/SnapshotTable[[#This Row],[SP Term]]),"")</f>
        <v/>
      </c>
      <c r="CF41" s="221">
        <f>SnapshotTable[[#This Row],[LP Strike Price]] * SnapshotTable[[#This Row],[LP Qty]] * 100</f>
        <v>0</v>
      </c>
      <c r="CG41" s="31">
        <f>IF(ISNUMBER(SnapshotTable[[#This Row],[SP Premium]]), (SnapshotTable[[#This Row],[SP Qty]] * SnapshotTable[[#This Row],[SP Strike Price]]* 100) - SnapshotTable[[#This Row],[LP Protection]], 0)</f>
        <v>0</v>
      </c>
      <c r="CH41" s="7" t="str">
        <f>IF(ISNUMBER(SnapshotTable[[#This Row],[SP Break Even]]),-1 * (SnapshotTable[[#This Row],[SP Break Even]] - SnapshotTable[[#This Row],[Last Price]]) / SnapshotTable[[#This Row],[Last Price]], "")</f>
        <v/>
      </c>
      <c r="CI41" s="31">
        <f>IF(AND(ISNUMBER((SnapshotTable[[#This Row],[SP Potential Spend]])), SnapshotTable[[#This Row],[SP Strike Price]] &gt; SnapshotTable[[#This Row],[Last Price]], SnapshotTable[[#This Row],[SP Is Filled]]), SnapshotTable[[#This Row],[SP Potential Spend]] -  SnapshotTable[[#This Row],[LP Max Value]], 0)</f>
        <v>0</v>
      </c>
      <c r="CJ41" s="229">
        <v>0.01</v>
      </c>
      <c r="CK41" s="31">
        <f>IF(ISNUMBER(SnapshotTable[[#This Row],[SP Potential Spend]]),IF(ISNUMBER(SnapshotTable[[#This Row],[SP POW]]), SnapshotTable[[#This Row],[SP POW]] * SnapshotTable[[#This Row],[SP Potential Spend]], SnapshotTable[[#This Row],[SP Potential Spend]]), "")</f>
        <v>0</v>
      </c>
      <c r="CL41" s="162">
        <f>IF(NOT(SnapshotTable[[#This Row],[SP Is Filled]]),(SnapshotTable[[#This Row],[SP Qty]] * SnapshotTable[[#This Row],[SP Strike Price]] * 100) - SnapshotTable[[#This Row],[LP Max Value]],"")</f>
        <v>0</v>
      </c>
      <c r="CM41" s="31" t="str">
        <f>IF(SnapshotTable[[#This Row],[SP Actual Spend]]&lt;&gt;0, ((SnapshotTable[[#This Row],[SP Strike Price]]-SnapshotTable[[#This Row],[Last Price]]) *(SnapshotTable[[#This Row],[SP Qty]]*100) - SnapshotTable[[#This Row],[SP Premium]]) * - 1, "")</f>
        <v/>
      </c>
      <c r="CN41" s="76"/>
      <c r="CO41" s="339"/>
      <c r="CP41" s="4" t="str">
        <f>IF(SnapshotTable[[#This Row],[SP Is Filled]], btc_max_buyback_amount(SnapshotTable[[#This Row],[SP Fill Date]],SnapshotTable[[#This Row],[SP Exp Date]], SnapshotTable[[#This Row],[SP Book Price]]),"")</f>
        <v/>
      </c>
      <c r="CQ41" s="76"/>
      <c r="CR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1" s="153" t="str">
        <f>IF(SnapshotTable[[#This Row],[SP Is Filled]], btc_next_cutoff_date(SnapshotTable[[#This Row],[SP Fill Date]],SnapshotTable[[#This Row],[SP Exp Date]]),"")</f>
        <v/>
      </c>
      <c r="CT41" s="220" t="str" cm="1">
        <f t="array" ref="CT41">IF(SnapshotTable[[#This Row],[SP Is Filled]], btc_should_buy_back(SnapshotTable[[#This Row],[SP Fill Date]], SnapshotTable[[#This Row],[SP Exp Date]], SnapshotTable[[#This Row],[SP Book Price]], SnapshotTable[[#This Row],[SP Current Ask]], MockToday, SnapshotTable[[#This Row],[SP Buyback Override]]),"")</f>
        <v/>
      </c>
      <c r="CU41" s="141"/>
      <c r="CV41" s="220"/>
      <c r="CW41" s="348" t="str">
        <f>IF(ISNUMBER( SnapshotTable[[#This Row],[SP Term]]), SnapshotTable[[#This Row],[SP Exp Date]] - MockToday,"")</f>
        <v/>
      </c>
      <c r="CX41" s="31" t="str">
        <f>IF(SnapshotTable[[#This Row],[SP Is Filled]],SnapshotTable[[#This Row],[SP Buyback Price to Use]] * 100 * SnapshotTable[[#This Row],[SP Qty]], "")</f>
        <v/>
      </c>
      <c r="CY41" s="4" t="str">
        <f>IF(ISNUMBER(SnapshotTable[[#This Row],[SP Strike Price]]), SnapshotTable[[#This Row],[SP Strike Price]] * (1 - SP_MaxLoss_StrikePct), "")</f>
        <v/>
      </c>
      <c r="CZ41" s="31" t="str">
        <f>IF(ISNUMBER(SnapshotTable[[#This Row],[SP Strike  Stop Per Share]]),SnapshotTable[[#This Row],[SP Premium]] - ((SnapshotTable[[#This Row],[SP Strike Price]]-SnapshotTable[[#This Row],[SP Strike  Stop Per Share]]) *(SnapshotTable[[#This Row],[SP Qty]] * 100)),"")</f>
        <v/>
      </c>
      <c r="DA41" s="4" t="str">
        <f>IF(AND(ISNUMBER(SnapshotTable[[#This Row],[SP Premium]]),SnapshotTable[[#This Row],[SP Premium]]&gt;0), SnapshotTable[[#This Row],[SP Book Price]] * (1 + SP_MaxLoss_OptionPct), "")</f>
        <v/>
      </c>
      <c r="DB41" s="31" t="str">
        <f>IF(ISNUMBER(SnapshotTable[[#This Row],[SP Option  Stop Contract]]),(SnapshotTable[[#This Row],[SP Option  Stop Contract]] *(SnapshotTable[[#This Row],[SP Qty]] * 100) - SnapshotTable[[#This Row],[SP Premium]]),"")</f>
        <v/>
      </c>
      <c r="DC41" s="4"/>
      <c r="DD41" s="4"/>
      <c r="DE41" s="4" t="str">
        <f>IF(AND(SnapshotTable[[#This Row],[SP Qty]]&gt;0, SnapshotTable[[#This Row],[SP Stop To Use]]&gt;0),SnapshotTable[[#This Row],[SP Premium]] - ( SnapshotTable[[#This Row],[SP Qty]] * SnapshotTable[[#This Row],[SP Stop To Use]] * 100), "")</f>
        <v/>
      </c>
      <c r="DF41" s="31" t="str">
        <f>IF(AND(SnapshotTable[[#This Row],[SP Qty]]&gt;0,SnapshotTable[[#This Row],[SP Current Ask]]&gt;0), SnapshotTable[[#This Row],[SP Qty]] * SnapshotTable[[#This Row],[SP Current Ask]] * -100, "")</f>
        <v/>
      </c>
      <c r="DG41" s="31" t="str">
        <f>IF(ISNUMBER((SnapshotTable[[#This Row],[SP Total Value]])), SnapshotTable[[#This Row],[SP Premium]] + SnapshotTable[[#This Row],[SP Total Value]], "")</f>
        <v/>
      </c>
      <c r="DH41" s="272" t="str">
        <f>IF(ISNUMBER((SnapshotTable[[#This Row],[SP Total Value]])), SnapshotTable[[#This Row],[SP Gain Loss]] / SnapshotTable[[#This Row],[SP Premium]], "")</f>
        <v/>
      </c>
      <c r="DI41" s="369"/>
      <c r="DJ41" s="136"/>
      <c r="DK41" s="146"/>
      <c r="DL41" s="13"/>
      <c r="DM41" s="13"/>
      <c r="DN41" s="5"/>
      <c r="DO41" s="31">
        <f>IF(SnapshotTable[[#This Row],[LC Symbol Count]]=1, SnapshotTable[[#This Row],[LC Qty]] * SnapshotTable[[#This Row],[LC Book Price]] * 100, 0)</f>
        <v>0</v>
      </c>
      <c r="DP41" s="161" t="str">
        <f>IF(AND(SnapshotTable[[#This Row],[LC Exp Date]]&gt;0, SnapshotTable[[#This Row],[LC Strike Price]]&gt;0,SnapshotTable[[#This Row],[LC Qty]]&gt;0,SnapshotTable[[#This Row],[LC Book Date]]&gt;0,SnapshotTable[[#This Row],[LC Book Price]]&gt;0,SnapshotTable[[#This Row],[LC Fill Date]]=0),"Y","")</f>
        <v/>
      </c>
      <c r="DQ41" s="356" t="str">
        <f>IF(SnapshotTable[[#This Row],[LC Premium]] &gt; 0,SnapshotTable[[#This Row],[LC Exp Date]]-MAX(SnapshotTable[[#This Row],[LC Book Date]], SnapshotTable[[#This Row],[LC Fill Date]]),"")</f>
        <v/>
      </c>
      <c r="DR41" s="356" t="str">
        <f>IF(ISNUMBER(SnapshotTable[[#This Row],[LC Term]]), SnapshotTable[[#This Row],[LC Exp Date]] - MockToday, "")</f>
        <v/>
      </c>
      <c r="DS41" s="219" t="str">
        <f>IF(SnapshotTable[[#This Row],[LC Premium]]&gt;0,SnapshotTable[[#This Row],[LC Strike Price]] + SnapshotTable[[#This Row],[LC Book Price]],"")</f>
        <v/>
      </c>
      <c r="DT41" s="5"/>
      <c r="DU41" s="9" t="str">
        <f>IF(AND(SnapshotTable[[#This Row],[LC Symbol Count]]&gt;0, SnapshotTable[[#This Row],[LC Contract Value]]&gt;0), SnapshotTable[[#This Row],[LC Contract Value]] * SnapshotTable[[#This Row],[LC Qty]] * 100, "")</f>
        <v/>
      </c>
      <c r="DV41" s="9" t="str">
        <f>IF(AND(ISNUMBER(SnapshotTable[[#This Row],[LC Total Value]]), SnapshotTable[[#This Row],[LC Not Filled]]&lt;&gt;"Y"), SnapshotTable[[#This Row],[LC Total Value]]-SnapshotTable[[#This Row],[LC Premium]],"")</f>
        <v/>
      </c>
      <c r="DW41" s="225" t="str">
        <f>IF(ISNUMBER(SnapshotTable[[#This Row],[LC Actual Gain Loss]]), SnapshotTable[[#This Row],[LC Actual Gain Loss]] / SnapshotTable[[#This Row],[LC Premium]],"")</f>
        <v/>
      </c>
      <c r="DX41" s="269" t="str">
        <f>IF(ISNUMBER(SnapshotTable[[#This Row],[LC Book Price]]),SnapshotTable[[#This Row],[LC Book Price]] * 1.5,"")</f>
        <v/>
      </c>
      <c r="DY41" s="250" t="str">
        <f>IF(SnapshotTable[[#This Row],[LC Premium]]&gt;0, SnapshotTable[[#This Row],[LC Next Target]] * SnapshotTable[[#This Row],[LC Qty]] * 100,"")</f>
        <v/>
      </c>
      <c r="DZ41" s="250" t="str">
        <f>IF(ISNUMBER(SnapshotTable[[#This Row],[LC Target Gross]]), SnapshotTable[[#This Row],[LC Target Gross]] - SnapshotTable[[#This Row],[LC Premium]], "")</f>
        <v/>
      </c>
      <c r="EA41" s="283" t="str">
        <f>IF(ISNUMBER(SnapshotTable[[#This Row],[LC Target Gain Loss]]), SnapshotTable[[#This Row],[LC Target Gain Loss]]/SnapshotTable[[#This Row],[LC Premium]], "")</f>
        <v/>
      </c>
      <c r="EB41" s="247"/>
      <c r="EC41" s="268" t="str">
        <f>IF(SnapshotTable[[#This Row],[LC Premium]]&gt;0, SnapshotTable[[#This Row],[LC Book Price]] * (1 - LC_StopLoss_Pct),"")</f>
        <v/>
      </c>
      <c r="ED41" s="269"/>
      <c r="EE41" s="268" t="str">
        <f>IF(ISNUMBER(SnapshotTable[[#This Row],[LC Contract Value]]),IF(ISNUMBER(SnapshotTable[[#This Row],[LC Stop Loss Override]]), SnapshotTable[[#This Row],[LC Stop Loss Override]],SnapshotTable[[#This Row],[LC Stop Loss Calc Target]]),"")</f>
        <v/>
      </c>
      <c r="EF41" s="31" t="str">
        <f>IF(ISNUMBER(SnapshotTable[[#This Row],[LC Stop  To Use]]), (SnapshotTable[[#This Row],[LC Stop  To Use]] * SnapshotTable[[#This Row],[LC Qty]] * 100),"")</f>
        <v/>
      </c>
      <c r="EG41" s="9" t="str">
        <f>IF(ISNUMBER(SnapshotTable[[#This Row],[LC Total Value]]),SnapshotTable[[#This Row],[LC Stop Loss Amount]] - SnapshotTable[[#This Row],[LC Premium]],"")</f>
        <v/>
      </c>
      <c r="EH41" s="9">
        <f>IF(ISNUMBER(SnapshotTable[[#This Row],[LC Premium]]), SnapshotTable[[#This Row],[LC Qty]] * 100 * SnapshotTable[[#This Row],[LC Strike Price]], "")</f>
        <v>0</v>
      </c>
      <c r="EI41" s="225" t="str">
        <f>IF(AND(ISNUMBER(SnapshotTable[[#This Row],[LC Total Value]]),SnapshotTable[[#This Row],[LC Total Value]]&gt;0),SnapshotTable[[#This Row],[LC Stop Gain Loss]]  / SnapshotTable[[#This Row],[LC Premium]],"")</f>
        <v/>
      </c>
      <c r="EJ41" s="35">
        <f>IF(ISNUMBER(SnapshotTable[[#This Row],[Equity Shares]]),TRUNC(SnapshotTable[[#This Row],[Equity Shares]] / 100),0) + SnapshotTable[[#This Row],[LC Qty]]</f>
        <v>0</v>
      </c>
      <c r="EK41" s="145"/>
      <c r="EL41" s="136"/>
      <c r="EM41" s="146"/>
      <c r="EN41" s="145"/>
      <c r="EO41" s="145"/>
      <c r="EP41" s="136"/>
      <c r="EQ41" s="382" t="b">
        <f>AND(ISNUMBER(SnapshotTable[[#This Row],[SC Exp Date]]), ISNUMBER(SnapshotTable[[#This Row],[SC Strike Price]]), ISNUMBER(SnapshotTable[[#This Row],[SC Qty]]), ISNUMBER(SnapshotTable[[#This Row],[SC Book Date]]), ISNUMBER(SnapshotTable[[#This Row],[SC Book Price]]))</f>
        <v>0</v>
      </c>
      <c r="ER41" s="382" t="b">
        <f>AND(SnapshotTable[[#This Row],[SC Is Booked]], NOT(ISBLANK(SnapshotTable[[#This Row],[SC Fill Date]])))</f>
        <v>0</v>
      </c>
      <c r="ES41" s="340"/>
      <c r="ET41" s="34" t="str">
        <f>IF(AND(ISNUMBER(SnapshotTable[[#This Row],[SC Exp Date]]), ISNUMBER(SnapshotTable[[#This Row],[SC Book Date]])), SnapshotTable[[#This Row],[SC Exp Date]] - MAX(SnapshotTable[[#This Row],[SC Book Date]], SnapshotTable[[#This Row],[SC Fill Date]]) + 1, "")</f>
        <v/>
      </c>
      <c r="EU41" s="34" t="str">
        <f>IF(ISNUMBER(SnapshotTable[[#This Row],[SC Term]]), SnapshotTable[[#This Row],[SC Exp Date]]- MockToday, "")</f>
        <v/>
      </c>
      <c r="EV41" s="31">
        <f>IF(SnapshotTable[[#This Row],[SC Is Booked]], SnapshotTable[[#This Row],[SC Qty]] * SnapshotTable[[#This Row],[SC Book Price]] * 100, 0)</f>
        <v>0</v>
      </c>
      <c r="EW41" s="4" t="str">
        <f>IF(AND(ISNUMBER(SnapshotTable[[#This Row],[Last Price]]), ISNUMBER( SnapshotTable[[#This Row],[SC Book Price]])), SnapshotTable[[#This Row],[Last Price]] - SnapshotTable[[#This Row],[SC Book Price]],"")</f>
        <v/>
      </c>
      <c r="EX41" s="219" t="str">
        <f>IF(SnapshotTable[[#This Row],[SC Is Booked]],IF(SnapshotTable[[#This Row],[SC Intrinsic Value]] &gt; 0, SnapshotTable[[#This Row],[SC Strike Price]], SnapshotTable[[#This Row],[Last Price]]), "")</f>
        <v/>
      </c>
      <c r="EY41" s="4">
        <f>IF(SnapshotTable[[#This Row],[SC Is Booked]], (MinimumPremiumRequired * SnapshotTable[[#This Row],[SC Basis]] * SnapshotTable[[#This Row],[SC Term]]), 0)</f>
        <v>0</v>
      </c>
      <c r="EZ41" s="268"/>
      <c r="FA41" s="204"/>
      <c r="FB41" s="340"/>
      <c r="FC41" s="4">
        <f>IF(SnapshotTable[[#This Row],[SC Is Filled]], btc_max_buyback_amount(SnapshotTable[[#This Row],[SC Fill Date]],SnapshotTable[[#This Row],[SC Exp Date]], SnapshotTable[[#This Row],[SC Book Price]]),0)</f>
        <v>0</v>
      </c>
      <c r="FD41" s="5"/>
      <c r="FE41" s="142" t="str">
        <f>IF(SnapshotTable[[#This Row],[SC Is Filled]], btc_next_cutoff_date(SnapshotTable[[#This Row],[SC Fill Date]],SnapshotTable[[#This Row],[SC Exp Date]]),"")</f>
        <v/>
      </c>
      <c r="FF41" s="4" t="str" cm="1">
        <f t="array" ref="FF41">IF(SnapshotTable[[#This Row],[SC Is Filled]], btc_should_buy_back(SnapshotTable[[#This Row],[SC Fill Date]], SnapshotTable[[#This Row],[SC Exp Date]], SnapshotTable[[#This Row],[SC Book Price]], SnapshotTable[[#This Row],[SC Current Ask]], MockToday, SnapshotTable[[#This Row],[SC Buyback Override]]),"")</f>
        <v/>
      </c>
      <c r="FG41" s="4">
        <f>IF(SnapshotTable[[#This Row],[SC Is Filled]], MAX(0,SnapshotTable[[#This Row],[Last Price]]  - SnapshotTable[[#This Row],[SC Strike Price]]), 0)</f>
        <v>0</v>
      </c>
      <c r="FH41" s="352">
        <f>IF(SnapshotTable[[#This Row],[SC Is Filled]], IF(ISNUMBER(SnapshotTable[[#This Row],[SC Current Ask]]), SnapshotTable[[#This Row],[SC Current Ask]], SnapshotTable[[#This Row],[SC Book Price]]) - SnapshotTable[[#This Row],[SC Intrinsic Value]], 0)</f>
        <v>0</v>
      </c>
      <c r="FI41" s="141"/>
      <c r="FJ41" s="32" t="str">
        <f>IF(SnapshotTable[[#This Row],[SC Is Filled]],100 * SnapshotTable[[#This Row],[SC Qty]] * IF(ISNUMBER(SnapshotTable[[#This Row],[SC Buyback Override]]), SnapshotTable[[#This Row],[SC Buyback Override]], SnapshotTable[[#This Row],[SC Current Ask]]), "")</f>
        <v/>
      </c>
      <c r="FK41" s="235" t="str">
        <f>IF(SnapshotTable[[#This Row],[SC Time Val]]&gt;0, SnapshotTable[[#This Row],[SC Time Val]] / SnapshotTable[[#This Row],[Last Price]],"")</f>
        <v/>
      </c>
      <c r="FL41" s="280" t="str">
        <f>IF(SnapshotTable[[#This Row],[SC Is Booked]], ((SnapshotTable[[#This Row],[Last Price]] -SnapshotTable[[#This Row],[SC Strike Price]]) / SnapshotTable[[#This Row],[Last Price]]) * -1, "")</f>
        <v/>
      </c>
      <c r="FM41" s="155" t="str">
        <f>IF(SnapshotTable[[#This Row],[SC Is Booked]],  (SnapshotTable[[#This Row],[SC Qty]] * 100 * SnapshotTable[[#This Row],[SC Strike Price]]) - SnapshotTable[[#This Row],[SC Current Ask]], "")</f>
        <v/>
      </c>
      <c r="FN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1" s="31" t="str">
        <f>IF(AND(ISNUMBER(SnapshotTable[[#This Row],[SC Exercise Gross]]), ISNUMBER(SnapshotTable[[#This Row],[Equity Basis Per Share]] )), SnapshotTable[[#This Row],[SC Exercise Gross]] - SnapshotTable[[#This Row],[Equity Basis Total]] +  SnapshotTable[[#This Row],[SC Premium]], "")</f>
        <v/>
      </c>
      <c r="FP41" s="5" t="str">
        <f>IF(ISNUMBER(SnapshotTable[[#This Row],[SC Exercise Gross]]), (SnapshotTable[[#This Row],[SC Exercise Gross]]) / (SnapshotTable[[#This Row],[SC Qty]] * 100), "")</f>
        <v/>
      </c>
      <c r="FQ41" s="27" t="str">
        <f>IF(SnapshotTable[[#This Row],[SC Is Booked]],SnapshotTable[[#This Row],[SC Time Val]] /SnapshotTable[[#This Row],[SC Basis]], "")</f>
        <v/>
      </c>
      <c r="FR41" s="27" t="str" cm="1">
        <f t="array" ref="FR41">IF(AND(ISNUMBER(SnapshotTable[[#This Row],[SC Term]]),ISNUMBER(SnapshotTable[[#This Row],[SC Simple ROO]])), EllmanAnnualize(SnapshotTable[[#This Row],[SC DTE]], SnapshotTable[[#This Row],[SC Simple ROO]] ),"")</f>
        <v/>
      </c>
      <c r="FS41" s="4">
        <f>IF(SnapshotTable[[#This Row],[SC Strike Price]] &gt; SnapshotTable[[#This Row],[Last Price]], SnapshotTable[[#This Row],[SC Strike Price]] - SnapshotTable[[#This Row],[Last Price]],0)</f>
        <v>0</v>
      </c>
      <c r="FT41" s="27" t="str">
        <f>IF(AND(ISNUMBER(SnapshotTable[[#This Row],[SC Upside Potential]]), SnapshotTable[[#This Row],[SC Upside Potential]] &gt; 0),(SnapshotTable[[#This Row],[SC Upside Potential]]/ SnapshotTable[[#This Row],[ACB]]),"")</f>
        <v/>
      </c>
      <c r="FU41" s="304" t="str">
        <f>IF(SnapshotTable[[#This Row],[SC Intrinsic Value]] &gt; 0,SnapshotTable[[#This Row],[SC Intrinsic Value]],"")</f>
        <v/>
      </c>
      <c r="FV41" s="27" t="str">
        <f>IF(AND( ISNUMBER( SnapshotTable[[#This Row],[ACB]]),ISNUMBER(SnapshotTable[[#This Row],[SC Downside Protect]])),SnapshotTable[[#This Row],[SC Downside Protect]] / SnapshotTable[[#This Row],[ACB]],"")</f>
        <v/>
      </c>
      <c r="FW41" s="221" t="str">
        <f>IF(AND(ISNUMBER(SnapshotTable[[#This Row],[SC Simple ROO]]),SnapshotTable[[#This Row],[SC Simple ROO]] &gt; 0), SnapshotTable[[#This Row],[SC Premium]] + (SnapshotTable[[#This Row],[SC Qty]] * SnapshotTable[[#This Row],[SC Upside Potential]]), "")</f>
        <v/>
      </c>
      <c r="FX41" s="280" t="str" cm="1">
        <f t="array" ref="FX41">IF(ISNUMBER(SnapshotTable[[#This Row],[SC Max Dollars]]), annualize(SnapshotTable[[#This Row],[SC Term]],(SnapshotTable[[#This Row],[SC Max Dollars]]/SnapshotTable[[#This Row],[SC Basis]])),"")</f>
        <v/>
      </c>
      <c r="FY41" s="221" t="str">
        <f>IF(AND(SnapshotTable[[#This Row],[SC Qty]]&gt;0,SnapshotTable[[#This Row],[SC Current Ask]]&gt;0), SnapshotTable[[#This Row],[SC Qty]] * SnapshotTable[[#This Row],[SC Current Ask]] * -100, "")</f>
        <v/>
      </c>
      <c r="FZ41" s="31" t="str">
        <f>IF(ISNUMBER((SnapshotTable[[#This Row],[SC Current Value]])), SnapshotTable[[#This Row],[SC Premium]] + SnapshotTable[[#This Row],[SC Current Value]], "")</f>
        <v/>
      </c>
      <c r="GA41" s="272" t="str">
        <f>IFERROR( IF(ISNUMBER((SnapshotTable[[#This Row],[SC Current Value]])), SnapshotTable[[#This Row],[SC Gain Loss]] / SnapshotTable[[#This Row],[SC Premium]], ""), "")</f>
        <v/>
      </c>
      <c r="GB41" s="42">
        <f>SnapshotTable[[#This Row],[Equity Shares]] * SaleSharesToConsiderPercentage</f>
        <v>0</v>
      </c>
      <c r="GC41" s="40">
        <f>SnapshotTable[[#This Row],[Long Term Target]] * SellingPriceToConsiderBasedOnTargetPercentage</f>
        <v>0</v>
      </c>
      <c r="GD41" s="40">
        <f>SnapshotTable[[#This Row],[Last Price]] * (1+ SellingPriceToConsiderBasedOnTargetPercentage)</f>
        <v>120.80250000000001</v>
      </c>
      <c r="GE41" s="41"/>
      <c r="GF41" s="40"/>
      <c r="GG41" s="31">
        <f>SnapshotTable[[#This Row],[Booked Sale Shares]] * SnapshotTable[[#This Row],[Booked Sale Price]]</f>
        <v>0</v>
      </c>
      <c r="GH41" s="31" t="str">
        <f>IF(SnapshotTable[[#This Row],[Equity Basis Total]] &gt; 0, SnapshotTable[[#This Row],[Equity Basis Per Share]] * SnapshotTable[[#This Row],[Booked Sale Shares]], "")</f>
        <v/>
      </c>
      <c r="GI41" s="31">
        <f>IF(SnapshotTable[[#This Row],[Sale Proceeds]]&gt;0, SnapshotTable[[#This Row],[Sale Proceeds]] - SnapshotTable[[#This Row],[Sale Basis]], 0)</f>
        <v>0</v>
      </c>
      <c r="GJ41" s="27" t="str">
        <f>IF(SnapshotTable[[#This Row],[Sale G/L]]&gt;0, SnapshotTable[[#This Row],[Sale G/L]] / SnapshotTable[[#This Row],[Sale Basis]], IF(ISNUMBER(SnapshotTable[[#This Row],[SC Exercise P&amp;L (TAX)]]), SnapshotTable[[#This Row],[SC Exercise P&amp;L (TAX)]] / SnapshotTable[[#This Row],[SC Basis]], ""))</f>
        <v/>
      </c>
      <c r="GK41" s="27"/>
      <c r="GL41" s="43" t="str">
        <f>IF(AND(SnapshotTable[[#This Row],[LP Exp Date]]&gt;0,SnapshotTable[[#This Row],[LP Strike Price]]&gt;0), [1]!ToOptionSymbol(SnapshotTable[[#This Row],[Symbol]], SnapshotTable[[#This Row],[LP Strike Price]],SnapshotTable[[#This Row],[LP Exp Date]],1), "")</f>
        <v/>
      </c>
      <c r="GM41" s="30" t="str">
        <f>IF(LEN(SnapshotTable[[#This Row],[LP Symbol]])&gt;0, 1, "")</f>
        <v/>
      </c>
      <c r="GN41" s="43" t="str">
        <f>IF(AND(SnapshotTable[[#This Row],[SP Exp Date]]&gt;0,SnapshotTable[[#This Row],[SP Strike Price]]&gt;0), [1]!ToOptionSymbol(SnapshotTable[[#This Row],[Symbol]], SnapshotTable[[#This Row],[SP Strike Price]],SnapshotTable[[#This Row],[SP Exp Date]],1), "")</f>
        <v/>
      </c>
      <c r="GO41" s="30" t="str">
        <f>IF(LEN(SnapshotTable[[#This Row],[SP Symbol]])&gt;0, 1, "")</f>
        <v/>
      </c>
      <c r="GP41" s="43" t="str">
        <f>IF(AND(SnapshotTable[[#This Row],[LC Exp Date]]&gt;0,SnapshotTable[[#This Row],[LC Strike Price]]&gt;0), [1]!ToOptionSymbol(SnapshotTable[[#This Row],[Symbol]], SnapshotTable[[#This Row],[LC Strike Price]],SnapshotTable[[#This Row],[LC Exp Date]],0), "")</f>
        <v/>
      </c>
      <c r="GQ41" s="30" t="str">
        <f>IF(LEN(SnapshotTable[[#This Row],[LC Symbol]])&gt;0, 1, "")</f>
        <v/>
      </c>
      <c r="GR41" s="43" t="str">
        <f>IF(AND(SnapshotTable[[#This Row],[SC Exp Date]]&gt;0,SnapshotTable[[#This Row],[SC Strike Price]]&gt;0), [1]!ToOptionSymbol(SnapshotTable[[#This Row],[Symbol]], SnapshotTable[[#This Row],[SC Strike Price]],SnapshotTable[[#This Row],[SC Exp Date]],0), "")</f>
        <v/>
      </c>
      <c r="GS41" s="30" t="str">
        <f>IF(LEN(SnapshotTable[[#This Row],[SC Symbol]])&gt;0, 1, "")</f>
        <v/>
      </c>
      <c r="GT41" s="29" t="str">
        <f>IF(COUNT(SnapshotTable[[#This Row],[LP Symbol Count]],SnapshotTable[[#This Row],[SP Symbol Count]],SnapshotTable[[#This Row],[LC Symbol Count]],SnapshotTable[[#This Row],[SC Symbol Count]])&gt;0, "Y", "")</f>
        <v/>
      </c>
      <c r="GU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1" s="216">
        <f>MAX(SnapshotTable[[#This Row],[Equity Basis Total]],SnapshotTable[[#This Row],[Equity Value]]) + (SnapshotTable[[#This Row],[SP Potential Spend]]- SnapshotTable[[#This Row],[SP Premium]] + SnapshotTable[[#This Row],[LP Premium]])+ (SnapshotTable[[#This Row],[LC Premium]] - SnapshotTable[[#This Row],[SC Premium]])</f>
        <v>0</v>
      </c>
      <c r="GW41" s="137" t="str">
        <f>IF(AND(SnapshotTable[[#This Row],[Exposure]] &lt;&gt; 0),SnapshotTable[[#This Row],[Exposure]] / SnapshotTable[[#Totals],[Exposure]], "")</f>
        <v/>
      </c>
      <c r="GY41" s="351"/>
      <c r="HE41" s="253"/>
      <c r="HF41" s="253"/>
      <c r="HG41" s="351"/>
      <c r="HH41" s="351"/>
      <c r="HI41" s="351"/>
      <c r="HJ41" s="351"/>
    </row>
    <row r="42" spans="2:224" s="45" customFormat="1" ht="12.75" hidden="1" customHeight="1" x14ac:dyDescent="0.25">
      <c r="B42" s="12" t="s">
        <v>68</v>
      </c>
      <c r="C42" s="385">
        <v>84.19</v>
      </c>
      <c r="D42" s="200" t="s">
        <v>474</v>
      </c>
      <c r="E42" s="39">
        <f>SnapshotTable[[#This Row],[Last Price]]*(1 -CrashDiscount)</f>
        <v>71.561499999999995</v>
      </c>
      <c r="F42" s="26" t="s">
        <v>824</v>
      </c>
      <c r="G42" s="26" t="s">
        <v>490</v>
      </c>
      <c r="H42" s="147"/>
      <c r="I42" s="186">
        <v>44767.3125</v>
      </c>
      <c r="J42" s="187">
        <v>44767.3125</v>
      </c>
      <c r="K42" s="188"/>
      <c r="L42" s="297"/>
      <c r="M42" s="138"/>
      <c r="N42" s="138"/>
      <c r="O42" s="138"/>
      <c r="P42" s="22"/>
      <c r="Q42" s="25"/>
      <c r="R42" s="4" t="str">
        <f>IF(SnapshotTable[[#This Row],[Equity Basis Total]] &gt; 0, SnapshotTable[[#This Row],[Equity Basis Total]] / SnapshotTable[[#This Row],[Equity Shares]], "")</f>
        <v/>
      </c>
      <c r="S42" s="254">
        <f>SnapshotTable[[#This Row],[Last Price]] * SnapshotTable[[#This Row],[Equity Shares]]</f>
        <v>0</v>
      </c>
      <c r="T42" s="254">
        <f>SnapshotTable[[#This Row],[Equity Value]] - SnapshotTable[[#This Row],[Equity Basis Total]]</f>
        <v>0</v>
      </c>
      <c r="U42" s="255" t="str">
        <f>IF(SnapshotTable[[#This Row],[Equity Basis Total]] &gt; 0, SnapshotTable[[#This Row],[Equity G/L]] / SnapshotTable[[#This Row],[Equity Basis Total]], "")</f>
        <v/>
      </c>
      <c r="V42" s="253"/>
      <c r="W42" s="253"/>
      <c r="X42" s="4" t="str">
        <f>IF(AND(ISNUMBER(SnapshotTable[[#This Row],[Equity Basis Per Share]]),ISNUMBER(SnapshotTable[[#This Row],[Equity Target]])),SnapshotTable[[#This Row],[Equity Target]]-SnapshotTable[[#This Row],[Equity Basis Per Share]],"")</f>
        <v/>
      </c>
      <c r="Y42" s="4" t="str">
        <f>IF(AND(ISNUMBER(SnapshotTable[[#This Row],[Equity Basis Per Share]]),ISNUMBER(SnapshotTable[[#This Row],[Equity Stop Loss]])),SnapshotTable[[#This Row],[Equity Stop Loss]]-SnapshotTable[[#This Row],[Equity Basis Per Share]],"")</f>
        <v/>
      </c>
      <c r="Z42" s="260" t="str">
        <f>IFERROR( TEXT(SnapshotTable[[#This Row],[Equity Max Gain Per Share]] /ABS( SnapshotTable[[#This Row],[Equity Max Loss Per Share]]),"0.0 " ) &amp; " : 1", "")</f>
        <v/>
      </c>
      <c r="AA42" s="31" t="str">
        <f>IF(ISNUMBER(SnapshotTable[[#This Row],[Equity Max Gain Per Share]]),SnapshotTable[[#This Row],[Equity Max Gain Per Share]] * SnapshotTable[[#This Row],[Equity Shares]],"")</f>
        <v/>
      </c>
      <c r="AB42" s="31" t="str">
        <f>IF(ISNUMBER(SnapshotTable[[#This Row],[Equity Max Loss Per Share]]),SnapshotTable[[#This Row],[Equity Max Loss Per Share]] * SnapshotTable[[#This Row],[Equity Shares]],"")</f>
        <v/>
      </c>
      <c r="AC42" s="148">
        <v>1.44</v>
      </c>
      <c r="AD42" s="149">
        <v>43957</v>
      </c>
      <c r="AE42" s="31">
        <f>(SnapshotTable[[#This Row],[Annual Dividend Per Share]] / 4) * SnapshotTable[[#This Row],[Equity Shares]]</f>
        <v>0</v>
      </c>
      <c r="AF42" s="31">
        <f>SnapshotTable[[#This Row],[Quarterly Div $]] * 4</f>
        <v>0</v>
      </c>
      <c r="AG42" s="7">
        <f>IF(SnapshotTable[[#This Row],[Annual Dividend Per Share]]&gt;0, SnapshotTable[[#This Row],[Annual Dividend Per Share]]  / SnapshotTable[[#This Row],[Last Price]], 0)</f>
        <v>1.7104169141228174E-2</v>
      </c>
      <c r="AH42" s="149">
        <v>43935</v>
      </c>
      <c r="AI42" s="5"/>
      <c r="AJ42" s="136">
        <v>111.48</v>
      </c>
      <c r="AK42" s="150" t="str">
        <f>IF(ISNUMBER( SnapshotTable[[#This Row],[EBF Target]]),(SnapshotTable[[#This Row],[EBF Target]] - SnapshotTable[[#This Row],[Last Price]]) / SnapshotTable[[#This Row],[Last Price]], "")</f>
        <v/>
      </c>
      <c r="AL42" s="150" t="str">
        <f>IF(AND(SnapshotTable[[#This Row],[Equity Basis Total]] &gt; 0,ISNUMBER( SnapshotTable[[#This Row],[Long Term Target]])), SnapshotTable[[#This Row],[From Basis $]] / SnapshotTable[[#This Row],[Equity Basis Total]], "")</f>
        <v/>
      </c>
      <c r="AM42" s="9">
        <f>IF( AND(SnapshotTable[[#This Row],[Equity Shares]] &gt;0,ISNUMBER( SnapshotTable[[#This Row],[Long Term Target]])),(SnapshotTable[[#This Row],[Equity Shares]] * SnapshotTable[[#This Row],[Long Term Target]]) - SnapshotTable[[#This Row],[Equity Basis Total]],0)</f>
        <v>0</v>
      </c>
      <c r="AN42" s="9">
        <f>IF( AND(SnapshotTable[[#This Row],[Equity Shares]] &gt;0,ISNUMBER( SnapshotTable[[#This Row],[Long Term Target]])),(SnapshotTable[[#This Row],[Equity Shares]]*SnapshotTable[[#This Row],[Long Term Target]]) - SnapshotTable[[#This Row],[Equity Value]],0)</f>
        <v>0</v>
      </c>
      <c r="AO42" s="150">
        <f>IF(AND(ISNUMBER( SnapshotTable[[#This Row],[Long Term Target]]), ISNUMBER(SnapshotTable[[#This Row],[Last Price]])),(SnapshotTable[[#This Row],[Long Term Target]] - SnapshotTable[[#This Row],[Last Price]]) / SnapshotTable[[#This Row],[Last Price]], "")</f>
        <v>0.32414776101674792</v>
      </c>
      <c r="AP42" s="5">
        <v>8</v>
      </c>
      <c r="AQ42" s="38" t="s">
        <v>16</v>
      </c>
      <c r="AR42" s="5">
        <v>8</v>
      </c>
      <c r="AS42" s="38" t="s">
        <v>22</v>
      </c>
      <c r="AT42" s="144" t="s">
        <v>442</v>
      </c>
      <c r="AU42" s="185" t="str">
        <f>IF(OR(SnapshotTable[[#This Row],[LP No Fill]]="Y",SnapshotTable[[#This Row],[SP Is Filled]],SnapshotTable[[#This Row],[LC Not Filled]]="Y",SnapshotTable[[#This Row],[SC Is Filled]]),"Y","")</f>
        <v/>
      </c>
      <c r="AV42" s="205"/>
      <c r="AW42" s="211"/>
      <c r="AX42" s="206"/>
      <c r="AY42" s="205"/>
      <c r="AZ42" s="205"/>
      <c r="BA42" s="302"/>
      <c r="BB42" s="318"/>
      <c r="BC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2" s="321"/>
      <c r="BE42" s="5"/>
      <c r="BF42" s="14"/>
      <c r="BG42" s="13"/>
      <c r="BH42" s="13"/>
      <c r="BI42" s="5"/>
      <c r="BJ42" s="134">
        <f>IF(SnapshotTable[[#This Row],[LP Qty]] &gt; 0, SnapshotTable[[#This Row],[LP Qty]] * SnapshotTable[[#This Row],[LP Book Price]] * 100,0)</f>
        <v>0</v>
      </c>
      <c r="BK42" s="134">
        <f>IF(SnapshotTable[[#This Row],[LP Premium]] &gt; 0, SnapshotTable[[#This Row],[LP Qty]] * SnapshotTable[[#This Row],[LP Strike Price]] * 100,0)</f>
        <v>0</v>
      </c>
      <c r="BL42" s="152"/>
      <c r="BM42" s="355" t="str">
        <f>IF(SnapshotTable[[#This Row],[LP Premium]] &gt; 0,SnapshotTable[[#This Row],[LP Exp Date]]-MAX(SnapshotTable[[#This Row],[LP Book Date]], SnapshotTable[[#This Row],[LP Fill Date]]),"")</f>
        <v/>
      </c>
      <c r="BN42" s="355" t="str">
        <f>IF(ISNUMBER( SnapshotTable[[#This Row],[LP Term]]), SnapshotTable[[#This Row],[LP Exp Date]] - MockToday,"")</f>
        <v/>
      </c>
      <c r="BO42" s="161" t="str">
        <f>IF(AND(SnapshotTable[[#This Row],[LP Exp Date]]&gt;0, SnapshotTable[[#This Row],[LP Strike Price]]&gt;0,SnapshotTable[[#This Row],[LP Qty]]&gt;0,SnapshotTable[[#This Row],[LP Book Date]]&gt;0,SnapshotTable[[#This Row],[LP Book Price]]&gt;0,SnapshotTable[[#This Row],[LP Fill Date]]=0),"Y","")</f>
        <v/>
      </c>
      <c r="BP42" s="31" t="str">
        <f>IF(AND(SnapshotTable[[#This Row],[LP No Fill]]&lt;&gt;"Y",SnapshotTable[[#This Row],[LP Contract Value]]&gt;0, SnapshotTable[[#This Row],[LP Qty]]&gt;0), SnapshotTable[[#This Row],[LP Contract Value]]*SnapshotTable[[#This Row],[LP Qty]]*100,"")</f>
        <v/>
      </c>
      <c r="BQ42" s="13"/>
      <c r="BR42" s="5"/>
      <c r="BS42" s="36"/>
      <c r="BT42" s="145"/>
      <c r="BU42" s="13"/>
      <c r="BV42" s="5"/>
      <c r="BW42" s="382" t="b">
        <f>AND(ISNUMBER(SnapshotTable[[#This Row],[SP Exp Date]]), ISNUMBER(SnapshotTable[[#This Row],[SP Strike Price]]), ISNUMBER(SnapshotTable[[#This Row],[SP Qty]]), ISNUMBER(SnapshotTable[[#This Row],[SP Book Date]]), ISNUMBER(SnapshotTable[[#This Row],[SP Book Price]]))</f>
        <v>0</v>
      </c>
      <c r="BX42" s="382" t="b">
        <f>AND(SnapshotTable[[#This Row],[SP Is Booked]], NOT(ISBLANK(SnapshotTable[[#This Row],[SP Fill Date]])))</f>
        <v>0</v>
      </c>
      <c r="BY42" s="33">
        <f>IF(SnapshotTable[[#This Row],[SP Is Booked]], SnapshotTable[[#This Row],[SP Qty]] * SnapshotTable[[#This Row],[SP Book Price]] * 100, 0)</f>
        <v>0</v>
      </c>
      <c r="BZ42" s="339"/>
      <c r="CA42" s="338">
        <f>SnapshotTable[[#This Row],[LP Qty]]</f>
        <v>0</v>
      </c>
      <c r="CB42" s="4" t="str">
        <f>IF(SnapshotTable[[#This Row],[SP Is Booked]], SnapshotTable[[#This Row],[SP Strike Price]] - SnapshotTable[[#This Row],[SP Book Price]], "")</f>
        <v/>
      </c>
      <c r="CC42" s="19" t="str">
        <f>IF(SnapshotTable[[#This Row],[SP Is Booked]],SnapshotTable[[#This Row],[SP Exp Date]]-MAX(SnapshotTable[[#This Row],[SP Book Date]], SnapshotTable[[#This Row],[SP Fill Date]]),"")</f>
        <v/>
      </c>
      <c r="CD42" s="7" t="str">
        <f>IF(SnapshotTable[[#This Row],[SP Is Booked]], SnapshotTable[[#This Row],[SP Book Price]]/SnapshotTable[[#This Row],[SP Strike Price]], "")</f>
        <v/>
      </c>
      <c r="CE42" s="7" t="str">
        <f>IF(ISNUMBER(SnapshotTable[[#This Row],[SP ROO Term]]),SnapshotTable[[#This Row],[SP ROO Term]]*(365/SnapshotTable[[#This Row],[SP Term]]),"")</f>
        <v/>
      </c>
      <c r="CF42" s="221">
        <f>SnapshotTable[[#This Row],[LP Strike Price]] * SnapshotTable[[#This Row],[LP Qty]] * 100</f>
        <v>0</v>
      </c>
      <c r="CG42" s="31">
        <f>IF(ISNUMBER(SnapshotTable[[#This Row],[SP Premium]]), (SnapshotTable[[#This Row],[SP Qty]] * SnapshotTable[[#This Row],[SP Strike Price]]* 100) - SnapshotTable[[#This Row],[LP Protection]], 0)</f>
        <v>0</v>
      </c>
      <c r="CH42" s="7" t="str">
        <f>IF(ISNUMBER(SnapshotTable[[#This Row],[SP Break Even]]),-1 * (SnapshotTable[[#This Row],[SP Break Even]] - SnapshotTable[[#This Row],[Last Price]]) / SnapshotTable[[#This Row],[Last Price]], "")</f>
        <v/>
      </c>
      <c r="CI42" s="31">
        <f>IF(AND(ISNUMBER((SnapshotTable[[#This Row],[SP Potential Spend]])), SnapshotTable[[#This Row],[SP Strike Price]] &gt; SnapshotTable[[#This Row],[Last Price]], SnapshotTable[[#This Row],[SP Is Filled]]), SnapshotTable[[#This Row],[SP Potential Spend]] -  SnapshotTable[[#This Row],[LP Max Value]], 0)</f>
        <v>0</v>
      </c>
      <c r="CJ42" s="229"/>
      <c r="CK42" s="31">
        <f>IF(ISNUMBER(SnapshotTable[[#This Row],[SP Potential Spend]]),IF(ISNUMBER(SnapshotTable[[#This Row],[SP POW]]), SnapshotTable[[#This Row],[SP POW]] * SnapshotTable[[#This Row],[SP Potential Spend]], SnapshotTable[[#This Row],[SP Potential Spend]]), "")</f>
        <v>0</v>
      </c>
      <c r="CL42" s="162">
        <f>IF(NOT(SnapshotTable[[#This Row],[SP Is Filled]]),(SnapshotTable[[#This Row],[SP Qty]] * SnapshotTable[[#This Row],[SP Strike Price]] * 100) - SnapshotTable[[#This Row],[LP Max Value]],"")</f>
        <v>0</v>
      </c>
      <c r="CM42" s="31" t="str">
        <f>IF(SnapshotTable[[#This Row],[SP Actual Spend]]&lt;&gt;0, ((SnapshotTable[[#This Row],[SP Strike Price]]-SnapshotTable[[#This Row],[Last Price]]) *(SnapshotTable[[#This Row],[SP Qty]]*100) - SnapshotTable[[#This Row],[SP Premium]]) * - 1, "")</f>
        <v/>
      </c>
      <c r="CN42" s="76"/>
      <c r="CO42" s="339"/>
      <c r="CP42" s="4" t="str">
        <f>IF(SnapshotTable[[#This Row],[SP Is Filled]], btc_max_buyback_amount(SnapshotTable[[#This Row],[SP Fill Date]],SnapshotTable[[#This Row],[SP Exp Date]], SnapshotTable[[#This Row],[SP Book Price]]),"")</f>
        <v/>
      </c>
      <c r="CQ42" s="76"/>
      <c r="CR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2" s="153" t="str">
        <f>IF(SnapshotTable[[#This Row],[SP Is Filled]], btc_next_cutoff_date(SnapshotTable[[#This Row],[SP Fill Date]],SnapshotTable[[#This Row],[SP Exp Date]]),"")</f>
        <v/>
      </c>
      <c r="CT42" s="220" t="str" cm="1">
        <f t="array" ref="CT42">IF(SnapshotTable[[#This Row],[SP Is Filled]], btc_should_buy_back(SnapshotTable[[#This Row],[SP Fill Date]], SnapshotTable[[#This Row],[SP Exp Date]], SnapshotTable[[#This Row],[SP Book Price]], SnapshotTable[[#This Row],[SP Current Ask]], MockToday, SnapshotTable[[#This Row],[SP Buyback Override]]),"")</f>
        <v/>
      </c>
      <c r="CU42" s="141"/>
      <c r="CV42" s="220"/>
      <c r="CW42" s="348" t="str">
        <f>IF(ISNUMBER( SnapshotTable[[#This Row],[SP Term]]), SnapshotTable[[#This Row],[SP Exp Date]] - MockToday,"")</f>
        <v/>
      </c>
      <c r="CX42" s="31" t="str">
        <f>IF(SnapshotTable[[#This Row],[SP Is Filled]],SnapshotTable[[#This Row],[SP Buyback Price to Use]] * 100 * SnapshotTable[[#This Row],[SP Qty]], "")</f>
        <v/>
      </c>
      <c r="CY42" s="4" t="str">
        <f>IF(ISNUMBER(SnapshotTable[[#This Row],[SP Strike Price]]), SnapshotTable[[#This Row],[SP Strike Price]] * (1 - SP_MaxLoss_StrikePct), "")</f>
        <v/>
      </c>
      <c r="CZ42" s="31" t="str">
        <f>IF(ISNUMBER(SnapshotTable[[#This Row],[SP Strike  Stop Per Share]]),SnapshotTable[[#This Row],[SP Premium]] - ((SnapshotTable[[#This Row],[SP Strike Price]]-SnapshotTable[[#This Row],[SP Strike  Stop Per Share]]) *(SnapshotTable[[#This Row],[SP Qty]] * 100)),"")</f>
        <v/>
      </c>
      <c r="DA42" s="4" t="str">
        <f>IF(AND(ISNUMBER(SnapshotTable[[#This Row],[SP Premium]]),SnapshotTable[[#This Row],[SP Premium]]&gt;0), SnapshotTable[[#This Row],[SP Book Price]] * (1 + SP_MaxLoss_OptionPct), "")</f>
        <v/>
      </c>
      <c r="DB42" s="31" t="str">
        <f>IF(ISNUMBER(SnapshotTable[[#This Row],[SP Option  Stop Contract]]),(SnapshotTable[[#This Row],[SP Option  Stop Contract]] *(SnapshotTable[[#This Row],[SP Qty]] * 100) - SnapshotTable[[#This Row],[SP Premium]]),"")</f>
        <v/>
      </c>
      <c r="DC42" s="4"/>
      <c r="DD42" s="4"/>
      <c r="DE42" s="4" t="str">
        <f>IF(AND(SnapshotTable[[#This Row],[SP Qty]]&gt;0, SnapshotTable[[#This Row],[SP Stop To Use]]&gt;0),SnapshotTable[[#This Row],[SP Premium]] - ( SnapshotTable[[#This Row],[SP Qty]] * SnapshotTable[[#This Row],[SP Stop To Use]] * 100), "")</f>
        <v/>
      </c>
      <c r="DF42" s="31" t="str">
        <f>IF(AND(SnapshotTable[[#This Row],[SP Qty]]&gt;0,SnapshotTable[[#This Row],[SP Current Ask]]&gt;0), SnapshotTable[[#This Row],[SP Qty]] * SnapshotTable[[#This Row],[SP Current Ask]] * -100, "")</f>
        <v/>
      </c>
      <c r="DG42" s="31" t="str">
        <f>IF(ISNUMBER((SnapshotTable[[#This Row],[SP Total Value]])), SnapshotTable[[#This Row],[SP Premium]] + SnapshotTable[[#This Row],[SP Total Value]], "")</f>
        <v/>
      </c>
      <c r="DH42" s="272" t="str">
        <f>IF(ISNUMBER((SnapshotTable[[#This Row],[SP Total Value]])), SnapshotTable[[#This Row],[SP Gain Loss]] / SnapshotTable[[#This Row],[SP Premium]], "")</f>
        <v/>
      </c>
      <c r="DI42" s="369"/>
      <c r="DJ42" s="136"/>
      <c r="DK42" s="146"/>
      <c r="DL42" s="13"/>
      <c r="DM42" s="13"/>
      <c r="DN42" s="5"/>
      <c r="DO42" s="31">
        <f>IF(SnapshotTable[[#This Row],[LC Symbol Count]]=1, SnapshotTable[[#This Row],[LC Qty]] * SnapshotTable[[#This Row],[LC Book Price]] * 100, 0)</f>
        <v>0</v>
      </c>
      <c r="DP42" s="161" t="str">
        <f>IF(AND(SnapshotTable[[#This Row],[LC Exp Date]]&gt;0, SnapshotTable[[#This Row],[LC Strike Price]]&gt;0,SnapshotTable[[#This Row],[LC Qty]]&gt;0,SnapshotTable[[#This Row],[LC Book Date]]&gt;0,SnapshotTable[[#This Row],[LC Book Price]]&gt;0,SnapshotTable[[#This Row],[LC Fill Date]]=0),"Y","")</f>
        <v/>
      </c>
      <c r="DQ42" s="356" t="str">
        <f>IF(SnapshotTable[[#This Row],[LC Premium]] &gt; 0,SnapshotTable[[#This Row],[LC Exp Date]]-MAX(SnapshotTable[[#This Row],[LC Book Date]], SnapshotTable[[#This Row],[LC Fill Date]]),"")</f>
        <v/>
      </c>
      <c r="DR42" s="356" t="str">
        <f>IF(ISNUMBER(SnapshotTable[[#This Row],[LC Term]]), SnapshotTable[[#This Row],[LC Exp Date]] - MockToday, "")</f>
        <v/>
      </c>
      <c r="DS42" s="219" t="str">
        <f>IF(SnapshotTable[[#This Row],[LC Premium]]&gt;0,SnapshotTable[[#This Row],[LC Strike Price]] + SnapshotTable[[#This Row],[LC Book Price]],"")</f>
        <v/>
      </c>
      <c r="DT42" s="5"/>
      <c r="DU42" s="9" t="str">
        <f>IF(AND(SnapshotTable[[#This Row],[LC Symbol Count]]&gt;0, SnapshotTable[[#This Row],[LC Contract Value]]&gt;0), SnapshotTable[[#This Row],[LC Contract Value]] * SnapshotTable[[#This Row],[LC Qty]] * 100, "")</f>
        <v/>
      </c>
      <c r="DV42" s="9" t="str">
        <f>IF(AND(ISNUMBER(SnapshotTable[[#This Row],[LC Total Value]]), SnapshotTable[[#This Row],[LC Not Filled]]&lt;&gt;"Y"), SnapshotTable[[#This Row],[LC Total Value]]-SnapshotTable[[#This Row],[LC Premium]],"")</f>
        <v/>
      </c>
      <c r="DW42" s="225" t="str">
        <f>IF(ISNUMBER(SnapshotTable[[#This Row],[LC Actual Gain Loss]]), SnapshotTable[[#This Row],[LC Actual Gain Loss]] / SnapshotTable[[#This Row],[LC Premium]],"")</f>
        <v/>
      </c>
      <c r="DX42" s="269" t="str">
        <f>IF(ISNUMBER(SnapshotTable[[#This Row],[LC Book Price]]),SnapshotTable[[#This Row],[LC Book Price]] * 1.5,"")</f>
        <v/>
      </c>
      <c r="DY42" s="250" t="str">
        <f>IF(SnapshotTable[[#This Row],[LC Premium]]&gt;0, SnapshotTable[[#This Row],[LC Next Target]] * SnapshotTable[[#This Row],[LC Qty]] * 100,"")</f>
        <v/>
      </c>
      <c r="DZ42" s="250" t="str">
        <f>IF(ISNUMBER(SnapshotTable[[#This Row],[LC Target Gross]]), SnapshotTable[[#This Row],[LC Target Gross]] - SnapshotTable[[#This Row],[LC Premium]], "")</f>
        <v/>
      </c>
      <c r="EA42" s="283" t="str">
        <f>IF(ISNUMBER(SnapshotTable[[#This Row],[LC Target Gain Loss]]), SnapshotTable[[#This Row],[LC Target Gain Loss]]/SnapshotTable[[#This Row],[LC Premium]], "")</f>
        <v/>
      </c>
      <c r="EB42" s="247"/>
      <c r="EC42" s="268" t="str">
        <f>IF(SnapshotTable[[#This Row],[LC Premium]]&gt;0, SnapshotTable[[#This Row],[LC Book Price]] * (1 - LC_StopLoss_Pct),"")</f>
        <v/>
      </c>
      <c r="ED42" s="269"/>
      <c r="EE42" s="268" t="str">
        <f>IF(ISNUMBER(SnapshotTable[[#This Row],[LC Contract Value]]),IF(ISNUMBER(SnapshotTable[[#This Row],[LC Stop Loss Override]]), SnapshotTable[[#This Row],[LC Stop Loss Override]],SnapshotTable[[#This Row],[LC Stop Loss Calc Target]]),"")</f>
        <v/>
      </c>
      <c r="EF42" s="31" t="str">
        <f>IF(ISNUMBER(SnapshotTable[[#This Row],[LC Stop  To Use]]), (SnapshotTable[[#This Row],[LC Stop  To Use]] * SnapshotTable[[#This Row],[LC Qty]] * 100),"")</f>
        <v/>
      </c>
      <c r="EG42" s="9" t="str">
        <f>IF(ISNUMBER(SnapshotTable[[#This Row],[LC Total Value]]),SnapshotTable[[#This Row],[LC Stop Loss Amount]] - SnapshotTable[[#This Row],[LC Premium]],"")</f>
        <v/>
      </c>
      <c r="EH42" s="9">
        <f>IF(ISNUMBER(SnapshotTable[[#This Row],[LC Premium]]), SnapshotTable[[#This Row],[LC Qty]] * 100 * SnapshotTable[[#This Row],[LC Strike Price]], "")</f>
        <v>0</v>
      </c>
      <c r="EI42" s="225" t="str">
        <f>IF(AND(ISNUMBER(SnapshotTable[[#This Row],[LC Total Value]]),SnapshotTable[[#This Row],[LC Total Value]]&gt;0),SnapshotTable[[#This Row],[LC Stop Gain Loss]]  / SnapshotTable[[#This Row],[LC Premium]],"")</f>
        <v/>
      </c>
      <c r="EJ42" s="35">
        <f>IF(ISNUMBER(SnapshotTable[[#This Row],[Equity Shares]]),TRUNC(SnapshotTable[[#This Row],[Equity Shares]] / 100),0) + SnapshotTable[[#This Row],[LC Qty]]</f>
        <v>0</v>
      </c>
      <c r="EK42" s="145"/>
      <c r="EL42" s="136"/>
      <c r="EM42" s="146"/>
      <c r="EN42" s="145"/>
      <c r="EO42" s="145"/>
      <c r="EP42" s="136"/>
      <c r="EQ42" s="382" t="b">
        <f>AND(ISNUMBER(SnapshotTable[[#This Row],[SC Exp Date]]), ISNUMBER(SnapshotTable[[#This Row],[SC Strike Price]]), ISNUMBER(SnapshotTable[[#This Row],[SC Qty]]), ISNUMBER(SnapshotTable[[#This Row],[SC Book Date]]), ISNUMBER(SnapshotTable[[#This Row],[SC Book Price]]))</f>
        <v>0</v>
      </c>
      <c r="ER42" s="382" t="b">
        <f>AND(SnapshotTable[[#This Row],[SC Is Booked]], NOT(ISBLANK(SnapshotTable[[#This Row],[SC Fill Date]])))</f>
        <v>0</v>
      </c>
      <c r="ES42" s="340"/>
      <c r="ET42" s="34" t="str">
        <f>IF(AND(ISNUMBER(SnapshotTable[[#This Row],[SC Exp Date]]), ISNUMBER(SnapshotTable[[#This Row],[SC Book Date]])), SnapshotTable[[#This Row],[SC Exp Date]] - MAX(SnapshotTable[[#This Row],[SC Book Date]], SnapshotTable[[#This Row],[SC Fill Date]]) + 1, "")</f>
        <v/>
      </c>
      <c r="EU42" s="34" t="str">
        <f>IF(ISNUMBER(SnapshotTable[[#This Row],[SC Term]]), SnapshotTable[[#This Row],[SC Exp Date]]- MockToday, "")</f>
        <v/>
      </c>
      <c r="EV42" s="31">
        <f>IF(SnapshotTable[[#This Row],[SC Is Booked]], SnapshotTable[[#This Row],[SC Qty]] * SnapshotTable[[#This Row],[SC Book Price]] * 100, 0)</f>
        <v>0</v>
      </c>
      <c r="EW42" s="4" t="str">
        <f>IF(AND(ISNUMBER(SnapshotTable[[#This Row],[Last Price]]), ISNUMBER( SnapshotTable[[#This Row],[SC Book Price]])), SnapshotTable[[#This Row],[Last Price]] - SnapshotTable[[#This Row],[SC Book Price]],"")</f>
        <v/>
      </c>
      <c r="EX42" s="219" t="str">
        <f>IF(SnapshotTable[[#This Row],[SC Is Booked]],IF(SnapshotTable[[#This Row],[SC Intrinsic Value]] &gt; 0, SnapshotTable[[#This Row],[SC Strike Price]], SnapshotTable[[#This Row],[Last Price]]), "")</f>
        <v/>
      </c>
      <c r="EY42" s="4">
        <f>IF(SnapshotTable[[#This Row],[SC Is Booked]], (MinimumPremiumRequired * SnapshotTable[[#This Row],[SC Basis]] * SnapshotTable[[#This Row],[SC Term]]), 0)</f>
        <v>0</v>
      </c>
      <c r="EZ42" s="268"/>
      <c r="FA42" s="204"/>
      <c r="FB42" s="340"/>
      <c r="FC42" s="4">
        <f>IF(SnapshotTable[[#This Row],[SC Is Filled]], btc_max_buyback_amount(SnapshotTable[[#This Row],[SC Fill Date]],SnapshotTable[[#This Row],[SC Exp Date]], SnapshotTable[[#This Row],[SC Book Price]]),0)</f>
        <v>0</v>
      </c>
      <c r="FD42" s="5"/>
      <c r="FE42" s="142" t="str">
        <f>IF(SnapshotTable[[#This Row],[SC Is Filled]], btc_next_cutoff_date(SnapshotTable[[#This Row],[SC Fill Date]],SnapshotTable[[#This Row],[SC Exp Date]]),"")</f>
        <v/>
      </c>
      <c r="FF42" s="4" t="str" cm="1">
        <f t="array" ref="FF42">IF(SnapshotTable[[#This Row],[SC Is Filled]], btc_should_buy_back(SnapshotTable[[#This Row],[SC Fill Date]], SnapshotTable[[#This Row],[SC Exp Date]], SnapshotTable[[#This Row],[SC Book Price]], SnapshotTable[[#This Row],[SC Current Ask]], MockToday, SnapshotTable[[#This Row],[SC Buyback Override]]),"")</f>
        <v/>
      </c>
      <c r="FG42" s="4">
        <f>IF(SnapshotTable[[#This Row],[SC Is Filled]], MAX(0,SnapshotTable[[#This Row],[Last Price]]  - SnapshotTable[[#This Row],[SC Strike Price]]), 0)</f>
        <v>0</v>
      </c>
      <c r="FH42" s="352">
        <f>IF(SnapshotTable[[#This Row],[SC Is Filled]], IF(ISNUMBER(SnapshotTable[[#This Row],[SC Current Ask]]), SnapshotTable[[#This Row],[SC Current Ask]], SnapshotTable[[#This Row],[SC Book Price]]) - SnapshotTable[[#This Row],[SC Intrinsic Value]], 0)</f>
        <v>0</v>
      </c>
      <c r="FI42" s="141"/>
      <c r="FJ42" s="32" t="str">
        <f>IF(SnapshotTable[[#This Row],[SC Is Filled]],100 * SnapshotTable[[#This Row],[SC Qty]] * IF(ISNUMBER(SnapshotTable[[#This Row],[SC Buyback Override]]), SnapshotTable[[#This Row],[SC Buyback Override]], SnapshotTable[[#This Row],[SC Current Ask]]), "")</f>
        <v/>
      </c>
      <c r="FK42" s="235" t="str">
        <f>IF(SnapshotTable[[#This Row],[SC Time Val]]&gt;0, SnapshotTable[[#This Row],[SC Time Val]] / SnapshotTable[[#This Row],[Last Price]],"")</f>
        <v/>
      </c>
      <c r="FL42" s="280" t="str">
        <f>IF(SnapshotTable[[#This Row],[SC Is Booked]], ((SnapshotTable[[#This Row],[Last Price]] -SnapshotTable[[#This Row],[SC Strike Price]]) / SnapshotTable[[#This Row],[Last Price]]) * -1, "")</f>
        <v/>
      </c>
      <c r="FM42" s="155" t="str">
        <f>IF(SnapshotTable[[#This Row],[SC Is Booked]],  (SnapshotTable[[#This Row],[SC Qty]] * 100 * SnapshotTable[[#This Row],[SC Strike Price]]) - SnapshotTable[[#This Row],[SC Current Ask]], "")</f>
        <v/>
      </c>
      <c r="FN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2" s="31" t="str">
        <f>IF(AND(ISNUMBER(SnapshotTable[[#This Row],[SC Exercise Gross]]), ISNUMBER(SnapshotTable[[#This Row],[Equity Basis Per Share]] )), SnapshotTable[[#This Row],[SC Exercise Gross]] - SnapshotTable[[#This Row],[Equity Basis Total]] +  SnapshotTable[[#This Row],[SC Premium]], "")</f>
        <v/>
      </c>
      <c r="FP42" s="5" t="str">
        <f>IF(ISNUMBER(SnapshotTable[[#This Row],[SC Exercise Gross]]), (SnapshotTable[[#This Row],[SC Exercise Gross]]) / (SnapshotTable[[#This Row],[SC Qty]] * 100), "")</f>
        <v/>
      </c>
      <c r="FQ42" s="27" t="str">
        <f>IF(SnapshotTable[[#This Row],[SC Is Booked]],SnapshotTable[[#This Row],[SC Time Val]] /SnapshotTable[[#This Row],[SC Basis]], "")</f>
        <v/>
      </c>
      <c r="FR42" s="27" t="str" cm="1">
        <f t="array" ref="FR42">IF(AND(ISNUMBER(SnapshotTable[[#This Row],[SC Term]]),ISNUMBER(SnapshotTable[[#This Row],[SC Simple ROO]])), EllmanAnnualize(SnapshotTable[[#This Row],[SC DTE]], SnapshotTable[[#This Row],[SC Simple ROO]] ),"")</f>
        <v/>
      </c>
      <c r="FS42" s="4">
        <f>IF(SnapshotTable[[#This Row],[SC Strike Price]] &gt; SnapshotTable[[#This Row],[Last Price]], SnapshotTable[[#This Row],[SC Strike Price]] - SnapshotTable[[#This Row],[Last Price]],0)</f>
        <v>0</v>
      </c>
      <c r="FT42" s="27" t="str">
        <f>IF(AND(ISNUMBER(SnapshotTable[[#This Row],[SC Upside Potential]]), SnapshotTable[[#This Row],[SC Upside Potential]] &gt; 0),(SnapshotTable[[#This Row],[SC Upside Potential]]/ SnapshotTable[[#This Row],[ACB]]),"")</f>
        <v/>
      </c>
      <c r="FU42" s="304" t="str">
        <f>IF(SnapshotTable[[#This Row],[SC Intrinsic Value]] &gt; 0,SnapshotTable[[#This Row],[SC Intrinsic Value]],"")</f>
        <v/>
      </c>
      <c r="FV42" s="27" t="str">
        <f>IF(AND( ISNUMBER( SnapshotTable[[#This Row],[ACB]]),ISNUMBER(SnapshotTable[[#This Row],[SC Downside Protect]])),SnapshotTable[[#This Row],[SC Downside Protect]] / SnapshotTable[[#This Row],[ACB]],"")</f>
        <v/>
      </c>
      <c r="FW42" s="221" t="str">
        <f>IF(AND(ISNUMBER(SnapshotTable[[#This Row],[SC Simple ROO]]),SnapshotTable[[#This Row],[SC Simple ROO]] &gt; 0), SnapshotTable[[#This Row],[SC Premium]] + (SnapshotTable[[#This Row],[SC Qty]] * SnapshotTable[[#This Row],[SC Upside Potential]]), "")</f>
        <v/>
      </c>
      <c r="FX42" s="280" t="str" cm="1">
        <f t="array" ref="FX42">IF(ISNUMBER(SnapshotTable[[#This Row],[SC Max Dollars]]), annualize(SnapshotTable[[#This Row],[SC Term]],(SnapshotTable[[#This Row],[SC Max Dollars]]/SnapshotTable[[#This Row],[SC Basis]])),"")</f>
        <v/>
      </c>
      <c r="FY42" s="221" t="str">
        <f>IF(AND(SnapshotTable[[#This Row],[SC Qty]]&gt;0,SnapshotTable[[#This Row],[SC Current Ask]]&gt;0), SnapshotTable[[#This Row],[SC Qty]] * SnapshotTable[[#This Row],[SC Current Ask]] * -100, "")</f>
        <v/>
      </c>
      <c r="FZ42" s="31" t="str">
        <f>IF(ISNUMBER((SnapshotTable[[#This Row],[SC Current Value]])), SnapshotTable[[#This Row],[SC Premium]] + SnapshotTable[[#This Row],[SC Current Value]], "")</f>
        <v/>
      </c>
      <c r="GA42" s="272" t="str">
        <f>IFERROR( IF(ISNUMBER((SnapshotTable[[#This Row],[SC Current Value]])), SnapshotTable[[#This Row],[SC Gain Loss]] / SnapshotTable[[#This Row],[SC Premium]], ""), "")</f>
        <v/>
      </c>
      <c r="GB42" s="42">
        <f>SnapshotTable[[#This Row],[Equity Shares]] * SaleSharesToConsiderPercentage</f>
        <v>0</v>
      </c>
      <c r="GC42" s="40">
        <f>SnapshotTable[[#This Row],[Long Term Target]] * SellingPriceToConsiderBasedOnTargetPercentage</f>
        <v>105.90600000000001</v>
      </c>
      <c r="GD42" s="40">
        <f>SnapshotTable[[#This Row],[Last Price]] * (1+ SellingPriceToConsiderBasedOnTargetPercentage)</f>
        <v>164.1705</v>
      </c>
      <c r="GE42" s="41"/>
      <c r="GF42" s="40"/>
      <c r="GG42" s="31">
        <f>SnapshotTable[[#This Row],[Booked Sale Shares]] * SnapshotTable[[#This Row],[Booked Sale Price]]</f>
        <v>0</v>
      </c>
      <c r="GH42" s="31" t="str">
        <f>IF(SnapshotTable[[#This Row],[Equity Basis Total]] &gt; 0, SnapshotTable[[#This Row],[Equity Basis Per Share]] * SnapshotTable[[#This Row],[Booked Sale Shares]], "")</f>
        <v/>
      </c>
      <c r="GI42" s="31">
        <f>IF(SnapshotTable[[#This Row],[Sale Proceeds]]&gt;0, SnapshotTable[[#This Row],[Sale Proceeds]] - SnapshotTable[[#This Row],[Sale Basis]], 0)</f>
        <v>0</v>
      </c>
      <c r="GJ42" s="27" t="str">
        <f>IF(SnapshotTable[[#This Row],[Sale G/L]]&gt;0, SnapshotTable[[#This Row],[Sale G/L]] / SnapshotTable[[#This Row],[Sale Basis]], IF(ISNUMBER(SnapshotTable[[#This Row],[SC Exercise P&amp;L (TAX)]]), SnapshotTable[[#This Row],[SC Exercise P&amp;L (TAX)]] / SnapshotTable[[#This Row],[SC Basis]], ""))</f>
        <v/>
      </c>
      <c r="GK42" s="27" t="s">
        <v>598</v>
      </c>
      <c r="GL42" s="43" t="str">
        <f>IF(AND(SnapshotTable[[#This Row],[LP Exp Date]]&gt;0,SnapshotTable[[#This Row],[LP Strike Price]]&gt;0), [1]!ToOptionSymbol(SnapshotTable[[#This Row],[Symbol]], SnapshotTable[[#This Row],[LP Strike Price]],SnapshotTable[[#This Row],[LP Exp Date]],1), "")</f>
        <v/>
      </c>
      <c r="GM42" s="30" t="str">
        <f>IF(LEN(SnapshotTable[[#This Row],[LP Symbol]])&gt;0, 1, "")</f>
        <v/>
      </c>
      <c r="GN42" s="43" t="str">
        <f>IF(AND(SnapshotTable[[#This Row],[SP Exp Date]]&gt;0,SnapshotTable[[#This Row],[SP Strike Price]]&gt;0), [1]!ToOptionSymbol(SnapshotTable[[#This Row],[Symbol]], SnapshotTable[[#This Row],[SP Strike Price]],SnapshotTable[[#This Row],[SP Exp Date]],1), "")</f>
        <v/>
      </c>
      <c r="GO42" s="30" t="str">
        <f>IF(LEN(SnapshotTable[[#This Row],[SP Symbol]])&gt;0, 1, "")</f>
        <v/>
      </c>
      <c r="GP42" s="43" t="str">
        <f>IF(AND(SnapshotTable[[#This Row],[LC Exp Date]]&gt;0,SnapshotTable[[#This Row],[LC Strike Price]]&gt;0), [1]!ToOptionSymbol(SnapshotTable[[#This Row],[Symbol]], SnapshotTable[[#This Row],[LC Strike Price]],SnapshotTable[[#This Row],[LC Exp Date]],0), "")</f>
        <v/>
      </c>
      <c r="GQ42" s="30" t="str">
        <f>IF(LEN(SnapshotTable[[#This Row],[LC Symbol]])&gt;0, 1, "")</f>
        <v/>
      </c>
      <c r="GR42" s="43" t="str">
        <f>IF(AND(SnapshotTable[[#This Row],[SC Exp Date]]&gt;0,SnapshotTable[[#This Row],[SC Strike Price]]&gt;0), [1]!ToOptionSymbol(SnapshotTable[[#This Row],[Symbol]], SnapshotTable[[#This Row],[SC Strike Price]],SnapshotTable[[#This Row],[SC Exp Date]],0), "")</f>
        <v/>
      </c>
      <c r="GS42" s="30" t="str">
        <f>IF(LEN(SnapshotTable[[#This Row],[SC Symbol]])&gt;0, 1, "")</f>
        <v/>
      </c>
      <c r="GT42" s="29" t="str">
        <f>IF(COUNT(SnapshotTable[[#This Row],[LP Symbol Count]],SnapshotTable[[#This Row],[SP Symbol Count]],SnapshotTable[[#This Row],[LC Symbol Count]],SnapshotTable[[#This Row],[SC Symbol Count]])&gt;0, "Y", "")</f>
        <v/>
      </c>
      <c r="GU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2" s="216">
        <f>MAX(SnapshotTable[[#This Row],[Equity Basis Total]],SnapshotTable[[#This Row],[Equity Value]]) + (SnapshotTable[[#This Row],[SP Potential Spend]]- SnapshotTable[[#This Row],[SP Premium]] + SnapshotTable[[#This Row],[LP Premium]])+ (SnapshotTable[[#This Row],[LC Premium]] - SnapshotTable[[#This Row],[SC Premium]])</f>
        <v>0</v>
      </c>
      <c r="GW42" s="137" t="str">
        <f>IF(AND(SnapshotTable[[#This Row],[Exposure]] &lt;&gt; 0),SnapshotTable[[#This Row],[Exposure]] / SnapshotTable[[#Totals],[Exposure]], "")</f>
        <v/>
      </c>
      <c r="GY42" s="351"/>
      <c r="HE42" s="253"/>
      <c r="HF42" s="253"/>
      <c r="HG42" s="351"/>
      <c r="HH42" s="351"/>
      <c r="HI42" s="351"/>
      <c r="HJ42" s="351"/>
    </row>
    <row r="43" spans="2:224" s="45" customFormat="1" ht="12.75" hidden="1" customHeight="1" x14ac:dyDescent="0.25">
      <c r="B43" s="12" t="s">
        <v>157</v>
      </c>
      <c r="C43" s="385">
        <v>163</v>
      </c>
      <c r="D43" s="200" t="s">
        <v>658</v>
      </c>
      <c r="E43" s="39">
        <f>SnapshotTable[[#This Row],[Last Price]]*(1 -CrashDiscount)</f>
        <v>138.54999999999998</v>
      </c>
      <c r="F43" s="26" t="s">
        <v>156</v>
      </c>
      <c r="G43" s="26" t="s">
        <v>7</v>
      </c>
      <c r="H43" s="147"/>
      <c r="I43" s="186">
        <v>44803.670138888891</v>
      </c>
      <c r="J43" s="187">
        <v>44803.670138888891</v>
      </c>
      <c r="K43" s="188"/>
      <c r="L43" s="297"/>
      <c r="M43" s="138">
        <v>2</v>
      </c>
      <c r="N43" s="138"/>
      <c r="O43" s="138"/>
      <c r="P43" s="22"/>
      <c r="Q43" s="25"/>
      <c r="R43" s="4" t="str">
        <f>IF(SnapshotTable[[#This Row],[Equity Basis Total]] &gt; 0, SnapshotTable[[#This Row],[Equity Basis Total]] / SnapshotTable[[#This Row],[Equity Shares]], "")</f>
        <v/>
      </c>
      <c r="S43" s="254">
        <f>SnapshotTable[[#This Row],[Last Price]] * SnapshotTable[[#This Row],[Equity Shares]]</f>
        <v>0</v>
      </c>
      <c r="T43" s="254">
        <f>SnapshotTable[[#This Row],[Equity Value]] - SnapshotTable[[#This Row],[Equity Basis Total]]</f>
        <v>0</v>
      </c>
      <c r="U43" s="255" t="str">
        <f>IF(SnapshotTable[[#This Row],[Equity Basis Total]] &gt; 0, SnapshotTable[[#This Row],[Equity G/L]] / SnapshotTable[[#This Row],[Equity Basis Total]], "")</f>
        <v/>
      </c>
      <c r="V43" s="253">
        <v>275</v>
      </c>
      <c r="W43" s="253">
        <v>195</v>
      </c>
      <c r="X43" s="4" t="str">
        <f>IF(AND(ISNUMBER(SnapshotTable[[#This Row],[Equity Basis Per Share]]),ISNUMBER(SnapshotTable[[#This Row],[Equity Target]])),SnapshotTable[[#This Row],[Equity Target]]-SnapshotTable[[#This Row],[Equity Basis Per Share]],"")</f>
        <v/>
      </c>
      <c r="Y43" s="4" t="str">
        <f>IF(AND(ISNUMBER(SnapshotTable[[#This Row],[Equity Basis Per Share]]),ISNUMBER(SnapshotTable[[#This Row],[Equity Stop Loss]])),SnapshotTable[[#This Row],[Equity Stop Loss]]-SnapshotTable[[#This Row],[Equity Basis Per Share]],"")</f>
        <v/>
      </c>
      <c r="Z43" s="260" t="str">
        <f>IFERROR( TEXT(SnapshotTable[[#This Row],[Equity Max Gain Per Share]] /ABS( SnapshotTable[[#This Row],[Equity Max Loss Per Share]]),"0.0 " ) &amp; " : 1", "")</f>
        <v/>
      </c>
      <c r="AA43" s="31" t="str">
        <f>IF(ISNUMBER(SnapshotTable[[#This Row],[Equity Max Gain Per Share]]),SnapshotTable[[#This Row],[Equity Max Gain Per Share]] * SnapshotTable[[#This Row],[Equity Shares]],"")</f>
        <v/>
      </c>
      <c r="AB43" s="31" t="str">
        <f>IF(ISNUMBER(SnapshotTable[[#This Row],[Equity Max Loss Per Share]]),SnapshotTable[[#This Row],[Equity Max Loss Per Share]] * SnapshotTable[[#This Row],[Equity Shares]],"")</f>
        <v/>
      </c>
      <c r="AC43" s="148"/>
      <c r="AD43" s="149"/>
      <c r="AE43" s="31">
        <f>(SnapshotTable[[#This Row],[Annual Dividend Per Share]] / 4) * SnapshotTable[[#This Row],[Equity Shares]]</f>
        <v>0</v>
      </c>
      <c r="AF43" s="31">
        <f>SnapshotTable[[#This Row],[Quarterly Div $]] * 4</f>
        <v>0</v>
      </c>
      <c r="AG43" s="7">
        <f>IF(SnapshotTable[[#This Row],[Annual Dividend Per Share]]&gt;0, SnapshotTable[[#This Row],[Annual Dividend Per Share]]  / SnapshotTable[[#This Row],[Last Price]], 0)</f>
        <v>0</v>
      </c>
      <c r="AH43" s="149"/>
      <c r="AI43" s="5"/>
      <c r="AJ43" s="136">
        <v>277.33999999999997</v>
      </c>
      <c r="AK43" s="150" t="str">
        <f>IF(ISNUMBER( SnapshotTable[[#This Row],[EBF Target]]),(SnapshotTable[[#This Row],[EBF Target]] - SnapshotTable[[#This Row],[Last Price]]) / SnapshotTable[[#This Row],[Last Price]], "")</f>
        <v/>
      </c>
      <c r="AL43" s="150" t="str">
        <f>IF(AND(SnapshotTable[[#This Row],[Equity Basis Total]] &gt; 0,ISNUMBER( SnapshotTable[[#This Row],[Long Term Target]])), SnapshotTable[[#This Row],[From Basis $]] / SnapshotTable[[#This Row],[Equity Basis Total]], "")</f>
        <v/>
      </c>
      <c r="AM43" s="9">
        <f>IF( AND(SnapshotTable[[#This Row],[Equity Shares]] &gt;0,ISNUMBER( SnapshotTable[[#This Row],[Long Term Target]])),(SnapshotTable[[#This Row],[Equity Shares]] * SnapshotTable[[#This Row],[Long Term Target]]) - SnapshotTable[[#This Row],[Equity Basis Total]],0)</f>
        <v>0</v>
      </c>
      <c r="AN43" s="9">
        <f>IF( AND(SnapshotTable[[#This Row],[Equity Shares]] &gt;0,ISNUMBER( SnapshotTable[[#This Row],[Long Term Target]])),(SnapshotTable[[#This Row],[Equity Shares]]*SnapshotTable[[#This Row],[Long Term Target]]) - SnapshotTable[[#This Row],[Equity Value]],0)</f>
        <v>0</v>
      </c>
      <c r="AO43" s="150">
        <f>IF(AND(ISNUMBER( SnapshotTable[[#This Row],[Long Term Target]]), ISNUMBER(SnapshotTable[[#This Row],[Last Price]])),(SnapshotTable[[#This Row],[Long Term Target]] - SnapshotTable[[#This Row],[Last Price]]) / SnapshotTable[[#This Row],[Last Price]], "")</f>
        <v>0.70147239263803662</v>
      </c>
      <c r="AP43" s="5">
        <v>220</v>
      </c>
      <c r="AQ43" s="38" t="s">
        <v>16</v>
      </c>
      <c r="AR43" s="5">
        <v>220</v>
      </c>
      <c r="AS43" s="38" t="s">
        <v>22</v>
      </c>
      <c r="AT43" s="144" t="s">
        <v>442</v>
      </c>
      <c r="AU43" s="185" t="str">
        <f>IF(OR(SnapshotTable[[#This Row],[LP No Fill]]="Y",SnapshotTable[[#This Row],[SP Is Filled]],SnapshotTable[[#This Row],[LC Not Filled]]="Y",SnapshotTable[[#This Row],[SC Is Filled]]),"Y","")</f>
        <v/>
      </c>
      <c r="AV43" s="205"/>
      <c r="AW43" s="211"/>
      <c r="AX43" s="206"/>
      <c r="AY43" s="205" t="str">
        <f>IF(SnapshotTable[[#This Row],[Implied Move]]&gt;0, SnapshotTable[[#This Row],[Last Price]]-SnapshotTable[[#This Row],[Implied Move]],"")</f>
        <v/>
      </c>
      <c r="AZ43" s="205" t="str">
        <f>IF(SnapshotTable[[#This Row],[Implied Move]]&gt;0, SnapshotTable[[#This Row],[Last Price]] + SnapshotTable[[#This Row],[Implied Move]],"")</f>
        <v/>
      </c>
      <c r="BA43" s="302">
        <v>149.38</v>
      </c>
      <c r="BB43" s="318"/>
      <c r="BC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3" s="321"/>
      <c r="BE43" s="5"/>
      <c r="BF43" s="14"/>
      <c r="BG43" s="13"/>
      <c r="BH43" s="13"/>
      <c r="BI43" s="5"/>
      <c r="BJ43" s="134">
        <f>IF(SnapshotTable[[#This Row],[LP Qty]] &gt; 0, SnapshotTable[[#This Row],[LP Qty]] * SnapshotTable[[#This Row],[LP Book Price]] * 100,0)</f>
        <v>0</v>
      </c>
      <c r="BK43" s="134">
        <f>IF(SnapshotTable[[#This Row],[LP Premium]] &gt; 0, SnapshotTable[[#This Row],[LP Qty]] * SnapshotTable[[#This Row],[LP Strike Price]] * 100,0)</f>
        <v>0</v>
      </c>
      <c r="BL43" s="152"/>
      <c r="BM43" s="355" t="str">
        <f>IF(SnapshotTable[[#This Row],[LP Premium]] &gt; 0,SnapshotTable[[#This Row],[LP Exp Date]]-MAX(SnapshotTable[[#This Row],[LP Book Date]], SnapshotTable[[#This Row],[LP Fill Date]]),"")</f>
        <v/>
      </c>
      <c r="BN43" s="355" t="str">
        <f>IF(ISNUMBER( SnapshotTable[[#This Row],[LP Term]]), SnapshotTable[[#This Row],[LP Exp Date]] - MockToday,"")</f>
        <v/>
      </c>
      <c r="BO43" s="161" t="str">
        <f>IF(AND(SnapshotTable[[#This Row],[LP Exp Date]]&gt;0, SnapshotTable[[#This Row],[LP Strike Price]]&gt;0,SnapshotTable[[#This Row],[LP Qty]]&gt;0,SnapshotTable[[#This Row],[LP Book Date]]&gt;0,SnapshotTable[[#This Row],[LP Book Price]]&gt;0,SnapshotTable[[#This Row],[LP Fill Date]]=0),"Y","")</f>
        <v/>
      </c>
      <c r="BP43" s="31" t="str">
        <f>IF(AND(SnapshotTable[[#This Row],[LP No Fill]]&lt;&gt;"Y",SnapshotTable[[#This Row],[LP Contract Value]]&gt;0, SnapshotTable[[#This Row],[LP Qty]]&gt;0), SnapshotTable[[#This Row],[LP Contract Value]]*SnapshotTable[[#This Row],[LP Qty]]*100,"")</f>
        <v/>
      </c>
      <c r="BQ43" s="13"/>
      <c r="BR43" s="5"/>
      <c r="BS43" s="36"/>
      <c r="BT43" s="145"/>
      <c r="BU43" s="13"/>
      <c r="BV43" s="5"/>
      <c r="BW43" s="382" t="b">
        <f>AND(ISNUMBER(SnapshotTable[[#This Row],[SP Exp Date]]), ISNUMBER(SnapshotTable[[#This Row],[SP Strike Price]]), ISNUMBER(SnapshotTable[[#This Row],[SP Qty]]), ISNUMBER(SnapshotTable[[#This Row],[SP Book Date]]), ISNUMBER(SnapshotTable[[#This Row],[SP Book Price]]))</f>
        <v>0</v>
      </c>
      <c r="BX43" s="382" t="b">
        <f>AND(SnapshotTable[[#This Row],[SP Is Booked]], NOT(ISBLANK(SnapshotTable[[#This Row],[SP Fill Date]])))</f>
        <v>0</v>
      </c>
      <c r="BY43" s="33">
        <f>IF(SnapshotTable[[#This Row],[SP Is Booked]], SnapshotTable[[#This Row],[SP Qty]] * SnapshotTable[[#This Row],[SP Book Price]] * 100, 0)</f>
        <v>0</v>
      </c>
      <c r="BZ43" s="339"/>
      <c r="CA43" s="338">
        <f>SnapshotTable[[#This Row],[LP Qty]]</f>
        <v>0</v>
      </c>
      <c r="CB43" s="4" t="str">
        <f>IF(SnapshotTable[[#This Row],[SP Is Booked]], SnapshotTable[[#This Row],[SP Strike Price]] - SnapshotTable[[#This Row],[SP Book Price]], "")</f>
        <v/>
      </c>
      <c r="CC43" s="19" t="str">
        <f>IF(SnapshotTable[[#This Row],[SP Is Booked]],SnapshotTable[[#This Row],[SP Exp Date]]-MAX(SnapshotTable[[#This Row],[SP Book Date]], SnapshotTable[[#This Row],[SP Fill Date]]),"")</f>
        <v/>
      </c>
      <c r="CD43" s="7" t="str">
        <f>IF(SnapshotTable[[#This Row],[SP Is Booked]], SnapshotTable[[#This Row],[SP Book Price]]/SnapshotTable[[#This Row],[SP Strike Price]], "")</f>
        <v/>
      </c>
      <c r="CE43" s="7" t="str">
        <f>IF(ISNUMBER(SnapshotTable[[#This Row],[SP ROO Term]]),SnapshotTable[[#This Row],[SP ROO Term]]*(365/SnapshotTable[[#This Row],[SP Term]]),"")</f>
        <v/>
      </c>
      <c r="CF43" s="221">
        <f>SnapshotTable[[#This Row],[LP Strike Price]] * SnapshotTable[[#This Row],[LP Qty]] * 100</f>
        <v>0</v>
      </c>
      <c r="CG43" s="31">
        <f>IF(ISNUMBER(SnapshotTable[[#This Row],[SP Premium]]), (SnapshotTable[[#This Row],[SP Qty]] * SnapshotTable[[#This Row],[SP Strike Price]]* 100) - SnapshotTable[[#This Row],[LP Protection]], 0)</f>
        <v>0</v>
      </c>
      <c r="CH43" s="7" t="str">
        <f>IF(ISNUMBER(SnapshotTable[[#This Row],[SP Break Even]]),-1 * (SnapshotTable[[#This Row],[SP Break Even]] - SnapshotTable[[#This Row],[Last Price]]) / SnapshotTable[[#This Row],[Last Price]], "")</f>
        <v/>
      </c>
      <c r="CI43" s="31">
        <f>IF(AND(ISNUMBER((SnapshotTable[[#This Row],[SP Potential Spend]])), SnapshotTable[[#This Row],[SP Strike Price]] &gt; SnapshotTable[[#This Row],[Last Price]], SnapshotTable[[#This Row],[SP Is Filled]]), SnapshotTable[[#This Row],[SP Potential Spend]] -  SnapshotTable[[#This Row],[LP Max Value]], 0)</f>
        <v>0</v>
      </c>
      <c r="CJ43" s="229">
        <v>0.75</v>
      </c>
      <c r="CK43" s="31">
        <f>IF(ISNUMBER(SnapshotTable[[#This Row],[SP Potential Spend]]),IF(ISNUMBER(SnapshotTable[[#This Row],[SP POW]]), SnapshotTable[[#This Row],[SP POW]] * SnapshotTable[[#This Row],[SP Potential Spend]], SnapshotTable[[#This Row],[SP Potential Spend]]), "")</f>
        <v>0</v>
      </c>
      <c r="CL43" s="162">
        <f>IF(NOT(SnapshotTable[[#This Row],[SP Is Filled]]),(SnapshotTable[[#This Row],[SP Qty]] * SnapshotTable[[#This Row],[SP Strike Price]] * 100) - SnapshotTable[[#This Row],[LP Max Value]],"")</f>
        <v>0</v>
      </c>
      <c r="CM43" s="31" t="str">
        <f>IF(SnapshotTable[[#This Row],[SP Actual Spend]]&lt;&gt;0, ((SnapshotTable[[#This Row],[SP Strike Price]]-SnapshotTable[[#This Row],[Last Price]]) *(SnapshotTable[[#This Row],[SP Qty]]*100) - SnapshotTable[[#This Row],[SP Premium]]) * - 1, "")</f>
        <v/>
      </c>
      <c r="CN43" s="204"/>
      <c r="CO43" s="339"/>
      <c r="CP43" s="4" t="str">
        <f>IF(SnapshotTable[[#This Row],[SP Is Filled]], btc_max_buyback_amount(SnapshotTable[[#This Row],[SP Fill Date]],SnapshotTable[[#This Row],[SP Exp Date]], SnapshotTable[[#This Row],[SP Book Price]]),"")</f>
        <v/>
      </c>
      <c r="CQ43" s="76"/>
      <c r="CR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3" s="153" t="str">
        <f>IF(SnapshotTable[[#This Row],[SP Is Filled]], btc_next_cutoff_date(SnapshotTable[[#This Row],[SP Fill Date]],SnapshotTable[[#This Row],[SP Exp Date]]),"")</f>
        <v/>
      </c>
      <c r="CT43" s="220" t="str" cm="1">
        <f t="array" ref="CT43">IF(SnapshotTable[[#This Row],[SP Is Filled]], btc_should_buy_back(SnapshotTable[[#This Row],[SP Fill Date]], SnapshotTable[[#This Row],[SP Exp Date]], SnapshotTable[[#This Row],[SP Book Price]], SnapshotTable[[#This Row],[SP Current Ask]], MockToday, SnapshotTable[[#This Row],[SP Buyback Override]]),"")</f>
        <v/>
      </c>
      <c r="CU43" s="141"/>
      <c r="CV43" s="220"/>
      <c r="CW43" s="348" t="str">
        <f>IF(ISNUMBER( SnapshotTable[[#This Row],[SP Term]]), SnapshotTable[[#This Row],[SP Exp Date]] - MockToday,"")</f>
        <v/>
      </c>
      <c r="CX43" s="31" t="str">
        <f>IF(SnapshotTable[[#This Row],[SP Is Filled]],SnapshotTable[[#This Row],[SP Buyback Price to Use]] * 100 * SnapshotTable[[#This Row],[SP Qty]], "")</f>
        <v/>
      </c>
      <c r="CY43" s="4" t="str">
        <f>IF(ISNUMBER(SnapshotTable[[#This Row],[SP Strike Price]]), SnapshotTable[[#This Row],[SP Strike Price]] * (1 - SP_MaxLoss_StrikePct), "")</f>
        <v/>
      </c>
      <c r="CZ43" s="31" t="str">
        <f>IF(ISNUMBER(SnapshotTable[[#This Row],[SP Strike  Stop Per Share]]),SnapshotTable[[#This Row],[SP Premium]] - ((SnapshotTable[[#This Row],[SP Strike Price]]-SnapshotTable[[#This Row],[SP Strike  Stop Per Share]]) *(SnapshotTable[[#This Row],[SP Qty]] * 100)),"")</f>
        <v/>
      </c>
      <c r="DA43" s="4" t="str">
        <f>IF(AND(ISNUMBER(SnapshotTable[[#This Row],[SP Premium]]),SnapshotTable[[#This Row],[SP Premium]]&gt;0), SnapshotTable[[#This Row],[SP Book Price]] * (1 + SP_MaxLoss_OptionPct), "")</f>
        <v/>
      </c>
      <c r="DB43" s="31" t="str">
        <f>IF(ISNUMBER(SnapshotTable[[#This Row],[SP Option  Stop Contract]]),(SnapshotTable[[#This Row],[SP Option  Stop Contract]] *(SnapshotTable[[#This Row],[SP Qty]] * 100) - SnapshotTable[[#This Row],[SP Premium]]),"")</f>
        <v/>
      </c>
      <c r="DC43" s="4"/>
      <c r="DD43" s="4"/>
      <c r="DE43" s="4" t="str">
        <f>IF(AND(SnapshotTable[[#This Row],[SP Qty]]&gt;0, SnapshotTable[[#This Row],[SP Stop To Use]]&gt;0),SnapshotTable[[#This Row],[SP Premium]] - ( SnapshotTable[[#This Row],[SP Qty]] * SnapshotTable[[#This Row],[SP Stop To Use]] * 100), "")</f>
        <v/>
      </c>
      <c r="DF43" s="31" t="str">
        <f>IF(AND(SnapshotTable[[#This Row],[SP Qty]]&gt;0,SnapshotTable[[#This Row],[SP Current Ask]]&gt;0), SnapshotTable[[#This Row],[SP Qty]] * SnapshotTable[[#This Row],[SP Current Ask]] * -100, "")</f>
        <v/>
      </c>
      <c r="DG43" s="31" t="str">
        <f>IF(ISNUMBER((SnapshotTable[[#This Row],[SP Total Value]])), SnapshotTable[[#This Row],[SP Premium]] + SnapshotTable[[#This Row],[SP Total Value]], "")</f>
        <v/>
      </c>
      <c r="DH43" s="272" t="str">
        <f>IF(ISNUMBER((SnapshotTable[[#This Row],[SP Total Value]])), SnapshotTable[[#This Row],[SP Gain Loss]] / SnapshotTable[[#This Row],[SP Premium]], "")</f>
        <v/>
      </c>
      <c r="DI43" s="369"/>
      <c r="DJ43" s="136"/>
      <c r="DK43" s="146"/>
      <c r="DL43" s="13"/>
      <c r="DM43" s="13"/>
      <c r="DN43" s="5"/>
      <c r="DO43" s="31">
        <f>IF(SnapshotTable[[#This Row],[LC Symbol Count]]=1, SnapshotTable[[#This Row],[LC Qty]] * SnapshotTable[[#This Row],[LC Book Price]] * 100, 0)</f>
        <v>0</v>
      </c>
      <c r="DP43" s="161" t="str">
        <f>IF(AND(SnapshotTable[[#This Row],[LC Exp Date]]&gt;0, SnapshotTable[[#This Row],[LC Strike Price]]&gt;0,SnapshotTable[[#This Row],[LC Qty]]&gt;0,SnapshotTable[[#This Row],[LC Book Date]]&gt;0,SnapshotTable[[#This Row],[LC Book Price]]&gt;0,SnapshotTable[[#This Row],[LC Fill Date]]=0),"Y","")</f>
        <v/>
      </c>
      <c r="DQ43" s="356" t="str">
        <f>IF(SnapshotTable[[#This Row],[LC Premium]] &gt; 0,SnapshotTable[[#This Row],[LC Exp Date]]-MAX(SnapshotTable[[#This Row],[LC Book Date]], SnapshotTable[[#This Row],[LC Fill Date]]),"")</f>
        <v/>
      </c>
      <c r="DR43" s="356" t="str">
        <f>IF(ISNUMBER(SnapshotTable[[#This Row],[LC Term]]), SnapshotTable[[#This Row],[LC Exp Date]] - MockToday, "")</f>
        <v/>
      </c>
      <c r="DS43" s="219" t="str">
        <f>IF(SnapshotTable[[#This Row],[LC Premium]]&gt;0,SnapshotTable[[#This Row],[LC Strike Price]] + SnapshotTable[[#This Row],[LC Book Price]],"")</f>
        <v/>
      </c>
      <c r="DT43" s="5"/>
      <c r="DU43" s="9" t="str">
        <f>IF(AND(SnapshotTable[[#This Row],[LC Symbol Count]]&gt;0, SnapshotTable[[#This Row],[LC Contract Value]]&gt;0), SnapshotTable[[#This Row],[LC Contract Value]] * SnapshotTable[[#This Row],[LC Qty]] * 100, "")</f>
        <v/>
      </c>
      <c r="DV43" s="9" t="str">
        <f>IF(AND(ISNUMBER(SnapshotTable[[#This Row],[LC Total Value]]), SnapshotTable[[#This Row],[LC Not Filled]]&lt;&gt;"Y"), SnapshotTable[[#This Row],[LC Total Value]]-SnapshotTable[[#This Row],[LC Premium]],"")</f>
        <v/>
      </c>
      <c r="DW43" s="225" t="str">
        <f>IF(ISNUMBER(SnapshotTable[[#This Row],[LC Actual Gain Loss]]), SnapshotTable[[#This Row],[LC Actual Gain Loss]] / SnapshotTable[[#This Row],[LC Premium]],"")</f>
        <v/>
      </c>
      <c r="DX43" s="269" t="str">
        <f>IF(ISNUMBER(SnapshotTable[[#This Row],[LC Book Price]]),SnapshotTable[[#This Row],[LC Book Price]] * 1.5,"")</f>
        <v/>
      </c>
      <c r="DY43" s="250" t="str">
        <f>IF(SnapshotTable[[#This Row],[LC Premium]]&gt;0, SnapshotTable[[#This Row],[LC Next Target]] * SnapshotTable[[#This Row],[LC Qty]] * 100,"")</f>
        <v/>
      </c>
      <c r="DZ43" s="250" t="str">
        <f>IF(ISNUMBER(SnapshotTable[[#This Row],[LC Target Gross]]), SnapshotTable[[#This Row],[LC Target Gross]] - SnapshotTable[[#This Row],[LC Premium]], "")</f>
        <v/>
      </c>
      <c r="EA43" s="283" t="str">
        <f>IF(ISNUMBER(SnapshotTable[[#This Row],[LC Target Gain Loss]]), SnapshotTable[[#This Row],[LC Target Gain Loss]]/SnapshotTable[[#This Row],[LC Premium]], "")</f>
        <v/>
      </c>
      <c r="EB43" s="247"/>
      <c r="EC43" s="268" t="str">
        <f>IF(SnapshotTable[[#This Row],[LC Premium]]&gt;0, SnapshotTable[[#This Row],[LC Book Price]] * (1 - LC_StopLoss_Pct),"")</f>
        <v/>
      </c>
      <c r="ED43" s="269"/>
      <c r="EE43" s="268" t="str">
        <f>IF(ISNUMBER(SnapshotTable[[#This Row],[LC Contract Value]]),IF(ISNUMBER(SnapshotTable[[#This Row],[LC Stop Loss Override]]), SnapshotTable[[#This Row],[LC Stop Loss Override]],SnapshotTable[[#This Row],[LC Stop Loss Calc Target]]),"")</f>
        <v/>
      </c>
      <c r="EF43" s="31" t="str">
        <f>IF(ISNUMBER(SnapshotTable[[#This Row],[LC Stop  To Use]]), (SnapshotTable[[#This Row],[LC Stop  To Use]] * SnapshotTable[[#This Row],[LC Qty]] * 100),"")</f>
        <v/>
      </c>
      <c r="EG43" s="9" t="str">
        <f>IF(ISNUMBER(SnapshotTable[[#This Row],[LC Total Value]]),SnapshotTable[[#This Row],[LC Stop Loss Amount]] - SnapshotTable[[#This Row],[LC Premium]],"")</f>
        <v/>
      </c>
      <c r="EH43" s="9">
        <f>IF(ISNUMBER(SnapshotTable[[#This Row],[LC Premium]]), SnapshotTable[[#This Row],[LC Qty]] * 100 * SnapshotTable[[#This Row],[LC Strike Price]], "")</f>
        <v>0</v>
      </c>
      <c r="EI43" s="225" t="str">
        <f>IF(AND(ISNUMBER(SnapshotTable[[#This Row],[LC Total Value]]),SnapshotTable[[#This Row],[LC Total Value]]&gt;0),SnapshotTable[[#This Row],[LC Stop Gain Loss]]  / SnapshotTable[[#This Row],[LC Premium]],"")</f>
        <v/>
      </c>
      <c r="EJ43" s="35">
        <f>IF(ISNUMBER(SnapshotTable[[#This Row],[Equity Shares]]),TRUNC(SnapshotTable[[#This Row],[Equity Shares]] / 100),0) + SnapshotTable[[#This Row],[LC Qty]]</f>
        <v>0</v>
      </c>
      <c r="EK43" s="145"/>
      <c r="EL43" s="136"/>
      <c r="EM43" s="146"/>
      <c r="EN43" s="145"/>
      <c r="EO43" s="145"/>
      <c r="EP43" s="136"/>
      <c r="EQ43" s="382" t="b">
        <f>AND(ISNUMBER(SnapshotTable[[#This Row],[SC Exp Date]]), ISNUMBER(SnapshotTable[[#This Row],[SC Strike Price]]), ISNUMBER(SnapshotTable[[#This Row],[SC Qty]]), ISNUMBER(SnapshotTable[[#This Row],[SC Book Date]]), ISNUMBER(SnapshotTable[[#This Row],[SC Book Price]]))</f>
        <v>0</v>
      </c>
      <c r="ER43" s="382" t="b">
        <f>AND(SnapshotTable[[#This Row],[SC Is Booked]], NOT(ISBLANK(SnapshotTable[[#This Row],[SC Fill Date]])))</f>
        <v>0</v>
      </c>
      <c r="ES43" s="340"/>
      <c r="ET43" s="34" t="str">
        <f>IF(AND(ISNUMBER(SnapshotTable[[#This Row],[SC Exp Date]]), ISNUMBER(SnapshotTable[[#This Row],[SC Book Date]])), SnapshotTable[[#This Row],[SC Exp Date]] - MAX(SnapshotTable[[#This Row],[SC Book Date]], SnapshotTable[[#This Row],[SC Fill Date]]) + 1, "")</f>
        <v/>
      </c>
      <c r="EU43" s="34" t="str">
        <f>IF(ISNUMBER(SnapshotTable[[#This Row],[SC Term]]), SnapshotTable[[#This Row],[SC Exp Date]]- MockToday, "")</f>
        <v/>
      </c>
      <c r="EV43" s="31">
        <f>IF(SnapshotTable[[#This Row],[SC Is Booked]], SnapshotTable[[#This Row],[SC Qty]] * SnapshotTable[[#This Row],[SC Book Price]] * 100, 0)</f>
        <v>0</v>
      </c>
      <c r="EW43" s="4" t="str">
        <f>IF(AND(ISNUMBER(SnapshotTable[[#This Row],[Last Price]]), ISNUMBER( SnapshotTable[[#This Row],[SC Book Price]])), SnapshotTable[[#This Row],[Last Price]] - SnapshotTable[[#This Row],[SC Book Price]],"")</f>
        <v/>
      </c>
      <c r="EX43" s="219" t="str">
        <f>IF(SnapshotTable[[#This Row],[SC Is Booked]],IF(SnapshotTable[[#This Row],[SC Intrinsic Value]] &gt; 0, SnapshotTable[[#This Row],[SC Strike Price]], SnapshotTable[[#This Row],[Last Price]]), "")</f>
        <v/>
      </c>
      <c r="EY43" s="4">
        <f>IF(SnapshotTable[[#This Row],[SC Is Booked]], (MinimumPremiumRequired * SnapshotTable[[#This Row],[SC Basis]] * SnapshotTable[[#This Row],[SC Term]]), 0)</f>
        <v>0</v>
      </c>
      <c r="EZ43" s="268"/>
      <c r="FA43" s="204"/>
      <c r="FB43" s="340"/>
      <c r="FC43" s="4">
        <f>IF(SnapshotTable[[#This Row],[SC Is Filled]], btc_max_buyback_amount(SnapshotTable[[#This Row],[SC Fill Date]],SnapshotTable[[#This Row],[SC Exp Date]], SnapshotTable[[#This Row],[SC Book Price]]),0)</f>
        <v>0</v>
      </c>
      <c r="FD43" s="5"/>
      <c r="FE43" s="142" t="str">
        <f>IF(SnapshotTable[[#This Row],[SC Is Filled]], btc_next_cutoff_date(SnapshotTable[[#This Row],[SC Fill Date]],SnapshotTable[[#This Row],[SC Exp Date]]),"")</f>
        <v/>
      </c>
      <c r="FF43" s="4" t="str" cm="1">
        <f t="array" ref="FF43">IF(SnapshotTable[[#This Row],[SC Is Filled]], btc_should_buy_back(SnapshotTable[[#This Row],[SC Fill Date]], SnapshotTable[[#This Row],[SC Exp Date]], SnapshotTable[[#This Row],[SC Book Price]], SnapshotTable[[#This Row],[SC Current Ask]], MockToday, SnapshotTable[[#This Row],[SC Buyback Override]]),"")</f>
        <v/>
      </c>
      <c r="FG43" s="4">
        <f>IF(SnapshotTable[[#This Row],[SC Is Filled]], MAX(0,SnapshotTable[[#This Row],[Last Price]]  - SnapshotTable[[#This Row],[SC Strike Price]]), 0)</f>
        <v>0</v>
      </c>
      <c r="FH43" s="352">
        <f>IF(SnapshotTable[[#This Row],[SC Is Filled]], IF(ISNUMBER(SnapshotTable[[#This Row],[SC Current Ask]]), SnapshotTable[[#This Row],[SC Current Ask]], SnapshotTable[[#This Row],[SC Book Price]]) - SnapshotTable[[#This Row],[SC Intrinsic Value]], 0)</f>
        <v>0</v>
      </c>
      <c r="FI43" s="141"/>
      <c r="FJ43" s="32" t="str">
        <f>IF(SnapshotTable[[#This Row],[SC Is Filled]],100 * SnapshotTable[[#This Row],[SC Qty]] * IF(ISNUMBER(SnapshotTable[[#This Row],[SC Buyback Override]]), SnapshotTable[[#This Row],[SC Buyback Override]], SnapshotTable[[#This Row],[SC Current Ask]]), "")</f>
        <v/>
      </c>
      <c r="FK43" s="235" t="str">
        <f>IF(SnapshotTable[[#This Row],[SC Time Val]]&gt;0, SnapshotTable[[#This Row],[SC Time Val]] / SnapshotTable[[#This Row],[Last Price]],"")</f>
        <v/>
      </c>
      <c r="FL43" s="280" t="str">
        <f>IF(SnapshotTable[[#This Row],[SC Is Booked]], ((SnapshotTable[[#This Row],[Last Price]] -SnapshotTable[[#This Row],[SC Strike Price]]) / SnapshotTable[[#This Row],[Last Price]]) * -1, "")</f>
        <v/>
      </c>
      <c r="FM43" s="155" t="str">
        <f>IF(SnapshotTable[[#This Row],[SC Is Booked]],  (SnapshotTable[[#This Row],[SC Qty]] * 100 * SnapshotTable[[#This Row],[SC Strike Price]]) - SnapshotTable[[#This Row],[SC Current Ask]], "")</f>
        <v/>
      </c>
      <c r="FN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3" s="31" t="str">
        <f>IF(AND(ISNUMBER(SnapshotTable[[#This Row],[SC Exercise Gross]]), ISNUMBER(SnapshotTable[[#This Row],[Equity Basis Per Share]] )), SnapshotTable[[#This Row],[SC Exercise Gross]] - SnapshotTable[[#This Row],[Equity Basis Total]] +  SnapshotTable[[#This Row],[SC Premium]], "")</f>
        <v/>
      </c>
      <c r="FP43" s="5" t="str">
        <f>IF(ISNUMBER(SnapshotTable[[#This Row],[SC Exercise Gross]]), (SnapshotTable[[#This Row],[SC Exercise Gross]]) / (SnapshotTable[[#This Row],[SC Qty]] * 100), "")</f>
        <v/>
      </c>
      <c r="FQ43" s="27" t="str">
        <f>IF(SnapshotTable[[#This Row],[SC Is Booked]],SnapshotTable[[#This Row],[SC Time Val]] /SnapshotTable[[#This Row],[SC Basis]], "")</f>
        <v/>
      </c>
      <c r="FR43" s="27" t="str" cm="1">
        <f t="array" ref="FR43">IF(AND(ISNUMBER(SnapshotTable[[#This Row],[SC Term]]),ISNUMBER(SnapshotTable[[#This Row],[SC Simple ROO]])), EllmanAnnualize(SnapshotTable[[#This Row],[SC DTE]], SnapshotTable[[#This Row],[SC Simple ROO]] ),"")</f>
        <v/>
      </c>
      <c r="FS43" s="4">
        <f>IF(SnapshotTable[[#This Row],[SC Strike Price]] &gt; SnapshotTable[[#This Row],[Last Price]], SnapshotTable[[#This Row],[SC Strike Price]] - SnapshotTable[[#This Row],[Last Price]],0)</f>
        <v>0</v>
      </c>
      <c r="FT43" s="27" t="str">
        <f>IF(AND(ISNUMBER(SnapshotTable[[#This Row],[SC Upside Potential]]), SnapshotTable[[#This Row],[SC Upside Potential]] &gt; 0),(SnapshotTable[[#This Row],[SC Upside Potential]]/ SnapshotTable[[#This Row],[ACB]]),"")</f>
        <v/>
      </c>
      <c r="FU43" s="304" t="str">
        <f>IF(SnapshotTable[[#This Row],[SC Intrinsic Value]] &gt; 0,SnapshotTable[[#This Row],[SC Intrinsic Value]],"")</f>
        <v/>
      </c>
      <c r="FV43" s="27" t="str">
        <f>IF(AND( ISNUMBER( SnapshotTable[[#This Row],[ACB]]),ISNUMBER(SnapshotTable[[#This Row],[SC Downside Protect]])),SnapshotTable[[#This Row],[SC Downside Protect]] / SnapshotTable[[#This Row],[ACB]],"")</f>
        <v/>
      </c>
      <c r="FW43" s="221" t="str">
        <f>IF(AND(ISNUMBER(SnapshotTable[[#This Row],[SC Simple ROO]]),SnapshotTable[[#This Row],[SC Simple ROO]] &gt; 0), SnapshotTable[[#This Row],[SC Premium]] + (SnapshotTable[[#This Row],[SC Qty]] * SnapshotTable[[#This Row],[SC Upside Potential]]), "")</f>
        <v/>
      </c>
      <c r="FX43" s="280" t="str" cm="1">
        <f t="array" ref="FX43">IF(ISNUMBER(SnapshotTable[[#This Row],[SC Max Dollars]]), annualize(SnapshotTable[[#This Row],[SC Term]],(SnapshotTable[[#This Row],[SC Max Dollars]]/SnapshotTable[[#This Row],[SC Basis]])),"")</f>
        <v/>
      </c>
      <c r="FY43" s="221" t="str">
        <f>IF(AND(SnapshotTable[[#This Row],[SC Qty]]&gt;0,SnapshotTable[[#This Row],[SC Current Ask]]&gt;0), SnapshotTable[[#This Row],[SC Qty]] * SnapshotTable[[#This Row],[SC Current Ask]] * -100, "")</f>
        <v/>
      </c>
      <c r="FZ43" s="31" t="str">
        <f>IF(ISNUMBER((SnapshotTable[[#This Row],[SC Current Value]])), SnapshotTable[[#This Row],[SC Premium]] + SnapshotTable[[#This Row],[SC Current Value]], "")</f>
        <v/>
      </c>
      <c r="GA43" s="272" t="str">
        <f>IFERROR( IF(ISNUMBER((SnapshotTable[[#This Row],[SC Current Value]])), SnapshotTable[[#This Row],[SC Gain Loss]] / SnapshotTable[[#This Row],[SC Premium]], ""), "")</f>
        <v/>
      </c>
      <c r="GB43" s="42">
        <f>SnapshotTable[[#This Row],[Equity Shares]] * SaleSharesToConsiderPercentage</f>
        <v>0</v>
      </c>
      <c r="GC43" s="40">
        <f>SnapshotTable[[#This Row],[Long Term Target]] * SellingPriceToConsiderBasedOnTargetPercentage</f>
        <v>263.47299999999996</v>
      </c>
      <c r="GD43" s="40">
        <f>SnapshotTable[[#This Row],[Last Price]] * (1+ SellingPriceToConsiderBasedOnTargetPercentage)</f>
        <v>317.84999999999997</v>
      </c>
      <c r="GE43" s="41"/>
      <c r="GF43" s="40"/>
      <c r="GG43" s="31">
        <f>SnapshotTable[[#This Row],[Booked Sale Shares]] * SnapshotTable[[#This Row],[Booked Sale Price]]</f>
        <v>0</v>
      </c>
      <c r="GH43" s="31" t="str">
        <f>IF(SnapshotTable[[#This Row],[Equity Basis Total]] &gt; 0, SnapshotTable[[#This Row],[Equity Basis Per Share]] * SnapshotTable[[#This Row],[Booked Sale Shares]], "")</f>
        <v/>
      </c>
      <c r="GI43" s="31">
        <f>IF(SnapshotTable[[#This Row],[Sale Proceeds]]&gt;0, SnapshotTable[[#This Row],[Sale Proceeds]] - SnapshotTable[[#This Row],[Sale Basis]], 0)</f>
        <v>0</v>
      </c>
      <c r="GJ43" s="27" t="str">
        <f>IF(SnapshotTable[[#This Row],[Sale G/L]]&gt;0, SnapshotTable[[#This Row],[Sale G/L]] / SnapshotTable[[#This Row],[Sale Basis]], IF(ISNUMBER(SnapshotTable[[#This Row],[SC Exercise P&amp;L (TAX)]]), SnapshotTable[[#This Row],[SC Exercise P&amp;L (TAX)]] / SnapshotTable[[#This Row],[SC Basis]], ""))</f>
        <v/>
      </c>
      <c r="GK43" s="27" t="s">
        <v>601</v>
      </c>
      <c r="GL43" s="43" t="str">
        <f>IF(AND(SnapshotTable[[#This Row],[LP Exp Date]]&gt;0,SnapshotTable[[#This Row],[LP Strike Price]]&gt;0), [1]!ToOptionSymbol(SnapshotTable[[#This Row],[Symbol]], SnapshotTable[[#This Row],[LP Strike Price]],SnapshotTable[[#This Row],[LP Exp Date]],1), "")</f>
        <v/>
      </c>
      <c r="GM43" s="30" t="str">
        <f>IF(LEN(SnapshotTable[[#This Row],[LP Symbol]])&gt;0, 1, "")</f>
        <v/>
      </c>
      <c r="GN43" s="43" t="str">
        <f>IF(AND(SnapshotTable[[#This Row],[SP Exp Date]]&gt;0,SnapshotTable[[#This Row],[SP Strike Price]]&gt;0), [1]!ToOptionSymbol(SnapshotTable[[#This Row],[Symbol]], SnapshotTable[[#This Row],[SP Strike Price]],SnapshotTable[[#This Row],[SP Exp Date]],1), "")</f>
        <v/>
      </c>
      <c r="GO43" s="30" t="str">
        <f>IF(LEN(SnapshotTable[[#This Row],[SP Symbol]])&gt;0, 1, "")</f>
        <v/>
      </c>
      <c r="GP43" s="43" t="str">
        <f>IF(AND(SnapshotTable[[#This Row],[LC Exp Date]]&gt;0,SnapshotTable[[#This Row],[LC Strike Price]]&gt;0), [1]!ToOptionSymbol(SnapshotTable[[#This Row],[Symbol]], SnapshotTable[[#This Row],[LC Strike Price]],SnapshotTable[[#This Row],[LC Exp Date]],0), "")</f>
        <v/>
      </c>
      <c r="GQ43" s="30" t="str">
        <f>IF(LEN(SnapshotTable[[#This Row],[LC Symbol]])&gt;0, 1, "")</f>
        <v/>
      </c>
      <c r="GR43" s="43" t="str">
        <f>IF(AND(SnapshotTable[[#This Row],[SC Exp Date]]&gt;0,SnapshotTable[[#This Row],[SC Strike Price]]&gt;0), [1]!ToOptionSymbol(SnapshotTable[[#This Row],[Symbol]], SnapshotTable[[#This Row],[SC Strike Price]],SnapshotTable[[#This Row],[SC Exp Date]],0), "")</f>
        <v/>
      </c>
      <c r="GS43" s="30" t="str">
        <f>IF(LEN(SnapshotTable[[#This Row],[SC Symbol]])&gt;0, 1, "")</f>
        <v/>
      </c>
      <c r="GT43" s="29" t="str">
        <f>IF(COUNT(SnapshotTable[[#This Row],[LP Symbol Count]],SnapshotTable[[#This Row],[SP Symbol Count]],SnapshotTable[[#This Row],[LC Symbol Count]],SnapshotTable[[#This Row],[SC Symbol Count]])&gt;0, "Y", "")</f>
        <v/>
      </c>
      <c r="GU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3" s="216">
        <f>MAX(SnapshotTable[[#This Row],[Equity Basis Total]],SnapshotTable[[#This Row],[Equity Value]]) + (SnapshotTable[[#This Row],[SP Potential Spend]]- SnapshotTable[[#This Row],[SP Premium]] + SnapshotTable[[#This Row],[LP Premium]])+ (SnapshotTable[[#This Row],[LC Premium]] - SnapshotTable[[#This Row],[SC Premium]])</f>
        <v>0</v>
      </c>
      <c r="GW43" s="137" t="str">
        <f>IF(AND(SnapshotTable[[#This Row],[Exposure]] &lt;&gt; 0),SnapshotTable[[#This Row],[Exposure]] / SnapshotTable[[#Totals],[Exposure]], "")</f>
        <v/>
      </c>
      <c r="GY43" s="351"/>
      <c r="HE43" s="253"/>
      <c r="HF43" s="253"/>
      <c r="HG43" s="351"/>
      <c r="HH43" s="351"/>
      <c r="HI43" s="351"/>
      <c r="HJ43" s="351"/>
    </row>
    <row r="44" spans="2:224" s="45" customFormat="1" ht="12.75" hidden="1" customHeight="1" x14ac:dyDescent="0.25">
      <c r="B44" s="12" t="s">
        <v>135</v>
      </c>
      <c r="C44" s="385">
        <v>348.74</v>
      </c>
      <c r="D44" s="200"/>
      <c r="E44" s="39">
        <f>SnapshotTable[[#This Row],[Last Price]]*(1 -CrashDiscount)</f>
        <v>296.42899999999997</v>
      </c>
      <c r="F44" s="26" t="s">
        <v>125</v>
      </c>
      <c r="G44" s="26" t="s">
        <v>4</v>
      </c>
      <c r="H44" s="147"/>
      <c r="I44" s="186">
        <v>44764.291666666664</v>
      </c>
      <c r="J44" s="187">
        <v>44764.291666666664</v>
      </c>
      <c r="K44" s="188"/>
      <c r="L44" s="297"/>
      <c r="M44" s="138"/>
      <c r="N44" s="138"/>
      <c r="O44" s="138"/>
      <c r="P44" s="22"/>
      <c r="Q44" s="25"/>
      <c r="R44" s="4" t="str">
        <f>IF(SnapshotTable[[#This Row],[Equity Basis Total]] &gt; 0, SnapshotTable[[#This Row],[Equity Basis Total]] / SnapshotTable[[#This Row],[Equity Shares]], "")</f>
        <v/>
      </c>
      <c r="S44" s="254">
        <f>SnapshotTable[[#This Row],[Last Price]] * SnapshotTable[[#This Row],[Equity Shares]]</f>
        <v>0</v>
      </c>
      <c r="T44" s="254">
        <f>SnapshotTable[[#This Row],[Equity Value]] - SnapshotTable[[#This Row],[Equity Basis Total]]</f>
        <v>0</v>
      </c>
      <c r="U44" s="255" t="str">
        <f>IF(SnapshotTable[[#This Row],[Equity Basis Total]] &gt; 0, SnapshotTable[[#This Row],[Equity G/L]] / SnapshotTable[[#This Row],[Equity Basis Total]], "")</f>
        <v/>
      </c>
      <c r="V44" s="253"/>
      <c r="W44" s="253"/>
      <c r="X44" s="4" t="str">
        <f>IF(AND(ISNUMBER(SnapshotTable[[#This Row],[Equity Basis Per Share]]),ISNUMBER(SnapshotTable[[#This Row],[Equity Target]])),SnapshotTable[[#This Row],[Equity Target]]-SnapshotTable[[#This Row],[Equity Basis Per Share]],"")</f>
        <v/>
      </c>
      <c r="Y44" s="4" t="str">
        <f>IF(AND(ISNUMBER(SnapshotTable[[#This Row],[Equity Basis Per Share]]),ISNUMBER(SnapshotTable[[#This Row],[Equity Stop Loss]])),SnapshotTable[[#This Row],[Equity Stop Loss]]-SnapshotTable[[#This Row],[Equity Basis Per Share]],"")</f>
        <v/>
      </c>
      <c r="Z44" s="260" t="str">
        <f>IFERROR( TEXT(SnapshotTable[[#This Row],[Equity Max Gain Per Share]] /ABS( SnapshotTable[[#This Row],[Equity Max Loss Per Share]]),"0.0 " ) &amp; " : 1", "")</f>
        <v/>
      </c>
      <c r="AA44" s="31" t="str">
        <f>IF(ISNUMBER(SnapshotTable[[#This Row],[Equity Max Gain Per Share]]),SnapshotTable[[#This Row],[Equity Max Gain Per Share]] * SnapshotTable[[#This Row],[Equity Shares]],"")</f>
        <v/>
      </c>
      <c r="AB44" s="31" t="str">
        <f>IF(ISNUMBER(SnapshotTable[[#This Row],[Equity Max Loss Per Share]]),SnapshotTable[[#This Row],[Equity Max Loss Per Share]] * SnapshotTable[[#This Row],[Equity Shares]],"")</f>
        <v/>
      </c>
      <c r="AC44" s="148">
        <v>1.1599999999999999</v>
      </c>
      <c r="AD44" s="149">
        <v>42500</v>
      </c>
      <c r="AE44" s="31">
        <f>(SnapshotTable[[#This Row],[Annual Dividend Per Share]] / 4) * SnapshotTable[[#This Row],[Equity Shares]]</f>
        <v>0</v>
      </c>
      <c r="AF44" s="31">
        <f>SnapshotTable[[#This Row],[Quarterly Div $]] * 4</f>
        <v>0</v>
      </c>
      <c r="AG44" s="7">
        <f>IF(SnapshotTable[[#This Row],[Annual Dividend Per Share]]&gt;0, SnapshotTable[[#This Row],[Annual Dividend Per Share]]  / SnapshotTable[[#This Row],[Last Price]], 0)</f>
        <v>3.3262602511899978E-3</v>
      </c>
      <c r="AH44" s="149">
        <v>42373</v>
      </c>
      <c r="AI44" s="5"/>
      <c r="AJ44" s="136">
        <v>130.32</v>
      </c>
      <c r="AK44" s="150" t="str">
        <f>IF(ISNUMBER( SnapshotTable[[#This Row],[EBF Target]]),(SnapshotTable[[#This Row],[EBF Target]] - SnapshotTable[[#This Row],[Last Price]]) / SnapshotTable[[#This Row],[Last Price]], "")</f>
        <v/>
      </c>
      <c r="AL44" s="150" t="str">
        <f>IF(AND(SnapshotTable[[#This Row],[Equity Basis Total]] &gt; 0,ISNUMBER( SnapshotTable[[#This Row],[Long Term Target]])), SnapshotTable[[#This Row],[From Basis $]] / SnapshotTable[[#This Row],[Equity Basis Total]], "")</f>
        <v/>
      </c>
      <c r="AM44" s="9">
        <f>IF( AND(SnapshotTable[[#This Row],[Equity Shares]] &gt;0,ISNUMBER( SnapshotTable[[#This Row],[Long Term Target]])),(SnapshotTable[[#This Row],[Equity Shares]] * SnapshotTable[[#This Row],[Long Term Target]]) - SnapshotTable[[#This Row],[Equity Basis Total]],0)</f>
        <v>0</v>
      </c>
      <c r="AN44" s="9">
        <f>IF( AND(SnapshotTable[[#This Row],[Equity Shares]] &gt;0,ISNUMBER( SnapshotTable[[#This Row],[Long Term Target]])),(SnapshotTable[[#This Row],[Equity Shares]]*SnapshotTable[[#This Row],[Long Term Target]]) - SnapshotTable[[#This Row],[Equity Value]],0)</f>
        <v>0</v>
      </c>
      <c r="AO44" s="150">
        <f>IF(AND(ISNUMBER( SnapshotTable[[#This Row],[Long Term Target]]), ISNUMBER(SnapshotTable[[#This Row],[Last Price]])),(SnapshotTable[[#This Row],[Long Term Target]] - SnapshotTable[[#This Row],[Last Price]]) / SnapshotTable[[#This Row],[Last Price]], "")</f>
        <v>-0.62631186557320639</v>
      </c>
      <c r="AP44" s="5">
        <v>8</v>
      </c>
      <c r="AQ44" s="38" t="s">
        <v>16</v>
      </c>
      <c r="AR44" s="5">
        <v>8</v>
      </c>
      <c r="AS44" s="38" t="s">
        <v>22</v>
      </c>
      <c r="AT44" s="144" t="s">
        <v>442</v>
      </c>
      <c r="AU44" s="185" t="str">
        <f>IF(OR(SnapshotTable[[#This Row],[LP No Fill]]="Y",SnapshotTable[[#This Row],[SP Is Filled]],SnapshotTable[[#This Row],[LC Not Filled]]="Y",SnapshotTable[[#This Row],[SC Is Filled]]),"Y","")</f>
        <v/>
      </c>
      <c r="AV44" s="205"/>
      <c r="AW44" s="211"/>
      <c r="AX44" s="206"/>
      <c r="AY44" s="205" t="str">
        <f>IF(SnapshotTable[[#This Row],[Implied Move]]&gt;0, SnapshotTable[[#This Row],[Last Price]]-SnapshotTable[[#This Row],[Implied Move]],"")</f>
        <v/>
      </c>
      <c r="AZ44" s="205" t="str">
        <f>IF(SnapshotTable[[#This Row],[Implied Move]]&gt;0, SnapshotTable[[#This Row],[Last Price]] + SnapshotTable[[#This Row],[Implied Move]],"")</f>
        <v/>
      </c>
      <c r="BA44" s="302"/>
      <c r="BB44" s="318"/>
      <c r="BC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4" s="321"/>
      <c r="BE44" s="5"/>
      <c r="BF44" s="14"/>
      <c r="BG44" s="13"/>
      <c r="BH44" s="13"/>
      <c r="BI44" s="5"/>
      <c r="BJ44" s="134">
        <f>IF(SnapshotTable[[#This Row],[LP Qty]] &gt; 0, SnapshotTable[[#This Row],[LP Qty]] * SnapshotTable[[#This Row],[LP Book Price]] * 100,0)</f>
        <v>0</v>
      </c>
      <c r="BK44" s="134">
        <f>IF(SnapshotTable[[#This Row],[LP Premium]] &gt; 0, SnapshotTable[[#This Row],[LP Qty]] * SnapshotTable[[#This Row],[LP Strike Price]] * 100,0)</f>
        <v>0</v>
      </c>
      <c r="BL44" s="152"/>
      <c r="BM44" s="355" t="str">
        <f>IF(SnapshotTable[[#This Row],[LP Premium]] &gt; 0,SnapshotTable[[#This Row],[LP Exp Date]]-MAX(SnapshotTable[[#This Row],[LP Book Date]], SnapshotTable[[#This Row],[LP Fill Date]]),"")</f>
        <v/>
      </c>
      <c r="BN44" s="355" t="str">
        <f>IF(ISNUMBER( SnapshotTable[[#This Row],[LP Term]]), SnapshotTable[[#This Row],[LP Exp Date]] - MockToday,"")</f>
        <v/>
      </c>
      <c r="BO44" s="161" t="str">
        <f>IF(AND(SnapshotTable[[#This Row],[LP Exp Date]]&gt;0, SnapshotTable[[#This Row],[LP Strike Price]]&gt;0,SnapshotTable[[#This Row],[LP Qty]]&gt;0,SnapshotTable[[#This Row],[LP Book Date]]&gt;0,SnapshotTable[[#This Row],[LP Book Price]]&gt;0,SnapshotTable[[#This Row],[LP Fill Date]]=0),"Y","")</f>
        <v/>
      </c>
      <c r="BP44" s="31" t="str">
        <f>IF(AND(SnapshotTable[[#This Row],[LP No Fill]]&lt;&gt;"Y",SnapshotTable[[#This Row],[LP Contract Value]]&gt;0, SnapshotTable[[#This Row],[LP Qty]]&gt;0), SnapshotTable[[#This Row],[LP Contract Value]]*SnapshotTable[[#This Row],[LP Qty]]*100,"")</f>
        <v/>
      </c>
      <c r="BQ44" s="13"/>
      <c r="BR44" s="5"/>
      <c r="BS44" s="36"/>
      <c r="BT44" s="145"/>
      <c r="BU44" s="13"/>
      <c r="BV44" s="5"/>
      <c r="BW44" s="382" t="b">
        <f>AND(ISNUMBER(SnapshotTable[[#This Row],[SP Exp Date]]), ISNUMBER(SnapshotTable[[#This Row],[SP Strike Price]]), ISNUMBER(SnapshotTable[[#This Row],[SP Qty]]), ISNUMBER(SnapshotTable[[#This Row],[SP Book Date]]), ISNUMBER(SnapshotTable[[#This Row],[SP Book Price]]))</f>
        <v>0</v>
      </c>
      <c r="BX44" s="382" t="b">
        <f>AND(SnapshotTable[[#This Row],[SP Is Booked]], NOT(ISBLANK(SnapshotTable[[#This Row],[SP Fill Date]])))</f>
        <v>0</v>
      </c>
      <c r="BY44" s="33">
        <f>IF(SnapshotTable[[#This Row],[SP Is Booked]], SnapshotTable[[#This Row],[SP Qty]] * SnapshotTable[[#This Row],[SP Book Price]] * 100, 0)</f>
        <v>0</v>
      </c>
      <c r="BZ44" s="339"/>
      <c r="CA44" s="338">
        <f>SnapshotTable[[#This Row],[LP Qty]]</f>
        <v>0</v>
      </c>
      <c r="CB44" s="4" t="str">
        <f>IF(SnapshotTable[[#This Row],[SP Is Booked]], SnapshotTable[[#This Row],[SP Strike Price]] - SnapshotTable[[#This Row],[SP Book Price]], "")</f>
        <v/>
      </c>
      <c r="CC44" s="19" t="str">
        <f>IF(SnapshotTable[[#This Row],[SP Is Booked]],SnapshotTable[[#This Row],[SP Exp Date]]-MAX(SnapshotTable[[#This Row],[SP Book Date]], SnapshotTable[[#This Row],[SP Fill Date]]),"")</f>
        <v/>
      </c>
      <c r="CD44" s="7" t="str">
        <f>IF(SnapshotTable[[#This Row],[SP Is Booked]], SnapshotTable[[#This Row],[SP Book Price]]/SnapshotTable[[#This Row],[SP Strike Price]], "")</f>
        <v/>
      </c>
      <c r="CE44" s="7" t="str">
        <f>IF(ISNUMBER(SnapshotTable[[#This Row],[SP ROO Term]]),SnapshotTable[[#This Row],[SP ROO Term]]*(365/SnapshotTable[[#This Row],[SP Term]]),"")</f>
        <v/>
      </c>
      <c r="CF44" s="221">
        <f>SnapshotTable[[#This Row],[LP Strike Price]] * SnapshotTable[[#This Row],[LP Qty]] * 100</f>
        <v>0</v>
      </c>
      <c r="CG44" s="31">
        <f>IF(ISNUMBER(SnapshotTable[[#This Row],[SP Premium]]), (SnapshotTable[[#This Row],[SP Qty]] * SnapshotTable[[#This Row],[SP Strike Price]]* 100) - SnapshotTable[[#This Row],[LP Protection]], 0)</f>
        <v>0</v>
      </c>
      <c r="CH44" s="7" t="str">
        <f>IF(ISNUMBER(SnapshotTable[[#This Row],[SP Break Even]]),-1 * (SnapshotTable[[#This Row],[SP Break Even]] - SnapshotTable[[#This Row],[Last Price]]) / SnapshotTable[[#This Row],[Last Price]], "")</f>
        <v/>
      </c>
      <c r="CI44" s="31">
        <f>IF(AND(ISNUMBER((SnapshotTable[[#This Row],[SP Potential Spend]])), SnapshotTable[[#This Row],[SP Strike Price]] &gt; SnapshotTable[[#This Row],[Last Price]], SnapshotTable[[#This Row],[SP Is Filled]]), SnapshotTable[[#This Row],[SP Potential Spend]] -  SnapshotTable[[#This Row],[LP Max Value]], 0)</f>
        <v>0</v>
      </c>
      <c r="CJ44" s="229"/>
      <c r="CK44" s="31">
        <f>IF(ISNUMBER(SnapshotTable[[#This Row],[SP Potential Spend]]),IF(ISNUMBER(SnapshotTable[[#This Row],[SP POW]]), SnapshotTable[[#This Row],[SP POW]] * SnapshotTable[[#This Row],[SP Potential Spend]], SnapshotTable[[#This Row],[SP Potential Spend]]), "")</f>
        <v>0</v>
      </c>
      <c r="CL44" s="162">
        <f>IF(NOT(SnapshotTable[[#This Row],[SP Is Filled]]),(SnapshotTable[[#This Row],[SP Qty]] * SnapshotTable[[#This Row],[SP Strike Price]] * 100) - SnapshotTable[[#This Row],[LP Max Value]],"")</f>
        <v>0</v>
      </c>
      <c r="CM44" s="31" t="str">
        <f>IF(SnapshotTable[[#This Row],[SP Actual Spend]]&lt;&gt;0, ((SnapshotTable[[#This Row],[SP Strike Price]]-SnapshotTable[[#This Row],[Last Price]]) *(SnapshotTable[[#This Row],[SP Qty]]*100) - SnapshotTable[[#This Row],[SP Premium]]) * - 1, "")</f>
        <v/>
      </c>
      <c r="CN44" s="76"/>
      <c r="CO44" s="339"/>
      <c r="CP44" s="4" t="str">
        <f>IF(SnapshotTable[[#This Row],[SP Is Filled]], btc_max_buyback_amount(SnapshotTable[[#This Row],[SP Fill Date]],SnapshotTable[[#This Row],[SP Exp Date]], SnapshotTable[[#This Row],[SP Book Price]]),"")</f>
        <v/>
      </c>
      <c r="CQ44" s="76"/>
      <c r="CR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4" s="153" t="str">
        <f>IF(SnapshotTable[[#This Row],[SP Is Filled]], btc_next_cutoff_date(SnapshotTable[[#This Row],[SP Fill Date]],SnapshotTable[[#This Row],[SP Exp Date]]),"")</f>
        <v/>
      </c>
      <c r="CT44" s="220" t="str" cm="1">
        <f t="array" ref="CT44">IF(SnapshotTable[[#This Row],[SP Is Filled]], btc_should_buy_back(SnapshotTable[[#This Row],[SP Fill Date]], SnapshotTable[[#This Row],[SP Exp Date]], SnapshotTable[[#This Row],[SP Book Price]], SnapshotTable[[#This Row],[SP Current Ask]], MockToday, SnapshotTable[[#This Row],[SP Buyback Override]]),"")</f>
        <v/>
      </c>
      <c r="CU44" s="141"/>
      <c r="CV44" s="220"/>
      <c r="CW44" s="348" t="str">
        <f>IF(ISNUMBER( SnapshotTable[[#This Row],[SP Term]]), SnapshotTable[[#This Row],[SP Exp Date]] - MockToday,"")</f>
        <v/>
      </c>
      <c r="CX44" s="31" t="str">
        <f>IF(SnapshotTable[[#This Row],[SP Is Filled]],SnapshotTable[[#This Row],[SP Buyback Price to Use]] * 100 * SnapshotTable[[#This Row],[SP Qty]], "")</f>
        <v/>
      </c>
      <c r="CY44" s="4" t="str">
        <f>IF(ISNUMBER(SnapshotTable[[#This Row],[SP Strike Price]]), SnapshotTable[[#This Row],[SP Strike Price]] * (1 - SP_MaxLoss_StrikePct), "")</f>
        <v/>
      </c>
      <c r="CZ44" s="31" t="str">
        <f>IF(ISNUMBER(SnapshotTable[[#This Row],[SP Strike  Stop Per Share]]),SnapshotTable[[#This Row],[SP Premium]] - ((SnapshotTable[[#This Row],[SP Strike Price]]-SnapshotTable[[#This Row],[SP Strike  Stop Per Share]]) *(SnapshotTable[[#This Row],[SP Qty]] * 100)),"")</f>
        <v/>
      </c>
      <c r="DA44" s="4" t="str">
        <f>IF(AND(ISNUMBER(SnapshotTable[[#This Row],[SP Premium]]),SnapshotTable[[#This Row],[SP Premium]]&gt;0), SnapshotTable[[#This Row],[SP Book Price]] * (1 + SP_MaxLoss_OptionPct), "")</f>
        <v/>
      </c>
      <c r="DB44" s="31" t="str">
        <f>IF(ISNUMBER(SnapshotTable[[#This Row],[SP Option  Stop Contract]]),(SnapshotTable[[#This Row],[SP Option  Stop Contract]] *(SnapshotTable[[#This Row],[SP Qty]] * 100) - SnapshotTable[[#This Row],[SP Premium]]),"")</f>
        <v/>
      </c>
      <c r="DC44" s="4"/>
      <c r="DD44" s="4"/>
      <c r="DE44" s="4" t="str">
        <f>IF(AND(SnapshotTable[[#This Row],[SP Qty]]&gt;0, SnapshotTable[[#This Row],[SP Stop To Use]]&gt;0),SnapshotTable[[#This Row],[SP Premium]] - ( SnapshotTable[[#This Row],[SP Qty]] * SnapshotTable[[#This Row],[SP Stop To Use]] * 100), "")</f>
        <v/>
      </c>
      <c r="DF44" s="31" t="str">
        <f>IF(AND(SnapshotTable[[#This Row],[SP Qty]]&gt;0,SnapshotTable[[#This Row],[SP Current Ask]]&gt;0), SnapshotTable[[#This Row],[SP Qty]] * SnapshotTable[[#This Row],[SP Current Ask]] * -100, "")</f>
        <v/>
      </c>
      <c r="DG44" s="31" t="str">
        <f>IF(ISNUMBER((SnapshotTable[[#This Row],[SP Total Value]])), SnapshotTable[[#This Row],[SP Premium]] + SnapshotTable[[#This Row],[SP Total Value]], "")</f>
        <v/>
      </c>
      <c r="DH44" s="272" t="str">
        <f>IF(ISNUMBER((SnapshotTable[[#This Row],[SP Total Value]])), SnapshotTable[[#This Row],[SP Gain Loss]] / SnapshotTable[[#This Row],[SP Premium]], "")</f>
        <v/>
      </c>
      <c r="DI44" s="369"/>
      <c r="DJ44" s="136"/>
      <c r="DK44" s="146"/>
      <c r="DL44" s="13"/>
      <c r="DM44" s="13"/>
      <c r="DN44" s="5"/>
      <c r="DO44" s="31">
        <f>IF(SnapshotTable[[#This Row],[LC Symbol Count]]=1, SnapshotTable[[#This Row],[LC Qty]] * SnapshotTable[[#This Row],[LC Book Price]] * 100, 0)</f>
        <v>0</v>
      </c>
      <c r="DP44" s="161" t="str">
        <f>IF(AND(SnapshotTable[[#This Row],[LC Exp Date]]&gt;0, SnapshotTable[[#This Row],[LC Strike Price]]&gt;0,SnapshotTable[[#This Row],[LC Qty]]&gt;0,SnapshotTable[[#This Row],[LC Book Date]]&gt;0,SnapshotTable[[#This Row],[LC Book Price]]&gt;0,SnapshotTable[[#This Row],[LC Fill Date]]=0),"Y","")</f>
        <v/>
      </c>
      <c r="DQ44" s="356" t="str">
        <f>IF(SnapshotTable[[#This Row],[LC Premium]] &gt; 0,SnapshotTable[[#This Row],[LC Exp Date]]-MAX(SnapshotTable[[#This Row],[LC Book Date]], SnapshotTable[[#This Row],[LC Fill Date]]),"")</f>
        <v/>
      </c>
      <c r="DR44" s="356" t="str">
        <f>IF(ISNUMBER(SnapshotTable[[#This Row],[LC Term]]), SnapshotTable[[#This Row],[LC Exp Date]] - MockToday, "")</f>
        <v/>
      </c>
      <c r="DS44" s="219" t="str">
        <f>IF(SnapshotTable[[#This Row],[LC Premium]]&gt;0,SnapshotTable[[#This Row],[LC Strike Price]] + SnapshotTable[[#This Row],[LC Book Price]],"")</f>
        <v/>
      </c>
      <c r="DT44" s="5"/>
      <c r="DU44" s="9" t="str">
        <f>IF(AND(SnapshotTable[[#This Row],[LC Symbol Count]]&gt;0, SnapshotTable[[#This Row],[LC Contract Value]]&gt;0), SnapshotTable[[#This Row],[LC Contract Value]] * SnapshotTable[[#This Row],[LC Qty]] * 100, "")</f>
        <v/>
      </c>
      <c r="DV44" s="9" t="str">
        <f>IF(AND(ISNUMBER(SnapshotTable[[#This Row],[LC Total Value]]), SnapshotTable[[#This Row],[LC Not Filled]]&lt;&gt;"Y"), SnapshotTable[[#This Row],[LC Total Value]]-SnapshotTable[[#This Row],[LC Premium]],"")</f>
        <v/>
      </c>
      <c r="DW44" s="225" t="str">
        <f>IF(ISNUMBER(SnapshotTable[[#This Row],[LC Actual Gain Loss]]), SnapshotTable[[#This Row],[LC Actual Gain Loss]] / SnapshotTable[[#This Row],[LC Premium]],"")</f>
        <v/>
      </c>
      <c r="DX44" s="269" t="str">
        <f>IF(ISNUMBER(SnapshotTable[[#This Row],[LC Book Price]]),SnapshotTable[[#This Row],[LC Book Price]] * 1.5,"")</f>
        <v/>
      </c>
      <c r="DY44" s="250" t="str">
        <f>IF(SnapshotTable[[#This Row],[LC Premium]]&gt;0, SnapshotTable[[#This Row],[LC Next Target]] * SnapshotTable[[#This Row],[LC Qty]] * 100,"")</f>
        <v/>
      </c>
      <c r="DZ44" s="250" t="str">
        <f>IF(ISNUMBER(SnapshotTable[[#This Row],[LC Target Gross]]), SnapshotTable[[#This Row],[LC Target Gross]] - SnapshotTable[[#This Row],[LC Premium]], "")</f>
        <v/>
      </c>
      <c r="EA44" s="283" t="str">
        <f>IF(ISNUMBER(SnapshotTable[[#This Row],[LC Target Gain Loss]]), SnapshotTable[[#This Row],[LC Target Gain Loss]]/SnapshotTable[[#This Row],[LC Premium]], "")</f>
        <v/>
      </c>
      <c r="EB44" s="247"/>
      <c r="EC44" s="268" t="str">
        <f>IF(SnapshotTable[[#This Row],[LC Premium]]&gt;0, SnapshotTable[[#This Row],[LC Book Price]] * (1 - LC_StopLoss_Pct),"")</f>
        <v/>
      </c>
      <c r="ED44" s="269"/>
      <c r="EE44" s="268" t="str">
        <f>IF(ISNUMBER(SnapshotTable[[#This Row],[LC Contract Value]]),IF(ISNUMBER(SnapshotTable[[#This Row],[LC Stop Loss Override]]), SnapshotTable[[#This Row],[LC Stop Loss Override]],SnapshotTable[[#This Row],[LC Stop Loss Calc Target]]),"")</f>
        <v/>
      </c>
      <c r="EF44" s="31" t="str">
        <f>IF(ISNUMBER(SnapshotTable[[#This Row],[LC Stop  To Use]]), (SnapshotTable[[#This Row],[LC Stop  To Use]] * SnapshotTable[[#This Row],[LC Qty]] * 100),"")</f>
        <v/>
      </c>
      <c r="EG44" s="9" t="str">
        <f>IF(ISNUMBER(SnapshotTable[[#This Row],[LC Total Value]]),SnapshotTable[[#This Row],[LC Stop Loss Amount]] - SnapshotTable[[#This Row],[LC Premium]],"")</f>
        <v/>
      </c>
      <c r="EH44" s="9">
        <f>IF(ISNUMBER(SnapshotTable[[#This Row],[LC Premium]]), SnapshotTable[[#This Row],[LC Qty]] * 100 * SnapshotTable[[#This Row],[LC Strike Price]], "")</f>
        <v>0</v>
      </c>
      <c r="EI44" s="225" t="str">
        <f>IF(AND(ISNUMBER(SnapshotTable[[#This Row],[LC Total Value]]),SnapshotTable[[#This Row],[LC Total Value]]&gt;0),SnapshotTable[[#This Row],[LC Stop Gain Loss]]  / SnapshotTable[[#This Row],[LC Premium]],"")</f>
        <v/>
      </c>
      <c r="EJ44" s="35">
        <f>IF(ISNUMBER(SnapshotTable[[#This Row],[Equity Shares]]),TRUNC(SnapshotTable[[#This Row],[Equity Shares]] / 100),0) + SnapshotTable[[#This Row],[LC Qty]]</f>
        <v>0</v>
      </c>
      <c r="EK44" s="145"/>
      <c r="EL44" s="136"/>
      <c r="EM44" s="146"/>
      <c r="EN44" s="145"/>
      <c r="EO44" s="145"/>
      <c r="EP44" s="136"/>
      <c r="EQ44" s="382" t="b">
        <f>AND(ISNUMBER(SnapshotTable[[#This Row],[SC Exp Date]]), ISNUMBER(SnapshotTable[[#This Row],[SC Strike Price]]), ISNUMBER(SnapshotTable[[#This Row],[SC Qty]]), ISNUMBER(SnapshotTable[[#This Row],[SC Book Date]]), ISNUMBER(SnapshotTable[[#This Row],[SC Book Price]]))</f>
        <v>0</v>
      </c>
      <c r="ER44" s="382" t="b">
        <f>AND(SnapshotTable[[#This Row],[SC Is Booked]], NOT(ISBLANK(SnapshotTable[[#This Row],[SC Fill Date]])))</f>
        <v>0</v>
      </c>
      <c r="ES44" s="340"/>
      <c r="ET44" s="34" t="str">
        <f>IF(AND(ISNUMBER(SnapshotTable[[#This Row],[SC Exp Date]]), ISNUMBER(SnapshotTable[[#This Row],[SC Book Date]])), SnapshotTable[[#This Row],[SC Exp Date]] - MAX(SnapshotTable[[#This Row],[SC Book Date]], SnapshotTable[[#This Row],[SC Fill Date]]) + 1, "")</f>
        <v/>
      </c>
      <c r="EU44" s="34" t="str">
        <f>IF(ISNUMBER(SnapshotTable[[#This Row],[SC Term]]), SnapshotTable[[#This Row],[SC Exp Date]]- MockToday, "")</f>
        <v/>
      </c>
      <c r="EV44" s="31">
        <f>IF(SnapshotTable[[#This Row],[SC Is Booked]], SnapshotTable[[#This Row],[SC Qty]] * SnapshotTable[[#This Row],[SC Book Price]] * 100, 0)</f>
        <v>0</v>
      </c>
      <c r="EW44" s="4" t="str">
        <f>IF(AND(ISNUMBER(SnapshotTable[[#This Row],[Last Price]]), ISNUMBER( SnapshotTable[[#This Row],[SC Book Price]])), SnapshotTable[[#This Row],[Last Price]] - SnapshotTable[[#This Row],[SC Book Price]],"")</f>
        <v/>
      </c>
      <c r="EX44" s="219" t="str">
        <f>IF(SnapshotTable[[#This Row],[SC Is Booked]],IF(SnapshotTable[[#This Row],[SC Intrinsic Value]] &gt; 0, SnapshotTable[[#This Row],[SC Strike Price]], SnapshotTable[[#This Row],[Last Price]]), "")</f>
        <v/>
      </c>
      <c r="EY44" s="4">
        <f>IF(SnapshotTable[[#This Row],[SC Is Booked]], (MinimumPremiumRequired * SnapshotTable[[#This Row],[SC Basis]] * SnapshotTable[[#This Row],[SC Term]]), 0)</f>
        <v>0</v>
      </c>
      <c r="EZ44" s="268"/>
      <c r="FA44" s="204"/>
      <c r="FB44" s="340"/>
      <c r="FC44" s="4">
        <f>IF(SnapshotTable[[#This Row],[SC Is Filled]], btc_max_buyback_amount(SnapshotTable[[#This Row],[SC Fill Date]],SnapshotTable[[#This Row],[SC Exp Date]], SnapshotTable[[#This Row],[SC Book Price]]),0)</f>
        <v>0</v>
      </c>
      <c r="FD44" s="5"/>
      <c r="FE44" s="142" t="str">
        <f>IF(SnapshotTable[[#This Row],[SC Is Filled]], btc_next_cutoff_date(SnapshotTable[[#This Row],[SC Fill Date]],SnapshotTable[[#This Row],[SC Exp Date]]),"")</f>
        <v/>
      </c>
      <c r="FF44" s="4" t="str" cm="1">
        <f t="array" ref="FF44">IF(SnapshotTable[[#This Row],[SC Is Filled]], btc_should_buy_back(SnapshotTable[[#This Row],[SC Fill Date]], SnapshotTable[[#This Row],[SC Exp Date]], SnapshotTable[[#This Row],[SC Book Price]], SnapshotTable[[#This Row],[SC Current Ask]], MockToday, SnapshotTable[[#This Row],[SC Buyback Override]]),"")</f>
        <v/>
      </c>
      <c r="FG44" s="4">
        <f>IF(SnapshotTable[[#This Row],[SC Is Filled]], MAX(0,SnapshotTable[[#This Row],[Last Price]]  - SnapshotTable[[#This Row],[SC Strike Price]]), 0)</f>
        <v>0</v>
      </c>
      <c r="FH44" s="352">
        <f>IF(SnapshotTable[[#This Row],[SC Is Filled]], IF(ISNUMBER(SnapshotTable[[#This Row],[SC Current Ask]]), SnapshotTable[[#This Row],[SC Current Ask]], SnapshotTable[[#This Row],[SC Book Price]]) - SnapshotTable[[#This Row],[SC Intrinsic Value]], 0)</f>
        <v>0</v>
      </c>
      <c r="FI44" s="141"/>
      <c r="FJ44" s="32" t="str">
        <f>IF(SnapshotTable[[#This Row],[SC Is Filled]],100 * SnapshotTable[[#This Row],[SC Qty]] * IF(ISNUMBER(SnapshotTable[[#This Row],[SC Buyback Override]]), SnapshotTable[[#This Row],[SC Buyback Override]], SnapshotTable[[#This Row],[SC Current Ask]]), "")</f>
        <v/>
      </c>
      <c r="FK44" s="235" t="str">
        <f>IF(SnapshotTable[[#This Row],[SC Time Val]]&gt;0, SnapshotTable[[#This Row],[SC Time Val]] / SnapshotTable[[#This Row],[Last Price]],"")</f>
        <v/>
      </c>
      <c r="FL44" s="280" t="str">
        <f>IF(SnapshotTable[[#This Row],[SC Is Booked]], ((SnapshotTable[[#This Row],[Last Price]] -SnapshotTable[[#This Row],[SC Strike Price]]) / SnapshotTable[[#This Row],[Last Price]]) * -1, "")</f>
        <v/>
      </c>
      <c r="FM44" s="155" t="str">
        <f>IF(SnapshotTable[[#This Row],[SC Is Booked]],  (SnapshotTable[[#This Row],[SC Qty]] * 100 * SnapshotTable[[#This Row],[SC Strike Price]]) - SnapshotTable[[#This Row],[SC Current Ask]], "")</f>
        <v/>
      </c>
      <c r="FN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4" s="31" t="str">
        <f>IF(AND(ISNUMBER(SnapshotTable[[#This Row],[SC Exercise Gross]]), ISNUMBER(SnapshotTable[[#This Row],[Equity Basis Per Share]] )), SnapshotTable[[#This Row],[SC Exercise Gross]] - SnapshotTable[[#This Row],[Equity Basis Total]] +  SnapshotTable[[#This Row],[SC Premium]], "")</f>
        <v/>
      </c>
      <c r="FP44" s="5" t="str">
        <f>IF(ISNUMBER(SnapshotTable[[#This Row],[SC Exercise Gross]]), (SnapshotTable[[#This Row],[SC Exercise Gross]]) / (SnapshotTable[[#This Row],[SC Qty]] * 100), "")</f>
        <v/>
      </c>
      <c r="FQ44" s="27" t="str">
        <f>IF(SnapshotTable[[#This Row],[SC Is Booked]],SnapshotTable[[#This Row],[SC Time Val]] /SnapshotTable[[#This Row],[SC Basis]], "")</f>
        <v/>
      </c>
      <c r="FR44" s="27" t="str" cm="1">
        <f t="array" ref="FR44">IF(AND(ISNUMBER(SnapshotTable[[#This Row],[SC Term]]),ISNUMBER(SnapshotTable[[#This Row],[SC Simple ROO]])), EllmanAnnualize(SnapshotTable[[#This Row],[SC DTE]], SnapshotTable[[#This Row],[SC Simple ROO]] ),"")</f>
        <v/>
      </c>
      <c r="FS44" s="4">
        <f>IF(SnapshotTable[[#This Row],[SC Strike Price]] &gt; SnapshotTable[[#This Row],[Last Price]], SnapshotTable[[#This Row],[SC Strike Price]] - SnapshotTable[[#This Row],[Last Price]],0)</f>
        <v>0</v>
      </c>
      <c r="FT44" s="27" t="str">
        <f>IF(AND(ISNUMBER(SnapshotTable[[#This Row],[SC Upside Potential]]), SnapshotTable[[#This Row],[SC Upside Potential]] &gt; 0),(SnapshotTable[[#This Row],[SC Upside Potential]]/ SnapshotTable[[#This Row],[ACB]]),"")</f>
        <v/>
      </c>
      <c r="FU44" s="304" t="str">
        <f>IF(SnapshotTable[[#This Row],[SC Intrinsic Value]] &gt; 0,SnapshotTable[[#This Row],[SC Intrinsic Value]],"")</f>
        <v/>
      </c>
      <c r="FV44" s="27" t="str">
        <f>IF(AND( ISNUMBER( SnapshotTable[[#This Row],[ACB]]),ISNUMBER(SnapshotTable[[#This Row],[SC Downside Protect]])),SnapshotTable[[#This Row],[SC Downside Protect]] / SnapshotTable[[#This Row],[ACB]],"")</f>
        <v/>
      </c>
      <c r="FW44" s="221" t="str">
        <f>IF(AND(ISNUMBER(SnapshotTable[[#This Row],[SC Simple ROO]]),SnapshotTable[[#This Row],[SC Simple ROO]] &gt; 0), SnapshotTable[[#This Row],[SC Premium]] + (SnapshotTable[[#This Row],[SC Qty]] * SnapshotTable[[#This Row],[SC Upside Potential]]), "")</f>
        <v/>
      </c>
      <c r="FX44" s="280" t="str" cm="1">
        <f t="array" ref="FX44">IF(ISNUMBER(SnapshotTable[[#This Row],[SC Max Dollars]]), annualize(SnapshotTable[[#This Row],[SC Term]],(SnapshotTable[[#This Row],[SC Max Dollars]]/SnapshotTable[[#This Row],[SC Basis]])),"")</f>
        <v/>
      </c>
      <c r="FY44" s="221" t="str">
        <f>IF(AND(SnapshotTable[[#This Row],[SC Qty]]&gt;0,SnapshotTable[[#This Row],[SC Current Ask]]&gt;0), SnapshotTable[[#This Row],[SC Qty]] * SnapshotTable[[#This Row],[SC Current Ask]] * -100, "")</f>
        <v/>
      </c>
      <c r="FZ44" s="31" t="str">
        <f>IF(ISNUMBER((SnapshotTable[[#This Row],[SC Current Value]])), SnapshotTable[[#This Row],[SC Premium]] + SnapshotTable[[#This Row],[SC Current Value]], "")</f>
        <v/>
      </c>
      <c r="GA44" s="272" t="str">
        <f>IFERROR( IF(ISNUMBER((SnapshotTable[[#This Row],[SC Current Value]])), SnapshotTable[[#This Row],[SC Gain Loss]] / SnapshotTable[[#This Row],[SC Premium]], ""), "")</f>
        <v/>
      </c>
      <c r="GB44" s="42">
        <f>SnapshotTable[[#This Row],[Equity Shares]] * SaleSharesToConsiderPercentage</f>
        <v>0</v>
      </c>
      <c r="GC44" s="40">
        <f>SnapshotTable[[#This Row],[Long Term Target]] * SellingPriceToConsiderBasedOnTargetPercentage</f>
        <v>123.80399999999999</v>
      </c>
      <c r="GD44" s="40">
        <f>SnapshotTable[[#This Row],[Last Price]] * (1+ SellingPriceToConsiderBasedOnTargetPercentage)</f>
        <v>680.04300000000001</v>
      </c>
      <c r="GE44" s="41">
        <v>200</v>
      </c>
      <c r="GF44" s="40">
        <v>83.58</v>
      </c>
      <c r="GG44" s="31">
        <f>SnapshotTable[[#This Row],[Booked Sale Shares]] * SnapshotTable[[#This Row],[Booked Sale Price]]</f>
        <v>16716</v>
      </c>
      <c r="GH44" s="31" t="str">
        <f>IF(SnapshotTable[[#This Row],[Equity Basis Total]] &gt; 0, SnapshotTable[[#This Row],[Equity Basis Per Share]] * SnapshotTable[[#This Row],[Booked Sale Shares]], "")</f>
        <v/>
      </c>
      <c r="GI44" s="31" t="e">
        <f>IF(SnapshotTable[[#This Row],[Sale Proceeds]]&gt;0, SnapshotTable[[#This Row],[Sale Proceeds]] - SnapshotTable[[#This Row],[Sale Basis]], 0)</f>
        <v>#VALUE!</v>
      </c>
      <c r="GJ44" s="27" t="e">
        <f>IF(SnapshotTable[[#This Row],[Sale G/L]]&gt;0, SnapshotTable[[#This Row],[Sale G/L]] / SnapshotTable[[#This Row],[Sale Basis]], IF(ISNUMBER(SnapshotTable[[#This Row],[SC Exercise P&amp;L (TAX)]]), SnapshotTable[[#This Row],[SC Exercise P&amp;L (TAX)]] / SnapshotTable[[#This Row],[SC Basis]], ""))</f>
        <v>#VALUE!</v>
      </c>
      <c r="GK44" s="27" t="s">
        <v>523</v>
      </c>
      <c r="GL44" s="43" t="str">
        <f>IF(AND(SnapshotTable[[#This Row],[LP Exp Date]]&gt;0,SnapshotTable[[#This Row],[LP Strike Price]]&gt;0), [1]!ToOptionSymbol(SnapshotTable[[#This Row],[Symbol]], SnapshotTable[[#This Row],[LP Strike Price]],SnapshotTable[[#This Row],[LP Exp Date]],1), "")</f>
        <v/>
      </c>
      <c r="GM44" s="30" t="str">
        <f>IF(LEN(SnapshotTable[[#This Row],[LP Symbol]])&gt;0, 1, "")</f>
        <v/>
      </c>
      <c r="GN44" s="43" t="str">
        <f>IF(AND(SnapshotTable[[#This Row],[SP Exp Date]]&gt;0,SnapshotTable[[#This Row],[SP Strike Price]]&gt;0), [1]!ToOptionSymbol(SnapshotTable[[#This Row],[Symbol]], SnapshotTable[[#This Row],[SP Strike Price]],SnapshotTable[[#This Row],[SP Exp Date]],1), "")</f>
        <v/>
      </c>
      <c r="GO44" s="30" t="str">
        <f>IF(LEN(SnapshotTable[[#This Row],[SP Symbol]])&gt;0, 1, "")</f>
        <v/>
      </c>
      <c r="GP44" s="43" t="str">
        <f>IF(AND(SnapshotTable[[#This Row],[LC Exp Date]]&gt;0,SnapshotTable[[#This Row],[LC Strike Price]]&gt;0), [1]!ToOptionSymbol(SnapshotTable[[#This Row],[Symbol]], SnapshotTable[[#This Row],[LC Strike Price]],SnapshotTable[[#This Row],[LC Exp Date]],0), "")</f>
        <v/>
      </c>
      <c r="GQ44" s="30" t="str">
        <f>IF(LEN(SnapshotTable[[#This Row],[LC Symbol]])&gt;0, 1, "")</f>
        <v/>
      </c>
      <c r="GR44" s="43" t="str">
        <f>IF(AND(SnapshotTable[[#This Row],[SC Exp Date]]&gt;0,SnapshotTable[[#This Row],[SC Strike Price]]&gt;0), [1]!ToOptionSymbol(SnapshotTable[[#This Row],[Symbol]], SnapshotTable[[#This Row],[SC Strike Price]],SnapshotTable[[#This Row],[SC Exp Date]],0), "")</f>
        <v/>
      </c>
      <c r="GS44" s="30" t="str">
        <f>IF(LEN(SnapshotTable[[#This Row],[SC Symbol]])&gt;0, 1, "")</f>
        <v/>
      </c>
      <c r="GT44" s="29" t="str">
        <f>IF(COUNT(SnapshotTable[[#This Row],[LP Symbol Count]],SnapshotTable[[#This Row],[SP Symbol Count]],SnapshotTable[[#This Row],[LC Symbol Count]],SnapshotTable[[#This Row],[SC Symbol Count]])&gt;0, "Y", "")</f>
        <v/>
      </c>
      <c r="GU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4" s="216">
        <f>MAX(SnapshotTable[[#This Row],[Equity Basis Total]],SnapshotTable[[#This Row],[Equity Value]]) + (SnapshotTable[[#This Row],[SP Potential Spend]]- SnapshotTable[[#This Row],[SP Premium]] + SnapshotTable[[#This Row],[LP Premium]])+ (SnapshotTable[[#This Row],[LC Premium]] - SnapshotTable[[#This Row],[SC Premium]])</f>
        <v>0</v>
      </c>
      <c r="GW44" s="137" t="str">
        <f>IF(AND(SnapshotTable[[#This Row],[Exposure]] &lt;&gt; 0),SnapshotTable[[#This Row],[Exposure]] / SnapshotTable[[#Totals],[Exposure]], "")</f>
        <v/>
      </c>
      <c r="GY44" s="351"/>
      <c r="HE44" s="253"/>
      <c r="HF44" s="253"/>
      <c r="HG44" s="351"/>
      <c r="HH44" s="351"/>
      <c r="HI44" s="351"/>
      <c r="HJ44" s="351"/>
    </row>
    <row r="45" spans="2:224" s="45" customFormat="1" ht="12.75" hidden="1" customHeight="1" x14ac:dyDescent="0.25">
      <c r="B45" s="12" t="s">
        <v>741</v>
      </c>
      <c r="C45" s="385">
        <v>32.799999999999997</v>
      </c>
      <c r="D45" s="200" t="s">
        <v>467</v>
      </c>
      <c r="E45" s="39">
        <f>SnapshotTable[[#This Row],[Last Price]]*(1 -CrashDiscount)</f>
        <v>27.879999999999995</v>
      </c>
      <c r="F45" s="26" t="s">
        <v>742</v>
      </c>
      <c r="G45" s="26" t="s">
        <v>24</v>
      </c>
      <c r="H45" s="147"/>
      <c r="I45" s="186">
        <v>44767.677083333336</v>
      </c>
      <c r="J45" s="187">
        <v>44767.677083333336</v>
      </c>
      <c r="K45" s="188"/>
      <c r="L45" s="297"/>
      <c r="M45" s="138"/>
      <c r="N45" s="138"/>
      <c r="O45" s="138"/>
      <c r="P45" s="22"/>
      <c r="Q45" s="25"/>
      <c r="R45" s="4" t="str">
        <f>IF(SnapshotTable[[#This Row],[Equity Basis Total]] &gt; 0, SnapshotTable[[#This Row],[Equity Basis Total]] / SnapshotTable[[#This Row],[Equity Shares]], "")</f>
        <v/>
      </c>
      <c r="S45" s="254">
        <f>SnapshotTable[[#This Row],[Last Price]] * SnapshotTable[[#This Row],[Equity Shares]]</f>
        <v>0</v>
      </c>
      <c r="T45" s="254">
        <f>SnapshotTable[[#This Row],[Equity Value]] - SnapshotTable[[#This Row],[Equity Basis Total]]</f>
        <v>0</v>
      </c>
      <c r="U45" s="255" t="str">
        <f>IF(SnapshotTable[[#This Row],[Equity Basis Total]] &gt; 0, SnapshotTable[[#This Row],[Equity G/L]] / SnapshotTable[[#This Row],[Equity Basis Total]], "")</f>
        <v/>
      </c>
      <c r="V45" s="253"/>
      <c r="W45" s="253"/>
      <c r="X45" s="4" t="str">
        <f>IF(AND(ISNUMBER(SnapshotTable[[#This Row],[Equity Basis Per Share]]),ISNUMBER(SnapshotTable[[#This Row],[Equity Target]])),SnapshotTable[[#This Row],[Equity Target]]-SnapshotTable[[#This Row],[Equity Basis Per Share]],"")</f>
        <v/>
      </c>
      <c r="Y45" s="4" t="str">
        <f>IF(AND(ISNUMBER(SnapshotTable[[#This Row],[Equity Basis Per Share]]),ISNUMBER(SnapshotTable[[#This Row],[Equity Stop Loss]])),SnapshotTable[[#This Row],[Equity Stop Loss]]-SnapshotTable[[#This Row],[Equity Basis Per Share]],"")</f>
        <v/>
      </c>
      <c r="Z45" s="260" t="str">
        <f>IFERROR( TEXT(SnapshotTable[[#This Row],[Equity Max Gain Per Share]] /ABS( SnapshotTable[[#This Row],[Equity Max Loss Per Share]]),"0.0 " ) &amp; " : 1", "")</f>
        <v/>
      </c>
      <c r="AA45" s="31" t="str">
        <f>IF(ISNUMBER(SnapshotTable[[#This Row],[Equity Max Gain Per Share]]),SnapshotTable[[#This Row],[Equity Max Gain Per Share]] * SnapshotTable[[#This Row],[Equity Shares]],"")</f>
        <v/>
      </c>
      <c r="AB45" s="31" t="str">
        <f>IF(ISNUMBER(SnapshotTable[[#This Row],[Equity Max Loss Per Share]]),SnapshotTable[[#This Row],[Equity Max Loss Per Share]] * SnapshotTable[[#This Row],[Equity Shares]],"")</f>
        <v/>
      </c>
      <c r="AC45" s="148"/>
      <c r="AD45" s="149"/>
      <c r="AE45" s="31">
        <f>(SnapshotTable[[#This Row],[Annual Dividend Per Share]] / 4) * SnapshotTable[[#This Row],[Equity Shares]]</f>
        <v>0</v>
      </c>
      <c r="AF45" s="31">
        <f>SnapshotTable[[#This Row],[Quarterly Div $]] * 4</f>
        <v>0</v>
      </c>
      <c r="AG45" s="7">
        <f>IF(SnapshotTable[[#This Row],[Annual Dividend Per Share]]&gt;0, SnapshotTable[[#This Row],[Annual Dividend Per Share]]  / SnapshotTable[[#This Row],[Last Price]], 0)</f>
        <v>0</v>
      </c>
      <c r="AH45" s="149"/>
      <c r="AI45" s="5"/>
      <c r="AJ45" s="136">
        <v>32.75</v>
      </c>
      <c r="AK45" s="150" t="str">
        <f>IF(ISNUMBER( SnapshotTable[[#This Row],[EBF Target]]),(SnapshotTable[[#This Row],[EBF Target]] - SnapshotTable[[#This Row],[Last Price]]) / SnapshotTable[[#This Row],[Last Price]], "")</f>
        <v/>
      </c>
      <c r="AL45" s="150" t="str">
        <f>IF(AND(SnapshotTable[[#This Row],[Equity Basis Total]] &gt; 0,ISNUMBER( SnapshotTable[[#This Row],[Long Term Target]])), SnapshotTable[[#This Row],[From Basis $]] / SnapshotTable[[#This Row],[Equity Basis Total]], "")</f>
        <v/>
      </c>
      <c r="AM45" s="9">
        <f>IF( AND(SnapshotTable[[#This Row],[Equity Shares]] &gt;0,ISNUMBER( SnapshotTable[[#This Row],[Long Term Target]])),(SnapshotTable[[#This Row],[Equity Shares]] * SnapshotTable[[#This Row],[Long Term Target]]) - SnapshotTable[[#This Row],[Equity Basis Total]],0)</f>
        <v>0</v>
      </c>
      <c r="AN45" s="9">
        <f>IF( AND(SnapshotTable[[#This Row],[Equity Shares]] &gt;0,ISNUMBER( SnapshotTable[[#This Row],[Long Term Target]])),(SnapshotTable[[#This Row],[Equity Shares]]*SnapshotTable[[#This Row],[Long Term Target]]) - SnapshotTable[[#This Row],[Equity Value]],0)</f>
        <v>0</v>
      </c>
      <c r="AO45" s="150">
        <f>IF(AND(ISNUMBER( SnapshotTable[[#This Row],[Long Term Target]]), ISNUMBER(SnapshotTable[[#This Row],[Last Price]])),(SnapshotTable[[#This Row],[Long Term Target]] - SnapshotTable[[#This Row],[Last Price]]) / SnapshotTable[[#This Row],[Last Price]], "")</f>
        <v>-1.5243902439023526E-3</v>
      </c>
      <c r="AP45" s="5">
        <v>8</v>
      </c>
      <c r="AQ45" s="38" t="s">
        <v>16</v>
      </c>
      <c r="AR45" s="5">
        <v>8</v>
      </c>
      <c r="AS45" s="38" t="s">
        <v>22</v>
      </c>
      <c r="AT45" s="144" t="s">
        <v>442</v>
      </c>
      <c r="AU45" s="185" t="str">
        <f>IF(OR(SnapshotTable[[#This Row],[LP No Fill]]="Y",SnapshotTable[[#This Row],[SP Is Filled]],SnapshotTable[[#This Row],[LC Not Filled]]="Y",SnapshotTable[[#This Row],[SC Is Filled]]),"Y","")</f>
        <v/>
      </c>
      <c r="AV45" s="205"/>
      <c r="AW45" s="211"/>
      <c r="AX45" s="206"/>
      <c r="AY45" s="205" t="str">
        <f>IF(SnapshotTable[[#This Row],[Implied Move]]&gt;0, SnapshotTable[[#This Row],[Last Price]]-SnapshotTable[[#This Row],[Implied Move]],"")</f>
        <v/>
      </c>
      <c r="AZ45" s="205" t="str">
        <f>IF(SnapshotTable[[#This Row],[Implied Move]]&gt;0, SnapshotTable[[#This Row],[Last Price]] + SnapshotTable[[#This Row],[Implied Move]],"")</f>
        <v/>
      </c>
      <c r="BA45" s="302"/>
      <c r="BB45" s="318"/>
      <c r="BC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5" s="321"/>
      <c r="BE45" s="172"/>
      <c r="BF45" s="173"/>
      <c r="BG45" s="174"/>
      <c r="BH45" s="174"/>
      <c r="BI45" s="5"/>
      <c r="BJ45" s="151">
        <f>IF(SnapshotTable[[#This Row],[LP Qty]] &gt; 0, SnapshotTable[[#This Row],[LP Qty]] * SnapshotTable[[#This Row],[LP Book Price]] * 100,0)</f>
        <v>0</v>
      </c>
      <c r="BK45" s="134">
        <f>IF(SnapshotTable[[#This Row],[LP Premium]] &gt; 0, SnapshotTable[[#This Row],[LP Qty]] * SnapshotTable[[#This Row],[LP Strike Price]] * 100,0)</f>
        <v>0</v>
      </c>
      <c r="BL45" s="152"/>
      <c r="BM45" s="355" t="str">
        <f>IF(SnapshotTable[[#This Row],[LP Premium]] &gt; 0,SnapshotTable[[#This Row],[LP Exp Date]]-MAX(SnapshotTable[[#This Row],[LP Book Date]], SnapshotTable[[#This Row],[LP Fill Date]]),"")</f>
        <v/>
      </c>
      <c r="BN45" s="355" t="str">
        <f>IF(ISNUMBER( SnapshotTable[[#This Row],[LP Term]]), SnapshotTable[[#This Row],[LP Exp Date]] - MockToday,"")</f>
        <v/>
      </c>
      <c r="BO45" s="161" t="str">
        <f>IF(AND(SnapshotTable[[#This Row],[LP Exp Date]]&gt;0, SnapshotTable[[#This Row],[LP Strike Price]]&gt;0,SnapshotTable[[#This Row],[LP Qty]]&gt;0,SnapshotTable[[#This Row],[LP Book Date]]&gt;0,SnapshotTable[[#This Row],[LP Book Price]]&gt;0,SnapshotTable[[#This Row],[LP Fill Date]]=0),"Y","")</f>
        <v/>
      </c>
      <c r="BP45" s="31" t="str">
        <f>IF(AND(SnapshotTable[[#This Row],[LP No Fill]]&lt;&gt;"Y",SnapshotTable[[#This Row],[LP Contract Value]]&gt;0, SnapshotTable[[#This Row],[LP Qty]]&gt;0), SnapshotTable[[#This Row],[LP Contract Value]]*SnapshotTable[[#This Row],[LP Qty]]*100,"")</f>
        <v/>
      </c>
      <c r="BQ45" s="13"/>
      <c r="BR45" s="5"/>
      <c r="BS45" s="36"/>
      <c r="BT45" s="145"/>
      <c r="BU45" s="13"/>
      <c r="BV45" s="5"/>
      <c r="BW45" s="382" t="b">
        <f>AND(ISNUMBER(SnapshotTable[[#This Row],[SP Exp Date]]), ISNUMBER(SnapshotTable[[#This Row],[SP Strike Price]]), ISNUMBER(SnapshotTable[[#This Row],[SP Qty]]), ISNUMBER(SnapshotTable[[#This Row],[SP Book Date]]), ISNUMBER(SnapshotTable[[#This Row],[SP Book Price]]))</f>
        <v>0</v>
      </c>
      <c r="BX45" s="382" t="b">
        <f>AND(SnapshotTable[[#This Row],[SP Is Booked]], NOT(ISBLANK(SnapshotTable[[#This Row],[SP Fill Date]])))</f>
        <v>0</v>
      </c>
      <c r="BY45" s="33">
        <f>IF(SnapshotTable[[#This Row],[SP Is Booked]], SnapshotTable[[#This Row],[SP Qty]] * SnapshotTable[[#This Row],[SP Book Price]] * 100, 0)</f>
        <v>0</v>
      </c>
      <c r="BZ45" s="339"/>
      <c r="CA45" s="338">
        <f>SnapshotTable[[#This Row],[LP Qty]]</f>
        <v>0</v>
      </c>
      <c r="CB45" s="4" t="str">
        <f>IF(SnapshotTable[[#This Row],[SP Is Booked]], SnapshotTable[[#This Row],[SP Strike Price]] - SnapshotTable[[#This Row],[SP Book Price]], "")</f>
        <v/>
      </c>
      <c r="CC45" s="19" t="str">
        <f>IF(SnapshotTable[[#This Row],[SP Is Booked]],SnapshotTable[[#This Row],[SP Exp Date]]-MAX(SnapshotTable[[#This Row],[SP Book Date]], SnapshotTable[[#This Row],[SP Fill Date]]),"")</f>
        <v/>
      </c>
      <c r="CD45" s="7" t="str">
        <f>IF(SnapshotTable[[#This Row],[SP Is Booked]], SnapshotTable[[#This Row],[SP Book Price]]/SnapshotTable[[#This Row],[SP Strike Price]], "")</f>
        <v/>
      </c>
      <c r="CE45" s="7" t="str">
        <f>IF(ISNUMBER(SnapshotTable[[#This Row],[SP ROO Term]]),SnapshotTable[[#This Row],[SP ROO Term]]*(365/SnapshotTable[[#This Row],[SP Term]]),"")</f>
        <v/>
      </c>
      <c r="CF45" s="221">
        <f>SnapshotTable[[#This Row],[LP Strike Price]] * SnapshotTable[[#This Row],[LP Qty]] * 100</f>
        <v>0</v>
      </c>
      <c r="CG45" s="31">
        <f>IF(ISNUMBER(SnapshotTable[[#This Row],[SP Premium]]), (SnapshotTable[[#This Row],[SP Qty]] * SnapshotTable[[#This Row],[SP Strike Price]]* 100) - SnapshotTable[[#This Row],[LP Protection]], 0)</f>
        <v>0</v>
      </c>
      <c r="CH45" s="7" t="str">
        <f>IF(ISNUMBER(SnapshotTable[[#This Row],[SP Break Even]]),-1 * (SnapshotTable[[#This Row],[SP Break Even]] - SnapshotTable[[#This Row],[Last Price]]) / SnapshotTable[[#This Row],[Last Price]], "")</f>
        <v/>
      </c>
      <c r="CI45" s="31">
        <f>IF(AND(ISNUMBER((SnapshotTable[[#This Row],[SP Potential Spend]])), SnapshotTable[[#This Row],[SP Strike Price]] &gt; SnapshotTable[[#This Row],[Last Price]], SnapshotTable[[#This Row],[SP Is Filled]]), SnapshotTable[[#This Row],[SP Potential Spend]] -  SnapshotTable[[#This Row],[LP Max Value]], 0)</f>
        <v>0</v>
      </c>
      <c r="CJ45" s="229"/>
      <c r="CK45" s="31">
        <f>IF(ISNUMBER(SnapshotTable[[#This Row],[SP Potential Spend]]),IF(ISNUMBER(SnapshotTable[[#This Row],[SP POW]]), SnapshotTable[[#This Row],[SP POW]] * SnapshotTable[[#This Row],[SP Potential Spend]], SnapshotTable[[#This Row],[SP Potential Spend]]), "")</f>
        <v>0</v>
      </c>
      <c r="CL45" s="162">
        <f>IF(NOT(SnapshotTable[[#This Row],[SP Is Filled]]),(SnapshotTable[[#This Row],[SP Qty]] * SnapshotTable[[#This Row],[SP Strike Price]] * 100) - SnapshotTable[[#This Row],[LP Max Value]],"")</f>
        <v>0</v>
      </c>
      <c r="CM45" s="31" t="str">
        <f>IF(SnapshotTable[[#This Row],[SP Actual Spend]]&lt;&gt;0, ((SnapshotTable[[#This Row],[SP Strike Price]]-SnapshotTable[[#This Row],[Last Price]]) *(SnapshotTable[[#This Row],[SP Qty]]*100) - SnapshotTable[[#This Row],[SP Premium]]) * - 1, "")</f>
        <v/>
      </c>
      <c r="CN45" s="152"/>
      <c r="CO45" s="339"/>
      <c r="CP45" s="4" t="str">
        <f>IF(SnapshotTable[[#This Row],[SP Is Filled]], btc_max_buyback_amount(SnapshotTable[[#This Row],[SP Fill Date]],SnapshotTable[[#This Row],[SP Exp Date]], SnapshotTable[[#This Row],[SP Book Price]]),"")</f>
        <v/>
      </c>
      <c r="CQ45" s="76"/>
      <c r="CR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5" s="153" t="str">
        <f>IF(SnapshotTable[[#This Row],[SP Is Filled]], btc_next_cutoff_date(SnapshotTable[[#This Row],[SP Fill Date]],SnapshotTable[[#This Row],[SP Exp Date]]),"")</f>
        <v/>
      </c>
      <c r="CT45" s="220" t="str" cm="1">
        <f t="array" ref="CT45">IF(SnapshotTable[[#This Row],[SP Is Filled]], btc_should_buy_back(SnapshotTable[[#This Row],[SP Fill Date]], SnapshotTable[[#This Row],[SP Exp Date]], SnapshotTable[[#This Row],[SP Book Price]], SnapshotTable[[#This Row],[SP Current Ask]], MockToday, SnapshotTable[[#This Row],[SP Buyback Override]]),"")</f>
        <v/>
      </c>
      <c r="CU45" s="154"/>
      <c r="CV45" s="220"/>
      <c r="CW45" s="348" t="str">
        <f>IF(ISNUMBER( SnapshotTable[[#This Row],[SP Term]]), SnapshotTable[[#This Row],[SP Exp Date]] - MockToday,"")</f>
        <v/>
      </c>
      <c r="CX45" s="31" t="str">
        <f>IF(SnapshotTable[[#This Row],[SP Is Filled]],SnapshotTable[[#This Row],[SP Buyback Price to Use]] * 100 * SnapshotTable[[#This Row],[SP Qty]], "")</f>
        <v/>
      </c>
      <c r="CY45" s="4" t="str">
        <f>IF(ISNUMBER(SnapshotTable[[#This Row],[SP Strike Price]]), SnapshotTable[[#This Row],[SP Strike Price]] * (1 - SP_MaxLoss_StrikePct), "")</f>
        <v/>
      </c>
      <c r="CZ45" s="31" t="str">
        <f>IF(ISNUMBER(SnapshotTable[[#This Row],[SP Strike  Stop Per Share]]),SnapshotTable[[#This Row],[SP Premium]] - ((SnapshotTable[[#This Row],[SP Strike Price]]-SnapshotTable[[#This Row],[SP Strike  Stop Per Share]]) *(SnapshotTable[[#This Row],[SP Qty]] * 100)),"")</f>
        <v/>
      </c>
      <c r="DA45" s="4" t="str">
        <f>IF(AND(ISNUMBER(SnapshotTable[[#This Row],[SP Premium]]),SnapshotTable[[#This Row],[SP Premium]]&gt;0), SnapshotTable[[#This Row],[SP Book Price]] * (1 + SP_MaxLoss_OptionPct), "")</f>
        <v/>
      </c>
      <c r="DB45" s="31" t="str">
        <f>IF(ISNUMBER(SnapshotTable[[#This Row],[SP Option  Stop Contract]]),(SnapshotTable[[#This Row],[SP Option  Stop Contract]] *(SnapshotTable[[#This Row],[SP Qty]] * 100) - SnapshotTable[[#This Row],[SP Premium]]),"")</f>
        <v/>
      </c>
      <c r="DC45" s="4"/>
      <c r="DD45" s="4"/>
      <c r="DE45" s="4" t="str">
        <f>IF(AND(SnapshotTable[[#This Row],[SP Qty]]&gt;0, SnapshotTable[[#This Row],[SP Stop To Use]]&gt;0),SnapshotTable[[#This Row],[SP Premium]] - ( SnapshotTable[[#This Row],[SP Qty]] * SnapshotTable[[#This Row],[SP Stop To Use]] * 100), "")</f>
        <v/>
      </c>
      <c r="DF45" s="31" t="str">
        <f>IF(AND(SnapshotTable[[#This Row],[SP Qty]]&gt;0,SnapshotTable[[#This Row],[SP Current Ask]]&gt;0), SnapshotTable[[#This Row],[SP Qty]] * SnapshotTable[[#This Row],[SP Current Ask]] * -100, "")</f>
        <v/>
      </c>
      <c r="DG45" s="31" t="str">
        <f>IF(ISNUMBER((SnapshotTable[[#This Row],[SP Total Value]])), SnapshotTable[[#This Row],[SP Premium]] + SnapshotTable[[#This Row],[SP Total Value]], "")</f>
        <v/>
      </c>
      <c r="DH45" s="272" t="str">
        <f>IF(ISNUMBER((SnapshotTable[[#This Row],[SP Total Value]])), SnapshotTable[[#This Row],[SP Gain Loss]] / SnapshotTable[[#This Row],[SP Premium]], "")</f>
        <v/>
      </c>
      <c r="DI45" s="369"/>
      <c r="DJ45" s="136"/>
      <c r="DK45" s="146"/>
      <c r="DL45" s="13"/>
      <c r="DM45" s="13"/>
      <c r="DN45" s="5"/>
      <c r="DO45" s="31">
        <f>IF(SnapshotTable[[#This Row],[LC Symbol Count]]=1, SnapshotTable[[#This Row],[LC Qty]] * SnapshotTable[[#This Row],[LC Book Price]] * 100, 0)</f>
        <v>0</v>
      </c>
      <c r="DP45" s="161" t="str">
        <f>IF(AND(SnapshotTable[[#This Row],[LC Exp Date]]&gt;0, SnapshotTable[[#This Row],[LC Strike Price]]&gt;0,SnapshotTable[[#This Row],[LC Qty]]&gt;0,SnapshotTable[[#This Row],[LC Book Date]]&gt;0,SnapshotTable[[#This Row],[LC Book Price]]&gt;0,SnapshotTable[[#This Row],[LC Fill Date]]=0),"Y","")</f>
        <v/>
      </c>
      <c r="DQ45" s="356" t="str">
        <f>IF(SnapshotTable[[#This Row],[LC Premium]] &gt; 0,SnapshotTable[[#This Row],[LC Exp Date]]-MAX(SnapshotTable[[#This Row],[LC Book Date]], SnapshotTable[[#This Row],[LC Fill Date]]),"")</f>
        <v/>
      </c>
      <c r="DR45" s="356" t="str">
        <f>IF(ISNUMBER(SnapshotTable[[#This Row],[LC Term]]), SnapshotTable[[#This Row],[LC Exp Date]] - MockToday, "")</f>
        <v/>
      </c>
      <c r="DS45" s="219" t="str">
        <f>IF(SnapshotTable[[#This Row],[LC Premium]]&gt;0,SnapshotTable[[#This Row],[LC Strike Price]] + SnapshotTable[[#This Row],[LC Book Price]],"")</f>
        <v/>
      </c>
      <c r="DT45" s="5"/>
      <c r="DU45" s="9" t="str">
        <f>IF(AND(SnapshotTable[[#This Row],[LC Symbol Count]]&gt;0, SnapshotTable[[#This Row],[LC Contract Value]]&gt;0), SnapshotTable[[#This Row],[LC Contract Value]] * SnapshotTable[[#This Row],[LC Qty]] * 100, "")</f>
        <v/>
      </c>
      <c r="DV45" s="9" t="str">
        <f>IF(AND(ISNUMBER(SnapshotTable[[#This Row],[LC Total Value]]), SnapshotTable[[#This Row],[LC Not Filled]]&lt;&gt;"Y"), SnapshotTable[[#This Row],[LC Total Value]]-SnapshotTable[[#This Row],[LC Premium]],"")</f>
        <v/>
      </c>
      <c r="DW45" s="225" t="str">
        <f>IF(ISNUMBER(SnapshotTable[[#This Row],[LC Actual Gain Loss]]), SnapshotTable[[#This Row],[LC Actual Gain Loss]] / SnapshotTable[[#This Row],[LC Premium]],"")</f>
        <v/>
      </c>
      <c r="DX45" s="269" t="str">
        <f>IF(ISNUMBER(SnapshotTable[[#This Row],[LC Book Price]]),SnapshotTable[[#This Row],[LC Book Price]] * 1.5,"")</f>
        <v/>
      </c>
      <c r="DY45" s="250" t="str">
        <f>IF(SnapshotTable[[#This Row],[LC Premium]]&gt;0, SnapshotTable[[#This Row],[LC Next Target]] * SnapshotTable[[#This Row],[LC Qty]] * 100,"")</f>
        <v/>
      </c>
      <c r="DZ45" s="250" t="str">
        <f>IF(ISNUMBER(SnapshotTable[[#This Row],[LC Target Gross]]), SnapshotTable[[#This Row],[LC Target Gross]] - SnapshotTable[[#This Row],[LC Premium]], "")</f>
        <v/>
      </c>
      <c r="EA45" s="283" t="str">
        <f>IF(ISNUMBER(SnapshotTable[[#This Row],[LC Target Gain Loss]]), SnapshotTable[[#This Row],[LC Target Gain Loss]]/SnapshotTable[[#This Row],[LC Premium]], "")</f>
        <v/>
      </c>
      <c r="EB45" s="247"/>
      <c r="EC45" s="268" t="str">
        <f>IF(SnapshotTable[[#This Row],[LC Premium]]&gt;0, SnapshotTable[[#This Row],[LC Book Price]] * (1 - LC_StopLoss_Pct),"")</f>
        <v/>
      </c>
      <c r="ED45" s="269"/>
      <c r="EE45" s="268" t="str">
        <f>IF(ISNUMBER(SnapshotTable[[#This Row],[LC Contract Value]]),IF(ISNUMBER(SnapshotTable[[#This Row],[LC Stop Loss Override]]), SnapshotTable[[#This Row],[LC Stop Loss Override]],SnapshotTable[[#This Row],[LC Stop Loss Calc Target]]),"")</f>
        <v/>
      </c>
      <c r="EF45" s="31" t="str">
        <f>IF(ISNUMBER(SnapshotTable[[#This Row],[LC Stop  To Use]]), (SnapshotTable[[#This Row],[LC Stop  To Use]] * SnapshotTable[[#This Row],[LC Qty]] * 100),"")</f>
        <v/>
      </c>
      <c r="EG45" s="9" t="str">
        <f>IF(ISNUMBER(SnapshotTable[[#This Row],[LC Total Value]]),SnapshotTable[[#This Row],[LC Stop Loss Amount]] - SnapshotTable[[#This Row],[LC Premium]],"")</f>
        <v/>
      </c>
      <c r="EH45" s="9">
        <f>IF(ISNUMBER(SnapshotTable[[#This Row],[LC Premium]]), SnapshotTable[[#This Row],[LC Qty]] * 100 * SnapshotTable[[#This Row],[LC Strike Price]], "")</f>
        <v>0</v>
      </c>
      <c r="EI45" s="225" t="str">
        <f>IF(AND(ISNUMBER(SnapshotTable[[#This Row],[LC Total Value]]),SnapshotTable[[#This Row],[LC Total Value]]&gt;0),SnapshotTable[[#This Row],[LC Stop Gain Loss]]  / SnapshotTable[[#This Row],[LC Premium]],"")</f>
        <v/>
      </c>
      <c r="EJ45" s="35">
        <f>IF(ISNUMBER(SnapshotTable[[#This Row],[Equity Shares]]),TRUNC(SnapshotTable[[#This Row],[Equity Shares]] / 100),0) + SnapshotTable[[#This Row],[LC Qty]]</f>
        <v>0</v>
      </c>
      <c r="EK45" s="145"/>
      <c r="EL45" s="136"/>
      <c r="EM45" s="146"/>
      <c r="EN45" s="145"/>
      <c r="EO45" s="145"/>
      <c r="EP45" s="136"/>
      <c r="EQ45" s="382" t="b">
        <f>AND(ISNUMBER(SnapshotTable[[#This Row],[SC Exp Date]]), ISNUMBER(SnapshotTable[[#This Row],[SC Strike Price]]), ISNUMBER(SnapshotTable[[#This Row],[SC Qty]]), ISNUMBER(SnapshotTable[[#This Row],[SC Book Date]]), ISNUMBER(SnapshotTable[[#This Row],[SC Book Price]]))</f>
        <v>0</v>
      </c>
      <c r="ER45" s="382" t="b">
        <f>AND(SnapshotTable[[#This Row],[SC Is Booked]], NOT(ISBLANK(SnapshotTable[[#This Row],[SC Fill Date]])))</f>
        <v>0</v>
      </c>
      <c r="ES45" s="340"/>
      <c r="ET45" s="34" t="str">
        <f>IF(AND(ISNUMBER(SnapshotTable[[#This Row],[SC Exp Date]]), ISNUMBER(SnapshotTable[[#This Row],[SC Book Date]])), SnapshotTable[[#This Row],[SC Exp Date]] - MAX(SnapshotTable[[#This Row],[SC Book Date]], SnapshotTable[[#This Row],[SC Fill Date]]) + 1, "")</f>
        <v/>
      </c>
      <c r="EU45" s="34" t="str">
        <f>IF(ISNUMBER(SnapshotTable[[#This Row],[SC Term]]), SnapshotTable[[#This Row],[SC Exp Date]]- MockToday, "")</f>
        <v/>
      </c>
      <c r="EV45" s="31">
        <f>IF(SnapshotTable[[#This Row],[SC Is Booked]], SnapshotTable[[#This Row],[SC Qty]] * SnapshotTable[[#This Row],[SC Book Price]] * 100, 0)</f>
        <v>0</v>
      </c>
      <c r="EW45" s="4" t="str">
        <f>IF(AND(ISNUMBER(SnapshotTable[[#This Row],[Last Price]]), ISNUMBER( SnapshotTable[[#This Row],[SC Book Price]])), SnapshotTable[[#This Row],[Last Price]] - SnapshotTable[[#This Row],[SC Book Price]],"")</f>
        <v/>
      </c>
      <c r="EX45" s="219" t="str">
        <f>IF(SnapshotTable[[#This Row],[SC Is Booked]],IF(SnapshotTable[[#This Row],[SC Intrinsic Value]] &gt; 0, SnapshotTable[[#This Row],[SC Strike Price]], SnapshotTable[[#This Row],[Last Price]]), "")</f>
        <v/>
      </c>
      <c r="EY45" s="4">
        <f>IF(SnapshotTable[[#This Row],[SC Is Booked]], (MinimumPremiumRequired * SnapshotTable[[#This Row],[SC Basis]] * SnapshotTable[[#This Row],[SC Term]]), 0)</f>
        <v>0</v>
      </c>
      <c r="EZ45" s="268"/>
      <c r="FA45" s="204"/>
      <c r="FB45" s="340"/>
      <c r="FC45" s="4">
        <f>IF(SnapshotTable[[#This Row],[SC Is Filled]], btc_max_buyback_amount(SnapshotTable[[#This Row],[SC Fill Date]],SnapshotTable[[#This Row],[SC Exp Date]], SnapshotTable[[#This Row],[SC Book Price]]),0)</f>
        <v>0</v>
      </c>
      <c r="FD45" s="5"/>
      <c r="FE45" s="142" t="str">
        <f>IF(SnapshotTable[[#This Row],[SC Is Filled]], btc_next_cutoff_date(SnapshotTable[[#This Row],[SC Fill Date]],SnapshotTable[[#This Row],[SC Exp Date]]),"")</f>
        <v/>
      </c>
      <c r="FF45" s="4" t="str" cm="1">
        <f t="array" ref="FF45">IF(SnapshotTable[[#This Row],[SC Is Filled]], btc_should_buy_back(SnapshotTable[[#This Row],[SC Fill Date]], SnapshotTable[[#This Row],[SC Exp Date]], SnapshotTable[[#This Row],[SC Book Price]], SnapshotTable[[#This Row],[SC Current Ask]], MockToday, SnapshotTable[[#This Row],[SC Buyback Override]]),"")</f>
        <v/>
      </c>
      <c r="FG45" s="4">
        <f>IF(SnapshotTable[[#This Row],[SC Is Filled]], MAX(0,SnapshotTable[[#This Row],[Last Price]]  - SnapshotTable[[#This Row],[SC Strike Price]]), 0)</f>
        <v>0</v>
      </c>
      <c r="FH45" s="352">
        <f>IF(SnapshotTable[[#This Row],[SC Is Filled]], IF(ISNUMBER(SnapshotTable[[#This Row],[SC Current Ask]]), SnapshotTable[[#This Row],[SC Current Ask]], SnapshotTable[[#This Row],[SC Book Price]]) - SnapshotTable[[#This Row],[SC Intrinsic Value]], 0)</f>
        <v>0</v>
      </c>
      <c r="FI45" s="141"/>
      <c r="FJ45" s="32" t="str">
        <f>IF(SnapshotTable[[#This Row],[SC Is Filled]],100 * SnapshotTable[[#This Row],[SC Qty]] * IF(ISNUMBER(SnapshotTable[[#This Row],[SC Buyback Override]]), SnapshotTable[[#This Row],[SC Buyback Override]], SnapshotTable[[#This Row],[SC Current Ask]]), "")</f>
        <v/>
      </c>
      <c r="FK45" s="235" t="str">
        <f>IF(SnapshotTable[[#This Row],[SC Time Val]]&gt;0, SnapshotTable[[#This Row],[SC Time Val]] / SnapshotTable[[#This Row],[Last Price]],"")</f>
        <v/>
      </c>
      <c r="FL45" s="280" t="str">
        <f>IF(SnapshotTable[[#This Row],[SC Is Booked]], ((SnapshotTable[[#This Row],[Last Price]] -SnapshotTable[[#This Row],[SC Strike Price]]) / SnapshotTable[[#This Row],[Last Price]]) * -1, "")</f>
        <v/>
      </c>
      <c r="FM45" s="155" t="str">
        <f>IF(SnapshotTable[[#This Row],[SC Is Booked]],  (SnapshotTable[[#This Row],[SC Qty]] * 100 * SnapshotTable[[#This Row],[SC Strike Price]]) - SnapshotTable[[#This Row],[SC Current Ask]], "")</f>
        <v/>
      </c>
      <c r="FN45"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5" s="155" t="str">
        <f>IF(AND(ISNUMBER(SnapshotTable[[#This Row],[SC Exercise Gross]]), ISNUMBER(SnapshotTable[[#This Row],[Equity Basis Per Share]] )), SnapshotTable[[#This Row],[SC Exercise Gross]] - SnapshotTable[[#This Row],[Equity Basis Total]] +  SnapshotTable[[#This Row],[SC Premium]], "")</f>
        <v/>
      </c>
      <c r="FP45" s="5" t="str">
        <f>IF(ISNUMBER(SnapshotTable[[#This Row],[SC Exercise Gross]]), (SnapshotTable[[#This Row],[SC Exercise Gross]]) / (SnapshotTable[[#This Row],[SC Qty]] * 100), "")</f>
        <v/>
      </c>
      <c r="FQ45" s="27" t="str">
        <f>IF(SnapshotTable[[#This Row],[SC Is Booked]],SnapshotTable[[#This Row],[SC Time Val]] /SnapshotTable[[#This Row],[SC Basis]], "")</f>
        <v/>
      </c>
      <c r="FR45" s="27" t="str" cm="1">
        <f t="array" ref="FR45">IF(AND(ISNUMBER(SnapshotTable[[#This Row],[SC Term]]),ISNUMBER(SnapshotTable[[#This Row],[SC Simple ROO]])), EllmanAnnualize(SnapshotTable[[#This Row],[SC DTE]], SnapshotTable[[#This Row],[SC Simple ROO]] ),"")</f>
        <v/>
      </c>
      <c r="FS45" s="4">
        <f>IF(SnapshotTable[[#This Row],[SC Strike Price]] &gt; SnapshotTable[[#This Row],[Last Price]], SnapshotTable[[#This Row],[SC Strike Price]] - SnapshotTable[[#This Row],[Last Price]],0)</f>
        <v>0</v>
      </c>
      <c r="FT45" s="27" t="str">
        <f>IF(AND(ISNUMBER(SnapshotTable[[#This Row],[SC Upside Potential]]), SnapshotTable[[#This Row],[SC Upside Potential]] &gt; 0),(SnapshotTable[[#This Row],[SC Upside Potential]]/ SnapshotTable[[#This Row],[ACB]]),"")</f>
        <v/>
      </c>
      <c r="FU45" s="304" t="str">
        <f>IF(SnapshotTable[[#This Row],[SC Intrinsic Value]] &gt; 0,SnapshotTable[[#This Row],[SC Intrinsic Value]],"")</f>
        <v/>
      </c>
      <c r="FV45" s="27" t="str">
        <f>IF(AND( ISNUMBER( SnapshotTable[[#This Row],[ACB]]),ISNUMBER(SnapshotTable[[#This Row],[SC Downside Protect]])),SnapshotTable[[#This Row],[SC Downside Protect]] / SnapshotTable[[#This Row],[ACB]],"")</f>
        <v/>
      </c>
      <c r="FW45" s="221" t="str">
        <f>IF(AND(ISNUMBER(SnapshotTable[[#This Row],[SC Simple ROO]]),SnapshotTable[[#This Row],[SC Simple ROO]] &gt; 0), SnapshotTable[[#This Row],[SC Premium]] + (SnapshotTable[[#This Row],[SC Qty]] * SnapshotTable[[#This Row],[SC Upside Potential]]), "")</f>
        <v/>
      </c>
      <c r="FX45" s="280" t="str" cm="1">
        <f t="array" ref="FX45">IF(ISNUMBER(SnapshotTable[[#This Row],[SC Max Dollars]]), annualize(SnapshotTable[[#This Row],[SC Term]],(SnapshotTable[[#This Row],[SC Max Dollars]]/SnapshotTable[[#This Row],[SC Basis]])),"")</f>
        <v/>
      </c>
      <c r="FY45" s="221" t="str">
        <f>IF(AND(SnapshotTable[[#This Row],[SC Qty]]&gt;0,SnapshotTable[[#This Row],[SC Current Ask]]&gt;0), SnapshotTable[[#This Row],[SC Qty]] * SnapshotTable[[#This Row],[SC Current Ask]] * -100, "")</f>
        <v/>
      </c>
      <c r="FZ45" s="31" t="str">
        <f>IF(ISNUMBER((SnapshotTable[[#This Row],[SC Current Value]])), SnapshotTable[[#This Row],[SC Premium]] + SnapshotTable[[#This Row],[SC Current Value]], "")</f>
        <v/>
      </c>
      <c r="GA45" s="272" t="str">
        <f>IFERROR( IF(ISNUMBER((SnapshotTable[[#This Row],[SC Current Value]])), SnapshotTable[[#This Row],[SC Gain Loss]] / SnapshotTable[[#This Row],[SC Premium]], ""), "")</f>
        <v/>
      </c>
      <c r="GB45" s="175">
        <f>SnapshotTable[[#This Row],[Equity Shares]] * SaleSharesToConsiderPercentage</f>
        <v>0</v>
      </c>
      <c r="GC45" s="176">
        <f>SnapshotTable[[#This Row],[Long Term Target]] * SellingPriceToConsiderBasedOnTargetPercentage</f>
        <v>31.112499999999997</v>
      </c>
      <c r="GD45" s="176">
        <f>SnapshotTable[[#This Row],[Last Price]] * (1+ SellingPriceToConsiderBasedOnTargetPercentage)</f>
        <v>63.959999999999994</v>
      </c>
      <c r="GE45" s="177"/>
      <c r="GF45" s="176"/>
      <c r="GG45" s="31">
        <f>SnapshotTable[[#This Row],[Booked Sale Shares]] * SnapshotTable[[#This Row],[Booked Sale Price]]</f>
        <v>0</v>
      </c>
      <c r="GH45" s="31" t="str">
        <f>IF(SnapshotTable[[#This Row],[Equity Basis Total]] &gt; 0, SnapshotTable[[#This Row],[Equity Basis Per Share]] * SnapshotTable[[#This Row],[Booked Sale Shares]], "")</f>
        <v/>
      </c>
      <c r="GI45" s="31">
        <f>IF(SnapshotTable[[#This Row],[Sale Proceeds]]&gt;0, SnapshotTable[[#This Row],[Sale Proceeds]] - SnapshotTable[[#This Row],[Sale Basis]], 0)</f>
        <v>0</v>
      </c>
      <c r="GJ45" s="156" t="str">
        <f>IF(SnapshotTable[[#This Row],[Sale G/L]]&gt;0, SnapshotTable[[#This Row],[Sale G/L]] / SnapshotTable[[#This Row],[Sale Basis]], IF(ISNUMBER(SnapshotTable[[#This Row],[SC Exercise P&amp;L (TAX)]]), SnapshotTable[[#This Row],[SC Exercise P&amp;L (TAX)]] / SnapshotTable[[#This Row],[SC Basis]], ""))</f>
        <v/>
      </c>
      <c r="GK45" s="156"/>
      <c r="GL45" s="157" t="str">
        <f>IF(AND(SnapshotTable[[#This Row],[LP Exp Date]]&gt;0,SnapshotTable[[#This Row],[LP Strike Price]]&gt;0), [1]!ToOptionSymbol(SnapshotTable[[#This Row],[Symbol]], SnapshotTable[[#This Row],[LP Strike Price]],SnapshotTable[[#This Row],[LP Exp Date]],1), "")</f>
        <v/>
      </c>
      <c r="GM45" s="30" t="str">
        <f>IF(LEN(SnapshotTable[[#This Row],[LP Symbol]])&gt;0, 1, "")</f>
        <v/>
      </c>
      <c r="GN45" s="43" t="str">
        <f>IF(AND(SnapshotTable[[#This Row],[SP Exp Date]]&gt;0,SnapshotTable[[#This Row],[SP Strike Price]]&gt;0), [1]!ToOptionSymbol(SnapshotTable[[#This Row],[Symbol]], SnapshotTable[[#This Row],[SP Strike Price]],SnapshotTable[[#This Row],[SP Exp Date]],1), "")</f>
        <v/>
      </c>
      <c r="GO45" s="30" t="str">
        <f>IF(LEN(SnapshotTable[[#This Row],[SP Symbol]])&gt;0, 1, "")</f>
        <v/>
      </c>
      <c r="GP45" s="157" t="str">
        <f>IF(AND(SnapshotTable[[#This Row],[LC Exp Date]]&gt;0,SnapshotTable[[#This Row],[LC Strike Price]]&gt;0), [1]!ToOptionSymbol(SnapshotTable[[#This Row],[Symbol]], SnapshotTable[[#This Row],[LC Strike Price]],SnapshotTable[[#This Row],[LC Exp Date]],0), "")</f>
        <v/>
      </c>
      <c r="GQ45" s="158" t="str">
        <f>IF(LEN(SnapshotTable[[#This Row],[LC Symbol]])&gt;0, 1, "")</f>
        <v/>
      </c>
      <c r="GR45" s="157" t="str">
        <f>IF(AND(SnapshotTable[[#This Row],[SC Exp Date]]&gt;0,SnapshotTable[[#This Row],[SC Strike Price]]&gt;0), [1]!ToOptionSymbol(SnapshotTable[[#This Row],[Symbol]], SnapshotTable[[#This Row],[SC Strike Price]],SnapshotTable[[#This Row],[SC Exp Date]],0), "")</f>
        <v/>
      </c>
      <c r="GS45" s="158" t="str">
        <f>IF(LEN(SnapshotTable[[#This Row],[SC Symbol]])&gt;0, 1, "")</f>
        <v/>
      </c>
      <c r="GT45" s="159" t="str">
        <f>IF(COUNT(SnapshotTable[[#This Row],[LP Symbol Count]],SnapshotTable[[#This Row],[SP Symbol Count]],SnapshotTable[[#This Row],[LC Symbol Count]],SnapshotTable[[#This Row],[SC Symbol Count]])&gt;0, "Y", "")</f>
        <v/>
      </c>
      <c r="GU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5" s="216">
        <f>MAX(SnapshotTable[[#This Row],[Equity Basis Total]],SnapshotTable[[#This Row],[Equity Value]]) + (SnapshotTable[[#This Row],[SP Potential Spend]]- SnapshotTable[[#This Row],[SP Premium]] + SnapshotTable[[#This Row],[LP Premium]])+ (SnapshotTable[[#This Row],[LC Premium]] - SnapshotTable[[#This Row],[SC Premium]])</f>
        <v>0</v>
      </c>
      <c r="GW45" s="137" t="str">
        <f>IF(AND(SnapshotTable[[#This Row],[Exposure]] &lt;&gt; 0),SnapshotTable[[#This Row],[Exposure]] / SnapshotTable[[#Totals],[Exposure]], "")</f>
        <v/>
      </c>
      <c r="GY45" s="351"/>
      <c r="HE45" s="253"/>
      <c r="HF45" s="253"/>
      <c r="HG45" s="351"/>
      <c r="HH45" s="351"/>
      <c r="HI45" s="351"/>
      <c r="HJ45" s="351"/>
    </row>
    <row r="46" spans="2:224" s="45" customFormat="1" ht="12.75" hidden="1" customHeight="1" x14ac:dyDescent="0.25">
      <c r="B46" s="12" t="s">
        <v>963</v>
      </c>
      <c r="C46" s="385">
        <v>23.06</v>
      </c>
      <c r="D46" s="200"/>
      <c r="E46" s="39">
        <f>SnapshotTable[[#This Row],[Last Price]]*(1 -CrashDiscount)</f>
        <v>19.600999999999999</v>
      </c>
      <c r="F46" s="296" t="s">
        <v>820</v>
      </c>
      <c r="G46" s="296" t="s">
        <v>630</v>
      </c>
      <c r="H46" s="147"/>
      <c r="I46" s="186"/>
      <c r="J46" s="187"/>
      <c r="K46" s="188"/>
      <c r="L46" s="297"/>
      <c r="M46" s="138"/>
      <c r="N46" s="138"/>
      <c r="O46" s="138"/>
      <c r="P46" s="22"/>
      <c r="Q46" s="324"/>
      <c r="R46" s="4" t="str">
        <f>IF(SnapshotTable[[#This Row],[Equity Basis Total]] &gt; 0, SnapshotTable[[#This Row],[Equity Basis Total]] / SnapshotTable[[#This Row],[Equity Shares]], "")</f>
        <v/>
      </c>
      <c r="S46" s="254">
        <f>SnapshotTable[[#This Row],[Last Price]] * SnapshotTable[[#This Row],[Equity Shares]]</f>
        <v>0</v>
      </c>
      <c r="T46" s="254">
        <f>SnapshotTable[[#This Row],[Equity Value]] - SnapshotTable[[#This Row],[Equity Basis Total]]</f>
        <v>0</v>
      </c>
      <c r="U46" s="255" t="str">
        <f>IF(SnapshotTable[[#This Row],[Equity Basis Total]] &gt; 0, SnapshotTable[[#This Row],[Equity G/L]] / SnapshotTable[[#This Row],[Equity Basis Total]], "")</f>
        <v/>
      </c>
      <c r="V46" s="253"/>
      <c r="W46" s="253"/>
      <c r="X46" s="4" t="str">
        <f>IF(AND(ISNUMBER(SnapshotTable[[#This Row],[Equity Basis Per Share]]),ISNUMBER(SnapshotTable[[#This Row],[Equity Target]])),SnapshotTable[[#This Row],[Equity Target]]-SnapshotTable[[#This Row],[Equity Basis Per Share]],"")</f>
        <v/>
      </c>
      <c r="Y46" s="4" t="str">
        <f>IF(AND(ISNUMBER(SnapshotTable[[#This Row],[Equity Basis Per Share]]),ISNUMBER(SnapshotTable[[#This Row],[Equity Stop Loss]])),SnapshotTable[[#This Row],[Equity Stop Loss]]-SnapshotTable[[#This Row],[Equity Basis Per Share]],"")</f>
        <v/>
      </c>
      <c r="Z46" s="260" t="str">
        <f>IFERROR( TEXT(SnapshotTable[[#This Row],[Equity Max Gain Per Share]] /ABS( SnapshotTable[[#This Row],[Equity Max Loss Per Share]]),"0.0 " ) &amp; " : 1", "")</f>
        <v/>
      </c>
      <c r="AA46" s="31" t="str">
        <f>IF(ISNUMBER(SnapshotTable[[#This Row],[Equity Max Gain Per Share]]),SnapshotTable[[#This Row],[Equity Max Gain Per Share]] * SnapshotTable[[#This Row],[Equity Shares]],"")</f>
        <v/>
      </c>
      <c r="AB46" s="31" t="str">
        <f>IF(ISNUMBER(SnapshotTable[[#This Row],[Equity Max Loss Per Share]]),SnapshotTable[[#This Row],[Equity Max Loss Per Share]] * SnapshotTable[[#This Row],[Equity Shares]],"")</f>
        <v/>
      </c>
      <c r="AC46" s="148"/>
      <c r="AD46" s="149"/>
      <c r="AE46" s="31">
        <f>(SnapshotTable[[#This Row],[Annual Dividend Per Share]] / 4) * SnapshotTable[[#This Row],[Equity Shares]]</f>
        <v>0</v>
      </c>
      <c r="AF46" s="31">
        <f>SnapshotTable[[#This Row],[Quarterly Div $]] * 4</f>
        <v>0</v>
      </c>
      <c r="AG46" s="7">
        <f>IF(SnapshotTable[[#This Row],[Annual Dividend Per Share]]&gt;0, SnapshotTable[[#This Row],[Annual Dividend Per Share]]  / SnapshotTable[[#This Row],[Last Price]], 0)</f>
        <v>0</v>
      </c>
      <c r="AH46" s="149"/>
      <c r="AI46" s="5"/>
      <c r="AJ46" s="136"/>
      <c r="AK46" s="150" t="str">
        <f>IF(ISNUMBER( SnapshotTable[[#This Row],[EBF Target]]),(SnapshotTable[[#This Row],[EBF Target]] - SnapshotTable[[#This Row],[Last Price]]) / SnapshotTable[[#This Row],[Last Price]], "")</f>
        <v/>
      </c>
      <c r="AL46" s="150" t="str">
        <f>IF(AND(SnapshotTable[[#This Row],[Equity Basis Total]] &gt; 0,ISNUMBER( SnapshotTable[[#This Row],[Long Term Target]])), SnapshotTable[[#This Row],[From Basis $]] / SnapshotTable[[#This Row],[Equity Basis Total]], "")</f>
        <v/>
      </c>
      <c r="AM46" s="9">
        <f>IF( AND(SnapshotTable[[#This Row],[Equity Shares]] &gt;0,ISNUMBER( SnapshotTable[[#This Row],[Long Term Target]])),(SnapshotTable[[#This Row],[Equity Shares]] * SnapshotTable[[#This Row],[Long Term Target]]) - SnapshotTable[[#This Row],[Equity Basis Total]],0)</f>
        <v>0</v>
      </c>
      <c r="AN46" s="9">
        <f>IF( AND(SnapshotTable[[#This Row],[Equity Shares]] &gt;0,ISNUMBER( SnapshotTable[[#This Row],[Long Term Target]])),(SnapshotTable[[#This Row],[Equity Shares]]*SnapshotTable[[#This Row],[Long Term Target]]) - SnapshotTable[[#This Row],[Equity Value]],0)</f>
        <v>0</v>
      </c>
      <c r="AO46" s="150" t="str">
        <f>IF(AND(ISNUMBER( SnapshotTable[[#This Row],[Long Term Target]]), ISNUMBER(SnapshotTable[[#This Row],[Last Price]])),(SnapshotTable[[#This Row],[Long Term Target]] - SnapshotTable[[#This Row],[Last Price]]) / SnapshotTable[[#This Row],[Last Price]], "")</f>
        <v/>
      </c>
      <c r="AP46" s="5"/>
      <c r="AQ46" s="38"/>
      <c r="AR46" s="5"/>
      <c r="AS46" s="38"/>
      <c r="AT46" s="144"/>
      <c r="AU46" s="185" t="str">
        <f>IF(OR(SnapshotTable[[#This Row],[LP No Fill]]="Y",SnapshotTable[[#This Row],[SP Is Filled]],SnapshotTable[[#This Row],[LC Not Filled]]="Y",SnapshotTable[[#This Row],[SC Is Filled]]),"Y","")</f>
        <v/>
      </c>
      <c r="AV46" s="205"/>
      <c r="AW46" s="211"/>
      <c r="AX46" s="206"/>
      <c r="AY46" s="205" t="str">
        <f>IF(SnapshotTable[[#This Row],[Implied Move]]&gt;0, SnapshotTable[[#This Row],[Last Price]]-SnapshotTable[[#This Row],[Implied Move]],"")</f>
        <v/>
      </c>
      <c r="AZ46" s="205" t="str">
        <f>IF(SnapshotTable[[#This Row],[Implied Move]]&gt;0, SnapshotTable[[#This Row],[Last Price]] + SnapshotTable[[#This Row],[Implied Move]],"")</f>
        <v/>
      </c>
      <c r="BA46" s="302">
        <v>17.13</v>
      </c>
      <c r="BB46" s="318"/>
      <c r="BC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6" s="321"/>
      <c r="BE46" s="5"/>
      <c r="BF46" s="14"/>
      <c r="BG46" s="13"/>
      <c r="BH46" s="13"/>
      <c r="BI46" s="5"/>
      <c r="BJ46" s="134">
        <f>IF(SnapshotTable[[#This Row],[LP Qty]] &gt; 0, SnapshotTable[[#This Row],[LP Qty]] * SnapshotTable[[#This Row],[LP Book Price]] * 100,0)</f>
        <v>0</v>
      </c>
      <c r="BK46" s="134">
        <f>IF(SnapshotTable[[#This Row],[LP Premium]] &gt; 0, SnapshotTable[[#This Row],[LP Qty]] * SnapshotTable[[#This Row],[LP Strike Price]] * 100,0)</f>
        <v>0</v>
      </c>
      <c r="BL46" s="152"/>
      <c r="BM46" s="355" t="str">
        <f>IF(SnapshotTable[[#This Row],[LP Premium]] &gt; 0,SnapshotTable[[#This Row],[LP Exp Date]]-MAX(SnapshotTable[[#This Row],[LP Book Date]], SnapshotTable[[#This Row],[LP Fill Date]]),"")</f>
        <v/>
      </c>
      <c r="BN46" s="355" t="str">
        <f>IF(ISNUMBER( SnapshotTable[[#This Row],[LP Term]]), SnapshotTable[[#This Row],[LP Exp Date]] - MockToday,"")</f>
        <v/>
      </c>
      <c r="BO46" s="161" t="str">
        <f>IF(AND(SnapshotTable[[#This Row],[LP Exp Date]]&gt;0, SnapshotTable[[#This Row],[LP Strike Price]]&gt;0,SnapshotTable[[#This Row],[LP Qty]]&gt;0,SnapshotTable[[#This Row],[LP Book Date]]&gt;0,SnapshotTable[[#This Row],[LP Book Price]]&gt;0,SnapshotTable[[#This Row],[LP Fill Date]]=0),"Y","")</f>
        <v/>
      </c>
      <c r="BP46" s="31" t="str">
        <f>IF(AND(SnapshotTable[[#This Row],[LP No Fill]]&lt;&gt;"Y",SnapshotTable[[#This Row],[LP Contract Value]]&gt;0, SnapshotTable[[#This Row],[LP Qty]]&gt;0), SnapshotTable[[#This Row],[LP Contract Value]]*SnapshotTable[[#This Row],[LP Qty]]*100,"")</f>
        <v/>
      </c>
      <c r="BQ46" s="13"/>
      <c r="BR46" s="5"/>
      <c r="BS46" s="36"/>
      <c r="BT46" s="145"/>
      <c r="BU46" s="13"/>
      <c r="BV46" s="5"/>
      <c r="BW46" s="382" t="b">
        <f>AND(ISNUMBER(SnapshotTable[[#This Row],[SP Exp Date]]), ISNUMBER(SnapshotTable[[#This Row],[SP Strike Price]]), ISNUMBER(SnapshotTable[[#This Row],[SP Qty]]), ISNUMBER(SnapshotTable[[#This Row],[SP Book Date]]), ISNUMBER(SnapshotTable[[#This Row],[SP Book Price]]))</f>
        <v>0</v>
      </c>
      <c r="BX46" s="382" t="b">
        <f>AND(SnapshotTable[[#This Row],[SP Is Booked]], NOT(ISBLANK(SnapshotTable[[#This Row],[SP Fill Date]])))</f>
        <v>0</v>
      </c>
      <c r="BY46" s="33">
        <f>IF(SnapshotTable[[#This Row],[SP Is Booked]], SnapshotTable[[#This Row],[SP Qty]] * SnapshotTable[[#This Row],[SP Book Price]] * 100, 0)</f>
        <v>0</v>
      </c>
      <c r="BZ46" s="339"/>
      <c r="CA46" s="338">
        <f>SnapshotTable[[#This Row],[LP Qty]]</f>
        <v>0</v>
      </c>
      <c r="CB46" s="4" t="str">
        <f>IF(SnapshotTable[[#This Row],[SP Is Booked]], SnapshotTable[[#This Row],[SP Strike Price]] - SnapshotTable[[#This Row],[SP Book Price]], "")</f>
        <v/>
      </c>
      <c r="CC46" s="19" t="str">
        <f>IF(SnapshotTable[[#This Row],[SP Is Booked]],SnapshotTable[[#This Row],[SP Exp Date]]-MAX(SnapshotTable[[#This Row],[SP Book Date]], SnapshotTable[[#This Row],[SP Fill Date]]),"")</f>
        <v/>
      </c>
      <c r="CD46" s="7" t="str">
        <f>IF(SnapshotTable[[#This Row],[SP Is Booked]], SnapshotTable[[#This Row],[SP Book Price]]/SnapshotTable[[#This Row],[SP Strike Price]], "")</f>
        <v/>
      </c>
      <c r="CE46" s="7" t="str">
        <f>IF(ISNUMBER(SnapshotTable[[#This Row],[SP ROO Term]]),SnapshotTable[[#This Row],[SP ROO Term]]*(365/SnapshotTable[[#This Row],[SP Term]]),"")</f>
        <v/>
      </c>
      <c r="CF46" s="221">
        <f>SnapshotTable[[#This Row],[LP Strike Price]] * SnapshotTable[[#This Row],[LP Qty]] * 100</f>
        <v>0</v>
      </c>
      <c r="CG46" s="31">
        <f>IF(ISNUMBER(SnapshotTable[[#This Row],[SP Premium]]), (SnapshotTable[[#This Row],[SP Qty]] * SnapshotTable[[#This Row],[SP Strike Price]]* 100) - SnapshotTable[[#This Row],[LP Protection]], 0)</f>
        <v>0</v>
      </c>
      <c r="CH46" s="7" t="str">
        <f>IF(ISNUMBER(SnapshotTable[[#This Row],[SP Break Even]]),-1 * (SnapshotTable[[#This Row],[SP Break Even]] - SnapshotTable[[#This Row],[Last Price]]) / SnapshotTable[[#This Row],[Last Price]], "")</f>
        <v/>
      </c>
      <c r="CI46" s="31">
        <f>IF(AND(ISNUMBER((SnapshotTable[[#This Row],[SP Potential Spend]])), SnapshotTable[[#This Row],[SP Strike Price]] &gt; SnapshotTable[[#This Row],[Last Price]], SnapshotTable[[#This Row],[SP Is Filled]]), SnapshotTable[[#This Row],[SP Potential Spend]] -  SnapshotTable[[#This Row],[LP Max Value]], 0)</f>
        <v>0</v>
      </c>
      <c r="CJ46" s="229"/>
      <c r="CK46" s="31">
        <f>IF(ISNUMBER(SnapshotTable[[#This Row],[SP Potential Spend]]),IF(ISNUMBER(SnapshotTable[[#This Row],[SP POW]]), SnapshotTable[[#This Row],[SP POW]] * SnapshotTable[[#This Row],[SP Potential Spend]], SnapshotTable[[#This Row],[SP Potential Spend]]), "")</f>
        <v>0</v>
      </c>
      <c r="CL46" s="162">
        <f>IF(NOT(SnapshotTable[[#This Row],[SP Is Filled]]),(SnapshotTable[[#This Row],[SP Qty]] * SnapshotTable[[#This Row],[SP Strike Price]] * 100) - SnapshotTable[[#This Row],[LP Max Value]],"")</f>
        <v>0</v>
      </c>
      <c r="CM46" s="31" t="str">
        <f>IF(SnapshotTable[[#This Row],[SP Actual Spend]]&lt;&gt;0, ((SnapshotTable[[#This Row],[SP Strike Price]]-SnapshotTable[[#This Row],[Last Price]]) *(SnapshotTable[[#This Row],[SP Qty]]*100) - SnapshotTable[[#This Row],[SP Premium]]) * - 1, "")</f>
        <v/>
      </c>
      <c r="CN46" s="76"/>
      <c r="CO46" s="339"/>
      <c r="CP46" s="4" t="str">
        <f>IF(SnapshotTable[[#This Row],[SP Is Filled]], btc_max_buyback_amount(SnapshotTable[[#This Row],[SP Fill Date]],SnapshotTable[[#This Row],[SP Exp Date]], SnapshotTable[[#This Row],[SP Book Price]]),"")</f>
        <v/>
      </c>
      <c r="CQ46" s="76"/>
      <c r="CR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6" s="153" t="str">
        <f>IF(SnapshotTable[[#This Row],[SP Is Filled]], btc_next_cutoff_date(SnapshotTable[[#This Row],[SP Fill Date]],SnapshotTable[[#This Row],[SP Exp Date]]),"")</f>
        <v/>
      </c>
      <c r="CT46" s="220" t="str" cm="1">
        <f t="array" ref="CT46">IF(SnapshotTable[[#This Row],[SP Is Filled]], btc_should_buy_back(SnapshotTable[[#This Row],[SP Fill Date]], SnapshotTable[[#This Row],[SP Exp Date]], SnapshotTable[[#This Row],[SP Book Price]], SnapshotTable[[#This Row],[SP Current Ask]], MockToday, SnapshotTable[[#This Row],[SP Buyback Override]]),"")</f>
        <v/>
      </c>
      <c r="CU46" s="141"/>
      <c r="CV46" s="220"/>
      <c r="CW46" s="348" t="str">
        <f>IF(ISNUMBER( SnapshotTable[[#This Row],[SP Term]]), SnapshotTable[[#This Row],[SP Exp Date]] - MockToday,"")</f>
        <v/>
      </c>
      <c r="CX46" s="31" t="str">
        <f>IF(SnapshotTable[[#This Row],[SP Is Filled]],SnapshotTable[[#This Row],[SP Buyback Price to Use]] * 100 * SnapshotTable[[#This Row],[SP Qty]], "")</f>
        <v/>
      </c>
      <c r="CY46" s="4" t="str">
        <f>IF(ISNUMBER(SnapshotTable[[#This Row],[SP Strike Price]]), SnapshotTable[[#This Row],[SP Strike Price]] * (1 - SP_MaxLoss_StrikePct), "")</f>
        <v/>
      </c>
      <c r="CZ46" s="31" t="str">
        <f>IF(ISNUMBER(SnapshotTable[[#This Row],[SP Strike  Stop Per Share]]),SnapshotTable[[#This Row],[SP Premium]] - ((SnapshotTable[[#This Row],[SP Strike Price]]-SnapshotTable[[#This Row],[SP Strike  Stop Per Share]]) *(SnapshotTable[[#This Row],[SP Qty]] * 100)),"")</f>
        <v/>
      </c>
      <c r="DA46" s="4" t="str">
        <f>IF(AND(ISNUMBER(SnapshotTable[[#This Row],[SP Premium]]),SnapshotTable[[#This Row],[SP Premium]]&gt;0), SnapshotTable[[#This Row],[SP Book Price]] * (1 + SP_MaxLoss_OptionPct), "")</f>
        <v/>
      </c>
      <c r="DB46" s="31" t="str">
        <f>IF(ISNUMBER(SnapshotTable[[#This Row],[SP Option  Stop Contract]]),(SnapshotTable[[#This Row],[SP Option  Stop Contract]] *(SnapshotTable[[#This Row],[SP Qty]] * 100) - SnapshotTable[[#This Row],[SP Premium]]),"")</f>
        <v/>
      </c>
      <c r="DC46" s="4"/>
      <c r="DD46" s="4"/>
      <c r="DE46" s="4" t="str">
        <f>IF(AND(SnapshotTable[[#This Row],[SP Qty]]&gt;0, SnapshotTable[[#This Row],[SP Stop To Use]]&gt;0),SnapshotTable[[#This Row],[SP Premium]] - ( SnapshotTable[[#This Row],[SP Qty]] * SnapshotTable[[#This Row],[SP Stop To Use]] * 100), "")</f>
        <v/>
      </c>
      <c r="DF46" s="31" t="str">
        <f>IF(AND(SnapshotTable[[#This Row],[SP Qty]]&gt;0,SnapshotTable[[#This Row],[SP Current Ask]]&gt;0), SnapshotTable[[#This Row],[SP Qty]] * SnapshotTable[[#This Row],[SP Current Ask]] * -100, "")</f>
        <v/>
      </c>
      <c r="DG46" s="31" t="str">
        <f>IF(ISNUMBER((SnapshotTable[[#This Row],[SP Total Value]])), SnapshotTable[[#This Row],[SP Premium]] + SnapshotTable[[#This Row],[SP Total Value]], "")</f>
        <v/>
      </c>
      <c r="DH46" s="272" t="str">
        <f>IF(ISNUMBER((SnapshotTable[[#This Row],[SP Total Value]])), SnapshotTable[[#This Row],[SP Gain Loss]] / SnapshotTable[[#This Row],[SP Premium]], "")</f>
        <v/>
      </c>
      <c r="DI46" s="369"/>
      <c r="DJ46" s="136"/>
      <c r="DK46" s="146"/>
      <c r="DL46" s="13"/>
      <c r="DM46" s="13"/>
      <c r="DN46" s="5"/>
      <c r="DO46" s="31">
        <f>IF(SnapshotTable[[#This Row],[LC Symbol Count]]=1, SnapshotTable[[#This Row],[LC Qty]] * SnapshotTable[[#This Row],[LC Book Price]] * 100, 0)</f>
        <v>0</v>
      </c>
      <c r="DP46" s="161" t="str">
        <f>IF(AND(SnapshotTable[[#This Row],[LC Exp Date]]&gt;0, SnapshotTable[[#This Row],[LC Strike Price]]&gt;0,SnapshotTable[[#This Row],[LC Qty]]&gt;0,SnapshotTable[[#This Row],[LC Book Date]]&gt;0,SnapshotTable[[#This Row],[LC Book Price]]&gt;0,SnapshotTable[[#This Row],[LC Fill Date]]=0),"Y","")</f>
        <v/>
      </c>
      <c r="DQ46" s="356" t="str">
        <f>IF(SnapshotTable[[#This Row],[LC Premium]] &gt; 0,SnapshotTable[[#This Row],[LC Exp Date]]-MAX(SnapshotTable[[#This Row],[LC Book Date]], SnapshotTable[[#This Row],[LC Fill Date]]),"")</f>
        <v/>
      </c>
      <c r="DR46" s="356" t="str">
        <f>IF(ISNUMBER(SnapshotTable[[#This Row],[LC Term]]), SnapshotTable[[#This Row],[LC Exp Date]] - MockToday, "")</f>
        <v/>
      </c>
      <c r="DS46" s="219" t="str">
        <f>IF(SnapshotTable[[#This Row],[LC Premium]]&gt;0,SnapshotTable[[#This Row],[LC Strike Price]] + SnapshotTable[[#This Row],[LC Book Price]],"")</f>
        <v/>
      </c>
      <c r="DT46" s="5"/>
      <c r="DU46" s="9" t="str">
        <f>IF(AND(SnapshotTable[[#This Row],[LC Symbol Count]]&gt;0, SnapshotTable[[#This Row],[LC Contract Value]]&gt;0), SnapshotTable[[#This Row],[LC Contract Value]] * SnapshotTable[[#This Row],[LC Qty]] * 100, "")</f>
        <v/>
      </c>
      <c r="DV46" s="9" t="str">
        <f>IF(AND(ISNUMBER(SnapshotTable[[#This Row],[LC Total Value]]), SnapshotTable[[#This Row],[LC Not Filled]]&lt;&gt;"Y"), SnapshotTable[[#This Row],[LC Total Value]]-SnapshotTable[[#This Row],[LC Premium]],"")</f>
        <v/>
      </c>
      <c r="DW46" s="225" t="str">
        <f>IF(ISNUMBER(SnapshotTable[[#This Row],[LC Actual Gain Loss]]), SnapshotTable[[#This Row],[LC Actual Gain Loss]] / SnapshotTable[[#This Row],[LC Premium]],"")</f>
        <v/>
      </c>
      <c r="DX46" s="269" t="str">
        <f>IF(ISNUMBER(SnapshotTable[[#This Row],[LC Book Price]]),SnapshotTable[[#This Row],[LC Book Price]] * 1.5,"")</f>
        <v/>
      </c>
      <c r="DY46" s="250" t="str">
        <f>IF(SnapshotTable[[#This Row],[LC Premium]]&gt;0, SnapshotTable[[#This Row],[LC Next Target]] * SnapshotTable[[#This Row],[LC Qty]] * 100,"")</f>
        <v/>
      </c>
      <c r="DZ46" s="250" t="str">
        <f>IF(ISNUMBER(SnapshotTable[[#This Row],[LC Target Gross]]), SnapshotTable[[#This Row],[LC Target Gross]] - SnapshotTable[[#This Row],[LC Premium]], "")</f>
        <v/>
      </c>
      <c r="EA46" s="283" t="str">
        <f>IF(ISNUMBER(SnapshotTable[[#This Row],[LC Target Gain Loss]]), SnapshotTable[[#This Row],[LC Target Gain Loss]]/SnapshotTable[[#This Row],[LC Premium]], "")</f>
        <v/>
      </c>
      <c r="EB46" s="247"/>
      <c r="EC46" s="268" t="str">
        <f>IF(SnapshotTable[[#This Row],[LC Premium]]&gt;0, SnapshotTable[[#This Row],[LC Book Price]] * (1 - LC_StopLoss_Pct),"")</f>
        <v/>
      </c>
      <c r="ED46" s="269"/>
      <c r="EE46" s="268" t="str">
        <f>IF(ISNUMBER(SnapshotTable[[#This Row],[LC Contract Value]]),IF(ISNUMBER(SnapshotTable[[#This Row],[LC Stop Loss Override]]), SnapshotTable[[#This Row],[LC Stop Loss Override]],SnapshotTable[[#This Row],[LC Stop Loss Calc Target]]),"")</f>
        <v/>
      </c>
      <c r="EF46" s="31" t="str">
        <f>IF(ISNUMBER(SnapshotTable[[#This Row],[LC Stop  To Use]]), (SnapshotTable[[#This Row],[LC Stop  To Use]] * SnapshotTable[[#This Row],[LC Qty]] * 100),"")</f>
        <v/>
      </c>
      <c r="EG46" s="9" t="str">
        <f>IF(ISNUMBER(SnapshotTable[[#This Row],[LC Total Value]]),SnapshotTable[[#This Row],[LC Stop Loss Amount]] - SnapshotTable[[#This Row],[LC Premium]],"")</f>
        <v/>
      </c>
      <c r="EH46" s="9">
        <f>IF(ISNUMBER(SnapshotTable[[#This Row],[LC Premium]]), SnapshotTable[[#This Row],[LC Qty]] * 100 * SnapshotTable[[#This Row],[LC Strike Price]], "")</f>
        <v>0</v>
      </c>
      <c r="EI46" s="225" t="str">
        <f>IF(AND(ISNUMBER(SnapshotTable[[#This Row],[LC Total Value]]),SnapshotTable[[#This Row],[LC Total Value]]&gt;0),SnapshotTable[[#This Row],[LC Stop Gain Loss]]  / SnapshotTable[[#This Row],[LC Premium]],"")</f>
        <v/>
      </c>
      <c r="EJ46" s="35">
        <f>IF(ISNUMBER(SnapshotTable[[#This Row],[Equity Shares]]),TRUNC(SnapshotTable[[#This Row],[Equity Shares]] / 100),0) + SnapshotTable[[#This Row],[LC Qty]]</f>
        <v>0</v>
      </c>
      <c r="EK46" s="145"/>
      <c r="EL46" s="136"/>
      <c r="EM46" s="146"/>
      <c r="EN46" s="145"/>
      <c r="EO46" s="145"/>
      <c r="EP46" s="136"/>
      <c r="EQ46" s="382" t="b">
        <f>AND(ISNUMBER(SnapshotTable[[#This Row],[SC Exp Date]]), ISNUMBER(SnapshotTable[[#This Row],[SC Strike Price]]), ISNUMBER(SnapshotTable[[#This Row],[SC Qty]]), ISNUMBER(SnapshotTable[[#This Row],[SC Book Date]]), ISNUMBER(SnapshotTable[[#This Row],[SC Book Price]]))</f>
        <v>0</v>
      </c>
      <c r="ER46" s="382" t="b">
        <f>AND(SnapshotTable[[#This Row],[SC Is Booked]], NOT(ISBLANK(SnapshotTable[[#This Row],[SC Fill Date]])))</f>
        <v>0</v>
      </c>
      <c r="ES46" s="340"/>
      <c r="ET46" s="34" t="str">
        <f>IF(AND(ISNUMBER(SnapshotTable[[#This Row],[SC Exp Date]]), ISNUMBER(SnapshotTable[[#This Row],[SC Book Date]])), SnapshotTable[[#This Row],[SC Exp Date]] - MAX(SnapshotTable[[#This Row],[SC Book Date]], SnapshotTable[[#This Row],[SC Fill Date]]) + 1, "")</f>
        <v/>
      </c>
      <c r="EU46" s="34" t="str">
        <f>IF(ISNUMBER(SnapshotTable[[#This Row],[SC Term]]), SnapshotTable[[#This Row],[SC Exp Date]]- MockToday, "")</f>
        <v/>
      </c>
      <c r="EV46" s="31">
        <f>IF(SnapshotTable[[#This Row],[SC Is Booked]], SnapshotTable[[#This Row],[SC Qty]] * SnapshotTable[[#This Row],[SC Book Price]] * 100, 0)</f>
        <v>0</v>
      </c>
      <c r="EW46" s="4" t="str">
        <f>IF(AND(ISNUMBER(SnapshotTable[[#This Row],[Last Price]]), ISNUMBER( SnapshotTable[[#This Row],[SC Book Price]])), SnapshotTable[[#This Row],[Last Price]] - SnapshotTable[[#This Row],[SC Book Price]],"")</f>
        <v/>
      </c>
      <c r="EX46" s="219" t="str">
        <f>IF(SnapshotTable[[#This Row],[SC Is Booked]],IF(SnapshotTable[[#This Row],[SC Intrinsic Value]] &gt; 0, SnapshotTable[[#This Row],[SC Strike Price]], SnapshotTable[[#This Row],[Last Price]]), "")</f>
        <v/>
      </c>
      <c r="EY46" s="4">
        <f>IF(SnapshotTable[[#This Row],[SC Is Booked]], (MinimumPremiumRequired * SnapshotTable[[#This Row],[SC Basis]] * SnapshotTable[[#This Row],[SC Term]]), 0)</f>
        <v>0</v>
      </c>
      <c r="EZ46" s="268"/>
      <c r="FA46" s="204"/>
      <c r="FB46" s="340"/>
      <c r="FC46" s="4">
        <f>IF(SnapshotTable[[#This Row],[SC Is Filled]], btc_max_buyback_amount(SnapshotTable[[#This Row],[SC Fill Date]],SnapshotTable[[#This Row],[SC Exp Date]], SnapshotTable[[#This Row],[SC Book Price]]),0)</f>
        <v>0</v>
      </c>
      <c r="FD46" s="5"/>
      <c r="FE46" s="142" t="str">
        <f>IF(SnapshotTable[[#This Row],[SC Is Filled]], btc_next_cutoff_date(SnapshotTable[[#This Row],[SC Fill Date]],SnapshotTable[[#This Row],[SC Exp Date]]),"")</f>
        <v/>
      </c>
      <c r="FF46" s="4" t="str" cm="1">
        <f t="array" ref="FF46">IF(SnapshotTable[[#This Row],[SC Is Filled]], btc_should_buy_back(SnapshotTable[[#This Row],[SC Fill Date]], SnapshotTable[[#This Row],[SC Exp Date]], SnapshotTable[[#This Row],[SC Book Price]], SnapshotTable[[#This Row],[SC Current Ask]], MockToday, SnapshotTable[[#This Row],[SC Buyback Override]]),"")</f>
        <v/>
      </c>
      <c r="FG46" s="4">
        <f>IF(SnapshotTable[[#This Row],[SC Is Filled]], MAX(0,SnapshotTable[[#This Row],[Last Price]]  - SnapshotTable[[#This Row],[SC Strike Price]]), 0)</f>
        <v>0</v>
      </c>
      <c r="FH46" s="352">
        <f>IF(SnapshotTable[[#This Row],[SC Is Filled]], IF(ISNUMBER(SnapshotTable[[#This Row],[SC Current Ask]]), SnapshotTable[[#This Row],[SC Current Ask]], SnapshotTable[[#This Row],[SC Book Price]]) - SnapshotTable[[#This Row],[SC Intrinsic Value]], 0)</f>
        <v>0</v>
      </c>
      <c r="FI46" s="141"/>
      <c r="FJ46" s="32" t="str">
        <f>IF(SnapshotTable[[#This Row],[SC Is Filled]],100 * SnapshotTable[[#This Row],[SC Qty]] * IF(ISNUMBER(SnapshotTable[[#This Row],[SC Buyback Override]]), SnapshotTable[[#This Row],[SC Buyback Override]], SnapshotTable[[#This Row],[SC Current Ask]]), "")</f>
        <v/>
      </c>
      <c r="FK46" s="235" t="str">
        <f>IF(SnapshotTable[[#This Row],[SC Time Val]]&gt;0, SnapshotTable[[#This Row],[SC Time Val]] / SnapshotTable[[#This Row],[Last Price]],"")</f>
        <v/>
      </c>
      <c r="FL46" s="280" t="str">
        <f>IF(SnapshotTable[[#This Row],[SC Is Booked]], ((SnapshotTable[[#This Row],[Last Price]] -SnapshotTable[[#This Row],[SC Strike Price]]) / SnapshotTable[[#This Row],[Last Price]]) * -1, "")</f>
        <v/>
      </c>
      <c r="FM46" s="155" t="str">
        <f>IF(SnapshotTable[[#This Row],[SC Is Booked]],  (SnapshotTable[[#This Row],[SC Qty]] * 100 * SnapshotTable[[#This Row],[SC Strike Price]]) - SnapshotTable[[#This Row],[SC Current Ask]], "")</f>
        <v/>
      </c>
      <c r="FN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6" s="31" t="str">
        <f>IF(AND(ISNUMBER(SnapshotTable[[#This Row],[SC Exercise Gross]]), ISNUMBER(SnapshotTable[[#This Row],[Equity Basis Per Share]] )), SnapshotTable[[#This Row],[SC Exercise Gross]] - SnapshotTable[[#This Row],[Equity Basis Total]] +  SnapshotTable[[#This Row],[SC Premium]], "")</f>
        <v/>
      </c>
      <c r="FP46" s="5" t="str">
        <f>IF(ISNUMBER(SnapshotTable[[#This Row],[SC Exercise Gross]]), (SnapshotTable[[#This Row],[SC Exercise Gross]]) / (SnapshotTable[[#This Row],[SC Qty]] * 100), "")</f>
        <v/>
      </c>
      <c r="FQ46" s="27" t="str">
        <f>IF(SnapshotTable[[#This Row],[SC Is Booked]],SnapshotTable[[#This Row],[SC Time Val]] /SnapshotTable[[#This Row],[SC Basis]], "")</f>
        <v/>
      </c>
      <c r="FR46" s="27" t="str" cm="1">
        <f t="array" ref="FR46">IF(AND(ISNUMBER(SnapshotTable[[#This Row],[SC Term]]),ISNUMBER(SnapshotTable[[#This Row],[SC Simple ROO]])), EllmanAnnualize(SnapshotTable[[#This Row],[SC DTE]], SnapshotTable[[#This Row],[SC Simple ROO]] ),"")</f>
        <v/>
      </c>
      <c r="FS46" s="4">
        <f>IF(SnapshotTable[[#This Row],[SC Strike Price]] &gt; SnapshotTable[[#This Row],[Last Price]], SnapshotTable[[#This Row],[SC Strike Price]] - SnapshotTable[[#This Row],[Last Price]],0)</f>
        <v>0</v>
      </c>
      <c r="FT46" s="27" t="str">
        <f>IF(AND(ISNUMBER(SnapshotTable[[#This Row],[SC Upside Potential]]), SnapshotTable[[#This Row],[SC Upside Potential]] &gt; 0),(SnapshotTable[[#This Row],[SC Upside Potential]]/ SnapshotTable[[#This Row],[ACB]]),"")</f>
        <v/>
      </c>
      <c r="FU46" s="304" t="str">
        <f>IF(SnapshotTable[[#This Row],[SC Intrinsic Value]] &gt; 0,SnapshotTable[[#This Row],[SC Intrinsic Value]],"")</f>
        <v/>
      </c>
      <c r="FV46" s="27" t="str">
        <f>IF(AND( ISNUMBER( SnapshotTable[[#This Row],[ACB]]),ISNUMBER(SnapshotTable[[#This Row],[SC Downside Protect]])),SnapshotTable[[#This Row],[SC Downside Protect]] / SnapshotTable[[#This Row],[ACB]],"")</f>
        <v/>
      </c>
      <c r="FW46" s="221" t="str">
        <f>IF(AND(ISNUMBER(SnapshotTable[[#This Row],[SC Simple ROO]]),SnapshotTable[[#This Row],[SC Simple ROO]] &gt; 0), SnapshotTable[[#This Row],[SC Premium]] + (SnapshotTable[[#This Row],[SC Qty]] * SnapshotTable[[#This Row],[SC Upside Potential]]), "")</f>
        <v/>
      </c>
      <c r="FX46" s="280" t="str" cm="1">
        <f t="array" ref="FX46">IF(ISNUMBER(SnapshotTable[[#This Row],[SC Max Dollars]]), annualize(SnapshotTable[[#This Row],[SC Term]],(SnapshotTable[[#This Row],[SC Max Dollars]]/SnapshotTable[[#This Row],[SC Basis]])),"")</f>
        <v/>
      </c>
      <c r="FY46" s="221" t="str">
        <f>IF(AND(SnapshotTable[[#This Row],[SC Qty]]&gt;0,SnapshotTable[[#This Row],[SC Current Ask]]&gt;0), SnapshotTable[[#This Row],[SC Qty]] * SnapshotTable[[#This Row],[SC Current Ask]] * -100, "")</f>
        <v/>
      </c>
      <c r="FZ46" s="31" t="str">
        <f>IF(ISNUMBER((SnapshotTable[[#This Row],[SC Current Value]])), SnapshotTable[[#This Row],[SC Premium]] + SnapshotTable[[#This Row],[SC Current Value]], "")</f>
        <v/>
      </c>
      <c r="GA46" s="272" t="str">
        <f>IFERROR( IF(ISNUMBER((SnapshotTable[[#This Row],[SC Current Value]])), SnapshotTable[[#This Row],[SC Gain Loss]] / SnapshotTable[[#This Row],[SC Premium]], ""), "")</f>
        <v/>
      </c>
      <c r="GB46" s="42">
        <f>SnapshotTable[[#This Row],[Equity Shares]] * SaleSharesToConsiderPercentage</f>
        <v>0</v>
      </c>
      <c r="GC46" s="40">
        <f>SnapshotTable[[#This Row],[Long Term Target]] * SellingPriceToConsiderBasedOnTargetPercentage</f>
        <v>0</v>
      </c>
      <c r="GD46" s="40">
        <f>SnapshotTable[[#This Row],[Last Price]] * (1+ SellingPriceToConsiderBasedOnTargetPercentage)</f>
        <v>44.966999999999999</v>
      </c>
      <c r="GE46" s="41"/>
      <c r="GF46" s="40"/>
      <c r="GG46" s="31">
        <f>SnapshotTable[[#This Row],[Booked Sale Shares]] * SnapshotTable[[#This Row],[Booked Sale Price]]</f>
        <v>0</v>
      </c>
      <c r="GH46" s="31" t="str">
        <f>IF(SnapshotTable[[#This Row],[Equity Basis Total]] &gt; 0, SnapshotTable[[#This Row],[Equity Basis Per Share]] * SnapshotTable[[#This Row],[Booked Sale Shares]], "")</f>
        <v/>
      </c>
      <c r="GI46" s="31">
        <f>IF(SnapshotTable[[#This Row],[Sale Proceeds]]&gt;0, SnapshotTable[[#This Row],[Sale Proceeds]] - SnapshotTable[[#This Row],[Sale Basis]], 0)</f>
        <v>0</v>
      </c>
      <c r="GJ46" s="27" t="str">
        <f>IF(SnapshotTable[[#This Row],[Sale G/L]]&gt;0, SnapshotTable[[#This Row],[Sale G/L]] / SnapshotTable[[#This Row],[Sale Basis]], IF(ISNUMBER(SnapshotTable[[#This Row],[SC Exercise P&amp;L (TAX)]]), SnapshotTable[[#This Row],[SC Exercise P&amp;L (TAX)]] / SnapshotTable[[#This Row],[SC Basis]], ""))</f>
        <v/>
      </c>
      <c r="GK46" s="27"/>
      <c r="GL46" s="43" t="str">
        <f>IF(AND(SnapshotTable[[#This Row],[LP Exp Date]]&gt;0,SnapshotTable[[#This Row],[LP Strike Price]]&gt;0), [1]!ToOptionSymbol(SnapshotTable[[#This Row],[Symbol]], SnapshotTable[[#This Row],[LP Strike Price]],SnapshotTable[[#This Row],[LP Exp Date]],1), "")</f>
        <v/>
      </c>
      <c r="GM46" s="30" t="str">
        <f>IF(LEN(SnapshotTable[[#This Row],[LP Symbol]])&gt;0, 1, "")</f>
        <v/>
      </c>
      <c r="GN46" s="43" t="str">
        <f>IF(AND(SnapshotTable[[#This Row],[SP Exp Date]]&gt;0,SnapshotTable[[#This Row],[SP Strike Price]]&gt;0), [1]!ToOptionSymbol(SnapshotTable[[#This Row],[Symbol]], SnapshotTable[[#This Row],[SP Strike Price]],SnapshotTable[[#This Row],[SP Exp Date]],1), "")</f>
        <v/>
      </c>
      <c r="GO46" s="30" t="str">
        <f>IF(LEN(SnapshotTable[[#This Row],[SP Symbol]])&gt;0, 1, "")</f>
        <v/>
      </c>
      <c r="GP46" s="43" t="str">
        <f>IF(AND(SnapshotTable[[#This Row],[LC Exp Date]]&gt;0,SnapshotTable[[#This Row],[LC Strike Price]]&gt;0), [1]!ToOptionSymbol(SnapshotTable[[#This Row],[Symbol]], SnapshotTable[[#This Row],[LC Strike Price]],SnapshotTable[[#This Row],[LC Exp Date]],0), "")</f>
        <v/>
      </c>
      <c r="GQ46" s="30" t="str">
        <f>IF(LEN(SnapshotTable[[#This Row],[LC Symbol]])&gt;0, 1, "")</f>
        <v/>
      </c>
      <c r="GR46" s="43" t="str">
        <f>IF(AND(SnapshotTable[[#This Row],[SC Exp Date]]&gt;0,SnapshotTable[[#This Row],[SC Strike Price]]&gt;0), [1]!ToOptionSymbol(SnapshotTable[[#This Row],[Symbol]], SnapshotTable[[#This Row],[SC Strike Price]],SnapshotTable[[#This Row],[SC Exp Date]],0), "")</f>
        <v/>
      </c>
      <c r="GS46" s="30" t="str">
        <f>IF(LEN(SnapshotTable[[#This Row],[SC Symbol]])&gt;0, 1, "")</f>
        <v/>
      </c>
      <c r="GT46" s="29" t="str">
        <f>IF(COUNT(SnapshotTable[[#This Row],[LP Symbol Count]],SnapshotTable[[#This Row],[SP Symbol Count]],SnapshotTable[[#This Row],[LC Symbol Count]],SnapshotTable[[#This Row],[SC Symbol Count]])&gt;0, "Y", "")</f>
        <v/>
      </c>
      <c r="GU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6" s="216">
        <f>MAX(SnapshotTable[[#This Row],[Equity Basis Total]],SnapshotTable[[#This Row],[Equity Value]]) + (SnapshotTable[[#This Row],[SP Potential Spend]]- SnapshotTable[[#This Row],[SP Premium]] + SnapshotTable[[#This Row],[LP Premium]])+ (SnapshotTable[[#This Row],[LC Premium]] - SnapshotTable[[#This Row],[SC Premium]])</f>
        <v>0</v>
      </c>
      <c r="GW46" s="137" t="str">
        <f>IF(AND(SnapshotTable[[#This Row],[Exposure]] &lt;&gt; 0),SnapshotTable[[#This Row],[Exposure]] / SnapshotTable[[#Totals],[Exposure]], "")</f>
        <v/>
      </c>
      <c r="GY46" s="351"/>
      <c r="HE46" s="253"/>
      <c r="HF46" s="253"/>
      <c r="HG46" s="351"/>
      <c r="HH46" s="351"/>
      <c r="HI46" s="351"/>
      <c r="HJ46" s="351"/>
    </row>
    <row r="47" spans="2:224" s="45" customFormat="1" ht="12.75" hidden="1" customHeight="1" x14ac:dyDescent="0.25">
      <c r="B47" s="12" t="s">
        <v>835</v>
      </c>
      <c r="C47" s="385">
        <v>95.87</v>
      </c>
      <c r="D47" s="200" t="s">
        <v>658</v>
      </c>
      <c r="E47" s="39">
        <f>SnapshotTable[[#This Row],[Last Price]]*(1 -CrashDiscount)</f>
        <v>81.489500000000007</v>
      </c>
      <c r="F47" s="26" t="s">
        <v>739</v>
      </c>
      <c r="G47" s="26" t="s">
        <v>490</v>
      </c>
      <c r="H47" s="147"/>
      <c r="I47" s="186">
        <v>44965.670138888891</v>
      </c>
      <c r="J47" s="187">
        <v>44965.670138888891</v>
      </c>
      <c r="K47" s="188" t="s">
        <v>3</v>
      </c>
      <c r="L47" s="297"/>
      <c r="M47" s="138">
        <v>2</v>
      </c>
      <c r="N47" s="138" t="b">
        <v>1</v>
      </c>
      <c r="O47" s="138"/>
      <c r="P47" s="22"/>
      <c r="Q47" s="25"/>
      <c r="R47" s="4" t="str">
        <f>IF(SnapshotTable[[#This Row],[Equity Basis Total]] &gt; 0, SnapshotTable[[#This Row],[Equity Basis Total]] / SnapshotTable[[#This Row],[Equity Shares]], "")</f>
        <v/>
      </c>
      <c r="S47" s="254">
        <f>SnapshotTable[[#This Row],[Last Price]] * SnapshotTable[[#This Row],[Equity Shares]]</f>
        <v>0</v>
      </c>
      <c r="T47" s="254">
        <f>SnapshotTable[[#This Row],[Equity Value]] - SnapshotTable[[#This Row],[Equity Basis Total]]</f>
        <v>0</v>
      </c>
      <c r="U47" s="255" t="str">
        <f>IF(SnapshotTable[[#This Row],[Equity Basis Total]] &gt; 0, SnapshotTable[[#This Row],[Equity G/L]] / SnapshotTable[[#This Row],[Equity Basis Total]], "")</f>
        <v/>
      </c>
      <c r="V47" s="253">
        <v>210</v>
      </c>
      <c r="W47" s="253">
        <v>134.9</v>
      </c>
      <c r="X47" s="4" t="str">
        <f>IF(AND(ISNUMBER(SnapshotTable[[#This Row],[Equity Basis Per Share]]),ISNUMBER(SnapshotTable[[#This Row],[Equity Target]])),SnapshotTable[[#This Row],[Equity Target]]-SnapshotTable[[#This Row],[Equity Basis Per Share]],"")</f>
        <v/>
      </c>
      <c r="Y47" s="4" t="str">
        <f>IF(AND(ISNUMBER(SnapshotTable[[#This Row],[Equity Basis Per Share]]),ISNUMBER(SnapshotTable[[#This Row],[Equity Stop Loss]])),SnapshotTable[[#This Row],[Equity Stop Loss]]-SnapshotTable[[#This Row],[Equity Basis Per Share]],"")</f>
        <v/>
      </c>
      <c r="Z47" s="260" t="str">
        <f>IFERROR( TEXT(SnapshotTable[[#This Row],[Equity Max Gain Per Share]] /ABS( SnapshotTable[[#This Row],[Equity Max Loss Per Share]]),"0.0 " ) &amp; " : 1", "")</f>
        <v/>
      </c>
      <c r="AA47" s="31" t="str">
        <f>IF(ISNUMBER(SnapshotTable[[#This Row],[Equity Max Gain Per Share]]),SnapshotTable[[#This Row],[Equity Max Gain Per Share]] * SnapshotTable[[#This Row],[Equity Shares]],"")</f>
        <v/>
      </c>
      <c r="AB47" s="31" t="str">
        <f>IF(ISNUMBER(SnapshotTable[[#This Row],[Equity Max Loss Per Share]]),SnapshotTable[[#This Row],[Equity Max Loss Per Share]] * SnapshotTable[[#This Row],[Equity Shares]],"")</f>
        <v/>
      </c>
      <c r="AC47" s="148"/>
      <c r="AD47" s="149"/>
      <c r="AE47" s="31">
        <f>(SnapshotTable[[#This Row],[Annual Dividend Per Share]] / 4) * SnapshotTable[[#This Row],[Equity Shares]]</f>
        <v>0</v>
      </c>
      <c r="AF47" s="31">
        <f>SnapshotTable[[#This Row],[Quarterly Div $]] * 4</f>
        <v>0</v>
      </c>
      <c r="AG47" s="7">
        <f>IF(SnapshotTable[[#This Row],[Annual Dividend Per Share]]&gt;0, SnapshotTable[[#This Row],[Annual Dividend Per Share]]  / SnapshotTable[[#This Row],[Last Price]], 0)</f>
        <v>0</v>
      </c>
      <c r="AH47" s="149"/>
      <c r="AI47" s="5"/>
      <c r="AJ47" s="136">
        <v>126.29</v>
      </c>
      <c r="AK47" s="150" t="str">
        <f>IF(ISNUMBER( SnapshotTable[[#This Row],[EBF Target]]),(SnapshotTable[[#This Row],[EBF Target]] - SnapshotTable[[#This Row],[Last Price]]) / SnapshotTable[[#This Row],[Last Price]], "")</f>
        <v/>
      </c>
      <c r="AL47" s="150" t="str">
        <f>IF(AND(SnapshotTable[[#This Row],[Equity Basis Total]] &gt; 0,ISNUMBER( SnapshotTable[[#This Row],[Long Term Target]])), SnapshotTable[[#This Row],[From Basis $]] / SnapshotTable[[#This Row],[Equity Basis Total]], "")</f>
        <v/>
      </c>
      <c r="AM47" s="9">
        <f>IF( AND(SnapshotTable[[#This Row],[Equity Shares]] &gt;0,ISNUMBER( SnapshotTable[[#This Row],[Long Term Target]])),(SnapshotTable[[#This Row],[Equity Shares]] * SnapshotTable[[#This Row],[Long Term Target]]) - SnapshotTable[[#This Row],[Equity Basis Total]],0)</f>
        <v>0</v>
      </c>
      <c r="AN47" s="9">
        <f>IF( AND(SnapshotTable[[#This Row],[Equity Shares]] &gt;0,ISNUMBER( SnapshotTable[[#This Row],[Long Term Target]])),(SnapshotTable[[#This Row],[Equity Shares]]*SnapshotTable[[#This Row],[Long Term Target]]) - SnapshotTable[[#This Row],[Equity Value]],0)</f>
        <v>0</v>
      </c>
      <c r="AO47" s="150">
        <f>IF(AND(ISNUMBER( SnapshotTable[[#This Row],[Long Term Target]]), ISNUMBER(SnapshotTable[[#This Row],[Last Price]])),(SnapshotTable[[#This Row],[Long Term Target]] - SnapshotTable[[#This Row],[Last Price]]) / SnapshotTable[[#This Row],[Last Price]], "")</f>
        <v>0.31730468342547202</v>
      </c>
      <c r="AP47" s="5">
        <v>95</v>
      </c>
      <c r="AQ47" s="38" t="s">
        <v>16</v>
      </c>
      <c r="AR47" s="5">
        <v>95</v>
      </c>
      <c r="AS47" s="38" t="s">
        <v>22</v>
      </c>
      <c r="AT47" s="144" t="s">
        <v>442</v>
      </c>
      <c r="AU47" s="185" t="str">
        <f>IF(OR(SnapshotTable[[#This Row],[LP No Fill]]="Y",SnapshotTable[[#This Row],[SP Is Filled]],SnapshotTable[[#This Row],[LC Not Filled]]="Y",SnapshotTable[[#This Row],[SC Is Filled]]),"Y","")</f>
        <v/>
      </c>
      <c r="AV47" s="205"/>
      <c r="AW47" s="211"/>
      <c r="AX47" s="206"/>
      <c r="AY47" s="205" t="str">
        <f>IF(SnapshotTable[[#This Row],[Implied Move]]&gt;0, SnapshotTable[[#This Row],[Last Price]]-SnapshotTable[[#This Row],[Implied Move]],"")</f>
        <v/>
      </c>
      <c r="AZ47" s="205" t="str">
        <f>IF(SnapshotTable[[#This Row],[Implied Move]]&gt;0, SnapshotTable[[#This Row],[Last Price]] + SnapshotTable[[#This Row],[Implied Move]],"")</f>
        <v/>
      </c>
      <c r="BA47" s="302">
        <v>91.56</v>
      </c>
      <c r="BB47" s="318" t="s">
        <v>839</v>
      </c>
      <c r="BC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7" s="321"/>
      <c r="BE47" s="5"/>
      <c r="BF47" s="14"/>
      <c r="BG47" s="13"/>
      <c r="BH47" s="13"/>
      <c r="BI47" s="5"/>
      <c r="BJ47" s="134">
        <f>IF(SnapshotTable[[#This Row],[LP Qty]] &gt; 0, SnapshotTable[[#This Row],[LP Qty]] * SnapshotTable[[#This Row],[LP Book Price]] * 100,0)</f>
        <v>0</v>
      </c>
      <c r="BK47" s="134">
        <f>IF(SnapshotTable[[#This Row],[LP Premium]] &gt; 0, SnapshotTable[[#This Row],[LP Qty]] * SnapshotTable[[#This Row],[LP Strike Price]] * 100,0)</f>
        <v>0</v>
      </c>
      <c r="BL47" s="152"/>
      <c r="BM47" s="355" t="str">
        <f>IF(SnapshotTable[[#This Row],[LP Premium]] &gt; 0,SnapshotTable[[#This Row],[LP Exp Date]]-MAX(SnapshotTable[[#This Row],[LP Book Date]], SnapshotTable[[#This Row],[LP Fill Date]]),"")</f>
        <v/>
      </c>
      <c r="BN47" s="355" t="str">
        <f>IF(ISNUMBER( SnapshotTable[[#This Row],[LP Term]]), SnapshotTable[[#This Row],[LP Exp Date]] - MockToday,"")</f>
        <v/>
      </c>
      <c r="BO47" s="161" t="str">
        <f>IF(AND(SnapshotTable[[#This Row],[LP Exp Date]]&gt;0, SnapshotTable[[#This Row],[LP Strike Price]]&gt;0,SnapshotTable[[#This Row],[LP Qty]]&gt;0,SnapshotTable[[#This Row],[LP Book Date]]&gt;0,SnapshotTable[[#This Row],[LP Book Price]]&gt;0,SnapshotTable[[#This Row],[LP Fill Date]]=0),"Y","")</f>
        <v/>
      </c>
      <c r="BP47" s="31" t="str">
        <f>IF(AND(SnapshotTable[[#This Row],[LP No Fill]]&lt;&gt;"Y",SnapshotTable[[#This Row],[LP Contract Value]]&gt;0, SnapshotTable[[#This Row],[LP Qty]]&gt;0), SnapshotTable[[#This Row],[LP Contract Value]]*SnapshotTable[[#This Row],[LP Qty]]*100,"")</f>
        <v/>
      </c>
      <c r="BQ47" s="13"/>
      <c r="BR47" s="5"/>
      <c r="BS47" s="36"/>
      <c r="BT47" s="145"/>
      <c r="BU47" s="13"/>
      <c r="BV47" s="5"/>
      <c r="BW47" s="382" t="b">
        <f>AND(ISNUMBER(SnapshotTable[[#This Row],[SP Exp Date]]), ISNUMBER(SnapshotTable[[#This Row],[SP Strike Price]]), ISNUMBER(SnapshotTable[[#This Row],[SP Qty]]), ISNUMBER(SnapshotTable[[#This Row],[SP Book Date]]), ISNUMBER(SnapshotTable[[#This Row],[SP Book Price]]))</f>
        <v>0</v>
      </c>
      <c r="BX47" s="382" t="b">
        <f>AND(SnapshotTable[[#This Row],[SP Is Booked]], NOT(ISBLANK(SnapshotTable[[#This Row],[SP Fill Date]])))</f>
        <v>0</v>
      </c>
      <c r="BY47" s="33">
        <f>IF(SnapshotTable[[#This Row],[SP Is Booked]], SnapshotTable[[#This Row],[SP Qty]] * SnapshotTable[[#This Row],[SP Book Price]] * 100, 0)</f>
        <v>0</v>
      </c>
      <c r="BZ47" s="339"/>
      <c r="CA47" s="338">
        <f>SnapshotTable[[#This Row],[LP Qty]]</f>
        <v>0</v>
      </c>
      <c r="CB47" s="4" t="str">
        <f>IF(SnapshotTable[[#This Row],[SP Is Booked]], SnapshotTable[[#This Row],[SP Strike Price]] - SnapshotTable[[#This Row],[SP Book Price]], "")</f>
        <v/>
      </c>
      <c r="CC47" s="19" t="str">
        <f>IF(SnapshotTable[[#This Row],[SP Is Booked]],SnapshotTable[[#This Row],[SP Exp Date]]-MAX(SnapshotTable[[#This Row],[SP Book Date]], SnapshotTable[[#This Row],[SP Fill Date]]),"")</f>
        <v/>
      </c>
      <c r="CD47" s="7" t="str">
        <f>IF(SnapshotTable[[#This Row],[SP Is Booked]], SnapshotTable[[#This Row],[SP Book Price]]/SnapshotTable[[#This Row],[SP Strike Price]], "")</f>
        <v/>
      </c>
      <c r="CE47" s="7" t="str">
        <f>IF(ISNUMBER(SnapshotTable[[#This Row],[SP ROO Term]]),SnapshotTable[[#This Row],[SP ROO Term]]*(365/SnapshotTable[[#This Row],[SP Term]]),"")</f>
        <v/>
      </c>
      <c r="CF47" s="221">
        <f>SnapshotTable[[#This Row],[LP Strike Price]] * SnapshotTable[[#This Row],[LP Qty]] * 100</f>
        <v>0</v>
      </c>
      <c r="CG47" s="31">
        <f>IF(ISNUMBER(SnapshotTable[[#This Row],[SP Premium]]), (SnapshotTable[[#This Row],[SP Qty]] * SnapshotTable[[#This Row],[SP Strike Price]]* 100) - SnapshotTable[[#This Row],[LP Protection]], 0)</f>
        <v>0</v>
      </c>
      <c r="CH47" s="7" t="str">
        <f>IF(ISNUMBER(SnapshotTable[[#This Row],[SP Break Even]]),-1 * (SnapshotTable[[#This Row],[SP Break Even]] - SnapshotTable[[#This Row],[Last Price]]) / SnapshotTable[[#This Row],[Last Price]], "")</f>
        <v/>
      </c>
      <c r="CI47" s="31">
        <f>IF(AND(ISNUMBER((SnapshotTable[[#This Row],[SP Potential Spend]])), SnapshotTable[[#This Row],[SP Strike Price]] &gt; SnapshotTable[[#This Row],[Last Price]], SnapshotTable[[#This Row],[SP Is Filled]]), SnapshotTable[[#This Row],[SP Potential Spend]] -  SnapshotTable[[#This Row],[LP Max Value]], 0)</f>
        <v>0</v>
      </c>
      <c r="CJ47" s="229"/>
      <c r="CK47" s="31">
        <f>IF(ISNUMBER(SnapshotTable[[#This Row],[SP Potential Spend]]),IF(ISNUMBER(SnapshotTable[[#This Row],[SP POW]]), SnapshotTable[[#This Row],[SP POW]] * SnapshotTable[[#This Row],[SP Potential Spend]], SnapshotTable[[#This Row],[SP Potential Spend]]), "")</f>
        <v>0</v>
      </c>
      <c r="CL47" s="162">
        <f>IF(NOT(SnapshotTable[[#This Row],[SP Is Filled]]),(SnapshotTable[[#This Row],[SP Qty]] * SnapshotTable[[#This Row],[SP Strike Price]] * 100) - SnapshotTable[[#This Row],[LP Max Value]],"")</f>
        <v>0</v>
      </c>
      <c r="CM47" s="31" t="str">
        <f>IF(SnapshotTable[[#This Row],[SP Actual Spend]]&lt;&gt;0, ((SnapshotTable[[#This Row],[SP Strike Price]]-SnapshotTable[[#This Row],[Last Price]]) *(SnapshotTable[[#This Row],[SP Qty]]*100) - SnapshotTable[[#This Row],[SP Premium]]) * - 1, "")</f>
        <v/>
      </c>
      <c r="CN47" s="76"/>
      <c r="CO47" s="339"/>
      <c r="CP47" s="4" t="str">
        <f>IF(SnapshotTable[[#This Row],[SP Is Filled]], btc_max_buyback_amount(SnapshotTable[[#This Row],[SP Fill Date]],SnapshotTable[[#This Row],[SP Exp Date]], SnapshotTable[[#This Row],[SP Book Price]]),"")</f>
        <v/>
      </c>
      <c r="CQ47" s="76"/>
      <c r="CR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7" s="153" t="str">
        <f>IF(SnapshotTable[[#This Row],[SP Is Filled]], btc_next_cutoff_date(SnapshotTable[[#This Row],[SP Fill Date]],SnapshotTable[[#This Row],[SP Exp Date]]),"")</f>
        <v/>
      </c>
      <c r="CT47" s="220" t="str" cm="1">
        <f t="array" ref="CT47">IF(SnapshotTable[[#This Row],[SP Is Filled]], btc_should_buy_back(SnapshotTable[[#This Row],[SP Fill Date]], SnapshotTable[[#This Row],[SP Exp Date]], SnapshotTable[[#This Row],[SP Book Price]], SnapshotTable[[#This Row],[SP Current Ask]], MockToday, SnapshotTable[[#This Row],[SP Buyback Override]]),"")</f>
        <v/>
      </c>
      <c r="CU47" s="141"/>
      <c r="CV47" s="220"/>
      <c r="CW47" s="348" t="str">
        <f>IF(ISNUMBER( SnapshotTable[[#This Row],[SP Term]]), SnapshotTable[[#This Row],[SP Exp Date]] - MockToday,"")</f>
        <v/>
      </c>
      <c r="CX47" s="31" t="str">
        <f>IF(SnapshotTable[[#This Row],[SP Is Filled]],SnapshotTable[[#This Row],[SP Buyback Price to Use]] * 100 * SnapshotTable[[#This Row],[SP Qty]], "")</f>
        <v/>
      </c>
      <c r="CY47" s="4" t="str">
        <f>IF(ISNUMBER(SnapshotTable[[#This Row],[SP Strike Price]]), SnapshotTable[[#This Row],[SP Strike Price]] * (1 - SP_MaxLoss_StrikePct), "")</f>
        <v/>
      </c>
      <c r="CZ47" s="31" t="str">
        <f>IF(ISNUMBER(SnapshotTable[[#This Row],[SP Strike  Stop Per Share]]),SnapshotTable[[#This Row],[SP Premium]] - ((SnapshotTable[[#This Row],[SP Strike Price]]-SnapshotTable[[#This Row],[SP Strike  Stop Per Share]]) *(SnapshotTable[[#This Row],[SP Qty]] * 100)),"")</f>
        <v/>
      </c>
      <c r="DA47" s="4" t="str">
        <f>IF(AND(ISNUMBER(SnapshotTable[[#This Row],[SP Premium]]),SnapshotTable[[#This Row],[SP Premium]]&gt;0), SnapshotTable[[#This Row],[SP Book Price]] * (1 + SP_MaxLoss_OptionPct), "")</f>
        <v/>
      </c>
      <c r="DB47" s="31" t="str">
        <f>IF(ISNUMBER(SnapshotTable[[#This Row],[SP Option  Stop Contract]]),(SnapshotTable[[#This Row],[SP Option  Stop Contract]] *(SnapshotTable[[#This Row],[SP Qty]] * 100) - SnapshotTable[[#This Row],[SP Premium]]),"")</f>
        <v/>
      </c>
      <c r="DC47" s="4"/>
      <c r="DD47" s="4"/>
      <c r="DE47" s="4" t="str">
        <f>IF(AND(SnapshotTable[[#This Row],[SP Qty]]&gt;0, SnapshotTable[[#This Row],[SP Stop To Use]]&gt;0),SnapshotTable[[#This Row],[SP Premium]] - ( SnapshotTable[[#This Row],[SP Qty]] * SnapshotTable[[#This Row],[SP Stop To Use]] * 100), "")</f>
        <v/>
      </c>
      <c r="DF47" s="31" t="str">
        <f>IF(AND(SnapshotTable[[#This Row],[SP Qty]]&gt;0,SnapshotTable[[#This Row],[SP Current Ask]]&gt;0), SnapshotTable[[#This Row],[SP Qty]] * SnapshotTable[[#This Row],[SP Current Ask]] * -100, "")</f>
        <v/>
      </c>
      <c r="DG47" s="31" t="str">
        <f>IF(ISNUMBER((SnapshotTable[[#This Row],[SP Total Value]])), SnapshotTable[[#This Row],[SP Premium]] + SnapshotTable[[#This Row],[SP Total Value]], "")</f>
        <v/>
      </c>
      <c r="DH47" s="272" t="str">
        <f>IF(ISNUMBER((SnapshotTable[[#This Row],[SP Total Value]])), SnapshotTable[[#This Row],[SP Gain Loss]] / SnapshotTable[[#This Row],[SP Premium]], "")</f>
        <v/>
      </c>
      <c r="DI47" s="369"/>
      <c r="DJ47" s="136"/>
      <c r="DK47" s="146"/>
      <c r="DL47" s="13"/>
      <c r="DM47" s="13"/>
      <c r="DN47" s="5"/>
      <c r="DO47" s="31">
        <f>IF(SnapshotTable[[#This Row],[LC Symbol Count]]=1, SnapshotTable[[#This Row],[LC Qty]] * SnapshotTable[[#This Row],[LC Book Price]] * 100, 0)</f>
        <v>0</v>
      </c>
      <c r="DP47" s="161" t="str">
        <f>IF(AND(SnapshotTable[[#This Row],[LC Exp Date]]&gt;0, SnapshotTable[[#This Row],[LC Strike Price]]&gt;0,SnapshotTable[[#This Row],[LC Qty]]&gt;0,SnapshotTable[[#This Row],[LC Book Date]]&gt;0,SnapshotTable[[#This Row],[LC Book Price]]&gt;0,SnapshotTable[[#This Row],[LC Fill Date]]=0),"Y","")</f>
        <v/>
      </c>
      <c r="DQ47" s="356" t="str">
        <f>IF(SnapshotTable[[#This Row],[LC Premium]] &gt; 0,SnapshotTable[[#This Row],[LC Exp Date]]-MAX(SnapshotTable[[#This Row],[LC Book Date]], SnapshotTable[[#This Row],[LC Fill Date]]),"")</f>
        <v/>
      </c>
      <c r="DR47" s="356" t="str">
        <f>IF(ISNUMBER(SnapshotTable[[#This Row],[LC Term]]), SnapshotTable[[#This Row],[LC Exp Date]] - MockToday, "")</f>
        <v/>
      </c>
      <c r="DS47" s="219" t="str">
        <f>IF(SnapshotTable[[#This Row],[LC Premium]]&gt;0,SnapshotTable[[#This Row],[LC Strike Price]] + SnapshotTable[[#This Row],[LC Book Price]],"")</f>
        <v/>
      </c>
      <c r="DT47" s="5"/>
      <c r="DU47" s="9" t="str">
        <f>IF(AND(SnapshotTable[[#This Row],[LC Symbol Count]]&gt;0, SnapshotTable[[#This Row],[LC Contract Value]]&gt;0), SnapshotTable[[#This Row],[LC Contract Value]] * SnapshotTable[[#This Row],[LC Qty]] * 100, "")</f>
        <v/>
      </c>
      <c r="DV47" s="9" t="str">
        <f>IF(AND(ISNUMBER(SnapshotTable[[#This Row],[LC Total Value]]), SnapshotTable[[#This Row],[LC Not Filled]]&lt;&gt;"Y"), SnapshotTable[[#This Row],[LC Total Value]]-SnapshotTable[[#This Row],[LC Premium]],"")</f>
        <v/>
      </c>
      <c r="DW47" s="225" t="str">
        <f>IF(ISNUMBER(SnapshotTable[[#This Row],[LC Actual Gain Loss]]), SnapshotTable[[#This Row],[LC Actual Gain Loss]] / SnapshotTable[[#This Row],[LC Premium]],"")</f>
        <v/>
      </c>
      <c r="DX47" s="269" t="str">
        <f>IF(ISNUMBER(SnapshotTable[[#This Row],[LC Book Price]]),SnapshotTable[[#This Row],[LC Book Price]] * 1.5,"")</f>
        <v/>
      </c>
      <c r="DY47" s="250" t="str">
        <f>IF(SnapshotTable[[#This Row],[LC Premium]]&gt;0, SnapshotTable[[#This Row],[LC Next Target]] * SnapshotTable[[#This Row],[LC Qty]] * 100,"")</f>
        <v/>
      </c>
      <c r="DZ47" s="250" t="str">
        <f>IF(ISNUMBER(SnapshotTable[[#This Row],[LC Target Gross]]), SnapshotTable[[#This Row],[LC Target Gross]] - SnapshotTable[[#This Row],[LC Premium]], "")</f>
        <v/>
      </c>
      <c r="EA47" s="283" t="str">
        <f>IF(ISNUMBER(SnapshotTable[[#This Row],[LC Target Gain Loss]]), SnapshotTable[[#This Row],[LC Target Gain Loss]]/SnapshotTable[[#This Row],[LC Premium]], "")</f>
        <v/>
      </c>
      <c r="EB47" s="247"/>
      <c r="EC47" s="268" t="str">
        <f>IF(SnapshotTable[[#This Row],[LC Premium]]&gt;0, SnapshotTable[[#This Row],[LC Book Price]] * (1 - LC_StopLoss_Pct),"")</f>
        <v/>
      </c>
      <c r="ED47" s="269"/>
      <c r="EE47" s="268" t="str">
        <f>IF(ISNUMBER(SnapshotTable[[#This Row],[LC Contract Value]]),IF(ISNUMBER(SnapshotTable[[#This Row],[LC Stop Loss Override]]), SnapshotTable[[#This Row],[LC Stop Loss Override]],SnapshotTable[[#This Row],[LC Stop Loss Calc Target]]),"")</f>
        <v/>
      </c>
      <c r="EF47" s="31" t="str">
        <f>IF(ISNUMBER(SnapshotTable[[#This Row],[LC Stop  To Use]]), (SnapshotTable[[#This Row],[LC Stop  To Use]] * SnapshotTable[[#This Row],[LC Qty]] * 100),"")</f>
        <v/>
      </c>
      <c r="EG47" s="9" t="str">
        <f>IF(ISNUMBER(SnapshotTable[[#This Row],[LC Total Value]]),SnapshotTable[[#This Row],[LC Stop Loss Amount]] - SnapshotTable[[#This Row],[LC Premium]],"")</f>
        <v/>
      </c>
      <c r="EH47" s="9">
        <f>IF(ISNUMBER(SnapshotTable[[#This Row],[LC Premium]]), SnapshotTable[[#This Row],[LC Qty]] * 100 * SnapshotTable[[#This Row],[LC Strike Price]], "")</f>
        <v>0</v>
      </c>
      <c r="EI47" s="225" t="str">
        <f>IF(AND(ISNUMBER(SnapshotTable[[#This Row],[LC Total Value]]),SnapshotTable[[#This Row],[LC Total Value]]&gt;0),SnapshotTable[[#This Row],[LC Stop Gain Loss]]  / SnapshotTable[[#This Row],[LC Premium]],"")</f>
        <v/>
      </c>
      <c r="EJ47" s="35">
        <f>IF(ISNUMBER(SnapshotTable[[#This Row],[Equity Shares]]),TRUNC(SnapshotTable[[#This Row],[Equity Shares]] / 100),0) + SnapshotTable[[#This Row],[LC Qty]]</f>
        <v>0</v>
      </c>
      <c r="EK47" s="145"/>
      <c r="EL47" s="136"/>
      <c r="EM47" s="146"/>
      <c r="EN47" s="145"/>
      <c r="EO47" s="145"/>
      <c r="EP47" s="136"/>
      <c r="EQ47" s="382" t="b">
        <f>AND(ISNUMBER(SnapshotTable[[#This Row],[SC Exp Date]]), ISNUMBER(SnapshotTable[[#This Row],[SC Strike Price]]), ISNUMBER(SnapshotTable[[#This Row],[SC Qty]]), ISNUMBER(SnapshotTable[[#This Row],[SC Book Date]]), ISNUMBER(SnapshotTable[[#This Row],[SC Book Price]]))</f>
        <v>0</v>
      </c>
      <c r="ER47" s="382" t="b">
        <f>AND(SnapshotTable[[#This Row],[SC Is Booked]], NOT(ISBLANK(SnapshotTable[[#This Row],[SC Fill Date]])))</f>
        <v>0</v>
      </c>
      <c r="ES47" s="340"/>
      <c r="ET47" s="34" t="str">
        <f>IF(AND(ISNUMBER(SnapshotTable[[#This Row],[SC Exp Date]]), ISNUMBER(SnapshotTable[[#This Row],[SC Book Date]])), SnapshotTable[[#This Row],[SC Exp Date]] - MAX(SnapshotTable[[#This Row],[SC Book Date]], SnapshotTable[[#This Row],[SC Fill Date]]) + 1, "")</f>
        <v/>
      </c>
      <c r="EU47" s="34" t="str">
        <f>IF(ISNUMBER(SnapshotTable[[#This Row],[SC Term]]), SnapshotTable[[#This Row],[SC Exp Date]]- MockToday, "")</f>
        <v/>
      </c>
      <c r="EV47" s="31">
        <f>IF(SnapshotTable[[#This Row],[SC Is Booked]], SnapshotTable[[#This Row],[SC Qty]] * SnapshotTable[[#This Row],[SC Book Price]] * 100, 0)</f>
        <v>0</v>
      </c>
      <c r="EW47" s="4" t="str">
        <f>IF(AND(ISNUMBER(SnapshotTable[[#This Row],[Last Price]]), ISNUMBER( SnapshotTable[[#This Row],[SC Book Price]])), SnapshotTable[[#This Row],[Last Price]] - SnapshotTable[[#This Row],[SC Book Price]],"")</f>
        <v/>
      </c>
      <c r="EX47" s="219" t="str">
        <f>IF(SnapshotTable[[#This Row],[SC Is Booked]],IF(SnapshotTable[[#This Row],[SC Intrinsic Value]] &gt; 0, SnapshotTable[[#This Row],[SC Strike Price]], SnapshotTable[[#This Row],[Last Price]]), "")</f>
        <v/>
      </c>
      <c r="EY47" s="4">
        <f>IF(SnapshotTable[[#This Row],[SC Is Booked]], (MinimumPremiumRequired * SnapshotTable[[#This Row],[SC Basis]] * SnapshotTable[[#This Row],[SC Term]]), 0)</f>
        <v>0</v>
      </c>
      <c r="EZ47" s="268"/>
      <c r="FA47" s="204"/>
      <c r="FB47" s="340"/>
      <c r="FC47" s="4">
        <f>IF(SnapshotTable[[#This Row],[SC Is Filled]], btc_max_buyback_amount(SnapshotTable[[#This Row],[SC Fill Date]],SnapshotTable[[#This Row],[SC Exp Date]], SnapshotTable[[#This Row],[SC Book Price]]),0)</f>
        <v>0</v>
      </c>
      <c r="FD47" s="5"/>
      <c r="FE47" s="142" t="str">
        <f>IF(SnapshotTable[[#This Row],[SC Is Filled]], btc_next_cutoff_date(SnapshotTable[[#This Row],[SC Fill Date]],SnapshotTable[[#This Row],[SC Exp Date]]),"")</f>
        <v/>
      </c>
      <c r="FF47" s="4" t="str" cm="1">
        <f t="array" ref="FF47">IF(SnapshotTable[[#This Row],[SC Is Filled]], btc_should_buy_back(SnapshotTable[[#This Row],[SC Fill Date]], SnapshotTable[[#This Row],[SC Exp Date]], SnapshotTable[[#This Row],[SC Book Price]], SnapshotTable[[#This Row],[SC Current Ask]], MockToday, SnapshotTable[[#This Row],[SC Buyback Override]]),"")</f>
        <v/>
      </c>
      <c r="FG47" s="4">
        <f>IF(SnapshotTable[[#This Row],[SC Is Filled]], MAX(0,SnapshotTable[[#This Row],[Last Price]]  - SnapshotTable[[#This Row],[SC Strike Price]]), 0)</f>
        <v>0</v>
      </c>
      <c r="FH47" s="352">
        <f>IF(SnapshotTable[[#This Row],[SC Is Filled]], IF(ISNUMBER(SnapshotTable[[#This Row],[SC Current Ask]]), SnapshotTable[[#This Row],[SC Current Ask]], SnapshotTable[[#This Row],[SC Book Price]]) - SnapshotTable[[#This Row],[SC Intrinsic Value]], 0)</f>
        <v>0</v>
      </c>
      <c r="FI47" s="141"/>
      <c r="FJ47" s="32" t="str">
        <f>IF(SnapshotTable[[#This Row],[SC Is Filled]],100 * SnapshotTable[[#This Row],[SC Qty]] * IF(ISNUMBER(SnapshotTable[[#This Row],[SC Buyback Override]]), SnapshotTable[[#This Row],[SC Buyback Override]], SnapshotTable[[#This Row],[SC Current Ask]]), "")</f>
        <v/>
      </c>
      <c r="FK47" s="235" t="str">
        <f>IF(SnapshotTable[[#This Row],[SC Time Val]]&gt;0, SnapshotTable[[#This Row],[SC Time Val]] / SnapshotTable[[#This Row],[Last Price]],"")</f>
        <v/>
      </c>
      <c r="FL47" s="280" t="str">
        <f>IF(SnapshotTable[[#This Row],[SC Is Booked]], ((SnapshotTable[[#This Row],[Last Price]] -SnapshotTable[[#This Row],[SC Strike Price]]) / SnapshotTable[[#This Row],[Last Price]]) * -1, "")</f>
        <v/>
      </c>
      <c r="FM47" s="155" t="str">
        <f>IF(SnapshotTable[[#This Row],[SC Is Booked]],  (SnapshotTable[[#This Row],[SC Qty]] * 100 * SnapshotTable[[#This Row],[SC Strike Price]]) - SnapshotTable[[#This Row],[SC Current Ask]], "")</f>
        <v/>
      </c>
      <c r="FN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7" s="31" t="str">
        <f>IF(AND(ISNUMBER(SnapshotTable[[#This Row],[SC Exercise Gross]]), ISNUMBER(SnapshotTable[[#This Row],[Equity Basis Per Share]] )), SnapshotTable[[#This Row],[SC Exercise Gross]] - SnapshotTable[[#This Row],[Equity Basis Total]] +  SnapshotTable[[#This Row],[SC Premium]], "")</f>
        <v/>
      </c>
      <c r="FP47" s="5" t="str">
        <f>IF(ISNUMBER(SnapshotTable[[#This Row],[SC Exercise Gross]]), (SnapshotTable[[#This Row],[SC Exercise Gross]]) / (SnapshotTable[[#This Row],[SC Qty]] * 100), "")</f>
        <v/>
      </c>
      <c r="FQ47" s="27" t="str">
        <f>IF(SnapshotTable[[#This Row],[SC Is Booked]],SnapshotTable[[#This Row],[SC Time Val]] /SnapshotTable[[#This Row],[SC Basis]], "")</f>
        <v/>
      </c>
      <c r="FR47" s="27" t="str" cm="1">
        <f t="array" ref="FR47">IF(AND(ISNUMBER(SnapshotTable[[#This Row],[SC Term]]),ISNUMBER(SnapshotTable[[#This Row],[SC Simple ROO]])), EllmanAnnualize(SnapshotTable[[#This Row],[SC DTE]], SnapshotTable[[#This Row],[SC Simple ROO]] ),"")</f>
        <v/>
      </c>
      <c r="FS47" s="4">
        <f>IF(SnapshotTable[[#This Row],[SC Strike Price]] &gt; SnapshotTable[[#This Row],[Last Price]], SnapshotTable[[#This Row],[SC Strike Price]] - SnapshotTable[[#This Row],[Last Price]],0)</f>
        <v>0</v>
      </c>
      <c r="FT47" s="27" t="str">
        <f>IF(AND(ISNUMBER(SnapshotTable[[#This Row],[SC Upside Potential]]), SnapshotTable[[#This Row],[SC Upside Potential]] &gt; 0),(SnapshotTable[[#This Row],[SC Upside Potential]]/ SnapshotTable[[#This Row],[ACB]]),"")</f>
        <v/>
      </c>
      <c r="FU47" s="304" t="str">
        <f>IF(SnapshotTable[[#This Row],[SC Intrinsic Value]] &gt; 0,SnapshotTable[[#This Row],[SC Intrinsic Value]],"")</f>
        <v/>
      </c>
      <c r="FV47" s="27" t="str">
        <f>IF(AND( ISNUMBER( SnapshotTable[[#This Row],[ACB]]),ISNUMBER(SnapshotTable[[#This Row],[SC Downside Protect]])),SnapshotTable[[#This Row],[SC Downside Protect]] / SnapshotTable[[#This Row],[ACB]],"")</f>
        <v/>
      </c>
      <c r="FW47" s="221" t="str">
        <f>IF(AND(ISNUMBER(SnapshotTable[[#This Row],[SC Simple ROO]]),SnapshotTable[[#This Row],[SC Simple ROO]] &gt; 0), SnapshotTable[[#This Row],[SC Premium]] + (SnapshotTable[[#This Row],[SC Qty]] * SnapshotTable[[#This Row],[SC Upside Potential]]), "")</f>
        <v/>
      </c>
      <c r="FX47" s="280" t="str" cm="1">
        <f t="array" ref="FX47">IF(ISNUMBER(SnapshotTable[[#This Row],[SC Max Dollars]]), annualize(SnapshotTable[[#This Row],[SC Term]],(SnapshotTable[[#This Row],[SC Max Dollars]]/SnapshotTable[[#This Row],[SC Basis]])),"")</f>
        <v/>
      </c>
      <c r="FY47" s="221" t="str">
        <f>IF(AND(SnapshotTable[[#This Row],[SC Qty]]&gt;0,SnapshotTable[[#This Row],[SC Current Ask]]&gt;0), SnapshotTable[[#This Row],[SC Qty]] * SnapshotTable[[#This Row],[SC Current Ask]] * -100, "")</f>
        <v/>
      </c>
      <c r="FZ47" s="31" t="str">
        <f>IF(ISNUMBER((SnapshotTable[[#This Row],[SC Current Value]])), SnapshotTable[[#This Row],[SC Premium]] + SnapshotTable[[#This Row],[SC Current Value]], "")</f>
        <v/>
      </c>
      <c r="GA47" s="272" t="str">
        <f>IFERROR( IF(ISNUMBER((SnapshotTable[[#This Row],[SC Current Value]])), SnapshotTable[[#This Row],[SC Gain Loss]] / SnapshotTable[[#This Row],[SC Premium]], ""), "")</f>
        <v/>
      </c>
      <c r="GB47" s="42">
        <f>SnapshotTable[[#This Row],[Equity Shares]] * SaleSharesToConsiderPercentage</f>
        <v>0</v>
      </c>
      <c r="GC47" s="40">
        <f>SnapshotTable[[#This Row],[Long Term Target]] * SellingPriceToConsiderBasedOnTargetPercentage</f>
        <v>119.9755</v>
      </c>
      <c r="GD47" s="40">
        <f>SnapshotTable[[#This Row],[Last Price]] * (1+ SellingPriceToConsiderBasedOnTargetPercentage)</f>
        <v>186.94650000000001</v>
      </c>
      <c r="GE47" s="41"/>
      <c r="GF47" s="40"/>
      <c r="GG47" s="31">
        <f>SnapshotTable[[#This Row],[Booked Sale Shares]] * SnapshotTable[[#This Row],[Booked Sale Price]]</f>
        <v>0</v>
      </c>
      <c r="GH47" s="31" t="str">
        <f>IF(SnapshotTable[[#This Row],[Equity Basis Total]] &gt; 0, SnapshotTable[[#This Row],[Equity Basis Per Share]] * SnapshotTable[[#This Row],[Booked Sale Shares]], "")</f>
        <v/>
      </c>
      <c r="GI47" s="31">
        <f>IF(SnapshotTable[[#This Row],[Sale Proceeds]]&gt;0, SnapshotTable[[#This Row],[Sale Proceeds]] - SnapshotTable[[#This Row],[Sale Basis]], 0)</f>
        <v>0</v>
      </c>
      <c r="GJ47" s="27" t="str">
        <f>IF(SnapshotTable[[#This Row],[Sale G/L]]&gt;0, SnapshotTable[[#This Row],[Sale G/L]] / SnapshotTable[[#This Row],[Sale Basis]], IF(ISNUMBER(SnapshotTable[[#This Row],[SC Exercise P&amp;L (TAX)]]), SnapshotTable[[#This Row],[SC Exercise P&amp;L (TAX)]] / SnapshotTable[[#This Row],[SC Basis]], ""))</f>
        <v/>
      </c>
      <c r="GK47" s="27" t="s">
        <v>832</v>
      </c>
      <c r="GL47" s="43" t="str">
        <f>IF(AND(SnapshotTable[[#This Row],[LP Exp Date]]&gt;0,SnapshotTable[[#This Row],[LP Strike Price]]&gt;0), [1]!ToOptionSymbol(SnapshotTable[[#This Row],[Symbol]], SnapshotTable[[#This Row],[LP Strike Price]],SnapshotTable[[#This Row],[LP Exp Date]],1), "")</f>
        <v/>
      </c>
      <c r="GM47" s="30" t="str">
        <f>IF(LEN(SnapshotTable[[#This Row],[LP Symbol]])&gt;0, 1, "")</f>
        <v/>
      </c>
      <c r="GN47" s="43" t="str">
        <f>IF(AND(SnapshotTable[[#This Row],[SP Exp Date]]&gt;0,SnapshotTable[[#This Row],[SP Strike Price]]&gt;0), [1]!ToOptionSymbol(SnapshotTable[[#This Row],[Symbol]], SnapshotTable[[#This Row],[SP Strike Price]],SnapshotTable[[#This Row],[SP Exp Date]],1), "")</f>
        <v/>
      </c>
      <c r="GO47" s="30" t="str">
        <f>IF(LEN(SnapshotTable[[#This Row],[SP Symbol]])&gt;0, 1, "")</f>
        <v/>
      </c>
      <c r="GP47" s="43" t="str">
        <f>IF(AND(SnapshotTable[[#This Row],[LC Exp Date]]&gt;0,SnapshotTable[[#This Row],[LC Strike Price]]&gt;0), [1]!ToOptionSymbol(SnapshotTable[[#This Row],[Symbol]], SnapshotTable[[#This Row],[LC Strike Price]],SnapshotTable[[#This Row],[LC Exp Date]],0), "")</f>
        <v/>
      </c>
      <c r="GQ47" s="30" t="str">
        <f>IF(LEN(SnapshotTable[[#This Row],[LC Symbol]])&gt;0, 1, "")</f>
        <v/>
      </c>
      <c r="GR47" s="43" t="str">
        <f>IF(AND(SnapshotTable[[#This Row],[SC Exp Date]]&gt;0,SnapshotTable[[#This Row],[SC Strike Price]]&gt;0), [1]!ToOptionSymbol(SnapshotTable[[#This Row],[Symbol]], SnapshotTable[[#This Row],[SC Strike Price]],SnapshotTable[[#This Row],[SC Exp Date]],0), "")</f>
        <v/>
      </c>
      <c r="GS47" s="30" t="str">
        <f>IF(LEN(SnapshotTable[[#This Row],[SC Symbol]])&gt;0, 1, "")</f>
        <v/>
      </c>
      <c r="GT47" s="29" t="str">
        <f>IF(COUNT(SnapshotTable[[#This Row],[LP Symbol Count]],SnapshotTable[[#This Row],[SP Symbol Count]],SnapshotTable[[#This Row],[LC Symbol Count]],SnapshotTable[[#This Row],[SC Symbol Count]])&gt;0, "Y", "")</f>
        <v/>
      </c>
      <c r="GU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7" s="216">
        <f>MAX(SnapshotTable[[#This Row],[Equity Basis Total]],SnapshotTable[[#This Row],[Equity Value]]) + (SnapshotTable[[#This Row],[SP Potential Spend]]- SnapshotTable[[#This Row],[SP Premium]] + SnapshotTable[[#This Row],[LP Premium]])+ (SnapshotTable[[#This Row],[LC Premium]] - SnapshotTable[[#This Row],[SC Premium]])</f>
        <v>0</v>
      </c>
      <c r="GW47" s="137" t="str">
        <f>IF(AND(SnapshotTable[[#This Row],[Exposure]] &lt;&gt; 0),SnapshotTable[[#This Row],[Exposure]] / SnapshotTable[[#Totals],[Exposure]], "")</f>
        <v/>
      </c>
      <c r="GY47" s="351"/>
      <c r="HE47" s="253"/>
      <c r="HF47" s="253"/>
      <c r="HG47" s="351"/>
      <c r="HH47" s="351"/>
      <c r="HI47" s="351"/>
      <c r="HJ47" s="351"/>
    </row>
    <row r="48" spans="2:224" s="45" customFormat="1" ht="12.75" hidden="1" customHeight="1" x14ac:dyDescent="0.25">
      <c r="B48" s="12" t="s">
        <v>144</v>
      </c>
      <c r="C48" s="385">
        <v>116.56</v>
      </c>
      <c r="D48" s="200"/>
      <c r="E48" s="39">
        <f>SnapshotTable[[#This Row],[Last Price]]*(1 -CrashDiscount)</f>
        <v>99.075999999999993</v>
      </c>
      <c r="F48" s="26" t="s">
        <v>700</v>
      </c>
      <c r="G48" s="26" t="s">
        <v>493</v>
      </c>
      <c r="H48" s="147"/>
      <c r="I48" s="186">
        <v>44798.291666666664</v>
      </c>
      <c r="J48" s="187">
        <v>44798.291666666664</v>
      </c>
      <c r="K48" s="188"/>
      <c r="L48" s="297"/>
      <c r="M48" s="138"/>
      <c r="N48" s="138"/>
      <c r="O48" s="138">
        <v>1</v>
      </c>
      <c r="P48" s="22"/>
      <c r="Q48" s="25"/>
      <c r="R48" s="4" t="str">
        <f>IF(SnapshotTable[[#This Row],[Equity Basis Total]] &gt; 0, SnapshotTable[[#This Row],[Equity Basis Total]] / SnapshotTable[[#This Row],[Equity Shares]], "")</f>
        <v/>
      </c>
      <c r="S48" s="254">
        <f>SnapshotTable[[#This Row],[Last Price]] * SnapshotTable[[#This Row],[Equity Shares]]</f>
        <v>0</v>
      </c>
      <c r="T48" s="254">
        <f>SnapshotTable[[#This Row],[Equity Value]] - SnapshotTable[[#This Row],[Equity Basis Total]]</f>
        <v>0</v>
      </c>
      <c r="U48" s="255" t="str">
        <f>IF(SnapshotTable[[#This Row],[Equity Basis Total]] &gt; 0, SnapshotTable[[#This Row],[Equity G/L]] / SnapshotTable[[#This Row],[Equity Basis Total]], "")</f>
        <v/>
      </c>
      <c r="V48" s="253">
        <v>150</v>
      </c>
      <c r="W48" s="253">
        <v>128</v>
      </c>
      <c r="X48" s="4" t="str">
        <f>IF(AND(ISNUMBER(SnapshotTable[[#This Row],[Equity Basis Per Share]]),ISNUMBER(SnapshotTable[[#This Row],[Equity Target]])),SnapshotTable[[#This Row],[Equity Target]]-SnapshotTable[[#This Row],[Equity Basis Per Share]],"")</f>
        <v/>
      </c>
      <c r="Y48" s="4" t="str">
        <f>IF(AND(ISNUMBER(SnapshotTable[[#This Row],[Equity Basis Per Share]]),ISNUMBER(SnapshotTable[[#This Row],[Equity Stop Loss]])),SnapshotTable[[#This Row],[Equity Stop Loss]]-SnapshotTable[[#This Row],[Equity Basis Per Share]],"")</f>
        <v/>
      </c>
      <c r="Z48" s="260" t="str">
        <f>IFERROR( TEXT(SnapshotTable[[#This Row],[Equity Max Gain Per Share]] /ABS( SnapshotTable[[#This Row],[Equity Max Loss Per Share]]),"0.0 " ) &amp; " : 1", "")</f>
        <v/>
      </c>
      <c r="AA48" s="31" t="str">
        <f>IF(ISNUMBER(SnapshotTable[[#This Row],[Equity Max Gain Per Share]]),SnapshotTable[[#This Row],[Equity Max Gain Per Share]] * SnapshotTable[[#This Row],[Equity Shares]],"")</f>
        <v/>
      </c>
      <c r="AB48" s="31" t="str">
        <f>IF(ISNUMBER(SnapshotTable[[#This Row],[Equity Max Loss Per Share]]),SnapshotTable[[#This Row],[Equity Max Loss Per Share]] * SnapshotTable[[#This Row],[Equity Shares]],"")</f>
        <v/>
      </c>
      <c r="AC48" s="148"/>
      <c r="AD48" s="149"/>
      <c r="AE48" s="31">
        <f>(SnapshotTable[[#This Row],[Annual Dividend Per Share]] / 4) * SnapshotTable[[#This Row],[Equity Shares]]</f>
        <v>0</v>
      </c>
      <c r="AF48" s="31">
        <f>SnapshotTable[[#This Row],[Quarterly Div $]] * 4</f>
        <v>0</v>
      </c>
      <c r="AG48" s="7">
        <f>IF(SnapshotTable[[#This Row],[Annual Dividend Per Share]]&gt;0, SnapshotTable[[#This Row],[Annual Dividend Per Share]]  / SnapshotTable[[#This Row],[Last Price]], 0)</f>
        <v>0</v>
      </c>
      <c r="AH48" s="149"/>
      <c r="AI48" s="5"/>
      <c r="AJ48" s="136">
        <v>321.43</v>
      </c>
      <c r="AK48" s="150" t="str">
        <f>IF(ISNUMBER( SnapshotTable[[#This Row],[EBF Target]]),(SnapshotTable[[#This Row],[EBF Target]] - SnapshotTable[[#This Row],[Last Price]]) / SnapshotTable[[#This Row],[Last Price]], "")</f>
        <v/>
      </c>
      <c r="AL48" s="150" t="str">
        <f>IF(AND(SnapshotTable[[#This Row],[Equity Basis Total]] &gt; 0,ISNUMBER( SnapshotTable[[#This Row],[Long Term Target]])), SnapshotTable[[#This Row],[From Basis $]] / SnapshotTable[[#This Row],[Equity Basis Total]], "")</f>
        <v/>
      </c>
      <c r="AM48" s="9">
        <f>IF( AND(SnapshotTable[[#This Row],[Equity Shares]] &gt;0,ISNUMBER( SnapshotTable[[#This Row],[Long Term Target]])),(SnapshotTable[[#This Row],[Equity Shares]] * SnapshotTable[[#This Row],[Long Term Target]]) - SnapshotTable[[#This Row],[Equity Basis Total]],0)</f>
        <v>0</v>
      </c>
      <c r="AN48" s="9">
        <f>IF( AND(SnapshotTable[[#This Row],[Equity Shares]] &gt;0,ISNUMBER( SnapshotTable[[#This Row],[Long Term Target]])),(SnapshotTable[[#This Row],[Equity Shares]]*SnapshotTable[[#This Row],[Long Term Target]]) - SnapshotTable[[#This Row],[Equity Value]],0)</f>
        <v>0</v>
      </c>
      <c r="AO48" s="150">
        <f>IF(AND(ISNUMBER( SnapshotTable[[#This Row],[Long Term Target]]), ISNUMBER(SnapshotTable[[#This Row],[Last Price]])),(SnapshotTable[[#This Row],[Long Term Target]] - SnapshotTable[[#This Row],[Last Price]]) / SnapshotTable[[#This Row],[Last Price]], "")</f>
        <v>1.7576355525051475</v>
      </c>
      <c r="AP48" s="5">
        <v>180</v>
      </c>
      <c r="AQ48" s="38" t="s">
        <v>16</v>
      </c>
      <c r="AR48" s="5"/>
      <c r="AS48" s="38" t="s">
        <v>22</v>
      </c>
      <c r="AT48" s="144"/>
      <c r="AU48" s="185" t="str">
        <f>IF(OR(SnapshotTable[[#This Row],[LP No Fill]]="Y",SnapshotTable[[#This Row],[SP Is Filled]],SnapshotTable[[#This Row],[LC Not Filled]]="Y",SnapshotTable[[#This Row],[SC Is Filled]]),"Y","")</f>
        <v/>
      </c>
      <c r="AV48" s="205"/>
      <c r="AW48" s="211"/>
      <c r="AX48" s="206"/>
      <c r="AY48" s="205" t="str">
        <f>IF(SnapshotTable[[#This Row],[Implied Move]]&gt;0, SnapshotTable[[#This Row],[Last Price]]-SnapshotTable[[#This Row],[Implied Move]],"")</f>
        <v/>
      </c>
      <c r="AZ48" s="205" t="str">
        <f>IF(SnapshotTable[[#This Row],[Implied Move]]&gt;0, SnapshotTable[[#This Row],[Last Price]] + SnapshotTable[[#This Row],[Implied Move]],"")</f>
        <v/>
      </c>
      <c r="BA48" s="302">
        <v>124.8</v>
      </c>
      <c r="BB48" s="367"/>
      <c r="BC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8" s="321"/>
      <c r="BE48" s="5"/>
      <c r="BF48" s="14"/>
      <c r="BG48" s="13"/>
      <c r="BH48" s="13"/>
      <c r="BI48" s="5"/>
      <c r="BJ48" s="134">
        <f>IF(SnapshotTable[[#This Row],[LP Qty]] &gt; 0, SnapshotTable[[#This Row],[LP Qty]] * SnapshotTable[[#This Row],[LP Book Price]] * 100,0)</f>
        <v>0</v>
      </c>
      <c r="BK48" s="134">
        <f>IF(SnapshotTable[[#This Row],[LP Premium]] &gt; 0, SnapshotTable[[#This Row],[LP Qty]] * SnapshotTable[[#This Row],[LP Strike Price]] * 100,0)</f>
        <v>0</v>
      </c>
      <c r="BL48" s="152"/>
      <c r="BM48" s="355" t="str">
        <f>IF(SnapshotTable[[#This Row],[LP Premium]] &gt; 0,SnapshotTable[[#This Row],[LP Exp Date]]-MAX(SnapshotTable[[#This Row],[LP Book Date]], SnapshotTable[[#This Row],[LP Fill Date]]),"")</f>
        <v/>
      </c>
      <c r="BN48" s="355" t="str">
        <f>IF(ISNUMBER( SnapshotTable[[#This Row],[LP Term]]), SnapshotTable[[#This Row],[LP Exp Date]] - MockToday,"")</f>
        <v/>
      </c>
      <c r="BO48" s="161" t="str">
        <f>IF(AND(SnapshotTable[[#This Row],[LP Exp Date]]&gt;0, SnapshotTable[[#This Row],[LP Strike Price]]&gt;0,SnapshotTable[[#This Row],[LP Qty]]&gt;0,SnapshotTable[[#This Row],[LP Book Date]]&gt;0,SnapshotTable[[#This Row],[LP Book Price]]&gt;0,SnapshotTable[[#This Row],[LP Fill Date]]=0),"Y","")</f>
        <v/>
      </c>
      <c r="BP48" s="31" t="str">
        <f>IF(AND(SnapshotTable[[#This Row],[LP No Fill]]&lt;&gt;"Y",SnapshotTable[[#This Row],[LP Contract Value]]&gt;0, SnapshotTable[[#This Row],[LP Qty]]&gt;0), SnapshotTable[[#This Row],[LP Contract Value]]*SnapshotTable[[#This Row],[LP Qty]]*100,"")</f>
        <v/>
      </c>
      <c r="BQ48" s="13"/>
      <c r="BR48" s="5"/>
      <c r="BS48" s="36"/>
      <c r="BT48" s="145"/>
      <c r="BU48" s="13"/>
      <c r="BV48" s="5"/>
      <c r="BW48" s="382" t="b">
        <f>AND(ISNUMBER(SnapshotTable[[#This Row],[SP Exp Date]]), ISNUMBER(SnapshotTable[[#This Row],[SP Strike Price]]), ISNUMBER(SnapshotTable[[#This Row],[SP Qty]]), ISNUMBER(SnapshotTable[[#This Row],[SP Book Date]]), ISNUMBER(SnapshotTable[[#This Row],[SP Book Price]]))</f>
        <v>0</v>
      </c>
      <c r="BX48" s="382" t="b">
        <f>AND(SnapshotTable[[#This Row],[SP Is Booked]], NOT(ISBLANK(SnapshotTable[[#This Row],[SP Fill Date]])))</f>
        <v>0</v>
      </c>
      <c r="BY48" s="33">
        <f>IF(SnapshotTable[[#This Row],[SP Is Booked]], SnapshotTable[[#This Row],[SP Qty]] * SnapshotTable[[#This Row],[SP Book Price]] * 100, 0)</f>
        <v>0</v>
      </c>
      <c r="BZ48" s="339"/>
      <c r="CA48" s="338">
        <f>SnapshotTable[[#This Row],[LP Qty]]</f>
        <v>0</v>
      </c>
      <c r="CB48" s="4" t="str">
        <f>IF(SnapshotTable[[#This Row],[SP Is Booked]], SnapshotTable[[#This Row],[SP Strike Price]] - SnapshotTable[[#This Row],[SP Book Price]], "")</f>
        <v/>
      </c>
      <c r="CC48" s="19" t="str">
        <f>IF(SnapshotTable[[#This Row],[SP Is Booked]],SnapshotTable[[#This Row],[SP Exp Date]]-MAX(SnapshotTable[[#This Row],[SP Book Date]], SnapshotTable[[#This Row],[SP Fill Date]]),"")</f>
        <v/>
      </c>
      <c r="CD48" s="7" t="str">
        <f>IF(SnapshotTable[[#This Row],[SP Is Booked]], SnapshotTable[[#This Row],[SP Book Price]]/SnapshotTable[[#This Row],[SP Strike Price]], "")</f>
        <v/>
      </c>
      <c r="CE48" s="7" t="str">
        <f>IF(ISNUMBER(SnapshotTable[[#This Row],[SP ROO Term]]),SnapshotTable[[#This Row],[SP ROO Term]]*(365/SnapshotTable[[#This Row],[SP Term]]),"")</f>
        <v/>
      </c>
      <c r="CF48" s="221">
        <f>SnapshotTable[[#This Row],[LP Strike Price]] * SnapshotTable[[#This Row],[LP Qty]] * 100</f>
        <v>0</v>
      </c>
      <c r="CG48" s="31">
        <f>IF(ISNUMBER(SnapshotTable[[#This Row],[SP Premium]]), (SnapshotTable[[#This Row],[SP Qty]] * SnapshotTable[[#This Row],[SP Strike Price]]* 100) - SnapshotTable[[#This Row],[LP Protection]], 0)</f>
        <v>0</v>
      </c>
      <c r="CH48" s="7" t="str">
        <f>IF(ISNUMBER(SnapshotTable[[#This Row],[SP Break Even]]),-1 * (SnapshotTable[[#This Row],[SP Break Even]] - SnapshotTable[[#This Row],[Last Price]]) / SnapshotTable[[#This Row],[Last Price]], "")</f>
        <v/>
      </c>
      <c r="CI48" s="31">
        <f>IF(AND(ISNUMBER((SnapshotTable[[#This Row],[SP Potential Spend]])), SnapshotTable[[#This Row],[SP Strike Price]] &gt; SnapshotTable[[#This Row],[Last Price]], SnapshotTable[[#This Row],[SP Is Filled]]), SnapshotTable[[#This Row],[SP Potential Spend]] -  SnapshotTable[[#This Row],[LP Max Value]], 0)</f>
        <v>0</v>
      </c>
      <c r="CJ48" s="229">
        <v>0.5</v>
      </c>
      <c r="CK48" s="31">
        <f>IF(ISNUMBER(SnapshotTable[[#This Row],[SP Potential Spend]]),IF(ISNUMBER(SnapshotTable[[#This Row],[SP POW]]), SnapshotTable[[#This Row],[SP POW]] * SnapshotTable[[#This Row],[SP Potential Spend]], SnapshotTable[[#This Row],[SP Potential Spend]]), "")</f>
        <v>0</v>
      </c>
      <c r="CL48" s="162">
        <f>IF(NOT(SnapshotTable[[#This Row],[SP Is Filled]]),(SnapshotTable[[#This Row],[SP Qty]] * SnapshotTable[[#This Row],[SP Strike Price]] * 100) - SnapshotTable[[#This Row],[LP Max Value]],"")</f>
        <v>0</v>
      </c>
      <c r="CM48" s="31" t="str">
        <f>IF(SnapshotTable[[#This Row],[SP Actual Spend]]&lt;&gt;0, ((SnapshotTable[[#This Row],[SP Strike Price]]-SnapshotTable[[#This Row],[Last Price]]) *(SnapshotTable[[#This Row],[SP Qty]]*100) - SnapshotTable[[#This Row],[SP Premium]]) * - 1, "")</f>
        <v/>
      </c>
      <c r="CN48" s="76"/>
      <c r="CO48" s="339"/>
      <c r="CP48" s="4" t="str">
        <f>IF(SnapshotTable[[#This Row],[SP Is Filled]], btc_max_buyback_amount(SnapshotTable[[#This Row],[SP Fill Date]],SnapshotTable[[#This Row],[SP Exp Date]], SnapshotTable[[#This Row],[SP Book Price]]),"")</f>
        <v/>
      </c>
      <c r="CQ48" s="76"/>
      <c r="CR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8" s="153" t="str">
        <f>IF(SnapshotTable[[#This Row],[SP Is Filled]], btc_next_cutoff_date(SnapshotTable[[#This Row],[SP Fill Date]],SnapshotTable[[#This Row],[SP Exp Date]]),"")</f>
        <v/>
      </c>
      <c r="CT48" s="220" t="str" cm="1">
        <f t="array" ref="CT48">IF(SnapshotTable[[#This Row],[SP Is Filled]], btc_should_buy_back(SnapshotTable[[#This Row],[SP Fill Date]], SnapshotTable[[#This Row],[SP Exp Date]], SnapshotTable[[#This Row],[SP Book Price]], SnapshotTable[[#This Row],[SP Current Ask]], MockToday, SnapshotTable[[#This Row],[SP Buyback Override]]),"")</f>
        <v/>
      </c>
      <c r="CU48" s="141"/>
      <c r="CV48" s="220"/>
      <c r="CW48" s="348" t="str">
        <f>IF(ISNUMBER( SnapshotTable[[#This Row],[SP Term]]), SnapshotTable[[#This Row],[SP Exp Date]] - MockToday,"")</f>
        <v/>
      </c>
      <c r="CX48" s="31" t="str">
        <f>IF(SnapshotTable[[#This Row],[SP Is Filled]],SnapshotTable[[#This Row],[SP Buyback Price to Use]] * 100 * SnapshotTable[[#This Row],[SP Qty]], "")</f>
        <v/>
      </c>
      <c r="CY48" s="4" t="str">
        <f>IF(ISNUMBER(SnapshotTable[[#This Row],[SP Strike Price]]), SnapshotTable[[#This Row],[SP Strike Price]] * (1 - SP_MaxLoss_StrikePct), "")</f>
        <v/>
      </c>
      <c r="CZ48" s="31" t="str">
        <f>IF(ISNUMBER(SnapshotTable[[#This Row],[SP Strike  Stop Per Share]]),SnapshotTable[[#This Row],[SP Premium]] - ((SnapshotTable[[#This Row],[SP Strike Price]]-SnapshotTable[[#This Row],[SP Strike  Stop Per Share]]) *(SnapshotTable[[#This Row],[SP Qty]] * 100)),"")</f>
        <v/>
      </c>
      <c r="DA48" s="4" t="str">
        <f>IF(AND(ISNUMBER(SnapshotTable[[#This Row],[SP Premium]]),SnapshotTable[[#This Row],[SP Premium]]&gt;0), SnapshotTable[[#This Row],[SP Book Price]] * (1 + SP_MaxLoss_OptionPct), "")</f>
        <v/>
      </c>
      <c r="DB48" s="31" t="str">
        <f>IF(ISNUMBER(SnapshotTable[[#This Row],[SP Option  Stop Contract]]),(SnapshotTable[[#This Row],[SP Option  Stop Contract]] *(SnapshotTable[[#This Row],[SP Qty]] * 100) - SnapshotTable[[#This Row],[SP Premium]]),"")</f>
        <v/>
      </c>
      <c r="DC48" s="4"/>
      <c r="DD48" s="4"/>
      <c r="DE48" s="4" t="str">
        <f>IF(AND(SnapshotTable[[#This Row],[SP Qty]]&gt;0, SnapshotTable[[#This Row],[SP Stop To Use]]&gt;0),SnapshotTable[[#This Row],[SP Premium]] - ( SnapshotTable[[#This Row],[SP Qty]] * SnapshotTable[[#This Row],[SP Stop To Use]] * 100), "")</f>
        <v/>
      </c>
      <c r="DF48" s="31" t="str">
        <f>IF(AND(SnapshotTable[[#This Row],[SP Qty]]&gt;0,SnapshotTable[[#This Row],[SP Current Ask]]&gt;0), SnapshotTable[[#This Row],[SP Qty]] * SnapshotTable[[#This Row],[SP Current Ask]] * -100, "")</f>
        <v/>
      </c>
      <c r="DG48" s="31" t="str">
        <f>IF(ISNUMBER((SnapshotTable[[#This Row],[SP Total Value]])), SnapshotTable[[#This Row],[SP Premium]] + SnapshotTable[[#This Row],[SP Total Value]], "")</f>
        <v/>
      </c>
      <c r="DH48" s="272" t="str">
        <f>IF(ISNUMBER((SnapshotTable[[#This Row],[SP Total Value]])), SnapshotTable[[#This Row],[SP Gain Loss]] / SnapshotTable[[#This Row],[SP Premium]], "")</f>
        <v/>
      </c>
      <c r="DI48" s="369"/>
      <c r="DJ48" s="136"/>
      <c r="DK48" s="146"/>
      <c r="DL48" s="13"/>
      <c r="DM48" s="13"/>
      <c r="DN48" s="5"/>
      <c r="DO48" s="31">
        <f>IF(SnapshotTable[[#This Row],[LC Symbol Count]]=1, SnapshotTable[[#This Row],[LC Qty]] * SnapshotTable[[#This Row],[LC Book Price]] * 100, 0)</f>
        <v>0</v>
      </c>
      <c r="DP48" s="161" t="str">
        <f>IF(AND(SnapshotTable[[#This Row],[LC Exp Date]]&gt;0, SnapshotTable[[#This Row],[LC Strike Price]]&gt;0,SnapshotTable[[#This Row],[LC Qty]]&gt;0,SnapshotTable[[#This Row],[LC Book Date]]&gt;0,SnapshotTable[[#This Row],[LC Book Price]]&gt;0,SnapshotTable[[#This Row],[LC Fill Date]]=0),"Y","")</f>
        <v/>
      </c>
      <c r="DQ48" s="356" t="str">
        <f>IF(SnapshotTable[[#This Row],[LC Premium]] &gt; 0,SnapshotTable[[#This Row],[LC Exp Date]]-MAX(SnapshotTable[[#This Row],[LC Book Date]], SnapshotTable[[#This Row],[LC Fill Date]]),"")</f>
        <v/>
      </c>
      <c r="DR48" s="356" t="str">
        <f>IF(ISNUMBER(SnapshotTable[[#This Row],[LC Term]]), SnapshotTable[[#This Row],[LC Exp Date]] - MockToday, "")</f>
        <v/>
      </c>
      <c r="DS48" s="219" t="str">
        <f>IF(SnapshotTable[[#This Row],[LC Premium]]&gt;0,SnapshotTable[[#This Row],[LC Strike Price]] + SnapshotTable[[#This Row],[LC Book Price]],"")</f>
        <v/>
      </c>
      <c r="DT48" s="5"/>
      <c r="DU48" s="9" t="str">
        <f>IF(AND(SnapshotTable[[#This Row],[LC Symbol Count]]&gt;0, SnapshotTable[[#This Row],[LC Contract Value]]&gt;0), SnapshotTable[[#This Row],[LC Contract Value]] * SnapshotTable[[#This Row],[LC Qty]] * 100, "")</f>
        <v/>
      </c>
      <c r="DV48" s="9" t="str">
        <f>IF(AND(ISNUMBER(SnapshotTable[[#This Row],[LC Total Value]]), SnapshotTable[[#This Row],[LC Not Filled]]&lt;&gt;"Y"), SnapshotTable[[#This Row],[LC Total Value]]-SnapshotTable[[#This Row],[LC Premium]],"")</f>
        <v/>
      </c>
      <c r="DW48" s="225" t="str">
        <f>IF(ISNUMBER(SnapshotTable[[#This Row],[LC Actual Gain Loss]]), SnapshotTable[[#This Row],[LC Actual Gain Loss]] / SnapshotTable[[#This Row],[LC Premium]],"")</f>
        <v/>
      </c>
      <c r="DX48" s="269" t="str">
        <f>IF(ISNUMBER(SnapshotTable[[#This Row],[LC Book Price]]),SnapshotTable[[#This Row],[LC Book Price]] * 1.5,"")</f>
        <v/>
      </c>
      <c r="DY48" s="250" t="str">
        <f>IF(SnapshotTable[[#This Row],[LC Premium]]&gt;0, SnapshotTable[[#This Row],[LC Next Target]] * SnapshotTable[[#This Row],[LC Qty]] * 100,"")</f>
        <v/>
      </c>
      <c r="DZ48" s="250" t="str">
        <f>IF(ISNUMBER(SnapshotTable[[#This Row],[LC Target Gross]]), SnapshotTable[[#This Row],[LC Target Gross]] - SnapshotTable[[#This Row],[LC Premium]], "")</f>
        <v/>
      </c>
      <c r="EA48" s="283" t="str">
        <f>IF(ISNUMBER(SnapshotTable[[#This Row],[LC Target Gain Loss]]), SnapshotTable[[#This Row],[LC Target Gain Loss]]/SnapshotTable[[#This Row],[LC Premium]], "")</f>
        <v/>
      </c>
      <c r="EB48" s="247"/>
      <c r="EC48" s="268" t="str">
        <f>IF(SnapshotTable[[#This Row],[LC Premium]]&gt;0, SnapshotTable[[#This Row],[LC Book Price]] * (1 - LC_StopLoss_Pct),"")</f>
        <v/>
      </c>
      <c r="ED48" s="269"/>
      <c r="EE48" s="268" t="str">
        <f>IF(ISNUMBER(SnapshotTable[[#This Row],[LC Contract Value]]),IF(ISNUMBER(SnapshotTable[[#This Row],[LC Stop Loss Override]]), SnapshotTable[[#This Row],[LC Stop Loss Override]],SnapshotTable[[#This Row],[LC Stop Loss Calc Target]]),"")</f>
        <v/>
      </c>
      <c r="EF48" s="31" t="str">
        <f>IF(ISNUMBER(SnapshotTable[[#This Row],[LC Stop  To Use]]), (SnapshotTable[[#This Row],[LC Stop  To Use]] * SnapshotTable[[#This Row],[LC Qty]] * 100),"")</f>
        <v/>
      </c>
      <c r="EG48" s="9" t="str">
        <f>IF(ISNUMBER(SnapshotTable[[#This Row],[LC Total Value]]),SnapshotTable[[#This Row],[LC Stop Loss Amount]] - SnapshotTable[[#This Row],[LC Premium]],"")</f>
        <v/>
      </c>
      <c r="EH48" s="9">
        <f>IF(ISNUMBER(SnapshotTable[[#This Row],[LC Premium]]), SnapshotTable[[#This Row],[LC Qty]] * 100 * SnapshotTable[[#This Row],[LC Strike Price]], "")</f>
        <v>0</v>
      </c>
      <c r="EI48" s="225" t="str">
        <f>IF(AND(ISNUMBER(SnapshotTable[[#This Row],[LC Total Value]]),SnapshotTable[[#This Row],[LC Total Value]]&gt;0),SnapshotTable[[#This Row],[LC Stop Gain Loss]]  / SnapshotTable[[#This Row],[LC Premium]],"")</f>
        <v/>
      </c>
      <c r="EJ48" s="35">
        <f>IF(ISNUMBER(SnapshotTable[[#This Row],[Equity Shares]]),TRUNC(SnapshotTable[[#This Row],[Equity Shares]] / 100),0) + SnapshotTable[[#This Row],[LC Qty]]</f>
        <v>0</v>
      </c>
      <c r="EK48" s="145"/>
      <c r="EL48" s="136"/>
      <c r="EM48" s="146"/>
      <c r="EN48" s="145"/>
      <c r="EO48" s="145"/>
      <c r="EP48" s="136"/>
      <c r="EQ48" s="382" t="b">
        <f>AND(ISNUMBER(SnapshotTable[[#This Row],[SC Exp Date]]), ISNUMBER(SnapshotTable[[#This Row],[SC Strike Price]]), ISNUMBER(SnapshotTable[[#This Row],[SC Qty]]), ISNUMBER(SnapshotTable[[#This Row],[SC Book Date]]), ISNUMBER(SnapshotTable[[#This Row],[SC Book Price]]))</f>
        <v>0</v>
      </c>
      <c r="ER48" s="382" t="b">
        <f>AND(SnapshotTable[[#This Row],[SC Is Booked]], NOT(ISBLANK(SnapshotTable[[#This Row],[SC Fill Date]])))</f>
        <v>0</v>
      </c>
      <c r="ES48" s="340"/>
      <c r="ET48" s="34" t="str">
        <f>IF(AND(ISNUMBER(SnapshotTable[[#This Row],[SC Exp Date]]), ISNUMBER(SnapshotTable[[#This Row],[SC Book Date]])), SnapshotTable[[#This Row],[SC Exp Date]] - MAX(SnapshotTable[[#This Row],[SC Book Date]], SnapshotTable[[#This Row],[SC Fill Date]]) + 1, "")</f>
        <v/>
      </c>
      <c r="EU48" s="34" t="str">
        <f>IF(ISNUMBER(SnapshotTable[[#This Row],[SC Term]]), SnapshotTable[[#This Row],[SC Exp Date]]- MockToday, "")</f>
        <v/>
      </c>
      <c r="EV48" s="31">
        <f>IF(SnapshotTable[[#This Row],[SC Is Booked]], SnapshotTable[[#This Row],[SC Qty]] * SnapshotTable[[#This Row],[SC Book Price]] * 100, 0)</f>
        <v>0</v>
      </c>
      <c r="EW48" s="4" t="str">
        <f>IF(AND(ISNUMBER(SnapshotTable[[#This Row],[Last Price]]), ISNUMBER( SnapshotTable[[#This Row],[SC Book Price]])), SnapshotTable[[#This Row],[Last Price]] - SnapshotTable[[#This Row],[SC Book Price]],"")</f>
        <v/>
      </c>
      <c r="EX48" s="219" t="str">
        <f>IF(SnapshotTable[[#This Row],[SC Is Booked]],IF(SnapshotTable[[#This Row],[SC Intrinsic Value]] &gt; 0, SnapshotTable[[#This Row],[SC Strike Price]], SnapshotTable[[#This Row],[Last Price]]), "")</f>
        <v/>
      </c>
      <c r="EY48" s="4">
        <f>IF(SnapshotTable[[#This Row],[SC Is Booked]], (MinimumPremiumRequired * SnapshotTable[[#This Row],[SC Basis]] * SnapshotTable[[#This Row],[SC Term]]), 0)</f>
        <v>0</v>
      </c>
      <c r="EZ48" s="268"/>
      <c r="FA48" s="386"/>
      <c r="FB48" s="340">
        <v>0.55000000000000004</v>
      </c>
      <c r="FC48" s="4">
        <f>IF(SnapshotTable[[#This Row],[SC Is Filled]], btc_max_buyback_amount(SnapshotTable[[#This Row],[SC Fill Date]],SnapshotTable[[#This Row],[SC Exp Date]], SnapshotTable[[#This Row],[SC Book Price]]),0)</f>
        <v>0</v>
      </c>
      <c r="FD48" s="5"/>
      <c r="FE48" s="142" t="str">
        <f>IF(SnapshotTable[[#This Row],[SC Is Filled]], btc_next_cutoff_date(SnapshotTable[[#This Row],[SC Fill Date]],SnapshotTable[[#This Row],[SC Exp Date]]),"")</f>
        <v/>
      </c>
      <c r="FF48" s="4" t="str" cm="1">
        <f t="array" ref="FF48">IF(SnapshotTable[[#This Row],[SC Is Filled]], btc_should_buy_back(SnapshotTable[[#This Row],[SC Fill Date]], SnapshotTable[[#This Row],[SC Exp Date]], SnapshotTable[[#This Row],[SC Book Price]], SnapshotTable[[#This Row],[SC Current Ask]], MockToday, SnapshotTable[[#This Row],[SC Buyback Override]]),"")</f>
        <v/>
      </c>
      <c r="FG48" s="4">
        <f>IF(SnapshotTable[[#This Row],[SC Is Filled]], MAX(0,SnapshotTable[[#This Row],[Last Price]]  - SnapshotTable[[#This Row],[SC Strike Price]]), 0)</f>
        <v>0</v>
      </c>
      <c r="FH48" s="352">
        <f>IF(SnapshotTable[[#This Row],[SC Is Filled]], IF(ISNUMBER(SnapshotTable[[#This Row],[SC Current Ask]]), SnapshotTable[[#This Row],[SC Current Ask]], SnapshotTable[[#This Row],[SC Book Price]]) - SnapshotTable[[#This Row],[SC Intrinsic Value]], 0)</f>
        <v>0</v>
      </c>
      <c r="FI48" s="141"/>
      <c r="FJ48" s="32" t="str">
        <f>IF(SnapshotTable[[#This Row],[SC Is Filled]],100 * SnapshotTable[[#This Row],[SC Qty]] * IF(ISNUMBER(SnapshotTable[[#This Row],[SC Buyback Override]]), SnapshotTable[[#This Row],[SC Buyback Override]], SnapshotTable[[#This Row],[SC Current Ask]]), "")</f>
        <v/>
      </c>
      <c r="FK48" s="235" t="str">
        <f>IF(SnapshotTable[[#This Row],[SC Time Val]]&gt;0, SnapshotTable[[#This Row],[SC Time Val]] / SnapshotTable[[#This Row],[Last Price]],"")</f>
        <v/>
      </c>
      <c r="FL48" s="280" t="str">
        <f>IF(SnapshotTable[[#This Row],[SC Is Booked]], ((SnapshotTable[[#This Row],[Last Price]] -SnapshotTable[[#This Row],[SC Strike Price]]) / SnapshotTable[[#This Row],[Last Price]]) * -1, "")</f>
        <v/>
      </c>
      <c r="FM48" s="155" t="str">
        <f>IF(SnapshotTable[[#This Row],[SC Is Booked]],  (SnapshotTable[[#This Row],[SC Qty]] * 100 * SnapshotTable[[#This Row],[SC Strike Price]]) - SnapshotTable[[#This Row],[SC Current Ask]], "")</f>
        <v/>
      </c>
      <c r="FN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8" s="31" t="str">
        <f>IF(AND(ISNUMBER(SnapshotTable[[#This Row],[SC Exercise Gross]]), ISNUMBER(SnapshotTable[[#This Row],[Equity Basis Per Share]] )), SnapshotTable[[#This Row],[SC Exercise Gross]] - SnapshotTable[[#This Row],[Equity Basis Total]] +  SnapshotTable[[#This Row],[SC Premium]], "")</f>
        <v/>
      </c>
      <c r="FP48" s="5" t="str">
        <f>IF(ISNUMBER(SnapshotTable[[#This Row],[SC Exercise Gross]]), (SnapshotTable[[#This Row],[SC Exercise Gross]]) / (SnapshotTable[[#This Row],[SC Qty]] * 100), "")</f>
        <v/>
      </c>
      <c r="FQ48" s="27" t="str">
        <f>IF(SnapshotTable[[#This Row],[SC Is Booked]],SnapshotTable[[#This Row],[SC Time Val]] /SnapshotTable[[#This Row],[SC Basis]], "")</f>
        <v/>
      </c>
      <c r="FR48" s="27" t="str" cm="1">
        <f t="array" ref="FR48">IF(AND(ISNUMBER(SnapshotTable[[#This Row],[SC Term]]),ISNUMBER(SnapshotTable[[#This Row],[SC Simple ROO]])), EllmanAnnualize(SnapshotTable[[#This Row],[SC DTE]], SnapshotTable[[#This Row],[SC Simple ROO]] ),"")</f>
        <v/>
      </c>
      <c r="FS48" s="4">
        <f>IF(SnapshotTable[[#This Row],[SC Strike Price]] &gt; SnapshotTable[[#This Row],[Last Price]], SnapshotTable[[#This Row],[SC Strike Price]] - SnapshotTable[[#This Row],[Last Price]],0)</f>
        <v>0</v>
      </c>
      <c r="FT48" s="27" t="str">
        <f>IF(AND(ISNUMBER(SnapshotTable[[#This Row],[SC Upside Potential]]), SnapshotTable[[#This Row],[SC Upside Potential]] &gt; 0),(SnapshotTable[[#This Row],[SC Upside Potential]]/ SnapshotTable[[#This Row],[ACB]]),"")</f>
        <v/>
      </c>
      <c r="FU48" s="304" t="str">
        <f>IF(SnapshotTable[[#This Row],[SC Intrinsic Value]] &gt; 0,SnapshotTable[[#This Row],[SC Intrinsic Value]],"")</f>
        <v/>
      </c>
      <c r="FV48" s="27" t="str">
        <f>IF(AND( ISNUMBER( SnapshotTable[[#This Row],[ACB]]),ISNUMBER(SnapshotTable[[#This Row],[SC Downside Protect]])),SnapshotTable[[#This Row],[SC Downside Protect]] / SnapshotTable[[#This Row],[ACB]],"")</f>
        <v/>
      </c>
      <c r="FW48" s="221" t="str">
        <f>IF(AND(ISNUMBER(SnapshotTable[[#This Row],[SC Simple ROO]]),SnapshotTable[[#This Row],[SC Simple ROO]] &gt; 0), SnapshotTable[[#This Row],[SC Premium]] + (SnapshotTable[[#This Row],[SC Qty]] * SnapshotTable[[#This Row],[SC Upside Potential]]), "")</f>
        <v/>
      </c>
      <c r="FX48" s="280" t="str" cm="1">
        <f t="array" ref="FX48">IF(ISNUMBER(SnapshotTable[[#This Row],[SC Max Dollars]]), annualize(SnapshotTable[[#This Row],[SC Term]],(SnapshotTable[[#This Row],[SC Max Dollars]]/SnapshotTable[[#This Row],[SC Basis]])),"")</f>
        <v/>
      </c>
      <c r="FY48" s="221" t="str">
        <f>IF(AND(SnapshotTable[[#This Row],[SC Qty]]&gt;0,SnapshotTable[[#This Row],[SC Current Ask]]&gt;0), SnapshotTable[[#This Row],[SC Qty]] * SnapshotTable[[#This Row],[SC Current Ask]] * -100, "")</f>
        <v/>
      </c>
      <c r="FZ48" s="31" t="str">
        <f>IF(ISNUMBER((SnapshotTable[[#This Row],[SC Current Value]])), SnapshotTable[[#This Row],[SC Premium]] + SnapshotTable[[#This Row],[SC Current Value]], "")</f>
        <v/>
      </c>
      <c r="GA48" s="272" t="str">
        <f>IFERROR( IF(ISNUMBER((SnapshotTable[[#This Row],[SC Current Value]])), SnapshotTable[[#This Row],[SC Gain Loss]] / SnapshotTable[[#This Row],[SC Premium]], ""), "")</f>
        <v/>
      </c>
      <c r="GB48" s="42">
        <f>SnapshotTable[[#This Row],[Equity Shares]] * SaleSharesToConsiderPercentage</f>
        <v>0</v>
      </c>
      <c r="GC48" s="40">
        <f>SnapshotTable[[#This Row],[Long Term Target]] * SellingPriceToConsiderBasedOnTargetPercentage</f>
        <v>305.35849999999999</v>
      </c>
      <c r="GD48" s="40">
        <f>SnapshotTable[[#This Row],[Last Price]] * (1+ SellingPriceToConsiderBasedOnTargetPercentage)</f>
        <v>227.292</v>
      </c>
      <c r="GE48" s="41"/>
      <c r="GF48" s="40"/>
      <c r="GG48" s="31">
        <f>SnapshotTable[[#This Row],[Booked Sale Shares]] * SnapshotTable[[#This Row],[Booked Sale Price]]</f>
        <v>0</v>
      </c>
      <c r="GH48" s="31" t="str">
        <f>IF(SnapshotTable[[#This Row],[Equity Basis Total]] &gt; 0, SnapshotTable[[#This Row],[Equity Basis Per Share]] * SnapshotTable[[#This Row],[Booked Sale Shares]], "")</f>
        <v/>
      </c>
      <c r="GI48" s="31">
        <f>IF(SnapshotTable[[#This Row],[Sale Proceeds]]&gt;0, SnapshotTable[[#This Row],[Sale Proceeds]] - SnapshotTable[[#This Row],[Sale Basis]], 0)</f>
        <v>0</v>
      </c>
      <c r="GJ48" s="27" t="str">
        <f>IF(SnapshotTable[[#This Row],[Sale G/L]]&gt;0, SnapshotTable[[#This Row],[Sale G/L]] / SnapshotTable[[#This Row],[Sale Basis]], IF(ISNUMBER(SnapshotTable[[#This Row],[SC Exercise P&amp;L (TAX)]]), SnapshotTable[[#This Row],[SC Exercise P&amp;L (TAX)]] / SnapshotTable[[#This Row],[SC Basis]], ""))</f>
        <v/>
      </c>
      <c r="GK48" s="27" t="s">
        <v>524</v>
      </c>
      <c r="GL48" s="43" t="str">
        <f>IF(AND(SnapshotTable[[#This Row],[LP Exp Date]]&gt;0,SnapshotTable[[#This Row],[LP Strike Price]]&gt;0), [1]!ToOptionSymbol(SnapshotTable[[#This Row],[Symbol]], SnapshotTable[[#This Row],[LP Strike Price]],SnapshotTable[[#This Row],[LP Exp Date]],1), "")</f>
        <v/>
      </c>
      <c r="GM48" s="30" t="str">
        <f>IF(LEN(SnapshotTable[[#This Row],[LP Symbol]])&gt;0, 1, "")</f>
        <v/>
      </c>
      <c r="GN48" s="43" t="str">
        <f>IF(AND(SnapshotTable[[#This Row],[SP Exp Date]]&gt;0,SnapshotTable[[#This Row],[SP Strike Price]]&gt;0), [1]!ToOptionSymbol(SnapshotTable[[#This Row],[Symbol]], SnapshotTable[[#This Row],[SP Strike Price]],SnapshotTable[[#This Row],[SP Exp Date]],1), "")</f>
        <v/>
      </c>
      <c r="GO48" s="30" t="str">
        <f>IF(LEN(SnapshotTable[[#This Row],[SP Symbol]])&gt;0, 1, "")</f>
        <v/>
      </c>
      <c r="GP48" s="43" t="str">
        <f>IF(AND(SnapshotTable[[#This Row],[LC Exp Date]]&gt;0,SnapshotTable[[#This Row],[LC Strike Price]]&gt;0), [1]!ToOptionSymbol(SnapshotTable[[#This Row],[Symbol]], SnapshotTable[[#This Row],[LC Strike Price]],SnapshotTable[[#This Row],[LC Exp Date]],0), "")</f>
        <v/>
      </c>
      <c r="GQ48" s="30" t="str">
        <f>IF(LEN(SnapshotTable[[#This Row],[LC Symbol]])&gt;0, 1, "")</f>
        <v/>
      </c>
      <c r="GR48" s="43" t="str">
        <f>IF(AND(SnapshotTable[[#This Row],[SC Exp Date]]&gt;0,SnapshotTable[[#This Row],[SC Strike Price]]&gt;0), [1]!ToOptionSymbol(SnapshotTable[[#This Row],[Symbol]], SnapshotTable[[#This Row],[SC Strike Price]],SnapshotTable[[#This Row],[SC Exp Date]],0), "")</f>
        <v/>
      </c>
      <c r="GS48" s="30" t="str">
        <f>IF(LEN(SnapshotTable[[#This Row],[SC Symbol]])&gt;0, 1, "")</f>
        <v/>
      </c>
      <c r="GT48" s="29" t="str">
        <f>IF(COUNT(SnapshotTable[[#This Row],[LP Symbol Count]],SnapshotTable[[#This Row],[SP Symbol Count]],SnapshotTable[[#This Row],[LC Symbol Count]],SnapshotTable[[#This Row],[SC Symbol Count]])&gt;0, "Y", "")</f>
        <v/>
      </c>
      <c r="GU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8" s="216">
        <f>MAX(SnapshotTable[[#This Row],[Equity Basis Total]],SnapshotTable[[#This Row],[Equity Value]]) + (SnapshotTable[[#This Row],[SP Potential Spend]]- SnapshotTable[[#This Row],[SP Premium]] + SnapshotTable[[#This Row],[LP Premium]])+ (SnapshotTable[[#This Row],[LC Premium]] - SnapshotTable[[#This Row],[SC Premium]])</f>
        <v>0</v>
      </c>
      <c r="GW48" s="137" t="str">
        <f>IF(AND(SnapshotTable[[#This Row],[Exposure]] &lt;&gt; 0),SnapshotTable[[#This Row],[Exposure]] / SnapshotTable[[#Totals],[Exposure]], "")</f>
        <v/>
      </c>
      <c r="GY48" s="351"/>
      <c r="HE48" s="253"/>
      <c r="HF48" s="253"/>
      <c r="HG48" s="351"/>
      <c r="HH48" s="351"/>
      <c r="HI48" s="351"/>
      <c r="HJ48" s="351"/>
    </row>
    <row r="49" spans="2:224" s="45" customFormat="1" ht="12.75" hidden="1" customHeight="1" x14ac:dyDescent="0.25">
      <c r="B49" s="12" t="s">
        <v>70</v>
      </c>
      <c r="C49" s="385">
        <v>61.62</v>
      </c>
      <c r="D49" s="200"/>
      <c r="E49" s="39">
        <f>SnapshotTable[[#This Row],[Last Price]]*(1 -CrashDiscount)</f>
        <v>52.376999999999995</v>
      </c>
      <c r="F49" s="26" t="s">
        <v>736</v>
      </c>
      <c r="G49" s="26" t="s">
        <v>4</v>
      </c>
      <c r="H49" s="147"/>
      <c r="I49" s="186">
        <v>44760.28125</v>
      </c>
      <c r="J49" s="187">
        <v>44760.28125</v>
      </c>
      <c r="K49" s="188"/>
      <c r="L49" s="297"/>
      <c r="M49" s="138"/>
      <c r="N49" s="138"/>
      <c r="O49" s="138">
        <v>1</v>
      </c>
      <c r="P49" s="22"/>
      <c r="Q49" s="25"/>
      <c r="R49" s="4" t="str">
        <f>IF(SnapshotTable[[#This Row],[Equity Basis Total]] &gt; 0, SnapshotTable[[#This Row],[Equity Basis Total]] / SnapshotTable[[#This Row],[Equity Shares]], "")</f>
        <v/>
      </c>
      <c r="S49" s="254">
        <f>SnapshotTable[[#This Row],[Last Price]] * SnapshotTable[[#This Row],[Equity Shares]]</f>
        <v>0</v>
      </c>
      <c r="T49" s="254">
        <f>SnapshotTable[[#This Row],[Equity Value]] - SnapshotTable[[#This Row],[Equity Basis Total]]</f>
        <v>0</v>
      </c>
      <c r="U49" s="255" t="str">
        <f>IF(SnapshotTable[[#This Row],[Equity Basis Total]] &gt; 0, SnapshotTable[[#This Row],[Equity G/L]] / SnapshotTable[[#This Row],[Equity Basis Total]], "")</f>
        <v/>
      </c>
      <c r="V49" s="253"/>
      <c r="W49" s="253"/>
      <c r="X49" s="4" t="str">
        <f>IF(AND(ISNUMBER(SnapshotTable[[#This Row],[Equity Basis Per Share]]),ISNUMBER(SnapshotTable[[#This Row],[Equity Target]])),SnapshotTable[[#This Row],[Equity Target]]-SnapshotTable[[#This Row],[Equity Basis Per Share]],"")</f>
        <v/>
      </c>
      <c r="Y49" s="4" t="str">
        <f>IF(AND(ISNUMBER(SnapshotTable[[#This Row],[Equity Basis Per Share]]),ISNUMBER(SnapshotTable[[#This Row],[Equity Stop Loss]])),SnapshotTable[[#This Row],[Equity Stop Loss]]-SnapshotTable[[#This Row],[Equity Basis Per Share]],"")</f>
        <v/>
      </c>
      <c r="Z49" s="260" t="str">
        <f>IFERROR( TEXT(SnapshotTable[[#This Row],[Equity Max Gain Per Share]] /ABS( SnapshotTable[[#This Row],[Equity Max Loss Per Share]]),"0.0 " ) &amp; " : 1", "")</f>
        <v/>
      </c>
      <c r="AA49" s="31" t="str">
        <f>IF(ISNUMBER(SnapshotTable[[#This Row],[Equity Max Gain Per Share]]),SnapshotTable[[#This Row],[Equity Max Gain Per Share]] * SnapshotTable[[#This Row],[Equity Shares]],"")</f>
        <v/>
      </c>
      <c r="AB49" s="31" t="str">
        <f>IF(ISNUMBER(SnapshotTable[[#This Row],[Equity Max Loss Per Share]]),SnapshotTable[[#This Row],[Equity Max Loss Per Share]] * SnapshotTable[[#This Row],[Equity Shares]],"")</f>
        <v/>
      </c>
      <c r="AC49" s="148">
        <v>0.3</v>
      </c>
      <c r="AD49" s="149">
        <v>42825</v>
      </c>
      <c r="AE49" s="31">
        <f>(SnapshotTable[[#This Row],[Annual Dividend Per Share]] / 4) * SnapshotTable[[#This Row],[Equity Shares]]</f>
        <v>0</v>
      </c>
      <c r="AF49" s="31">
        <f>SnapshotTable[[#This Row],[Quarterly Div $]] * 4</f>
        <v>0</v>
      </c>
      <c r="AG49" s="7">
        <f>IF(SnapshotTable[[#This Row],[Annual Dividend Per Share]]&gt;0, SnapshotTable[[#This Row],[Annual Dividend Per Share]]  / SnapshotTable[[#This Row],[Last Price]], 0)</f>
        <v>4.8685491723466411E-3</v>
      </c>
      <c r="AH49" s="149">
        <v>42794</v>
      </c>
      <c r="AI49" s="5">
        <v>33</v>
      </c>
      <c r="AJ49" s="136">
        <v>36.07</v>
      </c>
      <c r="AK49" s="150">
        <f>IF(ISNUMBER( SnapshotTable[[#This Row],[EBF Target]]),(SnapshotTable[[#This Row],[EBF Target]] - SnapshotTable[[#This Row],[Last Price]]) / SnapshotTable[[#This Row],[Last Price]], "")</f>
        <v>-0.46445959104186951</v>
      </c>
      <c r="AL49" s="150" t="str">
        <f>IF(AND(SnapshotTable[[#This Row],[Equity Basis Total]] &gt; 0,ISNUMBER( SnapshotTable[[#This Row],[Long Term Target]])), SnapshotTable[[#This Row],[From Basis $]] / SnapshotTable[[#This Row],[Equity Basis Total]], "")</f>
        <v/>
      </c>
      <c r="AM49" s="9">
        <f>IF( AND(SnapshotTable[[#This Row],[Equity Shares]] &gt;0,ISNUMBER( SnapshotTable[[#This Row],[Long Term Target]])),(SnapshotTable[[#This Row],[Equity Shares]] * SnapshotTable[[#This Row],[Long Term Target]]) - SnapshotTable[[#This Row],[Equity Basis Total]],0)</f>
        <v>0</v>
      </c>
      <c r="AN49" s="9">
        <f>IF( AND(SnapshotTable[[#This Row],[Equity Shares]] &gt;0,ISNUMBER( SnapshotTable[[#This Row],[Long Term Target]])),(SnapshotTable[[#This Row],[Equity Shares]]*SnapshotTable[[#This Row],[Long Term Target]]) - SnapshotTable[[#This Row],[Equity Value]],0)</f>
        <v>0</v>
      </c>
      <c r="AO49" s="150">
        <f>IF(AND(ISNUMBER( SnapshotTable[[#This Row],[Long Term Target]]), ISNUMBER(SnapshotTable[[#This Row],[Last Price]])),(SnapshotTable[[#This Row],[Long Term Target]] - SnapshotTable[[#This Row],[Last Price]]) / SnapshotTable[[#This Row],[Last Price]], "")</f>
        <v>-0.41463810451152222</v>
      </c>
      <c r="AP49" s="5">
        <v>29.5</v>
      </c>
      <c r="AQ49" s="38" t="s">
        <v>22</v>
      </c>
      <c r="AR49" s="5"/>
      <c r="AS49" s="38" t="s">
        <v>15</v>
      </c>
      <c r="AT49" s="144"/>
      <c r="AU49" s="185" t="str">
        <f>IF(OR(SnapshotTable[[#This Row],[LP No Fill]]="Y",SnapshotTable[[#This Row],[SP Is Filled]],SnapshotTable[[#This Row],[LC Not Filled]]="Y",SnapshotTable[[#This Row],[SC Is Filled]]),"Y","")</f>
        <v/>
      </c>
      <c r="AV49" s="205"/>
      <c r="AW49" s="211"/>
      <c r="AX49" s="206"/>
      <c r="AY49" s="205" t="str">
        <f>IF(SnapshotTable[[#This Row],[Implied Move]]&gt;0, SnapshotTable[[#This Row],[Last Price]]-SnapshotTable[[#This Row],[Implied Move]],"")</f>
        <v/>
      </c>
      <c r="AZ49" s="205" t="str">
        <f>IF(SnapshotTable[[#This Row],[Implied Move]]&gt;0, SnapshotTable[[#This Row],[Last Price]] + SnapshotTable[[#This Row],[Implied Move]],"")</f>
        <v/>
      </c>
      <c r="BA49" s="302">
        <v>29.5</v>
      </c>
      <c r="BB49" s="318"/>
      <c r="BC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49" s="321"/>
      <c r="BE49" s="5"/>
      <c r="BF49" s="14"/>
      <c r="BG49" s="13"/>
      <c r="BH49" s="13"/>
      <c r="BI49" s="5"/>
      <c r="BJ49" s="134">
        <f>IF(SnapshotTable[[#This Row],[LP Qty]] &gt; 0, SnapshotTable[[#This Row],[LP Qty]] * SnapshotTable[[#This Row],[LP Book Price]] * 100,0)</f>
        <v>0</v>
      </c>
      <c r="BK49" s="134">
        <f>IF(SnapshotTable[[#This Row],[LP Premium]] &gt; 0, SnapshotTable[[#This Row],[LP Qty]] * SnapshotTable[[#This Row],[LP Strike Price]] * 100,0)</f>
        <v>0</v>
      </c>
      <c r="BL49" s="152"/>
      <c r="BM49" s="355" t="str">
        <f>IF(SnapshotTable[[#This Row],[LP Premium]] &gt; 0,SnapshotTable[[#This Row],[LP Exp Date]]-MAX(SnapshotTable[[#This Row],[LP Book Date]], SnapshotTable[[#This Row],[LP Fill Date]]),"")</f>
        <v/>
      </c>
      <c r="BN49" s="355" t="str">
        <f>IF(ISNUMBER( SnapshotTable[[#This Row],[LP Term]]), SnapshotTable[[#This Row],[LP Exp Date]] - MockToday,"")</f>
        <v/>
      </c>
      <c r="BO49" s="161" t="str">
        <f>IF(AND(SnapshotTable[[#This Row],[LP Exp Date]]&gt;0, SnapshotTable[[#This Row],[LP Strike Price]]&gt;0,SnapshotTable[[#This Row],[LP Qty]]&gt;0,SnapshotTable[[#This Row],[LP Book Date]]&gt;0,SnapshotTable[[#This Row],[LP Book Price]]&gt;0,SnapshotTable[[#This Row],[LP Fill Date]]=0),"Y","")</f>
        <v/>
      </c>
      <c r="BP49" s="31" t="str">
        <f>IF(AND(SnapshotTable[[#This Row],[LP No Fill]]&lt;&gt;"Y",SnapshotTable[[#This Row],[LP Contract Value]]&gt;0, SnapshotTable[[#This Row],[LP Qty]]&gt;0), SnapshotTable[[#This Row],[LP Contract Value]]*SnapshotTable[[#This Row],[LP Qty]]*100,"")</f>
        <v/>
      </c>
      <c r="BQ49" s="13"/>
      <c r="BR49" s="5"/>
      <c r="BS49" s="36"/>
      <c r="BT49" s="145"/>
      <c r="BU49" s="13"/>
      <c r="BV49" s="5"/>
      <c r="BW49" s="382" t="b">
        <f>AND(ISNUMBER(SnapshotTable[[#This Row],[SP Exp Date]]), ISNUMBER(SnapshotTable[[#This Row],[SP Strike Price]]), ISNUMBER(SnapshotTable[[#This Row],[SP Qty]]), ISNUMBER(SnapshotTable[[#This Row],[SP Book Date]]), ISNUMBER(SnapshotTable[[#This Row],[SP Book Price]]))</f>
        <v>0</v>
      </c>
      <c r="BX49" s="382" t="b">
        <f>AND(SnapshotTable[[#This Row],[SP Is Booked]], NOT(ISBLANK(SnapshotTable[[#This Row],[SP Fill Date]])))</f>
        <v>0</v>
      </c>
      <c r="BY49" s="33">
        <f>IF(SnapshotTable[[#This Row],[SP Is Booked]], SnapshotTable[[#This Row],[SP Qty]] * SnapshotTable[[#This Row],[SP Book Price]] * 100, 0)</f>
        <v>0</v>
      </c>
      <c r="BZ49" s="339"/>
      <c r="CA49" s="338">
        <f>SnapshotTable[[#This Row],[LP Qty]]</f>
        <v>0</v>
      </c>
      <c r="CB49" s="4" t="str">
        <f>IF(SnapshotTable[[#This Row],[SP Is Booked]], SnapshotTable[[#This Row],[SP Strike Price]] - SnapshotTable[[#This Row],[SP Book Price]], "")</f>
        <v/>
      </c>
      <c r="CC49" s="19" t="str">
        <f>IF(SnapshotTable[[#This Row],[SP Is Booked]],SnapshotTable[[#This Row],[SP Exp Date]]-MAX(SnapshotTable[[#This Row],[SP Book Date]], SnapshotTable[[#This Row],[SP Fill Date]]),"")</f>
        <v/>
      </c>
      <c r="CD49" s="7" t="str">
        <f>IF(SnapshotTable[[#This Row],[SP Is Booked]], SnapshotTable[[#This Row],[SP Book Price]]/SnapshotTable[[#This Row],[SP Strike Price]], "")</f>
        <v/>
      </c>
      <c r="CE49" s="7" t="str">
        <f>IF(ISNUMBER(SnapshotTable[[#This Row],[SP ROO Term]]),SnapshotTable[[#This Row],[SP ROO Term]]*(365/SnapshotTable[[#This Row],[SP Term]]),"")</f>
        <v/>
      </c>
      <c r="CF49" s="221">
        <f>SnapshotTable[[#This Row],[LP Strike Price]] * SnapshotTable[[#This Row],[LP Qty]] * 100</f>
        <v>0</v>
      </c>
      <c r="CG49" s="31">
        <f>IF(ISNUMBER(SnapshotTable[[#This Row],[SP Premium]]), (SnapshotTable[[#This Row],[SP Qty]] * SnapshotTable[[#This Row],[SP Strike Price]]* 100) - SnapshotTable[[#This Row],[LP Protection]], 0)</f>
        <v>0</v>
      </c>
      <c r="CH49" s="7" t="str">
        <f>IF(ISNUMBER(SnapshotTable[[#This Row],[SP Break Even]]),-1 * (SnapshotTable[[#This Row],[SP Break Even]] - SnapshotTable[[#This Row],[Last Price]]) / SnapshotTable[[#This Row],[Last Price]], "")</f>
        <v/>
      </c>
      <c r="CI49" s="31">
        <f>IF(AND(ISNUMBER((SnapshotTable[[#This Row],[SP Potential Spend]])), SnapshotTable[[#This Row],[SP Strike Price]] &gt; SnapshotTable[[#This Row],[Last Price]], SnapshotTable[[#This Row],[SP Is Filled]]), SnapshotTable[[#This Row],[SP Potential Spend]] -  SnapshotTable[[#This Row],[LP Max Value]], 0)</f>
        <v>0</v>
      </c>
      <c r="CJ49" s="229"/>
      <c r="CK49" s="31">
        <f>IF(ISNUMBER(SnapshotTable[[#This Row],[SP Potential Spend]]),IF(ISNUMBER(SnapshotTable[[#This Row],[SP POW]]), SnapshotTable[[#This Row],[SP POW]] * SnapshotTable[[#This Row],[SP Potential Spend]], SnapshotTable[[#This Row],[SP Potential Spend]]), "")</f>
        <v>0</v>
      </c>
      <c r="CL49" s="162">
        <f>IF(NOT(SnapshotTable[[#This Row],[SP Is Filled]]),(SnapshotTable[[#This Row],[SP Qty]] * SnapshotTable[[#This Row],[SP Strike Price]] * 100) - SnapshotTable[[#This Row],[LP Max Value]],"")</f>
        <v>0</v>
      </c>
      <c r="CM49" s="31" t="str">
        <f>IF(SnapshotTable[[#This Row],[SP Actual Spend]]&lt;&gt;0, ((SnapshotTable[[#This Row],[SP Strike Price]]-SnapshotTable[[#This Row],[Last Price]]) *(SnapshotTable[[#This Row],[SP Qty]]*100) - SnapshotTable[[#This Row],[SP Premium]]) * - 1, "")</f>
        <v/>
      </c>
      <c r="CN49" s="76"/>
      <c r="CO49" s="339"/>
      <c r="CP49" s="4" t="str">
        <f>IF(SnapshotTable[[#This Row],[SP Is Filled]], btc_max_buyback_amount(SnapshotTable[[#This Row],[SP Fill Date]],SnapshotTable[[#This Row],[SP Exp Date]], SnapshotTable[[#This Row],[SP Book Price]]),"")</f>
        <v/>
      </c>
      <c r="CQ49" s="76"/>
      <c r="CR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49" s="153" t="str">
        <f>IF(SnapshotTable[[#This Row],[SP Is Filled]], btc_next_cutoff_date(SnapshotTable[[#This Row],[SP Fill Date]],SnapshotTable[[#This Row],[SP Exp Date]]),"")</f>
        <v/>
      </c>
      <c r="CT49" s="220" t="str" cm="1">
        <f t="array" ref="CT49">IF(SnapshotTable[[#This Row],[SP Is Filled]], btc_should_buy_back(SnapshotTable[[#This Row],[SP Fill Date]], SnapshotTable[[#This Row],[SP Exp Date]], SnapshotTable[[#This Row],[SP Book Price]], SnapshotTable[[#This Row],[SP Current Ask]], MockToday, SnapshotTable[[#This Row],[SP Buyback Override]]),"")</f>
        <v/>
      </c>
      <c r="CU49" s="141">
        <v>44883</v>
      </c>
      <c r="CV49" s="220"/>
      <c r="CW49" s="348" t="str">
        <f>IF(ISNUMBER( SnapshotTable[[#This Row],[SP Term]]), SnapshotTable[[#This Row],[SP Exp Date]] - MockToday,"")</f>
        <v/>
      </c>
      <c r="CX49" s="31" t="str">
        <f>IF(SnapshotTable[[#This Row],[SP Is Filled]],SnapshotTable[[#This Row],[SP Buyback Price to Use]] * 100 * SnapshotTable[[#This Row],[SP Qty]], "")</f>
        <v/>
      </c>
      <c r="CY49" s="4" t="str">
        <f>IF(ISNUMBER(SnapshotTable[[#This Row],[SP Strike Price]]), SnapshotTable[[#This Row],[SP Strike Price]] * (1 - SP_MaxLoss_StrikePct), "")</f>
        <v/>
      </c>
      <c r="CZ49" s="31" t="str">
        <f>IF(ISNUMBER(SnapshotTable[[#This Row],[SP Strike  Stop Per Share]]),SnapshotTable[[#This Row],[SP Premium]] - ((SnapshotTable[[#This Row],[SP Strike Price]]-SnapshotTable[[#This Row],[SP Strike  Stop Per Share]]) *(SnapshotTable[[#This Row],[SP Qty]] * 100)),"")</f>
        <v/>
      </c>
      <c r="DA49" s="4" t="str">
        <f>IF(AND(ISNUMBER(SnapshotTable[[#This Row],[SP Premium]]),SnapshotTable[[#This Row],[SP Premium]]&gt;0), SnapshotTable[[#This Row],[SP Book Price]] * (1 + SP_MaxLoss_OptionPct), "")</f>
        <v/>
      </c>
      <c r="DB49" s="31" t="str">
        <f>IF(ISNUMBER(SnapshotTable[[#This Row],[SP Option  Stop Contract]]),(SnapshotTable[[#This Row],[SP Option  Stop Contract]] *(SnapshotTable[[#This Row],[SP Qty]] * 100) - SnapshotTable[[#This Row],[SP Premium]]),"")</f>
        <v/>
      </c>
      <c r="DC49" s="4"/>
      <c r="DD49" s="4"/>
      <c r="DE49" s="4" t="str">
        <f>IF(AND(SnapshotTable[[#This Row],[SP Qty]]&gt;0, SnapshotTable[[#This Row],[SP Stop To Use]]&gt;0),SnapshotTable[[#This Row],[SP Premium]] - ( SnapshotTable[[#This Row],[SP Qty]] * SnapshotTable[[#This Row],[SP Stop To Use]] * 100), "")</f>
        <v/>
      </c>
      <c r="DF49" s="31" t="str">
        <f>IF(AND(SnapshotTable[[#This Row],[SP Qty]]&gt;0,SnapshotTable[[#This Row],[SP Current Ask]]&gt;0), SnapshotTable[[#This Row],[SP Qty]] * SnapshotTable[[#This Row],[SP Current Ask]] * -100, "")</f>
        <v/>
      </c>
      <c r="DG49" s="31" t="str">
        <f>IF(ISNUMBER((SnapshotTable[[#This Row],[SP Total Value]])), SnapshotTable[[#This Row],[SP Premium]] + SnapshotTable[[#This Row],[SP Total Value]], "")</f>
        <v/>
      </c>
      <c r="DH49" s="272" t="str">
        <f>IF(ISNUMBER((SnapshotTable[[#This Row],[SP Total Value]])), SnapshotTable[[#This Row],[SP Gain Loss]] / SnapshotTable[[#This Row],[SP Premium]], "")</f>
        <v/>
      </c>
      <c r="DI49" s="369"/>
      <c r="DJ49" s="136"/>
      <c r="DK49" s="146"/>
      <c r="DL49" s="13"/>
      <c r="DM49" s="13"/>
      <c r="DN49" s="5"/>
      <c r="DO49" s="31">
        <f>IF(SnapshotTable[[#This Row],[LC Symbol Count]]=1, SnapshotTable[[#This Row],[LC Qty]] * SnapshotTable[[#This Row],[LC Book Price]] * 100, 0)</f>
        <v>0</v>
      </c>
      <c r="DP49" s="161" t="str">
        <f>IF(AND(SnapshotTable[[#This Row],[LC Exp Date]]&gt;0, SnapshotTable[[#This Row],[LC Strike Price]]&gt;0,SnapshotTable[[#This Row],[LC Qty]]&gt;0,SnapshotTable[[#This Row],[LC Book Date]]&gt;0,SnapshotTable[[#This Row],[LC Book Price]]&gt;0,SnapshotTable[[#This Row],[LC Fill Date]]=0),"Y","")</f>
        <v/>
      </c>
      <c r="DQ49" s="356" t="str">
        <f>IF(SnapshotTable[[#This Row],[LC Premium]] &gt; 0,SnapshotTable[[#This Row],[LC Exp Date]]-MAX(SnapshotTable[[#This Row],[LC Book Date]], SnapshotTable[[#This Row],[LC Fill Date]]),"")</f>
        <v/>
      </c>
      <c r="DR49" s="356" t="str">
        <f>IF(ISNUMBER(SnapshotTable[[#This Row],[LC Term]]), SnapshotTable[[#This Row],[LC Exp Date]] - MockToday, "")</f>
        <v/>
      </c>
      <c r="DS49" s="219" t="str">
        <f>IF(SnapshotTable[[#This Row],[LC Premium]]&gt;0,SnapshotTable[[#This Row],[LC Strike Price]] + SnapshotTable[[#This Row],[LC Book Price]],"")</f>
        <v/>
      </c>
      <c r="DT49" s="5"/>
      <c r="DU49" s="9" t="str">
        <f>IF(AND(SnapshotTable[[#This Row],[LC Symbol Count]]&gt;0, SnapshotTable[[#This Row],[LC Contract Value]]&gt;0), SnapshotTable[[#This Row],[LC Contract Value]] * SnapshotTable[[#This Row],[LC Qty]] * 100, "")</f>
        <v/>
      </c>
      <c r="DV49" s="9" t="str">
        <f>IF(AND(ISNUMBER(SnapshotTable[[#This Row],[LC Total Value]]), SnapshotTable[[#This Row],[LC Not Filled]]&lt;&gt;"Y"), SnapshotTable[[#This Row],[LC Total Value]]-SnapshotTable[[#This Row],[LC Premium]],"")</f>
        <v/>
      </c>
      <c r="DW49" s="225" t="str">
        <f>IF(ISNUMBER(SnapshotTable[[#This Row],[LC Actual Gain Loss]]), SnapshotTable[[#This Row],[LC Actual Gain Loss]] / SnapshotTable[[#This Row],[LC Premium]],"")</f>
        <v/>
      </c>
      <c r="DX49" s="269" t="str">
        <f>IF(ISNUMBER(SnapshotTable[[#This Row],[LC Book Price]]),SnapshotTable[[#This Row],[LC Book Price]] * 1.5,"")</f>
        <v/>
      </c>
      <c r="DY49" s="250" t="str">
        <f>IF(SnapshotTable[[#This Row],[LC Premium]]&gt;0, SnapshotTable[[#This Row],[LC Next Target]] * SnapshotTable[[#This Row],[LC Qty]] * 100,"")</f>
        <v/>
      </c>
      <c r="DZ49" s="250" t="str">
        <f>IF(ISNUMBER(SnapshotTable[[#This Row],[LC Target Gross]]), SnapshotTable[[#This Row],[LC Target Gross]] - SnapshotTable[[#This Row],[LC Premium]], "")</f>
        <v/>
      </c>
      <c r="EA49" s="283" t="str">
        <f>IF(ISNUMBER(SnapshotTable[[#This Row],[LC Target Gain Loss]]), SnapshotTable[[#This Row],[LC Target Gain Loss]]/SnapshotTable[[#This Row],[LC Premium]], "")</f>
        <v/>
      </c>
      <c r="EB49" s="247"/>
      <c r="EC49" s="268" t="str">
        <f>IF(SnapshotTable[[#This Row],[LC Premium]]&gt;0, SnapshotTable[[#This Row],[LC Book Price]] * (1 - LC_StopLoss_Pct),"")</f>
        <v/>
      </c>
      <c r="ED49" s="269"/>
      <c r="EE49" s="268" t="str">
        <f>IF(ISNUMBER(SnapshotTable[[#This Row],[LC Contract Value]]),IF(ISNUMBER(SnapshotTable[[#This Row],[LC Stop Loss Override]]), SnapshotTable[[#This Row],[LC Stop Loss Override]],SnapshotTable[[#This Row],[LC Stop Loss Calc Target]]),"")</f>
        <v/>
      </c>
      <c r="EF49" s="31" t="str">
        <f>IF(ISNUMBER(SnapshotTable[[#This Row],[LC Stop  To Use]]), (SnapshotTable[[#This Row],[LC Stop  To Use]] * SnapshotTable[[#This Row],[LC Qty]] * 100),"")</f>
        <v/>
      </c>
      <c r="EG49" s="9" t="str">
        <f>IF(ISNUMBER(SnapshotTable[[#This Row],[LC Total Value]]),SnapshotTable[[#This Row],[LC Stop Loss Amount]] - SnapshotTable[[#This Row],[LC Premium]],"")</f>
        <v/>
      </c>
      <c r="EH49" s="9">
        <f>IF(ISNUMBER(SnapshotTable[[#This Row],[LC Premium]]), SnapshotTable[[#This Row],[LC Qty]] * 100 * SnapshotTable[[#This Row],[LC Strike Price]], "")</f>
        <v>0</v>
      </c>
      <c r="EI49" s="225" t="str">
        <f>IF(AND(ISNUMBER(SnapshotTable[[#This Row],[LC Total Value]]),SnapshotTable[[#This Row],[LC Total Value]]&gt;0),SnapshotTable[[#This Row],[LC Stop Gain Loss]]  / SnapshotTable[[#This Row],[LC Premium]],"")</f>
        <v/>
      </c>
      <c r="EJ49" s="35">
        <f>IF(ISNUMBER(SnapshotTable[[#This Row],[Equity Shares]]),TRUNC(SnapshotTable[[#This Row],[Equity Shares]] / 100),0) + SnapshotTable[[#This Row],[LC Qty]]</f>
        <v>0</v>
      </c>
      <c r="EK49" s="145"/>
      <c r="EL49" s="136"/>
      <c r="EM49" s="146"/>
      <c r="EN49" s="145"/>
      <c r="EO49" s="145"/>
      <c r="EP49" s="136"/>
      <c r="EQ49" s="382" t="b">
        <f>AND(ISNUMBER(SnapshotTable[[#This Row],[SC Exp Date]]), ISNUMBER(SnapshotTable[[#This Row],[SC Strike Price]]), ISNUMBER(SnapshotTable[[#This Row],[SC Qty]]), ISNUMBER(SnapshotTable[[#This Row],[SC Book Date]]), ISNUMBER(SnapshotTable[[#This Row],[SC Book Price]]))</f>
        <v>0</v>
      </c>
      <c r="ER49" s="382" t="b">
        <f>AND(SnapshotTable[[#This Row],[SC Is Booked]], NOT(ISBLANK(SnapshotTable[[#This Row],[SC Fill Date]])))</f>
        <v>0</v>
      </c>
      <c r="ES49" s="340"/>
      <c r="ET49" s="34" t="str">
        <f>IF(AND(ISNUMBER(SnapshotTable[[#This Row],[SC Exp Date]]), ISNUMBER(SnapshotTable[[#This Row],[SC Book Date]])), SnapshotTable[[#This Row],[SC Exp Date]] - MAX(SnapshotTable[[#This Row],[SC Book Date]], SnapshotTable[[#This Row],[SC Fill Date]]) + 1, "")</f>
        <v/>
      </c>
      <c r="EU49" s="34" t="str">
        <f>IF(ISNUMBER(SnapshotTable[[#This Row],[SC Term]]), SnapshotTable[[#This Row],[SC Exp Date]]- MockToday, "")</f>
        <v/>
      </c>
      <c r="EV49" s="31">
        <f>IF(SnapshotTable[[#This Row],[SC Is Booked]], SnapshotTable[[#This Row],[SC Qty]] * SnapshotTable[[#This Row],[SC Book Price]] * 100, 0)</f>
        <v>0</v>
      </c>
      <c r="EW49" s="4" t="str">
        <f>IF(AND(ISNUMBER(SnapshotTable[[#This Row],[Last Price]]), ISNUMBER( SnapshotTable[[#This Row],[SC Book Price]])), SnapshotTable[[#This Row],[Last Price]] - SnapshotTable[[#This Row],[SC Book Price]],"")</f>
        <v/>
      </c>
      <c r="EX49" s="219" t="str">
        <f>IF(SnapshotTable[[#This Row],[SC Is Booked]],IF(SnapshotTable[[#This Row],[SC Intrinsic Value]] &gt; 0, SnapshotTable[[#This Row],[SC Strike Price]], SnapshotTable[[#This Row],[Last Price]]), "")</f>
        <v/>
      </c>
      <c r="EY49" s="4">
        <f>IF(SnapshotTable[[#This Row],[SC Is Booked]], (MinimumPremiumRequired * SnapshotTable[[#This Row],[SC Basis]] * SnapshotTable[[#This Row],[SC Term]]), 0)</f>
        <v>0</v>
      </c>
      <c r="EZ49" s="268"/>
      <c r="FA49" s="204"/>
      <c r="FB49" s="340"/>
      <c r="FC49" s="4">
        <f>IF(SnapshotTable[[#This Row],[SC Is Filled]], btc_max_buyback_amount(SnapshotTable[[#This Row],[SC Fill Date]],SnapshotTable[[#This Row],[SC Exp Date]], SnapshotTable[[#This Row],[SC Book Price]]),0)</f>
        <v>0</v>
      </c>
      <c r="FD49" s="5"/>
      <c r="FE49" s="142" t="str">
        <f>IF(SnapshotTable[[#This Row],[SC Is Filled]], btc_next_cutoff_date(SnapshotTable[[#This Row],[SC Fill Date]],SnapshotTable[[#This Row],[SC Exp Date]]),"")</f>
        <v/>
      </c>
      <c r="FF49" s="4" t="str" cm="1">
        <f t="array" ref="FF49">IF(SnapshotTable[[#This Row],[SC Is Filled]], btc_should_buy_back(SnapshotTable[[#This Row],[SC Fill Date]], SnapshotTable[[#This Row],[SC Exp Date]], SnapshotTable[[#This Row],[SC Book Price]], SnapshotTable[[#This Row],[SC Current Ask]], MockToday, SnapshotTable[[#This Row],[SC Buyback Override]]),"")</f>
        <v/>
      </c>
      <c r="FG49" s="4">
        <f>IF(SnapshotTable[[#This Row],[SC Is Filled]], MAX(0,SnapshotTable[[#This Row],[Last Price]]  - SnapshotTable[[#This Row],[SC Strike Price]]), 0)</f>
        <v>0</v>
      </c>
      <c r="FH49" s="352">
        <f>IF(SnapshotTable[[#This Row],[SC Is Filled]], IF(ISNUMBER(SnapshotTable[[#This Row],[SC Current Ask]]), SnapshotTable[[#This Row],[SC Current Ask]], SnapshotTable[[#This Row],[SC Book Price]]) - SnapshotTable[[#This Row],[SC Intrinsic Value]], 0)</f>
        <v>0</v>
      </c>
      <c r="FI49" s="141"/>
      <c r="FJ49" s="32" t="str">
        <f>IF(SnapshotTable[[#This Row],[SC Is Filled]],100 * SnapshotTable[[#This Row],[SC Qty]] * IF(ISNUMBER(SnapshotTable[[#This Row],[SC Buyback Override]]), SnapshotTable[[#This Row],[SC Buyback Override]], SnapshotTable[[#This Row],[SC Current Ask]]), "")</f>
        <v/>
      </c>
      <c r="FK49" s="235" t="str">
        <f>IF(SnapshotTable[[#This Row],[SC Time Val]]&gt;0, SnapshotTable[[#This Row],[SC Time Val]] / SnapshotTable[[#This Row],[Last Price]],"")</f>
        <v/>
      </c>
      <c r="FL49" s="280" t="str">
        <f>IF(SnapshotTable[[#This Row],[SC Is Booked]], ((SnapshotTable[[#This Row],[Last Price]] -SnapshotTable[[#This Row],[SC Strike Price]]) / SnapshotTable[[#This Row],[Last Price]]) * -1, "")</f>
        <v/>
      </c>
      <c r="FM49" s="155" t="str">
        <f>IF(SnapshotTable[[#This Row],[SC Is Booked]],  (SnapshotTable[[#This Row],[SC Qty]] * 100 * SnapshotTable[[#This Row],[SC Strike Price]]) - SnapshotTable[[#This Row],[SC Current Ask]], "")</f>
        <v/>
      </c>
      <c r="FN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49" s="31" t="str">
        <f>IF(AND(ISNUMBER(SnapshotTable[[#This Row],[SC Exercise Gross]]), ISNUMBER(SnapshotTable[[#This Row],[Equity Basis Per Share]] )), SnapshotTable[[#This Row],[SC Exercise Gross]] - SnapshotTable[[#This Row],[Equity Basis Total]] +  SnapshotTable[[#This Row],[SC Premium]], "")</f>
        <v/>
      </c>
      <c r="FP49" s="5" t="str">
        <f>IF(ISNUMBER(SnapshotTable[[#This Row],[SC Exercise Gross]]), (SnapshotTable[[#This Row],[SC Exercise Gross]]) / (SnapshotTable[[#This Row],[SC Qty]] * 100), "")</f>
        <v/>
      </c>
      <c r="FQ49" s="27" t="str">
        <f>IF(SnapshotTable[[#This Row],[SC Is Booked]],SnapshotTable[[#This Row],[SC Time Val]] /SnapshotTable[[#This Row],[SC Basis]], "")</f>
        <v/>
      </c>
      <c r="FR49" s="27" t="str" cm="1">
        <f t="array" ref="FR49">IF(AND(ISNUMBER(SnapshotTable[[#This Row],[SC Term]]),ISNUMBER(SnapshotTable[[#This Row],[SC Simple ROO]])), EllmanAnnualize(SnapshotTable[[#This Row],[SC DTE]], SnapshotTable[[#This Row],[SC Simple ROO]] ),"")</f>
        <v/>
      </c>
      <c r="FS49" s="4">
        <f>IF(SnapshotTable[[#This Row],[SC Strike Price]] &gt; SnapshotTable[[#This Row],[Last Price]], SnapshotTable[[#This Row],[SC Strike Price]] - SnapshotTable[[#This Row],[Last Price]],0)</f>
        <v>0</v>
      </c>
      <c r="FT49" s="27" t="str">
        <f>IF(AND(ISNUMBER(SnapshotTable[[#This Row],[SC Upside Potential]]), SnapshotTable[[#This Row],[SC Upside Potential]] &gt; 0),(SnapshotTable[[#This Row],[SC Upside Potential]]/ SnapshotTable[[#This Row],[ACB]]),"")</f>
        <v/>
      </c>
      <c r="FU49" s="304" t="str">
        <f>IF(SnapshotTable[[#This Row],[SC Intrinsic Value]] &gt; 0,SnapshotTable[[#This Row],[SC Intrinsic Value]],"")</f>
        <v/>
      </c>
      <c r="FV49" s="27" t="str">
        <f>IF(AND( ISNUMBER( SnapshotTable[[#This Row],[ACB]]),ISNUMBER(SnapshotTable[[#This Row],[SC Downside Protect]])),SnapshotTable[[#This Row],[SC Downside Protect]] / SnapshotTable[[#This Row],[ACB]],"")</f>
        <v/>
      </c>
      <c r="FW49" s="221" t="str">
        <f>IF(AND(ISNUMBER(SnapshotTable[[#This Row],[SC Simple ROO]]),SnapshotTable[[#This Row],[SC Simple ROO]] &gt; 0), SnapshotTable[[#This Row],[SC Premium]] + (SnapshotTable[[#This Row],[SC Qty]] * SnapshotTable[[#This Row],[SC Upside Potential]]), "")</f>
        <v/>
      </c>
      <c r="FX49" s="280" t="str" cm="1">
        <f t="array" ref="FX49">IF(ISNUMBER(SnapshotTable[[#This Row],[SC Max Dollars]]), annualize(SnapshotTable[[#This Row],[SC Term]],(SnapshotTable[[#This Row],[SC Max Dollars]]/SnapshotTable[[#This Row],[SC Basis]])),"")</f>
        <v/>
      </c>
      <c r="FY49" s="221" t="str">
        <f>IF(AND(SnapshotTable[[#This Row],[SC Qty]]&gt;0,SnapshotTable[[#This Row],[SC Current Ask]]&gt;0), SnapshotTable[[#This Row],[SC Qty]] * SnapshotTable[[#This Row],[SC Current Ask]] * -100, "")</f>
        <v/>
      </c>
      <c r="FZ49" s="31" t="str">
        <f>IF(ISNUMBER((SnapshotTable[[#This Row],[SC Current Value]])), SnapshotTable[[#This Row],[SC Premium]] + SnapshotTable[[#This Row],[SC Current Value]], "")</f>
        <v/>
      </c>
      <c r="GA49" s="272" t="str">
        <f>IFERROR( IF(ISNUMBER((SnapshotTable[[#This Row],[SC Current Value]])), SnapshotTable[[#This Row],[SC Gain Loss]] / SnapshotTable[[#This Row],[SC Premium]], ""), "")</f>
        <v/>
      </c>
      <c r="GB49" s="42">
        <f>SnapshotTable[[#This Row],[Equity Shares]] * SaleSharesToConsiderPercentage</f>
        <v>0</v>
      </c>
      <c r="GC49" s="40">
        <f>SnapshotTable[[#This Row],[Long Term Target]] * SellingPriceToConsiderBasedOnTargetPercentage</f>
        <v>34.266500000000001</v>
      </c>
      <c r="GD49" s="40">
        <f>SnapshotTable[[#This Row],[Last Price]] * (1+ SellingPriceToConsiderBasedOnTargetPercentage)</f>
        <v>120.15899999999999</v>
      </c>
      <c r="GE49" s="41"/>
      <c r="GF49" s="40">
        <v>17.68</v>
      </c>
      <c r="GG49" s="31">
        <f>SnapshotTable[[#This Row],[Booked Sale Shares]] * SnapshotTable[[#This Row],[Booked Sale Price]]</f>
        <v>0</v>
      </c>
      <c r="GH49" s="31" t="str">
        <f>IF(SnapshotTable[[#This Row],[Equity Basis Total]] &gt; 0, SnapshotTable[[#This Row],[Equity Basis Per Share]] * SnapshotTable[[#This Row],[Booked Sale Shares]], "")</f>
        <v/>
      </c>
      <c r="GI49" s="31">
        <f>IF(SnapshotTable[[#This Row],[Sale Proceeds]]&gt;0, SnapshotTable[[#This Row],[Sale Proceeds]] - SnapshotTable[[#This Row],[Sale Basis]], 0)</f>
        <v>0</v>
      </c>
      <c r="GJ49" s="27" t="str">
        <f>IF(SnapshotTable[[#This Row],[Sale G/L]]&gt;0, SnapshotTable[[#This Row],[Sale G/L]] / SnapshotTable[[#This Row],[Sale Basis]], IF(ISNUMBER(SnapshotTable[[#This Row],[SC Exercise P&amp;L (TAX)]]), SnapshotTable[[#This Row],[SC Exercise P&amp;L (TAX)]] / SnapshotTable[[#This Row],[SC Basis]], ""))</f>
        <v/>
      </c>
      <c r="GK49" s="27" t="s">
        <v>525</v>
      </c>
      <c r="GL49" s="43" t="str">
        <f>IF(AND(SnapshotTable[[#This Row],[LP Exp Date]]&gt;0,SnapshotTable[[#This Row],[LP Strike Price]]&gt;0), [1]!ToOptionSymbol(SnapshotTable[[#This Row],[Symbol]], SnapshotTable[[#This Row],[LP Strike Price]],SnapshotTable[[#This Row],[LP Exp Date]],1), "")</f>
        <v/>
      </c>
      <c r="GM49" s="30" t="str">
        <f>IF(LEN(SnapshotTable[[#This Row],[LP Symbol]])&gt;0, 1, "")</f>
        <v/>
      </c>
      <c r="GN49" s="43" t="str">
        <f>IF(AND(SnapshotTable[[#This Row],[SP Exp Date]]&gt;0,SnapshotTable[[#This Row],[SP Strike Price]]&gt;0), [1]!ToOptionSymbol(SnapshotTable[[#This Row],[Symbol]], SnapshotTable[[#This Row],[SP Strike Price]],SnapshotTable[[#This Row],[SP Exp Date]],1), "")</f>
        <v/>
      </c>
      <c r="GO49" s="30" t="str">
        <f>IF(LEN(SnapshotTable[[#This Row],[SP Symbol]])&gt;0, 1, "")</f>
        <v/>
      </c>
      <c r="GP49" s="43" t="str">
        <f>IF(AND(SnapshotTable[[#This Row],[LC Exp Date]]&gt;0,SnapshotTable[[#This Row],[LC Strike Price]]&gt;0), [1]!ToOptionSymbol(SnapshotTable[[#This Row],[Symbol]], SnapshotTable[[#This Row],[LC Strike Price]],SnapshotTable[[#This Row],[LC Exp Date]],0), "")</f>
        <v/>
      </c>
      <c r="GQ49" s="30" t="str">
        <f>IF(LEN(SnapshotTable[[#This Row],[LC Symbol]])&gt;0, 1, "")</f>
        <v/>
      </c>
      <c r="GR49" s="43" t="str">
        <f>IF(AND(SnapshotTable[[#This Row],[SC Exp Date]]&gt;0,SnapshotTable[[#This Row],[SC Strike Price]]&gt;0), [1]!ToOptionSymbol(SnapshotTable[[#This Row],[Symbol]], SnapshotTable[[#This Row],[SC Strike Price]],SnapshotTable[[#This Row],[SC Exp Date]],0), "")</f>
        <v/>
      </c>
      <c r="GS49" s="30" t="str">
        <f>IF(LEN(SnapshotTable[[#This Row],[SC Symbol]])&gt;0, 1, "")</f>
        <v/>
      </c>
      <c r="GT49" s="29" t="str">
        <f>IF(COUNT(SnapshotTable[[#This Row],[LP Symbol Count]],SnapshotTable[[#This Row],[SP Symbol Count]],SnapshotTable[[#This Row],[LC Symbol Count]],SnapshotTable[[#This Row],[SC Symbol Count]])&gt;0, "Y", "")</f>
        <v/>
      </c>
      <c r="GU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49" s="216">
        <f>MAX(SnapshotTable[[#This Row],[Equity Basis Total]],SnapshotTable[[#This Row],[Equity Value]]) + (SnapshotTable[[#This Row],[SP Potential Spend]]- SnapshotTable[[#This Row],[SP Premium]] + SnapshotTable[[#This Row],[LP Premium]])+ (SnapshotTable[[#This Row],[LC Premium]] - SnapshotTable[[#This Row],[SC Premium]])</f>
        <v>0</v>
      </c>
      <c r="GW49" s="137" t="str">
        <f>IF(AND(SnapshotTable[[#This Row],[Exposure]] &lt;&gt; 0),SnapshotTable[[#This Row],[Exposure]] / SnapshotTable[[#Totals],[Exposure]], "")</f>
        <v/>
      </c>
      <c r="GY49" s="351"/>
      <c r="HE49" s="253"/>
      <c r="HF49" s="253"/>
      <c r="HG49" s="351"/>
      <c r="HH49" s="351"/>
      <c r="HI49" s="351"/>
      <c r="HJ49" s="351"/>
    </row>
    <row r="50" spans="2:224" ht="12.75" hidden="1" customHeight="1" x14ac:dyDescent="0.25">
      <c r="B50" s="12" t="s">
        <v>939</v>
      </c>
      <c r="C50" s="385">
        <v>8.9499999999999993</v>
      </c>
      <c r="D50" s="200"/>
      <c r="E50" s="39">
        <f>SnapshotTable[[#This Row],[Last Price]]*(1 -CrashDiscount)</f>
        <v>7.607499999999999</v>
      </c>
      <c r="F50" s="296" t="s">
        <v>648</v>
      </c>
      <c r="G50" s="296" t="s">
        <v>7</v>
      </c>
      <c r="H50" s="147"/>
      <c r="I50" s="186"/>
      <c r="J50" s="187"/>
      <c r="K50" s="188"/>
      <c r="L50" s="297"/>
      <c r="M50" s="138"/>
      <c r="N50" s="138"/>
      <c r="O50" s="138"/>
      <c r="P50" s="22"/>
      <c r="Q50" s="25"/>
      <c r="R50" s="4" t="str">
        <f>IF(SnapshotTable[[#This Row],[Equity Basis Total]] &gt; 0, SnapshotTable[[#This Row],[Equity Basis Total]] / SnapshotTable[[#This Row],[Equity Shares]], "")</f>
        <v/>
      </c>
      <c r="S50" s="254">
        <f>SnapshotTable[[#This Row],[Last Price]] * SnapshotTable[[#This Row],[Equity Shares]]</f>
        <v>0</v>
      </c>
      <c r="T50" s="254">
        <f>SnapshotTable[[#This Row],[Equity Value]] - SnapshotTable[[#This Row],[Equity Basis Total]]</f>
        <v>0</v>
      </c>
      <c r="U50" s="255" t="str">
        <f>IF(SnapshotTable[[#This Row],[Equity Basis Total]] &gt; 0, SnapshotTable[[#This Row],[Equity G/L]] / SnapshotTable[[#This Row],[Equity Basis Total]], "")</f>
        <v/>
      </c>
      <c r="V50" s="253"/>
      <c r="W50" s="253"/>
      <c r="X50" s="4" t="str">
        <f>IF(AND(ISNUMBER(SnapshotTable[[#This Row],[Equity Basis Per Share]]),ISNUMBER(SnapshotTable[[#This Row],[Equity Target]])),SnapshotTable[[#This Row],[Equity Target]]-SnapshotTable[[#This Row],[Equity Basis Per Share]],"")</f>
        <v/>
      </c>
      <c r="Y50" s="4" t="str">
        <f>IF(AND(ISNUMBER(SnapshotTable[[#This Row],[Equity Basis Per Share]]),ISNUMBER(SnapshotTable[[#This Row],[Equity Stop Loss]])),SnapshotTable[[#This Row],[Equity Stop Loss]]-SnapshotTable[[#This Row],[Equity Basis Per Share]],"")</f>
        <v/>
      </c>
      <c r="Z50" s="260" t="str">
        <f>IFERROR( TEXT(SnapshotTable[[#This Row],[Equity Max Gain Per Share]] /ABS( SnapshotTable[[#This Row],[Equity Max Loss Per Share]]),"0.0 " ) &amp; " : 1", "")</f>
        <v/>
      </c>
      <c r="AA50" s="31" t="str">
        <f>IF(ISNUMBER(SnapshotTable[[#This Row],[Equity Max Gain Per Share]]),SnapshotTable[[#This Row],[Equity Max Gain Per Share]] * SnapshotTable[[#This Row],[Equity Shares]],"")</f>
        <v/>
      </c>
      <c r="AB50" s="31" t="str">
        <f>IF(ISNUMBER(SnapshotTable[[#This Row],[Equity Max Loss Per Share]]),SnapshotTable[[#This Row],[Equity Max Loss Per Share]] * SnapshotTable[[#This Row],[Equity Shares]],"")</f>
        <v/>
      </c>
      <c r="AC50" s="148"/>
      <c r="AD50" s="149"/>
      <c r="AE50" s="31">
        <f>(SnapshotTable[[#This Row],[Annual Dividend Per Share]] / 4) * SnapshotTable[[#This Row],[Equity Shares]]</f>
        <v>0</v>
      </c>
      <c r="AF50" s="31">
        <f>SnapshotTable[[#This Row],[Quarterly Div $]] * 4</f>
        <v>0</v>
      </c>
      <c r="AG50" s="7">
        <f>IF(SnapshotTable[[#This Row],[Annual Dividend Per Share]]&gt;0, SnapshotTable[[#This Row],[Annual Dividend Per Share]]  / SnapshotTable[[#This Row],[Last Price]], 0)</f>
        <v>0</v>
      </c>
      <c r="AH50" s="149"/>
      <c r="AI50" s="5"/>
      <c r="AJ50" s="136">
        <v>4.75</v>
      </c>
      <c r="AK50" s="150" t="str">
        <f>IF(ISNUMBER( SnapshotTable[[#This Row],[EBF Target]]),(SnapshotTable[[#This Row],[EBF Target]] - SnapshotTable[[#This Row],[Last Price]]) / SnapshotTable[[#This Row],[Last Price]], "")</f>
        <v/>
      </c>
      <c r="AL50" s="150" t="str">
        <f>IF(AND(SnapshotTable[[#This Row],[Equity Basis Total]] &gt; 0,ISNUMBER( SnapshotTable[[#This Row],[Long Term Target]])), SnapshotTable[[#This Row],[From Basis $]] / SnapshotTable[[#This Row],[Equity Basis Total]], "")</f>
        <v/>
      </c>
      <c r="AM50" s="9">
        <f>IF( AND(SnapshotTable[[#This Row],[Equity Shares]] &gt;0,ISNUMBER( SnapshotTable[[#This Row],[Long Term Target]])),(SnapshotTable[[#This Row],[Equity Shares]] * SnapshotTable[[#This Row],[Long Term Target]]) - SnapshotTable[[#This Row],[Equity Basis Total]],0)</f>
        <v>0</v>
      </c>
      <c r="AN50" s="9">
        <f>IF( AND(SnapshotTable[[#This Row],[Equity Shares]] &gt;0,ISNUMBER( SnapshotTable[[#This Row],[Long Term Target]])),(SnapshotTable[[#This Row],[Equity Shares]]*SnapshotTable[[#This Row],[Long Term Target]]) - SnapshotTable[[#This Row],[Equity Value]],0)</f>
        <v>0</v>
      </c>
      <c r="AO50" s="150">
        <f>IF(AND(ISNUMBER( SnapshotTable[[#This Row],[Long Term Target]]), ISNUMBER(SnapshotTable[[#This Row],[Last Price]])),(SnapshotTable[[#This Row],[Long Term Target]] - SnapshotTable[[#This Row],[Last Price]]) / SnapshotTable[[#This Row],[Last Price]], "")</f>
        <v>-0.46927374301675973</v>
      </c>
      <c r="AP50" s="5">
        <v>4</v>
      </c>
      <c r="AQ50" s="38" t="s">
        <v>846</v>
      </c>
      <c r="AR50" s="5">
        <v>2</v>
      </c>
      <c r="AS50" s="38" t="s">
        <v>847</v>
      </c>
      <c r="AT50" s="144" t="s">
        <v>921</v>
      </c>
      <c r="AU50" s="185" t="str">
        <f>IF(OR(SnapshotTable[[#This Row],[LP No Fill]]="Y",SnapshotTable[[#This Row],[SP Is Filled]],SnapshotTable[[#This Row],[LC Not Filled]]="Y",SnapshotTable[[#This Row],[SC Is Filled]]),"Y","")</f>
        <v/>
      </c>
      <c r="AV50" s="205"/>
      <c r="AW50" s="211"/>
      <c r="AX50" s="206"/>
      <c r="AY50" s="205" t="str">
        <f>IF(SnapshotTable[[#This Row],[Implied Move]]&gt;0, SnapshotTable[[#This Row],[Last Price]]-SnapshotTable[[#This Row],[Implied Move]],"")</f>
        <v/>
      </c>
      <c r="AZ50" s="205" t="str">
        <f>IF(SnapshotTable[[#This Row],[Implied Move]]&gt;0, SnapshotTable[[#This Row],[Last Price]] + SnapshotTable[[#This Row],[Implied Move]],"")</f>
        <v/>
      </c>
      <c r="BA50" s="302">
        <v>0.61</v>
      </c>
      <c r="BB50" s="318" t="s">
        <v>908</v>
      </c>
      <c r="BC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0" s="321"/>
      <c r="BE50" s="5"/>
      <c r="BF50" s="14"/>
      <c r="BG50" s="13"/>
      <c r="BH50" s="13"/>
      <c r="BI50" s="5"/>
      <c r="BJ50" s="134">
        <f>IF(SnapshotTable[[#This Row],[LP Qty]] &gt; 0, SnapshotTable[[#This Row],[LP Qty]] * SnapshotTable[[#This Row],[LP Book Price]] * 100,0)</f>
        <v>0</v>
      </c>
      <c r="BK50" s="134">
        <f>IF(SnapshotTable[[#This Row],[LP Premium]] &gt; 0, SnapshotTable[[#This Row],[LP Qty]] * SnapshotTable[[#This Row],[LP Strike Price]] * 100,0)</f>
        <v>0</v>
      </c>
      <c r="BL50" s="152"/>
      <c r="BM50" s="355" t="str">
        <f>IF(SnapshotTable[[#This Row],[LP Premium]] &gt; 0,SnapshotTable[[#This Row],[LP Exp Date]]-MAX(SnapshotTable[[#This Row],[LP Book Date]], SnapshotTable[[#This Row],[LP Fill Date]]),"")</f>
        <v/>
      </c>
      <c r="BN50" s="355" t="str">
        <f>IF(ISNUMBER( SnapshotTable[[#This Row],[LP Term]]), SnapshotTable[[#This Row],[LP Exp Date]] - MockToday,"")</f>
        <v/>
      </c>
      <c r="BO50" s="161" t="str">
        <f>IF(AND(SnapshotTable[[#This Row],[LP Exp Date]]&gt;0, SnapshotTable[[#This Row],[LP Strike Price]]&gt;0,SnapshotTable[[#This Row],[LP Qty]]&gt;0,SnapshotTable[[#This Row],[LP Book Date]]&gt;0,SnapshotTable[[#This Row],[LP Book Price]]&gt;0,SnapshotTable[[#This Row],[LP Fill Date]]=0),"Y","")</f>
        <v/>
      </c>
      <c r="BP50" s="31" t="str">
        <f>IF(AND(SnapshotTable[[#This Row],[LP No Fill]]&lt;&gt;"Y",SnapshotTable[[#This Row],[LP Contract Value]]&gt;0, SnapshotTable[[#This Row],[LP Qty]]&gt;0), SnapshotTable[[#This Row],[LP Contract Value]]*SnapshotTable[[#This Row],[LP Qty]]*100,"")</f>
        <v/>
      </c>
      <c r="BQ50" s="13"/>
      <c r="BR50" s="5"/>
      <c r="BS50" s="36"/>
      <c r="BT50" s="145"/>
      <c r="BU50" s="13"/>
      <c r="BV50" s="5"/>
      <c r="BW50" s="382" t="b">
        <f>AND(ISNUMBER(SnapshotTable[[#This Row],[SP Exp Date]]), ISNUMBER(SnapshotTable[[#This Row],[SP Strike Price]]), ISNUMBER(SnapshotTable[[#This Row],[SP Qty]]), ISNUMBER(SnapshotTable[[#This Row],[SP Book Date]]), ISNUMBER(SnapshotTable[[#This Row],[SP Book Price]]))</f>
        <v>0</v>
      </c>
      <c r="BX50" s="382" t="b">
        <f>AND(SnapshotTable[[#This Row],[SP Is Booked]], NOT(ISBLANK(SnapshotTable[[#This Row],[SP Fill Date]])))</f>
        <v>0</v>
      </c>
      <c r="BY50" s="33">
        <f>IF(SnapshotTable[[#This Row],[SP Is Booked]], SnapshotTable[[#This Row],[SP Qty]] * SnapshotTable[[#This Row],[SP Book Price]] * 100, 0)</f>
        <v>0</v>
      </c>
      <c r="BZ50" s="339"/>
      <c r="CA50" s="338">
        <f>SnapshotTable[[#This Row],[LP Qty]]</f>
        <v>0</v>
      </c>
      <c r="CB50" s="4" t="str">
        <f>IF(SnapshotTable[[#This Row],[SP Is Booked]], SnapshotTable[[#This Row],[SP Strike Price]] - SnapshotTable[[#This Row],[SP Book Price]], "")</f>
        <v/>
      </c>
      <c r="CC50" s="19" t="str">
        <f>IF(SnapshotTable[[#This Row],[SP Is Booked]],SnapshotTable[[#This Row],[SP Exp Date]]-MAX(SnapshotTable[[#This Row],[SP Book Date]], SnapshotTable[[#This Row],[SP Fill Date]]),"")</f>
        <v/>
      </c>
      <c r="CD50" s="7" t="str">
        <f>IF(SnapshotTable[[#This Row],[SP Is Booked]], SnapshotTable[[#This Row],[SP Book Price]]/SnapshotTable[[#This Row],[SP Strike Price]], "")</f>
        <v/>
      </c>
      <c r="CE50" s="7" t="str">
        <f>IF(ISNUMBER(SnapshotTable[[#This Row],[SP ROO Term]]),SnapshotTable[[#This Row],[SP ROO Term]]*(365/SnapshotTable[[#This Row],[SP Term]]),"")</f>
        <v/>
      </c>
      <c r="CF50" s="221">
        <f>SnapshotTable[[#This Row],[LP Strike Price]] * SnapshotTable[[#This Row],[LP Qty]] * 100</f>
        <v>0</v>
      </c>
      <c r="CG50" s="31">
        <f>IF(ISNUMBER(SnapshotTable[[#This Row],[SP Premium]]), (SnapshotTable[[#This Row],[SP Qty]] * SnapshotTable[[#This Row],[SP Strike Price]]* 100) - SnapshotTable[[#This Row],[LP Protection]], 0)</f>
        <v>0</v>
      </c>
      <c r="CH50" s="7" t="str">
        <f>IF(ISNUMBER(SnapshotTable[[#This Row],[SP Break Even]]),-1 * (SnapshotTable[[#This Row],[SP Break Even]] - SnapshotTable[[#This Row],[Last Price]]) / SnapshotTable[[#This Row],[Last Price]], "")</f>
        <v/>
      </c>
      <c r="CI50" s="31">
        <f>IF(AND(ISNUMBER((SnapshotTable[[#This Row],[SP Potential Spend]])), SnapshotTable[[#This Row],[SP Strike Price]] &gt; SnapshotTable[[#This Row],[Last Price]], SnapshotTable[[#This Row],[SP Is Filled]]), SnapshotTable[[#This Row],[SP Potential Spend]] -  SnapshotTable[[#This Row],[LP Max Value]], 0)</f>
        <v>0</v>
      </c>
      <c r="CJ50" s="229">
        <v>0.1</v>
      </c>
      <c r="CK50" s="31">
        <f>IF(ISNUMBER(SnapshotTable[[#This Row],[SP Potential Spend]]),IF(ISNUMBER(SnapshotTable[[#This Row],[SP POW]]), SnapshotTable[[#This Row],[SP POW]] * SnapshotTable[[#This Row],[SP Potential Spend]], SnapshotTable[[#This Row],[SP Potential Spend]]), "")</f>
        <v>0</v>
      </c>
      <c r="CL50" s="162">
        <f>IF(NOT(SnapshotTable[[#This Row],[SP Is Filled]]),(SnapshotTable[[#This Row],[SP Qty]] * SnapshotTable[[#This Row],[SP Strike Price]] * 100) - SnapshotTable[[#This Row],[LP Max Value]],"")</f>
        <v>0</v>
      </c>
      <c r="CM50" s="31" t="str">
        <f>IF(SnapshotTable[[#This Row],[SP Actual Spend]]&lt;&gt;0, ((SnapshotTable[[#This Row],[SP Strike Price]]-SnapshotTable[[#This Row],[Last Price]]) *(SnapshotTable[[#This Row],[SP Qty]]*100) - SnapshotTable[[#This Row],[SP Premium]]) * - 1, "")</f>
        <v/>
      </c>
      <c r="CN50" s="76"/>
      <c r="CO50" s="339"/>
      <c r="CP50" s="4" t="str">
        <f>IF(SnapshotTable[[#This Row],[SP Is Filled]], btc_max_buyback_amount(SnapshotTable[[#This Row],[SP Fill Date]],SnapshotTable[[#This Row],[SP Exp Date]], SnapshotTable[[#This Row],[SP Book Price]]),"")</f>
        <v/>
      </c>
      <c r="CQ50" s="76"/>
      <c r="CR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0" s="153" t="str">
        <f>IF(SnapshotTable[[#This Row],[SP Is Filled]], btc_next_cutoff_date(SnapshotTable[[#This Row],[SP Fill Date]],SnapshotTable[[#This Row],[SP Exp Date]]),"")</f>
        <v/>
      </c>
      <c r="CT50" s="220" t="str" cm="1">
        <f t="array" ref="CT50">IF(SnapshotTable[[#This Row],[SP Is Filled]], btc_should_buy_back(SnapshotTable[[#This Row],[SP Fill Date]], SnapshotTable[[#This Row],[SP Exp Date]], SnapshotTable[[#This Row],[SP Book Price]], SnapshotTable[[#This Row],[SP Current Ask]], MockToday, SnapshotTable[[#This Row],[SP Buyback Override]]),"")</f>
        <v/>
      </c>
      <c r="CU50" s="141"/>
      <c r="CV50" s="220"/>
      <c r="CW50" s="348" t="str">
        <f>IF(ISNUMBER( SnapshotTable[[#This Row],[SP Term]]), SnapshotTable[[#This Row],[SP Exp Date]] - MockToday,"")</f>
        <v/>
      </c>
      <c r="CX50" s="31" t="str">
        <f>IF(SnapshotTable[[#This Row],[SP Is Filled]],SnapshotTable[[#This Row],[SP Buyback Price to Use]] * 100 * SnapshotTable[[#This Row],[SP Qty]], "")</f>
        <v/>
      </c>
      <c r="CY50" s="4" t="str">
        <f>IF(ISNUMBER(SnapshotTable[[#This Row],[SP Strike Price]]), SnapshotTable[[#This Row],[SP Strike Price]] * (1 - SP_MaxLoss_StrikePct), "")</f>
        <v/>
      </c>
      <c r="CZ50" s="31" t="str">
        <f>IF(ISNUMBER(SnapshotTable[[#This Row],[SP Strike  Stop Per Share]]),SnapshotTable[[#This Row],[SP Premium]] - ((SnapshotTable[[#This Row],[SP Strike Price]]-SnapshotTable[[#This Row],[SP Strike  Stop Per Share]]) *(SnapshotTable[[#This Row],[SP Qty]] * 100)),"")</f>
        <v/>
      </c>
      <c r="DA50" s="4" t="str">
        <f>IF(AND(ISNUMBER(SnapshotTable[[#This Row],[SP Premium]]),SnapshotTable[[#This Row],[SP Premium]]&gt;0), SnapshotTable[[#This Row],[SP Book Price]] * (1 + SP_MaxLoss_OptionPct), "")</f>
        <v/>
      </c>
      <c r="DB50" s="31" t="str">
        <f>IF(ISNUMBER(SnapshotTable[[#This Row],[SP Option  Stop Contract]]),(SnapshotTable[[#This Row],[SP Option  Stop Contract]] *(SnapshotTable[[#This Row],[SP Qty]] * 100) - SnapshotTable[[#This Row],[SP Premium]]),"")</f>
        <v/>
      </c>
      <c r="DC50" s="4"/>
      <c r="DD50" s="4"/>
      <c r="DE50" s="4" t="str">
        <f>IF(AND(SnapshotTable[[#This Row],[SP Qty]]&gt;0, SnapshotTable[[#This Row],[SP Stop To Use]]&gt;0),SnapshotTable[[#This Row],[SP Premium]] - ( SnapshotTable[[#This Row],[SP Qty]] * SnapshotTable[[#This Row],[SP Stop To Use]] * 100), "")</f>
        <v/>
      </c>
      <c r="DF50" s="31" t="str">
        <f>IF(AND(SnapshotTable[[#This Row],[SP Qty]]&gt;0,SnapshotTable[[#This Row],[SP Current Ask]]&gt;0), SnapshotTable[[#This Row],[SP Qty]] * SnapshotTable[[#This Row],[SP Current Ask]] * -100, "")</f>
        <v/>
      </c>
      <c r="DG50" s="31" t="str">
        <f>IF(ISNUMBER((SnapshotTable[[#This Row],[SP Total Value]])), SnapshotTable[[#This Row],[SP Premium]] + SnapshotTable[[#This Row],[SP Total Value]], "")</f>
        <v/>
      </c>
      <c r="DH50" s="272" t="str">
        <f>IF(ISNUMBER((SnapshotTable[[#This Row],[SP Total Value]])), SnapshotTable[[#This Row],[SP Gain Loss]] / SnapshotTable[[#This Row],[SP Premium]], "")</f>
        <v/>
      </c>
      <c r="DI50" s="369"/>
      <c r="DJ50" s="136"/>
      <c r="DK50" s="146"/>
      <c r="DL50" s="145"/>
      <c r="DM50" s="145"/>
      <c r="DO50" s="31">
        <f>IF(SnapshotTable[[#This Row],[LC Symbol Count]]=1, SnapshotTable[[#This Row],[LC Qty]] * SnapshotTable[[#This Row],[LC Book Price]] * 100, 0)</f>
        <v>0</v>
      </c>
      <c r="DP50" s="161" t="str">
        <f>IF(AND(SnapshotTable[[#This Row],[LC Exp Date]]&gt;0, SnapshotTable[[#This Row],[LC Strike Price]]&gt;0,SnapshotTable[[#This Row],[LC Qty]]&gt;0,SnapshotTable[[#This Row],[LC Book Date]]&gt;0,SnapshotTable[[#This Row],[LC Book Price]]&gt;0,SnapshotTable[[#This Row],[LC Fill Date]]=0),"Y","")</f>
        <v/>
      </c>
      <c r="DQ50" s="356" t="str">
        <f>IF(SnapshotTable[[#This Row],[LC Premium]] &gt; 0,SnapshotTable[[#This Row],[LC Exp Date]]-MAX(SnapshotTable[[#This Row],[LC Book Date]], SnapshotTable[[#This Row],[LC Fill Date]]),"")</f>
        <v/>
      </c>
      <c r="DR50" s="356" t="str">
        <f>IF(ISNUMBER(SnapshotTable[[#This Row],[LC Term]]), SnapshotTable[[#This Row],[LC Exp Date]] - MockToday, "")</f>
        <v/>
      </c>
      <c r="DS50" s="219" t="str">
        <f>IF(SnapshotTable[[#This Row],[LC Premium]]&gt;0,SnapshotTable[[#This Row],[LC Strike Price]] + SnapshotTable[[#This Row],[LC Book Price]],"")</f>
        <v/>
      </c>
      <c r="DT50" s="136"/>
      <c r="DU50" s="9" t="str">
        <f>IF(AND(SnapshotTable[[#This Row],[LC Symbol Count]]&gt;0, SnapshotTable[[#This Row],[LC Contract Value]]&gt;0), SnapshotTable[[#This Row],[LC Contract Value]] * SnapshotTable[[#This Row],[LC Qty]] * 100, "")</f>
        <v/>
      </c>
      <c r="DV50" s="9" t="str">
        <f>IF(AND(ISNUMBER(SnapshotTable[[#This Row],[LC Total Value]]), SnapshotTable[[#This Row],[LC Not Filled]]&lt;&gt;"Y"), SnapshotTable[[#This Row],[LC Total Value]]-SnapshotTable[[#This Row],[LC Premium]],"")</f>
        <v/>
      </c>
      <c r="DW50" s="225" t="str">
        <f>IF(ISNUMBER(SnapshotTable[[#This Row],[LC Actual Gain Loss]]), SnapshotTable[[#This Row],[LC Actual Gain Loss]] / SnapshotTable[[#This Row],[LC Premium]],"")</f>
        <v/>
      </c>
      <c r="DX50" s="269" t="str">
        <f>IF(ISNUMBER(SnapshotTable[[#This Row],[LC Book Price]]),SnapshotTable[[#This Row],[LC Book Price]] * 1.5,"")</f>
        <v/>
      </c>
      <c r="DY50" s="250" t="str">
        <f>IF(SnapshotTable[[#This Row],[LC Premium]]&gt;0, SnapshotTable[[#This Row],[LC Next Target]] * SnapshotTable[[#This Row],[LC Qty]] * 100,"")</f>
        <v/>
      </c>
      <c r="DZ50" s="250" t="str">
        <f>IF(ISNUMBER(SnapshotTable[[#This Row],[LC Target Gross]]), SnapshotTable[[#This Row],[LC Target Gross]] - SnapshotTable[[#This Row],[LC Premium]], "")</f>
        <v/>
      </c>
      <c r="EA50" s="283" t="str">
        <f>IF(ISNUMBER(SnapshotTable[[#This Row],[LC Target Gain Loss]]), SnapshotTable[[#This Row],[LC Target Gain Loss]]/SnapshotTable[[#This Row],[LC Premium]], "")</f>
        <v/>
      </c>
      <c r="EB50" s="247"/>
      <c r="EC50" s="268" t="str">
        <f>IF(SnapshotTable[[#This Row],[LC Premium]]&gt;0, SnapshotTable[[#This Row],[LC Book Price]] * (1 - LC_StopLoss_Pct),"")</f>
        <v/>
      </c>
      <c r="ED50" s="269"/>
      <c r="EE50" s="268" t="str">
        <f>IF(ISNUMBER(SnapshotTable[[#This Row],[LC Contract Value]]),IF(ISNUMBER(SnapshotTable[[#This Row],[LC Stop Loss Override]]), SnapshotTable[[#This Row],[LC Stop Loss Override]],SnapshotTable[[#This Row],[LC Stop Loss Calc Target]]),"")</f>
        <v/>
      </c>
      <c r="EF50" s="31" t="str">
        <f>IF(ISNUMBER(SnapshotTable[[#This Row],[LC Stop  To Use]]), (SnapshotTable[[#This Row],[LC Stop  To Use]] * SnapshotTable[[#This Row],[LC Qty]] * 100),"")</f>
        <v/>
      </c>
      <c r="EG50" s="9" t="str">
        <f>IF(ISNUMBER(SnapshotTable[[#This Row],[LC Total Value]]),SnapshotTable[[#This Row],[LC Stop Loss Amount]] - SnapshotTable[[#This Row],[LC Premium]],"")</f>
        <v/>
      </c>
      <c r="EH50" s="9">
        <f>IF(ISNUMBER(SnapshotTable[[#This Row],[LC Premium]]), SnapshotTable[[#This Row],[LC Qty]] * 100 * SnapshotTable[[#This Row],[LC Strike Price]], "")</f>
        <v>0</v>
      </c>
      <c r="EI50" s="225" t="str">
        <f>IF(AND(ISNUMBER(SnapshotTable[[#This Row],[LC Total Value]]),SnapshotTable[[#This Row],[LC Total Value]]&gt;0),SnapshotTable[[#This Row],[LC Stop Gain Loss]]  / SnapshotTable[[#This Row],[LC Premium]],"")</f>
        <v/>
      </c>
      <c r="EJ50" s="35">
        <f>IF(ISNUMBER(SnapshotTable[[#This Row],[Equity Shares]]),TRUNC(SnapshotTable[[#This Row],[Equity Shares]] / 100),0) + SnapshotTable[[#This Row],[LC Qty]]</f>
        <v>0</v>
      </c>
      <c r="EK50" s="145"/>
      <c r="EL50" s="136"/>
      <c r="EM50" s="146"/>
      <c r="EN50" s="145"/>
      <c r="EO50" s="145"/>
      <c r="EP50" s="136"/>
      <c r="EQ50" s="382" t="b">
        <f>AND(ISNUMBER(SnapshotTable[[#This Row],[SC Exp Date]]), ISNUMBER(SnapshotTable[[#This Row],[SC Strike Price]]), ISNUMBER(SnapshotTable[[#This Row],[SC Qty]]), ISNUMBER(SnapshotTable[[#This Row],[SC Book Date]]), ISNUMBER(SnapshotTable[[#This Row],[SC Book Price]]))</f>
        <v>0</v>
      </c>
      <c r="ER50" s="382" t="b">
        <f>AND(SnapshotTable[[#This Row],[SC Is Booked]], NOT(ISBLANK(SnapshotTable[[#This Row],[SC Fill Date]])))</f>
        <v>0</v>
      </c>
      <c r="ES50" s="340"/>
      <c r="ET50" s="34" t="str">
        <f>IF(AND(ISNUMBER(SnapshotTable[[#This Row],[SC Exp Date]]), ISNUMBER(SnapshotTable[[#This Row],[SC Book Date]])), SnapshotTable[[#This Row],[SC Exp Date]] - MAX(SnapshotTable[[#This Row],[SC Book Date]], SnapshotTable[[#This Row],[SC Fill Date]]) + 1, "")</f>
        <v/>
      </c>
      <c r="EU50" s="34" t="str">
        <f>IF(ISNUMBER(SnapshotTable[[#This Row],[SC Term]]), SnapshotTable[[#This Row],[SC Exp Date]]- MockToday, "")</f>
        <v/>
      </c>
      <c r="EV50" s="31">
        <f>IF(SnapshotTable[[#This Row],[SC Is Booked]], SnapshotTable[[#This Row],[SC Qty]] * SnapshotTable[[#This Row],[SC Book Price]] * 100, 0)</f>
        <v>0</v>
      </c>
      <c r="EW50" s="4" t="str">
        <f>IF(AND(ISNUMBER(SnapshotTable[[#This Row],[Last Price]]), ISNUMBER( SnapshotTable[[#This Row],[SC Book Price]])), SnapshotTable[[#This Row],[Last Price]] - SnapshotTable[[#This Row],[SC Book Price]],"")</f>
        <v/>
      </c>
      <c r="EX50" s="219" t="str">
        <f>IF(SnapshotTable[[#This Row],[SC Is Booked]],IF(SnapshotTable[[#This Row],[SC Intrinsic Value]] &gt; 0, SnapshotTable[[#This Row],[SC Strike Price]], SnapshotTable[[#This Row],[Last Price]]), "")</f>
        <v/>
      </c>
      <c r="EY50" s="4">
        <f>IF(SnapshotTable[[#This Row],[SC Is Booked]], (MinimumPremiumRequired * SnapshotTable[[#This Row],[SC Basis]] * SnapshotTable[[#This Row],[SC Term]]), 0)</f>
        <v>0</v>
      </c>
      <c r="EZ50" s="268"/>
      <c r="FA50" s="204"/>
      <c r="FB50" s="340"/>
      <c r="FC50" s="4">
        <f>IF(SnapshotTable[[#This Row],[SC Is Filled]], btc_max_buyback_amount(SnapshotTable[[#This Row],[SC Fill Date]],SnapshotTable[[#This Row],[SC Exp Date]], SnapshotTable[[#This Row],[SC Book Price]]),0)</f>
        <v>0</v>
      </c>
      <c r="FD50" s="5"/>
      <c r="FE50" s="142" t="str">
        <f>IF(SnapshotTable[[#This Row],[SC Is Filled]], btc_next_cutoff_date(SnapshotTable[[#This Row],[SC Fill Date]],SnapshotTable[[#This Row],[SC Exp Date]]),"")</f>
        <v/>
      </c>
      <c r="FF50" s="4" t="str" cm="1">
        <f t="array" ref="FF50">IF(SnapshotTable[[#This Row],[SC Is Filled]], btc_should_buy_back(SnapshotTable[[#This Row],[SC Fill Date]], SnapshotTable[[#This Row],[SC Exp Date]], SnapshotTable[[#This Row],[SC Book Price]], SnapshotTable[[#This Row],[SC Current Ask]], MockToday, SnapshotTable[[#This Row],[SC Buyback Override]]),"")</f>
        <v/>
      </c>
      <c r="FG50" s="4">
        <f>IF(SnapshotTable[[#This Row],[SC Is Filled]], MAX(0,SnapshotTable[[#This Row],[Last Price]]  - SnapshotTable[[#This Row],[SC Strike Price]]), 0)</f>
        <v>0</v>
      </c>
      <c r="FH50" s="352">
        <f>IF(SnapshotTable[[#This Row],[SC Is Filled]], IF(ISNUMBER(SnapshotTable[[#This Row],[SC Current Ask]]), SnapshotTable[[#This Row],[SC Current Ask]], SnapshotTable[[#This Row],[SC Book Price]]) - SnapshotTable[[#This Row],[SC Intrinsic Value]], 0)</f>
        <v>0</v>
      </c>
      <c r="FI50" s="141"/>
      <c r="FJ50" s="32" t="str">
        <f>IF(SnapshotTable[[#This Row],[SC Is Filled]],100 * SnapshotTable[[#This Row],[SC Qty]] * IF(ISNUMBER(SnapshotTable[[#This Row],[SC Buyback Override]]), SnapshotTable[[#This Row],[SC Buyback Override]], SnapshotTable[[#This Row],[SC Current Ask]]), "")</f>
        <v/>
      </c>
      <c r="FK50" s="235" t="str">
        <f>IF(SnapshotTable[[#This Row],[SC Time Val]]&gt;0, SnapshotTable[[#This Row],[SC Time Val]] / SnapshotTable[[#This Row],[Last Price]],"")</f>
        <v/>
      </c>
      <c r="FL50" s="280" t="str">
        <f>IF(SnapshotTable[[#This Row],[SC Is Booked]], ((SnapshotTable[[#This Row],[Last Price]] -SnapshotTable[[#This Row],[SC Strike Price]]) / SnapshotTable[[#This Row],[Last Price]]) * -1, "")</f>
        <v/>
      </c>
      <c r="FM50" s="155" t="str">
        <f>IF(SnapshotTable[[#This Row],[SC Is Booked]],  (SnapshotTable[[#This Row],[SC Qty]] * 100 * SnapshotTable[[#This Row],[SC Strike Price]]) - SnapshotTable[[#This Row],[SC Current Ask]], "")</f>
        <v/>
      </c>
      <c r="FN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0" s="31" t="str">
        <f>IF(AND(ISNUMBER(SnapshotTable[[#This Row],[SC Exercise Gross]]), ISNUMBER(SnapshotTable[[#This Row],[Equity Basis Per Share]] )), SnapshotTable[[#This Row],[SC Exercise Gross]] - SnapshotTable[[#This Row],[Equity Basis Total]] +  SnapshotTable[[#This Row],[SC Premium]], "")</f>
        <v/>
      </c>
      <c r="FP50" s="5" t="str">
        <f>IF(ISNUMBER(SnapshotTable[[#This Row],[SC Exercise Gross]]), (SnapshotTable[[#This Row],[SC Exercise Gross]]) / (SnapshotTable[[#This Row],[SC Qty]] * 100), "")</f>
        <v/>
      </c>
      <c r="FQ50" s="27" t="str">
        <f>IF(SnapshotTable[[#This Row],[SC Is Booked]],SnapshotTable[[#This Row],[SC Time Val]] /SnapshotTable[[#This Row],[SC Basis]], "")</f>
        <v/>
      </c>
      <c r="FR50" s="27" t="str" cm="1">
        <f t="array" ref="FR50">IF(AND(ISNUMBER(SnapshotTable[[#This Row],[SC Term]]),ISNUMBER(SnapshotTable[[#This Row],[SC Simple ROO]])), EllmanAnnualize(SnapshotTable[[#This Row],[SC DTE]], SnapshotTable[[#This Row],[SC Simple ROO]] ),"")</f>
        <v/>
      </c>
      <c r="FS50" s="4">
        <f>IF(SnapshotTable[[#This Row],[SC Strike Price]] &gt; SnapshotTable[[#This Row],[Last Price]], SnapshotTable[[#This Row],[SC Strike Price]] - SnapshotTable[[#This Row],[Last Price]],0)</f>
        <v>0</v>
      </c>
      <c r="FT50" s="27" t="str">
        <f>IF(AND(ISNUMBER(SnapshotTable[[#This Row],[SC Upside Potential]]), SnapshotTable[[#This Row],[SC Upside Potential]] &gt; 0),(SnapshotTable[[#This Row],[SC Upside Potential]]/ SnapshotTable[[#This Row],[ACB]]),"")</f>
        <v/>
      </c>
      <c r="FU50" s="304" t="str">
        <f>IF(SnapshotTable[[#This Row],[SC Intrinsic Value]] &gt; 0,SnapshotTable[[#This Row],[SC Intrinsic Value]],"")</f>
        <v/>
      </c>
      <c r="FV50" s="27" t="str">
        <f>IF(AND( ISNUMBER( SnapshotTable[[#This Row],[ACB]]),ISNUMBER(SnapshotTable[[#This Row],[SC Downside Protect]])),SnapshotTable[[#This Row],[SC Downside Protect]] / SnapshotTable[[#This Row],[ACB]],"")</f>
        <v/>
      </c>
      <c r="FW50" s="221" t="str">
        <f>IF(AND(ISNUMBER(SnapshotTable[[#This Row],[SC Simple ROO]]),SnapshotTable[[#This Row],[SC Simple ROO]] &gt; 0), SnapshotTable[[#This Row],[SC Premium]] + (SnapshotTable[[#This Row],[SC Qty]] * SnapshotTable[[#This Row],[SC Upside Potential]]), "")</f>
        <v/>
      </c>
      <c r="FX50" s="280" t="str" cm="1">
        <f t="array" ref="FX50">IF(ISNUMBER(SnapshotTable[[#This Row],[SC Max Dollars]]), annualize(SnapshotTable[[#This Row],[SC Term]],(SnapshotTable[[#This Row],[SC Max Dollars]]/SnapshotTable[[#This Row],[SC Basis]])),"")</f>
        <v/>
      </c>
      <c r="FY50" s="221" t="str">
        <f>IF(AND(SnapshotTable[[#This Row],[SC Qty]]&gt;0,SnapshotTable[[#This Row],[SC Current Ask]]&gt;0), SnapshotTable[[#This Row],[SC Qty]] * SnapshotTable[[#This Row],[SC Current Ask]] * -100, "")</f>
        <v/>
      </c>
      <c r="FZ50" s="31" t="str">
        <f>IF(ISNUMBER((SnapshotTable[[#This Row],[SC Current Value]])), SnapshotTable[[#This Row],[SC Premium]] + SnapshotTable[[#This Row],[SC Current Value]], "")</f>
        <v/>
      </c>
      <c r="GA50" s="272" t="str">
        <f>IFERROR( IF(ISNUMBER((SnapshotTable[[#This Row],[SC Current Value]])), SnapshotTable[[#This Row],[SC Gain Loss]] / SnapshotTable[[#This Row],[SC Premium]], ""), "")</f>
        <v/>
      </c>
      <c r="GB50" s="42">
        <f>SnapshotTable[[#This Row],[Equity Shares]] * SaleSharesToConsiderPercentage</f>
        <v>0</v>
      </c>
      <c r="GC50" s="40">
        <f>SnapshotTable[[#This Row],[Long Term Target]] * SellingPriceToConsiderBasedOnTargetPercentage</f>
        <v>4.5125000000000002</v>
      </c>
      <c r="GD50" s="40">
        <f>SnapshotTable[[#This Row],[Last Price]] * (1+ SellingPriceToConsiderBasedOnTargetPercentage)</f>
        <v>17.452499999999997</v>
      </c>
      <c r="GE50" s="41"/>
      <c r="GF50" s="40"/>
      <c r="GG50" s="31">
        <f>SnapshotTable[[#This Row],[Booked Sale Shares]] * SnapshotTable[[#This Row],[Booked Sale Price]]</f>
        <v>0</v>
      </c>
      <c r="GH50" s="31" t="str">
        <f>IF(SnapshotTable[[#This Row],[Equity Basis Total]] &gt; 0, SnapshotTable[[#This Row],[Equity Basis Per Share]] * SnapshotTable[[#This Row],[Booked Sale Shares]], "")</f>
        <v/>
      </c>
      <c r="GI50" s="31">
        <f>IF(SnapshotTable[[#This Row],[Sale Proceeds]]&gt;0, SnapshotTable[[#This Row],[Sale Proceeds]] - SnapshotTable[[#This Row],[Sale Basis]], 0)</f>
        <v>0</v>
      </c>
      <c r="GJ50" s="27" t="str">
        <f>IF(SnapshotTable[[#This Row],[Sale G/L]]&gt;0, SnapshotTable[[#This Row],[Sale G/L]] / SnapshotTable[[#This Row],[Sale Basis]], IF(ISNUMBER(SnapshotTable[[#This Row],[SC Exercise P&amp;L (TAX)]]), SnapshotTable[[#This Row],[SC Exercise P&amp;L (TAX)]] / SnapshotTable[[#This Row],[SC Basis]], ""))</f>
        <v/>
      </c>
      <c r="GK50" s="27"/>
      <c r="GL50" s="43" t="str">
        <f>IF(AND(SnapshotTable[[#This Row],[LP Exp Date]]&gt;0,SnapshotTable[[#This Row],[LP Strike Price]]&gt;0), [1]!ToOptionSymbol(SnapshotTable[[#This Row],[Symbol]], SnapshotTable[[#This Row],[LP Strike Price]],SnapshotTable[[#This Row],[LP Exp Date]],1), "")</f>
        <v/>
      </c>
      <c r="GM50" s="30" t="str">
        <f>IF(LEN(SnapshotTable[[#This Row],[LP Symbol]])&gt;0, 1, "")</f>
        <v/>
      </c>
      <c r="GN50" s="43" t="str">
        <f>IF(AND(SnapshotTable[[#This Row],[SP Exp Date]]&gt;0,SnapshotTable[[#This Row],[SP Strike Price]]&gt;0), [1]!ToOptionSymbol(SnapshotTable[[#This Row],[Symbol]], SnapshotTable[[#This Row],[SP Strike Price]],SnapshotTable[[#This Row],[SP Exp Date]],1), "")</f>
        <v/>
      </c>
      <c r="GO50" s="30" t="str">
        <f>IF(LEN(SnapshotTable[[#This Row],[SP Symbol]])&gt;0, 1, "")</f>
        <v/>
      </c>
      <c r="GP50" s="43" t="str">
        <f>IF(AND(SnapshotTable[[#This Row],[LC Exp Date]]&gt;0,SnapshotTable[[#This Row],[LC Strike Price]]&gt;0), [1]!ToOptionSymbol(SnapshotTable[[#This Row],[Symbol]], SnapshotTable[[#This Row],[LC Strike Price]],SnapshotTable[[#This Row],[LC Exp Date]],0), "")</f>
        <v/>
      </c>
      <c r="GQ50" s="30" t="str">
        <f>IF(LEN(SnapshotTable[[#This Row],[LC Symbol]])&gt;0, 1, "")</f>
        <v/>
      </c>
      <c r="GR50" s="43" t="str">
        <f>IF(AND(SnapshotTable[[#This Row],[SC Exp Date]]&gt;0,SnapshotTable[[#This Row],[SC Strike Price]]&gt;0), [1]!ToOptionSymbol(SnapshotTable[[#This Row],[Symbol]], SnapshotTable[[#This Row],[SC Strike Price]],SnapshotTable[[#This Row],[SC Exp Date]],0), "")</f>
        <v/>
      </c>
      <c r="GS50" s="30" t="str">
        <f>IF(LEN(SnapshotTable[[#This Row],[SC Symbol]])&gt;0, 1, "")</f>
        <v/>
      </c>
      <c r="GT50" s="29" t="str">
        <f>IF(COUNT(SnapshotTable[[#This Row],[LP Symbol Count]],SnapshotTable[[#This Row],[SP Symbol Count]],SnapshotTable[[#This Row],[LC Symbol Count]],SnapshotTable[[#This Row],[SC Symbol Count]])&gt;0, "Y", "")</f>
        <v/>
      </c>
      <c r="GU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0" s="216">
        <f>MAX(SnapshotTable[[#This Row],[Equity Basis Total]],SnapshotTable[[#This Row],[Equity Value]]) + (SnapshotTable[[#This Row],[SP Potential Spend]]- SnapshotTable[[#This Row],[SP Premium]] + SnapshotTable[[#This Row],[LP Premium]])+ (SnapshotTable[[#This Row],[LC Premium]] - SnapshotTable[[#This Row],[SC Premium]])</f>
        <v>0</v>
      </c>
      <c r="GW50" s="137" t="str">
        <f>IF(AND(SnapshotTable[[#This Row],[Exposure]] &lt;&gt; 0),SnapshotTable[[#This Row],[Exposure]] / SnapshotTable[[#Totals],[Exposure]], "")</f>
        <v/>
      </c>
      <c r="HE50" s="253"/>
      <c r="HF50" s="253"/>
      <c r="HK50" s="1"/>
      <c r="HL50" s="1"/>
      <c r="HM50" s="1"/>
      <c r="HN50" s="1"/>
      <c r="HO50" s="1"/>
      <c r="HP50" s="1"/>
    </row>
    <row r="51" spans="2:224" ht="12.75" hidden="1" customHeight="1" x14ac:dyDescent="0.25">
      <c r="B51" s="12" t="s">
        <v>101</v>
      </c>
      <c r="C51" s="385">
        <v>5.15</v>
      </c>
      <c r="D51" s="200"/>
      <c r="E51" s="39">
        <f>SnapshotTable[[#This Row],[Last Price]]*(1 -CrashDiscount)</f>
        <v>4.3775000000000004</v>
      </c>
      <c r="F51" s="26" t="s">
        <v>703</v>
      </c>
      <c r="G51" s="26" t="s">
        <v>493</v>
      </c>
      <c r="H51" s="147"/>
      <c r="I51" s="186">
        <v>44755.3125</v>
      </c>
      <c r="J51" s="187">
        <v>44755.3125</v>
      </c>
      <c r="K51" s="188"/>
      <c r="L51" s="297"/>
      <c r="M51" s="138"/>
      <c r="N51" s="138"/>
      <c r="O51" s="138">
        <v>4</v>
      </c>
      <c r="P51" s="22"/>
      <c r="Q51" s="25"/>
      <c r="R51" s="4" t="str">
        <f>IF(SnapshotTable[[#This Row],[Equity Basis Total]] &gt; 0, SnapshotTable[[#This Row],[Equity Basis Total]] / SnapshotTable[[#This Row],[Equity Shares]], "")</f>
        <v/>
      </c>
      <c r="S51" s="254">
        <f>SnapshotTable[[#This Row],[Last Price]] * SnapshotTable[[#This Row],[Equity Shares]]</f>
        <v>0</v>
      </c>
      <c r="T51" s="254">
        <f>SnapshotTable[[#This Row],[Equity Value]] - SnapshotTable[[#This Row],[Equity Basis Total]]</f>
        <v>0</v>
      </c>
      <c r="U51" s="255" t="str">
        <f>IF(SnapshotTable[[#This Row],[Equity Basis Total]] &gt; 0, SnapshotTable[[#This Row],[Equity G/L]] / SnapshotTable[[#This Row],[Equity Basis Total]], "")</f>
        <v/>
      </c>
      <c r="V51" s="253"/>
      <c r="W51" s="253"/>
      <c r="X51" s="4" t="str">
        <f>IF(AND(ISNUMBER(SnapshotTable[[#This Row],[Equity Basis Per Share]]),ISNUMBER(SnapshotTable[[#This Row],[Equity Target]])),SnapshotTable[[#This Row],[Equity Target]]-SnapshotTable[[#This Row],[Equity Basis Per Share]],"")</f>
        <v/>
      </c>
      <c r="Y51" s="4" t="str">
        <f>IF(AND(ISNUMBER(SnapshotTable[[#This Row],[Equity Basis Per Share]]),ISNUMBER(SnapshotTable[[#This Row],[Equity Stop Loss]])),SnapshotTable[[#This Row],[Equity Stop Loss]]-SnapshotTable[[#This Row],[Equity Basis Per Share]],"")</f>
        <v/>
      </c>
      <c r="Z51" s="260" t="str">
        <f>IFERROR( TEXT(SnapshotTable[[#This Row],[Equity Max Gain Per Share]] /ABS( SnapshotTable[[#This Row],[Equity Max Loss Per Share]]),"0.0 " ) &amp; " : 1", "")</f>
        <v/>
      </c>
      <c r="AA51" s="31" t="str">
        <f>IF(ISNUMBER(SnapshotTable[[#This Row],[Equity Max Gain Per Share]]),SnapshotTable[[#This Row],[Equity Max Gain Per Share]] * SnapshotTable[[#This Row],[Equity Shares]],"")</f>
        <v/>
      </c>
      <c r="AB51" s="31" t="str">
        <f>IF(ISNUMBER(SnapshotTable[[#This Row],[Equity Max Loss Per Share]]),SnapshotTable[[#This Row],[Equity Max Loss Per Share]] * SnapshotTable[[#This Row],[Equity Shares]],"")</f>
        <v/>
      </c>
      <c r="AC51" s="148">
        <v>0.6</v>
      </c>
      <c r="AD51" s="149">
        <v>43116</v>
      </c>
      <c r="AE51" s="31">
        <f>(SnapshotTable[[#This Row],[Annual Dividend Per Share]] / 4) * SnapshotTable[[#This Row],[Equity Shares]]</f>
        <v>0</v>
      </c>
      <c r="AF51" s="31">
        <f>SnapshotTable[[#This Row],[Quarterly Div $]] * 4</f>
        <v>0</v>
      </c>
      <c r="AG51" s="7">
        <f>IF(SnapshotTable[[#This Row],[Annual Dividend Per Share]]&gt;0, SnapshotTable[[#This Row],[Annual Dividend Per Share]]  / SnapshotTable[[#This Row],[Last Price]], 0)</f>
        <v>0.11650485436893203</v>
      </c>
      <c r="AH51" s="149">
        <v>43266</v>
      </c>
      <c r="AI51" s="5"/>
      <c r="AJ51" s="136">
        <v>27.65</v>
      </c>
      <c r="AK51" s="150" t="str">
        <f>IF(ISNUMBER( SnapshotTable[[#This Row],[EBF Target]]),(SnapshotTable[[#This Row],[EBF Target]] - SnapshotTable[[#This Row],[Last Price]]) / SnapshotTable[[#This Row],[Last Price]], "")</f>
        <v/>
      </c>
      <c r="AL51" s="150" t="str">
        <f>IF(AND(SnapshotTable[[#This Row],[Equity Basis Total]] &gt; 0,ISNUMBER( SnapshotTable[[#This Row],[Long Term Target]])), SnapshotTable[[#This Row],[From Basis $]] / SnapshotTable[[#This Row],[Equity Basis Total]], "")</f>
        <v/>
      </c>
      <c r="AM51" s="9">
        <f>IF( AND(SnapshotTable[[#This Row],[Equity Shares]] &gt;0,ISNUMBER( SnapshotTable[[#This Row],[Long Term Target]])),(SnapshotTable[[#This Row],[Equity Shares]] * SnapshotTable[[#This Row],[Long Term Target]]) - SnapshotTable[[#This Row],[Equity Basis Total]],0)</f>
        <v>0</v>
      </c>
      <c r="AN51" s="9">
        <f>IF( AND(SnapshotTable[[#This Row],[Equity Shares]] &gt;0,ISNUMBER( SnapshotTable[[#This Row],[Long Term Target]])),(SnapshotTable[[#This Row],[Equity Shares]]*SnapshotTable[[#This Row],[Long Term Target]]) - SnapshotTable[[#This Row],[Equity Value]],0)</f>
        <v>0</v>
      </c>
      <c r="AO51" s="150">
        <f>IF(AND(ISNUMBER( SnapshotTable[[#This Row],[Long Term Target]]), ISNUMBER(SnapshotTable[[#This Row],[Last Price]])),(SnapshotTable[[#This Row],[Long Term Target]] - SnapshotTable[[#This Row],[Last Price]]) / SnapshotTable[[#This Row],[Last Price]], "")</f>
        <v>4.3689320388349513</v>
      </c>
      <c r="AP51" s="5"/>
      <c r="AQ51" s="38"/>
      <c r="AR51" s="5"/>
      <c r="AS51" s="38"/>
      <c r="AT51" s="144"/>
      <c r="AU51" s="185" t="str">
        <f>IF(OR(SnapshotTable[[#This Row],[LP No Fill]]="Y",SnapshotTable[[#This Row],[SP Is Filled]],SnapshotTable[[#This Row],[LC Not Filled]]="Y",SnapshotTable[[#This Row],[SC Is Filled]]),"Y","")</f>
        <v/>
      </c>
      <c r="AV51" s="205"/>
      <c r="AW51" s="211"/>
      <c r="AX51" s="206"/>
      <c r="AY51" s="205" t="str">
        <f>IF(SnapshotTable[[#This Row],[Implied Move]]&gt;0, SnapshotTable[[#This Row],[Last Price]]-SnapshotTable[[#This Row],[Implied Move]],"")</f>
        <v/>
      </c>
      <c r="AZ51" s="205" t="str">
        <f>IF(SnapshotTable[[#This Row],[Implied Move]]&gt;0, SnapshotTable[[#This Row],[Last Price]] + SnapshotTable[[#This Row],[Implied Move]],"")</f>
        <v/>
      </c>
      <c r="BA51" s="302"/>
      <c r="BB51" s="318"/>
      <c r="BC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1" s="321"/>
      <c r="BE51" s="5"/>
      <c r="BF51" s="14"/>
      <c r="BG51" s="13"/>
      <c r="BH51" s="13"/>
      <c r="BI51" s="5"/>
      <c r="BJ51" s="134">
        <f>IF(SnapshotTable[[#This Row],[LP Qty]] &gt; 0, SnapshotTable[[#This Row],[LP Qty]] * SnapshotTable[[#This Row],[LP Book Price]] * 100,0)</f>
        <v>0</v>
      </c>
      <c r="BK51" s="134">
        <f>IF(SnapshotTable[[#This Row],[LP Premium]] &gt; 0, SnapshotTable[[#This Row],[LP Qty]] * SnapshotTable[[#This Row],[LP Strike Price]] * 100,0)</f>
        <v>0</v>
      </c>
      <c r="BL51" s="152"/>
      <c r="BM51" s="355" t="str">
        <f>IF(SnapshotTable[[#This Row],[LP Premium]] &gt; 0,SnapshotTable[[#This Row],[LP Exp Date]]-MAX(SnapshotTable[[#This Row],[LP Book Date]], SnapshotTable[[#This Row],[LP Fill Date]]),"")</f>
        <v/>
      </c>
      <c r="BN51" s="355" t="str">
        <f>IF(ISNUMBER( SnapshotTable[[#This Row],[LP Term]]), SnapshotTable[[#This Row],[LP Exp Date]] - MockToday,"")</f>
        <v/>
      </c>
      <c r="BO51" s="161" t="str">
        <f>IF(AND(SnapshotTable[[#This Row],[LP Exp Date]]&gt;0, SnapshotTable[[#This Row],[LP Strike Price]]&gt;0,SnapshotTable[[#This Row],[LP Qty]]&gt;0,SnapshotTable[[#This Row],[LP Book Date]]&gt;0,SnapshotTable[[#This Row],[LP Book Price]]&gt;0,SnapshotTable[[#This Row],[LP Fill Date]]=0),"Y","")</f>
        <v/>
      </c>
      <c r="BP51" s="31" t="str">
        <f>IF(AND(SnapshotTable[[#This Row],[LP No Fill]]&lt;&gt;"Y",SnapshotTable[[#This Row],[LP Contract Value]]&gt;0, SnapshotTable[[#This Row],[LP Qty]]&gt;0), SnapshotTable[[#This Row],[LP Contract Value]]*SnapshotTable[[#This Row],[LP Qty]]*100,"")</f>
        <v/>
      </c>
      <c r="BQ51" s="13"/>
      <c r="BR51" s="5"/>
      <c r="BS51" s="36"/>
      <c r="BT51" s="145"/>
      <c r="BU51" s="13"/>
      <c r="BV51" s="5"/>
      <c r="BW51" s="382" t="b">
        <f>AND(ISNUMBER(SnapshotTable[[#This Row],[SP Exp Date]]), ISNUMBER(SnapshotTable[[#This Row],[SP Strike Price]]), ISNUMBER(SnapshotTable[[#This Row],[SP Qty]]), ISNUMBER(SnapshotTable[[#This Row],[SP Book Date]]), ISNUMBER(SnapshotTable[[#This Row],[SP Book Price]]))</f>
        <v>0</v>
      </c>
      <c r="BX51" s="382" t="b">
        <f>AND(SnapshotTable[[#This Row],[SP Is Booked]], NOT(ISBLANK(SnapshotTable[[#This Row],[SP Fill Date]])))</f>
        <v>0</v>
      </c>
      <c r="BY51" s="33">
        <f>IF(SnapshotTable[[#This Row],[SP Is Booked]], SnapshotTable[[#This Row],[SP Qty]] * SnapshotTable[[#This Row],[SP Book Price]] * 100, 0)</f>
        <v>0</v>
      </c>
      <c r="BZ51" s="339"/>
      <c r="CA51" s="338">
        <f>SnapshotTable[[#This Row],[LP Qty]]</f>
        <v>0</v>
      </c>
      <c r="CB51" s="4" t="str">
        <f>IF(SnapshotTable[[#This Row],[SP Is Booked]], SnapshotTable[[#This Row],[SP Strike Price]] - SnapshotTable[[#This Row],[SP Book Price]], "")</f>
        <v/>
      </c>
      <c r="CC51" s="19" t="str">
        <f>IF(SnapshotTable[[#This Row],[SP Is Booked]],SnapshotTable[[#This Row],[SP Exp Date]]-MAX(SnapshotTable[[#This Row],[SP Book Date]], SnapshotTable[[#This Row],[SP Fill Date]]),"")</f>
        <v/>
      </c>
      <c r="CD51" s="7" t="str">
        <f>IF(SnapshotTable[[#This Row],[SP Is Booked]], SnapshotTable[[#This Row],[SP Book Price]]/SnapshotTable[[#This Row],[SP Strike Price]], "")</f>
        <v/>
      </c>
      <c r="CE51" s="7" t="str">
        <f>IF(ISNUMBER(SnapshotTable[[#This Row],[SP ROO Term]]),SnapshotTable[[#This Row],[SP ROO Term]]*(365/SnapshotTable[[#This Row],[SP Term]]),"")</f>
        <v/>
      </c>
      <c r="CF51" s="221">
        <f>SnapshotTable[[#This Row],[LP Strike Price]] * SnapshotTable[[#This Row],[LP Qty]] * 100</f>
        <v>0</v>
      </c>
      <c r="CG51" s="31">
        <f>IF(ISNUMBER(SnapshotTable[[#This Row],[SP Premium]]), (SnapshotTable[[#This Row],[SP Qty]] * SnapshotTable[[#This Row],[SP Strike Price]]* 100) - SnapshotTable[[#This Row],[LP Protection]], 0)</f>
        <v>0</v>
      </c>
      <c r="CH51" s="7" t="str">
        <f>IF(ISNUMBER(SnapshotTable[[#This Row],[SP Break Even]]),-1 * (SnapshotTable[[#This Row],[SP Break Even]] - SnapshotTable[[#This Row],[Last Price]]) / SnapshotTable[[#This Row],[Last Price]], "")</f>
        <v/>
      </c>
      <c r="CI51" s="31">
        <f>IF(AND(ISNUMBER((SnapshotTable[[#This Row],[SP Potential Spend]])), SnapshotTable[[#This Row],[SP Strike Price]] &gt; SnapshotTable[[#This Row],[Last Price]], SnapshotTable[[#This Row],[SP Is Filled]]), SnapshotTable[[#This Row],[SP Potential Spend]] -  SnapshotTable[[#This Row],[LP Max Value]], 0)</f>
        <v>0</v>
      </c>
      <c r="CJ51" s="229"/>
      <c r="CK51" s="31">
        <f>IF(ISNUMBER(SnapshotTable[[#This Row],[SP Potential Spend]]),IF(ISNUMBER(SnapshotTable[[#This Row],[SP POW]]), SnapshotTable[[#This Row],[SP POW]] * SnapshotTable[[#This Row],[SP Potential Spend]], SnapshotTable[[#This Row],[SP Potential Spend]]), "")</f>
        <v>0</v>
      </c>
      <c r="CL51" s="162">
        <f>IF(NOT(SnapshotTable[[#This Row],[SP Is Filled]]),(SnapshotTable[[#This Row],[SP Qty]] * SnapshotTable[[#This Row],[SP Strike Price]] * 100) - SnapshotTable[[#This Row],[LP Max Value]],"")</f>
        <v>0</v>
      </c>
      <c r="CM51" s="31" t="str">
        <f>IF(SnapshotTable[[#This Row],[SP Actual Spend]]&lt;&gt;0, ((SnapshotTable[[#This Row],[SP Strike Price]]-SnapshotTable[[#This Row],[Last Price]]) *(SnapshotTable[[#This Row],[SP Qty]]*100) - SnapshotTable[[#This Row],[SP Premium]]) * - 1, "")</f>
        <v/>
      </c>
      <c r="CN51" s="76"/>
      <c r="CO51" s="339"/>
      <c r="CP51" s="4" t="str">
        <f>IF(SnapshotTable[[#This Row],[SP Is Filled]], btc_max_buyback_amount(SnapshotTable[[#This Row],[SP Fill Date]],SnapshotTable[[#This Row],[SP Exp Date]], SnapshotTable[[#This Row],[SP Book Price]]),"")</f>
        <v/>
      </c>
      <c r="CQ51" s="76"/>
      <c r="CR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1" s="153" t="str">
        <f>IF(SnapshotTable[[#This Row],[SP Is Filled]], btc_next_cutoff_date(SnapshotTable[[#This Row],[SP Fill Date]],SnapshotTable[[#This Row],[SP Exp Date]]),"")</f>
        <v/>
      </c>
      <c r="CT51" s="220" t="str" cm="1">
        <f t="array" ref="CT51">IF(SnapshotTable[[#This Row],[SP Is Filled]], btc_should_buy_back(SnapshotTable[[#This Row],[SP Fill Date]], SnapshotTable[[#This Row],[SP Exp Date]], SnapshotTable[[#This Row],[SP Book Price]], SnapshotTable[[#This Row],[SP Current Ask]], MockToday, SnapshotTable[[#This Row],[SP Buyback Override]]),"")</f>
        <v/>
      </c>
      <c r="CU51" s="141">
        <v>44883</v>
      </c>
      <c r="CV51" s="220"/>
      <c r="CW51" s="348" t="str">
        <f>IF(ISNUMBER( SnapshotTable[[#This Row],[SP Term]]), SnapshotTable[[#This Row],[SP Exp Date]] - MockToday,"")</f>
        <v/>
      </c>
      <c r="CX51" s="31" t="str">
        <f>IF(SnapshotTable[[#This Row],[SP Is Filled]],SnapshotTable[[#This Row],[SP Buyback Price to Use]] * 100 * SnapshotTable[[#This Row],[SP Qty]], "")</f>
        <v/>
      </c>
      <c r="CY51" s="4" t="str">
        <f>IF(ISNUMBER(SnapshotTable[[#This Row],[SP Strike Price]]), SnapshotTable[[#This Row],[SP Strike Price]] * (1 - SP_MaxLoss_StrikePct), "")</f>
        <v/>
      </c>
      <c r="CZ51" s="31" t="str">
        <f>IF(ISNUMBER(SnapshotTable[[#This Row],[SP Strike  Stop Per Share]]),SnapshotTable[[#This Row],[SP Premium]] - ((SnapshotTable[[#This Row],[SP Strike Price]]-SnapshotTable[[#This Row],[SP Strike  Stop Per Share]]) *(SnapshotTable[[#This Row],[SP Qty]] * 100)),"")</f>
        <v/>
      </c>
      <c r="DA51" s="4" t="str">
        <f>IF(AND(ISNUMBER(SnapshotTable[[#This Row],[SP Premium]]),SnapshotTable[[#This Row],[SP Premium]]&gt;0), SnapshotTable[[#This Row],[SP Book Price]] * (1 + SP_MaxLoss_OptionPct), "")</f>
        <v/>
      </c>
      <c r="DB51" s="31" t="str">
        <f>IF(ISNUMBER(SnapshotTable[[#This Row],[SP Option  Stop Contract]]),(SnapshotTable[[#This Row],[SP Option  Stop Contract]] *(SnapshotTable[[#This Row],[SP Qty]] * 100) - SnapshotTable[[#This Row],[SP Premium]]),"")</f>
        <v/>
      </c>
      <c r="DC51" s="4"/>
      <c r="DD51" s="4"/>
      <c r="DE51" s="4" t="str">
        <f>IF(AND(SnapshotTable[[#This Row],[SP Qty]]&gt;0, SnapshotTable[[#This Row],[SP Stop To Use]]&gt;0),SnapshotTable[[#This Row],[SP Premium]] - ( SnapshotTable[[#This Row],[SP Qty]] * SnapshotTable[[#This Row],[SP Stop To Use]] * 100), "")</f>
        <v/>
      </c>
      <c r="DF51" s="31" t="str">
        <f>IF(AND(SnapshotTable[[#This Row],[SP Qty]]&gt;0,SnapshotTable[[#This Row],[SP Current Ask]]&gt;0), SnapshotTable[[#This Row],[SP Qty]] * SnapshotTable[[#This Row],[SP Current Ask]] * -100, "")</f>
        <v/>
      </c>
      <c r="DG51" s="31" t="str">
        <f>IF(ISNUMBER((SnapshotTable[[#This Row],[SP Total Value]])), SnapshotTable[[#This Row],[SP Premium]] + SnapshotTable[[#This Row],[SP Total Value]], "")</f>
        <v/>
      </c>
      <c r="DH51" s="272" t="str">
        <f>IF(ISNUMBER((SnapshotTable[[#This Row],[SP Total Value]])), SnapshotTable[[#This Row],[SP Gain Loss]] / SnapshotTable[[#This Row],[SP Premium]], "")</f>
        <v/>
      </c>
      <c r="DI51" s="369"/>
      <c r="DJ51" s="136"/>
      <c r="DK51" s="146"/>
      <c r="DL51" s="13"/>
      <c r="DM51" s="13"/>
      <c r="DO51" s="31">
        <f>IF(SnapshotTable[[#This Row],[LC Symbol Count]]=1, SnapshotTable[[#This Row],[LC Qty]] * SnapshotTable[[#This Row],[LC Book Price]] * 100, 0)</f>
        <v>0</v>
      </c>
      <c r="DP51" s="161" t="str">
        <f>IF(AND(SnapshotTable[[#This Row],[LC Exp Date]]&gt;0, SnapshotTable[[#This Row],[LC Strike Price]]&gt;0,SnapshotTable[[#This Row],[LC Qty]]&gt;0,SnapshotTable[[#This Row],[LC Book Date]]&gt;0,SnapshotTable[[#This Row],[LC Book Price]]&gt;0,SnapshotTable[[#This Row],[LC Fill Date]]=0),"Y","")</f>
        <v/>
      </c>
      <c r="DQ51" s="356" t="str">
        <f>IF(SnapshotTable[[#This Row],[LC Premium]] &gt; 0,SnapshotTable[[#This Row],[LC Exp Date]]-MAX(SnapshotTable[[#This Row],[LC Book Date]], SnapshotTable[[#This Row],[LC Fill Date]]),"")</f>
        <v/>
      </c>
      <c r="DR51" s="356" t="str">
        <f>IF(ISNUMBER(SnapshotTable[[#This Row],[LC Term]]), SnapshotTable[[#This Row],[LC Exp Date]] - MockToday, "")</f>
        <v/>
      </c>
      <c r="DS51" s="219" t="str">
        <f>IF(SnapshotTable[[#This Row],[LC Premium]]&gt;0,SnapshotTable[[#This Row],[LC Strike Price]] + SnapshotTable[[#This Row],[LC Book Price]],"")</f>
        <v/>
      </c>
      <c r="DU51" s="9" t="str">
        <f>IF(AND(SnapshotTable[[#This Row],[LC Symbol Count]]&gt;0, SnapshotTable[[#This Row],[LC Contract Value]]&gt;0), SnapshotTable[[#This Row],[LC Contract Value]] * SnapshotTable[[#This Row],[LC Qty]] * 100, "")</f>
        <v/>
      </c>
      <c r="DV51" s="9" t="str">
        <f>IF(AND(ISNUMBER(SnapshotTable[[#This Row],[LC Total Value]]), SnapshotTable[[#This Row],[LC Not Filled]]&lt;&gt;"Y"), SnapshotTable[[#This Row],[LC Total Value]]-SnapshotTable[[#This Row],[LC Premium]],"")</f>
        <v/>
      </c>
      <c r="DW51" s="225" t="str">
        <f>IF(ISNUMBER(SnapshotTable[[#This Row],[LC Actual Gain Loss]]), SnapshotTable[[#This Row],[LC Actual Gain Loss]] / SnapshotTable[[#This Row],[LC Premium]],"")</f>
        <v/>
      </c>
      <c r="DX51" s="269" t="str">
        <f>IF(ISNUMBER(SnapshotTable[[#This Row],[LC Book Price]]),SnapshotTable[[#This Row],[LC Book Price]] * 1.5,"")</f>
        <v/>
      </c>
      <c r="DY51" s="250" t="str">
        <f>IF(SnapshotTable[[#This Row],[LC Premium]]&gt;0, SnapshotTable[[#This Row],[LC Next Target]] * SnapshotTable[[#This Row],[LC Qty]] * 100,"")</f>
        <v/>
      </c>
      <c r="DZ51" s="250" t="str">
        <f>IF(ISNUMBER(SnapshotTable[[#This Row],[LC Target Gross]]), SnapshotTable[[#This Row],[LC Target Gross]] - SnapshotTable[[#This Row],[LC Premium]], "")</f>
        <v/>
      </c>
      <c r="EA51" s="283" t="str">
        <f>IF(ISNUMBER(SnapshotTable[[#This Row],[LC Target Gain Loss]]), SnapshotTable[[#This Row],[LC Target Gain Loss]]/SnapshotTable[[#This Row],[LC Premium]], "")</f>
        <v/>
      </c>
      <c r="EB51" s="247"/>
      <c r="EC51" s="268" t="str">
        <f>IF(SnapshotTable[[#This Row],[LC Premium]]&gt;0, SnapshotTable[[#This Row],[LC Book Price]] * (1 - LC_StopLoss_Pct),"")</f>
        <v/>
      </c>
      <c r="ED51" s="269"/>
      <c r="EE51" s="268" t="str">
        <f>IF(ISNUMBER(SnapshotTable[[#This Row],[LC Contract Value]]),IF(ISNUMBER(SnapshotTable[[#This Row],[LC Stop Loss Override]]), SnapshotTable[[#This Row],[LC Stop Loss Override]],SnapshotTable[[#This Row],[LC Stop Loss Calc Target]]),"")</f>
        <v/>
      </c>
      <c r="EF51" s="31" t="str">
        <f>IF(ISNUMBER(SnapshotTable[[#This Row],[LC Stop  To Use]]), (SnapshotTable[[#This Row],[LC Stop  To Use]] * SnapshotTable[[#This Row],[LC Qty]] * 100),"")</f>
        <v/>
      </c>
      <c r="EG51" s="9" t="str">
        <f>IF(ISNUMBER(SnapshotTable[[#This Row],[LC Total Value]]),SnapshotTable[[#This Row],[LC Stop Loss Amount]] - SnapshotTable[[#This Row],[LC Premium]],"")</f>
        <v/>
      </c>
      <c r="EH51" s="9">
        <f>IF(ISNUMBER(SnapshotTable[[#This Row],[LC Premium]]), SnapshotTable[[#This Row],[LC Qty]] * 100 * SnapshotTable[[#This Row],[LC Strike Price]], "")</f>
        <v>0</v>
      </c>
      <c r="EI51" s="225" t="str">
        <f>IF(AND(ISNUMBER(SnapshotTable[[#This Row],[LC Total Value]]),SnapshotTable[[#This Row],[LC Total Value]]&gt;0),SnapshotTable[[#This Row],[LC Stop Gain Loss]]  / SnapshotTable[[#This Row],[LC Premium]],"")</f>
        <v/>
      </c>
      <c r="EJ51" s="35">
        <f>IF(ISNUMBER(SnapshotTable[[#This Row],[Equity Shares]]),TRUNC(SnapshotTable[[#This Row],[Equity Shares]] / 100),0) + SnapshotTable[[#This Row],[LC Qty]]</f>
        <v>0</v>
      </c>
      <c r="EK51" s="145"/>
      <c r="EL51" s="136"/>
      <c r="EM51" s="146"/>
      <c r="EN51" s="145"/>
      <c r="EO51" s="145"/>
      <c r="EP51" s="136"/>
      <c r="EQ51" s="382" t="b">
        <f>AND(ISNUMBER(SnapshotTable[[#This Row],[SC Exp Date]]), ISNUMBER(SnapshotTable[[#This Row],[SC Strike Price]]), ISNUMBER(SnapshotTable[[#This Row],[SC Qty]]), ISNUMBER(SnapshotTable[[#This Row],[SC Book Date]]), ISNUMBER(SnapshotTable[[#This Row],[SC Book Price]]))</f>
        <v>0</v>
      </c>
      <c r="ER51" s="382" t="b">
        <f>AND(SnapshotTable[[#This Row],[SC Is Booked]], NOT(ISBLANK(SnapshotTable[[#This Row],[SC Fill Date]])))</f>
        <v>0</v>
      </c>
      <c r="ES51" s="340"/>
      <c r="ET51" s="34" t="str">
        <f>IF(AND(ISNUMBER(SnapshotTable[[#This Row],[SC Exp Date]]), ISNUMBER(SnapshotTable[[#This Row],[SC Book Date]])), SnapshotTable[[#This Row],[SC Exp Date]] - MAX(SnapshotTable[[#This Row],[SC Book Date]], SnapshotTable[[#This Row],[SC Fill Date]]) + 1, "")</f>
        <v/>
      </c>
      <c r="EU51" s="34" t="str">
        <f>IF(ISNUMBER(SnapshotTable[[#This Row],[SC Term]]), SnapshotTable[[#This Row],[SC Exp Date]]- MockToday, "")</f>
        <v/>
      </c>
      <c r="EV51" s="31">
        <f>IF(SnapshotTable[[#This Row],[SC Is Booked]], SnapshotTable[[#This Row],[SC Qty]] * SnapshotTable[[#This Row],[SC Book Price]] * 100, 0)</f>
        <v>0</v>
      </c>
      <c r="EW51" s="4" t="str">
        <f>IF(AND(ISNUMBER(SnapshotTable[[#This Row],[Last Price]]), ISNUMBER( SnapshotTable[[#This Row],[SC Book Price]])), SnapshotTable[[#This Row],[Last Price]] - SnapshotTable[[#This Row],[SC Book Price]],"")</f>
        <v/>
      </c>
      <c r="EX51" s="219" t="str">
        <f>IF(SnapshotTable[[#This Row],[SC Is Booked]],IF(SnapshotTable[[#This Row],[SC Intrinsic Value]] &gt; 0, SnapshotTable[[#This Row],[SC Strike Price]], SnapshotTable[[#This Row],[Last Price]]), "")</f>
        <v/>
      </c>
      <c r="EY51" s="4">
        <f>IF(SnapshotTable[[#This Row],[SC Is Booked]], (MinimumPremiumRequired * SnapshotTable[[#This Row],[SC Basis]] * SnapshotTable[[#This Row],[SC Term]]), 0)</f>
        <v>0</v>
      </c>
      <c r="EZ51" s="268"/>
      <c r="FA51" s="204"/>
      <c r="FB51" s="340"/>
      <c r="FC51" s="4">
        <f>IF(SnapshotTable[[#This Row],[SC Is Filled]], btc_max_buyback_amount(SnapshotTable[[#This Row],[SC Fill Date]],SnapshotTable[[#This Row],[SC Exp Date]], SnapshotTable[[#This Row],[SC Book Price]]),0)</f>
        <v>0</v>
      </c>
      <c r="FD51" s="5"/>
      <c r="FE51" s="142" t="str">
        <f>IF(SnapshotTable[[#This Row],[SC Is Filled]], btc_next_cutoff_date(SnapshotTable[[#This Row],[SC Fill Date]],SnapshotTable[[#This Row],[SC Exp Date]]),"")</f>
        <v/>
      </c>
      <c r="FF51" s="4" t="str" cm="1">
        <f t="array" ref="FF51">IF(SnapshotTable[[#This Row],[SC Is Filled]], btc_should_buy_back(SnapshotTable[[#This Row],[SC Fill Date]], SnapshotTable[[#This Row],[SC Exp Date]], SnapshotTable[[#This Row],[SC Book Price]], SnapshotTable[[#This Row],[SC Current Ask]], MockToday, SnapshotTable[[#This Row],[SC Buyback Override]]),"")</f>
        <v/>
      </c>
      <c r="FG51" s="4">
        <f>IF(SnapshotTable[[#This Row],[SC Is Filled]], MAX(0,SnapshotTable[[#This Row],[Last Price]]  - SnapshotTable[[#This Row],[SC Strike Price]]), 0)</f>
        <v>0</v>
      </c>
      <c r="FH51" s="352">
        <f>IF(SnapshotTable[[#This Row],[SC Is Filled]], IF(ISNUMBER(SnapshotTable[[#This Row],[SC Current Ask]]), SnapshotTable[[#This Row],[SC Current Ask]], SnapshotTable[[#This Row],[SC Book Price]]) - SnapshotTable[[#This Row],[SC Intrinsic Value]], 0)</f>
        <v>0</v>
      </c>
      <c r="FI51" s="141"/>
      <c r="FJ51" s="32" t="str">
        <f>IF(SnapshotTable[[#This Row],[SC Is Filled]],100 * SnapshotTable[[#This Row],[SC Qty]] * IF(ISNUMBER(SnapshotTable[[#This Row],[SC Buyback Override]]), SnapshotTable[[#This Row],[SC Buyback Override]], SnapshotTable[[#This Row],[SC Current Ask]]), "")</f>
        <v/>
      </c>
      <c r="FK51" s="235" t="str">
        <f>IF(SnapshotTable[[#This Row],[SC Time Val]]&gt;0, SnapshotTable[[#This Row],[SC Time Val]] / SnapshotTable[[#This Row],[Last Price]],"")</f>
        <v/>
      </c>
      <c r="FL51" s="280" t="str">
        <f>IF(SnapshotTable[[#This Row],[SC Is Booked]], ((SnapshotTable[[#This Row],[Last Price]] -SnapshotTable[[#This Row],[SC Strike Price]]) / SnapshotTable[[#This Row],[Last Price]]) * -1, "")</f>
        <v/>
      </c>
      <c r="FM51" s="155" t="str">
        <f>IF(SnapshotTable[[#This Row],[SC Is Booked]],  (SnapshotTable[[#This Row],[SC Qty]] * 100 * SnapshotTable[[#This Row],[SC Strike Price]]) - SnapshotTable[[#This Row],[SC Current Ask]], "")</f>
        <v/>
      </c>
      <c r="FN5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1" s="31" t="str">
        <f>IF(AND(ISNUMBER(SnapshotTable[[#This Row],[SC Exercise Gross]]), ISNUMBER(SnapshotTable[[#This Row],[Equity Basis Per Share]] )), SnapshotTable[[#This Row],[SC Exercise Gross]] - SnapshotTable[[#This Row],[Equity Basis Total]] +  SnapshotTable[[#This Row],[SC Premium]], "")</f>
        <v/>
      </c>
      <c r="FP51" s="5" t="str">
        <f>IF(ISNUMBER(SnapshotTable[[#This Row],[SC Exercise Gross]]), (SnapshotTable[[#This Row],[SC Exercise Gross]]) / (SnapshotTable[[#This Row],[SC Qty]] * 100), "")</f>
        <v/>
      </c>
      <c r="FQ51" s="27" t="str">
        <f>IF(SnapshotTable[[#This Row],[SC Is Booked]],SnapshotTable[[#This Row],[SC Time Val]] /SnapshotTable[[#This Row],[SC Basis]], "")</f>
        <v/>
      </c>
      <c r="FR51" s="27" t="str" cm="1">
        <f t="array" ref="FR51">IF(AND(ISNUMBER(SnapshotTable[[#This Row],[SC Term]]),ISNUMBER(SnapshotTable[[#This Row],[SC Simple ROO]])), EllmanAnnualize(SnapshotTable[[#This Row],[SC DTE]], SnapshotTable[[#This Row],[SC Simple ROO]] ),"")</f>
        <v/>
      </c>
      <c r="FS51" s="4">
        <f>IF(SnapshotTable[[#This Row],[SC Strike Price]] &gt; SnapshotTable[[#This Row],[Last Price]], SnapshotTable[[#This Row],[SC Strike Price]] - SnapshotTable[[#This Row],[Last Price]],0)</f>
        <v>0</v>
      </c>
      <c r="FT51" s="27" t="str">
        <f>IF(AND(ISNUMBER(SnapshotTable[[#This Row],[SC Upside Potential]]), SnapshotTable[[#This Row],[SC Upside Potential]] &gt; 0),(SnapshotTable[[#This Row],[SC Upside Potential]]/ SnapshotTable[[#This Row],[ACB]]),"")</f>
        <v/>
      </c>
      <c r="FU51" s="304" t="str">
        <f>IF(SnapshotTable[[#This Row],[SC Intrinsic Value]] &gt; 0,SnapshotTable[[#This Row],[SC Intrinsic Value]],"")</f>
        <v/>
      </c>
      <c r="FV51" s="27" t="str">
        <f>IF(AND( ISNUMBER( SnapshotTable[[#This Row],[ACB]]),ISNUMBER(SnapshotTable[[#This Row],[SC Downside Protect]])),SnapshotTable[[#This Row],[SC Downside Protect]] / SnapshotTable[[#This Row],[ACB]],"")</f>
        <v/>
      </c>
      <c r="FW51" s="221" t="str">
        <f>IF(AND(ISNUMBER(SnapshotTable[[#This Row],[SC Simple ROO]]),SnapshotTable[[#This Row],[SC Simple ROO]] &gt; 0), SnapshotTable[[#This Row],[SC Premium]] + (SnapshotTable[[#This Row],[SC Qty]] * SnapshotTable[[#This Row],[SC Upside Potential]]), "")</f>
        <v/>
      </c>
      <c r="FX51" s="280" t="str" cm="1">
        <f t="array" ref="FX51">IF(ISNUMBER(SnapshotTable[[#This Row],[SC Max Dollars]]), annualize(SnapshotTable[[#This Row],[SC Term]],(SnapshotTable[[#This Row],[SC Max Dollars]]/SnapshotTable[[#This Row],[SC Basis]])),"")</f>
        <v/>
      </c>
      <c r="FY51" s="221" t="str">
        <f>IF(AND(SnapshotTable[[#This Row],[SC Qty]]&gt;0,SnapshotTable[[#This Row],[SC Current Ask]]&gt;0), SnapshotTable[[#This Row],[SC Qty]] * SnapshotTable[[#This Row],[SC Current Ask]] * -100, "")</f>
        <v/>
      </c>
      <c r="FZ51" s="31" t="str">
        <f>IF(ISNUMBER((SnapshotTable[[#This Row],[SC Current Value]])), SnapshotTable[[#This Row],[SC Premium]] + SnapshotTable[[#This Row],[SC Current Value]], "")</f>
        <v/>
      </c>
      <c r="GA51" s="272" t="str">
        <f>IFERROR( IF(ISNUMBER((SnapshotTable[[#This Row],[SC Current Value]])), SnapshotTable[[#This Row],[SC Gain Loss]] / SnapshotTable[[#This Row],[SC Premium]], ""), "")</f>
        <v/>
      </c>
      <c r="GB51" s="42">
        <f>SnapshotTable[[#This Row],[Equity Shares]] * SaleSharesToConsiderPercentage</f>
        <v>0</v>
      </c>
      <c r="GC51" s="40">
        <f>SnapshotTable[[#This Row],[Long Term Target]] * SellingPriceToConsiderBasedOnTargetPercentage</f>
        <v>26.267499999999998</v>
      </c>
      <c r="GD51" s="40">
        <f>SnapshotTable[[#This Row],[Last Price]] * (1+ SellingPriceToConsiderBasedOnTargetPercentage)</f>
        <v>10.0425</v>
      </c>
      <c r="GE51" s="41"/>
      <c r="GF51" s="40"/>
      <c r="GG51" s="31">
        <f>SnapshotTable[[#This Row],[Booked Sale Shares]] * SnapshotTable[[#This Row],[Booked Sale Price]]</f>
        <v>0</v>
      </c>
      <c r="GH51" s="31" t="str">
        <f>IF(SnapshotTable[[#This Row],[Equity Basis Total]] &gt; 0, SnapshotTable[[#This Row],[Equity Basis Per Share]] * SnapshotTable[[#This Row],[Booked Sale Shares]], "")</f>
        <v/>
      </c>
      <c r="GI51" s="31">
        <f>IF(SnapshotTable[[#This Row],[Sale Proceeds]]&gt;0, SnapshotTable[[#This Row],[Sale Proceeds]] - SnapshotTable[[#This Row],[Sale Basis]], 0)</f>
        <v>0</v>
      </c>
      <c r="GJ51" s="27" t="str">
        <f>IF(SnapshotTable[[#This Row],[Sale G/L]]&gt;0, SnapshotTable[[#This Row],[Sale G/L]] / SnapshotTable[[#This Row],[Sale Basis]], IF(ISNUMBER(SnapshotTable[[#This Row],[SC Exercise P&amp;L (TAX)]]), SnapshotTable[[#This Row],[SC Exercise P&amp;L (TAX)]] / SnapshotTable[[#This Row],[SC Basis]], ""))</f>
        <v/>
      </c>
      <c r="GK51" s="27" t="s">
        <v>526</v>
      </c>
      <c r="GL51" s="43" t="str">
        <f>IF(AND(SnapshotTable[[#This Row],[LP Exp Date]]&gt;0,SnapshotTable[[#This Row],[LP Strike Price]]&gt;0), [1]!ToOptionSymbol(SnapshotTable[[#This Row],[Symbol]], SnapshotTable[[#This Row],[LP Strike Price]],SnapshotTable[[#This Row],[LP Exp Date]],1), "")</f>
        <v/>
      </c>
      <c r="GM51" s="30" t="str">
        <f>IF(LEN(SnapshotTable[[#This Row],[LP Symbol]])&gt;0, 1, "")</f>
        <v/>
      </c>
      <c r="GN51" s="43" t="str">
        <f>IF(AND(SnapshotTable[[#This Row],[SP Exp Date]]&gt;0,SnapshotTable[[#This Row],[SP Strike Price]]&gt;0), [1]!ToOptionSymbol(SnapshotTable[[#This Row],[Symbol]], SnapshotTable[[#This Row],[SP Strike Price]],SnapshotTable[[#This Row],[SP Exp Date]],1), "")</f>
        <v/>
      </c>
      <c r="GO51" s="30" t="str">
        <f>IF(LEN(SnapshotTable[[#This Row],[SP Symbol]])&gt;0, 1, "")</f>
        <v/>
      </c>
      <c r="GP51" s="43" t="str">
        <f>IF(AND(SnapshotTable[[#This Row],[LC Exp Date]]&gt;0,SnapshotTable[[#This Row],[LC Strike Price]]&gt;0), [1]!ToOptionSymbol(SnapshotTable[[#This Row],[Symbol]], SnapshotTable[[#This Row],[LC Strike Price]],SnapshotTable[[#This Row],[LC Exp Date]],0), "")</f>
        <v/>
      </c>
      <c r="GQ51" s="30" t="str">
        <f>IF(LEN(SnapshotTable[[#This Row],[LC Symbol]])&gt;0, 1, "")</f>
        <v/>
      </c>
      <c r="GR51" s="43" t="str">
        <f>IF(AND(SnapshotTable[[#This Row],[SC Exp Date]]&gt;0,SnapshotTable[[#This Row],[SC Strike Price]]&gt;0), [1]!ToOptionSymbol(SnapshotTable[[#This Row],[Symbol]], SnapshotTable[[#This Row],[SC Strike Price]],SnapshotTable[[#This Row],[SC Exp Date]],0), "")</f>
        <v/>
      </c>
      <c r="GS51" s="30" t="str">
        <f>IF(LEN(SnapshotTable[[#This Row],[SC Symbol]])&gt;0, 1, "")</f>
        <v/>
      </c>
      <c r="GT51" s="29" t="str">
        <f>IF(COUNT(SnapshotTable[[#This Row],[LP Symbol Count]],SnapshotTable[[#This Row],[SP Symbol Count]],SnapshotTable[[#This Row],[LC Symbol Count]],SnapshotTable[[#This Row],[SC Symbol Count]])&gt;0, "Y", "")</f>
        <v/>
      </c>
      <c r="GU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1" s="216">
        <f>MAX(SnapshotTable[[#This Row],[Equity Basis Total]],SnapshotTable[[#This Row],[Equity Value]]) + (SnapshotTable[[#This Row],[SP Potential Spend]]- SnapshotTable[[#This Row],[SP Premium]] + SnapshotTable[[#This Row],[LP Premium]])+ (SnapshotTable[[#This Row],[LC Premium]] - SnapshotTable[[#This Row],[SC Premium]])</f>
        <v>0</v>
      </c>
      <c r="GW51" s="137" t="str">
        <f>IF(AND(SnapshotTable[[#This Row],[Exposure]] &lt;&gt; 0),SnapshotTable[[#This Row],[Exposure]] / SnapshotTable[[#Totals],[Exposure]], "")</f>
        <v/>
      </c>
      <c r="HE51" s="253"/>
      <c r="HF51" s="253"/>
      <c r="HK51" s="1"/>
      <c r="HL51" s="1"/>
      <c r="HM51" s="1"/>
      <c r="HN51" s="1"/>
      <c r="HO51" s="1"/>
      <c r="HP51" s="1"/>
    </row>
    <row r="52" spans="2:224" s="45" customFormat="1" ht="12.75" hidden="1" customHeight="1" x14ac:dyDescent="0.25">
      <c r="B52" s="12" t="s">
        <v>119</v>
      </c>
      <c r="C52" s="385">
        <v>87.11</v>
      </c>
      <c r="D52" s="200"/>
      <c r="E52" s="39">
        <f>SnapshotTable[[#This Row],[Last Price]]*(1 -CrashDiscount)</f>
        <v>74.043499999999995</v>
      </c>
      <c r="F52" s="26" t="s">
        <v>703</v>
      </c>
      <c r="G52" s="26" t="s">
        <v>493</v>
      </c>
      <c r="H52" s="147"/>
      <c r="I52" s="186">
        <v>44796.291666666664</v>
      </c>
      <c r="J52" s="187">
        <v>44796.291666666664</v>
      </c>
      <c r="K52" s="188"/>
      <c r="L52" s="297"/>
      <c r="M52" s="138"/>
      <c r="N52" s="138"/>
      <c r="O52" s="138"/>
      <c r="P52" s="22"/>
      <c r="Q52" s="25"/>
      <c r="R52" s="4" t="str">
        <f>IF(SnapshotTable[[#This Row],[Equity Basis Total]] &gt; 0, SnapshotTable[[#This Row],[Equity Basis Total]] / SnapshotTable[[#This Row],[Equity Shares]], "")</f>
        <v/>
      </c>
      <c r="S52" s="254">
        <f>SnapshotTable[[#This Row],[Last Price]] * SnapshotTable[[#This Row],[Equity Shares]]</f>
        <v>0</v>
      </c>
      <c r="T52" s="254">
        <f>SnapshotTable[[#This Row],[Equity Value]] - SnapshotTable[[#This Row],[Equity Basis Total]]</f>
        <v>0</v>
      </c>
      <c r="U52" s="255" t="str">
        <f>IF(SnapshotTable[[#This Row],[Equity Basis Total]] &gt; 0, SnapshotTable[[#This Row],[Equity G/L]] / SnapshotTable[[#This Row],[Equity Basis Total]], "")</f>
        <v/>
      </c>
      <c r="V52" s="253"/>
      <c r="W52" s="253"/>
      <c r="X52" s="4" t="str">
        <f>IF(AND(ISNUMBER(SnapshotTable[[#This Row],[Equity Basis Per Share]]),ISNUMBER(SnapshotTable[[#This Row],[Equity Target]])),SnapshotTable[[#This Row],[Equity Target]]-SnapshotTable[[#This Row],[Equity Basis Per Share]],"")</f>
        <v/>
      </c>
      <c r="Y52" s="4" t="str">
        <f>IF(AND(ISNUMBER(SnapshotTable[[#This Row],[Equity Basis Per Share]]),ISNUMBER(SnapshotTable[[#This Row],[Equity Stop Loss]])),SnapshotTable[[#This Row],[Equity Stop Loss]]-SnapshotTable[[#This Row],[Equity Basis Per Share]],"")</f>
        <v/>
      </c>
      <c r="Z52" s="260" t="str">
        <f>IFERROR( TEXT(SnapshotTable[[#This Row],[Equity Max Gain Per Share]] /ABS( SnapshotTable[[#This Row],[Equity Max Loss Per Share]]),"0.0 " ) &amp; " : 1", "")</f>
        <v/>
      </c>
      <c r="AA52" s="31" t="str">
        <f>IF(ISNUMBER(SnapshotTable[[#This Row],[Equity Max Gain Per Share]]),SnapshotTable[[#This Row],[Equity Max Gain Per Share]] * SnapshotTable[[#This Row],[Equity Shares]],"")</f>
        <v/>
      </c>
      <c r="AB52" s="31" t="str">
        <f>IF(ISNUMBER(SnapshotTable[[#This Row],[Equity Max Loss Per Share]]),SnapshotTable[[#This Row],[Equity Max Loss Per Share]] * SnapshotTable[[#This Row],[Equity Shares]],"")</f>
        <v/>
      </c>
      <c r="AC52" s="148">
        <v>0.92</v>
      </c>
      <c r="AD52" s="149">
        <v>42375</v>
      </c>
      <c r="AE52" s="31">
        <f>(SnapshotTable[[#This Row],[Annual Dividend Per Share]] / 4) * SnapshotTable[[#This Row],[Equity Shares]]</f>
        <v>0</v>
      </c>
      <c r="AF52" s="31">
        <f>SnapshotTable[[#This Row],[Quarterly Div $]] * 4</f>
        <v>0</v>
      </c>
      <c r="AG52" s="7">
        <f>IF(SnapshotTable[[#This Row],[Annual Dividend Per Share]]&gt;0, SnapshotTable[[#This Row],[Annual Dividend Per Share]]  / SnapshotTable[[#This Row],[Last Price]], 0)</f>
        <v>1.0561359201010218E-2</v>
      </c>
      <c r="AH52" s="149">
        <v>43356</v>
      </c>
      <c r="AI52" s="5"/>
      <c r="AJ52" s="136">
        <v>123.02</v>
      </c>
      <c r="AK52" s="150" t="str">
        <f>IF(ISNUMBER( SnapshotTable[[#This Row],[EBF Target]]),(SnapshotTable[[#This Row],[EBF Target]] - SnapshotTable[[#This Row],[Last Price]]) / SnapshotTable[[#This Row],[Last Price]], "")</f>
        <v/>
      </c>
      <c r="AL52" s="150" t="str">
        <f>IF(AND(SnapshotTable[[#This Row],[Equity Basis Total]] &gt; 0,ISNUMBER( SnapshotTable[[#This Row],[Long Term Target]])), SnapshotTable[[#This Row],[From Basis $]] / SnapshotTable[[#This Row],[Equity Basis Total]], "")</f>
        <v/>
      </c>
      <c r="AM52" s="9">
        <f>IF( AND(SnapshotTable[[#This Row],[Equity Shares]] &gt;0,ISNUMBER( SnapshotTable[[#This Row],[Long Term Target]])),(SnapshotTable[[#This Row],[Equity Shares]] * SnapshotTable[[#This Row],[Long Term Target]]) - SnapshotTable[[#This Row],[Equity Basis Total]],0)</f>
        <v>0</v>
      </c>
      <c r="AN52" s="9">
        <f>IF( AND(SnapshotTable[[#This Row],[Equity Shares]] &gt;0,ISNUMBER( SnapshotTable[[#This Row],[Long Term Target]])),(SnapshotTable[[#This Row],[Equity Shares]]*SnapshotTable[[#This Row],[Long Term Target]]) - SnapshotTable[[#This Row],[Equity Value]],0)</f>
        <v>0</v>
      </c>
      <c r="AO52" s="150">
        <f>IF(AND(ISNUMBER( SnapshotTable[[#This Row],[Long Term Target]]), ISNUMBER(SnapshotTable[[#This Row],[Last Price]])),(SnapshotTable[[#This Row],[Long Term Target]] - SnapshotTable[[#This Row],[Last Price]]) / SnapshotTable[[#This Row],[Last Price]], "")</f>
        <v>0.41223740098725747</v>
      </c>
      <c r="AP52" s="5">
        <v>78</v>
      </c>
      <c r="AQ52" s="38" t="s">
        <v>22</v>
      </c>
      <c r="AR52" s="5"/>
      <c r="AS52" s="38" t="s">
        <v>15</v>
      </c>
      <c r="AT52" s="144"/>
      <c r="AU52" s="185" t="str">
        <f>IF(OR(SnapshotTable[[#This Row],[LP No Fill]]="Y",SnapshotTable[[#This Row],[SP Is Filled]],SnapshotTable[[#This Row],[LC Not Filled]]="Y",SnapshotTable[[#This Row],[SC Is Filled]]),"Y","")</f>
        <v/>
      </c>
      <c r="AV52" s="205"/>
      <c r="AW52" s="211"/>
      <c r="AX52" s="206"/>
      <c r="AY52" s="205" t="str">
        <f>IF(SnapshotTable[[#This Row],[Implied Move]]&gt;0, SnapshotTable[[#This Row],[Last Price]]-SnapshotTable[[#This Row],[Implied Move]],"")</f>
        <v/>
      </c>
      <c r="AZ52" s="205" t="str">
        <f>IF(SnapshotTable[[#This Row],[Implied Move]]&gt;0, SnapshotTable[[#This Row],[Last Price]] + SnapshotTable[[#This Row],[Implied Move]],"")</f>
        <v/>
      </c>
      <c r="BA52" s="302">
        <v>78</v>
      </c>
      <c r="BB52" s="318"/>
      <c r="BC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2" s="321"/>
      <c r="BE52" s="5"/>
      <c r="BF52" s="14"/>
      <c r="BG52" s="13"/>
      <c r="BH52" s="13"/>
      <c r="BI52" s="5"/>
      <c r="BJ52" s="134">
        <f>IF(SnapshotTable[[#This Row],[LP Qty]] &gt; 0, SnapshotTable[[#This Row],[LP Qty]] * SnapshotTable[[#This Row],[LP Book Price]] * 100,0)</f>
        <v>0</v>
      </c>
      <c r="BK52" s="134">
        <f>IF(SnapshotTable[[#This Row],[LP Premium]] &gt; 0, SnapshotTable[[#This Row],[LP Qty]] * SnapshotTable[[#This Row],[LP Strike Price]] * 100,0)</f>
        <v>0</v>
      </c>
      <c r="BL52" s="152"/>
      <c r="BM52" s="355" t="str">
        <f>IF(SnapshotTable[[#This Row],[LP Premium]] &gt; 0,SnapshotTable[[#This Row],[LP Exp Date]]-MAX(SnapshotTable[[#This Row],[LP Book Date]], SnapshotTable[[#This Row],[LP Fill Date]]),"")</f>
        <v/>
      </c>
      <c r="BN52" s="355" t="str">
        <f>IF(ISNUMBER( SnapshotTable[[#This Row],[LP Term]]), SnapshotTable[[#This Row],[LP Exp Date]] - MockToday,"")</f>
        <v/>
      </c>
      <c r="BO52" s="161" t="str">
        <f>IF(AND(SnapshotTable[[#This Row],[LP Exp Date]]&gt;0, SnapshotTable[[#This Row],[LP Strike Price]]&gt;0,SnapshotTable[[#This Row],[LP Qty]]&gt;0,SnapshotTable[[#This Row],[LP Book Date]]&gt;0,SnapshotTable[[#This Row],[LP Book Price]]&gt;0,SnapshotTable[[#This Row],[LP Fill Date]]=0),"Y","")</f>
        <v/>
      </c>
      <c r="BP52" s="31" t="str">
        <f>IF(AND(SnapshotTable[[#This Row],[LP No Fill]]&lt;&gt;"Y",SnapshotTable[[#This Row],[LP Contract Value]]&gt;0, SnapshotTable[[#This Row],[LP Qty]]&gt;0), SnapshotTable[[#This Row],[LP Contract Value]]*SnapshotTable[[#This Row],[LP Qty]]*100,"")</f>
        <v/>
      </c>
      <c r="BQ52" s="13"/>
      <c r="BR52" s="5"/>
      <c r="BS52" s="36"/>
      <c r="BT52" s="145"/>
      <c r="BU52" s="13"/>
      <c r="BV52" s="5"/>
      <c r="BW52" s="382" t="b">
        <f>AND(ISNUMBER(SnapshotTable[[#This Row],[SP Exp Date]]), ISNUMBER(SnapshotTable[[#This Row],[SP Strike Price]]), ISNUMBER(SnapshotTable[[#This Row],[SP Qty]]), ISNUMBER(SnapshotTable[[#This Row],[SP Book Date]]), ISNUMBER(SnapshotTable[[#This Row],[SP Book Price]]))</f>
        <v>0</v>
      </c>
      <c r="BX52" s="382" t="b">
        <f>AND(SnapshotTable[[#This Row],[SP Is Booked]], NOT(ISBLANK(SnapshotTable[[#This Row],[SP Fill Date]])))</f>
        <v>0</v>
      </c>
      <c r="BY52" s="33">
        <f>IF(SnapshotTable[[#This Row],[SP Is Booked]], SnapshotTable[[#This Row],[SP Qty]] * SnapshotTable[[#This Row],[SP Book Price]] * 100, 0)</f>
        <v>0</v>
      </c>
      <c r="BZ52" s="339"/>
      <c r="CA52" s="338">
        <f>SnapshotTable[[#This Row],[LP Qty]]</f>
        <v>0</v>
      </c>
      <c r="CB52" s="4" t="str">
        <f>IF(SnapshotTable[[#This Row],[SP Is Booked]], SnapshotTable[[#This Row],[SP Strike Price]] - SnapshotTable[[#This Row],[SP Book Price]], "")</f>
        <v/>
      </c>
      <c r="CC52" s="19" t="str">
        <f>IF(SnapshotTable[[#This Row],[SP Is Booked]],SnapshotTable[[#This Row],[SP Exp Date]]-MAX(SnapshotTable[[#This Row],[SP Book Date]], SnapshotTable[[#This Row],[SP Fill Date]]),"")</f>
        <v/>
      </c>
      <c r="CD52" s="7" t="str">
        <f>IF(SnapshotTable[[#This Row],[SP Is Booked]], SnapshotTable[[#This Row],[SP Book Price]]/SnapshotTable[[#This Row],[SP Strike Price]], "")</f>
        <v/>
      </c>
      <c r="CE52" s="7" t="str">
        <f>IF(ISNUMBER(SnapshotTable[[#This Row],[SP ROO Term]]),SnapshotTable[[#This Row],[SP ROO Term]]*(365/SnapshotTable[[#This Row],[SP Term]]),"")</f>
        <v/>
      </c>
      <c r="CF52" s="221">
        <f>SnapshotTable[[#This Row],[LP Strike Price]] * SnapshotTable[[#This Row],[LP Qty]] * 100</f>
        <v>0</v>
      </c>
      <c r="CG52" s="31">
        <f>IF(ISNUMBER(SnapshotTable[[#This Row],[SP Premium]]), (SnapshotTable[[#This Row],[SP Qty]] * SnapshotTable[[#This Row],[SP Strike Price]]* 100) - SnapshotTable[[#This Row],[LP Protection]], 0)</f>
        <v>0</v>
      </c>
      <c r="CH52" s="7" t="str">
        <f>IF(ISNUMBER(SnapshotTable[[#This Row],[SP Break Even]]),-1 * (SnapshotTable[[#This Row],[SP Break Even]] - SnapshotTable[[#This Row],[Last Price]]) / SnapshotTable[[#This Row],[Last Price]], "")</f>
        <v/>
      </c>
      <c r="CI52" s="31">
        <f>IF(AND(ISNUMBER((SnapshotTable[[#This Row],[SP Potential Spend]])), SnapshotTable[[#This Row],[SP Strike Price]] &gt; SnapshotTable[[#This Row],[Last Price]], SnapshotTable[[#This Row],[SP Is Filled]]), SnapshotTable[[#This Row],[SP Potential Spend]] -  SnapshotTable[[#This Row],[LP Max Value]], 0)</f>
        <v>0</v>
      </c>
      <c r="CJ52" s="229"/>
      <c r="CK52" s="31">
        <f>IF(ISNUMBER(SnapshotTable[[#This Row],[SP Potential Spend]]),IF(ISNUMBER(SnapshotTable[[#This Row],[SP POW]]), SnapshotTable[[#This Row],[SP POW]] * SnapshotTable[[#This Row],[SP Potential Spend]], SnapshotTable[[#This Row],[SP Potential Spend]]), "")</f>
        <v>0</v>
      </c>
      <c r="CL52" s="162">
        <f>IF(NOT(SnapshotTable[[#This Row],[SP Is Filled]]),(SnapshotTable[[#This Row],[SP Qty]] * SnapshotTable[[#This Row],[SP Strike Price]] * 100) - SnapshotTable[[#This Row],[LP Max Value]],"")</f>
        <v>0</v>
      </c>
      <c r="CM52" s="31" t="str">
        <f>IF(SnapshotTable[[#This Row],[SP Actual Spend]]&lt;&gt;0, ((SnapshotTable[[#This Row],[SP Strike Price]]-SnapshotTable[[#This Row],[Last Price]]) *(SnapshotTable[[#This Row],[SP Qty]]*100) - SnapshotTable[[#This Row],[SP Premium]]) * - 1, "")</f>
        <v/>
      </c>
      <c r="CN52" s="76"/>
      <c r="CO52" s="339"/>
      <c r="CP52" s="4" t="str">
        <f>IF(SnapshotTable[[#This Row],[SP Is Filled]], btc_max_buyback_amount(SnapshotTable[[#This Row],[SP Fill Date]],SnapshotTable[[#This Row],[SP Exp Date]], SnapshotTable[[#This Row],[SP Book Price]]),"")</f>
        <v/>
      </c>
      <c r="CQ52" s="76"/>
      <c r="CR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2" s="153" t="str">
        <f>IF(SnapshotTable[[#This Row],[SP Is Filled]], btc_next_cutoff_date(SnapshotTable[[#This Row],[SP Fill Date]],SnapshotTable[[#This Row],[SP Exp Date]]),"")</f>
        <v/>
      </c>
      <c r="CT52" s="220" t="str" cm="1">
        <f t="array" ref="CT52">IF(SnapshotTable[[#This Row],[SP Is Filled]], btc_should_buy_back(SnapshotTable[[#This Row],[SP Fill Date]], SnapshotTable[[#This Row],[SP Exp Date]], SnapshotTable[[#This Row],[SP Book Price]], SnapshotTable[[#This Row],[SP Current Ask]], MockToday, SnapshotTable[[#This Row],[SP Buyback Override]]),"")</f>
        <v/>
      </c>
      <c r="CU52" s="141">
        <v>44883</v>
      </c>
      <c r="CV52" s="220"/>
      <c r="CW52" s="348" t="str">
        <f>IF(ISNUMBER( SnapshotTable[[#This Row],[SP Term]]), SnapshotTable[[#This Row],[SP Exp Date]] - MockToday,"")</f>
        <v/>
      </c>
      <c r="CX52" s="31" t="str">
        <f>IF(SnapshotTable[[#This Row],[SP Is Filled]],SnapshotTable[[#This Row],[SP Buyback Price to Use]] * 100 * SnapshotTable[[#This Row],[SP Qty]], "")</f>
        <v/>
      </c>
      <c r="CY52" s="4" t="str">
        <f>IF(ISNUMBER(SnapshotTable[[#This Row],[SP Strike Price]]), SnapshotTable[[#This Row],[SP Strike Price]] * (1 - SP_MaxLoss_StrikePct), "")</f>
        <v/>
      </c>
      <c r="CZ52" s="31" t="str">
        <f>IF(ISNUMBER(SnapshotTable[[#This Row],[SP Strike  Stop Per Share]]),SnapshotTable[[#This Row],[SP Premium]] - ((SnapshotTable[[#This Row],[SP Strike Price]]-SnapshotTable[[#This Row],[SP Strike  Stop Per Share]]) *(SnapshotTable[[#This Row],[SP Qty]] * 100)),"")</f>
        <v/>
      </c>
      <c r="DA52" s="4" t="str">
        <f>IF(AND(ISNUMBER(SnapshotTable[[#This Row],[SP Premium]]),SnapshotTable[[#This Row],[SP Premium]]&gt;0), SnapshotTable[[#This Row],[SP Book Price]] * (1 + SP_MaxLoss_OptionPct), "")</f>
        <v/>
      </c>
      <c r="DB52" s="31" t="str">
        <f>IF(ISNUMBER(SnapshotTable[[#This Row],[SP Option  Stop Contract]]),(SnapshotTable[[#This Row],[SP Option  Stop Contract]] *(SnapshotTable[[#This Row],[SP Qty]] * 100) - SnapshotTable[[#This Row],[SP Premium]]),"")</f>
        <v/>
      </c>
      <c r="DC52" s="4"/>
      <c r="DD52" s="4"/>
      <c r="DE52" s="4" t="str">
        <f>IF(AND(SnapshotTable[[#This Row],[SP Qty]]&gt;0, SnapshotTable[[#This Row],[SP Stop To Use]]&gt;0),SnapshotTable[[#This Row],[SP Premium]] - ( SnapshotTable[[#This Row],[SP Qty]] * SnapshotTable[[#This Row],[SP Stop To Use]] * 100), "")</f>
        <v/>
      </c>
      <c r="DF52" s="31" t="str">
        <f>IF(AND(SnapshotTable[[#This Row],[SP Qty]]&gt;0,SnapshotTable[[#This Row],[SP Current Ask]]&gt;0), SnapshotTable[[#This Row],[SP Qty]] * SnapshotTable[[#This Row],[SP Current Ask]] * -100, "")</f>
        <v/>
      </c>
      <c r="DG52" s="31" t="str">
        <f>IF(ISNUMBER((SnapshotTable[[#This Row],[SP Total Value]])), SnapshotTable[[#This Row],[SP Premium]] + SnapshotTable[[#This Row],[SP Total Value]], "")</f>
        <v/>
      </c>
      <c r="DH52" s="272" t="str">
        <f>IF(ISNUMBER((SnapshotTable[[#This Row],[SP Total Value]])), SnapshotTable[[#This Row],[SP Gain Loss]] / SnapshotTable[[#This Row],[SP Premium]], "")</f>
        <v/>
      </c>
      <c r="DI52" s="369"/>
      <c r="DJ52" s="136"/>
      <c r="DK52" s="146"/>
      <c r="DL52" s="13"/>
      <c r="DM52" s="13"/>
      <c r="DN52" s="5"/>
      <c r="DO52" s="31">
        <f>IF(SnapshotTable[[#This Row],[LC Symbol Count]]=1, SnapshotTable[[#This Row],[LC Qty]] * SnapshotTable[[#This Row],[LC Book Price]] * 100, 0)</f>
        <v>0</v>
      </c>
      <c r="DP52" s="161" t="str">
        <f>IF(AND(SnapshotTable[[#This Row],[LC Exp Date]]&gt;0, SnapshotTable[[#This Row],[LC Strike Price]]&gt;0,SnapshotTable[[#This Row],[LC Qty]]&gt;0,SnapshotTable[[#This Row],[LC Book Date]]&gt;0,SnapshotTable[[#This Row],[LC Book Price]]&gt;0,SnapshotTable[[#This Row],[LC Fill Date]]=0),"Y","")</f>
        <v/>
      </c>
      <c r="DQ52" s="356" t="str">
        <f>IF(SnapshotTable[[#This Row],[LC Premium]] &gt; 0,SnapshotTable[[#This Row],[LC Exp Date]]-MAX(SnapshotTable[[#This Row],[LC Book Date]], SnapshotTable[[#This Row],[LC Fill Date]]),"")</f>
        <v/>
      </c>
      <c r="DR52" s="356" t="str">
        <f>IF(ISNUMBER(SnapshotTable[[#This Row],[LC Term]]), SnapshotTable[[#This Row],[LC Exp Date]] - MockToday, "")</f>
        <v/>
      </c>
      <c r="DS52" s="219" t="str">
        <f>IF(SnapshotTable[[#This Row],[LC Premium]]&gt;0,SnapshotTable[[#This Row],[LC Strike Price]] + SnapshotTable[[#This Row],[LC Book Price]],"")</f>
        <v/>
      </c>
      <c r="DT52" s="5"/>
      <c r="DU52" s="9" t="str">
        <f>IF(AND(SnapshotTable[[#This Row],[LC Symbol Count]]&gt;0, SnapshotTable[[#This Row],[LC Contract Value]]&gt;0), SnapshotTable[[#This Row],[LC Contract Value]] * SnapshotTable[[#This Row],[LC Qty]] * 100, "")</f>
        <v/>
      </c>
      <c r="DV52" s="9" t="str">
        <f>IF(AND(ISNUMBER(SnapshotTable[[#This Row],[LC Total Value]]), SnapshotTable[[#This Row],[LC Not Filled]]&lt;&gt;"Y"), SnapshotTable[[#This Row],[LC Total Value]]-SnapshotTable[[#This Row],[LC Premium]],"")</f>
        <v/>
      </c>
      <c r="DW52" s="225" t="str">
        <f>IF(ISNUMBER(SnapshotTable[[#This Row],[LC Actual Gain Loss]]), SnapshotTable[[#This Row],[LC Actual Gain Loss]] / SnapshotTable[[#This Row],[LC Premium]],"")</f>
        <v/>
      </c>
      <c r="DX52" s="269" t="str">
        <f>IF(ISNUMBER(SnapshotTable[[#This Row],[LC Book Price]]),SnapshotTable[[#This Row],[LC Book Price]] * 1.5,"")</f>
        <v/>
      </c>
      <c r="DY52" s="250" t="str">
        <f>IF(SnapshotTable[[#This Row],[LC Premium]]&gt;0, SnapshotTable[[#This Row],[LC Next Target]] * SnapshotTable[[#This Row],[LC Qty]] * 100,"")</f>
        <v/>
      </c>
      <c r="DZ52" s="250" t="str">
        <f>IF(ISNUMBER(SnapshotTable[[#This Row],[LC Target Gross]]), SnapshotTable[[#This Row],[LC Target Gross]] - SnapshotTable[[#This Row],[LC Premium]], "")</f>
        <v/>
      </c>
      <c r="EA52" s="283" t="str">
        <f>IF(ISNUMBER(SnapshotTable[[#This Row],[LC Target Gain Loss]]), SnapshotTable[[#This Row],[LC Target Gain Loss]]/SnapshotTable[[#This Row],[LC Premium]], "")</f>
        <v/>
      </c>
      <c r="EB52" s="247"/>
      <c r="EC52" s="268" t="str">
        <f>IF(SnapshotTable[[#This Row],[LC Premium]]&gt;0, SnapshotTable[[#This Row],[LC Book Price]] * (1 - LC_StopLoss_Pct),"")</f>
        <v/>
      </c>
      <c r="ED52" s="269"/>
      <c r="EE52" s="268" t="str">
        <f>IF(ISNUMBER(SnapshotTable[[#This Row],[LC Contract Value]]),IF(ISNUMBER(SnapshotTable[[#This Row],[LC Stop Loss Override]]), SnapshotTable[[#This Row],[LC Stop Loss Override]],SnapshotTable[[#This Row],[LC Stop Loss Calc Target]]),"")</f>
        <v/>
      </c>
      <c r="EF52" s="31" t="str">
        <f>IF(ISNUMBER(SnapshotTable[[#This Row],[LC Stop  To Use]]), (SnapshotTable[[#This Row],[LC Stop  To Use]] * SnapshotTable[[#This Row],[LC Qty]] * 100),"")</f>
        <v/>
      </c>
      <c r="EG52" s="9" t="str">
        <f>IF(ISNUMBER(SnapshotTable[[#This Row],[LC Total Value]]),SnapshotTable[[#This Row],[LC Stop Loss Amount]] - SnapshotTable[[#This Row],[LC Premium]],"")</f>
        <v/>
      </c>
      <c r="EH52" s="9">
        <f>IF(ISNUMBER(SnapshotTable[[#This Row],[LC Premium]]), SnapshotTable[[#This Row],[LC Qty]] * 100 * SnapshotTable[[#This Row],[LC Strike Price]], "")</f>
        <v>0</v>
      </c>
      <c r="EI52" s="225" t="str">
        <f>IF(AND(ISNUMBER(SnapshotTable[[#This Row],[LC Total Value]]),SnapshotTable[[#This Row],[LC Total Value]]&gt;0),SnapshotTable[[#This Row],[LC Stop Gain Loss]]  / SnapshotTable[[#This Row],[LC Premium]],"")</f>
        <v/>
      </c>
      <c r="EJ52" s="35">
        <f>IF(ISNUMBER(SnapshotTable[[#This Row],[Equity Shares]]),TRUNC(SnapshotTable[[#This Row],[Equity Shares]] / 100),0) + SnapshotTable[[#This Row],[LC Qty]]</f>
        <v>0</v>
      </c>
      <c r="EK52" s="145"/>
      <c r="EL52" s="136"/>
      <c r="EM52" s="146"/>
      <c r="EN52" s="145"/>
      <c r="EO52" s="145"/>
      <c r="EP52" s="136"/>
      <c r="EQ52" s="382" t="b">
        <f>AND(ISNUMBER(SnapshotTable[[#This Row],[SC Exp Date]]), ISNUMBER(SnapshotTable[[#This Row],[SC Strike Price]]), ISNUMBER(SnapshotTable[[#This Row],[SC Qty]]), ISNUMBER(SnapshotTable[[#This Row],[SC Book Date]]), ISNUMBER(SnapshotTable[[#This Row],[SC Book Price]]))</f>
        <v>0</v>
      </c>
      <c r="ER52" s="382" t="b">
        <f>AND(SnapshotTable[[#This Row],[SC Is Booked]], NOT(ISBLANK(SnapshotTable[[#This Row],[SC Fill Date]])))</f>
        <v>0</v>
      </c>
      <c r="ES52" s="340"/>
      <c r="ET52" s="34" t="str">
        <f>IF(AND(ISNUMBER(SnapshotTable[[#This Row],[SC Exp Date]]), ISNUMBER(SnapshotTable[[#This Row],[SC Book Date]])), SnapshotTable[[#This Row],[SC Exp Date]] - MAX(SnapshotTable[[#This Row],[SC Book Date]], SnapshotTable[[#This Row],[SC Fill Date]]) + 1, "")</f>
        <v/>
      </c>
      <c r="EU52" s="34" t="str">
        <f>IF(ISNUMBER(SnapshotTable[[#This Row],[SC Term]]), SnapshotTable[[#This Row],[SC Exp Date]]- MockToday, "")</f>
        <v/>
      </c>
      <c r="EV52" s="31">
        <f>IF(SnapshotTable[[#This Row],[SC Is Booked]], SnapshotTable[[#This Row],[SC Qty]] * SnapshotTable[[#This Row],[SC Book Price]] * 100, 0)</f>
        <v>0</v>
      </c>
      <c r="EW52" s="4" t="str">
        <f>IF(AND(ISNUMBER(SnapshotTable[[#This Row],[Last Price]]), ISNUMBER( SnapshotTable[[#This Row],[SC Book Price]])), SnapshotTable[[#This Row],[Last Price]] - SnapshotTable[[#This Row],[SC Book Price]],"")</f>
        <v/>
      </c>
      <c r="EX52" s="219" t="str">
        <f>IF(SnapshotTable[[#This Row],[SC Is Booked]],IF(SnapshotTable[[#This Row],[SC Intrinsic Value]] &gt; 0, SnapshotTable[[#This Row],[SC Strike Price]], SnapshotTable[[#This Row],[Last Price]]), "")</f>
        <v/>
      </c>
      <c r="EY52" s="4">
        <f>IF(SnapshotTable[[#This Row],[SC Is Booked]], (MinimumPremiumRequired * SnapshotTable[[#This Row],[SC Basis]] * SnapshotTable[[#This Row],[SC Term]]), 0)</f>
        <v>0</v>
      </c>
      <c r="EZ52" s="268"/>
      <c r="FA52" s="204"/>
      <c r="FB52" s="340"/>
      <c r="FC52" s="4">
        <f>IF(SnapshotTable[[#This Row],[SC Is Filled]], btc_max_buyback_amount(SnapshotTable[[#This Row],[SC Fill Date]],SnapshotTable[[#This Row],[SC Exp Date]], SnapshotTable[[#This Row],[SC Book Price]]),0)</f>
        <v>0</v>
      </c>
      <c r="FD52" s="5"/>
      <c r="FE52" s="142" t="str">
        <f>IF(SnapshotTable[[#This Row],[SC Is Filled]], btc_next_cutoff_date(SnapshotTable[[#This Row],[SC Fill Date]],SnapshotTable[[#This Row],[SC Exp Date]]),"")</f>
        <v/>
      </c>
      <c r="FF52" s="4" t="str" cm="1">
        <f t="array" ref="FF52">IF(SnapshotTable[[#This Row],[SC Is Filled]], btc_should_buy_back(SnapshotTable[[#This Row],[SC Fill Date]], SnapshotTable[[#This Row],[SC Exp Date]], SnapshotTable[[#This Row],[SC Book Price]], SnapshotTable[[#This Row],[SC Current Ask]], MockToday, SnapshotTable[[#This Row],[SC Buyback Override]]),"")</f>
        <v/>
      </c>
      <c r="FG52" s="4">
        <f>IF(SnapshotTable[[#This Row],[SC Is Filled]], MAX(0,SnapshotTable[[#This Row],[Last Price]]  - SnapshotTable[[#This Row],[SC Strike Price]]), 0)</f>
        <v>0</v>
      </c>
      <c r="FH52" s="352">
        <f>IF(SnapshotTable[[#This Row],[SC Is Filled]], IF(ISNUMBER(SnapshotTable[[#This Row],[SC Current Ask]]), SnapshotTable[[#This Row],[SC Current Ask]], SnapshotTable[[#This Row],[SC Book Price]]) - SnapshotTable[[#This Row],[SC Intrinsic Value]], 0)</f>
        <v>0</v>
      </c>
      <c r="FI52" s="141"/>
      <c r="FJ52" s="32" t="str">
        <f>IF(SnapshotTable[[#This Row],[SC Is Filled]],100 * SnapshotTable[[#This Row],[SC Qty]] * IF(ISNUMBER(SnapshotTable[[#This Row],[SC Buyback Override]]), SnapshotTable[[#This Row],[SC Buyback Override]], SnapshotTable[[#This Row],[SC Current Ask]]), "")</f>
        <v/>
      </c>
      <c r="FK52" s="235" t="str">
        <f>IF(SnapshotTable[[#This Row],[SC Time Val]]&gt;0, SnapshotTable[[#This Row],[SC Time Val]] / SnapshotTable[[#This Row],[Last Price]],"")</f>
        <v/>
      </c>
      <c r="FL52" s="280" t="str">
        <f>IF(SnapshotTable[[#This Row],[SC Is Booked]], ((SnapshotTable[[#This Row],[Last Price]] -SnapshotTable[[#This Row],[SC Strike Price]]) / SnapshotTable[[#This Row],[Last Price]]) * -1, "")</f>
        <v/>
      </c>
      <c r="FM52" s="155" t="str">
        <f>IF(SnapshotTable[[#This Row],[SC Is Booked]],  (SnapshotTable[[#This Row],[SC Qty]] * 100 * SnapshotTable[[#This Row],[SC Strike Price]]) - SnapshotTable[[#This Row],[SC Current Ask]], "")</f>
        <v/>
      </c>
      <c r="FN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2" s="31" t="str">
        <f>IF(AND(ISNUMBER(SnapshotTable[[#This Row],[SC Exercise Gross]]), ISNUMBER(SnapshotTable[[#This Row],[Equity Basis Per Share]] )), SnapshotTable[[#This Row],[SC Exercise Gross]] - SnapshotTable[[#This Row],[Equity Basis Total]] +  SnapshotTable[[#This Row],[SC Premium]], "")</f>
        <v/>
      </c>
      <c r="FP52" s="5" t="str">
        <f>IF(ISNUMBER(SnapshotTable[[#This Row],[SC Exercise Gross]]), (SnapshotTable[[#This Row],[SC Exercise Gross]]) / (SnapshotTable[[#This Row],[SC Qty]] * 100), "")</f>
        <v/>
      </c>
      <c r="FQ52" s="27" t="str">
        <f>IF(SnapshotTable[[#This Row],[SC Is Booked]],SnapshotTable[[#This Row],[SC Time Val]] /SnapshotTable[[#This Row],[SC Basis]], "")</f>
        <v/>
      </c>
      <c r="FR52" s="27" t="str" cm="1">
        <f t="array" ref="FR52">IF(AND(ISNUMBER(SnapshotTable[[#This Row],[SC Term]]),ISNUMBER(SnapshotTable[[#This Row],[SC Simple ROO]])), EllmanAnnualize(SnapshotTable[[#This Row],[SC DTE]], SnapshotTable[[#This Row],[SC Simple ROO]] ),"")</f>
        <v/>
      </c>
      <c r="FS52" s="4">
        <f>IF(SnapshotTable[[#This Row],[SC Strike Price]] &gt; SnapshotTable[[#This Row],[Last Price]], SnapshotTable[[#This Row],[SC Strike Price]] - SnapshotTable[[#This Row],[Last Price]],0)</f>
        <v>0</v>
      </c>
      <c r="FT52" s="27" t="str">
        <f>IF(AND(ISNUMBER(SnapshotTable[[#This Row],[SC Upside Potential]]), SnapshotTable[[#This Row],[SC Upside Potential]] &gt; 0),(SnapshotTable[[#This Row],[SC Upside Potential]]/ SnapshotTable[[#This Row],[ACB]]),"")</f>
        <v/>
      </c>
      <c r="FU52" s="304" t="str">
        <f>IF(SnapshotTable[[#This Row],[SC Intrinsic Value]] &gt; 0,SnapshotTable[[#This Row],[SC Intrinsic Value]],"")</f>
        <v/>
      </c>
      <c r="FV52" s="27" t="str">
        <f>IF(AND( ISNUMBER( SnapshotTable[[#This Row],[ACB]]),ISNUMBER(SnapshotTable[[#This Row],[SC Downside Protect]])),SnapshotTable[[#This Row],[SC Downside Protect]] / SnapshotTable[[#This Row],[ACB]],"")</f>
        <v/>
      </c>
      <c r="FW52" s="221" t="str">
        <f>IF(AND(ISNUMBER(SnapshotTable[[#This Row],[SC Simple ROO]]),SnapshotTable[[#This Row],[SC Simple ROO]] &gt; 0), SnapshotTable[[#This Row],[SC Premium]] + (SnapshotTable[[#This Row],[SC Qty]] * SnapshotTable[[#This Row],[SC Upside Potential]]), "")</f>
        <v/>
      </c>
      <c r="FX52" s="280" t="str" cm="1">
        <f t="array" ref="FX52">IF(ISNUMBER(SnapshotTable[[#This Row],[SC Max Dollars]]), annualize(SnapshotTable[[#This Row],[SC Term]],(SnapshotTable[[#This Row],[SC Max Dollars]]/SnapshotTable[[#This Row],[SC Basis]])),"")</f>
        <v/>
      </c>
      <c r="FY52" s="221" t="str">
        <f>IF(AND(SnapshotTable[[#This Row],[SC Qty]]&gt;0,SnapshotTable[[#This Row],[SC Current Ask]]&gt;0), SnapshotTable[[#This Row],[SC Qty]] * SnapshotTable[[#This Row],[SC Current Ask]] * -100, "")</f>
        <v/>
      </c>
      <c r="FZ52" s="31" t="str">
        <f>IF(ISNUMBER((SnapshotTable[[#This Row],[SC Current Value]])), SnapshotTable[[#This Row],[SC Premium]] + SnapshotTable[[#This Row],[SC Current Value]], "")</f>
        <v/>
      </c>
      <c r="GA52" s="272" t="str">
        <f>IFERROR( IF(ISNUMBER((SnapshotTable[[#This Row],[SC Current Value]])), SnapshotTable[[#This Row],[SC Gain Loss]] / SnapshotTable[[#This Row],[SC Premium]], ""), "")</f>
        <v/>
      </c>
      <c r="GB52" s="42">
        <f>SnapshotTable[[#This Row],[Equity Shares]] * SaleSharesToConsiderPercentage</f>
        <v>0</v>
      </c>
      <c r="GC52" s="40">
        <f>SnapshotTable[[#This Row],[Long Term Target]] * SellingPriceToConsiderBasedOnTargetPercentage</f>
        <v>116.86899999999999</v>
      </c>
      <c r="GD52" s="40">
        <f>SnapshotTable[[#This Row],[Last Price]] * (1+ SellingPriceToConsiderBasedOnTargetPercentage)</f>
        <v>169.86449999999999</v>
      </c>
      <c r="GE52" s="41"/>
      <c r="GF52" s="40"/>
      <c r="GG52" s="31">
        <f>SnapshotTable[[#This Row],[Booked Sale Shares]] * SnapshotTable[[#This Row],[Booked Sale Price]]</f>
        <v>0</v>
      </c>
      <c r="GH52" s="31" t="str">
        <f>IF(SnapshotTable[[#This Row],[Equity Basis Total]] &gt; 0, SnapshotTable[[#This Row],[Equity Basis Per Share]] * SnapshotTable[[#This Row],[Booked Sale Shares]], "")</f>
        <v/>
      </c>
      <c r="GI52" s="31">
        <f>IF(SnapshotTable[[#This Row],[Sale Proceeds]]&gt;0, SnapshotTable[[#This Row],[Sale Proceeds]] - SnapshotTable[[#This Row],[Sale Basis]], 0)</f>
        <v>0</v>
      </c>
      <c r="GJ52" s="27" t="str">
        <f>IF(SnapshotTable[[#This Row],[Sale G/L]]&gt;0, SnapshotTable[[#This Row],[Sale G/L]] / SnapshotTable[[#This Row],[Sale Basis]], IF(ISNUMBER(SnapshotTable[[#This Row],[SC Exercise P&amp;L (TAX)]]), SnapshotTable[[#This Row],[SC Exercise P&amp;L (TAX)]] / SnapshotTable[[#This Row],[SC Basis]], ""))</f>
        <v/>
      </c>
      <c r="GK52" s="27" t="s">
        <v>527</v>
      </c>
      <c r="GL52" s="43" t="str">
        <f>IF(AND(SnapshotTable[[#This Row],[LP Exp Date]]&gt;0,SnapshotTable[[#This Row],[LP Strike Price]]&gt;0), [1]!ToOptionSymbol(SnapshotTable[[#This Row],[Symbol]], SnapshotTable[[#This Row],[LP Strike Price]],SnapshotTable[[#This Row],[LP Exp Date]],1), "")</f>
        <v/>
      </c>
      <c r="GM52" s="30" t="str">
        <f>IF(LEN(SnapshotTable[[#This Row],[LP Symbol]])&gt;0, 1, "")</f>
        <v/>
      </c>
      <c r="GN52" s="43" t="str">
        <f>IF(AND(SnapshotTable[[#This Row],[SP Exp Date]]&gt;0,SnapshotTable[[#This Row],[SP Strike Price]]&gt;0), [1]!ToOptionSymbol(SnapshotTable[[#This Row],[Symbol]], SnapshotTable[[#This Row],[SP Strike Price]],SnapshotTable[[#This Row],[SP Exp Date]],1), "")</f>
        <v/>
      </c>
      <c r="GO52" s="30" t="str">
        <f>IF(LEN(SnapshotTable[[#This Row],[SP Symbol]])&gt;0, 1, "")</f>
        <v/>
      </c>
      <c r="GP52" s="43" t="str">
        <f>IF(AND(SnapshotTable[[#This Row],[LC Exp Date]]&gt;0,SnapshotTable[[#This Row],[LC Strike Price]]&gt;0), [1]!ToOptionSymbol(SnapshotTable[[#This Row],[Symbol]], SnapshotTable[[#This Row],[LC Strike Price]],SnapshotTable[[#This Row],[LC Exp Date]],0), "")</f>
        <v/>
      </c>
      <c r="GQ52" s="30" t="str">
        <f>IF(LEN(SnapshotTable[[#This Row],[LC Symbol]])&gt;0, 1, "")</f>
        <v/>
      </c>
      <c r="GR52" s="43" t="str">
        <f>IF(AND(SnapshotTable[[#This Row],[SC Exp Date]]&gt;0,SnapshotTable[[#This Row],[SC Strike Price]]&gt;0), [1]!ToOptionSymbol(SnapshotTable[[#This Row],[Symbol]], SnapshotTable[[#This Row],[SC Strike Price]],SnapshotTable[[#This Row],[SC Exp Date]],0), "")</f>
        <v/>
      </c>
      <c r="GS52" s="30" t="str">
        <f>IF(LEN(SnapshotTable[[#This Row],[SC Symbol]])&gt;0, 1, "")</f>
        <v/>
      </c>
      <c r="GT52" s="29" t="str">
        <f>IF(COUNT(SnapshotTable[[#This Row],[LP Symbol Count]],SnapshotTable[[#This Row],[SP Symbol Count]],SnapshotTable[[#This Row],[LC Symbol Count]],SnapshotTable[[#This Row],[SC Symbol Count]])&gt;0, "Y", "")</f>
        <v/>
      </c>
      <c r="GU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2" s="216">
        <f>MAX(SnapshotTable[[#This Row],[Equity Basis Total]],SnapshotTable[[#This Row],[Equity Value]]) + (SnapshotTable[[#This Row],[SP Potential Spend]]- SnapshotTable[[#This Row],[SP Premium]] + SnapshotTable[[#This Row],[LP Premium]])+ (SnapshotTable[[#This Row],[LC Premium]] - SnapshotTable[[#This Row],[SC Premium]])</f>
        <v>0</v>
      </c>
      <c r="GW52" s="137" t="str">
        <f>IF(AND(SnapshotTable[[#This Row],[Exposure]] &lt;&gt; 0),SnapshotTable[[#This Row],[Exposure]] / SnapshotTable[[#Totals],[Exposure]], "")</f>
        <v/>
      </c>
      <c r="GY52" s="351"/>
      <c r="HE52" s="253"/>
      <c r="HF52" s="253"/>
      <c r="HG52" s="351"/>
      <c r="HH52" s="351"/>
      <c r="HI52" s="351"/>
      <c r="HJ52" s="351"/>
    </row>
    <row r="53" spans="2:224" ht="12.75" hidden="1" customHeight="1" x14ac:dyDescent="0.25">
      <c r="B53" s="12" t="s">
        <v>443</v>
      </c>
      <c r="C53" s="385">
        <v>107.52</v>
      </c>
      <c r="D53" s="200"/>
      <c r="E53" s="39">
        <f>SnapshotTable[[#This Row],[Last Price]]*(1 -CrashDiscount)</f>
        <v>91.391999999999996</v>
      </c>
      <c r="F53" s="26" t="s">
        <v>491</v>
      </c>
      <c r="G53" s="26" t="s">
        <v>490</v>
      </c>
      <c r="H53" s="147"/>
      <c r="I53" s="186">
        <v>44798.1875</v>
      </c>
      <c r="J53" s="187">
        <v>44798.1875</v>
      </c>
      <c r="K53" s="188"/>
      <c r="L53" s="297"/>
      <c r="M53" s="138"/>
      <c r="N53" s="138"/>
      <c r="O53" s="138"/>
      <c r="P53" s="22"/>
      <c r="Q53" s="25"/>
      <c r="R53" s="4" t="str">
        <f>IF(SnapshotTable[[#This Row],[Equity Basis Total]] &gt; 0, SnapshotTable[[#This Row],[Equity Basis Total]] / SnapshotTable[[#This Row],[Equity Shares]], "")</f>
        <v/>
      </c>
      <c r="S53" s="254">
        <f>SnapshotTable[[#This Row],[Last Price]] * SnapshotTable[[#This Row],[Equity Shares]]</f>
        <v>0</v>
      </c>
      <c r="T53" s="254">
        <f>SnapshotTable[[#This Row],[Equity Value]] - SnapshotTable[[#This Row],[Equity Basis Total]]</f>
        <v>0</v>
      </c>
      <c r="U53" s="255" t="str">
        <f>IF(SnapshotTable[[#This Row],[Equity Basis Total]] &gt; 0, SnapshotTable[[#This Row],[Equity G/L]] / SnapshotTable[[#This Row],[Equity Basis Total]], "")</f>
        <v/>
      </c>
      <c r="V53" s="253"/>
      <c r="W53" s="253"/>
      <c r="X53" s="4" t="str">
        <f>IF(AND(ISNUMBER(SnapshotTable[[#This Row],[Equity Basis Per Share]]),ISNUMBER(SnapshotTable[[#This Row],[Equity Target]])),SnapshotTable[[#This Row],[Equity Target]]-SnapshotTable[[#This Row],[Equity Basis Per Share]],"")</f>
        <v/>
      </c>
      <c r="Y53" s="4" t="str">
        <f>IF(AND(ISNUMBER(SnapshotTable[[#This Row],[Equity Basis Per Share]]),ISNUMBER(SnapshotTable[[#This Row],[Equity Stop Loss]])),SnapshotTable[[#This Row],[Equity Stop Loss]]-SnapshotTable[[#This Row],[Equity Basis Per Share]],"")</f>
        <v/>
      </c>
      <c r="Z53" s="260" t="str">
        <f>IFERROR( TEXT(SnapshotTable[[#This Row],[Equity Max Gain Per Share]] /ABS( SnapshotTable[[#This Row],[Equity Max Loss Per Share]]),"0.0 " ) &amp; " : 1", "")</f>
        <v/>
      </c>
      <c r="AA53" s="31" t="str">
        <f>IF(ISNUMBER(SnapshotTable[[#This Row],[Equity Max Gain Per Share]]),SnapshotTable[[#This Row],[Equity Max Gain Per Share]] * SnapshotTable[[#This Row],[Equity Shares]],"")</f>
        <v/>
      </c>
      <c r="AB53" s="31" t="str">
        <f>IF(ISNUMBER(SnapshotTable[[#This Row],[Equity Max Loss Per Share]]),SnapshotTable[[#This Row],[Equity Max Loss Per Share]] * SnapshotTable[[#This Row],[Equity Shares]],"")</f>
        <v/>
      </c>
      <c r="AC53" s="148"/>
      <c r="AD53" s="149"/>
      <c r="AE53" s="31">
        <f>(SnapshotTable[[#This Row],[Annual Dividend Per Share]] / 4) * SnapshotTable[[#This Row],[Equity Shares]]</f>
        <v>0</v>
      </c>
      <c r="AF53" s="31">
        <f>SnapshotTable[[#This Row],[Quarterly Div $]] * 4</f>
        <v>0</v>
      </c>
      <c r="AG53" s="7">
        <f>IF(SnapshotTable[[#This Row],[Annual Dividend Per Share]]&gt;0, SnapshotTable[[#This Row],[Annual Dividend Per Share]]  / SnapshotTable[[#This Row],[Last Price]], 0)</f>
        <v>0</v>
      </c>
      <c r="AH53" s="149"/>
      <c r="AI53" s="5"/>
      <c r="AJ53" s="136">
        <v>289.99</v>
      </c>
      <c r="AK53" s="150" t="str">
        <f>IF(ISNUMBER( SnapshotTable[[#This Row],[EBF Target]]),(SnapshotTable[[#This Row],[EBF Target]] - SnapshotTable[[#This Row],[Last Price]]) / SnapshotTable[[#This Row],[Last Price]], "")</f>
        <v/>
      </c>
      <c r="AL53" s="150" t="str">
        <f>IF(AND(SnapshotTable[[#This Row],[Equity Basis Total]] &gt; 0,ISNUMBER( SnapshotTable[[#This Row],[Long Term Target]])), SnapshotTable[[#This Row],[From Basis $]] / SnapshotTable[[#This Row],[Equity Basis Total]], "")</f>
        <v/>
      </c>
      <c r="AM53" s="9">
        <f>IF( AND(SnapshotTable[[#This Row],[Equity Shares]] &gt;0,ISNUMBER( SnapshotTable[[#This Row],[Long Term Target]])),(SnapshotTable[[#This Row],[Equity Shares]] * SnapshotTable[[#This Row],[Long Term Target]]) - SnapshotTable[[#This Row],[Equity Basis Total]],0)</f>
        <v>0</v>
      </c>
      <c r="AN53" s="9">
        <f>IF( AND(SnapshotTable[[#This Row],[Equity Shares]] &gt;0,ISNUMBER( SnapshotTable[[#This Row],[Long Term Target]])),(SnapshotTable[[#This Row],[Equity Shares]]*SnapshotTable[[#This Row],[Long Term Target]]) - SnapshotTable[[#This Row],[Equity Value]],0)</f>
        <v>0</v>
      </c>
      <c r="AO53" s="150">
        <f>IF(AND(ISNUMBER( SnapshotTable[[#This Row],[Long Term Target]]), ISNUMBER(SnapshotTable[[#This Row],[Last Price]])),(SnapshotTable[[#This Row],[Long Term Target]] - SnapshotTable[[#This Row],[Last Price]]) / SnapshotTable[[#This Row],[Last Price]], "")</f>
        <v>1.6970796130952384</v>
      </c>
      <c r="AP53" s="5">
        <v>105</v>
      </c>
      <c r="AQ53" s="38" t="s">
        <v>28</v>
      </c>
      <c r="AR53" s="5"/>
      <c r="AS53" s="38" t="s">
        <v>22</v>
      </c>
      <c r="AT53" s="144" t="s">
        <v>444</v>
      </c>
      <c r="AU53" s="185" t="str">
        <f>IF(OR(SnapshotTable[[#This Row],[LP No Fill]]="Y",SnapshotTable[[#This Row],[SP Is Filled]],SnapshotTable[[#This Row],[LC Not Filled]]="Y",SnapshotTable[[#This Row],[SC Is Filled]]),"Y","")</f>
        <v/>
      </c>
      <c r="AV53" s="205"/>
      <c r="AW53" s="211"/>
      <c r="AX53" s="206"/>
      <c r="AY53" s="205" t="str">
        <f>IF(SnapshotTable[[#This Row],[Implied Move]]&gt;0, SnapshotTable[[#This Row],[Last Price]]-SnapshotTable[[#This Row],[Implied Move]],"")</f>
        <v/>
      </c>
      <c r="AZ53" s="205" t="str">
        <f>IF(SnapshotTable[[#This Row],[Implied Move]]&gt;0, SnapshotTable[[#This Row],[Last Price]] + SnapshotTable[[#This Row],[Implied Move]],"")</f>
        <v/>
      </c>
      <c r="BA53" s="302">
        <v>105</v>
      </c>
      <c r="BB53" s="318"/>
      <c r="BC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3" s="321"/>
      <c r="BE53" s="5"/>
      <c r="BF53" s="14"/>
      <c r="BG53" s="13"/>
      <c r="BH53" s="13"/>
      <c r="BI53" s="5"/>
      <c r="BJ53" s="134">
        <f>IF(SnapshotTable[[#This Row],[LP Qty]] &gt; 0, SnapshotTable[[#This Row],[LP Qty]] * SnapshotTable[[#This Row],[LP Book Price]] * 100,0)</f>
        <v>0</v>
      </c>
      <c r="BK53" s="134">
        <f>IF(SnapshotTable[[#This Row],[LP Premium]] &gt; 0, SnapshotTable[[#This Row],[LP Qty]] * SnapshotTable[[#This Row],[LP Strike Price]] * 100,0)</f>
        <v>0</v>
      </c>
      <c r="BL53" s="152"/>
      <c r="BM53" s="355" t="str">
        <f>IF(SnapshotTable[[#This Row],[LP Premium]] &gt; 0,SnapshotTable[[#This Row],[LP Exp Date]]-MAX(SnapshotTable[[#This Row],[LP Book Date]], SnapshotTable[[#This Row],[LP Fill Date]]),"")</f>
        <v/>
      </c>
      <c r="BN53" s="355" t="str">
        <f>IF(ISNUMBER( SnapshotTable[[#This Row],[LP Term]]), SnapshotTable[[#This Row],[LP Exp Date]] - MockToday,"")</f>
        <v/>
      </c>
      <c r="BO53" s="161" t="str">
        <f>IF(AND(SnapshotTable[[#This Row],[LP Exp Date]]&gt;0, SnapshotTable[[#This Row],[LP Strike Price]]&gt;0,SnapshotTable[[#This Row],[LP Qty]]&gt;0,SnapshotTable[[#This Row],[LP Book Date]]&gt;0,SnapshotTable[[#This Row],[LP Book Price]]&gt;0,SnapshotTable[[#This Row],[LP Fill Date]]=0),"Y","")</f>
        <v/>
      </c>
      <c r="BP53" s="31" t="str">
        <f>IF(AND(SnapshotTable[[#This Row],[LP No Fill]]&lt;&gt;"Y",SnapshotTable[[#This Row],[LP Contract Value]]&gt;0, SnapshotTable[[#This Row],[LP Qty]]&gt;0), SnapshotTable[[#This Row],[LP Contract Value]]*SnapshotTable[[#This Row],[LP Qty]]*100,"")</f>
        <v/>
      </c>
      <c r="BQ53" s="13"/>
      <c r="BR53" s="5"/>
      <c r="BS53" s="36"/>
      <c r="BT53" s="145"/>
      <c r="BU53" s="13"/>
      <c r="BV53" s="5"/>
      <c r="BW53" s="382" t="b">
        <f>AND(ISNUMBER(SnapshotTable[[#This Row],[SP Exp Date]]), ISNUMBER(SnapshotTable[[#This Row],[SP Strike Price]]), ISNUMBER(SnapshotTable[[#This Row],[SP Qty]]), ISNUMBER(SnapshotTable[[#This Row],[SP Book Date]]), ISNUMBER(SnapshotTable[[#This Row],[SP Book Price]]))</f>
        <v>0</v>
      </c>
      <c r="BX53" s="382" t="b">
        <f>AND(SnapshotTable[[#This Row],[SP Is Booked]], NOT(ISBLANK(SnapshotTable[[#This Row],[SP Fill Date]])))</f>
        <v>0</v>
      </c>
      <c r="BY53" s="33">
        <f>IF(SnapshotTable[[#This Row],[SP Is Booked]], SnapshotTable[[#This Row],[SP Qty]] * SnapshotTable[[#This Row],[SP Book Price]] * 100, 0)</f>
        <v>0</v>
      </c>
      <c r="BZ53" s="339"/>
      <c r="CA53" s="338">
        <f>SnapshotTable[[#This Row],[LP Qty]]</f>
        <v>0</v>
      </c>
      <c r="CB53" s="4" t="str">
        <f>IF(SnapshotTable[[#This Row],[SP Is Booked]], SnapshotTable[[#This Row],[SP Strike Price]] - SnapshotTable[[#This Row],[SP Book Price]], "")</f>
        <v/>
      </c>
      <c r="CC53" s="19" t="str">
        <f>IF(SnapshotTable[[#This Row],[SP Is Booked]],SnapshotTable[[#This Row],[SP Exp Date]]-MAX(SnapshotTable[[#This Row],[SP Book Date]], SnapshotTable[[#This Row],[SP Fill Date]]),"")</f>
        <v/>
      </c>
      <c r="CD53" s="7" t="str">
        <f>IF(SnapshotTable[[#This Row],[SP Is Booked]], SnapshotTable[[#This Row],[SP Book Price]]/SnapshotTable[[#This Row],[SP Strike Price]], "")</f>
        <v/>
      </c>
      <c r="CE53" s="7" t="str">
        <f>IF(ISNUMBER(SnapshotTable[[#This Row],[SP ROO Term]]),SnapshotTable[[#This Row],[SP ROO Term]]*(365/SnapshotTable[[#This Row],[SP Term]]),"")</f>
        <v/>
      </c>
      <c r="CF53" s="221">
        <f>SnapshotTable[[#This Row],[LP Strike Price]] * SnapshotTable[[#This Row],[LP Qty]] * 100</f>
        <v>0</v>
      </c>
      <c r="CG53" s="31">
        <f>IF(ISNUMBER(SnapshotTable[[#This Row],[SP Premium]]), (SnapshotTable[[#This Row],[SP Qty]] * SnapshotTable[[#This Row],[SP Strike Price]]* 100) - SnapshotTable[[#This Row],[LP Protection]], 0)</f>
        <v>0</v>
      </c>
      <c r="CH53" s="7" t="str">
        <f>IF(ISNUMBER(SnapshotTable[[#This Row],[SP Break Even]]),-1 * (SnapshotTable[[#This Row],[SP Break Even]] - SnapshotTable[[#This Row],[Last Price]]) / SnapshotTable[[#This Row],[Last Price]], "")</f>
        <v/>
      </c>
      <c r="CI53" s="31">
        <f>IF(AND(ISNUMBER((SnapshotTable[[#This Row],[SP Potential Spend]])), SnapshotTable[[#This Row],[SP Strike Price]] &gt; SnapshotTable[[#This Row],[Last Price]], SnapshotTable[[#This Row],[SP Is Filled]]), SnapshotTable[[#This Row],[SP Potential Spend]] -  SnapshotTable[[#This Row],[LP Max Value]], 0)</f>
        <v>0</v>
      </c>
      <c r="CJ53" s="229"/>
      <c r="CK53" s="31">
        <f>IF(ISNUMBER(SnapshotTable[[#This Row],[SP Potential Spend]]),IF(ISNUMBER(SnapshotTable[[#This Row],[SP POW]]), SnapshotTable[[#This Row],[SP POW]] * SnapshotTable[[#This Row],[SP Potential Spend]], SnapshotTable[[#This Row],[SP Potential Spend]]), "")</f>
        <v>0</v>
      </c>
      <c r="CL53" s="162">
        <f>IF(NOT(SnapshotTable[[#This Row],[SP Is Filled]]),(SnapshotTable[[#This Row],[SP Qty]] * SnapshotTable[[#This Row],[SP Strike Price]] * 100) - SnapshotTable[[#This Row],[LP Max Value]],"")</f>
        <v>0</v>
      </c>
      <c r="CM53" s="31" t="str">
        <f>IF(SnapshotTable[[#This Row],[SP Actual Spend]]&lt;&gt;0, ((SnapshotTable[[#This Row],[SP Strike Price]]-SnapshotTable[[#This Row],[Last Price]]) *(SnapshotTable[[#This Row],[SP Qty]]*100) - SnapshotTable[[#This Row],[SP Premium]]) * - 1, "")</f>
        <v/>
      </c>
      <c r="CN53" s="76"/>
      <c r="CO53" s="339"/>
      <c r="CP53" s="4" t="str">
        <f>IF(SnapshotTable[[#This Row],[SP Is Filled]], btc_max_buyback_amount(SnapshotTable[[#This Row],[SP Fill Date]],SnapshotTable[[#This Row],[SP Exp Date]], SnapshotTable[[#This Row],[SP Book Price]]),"")</f>
        <v/>
      </c>
      <c r="CQ53" s="76"/>
      <c r="CR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3" s="153" t="str">
        <f>IF(SnapshotTable[[#This Row],[SP Is Filled]], btc_next_cutoff_date(SnapshotTable[[#This Row],[SP Fill Date]],SnapshotTable[[#This Row],[SP Exp Date]]),"")</f>
        <v/>
      </c>
      <c r="CT53" s="220" t="str" cm="1">
        <f t="array" ref="CT53">IF(SnapshotTable[[#This Row],[SP Is Filled]], btc_should_buy_back(SnapshotTable[[#This Row],[SP Fill Date]], SnapshotTable[[#This Row],[SP Exp Date]], SnapshotTable[[#This Row],[SP Book Price]], SnapshotTable[[#This Row],[SP Current Ask]], MockToday, SnapshotTable[[#This Row],[SP Buyback Override]]),"")</f>
        <v/>
      </c>
      <c r="CU53" s="141">
        <v>44883</v>
      </c>
      <c r="CV53" s="220"/>
      <c r="CW53" s="348" t="str">
        <f>IF(ISNUMBER( SnapshotTable[[#This Row],[SP Term]]), SnapshotTable[[#This Row],[SP Exp Date]] - MockToday,"")</f>
        <v/>
      </c>
      <c r="CX53" s="31" t="str">
        <f>IF(SnapshotTable[[#This Row],[SP Is Filled]],SnapshotTable[[#This Row],[SP Buyback Price to Use]] * 100 * SnapshotTable[[#This Row],[SP Qty]], "")</f>
        <v/>
      </c>
      <c r="CY53" s="4" t="str">
        <f>IF(ISNUMBER(SnapshotTable[[#This Row],[SP Strike Price]]), SnapshotTable[[#This Row],[SP Strike Price]] * (1 - SP_MaxLoss_StrikePct), "")</f>
        <v/>
      </c>
      <c r="CZ53" s="31" t="str">
        <f>IF(ISNUMBER(SnapshotTable[[#This Row],[SP Strike  Stop Per Share]]),SnapshotTable[[#This Row],[SP Premium]] - ((SnapshotTable[[#This Row],[SP Strike Price]]-SnapshotTable[[#This Row],[SP Strike  Stop Per Share]]) *(SnapshotTable[[#This Row],[SP Qty]] * 100)),"")</f>
        <v/>
      </c>
      <c r="DA53" s="4" t="str">
        <f>IF(AND(ISNUMBER(SnapshotTable[[#This Row],[SP Premium]]),SnapshotTable[[#This Row],[SP Premium]]&gt;0), SnapshotTable[[#This Row],[SP Book Price]] * (1 + SP_MaxLoss_OptionPct), "")</f>
        <v/>
      </c>
      <c r="DB53" s="31" t="str">
        <f>IF(ISNUMBER(SnapshotTable[[#This Row],[SP Option  Stop Contract]]),(SnapshotTable[[#This Row],[SP Option  Stop Contract]] *(SnapshotTable[[#This Row],[SP Qty]] * 100) - SnapshotTable[[#This Row],[SP Premium]]),"")</f>
        <v/>
      </c>
      <c r="DC53" s="4"/>
      <c r="DD53" s="4"/>
      <c r="DE53" s="4" t="str">
        <f>IF(AND(SnapshotTable[[#This Row],[SP Qty]]&gt;0, SnapshotTable[[#This Row],[SP Stop To Use]]&gt;0),SnapshotTable[[#This Row],[SP Premium]] - ( SnapshotTable[[#This Row],[SP Qty]] * SnapshotTable[[#This Row],[SP Stop To Use]] * 100), "")</f>
        <v/>
      </c>
      <c r="DF53" s="31" t="str">
        <f>IF(AND(SnapshotTable[[#This Row],[SP Qty]]&gt;0,SnapshotTable[[#This Row],[SP Current Ask]]&gt;0), SnapshotTable[[#This Row],[SP Qty]] * SnapshotTable[[#This Row],[SP Current Ask]] * -100, "")</f>
        <v/>
      </c>
      <c r="DG53" s="31" t="str">
        <f>IF(ISNUMBER((SnapshotTable[[#This Row],[SP Total Value]])), SnapshotTable[[#This Row],[SP Premium]] + SnapshotTable[[#This Row],[SP Total Value]], "")</f>
        <v/>
      </c>
      <c r="DH53" s="272" t="str">
        <f>IF(ISNUMBER((SnapshotTable[[#This Row],[SP Total Value]])), SnapshotTable[[#This Row],[SP Gain Loss]] / SnapshotTable[[#This Row],[SP Premium]], "")</f>
        <v/>
      </c>
      <c r="DI53" s="369"/>
      <c r="DJ53" s="136"/>
      <c r="DK53" s="146"/>
      <c r="DL53" s="13"/>
      <c r="DM53" s="13"/>
      <c r="DO53" s="31">
        <f>IF(SnapshotTable[[#This Row],[LC Symbol Count]]=1, SnapshotTable[[#This Row],[LC Qty]] * SnapshotTable[[#This Row],[LC Book Price]] * 100, 0)</f>
        <v>0</v>
      </c>
      <c r="DP53" s="161" t="str">
        <f>IF(AND(SnapshotTable[[#This Row],[LC Exp Date]]&gt;0, SnapshotTable[[#This Row],[LC Strike Price]]&gt;0,SnapshotTable[[#This Row],[LC Qty]]&gt;0,SnapshotTable[[#This Row],[LC Book Date]]&gt;0,SnapshotTable[[#This Row],[LC Book Price]]&gt;0,SnapshotTable[[#This Row],[LC Fill Date]]=0),"Y","")</f>
        <v/>
      </c>
      <c r="DQ53" s="356" t="str">
        <f>IF(SnapshotTable[[#This Row],[LC Premium]] &gt; 0,SnapshotTable[[#This Row],[LC Exp Date]]-MAX(SnapshotTable[[#This Row],[LC Book Date]], SnapshotTable[[#This Row],[LC Fill Date]]),"")</f>
        <v/>
      </c>
      <c r="DR53" s="356" t="str">
        <f>IF(ISNUMBER(SnapshotTable[[#This Row],[LC Term]]), SnapshotTable[[#This Row],[LC Exp Date]] - MockToday, "")</f>
        <v/>
      </c>
      <c r="DS53" s="219" t="str">
        <f>IF(SnapshotTable[[#This Row],[LC Premium]]&gt;0,SnapshotTable[[#This Row],[LC Strike Price]] + SnapshotTable[[#This Row],[LC Book Price]],"")</f>
        <v/>
      </c>
      <c r="DU53" s="9" t="str">
        <f>IF(AND(SnapshotTable[[#This Row],[LC Symbol Count]]&gt;0, SnapshotTable[[#This Row],[LC Contract Value]]&gt;0), SnapshotTable[[#This Row],[LC Contract Value]] * SnapshotTable[[#This Row],[LC Qty]] * 100, "")</f>
        <v/>
      </c>
      <c r="DV53" s="9" t="str">
        <f>IF(AND(ISNUMBER(SnapshotTable[[#This Row],[LC Total Value]]), SnapshotTable[[#This Row],[LC Not Filled]]&lt;&gt;"Y"), SnapshotTable[[#This Row],[LC Total Value]]-SnapshotTable[[#This Row],[LC Premium]],"")</f>
        <v/>
      </c>
      <c r="DW53" s="225" t="str">
        <f>IF(ISNUMBER(SnapshotTable[[#This Row],[LC Actual Gain Loss]]), SnapshotTable[[#This Row],[LC Actual Gain Loss]] / SnapshotTable[[#This Row],[LC Premium]],"")</f>
        <v/>
      </c>
      <c r="DX53" s="269" t="str">
        <f>IF(ISNUMBER(SnapshotTable[[#This Row],[LC Book Price]]),SnapshotTable[[#This Row],[LC Book Price]] * 1.5,"")</f>
        <v/>
      </c>
      <c r="DY53" s="250" t="str">
        <f>IF(SnapshotTable[[#This Row],[LC Premium]]&gt;0, SnapshotTable[[#This Row],[LC Next Target]] * SnapshotTable[[#This Row],[LC Qty]] * 100,"")</f>
        <v/>
      </c>
      <c r="DZ53" s="250" t="str">
        <f>IF(ISNUMBER(SnapshotTable[[#This Row],[LC Target Gross]]), SnapshotTable[[#This Row],[LC Target Gross]] - SnapshotTable[[#This Row],[LC Premium]], "")</f>
        <v/>
      </c>
      <c r="EA53" s="283" t="str">
        <f>IF(ISNUMBER(SnapshotTable[[#This Row],[LC Target Gain Loss]]), SnapshotTable[[#This Row],[LC Target Gain Loss]]/SnapshotTable[[#This Row],[LC Premium]], "")</f>
        <v/>
      </c>
      <c r="EB53" s="247"/>
      <c r="EC53" s="268" t="str">
        <f>IF(SnapshotTable[[#This Row],[LC Premium]]&gt;0, SnapshotTable[[#This Row],[LC Book Price]] * (1 - LC_StopLoss_Pct),"")</f>
        <v/>
      </c>
      <c r="ED53" s="269"/>
      <c r="EE53" s="268" t="str">
        <f>IF(ISNUMBER(SnapshotTable[[#This Row],[LC Contract Value]]),IF(ISNUMBER(SnapshotTable[[#This Row],[LC Stop Loss Override]]), SnapshotTable[[#This Row],[LC Stop Loss Override]],SnapshotTable[[#This Row],[LC Stop Loss Calc Target]]),"")</f>
        <v/>
      </c>
      <c r="EF53" s="31" t="str">
        <f>IF(ISNUMBER(SnapshotTable[[#This Row],[LC Stop  To Use]]), (SnapshotTable[[#This Row],[LC Stop  To Use]] * SnapshotTable[[#This Row],[LC Qty]] * 100),"")</f>
        <v/>
      </c>
      <c r="EG53" s="9" t="str">
        <f>IF(ISNUMBER(SnapshotTable[[#This Row],[LC Total Value]]),SnapshotTable[[#This Row],[LC Stop Loss Amount]] - SnapshotTable[[#This Row],[LC Premium]],"")</f>
        <v/>
      </c>
      <c r="EH53" s="9">
        <f>IF(ISNUMBER(SnapshotTable[[#This Row],[LC Premium]]), SnapshotTable[[#This Row],[LC Qty]] * 100 * SnapshotTable[[#This Row],[LC Strike Price]], "")</f>
        <v>0</v>
      </c>
      <c r="EI53" s="225" t="str">
        <f>IF(AND(ISNUMBER(SnapshotTable[[#This Row],[LC Total Value]]),SnapshotTable[[#This Row],[LC Total Value]]&gt;0),SnapshotTable[[#This Row],[LC Stop Gain Loss]]  / SnapshotTable[[#This Row],[LC Premium]],"")</f>
        <v/>
      </c>
      <c r="EJ53" s="35">
        <f>IF(ISNUMBER(SnapshotTable[[#This Row],[Equity Shares]]),TRUNC(SnapshotTable[[#This Row],[Equity Shares]] / 100),0) + SnapshotTable[[#This Row],[LC Qty]]</f>
        <v>0</v>
      </c>
      <c r="EK53" s="145"/>
      <c r="EL53" s="136"/>
      <c r="EM53" s="146"/>
      <c r="EN53" s="145"/>
      <c r="EO53" s="145"/>
      <c r="EP53" s="136"/>
      <c r="EQ53" s="382" t="b">
        <f>AND(ISNUMBER(SnapshotTable[[#This Row],[SC Exp Date]]), ISNUMBER(SnapshotTable[[#This Row],[SC Strike Price]]), ISNUMBER(SnapshotTable[[#This Row],[SC Qty]]), ISNUMBER(SnapshotTable[[#This Row],[SC Book Date]]), ISNUMBER(SnapshotTable[[#This Row],[SC Book Price]]))</f>
        <v>0</v>
      </c>
      <c r="ER53" s="382" t="b">
        <f>AND(SnapshotTable[[#This Row],[SC Is Booked]], NOT(ISBLANK(SnapshotTable[[#This Row],[SC Fill Date]])))</f>
        <v>0</v>
      </c>
      <c r="ES53" s="340"/>
      <c r="ET53" s="34" t="str">
        <f>IF(AND(ISNUMBER(SnapshotTable[[#This Row],[SC Exp Date]]), ISNUMBER(SnapshotTable[[#This Row],[SC Book Date]])), SnapshotTable[[#This Row],[SC Exp Date]] - MAX(SnapshotTable[[#This Row],[SC Book Date]], SnapshotTable[[#This Row],[SC Fill Date]]) + 1, "")</f>
        <v/>
      </c>
      <c r="EU53" s="34" t="str">
        <f>IF(ISNUMBER(SnapshotTable[[#This Row],[SC Term]]), SnapshotTable[[#This Row],[SC Exp Date]]- MockToday, "")</f>
        <v/>
      </c>
      <c r="EV53" s="31">
        <f>IF(SnapshotTable[[#This Row],[SC Is Booked]], SnapshotTable[[#This Row],[SC Qty]] * SnapshotTable[[#This Row],[SC Book Price]] * 100, 0)</f>
        <v>0</v>
      </c>
      <c r="EW53" s="4" t="str">
        <f>IF(AND(ISNUMBER(SnapshotTable[[#This Row],[Last Price]]), ISNUMBER( SnapshotTable[[#This Row],[SC Book Price]])), SnapshotTable[[#This Row],[Last Price]] - SnapshotTable[[#This Row],[SC Book Price]],"")</f>
        <v/>
      </c>
      <c r="EX53" s="219" t="str">
        <f>IF(SnapshotTable[[#This Row],[SC Is Booked]],IF(SnapshotTable[[#This Row],[SC Intrinsic Value]] &gt; 0, SnapshotTable[[#This Row],[SC Strike Price]], SnapshotTable[[#This Row],[Last Price]]), "")</f>
        <v/>
      </c>
      <c r="EY53" s="4">
        <f>IF(SnapshotTable[[#This Row],[SC Is Booked]], (MinimumPremiumRequired * SnapshotTable[[#This Row],[SC Basis]] * SnapshotTable[[#This Row],[SC Term]]), 0)</f>
        <v>0</v>
      </c>
      <c r="EZ53" s="268"/>
      <c r="FA53" s="204"/>
      <c r="FB53" s="340"/>
      <c r="FC53" s="4">
        <f>IF(SnapshotTable[[#This Row],[SC Is Filled]], btc_max_buyback_amount(SnapshotTable[[#This Row],[SC Fill Date]],SnapshotTable[[#This Row],[SC Exp Date]], SnapshotTable[[#This Row],[SC Book Price]]),0)</f>
        <v>0</v>
      </c>
      <c r="FD53" s="5"/>
      <c r="FE53" s="142" t="str">
        <f>IF(SnapshotTable[[#This Row],[SC Is Filled]], btc_next_cutoff_date(SnapshotTable[[#This Row],[SC Fill Date]],SnapshotTable[[#This Row],[SC Exp Date]]),"")</f>
        <v/>
      </c>
      <c r="FF53" s="4" t="str" cm="1">
        <f t="array" ref="FF53">IF(SnapshotTable[[#This Row],[SC Is Filled]], btc_should_buy_back(SnapshotTable[[#This Row],[SC Fill Date]], SnapshotTable[[#This Row],[SC Exp Date]], SnapshotTable[[#This Row],[SC Book Price]], SnapshotTable[[#This Row],[SC Current Ask]], MockToday, SnapshotTable[[#This Row],[SC Buyback Override]]),"")</f>
        <v/>
      </c>
      <c r="FG53" s="4">
        <f>IF(SnapshotTable[[#This Row],[SC Is Filled]], MAX(0,SnapshotTable[[#This Row],[Last Price]]  - SnapshotTable[[#This Row],[SC Strike Price]]), 0)</f>
        <v>0</v>
      </c>
      <c r="FH53" s="352">
        <f>IF(SnapshotTable[[#This Row],[SC Is Filled]], IF(ISNUMBER(SnapshotTable[[#This Row],[SC Current Ask]]), SnapshotTable[[#This Row],[SC Current Ask]], SnapshotTable[[#This Row],[SC Book Price]]) - SnapshotTable[[#This Row],[SC Intrinsic Value]], 0)</f>
        <v>0</v>
      </c>
      <c r="FI53" s="141"/>
      <c r="FJ53" s="32" t="str">
        <f>IF(SnapshotTable[[#This Row],[SC Is Filled]],100 * SnapshotTable[[#This Row],[SC Qty]] * IF(ISNUMBER(SnapshotTable[[#This Row],[SC Buyback Override]]), SnapshotTable[[#This Row],[SC Buyback Override]], SnapshotTable[[#This Row],[SC Current Ask]]), "")</f>
        <v/>
      </c>
      <c r="FK53" s="235" t="str">
        <f>IF(SnapshotTable[[#This Row],[SC Time Val]]&gt;0, SnapshotTable[[#This Row],[SC Time Val]] / SnapshotTable[[#This Row],[Last Price]],"")</f>
        <v/>
      </c>
      <c r="FL53" s="280" t="str">
        <f>IF(SnapshotTable[[#This Row],[SC Is Booked]], ((SnapshotTable[[#This Row],[Last Price]] -SnapshotTable[[#This Row],[SC Strike Price]]) / SnapshotTable[[#This Row],[Last Price]]) * -1, "")</f>
        <v/>
      </c>
      <c r="FM53" s="155" t="str">
        <f>IF(SnapshotTable[[#This Row],[SC Is Booked]],  (SnapshotTable[[#This Row],[SC Qty]] * 100 * SnapshotTable[[#This Row],[SC Strike Price]]) - SnapshotTable[[#This Row],[SC Current Ask]], "")</f>
        <v/>
      </c>
      <c r="FN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3" s="31" t="str">
        <f>IF(AND(ISNUMBER(SnapshotTable[[#This Row],[SC Exercise Gross]]), ISNUMBER(SnapshotTable[[#This Row],[Equity Basis Per Share]] )), SnapshotTable[[#This Row],[SC Exercise Gross]] - SnapshotTable[[#This Row],[Equity Basis Total]] +  SnapshotTable[[#This Row],[SC Premium]], "")</f>
        <v/>
      </c>
      <c r="FP53" s="5" t="str">
        <f>IF(ISNUMBER(SnapshotTable[[#This Row],[SC Exercise Gross]]), (SnapshotTable[[#This Row],[SC Exercise Gross]]) / (SnapshotTable[[#This Row],[SC Qty]] * 100), "")</f>
        <v/>
      </c>
      <c r="FQ53" s="27" t="str">
        <f>IF(SnapshotTable[[#This Row],[SC Is Booked]],SnapshotTable[[#This Row],[SC Time Val]] /SnapshotTable[[#This Row],[SC Basis]], "")</f>
        <v/>
      </c>
      <c r="FR53" s="27" t="str" cm="1">
        <f t="array" ref="FR53">IF(AND(ISNUMBER(SnapshotTable[[#This Row],[SC Term]]),ISNUMBER(SnapshotTable[[#This Row],[SC Simple ROO]])), EllmanAnnualize(SnapshotTable[[#This Row],[SC DTE]], SnapshotTable[[#This Row],[SC Simple ROO]] ),"")</f>
        <v/>
      </c>
      <c r="FS53" s="4">
        <f>IF(SnapshotTable[[#This Row],[SC Strike Price]] &gt; SnapshotTable[[#This Row],[Last Price]], SnapshotTable[[#This Row],[SC Strike Price]] - SnapshotTable[[#This Row],[Last Price]],0)</f>
        <v>0</v>
      </c>
      <c r="FT53" s="27" t="str">
        <f>IF(AND(ISNUMBER(SnapshotTable[[#This Row],[SC Upside Potential]]), SnapshotTable[[#This Row],[SC Upside Potential]] &gt; 0),(SnapshotTable[[#This Row],[SC Upside Potential]]/ SnapshotTable[[#This Row],[ACB]]),"")</f>
        <v/>
      </c>
      <c r="FU53" s="304" t="str">
        <f>IF(SnapshotTable[[#This Row],[SC Intrinsic Value]] &gt; 0,SnapshotTable[[#This Row],[SC Intrinsic Value]],"")</f>
        <v/>
      </c>
      <c r="FV53" s="27" t="str">
        <f>IF(AND( ISNUMBER( SnapshotTable[[#This Row],[ACB]]),ISNUMBER(SnapshotTable[[#This Row],[SC Downside Protect]])),SnapshotTable[[#This Row],[SC Downside Protect]] / SnapshotTable[[#This Row],[ACB]],"")</f>
        <v/>
      </c>
      <c r="FW53" s="221" t="str">
        <f>IF(AND(ISNUMBER(SnapshotTable[[#This Row],[SC Simple ROO]]),SnapshotTable[[#This Row],[SC Simple ROO]] &gt; 0), SnapshotTable[[#This Row],[SC Premium]] + (SnapshotTable[[#This Row],[SC Qty]] * SnapshotTable[[#This Row],[SC Upside Potential]]), "")</f>
        <v/>
      </c>
      <c r="FX53" s="280" t="str" cm="1">
        <f t="array" ref="FX53">IF(ISNUMBER(SnapshotTable[[#This Row],[SC Max Dollars]]), annualize(SnapshotTable[[#This Row],[SC Term]],(SnapshotTable[[#This Row],[SC Max Dollars]]/SnapshotTable[[#This Row],[SC Basis]])),"")</f>
        <v/>
      </c>
      <c r="FY53" s="221" t="str">
        <f>IF(AND(SnapshotTable[[#This Row],[SC Qty]]&gt;0,SnapshotTable[[#This Row],[SC Current Ask]]&gt;0), SnapshotTable[[#This Row],[SC Qty]] * SnapshotTable[[#This Row],[SC Current Ask]] * -100, "")</f>
        <v/>
      </c>
      <c r="FZ53" s="31" t="str">
        <f>IF(ISNUMBER((SnapshotTable[[#This Row],[SC Current Value]])), SnapshotTable[[#This Row],[SC Premium]] + SnapshotTable[[#This Row],[SC Current Value]], "")</f>
        <v/>
      </c>
      <c r="GA53" s="272" t="str">
        <f>IFERROR( IF(ISNUMBER((SnapshotTable[[#This Row],[SC Current Value]])), SnapshotTable[[#This Row],[SC Gain Loss]] / SnapshotTable[[#This Row],[SC Premium]], ""), "")</f>
        <v/>
      </c>
      <c r="GB53" s="42">
        <f>SnapshotTable[[#This Row],[Equity Shares]] * SaleSharesToConsiderPercentage</f>
        <v>0</v>
      </c>
      <c r="GC53" s="40">
        <f>SnapshotTable[[#This Row],[Long Term Target]] * SellingPriceToConsiderBasedOnTargetPercentage</f>
        <v>275.4905</v>
      </c>
      <c r="GD53" s="40">
        <f>SnapshotTable[[#This Row],[Last Price]] * (1+ SellingPriceToConsiderBasedOnTargetPercentage)</f>
        <v>209.66399999999999</v>
      </c>
      <c r="GE53" s="41"/>
      <c r="GF53" s="40"/>
      <c r="GG53" s="31">
        <f>SnapshotTable[[#This Row],[Booked Sale Shares]] * SnapshotTable[[#This Row],[Booked Sale Price]]</f>
        <v>0</v>
      </c>
      <c r="GH53" s="31" t="str">
        <f>IF(SnapshotTable[[#This Row],[Equity Basis Total]] &gt; 0, SnapshotTable[[#This Row],[Equity Basis Per Share]] * SnapshotTable[[#This Row],[Booked Sale Shares]], "")</f>
        <v/>
      </c>
      <c r="GI53" s="31">
        <f>IF(SnapshotTable[[#This Row],[Sale Proceeds]]&gt;0, SnapshotTable[[#This Row],[Sale Proceeds]] - SnapshotTable[[#This Row],[Sale Basis]], 0)</f>
        <v>0</v>
      </c>
      <c r="GJ53" s="27" t="str">
        <f>IF(SnapshotTable[[#This Row],[Sale G/L]]&gt;0, SnapshotTable[[#This Row],[Sale G/L]] / SnapshotTable[[#This Row],[Sale Basis]], IF(ISNUMBER(SnapshotTable[[#This Row],[SC Exercise P&amp;L (TAX)]]), SnapshotTable[[#This Row],[SC Exercise P&amp;L (TAX)]] / SnapshotTable[[#This Row],[SC Basis]], ""))</f>
        <v/>
      </c>
      <c r="GK53" s="27" t="s">
        <v>528</v>
      </c>
      <c r="GL53" s="43" t="str">
        <f>IF(AND(SnapshotTable[[#This Row],[LP Exp Date]]&gt;0,SnapshotTable[[#This Row],[LP Strike Price]]&gt;0), [1]!ToOptionSymbol(SnapshotTable[[#This Row],[Symbol]], SnapshotTable[[#This Row],[LP Strike Price]],SnapshotTable[[#This Row],[LP Exp Date]],1), "")</f>
        <v/>
      </c>
      <c r="GM53" s="30" t="str">
        <f>IF(LEN(SnapshotTable[[#This Row],[LP Symbol]])&gt;0, 1, "")</f>
        <v/>
      </c>
      <c r="GN53" s="43" t="str">
        <f>IF(AND(SnapshotTable[[#This Row],[SP Exp Date]]&gt;0,SnapshotTable[[#This Row],[SP Strike Price]]&gt;0), [1]!ToOptionSymbol(SnapshotTable[[#This Row],[Symbol]], SnapshotTable[[#This Row],[SP Strike Price]],SnapshotTable[[#This Row],[SP Exp Date]],1), "")</f>
        <v/>
      </c>
      <c r="GO53" s="30" t="str">
        <f>IF(LEN(SnapshotTable[[#This Row],[SP Symbol]])&gt;0, 1, "")</f>
        <v/>
      </c>
      <c r="GP53" s="43" t="str">
        <f>IF(AND(SnapshotTable[[#This Row],[LC Exp Date]]&gt;0,SnapshotTable[[#This Row],[LC Strike Price]]&gt;0), [1]!ToOptionSymbol(SnapshotTable[[#This Row],[Symbol]], SnapshotTable[[#This Row],[LC Strike Price]],SnapshotTable[[#This Row],[LC Exp Date]],0), "")</f>
        <v/>
      </c>
      <c r="GQ53" s="30" t="str">
        <f>IF(LEN(SnapshotTable[[#This Row],[LC Symbol]])&gt;0, 1, "")</f>
        <v/>
      </c>
      <c r="GR53" s="43" t="str">
        <f>IF(AND(SnapshotTable[[#This Row],[SC Exp Date]]&gt;0,SnapshotTable[[#This Row],[SC Strike Price]]&gt;0), [1]!ToOptionSymbol(SnapshotTable[[#This Row],[Symbol]], SnapshotTable[[#This Row],[SC Strike Price]],SnapshotTable[[#This Row],[SC Exp Date]],0), "")</f>
        <v/>
      </c>
      <c r="GS53" s="30" t="str">
        <f>IF(LEN(SnapshotTable[[#This Row],[SC Symbol]])&gt;0, 1, "")</f>
        <v/>
      </c>
      <c r="GT53" s="29" t="str">
        <f>IF(COUNT(SnapshotTable[[#This Row],[LP Symbol Count]],SnapshotTable[[#This Row],[SP Symbol Count]],SnapshotTable[[#This Row],[LC Symbol Count]],SnapshotTable[[#This Row],[SC Symbol Count]])&gt;0, "Y", "")</f>
        <v/>
      </c>
      <c r="GU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3" s="216">
        <f>MAX(SnapshotTable[[#This Row],[Equity Basis Total]],SnapshotTable[[#This Row],[Equity Value]]) + (SnapshotTable[[#This Row],[SP Potential Spend]]- SnapshotTable[[#This Row],[SP Premium]] + SnapshotTable[[#This Row],[LP Premium]])+ (SnapshotTable[[#This Row],[LC Premium]] - SnapshotTable[[#This Row],[SC Premium]])</f>
        <v>0</v>
      </c>
      <c r="GW53" s="137" t="str">
        <f>IF(AND(SnapshotTable[[#This Row],[Exposure]] &lt;&gt; 0),SnapshotTable[[#This Row],[Exposure]] / SnapshotTable[[#Totals],[Exposure]], "")</f>
        <v/>
      </c>
      <c r="HE53" s="253"/>
      <c r="HF53" s="253"/>
      <c r="HK53" s="1"/>
      <c r="HL53" s="1"/>
      <c r="HM53" s="1"/>
      <c r="HN53" s="1"/>
      <c r="HO53" s="1"/>
      <c r="HP53" s="1"/>
    </row>
    <row r="54" spans="2:224" ht="12.75" hidden="1" customHeight="1" x14ac:dyDescent="0.25">
      <c r="B54" s="12" t="s">
        <v>152</v>
      </c>
      <c r="C54" s="385">
        <v>197.74</v>
      </c>
      <c r="D54" s="200"/>
      <c r="E54" s="39">
        <f>SnapshotTable[[#This Row],[Last Price]]*(1 -CrashDiscount)</f>
        <v>168.07900000000001</v>
      </c>
      <c r="F54" s="26" t="s">
        <v>735</v>
      </c>
      <c r="G54" s="26" t="s">
        <v>32</v>
      </c>
      <c r="H54" s="147"/>
      <c r="I54" s="186">
        <v>44775.305555555555</v>
      </c>
      <c r="J54" s="187">
        <v>44775.305555555555</v>
      </c>
      <c r="K54" s="188"/>
      <c r="L54" s="297"/>
      <c r="M54" s="138"/>
      <c r="N54" s="138"/>
      <c r="O54" s="138"/>
      <c r="P54" s="22"/>
      <c r="Q54" s="25"/>
      <c r="R54" s="4" t="str">
        <f>IF(SnapshotTable[[#This Row],[Equity Basis Total]] &gt; 0, SnapshotTable[[#This Row],[Equity Basis Total]] / SnapshotTable[[#This Row],[Equity Shares]], "")</f>
        <v/>
      </c>
      <c r="S54" s="254">
        <f>SnapshotTable[[#This Row],[Last Price]] * SnapshotTable[[#This Row],[Equity Shares]]</f>
        <v>0</v>
      </c>
      <c r="T54" s="254">
        <f>SnapshotTable[[#This Row],[Equity Value]] - SnapshotTable[[#This Row],[Equity Basis Total]]</f>
        <v>0</v>
      </c>
      <c r="U54" s="255" t="str">
        <f>IF(SnapshotTable[[#This Row],[Equity Basis Total]] &gt; 0, SnapshotTable[[#This Row],[Equity G/L]] / SnapshotTable[[#This Row],[Equity Basis Total]], "")</f>
        <v/>
      </c>
      <c r="V54" s="253">
        <v>275</v>
      </c>
      <c r="W54" s="253">
        <v>236.84</v>
      </c>
      <c r="X54" s="4" t="str">
        <f>IF(AND(ISNUMBER(SnapshotTable[[#This Row],[Equity Basis Per Share]]),ISNUMBER(SnapshotTable[[#This Row],[Equity Target]])),SnapshotTable[[#This Row],[Equity Target]]-SnapshotTable[[#This Row],[Equity Basis Per Share]],"")</f>
        <v/>
      </c>
      <c r="Y54" s="4" t="str">
        <f>IF(AND(ISNUMBER(SnapshotTable[[#This Row],[Equity Basis Per Share]]),ISNUMBER(SnapshotTable[[#This Row],[Equity Stop Loss]])),SnapshotTable[[#This Row],[Equity Stop Loss]]-SnapshotTable[[#This Row],[Equity Basis Per Share]],"")</f>
        <v/>
      </c>
      <c r="Z54" s="260" t="str">
        <f>IFERROR( TEXT(SnapshotTable[[#This Row],[Equity Max Gain Per Share]] /ABS( SnapshotTable[[#This Row],[Equity Max Loss Per Share]]),"0.0 " ) &amp; " : 1", "")</f>
        <v/>
      </c>
      <c r="AA54" s="31" t="str">
        <f>IF(ISNUMBER(SnapshotTable[[#This Row],[Equity Max Gain Per Share]]),SnapshotTable[[#This Row],[Equity Max Gain Per Share]] * SnapshotTable[[#This Row],[Equity Shares]],"")</f>
        <v/>
      </c>
      <c r="AB54" s="31" t="str">
        <f>IF(ISNUMBER(SnapshotTable[[#This Row],[Equity Max Loss Per Share]]),SnapshotTable[[#This Row],[Equity Max Loss Per Share]] * SnapshotTable[[#This Row],[Equity Shares]],"")</f>
        <v/>
      </c>
      <c r="AC54" s="148">
        <v>0</v>
      </c>
      <c r="AD54" s="149" t="s">
        <v>2</v>
      </c>
      <c r="AE54" s="31">
        <f>(SnapshotTable[[#This Row],[Annual Dividend Per Share]] / 4) * SnapshotTable[[#This Row],[Equity Shares]]</f>
        <v>0</v>
      </c>
      <c r="AF54" s="31">
        <f>SnapshotTable[[#This Row],[Quarterly Div $]] * 4</f>
        <v>0</v>
      </c>
      <c r="AG54" s="7">
        <f>IF(SnapshotTable[[#This Row],[Annual Dividend Per Share]]&gt;0, SnapshotTable[[#This Row],[Annual Dividend Per Share]]  / SnapshotTable[[#This Row],[Last Price]], 0)</f>
        <v>0</v>
      </c>
      <c r="AH54" s="149" t="s">
        <v>2</v>
      </c>
      <c r="AI54" s="5"/>
      <c r="AJ54" s="136">
        <v>324.5</v>
      </c>
      <c r="AK54" s="150" t="str">
        <f>IF(ISNUMBER( SnapshotTable[[#This Row],[EBF Target]]),(SnapshotTable[[#This Row],[EBF Target]] - SnapshotTable[[#This Row],[Last Price]]) / SnapshotTable[[#This Row],[Last Price]], "")</f>
        <v/>
      </c>
      <c r="AL54" s="150" t="str">
        <f>IF(AND(SnapshotTable[[#This Row],[Equity Basis Total]] &gt; 0,ISNUMBER( SnapshotTable[[#This Row],[Long Term Target]])), SnapshotTable[[#This Row],[From Basis $]] / SnapshotTable[[#This Row],[Equity Basis Total]], "")</f>
        <v/>
      </c>
      <c r="AM54" s="9">
        <f>IF( AND(SnapshotTable[[#This Row],[Equity Shares]] &gt;0,ISNUMBER( SnapshotTable[[#This Row],[Long Term Target]])),(SnapshotTable[[#This Row],[Equity Shares]] * SnapshotTable[[#This Row],[Long Term Target]]) - SnapshotTable[[#This Row],[Equity Basis Total]],0)</f>
        <v>0</v>
      </c>
      <c r="AN54" s="9">
        <f>IF( AND(SnapshotTable[[#This Row],[Equity Shares]] &gt;0,ISNUMBER( SnapshotTable[[#This Row],[Long Term Target]])),(SnapshotTable[[#This Row],[Equity Shares]]*SnapshotTable[[#This Row],[Long Term Target]]) - SnapshotTable[[#This Row],[Equity Value]],0)</f>
        <v>0</v>
      </c>
      <c r="AO54" s="150">
        <f>IF(AND(ISNUMBER( SnapshotTable[[#This Row],[Long Term Target]]), ISNUMBER(SnapshotTable[[#This Row],[Last Price]])),(SnapshotTable[[#This Row],[Long Term Target]] - SnapshotTable[[#This Row],[Last Price]]) / SnapshotTable[[#This Row],[Last Price]], "")</f>
        <v>0.64104379488216845</v>
      </c>
      <c r="AP54" s="5"/>
      <c r="AQ54" s="38"/>
      <c r="AR54" s="5"/>
      <c r="AS54" s="38"/>
      <c r="AT54" s="144"/>
      <c r="AU54" s="185" t="str">
        <f>IF(OR(SnapshotTable[[#This Row],[LP No Fill]]="Y",SnapshotTable[[#This Row],[SP Is Filled]],SnapshotTable[[#This Row],[LC Not Filled]]="Y",SnapshotTable[[#This Row],[SC Is Filled]]),"Y","")</f>
        <v/>
      </c>
      <c r="AV54" s="205"/>
      <c r="AW54" s="211"/>
      <c r="AX54" s="206"/>
      <c r="AY54" s="205" t="str">
        <f>IF(SnapshotTable[[#This Row],[Implied Move]]&gt;0, SnapshotTable[[#This Row],[Last Price]]-SnapshotTable[[#This Row],[Implied Move]],"")</f>
        <v/>
      </c>
      <c r="AZ54" s="205" t="str">
        <f>IF(SnapshotTable[[#This Row],[Implied Move]]&gt;0, SnapshotTable[[#This Row],[Last Price]] + SnapshotTable[[#This Row],[Implied Move]],"")</f>
        <v/>
      </c>
      <c r="BA54" s="302"/>
      <c r="BB54" s="318"/>
      <c r="BC5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4" s="321"/>
      <c r="BE54" s="5"/>
      <c r="BF54" s="14"/>
      <c r="BG54" s="13"/>
      <c r="BH54" s="13"/>
      <c r="BI54" s="5"/>
      <c r="BJ54" s="134">
        <f>IF(SnapshotTable[[#This Row],[LP Qty]] &gt; 0, SnapshotTable[[#This Row],[LP Qty]] * SnapshotTable[[#This Row],[LP Book Price]] * 100,0)</f>
        <v>0</v>
      </c>
      <c r="BK54" s="134">
        <f>IF(SnapshotTable[[#This Row],[LP Premium]] &gt; 0, SnapshotTable[[#This Row],[LP Qty]] * SnapshotTable[[#This Row],[LP Strike Price]] * 100,0)</f>
        <v>0</v>
      </c>
      <c r="BL54" s="152"/>
      <c r="BM54" s="355" t="str">
        <f>IF(SnapshotTable[[#This Row],[LP Premium]] &gt; 0,SnapshotTable[[#This Row],[LP Exp Date]]-MAX(SnapshotTable[[#This Row],[LP Book Date]], SnapshotTable[[#This Row],[LP Fill Date]]),"")</f>
        <v/>
      </c>
      <c r="BN54" s="355" t="str">
        <f>IF(ISNUMBER( SnapshotTable[[#This Row],[LP Term]]), SnapshotTable[[#This Row],[LP Exp Date]] - MockToday,"")</f>
        <v/>
      </c>
      <c r="BO54" s="161" t="str">
        <f>IF(AND(SnapshotTable[[#This Row],[LP Exp Date]]&gt;0, SnapshotTable[[#This Row],[LP Strike Price]]&gt;0,SnapshotTable[[#This Row],[LP Qty]]&gt;0,SnapshotTable[[#This Row],[LP Book Date]]&gt;0,SnapshotTable[[#This Row],[LP Book Price]]&gt;0,SnapshotTable[[#This Row],[LP Fill Date]]=0),"Y","")</f>
        <v/>
      </c>
      <c r="BP54" s="31" t="str">
        <f>IF(AND(SnapshotTable[[#This Row],[LP No Fill]]&lt;&gt;"Y",SnapshotTable[[#This Row],[LP Contract Value]]&gt;0, SnapshotTable[[#This Row],[LP Qty]]&gt;0), SnapshotTable[[#This Row],[LP Contract Value]]*SnapshotTable[[#This Row],[LP Qty]]*100,"")</f>
        <v/>
      </c>
      <c r="BQ54" s="13"/>
      <c r="BR54" s="5"/>
      <c r="BS54" s="36"/>
      <c r="BT54" s="145"/>
      <c r="BU54" s="13"/>
      <c r="BV54" s="5"/>
      <c r="BW54" s="382" t="b">
        <f>AND(ISNUMBER(SnapshotTable[[#This Row],[SP Exp Date]]), ISNUMBER(SnapshotTable[[#This Row],[SP Strike Price]]), ISNUMBER(SnapshotTable[[#This Row],[SP Qty]]), ISNUMBER(SnapshotTable[[#This Row],[SP Book Date]]), ISNUMBER(SnapshotTable[[#This Row],[SP Book Price]]))</f>
        <v>0</v>
      </c>
      <c r="BX54" s="382" t="b">
        <f>AND(SnapshotTable[[#This Row],[SP Is Booked]], NOT(ISBLANK(SnapshotTable[[#This Row],[SP Fill Date]])))</f>
        <v>0</v>
      </c>
      <c r="BY54" s="33">
        <f>IF(SnapshotTable[[#This Row],[SP Is Booked]], SnapshotTable[[#This Row],[SP Qty]] * SnapshotTable[[#This Row],[SP Book Price]] * 100, 0)</f>
        <v>0</v>
      </c>
      <c r="BZ54" s="339"/>
      <c r="CA54" s="338">
        <f>SnapshotTable[[#This Row],[LP Qty]]</f>
        <v>0</v>
      </c>
      <c r="CB54" s="4" t="str">
        <f>IF(SnapshotTable[[#This Row],[SP Is Booked]], SnapshotTable[[#This Row],[SP Strike Price]] - SnapshotTable[[#This Row],[SP Book Price]], "")</f>
        <v/>
      </c>
      <c r="CC54" s="19" t="str">
        <f>IF(SnapshotTable[[#This Row],[SP Is Booked]],SnapshotTable[[#This Row],[SP Exp Date]]-MAX(SnapshotTable[[#This Row],[SP Book Date]], SnapshotTable[[#This Row],[SP Fill Date]]),"")</f>
        <v/>
      </c>
      <c r="CD54" s="7" t="str">
        <f>IF(SnapshotTable[[#This Row],[SP Is Booked]], SnapshotTable[[#This Row],[SP Book Price]]/SnapshotTable[[#This Row],[SP Strike Price]], "")</f>
        <v/>
      </c>
      <c r="CE54" s="7" t="str">
        <f>IF(ISNUMBER(SnapshotTable[[#This Row],[SP ROO Term]]),SnapshotTable[[#This Row],[SP ROO Term]]*(365/SnapshotTable[[#This Row],[SP Term]]),"")</f>
        <v/>
      </c>
      <c r="CF54" s="221">
        <f>SnapshotTable[[#This Row],[LP Strike Price]] * SnapshotTable[[#This Row],[LP Qty]] * 100</f>
        <v>0</v>
      </c>
      <c r="CG54" s="31">
        <f>IF(ISNUMBER(SnapshotTable[[#This Row],[SP Premium]]), (SnapshotTable[[#This Row],[SP Qty]] * SnapshotTable[[#This Row],[SP Strike Price]]* 100) - SnapshotTable[[#This Row],[LP Protection]], 0)</f>
        <v>0</v>
      </c>
      <c r="CH54" s="7" t="str">
        <f>IF(ISNUMBER(SnapshotTable[[#This Row],[SP Break Even]]),-1 * (SnapshotTable[[#This Row],[SP Break Even]] - SnapshotTable[[#This Row],[Last Price]]) / SnapshotTable[[#This Row],[Last Price]], "")</f>
        <v/>
      </c>
      <c r="CI54" s="31">
        <f>IF(AND(ISNUMBER((SnapshotTable[[#This Row],[SP Potential Spend]])), SnapshotTable[[#This Row],[SP Strike Price]] &gt; SnapshotTable[[#This Row],[Last Price]], SnapshotTable[[#This Row],[SP Is Filled]]), SnapshotTable[[#This Row],[SP Potential Spend]] -  SnapshotTable[[#This Row],[LP Max Value]], 0)</f>
        <v>0</v>
      </c>
      <c r="CJ54" s="229"/>
      <c r="CK54" s="31">
        <f>IF(ISNUMBER(SnapshotTable[[#This Row],[SP Potential Spend]]),IF(ISNUMBER(SnapshotTable[[#This Row],[SP POW]]), SnapshotTable[[#This Row],[SP POW]] * SnapshotTable[[#This Row],[SP Potential Spend]], SnapshotTable[[#This Row],[SP Potential Spend]]), "")</f>
        <v>0</v>
      </c>
      <c r="CL54" s="162">
        <f>IF(NOT(SnapshotTable[[#This Row],[SP Is Filled]]),(SnapshotTable[[#This Row],[SP Qty]] * SnapshotTable[[#This Row],[SP Strike Price]] * 100) - SnapshotTable[[#This Row],[LP Max Value]],"")</f>
        <v>0</v>
      </c>
      <c r="CM54" s="31" t="str">
        <f>IF(SnapshotTable[[#This Row],[SP Actual Spend]]&lt;&gt;0, ((SnapshotTable[[#This Row],[SP Strike Price]]-SnapshotTable[[#This Row],[Last Price]]) *(SnapshotTable[[#This Row],[SP Qty]]*100) - SnapshotTable[[#This Row],[SP Premium]]) * - 1, "")</f>
        <v/>
      </c>
      <c r="CN54" s="76"/>
      <c r="CO54" s="339"/>
      <c r="CP54" s="4" t="str">
        <f>IF(SnapshotTable[[#This Row],[SP Is Filled]], btc_max_buyback_amount(SnapshotTable[[#This Row],[SP Fill Date]],SnapshotTable[[#This Row],[SP Exp Date]], SnapshotTable[[#This Row],[SP Book Price]]),"")</f>
        <v/>
      </c>
      <c r="CQ54" s="76"/>
      <c r="CR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4" s="153" t="str">
        <f>IF(SnapshotTable[[#This Row],[SP Is Filled]], btc_next_cutoff_date(SnapshotTable[[#This Row],[SP Fill Date]],SnapshotTable[[#This Row],[SP Exp Date]]),"")</f>
        <v/>
      </c>
      <c r="CT54" s="220" t="str" cm="1">
        <f t="array" ref="CT54">IF(SnapshotTable[[#This Row],[SP Is Filled]], btc_should_buy_back(SnapshotTable[[#This Row],[SP Fill Date]], SnapshotTable[[#This Row],[SP Exp Date]], SnapshotTable[[#This Row],[SP Book Price]], SnapshotTable[[#This Row],[SP Current Ask]], MockToday, SnapshotTable[[#This Row],[SP Buyback Override]]),"")</f>
        <v/>
      </c>
      <c r="CU54" s="141">
        <v>44883</v>
      </c>
      <c r="CV54" s="220"/>
      <c r="CW54" s="348" t="str">
        <f>IF(ISNUMBER( SnapshotTable[[#This Row],[SP Term]]), SnapshotTable[[#This Row],[SP Exp Date]] - MockToday,"")</f>
        <v/>
      </c>
      <c r="CX54" s="31" t="str">
        <f>IF(SnapshotTable[[#This Row],[SP Is Filled]],SnapshotTable[[#This Row],[SP Buyback Price to Use]] * 100 * SnapshotTable[[#This Row],[SP Qty]], "")</f>
        <v/>
      </c>
      <c r="CY54" s="4" t="str">
        <f>IF(ISNUMBER(SnapshotTable[[#This Row],[SP Strike Price]]), SnapshotTable[[#This Row],[SP Strike Price]] * (1 - SP_MaxLoss_StrikePct), "")</f>
        <v/>
      </c>
      <c r="CZ54" s="31" t="str">
        <f>IF(ISNUMBER(SnapshotTable[[#This Row],[SP Strike  Stop Per Share]]),SnapshotTable[[#This Row],[SP Premium]] - ((SnapshotTable[[#This Row],[SP Strike Price]]-SnapshotTable[[#This Row],[SP Strike  Stop Per Share]]) *(SnapshotTable[[#This Row],[SP Qty]] * 100)),"")</f>
        <v/>
      </c>
      <c r="DA54" s="4" t="str">
        <f>IF(AND(ISNUMBER(SnapshotTable[[#This Row],[SP Premium]]),SnapshotTable[[#This Row],[SP Premium]]&gt;0), SnapshotTable[[#This Row],[SP Book Price]] * (1 + SP_MaxLoss_OptionPct), "")</f>
        <v/>
      </c>
      <c r="DB54" s="31" t="str">
        <f>IF(ISNUMBER(SnapshotTable[[#This Row],[SP Option  Stop Contract]]),(SnapshotTable[[#This Row],[SP Option  Stop Contract]] *(SnapshotTable[[#This Row],[SP Qty]] * 100) - SnapshotTable[[#This Row],[SP Premium]]),"")</f>
        <v/>
      </c>
      <c r="DC54" s="4"/>
      <c r="DD54" s="4"/>
      <c r="DE54" s="4" t="str">
        <f>IF(AND(SnapshotTable[[#This Row],[SP Qty]]&gt;0, SnapshotTable[[#This Row],[SP Stop To Use]]&gt;0),SnapshotTable[[#This Row],[SP Premium]] - ( SnapshotTable[[#This Row],[SP Qty]] * SnapshotTable[[#This Row],[SP Stop To Use]] * 100), "")</f>
        <v/>
      </c>
      <c r="DF54" s="31" t="str">
        <f>IF(AND(SnapshotTable[[#This Row],[SP Qty]]&gt;0,SnapshotTable[[#This Row],[SP Current Ask]]&gt;0), SnapshotTable[[#This Row],[SP Qty]] * SnapshotTable[[#This Row],[SP Current Ask]] * -100, "")</f>
        <v/>
      </c>
      <c r="DG54" s="31" t="str">
        <f>IF(ISNUMBER((SnapshotTable[[#This Row],[SP Total Value]])), SnapshotTable[[#This Row],[SP Premium]] + SnapshotTable[[#This Row],[SP Total Value]], "")</f>
        <v/>
      </c>
      <c r="DH54" s="272" t="str">
        <f>IF(ISNUMBER((SnapshotTable[[#This Row],[SP Total Value]])), SnapshotTable[[#This Row],[SP Gain Loss]] / SnapshotTable[[#This Row],[SP Premium]], "")</f>
        <v/>
      </c>
      <c r="DI54" s="369"/>
      <c r="DJ54" s="136"/>
      <c r="DK54" s="146"/>
      <c r="DL54" s="13"/>
      <c r="DM54" s="13"/>
      <c r="DO54" s="31">
        <f>IF(SnapshotTable[[#This Row],[LC Symbol Count]]=1, SnapshotTable[[#This Row],[LC Qty]] * SnapshotTable[[#This Row],[LC Book Price]] * 100, 0)</f>
        <v>0</v>
      </c>
      <c r="DP54" s="161" t="str">
        <f>IF(AND(SnapshotTable[[#This Row],[LC Exp Date]]&gt;0, SnapshotTable[[#This Row],[LC Strike Price]]&gt;0,SnapshotTable[[#This Row],[LC Qty]]&gt;0,SnapshotTable[[#This Row],[LC Book Date]]&gt;0,SnapshotTable[[#This Row],[LC Book Price]]&gt;0,SnapshotTable[[#This Row],[LC Fill Date]]=0),"Y","")</f>
        <v/>
      </c>
      <c r="DQ54" s="356" t="str">
        <f>IF(SnapshotTable[[#This Row],[LC Premium]] &gt; 0,SnapshotTable[[#This Row],[LC Exp Date]]-MAX(SnapshotTable[[#This Row],[LC Book Date]], SnapshotTable[[#This Row],[LC Fill Date]]),"")</f>
        <v/>
      </c>
      <c r="DR54" s="356" t="str">
        <f>IF(ISNUMBER(SnapshotTable[[#This Row],[LC Term]]), SnapshotTable[[#This Row],[LC Exp Date]] - MockToday, "")</f>
        <v/>
      </c>
      <c r="DS54" s="219" t="str">
        <f>IF(SnapshotTable[[#This Row],[LC Premium]]&gt;0,SnapshotTable[[#This Row],[LC Strike Price]] + SnapshotTable[[#This Row],[LC Book Price]],"")</f>
        <v/>
      </c>
      <c r="DU54" s="9" t="str">
        <f>IF(AND(SnapshotTable[[#This Row],[LC Symbol Count]]&gt;0, SnapshotTable[[#This Row],[LC Contract Value]]&gt;0), SnapshotTable[[#This Row],[LC Contract Value]] * SnapshotTable[[#This Row],[LC Qty]] * 100, "")</f>
        <v/>
      </c>
      <c r="DV54" s="9" t="str">
        <f>IF(AND(ISNUMBER(SnapshotTable[[#This Row],[LC Total Value]]), SnapshotTable[[#This Row],[LC Not Filled]]&lt;&gt;"Y"), SnapshotTable[[#This Row],[LC Total Value]]-SnapshotTable[[#This Row],[LC Premium]],"")</f>
        <v/>
      </c>
      <c r="DW54" s="225" t="str">
        <f>IF(ISNUMBER(SnapshotTable[[#This Row],[LC Actual Gain Loss]]), SnapshotTable[[#This Row],[LC Actual Gain Loss]] / SnapshotTable[[#This Row],[LC Premium]],"")</f>
        <v/>
      </c>
      <c r="DX54" s="269" t="str">
        <f>IF(ISNUMBER(SnapshotTable[[#This Row],[LC Book Price]]),SnapshotTable[[#This Row],[LC Book Price]] * 1.5,"")</f>
        <v/>
      </c>
      <c r="DY54" s="250" t="str">
        <f>IF(SnapshotTable[[#This Row],[LC Premium]]&gt;0, SnapshotTable[[#This Row],[LC Next Target]] * SnapshotTable[[#This Row],[LC Qty]] * 100,"")</f>
        <v/>
      </c>
      <c r="DZ54" s="250" t="str">
        <f>IF(ISNUMBER(SnapshotTable[[#This Row],[LC Target Gross]]), SnapshotTable[[#This Row],[LC Target Gross]] - SnapshotTable[[#This Row],[LC Premium]], "")</f>
        <v/>
      </c>
      <c r="EA54" s="283" t="str">
        <f>IF(ISNUMBER(SnapshotTable[[#This Row],[LC Target Gain Loss]]), SnapshotTable[[#This Row],[LC Target Gain Loss]]/SnapshotTable[[#This Row],[LC Premium]], "")</f>
        <v/>
      </c>
      <c r="EB54" s="247"/>
      <c r="EC54" s="268" t="str">
        <f>IF(SnapshotTable[[#This Row],[LC Premium]]&gt;0, SnapshotTable[[#This Row],[LC Book Price]] * (1 - LC_StopLoss_Pct),"")</f>
        <v/>
      </c>
      <c r="ED54" s="269"/>
      <c r="EE54" s="268" t="str">
        <f>IF(ISNUMBER(SnapshotTable[[#This Row],[LC Contract Value]]),IF(ISNUMBER(SnapshotTable[[#This Row],[LC Stop Loss Override]]), SnapshotTable[[#This Row],[LC Stop Loss Override]],SnapshotTable[[#This Row],[LC Stop Loss Calc Target]]),"")</f>
        <v/>
      </c>
      <c r="EF54" s="31" t="str">
        <f>IF(ISNUMBER(SnapshotTable[[#This Row],[LC Stop  To Use]]), (SnapshotTable[[#This Row],[LC Stop  To Use]] * SnapshotTable[[#This Row],[LC Qty]] * 100),"")</f>
        <v/>
      </c>
      <c r="EG54" s="9" t="str">
        <f>IF(ISNUMBER(SnapshotTable[[#This Row],[LC Total Value]]),SnapshotTable[[#This Row],[LC Stop Loss Amount]] - SnapshotTable[[#This Row],[LC Premium]],"")</f>
        <v/>
      </c>
      <c r="EH54" s="9">
        <f>IF(ISNUMBER(SnapshotTable[[#This Row],[LC Premium]]), SnapshotTable[[#This Row],[LC Qty]] * 100 * SnapshotTable[[#This Row],[LC Strike Price]], "")</f>
        <v>0</v>
      </c>
      <c r="EI54" s="225" t="str">
        <f>IF(AND(ISNUMBER(SnapshotTable[[#This Row],[LC Total Value]]),SnapshotTable[[#This Row],[LC Total Value]]&gt;0),SnapshotTable[[#This Row],[LC Stop Gain Loss]]  / SnapshotTable[[#This Row],[LC Premium]],"")</f>
        <v/>
      </c>
      <c r="EJ54" s="35">
        <f>IF(ISNUMBER(SnapshotTable[[#This Row],[Equity Shares]]),TRUNC(SnapshotTable[[#This Row],[Equity Shares]] / 100),0) + SnapshotTable[[#This Row],[LC Qty]]</f>
        <v>0</v>
      </c>
      <c r="EK54" s="145"/>
      <c r="EL54" s="136"/>
      <c r="EM54" s="146"/>
      <c r="EN54" s="145"/>
      <c r="EO54" s="145"/>
      <c r="EP54" s="136"/>
      <c r="EQ54" s="382" t="b">
        <f>AND(ISNUMBER(SnapshotTable[[#This Row],[SC Exp Date]]), ISNUMBER(SnapshotTable[[#This Row],[SC Strike Price]]), ISNUMBER(SnapshotTable[[#This Row],[SC Qty]]), ISNUMBER(SnapshotTable[[#This Row],[SC Book Date]]), ISNUMBER(SnapshotTable[[#This Row],[SC Book Price]]))</f>
        <v>0</v>
      </c>
      <c r="ER54" s="382" t="b">
        <f>AND(SnapshotTable[[#This Row],[SC Is Booked]], NOT(ISBLANK(SnapshotTable[[#This Row],[SC Fill Date]])))</f>
        <v>0</v>
      </c>
      <c r="ES54" s="340"/>
      <c r="ET54" s="34" t="str">
        <f>IF(AND(ISNUMBER(SnapshotTable[[#This Row],[SC Exp Date]]), ISNUMBER(SnapshotTable[[#This Row],[SC Book Date]])), SnapshotTable[[#This Row],[SC Exp Date]] - MAX(SnapshotTable[[#This Row],[SC Book Date]], SnapshotTable[[#This Row],[SC Fill Date]]) + 1, "")</f>
        <v/>
      </c>
      <c r="EU54" s="34" t="str">
        <f>IF(ISNUMBER(SnapshotTable[[#This Row],[SC Term]]), SnapshotTable[[#This Row],[SC Exp Date]]- MockToday, "")</f>
        <v/>
      </c>
      <c r="EV54" s="31">
        <f>IF(SnapshotTable[[#This Row],[SC Is Booked]], SnapshotTable[[#This Row],[SC Qty]] * SnapshotTable[[#This Row],[SC Book Price]] * 100, 0)</f>
        <v>0</v>
      </c>
      <c r="EW54" s="4" t="str">
        <f>IF(AND(ISNUMBER(SnapshotTable[[#This Row],[Last Price]]), ISNUMBER( SnapshotTable[[#This Row],[SC Book Price]])), SnapshotTable[[#This Row],[Last Price]] - SnapshotTable[[#This Row],[SC Book Price]],"")</f>
        <v/>
      </c>
      <c r="EX54" s="219" t="str">
        <f>IF(SnapshotTable[[#This Row],[SC Is Booked]],IF(SnapshotTable[[#This Row],[SC Intrinsic Value]] &gt; 0, SnapshotTable[[#This Row],[SC Strike Price]], SnapshotTable[[#This Row],[Last Price]]), "")</f>
        <v/>
      </c>
      <c r="EY54" s="4">
        <f>IF(SnapshotTable[[#This Row],[SC Is Booked]], (MinimumPremiumRequired * SnapshotTable[[#This Row],[SC Basis]] * SnapshotTable[[#This Row],[SC Term]]), 0)</f>
        <v>0</v>
      </c>
      <c r="EZ54" s="268"/>
      <c r="FA54" s="204"/>
      <c r="FB54" s="340"/>
      <c r="FC54" s="4">
        <f>IF(SnapshotTable[[#This Row],[SC Is Filled]], btc_max_buyback_amount(SnapshotTable[[#This Row],[SC Fill Date]],SnapshotTable[[#This Row],[SC Exp Date]], SnapshotTable[[#This Row],[SC Book Price]]),0)</f>
        <v>0</v>
      </c>
      <c r="FD54" s="5"/>
      <c r="FE54" s="142" t="str">
        <f>IF(SnapshotTable[[#This Row],[SC Is Filled]], btc_next_cutoff_date(SnapshotTable[[#This Row],[SC Fill Date]],SnapshotTable[[#This Row],[SC Exp Date]]),"")</f>
        <v/>
      </c>
      <c r="FF54" s="4" t="str" cm="1">
        <f t="array" ref="FF54">IF(SnapshotTable[[#This Row],[SC Is Filled]], btc_should_buy_back(SnapshotTable[[#This Row],[SC Fill Date]], SnapshotTable[[#This Row],[SC Exp Date]], SnapshotTable[[#This Row],[SC Book Price]], SnapshotTable[[#This Row],[SC Current Ask]], MockToday, SnapshotTable[[#This Row],[SC Buyback Override]]),"")</f>
        <v/>
      </c>
      <c r="FG54" s="4">
        <f>IF(SnapshotTable[[#This Row],[SC Is Filled]], MAX(0,SnapshotTable[[#This Row],[Last Price]]  - SnapshotTable[[#This Row],[SC Strike Price]]), 0)</f>
        <v>0</v>
      </c>
      <c r="FH54" s="352">
        <f>IF(SnapshotTable[[#This Row],[SC Is Filled]], IF(ISNUMBER(SnapshotTable[[#This Row],[SC Current Ask]]), SnapshotTable[[#This Row],[SC Current Ask]], SnapshotTable[[#This Row],[SC Book Price]]) - SnapshotTable[[#This Row],[SC Intrinsic Value]], 0)</f>
        <v>0</v>
      </c>
      <c r="FI54" s="141"/>
      <c r="FJ54" s="32" t="str">
        <f>IF(SnapshotTable[[#This Row],[SC Is Filled]],100 * SnapshotTable[[#This Row],[SC Qty]] * IF(ISNUMBER(SnapshotTable[[#This Row],[SC Buyback Override]]), SnapshotTable[[#This Row],[SC Buyback Override]], SnapshotTable[[#This Row],[SC Current Ask]]), "")</f>
        <v/>
      </c>
      <c r="FK54" s="235" t="str">
        <f>IF(SnapshotTable[[#This Row],[SC Time Val]]&gt;0, SnapshotTable[[#This Row],[SC Time Val]] / SnapshotTable[[#This Row],[Last Price]],"")</f>
        <v/>
      </c>
      <c r="FL54" s="280" t="str">
        <f>IF(SnapshotTable[[#This Row],[SC Is Booked]], ((SnapshotTable[[#This Row],[Last Price]] -SnapshotTable[[#This Row],[SC Strike Price]]) / SnapshotTable[[#This Row],[Last Price]]) * -1, "")</f>
        <v/>
      </c>
      <c r="FM54" s="155" t="str">
        <f>IF(SnapshotTable[[#This Row],[SC Is Booked]],  (SnapshotTable[[#This Row],[SC Qty]] * 100 * SnapshotTable[[#This Row],[SC Strike Price]]) - SnapshotTable[[#This Row],[SC Current Ask]], "")</f>
        <v/>
      </c>
      <c r="FN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4" s="31" t="str">
        <f>IF(AND(ISNUMBER(SnapshotTable[[#This Row],[SC Exercise Gross]]), ISNUMBER(SnapshotTable[[#This Row],[Equity Basis Per Share]] )), SnapshotTable[[#This Row],[SC Exercise Gross]] - SnapshotTable[[#This Row],[Equity Basis Total]] +  SnapshotTable[[#This Row],[SC Premium]], "")</f>
        <v/>
      </c>
      <c r="FP54" s="5" t="str">
        <f>IF(ISNUMBER(SnapshotTable[[#This Row],[SC Exercise Gross]]), (SnapshotTable[[#This Row],[SC Exercise Gross]]) / (SnapshotTable[[#This Row],[SC Qty]] * 100), "")</f>
        <v/>
      </c>
      <c r="FQ54" s="27" t="str">
        <f>IF(SnapshotTable[[#This Row],[SC Is Booked]],SnapshotTable[[#This Row],[SC Time Val]] /SnapshotTable[[#This Row],[SC Basis]], "")</f>
        <v/>
      </c>
      <c r="FR54" s="27" t="str" cm="1">
        <f t="array" ref="FR54">IF(AND(ISNUMBER(SnapshotTable[[#This Row],[SC Term]]),ISNUMBER(SnapshotTable[[#This Row],[SC Simple ROO]])), EllmanAnnualize(SnapshotTable[[#This Row],[SC DTE]], SnapshotTable[[#This Row],[SC Simple ROO]] ),"")</f>
        <v/>
      </c>
      <c r="FS54" s="4">
        <f>IF(SnapshotTable[[#This Row],[SC Strike Price]] &gt; SnapshotTable[[#This Row],[Last Price]], SnapshotTable[[#This Row],[SC Strike Price]] - SnapshotTable[[#This Row],[Last Price]],0)</f>
        <v>0</v>
      </c>
      <c r="FT54" s="27" t="str">
        <f>IF(AND(ISNUMBER(SnapshotTable[[#This Row],[SC Upside Potential]]), SnapshotTable[[#This Row],[SC Upside Potential]] &gt; 0),(SnapshotTable[[#This Row],[SC Upside Potential]]/ SnapshotTable[[#This Row],[ACB]]),"")</f>
        <v/>
      </c>
      <c r="FU54" s="304" t="str">
        <f>IF(SnapshotTable[[#This Row],[SC Intrinsic Value]] &gt; 0,SnapshotTable[[#This Row],[SC Intrinsic Value]],"")</f>
        <v/>
      </c>
      <c r="FV54" s="27" t="str">
        <f>IF(AND( ISNUMBER( SnapshotTable[[#This Row],[ACB]]),ISNUMBER(SnapshotTable[[#This Row],[SC Downside Protect]])),SnapshotTable[[#This Row],[SC Downside Protect]] / SnapshotTable[[#This Row],[ACB]],"")</f>
        <v/>
      </c>
      <c r="FW54" s="221" t="str">
        <f>IF(AND(ISNUMBER(SnapshotTable[[#This Row],[SC Simple ROO]]),SnapshotTable[[#This Row],[SC Simple ROO]] &gt; 0), SnapshotTable[[#This Row],[SC Premium]] + (SnapshotTable[[#This Row],[SC Qty]] * SnapshotTable[[#This Row],[SC Upside Potential]]), "")</f>
        <v/>
      </c>
      <c r="FX54" s="280" t="str" cm="1">
        <f t="array" ref="FX54">IF(ISNUMBER(SnapshotTable[[#This Row],[SC Max Dollars]]), annualize(SnapshotTable[[#This Row],[SC Term]],(SnapshotTable[[#This Row],[SC Max Dollars]]/SnapshotTable[[#This Row],[SC Basis]])),"")</f>
        <v/>
      </c>
      <c r="FY54" s="221" t="str">
        <f>IF(AND(SnapshotTable[[#This Row],[SC Qty]]&gt;0,SnapshotTable[[#This Row],[SC Current Ask]]&gt;0), SnapshotTable[[#This Row],[SC Qty]] * SnapshotTable[[#This Row],[SC Current Ask]] * -100, "")</f>
        <v/>
      </c>
      <c r="FZ54" s="31" t="str">
        <f>IF(ISNUMBER((SnapshotTable[[#This Row],[SC Current Value]])), SnapshotTable[[#This Row],[SC Premium]] + SnapshotTable[[#This Row],[SC Current Value]], "")</f>
        <v/>
      </c>
      <c r="GA54" s="272" t="str">
        <f>IFERROR( IF(ISNUMBER((SnapshotTable[[#This Row],[SC Current Value]])), SnapshotTable[[#This Row],[SC Gain Loss]] / SnapshotTable[[#This Row],[SC Premium]], ""), "")</f>
        <v/>
      </c>
      <c r="GB54" s="42">
        <f>SnapshotTable[[#This Row],[Equity Shares]] * SaleSharesToConsiderPercentage</f>
        <v>0</v>
      </c>
      <c r="GC54" s="40">
        <f>SnapshotTable[[#This Row],[Long Term Target]] * SellingPriceToConsiderBasedOnTargetPercentage</f>
        <v>308.27499999999998</v>
      </c>
      <c r="GD54" s="40">
        <f>SnapshotTable[[#This Row],[Last Price]] * (1+ SellingPriceToConsiderBasedOnTargetPercentage)</f>
        <v>385.59300000000002</v>
      </c>
      <c r="GE54" s="41"/>
      <c r="GF54" s="40"/>
      <c r="GG54" s="31">
        <f>SnapshotTable[[#This Row],[Booked Sale Shares]] * SnapshotTable[[#This Row],[Booked Sale Price]]</f>
        <v>0</v>
      </c>
      <c r="GH54" s="31" t="str">
        <f>IF(SnapshotTable[[#This Row],[Equity Basis Total]] &gt; 0, SnapshotTable[[#This Row],[Equity Basis Per Share]] * SnapshotTable[[#This Row],[Booked Sale Shares]], "")</f>
        <v/>
      </c>
      <c r="GI54" s="31">
        <f>IF(SnapshotTable[[#This Row],[Sale Proceeds]]&gt;0, SnapshotTable[[#This Row],[Sale Proceeds]] - SnapshotTable[[#This Row],[Sale Basis]], 0)</f>
        <v>0</v>
      </c>
      <c r="GJ54" s="27" t="str">
        <f>IF(SnapshotTable[[#This Row],[Sale G/L]]&gt;0, SnapshotTable[[#This Row],[Sale G/L]] / SnapshotTable[[#This Row],[Sale Basis]], IF(ISNUMBER(SnapshotTable[[#This Row],[SC Exercise P&amp;L (TAX)]]), SnapshotTable[[#This Row],[SC Exercise P&amp;L (TAX)]] / SnapshotTable[[#This Row],[SC Basis]], ""))</f>
        <v/>
      </c>
      <c r="GK54" s="27" t="s">
        <v>529</v>
      </c>
      <c r="GL54" s="43" t="str">
        <f>IF(AND(SnapshotTable[[#This Row],[LP Exp Date]]&gt;0,SnapshotTable[[#This Row],[LP Strike Price]]&gt;0), [1]!ToOptionSymbol(SnapshotTable[[#This Row],[Symbol]], SnapshotTable[[#This Row],[LP Strike Price]],SnapshotTable[[#This Row],[LP Exp Date]],1), "")</f>
        <v/>
      </c>
      <c r="GM54" s="30" t="str">
        <f>IF(LEN(SnapshotTable[[#This Row],[LP Symbol]])&gt;0, 1, "")</f>
        <v/>
      </c>
      <c r="GN54" s="43" t="str">
        <f>IF(AND(SnapshotTable[[#This Row],[SP Exp Date]]&gt;0,SnapshotTable[[#This Row],[SP Strike Price]]&gt;0), [1]!ToOptionSymbol(SnapshotTable[[#This Row],[Symbol]], SnapshotTable[[#This Row],[SP Strike Price]],SnapshotTable[[#This Row],[SP Exp Date]],1), "")</f>
        <v/>
      </c>
      <c r="GO54" s="30" t="str">
        <f>IF(LEN(SnapshotTable[[#This Row],[SP Symbol]])&gt;0, 1, "")</f>
        <v/>
      </c>
      <c r="GP54" s="43" t="str">
        <f>IF(AND(SnapshotTable[[#This Row],[LC Exp Date]]&gt;0,SnapshotTable[[#This Row],[LC Strike Price]]&gt;0), [1]!ToOptionSymbol(SnapshotTable[[#This Row],[Symbol]], SnapshotTable[[#This Row],[LC Strike Price]],SnapshotTable[[#This Row],[LC Exp Date]],0), "")</f>
        <v/>
      </c>
      <c r="GQ54" s="30" t="str">
        <f>IF(LEN(SnapshotTable[[#This Row],[LC Symbol]])&gt;0, 1, "")</f>
        <v/>
      </c>
      <c r="GR54" s="43" t="str">
        <f>IF(AND(SnapshotTable[[#This Row],[SC Exp Date]]&gt;0,SnapshotTable[[#This Row],[SC Strike Price]]&gt;0), [1]!ToOptionSymbol(SnapshotTable[[#This Row],[Symbol]], SnapshotTable[[#This Row],[SC Strike Price]],SnapshotTable[[#This Row],[SC Exp Date]],0), "")</f>
        <v/>
      </c>
      <c r="GS54" s="30" t="str">
        <f>IF(LEN(SnapshotTable[[#This Row],[SC Symbol]])&gt;0, 1, "")</f>
        <v/>
      </c>
      <c r="GT54" s="29" t="str">
        <f>IF(COUNT(SnapshotTable[[#This Row],[LP Symbol Count]],SnapshotTable[[#This Row],[SP Symbol Count]],SnapshotTable[[#This Row],[LC Symbol Count]],SnapshotTable[[#This Row],[SC Symbol Count]])&gt;0, "Y", "")</f>
        <v/>
      </c>
      <c r="GU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4" s="216">
        <f>MAX(SnapshotTable[[#This Row],[Equity Basis Total]],SnapshotTable[[#This Row],[Equity Value]]) + (SnapshotTable[[#This Row],[SP Potential Spend]]- SnapshotTable[[#This Row],[SP Premium]] + SnapshotTable[[#This Row],[LP Premium]])+ (SnapshotTable[[#This Row],[LC Premium]] - SnapshotTable[[#This Row],[SC Premium]])</f>
        <v>0</v>
      </c>
      <c r="GW54" s="137" t="str">
        <f>IF(AND(SnapshotTable[[#This Row],[Exposure]] &lt;&gt; 0),SnapshotTable[[#This Row],[Exposure]] / SnapshotTable[[#Totals],[Exposure]], "")</f>
        <v/>
      </c>
      <c r="HE54" s="253"/>
      <c r="HF54" s="253"/>
      <c r="HK54" s="1"/>
      <c r="HL54" s="1"/>
      <c r="HM54" s="1"/>
      <c r="HN54" s="1"/>
      <c r="HO54" s="1"/>
      <c r="HP54" s="1"/>
    </row>
    <row r="55" spans="2:224" s="45" customFormat="1" ht="12.75" hidden="1" customHeight="1" x14ac:dyDescent="0.25">
      <c r="B55" s="12" t="s">
        <v>834</v>
      </c>
      <c r="C55" s="385">
        <v>8.9499999999999993</v>
      </c>
      <c r="D55" s="200" t="s">
        <v>467</v>
      </c>
      <c r="E55" s="39">
        <f>SnapshotTable[[#This Row],[Last Price]]*(1 -CrashDiscount)</f>
        <v>7.607499999999999</v>
      </c>
      <c r="F55" s="26" t="s">
        <v>5</v>
      </c>
      <c r="G55" s="26" t="s">
        <v>4</v>
      </c>
      <c r="H55" s="147"/>
      <c r="I55" s="186" t="s">
        <v>2</v>
      </c>
      <c r="J55" s="187"/>
      <c r="K55" s="188"/>
      <c r="L55" s="298"/>
      <c r="M55" s="138"/>
      <c r="N55" s="138"/>
      <c r="O55" s="138"/>
      <c r="P55" s="22"/>
      <c r="Q55" s="25"/>
      <c r="R55" s="4" t="str">
        <f>IF(SnapshotTable[[#This Row],[Equity Basis Total]] &gt; 0, SnapshotTable[[#This Row],[Equity Basis Total]] / SnapshotTable[[#This Row],[Equity Shares]], "")</f>
        <v/>
      </c>
      <c r="S55" s="300">
        <f>SnapshotTable[[#This Row],[Last Price]] * SnapshotTable[[#This Row],[Equity Shares]]</f>
        <v>0</v>
      </c>
      <c r="T55" s="254">
        <f>SnapshotTable[[#This Row],[Equity Value]] - SnapshotTable[[#This Row],[Equity Basis Total]]</f>
        <v>0</v>
      </c>
      <c r="U55" s="255" t="str">
        <f>IF(SnapshotTable[[#This Row],[Equity Basis Total]] &gt; 0, SnapshotTable[[#This Row],[Equity G/L]] / SnapshotTable[[#This Row],[Equity Basis Total]], "")</f>
        <v/>
      </c>
      <c r="V55" s="253"/>
      <c r="W55" s="253"/>
      <c r="X55" s="4" t="str">
        <f>IF(AND(ISNUMBER(SnapshotTable[[#This Row],[Equity Basis Per Share]]),ISNUMBER(SnapshotTable[[#This Row],[Equity Target]])),SnapshotTable[[#This Row],[Equity Target]]-SnapshotTable[[#This Row],[Equity Basis Per Share]],"")</f>
        <v/>
      </c>
      <c r="Y55" s="4" t="str">
        <f>IF(AND(ISNUMBER(SnapshotTable[[#This Row],[Equity Basis Per Share]]),ISNUMBER(SnapshotTable[[#This Row],[Equity Stop Loss]])),SnapshotTable[[#This Row],[Equity Stop Loss]]-SnapshotTable[[#This Row],[Equity Basis Per Share]],"")</f>
        <v/>
      </c>
      <c r="Z55" s="260" t="str">
        <f>IFERROR( TEXT(SnapshotTable[[#This Row],[Equity Max Gain Per Share]] /ABS( SnapshotTable[[#This Row],[Equity Max Loss Per Share]]),"0.0 " ) &amp; " : 1", "")</f>
        <v/>
      </c>
      <c r="AA55" s="31" t="str">
        <f>IF(ISNUMBER(SnapshotTable[[#This Row],[Equity Max Gain Per Share]]),SnapshotTable[[#This Row],[Equity Max Gain Per Share]] * SnapshotTable[[#This Row],[Equity Shares]],"")</f>
        <v/>
      </c>
      <c r="AB55" s="31" t="str">
        <f>IF(ISNUMBER(SnapshotTable[[#This Row],[Equity Max Loss Per Share]]),SnapshotTable[[#This Row],[Equity Max Loss Per Share]] * SnapshotTable[[#This Row],[Equity Shares]],"")</f>
        <v/>
      </c>
      <c r="AC55" s="148"/>
      <c r="AD55" s="149"/>
      <c r="AE55" s="31">
        <f>(SnapshotTable[[#This Row],[Annual Dividend Per Share]] / 4) * SnapshotTable[[#This Row],[Equity Shares]]</f>
        <v>0</v>
      </c>
      <c r="AF55" s="31">
        <f>SnapshotTable[[#This Row],[Quarterly Div $]] * 4</f>
        <v>0</v>
      </c>
      <c r="AG55" s="7">
        <f>IF(SnapshotTable[[#This Row],[Annual Dividend Per Share]]&gt;0, SnapshotTable[[#This Row],[Annual Dividend Per Share]]  / SnapshotTable[[#This Row],[Last Price]], 0)</f>
        <v>0</v>
      </c>
      <c r="AH55" s="149"/>
      <c r="AI55" s="301"/>
      <c r="AJ55" s="136"/>
      <c r="AK55" s="150" t="str">
        <f>IF(ISNUMBER( SnapshotTable[[#This Row],[EBF Target]]),(SnapshotTable[[#This Row],[EBF Target]] - SnapshotTable[[#This Row],[Last Price]]) / SnapshotTable[[#This Row],[Last Price]], "")</f>
        <v/>
      </c>
      <c r="AL55" s="150" t="str">
        <f>IF(AND(SnapshotTable[[#This Row],[Equity Basis Total]] &gt; 0,ISNUMBER( SnapshotTable[[#This Row],[Long Term Target]])), SnapshotTable[[#This Row],[From Basis $]] / SnapshotTable[[#This Row],[Equity Basis Total]], "")</f>
        <v/>
      </c>
      <c r="AM55" s="9">
        <f>IF( AND(SnapshotTable[[#This Row],[Equity Shares]] &gt;0,ISNUMBER( SnapshotTable[[#This Row],[Long Term Target]])),(SnapshotTable[[#This Row],[Equity Shares]] * SnapshotTable[[#This Row],[Long Term Target]]) - SnapshotTable[[#This Row],[Equity Basis Total]],0)</f>
        <v>0</v>
      </c>
      <c r="AN55" s="9">
        <f>IF( AND(SnapshotTable[[#This Row],[Equity Shares]] &gt;0,ISNUMBER( SnapshotTable[[#This Row],[Long Term Target]])),(SnapshotTable[[#This Row],[Equity Shares]]*SnapshotTable[[#This Row],[Long Term Target]]) - SnapshotTable[[#This Row],[Equity Value]],0)</f>
        <v>0</v>
      </c>
      <c r="AO55" s="150" t="str">
        <f>IF(AND(ISNUMBER( SnapshotTable[[#This Row],[Long Term Target]]), ISNUMBER(SnapshotTable[[#This Row],[Last Price]])),(SnapshotTable[[#This Row],[Long Term Target]] - SnapshotTable[[#This Row],[Last Price]]) / SnapshotTable[[#This Row],[Last Price]], "")</f>
        <v/>
      </c>
      <c r="AP55" s="5"/>
      <c r="AQ55" s="38"/>
      <c r="AR55" s="5"/>
      <c r="AS55" s="38"/>
      <c r="AT55" s="144"/>
      <c r="AU55" s="185" t="str">
        <f>IF(OR(SnapshotTable[[#This Row],[LP No Fill]]="Y",SnapshotTable[[#This Row],[SP Is Filled]],SnapshotTable[[#This Row],[LC Not Filled]]="Y",SnapshotTable[[#This Row],[SC Is Filled]]),"Y","")</f>
        <v/>
      </c>
      <c r="AV55" s="309"/>
      <c r="AW55" s="310"/>
      <c r="AX55" s="206"/>
      <c r="AY55" s="205" t="str">
        <f>IF(SnapshotTable[[#This Row],[Implied Move]]&gt;0, SnapshotTable[[#This Row],[Last Price]]-SnapshotTable[[#This Row],[Implied Move]],"")</f>
        <v/>
      </c>
      <c r="AZ55" s="205" t="str">
        <f>IF(SnapshotTable[[#This Row],[Implied Move]]&gt;0, SnapshotTable[[#This Row],[Last Price]] + SnapshotTable[[#This Row],[Implied Move]],"")</f>
        <v/>
      </c>
      <c r="BA55" s="302">
        <v>3.09</v>
      </c>
      <c r="BB55" s="318"/>
      <c r="BC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5" s="321"/>
      <c r="BE55" s="136"/>
      <c r="BF55" s="164"/>
      <c r="BG55" s="165"/>
      <c r="BH55" s="165"/>
      <c r="BI55" s="207"/>
      <c r="BJ55" s="151">
        <f>IF(SnapshotTable[[#This Row],[LP Qty]] &gt; 0, SnapshotTable[[#This Row],[LP Qty]] * SnapshotTable[[#This Row],[LP Book Price]] * 100,0)</f>
        <v>0</v>
      </c>
      <c r="BK55" s="134">
        <f>IF(SnapshotTable[[#This Row],[LP Premium]] &gt; 0, SnapshotTable[[#This Row],[LP Qty]] * SnapshotTable[[#This Row],[LP Strike Price]] * 100,0)</f>
        <v>0</v>
      </c>
      <c r="BL55" s="152"/>
      <c r="BM55" s="355" t="str">
        <f>IF(SnapshotTable[[#This Row],[LP Premium]] &gt; 0,SnapshotTable[[#This Row],[LP Exp Date]]-MAX(SnapshotTable[[#This Row],[LP Book Date]], SnapshotTable[[#This Row],[LP Fill Date]]),"")</f>
        <v/>
      </c>
      <c r="BN55" s="355" t="str">
        <f>IF(ISNUMBER( SnapshotTable[[#This Row],[LP Term]]), SnapshotTable[[#This Row],[LP Exp Date]] - MockToday,"")</f>
        <v/>
      </c>
      <c r="BO55" s="161" t="str">
        <f>IF(AND(SnapshotTable[[#This Row],[LP Exp Date]]&gt;0, SnapshotTable[[#This Row],[LP Strike Price]]&gt;0,SnapshotTable[[#This Row],[LP Qty]]&gt;0,SnapshotTable[[#This Row],[LP Book Date]]&gt;0,SnapshotTable[[#This Row],[LP Book Price]]&gt;0,SnapshotTable[[#This Row],[LP Fill Date]]=0),"Y","")</f>
        <v/>
      </c>
      <c r="BP55" s="31" t="str">
        <f>IF(AND(SnapshotTable[[#This Row],[LP No Fill]]&lt;&gt;"Y",SnapshotTable[[#This Row],[LP Contract Value]]&gt;0, SnapshotTable[[#This Row],[LP Qty]]&gt;0), SnapshotTable[[#This Row],[LP Contract Value]]*SnapshotTable[[#This Row],[LP Qty]]*100,"")</f>
        <v/>
      </c>
      <c r="BQ55" s="13"/>
      <c r="BR55" s="5"/>
      <c r="BS55" s="36"/>
      <c r="BT55" s="145"/>
      <c r="BU55" s="13"/>
      <c r="BV55" s="5"/>
      <c r="BW55" s="382" t="b">
        <f>AND(ISNUMBER(SnapshotTable[[#This Row],[SP Exp Date]]), ISNUMBER(SnapshotTable[[#This Row],[SP Strike Price]]), ISNUMBER(SnapshotTable[[#This Row],[SP Qty]]), ISNUMBER(SnapshotTable[[#This Row],[SP Book Date]]), ISNUMBER(SnapshotTable[[#This Row],[SP Book Price]]))</f>
        <v>0</v>
      </c>
      <c r="BX55" s="382" t="b">
        <f>AND(SnapshotTable[[#This Row],[SP Is Booked]], NOT(ISBLANK(SnapshotTable[[#This Row],[SP Fill Date]])))</f>
        <v>0</v>
      </c>
      <c r="BY55" s="33">
        <f>IF(SnapshotTable[[#This Row],[SP Is Booked]], SnapshotTable[[#This Row],[SP Qty]] * SnapshotTable[[#This Row],[SP Book Price]] * 100, 0)</f>
        <v>0</v>
      </c>
      <c r="BZ55" s="339"/>
      <c r="CA55" s="338">
        <f>SnapshotTable[[#This Row],[LP Qty]]</f>
        <v>0</v>
      </c>
      <c r="CB55" s="4" t="str">
        <f>IF(SnapshotTable[[#This Row],[SP Is Booked]], SnapshotTable[[#This Row],[SP Strike Price]] - SnapshotTable[[#This Row],[SP Book Price]], "")</f>
        <v/>
      </c>
      <c r="CC55" s="19" t="str">
        <f>IF(SnapshotTable[[#This Row],[SP Is Booked]],SnapshotTable[[#This Row],[SP Exp Date]]-MAX(SnapshotTable[[#This Row],[SP Book Date]], SnapshotTable[[#This Row],[SP Fill Date]]),"")</f>
        <v/>
      </c>
      <c r="CD55" s="7" t="str">
        <f>IF(SnapshotTable[[#This Row],[SP Is Booked]], SnapshotTable[[#This Row],[SP Book Price]]/SnapshotTable[[#This Row],[SP Strike Price]], "")</f>
        <v/>
      </c>
      <c r="CE55" s="7" t="str">
        <f>IF(ISNUMBER(SnapshotTable[[#This Row],[SP ROO Term]]),SnapshotTable[[#This Row],[SP ROO Term]]*(365/SnapshotTable[[#This Row],[SP Term]]),"")</f>
        <v/>
      </c>
      <c r="CF55" s="221">
        <f>SnapshotTable[[#This Row],[LP Strike Price]] * SnapshotTable[[#This Row],[LP Qty]] * 100</f>
        <v>0</v>
      </c>
      <c r="CG55" s="31">
        <f>IF(ISNUMBER(SnapshotTable[[#This Row],[SP Premium]]), (SnapshotTable[[#This Row],[SP Qty]] * SnapshotTable[[#This Row],[SP Strike Price]]* 100) - SnapshotTable[[#This Row],[LP Protection]], 0)</f>
        <v>0</v>
      </c>
      <c r="CH55" s="7" t="str">
        <f>IF(ISNUMBER(SnapshotTable[[#This Row],[SP Break Even]]),-1 * (SnapshotTable[[#This Row],[SP Break Even]] - SnapshotTable[[#This Row],[Last Price]]) / SnapshotTable[[#This Row],[Last Price]], "")</f>
        <v/>
      </c>
      <c r="CI55" s="31">
        <f>IF(AND(ISNUMBER((SnapshotTable[[#This Row],[SP Potential Spend]])), SnapshotTable[[#This Row],[SP Strike Price]] &gt; SnapshotTable[[#This Row],[Last Price]], SnapshotTable[[#This Row],[SP Is Filled]]), SnapshotTable[[#This Row],[SP Potential Spend]] -  SnapshotTable[[#This Row],[LP Max Value]], 0)</f>
        <v>0</v>
      </c>
      <c r="CJ55" s="229"/>
      <c r="CK55" s="31">
        <f>IF(ISNUMBER(SnapshotTable[[#This Row],[SP Potential Spend]]),IF(ISNUMBER(SnapshotTable[[#This Row],[SP POW]]), SnapshotTable[[#This Row],[SP POW]] * SnapshotTable[[#This Row],[SP Potential Spend]], SnapshotTable[[#This Row],[SP Potential Spend]]), "")</f>
        <v>0</v>
      </c>
      <c r="CL55" s="162">
        <f>IF(NOT(SnapshotTable[[#This Row],[SP Is Filled]]),(SnapshotTable[[#This Row],[SP Qty]] * SnapshotTable[[#This Row],[SP Strike Price]] * 100) - SnapshotTable[[#This Row],[LP Max Value]],"")</f>
        <v>0</v>
      </c>
      <c r="CM55" s="31" t="str">
        <f>IF(SnapshotTable[[#This Row],[SP Actual Spend]]&lt;&gt;0, ((SnapshotTable[[#This Row],[SP Strike Price]]-SnapshotTable[[#This Row],[Last Price]]) *(SnapshotTable[[#This Row],[SP Qty]]*100) - SnapshotTable[[#This Row],[SP Premium]]) * - 1, "")</f>
        <v/>
      </c>
      <c r="CN55" s="152"/>
      <c r="CO55" s="339"/>
      <c r="CP55" s="291" t="str">
        <f>IF(SnapshotTable[[#This Row],[SP Is Filled]], btc_max_buyback_amount(SnapshotTable[[#This Row],[SP Fill Date]],SnapshotTable[[#This Row],[SP Exp Date]], SnapshotTable[[#This Row],[SP Book Price]]),"")</f>
        <v/>
      </c>
      <c r="CQ55" s="76"/>
      <c r="CR55"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5" s="153" t="str">
        <f>IF(SnapshotTable[[#This Row],[SP Is Filled]], btc_next_cutoff_date(SnapshotTable[[#This Row],[SP Fill Date]],SnapshotTable[[#This Row],[SP Exp Date]]),"")</f>
        <v/>
      </c>
      <c r="CT55" s="220" t="str" cm="1">
        <f t="array" ref="CT55">IF(SnapshotTable[[#This Row],[SP Is Filled]], btc_should_buy_back(SnapshotTable[[#This Row],[SP Fill Date]], SnapshotTable[[#This Row],[SP Exp Date]], SnapshotTable[[#This Row],[SP Book Price]], SnapshotTable[[#This Row],[SP Current Ask]], MockToday, SnapshotTable[[#This Row],[SP Buyback Override]]),"")</f>
        <v/>
      </c>
      <c r="CU55" s="154"/>
      <c r="CV55" s="220"/>
      <c r="CW55" s="348" t="str">
        <f>IF(ISNUMBER( SnapshotTable[[#This Row],[SP Term]]), SnapshotTable[[#This Row],[SP Exp Date]] - MockToday,"")</f>
        <v/>
      </c>
      <c r="CX55" s="31" t="str">
        <f>IF(SnapshotTable[[#This Row],[SP Is Filled]],SnapshotTable[[#This Row],[SP Buyback Price to Use]] * 100 * SnapshotTable[[#This Row],[SP Qty]], "")</f>
        <v/>
      </c>
      <c r="CY55" s="4" t="str">
        <f>IF(ISNUMBER(SnapshotTable[[#This Row],[SP Strike Price]]), SnapshotTable[[#This Row],[SP Strike Price]] * (1 - SP_MaxLoss_StrikePct), "")</f>
        <v/>
      </c>
      <c r="CZ55" s="31" t="str">
        <f>IF(ISNUMBER(SnapshotTable[[#This Row],[SP Strike  Stop Per Share]]),SnapshotTable[[#This Row],[SP Premium]] - ((SnapshotTable[[#This Row],[SP Strike Price]]-SnapshotTable[[#This Row],[SP Strike  Stop Per Share]]) *(SnapshotTable[[#This Row],[SP Qty]] * 100)),"")</f>
        <v/>
      </c>
      <c r="DA55" s="4" t="str">
        <f>IF(AND(ISNUMBER(SnapshotTable[[#This Row],[SP Premium]]),SnapshotTable[[#This Row],[SP Premium]]&gt;0), SnapshotTable[[#This Row],[SP Book Price]] * (1 + SP_MaxLoss_OptionPct), "")</f>
        <v/>
      </c>
      <c r="DB55" s="31" t="str">
        <f>IF(ISNUMBER(SnapshotTable[[#This Row],[SP Option  Stop Contract]]),(SnapshotTable[[#This Row],[SP Option  Stop Contract]] *(SnapshotTable[[#This Row],[SP Qty]] * 100) - SnapshotTable[[#This Row],[SP Premium]]),"")</f>
        <v/>
      </c>
      <c r="DC55" s="4"/>
      <c r="DD55" s="4"/>
      <c r="DE55" s="4" t="str">
        <f>IF(AND(SnapshotTable[[#This Row],[SP Qty]]&gt;0, SnapshotTable[[#This Row],[SP Stop To Use]]&gt;0),SnapshotTable[[#This Row],[SP Premium]] - ( SnapshotTable[[#This Row],[SP Qty]] * SnapshotTable[[#This Row],[SP Stop To Use]] * 100), "")</f>
        <v/>
      </c>
      <c r="DF55" s="31" t="str">
        <f>IF(AND(SnapshotTable[[#This Row],[SP Qty]]&gt;0,SnapshotTable[[#This Row],[SP Current Ask]]&gt;0), SnapshotTable[[#This Row],[SP Qty]] * SnapshotTable[[#This Row],[SP Current Ask]] * -100, "")</f>
        <v/>
      </c>
      <c r="DG55" s="31" t="str">
        <f>IF(ISNUMBER((SnapshotTable[[#This Row],[SP Total Value]])), SnapshotTable[[#This Row],[SP Premium]] + SnapshotTable[[#This Row],[SP Total Value]], "")</f>
        <v/>
      </c>
      <c r="DH55" s="272" t="str">
        <f>IF(ISNUMBER((SnapshotTable[[#This Row],[SP Total Value]])), SnapshotTable[[#This Row],[SP Gain Loss]] / SnapshotTable[[#This Row],[SP Premium]], "")</f>
        <v/>
      </c>
      <c r="DI55" s="369"/>
      <c r="DJ55" s="136"/>
      <c r="DK55" s="146"/>
      <c r="DL55" s="145"/>
      <c r="DM55" s="145"/>
      <c r="DN55" s="5"/>
      <c r="DO55" s="31">
        <f>IF(SnapshotTable[[#This Row],[LC Symbol Count]]=1, SnapshotTable[[#This Row],[LC Qty]] * SnapshotTable[[#This Row],[LC Book Price]] * 100, 0)</f>
        <v>0</v>
      </c>
      <c r="DP55" s="270" t="str">
        <f>IF(AND(SnapshotTable[[#This Row],[LC Exp Date]]&gt;0, SnapshotTable[[#This Row],[LC Strike Price]]&gt;0,SnapshotTable[[#This Row],[LC Qty]]&gt;0,SnapshotTable[[#This Row],[LC Book Date]]&gt;0,SnapshotTable[[#This Row],[LC Book Price]]&gt;0,SnapshotTable[[#This Row],[LC Fill Date]]=0),"Y","")</f>
        <v/>
      </c>
      <c r="DQ55" s="356" t="str">
        <f>IF(SnapshotTable[[#This Row],[LC Premium]] &gt; 0,SnapshotTable[[#This Row],[LC Exp Date]]-MAX(SnapshotTable[[#This Row],[LC Book Date]], SnapshotTable[[#This Row],[LC Fill Date]]),"")</f>
        <v/>
      </c>
      <c r="DR55" s="356" t="str">
        <f>IF(ISNUMBER(SnapshotTable[[#This Row],[LC Term]]), SnapshotTable[[#This Row],[LC Exp Date]] - MockToday, "")</f>
        <v/>
      </c>
      <c r="DS55" s="219" t="str">
        <f>IF(SnapshotTable[[#This Row],[LC Premium]]&gt;0,SnapshotTable[[#This Row],[LC Strike Price]] + SnapshotTable[[#This Row],[LC Book Price]],"")</f>
        <v/>
      </c>
      <c r="DT55" s="5"/>
      <c r="DU55" s="9" t="str">
        <f>IF(AND(SnapshotTable[[#This Row],[LC Symbol Count]]&gt;0, SnapshotTable[[#This Row],[LC Contract Value]]&gt;0), SnapshotTable[[#This Row],[LC Contract Value]] * SnapshotTable[[#This Row],[LC Qty]] * 100, "")</f>
        <v/>
      </c>
      <c r="DV55" s="9" t="str">
        <f>IF(AND(ISNUMBER(SnapshotTable[[#This Row],[LC Total Value]]), SnapshotTable[[#This Row],[LC Not Filled]]&lt;&gt;"Y"), SnapshotTable[[#This Row],[LC Total Value]]-SnapshotTable[[#This Row],[LC Premium]],"")</f>
        <v/>
      </c>
      <c r="DW55" s="225" t="str">
        <f>IF(ISNUMBER(SnapshotTable[[#This Row],[LC Actual Gain Loss]]), SnapshotTable[[#This Row],[LC Actual Gain Loss]] / SnapshotTable[[#This Row],[LC Premium]],"")</f>
        <v/>
      </c>
      <c r="DX55" s="269" t="str">
        <f>IF(ISNUMBER(SnapshotTable[[#This Row],[LC Book Price]]),SnapshotTable[[#This Row],[LC Book Price]] * 1.5,"")</f>
        <v/>
      </c>
      <c r="DY55" s="250" t="str">
        <f>IF(SnapshotTable[[#This Row],[LC Premium]]&gt;0, SnapshotTable[[#This Row],[LC Next Target]] * SnapshotTable[[#This Row],[LC Qty]] * 100,"")</f>
        <v/>
      </c>
      <c r="DZ55" s="250" t="str">
        <f>IF(ISNUMBER(SnapshotTable[[#This Row],[LC Target Gross]]), SnapshotTable[[#This Row],[LC Target Gross]] - SnapshotTable[[#This Row],[LC Premium]], "")</f>
        <v/>
      </c>
      <c r="EA55" s="283" t="str">
        <f>IF(ISNUMBER(SnapshotTable[[#This Row],[LC Target Gain Loss]]), SnapshotTable[[#This Row],[LC Target Gain Loss]]/SnapshotTable[[#This Row],[LC Premium]], "")</f>
        <v/>
      </c>
      <c r="EB55" s="247"/>
      <c r="EC55" s="271" t="str">
        <f>IF(SnapshotTable[[#This Row],[LC Premium]]&gt;0, SnapshotTable[[#This Row],[LC Book Price]] * (1 - LC_StopLoss_Pct),"")</f>
        <v/>
      </c>
      <c r="ED55" s="269"/>
      <c r="EE55" s="271" t="str">
        <f>IF(ISNUMBER(SnapshotTable[[#This Row],[LC Contract Value]]),IF(ISNUMBER(SnapshotTable[[#This Row],[LC Stop Loss Override]]), SnapshotTable[[#This Row],[LC Stop Loss Override]],SnapshotTable[[#This Row],[LC Stop Loss Calc Target]]),"")</f>
        <v/>
      </c>
      <c r="EF55" s="292" t="str">
        <f>IF(ISNUMBER(SnapshotTable[[#This Row],[LC Stop  To Use]]), (SnapshotTable[[#This Row],[LC Stop  To Use]] * SnapshotTable[[#This Row],[LC Qty]] * 100),"")</f>
        <v/>
      </c>
      <c r="EG55" s="9" t="str">
        <f>IF(ISNUMBER(SnapshotTable[[#This Row],[LC Total Value]]),SnapshotTable[[#This Row],[LC Stop Loss Amount]] - SnapshotTable[[#This Row],[LC Premium]],"")</f>
        <v/>
      </c>
      <c r="EH55" s="9">
        <f>IF(ISNUMBER(SnapshotTable[[#This Row],[LC Premium]]), SnapshotTable[[#This Row],[LC Qty]] * 100 * SnapshotTable[[#This Row],[LC Strike Price]], "")</f>
        <v>0</v>
      </c>
      <c r="EI55" s="225" t="str">
        <f>IF(AND(ISNUMBER(SnapshotTable[[#This Row],[LC Total Value]]),SnapshotTable[[#This Row],[LC Total Value]]&gt;0),SnapshotTable[[#This Row],[LC Stop Gain Loss]]  / SnapshotTable[[#This Row],[LC Premium]],"")</f>
        <v/>
      </c>
      <c r="EJ55" s="35">
        <f>IF(ISNUMBER(SnapshotTable[[#This Row],[Equity Shares]]),TRUNC(SnapshotTable[[#This Row],[Equity Shares]] / 100),0) + SnapshotTable[[#This Row],[LC Qty]]</f>
        <v>0</v>
      </c>
      <c r="EK55" s="145"/>
      <c r="EL55" s="136"/>
      <c r="EM55" s="146"/>
      <c r="EN55" s="145"/>
      <c r="EO55" s="145"/>
      <c r="EP55" s="136"/>
      <c r="EQ55" s="382" t="b">
        <f>AND(ISNUMBER(SnapshotTable[[#This Row],[SC Exp Date]]), ISNUMBER(SnapshotTable[[#This Row],[SC Strike Price]]), ISNUMBER(SnapshotTable[[#This Row],[SC Qty]]), ISNUMBER(SnapshotTable[[#This Row],[SC Book Date]]), ISNUMBER(SnapshotTable[[#This Row],[SC Book Price]]))</f>
        <v>0</v>
      </c>
      <c r="ER55" s="382" t="b">
        <f>AND(SnapshotTable[[#This Row],[SC Is Booked]], NOT(ISBLANK(SnapshotTable[[#This Row],[SC Fill Date]])))</f>
        <v>0</v>
      </c>
      <c r="ES55" s="340"/>
      <c r="ET55" s="34" t="str">
        <f>IF(AND(ISNUMBER(SnapshotTable[[#This Row],[SC Exp Date]]), ISNUMBER(SnapshotTable[[#This Row],[SC Book Date]])), SnapshotTable[[#This Row],[SC Exp Date]] - MAX(SnapshotTable[[#This Row],[SC Book Date]], SnapshotTable[[#This Row],[SC Fill Date]]) + 1, "")</f>
        <v/>
      </c>
      <c r="EU55" s="34" t="str">
        <f>IF(ISNUMBER(SnapshotTable[[#This Row],[SC Term]]), SnapshotTable[[#This Row],[SC Exp Date]]- MockToday, "")</f>
        <v/>
      </c>
      <c r="EV55" s="31">
        <f>IF(SnapshotTable[[#This Row],[SC Is Booked]], SnapshotTable[[#This Row],[SC Qty]] * SnapshotTable[[#This Row],[SC Book Price]] * 100, 0)</f>
        <v>0</v>
      </c>
      <c r="EW55" s="4" t="str">
        <f>IF(AND(ISNUMBER(SnapshotTable[[#This Row],[Last Price]]), ISNUMBER( SnapshotTable[[#This Row],[SC Book Price]])), SnapshotTable[[#This Row],[Last Price]] - SnapshotTable[[#This Row],[SC Book Price]],"")</f>
        <v/>
      </c>
      <c r="EX55" s="219" t="str">
        <f>IF(SnapshotTable[[#This Row],[SC Is Booked]],IF(SnapshotTable[[#This Row],[SC Intrinsic Value]] &gt; 0, SnapshotTable[[#This Row],[SC Strike Price]], SnapshotTable[[#This Row],[Last Price]]), "")</f>
        <v/>
      </c>
      <c r="EY55" s="4">
        <f>IF(SnapshotTable[[#This Row],[SC Is Booked]], (MinimumPremiumRequired * SnapshotTable[[#This Row],[SC Basis]] * SnapshotTable[[#This Row],[SC Term]]), 0)</f>
        <v>0</v>
      </c>
      <c r="EZ55" s="268"/>
      <c r="FA55" s="204"/>
      <c r="FB55" s="340"/>
      <c r="FC55" s="4">
        <f>IF(SnapshotTable[[#This Row],[SC Is Filled]], btc_max_buyback_amount(SnapshotTable[[#This Row],[SC Fill Date]],SnapshotTable[[#This Row],[SC Exp Date]], SnapshotTable[[#This Row],[SC Book Price]]),0)</f>
        <v>0</v>
      </c>
      <c r="FD55" s="5"/>
      <c r="FE55" s="142" t="str">
        <f>IF(SnapshotTable[[#This Row],[SC Is Filled]], btc_next_cutoff_date(SnapshotTable[[#This Row],[SC Fill Date]],SnapshotTable[[#This Row],[SC Exp Date]]),"")</f>
        <v/>
      </c>
      <c r="FF55" s="4" t="str" cm="1">
        <f t="array" ref="FF55">IF(SnapshotTable[[#This Row],[SC Is Filled]], btc_should_buy_back(SnapshotTable[[#This Row],[SC Fill Date]], SnapshotTable[[#This Row],[SC Exp Date]], SnapshotTable[[#This Row],[SC Book Price]], SnapshotTable[[#This Row],[SC Current Ask]], MockToday, SnapshotTable[[#This Row],[SC Buyback Override]]),"")</f>
        <v/>
      </c>
      <c r="FG55" s="4">
        <f>IF(SnapshotTable[[#This Row],[SC Is Filled]], MAX(0,SnapshotTable[[#This Row],[Last Price]]  - SnapshotTable[[#This Row],[SC Strike Price]]), 0)</f>
        <v>0</v>
      </c>
      <c r="FH55" s="352">
        <f>IF(SnapshotTable[[#This Row],[SC Is Filled]], IF(ISNUMBER(SnapshotTable[[#This Row],[SC Current Ask]]), SnapshotTable[[#This Row],[SC Current Ask]], SnapshotTable[[#This Row],[SC Book Price]]) - SnapshotTable[[#This Row],[SC Intrinsic Value]], 0)</f>
        <v>0</v>
      </c>
      <c r="FI55" s="141"/>
      <c r="FJ55" s="32" t="str">
        <f>IF(SnapshotTable[[#This Row],[SC Is Filled]],100 * SnapshotTable[[#This Row],[SC Qty]] * IF(ISNUMBER(SnapshotTable[[#This Row],[SC Buyback Override]]), SnapshotTable[[#This Row],[SC Buyback Override]], SnapshotTable[[#This Row],[SC Current Ask]]), "")</f>
        <v/>
      </c>
      <c r="FK55" s="235" t="str">
        <f>IF(SnapshotTable[[#This Row],[SC Time Val]]&gt;0, SnapshotTable[[#This Row],[SC Time Val]] / SnapshotTable[[#This Row],[Last Price]],"")</f>
        <v/>
      </c>
      <c r="FL55" s="280" t="str">
        <f>IF(SnapshotTable[[#This Row],[SC Is Booked]], ((SnapshotTable[[#This Row],[Last Price]] -SnapshotTable[[#This Row],[SC Strike Price]]) / SnapshotTable[[#This Row],[Last Price]]) * -1, "")</f>
        <v/>
      </c>
      <c r="FM55" s="155" t="str">
        <f>IF(SnapshotTable[[#This Row],[SC Is Booked]],  (SnapshotTable[[#This Row],[SC Qty]] * 100 * SnapshotTable[[#This Row],[SC Strike Price]]) - SnapshotTable[[#This Row],[SC Current Ask]], "")</f>
        <v/>
      </c>
      <c r="FN55"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5" s="155" t="str">
        <f>IF(AND(ISNUMBER(SnapshotTable[[#This Row],[SC Exercise Gross]]), ISNUMBER(SnapshotTable[[#This Row],[Equity Basis Per Share]] )), SnapshotTable[[#This Row],[SC Exercise Gross]] - SnapshotTable[[#This Row],[Equity Basis Total]] +  SnapshotTable[[#This Row],[SC Premium]], "")</f>
        <v/>
      </c>
      <c r="FP55" s="5" t="str">
        <f>IF(ISNUMBER(SnapshotTable[[#This Row],[SC Exercise Gross]]), (SnapshotTable[[#This Row],[SC Exercise Gross]]) / (SnapshotTable[[#This Row],[SC Qty]] * 100), "")</f>
        <v/>
      </c>
      <c r="FQ55" s="27" t="str">
        <f>IF(SnapshotTable[[#This Row],[SC Is Booked]],SnapshotTable[[#This Row],[SC Time Val]] /SnapshotTable[[#This Row],[SC Basis]], "")</f>
        <v/>
      </c>
      <c r="FR55" s="27" t="str" cm="1">
        <f t="array" ref="FR55">IF(AND(ISNUMBER(SnapshotTable[[#This Row],[SC Term]]),ISNUMBER(SnapshotTable[[#This Row],[SC Simple ROO]])), EllmanAnnualize(SnapshotTable[[#This Row],[SC DTE]], SnapshotTable[[#This Row],[SC Simple ROO]] ),"")</f>
        <v/>
      </c>
      <c r="FS55" s="4">
        <f>IF(SnapshotTable[[#This Row],[SC Strike Price]] &gt; SnapshotTable[[#This Row],[Last Price]], SnapshotTable[[#This Row],[SC Strike Price]] - SnapshotTable[[#This Row],[Last Price]],0)</f>
        <v>0</v>
      </c>
      <c r="FT55" s="27" t="str">
        <f>IF(AND(ISNUMBER(SnapshotTable[[#This Row],[SC Upside Potential]]), SnapshotTable[[#This Row],[SC Upside Potential]] &gt; 0),(SnapshotTable[[#This Row],[SC Upside Potential]]/ SnapshotTable[[#This Row],[ACB]]),"")</f>
        <v/>
      </c>
      <c r="FU55" s="304" t="str">
        <f>IF(SnapshotTable[[#This Row],[SC Intrinsic Value]] &gt; 0,SnapshotTable[[#This Row],[SC Intrinsic Value]],"")</f>
        <v/>
      </c>
      <c r="FV55" s="27" t="str">
        <f>IF(AND( ISNUMBER( SnapshotTable[[#This Row],[ACB]]),ISNUMBER(SnapshotTable[[#This Row],[SC Downside Protect]])),SnapshotTable[[#This Row],[SC Downside Protect]] / SnapshotTable[[#This Row],[ACB]],"")</f>
        <v/>
      </c>
      <c r="FW55" s="221" t="str">
        <f>IF(AND(ISNUMBER(SnapshotTable[[#This Row],[SC Simple ROO]]),SnapshotTable[[#This Row],[SC Simple ROO]] &gt; 0), SnapshotTable[[#This Row],[SC Premium]] + (SnapshotTable[[#This Row],[SC Qty]] * SnapshotTable[[#This Row],[SC Upside Potential]]), "")</f>
        <v/>
      </c>
      <c r="FX55" s="280" t="str" cm="1">
        <f t="array" ref="FX55">IF(ISNUMBER(SnapshotTable[[#This Row],[SC Max Dollars]]), annualize(SnapshotTable[[#This Row],[SC Term]],(SnapshotTable[[#This Row],[SC Max Dollars]]/SnapshotTable[[#This Row],[SC Basis]])),"")</f>
        <v/>
      </c>
      <c r="FY55" s="221" t="str">
        <f>IF(AND(SnapshotTable[[#This Row],[SC Qty]]&gt;0,SnapshotTable[[#This Row],[SC Current Ask]]&gt;0), SnapshotTable[[#This Row],[SC Qty]] * SnapshotTable[[#This Row],[SC Current Ask]] * -100, "")</f>
        <v/>
      </c>
      <c r="FZ55" s="220" t="str">
        <f>IF(ISNUMBER((SnapshotTable[[#This Row],[SC Current Value]])), SnapshotTable[[#This Row],[SC Premium]] + SnapshotTable[[#This Row],[SC Current Value]], "")</f>
        <v/>
      </c>
      <c r="GA55" s="272" t="str">
        <f>IFERROR( IF(ISNUMBER((SnapshotTable[[#This Row],[SC Current Value]])), SnapshotTable[[#This Row],[SC Gain Loss]] / SnapshotTable[[#This Row],[SC Premium]], ""), "")</f>
        <v/>
      </c>
      <c r="GB55" s="42">
        <f>SnapshotTable[[#This Row],[Equity Shares]] * SaleSharesToConsiderPercentage</f>
        <v>0</v>
      </c>
      <c r="GC55" s="40">
        <f>SnapshotTable[[#This Row],[Long Term Target]] * SellingPriceToConsiderBasedOnTargetPercentage</f>
        <v>0</v>
      </c>
      <c r="GD55" s="40">
        <f>SnapshotTable[[#This Row],[Last Price]] * (1+ SellingPriceToConsiderBasedOnTargetPercentage)</f>
        <v>17.452499999999997</v>
      </c>
      <c r="GE55" s="41"/>
      <c r="GF55" s="40"/>
      <c r="GG55" s="31">
        <f>SnapshotTable[[#This Row],[Booked Sale Shares]] * SnapshotTable[[#This Row],[Booked Sale Price]]</f>
        <v>0</v>
      </c>
      <c r="GH55" s="31" t="str">
        <f>IF(SnapshotTable[[#This Row],[Equity Basis Total]] &gt; 0, SnapshotTable[[#This Row],[Equity Basis Per Share]] * SnapshotTable[[#This Row],[Booked Sale Shares]], "")</f>
        <v/>
      </c>
      <c r="GI55" s="31">
        <f>IF(SnapshotTable[[#This Row],[Sale Proceeds]]&gt;0, SnapshotTable[[#This Row],[Sale Proceeds]] - SnapshotTable[[#This Row],[Sale Basis]], 0)</f>
        <v>0</v>
      </c>
      <c r="GJ55" s="156" t="str">
        <f>IF(SnapshotTable[[#This Row],[Sale G/L]]&gt;0, SnapshotTable[[#This Row],[Sale G/L]] / SnapshotTable[[#This Row],[Sale Basis]], IF(ISNUMBER(SnapshotTable[[#This Row],[SC Exercise P&amp;L (TAX)]]), SnapshotTable[[#This Row],[SC Exercise P&amp;L (TAX)]] / SnapshotTable[[#This Row],[SC Basis]], ""))</f>
        <v/>
      </c>
      <c r="GK55" s="27"/>
      <c r="GL55" s="157" t="str">
        <f>IF(AND(SnapshotTable[[#This Row],[LP Exp Date]]&gt;0,SnapshotTable[[#This Row],[LP Strike Price]]&gt;0), [1]!ToOptionSymbol(SnapshotTable[[#This Row],[Symbol]], SnapshotTable[[#This Row],[LP Strike Price]],SnapshotTable[[#This Row],[LP Exp Date]],1), "")</f>
        <v/>
      </c>
      <c r="GM55" s="30" t="str">
        <f>IF(LEN(SnapshotTable[[#This Row],[LP Symbol]])&gt;0, 1, "")</f>
        <v/>
      </c>
      <c r="GN55" s="43" t="str">
        <f>IF(AND(SnapshotTable[[#This Row],[SP Exp Date]]&gt;0,SnapshotTable[[#This Row],[SP Strike Price]]&gt;0), [1]!ToOptionSymbol(SnapshotTable[[#This Row],[Symbol]], SnapshotTable[[#This Row],[SP Strike Price]],SnapshotTable[[#This Row],[SP Exp Date]],1), "")</f>
        <v/>
      </c>
      <c r="GO55" s="30" t="str">
        <f>IF(LEN(SnapshotTable[[#This Row],[SP Symbol]])&gt;0, 1, "")</f>
        <v/>
      </c>
      <c r="GP55" s="157" t="str">
        <f>IF(AND(SnapshotTable[[#This Row],[LC Exp Date]]&gt;0,SnapshotTable[[#This Row],[LC Strike Price]]&gt;0), [1]!ToOptionSymbol(SnapshotTable[[#This Row],[Symbol]], SnapshotTable[[#This Row],[LC Strike Price]],SnapshotTable[[#This Row],[LC Exp Date]],0), "")</f>
        <v/>
      </c>
      <c r="GQ55" s="158" t="str">
        <f>IF(LEN(SnapshotTable[[#This Row],[LC Symbol]])&gt;0, 1, "")</f>
        <v/>
      </c>
      <c r="GR55" s="157" t="str">
        <f>IF(AND(SnapshotTable[[#This Row],[SC Exp Date]]&gt;0,SnapshotTable[[#This Row],[SC Strike Price]]&gt;0), [1]!ToOptionSymbol(SnapshotTable[[#This Row],[Symbol]], SnapshotTable[[#This Row],[SC Strike Price]],SnapshotTable[[#This Row],[SC Exp Date]],0), "")</f>
        <v/>
      </c>
      <c r="GS55" s="158" t="str">
        <f>IF(LEN(SnapshotTable[[#This Row],[SC Symbol]])&gt;0, 1, "")</f>
        <v/>
      </c>
      <c r="GT55" s="159" t="str">
        <f>IF(COUNT(SnapshotTable[[#This Row],[LP Symbol Count]],SnapshotTable[[#This Row],[SP Symbol Count]],SnapshotTable[[#This Row],[LC Symbol Count]],SnapshotTable[[#This Row],[SC Symbol Count]])&gt;0, "Y", "")</f>
        <v/>
      </c>
      <c r="GU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5" s="216">
        <f>MAX(SnapshotTable[[#This Row],[Equity Basis Total]],SnapshotTable[[#This Row],[Equity Value]]) + (SnapshotTable[[#This Row],[SP Potential Spend]]- SnapshotTable[[#This Row],[SP Premium]] + SnapshotTable[[#This Row],[LP Premium]])+ (SnapshotTable[[#This Row],[LC Premium]] - SnapshotTable[[#This Row],[SC Premium]])</f>
        <v>0</v>
      </c>
      <c r="GW55" s="137" t="str">
        <f>IF(AND(SnapshotTable[[#This Row],[Exposure]] &lt;&gt; 0),SnapshotTable[[#This Row],[Exposure]] / SnapshotTable[[#Totals],[Exposure]], "")</f>
        <v/>
      </c>
      <c r="GY55" s="351"/>
      <c r="HE55" s="253"/>
      <c r="HF55" s="253"/>
      <c r="HG55" s="351"/>
      <c r="HH55" s="351"/>
      <c r="HI55" s="351"/>
      <c r="HJ55" s="351"/>
    </row>
    <row r="56" spans="2:224" s="45" customFormat="1" ht="12.75" hidden="1" customHeight="1" x14ac:dyDescent="0.25">
      <c r="B56" s="12" t="s">
        <v>167</v>
      </c>
      <c r="C56" s="385">
        <v>137.16</v>
      </c>
      <c r="D56" s="200"/>
      <c r="E56" s="39">
        <f>SnapshotTable[[#This Row],[Last Price]]*(1 -CrashDiscount)</f>
        <v>116.586</v>
      </c>
      <c r="F56" s="26" t="s">
        <v>166</v>
      </c>
      <c r="G56" s="26" t="s">
        <v>4</v>
      </c>
      <c r="H56" s="147"/>
      <c r="I56" s="186">
        <v>44757.274305555555</v>
      </c>
      <c r="J56" s="187">
        <v>44757.274305555555</v>
      </c>
      <c r="K56" s="188" t="s">
        <v>3</v>
      </c>
      <c r="L56" s="297"/>
      <c r="M56" s="138"/>
      <c r="N56" s="138"/>
      <c r="O56" s="138">
        <v>4</v>
      </c>
      <c r="P56" s="22"/>
      <c r="Q56" s="25"/>
      <c r="R56" s="4" t="str">
        <f>IF(SnapshotTable[[#This Row],[Equity Basis Total]] &gt; 0, SnapshotTable[[#This Row],[Equity Basis Total]] / SnapshotTable[[#This Row],[Equity Shares]], "")</f>
        <v/>
      </c>
      <c r="S56" s="254">
        <f>SnapshotTable[[#This Row],[Last Price]] * SnapshotTable[[#This Row],[Equity Shares]]</f>
        <v>0</v>
      </c>
      <c r="T56" s="254">
        <f>SnapshotTable[[#This Row],[Equity Value]] - SnapshotTable[[#This Row],[Equity Basis Total]]</f>
        <v>0</v>
      </c>
      <c r="U56" s="255" t="str">
        <f>IF(SnapshotTable[[#This Row],[Equity Basis Total]] &gt; 0, SnapshotTable[[#This Row],[Equity G/L]] / SnapshotTable[[#This Row],[Equity Basis Total]], "")</f>
        <v/>
      </c>
      <c r="V56" s="253"/>
      <c r="W56" s="253"/>
      <c r="X56" s="4" t="str">
        <f>IF(AND(ISNUMBER(SnapshotTable[[#This Row],[Equity Basis Per Share]]),ISNUMBER(SnapshotTable[[#This Row],[Equity Target]])),SnapshotTable[[#This Row],[Equity Target]]-SnapshotTable[[#This Row],[Equity Basis Per Share]],"")</f>
        <v/>
      </c>
      <c r="Y56" s="4" t="str">
        <f>IF(AND(ISNUMBER(SnapshotTable[[#This Row],[Equity Basis Per Share]]),ISNUMBER(SnapshotTable[[#This Row],[Equity Stop Loss]])),SnapshotTable[[#This Row],[Equity Stop Loss]]-SnapshotTable[[#This Row],[Equity Basis Per Share]],"")</f>
        <v/>
      </c>
      <c r="Z56" s="260" t="str">
        <f>IFERROR( TEXT(SnapshotTable[[#This Row],[Equity Max Gain Per Share]] /ABS( SnapshotTable[[#This Row],[Equity Max Loss Per Share]]),"0.0 " ) &amp; " : 1", "")</f>
        <v/>
      </c>
      <c r="AA56" s="31" t="str">
        <f>IF(ISNUMBER(SnapshotTable[[#This Row],[Equity Max Gain Per Share]]),SnapshotTable[[#This Row],[Equity Max Gain Per Share]] * SnapshotTable[[#This Row],[Equity Shares]],"")</f>
        <v/>
      </c>
      <c r="AB56" s="31" t="str">
        <f>IF(ISNUMBER(SnapshotTable[[#This Row],[Equity Max Loss Per Share]]),SnapshotTable[[#This Row],[Equity Max Loss Per Share]] * SnapshotTable[[#This Row],[Equity Shares]],"")</f>
        <v/>
      </c>
      <c r="AC56" s="148">
        <v>0.76</v>
      </c>
      <c r="AD56" s="149">
        <v>42776</v>
      </c>
      <c r="AE56" s="31">
        <f>(SnapshotTable[[#This Row],[Annual Dividend Per Share]] / 4) * SnapshotTable[[#This Row],[Equity Shares]]</f>
        <v>0</v>
      </c>
      <c r="AF56" s="31">
        <f>SnapshotTable[[#This Row],[Quarterly Div $]] * 4</f>
        <v>0</v>
      </c>
      <c r="AG56" s="7">
        <f>IF(SnapshotTable[[#This Row],[Annual Dividend Per Share]]&gt;0, SnapshotTable[[#This Row],[Annual Dividend Per Share]]  / SnapshotTable[[#This Row],[Last Price]], 0)</f>
        <v>5.5409740449110529E-3</v>
      </c>
      <c r="AH56" s="149">
        <v>42761</v>
      </c>
      <c r="AI56" s="5"/>
      <c r="AJ56" s="136">
        <v>48.81</v>
      </c>
      <c r="AK56" s="150" t="str">
        <f>IF(ISNUMBER( SnapshotTable[[#This Row],[EBF Target]]),(SnapshotTable[[#This Row],[EBF Target]] - SnapshotTable[[#This Row],[Last Price]]) / SnapshotTable[[#This Row],[Last Price]], "")</f>
        <v/>
      </c>
      <c r="AL56" s="150" t="str">
        <f>IF(AND(SnapshotTable[[#This Row],[Equity Basis Total]] &gt; 0,ISNUMBER( SnapshotTable[[#This Row],[Long Term Target]])), SnapshotTable[[#This Row],[From Basis $]] / SnapshotTable[[#This Row],[Equity Basis Total]], "")</f>
        <v/>
      </c>
      <c r="AM56" s="9">
        <f>IF( AND(SnapshotTable[[#This Row],[Equity Shares]] &gt;0,ISNUMBER( SnapshotTable[[#This Row],[Long Term Target]])),(SnapshotTable[[#This Row],[Equity Shares]] * SnapshotTable[[#This Row],[Long Term Target]]) - SnapshotTable[[#This Row],[Equity Basis Total]],0)</f>
        <v>0</v>
      </c>
      <c r="AN56" s="9">
        <f>IF( AND(SnapshotTable[[#This Row],[Equity Shares]] &gt;0,ISNUMBER( SnapshotTable[[#This Row],[Long Term Target]])),(SnapshotTable[[#This Row],[Equity Shares]]*SnapshotTable[[#This Row],[Long Term Target]]) - SnapshotTable[[#This Row],[Equity Value]],0)</f>
        <v>0</v>
      </c>
      <c r="AO56" s="150">
        <f>IF(AND(ISNUMBER( SnapshotTable[[#This Row],[Long Term Target]]), ISNUMBER(SnapshotTable[[#This Row],[Last Price]])),(SnapshotTable[[#This Row],[Long Term Target]] - SnapshotTable[[#This Row],[Last Price]]) / SnapshotTable[[#This Row],[Last Price]], "")</f>
        <v>-0.64413823272090986</v>
      </c>
      <c r="AP56" s="5">
        <v>51.5</v>
      </c>
      <c r="AQ56" s="38" t="s">
        <v>59</v>
      </c>
      <c r="AR56" s="5"/>
      <c r="AS56" s="38" t="s">
        <v>28</v>
      </c>
      <c r="AT56" s="144"/>
      <c r="AU56" s="185" t="str">
        <f>IF(OR(SnapshotTable[[#This Row],[LP No Fill]]="Y",SnapshotTable[[#This Row],[SP Is Filled]],SnapshotTable[[#This Row],[LC Not Filled]]="Y",SnapshotTable[[#This Row],[SC Is Filled]]),"Y","")</f>
        <v/>
      </c>
      <c r="AV56" s="205"/>
      <c r="AW56" s="211"/>
      <c r="AX56" s="206"/>
      <c r="AY56" s="205" t="str">
        <f>IF(SnapshotTable[[#This Row],[Implied Move]]&gt;0, SnapshotTable[[#This Row],[Last Price]]-SnapshotTable[[#This Row],[Implied Move]],"")</f>
        <v/>
      </c>
      <c r="AZ56" s="205" t="str">
        <f>IF(SnapshotTable[[#This Row],[Implied Move]]&gt;0, SnapshotTable[[#This Row],[Last Price]] + SnapshotTable[[#This Row],[Implied Move]],"")</f>
        <v/>
      </c>
      <c r="BA56" s="302">
        <v>48</v>
      </c>
      <c r="BB56" s="318"/>
      <c r="BC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6" s="321"/>
      <c r="BE56" s="5"/>
      <c r="BF56" s="14"/>
      <c r="BG56" s="13"/>
      <c r="BH56" s="13"/>
      <c r="BI56" s="5"/>
      <c r="BJ56" s="134">
        <f>IF(SnapshotTable[[#This Row],[LP Qty]] &gt; 0, SnapshotTable[[#This Row],[LP Qty]] * SnapshotTable[[#This Row],[LP Book Price]] * 100,0)</f>
        <v>0</v>
      </c>
      <c r="BK56" s="134">
        <f>IF(SnapshotTable[[#This Row],[LP Premium]] &gt; 0, SnapshotTable[[#This Row],[LP Qty]] * SnapshotTable[[#This Row],[LP Strike Price]] * 100,0)</f>
        <v>0</v>
      </c>
      <c r="BL56" s="152"/>
      <c r="BM56" s="355" t="str">
        <f>IF(SnapshotTable[[#This Row],[LP Premium]] &gt; 0,SnapshotTable[[#This Row],[LP Exp Date]]-MAX(SnapshotTable[[#This Row],[LP Book Date]], SnapshotTable[[#This Row],[LP Fill Date]]),"")</f>
        <v/>
      </c>
      <c r="BN56" s="355" t="str">
        <f>IF(ISNUMBER( SnapshotTable[[#This Row],[LP Term]]), SnapshotTable[[#This Row],[LP Exp Date]] - MockToday,"")</f>
        <v/>
      </c>
      <c r="BO56" s="161" t="str">
        <f>IF(AND(SnapshotTable[[#This Row],[LP Exp Date]]&gt;0, SnapshotTable[[#This Row],[LP Strike Price]]&gt;0,SnapshotTable[[#This Row],[LP Qty]]&gt;0,SnapshotTable[[#This Row],[LP Book Date]]&gt;0,SnapshotTable[[#This Row],[LP Book Price]]&gt;0,SnapshotTable[[#This Row],[LP Fill Date]]=0),"Y","")</f>
        <v/>
      </c>
      <c r="BP56" s="31" t="str">
        <f>IF(AND(SnapshotTable[[#This Row],[LP No Fill]]&lt;&gt;"Y",SnapshotTable[[#This Row],[LP Contract Value]]&gt;0, SnapshotTable[[#This Row],[LP Qty]]&gt;0), SnapshotTable[[#This Row],[LP Contract Value]]*SnapshotTable[[#This Row],[LP Qty]]*100,"")</f>
        <v/>
      </c>
      <c r="BQ56" s="13"/>
      <c r="BR56" s="5"/>
      <c r="BS56" s="36"/>
      <c r="BT56" s="145"/>
      <c r="BU56" s="13"/>
      <c r="BV56" s="5"/>
      <c r="BW56" s="382" t="b">
        <f>AND(ISNUMBER(SnapshotTable[[#This Row],[SP Exp Date]]), ISNUMBER(SnapshotTable[[#This Row],[SP Strike Price]]), ISNUMBER(SnapshotTable[[#This Row],[SP Qty]]), ISNUMBER(SnapshotTable[[#This Row],[SP Book Date]]), ISNUMBER(SnapshotTable[[#This Row],[SP Book Price]]))</f>
        <v>0</v>
      </c>
      <c r="BX56" s="382" t="b">
        <f>AND(SnapshotTable[[#This Row],[SP Is Booked]], NOT(ISBLANK(SnapshotTable[[#This Row],[SP Fill Date]])))</f>
        <v>0</v>
      </c>
      <c r="BY56" s="33">
        <f>IF(SnapshotTable[[#This Row],[SP Is Booked]], SnapshotTable[[#This Row],[SP Qty]] * SnapshotTable[[#This Row],[SP Book Price]] * 100, 0)</f>
        <v>0</v>
      </c>
      <c r="BZ56" s="339"/>
      <c r="CA56" s="338">
        <f>SnapshotTable[[#This Row],[LP Qty]]</f>
        <v>0</v>
      </c>
      <c r="CB56" s="4" t="str">
        <f>IF(SnapshotTable[[#This Row],[SP Is Booked]], SnapshotTable[[#This Row],[SP Strike Price]] - SnapshotTable[[#This Row],[SP Book Price]], "")</f>
        <v/>
      </c>
      <c r="CC56" s="19" t="str">
        <f>IF(SnapshotTable[[#This Row],[SP Is Booked]],SnapshotTable[[#This Row],[SP Exp Date]]-MAX(SnapshotTable[[#This Row],[SP Book Date]], SnapshotTable[[#This Row],[SP Fill Date]]),"")</f>
        <v/>
      </c>
      <c r="CD56" s="7" t="str">
        <f>IF(SnapshotTable[[#This Row],[SP Is Booked]], SnapshotTable[[#This Row],[SP Book Price]]/SnapshotTable[[#This Row],[SP Strike Price]], "")</f>
        <v/>
      </c>
      <c r="CE56" s="7" t="str">
        <f>IF(ISNUMBER(SnapshotTable[[#This Row],[SP ROO Term]]),SnapshotTable[[#This Row],[SP ROO Term]]*(365/SnapshotTable[[#This Row],[SP Term]]),"")</f>
        <v/>
      </c>
      <c r="CF56" s="221">
        <f>SnapshotTable[[#This Row],[LP Strike Price]] * SnapshotTable[[#This Row],[LP Qty]] * 100</f>
        <v>0</v>
      </c>
      <c r="CG56" s="31">
        <f>IF(ISNUMBER(SnapshotTable[[#This Row],[SP Premium]]), (SnapshotTable[[#This Row],[SP Qty]] * SnapshotTable[[#This Row],[SP Strike Price]]* 100) - SnapshotTable[[#This Row],[LP Protection]], 0)</f>
        <v>0</v>
      </c>
      <c r="CH56" s="7" t="str">
        <f>IF(ISNUMBER(SnapshotTable[[#This Row],[SP Break Even]]),-1 * (SnapshotTable[[#This Row],[SP Break Even]] - SnapshotTable[[#This Row],[Last Price]]) / SnapshotTable[[#This Row],[Last Price]], "")</f>
        <v/>
      </c>
      <c r="CI56" s="31">
        <f>IF(AND(ISNUMBER((SnapshotTable[[#This Row],[SP Potential Spend]])), SnapshotTable[[#This Row],[SP Strike Price]] &gt; SnapshotTable[[#This Row],[Last Price]], SnapshotTable[[#This Row],[SP Is Filled]]), SnapshotTable[[#This Row],[SP Potential Spend]] -  SnapshotTable[[#This Row],[LP Max Value]], 0)</f>
        <v>0</v>
      </c>
      <c r="CJ56" s="229"/>
      <c r="CK56" s="31">
        <f>IF(ISNUMBER(SnapshotTable[[#This Row],[SP Potential Spend]]),IF(ISNUMBER(SnapshotTable[[#This Row],[SP POW]]), SnapshotTable[[#This Row],[SP POW]] * SnapshotTable[[#This Row],[SP Potential Spend]], SnapshotTable[[#This Row],[SP Potential Spend]]), "")</f>
        <v>0</v>
      </c>
      <c r="CL56" s="162">
        <f>IF(NOT(SnapshotTable[[#This Row],[SP Is Filled]]),(SnapshotTable[[#This Row],[SP Qty]] * SnapshotTable[[#This Row],[SP Strike Price]] * 100) - SnapshotTable[[#This Row],[LP Max Value]],"")</f>
        <v>0</v>
      </c>
      <c r="CM56" s="31" t="str">
        <f>IF(SnapshotTable[[#This Row],[SP Actual Spend]]&lt;&gt;0, ((SnapshotTable[[#This Row],[SP Strike Price]]-SnapshotTable[[#This Row],[Last Price]]) *(SnapshotTable[[#This Row],[SP Qty]]*100) - SnapshotTable[[#This Row],[SP Premium]]) * - 1, "")</f>
        <v/>
      </c>
      <c r="CN56" s="76"/>
      <c r="CO56" s="339"/>
      <c r="CP56" s="4" t="str">
        <f>IF(SnapshotTable[[#This Row],[SP Is Filled]], btc_max_buyback_amount(SnapshotTable[[#This Row],[SP Fill Date]],SnapshotTable[[#This Row],[SP Exp Date]], SnapshotTable[[#This Row],[SP Book Price]]),"")</f>
        <v/>
      </c>
      <c r="CQ56" s="76"/>
      <c r="CR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6" s="153" t="str">
        <f>IF(SnapshotTable[[#This Row],[SP Is Filled]], btc_next_cutoff_date(SnapshotTable[[#This Row],[SP Fill Date]],SnapshotTable[[#This Row],[SP Exp Date]]),"")</f>
        <v/>
      </c>
      <c r="CT56" s="220" t="str" cm="1">
        <f t="array" ref="CT56">IF(SnapshotTable[[#This Row],[SP Is Filled]], btc_should_buy_back(SnapshotTable[[#This Row],[SP Fill Date]], SnapshotTable[[#This Row],[SP Exp Date]], SnapshotTable[[#This Row],[SP Book Price]], SnapshotTable[[#This Row],[SP Current Ask]], MockToday, SnapshotTable[[#This Row],[SP Buyback Override]]),"")</f>
        <v/>
      </c>
      <c r="CU56" s="141">
        <v>44883</v>
      </c>
      <c r="CV56" s="220"/>
      <c r="CW56" s="348" t="str">
        <f>IF(ISNUMBER( SnapshotTable[[#This Row],[SP Term]]), SnapshotTable[[#This Row],[SP Exp Date]] - MockToday,"")</f>
        <v/>
      </c>
      <c r="CX56" s="31" t="str">
        <f>IF(SnapshotTable[[#This Row],[SP Is Filled]],SnapshotTable[[#This Row],[SP Buyback Price to Use]] * 100 * SnapshotTable[[#This Row],[SP Qty]], "")</f>
        <v/>
      </c>
      <c r="CY56" s="4" t="str">
        <f>IF(ISNUMBER(SnapshotTable[[#This Row],[SP Strike Price]]), SnapshotTable[[#This Row],[SP Strike Price]] * (1 - SP_MaxLoss_StrikePct), "")</f>
        <v/>
      </c>
      <c r="CZ56" s="31" t="str">
        <f>IF(ISNUMBER(SnapshotTable[[#This Row],[SP Strike  Stop Per Share]]),SnapshotTable[[#This Row],[SP Premium]] - ((SnapshotTable[[#This Row],[SP Strike Price]]-SnapshotTable[[#This Row],[SP Strike  Stop Per Share]]) *(SnapshotTable[[#This Row],[SP Qty]] * 100)),"")</f>
        <v/>
      </c>
      <c r="DA56" s="4" t="str">
        <f>IF(AND(ISNUMBER(SnapshotTable[[#This Row],[SP Premium]]),SnapshotTable[[#This Row],[SP Premium]]&gt;0), SnapshotTable[[#This Row],[SP Book Price]] * (1 + SP_MaxLoss_OptionPct), "")</f>
        <v/>
      </c>
      <c r="DB56" s="31" t="str">
        <f>IF(ISNUMBER(SnapshotTable[[#This Row],[SP Option  Stop Contract]]),(SnapshotTable[[#This Row],[SP Option  Stop Contract]] *(SnapshotTable[[#This Row],[SP Qty]] * 100) - SnapshotTable[[#This Row],[SP Premium]]),"")</f>
        <v/>
      </c>
      <c r="DC56" s="4"/>
      <c r="DD56" s="4"/>
      <c r="DE56" s="4" t="str">
        <f>IF(AND(SnapshotTable[[#This Row],[SP Qty]]&gt;0, SnapshotTable[[#This Row],[SP Stop To Use]]&gt;0),SnapshotTable[[#This Row],[SP Premium]] - ( SnapshotTable[[#This Row],[SP Qty]] * SnapshotTable[[#This Row],[SP Stop To Use]] * 100), "")</f>
        <v/>
      </c>
      <c r="DF56" s="31" t="str">
        <f>IF(AND(SnapshotTable[[#This Row],[SP Qty]]&gt;0,SnapshotTable[[#This Row],[SP Current Ask]]&gt;0), SnapshotTable[[#This Row],[SP Qty]] * SnapshotTable[[#This Row],[SP Current Ask]] * -100, "")</f>
        <v/>
      </c>
      <c r="DG56" s="31" t="str">
        <f>IF(ISNUMBER((SnapshotTable[[#This Row],[SP Total Value]])), SnapshotTable[[#This Row],[SP Premium]] + SnapshotTable[[#This Row],[SP Total Value]], "")</f>
        <v/>
      </c>
      <c r="DH56" s="272" t="str">
        <f>IF(ISNUMBER((SnapshotTable[[#This Row],[SP Total Value]])), SnapshotTable[[#This Row],[SP Gain Loss]] / SnapshotTable[[#This Row],[SP Premium]], "")</f>
        <v/>
      </c>
      <c r="DI56" s="369"/>
      <c r="DJ56" s="136"/>
      <c r="DK56" s="146"/>
      <c r="DL56" s="13"/>
      <c r="DM56" s="13"/>
      <c r="DN56" s="5"/>
      <c r="DO56" s="31">
        <f>IF(SnapshotTable[[#This Row],[LC Symbol Count]]=1, SnapshotTable[[#This Row],[LC Qty]] * SnapshotTable[[#This Row],[LC Book Price]] * 100, 0)</f>
        <v>0</v>
      </c>
      <c r="DP56" s="161" t="str">
        <f>IF(AND(SnapshotTable[[#This Row],[LC Exp Date]]&gt;0, SnapshotTable[[#This Row],[LC Strike Price]]&gt;0,SnapshotTable[[#This Row],[LC Qty]]&gt;0,SnapshotTable[[#This Row],[LC Book Date]]&gt;0,SnapshotTable[[#This Row],[LC Book Price]]&gt;0,SnapshotTable[[#This Row],[LC Fill Date]]=0),"Y","")</f>
        <v/>
      </c>
      <c r="DQ56" s="356" t="str">
        <f>IF(SnapshotTable[[#This Row],[LC Premium]] &gt; 0,SnapshotTable[[#This Row],[LC Exp Date]]-MAX(SnapshotTable[[#This Row],[LC Book Date]], SnapshotTable[[#This Row],[LC Fill Date]]),"")</f>
        <v/>
      </c>
      <c r="DR56" s="356" t="str">
        <f>IF(ISNUMBER(SnapshotTable[[#This Row],[LC Term]]), SnapshotTable[[#This Row],[LC Exp Date]] - MockToday, "")</f>
        <v/>
      </c>
      <c r="DS56" s="219" t="str">
        <f>IF(SnapshotTable[[#This Row],[LC Premium]]&gt;0,SnapshotTable[[#This Row],[LC Strike Price]] + SnapshotTable[[#This Row],[LC Book Price]],"")</f>
        <v/>
      </c>
      <c r="DT56" s="5"/>
      <c r="DU56" s="9" t="str">
        <f>IF(AND(SnapshotTable[[#This Row],[LC Symbol Count]]&gt;0, SnapshotTable[[#This Row],[LC Contract Value]]&gt;0), SnapshotTable[[#This Row],[LC Contract Value]] * SnapshotTable[[#This Row],[LC Qty]] * 100, "")</f>
        <v/>
      </c>
      <c r="DV56" s="9" t="str">
        <f>IF(AND(ISNUMBER(SnapshotTable[[#This Row],[LC Total Value]]), SnapshotTable[[#This Row],[LC Not Filled]]&lt;&gt;"Y"), SnapshotTable[[#This Row],[LC Total Value]]-SnapshotTable[[#This Row],[LC Premium]],"")</f>
        <v/>
      </c>
      <c r="DW56" s="225" t="str">
        <f>IF(ISNUMBER(SnapshotTable[[#This Row],[LC Actual Gain Loss]]), SnapshotTable[[#This Row],[LC Actual Gain Loss]] / SnapshotTable[[#This Row],[LC Premium]],"")</f>
        <v/>
      </c>
      <c r="DX56" s="269" t="str">
        <f>IF(ISNUMBER(SnapshotTable[[#This Row],[LC Book Price]]),SnapshotTable[[#This Row],[LC Book Price]] * 1.5,"")</f>
        <v/>
      </c>
      <c r="DY56" s="250" t="str">
        <f>IF(SnapshotTable[[#This Row],[LC Premium]]&gt;0, SnapshotTable[[#This Row],[LC Next Target]] * SnapshotTable[[#This Row],[LC Qty]] * 100,"")</f>
        <v/>
      </c>
      <c r="DZ56" s="250" t="str">
        <f>IF(ISNUMBER(SnapshotTable[[#This Row],[LC Target Gross]]), SnapshotTable[[#This Row],[LC Target Gross]] - SnapshotTable[[#This Row],[LC Premium]], "")</f>
        <v/>
      </c>
      <c r="EA56" s="283" t="str">
        <f>IF(ISNUMBER(SnapshotTable[[#This Row],[LC Target Gain Loss]]), SnapshotTable[[#This Row],[LC Target Gain Loss]]/SnapshotTable[[#This Row],[LC Premium]], "")</f>
        <v/>
      </c>
      <c r="EB56" s="247"/>
      <c r="EC56" s="268" t="str">
        <f>IF(SnapshotTable[[#This Row],[LC Premium]]&gt;0, SnapshotTable[[#This Row],[LC Book Price]] * (1 - LC_StopLoss_Pct),"")</f>
        <v/>
      </c>
      <c r="ED56" s="269"/>
      <c r="EE56" s="268" t="str">
        <f>IF(ISNUMBER(SnapshotTable[[#This Row],[LC Contract Value]]),IF(ISNUMBER(SnapshotTable[[#This Row],[LC Stop Loss Override]]), SnapshotTable[[#This Row],[LC Stop Loss Override]],SnapshotTable[[#This Row],[LC Stop Loss Calc Target]]),"")</f>
        <v/>
      </c>
      <c r="EF56" s="31" t="str">
        <f>IF(ISNUMBER(SnapshotTable[[#This Row],[LC Stop  To Use]]), (SnapshotTable[[#This Row],[LC Stop  To Use]] * SnapshotTable[[#This Row],[LC Qty]] * 100),"")</f>
        <v/>
      </c>
      <c r="EG56" s="9" t="str">
        <f>IF(ISNUMBER(SnapshotTable[[#This Row],[LC Total Value]]),SnapshotTable[[#This Row],[LC Stop Loss Amount]] - SnapshotTable[[#This Row],[LC Premium]],"")</f>
        <v/>
      </c>
      <c r="EH56" s="9">
        <f>IF(ISNUMBER(SnapshotTable[[#This Row],[LC Premium]]), SnapshotTable[[#This Row],[LC Qty]] * 100 * SnapshotTable[[#This Row],[LC Strike Price]], "")</f>
        <v>0</v>
      </c>
      <c r="EI56" s="225" t="str">
        <f>IF(AND(ISNUMBER(SnapshotTable[[#This Row],[LC Total Value]]),SnapshotTable[[#This Row],[LC Total Value]]&gt;0),SnapshotTable[[#This Row],[LC Stop Gain Loss]]  / SnapshotTable[[#This Row],[LC Premium]],"")</f>
        <v/>
      </c>
      <c r="EJ56" s="35">
        <f>IF(ISNUMBER(SnapshotTable[[#This Row],[Equity Shares]]),TRUNC(SnapshotTable[[#This Row],[Equity Shares]] / 100),0) + SnapshotTable[[#This Row],[LC Qty]]</f>
        <v>0</v>
      </c>
      <c r="EK56" s="145"/>
      <c r="EL56" s="136"/>
      <c r="EM56" s="146"/>
      <c r="EN56" s="145"/>
      <c r="EO56" s="145"/>
      <c r="EP56" s="136"/>
      <c r="EQ56" s="382" t="b">
        <f>AND(ISNUMBER(SnapshotTable[[#This Row],[SC Exp Date]]), ISNUMBER(SnapshotTable[[#This Row],[SC Strike Price]]), ISNUMBER(SnapshotTable[[#This Row],[SC Qty]]), ISNUMBER(SnapshotTable[[#This Row],[SC Book Date]]), ISNUMBER(SnapshotTable[[#This Row],[SC Book Price]]))</f>
        <v>0</v>
      </c>
      <c r="ER56" s="382" t="b">
        <f>AND(SnapshotTable[[#This Row],[SC Is Booked]], NOT(ISBLANK(SnapshotTable[[#This Row],[SC Fill Date]])))</f>
        <v>0</v>
      </c>
      <c r="ES56" s="340"/>
      <c r="ET56" s="34" t="str">
        <f>IF(AND(ISNUMBER(SnapshotTable[[#This Row],[SC Exp Date]]), ISNUMBER(SnapshotTable[[#This Row],[SC Book Date]])), SnapshotTable[[#This Row],[SC Exp Date]] - MAX(SnapshotTable[[#This Row],[SC Book Date]], SnapshotTable[[#This Row],[SC Fill Date]]) + 1, "")</f>
        <v/>
      </c>
      <c r="EU56" s="34" t="str">
        <f>IF(ISNUMBER(SnapshotTable[[#This Row],[SC Term]]), SnapshotTable[[#This Row],[SC Exp Date]]- MockToday, "")</f>
        <v/>
      </c>
      <c r="EV56" s="31">
        <f>IF(SnapshotTable[[#This Row],[SC Is Booked]], SnapshotTable[[#This Row],[SC Qty]] * SnapshotTable[[#This Row],[SC Book Price]] * 100, 0)</f>
        <v>0</v>
      </c>
      <c r="EW56" s="4" t="str">
        <f>IF(AND(ISNUMBER(SnapshotTable[[#This Row],[Last Price]]), ISNUMBER( SnapshotTable[[#This Row],[SC Book Price]])), SnapshotTable[[#This Row],[Last Price]] - SnapshotTable[[#This Row],[SC Book Price]],"")</f>
        <v/>
      </c>
      <c r="EX56" s="219" t="str">
        <f>IF(SnapshotTable[[#This Row],[SC Is Booked]],IF(SnapshotTable[[#This Row],[SC Intrinsic Value]] &gt; 0, SnapshotTable[[#This Row],[SC Strike Price]], SnapshotTable[[#This Row],[Last Price]]), "")</f>
        <v/>
      </c>
      <c r="EY56" s="4">
        <f>IF(SnapshotTable[[#This Row],[SC Is Booked]], (MinimumPremiumRequired * SnapshotTable[[#This Row],[SC Basis]] * SnapshotTable[[#This Row],[SC Term]]), 0)</f>
        <v>0</v>
      </c>
      <c r="EZ56" s="268"/>
      <c r="FA56" s="204"/>
      <c r="FB56" s="340"/>
      <c r="FC56" s="4">
        <f>IF(SnapshotTable[[#This Row],[SC Is Filled]], btc_max_buyback_amount(SnapshotTable[[#This Row],[SC Fill Date]],SnapshotTable[[#This Row],[SC Exp Date]], SnapshotTable[[#This Row],[SC Book Price]]),0)</f>
        <v>0</v>
      </c>
      <c r="FD56" s="5"/>
      <c r="FE56" s="142" t="str">
        <f>IF(SnapshotTable[[#This Row],[SC Is Filled]], btc_next_cutoff_date(SnapshotTable[[#This Row],[SC Fill Date]],SnapshotTable[[#This Row],[SC Exp Date]]),"")</f>
        <v/>
      </c>
      <c r="FF56" s="4" t="str" cm="1">
        <f t="array" ref="FF56">IF(SnapshotTable[[#This Row],[SC Is Filled]], btc_should_buy_back(SnapshotTable[[#This Row],[SC Fill Date]], SnapshotTable[[#This Row],[SC Exp Date]], SnapshotTable[[#This Row],[SC Book Price]], SnapshotTable[[#This Row],[SC Current Ask]], MockToday, SnapshotTable[[#This Row],[SC Buyback Override]]),"")</f>
        <v/>
      </c>
      <c r="FG56" s="4">
        <f>IF(SnapshotTable[[#This Row],[SC Is Filled]], MAX(0,SnapshotTable[[#This Row],[Last Price]]  - SnapshotTable[[#This Row],[SC Strike Price]]), 0)</f>
        <v>0</v>
      </c>
      <c r="FH56" s="352">
        <f>IF(SnapshotTable[[#This Row],[SC Is Filled]], IF(ISNUMBER(SnapshotTable[[#This Row],[SC Current Ask]]), SnapshotTable[[#This Row],[SC Current Ask]], SnapshotTable[[#This Row],[SC Book Price]]) - SnapshotTable[[#This Row],[SC Intrinsic Value]], 0)</f>
        <v>0</v>
      </c>
      <c r="FI56" s="141"/>
      <c r="FJ56" s="32" t="str">
        <f>IF(SnapshotTable[[#This Row],[SC Is Filled]],100 * SnapshotTable[[#This Row],[SC Qty]] * IF(ISNUMBER(SnapshotTable[[#This Row],[SC Buyback Override]]), SnapshotTable[[#This Row],[SC Buyback Override]], SnapshotTable[[#This Row],[SC Current Ask]]), "")</f>
        <v/>
      </c>
      <c r="FK56" s="235" t="str">
        <f>IF(SnapshotTable[[#This Row],[SC Time Val]]&gt;0, SnapshotTable[[#This Row],[SC Time Val]] / SnapshotTable[[#This Row],[Last Price]],"")</f>
        <v/>
      </c>
      <c r="FL56" s="280" t="str">
        <f>IF(SnapshotTable[[#This Row],[SC Is Booked]], ((SnapshotTable[[#This Row],[Last Price]] -SnapshotTable[[#This Row],[SC Strike Price]]) / SnapshotTable[[#This Row],[Last Price]]) * -1, "")</f>
        <v/>
      </c>
      <c r="FM56" s="155" t="str">
        <f>IF(SnapshotTable[[#This Row],[SC Is Booked]],  (SnapshotTable[[#This Row],[SC Qty]] * 100 * SnapshotTable[[#This Row],[SC Strike Price]]) - SnapshotTable[[#This Row],[SC Current Ask]], "")</f>
        <v/>
      </c>
      <c r="FN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6" s="31" t="str">
        <f>IF(AND(ISNUMBER(SnapshotTable[[#This Row],[SC Exercise Gross]]), ISNUMBER(SnapshotTable[[#This Row],[Equity Basis Per Share]] )), SnapshotTable[[#This Row],[SC Exercise Gross]] - SnapshotTable[[#This Row],[Equity Basis Total]] +  SnapshotTable[[#This Row],[SC Premium]], "")</f>
        <v/>
      </c>
      <c r="FP56" s="5" t="str">
        <f>IF(ISNUMBER(SnapshotTable[[#This Row],[SC Exercise Gross]]), (SnapshotTable[[#This Row],[SC Exercise Gross]]) / (SnapshotTable[[#This Row],[SC Qty]] * 100), "")</f>
        <v/>
      </c>
      <c r="FQ56" s="27" t="str">
        <f>IF(SnapshotTable[[#This Row],[SC Is Booked]],SnapshotTable[[#This Row],[SC Time Val]] /SnapshotTable[[#This Row],[SC Basis]], "")</f>
        <v/>
      </c>
      <c r="FR56" s="27" t="str" cm="1">
        <f t="array" ref="FR56">IF(AND(ISNUMBER(SnapshotTable[[#This Row],[SC Term]]),ISNUMBER(SnapshotTable[[#This Row],[SC Simple ROO]])), EllmanAnnualize(SnapshotTable[[#This Row],[SC DTE]], SnapshotTable[[#This Row],[SC Simple ROO]] ),"")</f>
        <v/>
      </c>
      <c r="FS56" s="4">
        <f>IF(SnapshotTable[[#This Row],[SC Strike Price]] &gt; SnapshotTable[[#This Row],[Last Price]], SnapshotTable[[#This Row],[SC Strike Price]] - SnapshotTable[[#This Row],[Last Price]],0)</f>
        <v>0</v>
      </c>
      <c r="FT56" s="27" t="str">
        <f>IF(AND(ISNUMBER(SnapshotTable[[#This Row],[SC Upside Potential]]), SnapshotTable[[#This Row],[SC Upside Potential]] &gt; 0),(SnapshotTable[[#This Row],[SC Upside Potential]]/ SnapshotTable[[#This Row],[ACB]]),"")</f>
        <v/>
      </c>
      <c r="FU56" s="304" t="str">
        <f>IF(SnapshotTable[[#This Row],[SC Intrinsic Value]] &gt; 0,SnapshotTable[[#This Row],[SC Intrinsic Value]],"")</f>
        <v/>
      </c>
      <c r="FV56" s="27" t="str">
        <f>IF(AND( ISNUMBER( SnapshotTable[[#This Row],[ACB]]),ISNUMBER(SnapshotTable[[#This Row],[SC Downside Protect]])),SnapshotTable[[#This Row],[SC Downside Protect]] / SnapshotTable[[#This Row],[ACB]],"")</f>
        <v/>
      </c>
      <c r="FW56" s="221" t="str">
        <f>IF(AND(ISNUMBER(SnapshotTable[[#This Row],[SC Simple ROO]]),SnapshotTable[[#This Row],[SC Simple ROO]] &gt; 0), SnapshotTable[[#This Row],[SC Premium]] + (SnapshotTable[[#This Row],[SC Qty]] * SnapshotTable[[#This Row],[SC Upside Potential]]), "")</f>
        <v/>
      </c>
      <c r="FX56" s="280" t="str" cm="1">
        <f t="array" ref="FX56">IF(ISNUMBER(SnapshotTable[[#This Row],[SC Max Dollars]]), annualize(SnapshotTable[[#This Row],[SC Term]],(SnapshotTable[[#This Row],[SC Max Dollars]]/SnapshotTable[[#This Row],[SC Basis]])),"")</f>
        <v/>
      </c>
      <c r="FY56" s="221" t="str">
        <f>IF(AND(SnapshotTable[[#This Row],[SC Qty]]&gt;0,SnapshotTable[[#This Row],[SC Current Ask]]&gt;0), SnapshotTable[[#This Row],[SC Qty]] * SnapshotTable[[#This Row],[SC Current Ask]] * -100, "")</f>
        <v/>
      </c>
      <c r="FZ56" s="31" t="str">
        <f>IF(ISNUMBER((SnapshotTable[[#This Row],[SC Current Value]])), SnapshotTable[[#This Row],[SC Premium]] + SnapshotTable[[#This Row],[SC Current Value]], "")</f>
        <v/>
      </c>
      <c r="GA56" s="272" t="str">
        <f>IFERROR( IF(ISNUMBER((SnapshotTable[[#This Row],[SC Current Value]])), SnapshotTable[[#This Row],[SC Gain Loss]] / SnapshotTable[[#This Row],[SC Premium]], ""), "")</f>
        <v/>
      </c>
      <c r="GB56" s="42">
        <f>SnapshotTable[[#This Row],[Equity Shares]] * SaleSharesToConsiderPercentage</f>
        <v>0</v>
      </c>
      <c r="GC56" s="40">
        <f>SnapshotTable[[#This Row],[Long Term Target]] * SellingPriceToConsiderBasedOnTargetPercentage</f>
        <v>46.369500000000002</v>
      </c>
      <c r="GD56" s="40">
        <f>SnapshotTable[[#This Row],[Last Price]] * (1+ SellingPriceToConsiderBasedOnTargetPercentage)</f>
        <v>267.46199999999999</v>
      </c>
      <c r="GE56" s="41"/>
      <c r="GF56" s="40"/>
      <c r="GG56" s="31">
        <f>SnapshotTable[[#This Row],[Booked Sale Shares]] * SnapshotTable[[#This Row],[Booked Sale Price]]</f>
        <v>0</v>
      </c>
      <c r="GH56" s="31" t="str">
        <f>IF(SnapshotTable[[#This Row],[Equity Basis Total]] &gt; 0, SnapshotTable[[#This Row],[Equity Basis Per Share]] * SnapshotTable[[#This Row],[Booked Sale Shares]], "")</f>
        <v/>
      </c>
      <c r="GI56" s="31">
        <f>IF(SnapshotTable[[#This Row],[Sale Proceeds]]&gt;0, SnapshotTable[[#This Row],[Sale Proceeds]] - SnapshotTable[[#This Row],[Sale Basis]], 0)</f>
        <v>0</v>
      </c>
      <c r="GJ56" s="27" t="str">
        <f>IF(SnapshotTable[[#This Row],[Sale G/L]]&gt;0, SnapshotTable[[#This Row],[Sale G/L]] / SnapshotTable[[#This Row],[Sale Basis]], IF(ISNUMBER(SnapshotTable[[#This Row],[SC Exercise P&amp;L (TAX)]]), SnapshotTable[[#This Row],[SC Exercise P&amp;L (TAX)]] / SnapshotTable[[#This Row],[SC Basis]], ""))</f>
        <v/>
      </c>
      <c r="GK56" s="27" t="s">
        <v>530</v>
      </c>
      <c r="GL56" s="43" t="str">
        <f>IF(AND(SnapshotTable[[#This Row],[LP Exp Date]]&gt;0,SnapshotTable[[#This Row],[LP Strike Price]]&gt;0), [1]!ToOptionSymbol(SnapshotTable[[#This Row],[Symbol]], SnapshotTable[[#This Row],[LP Strike Price]],SnapshotTable[[#This Row],[LP Exp Date]],1), "")</f>
        <v/>
      </c>
      <c r="GM56" s="30" t="str">
        <f>IF(LEN(SnapshotTable[[#This Row],[LP Symbol]])&gt;0, 1, "")</f>
        <v/>
      </c>
      <c r="GN56" s="43" t="str">
        <f>IF(AND(SnapshotTable[[#This Row],[SP Exp Date]]&gt;0,SnapshotTable[[#This Row],[SP Strike Price]]&gt;0), [1]!ToOptionSymbol(SnapshotTable[[#This Row],[Symbol]], SnapshotTable[[#This Row],[SP Strike Price]],SnapshotTable[[#This Row],[SP Exp Date]],1), "")</f>
        <v/>
      </c>
      <c r="GO56" s="30" t="str">
        <f>IF(LEN(SnapshotTable[[#This Row],[SP Symbol]])&gt;0, 1, "")</f>
        <v/>
      </c>
      <c r="GP56" s="43" t="str">
        <f>IF(AND(SnapshotTable[[#This Row],[LC Exp Date]]&gt;0,SnapshotTable[[#This Row],[LC Strike Price]]&gt;0), [1]!ToOptionSymbol(SnapshotTable[[#This Row],[Symbol]], SnapshotTable[[#This Row],[LC Strike Price]],SnapshotTable[[#This Row],[LC Exp Date]],0), "")</f>
        <v/>
      </c>
      <c r="GQ56" s="30" t="str">
        <f>IF(LEN(SnapshotTable[[#This Row],[LC Symbol]])&gt;0, 1, "")</f>
        <v/>
      </c>
      <c r="GR56" s="43" t="str">
        <f>IF(AND(SnapshotTable[[#This Row],[SC Exp Date]]&gt;0,SnapshotTable[[#This Row],[SC Strike Price]]&gt;0), [1]!ToOptionSymbol(SnapshotTable[[#This Row],[Symbol]], SnapshotTable[[#This Row],[SC Strike Price]],SnapshotTable[[#This Row],[SC Exp Date]],0), "")</f>
        <v/>
      </c>
      <c r="GS56" s="30" t="str">
        <f>IF(LEN(SnapshotTable[[#This Row],[SC Symbol]])&gt;0, 1, "")</f>
        <v/>
      </c>
      <c r="GT56" s="29" t="str">
        <f>IF(COUNT(SnapshotTable[[#This Row],[LP Symbol Count]],SnapshotTable[[#This Row],[SP Symbol Count]],SnapshotTable[[#This Row],[LC Symbol Count]],SnapshotTable[[#This Row],[SC Symbol Count]])&gt;0, "Y", "")</f>
        <v/>
      </c>
      <c r="GU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6" s="216">
        <f>MAX(SnapshotTable[[#This Row],[Equity Basis Total]],SnapshotTable[[#This Row],[Equity Value]]) + (SnapshotTable[[#This Row],[SP Potential Spend]]- SnapshotTable[[#This Row],[SP Premium]] + SnapshotTable[[#This Row],[LP Premium]])+ (SnapshotTable[[#This Row],[LC Premium]] - SnapshotTable[[#This Row],[SC Premium]])</f>
        <v>0</v>
      </c>
      <c r="GW56" s="137" t="str">
        <f>IF(AND(SnapshotTable[[#This Row],[Exposure]] &lt;&gt; 0),SnapshotTable[[#This Row],[Exposure]] / SnapshotTable[[#Totals],[Exposure]], "")</f>
        <v/>
      </c>
      <c r="GY56" s="351"/>
      <c r="HE56" s="253"/>
      <c r="HF56" s="253"/>
      <c r="HG56" s="351"/>
      <c r="HH56" s="351"/>
      <c r="HI56" s="351"/>
      <c r="HJ56" s="351"/>
    </row>
    <row r="57" spans="2:224" s="45" customFormat="1" ht="12.75" hidden="1" customHeight="1" x14ac:dyDescent="0.25">
      <c r="B57" s="12" t="s">
        <v>840</v>
      </c>
      <c r="C57" s="385">
        <v>177.86</v>
      </c>
      <c r="D57" s="200" t="s">
        <v>467</v>
      </c>
      <c r="E57" s="39">
        <f>SnapshotTable[[#This Row],[Last Price]]*(1 -CrashDiscount)</f>
        <v>151.18100000000001</v>
      </c>
      <c r="F57" s="26" t="s">
        <v>494</v>
      </c>
      <c r="G57" s="26" t="s">
        <v>493</v>
      </c>
      <c r="H57" s="147"/>
      <c r="I57" s="186">
        <v>45141.6875</v>
      </c>
      <c r="J57" s="187">
        <v>45141.6875</v>
      </c>
      <c r="K57" s="188"/>
      <c r="L57" s="297"/>
      <c r="M57" s="138"/>
      <c r="N57" s="138"/>
      <c r="O57" s="138"/>
      <c r="P57" s="22"/>
      <c r="Q57" s="25"/>
      <c r="R57" s="4" t="str">
        <f>IF(SnapshotTable[[#This Row],[Equity Basis Total]] &gt; 0, SnapshotTable[[#This Row],[Equity Basis Total]] / SnapshotTable[[#This Row],[Equity Shares]], "")</f>
        <v/>
      </c>
      <c r="S57" s="254">
        <f>SnapshotTable[[#This Row],[Last Price]] * SnapshotTable[[#This Row],[Equity Shares]]</f>
        <v>0</v>
      </c>
      <c r="T57" s="254">
        <f>SnapshotTable[[#This Row],[Equity Value]] - SnapshotTable[[#This Row],[Equity Basis Total]]</f>
        <v>0</v>
      </c>
      <c r="U57" s="255" t="str">
        <f>IF(SnapshotTable[[#This Row],[Equity Basis Total]] &gt; 0, SnapshotTable[[#This Row],[Equity G/L]] / SnapshotTable[[#This Row],[Equity Basis Total]], "")</f>
        <v/>
      </c>
      <c r="V57" s="253"/>
      <c r="W57" s="253"/>
      <c r="X57" s="4" t="str">
        <f>IF(AND(ISNUMBER(SnapshotTable[[#This Row],[Equity Basis Per Share]]),ISNUMBER(SnapshotTable[[#This Row],[Equity Target]])),SnapshotTable[[#This Row],[Equity Target]]-SnapshotTable[[#This Row],[Equity Basis Per Share]],"")</f>
        <v/>
      </c>
      <c r="Y57" s="4" t="str">
        <f>IF(AND(ISNUMBER(SnapshotTable[[#This Row],[Equity Basis Per Share]]),ISNUMBER(SnapshotTable[[#This Row],[Equity Stop Loss]])),SnapshotTable[[#This Row],[Equity Stop Loss]]-SnapshotTable[[#This Row],[Equity Basis Per Share]],"")</f>
        <v/>
      </c>
      <c r="Z57" s="260" t="str">
        <f>IFERROR( TEXT(SnapshotTable[[#This Row],[Equity Max Gain Per Share]] /ABS( SnapshotTable[[#This Row],[Equity Max Loss Per Share]]),"0.0 " ) &amp; " : 1", "")</f>
        <v/>
      </c>
      <c r="AA57" s="31" t="str">
        <f>IF(ISNUMBER(SnapshotTable[[#This Row],[Equity Max Gain Per Share]]),SnapshotTable[[#This Row],[Equity Max Gain Per Share]] * SnapshotTable[[#This Row],[Equity Shares]],"")</f>
        <v/>
      </c>
      <c r="AB57" s="31" t="str">
        <f>IF(ISNUMBER(SnapshotTable[[#This Row],[Equity Max Loss Per Share]]),SnapshotTable[[#This Row],[Equity Max Loss Per Share]] * SnapshotTable[[#This Row],[Equity Shares]],"")</f>
        <v/>
      </c>
      <c r="AC57" s="148"/>
      <c r="AD57" s="149"/>
      <c r="AE57" s="31">
        <f>(SnapshotTable[[#This Row],[Annual Dividend Per Share]] / 4) * SnapshotTable[[#This Row],[Equity Shares]]</f>
        <v>0</v>
      </c>
      <c r="AF57" s="31">
        <f>SnapshotTable[[#This Row],[Quarterly Div $]] * 4</f>
        <v>0</v>
      </c>
      <c r="AG57" s="7">
        <f>IF(SnapshotTable[[#This Row],[Annual Dividend Per Share]]&gt;0, SnapshotTable[[#This Row],[Annual Dividend Per Share]]  / SnapshotTable[[#This Row],[Last Price]], 0)</f>
        <v>0</v>
      </c>
      <c r="AH57" s="149"/>
      <c r="AI57" s="5"/>
      <c r="AJ57" s="136">
        <v>2321.4299999999998</v>
      </c>
      <c r="AK57" s="150" t="str">
        <f>IF(ISNUMBER( SnapshotTable[[#This Row],[EBF Target]]),(SnapshotTable[[#This Row],[EBF Target]] - SnapshotTable[[#This Row],[Last Price]]) / SnapshotTable[[#This Row],[Last Price]], "")</f>
        <v/>
      </c>
      <c r="AL57" s="150" t="str">
        <f>IF(AND(SnapshotTable[[#This Row],[Equity Basis Total]] &gt; 0,ISNUMBER( SnapshotTable[[#This Row],[Long Term Target]])), SnapshotTable[[#This Row],[From Basis $]] / SnapshotTable[[#This Row],[Equity Basis Total]], "")</f>
        <v/>
      </c>
      <c r="AM57" s="9">
        <f>IF( AND(SnapshotTable[[#This Row],[Equity Shares]] &gt;0,ISNUMBER( SnapshotTable[[#This Row],[Long Term Target]])),(SnapshotTable[[#This Row],[Equity Shares]] * SnapshotTable[[#This Row],[Long Term Target]]) - SnapshotTable[[#This Row],[Equity Basis Total]],0)</f>
        <v>0</v>
      </c>
      <c r="AN57" s="9">
        <f>IF( AND(SnapshotTable[[#This Row],[Equity Shares]] &gt;0,ISNUMBER( SnapshotTable[[#This Row],[Long Term Target]])),(SnapshotTable[[#This Row],[Equity Shares]]*SnapshotTable[[#This Row],[Long Term Target]]) - SnapshotTable[[#This Row],[Equity Value]],0)</f>
        <v>0</v>
      </c>
      <c r="AO57" s="150">
        <f>IF(AND(ISNUMBER( SnapshotTable[[#This Row],[Long Term Target]]), ISNUMBER(SnapshotTable[[#This Row],[Last Price]])),(SnapshotTable[[#This Row],[Long Term Target]] - SnapshotTable[[#This Row],[Last Price]]) / SnapshotTable[[#This Row],[Last Price]], "")</f>
        <v>12.052007196671537</v>
      </c>
      <c r="AP57" s="5">
        <v>2800</v>
      </c>
      <c r="AQ57" s="38" t="s">
        <v>846</v>
      </c>
      <c r="AR57" s="5">
        <v>2400</v>
      </c>
      <c r="AS57" s="38" t="s">
        <v>847</v>
      </c>
      <c r="AT57" s="144" t="s">
        <v>417</v>
      </c>
      <c r="AU57" s="185" t="str">
        <f>IF(OR(SnapshotTable[[#This Row],[LP No Fill]]="Y",SnapshotTable[[#This Row],[SP Is Filled]],SnapshotTable[[#This Row],[LC Not Filled]]="Y",SnapshotTable[[#This Row],[SC Is Filled]]),"Y","")</f>
        <v/>
      </c>
      <c r="AV57" s="205"/>
      <c r="AW57" s="211"/>
      <c r="AX57" s="206"/>
      <c r="AY57" s="205" t="str">
        <f>IF(SnapshotTable[[#This Row],[Implied Move]]&gt;0, SnapshotTable[[#This Row],[Last Price]]-SnapshotTable[[#This Row],[Implied Move]],"")</f>
        <v/>
      </c>
      <c r="AZ57" s="205" t="str">
        <f>IF(SnapshotTable[[#This Row],[Implied Move]]&gt;0, SnapshotTable[[#This Row],[Last Price]] + SnapshotTable[[#This Row],[Implied Move]],"")</f>
        <v/>
      </c>
      <c r="BA57" s="302">
        <v>-19.21</v>
      </c>
      <c r="BB57" s="318" t="s">
        <v>892</v>
      </c>
      <c r="BC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7" s="321"/>
      <c r="BE57" s="136"/>
      <c r="BF57" s="164"/>
      <c r="BG57" s="165"/>
      <c r="BH57" s="165"/>
      <c r="BI57" s="207"/>
      <c r="BJ57" s="151">
        <f>IF(SnapshotTable[[#This Row],[LP Qty]] &gt; 0, SnapshotTable[[#This Row],[LP Qty]] * SnapshotTable[[#This Row],[LP Book Price]] * 100,0)</f>
        <v>0</v>
      </c>
      <c r="BK57" s="134">
        <f>IF(SnapshotTable[[#This Row],[LP Premium]] &gt; 0, SnapshotTable[[#This Row],[LP Qty]] * SnapshotTable[[#This Row],[LP Strike Price]] * 100,0)</f>
        <v>0</v>
      </c>
      <c r="BL57" s="152"/>
      <c r="BM57" s="355" t="str">
        <f>IF(SnapshotTable[[#This Row],[LP Premium]] &gt; 0,SnapshotTable[[#This Row],[LP Exp Date]]-MAX(SnapshotTable[[#This Row],[LP Book Date]], SnapshotTable[[#This Row],[LP Fill Date]]),"")</f>
        <v/>
      </c>
      <c r="BN57" s="355" t="str">
        <f>IF(ISNUMBER( SnapshotTable[[#This Row],[LP Term]]), SnapshotTable[[#This Row],[LP Exp Date]] - MockToday,"")</f>
        <v/>
      </c>
      <c r="BO57" s="161" t="str">
        <f>IF(AND(SnapshotTable[[#This Row],[LP Exp Date]]&gt;0, SnapshotTable[[#This Row],[LP Strike Price]]&gt;0,SnapshotTable[[#This Row],[LP Qty]]&gt;0,SnapshotTable[[#This Row],[LP Book Date]]&gt;0,SnapshotTable[[#This Row],[LP Book Price]]&gt;0,SnapshotTable[[#This Row],[LP Fill Date]]=0),"Y","")</f>
        <v/>
      </c>
      <c r="BP57" s="31" t="str">
        <f>IF(AND(SnapshotTable[[#This Row],[LP No Fill]]&lt;&gt;"Y",SnapshotTable[[#This Row],[LP Contract Value]]&gt;0, SnapshotTable[[#This Row],[LP Qty]]&gt;0), SnapshotTable[[#This Row],[LP Contract Value]]*SnapshotTable[[#This Row],[LP Qty]]*100,"")</f>
        <v/>
      </c>
      <c r="BQ57" s="13"/>
      <c r="BR57" s="5"/>
      <c r="BS57" s="36"/>
      <c r="BT57" s="145"/>
      <c r="BU57" s="13"/>
      <c r="BV57" s="5"/>
      <c r="BW57" s="382" t="b">
        <f>AND(ISNUMBER(SnapshotTable[[#This Row],[SP Exp Date]]), ISNUMBER(SnapshotTable[[#This Row],[SP Strike Price]]), ISNUMBER(SnapshotTable[[#This Row],[SP Qty]]), ISNUMBER(SnapshotTable[[#This Row],[SP Book Date]]), ISNUMBER(SnapshotTable[[#This Row],[SP Book Price]]))</f>
        <v>0</v>
      </c>
      <c r="BX57" s="382" t="b">
        <f>AND(SnapshotTable[[#This Row],[SP Is Booked]], NOT(ISBLANK(SnapshotTable[[#This Row],[SP Fill Date]])))</f>
        <v>0</v>
      </c>
      <c r="BY57" s="33">
        <f>IF(SnapshotTable[[#This Row],[SP Is Booked]], SnapshotTable[[#This Row],[SP Qty]] * SnapshotTable[[#This Row],[SP Book Price]] * 100, 0)</f>
        <v>0</v>
      </c>
      <c r="BZ57" s="339"/>
      <c r="CA57" s="338">
        <f>SnapshotTable[[#This Row],[LP Qty]]</f>
        <v>0</v>
      </c>
      <c r="CB57" s="4" t="str">
        <f>IF(SnapshotTable[[#This Row],[SP Is Booked]], SnapshotTable[[#This Row],[SP Strike Price]] - SnapshotTable[[#This Row],[SP Book Price]], "")</f>
        <v/>
      </c>
      <c r="CC57" s="19" t="str">
        <f>IF(SnapshotTable[[#This Row],[SP Is Booked]],SnapshotTable[[#This Row],[SP Exp Date]]-MAX(SnapshotTable[[#This Row],[SP Book Date]], SnapshotTable[[#This Row],[SP Fill Date]]),"")</f>
        <v/>
      </c>
      <c r="CD57" s="7" t="str">
        <f>IF(SnapshotTable[[#This Row],[SP Is Booked]], SnapshotTable[[#This Row],[SP Book Price]]/SnapshotTable[[#This Row],[SP Strike Price]], "")</f>
        <v/>
      </c>
      <c r="CE57" s="7" t="str">
        <f>IF(ISNUMBER(SnapshotTable[[#This Row],[SP ROO Term]]),SnapshotTable[[#This Row],[SP ROO Term]]*(365/SnapshotTable[[#This Row],[SP Term]]),"")</f>
        <v/>
      </c>
      <c r="CF57" s="221">
        <f>SnapshotTable[[#This Row],[LP Strike Price]] * SnapshotTable[[#This Row],[LP Qty]] * 100</f>
        <v>0</v>
      </c>
      <c r="CG57" s="31">
        <f>IF(ISNUMBER(SnapshotTable[[#This Row],[SP Premium]]), (SnapshotTable[[#This Row],[SP Qty]] * SnapshotTable[[#This Row],[SP Strike Price]]* 100) - SnapshotTable[[#This Row],[LP Protection]], 0)</f>
        <v>0</v>
      </c>
      <c r="CH57" s="7" t="str">
        <f>IF(ISNUMBER(SnapshotTable[[#This Row],[SP Break Even]]),-1 * (SnapshotTable[[#This Row],[SP Break Even]] - SnapshotTable[[#This Row],[Last Price]]) / SnapshotTable[[#This Row],[Last Price]], "")</f>
        <v/>
      </c>
      <c r="CI57" s="31">
        <f>IF(AND(ISNUMBER((SnapshotTable[[#This Row],[SP Potential Spend]])), SnapshotTable[[#This Row],[SP Strike Price]] &gt; SnapshotTable[[#This Row],[Last Price]], SnapshotTable[[#This Row],[SP Is Filled]]), SnapshotTable[[#This Row],[SP Potential Spend]] -  SnapshotTable[[#This Row],[LP Max Value]], 0)</f>
        <v>0</v>
      </c>
      <c r="CJ57" s="229">
        <v>0.5</v>
      </c>
      <c r="CK57" s="31">
        <f>IF(ISNUMBER(SnapshotTable[[#This Row],[SP Potential Spend]]),IF(ISNUMBER(SnapshotTable[[#This Row],[SP POW]]), SnapshotTable[[#This Row],[SP POW]] * SnapshotTable[[#This Row],[SP Potential Spend]], SnapshotTable[[#This Row],[SP Potential Spend]]), "")</f>
        <v>0</v>
      </c>
      <c r="CL57" s="162">
        <f>IF(NOT(SnapshotTable[[#This Row],[SP Is Filled]]),(SnapshotTable[[#This Row],[SP Qty]] * SnapshotTable[[#This Row],[SP Strike Price]] * 100) - SnapshotTable[[#This Row],[LP Max Value]],"")</f>
        <v>0</v>
      </c>
      <c r="CM57" s="31" t="str">
        <f>IF(SnapshotTable[[#This Row],[SP Actual Spend]]&lt;&gt;0, ((SnapshotTable[[#This Row],[SP Strike Price]]-SnapshotTable[[#This Row],[Last Price]]) *(SnapshotTable[[#This Row],[SP Qty]]*100) - SnapshotTable[[#This Row],[SP Premium]]) * - 1, "")</f>
        <v/>
      </c>
      <c r="CN57" s="152"/>
      <c r="CO57" s="339"/>
      <c r="CP57" s="4" t="str">
        <f>IF(SnapshotTable[[#This Row],[SP Is Filled]], btc_max_buyback_amount(SnapshotTable[[#This Row],[SP Fill Date]],SnapshotTable[[#This Row],[SP Exp Date]], SnapshotTable[[#This Row],[SP Book Price]]),"")</f>
        <v/>
      </c>
      <c r="CQ57" s="76"/>
      <c r="CR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7" s="153" t="str">
        <f>IF(SnapshotTable[[#This Row],[SP Is Filled]], btc_next_cutoff_date(SnapshotTable[[#This Row],[SP Fill Date]],SnapshotTable[[#This Row],[SP Exp Date]]),"")</f>
        <v/>
      </c>
      <c r="CT57" s="220" t="str" cm="1">
        <f t="array" ref="CT57">IF(SnapshotTable[[#This Row],[SP Is Filled]], btc_should_buy_back(SnapshotTable[[#This Row],[SP Fill Date]], SnapshotTable[[#This Row],[SP Exp Date]], SnapshotTable[[#This Row],[SP Book Price]], SnapshotTable[[#This Row],[SP Current Ask]], MockToday, SnapshotTable[[#This Row],[SP Buyback Override]]),"")</f>
        <v/>
      </c>
      <c r="CU57" s="154"/>
      <c r="CV57" s="220"/>
      <c r="CW57" s="348" t="str">
        <f>IF(ISNUMBER( SnapshotTable[[#This Row],[SP Term]]), SnapshotTable[[#This Row],[SP Exp Date]] - MockToday,"")</f>
        <v/>
      </c>
      <c r="CX57" s="31" t="str">
        <f>IF(SnapshotTable[[#This Row],[SP Is Filled]],SnapshotTable[[#This Row],[SP Buyback Price to Use]] * 100 * SnapshotTable[[#This Row],[SP Qty]], "")</f>
        <v/>
      </c>
      <c r="CY57" s="4" t="str">
        <f>IF(ISNUMBER(SnapshotTable[[#This Row],[SP Strike Price]]), SnapshotTable[[#This Row],[SP Strike Price]] * (1 - SP_MaxLoss_StrikePct), "")</f>
        <v/>
      </c>
      <c r="CZ57" s="31" t="str">
        <f>IF(ISNUMBER(SnapshotTable[[#This Row],[SP Strike  Stop Per Share]]),SnapshotTable[[#This Row],[SP Premium]] - ((SnapshotTable[[#This Row],[SP Strike Price]]-SnapshotTable[[#This Row],[SP Strike  Stop Per Share]]) *(SnapshotTable[[#This Row],[SP Qty]] * 100)),"")</f>
        <v/>
      </c>
      <c r="DA57" s="4" t="str">
        <f>IF(AND(ISNUMBER(SnapshotTable[[#This Row],[SP Premium]]),SnapshotTable[[#This Row],[SP Premium]]&gt;0), SnapshotTable[[#This Row],[SP Book Price]] * (1 + SP_MaxLoss_OptionPct), "")</f>
        <v/>
      </c>
      <c r="DB57" s="31" t="str">
        <f>IF(ISNUMBER(SnapshotTable[[#This Row],[SP Option  Stop Contract]]),(SnapshotTable[[#This Row],[SP Option  Stop Contract]] *(SnapshotTable[[#This Row],[SP Qty]] * 100) - SnapshotTable[[#This Row],[SP Premium]]),"")</f>
        <v/>
      </c>
      <c r="DC57" s="4"/>
      <c r="DD57" s="4"/>
      <c r="DE57" s="4" t="str">
        <f>IF(AND(SnapshotTable[[#This Row],[SP Qty]]&gt;0, SnapshotTable[[#This Row],[SP Stop To Use]]&gt;0),SnapshotTable[[#This Row],[SP Premium]] - ( SnapshotTable[[#This Row],[SP Qty]] * SnapshotTable[[#This Row],[SP Stop To Use]] * 100), "")</f>
        <v/>
      </c>
      <c r="DF57" s="31" t="str">
        <f>IF(AND(SnapshotTable[[#This Row],[SP Qty]]&gt;0,SnapshotTable[[#This Row],[SP Current Ask]]&gt;0), SnapshotTable[[#This Row],[SP Qty]] * SnapshotTable[[#This Row],[SP Current Ask]] * -100, "")</f>
        <v/>
      </c>
      <c r="DG57" s="31" t="str">
        <f>IF(ISNUMBER((SnapshotTable[[#This Row],[SP Total Value]])), SnapshotTable[[#This Row],[SP Premium]] + SnapshotTable[[#This Row],[SP Total Value]], "")</f>
        <v/>
      </c>
      <c r="DH57" s="272" t="str">
        <f>IF(ISNUMBER((SnapshotTable[[#This Row],[SP Total Value]])), SnapshotTable[[#This Row],[SP Gain Loss]] / SnapshotTable[[#This Row],[SP Premium]], "")</f>
        <v/>
      </c>
      <c r="DI57" s="369"/>
      <c r="DJ57" s="136"/>
      <c r="DK57" s="146"/>
      <c r="DL57" s="145"/>
      <c r="DM57" s="145"/>
      <c r="DN57" s="5"/>
      <c r="DO57" s="31">
        <f>IF(SnapshotTable[[#This Row],[LC Symbol Count]]=1, SnapshotTable[[#This Row],[LC Qty]] * SnapshotTable[[#This Row],[LC Book Price]] * 100, 0)</f>
        <v>0</v>
      </c>
      <c r="DP57" s="270" t="str">
        <f>IF(AND(SnapshotTable[[#This Row],[LC Exp Date]]&gt;0, SnapshotTable[[#This Row],[LC Strike Price]]&gt;0,SnapshotTable[[#This Row],[LC Qty]]&gt;0,SnapshotTable[[#This Row],[LC Book Date]]&gt;0,SnapshotTable[[#This Row],[LC Book Price]]&gt;0,SnapshotTable[[#This Row],[LC Fill Date]]=0),"Y","")</f>
        <v/>
      </c>
      <c r="DQ57" s="356" t="str">
        <f>IF(SnapshotTable[[#This Row],[LC Premium]] &gt; 0,SnapshotTable[[#This Row],[LC Exp Date]]-MAX(SnapshotTable[[#This Row],[LC Book Date]], SnapshotTable[[#This Row],[LC Fill Date]]),"")</f>
        <v/>
      </c>
      <c r="DR57" s="356" t="str">
        <f>IF(ISNUMBER(SnapshotTable[[#This Row],[LC Term]]), SnapshotTable[[#This Row],[LC Exp Date]] - MockToday, "")</f>
        <v/>
      </c>
      <c r="DS57" s="219" t="str">
        <f>IF(SnapshotTable[[#This Row],[LC Premium]]&gt;0,SnapshotTable[[#This Row],[LC Strike Price]] + SnapshotTable[[#This Row],[LC Book Price]],"")</f>
        <v/>
      </c>
      <c r="DT57" s="5"/>
      <c r="DU57" s="9" t="str">
        <f>IF(AND(SnapshotTable[[#This Row],[LC Symbol Count]]&gt;0, SnapshotTable[[#This Row],[LC Contract Value]]&gt;0), SnapshotTable[[#This Row],[LC Contract Value]] * SnapshotTable[[#This Row],[LC Qty]] * 100, "")</f>
        <v/>
      </c>
      <c r="DV57" s="9" t="str">
        <f>IF(AND(ISNUMBER(SnapshotTable[[#This Row],[LC Total Value]]), SnapshotTable[[#This Row],[LC Not Filled]]&lt;&gt;"Y"), SnapshotTable[[#This Row],[LC Total Value]]-SnapshotTable[[#This Row],[LC Premium]],"")</f>
        <v/>
      </c>
      <c r="DW57" s="225" t="str">
        <f>IF(ISNUMBER(SnapshotTable[[#This Row],[LC Actual Gain Loss]]), SnapshotTable[[#This Row],[LC Actual Gain Loss]] / SnapshotTable[[#This Row],[LC Premium]],"")</f>
        <v/>
      </c>
      <c r="DX57" s="269"/>
      <c r="DY57" s="250" t="str">
        <f>IF(SnapshotTable[[#This Row],[LC Premium]]&gt;0, SnapshotTable[[#This Row],[LC Next Target]] * SnapshotTable[[#This Row],[LC Qty]] * 100,"")</f>
        <v/>
      </c>
      <c r="DZ57" s="250" t="str">
        <f>IF(ISNUMBER(SnapshotTable[[#This Row],[LC Target Gross]]), SnapshotTable[[#This Row],[LC Target Gross]] - SnapshotTable[[#This Row],[LC Premium]], "")</f>
        <v/>
      </c>
      <c r="EA57" s="283" t="str">
        <f>IF(ISNUMBER(SnapshotTable[[#This Row],[LC Target Gain Loss]]), SnapshotTable[[#This Row],[LC Target Gain Loss]]/SnapshotTable[[#This Row],[LC Premium]], "")</f>
        <v/>
      </c>
      <c r="EB57" s="247"/>
      <c r="EC57" s="268" t="str">
        <f>IF(SnapshotTable[[#This Row],[LC Premium]]&gt;0, SnapshotTable[[#This Row],[LC Book Price]] * (1 - LC_StopLoss_Pct),"")</f>
        <v/>
      </c>
      <c r="ED57" s="269"/>
      <c r="EE57" s="268" t="str">
        <f>IF(ISNUMBER(SnapshotTable[[#This Row],[LC Contract Value]]),IF(ISNUMBER(SnapshotTable[[#This Row],[LC Stop Loss Override]]), SnapshotTable[[#This Row],[LC Stop Loss Override]],SnapshotTable[[#This Row],[LC Stop Loss Calc Target]]),"")</f>
        <v/>
      </c>
      <c r="EF57" s="31" t="str">
        <f>IF(ISNUMBER(SnapshotTable[[#This Row],[LC Stop  To Use]]), (SnapshotTable[[#This Row],[LC Stop  To Use]] * SnapshotTable[[#This Row],[LC Qty]] * 100),"")</f>
        <v/>
      </c>
      <c r="EG57" s="9" t="str">
        <f>IF(ISNUMBER(SnapshotTable[[#This Row],[LC Total Value]]),SnapshotTable[[#This Row],[LC Stop Loss Amount]] - SnapshotTable[[#This Row],[LC Premium]],"")</f>
        <v/>
      </c>
      <c r="EH57" s="9">
        <f>IF(ISNUMBER(SnapshotTable[[#This Row],[LC Premium]]), SnapshotTable[[#This Row],[LC Qty]] * 100 * SnapshotTable[[#This Row],[LC Strike Price]], "")</f>
        <v>0</v>
      </c>
      <c r="EI57" s="225" t="str">
        <f>IF(AND(ISNUMBER(SnapshotTable[[#This Row],[LC Total Value]]),SnapshotTable[[#This Row],[LC Total Value]]&gt;0),SnapshotTable[[#This Row],[LC Stop Gain Loss]]  / SnapshotTable[[#This Row],[LC Premium]],"")</f>
        <v/>
      </c>
      <c r="EJ57" s="35">
        <f>IF(ISNUMBER(SnapshotTable[[#This Row],[Equity Shares]]),TRUNC(SnapshotTable[[#This Row],[Equity Shares]] / 100),0) + SnapshotTable[[#This Row],[LC Qty]]</f>
        <v>0</v>
      </c>
      <c r="EK57" s="145"/>
      <c r="EL57" s="136"/>
      <c r="EM57" s="146"/>
      <c r="EN57" s="145"/>
      <c r="EO57" s="145"/>
      <c r="EP57" s="136"/>
      <c r="EQ57" s="382" t="b">
        <f>AND(ISNUMBER(SnapshotTable[[#This Row],[SC Exp Date]]), ISNUMBER(SnapshotTable[[#This Row],[SC Strike Price]]), ISNUMBER(SnapshotTable[[#This Row],[SC Qty]]), ISNUMBER(SnapshotTable[[#This Row],[SC Book Date]]), ISNUMBER(SnapshotTable[[#This Row],[SC Book Price]]))</f>
        <v>0</v>
      </c>
      <c r="ER57" s="382" t="b">
        <f>AND(SnapshotTable[[#This Row],[SC Is Booked]], NOT(ISBLANK(SnapshotTable[[#This Row],[SC Fill Date]])))</f>
        <v>0</v>
      </c>
      <c r="ES57" s="340"/>
      <c r="ET57" s="34" t="str">
        <f>IF(AND(ISNUMBER(SnapshotTable[[#This Row],[SC Exp Date]]), ISNUMBER(SnapshotTable[[#This Row],[SC Book Date]])), SnapshotTable[[#This Row],[SC Exp Date]] - MAX(SnapshotTable[[#This Row],[SC Book Date]], SnapshotTable[[#This Row],[SC Fill Date]]) + 1, "")</f>
        <v/>
      </c>
      <c r="EU57" s="34" t="str">
        <f>IF(ISNUMBER(SnapshotTable[[#This Row],[SC Term]]), SnapshotTable[[#This Row],[SC Exp Date]]- MockToday, "")</f>
        <v/>
      </c>
      <c r="EV57" s="31">
        <f>IF(SnapshotTable[[#This Row],[SC Is Booked]], SnapshotTable[[#This Row],[SC Qty]] * SnapshotTable[[#This Row],[SC Book Price]] * 100, 0)</f>
        <v>0</v>
      </c>
      <c r="EW57" s="4" t="str">
        <f>IF(AND(ISNUMBER(SnapshotTable[[#This Row],[Last Price]]), ISNUMBER( SnapshotTable[[#This Row],[SC Book Price]])), SnapshotTable[[#This Row],[Last Price]] - SnapshotTable[[#This Row],[SC Book Price]],"")</f>
        <v/>
      </c>
      <c r="EX57" s="219" t="str">
        <f>IF(SnapshotTable[[#This Row],[SC Is Booked]],IF(SnapshotTable[[#This Row],[SC Intrinsic Value]] &gt; 0, SnapshotTable[[#This Row],[SC Strike Price]], SnapshotTable[[#This Row],[Last Price]]), "")</f>
        <v/>
      </c>
      <c r="EY57" s="4">
        <f>IF(SnapshotTable[[#This Row],[SC Is Booked]], (MinimumPremiumRequired * SnapshotTable[[#This Row],[SC Basis]] * SnapshotTable[[#This Row],[SC Term]]), 0)</f>
        <v>0</v>
      </c>
      <c r="EZ57" s="268"/>
      <c r="FA57" s="204"/>
      <c r="FB57" s="340"/>
      <c r="FC57" s="4">
        <f>IF(SnapshotTable[[#This Row],[SC Is Filled]], btc_max_buyback_amount(SnapshotTable[[#This Row],[SC Fill Date]],SnapshotTable[[#This Row],[SC Exp Date]], SnapshotTable[[#This Row],[SC Book Price]]),0)</f>
        <v>0</v>
      </c>
      <c r="FD57" s="5"/>
      <c r="FE57" s="142" t="str">
        <f>IF(SnapshotTable[[#This Row],[SC Is Filled]], btc_next_cutoff_date(SnapshotTable[[#This Row],[SC Fill Date]],SnapshotTable[[#This Row],[SC Exp Date]]),"")</f>
        <v/>
      </c>
      <c r="FF57" s="4" t="str" cm="1">
        <f t="array" ref="FF57">IF(SnapshotTable[[#This Row],[SC Is Filled]], btc_should_buy_back(SnapshotTable[[#This Row],[SC Fill Date]], SnapshotTable[[#This Row],[SC Exp Date]], SnapshotTable[[#This Row],[SC Book Price]], SnapshotTable[[#This Row],[SC Current Ask]], MockToday, SnapshotTable[[#This Row],[SC Buyback Override]]),"")</f>
        <v/>
      </c>
      <c r="FG57" s="4">
        <f>IF(SnapshotTable[[#This Row],[SC Is Filled]], MAX(0,SnapshotTable[[#This Row],[Last Price]]  - SnapshotTable[[#This Row],[SC Strike Price]]), 0)</f>
        <v>0</v>
      </c>
      <c r="FH57" s="352">
        <f>IF(SnapshotTable[[#This Row],[SC Is Filled]], IF(ISNUMBER(SnapshotTable[[#This Row],[SC Current Ask]]), SnapshotTable[[#This Row],[SC Current Ask]], SnapshotTable[[#This Row],[SC Book Price]]) - SnapshotTable[[#This Row],[SC Intrinsic Value]], 0)</f>
        <v>0</v>
      </c>
      <c r="FI57" s="141"/>
      <c r="FJ57" s="32" t="str">
        <f>IF(SnapshotTable[[#This Row],[SC Is Filled]],100 * SnapshotTable[[#This Row],[SC Qty]] * IF(ISNUMBER(SnapshotTable[[#This Row],[SC Buyback Override]]), SnapshotTable[[#This Row],[SC Buyback Override]], SnapshotTable[[#This Row],[SC Current Ask]]), "")</f>
        <v/>
      </c>
      <c r="FK57" s="235" t="str">
        <f>IF(SnapshotTable[[#This Row],[SC Time Val]]&gt;0, SnapshotTable[[#This Row],[SC Time Val]] / SnapshotTable[[#This Row],[Last Price]],"")</f>
        <v/>
      </c>
      <c r="FL57" s="280" t="str">
        <f>IF(SnapshotTable[[#This Row],[SC Is Booked]], ((SnapshotTable[[#This Row],[Last Price]] -SnapshotTable[[#This Row],[SC Strike Price]]) / SnapshotTable[[#This Row],[Last Price]]) * -1, "")</f>
        <v/>
      </c>
      <c r="FM57" s="155" t="str">
        <f>IF(SnapshotTable[[#This Row],[SC Is Booked]],  (SnapshotTable[[#This Row],[SC Qty]] * 100 * SnapshotTable[[#This Row],[SC Strike Price]]) - SnapshotTable[[#This Row],[SC Current Ask]], "")</f>
        <v/>
      </c>
      <c r="FN5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7" s="155" t="str">
        <f>IF(AND(ISNUMBER(SnapshotTable[[#This Row],[SC Exercise Gross]]), ISNUMBER(SnapshotTable[[#This Row],[Equity Basis Per Share]] )), SnapshotTable[[#This Row],[SC Exercise Gross]] - SnapshotTable[[#This Row],[Equity Basis Total]] +  SnapshotTable[[#This Row],[SC Premium]], "")</f>
        <v/>
      </c>
      <c r="FP57" s="5" t="str">
        <f>IF(ISNUMBER(SnapshotTable[[#This Row],[SC Exercise Gross]]), (SnapshotTable[[#This Row],[SC Exercise Gross]]) / (SnapshotTable[[#This Row],[SC Qty]] * 100), "")</f>
        <v/>
      </c>
      <c r="FQ57" s="27" t="str">
        <f>IF(SnapshotTable[[#This Row],[SC Is Booked]],SnapshotTable[[#This Row],[SC Time Val]] /SnapshotTable[[#This Row],[SC Basis]], "")</f>
        <v/>
      </c>
      <c r="FR57" s="27" t="str" cm="1">
        <f t="array" ref="FR57">IF(AND(ISNUMBER(SnapshotTable[[#This Row],[SC Term]]),ISNUMBER(SnapshotTable[[#This Row],[SC Simple ROO]])), EllmanAnnualize(SnapshotTable[[#This Row],[SC DTE]], SnapshotTable[[#This Row],[SC Simple ROO]] ),"")</f>
        <v/>
      </c>
      <c r="FS57" s="4">
        <f>IF(SnapshotTable[[#This Row],[SC Strike Price]] &gt; SnapshotTable[[#This Row],[Last Price]], SnapshotTable[[#This Row],[SC Strike Price]] - SnapshotTable[[#This Row],[Last Price]],0)</f>
        <v>0</v>
      </c>
      <c r="FT57" s="27" t="str">
        <f>IF(AND(ISNUMBER(SnapshotTable[[#This Row],[SC Upside Potential]]), SnapshotTable[[#This Row],[SC Upside Potential]] &gt; 0),(SnapshotTable[[#This Row],[SC Upside Potential]]/ SnapshotTable[[#This Row],[ACB]]),"")</f>
        <v/>
      </c>
      <c r="FU57" s="304" t="str">
        <f>IF(SnapshotTable[[#This Row],[SC Intrinsic Value]] &gt; 0,SnapshotTable[[#This Row],[SC Intrinsic Value]],"")</f>
        <v/>
      </c>
      <c r="FV57" s="27" t="str">
        <f>IF(AND( ISNUMBER( SnapshotTable[[#This Row],[ACB]]),ISNUMBER(SnapshotTable[[#This Row],[SC Downside Protect]])),SnapshotTable[[#This Row],[SC Downside Protect]] / SnapshotTable[[#This Row],[ACB]],"")</f>
        <v/>
      </c>
      <c r="FW57" s="221" t="str">
        <f>IF(AND(ISNUMBER(SnapshotTable[[#This Row],[SC Simple ROO]]),SnapshotTable[[#This Row],[SC Simple ROO]] &gt; 0), SnapshotTable[[#This Row],[SC Premium]] + (SnapshotTable[[#This Row],[SC Qty]] * SnapshotTable[[#This Row],[SC Upside Potential]]), "")</f>
        <v/>
      </c>
      <c r="FX57" s="280" t="str" cm="1">
        <f t="array" ref="FX57">IF(ISNUMBER(SnapshotTable[[#This Row],[SC Max Dollars]]), annualize(SnapshotTable[[#This Row],[SC Term]],(SnapshotTable[[#This Row],[SC Max Dollars]]/SnapshotTable[[#This Row],[SC Basis]])),"")</f>
        <v/>
      </c>
      <c r="FY57" s="221" t="str">
        <f>IF(AND(SnapshotTable[[#This Row],[SC Qty]]&gt;0,SnapshotTable[[#This Row],[SC Current Ask]]&gt;0), SnapshotTable[[#This Row],[SC Qty]] * SnapshotTable[[#This Row],[SC Current Ask]] * -100, "")</f>
        <v/>
      </c>
      <c r="FZ57" s="220" t="str">
        <f>IF(ISNUMBER((SnapshotTable[[#This Row],[SC Current Value]])), SnapshotTable[[#This Row],[SC Premium]] + SnapshotTable[[#This Row],[SC Current Value]], "")</f>
        <v/>
      </c>
      <c r="GA57" s="272" t="str">
        <f>IFERROR( IF(ISNUMBER((SnapshotTable[[#This Row],[SC Current Value]])), SnapshotTable[[#This Row],[SC Gain Loss]] / SnapshotTable[[#This Row],[SC Premium]], ""), "")</f>
        <v/>
      </c>
      <c r="GB57" s="42">
        <f>SnapshotTable[[#This Row],[Equity Shares]] * SaleSharesToConsiderPercentage</f>
        <v>0</v>
      </c>
      <c r="GC57" s="40">
        <f>SnapshotTable[[#This Row],[Long Term Target]] * SellingPriceToConsiderBasedOnTargetPercentage</f>
        <v>2205.3584999999998</v>
      </c>
      <c r="GD57" s="40">
        <f>SnapshotTable[[#This Row],[Last Price]] * (1+ SellingPriceToConsiderBasedOnTargetPercentage)</f>
        <v>346.827</v>
      </c>
      <c r="GE57" s="41"/>
      <c r="GF57" s="40"/>
      <c r="GG57" s="31">
        <f>SnapshotTable[[#This Row],[Booked Sale Shares]] * SnapshotTable[[#This Row],[Booked Sale Price]]</f>
        <v>0</v>
      </c>
      <c r="GH57" s="31" t="str">
        <f>IF(SnapshotTable[[#This Row],[Equity Basis Total]] &gt; 0, SnapshotTable[[#This Row],[Equity Basis Per Share]] * SnapshotTable[[#This Row],[Booked Sale Shares]], "")</f>
        <v/>
      </c>
      <c r="GI57" s="31">
        <f>IF(SnapshotTable[[#This Row],[Sale Proceeds]]&gt;0, SnapshotTable[[#This Row],[Sale Proceeds]] - SnapshotTable[[#This Row],[Sale Basis]], 0)</f>
        <v>0</v>
      </c>
      <c r="GJ57" s="156" t="str">
        <f>IF(SnapshotTable[[#This Row],[Sale G/L]]&gt;0, SnapshotTable[[#This Row],[Sale G/L]] / SnapshotTable[[#This Row],[Sale Basis]], IF(ISNUMBER(SnapshotTable[[#This Row],[SC Exercise P&amp;L (TAX)]]), SnapshotTable[[#This Row],[SC Exercise P&amp;L (TAX)]] / SnapshotTable[[#This Row],[SC Basis]], ""))</f>
        <v/>
      </c>
      <c r="GK57" s="27" t="s">
        <v>871</v>
      </c>
      <c r="GL57" s="157" t="str">
        <f>IF(AND(SnapshotTable[[#This Row],[LP Exp Date]]&gt;0,SnapshotTable[[#This Row],[LP Strike Price]]&gt;0), [1]!ToOptionSymbol(SnapshotTable[[#This Row],[Symbol]], SnapshotTable[[#This Row],[LP Strike Price]],SnapshotTable[[#This Row],[LP Exp Date]],1), "")</f>
        <v/>
      </c>
      <c r="GM57" s="30" t="str">
        <f>IF(LEN(SnapshotTable[[#This Row],[LP Symbol]])&gt;0, 1, "")</f>
        <v/>
      </c>
      <c r="GN57" s="43" t="str">
        <f>IF(AND(SnapshotTable[[#This Row],[SP Exp Date]]&gt;0,SnapshotTable[[#This Row],[SP Strike Price]]&gt;0), [1]!ToOptionSymbol(SnapshotTable[[#This Row],[Symbol]], SnapshotTable[[#This Row],[SP Strike Price]],SnapshotTable[[#This Row],[SP Exp Date]],1), "")</f>
        <v/>
      </c>
      <c r="GO57" s="30" t="str">
        <f>IF(LEN(SnapshotTable[[#This Row],[SP Symbol]])&gt;0, 1, "")</f>
        <v/>
      </c>
      <c r="GP57" s="157" t="str">
        <f>IF(AND(SnapshotTable[[#This Row],[LC Exp Date]]&gt;0,SnapshotTable[[#This Row],[LC Strike Price]]&gt;0), [1]!ToOptionSymbol(SnapshotTable[[#This Row],[Symbol]], SnapshotTable[[#This Row],[LC Strike Price]],SnapshotTable[[#This Row],[LC Exp Date]],0), "")</f>
        <v/>
      </c>
      <c r="GQ57" s="158" t="str">
        <f>IF(LEN(SnapshotTable[[#This Row],[LC Symbol]])&gt;0, 1, "")</f>
        <v/>
      </c>
      <c r="GR57" s="157" t="str">
        <f>IF(AND(SnapshotTable[[#This Row],[SC Exp Date]]&gt;0,SnapshotTable[[#This Row],[SC Strike Price]]&gt;0), [1]!ToOptionSymbol(SnapshotTable[[#This Row],[Symbol]], SnapshotTable[[#This Row],[SC Strike Price]],SnapshotTable[[#This Row],[SC Exp Date]],0), "")</f>
        <v/>
      </c>
      <c r="GS57" s="158" t="str">
        <f>IF(LEN(SnapshotTable[[#This Row],[SC Symbol]])&gt;0, 1, "")</f>
        <v/>
      </c>
      <c r="GT57" s="159" t="str">
        <f>IF(COUNT(SnapshotTable[[#This Row],[LP Symbol Count]],SnapshotTable[[#This Row],[SP Symbol Count]],SnapshotTable[[#This Row],[LC Symbol Count]],SnapshotTable[[#This Row],[SC Symbol Count]])&gt;0, "Y", "")</f>
        <v/>
      </c>
      <c r="GU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7" s="216">
        <f>MAX(SnapshotTable[[#This Row],[Equity Basis Total]],SnapshotTable[[#This Row],[Equity Value]]) + (SnapshotTable[[#This Row],[SP Potential Spend]]- SnapshotTable[[#This Row],[SP Premium]] + SnapshotTable[[#This Row],[LP Premium]])+ (SnapshotTable[[#This Row],[LC Premium]] - SnapshotTable[[#This Row],[SC Premium]])</f>
        <v>0</v>
      </c>
      <c r="GW57" s="137" t="str">
        <f>IF(AND(SnapshotTable[[#This Row],[Exposure]] &lt;&gt; 0),SnapshotTable[[#This Row],[Exposure]] / SnapshotTable[[#Totals],[Exposure]], "")</f>
        <v/>
      </c>
      <c r="GY57" s="351"/>
      <c r="HE57" s="253"/>
      <c r="HF57" s="253"/>
      <c r="HG57" s="351"/>
      <c r="HH57" s="351"/>
      <c r="HI57" s="351"/>
      <c r="HJ57" s="351"/>
    </row>
    <row r="58" spans="2:224" s="45" customFormat="1" ht="12.75" hidden="1" customHeight="1" x14ac:dyDescent="0.25">
      <c r="B58" s="12" t="s">
        <v>699</v>
      </c>
      <c r="C58" s="385">
        <v>71.03</v>
      </c>
      <c r="D58" s="200"/>
      <c r="E58" s="39">
        <f>SnapshotTable[[#This Row],[Last Price]]*(1 -CrashDiscount)</f>
        <v>60.375500000000002</v>
      </c>
      <c r="F58" s="26" t="s">
        <v>704</v>
      </c>
      <c r="G58" s="26" t="s">
        <v>678</v>
      </c>
      <c r="H58" s="147"/>
      <c r="I58" s="186">
        <v>44782.291666666664</v>
      </c>
      <c r="J58" s="187">
        <v>44782.291666666664</v>
      </c>
      <c r="K58" s="188"/>
      <c r="L58" s="297"/>
      <c r="M58" s="138"/>
      <c r="N58" s="138"/>
      <c r="O58" s="138"/>
      <c r="P58" s="22"/>
      <c r="Q58" s="25"/>
      <c r="R58" s="4" t="str">
        <f>IF(SnapshotTable[[#This Row],[Equity Basis Total]] &gt; 0, SnapshotTable[[#This Row],[Equity Basis Total]] / SnapshotTable[[#This Row],[Equity Shares]], "")</f>
        <v/>
      </c>
      <c r="S58" s="254">
        <f>SnapshotTable[[#This Row],[Last Price]] * SnapshotTable[[#This Row],[Equity Shares]]</f>
        <v>0</v>
      </c>
      <c r="T58" s="254">
        <f>SnapshotTable[[#This Row],[Equity Value]] - SnapshotTable[[#This Row],[Equity Basis Total]]</f>
        <v>0</v>
      </c>
      <c r="U58" s="255" t="str">
        <f>IF(SnapshotTable[[#This Row],[Equity Basis Total]] &gt; 0, SnapshotTable[[#This Row],[Equity G/L]] / SnapshotTable[[#This Row],[Equity Basis Total]], "")</f>
        <v/>
      </c>
      <c r="V58" s="253"/>
      <c r="W58" s="253"/>
      <c r="X58" s="4" t="str">
        <f>IF(AND(ISNUMBER(SnapshotTable[[#This Row],[Equity Basis Per Share]]),ISNUMBER(SnapshotTable[[#This Row],[Equity Target]])),SnapshotTable[[#This Row],[Equity Target]]-SnapshotTable[[#This Row],[Equity Basis Per Share]],"")</f>
        <v/>
      </c>
      <c r="Y58" s="4" t="str">
        <f>IF(AND(ISNUMBER(SnapshotTable[[#This Row],[Equity Basis Per Share]]),ISNUMBER(SnapshotTable[[#This Row],[Equity Stop Loss]])),SnapshotTable[[#This Row],[Equity Stop Loss]]-SnapshotTable[[#This Row],[Equity Basis Per Share]],"")</f>
        <v/>
      </c>
      <c r="Z58" s="260" t="str">
        <f>IFERROR( TEXT(SnapshotTable[[#This Row],[Equity Max Gain Per Share]] /ABS( SnapshotTable[[#This Row],[Equity Max Loss Per Share]]),"0.0 " ) &amp; " : 1", "")</f>
        <v/>
      </c>
      <c r="AA58" s="31" t="str">
        <f>IF(ISNUMBER(SnapshotTable[[#This Row],[Equity Max Gain Per Share]]),SnapshotTable[[#This Row],[Equity Max Gain Per Share]] * SnapshotTable[[#This Row],[Equity Shares]],"")</f>
        <v/>
      </c>
      <c r="AB58" s="31" t="str">
        <f>IF(ISNUMBER(SnapshotTable[[#This Row],[Equity Max Loss Per Share]]),SnapshotTable[[#This Row],[Equity Max Loss Per Share]] * SnapshotTable[[#This Row],[Equity Shares]],"")</f>
        <v/>
      </c>
      <c r="AC58" s="148"/>
      <c r="AD58" s="149"/>
      <c r="AE58" s="31">
        <f>(SnapshotTable[[#This Row],[Annual Dividend Per Share]] / 4) * SnapshotTable[[#This Row],[Equity Shares]]</f>
        <v>0</v>
      </c>
      <c r="AF58" s="31">
        <f>SnapshotTable[[#This Row],[Quarterly Div $]] * 4</f>
        <v>0</v>
      </c>
      <c r="AG58" s="7">
        <f>IF(SnapshotTable[[#This Row],[Annual Dividend Per Share]]&gt;0, SnapshotTable[[#This Row],[Annual Dividend Per Share]]  / SnapshotTable[[#This Row],[Last Price]], 0)</f>
        <v>0</v>
      </c>
      <c r="AH58" s="149"/>
      <c r="AI58" s="5"/>
      <c r="AJ58" s="136">
        <v>47.15</v>
      </c>
      <c r="AK58" s="150" t="str">
        <f>IF(ISNUMBER( SnapshotTable[[#This Row],[EBF Target]]),(SnapshotTable[[#This Row],[EBF Target]] - SnapshotTable[[#This Row],[Last Price]]) / SnapshotTable[[#This Row],[Last Price]], "")</f>
        <v/>
      </c>
      <c r="AL58" s="150" t="str">
        <f>IF(AND(SnapshotTable[[#This Row],[Equity Basis Total]] &gt; 0,ISNUMBER( SnapshotTable[[#This Row],[Long Term Target]])), SnapshotTable[[#This Row],[From Basis $]] / SnapshotTable[[#This Row],[Equity Basis Total]], "")</f>
        <v/>
      </c>
      <c r="AM58" s="9">
        <f>IF( AND(SnapshotTable[[#This Row],[Equity Shares]] &gt;0,ISNUMBER( SnapshotTable[[#This Row],[Long Term Target]])),(SnapshotTable[[#This Row],[Equity Shares]] * SnapshotTable[[#This Row],[Long Term Target]]) - SnapshotTable[[#This Row],[Equity Basis Total]],0)</f>
        <v>0</v>
      </c>
      <c r="AN58" s="9">
        <f>IF( AND(SnapshotTable[[#This Row],[Equity Shares]] &gt;0,ISNUMBER( SnapshotTable[[#This Row],[Long Term Target]])),(SnapshotTable[[#This Row],[Equity Shares]]*SnapshotTable[[#This Row],[Long Term Target]]) - SnapshotTable[[#This Row],[Equity Value]],0)</f>
        <v>0</v>
      </c>
      <c r="AO58" s="150">
        <f>IF(AND(ISNUMBER( SnapshotTable[[#This Row],[Long Term Target]]), ISNUMBER(SnapshotTable[[#This Row],[Last Price]])),(SnapshotTable[[#This Row],[Long Term Target]] - SnapshotTable[[#This Row],[Last Price]]) / SnapshotTable[[#This Row],[Last Price]], "")</f>
        <v>-0.33619597353231034</v>
      </c>
      <c r="AP58" s="5"/>
      <c r="AQ58" s="38"/>
      <c r="AR58" s="5"/>
      <c r="AS58" s="38"/>
      <c r="AT58" s="144"/>
      <c r="AU58" s="185" t="str">
        <f>IF(OR(SnapshotTable[[#This Row],[LP No Fill]]="Y",SnapshotTable[[#This Row],[SP Is Filled]],SnapshotTable[[#This Row],[LC Not Filled]]="Y",SnapshotTable[[#This Row],[SC Is Filled]]),"Y","")</f>
        <v/>
      </c>
      <c r="AV58" s="205"/>
      <c r="AW58" s="211"/>
      <c r="AX58" s="206"/>
      <c r="AY58" s="205" t="str">
        <f>IF(SnapshotTable[[#This Row],[Implied Move]]&gt;0, SnapshotTable[[#This Row],[Last Price]]-SnapshotTable[[#This Row],[Implied Move]],"")</f>
        <v/>
      </c>
      <c r="AZ58" s="205" t="str">
        <f>IF(SnapshotTable[[#This Row],[Implied Move]]&gt;0, SnapshotTable[[#This Row],[Last Price]] + SnapshotTable[[#This Row],[Implied Move]],"")</f>
        <v/>
      </c>
      <c r="BA58" s="302"/>
      <c r="BB58" s="318"/>
      <c r="BC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8" s="321"/>
      <c r="BE58" s="136"/>
      <c r="BF58" s="164"/>
      <c r="BG58" s="165"/>
      <c r="BH58" s="165"/>
      <c r="BI58" s="207"/>
      <c r="BJ58" s="151">
        <f>IF(SnapshotTable[[#This Row],[LP Qty]] &gt; 0, SnapshotTable[[#This Row],[LP Qty]] * SnapshotTable[[#This Row],[LP Book Price]] * 100,0)</f>
        <v>0</v>
      </c>
      <c r="BK58" s="134">
        <f>IF(SnapshotTable[[#This Row],[LP Premium]] &gt; 0, SnapshotTable[[#This Row],[LP Qty]] * SnapshotTable[[#This Row],[LP Strike Price]] * 100,0)</f>
        <v>0</v>
      </c>
      <c r="BL58" s="152"/>
      <c r="BM58" s="355" t="str">
        <f>IF(SnapshotTable[[#This Row],[LP Premium]] &gt; 0,SnapshotTable[[#This Row],[LP Exp Date]]-MAX(SnapshotTable[[#This Row],[LP Book Date]], SnapshotTable[[#This Row],[LP Fill Date]]),"")</f>
        <v/>
      </c>
      <c r="BN58" s="355" t="str">
        <f>IF(ISNUMBER( SnapshotTable[[#This Row],[LP Term]]), SnapshotTable[[#This Row],[LP Exp Date]] - MockToday,"")</f>
        <v/>
      </c>
      <c r="BO58" s="161" t="str">
        <f>IF(AND(SnapshotTable[[#This Row],[LP Exp Date]]&gt;0, SnapshotTable[[#This Row],[LP Strike Price]]&gt;0,SnapshotTable[[#This Row],[LP Qty]]&gt;0,SnapshotTable[[#This Row],[LP Book Date]]&gt;0,SnapshotTable[[#This Row],[LP Book Price]]&gt;0,SnapshotTable[[#This Row],[LP Fill Date]]=0),"Y","")</f>
        <v/>
      </c>
      <c r="BP58" s="31" t="str">
        <f>IF(AND(SnapshotTable[[#This Row],[LP No Fill]]&lt;&gt;"Y",SnapshotTable[[#This Row],[LP Contract Value]]&gt;0, SnapshotTable[[#This Row],[LP Qty]]&gt;0), SnapshotTable[[#This Row],[LP Contract Value]]*SnapshotTable[[#This Row],[LP Qty]]*100,"")</f>
        <v/>
      </c>
      <c r="BQ58" s="13"/>
      <c r="BR58" s="5"/>
      <c r="BS58" s="36"/>
      <c r="BT58" s="145"/>
      <c r="BU58" s="13"/>
      <c r="BV58" s="5"/>
      <c r="BW58" s="382" t="b">
        <f>AND(ISNUMBER(SnapshotTable[[#This Row],[SP Exp Date]]), ISNUMBER(SnapshotTable[[#This Row],[SP Strike Price]]), ISNUMBER(SnapshotTable[[#This Row],[SP Qty]]), ISNUMBER(SnapshotTable[[#This Row],[SP Book Date]]), ISNUMBER(SnapshotTable[[#This Row],[SP Book Price]]))</f>
        <v>0</v>
      </c>
      <c r="BX58" s="382" t="b">
        <f>AND(SnapshotTable[[#This Row],[SP Is Booked]], NOT(ISBLANK(SnapshotTable[[#This Row],[SP Fill Date]])))</f>
        <v>0</v>
      </c>
      <c r="BY58" s="33">
        <f>IF(SnapshotTable[[#This Row],[SP Is Booked]], SnapshotTable[[#This Row],[SP Qty]] * SnapshotTable[[#This Row],[SP Book Price]] * 100, 0)</f>
        <v>0</v>
      </c>
      <c r="BZ58" s="339"/>
      <c r="CA58" s="338">
        <f>SnapshotTable[[#This Row],[LP Qty]]</f>
        <v>0</v>
      </c>
      <c r="CB58" s="4" t="str">
        <f>IF(SnapshotTable[[#This Row],[SP Is Booked]], SnapshotTable[[#This Row],[SP Strike Price]] - SnapshotTable[[#This Row],[SP Book Price]], "")</f>
        <v/>
      </c>
      <c r="CC58" s="19" t="str">
        <f>IF(SnapshotTable[[#This Row],[SP Is Booked]],SnapshotTable[[#This Row],[SP Exp Date]]-MAX(SnapshotTable[[#This Row],[SP Book Date]], SnapshotTable[[#This Row],[SP Fill Date]]),"")</f>
        <v/>
      </c>
      <c r="CD58" s="7" t="str">
        <f>IF(SnapshotTable[[#This Row],[SP Is Booked]], SnapshotTable[[#This Row],[SP Book Price]]/SnapshotTable[[#This Row],[SP Strike Price]], "")</f>
        <v/>
      </c>
      <c r="CE58" s="7" t="str">
        <f>IF(ISNUMBER(SnapshotTable[[#This Row],[SP ROO Term]]),SnapshotTable[[#This Row],[SP ROO Term]]*(365/SnapshotTable[[#This Row],[SP Term]]),"")</f>
        <v/>
      </c>
      <c r="CF58" s="221">
        <f>SnapshotTable[[#This Row],[LP Strike Price]] * SnapshotTable[[#This Row],[LP Qty]] * 100</f>
        <v>0</v>
      </c>
      <c r="CG58" s="31">
        <f>IF(ISNUMBER(SnapshotTable[[#This Row],[SP Premium]]), (SnapshotTable[[#This Row],[SP Qty]] * SnapshotTable[[#This Row],[SP Strike Price]]* 100) - SnapshotTable[[#This Row],[LP Protection]], 0)</f>
        <v>0</v>
      </c>
      <c r="CH58" s="7" t="str">
        <f>IF(ISNUMBER(SnapshotTable[[#This Row],[SP Break Even]]),-1 * (SnapshotTable[[#This Row],[SP Break Even]] - SnapshotTable[[#This Row],[Last Price]]) / SnapshotTable[[#This Row],[Last Price]], "")</f>
        <v/>
      </c>
      <c r="CI58" s="31">
        <f>IF(AND(ISNUMBER((SnapshotTable[[#This Row],[SP Potential Spend]])), SnapshotTable[[#This Row],[SP Strike Price]] &gt; SnapshotTable[[#This Row],[Last Price]], SnapshotTable[[#This Row],[SP Is Filled]]), SnapshotTable[[#This Row],[SP Potential Spend]] -  SnapshotTable[[#This Row],[LP Max Value]], 0)</f>
        <v>0</v>
      </c>
      <c r="CJ58" s="229"/>
      <c r="CK58" s="31">
        <f>IF(ISNUMBER(SnapshotTable[[#This Row],[SP Potential Spend]]),IF(ISNUMBER(SnapshotTable[[#This Row],[SP POW]]), SnapshotTable[[#This Row],[SP POW]] * SnapshotTable[[#This Row],[SP Potential Spend]], SnapshotTable[[#This Row],[SP Potential Spend]]), "")</f>
        <v>0</v>
      </c>
      <c r="CL58" s="162">
        <f>IF(NOT(SnapshotTable[[#This Row],[SP Is Filled]]),(SnapshotTable[[#This Row],[SP Qty]] * SnapshotTable[[#This Row],[SP Strike Price]] * 100) - SnapshotTable[[#This Row],[LP Max Value]],"")</f>
        <v>0</v>
      </c>
      <c r="CM58" s="31" t="str">
        <f>IF(SnapshotTable[[#This Row],[SP Actual Spend]]&lt;&gt;0, ((SnapshotTable[[#This Row],[SP Strike Price]]-SnapshotTable[[#This Row],[Last Price]]) *(SnapshotTable[[#This Row],[SP Qty]]*100) - SnapshotTable[[#This Row],[SP Premium]]) * - 1, "")</f>
        <v/>
      </c>
      <c r="CN58" s="152"/>
      <c r="CO58" s="339"/>
      <c r="CP58" s="4" t="str">
        <f>IF(SnapshotTable[[#This Row],[SP Is Filled]], btc_max_buyback_amount(SnapshotTable[[#This Row],[SP Fill Date]],SnapshotTable[[#This Row],[SP Exp Date]], SnapshotTable[[#This Row],[SP Book Price]]),"")</f>
        <v/>
      </c>
      <c r="CQ58" s="76"/>
      <c r="CR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8" s="153" t="str">
        <f>IF(SnapshotTable[[#This Row],[SP Is Filled]], btc_next_cutoff_date(SnapshotTable[[#This Row],[SP Fill Date]],SnapshotTable[[#This Row],[SP Exp Date]]),"")</f>
        <v/>
      </c>
      <c r="CT58" s="220" t="str" cm="1">
        <f t="array" ref="CT58">IF(SnapshotTable[[#This Row],[SP Is Filled]], btc_should_buy_back(SnapshotTable[[#This Row],[SP Fill Date]], SnapshotTable[[#This Row],[SP Exp Date]], SnapshotTable[[#This Row],[SP Book Price]], SnapshotTable[[#This Row],[SP Current Ask]], MockToday, SnapshotTable[[#This Row],[SP Buyback Override]]),"")</f>
        <v/>
      </c>
      <c r="CU58" s="154">
        <v>44883</v>
      </c>
      <c r="CV58" s="220"/>
      <c r="CW58" s="348" t="str">
        <f>IF(ISNUMBER( SnapshotTable[[#This Row],[SP Term]]), SnapshotTable[[#This Row],[SP Exp Date]] - MockToday,"")</f>
        <v/>
      </c>
      <c r="CX58" s="31" t="str">
        <f>IF(SnapshotTable[[#This Row],[SP Is Filled]],SnapshotTable[[#This Row],[SP Buyback Price to Use]] * 100 * SnapshotTable[[#This Row],[SP Qty]], "")</f>
        <v/>
      </c>
      <c r="CY58" s="4" t="str">
        <f>IF(ISNUMBER(SnapshotTable[[#This Row],[SP Strike Price]]), SnapshotTable[[#This Row],[SP Strike Price]] * (1 - SP_MaxLoss_StrikePct), "")</f>
        <v/>
      </c>
      <c r="CZ58" s="31" t="str">
        <f>IF(ISNUMBER(SnapshotTable[[#This Row],[SP Strike  Stop Per Share]]),SnapshotTable[[#This Row],[SP Premium]] - ((SnapshotTable[[#This Row],[SP Strike Price]]-SnapshotTable[[#This Row],[SP Strike  Stop Per Share]]) *(SnapshotTable[[#This Row],[SP Qty]] * 100)),"")</f>
        <v/>
      </c>
      <c r="DA58" s="4" t="str">
        <f>IF(AND(ISNUMBER(SnapshotTable[[#This Row],[SP Premium]]),SnapshotTable[[#This Row],[SP Premium]]&gt;0), SnapshotTable[[#This Row],[SP Book Price]] * (1 + SP_MaxLoss_OptionPct), "")</f>
        <v/>
      </c>
      <c r="DB58" s="31" t="str">
        <f>IF(ISNUMBER(SnapshotTable[[#This Row],[SP Option  Stop Contract]]),(SnapshotTable[[#This Row],[SP Option  Stop Contract]] *(SnapshotTable[[#This Row],[SP Qty]] * 100) - SnapshotTable[[#This Row],[SP Premium]]),"")</f>
        <v/>
      </c>
      <c r="DC58" s="4"/>
      <c r="DD58" s="4"/>
      <c r="DE58" s="4" t="str">
        <f>IF(AND(SnapshotTable[[#This Row],[SP Qty]]&gt;0, SnapshotTable[[#This Row],[SP Stop To Use]]&gt;0),SnapshotTable[[#This Row],[SP Premium]] - ( SnapshotTable[[#This Row],[SP Qty]] * SnapshotTable[[#This Row],[SP Stop To Use]] * 100), "")</f>
        <v/>
      </c>
      <c r="DF58" s="31" t="str">
        <f>IF(AND(SnapshotTable[[#This Row],[SP Qty]]&gt;0,SnapshotTable[[#This Row],[SP Current Ask]]&gt;0), SnapshotTable[[#This Row],[SP Qty]] * SnapshotTable[[#This Row],[SP Current Ask]] * -100, "")</f>
        <v/>
      </c>
      <c r="DG58" s="31" t="str">
        <f>IF(ISNUMBER((SnapshotTable[[#This Row],[SP Total Value]])), SnapshotTable[[#This Row],[SP Premium]] + SnapshotTable[[#This Row],[SP Total Value]], "")</f>
        <v/>
      </c>
      <c r="DH58" s="272" t="str">
        <f>IF(ISNUMBER((SnapshotTable[[#This Row],[SP Total Value]])), SnapshotTable[[#This Row],[SP Gain Loss]] / SnapshotTable[[#This Row],[SP Premium]], "")</f>
        <v/>
      </c>
      <c r="DI58" s="369"/>
      <c r="DJ58" s="136"/>
      <c r="DK58" s="146"/>
      <c r="DL58" s="145"/>
      <c r="DM58" s="145"/>
      <c r="DN58" s="5"/>
      <c r="DO58" s="31">
        <f>IF(SnapshotTable[[#This Row],[LC Symbol Count]]=1, SnapshotTable[[#This Row],[LC Qty]] * SnapshotTable[[#This Row],[LC Book Price]] * 100, 0)</f>
        <v>0</v>
      </c>
      <c r="DP58" s="270" t="str">
        <f>IF(AND(SnapshotTable[[#This Row],[LC Exp Date]]&gt;0, SnapshotTable[[#This Row],[LC Strike Price]]&gt;0,SnapshotTable[[#This Row],[LC Qty]]&gt;0,SnapshotTable[[#This Row],[LC Book Date]]&gt;0,SnapshotTable[[#This Row],[LC Book Price]]&gt;0,SnapshotTable[[#This Row],[LC Fill Date]]=0),"Y","")</f>
        <v/>
      </c>
      <c r="DQ58" s="356" t="str">
        <f>IF(SnapshotTable[[#This Row],[LC Premium]] &gt; 0,SnapshotTable[[#This Row],[LC Exp Date]]-MAX(SnapshotTable[[#This Row],[LC Book Date]], SnapshotTable[[#This Row],[LC Fill Date]]),"")</f>
        <v/>
      </c>
      <c r="DR58" s="356" t="str">
        <f>IF(ISNUMBER(SnapshotTable[[#This Row],[LC Term]]), SnapshotTable[[#This Row],[LC Exp Date]] - MockToday, "")</f>
        <v/>
      </c>
      <c r="DS58" s="219" t="str">
        <f>IF(SnapshotTable[[#This Row],[LC Premium]]&gt;0,SnapshotTable[[#This Row],[LC Strike Price]] + SnapshotTable[[#This Row],[LC Book Price]],"")</f>
        <v/>
      </c>
      <c r="DT58" s="5"/>
      <c r="DU58" s="9" t="str">
        <f>IF(AND(SnapshotTable[[#This Row],[LC Symbol Count]]&gt;0, SnapshotTable[[#This Row],[LC Contract Value]]&gt;0), SnapshotTable[[#This Row],[LC Contract Value]] * SnapshotTable[[#This Row],[LC Qty]] * 100, "")</f>
        <v/>
      </c>
      <c r="DV58" s="9" t="str">
        <f>IF(AND(ISNUMBER(SnapshotTable[[#This Row],[LC Total Value]]), SnapshotTable[[#This Row],[LC Not Filled]]&lt;&gt;"Y"), SnapshotTable[[#This Row],[LC Total Value]]-SnapshotTable[[#This Row],[LC Premium]],"")</f>
        <v/>
      </c>
      <c r="DW58" s="225" t="str">
        <f>IF(ISNUMBER(SnapshotTable[[#This Row],[LC Actual Gain Loss]]), SnapshotTable[[#This Row],[LC Actual Gain Loss]] / SnapshotTable[[#This Row],[LC Premium]],"")</f>
        <v/>
      </c>
      <c r="DX58" s="269" t="str">
        <f>IF(ISNUMBER(SnapshotTable[[#This Row],[LC Book Price]]),SnapshotTable[[#This Row],[LC Book Price]] * 1.5,"")</f>
        <v/>
      </c>
      <c r="DY58" s="250" t="str">
        <f>IF(SnapshotTable[[#This Row],[LC Premium]]&gt;0, SnapshotTable[[#This Row],[LC Next Target]] * SnapshotTable[[#This Row],[LC Qty]] * 100,"")</f>
        <v/>
      </c>
      <c r="DZ58" s="250" t="str">
        <f>IF(ISNUMBER(SnapshotTable[[#This Row],[LC Target Gross]]), SnapshotTable[[#This Row],[LC Target Gross]] - SnapshotTable[[#This Row],[LC Premium]], "")</f>
        <v/>
      </c>
      <c r="EA58" s="283" t="str">
        <f>IF(ISNUMBER(SnapshotTable[[#This Row],[LC Target Gain Loss]]), SnapshotTable[[#This Row],[LC Target Gain Loss]]/SnapshotTable[[#This Row],[LC Premium]], "")</f>
        <v/>
      </c>
      <c r="EB58" s="247"/>
      <c r="EC58" s="268" t="str">
        <f>IF(SnapshotTable[[#This Row],[LC Premium]]&gt;0, SnapshotTable[[#This Row],[LC Book Price]] * (1 - LC_StopLoss_Pct),"")</f>
        <v/>
      </c>
      <c r="ED58" s="269"/>
      <c r="EE58" s="268" t="str">
        <f>IF(ISNUMBER(SnapshotTable[[#This Row],[LC Contract Value]]),IF(ISNUMBER(SnapshotTable[[#This Row],[LC Stop Loss Override]]), SnapshotTable[[#This Row],[LC Stop Loss Override]],SnapshotTable[[#This Row],[LC Stop Loss Calc Target]]),"")</f>
        <v/>
      </c>
      <c r="EF58" s="31" t="str">
        <f>IF(ISNUMBER(SnapshotTable[[#This Row],[LC Stop  To Use]]), (SnapshotTable[[#This Row],[LC Stop  To Use]] * SnapshotTable[[#This Row],[LC Qty]] * 100),"")</f>
        <v/>
      </c>
      <c r="EG58" s="9" t="str">
        <f>IF(ISNUMBER(SnapshotTable[[#This Row],[LC Total Value]]),SnapshotTable[[#This Row],[LC Stop Loss Amount]] - SnapshotTable[[#This Row],[LC Premium]],"")</f>
        <v/>
      </c>
      <c r="EH58" s="9">
        <f>IF(ISNUMBER(SnapshotTable[[#This Row],[LC Premium]]), SnapshotTable[[#This Row],[LC Qty]] * 100 * SnapshotTable[[#This Row],[LC Strike Price]], "")</f>
        <v>0</v>
      </c>
      <c r="EI58" s="225" t="str">
        <f>IF(AND(ISNUMBER(SnapshotTable[[#This Row],[LC Total Value]]),SnapshotTable[[#This Row],[LC Total Value]]&gt;0),SnapshotTable[[#This Row],[LC Stop Gain Loss]]  / SnapshotTable[[#This Row],[LC Premium]],"")</f>
        <v/>
      </c>
      <c r="EJ58" s="35">
        <f>IF(ISNUMBER(SnapshotTable[[#This Row],[Equity Shares]]),TRUNC(SnapshotTable[[#This Row],[Equity Shares]] / 100),0) + SnapshotTable[[#This Row],[LC Qty]]</f>
        <v>0</v>
      </c>
      <c r="EK58" s="145"/>
      <c r="EL58" s="136"/>
      <c r="EM58" s="146"/>
      <c r="EN58" s="145"/>
      <c r="EO58" s="145"/>
      <c r="EP58" s="136"/>
      <c r="EQ58" s="382" t="b">
        <f>AND(ISNUMBER(SnapshotTable[[#This Row],[SC Exp Date]]), ISNUMBER(SnapshotTable[[#This Row],[SC Strike Price]]), ISNUMBER(SnapshotTable[[#This Row],[SC Qty]]), ISNUMBER(SnapshotTable[[#This Row],[SC Book Date]]), ISNUMBER(SnapshotTable[[#This Row],[SC Book Price]]))</f>
        <v>0</v>
      </c>
      <c r="ER58" s="382" t="b">
        <f>AND(SnapshotTable[[#This Row],[SC Is Booked]], NOT(ISBLANK(SnapshotTable[[#This Row],[SC Fill Date]])))</f>
        <v>0</v>
      </c>
      <c r="ES58" s="340"/>
      <c r="ET58" s="34" t="str">
        <f>IF(AND(ISNUMBER(SnapshotTable[[#This Row],[SC Exp Date]]), ISNUMBER(SnapshotTable[[#This Row],[SC Book Date]])), SnapshotTable[[#This Row],[SC Exp Date]] - MAX(SnapshotTable[[#This Row],[SC Book Date]], SnapshotTable[[#This Row],[SC Fill Date]]) + 1, "")</f>
        <v/>
      </c>
      <c r="EU58" s="34" t="str">
        <f>IF(ISNUMBER(SnapshotTable[[#This Row],[SC Term]]), SnapshotTable[[#This Row],[SC Exp Date]]- MockToday, "")</f>
        <v/>
      </c>
      <c r="EV58" s="31">
        <f>IF(SnapshotTable[[#This Row],[SC Is Booked]], SnapshotTable[[#This Row],[SC Qty]] * SnapshotTable[[#This Row],[SC Book Price]] * 100, 0)</f>
        <v>0</v>
      </c>
      <c r="EW58" s="4" t="str">
        <f>IF(AND(ISNUMBER(SnapshotTable[[#This Row],[Last Price]]), ISNUMBER( SnapshotTable[[#This Row],[SC Book Price]])), SnapshotTable[[#This Row],[Last Price]] - SnapshotTable[[#This Row],[SC Book Price]],"")</f>
        <v/>
      </c>
      <c r="EX58" s="219" t="str">
        <f>IF(SnapshotTable[[#This Row],[SC Is Booked]],IF(SnapshotTable[[#This Row],[SC Intrinsic Value]] &gt; 0, SnapshotTable[[#This Row],[SC Strike Price]], SnapshotTable[[#This Row],[Last Price]]), "")</f>
        <v/>
      </c>
      <c r="EY58" s="4">
        <f>IF(SnapshotTable[[#This Row],[SC Is Booked]], (MinimumPremiumRequired * SnapshotTable[[#This Row],[SC Basis]] * SnapshotTable[[#This Row],[SC Term]]), 0)</f>
        <v>0</v>
      </c>
      <c r="EZ58" s="268"/>
      <c r="FA58" s="204"/>
      <c r="FB58" s="340"/>
      <c r="FC58" s="4">
        <f>IF(SnapshotTable[[#This Row],[SC Is Filled]], btc_max_buyback_amount(SnapshotTable[[#This Row],[SC Fill Date]],SnapshotTable[[#This Row],[SC Exp Date]], SnapshotTable[[#This Row],[SC Book Price]]),0)</f>
        <v>0</v>
      </c>
      <c r="FD58" s="5"/>
      <c r="FE58" s="142" t="str">
        <f>IF(SnapshotTable[[#This Row],[SC Is Filled]], btc_next_cutoff_date(SnapshotTable[[#This Row],[SC Fill Date]],SnapshotTable[[#This Row],[SC Exp Date]]),"")</f>
        <v/>
      </c>
      <c r="FF58" s="4" t="str" cm="1">
        <f t="array" ref="FF58">IF(SnapshotTable[[#This Row],[SC Is Filled]], btc_should_buy_back(SnapshotTable[[#This Row],[SC Fill Date]], SnapshotTable[[#This Row],[SC Exp Date]], SnapshotTable[[#This Row],[SC Book Price]], SnapshotTable[[#This Row],[SC Current Ask]], MockToday, SnapshotTable[[#This Row],[SC Buyback Override]]),"")</f>
        <v/>
      </c>
      <c r="FG58" s="4">
        <f>IF(SnapshotTable[[#This Row],[SC Is Filled]], MAX(0,SnapshotTable[[#This Row],[Last Price]]  - SnapshotTable[[#This Row],[SC Strike Price]]), 0)</f>
        <v>0</v>
      </c>
      <c r="FH58" s="352">
        <f>IF(SnapshotTable[[#This Row],[SC Is Filled]], IF(ISNUMBER(SnapshotTable[[#This Row],[SC Current Ask]]), SnapshotTable[[#This Row],[SC Current Ask]], SnapshotTable[[#This Row],[SC Book Price]]) - SnapshotTable[[#This Row],[SC Intrinsic Value]], 0)</f>
        <v>0</v>
      </c>
      <c r="FI58" s="141"/>
      <c r="FJ58" s="32" t="str">
        <f>IF(SnapshotTable[[#This Row],[SC Is Filled]],100 * SnapshotTable[[#This Row],[SC Qty]] * IF(ISNUMBER(SnapshotTable[[#This Row],[SC Buyback Override]]), SnapshotTable[[#This Row],[SC Buyback Override]], SnapshotTable[[#This Row],[SC Current Ask]]), "")</f>
        <v/>
      </c>
      <c r="FK58" s="235" t="str">
        <f>IF(SnapshotTable[[#This Row],[SC Time Val]]&gt;0, SnapshotTable[[#This Row],[SC Time Val]] / SnapshotTable[[#This Row],[Last Price]],"")</f>
        <v/>
      </c>
      <c r="FL58" s="280" t="str">
        <f>IF(SnapshotTable[[#This Row],[SC Is Booked]], ((SnapshotTable[[#This Row],[Last Price]] -SnapshotTable[[#This Row],[SC Strike Price]]) / SnapshotTable[[#This Row],[Last Price]]) * -1, "")</f>
        <v/>
      </c>
      <c r="FM58" s="155" t="str">
        <f>IF(SnapshotTable[[#This Row],[SC Is Booked]],  (SnapshotTable[[#This Row],[SC Qty]] * 100 * SnapshotTable[[#This Row],[SC Strike Price]]) - SnapshotTable[[#This Row],[SC Current Ask]], "")</f>
        <v/>
      </c>
      <c r="FN5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8" s="155" t="str">
        <f>IF(AND(ISNUMBER(SnapshotTable[[#This Row],[SC Exercise Gross]]), ISNUMBER(SnapshotTable[[#This Row],[Equity Basis Per Share]] )), SnapshotTable[[#This Row],[SC Exercise Gross]] - SnapshotTable[[#This Row],[Equity Basis Total]] +  SnapshotTable[[#This Row],[SC Premium]], "")</f>
        <v/>
      </c>
      <c r="FP58" s="5" t="str">
        <f>IF(ISNUMBER(SnapshotTable[[#This Row],[SC Exercise Gross]]), (SnapshotTable[[#This Row],[SC Exercise Gross]]) / (SnapshotTable[[#This Row],[SC Qty]] * 100), "")</f>
        <v/>
      </c>
      <c r="FQ58" s="27" t="str">
        <f>IF(SnapshotTable[[#This Row],[SC Is Booked]],SnapshotTable[[#This Row],[SC Time Val]] /SnapshotTable[[#This Row],[SC Basis]], "")</f>
        <v/>
      </c>
      <c r="FR58" s="27" t="str" cm="1">
        <f t="array" ref="FR58">IF(AND(ISNUMBER(SnapshotTable[[#This Row],[SC Term]]),ISNUMBER(SnapshotTable[[#This Row],[SC Simple ROO]])), EllmanAnnualize(SnapshotTable[[#This Row],[SC DTE]], SnapshotTable[[#This Row],[SC Simple ROO]] ),"")</f>
        <v/>
      </c>
      <c r="FS58" s="4">
        <f>IF(SnapshotTable[[#This Row],[SC Strike Price]] &gt; SnapshotTable[[#This Row],[Last Price]], SnapshotTable[[#This Row],[SC Strike Price]] - SnapshotTable[[#This Row],[Last Price]],0)</f>
        <v>0</v>
      </c>
      <c r="FT58" s="27" t="str">
        <f>IF(AND(ISNUMBER(SnapshotTable[[#This Row],[SC Upside Potential]]), SnapshotTable[[#This Row],[SC Upside Potential]] &gt; 0),(SnapshotTable[[#This Row],[SC Upside Potential]]/ SnapshotTable[[#This Row],[ACB]]),"")</f>
        <v/>
      </c>
      <c r="FU58" s="304" t="str">
        <f>IF(SnapshotTable[[#This Row],[SC Intrinsic Value]] &gt; 0,SnapshotTable[[#This Row],[SC Intrinsic Value]],"")</f>
        <v/>
      </c>
      <c r="FV58" s="27" t="str">
        <f>IF(AND( ISNUMBER( SnapshotTable[[#This Row],[ACB]]),ISNUMBER(SnapshotTable[[#This Row],[SC Downside Protect]])),SnapshotTable[[#This Row],[SC Downside Protect]] / SnapshotTable[[#This Row],[ACB]],"")</f>
        <v/>
      </c>
      <c r="FW58" s="221" t="str">
        <f>IF(AND(ISNUMBER(SnapshotTable[[#This Row],[SC Simple ROO]]),SnapshotTable[[#This Row],[SC Simple ROO]] &gt; 0), SnapshotTable[[#This Row],[SC Premium]] + (SnapshotTable[[#This Row],[SC Qty]] * SnapshotTable[[#This Row],[SC Upside Potential]]), "")</f>
        <v/>
      </c>
      <c r="FX58" s="280" t="str" cm="1">
        <f t="array" ref="FX58">IF(ISNUMBER(SnapshotTable[[#This Row],[SC Max Dollars]]), annualize(SnapshotTable[[#This Row],[SC Term]],(SnapshotTable[[#This Row],[SC Max Dollars]]/SnapshotTable[[#This Row],[SC Basis]])),"")</f>
        <v/>
      </c>
      <c r="FY58" s="221" t="str">
        <f>IF(AND(SnapshotTable[[#This Row],[SC Qty]]&gt;0,SnapshotTable[[#This Row],[SC Current Ask]]&gt;0), SnapshotTable[[#This Row],[SC Qty]] * SnapshotTable[[#This Row],[SC Current Ask]] * -100, "")</f>
        <v/>
      </c>
      <c r="FZ58" s="220" t="str">
        <f>IF(ISNUMBER((SnapshotTable[[#This Row],[SC Current Value]])), SnapshotTable[[#This Row],[SC Premium]] + SnapshotTable[[#This Row],[SC Current Value]], "")</f>
        <v/>
      </c>
      <c r="GA58" s="272" t="str">
        <f>IFERROR( IF(ISNUMBER((SnapshotTable[[#This Row],[SC Current Value]])), SnapshotTable[[#This Row],[SC Gain Loss]] / SnapshotTable[[#This Row],[SC Premium]], ""), "")</f>
        <v/>
      </c>
      <c r="GB58" s="42">
        <f>SnapshotTable[[#This Row],[Equity Shares]] * SaleSharesToConsiderPercentage</f>
        <v>0</v>
      </c>
      <c r="GC58" s="40">
        <f>SnapshotTable[[#This Row],[Long Term Target]] * SellingPriceToConsiderBasedOnTargetPercentage</f>
        <v>44.792499999999997</v>
      </c>
      <c r="GD58" s="40">
        <f>SnapshotTable[[#This Row],[Last Price]] * (1+ SellingPriceToConsiderBasedOnTargetPercentage)</f>
        <v>138.5085</v>
      </c>
      <c r="GE58" s="41"/>
      <c r="GF58" s="40"/>
      <c r="GG58" s="31">
        <f>SnapshotTable[[#This Row],[Booked Sale Shares]] * SnapshotTable[[#This Row],[Booked Sale Price]]</f>
        <v>0</v>
      </c>
      <c r="GH58" s="31" t="str">
        <f>IF(SnapshotTable[[#This Row],[Equity Basis Total]] &gt; 0, SnapshotTable[[#This Row],[Equity Basis Per Share]] * SnapshotTable[[#This Row],[Booked Sale Shares]], "")</f>
        <v/>
      </c>
      <c r="GI58" s="31">
        <f>IF(SnapshotTable[[#This Row],[Sale Proceeds]]&gt;0, SnapshotTable[[#This Row],[Sale Proceeds]] - SnapshotTable[[#This Row],[Sale Basis]], 0)</f>
        <v>0</v>
      </c>
      <c r="GJ58" s="156" t="str">
        <f>IF(SnapshotTable[[#This Row],[Sale G/L]]&gt;0, SnapshotTable[[#This Row],[Sale G/L]] / SnapshotTable[[#This Row],[Sale Basis]], IF(ISNUMBER(SnapshotTable[[#This Row],[SC Exercise P&amp;L (TAX)]]), SnapshotTable[[#This Row],[SC Exercise P&amp;L (TAX)]] / SnapshotTable[[#This Row],[SC Basis]], ""))</f>
        <v/>
      </c>
      <c r="GK58" s="156"/>
      <c r="GL58" s="157" t="str">
        <f>IF(AND(SnapshotTable[[#This Row],[LP Exp Date]]&gt;0,SnapshotTable[[#This Row],[LP Strike Price]]&gt;0), [1]!ToOptionSymbol(SnapshotTable[[#This Row],[Symbol]], SnapshotTable[[#This Row],[LP Strike Price]],SnapshotTable[[#This Row],[LP Exp Date]],1), "")</f>
        <v/>
      </c>
      <c r="GM58" s="30" t="str">
        <f>IF(LEN(SnapshotTable[[#This Row],[LP Symbol]])&gt;0, 1, "")</f>
        <v/>
      </c>
      <c r="GN58" s="43" t="str">
        <f>IF(AND(SnapshotTable[[#This Row],[SP Exp Date]]&gt;0,SnapshotTable[[#This Row],[SP Strike Price]]&gt;0), [1]!ToOptionSymbol(SnapshotTable[[#This Row],[Symbol]], SnapshotTable[[#This Row],[SP Strike Price]],SnapshotTable[[#This Row],[SP Exp Date]],1), "")</f>
        <v/>
      </c>
      <c r="GO58" s="30" t="str">
        <f>IF(LEN(SnapshotTable[[#This Row],[SP Symbol]])&gt;0, 1, "")</f>
        <v/>
      </c>
      <c r="GP58" s="157" t="str">
        <f>IF(AND(SnapshotTable[[#This Row],[LC Exp Date]]&gt;0,SnapshotTable[[#This Row],[LC Strike Price]]&gt;0), [1]!ToOptionSymbol(SnapshotTable[[#This Row],[Symbol]], SnapshotTable[[#This Row],[LC Strike Price]],SnapshotTable[[#This Row],[LC Exp Date]],0), "")</f>
        <v/>
      </c>
      <c r="GQ58" s="158" t="str">
        <f>IF(LEN(SnapshotTable[[#This Row],[LC Symbol]])&gt;0, 1, "")</f>
        <v/>
      </c>
      <c r="GR58" s="157" t="str">
        <f>IF(AND(SnapshotTable[[#This Row],[SC Exp Date]]&gt;0,SnapshotTable[[#This Row],[SC Strike Price]]&gt;0), [1]!ToOptionSymbol(SnapshotTable[[#This Row],[Symbol]], SnapshotTable[[#This Row],[SC Strike Price]],SnapshotTable[[#This Row],[SC Exp Date]],0), "")</f>
        <v/>
      </c>
      <c r="GS58" s="158" t="str">
        <f>IF(LEN(SnapshotTable[[#This Row],[SC Symbol]])&gt;0, 1, "")</f>
        <v/>
      </c>
      <c r="GT58" s="159" t="str">
        <f>IF(COUNT(SnapshotTable[[#This Row],[LP Symbol Count]],SnapshotTable[[#This Row],[SP Symbol Count]],SnapshotTable[[#This Row],[LC Symbol Count]],SnapshotTable[[#This Row],[SC Symbol Count]])&gt;0, "Y", "")</f>
        <v/>
      </c>
      <c r="GU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8" s="216">
        <f>MAX(SnapshotTable[[#This Row],[Equity Basis Total]],SnapshotTable[[#This Row],[Equity Value]]) + (SnapshotTable[[#This Row],[SP Potential Spend]]- SnapshotTable[[#This Row],[SP Premium]] + SnapshotTable[[#This Row],[LP Premium]])+ (SnapshotTable[[#This Row],[LC Premium]] - SnapshotTable[[#This Row],[SC Premium]])</f>
        <v>0</v>
      </c>
      <c r="GW58" s="137" t="str">
        <f>IF(AND(SnapshotTable[[#This Row],[Exposure]] &lt;&gt; 0),SnapshotTable[[#This Row],[Exposure]] / SnapshotTable[[#Totals],[Exposure]], "")</f>
        <v/>
      </c>
      <c r="GY58" s="351"/>
      <c r="HE58" s="253"/>
      <c r="HF58" s="253"/>
      <c r="HG58" s="351"/>
      <c r="HH58" s="351"/>
      <c r="HI58" s="351"/>
      <c r="HJ58" s="351"/>
    </row>
    <row r="59" spans="2:224" s="45" customFormat="1" ht="12.75" hidden="1" customHeight="1" x14ac:dyDescent="0.25">
      <c r="B59" s="12" t="s">
        <v>753</v>
      </c>
      <c r="C59" s="385">
        <v>0.55000000000000004</v>
      </c>
      <c r="D59" s="200" t="s">
        <v>690</v>
      </c>
      <c r="E59" s="39">
        <f>SnapshotTable[[#This Row],[Last Price]]*(1 -CrashDiscount)</f>
        <v>0.46750000000000003</v>
      </c>
      <c r="F59" s="26" t="s">
        <v>703</v>
      </c>
      <c r="G59" s="26" t="s">
        <v>493</v>
      </c>
      <c r="H59" s="147"/>
      <c r="I59" s="186">
        <v>44781.666666666664</v>
      </c>
      <c r="J59" s="187">
        <v>44781.666666666664</v>
      </c>
      <c r="K59" s="188"/>
      <c r="L59" s="297" t="s">
        <v>104</v>
      </c>
      <c r="M59" s="138"/>
      <c r="N59" s="138"/>
      <c r="O59" s="138"/>
      <c r="P59" s="22"/>
      <c r="Q59" s="25"/>
      <c r="R59" s="4" t="str">
        <f>IF(SnapshotTable[[#This Row],[Equity Basis Total]] &gt; 0, SnapshotTable[[#This Row],[Equity Basis Total]] / SnapshotTable[[#This Row],[Equity Shares]], "")</f>
        <v/>
      </c>
      <c r="S59" s="254">
        <f>SnapshotTable[[#This Row],[Last Price]] * SnapshotTable[[#This Row],[Equity Shares]]</f>
        <v>0</v>
      </c>
      <c r="T59" s="254">
        <f>SnapshotTable[[#This Row],[Equity Value]] - SnapshotTable[[#This Row],[Equity Basis Total]]</f>
        <v>0</v>
      </c>
      <c r="U59" s="255" t="str">
        <f>IF(SnapshotTable[[#This Row],[Equity Basis Total]] &gt; 0, SnapshotTable[[#This Row],[Equity G/L]] / SnapshotTable[[#This Row],[Equity Basis Total]], "")</f>
        <v/>
      </c>
      <c r="V59" s="253"/>
      <c r="W59" s="253"/>
      <c r="X59" s="4" t="str">
        <f>IF(AND(ISNUMBER(SnapshotTable[[#This Row],[Equity Basis Per Share]]),ISNUMBER(SnapshotTable[[#This Row],[Equity Target]])),SnapshotTable[[#This Row],[Equity Target]]-SnapshotTable[[#This Row],[Equity Basis Per Share]],"")</f>
        <v/>
      </c>
      <c r="Y59" s="4" t="str">
        <f>IF(AND(ISNUMBER(SnapshotTable[[#This Row],[Equity Basis Per Share]]),ISNUMBER(SnapshotTable[[#This Row],[Equity Stop Loss]])),SnapshotTable[[#This Row],[Equity Stop Loss]]-SnapshotTable[[#This Row],[Equity Basis Per Share]],"")</f>
        <v/>
      </c>
      <c r="Z59" s="260" t="str">
        <f>IFERROR( TEXT(SnapshotTable[[#This Row],[Equity Max Gain Per Share]] /ABS( SnapshotTable[[#This Row],[Equity Max Loss Per Share]]),"0.0 " ) &amp; " : 1", "")</f>
        <v/>
      </c>
      <c r="AA59" s="31" t="str">
        <f>IF(ISNUMBER(SnapshotTable[[#This Row],[Equity Max Gain Per Share]]),SnapshotTable[[#This Row],[Equity Max Gain Per Share]] * SnapshotTable[[#This Row],[Equity Shares]],"")</f>
        <v/>
      </c>
      <c r="AB59" s="31" t="str">
        <f>IF(ISNUMBER(SnapshotTable[[#This Row],[Equity Max Loss Per Share]]),SnapshotTable[[#This Row],[Equity Max Loss Per Share]] * SnapshotTable[[#This Row],[Equity Shares]],"")</f>
        <v/>
      </c>
      <c r="AC59" s="148"/>
      <c r="AD59" s="149"/>
      <c r="AE59" s="31">
        <f>(SnapshotTable[[#This Row],[Annual Dividend Per Share]] / 4) * SnapshotTable[[#This Row],[Equity Shares]]</f>
        <v>0</v>
      </c>
      <c r="AF59" s="31">
        <f>SnapshotTable[[#This Row],[Quarterly Div $]] * 4</f>
        <v>0</v>
      </c>
      <c r="AG59" s="7">
        <f>IF(SnapshotTable[[#This Row],[Annual Dividend Per Share]]&gt;0, SnapshotTable[[#This Row],[Annual Dividend Per Share]]  / SnapshotTable[[#This Row],[Last Price]], 0)</f>
        <v>0</v>
      </c>
      <c r="AH59" s="149"/>
      <c r="AI59" s="5"/>
      <c r="AJ59" s="136">
        <v>34.6</v>
      </c>
      <c r="AK59" s="150" t="str">
        <f>IF(ISNUMBER( SnapshotTable[[#This Row],[EBF Target]]),(SnapshotTable[[#This Row],[EBF Target]] - SnapshotTable[[#This Row],[Last Price]]) / SnapshotTable[[#This Row],[Last Price]], "")</f>
        <v/>
      </c>
      <c r="AL59" s="150" t="str">
        <f>IF(AND(SnapshotTable[[#This Row],[Equity Basis Total]] &gt; 0,ISNUMBER( SnapshotTable[[#This Row],[Long Term Target]])), SnapshotTable[[#This Row],[From Basis $]] / SnapshotTable[[#This Row],[Equity Basis Total]], "")</f>
        <v/>
      </c>
      <c r="AM59" s="9">
        <f>IF( AND(SnapshotTable[[#This Row],[Equity Shares]] &gt;0,ISNUMBER( SnapshotTable[[#This Row],[Long Term Target]])),(SnapshotTable[[#This Row],[Equity Shares]] * SnapshotTable[[#This Row],[Long Term Target]]) - SnapshotTable[[#This Row],[Equity Basis Total]],0)</f>
        <v>0</v>
      </c>
      <c r="AN59" s="9">
        <f>IF( AND(SnapshotTable[[#This Row],[Equity Shares]] &gt;0,ISNUMBER( SnapshotTable[[#This Row],[Long Term Target]])),(SnapshotTable[[#This Row],[Equity Shares]]*SnapshotTable[[#This Row],[Long Term Target]]) - SnapshotTable[[#This Row],[Equity Value]],0)</f>
        <v>0</v>
      </c>
      <c r="AO59" s="150">
        <f>IF(AND(ISNUMBER( SnapshotTable[[#This Row],[Long Term Target]]), ISNUMBER(SnapshotTable[[#This Row],[Last Price]])),(SnapshotTable[[#This Row],[Long Term Target]] - SnapshotTable[[#This Row],[Last Price]]) / SnapshotTable[[#This Row],[Last Price]], "")</f>
        <v>61.909090909090914</v>
      </c>
      <c r="AP59" s="5">
        <v>37</v>
      </c>
      <c r="AQ59" s="38" t="s">
        <v>16</v>
      </c>
      <c r="AR59" s="5">
        <v>37</v>
      </c>
      <c r="AS59" s="38" t="s">
        <v>22</v>
      </c>
      <c r="AT59" s="144" t="s">
        <v>442</v>
      </c>
      <c r="AU59" s="185" t="str">
        <f>IF(OR(SnapshotTable[[#This Row],[LP No Fill]]="Y",SnapshotTable[[#This Row],[SP Is Filled]],SnapshotTable[[#This Row],[LC Not Filled]]="Y",SnapshotTable[[#This Row],[SC Is Filled]]),"Y","")</f>
        <v/>
      </c>
      <c r="AV59" s="205"/>
      <c r="AW59" s="211"/>
      <c r="AX59" s="206"/>
      <c r="AY59" s="205" t="str">
        <f>IF(SnapshotTable[[#This Row],[Implied Move]]&gt;0, SnapshotTable[[#This Row],[Last Price]]-SnapshotTable[[#This Row],[Implied Move]],"")</f>
        <v/>
      </c>
      <c r="AZ59" s="205" t="str">
        <f>IF(SnapshotTable[[#This Row],[Implied Move]]&gt;0, SnapshotTable[[#This Row],[Last Price]] + SnapshotTable[[#This Row],[Implied Move]],"")</f>
        <v/>
      </c>
      <c r="BA59" s="302">
        <v>43.41</v>
      </c>
      <c r="BB59" s="318" t="s">
        <v>776</v>
      </c>
      <c r="BC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59" s="321"/>
      <c r="BE59" s="172"/>
      <c r="BF59" s="173"/>
      <c r="BG59" s="174"/>
      <c r="BH59" s="174"/>
      <c r="BI59" s="5"/>
      <c r="BJ59" s="151">
        <f>IF(SnapshotTable[[#This Row],[LP Qty]] &gt; 0, SnapshotTable[[#This Row],[LP Qty]] * SnapshotTable[[#This Row],[LP Book Price]] * 100,0)</f>
        <v>0</v>
      </c>
      <c r="BK59" s="134">
        <f>IF(SnapshotTable[[#This Row],[LP Premium]] &gt; 0, SnapshotTable[[#This Row],[LP Qty]] * SnapshotTable[[#This Row],[LP Strike Price]] * 100,0)</f>
        <v>0</v>
      </c>
      <c r="BL59" s="152"/>
      <c r="BM59" s="355" t="str">
        <f>IF(SnapshotTable[[#This Row],[LP Premium]] &gt; 0,SnapshotTable[[#This Row],[LP Exp Date]]-MAX(SnapshotTable[[#This Row],[LP Book Date]], SnapshotTable[[#This Row],[LP Fill Date]]),"")</f>
        <v/>
      </c>
      <c r="BN59" s="355" t="str">
        <f>IF(ISNUMBER( SnapshotTable[[#This Row],[LP Term]]), SnapshotTable[[#This Row],[LP Exp Date]] - MockToday,"")</f>
        <v/>
      </c>
      <c r="BO59" s="161" t="str">
        <f>IF(AND(SnapshotTable[[#This Row],[LP Exp Date]]&gt;0, SnapshotTable[[#This Row],[LP Strike Price]]&gt;0,SnapshotTable[[#This Row],[LP Qty]]&gt;0,SnapshotTable[[#This Row],[LP Book Date]]&gt;0,SnapshotTable[[#This Row],[LP Book Price]]&gt;0,SnapshotTable[[#This Row],[LP Fill Date]]=0),"Y","")</f>
        <v/>
      </c>
      <c r="BP59" s="31" t="str">
        <f>IF(AND(SnapshotTable[[#This Row],[LP No Fill]]&lt;&gt;"Y",SnapshotTable[[#This Row],[LP Contract Value]]&gt;0, SnapshotTable[[#This Row],[LP Qty]]&gt;0), SnapshotTable[[#This Row],[LP Contract Value]]*SnapshotTable[[#This Row],[LP Qty]]*100,"")</f>
        <v/>
      </c>
      <c r="BQ59" s="13"/>
      <c r="BR59" s="5"/>
      <c r="BS59" s="36"/>
      <c r="BT59" s="145"/>
      <c r="BU59" s="13"/>
      <c r="BV59" s="5"/>
      <c r="BW59" s="382" t="b">
        <f>AND(ISNUMBER(SnapshotTable[[#This Row],[SP Exp Date]]), ISNUMBER(SnapshotTable[[#This Row],[SP Strike Price]]), ISNUMBER(SnapshotTable[[#This Row],[SP Qty]]), ISNUMBER(SnapshotTable[[#This Row],[SP Book Date]]), ISNUMBER(SnapshotTable[[#This Row],[SP Book Price]]))</f>
        <v>0</v>
      </c>
      <c r="BX59" s="382" t="b">
        <f>AND(SnapshotTable[[#This Row],[SP Is Booked]], NOT(ISBLANK(SnapshotTable[[#This Row],[SP Fill Date]])))</f>
        <v>0</v>
      </c>
      <c r="BY59" s="33">
        <f>IF(SnapshotTable[[#This Row],[SP Is Booked]], SnapshotTable[[#This Row],[SP Qty]] * SnapshotTable[[#This Row],[SP Book Price]] * 100, 0)</f>
        <v>0</v>
      </c>
      <c r="BZ59" s="339"/>
      <c r="CA59" s="338">
        <f>SnapshotTable[[#This Row],[LP Qty]]</f>
        <v>0</v>
      </c>
      <c r="CB59" s="4" t="str">
        <f>IF(SnapshotTable[[#This Row],[SP Is Booked]], SnapshotTable[[#This Row],[SP Strike Price]] - SnapshotTable[[#This Row],[SP Book Price]], "")</f>
        <v/>
      </c>
      <c r="CC59" s="19" t="str">
        <f>IF(SnapshotTable[[#This Row],[SP Is Booked]],SnapshotTable[[#This Row],[SP Exp Date]]-MAX(SnapshotTable[[#This Row],[SP Book Date]], SnapshotTable[[#This Row],[SP Fill Date]]),"")</f>
        <v/>
      </c>
      <c r="CD59" s="7" t="str">
        <f>IF(SnapshotTable[[#This Row],[SP Is Booked]], SnapshotTable[[#This Row],[SP Book Price]]/SnapshotTable[[#This Row],[SP Strike Price]], "")</f>
        <v/>
      </c>
      <c r="CE59" s="7" t="str">
        <f>IF(ISNUMBER(SnapshotTable[[#This Row],[SP ROO Term]]),SnapshotTable[[#This Row],[SP ROO Term]]*(365/SnapshotTable[[#This Row],[SP Term]]),"")</f>
        <v/>
      </c>
      <c r="CF59" s="221">
        <f>SnapshotTable[[#This Row],[LP Strike Price]] * SnapshotTable[[#This Row],[LP Qty]] * 100</f>
        <v>0</v>
      </c>
      <c r="CG59" s="31">
        <f>IF(ISNUMBER(SnapshotTable[[#This Row],[SP Premium]]), (SnapshotTable[[#This Row],[SP Qty]] * SnapshotTable[[#This Row],[SP Strike Price]]* 100) - SnapshotTable[[#This Row],[LP Protection]], 0)</f>
        <v>0</v>
      </c>
      <c r="CH59" s="7" t="str">
        <f>IF(ISNUMBER(SnapshotTable[[#This Row],[SP Break Even]]),-1 * (SnapshotTable[[#This Row],[SP Break Even]] - SnapshotTable[[#This Row],[Last Price]]) / SnapshotTable[[#This Row],[Last Price]], "")</f>
        <v/>
      </c>
      <c r="CI59" s="31">
        <f>IF(AND(ISNUMBER((SnapshotTable[[#This Row],[SP Potential Spend]])), SnapshotTable[[#This Row],[SP Strike Price]] &gt; SnapshotTable[[#This Row],[Last Price]], SnapshotTable[[#This Row],[SP Is Filled]]), SnapshotTable[[#This Row],[SP Potential Spend]] -  SnapshotTable[[#This Row],[LP Max Value]], 0)</f>
        <v>0</v>
      </c>
      <c r="CJ59" s="229"/>
      <c r="CK59" s="31">
        <f>IF(ISNUMBER(SnapshotTable[[#This Row],[SP Potential Spend]]),IF(ISNUMBER(SnapshotTable[[#This Row],[SP POW]]), SnapshotTable[[#This Row],[SP POW]] * SnapshotTable[[#This Row],[SP Potential Spend]], SnapshotTable[[#This Row],[SP Potential Spend]]), "")</f>
        <v>0</v>
      </c>
      <c r="CL59" s="162">
        <f>IF(NOT(SnapshotTable[[#This Row],[SP Is Filled]]),(SnapshotTable[[#This Row],[SP Qty]] * SnapshotTable[[#This Row],[SP Strike Price]] * 100) - SnapshotTable[[#This Row],[LP Max Value]],"")</f>
        <v>0</v>
      </c>
      <c r="CM59" s="31" t="str">
        <f>IF(SnapshotTable[[#This Row],[SP Actual Spend]]&lt;&gt;0, ((SnapshotTable[[#This Row],[SP Strike Price]]-SnapshotTable[[#This Row],[Last Price]]) *(SnapshotTable[[#This Row],[SP Qty]]*100) - SnapshotTable[[#This Row],[SP Premium]]) * - 1, "")</f>
        <v/>
      </c>
      <c r="CN59" s="152"/>
      <c r="CO59" s="339"/>
      <c r="CP59" s="4" t="str">
        <f>IF(SnapshotTable[[#This Row],[SP Is Filled]], btc_max_buyback_amount(SnapshotTable[[#This Row],[SP Fill Date]],SnapshotTable[[#This Row],[SP Exp Date]], SnapshotTable[[#This Row],[SP Book Price]]),"")</f>
        <v/>
      </c>
      <c r="CQ59" s="76"/>
      <c r="CR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59" s="153" t="str">
        <f>IF(SnapshotTable[[#This Row],[SP Is Filled]], btc_next_cutoff_date(SnapshotTable[[#This Row],[SP Fill Date]],SnapshotTable[[#This Row],[SP Exp Date]]),"")</f>
        <v/>
      </c>
      <c r="CT59" s="220" t="str" cm="1">
        <f t="array" ref="CT59">IF(SnapshotTable[[#This Row],[SP Is Filled]], btc_should_buy_back(SnapshotTable[[#This Row],[SP Fill Date]], SnapshotTable[[#This Row],[SP Exp Date]], SnapshotTable[[#This Row],[SP Book Price]], SnapshotTable[[#This Row],[SP Current Ask]], MockToday, SnapshotTable[[#This Row],[SP Buyback Override]]),"")</f>
        <v/>
      </c>
      <c r="CU59" s="154">
        <v>44883</v>
      </c>
      <c r="CV59" s="220"/>
      <c r="CW59" s="348" t="str">
        <f>IF(ISNUMBER( SnapshotTable[[#This Row],[SP Term]]), SnapshotTable[[#This Row],[SP Exp Date]] - MockToday,"")</f>
        <v/>
      </c>
      <c r="CX59" s="31" t="str">
        <f>IF(SnapshotTable[[#This Row],[SP Is Filled]],SnapshotTable[[#This Row],[SP Buyback Price to Use]] * 100 * SnapshotTable[[#This Row],[SP Qty]], "")</f>
        <v/>
      </c>
      <c r="CY59" s="4" t="str">
        <f>IF(ISNUMBER(SnapshotTable[[#This Row],[SP Strike Price]]), SnapshotTable[[#This Row],[SP Strike Price]] * (1 - SP_MaxLoss_StrikePct), "")</f>
        <v/>
      </c>
      <c r="CZ59" s="31" t="str">
        <f>IF(ISNUMBER(SnapshotTable[[#This Row],[SP Strike  Stop Per Share]]),SnapshotTable[[#This Row],[SP Premium]] - ((SnapshotTable[[#This Row],[SP Strike Price]]-SnapshotTable[[#This Row],[SP Strike  Stop Per Share]]) *(SnapshotTable[[#This Row],[SP Qty]] * 100)),"")</f>
        <v/>
      </c>
      <c r="DA59" s="4" t="str">
        <f>IF(AND(ISNUMBER(SnapshotTable[[#This Row],[SP Premium]]),SnapshotTable[[#This Row],[SP Premium]]&gt;0), SnapshotTable[[#This Row],[SP Book Price]] * (1 + SP_MaxLoss_OptionPct), "")</f>
        <v/>
      </c>
      <c r="DB59" s="31" t="str">
        <f>IF(ISNUMBER(SnapshotTable[[#This Row],[SP Option  Stop Contract]]),(SnapshotTable[[#This Row],[SP Option  Stop Contract]] *(SnapshotTable[[#This Row],[SP Qty]] * 100) - SnapshotTable[[#This Row],[SP Premium]]),"")</f>
        <v/>
      </c>
      <c r="DC59" s="4"/>
      <c r="DD59" s="4"/>
      <c r="DE59" s="4" t="str">
        <f>IF(AND(SnapshotTable[[#This Row],[SP Qty]]&gt;0, SnapshotTable[[#This Row],[SP Stop To Use]]&gt;0),SnapshotTable[[#This Row],[SP Premium]] - ( SnapshotTable[[#This Row],[SP Qty]] * SnapshotTable[[#This Row],[SP Stop To Use]] * 100), "")</f>
        <v/>
      </c>
      <c r="DF59" s="31" t="str">
        <f>IF(AND(SnapshotTable[[#This Row],[SP Qty]]&gt;0,SnapshotTable[[#This Row],[SP Current Ask]]&gt;0), SnapshotTable[[#This Row],[SP Qty]] * SnapshotTable[[#This Row],[SP Current Ask]] * -100, "")</f>
        <v/>
      </c>
      <c r="DG59" s="31" t="str">
        <f>IF(ISNUMBER((SnapshotTable[[#This Row],[SP Total Value]])), SnapshotTable[[#This Row],[SP Premium]] + SnapshotTable[[#This Row],[SP Total Value]], "")</f>
        <v/>
      </c>
      <c r="DH59" s="272" t="str">
        <f>IF(ISNUMBER((SnapshotTable[[#This Row],[SP Total Value]])), SnapshotTable[[#This Row],[SP Gain Loss]] / SnapshotTable[[#This Row],[SP Premium]], "")</f>
        <v/>
      </c>
      <c r="DI59" s="369"/>
      <c r="DJ59" s="136"/>
      <c r="DK59" s="146"/>
      <c r="DL59" s="13"/>
      <c r="DM59" s="13"/>
      <c r="DN59" s="5"/>
      <c r="DO59" s="31">
        <f>IF(SnapshotTable[[#This Row],[LC Symbol Count]]=1, SnapshotTable[[#This Row],[LC Qty]] * SnapshotTable[[#This Row],[LC Book Price]] * 100, 0)</f>
        <v>0</v>
      </c>
      <c r="DP59" s="161" t="str">
        <f>IF(AND(SnapshotTable[[#This Row],[LC Exp Date]]&gt;0, SnapshotTable[[#This Row],[LC Strike Price]]&gt;0,SnapshotTable[[#This Row],[LC Qty]]&gt;0,SnapshotTable[[#This Row],[LC Book Date]]&gt;0,SnapshotTable[[#This Row],[LC Book Price]]&gt;0,SnapshotTable[[#This Row],[LC Fill Date]]=0),"Y","")</f>
        <v/>
      </c>
      <c r="DQ59" s="356" t="str">
        <f>IF(SnapshotTable[[#This Row],[LC Premium]] &gt; 0,SnapshotTable[[#This Row],[LC Exp Date]]-MAX(SnapshotTable[[#This Row],[LC Book Date]], SnapshotTable[[#This Row],[LC Fill Date]]),"")</f>
        <v/>
      </c>
      <c r="DR59" s="356" t="str">
        <f>IF(ISNUMBER(SnapshotTable[[#This Row],[LC Term]]), SnapshotTable[[#This Row],[LC Exp Date]] - MockToday, "")</f>
        <v/>
      </c>
      <c r="DS59" s="219" t="str">
        <f>IF(SnapshotTable[[#This Row],[LC Premium]]&gt;0,SnapshotTable[[#This Row],[LC Strike Price]] + SnapshotTable[[#This Row],[LC Book Price]],"")</f>
        <v/>
      </c>
      <c r="DT59" s="5"/>
      <c r="DU59" s="9" t="str">
        <f>IF(AND(SnapshotTable[[#This Row],[LC Symbol Count]]&gt;0, SnapshotTable[[#This Row],[LC Contract Value]]&gt;0), SnapshotTable[[#This Row],[LC Contract Value]] * SnapshotTable[[#This Row],[LC Qty]] * 100, "")</f>
        <v/>
      </c>
      <c r="DV59" s="9" t="str">
        <f>IF(AND(ISNUMBER(SnapshotTable[[#This Row],[LC Total Value]]), SnapshotTable[[#This Row],[LC Not Filled]]&lt;&gt;"Y"), SnapshotTable[[#This Row],[LC Total Value]]-SnapshotTable[[#This Row],[LC Premium]],"")</f>
        <v/>
      </c>
      <c r="DW59" s="225" t="str">
        <f>IF(ISNUMBER(SnapshotTable[[#This Row],[LC Actual Gain Loss]]), SnapshotTable[[#This Row],[LC Actual Gain Loss]] / SnapshotTable[[#This Row],[LC Premium]],"")</f>
        <v/>
      </c>
      <c r="DX59" s="269" t="str">
        <f>IF(ISNUMBER(SnapshotTable[[#This Row],[LC Book Price]]),SnapshotTable[[#This Row],[LC Book Price]] * 1.5,"")</f>
        <v/>
      </c>
      <c r="DY59" s="250" t="str">
        <f>IF(SnapshotTable[[#This Row],[LC Premium]]&gt;0, SnapshotTable[[#This Row],[LC Next Target]] * SnapshotTable[[#This Row],[LC Qty]] * 100,"")</f>
        <v/>
      </c>
      <c r="DZ59" s="250" t="str">
        <f>IF(ISNUMBER(SnapshotTable[[#This Row],[LC Target Gross]]), SnapshotTable[[#This Row],[LC Target Gross]] - SnapshotTable[[#This Row],[LC Premium]], "")</f>
        <v/>
      </c>
      <c r="EA59" s="283" t="str">
        <f>IF(ISNUMBER(SnapshotTable[[#This Row],[LC Target Gain Loss]]), SnapshotTable[[#This Row],[LC Target Gain Loss]]/SnapshotTable[[#This Row],[LC Premium]], "")</f>
        <v/>
      </c>
      <c r="EB59" s="247"/>
      <c r="EC59" s="268" t="str">
        <f>IF(SnapshotTable[[#This Row],[LC Premium]]&gt;0, SnapshotTable[[#This Row],[LC Book Price]] * (1 - LC_StopLoss_Pct),"")</f>
        <v/>
      </c>
      <c r="ED59" s="269"/>
      <c r="EE59" s="268" t="str">
        <f>IF(ISNUMBER(SnapshotTable[[#This Row],[LC Contract Value]]),IF(ISNUMBER(SnapshotTable[[#This Row],[LC Stop Loss Override]]), SnapshotTable[[#This Row],[LC Stop Loss Override]],SnapshotTable[[#This Row],[LC Stop Loss Calc Target]]),"")</f>
        <v/>
      </c>
      <c r="EF59" s="31" t="str">
        <f>IF(ISNUMBER(SnapshotTable[[#This Row],[LC Stop  To Use]]), (SnapshotTable[[#This Row],[LC Stop  To Use]] * SnapshotTable[[#This Row],[LC Qty]] * 100),"")</f>
        <v/>
      </c>
      <c r="EG59" s="9" t="str">
        <f>IF(ISNUMBER(SnapshotTable[[#This Row],[LC Total Value]]),SnapshotTable[[#This Row],[LC Stop Loss Amount]] - SnapshotTable[[#This Row],[LC Premium]],"")</f>
        <v/>
      </c>
      <c r="EH59" s="9">
        <f>IF(ISNUMBER(SnapshotTable[[#This Row],[LC Premium]]), SnapshotTable[[#This Row],[LC Qty]] * 100 * SnapshotTable[[#This Row],[LC Strike Price]], "")</f>
        <v>0</v>
      </c>
      <c r="EI59" s="225" t="str">
        <f>IF(AND(ISNUMBER(SnapshotTable[[#This Row],[LC Total Value]]),SnapshotTable[[#This Row],[LC Total Value]]&gt;0),SnapshotTable[[#This Row],[LC Stop Gain Loss]]  / SnapshotTable[[#This Row],[LC Premium]],"")</f>
        <v/>
      </c>
      <c r="EJ59" s="35">
        <f>IF(ISNUMBER(SnapshotTable[[#This Row],[Equity Shares]]),TRUNC(SnapshotTable[[#This Row],[Equity Shares]] / 100),0) + SnapshotTable[[#This Row],[LC Qty]]</f>
        <v>0</v>
      </c>
      <c r="EK59" s="145"/>
      <c r="EL59" s="136"/>
      <c r="EM59" s="146"/>
      <c r="EN59" s="145"/>
      <c r="EO59" s="145"/>
      <c r="EP59" s="136"/>
      <c r="EQ59" s="382" t="b">
        <f>AND(ISNUMBER(SnapshotTable[[#This Row],[SC Exp Date]]), ISNUMBER(SnapshotTable[[#This Row],[SC Strike Price]]), ISNUMBER(SnapshotTable[[#This Row],[SC Qty]]), ISNUMBER(SnapshotTable[[#This Row],[SC Book Date]]), ISNUMBER(SnapshotTable[[#This Row],[SC Book Price]]))</f>
        <v>0</v>
      </c>
      <c r="ER59" s="382" t="b">
        <f>AND(SnapshotTable[[#This Row],[SC Is Booked]], NOT(ISBLANK(SnapshotTable[[#This Row],[SC Fill Date]])))</f>
        <v>0</v>
      </c>
      <c r="ES59" s="340"/>
      <c r="ET59" s="34" t="str">
        <f>IF(AND(ISNUMBER(SnapshotTable[[#This Row],[SC Exp Date]]), ISNUMBER(SnapshotTable[[#This Row],[SC Book Date]])), SnapshotTable[[#This Row],[SC Exp Date]] - MAX(SnapshotTable[[#This Row],[SC Book Date]], SnapshotTable[[#This Row],[SC Fill Date]]) + 1, "")</f>
        <v/>
      </c>
      <c r="EU59" s="34" t="str">
        <f>IF(ISNUMBER(SnapshotTable[[#This Row],[SC Term]]), SnapshotTable[[#This Row],[SC Exp Date]]- MockToday, "")</f>
        <v/>
      </c>
      <c r="EV59" s="31">
        <f>IF(SnapshotTable[[#This Row],[SC Is Booked]], SnapshotTable[[#This Row],[SC Qty]] * SnapshotTable[[#This Row],[SC Book Price]] * 100, 0)</f>
        <v>0</v>
      </c>
      <c r="EW59" s="4" t="str">
        <f>IF(AND(ISNUMBER(SnapshotTable[[#This Row],[Last Price]]), ISNUMBER( SnapshotTable[[#This Row],[SC Book Price]])), SnapshotTable[[#This Row],[Last Price]] - SnapshotTable[[#This Row],[SC Book Price]],"")</f>
        <v/>
      </c>
      <c r="EX59" s="219" t="str">
        <f>IF(SnapshotTable[[#This Row],[SC Is Booked]],IF(SnapshotTable[[#This Row],[SC Intrinsic Value]] &gt; 0, SnapshotTable[[#This Row],[SC Strike Price]], SnapshotTable[[#This Row],[Last Price]]), "")</f>
        <v/>
      </c>
      <c r="EY59" s="4">
        <f>IF(SnapshotTable[[#This Row],[SC Is Booked]], (MinimumPremiumRequired * SnapshotTable[[#This Row],[SC Basis]] * SnapshotTable[[#This Row],[SC Term]]), 0)</f>
        <v>0</v>
      </c>
      <c r="EZ59" s="268"/>
      <c r="FA59" s="204"/>
      <c r="FB59" s="340"/>
      <c r="FC59" s="4">
        <f>IF(SnapshotTable[[#This Row],[SC Is Filled]], btc_max_buyback_amount(SnapshotTable[[#This Row],[SC Fill Date]],SnapshotTable[[#This Row],[SC Exp Date]], SnapshotTable[[#This Row],[SC Book Price]]),0)</f>
        <v>0</v>
      </c>
      <c r="FD59" s="5"/>
      <c r="FE59" s="142" t="str">
        <f>IF(SnapshotTable[[#This Row],[SC Is Filled]], btc_next_cutoff_date(SnapshotTable[[#This Row],[SC Fill Date]],SnapshotTable[[#This Row],[SC Exp Date]]),"")</f>
        <v/>
      </c>
      <c r="FF59" s="4" t="str" cm="1">
        <f t="array" ref="FF59">IF(SnapshotTable[[#This Row],[SC Is Filled]], btc_should_buy_back(SnapshotTable[[#This Row],[SC Fill Date]], SnapshotTable[[#This Row],[SC Exp Date]], SnapshotTable[[#This Row],[SC Book Price]], SnapshotTable[[#This Row],[SC Current Ask]], MockToday, SnapshotTable[[#This Row],[SC Buyback Override]]),"")</f>
        <v/>
      </c>
      <c r="FG59" s="4">
        <f>IF(SnapshotTable[[#This Row],[SC Is Filled]], MAX(0,SnapshotTable[[#This Row],[Last Price]]  - SnapshotTable[[#This Row],[SC Strike Price]]), 0)</f>
        <v>0</v>
      </c>
      <c r="FH59" s="352">
        <f>IF(SnapshotTable[[#This Row],[SC Is Filled]], IF(ISNUMBER(SnapshotTable[[#This Row],[SC Current Ask]]), SnapshotTable[[#This Row],[SC Current Ask]], SnapshotTable[[#This Row],[SC Book Price]]) - SnapshotTable[[#This Row],[SC Intrinsic Value]], 0)</f>
        <v>0</v>
      </c>
      <c r="FI59" s="141"/>
      <c r="FJ59" s="32" t="str">
        <f>IF(SnapshotTable[[#This Row],[SC Is Filled]],100 * SnapshotTable[[#This Row],[SC Qty]] * IF(ISNUMBER(SnapshotTable[[#This Row],[SC Buyback Override]]), SnapshotTable[[#This Row],[SC Buyback Override]], SnapshotTable[[#This Row],[SC Current Ask]]), "")</f>
        <v/>
      </c>
      <c r="FK59" s="235" t="str">
        <f>IF(SnapshotTable[[#This Row],[SC Time Val]]&gt;0, SnapshotTable[[#This Row],[SC Time Val]] / SnapshotTable[[#This Row],[Last Price]],"")</f>
        <v/>
      </c>
      <c r="FL59" s="280" t="str">
        <f>IF(SnapshotTable[[#This Row],[SC Is Booked]], ((SnapshotTable[[#This Row],[Last Price]] -SnapshotTable[[#This Row],[SC Strike Price]]) / SnapshotTable[[#This Row],[Last Price]]) * -1, "")</f>
        <v/>
      </c>
      <c r="FM59" s="155" t="str">
        <f>IF(SnapshotTable[[#This Row],[SC Is Booked]],  (SnapshotTable[[#This Row],[SC Qty]] * 100 * SnapshotTable[[#This Row],[SC Strike Price]]) - SnapshotTable[[#This Row],[SC Current Ask]], "")</f>
        <v/>
      </c>
      <c r="FN59"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59" s="155" t="str">
        <f>IF(AND(ISNUMBER(SnapshotTable[[#This Row],[SC Exercise Gross]]), ISNUMBER(SnapshotTable[[#This Row],[Equity Basis Per Share]] )), SnapshotTable[[#This Row],[SC Exercise Gross]] - SnapshotTable[[#This Row],[Equity Basis Total]] +  SnapshotTable[[#This Row],[SC Premium]], "")</f>
        <v/>
      </c>
      <c r="FP59" s="5" t="str">
        <f>IF(ISNUMBER(SnapshotTable[[#This Row],[SC Exercise Gross]]), (SnapshotTable[[#This Row],[SC Exercise Gross]]) / (SnapshotTable[[#This Row],[SC Qty]] * 100), "")</f>
        <v/>
      </c>
      <c r="FQ59" s="27" t="str">
        <f>IF(SnapshotTable[[#This Row],[SC Is Booked]],SnapshotTable[[#This Row],[SC Time Val]] /SnapshotTable[[#This Row],[SC Basis]], "")</f>
        <v/>
      </c>
      <c r="FR59" s="27" t="str" cm="1">
        <f t="array" ref="FR59">IF(AND(ISNUMBER(SnapshotTable[[#This Row],[SC Term]]),ISNUMBER(SnapshotTable[[#This Row],[SC Simple ROO]])), EllmanAnnualize(SnapshotTable[[#This Row],[SC DTE]], SnapshotTable[[#This Row],[SC Simple ROO]] ),"")</f>
        <v/>
      </c>
      <c r="FS59" s="4">
        <f>IF(SnapshotTable[[#This Row],[SC Strike Price]] &gt; SnapshotTable[[#This Row],[Last Price]], SnapshotTable[[#This Row],[SC Strike Price]] - SnapshotTable[[#This Row],[Last Price]],0)</f>
        <v>0</v>
      </c>
      <c r="FT59" s="27" t="str">
        <f>IF(AND(ISNUMBER(SnapshotTable[[#This Row],[SC Upside Potential]]), SnapshotTable[[#This Row],[SC Upside Potential]] &gt; 0),(SnapshotTable[[#This Row],[SC Upside Potential]]/ SnapshotTable[[#This Row],[ACB]]),"")</f>
        <v/>
      </c>
      <c r="FU59" s="304" t="str">
        <f>IF(SnapshotTable[[#This Row],[SC Intrinsic Value]] &gt; 0,SnapshotTable[[#This Row],[SC Intrinsic Value]],"")</f>
        <v/>
      </c>
      <c r="FV59" s="27" t="str">
        <f>IF(AND( ISNUMBER( SnapshotTable[[#This Row],[ACB]]),ISNUMBER(SnapshotTable[[#This Row],[SC Downside Protect]])),SnapshotTable[[#This Row],[SC Downside Protect]] / SnapshotTable[[#This Row],[ACB]],"")</f>
        <v/>
      </c>
      <c r="FW59" s="221" t="str">
        <f>IF(AND(ISNUMBER(SnapshotTable[[#This Row],[SC Simple ROO]]),SnapshotTable[[#This Row],[SC Simple ROO]] &gt; 0), SnapshotTable[[#This Row],[SC Premium]] + (SnapshotTable[[#This Row],[SC Qty]] * SnapshotTable[[#This Row],[SC Upside Potential]]), "")</f>
        <v/>
      </c>
      <c r="FX59" s="280" t="str" cm="1">
        <f t="array" ref="FX59">IF(ISNUMBER(SnapshotTable[[#This Row],[SC Max Dollars]]), annualize(SnapshotTable[[#This Row],[SC Term]],(SnapshotTable[[#This Row],[SC Max Dollars]]/SnapshotTable[[#This Row],[SC Basis]])),"")</f>
        <v/>
      </c>
      <c r="FY59" s="221" t="str">
        <f>IF(AND(SnapshotTable[[#This Row],[SC Qty]]&gt;0,SnapshotTable[[#This Row],[SC Current Ask]]&gt;0), SnapshotTable[[#This Row],[SC Qty]] * SnapshotTable[[#This Row],[SC Current Ask]] * -100, "")</f>
        <v/>
      </c>
      <c r="FZ59" s="31" t="str">
        <f>IF(ISNUMBER((SnapshotTable[[#This Row],[SC Current Value]])), SnapshotTable[[#This Row],[SC Premium]] + SnapshotTable[[#This Row],[SC Current Value]], "")</f>
        <v/>
      </c>
      <c r="GA59" s="272" t="str">
        <f>IFERROR( IF(ISNUMBER((SnapshotTable[[#This Row],[SC Current Value]])), SnapshotTable[[#This Row],[SC Gain Loss]] / SnapshotTable[[#This Row],[SC Premium]], ""), "")</f>
        <v/>
      </c>
      <c r="GB59" s="175">
        <f>SnapshotTable[[#This Row],[Equity Shares]] * SaleSharesToConsiderPercentage</f>
        <v>0</v>
      </c>
      <c r="GC59" s="176">
        <f>SnapshotTable[[#This Row],[Long Term Target]] * SellingPriceToConsiderBasedOnTargetPercentage</f>
        <v>32.869999999999997</v>
      </c>
      <c r="GD59" s="176">
        <f>SnapshotTable[[#This Row],[Last Price]] * (1+ SellingPriceToConsiderBasedOnTargetPercentage)</f>
        <v>1.0725</v>
      </c>
      <c r="GE59" s="177"/>
      <c r="GF59" s="176"/>
      <c r="GG59" s="31">
        <f>SnapshotTable[[#This Row],[Booked Sale Shares]] * SnapshotTable[[#This Row],[Booked Sale Price]]</f>
        <v>0</v>
      </c>
      <c r="GH59" s="31" t="str">
        <f>IF(SnapshotTable[[#This Row],[Equity Basis Total]] &gt; 0, SnapshotTable[[#This Row],[Equity Basis Per Share]] * SnapshotTable[[#This Row],[Booked Sale Shares]], "")</f>
        <v/>
      </c>
      <c r="GI59" s="31">
        <f>IF(SnapshotTable[[#This Row],[Sale Proceeds]]&gt;0, SnapshotTable[[#This Row],[Sale Proceeds]] - SnapshotTable[[#This Row],[Sale Basis]], 0)</f>
        <v>0</v>
      </c>
      <c r="GJ59" s="156" t="str">
        <f>IF(SnapshotTable[[#This Row],[Sale G/L]]&gt;0, SnapshotTable[[#This Row],[Sale G/L]] / SnapshotTable[[#This Row],[Sale Basis]], IF(ISNUMBER(SnapshotTable[[#This Row],[SC Exercise P&amp;L (TAX)]]), SnapshotTable[[#This Row],[SC Exercise P&amp;L (TAX)]] / SnapshotTable[[#This Row],[SC Basis]], ""))</f>
        <v/>
      </c>
      <c r="GK59" s="156"/>
      <c r="GL59" s="157" t="str">
        <f>IF(AND(SnapshotTable[[#This Row],[LP Exp Date]]&gt;0,SnapshotTable[[#This Row],[LP Strike Price]]&gt;0), [1]!ToOptionSymbol(SnapshotTable[[#This Row],[Symbol]], SnapshotTable[[#This Row],[LP Strike Price]],SnapshotTable[[#This Row],[LP Exp Date]],1), "")</f>
        <v/>
      </c>
      <c r="GM59" s="30" t="str">
        <f>IF(LEN(SnapshotTable[[#This Row],[LP Symbol]])&gt;0, 1, "")</f>
        <v/>
      </c>
      <c r="GN59" s="43" t="str">
        <f>IF(AND(SnapshotTable[[#This Row],[SP Exp Date]]&gt;0,SnapshotTable[[#This Row],[SP Strike Price]]&gt;0), [1]!ToOptionSymbol(SnapshotTable[[#This Row],[Symbol]], SnapshotTable[[#This Row],[SP Strike Price]],SnapshotTable[[#This Row],[SP Exp Date]],1), "")</f>
        <v/>
      </c>
      <c r="GO59" s="30" t="str">
        <f>IF(LEN(SnapshotTable[[#This Row],[SP Symbol]])&gt;0, 1, "")</f>
        <v/>
      </c>
      <c r="GP59" s="157" t="str">
        <f>IF(AND(SnapshotTable[[#This Row],[LC Exp Date]]&gt;0,SnapshotTable[[#This Row],[LC Strike Price]]&gt;0), [1]!ToOptionSymbol(SnapshotTable[[#This Row],[Symbol]], SnapshotTable[[#This Row],[LC Strike Price]],SnapshotTable[[#This Row],[LC Exp Date]],0), "")</f>
        <v/>
      </c>
      <c r="GQ59" s="158" t="str">
        <f>IF(LEN(SnapshotTable[[#This Row],[LC Symbol]])&gt;0, 1, "")</f>
        <v/>
      </c>
      <c r="GR59" s="157" t="str">
        <f>IF(AND(SnapshotTable[[#This Row],[SC Exp Date]]&gt;0,SnapshotTable[[#This Row],[SC Strike Price]]&gt;0), [1]!ToOptionSymbol(SnapshotTable[[#This Row],[Symbol]], SnapshotTable[[#This Row],[SC Strike Price]],SnapshotTable[[#This Row],[SC Exp Date]],0), "")</f>
        <v/>
      </c>
      <c r="GS59" s="158" t="str">
        <f>IF(LEN(SnapshotTable[[#This Row],[SC Symbol]])&gt;0, 1, "")</f>
        <v/>
      </c>
      <c r="GT59" s="159" t="str">
        <f>IF(COUNT(SnapshotTable[[#This Row],[LP Symbol Count]],SnapshotTable[[#This Row],[SP Symbol Count]],SnapshotTable[[#This Row],[LC Symbol Count]],SnapshotTable[[#This Row],[SC Symbol Count]])&gt;0, "Y", "")</f>
        <v/>
      </c>
      <c r="GU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59" s="216">
        <f>MAX(SnapshotTable[[#This Row],[Equity Basis Total]],SnapshotTable[[#This Row],[Equity Value]]) + (SnapshotTable[[#This Row],[SP Potential Spend]]- SnapshotTable[[#This Row],[SP Premium]] + SnapshotTable[[#This Row],[LP Premium]])+ (SnapshotTable[[#This Row],[LC Premium]] - SnapshotTable[[#This Row],[SC Premium]])</f>
        <v>0</v>
      </c>
      <c r="GW59" s="137" t="str">
        <f>IF(AND(SnapshotTable[[#This Row],[Exposure]] &lt;&gt; 0),SnapshotTable[[#This Row],[Exposure]] / SnapshotTable[[#Totals],[Exposure]], "")</f>
        <v/>
      </c>
      <c r="GY59" s="351"/>
      <c r="HE59" s="253"/>
      <c r="HF59" s="253"/>
      <c r="HG59" s="351"/>
      <c r="HH59" s="351"/>
      <c r="HI59" s="351"/>
      <c r="HJ59" s="351"/>
    </row>
    <row r="60" spans="2:224" ht="12.75" hidden="1" customHeight="1" x14ac:dyDescent="0.25">
      <c r="B60" s="12" t="s">
        <v>465</v>
      </c>
      <c r="C60" s="385">
        <v>60.76</v>
      </c>
      <c r="D60" s="200"/>
      <c r="E60" s="39">
        <f>SnapshotTable[[#This Row],[Last Price]]*(1 -CrashDiscount)</f>
        <v>51.645999999999994</v>
      </c>
      <c r="F60" s="26" t="s">
        <v>735</v>
      </c>
      <c r="G60" s="26" t="s">
        <v>32</v>
      </c>
      <c r="H60" s="147"/>
      <c r="I60" s="186">
        <v>44771.291666666664</v>
      </c>
      <c r="J60" s="187">
        <v>44771.291666666664</v>
      </c>
      <c r="K60" s="188"/>
      <c r="L60" s="297" t="s">
        <v>645</v>
      </c>
      <c r="M60" s="138">
        <v>1</v>
      </c>
      <c r="N60" s="138"/>
      <c r="O60" s="138"/>
      <c r="P60" s="22"/>
      <c r="Q60" s="25"/>
      <c r="R60" s="4" t="str">
        <f>IF(SnapshotTable[[#This Row],[Equity Basis Total]] &gt; 0, SnapshotTable[[#This Row],[Equity Basis Total]] / SnapshotTable[[#This Row],[Equity Shares]], "")</f>
        <v/>
      </c>
      <c r="S60" s="254">
        <f>SnapshotTable[[#This Row],[Last Price]] * SnapshotTable[[#This Row],[Equity Shares]]</f>
        <v>0</v>
      </c>
      <c r="T60" s="254">
        <f>SnapshotTable[[#This Row],[Equity Value]] - SnapshotTable[[#This Row],[Equity Basis Total]]</f>
        <v>0</v>
      </c>
      <c r="U60" s="255" t="str">
        <f>IF(SnapshotTable[[#This Row],[Equity Basis Total]] &gt; 0, SnapshotTable[[#This Row],[Equity G/L]] / SnapshotTable[[#This Row],[Equity Basis Total]], "")</f>
        <v/>
      </c>
      <c r="V60" s="253"/>
      <c r="W60" s="253"/>
      <c r="X60" s="4" t="str">
        <f>IF(AND(ISNUMBER(SnapshotTable[[#This Row],[Equity Basis Per Share]]),ISNUMBER(SnapshotTable[[#This Row],[Equity Target]])),SnapshotTable[[#This Row],[Equity Target]]-SnapshotTable[[#This Row],[Equity Basis Per Share]],"")</f>
        <v/>
      </c>
      <c r="Y60" s="4" t="str">
        <f>IF(AND(ISNUMBER(SnapshotTable[[#This Row],[Equity Basis Per Share]]),ISNUMBER(SnapshotTable[[#This Row],[Equity Stop Loss]])),SnapshotTable[[#This Row],[Equity Stop Loss]]-SnapshotTable[[#This Row],[Equity Basis Per Share]],"")</f>
        <v/>
      </c>
      <c r="Z60" s="260" t="str">
        <f>IFERROR( TEXT(SnapshotTable[[#This Row],[Equity Max Gain Per Share]] /ABS( SnapshotTable[[#This Row],[Equity Max Loss Per Share]]),"0.0 " ) &amp; " : 1", "")</f>
        <v/>
      </c>
      <c r="AA60" s="31" t="str">
        <f>IF(ISNUMBER(SnapshotTable[[#This Row],[Equity Max Gain Per Share]]),SnapshotTable[[#This Row],[Equity Max Gain Per Share]] * SnapshotTable[[#This Row],[Equity Shares]],"")</f>
        <v/>
      </c>
      <c r="AB60" s="31" t="str">
        <f>IF(ISNUMBER(SnapshotTable[[#This Row],[Equity Max Loss Per Share]]),SnapshotTable[[#This Row],[Equity Max Loss Per Share]] * SnapshotTable[[#This Row],[Equity Shares]],"")</f>
        <v/>
      </c>
      <c r="AC60" s="148"/>
      <c r="AD60" s="149"/>
      <c r="AE60" s="31">
        <f>(SnapshotTable[[#This Row],[Annual Dividend Per Share]] / 4) * SnapshotTable[[#This Row],[Equity Shares]]</f>
        <v>0</v>
      </c>
      <c r="AF60" s="31">
        <f>SnapshotTable[[#This Row],[Quarterly Div $]] * 4</f>
        <v>0</v>
      </c>
      <c r="AG60" s="7">
        <f>IF(SnapshotTable[[#This Row],[Annual Dividend Per Share]]&gt;0, SnapshotTable[[#This Row],[Annual Dividend Per Share]]  / SnapshotTable[[#This Row],[Last Price]], 0)</f>
        <v>0</v>
      </c>
      <c r="AH60" s="149"/>
      <c r="AI60" s="5">
        <v>74</v>
      </c>
      <c r="AJ60" s="136">
        <v>72.680000000000007</v>
      </c>
      <c r="AK60" s="150">
        <f>IF(ISNUMBER( SnapshotTable[[#This Row],[EBF Target]]),(SnapshotTable[[#This Row],[EBF Target]] - SnapshotTable[[#This Row],[Last Price]]) / SnapshotTable[[#This Row],[Last Price]], "")</f>
        <v>0.21790651744568798</v>
      </c>
      <c r="AL60" s="150" t="str">
        <f>IF(AND(SnapshotTable[[#This Row],[Equity Basis Total]] &gt; 0,ISNUMBER( SnapshotTable[[#This Row],[Long Term Target]])), SnapshotTable[[#This Row],[From Basis $]] / SnapshotTable[[#This Row],[Equity Basis Total]], "")</f>
        <v/>
      </c>
      <c r="AM60" s="9">
        <f>IF( AND(SnapshotTable[[#This Row],[Equity Shares]] &gt;0,ISNUMBER( SnapshotTable[[#This Row],[Long Term Target]])),(SnapshotTable[[#This Row],[Equity Shares]] * SnapshotTable[[#This Row],[Long Term Target]]) - SnapshotTable[[#This Row],[Equity Basis Total]],0)</f>
        <v>0</v>
      </c>
      <c r="AN60" s="9">
        <f>IF( AND(SnapshotTable[[#This Row],[Equity Shares]] &gt;0,ISNUMBER( SnapshotTable[[#This Row],[Long Term Target]])),(SnapshotTable[[#This Row],[Equity Shares]]*SnapshotTable[[#This Row],[Long Term Target]]) - SnapshotTable[[#This Row],[Equity Value]],0)</f>
        <v>0</v>
      </c>
      <c r="AO60" s="150">
        <f>IF(AND(ISNUMBER( SnapshotTable[[#This Row],[Long Term Target]]), ISNUMBER(SnapshotTable[[#This Row],[Last Price]])),(SnapshotTable[[#This Row],[Long Term Target]] - SnapshotTable[[#This Row],[Last Price]]) / SnapshotTable[[#This Row],[Last Price]], "")</f>
        <v>0.1961816984858461</v>
      </c>
      <c r="AP60" s="5"/>
      <c r="AQ60" s="38"/>
      <c r="AR60" s="5"/>
      <c r="AS60" s="38"/>
      <c r="AT60" s="144"/>
      <c r="AU60" s="185" t="str">
        <f>IF(OR(SnapshotTable[[#This Row],[LP No Fill]]="Y",SnapshotTable[[#This Row],[SP Is Filled]],SnapshotTable[[#This Row],[LC Not Filled]]="Y",SnapshotTable[[#This Row],[SC Is Filled]]),"Y","")</f>
        <v/>
      </c>
      <c r="AV60" s="205"/>
      <c r="AW60" s="211"/>
      <c r="AX60" s="206"/>
      <c r="AY60" s="205" t="str">
        <f>IF(SnapshotTable[[#This Row],[Implied Move]]&gt;0, SnapshotTable[[#This Row],[Last Price]]-SnapshotTable[[#This Row],[Implied Move]],"")</f>
        <v/>
      </c>
      <c r="AZ60" s="205" t="str">
        <f>IF(SnapshotTable[[#This Row],[Implied Move]]&gt;0, SnapshotTable[[#This Row],[Last Price]] + SnapshotTable[[#This Row],[Implied Move]],"")</f>
        <v/>
      </c>
      <c r="BA60" s="302"/>
      <c r="BB60" s="318"/>
      <c r="BC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0" s="321"/>
      <c r="BE60" s="178"/>
      <c r="BF60" s="179"/>
      <c r="BG60" s="180"/>
      <c r="BH60" s="180"/>
      <c r="BI60" s="5"/>
      <c r="BJ60" s="151">
        <f>IF(SnapshotTable[[#This Row],[LP Qty]] &gt; 0, SnapshotTable[[#This Row],[LP Qty]] * SnapshotTable[[#This Row],[LP Book Price]] * 100,0)</f>
        <v>0</v>
      </c>
      <c r="BK60" s="134">
        <f>IF(SnapshotTable[[#This Row],[LP Premium]] &gt; 0, SnapshotTable[[#This Row],[LP Qty]] * SnapshotTable[[#This Row],[LP Strike Price]] * 100,0)</f>
        <v>0</v>
      </c>
      <c r="BL60" s="152"/>
      <c r="BM60" s="355" t="str">
        <f>IF(SnapshotTable[[#This Row],[LP Premium]] &gt; 0,SnapshotTable[[#This Row],[LP Exp Date]]-MAX(SnapshotTable[[#This Row],[LP Book Date]], SnapshotTable[[#This Row],[LP Fill Date]]),"")</f>
        <v/>
      </c>
      <c r="BN60" s="355" t="str">
        <f>IF(ISNUMBER( SnapshotTable[[#This Row],[LP Term]]), SnapshotTable[[#This Row],[LP Exp Date]] - MockToday,"")</f>
        <v/>
      </c>
      <c r="BO60" s="161" t="str">
        <f>IF(AND(SnapshotTable[[#This Row],[LP Exp Date]]&gt;0, SnapshotTable[[#This Row],[LP Strike Price]]&gt;0,SnapshotTable[[#This Row],[LP Qty]]&gt;0,SnapshotTable[[#This Row],[LP Book Date]]&gt;0,SnapshotTable[[#This Row],[LP Book Price]]&gt;0,SnapshotTable[[#This Row],[LP Fill Date]]=0),"Y","")</f>
        <v/>
      </c>
      <c r="BP60" s="31" t="str">
        <f>IF(AND(SnapshotTable[[#This Row],[LP No Fill]]&lt;&gt;"Y",SnapshotTable[[#This Row],[LP Contract Value]]&gt;0, SnapshotTable[[#This Row],[LP Qty]]&gt;0), SnapshotTable[[#This Row],[LP Contract Value]]*SnapshotTable[[#This Row],[LP Qty]]*100,"")</f>
        <v/>
      </c>
      <c r="BQ60" s="13"/>
      <c r="BR60" s="5"/>
      <c r="BS60" s="36"/>
      <c r="BT60" s="145"/>
      <c r="BU60" s="13"/>
      <c r="BV60" s="5"/>
      <c r="BW60" s="382" t="b">
        <f>AND(ISNUMBER(SnapshotTable[[#This Row],[SP Exp Date]]), ISNUMBER(SnapshotTable[[#This Row],[SP Strike Price]]), ISNUMBER(SnapshotTable[[#This Row],[SP Qty]]), ISNUMBER(SnapshotTable[[#This Row],[SP Book Date]]), ISNUMBER(SnapshotTable[[#This Row],[SP Book Price]]))</f>
        <v>0</v>
      </c>
      <c r="BX60" s="382" t="b">
        <f>AND(SnapshotTable[[#This Row],[SP Is Booked]], NOT(ISBLANK(SnapshotTable[[#This Row],[SP Fill Date]])))</f>
        <v>0</v>
      </c>
      <c r="BY60" s="33">
        <f>IF(SnapshotTable[[#This Row],[SP Is Booked]], SnapshotTable[[#This Row],[SP Qty]] * SnapshotTable[[#This Row],[SP Book Price]] * 100, 0)</f>
        <v>0</v>
      </c>
      <c r="BZ60" s="339"/>
      <c r="CA60" s="338">
        <f>SnapshotTable[[#This Row],[LP Qty]]</f>
        <v>0</v>
      </c>
      <c r="CB60" s="4" t="str">
        <f>IF(SnapshotTable[[#This Row],[SP Is Booked]], SnapshotTable[[#This Row],[SP Strike Price]] - SnapshotTable[[#This Row],[SP Book Price]], "")</f>
        <v/>
      </c>
      <c r="CC60" s="19" t="str">
        <f>IF(SnapshotTable[[#This Row],[SP Is Booked]],SnapshotTable[[#This Row],[SP Exp Date]]-MAX(SnapshotTable[[#This Row],[SP Book Date]], SnapshotTable[[#This Row],[SP Fill Date]]),"")</f>
        <v/>
      </c>
      <c r="CD60" s="7" t="str">
        <f>IF(SnapshotTable[[#This Row],[SP Is Booked]], SnapshotTable[[#This Row],[SP Book Price]]/SnapshotTable[[#This Row],[SP Strike Price]], "")</f>
        <v/>
      </c>
      <c r="CE60" s="7" t="str">
        <f>IF(ISNUMBER(SnapshotTable[[#This Row],[SP ROO Term]]),SnapshotTable[[#This Row],[SP ROO Term]]*(365/SnapshotTable[[#This Row],[SP Term]]),"")</f>
        <v/>
      </c>
      <c r="CF60" s="221">
        <f>SnapshotTable[[#This Row],[LP Strike Price]] * SnapshotTable[[#This Row],[LP Qty]] * 100</f>
        <v>0</v>
      </c>
      <c r="CG60" s="31">
        <f>IF(ISNUMBER(SnapshotTable[[#This Row],[SP Premium]]), (SnapshotTable[[#This Row],[SP Qty]] * SnapshotTable[[#This Row],[SP Strike Price]]* 100) - SnapshotTable[[#This Row],[LP Protection]], 0)</f>
        <v>0</v>
      </c>
      <c r="CH60" s="7" t="str">
        <f>IF(ISNUMBER(SnapshotTable[[#This Row],[SP Break Even]]),-1 * (SnapshotTable[[#This Row],[SP Break Even]] - SnapshotTable[[#This Row],[Last Price]]) / SnapshotTable[[#This Row],[Last Price]], "")</f>
        <v/>
      </c>
      <c r="CI60" s="31">
        <f>IF(AND(ISNUMBER((SnapshotTable[[#This Row],[SP Potential Spend]])), SnapshotTable[[#This Row],[SP Strike Price]] &gt; SnapshotTable[[#This Row],[Last Price]], SnapshotTable[[#This Row],[SP Is Filled]]), SnapshotTable[[#This Row],[SP Potential Spend]] -  SnapshotTable[[#This Row],[LP Max Value]], 0)</f>
        <v>0</v>
      </c>
      <c r="CJ60" s="229"/>
      <c r="CK60" s="31">
        <f>IF(ISNUMBER(SnapshotTable[[#This Row],[SP Potential Spend]]),IF(ISNUMBER(SnapshotTable[[#This Row],[SP POW]]), SnapshotTable[[#This Row],[SP POW]] * SnapshotTable[[#This Row],[SP Potential Spend]], SnapshotTable[[#This Row],[SP Potential Spend]]), "")</f>
        <v>0</v>
      </c>
      <c r="CL60" s="162">
        <f>IF(NOT(SnapshotTable[[#This Row],[SP Is Filled]]),(SnapshotTable[[#This Row],[SP Qty]] * SnapshotTable[[#This Row],[SP Strike Price]] * 100) - SnapshotTable[[#This Row],[LP Max Value]],"")</f>
        <v>0</v>
      </c>
      <c r="CM60" s="31" t="str">
        <f>IF(SnapshotTable[[#This Row],[SP Actual Spend]]&lt;&gt;0, ((SnapshotTable[[#This Row],[SP Strike Price]]-SnapshotTable[[#This Row],[Last Price]]) *(SnapshotTable[[#This Row],[SP Qty]]*100) - SnapshotTable[[#This Row],[SP Premium]]) * - 1, "")</f>
        <v/>
      </c>
      <c r="CN60" s="152"/>
      <c r="CO60" s="339"/>
      <c r="CP60" s="4" t="str">
        <f>IF(SnapshotTable[[#This Row],[SP Is Filled]], btc_max_buyback_amount(SnapshotTable[[#This Row],[SP Fill Date]],SnapshotTable[[#This Row],[SP Exp Date]], SnapshotTable[[#This Row],[SP Book Price]]),"")</f>
        <v/>
      </c>
      <c r="CQ60" s="76"/>
      <c r="CR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0" s="153" t="str">
        <f>IF(SnapshotTable[[#This Row],[SP Is Filled]], btc_next_cutoff_date(SnapshotTable[[#This Row],[SP Fill Date]],SnapshotTable[[#This Row],[SP Exp Date]]),"")</f>
        <v/>
      </c>
      <c r="CT60" s="220" t="str" cm="1">
        <f t="array" ref="CT60">IF(SnapshotTable[[#This Row],[SP Is Filled]], btc_should_buy_back(SnapshotTable[[#This Row],[SP Fill Date]], SnapshotTable[[#This Row],[SP Exp Date]], SnapshotTable[[#This Row],[SP Book Price]], SnapshotTable[[#This Row],[SP Current Ask]], MockToday, SnapshotTable[[#This Row],[SP Buyback Override]]),"")</f>
        <v/>
      </c>
      <c r="CU60" s="154"/>
      <c r="CV60" s="220"/>
      <c r="CW60" s="348" t="str">
        <f>IF(ISNUMBER( SnapshotTable[[#This Row],[SP Term]]), SnapshotTable[[#This Row],[SP Exp Date]] - MockToday,"")</f>
        <v/>
      </c>
      <c r="CX60" s="31" t="str">
        <f>IF(SnapshotTable[[#This Row],[SP Is Filled]],SnapshotTable[[#This Row],[SP Buyback Price to Use]] * 100 * SnapshotTable[[#This Row],[SP Qty]], "")</f>
        <v/>
      </c>
      <c r="CY60" s="4" t="str">
        <f>IF(ISNUMBER(SnapshotTable[[#This Row],[SP Strike Price]]), SnapshotTable[[#This Row],[SP Strike Price]] * (1 - SP_MaxLoss_StrikePct), "")</f>
        <v/>
      </c>
      <c r="CZ60" s="31" t="str">
        <f>IF(ISNUMBER(SnapshotTable[[#This Row],[SP Strike  Stop Per Share]]),SnapshotTable[[#This Row],[SP Premium]] - ((SnapshotTable[[#This Row],[SP Strike Price]]-SnapshotTable[[#This Row],[SP Strike  Stop Per Share]]) *(SnapshotTable[[#This Row],[SP Qty]] * 100)),"")</f>
        <v/>
      </c>
      <c r="DA60" s="4" t="str">
        <f>IF(AND(ISNUMBER(SnapshotTable[[#This Row],[SP Premium]]),SnapshotTable[[#This Row],[SP Premium]]&gt;0), SnapshotTable[[#This Row],[SP Book Price]] * (1 + SP_MaxLoss_OptionPct), "")</f>
        <v/>
      </c>
      <c r="DB60" s="31" t="str">
        <f>IF(ISNUMBER(SnapshotTable[[#This Row],[SP Option  Stop Contract]]),(SnapshotTable[[#This Row],[SP Option  Stop Contract]] *(SnapshotTable[[#This Row],[SP Qty]] * 100) - SnapshotTable[[#This Row],[SP Premium]]),"")</f>
        <v/>
      </c>
      <c r="DC60" s="4"/>
      <c r="DD60" s="4"/>
      <c r="DE60" s="4" t="str">
        <f>IF(AND(SnapshotTable[[#This Row],[SP Qty]]&gt;0, SnapshotTable[[#This Row],[SP Stop To Use]]&gt;0),SnapshotTable[[#This Row],[SP Premium]] - ( SnapshotTable[[#This Row],[SP Qty]] * SnapshotTable[[#This Row],[SP Stop To Use]] * 100), "")</f>
        <v/>
      </c>
      <c r="DF60" s="31" t="str">
        <f>IF(AND(SnapshotTable[[#This Row],[SP Qty]]&gt;0,SnapshotTable[[#This Row],[SP Current Ask]]&gt;0), SnapshotTable[[#This Row],[SP Qty]] * SnapshotTable[[#This Row],[SP Current Ask]] * -100, "")</f>
        <v/>
      </c>
      <c r="DG60" s="31" t="str">
        <f>IF(ISNUMBER((SnapshotTable[[#This Row],[SP Total Value]])), SnapshotTable[[#This Row],[SP Premium]] + SnapshotTable[[#This Row],[SP Total Value]], "")</f>
        <v/>
      </c>
      <c r="DH60" s="272" t="str">
        <f>IF(ISNUMBER((SnapshotTable[[#This Row],[SP Total Value]])), SnapshotTable[[#This Row],[SP Gain Loss]] / SnapshotTable[[#This Row],[SP Premium]], "")</f>
        <v/>
      </c>
      <c r="DI60" s="369"/>
      <c r="DJ60" s="136"/>
      <c r="DK60" s="146"/>
      <c r="DL60" s="13"/>
      <c r="DM60" s="13"/>
      <c r="DO60" s="31">
        <f>IF(SnapshotTable[[#This Row],[LC Symbol Count]]=1, SnapshotTable[[#This Row],[LC Qty]] * SnapshotTable[[#This Row],[LC Book Price]] * 100, 0)</f>
        <v>0</v>
      </c>
      <c r="DP60" s="161" t="str">
        <f>IF(AND(SnapshotTable[[#This Row],[LC Exp Date]]&gt;0, SnapshotTable[[#This Row],[LC Strike Price]]&gt;0,SnapshotTable[[#This Row],[LC Qty]]&gt;0,SnapshotTable[[#This Row],[LC Book Date]]&gt;0,SnapshotTable[[#This Row],[LC Book Price]]&gt;0,SnapshotTable[[#This Row],[LC Fill Date]]=0),"Y","")</f>
        <v/>
      </c>
      <c r="DQ60" s="356" t="str">
        <f>IF(SnapshotTable[[#This Row],[LC Premium]] &gt; 0,SnapshotTable[[#This Row],[LC Exp Date]]-MAX(SnapshotTable[[#This Row],[LC Book Date]], SnapshotTable[[#This Row],[LC Fill Date]]),"")</f>
        <v/>
      </c>
      <c r="DR60" s="356" t="str">
        <f>IF(ISNUMBER(SnapshotTable[[#This Row],[LC Term]]), SnapshotTable[[#This Row],[LC Exp Date]] - MockToday, "")</f>
        <v/>
      </c>
      <c r="DS60" s="219" t="str">
        <f>IF(SnapshotTable[[#This Row],[LC Premium]]&gt;0,SnapshotTable[[#This Row],[LC Strike Price]] + SnapshotTable[[#This Row],[LC Book Price]],"")</f>
        <v/>
      </c>
      <c r="DU60" s="9" t="str">
        <f>IF(AND(SnapshotTable[[#This Row],[LC Symbol Count]]&gt;0, SnapshotTable[[#This Row],[LC Contract Value]]&gt;0), SnapshotTable[[#This Row],[LC Contract Value]] * SnapshotTable[[#This Row],[LC Qty]] * 100, "")</f>
        <v/>
      </c>
      <c r="DV60" s="9" t="str">
        <f>IF(AND(ISNUMBER(SnapshotTable[[#This Row],[LC Total Value]]), SnapshotTable[[#This Row],[LC Not Filled]]&lt;&gt;"Y"), SnapshotTable[[#This Row],[LC Total Value]]-SnapshotTable[[#This Row],[LC Premium]],"")</f>
        <v/>
      </c>
      <c r="DW60" s="225" t="str">
        <f>IF(ISNUMBER(SnapshotTable[[#This Row],[LC Actual Gain Loss]]), SnapshotTable[[#This Row],[LC Actual Gain Loss]] / SnapshotTable[[#This Row],[LC Premium]],"")</f>
        <v/>
      </c>
      <c r="DX60" s="269" t="str">
        <f>IF(ISNUMBER(SnapshotTable[[#This Row],[LC Book Price]]),SnapshotTable[[#This Row],[LC Book Price]] * 1.5,"")</f>
        <v/>
      </c>
      <c r="DY60" s="250" t="str">
        <f>IF(SnapshotTable[[#This Row],[LC Premium]]&gt;0, SnapshotTable[[#This Row],[LC Next Target]] * SnapshotTable[[#This Row],[LC Qty]] * 100,"")</f>
        <v/>
      </c>
      <c r="DZ60" s="250" t="str">
        <f>IF(ISNUMBER(SnapshotTable[[#This Row],[LC Target Gross]]), SnapshotTable[[#This Row],[LC Target Gross]] - SnapshotTable[[#This Row],[LC Premium]], "")</f>
        <v/>
      </c>
      <c r="EA60" s="283" t="str">
        <f>IF(ISNUMBER(SnapshotTable[[#This Row],[LC Target Gain Loss]]), SnapshotTable[[#This Row],[LC Target Gain Loss]]/SnapshotTable[[#This Row],[LC Premium]], "")</f>
        <v/>
      </c>
      <c r="EB60" s="247"/>
      <c r="EC60" s="268" t="str">
        <f>IF(SnapshotTable[[#This Row],[LC Premium]]&gt;0, SnapshotTable[[#This Row],[LC Book Price]] * (1 - LC_StopLoss_Pct),"")</f>
        <v/>
      </c>
      <c r="ED60" s="269"/>
      <c r="EE60" s="268" t="str">
        <f>IF(ISNUMBER(SnapshotTable[[#This Row],[LC Contract Value]]),IF(ISNUMBER(SnapshotTable[[#This Row],[LC Stop Loss Override]]), SnapshotTable[[#This Row],[LC Stop Loss Override]],SnapshotTable[[#This Row],[LC Stop Loss Calc Target]]),"")</f>
        <v/>
      </c>
      <c r="EF60" s="31" t="str">
        <f>IF(ISNUMBER(SnapshotTable[[#This Row],[LC Stop  To Use]]), (SnapshotTable[[#This Row],[LC Stop  To Use]] * SnapshotTable[[#This Row],[LC Qty]] * 100),"")</f>
        <v/>
      </c>
      <c r="EG60" s="9" t="str">
        <f>IF(ISNUMBER(SnapshotTable[[#This Row],[LC Total Value]]),SnapshotTable[[#This Row],[LC Stop Loss Amount]] - SnapshotTable[[#This Row],[LC Premium]],"")</f>
        <v/>
      </c>
      <c r="EH60" s="9">
        <f>IF(ISNUMBER(SnapshotTable[[#This Row],[LC Premium]]), SnapshotTable[[#This Row],[LC Qty]] * 100 * SnapshotTable[[#This Row],[LC Strike Price]], "")</f>
        <v>0</v>
      </c>
      <c r="EI60" s="225" t="str">
        <f>IF(AND(ISNUMBER(SnapshotTable[[#This Row],[LC Total Value]]),SnapshotTable[[#This Row],[LC Total Value]]&gt;0),SnapshotTable[[#This Row],[LC Stop Gain Loss]]  / SnapshotTable[[#This Row],[LC Premium]],"")</f>
        <v/>
      </c>
      <c r="EJ60" s="35">
        <f>IF(ISNUMBER(SnapshotTable[[#This Row],[Equity Shares]]),TRUNC(SnapshotTable[[#This Row],[Equity Shares]] / 100),0) + SnapshotTable[[#This Row],[LC Qty]]</f>
        <v>0</v>
      </c>
      <c r="EK60" s="145"/>
      <c r="EL60" s="136"/>
      <c r="EM60" s="146"/>
      <c r="EN60" s="145"/>
      <c r="EO60" s="145"/>
      <c r="EP60" s="136"/>
      <c r="EQ60" s="382" t="b">
        <f>AND(ISNUMBER(SnapshotTable[[#This Row],[SC Exp Date]]), ISNUMBER(SnapshotTable[[#This Row],[SC Strike Price]]), ISNUMBER(SnapshotTable[[#This Row],[SC Qty]]), ISNUMBER(SnapshotTable[[#This Row],[SC Book Date]]), ISNUMBER(SnapshotTable[[#This Row],[SC Book Price]]))</f>
        <v>0</v>
      </c>
      <c r="ER60" s="382" t="b">
        <f>AND(SnapshotTable[[#This Row],[SC Is Booked]], NOT(ISBLANK(SnapshotTable[[#This Row],[SC Fill Date]])))</f>
        <v>0</v>
      </c>
      <c r="ES60" s="340"/>
      <c r="ET60" s="34" t="str">
        <f>IF(AND(ISNUMBER(SnapshotTable[[#This Row],[SC Exp Date]]), ISNUMBER(SnapshotTable[[#This Row],[SC Book Date]])), SnapshotTable[[#This Row],[SC Exp Date]] - MAX(SnapshotTable[[#This Row],[SC Book Date]], SnapshotTable[[#This Row],[SC Fill Date]]) + 1, "")</f>
        <v/>
      </c>
      <c r="EU60" s="34" t="str">
        <f>IF(ISNUMBER(SnapshotTable[[#This Row],[SC Term]]), SnapshotTable[[#This Row],[SC Exp Date]]- MockToday, "")</f>
        <v/>
      </c>
      <c r="EV60" s="31">
        <f>IF(SnapshotTable[[#This Row],[SC Is Booked]], SnapshotTable[[#This Row],[SC Qty]] * SnapshotTable[[#This Row],[SC Book Price]] * 100, 0)</f>
        <v>0</v>
      </c>
      <c r="EW60" s="4" t="str">
        <f>IF(AND(ISNUMBER(SnapshotTable[[#This Row],[Last Price]]), ISNUMBER( SnapshotTable[[#This Row],[SC Book Price]])), SnapshotTable[[#This Row],[Last Price]] - SnapshotTable[[#This Row],[SC Book Price]],"")</f>
        <v/>
      </c>
      <c r="EX60" s="219" t="str">
        <f>IF(SnapshotTable[[#This Row],[SC Is Booked]],IF(SnapshotTable[[#This Row],[SC Intrinsic Value]] &gt; 0, SnapshotTable[[#This Row],[SC Strike Price]], SnapshotTable[[#This Row],[Last Price]]), "")</f>
        <v/>
      </c>
      <c r="EY60" s="4">
        <f>IF(SnapshotTable[[#This Row],[SC Is Booked]], (MinimumPremiumRequired * SnapshotTable[[#This Row],[SC Basis]] * SnapshotTable[[#This Row],[SC Term]]), 0)</f>
        <v>0</v>
      </c>
      <c r="EZ60" s="268"/>
      <c r="FA60" s="204"/>
      <c r="FB60" s="340"/>
      <c r="FC60" s="4">
        <f>IF(SnapshotTable[[#This Row],[SC Is Filled]], btc_max_buyback_amount(SnapshotTable[[#This Row],[SC Fill Date]],SnapshotTable[[#This Row],[SC Exp Date]], SnapshotTable[[#This Row],[SC Book Price]]),0)</f>
        <v>0</v>
      </c>
      <c r="FD60" s="5"/>
      <c r="FE60" s="142" t="str">
        <f>IF(SnapshotTable[[#This Row],[SC Is Filled]], btc_next_cutoff_date(SnapshotTable[[#This Row],[SC Fill Date]],SnapshotTable[[#This Row],[SC Exp Date]]),"")</f>
        <v/>
      </c>
      <c r="FF60" s="4" t="str" cm="1">
        <f t="array" ref="FF60">IF(SnapshotTable[[#This Row],[SC Is Filled]], btc_should_buy_back(SnapshotTable[[#This Row],[SC Fill Date]], SnapshotTable[[#This Row],[SC Exp Date]], SnapshotTable[[#This Row],[SC Book Price]], SnapshotTable[[#This Row],[SC Current Ask]], MockToday, SnapshotTable[[#This Row],[SC Buyback Override]]),"")</f>
        <v/>
      </c>
      <c r="FG60" s="4">
        <f>IF(SnapshotTable[[#This Row],[SC Is Filled]], MAX(0,SnapshotTable[[#This Row],[Last Price]]  - SnapshotTable[[#This Row],[SC Strike Price]]), 0)</f>
        <v>0</v>
      </c>
      <c r="FH60" s="352">
        <f>IF(SnapshotTable[[#This Row],[SC Is Filled]], IF(ISNUMBER(SnapshotTable[[#This Row],[SC Current Ask]]), SnapshotTable[[#This Row],[SC Current Ask]], SnapshotTable[[#This Row],[SC Book Price]]) - SnapshotTable[[#This Row],[SC Intrinsic Value]], 0)</f>
        <v>0</v>
      </c>
      <c r="FI60" s="141">
        <v>45786</v>
      </c>
      <c r="FJ60" s="32" t="str">
        <f>IF(SnapshotTable[[#This Row],[SC Is Filled]],100 * SnapshotTable[[#This Row],[SC Qty]] * IF(ISNUMBER(SnapshotTable[[#This Row],[SC Buyback Override]]), SnapshotTable[[#This Row],[SC Buyback Override]], SnapshotTable[[#This Row],[SC Current Ask]]), "")</f>
        <v/>
      </c>
      <c r="FK60" s="235" t="str">
        <f>IF(SnapshotTable[[#This Row],[SC Time Val]]&gt;0, SnapshotTable[[#This Row],[SC Time Val]] / SnapshotTable[[#This Row],[Last Price]],"")</f>
        <v/>
      </c>
      <c r="FL60" s="280" t="str">
        <f>IF(SnapshotTable[[#This Row],[SC Is Booked]], ((SnapshotTable[[#This Row],[Last Price]] -SnapshotTable[[#This Row],[SC Strike Price]]) / SnapshotTable[[#This Row],[Last Price]]) * -1, "")</f>
        <v/>
      </c>
      <c r="FM60" s="155" t="str">
        <f>IF(SnapshotTable[[#This Row],[SC Is Booked]],  (SnapshotTable[[#This Row],[SC Qty]] * 100 * SnapshotTable[[#This Row],[SC Strike Price]]) - SnapshotTable[[#This Row],[SC Current Ask]], "")</f>
        <v/>
      </c>
      <c r="FN6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0" s="155" t="str">
        <f>IF(AND(ISNUMBER(SnapshotTable[[#This Row],[SC Exercise Gross]]), ISNUMBER(SnapshotTable[[#This Row],[Equity Basis Per Share]] )), SnapshotTable[[#This Row],[SC Exercise Gross]] - SnapshotTable[[#This Row],[Equity Basis Total]] +  SnapshotTable[[#This Row],[SC Premium]], "")</f>
        <v/>
      </c>
      <c r="FP60" s="5" t="str">
        <f>IF(ISNUMBER(SnapshotTable[[#This Row],[SC Exercise Gross]]), (SnapshotTable[[#This Row],[SC Exercise Gross]]) / (SnapshotTable[[#This Row],[SC Qty]] * 100), "")</f>
        <v/>
      </c>
      <c r="FQ60" s="27" t="str">
        <f>IF(SnapshotTable[[#This Row],[SC Is Booked]],SnapshotTable[[#This Row],[SC Time Val]] /SnapshotTable[[#This Row],[SC Basis]], "")</f>
        <v/>
      </c>
      <c r="FR60" s="27" t="str" cm="1">
        <f t="array" ref="FR60">IF(AND(ISNUMBER(SnapshotTable[[#This Row],[SC Term]]),ISNUMBER(SnapshotTable[[#This Row],[SC Simple ROO]])), EllmanAnnualize(SnapshotTable[[#This Row],[SC DTE]], SnapshotTable[[#This Row],[SC Simple ROO]] ),"")</f>
        <v/>
      </c>
      <c r="FS60" s="4">
        <f>IF(SnapshotTable[[#This Row],[SC Strike Price]] &gt; SnapshotTable[[#This Row],[Last Price]], SnapshotTable[[#This Row],[SC Strike Price]] - SnapshotTable[[#This Row],[Last Price]],0)</f>
        <v>0</v>
      </c>
      <c r="FT60" s="27" t="str">
        <f>IF(AND(ISNUMBER(SnapshotTable[[#This Row],[SC Upside Potential]]), SnapshotTable[[#This Row],[SC Upside Potential]] &gt; 0),(SnapshotTable[[#This Row],[SC Upside Potential]]/ SnapshotTable[[#This Row],[ACB]]),"")</f>
        <v/>
      </c>
      <c r="FU60" s="304" t="str">
        <f>IF(SnapshotTable[[#This Row],[SC Intrinsic Value]] &gt; 0,SnapshotTable[[#This Row],[SC Intrinsic Value]],"")</f>
        <v/>
      </c>
      <c r="FV60" s="27" t="str">
        <f>IF(AND( ISNUMBER( SnapshotTable[[#This Row],[ACB]]),ISNUMBER(SnapshotTable[[#This Row],[SC Downside Protect]])),SnapshotTable[[#This Row],[SC Downside Protect]] / SnapshotTable[[#This Row],[ACB]],"")</f>
        <v/>
      </c>
      <c r="FW60" s="221" t="str">
        <f>IF(AND(ISNUMBER(SnapshotTable[[#This Row],[SC Simple ROO]]),SnapshotTable[[#This Row],[SC Simple ROO]] &gt; 0), SnapshotTable[[#This Row],[SC Premium]] + (SnapshotTable[[#This Row],[SC Qty]] * SnapshotTable[[#This Row],[SC Upside Potential]]), "")</f>
        <v/>
      </c>
      <c r="FX60" s="280" t="str" cm="1">
        <f t="array" ref="FX60">IF(ISNUMBER(SnapshotTable[[#This Row],[SC Max Dollars]]), annualize(SnapshotTable[[#This Row],[SC Term]],(SnapshotTable[[#This Row],[SC Max Dollars]]/SnapshotTable[[#This Row],[SC Basis]])),"")</f>
        <v/>
      </c>
      <c r="FY60" s="221" t="str">
        <f>IF(AND(SnapshotTable[[#This Row],[SC Qty]]&gt;0,SnapshotTable[[#This Row],[SC Current Ask]]&gt;0), SnapshotTable[[#This Row],[SC Qty]] * SnapshotTable[[#This Row],[SC Current Ask]] * -100, "")</f>
        <v/>
      </c>
      <c r="FZ60" s="31" t="str">
        <f>IF(ISNUMBER((SnapshotTable[[#This Row],[SC Current Value]])), SnapshotTable[[#This Row],[SC Premium]] + SnapshotTable[[#This Row],[SC Current Value]], "")</f>
        <v/>
      </c>
      <c r="GA60" s="272" t="str">
        <f>IFERROR( IF(ISNUMBER((SnapshotTable[[#This Row],[SC Current Value]])), SnapshotTable[[#This Row],[SC Gain Loss]] / SnapshotTable[[#This Row],[SC Premium]], ""), "")</f>
        <v/>
      </c>
      <c r="GB60" s="181">
        <f>SnapshotTable[[#This Row],[Equity Shares]] * SaleSharesToConsiderPercentage</f>
        <v>0</v>
      </c>
      <c r="GC60" s="182">
        <f>SnapshotTable[[#This Row],[Long Term Target]] * SellingPriceToConsiderBasedOnTargetPercentage</f>
        <v>69.046000000000006</v>
      </c>
      <c r="GD60" s="182">
        <f>SnapshotTable[[#This Row],[Last Price]] * (1+ SellingPriceToConsiderBasedOnTargetPercentage)</f>
        <v>118.482</v>
      </c>
      <c r="GE60" s="183"/>
      <c r="GF60" s="182"/>
      <c r="GG60" s="31">
        <f>SnapshotTable[[#This Row],[Booked Sale Shares]] * SnapshotTable[[#This Row],[Booked Sale Price]]</f>
        <v>0</v>
      </c>
      <c r="GH60" s="31" t="str">
        <f>IF(SnapshotTable[[#This Row],[Equity Basis Total]] &gt; 0, SnapshotTable[[#This Row],[Equity Basis Per Share]] * SnapshotTable[[#This Row],[Booked Sale Shares]], "")</f>
        <v/>
      </c>
      <c r="GI60" s="31">
        <f>IF(SnapshotTable[[#This Row],[Sale Proceeds]]&gt;0, SnapshotTable[[#This Row],[Sale Proceeds]] - SnapshotTable[[#This Row],[Sale Basis]], 0)</f>
        <v>0</v>
      </c>
      <c r="GJ60" s="156" t="str">
        <f>IF(SnapshotTable[[#This Row],[Sale G/L]]&gt;0, SnapshotTable[[#This Row],[Sale G/L]] / SnapshotTable[[#This Row],[Sale Basis]], IF(ISNUMBER(SnapshotTable[[#This Row],[SC Exercise P&amp;L (TAX)]]), SnapshotTable[[#This Row],[SC Exercise P&amp;L (TAX)]] / SnapshotTable[[#This Row],[SC Basis]], ""))</f>
        <v/>
      </c>
      <c r="GK60" s="156" t="s">
        <v>531</v>
      </c>
      <c r="GL60" s="157" t="str">
        <f>IF(AND(SnapshotTable[[#This Row],[LP Exp Date]]&gt;0,SnapshotTable[[#This Row],[LP Strike Price]]&gt;0), [1]!ToOptionSymbol(SnapshotTable[[#This Row],[Symbol]], SnapshotTable[[#This Row],[LP Strike Price]],SnapshotTable[[#This Row],[LP Exp Date]],1), "")</f>
        <v/>
      </c>
      <c r="GM60" s="30" t="str">
        <f>IF(LEN(SnapshotTable[[#This Row],[LP Symbol]])&gt;0, 1, "")</f>
        <v/>
      </c>
      <c r="GN60" s="43" t="str">
        <f>IF(AND(SnapshotTable[[#This Row],[SP Exp Date]]&gt;0,SnapshotTable[[#This Row],[SP Strike Price]]&gt;0), [1]!ToOptionSymbol(SnapshotTable[[#This Row],[Symbol]], SnapshotTable[[#This Row],[SP Strike Price]],SnapshotTable[[#This Row],[SP Exp Date]],1), "")</f>
        <v/>
      </c>
      <c r="GO60" s="30" t="str">
        <f>IF(LEN(SnapshotTable[[#This Row],[SP Symbol]])&gt;0, 1, "")</f>
        <v/>
      </c>
      <c r="GP60" s="157" t="str">
        <f>IF(AND(SnapshotTable[[#This Row],[LC Exp Date]]&gt;0,SnapshotTable[[#This Row],[LC Strike Price]]&gt;0), [1]!ToOptionSymbol(SnapshotTable[[#This Row],[Symbol]], SnapshotTable[[#This Row],[LC Strike Price]],SnapshotTable[[#This Row],[LC Exp Date]],0), "")</f>
        <v/>
      </c>
      <c r="GQ60" s="158" t="str">
        <f>IF(LEN(SnapshotTable[[#This Row],[LC Symbol]])&gt;0, 1, "")</f>
        <v/>
      </c>
      <c r="GR60" s="157" t="str">
        <f>IF(AND(SnapshotTable[[#This Row],[SC Exp Date]]&gt;0,SnapshotTable[[#This Row],[SC Strike Price]]&gt;0), [1]!ToOptionSymbol(SnapshotTable[[#This Row],[Symbol]], SnapshotTable[[#This Row],[SC Strike Price]],SnapshotTable[[#This Row],[SC Exp Date]],0), "")</f>
        <v/>
      </c>
      <c r="GS60" s="158" t="str">
        <f>IF(LEN(SnapshotTable[[#This Row],[SC Symbol]])&gt;0, 1, "")</f>
        <v/>
      </c>
      <c r="GT60" s="159" t="str">
        <f>IF(COUNT(SnapshotTable[[#This Row],[LP Symbol Count]],SnapshotTable[[#This Row],[SP Symbol Count]],SnapshotTable[[#This Row],[LC Symbol Count]],SnapshotTable[[#This Row],[SC Symbol Count]])&gt;0, "Y", "")</f>
        <v/>
      </c>
      <c r="GU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0" s="216">
        <f>MAX(SnapshotTable[[#This Row],[Equity Basis Total]],SnapshotTable[[#This Row],[Equity Value]]) + (SnapshotTable[[#This Row],[SP Potential Spend]]- SnapshotTable[[#This Row],[SP Premium]] + SnapshotTable[[#This Row],[LP Premium]])+ (SnapshotTable[[#This Row],[LC Premium]] - SnapshotTable[[#This Row],[SC Premium]])</f>
        <v>0</v>
      </c>
      <c r="GW60" s="137" t="str">
        <f>IF(AND(SnapshotTable[[#This Row],[Exposure]] &lt;&gt; 0),SnapshotTable[[#This Row],[Exposure]] / SnapshotTable[[#Totals],[Exposure]], "")</f>
        <v/>
      </c>
      <c r="HE60" s="253"/>
      <c r="HF60" s="253"/>
      <c r="HK60" s="1"/>
      <c r="HL60" s="1"/>
      <c r="HM60" s="1"/>
      <c r="HN60" s="1"/>
      <c r="HO60" s="1"/>
      <c r="HP60" s="1"/>
    </row>
    <row r="61" spans="2:224" s="45" customFormat="1" ht="12.75" hidden="1" customHeight="1" x14ac:dyDescent="0.25">
      <c r="B61" s="12" t="s">
        <v>82</v>
      </c>
      <c r="C61" s="385">
        <v>43.32</v>
      </c>
      <c r="D61" s="200" t="s">
        <v>473</v>
      </c>
      <c r="E61" s="39">
        <f>SnapshotTable[[#This Row],[Last Price]]*(1 -CrashDiscount)</f>
        <v>36.822000000000003</v>
      </c>
      <c r="F61" s="26" t="s">
        <v>819</v>
      </c>
      <c r="G61" s="26" t="s">
        <v>630</v>
      </c>
      <c r="H61" s="147"/>
      <c r="I61" s="186">
        <v>44775.208333333336</v>
      </c>
      <c r="J61" s="187">
        <v>44775.208333333336</v>
      </c>
      <c r="K61" s="188"/>
      <c r="L61" s="297"/>
      <c r="M61" s="138"/>
      <c r="N61" s="138"/>
      <c r="O61" s="138"/>
      <c r="P61" s="22"/>
      <c r="Q61" s="25"/>
      <c r="R61" s="4" t="str">
        <f>IF(SnapshotTable[[#This Row],[Equity Basis Total]] &gt; 0, SnapshotTable[[#This Row],[Equity Basis Total]] / SnapshotTable[[#This Row],[Equity Shares]], "")</f>
        <v/>
      </c>
      <c r="S61" s="254">
        <f>SnapshotTable[[#This Row],[Last Price]] * SnapshotTable[[#This Row],[Equity Shares]]</f>
        <v>0</v>
      </c>
      <c r="T61" s="254">
        <f>SnapshotTable[[#This Row],[Equity Value]] - SnapshotTable[[#This Row],[Equity Basis Total]]</f>
        <v>0</v>
      </c>
      <c r="U61" s="255" t="str">
        <f>IF(SnapshotTable[[#This Row],[Equity Basis Total]] &gt; 0, SnapshotTable[[#This Row],[Equity G/L]] / SnapshotTable[[#This Row],[Equity Basis Total]], "")</f>
        <v/>
      </c>
      <c r="V61" s="253"/>
      <c r="W61" s="253"/>
      <c r="X61" s="4" t="str">
        <f>IF(AND(ISNUMBER(SnapshotTable[[#This Row],[Equity Basis Per Share]]),ISNUMBER(SnapshotTable[[#This Row],[Equity Target]])),SnapshotTable[[#This Row],[Equity Target]]-SnapshotTable[[#This Row],[Equity Basis Per Share]],"")</f>
        <v/>
      </c>
      <c r="Y61" s="4" t="str">
        <f>IF(AND(ISNUMBER(SnapshotTable[[#This Row],[Equity Basis Per Share]]),ISNUMBER(SnapshotTable[[#This Row],[Equity Stop Loss]])),SnapshotTable[[#This Row],[Equity Stop Loss]]-SnapshotTable[[#This Row],[Equity Basis Per Share]],"")</f>
        <v/>
      </c>
      <c r="Z61" s="260" t="str">
        <f>IFERROR( TEXT(SnapshotTable[[#This Row],[Equity Max Gain Per Share]] /ABS( SnapshotTable[[#This Row],[Equity Max Loss Per Share]]),"0.0 " ) &amp; " : 1", "")</f>
        <v/>
      </c>
      <c r="AA61" s="31" t="str">
        <f>IF(ISNUMBER(SnapshotTable[[#This Row],[Equity Max Gain Per Share]]),SnapshotTable[[#This Row],[Equity Max Gain Per Share]] * SnapshotTable[[#This Row],[Equity Shares]],"")</f>
        <v/>
      </c>
      <c r="AB61" s="31" t="str">
        <f>IF(ISNUMBER(SnapshotTable[[#This Row],[Equity Max Loss Per Share]]),SnapshotTable[[#This Row],[Equity Max Loss Per Share]] * SnapshotTable[[#This Row],[Equity Shares]],"")</f>
        <v/>
      </c>
      <c r="AC61" s="148">
        <v>2.3199999999999998</v>
      </c>
      <c r="AD61" s="149">
        <v>44009</v>
      </c>
      <c r="AE61" s="31">
        <f>(SnapshotTable[[#This Row],[Annual Dividend Per Share]] / 4) * SnapshotTable[[#This Row],[Equity Shares]]</f>
        <v>0</v>
      </c>
      <c r="AF61" s="31">
        <f>SnapshotTable[[#This Row],[Quarterly Div $]] * 4</f>
        <v>0</v>
      </c>
      <c r="AG61" s="7">
        <f>IF(SnapshotTable[[#This Row],[Annual Dividend Per Share]]&gt;0, SnapshotTable[[#This Row],[Annual Dividend Per Share]]  / SnapshotTable[[#This Row],[Last Price]], 0)</f>
        <v>5.3554939981532775E-2</v>
      </c>
      <c r="AH61" s="149">
        <v>43964</v>
      </c>
      <c r="AI61" s="5"/>
      <c r="AJ61" s="136">
        <v>27.98</v>
      </c>
      <c r="AK61" s="150" t="str">
        <f>IF(ISNUMBER( SnapshotTable[[#This Row],[EBF Target]]),(SnapshotTable[[#This Row],[EBF Target]] - SnapshotTable[[#This Row],[Last Price]]) / SnapshotTable[[#This Row],[Last Price]], "")</f>
        <v/>
      </c>
      <c r="AL61" s="150" t="str">
        <f>IF(AND(SnapshotTable[[#This Row],[Equity Basis Total]] &gt; 0,ISNUMBER( SnapshotTable[[#This Row],[Long Term Target]])), SnapshotTable[[#This Row],[From Basis $]] / SnapshotTable[[#This Row],[Equity Basis Total]], "")</f>
        <v/>
      </c>
      <c r="AM61" s="9">
        <f>IF( AND(SnapshotTable[[#This Row],[Equity Shares]] &gt;0,ISNUMBER( SnapshotTable[[#This Row],[Long Term Target]])),(SnapshotTable[[#This Row],[Equity Shares]] * SnapshotTable[[#This Row],[Long Term Target]]) - SnapshotTable[[#This Row],[Equity Basis Total]],0)</f>
        <v>0</v>
      </c>
      <c r="AN61" s="9">
        <f>IF( AND(SnapshotTable[[#This Row],[Equity Shares]] &gt;0,ISNUMBER( SnapshotTable[[#This Row],[Long Term Target]])),(SnapshotTable[[#This Row],[Equity Shares]]*SnapshotTable[[#This Row],[Long Term Target]]) - SnapshotTable[[#This Row],[Equity Value]],0)</f>
        <v>0</v>
      </c>
      <c r="AO61" s="150">
        <f>IF(AND(ISNUMBER( SnapshotTable[[#This Row],[Long Term Target]]), ISNUMBER(SnapshotTable[[#This Row],[Last Price]])),(SnapshotTable[[#This Row],[Long Term Target]] - SnapshotTable[[#This Row],[Last Price]]) / SnapshotTable[[#This Row],[Last Price]], "")</f>
        <v>-0.3541089566020314</v>
      </c>
      <c r="AP61" s="5"/>
      <c r="AQ61" s="38"/>
      <c r="AR61" s="5"/>
      <c r="AS61" s="38"/>
      <c r="AT61" s="144"/>
      <c r="AU61" s="185" t="str">
        <f>IF(OR(SnapshotTable[[#This Row],[LP No Fill]]="Y",SnapshotTable[[#This Row],[SP Is Filled]],SnapshotTable[[#This Row],[LC Not Filled]]="Y",SnapshotTable[[#This Row],[SC Is Filled]]),"Y","")</f>
        <v/>
      </c>
      <c r="AV61" s="205"/>
      <c r="AW61" s="211">
        <v>2.3839999999999999</v>
      </c>
      <c r="AX61" s="206">
        <v>43952</v>
      </c>
      <c r="AY61" s="205">
        <f>IF(SnapshotTable[[#This Row],[Implied Move]]&gt;0, SnapshotTable[[#This Row],[Last Price]]-SnapshotTable[[#This Row],[Implied Move]],"")</f>
        <v>40.936</v>
      </c>
      <c r="AZ61" s="205">
        <f>IF(SnapshotTable[[#This Row],[Implied Move]]&gt;0, SnapshotTable[[#This Row],[Last Price]] + SnapshotTable[[#This Row],[Implied Move]],"")</f>
        <v>45.704000000000001</v>
      </c>
      <c r="BA61" s="302"/>
      <c r="BB61" s="318"/>
      <c r="BC6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1" s="321"/>
      <c r="BE61" s="5"/>
      <c r="BF61" s="14"/>
      <c r="BG61" s="13"/>
      <c r="BH61" s="13"/>
      <c r="BI61" s="5"/>
      <c r="BJ61" s="134">
        <f>IF(SnapshotTable[[#This Row],[LP Qty]] &gt; 0, SnapshotTable[[#This Row],[LP Qty]] * SnapshotTable[[#This Row],[LP Book Price]] * 100,0)</f>
        <v>0</v>
      </c>
      <c r="BK61" s="134">
        <f>IF(SnapshotTable[[#This Row],[LP Premium]] &gt; 0, SnapshotTable[[#This Row],[LP Qty]] * SnapshotTable[[#This Row],[LP Strike Price]] * 100,0)</f>
        <v>0</v>
      </c>
      <c r="BL61" s="152"/>
      <c r="BM61" s="355" t="str">
        <f>IF(SnapshotTable[[#This Row],[LP Premium]] &gt; 0,SnapshotTable[[#This Row],[LP Exp Date]]-MAX(SnapshotTable[[#This Row],[LP Book Date]], SnapshotTable[[#This Row],[LP Fill Date]]),"")</f>
        <v/>
      </c>
      <c r="BN61" s="355" t="str">
        <f>IF(ISNUMBER( SnapshotTable[[#This Row],[LP Term]]), SnapshotTable[[#This Row],[LP Exp Date]] - MockToday,"")</f>
        <v/>
      </c>
      <c r="BO61" s="161" t="str">
        <f>IF(AND(SnapshotTable[[#This Row],[LP Exp Date]]&gt;0, SnapshotTable[[#This Row],[LP Strike Price]]&gt;0,SnapshotTable[[#This Row],[LP Qty]]&gt;0,SnapshotTable[[#This Row],[LP Book Date]]&gt;0,SnapshotTable[[#This Row],[LP Book Price]]&gt;0,SnapshotTable[[#This Row],[LP Fill Date]]=0),"Y","")</f>
        <v/>
      </c>
      <c r="BP61" s="31" t="str">
        <f>IF(AND(SnapshotTable[[#This Row],[LP No Fill]]&lt;&gt;"Y",SnapshotTable[[#This Row],[LP Contract Value]]&gt;0, SnapshotTable[[#This Row],[LP Qty]]&gt;0), SnapshotTable[[#This Row],[LP Contract Value]]*SnapshotTable[[#This Row],[LP Qty]]*100,"")</f>
        <v/>
      </c>
      <c r="BQ61" s="13"/>
      <c r="BR61" s="5"/>
      <c r="BS61" s="36"/>
      <c r="BT61" s="145"/>
      <c r="BU61" s="13"/>
      <c r="BV61" s="5"/>
      <c r="BW61" s="382" t="b">
        <f>AND(ISNUMBER(SnapshotTable[[#This Row],[SP Exp Date]]), ISNUMBER(SnapshotTable[[#This Row],[SP Strike Price]]), ISNUMBER(SnapshotTable[[#This Row],[SP Qty]]), ISNUMBER(SnapshotTable[[#This Row],[SP Book Date]]), ISNUMBER(SnapshotTable[[#This Row],[SP Book Price]]))</f>
        <v>0</v>
      </c>
      <c r="BX61" s="382" t="b">
        <f>AND(SnapshotTable[[#This Row],[SP Is Booked]], NOT(ISBLANK(SnapshotTable[[#This Row],[SP Fill Date]])))</f>
        <v>0</v>
      </c>
      <c r="BY61" s="33">
        <f>IF(SnapshotTable[[#This Row],[SP Is Booked]], SnapshotTable[[#This Row],[SP Qty]] * SnapshotTable[[#This Row],[SP Book Price]] * 100, 0)</f>
        <v>0</v>
      </c>
      <c r="BZ61" s="339"/>
      <c r="CA61" s="338">
        <f>SnapshotTable[[#This Row],[LP Qty]]</f>
        <v>0</v>
      </c>
      <c r="CB61" s="4" t="str">
        <f>IF(SnapshotTable[[#This Row],[SP Is Booked]], SnapshotTable[[#This Row],[SP Strike Price]] - SnapshotTable[[#This Row],[SP Book Price]], "")</f>
        <v/>
      </c>
      <c r="CC61" s="19" t="str">
        <f>IF(SnapshotTable[[#This Row],[SP Is Booked]],SnapshotTable[[#This Row],[SP Exp Date]]-MAX(SnapshotTable[[#This Row],[SP Book Date]], SnapshotTable[[#This Row],[SP Fill Date]]),"")</f>
        <v/>
      </c>
      <c r="CD61" s="7" t="str">
        <f>IF(SnapshotTable[[#This Row],[SP Is Booked]], SnapshotTable[[#This Row],[SP Book Price]]/SnapshotTable[[#This Row],[SP Strike Price]], "")</f>
        <v/>
      </c>
      <c r="CE61" s="7" t="str">
        <f>IF(ISNUMBER(SnapshotTable[[#This Row],[SP ROO Term]]),SnapshotTable[[#This Row],[SP ROO Term]]*(365/SnapshotTable[[#This Row],[SP Term]]),"")</f>
        <v/>
      </c>
      <c r="CF61" s="221">
        <f>SnapshotTable[[#This Row],[LP Strike Price]] * SnapshotTable[[#This Row],[LP Qty]] * 100</f>
        <v>0</v>
      </c>
      <c r="CG61" s="31">
        <f>IF(ISNUMBER(SnapshotTable[[#This Row],[SP Premium]]), (SnapshotTable[[#This Row],[SP Qty]] * SnapshotTable[[#This Row],[SP Strike Price]]* 100) - SnapshotTable[[#This Row],[LP Protection]], 0)</f>
        <v>0</v>
      </c>
      <c r="CH61" s="7" t="str">
        <f>IF(ISNUMBER(SnapshotTable[[#This Row],[SP Break Even]]),-1 * (SnapshotTable[[#This Row],[SP Break Even]] - SnapshotTable[[#This Row],[Last Price]]) / SnapshotTable[[#This Row],[Last Price]], "")</f>
        <v/>
      </c>
      <c r="CI61" s="31">
        <f>IF(AND(ISNUMBER((SnapshotTable[[#This Row],[SP Potential Spend]])), SnapshotTable[[#This Row],[SP Strike Price]] &gt; SnapshotTable[[#This Row],[Last Price]], SnapshotTable[[#This Row],[SP Is Filled]]), SnapshotTable[[#This Row],[SP Potential Spend]] -  SnapshotTable[[#This Row],[LP Max Value]], 0)</f>
        <v>0</v>
      </c>
      <c r="CJ61" s="229"/>
      <c r="CK61" s="31">
        <f>IF(ISNUMBER(SnapshotTable[[#This Row],[SP Potential Spend]]),IF(ISNUMBER(SnapshotTable[[#This Row],[SP POW]]), SnapshotTable[[#This Row],[SP POW]] * SnapshotTable[[#This Row],[SP Potential Spend]], SnapshotTable[[#This Row],[SP Potential Spend]]), "")</f>
        <v>0</v>
      </c>
      <c r="CL61" s="162">
        <f>IF(NOT(SnapshotTable[[#This Row],[SP Is Filled]]),(SnapshotTable[[#This Row],[SP Qty]] * SnapshotTable[[#This Row],[SP Strike Price]] * 100) - SnapshotTable[[#This Row],[LP Max Value]],"")</f>
        <v>0</v>
      </c>
      <c r="CM61" s="31" t="str">
        <f>IF(SnapshotTable[[#This Row],[SP Actual Spend]]&lt;&gt;0, ((SnapshotTable[[#This Row],[SP Strike Price]]-SnapshotTable[[#This Row],[Last Price]]) *(SnapshotTable[[#This Row],[SP Qty]]*100) - SnapshotTable[[#This Row],[SP Premium]]) * - 1, "")</f>
        <v/>
      </c>
      <c r="CN61" s="76"/>
      <c r="CO61" s="339"/>
      <c r="CP61" s="4" t="str">
        <f>IF(SnapshotTable[[#This Row],[SP Is Filled]], btc_max_buyback_amount(SnapshotTable[[#This Row],[SP Fill Date]],SnapshotTable[[#This Row],[SP Exp Date]], SnapshotTable[[#This Row],[SP Book Price]]),"")</f>
        <v/>
      </c>
      <c r="CQ61" s="76"/>
      <c r="CR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1" s="153" t="str">
        <f>IF(SnapshotTable[[#This Row],[SP Is Filled]], btc_next_cutoff_date(SnapshotTable[[#This Row],[SP Fill Date]],SnapshotTable[[#This Row],[SP Exp Date]]),"")</f>
        <v/>
      </c>
      <c r="CT61" s="220" t="str" cm="1">
        <f t="array" ref="CT61">IF(SnapshotTable[[#This Row],[SP Is Filled]], btc_should_buy_back(SnapshotTable[[#This Row],[SP Fill Date]], SnapshotTable[[#This Row],[SP Exp Date]], SnapshotTable[[#This Row],[SP Book Price]], SnapshotTable[[#This Row],[SP Current Ask]], MockToday, SnapshotTable[[#This Row],[SP Buyback Override]]),"")</f>
        <v/>
      </c>
      <c r="CU61" s="141"/>
      <c r="CV61" s="220"/>
      <c r="CW61" s="348" t="str">
        <f>IF(ISNUMBER( SnapshotTable[[#This Row],[SP Term]]), SnapshotTable[[#This Row],[SP Exp Date]] - MockToday,"")</f>
        <v/>
      </c>
      <c r="CX61" s="31" t="str">
        <f>IF(SnapshotTable[[#This Row],[SP Is Filled]],SnapshotTable[[#This Row],[SP Buyback Price to Use]] * 100 * SnapshotTable[[#This Row],[SP Qty]], "")</f>
        <v/>
      </c>
      <c r="CY61" s="4" t="str">
        <f>IF(ISNUMBER(SnapshotTable[[#This Row],[SP Strike Price]]), SnapshotTable[[#This Row],[SP Strike Price]] * (1 - SP_MaxLoss_StrikePct), "")</f>
        <v/>
      </c>
      <c r="CZ61" s="31" t="str">
        <f>IF(ISNUMBER(SnapshotTable[[#This Row],[SP Strike  Stop Per Share]]),SnapshotTable[[#This Row],[SP Premium]] - ((SnapshotTable[[#This Row],[SP Strike Price]]-SnapshotTable[[#This Row],[SP Strike  Stop Per Share]]) *(SnapshotTable[[#This Row],[SP Qty]] * 100)),"")</f>
        <v/>
      </c>
      <c r="DA61" s="4" t="str">
        <f>IF(AND(ISNUMBER(SnapshotTable[[#This Row],[SP Premium]]),SnapshotTable[[#This Row],[SP Premium]]&gt;0), SnapshotTable[[#This Row],[SP Book Price]] * (1 + SP_MaxLoss_OptionPct), "")</f>
        <v/>
      </c>
      <c r="DB61" s="31" t="str">
        <f>IF(ISNUMBER(SnapshotTable[[#This Row],[SP Option  Stop Contract]]),(SnapshotTable[[#This Row],[SP Option  Stop Contract]] *(SnapshotTable[[#This Row],[SP Qty]] * 100) - SnapshotTable[[#This Row],[SP Premium]]),"")</f>
        <v/>
      </c>
      <c r="DC61" s="4"/>
      <c r="DD61" s="4"/>
      <c r="DE61" s="4" t="str">
        <f>IF(AND(SnapshotTable[[#This Row],[SP Qty]]&gt;0, SnapshotTable[[#This Row],[SP Stop To Use]]&gt;0),SnapshotTable[[#This Row],[SP Premium]] - ( SnapshotTable[[#This Row],[SP Qty]] * SnapshotTable[[#This Row],[SP Stop To Use]] * 100), "")</f>
        <v/>
      </c>
      <c r="DF61" s="31" t="str">
        <f>IF(AND(SnapshotTable[[#This Row],[SP Qty]]&gt;0,SnapshotTable[[#This Row],[SP Current Ask]]&gt;0), SnapshotTable[[#This Row],[SP Qty]] * SnapshotTable[[#This Row],[SP Current Ask]] * -100, "")</f>
        <v/>
      </c>
      <c r="DG61" s="31" t="str">
        <f>IF(ISNUMBER((SnapshotTable[[#This Row],[SP Total Value]])), SnapshotTable[[#This Row],[SP Premium]] + SnapshotTable[[#This Row],[SP Total Value]], "")</f>
        <v/>
      </c>
      <c r="DH61" s="272" t="str">
        <f>IF(ISNUMBER((SnapshotTable[[#This Row],[SP Total Value]])), SnapshotTable[[#This Row],[SP Gain Loss]] / SnapshotTable[[#This Row],[SP Premium]], "")</f>
        <v/>
      </c>
      <c r="DI61" s="369"/>
      <c r="DJ61" s="136"/>
      <c r="DK61" s="146"/>
      <c r="DL61" s="13"/>
      <c r="DM61" s="13"/>
      <c r="DN61" s="5"/>
      <c r="DO61" s="31">
        <f>IF(SnapshotTable[[#This Row],[LC Symbol Count]]=1, SnapshotTable[[#This Row],[LC Qty]] * SnapshotTable[[#This Row],[LC Book Price]] * 100, 0)</f>
        <v>0</v>
      </c>
      <c r="DP61" s="161" t="str">
        <f>IF(AND(SnapshotTable[[#This Row],[LC Exp Date]]&gt;0, SnapshotTable[[#This Row],[LC Strike Price]]&gt;0,SnapshotTable[[#This Row],[LC Qty]]&gt;0,SnapshotTable[[#This Row],[LC Book Date]]&gt;0,SnapshotTable[[#This Row],[LC Book Price]]&gt;0,SnapshotTable[[#This Row],[LC Fill Date]]=0),"Y","")</f>
        <v/>
      </c>
      <c r="DQ61" s="356" t="str">
        <f>IF(SnapshotTable[[#This Row],[LC Premium]] &gt; 0,SnapshotTable[[#This Row],[LC Exp Date]]-MAX(SnapshotTable[[#This Row],[LC Book Date]], SnapshotTable[[#This Row],[LC Fill Date]]),"")</f>
        <v/>
      </c>
      <c r="DR61" s="356" t="str">
        <f>IF(ISNUMBER(SnapshotTable[[#This Row],[LC Term]]), SnapshotTable[[#This Row],[LC Exp Date]] - MockToday, "")</f>
        <v/>
      </c>
      <c r="DS61" s="219" t="str">
        <f>IF(SnapshotTable[[#This Row],[LC Premium]]&gt;0,SnapshotTable[[#This Row],[LC Strike Price]] + SnapshotTable[[#This Row],[LC Book Price]],"")</f>
        <v/>
      </c>
      <c r="DT61" s="5"/>
      <c r="DU61" s="9" t="str">
        <f>IF(AND(SnapshotTable[[#This Row],[LC Symbol Count]]&gt;0, SnapshotTable[[#This Row],[LC Contract Value]]&gt;0), SnapshotTable[[#This Row],[LC Contract Value]] * SnapshotTable[[#This Row],[LC Qty]] * 100, "")</f>
        <v/>
      </c>
      <c r="DV61" s="9" t="str">
        <f>IF(AND(ISNUMBER(SnapshotTable[[#This Row],[LC Total Value]]), SnapshotTable[[#This Row],[LC Not Filled]]&lt;&gt;"Y"), SnapshotTable[[#This Row],[LC Total Value]]-SnapshotTable[[#This Row],[LC Premium]],"")</f>
        <v/>
      </c>
      <c r="DW61" s="225" t="str">
        <f>IF(ISNUMBER(SnapshotTable[[#This Row],[LC Actual Gain Loss]]), SnapshotTable[[#This Row],[LC Actual Gain Loss]] / SnapshotTable[[#This Row],[LC Premium]],"")</f>
        <v/>
      </c>
      <c r="DX61" s="269" t="str">
        <f>IF(ISNUMBER(SnapshotTable[[#This Row],[LC Book Price]]),SnapshotTable[[#This Row],[LC Book Price]] * 1.5,"")</f>
        <v/>
      </c>
      <c r="DY61" s="250" t="str">
        <f>IF(SnapshotTable[[#This Row],[LC Premium]]&gt;0, SnapshotTable[[#This Row],[LC Next Target]] * SnapshotTable[[#This Row],[LC Qty]] * 100,"")</f>
        <v/>
      </c>
      <c r="DZ61" s="250" t="str">
        <f>IF(ISNUMBER(SnapshotTable[[#This Row],[LC Target Gross]]), SnapshotTable[[#This Row],[LC Target Gross]] - SnapshotTable[[#This Row],[LC Premium]], "")</f>
        <v/>
      </c>
      <c r="EA61" s="283" t="str">
        <f>IF(ISNUMBER(SnapshotTable[[#This Row],[LC Target Gain Loss]]), SnapshotTable[[#This Row],[LC Target Gain Loss]]/SnapshotTable[[#This Row],[LC Premium]], "")</f>
        <v/>
      </c>
      <c r="EB61" s="247"/>
      <c r="EC61" s="268" t="str">
        <f>IF(SnapshotTable[[#This Row],[LC Premium]]&gt;0, SnapshotTable[[#This Row],[LC Book Price]] * (1 - LC_StopLoss_Pct),"")</f>
        <v/>
      </c>
      <c r="ED61" s="269"/>
      <c r="EE61" s="268" t="str">
        <f>IF(ISNUMBER(SnapshotTable[[#This Row],[LC Contract Value]]),IF(ISNUMBER(SnapshotTable[[#This Row],[LC Stop Loss Override]]), SnapshotTable[[#This Row],[LC Stop Loss Override]],SnapshotTable[[#This Row],[LC Stop Loss Calc Target]]),"")</f>
        <v/>
      </c>
      <c r="EF61" s="31" t="str">
        <f>IF(ISNUMBER(SnapshotTable[[#This Row],[LC Stop  To Use]]), (SnapshotTable[[#This Row],[LC Stop  To Use]] * SnapshotTable[[#This Row],[LC Qty]] * 100),"")</f>
        <v/>
      </c>
      <c r="EG61" s="9" t="str">
        <f>IF(ISNUMBER(SnapshotTable[[#This Row],[LC Total Value]]),SnapshotTable[[#This Row],[LC Stop Loss Amount]] - SnapshotTable[[#This Row],[LC Premium]],"")</f>
        <v/>
      </c>
      <c r="EH61" s="9">
        <f>IF(ISNUMBER(SnapshotTable[[#This Row],[LC Premium]]), SnapshotTable[[#This Row],[LC Qty]] * 100 * SnapshotTable[[#This Row],[LC Strike Price]], "")</f>
        <v>0</v>
      </c>
      <c r="EI61" s="225" t="str">
        <f>IF(AND(ISNUMBER(SnapshotTable[[#This Row],[LC Total Value]]),SnapshotTable[[#This Row],[LC Total Value]]&gt;0),SnapshotTable[[#This Row],[LC Stop Gain Loss]]  / SnapshotTable[[#This Row],[LC Premium]],"")</f>
        <v/>
      </c>
      <c r="EJ61" s="35">
        <f>IF(ISNUMBER(SnapshotTable[[#This Row],[Equity Shares]]),TRUNC(SnapshotTable[[#This Row],[Equity Shares]] / 100),0) + SnapshotTable[[#This Row],[LC Qty]]</f>
        <v>0</v>
      </c>
      <c r="EK61" s="145"/>
      <c r="EL61" s="136"/>
      <c r="EM61" s="146"/>
      <c r="EN61" s="145"/>
      <c r="EO61" s="145"/>
      <c r="EP61" s="136"/>
      <c r="EQ61" s="382" t="b">
        <f>AND(ISNUMBER(SnapshotTable[[#This Row],[SC Exp Date]]), ISNUMBER(SnapshotTable[[#This Row],[SC Strike Price]]), ISNUMBER(SnapshotTable[[#This Row],[SC Qty]]), ISNUMBER(SnapshotTable[[#This Row],[SC Book Date]]), ISNUMBER(SnapshotTable[[#This Row],[SC Book Price]]))</f>
        <v>0</v>
      </c>
      <c r="ER61" s="382" t="b">
        <f>AND(SnapshotTable[[#This Row],[SC Is Booked]], NOT(ISBLANK(SnapshotTable[[#This Row],[SC Fill Date]])))</f>
        <v>0</v>
      </c>
      <c r="ES61" s="340"/>
      <c r="ET61" s="34" t="str">
        <f>IF(AND(ISNUMBER(SnapshotTable[[#This Row],[SC Exp Date]]), ISNUMBER(SnapshotTable[[#This Row],[SC Book Date]])), SnapshotTable[[#This Row],[SC Exp Date]] - MAX(SnapshotTable[[#This Row],[SC Book Date]], SnapshotTable[[#This Row],[SC Fill Date]]) + 1, "")</f>
        <v/>
      </c>
      <c r="EU61" s="34" t="str">
        <f>IF(ISNUMBER(SnapshotTable[[#This Row],[SC Term]]), SnapshotTable[[#This Row],[SC Exp Date]]- MockToday, "")</f>
        <v/>
      </c>
      <c r="EV61" s="31">
        <f>IF(SnapshotTable[[#This Row],[SC Is Booked]], SnapshotTable[[#This Row],[SC Qty]] * SnapshotTable[[#This Row],[SC Book Price]] * 100, 0)</f>
        <v>0</v>
      </c>
      <c r="EW61" s="4" t="str">
        <f>IF(AND(ISNUMBER(SnapshotTable[[#This Row],[Last Price]]), ISNUMBER( SnapshotTable[[#This Row],[SC Book Price]])), SnapshotTable[[#This Row],[Last Price]] - SnapshotTable[[#This Row],[SC Book Price]],"")</f>
        <v/>
      </c>
      <c r="EX61" s="219" t="str">
        <f>IF(SnapshotTable[[#This Row],[SC Is Booked]],IF(SnapshotTable[[#This Row],[SC Intrinsic Value]] &gt; 0, SnapshotTable[[#This Row],[SC Strike Price]], SnapshotTable[[#This Row],[Last Price]]), "")</f>
        <v/>
      </c>
      <c r="EY61" s="4">
        <f>IF(SnapshotTable[[#This Row],[SC Is Booked]], (MinimumPremiumRequired * SnapshotTable[[#This Row],[SC Basis]] * SnapshotTable[[#This Row],[SC Term]]), 0)</f>
        <v>0</v>
      </c>
      <c r="EZ61" s="268"/>
      <c r="FA61" s="204"/>
      <c r="FB61" s="340"/>
      <c r="FC61" s="4">
        <f>IF(SnapshotTable[[#This Row],[SC Is Filled]], btc_max_buyback_amount(SnapshotTable[[#This Row],[SC Fill Date]],SnapshotTable[[#This Row],[SC Exp Date]], SnapshotTable[[#This Row],[SC Book Price]]),0)</f>
        <v>0</v>
      </c>
      <c r="FD61" s="5"/>
      <c r="FE61" s="142" t="str">
        <f>IF(SnapshotTable[[#This Row],[SC Is Filled]], btc_next_cutoff_date(SnapshotTable[[#This Row],[SC Fill Date]],SnapshotTable[[#This Row],[SC Exp Date]]),"")</f>
        <v/>
      </c>
      <c r="FF61" s="4" t="str" cm="1">
        <f t="array" ref="FF61">IF(SnapshotTable[[#This Row],[SC Is Filled]], btc_should_buy_back(SnapshotTable[[#This Row],[SC Fill Date]], SnapshotTable[[#This Row],[SC Exp Date]], SnapshotTable[[#This Row],[SC Book Price]], SnapshotTable[[#This Row],[SC Current Ask]], MockToday, SnapshotTable[[#This Row],[SC Buyback Override]]),"")</f>
        <v/>
      </c>
      <c r="FG61" s="4">
        <f>IF(SnapshotTable[[#This Row],[SC Is Filled]], MAX(0,SnapshotTable[[#This Row],[Last Price]]  - SnapshotTable[[#This Row],[SC Strike Price]]), 0)</f>
        <v>0</v>
      </c>
      <c r="FH61" s="352">
        <f>IF(SnapshotTable[[#This Row],[SC Is Filled]], IF(ISNUMBER(SnapshotTable[[#This Row],[SC Current Ask]]), SnapshotTable[[#This Row],[SC Current Ask]], SnapshotTable[[#This Row],[SC Book Price]]) - SnapshotTable[[#This Row],[SC Intrinsic Value]], 0)</f>
        <v>0</v>
      </c>
      <c r="FI61" s="141"/>
      <c r="FJ61" s="32" t="str">
        <f>IF(SnapshotTable[[#This Row],[SC Is Filled]],100 * SnapshotTable[[#This Row],[SC Qty]] * IF(ISNUMBER(SnapshotTable[[#This Row],[SC Buyback Override]]), SnapshotTable[[#This Row],[SC Buyback Override]], SnapshotTable[[#This Row],[SC Current Ask]]), "")</f>
        <v/>
      </c>
      <c r="FK61" s="235" t="str">
        <f>IF(SnapshotTable[[#This Row],[SC Time Val]]&gt;0, SnapshotTable[[#This Row],[SC Time Val]] / SnapshotTable[[#This Row],[Last Price]],"")</f>
        <v/>
      </c>
      <c r="FL61" s="280" t="str">
        <f>IF(SnapshotTable[[#This Row],[SC Is Booked]], ((SnapshotTable[[#This Row],[Last Price]] -SnapshotTable[[#This Row],[SC Strike Price]]) / SnapshotTable[[#This Row],[Last Price]]) * -1, "")</f>
        <v/>
      </c>
      <c r="FM61" s="155" t="str">
        <f>IF(SnapshotTable[[#This Row],[SC Is Booked]],  (SnapshotTable[[#This Row],[SC Qty]] * 100 * SnapshotTable[[#This Row],[SC Strike Price]]) - SnapshotTable[[#This Row],[SC Current Ask]], "")</f>
        <v/>
      </c>
      <c r="FN6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1" s="31" t="str">
        <f>IF(AND(ISNUMBER(SnapshotTable[[#This Row],[SC Exercise Gross]]), ISNUMBER(SnapshotTable[[#This Row],[Equity Basis Per Share]] )), SnapshotTable[[#This Row],[SC Exercise Gross]] - SnapshotTable[[#This Row],[Equity Basis Total]] +  SnapshotTable[[#This Row],[SC Premium]], "")</f>
        <v/>
      </c>
      <c r="FP61" s="5" t="str">
        <f>IF(ISNUMBER(SnapshotTable[[#This Row],[SC Exercise Gross]]), (SnapshotTable[[#This Row],[SC Exercise Gross]]) / (SnapshotTable[[#This Row],[SC Qty]] * 100), "")</f>
        <v/>
      </c>
      <c r="FQ61" s="27" t="str">
        <f>IF(SnapshotTable[[#This Row],[SC Is Booked]],SnapshotTable[[#This Row],[SC Time Val]] /SnapshotTable[[#This Row],[SC Basis]], "")</f>
        <v/>
      </c>
      <c r="FR61" s="27" t="str" cm="1">
        <f t="array" ref="FR61">IF(AND(ISNUMBER(SnapshotTable[[#This Row],[SC Term]]),ISNUMBER(SnapshotTable[[#This Row],[SC Simple ROO]])), EllmanAnnualize(SnapshotTable[[#This Row],[SC DTE]], SnapshotTable[[#This Row],[SC Simple ROO]] ),"")</f>
        <v/>
      </c>
      <c r="FS61" s="4">
        <f>IF(SnapshotTable[[#This Row],[SC Strike Price]] &gt; SnapshotTable[[#This Row],[Last Price]], SnapshotTable[[#This Row],[SC Strike Price]] - SnapshotTable[[#This Row],[Last Price]],0)</f>
        <v>0</v>
      </c>
      <c r="FT61" s="27" t="str">
        <f>IF(AND(ISNUMBER(SnapshotTable[[#This Row],[SC Upside Potential]]), SnapshotTable[[#This Row],[SC Upside Potential]] &gt; 0),(SnapshotTable[[#This Row],[SC Upside Potential]]/ SnapshotTable[[#This Row],[ACB]]),"")</f>
        <v/>
      </c>
      <c r="FU61" s="304" t="str">
        <f>IF(SnapshotTable[[#This Row],[SC Intrinsic Value]] &gt; 0,SnapshotTable[[#This Row],[SC Intrinsic Value]],"")</f>
        <v/>
      </c>
      <c r="FV61" s="27" t="str">
        <f>IF(AND( ISNUMBER( SnapshotTable[[#This Row],[ACB]]),ISNUMBER(SnapshotTable[[#This Row],[SC Downside Protect]])),SnapshotTable[[#This Row],[SC Downside Protect]] / SnapshotTable[[#This Row],[ACB]],"")</f>
        <v/>
      </c>
      <c r="FW61" s="221" t="str">
        <f>IF(AND(ISNUMBER(SnapshotTable[[#This Row],[SC Simple ROO]]),SnapshotTable[[#This Row],[SC Simple ROO]] &gt; 0), SnapshotTable[[#This Row],[SC Premium]] + (SnapshotTable[[#This Row],[SC Qty]] * SnapshotTable[[#This Row],[SC Upside Potential]]), "")</f>
        <v/>
      </c>
      <c r="FX61" s="280" t="str" cm="1">
        <f t="array" ref="FX61">IF(ISNUMBER(SnapshotTable[[#This Row],[SC Max Dollars]]), annualize(SnapshotTable[[#This Row],[SC Term]],(SnapshotTable[[#This Row],[SC Max Dollars]]/SnapshotTable[[#This Row],[SC Basis]])),"")</f>
        <v/>
      </c>
      <c r="FY61" s="221" t="str">
        <f>IF(AND(SnapshotTable[[#This Row],[SC Qty]]&gt;0,SnapshotTable[[#This Row],[SC Current Ask]]&gt;0), SnapshotTable[[#This Row],[SC Qty]] * SnapshotTable[[#This Row],[SC Current Ask]] * -100, "")</f>
        <v/>
      </c>
      <c r="FZ61" s="31" t="str">
        <f>IF(ISNUMBER((SnapshotTable[[#This Row],[SC Current Value]])), SnapshotTable[[#This Row],[SC Premium]] + SnapshotTable[[#This Row],[SC Current Value]], "")</f>
        <v/>
      </c>
      <c r="GA61" s="272" t="str">
        <f>IFERROR( IF(ISNUMBER((SnapshotTable[[#This Row],[SC Current Value]])), SnapshotTable[[#This Row],[SC Gain Loss]] / SnapshotTable[[#This Row],[SC Premium]], ""), "")</f>
        <v/>
      </c>
      <c r="GB61" s="42">
        <f>SnapshotTable[[#This Row],[Equity Shares]] * SaleSharesToConsiderPercentage</f>
        <v>0</v>
      </c>
      <c r="GC61" s="40">
        <f>SnapshotTable[[#This Row],[Long Term Target]] * SellingPriceToConsiderBasedOnTargetPercentage</f>
        <v>26.581</v>
      </c>
      <c r="GD61" s="40">
        <f>SnapshotTable[[#This Row],[Last Price]] * (1+ SellingPriceToConsiderBasedOnTargetPercentage)</f>
        <v>84.474000000000004</v>
      </c>
      <c r="GE61" s="41"/>
      <c r="GF61" s="40"/>
      <c r="GG61" s="31">
        <f>SnapshotTable[[#This Row],[Booked Sale Shares]] * SnapshotTable[[#This Row],[Booked Sale Price]]</f>
        <v>0</v>
      </c>
      <c r="GH61" s="31" t="str">
        <f>IF(SnapshotTable[[#This Row],[Equity Basis Total]] &gt; 0, SnapshotTable[[#This Row],[Equity Basis Per Share]] * SnapshotTable[[#This Row],[Booked Sale Shares]], "")</f>
        <v/>
      </c>
      <c r="GI61" s="31">
        <f>IF(SnapshotTable[[#This Row],[Sale Proceeds]]&gt;0, SnapshotTable[[#This Row],[Sale Proceeds]] - SnapshotTable[[#This Row],[Sale Basis]], 0)</f>
        <v>0</v>
      </c>
      <c r="GJ61" s="27" t="str">
        <f>IF(SnapshotTable[[#This Row],[Sale G/L]]&gt;0, SnapshotTable[[#This Row],[Sale G/L]] / SnapshotTable[[#This Row],[Sale Basis]], IF(ISNUMBER(SnapshotTable[[#This Row],[SC Exercise P&amp;L (TAX)]]), SnapshotTable[[#This Row],[SC Exercise P&amp;L (TAX)]] / SnapshotTable[[#This Row],[SC Basis]], ""))</f>
        <v/>
      </c>
      <c r="GK61" s="27" t="s">
        <v>553</v>
      </c>
      <c r="GL61" s="43" t="str">
        <f>IF(AND(SnapshotTable[[#This Row],[LP Exp Date]]&gt;0,SnapshotTable[[#This Row],[LP Strike Price]]&gt;0), [1]!ToOptionSymbol(SnapshotTable[[#This Row],[Symbol]], SnapshotTable[[#This Row],[LP Strike Price]],SnapshotTable[[#This Row],[LP Exp Date]],1), "")</f>
        <v/>
      </c>
      <c r="GM61" s="30" t="str">
        <f>IF(LEN(SnapshotTable[[#This Row],[LP Symbol]])&gt;0, 1, "")</f>
        <v/>
      </c>
      <c r="GN61" s="43" t="str">
        <f>IF(AND(SnapshotTable[[#This Row],[SP Exp Date]]&gt;0,SnapshotTable[[#This Row],[SP Strike Price]]&gt;0), [1]!ToOptionSymbol(SnapshotTable[[#This Row],[Symbol]], SnapshotTable[[#This Row],[SP Strike Price]],SnapshotTable[[#This Row],[SP Exp Date]],1), "")</f>
        <v/>
      </c>
      <c r="GO61" s="30" t="str">
        <f>IF(LEN(SnapshotTable[[#This Row],[SP Symbol]])&gt;0, 1, "")</f>
        <v/>
      </c>
      <c r="GP61" s="43" t="str">
        <f>IF(AND(SnapshotTable[[#This Row],[LC Exp Date]]&gt;0,SnapshotTable[[#This Row],[LC Strike Price]]&gt;0), [1]!ToOptionSymbol(SnapshotTable[[#This Row],[Symbol]], SnapshotTable[[#This Row],[LC Strike Price]],SnapshotTable[[#This Row],[LC Exp Date]],0), "")</f>
        <v/>
      </c>
      <c r="GQ61" s="30" t="str">
        <f>IF(LEN(SnapshotTable[[#This Row],[LC Symbol]])&gt;0, 1, "")</f>
        <v/>
      </c>
      <c r="GR61" s="43" t="str">
        <f>IF(AND(SnapshotTable[[#This Row],[SC Exp Date]]&gt;0,SnapshotTable[[#This Row],[SC Strike Price]]&gt;0), [1]!ToOptionSymbol(SnapshotTable[[#This Row],[Symbol]], SnapshotTable[[#This Row],[SC Strike Price]],SnapshotTable[[#This Row],[SC Exp Date]],0), "")</f>
        <v/>
      </c>
      <c r="GS61" s="30" t="str">
        <f>IF(LEN(SnapshotTable[[#This Row],[SC Symbol]])&gt;0, 1, "")</f>
        <v/>
      </c>
      <c r="GT61" s="29" t="str">
        <f>IF(COUNT(SnapshotTable[[#This Row],[LP Symbol Count]],SnapshotTable[[#This Row],[SP Symbol Count]],SnapshotTable[[#This Row],[LC Symbol Count]],SnapshotTable[[#This Row],[SC Symbol Count]])&gt;0, "Y", "")</f>
        <v/>
      </c>
      <c r="GU6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1" s="216">
        <f>MAX(SnapshotTable[[#This Row],[Equity Basis Total]],SnapshotTable[[#This Row],[Equity Value]]) + (SnapshotTable[[#This Row],[SP Potential Spend]]- SnapshotTable[[#This Row],[SP Premium]] + SnapshotTable[[#This Row],[LP Premium]])+ (SnapshotTable[[#This Row],[LC Premium]] - SnapshotTable[[#This Row],[SC Premium]])</f>
        <v>0</v>
      </c>
      <c r="GW61" s="137" t="str">
        <f>IF(AND(SnapshotTable[[#This Row],[Exposure]] &lt;&gt; 0),SnapshotTable[[#This Row],[Exposure]] / SnapshotTable[[#Totals],[Exposure]], "")</f>
        <v/>
      </c>
      <c r="GY61" s="351"/>
      <c r="HE61" s="253"/>
      <c r="HF61" s="253"/>
      <c r="HG61" s="351"/>
      <c r="HH61" s="351"/>
      <c r="HI61" s="351"/>
      <c r="HJ61" s="351"/>
    </row>
    <row r="62" spans="2:224" ht="12.75" hidden="1" customHeight="1" x14ac:dyDescent="0.25">
      <c r="B62" s="12" t="s">
        <v>746</v>
      </c>
      <c r="C62" s="385">
        <v>260.02</v>
      </c>
      <c r="D62" s="200" t="s">
        <v>473</v>
      </c>
      <c r="E62" s="39">
        <f>SnapshotTable[[#This Row],[Last Price]]*(1 -CrashDiscount)</f>
        <v>221.01699999999997</v>
      </c>
      <c r="F62" s="26" t="s">
        <v>747</v>
      </c>
      <c r="G62" s="296" t="s">
        <v>4</v>
      </c>
      <c r="H62" s="147"/>
      <c r="I62" s="186">
        <v>44774.333333333336</v>
      </c>
      <c r="J62" s="187">
        <v>44774.333333333336</v>
      </c>
      <c r="K62" s="188"/>
      <c r="L62" s="297"/>
      <c r="M62" s="138"/>
      <c r="N62" s="138"/>
      <c r="O62" s="138"/>
      <c r="P62" s="22"/>
      <c r="Q62" s="25"/>
      <c r="R62" s="4" t="str">
        <f>IF(SnapshotTable[[#This Row],[Equity Basis Total]] &gt; 0, SnapshotTable[[#This Row],[Equity Basis Total]] / SnapshotTable[[#This Row],[Equity Shares]], "")</f>
        <v/>
      </c>
      <c r="S62" s="254">
        <f>SnapshotTable[[#This Row],[Last Price]] * SnapshotTable[[#This Row],[Equity Shares]]</f>
        <v>0</v>
      </c>
      <c r="T62" s="254">
        <f>SnapshotTable[[#This Row],[Equity Value]] - SnapshotTable[[#This Row],[Equity Basis Total]]</f>
        <v>0</v>
      </c>
      <c r="U62" s="255" t="str">
        <f>IF(SnapshotTable[[#This Row],[Equity Basis Total]] &gt; 0, SnapshotTable[[#This Row],[Equity G/L]] / SnapshotTable[[#This Row],[Equity Basis Total]], "")</f>
        <v/>
      </c>
      <c r="V62" s="253"/>
      <c r="W62" s="253"/>
      <c r="X62" s="4" t="str">
        <f>IF(AND(ISNUMBER(SnapshotTable[[#This Row],[Equity Basis Per Share]]),ISNUMBER(SnapshotTable[[#This Row],[Equity Target]])),SnapshotTable[[#This Row],[Equity Target]]-SnapshotTable[[#This Row],[Equity Basis Per Share]],"")</f>
        <v/>
      </c>
      <c r="Y62" s="4" t="str">
        <f>IF(AND(ISNUMBER(SnapshotTable[[#This Row],[Equity Basis Per Share]]),ISNUMBER(SnapshotTable[[#This Row],[Equity Stop Loss]])),SnapshotTable[[#This Row],[Equity Stop Loss]]-SnapshotTable[[#This Row],[Equity Basis Per Share]],"")</f>
        <v/>
      </c>
      <c r="Z62" s="260" t="str">
        <f>IFERROR( TEXT(SnapshotTable[[#This Row],[Equity Max Gain Per Share]] /ABS( SnapshotTable[[#This Row],[Equity Max Loss Per Share]]),"0.0 " ) &amp; " : 1", "")</f>
        <v/>
      </c>
      <c r="AA62" s="31" t="str">
        <f>IF(ISNUMBER(SnapshotTable[[#This Row],[Equity Max Gain Per Share]]),SnapshotTable[[#This Row],[Equity Max Gain Per Share]] * SnapshotTable[[#This Row],[Equity Shares]],"")</f>
        <v/>
      </c>
      <c r="AB62" s="31" t="str">
        <f>IF(ISNUMBER(SnapshotTable[[#This Row],[Equity Max Loss Per Share]]),SnapshotTable[[#This Row],[Equity Max Loss Per Share]] * SnapshotTable[[#This Row],[Equity Shares]],"")</f>
        <v/>
      </c>
      <c r="AC62" s="148"/>
      <c r="AD62" s="149"/>
      <c r="AE62" s="31">
        <f>(SnapshotTable[[#This Row],[Annual Dividend Per Share]] / 4) * SnapshotTable[[#This Row],[Equity Shares]]</f>
        <v>0</v>
      </c>
      <c r="AF62" s="31">
        <f>SnapshotTable[[#This Row],[Quarterly Div $]] * 4</f>
        <v>0</v>
      </c>
      <c r="AG62" s="7">
        <f>IF(SnapshotTable[[#This Row],[Annual Dividend Per Share]]&gt;0, SnapshotTable[[#This Row],[Annual Dividend Per Share]]  / SnapshotTable[[#This Row],[Last Price]], 0)</f>
        <v>0</v>
      </c>
      <c r="AH62" s="149"/>
      <c r="AI62" s="5"/>
      <c r="AJ62" s="136">
        <v>260</v>
      </c>
      <c r="AK62" s="150" t="str">
        <f>IF(ISNUMBER( SnapshotTable[[#This Row],[EBF Target]]),(SnapshotTable[[#This Row],[EBF Target]] - SnapshotTable[[#This Row],[Last Price]]) / SnapshotTable[[#This Row],[Last Price]], "")</f>
        <v/>
      </c>
      <c r="AL62" s="150" t="str">
        <f>IF(AND(SnapshotTable[[#This Row],[Equity Basis Total]] &gt; 0,ISNUMBER( SnapshotTable[[#This Row],[Long Term Target]])), SnapshotTable[[#This Row],[From Basis $]] / SnapshotTable[[#This Row],[Equity Basis Total]], "")</f>
        <v/>
      </c>
      <c r="AM62" s="9">
        <f>IF( AND(SnapshotTable[[#This Row],[Equity Shares]] &gt;0,ISNUMBER( SnapshotTable[[#This Row],[Long Term Target]])),(SnapshotTable[[#This Row],[Equity Shares]] * SnapshotTable[[#This Row],[Long Term Target]]) - SnapshotTable[[#This Row],[Equity Basis Total]],0)</f>
        <v>0</v>
      </c>
      <c r="AN62" s="9">
        <f>IF( AND(SnapshotTable[[#This Row],[Equity Shares]] &gt;0,ISNUMBER( SnapshotTable[[#This Row],[Long Term Target]])),(SnapshotTable[[#This Row],[Equity Shares]]*SnapshotTable[[#This Row],[Long Term Target]]) - SnapshotTable[[#This Row],[Equity Value]],0)</f>
        <v>0</v>
      </c>
      <c r="AO62" s="150">
        <f>IF(AND(ISNUMBER( SnapshotTable[[#This Row],[Long Term Target]]), ISNUMBER(SnapshotTable[[#This Row],[Last Price]])),(SnapshotTable[[#This Row],[Long Term Target]] - SnapshotTable[[#This Row],[Last Price]]) / SnapshotTable[[#This Row],[Last Price]], "")</f>
        <v>-7.6917160218374791E-5</v>
      </c>
      <c r="AP62" s="5">
        <v>257.5</v>
      </c>
      <c r="AQ62" s="38" t="s">
        <v>16</v>
      </c>
      <c r="AR62" s="5">
        <v>257.5</v>
      </c>
      <c r="AS62" s="38" t="s">
        <v>22</v>
      </c>
      <c r="AT62" s="144" t="s">
        <v>442</v>
      </c>
      <c r="AU62" s="185" t="str">
        <f>IF(OR(SnapshotTable[[#This Row],[LP No Fill]]="Y",SnapshotTable[[#This Row],[SP Is Filled]],SnapshotTable[[#This Row],[LC Not Filled]]="Y",SnapshotTable[[#This Row],[SC Is Filled]]),"Y","")</f>
        <v/>
      </c>
      <c r="AV62" s="205"/>
      <c r="AW62" s="211"/>
      <c r="AX62" s="206"/>
      <c r="AY62" s="205" t="str">
        <f>IF(SnapshotTable[[#This Row],[Implied Move]]&gt;0, SnapshotTable[[#This Row],[Last Price]]-SnapshotTable[[#This Row],[Implied Move]],"")</f>
        <v/>
      </c>
      <c r="AZ62" s="205" t="str">
        <f>IF(SnapshotTable[[#This Row],[Implied Move]]&gt;0, SnapshotTable[[#This Row],[Last Price]] + SnapshotTable[[#This Row],[Implied Move]],"")</f>
        <v/>
      </c>
      <c r="BA62" s="302">
        <v>222.71</v>
      </c>
      <c r="BB62" s="318"/>
      <c r="BC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2" s="321"/>
      <c r="BE62" s="5"/>
      <c r="BF62" s="14"/>
      <c r="BG62" s="13"/>
      <c r="BH62" s="13"/>
      <c r="BI62" s="5"/>
      <c r="BJ62" s="134">
        <f>IF(SnapshotTable[[#This Row],[LP Qty]] &gt; 0, SnapshotTable[[#This Row],[LP Qty]] * SnapshotTable[[#This Row],[LP Book Price]] * 100,0)</f>
        <v>0</v>
      </c>
      <c r="BK62" s="134">
        <f>IF(SnapshotTable[[#This Row],[LP Premium]] &gt; 0, SnapshotTable[[#This Row],[LP Qty]] * SnapshotTable[[#This Row],[LP Strike Price]] * 100,0)</f>
        <v>0</v>
      </c>
      <c r="BL62" s="152"/>
      <c r="BM62" s="355" t="str">
        <f>IF(SnapshotTable[[#This Row],[LP Premium]] &gt; 0,SnapshotTable[[#This Row],[LP Exp Date]]-MAX(SnapshotTable[[#This Row],[LP Book Date]], SnapshotTable[[#This Row],[LP Fill Date]]),"")</f>
        <v/>
      </c>
      <c r="BN62" s="355" t="str">
        <f>IF(ISNUMBER( SnapshotTable[[#This Row],[LP Term]]), SnapshotTable[[#This Row],[LP Exp Date]] - MockToday,"")</f>
        <v/>
      </c>
      <c r="BO62" s="161" t="str">
        <f>IF(AND(SnapshotTable[[#This Row],[LP Exp Date]]&gt;0, SnapshotTable[[#This Row],[LP Strike Price]]&gt;0,SnapshotTable[[#This Row],[LP Qty]]&gt;0,SnapshotTable[[#This Row],[LP Book Date]]&gt;0,SnapshotTable[[#This Row],[LP Book Price]]&gt;0,SnapshotTable[[#This Row],[LP Fill Date]]=0),"Y","")</f>
        <v/>
      </c>
      <c r="BP62" s="31" t="str">
        <f>IF(AND(SnapshotTable[[#This Row],[LP No Fill]]&lt;&gt;"Y",SnapshotTable[[#This Row],[LP Contract Value]]&gt;0, SnapshotTable[[#This Row],[LP Qty]]&gt;0), SnapshotTable[[#This Row],[LP Contract Value]]*SnapshotTable[[#This Row],[LP Qty]]*100,"")</f>
        <v/>
      </c>
      <c r="BQ62" s="13"/>
      <c r="BR62" s="5"/>
      <c r="BS62" s="36"/>
      <c r="BT62" s="145"/>
      <c r="BU62" s="13"/>
      <c r="BV62" s="5"/>
      <c r="BW62" s="382" t="b">
        <f>AND(ISNUMBER(SnapshotTable[[#This Row],[SP Exp Date]]), ISNUMBER(SnapshotTable[[#This Row],[SP Strike Price]]), ISNUMBER(SnapshotTable[[#This Row],[SP Qty]]), ISNUMBER(SnapshotTable[[#This Row],[SP Book Date]]), ISNUMBER(SnapshotTable[[#This Row],[SP Book Price]]))</f>
        <v>0</v>
      </c>
      <c r="BX62" s="382" t="b">
        <f>AND(SnapshotTable[[#This Row],[SP Is Booked]], NOT(ISBLANK(SnapshotTable[[#This Row],[SP Fill Date]])))</f>
        <v>0</v>
      </c>
      <c r="BY62" s="33">
        <f>IF(SnapshotTable[[#This Row],[SP Is Booked]], SnapshotTable[[#This Row],[SP Qty]] * SnapshotTable[[#This Row],[SP Book Price]] * 100, 0)</f>
        <v>0</v>
      </c>
      <c r="BZ62" s="339"/>
      <c r="CA62" s="338">
        <f>SnapshotTable[[#This Row],[LP Qty]]</f>
        <v>0</v>
      </c>
      <c r="CB62" s="4" t="str">
        <f>IF(SnapshotTable[[#This Row],[SP Is Booked]], SnapshotTable[[#This Row],[SP Strike Price]] - SnapshotTable[[#This Row],[SP Book Price]], "")</f>
        <v/>
      </c>
      <c r="CC62" s="19" t="str">
        <f>IF(SnapshotTable[[#This Row],[SP Is Booked]],SnapshotTable[[#This Row],[SP Exp Date]]-MAX(SnapshotTable[[#This Row],[SP Book Date]], SnapshotTable[[#This Row],[SP Fill Date]]),"")</f>
        <v/>
      </c>
      <c r="CD62" s="7" t="str">
        <f>IF(SnapshotTable[[#This Row],[SP Is Booked]], SnapshotTable[[#This Row],[SP Book Price]]/SnapshotTable[[#This Row],[SP Strike Price]], "")</f>
        <v/>
      </c>
      <c r="CE62" s="7" t="str">
        <f>IF(ISNUMBER(SnapshotTable[[#This Row],[SP ROO Term]]),SnapshotTable[[#This Row],[SP ROO Term]]*(365/SnapshotTable[[#This Row],[SP Term]]),"")</f>
        <v/>
      </c>
      <c r="CF62" s="221">
        <f>SnapshotTable[[#This Row],[LP Strike Price]] * SnapshotTable[[#This Row],[LP Qty]] * 100</f>
        <v>0</v>
      </c>
      <c r="CG62" s="31">
        <f>IF(ISNUMBER(SnapshotTable[[#This Row],[SP Premium]]), (SnapshotTable[[#This Row],[SP Qty]] * SnapshotTable[[#This Row],[SP Strike Price]]* 100) - SnapshotTable[[#This Row],[LP Protection]], 0)</f>
        <v>0</v>
      </c>
      <c r="CH62" s="7" t="str">
        <f>IF(ISNUMBER(SnapshotTable[[#This Row],[SP Break Even]]),-1 * (SnapshotTable[[#This Row],[SP Break Even]] - SnapshotTable[[#This Row],[Last Price]]) / SnapshotTable[[#This Row],[Last Price]], "")</f>
        <v/>
      </c>
      <c r="CI62" s="31">
        <f>IF(AND(ISNUMBER((SnapshotTable[[#This Row],[SP Potential Spend]])), SnapshotTable[[#This Row],[SP Strike Price]] &gt; SnapshotTable[[#This Row],[Last Price]], SnapshotTable[[#This Row],[SP Is Filled]]), SnapshotTable[[#This Row],[SP Potential Spend]] -  SnapshotTable[[#This Row],[LP Max Value]], 0)</f>
        <v>0</v>
      </c>
      <c r="CJ62" s="229"/>
      <c r="CK62" s="31">
        <f>IF(ISNUMBER(SnapshotTable[[#This Row],[SP Potential Spend]]),IF(ISNUMBER(SnapshotTable[[#This Row],[SP POW]]), SnapshotTable[[#This Row],[SP POW]] * SnapshotTable[[#This Row],[SP Potential Spend]], SnapshotTable[[#This Row],[SP Potential Spend]]), "")</f>
        <v>0</v>
      </c>
      <c r="CL62" s="162">
        <f>IF(NOT(SnapshotTable[[#This Row],[SP Is Filled]]),(SnapshotTable[[#This Row],[SP Qty]] * SnapshotTable[[#This Row],[SP Strike Price]] * 100) - SnapshotTable[[#This Row],[LP Max Value]],"")</f>
        <v>0</v>
      </c>
      <c r="CM62" s="31" t="str">
        <f>IF(SnapshotTable[[#This Row],[SP Actual Spend]]&lt;&gt;0, ((SnapshotTable[[#This Row],[SP Strike Price]]-SnapshotTable[[#This Row],[Last Price]]) *(SnapshotTable[[#This Row],[SP Qty]]*100) - SnapshotTable[[#This Row],[SP Premium]]) * - 1, "")</f>
        <v/>
      </c>
      <c r="CN62" s="204"/>
      <c r="CO62" s="339"/>
      <c r="CP62" s="4" t="str">
        <f>IF(SnapshotTable[[#This Row],[SP Is Filled]], btc_max_buyback_amount(SnapshotTable[[#This Row],[SP Fill Date]],SnapshotTable[[#This Row],[SP Exp Date]], SnapshotTable[[#This Row],[SP Book Price]]),"")</f>
        <v/>
      </c>
      <c r="CQ62" s="76"/>
      <c r="CR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2" s="153" t="str">
        <f>IF(SnapshotTable[[#This Row],[SP Is Filled]], btc_next_cutoff_date(SnapshotTable[[#This Row],[SP Fill Date]],SnapshotTable[[#This Row],[SP Exp Date]]),"")</f>
        <v/>
      </c>
      <c r="CT62" s="220" t="str" cm="1">
        <f t="array" ref="CT62">IF(SnapshotTable[[#This Row],[SP Is Filled]], btc_should_buy_back(SnapshotTable[[#This Row],[SP Fill Date]], SnapshotTable[[#This Row],[SP Exp Date]], SnapshotTable[[#This Row],[SP Book Price]], SnapshotTable[[#This Row],[SP Current Ask]], MockToday, SnapshotTable[[#This Row],[SP Buyback Override]]),"")</f>
        <v/>
      </c>
      <c r="CU62" s="141">
        <v>44205</v>
      </c>
      <c r="CV62" s="220"/>
      <c r="CW62" s="348" t="str">
        <f>IF(ISNUMBER( SnapshotTable[[#This Row],[SP Term]]), SnapshotTable[[#This Row],[SP Exp Date]] - MockToday,"")</f>
        <v/>
      </c>
      <c r="CX62" s="31" t="str">
        <f>IF(SnapshotTable[[#This Row],[SP Is Filled]],SnapshotTable[[#This Row],[SP Buyback Price to Use]] * 100 * SnapshotTable[[#This Row],[SP Qty]], "")</f>
        <v/>
      </c>
      <c r="CY62" s="4" t="str">
        <f>IF(ISNUMBER(SnapshotTable[[#This Row],[SP Strike Price]]), SnapshotTable[[#This Row],[SP Strike Price]] * (1 - SP_MaxLoss_StrikePct), "")</f>
        <v/>
      </c>
      <c r="CZ62" s="31" t="str">
        <f>IF(ISNUMBER(SnapshotTable[[#This Row],[SP Strike  Stop Per Share]]),SnapshotTable[[#This Row],[SP Premium]] - ((SnapshotTable[[#This Row],[SP Strike Price]]-SnapshotTable[[#This Row],[SP Strike  Stop Per Share]]) *(SnapshotTable[[#This Row],[SP Qty]] * 100)),"")</f>
        <v/>
      </c>
      <c r="DA62" s="4" t="str">
        <f>IF(AND(ISNUMBER(SnapshotTable[[#This Row],[SP Premium]]),SnapshotTable[[#This Row],[SP Premium]]&gt;0), SnapshotTable[[#This Row],[SP Book Price]] * (1 + SP_MaxLoss_OptionPct), "")</f>
        <v/>
      </c>
      <c r="DB62" s="31" t="str">
        <f>IF(ISNUMBER(SnapshotTable[[#This Row],[SP Option  Stop Contract]]),(SnapshotTable[[#This Row],[SP Option  Stop Contract]] *(SnapshotTable[[#This Row],[SP Qty]] * 100) - SnapshotTable[[#This Row],[SP Premium]]),"")</f>
        <v/>
      </c>
      <c r="DC62" s="4"/>
      <c r="DD62" s="4"/>
      <c r="DE62" s="4" t="str">
        <f>IF(AND(SnapshotTable[[#This Row],[SP Qty]]&gt;0, SnapshotTable[[#This Row],[SP Stop To Use]]&gt;0),SnapshotTable[[#This Row],[SP Premium]] - ( SnapshotTable[[#This Row],[SP Qty]] * SnapshotTable[[#This Row],[SP Stop To Use]] * 100), "")</f>
        <v/>
      </c>
      <c r="DF62" s="31" t="str">
        <f>IF(AND(SnapshotTable[[#This Row],[SP Qty]]&gt;0,SnapshotTable[[#This Row],[SP Current Ask]]&gt;0), SnapshotTable[[#This Row],[SP Qty]] * SnapshotTable[[#This Row],[SP Current Ask]] * -100, "")</f>
        <v/>
      </c>
      <c r="DG62" s="31" t="str">
        <f>IF(ISNUMBER((SnapshotTable[[#This Row],[SP Total Value]])), SnapshotTable[[#This Row],[SP Premium]] + SnapshotTable[[#This Row],[SP Total Value]], "")</f>
        <v/>
      </c>
      <c r="DH62" s="272" t="str">
        <f>IF(ISNUMBER((SnapshotTable[[#This Row],[SP Total Value]])), SnapshotTable[[#This Row],[SP Gain Loss]] / SnapshotTable[[#This Row],[SP Premium]], "")</f>
        <v/>
      </c>
      <c r="DI62" s="369"/>
      <c r="DJ62" s="136"/>
      <c r="DK62" s="146"/>
      <c r="DL62" s="13"/>
      <c r="DM62" s="13"/>
      <c r="DO62" s="31">
        <f>IF(SnapshotTable[[#This Row],[LC Symbol Count]]=1, SnapshotTable[[#This Row],[LC Qty]] * SnapshotTable[[#This Row],[LC Book Price]] * 100, 0)</f>
        <v>0</v>
      </c>
      <c r="DP62" s="161" t="str">
        <f>IF(AND(SnapshotTable[[#This Row],[LC Exp Date]]&gt;0, SnapshotTable[[#This Row],[LC Strike Price]]&gt;0,SnapshotTable[[#This Row],[LC Qty]]&gt;0,SnapshotTable[[#This Row],[LC Book Date]]&gt;0,SnapshotTable[[#This Row],[LC Book Price]]&gt;0,SnapshotTable[[#This Row],[LC Fill Date]]=0),"Y","")</f>
        <v/>
      </c>
      <c r="DQ62" s="356" t="str">
        <f>IF(SnapshotTable[[#This Row],[LC Premium]] &gt; 0,SnapshotTable[[#This Row],[LC Exp Date]]-MAX(SnapshotTable[[#This Row],[LC Book Date]], SnapshotTable[[#This Row],[LC Fill Date]]),"")</f>
        <v/>
      </c>
      <c r="DR62" s="356" t="str">
        <f>IF(ISNUMBER(SnapshotTable[[#This Row],[LC Term]]), SnapshotTable[[#This Row],[LC Exp Date]] - MockToday, "")</f>
        <v/>
      </c>
      <c r="DS62" s="219" t="str">
        <f>IF(SnapshotTable[[#This Row],[LC Premium]]&gt;0,SnapshotTable[[#This Row],[LC Strike Price]] + SnapshotTable[[#This Row],[LC Book Price]],"")</f>
        <v/>
      </c>
      <c r="DU62" s="9" t="str">
        <f>IF(AND(SnapshotTable[[#This Row],[LC Symbol Count]]&gt;0, SnapshotTable[[#This Row],[LC Contract Value]]&gt;0), SnapshotTable[[#This Row],[LC Contract Value]] * SnapshotTable[[#This Row],[LC Qty]] * 100, "")</f>
        <v/>
      </c>
      <c r="DV62" s="9" t="str">
        <f>IF(AND(ISNUMBER(SnapshotTable[[#This Row],[LC Total Value]]), SnapshotTable[[#This Row],[LC Not Filled]]&lt;&gt;"Y"), SnapshotTable[[#This Row],[LC Total Value]]-SnapshotTable[[#This Row],[LC Premium]],"")</f>
        <v/>
      </c>
      <c r="DW62" s="225" t="str">
        <f>IF(ISNUMBER(SnapshotTable[[#This Row],[LC Actual Gain Loss]]), SnapshotTable[[#This Row],[LC Actual Gain Loss]] / SnapshotTable[[#This Row],[LC Premium]],"")</f>
        <v/>
      </c>
      <c r="DX62" s="269" t="str">
        <f>IF(ISNUMBER(SnapshotTable[[#This Row],[LC Book Price]]),SnapshotTable[[#This Row],[LC Book Price]] * 1.5,"")</f>
        <v/>
      </c>
      <c r="DY62" s="250" t="str">
        <f>IF(SnapshotTable[[#This Row],[LC Premium]]&gt;0, SnapshotTable[[#This Row],[LC Next Target]] * SnapshotTable[[#This Row],[LC Qty]] * 100,"")</f>
        <v/>
      </c>
      <c r="DZ62" s="250" t="str">
        <f>IF(ISNUMBER(SnapshotTable[[#This Row],[LC Target Gross]]), SnapshotTable[[#This Row],[LC Target Gross]] - SnapshotTable[[#This Row],[LC Premium]], "")</f>
        <v/>
      </c>
      <c r="EA62" s="283" t="str">
        <f>IF(ISNUMBER(SnapshotTable[[#This Row],[LC Target Gain Loss]]), SnapshotTable[[#This Row],[LC Target Gain Loss]]/SnapshotTable[[#This Row],[LC Premium]], "")</f>
        <v/>
      </c>
      <c r="EB62" s="247"/>
      <c r="EC62" s="268" t="str">
        <f>IF(SnapshotTable[[#This Row],[LC Premium]]&gt;0, SnapshotTable[[#This Row],[LC Book Price]] * (1 - LC_StopLoss_Pct),"")</f>
        <v/>
      </c>
      <c r="ED62" s="269"/>
      <c r="EE62" s="268" t="str">
        <f>IF(ISNUMBER(SnapshotTable[[#This Row],[LC Contract Value]]),IF(ISNUMBER(SnapshotTable[[#This Row],[LC Stop Loss Override]]), SnapshotTable[[#This Row],[LC Stop Loss Override]],SnapshotTable[[#This Row],[LC Stop Loss Calc Target]]),"")</f>
        <v/>
      </c>
      <c r="EF62" s="31" t="str">
        <f>IF(ISNUMBER(SnapshotTable[[#This Row],[LC Stop  To Use]]), (SnapshotTable[[#This Row],[LC Stop  To Use]] * SnapshotTable[[#This Row],[LC Qty]] * 100),"")</f>
        <v/>
      </c>
      <c r="EG62" s="9" t="str">
        <f>IF(ISNUMBER(SnapshotTable[[#This Row],[LC Total Value]]),SnapshotTable[[#This Row],[LC Stop Loss Amount]] - SnapshotTable[[#This Row],[LC Premium]],"")</f>
        <v/>
      </c>
      <c r="EH62" s="9">
        <f>IF(ISNUMBER(SnapshotTable[[#This Row],[LC Premium]]), SnapshotTable[[#This Row],[LC Qty]] * 100 * SnapshotTable[[#This Row],[LC Strike Price]], "")</f>
        <v>0</v>
      </c>
      <c r="EI62" s="225" t="str">
        <f>IF(AND(ISNUMBER(SnapshotTable[[#This Row],[LC Total Value]]),SnapshotTable[[#This Row],[LC Total Value]]&gt;0),SnapshotTable[[#This Row],[LC Stop Gain Loss]]  / SnapshotTable[[#This Row],[LC Premium]],"")</f>
        <v/>
      </c>
      <c r="EJ62" s="35">
        <f>IF(ISNUMBER(SnapshotTable[[#This Row],[Equity Shares]]),TRUNC(SnapshotTable[[#This Row],[Equity Shares]] / 100),0) + SnapshotTable[[#This Row],[LC Qty]]</f>
        <v>0</v>
      </c>
      <c r="EK62" s="145"/>
      <c r="EL62" s="136"/>
      <c r="EM62" s="146"/>
      <c r="EN62" s="145"/>
      <c r="EO62" s="145"/>
      <c r="EP62" s="136"/>
      <c r="EQ62" s="382" t="b">
        <f>AND(ISNUMBER(SnapshotTable[[#This Row],[SC Exp Date]]), ISNUMBER(SnapshotTable[[#This Row],[SC Strike Price]]), ISNUMBER(SnapshotTable[[#This Row],[SC Qty]]), ISNUMBER(SnapshotTable[[#This Row],[SC Book Date]]), ISNUMBER(SnapshotTable[[#This Row],[SC Book Price]]))</f>
        <v>0</v>
      </c>
      <c r="ER62" s="382" t="b">
        <f>AND(SnapshotTable[[#This Row],[SC Is Booked]], NOT(ISBLANK(SnapshotTable[[#This Row],[SC Fill Date]])))</f>
        <v>0</v>
      </c>
      <c r="ES62" s="340"/>
      <c r="ET62" s="34" t="str">
        <f>IF(AND(ISNUMBER(SnapshotTable[[#This Row],[SC Exp Date]]), ISNUMBER(SnapshotTable[[#This Row],[SC Book Date]])), SnapshotTable[[#This Row],[SC Exp Date]] - MAX(SnapshotTable[[#This Row],[SC Book Date]], SnapshotTable[[#This Row],[SC Fill Date]]) + 1, "")</f>
        <v/>
      </c>
      <c r="EU62" s="34" t="str">
        <f>IF(ISNUMBER(SnapshotTable[[#This Row],[SC Term]]), SnapshotTable[[#This Row],[SC Exp Date]]- MockToday, "")</f>
        <v/>
      </c>
      <c r="EV62" s="31">
        <f>IF(SnapshotTable[[#This Row],[SC Is Booked]], SnapshotTable[[#This Row],[SC Qty]] * SnapshotTable[[#This Row],[SC Book Price]] * 100, 0)</f>
        <v>0</v>
      </c>
      <c r="EW62" s="4" t="str">
        <f>IF(AND(ISNUMBER(SnapshotTable[[#This Row],[Last Price]]), ISNUMBER( SnapshotTable[[#This Row],[SC Book Price]])), SnapshotTable[[#This Row],[Last Price]] - SnapshotTable[[#This Row],[SC Book Price]],"")</f>
        <v/>
      </c>
      <c r="EX62" s="219" t="str">
        <f>IF(SnapshotTable[[#This Row],[SC Is Booked]],IF(SnapshotTable[[#This Row],[SC Intrinsic Value]] &gt; 0, SnapshotTable[[#This Row],[SC Strike Price]], SnapshotTable[[#This Row],[Last Price]]), "")</f>
        <v/>
      </c>
      <c r="EY62" s="4">
        <f>IF(SnapshotTable[[#This Row],[SC Is Booked]], (MinimumPremiumRequired * SnapshotTable[[#This Row],[SC Basis]] * SnapshotTable[[#This Row],[SC Term]]), 0)</f>
        <v>0</v>
      </c>
      <c r="EZ62" s="268"/>
      <c r="FA62" s="204"/>
      <c r="FB62" s="340"/>
      <c r="FC62" s="4">
        <f>IF(SnapshotTable[[#This Row],[SC Is Filled]], btc_max_buyback_amount(SnapshotTable[[#This Row],[SC Fill Date]],SnapshotTable[[#This Row],[SC Exp Date]], SnapshotTable[[#This Row],[SC Book Price]]),0)</f>
        <v>0</v>
      </c>
      <c r="FD62" s="5"/>
      <c r="FE62" s="142" t="str">
        <f>IF(SnapshotTable[[#This Row],[SC Is Filled]], btc_next_cutoff_date(SnapshotTable[[#This Row],[SC Fill Date]],SnapshotTable[[#This Row],[SC Exp Date]]),"")</f>
        <v/>
      </c>
      <c r="FF62" s="4" t="str" cm="1">
        <f t="array" ref="FF62">IF(SnapshotTable[[#This Row],[SC Is Filled]], btc_should_buy_back(SnapshotTable[[#This Row],[SC Fill Date]], SnapshotTable[[#This Row],[SC Exp Date]], SnapshotTable[[#This Row],[SC Book Price]], SnapshotTable[[#This Row],[SC Current Ask]], MockToday, SnapshotTable[[#This Row],[SC Buyback Override]]),"")</f>
        <v/>
      </c>
      <c r="FG62" s="4">
        <f>IF(SnapshotTable[[#This Row],[SC Is Filled]], MAX(0,SnapshotTable[[#This Row],[Last Price]]  - SnapshotTable[[#This Row],[SC Strike Price]]), 0)</f>
        <v>0</v>
      </c>
      <c r="FH62" s="352">
        <f>IF(SnapshotTable[[#This Row],[SC Is Filled]], IF(ISNUMBER(SnapshotTable[[#This Row],[SC Current Ask]]), SnapshotTable[[#This Row],[SC Current Ask]], SnapshotTable[[#This Row],[SC Book Price]]) - SnapshotTable[[#This Row],[SC Intrinsic Value]], 0)</f>
        <v>0</v>
      </c>
      <c r="FI62" s="141"/>
      <c r="FJ62" s="32" t="str">
        <f>IF(SnapshotTable[[#This Row],[SC Is Filled]],100 * SnapshotTable[[#This Row],[SC Qty]] * IF(ISNUMBER(SnapshotTable[[#This Row],[SC Buyback Override]]), SnapshotTable[[#This Row],[SC Buyback Override]], SnapshotTable[[#This Row],[SC Current Ask]]), "")</f>
        <v/>
      </c>
      <c r="FK62" s="235" t="str">
        <f>IF(SnapshotTable[[#This Row],[SC Time Val]]&gt;0, SnapshotTable[[#This Row],[SC Time Val]] / SnapshotTable[[#This Row],[Last Price]],"")</f>
        <v/>
      </c>
      <c r="FL62" s="280" t="str">
        <f>IF(SnapshotTable[[#This Row],[SC Is Booked]], ((SnapshotTable[[#This Row],[Last Price]] -SnapshotTable[[#This Row],[SC Strike Price]]) / SnapshotTable[[#This Row],[Last Price]]) * -1, "")</f>
        <v/>
      </c>
      <c r="FM62" s="155" t="str">
        <f>IF(SnapshotTable[[#This Row],[SC Is Booked]],  (SnapshotTable[[#This Row],[SC Qty]] * 100 * SnapshotTable[[#This Row],[SC Strike Price]]) - SnapshotTable[[#This Row],[SC Current Ask]], "")</f>
        <v/>
      </c>
      <c r="FN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2" s="31" t="str">
        <f>IF(AND(ISNUMBER(SnapshotTable[[#This Row],[SC Exercise Gross]]), ISNUMBER(SnapshotTable[[#This Row],[Equity Basis Per Share]] )), SnapshotTable[[#This Row],[SC Exercise Gross]] - SnapshotTable[[#This Row],[Equity Basis Total]] +  SnapshotTable[[#This Row],[SC Premium]], "")</f>
        <v/>
      </c>
      <c r="FP62" s="5" t="str">
        <f>IF(ISNUMBER(SnapshotTable[[#This Row],[SC Exercise Gross]]), (SnapshotTable[[#This Row],[SC Exercise Gross]]) / (SnapshotTable[[#This Row],[SC Qty]] * 100), "")</f>
        <v/>
      </c>
      <c r="FQ62" s="27" t="str">
        <f>IF(SnapshotTable[[#This Row],[SC Is Booked]],SnapshotTable[[#This Row],[SC Time Val]] /SnapshotTable[[#This Row],[SC Basis]], "")</f>
        <v/>
      </c>
      <c r="FR62" s="27" t="str" cm="1">
        <f t="array" ref="FR62">IF(AND(ISNUMBER(SnapshotTable[[#This Row],[SC Term]]),ISNUMBER(SnapshotTable[[#This Row],[SC Simple ROO]])), EllmanAnnualize(SnapshotTable[[#This Row],[SC DTE]], SnapshotTable[[#This Row],[SC Simple ROO]] ),"")</f>
        <v/>
      </c>
      <c r="FS62" s="4">
        <f>IF(SnapshotTable[[#This Row],[SC Strike Price]] &gt; SnapshotTable[[#This Row],[Last Price]], SnapshotTable[[#This Row],[SC Strike Price]] - SnapshotTable[[#This Row],[Last Price]],0)</f>
        <v>0</v>
      </c>
      <c r="FT62" s="27" t="str">
        <f>IF(AND(ISNUMBER(SnapshotTable[[#This Row],[SC Upside Potential]]), SnapshotTable[[#This Row],[SC Upside Potential]] &gt; 0),(SnapshotTable[[#This Row],[SC Upside Potential]]/ SnapshotTable[[#This Row],[ACB]]),"")</f>
        <v/>
      </c>
      <c r="FU62" s="304" t="str">
        <f>IF(SnapshotTable[[#This Row],[SC Intrinsic Value]] &gt; 0,SnapshotTable[[#This Row],[SC Intrinsic Value]],"")</f>
        <v/>
      </c>
      <c r="FV62" s="27" t="str">
        <f>IF(AND( ISNUMBER( SnapshotTable[[#This Row],[ACB]]),ISNUMBER(SnapshotTable[[#This Row],[SC Downside Protect]])),SnapshotTable[[#This Row],[SC Downside Protect]] / SnapshotTable[[#This Row],[ACB]],"")</f>
        <v/>
      </c>
      <c r="FW62" s="221" t="str">
        <f>IF(AND(ISNUMBER(SnapshotTable[[#This Row],[SC Simple ROO]]),SnapshotTable[[#This Row],[SC Simple ROO]] &gt; 0), SnapshotTable[[#This Row],[SC Premium]] + (SnapshotTable[[#This Row],[SC Qty]] * SnapshotTable[[#This Row],[SC Upside Potential]]), "")</f>
        <v/>
      </c>
      <c r="FX62" s="280" t="str" cm="1">
        <f t="array" ref="FX62">IF(ISNUMBER(SnapshotTable[[#This Row],[SC Max Dollars]]), annualize(SnapshotTable[[#This Row],[SC Term]],(SnapshotTable[[#This Row],[SC Max Dollars]]/SnapshotTable[[#This Row],[SC Basis]])),"")</f>
        <v/>
      </c>
      <c r="FY62" s="221" t="str">
        <f>IF(AND(SnapshotTable[[#This Row],[SC Qty]]&gt;0,SnapshotTable[[#This Row],[SC Current Ask]]&gt;0), SnapshotTable[[#This Row],[SC Qty]] * SnapshotTable[[#This Row],[SC Current Ask]] * -100, "")</f>
        <v/>
      </c>
      <c r="FZ62" s="31" t="str">
        <f>IF(ISNUMBER((SnapshotTable[[#This Row],[SC Current Value]])), SnapshotTable[[#This Row],[SC Premium]] + SnapshotTable[[#This Row],[SC Current Value]], "")</f>
        <v/>
      </c>
      <c r="GA62" s="272" t="str">
        <f>IFERROR( IF(ISNUMBER((SnapshotTable[[#This Row],[SC Current Value]])), SnapshotTable[[#This Row],[SC Gain Loss]] / SnapshotTable[[#This Row],[SC Premium]], ""), "")</f>
        <v/>
      </c>
      <c r="GB62" s="42">
        <f>SnapshotTable[[#This Row],[Equity Shares]] * SaleSharesToConsiderPercentage</f>
        <v>0</v>
      </c>
      <c r="GC62" s="40">
        <f>SnapshotTable[[#This Row],[Long Term Target]] * SellingPriceToConsiderBasedOnTargetPercentage</f>
        <v>247</v>
      </c>
      <c r="GD62" s="40">
        <f>SnapshotTable[[#This Row],[Last Price]] * (1+ SellingPriceToConsiderBasedOnTargetPercentage)</f>
        <v>507.03899999999993</v>
      </c>
      <c r="GE62" s="41"/>
      <c r="GF62" s="40"/>
      <c r="GG62" s="31">
        <f>SnapshotTable[[#This Row],[Booked Sale Shares]] * SnapshotTable[[#This Row],[Booked Sale Price]]</f>
        <v>0</v>
      </c>
      <c r="GH62" s="31" t="str">
        <f>IF(SnapshotTable[[#This Row],[Equity Basis Total]] &gt; 0, SnapshotTable[[#This Row],[Equity Basis Per Share]] * SnapshotTable[[#This Row],[Booked Sale Shares]], "")</f>
        <v/>
      </c>
      <c r="GI62" s="31">
        <f>IF(SnapshotTable[[#This Row],[Sale Proceeds]]&gt;0, SnapshotTable[[#This Row],[Sale Proceeds]] - SnapshotTable[[#This Row],[Sale Basis]], 0)</f>
        <v>0</v>
      </c>
      <c r="GJ62" s="27" t="str">
        <f>IF(SnapshotTable[[#This Row],[Sale G/L]]&gt;0, SnapshotTable[[#This Row],[Sale G/L]] / SnapshotTable[[#This Row],[Sale Basis]], IF(ISNUMBER(SnapshotTable[[#This Row],[SC Exercise P&amp;L (TAX)]]), SnapshotTable[[#This Row],[SC Exercise P&amp;L (TAX)]] / SnapshotTable[[#This Row],[SC Basis]], ""))</f>
        <v/>
      </c>
      <c r="GK62" s="27"/>
      <c r="GL62" s="43" t="str">
        <f>IF(AND(SnapshotTable[[#This Row],[LP Exp Date]]&gt;0,SnapshotTable[[#This Row],[LP Strike Price]]&gt;0), [1]!ToOptionSymbol(SnapshotTable[[#This Row],[Symbol]], SnapshotTable[[#This Row],[LP Strike Price]],SnapshotTable[[#This Row],[LP Exp Date]],1), "")</f>
        <v/>
      </c>
      <c r="GM62" s="30" t="str">
        <f>IF(LEN(SnapshotTable[[#This Row],[LP Symbol]])&gt;0, 1, "")</f>
        <v/>
      </c>
      <c r="GN62" s="43" t="str">
        <f>IF(AND(SnapshotTable[[#This Row],[SP Exp Date]]&gt;0,SnapshotTable[[#This Row],[SP Strike Price]]&gt;0), [1]!ToOptionSymbol(SnapshotTable[[#This Row],[Symbol]], SnapshotTable[[#This Row],[SP Strike Price]],SnapshotTable[[#This Row],[SP Exp Date]],1), "")</f>
        <v/>
      </c>
      <c r="GO62" s="30" t="str">
        <f>IF(LEN(SnapshotTable[[#This Row],[SP Symbol]])&gt;0, 1, "")</f>
        <v/>
      </c>
      <c r="GP62" s="43" t="str">
        <f>IF(AND(SnapshotTable[[#This Row],[LC Exp Date]]&gt;0,SnapshotTable[[#This Row],[LC Strike Price]]&gt;0), [1]!ToOptionSymbol(SnapshotTable[[#This Row],[Symbol]], SnapshotTable[[#This Row],[LC Strike Price]],SnapshotTable[[#This Row],[LC Exp Date]],0), "")</f>
        <v/>
      </c>
      <c r="GQ62" s="30" t="str">
        <f>IF(LEN(SnapshotTable[[#This Row],[LC Symbol]])&gt;0, 1, "")</f>
        <v/>
      </c>
      <c r="GR62" s="43" t="str">
        <f>IF(AND(SnapshotTable[[#This Row],[SC Exp Date]]&gt;0,SnapshotTable[[#This Row],[SC Strike Price]]&gt;0), [1]!ToOptionSymbol(SnapshotTable[[#This Row],[Symbol]], SnapshotTable[[#This Row],[SC Strike Price]],SnapshotTable[[#This Row],[SC Exp Date]],0), "")</f>
        <v/>
      </c>
      <c r="GS62" s="30" t="str">
        <f>IF(LEN(SnapshotTable[[#This Row],[SC Symbol]])&gt;0, 1, "")</f>
        <v/>
      </c>
      <c r="GT62" s="29" t="str">
        <f>IF(COUNT(SnapshotTable[[#This Row],[LP Symbol Count]],SnapshotTable[[#This Row],[SP Symbol Count]],SnapshotTable[[#This Row],[LC Symbol Count]],SnapshotTable[[#This Row],[SC Symbol Count]])&gt;0, "Y", "")</f>
        <v/>
      </c>
      <c r="GU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2" s="216">
        <f>MAX(SnapshotTable[[#This Row],[Equity Basis Total]],SnapshotTable[[#This Row],[Equity Value]]) + (SnapshotTable[[#This Row],[SP Potential Spend]]- SnapshotTable[[#This Row],[SP Premium]] + SnapshotTable[[#This Row],[LP Premium]])+ (SnapshotTable[[#This Row],[LC Premium]] - SnapshotTable[[#This Row],[SC Premium]])</f>
        <v>0</v>
      </c>
      <c r="GW62" s="137" t="str">
        <f>IF(AND(SnapshotTable[[#This Row],[Exposure]] &lt;&gt; 0),SnapshotTable[[#This Row],[Exposure]] / SnapshotTable[[#Totals],[Exposure]], "")</f>
        <v/>
      </c>
      <c r="HE62" s="253"/>
      <c r="HF62" s="253"/>
      <c r="HK62" s="1"/>
      <c r="HL62" s="1"/>
      <c r="HM62" s="1"/>
      <c r="HN62" s="1"/>
      <c r="HO62" s="1"/>
      <c r="HP62" s="1"/>
    </row>
    <row r="63" spans="2:224" s="45" customFormat="1" ht="12.75" hidden="1" customHeight="1" x14ac:dyDescent="0.25">
      <c r="B63" s="12" t="s">
        <v>437</v>
      </c>
      <c r="C63" s="385">
        <v>31.59</v>
      </c>
      <c r="D63" s="200"/>
      <c r="E63" s="39">
        <f>SnapshotTable[[#This Row],[Last Price]]*(1 -CrashDiscount)</f>
        <v>26.851499999999998</v>
      </c>
      <c r="F63" s="26" t="s">
        <v>168</v>
      </c>
      <c r="G63" s="26" t="s">
        <v>7</v>
      </c>
      <c r="H63" s="147"/>
      <c r="I63" s="186">
        <v>44774.333333333336</v>
      </c>
      <c r="J63" s="187">
        <v>44774.333333333336</v>
      </c>
      <c r="K63" s="188"/>
      <c r="L63" s="297"/>
      <c r="M63" s="138"/>
      <c r="N63" s="138"/>
      <c r="O63" s="138"/>
      <c r="P63" s="22"/>
      <c r="Q63" s="25"/>
      <c r="R63" s="4" t="str">
        <f>IF(SnapshotTable[[#This Row],[Equity Basis Total]] &gt; 0, SnapshotTable[[#This Row],[Equity Basis Total]] / SnapshotTable[[#This Row],[Equity Shares]], "")</f>
        <v/>
      </c>
      <c r="S63" s="254">
        <f>SnapshotTable[[#This Row],[Last Price]] * SnapshotTable[[#This Row],[Equity Shares]]</f>
        <v>0</v>
      </c>
      <c r="T63" s="254">
        <f>SnapshotTable[[#This Row],[Equity Value]] - SnapshotTable[[#This Row],[Equity Basis Total]]</f>
        <v>0</v>
      </c>
      <c r="U63" s="255" t="str">
        <f>IF(SnapshotTable[[#This Row],[Equity Basis Total]] &gt; 0, SnapshotTable[[#This Row],[Equity G/L]] / SnapshotTable[[#This Row],[Equity Basis Total]], "")</f>
        <v/>
      </c>
      <c r="V63" s="253"/>
      <c r="W63" s="253"/>
      <c r="X63" s="4" t="str">
        <f>IF(AND(ISNUMBER(SnapshotTable[[#This Row],[Equity Basis Per Share]]),ISNUMBER(SnapshotTable[[#This Row],[Equity Target]])),SnapshotTable[[#This Row],[Equity Target]]-SnapshotTable[[#This Row],[Equity Basis Per Share]],"")</f>
        <v/>
      </c>
      <c r="Y63" s="4" t="str">
        <f>IF(AND(ISNUMBER(SnapshotTable[[#This Row],[Equity Basis Per Share]]),ISNUMBER(SnapshotTable[[#This Row],[Equity Stop Loss]])),SnapshotTable[[#This Row],[Equity Stop Loss]]-SnapshotTable[[#This Row],[Equity Basis Per Share]],"")</f>
        <v/>
      </c>
      <c r="Z63" s="260" t="str">
        <f>IFERROR( TEXT(SnapshotTable[[#This Row],[Equity Max Gain Per Share]] /ABS( SnapshotTable[[#This Row],[Equity Max Loss Per Share]]),"0.0 " ) &amp; " : 1", "")</f>
        <v/>
      </c>
      <c r="AA63" s="31" t="str">
        <f>IF(ISNUMBER(SnapshotTable[[#This Row],[Equity Max Gain Per Share]]),SnapshotTable[[#This Row],[Equity Max Gain Per Share]] * SnapshotTable[[#This Row],[Equity Shares]],"")</f>
        <v/>
      </c>
      <c r="AB63" s="31" t="str">
        <f>IF(ISNUMBER(SnapshotTable[[#This Row],[Equity Max Loss Per Share]]),SnapshotTable[[#This Row],[Equity Max Loss Per Share]] * SnapshotTable[[#This Row],[Equity Shares]],"")</f>
        <v/>
      </c>
      <c r="AC63" s="148"/>
      <c r="AD63" s="149"/>
      <c r="AE63" s="31">
        <f>(SnapshotTable[[#This Row],[Annual Dividend Per Share]] / 4) * SnapshotTable[[#This Row],[Equity Shares]]</f>
        <v>0</v>
      </c>
      <c r="AF63" s="31">
        <f>SnapshotTable[[#This Row],[Quarterly Div $]] * 4</f>
        <v>0</v>
      </c>
      <c r="AG63" s="7">
        <f>IF(SnapshotTable[[#This Row],[Annual Dividend Per Share]]&gt;0, SnapshotTable[[#This Row],[Annual Dividend Per Share]]  / SnapshotTable[[#This Row],[Last Price]], 0)</f>
        <v>0</v>
      </c>
      <c r="AH63" s="149"/>
      <c r="AI63" s="5"/>
      <c r="AJ63" s="136">
        <v>95.17</v>
      </c>
      <c r="AK63" s="150" t="str">
        <f>IF(ISNUMBER( SnapshotTable[[#This Row],[EBF Target]]),(SnapshotTable[[#This Row],[EBF Target]] - SnapshotTable[[#This Row],[Last Price]]) / SnapshotTable[[#This Row],[Last Price]], "")</f>
        <v/>
      </c>
      <c r="AL63" s="150" t="str">
        <f>IF(AND(SnapshotTable[[#This Row],[Equity Basis Total]] &gt; 0,ISNUMBER( SnapshotTable[[#This Row],[Long Term Target]])), SnapshotTable[[#This Row],[From Basis $]] / SnapshotTable[[#This Row],[Equity Basis Total]], "")</f>
        <v/>
      </c>
      <c r="AM63" s="9">
        <f>IF( AND(SnapshotTable[[#This Row],[Equity Shares]] &gt;0,ISNUMBER( SnapshotTable[[#This Row],[Long Term Target]])),(SnapshotTable[[#This Row],[Equity Shares]] * SnapshotTable[[#This Row],[Long Term Target]]) - SnapshotTable[[#This Row],[Equity Basis Total]],0)</f>
        <v>0</v>
      </c>
      <c r="AN63" s="9">
        <f>IF( AND(SnapshotTable[[#This Row],[Equity Shares]] &gt;0,ISNUMBER( SnapshotTable[[#This Row],[Long Term Target]])),(SnapshotTable[[#This Row],[Equity Shares]]*SnapshotTable[[#This Row],[Long Term Target]]) - SnapshotTable[[#This Row],[Equity Value]],0)</f>
        <v>0</v>
      </c>
      <c r="AO63" s="150">
        <f>IF(AND(ISNUMBER( SnapshotTable[[#This Row],[Long Term Target]]), ISNUMBER(SnapshotTable[[#This Row],[Last Price]])),(SnapshotTable[[#This Row],[Long Term Target]] - SnapshotTable[[#This Row],[Last Price]]) / SnapshotTable[[#This Row],[Last Price]], "")</f>
        <v>2.0126622348844569</v>
      </c>
      <c r="AP63" s="5"/>
      <c r="AQ63" s="38"/>
      <c r="AR63" s="5"/>
      <c r="AS63" s="38"/>
      <c r="AT63" s="144"/>
      <c r="AU63" s="185" t="str">
        <f>IF(OR(SnapshotTable[[#This Row],[LP No Fill]]="Y",SnapshotTable[[#This Row],[SP Is Filled]],SnapshotTable[[#This Row],[LC Not Filled]]="Y",SnapshotTable[[#This Row],[SC Is Filled]]),"Y","")</f>
        <v/>
      </c>
      <c r="AV63" s="205"/>
      <c r="AW63" s="211"/>
      <c r="AX63" s="206"/>
      <c r="AY63" s="205" t="str">
        <f>IF(SnapshotTable[[#This Row],[Implied Move]]&gt;0, SnapshotTable[[#This Row],[Last Price]]-SnapshotTable[[#This Row],[Implied Move]],"")</f>
        <v/>
      </c>
      <c r="AZ63" s="205" t="str">
        <f>IF(SnapshotTable[[#This Row],[Implied Move]]&gt;0, SnapshotTable[[#This Row],[Last Price]] + SnapshotTable[[#This Row],[Implied Move]],"")</f>
        <v/>
      </c>
      <c r="BA63" s="302"/>
      <c r="BB63" s="318"/>
      <c r="BC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3" s="321"/>
      <c r="BE63" s="5"/>
      <c r="BF63" s="14"/>
      <c r="BG63" s="13"/>
      <c r="BH63" s="13"/>
      <c r="BI63" s="5"/>
      <c r="BJ63" s="134">
        <f>IF(SnapshotTable[[#This Row],[LP Qty]] &gt; 0, SnapshotTable[[#This Row],[LP Qty]] * SnapshotTable[[#This Row],[LP Book Price]] * 100,0)</f>
        <v>0</v>
      </c>
      <c r="BK63" s="134">
        <f>IF(SnapshotTable[[#This Row],[LP Premium]] &gt; 0, SnapshotTable[[#This Row],[LP Qty]] * SnapshotTable[[#This Row],[LP Strike Price]] * 100,0)</f>
        <v>0</v>
      </c>
      <c r="BL63" s="152"/>
      <c r="BM63" s="355" t="str">
        <f>IF(SnapshotTable[[#This Row],[LP Premium]] &gt; 0,SnapshotTable[[#This Row],[LP Exp Date]]-MAX(SnapshotTable[[#This Row],[LP Book Date]], SnapshotTable[[#This Row],[LP Fill Date]]),"")</f>
        <v/>
      </c>
      <c r="BN63" s="355" t="str">
        <f>IF(ISNUMBER( SnapshotTable[[#This Row],[LP Term]]), SnapshotTable[[#This Row],[LP Exp Date]] - MockToday,"")</f>
        <v/>
      </c>
      <c r="BO63" s="161" t="str">
        <f>IF(AND(SnapshotTable[[#This Row],[LP Exp Date]]&gt;0, SnapshotTable[[#This Row],[LP Strike Price]]&gt;0,SnapshotTable[[#This Row],[LP Qty]]&gt;0,SnapshotTable[[#This Row],[LP Book Date]]&gt;0,SnapshotTable[[#This Row],[LP Book Price]]&gt;0,SnapshotTable[[#This Row],[LP Fill Date]]=0),"Y","")</f>
        <v/>
      </c>
      <c r="BP63" s="31" t="str">
        <f>IF(AND(SnapshotTable[[#This Row],[LP No Fill]]&lt;&gt;"Y",SnapshotTable[[#This Row],[LP Contract Value]]&gt;0, SnapshotTable[[#This Row],[LP Qty]]&gt;0), SnapshotTable[[#This Row],[LP Contract Value]]*SnapshotTable[[#This Row],[LP Qty]]*100,"")</f>
        <v/>
      </c>
      <c r="BQ63" s="13"/>
      <c r="BR63" s="5"/>
      <c r="BS63" s="36"/>
      <c r="BT63" s="145"/>
      <c r="BU63" s="13"/>
      <c r="BV63" s="5"/>
      <c r="BW63" s="382" t="b">
        <f>AND(ISNUMBER(SnapshotTable[[#This Row],[SP Exp Date]]), ISNUMBER(SnapshotTable[[#This Row],[SP Strike Price]]), ISNUMBER(SnapshotTable[[#This Row],[SP Qty]]), ISNUMBER(SnapshotTable[[#This Row],[SP Book Date]]), ISNUMBER(SnapshotTable[[#This Row],[SP Book Price]]))</f>
        <v>0</v>
      </c>
      <c r="BX63" s="382" t="b">
        <f>AND(SnapshotTable[[#This Row],[SP Is Booked]], NOT(ISBLANK(SnapshotTable[[#This Row],[SP Fill Date]])))</f>
        <v>0</v>
      </c>
      <c r="BY63" s="33">
        <f>IF(SnapshotTable[[#This Row],[SP Is Booked]], SnapshotTable[[#This Row],[SP Qty]] * SnapshotTable[[#This Row],[SP Book Price]] * 100, 0)</f>
        <v>0</v>
      </c>
      <c r="BZ63" s="339"/>
      <c r="CA63" s="338">
        <f>SnapshotTable[[#This Row],[LP Qty]]</f>
        <v>0</v>
      </c>
      <c r="CB63" s="4" t="str">
        <f>IF(SnapshotTable[[#This Row],[SP Is Booked]], SnapshotTable[[#This Row],[SP Strike Price]] - SnapshotTable[[#This Row],[SP Book Price]], "")</f>
        <v/>
      </c>
      <c r="CC63" s="19" t="str">
        <f>IF(SnapshotTable[[#This Row],[SP Is Booked]],SnapshotTable[[#This Row],[SP Exp Date]]-MAX(SnapshotTable[[#This Row],[SP Book Date]], SnapshotTable[[#This Row],[SP Fill Date]]),"")</f>
        <v/>
      </c>
      <c r="CD63" s="7" t="str">
        <f>IF(SnapshotTable[[#This Row],[SP Is Booked]], SnapshotTable[[#This Row],[SP Book Price]]/SnapshotTable[[#This Row],[SP Strike Price]], "")</f>
        <v/>
      </c>
      <c r="CE63" s="7" t="str">
        <f>IF(ISNUMBER(SnapshotTable[[#This Row],[SP ROO Term]]),SnapshotTable[[#This Row],[SP ROO Term]]*(365/SnapshotTable[[#This Row],[SP Term]]),"")</f>
        <v/>
      </c>
      <c r="CF63" s="221">
        <f>SnapshotTable[[#This Row],[LP Strike Price]] * SnapshotTable[[#This Row],[LP Qty]] * 100</f>
        <v>0</v>
      </c>
      <c r="CG63" s="31">
        <f>IF(ISNUMBER(SnapshotTable[[#This Row],[SP Premium]]), (SnapshotTable[[#This Row],[SP Qty]] * SnapshotTable[[#This Row],[SP Strike Price]]* 100) - SnapshotTable[[#This Row],[LP Protection]], 0)</f>
        <v>0</v>
      </c>
      <c r="CH63" s="7" t="str">
        <f>IF(ISNUMBER(SnapshotTable[[#This Row],[SP Break Even]]),-1 * (SnapshotTable[[#This Row],[SP Break Even]] - SnapshotTable[[#This Row],[Last Price]]) / SnapshotTable[[#This Row],[Last Price]], "")</f>
        <v/>
      </c>
      <c r="CI63" s="31">
        <f>IF(AND(ISNUMBER((SnapshotTable[[#This Row],[SP Potential Spend]])), SnapshotTable[[#This Row],[SP Strike Price]] &gt; SnapshotTable[[#This Row],[Last Price]], SnapshotTable[[#This Row],[SP Is Filled]]), SnapshotTable[[#This Row],[SP Potential Spend]] -  SnapshotTable[[#This Row],[LP Max Value]], 0)</f>
        <v>0</v>
      </c>
      <c r="CJ63" s="229"/>
      <c r="CK63" s="31">
        <f>IF(ISNUMBER(SnapshotTable[[#This Row],[SP Potential Spend]]),IF(ISNUMBER(SnapshotTable[[#This Row],[SP POW]]), SnapshotTable[[#This Row],[SP POW]] * SnapshotTable[[#This Row],[SP Potential Spend]], SnapshotTable[[#This Row],[SP Potential Spend]]), "")</f>
        <v>0</v>
      </c>
      <c r="CL63" s="162">
        <f>IF(NOT(SnapshotTable[[#This Row],[SP Is Filled]]),(SnapshotTable[[#This Row],[SP Qty]] * SnapshotTable[[#This Row],[SP Strike Price]] * 100) - SnapshotTable[[#This Row],[LP Max Value]],"")</f>
        <v>0</v>
      </c>
      <c r="CM63" s="31" t="str">
        <f>IF(SnapshotTable[[#This Row],[SP Actual Spend]]&lt;&gt;0, ((SnapshotTable[[#This Row],[SP Strike Price]]-SnapshotTable[[#This Row],[Last Price]]) *(SnapshotTable[[#This Row],[SP Qty]]*100) - SnapshotTable[[#This Row],[SP Premium]]) * - 1, "")</f>
        <v/>
      </c>
      <c r="CN63" s="76"/>
      <c r="CO63" s="339"/>
      <c r="CP63" s="4" t="str">
        <f>IF(SnapshotTable[[#This Row],[SP Is Filled]], btc_max_buyback_amount(SnapshotTable[[#This Row],[SP Fill Date]],SnapshotTable[[#This Row],[SP Exp Date]], SnapshotTable[[#This Row],[SP Book Price]]),"")</f>
        <v/>
      </c>
      <c r="CQ63" s="76"/>
      <c r="CR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3" s="153" t="str">
        <f>IF(SnapshotTable[[#This Row],[SP Is Filled]], btc_next_cutoff_date(SnapshotTable[[#This Row],[SP Fill Date]],SnapshotTable[[#This Row],[SP Exp Date]]),"")</f>
        <v/>
      </c>
      <c r="CT63" s="220" t="str" cm="1">
        <f t="array" ref="CT63">IF(SnapshotTable[[#This Row],[SP Is Filled]], btc_should_buy_back(SnapshotTable[[#This Row],[SP Fill Date]], SnapshotTable[[#This Row],[SP Exp Date]], SnapshotTable[[#This Row],[SP Book Price]], SnapshotTable[[#This Row],[SP Current Ask]], MockToday, SnapshotTable[[#This Row],[SP Buyback Override]]),"")</f>
        <v/>
      </c>
      <c r="CU63" s="141"/>
      <c r="CV63" s="220"/>
      <c r="CW63" s="348" t="str">
        <f>IF(ISNUMBER( SnapshotTable[[#This Row],[SP Term]]), SnapshotTable[[#This Row],[SP Exp Date]] - MockToday,"")</f>
        <v/>
      </c>
      <c r="CX63" s="31" t="str">
        <f>IF(SnapshotTable[[#This Row],[SP Is Filled]],SnapshotTable[[#This Row],[SP Buyback Price to Use]] * 100 * SnapshotTable[[#This Row],[SP Qty]], "")</f>
        <v/>
      </c>
      <c r="CY63" s="4" t="str">
        <f>IF(ISNUMBER(SnapshotTable[[#This Row],[SP Strike Price]]), SnapshotTable[[#This Row],[SP Strike Price]] * (1 - SP_MaxLoss_StrikePct), "")</f>
        <v/>
      </c>
      <c r="CZ63" s="31" t="str">
        <f>IF(ISNUMBER(SnapshotTable[[#This Row],[SP Strike  Stop Per Share]]),SnapshotTable[[#This Row],[SP Premium]] - ((SnapshotTable[[#This Row],[SP Strike Price]]-SnapshotTable[[#This Row],[SP Strike  Stop Per Share]]) *(SnapshotTable[[#This Row],[SP Qty]] * 100)),"")</f>
        <v/>
      </c>
      <c r="DA63" s="4" t="str">
        <f>IF(AND(ISNUMBER(SnapshotTable[[#This Row],[SP Premium]]),SnapshotTable[[#This Row],[SP Premium]]&gt;0), SnapshotTable[[#This Row],[SP Book Price]] * (1 + SP_MaxLoss_OptionPct), "")</f>
        <v/>
      </c>
      <c r="DB63" s="31" t="str">
        <f>IF(ISNUMBER(SnapshotTable[[#This Row],[SP Option  Stop Contract]]),(SnapshotTable[[#This Row],[SP Option  Stop Contract]] *(SnapshotTable[[#This Row],[SP Qty]] * 100) - SnapshotTable[[#This Row],[SP Premium]]),"")</f>
        <v/>
      </c>
      <c r="DC63" s="4"/>
      <c r="DD63" s="4"/>
      <c r="DE63" s="4" t="str">
        <f>IF(AND(SnapshotTable[[#This Row],[SP Qty]]&gt;0, SnapshotTable[[#This Row],[SP Stop To Use]]&gt;0),SnapshotTable[[#This Row],[SP Premium]] - ( SnapshotTable[[#This Row],[SP Qty]] * SnapshotTable[[#This Row],[SP Stop To Use]] * 100), "")</f>
        <v/>
      </c>
      <c r="DF63" s="31" t="str">
        <f>IF(AND(SnapshotTable[[#This Row],[SP Qty]]&gt;0,SnapshotTable[[#This Row],[SP Current Ask]]&gt;0), SnapshotTable[[#This Row],[SP Qty]] * SnapshotTable[[#This Row],[SP Current Ask]] * -100, "")</f>
        <v/>
      </c>
      <c r="DG63" s="31" t="str">
        <f>IF(ISNUMBER((SnapshotTable[[#This Row],[SP Total Value]])), SnapshotTable[[#This Row],[SP Premium]] + SnapshotTable[[#This Row],[SP Total Value]], "")</f>
        <v/>
      </c>
      <c r="DH63" s="272" t="str">
        <f>IF(ISNUMBER((SnapshotTable[[#This Row],[SP Total Value]])), SnapshotTable[[#This Row],[SP Gain Loss]] / SnapshotTable[[#This Row],[SP Premium]], "")</f>
        <v/>
      </c>
      <c r="DI63" s="369"/>
      <c r="DJ63" s="136"/>
      <c r="DK63" s="146"/>
      <c r="DL63" s="13"/>
      <c r="DM63" s="13"/>
      <c r="DN63" s="5"/>
      <c r="DO63" s="31">
        <f>IF(SnapshotTable[[#This Row],[LC Symbol Count]]=1, SnapshotTable[[#This Row],[LC Qty]] * SnapshotTable[[#This Row],[LC Book Price]] * 100, 0)</f>
        <v>0</v>
      </c>
      <c r="DP63" s="161" t="str">
        <f>IF(AND(SnapshotTable[[#This Row],[LC Exp Date]]&gt;0, SnapshotTable[[#This Row],[LC Strike Price]]&gt;0,SnapshotTable[[#This Row],[LC Qty]]&gt;0,SnapshotTable[[#This Row],[LC Book Date]]&gt;0,SnapshotTable[[#This Row],[LC Book Price]]&gt;0,SnapshotTable[[#This Row],[LC Fill Date]]=0),"Y","")</f>
        <v/>
      </c>
      <c r="DQ63" s="356" t="str">
        <f>IF(SnapshotTable[[#This Row],[LC Premium]] &gt; 0,SnapshotTable[[#This Row],[LC Exp Date]]-MAX(SnapshotTable[[#This Row],[LC Book Date]], SnapshotTable[[#This Row],[LC Fill Date]]),"")</f>
        <v/>
      </c>
      <c r="DR63" s="356" t="str">
        <f>IF(ISNUMBER(SnapshotTable[[#This Row],[LC Term]]), SnapshotTable[[#This Row],[LC Exp Date]] - MockToday, "")</f>
        <v/>
      </c>
      <c r="DS63" s="219" t="str">
        <f>IF(SnapshotTable[[#This Row],[LC Premium]]&gt;0,SnapshotTable[[#This Row],[LC Strike Price]] + SnapshotTable[[#This Row],[LC Book Price]],"")</f>
        <v/>
      </c>
      <c r="DT63" s="5"/>
      <c r="DU63" s="9" t="str">
        <f>IF(AND(SnapshotTable[[#This Row],[LC Symbol Count]]&gt;0, SnapshotTable[[#This Row],[LC Contract Value]]&gt;0), SnapshotTable[[#This Row],[LC Contract Value]] * SnapshotTable[[#This Row],[LC Qty]] * 100, "")</f>
        <v/>
      </c>
      <c r="DV63" s="9" t="str">
        <f>IF(AND(ISNUMBER(SnapshotTable[[#This Row],[LC Total Value]]), SnapshotTable[[#This Row],[LC Not Filled]]&lt;&gt;"Y"), SnapshotTable[[#This Row],[LC Total Value]]-SnapshotTable[[#This Row],[LC Premium]],"")</f>
        <v/>
      </c>
      <c r="DW63" s="225" t="str">
        <f>IF(ISNUMBER(SnapshotTable[[#This Row],[LC Actual Gain Loss]]), SnapshotTable[[#This Row],[LC Actual Gain Loss]] / SnapshotTable[[#This Row],[LC Premium]],"")</f>
        <v/>
      </c>
      <c r="DX63" s="269" t="str">
        <f>IF(ISNUMBER(SnapshotTable[[#This Row],[LC Book Price]]),SnapshotTable[[#This Row],[LC Book Price]] * 1.5,"")</f>
        <v/>
      </c>
      <c r="DY63" s="250" t="str">
        <f>IF(SnapshotTable[[#This Row],[LC Premium]]&gt;0, SnapshotTable[[#This Row],[LC Next Target]] * SnapshotTable[[#This Row],[LC Qty]] * 100,"")</f>
        <v/>
      </c>
      <c r="DZ63" s="250" t="str">
        <f>IF(ISNUMBER(SnapshotTable[[#This Row],[LC Target Gross]]), SnapshotTable[[#This Row],[LC Target Gross]] - SnapshotTable[[#This Row],[LC Premium]], "")</f>
        <v/>
      </c>
      <c r="EA63" s="283" t="str">
        <f>IF(ISNUMBER(SnapshotTable[[#This Row],[LC Target Gain Loss]]), SnapshotTable[[#This Row],[LC Target Gain Loss]]/SnapshotTable[[#This Row],[LC Premium]], "")</f>
        <v/>
      </c>
      <c r="EB63" s="247"/>
      <c r="EC63" s="268" t="str">
        <f>IF(SnapshotTable[[#This Row],[LC Premium]]&gt;0, SnapshotTable[[#This Row],[LC Book Price]] * (1 - LC_StopLoss_Pct),"")</f>
        <v/>
      </c>
      <c r="ED63" s="269"/>
      <c r="EE63" s="268" t="str">
        <f>IF(ISNUMBER(SnapshotTable[[#This Row],[LC Contract Value]]),IF(ISNUMBER(SnapshotTable[[#This Row],[LC Stop Loss Override]]), SnapshotTable[[#This Row],[LC Stop Loss Override]],SnapshotTable[[#This Row],[LC Stop Loss Calc Target]]),"")</f>
        <v/>
      </c>
      <c r="EF63" s="31" t="str">
        <f>IF(ISNUMBER(SnapshotTable[[#This Row],[LC Stop  To Use]]), (SnapshotTable[[#This Row],[LC Stop  To Use]] * SnapshotTable[[#This Row],[LC Qty]] * 100),"")</f>
        <v/>
      </c>
      <c r="EG63" s="9" t="str">
        <f>IF(ISNUMBER(SnapshotTable[[#This Row],[LC Total Value]]),SnapshotTable[[#This Row],[LC Stop Loss Amount]] - SnapshotTable[[#This Row],[LC Premium]],"")</f>
        <v/>
      </c>
      <c r="EH63" s="9">
        <f>IF(ISNUMBER(SnapshotTable[[#This Row],[LC Premium]]), SnapshotTable[[#This Row],[LC Qty]] * 100 * SnapshotTable[[#This Row],[LC Strike Price]], "")</f>
        <v>0</v>
      </c>
      <c r="EI63" s="225" t="str">
        <f>IF(AND(ISNUMBER(SnapshotTable[[#This Row],[LC Total Value]]),SnapshotTable[[#This Row],[LC Total Value]]&gt;0),SnapshotTable[[#This Row],[LC Stop Gain Loss]]  / SnapshotTable[[#This Row],[LC Premium]],"")</f>
        <v/>
      </c>
      <c r="EJ63" s="35">
        <f>IF(ISNUMBER(SnapshotTable[[#This Row],[Equity Shares]]),TRUNC(SnapshotTable[[#This Row],[Equity Shares]] / 100),0) + SnapshotTable[[#This Row],[LC Qty]]</f>
        <v>0</v>
      </c>
      <c r="EK63" s="145"/>
      <c r="EL63" s="136"/>
      <c r="EM63" s="146"/>
      <c r="EN63" s="145"/>
      <c r="EO63" s="145"/>
      <c r="EP63" s="136"/>
      <c r="EQ63" s="382" t="b">
        <f>AND(ISNUMBER(SnapshotTable[[#This Row],[SC Exp Date]]), ISNUMBER(SnapshotTable[[#This Row],[SC Strike Price]]), ISNUMBER(SnapshotTable[[#This Row],[SC Qty]]), ISNUMBER(SnapshotTable[[#This Row],[SC Book Date]]), ISNUMBER(SnapshotTable[[#This Row],[SC Book Price]]))</f>
        <v>0</v>
      </c>
      <c r="ER63" s="382" t="b">
        <f>AND(SnapshotTable[[#This Row],[SC Is Booked]], NOT(ISBLANK(SnapshotTable[[#This Row],[SC Fill Date]])))</f>
        <v>0</v>
      </c>
      <c r="ES63" s="340"/>
      <c r="ET63" s="34" t="str">
        <f>IF(AND(ISNUMBER(SnapshotTable[[#This Row],[SC Exp Date]]), ISNUMBER(SnapshotTable[[#This Row],[SC Book Date]])), SnapshotTable[[#This Row],[SC Exp Date]] - MAX(SnapshotTable[[#This Row],[SC Book Date]], SnapshotTable[[#This Row],[SC Fill Date]]) + 1, "")</f>
        <v/>
      </c>
      <c r="EU63" s="34" t="str">
        <f>IF(ISNUMBER(SnapshotTable[[#This Row],[SC Term]]), SnapshotTable[[#This Row],[SC Exp Date]]- MockToday, "")</f>
        <v/>
      </c>
      <c r="EV63" s="31">
        <f>IF(SnapshotTable[[#This Row],[SC Is Booked]], SnapshotTable[[#This Row],[SC Qty]] * SnapshotTable[[#This Row],[SC Book Price]] * 100, 0)</f>
        <v>0</v>
      </c>
      <c r="EW63" s="4" t="str">
        <f>IF(AND(ISNUMBER(SnapshotTable[[#This Row],[Last Price]]), ISNUMBER( SnapshotTable[[#This Row],[SC Book Price]])), SnapshotTable[[#This Row],[Last Price]] - SnapshotTable[[#This Row],[SC Book Price]],"")</f>
        <v/>
      </c>
      <c r="EX63" s="219" t="str">
        <f>IF(SnapshotTable[[#This Row],[SC Is Booked]],IF(SnapshotTable[[#This Row],[SC Intrinsic Value]] &gt; 0, SnapshotTable[[#This Row],[SC Strike Price]], SnapshotTable[[#This Row],[Last Price]]), "")</f>
        <v/>
      </c>
      <c r="EY63" s="4">
        <f>IF(SnapshotTable[[#This Row],[SC Is Booked]], (MinimumPremiumRequired * SnapshotTable[[#This Row],[SC Basis]] * SnapshotTable[[#This Row],[SC Term]]), 0)</f>
        <v>0</v>
      </c>
      <c r="EZ63" s="268"/>
      <c r="FA63" s="204"/>
      <c r="FB63" s="340"/>
      <c r="FC63" s="4">
        <f>IF(SnapshotTable[[#This Row],[SC Is Filled]], btc_max_buyback_amount(SnapshotTable[[#This Row],[SC Fill Date]],SnapshotTable[[#This Row],[SC Exp Date]], SnapshotTable[[#This Row],[SC Book Price]]),0)</f>
        <v>0</v>
      </c>
      <c r="FD63" s="5"/>
      <c r="FE63" s="142" t="str">
        <f>IF(SnapshotTable[[#This Row],[SC Is Filled]], btc_next_cutoff_date(SnapshotTable[[#This Row],[SC Fill Date]],SnapshotTable[[#This Row],[SC Exp Date]]),"")</f>
        <v/>
      </c>
      <c r="FF63" s="4" t="str" cm="1">
        <f t="array" ref="FF63">IF(SnapshotTable[[#This Row],[SC Is Filled]], btc_should_buy_back(SnapshotTable[[#This Row],[SC Fill Date]], SnapshotTable[[#This Row],[SC Exp Date]], SnapshotTable[[#This Row],[SC Book Price]], SnapshotTable[[#This Row],[SC Current Ask]], MockToday, SnapshotTable[[#This Row],[SC Buyback Override]]),"")</f>
        <v/>
      </c>
      <c r="FG63" s="4">
        <f>IF(SnapshotTable[[#This Row],[SC Is Filled]], MAX(0,SnapshotTable[[#This Row],[Last Price]]  - SnapshotTable[[#This Row],[SC Strike Price]]), 0)</f>
        <v>0</v>
      </c>
      <c r="FH63" s="352">
        <f>IF(SnapshotTable[[#This Row],[SC Is Filled]], IF(ISNUMBER(SnapshotTable[[#This Row],[SC Current Ask]]), SnapshotTable[[#This Row],[SC Current Ask]], SnapshotTable[[#This Row],[SC Book Price]]) - SnapshotTable[[#This Row],[SC Intrinsic Value]], 0)</f>
        <v>0</v>
      </c>
      <c r="FI63" s="141"/>
      <c r="FJ63" s="32" t="str">
        <f>IF(SnapshotTable[[#This Row],[SC Is Filled]],100 * SnapshotTable[[#This Row],[SC Qty]] * IF(ISNUMBER(SnapshotTable[[#This Row],[SC Buyback Override]]), SnapshotTable[[#This Row],[SC Buyback Override]], SnapshotTable[[#This Row],[SC Current Ask]]), "")</f>
        <v/>
      </c>
      <c r="FK63" s="235" t="str">
        <f>IF(SnapshotTable[[#This Row],[SC Time Val]]&gt;0, SnapshotTable[[#This Row],[SC Time Val]] / SnapshotTable[[#This Row],[Last Price]],"")</f>
        <v/>
      </c>
      <c r="FL63" s="280" t="str">
        <f>IF(SnapshotTable[[#This Row],[SC Is Booked]], ((SnapshotTable[[#This Row],[Last Price]] -SnapshotTable[[#This Row],[SC Strike Price]]) / SnapshotTable[[#This Row],[Last Price]]) * -1, "")</f>
        <v/>
      </c>
      <c r="FM63" s="155" t="str">
        <f>IF(SnapshotTable[[#This Row],[SC Is Booked]],  (SnapshotTable[[#This Row],[SC Qty]] * 100 * SnapshotTable[[#This Row],[SC Strike Price]]) - SnapshotTable[[#This Row],[SC Current Ask]], "")</f>
        <v/>
      </c>
      <c r="FN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3" s="31" t="str">
        <f>IF(AND(ISNUMBER(SnapshotTable[[#This Row],[SC Exercise Gross]]), ISNUMBER(SnapshotTable[[#This Row],[Equity Basis Per Share]] )), SnapshotTable[[#This Row],[SC Exercise Gross]] - SnapshotTable[[#This Row],[Equity Basis Total]] +  SnapshotTable[[#This Row],[SC Premium]], "")</f>
        <v/>
      </c>
      <c r="FP63" s="5" t="str">
        <f>IF(ISNUMBER(SnapshotTable[[#This Row],[SC Exercise Gross]]), (SnapshotTable[[#This Row],[SC Exercise Gross]]) / (SnapshotTable[[#This Row],[SC Qty]] * 100), "")</f>
        <v/>
      </c>
      <c r="FQ63" s="27" t="str">
        <f>IF(SnapshotTable[[#This Row],[SC Is Booked]],SnapshotTable[[#This Row],[SC Time Val]] /SnapshotTable[[#This Row],[SC Basis]], "")</f>
        <v/>
      </c>
      <c r="FR63" s="27" t="str" cm="1">
        <f t="array" ref="FR63">IF(AND(ISNUMBER(SnapshotTable[[#This Row],[SC Term]]),ISNUMBER(SnapshotTable[[#This Row],[SC Simple ROO]])), EllmanAnnualize(SnapshotTable[[#This Row],[SC DTE]], SnapshotTable[[#This Row],[SC Simple ROO]] ),"")</f>
        <v/>
      </c>
      <c r="FS63" s="4">
        <f>IF(SnapshotTable[[#This Row],[SC Strike Price]] &gt; SnapshotTable[[#This Row],[Last Price]], SnapshotTable[[#This Row],[SC Strike Price]] - SnapshotTable[[#This Row],[Last Price]],0)</f>
        <v>0</v>
      </c>
      <c r="FT63" s="27" t="str">
        <f>IF(AND(ISNUMBER(SnapshotTable[[#This Row],[SC Upside Potential]]), SnapshotTable[[#This Row],[SC Upside Potential]] &gt; 0),(SnapshotTable[[#This Row],[SC Upside Potential]]/ SnapshotTable[[#This Row],[ACB]]),"")</f>
        <v/>
      </c>
      <c r="FU63" s="304" t="str">
        <f>IF(SnapshotTable[[#This Row],[SC Intrinsic Value]] &gt; 0,SnapshotTable[[#This Row],[SC Intrinsic Value]],"")</f>
        <v/>
      </c>
      <c r="FV63" s="27" t="str">
        <f>IF(AND( ISNUMBER( SnapshotTable[[#This Row],[ACB]]),ISNUMBER(SnapshotTable[[#This Row],[SC Downside Protect]])),SnapshotTable[[#This Row],[SC Downside Protect]] / SnapshotTable[[#This Row],[ACB]],"")</f>
        <v/>
      </c>
      <c r="FW63" s="221" t="str">
        <f>IF(AND(ISNUMBER(SnapshotTable[[#This Row],[SC Simple ROO]]),SnapshotTable[[#This Row],[SC Simple ROO]] &gt; 0), SnapshotTable[[#This Row],[SC Premium]] + (SnapshotTable[[#This Row],[SC Qty]] * SnapshotTable[[#This Row],[SC Upside Potential]]), "")</f>
        <v/>
      </c>
      <c r="FX63" s="280" t="str" cm="1">
        <f t="array" ref="FX63">IF(ISNUMBER(SnapshotTable[[#This Row],[SC Max Dollars]]), annualize(SnapshotTable[[#This Row],[SC Term]],(SnapshotTable[[#This Row],[SC Max Dollars]]/SnapshotTable[[#This Row],[SC Basis]])),"")</f>
        <v/>
      </c>
      <c r="FY63" s="221" t="str">
        <f>IF(AND(SnapshotTable[[#This Row],[SC Qty]]&gt;0,SnapshotTable[[#This Row],[SC Current Ask]]&gt;0), SnapshotTable[[#This Row],[SC Qty]] * SnapshotTable[[#This Row],[SC Current Ask]] * -100, "")</f>
        <v/>
      </c>
      <c r="FZ63" s="31" t="str">
        <f>IF(ISNUMBER((SnapshotTable[[#This Row],[SC Current Value]])), SnapshotTable[[#This Row],[SC Premium]] + SnapshotTable[[#This Row],[SC Current Value]], "")</f>
        <v/>
      </c>
      <c r="GA63" s="272" t="str">
        <f>IFERROR( IF(ISNUMBER((SnapshotTable[[#This Row],[SC Current Value]])), SnapshotTable[[#This Row],[SC Gain Loss]] / SnapshotTable[[#This Row],[SC Premium]], ""), "")</f>
        <v/>
      </c>
      <c r="GB63" s="42">
        <f>SnapshotTable[[#This Row],[Equity Shares]] * SaleSharesToConsiderPercentage</f>
        <v>0</v>
      </c>
      <c r="GC63" s="40">
        <f>SnapshotTable[[#This Row],[Long Term Target]] * SellingPriceToConsiderBasedOnTargetPercentage</f>
        <v>90.411500000000004</v>
      </c>
      <c r="GD63" s="40">
        <f>SnapshotTable[[#This Row],[Last Price]] * (1+ SellingPriceToConsiderBasedOnTargetPercentage)</f>
        <v>61.600499999999997</v>
      </c>
      <c r="GE63" s="41"/>
      <c r="GF63" s="40"/>
      <c r="GG63" s="31">
        <f>SnapshotTable[[#This Row],[Booked Sale Shares]] * SnapshotTable[[#This Row],[Booked Sale Price]]</f>
        <v>0</v>
      </c>
      <c r="GH63" s="31" t="str">
        <f>IF(SnapshotTable[[#This Row],[Equity Basis Total]] &gt; 0, SnapshotTable[[#This Row],[Equity Basis Per Share]] * SnapshotTable[[#This Row],[Booked Sale Shares]], "")</f>
        <v/>
      </c>
      <c r="GI63" s="31">
        <f>IF(SnapshotTable[[#This Row],[Sale Proceeds]]&gt;0, SnapshotTable[[#This Row],[Sale Proceeds]] - SnapshotTable[[#This Row],[Sale Basis]], 0)</f>
        <v>0</v>
      </c>
      <c r="GJ63" s="27" t="str">
        <f>IF(SnapshotTable[[#This Row],[Sale G/L]]&gt;0, SnapshotTable[[#This Row],[Sale G/L]] / SnapshotTable[[#This Row],[Sale Basis]], IF(ISNUMBER(SnapshotTable[[#This Row],[SC Exercise P&amp;L (TAX)]]), SnapshotTable[[#This Row],[SC Exercise P&amp;L (TAX)]] / SnapshotTable[[#This Row],[SC Basis]], ""))</f>
        <v/>
      </c>
      <c r="GK63" s="27" t="s">
        <v>532</v>
      </c>
      <c r="GL63" s="43" t="str">
        <f>IF(AND(SnapshotTable[[#This Row],[LP Exp Date]]&gt;0,SnapshotTable[[#This Row],[LP Strike Price]]&gt;0), [1]!ToOptionSymbol(SnapshotTable[[#This Row],[Symbol]], SnapshotTable[[#This Row],[LP Strike Price]],SnapshotTable[[#This Row],[LP Exp Date]],1), "")</f>
        <v/>
      </c>
      <c r="GM63" s="30" t="str">
        <f>IF(LEN(SnapshotTable[[#This Row],[LP Symbol]])&gt;0, 1, "")</f>
        <v/>
      </c>
      <c r="GN63" s="43" t="str">
        <f>IF(AND(SnapshotTable[[#This Row],[SP Exp Date]]&gt;0,SnapshotTable[[#This Row],[SP Strike Price]]&gt;0), [1]!ToOptionSymbol(SnapshotTable[[#This Row],[Symbol]], SnapshotTable[[#This Row],[SP Strike Price]],SnapshotTable[[#This Row],[SP Exp Date]],1), "")</f>
        <v/>
      </c>
      <c r="GO63" s="30" t="str">
        <f>IF(LEN(SnapshotTable[[#This Row],[SP Symbol]])&gt;0, 1, "")</f>
        <v/>
      </c>
      <c r="GP63" s="43" t="str">
        <f>IF(AND(SnapshotTable[[#This Row],[LC Exp Date]]&gt;0,SnapshotTable[[#This Row],[LC Strike Price]]&gt;0), [1]!ToOptionSymbol(SnapshotTable[[#This Row],[Symbol]], SnapshotTable[[#This Row],[LC Strike Price]],SnapshotTable[[#This Row],[LC Exp Date]],0), "")</f>
        <v/>
      </c>
      <c r="GQ63" s="30" t="str">
        <f>IF(LEN(SnapshotTable[[#This Row],[LC Symbol]])&gt;0, 1, "")</f>
        <v/>
      </c>
      <c r="GR63" s="43" t="str">
        <f>IF(AND(SnapshotTable[[#This Row],[SC Exp Date]]&gt;0,SnapshotTable[[#This Row],[SC Strike Price]]&gt;0), [1]!ToOptionSymbol(SnapshotTable[[#This Row],[Symbol]], SnapshotTable[[#This Row],[SC Strike Price]],SnapshotTable[[#This Row],[SC Exp Date]],0), "")</f>
        <v/>
      </c>
      <c r="GS63" s="30" t="str">
        <f>IF(LEN(SnapshotTable[[#This Row],[SC Symbol]])&gt;0, 1, "")</f>
        <v/>
      </c>
      <c r="GT63" s="29" t="str">
        <f>IF(COUNT(SnapshotTable[[#This Row],[LP Symbol Count]],SnapshotTable[[#This Row],[SP Symbol Count]],SnapshotTable[[#This Row],[LC Symbol Count]],SnapshotTable[[#This Row],[SC Symbol Count]])&gt;0, "Y", "")</f>
        <v/>
      </c>
      <c r="GU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3" s="216">
        <f>MAX(SnapshotTable[[#This Row],[Equity Basis Total]],SnapshotTable[[#This Row],[Equity Value]]) + (SnapshotTable[[#This Row],[SP Potential Spend]]- SnapshotTable[[#This Row],[SP Premium]] + SnapshotTable[[#This Row],[LP Premium]])+ (SnapshotTable[[#This Row],[LC Premium]] - SnapshotTable[[#This Row],[SC Premium]])</f>
        <v>0</v>
      </c>
      <c r="GW63" s="137" t="str">
        <f>IF(AND(SnapshotTable[[#This Row],[Exposure]] &lt;&gt; 0),SnapshotTable[[#This Row],[Exposure]] / SnapshotTable[[#Totals],[Exposure]], "")</f>
        <v/>
      </c>
      <c r="GY63" s="351"/>
      <c r="HE63" s="253"/>
      <c r="HF63" s="253"/>
      <c r="HG63" s="351"/>
      <c r="HH63" s="351"/>
      <c r="HI63" s="351"/>
      <c r="HJ63" s="351"/>
    </row>
    <row r="64" spans="2:224" ht="12.75" customHeight="1" x14ac:dyDescent="0.25">
      <c r="B64" s="12" t="s">
        <v>988</v>
      </c>
      <c r="C64" s="357">
        <v>53.2</v>
      </c>
      <c r="D64" s="200"/>
      <c r="E64" s="39">
        <f>SnapshotTable[[#This Row],[Last Price]]*(1 -CrashDiscount)</f>
        <v>45.22</v>
      </c>
      <c r="F64" s="296" t="s">
        <v>5</v>
      </c>
      <c r="G64" s="296" t="s">
        <v>4</v>
      </c>
      <c r="H64" s="147"/>
      <c r="I64" s="186"/>
      <c r="J64" s="187"/>
      <c r="K64" s="188"/>
      <c r="L64" s="297"/>
      <c r="M64" s="138"/>
      <c r="N64" s="138"/>
      <c r="O64" s="138"/>
      <c r="P64" s="22">
        <v>1000</v>
      </c>
      <c r="Q64" s="25">
        <v>70701</v>
      </c>
      <c r="R64" s="4">
        <f>IF(SnapshotTable[[#This Row],[Equity Basis Total]] &gt; 0, SnapshotTable[[#This Row],[Equity Basis Total]] / SnapshotTable[[#This Row],[Equity Shares]], "")</f>
        <v>70.700999999999993</v>
      </c>
      <c r="S64" s="254">
        <f>SnapshotTable[[#This Row],[Last Price]] * SnapshotTable[[#This Row],[Equity Shares]]</f>
        <v>53200</v>
      </c>
      <c r="T64" s="254">
        <f>SnapshotTable[[#This Row],[Equity Value]] - SnapshotTable[[#This Row],[Equity Basis Total]]</f>
        <v>-17501</v>
      </c>
      <c r="U64" s="255">
        <f>IF(SnapshotTable[[#This Row],[Equity Basis Total]] &gt; 0, SnapshotTable[[#This Row],[Equity G/L]] / SnapshotTable[[#This Row],[Equity Basis Total]], "")</f>
        <v>-0.24753539553895984</v>
      </c>
      <c r="V64" s="253"/>
      <c r="W64" s="253"/>
      <c r="X64" s="4" t="str">
        <f>IF(AND(ISNUMBER(SnapshotTable[[#This Row],[Equity Basis Per Share]]),ISNUMBER(SnapshotTable[[#This Row],[Equity Target]])),SnapshotTable[[#This Row],[Equity Target]]-SnapshotTable[[#This Row],[Equity Basis Per Share]],"")</f>
        <v/>
      </c>
      <c r="Y64" s="4" t="str">
        <f>IF(AND(ISNUMBER(SnapshotTable[[#This Row],[Equity Basis Per Share]]),ISNUMBER(SnapshotTable[[#This Row],[Equity Stop Loss]])),SnapshotTable[[#This Row],[Equity Stop Loss]]-SnapshotTable[[#This Row],[Equity Basis Per Share]],"")</f>
        <v/>
      </c>
      <c r="Z64" s="260" t="str">
        <f>IFERROR( TEXT(SnapshotTable[[#This Row],[Equity Max Gain Per Share]] /ABS( SnapshotTable[[#This Row],[Equity Max Loss Per Share]]),"0.0 " ) &amp; " : 1", "")</f>
        <v/>
      </c>
      <c r="AA64" s="31" t="str">
        <f>IF(ISNUMBER(SnapshotTable[[#This Row],[Equity Max Gain Per Share]]),SnapshotTable[[#This Row],[Equity Max Gain Per Share]] * SnapshotTable[[#This Row],[Equity Shares]],"")</f>
        <v/>
      </c>
      <c r="AB64" s="31" t="str">
        <f>IF(ISNUMBER(SnapshotTable[[#This Row],[Equity Max Loss Per Share]]),SnapshotTable[[#This Row],[Equity Max Loss Per Share]] * SnapshotTable[[#This Row],[Equity Shares]],"")</f>
        <v/>
      </c>
      <c r="AC64" s="148"/>
      <c r="AD64" s="149"/>
      <c r="AE64" s="31">
        <f>(SnapshotTable[[#This Row],[Annual Dividend Per Share]] / 4) * SnapshotTable[[#This Row],[Equity Shares]]</f>
        <v>0</v>
      </c>
      <c r="AF64" s="31">
        <f>SnapshotTable[[#This Row],[Quarterly Div $]] * 4</f>
        <v>0</v>
      </c>
      <c r="AG64" s="7">
        <f>IF(SnapshotTable[[#This Row],[Annual Dividend Per Share]]&gt;0, SnapshotTable[[#This Row],[Annual Dividend Per Share]]  / SnapshotTable[[#This Row],[Last Price]], 0)</f>
        <v>0</v>
      </c>
      <c r="AH64" s="149"/>
      <c r="AI64" s="5"/>
      <c r="AJ64" s="136"/>
      <c r="AK64" s="150" t="str">
        <f>IF(ISNUMBER( SnapshotTable[[#This Row],[EBF Target]]),(SnapshotTable[[#This Row],[EBF Target]] - SnapshotTable[[#This Row],[Last Price]]) / SnapshotTable[[#This Row],[Last Price]], "")</f>
        <v/>
      </c>
      <c r="AL64" s="150" t="str">
        <f>IF(AND(SnapshotTable[[#This Row],[Equity Basis Total]] &gt; 0,ISNUMBER( SnapshotTable[[#This Row],[Long Term Target]])), SnapshotTable[[#This Row],[From Basis $]] / SnapshotTable[[#This Row],[Equity Basis Total]], "")</f>
        <v/>
      </c>
      <c r="AM64" s="9">
        <f>IF( AND(SnapshotTable[[#This Row],[Equity Shares]] &gt;0,ISNUMBER( SnapshotTable[[#This Row],[Long Term Target]])),(SnapshotTable[[#This Row],[Equity Shares]] * SnapshotTable[[#This Row],[Long Term Target]]) - SnapshotTable[[#This Row],[Equity Basis Total]],0)</f>
        <v>0</v>
      </c>
      <c r="AN64" s="9">
        <f>IF( AND(SnapshotTable[[#This Row],[Equity Shares]] &gt;0,ISNUMBER( SnapshotTable[[#This Row],[Long Term Target]])),(SnapshotTable[[#This Row],[Equity Shares]]*SnapshotTable[[#This Row],[Long Term Target]]) - SnapshotTable[[#This Row],[Equity Value]],0)</f>
        <v>0</v>
      </c>
      <c r="AO64" s="150" t="str">
        <f>IF(AND(ISNUMBER( SnapshotTable[[#This Row],[Long Term Target]]), ISNUMBER(SnapshotTable[[#This Row],[Last Price]])),(SnapshotTable[[#This Row],[Long Term Target]] - SnapshotTable[[#This Row],[Last Price]]) / SnapshotTable[[#This Row],[Last Price]], "")</f>
        <v/>
      </c>
      <c r="AP64" s="5"/>
      <c r="AQ64" s="38"/>
      <c r="AR64" s="5"/>
      <c r="AS64" s="38"/>
      <c r="AT64" s="144"/>
      <c r="AU64" s="185" t="str">
        <f ca="1">IF(OR(SnapshotTable[[#This Row],[LP No Fill]]="Y",SnapshotTable[[#This Row],[SP Is Filled]],SnapshotTable[[#This Row],[LC Not Filled]]="Y",SnapshotTable[[#This Row],[SC Is Filled]]),"Y","")</f>
        <v>Y</v>
      </c>
      <c r="AV64" s="205"/>
      <c r="AW64" s="211"/>
      <c r="AX64" s="206"/>
      <c r="AY64" s="205" t="str">
        <f>IF(SnapshotTable[[#This Row],[Implied Move]]&gt;0, SnapshotTable[[#This Row],[Last Price]]-SnapshotTable[[#This Row],[Implied Move]],"")</f>
        <v/>
      </c>
      <c r="AZ64" s="205" t="str">
        <f>IF(SnapshotTable[[#This Row],[Implied Move]]&gt;0, SnapshotTable[[#This Row],[Last Price]] + SnapshotTable[[#This Row],[Implied Move]],"")</f>
        <v/>
      </c>
      <c r="BA64" s="302">
        <v>67.13</v>
      </c>
      <c r="BB64" s="318"/>
      <c r="BC64"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64" s="321"/>
      <c r="BE64" s="5"/>
      <c r="BF64" s="14"/>
      <c r="BG64" s="13"/>
      <c r="BH64" s="13"/>
      <c r="BI64" s="5"/>
      <c r="BJ64" s="134">
        <f>IF(SnapshotTable[[#This Row],[LP Qty]] &gt; 0, SnapshotTable[[#This Row],[LP Qty]] * SnapshotTable[[#This Row],[LP Book Price]] * 100,0)</f>
        <v>0</v>
      </c>
      <c r="BK64" s="134">
        <f>IF(SnapshotTable[[#This Row],[LP Premium]] &gt; 0, SnapshotTable[[#This Row],[LP Qty]] * SnapshotTable[[#This Row],[LP Strike Price]] * 100,0)</f>
        <v>0</v>
      </c>
      <c r="BL64" s="152"/>
      <c r="BM64" s="355" t="str">
        <f>IF(SnapshotTable[[#This Row],[LP Premium]] &gt; 0,SnapshotTable[[#This Row],[LP Exp Date]]-MAX(SnapshotTable[[#This Row],[LP Book Date]], SnapshotTable[[#This Row],[LP Fill Date]]),"")</f>
        <v/>
      </c>
      <c r="BN64" s="355" t="str">
        <f>IF(ISNUMBER( SnapshotTable[[#This Row],[LP Term]]), SnapshotTable[[#This Row],[LP Exp Date]] - MockToday,"")</f>
        <v/>
      </c>
      <c r="BO64" s="161" t="str">
        <f>IF(AND(SnapshotTable[[#This Row],[LP Exp Date]]&gt;0, SnapshotTable[[#This Row],[LP Strike Price]]&gt;0,SnapshotTable[[#This Row],[LP Qty]]&gt;0,SnapshotTable[[#This Row],[LP Book Date]]&gt;0,SnapshotTable[[#This Row],[LP Book Price]]&gt;0,SnapshotTable[[#This Row],[LP Fill Date]]=0),"Y","")</f>
        <v/>
      </c>
      <c r="BP64" s="31" t="str">
        <f>IF(AND(SnapshotTable[[#This Row],[LP No Fill]]&lt;&gt;"Y",SnapshotTable[[#This Row],[LP Contract Value]]&gt;0, SnapshotTable[[#This Row],[LP Qty]]&gt;0), SnapshotTable[[#This Row],[LP Contract Value]]*SnapshotTable[[#This Row],[LP Qty]]*100,"")</f>
        <v/>
      </c>
      <c r="BQ64" s="13">
        <f ca="1">NextFridayOpex</f>
        <v>46234</v>
      </c>
      <c r="BR64" s="5">
        <v>50</v>
      </c>
      <c r="BS64" s="36">
        <v>10</v>
      </c>
      <c r="BT64" s="145">
        <f ca="1">WORKDAY(MockToday, 0)</f>
        <v>46229</v>
      </c>
      <c r="BU64" s="13">
        <f ca="1">WORKDAY(MockToday, 0)</f>
        <v>46229</v>
      </c>
      <c r="BV64" s="5">
        <v>1.1000000000000001</v>
      </c>
      <c r="BW64" s="382" t="b">
        <f ca="1">AND(ISNUMBER(SnapshotTable[[#This Row],[SP Exp Date]]), ISNUMBER(SnapshotTable[[#This Row],[SP Strike Price]]), ISNUMBER(SnapshotTable[[#This Row],[SP Qty]]), ISNUMBER(SnapshotTable[[#This Row],[SP Book Date]]), ISNUMBER(SnapshotTable[[#This Row],[SP Book Price]]))</f>
        <v>1</v>
      </c>
      <c r="BX64" s="382" t="b">
        <f ca="1">AND(SnapshotTable[[#This Row],[SP Is Booked]], NOT(ISBLANK(SnapshotTable[[#This Row],[SP Fill Date]])))</f>
        <v>1</v>
      </c>
      <c r="BY64" s="33">
        <f ca="1">IF(SnapshotTable[[#This Row],[SP Is Booked]], SnapshotTable[[#This Row],[SP Qty]] * SnapshotTable[[#This Row],[SP Book Price]] * 100, 0)</f>
        <v>1100</v>
      </c>
      <c r="BZ64" s="339">
        <v>0.25</v>
      </c>
      <c r="CA64" s="338">
        <f>SnapshotTable[[#This Row],[LP Qty]]</f>
        <v>0</v>
      </c>
      <c r="CB64" s="4">
        <f ca="1">IF(SnapshotTable[[#This Row],[SP Is Booked]], SnapshotTable[[#This Row],[SP Strike Price]] - SnapshotTable[[#This Row],[SP Book Price]], "")</f>
        <v>48.9</v>
      </c>
      <c r="CC64" s="19">
        <f ca="1">IF(SnapshotTable[[#This Row],[SP Is Booked]],SnapshotTable[[#This Row],[SP Exp Date]]-MAX(SnapshotTable[[#This Row],[SP Book Date]], SnapshotTable[[#This Row],[SP Fill Date]]),"")</f>
        <v>5</v>
      </c>
      <c r="CD64" s="7">
        <f ca="1">IF(SnapshotTable[[#This Row],[SP Is Booked]], SnapshotTable[[#This Row],[SP Book Price]]/SnapshotTable[[#This Row],[SP Strike Price]], "")</f>
        <v>2.2000000000000002E-2</v>
      </c>
      <c r="CE64" s="7">
        <f ca="1">IF(ISNUMBER(SnapshotTable[[#This Row],[SP ROO Term]]),SnapshotTable[[#This Row],[SP ROO Term]]*(365/SnapshotTable[[#This Row],[SP Term]]),"")</f>
        <v>1.6060000000000001</v>
      </c>
      <c r="CF64" s="221">
        <f>SnapshotTable[[#This Row],[LP Strike Price]] * SnapshotTable[[#This Row],[LP Qty]] * 100</f>
        <v>0</v>
      </c>
      <c r="CG64" s="31">
        <f ca="1">IF(ISNUMBER(SnapshotTable[[#This Row],[SP Premium]]), (SnapshotTable[[#This Row],[SP Qty]] * SnapshotTable[[#This Row],[SP Strike Price]]* 100) - SnapshotTable[[#This Row],[LP Protection]], 0)</f>
        <v>50000</v>
      </c>
      <c r="CH64" s="7">
        <f ca="1">IF(ISNUMBER(SnapshotTable[[#This Row],[SP Break Even]]),-1 * (SnapshotTable[[#This Row],[SP Break Even]] - SnapshotTable[[#This Row],[Last Price]]) / SnapshotTable[[#This Row],[Last Price]], "")</f>
        <v>8.0827067669173011E-2</v>
      </c>
      <c r="CI64" s="31">
        <f ca="1">IF(AND(ISNUMBER((SnapshotTable[[#This Row],[SP Potential Spend]])), SnapshotTable[[#This Row],[SP Strike Price]] &gt; SnapshotTable[[#This Row],[Last Price]], SnapshotTable[[#This Row],[SP Is Filled]]), SnapshotTable[[#This Row],[SP Potential Spend]] -  SnapshotTable[[#This Row],[LP Max Value]], 0)</f>
        <v>0</v>
      </c>
      <c r="CJ64" s="229"/>
      <c r="CK64" s="31">
        <f ca="1">IF(ISNUMBER(SnapshotTable[[#This Row],[SP Potential Spend]]),IF(ISNUMBER(SnapshotTable[[#This Row],[SP POW]]), SnapshotTable[[#This Row],[SP POW]] * SnapshotTable[[#This Row],[SP Potential Spend]], SnapshotTable[[#This Row],[SP Potential Spend]]), "")</f>
        <v>50000</v>
      </c>
      <c r="CL64" s="162" t="str">
        <f ca="1">IF(NOT(SnapshotTable[[#This Row],[SP Is Filled]]),(SnapshotTable[[#This Row],[SP Qty]] * SnapshotTable[[#This Row],[SP Strike Price]] * 100) - SnapshotTable[[#This Row],[LP Max Value]],"")</f>
        <v/>
      </c>
      <c r="CM64" s="31" t="str">
        <f ca="1">IF(SnapshotTable[[#This Row],[SP Actual Spend]]&lt;&gt;0, ((SnapshotTable[[#This Row],[SP Strike Price]]-SnapshotTable[[#This Row],[Last Price]]) *(SnapshotTable[[#This Row],[SP Qty]]*100) - SnapshotTable[[#This Row],[SP Premium]]) * - 1, "")</f>
        <v/>
      </c>
      <c r="CN64" s="76">
        <v>1.75</v>
      </c>
      <c r="CO64" s="339">
        <v>0.28999999999999998</v>
      </c>
      <c r="CP64" s="4" t="e">
        <f ca="1">IF(SnapshotTable[[#This Row],[SP Is Filled]], btc_max_buyback_amount(SnapshotTable[[#This Row],[SP Fill Date]],SnapshotTable[[#This Row],[SP Exp Date]], SnapshotTable[[#This Row],[SP Book Price]]),"")</f>
        <v>#NAME?</v>
      </c>
      <c r="CQ64" s="76"/>
      <c r="CR64"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64" s="153" t="e">
        <f ca="1">IF(SnapshotTable[[#This Row],[SP Is Filled]], btc_next_cutoff_date(SnapshotTable[[#This Row],[SP Fill Date]],SnapshotTable[[#This Row],[SP Exp Date]]),"")</f>
        <v>#NAME?</v>
      </c>
      <c r="CT64" s="220" t="e" cm="1">
        <f t="array" aca="1" ref="CT64" ca="1">IF(SnapshotTable[[#This Row],[SP Is Filled]], btc_should_buy_back(SnapshotTable[[#This Row],[SP Fill Date]], SnapshotTable[[#This Row],[SP Exp Date]], SnapshotTable[[#This Row],[SP Book Price]], SnapshotTable[[#This Row],[SP Current Ask]], MockToday, SnapshotTable[[#This Row],[SP Buyback Override]]),"")</f>
        <v>#NAME?</v>
      </c>
      <c r="CU64" s="141">
        <v>46212</v>
      </c>
      <c r="CV64" s="220"/>
      <c r="CW64" s="348">
        <f ca="1">IF(ISNUMBER( SnapshotTable[[#This Row],[SP Term]]), SnapshotTable[[#This Row],[SP Exp Date]] - MockToday,"")</f>
        <v>5</v>
      </c>
      <c r="CX64" s="31" t="e">
        <f ca="1">IF(SnapshotTable[[#This Row],[SP Is Filled]],SnapshotTable[[#This Row],[SP Buyback Price to Use]] * 100 * SnapshotTable[[#This Row],[SP Qty]], "")</f>
        <v>#NAME?</v>
      </c>
      <c r="CY64" s="4">
        <f>IF(ISNUMBER(SnapshotTable[[#This Row],[SP Strike Price]]), SnapshotTable[[#This Row],[SP Strike Price]] * (1 - SP_MaxLoss_StrikePct), "")</f>
        <v>48.5</v>
      </c>
      <c r="CZ64" s="31">
        <f ca="1">IF(ISNUMBER(SnapshotTable[[#This Row],[SP Strike  Stop Per Share]]),SnapshotTable[[#This Row],[SP Premium]] - ((SnapshotTable[[#This Row],[SP Strike Price]]-SnapshotTable[[#This Row],[SP Strike  Stop Per Share]]) *(SnapshotTable[[#This Row],[SP Qty]] * 100)),"")</f>
        <v>-400</v>
      </c>
      <c r="DA64" s="4">
        <f ca="1">IF(AND(ISNUMBER(SnapshotTable[[#This Row],[SP Premium]]),SnapshotTable[[#This Row],[SP Premium]]&gt;0), SnapshotTable[[#This Row],[SP Book Price]] * (1 + SP_MaxLoss_OptionPct), "")</f>
        <v>1.6500000000000001</v>
      </c>
      <c r="DB64" s="31">
        <f ca="1">IF(ISNUMBER(SnapshotTable[[#This Row],[SP Option  Stop Contract]]),(SnapshotTable[[#This Row],[SP Option  Stop Contract]] *(SnapshotTable[[#This Row],[SP Qty]] * 100) - SnapshotTable[[#This Row],[SP Premium]]),"")</f>
        <v>550.00000000000023</v>
      </c>
      <c r="DC64" s="4"/>
      <c r="DD64" s="4"/>
      <c r="DE64" s="4" t="str">
        <f>IF(AND(SnapshotTable[[#This Row],[SP Qty]]&gt;0, SnapshotTable[[#This Row],[SP Stop To Use]]&gt;0),SnapshotTable[[#This Row],[SP Premium]] - ( SnapshotTable[[#This Row],[SP Qty]] * SnapshotTable[[#This Row],[SP Stop To Use]] * 100), "")</f>
        <v/>
      </c>
      <c r="DF64" s="31">
        <f>IF(AND(SnapshotTable[[#This Row],[SP Qty]]&gt;0,SnapshotTable[[#This Row],[SP Current Ask]]&gt;0), SnapshotTable[[#This Row],[SP Qty]] * SnapshotTable[[#This Row],[SP Current Ask]] * -100, "")</f>
        <v>-1750</v>
      </c>
      <c r="DG64" s="31">
        <f ca="1">IF(ISNUMBER((SnapshotTable[[#This Row],[SP Total Value]])), SnapshotTable[[#This Row],[SP Premium]] + SnapshotTable[[#This Row],[SP Total Value]], "")</f>
        <v>-650</v>
      </c>
      <c r="DH64" s="272">
        <f ca="1">IF(ISNUMBER((SnapshotTable[[#This Row],[SP Total Value]])), SnapshotTable[[#This Row],[SP Gain Loss]] / SnapshotTable[[#This Row],[SP Premium]], "")</f>
        <v>-0.59090909090909094</v>
      </c>
      <c r="DI64" s="369"/>
      <c r="DJ64" s="136"/>
      <c r="DK64" s="146"/>
      <c r="DL64" s="13"/>
      <c r="DM64" s="13"/>
      <c r="DO64" s="31">
        <f>IF(SnapshotTable[[#This Row],[LC Symbol Count]]=1, SnapshotTable[[#This Row],[LC Qty]] * SnapshotTable[[#This Row],[LC Book Price]] * 100, 0)</f>
        <v>0</v>
      </c>
      <c r="DP64" s="161" t="str">
        <f>IF(AND(SnapshotTable[[#This Row],[LC Exp Date]]&gt;0, SnapshotTable[[#This Row],[LC Strike Price]]&gt;0,SnapshotTable[[#This Row],[LC Qty]]&gt;0,SnapshotTable[[#This Row],[LC Book Date]]&gt;0,SnapshotTable[[#This Row],[LC Book Price]]&gt;0,SnapshotTable[[#This Row],[LC Fill Date]]=0),"Y","")</f>
        <v/>
      </c>
      <c r="DQ64" s="356" t="str">
        <f>IF(SnapshotTable[[#This Row],[LC Premium]] &gt; 0,SnapshotTable[[#This Row],[LC Exp Date]]-MAX(SnapshotTable[[#This Row],[LC Book Date]], SnapshotTable[[#This Row],[LC Fill Date]]),"")</f>
        <v/>
      </c>
      <c r="DR64" s="356" t="str">
        <f>IF(ISNUMBER(SnapshotTable[[#This Row],[LC Term]]), SnapshotTable[[#This Row],[LC Exp Date]] - MockToday, "")</f>
        <v/>
      </c>
      <c r="DS64" s="219" t="str">
        <f>IF(SnapshotTable[[#This Row],[LC Premium]]&gt;0,SnapshotTable[[#This Row],[LC Strike Price]] + SnapshotTable[[#This Row],[LC Book Price]],"")</f>
        <v/>
      </c>
      <c r="DU64" s="9" t="str">
        <f>IF(AND(SnapshotTable[[#This Row],[LC Symbol Count]]&gt;0, SnapshotTable[[#This Row],[LC Contract Value]]&gt;0), SnapshotTable[[#This Row],[LC Contract Value]] * SnapshotTable[[#This Row],[LC Qty]] * 100, "")</f>
        <v/>
      </c>
      <c r="DV64" s="9" t="str">
        <f>IF(AND(ISNUMBER(SnapshotTable[[#This Row],[LC Total Value]]), SnapshotTable[[#This Row],[LC Not Filled]]&lt;&gt;"Y"), SnapshotTable[[#This Row],[LC Total Value]]-SnapshotTable[[#This Row],[LC Premium]],"")</f>
        <v/>
      </c>
      <c r="DW64" s="225" t="str">
        <f>IF(ISNUMBER(SnapshotTable[[#This Row],[LC Actual Gain Loss]]), SnapshotTable[[#This Row],[LC Actual Gain Loss]] / SnapshotTable[[#This Row],[LC Premium]],"")</f>
        <v/>
      </c>
      <c r="DX64" s="269" t="str">
        <f>IF(ISNUMBER(SnapshotTable[[#This Row],[LC Book Price]]),SnapshotTable[[#This Row],[LC Book Price]] * 1.5,"")</f>
        <v/>
      </c>
      <c r="DY64" s="250" t="str">
        <f>IF(SnapshotTable[[#This Row],[LC Premium]]&gt;0, SnapshotTable[[#This Row],[LC Next Target]] * SnapshotTable[[#This Row],[LC Qty]] * 100,"")</f>
        <v/>
      </c>
      <c r="DZ64" s="250" t="str">
        <f>IF(ISNUMBER(SnapshotTable[[#This Row],[LC Target Gross]]), SnapshotTable[[#This Row],[LC Target Gross]] - SnapshotTable[[#This Row],[LC Premium]], "")</f>
        <v/>
      </c>
      <c r="EA64" s="283" t="str">
        <f>IF(ISNUMBER(SnapshotTable[[#This Row],[LC Target Gain Loss]]), SnapshotTable[[#This Row],[LC Target Gain Loss]]/SnapshotTable[[#This Row],[LC Premium]], "")</f>
        <v/>
      </c>
      <c r="EB64" s="247"/>
      <c r="EC64" s="268" t="str">
        <f>IF(SnapshotTable[[#This Row],[LC Premium]]&gt;0, SnapshotTable[[#This Row],[LC Book Price]] * (1 - LC_StopLoss_Pct),"")</f>
        <v/>
      </c>
      <c r="ED64" s="269"/>
      <c r="EE64" s="268" t="str">
        <f>IF(ISNUMBER(SnapshotTable[[#This Row],[LC Contract Value]]),IF(ISNUMBER(SnapshotTable[[#This Row],[LC Stop Loss Override]]), SnapshotTable[[#This Row],[LC Stop Loss Override]],SnapshotTable[[#This Row],[LC Stop Loss Calc Target]]),"")</f>
        <v/>
      </c>
      <c r="EF64" s="31" t="str">
        <f>IF(ISNUMBER(SnapshotTable[[#This Row],[LC Stop  To Use]]), (SnapshotTable[[#This Row],[LC Stop  To Use]] * SnapshotTable[[#This Row],[LC Qty]] * 100),"")</f>
        <v/>
      </c>
      <c r="EG64" s="9" t="str">
        <f>IF(ISNUMBER(SnapshotTable[[#This Row],[LC Total Value]]),SnapshotTable[[#This Row],[LC Stop Loss Amount]] - SnapshotTable[[#This Row],[LC Premium]],"")</f>
        <v/>
      </c>
      <c r="EH64" s="9">
        <f>IF(ISNUMBER(SnapshotTable[[#This Row],[LC Premium]]), SnapshotTable[[#This Row],[LC Qty]] * 100 * SnapshotTable[[#This Row],[LC Strike Price]], "")</f>
        <v>0</v>
      </c>
      <c r="EI64" s="225" t="str">
        <f>IF(AND(ISNUMBER(SnapshotTable[[#This Row],[LC Total Value]]),SnapshotTable[[#This Row],[LC Total Value]]&gt;0),SnapshotTable[[#This Row],[LC Stop Gain Loss]]  / SnapshotTable[[#This Row],[LC Premium]],"")</f>
        <v/>
      </c>
      <c r="EJ64" s="35">
        <f>IF(ISNUMBER(SnapshotTable[[#This Row],[Equity Shares]]),TRUNC(SnapshotTable[[#This Row],[Equity Shares]] / 100),0) + SnapshotTable[[#This Row],[LC Qty]]</f>
        <v>10</v>
      </c>
      <c r="EK64" s="145">
        <f ca="1">NextFridayOpex</f>
        <v>46234</v>
      </c>
      <c r="EL64" s="136">
        <v>60</v>
      </c>
      <c r="EM64" s="146">
        <v>10</v>
      </c>
      <c r="EN64" s="145">
        <f ca="1">WORKDAY(MockToday, 0)</f>
        <v>46229</v>
      </c>
      <c r="EO64" s="145">
        <f ca="1">SnapshotTable[[#This Row],[SC Book Date]]</f>
        <v>46229</v>
      </c>
      <c r="EP64" s="136">
        <v>1.4</v>
      </c>
      <c r="EQ64" s="382" t="b">
        <f ca="1">AND(ISNUMBER(SnapshotTable[[#This Row],[SC Exp Date]]), ISNUMBER(SnapshotTable[[#This Row],[SC Strike Price]]), ISNUMBER(SnapshotTable[[#This Row],[SC Qty]]), ISNUMBER(SnapshotTable[[#This Row],[SC Book Date]]), ISNUMBER(SnapshotTable[[#This Row],[SC Book Price]]))</f>
        <v>1</v>
      </c>
      <c r="ER64" s="382" t="b">
        <f ca="1">AND(SnapshotTable[[#This Row],[SC Is Booked]], NOT(ISBLANK(SnapshotTable[[#This Row],[SC Fill Date]])))</f>
        <v>1</v>
      </c>
      <c r="ES64" s="340">
        <v>0.3</v>
      </c>
      <c r="ET64" s="34">
        <f ca="1">IF(AND(ISNUMBER(SnapshotTable[[#This Row],[SC Exp Date]]), ISNUMBER(SnapshotTable[[#This Row],[SC Book Date]])), SnapshotTable[[#This Row],[SC Exp Date]] - MAX(SnapshotTable[[#This Row],[SC Book Date]], SnapshotTable[[#This Row],[SC Fill Date]]) + 1, "")</f>
        <v>6</v>
      </c>
      <c r="EU64" s="34">
        <f ca="1">IF(ISNUMBER(SnapshotTable[[#This Row],[SC Term]]), SnapshotTable[[#This Row],[SC Exp Date]]- MockToday, "")</f>
        <v>5</v>
      </c>
      <c r="EV64" s="31">
        <f ca="1">IF(SnapshotTable[[#This Row],[SC Is Booked]], SnapshotTable[[#This Row],[SC Qty]] * SnapshotTable[[#This Row],[SC Book Price]] * 100, 0)</f>
        <v>1400</v>
      </c>
      <c r="EW64" s="4">
        <f>IF(AND(ISNUMBER(SnapshotTable[[#This Row],[Last Price]]), ISNUMBER( SnapshotTable[[#This Row],[SC Book Price]])), SnapshotTable[[#This Row],[Last Price]] - SnapshotTable[[#This Row],[SC Book Price]],"")</f>
        <v>51.800000000000004</v>
      </c>
      <c r="EX64" s="219">
        <f ca="1">IF(SnapshotTable[[#This Row],[SC Is Booked]],IF(SnapshotTable[[#This Row],[SC Intrinsic Value]] &gt; 0, SnapshotTable[[#This Row],[SC Strike Price]], SnapshotTable[[#This Row],[Last Price]]), "")</f>
        <v>53.2</v>
      </c>
      <c r="EY64" s="4">
        <f ca="1">IF(SnapshotTable[[#This Row],[SC Is Booked]], (MinimumPremiumRequired * SnapshotTable[[#This Row],[SC Basis]] * SnapshotTable[[#This Row],[SC Term]]), 0)</f>
        <v>0.31920000000000004</v>
      </c>
      <c r="EZ64" s="268"/>
      <c r="FA64" s="204">
        <v>0.95</v>
      </c>
      <c r="FB64" s="340">
        <v>6.6000000000000003E-2</v>
      </c>
      <c r="FC64" s="4" t="e">
        <f ca="1">IF(SnapshotTable[[#This Row],[SC Is Filled]], btc_max_buyback_amount(SnapshotTable[[#This Row],[SC Fill Date]],SnapshotTable[[#This Row],[SC Exp Date]], SnapshotTable[[#This Row],[SC Book Price]]),0)</f>
        <v>#NAME?</v>
      </c>
      <c r="FD64" s="5"/>
      <c r="FE64" s="142" t="e">
        <f ca="1">IF(SnapshotTable[[#This Row],[SC Is Filled]], btc_next_cutoff_date(SnapshotTable[[#This Row],[SC Fill Date]],SnapshotTable[[#This Row],[SC Exp Date]]),"")</f>
        <v>#NAME?</v>
      </c>
      <c r="FF64" s="4" t="e" cm="1">
        <f t="array" aca="1" ref="FF64" ca="1">IF(SnapshotTable[[#This Row],[SC Is Filled]], btc_should_buy_back(SnapshotTable[[#This Row],[SC Fill Date]], SnapshotTable[[#This Row],[SC Exp Date]], SnapshotTable[[#This Row],[SC Book Price]], SnapshotTable[[#This Row],[SC Current Ask]], MockToday, SnapshotTable[[#This Row],[SC Buyback Override]]),"")</f>
        <v>#NAME?</v>
      </c>
      <c r="FG64" s="4">
        <f ca="1">IF(SnapshotTable[[#This Row],[SC Is Filled]], MAX(0,SnapshotTable[[#This Row],[Last Price]]  - SnapshotTable[[#This Row],[SC Strike Price]]), 0)</f>
        <v>0</v>
      </c>
      <c r="FH64" s="352">
        <f ca="1">IF(SnapshotTable[[#This Row],[SC Is Filled]], IF(ISNUMBER(SnapshotTable[[#This Row],[SC Current Ask]]), SnapshotTable[[#This Row],[SC Current Ask]], SnapshotTable[[#This Row],[SC Book Price]]) - SnapshotTable[[#This Row],[SC Intrinsic Value]], 0)</f>
        <v>0.95</v>
      </c>
      <c r="FI64" s="141">
        <v>46211</v>
      </c>
      <c r="FJ64" s="32">
        <f ca="1">IF(SnapshotTable[[#This Row],[SC Is Filled]],100 * SnapshotTable[[#This Row],[SC Qty]] * IF(ISNUMBER(SnapshotTable[[#This Row],[SC Buyback Override]]), SnapshotTable[[#This Row],[SC Buyback Override]], SnapshotTable[[#This Row],[SC Current Ask]]), "")</f>
        <v>950</v>
      </c>
      <c r="FK64" s="235">
        <f ca="1">IF(SnapshotTable[[#This Row],[SC Time Val]]&gt;0, SnapshotTable[[#This Row],[SC Time Val]] / SnapshotTable[[#This Row],[Last Price]],"")</f>
        <v>1.7857142857142856E-2</v>
      </c>
      <c r="FL64" s="280">
        <f ca="1">IF(SnapshotTable[[#This Row],[SC Is Booked]], ((SnapshotTable[[#This Row],[Last Price]] -SnapshotTable[[#This Row],[SC Strike Price]]) / SnapshotTable[[#This Row],[Last Price]]) * -1, "")</f>
        <v>0.12781954887218039</v>
      </c>
      <c r="FM64" s="155">
        <f ca="1">IF(SnapshotTable[[#This Row],[SC Is Booked]],  (SnapshotTable[[#This Row],[SC Qty]] * 100 * SnapshotTable[[#This Row],[SC Strike Price]]) - SnapshotTable[[#This Row],[SC Current Ask]], "")</f>
        <v>59999.05</v>
      </c>
      <c r="FN64"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64" s="31">
        <f ca="1">IF(AND(ISNUMBER(SnapshotTable[[#This Row],[SC Exercise Gross]]), ISNUMBER(SnapshotTable[[#This Row],[Equity Basis Per Share]] )), SnapshotTable[[#This Row],[SC Exercise Gross]] - SnapshotTable[[#This Row],[Equity Basis Total]] +  SnapshotTable[[#This Row],[SC Premium]], "")</f>
        <v>-9301.9499999999971</v>
      </c>
      <c r="FP64" s="5">
        <f ca="1">IF(ISNUMBER(SnapshotTable[[#This Row],[SC Exercise Gross]]), (SnapshotTable[[#This Row],[SC Exercise Gross]]) / (SnapshotTable[[#This Row],[SC Qty]] * 100), "")</f>
        <v>59.999050000000004</v>
      </c>
      <c r="FQ64" s="27">
        <f ca="1">IF(SnapshotTable[[#This Row],[SC Is Booked]],SnapshotTable[[#This Row],[SC Time Val]] /SnapshotTable[[#This Row],[SC Basis]], "")</f>
        <v>1.7857142857142856E-2</v>
      </c>
      <c r="FR64" s="27" t="e" cm="1">
        <f t="array" aca="1" ref="FR64" ca="1">IF(AND(ISNUMBER(SnapshotTable[[#This Row],[SC Term]]),ISNUMBER(SnapshotTable[[#This Row],[SC Simple ROO]])), EllmanAnnualize(SnapshotTable[[#This Row],[SC DTE]], SnapshotTable[[#This Row],[SC Simple ROO]] ),"")</f>
        <v>#NAME?</v>
      </c>
      <c r="FS64" s="4">
        <f>IF(SnapshotTable[[#This Row],[SC Strike Price]] &gt; SnapshotTable[[#This Row],[Last Price]], SnapshotTable[[#This Row],[SC Strike Price]] - SnapshotTable[[#This Row],[Last Price]],0)</f>
        <v>6.7999999999999972</v>
      </c>
      <c r="FT64" s="27">
        <f>IF(AND(ISNUMBER(SnapshotTable[[#This Row],[SC Upside Potential]]), SnapshotTable[[#This Row],[SC Upside Potential]] &gt; 0),(SnapshotTable[[#This Row],[SC Upside Potential]]/ SnapshotTable[[#This Row],[ACB]]),"")</f>
        <v>0.10129599284969459</v>
      </c>
      <c r="FU64" s="304" t="str">
        <f ca="1">IF(SnapshotTable[[#This Row],[SC Intrinsic Value]] &gt; 0,SnapshotTable[[#This Row],[SC Intrinsic Value]],"")</f>
        <v/>
      </c>
      <c r="FV64" s="27" t="str">
        <f ca="1">IF(AND( ISNUMBER( SnapshotTable[[#This Row],[ACB]]),ISNUMBER(SnapshotTable[[#This Row],[SC Downside Protect]])),SnapshotTable[[#This Row],[SC Downside Protect]] / SnapshotTable[[#This Row],[ACB]],"")</f>
        <v/>
      </c>
      <c r="FW64" s="221">
        <f ca="1">IF(AND(ISNUMBER(SnapshotTable[[#This Row],[SC Simple ROO]]),SnapshotTable[[#This Row],[SC Simple ROO]] &gt; 0), SnapshotTable[[#This Row],[SC Premium]] + (SnapshotTable[[#This Row],[SC Qty]] * SnapshotTable[[#This Row],[SC Upside Potential]]), "")</f>
        <v>1468</v>
      </c>
      <c r="FX64" s="280" t="e" cm="1">
        <f t="array" aca="1" ref="FX64" ca="1">IF(ISNUMBER(SnapshotTable[[#This Row],[SC Max Dollars]]), annualize(SnapshotTable[[#This Row],[SC Term]],(SnapshotTable[[#This Row],[SC Max Dollars]]/SnapshotTable[[#This Row],[SC Basis]])),"")</f>
        <v>#NAME?</v>
      </c>
      <c r="FY64" s="221">
        <f>IF(AND(SnapshotTable[[#This Row],[SC Qty]]&gt;0,SnapshotTable[[#This Row],[SC Current Ask]]&gt;0), SnapshotTable[[#This Row],[SC Qty]] * SnapshotTable[[#This Row],[SC Current Ask]] * -100, "")</f>
        <v>-950</v>
      </c>
      <c r="FZ64" s="31">
        <f ca="1">IF(ISNUMBER((SnapshotTable[[#This Row],[SC Current Value]])), SnapshotTable[[#This Row],[SC Premium]] + SnapshotTable[[#This Row],[SC Current Value]], "")</f>
        <v>450</v>
      </c>
      <c r="GA64" s="272">
        <f ca="1">IFERROR( IF(ISNUMBER((SnapshotTable[[#This Row],[SC Current Value]])), SnapshotTable[[#This Row],[SC Gain Loss]] / SnapshotTable[[#This Row],[SC Premium]], ""), "")</f>
        <v>0.32142857142857145</v>
      </c>
      <c r="GB64" s="42">
        <f>SnapshotTable[[#This Row],[Equity Shares]] * SaleSharesToConsiderPercentage</f>
        <v>200</v>
      </c>
      <c r="GC64" s="40">
        <f>SnapshotTable[[#This Row],[Long Term Target]] * SellingPriceToConsiderBasedOnTargetPercentage</f>
        <v>0</v>
      </c>
      <c r="GD64" s="40">
        <f>SnapshotTable[[#This Row],[Last Price]] * (1+ SellingPriceToConsiderBasedOnTargetPercentage)</f>
        <v>103.74000000000001</v>
      </c>
      <c r="GE64" s="41"/>
      <c r="GF64" s="40"/>
      <c r="GG64" s="31">
        <f>SnapshotTable[[#This Row],[Booked Sale Shares]] * SnapshotTable[[#This Row],[Booked Sale Price]]</f>
        <v>0</v>
      </c>
      <c r="GH64" s="31">
        <f>IF(SnapshotTable[[#This Row],[Equity Basis Total]] &gt; 0, SnapshotTable[[#This Row],[Equity Basis Per Share]] * SnapshotTable[[#This Row],[Booked Sale Shares]], "")</f>
        <v>0</v>
      </c>
      <c r="GI64" s="31">
        <f>IF(SnapshotTable[[#This Row],[Sale Proceeds]]&gt;0, SnapshotTable[[#This Row],[Sale Proceeds]] - SnapshotTable[[#This Row],[Sale Basis]], 0)</f>
        <v>0</v>
      </c>
      <c r="GJ64" s="27">
        <f ca="1">IF(SnapshotTable[[#This Row],[Sale G/L]]&gt;0, SnapshotTable[[#This Row],[Sale G/L]] / SnapshotTable[[#This Row],[Sale Basis]], IF(ISNUMBER(SnapshotTable[[#This Row],[SC Exercise P&amp;L (TAX)]]), SnapshotTable[[#This Row],[SC Exercise P&amp;L (TAX)]] / SnapshotTable[[#This Row],[SC Basis]], ""))</f>
        <v>-174.84868421052624</v>
      </c>
      <c r="GK64" s="27"/>
      <c r="GL64" s="43" t="str">
        <f>IF(AND(SnapshotTable[[#This Row],[LP Exp Date]]&gt;0,SnapshotTable[[#This Row],[LP Strike Price]]&gt;0), [1]!ToOptionSymbol(SnapshotTable[[#This Row],[Symbol]], SnapshotTable[[#This Row],[LP Strike Price]],SnapshotTable[[#This Row],[LP Exp Date]],1), "")</f>
        <v/>
      </c>
      <c r="GM64" s="30" t="str">
        <f>IF(LEN(SnapshotTable[[#This Row],[LP Symbol]])&gt;0, 1, "")</f>
        <v/>
      </c>
      <c r="GN64" s="43" t="str">
        <f ca="1">IF(AND(SnapshotTable[[#This Row],[SP Exp Date]]&gt;0,SnapshotTable[[#This Row],[SP Strike Price]]&gt;0), [1]!ToOptionSymbol(SnapshotTable[[#This Row],[Symbol]], SnapshotTable[[#This Row],[SP Strike Price]],SnapshotTable[[#This Row],[SP Exp Date]],1), "")</f>
        <v>DRAM260731P00050000</v>
      </c>
      <c r="GO64" s="30">
        <f ca="1">IF(LEN(SnapshotTable[[#This Row],[SP Symbol]])&gt;0, 1, "")</f>
        <v>1</v>
      </c>
      <c r="GP64" s="43" t="str">
        <f>IF(AND(SnapshotTable[[#This Row],[LC Exp Date]]&gt;0,SnapshotTable[[#This Row],[LC Strike Price]]&gt;0), [1]!ToOptionSymbol(SnapshotTable[[#This Row],[Symbol]], SnapshotTable[[#This Row],[LC Strike Price]],SnapshotTable[[#This Row],[LC Exp Date]],0), "")</f>
        <v/>
      </c>
      <c r="GQ64" s="30" t="str">
        <f>IF(LEN(SnapshotTable[[#This Row],[LC Symbol]])&gt;0, 1, "")</f>
        <v/>
      </c>
      <c r="GR64" s="43" t="str">
        <f ca="1">IF(AND(SnapshotTable[[#This Row],[SC Exp Date]]&gt;0,SnapshotTable[[#This Row],[SC Strike Price]]&gt;0), [1]!ToOptionSymbol(SnapshotTable[[#This Row],[Symbol]], SnapshotTable[[#This Row],[SC Strike Price]],SnapshotTable[[#This Row],[SC Exp Date]],0), "")</f>
        <v>DRAM260731C00060000</v>
      </c>
      <c r="GS64" s="30">
        <f ca="1">IF(LEN(SnapshotTable[[#This Row],[SC Symbol]])&gt;0, 1, "")</f>
        <v>1</v>
      </c>
      <c r="GT64" s="29" t="str">
        <f ca="1">IF(COUNT(SnapshotTable[[#This Row],[LP Symbol Count]],SnapshotTable[[#This Row],[SP Symbol Count]],SnapshotTable[[#This Row],[LC Symbol Count]],SnapshotTable[[#This Row],[SC Symbol Count]])&gt;0, "Y", "")</f>
        <v>Y</v>
      </c>
      <c r="GU64"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SC </v>
      </c>
      <c r="GV64" s="216">
        <f ca="1">MAX(SnapshotTable[[#This Row],[Equity Basis Total]],SnapshotTable[[#This Row],[Equity Value]]) + (SnapshotTable[[#This Row],[SP Potential Spend]]- SnapshotTable[[#This Row],[SP Premium]] + SnapshotTable[[#This Row],[LP Premium]])+ (SnapshotTable[[#This Row],[LC Premium]] - SnapshotTable[[#This Row],[SC Premium]])</f>
        <v>118201</v>
      </c>
      <c r="GW64" s="137">
        <f ca="1">IF(AND(SnapshotTable[[#This Row],[Exposure]] &lt;&gt; 0),SnapshotTable[[#This Row],[Exposure]] / SnapshotTable[[#Totals],[Exposure]], "")</f>
        <v>0.6563039627764421</v>
      </c>
      <c r="HE64" s="253"/>
      <c r="HF64" s="253"/>
      <c r="HK64" s="1"/>
      <c r="HL64" s="1"/>
      <c r="HM64" s="1"/>
      <c r="HN64" s="1"/>
      <c r="HO64" s="1"/>
      <c r="HP64" s="1"/>
    </row>
    <row r="65" spans="2:224" ht="12.75" hidden="1" customHeight="1" x14ac:dyDescent="0.25">
      <c r="B65" s="12" t="s">
        <v>971</v>
      </c>
      <c r="C65" s="385">
        <v>41.28</v>
      </c>
      <c r="D65" s="200"/>
      <c r="E65" s="39">
        <f>SnapshotTable[[#This Row],[Last Price]]*(1 -CrashDiscount)</f>
        <v>35.088000000000001</v>
      </c>
      <c r="F65" s="296" t="s">
        <v>731</v>
      </c>
      <c r="G65" s="296" t="s">
        <v>4</v>
      </c>
      <c r="H65" s="147"/>
      <c r="I65" s="186"/>
      <c r="J65" s="187"/>
      <c r="K65" s="188"/>
      <c r="L65" s="297"/>
      <c r="M65" s="138"/>
      <c r="N65" s="138"/>
      <c r="O65" s="138"/>
      <c r="P65" s="22"/>
      <c r="Q65" s="25"/>
      <c r="R65" s="4" t="str">
        <f>IF(SnapshotTable[[#This Row],[Equity Basis Total]] &gt; 0, SnapshotTable[[#This Row],[Equity Basis Total]] / SnapshotTable[[#This Row],[Equity Shares]], "")</f>
        <v/>
      </c>
      <c r="S65" s="254">
        <f>SnapshotTable[[#This Row],[Last Price]] * SnapshotTable[[#This Row],[Equity Shares]]</f>
        <v>0</v>
      </c>
      <c r="T65" s="254">
        <f>SnapshotTable[[#This Row],[Equity Value]] - SnapshotTable[[#This Row],[Equity Basis Total]]</f>
        <v>0</v>
      </c>
      <c r="U65" s="255" t="str">
        <f>IF(SnapshotTable[[#This Row],[Equity Basis Total]] &gt; 0, SnapshotTable[[#This Row],[Equity G/L]] / SnapshotTable[[#This Row],[Equity Basis Total]], "")</f>
        <v/>
      </c>
      <c r="V65" s="253"/>
      <c r="W65" s="253"/>
      <c r="X65" s="4" t="str">
        <f>IF(AND(ISNUMBER(SnapshotTable[[#This Row],[Equity Basis Per Share]]),ISNUMBER(SnapshotTable[[#This Row],[Equity Target]])),SnapshotTable[[#This Row],[Equity Target]]-SnapshotTable[[#This Row],[Equity Basis Per Share]],"")</f>
        <v/>
      </c>
      <c r="Y65" s="4" t="str">
        <f>IF(AND(ISNUMBER(SnapshotTable[[#This Row],[Equity Basis Per Share]]),ISNUMBER(SnapshotTable[[#This Row],[Equity Stop Loss]])),SnapshotTable[[#This Row],[Equity Stop Loss]]-SnapshotTable[[#This Row],[Equity Basis Per Share]],"")</f>
        <v/>
      </c>
      <c r="Z65" s="260" t="str">
        <f>IFERROR( TEXT(SnapshotTable[[#This Row],[Equity Max Gain Per Share]] /ABS( SnapshotTable[[#This Row],[Equity Max Loss Per Share]]),"0.0 " ) &amp; " : 1", "")</f>
        <v/>
      </c>
      <c r="AA65" s="31" t="str">
        <f>IF(ISNUMBER(SnapshotTable[[#This Row],[Equity Max Gain Per Share]]),SnapshotTable[[#This Row],[Equity Max Gain Per Share]] * SnapshotTable[[#This Row],[Equity Shares]],"")</f>
        <v/>
      </c>
      <c r="AB65" s="31" t="str">
        <f>IF(ISNUMBER(SnapshotTable[[#This Row],[Equity Max Loss Per Share]]),SnapshotTable[[#This Row],[Equity Max Loss Per Share]] * SnapshotTable[[#This Row],[Equity Shares]],"")</f>
        <v/>
      </c>
      <c r="AC65" s="148"/>
      <c r="AD65" s="149"/>
      <c r="AE65" s="31">
        <f>(SnapshotTable[[#This Row],[Annual Dividend Per Share]] / 4) * SnapshotTable[[#This Row],[Equity Shares]]</f>
        <v>0</v>
      </c>
      <c r="AF65" s="31">
        <f>SnapshotTable[[#This Row],[Quarterly Div $]] * 4</f>
        <v>0</v>
      </c>
      <c r="AG65" s="7">
        <f>IF(SnapshotTable[[#This Row],[Annual Dividend Per Share]]&gt;0, SnapshotTable[[#This Row],[Annual Dividend Per Share]]  / SnapshotTable[[#This Row],[Last Price]], 0)</f>
        <v>0</v>
      </c>
      <c r="AH65" s="149"/>
      <c r="AI65" s="5"/>
      <c r="AJ65" s="136"/>
      <c r="AK65" s="150" t="str">
        <f>IF(ISNUMBER( SnapshotTable[[#This Row],[EBF Target]]),(SnapshotTable[[#This Row],[EBF Target]] - SnapshotTable[[#This Row],[Last Price]]) / SnapshotTable[[#This Row],[Last Price]], "")</f>
        <v/>
      </c>
      <c r="AL65" s="150" t="str">
        <f>IF(AND(SnapshotTable[[#This Row],[Equity Basis Total]] &gt; 0,ISNUMBER( SnapshotTable[[#This Row],[Long Term Target]])), SnapshotTable[[#This Row],[From Basis $]] / SnapshotTable[[#This Row],[Equity Basis Total]], "")</f>
        <v/>
      </c>
      <c r="AM65" s="9">
        <f>IF( AND(SnapshotTable[[#This Row],[Equity Shares]] &gt;0,ISNUMBER( SnapshotTable[[#This Row],[Long Term Target]])),(SnapshotTable[[#This Row],[Equity Shares]] * SnapshotTable[[#This Row],[Long Term Target]]) - SnapshotTable[[#This Row],[Equity Basis Total]],0)</f>
        <v>0</v>
      </c>
      <c r="AN65" s="9">
        <f>IF( AND(SnapshotTable[[#This Row],[Equity Shares]] &gt;0,ISNUMBER( SnapshotTable[[#This Row],[Long Term Target]])),(SnapshotTable[[#This Row],[Equity Shares]]*SnapshotTable[[#This Row],[Long Term Target]]) - SnapshotTable[[#This Row],[Equity Value]],0)</f>
        <v>0</v>
      </c>
      <c r="AO65" s="150" t="str">
        <f>IF(AND(ISNUMBER( SnapshotTable[[#This Row],[Long Term Target]]), ISNUMBER(SnapshotTable[[#This Row],[Last Price]])),(SnapshotTable[[#This Row],[Long Term Target]] - SnapshotTable[[#This Row],[Last Price]]) / SnapshotTable[[#This Row],[Last Price]], "")</f>
        <v/>
      </c>
      <c r="AP65" s="5"/>
      <c r="AQ65" s="38"/>
      <c r="AR65" s="5"/>
      <c r="AS65" s="38"/>
      <c r="AT65" s="144"/>
      <c r="AU65" s="185" t="str">
        <f>IF(OR(SnapshotTable[[#This Row],[LP No Fill]]="Y",SnapshotTable[[#This Row],[SP Is Filled]],SnapshotTable[[#This Row],[LC Not Filled]]="Y",SnapshotTable[[#This Row],[SC Is Filled]]),"Y","")</f>
        <v/>
      </c>
      <c r="AV65" s="205"/>
      <c r="AW65" s="211"/>
      <c r="AX65" s="206"/>
      <c r="AY65" s="205" t="str">
        <f>IF(SnapshotTable[[#This Row],[Implied Move]]&gt;0, SnapshotTable[[#This Row],[Last Price]]-SnapshotTable[[#This Row],[Implied Move]],"")</f>
        <v/>
      </c>
      <c r="AZ65" s="205" t="str">
        <f>IF(SnapshotTable[[#This Row],[Implied Move]]&gt;0, SnapshotTable[[#This Row],[Last Price]] + SnapshotTable[[#This Row],[Implied Move]],"")</f>
        <v/>
      </c>
      <c r="BA65" s="302">
        <v>2.76</v>
      </c>
      <c r="BB65" s="318"/>
      <c r="BC65" s="37">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45968</v>
      </c>
      <c r="BD65" s="321">
        <v>45968</v>
      </c>
      <c r="BE65" s="5"/>
      <c r="BF65" s="14"/>
      <c r="BG65" s="13"/>
      <c r="BH65" s="13"/>
      <c r="BI65" s="5"/>
      <c r="BJ65" s="134">
        <f>IF(SnapshotTable[[#This Row],[LP Qty]] &gt; 0, SnapshotTable[[#This Row],[LP Qty]] * SnapshotTable[[#This Row],[LP Book Price]] * 100,0)</f>
        <v>0</v>
      </c>
      <c r="BK65" s="134">
        <f>IF(SnapshotTable[[#This Row],[LP Premium]] &gt; 0, SnapshotTable[[#This Row],[LP Qty]] * SnapshotTable[[#This Row],[LP Strike Price]] * 100,0)</f>
        <v>0</v>
      </c>
      <c r="BL65" s="152"/>
      <c r="BM65" s="355" t="str">
        <f>IF(SnapshotTable[[#This Row],[LP Premium]] &gt; 0,SnapshotTable[[#This Row],[LP Exp Date]]-MAX(SnapshotTable[[#This Row],[LP Book Date]], SnapshotTable[[#This Row],[LP Fill Date]]),"")</f>
        <v/>
      </c>
      <c r="BN65" s="355" t="str">
        <f>IF(ISNUMBER( SnapshotTable[[#This Row],[LP Term]]), SnapshotTable[[#This Row],[LP Exp Date]] - MockToday,"")</f>
        <v/>
      </c>
      <c r="BO65" s="161" t="str">
        <f>IF(AND(SnapshotTable[[#This Row],[LP Exp Date]]&gt;0, SnapshotTable[[#This Row],[LP Strike Price]]&gt;0,SnapshotTable[[#This Row],[LP Qty]]&gt;0,SnapshotTable[[#This Row],[LP Book Date]]&gt;0,SnapshotTable[[#This Row],[LP Book Price]]&gt;0,SnapshotTable[[#This Row],[LP Fill Date]]=0),"Y","")</f>
        <v/>
      </c>
      <c r="BP65" s="31" t="str">
        <f>IF(AND(SnapshotTable[[#This Row],[LP No Fill]]&lt;&gt;"Y",SnapshotTable[[#This Row],[LP Contract Value]]&gt;0, SnapshotTable[[#This Row],[LP Qty]]&gt;0), SnapshotTable[[#This Row],[LP Contract Value]]*SnapshotTable[[#This Row],[LP Qty]]*100,"")</f>
        <v/>
      </c>
      <c r="BQ65" s="13"/>
      <c r="BR65" s="5"/>
      <c r="BS65" s="36"/>
      <c r="BT65" s="145"/>
      <c r="BU65" s="13"/>
      <c r="BV65" s="5">
        <v>2.2200000000000002</v>
      </c>
      <c r="BW65" s="382" t="b">
        <f>AND(ISNUMBER(SnapshotTable[[#This Row],[SP Exp Date]]), ISNUMBER(SnapshotTable[[#This Row],[SP Strike Price]]), ISNUMBER(SnapshotTable[[#This Row],[SP Qty]]), ISNUMBER(SnapshotTable[[#This Row],[SP Book Date]]), ISNUMBER(SnapshotTable[[#This Row],[SP Book Price]]))</f>
        <v>0</v>
      </c>
      <c r="BX65" s="382" t="b">
        <f>AND(SnapshotTable[[#This Row],[SP Is Booked]], NOT(ISBLANK(SnapshotTable[[#This Row],[SP Fill Date]])))</f>
        <v>0</v>
      </c>
      <c r="BY65" s="33">
        <f>IF(SnapshotTable[[#This Row],[SP Is Booked]], SnapshotTable[[#This Row],[SP Qty]] * SnapshotTable[[#This Row],[SP Book Price]] * 100, 0)</f>
        <v>0</v>
      </c>
      <c r="BZ65" s="339"/>
      <c r="CA65" s="338">
        <f>SnapshotTable[[#This Row],[LP Qty]]</f>
        <v>0</v>
      </c>
      <c r="CB65" s="4" t="str">
        <f>IF(SnapshotTable[[#This Row],[SP Is Booked]], SnapshotTable[[#This Row],[SP Strike Price]] - SnapshotTable[[#This Row],[SP Book Price]], "")</f>
        <v/>
      </c>
      <c r="CC65" s="19" t="str">
        <f>IF(SnapshotTable[[#This Row],[SP Is Booked]],SnapshotTable[[#This Row],[SP Exp Date]]-MAX(SnapshotTable[[#This Row],[SP Book Date]], SnapshotTable[[#This Row],[SP Fill Date]]),"")</f>
        <v/>
      </c>
      <c r="CD65" s="7" t="str">
        <f>IF(SnapshotTable[[#This Row],[SP Is Booked]], SnapshotTable[[#This Row],[SP Book Price]]/SnapshotTable[[#This Row],[SP Strike Price]], "")</f>
        <v/>
      </c>
      <c r="CE65" s="7" t="str">
        <f>IF(ISNUMBER(SnapshotTable[[#This Row],[SP ROO Term]]),SnapshotTable[[#This Row],[SP ROO Term]]*(365/SnapshotTable[[#This Row],[SP Term]]),"")</f>
        <v/>
      </c>
      <c r="CF65" s="221">
        <f>SnapshotTable[[#This Row],[LP Strike Price]] * SnapshotTable[[#This Row],[LP Qty]] * 100</f>
        <v>0</v>
      </c>
      <c r="CG65" s="31">
        <f>IF(ISNUMBER(SnapshotTable[[#This Row],[SP Premium]]), (SnapshotTable[[#This Row],[SP Qty]] * SnapshotTable[[#This Row],[SP Strike Price]]* 100) - SnapshotTable[[#This Row],[LP Protection]], 0)</f>
        <v>0</v>
      </c>
      <c r="CH65" s="7" t="str">
        <f>IF(ISNUMBER(SnapshotTable[[#This Row],[SP Break Even]]),-1 * (SnapshotTable[[#This Row],[SP Break Even]] - SnapshotTable[[#This Row],[Last Price]]) / SnapshotTable[[#This Row],[Last Price]], "")</f>
        <v/>
      </c>
      <c r="CI65" s="31">
        <f>IF(AND(ISNUMBER((SnapshotTable[[#This Row],[SP Potential Spend]])), SnapshotTable[[#This Row],[SP Strike Price]] &gt; SnapshotTable[[#This Row],[Last Price]], SnapshotTable[[#This Row],[SP Is Filled]]), SnapshotTable[[#This Row],[SP Potential Spend]] -  SnapshotTable[[#This Row],[LP Max Value]], 0)</f>
        <v>0</v>
      </c>
      <c r="CJ65" s="229"/>
      <c r="CK65" s="31">
        <f>IF(ISNUMBER(SnapshotTable[[#This Row],[SP Potential Spend]]),IF(ISNUMBER(SnapshotTable[[#This Row],[SP POW]]), SnapshotTable[[#This Row],[SP POW]] * SnapshotTable[[#This Row],[SP Potential Spend]], SnapshotTable[[#This Row],[SP Potential Spend]]), "")</f>
        <v>0</v>
      </c>
      <c r="CL65" s="162">
        <f>IF(NOT(SnapshotTable[[#This Row],[SP Is Filled]]),(SnapshotTable[[#This Row],[SP Qty]] * SnapshotTable[[#This Row],[SP Strike Price]] * 100) - SnapshotTable[[#This Row],[LP Max Value]],"")</f>
        <v>0</v>
      </c>
      <c r="CM65" s="31" t="str">
        <f>IF(SnapshotTable[[#This Row],[SP Actual Spend]]&lt;&gt;0, ((SnapshotTable[[#This Row],[SP Strike Price]]-SnapshotTable[[#This Row],[Last Price]]) *(SnapshotTable[[#This Row],[SP Qty]]*100) - SnapshotTable[[#This Row],[SP Premium]]) * - 1, "")</f>
        <v/>
      </c>
      <c r="CN65" s="76"/>
      <c r="CO65" s="339"/>
      <c r="CP65" s="4" t="str">
        <f>IF(SnapshotTable[[#This Row],[SP Is Filled]], btc_max_buyback_amount(SnapshotTable[[#This Row],[SP Fill Date]],SnapshotTable[[#This Row],[SP Exp Date]], SnapshotTable[[#This Row],[SP Book Price]]),"")</f>
        <v/>
      </c>
      <c r="CQ65" s="76"/>
      <c r="CR6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5" s="153" t="str">
        <f>IF(SnapshotTable[[#This Row],[SP Is Filled]], btc_next_cutoff_date(SnapshotTable[[#This Row],[SP Fill Date]],SnapshotTable[[#This Row],[SP Exp Date]]),"")</f>
        <v/>
      </c>
      <c r="CT65" s="220" t="str" cm="1">
        <f t="array" ref="CT65">IF(SnapshotTable[[#This Row],[SP Is Filled]], btc_should_buy_back(SnapshotTable[[#This Row],[SP Fill Date]], SnapshotTable[[#This Row],[SP Exp Date]], SnapshotTable[[#This Row],[SP Book Price]], SnapshotTable[[#This Row],[SP Current Ask]], MockToday, SnapshotTable[[#This Row],[SP Buyback Override]]),"")</f>
        <v/>
      </c>
      <c r="CU65" s="141"/>
      <c r="CV65" s="220"/>
      <c r="CW65" s="348" t="str">
        <f>IF(ISNUMBER( SnapshotTable[[#This Row],[SP Term]]), SnapshotTable[[#This Row],[SP Exp Date]] - MockToday,"")</f>
        <v/>
      </c>
      <c r="CX65" s="31" t="str">
        <f>IF(SnapshotTable[[#This Row],[SP Is Filled]],SnapshotTable[[#This Row],[SP Buyback Price to Use]] * 100 * SnapshotTable[[#This Row],[SP Qty]], "")</f>
        <v/>
      </c>
      <c r="CY65" s="4" t="str">
        <f>IF(ISNUMBER(SnapshotTable[[#This Row],[SP Strike Price]]), SnapshotTable[[#This Row],[SP Strike Price]] * (1 - SP_MaxLoss_StrikePct), "")</f>
        <v/>
      </c>
      <c r="CZ65" s="31" t="str">
        <f>IF(ISNUMBER(SnapshotTable[[#This Row],[SP Strike  Stop Per Share]]),SnapshotTable[[#This Row],[SP Premium]] - ((SnapshotTable[[#This Row],[SP Strike Price]]-SnapshotTable[[#This Row],[SP Strike  Stop Per Share]]) *(SnapshotTable[[#This Row],[SP Qty]] * 100)),"")</f>
        <v/>
      </c>
      <c r="DA65" s="4" t="str">
        <f>IF(AND(ISNUMBER(SnapshotTable[[#This Row],[SP Premium]]),SnapshotTable[[#This Row],[SP Premium]]&gt;0), SnapshotTable[[#This Row],[SP Book Price]] * (1 + SP_MaxLoss_OptionPct), "")</f>
        <v/>
      </c>
      <c r="DB65" s="31" t="str">
        <f>IF(ISNUMBER(SnapshotTable[[#This Row],[SP Option  Stop Contract]]),(SnapshotTable[[#This Row],[SP Option  Stop Contract]] *(SnapshotTable[[#This Row],[SP Qty]] * 100) - SnapshotTable[[#This Row],[SP Premium]]),"")</f>
        <v/>
      </c>
      <c r="DC65" s="4"/>
      <c r="DD65" s="4"/>
      <c r="DE65" s="4" t="str">
        <f>IF(AND(SnapshotTable[[#This Row],[SP Qty]]&gt;0, SnapshotTable[[#This Row],[SP Stop To Use]]&gt;0),SnapshotTable[[#This Row],[SP Premium]] - ( SnapshotTable[[#This Row],[SP Qty]] * SnapshotTable[[#This Row],[SP Stop To Use]] * 100), "")</f>
        <v/>
      </c>
      <c r="DF65" s="31" t="str">
        <f>IF(AND(SnapshotTable[[#This Row],[SP Qty]]&gt;0,SnapshotTable[[#This Row],[SP Current Ask]]&gt;0), SnapshotTable[[#This Row],[SP Qty]] * SnapshotTable[[#This Row],[SP Current Ask]] * -100, "")</f>
        <v/>
      </c>
      <c r="DG65" s="31" t="str">
        <f>IF(ISNUMBER((SnapshotTable[[#This Row],[SP Total Value]])), SnapshotTable[[#This Row],[SP Premium]] + SnapshotTable[[#This Row],[SP Total Value]], "")</f>
        <v/>
      </c>
      <c r="DH65" s="272" t="str">
        <f>IF(ISNUMBER((SnapshotTable[[#This Row],[SP Total Value]])), SnapshotTable[[#This Row],[SP Gain Loss]] / SnapshotTable[[#This Row],[SP Premium]], "")</f>
        <v/>
      </c>
      <c r="DI65" s="369"/>
      <c r="DJ65" s="136"/>
      <c r="DK65" s="146"/>
      <c r="DL65" s="13"/>
      <c r="DM65" s="13"/>
      <c r="DO65" s="31">
        <f>IF(SnapshotTable[[#This Row],[LC Symbol Count]]=1, SnapshotTable[[#This Row],[LC Qty]] * SnapshotTable[[#This Row],[LC Book Price]] * 100, 0)</f>
        <v>0</v>
      </c>
      <c r="DP65" s="161" t="str">
        <f>IF(AND(SnapshotTable[[#This Row],[LC Exp Date]]&gt;0, SnapshotTable[[#This Row],[LC Strike Price]]&gt;0,SnapshotTable[[#This Row],[LC Qty]]&gt;0,SnapshotTable[[#This Row],[LC Book Date]]&gt;0,SnapshotTable[[#This Row],[LC Book Price]]&gt;0,SnapshotTable[[#This Row],[LC Fill Date]]=0),"Y","")</f>
        <v/>
      </c>
      <c r="DQ65" s="356" t="str">
        <f>IF(SnapshotTable[[#This Row],[LC Premium]] &gt; 0,SnapshotTable[[#This Row],[LC Exp Date]]-MAX(SnapshotTable[[#This Row],[LC Book Date]], SnapshotTable[[#This Row],[LC Fill Date]]),"")</f>
        <v/>
      </c>
      <c r="DR65" s="356" t="str">
        <f>IF(ISNUMBER(SnapshotTable[[#This Row],[LC Term]]), SnapshotTable[[#This Row],[LC Exp Date]] - MockToday, "")</f>
        <v/>
      </c>
      <c r="DS65" s="219" t="str">
        <f>IF(SnapshotTable[[#This Row],[LC Premium]]&gt;0,SnapshotTable[[#This Row],[LC Strike Price]] + SnapshotTable[[#This Row],[LC Book Price]],"")</f>
        <v/>
      </c>
      <c r="DU65" s="9" t="str">
        <f>IF(AND(SnapshotTable[[#This Row],[LC Symbol Count]]&gt;0, SnapshotTable[[#This Row],[LC Contract Value]]&gt;0), SnapshotTable[[#This Row],[LC Contract Value]] * SnapshotTable[[#This Row],[LC Qty]] * 100, "")</f>
        <v/>
      </c>
      <c r="DV65" s="9" t="str">
        <f>IF(AND(ISNUMBER(SnapshotTable[[#This Row],[LC Total Value]]), SnapshotTable[[#This Row],[LC Not Filled]]&lt;&gt;"Y"), SnapshotTable[[#This Row],[LC Total Value]]-SnapshotTable[[#This Row],[LC Premium]],"")</f>
        <v/>
      </c>
      <c r="DW65" s="225" t="str">
        <f>IF(ISNUMBER(SnapshotTable[[#This Row],[LC Actual Gain Loss]]), SnapshotTable[[#This Row],[LC Actual Gain Loss]] / SnapshotTable[[#This Row],[LC Premium]],"")</f>
        <v/>
      </c>
      <c r="DX65" s="269" t="str">
        <f>IF(ISNUMBER(SnapshotTable[[#This Row],[LC Book Price]]),SnapshotTable[[#This Row],[LC Book Price]] * 1.5,"")</f>
        <v/>
      </c>
      <c r="DY65" s="250" t="str">
        <f>IF(SnapshotTable[[#This Row],[LC Premium]]&gt;0, SnapshotTable[[#This Row],[LC Next Target]] * SnapshotTable[[#This Row],[LC Qty]] * 100,"")</f>
        <v/>
      </c>
      <c r="DZ65" s="250" t="str">
        <f>IF(ISNUMBER(SnapshotTable[[#This Row],[LC Target Gross]]), SnapshotTable[[#This Row],[LC Target Gross]] - SnapshotTable[[#This Row],[LC Premium]], "")</f>
        <v/>
      </c>
      <c r="EA65" s="283" t="str">
        <f>IF(ISNUMBER(SnapshotTable[[#This Row],[LC Target Gain Loss]]), SnapshotTable[[#This Row],[LC Target Gain Loss]]/SnapshotTable[[#This Row],[LC Premium]], "")</f>
        <v/>
      </c>
      <c r="EB65" s="247"/>
      <c r="EC65" s="268" t="str">
        <f>IF(SnapshotTable[[#This Row],[LC Premium]]&gt;0, SnapshotTable[[#This Row],[LC Book Price]] * (1 - LC_StopLoss_Pct),"")</f>
        <v/>
      </c>
      <c r="ED65" s="269"/>
      <c r="EE65" s="268" t="str">
        <f>IF(ISNUMBER(SnapshotTable[[#This Row],[LC Contract Value]]),IF(ISNUMBER(SnapshotTable[[#This Row],[LC Stop Loss Override]]), SnapshotTable[[#This Row],[LC Stop Loss Override]],SnapshotTable[[#This Row],[LC Stop Loss Calc Target]]),"")</f>
        <v/>
      </c>
      <c r="EF65" s="31" t="str">
        <f>IF(ISNUMBER(SnapshotTable[[#This Row],[LC Stop  To Use]]), (SnapshotTable[[#This Row],[LC Stop  To Use]] * SnapshotTable[[#This Row],[LC Qty]] * 100),"")</f>
        <v/>
      </c>
      <c r="EG65" s="9" t="str">
        <f>IF(ISNUMBER(SnapshotTable[[#This Row],[LC Total Value]]),SnapshotTable[[#This Row],[LC Stop Loss Amount]] - SnapshotTable[[#This Row],[LC Premium]],"")</f>
        <v/>
      </c>
      <c r="EH65" s="9">
        <f>IF(ISNUMBER(SnapshotTable[[#This Row],[LC Premium]]), SnapshotTable[[#This Row],[LC Qty]] * 100 * SnapshotTable[[#This Row],[LC Strike Price]], "")</f>
        <v>0</v>
      </c>
      <c r="EI65" s="225" t="str">
        <f>IF(AND(ISNUMBER(SnapshotTable[[#This Row],[LC Total Value]]),SnapshotTable[[#This Row],[LC Total Value]]&gt;0),SnapshotTable[[#This Row],[LC Stop Gain Loss]]  / SnapshotTable[[#This Row],[LC Premium]],"")</f>
        <v/>
      </c>
      <c r="EJ65" s="35">
        <f>IF(ISNUMBER(SnapshotTable[[#This Row],[Equity Shares]]),TRUNC(SnapshotTable[[#This Row],[Equity Shares]] / 100),0) + SnapshotTable[[#This Row],[LC Qty]]</f>
        <v>0</v>
      </c>
      <c r="EK65" s="145"/>
      <c r="EL65" s="136"/>
      <c r="EM65" s="146"/>
      <c r="EN65" s="145"/>
      <c r="EO65" s="145"/>
      <c r="EP65" s="136"/>
      <c r="EQ65" s="382" t="b">
        <f>AND(ISNUMBER(SnapshotTable[[#This Row],[SC Exp Date]]), ISNUMBER(SnapshotTable[[#This Row],[SC Strike Price]]), ISNUMBER(SnapshotTable[[#This Row],[SC Qty]]), ISNUMBER(SnapshotTable[[#This Row],[SC Book Date]]), ISNUMBER(SnapshotTable[[#This Row],[SC Book Price]]))</f>
        <v>0</v>
      </c>
      <c r="ER65" s="382" t="b">
        <f>AND(SnapshotTable[[#This Row],[SC Is Booked]], NOT(ISBLANK(SnapshotTable[[#This Row],[SC Fill Date]])))</f>
        <v>0</v>
      </c>
      <c r="ES65" s="340"/>
      <c r="ET65" s="34" t="str">
        <f>IF(AND(ISNUMBER(SnapshotTable[[#This Row],[SC Exp Date]]), ISNUMBER(SnapshotTable[[#This Row],[SC Book Date]])), SnapshotTable[[#This Row],[SC Exp Date]] - MAX(SnapshotTable[[#This Row],[SC Book Date]], SnapshotTable[[#This Row],[SC Fill Date]]) + 1, "")</f>
        <v/>
      </c>
      <c r="EU65" s="34" t="str">
        <f>IF(ISNUMBER(SnapshotTable[[#This Row],[SC Term]]), SnapshotTable[[#This Row],[SC Exp Date]]- MockToday, "")</f>
        <v/>
      </c>
      <c r="EV65" s="31">
        <f>IF(SnapshotTable[[#This Row],[SC Is Booked]], SnapshotTable[[#This Row],[SC Qty]] * SnapshotTable[[#This Row],[SC Book Price]] * 100, 0)</f>
        <v>0</v>
      </c>
      <c r="EW65" s="4" t="str">
        <f>IF(AND(ISNUMBER(SnapshotTable[[#This Row],[Last Price]]), ISNUMBER( SnapshotTable[[#This Row],[SC Book Price]])), SnapshotTable[[#This Row],[Last Price]] - SnapshotTable[[#This Row],[SC Book Price]],"")</f>
        <v/>
      </c>
      <c r="EX65" s="219" t="str">
        <f>IF(SnapshotTable[[#This Row],[SC Is Booked]],IF(SnapshotTable[[#This Row],[SC Intrinsic Value]] &gt; 0, SnapshotTable[[#This Row],[SC Strike Price]], SnapshotTable[[#This Row],[Last Price]]), "")</f>
        <v/>
      </c>
      <c r="EY65" s="4">
        <f>IF(SnapshotTable[[#This Row],[SC Is Booked]], (MinimumPremiumRequired * SnapshotTable[[#This Row],[SC Basis]] * SnapshotTable[[#This Row],[SC Term]]), 0)</f>
        <v>0</v>
      </c>
      <c r="EZ65" s="268"/>
      <c r="FA65" s="204"/>
      <c r="FB65" s="340"/>
      <c r="FC65" s="4">
        <f>IF(SnapshotTable[[#This Row],[SC Is Filled]], btc_max_buyback_amount(SnapshotTable[[#This Row],[SC Fill Date]],SnapshotTable[[#This Row],[SC Exp Date]], SnapshotTable[[#This Row],[SC Book Price]]),0)</f>
        <v>0</v>
      </c>
      <c r="FD65" s="5"/>
      <c r="FE65" s="142" t="str">
        <f>IF(SnapshotTable[[#This Row],[SC Is Filled]], btc_next_cutoff_date(SnapshotTable[[#This Row],[SC Fill Date]],SnapshotTable[[#This Row],[SC Exp Date]]),"")</f>
        <v/>
      </c>
      <c r="FF65" s="4" t="str" cm="1">
        <f t="array" ref="FF65">IF(SnapshotTable[[#This Row],[SC Is Filled]], btc_should_buy_back(SnapshotTable[[#This Row],[SC Fill Date]], SnapshotTable[[#This Row],[SC Exp Date]], SnapshotTable[[#This Row],[SC Book Price]], SnapshotTable[[#This Row],[SC Current Ask]], MockToday, SnapshotTable[[#This Row],[SC Buyback Override]]),"")</f>
        <v/>
      </c>
      <c r="FG65" s="4">
        <f>IF(SnapshotTable[[#This Row],[SC Is Filled]], MAX(0,SnapshotTable[[#This Row],[Last Price]]  - SnapshotTable[[#This Row],[SC Strike Price]]), 0)</f>
        <v>0</v>
      </c>
      <c r="FH65" s="352">
        <f>IF(SnapshotTable[[#This Row],[SC Is Filled]], IF(ISNUMBER(SnapshotTable[[#This Row],[SC Current Ask]]), SnapshotTable[[#This Row],[SC Current Ask]], SnapshotTable[[#This Row],[SC Book Price]]) - SnapshotTable[[#This Row],[SC Intrinsic Value]], 0)</f>
        <v>0</v>
      </c>
      <c r="FI65" s="141"/>
      <c r="FJ65" s="32" t="str">
        <f>IF(SnapshotTable[[#This Row],[SC Is Filled]],100 * SnapshotTable[[#This Row],[SC Qty]] * IF(ISNUMBER(SnapshotTable[[#This Row],[SC Buyback Override]]), SnapshotTable[[#This Row],[SC Buyback Override]], SnapshotTable[[#This Row],[SC Current Ask]]), "")</f>
        <v/>
      </c>
      <c r="FK65" s="235" t="str">
        <f>IF(SnapshotTable[[#This Row],[SC Time Val]]&gt;0, SnapshotTable[[#This Row],[SC Time Val]] / SnapshotTable[[#This Row],[Last Price]],"")</f>
        <v/>
      </c>
      <c r="FL65" s="280" t="str">
        <f>IF(SnapshotTable[[#This Row],[SC Is Booked]], ((SnapshotTable[[#This Row],[Last Price]] -SnapshotTable[[#This Row],[SC Strike Price]]) / SnapshotTable[[#This Row],[Last Price]]) * -1, "")</f>
        <v/>
      </c>
      <c r="FM65" s="155" t="str">
        <f>IF(SnapshotTable[[#This Row],[SC Is Booked]],  (SnapshotTable[[#This Row],[SC Qty]] * 100 * SnapshotTable[[#This Row],[SC Strike Price]]) - SnapshotTable[[#This Row],[SC Current Ask]], "")</f>
        <v/>
      </c>
      <c r="FN6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5" s="31" t="str">
        <f>IF(AND(ISNUMBER(SnapshotTable[[#This Row],[SC Exercise Gross]]), ISNUMBER(SnapshotTable[[#This Row],[Equity Basis Per Share]] )), SnapshotTable[[#This Row],[SC Exercise Gross]] - SnapshotTable[[#This Row],[Equity Basis Total]] +  SnapshotTable[[#This Row],[SC Premium]], "")</f>
        <v/>
      </c>
      <c r="FP65" s="5" t="str">
        <f>IF(ISNUMBER(SnapshotTable[[#This Row],[SC Exercise Gross]]), (SnapshotTable[[#This Row],[SC Exercise Gross]]) / (SnapshotTable[[#This Row],[SC Qty]] * 100), "")</f>
        <v/>
      </c>
      <c r="FQ65" s="27" t="str">
        <f>IF(SnapshotTable[[#This Row],[SC Is Booked]],SnapshotTable[[#This Row],[SC Time Val]] /SnapshotTable[[#This Row],[SC Basis]], "")</f>
        <v/>
      </c>
      <c r="FR65" s="27" t="str" cm="1">
        <f t="array" ref="FR65">IF(AND(ISNUMBER(SnapshotTable[[#This Row],[SC Term]]),ISNUMBER(SnapshotTable[[#This Row],[SC Simple ROO]])), EllmanAnnualize(SnapshotTable[[#This Row],[SC DTE]], SnapshotTable[[#This Row],[SC Simple ROO]] ),"")</f>
        <v/>
      </c>
      <c r="FS65" s="4">
        <f>IF(SnapshotTable[[#This Row],[SC Strike Price]] &gt; SnapshotTable[[#This Row],[Last Price]], SnapshotTable[[#This Row],[SC Strike Price]] - SnapshotTable[[#This Row],[Last Price]],0)</f>
        <v>0</v>
      </c>
      <c r="FT65" s="27" t="str">
        <f>IF(AND(ISNUMBER(SnapshotTable[[#This Row],[SC Upside Potential]]), SnapshotTable[[#This Row],[SC Upside Potential]] &gt; 0),(SnapshotTable[[#This Row],[SC Upside Potential]]/ SnapshotTable[[#This Row],[ACB]]),"")</f>
        <v/>
      </c>
      <c r="FU65" s="304" t="str">
        <f>IF(SnapshotTable[[#This Row],[SC Intrinsic Value]] &gt; 0,SnapshotTable[[#This Row],[SC Intrinsic Value]],"")</f>
        <v/>
      </c>
      <c r="FV65" s="27" t="str">
        <f>IF(AND( ISNUMBER( SnapshotTable[[#This Row],[ACB]]),ISNUMBER(SnapshotTable[[#This Row],[SC Downside Protect]])),SnapshotTable[[#This Row],[SC Downside Protect]] / SnapshotTable[[#This Row],[ACB]],"")</f>
        <v/>
      </c>
      <c r="FW65" s="221" t="str">
        <f>IF(AND(ISNUMBER(SnapshotTable[[#This Row],[SC Simple ROO]]),SnapshotTable[[#This Row],[SC Simple ROO]] &gt; 0), SnapshotTable[[#This Row],[SC Premium]] + (SnapshotTable[[#This Row],[SC Qty]] * SnapshotTable[[#This Row],[SC Upside Potential]]), "")</f>
        <v/>
      </c>
      <c r="FX65" s="280" t="str" cm="1">
        <f t="array" ref="FX65">IF(ISNUMBER(SnapshotTable[[#This Row],[SC Max Dollars]]), annualize(SnapshotTable[[#This Row],[SC Term]],(SnapshotTable[[#This Row],[SC Max Dollars]]/SnapshotTable[[#This Row],[SC Basis]])),"")</f>
        <v/>
      </c>
      <c r="FY65" s="221" t="str">
        <f>IF(AND(SnapshotTable[[#This Row],[SC Qty]]&gt;0,SnapshotTable[[#This Row],[SC Current Ask]]&gt;0), SnapshotTable[[#This Row],[SC Qty]] * SnapshotTable[[#This Row],[SC Current Ask]] * -100, "")</f>
        <v/>
      </c>
      <c r="FZ65" s="31" t="str">
        <f>IF(ISNUMBER((SnapshotTable[[#This Row],[SC Current Value]])), SnapshotTable[[#This Row],[SC Premium]] + SnapshotTable[[#This Row],[SC Current Value]], "")</f>
        <v/>
      </c>
      <c r="GA65" s="272" t="str">
        <f>IFERROR( IF(ISNUMBER((SnapshotTable[[#This Row],[SC Current Value]])), SnapshotTable[[#This Row],[SC Gain Loss]] / SnapshotTable[[#This Row],[SC Premium]], ""), "")</f>
        <v/>
      </c>
      <c r="GB65" s="42">
        <f>SnapshotTable[[#This Row],[Equity Shares]] * SaleSharesToConsiderPercentage</f>
        <v>0</v>
      </c>
      <c r="GC65" s="40">
        <f>SnapshotTable[[#This Row],[Long Term Target]] * SellingPriceToConsiderBasedOnTargetPercentage</f>
        <v>0</v>
      </c>
      <c r="GD65" s="40">
        <f>SnapshotTable[[#This Row],[Last Price]] * (1+ SellingPriceToConsiderBasedOnTargetPercentage)</f>
        <v>80.495999999999995</v>
      </c>
      <c r="GE65" s="41"/>
      <c r="GF65" s="40"/>
      <c r="GG65" s="31">
        <f>SnapshotTable[[#This Row],[Booked Sale Shares]] * SnapshotTable[[#This Row],[Booked Sale Price]]</f>
        <v>0</v>
      </c>
      <c r="GH65" s="31" t="str">
        <f>IF(SnapshotTable[[#This Row],[Equity Basis Total]] &gt; 0, SnapshotTable[[#This Row],[Equity Basis Per Share]] * SnapshotTable[[#This Row],[Booked Sale Shares]], "")</f>
        <v/>
      </c>
      <c r="GI65" s="31">
        <f>IF(SnapshotTable[[#This Row],[Sale Proceeds]]&gt;0, SnapshotTable[[#This Row],[Sale Proceeds]] - SnapshotTable[[#This Row],[Sale Basis]], 0)</f>
        <v>0</v>
      </c>
      <c r="GJ65" s="27" t="str">
        <f>IF(SnapshotTable[[#This Row],[Sale G/L]]&gt;0, SnapshotTable[[#This Row],[Sale G/L]] / SnapshotTable[[#This Row],[Sale Basis]], IF(ISNUMBER(SnapshotTable[[#This Row],[SC Exercise P&amp;L (TAX)]]), SnapshotTable[[#This Row],[SC Exercise P&amp;L (TAX)]] / SnapshotTable[[#This Row],[SC Basis]], ""))</f>
        <v/>
      </c>
      <c r="GK65" s="27"/>
      <c r="GL65" s="43" t="str">
        <f>IF(AND(SnapshotTable[[#This Row],[LP Exp Date]]&gt;0,SnapshotTable[[#This Row],[LP Strike Price]]&gt;0), [1]!ToOptionSymbol(SnapshotTable[[#This Row],[Symbol]], SnapshotTable[[#This Row],[LP Strike Price]],SnapshotTable[[#This Row],[LP Exp Date]],1), "")</f>
        <v/>
      </c>
      <c r="GM65" s="30" t="str">
        <f>IF(LEN(SnapshotTable[[#This Row],[LP Symbol]])&gt;0, 1, "")</f>
        <v/>
      </c>
      <c r="GN65" s="43" t="str">
        <f>IF(AND(SnapshotTable[[#This Row],[SP Exp Date]]&gt;0,SnapshotTable[[#This Row],[SP Strike Price]]&gt;0), [1]!ToOptionSymbol(SnapshotTable[[#This Row],[Symbol]], SnapshotTable[[#This Row],[SP Strike Price]],SnapshotTable[[#This Row],[SP Exp Date]],1), "")</f>
        <v/>
      </c>
      <c r="GO65" s="30" t="str">
        <f>IF(LEN(SnapshotTable[[#This Row],[SP Symbol]])&gt;0, 1, "")</f>
        <v/>
      </c>
      <c r="GP65" s="43" t="str">
        <f>IF(AND(SnapshotTable[[#This Row],[LC Exp Date]]&gt;0,SnapshotTable[[#This Row],[LC Strike Price]]&gt;0), [1]!ToOptionSymbol(SnapshotTable[[#This Row],[Symbol]], SnapshotTable[[#This Row],[LC Strike Price]],SnapshotTable[[#This Row],[LC Exp Date]],0), "")</f>
        <v/>
      </c>
      <c r="GQ65" s="30" t="str">
        <f>IF(LEN(SnapshotTable[[#This Row],[LC Symbol]])&gt;0, 1, "")</f>
        <v/>
      </c>
      <c r="GR65" s="43" t="str">
        <f>IF(AND(SnapshotTable[[#This Row],[SC Exp Date]]&gt;0,SnapshotTable[[#This Row],[SC Strike Price]]&gt;0), [1]!ToOptionSymbol(SnapshotTable[[#This Row],[Symbol]], SnapshotTable[[#This Row],[SC Strike Price]],SnapshotTable[[#This Row],[SC Exp Date]],0), "")</f>
        <v/>
      </c>
      <c r="GS65" s="30" t="str">
        <f>IF(LEN(SnapshotTable[[#This Row],[SC Symbol]])&gt;0, 1, "")</f>
        <v/>
      </c>
      <c r="GT65" s="29" t="str">
        <f>IF(COUNT(SnapshotTable[[#This Row],[LP Symbol Count]],SnapshotTable[[#This Row],[SP Symbol Count]],SnapshotTable[[#This Row],[LC Symbol Count]],SnapshotTable[[#This Row],[SC Symbol Count]])&gt;0, "Y", "")</f>
        <v/>
      </c>
      <c r="GU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5" s="216">
        <f>MAX(SnapshotTable[[#This Row],[Equity Basis Total]],SnapshotTable[[#This Row],[Equity Value]]) + (SnapshotTable[[#This Row],[SP Potential Spend]]- SnapshotTable[[#This Row],[SP Premium]] + SnapshotTable[[#This Row],[LP Premium]])+ (SnapshotTable[[#This Row],[LC Premium]] - SnapshotTable[[#This Row],[SC Premium]])</f>
        <v>0</v>
      </c>
      <c r="GW65" s="137" t="str">
        <f>IF(AND(SnapshotTable[[#This Row],[Exposure]] &lt;&gt; 0),SnapshotTable[[#This Row],[Exposure]] / SnapshotTable[[#Totals],[Exposure]], "")</f>
        <v/>
      </c>
      <c r="HE65" s="253"/>
      <c r="HF65" s="253"/>
      <c r="HK65" s="1"/>
      <c r="HL65" s="1"/>
      <c r="HM65" s="1"/>
      <c r="HN65" s="1"/>
      <c r="HO65" s="1"/>
      <c r="HP65" s="1"/>
    </row>
    <row r="66" spans="2:224" ht="12.75" hidden="1" customHeight="1" x14ac:dyDescent="0.25">
      <c r="B66" s="12" t="s">
        <v>63</v>
      </c>
      <c r="C66" s="385">
        <v>33.03</v>
      </c>
      <c r="D66" s="200" t="s">
        <v>467</v>
      </c>
      <c r="E66" s="39">
        <f>SnapshotTable[[#This Row],[Last Price]]*(1 -CrashDiscount)</f>
        <v>28.075500000000002</v>
      </c>
      <c r="F66" s="26" t="s">
        <v>25</v>
      </c>
      <c r="G66" s="26" t="s">
        <v>630</v>
      </c>
      <c r="H66" s="147"/>
      <c r="I66" s="186">
        <v>45041.28125</v>
      </c>
      <c r="J66" s="187">
        <v>45041.28125</v>
      </c>
      <c r="K66" s="188"/>
      <c r="L66" s="297"/>
      <c r="M66" s="138"/>
      <c r="N66" s="138"/>
      <c r="O66" s="138"/>
      <c r="P66" s="22"/>
      <c r="Q66" s="25"/>
      <c r="R66" s="4" t="str">
        <f>IF(SnapshotTable[[#This Row],[Equity Basis Total]] &gt; 0, SnapshotTable[[#This Row],[Equity Basis Total]] / SnapshotTable[[#This Row],[Equity Shares]], "")</f>
        <v/>
      </c>
      <c r="S66" s="254">
        <f>SnapshotTable[[#This Row],[Last Price]] * SnapshotTable[[#This Row],[Equity Shares]]</f>
        <v>0</v>
      </c>
      <c r="T66" s="254">
        <f>SnapshotTable[[#This Row],[Equity Value]] - SnapshotTable[[#This Row],[Equity Basis Total]]</f>
        <v>0</v>
      </c>
      <c r="U66" s="255" t="str">
        <f>IF(SnapshotTable[[#This Row],[Equity Basis Total]] &gt; 0, SnapshotTable[[#This Row],[Equity G/L]] / SnapshotTable[[#This Row],[Equity Basis Total]], "")</f>
        <v/>
      </c>
      <c r="V66" s="253">
        <v>46</v>
      </c>
      <c r="W66" s="253">
        <v>37.549999999999997</v>
      </c>
      <c r="X66" s="4" t="str">
        <f>IF(AND(ISNUMBER(SnapshotTable[[#This Row],[Equity Basis Per Share]]),ISNUMBER(SnapshotTable[[#This Row],[Equity Target]])),SnapshotTable[[#This Row],[Equity Target]]-SnapshotTable[[#This Row],[Equity Basis Per Share]],"")</f>
        <v/>
      </c>
      <c r="Y66" s="4" t="str">
        <f>IF(AND(ISNUMBER(SnapshotTable[[#This Row],[Equity Basis Per Share]]),ISNUMBER(SnapshotTable[[#This Row],[Equity Stop Loss]])),SnapshotTable[[#This Row],[Equity Stop Loss]]-SnapshotTable[[#This Row],[Equity Basis Per Share]],"")</f>
        <v/>
      </c>
      <c r="Z66" s="260" t="str">
        <f>IFERROR( TEXT(SnapshotTable[[#This Row],[Equity Max Gain Per Share]] /ABS( SnapshotTable[[#This Row],[Equity Max Loss Per Share]]),"0.0 " ) &amp; " : 1", "")</f>
        <v/>
      </c>
      <c r="AA66" s="31" t="str">
        <f>IF(ISNUMBER(SnapshotTable[[#This Row],[Equity Max Gain Per Share]]),SnapshotTable[[#This Row],[Equity Max Gain Per Share]] * SnapshotTable[[#This Row],[Equity Shares]],"")</f>
        <v/>
      </c>
      <c r="AB66" s="31" t="str">
        <f>IF(ISNUMBER(SnapshotTable[[#This Row],[Equity Max Loss Per Share]]),SnapshotTable[[#This Row],[Equity Max Loss Per Share]] * SnapshotTable[[#This Row],[Equity Shares]],"")</f>
        <v/>
      </c>
      <c r="AC66" s="148"/>
      <c r="AD66" s="149"/>
      <c r="AE66" s="31">
        <f>(SnapshotTable[[#This Row],[Annual Dividend Per Share]] / 4) * SnapshotTable[[#This Row],[Equity Shares]]</f>
        <v>0</v>
      </c>
      <c r="AF66" s="31">
        <f>SnapshotTable[[#This Row],[Quarterly Div $]] * 4</f>
        <v>0</v>
      </c>
      <c r="AG66" s="7">
        <f>IF(SnapshotTable[[#This Row],[Annual Dividend Per Share]]&gt;0, SnapshotTable[[#This Row],[Annual Dividend Per Share]]  / SnapshotTable[[#This Row],[Last Price]], 0)</f>
        <v>0</v>
      </c>
      <c r="AH66" s="149"/>
      <c r="AI66" s="5"/>
      <c r="AJ66" s="136">
        <v>45.68</v>
      </c>
      <c r="AK66" s="150" t="str">
        <f>IF(ISNUMBER( SnapshotTable[[#This Row],[EBF Target]]),(SnapshotTable[[#This Row],[EBF Target]] - SnapshotTable[[#This Row],[Last Price]]) / SnapshotTable[[#This Row],[Last Price]], "")</f>
        <v/>
      </c>
      <c r="AL66" s="150" t="str">
        <f>IF(AND(SnapshotTable[[#This Row],[Equity Basis Total]] &gt; 0,ISNUMBER( SnapshotTable[[#This Row],[Long Term Target]])), SnapshotTable[[#This Row],[From Basis $]] / SnapshotTable[[#This Row],[Equity Basis Total]], "")</f>
        <v/>
      </c>
      <c r="AM66" s="9">
        <f>IF( AND(SnapshotTable[[#This Row],[Equity Shares]] &gt;0,ISNUMBER( SnapshotTable[[#This Row],[Long Term Target]])),(SnapshotTable[[#This Row],[Equity Shares]] * SnapshotTable[[#This Row],[Long Term Target]]) - SnapshotTable[[#This Row],[Equity Basis Total]],0)</f>
        <v>0</v>
      </c>
      <c r="AN66" s="9">
        <f>IF( AND(SnapshotTable[[#This Row],[Equity Shares]] &gt;0,ISNUMBER( SnapshotTable[[#This Row],[Long Term Target]])),(SnapshotTable[[#This Row],[Equity Shares]]*SnapshotTable[[#This Row],[Long Term Target]]) - SnapshotTable[[#This Row],[Equity Value]],0)</f>
        <v>0</v>
      </c>
      <c r="AO66" s="150">
        <f>IF(AND(ISNUMBER( SnapshotTable[[#This Row],[Long Term Target]]), ISNUMBER(SnapshotTable[[#This Row],[Last Price]])),(SnapshotTable[[#This Row],[Long Term Target]] - SnapshotTable[[#This Row],[Last Price]]) / SnapshotTable[[#This Row],[Last Price]], "")</f>
        <v>0.38298516500151369</v>
      </c>
      <c r="AP66" s="5">
        <v>38</v>
      </c>
      <c r="AQ66" s="38" t="s">
        <v>22</v>
      </c>
      <c r="AR66" s="5">
        <v>38</v>
      </c>
      <c r="AS66" s="38" t="s">
        <v>15</v>
      </c>
      <c r="AT66" s="144" t="s">
        <v>438</v>
      </c>
      <c r="AU66" s="185" t="str">
        <f>IF(OR(SnapshotTable[[#This Row],[LP No Fill]]="Y",SnapshotTable[[#This Row],[SP Is Filled]],SnapshotTable[[#This Row],[LC Not Filled]]="Y",SnapshotTable[[#This Row],[SC Is Filled]]),"Y","")</f>
        <v/>
      </c>
      <c r="AV66" s="205"/>
      <c r="AW66" s="211"/>
      <c r="AX66" s="206"/>
      <c r="AY66" s="205" t="str">
        <f>IF(SnapshotTable[[#This Row],[Implied Move]]&gt;0, SnapshotTable[[#This Row],[Last Price]]-SnapshotTable[[#This Row],[Implied Move]],"")</f>
        <v/>
      </c>
      <c r="AZ66" s="205" t="str">
        <f>IF(SnapshotTable[[#This Row],[Implied Move]]&gt;0, SnapshotTable[[#This Row],[Last Price]] + SnapshotTable[[#This Row],[Implied Move]],"")</f>
        <v/>
      </c>
      <c r="BA66" s="302">
        <v>30.7</v>
      </c>
      <c r="BB66" s="318" t="s">
        <v>891</v>
      </c>
      <c r="BC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6" s="321"/>
      <c r="BE66" s="5"/>
      <c r="BF66" s="14"/>
      <c r="BG66" s="13"/>
      <c r="BH66" s="13"/>
      <c r="BI66" s="5"/>
      <c r="BJ66" s="134">
        <f>IF(SnapshotTable[[#This Row],[LP Qty]] &gt; 0, SnapshotTable[[#This Row],[LP Qty]] * SnapshotTable[[#This Row],[LP Book Price]] * 100,0)</f>
        <v>0</v>
      </c>
      <c r="BK66" s="134">
        <f>IF(SnapshotTable[[#This Row],[LP Premium]] &gt; 0, SnapshotTable[[#This Row],[LP Qty]] * SnapshotTable[[#This Row],[LP Strike Price]] * 100,0)</f>
        <v>0</v>
      </c>
      <c r="BL66" s="152"/>
      <c r="BM66" s="355" t="str">
        <f>IF(SnapshotTable[[#This Row],[LP Premium]] &gt; 0,SnapshotTable[[#This Row],[LP Exp Date]]-MAX(SnapshotTable[[#This Row],[LP Book Date]], SnapshotTable[[#This Row],[LP Fill Date]]),"")</f>
        <v/>
      </c>
      <c r="BN66" s="355" t="str">
        <f>IF(ISNUMBER( SnapshotTable[[#This Row],[LP Term]]), SnapshotTable[[#This Row],[LP Exp Date]] - MockToday,"")</f>
        <v/>
      </c>
      <c r="BO66" s="161" t="str">
        <f>IF(AND(SnapshotTable[[#This Row],[LP Exp Date]]&gt;0, SnapshotTable[[#This Row],[LP Strike Price]]&gt;0,SnapshotTable[[#This Row],[LP Qty]]&gt;0,SnapshotTable[[#This Row],[LP Book Date]]&gt;0,SnapshotTable[[#This Row],[LP Book Price]]&gt;0,SnapshotTable[[#This Row],[LP Fill Date]]=0),"Y","")</f>
        <v/>
      </c>
      <c r="BP66" s="31" t="str">
        <f>IF(AND(SnapshotTable[[#This Row],[LP No Fill]]&lt;&gt;"Y",SnapshotTable[[#This Row],[LP Contract Value]]&gt;0, SnapshotTable[[#This Row],[LP Qty]]&gt;0), SnapshotTable[[#This Row],[LP Contract Value]]*SnapshotTable[[#This Row],[LP Qty]]*100,"")</f>
        <v/>
      </c>
      <c r="BQ66" s="13"/>
      <c r="BR66" s="5"/>
      <c r="BS66" s="36"/>
      <c r="BT66" s="145"/>
      <c r="BU66" s="13"/>
      <c r="BV66" s="5"/>
      <c r="BW66" s="382" t="b">
        <f>AND(ISNUMBER(SnapshotTable[[#This Row],[SP Exp Date]]), ISNUMBER(SnapshotTable[[#This Row],[SP Strike Price]]), ISNUMBER(SnapshotTable[[#This Row],[SP Qty]]), ISNUMBER(SnapshotTable[[#This Row],[SP Book Date]]), ISNUMBER(SnapshotTable[[#This Row],[SP Book Price]]))</f>
        <v>0</v>
      </c>
      <c r="BX66" s="382" t="b">
        <f>AND(SnapshotTable[[#This Row],[SP Is Booked]], NOT(ISBLANK(SnapshotTable[[#This Row],[SP Fill Date]])))</f>
        <v>0</v>
      </c>
      <c r="BY66" s="33">
        <f>IF(SnapshotTable[[#This Row],[SP Is Booked]], SnapshotTable[[#This Row],[SP Qty]] * SnapshotTable[[#This Row],[SP Book Price]] * 100, 0)</f>
        <v>0</v>
      </c>
      <c r="BZ66" s="339"/>
      <c r="CA66" s="338">
        <f>SnapshotTable[[#This Row],[LP Qty]]</f>
        <v>0</v>
      </c>
      <c r="CB66" s="4" t="str">
        <f>IF(SnapshotTable[[#This Row],[SP Is Booked]], SnapshotTable[[#This Row],[SP Strike Price]] - SnapshotTable[[#This Row],[SP Book Price]], "")</f>
        <v/>
      </c>
      <c r="CC66" s="19" t="str">
        <f>IF(SnapshotTable[[#This Row],[SP Is Booked]],SnapshotTable[[#This Row],[SP Exp Date]]-MAX(SnapshotTable[[#This Row],[SP Book Date]], SnapshotTable[[#This Row],[SP Fill Date]]),"")</f>
        <v/>
      </c>
      <c r="CD66" s="7" t="str">
        <f>IF(SnapshotTable[[#This Row],[SP Is Booked]], SnapshotTable[[#This Row],[SP Book Price]]/SnapshotTable[[#This Row],[SP Strike Price]], "")</f>
        <v/>
      </c>
      <c r="CE66" s="7" t="str">
        <f>IF(ISNUMBER(SnapshotTable[[#This Row],[SP ROO Term]]),SnapshotTable[[#This Row],[SP ROO Term]]*(365/SnapshotTable[[#This Row],[SP Term]]),"")</f>
        <v/>
      </c>
      <c r="CF66" s="221">
        <f>SnapshotTable[[#This Row],[LP Strike Price]] * SnapshotTable[[#This Row],[LP Qty]] * 100</f>
        <v>0</v>
      </c>
      <c r="CG66" s="31">
        <f>IF(ISNUMBER(SnapshotTable[[#This Row],[SP Premium]]), (SnapshotTable[[#This Row],[SP Qty]] * SnapshotTable[[#This Row],[SP Strike Price]]* 100) - SnapshotTable[[#This Row],[LP Protection]], 0)</f>
        <v>0</v>
      </c>
      <c r="CH66" s="7" t="str">
        <f>IF(ISNUMBER(SnapshotTable[[#This Row],[SP Break Even]]),-1 * (SnapshotTable[[#This Row],[SP Break Even]] - SnapshotTable[[#This Row],[Last Price]]) / SnapshotTable[[#This Row],[Last Price]], "")</f>
        <v/>
      </c>
      <c r="CI66" s="31">
        <f>IF(AND(ISNUMBER((SnapshotTable[[#This Row],[SP Potential Spend]])), SnapshotTable[[#This Row],[SP Strike Price]] &gt; SnapshotTable[[#This Row],[Last Price]], SnapshotTable[[#This Row],[SP Is Filled]]), SnapshotTable[[#This Row],[SP Potential Spend]] -  SnapshotTable[[#This Row],[LP Max Value]], 0)</f>
        <v>0</v>
      </c>
      <c r="CJ66" s="229"/>
      <c r="CK66" s="31">
        <f>IF(ISNUMBER(SnapshotTable[[#This Row],[SP Potential Spend]]),IF(ISNUMBER(SnapshotTable[[#This Row],[SP POW]]), SnapshotTable[[#This Row],[SP POW]] * SnapshotTable[[#This Row],[SP Potential Spend]], SnapshotTable[[#This Row],[SP Potential Spend]]), "")</f>
        <v>0</v>
      </c>
      <c r="CL66" s="162">
        <f>IF(NOT(SnapshotTable[[#This Row],[SP Is Filled]]),(SnapshotTable[[#This Row],[SP Qty]] * SnapshotTable[[#This Row],[SP Strike Price]] * 100) - SnapshotTable[[#This Row],[LP Max Value]],"")</f>
        <v>0</v>
      </c>
      <c r="CM66" s="31" t="str">
        <f>IF(SnapshotTable[[#This Row],[SP Actual Spend]]&lt;&gt;0, ((SnapshotTable[[#This Row],[SP Strike Price]]-SnapshotTable[[#This Row],[Last Price]]) *(SnapshotTable[[#This Row],[SP Qty]]*100) - SnapshotTable[[#This Row],[SP Premium]]) * - 1, "")</f>
        <v/>
      </c>
      <c r="CN66" s="76"/>
      <c r="CO66" s="339"/>
      <c r="CP66" s="4" t="str">
        <f>IF(SnapshotTable[[#This Row],[SP Is Filled]], btc_max_buyback_amount(SnapshotTable[[#This Row],[SP Fill Date]],SnapshotTable[[#This Row],[SP Exp Date]], SnapshotTable[[#This Row],[SP Book Price]]),"")</f>
        <v/>
      </c>
      <c r="CQ66" s="76"/>
      <c r="CR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6" s="153" t="str">
        <f>IF(SnapshotTable[[#This Row],[SP Is Filled]], btc_next_cutoff_date(SnapshotTable[[#This Row],[SP Fill Date]],SnapshotTable[[#This Row],[SP Exp Date]]),"")</f>
        <v/>
      </c>
      <c r="CT66" s="220" t="str" cm="1">
        <f t="array" ref="CT66">IF(SnapshotTable[[#This Row],[SP Is Filled]], btc_should_buy_back(SnapshotTable[[#This Row],[SP Fill Date]], SnapshotTable[[#This Row],[SP Exp Date]], SnapshotTable[[#This Row],[SP Book Price]], SnapshotTable[[#This Row],[SP Current Ask]], MockToday, SnapshotTable[[#This Row],[SP Buyback Override]]),"")</f>
        <v/>
      </c>
      <c r="CU66" s="141"/>
      <c r="CV66" s="220"/>
      <c r="CW66" s="348" t="str">
        <f>IF(ISNUMBER( SnapshotTable[[#This Row],[SP Term]]), SnapshotTable[[#This Row],[SP Exp Date]] - MockToday,"")</f>
        <v/>
      </c>
      <c r="CX66" s="31" t="str">
        <f>IF(SnapshotTable[[#This Row],[SP Is Filled]],SnapshotTable[[#This Row],[SP Buyback Price to Use]] * 100 * SnapshotTable[[#This Row],[SP Qty]], "")</f>
        <v/>
      </c>
      <c r="CY66" s="4" t="str">
        <f>IF(ISNUMBER(SnapshotTable[[#This Row],[SP Strike Price]]), SnapshotTable[[#This Row],[SP Strike Price]] * (1 - SP_MaxLoss_StrikePct), "")</f>
        <v/>
      </c>
      <c r="CZ66" s="31" t="str">
        <f>IF(ISNUMBER(SnapshotTable[[#This Row],[SP Strike  Stop Per Share]]),SnapshotTable[[#This Row],[SP Premium]] - ((SnapshotTable[[#This Row],[SP Strike Price]]-SnapshotTable[[#This Row],[SP Strike  Stop Per Share]]) *(SnapshotTable[[#This Row],[SP Qty]] * 100)),"")</f>
        <v/>
      </c>
      <c r="DA66" s="4" t="str">
        <f>IF(AND(ISNUMBER(SnapshotTable[[#This Row],[SP Premium]]),SnapshotTable[[#This Row],[SP Premium]]&gt;0), SnapshotTable[[#This Row],[SP Book Price]] * (1 + SP_MaxLoss_OptionPct), "")</f>
        <v/>
      </c>
      <c r="DB66" s="31" t="str">
        <f>IF(ISNUMBER(SnapshotTable[[#This Row],[SP Option  Stop Contract]]),(SnapshotTable[[#This Row],[SP Option  Stop Contract]] *(SnapshotTable[[#This Row],[SP Qty]] * 100) - SnapshotTable[[#This Row],[SP Premium]]),"")</f>
        <v/>
      </c>
      <c r="DC66" s="4"/>
      <c r="DD66" s="4"/>
      <c r="DE66" s="4" t="str">
        <f>IF(AND(SnapshotTable[[#This Row],[SP Qty]]&gt;0, SnapshotTable[[#This Row],[SP Stop To Use]]&gt;0),SnapshotTable[[#This Row],[SP Premium]] - ( SnapshotTable[[#This Row],[SP Qty]] * SnapshotTable[[#This Row],[SP Stop To Use]] * 100), "")</f>
        <v/>
      </c>
      <c r="DF66" s="31" t="str">
        <f>IF(AND(SnapshotTable[[#This Row],[SP Qty]]&gt;0,SnapshotTable[[#This Row],[SP Current Ask]]&gt;0), SnapshotTable[[#This Row],[SP Qty]] * SnapshotTable[[#This Row],[SP Current Ask]] * -100, "")</f>
        <v/>
      </c>
      <c r="DG66" s="31" t="str">
        <f>IF(ISNUMBER((SnapshotTable[[#This Row],[SP Total Value]])), SnapshotTable[[#This Row],[SP Premium]] + SnapshotTable[[#This Row],[SP Total Value]], "")</f>
        <v/>
      </c>
      <c r="DH66" s="272" t="str">
        <f>IF(ISNUMBER((SnapshotTable[[#This Row],[SP Total Value]])), SnapshotTable[[#This Row],[SP Gain Loss]] / SnapshotTable[[#This Row],[SP Premium]], "")</f>
        <v/>
      </c>
      <c r="DI66" s="369"/>
      <c r="DJ66" s="136"/>
      <c r="DK66" s="146"/>
      <c r="DL66" s="13"/>
      <c r="DM66" s="13"/>
      <c r="DO66" s="31">
        <f>IF(SnapshotTable[[#This Row],[LC Symbol Count]]=1, SnapshotTable[[#This Row],[LC Qty]] * SnapshotTable[[#This Row],[LC Book Price]] * 100, 0)</f>
        <v>0</v>
      </c>
      <c r="DP66" s="161" t="str">
        <f>IF(AND(SnapshotTable[[#This Row],[LC Exp Date]]&gt;0, SnapshotTable[[#This Row],[LC Strike Price]]&gt;0,SnapshotTable[[#This Row],[LC Qty]]&gt;0,SnapshotTable[[#This Row],[LC Book Date]]&gt;0,SnapshotTable[[#This Row],[LC Book Price]]&gt;0,SnapshotTable[[#This Row],[LC Fill Date]]=0),"Y","")</f>
        <v/>
      </c>
      <c r="DQ66" s="356" t="str">
        <f>IF(SnapshotTable[[#This Row],[LC Premium]] &gt; 0,SnapshotTable[[#This Row],[LC Exp Date]]-MAX(SnapshotTable[[#This Row],[LC Book Date]], SnapshotTable[[#This Row],[LC Fill Date]]),"")</f>
        <v/>
      </c>
      <c r="DR66" s="356" t="str">
        <f>IF(ISNUMBER(SnapshotTable[[#This Row],[LC Term]]), SnapshotTable[[#This Row],[LC Exp Date]] - MockToday, "")</f>
        <v/>
      </c>
      <c r="DS66" s="219" t="str">
        <f>IF(SnapshotTable[[#This Row],[LC Premium]]&gt;0,SnapshotTable[[#This Row],[LC Strike Price]] + SnapshotTable[[#This Row],[LC Book Price]],"")</f>
        <v/>
      </c>
      <c r="DU66" s="9" t="str">
        <f>IF(AND(SnapshotTable[[#This Row],[LC Symbol Count]]&gt;0, SnapshotTable[[#This Row],[LC Contract Value]]&gt;0), SnapshotTable[[#This Row],[LC Contract Value]] * SnapshotTable[[#This Row],[LC Qty]] * 100, "")</f>
        <v/>
      </c>
      <c r="DV66" s="9" t="str">
        <f>IF(AND(ISNUMBER(SnapshotTable[[#This Row],[LC Total Value]]), SnapshotTable[[#This Row],[LC Not Filled]]&lt;&gt;"Y"), SnapshotTable[[#This Row],[LC Total Value]]-SnapshotTable[[#This Row],[LC Premium]],"")</f>
        <v/>
      </c>
      <c r="DW66" s="225" t="str">
        <f>IF(ISNUMBER(SnapshotTable[[#This Row],[LC Actual Gain Loss]]), SnapshotTable[[#This Row],[LC Actual Gain Loss]] / SnapshotTable[[#This Row],[LC Premium]],"")</f>
        <v/>
      </c>
      <c r="DX66" s="269" t="str">
        <f>IF(ISNUMBER(SnapshotTable[[#This Row],[LC Book Price]]),SnapshotTable[[#This Row],[LC Book Price]] * 1.5,"")</f>
        <v/>
      </c>
      <c r="DY66" s="250" t="str">
        <f>IF(SnapshotTable[[#This Row],[LC Premium]]&gt;0, SnapshotTable[[#This Row],[LC Next Target]] * SnapshotTable[[#This Row],[LC Qty]] * 100,"")</f>
        <v/>
      </c>
      <c r="DZ66" s="250" t="str">
        <f>IF(ISNUMBER(SnapshotTable[[#This Row],[LC Target Gross]]), SnapshotTable[[#This Row],[LC Target Gross]] - SnapshotTable[[#This Row],[LC Premium]], "")</f>
        <v/>
      </c>
      <c r="EA66" s="283" t="str">
        <f>IF(ISNUMBER(SnapshotTable[[#This Row],[LC Target Gain Loss]]), SnapshotTable[[#This Row],[LC Target Gain Loss]]/SnapshotTable[[#This Row],[LC Premium]], "")</f>
        <v/>
      </c>
      <c r="EB66" s="247"/>
      <c r="EC66" s="268" t="str">
        <f>IF(SnapshotTable[[#This Row],[LC Premium]]&gt;0, SnapshotTable[[#This Row],[LC Book Price]] * (1 - LC_StopLoss_Pct),"")</f>
        <v/>
      </c>
      <c r="ED66" s="269"/>
      <c r="EE66" s="268" t="str">
        <f>IF(ISNUMBER(SnapshotTable[[#This Row],[LC Contract Value]]),IF(ISNUMBER(SnapshotTable[[#This Row],[LC Stop Loss Override]]), SnapshotTable[[#This Row],[LC Stop Loss Override]],SnapshotTable[[#This Row],[LC Stop Loss Calc Target]]),"")</f>
        <v/>
      </c>
      <c r="EF66" s="31" t="str">
        <f>IF(ISNUMBER(SnapshotTable[[#This Row],[LC Stop  To Use]]), (SnapshotTable[[#This Row],[LC Stop  To Use]] * SnapshotTable[[#This Row],[LC Qty]] * 100),"")</f>
        <v/>
      </c>
      <c r="EG66" s="9" t="str">
        <f>IF(ISNUMBER(SnapshotTable[[#This Row],[LC Total Value]]),SnapshotTable[[#This Row],[LC Stop Loss Amount]] - SnapshotTable[[#This Row],[LC Premium]],"")</f>
        <v/>
      </c>
      <c r="EH66" s="9">
        <f>IF(ISNUMBER(SnapshotTable[[#This Row],[LC Premium]]), SnapshotTable[[#This Row],[LC Qty]] * 100 * SnapshotTable[[#This Row],[LC Strike Price]], "")</f>
        <v>0</v>
      </c>
      <c r="EI66" s="225" t="str">
        <f>IF(AND(ISNUMBER(SnapshotTable[[#This Row],[LC Total Value]]),SnapshotTable[[#This Row],[LC Total Value]]&gt;0),SnapshotTable[[#This Row],[LC Stop Gain Loss]]  / SnapshotTable[[#This Row],[LC Premium]],"")</f>
        <v/>
      </c>
      <c r="EJ66" s="35">
        <f>IF(ISNUMBER(SnapshotTable[[#This Row],[Equity Shares]]),TRUNC(SnapshotTable[[#This Row],[Equity Shares]] / 100),0) + SnapshotTable[[#This Row],[LC Qty]]</f>
        <v>0</v>
      </c>
      <c r="EK66" s="145"/>
      <c r="EL66" s="136"/>
      <c r="EM66" s="146"/>
      <c r="EN66" s="145"/>
      <c r="EO66" s="145"/>
      <c r="EP66" s="136"/>
      <c r="EQ66" s="382" t="b">
        <f>AND(ISNUMBER(SnapshotTable[[#This Row],[SC Exp Date]]), ISNUMBER(SnapshotTable[[#This Row],[SC Strike Price]]), ISNUMBER(SnapshotTable[[#This Row],[SC Qty]]), ISNUMBER(SnapshotTable[[#This Row],[SC Book Date]]), ISNUMBER(SnapshotTable[[#This Row],[SC Book Price]]))</f>
        <v>0</v>
      </c>
      <c r="ER66" s="382" t="b">
        <f>AND(SnapshotTable[[#This Row],[SC Is Booked]], NOT(ISBLANK(SnapshotTable[[#This Row],[SC Fill Date]])))</f>
        <v>0</v>
      </c>
      <c r="ES66" s="340"/>
      <c r="ET66" s="34" t="str">
        <f>IF(AND(ISNUMBER(SnapshotTable[[#This Row],[SC Exp Date]]), ISNUMBER(SnapshotTable[[#This Row],[SC Book Date]])), SnapshotTable[[#This Row],[SC Exp Date]] - MAX(SnapshotTable[[#This Row],[SC Book Date]], SnapshotTable[[#This Row],[SC Fill Date]]) + 1, "")</f>
        <v/>
      </c>
      <c r="EU66" s="34" t="str">
        <f>IF(ISNUMBER(SnapshotTable[[#This Row],[SC Term]]), SnapshotTable[[#This Row],[SC Exp Date]]- MockToday, "")</f>
        <v/>
      </c>
      <c r="EV66" s="31">
        <f>IF(SnapshotTable[[#This Row],[SC Is Booked]], SnapshotTable[[#This Row],[SC Qty]] * SnapshotTable[[#This Row],[SC Book Price]] * 100, 0)</f>
        <v>0</v>
      </c>
      <c r="EW66" s="4" t="str">
        <f>IF(AND(ISNUMBER(SnapshotTable[[#This Row],[Last Price]]), ISNUMBER( SnapshotTable[[#This Row],[SC Book Price]])), SnapshotTable[[#This Row],[Last Price]] - SnapshotTable[[#This Row],[SC Book Price]],"")</f>
        <v/>
      </c>
      <c r="EX66" s="219" t="str">
        <f>IF(SnapshotTable[[#This Row],[SC Is Booked]],IF(SnapshotTable[[#This Row],[SC Intrinsic Value]] &gt; 0, SnapshotTable[[#This Row],[SC Strike Price]], SnapshotTable[[#This Row],[Last Price]]), "")</f>
        <v/>
      </c>
      <c r="EY66" s="4">
        <f>IF(SnapshotTable[[#This Row],[SC Is Booked]], (MinimumPremiumRequired * SnapshotTable[[#This Row],[SC Basis]] * SnapshotTable[[#This Row],[SC Term]]), 0)</f>
        <v>0</v>
      </c>
      <c r="EZ66" s="268"/>
      <c r="FA66" s="204"/>
      <c r="FB66" s="340"/>
      <c r="FC66" s="4">
        <f>IF(SnapshotTable[[#This Row],[SC Is Filled]], btc_max_buyback_amount(SnapshotTable[[#This Row],[SC Fill Date]],SnapshotTable[[#This Row],[SC Exp Date]], SnapshotTable[[#This Row],[SC Book Price]]),0)</f>
        <v>0</v>
      </c>
      <c r="FD66" s="5"/>
      <c r="FE66" s="142" t="str">
        <f>IF(SnapshotTable[[#This Row],[SC Is Filled]], btc_next_cutoff_date(SnapshotTable[[#This Row],[SC Fill Date]],SnapshotTable[[#This Row],[SC Exp Date]]),"")</f>
        <v/>
      </c>
      <c r="FF66" s="4" t="str" cm="1">
        <f t="array" ref="FF66">IF(SnapshotTable[[#This Row],[SC Is Filled]], btc_should_buy_back(SnapshotTable[[#This Row],[SC Fill Date]], SnapshotTable[[#This Row],[SC Exp Date]], SnapshotTable[[#This Row],[SC Book Price]], SnapshotTable[[#This Row],[SC Current Ask]], MockToday, SnapshotTable[[#This Row],[SC Buyback Override]]),"")</f>
        <v/>
      </c>
      <c r="FG66" s="4">
        <f>IF(SnapshotTable[[#This Row],[SC Is Filled]], MAX(0,SnapshotTable[[#This Row],[Last Price]]  - SnapshotTable[[#This Row],[SC Strike Price]]), 0)</f>
        <v>0</v>
      </c>
      <c r="FH66" s="352">
        <f>IF(SnapshotTable[[#This Row],[SC Is Filled]], IF(ISNUMBER(SnapshotTable[[#This Row],[SC Current Ask]]), SnapshotTable[[#This Row],[SC Current Ask]], SnapshotTable[[#This Row],[SC Book Price]]) - SnapshotTable[[#This Row],[SC Intrinsic Value]], 0)</f>
        <v>0</v>
      </c>
      <c r="FI66" s="141"/>
      <c r="FJ66" s="32" t="str">
        <f>IF(SnapshotTable[[#This Row],[SC Is Filled]],100 * SnapshotTable[[#This Row],[SC Qty]] * IF(ISNUMBER(SnapshotTable[[#This Row],[SC Buyback Override]]), SnapshotTable[[#This Row],[SC Buyback Override]], SnapshotTable[[#This Row],[SC Current Ask]]), "")</f>
        <v/>
      </c>
      <c r="FK66" s="235" t="str">
        <f>IF(SnapshotTable[[#This Row],[SC Time Val]]&gt;0, SnapshotTable[[#This Row],[SC Time Val]] / SnapshotTable[[#This Row],[Last Price]],"")</f>
        <v/>
      </c>
      <c r="FL66" s="280" t="str">
        <f>IF(SnapshotTable[[#This Row],[SC Is Booked]], ((SnapshotTable[[#This Row],[Last Price]] -SnapshotTable[[#This Row],[SC Strike Price]]) / SnapshotTable[[#This Row],[Last Price]]) * -1, "")</f>
        <v/>
      </c>
      <c r="FM66" s="155" t="str">
        <f>IF(SnapshotTable[[#This Row],[SC Is Booked]],  (SnapshotTable[[#This Row],[SC Qty]] * 100 * SnapshotTable[[#This Row],[SC Strike Price]]) - SnapshotTable[[#This Row],[SC Current Ask]], "")</f>
        <v/>
      </c>
      <c r="FN6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6" s="31" t="str">
        <f>IF(AND(ISNUMBER(SnapshotTable[[#This Row],[SC Exercise Gross]]), ISNUMBER(SnapshotTable[[#This Row],[Equity Basis Per Share]] )), SnapshotTable[[#This Row],[SC Exercise Gross]] - SnapshotTable[[#This Row],[Equity Basis Total]] +  SnapshotTable[[#This Row],[SC Premium]], "")</f>
        <v/>
      </c>
      <c r="FP66" s="5" t="str">
        <f>IF(ISNUMBER(SnapshotTable[[#This Row],[SC Exercise Gross]]), (SnapshotTable[[#This Row],[SC Exercise Gross]]) / (SnapshotTable[[#This Row],[SC Qty]] * 100), "")</f>
        <v/>
      </c>
      <c r="FQ66" s="27" t="str">
        <f>IF(SnapshotTable[[#This Row],[SC Is Booked]],SnapshotTable[[#This Row],[SC Time Val]] /SnapshotTable[[#This Row],[SC Basis]], "")</f>
        <v/>
      </c>
      <c r="FR66" s="27" t="str" cm="1">
        <f t="array" ref="FR66">IF(AND(ISNUMBER(SnapshotTable[[#This Row],[SC Term]]),ISNUMBER(SnapshotTable[[#This Row],[SC Simple ROO]])), EllmanAnnualize(SnapshotTable[[#This Row],[SC DTE]], SnapshotTable[[#This Row],[SC Simple ROO]] ),"")</f>
        <v/>
      </c>
      <c r="FS66" s="4">
        <f>IF(SnapshotTable[[#This Row],[SC Strike Price]] &gt; SnapshotTable[[#This Row],[Last Price]], SnapshotTable[[#This Row],[SC Strike Price]] - SnapshotTable[[#This Row],[Last Price]],0)</f>
        <v>0</v>
      </c>
      <c r="FT66" s="27" t="str">
        <f>IF(AND(ISNUMBER(SnapshotTable[[#This Row],[SC Upside Potential]]), SnapshotTable[[#This Row],[SC Upside Potential]] &gt; 0),(SnapshotTable[[#This Row],[SC Upside Potential]]/ SnapshotTable[[#This Row],[ACB]]),"")</f>
        <v/>
      </c>
      <c r="FU66" s="304" t="str">
        <f>IF(SnapshotTable[[#This Row],[SC Intrinsic Value]] &gt; 0,SnapshotTable[[#This Row],[SC Intrinsic Value]],"")</f>
        <v/>
      </c>
      <c r="FV66" s="27" t="str">
        <f>IF(AND( ISNUMBER( SnapshotTable[[#This Row],[ACB]]),ISNUMBER(SnapshotTable[[#This Row],[SC Downside Protect]])),SnapshotTable[[#This Row],[SC Downside Protect]] / SnapshotTable[[#This Row],[ACB]],"")</f>
        <v/>
      </c>
      <c r="FW66" s="221" t="str">
        <f>IF(AND(ISNUMBER(SnapshotTable[[#This Row],[SC Simple ROO]]),SnapshotTable[[#This Row],[SC Simple ROO]] &gt; 0), SnapshotTable[[#This Row],[SC Premium]] + (SnapshotTable[[#This Row],[SC Qty]] * SnapshotTable[[#This Row],[SC Upside Potential]]), "")</f>
        <v/>
      </c>
      <c r="FX66" s="280" t="str" cm="1">
        <f t="array" ref="FX66">IF(ISNUMBER(SnapshotTable[[#This Row],[SC Max Dollars]]), annualize(SnapshotTable[[#This Row],[SC Term]],(SnapshotTable[[#This Row],[SC Max Dollars]]/SnapshotTable[[#This Row],[SC Basis]])),"")</f>
        <v/>
      </c>
      <c r="FY66" s="221" t="str">
        <f>IF(AND(SnapshotTable[[#This Row],[SC Qty]]&gt;0,SnapshotTable[[#This Row],[SC Current Ask]]&gt;0), SnapshotTable[[#This Row],[SC Qty]] * SnapshotTable[[#This Row],[SC Current Ask]] * -100, "")</f>
        <v/>
      </c>
      <c r="FZ66" s="31" t="str">
        <f>IF(ISNUMBER((SnapshotTable[[#This Row],[SC Current Value]])), SnapshotTable[[#This Row],[SC Premium]] + SnapshotTable[[#This Row],[SC Current Value]], "")</f>
        <v/>
      </c>
      <c r="GA66" s="272" t="str">
        <f>IFERROR( IF(ISNUMBER((SnapshotTable[[#This Row],[SC Current Value]])), SnapshotTable[[#This Row],[SC Gain Loss]] / SnapshotTable[[#This Row],[SC Premium]], ""), "")</f>
        <v/>
      </c>
      <c r="GB66" s="42">
        <f>SnapshotTable[[#This Row],[Equity Shares]] * SaleSharesToConsiderPercentage</f>
        <v>0</v>
      </c>
      <c r="GC66" s="40">
        <f>SnapshotTable[[#This Row],[Long Term Target]] * SellingPriceToConsiderBasedOnTargetPercentage</f>
        <v>43.396000000000001</v>
      </c>
      <c r="GD66" s="40">
        <f>SnapshotTable[[#This Row],[Last Price]] * (1+ SellingPriceToConsiderBasedOnTargetPercentage)</f>
        <v>64.408500000000004</v>
      </c>
      <c r="GE66" s="41"/>
      <c r="GF66" s="40"/>
      <c r="GG66" s="31">
        <f>SnapshotTable[[#This Row],[Booked Sale Shares]] * SnapshotTable[[#This Row],[Booked Sale Price]]</f>
        <v>0</v>
      </c>
      <c r="GH66" s="31" t="str">
        <f>IF(SnapshotTable[[#This Row],[Equity Basis Total]] &gt; 0, SnapshotTable[[#This Row],[Equity Basis Per Share]] * SnapshotTable[[#This Row],[Booked Sale Shares]], "")</f>
        <v/>
      </c>
      <c r="GI66" s="31">
        <f>IF(SnapshotTable[[#This Row],[Sale Proceeds]]&gt;0, SnapshotTable[[#This Row],[Sale Proceeds]] - SnapshotTable[[#This Row],[Sale Basis]], 0)</f>
        <v>0</v>
      </c>
      <c r="GJ66" s="27" t="str">
        <f>IF(SnapshotTable[[#This Row],[Sale G/L]]&gt;0, SnapshotTable[[#This Row],[Sale G/L]] / SnapshotTable[[#This Row],[Sale Basis]], IF(ISNUMBER(SnapshotTable[[#This Row],[SC Exercise P&amp;L (TAX)]]), SnapshotTable[[#This Row],[SC Exercise P&amp;L (TAX)]] / SnapshotTable[[#This Row],[SC Basis]], ""))</f>
        <v/>
      </c>
      <c r="GK66" s="27" t="s">
        <v>516</v>
      </c>
      <c r="GL66" s="43" t="str">
        <f>IF(AND(SnapshotTable[[#This Row],[LP Exp Date]]&gt;0,SnapshotTable[[#This Row],[LP Strike Price]]&gt;0), [1]!ToOptionSymbol(SnapshotTable[[#This Row],[Symbol]], SnapshotTable[[#This Row],[LP Strike Price]],SnapshotTable[[#This Row],[LP Exp Date]],1), "")</f>
        <v/>
      </c>
      <c r="GM66" s="30" t="str">
        <f>IF(LEN(SnapshotTable[[#This Row],[LP Symbol]])&gt;0, 1, "")</f>
        <v/>
      </c>
      <c r="GN66" s="43" t="str">
        <f>IF(AND(SnapshotTable[[#This Row],[SP Exp Date]]&gt;0,SnapshotTable[[#This Row],[SP Strike Price]]&gt;0), [1]!ToOptionSymbol(SnapshotTable[[#This Row],[Symbol]], SnapshotTable[[#This Row],[SP Strike Price]],SnapshotTable[[#This Row],[SP Exp Date]],1), "")</f>
        <v/>
      </c>
      <c r="GO66" s="30" t="str">
        <f>IF(LEN(SnapshotTable[[#This Row],[SP Symbol]])&gt;0, 1, "")</f>
        <v/>
      </c>
      <c r="GP66" s="43" t="str">
        <f>IF(AND(SnapshotTable[[#This Row],[LC Exp Date]]&gt;0,SnapshotTable[[#This Row],[LC Strike Price]]&gt;0), [1]!ToOptionSymbol(SnapshotTable[[#This Row],[Symbol]], SnapshotTable[[#This Row],[LC Strike Price]],SnapshotTable[[#This Row],[LC Exp Date]],0), "")</f>
        <v/>
      </c>
      <c r="GQ66" s="30" t="str">
        <f>IF(LEN(SnapshotTable[[#This Row],[LC Symbol]])&gt;0, 1, "")</f>
        <v/>
      </c>
      <c r="GR66" s="43" t="str">
        <f>IF(AND(SnapshotTable[[#This Row],[SC Exp Date]]&gt;0,SnapshotTable[[#This Row],[SC Strike Price]]&gt;0), [1]!ToOptionSymbol(SnapshotTable[[#This Row],[Symbol]], SnapshotTable[[#This Row],[SC Strike Price]],SnapshotTable[[#This Row],[SC Exp Date]],0), "")</f>
        <v/>
      </c>
      <c r="GS66" s="30" t="str">
        <f>IF(LEN(SnapshotTable[[#This Row],[SC Symbol]])&gt;0, 1, "")</f>
        <v/>
      </c>
      <c r="GT66" s="29" t="str">
        <f>IF(COUNT(SnapshotTable[[#This Row],[LP Symbol Count]],SnapshotTable[[#This Row],[SP Symbol Count]],SnapshotTable[[#This Row],[LC Symbol Count]],SnapshotTable[[#This Row],[SC Symbol Count]])&gt;0, "Y", "")</f>
        <v/>
      </c>
      <c r="GU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6" s="216">
        <f>MAX(SnapshotTable[[#This Row],[Equity Basis Total]],SnapshotTable[[#This Row],[Equity Value]]) + (SnapshotTable[[#This Row],[SP Potential Spend]]- SnapshotTable[[#This Row],[SP Premium]] + SnapshotTable[[#This Row],[LP Premium]])+ (SnapshotTable[[#This Row],[LC Premium]] - SnapshotTable[[#This Row],[SC Premium]])</f>
        <v>0</v>
      </c>
      <c r="GW66" s="137" t="str">
        <f>IF(AND(SnapshotTable[[#This Row],[Exposure]] &lt;&gt; 0),SnapshotTable[[#This Row],[Exposure]] / SnapshotTable[[#Totals],[Exposure]], "")</f>
        <v/>
      </c>
      <c r="HE66" s="253"/>
      <c r="HF66" s="253"/>
      <c r="HK66" s="1"/>
      <c r="HL66" s="1"/>
      <c r="HM66" s="1"/>
      <c r="HN66" s="1"/>
      <c r="HO66" s="1"/>
      <c r="HP66" s="1"/>
    </row>
    <row r="67" spans="2:224" ht="12.75" hidden="1" customHeight="1" x14ac:dyDescent="0.25">
      <c r="B67" s="12" t="s">
        <v>808</v>
      </c>
      <c r="C67" s="385">
        <v>23.88</v>
      </c>
      <c r="D67" s="200"/>
      <c r="E67" s="39">
        <f>SnapshotTable[[#This Row],[Last Price]]*(1 -CrashDiscount)</f>
        <v>20.297999999999998</v>
      </c>
      <c r="F67" s="26" t="s">
        <v>809</v>
      </c>
      <c r="G67" s="296" t="s">
        <v>630</v>
      </c>
      <c r="H67" s="147"/>
      <c r="I67" s="186">
        <v>45062.333333333336</v>
      </c>
      <c r="J67" s="187">
        <v>45062.333333333336</v>
      </c>
      <c r="K67" s="188"/>
      <c r="L67" s="298"/>
      <c r="M67" s="138"/>
      <c r="N67" s="138"/>
      <c r="O67" s="138"/>
      <c r="P67" s="299"/>
      <c r="Q67" s="25"/>
      <c r="R67" s="4" t="str">
        <f>IF(SnapshotTable[[#This Row],[Equity Basis Total]] &gt; 0, SnapshotTable[[#This Row],[Equity Basis Total]] / SnapshotTable[[#This Row],[Equity Shares]], "")</f>
        <v/>
      </c>
      <c r="S67" s="300">
        <f>SnapshotTable[[#This Row],[Last Price]] * SnapshotTable[[#This Row],[Equity Shares]]</f>
        <v>0</v>
      </c>
      <c r="T67" s="254">
        <f>SnapshotTable[[#This Row],[Equity Value]] - SnapshotTable[[#This Row],[Equity Basis Total]]</f>
        <v>0</v>
      </c>
      <c r="U67" s="255" t="str">
        <f>IF(SnapshotTable[[#This Row],[Equity Basis Total]] &gt; 0, SnapshotTable[[#This Row],[Equity G/L]] / SnapshotTable[[#This Row],[Equity Basis Total]], "")</f>
        <v/>
      </c>
      <c r="V67" s="253"/>
      <c r="W67" s="253"/>
      <c r="X67" s="4" t="str">
        <f>IF(AND(ISNUMBER(SnapshotTable[[#This Row],[Equity Basis Per Share]]),ISNUMBER(SnapshotTable[[#This Row],[Equity Target]])),SnapshotTable[[#This Row],[Equity Target]]-SnapshotTable[[#This Row],[Equity Basis Per Share]],"")</f>
        <v/>
      </c>
      <c r="Y67" s="4" t="str">
        <f>IF(AND(ISNUMBER(SnapshotTable[[#This Row],[Equity Basis Per Share]]),ISNUMBER(SnapshotTable[[#This Row],[Equity Stop Loss]])),SnapshotTable[[#This Row],[Equity Stop Loss]]-SnapshotTable[[#This Row],[Equity Basis Per Share]],"")</f>
        <v/>
      </c>
      <c r="Z67" s="260" t="str">
        <f>IFERROR( TEXT(SnapshotTable[[#This Row],[Equity Max Gain Per Share]] /ABS( SnapshotTable[[#This Row],[Equity Max Loss Per Share]]),"0.0 " ) &amp; " : 1", "")</f>
        <v/>
      </c>
      <c r="AA67" s="31" t="str">
        <f>IF(ISNUMBER(SnapshotTable[[#This Row],[Equity Max Gain Per Share]]),SnapshotTable[[#This Row],[Equity Max Gain Per Share]] * SnapshotTable[[#This Row],[Equity Shares]],"")</f>
        <v/>
      </c>
      <c r="AB67" s="31" t="str">
        <f>IF(ISNUMBER(SnapshotTable[[#This Row],[Equity Max Loss Per Share]]),SnapshotTable[[#This Row],[Equity Max Loss Per Share]] * SnapshotTable[[#This Row],[Equity Shares]],"")</f>
        <v/>
      </c>
      <c r="AC67" s="148"/>
      <c r="AD67" s="149"/>
      <c r="AE67" s="31">
        <f>(SnapshotTable[[#This Row],[Annual Dividend Per Share]] / 4) * SnapshotTable[[#This Row],[Equity Shares]]</f>
        <v>0</v>
      </c>
      <c r="AF67" s="31">
        <f>SnapshotTable[[#This Row],[Quarterly Div $]] * 4</f>
        <v>0</v>
      </c>
      <c r="AG67" s="7">
        <f>IF(SnapshotTable[[#This Row],[Annual Dividend Per Share]]&gt;0, SnapshotTable[[#This Row],[Annual Dividend Per Share]]  / SnapshotTable[[#This Row],[Last Price]], 0)</f>
        <v>0</v>
      </c>
      <c r="AH67" s="149"/>
      <c r="AI67" s="301"/>
      <c r="AJ67" s="136">
        <v>33.200000000000003</v>
      </c>
      <c r="AK67" s="150" t="str">
        <f>IF(ISNUMBER( SnapshotTable[[#This Row],[EBF Target]]),(SnapshotTable[[#This Row],[EBF Target]] - SnapshotTable[[#This Row],[Last Price]]) / SnapshotTable[[#This Row],[Last Price]], "")</f>
        <v/>
      </c>
      <c r="AL67" s="150" t="str">
        <f>IF(AND(SnapshotTable[[#This Row],[Equity Basis Total]] &gt; 0,ISNUMBER( SnapshotTable[[#This Row],[Long Term Target]])), SnapshotTable[[#This Row],[From Basis $]] / SnapshotTable[[#This Row],[Equity Basis Total]], "")</f>
        <v/>
      </c>
      <c r="AM67" s="9">
        <f>IF( AND(SnapshotTable[[#This Row],[Equity Shares]] &gt;0,ISNUMBER( SnapshotTable[[#This Row],[Long Term Target]])),(SnapshotTable[[#This Row],[Equity Shares]] * SnapshotTable[[#This Row],[Long Term Target]]) - SnapshotTable[[#This Row],[Equity Basis Total]],0)</f>
        <v>0</v>
      </c>
      <c r="AN67" s="9">
        <f>IF( AND(SnapshotTable[[#This Row],[Equity Shares]] &gt;0,ISNUMBER( SnapshotTable[[#This Row],[Long Term Target]])),(SnapshotTable[[#This Row],[Equity Shares]]*SnapshotTable[[#This Row],[Long Term Target]]) - SnapshotTable[[#This Row],[Equity Value]],0)</f>
        <v>0</v>
      </c>
      <c r="AO67" s="150">
        <f>IF(AND(ISNUMBER( SnapshotTable[[#This Row],[Long Term Target]]), ISNUMBER(SnapshotTable[[#This Row],[Last Price]])),(SnapshotTable[[#This Row],[Long Term Target]] - SnapshotTable[[#This Row],[Last Price]]) / SnapshotTable[[#This Row],[Last Price]], "")</f>
        <v>0.39028475711892813</v>
      </c>
      <c r="AP67" s="5">
        <v>25</v>
      </c>
      <c r="AQ67" s="38" t="s">
        <v>22</v>
      </c>
      <c r="AR67" s="5">
        <v>25</v>
      </c>
      <c r="AS67" s="38" t="s">
        <v>15</v>
      </c>
      <c r="AT67" s="144" t="s">
        <v>438</v>
      </c>
      <c r="AU67" s="185" t="str">
        <f>IF(OR(SnapshotTable[[#This Row],[LP No Fill]]="Y",SnapshotTable[[#This Row],[SP Is Filled]],SnapshotTable[[#This Row],[LC Not Filled]]="Y",SnapshotTable[[#This Row],[SC Is Filled]]),"Y","")</f>
        <v/>
      </c>
      <c r="AV67" s="309"/>
      <c r="AW67" s="310"/>
      <c r="AX67" s="206"/>
      <c r="AY67" s="205" t="str">
        <f>IF(SnapshotTable[[#This Row],[Implied Move]]&gt;0, SnapshotTable[[#This Row],[Last Price]]-SnapshotTable[[#This Row],[Implied Move]],"")</f>
        <v/>
      </c>
      <c r="AZ67" s="205" t="str">
        <f>IF(SnapshotTable[[#This Row],[Implied Move]]&gt;0, SnapshotTable[[#This Row],[Last Price]] + SnapshotTable[[#This Row],[Implied Move]],"")</f>
        <v/>
      </c>
      <c r="BA67" s="302">
        <v>13.58</v>
      </c>
      <c r="BB67" s="318"/>
      <c r="BC6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7" s="321"/>
      <c r="BE67" s="311"/>
      <c r="BF67" s="312"/>
      <c r="BG67" s="313"/>
      <c r="BH67" s="313"/>
      <c r="BI67" s="314"/>
      <c r="BJ67" s="151">
        <f>IF(SnapshotTable[[#This Row],[LP Qty]] &gt; 0, SnapshotTable[[#This Row],[LP Qty]] * SnapshotTable[[#This Row],[LP Book Price]] * 100,0)</f>
        <v>0</v>
      </c>
      <c r="BK67" s="134">
        <f>IF(SnapshotTable[[#This Row],[LP Premium]] &gt; 0, SnapshotTable[[#This Row],[LP Qty]] * SnapshotTable[[#This Row],[LP Strike Price]] * 100,0)</f>
        <v>0</v>
      </c>
      <c r="BL67" s="152"/>
      <c r="BM67" s="355" t="str">
        <f>IF(SnapshotTable[[#This Row],[LP Premium]] &gt; 0,SnapshotTable[[#This Row],[LP Exp Date]]-MAX(SnapshotTable[[#This Row],[LP Book Date]], SnapshotTable[[#This Row],[LP Fill Date]]),"")</f>
        <v/>
      </c>
      <c r="BN67" s="355" t="str">
        <f>IF(ISNUMBER( SnapshotTable[[#This Row],[LP Term]]), SnapshotTable[[#This Row],[LP Exp Date]] - MockToday,"")</f>
        <v/>
      </c>
      <c r="BO67" s="161" t="str">
        <f>IF(AND(SnapshotTable[[#This Row],[LP Exp Date]]&gt;0, SnapshotTable[[#This Row],[LP Strike Price]]&gt;0,SnapshotTable[[#This Row],[LP Qty]]&gt;0,SnapshotTable[[#This Row],[LP Book Date]]&gt;0,SnapshotTable[[#This Row],[LP Book Price]]&gt;0,SnapshotTable[[#This Row],[LP Fill Date]]=0),"Y","")</f>
        <v/>
      </c>
      <c r="BP67" s="31" t="str">
        <f>IF(AND(SnapshotTable[[#This Row],[LP No Fill]]&lt;&gt;"Y",SnapshotTable[[#This Row],[LP Contract Value]]&gt;0, SnapshotTable[[#This Row],[LP Qty]]&gt;0), SnapshotTable[[#This Row],[LP Contract Value]]*SnapshotTable[[#This Row],[LP Qty]]*100,"")</f>
        <v/>
      </c>
      <c r="BQ67" s="13"/>
      <c r="BR67" s="5"/>
      <c r="BS67" s="36"/>
      <c r="BT67" s="145"/>
      <c r="BU67" s="13"/>
      <c r="BV67" s="5"/>
      <c r="BW67" s="382" t="b">
        <f>AND(ISNUMBER(SnapshotTable[[#This Row],[SP Exp Date]]), ISNUMBER(SnapshotTable[[#This Row],[SP Strike Price]]), ISNUMBER(SnapshotTable[[#This Row],[SP Qty]]), ISNUMBER(SnapshotTable[[#This Row],[SP Book Date]]), ISNUMBER(SnapshotTable[[#This Row],[SP Book Price]]))</f>
        <v>0</v>
      </c>
      <c r="BX67" s="382" t="b">
        <f>AND(SnapshotTable[[#This Row],[SP Is Booked]], NOT(ISBLANK(SnapshotTable[[#This Row],[SP Fill Date]])))</f>
        <v>0</v>
      </c>
      <c r="BY67" s="33">
        <f>IF(SnapshotTable[[#This Row],[SP Is Booked]], SnapshotTable[[#This Row],[SP Qty]] * SnapshotTable[[#This Row],[SP Book Price]] * 100, 0)</f>
        <v>0</v>
      </c>
      <c r="BZ67" s="339"/>
      <c r="CA67" s="338">
        <f>SnapshotTable[[#This Row],[LP Qty]]</f>
        <v>0</v>
      </c>
      <c r="CB67" s="4" t="str">
        <f>IF(SnapshotTable[[#This Row],[SP Is Booked]], SnapshotTable[[#This Row],[SP Strike Price]] - SnapshotTable[[#This Row],[SP Book Price]], "")</f>
        <v/>
      </c>
      <c r="CC67" s="19" t="str">
        <f>IF(SnapshotTable[[#This Row],[SP Is Booked]],SnapshotTable[[#This Row],[SP Exp Date]]-MAX(SnapshotTable[[#This Row],[SP Book Date]], SnapshotTable[[#This Row],[SP Fill Date]]),"")</f>
        <v/>
      </c>
      <c r="CD67" s="7" t="str">
        <f>IF(SnapshotTable[[#This Row],[SP Is Booked]], SnapshotTable[[#This Row],[SP Book Price]]/SnapshotTable[[#This Row],[SP Strike Price]], "")</f>
        <v/>
      </c>
      <c r="CE67" s="7" t="str">
        <f>IF(ISNUMBER(SnapshotTable[[#This Row],[SP ROO Term]]),SnapshotTable[[#This Row],[SP ROO Term]]*(365/SnapshotTable[[#This Row],[SP Term]]),"")</f>
        <v/>
      </c>
      <c r="CF67" s="221">
        <f>SnapshotTable[[#This Row],[LP Strike Price]] * SnapshotTable[[#This Row],[LP Qty]] * 100</f>
        <v>0</v>
      </c>
      <c r="CG67" s="31">
        <f>IF(ISNUMBER(SnapshotTable[[#This Row],[SP Premium]]), (SnapshotTable[[#This Row],[SP Qty]] * SnapshotTable[[#This Row],[SP Strike Price]]* 100) - SnapshotTable[[#This Row],[LP Protection]], 0)</f>
        <v>0</v>
      </c>
      <c r="CH67" s="7" t="str">
        <f>IF(ISNUMBER(SnapshotTable[[#This Row],[SP Break Even]]),-1 * (SnapshotTable[[#This Row],[SP Break Even]] - SnapshotTable[[#This Row],[Last Price]]) / SnapshotTable[[#This Row],[Last Price]], "")</f>
        <v/>
      </c>
      <c r="CI67" s="31">
        <f>IF(AND(ISNUMBER((SnapshotTable[[#This Row],[SP Potential Spend]])), SnapshotTable[[#This Row],[SP Strike Price]] &gt; SnapshotTable[[#This Row],[Last Price]], SnapshotTable[[#This Row],[SP Is Filled]]), SnapshotTable[[#This Row],[SP Potential Spend]] -  SnapshotTable[[#This Row],[LP Max Value]], 0)</f>
        <v>0</v>
      </c>
      <c r="CJ67" s="229"/>
      <c r="CK67" s="31">
        <f>IF(ISNUMBER(SnapshotTable[[#This Row],[SP Potential Spend]]),IF(ISNUMBER(SnapshotTable[[#This Row],[SP POW]]), SnapshotTable[[#This Row],[SP POW]] * SnapshotTable[[#This Row],[SP Potential Spend]], SnapshotTable[[#This Row],[SP Potential Spend]]), "")</f>
        <v>0</v>
      </c>
      <c r="CL67" s="162">
        <f>IF(NOT(SnapshotTable[[#This Row],[SP Is Filled]]),(SnapshotTable[[#This Row],[SP Qty]] * SnapshotTable[[#This Row],[SP Strike Price]] * 100) - SnapshotTable[[#This Row],[LP Max Value]],"")</f>
        <v>0</v>
      </c>
      <c r="CM67" s="31" t="str">
        <f>IF(SnapshotTable[[#This Row],[SP Actual Spend]]&lt;&gt;0, ((SnapshotTable[[#This Row],[SP Strike Price]]-SnapshotTable[[#This Row],[Last Price]]) *(SnapshotTable[[#This Row],[SP Qty]]*100) - SnapshotTable[[#This Row],[SP Premium]]) * - 1, "")</f>
        <v/>
      </c>
      <c r="CN67" s="152"/>
      <c r="CO67" s="339"/>
      <c r="CP67" s="291" t="str">
        <f>IF(SnapshotTable[[#This Row],[SP Is Filled]], btc_max_buyback_amount(SnapshotTable[[#This Row],[SP Fill Date]],SnapshotTable[[#This Row],[SP Exp Date]], SnapshotTable[[#This Row],[SP Book Price]]),"")</f>
        <v/>
      </c>
      <c r="CQ67" s="76"/>
      <c r="CR67"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7" s="153" t="str">
        <f>IF(SnapshotTable[[#This Row],[SP Is Filled]], btc_next_cutoff_date(SnapshotTable[[#This Row],[SP Fill Date]],SnapshotTable[[#This Row],[SP Exp Date]]),"")</f>
        <v/>
      </c>
      <c r="CT67" s="220" t="str" cm="1">
        <f t="array" ref="CT67">IF(SnapshotTable[[#This Row],[SP Is Filled]], btc_should_buy_back(SnapshotTable[[#This Row],[SP Fill Date]], SnapshotTable[[#This Row],[SP Exp Date]], SnapshotTable[[#This Row],[SP Book Price]], SnapshotTable[[#This Row],[SP Current Ask]], MockToday, SnapshotTable[[#This Row],[SP Buyback Override]]),"")</f>
        <v/>
      </c>
      <c r="CU67" s="154"/>
      <c r="CV67" s="220"/>
      <c r="CW67" s="348" t="str">
        <f>IF(ISNUMBER( SnapshotTable[[#This Row],[SP Term]]), SnapshotTable[[#This Row],[SP Exp Date]] - MockToday,"")</f>
        <v/>
      </c>
      <c r="CX67" s="31" t="str">
        <f>IF(SnapshotTable[[#This Row],[SP Is Filled]],SnapshotTable[[#This Row],[SP Buyback Price to Use]] * 100 * SnapshotTable[[#This Row],[SP Qty]], "")</f>
        <v/>
      </c>
      <c r="CY67" s="4" t="str">
        <f>IF(ISNUMBER(SnapshotTable[[#This Row],[SP Strike Price]]), SnapshotTable[[#This Row],[SP Strike Price]] * (1 - SP_MaxLoss_StrikePct), "")</f>
        <v/>
      </c>
      <c r="CZ67" s="31" t="str">
        <f>IF(ISNUMBER(SnapshotTable[[#This Row],[SP Strike  Stop Per Share]]),SnapshotTable[[#This Row],[SP Premium]] - ((SnapshotTable[[#This Row],[SP Strike Price]]-SnapshotTable[[#This Row],[SP Strike  Stop Per Share]]) *(SnapshotTable[[#This Row],[SP Qty]] * 100)),"")</f>
        <v/>
      </c>
      <c r="DA67" s="4" t="str">
        <f>IF(AND(ISNUMBER(SnapshotTable[[#This Row],[SP Premium]]),SnapshotTable[[#This Row],[SP Premium]]&gt;0), SnapshotTable[[#This Row],[SP Book Price]] * (1 + SP_MaxLoss_OptionPct), "")</f>
        <v/>
      </c>
      <c r="DB67" s="31" t="str">
        <f>IF(ISNUMBER(SnapshotTable[[#This Row],[SP Option  Stop Contract]]),(SnapshotTable[[#This Row],[SP Option  Stop Contract]] *(SnapshotTable[[#This Row],[SP Qty]] * 100) - SnapshotTable[[#This Row],[SP Premium]]),"")</f>
        <v/>
      </c>
      <c r="DC67" s="4"/>
      <c r="DD67" s="4"/>
      <c r="DE67" s="4" t="str">
        <f>IF(AND(SnapshotTable[[#This Row],[SP Qty]]&gt;0, SnapshotTable[[#This Row],[SP Stop To Use]]&gt;0),SnapshotTable[[#This Row],[SP Premium]] - ( SnapshotTable[[#This Row],[SP Qty]] * SnapshotTable[[#This Row],[SP Stop To Use]] * 100), "")</f>
        <v/>
      </c>
      <c r="DF67" s="31" t="str">
        <f>IF(AND(SnapshotTable[[#This Row],[SP Qty]]&gt;0,SnapshotTable[[#This Row],[SP Current Ask]]&gt;0), SnapshotTable[[#This Row],[SP Qty]] * SnapshotTable[[#This Row],[SP Current Ask]] * -100, "")</f>
        <v/>
      </c>
      <c r="DG67" s="31" t="str">
        <f>IF(ISNUMBER((SnapshotTable[[#This Row],[SP Total Value]])), SnapshotTable[[#This Row],[SP Premium]] + SnapshotTable[[#This Row],[SP Total Value]], "")</f>
        <v/>
      </c>
      <c r="DH67" s="272" t="str">
        <f>IF(ISNUMBER((SnapshotTable[[#This Row],[SP Total Value]])), SnapshotTable[[#This Row],[SP Gain Loss]] / SnapshotTable[[#This Row],[SP Premium]], "")</f>
        <v/>
      </c>
      <c r="DI67" s="369"/>
      <c r="DJ67" s="136"/>
      <c r="DK67" s="146"/>
      <c r="DL67" s="145"/>
      <c r="DM67" s="145"/>
      <c r="DO67" s="31">
        <f>IF(SnapshotTable[[#This Row],[LC Symbol Count]]=1, SnapshotTable[[#This Row],[LC Qty]] * SnapshotTable[[#This Row],[LC Book Price]] * 100, 0)</f>
        <v>0</v>
      </c>
      <c r="DP67" s="270" t="str">
        <f>IF(AND(SnapshotTable[[#This Row],[LC Exp Date]]&gt;0, SnapshotTable[[#This Row],[LC Strike Price]]&gt;0,SnapshotTable[[#This Row],[LC Qty]]&gt;0,SnapshotTable[[#This Row],[LC Book Date]]&gt;0,SnapshotTable[[#This Row],[LC Book Price]]&gt;0,SnapshotTable[[#This Row],[LC Fill Date]]=0),"Y","")</f>
        <v/>
      </c>
      <c r="DQ67" s="356" t="str">
        <f>IF(SnapshotTable[[#This Row],[LC Premium]] &gt; 0,SnapshotTable[[#This Row],[LC Exp Date]]-MAX(SnapshotTable[[#This Row],[LC Book Date]], SnapshotTable[[#This Row],[LC Fill Date]]),"")</f>
        <v/>
      </c>
      <c r="DR67" s="356" t="str">
        <f>IF(ISNUMBER(SnapshotTable[[#This Row],[LC Term]]), SnapshotTable[[#This Row],[LC Exp Date]] - MockToday, "")</f>
        <v/>
      </c>
      <c r="DS67" s="219" t="str">
        <f>IF(SnapshotTable[[#This Row],[LC Premium]]&gt;0,SnapshotTable[[#This Row],[LC Strike Price]] + SnapshotTable[[#This Row],[LC Book Price]],"")</f>
        <v/>
      </c>
      <c r="DT67" s="5">
        <v>1.1599999999999999</v>
      </c>
      <c r="DU67" s="9">
        <f>IF(AND(SnapshotTable[[#This Row],[LC Symbol Count]]&gt;0, SnapshotTable[[#This Row],[LC Contract Value]]&gt;0), SnapshotTable[[#This Row],[LC Contract Value]] * SnapshotTable[[#This Row],[LC Qty]] * 100, "")</f>
        <v>0</v>
      </c>
      <c r="DV67" s="9">
        <f>IF(AND(ISNUMBER(SnapshotTable[[#This Row],[LC Total Value]]), SnapshotTable[[#This Row],[LC Not Filled]]&lt;&gt;"Y"), SnapshotTable[[#This Row],[LC Total Value]]-SnapshotTable[[#This Row],[LC Premium]],"")</f>
        <v>0</v>
      </c>
      <c r="DW67" s="225" t="e">
        <f>IF(ISNUMBER(SnapshotTable[[#This Row],[LC Actual Gain Loss]]), SnapshotTable[[#This Row],[LC Actual Gain Loss]] / SnapshotTable[[#This Row],[LC Premium]],"")</f>
        <v>#DIV/0!</v>
      </c>
      <c r="DX67" s="269" t="str">
        <f>IF(ISNUMBER(SnapshotTable[[#This Row],[LC Book Price]]),SnapshotTable[[#This Row],[LC Book Price]] * 1.5,"")</f>
        <v/>
      </c>
      <c r="DY67" s="250" t="str">
        <f>IF(SnapshotTable[[#This Row],[LC Premium]]&gt;0, SnapshotTable[[#This Row],[LC Next Target]] * SnapshotTable[[#This Row],[LC Qty]] * 100,"")</f>
        <v/>
      </c>
      <c r="DZ67" s="250" t="str">
        <f>IF(ISNUMBER(SnapshotTable[[#This Row],[LC Target Gross]]), SnapshotTable[[#This Row],[LC Target Gross]] - SnapshotTable[[#This Row],[LC Premium]], "")</f>
        <v/>
      </c>
      <c r="EA67" s="283" t="str">
        <f>IF(ISNUMBER(SnapshotTable[[#This Row],[LC Target Gain Loss]]), SnapshotTable[[#This Row],[LC Target Gain Loss]]/SnapshotTable[[#This Row],[LC Premium]], "")</f>
        <v/>
      </c>
      <c r="EB67" s="247"/>
      <c r="EC67" s="271" t="str">
        <f>IF(SnapshotTable[[#This Row],[LC Premium]]&gt;0, SnapshotTable[[#This Row],[LC Book Price]] * (1 - LC_StopLoss_Pct),"")</f>
        <v/>
      </c>
      <c r="ED67" s="269"/>
      <c r="EE67" s="271" t="str">
        <f>IF(ISNUMBER(SnapshotTable[[#This Row],[LC Contract Value]]),IF(ISNUMBER(SnapshotTable[[#This Row],[LC Stop Loss Override]]), SnapshotTable[[#This Row],[LC Stop Loss Override]],SnapshotTable[[#This Row],[LC Stop Loss Calc Target]]),"")</f>
        <v/>
      </c>
      <c r="EF67" s="292" t="str">
        <f>IF(ISNUMBER(SnapshotTable[[#This Row],[LC Stop  To Use]]), (SnapshotTable[[#This Row],[LC Stop  To Use]] * SnapshotTable[[#This Row],[LC Qty]] * 100),"")</f>
        <v/>
      </c>
      <c r="EG67" s="9" t="e">
        <f>IF(ISNUMBER(SnapshotTable[[#This Row],[LC Total Value]]),SnapshotTable[[#This Row],[LC Stop Loss Amount]] - SnapshotTable[[#This Row],[LC Premium]],"")</f>
        <v>#VALUE!</v>
      </c>
      <c r="EH67" s="9">
        <f>IF(ISNUMBER(SnapshotTable[[#This Row],[LC Premium]]), SnapshotTable[[#This Row],[LC Qty]] * 100 * SnapshotTable[[#This Row],[LC Strike Price]], "")</f>
        <v>0</v>
      </c>
      <c r="EI67" s="225" t="str">
        <f>IF(AND(ISNUMBER(SnapshotTable[[#This Row],[LC Total Value]]),SnapshotTable[[#This Row],[LC Total Value]]&gt;0),SnapshotTable[[#This Row],[LC Stop Gain Loss]]  / SnapshotTable[[#This Row],[LC Premium]],"")</f>
        <v/>
      </c>
      <c r="EJ67" s="35">
        <f>IF(ISNUMBER(SnapshotTable[[#This Row],[Equity Shares]]),TRUNC(SnapshotTable[[#This Row],[Equity Shares]] / 100),0) + SnapshotTable[[#This Row],[LC Qty]]</f>
        <v>0</v>
      </c>
      <c r="EK67" s="145"/>
      <c r="EL67" s="136"/>
      <c r="EM67" s="146"/>
      <c r="EN67" s="145"/>
      <c r="EO67" s="145"/>
      <c r="EP67" s="136"/>
      <c r="EQ67" s="382" t="b">
        <f>AND(ISNUMBER(SnapshotTable[[#This Row],[SC Exp Date]]), ISNUMBER(SnapshotTable[[#This Row],[SC Strike Price]]), ISNUMBER(SnapshotTable[[#This Row],[SC Qty]]), ISNUMBER(SnapshotTable[[#This Row],[SC Book Date]]), ISNUMBER(SnapshotTable[[#This Row],[SC Book Price]]))</f>
        <v>0</v>
      </c>
      <c r="ER67" s="382" t="b">
        <f>AND(SnapshotTable[[#This Row],[SC Is Booked]], NOT(ISBLANK(SnapshotTable[[#This Row],[SC Fill Date]])))</f>
        <v>0</v>
      </c>
      <c r="ES67" s="340"/>
      <c r="ET67" s="34" t="str">
        <f>IF(AND(ISNUMBER(SnapshotTable[[#This Row],[SC Exp Date]]), ISNUMBER(SnapshotTable[[#This Row],[SC Book Date]])), SnapshotTable[[#This Row],[SC Exp Date]] - MAX(SnapshotTable[[#This Row],[SC Book Date]], SnapshotTable[[#This Row],[SC Fill Date]]) + 1, "")</f>
        <v/>
      </c>
      <c r="EU67" s="34" t="str">
        <f>IF(ISNUMBER(SnapshotTable[[#This Row],[SC Term]]), SnapshotTable[[#This Row],[SC Exp Date]]- MockToday, "")</f>
        <v/>
      </c>
      <c r="EV67" s="31">
        <f>IF(SnapshotTable[[#This Row],[SC Is Booked]], SnapshotTable[[#This Row],[SC Qty]] * SnapshotTable[[#This Row],[SC Book Price]] * 100, 0)</f>
        <v>0</v>
      </c>
      <c r="EW67" s="4" t="str">
        <f>IF(AND(ISNUMBER(SnapshotTable[[#This Row],[Last Price]]), ISNUMBER( SnapshotTable[[#This Row],[SC Book Price]])), SnapshotTable[[#This Row],[Last Price]] - SnapshotTable[[#This Row],[SC Book Price]],"")</f>
        <v/>
      </c>
      <c r="EX67" s="219" t="str">
        <f>IF(SnapshotTable[[#This Row],[SC Is Booked]],IF(SnapshotTable[[#This Row],[SC Intrinsic Value]] &gt; 0, SnapshotTable[[#This Row],[SC Strike Price]], SnapshotTable[[#This Row],[Last Price]]), "")</f>
        <v/>
      </c>
      <c r="EY67" s="4">
        <f>IF(SnapshotTable[[#This Row],[SC Is Booked]], (MinimumPremiumRequired * SnapshotTable[[#This Row],[SC Basis]] * SnapshotTable[[#This Row],[SC Term]]), 0)</f>
        <v>0</v>
      </c>
      <c r="EZ67" s="268"/>
      <c r="FA67" s="204"/>
      <c r="FB67" s="340"/>
      <c r="FC67" s="4">
        <f>IF(SnapshotTable[[#This Row],[SC Is Filled]], btc_max_buyback_amount(SnapshotTable[[#This Row],[SC Fill Date]],SnapshotTable[[#This Row],[SC Exp Date]], SnapshotTable[[#This Row],[SC Book Price]]),0)</f>
        <v>0</v>
      </c>
      <c r="FD67" s="5"/>
      <c r="FE67" s="142" t="str">
        <f>IF(SnapshotTable[[#This Row],[SC Is Filled]], btc_next_cutoff_date(SnapshotTable[[#This Row],[SC Fill Date]],SnapshotTable[[#This Row],[SC Exp Date]]),"")</f>
        <v/>
      </c>
      <c r="FF67" s="4" t="str" cm="1">
        <f t="array" ref="FF67">IF(SnapshotTable[[#This Row],[SC Is Filled]], btc_should_buy_back(SnapshotTable[[#This Row],[SC Fill Date]], SnapshotTable[[#This Row],[SC Exp Date]], SnapshotTable[[#This Row],[SC Book Price]], SnapshotTable[[#This Row],[SC Current Ask]], MockToday, SnapshotTable[[#This Row],[SC Buyback Override]]),"")</f>
        <v/>
      </c>
      <c r="FG67" s="4">
        <f>IF(SnapshotTable[[#This Row],[SC Is Filled]], MAX(0,SnapshotTable[[#This Row],[Last Price]]  - SnapshotTable[[#This Row],[SC Strike Price]]), 0)</f>
        <v>0</v>
      </c>
      <c r="FH67" s="352">
        <f>IF(SnapshotTable[[#This Row],[SC Is Filled]], IF(ISNUMBER(SnapshotTable[[#This Row],[SC Current Ask]]), SnapshotTable[[#This Row],[SC Current Ask]], SnapshotTable[[#This Row],[SC Book Price]]) - SnapshotTable[[#This Row],[SC Intrinsic Value]], 0)</f>
        <v>0</v>
      </c>
      <c r="FI67" s="141"/>
      <c r="FJ67" s="32" t="str">
        <f>IF(SnapshotTable[[#This Row],[SC Is Filled]],100 * SnapshotTable[[#This Row],[SC Qty]] * IF(ISNUMBER(SnapshotTable[[#This Row],[SC Buyback Override]]), SnapshotTable[[#This Row],[SC Buyback Override]], SnapshotTable[[#This Row],[SC Current Ask]]), "")</f>
        <v/>
      </c>
      <c r="FK67" s="235" t="str">
        <f>IF(SnapshotTable[[#This Row],[SC Time Val]]&gt;0, SnapshotTable[[#This Row],[SC Time Val]] / SnapshotTable[[#This Row],[Last Price]],"")</f>
        <v/>
      </c>
      <c r="FL67" s="280" t="str">
        <f>IF(SnapshotTable[[#This Row],[SC Is Booked]], ((SnapshotTable[[#This Row],[Last Price]] -SnapshotTable[[#This Row],[SC Strike Price]]) / SnapshotTable[[#This Row],[Last Price]]) * -1, "")</f>
        <v/>
      </c>
      <c r="FM67" s="155" t="str">
        <f>IF(SnapshotTable[[#This Row],[SC Is Booked]],  (SnapshotTable[[#This Row],[SC Qty]] * 100 * SnapshotTable[[#This Row],[SC Strike Price]]) - SnapshotTable[[#This Row],[SC Current Ask]], "")</f>
        <v/>
      </c>
      <c r="FN6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7" s="155" t="str">
        <f>IF(AND(ISNUMBER(SnapshotTable[[#This Row],[SC Exercise Gross]]), ISNUMBER(SnapshotTable[[#This Row],[Equity Basis Per Share]] )), SnapshotTable[[#This Row],[SC Exercise Gross]] - SnapshotTable[[#This Row],[Equity Basis Total]] +  SnapshotTable[[#This Row],[SC Premium]], "")</f>
        <v/>
      </c>
      <c r="FP67" s="5" t="str">
        <f>IF(ISNUMBER(SnapshotTable[[#This Row],[SC Exercise Gross]]), (SnapshotTable[[#This Row],[SC Exercise Gross]]) / (SnapshotTable[[#This Row],[SC Qty]] * 100), "")</f>
        <v/>
      </c>
      <c r="FQ67" s="27" t="str">
        <f>IF(SnapshotTable[[#This Row],[SC Is Booked]],SnapshotTable[[#This Row],[SC Time Val]] /SnapshotTable[[#This Row],[SC Basis]], "")</f>
        <v/>
      </c>
      <c r="FR67" s="27" t="str" cm="1">
        <f t="array" ref="FR67">IF(AND(ISNUMBER(SnapshotTable[[#This Row],[SC Term]]),ISNUMBER(SnapshotTable[[#This Row],[SC Simple ROO]])), EllmanAnnualize(SnapshotTable[[#This Row],[SC DTE]], SnapshotTable[[#This Row],[SC Simple ROO]] ),"")</f>
        <v/>
      </c>
      <c r="FS67" s="4">
        <f>IF(SnapshotTable[[#This Row],[SC Strike Price]] &gt; SnapshotTable[[#This Row],[Last Price]], SnapshotTable[[#This Row],[SC Strike Price]] - SnapshotTable[[#This Row],[Last Price]],0)</f>
        <v>0</v>
      </c>
      <c r="FT67" s="27" t="str">
        <f>IF(AND(ISNUMBER(SnapshotTable[[#This Row],[SC Upside Potential]]), SnapshotTable[[#This Row],[SC Upside Potential]] &gt; 0),(SnapshotTable[[#This Row],[SC Upside Potential]]/ SnapshotTable[[#This Row],[ACB]]),"")</f>
        <v/>
      </c>
      <c r="FU67" s="304" t="str">
        <f>IF(SnapshotTable[[#This Row],[SC Intrinsic Value]] &gt; 0,SnapshotTable[[#This Row],[SC Intrinsic Value]],"")</f>
        <v/>
      </c>
      <c r="FV67" s="27" t="str">
        <f>IF(AND( ISNUMBER( SnapshotTable[[#This Row],[ACB]]),ISNUMBER(SnapshotTable[[#This Row],[SC Downside Protect]])),SnapshotTable[[#This Row],[SC Downside Protect]] / SnapshotTable[[#This Row],[ACB]],"")</f>
        <v/>
      </c>
      <c r="FW67" s="221" t="str">
        <f>IF(AND(ISNUMBER(SnapshotTable[[#This Row],[SC Simple ROO]]),SnapshotTable[[#This Row],[SC Simple ROO]] &gt; 0), SnapshotTable[[#This Row],[SC Premium]] + (SnapshotTable[[#This Row],[SC Qty]] * SnapshotTable[[#This Row],[SC Upside Potential]]), "")</f>
        <v/>
      </c>
      <c r="FX67" s="280" t="str" cm="1">
        <f t="array" ref="FX67">IF(ISNUMBER(SnapshotTable[[#This Row],[SC Max Dollars]]), annualize(SnapshotTable[[#This Row],[SC Term]],(SnapshotTable[[#This Row],[SC Max Dollars]]/SnapshotTable[[#This Row],[SC Basis]])),"")</f>
        <v/>
      </c>
      <c r="FY67" s="221" t="str">
        <f>IF(AND(SnapshotTable[[#This Row],[SC Qty]]&gt;0,SnapshotTable[[#This Row],[SC Current Ask]]&gt;0), SnapshotTable[[#This Row],[SC Qty]] * SnapshotTable[[#This Row],[SC Current Ask]] * -100, "")</f>
        <v/>
      </c>
      <c r="FZ67" s="220" t="str">
        <f>IF(ISNUMBER((SnapshotTable[[#This Row],[SC Current Value]])), SnapshotTable[[#This Row],[SC Premium]] + SnapshotTable[[#This Row],[SC Current Value]], "")</f>
        <v/>
      </c>
      <c r="GA67" s="272" t="str">
        <f>IFERROR( IF(ISNUMBER((SnapshotTable[[#This Row],[SC Current Value]])), SnapshotTable[[#This Row],[SC Gain Loss]] / SnapshotTable[[#This Row],[SC Premium]], ""), "")</f>
        <v/>
      </c>
      <c r="GB67" s="315">
        <f>SnapshotTable[[#This Row],[Equity Shares]] * SaleSharesToConsiderPercentage</f>
        <v>0</v>
      </c>
      <c r="GC67" s="316">
        <f>SnapshotTable[[#This Row],[Long Term Target]] * SellingPriceToConsiderBasedOnTargetPercentage</f>
        <v>31.540000000000003</v>
      </c>
      <c r="GD67" s="316">
        <f>SnapshotTable[[#This Row],[Last Price]] * (1+ SellingPriceToConsiderBasedOnTargetPercentage)</f>
        <v>46.565999999999995</v>
      </c>
      <c r="GE67" s="317"/>
      <c r="GF67" s="316"/>
      <c r="GG67" s="31">
        <f>SnapshotTable[[#This Row],[Booked Sale Shares]] * SnapshotTable[[#This Row],[Booked Sale Price]]</f>
        <v>0</v>
      </c>
      <c r="GH67" s="31" t="str">
        <f>IF(SnapshotTable[[#This Row],[Equity Basis Total]] &gt; 0, SnapshotTable[[#This Row],[Equity Basis Per Share]] * SnapshotTable[[#This Row],[Booked Sale Shares]], "")</f>
        <v/>
      </c>
      <c r="GI67" s="31">
        <f>IF(SnapshotTable[[#This Row],[Sale Proceeds]]&gt;0, SnapshotTable[[#This Row],[Sale Proceeds]] - SnapshotTable[[#This Row],[Sale Basis]], 0)</f>
        <v>0</v>
      </c>
      <c r="GJ67" s="156" t="str">
        <f>IF(SnapshotTable[[#This Row],[Sale G/L]]&gt;0, SnapshotTable[[#This Row],[Sale G/L]] / SnapshotTable[[#This Row],[Sale Basis]], IF(ISNUMBER(SnapshotTable[[#This Row],[SC Exercise P&amp;L (TAX)]]), SnapshotTable[[#This Row],[SC Exercise P&amp;L (TAX)]] / SnapshotTable[[#This Row],[SC Basis]], ""))</f>
        <v/>
      </c>
      <c r="GK67" s="27"/>
      <c r="GL67" s="157" t="str">
        <f>IF(AND(SnapshotTable[[#This Row],[LP Exp Date]]&gt;0,SnapshotTable[[#This Row],[LP Strike Price]]&gt;0), [1]!ToOptionSymbol(SnapshotTable[[#This Row],[Symbol]], SnapshotTable[[#This Row],[LP Strike Price]],SnapshotTable[[#This Row],[LP Exp Date]],1), "")</f>
        <v/>
      </c>
      <c r="GM67" s="30" t="str">
        <f>IF(LEN(SnapshotTable[[#This Row],[LP Symbol]])&gt;0, 1, "")</f>
        <v/>
      </c>
      <c r="GN67" s="43" t="str">
        <f>IF(AND(SnapshotTable[[#This Row],[SP Exp Date]]&gt;0,SnapshotTable[[#This Row],[SP Strike Price]]&gt;0), [1]!ToOptionSymbol(SnapshotTable[[#This Row],[Symbol]], SnapshotTable[[#This Row],[SP Strike Price]],SnapshotTable[[#This Row],[SP Exp Date]],1), "")</f>
        <v/>
      </c>
      <c r="GO67" s="30" t="str">
        <f>IF(LEN(SnapshotTable[[#This Row],[SP Symbol]])&gt;0, 1, "")</f>
        <v/>
      </c>
      <c r="GP67" s="157" t="str">
        <f>IF(AND(SnapshotTable[[#This Row],[LC Exp Date]]&gt;0,SnapshotTable[[#This Row],[LC Strike Price]]&gt;0), [1]!ToOptionSymbol(SnapshotTable[[#This Row],[Symbol]], SnapshotTable[[#This Row],[LC Strike Price]],SnapshotTable[[#This Row],[LC Exp Date]],0), "")</f>
        <v/>
      </c>
      <c r="GQ67" s="158" t="str">
        <f>IF(LEN(SnapshotTable[[#This Row],[LC Symbol]])&gt;0, 1, "")</f>
        <v/>
      </c>
      <c r="GR67" s="157" t="str">
        <f>IF(AND(SnapshotTable[[#This Row],[SC Exp Date]]&gt;0,SnapshotTable[[#This Row],[SC Strike Price]]&gt;0), [1]!ToOptionSymbol(SnapshotTable[[#This Row],[Symbol]], SnapshotTable[[#This Row],[SC Strike Price]],SnapshotTable[[#This Row],[SC Exp Date]],0), "")</f>
        <v/>
      </c>
      <c r="GS67" s="158" t="str">
        <f>IF(LEN(SnapshotTable[[#This Row],[SC Symbol]])&gt;0, 1, "")</f>
        <v/>
      </c>
      <c r="GT67" s="159" t="str">
        <f>IF(COUNT(SnapshotTable[[#This Row],[LP Symbol Count]],SnapshotTable[[#This Row],[SP Symbol Count]],SnapshotTable[[#This Row],[LC Symbol Count]],SnapshotTable[[#This Row],[SC Symbol Count]])&gt;0, "Y", "")</f>
        <v/>
      </c>
      <c r="GU6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7" s="216">
        <f>MAX(SnapshotTable[[#This Row],[Equity Basis Total]],SnapshotTable[[#This Row],[Equity Value]]) + (SnapshotTable[[#This Row],[SP Potential Spend]]- SnapshotTable[[#This Row],[SP Premium]] + SnapshotTable[[#This Row],[LP Premium]])+ (SnapshotTable[[#This Row],[LC Premium]] - SnapshotTable[[#This Row],[SC Premium]])</f>
        <v>0</v>
      </c>
      <c r="GW67" s="137" t="str">
        <f>IF(AND(SnapshotTable[[#This Row],[Exposure]] &lt;&gt; 0),SnapshotTable[[#This Row],[Exposure]] / SnapshotTable[[#Totals],[Exposure]], "")</f>
        <v/>
      </c>
      <c r="HE67" s="253"/>
      <c r="HF67" s="253"/>
      <c r="HK67" s="1"/>
      <c r="HL67" s="1"/>
      <c r="HM67" s="1"/>
      <c r="HN67" s="1"/>
      <c r="HO67" s="1"/>
      <c r="HP67" s="1"/>
    </row>
    <row r="68" spans="2:224" ht="12.75" hidden="1" customHeight="1" x14ac:dyDescent="0.25">
      <c r="B68" s="12" t="s">
        <v>159</v>
      </c>
      <c r="C68" s="385">
        <v>83.08</v>
      </c>
      <c r="D68" s="200"/>
      <c r="E68" s="39">
        <f>SnapshotTable[[#This Row],[Last Price]]*(1 -CrashDiscount)</f>
        <v>70.617999999999995</v>
      </c>
      <c r="F68" s="26" t="s">
        <v>158</v>
      </c>
      <c r="G68" s="26" t="s">
        <v>12</v>
      </c>
      <c r="H68" s="147"/>
      <c r="I68" s="186">
        <v>44777.392361111109</v>
      </c>
      <c r="J68" s="187">
        <v>44777.392361111109</v>
      </c>
      <c r="K68" s="188"/>
      <c r="L68" s="297"/>
      <c r="M68" s="138"/>
      <c r="N68" s="138"/>
      <c r="O68" s="138"/>
      <c r="P68" s="22"/>
      <c r="Q68" s="25"/>
      <c r="R68" s="4" t="str">
        <f>IF(SnapshotTable[[#This Row],[Equity Basis Total]] &gt; 0, SnapshotTable[[#This Row],[Equity Basis Total]] / SnapshotTable[[#This Row],[Equity Shares]], "")</f>
        <v/>
      </c>
      <c r="S68" s="254">
        <f>SnapshotTable[[#This Row],[Last Price]] * SnapshotTable[[#This Row],[Equity Shares]]</f>
        <v>0</v>
      </c>
      <c r="T68" s="254">
        <f>SnapshotTable[[#This Row],[Equity Value]] - SnapshotTable[[#This Row],[Equity Basis Total]]</f>
        <v>0</v>
      </c>
      <c r="U68" s="255" t="str">
        <f>IF(SnapshotTable[[#This Row],[Equity Basis Total]] &gt; 0, SnapshotTable[[#This Row],[Equity G/L]] / SnapshotTable[[#This Row],[Equity Basis Total]], "")</f>
        <v/>
      </c>
      <c r="V68" s="253"/>
      <c r="W68" s="253"/>
      <c r="X68" s="4" t="str">
        <f>IF(AND(ISNUMBER(SnapshotTable[[#This Row],[Equity Basis Per Share]]),ISNUMBER(SnapshotTable[[#This Row],[Equity Target]])),SnapshotTable[[#This Row],[Equity Target]]-SnapshotTable[[#This Row],[Equity Basis Per Share]],"")</f>
        <v/>
      </c>
      <c r="Y68" s="4" t="str">
        <f>IF(AND(ISNUMBER(SnapshotTable[[#This Row],[Equity Basis Per Share]]),ISNUMBER(SnapshotTable[[#This Row],[Equity Stop Loss]])),SnapshotTable[[#This Row],[Equity Stop Loss]]-SnapshotTable[[#This Row],[Equity Basis Per Share]],"")</f>
        <v/>
      </c>
      <c r="Z68" s="260" t="str">
        <f>IFERROR( TEXT(SnapshotTable[[#This Row],[Equity Max Gain Per Share]] /ABS( SnapshotTable[[#This Row],[Equity Max Loss Per Share]]),"0.0 " ) &amp; " : 1", "")</f>
        <v/>
      </c>
      <c r="AA68" s="31" t="str">
        <f>IF(ISNUMBER(SnapshotTable[[#This Row],[Equity Max Gain Per Share]]),SnapshotTable[[#This Row],[Equity Max Gain Per Share]] * SnapshotTable[[#This Row],[Equity Shares]],"")</f>
        <v/>
      </c>
      <c r="AB68" s="31" t="str">
        <f>IF(ISNUMBER(SnapshotTable[[#This Row],[Equity Max Loss Per Share]]),SnapshotTable[[#This Row],[Equity Max Loss Per Share]] * SnapshotTable[[#This Row],[Equity Shares]],"")</f>
        <v/>
      </c>
      <c r="AC68" s="148">
        <v>4.5999999999999996</v>
      </c>
      <c r="AD68" s="149">
        <v>42704</v>
      </c>
      <c r="AE68" s="31">
        <f>(SnapshotTable[[#This Row],[Annual Dividend Per Share]] / 4) * SnapshotTable[[#This Row],[Equity Shares]]</f>
        <v>0</v>
      </c>
      <c r="AF68" s="31">
        <f>SnapshotTable[[#This Row],[Quarterly Div $]] * 4</f>
        <v>0</v>
      </c>
      <c r="AG68" s="7">
        <f>IF(SnapshotTable[[#This Row],[Annual Dividend Per Share]]&gt;0, SnapshotTable[[#This Row],[Annual Dividend Per Share]]  / SnapshotTable[[#This Row],[Last Price]], 0)</f>
        <v>5.536831969186326E-2</v>
      </c>
      <c r="AH68" s="149">
        <v>42577</v>
      </c>
      <c r="AI68" s="5"/>
      <c r="AJ68" s="136">
        <v>77.75</v>
      </c>
      <c r="AK68" s="150" t="str">
        <f>IF(ISNUMBER( SnapshotTable[[#This Row],[EBF Target]]),(SnapshotTable[[#This Row],[EBF Target]] - SnapshotTable[[#This Row],[Last Price]]) / SnapshotTable[[#This Row],[Last Price]], "")</f>
        <v/>
      </c>
      <c r="AL68" s="150" t="str">
        <f>IF(AND(SnapshotTable[[#This Row],[Equity Basis Total]] &gt; 0,ISNUMBER( SnapshotTable[[#This Row],[Long Term Target]])), SnapshotTable[[#This Row],[From Basis $]] / SnapshotTable[[#This Row],[Equity Basis Total]], "")</f>
        <v/>
      </c>
      <c r="AM68" s="9">
        <f>IF( AND(SnapshotTable[[#This Row],[Equity Shares]] &gt;0,ISNUMBER( SnapshotTable[[#This Row],[Long Term Target]])),(SnapshotTable[[#This Row],[Equity Shares]] * SnapshotTable[[#This Row],[Long Term Target]]) - SnapshotTable[[#This Row],[Equity Basis Total]],0)</f>
        <v>0</v>
      </c>
      <c r="AN68" s="9">
        <f>IF( AND(SnapshotTable[[#This Row],[Equity Shares]] &gt;0,ISNUMBER( SnapshotTable[[#This Row],[Long Term Target]])),(SnapshotTable[[#This Row],[Equity Shares]]*SnapshotTable[[#This Row],[Long Term Target]]) - SnapshotTable[[#This Row],[Equity Value]],0)</f>
        <v>0</v>
      </c>
      <c r="AO68" s="150">
        <f>IF(AND(ISNUMBER( SnapshotTable[[#This Row],[Long Term Target]]), ISNUMBER(SnapshotTable[[#This Row],[Last Price]])),(SnapshotTable[[#This Row],[Long Term Target]] - SnapshotTable[[#This Row],[Last Price]]) / SnapshotTable[[#This Row],[Last Price]], "")</f>
        <v>-6.4155031295137194E-2</v>
      </c>
      <c r="AP68" s="5"/>
      <c r="AQ68" s="38"/>
      <c r="AR68" s="5"/>
      <c r="AS68" s="38"/>
      <c r="AT68" s="144"/>
      <c r="AU68" s="185" t="str">
        <f>IF(OR(SnapshotTable[[#This Row],[LP No Fill]]="Y",SnapshotTable[[#This Row],[SP Is Filled]],SnapshotTable[[#This Row],[LC Not Filled]]="Y",SnapshotTable[[#This Row],[SC Is Filled]]),"Y","")</f>
        <v/>
      </c>
      <c r="AV68" s="205"/>
      <c r="AW68" s="211"/>
      <c r="AX68" s="206"/>
      <c r="AY68" s="205" t="str">
        <f>IF(SnapshotTable[[#This Row],[Implied Move]]&gt;0, SnapshotTable[[#This Row],[Last Price]]-SnapshotTable[[#This Row],[Implied Move]],"")</f>
        <v/>
      </c>
      <c r="AZ68" s="205" t="str">
        <f>IF(SnapshotTable[[#This Row],[Implied Move]]&gt;0, SnapshotTable[[#This Row],[Last Price]] + SnapshotTable[[#This Row],[Implied Move]],"")</f>
        <v/>
      </c>
      <c r="BA68" s="302"/>
      <c r="BB68" s="318"/>
      <c r="BC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8" s="321"/>
      <c r="BE68" s="5"/>
      <c r="BF68" s="14"/>
      <c r="BG68" s="13"/>
      <c r="BH68" s="13"/>
      <c r="BI68" s="5"/>
      <c r="BJ68" s="134">
        <f>IF(SnapshotTable[[#This Row],[LP Qty]] &gt; 0, SnapshotTable[[#This Row],[LP Qty]] * SnapshotTable[[#This Row],[LP Book Price]] * 100,0)</f>
        <v>0</v>
      </c>
      <c r="BK68" s="134">
        <f>IF(SnapshotTable[[#This Row],[LP Premium]] &gt; 0, SnapshotTable[[#This Row],[LP Qty]] * SnapshotTable[[#This Row],[LP Strike Price]] * 100,0)</f>
        <v>0</v>
      </c>
      <c r="BL68" s="152"/>
      <c r="BM68" s="355" t="str">
        <f>IF(SnapshotTable[[#This Row],[LP Premium]] &gt; 0,SnapshotTable[[#This Row],[LP Exp Date]]-MAX(SnapshotTable[[#This Row],[LP Book Date]], SnapshotTable[[#This Row],[LP Fill Date]]),"")</f>
        <v/>
      </c>
      <c r="BN68" s="355" t="str">
        <f>IF(ISNUMBER( SnapshotTable[[#This Row],[LP Term]]), SnapshotTable[[#This Row],[LP Exp Date]] - MockToday,"")</f>
        <v/>
      </c>
      <c r="BO68" s="161" t="str">
        <f>IF(AND(SnapshotTable[[#This Row],[LP Exp Date]]&gt;0, SnapshotTable[[#This Row],[LP Strike Price]]&gt;0,SnapshotTable[[#This Row],[LP Qty]]&gt;0,SnapshotTable[[#This Row],[LP Book Date]]&gt;0,SnapshotTable[[#This Row],[LP Book Price]]&gt;0,SnapshotTable[[#This Row],[LP Fill Date]]=0),"Y","")</f>
        <v/>
      </c>
      <c r="BP68" s="31" t="str">
        <f>IF(AND(SnapshotTable[[#This Row],[LP No Fill]]&lt;&gt;"Y",SnapshotTable[[#This Row],[LP Contract Value]]&gt;0, SnapshotTable[[#This Row],[LP Qty]]&gt;0), SnapshotTable[[#This Row],[LP Contract Value]]*SnapshotTable[[#This Row],[LP Qty]]*100,"")</f>
        <v/>
      </c>
      <c r="BQ68" s="13"/>
      <c r="BR68" s="5"/>
      <c r="BS68" s="36"/>
      <c r="BT68" s="145"/>
      <c r="BU68" s="13"/>
      <c r="BV68" s="5"/>
      <c r="BW68" s="382" t="b">
        <f>AND(ISNUMBER(SnapshotTable[[#This Row],[SP Exp Date]]), ISNUMBER(SnapshotTable[[#This Row],[SP Strike Price]]), ISNUMBER(SnapshotTable[[#This Row],[SP Qty]]), ISNUMBER(SnapshotTable[[#This Row],[SP Book Date]]), ISNUMBER(SnapshotTable[[#This Row],[SP Book Price]]))</f>
        <v>0</v>
      </c>
      <c r="BX68" s="382" t="b">
        <f>AND(SnapshotTable[[#This Row],[SP Is Booked]], NOT(ISBLANK(SnapshotTable[[#This Row],[SP Fill Date]])))</f>
        <v>0</v>
      </c>
      <c r="BY68" s="33">
        <f>IF(SnapshotTable[[#This Row],[SP Is Booked]], SnapshotTable[[#This Row],[SP Qty]] * SnapshotTable[[#This Row],[SP Book Price]] * 100, 0)</f>
        <v>0</v>
      </c>
      <c r="BZ68" s="339"/>
      <c r="CA68" s="338">
        <f>SnapshotTable[[#This Row],[LP Qty]]</f>
        <v>0</v>
      </c>
      <c r="CB68" s="4" t="str">
        <f>IF(SnapshotTable[[#This Row],[SP Is Booked]], SnapshotTable[[#This Row],[SP Strike Price]] - SnapshotTable[[#This Row],[SP Book Price]], "")</f>
        <v/>
      </c>
      <c r="CC68" s="19" t="str">
        <f>IF(SnapshotTable[[#This Row],[SP Is Booked]],SnapshotTable[[#This Row],[SP Exp Date]]-MAX(SnapshotTable[[#This Row],[SP Book Date]], SnapshotTable[[#This Row],[SP Fill Date]]),"")</f>
        <v/>
      </c>
      <c r="CD68" s="7" t="str">
        <f>IF(SnapshotTable[[#This Row],[SP Is Booked]], SnapshotTable[[#This Row],[SP Book Price]]/SnapshotTable[[#This Row],[SP Strike Price]], "")</f>
        <v/>
      </c>
      <c r="CE68" s="7" t="str">
        <f>IF(ISNUMBER(SnapshotTable[[#This Row],[SP ROO Term]]),SnapshotTable[[#This Row],[SP ROO Term]]*(365/SnapshotTable[[#This Row],[SP Term]]),"")</f>
        <v/>
      </c>
      <c r="CF68" s="221">
        <f>SnapshotTable[[#This Row],[LP Strike Price]] * SnapshotTable[[#This Row],[LP Qty]] * 100</f>
        <v>0</v>
      </c>
      <c r="CG68" s="31">
        <f>IF(ISNUMBER(SnapshotTable[[#This Row],[SP Premium]]), (SnapshotTable[[#This Row],[SP Qty]] * SnapshotTable[[#This Row],[SP Strike Price]]* 100) - SnapshotTable[[#This Row],[LP Protection]], 0)</f>
        <v>0</v>
      </c>
      <c r="CH68" s="7" t="str">
        <f>IF(ISNUMBER(SnapshotTable[[#This Row],[SP Break Even]]),-1 * (SnapshotTable[[#This Row],[SP Break Even]] - SnapshotTable[[#This Row],[Last Price]]) / SnapshotTable[[#This Row],[Last Price]], "")</f>
        <v/>
      </c>
      <c r="CI68" s="31">
        <f>IF(AND(ISNUMBER((SnapshotTable[[#This Row],[SP Potential Spend]])), SnapshotTable[[#This Row],[SP Strike Price]] &gt; SnapshotTable[[#This Row],[Last Price]], SnapshotTable[[#This Row],[SP Is Filled]]), SnapshotTable[[#This Row],[SP Potential Spend]] -  SnapshotTable[[#This Row],[LP Max Value]], 0)</f>
        <v>0</v>
      </c>
      <c r="CJ68" s="229"/>
      <c r="CK68" s="31">
        <f>IF(ISNUMBER(SnapshotTable[[#This Row],[SP Potential Spend]]),IF(ISNUMBER(SnapshotTable[[#This Row],[SP POW]]), SnapshotTable[[#This Row],[SP POW]] * SnapshotTable[[#This Row],[SP Potential Spend]], SnapshotTable[[#This Row],[SP Potential Spend]]), "")</f>
        <v>0</v>
      </c>
      <c r="CL68" s="162">
        <f>IF(NOT(SnapshotTable[[#This Row],[SP Is Filled]]),(SnapshotTable[[#This Row],[SP Qty]] * SnapshotTable[[#This Row],[SP Strike Price]] * 100) - SnapshotTable[[#This Row],[LP Max Value]],"")</f>
        <v>0</v>
      </c>
      <c r="CM68" s="31" t="str">
        <f>IF(SnapshotTable[[#This Row],[SP Actual Spend]]&lt;&gt;0, ((SnapshotTable[[#This Row],[SP Strike Price]]-SnapshotTable[[#This Row],[Last Price]]) *(SnapshotTable[[#This Row],[SP Qty]]*100) - SnapshotTable[[#This Row],[SP Premium]]) * - 1, "")</f>
        <v/>
      </c>
      <c r="CN68" s="76"/>
      <c r="CO68" s="339"/>
      <c r="CP68" s="4" t="str">
        <f>IF(SnapshotTable[[#This Row],[SP Is Filled]], btc_max_buyback_amount(SnapshotTable[[#This Row],[SP Fill Date]],SnapshotTable[[#This Row],[SP Exp Date]], SnapshotTable[[#This Row],[SP Book Price]]),"")</f>
        <v/>
      </c>
      <c r="CQ68" s="76"/>
      <c r="CR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8" s="153" t="str">
        <f>IF(SnapshotTable[[#This Row],[SP Is Filled]], btc_next_cutoff_date(SnapshotTable[[#This Row],[SP Fill Date]],SnapshotTable[[#This Row],[SP Exp Date]]),"")</f>
        <v/>
      </c>
      <c r="CT68" s="220" t="str" cm="1">
        <f t="array" ref="CT68">IF(SnapshotTable[[#This Row],[SP Is Filled]], btc_should_buy_back(SnapshotTable[[#This Row],[SP Fill Date]], SnapshotTable[[#This Row],[SP Exp Date]], SnapshotTable[[#This Row],[SP Book Price]], SnapshotTable[[#This Row],[SP Current Ask]], MockToday, SnapshotTable[[#This Row],[SP Buyback Override]]),"")</f>
        <v/>
      </c>
      <c r="CU68" s="141"/>
      <c r="CV68" s="220"/>
      <c r="CW68" s="348" t="str">
        <f>IF(ISNUMBER( SnapshotTable[[#This Row],[SP Term]]), SnapshotTable[[#This Row],[SP Exp Date]] - MockToday,"")</f>
        <v/>
      </c>
      <c r="CX68" s="31" t="str">
        <f>IF(SnapshotTable[[#This Row],[SP Is Filled]],SnapshotTable[[#This Row],[SP Buyback Price to Use]] * 100 * SnapshotTable[[#This Row],[SP Qty]], "")</f>
        <v/>
      </c>
      <c r="CY68" s="4" t="str">
        <f>IF(ISNUMBER(SnapshotTable[[#This Row],[SP Strike Price]]), SnapshotTable[[#This Row],[SP Strike Price]] * (1 - SP_MaxLoss_StrikePct), "")</f>
        <v/>
      </c>
      <c r="CZ68" s="31" t="str">
        <f>IF(ISNUMBER(SnapshotTable[[#This Row],[SP Strike  Stop Per Share]]),SnapshotTable[[#This Row],[SP Premium]] - ((SnapshotTable[[#This Row],[SP Strike Price]]-SnapshotTable[[#This Row],[SP Strike  Stop Per Share]]) *(SnapshotTable[[#This Row],[SP Qty]] * 100)),"")</f>
        <v/>
      </c>
      <c r="DA68" s="4" t="str">
        <f>IF(AND(ISNUMBER(SnapshotTable[[#This Row],[SP Premium]]),SnapshotTable[[#This Row],[SP Premium]]&gt;0), SnapshotTable[[#This Row],[SP Book Price]] * (1 + SP_MaxLoss_OptionPct), "")</f>
        <v/>
      </c>
      <c r="DB68" s="31" t="str">
        <f>IF(ISNUMBER(SnapshotTable[[#This Row],[SP Option  Stop Contract]]),(SnapshotTable[[#This Row],[SP Option  Stop Contract]] *(SnapshotTable[[#This Row],[SP Qty]] * 100) - SnapshotTable[[#This Row],[SP Premium]]),"")</f>
        <v/>
      </c>
      <c r="DC68" s="4"/>
      <c r="DD68" s="4"/>
      <c r="DE68" s="4" t="str">
        <f>IF(AND(SnapshotTable[[#This Row],[SP Qty]]&gt;0, SnapshotTable[[#This Row],[SP Stop To Use]]&gt;0),SnapshotTable[[#This Row],[SP Premium]] - ( SnapshotTable[[#This Row],[SP Qty]] * SnapshotTable[[#This Row],[SP Stop To Use]] * 100), "")</f>
        <v/>
      </c>
      <c r="DF68" s="31" t="str">
        <f>IF(AND(SnapshotTable[[#This Row],[SP Qty]]&gt;0,SnapshotTable[[#This Row],[SP Current Ask]]&gt;0), SnapshotTable[[#This Row],[SP Qty]] * SnapshotTable[[#This Row],[SP Current Ask]] * -100, "")</f>
        <v/>
      </c>
      <c r="DG68" s="31" t="str">
        <f>IF(ISNUMBER((SnapshotTable[[#This Row],[SP Total Value]])), SnapshotTable[[#This Row],[SP Premium]] + SnapshotTable[[#This Row],[SP Total Value]], "")</f>
        <v/>
      </c>
      <c r="DH68" s="272" t="str">
        <f>IF(ISNUMBER((SnapshotTable[[#This Row],[SP Total Value]])), SnapshotTable[[#This Row],[SP Gain Loss]] / SnapshotTable[[#This Row],[SP Premium]], "")</f>
        <v/>
      </c>
      <c r="DI68" s="369"/>
      <c r="DJ68" s="136"/>
      <c r="DK68" s="146"/>
      <c r="DL68" s="13"/>
      <c r="DM68" s="13"/>
      <c r="DO68" s="31">
        <f>IF(SnapshotTable[[#This Row],[LC Symbol Count]]=1, SnapshotTable[[#This Row],[LC Qty]] * SnapshotTable[[#This Row],[LC Book Price]] * 100, 0)</f>
        <v>0</v>
      </c>
      <c r="DP68" s="161" t="str">
        <f>IF(AND(SnapshotTable[[#This Row],[LC Exp Date]]&gt;0, SnapshotTable[[#This Row],[LC Strike Price]]&gt;0,SnapshotTable[[#This Row],[LC Qty]]&gt;0,SnapshotTable[[#This Row],[LC Book Date]]&gt;0,SnapshotTable[[#This Row],[LC Book Price]]&gt;0,SnapshotTable[[#This Row],[LC Fill Date]]=0),"Y","")</f>
        <v/>
      </c>
      <c r="DQ68" s="356" t="str">
        <f>IF(SnapshotTable[[#This Row],[LC Premium]] &gt; 0,SnapshotTable[[#This Row],[LC Exp Date]]-MAX(SnapshotTable[[#This Row],[LC Book Date]], SnapshotTable[[#This Row],[LC Fill Date]]),"")</f>
        <v/>
      </c>
      <c r="DR68" s="356" t="str">
        <f>IF(ISNUMBER(SnapshotTable[[#This Row],[LC Term]]), SnapshotTable[[#This Row],[LC Exp Date]] - MockToday, "")</f>
        <v/>
      </c>
      <c r="DS68" s="219" t="str">
        <f>IF(SnapshotTable[[#This Row],[LC Premium]]&gt;0,SnapshotTable[[#This Row],[LC Strike Price]] + SnapshotTable[[#This Row],[LC Book Price]],"")</f>
        <v/>
      </c>
      <c r="DU68" s="9" t="str">
        <f>IF(AND(SnapshotTable[[#This Row],[LC Symbol Count]]&gt;0, SnapshotTable[[#This Row],[LC Contract Value]]&gt;0), SnapshotTable[[#This Row],[LC Contract Value]] * SnapshotTable[[#This Row],[LC Qty]] * 100, "")</f>
        <v/>
      </c>
      <c r="DV68" s="9" t="str">
        <f>IF(AND(ISNUMBER(SnapshotTable[[#This Row],[LC Total Value]]), SnapshotTable[[#This Row],[LC Not Filled]]&lt;&gt;"Y"), SnapshotTable[[#This Row],[LC Total Value]]-SnapshotTable[[#This Row],[LC Premium]],"")</f>
        <v/>
      </c>
      <c r="DW68" s="225" t="str">
        <f>IF(ISNUMBER(SnapshotTable[[#This Row],[LC Actual Gain Loss]]), SnapshotTable[[#This Row],[LC Actual Gain Loss]] / SnapshotTable[[#This Row],[LC Premium]],"")</f>
        <v/>
      </c>
      <c r="DX68" s="269" t="str">
        <f>IF(ISNUMBER(SnapshotTable[[#This Row],[LC Book Price]]),SnapshotTable[[#This Row],[LC Book Price]] * 1.5,"")</f>
        <v/>
      </c>
      <c r="DY68" s="250" t="str">
        <f>IF(SnapshotTable[[#This Row],[LC Premium]]&gt;0, SnapshotTable[[#This Row],[LC Next Target]] * SnapshotTable[[#This Row],[LC Qty]] * 100,"")</f>
        <v/>
      </c>
      <c r="DZ68" s="250" t="str">
        <f>IF(ISNUMBER(SnapshotTable[[#This Row],[LC Target Gross]]), SnapshotTable[[#This Row],[LC Target Gross]] - SnapshotTable[[#This Row],[LC Premium]], "")</f>
        <v/>
      </c>
      <c r="EA68" s="283" t="str">
        <f>IF(ISNUMBER(SnapshotTable[[#This Row],[LC Target Gain Loss]]), SnapshotTable[[#This Row],[LC Target Gain Loss]]/SnapshotTable[[#This Row],[LC Premium]], "")</f>
        <v/>
      </c>
      <c r="EB68" s="247"/>
      <c r="EC68" s="268" t="str">
        <f>IF(SnapshotTable[[#This Row],[LC Premium]]&gt;0, SnapshotTable[[#This Row],[LC Book Price]] * (1 - LC_StopLoss_Pct),"")</f>
        <v/>
      </c>
      <c r="ED68" s="269"/>
      <c r="EE68" s="268" t="str">
        <f>IF(ISNUMBER(SnapshotTable[[#This Row],[LC Contract Value]]),IF(ISNUMBER(SnapshotTable[[#This Row],[LC Stop Loss Override]]), SnapshotTable[[#This Row],[LC Stop Loss Override]],SnapshotTable[[#This Row],[LC Stop Loss Calc Target]]),"")</f>
        <v/>
      </c>
      <c r="EF68" s="31" t="str">
        <f>IF(ISNUMBER(SnapshotTable[[#This Row],[LC Stop  To Use]]), (SnapshotTable[[#This Row],[LC Stop  To Use]] * SnapshotTable[[#This Row],[LC Qty]] * 100),"")</f>
        <v/>
      </c>
      <c r="EG68" s="9" t="str">
        <f>IF(ISNUMBER(SnapshotTable[[#This Row],[LC Total Value]]),SnapshotTable[[#This Row],[LC Stop Loss Amount]] - SnapshotTable[[#This Row],[LC Premium]],"")</f>
        <v/>
      </c>
      <c r="EH68" s="9">
        <f>IF(ISNUMBER(SnapshotTable[[#This Row],[LC Premium]]), SnapshotTable[[#This Row],[LC Qty]] * 100 * SnapshotTable[[#This Row],[LC Strike Price]], "")</f>
        <v>0</v>
      </c>
      <c r="EI68" s="225" t="str">
        <f>IF(AND(ISNUMBER(SnapshotTable[[#This Row],[LC Total Value]]),SnapshotTable[[#This Row],[LC Total Value]]&gt;0),SnapshotTable[[#This Row],[LC Stop Gain Loss]]  / SnapshotTable[[#This Row],[LC Premium]],"")</f>
        <v/>
      </c>
      <c r="EJ68" s="35">
        <f>IF(ISNUMBER(SnapshotTable[[#This Row],[Equity Shares]]),TRUNC(SnapshotTable[[#This Row],[Equity Shares]] / 100),0) + SnapshotTable[[#This Row],[LC Qty]]</f>
        <v>0</v>
      </c>
      <c r="EK68" s="145"/>
      <c r="EL68" s="136"/>
      <c r="EM68" s="146"/>
      <c r="EN68" s="145"/>
      <c r="EO68" s="145"/>
      <c r="EP68" s="136"/>
      <c r="EQ68" s="382" t="b">
        <f>AND(ISNUMBER(SnapshotTable[[#This Row],[SC Exp Date]]), ISNUMBER(SnapshotTable[[#This Row],[SC Strike Price]]), ISNUMBER(SnapshotTable[[#This Row],[SC Qty]]), ISNUMBER(SnapshotTable[[#This Row],[SC Book Date]]), ISNUMBER(SnapshotTable[[#This Row],[SC Book Price]]))</f>
        <v>0</v>
      </c>
      <c r="ER68" s="382" t="b">
        <f>AND(SnapshotTable[[#This Row],[SC Is Booked]], NOT(ISBLANK(SnapshotTable[[#This Row],[SC Fill Date]])))</f>
        <v>0</v>
      </c>
      <c r="ES68" s="340"/>
      <c r="ET68" s="34" t="str">
        <f>IF(AND(ISNUMBER(SnapshotTable[[#This Row],[SC Exp Date]]), ISNUMBER(SnapshotTable[[#This Row],[SC Book Date]])), SnapshotTable[[#This Row],[SC Exp Date]] - MAX(SnapshotTable[[#This Row],[SC Book Date]], SnapshotTable[[#This Row],[SC Fill Date]]) + 1, "")</f>
        <v/>
      </c>
      <c r="EU68" s="34" t="str">
        <f>IF(ISNUMBER(SnapshotTable[[#This Row],[SC Term]]), SnapshotTable[[#This Row],[SC Exp Date]]- MockToday, "")</f>
        <v/>
      </c>
      <c r="EV68" s="31">
        <f>IF(SnapshotTable[[#This Row],[SC Is Booked]], SnapshotTable[[#This Row],[SC Qty]] * SnapshotTable[[#This Row],[SC Book Price]] * 100, 0)</f>
        <v>0</v>
      </c>
      <c r="EW68" s="4" t="str">
        <f>IF(AND(ISNUMBER(SnapshotTable[[#This Row],[Last Price]]), ISNUMBER( SnapshotTable[[#This Row],[SC Book Price]])), SnapshotTable[[#This Row],[Last Price]] - SnapshotTable[[#This Row],[SC Book Price]],"")</f>
        <v/>
      </c>
      <c r="EX68" s="219" t="str">
        <f>IF(SnapshotTable[[#This Row],[SC Is Booked]],IF(SnapshotTable[[#This Row],[SC Intrinsic Value]] &gt; 0, SnapshotTable[[#This Row],[SC Strike Price]], SnapshotTable[[#This Row],[Last Price]]), "")</f>
        <v/>
      </c>
      <c r="EY68" s="4">
        <f>IF(SnapshotTable[[#This Row],[SC Is Booked]], (MinimumPremiumRequired * SnapshotTable[[#This Row],[SC Basis]] * SnapshotTable[[#This Row],[SC Term]]), 0)</f>
        <v>0</v>
      </c>
      <c r="EZ68" s="268"/>
      <c r="FA68" s="204"/>
      <c r="FB68" s="340"/>
      <c r="FC68" s="4">
        <f>IF(SnapshotTable[[#This Row],[SC Is Filled]], btc_max_buyback_amount(SnapshotTable[[#This Row],[SC Fill Date]],SnapshotTable[[#This Row],[SC Exp Date]], SnapshotTable[[#This Row],[SC Book Price]]),0)</f>
        <v>0</v>
      </c>
      <c r="FD68" s="5"/>
      <c r="FE68" s="142" t="str">
        <f>IF(SnapshotTable[[#This Row],[SC Is Filled]], btc_next_cutoff_date(SnapshotTable[[#This Row],[SC Fill Date]],SnapshotTable[[#This Row],[SC Exp Date]]),"")</f>
        <v/>
      </c>
      <c r="FF68" s="4" t="str" cm="1">
        <f t="array" ref="FF68">IF(SnapshotTable[[#This Row],[SC Is Filled]], btc_should_buy_back(SnapshotTable[[#This Row],[SC Fill Date]], SnapshotTable[[#This Row],[SC Exp Date]], SnapshotTable[[#This Row],[SC Book Price]], SnapshotTable[[#This Row],[SC Current Ask]], MockToday, SnapshotTable[[#This Row],[SC Buyback Override]]),"")</f>
        <v/>
      </c>
      <c r="FG68" s="4">
        <f>IF(SnapshotTable[[#This Row],[SC Is Filled]], MAX(0,SnapshotTable[[#This Row],[Last Price]]  - SnapshotTable[[#This Row],[SC Strike Price]]), 0)</f>
        <v>0</v>
      </c>
      <c r="FH68" s="352">
        <f>IF(SnapshotTable[[#This Row],[SC Is Filled]], IF(ISNUMBER(SnapshotTable[[#This Row],[SC Current Ask]]), SnapshotTable[[#This Row],[SC Current Ask]], SnapshotTable[[#This Row],[SC Book Price]]) - SnapshotTable[[#This Row],[SC Intrinsic Value]], 0)</f>
        <v>0</v>
      </c>
      <c r="FI68" s="141"/>
      <c r="FJ68" s="32" t="str">
        <f>IF(SnapshotTable[[#This Row],[SC Is Filled]],100 * SnapshotTable[[#This Row],[SC Qty]] * IF(ISNUMBER(SnapshotTable[[#This Row],[SC Buyback Override]]), SnapshotTable[[#This Row],[SC Buyback Override]], SnapshotTable[[#This Row],[SC Current Ask]]), "")</f>
        <v/>
      </c>
      <c r="FK68" s="235" t="str">
        <f>IF(SnapshotTable[[#This Row],[SC Time Val]]&gt;0, SnapshotTable[[#This Row],[SC Time Val]] / SnapshotTable[[#This Row],[Last Price]],"")</f>
        <v/>
      </c>
      <c r="FL68" s="280" t="str">
        <f>IF(SnapshotTable[[#This Row],[SC Is Booked]], ((SnapshotTable[[#This Row],[Last Price]] -SnapshotTable[[#This Row],[SC Strike Price]]) / SnapshotTable[[#This Row],[Last Price]]) * -1, "")</f>
        <v/>
      </c>
      <c r="FM68" s="155" t="str">
        <f>IF(SnapshotTable[[#This Row],[SC Is Booked]],  (SnapshotTable[[#This Row],[SC Qty]] * 100 * SnapshotTable[[#This Row],[SC Strike Price]]) - SnapshotTable[[#This Row],[SC Current Ask]], "")</f>
        <v/>
      </c>
      <c r="FN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8" s="31" t="str">
        <f>IF(AND(ISNUMBER(SnapshotTable[[#This Row],[SC Exercise Gross]]), ISNUMBER(SnapshotTable[[#This Row],[Equity Basis Per Share]] )), SnapshotTable[[#This Row],[SC Exercise Gross]] - SnapshotTable[[#This Row],[Equity Basis Total]] +  SnapshotTable[[#This Row],[SC Premium]], "")</f>
        <v/>
      </c>
      <c r="FP68" s="5" t="str">
        <f>IF(ISNUMBER(SnapshotTable[[#This Row],[SC Exercise Gross]]), (SnapshotTable[[#This Row],[SC Exercise Gross]]) / (SnapshotTable[[#This Row],[SC Qty]] * 100), "")</f>
        <v/>
      </c>
      <c r="FQ68" s="27" t="str">
        <f>IF(SnapshotTable[[#This Row],[SC Is Booked]],SnapshotTable[[#This Row],[SC Time Val]] /SnapshotTable[[#This Row],[SC Basis]], "")</f>
        <v/>
      </c>
      <c r="FR68" s="27" t="str" cm="1">
        <f t="array" ref="FR68">IF(AND(ISNUMBER(SnapshotTable[[#This Row],[SC Term]]),ISNUMBER(SnapshotTable[[#This Row],[SC Simple ROO]])), EllmanAnnualize(SnapshotTable[[#This Row],[SC DTE]], SnapshotTable[[#This Row],[SC Simple ROO]] ),"")</f>
        <v/>
      </c>
      <c r="FS68" s="4">
        <f>IF(SnapshotTable[[#This Row],[SC Strike Price]] &gt; SnapshotTable[[#This Row],[Last Price]], SnapshotTable[[#This Row],[SC Strike Price]] - SnapshotTable[[#This Row],[Last Price]],0)</f>
        <v>0</v>
      </c>
      <c r="FT68" s="27" t="str">
        <f>IF(AND(ISNUMBER(SnapshotTable[[#This Row],[SC Upside Potential]]), SnapshotTable[[#This Row],[SC Upside Potential]] &gt; 0),(SnapshotTable[[#This Row],[SC Upside Potential]]/ SnapshotTable[[#This Row],[ACB]]),"")</f>
        <v/>
      </c>
      <c r="FU68" s="304" t="str">
        <f>IF(SnapshotTable[[#This Row],[SC Intrinsic Value]] &gt; 0,SnapshotTable[[#This Row],[SC Intrinsic Value]],"")</f>
        <v/>
      </c>
      <c r="FV68" s="27" t="str">
        <f>IF(AND( ISNUMBER( SnapshotTable[[#This Row],[ACB]]),ISNUMBER(SnapshotTable[[#This Row],[SC Downside Protect]])),SnapshotTable[[#This Row],[SC Downside Protect]] / SnapshotTable[[#This Row],[ACB]],"")</f>
        <v/>
      </c>
      <c r="FW68" s="221" t="str">
        <f>IF(AND(ISNUMBER(SnapshotTable[[#This Row],[SC Simple ROO]]),SnapshotTable[[#This Row],[SC Simple ROO]] &gt; 0), SnapshotTable[[#This Row],[SC Premium]] + (SnapshotTable[[#This Row],[SC Qty]] * SnapshotTable[[#This Row],[SC Upside Potential]]), "")</f>
        <v/>
      </c>
      <c r="FX68" s="280" t="str" cm="1">
        <f t="array" ref="FX68">IF(ISNUMBER(SnapshotTable[[#This Row],[SC Max Dollars]]), annualize(SnapshotTable[[#This Row],[SC Term]],(SnapshotTable[[#This Row],[SC Max Dollars]]/SnapshotTable[[#This Row],[SC Basis]])),"")</f>
        <v/>
      </c>
      <c r="FY68" s="221" t="str">
        <f>IF(AND(SnapshotTable[[#This Row],[SC Qty]]&gt;0,SnapshotTable[[#This Row],[SC Current Ask]]&gt;0), SnapshotTable[[#This Row],[SC Qty]] * SnapshotTable[[#This Row],[SC Current Ask]] * -100, "")</f>
        <v/>
      </c>
      <c r="FZ68" s="31" t="str">
        <f>IF(ISNUMBER((SnapshotTable[[#This Row],[SC Current Value]])), SnapshotTable[[#This Row],[SC Premium]] + SnapshotTable[[#This Row],[SC Current Value]], "")</f>
        <v/>
      </c>
      <c r="GA68" s="272" t="str">
        <f>IFERROR( IF(ISNUMBER((SnapshotTable[[#This Row],[SC Current Value]])), SnapshotTable[[#This Row],[SC Gain Loss]] / SnapshotTable[[#This Row],[SC Premium]], ""), "")</f>
        <v/>
      </c>
      <c r="GB68" s="42">
        <f>SnapshotTable[[#This Row],[Equity Shares]] * SaleSharesToConsiderPercentage</f>
        <v>0</v>
      </c>
      <c r="GC68" s="40">
        <f>SnapshotTable[[#This Row],[Long Term Target]] * SellingPriceToConsiderBasedOnTargetPercentage</f>
        <v>73.862499999999997</v>
      </c>
      <c r="GD68" s="40">
        <f>SnapshotTable[[#This Row],[Last Price]] * (1+ SellingPriceToConsiderBasedOnTargetPercentage)</f>
        <v>162.006</v>
      </c>
      <c r="GE68" s="41"/>
      <c r="GF68" s="40"/>
      <c r="GG68" s="31">
        <f>SnapshotTable[[#This Row],[Booked Sale Shares]] * SnapshotTable[[#This Row],[Booked Sale Price]]</f>
        <v>0</v>
      </c>
      <c r="GH68" s="31" t="str">
        <f>IF(SnapshotTable[[#This Row],[Equity Basis Total]] &gt; 0, SnapshotTable[[#This Row],[Equity Basis Per Share]] * SnapshotTable[[#This Row],[Booked Sale Shares]], "")</f>
        <v/>
      </c>
      <c r="GI68" s="31">
        <f>IF(SnapshotTable[[#This Row],[Sale Proceeds]]&gt;0, SnapshotTable[[#This Row],[Sale Proceeds]] - SnapshotTable[[#This Row],[Sale Basis]], 0)</f>
        <v>0</v>
      </c>
      <c r="GJ68" s="27" t="str">
        <f>IF(SnapshotTable[[#This Row],[Sale G/L]]&gt;0, SnapshotTable[[#This Row],[Sale G/L]] / SnapshotTable[[#This Row],[Sale Basis]], IF(ISNUMBER(SnapshotTable[[#This Row],[SC Exercise P&amp;L (TAX)]]), SnapshotTable[[#This Row],[SC Exercise P&amp;L (TAX)]] / SnapshotTable[[#This Row],[SC Basis]], ""))</f>
        <v/>
      </c>
      <c r="GK68" s="27" t="s">
        <v>533</v>
      </c>
      <c r="GL68" s="43" t="str">
        <f>IF(AND(SnapshotTable[[#This Row],[LP Exp Date]]&gt;0,SnapshotTable[[#This Row],[LP Strike Price]]&gt;0), [1]!ToOptionSymbol(SnapshotTable[[#This Row],[Symbol]], SnapshotTable[[#This Row],[LP Strike Price]],SnapshotTable[[#This Row],[LP Exp Date]],1), "")</f>
        <v/>
      </c>
      <c r="GM68" s="30" t="str">
        <f>IF(LEN(SnapshotTable[[#This Row],[LP Symbol]])&gt;0, 1, "")</f>
        <v/>
      </c>
      <c r="GN68" s="43" t="str">
        <f>IF(AND(SnapshotTable[[#This Row],[SP Exp Date]]&gt;0,SnapshotTable[[#This Row],[SP Strike Price]]&gt;0), [1]!ToOptionSymbol(SnapshotTable[[#This Row],[Symbol]], SnapshotTable[[#This Row],[SP Strike Price]],SnapshotTable[[#This Row],[SP Exp Date]],1), "")</f>
        <v/>
      </c>
      <c r="GO68" s="30" t="str">
        <f>IF(LEN(SnapshotTable[[#This Row],[SP Symbol]])&gt;0, 1, "")</f>
        <v/>
      </c>
      <c r="GP68" s="43" t="str">
        <f>IF(AND(SnapshotTable[[#This Row],[LC Exp Date]]&gt;0,SnapshotTable[[#This Row],[LC Strike Price]]&gt;0), [1]!ToOptionSymbol(SnapshotTable[[#This Row],[Symbol]], SnapshotTable[[#This Row],[LC Strike Price]],SnapshotTable[[#This Row],[LC Exp Date]],0), "")</f>
        <v/>
      </c>
      <c r="GQ68" s="30" t="str">
        <f>IF(LEN(SnapshotTable[[#This Row],[LC Symbol]])&gt;0, 1, "")</f>
        <v/>
      </c>
      <c r="GR68" s="43" t="str">
        <f>IF(AND(SnapshotTable[[#This Row],[SC Exp Date]]&gt;0,SnapshotTable[[#This Row],[SC Strike Price]]&gt;0), [1]!ToOptionSymbol(SnapshotTable[[#This Row],[Symbol]], SnapshotTable[[#This Row],[SC Strike Price]],SnapshotTable[[#This Row],[SC Exp Date]],0), "")</f>
        <v/>
      </c>
      <c r="GS68" s="30" t="str">
        <f>IF(LEN(SnapshotTable[[#This Row],[SC Symbol]])&gt;0, 1, "")</f>
        <v/>
      </c>
      <c r="GT68" s="29" t="str">
        <f>IF(COUNT(SnapshotTable[[#This Row],[LP Symbol Count]],SnapshotTable[[#This Row],[SP Symbol Count]],SnapshotTable[[#This Row],[LC Symbol Count]],SnapshotTable[[#This Row],[SC Symbol Count]])&gt;0, "Y", "")</f>
        <v/>
      </c>
      <c r="GU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8" s="216">
        <f>MAX(SnapshotTable[[#This Row],[Equity Basis Total]],SnapshotTable[[#This Row],[Equity Value]]) + (SnapshotTable[[#This Row],[SP Potential Spend]]- SnapshotTable[[#This Row],[SP Premium]] + SnapshotTable[[#This Row],[LP Premium]])+ (SnapshotTable[[#This Row],[LC Premium]] - SnapshotTable[[#This Row],[SC Premium]])</f>
        <v>0</v>
      </c>
      <c r="GW68" s="137" t="str">
        <f>IF(AND(SnapshotTable[[#This Row],[Exposure]] &lt;&gt; 0),SnapshotTable[[#This Row],[Exposure]] / SnapshotTable[[#Totals],[Exposure]], "")</f>
        <v/>
      </c>
      <c r="HE68" s="253"/>
      <c r="HF68" s="253"/>
      <c r="HK68" s="1"/>
      <c r="HL68" s="1"/>
      <c r="HM68" s="1"/>
      <c r="HN68" s="1"/>
      <c r="HO68" s="1"/>
      <c r="HP68" s="1"/>
    </row>
    <row r="69" spans="2:224" ht="12.75" hidden="1" customHeight="1" x14ac:dyDescent="0.25">
      <c r="B69" s="12" t="s">
        <v>440</v>
      </c>
      <c r="C69" s="385">
        <v>353.98</v>
      </c>
      <c r="D69" s="200"/>
      <c r="E69" s="39">
        <f>SnapshotTable[[#This Row],[Last Price]]*(1 -CrashDiscount)</f>
        <v>300.88299999999998</v>
      </c>
      <c r="F69" s="26" t="s">
        <v>87</v>
      </c>
      <c r="G69" s="26" t="s">
        <v>10</v>
      </c>
      <c r="H69" s="147"/>
      <c r="I69" s="186">
        <v>44798.28125</v>
      </c>
      <c r="J69" s="187">
        <v>44798.28125</v>
      </c>
      <c r="K69" s="188"/>
      <c r="L69" s="297"/>
      <c r="M69" s="138"/>
      <c r="N69" s="138"/>
      <c r="O69" s="138"/>
      <c r="P69" s="22"/>
      <c r="Q69" s="25"/>
      <c r="R69" s="4" t="str">
        <f>IF(SnapshotTable[[#This Row],[Equity Basis Total]] &gt; 0, SnapshotTable[[#This Row],[Equity Basis Total]] / SnapshotTable[[#This Row],[Equity Shares]], "")</f>
        <v/>
      </c>
      <c r="S69" s="254">
        <f>SnapshotTable[[#This Row],[Last Price]] * SnapshotTable[[#This Row],[Equity Shares]]</f>
        <v>0</v>
      </c>
      <c r="T69" s="254">
        <f>SnapshotTable[[#This Row],[Equity Value]] - SnapshotTable[[#This Row],[Equity Basis Total]]</f>
        <v>0</v>
      </c>
      <c r="U69" s="255" t="str">
        <f>IF(SnapshotTable[[#This Row],[Equity Basis Total]] &gt; 0, SnapshotTable[[#This Row],[Equity G/L]] / SnapshotTable[[#This Row],[Equity Basis Total]], "")</f>
        <v/>
      </c>
      <c r="V69" s="253"/>
      <c r="W69" s="253"/>
      <c r="X69" s="4" t="str">
        <f>IF(AND(ISNUMBER(SnapshotTable[[#This Row],[Equity Basis Per Share]]),ISNUMBER(SnapshotTable[[#This Row],[Equity Target]])),SnapshotTable[[#This Row],[Equity Target]]-SnapshotTable[[#This Row],[Equity Basis Per Share]],"")</f>
        <v/>
      </c>
      <c r="Y69" s="4" t="str">
        <f>IF(AND(ISNUMBER(SnapshotTable[[#This Row],[Equity Basis Per Share]]),ISNUMBER(SnapshotTable[[#This Row],[Equity Stop Loss]])),SnapshotTable[[#This Row],[Equity Stop Loss]]-SnapshotTable[[#This Row],[Equity Basis Per Share]],"")</f>
        <v/>
      </c>
      <c r="Z69" s="260" t="str">
        <f>IFERROR( TEXT(SnapshotTable[[#This Row],[Equity Max Gain Per Share]] /ABS( SnapshotTable[[#This Row],[Equity Max Loss Per Share]]),"0.0 " ) &amp; " : 1", "")</f>
        <v/>
      </c>
      <c r="AA69" s="31" t="str">
        <f>IF(ISNUMBER(SnapshotTable[[#This Row],[Equity Max Gain Per Share]]),SnapshotTable[[#This Row],[Equity Max Gain Per Share]] * SnapshotTable[[#This Row],[Equity Shares]],"")</f>
        <v/>
      </c>
      <c r="AB69" s="31" t="str">
        <f>IF(ISNUMBER(SnapshotTable[[#This Row],[Equity Max Loss Per Share]]),SnapshotTable[[#This Row],[Equity Max Loss Per Share]] * SnapshotTable[[#This Row],[Equity Shares]],"")</f>
        <v/>
      </c>
      <c r="AC69" s="148"/>
      <c r="AD69" s="149"/>
      <c r="AE69" s="31">
        <f>(SnapshotTable[[#This Row],[Annual Dividend Per Share]] / 4) * SnapshotTable[[#This Row],[Equity Shares]]</f>
        <v>0</v>
      </c>
      <c r="AF69" s="31">
        <f>SnapshotTable[[#This Row],[Quarterly Div $]] * 4</f>
        <v>0</v>
      </c>
      <c r="AG69" s="7">
        <f>IF(SnapshotTable[[#This Row],[Annual Dividend Per Share]]&gt;0, SnapshotTable[[#This Row],[Annual Dividend Per Share]]  / SnapshotTable[[#This Row],[Last Price]], 0)</f>
        <v>0</v>
      </c>
      <c r="AH69" s="149"/>
      <c r="AI69" s="5">
        <v>220</v>
      </c>
      <c r="AJ69" s="136">
        <v>269.67</v>
      </c>
      <c r="AK69" s="150">
        <f>IF(ISNUMBER( SnapshotTable[[#This Row],[EBF Target]]),(SnapshotTable[[#This Row],[EBF Target]] - SnapshotTable[[#This Row],[Last Price]]) / SnapshotTable[[#This Row],[Last Price]], "")</f>
        <v>-0.37849596022374149</v>
      </c>
      <c r="AL69" s="150" t="str">
        <f>IF(AND(SnapshotTable[[#This Row],[Equity Basis Total]] &gt; 0,ISNUMBER( SnapshotTable[[#This Row],[Long Term Target]])), SnapshotTable[[#This Row],[From Basis $]] / SnapshotTable[[#This Row],[Equity Basis Total]], "")</f>
        <v/>
      </c>
      <c r="AM69" s="9">
        <f>IF( AND(SnapshotTable[[#This Row],[Equity Shares]] &gt;0,ISNUMBER( SnapshotTable[[#This Row],[Long Term Target]])),(SnapshotTable[[#This Row],[Equity Shares]] * SnapshotTable[[#This Row],[Long Term Target]]) - SnapshotTable[[#This Row],[Equity Basis Total]],0)</f>
        <v>0</v>
      </c>
      <c r="AN69" s="9">
        <f>IF( AND(SnapshotTable[[#This Row],[Equity Shares]] &gt;0,ISNUMBER( SnapshotTable[[#This Row],[Long Term Target]])),(SnapshotTable[[#This Row],[Equity Shares]]*SnapshotTable[[#This Row],[Long Term Target]]) - SnapshotTable[[#This Row],[Equity Value]],0)</f>
        <v>0</v>
      </c>
      <c r="AO69" s="150">
        <f>IF(AND(ISNUMBER( SnapshotTable[[#This Row],[Long Term Target]]), ISNUMBER(SnapshotTable[[#This Row],[Last Price]])),(SnapshotTable[[#This Row],[Long Term Target]] - SnapshotTable[[#This Row],[Last Price]]) / SnapshotTable[[#This Row],[Last Price]], "")</f>
        <v>-0.23817729815243799</v>
      </c>
      <c r="AP69" s="5"/>
      <c r="AQ69" s="38"/>
      <c r="AR69" s="5">
        <v>306</v>
      </c>
      <c r="AS69" s="38"/>
      <c r="AT69" s="144"/>
      <c r="AU69" s="185" t="str">
        <f>IF(OR(SnapshotTable[[#This Row],[LP No Fill]]="Y",SnapshotTable[[#This Row],[SP Is Filled]],SnapshotTable[[#This Row],[LC Not Filled]]="Y",SnapshotTable[[#This Row],[SC Is Filled]]),"Y","")</f>
        <v/>
      </c>
      <c r="AV69" s="205"/>
      <c r="AW69" s="211"/>
      <c r="AX69" s="206"/>
      <c r="AY69" s="205" t="str">
        <f>IF(SnapshotTable[[#This Row],[Implied Move]]&gt;0, SnapshotTable[[#This Row],[Last Price]]-SnapshotTable[[#This Row],[Implied Move]],"")</f>
        <v/>
      </c>
      <c r="AZ69" s="205" t="str">
        <f>IF(SnapshotTable[[#This Row],[Implied Move]]&gt;0, SnapshotTable[[#This Row],[Last Price]] + SnapshotTable[[#This Row],[Implied Move]],"")</f>
        <v/>
      </c>
      <c r="BA69" s="302"/>
      <c r="BB69" s="318"/>
      <c r="BC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69" s="321"/>
      <c r="BE69" s="5"/>
      <c r="BF69" s="14"/>
      <c r="BG69" s="13"/>
      <c r="BH69" s="13"/>
      <c r="BI69" s="5"/>
      <c r="BJ69" s="134">
        <f>IF(SnapshotTable[[#This Row],[LP Qty]] &gt; 0, SnapshotTable[[#This Row],[LP Qty]] * SnapshotTable[[#This Row],[LP Book Price]] * 100,0)</f>
        <v>0</v>
      </c>
      <c r="BK69" s="134">
        <f>IF(SnapshotTable[[#This Row],[LP Premium]] &gt; 0, SnapshotTable[[#This Row],[LP Qty]] * SnapshotTable[[#This Row],[LP Strike Price]] * 100,0)</f>
        <v>0</v>
      </c>
      <c r="BL69" s="152"/>
      <c r="BM69" s="355" t="str">
        <f>IF(SnapshotTable[[#This Row],[LP Premium]] &gt; 0,SnapshotTable[[#This Row],[LP Exp Date]]-MAX(SnapshotTable[[#This Row],[LP Book Date]], SnapshotTable[[#This Row],[LP Fill Date]]),"")</f>
        <v/>
      </c>
      <c r="BN69" s="355" t="str">
        <f>IF(ISNUMBER( SnapshotTable[[#This Row],[LP Term]]), SnapshotTable[[#This Row],[LP Exp Date]] - MockToday,"")</f>
        <v/>
      </c>
      <c r="BO69" s="161" t="str">
        <f>IF(AND(SnapshotTable[[#This Row],[LP Exp Date]]&gt;0, SnapshotTable[[#This Row],[LP Strike Price]]&gt;0,SnapshotTable[[#This Row],[LP Qty]]&gt;0,SnapshotTable[[#This Row],[LP Book Date]]&gt;0,SnapshotTable[[#This Row],[LP Book Price]]&gt;0,SnapshotTable[[#This Row],[LP Fill Date]]=0),"Y","")</f>
        <v/>
      </c>
      <c r="BP69" s="31" t="str">
        <f>IF(AND(SnapshotTable[[#This Row],[LP No Fill]]&lt;&gt;"Y",SnapshotTable[[#This Row],[LP Contract Value]]&gt;0, SnapshotTable[[#This Row],[LP Qty]]&gt;0), SnapshotTable[[#This Row],[LP Contract Value]]*SnapshotTable[[#This Row],[LP Qty]]*100,"")</f>
        <v/>
      </c>
      <c r="BQ69" s="13"/>
      <c r="BR69" s="5"/>
      <c r="BS69" s="36"/>
      <c r="BT69" s="145"/>
      <c r="BU69" s="13"/>
      <c r="BV69" s="5"/>
      <c r="BW69" s="382" t="b">
        <f>AND(ISNUMBER(SnapshotTable[[#This Row],[SP Exp Date]]), ISNUMBER(SnapshotTable[[#This Row],[SP Strike Price]]), ISNUMBER(SnapshotTable[[#This Row],[SP Qty]]), ISNUMBER(SnapshotTable[[#This Row],[SP Book Date]]), ISNUMBER(SnapshotTable[[#This Row],[SP Book Price]]))</f>
        <v>0</v>
      </c>
      <c r="BX69" s="382" t="b">
        <f>AND(SnapshotTable[[#This Row],[SP Is Booked]], NOT(ISBLANK(SnapshotTable[[#This Row],[SP Fill Date]])))</f>
        <v>0</v>
      </c>
      <c r="BY69" s="33">
        <f>IF(SnapshotTable[[#This Row],[SP Is Booked]], SnapshotTable[[#This Row],[SP Qty]] * SnapshotTable[[#This Row],[SP Book Price]] * 100, 0)</f>
        <v>0</v>
      </c>
      <c r="BZ69" s="339"/>
      <c r="CA69" s="338">
        <f>SnapshotTable[[#This Row],[LP Qty]]</f>
        <v>0</v>
      </c>
      <c r="CB69" s="4" t="str">
        <f>IF(SnapshotTable[[#This Row],[SP Is Booked]], SnapshotTable[[#This Row],[SP Strike Price]] - SnapshotTable[[#This Row],[SP Book Price]], "")</f>
        <v/>
      </c>
      <c r="CC69" s="19" t="str">
        <f>IF(SnapshotTable[[#This Row],[SP Is Booked]],SnapshotTable[[#This Row],[SP Exp Date]]-MAX(SnapshotTable[[#This Row],[SP Book Date]], SnapshotTable[[#This Row],[SP Fill Date]]),"")</f>
        <v/>
      </c>
      <c r="CD69" s="7" t="str">
        <f>IF(SnapshotTable[[#This Row],[SP Is Booked]], SnapshotTable[[#This Row],[SP Book Price]]/SnapshotTable[[#This Row],[SP Strike Price]], "")</f>
        <v/>
      </c>
      <c r="CE69" s="7" t="str">
        <f>IF(ISNUMBER(SnapshotTable[[#This Row],[SP ROO Term]]),SnapshotTable[[#This Row],[SP ROO Term]]*(365/SnapshotTable[[#This Row],[SP Term]]),"")</f>
        <v/>
      </c>
      <c r="CF69" s="221">
        <f>SnapshotTable[[#This Row],[LP Strike Price]] * SnapshotTable[[#This Row],[LP Qty]] * 100</f>
        <v>0</v>
      </c>
      <c r="CG69" s="31">
        <f>IF(ISNUMBER(SnapshotTable[[#This Row],[SP Premium]]), (SnapshotTable[[#This Row],[SP Qty]] * SnapshotTable[[#This Row],[SP Strike Price]]* 100) - SnapshotTable[[#This Row],[LP Protection]], 0)</f>
        <v>0</v>
      </c>
      <c r="CH69" s="7" t="str">
        <f>IF(ISNUMBER(SnapshotTable[[#This Row],[SP Break Even]]),-1 * (SnapshotTable[[#This Row],[SP Break Even]] - SnapshotTable[[#This Row],[Last Price]]) / SnapshotTable[[#This Row],[Last Price]], "")</f>
        <v/>
      </c>
      <c r="CI69" s="31">
        <f>IF(AND(ISNUMBER((SnapshotTable[[#This Row],[SP Potential Spend]])), SnapshotTable[[#This Row],[SP Strike Price]] &gt; SnapshotTable[[#This Row],[Last Price]], SnapshotTable[[#This Row],[SP Is Filled]]), SnapshotTable[[#This Row],[SP Potential Spend]] -  SnapshotTable[[#This Row],[LP Max Value]], 0)</f>
        <v>0</v>
      </c>
      <c r="CJ69" s="229"/>
      <c r="CK69" s="31">
        <f>IF(ISNUMBER(SnapshotTable[[#This Row],[SP Potential Spend]]),IF(ISNUMBER(SnapshotTable[[#This Row],[SP POW]]), SnapshotTable[[#This Row],[SP POW]] * SnapshotTable[[#This Row],[SP Potential Spend]], SnapshotTable[[#This Row],[SP Potential Spend]]), "")</f>
        <v>0</v>
      </c>
      <c r="CL69" s="162">
        <f>IF(NOT(SnapshotTable[[#This Row],[SP Is Filled]]),(SnapshotTable[[#This Row],[SP Qty]] * SnapshotTable[[#This Row],[SP Strike Price]] * 100) - SnapshotTable[[#This Row],[LP Max Value]],"")</f>
        <v>0</v>
      </c>
      <c r="CM69" s="31" t="str">
        <f>IF(SnapshotTable[[#This Row],[SP Actual Spend]]&lt;&gt;0, ((SnapshotTable[[#This Row],[SP Strike Price]]-SnapshotTable[[#This Row],[Last Price]]) *(SnapshotTable[[#This Row],[SP Qty]]*100) - SnapshotTable[[#This Row],[SP Premium]]) * - 1, "")</f>
        <v/>
      </c>
      <c r="CN69" s="76"/>
      <c r="CO69" s="339"/>
      <c r="CP69" s="4" t="str">
        <f>IF(SnapshotTable[[#This Row],[SP Is Filled]], btc_max_buyback_amount(SnapshotTable[[#This Row],[SP Fill Date]],SnapshotTable[[#This Row],[SP Exp Date]], SnapshotTable[[#This Row],[SP Book Price]]),"")</f>
        <v/>
      </c>
      <c r="CQ69" s="76"/>
      <c r="CR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69" s="153" t="str">
        <f>IF(SnapshotTable[[#This Row],[SP Is Filled]], btc_next_cutoff_date(SnapshotTable[[#This Row],[SP Fill Date]],SnapshotTable[[#This Row],[SP Exp Date]]),"")</f>
        <v/>
      </c>
      <c r="CT69" s="220" t="str" cm="1">
        <f t="array" ref="CT69">IF(SnapshotTable[[#This Row],[SP Is Filled]], btc_should_buy_back(SnapshotTable[[#This Row],[SP Fill Date]], SnapshotTable[[#This Row],[SP Exp Date]], SnapshotTable[[#This Row],[SP Book Price]], SnapshotTable[[#This Row],[SP Current Ask]], MockToday, SnapshotTable[[#This Row],[SP Buyback Override]]),"")</f>
        <v/>
      </c>
      <c r="CU69" s="141"/>
      <c r="CV69" s="220"/>
      <c r="CW69" s="348" t="str">
        <f>IF(ISNUMBER( SnapshotTable[[#This Row],[SP Term]]), SnapshotTable[[#This Row],[SP Exp Date]] - MockToday,"")</f>
        <v/>
      </c>
      <c r="CX69" s="31" t="str">
        <f>IF(SnapshotTable[[#This Row],[SP Is Filled]],SnapshotTable[[#This Row],[SP Buyback Price to Use]] * 100 * SnapshotTable[[#This Row],[SP Qty]], "")</f>
        <v/>
      </c>
      <c r="CY69" s="4" t="str">
        <f>IF(ISNUMBER(SnapshotTable[[#This Row],[SP Strike Price]]), SnapshotTable[[#This Row],[SP Strike Price]] * (1 - SP_MaxLoss_StrikePct), "")</f>
        <v/>
      </c>
      <c r="CZ69" s="31" t="str">
        <f>IF(ISNUMBER(SnapshotTable[[#This Row],[SP Strike  Stop Per Share]]),SnapshotTable[[#This Row],[SP Premium]] - ((SnapshotTable[[#This Row],[SP Strike Price]]-SnapshotTable[[#This Row],[SP Strike  Stop Per Share]]) *(SnapshotTable[[#This Row],[SP Qty]] * 100)),"")</f>
        <v/>
      </c>
      <c r="DA69" s="4" t="str">
        <f>IF(AND(ISNUMBER(SnapshotTable[[#This Row],[SP Premium]]),SnapshotTable[[#This Row],[SP Premium]]&gt;0), SnapshotTable[[#This Row],[SP Book Price]] * (1 + SP_MaxLoss_OptionPct), "")</f>
        <v/>
      </c>
      <c r="DB69" s="31" t="str">
        <f>IF(ISNUMBER(SnapshotTable[[#This Row],[SP Option  Stop Contract]]),(SnapshotTable[[#This Row],[SP Option  Stop Contract]] *(SnapshotTable[[#This Row],[SP Qty]] * 100) - SnapshotTable[[#This Row],[SP Premium]]),"")</f>
        <v/>
      </c>
      <c r="DC69" s="4"/>
      <c r="DD69" s="4"/>
      <c r="DE69" s="4" t="str">
        <f>IF(AND(SnapshotTable[[#This Row],[SP Qty]]&gt;0, SnapshotTable[[#This Row],[SP Stop To Use]]&gt;0),SnapshotTable[[#This Row],[SP Premium]] - ( SnapshotTable[[#This Row],[SP Qty]] * SnapshotTable[[#This Row],[SP Stop To Use]] * 100), "")</f>
        <v/>
      </c>
      <c r="DF69" s="31" t="str">
        <f>IF(AND(SnapshotTable[[#This Row],[SP Qty]]&gt;0,SnapshotTable[[#This Row],[SP Current Ask]]&gt;0), SnapshotTable[[#This Row],[SP Qty]] * SnapshotTable[[#This Row],[SP Current Ask]] * -100, "")</f>
        <v/>
      </c>
      <c r="DG69" s="31" t="str">
        <f>IF(ISNUMBER((SnapshotTable[[#This Row],[SP Total Value]])), SnapshotTable[[#This Row],[SP Premium]] + SnapshotTable[[#This Row],[SP Total Value]], "")</f>
        <v/>
      </c>
      <c r="DH69" s="272" t="str">
        <f>IF(ISNUMBER((SnapshotTable[[#This Row],[SP Total Value]])), SnapshotTable[[#This Row],[SP Gain Loss]] / SnapshotTable[[#This Row],[SP Premium]], "")</f>
        <v/>
      </c>
      <c r="DI69" s="369"/>
      <c r="DJ69" s="136"/>
      <c r="DK69" s="146"/>
      <c r="DL69" s="13"/>
      <c r="DM69" s="13"/>
      <c r="DO69" s="31">
        <f>IF(SnapshotTable[[#This Row],[LC Symbol Count]]=1, SnapshotTable[[#This Row],[LC Qty]] * SnapshotTable[[#This Row],[LC Book Price]] * 100, 0)</f>
        <v>0</v>
      </c>
      <c r="DP69" s="161" t="str">
        <f>IF(AND(SnapshotTable[[#This Row],[LC Exp Date]]&gt;0, SnapshotTable[[#This Row],[LC Strike Price]]&gt;0,SnapshotTable[[#This Row],[LC Qty]]&gt;0,SnapshotTable[[#This Row],[LC Book Date]]&gt;0,SnapshotTable[[#This Row],[LC Book Price]]&gt;0,SnapshotTable[[#This Row],[LC Fill Date]]=0),"Y","")</f>
        <v/>
      </c>
      <c r="DQ69" s="356" t="str">
        <f>IF(SnapshotTable[[#This Row],[LC Premium]] &gt; 0,SnapshotTable[[#This Row],[LC Exp Date]]-MAX(SnapshotTable[[#This Row],[LC Book Date]], SnapshotTable[[#This Row],[LC Fill Date]]),"")</f>
        <v/>
      </c>
      <c r="DR69" s="356" t="str">
        <f>IF(ISNUMBER(SnapshotTable[[#This Row],[LC Term]]), SnapshotTable[[#This Row],[LC Exp Date]] - MockToday, "")</f>
        <v/>
      </c>
      <c r="DS69" s="219" t="str">
        <f>IF(SnapshotTable[[#This Row],[LC Premium]]&gt;0,SnapshotTable[[#This Row],[LC Strike Price]] + SnapshotTable[[#This Row],[LC Book Price]],"")</f>
        <v/>
      </c>
      <c r="DU69" s="9" t="str">
        <f>IF(AND(SnapshotTable[[#This Row],[LC Symbol Count]]&gt;0, SnapshotTable[[#This Row],[LC Contract Value]]&gt;0), SnapshotTable[[#This Row],[LC Contract Value]] * SnapshotTable[[#This Row],[LC Qty]] * 100, "")</f>
        <v/>
      </c>
      <c r="DV69" s="9" t="str">
        <f>IF(AND(ISNUMBER(SnapshotTable[[#This Row],[LC Total Value]]), SnapshotTable[[#This Row],[LC Not Filled]]&lt;&gt;"Y"), SnapshotTable[[#This Row],[LC Total Value]]-SnapshotTable[[#This Row],[LC Premium]],"")</f>
        <v/>
      </c>
      <c r="DW69" s="225" t="str">
        <f>IF(ISNUMBER(SnapshotTable[[#This Row],[LC Actual Gain Loss]]), SnapshotTable[[#This Row],[LC Actual Gain Loss]] / SnapshotTable[[#This Row],[LC Premium]],"")</f>
        <v/>
      </c>
      <c r="DX69" s="269" t="str">
        <f>IF(ISNUMBER(SnapshotTable[[#This Row],[LC Book Price]]),SnapshotTable[[#This Row],[LC Book Price]] * 1.5,"")</f>
        <v/>
      </c>
      <c r="DY69" s="250" t="str">
        <f>IF(SnapshotTable[[#This Row],[LC Premium]]&gt;0, SnapshotTable[[#This Row],[LC Next Target]] * SnapshotTable[[#This Row],[LC Qty]] * 100,"")</f>
        <v/>
      </c>
      <c r="DZ69" s="250" t="str">
        <f>IF(ISNUMBER(SnapshotTable[[#This Row],[LC Target Gross]]), SnapshotTable[[#This Row],[LC Target Gross]] - SnapshotTable[[#This Row],[LC Premium]], "")</f>
        <v/>
      </c>
      <c r="EA69" s="283" t="str">
        <f>IF(ISNUMBER(SnapshotTable[[#This Row],[LC Target Gain Loss]]), SnapshotTable[[#This Row],[LC Target Gain Loss]]/SnapshotTable[[#This Row],[LC Premium]], "")</f>
        <v/>
      </c>
      <c r="EB69" s="247"/>
      <c r="EC69" s="268" t="str">
        <f>IF(SnapshotTable[[#This Row],[LC Premium]]&gt;0, SnapshotTable[[#This Row],[LC Book Price]] * (1 - LC_StopLoss_Pct),"")</f>
        <v/>
      </c>
      <c r="ED69" s="269"/>
      <c r="EE69" s="268" t="str">
        <f>IF(ISNUMBER(SnapshotTable[[#This Row],[LC Contract Value]]),IF(ISNUMBER(SnapshotTable[[#This Row],[LC Stop Loss Override]]), SnapshotTable[[#This Row],[LC Stop Loss Override]],SnapshotTable[[#This Row],[LC Stop Loss Calc Target]]),"")</f>
        <v/>
      </c>
      <c r="EF69" s="31" t="str">
        <f>IF(ISNUMBER(SnapshotTable[[#This Row],[LC Stop  To Use]]), (SnapshotTable[[#This Row],[LC Stop  To Use]] * SnapshotTable[[#This Row],[LC Qty]] * 100),"")</f>
        <v/>
      </c>
      <c r="EG69" s="9" t="str">
        <f>IF(ISNUMBER(SnapshotTable[[#This Row],[LC Total Value]]),SnapshotTable[[#This Row],[LC Stop Loss Amount]] - SnapshotTable[[#This Row],[LC Premium]],"")</f>
        <v/>
      </c>
      <c r="EH69" s="9">
        <f>IF(ISNUMBER(SnapshotTable[[#This Row],[LC Premium]]), SnapshotTable[[#This Row],[LC Qty]] * 100 * SnapshotTable[[#This Row],[LC Strike Price]], "")</f>
        <v>0</v>
      </c>
      <c r="EI69" s="225" t="str">
        <f>IF(AND(ISNUMBER(SnapshotTable[[#This Row],[LC Total Value]]),SnapshotTable[[#This Row],[LC Total Value]]&gt;0),SnapshotTable[[#This Row],[LC Stop Gain Loss]]  / SnapshotTable[[#This Row],[LC Premium]],"")</f>
        <v/>
      </c>
      <c r="EJ69" s="35">
        <f>IF(ISNUMBER(SnapshotTable[[#This Row],[Equity Shares]]),TRUNC(SnapshotTable[[#This Row],[Equity Shares]] / 100),0) + SnapshotTable[[#This Row],[LC Qty]]</f>
        <v>0</v>
      </c>
      <c r="EK69" s="145"/>
      <c r="EL69" s="136"/>
      <c r="EM69" s="146"/>
      <c r="EN69" s="145"/>
      <c r="EO69" s="145"/>
      <c r="EP69" s="136"/>
      <c r="EQ69" s="382" t="b">
        <f>AND(ISNUMBER(SnapshotTable[[#This Row],[SC Exp Date]]), ISNUMBER(SnapshotTable[[#This Row],[SC Strike Price]]), ISNUMBER(SnapshotTable[[#This Row],[SC Qty]]), ISNUMBER(SnapshotTable[[#This Row],[SC Book Date]]), ISNUMBER(SnapshotTable[[#This Row],[SC Book Price]]))</f>
        <v>0</v>
      </c>
      <c r="ER69" s="382" t="b">
        <f>AND(SnapshotTable[[#This Row],[SC Is Booked]], NOT(ISBLANK(SnapshotTable[[#This Row],[SC Fill Date]])))</f>
        <v>0</v>
      </c>
      <c r="ES69" s="340"/>
      <c r="ET69" s="34" t="str">
        <f>IF(AND(ISNUMBER(SnapshotTable[[#This Row],[SC Exp Date]]), ISNUMBER(SnapshotTable[[#This Row],[SC Book Date]])), SnapshotTable[[#This Row],[SC Exp Date]] - MAX(SnapshotTable[[#This Row],[SC Book Date]], SnapshotTable[[#This Row],[SC Fill Date]]) + 1, "")</f>
        <v/>
      </c>
      <c r="EU69" s="34" t="str">
        <f>IF(ISNUMBER(SnapshotTable[[#This Row],[SC Term]]), SnapshotTable[[#This Row],[SC Exp Date]]- MockToday, "")</f>
        <v/>
      </c>
      <c r="EV69" s="31">
        <f>IF(SnapshotTable[[#This Row],[SC Is Booked]], SnapshotTable[[#This Row],[SC Qty]] * SnapshotTable[[#This Row],[SC Book Price]] * 100, 0)</f>
        <v>0</v>
      </c>
      <c r="EW69" s="4" t="str">
        <f>IF(AND(ISNUMBER(SnapshotTable[[#This Row],[Last Price]]), ISNUMBER( SnapshotTable[[#This Row],[SC Book Price]])), SnapshotTable[[#This Row],[Last Price]] - SnapshotTable[[#This Row],[SC Book Price]],"")</f>
        <v/>
      </c>
      <c r="EX69" s="219" t="str">
        <f>IF(SnapshotTable[[#This Row],[SC Is Booked]],IF(SnapshotTable[[#This Row],[SC Intrinsic Value]] &gt; 0, SnapshotTable[[#This Row],[SC Strike Price]], SnapshotTable[[#This Row],[Last Price]]), "")</f>
        <v/>
      </c>
      <c r="EY69" s="4">
        <f>IF(SnapshotTable[[#This Row],[SC Is Booked]], (MinimumPremiumRequired * SnapshotTable[[#This Row],[SC Basis]] * SnapshotTable[[#This Row],[SC Term]]), 0)</f>
        <v>0</v>
      </c>
      <c r="EZ69" s="268"/>
      <c r="FA69" s="204"/>
      <c r="FB69" s="340"/>
      <c r="FC69" s="4">
        <f>IF(SnapshotTable[[#This Row],[SC Is Filled]], btc_max_buyback_amount(SnapshotTable[[#This Row],[SC Fill Date]],SnapshotTable[[#This Row],[SC Exp Date]], SnapshotTable[[#This Row],[SC Book Price]]),0)</f>
        <v>0</v>
      </c>
      <c r="FD69" s="5"/>
      <c r="FE69" s="142" t="str">
        <f>IF(SnapshotTable[[#This Row],[SC Is Filled]], btc_next_cutoff_date(SnapshotTable[[#This Row],[SC Fill Date]],SnapshotTable[[#This Row],[SC Exp Date]]),"")</f>
        <v/>
      </c>
      <c r="FF69" s="4" t="str" cm="1">
        <f t="array" ref="FF69">IF(SnapshotTable[[#This Row],[SC Is Filled]], btc_should_buy_back(SnapshotTable[[#This Row],[SC Fill Date]], SnapshotTable[[#This Row],[SC Exp Date]], SnapshotTable[[#This Row],[SC Book Price]], SnapshotTable[[#This Row],[SC Current Ask]], MockToday, SnapshotTable[[#This Row],[SC Buyback Override]]),"")</f>
        <v/>
      </c>
      <c r="FG69" s="4">
        <f>IF(SnapshotTable[[#This Row],[SC Is Filled]], MAX(0,SnapshotTable[[#This Row],[Last Price]]  - SnapshotTable[[#This Row],[SC Strike Price]]), 0)</f>
        <v>0</v>
      </c>
      <c r="FH69" s="352">
        <f>IF(SnapshotTable[[#This Row],[SC Is Filled]], IF(ISNUMBER(SnapshotTable[[#This Row],[SC Current Ask]]), SnapshotTable[[#This Row],[SC Current Ask]], SnapshotTable[[#This Row],[SC Book Price]]) - SnapshotTable[[#This Row],[SC Intrinsic Value]], 0)</f>
        <v>0</v>
      </c>
      <c r="FI69" s="141"/>
      <c r="FJ69" s="32" t="str">
        <f>IF(SnapshotTable[[#This Row],[SC Is Filled]],100 * SnapshotTable[[#This Row],[SC Qty]] * IF(ISNUMBER(SnapshotTable[[#This Row],[SC Buyback Override]]), SnapshotTable[[#This Row],[SC Buyback Override]], SnapshotTable[[#This Row],[SC Current Ask]]), "")</f>
        <v/>
      </c>
      <c r="FK69" s="235" t="str">
        <f>IF(SnapshotTable[[#This Row],[SC Time Val]]&gt;0, SnapshotTable[[#This Row],[SC Time Val]] / SnapshotTable[[#This Row],[Last Price]],"")</f>
        <v/>
      </c>
      <c r="FL69" s="280" t="str">
        <f>IF(SnapshotTable[[#This Row],[SC Is Booked]], ((SnapshotTable[[#This Row],[Last Price]] -SnapshotTable[[#This Row],[SC Strike Price]]) / SnapshotTable[[#This Row],[Last Price]]) * -1, "")</f>
        <v/>
      </c>
      <c r="FM69" s="155" t="str">
        <f>IF(SnapshotTable[[#This Row],[SC Is Booked]],  (SnapshotTable[[#This Row],[SC Qty]] * 100 * SnapshotTable[[#This Row],[SC Strike Price]]) - SnapshotTable[[#This Row],[SC Current Ask]], "")</f>
        <v/>
      </c>
      <c r="FN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69" s="31" t="str">
        <f>IF(AND(ISNUMBER(SnapshotTable[[#This Row],[SC Exercise Gross]]), ISNUMBER(SnapshotTable[[#This Row],[Equity Basis Per Share]] )), SnapshotTable[[#This Row],[SC Exercise Gross]] - SnapshotTable[[#This Row],[Equity Basis Total]] +  SnapshotTable[[#This Row],[SC Premium]], "")</f>
        <v/>
      </c>
      <c r="FP69" s="5" t="str">
        <f>IF(ISNUMBER(SnapshotTable[[#This Row],[SC Exercise Gross]]), (SnapshotTable[[#This Row],[SC Exercise Gross]]) / (SnapshotTable[[#This Row],[SC Qty]] * 100), "")</f>
        <v/>
      </c>
      <c r="FQ69" s="27" t="str">
        <f>IF(SnapshotTable[[#This Row],[SC Is Booked]],SnapshotTable[[#This Row],[SC Time Val]] /SnapshotTable[[#This Row],[SC Basis]], "")</f>
        <v/>
      </c>
      <c r="FR69" s="27" t="str" cm="1">
        <f t="array" ref="FR69">IF(AND(ISNUMBER(SnapshotTable[[#This Row],[SC Term]]),ISNUMBER(SnapshotTable[[#This Row],[SC Simple ROO]])), EllmanAnnualize(SnapshotTable[[#This Row],[SC DTE]], SnapshotTable[[#This Row],[SC Simple ROO]] ),"")</f>
        <v/>
      </c>
      <c r="FS69" s="4">
        <f>IF(SnapshotTable[[#This Row],[SC Strike Price]] &gt; SnapshotTable[[#This Row],[Last Price]], SnapshotTable[[#This Row],[SC Strike Price]] - SnapshotTable[[#This Row],[Last Price]],0)</f>
        <v>0</v>
      </c>
      <c r="FT69" s="27" t="str">
        <f>IF(AND(ISNUMBER(SnapshotTable[[#This Row],[SC Upside Potential]]), SnapshotTable[[#This Row],[SC Upside Potential]] &gt; 0),(SnapshotTable[[#This Row],[SC Upside Potential]]/ SnapshotTable[[#This Row],[ACB]]),"")</f>
        <v/>
      </c>
      <c r="FU69" s="304" t="str">
        <f>IF(SnapshotTable[[#This Row],[SC Intrinsic Value]] &gt; 0,SnapshotTable[[#This Row],[SC Intrinsic Value]],"")</f>
        <v/>
      </c>
      <c r="FV69" s="27" t="str">
        <f>IF(AND( ISNUMBER( SnapshotTable[[#This Row],[ACB]]),ISNUMBER(SnapshotTable[[#This Row],[SC Downside Protect]])),SnapshotTable[[#This Row],[SC Downside Protect]] / SnapshotTable[[#This Row],[ACB]],"")</f>
        <v/>
      </c>
      <c r="FW69" s="221" t="str">
        <f>IF(AND(ISNUMBER(SnapshotTable[[#This Row],[SC Simple ROO]]),SnapshotTable[[#This Row],[SC Simple ROO]] &gt; 0), SnapshotTable[[#This Row],[SC Premium]] + (SnapshotTable[[#This Row],[SC Qty]] * SnapshotTable[[#This Row],[SC Upside Potential]]), "")</f>
        <v/>
      </c>
      <c r="FX69" s="280" t="str" cm="1">
        <f t="array" ref="FX69">IF(ISNUMBER(SnapshotTable[[#This Row],[SC Max Dollars]]), annualize(SnapshotTable[[#This Row],[SC Term]],(SnapshotTable[[#This Row],[SC Max Dollars]]/SnapshotTable[[#This Row],[SC Basis]])),"")</f>
        <v/>
      </c>
      <c r="FY69" s="221" t="str">
        <f>IF(AND(SnapshotTable[[#This Row],[SC Qty]]&gt;0,SnapshotTable[[#This Row],[SC Current Ask]]&gt;0), SnapshotTable[[#This Row],[SC Qty]] * SnapshotTable[[#This Row],[SC Current Ask]] * -100, "")</f>
        <v/>
      </c>
      <c r="FZ69" s="31" t="str">
        <f>IF(ISNUMBER((SnapshotTable[[#This Row],[SC Current Value]])), SnapshotTable[[#This Row],[SC Premium]] + SnapshotTable[[#This Row],[SC Current Value]], "")</f>
        <v/>
      </c>
      <c r="GA69" s="272" t="str">
        <f>IFERROR( IF(ISNUMBER((SnapshotTable[[#This Row],[SC Current Value]])), SnapshotTable[[#This Row],[SC Gain Loss]] / SnapshotTable[[#This Row],[SC Premium]], ""), "")</f>
        <v/>
      </c>
      <c r="GB69" s="42">
        <f>SnapshotTable[[#This Row],[Equity Shares]] * SaleSharesToConsiderPercentage</f>
        <v>0</v>
      </c>
      <c r="GC69" s="40">
        <f>SnapshotTable[[#This Row],[Long Term Target]] * SellingPriceToConsiderBasedOnTargetPercentage</f>
        <v>256.18650000000002</v>
      </c>
      <c r="GD69" s="40">
        <f>SnapshotTable[[#This Row],[Last Price]] * (1+ SellingPriceToConsiderBasedOnTargetPercentage)</f>
        <v>690.26099999999997</v>
      </c>
      <c r="GE69" s="41"/>
      <c r="GF69" s="40"/>
      <c r="GG69" s="31">
        <f>SnapshotTable[[#This Row],[Booked Sale Shares]] * SnapshotTable[[#This Row],[Booked Sale Price]]</f>
        <v>0</v>
      </c>
      <c r="GH69" s="31" t="str">
        <f>IF(SnapshotTable[[#This Row],[Equity Basis Total]] &gt; 0, SnapshotTable[[#This Row],[Equity Basis Per Share]] * SnapshotTable[[#This Row],[Booked Sale Shares]], "")</f>
        <v/>
      </c>
      <c r="GI69" s="31">
        <f>IF(SnapshotTable[[#This Row],[Sale Proceeds]]&gt;0, SnapshotTable[[#This Row],[Sale Proceeds]] - SnapshotTable[[#This Row],[Sale Basis]], 0)</f>
        <v>0</v>
      </c>
      <c r="GJ69" s="27" t="str">
        <f>IF(SnapshotTable[[#This Row],[Sale G/L]]&gt;0, SnapshotTable[[#This Row],[Sale G/L]] / SnapshotTable[[#This Row],[Sale Basis]], IF(ISNUMBER(SnapshotTable[[#This Row],[SC Exercise P&amp;L (TAX)]]), SnapshotTable[[#This Row],[SC Exercise P&amp;L (TAX)]] / SnapshotTable[[#This Row],[SC Basis]], ""))</f>
        <v/>
      </c>
      <c r="GK69" s="27" t="s">
        <v>534</v>
      </c>
      <c r="GL69" s="43" t="str">
        <f>IF(AND(SnapshotTable[[#This Row],[LP Exp Date]]&gt;0,SnapshotTable[[#This Row],[LP Strike Price]]&gt;0), [1]!ToOptionSymbol(SnapshotTable[[#This Row],[Symbol]], SnapshotTable[[#This Row],[LP Strike Price]],SnapshotTable[[#This Row],[LP Exp Date]],1), "")</f>
        <v/>
      </c>
      <c r="GM69" s="30" t="str">
        <f>IF(LEN(SnapshotTable[[#This Row],[LP Symbol]])&gt;0, 1, "")</f>
        <v/>
      </c>
      <c r="GN69" s="43" t="str">
        <f>IF(AND(SnapshotTable[[#This Row],[SP Exp Date]]&gt;0,SnapshotTable[[#This Row],[SP Strike Price]]&gt;0), [1]!ToOptionSymbol(SnapshotTable[[#This Row],[Symbol]], SnapshotTable[[#This Row],[SP Strike Price]],SnapshotTable[[#This Row],[SP Exp Date]],1), "")</f>
        <v/>
      </c>
      <c r="GO69" s="30" t="str">
        <f>IF(LEN(SnapshotTable[[#This Row],[SP Symbol]])&gt;0, 1, "")</f>
        <v/>
      </c>
      <c r="GP69" s="43" t="str">
        <f>IF(AND(SnapshotTable[[#This Row],[LC Exp Date]]&gt;0,SnapshotTable[[#This Row],[LC Strike Price]]&gt;0), [1]!ToOptionSymbol(SnapshotTable[[#This Row],[Symbol]], SnapshotTable[[#This Row],[LC Strike Price]],SnapshotTable[[#This Row],[LC Exp Date]],0), "")</f>
        <v/>
      </c>
      <c r="GQ69" s="30" t="str">
        <f>IF(LEN(SnapshotTable[[#This Row],[LC Symbol]])&gt;0, 1, "")</f>
        <v/>
      </c>
      <c r="GR69" s="43" t="str">
        <f>IF(AND(SnapshotTable[[#This Row],[SC Exp Date]]&gt;0,SnapshotTable[[#This Row],[SC Strike Price]]&gt;0), [1]!ToOptionSymbol(SnapshotTable[[#This Row],[Symbol]], SnapshotTable[[#This Row],[SC Strike Price]],SnapshotTable[[#This Row],[SC Exp Date]],0), "")</f>
        <v/>
      </c>
      <c r="GS69" s="30" t="str">
        <f>IF(LEN(SnapshotTable[[#This Row],[SC Symbol]])&gt;0, 1, "")</f>
        <v/>
      </c>
      <c r="GT69" s="29" t="str">
        <f>IF(COUNT(SnapshotTable[[#This Row],[LP Symbol Count]],SnapshotTable[[#This Row],[SP Symbol Count]],SnapshotTable[[#This Row],[LC Symbol Count]],SnapshotTable[[#This Row],[SC Symbol Count]])&gt;0, "Y", "")</f>
        <v/>
      </c>
      <c r="GU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69" s="216">
        <f>MAX(SnapshotTable[[#This Row],[Equity Basis Total]],SnapshotTable[[#This Row],[Equity Value]]) + (SnapshotTable[[#This Row],[SP Potential Spend]]- SnapshotTable[[#This Row],[SP Premium]] + SnapshotTable[[#This Row],[LP Premium]])+ (SnapshotTable[[#This Row],[LC Premium]] - SnapshotTable[[#This Row],[SC Premium]])</f>
        <v>0</v>
      </c>
      <c r="GW69" s="137" t="str">
        <f>IF(AND(SnapshotTable[[#This Row],[Exposure]] &lt;&gt; 0),SnapshotTable[[#This Row],[Exposure]] / SnapshotTable[[#Totals],[Exposure]], "")</f>
        <v/>
      </c>
      <c r="HE69" s="253"/>
      <c r="HF69" s="253"/>
      <c r="HK69" s="1"/>
      <c r="HL69" s="1"/>
      <c r="HM69" s="1"/>
      <c r="HN69" s="1"/>
      <c r="HO69" s="1"/>
      <c r="HP69" s="1"/>
    </row>
    <row r="70" spans="2:224" s="45" customFormat="1" ht="12.75" hidden="1" customHeight="1" x14ac:dyDescent="0.25">
      <c r="B70" s="12" t="s">
        <v>468</v>
      </c>
      <c r="C70" s="385">
        <v>0.6</v>
      </c>
      <c r="D70" s="200"/>
      <c r="E70" s="39">
        <f>SnapshotTable[[#This Row],[Last Price]]*(1 -CrashDiscount)</f>
        <v>0.51</v>
      </c>
      <c r="F70" s="26" t="s">
        <v>447</v>
      </c>
      <c r="G70" s="26" t="s">
        <v>12</v>
      </c>
      <c r="H70" s="147"/>
      <c r="I70" s="186">
        <v>44783.670138888891</v>
      </c>
      <c r="J70" s="187">
        <v>44783.670138888891</v>
      </c>
      <c r="K70" s="188"/>
      <c r="L70" s="297"/>
      <c r="M70" s="138"/>
      <c r="N70" s="138"/>
      <c r="O70" s="138"/>
      <c r="P70" s="22"/>
      <c r="Q70" s="25"/>
      <c r="R70" s="4" t="str">
        <f>IF(SnapshotTable[[#This Row],[Equity Basis Total]] &gt; 0, SnapshotTable[[#This Row],[Equity Basis Total]] / SnapshotTable[[#This Row],[Equity Shares]], "")</f>
        <v/>
      </c>
      <c r="S70" s="254">
        <f>SnapshotTable[[#This Row],[Last Price]] * SnapshotTable[[#This Row],[Equity Shares]]</f>
        <v>0</v>
      </c>
      <c r="T70" s="254">
        <f>SnapshotTable[[#This Row],[Equity Value]] - SnapshotTable[[#This Row],[Equity Basis Total]]</f>
        <v>0</v>
      </c>
      <c r="U70" s="255" t="str">
        <f>IF(SnapshotTable[[#This Row],[Equity Basis Total]] &gt; 0, SnapshotTable[[#This Row],[Equity G/L]] / SnapshotTable[[#This Row],[Equity Basis Total]], "")</f>
        <v/>
      </c>
      <c r="V70" s="253"/>
      <c r="W70" s="253"/>
      <c r="X70" s="4" t="str">
        <f>IF(AND(ISNUMBER(SnapshotTable[[#This Row],[Equity Basis Per Share]]),ISNUMBER(SnapshotTable[[#This Row],[Equity Target]])),SnapshotTable[[#This Row],[Equity Target]]-SnapshotTable[[#This Row],[Equity Basis Per Share]],"")</f>
        <v/>
      </c>
      <c r="Y70" s="4" t="str">
        <f>IF(AND(ISNUMBER(SnapshotTable[[#This Row],[Equity Basis Per Share]]),ISNUMBER(SnapshotTable[[#This Row],[Equity Stop Loss]])),SnapshotTable[[#This Row],[Equity Stop Loss]]-SnapshotTable[[#This Row],[Equity Basis Per Share]],"")</f>
        <v/>
      </c>
      <c r="Z70" s="260" t="str">
        <f>IFERROR( TEXT(SnapshotTable[[#This Row],[Equity Max Gain Per Share]] /ABS( SnapshotTable[[#This Row],[Equity Max Loss Per Share]]),"0.0 " ) &amp; " : 1", "")</f>
        <v/>
      </c>
      <c r="AA70" s="31" t="str">
        <f>IF(ISNUMBER(SnapshotTable[[#This Row],[Equity Max Gain Per Share]]),SnapshotTable[[#This Row],[Equity Max Gain Per Share]] * SnapshotTable[[#This Row],[Equity Shares]],"")</f>
        <v/>
      </c>
      <c r="AB70" s="31" t="str">
        <f>IF(ISNUMBER(SnapshotTable[[#This Row],[Equity Max Loss Per Share]]),SnapshotTable[[#This Row],[Equity Max Loss Per Share]] * SnapshotTable[[#This Row],[Equity Shares]],"")</f>
        <v/>
      </c>
      <c r="AC70" s="148"/>
      <c r="AD70" s="149"/>
      <c r="AE70" s="31">
        <f>(SnapshotTable[[#This Row],[Annual Dividend Per Share]] / 4) * SnapshotTable[[#This Row],[Equity Shares]]</f>
        <v>0</v>
      </c>
      <c r="AF70" s="31">
        <f>SnapshotTable[[#This Row],[Quarterly Div $]] * 4</f>
        <v>0</v>
      </c>
      <c r="AG70" s="7">
        <f>IF(SnapshotTable[[#This Row],[Annual Dividend Per Share]]&gt;0, SnapshotTable[[#This Row],[Annual Dividend Per Share]]  / SnapshotTable[[#This Row],[Last Price]], 0)</f>
        <v>0</v>
      </c>
      <c r="AH70" s="149"/>
      <c r="AI70" s="5"/>
      <c r="AJ70" s="136">
        <v>119.06</v>
      </c>
      <c r="AK70" s="150" t="str">
        <f>IF(ISNUMBER( SnapshotTable[[#This Row],[EBF Target]]),(SnapshotTable[[#This Row],[EBF Target]] - SnapshotTable[[#This Row],[Last Price]]) / SnapshotTable[[#This Row],[Last Price]], "")</f>
        <v/>
      </c>
      <c r="AL70" s="150" t="str">
        <f>IF(AND(SnapshotTable[[#This Row],[Equity Basis Total]] &gt; 0,ISNUMBER( SnapshotTable[[#This Row],[Long Term Target]])), SnapshotTable[[#This Row],[From Basis $]] / SnapshotTable[[#This Row],[Equity Basis Total]], "")</f>
        <v/>
      </c>
      <c r="AM70" s="9">
        <f>IF( AND(SnapshotTable[[#This Row],[Equity Shares]] &gt;0,ISNUMBER( SnapshotTable[[#This Row],[Long Term Target]])),(SnapshotTable[[#This Row],[Equity Shares]] * SnapshotTable[[#This Row],[Long Term Target]]) - SnapshotTable[[#This Row],[Equity Basis Total]],0)</f>
        <v>0</v>
      </c>
      <c r="AN70" s="9">
        <f>IF( AND(SnapshotTable[[#This Row],[Equity Shares]] &gt;0,ISNUMBER( SnapshotTable[[#This Row],[Long Term Target]])),(SnapshotTable[[#This Row],[Equity Shares]]*SnapshotTable[[#This Row],[Long Term Target]]) - SnapshotTable[[#This Row],[Equity Value]],0)</f>
        <v>0</v>
      </c>
      <c r="AO70" s="150">
        <f>IF(AND(ISNUMBER( SnapshotTable[[#This Row],[Long Term Target]]), ISNUMBER(SnapshotTable[[#This Row],[Last Price]])),(SnapshotTable[[#This Row],[Long Term Target]] - SnapshotTable[[#This Row],[Last Price]]) / SnapshotTable[[#This Row],[Last Price]], "")</f>
        <v>197.43333333333337</v>
      </c>
      <c r="AP70" s="5">
        <v>155</v>
      </c>
      <c r="AQ70" s="38" t="s">
        <v>22</v>
      </c>
      <c r="AR70" s="5">
        <v>140</v>
      </c>
      <c r="AS70" s="38" t="s">
        <v>76</v>
      </c>
      <c r="AT70" s="144" t="s">
        <v>432</v>
      </c>
      <c r="AU70" s="185" t="str">
        <f>IF(OR(SnapshotTable[[#This Row],[LP No Fill]]="Y",SnapshotTable[[#This Row],[SP Is Filled]],SnapshotTable[[#This Row],[LC Not Filled]]="Y",SnapshotTable[[#This Row],[SC Is Filled]]),"Y","")</f>
        <v/>
      </c>
      <c r="AV70" s="205"/>
      <c r="AW70" s="211"/>
      <c r="AX70" s="206"/>
      <c r="AY70" s="205" t="str">
        <f>IF(SnapshotTable[[#This Row],[Implied Move]]&gt;0, SnapshotTable[[#This Row],[Last Price]]-SnapshotTable[[#This Row],[Implied Move]],"")</f>
        <v/>
      </c>
      <c r="AZ70" s="205" t="str">
        <f>IF(SnapshotTable[[#This Row],[Implied Move]]&gt;0, SnapshotTable[[#This Row],[Last Price]] + SnapshotTable[[#This Row],[Implied Move]],"")</f>
        <v/>
      </c>
      <c r="BA70" s="302"/>
      <c r="BB70" s="318"/>
      <c r="BC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0" s="321"/>
      <c r="BE70" s="136"/>
      <c r="BF70" s="164"/>
      <c r="BG70" s="165"/>
      <c r="BH70" s="165"/>
      <c r="BI70" s="5"/>
      <c r="BJ70" s="151">
        <f>IF(SnapshotTable[[#This Row],[LP Qty]] &gt; 0, SnapshotTable[[#This Row],[LP Qty]] * SnapshotTable[[#This Row],[LP Book Price]] * 100,0)</f>
        <v>0</v>
      </c>
      <c r="BK70" s="134">
        <f>IF(SnapshotTable[[#This Row],[LP Premium]] &gt; 0, SnapshotTable[[#This Row],[LP Qty]] * SnapshotTable[[#This Row],[LP Strike Price]] * 100,0)</f>
        <v>0</v>
      </c>
      <c r="BL70" s="152"/>
      <c r="BM70" s="355" t="str">
        <f>IF(SnapshotTable[[#This Row],[LP Premium]] &gt; 0,SnapshotTable[[#This Row],[LP Exp Date]]-MAX(SnapshotTable[[#This Row],[LP Book Date]], SnapshotTable[[#This Row],[LP Fill Date]]),"")</f>
        <v/>
      </c>
      <c r="BN70" s="355" t="str">
        <f>IF(ISNUMBER( SnapshotTable[[#This Row],[LP Term]]), SnapshotTable[[#This Row],[LP Exp Date]] - MockToday,"")</f>
        <v/>
      </c>
      <c r="BO70" s="161" t="str">
        <f>IF(AND(SnapshotTable[[#This Row],[LP Exp Date]]&gt;0, SnapshotTable[[#This Row],[LP Strike Price]]&gt;0,SnapshotTable[[#This Row],[LP Qty]]&gt;0,SnapshotTable[[#This Row],[LP Book Date]]&gt;0,SnapshotTable[[#This Row],[LP Book Price]]&gt;0,SnapshotTable[[#This Row],[LP Fill Date]]=0),"Y","")</f>
        <v/>
      </c>
      <c r="BP70" s="31" t="str">
        <f>IF(AND(SnapshotTable[[#This Row],[LP No Fill]]&lt;&gt;"Y",SnapshotTable[[#This Row],[LP Contract Value]]&gt;0, SnapshotTable[[#This Row],[LP Qty]]&gt;0), SnapshotTable[[#This Row],[LP Contract Value]]*SnapshotTable[[#This Row],[LP Qty]]*100,"")</f>
        <v/>
      </c>
      <c r="BQ70" s="13"/>
      <c r="BR70" s="5"/>
      <c r="BS70" s="36"/>
      <c r="BT70" s="145"/>
      <c r="BU70" s="13"/>
      <c r="BV70" s="5"/>
      <c r="BW70" s="382" t="b">
        <f>AND(ISNUMBER(SnapshotTable[[#This Row],[SP Exp Date]]), ISNUMBER(SnapshotTable[[#This Row],[SP Strike Price]]), ISNUMBER(SnapshotTable[[#This Row],[SP Qty]]), ISNUMBER(SnapshotTable[[#This Row],[SP Book Date]]), ISNUMBER(SnapshotTable[[#This Row],[SP Book Price]]))</f>
        <v>0</v>
      </c>
      <c r="BX70" s="382" t="b">
        <f>AND(SnapshotTable[[#This Row],[SP Is Booked]], NOT(ISBLANK(SnapshotTable[[#This Row],[SP Fill Date]])))</f>
        <v>0</v>
      </c>
      <c r="BY70" s="33">
        <f>IF(SnapshotTable[[#This Row],[SP Is Booked]], SnapshotTable[[#This Row],[SP Qty]] * SnapshotTable[[#This Row],[SP Book Price]] * 100, 0)</f>
        <v>0</v>
      </c>
      <c r="BZ70" s="339"/>
      <c r="CA70" s="338">
        <f>SnapshotTable[[#This Row],[LP Qty]]</f>
        <v>0</v>
      </c>
      <c r="CB70" s="4" t="str">
        <f>IF(SnapshotTable[[#This Row],[SP Is Booked]], SnapshotTable[[#This Row],[SP Strike Price]] - SnapshotTable[[#This Row],[SP Book Price]], "")</f>
        <v/>
      </c>
      <c r="CC70" s="19" t="str">
        <f>IF(SnapshotTable[[#This Row],[SP Is Booked]],SnapshotTable[[#This Row],[SP Exp Date]]-MAX(SnapshotTable[[#This Row],[SP Book Date]], SnapshotTable[[#This Row],[SP Fill Date]]),"")</f>
        <v/>
      </c>
      <c r="CD70" s="7" t="str">
        <f>IF(SnapshotTable[[#This Row],[SP Is Booked]], SnapshotTable[[#This Row],[SP Book Price]]/SnapshotTable[[#This Row],[SP Strike Price]], "")</f>
        <v/>
      </c>
      <c r="CE70" s="7" t="str">
        <f>IF(ISNUMBER(SnapshotTable[[#This Row],[SP ROO Term]]),SnapshotTable[[#This Row],[SP ROO Term]]*(365/SnapshotTable[[#This Row],[SP Term]]),"")</f>
        <v/>
      </c>
      <c r="CF70" s="221">
        <f>SnapshotTable[[#This Row],[LP Strike Price]] * SnapshotTable[[#This Row],[LP Qty]] * 100</f>
        <v>0</v>
      </c>
      <c r="CG70" s="31">
        <f>IF(ISNUMBER(SnapshotTable[[#This Row],[SP Premium]]), (SnapshotTable[[#This Row],[SP Qty]] * SnapshotTable[[#This Row],[SP Strike Price]]* 100) - SnapshotTable[[#This Row],[LP Protection]], 0)</f>
        <v>0</v>
      </c>
      <c r="CH70" s="7" t="str">
        <f>IF(ISNUMBER(SnapshotTable[[#This Row],[SP Break Even]]),-1 * (SnapshotTable[[#This Row],[SP Break Even]] - SnapshotTable[[#This Row],[Last Price]]) / SnapshotTable[[#This Row],[Last Price]], "")</f>
        <v/>
      </c>
      <c r="CI70" s="31">
        <f>IF(AND(ISNUMBER((SnapshotTable[[#This Row],[SP Potential Spend]])), SnapshotTable[[#This Row],[SP Strike Price]] &gt; SnapshotTable[[#This Row],[Last Price]], SnapshotTable[[#This Row],[SP Is Filled]]), SnapshotTable[[#This Row],[SP Potential Spend]] -  SnapshotTable[[#This Row],[LP Max Value]], 0)</f>
        <v>0</v>
      </c>
      <c r="CJ70" s="229"/>
      <c r="CK70" s="31">
        <f>IF(ISNUMBER(SnapshotTable[[#This Row],[SP Potential Spend]]),IF(ISNUMBER(SnapshotTable[[#This Row],[SP POW]]), SnapshotTable[[#This Row],[SP POW]] * SnapshotTable[[#This Row],[SP Potential Spend]], SnapshotTable[[#This Row],[SP Potential Spend]]), "")</f>
        <v>0</v>
      </c>
      <c r="CL70" s="162">
        <f>IF(NOT(SnapshotTable[[#This Row],[SP Is Filled]]),(SnapshotTable[[#This Row],[SP Qty]] * SnapshotTable[[#This Row],[SP Strike Price]] * 100) - SnapshotTable[[#This Row],[LP Max Value]],"")</f>
        <v>0</v>
      </c>
      <c r="CM70" s="31" t="str">
        <f>IF(SnapshotTable[[#This Row],[SP Actual Spend]]&lt;&gt;0, ((SnapshotTable[[#This Row],[SP Strike Price]]-SnapshotTable[[#This Row],[Last Price]]) *(SnapshotTable[[#This Row],[SP Qty]]*100) - SnapshotTable[[#This Row],[SP Premium]]) * - 1, "")</f>
        <v/>
      </c>
      <c r="CN70" s="152"/>
      <c r="CO70" s="339"/>
      <c r="CP70" s="4" t="str">
        <f>IF(SnapshotTable[[#This Row],[SP Is Filled]], btc_max_buyback_amount(SnapshotTable[[#This Row],[SP Fill Date]],SnapshotTable[[#This Row],[SP Exp Date]], SnapshotTable[[#This Row],[SP Book Price]]),"")</f>
        <v/>
      </c>
      <c r="CQ70" s="76"/>
      <c r="CR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0" s="153" t="str">
        <f>IF(SnapshotTable[[#This Row],[SP Is Filled]], btc_next_cutoff_date(SnapshotTable[[#This Row],[SP Fill Date]],SnapshotTable[[#This Row],[SP Exp Date]]),"")</f>
        <v/>
      </c>
      <c r="CT70" s="220" t="str" cm="1">
        <f t="array" ref="CT70">IF(SnapshotTable[[#This Row],[SP Is Filled]], btc_should_buy_back(SnapshotTable[[#This Row],[SP Fill Date]], SnapshotTable[[#This Row],[SP Exp Date]], SnapshotTable[[#This Row],[SP Book Price]], SnapshotTable[[#This Row],[SP Current Ask]], MockToday, SnapshotTable[[#This Row],[SP Buyback Override]]),"")</f>
        <v/>
      </c>
      <c r="CU70" s="154"/>
      <c r="CV70" s="220"/>
      <c r="CW70" s="348" t="str">
        <f>IF(ISNUMBER( SnapshotTable[[#This Row],[SP Term]]), SnapshotTable[[#This Row],[SP Exp Date]] - MockToday,"")</f>
        <v/>
      </c>
      <c r="CX70" s="31" t="str">
        <f>IF(SnapshotTable[[#This Row],[SP Is Filled]],SnapshotTable[[#This Row],[SP Buyback Price to Use]] * 100 * SnapshotTable[[#This Row],[SP Qty]], "")</f>
        <v/>
      </c>
      <c r="CY70" s="4" t="str">
        <f>IF(ISNUMBER(SnapshotTable[[#This Row],[SP Strike Price]]), SnapshotTable[[#This Row],[SP Strike Price]] * (1 - SP_MaxLoss_StrikePct), "")</f>
        <v/>
      </c>
      <c r="CZ70" s="31" t="str">
        <f>IF(ISNUMBER(SnapshotTable[[#This Row],[SP Strike  Stop Per Share]]),SnapshotTable[[#This Row],[SP Premium]] - ((SnapshotTable[[#This Row],[SP Strike Price]]-SnapshotTable[[#This Row],[SP Strike  Stop Per Share]]) *(SnapshotTable[[#This Row],[SP Qty]] * 100)),"")</f>
        <v/>
      </c>
      <c r="DA70" s="4" t="str">
        <f>IF(AND(ISNUMBER(SnapshotTable[[#This Row],[SP Premium]]),SnapshotTable[[#This Row],[SP Premium]]&gt;0), SnapshotTable[[#This Row],[SP Book Price]] * (1 + SP_MaxLoss_OptionPct), "")</f>
        <v/>
      </c>
      <c r="DB70" s="31" t="str">
        <f>IF(ISNUMBER(SnapshotTable[[#This Row],[SP Option  Stop Contract]]),(SnapshotTable[[#This Row],[SP Option  Stop Contract]] *(SnapshotTable[[#This Row],[SP Qty]] * 100) - SnapshotTable[[#This Row],[SP Premium]]),"")</f>
        <v/>
      </c>
      <c r="DC70" s="4"/>
      <c r="DD70" s="4"/>
      <c r="DE70" s="4" t="str">
        <f>IF(AND(SnapshotTable[[#This Row],[SP Qty]]&gt;0, SnapshotTable[[#This Row],[SP Stop To Use]]&gt;0),SnapshotTable[[#This Row],[SP Premium]] - ( SnapshotTable[[#This Row],[SP Qty]] * SnapshotTable[[#This Row],[SP Stop To Use]] * 100), "")</f>
        <v/>
      </c>
      <c r="DF70" s="31" t="str">
        <f>IF(AND(SnapshotTable[[#This Row],[SP Qty]]&gt;0,SnapshotTable[[#This Row],[SP Current Ask]]&gt;0), SnapshotTable[[#This Row],[SP Qty]] * SnapshotTable[[#This Row],[SP Current Ask]] * -100, "")</f>
        <v/>
      </c>
      <c r="DG70" s="31" t="str">
        <f>IF(ISNUMBER((SnapshotTable[[#This Row],[SP Total Value]])), SnapshotTable[[#This Row],[SP Premium]] + SnapshotTable[[#This Row],[SP Total Value]], "")</f>
        <v/>
      </c>
      <c r="DH70" s="272" t="str">
        <f>IF(ISNUMBER((SnapshotTable[[#This Row],[SP Total Value]])), SnapshotTable[[#This Row],[SP Gain Loss]] / SnapshotTable[[#This Row],[SP Premium]], "")</f>
        <v/>
      </c>
      <c r="DI70" s="369"/>
      <c r="DJ70" s="136"/>
      <c r="DK70" s="146"/>
      <c r="DL70" s="13"/>
      <c r="DM70" s="13"/>
      <c r="DN70" s="5"/>
      <c r="DO70" s="31">
        <f>IF(SnapshotTable[[#This Row],[LC Symbol Count]]=1, SnapshotTable[[#This Row],[LC Qty]] * SnapshotTable[[#This Row],[LC Book Price]] * 100, 0)</f>
        <v>0</v>
      </c>
      <c r="DP70" s="161" t="str">
        <f>IF(AND(SnapshotTable[[#This Row],[LC Exp Date]]&gt;0, SnapshotTable[[#This Row],[LC Strike Price]]&gt;0,SnapshotTable[[#This Row],[LC Qty]]&gt;0,SnapshotTable[[#This Row],[LC Book Date]]&gt;0,SnapshotTable[[#This Row],[LC Book Price]]&gt;0,SnapshotTable[[#This Row],[LC Fill Date]]=0),"Y","")</f>
        <v/>
      </c>
      <c r="DQ70" s="356" t="str">
        <f>IF(SnapshotTable[[#This Row],[LC Premium]] &gt; 0,SnapshotTable[[#This Row],[LC Exp Date]]-MAX(SnapshotTable[[#This Row],[LC Book Date]], SnapshotTable[[#This Row],[LC Fill Date]]),"")</f>
        <v/>
      </c>
      <c r="DR70" s="356" t="str">
        <f>IF(ISNUMBER(SnapshotTable[[#This Row],[LC Term]]), SnapshotTable[[#This Row],[LC Exp Date]] - MockToday, "")</f>
        <v/>
      </c>
      <c r="DS70" s="219" t="str">
        <f>IF(SnapshotTable[[#This Row],[LC Premium]]&gt;0,SnapshotTable[[#This Row],[LC Strike Price]] + SnapshotTable[[#This Row],[LC Book Price]],"")</f>
        <v/>
      </c>
      <c r="DT70" s="5"/>
      <c r="DU70" s="9" t="str">
        <f>IF(AND(SnapshotTable[[#This Row],[LC Symbol Count]]&gt;0, SnapshotTable[[#This Row],[LC Contract Value]]&gt;0), SnapshotTable[[#This Row],[LC Contract Value]] * SnapshotTable[[#This Row],[LC Qty]] * 100, "")</f>
        <v/>
      </c>
      <c r="DV70" s="9" t="str">
        <f>IF(AND(ISNUMBER(SnapshotTable[[#This Row],[LC Total Value]]), SnapshotTable[[#This Row],[LC Not Filled]]&lt;&gt;"Y"), SnapshotTable[[#This Row],[LC Total Value]]-SnapshotTable[[#This Row],[LC Premium]],"")</f>
        <v/>
      </c>
      <c r="DW70" s="225" t="str">
        <f>IF(ISNUMBER(SnapshotTable[[#This Row],[LC Actual Gain Loss]]), SnapshotTable[[#This Row],[LC Actual Gain Loss]] / SnapshotTable[[#This Row],[LC Premium]],"")</f>
        <v/>
      </c>
      <c r="DX70" s="269" t="str">
        <f>IF(ISNUMBER(SnapshotTable[[#This Row],[LC Book Price]]),SnapshotTable[[#This Row],[LC Book Price]] * 1.5,"")</f>
        <v/>
      </c>
      <c r="DY70" s="250" t="str">
        <f>IF(SnapshotTable[[#This Row],[LC Premium]]&gt;0, SnapshotTable[[#This Row],[LC Next Target]] * SnapshotTable[[#This Row],[LC Qty]] * 100,"")</f>
        <v/>
      </c>
      <c r="DZ70" s="250" t="str">
        <f>IF(ISNUMBER(SnapshotTable[[#This Row],[LC Target Gross]]), SnapshotTable[[#This Row],[LC Target Gross]] - SnapshotTable[[#This Row],[LC Premium]], "")</f>
        <v/>
      </c>
      <c r="EA70" s="283" t="str">
        <f>IF(ISNUMBER(SnapshotTable[[#This Row],[LC Target Gain Loss]]), SnapshotTable[[#This Row],[LC Target Gain Loss]]/SnapshotTable[[#This Row],[LC Premium]], "")</f>
        <v/>
      </c>
      <c r="EB70" s="247"/>
      <c r="EC70" s="268" t="str">
        <f>IF(SnapshotTable[[#This Row],[LC Premium]]&gt;0, SnapshotTable[[#This Row],[LC Book Price]] * (1 - LC_StopLoss_Pct),"")</f>
        <v/>
      </c>
      <c r="ED70" s="269"/>
      <c r="EE70" s="268" t="str">
        <f>IF(ISNUMBER(SnapshotTable[[#This Row],[LC Contract Value]]),IF(ISNUMBER(SnapshotTable[[#This Row],[LC Stop Loss Override]]), SnapshotTable[[#This Row],[LC Stop Loss Override]],SnapshotTable[[#This Row],[LC Stop Loss Calc Target]]),"")</f>
        <v/>
      </c>
      <c r="EF70" s="31" t="str">
        <f>IF(ISNUMBER(SnapshotTable[[#This Row],[LC Stop  To Use]]), (SnapshotTable[[#This Row],[LC Stop  To Use]] * SnapshotTable[[#This Row],[LC Qty]] * 100),"")</f>
        <v/>
      </c>
      <c r="EG70" s="9" t="str">
        <f>IF(ISNUMBER(SnapshotTable[[#This Row],[LC Total Value]]),SnapshotTable[[#This Row],[LC Stop Loss Amount]] - SnapshotTable[[#This Row],[LC Premium]],"")</f>
        <v/>
      </c>
      <c r="EH70" s="9">
        <f>IF(ISNUMBER(SnapshotTable[[#This Row],[LC Premium]]), SnapshotTable[[#This Row],[LC Qty]] * 100 * SnapshotTable[[#This Row],[LC Strike Price]], "")</f>
        <v>0</v>
      </c>
      <c r="EI70" s="225" t="str">
        <f>IF(AND(ISNUMBER(SnapshotTable[[#This Row],[LC Total Value]]),SnapshotTable[[#This Row],[LC Total Value]]&gt;0),SnapshotTable[[#This Row],[LC Stop Gain Loss]]  / SnapshotTable[[#This Row],[LC Premium]],"")</f>
        <v/>
      </c>
      <c r="EJ70" s="35">
        <f>IF(ISNUMBER(SnapshotTable[[#This Row],[Equity Shares]]),TRUNC(SnapshotTable[[#This Row],[Equity Shares]] / 100),0) + SnapshotTable[[#This Row],[LC Qty]]</f>
        <v>0</v>
      </c>
      <c r="EK70" s="145"/>
      <c r="EL70" s="136"/>
      <c r="EM70" s="146"/>
      <c r="EN70" s="145"/>
      <c r="EO70" s="145"/>
      <c r="EP70" s="136"/>
      <c r="EQ70" s="382" t="b">
        <f>AND(ISNUMBER(SnapshotTable[[#This Row],[SC Exp Date]]), ISNUMBER(SnapshotTable[[#This Row],[SC Strike Price]]), ISNUMBER(SnapshotTable[[#This Row],[SC Qty]]), ISNUMBER(SnapshotTable[[#This Row],[SC Book Date]]), ISNUMBER(SnapshotTable[[#This Row],[SC Book Price]]))</f>
        <v>0</v>
      </c>
      <c r="ER70" s="382" t="b">
        <f>AND(SnapshotTable[[#This Row],[SC Is Booked]], NOT(ISBLANK(SnapshotTable[[#This Row],[SC Fill Date]])))</f>
        <v>0</v>
      </c>
      <c r="ES70" s="340"/>
      <c r="ET70" s="34" t="str">
        <f>IF(AND(ISNUMBER(SnapshotTable[[#This Row],[SC Exp Date]]), ISNUMBER(SnapshotTable[[#This Row],[SC Book Date]])), SnapshotTable[[#This Row],[SC Exp Date]] - MAX(SnapshotTable[[#This Row],[SC Book Date]], SnapshotTable[[#This Row],[SC Fill Date]]) + 1, "")</f>
        <v/>
      </c>
      <c r="EU70" s="34" t="str">
        <f>IF(ISNUMBER(SnapshotTable[[#This Row],[SC Term]]), SnapshotTable[[#This Row],[SC Exp Date]]- MockToday, "")</f>
        <v/>
      </c>
      <c r="EV70" s="31">
        <f>IF(SnapshotTable[[#This Row],[SC Is Booked]], SnapshotTable[[#This Row],[SC Qty]] * SnapshotTable[[#This Row],[SC Book Price]] * 100, 0)</f>
        <v>0</v>
      </c>
      <c r="EW70" s="4" t="str">
        <f>IF(AND(ISNUMBER(SnapshotTable[[#This Row],[Last Price]]), ISNUMBER( SnapshotTable[[#This Row],[SC Book Price]])), SnapshotTable[[#This Row],[Last Price]] - SnapshotTable[[#This Row],[SC Book Price]],"")</f>
        <v/>
      </c>
      <c r="EX70" s="219" t="str">
        <f>IF(SnapshotTable[[#This Row],[SC Is Booked]],IF(SnapshotTable[[#This Row],[SC Intrinsic Value]] &gt; 0, SnapshotTable[[#This Row],[SC Strike Price]], SnapshotTable[[#This Row],[Last Price]]), "")</f>
        <v/>
      </c>
      <c r="EY70" s="4">
        <f>IF(SnapshotTable[[#This Row],[SC Is Booked]], (MinimumPremiumRequired * SnapshotTable[[#This Row],[SC Basis]] * SnapshotTable[[#This Row],[SC Term]]), 0)</f>
        <v>0</v>
      </c>
      <c r="EZ70" s="268"/>
      <c r="FA70" s="204"/>
      <c r="FB70" s="340"/>
      <c r="FC70" s="4">
        <f>IF(SnapshotTable[[#This Row],[SC Is Filled]], btc_max_buyback_amount(SnapshotTable[[#This Row],[SC Fill Date]],SnapshotTable[[#This Row],[SC Exp Date]], SnapshotTable[[#This Row],[SC Book Price]]),0)</f>
        <v>0</v>
      </c>
      <c r="FD70" s="5"/>
      <c r="FE70" s="142" t="str">
        <f>IF(SnapshotTable[[#This Row],[SC Is Filled]], btc_next_cutoff_date(SnapshotTable[[#This Row],[SC Fill Date]],SnapshotTable[[#This Row],[SC Exp Date]]),"")</f>
        <v/>
      </c>
      <c r="FF70" s="4" t="str" cm="1">
        <f t="array" ref="FF70">IF(SnapshotTable[[#This Row],[SC Is Filled]], btc_should_buy_back(SnapshotTable[[#This Row],[SC Fill Date]], SnapshotTable[[#This Row],[SC Exp Date]], SnapshotTable[[#This Row],[SC Book Price]], SnapshotTable[[#This Row],[SC Current Ask]], MockToday, SnapshotTable[[#This Row],[SC Buyback Override]]),"")</f>
        <v/>
      </c>
      <c r="FG70" s="4">
        <f>IF(SnapshotTable[[#This Row],[SC Is Filled]], MAX(0,SnapshotTable[[#This Row],[Last Price]]  - SnapshotTable[[#This Row],[SC Strike Price]]), 0)</f>
        <v>0</v>
      </c>
      <c r="FH70" s="352">
        <f>IF(SnapshotTable[[#This Row],[SC Is Filled]], IF(ISNUMBER(SnapshotTable[[#This Row],[SC Current Ask]]), SnapshotTable[[#This Row],[SC Current Ask]], SnapshotTable[[#This Row],[SC Book Price]]) - SnapshotTable[[#This Row],[SC Intrinsic Value]], 0)</f>
        <v>0</v>
      </c>
      <c r="FI70" s="141"/>
      <c r="FJ70" s="32" t="str">
        <f>IF(SnapshotTable[[#This Row],[SC Is Filled]],100 * SnapshotTable[[#This Row],[SC Qty]] * IF(ISNUMBER(SnapshotTable[[#This Row],[SC Buyback Override]]), SnapshotTable[[#This Row],[SC Buyback Override]], SnapshotTable[[#This Row],[SC Current Ask]]), "")</f>
        <v/>
      </c>
      <c r="FK70" s="235" t="str">
        <f>IF(SnapshotTable[[#This Row],[SC Time Val]]&gt;0, SnapshotTable[[#This Row],[SC Time Val]] / SnapshotTable[[#This Row],[Last Price]],"")</f>
        <v/>
      </c>
      <c r="FL70" s="280" t="str">
        <f>IF(SnapshotTable[[#This Row],[SC Is Booked]], ((SnapshotTable[[#This Row],[Last Price]] -SnapshotTable[[#This Row],[SC Strike Price]]) / SnapshotTable[[#This Row],[Last Price]]) * -1, "")</f>
        <v/>
      </c>
      <c r="FM70" s="155" t="str">
        <f>IF(SnapshotTable[[#This Row],[SC Is Booked]],  (SnapshotTable[[#This Row],[SC Qty]] * 100 * SnapshotTable[[#This Row],[SC Strike Price]]) - SnapshotTable[[#This Row],[SC Current Ask]], "")</f>
        <v/>
      </c>
      <c r="FN7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0" s="155" t="str">
        <f>IF(AND(ISNUMBER(SnapshotTable[[#This Row],[SC Exercise Gross]]), ISNUMBER(SnapshotTable[[#This Row],[Equity Basis Per Share]] )), SnapshotTable[[#This Row],[SC Exercise Gross]] - SnapshotTable[[#This Row],[Equity Basis Total]] +  SnapshotTable[[#This Row],[SC Premium]], "")</f>
        <v/>
      </c>
      <c r="FP70" s="5" t="str">
        <f>IF(ISNUMBER(SnapshotTable[[#This Row],[SC Exercise Gross]]), (SnapshotTable[[#This Row],[SC Exercise Gross]]) / (SnapshotTable[[#This Row],[SC Qty]] * 100), "")</f>
        <v/>
      </c>
      <c r="FQ70" s="27" t="str">
        <f>IF(SnapshotTable[[#This Row],[SC Is Booked]],SnapshotTable[[#This Row],[SC Time Val]] /SnapshotTable[[#This Row],[SC Basis]], "")</f>
        <v/>
      </c>
      <c r="FR70" s="27" t="str" cm="1">
        <f t="array" ref="FR70">IF(AND(ISNUMBER(SnapshotTable[[#This Row],[SC Term]]),ISNUMBER(SnapshotTable[[#This Row],[SC Simple ROO]])), EllmanAnnualize(SnapshotTable[[#This Row],[SC DTE]], SnapshotTable[[#This Row],[SC Simple ROO]] ),"")</f>
        <v/>
      </c>
      <c r="FS70" s="4">
        <f>IF(SnapshotTable[[#This Row],[SC Strike Price]] &gt; SnapshotTable[[#This Row],[Last Price]], SnapshotTable[[#This Row],[SC Strike Price]] - SnapshotTable[[#This Row],[Last Price]],0)</f>
        <v>0</v>
      </c>
      <c r="FT70" s="27" t="str">
        <f>IF(AND(ISNUMBER(SnapshotTable[[#This Row],[SC Upside Potential]]), SnapshotTable[[#This Row],[SC Upside Potential]] &gt; 0),(SnapshotTable[[#This Row],[SC Upside Potential]]/ SnapshotTable[[#This Row],[ACB]]),"")</f>
        <v/>
      </c>
      <c r="FU70" s="304" t="str">
        <f>IF(SnapshotTable[[#This Row],[SC Intrinsic Value]] &gt; 0,SnapshotTable[[#This Row],[SC Intrinsic Value]],"")</f>
        <v/>
      </c>
      <c r="FV70" s="27" t="str">
        <f>IF(AND( ISNUMBER( SnapshotTable[[#This Row],[ACB]]),ISNUMBER(SnapshotTable[[#This Row],[SC Downside Protect]])),SnapshotTable[[#This Row],[SC Downside Protect]] / SnapshotTable[[#This Row],[ACB]],"")</f>
        <v/>
      </c>
      <c r="FW70" s="221" t="str">
        <f>IF(AND(ISNUMBER(SnapshotTable[[#This Row],[SC Simple ROO]]),SnapshotTable[[#This Row],[SC Simple ROO]] &gt; 0), SnapshotTable[[#This Row],[SC Premium]] + (SnapshotTable[[#This Row],[SC Qty]] * SnapshotTable[[#This Row],[SC Upside Potential]]), "")</f>
        <v/>
      </c>
      <c r="FX70" s="280" t="str" cm="1">
        <f t="array" ref="FX70">IF(ISNUMBER(SnapshotTable[[#This Row],[SC Max Dollars]]), annualize(SnapshotTable[[#This Row],[SC Term]],(SnapshotTable[[#This Row],[SC Max Dollars]]/SnapshotTable[[#This Row],[SC Basis]])),"")</f>
        <v/>
      </c>
      <c r="FY70" s="221" t="str">
        <f>IF(AND(SnapshotTable[[#This Row],[SC Qty]]&gt;0,SnapshotTable[[#This Row],[SC Current Ask]]&gt;0), SnapshotTable[[#This Row],[SC Qty]] * SnapshotTable[[#This Row],[SC Current Ask]] * -100, "")</f>
        <v/>
      </c>
      <c r="FZ70" s="31" t="str">
        <f>IF(ISNUMBER((SnapshotTable[[#This Row],[SC Current Value]])), SnapshotTable[[#This Row],[SC Premium]] + SnapshotTable[[#This Row],[SC Current Value]], "")</f>
        <v/>
      </c>
      <c r="GA70" s="272" t="str">
        <f>IFERROR( IF(ISNUMBER((SnapshotTable[[#This Row],[SC Current Value]])), SnapshotTable[[#This Row],[SC Gain Loss]] / SnapshotTable[[#This Row],[SC Premium]], ""), "")</f>
        <v/>
      </c>
      <c r="GB70" s="42">
        <f>SnapshotTable[[#This Row],[Equity Shares]] * SaleSharesToConsiderPercentage</f>
        <v>0</v>
      </c>
      <c r="GC70" s="40">
        <f>SnapshotTable[[#This Row],[Long Term Target]] * SellingPriceToConsiderBasedOnTargetPercentage</f>
        <v>113.107</v>
      </c>
      <c r="GD70" s="40">
        <f>SnapshotTable[[#This Row],[Last Price]] * (1+ SellingPriceToConsiderBasedOnTargetPercentage)</f>
        <v>1.17</v>
      </c>
      <c r="GE70" s="41"/>
      <c r="GF70" s="40"/>
      <c r="GG70" s="31">
        <f>SnapshotTable[[#This Row],[Booked Sale Shares]] * SnapshotTable[[#This Row],[Booked Sale Price]]</f>
        <v>0</v>
      </c>
      <c r="GH70" s="31" t="str">
        <f>IF(SnapshotTable[[#This Row],[Equity Basis Total]] &gt; 0, SnapshotTable[[#This Row],[Equity Basis Per Share]] * SnapshotTable[[#This Row],[Booked Sale Shares]], "")</f>
        <v/>
      </c>
      <c r="GI70" s="31">
        <f>IF(SnapshotTable[[#This Row],[Sale Proceeds]]&gt;0, SnapshotTable[[#This Row],[Sale Proceeds]] - SnapshotTable[[#This Row],[Sale Basis]], 0)</f>
        <v>0</v>
      </c>
      <c r="GJ70" s="156" t="str">
        <f>IF(SnapshotTable[[#This Row],[Sale G/L]]&gt;0, SnapshotTable[[#This Row],[Sale G/L]] / SnapshotTable[[#This Row],[Sale Basis]], IF(ISNUMBER(SnapshotTable[[#This Row],[SC Exercise P&amp;L (TAX)]]), SnapshotTable[[#This Row],[SC Exercise P&amp;L (TAX)]] / SnapshotTable[[#This Row],[SC Basis]], ""))</f>
        <v/>
      </c>
      <c r="GK70" s="156" t="s">
        <v>535</v>
      </c>
      <c r="GL70" s="157" t="str">
        <f>IF(AND(SnapshotTable[[#This Row],[LP Exp Date]]&gt;0,SnapshotTable[[#This Row],[LP Strike Price]]&gt;0), [1]!ToOptionSymbol(SnapshotTable[[#This Row],[Symbol]], SnapshotTable[[#This Row],[LP Strike Price]],SnapshotTable[[#This Row],[LP Exp Date]],1), "")</f>
        <v/>
      </c>
      <c r="GM70" s="30" t="str">
        <f>IF(LEN(SnapshotTable[[#This Row],[LP Symbol]])&gt;0, 1, "")</f>
        <v/>
      </c>
      <c r="GN70" s="43" t="str">
        <f>IF(AND(SnapshotTable[[#This Row],[SP Exp Date]]&gt;0,SnapshotTable[[#This Row],[SP Strike Price]]&gt;0), [1]!ToOptionSymbol(SnapshotTable[[#This Row],[Symbol]], SnapshotTable[[#This Row],[SP Strike Price]],SnapshotTable[[#This Row],[SP Exp Date]],1), "")</f>
        <v/>
      </c>
      <c r="GO70" s="30" t="str">
        <f>IF(LEN(SnapshotTable[[#This Row],[SP Symbol]])&gt;0, 1, "")</f>
        <v/>
      </c>
      <c r="GP70" s="157" t="str">
        <f>IF(AND(SnapshotTable[[#This Row],[LC Exp Date]]&gt;0,SnapshotTable[[#This Row],[LC Strike Price]]&gt;0), [1]!ToOptionSymbol(SnapshotTable[[#This Row],[Symbol]], SnapshotTable[[#This Row],[LC Strike Price]],SnapshotTable[[#This Row],[LC Exp Date]],0), "")</f>
        <v/>
      </c>
      <c r="GQ70" s="158" t="str">
        <f>IF(LEN(SnapshotTable[[#This Row],[LC Symbol]])&gt;0, 1, "")</f>
        <v/>
      </c>
      <c r="GR70" s="157" t="str">
        <f>IF(AND(SnapshotTable[[#This Row],[SC Exp Date]]&gt;0,SnapshotTable[[#This Row],[SC Strike Price]]&gt;0), [1]!ToOptionSymbol(SnapshotTable[[#This Row],[Symbol]], SnapshotTable[[#This Row],[SC Strike Price]],SnapshotTable[[#This Row],[SC Exp Date]],0), "")</f>
        <v/>
      </c>
      <c r="GS70" s="158" t="str">
        <f>IF(LEN(SnapshotTable[[#This Row],[SC Symbol]])&gt;0, 1, "")</f>
        <v/>
      </c>
      <c r="GT70" s="159" t="str">
        <f>IF(COUNT(SnapshotTable[[#This Row],[LP Symbol Count]],SnapshotTable[[#This Row],[SP Symbol Count]],SnapshotTable[[#This Row],[LC Symbol Count]],SnapshotTable[[#This Row],[SC Symbol Count]])&gt;0, "Y", "")</f>
        <v/>
      </c>
      <c r="GU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0" s="216">
        <f>MAX(SnapshotTable[[#This Row],[Equity Basis Total]],SnapshotTable[[#This Row],[Equity Value]]) + (SnapshotTable[[#This Row],[SP Potential Spend]]- SnapshotTable[[#This Row],[SP Premium]] + SnapshotTable[[#This Row],[LP Premium]])+ (SnapshotTable[[#This Row],[LC Premium]] - SnapshotTable[[#This Row],[SC Premium]])</f>
        <v>0</v>
      </c>
      <c r="GW70" s="137" t="str">
        <f>IF(AND(SnapshotTable[[#This Row],[Exposure]] &lt;&gt; 0),SnapshotTable[[#This Row],[Exposure]] / SnapshotTable[[#Totals],[Exposure]], "")</f>
        <v/>
      </c>
      <c r="GY70" s="351"/>
      <c r="HE70" s="253"/>
      <c r="HF70" s="253"/>
      <c r="HG70" s="351"/>
      <c r="HH70" s="351"/>
      <c r="HI70" s="351"/>
      <c r="HJ70" s="351"/>
    </row>
    <row r="71" spans="2:224" ht="12.75" hidden="1" customHeight="1" x14ac:dyDescent="0.25">
      <c r="B71" s="12" t="s">
        <v>143</v>
      </c>
      <c r="C71" s="385">
        <v>132.25</v>
      </c>
      <c r="D71" s="200" t="s">
        <v>658</v>
      </c>
      <c r="E71" s="39">
        <f>SnapshotTable[[#This Row],[Last Price]]*(1 -CrashDiscount)</f>
        <v>112.41249999999999</v>
      </c>
      <c r="F71" s="26" t="s">
        <v>736</v>
      </c>
      <c r="G71" s="26" t="s">
        <v>4</v>
      </c>
      <c r="H71" s="147"/>
      <c r="I71" s="186">
        <v>44939</v>
      </c>
      <c r="J71" s="187">
        <v>44939</v>
      </c>
      <c r="K71" s="188" t="s">
        <v>3</v>
      </c>
      <c r="L71" s="297"/>
      <c r="M71" s="138"/>
      <c r="N71" s="138"/>
      <c r="O71" s="138"/>
      <c r="P71" s="22"/>
      <c r="Q71" s="25"/>
      <c r="R71" s="4" t="str">
        <f>IF(SnapshotTable[[#This Row],[Equity Basis Total]] &gt; 0, SnapshotTable[[#This Row],[Equity Basis Total]] / SnapshotTable[[#This Row],[Equity Shares]], "")</f>
        <v/>
      </c>
      <c r="S71" s="254">
        <f>SnapshotTable[[#This Row],[Last Price]] * SnapshotTable[[#This Row],[Equity Shares]]</f>
        <v>0</v>
      </c>
      <c r="T71" s="254">
        <f>SnapshotTable[[#This Row],[Equity Value]] - SnapshotTable[[#This Row],[Equity Basis Total]]</f>
        <v>0</v>
      </c>
      <c r="U71" s="255" t="str">
        <f>IF(SnapshotTable[[#This Row],[Equity Basis Total]] &gt; 0, SnapshotTable[[#This Row],[Equity G/L]] / SnapshotTable[[#This Row],[Equity Basis Total]], "")</f>
        <v/>
      </c>
      <c r="V71" s="253"/>
      <c r="W71" s="253"/>
      <c r="X71" s="4" t="str">
        <f>IF(AND(ISNUMBER(SnapshotTable[[#This Row],[Equity Basis Per Share]]),ISNUMBER(SnapshotTable[[#This Row],[Equity Target]])),SnapshotTable[[#This Row],[Equity Target]]-SnapshotTable[[#This Row],[Equity Basis Per Share]],"")</f>
        <v/>
      </c>
      <c r="Y71" s="4" t="str">
        <f>IF(AND(ISNUMBER(SnapshotTable[[#This Row],[Equity Basis Per Share]]),ISNUMBER(SnapshotTable[[#This Row],[Equity Stop Loss]])),SnapshotTable[[#This Row],[Equity Stop Loss]]-SnapshotTable[[#This Row],[Equity Basis Per Share]],"")</f>
        <v/>
      </c>
      <c r="Z71" s="260" t="str">
        <f>IFERROR( TEXT(SnapshotTable[[#This Row],[Equity Max Gain Per Share]] /ABS( SnapshotTable[[#This Row],[Equity Max Loss Per Share]]),"0.0 " ) &amp; " : 1", "")</f>
        <v/>
      </c>
      <c r="AA71" s="31" t="str">
        <f>IF(ISNUMBER(SnapshotTable[[#This Row],[Equity Max Gain Per Share]]),SnapshotTable[[#This Row],[Equity Max Gain Per Share]] * SnapshotTable[[#This Row],[Equity Shares]],"")</f>
        <v/>
      </c>
      <c r="AB71" s="31" t="str">
        <f>IF(ISNUMBER(SnapshotTable[[#This Row],[Equity Max Loss Per Share]]),SnapshotTable[[#This Row],[Equity Max Loss Per Share]] * SnapshotTable[[#This Row],[Equity Shares]],"")</f>
        <v/>
      </c>
      <c r="AC71" s="148">
        <v>0.95750000000000002</v>
      </c>
      <c r="AD71" s="149">
        <v>42972</v>
      </c>
      <c r="AE71" s="31">
        <f>(SnapshotTable[[#This Row],[Annual Dividend Per Share]] / 4) * SnapshotTable[[#This Row],[Equity Shares]]</f>
        <v>0</v>
      </c>
      <c r="AF71" s="31">
        <f>SnapshotTable[[#This Row],[Quarterly Div $]] * 4</f>
        <v>0</v>
      </c>
      <c r="AG71" s="7">
        <f>IF(SnapshotTable[[#This Row],[Annual Dividend Per Share]]&gt;0, SnapshotTable[[#This Row],[Annual Dividend Per Share]]  / SnapshotTable[[#This Row],[Last Price]], 0)</f>
        <v>7.2400756143667297E-3</v>
      </c>
      <c r="AH71" s="149">
        <v>43772</v>
      </c>
      <c r="AI71" s="5">
        <v>92</v>
      </c>
      <c r="AJ71" s="136">
        <v>85.23</v>
      </c>
      <c r="AK71" s="150">
        <f>IF(ISNUMBER( SnapshotTable[[#This Row],[EBF Target]]),(SnapshotTable[[#This Row],[EBF Target]] - SnapshotTable[[#This Row],[Last Price]]) / SnapshotTable[[#This Row],[Last Price]], "")</f>
        <v>-0.30434782608695654</v>
      </c>
      <c r="AL71" s="150" t="str">
        <f>IF(AND(SnapshotTable[[#This Row],[Equity Basis Total]] &gt; 0,ISNUMBER( SnapshotTable[[#This Row],[Long Term Target]])), SnapshotTable[[#This Row],[From Basis $]] / SnapshotTable[[#This Row],[Equity Basis Total]], "")</f>
        <v/>
      </c>
      <c r="AM71" s="9">
        <f>IF( AND(SnapshotTable[[#This Row],[Equity Shares]] &gt;0,ISNUMBER( SnapshotTable[[#This Row],[Long Term Target]])),(SnapshotTable[[#This Row],[Equity Shares]] * SnapshotTable[[#This Row],[Long Term Target]]) - SnapshotTable[[#This Row],[Equity Basis Total]],0)</f>
        <v>0</v>
      </c>
      <c r="AN71" s="9">
        <f>IF( AND(SnapshotTable[[#This Row],[Equity Shares]] &gt;0,ISNUMBER( SnapshotTable[[#This Row],[Long Term Target]])),(SnapshotTable[[#This Row],[Equity Shares]]*SnapshotTable[[#This Row],[Long Term Target]]) - SnapshotTable[[#This Row],[Equity Value]],0)</f>
        <v>0</v>
      </c>
      <c r="AO71" s="150">
        <f>IF(AND(ISNUMBER( SnapshotTable[[#This Row],[Long Term Target]]), ISNUMBER(SnapshotTable[[#This Row],[Last Price]])),(SnapshotTable[[#This Row],[Long Term Target]] - SnapshotTable[[#This Row],[Last Price]]) / SnapshotTable[[#This Row],[Last Price]], "")</f>
        <v>-0.35553875236294891</v>
      </c>
      <c r="AP71" s="5">
        <v>76.150000000000006</v>
      </c>
      <c r="AQ71" s="38" t="s">
        <v>29</v>
      </c>
      <c r="AR71" s="5">
        <v>76.150000000000006</v>
      </c>
      <c r="AS71" s="38" t="s">
        <v>28</v>
      </c>
      <c r="AT71" s="144" t="s">
        <v>466</v>
      </c>
      <c r="AU71" s="185" t="str">
        <f>IF(OR(SnapshotTable[[#This Row],[LP No Fill]]="Y",SnapshotTable[[#This Row],[SP Is Filled]],SnapshotTable[[#This Row],[LC Not Filled]]="Y",SnapshotTable[[#This Row],[SC Is Filled]]),"Y","")</f>
        <v/>
      </c>
      <c r="AV71" s="205">
        <f>72.5 + SnapshotTable[[#This Row],[ACB]]</f>
        <v>76.150000000000006</v>
      </c>
      <c r="AW71" s="211"/>
      <c r="AX71" s="206"/>
      <c r="AY71" s="205" t="str">
        <f>IF(SnapshotTable[[#This Row],[Implied Move]]&gt;0, SnapshotTable[[#This Row],[Last Price]]-SnapshotTable[[#This Row],[Implied Move]],"")</f>
        <v/>
      </c>
      <c r="AZ71" s="205" t="str">
        <f>IF(SnapshotTable[[#This Row],[Implied Move]]&gt;0, SnapshotTable[[#This Row],[Last Price]] + SnapshotTable[[#This Row],[Implied Move]],"")</f>
        <v/>
      </c>
      <c r="BA71" s="302">
        <v>3.65</v>
      </c>
      <c r="BB71" s="318"/>
      <c r="BC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1" s="321"/>
      <c r="BE71" s="5"/>
      <c r="BF71" s="14"/>
      <c r="BG71" s="13"/>
      <c r="BH71" s="13"/>
      <c r="BI71" s="5"/>
      <c r="BJ71" s="134">
        <f>IF(SnapshotTable[[#This Row],[LP Qty]] &gt; 0, SnapshotTable[[#This Row],[LP Qty]] * SnapshotTable[[#This Row],[LP Book Price]] * 100,0)</f>
        <v>0</v>
      </c>
      <c r="BK71" s="134">
        <f>IF(SnapshotTable[[#This Row],[LP Premium]] &gt; 0, SnapshotTable[[#This Row],[LP Qty]] * SnapshotTable[[#This Row],[LP Strike Price]] * 100,0)</f>
        <v>0</v>
      </c>
      <c r="BL71" s="152"/>
      <c r="BM71" s="355" t="str">
        <f>IF(SnapshotTable[[#This Row],[LP Premium]] &gt; 0,SnapshotTable[[#This Row],[LP Exp Date]]-MAX(SnapshotTable[[#This Row],[LP Book Date]], SnapshotTable[[#This Row],[LP Fill Date]]),"")</f>
        <v/>
      </c>
      <c r="BN71" s="355" t="str">
        <f>IF(ISNUMBER( SnapshotTable[[#This Row],[LP Term]]), SnapshotTable[[#This Row],[LP Exp Date]] - MockToday,"")</f>
        <v/>
      </c>
      <c r="BO71" s="161" t="str">
        <f>IF(AND(SnapshotTable[[#This Row],[LP Exp Date]]&gt;0, SnapshotTable[[#This Row],[LP Strike Price]]&gt;0,SnapshotTable[[#This Row],[LP Qty]]&gt;0,SnapshotTable[[#This Row],[LP Book Date]]&gt;0,SnapshotTable[[#This Row],[LP Book Price]]&gt;0,SnapshotTable[[#This Row],[LP Fill Date]]=0),"Y","")</f>
        <v/>
      </c>
      <c r="BP71" s="31" t="str">
        <f>IF(AND(SnapshotTable[[#This Row],[LP No Fill]]&lt;&gt;"Y",SnapshotTable[[#This Row],[LP Contract Value]]&gt;0, SnapshotTable[[#This Row],[LP Qty]]&gt;0), SnapshotTable[[#This Row],[LP Contract Value]]*SnapshotTable[[#This Row],[LP Qty]]*100,"")</f>
        <v/>
      </c>
      <c r="BQ71" s="13"/>
      <c r="BR71" s="5"/>
      <c r="BS71" s="36"/>
      <c r="BT71" s="145"/>
      <c r="BU71" s="13"/>
      <c r="BV71" s="5"/>
      <c r="BW71" s="382" t="b">
        <f>AND(ISNUMBER(SnapshotTable[[#This Row],[SP Exp Date]]), ISNUMBER(SnapshotTable[[#This Row],[SP Strike Price]]), ISNUMBER(SnapshotTable[[#This Row],[SP Qty]]), ISNUMBER(SnapshotTable[[#This Row],[SP Book Date]]), ISNUMBER(SnapshotTable[[#This Row],[SP Book Price]]))</f>
        <v>0</v>
      </c>
      <c r="BX71" s="382" t="b">
        <f>AND(SnapshotTable[[#This Row],[SP Is Booked]], NOT(ISBLANK(SnapshotTable[[#This Row],[SP Fill Date]])))</f>
        <v>0</v>
      </c>
      <c r="BY71" s="33">
        <f>IF(SnapshotTable[[#This Row],[SP Is Booked]], SnapshotTable[[#This Row],[SP Qty]] * SnapshotTable[[#This Row],[SP Book Price]] * 100, 0)</f>
        <v>0</v>
      </c>
      <c r="BZ71" s="339"/>
      <c r="CA71" s="338">
        <f>SnapshotTable[[#This Row],[LP Qty]]</f>
        <v>0</v>
      </c>
      <c r="CB71" s="4" t="str">
        <f>IF(SnapshotTable[[#This Row],[SP Is Booked]], SnapshotTable[[#This Row],[SP Strike Price]] - SnapshotTable[[#This Row],[SP Book Price]], "")</f>
        <v/>
      </c>
      <c r="CC71" s="19" t="str">
        <f>IF(SnapshotTable[[#This Row],[SP Is Booked]],SnapshotTable[[#This Row],[SP Exp Date]]-MAX(SnapshotTable[[#This Row],[SP Book Date]], SnapshotTable[[#This Row],[SP Fill Date]]),"")</f>
        <v/>
      </c>
      <c r="CD71" s="7" t="str">
        <f>IF(SnapshotTable[[#This Row],[SP Is Booked]], SnapshotTable[[#This Row],[SP Book Price]]/SnapshotTable[[#This Row],[SP Strike Price]], "")</f>
        <v/>
      </c>
      <c r="CE71" s="7" t="str">
        <f>IF(ISNUMBER(SnapshotTable[[#This Row],[SP ROO Term]]),SnapshotTable[[#This Row],[SP ROO Term]]*(365/SnapshotTable[[#This Row],[SP Term]]),"")</f>
        <v/>
      </c>
      <c r="CF71" s="221">
        <f>SnapshotTable[[#This Row],[LP Strike Price]] * SnapshotTable[[#This Row],[LP Qty]] * 100</f>
        <v>0</v>
      </c>
      <c r="CG71" s="31">
        <f>IF(ISNUMBER(SnapshotTable[[#This Row],[SP Premium]]), (SnapshotTable[[#This Row],[SP Qty]] * SnapshotTable[[#This Row],[SP Strike Price]]* 100) - SnapshotTable[[#This Row],[LP Protection]], 0)</f>
        <v>0</v>
      </c>
      <c r="CH71" s="7" t="str">
        <f>IF(ISNUMBER(SnapshotTable[[#This Row],[SP Break Even]]),-1 * (SnapshotTable[[#This Row],[SP Break Even]] - SnapshotTable[[#This Row],[Last Price]]) / SnapshotTable[[#This Row],[Last Price]], "")</f>
        <v/>
      </c>
      <c r="CI71" s="31">
        <f>IF(AND(ISNUMBER((SnapshotTable[[#This Row],[SP Potential Spend]])), SnapshotTable[[#This Row],[SP Strike Price]] &gt; SnapshotTable[[#This Row],[Last Price]], SnapshotTable[[#This Row],[SP Is Filled]]), SnapshotTable[[#This Row],[SP Potential Spend]] -  SnapshotTable[[#This Row],[LP Max Value]], 0)</f>
        <v>0</v>
      </c>
      <c r="CJ71" s="229"/>
      <c r="CK71" s="31">
        <f>IF(ISNUMBER(SnapshotTable[[#This Row],[SP Potential Spend]]),IF(ISNUMBER(SnapshotTable[[#This Row],[SP POW]]), SnapshotTable[[#This Row],[SP POW]] * SnapshotTable[[#This Row],[SP Potential Spend]], SnapshotTable[[#This Row],[SP Potential Spend]]), "")</f>
        <v>0</v>
      </c>
      <c r="CL71" s="162">
        <f>IF(NOT(SnapshotTable[[#This Row],[SP Is Filled]]),(SnapshotTable[[#This Row],[SP Qty]] * SnapshotTable[[#This Row],[SP Strike Price]] * 100) - SnapshotTable[[#This Row],[LP Max Value]],"")</f>
        <v>0</v>
      </c>
      <c r="CM71" s="31" t="str">
        <f>IF(SnapshotTable[[#This Row],[SP Actual Spend]]&lt;&gt;0, ((SnapshotTable[[#This Row],[SP Strike Price]]-SnapshotTable[[#This Row],[Last Price]]) *(SnapshotTable[[#This Row],[SP Qty]]*100) - SnapshotTable[[#This Row],[SP Premium]]) * - 1, "")</f>
        <v/>
      </c>
      <c r="CN71" s="76"/>
      <c r="CO71" s="339"/>
      <c r="CP71" s="4" t="str">
        <f>IF(SnapshotTable[[#This Row],[SP Is Filled]], btc_max_buyback_amount(SnapshotTable[[#This Row],[SP Fill Date]],SnapshotTable[[#This Row],[SP Exp Date]], SnapshotTable[[#This Row],[SP Book Price]]),"")</f>
        <v/>
      </c>
      <c r="CQ71" s="76"/>
      <c r="CR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1" s="153" t="str">
        <f>IF(SnapshotTable[[#This Row],[SP Is Filled]], btc_next_cutoff_date(SnapshotTable[[#This Row],[SP Fill Date]],SnapshotTable[[#This Row],[SP Exp Date]]),"")</f>
        <v/>
      </c>
      <c r="CT71" s="220" t="str" cm="1">
        <f t="array" ref="CT71">IF(SnapshotTable[[#This Row],[SP Is Filled]], btc_should_buy_back(SnapshotTable[[#This Row],[SP Fill Date]], SnapshotTable[[#This Row],[SP Exp Date]], SnapshotTable[[#This Row],[SP Book Price]], SnapshotTable[[#This Row],[SP Current Ask]], MockToday, SnapshotTable[[#This Row],[SP Buyback Override]]),"")</f>
        <v/>
      </c>
      <c r="CU71" s="141"/>
      <c r="CV71" s="220"/>
      <c r="CW71" s="348" t="str">
        <f>IF(ISNUMBER( SnapshotTable[[#This Row],[SP Term]]), SnapshotTable[[#This Row],[SP Exp Date]] - MockToday,"")</f>
        <v/>
      </c>
      <c r="CX71" s="31" t="str">
        <f>IF(SnapshotTable[[#This Row],[SP Is Filled]],SnapshotTable[[#This Row],[SP Buyback Price to Use]] * 100 * SnapshotTable[[#This Row],[SP Qty]], "")</f>
        <v/>
      </c>
      <c r="CY71" s="4" t="str">
        <f>IF(ISNUMBER(SnapshotTable[[#This Row],[SP Strike Price]]), SnapshotTable[[#This Row],[SP Strike Price]] * (1 - SP_MaxLoss_StrikePct), "")</f>
        <v/>
      </c>
      <c r="CZ71" s="31" t="str">
        <f>IF(ISNUMBER(SnapshotTable[[#This Row],[SP Strike  Stop Per Share]]),SnapshotTable[[#This Row],[SP Premium]] - ((SnapshotTable[[#This Row],[SP Strike Price]]-SnapshotTable[[#This Row],[SP Strike  Stop Per Share]]) *(SnapshotTable[[#This Row],[SP Qty]] * 100)),"")</f>
        <v/>
      </c>
      <c r="DA71" s="4" t="str">
        <f>IF(AND(ISNUMBER(SnapshotTable[[#This Row],[SP Premium]]),SnapshotTable[[#This Row],[SP Premium]]&gt;0), SnapshotTable[[#This Row],[SP Book Price]] * (1 + SP_MaxLoss_OptionPct), "")</f>
        <v/>
      </c>
      <c r="DB71" s="31" t="str">
        <f>IF(ISNUMBER(SnapshotTable[[#This Row],[SP Option  Stop Contract]]),(SnapshotTable[[#This Row],[SP Option  Stop Contract]] *(SnapshotTable[[#This Row],[SP Qty]] * 100) - SnapshotTable[[#This Row],[SP Premium]]),"")</f>
        <v/>
      </c>
      <c r="DC71" s="4"/>
      <c r="DD71" s="4"/>
      <c r="DE71" s="4" t="str">
        <f>IF(AND(SnapshotTable[[#This Row],[SP Qty]]&gt;0, SnapshotTable[[#This Row],[SP Stop To Use]]&gt;0),SnapshotTable[[#This Row],[SP Premium]] - ( SnapshotTable[[#This Row],[SP Qty]] * SnapshotTable[[#This Row],[SP Stop To Use]] * 100), "")</f>
        <v/>
      </c>
      <c r="DF71" s="31" t="str">
        <f>IF(AND(SnapshotTable[[#This Row],[SP Qty]]&gt;0,SnapshotTable[[#This Row],[SP Current Ask]]&gt;0), SnapshotTable[[#This Row],[SP Qty]] * SnapshotTable[[#This Row],[SP Current Ask]] * -100, "")</f>
        <v/>
      </c>
      <c r="DG71" s="31" t="str">
        <f>IF(ISNUMBER((SnapshotTable[[#This Row],[SP Total Value]])), SnapshotTable[[#This Row],[SP Premium]] + SnapshotTable[[#This Row],[SP Total Value]], "")</f>
        <v/>
      </c>
      <c r="DH71" s="272" t="str">
        <f>IF(ISNUMBER((SnapshotTable[[#This Row],[SP Total Value]])), SnapshotTable[[#This Row],[SP Gain Loss]] / SnapshotTable[[#This Row],[SP Premium]], "")</f>
        <v/>
      </c>
      <c r="DI71" s="369"/>
      <c r="DJ71" s="136"/>
      <c r="DK71" s="146"/>
      <c r="DL71" s="13"/>
      <c r="DM71" s="13"/>
      <c r="DO71" s="31">
        <f>IF(SnapshotTable[[#This Row],[LC Symbol Count]]=1, SnapshotTable[[#This Row],[LC Qty]] * SnapshotTable[[#This Row],[LC Book Price]] * 100, 0)</f>
        <v>0</v>
      </c>
      <c r="DP71" s="161" t="str">
        <f>IF(AND(SnapshotTable[[#This Row],[LC Exp Date]]&gt;0, SnapshotTable[[#This Row],[LC Strike Price]]&gt;0,SnapshotTable[[#This Row],[LC Qty]]&gt;0,SnapshotTable[[#This Row],[LC Book Date]]&gt;0,SnapshotTable[[#This Row],[LC Book Price]]&gt;0,SnapshotTable[[#This Row],[LC Fill Date]]=0),"Y","")</f>
        <v/>
      </c>
      <c r="DQ71" s="356" t="str">
        <f>IF(SnapshotTable[[#This Row],[LC Premium]] &gt; 0,SnapshotTable[[#This Row],[LC Exp Date]]-MAX(SnapshotTable[[#This Row],[LC Book Date]], SnapshotTable[[#This Row],[LC Fill Date]]),"")</f>
        <v/>
      </c>
      <c r="DR71" s="356" t="str">
        <f>IF(ISNUMBER(SnapshotTable[[#This Row],[LC Term]]), SnapshotTable[[#This Row],[LC Exp Date]] - MockToday, "")</f>
        <v/>
      </c>
      <c r="DS71" s="219" t="str">
        <f>IF(SnapshotTable[[#This Row],[LC Premium]]&gt;0,SnapshotTable[[#This Row],[LC Strike Price]] + SnapshotTable[[#This Row],[LC Book Price]],"")</f>
        <v/>
      </c>
      <c r="DU71" s="9" t="str">
        <f>IF(AND(SnapshotTable[[#This Row],[LC Symbol Count]]&gt;0, SnapshotTable[[#This Row],[LC Contract Value]]&gt;0), SnapshotTable[[#This Row],[LC Contract Value]] * SnapshotTable[[#This Row],[LC Qty]] * 100, "")</f>
        <v/>
      </c>
      <c r="DV71" s="9" t="str">
        <f>IF(AND(ISNUMBER(SnapshotTable[[#This Row],[LC Total Value]]), SnapshotTable[[#This Row],[LC Not Filled]]&lt;&gt;"Y"), SnapshotTable[[#This Row],[LC Total Value]]-SnapshotTable[[#This Row],[LC Premium]],"")</f>
        <v/>
      </c>
      <c r="DW71" s="225" t="str">
        <f>IF(ISNUMBER(SnapshotTable[[#This Row],[LC Actual Gain Loss]]), SnapshotTable[[#This Row],[LC Actual Gain Loss]] / SnapshotTable[[#This Row],[LC Premium]],"")</f>
        <v/>
      </c>
      <c r="DX71" s="269" t="str">
        <f>IF(ISNUMBER(SnapshotTable[[#This Row],[LC Book Price]]),SnapshotTable[[#This Row],[LC Book Price]] * 1.5,"")</f>
        <v/>
      </c>
      <c r="DY71" s="250" t="str">
        <f>IF(SnapshotTable[[#This Row],[LC Premium]]&gt;0, SnapshotTable[[#This Row],[LC Next Target]] * SnapshotTable[[#This Row],[LC Qty]] * 100,"")</f>
        <v/>
      </c>
      <c r="DZ71" s="250" t="str">
        <f>IF(ISNUMBER(SnapshotTable[[#This Row],[LC Target Gross]]), SnapshotTable[[#This Row],[LC Target Gross]] - SnapshotTable[[#This Row],[LC Premium]], "")</f>
        <v/>
      </c>
      <c r="EA71" s="283" t="str">
        <f>IF(ISNUMBER(SnapshotTable[[#This Row],[LC Target Gain Loss]]), SnapshotTable[[#This Row],[LC Target Gain Loss]]/SnapshotTable[[#This Row],[LC Premium]], "")</f>
        <v/>
      </c>
      <c r="EB71" s="247"/>
      <c r="EC71" s="268" t="str">
        <f>IF(SnapshotTable[[#This Row],[LC Premium]]&gt;0, SnapshotTable[[#This Row],[LC Book Price]] * (1 - LC_StopLoss_Pct),"")</f>
        <v/>
      </c>
      <c r="ED71" s="269"/>
      <c r="EE71" s="268" t="str">
        <f>IF(ISNUMBER(SnapshotTable[[#This Row],[LC Contract Value]]),IF(ISNUMBER(SnapshotTable[[#This Row],[LC Stop Loss Override]]), SnapshotTable[[#This Row],[LC Stop Loss Override]],SnapshotTable[[#This Row],[LC Stop Loss Calc Target]]),"")</f>
        <v/>
      </c>
      <c r="EF71" s="31" t="str">
        <f>IF(ISNUMBER(SnapshotTable[[#This Row],[LC Stop  To Use]]), (SnapshotTable[[#This Row],[LC Stop  To Use]] * SnapshotTable[[#This Row],[LC Qty]] * 100),"")</f>
        <v/>
      </c>
      <c r="EG71" s="9" t="str">
        <f>IF(ISNUMBER(SnapshotTable[[#This Row],[LC Total Value]]),SnapshotTable[[#This Row],[LC Stop Loss Amount]] - SnapshotTable[[#This Row],[LC Premium]],"")</f>
        <v/>
      </c>
      <c r="EH71" s="9">
        <f>IF(ISNUMBER(SnapshotTable[[#This Row],[LC Premium]]), SnapshotTable[[#This Row],[LC Qty]] * 100 * SnapshotTable[[#This Row],[LC Strike Price]], "")</f>
        <v>0</v>
      </c>
      <c r="EI71" s="225" t="str">
        <f>IF(AND(ISNUMBER(SnapshotTable[[#This Row],[LC Total Value]]),SnapshotTable[[#This Row],[LC Total Value]]&gt;0),SnapshotTable[[#This Row],[LC Stop Gain Loss]]  / SnapshotTable[[#This Row],[LC Premium]],"")</f>
        <v/>
      </c>
      <c r="EJ71" s="35">
        <f>IF(ISNUMBER(SnapshotTable[[#This Row],[Equity Shares]]),TRUNC(SnapshotTable[[#This Row],[Equity Shares]] / 100),0) + SnapshotTable[[#This Row],[LC Qty]]</f>
        <v>0</v>
      </c>
      <c r="EK71" s="145"/>
      <c r="EL71" s="136"/>
      <c r="EM71" s="146"/>
      <c r="EN71" s="145"/>
      <c r="EO71" s="145"/>
      <c r="EP71" s="136"/>
      <c r="EQ71" s="382" t="b">
        <f>AND(ISNUMBER(SnapshotTable[[#This Row],[SC Exp Date]]), ISNUMBER(SnapshotTable[[#This Row],[SC Strike Price]]), ISNUMBER(SnapshotTable[[#This Row],[SC Qty]]), ISNUMBER(SnapshotTable[[#This Row],[SC Book Date]]), ISNUMBER(SnapshotTable[[#This Row],[SC Book Price]]))</f>
        <v>0</v>
      </c>
      <c r="ER71" s="382" t="b">
        <f>AND(SnapshotTable[[#This Row],[SC Is Booked]], NOT(ISBLANK(SnapshotTable[[#This Row],[SC Fill Date]])))</f>
        <v>0</v>
      </c>
      <c r="ES71" s="340"/>
      <c r="ET71" s="34" t="str">
        <f>IF(AND(ISNUMBER(SnapshotTable[[#This Row],[SC Exp Date]]), ISNUMBER(SnapshotTable[[#This Row],[SC Book Date]])), SnapshotTable[[#This Row],[SC Exp Date]] - MAX(SnapshotTable[[#This Row],[SC Book Date]], SnapshotTable[[#This Row],[SC Fill Date]]) + 1, "")</f>
        <v/>
      </c>
      <c r="EU71" s="34" t="str">
        <f>IF(ISNUMBER(SnapshotTable[[#This Row],[SC Term]]), SnapshotTable[[#This Row],[SC Exp Date]]- MockToday, "")</f>
        <v/>
      </c>
      <c r="EV71" s="31">
        <f>IF(SnapshotTable[[#This Row],[SC Is Booked]], SnapshotTable[[#This Row],[SC Qty]] * SnapshotTable[[#This Row],[SC Book Price]] * 100, 0)</f>
        <v>0</v>
      </c>
      <c r="EW71" s="4" t="str">
        <f>IF(AND(ISNUMBER(SnapshotTable[[#This Row],[Last Price]]), ISNUMBER( SnapshotTable[[#This Row],[SC Book Price]])), SnapshotTable[[#This Row],[Last Price]] - SnapshotTable[[#This Row],[SC Book Price]],"")</f>
        <v/>
      </c>
      <c r="EX71" s="219" t="str">
        <f>IF(SnapshotTable[[#This Row],[SC Is Booked]],IF(SnapshotTable[[#This Row],[SC Intrinsic Value]] &gt; 0, SnapshotTable[[#This Row],[SC Strike Price]], SnapshotTable[[#This Row],[Last Price]]), "")</f>
        <v/>
      </c>
      <c r="EY71" s="4">
        <f>IF(SnapshotTable[[#This Row],[SC Is Booked]], (MinimumPremiumRequired * SnapshotTable[[#This Row],[SC Basis]] * SnapshotTable[[#This Row],[SC Term]]), 0)</f>
        <v>0</v>
      </c>
      <c r="EZ71" s="268"/>
      <c r="FA71" s="204"/>
      <c r="FB71" s="340"/>
      <c r="FC71" s="4">
        <f>IF(SnapshotTable[[#This Row],[SC Is Filled]], btc_max_buyback_amount(SnapshotTable[[#This Row],[SC Fill Date]],SnapshotTable[[#This Row],[SC Exp Date]], SnapshotTable[[#This Row],[SC Book Price]]),0)</f>
        <v>0</v>
      </c>
      <c r="FD71" s="5"/>
      <c r="FE71" s="142" t="str">
        <f>IF(SnapshotTable[[#This Row],[SC Is Filled]], btc_next_cutoff_date(SnapshotTable[[#This Row],[SC Fill Date]],SnapshotTable[[#This Row],[SC Exp Date]]),"")</f>
        <v/>
      </c>
      <c r="FF71" s="4" t="str" cm="1">
        <f t="array" ref="FF71">IF(SnapshotTable[[#This Row],[SC Is Filled]], btc_should_buy_back(SnapshotTable[[#This Row],[SC Fill Date]], SnapshotTable[[#This Row],[SC Exp Date]], SnapshotTable[[#This Row],[SC Book Price]], SnapshotTable[[#This Row],[SC Current Ask]], MockToday, SnapshotTable[[#This Row],[SC Buyback Override]]),"")</f>
        <v/>
      </c>
      <c r="FG71" s="4">
        <f>IF(SnapshotTable[[#This Row],[SC Is Filled]], MAX(0,SnapshotTable[[#This Row],[Last Price]]  - SnapshotTable[[#This Row],[SC Strike Price]]), 0)</f>
        <v>0</v>
      </c>
      <c r="FH71" s="352">
        <f>IF(SnapshotTable[[#This Row],[SC Is Filled]], IF(ISNUMBER(SnapshotTable[[#This Row],[SC Current Ask]]), SnapshotTable[[#This Row],[SC Current Ask]], SnapshotTable[[#This Row],[SC Book Price]]) - SnapshotTable[[#This Row],[SC Intrinsic Value]], 0)</f>
        <v>0</v>
      </c>
      <c r="FI71" s="141"/>
      <c r="FJ71" s="32" t="str">
        <f>IF(SnapshotTable[[#This Row],[SC Is Filled]],100 * SnapshotTable[[#This Row],[SC Qty]] * IF(ISNUMBER(SnapshotTable[[#This Row],[SC Buyback Override]]), SnapshotTable[[#This Row],[SC Buyback Override]], SnapshotTable[[#This Row],[SC Current Ask]]), "")</f>
        <v/>
      </c>
      <c r="FK71" s="235" t="str">
        <f>IF(SnapshotTable[[#This Row],[SC Time Val]]&gt;0, SnapshotTable[[#This Row],[SC Time Val]] / SnapshotTable[[#This Row],[Last Price]],"")</f>
        <v/>
      </c>
      <c r="FL71" s="280" t="str">
        <f>IF(SnapshotTable[[#This Row],[SC Is Booked]], ((SnapshotTable[[#This Row],[Last Price]] -SnapshotTable[[#This Row],[SC Strike Price]]) / SnapshotTable[[#This Row],[Last Price]]) * -1, "")</f>
        <v/>
      </c>
      <c r="FM71" s="155" t="str">
        <f>IF(SnapshotTable[[#This Row],[SC Is Booked]],  (SnapshotTable[[#This Row],[SC Qty]] * 100 * SnapshotTable[[#This Row],[SC Strike Price]]) - SnapshotTable[[#This Row],[SC Current Ask]], "")</f>
        <v/>
      </c>
      <c r="FN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1" s="31" t="str">
        <f>IF(AND(ISNUMBER(SnapshotTable[[#This Row],[SC Exercise Gross]]), ISNUMBER(SnapshotTable[[#This Row],[Equity Basis Per Share]] )), SnapshotTable[[#This Row],[SC Exercise Gross]] - SnapshotTable[[#This Row],[Equity Basis Total]] +  SnapshotTable[[#This Row],[SC Premium]], "")</f>
        <v/>
      </c>
      <c r="FP71" s="5" t="str">
        <f>IF(ISNUMBER(SnapshotTable[[#This Row],[SC Exercise Gross]]), (SnapshotTable[[#This Row],[SC Exercise Gross]]) / (SnapshotTable[[#This Row],[SC Qty]] * 100), "")</f>
        <v/>
      </c>
      <c r="FQ71" s="27" t="str">
        <f>IF(SnapshotTable[[#This Row],[SC Is Booked]],SnapshotTable[[#This Row],[SC Time Val]] /SnapshotTable[[#This Row],[SC Basis]], "")</f>
        <v/>
      </c>
      <c r="FR71" s="27" t="str" cm="1">
        <f t="array" ref="FR71">IF(AND(ISNUMBER(SnapshotTable[[#This Row],[SC Term]]),ISNUMBER(SnapshotTable[[#This Row],[SC Simple ROO]])), EllmanAnnualize(SnapshotTable[[#This Row],[SC DTE]], SnapshotTable[[#This Row],[SC Simple ROO]] ),"")</f>
        <v/>
      </c>
      <c r="FS71" s="4">
        <f>IF(SnapshotTable[[#This Row],[SC Strike Price]] &gt; SnapshotTable[[#This Row],[Last Price]], SnapshotTable[[#This Row],[SC Strike Price]] - SnapshotTable[[#This Row],[Last Price]],0)</f>
        <v>0</v>
      </c>
      <c r="FT71" s="27" t="str">
        <f>IF(AND(ISNUMBER(SnapshotTable[[#This Row],[SC Upside Potential]]), SnapshotTable[[#This Row],[SC Upside Potential]] &gt; 0),(SnapshotTable[[#This Row],[SC Upside Potential]]/ SnapshotTable[[#This Row],[ACB]]),"")</f>
        <v/>
      </c>
      <c r="FU71" s="304" t="str">
        <f>IF(SnapshotTable[[#This Row],[SC Intrinsic Value]] &gt; 0,SnapshotTable[[#This Row],[SC Intrinsic Value]],"")</f>
        <v/>
      </c>
      <c r="FV71" s="27" t="str">
        <f>IF(AND( ISNUMBER( SnapshotTable[[#This Row],[ACB]]),ISNUMBER(SnapshotTable[[#This Row],[SC Downside Protect]])),SnapshotTable[[#This Row],[SC Downside Protect]] / SnapshotTable[[#This Row],[ACB]],"")</f>
        <v/>
      </c>
      <c r="FW71" s="221" t="str">
        <f>IF(AND(ISNUMBER(SnapshotTable[[#This Row],[SC Simple ROO]]),SnapshotTable[[#This Row],[SC Simple ROO]] &gt; 0), SnapshotTable[[#This Row],[SC Premium]] + (SnapshotTable[[#This Row],[SC Qty]] * SnapshotTable[[#This Row],[SC Upside Potential]]), "")</f>
        <v/>
      </c>
      <c r="FX71" s="280" t="str" cm="1">
        <f t="array" ref="FX71">IF(ISNUMBER(SnapshotTable[[#This Row],[SC Max Dollars]]), annualize(SnapshotTable[[#This Row],[SC Term]],(SnapshotTable[[#This Row],[SC Max Dollars]]/SnapshotTable[[#This Row],[SC Basis]])),"")</f>
        <v/>
      </c>
      <c r="FY71" s="221" t="str">
        <f>IF(AND(SnapshotTable[[#This Row],[SC Qty]]&gt;0,SnapshotTable[[#This Row],[SC Current Ask]]&gt;0), SnapshotTable[[#This Row],[SC Qty]] * SnapshotTable[[#This Row],[SC Current Ask]] * -100, "")</f>
        <v/>
      </c>
      <c r="FZ71" s="31" t="str">
        <f>IF(ISNUMBER((SnapshotTable[[#This Row],[SC Current Value]])), SnapshotTable[[#This Row],[SC Premium]] + SnapshotTable[[#This Row],[SC Current Value]], "")</f>
        <v/>
      </c>
      <c r="GA71" s="272" t="str">
        <f>IFERROR( IF(ISNUMBER((SnapshotTable[[#This Row],[SC Current Value]])), SnapshotTable[[#This Row],[SC Gain Loss]] / SnapshotTable[[#This Row],[SC Premium]], ""), "")</f>
        <v/>
      </c>
      <c r="GB71" s="42">
        <f>SnapshotTable[[#This Row],[Equity Shares]] * SaleSharesToConsiderPercentage</f>
        <v>0</v>
      </c>
      <c r="GC71" s="40">
        <f>SnapshotTable[[#This Row],[Long Term Target]] * SellingPriceToConsiderBasedOnTargetPercentage</f>
        <v>80.968500000000006</v>
      </c>
      <c r="GD71" s="40">
        <f>SnapshotTable[[#This Row],[Last Price]] * (1+ SellingPriceToConsiderBasedOnTargetPercentage)</f>
        <v>257.88749999999999</v>
      </c>
      <c r="GE71" s="41"/>
      <c r="GF71" s="40"/>
      <c r="GG71" s="31">
        <f>SnapshotTable[[#This Row],[Booked Sale Shares]] * SnapshotTable[[#This Row],[Booked Sale Price]]</f>
        <v>0</v>
      </c>
      <c r="GH71" s="31" t="str">
        <f>IF(SnapshotTable[[#This Row],[Equity Basis Total]] &gt; 0, SnapshotTable[[#This Row],[Equity Basis Per Share]] * SnapshotTable[[#This Row],[Booked Sale Shares]], "")</f>
        <v/>
      </c>
      <c r="GI71" s="31">
        <f>IF(SnapshotTable[[#This Row],[Sale Proceeds]]&gt;0, SnapshotTable[[#This Row],[Sale Proceeds]] - SnapshotTable[[#This Row],[Sale Basis]], 0)</f>
        <v>0</v>
      </c>
      <c r="GJ71" s="27" t="str">
        <f>IF(SnapshotTable[[#This Row],[Sale G/L]]&gt;0, SnapshotTable[[#This Row],[Sale G/L]] / SnapshotTable[[#This Row],[Sale Basis]], IF(ISNUMBER(SnapshotTable[[#This Row],[SC Exercise P&amp;L (TAX)]]), SnapshotTable[[#This Row],[SC Exercise P&amp;L (TAX)]] / SnapshotTable[[#This Row],[SC Basis]], ""))</f>
        <v/>
      </c>
      <c r="GK71" s="27" t="s">
        <v>500</v>
      </c>
      <c r="GL71" s="43" t="str">
        <f>IF(AND(SnapshotTable[[#This Row],[LP Exp Date]]&gt;0,SnapshotTable[[#This Row],[LP Strike Price]]&gt;0), [1]!ToOptionSymbol(SnapshotTable[[#This Row],[Symbol]], SnapshotTable[[#This Row],[LP Strike Price]],SnapshotTable[[#This Row],[LP Exp Date]],1), "")</f>
        <v/>
      </c>
      <c r="GM71" s="30" t="str">
        <f>IF(LEN(SnapshotTable[[#This Row],[LP Symbol]])&gt;0, 1, "")</f>
        <v/>
      </c>
      <c r="GN71" s="43" t="str">
        <f>IF(AND(SnapshotTable[[#This Row],[SP Exp Date]]&gt;0,SnapshotTable[[#This Row],[SP Strike Price]]&gt;0), [1]!ToOptionSymbol(SnapshotTable[[#This Row],[Symbol]], SnapshotTable[[#This Row],[SP Strike Price]],SnapshotTable[[#This Row],[SP Exp Date]],1), "")</f>
        <v/>
      </c>
      <c r="GO71" s="30" t="str">
        <f>IF(LEN(SnapshotTable[[#This Row],[SP Symbol]])&gt;0, 1, "")</f>
        <v/>
      </c>
      <c r="GP71" s="43" t="str">
        <f>IF(AND(SnapshotTable[[#This Row],[LC Exp Date]]&gt;0,SnapshotTable[[#This Row],[LC Strike Price]]&gt;0), [1]!ToOptionSymbol(SnapshotTable[[#This Row],[Symbol]], SnapshotTable[[#This Row],[LC Strike Price]],SnapshotTable[[#This Row],[LC Exp Date]],0), "")</f>
        <v/>
      </c>
      <c r="GQ71" s="30" t="str">
        <f>IF(LEN(SnapshotTable[[#This Row],[LC Symbol]])&gt;0, 1, "")</f>
        <v/>
      </c>
      <c r="GR71" s="43" t="str">
        <f>IF(AND(SnapshotTable[[#This Row],[SC Exp Date]]&gt;0,SnapshotTable[[#This Row],[SC Strike Price]]&gt;0), [1]!ToOptionSymbol(SnapshotTable[[#This Row],[Symbol]], SnapshotTable[[#This Row],[SC Strike Price]],SnapshotTable[[#This Row],[SC Exp Date]],0), "")</f>
        <v/>
      </c>
      <c r="GS71" s="30" t="str">
        <f>IF(LEN(SnapshotTable[[#This Row],[SC Symbol]])&gt;0, 1, "")</f>
        <v/>
      </c>
      <c r="GT71" s="29" t="str">
        <f>IF(COUNT(SnapshotTable[[#This Row],[LP Symbol Count]],SnapshotTable[[#This Row],[SP Symbol Count]],SnapshotTable[[#This Row],[LC Symbol Count]],SnapshotTable[[#This Row],[SC Symbol Count]])&gt;0, "Y", "")</f>
        <v/>
      </c>
      <c r="GU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1" s="216">
        <f>MAX(SnapshotTable[[#This Row],[Equity Basis Total]],SnapshotTable[[#This Row],[Equity Value]]) + (SnapshotTable[[#This Row],[SP Potential Spend]]- SnapshotTable[[#This Row],[SP Premium]] + SnapshotTable[[#This Row],[LP Premium]])+ (SnapshotTable[[#This Row],[LC Premium]] - SnapshotTable[[#This Row],[SC Premium]])</f>
        <v>0</v>
      </c>
      <c r="GW71" s="137" t="str">
        <f>IF(AND(SnapshotTable[[#This Row],[Exposure]] &lt;&gt; 0),SnapshotTable[[#This Row],[Exposure]] / SnapshotTable[[#Totals],[Exposure]], "")</f>
        <v/>
      </c>
      <c r="HE71" s="253"/>
      <c r="HF71" s="253"/>
      <c r="HK71" s="1"/>
      <c r="HL71" s="1"/>
      <c r="HM71" s="1"/>
      <c r="HN71" s="1"/>
      <c r="HO71" s="1"/>
      <c r="HP71" s="1"/>
    </row>
    <row r="72" spans="2:224" ht="12.75" hidden="1" customHeight="1" x14ac:dyDescent="0.25">
      <c r="B72" s="12" t="s">
        <v>48</v>
      </c>
      <c r="C72" s="385">
        <v>164.36</v>
      </c>
      <c r="D72" s="200"/>
      <c r="E72" s="39">
        <f>SnapshotTable[[#This Row],[Last Price]]*(1 -CrashDiscount)</f>
        <v>139.70600000000002</v>
      </c>
      <c r="F72" s="26" t="s">
        <v>47</v>
      </c>
      <c r="G72" s="26" t="s">
        <v>10</v>
      </c>
      <c r="H72" s="147"/>
      <c r="I72" s="186">
        <v>44774.666666666664</v>
      </c>
      <c r="J72" s="187">
        <v>44774.666666666664</v>
      </c>
      <c r="K72" s="188"/>
      <c r="L72" s="297"/>
      <c r="M72" s="138"/>
      <c r="N72" s="138"/>
      <c r="O72" s="138"/>
      <c r="P72" s="22"/>
      <c r="Q72" s="25"/>
      <c r="R72" s="4" t="str">
        <f>IF(SnapshotTable[[#This Row],[Equity Basis Total]] &gt; 0, SnapshotTable[[#This Row],[Equity Basis Total]] / SnapshotTable[[#This Row],[Equity Shares]], "")</f>
        <v/>
      </c>
      <c r="S72" s="254">
        <f>SnapshotTable[[#This Row],[Last Price]] * SnapshotTable[[#This Row],[Equity Shares]]</f>
        <v>0</v>
      </c>
      <c r="T72" s="254">
        <f>SnapshotTable[[#This Row],[Equity Value]] - SnapshotTable[[#This Row],[Equity Basis Total]]</f>
        <v>0</v>
      </c>
      <c r="U72" s="255" t="str">
        <f>IF(SnapshotTable[[#This Row],[Equity Basis Total]] &gt; 0, SnapshotTable[[#This Row],[Equity G/L]] / SnapshotTable[[#This Row],[Equity Basis Total]], "")</f>
        <v/>
      </c>
      <c r="V72" s="253"/>
      <c r="W72" s="253"/>
      <c r="X72" s="4" t="str">
        <f>IF(AND(ISNUMBER(SnapshotTable[[#This Row],[Equity Basis Per Share]]),ISNUMBER(SnapshotTable[[#This Row],[Equity Target]])),SnapshotTable[[#This Row],[Equity Target]]-SnapshotTable[[#This Row],[Equity Basis Per Share]],"")</f>
        <v/>
      </c>
      <c r="Y72" s="4" t="str">
        <f>IF(AND(ISNUMBER(SnapshotTable[[#This Row],[Equity Basis Per Share]]),ISNUMBER(SnapshotTable[[#This Row],[Equity Stop Loss]])),SnapshotTable[[#This Row],[Equity Stop Loss]]-SnapshotTable[[#This Row],[Equity Basis Per Share]],"")</f>
        <v/>
      </c>
      <c r="Z72" s="260" t="str">
        <f>IFERROR( TEXT(SnapshotTable[[#This Row],[Equity Max Gain Per Share]] /ABS( SnapshotTable[[#This Row],[Equity Max Loss Per Share]]),"0.0 " ) &amp; " : 1", "")</f>
        <v/>
      </c>
      <c r="AA72" s="31" t="str">
        <f>IF(ISNUMBER(SnapshotTable[[#This Row],[Equity Max Gain Per Share]]),SnapshotTable[[#This Row],[Equity Max Gain Per Share]] * SnapshotTable[[#This Row],[Equity Shares]],"")</f>
        <v/>
      </c>
      <c r="AB72" s="31" t="str">
        <f>IF(ISNUMBER(SnapshotTable[[#This Row],[Equity Max Loss Per Share]]),SnapshotTable[[#This Row],[Equity Max Loss Per Share]] * SnapshotTable[[#This Row],[Equity Shares]],"")</f>
        <v/>
      </c>
      <c r="AC72" s="148">
        <v>0</v>
      </c>
      <c r="AD72" s="149" t="s">
        <v>2</v>
      </c>
      <c r="AE72" s="31">
        <f>(SnapshotTable[[#This Row],[Annual Dividend Per Share]] / 4) * SnapshotTable[[#This Row],[Equity Shares]]</f>
        <v>0</v>
      </c>
      <c r="AF72" s="31">
        <f>SnapshotTable[[#This Row],[Quarterly Div $]] * 4</f>
        <v>0</v>
      </c>
      <c r="AG72" s="7">
        <f>IF(SnapshotTable[[#This Row],[Annual Dividend Per Share]]&gt;0, SnapshotTable[[#This Row],[Annual Dividend Per Share]]  / SnapshotTable[[#This Row],[Last Price]], 0)</f>
        <v>0</v>
      </c>
      <c r="AH72" s="149">
        <v>38769</v>
      </c>
      <c r="AI72" s="5"/>
      <c r="AJ72" s="136">
        <v>51.5</v>
      </c>
      <c r="AK72" s="150" t="str">
        <f>IF(ISNUMBER( SnapshotTable[[#This Row],[EBF Target]]),(SnapshotTable[[#This Row],[EBF Target]] - SnapshotTable[[#This Row],[Last Price]]) / SnapshotTable[[#This Row],[Last Price]], "")</f>
        <v/>
      </c>
      <c r="AL72" s="150" t="str">
        <f>IF(AND(SnapshotTable[[#This Row],[Equity Basis Total]] &gt; 0,ISNUMBER( SnapshotTable[[#This Row],[Long Term Target]])), SnapshotTable[[#This Row],[From Basis $]] / SnapshotTable[[#This Row],[Equity Basis Total]], "")</f>
        <v/>
      </c>
      <c r="AM72" s="9">
        <f>IF( AND(SnapshotTable[[#This Row],[Equity Shares]] &gt;0,ISNUMBER( SnapshotTable[[#This Row],[Long Term Target]])),(SnapshotTable[[#This Row],[Equity Shares]] * SnapshotTable[[#This Row],[Long Term Target]]) - SnapshotTable[[#This Row],[Equity Basis Total]],0)</f>
        <v>0</v>
      </c>
      <c r="AN72" s="9">
        <f>IF( AND(SnapshotTable[[#This Row],[Equity Shares]] &gt;0,ISNUMBER( SnapshotTable[[#This Row],[Long Term Target]])),(SnapshotTable[[#This Row],[Equity Shares]]*SnapshotTable[[#This Row],[Long Term Target]]) - SnapshotTable[[#This Row],[Equity Value]],0)</f>
        <v>0</v>
      </c>
      <c r="AO72" s="150">
        <f>IF(AND(ISNUMBER( SnapshotTable[[#This Row],[Long Term Target]]), ISNUMBER(SnapshotTable[[#This Row],[Last Price]])),(SnapshotTable[[#This Row],[Long Term Target]] - SnapshotTable[[#This Row],[Last Price]]) / SnapshotTable[[#This Row],[Last Price]], "")</f>
        <v>-0.68666342175711859</v>
      </c>
      <c r="AP72" s="5"/>
      <c r="AQ72" s="38"/>
      <c r="AR72" s="5"/>
      <c r="AS72" s="38"/>
      <c r="AT72" s="144"/>
      <c r="AU72" s="185" t="str">
        <f>IF(OR(SnapshotTable[[#This Row],[LP No Fill]]="Y",SnapshotTable[[#This Row],[SP Is Filled]],SnapshotTable[[#This Row],[LC Not Filled]]="Y",SnapshotTable[[#This Row],[SC Is Filled]]),"Y","")</f>
        <v/>
      </c>
      <c r="AV72" s="205"/>
      <c r="AW72" s="211"/>
      <c r="AX72" s="206"/>
      <c r="AY72" s="205" t="str">
        <f>IF(SnapshotTable[[#This Row],[Implied Move]]&gt;0, SnapshotTable[[#This Row],[Last Price]]-SnapshotTable[[#This Row],[Implied Move]],"")</f>
        <v/>
      </c>
      <c r="AZ72" s="205" t="str">
        <f>IF(SnapshotTable[[#This Row],[Implied Move]]&gt;0, SnapshotTable[[#This Row],[Last Price]] + SnapshotTable[[#This Row],[Implied Move]],"")</f>
        <v/>
      </c>
      <c r="BA72" s="302"/>
      <c r="BB72" s="318"/>
      <c r="BC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2" s="321"/>
      <c r="BE72" s="5"/>
      <c r="BF72" s="14"/>
      <c r="BG72" s="13"/>
      <c r="BH72" s="13"/>
      <c r="BI72" s="5"/>
      <c r="BJ72" s="134">
        <f>IF(SnapshotTable[[#This Row],[LP Qty]] &gt; 0, SnapshotTable[[#This Row],[LP Qty]] * SnapshotTable[[#This Row],[LP Book Price]] * 100,0)</f>
        <v>0</v>
      </c>
      <c r="BK72" s="134">
        <f>IF(SnapshotTable[[#This Row],[LP Premium]] &gt; 0, SnapshotTable[[#This Row],[LP Qty]] * SnapshotTable[[#This Row],[LP Strike Price]] * 100,0)</f>
        <v>0</v>
      </c>
      <c r="BL72" s="152"/>
      <c r="BM72" s="355" t="str">
        <f>IF(SnapshotTable[[#This Row],[LP Premium]] &gt; 0,SnapshotTable[[#This Row],[LP Exp Date]]-MAX(SnapshotTable[[#This Row],[LP Book Date]], SnapshotTable[[#This Row],[LP Fill Date]]),"")</f>
        <v/>
      </c>
      <c r="BN72" s="355" t="str">
        <f>IF(ISNUMBER( SnapshotTable[[#This Row],[LP Term]]), SnapshotTable[[#This Row],[LP Exp Date]] - MockToday,"")</f>
        <v/>
      </c>
      <c r="BO72" s="161" t="str">
        <f>IF(AND(SnapshotTable[[#This Row],[LP Exp Date]]&gt;0, SnapshotTable[[#This Row],[LP Strike Price]]&gt;0,SnapshotTable[[#This Row],[LP Qty]]&gt;0,SnapshotTable[[#This Row],[LP Book Date]]&gt;0,SnapshotTable[[#This Row],[LP Book Price]]&gt;0,SnapshotTable[[#This Row],[LP Fill Date]]=0),"Y","")</f>
        <v/>
      </c>
      <c r="BP72" s="31" t="str">
        <f>IF(AND(SnapshotTable[[#This Row],[LP No Fill]]&lt;&gt;"Y",SnapshotTable[[#This Row],[LP Contract Value]]&gt;0, SnapshotTable[[#This Row],[LP Qty]]&gt;0), SnapshotTable[[#This Row],[LP Contract Value]]*SnapshotTable[[#This Row],[LP Qty]]*100,"")</f>
        <v/>
      </c>
      <c r="BQ72" s="13"/>
      <c r="BR72" s="5"/>
      <c r="BS72" s="36"/>
      <c r="BT72" s="145"/>
      <c r="BU72" s="13"/>
      <c r="BV72" s="5"/>
      <c r="BW72" s="382" t="b">
        <f>AND(ISNUMBER(SnapshotTable[[#This Row],[SP Exp Date]]), ISNUMBER(SnapshotTable[[#This Row],[SP Strike Price]]), ISNUMBER(SnapshotTable[[#This Row],[SP Qty]]), ISNUMBER(SnapshotTable[[#This Row],[SP Book Date]]), ISNUMBER(SnapshotTable[[#This Row],[SP Book Price]]))</f>
        <v>0</v>
      </c>
      <c r="BX72" s="382" t="b">
        <f>AND(SnapshotTable[[#This Row],[SP Is Booked]], NOT(ISBLANK(SnapshotTable[[#This Row],[SP Fill Date]])))</f>
        <v>0</v>
      </c>
      <c r="BY72" s="33">
        <f>IF(SnapshotTable[[#This Row],[SP Is Booked]], SnapshotTable[[#This Row],[SP Qty]] * SnapshotTable[[#This Row],[SP Book Price]] * 100, 0)</f>
        <v>0</v>
      </c>
      <c r="BZ72" s="339"/>
      <c r="CA72" s="338">
        <f>SnapshotTable[[#This Row],[LP Qty]]</f>
        <v>0</v>
      </c>
      <c r="CB72" s="4" t="str">
        <f>IF(SnapshotTable[[#This Row],[SP Is Booked]], SnapshotTable[[#This Row],[SP Strike Price]] - SnapshotTable[[#This Row],[SP Book Price]], "")</f>
        <v/>
      </c>
      <c r="CC72" s="19" t="str">
        <f>IF(SnapshotTable[[#This Row],[SP Is Booked]],SnapshotTable[[#This Row],[SP Exp Date]]-MAX(SnapshotTable[[#This Row],[SP Book Date]], SnapshotTable[[#This Row],[SP Fill Date]]),"")</f>
        <v/>
      </c>
      <c r="CD72" s="7" t="str">
        <f>IF(SnapshotTable[[#This Row],[SP Is Booked]], SnapshotTable[[#This Row],[SP Book Price]]/SnapshotTable[[#This Row],[SP Strike Price]], "")</f>
        <v/>
      </c>
      <c r="CE72" s="7" t="str">
        <f>IF(ISNUMBER(SnapshotTable[[#This Row],[SP ROO Term]]),SnapshotTable[[#This Row],[SP ROO Term]]*(365/SnapshotTable[[#This Row],[SP Term]]),"")</f>
        <v/>
      </c>
      <c r="CF72" s="221">
        <f>SnapshotTable[[#This Row],[LP Strike Price]] * SnapshotTable[[#This Row],[LP Qty]] * 100</f>
        <v>0</v>
      </c>
      <c r="CG72" s="31">
        <f>IF(ISNUMBER(SnapshotTable[[#This Row],[SP Premium]]), (SnapshotTable[[#This Row],[SP Qty]] * SnapshotTable[[#This Row],[SP Strike Price]]* 100) - SnapshotTable[[#This Row],[LP Protection]], 0)</f>
        <v>0</v>
      </c>
      <c r="CH72" s="7" t="str">
        <f>IF(ISNUMBER(SnapshotTable[[#This Row],[SP Break Even]]),-1 * (SnapshotTable[[#This Row],[SP Break Even]] - SnapshotTable[[#This Row],[Last Price]]) / SnapshotTable[[#This Row],[Last Price]], "")</f>
        <v/>
      </c>
      <c r="CI72" s="31">
        <f>IF(AND(ISNUMBER((SnapshotTable[[#This Row],[SP Potential Spend]])), SnapshotTable[[#This Row],[SP Strike Price]] &gt; SnapshotTable[[#This Row],[Last Price]], SnapshotTable[[#This Row],[SP Is Filled]]), SnapshotTable[[#This Row],[SP Potential Spend]] -  SnapshotTable[[#This Row],[LP Max Value]], 0)</f>
        <v>0</v>
      </c>
      <c r="CJ72" s="229"/>
      <c r="CK72" s="31">
        <f>IF(ISNUMBER(SnapshotTable[[#This Row],[SP Potential Spend]]),IF(ISNUMBER(SnapshotTable[[#This Row],[SP POW]]), SnapshotTable[[#This Row],[SP POW]] * SnapshotTable[[#This Row],[SP Potential Spend]], SnapshotTable[[#This Row],[SP Potential Spend]]), "")</f>
        <v>0</v>
      </c>
      <c r="CL72" s="162">
        <f>IF(NOT(SnapshotTable[[#This Row],[SP Is Filled]]),(SnapshotTable[[#This Row],[SP Qty]] * SnapshotTable[[#This Row],[SP Strike Price]] * 100) - SnapshotTable[[#This Row],[LP Max Value]],"")</f>
        <v>0</v>
      </c>
      <c r="CM72" s="31" t="str">
        <f>IF(SnapshotTable[[#This Row],[SP Actual Spend]]&lt;&gt;0, ((SnapshotTable[[#This Row],[SP Strike Price]]-SnapshotTable[[#This Row],[Last Price]]) *(SnapshotTable[[#This Row],[SP Qty]]*100) - SnapshotTable[[#This Row],[SP Premium]]) * - 1, "")</f>
        <v/>
      </c>
      <c r="CN72" s="76"/>
      <c r="CO72" s="339"/>
      <c r="CP72" s="4" t="str">
        <f>IF(SnapshotTable[[#This Row],[SP Is Filled]], btc_max_buyback_amount(SnapshotTable[[#This Row],[SP Fill Date]],SnapshotTable[[#This Row],[SP Exp Date]], SnapshotTable[[#This Row],[SP Book Price]]),"")</f>
        <v/>
      </c>
      <c r="CQ72" s="76"/>
      <c r="CR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2" s="153" t="str">
        <f>IF(SnapshotTable[[#This Row],[SP Is Filled]], btc_next_cutoff_date(SnapshotTable[[#This Row],[SP Fill Date]],SnapshotTable[[#This Row],[SP Exp Date]]),"")</f>
        <v/>
      </c>
      <c r="CT72" s="220" t="str" cm="1">
        <f t="array" ref="CT72">IF(SnapshotTable[[#This Row],[SP Is Filled]], btc_should_buy_back(SnapshotTable[[#This Row],[SP Fill Date]], SnapshotTable[[#This Row],[SP Exp Date]], SnapshotTable[[#This Row],[SP Book Price]], SnapshotTable[[#This Row],[SP Current Ask]], MockToday, SnapshotTable[[#This Row],[SP Buyback Override]]),"")</f>
        <v/>
      </c>
      <c r="CU72" s="141"/>
      <c r="CV72" s="220"/>
      <c r="CW72" s="348" t="str">
        <f>IF(ISNUMBER( SnapshotTable[[#This Row],[SP Term]]), SnapshotTable[[#This Row],[SP Exp Date]] - MockToday,"")</f>
        <v/>
      </c>
      <c r="CX72" s="31" t="str">
        <f>IF(SnapshotTable[[#This Row],[SP Is Filled]],SnapshotTable[[#This Row],[SP Buyback Price to Use]] * 100 * SnapshotTable[[#This Row],[SP Qty]], "")</f>
        <v/>
      </c>
      <c r="CY72" s="4" t="str">
        <f>IF(ISNUMBER(SnapshotTable[[#This Row],[SP Strike Price]]), SnapshotTable[[#This Row],[SP Strike Price]] * (1 - SP_MaxLoss_StrikePct), "")</f>
        <v/>
      </c>
      <c r="CZ72" s="31" t="str">
        <f>IF(ISNUMBER(SnapshotTable[[#This Row],[SP Strike  Stop Per Share]]),SnapshotTable[[#This Row],[SP Premium]] - ((SnapshotTable[[#This Row],[SP Strike Price]]-SnapshotTable[[#This Row],[SP Strike  Stop Per Share]]) *(SnapshotTable[[#This Row],[SP Qty]] * 100)),"")</f>
        <v/>
      </c>
      <c r="DA72" s="4" t="str">
        <f>IF(AND(ISNUMBER(SnapshotTable[[#This Row],[SP Premium]]),SnapshotTable[[#This Row],[SP Premium]]&gt;0), SnapshotTable[[#This Row],[SP Book Price]] * (1 + SP_MaxLoss_OptionPct), "")</f>
        <v/>
      </c>
      <c r="DB72" s="31" t="str">
        <f>IF(ISNUMBER(SnapshotTable[[#This Row],[SP Option  Stop Contract]]),(SnapshotTable[[#This Row],[SP Option  Stop Contract]] *(SnapshotTable[[#This Row],[SP Qty]] * 100) - SnapshotTable[[#This Row],[SP Premium]]),"")</f>
        <v/>
      </c>
      <c r="DC72" s="4"/>
      <c r="DD72" s="4"/>
      <c r="DE72" s="4" t="str">
        <f>IF(AND(SnapshotTable[[#This Row],[SP Qty]]&gt;0, SnapshotTable[[#This Row],[SP Stop To Use]]&gt;0),SnapshotTable[[#This Row],[SP Premium]] - ( SnapshotTable[[#This Row],[SP Qty]] * SnapshotTable[[#This Row],[SP Stop To Use]] * 100), "")</f>
        <v/>
      </c>
      <c r="DF72" s="31" t="str">
        <f>IF(AND(SnapshotTable[[#This Row],[SP Qty]]&gt;0,SnapshotTable[[#This Row],[SP Current Ask]]&gt;0), SnapshotTable[[#This Row],[SP Qty]] * SnapshotTable[[#This Row],[SP Current Ask]] * -100, "")</f>
        <v/>
      </c>
      <c r="DG72" s="31" t="str">
        <f>IF(ISNUMBER((SnapshotTable[[#This Row],[SP Total Value]])), SnapshotTable[[#This Row],[SP Premium]] + SnapshotTable[[#This Row],[SP Total Value]], "")</f>
        <v/>
      </c>
      <c r="DH72" s="272" t="str">
        <f>IF(ISNUMBER((SnapshotTable[[#This Row],[SP Total Value]])), SnapshotTable[[#This Row],[SP Gain Loss]] / SnapshotTable[[#This Row],[SP Premium]], "")</f>
        <v/>
      </c>
      <c r="DI72" s="369"/>
      <c r="DJ72" s="136"/>
      <c r="DK72" s="146"/>
      <c r="DL72" s="13"/>
      <c r="DM72" s="13"/>
      <c r="DO72" s="31">
        <f>IF(SnapshotTable[[#This Row],[LC Symbol Count]]=1, SnapshotTable[[#This Row],[LC Qty]] * SnapshotTable[[#This Row],[LC Book Price]] * 100, 0)</f>
        <v>0</v>
      </c>
      <c r="DP72" s="161" t="str">
        <f>IF(AND(SnapshotTable[[#This Row],[LC Exp Date]]&gt;0, SnapshotTable[[#This Row],[LC Strike Price]]&gt;0,SnapshotTable[[#This Row],[LC Qty]]&gt;0,SnapshotTable[[#This Row],[LC Book Date]]&gt;0,SnapshotTable[[#This Row],[LC Book Price]]&gt;0,SnapshotTable[[#This Row],[LC Fill Date]]=0),"Y","")</f>
        <v/>
      </c>
      <c r="DQ72" s="356" t="str">
        <f>IF(SnapshotTable[[#This Row],[LC Premium]] &gt; 0,SnapshotTable[[#This Row],[LC Exp Date]]-MAX(SnapshotTable[[#This Row],[LC Book Date]], SnapshotTable[[#This Row],[LC Fill Date]]),"")</f>
        <v/>
      </c>
      <c r="DR72" s="356" t="str">
        <f>IF(ISNUMBER(SnapshotTable[[#This Row],[LC Term]]), SnapshotTable[[#This Row],[LC Exp Date]] - MockToday, "")</f>
        <v/>
      </c>
      <c r="DS72" s="219" t="str">
        <f>IF(SnapshotTable[[#This Row],[LC Premium]]&gt;0,SnapshotTable[[#This Row],[LC Strike Price]] + SnapshotTable[[#This Row],[LC Book Price]],"")</f>
        <v/>
      </c>
      <c r="DU72" s="9" t="str">
        <f>IF(AND(SnapshotTable[[#This Row],[LC Symbol Count]]&gt;0, SnapshotTable[[#This Row],[LC Contract Value]]&gt;0), SnapshotTable[[#This Row],[LC Contract Value]] * SnapshotTable[[#This Row],[LC Qty]] * 100, "")</f>
        <v/>
      </c>
      <c r="DV72" s="9" t="str">
        <f>IF(AND(ISNUMBER(SnapshotTable[[#This Row],[LC Total Value]]), SnapshotTable[[#This Row],[LC Not Filled]]&lt;&gt;"Y"), SnapshotTable[[#This Row],[LC Total Value]]-SnapshotTable[[#This Row],[LC Premium]],"")</f>
        <v/>
      </c>
      <c r="DW72" s="225" t="str">
        <f>IF(ISNUMBER(SnapshotTable[[#This Row],[LC Actual Gain Loss]]), SnapshotTable[[#This Row],[LC Actual Gain Loss]] / SnapshotTable[[#This Row],[LC Premium]],"")</f>
        <v/>
      </c>
      <c r="DX72" s="269" t="str">
        <f>IF(ISNUMBER(SnapshotTable[[#This Row],[LC Book Price]]),SnapshotTable[[#This Row],[LC Book Price]] * 1.5,"")</f>
        <v/>
      </c>
      <c r="DY72" s="250" t="str">
        <f>IF(SnapshotTable[[#This Row],[LC Premium]]&gt;0, SnapshotTable[[#This Row],[LC Next Target]] * SnapshotTable[[#This Row],[LC Qty]] * 100,"")</f>
        <v/>
      </c>
      <c r="DZ72" s="250" t="str">
        <f>IF(ISNUMBER(SnapshotTable[[#This Row],[LC Target Gross]]), SnapshotTable[[#This Row],[LC Target Gross]] - SnapshotTable[[#This Row],[LC Premium]], "")</f>
        <v/>
      </c>
      <c r="EA72" s="283" t="str">
        <f>IF(ISNUMBER(SnapshotTable[[#This Row],[LC Target Gain Loss]]), SnapshotTable[[#This Row],[LC Target Gain Loss]]/SnapshotTable[[#This Row],[LC Premium]], "")</f>
        <v/>
      </c>
      <c r="EB72" s="247"/>
      <c r="EC72" s="268" t="str">
        <f>IF(SnapshotTable[[#This Row],[LC Premium]]&gt;0, SnapshotTable[[#This Row],[LC Book Price]] * (1 - LC_StopLoss_Pct),"")</f>
        <v/>
      </c>
      <c r="ED72" s="269"/>
      <c r="EE72" s="268" t="str">
        <f>IF(ISNUMBER(SnapshotTable[[#This Row],[LC Contract Value]]),IF(ISNUMBER(SnapshotTable[[#This Row],[LC Stop Loss Override]]), SnapshotTable[[#This Row],[LC Stop Loss Override]],SnapshotTable[[#This Row],[LC Stop Loss Calc Target]]),"")</f>
        <v/>
      </c>
      <c r="EF72" s="31" t="str">
        <f>IF(ISNUMBER(SnapshotTable[[#This Row],[LC Stop  To Use]]), (SnapshotTable[[#This Row],[LC Stop  To Use]] * SnapshotTable[[#This Row],[LC Qty]] * 100),"")</f>
        <v/>
      </c>
      <c r="EG72" s="9" t="str">
        <f>IF(ISNUMBER(SnapshotTable[[#This Row],[LC Total Value]]),SnapshotTable[[#This Row],[LC Stop Loss Amount]] - SnapshotTable[[#This Row],[LC Premium]],"")</f>
        <v/>
      </c>
      <c r="EH72" s="9">
        <f>IF(ISNUMBER(SnapshotTable[[#This Row],[LC Premium]]), SnapshotTable[[#This Row],[LC Qty]] * 100 * SnapshotTable[[#This Row],[LC Strike Price]], "")</f>
        <v>0</v>
      </c>
      <c r="EI72" s="225" t="str">
        <f>IF(AND(ISNUMBER(SnapshotTable[[#This Row],[LC Total Value]]),SnapshotTable[[#This Row],[LC Total Value]]&gt;0),SnapshotTable[[#This Row],[LC Stop Gain Loss]]  / SnapshotTable[[#This Row],[LC Premium]],"")</f>
        <v/>
      </c>
      <c r="EJ72" s="35">
        <f>IF(ISNUMBER(SnapshotTable[[#This Row],[Equity Shares]]),TRUNC(SnapshotTable[[#This Row],[Equity Shares]] / 100),0) + SnapshotTable[[#This Row],[LC Qty]]</f>
        <v>0</v>
      </c>
      <c r="EK72" s="145"/>
      <c r="EL72" s="136"/>
      <c r="EM72" s="146"/>
      <c r="EN72" s="145"/>
      <c r="EO72" s="145"/>
      <c r="EP72" s="136"/>
      <c r="EQ72" s="382" t="b">
        <f>AND(ISNUMBER(SnapshotTable[[#This Row],[SC Exp Date]]), ISNUMBER(SnapshotTable[[#This Row],[SC Strike Price]]), ISNUMBER(SnapshotTable[[#This Row],[SC Qty]]), ISNUMBER(SnapshotTable[[#This Row],[SC Book Date]]), ISNUMBER(SnapshotTable[[#This Row],[SC Book Price]]))</f>
        <v>0</v>
      </c>
      <c r="ER72" s="382" t="b">
        <f>AND(SnapshotTable[[#This Row],[SC Is Booked]], NOT(ISBLANK(SnapshotTable[[#This Row],[SC Fill Date]])))</f>
        <v>0</v>
      </c>
      <c r="ES72" s="340"/>
      <c r="ET72" s="34" t="str">
        <f>IF(AND(ISNUMBER(SnapshotTable[[#This Row],[SC Exp Date]]), ISNUMBER(SnapshotTable[[#This Row],[SC Book Date]])), SnapshotTable[[#This Row],[SC Exp Date]] - MAX(SnapshotTable[[#This Row],[SC Book Date]], SnapshotTable[[#This Row],[SC Fill Date]]) + 1, "")</f>
        <v/>
      </c>
      <c r="EU72" s="34" t="str">
        <f>IF(ISNUMBER(SnapshotTable[[#This Row],[SC Term]]), SnapshotTable[[#This Row],[SC Exp Date]]- MockToday, "")</f>
        <v/>
      </c>
      <c r="EV72" s="31">
        <f>IF(SnapshotTable[[#This Row],[SC Is Booked]], SnapshotTable[[#This Row],[SC Qty]] * SnapshotTable[[#This Row],[SC Book Price]] * 100, 0)</f>
        <v>0</v>
      </c>
      <c r="EW72" s="4" t="str">
        <f>IF(AND(ISNUMBER(SnapshotTable[[#This Row],[Last Price]]), ISNUMBER( SnapshotTable[[#This Row],[SC Book Price]])), SnapshotTable[[#This Row],[Last Price]] - SnapshotTable[[#This Row],[SC Book Price]],"")</f>
        <v/>
      </c>
      <c r="EX72" s="219" t="str">
        <f>IF(SnapshotTable[[#This Row],[SC Is Booked]],IF(SnapshotTable[[#This Row],[SC Intrinsic Value]] &gt; 0, SnapshotTable[[#This Row],[SC Strike Price]], SnapshotTable[[#This Row],[Last Price]]), "")</f>
        <v/>
      </c>
      <c r="EY72" s="4">
        <f>IF(SnapshotTable[[#This Row],[SC Is Booked]], (MinimumPremiumRequired * SnapshotTable[[#This Row],[SC Basis]] * SnapshotTable[[#This Row],[SC Term]]), 0)</f>
        <v>0</v>
      </c>
      <c r="EZ72" s="268"/>
      <c r="FA72" s="204"/>
      <c r="FB72" s="340"/>
      <c r="FC72" s="4">
        <f>IF(SnapshotTable[[#This Row],[SC Is Filled]], btc_max_buyback_amount(SnapshotTable[[#This Row],[SC Fill Date]],SnapshotTable[[#This Row],[SC Exp Date]], SnapshotTable[[#This Row],[SC Book Price]]),0)</f>
        <v>0</v>
      </c>
      <c r="FD72" s="5"/>
      <c r="FE72" s="142" t="str">
        <f>IF(SnapshotTable[[#This Row],[SC Is Filled]], btc_next_cutoff_date(SnapshotTable[[#This Row],[SC Fill Date]],SnapshotTable[[#This Row],[SC Exp Date]]),"")</f>
        <v/>
      </c>
      <c r="FF72" s="4" t="str" cm="1">
        <f t="array" ref="FF72">IF(SnapshotTable[[#This Row],[SC Is Filled]], btc_should_buy_back(SnapshotTable[[#This Row],[SC Fill Date]], SnapshotTable[[#This Row],[SC Exp Date]], SnapshotTable[[#This Row],[SC Book Price]], SnapshotTable[[#This Row],[SC Current Ask]], MockToday, SnapshotTable[[#This Row],[SC Buyback Override]]),"")</f>
        <v/>
      </c>
      <c r="FG72" s="4">
        <f>IF(SnapshotTable[[#This Row],[SC Is Filled]], MAX(0,SnapshotTable[[#This Row],[Last Price]]  - SnapshotTable[[#This Row],[SC Strike Price]]), 0)</f>
        <v>0</v>
      </c>
      <c r="FH72" s="352">
        <f>IF(SnapshotTable[[#This Row],[SC Is Filled]], IF(ISNUMBER(SnapshotTable[[#This Row],[SC Current Ask]]), SnapshotTable[[#This Row],[SC Current Ask]], SnapshotTable[[#This Row],[SC Book Price]]) - SnapshotTable[[#This Row],[SC Intrinsic Value]], 0)</f>
        <v>0</v>
      </c>
      <c r="FI72" s="141"/>
      <c r="FJ72" s="32" t="str">
        <f>IF(SnapshotTable[[#This Row],[SC Is Filled]],100 * SnapshotTable[[#This Row],[SC Qty]] * IF(ISNUMBER(SnapshotTable[[#This Row],[SC Buyback Override]]), SnapshotTable[[#This Row],[SC Buyback Override]], SnapshotTable[[#This Row],[SC Current Ask]]), "")</f>
        <v/>
      </c>
      <c r="FK72" s="235" t="str">
        <f>IF(SnapshotTable[[#This Row],[SC Time Val]]&gt;0, SnapshotTable[[#This Row],[SC Time Val]] / SnapshotTable[[#This Row],[Last Price]],"")</f>
        <v/>
      </c>
      <c r="FL72" s="280" t="str">
        <f>IF(SnapshotTable[[#This Row],[SC Is Booked]], ((SnapshotTable[[#This Row],[Last Price]] -SnapshotTable[[#This Row],[SC Strike Price]]) / SnapshotTable[[#This Row],[Last Price]]) * -1, "")</f>
        <v/>
      </c>
      <c r="FM72" s="155" t="str">
        <f>IF(SnapshotTable[[#This Row],[SC Is Booked]],  (SnapshotTable[[#This Row],[SC Qty]] * 100 * SnapshotTable[[#This Row],[SC Strike Price]]) - SnapshotTable[[#This Row],[SC Current Ask]], "")</f>
        <v/>
      </c>
      <c r="FN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2" s="31" t="str">
        <f>IF(AND(ISNUMBER(SnapshotTable[[#This Row],[SC Exercise Gross]]), ISNUMBER(SnapshotTable[[#This Row],[Equity Basis Per Share]] )), SnapshotTable[[#This Row],[SC Exercise Gross]] - SnapshotTable[[#This Row],[Equity Basis Total]] +  SnapshotTable[[#This Row],[SC Premium]], "")</f>
        <v/>
      </c>
      <c r="FP72" s="5" t="str">
        <f>IF(ISNUMBER(SnapshotTable[[#This Row],[SC Exercise Gross]]), (SnapshotTable[[#This Row],[SC Exercise Gross]]) / (SnapshotTable[[#This Row],[SC Qty]] * 100), "")</f>
        <v/>
      </c>
      <c r="FQ72" s="27" t="str">
        <f>IF(SnapshotTable[[#This Row],[SC Is Booked]],SnapshotTable[[#This Row],[SC Time Val]] /SnapshotTable[[#This Row],[SC Basis]], "")</f>
        <v/>
      </c>
      <c r="FR72" s="27" t="str" cm="1">
        <f t="array" ref="FR72">IF(AND(ISNUMBER(SnapshotTable[[#This Row],[SC Term]]),ISNUMBER(SnapshotTable[[#This Row],[SC Simple ROO]])), EllmanAnnualize(SnapshotTable[[#This Row],[SC DTE]], SnapshotTable[[#This Row],[SC Simple ROO]] ),"")</f>
        <v/>
      </c>
      <c r="FS72" s="4">
        <f>IF(SnapshotTable[[#This Row],[SC Strike Price]] &gt; SnapshotTable[[#This Row],[Last Price]], SnapshotTable[[#This Row],[SC Strike Price]] - SnapshotTable[[#This Row],[Last Price]],0)</f>
        <v>0</v>
      </c>
      <c r="FT72" s="27" t="str">
        <f>IF(AND(ISNUMBER(SnapshotTable[[#This Row],[SC Upside Potential]]), SnapshotTable[[#This Row],[SC Upside Potential]] &gt; 0),(SnapshotTable[[#This Row],[SC Upside Potential]]/ SnapshotTable[[#This Row],[ACB]]),"")</f>
        <v/>
      </c>
      <c r="FU72" s="304" t="str">
        <f>IF(SnapshotTable[[#This Row],[SC Intrinsic Value]] &gt; 0,SnapshotTable[[#This Row],[SC Intrinsic Value]],"")</f>
        <v/>
      </c>
      <c r="FV72" s="27" t="str">
        <f>IF(AND( ISNUMBER( SnapshotTable[[#This Row],[ACB]]),ISNUMBER(SnapshotTable[[#This Row],[SC Downside Protect]])),SnapshotTable[[#This Row],[SC Downside Protect]] / SnapshotTable[[#This Row],[ACB]],"")</f>
        <v/>
      </c>
      <c r="FW72" s="221" t="str">
        <f>IF(AND(ISNUMBER(SnapshotTable[[#This Row],[SC Simple ROO]]),SnapshotTable[[#This Row],[SC Simple ROO]] &gt; 0), SnapshotTable[[#This Row],[SC Premium]] + (SnapshotTable[[#This Row],[SC Qty]] * SnapshotTable[[#This Row],[SC Upside Potential]]), "")</f>
        <v/>
      </c>
      <c r="FX72" s="280" t="str" cm="1">
        <f t="array" ref="FX72">IF(ISNUMBER(SnapshotTable[[#This Row],[SC Max Dollars]]), annualize(SnapshotTable[[#This Row],[SC Term]],(SnapshotTable[[#This Row],[SC Max Dollars]]/SnapshotTable[[#This Row],[SC Basis]])),"")</f>
        <v/>
      </c>
      <c r="FY72" s="221" t="str">
        <f>IF(AND(SnapshotTable[[#This Row],[SC Qty]]&gt;0,SnapshotTable[[#This Row],[SC Current Ask]]&gt;0), SnapshotTable[[#This Row],[SC Qty]] * SnapshotTable[[#This Row],[SC Current Ask]] * -100, "")</f>
        <v/>
      </c>
      <c r="FZ72" s="31" t="str">
        <f>IF(ISNUMBER((SnapshotTable[[#This Row],[SC Current Value]])), SnapshotTable[[#This Row],[SC Premium]] + SnapshotTable[[#This Row],[SC Current Value]], "")</f>
        <v/>
      </c>
      <c r="GA72" s="272" t="str">
        <f>IFERROR( IF(ISNUMBER((SnapshotTable[[#This Row],[SC Current Value]])), SnapshotTable[[#This Row],[SC Gain Loss]] / SnapshotTable[[#This Row],[SC Premium]], ""), "")</f>
        <v/>
      </c>
      <c r="GB72" s="42">
        <f>SnapshotTable[[#This Row],[Equity Shares]] * SaleSharesToConsiderPercentage</f>
        <v>0</v>
      </c>
      <c r="GC72" s="40">
        <f>SnapshotTable[[#This Row],[Long Term Target]] * SellingPriceToConsiderBasedOnTargetPercentage</f>
        <v>48.924999999999997</v>
      </c>
      <c r="GD72" s="40">
        <f>SnapshotTable[[#This Row],[Last Price]] * (1+ SellingPriceToConsiderBasedOnTargetPercentage)</f>
        <v>320.50200000000001</v>
      </c>
      <c r="GE72" s="41"/>
      <c r="GF72" s="40"/>
      <c r="GG72" s="31">
        <f>SnapshotTable[[#This Row],[Booked Sale Shares]] * SnapshotTable[[#This Row],[Booked Sale Price]]</f>
        <v>0</v>
      </c>
      <c r="GH72" s="31" t="str">
        <f>IF(SnapshotTable[[#This Row],[Equity Basis Total]] &gt; 0, SnapshotTable[[#This Row],[Equity Basis Per Share]] * SnapshotTable[[#This Row],[Booked Sale Shares]], "")</f>
        <v/>
      </c>
      <c r="GI72" s="31">
        <f>IF(SnapshotTable[[#This Row],[Sale Proceeds]]&gt;0, SnapshotTable[[#This Row],[Sale Proceeds]] - SnapshotTable[[#This Row],[Sale Basis]], 0)</f>
        <v>0</v>
      </c>
      <c r="GJ72" s="27" t="str">
        <f>IF(SnapshotTable[[#This Row],[Sale G/L]]&gt;0, SnapshotTable[[#This Row],[Sale G/L]] / SnapshotTable[[#This Row],[Sale Basis]], IF(ISNUMBER(SnapshotTable[[#This Row],[SC Exercise P&amp;L (TAX)]]), SnapshotTable[[#This Row],[SC Exercise P&amp;L (TAX)]] / SnapshotTable[[#This Row],[SC Basis]], ""))</f>
        <v/>
      </c>
      <c r="GK72" s="27" t="s">
        <v>536</v>
      </c>
      <c r="GL72" s="43" t="str">
        <f>IF(AND(SnapshotTable[[#This Row],[LP Exp Date]]&gt;0,SnapshotTable[[#This Row],[LP Strike Price]]&gt;0), [1]!ToOptionSymbol(SnapshotTable[[#This Row],[Symbol]], SnapshotTable[[#This Row],[LP Strike Price]],SnapshotTable[[#This Row],[LP Exp Date]],1), "")</f>
        <v/>
      </c>
      <c r="GM72" s="30" t="str">
        <f>IF(LEN(SnapshotTable[[#This Row],[LP Symbol]])&gt;0, 1, "")</f>
        <v/>
      </c>
      <c r="GN72" s="43" t="str">
        <f>IF(AND(SnapshotTable[[#This Row],[SP Exp Date]]&gt;0,SnapshotTable[[#This Row],[SP Strike Price]]&gt;0), [1]!ToOptionSymbol(SnapshotTable[[#This Row],[Symbol]], SnapshotTable[[#This Row],[SP Strike Price]],SnapshotTable[[#This Row],[SP Exp Date]],1), "")</f>
        <v/>
      </c>
      <c r="GO72" s="30" t="str">
        <f>IF(LEN(SnapshotTable[[#This Row],[SP Symbol]])&gt;0, 1, "")</f>
        <v/>
      </c>
      <c r="GP72" s="43" t="str">
        <f>IF(AND(SnapshotTable[[#This Row],[LC Exp Date]]&gt;0,SnapshotTable[[#This Row],[LC Strike Price]]&gt;0), [1]!ToOptionSymbol(SnapshotTable[[#This Row],[Symbol]], SnapshotTable[[#This Row],[LC Strike Price]],SnapshotTable[[#This Row],[LC Exp Date]],0), "")</f>
        <v/>
      </c>
      <c r="GQ72" s="30" t="str">
        <f>IF(LEN(SnapshotTable[[#This Row],[LC Symbol]])&gt;0, 1, "")</f>
        <v/>
      </c>
      <c r="GR72" s="43" t="str">
        <f>IF(AND(SnapshotTable[[#This Row],[SC Exp Date]]&gt;0,SnapshotTable[[#This Row],[SC Strike Price]]&gt;0), [1]!ToOptionSymbol(SnapshotTable[[#This Row],[Symbol]], SnapshotTable[[#This Row],[SC Strike Price]],SnapshotTable[[#This Row],[SC Exp Date]],0), "")</f>
        <v/>
      </c>
      <c r="GS72" s="30" t="str">
        <f>IF(LEN(SnapshotTable[[#This Row],[SC Symbol]])&gt;0, 1, "")</f>
        <v/>
      </c>
      <c r="GT72" s="29" t="str">
        <f>IF(COUNT(SnapshotTable[[#This Row],[LP Symbol Count]],SnapshotTable[[#This Row],[SP Symbol Count]],SnapshotTable[[#This Row],[LC Symbol Count]],SnapshotTable[[#This Row],[SC Symbol Count]])&gt;0, "Y", "")</f>
        <v/>
      </c>
      <c r="GU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2" s="216">
        <f>MAX(SnapshotTable[[#This Row],[Equity Basis Total]],SnapshotTable[[#This Row],[Equity Value]]) + (SnapshotTable[[#This Row],[SP Potential Spend]]- SnapshotTable[[#This Row],[SP Premium]] + SnapshotTable[[#This Row],[LP Premium]])+ (SnapshotTable[[#This Row],[LC Premium]] - SnapshotTable[[#This Row],[SC Premium]])</f>
        <v>0</v>
      </c>
      <c r="GW72" s="137" t="str">
        <f>IF(AND(SnapshotTable[[#This Row],[Exposure]] &lt;&gt; 0),SnapshotTable[[#This Row],[Exposure]] / SnapshotTable[[#Totals],[Exposure]], "")</f>
        <v/>
      </c>
      <c r="HE72" s="253"/>
      <c r="HF72" s="253"/>
      <c r="HK72" s="1"/>
      <c r="HL72" s="1"/>
      <c r="HM72" s="1"/>
      <c r="HN72" s="1"/>
      <c r="HO72" s="1"/>
      <c r="HP72" s="1"/>
    </row>
    <row r="73" spans="2:224" ht="12.75" hidden="1" customHeight="1" x14ac:dyDescent="0.25">
      <c r="B73" s="12" t="s">
        <v>441</v>
      </c>
      <c r="C73" s="385">
        <v>889.31</v>
      </c>
      <c r="D73" s="200"/>
      <c r="E73" s="39">
        <f>SnapshotTable[[#This Row],[Last Price]]*(1 -CrashDiscount)</f>
        <v>755.91349999999989</v>
      </c>
      <c r="F73" s="26" t="s">
        <v>887</v>
      </c>
      <c r="G73" s="26" t="s">
        <v>678</v>
      </c>
      <c r="H73" s="147"/>
      <c r="I73" s="186">
        <v>44770.270833333336</v>
      </c>
      <c r="J73" s="187">
        <v>44770.270833333336</v>
      </c>
      <c r="K73" s="188"/>
      <c r="L73" s="297"/>
      <c r="M73" s="138"/>
      <c r="N73" s="138"/>
      <c r="O73" s="138"/>
      <c r="P73" s="22"/>
      <c r="Q73" s="25"/>
      <c r="R73" s="4" t="str">
        <f>IF(SnapshotTable[[#This Row],[Equity Basis Total]] &gt; 0, SnapshotTable[[#This Row],[Equity Basis Total]] / SnapshotTable[[#This Row],[Equity Shares]], "")</f>
        <v/>
      </c>
      <c r="S73" s="254">
        <f>SnapshotTable[[#This Row],[Last Price]] * SnapshotTable[[#This Row],[Equity Shares]]</f>
        <v>0</v>
      </c>
      <c r="T73" s="254">
        <f>SnapshotTable[[#This Row],[Equity Value]] - SnapshotTable[[#This Row],[Equity Basis Total]]</f>
        <v>0</v>
      </c>
      <c r="U73" s="255" t="str">
        <f>IF(SnapshotTable[[#This Row],[Equity Basis Total]] &gt; 0, SnapshotTable[[#This Row],[Equity G/L]] / SnapshotTable[[#This Row],[Equity Basis Total]], "")</f>
        <v/>
      </c>
      <c r="V73" s="253"/>
      <c r="W73" s="253"/>
      <c r="X73" s="4" t="str">
        <f>IF(AND(ISNUMBER(SnapshotTable[[#This Row],[Equity Basis Per Share]]),ISNUMBER(SnapshotTable[[#This Row],[Equity Target]])),SnapshotTable[[#This Row],[Equity Target]]-SnapshotTable[[#This Row],[Equity Basis Per Share]],"")</f>
        <v/>
      </c>
      <c r="Y73" s="4" t="str">
        <f>IF(AND(ISNUMBER(SnapshotTable[[#This Row],[Equity Basis Per Share]]),ISNUMBER(SnapshotTable[[#This Row],[Equity Stop Loss]])),SnapshotTable[[#This Row],[Equity Stop Loss]]-SnapshotTable[[#This Row],[Equity Basis Per Share]],"")</f>
        <v/>
      </c>
      <c r="Z73" s="260" t="str">
        <f>IFERROR( TEXT(SnapshotTable[[#This Row],[Equity Max Gain Per Share]] /ABS( SnapshotTable[[#This Row],[Equity Max Loss Per Share]]),"0.0 " ) &amp; " : 1", "")</f>
        <v/>
      </c>
      <c r="AA73" s="31" t="str">
        <f>IF(ISNUMBER(SnapshotTable[[#This Row],[Equity Max Gain Per Share]]),SnapshotTable[[#This Row],[Equity Max Gain Per Share]] * SnapshotTable[[#This Row],[Equity Shares]],"")</f>
        <v/>
      </c>
      <c r="AB73" s="31" t="str">
        <f>IF(ISNUMBER(SnapshotTable[[#This Row],[Equity Max Loss Per Share]]),SnapshotTable[[#This Row],[Equity Max Loss Per Share]] * SnapshotTable[[#This Row],[Equity Shares]],"")</f>
        <v/>
      </c>
      <c r="AC73" s="148">
        <v>4.12</v>
      </c>
      <c r="AD73" s="149" t="s">
        <v>452</v>
      </c>
      <c r="AE73" s="31">
        <f>(SnapshotTable[[#This Row],[Annual Dividend Per Share]] / 4) * SnapshotTable[[#This Row],[Equity Shares]]</f>
        <v>0</v>
      </c>
      <c r="AF73" s="31">
        <f>SnapshotTable[[#This Row],[Quarterly Div $]] * 4</f>
        <v>0</v>
      </c>
      <c r="AG73" s="7">
        <f>IF(SnapshotTable[[#This Row],[Annual Dividend Per Share]]&gt;0, SnapshotTable[[#This Row],[Annual Dividend Per Share]]  / SnapshotTable[[#This Row],[Last Price]], 0)</f>
        <v>4.6328052085324581E-3</v>
      </c>
      <c r="AH73" s="149">
        <v>43848</v>
      </c>
      <c r="AI73" s="5">
        <v>150</v>
      </c>
      <c r="AJ73" s="136">
        <v>201.25</v>
      </c>
      <c r="AK73" s="150">
        <f>IF(ISNUMBER( SnapshotTable[[#This Row],[EBF Target]]),(SnapshotTable[[#This Row],[EBF Target]] - SnapshotTable[[#This Row],[Last Price]]) / SnapshotTable[[#This Row],[Last Price]], "")</f>
        <v>-0.8313299074563425</v>
      </c>
      <c r="AL73" s="150" t="str">
        <f>IF(AND(SnapshotTable[[#This Row],[Equity Basis Total]] &gt; 0,ISNUMBER( SnapshotTable[[#This Row],[Long Term Target]])), SnapshotTable[[#This Row],[From Basis $]] / SnapshotTable[[#This Row],[Equity Basis Total]], "")</f>
        <v/>
      </c>
      <c r="AM73" s="9">
        <f>IF( AND(SnapshotTable[[#This Row],[Equity Shares]] &gt;0,ISNUMBER( SnapshotTable[[#This Row],[Long Term Target]])),(SnapshotTable[[#This Row],[Equity Shares]] * SnapshotTable[[#This Row],[Long Term Target]]) - SnapshotTable[[#This Row],[Equity Basis Total]],0)</f>
        <v>0</v>
      </c>
      <c r="AN73" s="9">
        <f>IF( AND(SnapshotTable[[#This Row],[Equity Shares]] &gt;0,ISNUMBER( SnapshotTable[[#This Row],[Long Term Target]])),(SnapshotTable[[#This Row],[Equity Shares]]*SnapshotTable[[#This Row],[Long Term Target]]) - SnapshotTable[[#This Row],[Equity Value]],0)</f>
        <v>0</v>
      </c>
      <c r="AO73" s="150">
        <f>IF(AND(ISNUMBER( SnapshotTable[[#This Row],[Long Term Target]]), ISNUMBER(SnapshotTable[[#This Row],[Last Price]])),(SnapshotTable[[#This Row],[Long Term Target]] - SnapshotTable[[#This Row],[Last Price]]) / SnapshotTable[[#This Row],[Last Price]], "")</f>
        <v>-0.77370095917059289</v>
      </c>
      <c r="AP73" s="5">
        <v>260</v>
      </c>
      <c r="AQ73" s="38" t="s">
        <v>76</v>
      </c>
      <c r="AR73" s="5">
        <v>250</v>
      </c>
      <c r="AS73" s="38" t="s">
        <v>847</v>
      </c>
      <c r="AT73" s="144" t="s">
        <v>444</v>
      </c>
      <c r="AU73" s="185" t="str">
        <f>IF(OR(SnapshotTable[[#This Row],[LP No Fill]]="Y",SnapshotTable[[#This Row],[SP Is Filled]],SnapshotTable[[#This Row],[LC Not Filled]]="Y",SnapshotTable[[#This Row],[SC Is Filled]]),"Y","")</f>
        <v/>
      </c>
      <c r="AV73" s="205"/>
      <c r="AW73" s="211"/>
      <c r="AX73" s="206"/>
      <c r="AY73" s="205" t="str">
        <f>IF(SnapshotTable[[#This Row],[Implied Move]]&gt;0, SnapshotTable[[#This Row],[Last Price]]-SnapshotTable[[#This Row],[Implied Move]],"")</f>
        <v/>
      </c>
      <c r="AZ73" s="205" t="str">
        <f>IF(SnapshotTable[[#This Row],[Implied Move]]&gt;0, SnapshotTable[[#This Row],[Last Price]] + SnapshotTable[[#This Row],[Implied Move]],"")</f>
        <v/>
      </c>
      <c r="BA73" s="302">
        <v>-2.5</v>
      </c>
      <c r="BB73" s="318"/>
      <c r="BC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3" s="321"/>
      <c r="BE73" s="5"/>
      <c r="BF73" s="14"/>
      <c r="BG73" s="13"/>
      <c r="BH73" s="13"/>
      <c r="BI73" s="5"/>
      <c r="BJ73" s="134">
        <f>IF(SnapshotTable[[#This Row],[LP Qty]] &gt; 0, SnapshotTable[[#This Row],[LP Qty]] * SnapshotTable[[#This Row],[LP Book Price]] * 100,0)</f>
        <v>0</v>
      </c>
      <c r="BK73" s="134">
        <f>IF(SnapshotTable[[#This Row],[LP Premium]] &gt; 0, SnapshotTable[[#This Row],[LP Qty]] * SnapshotTable[[#This Row],[LP Strike Price]] * 100,0)</f>
        <v>0</v>
      </c>
      <c r="BL73" s="152"/>
      <c r="BM73" s="355" t="str">
        <f>IF(SnapshotTable[[#This Row],[LP Premium]] &gt; 0,SnapshotTable[[#This Row],[LP Exp Date]]-MAX(SnapshotTable[[#This Row],[LP Book Date]], SnapshotTable[[#This Row],[LP Fill Date]]),"")</f>
        <v/>
      </c>
      <c r="BN73" s="355" t="str">
        <f>IF(ISNUMBER( SnapshotTable[[#This Row],[LP Term]]), SnapshotTable[[#This Row],[LP Exp Date]] - MockToday,"")</f>
        <v/>
      </c>
      <c r="BO73" s="161" t="str">
        <f>IF(AND(SnapshotTable[[#This Row],[LP Exp Date]]&gt;0, SnapshotTable[[#This Row],[LP Strike Price]]&gt;0,SnapshotTable[[#This Row],[LP Qty]]&gt;0,SnapshotTable[[#This Row],[LP Book Date]]&gt;0,SnapshotTable[[#This Row],[LP Book Price]]&gt;0,SnapshotTable[[#This Row],[LP Fill Date]]=0),"Y","")</f>
        <v/>
      </c>
      <c r="BP73" s="31" t="str">
        <f>IF(AND(SnapshotTable[[#This Row],[LP No Fill]]&lt;&gt;"Y",SnapshotTable[[#This Row],[LP Contract Value]]&gt;0, SnapshotTable[[#This Row],[LP Qty]]&gt;0), SnapshotTable[[#This Row],[LP Contract Value]]*SnapshotTable[[#This Row],[LP Qty]]*100,"")</f>
        <v/>
      </c>
      <c r="BQ73" s="13"/>
      <c r="BR73" s="5"/>
      <c r="BS73" s="36"/>
      <c r="BT73" s="145"/>
      <c r="BU73" s="13"/>
      <c r="BV73" s="5"/>
      <c r="BW73" s="382" t="b">
        <f>AND(ISNUMBER(SnapshotTable[[#This Row],[SP Exp Date]]), ISNUMBER(SnapshotTable[[#This Row],[SP Strike Price]]), ISNUMBER(SnapshotTable[[#This Row],[SP Qty]]), ISNUMBER(SnapshotTable[[#This Row],[SP Book Date]]), ISNUMBER(SnapshotTable[[#This Row],[SP Book Price]]))</f>
        <v>0</v>
      </c>
      <c r="BX73" s="382" t="b">
        <f>AND(SnapshotTable[[#This Row],[SP Is Booked]], NOT(ISBLANK(SnapshotTable[[#This Row],[SP Fill Date]])))</f>
        <v>0</v>
      </c>
      <c r="BY73" s="33">
        <f>IF(SnapshotTable[[#This Row],[SP Is Booked]], SnapshotTable[[#This Row],[SP Qty]] * SnapshotTable[[#This Row],[SP Book Price]] * 100, 0)</f>
        <v>0</v>
      </c>
      <c r="BZ73" s="339"/>
      <c r="CA73" s="338">
        <f>SnapshotTable[[#This Row],[LP Qty]]</f>
        <v>0</v>
      </c>
      <c r="CB73" s="4" t="str">
        <f>IF(SnapshotTable[[#This Row],[SP Is Booked]], SnapshotTable[[#This Row],[SP Strike Price]] - SnapshotTable[[#This Row],[SP Book Price]], "")</f>
        <v/>
      </c>
      <c r="CC73" s="19" t="str">
        <f>IF(SnapshotTable[[#This Row],[SP Is Booked]],SnapshotTable[[#This Row],[SP Exp Date]]-MAX(SnapshotTable[[#This Row],[SP Book Date]], SnapshotTable[[#This Row],[SP Fill Date]]),"")</f>
        <v/>
      </c>
      <c r="CD73" s="7" t="str">
        <f>IF(SnapshotTable[[#This Row],[SP Is Booked]], SnapshotTable[[#This Row],[SP Book Price]]/SnapshotTable[[#This Row],[SP Strike Price]], "")</f>
        <v/>
      </c>
      <c r="CE73" s="7" t="str">
        <f>IF(ISNUMBER(SnapshotTable[[#This Row],[SP ROO Term]]),SnapshotTable[[#This Row],[SP ROO Term]]*(365/SnapshotTable[[#This Row],[SP Term]]),"")</f>
        <v/>
      </c>
      <c r="CF73" s="221">
        <f>SnapshotTable[[#This Row],[LP Strike Price]] * SnapshotTable[[#This Row],[LP Qty]] * 100</f>
        <v>0</v>
      </c>
      <c r="CG73" s="31">
        <f>IF(ISNUMBER(SnapshotTable[[#This Row],[SP Premium]]), (SnapshotTable[[#This Row],[SP Qty]] * SnapshotTable[[#This Row],[SP Strike Price]]* 100) - SnapshotTable[[#This Row],[LP Protection]], 0)</f>
        <v>0</v>
      </c>
      <c r="CH73" s="7" t="str">
        <f>IF(ISNUMBER(SnapshotTable[[#This Row],[SP Break Even]]),-1 * (SnapshotTable[[#This Row],[SP Break Even]] - SnapshotTable[[#This Row],[Last Price]]) / SnapshotTable[[#This Row],[Last Price]], "")</f>
        <v/>
      </c>
      <c r="CI73" s="31">
        <f>IF(AND(ISNUMBER((SnapshotTable[[#This Row],[SP Potential Spend]])), SnapshotTable[[#This Row],[SP Strike Price]] &gt; SnapshotTable[[#This Row],[Last Price]], SnapshotTable[[#This Row],[SP Is Filled]]), SnapshotTable[[#This Row],[SP Potential Spend]] -  SnapshotTable[[#This Row],[LP Max Value]], 0)</f>
        <v>0</v>
      </c>
      <c r="CJ73" s="229"/>
      <c r="CK73" s="31">
        <f>IF(ISNUMBER(SnapshotTable[[#This Row],[SP Potential Spend]]),IF(ISNUMBER(SnapshotTable[[#This Row],[SP POW]]), SnapshotTable[[#This Row],[SP POW]] * SnapshotTable[[#This Row],[SP Potential Spend]], SnapshotTable[[#This Row],[SP Potential Spend]]), "")</f>
        <v>0</v>
      </c>
      <c r="CL73" s="162">
        <f>IF(NOT(SnapshotTable[[#This Row],[SP Is Filled]]),(SnapshotTable[[#This Row],[SP Qty]] * SnapshotTable[[#This Row],[SP Strike Price]] * 100) - SnapshotTable[[#This Row],[LP Max Value]],"")</f>
        <v>0</v>
      </c>
      <c r="CM73" s="31" t="str">
        <f>IF(SnapshotTable[[#This Row],[SP Actual Spend]]&lt;&gt;0, ((SnapshotTable[[#This Row],[SP Strike Price]]-SnapshotTable[[#This Row],[Last Price]]) *(SnapshotTable[[#This Row],[SP Qty]]*100) - SnapshotTable[[#This Row],[SP Premium]]) * - 1, "")</f>
        <v/>
      </c>
      <c r="CN73" s="76"/>
      <c r="CO73" s="339"/>
      <c r="CP73" s="4" t="str">
        <f>IF(SnapshotTable[[#This Row],[SP Is Filled]], btc_max_buyback_amount(SnapshotTable[[#This Row],[SP Fill Date]],SnapshotTable[[#This Row],[SP Exp Date]], SnapshotTable[[#This Row],[SP Book Price]]),"")</f>
        <v/>
      </c>
      <c r="CQ73" s="76"/>
      <c r="CR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3" s="153" t="str">
        <f>IF(SnapshotTable[[#This Row],[SP Is Filled]], btc_next_cutoff_date(SnapshotTable[[#This Row],[SP Fill Date]],SnapshotTable[[#This Row],[SP Exp Date]]),"")</f>
        <v/>
      </c>
      <c r="CT73" s="220" t="str" cm="1">
        <f t="array" ref="CT73">IF(SnapshotTable[[#This Row],[SP Is Filled]], btc_should_buy_back(SnapshotTable[[#This Row],[SP Fill Date]], SnapshotTable[[#This Row],[SP Exp Date]], SnapshotTable[[#This Row],[SP Book Price]], SnapshotTable[[#This Row],[SP Current Ask]], MockToday, SnapshotTable[[#This Row],[SP Buyback Override]]),"")</f>
        <v/>
      </c>
      <c r="CU73" s="141"/>
      <c r="CV73" s="220"/>
      <c r="CW73" s="348" t="str">
        <f>IF(ISNUMBER( SnapshotTable[[#This Row],[SP Term]]), SnapshotTable[[#This Row],[SP Exp Date]] - MockToday,"")</f>
        <v/>
      </c>
      <c r="CX73" s="31" t="str">
        <f>IF(SnapshotTable[[#This Row],[SP Is Filled]],SnapshotTable[[#This Row],[SP Buyback Price to Use]] * 100 * SnapshotTable[[#This Row],[SP Qty]], "")</f>
        <v/>
      </c>
      <c r="CY73" s="4" t="str">
        <f>IF(ISNUMBER(SnapshotTable[[#This Row],[SP Strike Price]]), SnapshotTable[[#This Row],[SP Strike Price]] * (1 - SP_MaxLoss_StrikePct), "")</f>
        <v/>
      </c>
      <c r="CZ73" s="31" t="str">
        <f>IF(ISNUMBER(SnapshotTable[[#This Row],[SP Strike  Stop Per Share]]),SnapshotTable[[#This Row],[SP Premium]] - ((SnapshotTable[[#This Row],[SP Strike Price]]-SnapshotTable[[#This Row],[SP Strike  Stop Per Share]]) *(SnapshotTable[[#This Row],[SP Qty]] * 100)),"")</f>
        <v/>
      </c>
      <c r="DA73" s="4" t="str">
        <f>IF(AND(ISNUMBER(SnapshotTable[[#This Row],[SP Premium]]),SnapshotTable[[#This Row],[SP Premium]]&gt;0), SnapshotTable[[#This Row],[SP Book Price]] * (1 + SP_MaxLoss_OptionPct), "")</f>
        <v/>
      </c>
      <c r="DB73" s="31" t="str">
        <f>IF(ISNUMBER(SnapshotTable[[#This Row],[SP Option  Stop Contract]]),(SnapshotTable[[#This Row],[SP Option  Stop Contract]] *(SnapshotTable[[#This Row],[SP Qty]] * 100) - SnapshotTable[[#This Row],[SP Premium]]),"")</f>
        <v/>
      </c>
      <c r="DC73" s="4"/>
      <c r="DD73" s="4"/>
      <c r="DE73" s="4" t="str">
        <f>IF(AND(SnapshotTable[[#This Row],[SP Qty]]&gt;0, SnapshotTable[[#This Row],[SP Stop To Use]]&gt;0),SnapshotTable[[#This Row],[SP Premium]] - ( SnapshotTable[[#This Row],[SP Qty]] * SnapshotTable[[#This Row],[SP Stop To Use]] * 100), "")</f>
        <v/>
      </c>
      <c r="DF73" s="31" t="str">
        <f>IF(AND(SnapshotTable[[#This Row],[SP Qty]]&gt;0,SnapshotTable[[#This Row],[SP Current Ask]]&gt;0), SnapshotTable[[#This Row],[SP Qty]] * SnapshotTable[[#This Row],[SP Current Ask]] * -100, "")</f>
        <v/>
      </c>
      <c r="DG73" s="31" t="str">
        <f>IF(ISNUMBER((SnapshotTable[[#This Row],[SP Total Value]])), SnapshotTable[[#This Row],[SP Premium]] + SnapshotTable[[#This Row],[SP Total Value]], "")</f>
        <v/>
      </c>
      <c r="DH73" s="272" t="str">
        <f>IF(ISNUMBER((SnapshotTable[[#This Row],[SP Total Value]])), SnapshotTable[[#This Row],[SP Gain Loss]] / SnapshotTable[[#This Row],[SP Premium]], "")</f>
        <v/>
      </c>
      <c r="DI73" s="369"/>
      <c r="DJ73" s="136"/>
      <c r="DK73" s="146"/>
      <c r="DL73" s="13"/>
      <c r="DM73" s="13"/>
      <c r="DO73" s="31">
        <f>IF(SnapshotTable[[#This Row],[LC Symbol Count]]=1, SnapshotTable[[#This Row],[LC Qty]] * SnapshotTable[[#This Row],[LC Book Price]] * 100, 0)</f>
        <v>0</v>
      </c>
      <c r="DP73" s="161" t="str">
        <f>IF(AND(SnapshotTable[[#This Row],[LC Exp Date]]&gt;0, SnapshotTable[[#This Row],[LC Strike Price]]&gt;0,SnapshotTable[[#This Row],[LC Qty]]&gt;0,SnapshotTable[[#This Row],[LC Book Date]]&gt;0,SnapshotTable[[#This Row],[LC Book Price]]&gt;0,SnapshotTable[[#This Row],[LC Fill Date]]=0),"Y","")</f>
        <v/>
      </c>
      <c r="DQ73" s="356" t="str">
        <f>IF(SnapshotTable[[#This Row],[LC Premium]] &gt; 0,SnapshotTable[[#This Row],[LC Exp Date]]-MAX(SnapshotTable[[#This Row],[LC Book Date]], SnapshotTable[[#This Row],[LC Fill Date]]),"")</f>
        <v/>
      </c>
      <c r="DR73" s="356" t="str">
        <f>IF(ISNUMBER(SnapshotTable[[#This Row],[LC Term]]), SnapshotTable[[#This Row],[LC Exp Date]] - MockToday, "")</f>
        <v/>
      </c>
      <c r="DS73" s="219" t="str">
        <f>IF(SnapshotTable[[#This Row],[LC Premium]]&gt;0,SnapshotTable[[#This Row],[LC Strike Price]] + SnapshotTable[[#This Row],[LC Book Price]],"")</f>
        <v/>
      </c>
      <c r="DU73" s="9" t="str">
        <f>IF(AND(SnapshotTable[[#This Row],[LC Symbol Count]]&gt;0, SnapshotTable[[#This Row],[LC Contract Value]]&gt;0), SnapshotTable[[#This Row],[LC Contract Value]] * SnapshotTable[[#This Row],[LC Qty]] * 100, "")</f>
        <v/>
      </c>
      <c r="DV73" s="9" t="str">
        <f>IF(AND(ISNUMBER(SnapshotTable[[#This Row],[LC Total Value]]), SnapshotTable[[#This Row],[LC Not Filled]]&lt;&gt;"Y"), SnapshotTable[[#This Row],[LC Total Value]]-SnapshotTable[[#This Row],[LC Premium]],"")</f>
        <v/>
      </c>
      <c r="DW73" s="225" t="str">
        <f>IF(ISNUMBER(SnapshotTable[[#This Row],[LC Actual Gain Loss]]), SnapshotTable[[#This Row],[LC Actual Gain Loss]] / SnapshotTable[[#This Row],[LC Premium]],"")</f>
        <v/>
      </c>
      <c r="DX73" s="269" t="str">
        <f>IF(ISNUMBER(SnapshotTable[[#This Row],[LC Book Price]]),SnapshotTable[[#This Row],[LC Book Price]] * 1.5,"")</f>
        <v/>
      </c>
      <c r="DY73" s="250" t="str">
        <f>IF(SnapshotTable[[#This Row],[LC Premium]]&gt;0, SnapshotTable[[#This Row],[LC Next Target]] * SnapshotTable[[#This Row],[LC Qty]] * 100,"")</f>
        <v/>
      </c>
      <c r="DZ73" s="250" t="str">
        <f>IF(ISNUMBER(SnapshotTable[[#This Row],[LC Target Gross]]), SnapshotTable[[#This Row],[LC Target Gross]] - SnapshotTable[[#This Row],[LC Premium]], "")</f>
        <v/>
      </c>
      <c r="EA73" s="283" t="str">
        <f>IF(ISNUMBER(SnapshotTable[[#This Row],[LC Target Gain Loss]]), SnapshotTable[[#This Row],[LC Target Gain Loss]]/SnapshotTable[[#This Row],[LC Premium]], "")</f>
        <v/>
      </c>
      <c r="EB73" s="247"/>
      <c r="EC73" s="268" t="str">
        <f>IF(SnapshotTable[[#This Row],[LC Premium]]&gt;0, SnapshotTable[[#This Row],[LC Book Price]] * (1 - LC_StopLoss_Pct),"")</f>
        <v/>
      </c>
      <c r="ED73" s="269"/>
      <c r="EE73" s="268" t="str">
        <f>IF(ISNUMBER(SnapshotTable[[#This Row],[LC Contract Value]]),IF(ISNUMBER(SnapshotTable[[#This Row],[LC Stop Loss Override]]), SnapshotTable[[#This Row],[LC Stop Loss Override]],SnapshotTable[[#This Row],[LC Stop Loss Calc Target]]),"")</f>
        <v/>
      </c>
      <c r="EF73" s="31" t="str">
        <f>IF(ISNUMBER(SnapshotTable[[#This Row],[LC Stop  To Use]]), (SnapshotTable[[#This Row],[LC Stop  To Use]] * SnapshotTable[[#This Row],[LC Qty]] * 100),"")</f>
        <v/>
      </c>
      <c r="EG73" s="9" t="str">
        <f>IF(ISNUMBER(SnapshotTable[[#This Row],[LC Total Value]]),SnapshotTable[[#This Row],[LC Stop Loss Amount]] - SnapshotTable[[#This Row],[LC Premium]],"")</f>
        <v/>
      </c>
      <c r="EH73" s="9">
        <f>IF(ISNUMBER(SnapshotTable[[#This Row],[LC Premium]]), SnapshotTable[[#This Row],[LC Qty]] * 100 * SnapshotTable[[#This Row],[LC Strike Price]], "")</f>
        <v>0</v>
      </c>
      <c r="EI73" s="225" t="str">
        <f>IF(AND(ISNUMBER(SnapshotTable[[#This Row],[LC Total Value]]),SnapshotTable[[#This Row],[LC Total Value]]&gt;0),SnapshotTable[[#This Row],[LC Stop Gain Loss]]  / SnapshotTable[[#This Row],[LC Premium]],"")</f>
        <v/>
      </c>
      <c r="EJ73" s="35">
        <f>IF(ISNUMBER(SnapshotTable[[#This Row],[Equity Shares]]),TRUNC(SnapshotTable[[#This Row],[Equity Shares]] / 100),0) + SnapshotTable[[#This Row],[LC Qty]]</f>
        <v>0</v>
      </c>
      <c r="EK73" s="145"/>
      <c r="EL73" s="136"/>
      <c r="EM73" s="146"/>
      <c r="EN73" s="145"/>
      <c r="EO73" s="145"/>
      <c r="EP73" s="136"/>
      <c r="EQ73" s="382" t="b">
        <f>AND(ISNUMBER(SnapshotTable[[#This Row],[SC Exp Date]]), ISNUMBER(SnapshotTable[[#This Row],[SC Strike Price]]), ISNUMBER(SnapshotTable[[#This Row],[SC Qty]]), ISNUMBER(SnapshotTable[[#This Row],[SC Book Date]]), ISNUMBER(SnapshotTable[[#This Row],[SC Book Price]]))</f>
        <v>0</v>
      </c>
      <c r="ER73" s="382" t="b">
        <f>AND(SnapshotTable[[#This Row],[SC Is Booked]], NOT(ISBLANK(SnapshotTable[[#This Row],[SC Fill Date]])))</f>
        <v>0</v>
      </c>
      <c r="ES73" s="340"/>
      <c r="ET73" s="34" t="str">
        <f>IF(AND(ISNUMBER(SnapshotTable[[#This Row],[SC Exp Date]]), ISNUMBER(SnapshotTable[[#This Row],[SC Book Date]])), SnapshotTable[[#This Row],[SC Exp Date]] - MAX(SnapshotTable[[#This Row],[SC Book Date]], SnapshotTable[[#This Row],[SC Fill Date]]) + 1, "")</f>
        <v/>
      </c>
      <c r="EU73" s="34" t="str">
        <f>IF(ISNUMBER(SnapshotTable[[#This Row],[SC Term]]), SnapshotTable[[#This Row],[SC Exp Date]]- MockToday, "")</f>
        <v/>
      </c>
      <c r="EV73" s="31">
        <f>IF(SnapshotTable[[#This Row],[SC Is Booked]], SnapshotTable[[#This Row],[SC Qty]] * SnapshotTable[[#This Row],[SC Book Price]] * 100, 0)</f>
        <v>0</v>
      </c>
      <c r="EW73" s="4" t="str">
        <f>IF(AND(ISNUMBER(SnapshotTable[[#This Row],[Last Price]]), ISNUMBER( SnapshotTable[[#This Row],[SC Book Price]])), SnapshotTable[[#This Row],[Last Price]] - SnapshotTable[[#This Row],[SC Book Price]],"")</f>
        <v/>
      </c>
      <c r="EX73" s="219" t="str">
        <f>IF(SnapshotTable[[#This Row],[SC Is Booked]],IF(SnapshotTable[[#This Row],[SC Intrinsic Value]] &gt; 0, SnapshotTable[[#This Row],[SC Strike Price]], SnapshotTable[[#This Row],[Last Price]]), "")</f>
        <v/>
      </c>
      <c r="EY73" s="4">
        <f>IF(SnapshotTable[[#This Row],[SC Is Booked]], (MinimumPremiumRequired * SnapshotTable[[#This Row],[SC Basis]] * SnapshotTable[[#This Row],[SC Term]]), 0)</f>
        <v>0</v>
      </c>
      <c r="EZ73" s="268"/>
      <c r="FA73" s="204"/>
      <c r="FB73" s="340"/>
      <c r="FC73" s="4">
        <f>IF(SnapshotTable[[#This Row],[SC Is Filled]], btc_max_buyback_amount(SnapshotTable[[#This Row],[SC Fill Date]],SnapshotTable[[#This Row],[SC Exp Date]], SnapshotTable[[#This Row],[SC Book Price]]),0)</f>
        <v>0</v>
      </c>
      <c r="FD73" s="5"/>
      <c r="FE73" s="142" t="str">
        <f>IF(SnapshotTable[[#This Row],[SC Is Filled]], btc_next_cutoff_date(SnapshotTable[[#This Row],[SC Fill Date]],SnapshotTable[[#This Row],[SC Exp Date]]),"")</f>
        <v/>
      </c>
      <c r="FF73" s="4" t="str" cm="1">
        <f t="array" ref="FF73">IF(SnapshotTable[[#This Row],[SC Is Filled]], btc_should_buy_back(SnapshotTable[[#This Row],[SC Fill Date]], SnapshotTable[[#This Row],[SC Exp Date]], SnapshotTable[[#This Row],[SC Book Price]], SnapshotTable[[#This Row],[SC Current Ask]], MockToday, SnapshotTable[[#This Row],[SC Buyback Override]]),"")</f>
        <v/>
      </c>
      <c r="FG73" s="4">
        <f>IF(SnapshotTable[[#This Row],[SC Is Filled]], MAX(0,SnapshotTable[[#This Row],[Last Price]]  - SnapshotTable[[#This Row],[SC Strike Price]]), 0)</f>
        <v>0</v>
      </c>
      <c r="FH73" s="352">
        <f>IF(SnapshotTable[[#This Row],[SC Is Filled]], IF(ISNUMBER(SnapshotTable[[#This Row],[SC Current Ask]]), SnapshotTable[[#This Row],[SC Current Ask]], SnapshotTable[[#This Row],[SC Book Price]]) - SnapshotTable[[#This Row],[SC Intrinsic Value]], 0)</f>
        <v>0</v>
      </c>
      <c r="FI73" s="141"/>
      <c r="FJ73" s="32" t="str">
        <f>IF(SnapshotTable[[#This Row],[SC Is Filled]],100 * SnapshotTable[[#This Row],[SC Qty]] * IF(ISNUMBER(SnapshotTable[[#This Row],[SC Buyback Override]]), SnapshotTable[[#This Row],[SC Buyback Override]], SnapshotTable[[#This Row],[SC Current Ask]]), "")</f>
        <v/>
      </c>
      <c r="FK73" s="235" t="str">
        <f>IF(SnapshotTable[[#This Row],[SC Time Val]]&gt;0, SnapshotTable[[#This Row],[SC Time Val]] / SnapshotTable[[#This Row],[Last Price]],"")</f>
        <v/>
      </c>
      <c r="FL73" s="280" t="str">
        <f>IF(SnapshotTable[[#This Row],[SC Is Booked]], ((SnapshotTable[[#This Row],[Last Price]] -SnapshotTable[[#This Row],[SC Strike Price]]) / SnapshotTable[[#This Row],[Last Price]]) * -1, "")</f>
        <v/>
      </c>
      <c r="FM73" s="155" t="str">
        <f>IF(SnapshotTable[[#This Row],[SC Is Booked]],  (SnapshotTable[[#This Row],[SC Qty]] * 100 * SnapshotTable[[#This Row],[SC Strike Price]]) - SnapshotTable[[#This Row],[SC Current Ask]], "")</f>
        <v/>
      </c>
      <c r="FN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3" s="31" t="str">
        <f>IF(AND(ISNUMBER(SnapshotTable[[#This Row],[SC Exercise Gross]]), ISNUMBER(SnapshotTable[[#This Row],[Equity Basis Per Share]] )), SnapshotTable[[#This Row],[SC Exercise Gross]] - SnapshotTable[[#This Row],[Equity Basis Total]] +  SnapshotTable[[#This Row],[SC Premium]], "")</f>
        <v/>
      </c>
      <c r="FP73" s="5" t="str">
        <f>IF(ISNUMBER(SnapshotTable[[#This Row],[SC Exercise Gross]]), (SnapshotTable[[#This Row],[SC Exercise Gross]]) / (SnapshotTable[[#This Row],[SC Qty]] * 100), "")</f>
        <v/>
      </c>
      <c r="FQ73" s="27" t="str">
        <f>IF(SnapshotTable[[#This Row],[SC Is Booked]],SnapshotTable[[#This Row],[SC Time Val]] /SnapshotTable[[#This Row],[SC Basis]], "")</f>
        <v/>
      </c>
      <c r="FR73" s="27" t="str" cm="1">
        <f t="array" ref="FR73">IF(AND(ISNUMBER(SnapshotTable[[#This Row],[SC Term]]),ISNUMBER(SnapshotTable[[#This Row],[SC Simple ROO]])), EllmanAnnualize(SnapshotTable[[#This Row],[SC DTE]], SnapshotTable[[#This Row],[SC Simple ROO]] ),"")</f>
        <v/>
      </c>
      <c r="FS73" s="4">
        <f>IF(SnapshotTable[[#This Row],[SC Strike Price]] &gt; SnapshotTable[[#This Row],[Last Price]], SnapshotTable[[#This Row],[SC Strike Price]] - SnapshotTable[[#This Row],[Last Price]],0)</f>
        <v>0</v>
      </c>
      <c r="FT73" s="27" t="str">
        <f>IF(AND(ISNUMBER(SnapshotTable[[#This Row],[SC Upside Potential]]), SnapshotTable[[#This Row],[SC Upside Potential]] &gt; 0),(SnapshotTable[[#This Row],[SC Upside Potential]]/ SnapshotTable[[#This Row],[ACB]]),"")</f>
        <v/>
      </c>
      <c r="FU73" s="304" t="str">
        <f>IF(SnapshotTable[[#This Row],[SC Intrinsic Value]] &gt; 0,SnapshotTable[[#This Row],[SC Intrinsic Value]],"")</f>
        <v/>
      </c>
      <c r="FV73" s="27" t="str">
        <f>IF(AND( ISNUMBER( SnapshotTable[[#This Row],[ACB]]),ISNUMBER(SnapshotTable[[#This Row],[SC Downside Protect]])),SnapshotTable[[#This Row],[SC Downside Protect]] / SnapshotTable[[#This Row],[ACB]],"")</f>
        <v/>
      </c>
      <c r="FW73" s="221" t="str">
        <f>IF(AND(ISNUMBER(SnapshotTable[[#This Row],[SC Simple ROO]]),SnapshotTable[[#This Row],[SC Simple ROO]] &gt; 0), SnapshotTable[[#This Row],[SC Premium]] + (SnapshotTable[[#This Row],[SC Qty]] * SnapshotTable[[#This Row],[SC Upside Potential]]), "")</f>
        <v/>
      </c>
      <c r="FX73" s="280" t="str" cm="1">
        <f t="array" ref="FX73">IF(ISNUMBER(SnapshotTable[[#This Row],[SC Max Dollars]]), annualize(SnapshotTable[[#This Row],[SC Term]],(SnapshotTable[[#This Row],[SC Max Dollars]]/SnapshotTable[[#This Row],[SC Basis]])),"")</f>
        <v/>
      </c>
      <c r="FY73" s="221" t="str">
        <f>IF(AND(SnapshotTable[[#This Row],[SC Qty]]&gt;0,SnapshotTable[[#This Row],[SC Current Ask]]&gt;0), SnapshotTable[[#This Row],[SC Qty]] * SnapshotTable[[#This Row],[SC Current Ask]] * -100, "")</f>
        <v/>
      </c>
      <c r="FZ73" s="31" t="str">
        <f>IF(ISNUMBER((SnapshotTable[[#This Row],[SC Current Value]])), SnapshotTable[[#This Row],[SC Premium]] + SnapshotTable[[#This Row],[SC Current Value]], "")</f>
        <v/>
      </c>
      <c r="GA73" s="272" t="str">
        <f>IFERROR( IF(ISNUMBER((SnapshotTable[[#This Row],[SC Current Value]])), SnapshotTable[[#This Row],[SC Gain Loss]] / SnapshotTable[[#This Row],[SC Premium]], ""), "")</f>
        <v/>
      </c>
      <c r="GB73" s="42">
        <f>SnapshotTable[[#This Row],[Equity Shares]] * SaleSharesToConsiderPercentage</f>
        <v>0</v>
      </c>
      <c r="GC73" s="40">
        <f>SnapshotTable[[#This Row],[Long Term Target]] * SellingPriceToConsiderBasedOnTargetPercentage</f>
        <v>191.1875</v>
      </c>
      <c r="GD73" s="40">
        <f>SnapshotTable[[#This Row],[Last Price]] * (1+ SellingPriceToConsiderBasedOnTargetPercentage)</f>
        <v>1734.1544999999999</v>
      </c>
      <c r="GE73" s="41"/>
      <c r="GF73" s="40"/>
      <c r="GG73" s="31">
        <f>SnapshotTable[[#This Row],[Booked Sale Shares]] * SnapshotTable[[#This Row],[Booked Sale Price]]</f>
        <v>0</v>
      </c>
      <c r="GH73" s="31" t="str">
        <f>IF(SnapshotTable[[#This Row],[Equity Basis Total]] &gt; 0, SnapshotTable[[#This Row],[Equity Basis Per Share]] * SnapshotTable[[#This Row],[Booked Sale Shares]], "")</f>
        <v/>
      </c>
      <c r="GI73" s="31">
        <f>IF(SnapshotTable[[#This Row],[Sale Proceeds]]&gt;0, SnapshotTable[[#This Row],[Sale Proceeds]] - SnapshotTable[[#This Row],[Sale Basis]], 0)</f>
        <v>0</v>
      </c>
      <c r="GJ73" s="27" t="str">
        <f>IF(SnapshotTable[[#This Row],[Sale G/L]]&gt;0, SnapshotTable[[#This Row],[Sale G/L]] / SnapshotTable[[#This Row],[Sale Basis]], IF(ISNUMBER(SnapshotTable[[#This Row],[SC Exercise P&amp;L (TAX)]]), SnapshotTable[[#This Row],[SC Exercise P&amp;L (TAX)]] / SnapshotTable[[#This Row],[SC Basis]], ""))</f>
        <v/>
      </c>
      <c r="GK73" s="27" t="s">
        <v>537</v>
      </c>
      <c r="GL73" s="43" t="str">
        <f>IF(AND(SnapshotTable[[#This Row],[LP Exp Date]]&gt;0,SnapshotTable[[#This Row],[LP Strike Price]]&gt;0), [1]!ToOptionSymbol(SnapshotTable[[#This Row],[Symbol]], SnapshotTable[[#This Row],[LP Strike Price]],SnapshotTable[[#This Row],[LP Exp Date]],1), "")</f>
        <v/>
      </c>
      <c r="GM73" s="30" t="str">
        <f>IF(LEN(SnapshotTable[[#This Row],[LP Symbol]])&gt;0, 1, "")</f>
        <v/>
      </c>
      <c r="GN73" s="43" t="str">
        <f>IF(AND(SnapshotTable[[#This Row],[SP Exp Date]]&gt;0,SnapshotTable[[#This Row],[SP Strike Price]]&gt;0), [1]!ToOptionSymbol(SnapshotTable[[#This Row],[Symbol]], SnapshotTable[[#This Row],[SP Strike Price]],SnapshotTable[[#This Row],[SP Exp Date]],1), "")</f>
        <v/>
      </c>
      <c r="GO73" s="30" t="str">
        <f>IF(LEN(SnapshotTable[[#This Row],[SP Symbol]])&gt;0, 1, "")</f>
        <v/>
      </c>
      <c r="GP73" s="43" t="str">
        <f>IF(AND(SnapshotTable[[#This Row],[LC Exp Date]]&gt;0,SnapshotTable[[#This Row],[LC Strike Price]]&gt;0), [1]!ToOptionSymbol(SnapshotTable[[#This Row],[Symbol]], SnapshotTable[[#This Row],[LC Strike Price]],SnapshotTable[[#This Row],[LC Exp Date]],0), "")</f>
        <v/>
      </c>
      <c r="GQ73" s="30" t="str">
        <f>IF(LEN(SnapshotTable[[#This Row],[LC Symbol]])&gt;0, 1, "")</f>
        <v/>
      </c>
      <c r="GR73" s="43" t="str">
        <f>IF(AND(SnapshotTable[[#This Row],[SC Exp Date]]&gt;0,SnapshotTable[[#This Row],[SC Strike Price]]&gt;0), [1]!ToOptionSymbol(SnapshotTable[[#This Row],[Symbol]], SnapshotTable[[#This Row],[SC Strike Price]],SnapshotTable[[#This Row],[SC Exp Date]],0), "")</f>
        <v/>
      </c>
      <c r="GS73" s="30" t="str">
        <f>IF(LEN(SnapshotTable[[#This Row],[SC Symbol]])&gt;0, 1, "")</f>
        <v/>
      </c>
      <c r="GT73" s="29" t="str">
        <f>IF(COUNT(SnapshotTable[[#This Row],[LP Symbol Count]],SnapshotTable[[#This Row],[SP Symbol Count]],SnapshotTable[[#This Row],[LC Symbol Count]],SnapshotTable[[#This Row],[SC Symbol Count]])&gt;0, "Y", "")</f>
        <v/>
      </c>
      <c r="GU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3" s="216">
        <f>MAX(SnapshotTable[[#This Row],[Equity Basis Total]],SnapshotTable[[#This Row],[Equity Value]]) + (SnapshotTable[[#This Row],[SP Potential Spend]]- SnapshotTable[[#This Row],[SP Premium]] + SnapshotTable[[#This Row],[LP Premium]])+ (SnapshotTable[[#This Row],[LC Premium]] - SnapshotTable[[#This Row],[SC Premium]])</f>
        <v>0</v>
      </c>
      <c r="GW73" s="137" t="str">
        <f>IF(AND(SnapshotTable[[#This Row],[Exposure]] &lt;&gt; 0),SnapshotTable[[#This Row],[Exposure]] / SnapshotTable[[#Totals],[Exposure]], "")</f>
        <v/>
      </c>
      <c r="HE73" s="253"/>
      <c r="HF73" s="253"/>
      <c r="HK73" s="1"/>
      <c r="HL73" s="1"/>
      <c r="HM73" s="1"/>
      <c r="HN73" s="1"/>
      <c r="HO73" s="1"/>
      <c r="HP73" s="1"/>
    </row>
    <row r="74" spans="2:224" s="45" customFormat="1" ht="12.75" hidden="1" customHeight="1" x14ac:dyDescent="0.25">
      <c r="B74" s="12" t="s">
        <v>118</v>
      </c>
      <c r="C74" s="385">
        <v>1</v>
      </c>
      <c r="D74" s="200"/>
      <c r="E74" s="39">
        <f>SnapshotTable[[#This Row],[Last Price]]*(1 -CrashDiscount)</f>
        <v>0.85</v>
      </c>
      <c r="F74" s="26" t="s">
        <v>73</v>
      </c>
      <c r="G74" s="26" t="s">
        <v>10</v>
      </c>
      <c r="H74" s="147"/>
      <c r="I74" s="186">
        <v>44770.270833333336</v>
      </c>
      <c r="J74" s="187">
        <v>44770.270833333336</v>
      </c>
      <c r="K74" s="188"/>
      <c r="L74" s="297"/>
      <c r="M74" s="138"/>
      <c r="N74" s="138"/>
      <c r="O74" s="138"/>
      <c r="P74" s="22"/>
      <c r="Q74" s="25"/>
      <c r="R74" s="4" t="str">
        <f>IF(SnapshotTable[[#This Row],[Equity Basis Total]] &gt; 0, SnapshotTable[[#This Row],[Equity Basis Total]] / SnapshotTable[[#This Row],[Equity Shares]], "")</f>
        <v/>
      </c>
      <c r="S74" s="254">
        <f>SnapshotTable[[#This Row],[Last Price]] * SnapshotTable[[#This Row],[Equity Shares]]</f>
        <v>0</v>
      </c>
      <c r="T74" s="254">
        <f>SnapshotTable[[#This Row],[Equity Value]] - SnapshotTable[[#This Row],[Equity Basis Total]]</f>
        <v>0</v>
      </c>
      <c r="U74" s="255" t="str">
        <f>IF(SnapshotTable[[#This Row],[Equity Basis Total]] &gt; 0, SnapshotTable[[#This Row],[Equity G/L]] / SnapshotTable[[#This Row],[Equity Basis Total]], "")</f>
        <v/>
      </c>
      <c r="V74" s="253"/>
      <c r="W74" s="253"/>
      <c r="X74" s="4" t="str">
        <f>IF(AND(ISNUMBER(SnapshotTable[[#This Row],[Equity Basis Per Share]]),ISNUMBER(SnapshotTable[[#This Row],[Equity Target]])),SnapshotTable[[#This Row],[Equity Target]]-SnapshotTable[[#This Row],[Equity Basis Per Share]],"")</f>
        <v/>
      </c>
      <c r="Y74" s="4" t="str">
        <f>IF(AND(ISNUMBER(SnapshotTable[[#This Row],[Equity Basis Per Share]]),ISNUMBER(SnapshotTable[[#This Row],[Equity Stop Loss]])),SnapshotTable[[#This Row],[Equity Stop Loss]]-SnapshotTable[[#This Row],[Equity Basis Per Share]],"")</f>
        <v/>
      </c>
      <c r="Z74" s="260" t="str">
        <f>IFERROR( TEXT(SnapshotTable[[#This Row],[Equity Max Gain Per Share]] /ABS( SnapshotTable[[#This Row],[Equity Max Loss Per Share]]),"0.0 " ) &amp; " : 1", "")</f>
        <v/>
      </c>
      <c r="AA74" s="31" t="str">
        <f>IF(ISNUMBER(SnapshotTable[[#This Row],[Equity Max Gain Per Share]]),SnapshotTable[[#This Row],[Equity Max Gain Per Share]] * SnapshotTable[[#This Row],[Equity Shares]],"")</f>
        <v/>
      </c>
      <c r="AB74" s="31" t="str">
        <f>IF(ISNUMBER(SnapshotTable[[#This Row],[Equity Max Loss Per Share]]),SnapshotTable[[#This Row],[Equity Max Loss Per Share]] * SnapshotTable[[#This Row],[Equity Shares]],"")</f>
        <v/>
      </c>
      <c r="AC74" s="148"/>
      <c r="AD74" s="149"/>
      <c r="AE74" s="31">
        <f>(SnapshotTable[[#This Row],[Annual Dividend Per Share]] / 4) * SnapshotTable[[#This Row],[Equity Shares]]</f>
        <v>0</v>
      </c>
      <c r="AF74" s="31">
        <f>SnapshotTable[[#This Row],[Quarterly Div $]] * 4</f>
        <v>0</v>
      </c>
      <c r="AG74" s="7">
        <f>IF(SnapshotTable[[#This Row],[Annual Dividend Per Share]]&gt;0, SnapshotTable[[#This Row],[Annual Dividend Per Share]]  / SnapshotTable[[#This Row],[Last Price]], 0)</f>
        <v>0</v>
      </c>
      <c r="AH74" s="149"/>
      <c r="AI74" s="5"/>
      <c r="AJ74" s="136">
        <v>69.540000000000006</v>
      </c>
      <c r="AK74" s="150" t="str">
        <f>IF(ISNUMBER( SnapshotTable[[#This Row],[EBF Target]]),(SnapshotTable[[#This Row],[EBF Target]] - SnapshotTable[[#This Row],[Last Price]]) / SnapshotTable[[#This Row],[Last Price]], "")</f>
        <v/>
      </c>
      <c r="AL74" s="150" t="str">
        <f>IF(AND(SnapshotTable[[#This Row],[Equity Basis Total]] &gt; 0,ISNUMBER( SnapshotTable[[#This Row],[Long Term Target]])), SnapshotTable[[#This Row],[From Basis $]] / SnapshotTable[[#This Row],[Equity Basis Total]], "")</f>
        <v/>
      </c>
      <c r="AM74" s="9">
        <f>IF( AND(SnapshotTable[[#This Row],[Equity Shares]] &gt;0,ISNUMBER( SnapshotTable[[#This Row],[Long Term Target]])),(SnapshotTable[[#This Row],[Equity Shares]] * SnapshotTable[[#This Row],[Long Term Target]]) - SnapshotTable[[#This Row],[Equity Basis Total]],0)</f>
        <v>0</v>
      </c>
      <c r="AN74" s="9">
        <f>IF( AND(SnapshotTable[[#This Row],[Equity Shares]] &gt;0,ISNUMBER( SnapshotTable[[#This Row],[Long Term Target]])),(SnapshotTable[[#This Row],[Equity Shares]]*SnapshotTable[[#This Row],[Long Term Target]]) - SnapshotTable[[#This Row],[Equity Value]],0)</f>
        <v>0</v>
      </c>
      <c r="AO74" s="150">
        <f>IF(AND(ISNUMBER( SnapshotTable[[#This Row],[Long Term Target]]), ISNUMBER(SnapshotTable[[#This Row],[Last Price]])),(SnapshotTable[[#This Row],[Long Term Target]] - SnapshotTable[[#This Row],[Last Price]]) / SnapshotTable[[#This Row],[Last Price]], "")</f>
        <v>68.540000000000006</v>
      </c>
      <c r="AP74" s="5"/>
      <c r="AQ74" s="38"/>
      <c r="AR74" s="5"/>
      <c r="AS74" s="38"/>
      <c r="AT74" s="144"/>
      <c r="AU74" s="185" t="str">
        <f>IF(OR(SnapshotTable[[#This Row],[LP No Fill]]="Y",SnapshotTable[[#This Row],[SP Is Filled]],SnapshotTable[[#This Row],[LC Not Filled]]="Y",SnapshotTable[[#This Row],[SC Is Filled]]),"Y","")</f>
        <v/>
      </c>
      <c r="AV74" s="205"/>
      <c r="AW74" s="211"/>
      <c r="AX74" s="206"/>
      <c r="AY74" s="205" t="str">
        <f>IF(SnapshotTable[[#This Row],[Implied Move]]&gt;0, SnapshotTable[[#This Row],[Last Price]]-SnapshotTable[[#This Row],[Implied Move]],"")</f>
        <v/>
      </c>
      <c r="AZ74" s="205" t="str">
        <f>IF(SnapshotTable[[#This Row],[Implied Move]]&gt;0, SnapshotTable[[#This Row],[Last Price]] + SnapshotTable[[#This Row],[Implied Move]],"")</f>
        <v/>
      </c>
      <c r="BA74" s="302"/>
      <c r="BB74" s="318"/>
      <c r="BC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4" s="321"/>
      <c r="BE74" s="5"/>
      <c r="BF74" s="14"/>
      <c r="BG74" s="13"/>
      <c r="BH74" s="13"/>
      <c r="BI74" s="5"/>
      <c r="BJ74" s="134">
        <f>IF(SnapshotTable[[#This Row],[LP Qty]] &gt; 0, SnapshotTable[[#This Row],[LP Qty]] * SnapshotTable[[#This Row],[LP Book Price]] * 100,0)</f>
        <v>0</v>
      </c>
      <c r="BK74" s="134">
        <f>IF(SnapshotTable[[#This Row],[LP Premium]] &gt; 0, SnapshotTable[[#This Row],[LP Qty]] * SnapshotTable[[#This Row],[LP Strike Price]] * 100,0)</f>
        <v>0</v>
      </c>
      <c r="BL74" s="152"/>
      <c r="BM74" s="355" t="str">
        <f>IF(SnapshotTable[[#This Row],[LP Premium]] &gt; 0,SnapshotTable[[#This Row],[LP Exp Date]]-MAX(SnapshotTable[[#This Row],[LP Book Date]], SnapshotTable[[#This Row],[LP Fill Date]]),"")</f>
        <v/>
      </c>
      <c r="BN74" s="355" t="str">
        <f>IF(ISNUMBER( SnapshotTable[[#This Row],[LP Term]]), SnapshotTable[[#This Row],[LP Exp Date]] - MockToday,"")</f>
        <v/>
      </c>
      <c r="BO74" s="161" t="str">
        <f>IF(AND(SnapshotTable[[#This Row],[LP Exp Date]]&gt;0, SnapshotTable[[#This Row],[LP Strike Price]]&gt;0,SnapshotTable[[#This Row],[LP Qty]]&gt;0,SnapshotTable[[#This Row],[LP Book Date]]&gt;0,SnapshotTable[[#This Row],[LP Book Price]]&gt;0,SnapshotTable[[#This Row],[LP Fill Date]]=0),"Y","")</f>
        <v/>
      </c>
      <c r="BP74" s="31" t="str">
        <f>IF(AND(SnapshotTable[[#This Row],[LP No Fill]]&lt;&gt;"Y",SnapshotTable[[#This Row],[LP Contract Value]]&gt;0, SnapshotTable[[#This Row],[LP Qty]]&gt;0), SnapshotTable[[#This Row],[LP Contract Value]]*SnapshotTable[[#This Row],[LP Qty]]*100,"")</f>
        <v/>
      </c>
      <c r="BQ74" s="13"/>
      <c r="BR74" s="5"/>
      <c r="BS74" s="36"/>
      <c r="BT74" s="145"/>
      <c r="BU74" s="13"/>
      <c r="BV74" s="5"/>
      <c r="BW74" s="382" t="b">
        <f>AND(ISNUMBER(SnapshotTable[[#This Row],[SP Exp Date]]), ISNUMBER(SnapshotTable[[#This Row],[SP Strike Price]]), ISNUMBER(SnapshotTable[[#This Row],[SP Qty]]), ISNUMBER(SnapshotTable[[#This Row],[SP Book Date]]), ISNUMBER(SnapshotTable[[#This Row],[SP Book Price]]))</f>
        <v>0</v>
      </c>
      <c r="BX74" s="382" t="b">
        <f>AND(SnapshotTable[[#This Row],[SP Is Booked]], NOT(ISBLANK(SnapshotTable[[#This Row],[SP Fill Date]])))</f>
        <v>0</v>
      </c>
      <c r="BY74" s="33">
        <f>IF(SnapshotTable[[#This Row],[SP Is Booked]], SnapshotTable[[#This Row],[SP Qty]] * SnapshotTable[[#This Row],[SP Book Price]] * 100, 0)</f>
        <v>0</v>
      </c>
      <c r="BZ74" s="339"/>
      <c r="CA74" s="338">
        <f>SnapshotTable[[#This Row],[LP Qty]]</f>
        <v>0</v>
      </c>
      <c r="CB74" s="4" t="str">
        <f>IF(SnapshotTable[[#This Row],[SP Is Booked]], SnapshotTable[[#This Row],[SP Strike Price]] - SnapshotTable[[#This Row],[SP Book Price]], "")</f>
        <v/>
      </c>
      <c r="CC74" s="19" t="str">
        <f>IF(SnapshotTable[[#This Row],[SP Is Booked]],SnapshotTable[[#This Row],[SP Exp Date]]-MAX(SnapshotTable[[#This Row],[SP Book Date]], SnapshotTable[[#This Row],[SP Fill Date]]),"")</f>
        <v/>
      </c>
      <c r="CD74" s="7" t="str">
        <f>IF(SnapshotTable[[#This Row],[SP Is Booked]], SnapshotTable[[#This Row],[SP Book Price]]/SnapshotTable[[#This Row],[SP Strike Price]], "")</f>
        <v/>
      </c>
      <c r="CE74" s="7" t="str">
        <f>IF(ISNUMBER(SnapshotTable[[#This Row],[SP ROO Term]]),SnapshotTable[[#This Row],[SP ROO Term]]*(365/SnapshotTable[[#This Row],[SP Term]]),"")</f>
        <v/>
      </c>
      <c r="CF74" s="221">
        <f>SnapshotTable[[#This Row],[LP Strike Price]] * SnapshotTable[[#This Row],[LP Qty]] * 100</f>
        <v>0</v>
      </c>
      <c r="CG74" s="31">
        <f>IF(ISNUMBER(SnapshotTable[[#This Row],[SP Premium]]), (SnapshotTable[[#This Row],[SP Qty]] * SnapshotTable[[#This Row],[SP Strike Price]]* 100) - SnapshotTable[[#This Row],[LP Protection]], 0)</f>
        <v>0</v>
      </c>
      <c r="CH74" s="7" t="str">
        <f>IF(ISNUMBER(SnapshotTable[[#This Row],[SP Break Even]]),-1 * (SnapshotTable[[#This Row],[SP Break Even]] - SnapshotTable[[#This Row],[Last Price]]) / SnapshotTable[[#This Row],[Last Price]], "")</f>
        <v/>
      </c>
      <c r="CI74" s="31">
        <f>IF(AND(ISNUMBER((SnapshotTable[[#This Row],[SP Potential Spend]])), SnapshotTable[[#This Row],[SP Strike Price]] &gt; SnapshotTable[[#This Row],[Last Price]], SnapshotTable[[#This Row],[SP Is Filled]]), SnapshotTable[[#This Row],[SP Potential Spend]] -  SnapshotTable[[#This Row],[LP Max Value]], 0)</f>
        <v>0</v>
      </c>
      <c r="CJ74" s="229"/>
      <c r="CK74" s="31">
        <f>IF(ISNUMBER(SnapshotTable[[#This Row],[SP Potential Spend]]),IF(ISNUMBER(SnapshotTable[[#This Row],[SP POW]]), SnapshotTable[[#This Row],[SP POW]] * SnapshotTable[[#This Row],[SP Potential Spend]], SnapshotTable[[#This Row],[SP Potential Spend]]), "")</f>
        <v>0</v>
      </c>
      <c r="CL74" s="162">
        <f>IF(NOT(SnapshotTable[[#This Row],[SP Is Filled]]),(SnapshotTable[[#This Row],[SP Qty]] * SnapshotTable[[#This Row],[SP Strike Price]] * 100) - SnapshotTable[[#This Row],[LP Max Value]],"")</f>
        <v>0</v>
      </c>
      <c r="CM74" s="31" t="str">
        <f>IF(SnapshotTable[[#This Row],[SP Actual Spend]]&lt;&gt;0, ((SnapshotTable[[#This Row],[SP Strike Price]]-SnapshotTable[[#This Row],[Last Price]]) *(SnapshotTable[[#This Row],[SP Qty]]*100) - SnapshotTable[[#This Row],[SP Premium]]) * - 1, "")</f>
        <v/>
      </c>
      <c r="CN74" s="76"/>
      <c r="CO74" s="339"/>
      <c r="CP74" s="4" t="str">
        <f>IF(SnapshotTable[[#This Row],[SP Is Filled]], btc_max_buyback_amount(SnapshotTable[[#This Row],[SP Fill Date]],SnapshotTable[[#This Row],[SP Exp Date]], SnapshotTable[[#This Row],[SP Book Price]]),"")</f>
        <v/>
      </c>
      <c r="CQ74" s="76"/>
      <c r="CR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4" s="153" t="str">
        <f>IF(SnapshotTable[[#This Row],[SP Is Filled]], btc_next_cutoff_date(SnapshotTable[[#This Row],[SP Fill Date]],SnapshotTable[[#This Row],[SP Exp Date]]),"")</f>
        <v/>
      </c>
      <c r="CT74" s="220" t="str" cm="1">
        <f t="array" ref="CT74">IF(SnapshotTable[[#This Row],[SP Is Filled]], btc_should_buy_back(SnapshotTable[[#This Row],[SP Fill Date]], SnapshotTable[[#This Row],[SP Exp Date]], SnapshotTable[[#This Row],[SP Book Price]], SnapshotTable[[#This Row],[SP Current Ask]], MockToday, SnapshotTable[[#This Row],[SP Buyback Override]]),"")</f>
        <v/>
      </c>
      <c r="CU74" s="141"/>
      <c r="CV74" s="220"/>
      <c r="CW74" s="348" t="str">
        <f>IF(ISNUMBER( SnapshotTable[[#This Row],[SP Term]]), SnapshotTable[[#This Row],[SP Exp Date]] - MockToday,"")</f>
        <v/>
      </c>
      <c r="CX74" s="31" t="str">
        <f>IF(SnapshotTable[[#This Row],[SP Is Filled]],SnapshotTable[[#This Row],[SP Buyback Price to Use]] * 100 * SnapshotTable[[#This Row],[SP Qty]], "")</f>
        <v/>
      </c>
      <c r="CY74" s="4" t="str">
        <f>IF(ISNUMBER(SnapshotTable[[#This Row],[SP Strike Price]]), SnapshotTable[[#This Row],[SP Strike Price]] * (1 - SP_MaxLoss_StrikePct), "")</f>
        <v/>
      </c>
      <c r="CZ74" s="31" t="str">
        <f>IF(ISNUMBER(SnapshotTable[[#This Row],[SP Strike  Stop Per Share]]),SnapshotTable[[#This Row],[SP Premium]] - ((SnapshotTable[[#This Row],[SP Strike Price]]-SnapshotTable[[#This Row],[SP Strike  Stop Per Share]]) *(SnapshotTable[[#This Row],[SP Qty]] * 100)),"")</f>
        <v/>
      </c>
      <c r="DA74" s="4" t="str">
        <f>IF(AND(ISNUMBER(SnapshotTable[[#This Row],[SP Premium]]),SnapshotTable[[#This Row],[SP Premium]]&gt;0), SnapshotTable[[#This Row],[SP Book Price]] * (1 + SP_MaxLoss_OptionPct), "")</f>
        <v/>
      </c>
      <c r="DB74" s="31" t="str">
        <f>IF(ISNUMBER(SnapshotTable[[#This Row],[SP Option  Stop Contract]]),(SnapshotTable[[#This Row],[SP Option  Stop Contract]] *(SnapshotTable[[#This Row],[SP Qty]] * 100) - SnapshotTable[[#This Row],[SP Premium]]),"")</f>
        <v/>
      </c>
      <c r="DC74" s="4"/>
      <c r="DD74" s="4"/>
      <c r="DE74" s="4" t="str">
        <f>IF(AND(SnapshotTable[[#This Row],[SP Qty]]&gt;0, SnapshotTable[[#This Row],[SP Stop To Use]]&gt;0),SnapshotTable[[#This Row],[SP Premium]] - ( SnapshotTable[[#This Row],[SP Qty]] * SnapshotTable[[#This Row],[SP Stop To Use]] * 100), "")</f>
        <v/>
      </c>
      <c r="DF74" s="31" t="str">
        <f>IF(AND(SnapshotTable[[#This Row],[SP Qty]]&gt;0,SnapshotTable[[#This Row],[SP Current Ask]]&gt;0), SnapshotTable[[#This Row],[SP Qty]] * SnapshotTable[[#This Row],[SP Current Ask]] * -100, "")</f>
        <v/>
      </c>
      <c r="DG74" s="31" t="str">
        <f>IF(ISNUMBER((SnapshotTable[[#This Row],[SP Total Value]])), SnapshotTable[[#This Row],[SP Premium]] + SnapshotTable[[#This Row],[SP Total Value]], "")</f>
        <v/>
      </c>
      <c r="DH74" s="272" t="str">
        <f>IF(ISNUMBER((SnapshotTable[[#This Row],[SP Total Value]])), SnapshotTable[[#This Row],[SP Gain Loss]] / SnapshotTable[[#This Row],[SP Premium]], "")</f>
        <v/>
      </c>
      <c r="DI74" s="369"/>
      <c r="DJ74" s="136"/>
      <c r="DK74" s="146"/>
      <c r="DL74" s="13"/>
      <c r="DM74" s="13"/>
      <c r="DN74" s="5"/>
      <c r="DO74" s="31">
        <f>IF(SnapshotTable[[#This Row],[LC Symbol Count]]=1, SnapshotTable[[#This Row],[LC Qty]] * SnapshotTable[[#This Row],[LC Book Price]] * 100, 0)</f>
        <v>0</v>
      </c>
      <c r="DP74" s="161" t="str">
        <f>IF(AND(SnapshotTable[[#This Row],[LC Exp Date]]&gt;0, SnapshotTable[[#This Row],[LC Strike Price]]&gt;0,SnapshotTable[[#This Row],[LC Qty]]&gt;0,SnapshotTable[[#This Row],[LC Book Date]]&gt;0,SnapshotTable[[#This Row],[LC Book Price]]&gt;0,SnapshotTable[[#This Row],[LC Fill Date]]=0),"Y","")</f>
        <v/>
      </c>
      <c r="DQ74" s="356" t="str">
        <f>IF(SnapshotTable[[#This Row],[LC Premium]] &gt; 0,SnapshotTable[[#This Row],[LC Exp Date]]-MAX(SnapshotTable[[#This Row],[LC Book Date]], SnapshotTable[[#This Row],[LC Fill Date]]),"")</f>
        <v/>
      </c>
      <c r="DR74" s="356" t="str">
        <f>IF(ISNUMBER(SnapshotTable[[#This Row],[LC Term]]), SnapshotTable[[#This Row],[LC Exp Date]] - MockToday, "")</f>
        <v/>
      </c>
      <c r="DS74" s="219" t="str">
        <f>IF(SnapshotTable[[#This Row],[LC Premium]]&gt;0,SnapshotTable[[#This Row],[LC Strike Price]] + SnapshotTable[[#This Row],[LC Book Price]],"")</f>
        <v/>
      </c>
      <c r="DT74" s="5"/>
      <c r="DU74" s="9" t="str">
        <f>IF(AND(SnapshotTable[[#This Row],[LC Symbol Count]]&gt;0, SnapshotTable[[#This Row],[LC Contract Value]]&gt;0), SnapshotTable[[#This Row],[LC Contract Value]] * SnapshotTable[[#This Row],[LC Qty]] * 100, "")</f>
        <v/>
      </c>
      <c r="DV74" s="9" t="str">
        <f>IF(AND(ISNUMBER(SnapshotTable[[#This Row],[LC Total Value]]), SnapshotTable[[#This Row],[LC Not Filled]]&lt;&gt;"Y"), SnapshotTable[[#This Row],[LC Total Value]]-SnapshotTable[[#This Row],[LC Premium]],"")</f>
        <v/>
      </c>
      <c r="DW74" s="225" t="str">
        <f>IF(ISNUMBER(SnapshotTable[[#This Row],[LC Actual Gain Loss]]), SnapshotTable[[#This Row],[LC Actual Gain Loss]] / SnapshotTable[[#This Row],[LC Premium]],"")</f>
        <v/>
      </c>
      <c r="DX74" s="269" t="str">
        <f>IF(ISNUMBER(SnapshotTable[[#This Row],[LC Book Price]]),SnapshotTable[[#This Row],[LC Book Price]] * 1.5,"")</f>
        <v/>
      </c>
      <c r="DY74" s="250" t="str">
        <f>IF(SnapshotTable[[#This Row],[LC Premium]]&gt;0, SnapshotTable[[#This Row],[LC Next Target]] * SnapshotTable[[#This Row],[LC Qty]] * 100,"")</f>
        <v/>
      </c>
      <c r="DZ74" s="250" t="str">
        <f>IF(ISNUMBER(SnapshotTable[[#This Row],[LC Target Gross]]), SnapshotTable[[#This Row],[LC Target Gross]] - SnapshotTable[[#This Row],[LC Premium]], "")</f>
        <v/>
      </c>
      <c r="EA74" s="283" t="str">
        <f>IF(ISNUMBER(SnapshotTable[[#This Row],[LC Target Gain Loss]]), SnapshotTable[[#This Row],[LC Target Gain Loss]]/SnapshotTable[[#This Row],[LC Premium]], "")</f>
        <v/>
      </c>
      <c r="EB74" s="247"/>
      <c r="EC74" s="268" t="str">
        <f>IF(SnapshotTable[[#This Row],[LC Premium]]&gt;0, SnapshotTable[[#This Row],[LC Book Price]] * (1 - LC_StopLoss_Pct),"")</f>
        <v/>
      </c>
      <c r="ED74" s="269"/>
      <c r="EE74" s="268" t="str">
        <f>IF(ISNUMBER(SnapshotTable[[#This Row],[LC Contract Value]]),IF(ISNUMBER(SnapshotTable[[#This Row],[LC Stop Loss Override]]), SnapshotTable[[#This Row],[LC Stop Loss Override]],SnapshotTable[[#This Row],[LC Stop Loss Calc Target]]),"")</f>
        <v/>
      </c>
      <c r="EF74" s="31" t="str">
        <f>IF(ISNUMBER(SnapshotTable[[#This Row],[LC Stop  To Use]]), (SnapshotTable[[#This Row],[LC Stop  To Use]] * SnapshotTable[[#This Row],[LC Qty]] * 100),"")</f>
        <v/>
      </c>
      <c r="EG74" s="9" t="str">
        <f>IF(ISNUMBER(SnapshotTable[[#This Row],[LC Total Value]]),SnapshotTable[[#This Row],[LC Stop Loss Amount]] - SnapshotTable[[#This Row],[LC Premium]],"")</f>
        <v/>
      </c>
      <c r="EH74" s="9">
        <f>IF(ISNUMBER(SnapshotTable[[#This Row],[LC Premium]]), SnapshotTable[[#This Row],[LC Qty]] * 100 * SnapshotTable[[#This Row],[LC Strike Price]], "")</f>
        <v>0</v>
      </c>
      <c r="EI74" s="225" t="str">
        <f>IF(AND(ISNUMBER(SnapshotTable[[#This Row],[LC Total Value]]),SnapshotTable[[#This Row],[LC Total Value]]&gt;0),SnapshotTable[[#This Row],[LC Stop Gain Loss]]  / SnapshotTable[[#This Row],[LC Premium]],"")</f>
        <v/>
      </c>
      <c r="EJ74" s="35">
        <f>IF(ISNUMBER(SnapshotTable[[#This Row],[Equity Shares]]),TRUNC(SnapshotTable[[#This Row],[Equity Shares]] / 100),0) + SnapshotTable[[#This Row],[LC Qty]]</f>
        <v>0</v>
      </c>
      <c r="EK74" s="145"/>
      <c r="EL74" s="136"/>
      <c r="EM74" s="146"/>
      <c r="EN74" s="145"/>
      <c r="EO74" s="145"/>
      <c r="EP74" s="136"/>
      <c r="EQ74" s="382" t="b">
        <f>AND(ISNUMBER(SnapshotTable[[#This Row],[SC Exp Date]]), ISNUMBER(SnapshotTable[[#This Row],[SC Strike Price]]), ISNUMBER(SnapshotTable[[#This Row],[SC Qty]]), ISNUMBER(SnapshotTable[[#This Row],[SC Book Date]]), ISNUMBER(SnapshotTable[[#This Row],[SC Book Price]]))</f>
        <v>0</v>
      </c>
      <c r="ER74" s="382" t="b">
        <f>AND(SnapshotTable[[#This Row],[SC Is Booked]], NOT(ISBLANK(SnapshotTable[[#This Row],[SC Fill Date]])))</f>
        <v>0</v>
      </c>
      <c r="ES74" s="340"/>
      <c r="ET74" s="34" t="str">
        <f>IF(AND(ISNUMBER(SnapshotTable[[#This Row],[SC Exp Date]]), ISNUMBER(SnapshotTable[[#This Row],[SC Book Date]])), SnapshotTable[[#This Row],[SC Exp Date]] - MAX(SnapshotTable[[#This Row],[SC Book Date]], SnapshotTable[[#This Row],[SC Fill Date]]) + 1, "")</f>
        <v/>
      </c>
      <c r="EU74" s="34" t="str">
        <f>IF(ISNUMBER(SnapshotTable[[#This Row],[SC Term]]), SnapshotTable[[#This Row],[SC Exp Date]]- MockToday, "")</f>
        <v/>
      </c>
      <c r="EV74" s="31">
        <f>IF(SnapshotTable[[#This Row],[SC Is Booked]], SnapshotTable[[#This Row],[SC Qty]] * SnapshotTable[[#This Row],[SC Book Price]] * 100, 0)</f>
        <v>0</v>
      </c>
      <c r="EW74" s="4" t="str">
        <f>IF(AND(ISNUMBER(SnapshotTable[[#This Row],[Last Price]]), ISNUMBER( SnapshotTable[[#This Row],[SC Book Price]])), SnapshotTable[[#This Row],[Last Price]] - SnapshotTable[[#This Row],[SC Book Price]],"")</f>
        <v/>
      </c>
      <c r="EX74" s="219" t="str">
        <f>IF(SnapshotTable[[#This Row],[SC Is Booked]],IF(SnapshotTable[[#This Row],[SC Intrinsic Value]] &gt; 0, SnapshotTable[[#This Row],[SC Strike Price]], SnapshotTable[[#This Row],[Last Price]]), "")</f>
        <v/>
      </c>
      <c r="EY74" s="4">
        <f>IF(SnapshotTable[[#This Row],[SC Is Booked]], (MinimumPremiumRequired * SnapshotTable[[#This Row],[SC Basis]] * SnapshotTable[[#This Row],[SC Term]]), 0)</f>
        <v>0</v>
      </c>
      <c r="EZ74" s="268"/>
      <c r="FA74" s="204"/>
      <c r="FB74" s="340"/>
      <c r="FC74" s="4">
        <f>IF(SnapshotTable[[#This Row],[SC Is Filled]], btc_max_buyback_amount(SnapshotTable[[#This Row],[SC Fill Date]],SnapshotTable[[#This Row],[SC Exp Date]], SnapshotTable[[#This Row],[SC Book Price]]),0)</f>
        <v>0</v>
      </c>
      <c r="FD74" s="5"/>
      <c r="FE74" s="142" t="str">
        <f>IF(SnapshotTable[[#This Row],[SC Is Filled]], btc_next_cutoff_date(SnapshotTable[[#This Row],[SC Fill Date]],SnapshotTable[[#This Row],[SC Exp Date]]),"")</f>
        <v/>
      </c>
      <c r="FF74" s="4" t="str" cm="1">
        <f t="array" ref="FF74">IF(SnapshotTable[[#This Row],[SC Is Filled]], btc_should_buy_back(SnapshotTable[[#This Row],[SC Fill Date]], SnapshotTable[[#This Row],[SC Exp Date]], SnapshotTable[[#This Row],[SC Book Price]], SnapshotTable[[#This Row],[SC Current Ask]], MockToday, SnapshotTable[[#This Row],[SC Buyback Override]]),"")</f>
        <v/>
      </c>
      <c r="FG74" s="4">
        <f>IF(SnapshotTable[[#This Row],[SC Is Filled]], MAX(0,SnapshotTable[[#This Row],[Last Price]]  - SnapshotTable[[#This Row],[SC Strike Price]]), 0)</f>
        <v>0</v>
      </c>
      <c r="FH74" s="352">
        <f>IF(SnapshotTable[[#This Row],[SC Is Filled]], IF(ISNUMBER(SnapshotTable[[#This Row],[SC Current Ask]]), SnapshotTable[[#This Row],[SC Current Ask]], SnapshotTable[[#This Row],[SC Book Price]]) - SnapshotTable[[#This Row],[SC Intrinsic Value]], 0)</f>
        <v>0</v>
      </c>
      <c r="FI74" s="141"/>
      <c r="FJ74" s="32" t="str">
        <f>IF(SnapshotTable[[#This Row],[SC Is Filled]],100 * SnapshotTable[[#This Row],[SC Qty]] * IF(ISNUMBER(SnapshotTable[[#This Row],[SC Buyback Override]]), SnapshotTable[[#This Row],[SC Buyback Override]], SnapshotTable[[#This Row],[SC Current Ask]]), "")</f>
        <v/>
      </c>
      <c r="FK74" s="235" t="str">
        <f>IF(SnapshotTable[[#This Row],[SC Time Val]]&gt;0, SnapshotTable[[#This Row],[SC Time Val]] / SnapshotTable[[#This Row],[Last Price]],"")</f>
        <v/>
      </c>
      <c r="FL74" s="280" t="str">
        <f>IF(SnapshotTable[[#This Row],[SC Is Booked]], ((SnapshotTable[[#This Row],[Last Price]] -SnapshotTable[[#This Row],[SC Strike Price]]) / SnapshotTable[[#This Row],[Last Price]]) * -1, "")</f>
        <v/>
      </c>
      <c r="FM74" s="155" t="str">
        <f>IF(SnapshotTable[[#This Row],[SC Is Booked]],  (SnapshotTable[[#This Row],[SC Qty]] * 100 * SnapshotTable[[#This Row],[SC Strike Price]]) - SnapshotTable[[#This Row],[SC Current Ask]], "")</f>
        <v/>
      </c>
      <c r="FN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4" s="31" t="str">
        <f>IF(AND(ISNUMBER(SnapshotTable[[#This Row],[SC Exercise Gross]]), ISNUMBER(SnapshotTable[[#This Row],[Equity Basis Per Share]] )), SnapshotTable[[#This Row],[SC Exercise Gross]] - SnapshotTable[[#This Row],[Equity Basis Total]] +  SnapshotTable[[#This Row],[SC Premium]], "")</f>
        <v/>
      </c>
      <c r="FP74" s="5" t="str">
        <f>IF(ISNUMBER(SnapshotTable[[#This Row],[SC Exercise Gross]]), (SnapshotTable[[#This Row],[SC Exercise Gross]]) / (SnapshotTable[[#This Row],[SC Qty]] * 100), "")</f>
        <v/>
      </c>
      <c r="FQ74" s="27" t="str">
        <f>IF(SnapshotTable[[#This Row],[SC Is Booked]],SnapshotTable[[#This Row],[SC Time Val]] /SnapshotTable[[#This Row],[SC Basis]], "")</f>
        <v/>
      </c>
      <c r="FR74" s="27" t="str" cm="1">
        <f t="array" ref="FR74">IF(AND(ISNUMBER(SnapshotTable[[#This Row],[SC Term]]),ISNUMBER(SnapshotTable[[#This Row],[SC Simple ROO]])), EllmanAnnualize(SnapshotTable[[#This Row],[SC DTE]], SnapshotTable[[#This Row],[SC Simple ROO]] ),"")</f>
        <v/>
      </c>
      <c r="FS74" s="4">
        <f>IF(SnapshotTable[[#This Row],[SC Strike Price]] &gt; SnapshotTable[[#This Row],[Last Price]], SnapshotTable[[#This Row],[SC Strike Price]] - SnapshotTable[[#This Row],[Last Price]],0)</f>
        <v>0</v>
      </c>
      <c r="FT74" s="27" t="str">
        <f>IF(AND(ISNUMBER(SnapshotTable[[#This Row],[SC Upside Potential]]), SnapshotTable[[#This Row],[SC Upside Potential]] &gt; 0),(SnapshotTable[[#This Row],[SC Upside Potential]]/ SnapshotTable[[#This Row],[ACB]]),"")</f>
        <v/>
      </c>
      <c r="FU74" s="304" t="str">
        <f>IF(SnapshotTable[[#This Row],[SC Intrinsic Value]] &gt; 0,SnapshotTable[[#This Row],[SC Intrinsic Value]],"")</f>
        <v/>
      </c>
      <c r="FV74" s="27" t="str">
        <f>IF(AND( ISNUMBER( SnapshotTable[[#This Row],[ACB]]),ISNUMBER(SnapshotTable[[#This Row],[SC Downside Protect]])),SnapshotTable[[#This Row],[SC Downside Protect]] / SnapshotTable[[#This Row],[ACB]],"")</f>
        <v/>
      </c>
      <c r="FW74" s="221" t="str">
        <f>IF(AND(ISNUMBER(SnapshotTable[[#This Row],[SC Simple ROO]]),SnapshotTable[[#This Row],[SC Simple ROO]] &gt; 0), SnapshotTable[[#This Row],[SC Premium]] + (SnapshotTable[[#This Row],[SC Qty]] * SnapshotTable[[#This Row],[SC Upside Potential]]), "")</f>
        <v/>
      </c>
      <c r="FX74" s="280" t="str" cm="1">
        <f t="array" ref="FX74">IF(ISNUMBER(SnapshotTable[[#This Row],[SC Max Dollars]]), annualize(SnapshotTable[[#This Row],[SC Term]],(SnapshotTable[[#This Row],[SC Max Dollars]]/SnapshotTable[[#This Row],[SC Basis]])),"")</f>
        <v/>
      </c>
      <c r="FY74" s="221" t="str">
        <f>IF(AND(SnapshotTable[[#This Row],[SC Qty]]&gt;0,SnapshotTable[[#This Row],[SC Current Ask]]&gt;0), SnapshotTable[[#This Row],[SC Qty]] * SnapshotTable[[#This Row],[SC Current Ask]] * -100, "")</f>
        <v/>
      </c>
      <c r="FZ74" s="31" t="str">
        <f>IF(ISNUMBER((SnapshotTable[[#This Row],[SC Current Value]])), SnapshotTable[[#This Row],[SC Premium]] + SnapshotTable[[#This Row],[SC Current Value]], "")</f>
        <v/>
      </c>
      <c r="GA74" s="272" t="str">
        <f>IFERROR( IF(ISNUMBER((SnapshotTable[[#This Row],[SC Current Value]])), SnapshotTable[[#This Row],[SC Gain Loss]] / SnapshotTable[[#This Row],[SC Premium]], ""), "")</f>
        <v/>
      </c>
      <c r="GB74" s="42">
        <f>SnapshotTable[[#This Row],[Equity Shares]] * SaleSharesToConsiderPercentage</f>
        <v>0</v>
      </c>
      <c r="GC74" s="40">
        <f>SnapshotTable[[#This Row],[Long Term Target]] * SellingPriceToConsiderBasedOnTargetPercentage</f>
        <v>66.063000000000002</v>
      </c>
      <c r="GD74" s="40">
        <f>SnapshotTable[[#This Row],[Last Price]] * (1+ SellingPriceToConsiderBasedOnTargetPercentage)</f>
        <v>1.95</v>
      </c>
      <c r="GE74" s="41"/>
      <c r="GF74" s="40"/>
      <c r="GG74" s="31">
        <f>SnapshotTable[[#This Row],[Booked Sale Shares]] * SnapshotTable[[#This Row],[Booked Sale Price]]</f>
        <v>0</v>
      </c>
      <c r="GH74" s="31" t="str">
        <f>IF(SnapshotTable[[#This Row],[Equity Basis Total]] &gt; 0, SnapshotTable[[#This Row],[Equity Basis Per Share]] * SnapshotTable[[#This Row],[Booked Sale Shares]], "")</f>
        <v/>
      </c>
      <c r="GI74" s="31">
        <f>IF(SnapshotTable[[#This Row],[Sale Proceeds]]&gt;0, SnapshotTable[[#This Row],[Sale Proceeds]] - SnapshotTable[[#This Row],[Sale Basis]], 0)</f>
        <v>0</v>
      </c>
      <c r="GJ74" s="27" t="str">
        <f>IF(SnapshotTable[[#This Row],[Sale G/L]]&gt;0, SnapshotTable[[#This Row],[Sale G/L]] / SnapshotTable[[#This Row],[Sale Basis]], IF(ISNUMBER(SnapshotTable[[#This Row],[SC Exercise P&amp;L (TAX)]]), SnapshotTable[[#This Row],[SC Exercise P&amp;L (TAX)]] / SnapshotTable[[#This Row],[SC Basis]], ""))</f>
        <v/>
      </c>
      <c r="GK74" s="27" t="s">
        <v>538</v>
      </c>
      <c r="GL74" s="43" t="str">
        <f>IF(AND(SnapshotTable[[#This Row],[LP Exp Date]]&gt;0,SnapshotTable[[#This Row],[LP Strike Price]]&gt;0), [1]!ToOptionSymbol(SnapshotTable[[#This Row],[Symbol]], SnapshotTable[[#This Row],[LP Strike Price]],SnapshotTable[[#This Row],[LP Exp Date]],1), "")</f>
        <v/>
      </c>
      <c r="GM74" s="30" t="str">
        <f>IF(LEN(SnapshotTable[[#This Row],[LP Symbol]])&gt;0, 1, "")</f>
        <v/>
      </c>
      <c r="GN74" s="43" t="str">
        <f>IF(AND(SnapshotTable[[#This Row],[SP Exp Date]]&gt;0,SnapshotTable[[#This Row],[SP Strike Price]]&gt;0), [1]!ToOptionSymbol(SnapshotTable[[#This Row],[Symbol]], SnapshotTable[[#This Row],[SP Strike Price]],SnapshotTable[[#This Row],[SP Exp Date]],1), "")</f>
        <v/>
      </c>
      <c r="GO74" s="30" t="str">
        <f>IF(LEN(SnapshotTable[[#This Row],[SP Symbol]])&gt;0, 1, "")</f>
        <v/>
      </c>
      <c r="GP74" s="43" t="str">
        <f>IF(AND(SnapshotTable[[#This Row],[LC Exp Date]]&gt;0,SnapshotTable[[#This Row],[LC Strike Price]]&gt;0), [1]!ToOptionSymbol(SnapshotTable[[#This Row],[Symbol]], SnapshotTable[[#This Row],[LC Strike Price]],SnapshotTable[[#This Row],[LC Exp Date]],0), "")</f>
        <v/>
      </c>
      <c r="GQ74" s="30" t="str">
        <f>IF(LEN(SnapshotTable[[#This Row],[LC Symbol]])&gt;0, 1, "")</f>
        <v/>
      </c>
      <c r="GR74" s="43" t="str">
        <f>IF(AND(SnapshotTable[[#This Row],[SC Exp Date]]&gt;0,SnapshotTable[[#This Row],[SC Strike Price]]&gt;0), [1]!ToOptionSymbol(SnapshotTable[[#This Row],[Symbol]], SnapshotTable[[#This Row],[SC Strike Price]],SnapshotTable[[#This Row],[SC Exp Date]],0), "")</f>
        <v/>
      </c>
      <c r="GS74" s="30" t="str">
        <f>IF(LEN(SnapshotTable[[#This Row],[SC Symbol]])&gt;0, 1, "")</f>
        <v/>
      </c>
      <c r="GT74" s="29" t="str">
        <f>IF(COUNT(SnapshotTable[[#This Row],[LP Symbol Count]],SnapshotTable[[#This Row],[SP Symbol Count]],SnapshotTable[[#This Row],[LC Symbol Count]],SnapshotTable[[#This Row],[SC Symbol Count]])&gt;0, "Y", "")</f>
        <v/>
      </c>
      <c r="GU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4" s="216">
        <f>MAX(SnapshotTable[[#This Row],[Equity Basis Total]],SnapshotTable[[#This Row],[Equity Value]]) + (SnapshotTable[[#This Row],[SP Potential Spend]]- SnapshotTable[[#This Row],[SP Premium]] + SnapshotTable[[#This Row],[LP Premium]])+ (SnapshotTable[[#This Row],[LC Premium]] - SnapshotTable[[#This Row],[SC Premium]])</f>
        <v>0</v>
      </c>
      <c r="GW74" s="137" t="str">
        <f>IF(AND(SnapshotTable[[#This Row],[Exposure]] &lt;&gt; 0),SnapshotTable[[#This Row],[Exposure]] / SnapshotTable[[#Totals],[Exposure]], "")</f>
        <v/>
      </c>
      <c r="GY74" s="351"/>
      <c r="HE74" s="253"/>
      <c r="HF74" s="253"/>
      <c r="HG74" s="351"/>
      <c r="HH74" s="351"/>
      <c r="HI74" s="351"/>
      <c r="HJ74" s="351"/>
    </row>
    <row r="75" spans="2:224" ht="12.75" hidden="1" customHeight="1" x14ac:dyDescent="0.25">
      <c r="B75" s="12" t="s">
        <v>118</v>
      </c>
      <c r="C75" s="385">
        <v>48.91</v>
      </c>
      <c r="D75" s="200"/>
      <c r="E75" s="39">
        <f>SnapshotTable[[#This Row],[Last Price]]*(1 -CrashDiscount)</f>
        <v>41.573499999999996</v>
      </c>
      <c r="F75" s="26" t="s">
        <v>73</v>
      </c>
      <c r="G75" s="26" t="s">
        <v>10</v>
      </c>
      <c r="H75" s="147"/>
      <c r="I75" s="186">
        <v>44770.270833333336</v>
      </c>
      <c r="J75" s="187">
        <v>44770.270833333336</v>
      </c>
      <c r="K75" s="188"/>
      <c r="L75" s="297"/>
      <c r="M75" s="138"/>
      <c r="N75" s="138"/>
      <c r="O75" s="138"/>
      <c r="P75" s="22"/>
      <c r="Q75" s="25"/>
      <c r="R75" s="4" t="str">
        <f>IF(SnapshotTable[[#This Row],[Equity Basis Total]] &gt; 0, SnapshotTable[[#This Row],[Equity Basis Total]] / SnapshotTable[[#This Row],[Equity Shares]], "")</f>
        <v/>
      </c>
      <c r="S75" s="254">
        <f>SnapshotTable[[#This Row],[Last Price]] * SnapshotTable[[#This Row],[Equity Shares]]</f>
        <v>0</v>
      </c>
      <c r="T75" s="254">
        <f>SnapshotTable[[#This Row],[Equity Value]] - SnapshotTable[[#This Row],[Equity Basis Total]]</f>
        <v>0</v>
      </c>
      <c r="U75" s="255" t="str">
        <f>IF(SnapshotTable[[#This Row],[Equity Basis Total]] &gt; 0, SnapshotTable[[#This Row],[Equity G/L]] / SnapshotTable[[#This Row],[Equity Basis Total]], "")</f>
        <v/>
      </c>
      <c r="V75" s="253"/>
      <c r="W75" s="253"/>
      <c r="X75" s="4" t="str">
        <f>IF(AND(ISNUMBER(SnapshotTable[[#This Row],[Equity Basis Per Share]]),ISNUMBER(SnapshotTable[[#This Row],[Equity Target]])),SnapshotTable[[#This Row],[Equity Target]]-SnapshotTable[[#This Row],[Equity Basis Per Share]],"")</f>
        <v/>
      </c>
      <c r="Y75" s="4" t="str">
        <f>IF(AND(ISNUMBER(SnapshotTable[[#This Row],[Equity Basis Per Share]]),ISNUMBER(SnapshotTable[[#This Row],[Equity Stop Loss]])),SnapshotTable[[#This Row],[Equity Stop Loss]]-SnapshotTable[[#This Row],[Equity Basis Per Share]],"")</f>
        <v/>
      </c>
      <c r="Z75" s="260" t="str">
        <f>IFERROR( TEXT(SnapshotTable[[#This Row],[Equity Max Gain Per Share]] /ABS( SnapshotTable[[#This Row],[Equity Max Loss Per Share]]),"0.0 " ) &amp; " : 1", "")</f>
        <v/>
      </c>
      <c r="AA75" s="31" t="str">
        <f>IF(ISNUMBER(SnapshotTable[[#This Row],[Equity Max Gain Per Share]]),SnapshotTable[[#This Row],[Equity Max Gain Per Share]] * SnapshotTable[[#This Row],[Equity Shares]],"")</f>
        <v/>
      </c>
      <c r="AB75" s="31" t="str">
        <f>IF(ISNUMBER(SnapshotTable[[#This Row],[Equity Max Loss Per Share]]),SnapshotTable[[#This Row],[Equity Max Loss Per Share]] * SnapshotTable[[#This Row],[Equity Shares]],"")</f>
        <v/>
      </c>
      <c r="AC75" s="148"/>
      <c r="AD75" s="149"/>
      <c r="AE75" s="31">
        <f>(SnapshotTable[[#This Row],[Annual Dividend Per Share]] / 4) * SnapshotTable[[#This Row],[Equity Shares]]</f>
        <v>0</v>
      </c>
      <c r="AF75" s="31">
        <f>SnapshotTable[[#This Row],[Quarterly Div $]] * 4</f>
        <v>0</v>
      </c>
      <c r="AG75" s="7">
        <f>IF(SnapshotTable[[#This Row],[Annual Dividend Per Share]]&gt;0, SnapshotTable[[#This Row],[Annual Dividend Per Share]]  / SnapshotTable[[#This Row],[Last Price]], 0)</f>
        <v>0</v>
      </c>
      <c r="AH75" s="149"/>
      <c r="AI75" s="5">
        <v>0.01</v>
      </c>
      <c r="AJ75" s="136">
        <v>62.89</v>
      </c>
      <c r="AK75" s="150">
        <f>IF(ISNUMBER( SnapshotTable[[#This Row],[EBF Target]]),(SnapshotTable[[#This Row],[EBF Target]] - SnapshotTable[[#This Row],[Last Price]]) / SnapshotTable[[#This Row],[Last Price]], "")</f>
        <v>-0.99979554283377636</v>
      </c>
      <c r="AL75" s="150" t="str">
        <f>IF(AND(SnapshotTable[[#This Row],[Equity Basis Total]] &gt; 0,ISNUMBER( SnapshotTable[[#This Row],[Long Term Target]])), SnapshotTable[[#This Row],[From Basis $]] / SnapshotTable[[#This Row],[Equity Basis Total]], "")</f>
        <v/>
      </c>
      <c r="AM75" s="9">
        <f>IF( AND(SnapshotTable[[#This Row],[Equity Shares]] &gt;0,ISNUMBER( SnapshotTable[[#This Row],[Long Term Target]])),(SnapshotTable[[#This Row],[Equity Shares]] * SnapshotTable[[#This Row],[Long Term Target]]) - SnapshotTable[[#This Row],[Equity Basis Total]],0)</f>
        <v>0</v>
      </c>
      <c r="AN75" s="9">
        <f>IF( AND(SnapshotTable[[#This Row],[Equity Shares]] &gt;0,ISNUMBER( SnapshotTable[[#This Row],[Long Term Target]])),(SnapshotTable[[#This Row],[Equity Shares]]*SnapshotTable[[#This Row],[Long Term Target]]) - SnapshotTable[[#This Row],[Equity Value]],0)</f>
        <v>0</v>
      </c>
      <c r="AO75" s="150">
        <f>IF(AND(ISNUMBER( SnapshotTable[[#This Row],[Long Term Target]]), ISNUMBER(SnapshotTable[[#This Row],[Last Price]])),(SnapshotTable[[#This Row],[Long Term Target]] - SnapshotTable[[#This Row],[Last Price]]) / SnapshotTable[[#This Row],[Last Price]], "")</f>
        <v>0.28583111838069936</v>
      </c>
      <c r="AP75" s="5"/>
      <c r="AQ75" s="38"/>
      <c r="AR75" s="5"/>
      <c r="AS75" s="38"/>
      <c r="AT75" s="144"/>
      <c r="AU75" s="185" t="str">
        <f>IF(OR(SnapshotTable[[#This Row],[LP No Fill]]="Y",SnapshotTable[[#This Row],[SP Is Filled]],SnapshotTable[[#This Row],[LC Not Filled]]="Y",SnapshotTable[[#This Row],[SC Is Filled]]),"Y","")</f>
        <v/>
      </c>
      <c r="AV75" s="205"/>
      <c r="AW75" s="211"/>
      <c r="AX75" s="206"/>
      <c r="AY75" s="205" t="str">
        <f>IF(SnapshotTable[[#This Row],[Implied Move]]&gt;0, SnapshotTable[[#This Row],[Last Price]]-SnapshotTable[[#This Row],[Implied Move]],"")</f>
        <v/>
      </c>
      <c r="AZ75" s="205" t="str">
        <f>IF(SnapshotTable[[#This Row],[Implied Move]]&gt;0, SnapshotTable[[#This Row],[Last Price]] + SnapshotTable[[#This Row],[Implied Move]],"")</f>
        <v/>
      </c>
      <c r="BA75" s="302"/>
      <c r="BB75" s="318"/>
      <c r="BC7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5" s="321"/>
      <c r="BE75" s="5"/>
      <c r="BF75" s="14"/>
      <c r="BG75" s="13"/>
      <c r="BH75" s="13"/>
      <c r="BI75" s="5"/>
      <c r="BJ75" s="134">
        <f>IF(SnapshotTable[[#This Row],[LP Qty]] &gt; 0, SnapshotTable[[#This Row],[LP Qty]] * SnapshotTable[[#This Row],[LP Book Price]] * 100,0)</f>
        <v>0</v>
      </c>
      <c r="BK75" s="134">
        <f>IF(SnapshotTable[[#This Row],[LP Premium]] &gt; 0, SnapshotTable[[#This Row],[LP Qty]] * SnapshotTable[[#This Row],[LP Strike Price]] * 100,0)</f>
        <v>0</v>
      </c>
      <c r="BL75" s="152"/>
      <c r="BM75" s="355" t="str">
        <f>IF(SnapshotTable[[#This Row],[LP Premium]] &gt; 0,SnapshotTable[[#This Row],[LP Exp Date]]-MAX(SnapshotTable[[#This Row],[LP Book Date]], SnapshotTable[[#This Row],[LP Fill Date]]),"")</f>
        <v/>
      </c>
      <c r="BN75" s="355" t="str">
        <f>IF(ISNUMBER( SnapshotTable[[#This Row],[LP Term]]), SnapshotTable[[#This Row],[LP Exp Date]] - MockToday,"")</f>
        <v/>
      </c>
      <c r="BO75" s="161" t="str">
        <f>IF(AND(SnapshotTable[[#This Row],[LP Exp Date]]&gt;0, SnapshotTable[[#This Row],[LP Strike Price]]&gt;0,SnapshotTable[[#This Row],[LP Qty]]&gt;0,SnapshotTable[[#This Row],[LP Book Date]]&gt;0,SnapshotTable[[#This Row],[LP Book Price]]&gt;0,SnapshotTable[[#This Row],[LP Fill Date]]=0),"Y","")</f>
        <v/>
      </c>
      <c r="BP75" s="31" t="str">
        <f>IF(AND(SnapshotTable[[#This Row],[LP No Fill]]&lt;&gt;"Y",SnapshotTable[[#This Row],[LP Contract Value]]&gt;0, SnapshotTable[[#This Row],[LP Qty]]&gt;0), SnapshotTable[[#This Row],[LP Contract Value]]*SnapshotTable[[#This Row],[LP Qty]]*100,"")</f>
        <v/>
      </c>
      <c r="BQ75" s="13"/>
      <c r="BR75" s="5"/>
      <c r="BS75" s="36"/>
      <c r="BT75" s="145"/>
      <c r="BU75" s="13"/>
      <c r="BV75" s="5"/>
      <c r="BW75" s="382" t="b">
        <f>AND(ISNUMBER(SnapshotTable[[#This Row],[SP Exp Date]]), ISNUMBER(SnapshotTable[[#This Row],[SP Strike Price]]), ISNUMBER(SnapshotTable[[#This Row],[SP Qty]]), ISNUMBER(SnapshotTable[[#This Row],[SP Book Date]]), ISNUMBER(SnapshotTable[[#This Row],[SP Book Price]]))</f>
        <v>0</v>
      </c>
      <c r="BX75" s="382" t="b">
        <f>AND(SnapshotTable[[#This Row],[SP Is Booked]], NOT(ISBLANK(SnapshotTable[[#This Row],[SP Fill Date]])))</f>
        <v>0</v>
      </c>
      <c r="BY75" s="33">
        <f>IF(SnapshotTable[[#This Row],[SP Is Booked]], SnapshotTable[[#This Row],[SP Qty]] * SnapshotTable[[#This Row],[SP Book Price]] * 100, 0)</f>
        <v>0</v>
      </c>
      <c r="BZ75" s="339"/>
      <c r="CA75" s="338">
        <f>SnapshotTable[[#This Row],[LP Qty]]</f>
        <v>0</v>
      </c>
      <c r="CB75" s="4" t="str">
        <f>IF(SnapshotTable[[#This Row],[SP Is Booked]], SnapshotTable[[#This Row],[SP Strike Price]] - SnapshotTable[[#This Row],[SP Book Price]], "")</f>
        <v/>
      </c>
      <c r="CC75" s="19" t="str">
        <f>IF(SnapshotTable[[#This Row],[SP Is Booked]],SnapshotTable[[#This Row],[SP Exp Date]]-MAX(SnapshotTable[[#This Row],[SP Book Date]], SnapshotTable[[#This Row],[SP Fill Date]]),"")</f>
        <v/>
      </c>
      <c r="CD75" s="7" t="str">
        <f>IF(SnapshotTable[[#This Row],[SP Is Booked]], SnapshotTable[[#This Row],[SP Book Price]]/SnapshotTable[[#This Row],[SP Strike Price]], "")</f>
        <v/>
      </c>
      <c r="CE75" s="7" t="str">
        <f>IF(ISNUMBER(SnapshotTable[[#This Row],[SP ROO Term]]),SnapshotTable[[#This Row],[SP ROO Term]]*(365/SnapshotTable[[#This Row],[SP Term]]),"")</f>
        <v/>
      </c>
      <c r="CF75" s="221">
        <f>SnapshotTable[[#This Row],[LP Strike Price]] * SnapshotTable[[#This Row],[LP Qty]] * 100</f>
        <v>0</v>
      </c>
      <c r="CG75" s="31">
        <f>IF(ISNUMBER(SnapshotTable[[#This Row],[SP Premium]]), (SnapshotTable[[#This Row],[SP Qty]] * SnapshotTable[[#This Row],[SP Strike Price]]* 100) - SnapshotTable[[#This Row],[LP Protection]], 0)</f>
        <v>0</v>
      </c>
      <c r="CH75" s="7" t="str">
        <f>IF(ISNUMBER(SnapshotTable[[#This Row],[SP Break Even]]),-1 * (SnapshotTable[[#This Row],[SP Break Even]] - SnapshotTable[[#This Row],[Last Price]]) / SnapshotTable[[#This Row],[Last Price]], "")</f>
        <v/>
      </c>
      <c r="CI75" s="31">
        <f>IF(AND(ISNUMBER((SnapshotTable[[#This Row],[SP Potential Spend]])), SnapshotTable[[#This Row],[SP Strike Price]] &gt; SnapshotTable[[#This Row],[Last Price]], SnapshotTable[[#This Row],[SP Is Filled]]), SnapshotTable[[#This Row],[SP Potential Spend]] -  SnapshotTable[[#This Row],[LP Max Value]], 0)</f>
        <v>0</v>
      </c>
      <c r="CJ75" s="229"/>
      <c r="CK75" s="31">
        <f>IF(ISNUMBER(SnapshotTable[[#This Row],[SP Potential Spend]]),IF(ISNUMBER(SnapshotTable[[#This Row],[SP POW]]), SnapshotTable[[#This Row],[SP POW]] * SnapshotTable[[#This Row],[SP Potential Spend]], SnapshotTable[[#This Row],[SP Potential Spend]]), "")</f>
        <v>0</v>
      </c>
      <c r="CL75" s="162">
        <f>IF(NOT(SnapshotTable[[#This Row],[SP Is Filled]]),(SnapshotTable[[#This Row],[SP Qty]] * SnapshotTable[[#This Row],[SP Strike Price]] * 100) - SnapshotTable[[#This Row],[LP Max Value]],"")</f>
        <v>0</v>
      </c>
      <c r="CM75" s="31" t="str">
        <f>IF(SnapshotTable[[#This Row],[SP Actual Spend]]&lt;&gt;0, ((SnapshotTable[[#This Row],[SP Strike Price]]-SnapshotTable[[#This Row],[Last Price]]) *(SnapshotTable[[#This Row],[SP Qty]]*100) - SnapshotTable[[#This Row],[SP Premium]]) * - 1, "")</f>
        <v/>
      </c>
      <c r="CN75" s="76"/>
      <c r="CO75" s="339"/>
      <c r="CP75" s="4" t="str">
        <f>IF(SnapshotTable[[#This Row],[SP Is Filled]], btc_max_buyback_amount(SnapshotTable[[#This Row],[SP Fill Date]],SnapshotTable[[#This Row],[SP Exp Date]], SnapshotTable[[#This Row],[SP Book Price]]),"")</f>
        <v/>
      </c>
      <c r="CQ75" s="76"/>
      <c r="CR7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5" s="153" t="str">
        <f>IF(SnapshotTable[[#This Row],[SP Is Filled]], btc_next_cutoff_date(SnapshotTable[[#This Row],[SP Fill Date]],SnapshotTable[[#This Row],[SP Exp Date]]),"")</f>
        <v/>
      </c>
      <c r="CT75" s="220" t="str" cm="1">
        <f t="array" ref="CT75">IF(SnapshotTable[[#This Row],[SP Is Filled]], btc_should_buy_back(SnapshotTable[[#This Row],[SP Fill Date]], SnapshotTable[[#This Row],[SP Exp Date]], SnapshotTable[[#This Row],[SP Book Price]], SnapshotTable[[#This Row],[SP Current Ask]], MockToday, SnapshotTable[[#This Row],[SP Buyback Override]]),"")</f>
        <v/>
      </c>
      <c r="CU75" s="141"/>
      <c r="CV75" s="220"/>
      <c r="CW75" s="348" t="str">
        <f>IF(ISNUMBER( SnapshotTable[[#This Row],[SP Term]]), SnapshotTable[[#This Row],[SP Exp Date]] - MockToday,"")</f>
        <v/>
      </c>
      <c r="CX75" s="31" t="str">
        <f>IF(SnapshotTable[[#This Row],[SP Is Filled]],SnapshotTable[[#This Row],[SP Buyback Price to Use]] * 100 * SnapshotTable[[#This Row],[SP Qty]], "")</f>
        <v/>
      </c>
      <c r="CY75" s="4" t="str">
        <f>IF(ISNUMBER(SnapshotTable[[#This Row],[SP Strike Price]]), SnapshotTable[[#This Row],[SP Strike Price]] * (1 - SP_MaxLoss_StrikePct), "")</f>
        <v/>
      </c>
      <c r="CZ75" s="31" t="str">
        <f>IF(ISNUMBER(SnapshotTable[[#This Row],[SP Strike  Stop Per Share]]),SnapshotTable[[#This Row],[SP Premium]] - ((SnapshotTable[[#This Row],[SP Strike Price]]-SnapshotTable[[#This Row],[SP Strike  Stop Per Share]]) *(SnapshotTable[[#This Row],[SP Qty]] * 100)),"")</f>
        <v/>
      </c>
      <c r="DA75" s="4" t="str">
        <f>IF(AND(ISNUMBER(SnapshotTable[[#This Row],[SP Premium]]),SnapshotTable[[#This Row],[SP Premium]]&gt;0), SnapshotTable[[#This Row],[SP Book Price]] * (1 + SP_MaxLoss_OptionPct), "")</f>
        <v/>
      </c>
      <c r="DB75" s="31" t="str">
        <f>IF(ISNUMBER(SnapshotTable[[#This Row],[SP Option  Stop Contract]]),(SnapshotTable[[#This Row],[SP Option  Stop Contract]] *(SnapshotTable[[#This Row],[SP Qty]] * 100) - SnapshotTable[[#This Row],[SP Premium]]),"")</f>
        <v/>
      </c>
      <c r="DC75" s="4"/>
      <c r="DD75" s="4"/>
      <c r="DE75" s="4" t="str">
        <f>IF(AND(SnapshotTable[[#This Row],[SP Qty]]&gt;0, SnapshotTable[[#This Row],[SP Stop To Use]]&gt;0),SnapshotTable[[#This Row],[SP Premium]] - ( SnapshotTable[[#This Row],[SP Qty]] * SnapshotTable[[#This Row],[SP Stop To Use]] * 100), "")</f>
        <v/>
      </c>
      <c r="DF75" s="31" t="str">
        <f>IF(AND(SnapshotTable[[#This Row],[SP Qty]]&gt;0,SnapshotTable[[#This Row],[SP Current Ask]]&gt;0), SnapshotTable[[#This Row],[SP Qty]] * SnapshotTable[[#This Row],[SP Current Ask]] * -100, "")</f>
        <v/>
      </c>
      <c r="DG75" s="31" t="str">
        <f>IF(ISNUMBER((SnapshotTable[[#This Row],[SP Total Value]])), SnapshotTable[[#This Row],[SP Premium]] + SnapshotTable[[#This Row],[SP Total Value]], "")</f>
        <v/>
      </c>
      <c r="DH75" s="272" t="str">
        <f>IF(ISNUMBER((SnapshotTable[[#This Row],[SP Total Value]])), SnapshotTable[[#This Row],[SP Gain Loss]] / SnapshotTable[[#This Row],[SP Premium]], "")</f>
        <v/>
      </c>
      <c r="DI75" s="369"/>
      <c r="DJ75" s="136"/>
      <c r="DK75" s="146"/>
      <c r="DL75" s="13"/>
      <c r="DM75" s="13"/>
      <c r="DO75" s="31">
        <f>IF(SnapshotTable[[#This Row],[LC Symbol Count]]=1, SnapshotTable[[#This Row],[LC Qty]] * SnapshotTable[[#This Row],[LC Book Price]] * 100, 0)</f>
        <v>0</v>
      </c>
      <c r="DP75" s="161" t="str">
        <f>IF(AND(SnapshotTable[[#This Row],[LC Exp Date]]&gt;0, SnapshotTable[[#This Row],[LC Strike Price]]&gt;0,SnapshotTable[[#This Row],[LC Qty]]&gt;0,SnapshotTable[[#This Row],[LC Book Date]]&gt;0,SnapshotTable[[#This Row],[LC Book Price]]&gt;0,SnapshotTable[[#This Row],[LC Fill Date]]=0),"Y","")</f>
        <v/>
      </c>
      <c r="DQ75" s="356" t="str">
        <f>IF(SnapshotTable[[#This Row],[LC Premium]] &gt; 0,SnapshotTable[[#This Row],[LC Exp Date]]-MAX(SnapshotTable[[#This Row],[LC Book Date]], SnapshotTable[[#This Row],[LC Fill Date]]),"")</f>
        <v/>
      </c>
      <c r="DR75" s="356" t="str">
        <f>IF(ISNUMBER(SnapshotTable[[#This Row],[LC Term]]), SnapshotTable[[#This Row],[LC Exp Date]] - MockToday, "")</f>
        <v/>
      </c>
      <c r="DS75" s="219" t="str">
        <f>IF(SnapshotTable[[#This Row],[LC Premium]]&gt;0,SnapshotTable[[#This Row],[LC Strike Price]] + SnapshotTable[[#This Row],[LC Book Price]],"")</f>
        <v/>
      </c>
      <c r="DU75" s="9" t="str">
        <f>IF(AND(SnapshotTable[[#This Row],[LC Symbol Count]]&gt;0, SnapshotTable[[#This Row],[LC Contract Value]]&gt;0), SnapshotTable[[#This Row],[LC Contract Value]] * SnapshotTable[[#This Row],[LC Qty]] * 100, "")</f>
        <v/>
      </c>
      <c r="DV75" s="9" t="str">
        <f>IF(AND(ISNUMBER(SnapshotTable[[#This Row],[LC Total Value]]), SnapshotTable[[#This Row],[LC Not Filled]]&lt;&gt;"Y"), SnapshotTable[[#This Row],[LC Total Value]]-SnapshotTable[[#This Row],[LC Premium]],"")</f>
        <v/>
      </c>
      <c r="DW75" s="225" t="str">
        <f>IF(ISNUMBER(SnapshotTable[[#This Row],[LC Actual Gain Loss]]), SnapshotTable[[#This Row],[LC Actual Gain Loss]] / SnapshotTable[[#This Row],[LC Premium]],"")</f>
        <v/>
      </c>
      <c r="DX75" s="269" t="str">
        <f>IF(ISNUMBER(SnapshotTable[[#This Row],[LC Book Price]]),SnapshotTable[[#This Row],[LC Book Price]] * 1.5,"")</f>
        <v/>
      </c>
      <c r="DY75" s="250" t="str">
        <f>IF(SnapshotTable[[#This Row],[LC Premium]]&gt;0, SnapshotTable[[#This Row],[LC Next Target]] * SnapshotTable[[#This Row],[LC Qty]] * 100,"")</f>
        <v/>
      </c>
      <c r="DZ75" s="250" t="str">
        <f>IF(ISNUMBER(SnapshotTable[[#This Row],[LC Target Gross]]), SnapshotTable[[#This Row],[LC Target Gross]] - SnapshotTable[[#This Row],[LC Premium]], "")</f>
        <v/>
      </c>
      <c r="EA75" s="283" t="str">
        <f>IF(ISNUMBER(SnapshotTable[[#This Row],[LC Target Gain Loss]]), SnapshotTable[[#This Row],[LC Target Gain Loss]]/SnapshotTable[[#This Row],[LC Premium]], "")</f>
        <v/>
      </c>
      <c r="EB75" s="247"/>
      <c r="EC75" s="268" t="str">
        <f>IF(SnapshotTable[[#This Row],[LC Premium]]&gt;0, SnapshotTable[[#This Row],[LC Book Price]] * (1 - LC_StopLoss_Pct),"")</f>
        <v/>
      </c>
      <c r="ED75" s="269"/>
      <c r="EE75" s="268" t="str">
        <f>IF(ISNUMBER(SnapshotTable[[#This Row],[LC Contract Value]]),IF(ISNUMBER(SnapshotTable[[#This Row],[LC Stop Loss Override]]), SnapshotTable[[#This Row],[LC Stop Loss Override]],SnapshotTable[[#This Row],[LC Stop Loss Calc Target]]),"")</f>
        <v/>
      </c>
      <c r="EF75" s="31" t="str">
        <f>IF(ISNUMBER(SnapshotTable[[#This Row],[LC Stop  To Use]]), (SnapshotTable[[#This Row],[LC Stop  To Use]] * SnapshotTable[[#This Row],[LC Qty]] * 100),"")</f>
        <v/>
      </c>
      <c r="EG75" s="9" t="str">
        <f>IF(ISNUMBER(SnapshotTable[[#This Row],[LC Total Value]]),SnapshotTable[[#This Row],[LC Stop Loss Amount]] - SnapshotTable[[#This Row],[LC Premium]],"")</f>
        <v/>
      </c>
      <c r="EH75" s="9">
        <f>IF(ISNUMBER(SnapshotTable[[#This Row],[LC Premium]]), SnapshotTable[[#This Row],[LC Qty]] * 100 * SnapshotTable[[#This Row],[LC Strike Price]], "")</f>
        <v>0</v>
      </c>
      <c r="EI75" s="225" t="str">
        <f>IF(AND(ISNUMBER(SnapshotTable[[#This Row],[LC Total Value]]),SnapshotTable[[#This Row],[LC Total Value]]&gt;0),SnapshotTable[[#This Row],[LC Stop Gain Loss]]  / SnapshotTable[[#This Row],[LC Premium]],"")</f>
        <v/>
      </c>
      <c r="EJ75" s="35">
        <f>IF(ISNUMBER(SnapshotTable[[#This Row],[Equity Shares]]),TRUNC(SnapshotTable[[#This Row],[Equity Shares]] / 100),0) + SnapshotTable[[#This Row],[LC Qty]]</f>
        <v>0</v>
      </c>
      <c r="EK75" s="145"/>
      <c r="EL75" s="136"/>
      <c r="EM75" s="146"/>
      <c r="EN75" s="145"/>
      <c r="EO75" s="145"/>
      <c r="EP75" s="136"/>
      <c r="EQ75" s="382" t="b">
        <f>AND(ISNUMBER(SnapshotTable[[#This Row],[SC Exp Date]]), ISNUMBER(SnapshotTable[[#This Row],[SC Strike Price]]), ISNUMBER(SnapshotTable[[#This Row],[SC Qty]]), ISNUMBER(SnapshotTable[[#This Row],[SC Book Date]]), ISNUMBER(SnapshotTable[[#This Row],[SC Book Price]]))</f>
        <v>0</v>
      </c>
      <c r="ER75" s="382" t="b">
        <f>AND(SnapshotTable[[#This Row],[SC Is Booked]], NOT(ISBLANK(SnapshotTable[[#This Row],[SC Fill Date]])))</f>
        <v>0</v>
      </c>
      <c r="ES75" s="340"/>
      <c r="ET75" s="34" t="str">
        <f>IF(AND(ISNUMBER(SnapshotTable[[#This Row],[SC Exp Date]]), ISNUMBER(SnapshotTable[[#This Row],[SC Book Date]])), SnapshotTable[[#This Row],[SC Exp Date]] - MAX(SnapshotTable[[#This Row],[SC Book Date]], SnapshotTable[[#This Row],[SC Fill Date]]) + 1, "")</f>
        <v/>
      </c>
      <c r="EU75" s="34" t="str">
        <f>IF(ISNUMBER(SnapshotTable[[#This Row],[SC Term]]), SnapshotTable[[#This Row],[SC Exp Date]]- MockToday, "")</f>
        <v/>
      </c>
      <c r="EV75" s="31">
        <f>IF(SnapshotTable[[#This Row],[SC Is Booked]], SnapshotTable[[#This Row],[SC Qty]] * SnapshotTable[[#This Row],[SC Book Price]] * 100, 0)</f>
        <v>0</v>
      </c>
      <c r="EW75" s="4" t="str">
        <f>IF(AND(ISNUMBER(SnapshotTable[[#This Row],[Last Price]]), ISNUMBER( SnapshotTable[[#This Row],[SC Book Price]])), SnapshotTable[[#This Row],[Last Price]] - SnapshotTable[[#This Row],[SC Book Price]],"")</f>
        <v/>
      </c>
      <c r="EX75" s="219" t="str">
        <f>IF(SnapshotTable[[#This Row],[SC Is Booked]],IF(SnapshotTable[[#This Row],[SC Intrinsic Value]] &gt; 0, SnapshotTable[[#This Row],[SC Strike Price]], SnapshotTable[[#This Row],[Last Price]]), "")</f>
        <v/>
      </c>
      <c r="EY75" s="4">
        <f>IF(SnapshotTable[[#This Row],[SC Is Booked]], (MinimumPremiumRequired * SnapshotTable[[#This Row],[SC Basis]] * SnapshotTable[[#This Row],[SC Term]]), 0)</f>
        <v>0</v>
      </c>
      <c r="EZ75" s="268"/>
      <c r="FA75" s="204"/>
      <c r="FB75" s="340"/>
      <c r="FC75" s="4">
        <f>IF(SnapshotTable[[#This Row],[SC Is Filled]], btc_max_buyback_amount(SnapshotTable[[#This Row],[SC Fill Date]],SnapshotTable[[#This Row],[SC Exp Date]], SnapshotTable[[#This Row],[SC Book Price]]),0)</f>
        <v>0</v>
      </c>
      <c r="FD75" s="5"/>
      <c r="FE75" s="142" t="str">
        <f>IF(SnapshotTable[[#This Row],[SC Is Filled]], btc_next_cutoff_date(SnapshotTable[[#This Row],[SC Fill Date]],SnapshotTable[[#This Row],[SC Exp Date]]),"")</f>
        <v/>
      </c>
      <c r="FF75" s="4" t="str" cm="1">
        <f t="array" ref="FF75">IF(SnapshotTable[[#This Row],[SC Is Filled]], btc_should_buy_back(SnapshotTable[[#This Row],[SC Fill Date]], SnapshotTable[[#This Row],[SC Exp Date]], SnapshotTable[[#This Row],[SC Book Price]], SnapshotTable[[#This Row],[SC Current Ask]], MockToday, SnapshotTable[[#This Row],[SC Buyback Override]]),"")</f>
        <v/>
      </c>
      <c r="FG75" s="4">
        <f>IF(SnapshotTable[[#This Row],[SC Is Filled]], MAX(0,SnapshotTable[[#This Row],[Last Price]]  - SnapshotTable[[#This Row],[SC Strike Price]]), 0)</f>
        <v>0</v>
      </c>
      <c r="FH75" s="352">
        <f>IF(SnapshotTable[[#This Row],[SC Is Filled]], IF(ISNUMBER(SnapshotTable[[#This Row],[SC Current Ask]]), SnapshotTable[[#This Row],[SC Current Ask]], SnapshotTable[[#This Row],[SC Book Price]]) - SnapshotTable[[#This Row],[SC Intrinsic Value]], 0)</f>
        <v>0</v>
      </c>
      <c r="FI75" s="141"/>
      <c r="FJ75" s="32" t="str">
        <f>IF(SnapshotTable[[#This Row],[SC Is Filled]],100 * SnapshotTable[[#This Row],[SC Qty]] * IF(ISNUMBER(SnapshotTable[[#This Row],[SC Buyback Override]]), SnapshotTable[[#This Row],[SC Buyback Override]], SnapshotTable[[#This Row],[SC Current Ask]]), "")</f>
        <v/>
      </c>
      <c r="FK75" s="235" t="str">
        <f>IF(SnapshotTable[[#This Row],[SC Time Val]]&gt;0, SnapshotTable[[#This Row],[SC Time Val]] / SnapshotTable[[#This Row],[Last Price]],"")</f>
        <v/>
      </c>
      <c r="FL75" s="280" t="str">
        <f>IF(SnapshotTable[[#This Row],[SC Is Booked]], ((SnapshotTable[[#This Row],[Last Price]] -SnapshotTable[[#This Row],[SC Strike Price]]) / SnapshotTable[[#This Row],[Last Price]]) * -1, "")</f>
        <v/>
      </c>
      <c r="FM75" s="155" t="str">
        <f>IF(SnapshotTable[[#This Row],[SC Is Booked]],  (SnapshotTable[[#This Row],[SC Qty]] * 100 * SnapshotTable[[#This Row],[SC Strike Price]]) - SnapshotTable[[#This Row],[SC Current Ask]], "")</f>
        <v/>
      </c>
      <c r="FN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5" s="31" t="str">
        <f>IF(AND(ISNUMBER(SnapshotTable[[#This Row],[SC Exercise Gross]]), ISNUMBER(SnapshotTable[[#This Row],[Equity Basis Per Share]] )), SnapshotTable[[#This Row],[SC Exercise Gross]] - SnapshotTable[[#This Row],[Equity Basis Total]] +  SnapshotTable[[#This Row],[SC Premium]], "")</f>
        <v/>
      </c>
      <c r="FP75" s="5" t="str">
        <f>IF(ISNUMBER(SnapshotTable[[#This Row],[SC Exercise Gross]]), (SnapshotTable[[#This Row],[SC Exercise Gross]]) / (SnapshotTable[[#This Row],[SC Qty]] * 100), "")</f>
        <v/>
      </c>
      <c r="FQ75" s="27" t="str">
        <f>IF(SnapshotTable[[#This Row],[SC Is Booked]],SnapshotTable[[#This Row],[SC Time Val]] /SnapshotTable[[#This Row],[SC Basis]], "")</f>
        <v/>
      </c>
      <c r="FR75" s="27" t="str" cm="1">
        <f t="array" ref="FR75">IF(AND(ISNUMBER(SnapshotTable[[#This Row],[SC Term]]),ISNUMBER(SnapshotTable[[#This Row],[SC Simple ROO]])), EllmanAnnualize(SnapshotTable[[#This Row],[SC DTE]], SnapshotTable[[#This Row],[SC Simple ROO]] ),"")</f>
        <v/>
      </c>
      <c r="FS75" s="4">
        <f>IF(SnapshotTable[[#This Row],[SC Strike Price]] &gt; SnapshotTable[[#This Row],[Last Price]], SnapshotTable[[#This Row],[SC Strike Price]] - SnapshotTable[[#This Row],[Last Price]],0)</f>
        <v>0</v>
      </c>
      <c r="FT75" s="27" t="str">
        <f>IF(AND(ISNUMBER(SnapshotTable[[#This Row],[SC Upside Potential]]), SnapshotTable[[#This Row],[SC Upside Potential]] &gt; 0),(SnapshotTable[[#This Row],[SC Upside Potential]]/ SnapshotTable[[#This Row],[ACB]]),"")</f>
        <v/>
      </c>
      <c r="FU75" s="304" t="str">
        <f>IF(SnapshotTable[[#This Row],[SC Intrinsic Value]] &gt; 0,SnapshotTable[[#This Row],[SC Intrinsic Value]],"")</f>
        <v/>
      </c>
      <c r="FV75" s="27" t="str">
        <f>IF(AND( ISNUMBER( SnapshotTable[[#This Row],[ACB]]),ISNUMBER(SnapshotTable[[#This Row],[SC Downside Protect]])),SnapshotTable[[#This Row],[SC Downside Protect]] / SnapshotTable[[#This Row],[ACB]],"")</f>
        <v/>
      </c>
      <c r="FW75" s="221" t="str">
        <f>IF(AND(ISNUMBER(SnapshotTable[[#This Row],[SC Simple ROO]]),SnapshotTable[[#This Row],[SC Simple ROO]] &gt; 0), SnapshotTable[[#This Row],[SC Premium]] + (SnapshotTable[[#This Row],[SC Qty]] * SnapshotTable[[#This Row],[SC Upside Potential]]), "")</f>
        <v/>
      </c>
      <c r="FX75" s="280" t="str" cm="1">
        <f t="array" ref="FX75">IF(ISNUMBER(SnapshotTable[[#This Row],[SC Max Dollars]]), annualize(SnapshotTable[[#This Row],[SC Term]],(SnapshotTable[[#This Row],[SC Max Dollars]]/SnapshotTable[[#This Row],[SC Basis]])),"")</f>
        <v/>
      </c>
      <c r="FY75" s="221" t="str">
        <f>IF(AND(SnapshotTable[[#This Row],[SC Qty]]&gt;0,SnapshotTable[[#This Row],[SC Current Ask]]&gt;0), SnapshotTable[[#This Row],[SC Qty]] * SnapshotTable[[#This Row],[SC Current Ask]] * -100, "")</f>
        <v/>
      </c>
      <c r="FZ75" s="31" t="str">
        <f>IF(ISNUMBER((SnapshotTable[[#This Row],[SC Current Value]])), SnapshotTable[[#This Row],[SC Premium]] + SnapshotTable[[#This Row],[SC Current Value]], "")</f>
        <v/>
      </c>
      <c r="GA75" s="272" t="str">
        <f>IFERROR( IF(ISNUMBER((SnapshotTable[[#This Row],[SC Current Value]])), SnapshotTable[[#This Row],[SC Gain Loss]] / SnapshotTable[[#This Row],[SC Premium]], ""), "")</f>
        <v/>
      </c>
      <c r="GB75" s="42">
        <f>SnapshotTable[[#This Row],[Equity Shares]] * SaleSharesToConsiderPercentage</f>
        <v>0</v>
      </c>
      <c r="GC75" s="40">
        <f>SnapshotTable[[#This Row],[Long Term Target]] * SellingPriceToConsiderBasedOnTargetPercentage</f>
        <v>59.7455</v>
      </c>
      <c r="GD75" s="40">
        <f>SnapshotTable[[#This Row],[Last Price]] * (1+ SellingPriceToConsiderBasedOnTargetPercentage)</f>
        <v>95.374499999999998</v>
      </c>
      <c r="GE75" s="41"/>
      <c r="GF75" s="40"/>
      <c r="GG75" s="31">
        <f>SnapshotTable[[#This Row],[Booked Sale Shares]] * SnapshotTable[[#This Row],[Booked Sale Price]]</f>
        <v>0</v>
      </c>
      <c r="GH75" s="31" t="str">
        <f>IF(SnapshotTable[[#This Row],[Equity Basis Total]] &gt; 0, SnapshotTable[[#This Row],[Equity Basis Per Share]] * SnapshotTable[[#This Row],[Booked Sale Shares]], "")</f>
        <v/>
      </c>
      <c r="GI75" s="31">
        <f>IF(SnapshotTable[[#This Row],[Sale Proceeds]]&gt;0, SnapshotTable[[#This Row],[Sale Proceeds]] - SnapshotTable[[#This Row],[Sale Basis]], 0)</f>
        <v>0</v>
      </c>
      <c r="GJ75" s="27" t="str">
        <f>IF(SnapshotTable[[#This Row],[Sale G/L]]&gt;0, SnapshotTable[[#This Row],[Sale G/L]] / SnapshotTable[[#This Row],[Sale Basis]], IF(ISNUMBER(SnapshotTable[[#This Row],[SC Exercise P&amp;L (TAX)]]), SnapshotTable[[#This Row],[SC Exercise P&amp;L (TAX)]] / SnapshotTable[[#This Row],[SC Basis]], ""))</f>
        <v/>
      </c>
      <c r="GK75" s="27" t="s">
        <v>539</v>
      </c>
      <c r="GL75" s="43" t="str">
        <f>IF(AND(SnapshotTable[[#This Row],[LP Exp Date]]&gt;0,SnapshotTable[[#This Row],[LP Strike Price]]&gt;0), [1]!ToOptionSymbol(SnapshotTable[[#This Row],[Symbol]], SnapshotTable[[#This Row],[LP Strike Price]],SnapshotTable[[#This Row],[LP Exp Date]],1), "")</f>
        <v/>
      </c>
      <c r="GM75" s="30" t="str">
        <f>IF(LEN(SnapshotTable[[#This Row],[LP Symbol]])&gt;0, 1, "")</f>
        <v/>
      </c>
      <c r="GN75" s="43" t="str">
        <f>IF(AND(SnapshotTable[[#This Row],[SP Exp Date]]&gt;0,SnapshotTable[[#This Row],[SP Strike Price]]&gt;0), [1]!ToOptionSymbol(SnapshotTable[[#This Row],[Symbol]], SnapshotTable[[#This Row],[SP Strike Price]],SnapshotTable[[#This Row],[SP Exp Date]],1), "")</f>
        <v/>
      </c>
      <c r="GO75" s="30" t="str">
        <f>IF(LEN(SnapshotTable[[#This Row],[SP Symbol]])&gt;0, 1, "")</f>
        <v/>
      </c>
      <c r="GP75" s="43" t="str">
        <f>IF(AND(SnapshotTable[[#This Row],[LC Exp Date]]&gt;0,SnapshotTable[[#This Row],[LC Strike Price]]&gt;0), [1]!ToOptionSymbol(SnapshotTable[[#This Row],[Symbol]], SnapshotTable[[#This Row],[LC Strike Price]],SnapshotTable[[#This Row],[LC Exp Date]],0), "")</f>
        <v/>
      </c>
      <c r="GQ75" s="30" t="str">
        <f>IF(LEN(SnapshotTable[[#This Row],[LC Symbol]])&gt;0, 1, "")</f>
        <v/>
      </c>
      <c r="GR75" s="43" t="str">
        <f>IF(AND(SnapshotTable[[#This Row],[SC Exp Date]]&gt;0,SnapshotTable[[#This Row],[SC Strike Price]]&gt;0), [1]!ToOptionSymbol(SnapshotTable[[#This Row],[Symbol]], SnapshotTable[[#This Row],[SC Strike Price]],SnapshotTable[[#This Row],[SC Exp Date]],0), "")</f>
        <v/>
      </c>
      <c r="GS75" s="30" t="str">
        <f>IF(LEN(SnapshotTable[[#This Row],[SC Symbol]])&gt;0, 1, "")</f>
        <v/>
      </c>
      <c r="GT75" s="29" t="str">
        <f>IF(COUNT(SnapshotTable[[#This Row],[LP Symbol Count]],SnapshotTable[[#This Row],[SP Symbol Count]],SnapshotTable[[#This Row],[LC Symbol Count]],SnapshotTable[[#This Row],[SC Symbol Count]])&gt;0, "Y", "")</f>
        <v/>
      </c>
      <c r="GU7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5" s="216">
        <f>MAX(SnapshotTable[[#This Row],[Equity Basis Total]],SnapshotTable[[#This Row],[Equity Value]]) + (SnapshotTable[[#This Row],[SP Potential Spend]]- SnapshotTable[[#This Row],[SP Premium]] + SnapshotTable[[#This Row],[LP Premium]])+ (SnapshotTable[[#This Row],[LC Premium]] - SnapshotTable[[#This Row],[SC Premium]])</f>
        <v>0</v>
      </c>
      <c r="GW75" s="137" t="str">
        <f>IF(AND(SnapshotTable[[#This Row],[Exposure]] &lt;&gt; 0),SnapshotTable[[#This Row],[Exposure]] / SnapshotTable[[#Totals],[Exposure]], "")</f>
        <v/>
      </c>
      <c r="HE75" s="253"/>
      <c r="HF75" s="253"/>
      <c r="HK75" s="1"/>
      <c r="HL75" s="1"/>
      <c r="HM75" s="1"/>
      <c r="HN75" s="1"/>
      <c r="HO75" s="1"/>
      <c r="HP75" s="1"/>
    </row>
    <row r="76" spans="2:224" ht="12.75" hidden="1" customHeight="1" x14ac:dyDescent="0.25">
      <c r="B76" s="12" t="s">
        <v>909</v>
      </c>
      <c r="C76" s="385">
        <v>44.5</v>
      </c>
      <c r="D76" s="200"/>
      <c r="E76" s="39">
        <f>SnapshotTable[[#This Row],[Last Price]]*(1 -CrashDiscount)</f>
        <v>37.824999999999996</v>
      </c>
      <c r="F76" s="26" t="s">
        <v>910</v>
      </c>
      <c r="G76" s="296" t="s">
        <v>120</v>
      </c>
      <c r="H76" s="147"/>
      <c r="I76" s="186">
        <v>45713</v>
      </c>
      <c r="J76" s="187"/>
      <c r="K76" s="188"/>
      <c r="L76" s="297"/>
      <c r="M76" s="138"/>
      <c r="N76" s="138"/>
      <c r="O76" s="138"/>
      <c r="P76" s="22"/>
      <c r="Q76" s="25"/>
      <c r="R76" s="4" t="str">
        <f>IF(SnapshotTable[[#This Row],[Equity Basis Total]] &gt; 0, SnapshotTable[[#This Row],[Equity Basis Total]] / SnapshotTable[[#This Row],[Equity Shares]], "")</f>
        <v/>
      </c>
      <c r="S76" s="254">
        <f>SnapshotTable[[#This Row],[Last Price]] * SnapshotTable[[#This Row],[Equity Shares]]</f>
        <v>0</v>
      </c>
      <c r="T76" s="254">
        <f>SnapshotTable[[#This Row],[Equity Value]] - SnapshotTable[[#This Row],[Equity Basis Total]]</f>
        <v>0</v>
      </c>
      <c r="U76" s="255" t="str">
        <f>IF(SnapshotTable[[#This Row],[Equity Basis Total]] &gt; 0, SnapshotTable[[#This Row],[Equity G/L]] / SnapshotTable[[#This Row],[Equity Basis Total]], "")</f>
        <v/>
      </c>
      <c r="V76" s="253">
        <v>60</v>
      </c>
      <c r="W76" s="253"/>
      <c r="X76" s="4" t="str">
        <f>IF(AND(ISNUMBER(SnapshotTable[[#This Row],[Equity Basis Per Share]]),ISNUMBER(SnapshotTable[[#This Row],[Equity Target]])),SnapshotTable[[#This Row],[Equity Target]]-SnapshotTable[[#This Row],[Equity Basis Per Share]],"")</f>
        <v/>
      </c>
      <c r="Y76" s="4" t="str">
        <f>IF(AND(ISNUMBER(SnapshotTable[[#This Row],[Equity Basis Per Share]]),ISNUMBER(SnapshotTable[[#This Row],[Equity Stop Loss]])),SnapshotTable[[#This Row],[Equity Stop Loss]]-SnapshotTable[[#This Row],[Equity Basis Per Share]],"")</f>
        <v/>
      </c>
      <c r="Z76" s="260" t="str">
        <f>IFERROR( TEXT(SnapshotTable[[#This Row],[Equity Max Gain Per Share]] /ABS( SnapshotTable[[#This Row],[Equity Max Loss Per Share]]),"0.0 " ) &amp; " : 1", "")</f>
        <v/>
      </c>
      <c r="AA76" s="31" t="str">
        <f>IF(ISNUMBER(SnapshotTable[[#This Row],[Equity Max Gain Per Share]]),SnapshotTable[[#This Row],[Equity Max Gain Per Share]] * SnapshotTable[[#This Row],[Equity Shares]],"")</f>
        <v/>
      </c>
      <c r="AB76" s="31" t="str">
        <f>IF(ISNUMBER(SnapshotTable[[#This Row],[Equity Max Loss Per Share]]),SnapshotTable[[#This Row],[Equity Max Loss Per Share]] * SnapshotTable[[#This Row],[Equity Shares]],"")</f>
        <v/>
      </c>
      <c r="AC76" s="148"/>
      <c r="AD76" s="149"/>
      <c r="AE76" s="31">
        <f>(SnapshotTable[[#This Row],[Annual Dividend Per Share]] / 4) * SnapshotTable[[#This Row],[Equity Shares]]</f>
        <v>0</v>
      </c>
      <c r="AF76" s="31">
        <f>SnapshotTable[[#This Row],[Quarterly Div $]] * 4</f>
        <v>0</v>
      </c>
      <c r="AG76" s="7">
        <f>IF(SnapshotTable[[#This Row],[Annual Dividend Per Share]]&gt;0, SnapshotTable[[#This Row],[Annual Dividend Per Share]]  / SnapshotTable[[#This Row],[Last Price]], 0)</f>
        <v>0</v>
      </c>
      <c r="AH76" s="149"/>
      <c r="AI76" s="5"/>
      <c r="AJ76" s="136">
        <v>50</v>
      </c>
      <c r="AK76" s="150" t="str">
        <f>IF(ISNUMBER( SnapshotTable[[#This Row],[EBF Target]]),(SnapshotTable[[#This Row],[EBF Target]] - SnapshotTable[[#This Row],[Last Price]]) / SnapshotTable[[#This Row],[Last Price]], "")</f>
        <v/>
      </c>
      <c r="AL76" s="150" t="str">
        <f>IF(AND(SnapshotTable[[#This Row],[Equity Basis Total]] &gt; 0,ISNUMBER( SnapshotTable[[#This Row],[Long Term Target]])), SnapshotTable[[#This Row],[From Basis $]] / SnapshotTable[[#This Row],[Equity Basis Total]], "")</f>
        <v/>
      </c>
      <c r="AM76" s="9">
        <f>IF( AND(SnapshotTable[[#This Row],[Equity Shares]] &gt;0,ISNUMBER( SnapshotTable[[#This Row],[Long Term Target]])),(SnapshotTable[[#This Row],[Equity Shares]] * SnapshotTable[[#This Row],[Long Term Target]]) - SnapshotTable[[#This Row],[Equity Basis Total]],0)</f>
        <v>0</v>
      </c>
      <c r="AN76" s="9">
        <f>IF( AND(SnapshotTable[[#This Row],[Equity Shares]] &gt;0,ISNUMBER( SnapshotTable[[#This Row],[Long Term Target]])),(SnapshotTable[[#This Row],[Equity Shares]]*SnapshotTable[[#This Row],[Long Term Target]]) - SnapshotTable[[#This Row],[Equity Value]],0)</f>
        <v>0</v>
      </c>
      <c r="AO76" s="150">
        <f>IF(AND(ISNUMBER( SnapshotTable[[#This Row],[Long Term Target]]), ISNUMBER(SnapshotTable[[#This Row],[Last Price]])),(SnapshotTable[[#This Row],[Long Term Target]] - SnapshotTable[[#This Row],[Last Price]]) / SnapshotTable[[#This Row],[Last Price]], "")</f>
        <v>0.12359550561797752</v>
      </c>
      <c r="AP76" s="301"/>
      <c r="AQ76" s="358"/>
      <c r="AR76" s="301"/>
      <c r="AS76" s="358"/>
      <c r="AT76" s="144"/>
      <c r="AU76" s="185" t="str">
        <f>IF(OR(SnapshotTable[[#This Row],[LP No Fill]]="Y",SnapshotTable[[#This Row],[SP Is Filled]],SnapshotTable[[#This Row],[LC Not Filled]]="Y",SnapshotTable[[#This Row],[SC Is Filled]]),"Y","")</f>
        <v/>
      </c>
      <c r="AV76" s="205"/>
      <c r="AW76" s="211"/>
      <c r="AX76" s="206"/>
      <c r="AY76" s="205" t="str">
        <f>IF(SnapshotTable[[#This Row],[Implied Move]]&gt;0, SnapshotTable[[#This Row],[Last Price]]-SnapshotTable[[#This Row],[Implied Move]],"")</f>
        <v/>
      </c>
      <c r="AZ76" s="205" t="str">
        <f>IF(SnapshotTable[[#This Row],[Implied Move]]&gt;0, SnapshotTable[[#This Row],[Last Price]] + SnapshotTable[[#This Row],[Implied Move]],"")</f>
        <v/>
      </c>
      <c r="BA76" s="302">
        <v>-15.58</v>
      </c>
      <c r="BB76" s="318"/>
      <c r="BC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6" s="321"/>
      <c r="BE76" s="5"/>
      <c r="BF76" s="14"/>
      <c r="BG76" s="13"/>
      <c r="BH76" s="13"/>
      <c r="BI76" s="5"/>
      <c r="BJ76" s="134">
        <f>IF(SnapshotTable[[#This Row],[LP Qty]] &gt; 0, SnapshotTable[[#This Row],[LP Qty]] * SnapshotTable[[#This Row],[LP Book Price]] * 100,0)</f>
        <v>0</v>
      </c>
      <c r="BK76" s="134">
        <f>IF(SnapshotTable[[#This Row],[LP Premium]] &gt; 0, SnapshotTable[[#This Row],[LP Qty]] * SnapshotTable[[#This Row],[LP Strike Price]] * 100,0)</f>
        <v>0</v>
      </c>
      <c r="BL76" s="152"/>
      <c r="BM76" s="355" t="str">
        <f>IF(SnapshotTable[[#This Row],[LP Premium]] &gt; 0,SnapshotTable[[#This Row],[LP Exp Date]]-MAX(SnapshotTable[[#This Row],[LP Book Date]], SnapshotTable[[#This Row],[LP Fill Date]]),"")</f>
        <v/>
      </c>
      <c r="BN76" s="355" t="str">
        <f>IF(ISNUMBER( SnapshotTable[[#This Row],[LP Term]]), SnapshotTable[[#This Row],[LP Exp Date]] - MockToday,"")</f>
        <v/>
      </c>
      <c r="BO76" s="161" t="str">
        <f>IF(AND(SnapshotTable[[#This Row],[LP Exp Date]]&gt;0, SnapshotTable[[#This Row],[LP Strike Price]]&gt;0,SnapshotTable[[#This Row],[LP Qty]]&gt;0,SnapshotTable[[#This Row],[LP Book Date]]&gt;0,SnapshotTable[[#This Row],[LP Book Price]]&gt;0,SnapshotTable[[#This Row],[LP Fill Date]]=0),"Y","")</f>
        <v/>
      </c>
      <c r="BP76" s="31" t="str">
        <f>IF(AND(SnapshotTable[[#This Row],[LP No Fill]]&lt;&gt;"Y",SnapshotTable[[#This Row],[LP Contract Value]]&gt;0, SnapshotTable[[#This Row],[LP Qty]]&gt;0), SnapshotTable[[#This Row],[LP Contract Value]]*SnapshotTable[[#This Row],[LP Qty]]*100,"")</f>
        <v/>
      </c>
      <c r="BQ76" s="13"/>
      <c r="BR76" s="5"/>
      <c r="BS76" s="36"/>
      <c r="BT76" s="145"/>
      <c r="BU76" s="13"/>
      <c r="BV76" s="5"/>
      <c r="BW76" s="382" t="b">
        <f>AND(ISNUMBER(SnapshotTable[[#This Row],[SP Exp Date]]), ISNUMBER(SnapshotTable[[#This Row],[SP Strike Price]]), ISNUMBER(SnapshotTable[[#This Row],[SP Qty]]), ISNUMBER(SnapshotTable[[#This Row],[SP Book Date]]), ISNUMBER(SnapshotTable[[#This Row],[SP Book Price]]))</f>
        <v>0</v>
      </c>
      <c r="BX76" s="382" t="b">
        <f>AND(SnapshotTable[[#This Row],[SP Is Booked]], NOT(ISBLANK(SnapshotTable[[#This Row],[SP Fill Date]])))</f>
        <v>0</v>
      </c>
      <c r="BY76" s="33">
        <f>IF(SnapshotTable[[#This Row],[SP Is Booked]], SnapshotTable[[#This Row],[SP Qty]] * SnapshotTable[[#This Row],[SP Book Price]] * 100, 0)</f>
        <v>0</v>
      </c>
      <c r="BZ76" s="339"/>
      <c r="CA76" s="338">
        <f>SnapshotTable[[#This Row],[LP Qty]]</f>
        <v>0</v>
      </c>
      <c r="CB76" s="4" t="str">
        <f>IF(SnapshotTable[[#This Row],[SP Is Booked]], SnapshotTable[[#This Row],[SP Strike Price]] - SnapshotTable[[#This Row],[SP Book Price]], "")</f>
        <v/>
      </c>
      <c r="CC76" s="19" t="str">
        <f>IF(SnapshotTable[[#This Row],[SP Is Booked]],SnapshotTable[[#This Row],[SP Exp Date]]-MAX(SnapshotTable[[#This Row],[SP Book Date]], SnapshotTable[[#This Row],[SP Fill Date]]),"")</f>
        <v/>
      </c>
      <c r="CD76" s="7" t="str">
        <f>IF(SnapshotTable[[#This Row],[SP Is Booked]], SnapshotTable[[#This Row],[SP Book Price]]/SnapshotTable[[#This Row],[SP Strike Price]], "")</f>
        <v/>
      </c>
      <c r="CE76" s="7" t="str">
        <f>IF(ISNUMBER(SnapshotTable[[#This Row],[SP ROO Term]]),SnapshotTable[[#This Row],[SP ROO Term]]*(365/SnapshotTable[[#This Row],[SP Term]]),"")</f>
        <v/>
      </c>
      <c r="CF76" s="221">
        <f>SnapshotTable[[#This Row],[LP Strike Price]] * SnapshotTable[[#This Row],[LP Qty]] * 100</f>
        <v>0</v>
      </c>
      <c r="CG76" s="31">
        <f>IF(ISNUMBER(SnapshotTable[[#This Row],[SP Premium]]), (SnapshotTable[[#This Row],[SP Qty]] * SnapshotTable[[#This Row],[SP Strike Price]]* 100) - SnapshotTable[[#This Row],[LP Protection]], 0)</f>
        <v>0</v>
      </c>
      <c r="CH76" s="7" t="str">
        <f>IF(ISNUMBER(SnapshotTable[[#This Row],[SP Break Even]]),-1 * (SnapshotTable[[#This Row],[SP Break Even]] - SnapshotTable[[#This Row],[Last Price]]) / SnapshotTable[[#This Row],[Last Price]], "")</f>
        <v/>
      </c>
      <c r="CI76" s="31">
        <f>IF(AND(ISNUMBER((SnapshotTable[[#This Row],[SP Potential Spend]])), SnapshotTable[[#This Row],[SP Strike Price]] &gt; SnapshotTable[[#This Row],[Last Price]], SnapshotTable[[#This Row],[SP Is Filled]]), SnapshotTable[[#This Row],[SP Potential Spend]] -  SnapshotTable[[#This Row],[LP Max Value]], 0)</f>
        <v>0</v>
      </c>
      <c r="CJ76" s="229">
        <v>0</v>
      </c>
      <c r="CK76" s="31">
        <f>IF(ISNUMBER(SnapshotTable[[#This Row],[SP Potential Spend]]),IF(ISNUMBER(SnapshotTable[[#This Row],[SP POW]]), SnapshotTable[[#This Row],[SP POW]] * SnapshotTable[[#This Row],[SP Potential Spend]], SnapshotTable[[#This Row],[SP Potential Spend]]), "")</f>
        <v>0</v>
      </c>
      <c r="CL76" s="162">
        <f>IF(NOT(SnapshotTable[[#This Row],[SP Is Filled]]),(SnapshotTable[[#This Row],[SP Qty]] * SnapshotTable[[#This Row],[SP Strike Price]] * 100) - SnapshotTable[[#This Row],[LP Max Value]],"")</f>
        <v>0</v>
      </c>
      <c r="CM76" s="31" t="str">
        <f>IF(SnapshotTable[[#This Row],[SP Actual Spend]]&lt;&gt;0, ((SnapshotTable[[#This Row],[SP Strike Price]]-SnapshotTable[[#This Row],[Last Price]]) *(SnapshotTable[[#This Row],[SP Qty]]*100) - SnapshotTable[[#This Row],[SP Premium]]) * - 1, "")</f>
        <v/>
      </c>
      <c r="CN76" s="76"/>
      <c r="CO76" s="339"/>
      <c r="CP76" s="4" t="str">
        <f>IF(SnapshotTable[[#This Row],[SP Is Filled]], btc_max_buyback_amount(SnapshotTable[[#This Row],[SP Fill Date]],SnapshotTable[[#This Row],[SP Exp Date]], SnapshotTable[[#This Row],[SP Book Price]]),"")</f>
        <v/>
      </c>
      <c r="CQ76" s="76"/>
      <c r="CR7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6" s="153" t="str">
        <f>IF(SnapshotTable[[#This Row],[SP Is Filled]], btc_next_cutoff_date(SnapshotTable[[#This Row],[SP Fill Date]],SnapshotTable[[#This Row],[SP Exp Date]]),"")</f>
        <v/>
      </c>
      <c r="CT76" s="220" t="str" cm="1">
        <f t="array" ref="CT76">IF(SnapshotTable[[#This Row],[SP Is Filled]], btc_should_buy_back(SnapshotTable[[#This Row],[SP Fill Date]], SnapshotTable[[#This Row],[SP Exp Date]], SnapshotTable[[#This Row],[SP Book Price]], SnapshotTable[[#This Row],[SP Current Ask]], MockToday, SnapshotTable[[#This Row],[SP Buyback Override]]),"")</f>
        <v/>
      </c>
      <c r="CU76" s="141"/>
      <c r="CV76" s="220"/>
      <c r="CW76" s="348" t="str">
        <f>IF(ISNUMBER( SnapshotTable[[#This Row],[SP Term]]), SnapshotTable[[#This Row],[SP Exp Date]] - MockToday,"")</f>
        <v/>
      </c>
      <c r="CX76" s="31" t="str">
        <f>IF(SnapshotTable[[#This Row],[SP Is Filled]],SnapshotTable[[#This Row],[SP Buyback Price to Use]] * 100 * SnapshotTable[[#This Row],[SP Qty]], "")</f>
        <v/>
      </c>
      <c r="CY76" s="4" t="str">
        <f>IF(ISNUMBER(SnapshotTable[[#This Row],[SP Strike Price]]), SnapshotTable[[#This Row],[SP Strike Price]] * (1 - SP_MaxLoss_StrikePct), "")</f>
        <v/>
      </c>
      <c r="CZ76" s="31" t="str">
        <f>IF(ISNUMBER(SnapshotTable[[#This Row],[SP Strike  Stop Per Share]]),SnapshotTable[[#This Row],[SP Premium]] - ((SnapshotTable[[#This Row],[SP Strike Price]]-SnapshotTable[[#This Row],[SP Strike  Stop Per Share]]) *(SnapshotTable[[#This Row],[SP Qty]] * 100)),"")</f>
        <v/>
      </c>
      <c r="DA76" s="4" t="str">
        <f>IF(AND(ISNUMBER(SnapshotTable[[#This Row],[SP Premium]]),SnapshotTable[[#This Row],[SP Premium]]&gt;0), SnapshotTable[[#This Row],[SP Book Price]] * (1 + SP_MaxLoss_OptionPct), "")</f>
        <v/>
      </c>
      <c r="DB76" s="31" t="str">
        <f>IF(ISNUMBER(SnapshotTable[[#This Row],[SP Option  Stop Contract]]),(SnapshotTable[[#This Row],[SP Option  Stop Contract]] *(SnapshotTable[[#This Row],[SP Qty]] * 100) - SnapshotTable[[#This Row],[SP Premium]]),"")</f>
        <v/>
      </c>
      <c r="DC76" s="4"/>
      <c r="DD76" s="4"/>
      <c r="DE76" s="4" t="str">
        <f>IF(AND(SnapshotTable[[#This Row],[SP Qty]]&gt;0, SnapshotTable[[#This Row],[SP Stop To Use]]&gt;0),SnapshotTable[[#This Row],[SP Premium]] - ( SnapshotTable[[#This Row],[SP Qty]] * SnapshotTable[[#This Row],[SP Stop To Use]] * 100), "")</f>
        <v/>
      </c>
      <c r="DF76" s="31" t="str">
        <f>IF(AND(SnapshotTable[[#This Row],[SP Qty]]&gt;0,SnapshotTable[[#This Row],[SP Current Ask]]&gt;0), SnapshotTable[[#This Row],[SP Qty]] * SnapshotTable[[#This Row],[SP Current Ask]] * -100, "")</f>
        <v/>
      </c>
      <c r="DG76" s="31" t="str">
        <f>IF(ISNUMBER((SnapshotTable[[#This Row],[SP Total Value]])), SnapshotTable[[#This Row],[SP Premium]] + SnapshotTable[[#This Row],[SP Total Value]], "")</f>
        <v/>
      </c>
      <c r="DH76" s="272" t="str">
        <f>IF(ISNUMBER((SnapshotTable[[#This Row],[SP Total Value]])), SnapshotTable[[#This Row],[SP Gain Loss]] / SnapshotTable[[#This Row],[SP Premium]], "")</f>
        <v/>
      </c>
      <c r="DI76" s="369"/>
      <c r="DJ76" s="136"/>
      <c r="DK76" s="146"/>
      <c r="DL76" s="13"/>
      <c r="DM76" s="13"/>
      <c r="DO76" s="31">
        <f>IF(SnapshotTable[[#This Row],[LC Symbol Count]]=1, SnapshotTable[[#This Row],[LC Qty]] * SnapshotTable[[#This Row],[LC Book Price]] * 100, 0)</f>
        <v>0</v>
      </c>
      <c r="DP76" s="161" t="str">
        <f>IF(AND(SnapshotTable[[#This Row],[LC Exp Date]]&gt;0, SnapshotTable[[#This Row],[LC Strike Price]]&gt;0,SnapshotTable[[#This Row],[LC Qty]]&gt;0,SnapshotTable[[#This Row],[LC Book Date]]&gt;0,SnapshotTable[[#This Row],[LC Book Price]]&gt;0,SnapshotTable[[#This Row],[LC Fill Date]]=0),"Y","")</f>
        <v/>
      </c>
      <c r="DQ76" s="356" t="str">
        <f>IF(SnapshotTable[[#This Row],[LC Premium]] &gt; 0,SnapshotTable[[#This Row],[LC Exp Date]]-MAX(SnapshotTable[[#This Row],[LC Book Date]], SnapshotTable[[#This Row],[LC Fill Date]]),"")</f>
        <v/>
      </c>
      <c r="DR76" s="356" t="str">
        <f>IF(ISNUMBER(SnapshotTable[[#This Row],[LC Term]]), SnapshotTable[[#This Row],[LC Exp Date]] - MockToday, "")</f>
        <v/>
      </c>
      <c r="DS76" s="219" t="str">
        <f>IF(SnapshotTable[[#This Row],[LC Premium]]&gt;0,SnapshotTable[[#This Row],[LC Strike Price]] + SnapshotTable[[#This Row],[LC Book Price]],"")</f>
        <v/>
      </c>
      <c r="DU76" s="9" t="str">
        <f>IF(AND(SnapshotTable[[#This Row],[LC Symbol Count]]&gt;0, SnapshotTable[[#This Row],[LC Contract Value]]&gt;0), SnapshotTable[[#This Row],[LC Contract Value]] * SnapshotTable[[#This Row],[LC Qty]] * 100, "")</f>
        <v/>
      </c>
      <c r="DV76" s="9" t="str">
        <f>IF(AND(ISNUMBER(SnapshotTable[[#This Row],[LC Total Value]]), SnapshotTable[[#This Row],[LC Not Filled]]&lt;&gt;"Y"), SnapshotTable[[#This Row],[LC Total Value]]-SnapshotTable[[#This Row],[LC Premium]],"")</f>
        <v/>
      </c>
      <c r="DW76" s="225" t="str">
        <f>IF(ISNUMBER(SnapshotTable[[#This Row],[LC Actual Gain Loss]]), SnapshotTable[[#This Row],[LC Actual Gain Loss]] / SnapshotTable[[#This Row],[LC Premium]],"")</f>
        <v/>
      </c>
      <c r="DX76" s="269" t="str">
        <f>IF(ISNUMBER(SnapshotTable[[#This Row],[LC Book Price]]),SnapshotTable[[#This Row],[LC Book Price]] * 1.5,"")</f>
        <v/>
      </c>
      <c r="DY76" s="250" t="str">
        <f>IF(SnapshotTable[[#This Row],[LC Premium]]&gt;0, SnapshotTable[[#This Row],[LC Next Target]] * SnapshotTable[[#This Row],[LC Qty]] * 100,"")</f>
        <v/>
      </c>
      <c r="DZ76" s="250" t="str">
        <f>IF(ISNUMBER(SnapshotTable[[#This Row],[LC Target Gross]]), SnapshotTable[[#This Row],[LC Target Gross]] - SnapshotTable[[#This Row],[LC Premium]], "")</f>
        <v/>
      </c>
      <c r="EA76" s="283" t="str">
        <f>IF(ISNUMBER(SnapshotTable[[#This Row],[LC Target Gain Loss]]), SnapshotTable[[#This Row],[LC Target Gain Loss]]/SnapshotTable[[#This Row],[LC Premium]], "")</f>
        <v/>
      </c>
      <c r="EB76" s="247"/>
      <c r="EC76" s="268" t="str">
        <f>IF(SnapshotTable[[#This Row],[LC Premium]]&gt;0, SnapshotTable[[#This Row],[LC Book Price]] * (1 - LC_StopLoss_Pct),"")</f>
        <v/>
      </c>
      <c r="ED76" s="269"/>
      <c r="EE76" s="268" t="str">
        <f>IF(ISNUMBER(SnapshotTable[[#This Row],[LC Contract Value]]),IF(ISNUMBER(SnapshotTable[[#This Row],[LC Stop Loss Override]]), SnapshotTable[[#This Row],[LC Stop Loss Override]],SnapshotTable[[#This Row],[LC Stop Loss Calc Target]]),"")</f>
        <v/>
      </c>
      <c r="EF76" s="31" t="str">
        <f>IF(ISNUMBER(SnapshotTable[[#This Row],[LC Stop  To Use]]), (SnapshotTable[[#This Row],[LC Stop  To Use]] * SnapshotTable[[#This Row],[LC Qty]] * 100),"")</f>
        <v/>
      </c>
      <c r="EG76" s="9" t="str">
        <f>IF(ISNUMBER(SnapshotTable[[#This Row],[LC Total Value]]),SnapshotTable[[#This Row],[LC Stop Loss Amount]] - SnapshotTable[[#This Row],[LC Premium]],"")</f>
        <v/>
      </c>
      <c r="EH76" s="9">
        <f>IF(ISNUMBER(SnapshotTable[[#This Row],[LC Premium]]), SnapshotTable[[#This Row],[LC Qty]] * 100 * SnapshotTable[[#This Row],[LC Strike Price]], "")</f>
        <v>0</v>
      </c>
      <c r="EI76" s="225" t="str">
        <f>IF(AND(ISNUMBER(SnapshotTable[[#This Row],[LC Total Value]]),SnapshotTable[[#This Row],[LC Total Value]]&gt;0),SnapshotTable[[#This Row],[LC Stop Gain Loss]]  / SnapshotTable[[#This Row],[LC Premium]],"")</f>
        <v/>
      </c>
      <c r="EJ76" s="35">
        <f>IF(ISNUMBER(SnapshotTable[[#This Row],[Equity Shares]]),TRUNC(SnapshotTable[[#This Row],[Equity Shares]] / 100),0) + SnapshotTable[[#This Row],[LC Qty]]</f>
        <v>0</v>
      </c>
      <c r="EK76" s="145"/>
      <c r="EL76" s="136"/>
      <c r="EM76" s="146"/>
      <c r="EN76" s="145"/>
      <c r="EO76" s="145"/>
      <c r="EP76" s="136"/>
      <c r="EQ76" s="382" t="b">
        <f>AND(ISNUMBER(SnapshotTable[[#This Row],[SC Exp Date]]), ISNUMBER(SnapshotTable[[#This Row],[SC Strike Price]]), ISNUMBER(SnapshotTable[[#This Row],[SC Qty]]), ISNUMBER(SnapshotTable[[#This Row],[SC Book Date]]), ISNUMBER(SnapshotTable[[#This Row],[SC Book Price]]))</f>
        <v>0</v>
      </c>
      <c r="ER76" s="382" t="b">
        <f>AND(SnapshotTable[[#This Row],[SC Is Booked]], NOT(ISBLANK(SnapshotTable[[#This Row],[SC Fill Date]])))</f>
        <v>0</v>
      </c>
      <c r="ES76" s="340"/>
      <c r="ET76" s="34" t="str">
        <f>IF(AND(ISNUMBER(SnapshotTable[[#This Row],[SC Exp Date]]), ISNUMBER(SnapshotTable[[#This Row],[SC Book Date]])), SnapshotTable[[#This Row],[SC Exp Date]] - MAX(SnapshotTable[[#This Row],[SC Book Date]], SnapshotTable[[#This Row],[SC Fill Date]]) + 1, "")</f>
        <v/>
      </c>
      <c r="EU76" s="34" t="str">
        <f>IF(ISNUMBER(SnapshotTable[[#This Row],[SC Term]]), SnapshotTable[[#This Row],[SC Exp Date]]- MockToday, "")</f>
        <v/>
      </c>
      <c r="EV76" s="31">
        <f>IF(SnapshotTable[[#This Row],[SC Is Booked]], SnapshotTable[[#This Row],[SC Qty]] * SnapshotTable[[#This Row],[SC Book Price]] * 100, 0)</f>
        <v>0</v>
      </c>
      <c r="EW76" s="4" t="str">
        <f>IF(AND(ISNUMBER(SnapshotTable[[#This Row],[Last Price]]), ISNUMBER( SnapshotTable[[#This Row],[SC Book Price]])), SnapshotTable[[#This Row],[Last Price]] - SnapshotTable[[#This Row],[SC Book Price]],"")</f>
        <v/>
      </c>
      <c r="EX76" s="219" t="str">
        <f>IF(SnapshotTable[[#This Row],[SC Is Booked]],IF(SnapshotTable[[#This Row],[SC Intrinsic Value]] &gt; 0, SnapshotTable[[#This Row],[SC Strike Price]], SnapshotTable[[#This Row],[Last Price]]), "")</f>
        <v/>
      </c>
      <c r="EY76" s="4">
        <f>IF(SnapshotTable[[#This Row],[SC Is Booked]], (MinimumPremiumRequired * SnapshotTable[[#This Row],[SC Basis]] * SnapshotTable[[#This Row],[SC Term]]), 0)</f>
        <v>0</v>
      </c>
      <c r="EZ76" s="268"/>
      <c r="FA76" s="204"/>
      <c r="FB76" s="340"/>
      <c r="FC76" s="4">
        <f>IF(SnapshotTable[[#This Row],[SC Is Filled]], btc_max_buyback_amount(SnapshotTable[[#This Row],[SC Fill Date]],SnapshotTable[[#This Row],[SC Exp Date]], SnapshotTable[[#This Row],[SC Book Price]]),0)</f>
        <v>0</v>
      </c>
      <c r="FD76" s="5"/>
      <c r="FE76" s="142" t="str">
        <f>IF(SnapshotTable[[#This Row],[SC Is Filled]], btc_next_cutoff_date(SnapshotTable[[#This Row],[SC Fill Date]],SnapshotTable[[#This Row],[SC Exp Date]]),"")</f>
        <v/>
      </c>
      <c r="FF76" s="4" t="str" cm="1">
        <f t="array" ref="FF76">IF(SnapshotTable[[#This Row],[SC Is Filled]], btc_should_buy_back(SnapshotTable[[#This Row],[SC Fill Date]], SnapshotTable[[#This Row],[SC Exp Date]], SnapshotTable[[#This Row],[SC Book Price]], SnapshotTable[[#This Row],[SC Current Ask]], MockToday, SnapshotTable[[#This Row],[SC Buyback Override]]),"")</f>
        <v/>
      </c>
      <c r="FG76" s="4">
        <f>IF(SnapshotTable[[#This Row],[SC Is Filled]], MAX(0,SnapshotTable[[#This Row],[Last Price]]  - SnapshotTable[[#This Row],[SC Strike Price]]), 0)</f>
        <v>0</v>
      </c>
      <c r="FH76" s="352">
        <f>IF(SnapshotTable[[#This Row],[SC Is Filled]], IF(ISNUMBER(SnapshotTable[[#This Row],[SC Current Ask]]), SnapshotTable[[#This Row],[SC Current Ask]], SnapshotTable[[#This Row],[SC Book Price]]) - SnapshotTable[[#This Row],[SC Intrinsic Value]], 0)</f>
        <v>0</v>
      </c>
      <c r="FI76" s="141"/>
      <c r="FJ76" s="32" t="str">
        <f>IF(SnapshotTable[[#This Row],[SC Is Filled]],100 * SnapshotTable[[#This Row],[SC Qty]] * IF(ISNUMBER(SnapshotTable[[#This Row],[SC Buyback Override]]), SnapshotTable[[#This Row],[SC Buyback Override]], SnapshotTable[[#This Row],[SC Current Ask]]), "")</f>
        <v/>
      </c>
      <c r="FK76" s="235" t="str">
        <f>IF(SnapshotTable[[#This Row],[SC Time Val]]&gt;0, SnapshotTable[[#This Row],[SC Time Val]] / SnapshotTable[[#This Row],[Last Price]],"")</f>
        <v/>
      </c>
      <c r="FL76" s="280" t="str">
        <f>IF(SnapshotTable[[#This Row],[SC Is Booked]], ((SnapshotTable[[#This Row],[Last Price]] -SnapshotTable[[#This Row],[SC Strike Price]]) / SnapshotTable[[#This Row],[Last Price]]) * -1, "")</f>
        <v/>
      </c>
      <c r="FM76" s="155" t="str">
        <f>IF(SnapshotTable[[#This Row],[SC Is Booked]],  (SnapshotTable[[#This Row],[SC Qty]] * 100 * SnapshotTable[[#This Row],[SC Strike Price]]) - SnapshotTable[[#This Row],[SC Current Ask]], "")</f>
        <v/>
      </c>
      <c r="FN7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6" s="31" t="str">
        <f>IF(AND(ISNUMBER(SnapshotTable[[#This Row],[SC Exercise Gross]]), ISNUMBER(SnapshotTable[[#This Row],[Equity Basis Per Share]] )), SnapshotTable[[#This Row],[SC Exercise Gross]] - SnapshotTable[[#This Row],[Equity Basis Total]] +  SnapshotTable[[#This Row],[SC Premium]], "")</f>
        <v/>
      </c>
      <c r="FP76" s="5" t="str">
        <f>IF(ISNUMBER(SnapshotTable[[#This Row],[SC Exercise Gross]]), (SnapshotTable[[#This Row],[SC Exercise Gross]]) / (SnapshotTable[[#This Row],[SC Qty]] * 100), "")</f>
        <v/>
      </c>
      <c r="FQ76" s="27" t="str">
        <f>IF(SnapshotTable[[#This Row],[SC Is Booked]],SnapshotTable[[#This Row],[SC Time Val]] /SnapshotTable[[#This Row],[SC Basis]], "")</f>
        <v/>
      </c>
      <c r="FR76" s="27" t="str" cm="1">
        <f t="array" ref="FR76">IF(AND(ISNUMBER(SnapshotTable[[#This Row],[SC Term]]),ISNUMBER(SnapshotTable[[#This Row],[SC Simple ROO]])), EllmanAnnualize(SnapshotTable[[#This Row],[SC DTE]], SnapshotTable[[#This Row],[SC Simple ROO]] ),"")</f>
        <v/>
      </c>
      <c r="FS76" s="4">
        <f>IF(SnapshotTable[[#This Row],[SC Strike Price]] &gt; SnapshotTable[[#This Row],[Last Price]], SnapshotTable[[#This Row],[SC Strike Price]] - SnapshotTable[[#This Row],[Last Price]],0)</f>
        <v>0</v>
      </c>
      <c r="FT76" s="27" t="str">
        <f>IF(AND(ISNUMBER(SnapshotTable[[#This Row],[SC Upside Potential]]), SnapshotTable[[#This Row],[SC Upside Potential]] &gt; 0),(SnapshotTable[[#This Row],[SC Upside Potential]]/ SnapshotTable[[#This Row],[ACB]]),"")</f>
        <v/>
      </c>
      <c r="FU76" s="304" t="str">
        <f>IF(SnapshotTable[[#This Row],[SC Intrinsic Value]] &gt; 0,SnapshotTable[[#This Row],[SC Intrinsic Value]],"")</f>
        <v/>
      </c>
      <c r="FV76" s="27" t="str">
        <f>IF(AND( ISNUMBER( SnapshotTable[[#This Row],[ACB]]),ISNUMBER(SnapshotTable[[#This Row],[SC Downside Protect]])),SnapshotTable[[#This Row],[SC Downside Protect]] / SnapshotTable[[#This Row],[ACB]],"")</f>
        <v/>
      </c>
      <c r="FW76" s="221" t="str">
        <f>IF(AND(ISNUMBER(SnapshotTable[[#This Row],[SC Simple ROO]]),SnapshotTable[[#This Row],[SC Simple ROO]] &gt; 0), SnapshotTable[[#This Row],[SC Premium]] + (SnapshotTable[[#This Row],[SC Qty]] * SnapshotTable[[#This Row],[SC Upside Potential]]), "")</f>
        <v/>
      </c>
      <c r="FX76" s="280" t="str" cm="1">
        <f t="array" ref="FX76">IF(ISNUMBER(SnapshotTable[[#This Row],[SC Max Dollars]]), annualize(SnapshotTable[[#This Row],[SC Term]],(SnapshotTable[[#This Row],[SC Max Dollars]]/SnapshotTable[[#This Row],[SC Basis]])),"")</f>
        <v/>
      </c>
      <c r="FY76" s="221" t="str">
        <f>IF(AND(SnapshotTable[[#This Row],[SC Qty]]&gt;0,SnapshotTable[[#This Row],[SC Current Ask]]&gt;0), SnapshotTable[[#This Row],[SC Qty]] * SnapshotTable[[#This Row],[SC Current Ask]] * -100, "")</f>
        <v/>
      </c>
      <c r="FZ76" s="31" t="str">
        <f>IF(ISNUMBER((SnapshotTable[[#This Row],[SC Current Value]])), SnapshotTable[[#This Row],[SC Premium]] + SnapshotTable[[#This Row],[SC Current Value]], "")</f>
        <v/>
      </c>
      <c r="GA76" s="272" t="str">
        <f>IFERROR( IF(ISNUMBER((SnapshotTable[[#This Row],[SC Current Value]])), SnapshotTable[[#This Row],[SC Gain Loss]] / SnapshotTable[[#This Row],[SC Premium]], ""), "")</f>
        <v/>
      </c>
      <c r="GB76" s="42">
        <f>SnapshotTable[[#This Row],[Equity Shares]] * SaleSharesToConsiderPercentage</f>
        <v>0</v>
      </c>
      <c r="GC76" s="40">
        <f>SnapshotTable[[#This Row],[Long Term Target]] * SellingPriceToConsiderBasedOnTargetPercentage</f>
        <v>47.5</v>
      </c>
      <c r="GD76" s="40">
        <f>SnapshotTable[[#This Row],[Last Price]] * (1+ SellingPriceToConsiderBasedOnTargetPercentage)</f>
        <v>86.774999999999991</v>
      </c>
      <c r="GE76" s="41"/>
      <c r="GF76" s="40"/>
      <c r="GG76" s="31">
        <f>SnapshotTable[[#This Row],[Booked Sale Shares]] * SnapshotTable[[#This Row],[Booked Sale Price]]</f>
        <v>0</v>
      </c>
      <c r="GH76" s="31" t="str">
        <f>IF(SnapshotTable[[#This Row],[Equity Basis Total]] &gt; 0, SnapshotTable[[#This Row],[Equity Basis Per Share]] * SnapshotTable[[#This Row],[Booked Sale Shares]], "")</f>
        <v/>
      </c>
      <c r="GI76" s="31">
        <f>IF(SnapshotTable[[#This Row],[Sale Proceeds]]&gt;0, SnapshotTable[[#This Row],[Sale Proceeds]] - SnapshotTable[[#This Row],[Sale Basis]], 0)</f>
        <v>0</v>
      </c>
      <c r="GJ76" s="27" t="str">
        <f>IF(SnapshotTable[[#This Row],[Sale G/L]]&gt;0, SnapshotTable[[#This Row],[Sale G/L]] / SnapshotTable[[#This Row],[Sale Basis]], IF(ISNUMBER(SnapshotTable[[#This Row],[SC Exercise P&amp;L (TAX)]]), SnapshotTable[[#This Row],[SC Exercise P&amp;L (TAX)]] / SnapshotTable[[#This Row],[SC Basis]], ""))</f>
        <v/>
      </c>
      <c r="GK76" s="27" t="s">
        <v>927</v>
      </c>
      <c r="GL76" s="43" t="str">
        <f>IF(AND(SnapshotTable[[#This Row],[LP Exp Date]]&gt;0,SnapshotTable[[#This Row],[LP Strike Price]]&gt;0), [1]!ToOptionSymbol(SnapshotTable[[#This Row],[Symbol]], SnapshotTable[[#This Row],[LP Strike Price]],SnapshotTable[[#This Row],[LP Exp Date]],1), "")</f>
        <v/>
      </c>
      <c r="GM76" s="30" t="str">
        <f>IF(LEN(SnapshotTable[[#This Row],[LP Symbol]])&gt;0, 1, "")</f>
        <v/>
      </c>
      <c r="GN76" s="43" t="str">
        <f>IF(AND(SnapshotTable[[#This Row],[SP Exp Date]]&gt;0,SnapshotTable[[#This Row],[SP Strike Price]]&gt;0), [1]!ToOptionSymbol(SnapshotTable[[#This Row],[Symbol]], SnapshotTable[[#This Row],[SP Strike Price]],SnapshotTable[[#This Row],[SP Exp Date]],1), "")</f>
        <v/>
      </c>
      <c r="GO76" s="30" t="str">
        <f>IF(LEN(SnapshotTable[[#This Row],[SP Symbol]])&gt;0, 1, "")</f>
        <v/>
      </c>
      <c r="GP76" s="43" t="str">
        <f>IF(AND(SnapshotTable[[#This Row],[LC Exp Date]]&gt;0,SnapshotTable[[#This Row],[LC Strike Price]]&gt;0), [1]!ToOptionSymbol(SnapshotTable[[#This Row],[Symbol]], SnapshotTable[[#This Row],[LC Strike Price]],SnapshotTable[[#This Row],[LC Exp Date]],0), "")</f>
        <v/>
      </c>
      <c r="GQ76" s="30" t="str">
        <f>IF(LEN(SnapshotTable[[#This Row],[LC Symbol]])&gt;0, 1, "")</f>
        <v/>
      </c>
      <c r="GR76" s="43" t="str">
        <f>IF(AND(SnapshotTable[[#This Row],[SC Exp Date]]&gt;0,SnapshotTable[[#This Row],[SC Strike Price]]&gt;0), [1]!ToOptionSymbol(SnapshotTable[[#This Row],[Symbol]], SnapshotTable[[#This Row],[SC Strike Price]],SnapshotTable[[#This Row],[SC Exp Date]],0), "")</f>
        <v/>
      </c>
      <c r="GS76" s="30" t="str">
        <f>IF(LEN(SnapshotTable[[#This Row],[SC Symbol]])&gt;0, 1, "")</f>
        <v/>
      </c>
      <c r="GT76" s="29" t="str">
        <f>IF(COUNT(SnapshotTable[[#This Row],[LP Symbol Count]],SnapshotTable[[#This Row],[SP Symbol Count]],SnapshotTable[[#This Row],[LC Symbol Count]],SnapshotTable[[#This Row],[SC Symbol Count]])&gt;0, "Y", "")</f>
        <v/>
      </c>
      <c r="GU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6" s="216">
        <f>MAX(SnapshotTable[[#This Row],[Equity Basis Total]],SnapshotTable[[#This Row],[Equity Value]]) + (SnapshotTable[[#This Row],[SP Potential Spend]]- SnapshotTable[[#This Row],[SP Premium]] + SnapshotTable[[#This Row],[LP Premium]])+ (SnapshotTable[[#This Row],[LC Premium]] - SnapshotTable[[#This Row],[SC Premium]])</f>
        <v>0</v>
      </c>
      <c r="GW76" s="137" t="str">
        <f>IF(AND(SnapshotTable[[#This Row],[Exposure]] &lt;&gt; 0),SnapshotTable[[#This Row],[Exposure]] / SnapshotTable[[#Totals],[Exposure]], "")</f>
        <v/>
      </c>
      <c r="HE76" s="253"/>
      <c r="HF76" s="253"/>
      <c r="HK76" s="1"/>
      <c r="HL76" s="1"/>
      <c r="HM76" s="1"/>
      <c r="HN76" s="1"/>
      <c r="HO76" s="1"/>
      <c r="HP76" s="1"/>
    </row>
    <row r="77" spans="2:224" ht="12.75" hidden="1" customHeight="1" x14ac:dyDescent="0.25">
      <c r="B77" s="12" t="s">
        <v>476</v>
      </c>
      <c r="C77" s="385">
        <v>26.1</v>
      </c>
      <c r="D77" s="200" t="s">
        <v>467</v>
      </c>
      <c r="E77" s="39">
        <f>SnapshotTable[[#This Row],[Last Price]]*(1 -CrashDiscount)</f>
        <v>22.185000000000002</v>
      </c>
      <c r="F77" s="26" t="s">
        <v>45</v>
      </c>
      <c r="G77" s="26" t="s">
        <v>10</v>
      </c>
      <c r="H77" s="147"/>
      <c r="I77" s="186">
        <v>44739.385416666664</v>
      </c>
      <c r="J77" s="187">
        <v>44739.385416666664</v>
      </c>
      <c r="K77" s="188"/>
      <c r="L77" s="297"/>
      <c r="M77" s="138"/>
      <c r="N77" s="138"/>
      <c r="O77" s="138"/>
      <c r="P77" s="22"/>
      <c r="Q77" s="25"/>
      <c r="R77" s="4" t="str">
        <f>IF(SnapshotTable[[#This Row],[Equity Basis Total]] &gt; 0, SnapshotTable[[#This Row],[Equity Basis Total]] / SnapshotTable[[#This Row],[Equity Shares]], "")</f>
        <v/>
      </c>
      <c r="S77" s="254">
        <f>SnapshotTable[[#This Row],[Last Price]] * SnapshotTable[[#This Row],[Equity Shares]]</f>
        <v>0</v>
      </c>
      <c r="T77" s="254">
        <f>SnapshotTable[[#This Row],[Equity Value]] - SnapshotTable[[#This Row],[Equity Basis Total]]</f>
        <v>0</v>
      </c>
      <c r="U77" s="255" t="str">
        <f>IF(SnapshotTable[[#This Row],[Equity Basis Total]] &gt; 0, SnapshotTable[[#This Row],[Equity G/L]] / SnapshotTable[[#This Row],[Equity Basis Total]], "")</f>
        <v/>
      </c>
      <c r="V77" s="253">
        <v>18</v>
      </c>
      <c r="W77" s="253">
        <v>15.5</v>
      </c>
      <c r="X77" s="4" t="str">
        <f>IF(AND(ISNUMBER(SnapshotTable[[#This Row],[Equity Basis Per Share]]),ISNUMBER(SnapshotTable[[#This Row],[Equity Target]])),SnapshotTable[[#This Row],[Equity Target]]-SnapshotTable[[#This Row],[Equity Basis Per Share]],"")</f>
        <v/>
      </c>
      <c r="Y77" s="4" t="str">
        <f>IF(AND(ISNUMBER(SnapshotTable[[#This Row],[Equity Basis Per Share]]),ISNUMBER(SnapshotTable[[#This Row],[Equity Stop Loss]])),SnapshotTable[[#This Row],[Equity Stop Loss]]-SnapshotTable[[#This Row],[Equity Basis Per Share]],"")</f>
        <v/>
      </c>
      <c r="Z77" s="260" t="str">
        <f>IFERROR( TEXT(SnapshotTable[[#This Row],[Equity Max Gain Per Share]] /ABS( SnapshotTable[[#This Row],[Equity Max Loss Per Share]]),"0.0 " ) &amp; " : 1", "")</f>
        <v/>
      </c>
      <c r="AA77" s="31" t="str">
        <f>IF(ISNUMBER(SnapshotTable[[#This Row],[Equity Max Gain Per Share]]),SnapshotTable[[#This Row],[Equity Max Gain Per Share]] * SnapshotTable[[#This Row],[Equity Shares]],"")</f>
        <v/>
      </c>
      <c r="AB77" s="31" t="str">
        <f>IF(ISNUMBER(SnapshotTable[[#This Row],[Equity Max Loss Per Share]]),SnapshotTable[[#This Row],[Equity Max Loss Per Share]] * SnapshotTable[[#This Row],[Equity Shares]],"")</f>
        <v/>
      </c>
      <c r="AC77" s="148"/>
      <c r="AD77" s="149"/>
      <c r="AE77" s="31">
        <f>(SnapshotTable[[#This Row],[Annual Dividend Per Share]] / 4) * SnapshotTable[[#This Row],[Equity Shares]]</f>
        <v>0</v>
      </c>
      <c r="AF77" s="31">
        <f>SnapshotTable[[#This Row],[Quarterly Div $]] * 4</f>
        <v>0</v>
      </c>
      <c r="AG77" s="7">
        <f>IF(SnapshotTable[[#This Row],[Annual Dividend Per Share]]&gt;0, SnapshotTable[[#This Row],[Annual Dividend Per Share]]  / SnapshotTable[[#This Row],[Last Price]], 0)</f>
        <v>0</v>
      </c>
      <c r="AH77" s="149"/>
      <c r="AI77" s="5">
        <f>SnapshotTable[[#This Row],[Equity Target]]</f>
        <v>18</v>
      </c>
      <c r="AJ77" s="136">
        <v>24.73</v>
      </c>
      <c r="AK77" s="150">
        <f>IF(ISNUMBER( SnapshotTable[[#This Row],[EBF Target]]),(SnapshotTable[[#This Row],[EBF Target]] - SnapshotTable[[#This Row],[Last Price]]) / SnapshotTable[[#This Row],[Last Price]], "")</f>
        <v>-0.31034482758620696</v>
      </c>
      <c r="AL77" s="150" t="str">
        <f>IF(AND(SnapshotTable[[#This Row],[Equity Basis Total]] &gt; 0,ISNUMBER( SnapshotTable[[#This Row],[Long Term Target]])), SnapshotTable[[#This Row],[From Basis $]] / SnapshotTable[[#This Row],[Equity Basis Total]], "")</f>
        <v/>
      </c>
      <c r="AM77" s="9">
        <f>IF( AND(SnapshotTable[[#This Row],[Equity Shares]] &gt;0,ISNUMBER( SnapshotTable[[#This Row],[Long Term Target]])),(SnapshotTable[[#This Row],[Equity Shares]] * SnapshotTable[[#This Row],[Long Term Target]]) - SnapshotTable[[#This Row],[Equity Basis Total]],0)</f>
        <v>0</v>
      </c>
      <c r="AN77" s="9">
        <f>IF( AND(SnapshotTable[[#This Row],[Equity Shares]] &gt;0,ISNUMBER( SnapshotTable[[#This Row],[Long Term Target]])),(SnapshotTable[[#This Row],[Equity Shares]]*SnapshotTable[[#This Row],[Long Term Target]]) - SnapshotTable[[#This Row],[Equity Value]],0)</f>
        <v>0</v>
      </c>
      <c r="AO77" s="150">
        <f>IF(AND(ISNUMBER( SnapshotTable[[#This Row],[Long Term Target]]), ISNUMBER(SnapshotTable[[#This Row],[Last Price]])),(SnapshotTable[[#This Row],[Long Term Target]] - SnapshotTable[[#This Row],[Last Price]]) / SnapshotTable[[#This Row],[Last Price]], "")</f>
        <v>-5.2490421455938734E-2</v>
      </c>
      <c r="AP77" s="5"/>
      <c r="AQ77" s="38" t="s">
        <v>16</v>
      </c>
      <c r="AR77" s="5"/>
      <c r="AS77" s="38" t="s">
        <v>22</v>
      </c>
      <c r="AT77" s="144" t="s">
        <v>438</v>
      </c>
      <c r="AU77" s="185" t="str">
        <f>IF(OR(SnapshotTable[[#This Row],[LP No Fill]]="Y",SnapshotTable[[#This Row],[SP Is Filled]],SnapshotTable[[#This Row],[LC Not Filled]]="Y",SnapshotTable[[#This Row],[SC Is Filled]]),"Y","")</f>
        <v/>
      </c>
      <c r="AV77" s="205"/>
      <c r="AW77" s="211"/>
      <c r="AX77" s="206"/>
      <c r="AY77" s="205" t="str">
        <f>IF(SnapshotTable[[#This Row],[Implied Move]]&gt;0, SnapshotTable[[#This Row],[Last Price]]-SnapshotTable[[#This Row],[Implied Move]],"")</f>
        <v/>
      </c>
      <c r="AZ77" s="205" t="str">
        <f>IF(SnapshotTable[[#This Row],[Implied Move]]&gt;0, SnapshotTable[[#This Row],[Last Price]] + SnapshotTable[[#This Row],[Implied Move]],"")</f>
        <v/>
      </c>
      <c r="BA77" s="302">
        <v>15.33</v>
      </c>
      <c r="BB77" s="318" t="s">
        <v>908</v>
      </c>
      <c r="BC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7" s="321"/>
      <c r="BE77" s="5"/>
      <c r="BF77" s="14"/>
      <c r="BG77" s="13"/>
      <c r="BH77" s="13"/>
      <c r="BI77" s="5"/>
      <c r="BJ77" s="134">
        <f>IF(SnapshotTable[[#This Row],[LP Qty]] &gt; 0, SnapshotTable[[#This Row],[LP Qty]] * SnapshotTable[[#This Row],[LP Book Price]] * 100,0)</f>
        <v>0</v>
      </c>
      <c r="BK77" s="134">
        <f>IF(SnapshotTable[[#This Row],[LP Premium]] &gt; 0, SnapshotTable[[#This Row],[LP Qty]] * SnapshotTable[[#This Row],[LP Strike Price]] * 100,0)</f>
        <v>0</v>
      </c>
      <c r="BL77" s="152"/>
      <c r="BM77" s="355" t="str">
        <f>IF(SnapshotTable[[#This Row],[LP Premium]] &gt; 0,SnapshotTable[[#This Row],[LP Exp Date]]-MAX(SnapshotTable[[#This Row],[LP Book Date]], SnapshotTable[[#This Row],[LP Fill Date]]),"")</f>
        <v/>
      </c>
      <c r="BN77" s="355" t="str">
        <f>IF(ISNUMBER( SnapshotTable[[#This Row],[LP Term]]), SnapshotTable[[#This Row],[LP Exp Date]] - MockToday,"")</f>
        <v/>
      </c>
      <c r="BO77" s="161" t="str">
        <f>IF(AND(SnapshotTable[[#This Row],[LP Exp Date]]&gt;0, SnapshotTable[[#This Row],[LP Strike Price]]&gt;0,SnapshotTable[[#This Row],[LP Qty]]&gt;0,SnapshotTable[[#This Row],[LP Book Date]]&gt;0,SnapshotTable[[#This Row],[LP Book Price]]&gt;0,SnapshotTable[[#This Row],[LP Fill Date]]=0),"Y","")</f>
        <v/>
      </c>
      <c r="BP77" s="31"/>
      <c r="BQ77" s="13"/>
      <c r="BR77" s="5"/>
      <c r="BS77" s="36"/>
      <c r="BT77" s="145"/>
      <c r="BU77" s="13"/>
      <c r="BV77" s="5"/>
      <c r="BW77" s="382" t="b">
        <f>AND(ISNUMBER(SnapshotTable[[#This Row],[SP Exp Date]]), ISNUMBER(SnapshotTable[[#This Row],[SP Strike Price]]), ISNUMBER(SnapshotTable[[#This Row],[SP Qty]]), ISNUMBER(SnapshotTable[[#This Row],[SP Book Date]]), ISNUMBER(SnapshotTable[[#This Row],[SP Book Price]]))</f>
        <v>0</v>
      </c>
      <c r="BX77" s="382" t="b">
        <f>AND(SnapshotTable[[#This Row],[SP Is Booked]], NOT(ISBLANK(SnapshotTable[[#This Row],[SP Fill Date]])))</f>
        <v>0</v>
      </c>
      <c r="BY77" s="33">
        <f>IF(SnapshotTable[[#This Row],[SP Is Booked]], SnapshotTable[[#This Row],[SP Qty]] * SnapshotTable[[#This Row],[SP Book Price]] * 100, 0)</f>
        <v>0</v>
      </c>
      <c r="BZ77" s="339"/>
      <c r="CA77" s="338">
        <f>SnapshotTable[[#This Row],[LP Qty]]</f>
        <v>0</v>
      </c>
      <c r="CB77" s="4" t="str">
        <f>IF(SnapshotTable[[#This Row],[SP Is Booked]], SnapshotTable[[#This Row],[SP Strike Price]] - SnapshotTable[[#This Row],[SP Book Price]], "")</f>
        <v/>
      </c>
      <c r="CC77" s="19" t="str">
        <f>IF(SnapshotTable[[#This Row],[SP Is Booked]],SnapshotTable[[#This Row],[SP Exp Date]]-MAX(SnapshotTable[[#This Row],[SP Book Date]], SnapshotTable[[#This Row],[SP Fill Date]]),"")</f>
        <v/>
      </c>
      <c r="CD77" s="7" t="str">
        <f>IF(SnapshotTable[[#This Row],[SP Is Booked]], SnapshotTable[[#This Row],[SP Book Price]]/SnapshotTable[[#This Row],[SP Strike Price]], "")</f>
        <v/>
      </c>
      <c r="CE77" s="7" t="str">
        <f>IF(ISNUMBER(SnapshotTable[[#This Row],[SP ROO Term]]),SnapshotTable[[#This Row],[SP ROO Term]]*(365/SnapshotTable[[#This Row],[SP Term]]),"")</f>
        <v/>
      </c>
      <c r="CF77" s="221">
        <f>SnapshotTable[[#This Row],[LP Strike Price]] * SnapshotTable[[#This Row],[LP Qty]] * 100</f>
        <v>0</v>
      </c>
      <c r="CG77" s="31">
        <f>IF(ISNUMBER(SnapshotTable[[#This Row],[SP Premium]]), (SnapshotTable[[#This Row],[SP Qty]] * SnapshotTable[[#This Row],[SP Strike Price]]* 100) - SnapshotTable[[#This Row],[LP Protection]], 0)</f>
        <v>0</v>
      </c>
      <c r="CH77" s="7" t="str">
        <f>IF(ISNUMBER(SnapshotTable[[#This Row],[SP Break Even]]),-1 * (SnapshotTable[[#This Row],[SP Break Even]] - SnapshotTable[[#This Row],[Last Price]]) / SnapshotTable[[#This Row],[Last Price]], "")</f>
        <v/>
      </c>
      <c r="CI77" s="31">
        <f>IF(AND(ISNUMBER((SnapshotTable[[#This Row],[SP Potential Spend]])), SnapshotTable[[#This Row],[SP Strike Price]] &gt; SnapshotTable[[#This Row],[Last Price]], SnapshotTable[[#This Row],[SP Is Filled]]), SnapshotTable[[#This Row],[SP Potential Spend]] -  SnapshotTable[[#This Row],[LP Max Value]], 0)</f>
        <v>0</v>
      </c>
      <c r="CJ77" s="229"/>
      <c r="CK77" s="31">
        <f>IF(ISNUMBER(SnapshotTable[[#This Row],[SP Potential Spend]]),IF(ISNUMBER(SnapshotTable[[#This Row],[SP POW]]), SnapshotTable[[#This Row],[SP POW]] * SnapshotTable[[#This Row],[SP Potential Spend]], SnapshotTable[[#This Row],[SP Potential Spend]]), "")</f>
        <v>0</v>
      </c>
      <c r="CL77" s="162">
        <f>IF(NOT(SnapshotTable[[#This Row],[SP Is Filled]]),(SnapshotTable[[#This Row],[SP Qty]] * SnapshotTable[[#This Row],[SP Strike Price]] * 100) - SnapshotTable[[#This Row],[LP Max Value]],"")</f>
        <v>0</v>
      </c>
      <c r="CM77" s="31" t="str">
        <f>IF(SnapshotTable[[#This Row],[SP Actual Spend]]&lt;&gt;0, ((SnapshotTable[[#This Row],[SP Strike Price]]-SnapshotTable[[#This Row],[Last Price]]) *(SnapshotTable[[#This Row],[SP Qty]]*100) - SnapshotTable[[#This Row],[SP Premium]]) * - 1, "")</f>
        <v/>
      </c>
      <c r="CN77" s="204"/>
      <c r="CO77" s="339"/>
      <c r="CP77" s="4" t="str">
        <f>IF(SnapshotTable[[#This Row],[SP Is Filled]], btc_max_buyback_amount(SnapshotTable[[#This Row],[SP Fill Date]],SnapshotTable[[#This Row],[SP Exp Date]], SnapshotTable[[#This Row],[SP Book Price]]),"")</f>
        <v/>
      </c>
      <c r="CQ77" s="76"/>
      <c r="CR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7" s="153" t="str">
        <f>IF(SnapshotTable[[#This Row],[SP Is Filled]], btc_next_cutoff_date(SnapshotTable[[#This Row],[SP Fill Date]],SnapshotTable[[#This Row],[SP Exp Date]]),"")</f>
        <v/>
      </c>
      <c r="CT77" s="220" t="str" cm="1">
        <f t="array" ref="CT77">IF(SnapshotTable[[#This Row],[SP Is Filled]], btc_should_buy_back(SnapshotTable[[#This Row],[SP Fill Date]], SnapshotTable[[#This Row],[SP Exp Date]], SnapshotTable[[#This Row],[SP Book Price]], SnapshotTable[[#This Row],[SP Current Ask]], MockToday, SnapshotTable[[#This Row],[SP Buyback Override]]),"")</f>
        <v/>
      </c>
      <c r="CU77" s="141"/>
      <c r="CV77" s="220"/>
      <c r="CW77" s="348" t="str">
        <f>IF(ISNUMBER( SnapshotTable[[#This Row],[SP Term]]), SnapshotTable[[#This Row],[SP Exp Date]] - MockToday,"")</f>
        <v/>
      </c>
      <c r="CX77" s="31" t="str">
        <f>IF(SnapshotTable[[#This Row],[SP Is Filled]],SnapshotTable[[#This Row],[SP Buyback Price to Use]] * 100 * SnapshotTable[[#This Row],[SP Qty]], "")</f>
        <v/>
      </c>
      <c r="CY77" s="4" t="str">
        <f>IF(ISNUMBER(SnapshotTable[[#This Row],[SP Strike Price]]), SnapshotTable[[#This Row],[SP Strike Price]] * (1 - SP_MaxLoss_StrikePct), "")</f>
        <v/>
      </c>
      <c r="CZ77" s="31" t="str">
        <f>IF(ISNUMBER(SnapshotTable[[#This Row],[SP Strike  Stop Per Share]]),SnapshotTable[[#This Row],[SP Premium]] - ((SnapshotTable[[#This Row],[SP Strike Price]]-SnapshotTable[[#This Row],[SP Strike  Stop Per Share]]) *(SnapshotTable[[#This Row],[SP Qty]] * 100)),"")</f>
        <v/>
      </c>
      <c r="DA77" s="4" t="str">
        <f>IF(AND(ISNUMBER(SnapshotTable[[#This Row],[SP Premium]]),SnapshotTable[[#This Row],[SP Premium]]&gt;0), SnapshotTable[[#This Row],[SP Book Price]] * (1 + SP_MaxLoss_OptionPct), "")</f>
        <v/>
      </c>
      <c r="DB77" s="31" t="str">
        <f>IF(ISNUMBER(SnapshotTable[[#This Row],[SP Option  Stop Contract]]),(SnapshotTable[[#This Row],[SP Option  Stop Contract]] *(SnapshotTable[[#This Row],[SP Qty]] * 100) - SnapshotTable[[#This Row],[SP Premium]]),"")</f>
        <v/>
      </c>
      <c r="DC77" s="4"/>
      <c r="DD77" s="4"/>
      <c r="DE77" s="4" t="str">
        <f>IF(AND(SnapshotTable[[#This Row],[SP Qty]]&gt;0, SnapshotTable[[#This Row],[SP Stop To Use]]&gt;0),SnapshotTable[[#This Row],[SP Premium]] - ( SnapshotTable[[#This Row],[SP Qty]] * SnapshotTable[[#This Row],[SP Stop To Use]] * 100), "")</f>
        <v/>
      </c>
      <c r="DF77" s="31" t="str">
        <f>IF(AND(SnapshotTable[[#This Row],[SP Qty]]&gt;0,SnapshotTable[[#This Row],[SP Current Ask]]&gt;0), SnapshotTable[[#This Row],[SP Qty]] * SnapshotTable[[#This Row],[SP Current Ask]] * -100, "")</f>
        <v/>
      </c>
      <c r="DG77" s="31" t="str">
        <f>IF(ISNUMBER((SnapshotTable[[#This Row],[SP Total Value]])), SnapshotTable[[#This Row],[SP Premium]] + SnapshotTable[[#This Row],[SP Total Value]], "")</f>
        <v/>
      </c>
      <c r="DH77" s="272" t="str">
        <f>IF(ISNUMBER((SnapshotTable[[#This Row],[SP Total Value]])), SnapshotTable[[#This Row],[SP Gain Loss]] / SnapshotTable[[#This Row],[SP Premium]], "")</f>
        <v/>
      </c>
      <c r="DI77" s="369"/>
      <c r="DJ77" s="136"/>
      <c r="DK77" s="146"/>
      <c r="DL77" s="13"/>
      <c r="DM77" s="13"/>
      <c r="DO77" s="31">
        <f>IF(SnapshotTable[[#This Row],[LC Symbol Count]]=1, SnapshotTable[[#This Row],[LC Qty]] * SnapshotTable[[#This Row],[LC Book Price]] * 100, 0)</f>
        <v>0</v>
      </c>
      <c r="DP77" s="161" t="str">
        <f>IF(AND(SnapshotTable[[#This Row],[LC Exp Date]]&gt;0, SnapshotTable[[#This Row],[LC Strike Price]]&gt;0,SnapshotTable[[#This Row],[LC Qty]]&gt;0,SnapshotTable[[#This Row],[LC Book Date]]&gt;0,SnapshotTable[[#This Row],[LC Book Price]]&gt;0,SnapshotTable[[#This Row],[LC Fill Date]]=0),"Y","")</f>
        <v/>
      </c>
      <c r="DQ77" s="356" t="str">
        <f>IF(SnapshotTable[[#This Row],[LC Premium]] &gt; 0,SnapshotTable[[#This Row],[LC Exp Date]]-MAX(SnapshotTable[[#This Row],[LC Book Date]], SnapshotTable[[#This Row],[LC Fill Date]]),"")</f>
        <v/>
      </c>
      <c r="DR77" s="356" t="str">
        <f>IF(ISNUMBER(SnapshotTable[[#This Row],[LC Term]]), SnapshotTable[[#This Row],[LC Exp Date]] - MockToday, "")</f>
        <v/>
      </c>
      <c r="DS77" s="219" t="str">
        <f>IF(SnapshotTable[[#This Row],[LC Premium]]&gt;0,SnapshotTable[[#This Row],[LC Strike Price]] + SnapshotTable[[#This Row],[LC Book Price]],"")</f>
        <v/>
      </c>
      <c r="DU77" s="9" t="str">
        <f>IF(AND(SnapshotTable[[#This Row],[LC Symbol Count]]&gt;0, SnapshotTable[[#This Row],[LC Contract Value]]&gt;0), SnapshotTable[[#This Row],[LC Contract Value]] * SnapshotTable[[#This Row],[LC Qty]] * 100, "")</f>
        <v/>
      </c>
      <c r="DV77" s="9" t="str">
        <f>IF(AND(ISNUMBER(SnapshotTable[[#This Row],[LC Total Value]]), SnapshotTable[[#This Row],[LC Not Filled]]&lt;&gt;"Y"), SnapshotTable[[#This Row],[LC Total Value]]-SnapshotTable[[#This Row],[LC Premium]],"")</f>
        <v/>
      </c>
      <c r="DW77" s="225" t="str">
        <f>IF(ISNUMBER(SnapshotTable[[#This Row],[LC Actual Gain Loss]]), SnapshotTable[[#This Row],[LC Actual Gain Loss]] / SnapshotTable[[#This Row],[LC Premium]],"")</f>
        <v/>
      </c>
      <c r="DX77" s="269" t="str">
        <f>IF(ISNUMBER(SnapshotTable[[#This Row],[LC Book Price]]),SnapshotTable[[#This Row],[LC Book Price]] * 1.5,"")</f>
        <v/>
      </c>
      <c r="DY77" s="250" t="str">
        <f>IF(SnapshotTable[[#This Row],[LC Premium]]&gt;0, SnapshotTable[[#This Row],[LC Next Target]] * SnapshotTable[[#This Row],[LC Qty]] * 100,"")</f>
        <v/>
      </c>
      <c r="DZ77" s="250" t="str">
        <f>IF(ISNUMBER(SnapshotTable[[#This Row],[LC Target Gross]]), SnapshotTable[[#This Row],[LC Target Gross]] - SnapshotTable[[#This Row],[LC Premium]], "")</f>
        <v/>
      </c>
      <c r="EA77" s="283" t="str">
        <f>IF(ISNUMBER(SnapshotTable[[#This Row],[LC Target Gain Loss]]), SnapshotTable[[#This Row],[LC Target Gain Loss]]/SnapshotTable[[#This Row],[LC Premium]], "")</f>
        <v/>
      </c>
      <c r="EB77" s="247"/>
      <c r="EC77" s="268" t="str">
        <f>IF(SnapshotTable[[#This Row],[LC Premium]]&gt;0, SnapshotTable[[#This Row],[LC Book Price]] * (1 - LC_StopLoss_Pct),"")</f>
        <v/>
      </c>
      <c r="ED77" s="269"/>
      <c r="EE77" s="268" t="str">
        <f>IF(ISNUMBER(SnapshotTable[[#This Row],[LC Contract Value]]),IF(ISNUMBER(SnapshotTable[[#This Row],[LC Stop Loss Override]]), SnapshotTable[[#This Row],[LC Stop Loss Override]],SnapshotTable[[#This Row],[LC Stop Loss Calc Target]]),"")</f>
        <v/>
      </c>
      <c r="EF77" s="31" t="str">
        <f>IF(ISNUMBER(SnapshotTable[[#This Row],[LC Stop  To Use]]), (SnapshotTable[[#This Row],[LC Stop  To Use]] * SnapshotTable[[#This Row],[LC Qty]] * 100),"")</f>
        <v/>
      </c>
      <c r="EG77" s="9" t="str">
        <f>IF(ISNUMBER(SnapshotTable[[#This Row],[LC Total Value]]),SnapshotTable[[#This Row],[LC Stop Loss Amount]] - SnapshotTable[[#This Row],[LC Premium]],"")</f>
        <v/>
      </c>
      <c r="EH77" s="9">
        <f>IF(ISNUMBER(SnapshotTable[[#This Row],[LC Premium]]), SnapshotTable[[#This Row],[LC Qty]] * 100 * SnapshotTable[[#This Row],[LC Strike Price]], "")</f>
        <v>0</v>
      </c>
      <c r="EI77" s="225" t="str">
        <f>IF(AND(ISNUMBER(SnapshotTable[[#This Row],[LC Total Value]]),SnapshotTable[[#This Row],[LC Total Value]]&gt;0),SnapshotTable[[#This Row],[LC Stop Gain Loss]]  / SnapshotTable[[#This Row],[LC Premium]],"")</f>
        <v/>
      </c>
      <c r="EJ77" s="35">
        <f>IF(ISNUMBER(SnapshotTable[[#This Row],[Equity Shares]]),TRUNC(SnapshotTable[[#This Row],[Equity Shares]] / 100),0) + SnapshotTable[[#This Row],[LC Qty]]</f>
        <v>0</v>
      </c>
      <c r="EK77" s="145"/>
      <c r="EL77" s="136"/>
      <c r="EM77" s="146"/>
      <c r="EN77" s="145"/>
      <c r="EO77" s="145"/>
      <c r="EP77" s="136"/>
      <c r="EQ77" s="382" t="b">
        <f>AND(ISNUMBER(SnapshotTable[[#This Row],[SC Exp Date]]), ISNUMBER(SnapshotTable[[#This Row],[SC Strike Price]]), ISNUMBER(SnapshotTable[[#This Row],[SC Qty]]), ISNUMBER(SnapshotTable[[#This Row],[SC Book Date]]), ISNUMBER(SnapshotTable[[#This Row],[SC Book Price]]))</f>
        <v>0</v>
      </c>
      <c r="ER77" s="382" t="b">
        <f>AND(SnapshotTable[[#This Row],[SC Is Booked]], NOT(ISBLANK(SnapshotTable[[#This Row],[SC Fill Date]])))</f>
        <v>0</v>
      </c>
      <c r="ES77" s="340"/>
      <c r="ET77" s="34" t="str">
        <f>IF(AND(ISNUMBER(SnapshotTable[[#This Row],[SC Exp Date]]), ISNUMBER(SnapshotTable[[#This Row],[SC Book Date]])), SnapshotTable[[#This Row],[SC Exp Date]] - MAX(SnapshotTable[[#This Row],[SC Book Date]], SnapshotTable[[#This Row],[SC Fill Date]]) + 1, "")</f>
        <v/>
      </c>
      <c r="EU77" s="34" t="str">
        <f>IF(ISNUMBER(SnapshotTable[[#This Row],[SC Term]]), SnapshotTable[[#This Row],[SC Exp Date]]- MockToday, "")</f>
        <v/>
      </c>
      <c r="EV77" s="31">
        <f>IF(SnapshotTable[[#This Row],[SC Is Booked]], SnapshotTable[[#This Row],[SC Qty]] * SnapshotTable[[#This Row],[SC Book Price]] * 100, 0)</f>
        <v>0</v>
      </c>
      <c r="EW77" s="4" t="str">
        <f>IF(AND(ISNUMBER(SnapshotTable[[#This Row],[Last Price]]), ISNUMBER( SnapshotTable[[#This Row],[SC Book Price]])), SnapshotTable[[#This Row],[Last Price]] - SnapshotTable[[#This Row],[SC Book Price]],"")</f>
        <v/>
      </c>
      <c r="EX77" s="219" t="str">
        <f>IF(SnapshotTable[[#This Row],[SC Is Booked]],IF(SnapshotTable[[#This Row],[SC Intrinsic Value]] &gt; 0, SnapshotTable[[#This Row],[SC Strike Price]], SnapshotTable[[#This Row],[Last Price]]), "")</f>
        <v/>
      </c>
      <c r="EY77" s="4">
        <f>IF(SnapshotTable[[#This Row],[SC Is Booked]], (MinimumPremiumRequired * SnapshotTable[[#This Row],[SC Basis]] * SnapshotTable[[#This Row],[SC Term]]), 0)</f>
        <v>0</v>
      </c>
      <c r="EZ77" s="268"/>
      <c r="FA77" s="204"/>
      <c r="FB77" s="340"/>
      <c r="FC77" s="4">
        <f>IF(SnapshotTable[[#This Row],[SC Is Filled]], btc_max_buyback_amount(SnapshotTable[[#This Row],[SC Fill Date]],SnapshotTable[[#This Row],[SC Exp Date]], SnapshotTable[[#This Row],[SC Book Price]]),0)</f>
        <v>0</v>
      </c>
      <c r="FD77" s="5"/>
      <c r="FE77" s="142" t="str">
        <f>IF(SnapshotTable[[#This Row],[SC Is Filled]], btc_next_cutoff_date(SnapshotTable[[#This Row],[SC Fill Date]],SnapshotTable[[#This Row],[SC Exp Date]]),"")</f>
        <v/>
      </c>
      <c r="FF77" s="4" t="str" cm="1">
        <f t="array" ref="FF77">IF(SnapshotTable[[#This Row],[SC Is Filled]], btc_should_buy_back(SnapshotTable[[#This Row],[SC Fill Date]], SnapshotTable[[#This Row],[SC Exp Date]], SnapshotTable[[#This Row],[SC Book Price]], SnapshotTable[[#This Row],[SC Current Ask]], MockToday, SnapshotTable[[#This Row],[SC Buyback Override]]),"")</f>
        <v/>
      </c>
      <c r="FG77" s="4">
        <f>IF(SnapshotTable[[#This Row],[SC Is Filled]], MAX(0,SnapshotTable[[#This Row],[Last Price]]  - SnapshotTable[[#This Row],[SC Strike Price]]), 0)</f>
        <v>0</v>
      </c>
      <c r="FH77" s="352">
        <f>IF(SnapshotTable[[#This Row],[SC Is Filled]], IF(ISNUMBER(SnapshotTable[[#This Row],[SC Current Ask]]), SnapshotTable[[#This Row],[SC Current Ask]], SnapshotTable[[#This Row],[SC Book Price]]) - SnapshotTable[[#This Row],[SC Intrinsic Value]], 0)</f>
        <v>0</v>
      </c>
      <c r="FI77" s="141"/>
      <c r="FJ77" s="32" t="str">
        <f>IF(SnapshotTable[[#This Row],[SC Is Filled]],100 * SnapshotTable[[#This Row],[SC Qty]] * IF(ISNUMBER(SnapshotTable[[#This Row],[SC Buyback Override]]), SnapshotTable[[#This Row],[SC Buyback Override]], SnapshotTable[[#This Row],[SC Current Ask]]), "")</f>
        <v/>
      </c>
      <c r="FK77" s="235" t="str">
        <f>IF(SnapshotTable[[#This Row],[SC Time Val]]&gt;0, SnapshotTable[[#This Row],[SC Time Val]] / SnapshotTable[[#This Row],[Last Price]],"")</f>
        <v/>
      </c>
      <c r="FL77" s="280" t="str">
        <f>IF(SnapshotTable[[#This Row],[SC Is Booked]], ((SnapshotTable[[#This Row],[Last Price]] -SnapshotTable[[#This Row],[SC Strike Price]]) / SnapshotTable[[#This Row],[Last Price]]) * -1, "")</f>
        <v/>
      </c>
      <c r="FM77" s="155" t="str">
        <f>IF(SnapshotTable[[#This Row],[SC Is Booked]],  (SnapshotTable[[#This Row],[SC Qty]] * 100 * SnapshotTable[[#This Row],[SC Strike Price]]) - SnapshotTable[[#This Row],[SC Current Ask]], "")</f>
        <v/>
      </c>
      <c r="FN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7" s="31" t="str">
        <f>IF(AND(ISNUMBER(SnapshotTable[[#This Row],[SC Exercise Gross]]), ISNUMBER(SnapshotTable[[#This Row],[Equity Basis Per Share]] )), SnapshotTable[[#This Row],[SC Exercise Gross]] - SnapshotTable[[#This Row],[Equity Basis Total]] +  SnapshotTable[[#This Row],[SC Premium]], "")</f>
        <v/>
      </c>
      <c r="FP77" s="5" t="str">
        <f>IF(ISNUMBER(SnapshotTable[[#This Row],[SC Exercise Gross]]), (SnapshotTable[[#This Row],[SC Exercise Gross]]) / (SnapshotTable[[#This Row],[SC Qty]] * 100), "")</f>
        <v/>
      </c>
      <c r="FQ77" s="27" t="str">
        <f>IF(SnapshotTable[[#This Row],[SC Is Booked]],SnapshotTable[[#This Row],[SC Time Val]] /SnapshotTable[[#This Row],[SC Basis]], "")</f>
        <v/>
      </c>
      <c r="FR77" s="27" t="str" cm="1">
        <f t="array" ref="FR77">IF(AND(ISNUMBER(SnapshotTable[[#This Row],[SC Term]]),ISNUMBER(SnapshotTable[[#This Row],[SC Simple ROO]])), EllmanAnnualize(SnapshotTable[[#This Row],[SC DTE]], SnapshotTable[[#This Row],[SC Simple ROO]] ),"")</f>
        <v/>
      </c>
      <c r="FS77" s="4">
        <f>IF(SnapshotTable[[#This Row],[SC Strike Price]] &gt; SnapshotTable[[#This Row],[Last Price]], SnapshotTable[[#This Row],[SC Strike Price]] - SnapshotTable[[#This Row],[Last Price]],0)</f>
        <v>0</v>
      </c>
      <c r="FT77" s="27" t="str">
        <f>IF(AND(ISNUMBER(SnapshotTable[[#This Row],[SC Upside Potential]]), SnapshotTable[[#This Row],[SC Upside Potential]] &gt; 0),(SnapshotTable[[#This Row],[SC Upside Potential]]/ SnapshotTable[[#This Row],[ACB]]),"")</f>
        <v/>
      </c>
      <c r="FU77" s="304" t="str">
        <f>IF(SnapshotTable[[#This Row],[SC Intrinsic Value]] &gt; 0,SnapshotTable[[#This Row],[SC Intrinsic Value]],"")</f>
        <v/>
      </c>
      <c r="FV77" s="27" t="str">
        <f>IF(AND( ISNUMBER( SnapshotTable[[#This Row],[ACB]]),ISNUMBER(SnapshotTable[[#This Row],[SC Downside Protect]])),SnapshotTable[[#This Row],[SC Downside Protect]] / SnapshotTable[[#This Row],[ACB]],"")</f>
        <v/>
      </c>
      <c r="FW77" s="221" t="str">
        <f>IF(AND(ISNUMBER(SnapshotTable[[#This Row],[SC Simple ROO]]),SnapshotTable[[#This Row],[SC Simple ROO]] &gt; 0), SnapshotTable[[#This Row],[SC Premium]] + (SnapshotTable[[#This Row],[SC Qty]] * SnapshotTable[[#This Row],[SC Upside Potential]]), "")</f>
        <v/>
      </c>
      <c r="FX77" s="280" t="str" cm="1">
        <f t="array" ref="FX77">IF(ISNUMBER(SnapshotTable[[#This Row],[SC Max Dollars]]), annualize(SnapshotTable[[#This Row],[SC Term]],(SnapshotTable[[#This Row],[SC Max Dollars]]/SnapshotTable[[#This Row],[SC Basis]])),"")</f>
        <v/>
      </c>
      <c r="FY77" s="221" t="str">
        <f>IF(AND(SnapshotTable[[#This Row],[SC Qty]]&gt;0,SnapshotTable[[#This Row],[SC Current Ask]]&gt;0), SnapshotTable[[#This Row],[SC Qty]] * SnapshotTable[[#This Row],[SC Current Ask]] * -100, "")</f>
        <v/>
      </c>
      <c r="FZ77" s="31" t="str">
        <f>IF(ISNUMBER((SnapshotTable[[#This Row],[SC Current Value]])), SnapshotTable[[#This Row],[SC Premium]] + SnapshotTable[[#This Row],[SC Current Value]], "")</f>
        <v/>
      </c>
      <c r="GA77" s="272" t="str">
        <f>IFERROR( IF(ISNUMBER((SnapshotTable[[#This Row],[SC Current Value]])), SnapshotTable[[#This Row],[SC Gain Loss]] / SnapshotTable[[#This Row],[SC Premium]], ""), "")</f>
        <v/>
      </c>
      <c r="GB77" s="42">
        <f>SnapshotTable[[#This Row],[Equity Shares]] * SaleSharesToConsiderPercentage</f>
        <v>0</v>
      </c>
      <c r="GC77" s="40">
        <f>SnapshotTable[[#This Row],[Long Term Target]] * SellingPriceToConsiderBasedOnTargetPercentage</f>
        <v>23.493500000000001</v>
      </c>
      <c r="GD77" s="40">
        <f>SnapshotTable[[#This Row],[Last Price]] * (1+ SellingPriceToConsiderBasedOnTargetPercentage)</f>
        <v>50.895000000000003</v>
      </c>
      <c r="GE77" s="41"/>
      <c r="GF77" s="40"/>
      <c r="GG77" s="31">
        <f>SnapshotTable[[#This Row],[Booked Sale Shares]] * SnapshotTable[[#This Row],[Booked Sale Price]]</f>
        <v>0</v>
      </c>
      <c r="GH77" s="31" t="str">
        <f>IF(SnapshotTable[[#This Row],[Equity Basis Total]] &gt; 0, SnapshotTable[[#This Row],[Equity Basis Per Share]] * SnapshotTable[[#This Row],[Booked Sale Shares]], "")</f>
        <v/>
      </c>
      <c r="GI77" s="31">
        <f>IF(SnapshotTable[[#This Row],[Sale Proceeds]]&gt;0, SnapshotTable[[#This Row],[Sale Proceeds]] - SnapshotTable[[#This Row],[Sale Basis]], 0)</f>
        <v>0</v>
      </c>
      <c r="GJ77" s="27" t="str">
        <f>IF(SnapshotTable[[#This Row],[Sale G/L]]&gt;0, SnapshotTable[[#This Row],[Sale G/L]] / SnapshotTable[[#This Row],[Sale Basis]], IF(ISNUMBER(SnapshotTable[[#This Row],[SC Exercise P&amp;L (TAX)]]), SnapshotTable[[#This Row],[SC Exercise P&amp;L (TAX)]] / SnapshotTable[[#This Row],[SC Basis]], ""))</f>
        <v/>
      </c>
      <c r="GK77" s="27" t="s">
        <v>540</v>
      </c>
      <c r="GL77" s="43" t="str">
        <f>IF(AND(SnapshotTable[[#This Row],[LP Exp Date]]&gt;0,SnapshotTable[[#This Row],[LP Strike Price]]&gt;0), [1]!ToOptionSymbol(SnapshotTable[[#This Row],[Symbol]], SnapshotTable[[#This Row],[LP Strike Price]],SnapshotTable[[#This Row],[LP Exp Date]],1), "")</f>
        <v/>
      </c>
      <c r="GM77" s="30" t="str">
        <f>IF(LEN(SnapshotTable[[#This Row],[LP Symbol]])&gt;0, 1, "")</f>
        <v/>
      </c>
      <c r="GN77" s="43" t="str">
        <f>IF(AND(SnapshotTable[[#This Row],[SP Exp Date]]&gt;0,SnapshotTable[[#This Row],[SP Strike Price]]&gt;0), [1]!ToOptionSymbol(SnapshotTable[[#This Row],[Symbol]], SnapshotTable[[#This Row],[SP Strike Price]],SnapshotTable[[#This Row],[SP Exp Date]],1), "")</f>
        <v/>
      </c>
      <c r="GO77" s="30" t="str">
        <f>IF(LEN(SnapshotTable[[#This Row],[SP Symbol]])&gt;0, 1, "")</f>
        <v/>
      </c>
      <c r="GP77" s="43" t="str">
        <f>IF(AND(SnapshotTable[[#This Row],[LC Exp Date]]&gt;0,SnapshotTable[[#This Row],[LC Strike Price]]&gt;0), [1]!ToOptionSymbol(SnapshotTable[[#This Row],[Symbol]], SnapshotTable[[#This Row],[LC Strike Price]],SnapshotTable[[#This Row],[LC Exp Date]],0), "")</f>
        <v/>
      </c>
      <c r="GQ77" s="30" t="str">
        <f>IF(LEN(SnapshotTable[[#This Row],[LC Symbol]])&gt;0, 1, "")</f>
        <v/>
      </c>
      <c r="GR77" s="43" t="str">
        <f>IF(AND(SnapshotTable[[#This Row],[SC Exp Date]]&gt;0,SnapshotTable[[#This Row],[SC Strike Price]]&gt;0), [1]!ToOptionSymbol(SnapshotTable[[#This Row],[Symbol]], SnapshotTable[[#This Row],[SC Strike Price]],SnapshotTable[[#This Row],[SC Exp Date]],0), "")</f>
        <v/>
      </c>
      <c r="GS77" s="30" t="str">
        <f>IF(LEN(SnapshotTable[[#This Row],[SC Symbol]])&gt;0, 1, "")</f>
        <v/>
      </c>
      <c r="GT77" s="29" t="str">
        <f>IF(COUNT(SnapshotTable[[#This Row],[LP Symbol Count]],SnapshotTable[[#This Row],[SP Symbol Count]],SnapshotTable[[#This Row],[LC Symbol Count]],SnapshotTable[[#This Row],[SC Symbol Count]])&gt;0, "Y", "")</f>
        <v/>
      </c>
      <c r="GU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7" s="216">
        <f>MAX(SnapshotTable[[#This Row],[Equity Basis Total]],SnapshotTable[[#This Row],[Equity Value]]) + (SnapshotTable[[#This Row],[SP Potential Spend]]- SnapshotTable[[#This Row],[SP Premium]] + SnapshotTable[[#This Row],[LP Premium]])+ (SnapshotTable[[#This Row],[LC Premium]] - SnapshotTable[[#This Row],[SC Premium]])</f>
        <v>0</v>
      </c>
      <c r="GW77" s="137" t="str">
        <f>IF(AND(SnapshotTable[[#This Row],[Exposure]] &lt;&gt; 0),SnapshotTable[[#This Row],[Exposure]] / SnapshotTable[[#Totals],[Exposure]], "")</f>
        <v/>
      </c>
      <c r="HE77" s="253"/>
      <c r="HF77" s="253"/>
      <c r="HK77" s="1"/>
      <c r="HL77" s="1"/>
      <c r="HM77" s="1"/>
      <c r="HN77" s="1"/>
      <c r="HO77" s="1"/>
      <c r="HP77" s="1"/>
    </row>
    <row r="78" spans="2:224" ht="12.75" hidden="1" customHeight="1" x14ac:dyDescent="0.25">
      <c r="B78" s="12" t="s">
        <v>943</v>
      </c>
      <c r="C78" s="385">
        <v>17.309999999999999</v>
      </c>
      <c r="D78" s="200" t="s">
        <v>690</v>
      </c>
      <c r="E78" s="39">
        <f>SnapshotTable[[#This Row],[Last Price]]*(1 -CrashDiscount)</f>
        <v>14.713499999999998</v>
      </c>
      <c r="F78" s="26" t="s">
        <v>36</v>
      </c>
      <c r="G78" s="26" t="s">
        <v>24</v>
      </c>
      <c r="H78" s="147"/>
      <c r="I78" s="186">
        <v>45708</v>
      </c>
      <c r="J78" s="187">
        <v>0.25</v>
      </c>
      <c r="K78" s="188"/>
      <c r="L78" s="297"/>
      <c r="M78" s="138"/>
      <c r="N78" s="138"/>
      <c r="O78" s="138"/>
      <c r="P78" s="22"/>
      <c r="Q78" s="25"/>
      <c r="R78" s="4" t="str">
        <f>IF(SnapshotTable[[#This Row],[Equity Basis Total]] &gt; 0, SnapshotTable[[#This Row],[Equity Basis Total]] / SnapshotTable[[#This Row],[Equity Shares]], "")</f>
        <v/>
      </c>
      <c r="S78" s="254">
        <f>SnapshotTable[[#This Row],[Last Price]] * SnapshotTable[[#This Row],[Equity Shares]]</f>
        <v>0</v>
      </c>
      <c r="T78" s="254">
        <f>SnapshotTable[[#This Row],[Equity Value]] - SnapshotTable[[#This Row],[Equity Basis Total]]</f>
        <v>0</v>
      </c>
      <c r="U78" s="255" t="str">
        <f>IF(SnapshotTable[[#This Row],[Equity Basis Total]] &gt; 0, SnapshotTable[[#This Row],[Equity G/L]] / SnapshotTable[[#This Row],[Equity Basis Total]], "")</f>
        <v/>
      </c>
      <c r="V78" s="253"/>
      <c r="W78" s="253"/>
      <c r="X78" s="4" t="str">
        <f>IF(AND(ISNUMBER(SnapshotTable[[#This Row],[Equity Basis Per Share]]),ISNUMBER(SnapshotTable[[#This Row],[Equity Target]])),SnapshotTable[[#This Row],[Equity Target]]-SnapshotTable[[#This Row],[Equity Basis Per Share]],"")</f>
        <v/>
      </c>
      <c r="Y78" s="4" t="str">
        <f>IF(AND(ISNUMBER(SnapshotTable[[#This Row],[Equity Basis Per Share]]),ISNUMBER(SnapshotTable[[#This Row],[Equity Stop Loss]])),SnapshotTable[[#This Row],[Equity Stop Loss]]-SnapshotTable[[#This Row],[Equity Basis Per Share]],"")</f>
        <v/>
      </c>
      <c r="Z78" s="260" t="str">
        <f>IFERROR( TEXT(SnapshotTable[[#This Row],[Equity Max Gain Per Share]] /ABS( SnapshotTable[[#This Row],[Equity Max Loss Per Share]]),"0.0 " ) &amp; " : 1", "")</f>
        <v/>
      </c>
      <c r="AA78" s="31" t="str">
        <f>IF(ISNUMBER(SnapshotTable[[#This Row],[Equity Max Gain Per Share]]),SnapshotTable[[#This Row],[Equity Max Gain Per Share]] * SnapshotTable[[#This Row],[Equity Shares]],"")</f>
        <v/>
      </c>
      <c r="AB78" s="31" t="str">
        <f>IF(ISNUMBER(SnapshotTable[[#This Row],[Equity Max Loss Per Share]]),SnapshotTable[[#This Row],[Equity Max Loss Per Share]] * SnapshotTable[[#This Row],[Equity Shares]],"")</f>
        <v/>
      </c>
      <c r="AC78" s="148"/>
      <c r="AD78" s="149"/>
      <c r="AE78" s="31">
        <f>(SnapshotTable[[#This Row],[Annual Dividend Per Share]] / 4) * SnapshotTable[[#This Row],[Equity Shares]]</f>
        <v>0</v>
      </c>
      <c r="AF78" s="31">
        <f>SnapshotTable[[#This Row],[Quarterly Div $]] * 4</f>
        <v>0</v>
      </c>
      <c r="AG78" s="7">
        <f>IF(SnapshotTable[[#This Row],[Annual Dividend Per Share]]&gt;0, SnapshotTable[[#This Row],[Annual Dividend Per Share]]  / SnapshotTable[[#This Row],[Last Price]], 0)</f>
        <v>0</v>
      </c>
      <c r="AH78" s="149"/>
      <c r="AI78" s="5"/>
      <c r="AJ78" s="136"/>
      <c r="AK78" s="150" t="str">
        <f>IF(ISNUMBER( SnapshotTable[[#This Row],[EBF Target]]),(SnapshotTable[[#This Row],[EBF Target]] - SnapshotTable[[#This Row],[Last Price]]) / SnapshotTable[[#This Row],[Last Price]], "")</f>
        <v/>
      </c>
      <c r="AL78" s="150" t="str">
        <f>IF(AND(SnapshotTable[[#This Row],[Equity Basis Total]] &gt; 0,ISNUMBER( SnapshotTable[[#This Row],[Long Term Target]])), SnapshotTable[[#This Row],[From Basis $]] / SnapshotTable[[#This Row],[Equity Basis Total]], "")</f>
        <v/>
      </c>
      <c r="AM78" s="9">
        <f>IF( AND(SnapshotTable[[#This Row],[Equity Shares]] &gt;0,ISNUMBER( SnapshotTable[[#This Row],[Long Term Target]])),(SnapshotTable[[#This Row],[Equity Shares]] * SnapshotTable[[#This Row],[Long Term Target]]) - SnapshotTable[[#This Row],[Equity Basis Total]],0)</f>
        <v>0</v>
      </c>
      <c r="AN78" s="9">
        <f>IF( AND(SnapshotTable[[#This Row],[Equity Shares]] &gt;0,ISNUMBER( SnapshotTable[[#This Row],[Long Term Target]])),(SnapshotTable[[#This Row],[Equity Shares]]*SnapshotTable[[#This Row],[Long Term Target]]) - SnapshotTable[[#This Row],[Equity Value]],0)</f>
        <v>0</v>
      </c>
      <c r="AO78" s="150" t="str">
        <f>IF(AND(ISNUMBER( SnapshotTable[[#This Row],[Long Term Target]]), ISNUMBER(SnapshotTable[[#This Row],[Last Price]])),(SnapshotTable[[#This Row],[Long Term Target]] - SnapshotTable[[#This Row],[Last Price]]) / SnapshotTable[[#This Row],[Last Price]], "")</f>
        <v/>
      </c>
      <c r="AP78" s="5"/>
      <c r="AQ78" s="38" t="s">
        <v>16</v>
      </c>
      <c r="AR78" s="5"/>
      <c r="AS78" s="38" t="s">
        <v>15</v>
      </c>
      <c r="AT78" s="144" t="s">
        <v>438</v>
      </c>
      <c r="AU78" s="185" t="str">
        <f>IF(OR(SnapshotTable[[#This Row],[LP No Fill]]="Y",SnapshotTable[[#This Row],[SP Is Filled]],SnapshotTable[[#This Row],[LC Not Filled]]="Y",SnapshotTable[[#This Row],[SC Is Filled]]),"Y","")</f>
        <v/>
      </c>
      <c r="AV78" s="368"/>
      <c r="AW78" s="211"/>
      <c r="AX78" s="206"/>
      <c r="AY78" s="205" t="str">
        <f>IF(SnapshotTable[[#This Row],[Implied Move]]&gt;0, SnapshotTable[[#This Row],[Last Price]]-SnapshotTable[[#This Row],[Implied Move]],"")</f>
        <v/>
      </c>
      <c r="AZ78" s="205" t="str">
        <f>IF(SnapshotTable[[#This Row],[Implied Move]]&gt;0, SnapshotTable[[#This Row],[Last Price]] + SnapshotTable[[#This Row],[Implied Move]],"")</f>
        <v/>
      </c>
      <c r="BA78" s="302">
        <v>15.69</v>
      </c>
      <c r="BB78" s="318" t="s">
        <v>891</v>
      </c>
      <c r="BC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8" s="321"/>
      <c r="BE78" s="136"/>
      <c r="BF78" s="164"/>
      <c r="BG78" s="165"/>
      <c r="BH78" s="165"/>
      <c r="BI78" s="207"/>
      <c r="BJ78" s="151">
        <f>IF(SnapshotTable[[#This Row],[LP Qty]] &gt; 0, SnapshotTable[[#This Row],[LP Qty]] * SnapshotTable[[#This Row],[LP Book Price]] * 100,0)</f>
        <v>0</v>
      </c>
      <c r="BK78" s="134">
        <f>IF(SnapshotTable[[#This Row],[LP Premium]] &gt; 0, SnapshotTable[[#This Row],[LP Qty]] * SnapshotTable[[#This Row],[LP Strike Price]] * 100,0)</f>
        <v>0</v>
      </c>
      <c r="BL78" s="152"/>
      <c r="BM78" s="355" t="str">
        <f>IF(SnapshotTable[[#This Row],[LP Premium]] &gt; 0,SnapshotTable[[#This Row],[LP Exp Date]]-MAX(SnapshotTable[[#This Row],[LP Book Date]], SnapshotTable[[#This Row],[LP Fill Date]]),"")</f>
        <v/>
      </c>
      <c r="BN78" s="355" t="str">
        <f>IF(ISNUMBER( SnapshotTable[[#This Row],[LP Term]]), SnapshotTable[[#This Row],[LP Exp Date]] - MockToday,"")</f>
        <v/>
      </c>
      <c r="BO78" s="161" t="str">
        <f>IF(AND(SnapshotTable[[#This Row],[LP Exp Date]]&gt;0, SnapshotTable[[#This Row],[LP Strike Price]]&gt;0,SnapshotTable[[#This Row],[LP Qty]]&gt;0,SnapshotTable[[#This Row],[LP Book Date]]&gt;0,SnapshotTable[[#This Row],[LP Book Price]]&gt;0,SnapshotTable[[#This Row],[LP Fill Date]]=0),"Y","")</f>
        <v/>
      </c>
      <c r="BP78" s="31" t="str">
        <f>IF(AND(SnapshotTable[[#This Row],[LP No Fill]]&lt;&gt;"Y",SnapshotTable[[#This Row],[LP Contract Value]]&gt;0, SnapshotTable[[#This Row],[LP Qty]]&gt;0), SnapshotTable[[#This Row],[LP Contract Value]]*SnapshotTable[[#This Row],[LP Qty]]*100,"")</f>
        <v/>
      </c>
      <c r="BQ78" s="13"/>
      <c r="BR78" s="5"/>
      <c r="BS78" s="36"/>
      <c r="BT78" s="145"/>
      <c r="BU78" s="13"/>
      <c r="BV78" s="5"/>
      <c r="BW78" s="382" t="b">
        <f>AND(ISNUMBER(SnapshotTable[[#This Row],[SP Exp Date]]), ISNUMBER(SnapshotTable[[#This Row],[SP Strike Price]]), ISNUMBER(SnapshotTable[[#This Row],[SP Qty]]), ISNUMBER(SnapshotTable[[#This Row],[SP Book Date]]), ISNUMBER(SnapshotTable[[#This Row],[SP Book Price]]))</f>
        <v>0</v>
      </c>
      <c r="BX78" s="382" t="b">
        <f>AND(SnapshotTable[[#This Row],[SP Is Booked]], NOT(ISBLANK(SnapshotTable[[#This Row],[SP Fill Date]])))</f>
        <v>0</v>
      </c>
      <c r="BY78" s="33">
        <f>IF(SnapshotTable[[#This Row],[SP Is Booked]], SnapshotTable[[#This Row],[SP Qty]] * SnapshotTable[[#This Row],[SP Book Price]] * 100, 0)</f>
        <v>0</v>
      </c>
      <c r="BZ78" s="339"/>
      <c r="CA78" s="338">
        <f>SnapshotTable[[#This Row],[LP Qty]]</f>
        <v>0</v>
      </c>
      <c r="CB78" s="4" t="str">
        <f>IF(SnapshotTable[[#This Row],[SP Is Booked]], SnapshotTable[[#This Row],[SP Strike Price]] - SnapshotTable[[#This Row],[SP Book Price]], "")</f>
        <v/>
      </c>
      <c r="CC78" s="19" t="str">
        <f>IF(SnapshotTable[[#This Row],[SP Is Booked]],SnapshotTable[[#This Row],[SP Exp Date]]-MAX(SnapshotTable[[#This Row],[SP Book Date]], SnapshotTable[[#This Row],[SP Fill Date]]),"")</f>
        <v/>
      </c>
      <c r="CD78" s="7" t="str">
        <f>IF(SnapshotTable[[#This Row],[SP Is Booked]], SnapshotTable[[#This Row],[SP Book Price]]/SnapshotTable[[#This Row],[SP Strike Price]], "")</f>
        <v/>
      </c>
      <c r="CE78" s="7" t="str">
        <f>IF(ISNUMBER(SnapshotTable[[#This Row],[SP ROO Term]]),SnapshotTable[[#This Row],[SP ROO Term]]*(365/SnapshotTable[[#This Row],[SP Term]]),"")</f>
        <v/>
      </c>
      <c r="CF78" s="221">
        <f>SnapshotTable[[#This Row],[LP Strike Price]] * SnapshotTable[[#This Row],[LP Qty]] * 100</f>
        <v>0</v>
      </c>
      <c r="CG78" s="31">
        <f>IF(ISNUMBER(SnapshotTable[[#This Row],[SP Premium]]), (SnapshotTable[[#This Row],[SP Qty]] * SnapshotTable[[#This Row],[SP Strike Price]]* 100) - SnapshotTable[[#This Row],[LP Protection]], 0)</f>
        <v>0</v>
      </c>
      <c r="CH78" s="7" t="str">
        <f>IF(ISNUMBER(SnapshotTable[[#This Row],[SP Break Even]]),-1 * (SnapshotTable[[#This Row],[SP Break Even]] - SnapshotTable[[#This Row],[Last Price]]) / SnapshotTable[[#This Row],[Last Price]], "")</f>
        <v/>
      </c>
      <c r="CI78" s="31">
        <f>IF(AND(ISNUMBER((SnapshotTable[[#This Row],[SP Potential Spend]])), SnapshotTable[[#This Row],[SP Strike Price]] &gt; SnapshotTable[[#This Row],[Last Price]], SnapshotTable[[#This Row],[SP Is Filled]]), SnapshotTable[[#This Row],[SP Potential Spend]] -  SnapshotTable[[#This Row],[LP Max Value]], 0)</f>
        <v>0</v>
      </c>
      <c r="CJ78" s="229"/>
      <c r="CK78" s="31">
        <f>IF(ISNUMBER(SnapshotTable[[#This Row],[SP Potential Spend]]),IF(ISNUMBER(SnapshotTable[[#This Row],[SP POW]]), SnapshotTable[[#This Row],[SP POW]] * SnapshotTable[[#This Row],[SP Potential Spend]], SnapshotTable[[#This Row],[SP Potential Spend]]), "")</f>
        <v>0</v>
      </c>
      <c r="CL78" s="162">
        <f>IF(NOT(SnapshotTable[[#This Row],[SP Is Filled]]),(SnapshotTable[[#This Row],[SP Qty]] * SnapshotTable[[#This Row],[SP Strike Price]] * 100) - SnapshotTable[[#This Row],[LP Max Value]],"")</f>
        <v>0</v>
      </c>
      <c r="CM78" s="31" t="str">
        <f>IF(SnapshotTable[[#This Row],[SP Actual Spend]]&lt;&gt;0, ((SnapshotTable[[#This Row],[SP Strike Price]]-SnapshotTable[[#This Row],[Last Price]]) *(SnapshotTable[[#This Row],[SP Qty]]*100) - SnapshotTable[[#This Row],[SP Premium]]) * - 1, "")</f>
        <v/>
      </c>
      <c r="CN78" s="152"/>
      <c r="CO78" s="339"/>
      <c r="CP78" s="4" t="str">
        <f>IF(SnapshotTable[[#This Row],[SP Is Filled]], btc_max_buyback_amount(SnapshotTable[[#This Row],[SP Fill Date]],SnapshotTable[[#This Row],[SP Exp Date]], SnapshotTable[[#This Row],[SP Book Price]]),"")</f>
        <v/>
      </c>
      <c r="CQ78" s="76"/>
      <c r="CR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8" s="153" t="str">
        <f>IF(SnapshotTable[[#This Row],[SP Is Filled]], btc_next_cutoff_date(SnapshotTable[[#This Row],[SP Fill Date]],SnapshotTable[[#This Row],[SP Exp Date]]),"")</f>
        <v/>
      </c>
      <c r="CT78" s="220" t="str" cm="1">
        <f t="array" ref="CT78">IF(SnapshotTable[[#This Row],[SP Is Filled]], btc_should_buy_back(SnapshotTable[[#This Row],[SP Fill Date]], SnapshotTable[[#This Row],[SP Exp Date]], SnapshotTable[[#This Row],[SP Book Price]], SnapshotTable[[#This Row],[SP Current Ask]], MockToday, SnapshotTable[[#This Row],[SP Buyback Override]]),"")</f>
        <v/>
      </c>
      <c r="CU78" s="154"/>
      <c r="CV78" s="220"/>
      <c r="CW78" s="348" t="str">
        <f>IF(ISNUMBER( SnapshotTable[[#This Row],[SP Term]]), SnapshotTable[[#This Row],[SP Exp Date]] - MockToday,"")</f>
        <v/>
      </c>
      <c r="CX78" s="31" t="str">
        <f>IF(SnapshotTable[[#This Row],[SP Is Filled]],SnapshotTable[[#This Row],[SP Buyback Price to Use]] * 100 * SnapshotTable[[#This Row],[SP Qty]], "")</f>
        <v/>
      </c>
      <c r="CY78" s="4" t="str">
        <f>IF(ISNUMBER(SnapshotTable[[#This Row],[SP Strike Price]]), SnapshotTable[[#This Row],[SP Strike Price]] * (1 - SP_MaxLoss_StrikePct), "")</f>
        <v/>
      </c>
      <c r="CZ78" s="31" t="str">
        <f>IF(ISNUMBER(SnapshotTable[[#This Row],[SP Strike  Stop Per Share]]),SnapshotTable[[#This Row],[SP Premium]] - ((SnapshotTable[[#This Row],[SP Strike Price]]-SnapshotTable[[#This Row],[SP Strike  Stop Per Share]]) *(SnapshotTable[[#This Row],[SP Qty]] * 100)),"")</f>
        <v/>
      </c>
      <c r="DA78" s="4" t="str">
        <f>IF(AND(ISNUMBER(SnapshotTable[[#This Row],[SP Premium]]),SnapshotTable[[#This Row],[SP Premium]]&gt;0), SnapshotTable[[#This Row],[SP Book Price]] * (1 + SP_MaxLoss_OptionPct), "")</f>
        <v/>
      </c>
      <c r="DB78" s="31" t="str">
        <f>IF(ISNUMBER(SnapshotTable[[#This Row],[SP Option  Stop Contract]]),(SnapshotTable[[#This Row],[SP Option  Stop Contract]] *(SnapshotTable[[#This Row],[SP Qty]] * 100) - SnapshotTable[[#This Row],[SP Premium]]),"")</f>
        <v/>
      </c>
      <c r="DC78" s="4"/>
      <c r="DD78" s="4"/>
      <c r="DE78" s="4" t="str">
        <f>IF(AND(SnapshotTable[[#This Row],[SP Qty]]&gt;0, SnapshotTable[[#This Row],[SP Stop To Use]]&gt;0),SnapshotTable[[#This Row],[SP Premium]] - ( SnapshotTable[[#This Row],[SP Qty]] * SnapshotTable[[#This Row],[SP Stop To Use]] * 100), "")</f>
        <v/>
      </c>
      <c r="DF78" s="31" t="str">
        <f>IF(AND(SnapshotTable[[#This Row],[SP Qty]]&gt;0,SnapshotTable[[#This Row],[SP Current Ask]]&gt;0), SnapshotTable[[#This Row],[SP Qty]] * SnapshotTable[[#This Row],[SP Current Ask]] * -100, "")</f>
        <v/>
      </c>
      <c r="DG78" s="31" t="str">
        <f>IF(ISNUMBER((SnapshotTable[[#This Row],[SP Total Value]])), SnapshotTable[[#This Row],[SP Premium]] + SnapshotTable[[#This Row],[SP Total Value]], "")</f>
        <v/>
      </c>
      <c r="DH78" s="272" t="str">
        <f>IF(ISNUMBER((SnapshotTable[[#This Row],[SP Total Value]])), SnapshotTable[[#This Row],[SP Gain Loss]] / SnapshotTable[[#This Row],[SP Premium]], "")</f>
        <v/>
      </c>
      <c r="DI78" s="369"/>
      <c r="DJ78" s="136"/>
      <c r="DK78" s="146"/>
      <c r="DL78" s="145"/>
      <c r="DM78" s="145"/>
      <c r="DO78" s="31">
        <f>IF(SnapshotTable[[#This Row],[LC Symbol Count]]=1, SnapshotTable[[#This Row],[LC Qty]] * SnapshotTable[[#This Row],[LC Book Price]] * 100, 0)</f>
        <v>0</v>
      </c>
      <c r="DP78" s="270" t="str">
        <f>IF(AND(SnapshotTable[[#This Row],[LC Exp Date]]&gt;0, SnapshotTable[[#This Row],[LC Strike Price]]&gt;0,SnapshotTable[[#This Row],[LC Qty]]&gt;0,SnapshotTable[[#This Row],[LC Book Date]]&gt;0,SnapshotTable[[#This Row],[LC Book Price]]&gt;0,SnapshotTable[[#This Row],[LC Fill Date]]=0),"Y","")</f>
        <v/>
      </c>
      <c r="DQ78" s="356" t="str">
        <f>IF(SnapshotTable[[#This Row],[LC Premium]] &gt; 0,SnapshotTable[[#This Row],[LC Exp Date]]-MAX(SnapshotTable[[#This Row],[LC Book Date]], SnapshotTable[[#This Row],[LC Fill Date]]),"")</f>
        <v/>
      </c>
      <c r="DR78" s="356" t="str">
        <f>IF(ISNUMBER(SnapshotTable[[#This Row],[LC Term]]), SnapshotTable[[#This Row],[LC Exp Date]] - MockToday, "")</f>
        <v/>
      </c>
      <c r="DS78" s="219" t="str">
        <f>IF(SnapshotTable[[#This Row],[LC Premium]]&gt;0,SnapshotTable[[#This Row],[LC Strike Price]] + SnapshotTable[[#This Row],[LC Book Price]],"")</f>
        <v/>
      </c>
      <c r="DU78" s="9" t="str">
        <f>IF(AND(SnapshotTable[[#This Row],[LC Symbol Count]]&gt;0, SnapshotTable[[#This Row],[LC Contract Value]]&gt;0), SnapshotTable[[#This Row],[LC Contract Value]] * SnapshotTable[[#This Row],[LC Qty]] * 100, "")</f>
        <v/>
      </c>
      <c r="DV78" s="9" t="str">
        <f>IF(AND(ISNUMBER(SnapshotTable[[#This Row],[LC Total Value]]), SnapshotTable[[#This Row],[LC Not Filled]]&lt;&gt;"Y"), SnapshotTable[[#This Row],[LC Total Value]]-SnapshotTable[[#This Row],[LC Premium]],"")</f>
        <v/>
      </c>
      <c r="DW78" s="225" t="str">
        <f>IF(ISNUMBER(SnapshotTable[[#This Row],[LC Actual Gain Loss]]), SnapshotTable[[#This Row],[LC Actual Gain Loss]] / SnapshotTable[[#This Row],[LC Premium]],"")</f>
        <v/>
      </c>
      <c r="DX78" s="269" t="str">
        <f>IF(ISNUMBER(SnapshotTable[[#This Row],[LC Book Price]]),SnapshotTable[[#This Row],[LC Book Price]] * 1.5,"")</f>
        <v/>
      </c>
      <c r="DY78" s="250" t="str">
        <f>IF(SnapshotTable[[#This Row],[LC Premium]]&gt;0, SnapshotTable[[#This Row],[LC Next Target]] * SnapshotTable[[#This Row],[LC Qty]] * 100,"")</f>
        <v/>
      </c>
      <c r="DZ78" s="250" t="str">
        <f>IF(ISNUMBER(SnapshotTable[[#This Row],[LC Target Gross]]), SnapshotTable[[#This Row],[LC Target Gross]] - SnapshotTable[[#This Row],[LC Premium]], "")</f>
        <v/>
      </c>
      <c r="EA78" s="283" t="str">
        <f>IF(ISNUMBER(SnapshotTable[[#This Row],[LC Target Gain Loss]]), SnapshotTable[[#This Row],[LC Target Gain Loss]]/SnapshotTable[[#This Row],[LC Premium]], "")</f>
        <v/>
      </c>
      <c r="EB78" s="247"/>
      <c r="EC78" s="268" t="str">
        <f>IF(SnapshotTable[[#This Row],[LC Premium]]&gt;0, SnapshotTable[[#This Row],[LC Book Price]] * (1 - LC_StopLoss_Pct),"")</f>
        <v/>
      </c>
      <c r="ED78" s="269"/>
      <c r="EE78" s="268" t="str">
        <f>IF(ISNUMBER(SnapshotTable[[#This Row],[LC Contract Value]]),IF(ISNUMBER(SnapshotTable[[#This Row],[LC Stop Loss Override]]), SnapshotTable[[#This Row],[LC Stop Loss Override]],SnapshotTable[[#This Row],[LC Stop Loss Calc Target]]),"")</f>
        <v/>
      </c>
      <c r="EF78" s="31" t="str">
        <f>IF(ISNUMBER(SnapshotTable[[#This Row],[LC Stop  To Use]]), (SnapshotTable[[#This Row],[LC Stop  To Use]] * SnapshotTable[[#This Row],[LC Qty]] * 100),"")</f>
        <v/>
      </c>
      <c r="EG78" s="9" t="str">
        <f>IF(ISNUMBER(SnapshotTable[[#This Row],[LC Total Value]]),SnapshotTable[[#This Row],[LC Stop Loss Amount]] - SnapshotTable[[#This Row],[LC Premium]],"")</f>
        <v/>
      </c>
      <c r="EH78" s="9">
        <f>IF(ISNUMBER(SnapshotTable[[#This Row],[LC Premium]]), SnapshotTable[[#This Row],[LC Qty]] * 100 * SnapshotTable[[#This Row],[LC Strike Price]], "")</f>
        <v>0</v>
      </c>
      <c r="EI78" s="225" t="str">
        <f>IF(AND(ISNUMBER(SnapshotTable[[#This Row],[LC Total Value]]),SnapshotTable[[#This Row],[LC Total Value]]&gt;0),SnapshotTable[[#This Row],[LC Stop Gain Loss]]  / SnapshotTable[[#This Row],[LC Premium]],"")</f>
        <v/>
      </c>
      <c r="EJ78" s="35">
        <f>IF(ISNUMBER(SnapshotTable[[#This Row],[Equity Shares]]),TRUNC(SnapshotTable[[#This Row],[Equity Shares]] / 100),0) + SnapshotTable[[#This Row],[LC Qty]]</f>
        <v>0</v>
      </c>
      <c r="EK78" s="145"/>
      <c r="EL78" s="136"/>
      <c r="EM78" s="146"/>
      <c r="EN78" s="145"/>
      <c r="EO78" s="145"/>
      <c r="EP78" s="136"/>
      <c r="EQ78" s="382" t="b">
        <f>AND(ISNUMBER(SnapshotTable[[#This Row],[SC Exp Date]]), ISNUMBER(SnapshotTable[[#This Row],[SC Strike Price]]), ISNUMBER(SnapshotTable[[#This Row],[SC Qty]]), ISNUMBER(SnapshotTable[[#This Row],[SC Book Date]]), ISNUMBER(SnapshotTable[[#This Row],[SC Book Price]]))</f>
        <v>0</v>
      </c>
      <c r="ER78" s="382" t="b">
        <f>AND(SnapshotTable[[#This Row],[SC Is Booked]], NOT(ISBLANK(SnapshotTable[[#This Row],[SC Fill Date]])))</f>
        <v>0</v>
      </c>
      <c r="ES78" s="340"/>
      <c r="ET78" s="34" t="str">
        <f>IF(AND(ISNUMBER(SnapshotTable[[#This Row],[SC Exp Date]]), ISNUMBER(SnapshotTable[[#This Row],[SC Book Date]])), SnapshotTable[[#This Row],[SC Exp Date]] - MAX(SnapshotTable[[#This Row],[SC Book Date]], SnapshotTable[[#This Row],[SC Fill Date]]) + 1, "")</f>
        <v/>
      </c>
      <c r="EU78" s="34" t="str">
        <f>IF(ISNUMBER(SnapshotTable[[#This Row],[SC Term]]), SnapshotTable[[#This Row],[SC Exp Date]]- MockToday, "")</f>
        <v/>
      </c>
      <c r="EV78" s="31">
        <f>IF(SnapshotTable[[#This Row],[SC Is Booked]], SnapshotTable[[#This Row],[SC Qty]] * SnapshotTable[[#This Row],[SC Book Price]] * 100, 0)</f>
        <v>0</v>
      </c>
      <c r="EW78" s="4" t="str">
        <f>IF(AND(ISNUMBER(SnapshotTable[[#This Row],[Last Price]]), ISNUMBER( SnapshotTable[[#This Row],[SC Book Price]])), SnapshotTable[[#This Row],[Last Price]] - SnapshotTable[[#This Row],[SC Book Price]],"")</f>
        <v/>
      </c>
      <c r="EX78" s="219" t="str">
        <f>IF(SnapshotTable[[#This Row],[SC Is Booked]],IF(SnapshotTable[[#This Row],[SC Intrinsic Value]] &gt; 0, SnapshotTable[[#This Row],[SC Strike Price]], SnapshotTable[[#This Row],[Last Price]]), "")</f>
        <v/>
      </c>
      <c r="EY78" s="4">
        <f>IF(SnapshotTable[[#This Row],[SC Is Booked]], (MinimumPremiumRequired * SnapshotTable[[#This Row],[SC Basis]] * SnapshotTable[[#This Row],[SC Term]]), 0)</f>
        <v>0</v>
      </c>
      <c r="EZ78" s="268"/>
      <c r="FA78" s="204"/>
      <c r="FB78" s="340"/>
      <c r="FC78" s="4">
        <f>IF(SnapshotTable[[#This Row],[SC Is Filled]], btc_max_buyback_amount(SnapshotTable[[#This Row],[SC Fill Date]],SnapshotTable[[#This Row],[SC Exp Date]], SnapshotTable[[#This Row],[SC Book Price]]),0)</f>
        <v>0</v>
      </c>
      <c r="FD78" s="5"/>
      <c r="FE78" s="142" t="str">
        <f>IF(SnapshotTable[[#This Row],[SC Is Filled]], btc_next_cutoff_date(SnapshotTable[[#This Row],[SC Fill Date]],SnapshotTable[[#This Row],[SC Exp Date]]),"")</f>
        <v/>
      </c>
      <c r="FF78" s="4" t="str" cm="1">
        <f t="array" ref="FF78">IF(SnapshotTable[[#This Row],[SC Is Filled]], btc_should_buy_back(SnapshotTable[[#This Row],[SC Fill Date]], SnapshotTable[[#This Row],[SC Exp Date]], SnapshotTable[[#This Row],[SC Book Price]], SnapshotTable[[#This Row],[SC Current Ask]], MockToday, SnapshotTable[[#This Row],[SC Buyback Override]]),"")</f>
        <v/>
      </c>
      <c r="FG78" s="4">
        <f>IF(SnapshotTable[[#This Row],[SC Is Filled]], MAX(0,SnapshotTable[[#This Row],[Last Price]]  - SnapshotTable[[#This Row],[SC Strike Price]]), 0)</f>
        <v>0</v>
      </c>
      <c r="FH78" s="352">
        <f>IF(SnapshotTable[[#This Row],[SC Is Filled]], IF(ISNUMBER(SnapshotTable[[#This Row],[SC Current Ask]]), SnapshotTable[[#This Row],[SC Current Ask]], SnapshotTable[[#This Row],[SC Book Price]]) - SnapshotTable[[#This Row],[SC Intrinsic Value]], 0)</f>
        <v>0</v>
      </c>
      <c r="FI78" s="141"/>
      <c r="FJ78" s="32" t="str">
        <f>IF(SnapshotTable[[#This Row],[SC Is Filled]],100 * SnapshotTable[[#This Row],[SC Qty]] * IF(ISNUMBER(SnapshotTable[[#This Row],[SC Buyback Override]]), SnapshotTable[[#This Row],[SC Buyback Override]], SnapshotTable[[#This Row],[SC Current Ask]]), "")</f>
        <v/>
      </c>
      <c r="FK78" s="235" t="str">
        <f>IF(SnapshotTable[[#This Row],[SC Time Val]]&gt;0, SnapshotTable[[#This Row],[SC Time Val]] / SnapshotTable[[#This Row],[Last Price]],"")</f>
        <v/>
      </c>
      <c r="FL78" s="280" t="str">
        <f>IF(SnapshotTable[[#This Row],[SC Is Booked]], ((SnapshotTable[[#This Row],[Last Price]] -SnapshotTable[[#This Row],[SC Strike Price]]) / SnapshotTable[[#This Row],[Last Price]]) * -1, "")</f>
        <v/>
      </c>
      <c r="FM78" s="155" t="str">
        <f>IF(SnapshotTable[[#This Row],[SC Is Booked]],  (SnapshotTable[[#This Row],[SC Qty]] * 100 * SnapshotTable[[#This Row],[SC Strike Price]]) - SnapshotTable[[#This Row],[SC Current Ask]], "")</f>
        <v/>
      </c>
      <c r="FN7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8" s="155" t="str">
        <f>IF(AND(ISNUMBER(SnapshotTable[[#This Row],[SC Exercise Gross]]), ISNUMBER(SnapshotTable[[#This Row],[Equity Basis Per Share]] )), SnapshotTable[[#This Row],[SC Exercise Gross]] - SnapshotTable[[#This Row],[Equity Basis Total]] +  SnapshotTable[[#This Row],[SC Premium]], "")</f>
        <v/>
      </c>
      <c r="FP78" s="5" t="str">
        <f>IF(ISNUMBER(SnapshotTable[[#This Row],[SC Exercise Gross]]), (SnapshotTable[[#This Row],[SC Exercise Gross]]) / (SnapshotTable[[#This Row],[SC Qty]] * 100), "")</f>
        <v/>
      </c>
      <c r="FQ78" s="27" t="str">
        <f>IF(SnapshotTable[[#This Row],[SC Is Booked]],SnapshotTable[[#This Row],[SC Time Val]] /SnapshotTable[[#This Row],[SC Basis]], "")</f>
        <v/>
      </c>
      <c r="FR78" s="27" t="str" cm="1">
        <f t="array" ref="FR78">IF(AND(ISNUMBER(SnapshotTable[[#This Row],[SC Term]]),ISNUMBER(SnapshotTable[[#This Row],[SC Simple ROO]])), EllmanAnnualize(SnapshotTable[[#This Row],[SC DTE]], SnapshotTable[[#This Row],[SC Simple ROO]] ),"")</f>
        <v/>
      </c>
      <c r="FS78" s="4">
        <f>IF(SnapshotTable[[#This Row],[SC Strike Price]] &gt; SnapshotTable[[#This Row],[Last Price]], SnapshotTable[[#This Row],[SC Strike Price]] - SnapshotTable[[#This Row],[Last Price]],0)</f>
        <v>0</v>
      </c>
      <c r="FT78" s="27" t="str">
        <f>IF(AND(ISNUMBER(SnapshotTable[[#This Row],[SC Upside Potential]]), SnapshotTable[[#This Row],[SC Upside Potential]] &gt; 0),(SnapshotTable[[#This Row],[SC Upside Potential]]/ SnapshotTable[[#This Row],[ACB]]),"")</f>
        <v/>
      </c>
      <c r="FU78" s="304" t="str">
        <f>IF(SnapshotTable[[#This Row],[SC Intrinsic Value]] &gt; 0,SnapshotTable[[#This Row],[SC Intrinsic Value]],"")</f>
        <v/>
      </c>
      <c r="FV78" s="27" t="str">
        <f>IF(AND( ISNUMBER( SnapshotTable[[#This Row],[ACB]]),ISNUMBER(SnapshotTable[[#This Row],[SC Downside Protect]])),SnapshotTable[[#This Row],[SC Downside Protect]] / SnapshotTable[[#This Row],[ACB]],"")</f>
        <v/>
      </c>
      <c r="FW78" s="221" t="str">
        <f>IF(AND(ISNUMBER(SnapshotTable[[#This Row],[SC Simple ROO]]),SnapshotTable[[#This Row],[SC Simple ROO]] &gt; 0), SnapshotTable[[#This Row],[SC Premium]] + (SnapshotTable[[#This Row],[SC Qty]] * SnapshotTable[[#This Row],[SC Upside Potential]]), "")</f>
        <v/>
      </c>
      <c r="FX78" s="280" t="str" cm="1">
        <f t="array" ref="FX78">IF(ISNUMBER(SnapshotTable[[#This Row],[SC Max Dollars]]), annualize(SnapshotTable[[#This Row],[SC Term]],(SnapshotTable[[#This Row],[SC Max Dollars]]/SnapshotTable[[#This Row],[SC Basis]])),"")</f>
        <v/>
      </c>
      <c r="FY78" s="221" t="str">
        <f>IF(AND(SnapshotTable[[#This Row],[SC Qty]]&gt;0,SnapshotTable[[#This Row],[SC Current Ask]]&gt;0), SnapshotTable[[#This Row],[SC Qty]] * SnapshotTable[[#This Row],[SC Current Ask]] * -100, "")</f>
        <v/>
      </c>
      <c r="FZ78" s="220" t="str">
        <f>IF(ISNUMBER((SnapshotTable[[#This Row],[SC Current Value]])), SnapshotTable[[#This Row],[SC Premium]] + SnapshotTable[[#This Row],[SC Current Value]], "")</f>
        <v/>
      </c>
      <c r="GA78" s="272" t="str">
        <f>IFERROR( IF(ISNUMBER((SnapshotTable[[#This Row],[SC Current Value]])), SnapshotTable[[#This Row],[SC Gain Loss]] / SnapshotTable[[#This Row],[SC Premium]], ""), "")</f>
        <v/>
      </c>
      <c r="GB78" s="42">
        <f>SnapshotTable[[#This Row],[Equity Shares]] * SaleSharesToConsiderPercentage</f>
        <v>0</v>
      </c>
      <c r="GC78" s="40">
        <f>SnapshotTable[[#This Row],[Long Term Target]] * SellingPriceToConsiderBasedOnTargetPercentage</f>
        <v>0</v>
      </c>
      <c r="GD78" s="40">
        <f>SnapshotTable[[#This Row],[Last Price]] * (1+ SellingPriceToConsiderBasedOnTargetPercentage)</f>
        <v>33.7545</v>
      </c>
      <c r="GE78" s="41"/>
      <c r="GF78" s="40"/>
      <c r="GG78" s="31">
        <f>SnapshotTable[[#This Row],[Booked Sale Shares]] * SnapshotTable[[#This Row],[Booked Sale Price]]</f>
        <v>0</v>
      </c>
      <c r="GH78" s="31" t="str">
        <f>IF(SnapshotTable[[#This Row],[Equity Basis Total]] &gt; 0, SnapshotTable[[#This Row],[Equity Basis Per Share]] * SnapshotTable[[#This Row],[Booked Sale Shares]], "")</f>
        <v/>
      </c>
      <c r="GI78" s="31">
        <f>IF(SnapshotTable[[#This Row],[Sale Proceeds]]&gt;0, SnapshotTable[[#This Row],[Sale Proceeds]] - SnapshotTable[[#This Row],[Sale Basis]], 0)</f>
        <v>0</v>
      </c>
      <c r="GJ78" s="156" t="str">
        <f>IF(SnapshotTable[[#This Row],[Sale G/L]]&gt;0, SnapshotTable[[#This Row],[Sale G/L]] / SnapshotTable[[#This Row],[Sale Basis]], IF(ISNUMBER(SnapshotTable[[#This Row],[SC Exercise P&amp;L (TAX)]]), SnapshotTable[[#This Row],[SC Exercise P&amp;L (TAX)]] / SnapshotTable[[#This Row],[SC Basis]], ""))</f>
        <v/>
      </c>
      <c r="GK78" s="27" t="s">
        <v>870</v>
      </c>
      <c r="GL78" s="157" t="str">
        <f>IF(AND(SnapshotTable[[#This Row],[LP Exp Date]]&gt;0,SnapshotTable[[#This Row],[LP Strike Price]]&gt;0), [1]!ToOptionSymbol(SnapshotTable[[#This Row],[Symbol]], SnapshotTable[[#This Row],[LP Strike Price]],SnapshotTable[[#This Row],[LP Exp Date]],1), "")</f>
        <v/>
      </c>
      <c r="GM78" s="30" t="str">
        <f>IF(LEN(SnapshotTable[[#This Row],[LP Symbol]])&gt;0, 1, "")</f>
        <v/>
      </c>
      <c r="GN78" s="43" t="str">
        <f>IF(AND(SnapshotTable[[#This Row],[SP Exp Date]]&gt;0,SnapshotTable[[#This Row],[SP Strike Price]]&gt;0), [1]!ToOptionSymbol(SnapshotTable[[#This Row],[Symbol]], SnapshotTable[[#This Row],[SP Strike Price]],SnapshotTable[[#This Row],[SP Exp Date]],1), "")</f>
        <v/>
      </c>
      <c r="GO78" s="30" t="str">
        <f>IF(LEN(SnapshotTable[[#This Row],[SP Symbol]])&gt;0, 1, "")</f>
        <v/>
      </c>
      <c r="GP78" s="157" t="str">
        <f>IF(AND(SnapshotTable[[#This Row],[LC Exp Date]]&gt;0,SnapshotTable[[#This Row],[LC Strike Price]]&gt;0), [1]!ToOptionSymbol(SnapshotTable[[#This Row],[Symbol]], SnapshotTable[[#This Row],[LC Strike Price]],SnapshotTable[[#This Row],[LC Exp Date]],0), "")</f>
        <v/>
      </c>
      <c r="GQ78" s="158" t="str">
        <f>IF(LEN(SnapshotTable[[#This Row],[LC Symbol]])&gt;0, 1, "")</f>
        <v/>
      </c>
      <c r="GR78" s="157" t="str">
        <f>IF(AND(SnapshotTable[[#This Row],[SC Exp Date]]&gt;0,SnapshotTable[[#This Row],[SC Strike Price]]&gt;0), [1]!ToOptionSymbol(SnapshotTable[[#This Row],[Symbol]], SnapshotTable[[#This Row],[SC Strike Price]],SnapshotTable[[#This Row],[SC Exp Date]],0), "")</f>
        <v/>
      </c>
      <c r="GS78" s="158" t="str">
        <f>IF(LEN(SnapshotTable[[#This Row],[SC Symbol]])&gt;0, 1, "")</f>
        <v/>
      </c>
      <c r="GT78" s="159" t="str">
        <f>IF(COUNT(SnapshotTable[[#This Row],[LP Symbol Count]],SnapshotTable[[#This Row],[SP Symbol Count]],SnapshotTable[[#This Row],[LC Symbol Count]],SnapshotTable[[#This Row],[SC Symbol Count]])&gt;0, "Y", "")</f>
        <v/>
      </c>
      <c r="GU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8" s="216">
        <f>MAX(SnapshotTable[[#This Row],[Equity Basis Total]],SnapshotTable[[#This Row],[Equity Value]]) + (SnapshotTable[[#This Row],[SP Potential Spend]]- SnapshotTable[[#This Row],[SP Premium]] + SnapshotTable[[#This Row],[LP Premium]])+ (SnapshotTable[[#This Row],[LC Premium]] - SnapshotTable[[#This Row],[SC Premium]])</f>
        <v>0</v>
      </c>
      <c r="GW78" s="137" t="str">
        <f>IF(AND(SnapshotTable[[#This Row],[Exposure]] &lt;&gt; 0),SnapshotTable[[#This Row],[Exposure]] / SnapshotTable[[#Totals],[Exposure]], "")</f>
        <v/>
      </c>
      <c r="HE78" s="253"/>
      <c r="HF78" s="253"/>
      <c r="HK78" s="1"/>
      <c r="HL78" s="1"/>
      <c r="HM78" s="1"/>
      <c r="HN78" s="1"/>
      <c r="HO78" s="1"/>
      <c r="HP78" s="1"/>
    </row>
    <row r="79" spans="2:224" ht="12.75" hidden="1" customHeight="1" x14ac:dyDescent="0.25">
      <c r="B79" s="12" t="s">
        <v>772</v>
      </c>
      <c r="C79" s="385">
        <v>959.48</v>
      </c>
      <c r="D79" s="200"/>
      <c r="E79" s="39">
        <f>SnapshotTable[[#This Row],[Last Price]]*(1 -CrashDiscount)</f>
        <v>815.55799999999999</v>
      </c>
      <c r="F79" s="26" t="s">
        <v>497</v>
      </c>
      <c r="G79" s="26" t="s">
        <v>7</v>
      </c>
      <c r="H79" s="147"/>
      <c r="I79" s="186">
        <v>44742.670138888891</v>
      </c>
      <c r="J79" s="187">
        <v>44742.670138888891</v>
      </c>
      <c r="K79" s="188" t="s">
        <v>3</v>
      </c>
      <c r="L79" s="297"/>
      <c r="M79" s="138"/>
      <c r="N79" s="138"/>
      <c r="O79" s="138"/>
      <c r="P79" s="22"/>
      <c r="Q79" s="25"/>
      <c r="R79" s="4" t="str">
        <f>IF(SnapshotTable[[#This Row],[Equity Basis Total]] &gt; 0, SnapshotTable[[#This Row],[Equity Basis Total]] / SnapshotTable[[#This Row],[Equity Shares]], "")</f>
        <v/>
      </c>
      <c r="S79" s="254">
        <f>SnapshotTable[[#This Row],[Last Price]] * SnapshotTable[[#This Row],[Equity Shares]]</f>
        <v>0</v>
      </c>
      <c r="T79" s="254">
        <f>SnapshotTable[[#This Row],[Equity Value]] - SnapshotTable[[#This Row],[Equity Basis Total]]</f>
        <v>0</v>
      </c>
      <c r="U79" s="255" t="str">
        <f>IF(SnapshotTable[[#This Row],[Equity Basis Total]] &gt; 0, SnapshotTable[[#This Row],[Equity G/L]] / SnapshotTable[[#This Row],[Equity Basis Total]], "")</f>
        <v/>
      </c>
      <c r="V79" s="253"/>
      <c r="W79" s="253"/>
      <c r="X79" s="4" t="str">
        <f>IF(AND(ISNUMBER(SnapshotTable[[#This Row],[Equity Basis Per Share]]),ISNUMBER(SnapshotTable[[#This Row],[Equity Target]])),SnapshotTable[[#This Row],[Equity Target]]-SnapshotTable[[#This Row],[Equity Basis Per Share]],"")</f>
        <v/>
      </c>
      <c r="Y79" s="4" t="str">
        <f>IF(AND(ISNUMBER(SnapshotTable[[#This Row],[Equity Basis Per Share]]),ISNUMBER(SnapshotTable[[#This Row],[Equity Stop Loss]])),SnapshotTable[[#This Row],[Equity Stop Loss]]-SnapshotTable[[#This Row],[Equity Basis Per Share]],"")</f>
        <v/>
      </c>
      <c r="Z79" s="260" t="str">
        <f>IFERROR( TEXT(SnapshotTable[[#This Row],[Equity Max Gain Per Share]] /ABS( SnapshotTable[[#This Row],[Equity Max Loss Per Share]]),"0.0 " ) &amp; " : 1", "")</f>
        <v/>
      </c>
      <c r="AA79" s="31" t="str">
        <f>IF(ISNUMBER(SnapshotTable[[#This Row],[Equity Max Gain Per Share]]),SnapshotTable[[#This Row],[Equity Max Gain Per Share]] * SnapshotTable[[#This Row],[Equity Shares]],"")</f>
        <v/>
      </c>
      <c r="AB79" s="31" t="str">
        <f>IF(ISNUMBER(SnapshotTable[[#This Row],[Equity Max Loss Per Share]]),SnapshotTable[[#This Row],[Equity Max Loss Per Share]] * SnapshotTable[[#This Row],[Equity Shares]],"")</f>
        <v/>
      </c>
      <c r="AC79" s="148"/>
      <c r="AD79" s="149"/>
      <c r="AE79" s="31">
        <f>(SnapshotTable[[#This Row],[Annual Dividend Per Share]] / 4) * SnapshotTable[[#This Row],[Equity Shares]]</f>
        <v>0</v>
      </c>
      <c r="AF79" s="31">
        <f>SnapshotTable[[#This Row],[Quarterly Div $]] * 4</f>
        <v>0</v>
      </c>
      <c r="AG79" s="7">
        <f>IF(SnapshotTable[[#This Row],[Annual Dividend Per Share]]&gt;0, SnapshotTable[[#This Row],[Annual Dividend Per Share]]  / SnapshotTable[[#This Row],[Last Price]], 0)</f>
        <v>0</v>
      </c>
      <c r="AH79" s="149"/>
      <c r="AI79" s="5"/>
      <c r="AJ79" s="136">
        <v>113.3</v>
      </c>
      <c r="AK79" s="150" t="str">
        <f>IF(ISNUMBER( SnapshotTable[[#This Row],[EBF Target]]),(SnapshotTable[[#This Row],[EBF Target]] - SnapshotTable[[#This Row],[Last Price]]) / SnapshotTable[[#This Row],[Last Price]], "")</f>
        <v/>
      </c>
      <c r="AL79" s="150" t="str">
        <f>IF(AND(SnapshotTable[[#This Row],[Equity Basis Total]] &gt; 0,ISNUMBER( SnapshotTable[[#This Row],[Long Term Target]])), SnapshotTable[[#This Row],[From Basis $]] / SnapshotTable[[#This Row],[Equity Basis Total]], "")</f>
        <v/>
      </c>
      <c r="AM79" s="9">
        <f>IF( AND(SnapshotTable[[#This Row],[Equity Shares]] &gt;0,ISNUMBER( SnapshotTable[[#This Row],[Long Term Target]])),(SnapshotTable[[#This Row],[Equity Shares]] * SnapshotTable[[#This Row],[Long Term Target]]) - SnapshotTable[[#This Row],[Equity Basis Total]],0)</f>
        <v>0</v>
      </c>
      <c r="AN79" s="9">
        <f>IF( AND(SnapshotTable[[#This Row],[Equity Shares]] &gt;0,ISNUMBER( SnapshotTable[[#This Row],[Long Term Target]])),(SnapshotTable[[#This Row],[Equity Shares]]*SnapshotTable[[#This Row],[Long Term Target]]) - SnapshotTable[[#This Row],[Equity Value]],0)</f>
        <v>0</v>
      </c>
      <c r="AO79" s="150">
        <f>IF(AND(ISNUMBER( SnapshotTable[[#This Row],[Long Term Target]]), ISNUMBER(SnapshotTable[[#This Row],[Last Price]])),(SnapshotTable[[#This Row],[Long Term Target]] - SnapshotTable[[#This Row],[Last Price]]) / SnapshotTable[[#This Row],[Last Price]], "")</f>
        <v>-0.8819152040688707</v>
      </c>
      <c r="AP79" s="5">
        <v>85</v>
      </c>
      <c r="AQ79" s="38" t="s">
        <v>22</v>
      </c>
      <c r="AR79" s="5">
        <v>85</v>
      </c>
      <c r="AS79" s="38" t="s">
        <v>28</v>
      </c>
      <c r="AT79" s="144" t="s">
        <v>432</v>
      </c>
      <c r="AU79" s="185" t="str">
        <f>IF(OR(SnapshotTable[[#This Row],[LP No Fill]]="Y",SnapshotTable[[#This Row],[SP Is Filled]],SnapshotTable[[#This Row],[LC Not Filled]]="Y",SnapshotTable[[#This Row],[SC Is Filled]]),"Y","")</f>
        <v/>
      </c>
      <c r="AV79" s="205"/>
      <c r="AW79" s="211"/>
      <c r="AX79" s="206"/>
      <c r="AY79" s="205" t="str">
        <f>IF(SnapshotTable[[#This Row],[Implied Move]]&gt;0, SnapshotTable[[#This Row],[Last Price]]-SnapshotTable[[#This Row],[Implied Move]],"")</f>
        <v/>
      </c>
      <c r="AZ79" s="205" t="str">
        <f>IF(SnapshotTable[[#This Row],[Implied Move]]&gt;0, SnapshotTable[[#This Row],[Last Price]] + SnapshotTable[[#This Row],[Implied Move]],"")</f>
        <v/>
      </c>
      <c r="BA79" s="302">
        <v>342.2</v>
      </c>
      <c r="BB79" s="318"/>
      <c r="BC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79" s="321"/>
      <c r="BE79" s="136"/>
      <c r="BF79" s="164"/>
      <c r="BG79" s="165"/>
      <c r="BH79" s="165"/>
      <c r="BI79" s="207"/>
      <c r="BJ79" s="151">
        <f>IF(SnapshotTable[[#This Row],[LP Qty]] &gt; 0, SnapshotTable[[#This Row],[LP Qty]] * SnapshotTable[[#This Row],[LP Book Price]] * 100,0)</f>
        <v>0</v>
      </c>
      <c r="BK79" s="134">
        <f>IF(SnapshotTable[[#This Row],[LP Premium]] &gt; 0, SnapshotTable[[#This Row],[LP Qty]] * SnapshotTable[[#This Row],[LP Strike Price]] * 100,0)</f>
        <v>0</v>
      </c>
      <c r="BL79" s="152"/>
      <c r="BM79" s="355" t="str">
        <f>IF(SnapshotTable[[#This Row],[LP Premium]] &gt; 0,SnapshotTable[[#This Row],[LP Exp Date]]-MAX(SnapshotTable[[#This Row],[LP Book Date]], SnapshotTable[[#This Row],[LP Fill Date]]),"")</f>
        <v/>
      </c>
      <c r="BN79" s="355" t="str">
        <f>IF(ISNUMBER( SnapshotTable[[#This Row],[LP Term]]), SnapshotTable[[#This Row],[LP Exp Date]] - MockToday,"")</f>
        <v/>
      </c>
      <c r="BO79" s="161" t="str">
        <f>IF(AND(SnapshotTable[[#This Row],[LP Exp Date]]&gt;0, SnapshotTable[[#This Row],[LP Strike Price]]&gt;0,SnapshotTable[[#This Row],[LP Qty]]&gt;0,SnapshotTable[[#This Row],[LP Book Date]]&gt;0,SnapshotTable[[#This Row],[LP Book Price]]&gt;0,SnapshotTable[[#This Row],[LP Fill Date]]=0),"Y","")</f>
        <v/>
      </c>
      <c r="BP79" s="31" t="str">
        <f>IF(AND(SnapshotTable[[#This Row],[LP No Fill]]&lt;&gt;"Y",SnapshotTable[[#This Row],[LP Contract Value]]&gt;0, SnapshotTable[[#This Row],[LP Qty]]&gt;0), SnapshotTable[[#This Row],[LP Contract Value]]*SnapshotTable[[#This Row],[LP Qty]]*100,"")</f>
        <v/>
      </c>
      <c r="BQ79" s="13"/>
      <c r="BR79" s="5"/>
      <c r="BS79" s="36"/>
      <c r="BT79" s="145"/>
      <c r="BU79" s="13"/>
      <c r="BV79" s="5"/>
      <c r="BW79" s="382" t="b">
        <f>AND(ISNUMBER(SnapshotTable[[#This Row],[SP Exp Date]]), ISNUMBER(SnapshotTable[[#This Row],[SP Strike Price]]), ISNUMBER(SnapshotTable[[#This Row],[SP Qty]]), ISNUMBER(SnapshotTable[[#This Row],[SP Book Date]]), ISNUMBER(SnapshotTable[[#This Row],[SP Book Price]]))</f>
        <v>0</v>
      </c>
      <c r="BX79" s="382" t="b">
        <f>AND(SnapshotTable[[#This Row],[SP Is Booked]], NOT(ISBLANK(SnapshotTable[[#This Row],[SP Fill Date]])))</f>
        <v>0</v>
      </c>
      <c r="BY79" s="33">
        <f>IF(SnapshotTable[[#This Row],[SP Is Booked]], SnapshotTable[[#This Row],[SP Qty]] * SnapshotTable[[#This Row],[SP Book Price]] * 100, 0)</f>
        <v>0</v>
      </c>
      <c r="BZ79" s="339"/>
      <c r="CA79" s="338">
        <f>SnapshotTable[[#This Row],[LP Qty]]</f>
        <v>0</v>
      </c>
      <c r="CB79" s="4" t="str">
        <f>IF(SnapshotTable[[#This Row],[SP Is Booked]], SnapshotTable[[#This Row],[SP Strike Price]] - SnapshotTable[[#This Row],[SP Book Price]], "")</f>
        <v/>
      </c>
      <c r="CC79" s="19" t="str">
        <f>IF(SnapshotTable[[#This Row],[SP Is Booked]],SnapshotTable[[#This Row],[SP Exp Date]]-MAX(SnapshotTable[[#This Row],[SP Book Date]], SnapshotTable[[#This Row],[SP Fill Date]]),"")</f>
        <v/>
      </c>
      <c r="CD79" s="7" t="str">
        <f>IF(SnapshotTable[[#This Row],[SP Is Booked]], SnapshotTable[[#This Row],[SP Book Price]]/SnapshotTable[[#This Row],[SP Strike Price]], "")</f>
        <v/>
      </c>
      <c r="CE79" s="7" t="str">
        <f>IF(ISNUMBER(SnapshotTable[[#This Row],[SP ROO Term]]),SnapshotTable[[#This Row],[SP ROO Term]]*(365/SnapshotTable[[#This Row],[SP Term]]),"")</f>
        <v/>
      </c>
      <c r="CF79" s="221">
        <f>SnapshotTable[[#This Row],[LP Strike Price]] * SnapshotTable[[#This Row],[LP Qty]] * 100</f>
        <v>0</v>
      </c>
      <c r="CG79" s="31">
        <f>IF(ISNUMBER(SnapshotTable[[#This Row],[SP Premium]]), (SnapshotTable[[#This Row],[SP Qty]] * SnapshotTable[[#This Row],[SP Strike Price]]* 100) - SnapshotTable[[#This Row],[LP Protection]], 0)</f>
        <v>0</v>
      </c>
      <c r="CH79" s="7" t="str">
        <f>IF(ISNUMBER(SnapshotTable[[#This Row],[SP Break Even]]),-1 * (SnapshotTable[[#This Row],[SP Break Even]] - SnapshotTable[[#This Row],[Last Price]]) / SnapshotTable[[#This Row],[Last Price]], "")</f>
        <v/>
      </c>
      <c r="CI79" s="31">
        <f>IF(AND(ISNUMBER((SnapshotTable[[#This Row],[SP Potential Spend]])), SnapshotTable[[#This Row],[SP Strike Price]] &gt; SnapshotTable[[#This Row],[Last Price]], SnapshotTable[[#This Row],[SP Is Filled]]), SnapshotTable[[#This Row],[SP Potential Spend]] -  SnapshotTable[[#This Row],[LP Max Value]], 0)</f>
        <v>0</v>
      </c>
      <c r="CJ79" s="229">
        <v>0.01</v>
      </c>
      <c r="CK79" s="31">
        <f>IF(ISNUMBER(SnapshotTable[[#This Row],[SP Potential Spend]]),IF(ISNUMBER(SnapshotTable[[#This Row],[SP POW]]), SnapshotTable[[#This Row],[SP POW]] * SnapshotTable[[#This Row],[SP Potential Spend]], SnapshotTable[[#This Row],[SP Potential Spend]]), "")</f>
        <v>0</v>
      </c>
      <c r="CL79" s="162">
        <f>IF(NOT(SnapshotTable[[#This Row],[SP Is Filled]]),(SnapshotTable[[#This Row],[SP Qty]] * SnapshotTable[[#This Row],[SP Strike Price]] * 100) - SnapshotTable[[#This Row],[LP Max Value]],"")</f>
        <v>0</v>
      </c>
      <c r="CM79" s="31" t="str">
        <f>IF(SnapshotTable[[#This Row],[SP Actual Spend]]&lt;&gt;0, ((SnapshotTable[[#This Row],[SP Strike Price]]-SnapshotTable[[#This Row],[Last Price]]) *(SnapshotTable[[#This Row],[SP Qty]]*100) - SnapshotTable[[#This Row],[SP Premium]]) * - 1, "")</f>
        <v/>
      </c>
      <c r="CN79" s="213"/>
      <c r="CO79" s="339"/>
      <c r="CP79" s="4" t="str">
        <f>IF(SnapshotTable[[#This Row],[SP Is Filled]], btc_max_buyback_amount(SnapshotTable[[#This Row],[SP Fill Date]],SnapshotTable[[#This Row],[SP Exp Date]], SnapshotTable[[#This Row],[SP Book Price]]),"")</f>
        <v/>
      </c>
      <c r="CQ79" s="76"/>
      <c r="CR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79" s="153" t="str">
        <f>IF(SnapshotTable[[#This Row],[SP Is Filled]], btc_next_cutoff_date(SnapshotTable[[#This Row],[SP Fill Date]],SnapshotTable[[#This Row],[SP Exp Date]]),"")</f>
        <v/>
      </c>
      <c r="CT79" s="220" t="str" cm="1">
        <f t="array" ref="CT79">IF(SnapshotTable[[#This Row],[SP Is Filled]], btc_should_buy_back(SnapshotTable[[#This Row],[SP Fill Date]], SnapshotTable[[#This Row],[SP Exp Date]], SnapshotTable[[#This Row],[SP Book Price]], SnapshotTable[[#This Row],[SP Current Ask]], MockToday, SnapshotTable[[#This Row],[SP Buyback Override]]),"")</f>
        <v/>
      </c>
      <c r="CU79" s="154"/>
      <c r="CV79" s="220"/>
      <c r="CW79" s="348" t="str">
        <f>IF(ISNUMBER( SnapshotTable[[#This Row],[SP Term]]), SnapshotTable[[#This Row],[SP Exp Date]] - MockToday,"")</f>
        <v/>
      </c>
      <c r="CX79" s="31" t="str">
        <f>IF(SnapshotTable[[#This Row],[SP Is Filled]],SnapshotTable[[#This Row],[SP Buyback Price to Use]] * 100 * SnapshotTable[[#This Row],[SP Qty]], "")</f>
        <v/>
      </c>
      <c r="CY79" s="4" t="str">
        <f>IF(ISNUMBER(SnapshotTable[[#This Row],[SP Strike Price]]), SnapshotTable[[#This Row],[SP Strike Price]] * (1 - SP_MaxLoss_StrikePct), "")</f>
        <v/>
      </c>
      <c r="CZ79" s="31" t="str">
        <f>IF(ISNUMBER(SnapshotTable[[#This Row],[SP Strike  Stop Per Share]]),SnapshotTable[[#This Row],[SP Premium]] - ((SnapshotTable[[#This Row],[SP Strike Price]]-SnapshotTable[[#This Row],[SP Strike  Stop Per Share]]) *(SnapshotTable[[#This Row],[SP Qty]] * 100)),"")</f>
        <v/>
      </c>
      <c r="DA79" s="4" t="str">
        <f>IF(AND(ISNUMBER(SnapshotTable[[#This Row],[SP Premium]]),SnapshotTable[[#This Row],[SP Premium]]&gt;0), SnapshotTable[[#This Row],[SP Book Price]] * (1 + SP_MaxLoss_OptionPct), "")</f>
        <v/>
      </c>
      <c r="DB79" s="31" t="str">
        <f>IF(ISNUMBER(SnapshotTable[[#This Row],[SP Option  Stop Contract]]),(SnapshotTable[[#This Row],[SP Option  Stop Contract]] *(SnapshotTable[[#This Row],[SP Qty]] * 100) - SnapshotTable[[#This Row],[SP Premium]]),"")</f>
        <v/>
      </c>
      <c r="DC79" s="4"/>
      <c r="DD79" s="4"/>
      <c r="DE79" s="4" t="str">
        <f>IF(AND(SnapshotTable[[#This Row],[SP Qty]]&gt;0, SnapshotTable[[#This Row],[SP Stop To Use]]&gt;0),SnapshotTable[[#This Row],[SP Premium]] - ( SnapshotTable[[#This Row],[SP Qty]] * SnapshotTable[[#This Row],[SP Stop To Use]] * 100), "")</f>
        <v/>
      </c>
      <c r="DF79" s="31" t="str">
        <f>IF(AND(SnapshotTable[[#This Row],[SP Qty]]&gt;0,SnapshotTable[[#This Row],[SP Current Ask]]&gt;0), SnapshotTable[[#This Row],[SP Qty]] * SnapshotTable[[#This Row],[SP Current Ask]] * -100, "")</f>
        <v/>
      </c>
      <c r="DG79" s="31" t="str">
        <f>IF(ISNUMBER((SnapshotTable[[#This Row],[SP Total Value]])), SnapshotTable[[#This Row],[SP Premium]] + SnapshotTable[[#This Row],[SP Total Value]], "")</f>
        <v/>
      </c>
      <c r="DH79" s="272" t="str">
        <f>IF(ISNUMBER((SnapshotTable[[#This Row],[SP Total Value]])), SnapshotTable[[#This Row],[SP Gain Loss]] / SnapshotTable[[#This Row],[SP Premium]], "")</f>
        <v/>
      </c>
      <c r="DI79" s="369"/>
      <c r="DJ79" s="136"/>
      <c r="DK79" s="146"/>
      <c r="DL79" s="145"/>
      <c r="DM79" s="145"/>
      <c r="DO79" s="31">
        <f>IF(SnapshotTable[[#This Row],[LC Symbol Count]]=1, SnapshotTable[[#This Row],[LC Qty]] * SnapshotTable[[#This Row],[LC Book Price]] * 100, 0)</f>
        <v>0</v>
      </c>
      <c r="DP79" s="161" t="str">
        <f>IF(AND(SnapshotTable[[#This Row],[LC Exp Date]]&gt;0, SnapshotTable[[#This Row],[LC Strike Price]]&gt;0,SnapshotTable[[#This Row],[LC Qty]]&gt;0,SnapshotTable[[#This Row],[LC Book Date]]&gt;0,SnapshotTable[[#This Row],[LC Book Price]]&gt;0,SnapshotTable[[#This Row],[LC Fill Date]]=0),"Y","")</f>
        <v/>
      </c>
      <c r="DQ79" s="356" t="str">
        <f>IF(SnapshotTable[[#This Row],[LC Premium]] &gt; 0,SnapshotTable[[#This Row],[LC Exp Date]]-MAX(SnapshotTable[[#This Row],[LC Book Date]], SnapshotTable[[#This Row],[LC Fill Date]]),"")</f>
        <v/>
      </c>
      <c r="DR79" s="356" t="str">
        <f>IF(ISNUMBER(SnapshotTable[[#This Row],[LC Term]]), SnapshotTable[[#This Row],[LC Exp Date]] - MockToday, "")</f>
        <v/>
      </c>
      <c r="DS79" s="219" t="str">
        <f>IF(SnapshotTable[[#This Row],[LC Premium]]&gt;0,SnapshotTable[[#This Row],[LC Strike Price]] + SnapshotTable[[#This Row],[LC Book Price]],"")</f>
        <v/>
      </c>
      <c r="DU79" s="9" t="str">
        <f>IF(AND(SnapshotTable[[#This Row],[LC Symbol Count]]&gt;0, SnapshotTable[[#This Row],[LC Contract Value]]&gt;0), SnapshotTable[[#This Row],[LC Contract Value]] * SnapshotTable[[#This Row],[LC Qty]] * 100, "")</f>
        <v/>
      </c>
      <c r="DV79" s="9" t="str">
        <f>IF(AND(ISNUMBER(SnapshotTable[[#This Row],[LC Total Value]]), SnapshotTable[[#This Row],[LC Not Filled]]&lt;&gt;"Y"), SnapshotTable[[#This Row],[LC Total Value]]-SnapshotTable[[#This Row],[LC Premium]],"")</f>
        <v/>
      </c>
      <c r="DW79" s="225" t="str">
        <f>IF(ISNUMBER(SnapshotTable[[#This Row],[LC Actual Gain Loss]]), SnapshotTable[[#This Row],[LC Actual Gain Loss]] / SnapshotTable[[#This Row],[LC Premium]],"")</f>
        <v/>
      </c>
      <c r="DX79" s="269" t="str">
        <f>IF(ISNUMBER(SnapshotTable[[#This Row],[LC Book Price]]),SnapshotTable[[#This Row],[LC Book Price]] * 1.5,"")</f>
        <v/>
      </c>
      <c r="DY79" s="250" t="str">
        <f>IF(SnapshotTable[[#This Row],[LC Premium]]&gt;0, SnapshotTable[[#This Row],[LC Next Target]] * SnapshotTable[[#This Row],[LC Qty]] * 100,"")</f>
        <v/>
      </c>
      <c r="DZ79" s="250" t="str">
        <f>IF(ISNUMBER(SnapshotTable[[#This Row],[LC Target Gross]]), SnapshotTable[[#This Row],[LC Target Gross]] - SnapshotTable[[#This Row],[LC Premium]], "")</f>
        <v/>
      </c>
      <c r="EA79" s="283" t="str">
        <f>IF(ISNUMBER(SnapshotTable[[#This Row],[LC Target Gain Loss]]), SnapshotTable[[#This Row],[LC Target Gain Loss]]/SnapshotTable[[#This Row],[LC Premium]], "")</f>
        <v/>
      </c>
      <c r="EB79" s="247"/>
      <c r="EC79" s="268" t="str">
        <f>IF(SnapshotTable[[#This Row],[LC Premium]]&gt;0, SnapshotTable[[#This Row],[LC Book Price]] * (1 - LC_StopLoss_Pct),"")</f>
        <v/>
      </c>
      <c r="ED79" s="269"/>
      <c r="EE79" s="268" t="str">
        <f>IF(ISNUMBER(SnapshotTable[[#This Row],[LC Contract Value]]),IF(ISNUMBER(SnapshotTable[[#This Row],[LC Stop Loss Override]]), SnapshotTable[[#This Row],[LC Stop Loss Override]],SnapshotTable[[#This Row],[LC Stop Loss Calc Target]]),"")</f>
        <v/>
      </c>
      <c r="EF79" s="31" t="str">
        <f>IF(ISNUMBER(SnapshotTable[[#This Row],[LC Stop  To Use]]), (SnapshotTable[[#This Row],[LC Stop  To Use]] * SnapshotTable[[#This Row],[LC Qty]] * 100),"")</f>
        <v/>
      </c>
      <c r="EG79" s="9" t="str">
        <f>IF(ISNUMBER(SnapshotTable[[#This Row],[LC Total Value]]),SnapshotTable[[#This Row],[LC Stop Loss Amount]] - SnapshotTable[[#This Row],[LC Premium]],"")</f>
        <v/>
      </c>
      <c r="EH79" s="9">
        <f>IF(ISNUMBER(SnapshotTable[[#This Row],[LC Premium]]), SnapshotTable[[#This Row],[LC Qty]] * 100 * SnapshotTable[[#This Row],[LC Strike Price]], "")</f>
        <v>0</v>
      </c>
      <c r="EI79" s="225" t="str">
        <f>IF(AND(ISNUMBER(SnapshotTable[[#This Row],[LC Total Value]]),SnapshotTable[[#This Row],[LC Total Value]]&gt;0),SnapshotTable[[#This Row],[LC Stop Gain Loss]]  / SnapshotTable[[#This Row],[LC Premium]],"")</f>
        <v/>
      </c>
      <c r="EJ79" s="35">
        <f>IF(ISNUMBER(SnapshotTable[[#This Row],[Equity Shares]]),TRUNC(SnapshotTable[[#This Row],[Equity Shares]] / 100),0) + SnapshotTable[[#This Row],[LC Qty]]</f>
        <v>0</v>
      </c>
      <c r="EK79" s="145"/>
      <c r="EL79" s="136"/>
      <c r="EM79" s="146"/>
      <c r="EN79" s="145"/>
      <c r="EO79" s="145"/>
      <c r="EP79" s="136"/>
      <c r="EQ79" s="382" t="b">
        <f>AND(ISNUMBER(SnapshotTable[[#This Row],[SC Exp Date]]), ISNUMBER(SnapshotTable[[#This Row],[SC Strike Price]]), ISNUMBER(SnapshotTable[[#This Row],[SC Qty]]), ISNUMBER(SnapshotTable[[#This Row],[SC Book Date]]), ISNUMBER(SnapshotTable[[#This Row],[SC Book Price]]))</f>
        <v>0</v>
      </c>
      <c r="ER79" s="382" t="b">
        <f>AND(SnapshotTable[[#This Row],[SC Is Booked]], NOT(ISBLANK(SnapshotTable[[#This Row],[SC Fill Date]])))</f>
        <v>0</v>
      </c>
      <c r="ES79" s="340"/>
      <c r="ET79" s="34" t="str">
        <f>IF(AND(ISNUMBER(SnapshotTable[[#This Row],[SC Exp Date]]), ISNUMBER(SnapshotTable[[#This Row],[SC Book Date]])), SnapshotTable[[#This Row],[SC Exp Date]] - MAX(SnapshotTable[[#This Row],[SC Book Date]], SnapshotTable[[#This Row],[SC Fill Date]]) + 1, "")</f>
        <v/>
      </c>
      <c r="EU79" s="34" t="str">
        <f>IF(ISNUMBER(SnapshotTable[[#This Row],[SC Term]]), SnapshotTable[[#This Row],[SC Exp Date]]- MockToday, "")</f>
        <v/>
      </c>
      <c r="EV79" s="31">
        <f>IF(SnapshotTable[[#This Row],[SC Is Booked]], SnapshotTable[[#This Row],[SC Qty]] * SnapshotTable[[#This Row],[SC Book Price]] * 100, 0)</f>
        <v>0</v>
      </c>
      <c r="EW79" s="4" t="str">
        <f>IF(AND(ISNUMBER(SnapshotTable[[#This Row],[Last Price]]), ISNUMBER( SnapshotTable[[#This Row],[SC Book Price]])), SnapshotTable[[#This Row],[Last Price]] - SnapshotTable[[#This Row],[SC Book Price]],"")</f>
        <v/>
      </c>
      <c r="EX79" s="219" t="str">
        <f>IF(SnapshotTable[[#This Row],[SC Is Booked]],IF(SnapshotTable[[#This Row],[SC Intrinsic Value]] &gt; 0, SnapshotTable[[#This Row],[SC Strike Price]], SnapshotTable[[#This Row],[Last Price]]), "")</f>
        <v/>
      </c>
      <c r="EY79" s="4">
        <f>IF(SnapshotTable[[#This Row],[SC Is Booked]], (MinimumPremiumRequired * SnapshotTable[[#This Row],[SC Basis]] * SnapshotTable[[#This Row],[SC Term]]), 0)</f>
        <v>0</v>
      </c>
      <c r="EZ79" s="268"/>
      <c r="FA79" s="204"/>
      <c r="FB79" s="340"/>
      <c r="FC79" s="4">
        <f>IF(SnapshotTable[[#This Row],[SC Is Filled]], btc_max_buyback_amount(SnapshotTable[[#This Row],[SC Fill Date]],SnapshotTable[[#This Row],[SC Exp Date]], SnapshotTable[[#This Row],[SC Book Price]]),0)</f>
        <v>0</v>
      </c>
      <c r="FD79" s="5"/>
      <c r="FE79" s="142" t="str">
        <f>IF(SnapshotTable[[#This Row],[SC Is Filled]], btc_next_cutoff_date(SnapshotTable[[#This Row],[SC Fill Date]],SnapshotTable[[#This Row],[SC Exp Date]]),"")</f>
        <v/>
      </c>
      <c r="FF79" s="4" t="str" cm="1">
        <f t="array" ref="FF79">IF(SnapshotTable[[#This Row],[SC Is Filled]], btc_should_buy_back(SnapshotTable[[#This Row],[SC Fill Date]], SnapshotTable[[#This Row],[SC Exp Date]], SnapshotTable[[#This Row],[SC Book Price]], SnapshotTable[[#This Row],[SC Current Ask]], MockToday, SnapshotTable[[#This Row],[SC Buyback Override]]),"")</f>
        <v/>
      </c>
      <c r="FG79" s="4">
        <f>IF(SnapshotTable[[#This Row],[SC Is Filled]], MAX(0,SnapshotTable[[#This Row],[Last Price]]  - SnapshotTable[[#This Row],[SC Strike Price]]), 0)</f>
        <v>0</v>
      </c>
      <c r="FH79" s="352">
        <f>IF(SnapshotTable[[#This Row],[SC Is Filled]], IF(ISNUMBER(SnapshotTable[[#This Row],[SC Current Ask]]), SnapshotTable[[#This Row],[SC Current Ask]], SnapshotTable[[#This Row],[SC Book Price]]) - SnapshotTable[[#This Row],[SC Intrinsic Value]], 0)</f>
        <v>0</v>
      </c>
      <c r="FI79" s="141"/>
      <c r="FJ79" s="32" t="str">
        <f>IF(SnapshotTable[[#This Row],[SC Is Filled]],100 * SnapshotTable[[#This Row],[SC Qty]] * IF(ISNUMBER(SnapshotTable[[#This Row],[SC Buyback Override]]), SnapshotTable[[#This Row],[SC Buyback Override]], SnapshotTable[[#This Row],[SC Current Ask]]), "")</f>
        <v/>
      </c>
      <c r="FK79" s="235" t="str">
        <f>IF(SnapshotTable[[#This Row],[SC Time Val]]&gt;0, SnapshotTable[[#This Row],[SC Time Val]] / SnapshotTable[[#This Row],[Last Price]],"")</f>
        <v/>
      </c>
      <c r="FL79" s="280" t="str">
        <f>IF(SnapshotTable[[#This Row],[SC Is Booked]], ((SnapshotTable[[#This Row],[Last Price]] -SnapshotTable[[#This Row],[SC Strike Price]]) / SnapshotTable[[#This Row],[Last Price]]) * -1, "")</f>
        <v/>
      </c>
      <c r="FM79" s="155" t="str">
        <f>IF(SnapshotTable[[#This Row],[SC Is Booked]],  (SnapshotTable[[#This Row],[SC Qty]] * 100 * SnapshotTable[[#This Row],[SC Strike Price]]) - SnapshotTable[[#This Row],[SC Current Ask]], "")</f>
        <v/>
      </c>
      <c r="FN79"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79" s="155" t="str">
        <f>IF(AND(ISNUMBER(SnapshotTable[[#This Row],[SC Exercise Gross]]), ISNUMBER(SnapshotTable[[#This Row],[Equity Basis Per Share]] )), SnapshotTable[[#This Row],[SC Exercise Gross]] - SnapshotTable[[#This Row],[Equity Basis Total]] +  SnapshotTable[[#This Row],[SC Premium]], "")</f>
        <v/>
      </c>
      <c r="FP79" s="5" t="str">
        <f>IF(ISNUMBER(SnapshotTable[[#This Row],[SC Exercise Gross]]), (SnapshotTable[[#This Row],[SC Exercise Gross]]) / (SnapshotTable[[#This Row],[SC Qty]] * 100), "")</f>
        <v/>
      </c>
      <c r="FQ79" s="27" t="str">
        <f>IF(SnapshotTable[[#This Row],[SC Is Booked]],SnapshotTable[[#This Row],[SC Time Val]] /SnapshotTable[[#This Row],[SC Basis]], "")</f>
        <v/>
      </c>
      <c r="FR79" s="27" t="str" cm="1">
        <f t="array" ref="FR79">IF(AND(ISNUMBER(SnapshotTable[[#This Row],[SC Term]]),ISNUMBER(SnapshotTable[[#This Row],[SC Simple ROO]])), EllmanAnnualize(SnapshotTable[[#This Row],[SC DTE]], SnapshotTable[[#This Row],[SC Simple ROO]] ),"")</f>
        <v/>
      </c>
      <c r="FS79" s="4">
        <f>IF(SnapshotTable[[#This Row],[SC Strike Price]] &gt; SnapshotTable[[#This Row],[Last Price]], SnapshotTable[[#This Row],[SC Strike Price]] - SnapshotTable[[#This Row],[Last Price]],0)</f>
        <v>0</v>
      </c>
      <c r="FT79" s="27" t="str">
        <f>IF(AND(ISNUMBER(SnapshotTable[[#This Row],[SC Upside Potential]]), SnapshotTable[[#This Row],[SC Upside Potential]] &gt; 0),(SnapshotTable[[#This Row],[SC Upside Potential]]/ SnapshotTable[[#This Row],[ACB]]),"")</f>
        <v/>
      </c>
      <c r="FU79" s="304" t="str">
        <f>IF(SnapshotTable[[#This Row],[SC Intrinsic Value]] &gt; 0,SnapshotTable[[#This Row],[SC Intrinsic Value]],"")</f>
        <v/>
      </c>
      <c r="FV79" s="27" t="str">
        <f>IF(AND( ISNUMBER( SnapshotTable[[#This Row],[ACB]]),ISNUMBER(SnapshotTable[[#This Row],[SC Downside Protect]])),SnapshotTable[[#This Row],[SC Downside Protect]] / SnapshotTable[[#This Row],[ACB]],"")</f>
        <v/>
      </c>
      <c r="FW79" s="221" t="str">
        <f>IF(AND(ISNUMBER(SnapshotTable[[#This Row],[SC Simple ROO]]),SnapshotTable[[#This Row],[SC Simple ROO]] &gt; 0), SnapshotTable[[#This Row],[SC Premium]] + (SnapshotTable[[#This Row],[SC Qty]] * SnapshotTable[[#This Row],[SC Upside Potential]]), "")</f>
        <v/>
      </c>
      <c r="FX79" s="280" t="str" cm="1">
        <f t="array" ref="FX79">IF(ISNUMBER(SnapshotTable[[#This Row],[SC Max Dollars]]), annualize(SnapshotTable[[#This Row],[SC Term]],(SnapshotTable[[#This Row],[SC Max Dollars]]/SnapshotTable[[#This Row],[SC Basis]])),"")</f>
        <v/>
      </c>
      <c r="FY79" s="221" t="str">
        <f>IF(AND(SnapshotTable[[#This Row],[SC Qty]]&gt;0,SnapshotTable[[#This Row],[SC Current Ask]]&gt;0), SnapshotTable[[#This Row],[SC Qty]] * SnapshotTable[[#This Row],[SC Current Ask]] * -100, "")</f>
        <v/>
      </c>
      <c r="FZ79" s="31" t="str">
        <f>IF(ISNUMBER((SnapshotTable[[#This Row],[SC Current Value]])), SnapshotTable[[#This Row],[SC Premium]] + SnapshotTable[[#This Row],[SC Current Value]], "")</f>
        <v/>
      </c>
      <c r="GA79" s="272" t="str">
        <f>IFERROR( IF(ISNUMBER((SnapshotTable[[#This Row],[SC Current Value]])), SnapshotTable[[#This Row],[SC Gain Loss]] / SnapshotTable[[#This Row],[SC Premium]], ""), "")</f>
        <v/>
      </c>
      <c r="GB79" s="42">
        <f>SnapshotTable[[#This Row],[Equity Shares]] * SaleSharesToConsiderPercentage</f>
        <v>0</v>
      </c>
      <c r="GC79" s="40">
        <f>SnapshotTable[[#This Row],[Long Term Target]] * SellingPriceToConsiderBasedOnTargetPercentage</f>
        <v>107.63499999999999</v>
      </c>
      <c r="GD79" s="40">
        <f>SnapshotTable[[#This Row],[Last Price]] * (1+ SellingPriceToConsiderBasedOnTargetPercentage)</f>
        <v>1870.9860000000001</v>
      </c>
      <c r="GE79" s="41"/>
      <c r="GF79" s="40"/>
      <c r="GG79" s="31">
        <f>SnapshotTable[[#This Row],[Booked Sale Shares]] * SnapshotTable[[#This Row],[Booked Sale Price]]</f>
        <v>0</v>
      </c>
      <c r="GH79" s="31" t="str">
        <f>IF(SnapshotTable[[#This Row],[Equity Basis Total]] &gt; 0, SnapshotTable[[#This Row],[Equity Basis Per Share]] * SnapshotTable[[#This Row],[Booked Sale Shares]], "")</f>
        <v/>
      </c>
      <c r="GI79" s="31">
        <f>IF(SnapshotTable[[#This Row],[Sale Proceeds]]&gt;0, SnapshotTable[[#This Row],[Sale Proceeds]] - SnapshotTable[[#This Row],[Sale Basis]], 0)</f>
        <v>0</v>
      </c>
      <c r="GJ79" s="156" t="str">
        <f>IF(SnapshotTable[[#This Row],[Sale G/L]]&gt;0, SnapshotTable[[#This Row],[Sale G/L]] / SnapshotTable[[#This Row],[Sale Basis]], IF(ISNUMBER(SnapshotTable[[#This Row],[SC Exercise P&amp;L (TAX)]]), SnapshotTable[[#This Row],[SC Exercise P&amp;L (TAX)]] / SnapshotTable[[#This Row],[SC Basis]], ""))</f>
        <v/>
      </c>
      <c r="GK79" s="156"/>
      <c r="GL79" s="157" t="str">
        <f>IF(AND(SnapshotTable[[#This Row],[LP Exp Date]]&gt;0,SnapshotTable[[#This Row],[LP Strike Price]]&gt;0), [1]!ToOptionSymbol(SnapshotTable[[#This Row],[Symbol]], SnapshotTable[[#This Row],[LP Strike Price]],SnapshotTable[[#This Row],[LP Exp Date]],1), "")</f>
        <v/>
      </c>
      <c r="GM79" s="30" t="str">
        <f>IF(LEN(SnapshotTable[[#This Row],[LP Symbol]])&gt;0, 1, "")</f>
        <v/>
      </c>
      <c r="GN79" s="43" t="str">
        <f>IF(AND(SnapshotTable[[#This Row],[SP Exp Date]]&gt;0,SnapshotTable[[#This Row],[SP Strike Price]]&gt;0), [1]!ToOptionSymbol(SnapshotTable[[#This Row],[Symbol]], SnapshotTable[[#This Row],[SP Strike Price]],SnapshotTable[[#This Row],[SP Exp Date]],1), "")</f>
        <v/>
      </c>
      <c r="GO79" s="30" t="str">
        <f>IF(LEN(SnapshotTable[[#This Row],[SP Symbol]])&gt;0, 1, "")</f>
        <v/>
      </c>
      <c r="GP79" s="157" t="str">
        <f>IF(AND(SnapshotTable[[#This Row],[LC Exp Date]]&gt;0,SnapshotTable[[#This Row],[LC Strike Price]]&gt;0), [1]!ToOptionSymbol(SnapshotTable[[#This Row],[Symbol]], SnapshotTable[[#This Row],[LC Strike Price]],SnapshotTable[[#This Row],[LC Exp Date]],0), "")</f>
        <v/>
      </c>
      <c r="GQ79" s="158" t="str">
        <f>IF(LEN(SnapshotTable[[#This Row],[LC Symbol]])&gt;0, 1, "")</f>
        <v/>
      </c>
      <c r="GR79" s="157" t="str">
        <f>IF(AND(SnapshotTable[[#This Row],[SC Exp Date]]&gt;0,SnapshotTable[[#This Row],[SC Strike Price]]&gt;0), [1]!ToOptionSymbol(SnapshotTable[[#This Row],[Symbol]], SnapshotTable[[#This Row],[SC Strike Price]],SnapshotTable[[#This Row],[SC Exp Date]],0), "")</f>
        <v/>
      </c>
      <c r="GS79" s="158" t="str">
        <f>IF(LEN(SnapshotTable[[#This Row],[SC Symbol]])&gt;0, 1, "")</f>
        <v/>
      </c>
      <c r="GT79" s="159" t="str">
        <f>IF(COUNT(SnapshotTable[[#This Row],[LP Symbol Count]],SnapshotTable[[#This Row],[SP Symbol Count]],SnapshotTable[[#This Row],[LC Symbol Count]],SnapshotTable[[#This Row],[SC Symbol Count]])&gt;0, "Y", "")</f>
        <v/>
      </c>
      <c r="GU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79" s="216">
        <f>MAX(SnapshotTable[[#This Row],[Equity Basis Total]],SnapshotTable[[#This Row],[Equity Value]]) + (SnapshotTable[[#This Row],[SP Potential Spend]]- SnapshotTable[[#This Row],[SP Premium]] + SnapshotTable[[#This Row],[LP Premium]])+ (SnapshotTable[[#This Row],[LC Premium]] - SnapshotTable[[#This Row],[SC Premium]])</f>
        <v>0</v>
      </c>
      <c r="GW79" s="137" t="str">
        <f>IF(AND(SnapshotTable[[#This Row],[Exposure]] &lt;&gt; 0),SnapshotTable[[#This Row],[Exposure]] / SnapshotTable[[#Totals],[Exposure]], "")</f>
        <v/>
      </c>
      <c r="HE79" s="253"/>
      <c r="HF79" s="253"/>
      <c r="HK79" s="1"/>
      <c r="HL79" s="1"/>
      <c r="HM79" s="1"/>
      <c r="HN79" s="1"/>
      <c r="HO79" s="1"/>
      <c r="HP79" s="1"/>
    </row>
    <row r="80" spans="2:224" ht="12.75" hidden="1" customHeight="1" x14ac:dyDescent="0.25">
      <c r="B80" s="12" t="s">
        <v>151</v>
      </c>
      <c r="C80" s="385">
        <v>95.14</v>
      </c>
      <c r="D80" s="200"/>
      <c r="E80" s="39">
        <f>SnapshotTable[[#This Row],[Last Price]]*(1 -CrashDiscount)</f>
        <v>80.869</v>
      </c>
      <c r="F80" s="26" t="s">
        <v>149</v>
      </c>
      <c r="G80" s="26" t="s">
        <v>32</v>
      </c>
      <c r="H80" s="147"/>
      <c r="I80" s="186">
        <v>44739.385416666664</v>
      </c>
      <c r="J80" s="187">
        <v>44739.385416666664</v>
      </c>
      <c r="K80" s="188"/>
      <c r="L80" s="297"/>
      <c r="M80" s="138"/>
      <c r="N80" s="138"/>
      <c r="O80" s="138"/>
      <c r="P80" s="22"/>
      <c r="Q80" s="25"/>
      <c r="R80" s="4" t="str">
        <f>IF(SnapshotTable[[#This Row],[Equity Basis Total]] &gt; 0, SnapshotTable[[#This Row],[Equity Basis Total]] / SnapshotTable[[#This Row],[Equity Shares]], "")</f>
        <v/>
      </c>
      <c r="S80" s="254">
        <f>SnapshotTable[[#This Row],[Last Price]] * SnapshotTable[[#This Row],[Equity Shares]]</f>
        <v>0</v>
      </c>
      <c r="T80" s="254">
        <f>SnapshotTable[[#This Row],[Equity Value]] - SnapshotTable[[#This Row],[Equity Basis Total]]</f>
        <v>0</v>
      </c>
      <c r="U80" s="255" t="str">
        <f>IF(SnapshotTable[[#This Row],[Equity Basis Total]] &gt; 0, SnapshotTable[[#This Row],[Equity G/L]] / SnapshotTable[[#This Row],[Equity Basis Total]], "")</f>
        <v/>
      </c>
      <c r="V80" s="253"/>
      <c r="W80" s="253"/>
      <c r="X80" s="4" t="str">
        <f>IF(AND(ISNUMBER(SnapshotTable[[#This Row],[Equity Basis Per Share]]),ISNUMBER(SnapshotTable[[#This Row],[Equity Target]])),SnapshotTable[[#This Row],[Equity Target]]-SnapshotTable[[#This Row],[Equity Basis Per Share]],"")</f>
        <v/>
      </c>
      <c r="Y80" s="4" t="str">
        <f>IF(AND(ISNUMBER(SnapshotTable[[#This Row],[Equity Basis Per Share]]),ISNUMBER(SnapshotTable[[#This Row],[Equity Stop Loss]])),SnapshotTable[[#This Row],[Equity Stop Loss]]-SnapshotTable[[#This Row],[Equity Basis Per Share]],"")</f>
        <v/>
      </c>
      <c r="Z80" s="260" t="str">
        <f>IFERROR( TEXT(SnapshotTable[[#This Row],[Equity Max Gain Per Share]] /ABS( SnapshotTable[[#This Row],[Equity Max Loss Per Share]]),"0.0 " ) &amp; " : 1", "")</f>
        <v/>
      </c>
      <c r="AA80" s="31" t="str">
        <f>IF(ISNUMBER(SnapshotTable[[#This Row],[Equity Max Gain Per Share]]),SnapshotTable[[#This Row],[Equity Max Gain Per Share]] * SnapshotTable[[#This Row],[Equity Shares]],"")</f>
        <v/>
      </c>
      <c r="AB80" s="31" t="str">
        <f>IF(ISNUMBER(SnapshotTable[[#This Row],[Equity Max Loss Per Share]]),SnapshotTable[[#This Row],[Equity Max Loss Per Share]] * SnapshotTable[[#This Row],[Equity Shares]],"")</f>
        <v/>
      </c>
      <c r="AC80" s="148">
        <v>0</v>
      </c>
      <c r="AD80" s="149" t="s">
        <v>2</v>
      </c>
      <c r="AE80" s="31">
        <f>(SnapshotTable[[#This Row],[Annual Dividend Per Share]] / 4) * SnapshotTable[[#This Row],[Equity Shares]]</f>
        <v>0</v>
      </c>
      <c r="AF80" s="31">
        <f>SnapshotTable[[#This Row],[Quarterly Div $]] * 4</f>
        <v>0</v>
      </c>
      <c r="AG80" s="7">
        <f>IF(SnapshotTable[[#This Row],[Annual Dividend Per Share]]&gt;0, SnapshotTable[[#This Row],[Annual Dividend Per Share]]  / SnapshotTable[[#This Row],[Last Price]], 0)</f>
        <v>0</v>
      </c>
      <c r="AH80" s="149" t="s">
        <v>2</v>
      </c>
      <c r="AI80" s="5"/>
      <c r="AJ80" s="136">
        <v>95</v>
      </c>
      <c r="AK80" s="150" t="str">
        <f>IF(ISNUMBER( SnapshotTable[[#This Row],[EBF Target]]),(SnapshotTable[[#This Row],[EBF Target]] - SnapshotTable[[#This Row],[Last Price]]) / SnapshotTable[[#This Row],[Last Price]], "")</f>
        <v/>
      </c>
      <c r="AL80" s="150" t="str">
        <f>IF(AND(SnapshotTable[[#This Row],[Equity Basis Total]] &gt; 0,ISNUMBER( SnapshotTable[[#This Row],[Long Term Target]])), SnapshotTable[[#This Row],[From Basis $]] / SnapshotTable[[#This Row],[Equity Basis Total]], "")</f>
        <v/>
      </c>
      <c r="AM80" s="9">
        <f>IF( AND(SnapshotTable[[#This Row],[Equity Shares]] &gt;0,ISNUMBER( SnapshotTable[[#This Row],[Long Term Target]])),(SnapshotTable[[#This Row],[Equity Shares]] * SnapshotTable[[#This Row],[Long Term Target]]) - SnapshotTable[[#This Row],[Equity Basis Total]],0)</f>
        <v>0</v>
      </c>
      <c r="AN80" s="9">
        <f>IF( AND(SnapshotTable[[#This Row],[Equity Shares]] &gt;0,ISNUMBER( SnapshotTable[[#This Row],[Long Term Target]])),(SnapshotTable[[#This Row],[Equity Shares]]*SnapshotTable[[#This Row],[Long Term Target]]) - SnapshotTable[[#This Row],[Equity Value]],0)</f>
        <v>0</v>
      </c>
      <c r="AO80" s="150">
        <f>IF(AND(ISNUMBER( SnapshotTable[[#This Row],[Long Term Target]]), ISNUMBER(SnapshotTable[[#This Row],[Last Price]])),(SnapshotTable[[#This Row],[Long Term Target]] - SnapshotTable[[#This Row],[Last Price]]) / SnapshotTable[[#This Row],[Last Price]], "")</f>
        <v>-1.4715156611309708E-3</v>
      </c>
      <c r="AP80" s="5"/>
      <c r="AQ80" s="38"/>
      <c r="AR80" s="5"/>
      <c r="AS80" s="38"/>
      <c r="AT80" s="144"/>
      <c r="AU80" s="185" t="str">
        <f>IF(OR(SnapshotTable[[#This Row],[LP No Fill]]="Y",SnapshotTable[[#This Row],[SP Is Filled]],SnapshotTable[[#This Row],[LC Not Filled]]="Y",SnapshotTable[[#This Row],[SC Is Filled]]),"Y","")</f>
        <v/>
      </c>
      <c r="AV80" s="205"/>
      <c r="AW80" s="211"/>
      <c r="AX80" s="206"/>
      <c r="AY80" s="205" t="str">
        <f>IF(SnapshotTable[[#This Row],[Implied Move]]&gt;0, SnapshotTable[[#This Row],[Last Price]]-SnapshotTable[[#This Row],[Implied Move]],"")</f>
        <v/>
      </c>
      <c r="AZ80" s="205" t="str">
        <f>IF(SnapshotTable[[#This Row],[Implied Move]]&gt;0, SnapshotTable[[#This Row],[Last Price]] + SnapshotTable[[#This Row],[Implied Move]],"")</f>
        <v/>
      </c>
      <c r="BA80" s="302"/>
      <c r="BB80" s="318"/>
      <c r="BC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0" s="321"/>
      <c r="BE80" s="5"/>
      <c r="BF80" s="14"/>
      <c r="BG80" s="13"/>
      <c r="BH80" s="13"/>
      <c r="BI80" s="5"/>
      <c r="BJ80" s="134">
        <f>IF(SnapshotTable[[#This Row],[LP Qty]] &gt; 0, SnapshotTable[[#This Row],[LP Qty]] * SnapshotTable[[#This Row],[LP Book Price]] * 100,0)</f>
        <v>0</v>
      </c>
      <c r="BK80" s="134">
        <f>IF(SnapshotTable[[#This Row],[LP Premium]] &gt; 0, SnapshotTable[[#This Row],[LP Qty]] * SnapshotTable[[#This Row],[LP Strike Price]] * 100,0)</f>
        <v>0</v>
      </c>
      <c r="BL80" s="152"/>
      <c r="BM80" s="355" t="str">
        <f>IF(SnapshotTable[[#This Row],[LP Premium]] &gt; 0,SnapshotTable[[#This Row],[LP Exp Date]]-MAX(SnapshotTable[[#This Row],[LP Book Date]], SnapshotTable[[#This Row],[LP Fill Date]]),"")</f>
        <v/>
      </c>
      <c r="BN80" s="355" t="str">
        <f>IF(ISNUMBER( SnapshotTable[[#This Row],[LP Term]]), SnapshotTable[[#This Row],[LP Exp Date]] - MockToday,"")</f>
        <v/>
      </c>
      <c r="BO80" s="161" t="str">
        <f>IF(AND(SnapshotTable[[#This Row],[LP Exp Date]]&gt;0, SnapshotTable[[#This Row],[LP Strike Price]]&gt;0,SnapshotTable[[#This Row],[LP Qty]]&gt;0,SnapshotTable[[#This Row],[LP Book Date]]&gt;0,SnapshotTable[[#This Row],[LP Book Price]]&gt;0,SnapshotTable[[#This Row],[LP Fill Date]]=0),"Y","")</f>
        <v/>
      </c>
      <c r="BP80" s="31" t="str">
        <f>IF(AND(SnapshotTable[[#This Row],[LP No Fill]]&lt;&gt;"Y",SnapshotTable[[#This Row],[LP Contract Value]]&gt;0, SnapshotTable[[#This Row],[LP Qty]]&gt;0), SnapshotTable[[#This Row],[LP Contract Value]]*SnapshotTable[[#This Row],[LP Qty]]*100,"")</f>
        <v/>
      </c>
      <c r="BQ80" s="13"/>
      <c r="BR80" s="5"/>
      <c r="BS80" s="36"/>
      <c r="BT80" s="145"/>
      <c r="BU80" s="13"/>
      <c r="BV80" s="5"/>
      <c r="BW80" s="382" t="b">
        <f>AND(ISNUMBER(SnapshotTable[[#This Row],[SP Exp Date]]), ISNUMBER(SnapshotTable[[#This Row],[SP Strike Price]]), ISNUMBER(SnapshotTable[[#This Row],[SP Qty]]), ISNUMBER(SnapshotTable[[#This Row],[SP Book Date]]), ISNUMBER(SnapshotTable[[#This Row],[SP Book Price]]))</f>
        <v>0</v>
      </c>
      <c r="BX80" s="382" t="b">
        <f>AND(SnapshotTable[[#This Row],[SP Is Booked]], NOT(ISBLANK(SnapshotTable[[#This Row],[SP Fill Date]])))</f>
        <v>0</v>
      </c>
      <c r="BY80" s="33">
        <f>IF(SnapshotTable[[#This Row],[SP Is Booked]], SnapshotTable[[#This Row],[SP Qty]] * SnapshotTable[[#This Row],[SP Book Price]] * 100, 0)</f>
        <v>0</v>
      </c>
      <c r="BZ80" s="339"/>
      <c r="CA80" s="338">
        <f>SnapshotTable[[#This Row],[LP Qty]]</f>
        <v>0</v>
      </c>
      <c r="CB80" s="4" t="str">
        <f>IF(SnapshotTable[[#This Row],[SP Is Booked]], SnapshotTable[[#This Row],[SP Strike Price]] - SnapshotTable[[#This Row],[SP Book Price]], "")</f>
        <v/>
      </c>
      <c r="CC80" s="19" t="str">
        <f>IF(SnapshotTable[[#This Row],[SP Is Booked]],SnapshotTable[[#This Row],[SP Exp Date]]-MAX(SnapshotTable[[#This Row],[SP Book Date]], SnapshotTable[[#This Row],[SP Fill Date]]),"")</f>
        <v/>
      </c>
      <c r="CD80" s="7" t="str">
        <f>IF(SnapshotTable[[#This Row],[SP Is Booked]], SnapshotTable[[#This Row],[SP Book Price]]/SnapshotTable[[#This Row],[SP Strike Price]], "")</f>
        <v/>
      </c>
      <c r="CE80" s="7" t="str">
        <f>IF(ISNUMBER(SnapshotTable[[#This Row],[SP ROO Term]]),SnapshotTable[[#This Row],[SP ROO Term]]*(365/SnapshotTable[[#This Row],[SP Term]]),"")</f>
        <v/>
      </c>
      <c r="CF80" s="221">
        <f>SnapshotTable[[#This Row],[LP Strike Price]] * SnapshotTable[[#This Row],[LP Qty]] * 100</f>
        <v>0</v>
      </c>
      <c r="CG80" s="31">
        <f>IF(ISNUMBER(SnapshotTable[[#This Row],[SP Premium]]), (SnapshotTable[[#This Row],[SP Qty]] * SnapshotTable[[#This Row],[SP Strike Price]]* 100) - SnapshotTable[[#This Row],[LP Protection]], 0)</f>
        <v>0</v>
      </c>
      <c r="CH80" s="7" t="str">
        <f>IF(ISNUMBER(SnapshotTable[[#This Row],[SP Break Even]]),-1 * (SnapshotTable[[#This Row],[SP Break Even]] - SnapshotTable[[#This Row],[Last Price]]) / SnapshotTable[[#This Row],[Last Price]], "")</f>
        <v/>
      </c>
      <c r="CI80" s="31">
        <f>IF(AND(ISNUMBER((SnapshotTable[[#This Row],[SP Potential Spend]])), SnapshotTable[[#This Row],[SP Strike Price]] &gt; SnapshotTable[[#This Row],[Last Price]], SnapshotTable[[#This Row],[SP Is Filled]]), SnapshotTable[[#This Row],[SP Potential Spend]] -  SnapshotTable[[#This Row],[LP Max Value]], 0)</f>
        <v>0</v>
      </c>
      <c r="CJ80" s="229"/>
      <c r="CK80" s="31">
        <f>IF(ISNUMBER(SnapshotTable[[#This Row],[SP Potential Spend]]),IF(ISNUMBER(SnapshotTable[[#This Row],[SP POW]]), SnapshotTable[[#This Row],[SP POW]] * SnapshotTable[[#This Row],[SP Potential Spend]], SnapshotTable[[#This Row],[SP Potential Spend]]), "")</f>
        <v>0</v>
      </c>
      <c r="CL80" s="162">
        <f>IF(NOT(SnapshotTable[[#This Row],[SP Is Filled]]),(SnapshotTable[[#This Row],[SP Qty]] * SnapshotTable[[#This Row],[SP Strike Price]] * 100) - SnapshotTable[[#This Row],[LP Max Value]],"")</f>
        <v>0</v>
      </c>
      <c r="CM80" s="31" t="str">
        <f>IF(SnapshotTable[[#This Row],[SP Actual Spend]]&lt;&gt;0, ((SnapshotTable[[#This Row],[SP Strike Price]]-SnapshotTable[[#This Row],[Last Price]]) *(SnapshotTable[[#This Row],[SP Qty]]*100) - SnapshotTable[[#This Row],[SP Premium]]) * - 1, "")</f>
        <v/>
      </c>
      <c r="CN80" s="76"/>
      <c r="CO80" s="339"/>
      <c r="CP80" s="4" t="str">
        <f>IF(SnapshotTable[[#This Row],[SP Is Filled]], btc_max_buyback_amount(SnapshotTable[[#This Row],[SP Fill Date]],SnapshotTable[[#This Row],[SP Exp Date]], SnapshotTable[[#This Row],[SP Book Price]]),"")</f>
        <v/>
      </c>
      <c r="CQ80" s="76"/>
      <c r="CR8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0" s="153" t="str">
        <f>IF(SnapshotTable[[#This Row],[SP Is Filled]], btc_next_cutoff_date(SnapshotTable[[#This Row],[SP Fill Date]],SnapshotTable[[#This Row],[SP Exp Date]]),"")</f>
        <v/>
      </c>
      <c r="CT80" s="220" t="str" cm="1">
        <f t="array" ref="CT80">IF(SnapshotTable[[#This Row],[SP Is Filled]], btc_should_buy_back(SnapshotTable[[#This Row],[SP Fill Date]], SnapshotTable[[#This Row],[SP Exp Date]], SnapshotTable[[#This Row],[SP Book Price]], SnapshotTable[[#This Row],[SP Current Ask]], MockToday, SnapshotTable[[#This Row],[SP Buyback Override]]),"")</f>
        <v/>
      </c>
      <c r="CU80" s="141"/>
      <c r="CV80" s="220"/>
      <c r="CW80" s="348" t="str">
        <f>IF(ISNUMBER( SnapshotTable[[#This Row],[SP Term]]), SnapshotTable[[#This Row],[SP Exp Date]] - MockToday,"")</f>
        <v/>
      </c>
      <c r="CX80" s="31" t="str">
        <f>IF(SnapshotTable[[#This Row],[SP Is Filled]],SnapshotTable[[#This Row],[SP Buyback Price to Use]] * 100 * SnapshotTable[[#This Row],[SP Qty]], "")</f>
        <v/>
      </c>
      <c r="CY80" s="4" t="str">
        <f>IF(ISNUMBER(SnapshotTable[[#This Row],[SP Strike Price]]), SnapshotTable[[#This Row],[SP Strike Price]] * (1 - SP_MaxLoss_StrikePct), "")</f>
        <v/>
      </c>
      <c r="CZ80" s="31" t="str">
        <f>IF(ISNUMBER(SnapshotTable[[#This Row],[SP Strike  Stop Per Share]]),SnapshotTable[[#This Row],[SP Premium]] - ((SnapshotTable[[#This Row],[SP Strike Price]]-SnapshotTable[[#This Row],[SP Strike  Stop Per Share]]) *(SnapshotTable[[#This Row],[SP Qty]] * 100)),"")</f>
        <v/>
      </c>
      <c r="DA80" s="4" t="str">
        <f>IF(AND(ISNUMBER(SnapshotTable[[#This Row],[SP Premium]]),SnapshotTable[[#This Row],[SP Premium]]&gt;0), SnapshotTable[[#This Row],[SP Book Price]] * (1 + SP_MaxLoss_OptionPct), "")</f>
        <v/>
      </c>
      <c r="DB80" s="31" t="str">
        <f>IF(ISNUMBER(SnapshotTable[[#This Row],[SP Option  Stop Contract]]),(SnapshotTable[[#This Row],[SP Option  Stop Contract]] *(SnapshotTable[[#This Row],[SP Qty]] * 100) - SnapshotTable[[#This Row],[SP Premium]]),"")</f>
        <v/>
      </c>
      <c r="DC80" s="4"/>
      <c r="DD80" s="4"/>
      <c r="DE80" s="4" t="str">
        <f>IF(AND(SnapshotTable[[#This Row],[SP Qty]]&gt;0, SnapshotTable[[#This Row],[SP Stop To Use]]&gt;0),SnapshotTable[[#This Row],[SP Premium]] - ( SnapshotTable[[#This Row],[SP Qty]] * SnapshotTable[[#This Row],[SP Stop To Use]] * 100), "")</f>
        <v/>
      </c>
      <c r="DF80" s="31" t="str">
        <f>IF(AND(SnapshotTable[[#This Row],[SP Qty]]&gt;0,SnapshotTable[[#This Row],[SP Current Ask]]&gt;0), SnapshotTable[[#This Row],[SP Qty]] * SnapshotTable[[#This Row],[SP Current Ask]] * -100, "")</f>
        <v/>
      </c>
      <c r="DG80" s="31" t="str">
        <f>IF(ISNUMBER((SnapshotTable[[#This Row],[SP Total Value]])), SnapshotTable[[#This Row],[SP Premium]] + SnapshotTable[[#This Row],[SP Total Value]], "")</f>
        <v/>
      </c>
      <c r="DH80" s="272" t="str">
        <f>IF(ISNUMBER((SnapshotTable[[#This Row],[SP Total Value]])), SnapshotTable[[#This Row],[SP Gain Loss]] / SnapshotTable[[#This Row],[SP Premium]], "")</f>
        <v/>
      </c>
      <c r="DI80" s="369"/>
      <c r="DJ80" s="136"/>
      <c r="DK80" s="146"/>
      <c r="DL80" s="13"/>
      <c r="DM80" s="13"/>
      <c r="DO80" s="31">
        <f>IF(SnapshotTable[[#This Row],[LC Symbol Count]]=1, SnapshotTable[[#This Row],[LC Qty]] * SnapshotTable[[#This Row],[LC Book Price]] * 100, 0)</f>
        <v>0</v>
      </c>
      <c r="DP80" s="161" t="str">
        <f>IF(AND(SnapshotTable[[#This Row],[LC Exp Date]]&gt;0, SnapshotTable[[#This Row],[LC Strike Price]]&gt;0,SnapshotTable[[#This Row],[LC Qty]]&gt;0,SnapshotTable[[#This Row],[LC Book Date]]&gt;0,SnapshotTable[[#This Row],[LC Book Price]]&gt;0,SnapshotTable[[#This Row],[LC Fill Date]]=0),"Y","")</f>
        <v/>
      </c>
      <c r="DQ80" s="356" t="str">
        <f>IF(SnapshotTable[[#This Row],[LC Premium]] &gt; 0,SnapshotTable[[#This Row],[LC Exp Date]]-MAX(SnapshotTable[[#This Row],[LC Book Date]], SnapshotTable[[#This Row],[LC Fill Date]]),"")</f>
        <v/>
      </c>
      <c r="DR80" s="356" t="str">
        <f>IF(ISNUMBER(SnapshotTable[[#This Row],[LC Term]]), SnapshotTable[[#This Row],[LC Exp Date]] - MockToday, "")</f>
        <v/>
      </c>
      <c r="DS80" s="219" t="str">
        <f>IF(SnapshotTable[[#This Row],[LC Premium]]&gt;0,SnapshotTable[[#This Row],[LC Strike Price]] + SnapshotTable[[#This Row],[LC Book Price]],"")</f>
        <v/>
      </c>
      <c r="DU80" s="9" t="str">
        <f>IF(AND(SnapshotTable[[#This Row],[LC Symbol Count]]&gt;0, SnapshotTable[[#This Row],[LC Contract Value]]&gt;0), SnapshotTable[[#This Row],[LC Contract Value]] * SnapshotTable[[#This Row],[LC Qty]] * 100, "")</f>
        <v/>
      </c>
      <c r="DV80" s="9" t="str">
        <f>IF(AND(ISNUMBER(SnapshotTable[[#This Row],[LC Total Value]]), SnapshotTable[[#This Row],[LC Not Filled]]&lt;&gt;"Y"), SnapshotTable[[#This Row],[LC Total Value]]-SnapshotTable[[#This Row],[LC Premium]],"")</f>
        <v/>
      </c>
      <c r="DW80" s="225" t="str">
        <f>IF(ISNUMBER(SnapshotTable[[#This Row],[LC Actual Gain Loss]]), SnapshotTable[[#This Row],[LC Actual Gain Loss]] / SnapshotTable[[#This Row],[LC Premium]],"")</f>
        <v/>
      </c>
      <c r="DX80" s="269" t="str">
        <f>IF(ISNUMBER(SnapshotTable[[#This Row],[LC Book Price]]),SnapshotTable[[#This Row],[LC Book Price]] * 1.5,"")</f>
        <v/>
      </c>
      <c r="DY80" s="250" t="str">
        <f>IF(SnapshotTable[[#This Row],[LC Premium]]&gt;0, SnapshotTable[[#This Row],[LC Next Target]] * SnapshotTable[[#This Row],[LC Qty]] * 100,"")</f>
        <v/>
      </c>
      <c r="DZ80" s="250" t="str">
        <f>IF(ISNUMBER(SnapshotTable[[#This Row],[LC Target Gross]]), SnapshotTable[[#This Row],[LC Target Gross]] - SnapshotTable[[#This Row],[LC Premium]], "")</f>
        <v/>
      </c>
      <c r="EA80" s="283" t="str">
        <f>IF(ISNUMBER(SnapshotTable[[#This Row],[LC Target Gain Loss]]), SnapshotTable[[#This Row],[LC Target Gain Loss]]/SnapshotTable[[#This Row],[LC Premium]], "")</f>
        <v/>
      </c>
      <c r="EB80" s="247"/>
      <c r="EC80" s="268" t="str">
        <f>IF(SnapshotTable[[#This Row],[LC Premium]]&gt;0, SnapshotTable[[#This Row],[LC Book Price]] * (1 - LC_StopLoss_Pct),"")</f>
        <v/>
      </c>
      <c r="ED80" s="269"/>
      <c r="EE80" s="268" t="str">
        <f>IF(ISNUMBER(SnapshotTable[[#This Row],[LC Contract Value]]),IF(ISNUMBER(SnapshotTable[[#This Row],[LC Stop Loss Override]]), SnapshotTable[[#This Row],[LC Stop Loss Override]],SnapshotTable[[#This Row],[LC Stop Loss Calc Target]]),"")</f>
        <v/>
      </c>
      <c r="EF80" s="31" t="str">
        <f>IF(ISNUMBER(SnapshotTable[[#This Row],[LC Stop  To Use]]), (SnapshotTable[[#This Row],[LC Stop  To Use]] * SnapshotTable[[#This Row],[LC Qty]] * 100),"")</f>
        <v/>
      </c>
      <c r="EG80" s="9" t="str">
        <f>IF(ISNUMBER(SnapshotTable[[#This Row],[LC Total Value]]),SnapshotTable[[#This Row],[LC Stop Loss Amount]] - SnapshotTable[[#This Row],[LC Premium]],"")</f>
        <v/>
      </c>
      <c r="EH80" s="9">
        <f>IF(ISNUMBER(SnapshotTable[[#This Row],[LC Premium]]), SnapshotTable[[#This Row],[LC Qty]] * 100 * SnapshotTable[[#This Row],[LC Strike Price]], "")</f>
        <v>0</v>
      </c>
      <c r="EI80" s="225" t="str">
        <f>IF(AND(ISNUMBER(SnapshotTable[[#This Row],[LC Total Value]]),SnapshotTable[[#This Row],[LC Total Value]]&gt;0),SnapshotTable[[#This Row],[LC Stop Gain Loss]]  / SnapshotTable[[#This Row],[LC Premium]],"")</f>
        <v/>
      </c>
      <c r="EJ80" s="35">
        <f>IF(ISNUMBER(SnapshotTable[[#This Row],[Equity Shares]]),TRUNC(SnapshotTable[[#This Row],[Equity Shares]] / 100),0) + SnapshotTable[[#This Row],[LC Qty]]</f>
        <v>0</v>
      </c>
      <c r="EK80" s="145"/>
      <c r="EL80" s="136"/>
      <c r="EM80" s="146"/>
      <c r="EN80" s="145"/>
      <c r="EO80" s="145"/>
      <c r="EP80" s="136"/>
      <c r="EQ80" s="382" t="b">
        <f>AND(ISNUMBER(SnapshotTable[[#This Row],[SC Exp Date]]), ISNUMBER(SnapshotTable[[#This Row],[SC Strike Price]]), ISNUMBER(SnapshotTable[[#This Row],[SC Qty]]), ISNUMBER(SnapshotTable[[#This Row],[SC Book Date]]), ISNUMBER(SnapshotTable[[#This Row],[SC Book Price]]))</f>
        <v>0</v>
      </c>
      <c r="ER80" s="382" t="b">
        <f>AND(SnapshotTable[[#This Row],[SC Is Booked]], NOT(ISBLANK(SnapshotTable[[#This Row],[SC Fill Date]])))</f>
        <v>0</v>
      </c>
      <c r="ES80" s="340"/>
      <c r="ET80" s="34" t="str">
        <f>IF(AND(ISNUMBER(SnapshotTable[[#This Row],[SC Exp Date]]), ISNUMBER(SnapshotTable[[#This Row],[SC Book Date]])), SnapshotTable[[#This Row],[SC Exp Date]] - MAX(SnapshotTable[[#This Row],[SC Book Date]], SnapshotTable[[#This Row],[SC Fill Date]]) + 1, "")</f>
        <v/>
      </c>
      <c r="EU80" s="34" t="str">
        <f>IF(ISNUMBER(SnapshotTable[[#This Row],[SC Term]]), SnapshotTable[[#This Row],[SC Exp Date]]- MockToday, "")</f>
        <v/>
      </c>
      <c r="EV80" s="31">
        <f>IF(SnapshotTable[[#This Row],[SC Is Booked]], SnapshotTable[[#This Row],[SC Qty]] * SnapshotTable[[#This Row],[SC Book Price]] * 100, 0)</f>
        <v>0</v>
      </c>
      <c r="EW80" s="4" t="str">
        <f>IF(AND(ISNUMBER(SnapshotTable[[#This Row],[Last Price]]), ISNUMBER( SnapshotTable[[#This Row],[SC Book Price]])), SnapshotTable[[#This Row],[Last Price]] - SnapshotTable[[#This Row],[SC Book Price]],"")</f>
        <v/>
      </c>
      <c r="EX80" s="219" t="str">
        <f>IF(SnapshotTable[[#This Row],[SC Is Booked]],IF(SnapshotTable[[#This Row],[SC Intrinsic Value]] &gt; 0, SnapshotTable[[#This Row],[SC Strike Price]], SnapshotTable[[#This Row],[Last Price]]), "")</f>
        <v/>
      </c>
      <c r="EY80" s="4">
        <f>IF(SnapshotTable[[#This Row],[SC Is Booked]], (MinimumPremiumRequired * SnapshotTable[[#This Row],[SC Basis]] * SnapshotTable[[#This Row],[SC Term]]), 0)</f>
        <v>0</v>
      </c>
      <c r="EZ80" s="268"/>
      <c r="FA80" s="204"/>
      <c r="FB80" s="340"/>
      <c r="FC80" s="4">
        <f>IF(SnapshotTable[[#This Row],[SC Is Filled]], btc_max_buyback_amount(SnapshotTable[[#This Row],[SC Fill Date]],SnapshotTable[[#This Row],[SC Exp Date]], SnapshotTable[[#This Row],[SC Book Price]]),0)</f>
        <v>0</v>
      </c>
      <c r="FD80" s="5"/>
      <c r="FE80" s="142" t="str">
        <f>IF(SnapshotTable[[#This Row],[SC Is Filled]], btc_next_cutoff_date(SnapshotTable[[#This Row],[SC Fill Date]],SnapshotTable[[#This Row],[SC Exp Date]]),"")</f>
        <v/>
      </c>
      <c r="FF80" s="4" t="str" cm="1">
        <f t="array" ref="FF80">IF(SnapshotTable[[#This Row],[SC Is Filled]], btc_should_buy_back(SnapshotTable[[#This Row],[SC Fill Date]], SnapshotTable[[#This Row],[SC Exp Date]], SnapshotTable[[#This Row],[SC Book Price]], SnapshotTable[[#This Row],[SC Current Ask]], MockToday, SnapshotTable[[#This Row],[SC Buyback Override]]),"")</f>
        <v/>
      </c>
      <c r="FG80" s="4">
        <f>IF(SnapshotTable[[#This Row],[SC Is Filled]], MAX(0,SnapshotTable[[#This Row],[Last Price]]  - SnapshotTable[[#This Row],[SC Strike Price]]), 0)</f>
        <v>0</v>
      </c>
      <c r="FH80" s="352">
        <f>IF(SnapshotTable[[#This Row],[SC Is Filled]], IF(ISNUMBER(SnapshotTable[[#This Row],[SC Current Ask]]), SnapshotTable[[#This Row],[SC Current Ask]], SnapshotTable[[#This Row],[SC Book Price]]) - SnapshotTable[[#This Row],[SC Intrinsic Value]], 0)</f>
        <v>0</v>
      </c>
      <c r="FI80" s="141"/>
      <c r="FJ80" s="32" t="str">
        <f>IF(SnapshotTable[[#This Row],[SC Is Filled]],100 * SnapshotTable[[#This Row],[SC Qty]] * IF(ISNUMBER(SnapshotTable[[#This Row],[SC Buyback Override]]), SnapshotTable[[#This Row],[SC Buyback Override]], SnapshotTable[[#This Row],[SC Current Ask]]), "")</f>
        <v/>
      </c>
      <c r="FK80" s="235" t="str">
        <f>IF(SnapshotTable[[#This Row],[SC Time Val]]&gt;0, SnapshotTable[[#This Row],[SC Time Val]] / SnapshotTable[[#This Row],[Last Price]],"")</f>
        <v/>
      </c>
      <c r="FL80" s="280" t="str">
        <f>IF(SnapshotTable[[#This Row],[SC Is Booked]], ((SnapshotTable[[#This Row],[Last Price]] -SnapshotTable[[#This Row],[SC Strike Price]]) / SnapshotTable[[#This Row],[Last Price]]) * -1, "")</f>
        <v/>
      </c>
      <c r="FM80" s="155" t="str">
        <f>IF(SnapshotTable[[#This Row],[SC Is Booked]],  (SnapshotTable[[#This Row],[SC Qty]] * 100 * SnapshotTable[[#This Row],[SC Strike Price]]) - SnapshotTable[[#This Row],[SC Current Ask]], "")</f>
        <v/>
      </c>
      <c r="FN8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0" s="31" t="str">
        <f>IF(AND(ISNUMBER(SnapshotTable[[#This Row],[SC Exercise Gross]]), ISNUMBER(SnapshotTable[[#This Row],[Equity Basis Per Share]] )), SnapshotTable[[#This Row],[SC Exercise Gross]] - SnapshotTable[[#This Row],[Equity Basis Total]] +  SnapshotTable[[#This Row],[SC Premium]], "")</f>
        <v/>
      </c>
      <c r="FP80" s="5" t="str">
        <f>IF(ISNUMBER(SnapshotTable[[#This Row],[SC Exercise Gross]]), (SnapshotTable[[#This Row],[SC Exercise Gross]]) / (SnapshotTable[[#This Row],[SC Qty]] * 100), "")</f>
        <v/>
      </c>
      <c r="FQ80" s="27" t="str">
        <f>IF(SnapshotTable[[#This Row],[SC Is Booked]],SnapshotTable[[#This Row],[SC Time Val]] /SnapshotTable[[#This Row],[SC Basis]], "")</f>
        <v/>
      </c>
      <c r="FR80" s="27" t="str" cm="1">
        <f t="array" ref="FR80">IF(AND(ISNUMBER(SnapshotTable[[#This Row],[SC Term]]),ISNUMBER(SnapshotTable[[#This Row],[SC Simple ROO]])), EllmanAnnualize(SnapshotTable[[#This Row],[SC DTE]], SnapshotTable[[#This Row],[SC Simple ROO]] ),"")</f>
        <v/>
      </c>
      <c r="FS80" s="4">
        <f>IF(SnapshotTable[[#This Row],[SC Strike Price]] &gt; SnapshotTable[[#This Row],[Last Price]], SnapshotTable[[#This Row],[SC Strike Price]] - SnapshotTable[[#This Row],[Last Price]],0)</f>
        <v>0</v>
      </c>
      <c r="FT80" s="27" t="str">
        <f>IF(AND(ISNUMBER(SnapshotTable[[#This Row],[SC Upside Potential]]), SnapshotTable[[#This Row],[SC Upside Potential]] &gt; 0),(SnapshotTable[[#This Row],[SC Upside Potential]]/ SnapshotTable[[#This Row],[ACB]]),"")</f>
        <v/>
      </c>
      <c r="FU80" s="304" t="str">
        <f>IF(SnapshotTable[[#This Row],[SC Intrinsic Value]] &gt; 0,SnapshotTable[[#This Row],[SC Intrinsic Value]],"")</f>
        <v/>
      </c>
      <c r="FV80" s="27" t="str">
        <f>IF(AND( ISNUMBER( SnapshotTable[[#This Row],[ACB]]),ISNUMBER(SnapshotTable[[#This Row],[SC Downside Protect]])),SnapshotTable[[#This Row],[SC Downside Protect]] / SnapshotTable[[#This Row],[ACB]],"")</f>
        <v/>
      </c>
      <c r="FW80" s="221" t="str">
        <f>IF(AND(ISNUMBER(SnapshotTable[[#This Row],[SC Simple ROO]]),SnapshotTable[[#This Row],[SC Simple ROO]] &gt; 0), SnapshotTable[[#This Row],[SC Premium]] + (SnapshotTable[[#This Row],[SC Qty]] * SnapshotTable[[#This Row],[SC Upside Potential]]), "")</f>
        <v/>
      </c>
      <c r="FX80" s="280" t="str" cm="1">
        <f t="array" ref="FX80">IF(ISNUMBER(SnapshotTable[[#This Row],[SC Max Dollars]]), annualize(SnapshotTable[[#This Row],[SC Term]],(SnapshotTable[[#This Row],[SC Max Dollars]]/SnapshotTable[[#This Row],[SC Basis]])),"")</f>
        <v/>
      </c>
      <c r="FY80" s="221" t="str">
        <f>IF(AND(SnapshotTable[[#This Row],[SC Qty]]&gt;0,SnapshotTable[[#This Row],[SC Current Ask]]&gt;0), SnapshotTable[[#This Row],[SC Qty]] * SnapshotTable[[#This Row],[SC Current Ask]] * -100, "")</f>
        <v/>
      </c>
      <c r="FZ80" s="31" t="str">
        <f>IF(ISNUMBER((SnapshotTable[[#This Row],[SC Current Value]])), SnapshotTable[[#This Row],[SC Premium]] + SnapshotTable[[#This Row],[SC Current Value]], "")</f>
        <v/>
      </c>
      <c r="GA80" s="272" t="str">
        <f>IFERROR( IF(ISNUMBER((SnapshotTable[[#This Row],[SC Current Value]])), SnapshotTable[[#This Row],[SC Gain Loss]] / SnapshotTable[[#This Row],[SC Premium]], ""), "")</f>
        <v/>
      </c>
      <c r="GB80" s="42">
        <f>SnapshotTable[[#This Row],[Equity Shares]] * SaleSharesToConsiderPercentage</f>
        <v>0</v>
      </c>
      <c r="GC80" s="40">
        <f>SnapshotTable[[#This Row],[Long Term Target]] * SellingPriceToConsiderBasedOnTargetPercentage</f>
        <v>90.25</v>
      </c>
      <c r="GD80" s="40">
        <f>SnapshotTable[[#This Row],[Last Price]] * (1+ SellingPriceToConsiderBasedOnTargetPercentage)</f>
        <v>185.523</v>
      </c>
      <c r="GE80" s="41"/>
      <c r="GF80" s="40">
        <v>85.79</v>
      </c>
      <c r="GG80" s="31">
        <f>SnapshotTable[[#This Row],[Booked Sale Shares]] * SnapshotTable[[#This Row],[Booked Sale Price]]</f>
        <v>0</v>
      </c>
      <c r="GH80" s="31" t="str">
        <f>IF(SnapshotTable[[#This Row],[Equity Basis Total]] &gt; 0, SnapshotTable[[#This Row],[Equity Basis Per Share]] * SnapshotTable[[#This Row],[Booked Sale Shares]], "")</f>
        <v/>
      </c>
      <c r="GI80" s="31">
        <f>IF(SnapshotTable[[#This Row],[Sale Proceeds]]&gt;0, SnapshotTable[[#This Row],[Sale Proceeds]] - SnapshotTable[[#This Row],[Sale Basis]], 0)</f>
        <v>0</v>
      </c>
      <c r="GJ80" s="27" t="str">
        <f>IF(SnapshotTable[[#This Row],[Sale G/L]]&gt;0, SnapshotTable[[#This Row],[Sale G/L]] / SnapshotTable[[#This Row],[Sale Basis]], IF(ISNUMBER(SnapshotTable[[#This Row],[SC Exercise P&amp;L (TAX)]]), SnapshotTable[[#This Row],[SC Exercise P&amp;L (TAX)]] / SnapshotTable[[#This Row],[SC Basis]], ""))</f>
        <v/>
      </c>
      <c r="GK80" s="27" t="s">
        <v>541</v>
      </c>
      <c r="GL80" s="43" t="str">
        <f>IF(AND(SnapshotTable[[#This Row],[LP Exp Date]]&gt;0,SnapshotTable[[#This Row],[LP Strike Price]]&gt;0), [1]!ToOptionSymbol(SnapshotTable[[#This Row],[Symbol]], SnapshotTable[[#This Row],[LP Strike Price]],SnapshotTable[[#This Row],[LP Exp Date]],1), "")</f>
        <v/>
      </c>
      <c r="GM80" s="30" t="str">
        <f>IF(LEN(SnapshotTable[[#This Row],[LP Symbol]])&gt;0, 1, "")</f>
        <v/>
      </c>
      <c r="GN80" s="43" t="str">
        <f>IF(AND(SnapshotTable[[#This Row],[SP Exp Date]]&gt;0,SnapshotTable[[#This Row],[SP Strike Price]]&gt;0), [1]!ToOptionSymbol(SnapshotTable[[#This Row],[Symbol]], SnapshotTable[[#This Row],[SP Strike Price]],SnapshotTable[[#This Row],[SP Exp Date]],1), "")</f>
        <v/>
      </c>
      <c r="GO80" s="30" t="str">
        <f>IF(LEN(SnapshotTable[[#This Row],[SP Symbol]])&gt;0, 1, "")</f>
        <v/>
      </c>
      <c r="GP80" s="43" t="str">
        <f>IF(AND(SnapshotTable[[#This Row],[LC Exp Date]]&gt;0,SnapshotTable[[#This Row],[LC Strike Price]]&gt;0), [1]!ToOptionSymbol(SnapshotTable[[#This Row],[Symbol]], SnapshotTable[[#This Row],[LC Strike Price]],SnapshotTable[[#This Row],[LC Exp Date]],0), "")</f>
        <v/>
      </c>
      <c r="GQ80" s="30" t="str">
        <f>IF(LEN(SnapshotTable[[#This Row],[LC Symbol]])&gt;0, 1, "")</f>
        <v/>
      </c>
      <c r="GR80" s="43" t="str">
        <f>IF(AND(SnapshotTable[[#This Row],[SC Exp Date]]&gt;0,SnapshotTable[[#This Row],[SC Strike Price]]&gt;0), [1]!ToOptionSymbol(SnapshotTable[[#This Row],[Symbol]], SnapshotTable[[#This Row],[SC Strike Price]],SnapshotTable[[#This Row],[SC Exp Date]],0), "")</f>
        <v/>
      </c>
      <c r="GS80" s="30" t="str">
        <f>IF(LEN(SnapshotTable[[#This Row],[SC Symbol]])&gt;0, 1, "")</f>
        <v/>
      </c>
      <c r="GT80" s="29" t="str">
        <f>IF(COUNT(SnapshotTable[[#This Row],[LP Symbol Count]],SnapshotTable[[#This Row],[SP Symbol Count]],SnapshotTable[[#This Row],[LC Symbol Count]],SnapshotTable[[#This Row],[SC Symbol Count]])&gt;0, "Y", "")</f>
        <v/>
      </c>
      <c r="GU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0" s="216">
        <f>MAX(SnapshotTable[[#This Row],[Equity Basis Total]],SnapshotTable[[#This Row],[Equity Value]]) + (SnapshotTable[[#This Row],[SP Potential Spend]]- SnapshotTable[[#This Row],[SP Premium]] + SnapshotTable[[#This Row],[LP Premium]])+ (SnapshotTable[[#This Row],[LC Premium]] - SnapshotTable[[#This Row],[SC Premium]])</f>
        <v>0</v>
      </c>
      <c r="GW80" s="137" t="str">
        <f>IF(AND(SnapshotTable[[#This Row],[Exposure]] &lt;&gt; 0),SnapshotTable[[#This Row],[Exposure]] / SnapshotTable[[#Totals],[Exposure]], "")</f>
        <v/>
      </c>
      <c r="HE80" s="253"/>
      <c r="HF80" s="253"/>
      <c r="HK80" s="1"/>
      <c r="HL80" s="1"/>
      <c r="HM80" s="1"/>
      <c r="HN80" s="1"/>
      <c r="HO80" s="1"/>
      <c r="HP80" s="1"/>
    </row>
    <row r="81" spans="2:224" ht="12.75" hidden="1" customHeight="1" x14ac:dyDescent="0.25">
      <c r="B81" s="12" t="s">
        <v>41</v>
      </c>
      <c r="C81" s="385">
        <v>127.91</v>
      </c>
      <c r="D81" s="200"/>
      <c r="E81" s="39">
        <f>SnapshotTable[[#This Row],[Last Price]]*(1 -CrashDiscount)</f>
        <v>108.7235</v>
      </c>
      <c r="F81" s="26" t="s">
        <v>40</v>
      </c>
      <c r="G81" s="26" t="s">
        <v>7</v>
      </c>
      <c r="H81" s="147"/>
      <c r="I81" s="186">
        <v>44769.208333333336</v>
      </c>
      <c r="J81" s="187">
        <v>44769.208333333336</v>
      </c>
      <c r="K81" s="188"/>
      <c r="L81" s="297"/>
      <c r="M81" s="138"/>
      <c r="N81" s="138"/>
      <c r="O81" s="138"/>
      <c r="P81" s="22"/>
      <c r="Q81" s="25"/>
      <c r="R81" s="4" t="str">
        <f>IF(SnapshotTable[[#This Row],[Equity Basis Total]] &gt; 0, SnapshotTable[[#This Row],[Equity Basis Total]] / SnapshotTable[[#This Row],[Equity Shares]], "")</f>
        <v/>
      </c>
      <c r="S81" s="254">
        <f>SnapshotTable[[#This Row],[Last Price]] * SnapshotTable[[#This Row],[Equity Shares]]</f>
        <v>0</v>
      </c>
      <c r="T81" s="254">
        <f>SnapshotTable[[#This Row],[Equity Value]] - SnapshotTable[[#This Row],[Equity Basis Total]]</f>
        <v>0</v>
      </c>
      <c r="U81" s="255" t="str">
        <f>IF(SnapshotTable[[#This Row],[Equity Basis Total]] &gt; 0, SnapshotTable[[#This Row],[Equity G/L]] / SnapshotTable[[#This Row],[Equity Basis Total]], "")</f>
        <v/>
      </c>
      <c r="V81" s="253"/>
      <c r="W81" s="253"/>
      <c r="X81" s="4" t="str">
        <f>IF(AND(ISNUMBER(SnapshotTable[[#This Row],[Equity Basis Per Share]]),ISNUMBER(SnapshotTable[[#This Row],[Equity Target]])),SnapshotTable[[#This Row],[Equity Target]]-SnapshotTable[[#This Row],[Equity Basis Per Share]],"")</f>
        <v/>
      </c>
      <c r="Y81" s="4" t="str">
        <f>IF(AND(ISNUMBER(SnapshotTable[[#This Row],[Equity Basis Per Share]]),ISNUMBER(SnapshotTable[[#This Row],[Equity Stop Loss]])),SnapshotTable[[#This Row],[Equity Stop Loss]]-SnapshotTable[[#This Row],[Equity Basis Per Share]],"")</f>
        <v/>
      </c>
      <c r="Z81" s="260" t="str">
        <f>IFERROR( TEXT(SnapshotTable[[#This Row],[Equity Max Gain Per Share]] /ABS( SnapshotTable[[#This Row],[Equity Max Loss Per Share]]),"0.0 " ) &amp; " : 1", "")</f>
        <v/>
      </c>
      <c r="AA81" s="31" t="str">
        <f>IF(ISNUMBER(SnapshotTable[[#This Row],[Equity Max Gain Per Share]]),SnapshotTable[[#This Row],[Equity Max Gain Per Share]] * SnapshotTable[[#This Row],[Equity Shares]],"")</f>
        <v/>
      </c>
      <c r="AB81" s="31" t="str">
        <f>IF(ISNUMBER(SnapshotTable[[#This Row],[Equity Max Loss Per Share]]),SnapshotTable[[#This Row],[Equity Max Loss Per Share]] * SnapshotTable[[#This Row],[Equity Shares]],"")</f>
        <v/>
      </c>
      <c r="AC81" s="148">
        <v>0</v>
      </c>
      <c r="AD81" s="149" t="s">
        <v>2</v>
      </c>
      <c r="AE81" s="31">
        <f>(SnapshotTable[[#This Row],[Annual Dividend Per Share]] / 4) * SnapshotTable[[#This Row],[Equity Shares]]</f>
        <v>0</v>
      </c>
      <c r="AF81" s="31">
        <f>SnapshotTable[[#This Row],[Quarterly Div $]] * 4</f>
        <v>0</v>
      </c>
      <c r="AG81" s="7">
        <f>IF(SnapshotTable[[#This Row],[Annual Dividend Per Share]]&gt;0, SnapshotTable[[#This Row],[Annual Dividend Per Share]]  / SnapshotTable[[#This Row],[Last Price]], 0)</f>
        <v>0</v>
      </c>
      <c r="AH81" s="149" t="s">
        <v>2</v>
      </c>
      <c r="AI81" s="5"/>
      <c r="AJ81" s="136">
        <v>105</v>
      </c>
      <c r="AK81" s="150" t="str">
        <f>IF(ISNUMBER( SnapshotTable[[#This Row],[EBF Target]]),(SnapshotTable[[#This Row],[EBF Target]] - SnapshotTable[[#This Row],[Last Price]]) / SnapshotTable[[#This Row],[Last Price]], "")</f>
        <v/>
      </c>
      <c r="AL81" s="150" t="str">
        <f>IF(AND(SnapshotTable[[#This Row],[Equity Basis Total]] &gt; 0,ISNUMBER( SnapshotTable[[#This Row],[Long Term Target]])), SnapshotTable[[#This Row],[From Basis $]] / SnapshotTable[[#This Row],[Equity Basis Total]], "")</f>
        <v/>
      </c>
      <c r="AM81" s="9">
        <f>IF( AND(SnapshotTable[[#This Row],[Equity Shares]] &gt;0,ISNUMBER( SnapshotTable[[#This Row],[Long Term Target]])),(SnapshotTable[[#This Row],[Equity Shares]] * SnapshotTable[[#This Row],[Long Term Target]]) - SnapshotTable[[#This Row],[Equity Basis Total]],0)</f>
        <v>0</v>
      </c>
      <c r="AN81" s="9">
        <f>IF( AND(SnapshotTable[[#This Row],[Equity Shares]] &gt;0,ISNUMBER( SnapshotTable[[#This Row],[Long Term Target]])),(SnapshotTable[[#This Row],[Equity Shares]]*SnapshotTable[[#This Row],[Long Term Target]]) - SnapshotTable[[#This Row],[Equity Value]],0)</f>
        <v>0</v>
      </c>
      <c r="AO81" s="150">
        <f>IF(AND(ISNUMBER( SnapshotTable[[#This Row],[Long Term Target]]), ISNUMBER(SnapshotTable[[#This Row],[Last Price]])),(SnapshotTable[[#This Row],[Long Term Target]] - SnapshotTable[[#This Row],[Last Price]]) / SnapshotTable[[#This Row],[Last Price]], "")</f>
        <v>-0.17911031193808144</v>
      </c>
      <c r="AP81" s="5">
        <v>101.05</v>
      </c>
      <c r="AQ81" s="38" t="s">
        <v>29</v>
      </c>
      <c r="AR81" s="5">
        <v>101.4</v>
      </c>
      <c r="AS81" s="38" t="s">
        <v>28</v>
      </c>
      <c r="AT81" s="144"/>
      <c r="AU81" s="185" t="str">
        <f>IF(OR(SnapshotTable[[#This Row],[LP No Fill]]="Y",SnapshotTable[[#This Row],[SP Is Filled]],SnapshotTable[[#This Row],[LC Not Filled]]="Y",SnapshotTable[[#This Row],[SC Is Filled]]),"Y","")</f>
        <v/>
      </c>
      <c r="AV81" s="205"/>
      <c r="AW81" s="211"/>
      <c r="AX81" s="206"/>
      <c r="AY81" s="205" t="str">
        <f>IF(SnapshotTable[[#This Row],[Implied Move]]&gt;0, SnapshotTable[[#This Row],[Last Price]]-SnapshotTable[[#This Row],[Implied Move]],"")</f>
        <v/>
      </c>
      <c r="AZ81" s="205" t="str">
        <f>IF(SnapshotTable[[#This Row],[Implied Move]]&gt;0, SnapshotTable[[#This Row],[Last Price]] + SnapshotTable[[#This Row],[Implied Move]],"")</f>
        <v/>
      </c>
      <c r="BA81" s="302"/>
      <c r="BB81" s="318"/>
      <c r="BC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1" s="321"/>
      <c r="BE81" s="5"/>
      <c r="BF81" s="14"/>
      <c r="BG81" s="13"/>
      <c r="BH81" s="13"/>
      <c r="BI81" s="5"/>
      <c r="BJ81" s="134">
        <f>IF(SnapshotTable[[#This Row],[LP Qty]] &gt; 0, SnapshotTable[[#This Row],[LP Qty]] * SnapshotTable[[#This Row],[LP Book Price]] * 100,0)</f>
        <v>0</v>
      </c>
      <c r="BK81" s="134">
        <f>IF(SnapshotTable[[#This Row],[LP Premium]] &gt; 0, SnapshotTable[[#This Row],[LP Qty]] * SnapshotTable[[#This Row],[LP Strike Price]] * 100,0)</f>
        <v>0</v>
      </c>
      <c r="BL81" s="152"/>
      <c r="BM81" s="355" t="str">
        <f>IF(SnapshotTable[[#This Row],[LP Premium]] &gt; 0,SnapshotTable[[#This Row],[LP Exp Date]]-MAX(SnapshotTable[[#This Row],[LP Book Date]], SnapshotTable[[#This Row],[LP Fill Date]]),"")</f>
        <v/>
      </c>
      <c r="BN81" s="355" t="str">
        <f>IF(ISNUMBER( SnapshotTable[[#This Row],[LP Term]]), SnapshotTable[[#This Row],[LP Exp Date]] - MockToday,"")</f>
        <v/>
      </c>
      <c r="BO81" s="161" t="str">
        <f>IF(AND(SnapshotTable[[#This Row],[LP Exp Date]]&gt;0, SnapshotTable[[#This Row],[LP Strike Price]]&gt;0,SnapshotTable[[#This Row],[LP Qty]]&gt;0,SnapshotTable[[#This Row],[LP Book Date]]&gt;0,SnapshotTable[[#This Row],[LP Book Price]]&gt;0,SnapshotTable[[#This Row],[LP Fill Date]]=0),"Y","")</f>
        <v/>
      </c>
      <c r="BP81" s="31" t="str">
        <f>IF(AND(SnapshotTable[[#This Row],[LP No Fill]]&lt;&gt;"Y",SnapshotTable[[#This Row],[LP Contract Value]]&gt;0, SnapshotTable[[#This Row],[LP Qty]]&gt;0), SnapshotTable[[#This Row],[LP Contract Value]]*SnapshotTable[[#This Row],[LP Qty]]*100,"")</f>
        <v/>
      </c>
      <c r="BQ81" s="13"/>
      <c r="BR81" s="5"/>
      <c r="BS81" s="36"/>
      <c r="BT81" s="145"/>
      <c r="BU81" s="13"/>
      <c r="BV81" s="5"/>
      <c r="BW81" s="382" t="b">
        <f>AND(ISNUMBER(SnapshotTable[[#This Row],[SP Exp Date]]), ISNUMBER(SnapshotTable[[#This Row],[SP Strike Price]]), ISNUMBER(SnapshotTable[[#This Row],[SP Qty]]), ISNUMBER(SnapshotTable[[#This Row],[SP Book Date]]), ISNUMBER(SnapshotTable[[#This Row],[SP Book Price]]))</f>
        <v>0</v>
      </c>
      <c r="BX81" s="382" t="b">
        <f>AND(SnapshotTable[[#This Row],[SP Is Booked]], NOT(ISBLANK(SnapshotTable[[#This Row],[SP Fill Date]])))</f>
        <v>0</v>
      </c>
      <c r="BY81" s="33">
        <f>IF(SnapshotTable[[#This Row],[SP Is Booked]], SnapshotTable[[#This Row],[SP Qty]] * SnapshotTable[[#This Row],[SP Book Price]] * 100, 0)</f>
        <v>0</v>
      </c>
      <c r="BZ81" s="339"/>
      <c r="CA81" s="338">
        <f>SnapshotTable[[#This Row],[LP Qty]]</f>
        <v>0</v>
      </c>
      <c r="CB81" s="4" t="str">
        <f>IF(SnapshotTable[[#This Row],[SP Is Booked]], SnapshotTable[[#This Row],[SP Strike Price]] - SnapshotTable[[#This Row],[SP Book Price]], "")</f>
        <v/>
      </c>
      <c r="CC81" s="19" t="str">
        <f>IF(SnapshotTable[[#This Row],[SP Is Booked]],SnapshotTable[[#This Row],[SP Exp Date]]-MAX(SnapshotTable[[#This Row],[SP Book Date]], SnapshotTable[[#This Row],[SP Fill Date]]),"")</f>
        <v/>
      </c>
      <c r="CD81" s="7" t="str">
        <f>IF(SnapshotTable[[#This Row],[SP Is Booked]], SnapshotTable[[#This Row],[SP Book Price]]/SnapshotTable[[#This Row],[SP Strike Price]], "")</f>
        <v/>
      </c>
      <c r="CE81" s="7" t="str">
        <f>IF(ISNUMBER(SnapshotTable[[#This Row],[SP ROO Term]]),SnapshotTable[[#This Row],[SP ROO Term]]*(365/SnapshotTable[[#This Row],[SP Term]]),"")</f>
        <v/>
      </c>
      <c r="CF81" s="221">
        <f>SnapshotTable[[#This Row],[LP Strike Price]] * SnapshotTable[[#This Row],[LP Qty]] * 100</f>
        <v>0</v>
      </c>
      <c r="CG81" s="31">
        <f>IF(ISNUMBER(SnapshotTable[[#This Row],[SP Premium]]), (SnapshotTable[[#This Row],[SP Qty]] * SnapshotTable[[#This Row],[SP Strike Price]]* 100) - SnapshotTable[[#This Row],[LP Protection]], 0)</f>
        <v>0</v>
      </c>
      <c r="CH81" s="7" t="str">
        <f>IF(ISNUMBER(SnapshotTable[[#This Row],[SP Break Even]]),-1 * (SnapshotTable[[#This Row],[SP Break Even]] - SnapshotTable[[#This Row],[Last Price]]) / SnapshotTable[[#This Row],[Last Price]], "")</f>
        <v/>
      </c>
      <c r="CI81" s="31">
        <f>IF(AND(ISNUMBER((SnapshotTable[[#This Row],[SP Potential Spend]])), SnapshotTable[[#This Row],[SP Strike Price]] &gt; SnapshotTable[[#This Row],[Last Price]], SnapshotTable[[#This Row],[SP Is Filled]]), SnapshotTable[[#This Row],[SP Potential Spend]] -  SnapshotTable[[#This Row],[LP Max Value]], 0)</f>
        <v>0</v>
      </c>
      <c r="CJ81" s="229"/>
      <c r="CK81" s="31">
        <f>IF(ISNUMBER(SnapshotTable[[#This Row],[SP Potential Spend]]),IF(ISNUMBER(SnapshotTable[[#This Row],[SP POW]]), SnapshotTable[[#This Row],[SP POW]] * SnapshotTable[[#This Row],[SP Potential Spend]], SnapshotTable[[#This Row],[SP Potential Spend]]), "")</f>
        <v>0</v>
      </c>
      <c r="CL81" s="162">
        <f>IF(NOT(SnapshotTable[[#This Row],[SP Is Filled]]),(SnapshotTable[[#This Row],[SP Qty]] * SnapshotTable[[#This Row],[SP Strike Price]] * 100) - SnapshotTable[[#This Row],[LP Max Value]],"")</f>
        <v>0</v>
      </c>
      <c r="CM81" s="31" t="str">
        <f>IF(SnapshotTable[[#This Row],[SP Actual Spend]]&lt;&gt;0, ((SnapshotTable[[#This Row],[SP Strike Price]]-SnapshotTable[[#This Row],[Last Price]]) *(SnapshotTable[[#This Row],[SP Qty]]*100) - SnapshotTable[[#This Row],[SP Premium]]) * - 1, "")</f>
        <v/>
      </c>
      <c r="CN81" s="76"/>
      <c r="CO81" s="339"/>
      <c r="CP81" s="4" t="str">
        <f>IF(SnapshotTable[[#This Row],[SP Is Filled]], btc_max_buyback_amount(SnapshotTable[[#This Row],[SP Fill Date]],SnapshotTable[[#This Row],[SP Exp Date]], SnapshotTable[[#This Row],[SP Book Price]]),"")</f>
        <v/>
      </c>
      <c r="CQ81" s="76"/>
      <c r="CR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1" s="153" t="str">
        <f>IF(SnapshotTable[[#This Row],[SP Is Filled]], btc_next_cutoff_date(SnapshotTable[[#This Row],[SP Fill Date]],SnapshotTable[[#This Row],[SP Exp Date]]),"")</f>
        <v/>
      </c>
      <c r="CT81" s="220" t="str" cm="1">
        <f t="array" ref="CT81">IF(SnapshotTable[[#This Row],[SP Is Filled]], btc_should_buy_back(SnapshotTable[[#This Row],[SP Fill Date]], SnapshotTable[[#This Row],[SP Exp Date]], SnapshotTable[[#This Row],[SP Book Price]], SnapshotTable[[#This Row],[SP Current Ask]], MockToday, SnapshotTable[[#This Row],[SP Buyback Override]]),"")</f>
        <v/>
      </c>
      <c r="CU81" s="141"/>
      <c r="CV81" s="220"/>
      <c r="CW81" s="348" t="str">
        <f>IF(ISNUMBER( SnapshotTable[[#This Row],[SP Term]]), SnapshotTable[[#This Row],[SP Exp Date]] - MockToday,"")</f>
        <v/>
      </c>
      <c r="CX81" s="31" t="str">
        <f>IF(SnapshotTable[[#This Row],[SP Is Filled]],SnapshotTable[[#This Row],[SP Buyback Price to Use]] * 100 * SnapshotTable[[#This Row],[SP Qty]], "")</f>
        <v/>
      </c>
      <c r="CY81" s="4" t="str">
        <f>IF(ISNUMBER(SnapshotTable[[#This Row],[SP Strike Price]]), SnapshotTable[[#This Row],[SP Strike Price]] * (1 - SP_MaxLoss_StrikePct), "")</f>
        <v/>
      </c>
      <c r="CZ81" s="31" t="str">
        <f>IF(ISNUMBER(SnapshotTable[[#This Row],[SP Strike  Stop Per Share]]),SnapshotTable[[#This Row],[SP Premium]] - ((SnapshotTable[[#This Row],[SP Strike Price]]-SnapshotTable[[#This Row],[SP Strike  Stop Per Share]]) *(SnapshotTable[[#This Row],[SP Qty]] * 100)),"")</f>
        <v/>
      </c>
      <c r="DA81" s="4" t="str">
        <f>IF(AND(ISNUMBER(SnapshotTable[[#This Row],[SP Premium]]),SnapshotTable[[#This Row],[SP Premium]]&gt;0), SnapshotTable[[#This Row],[SP Book Price]] * (1 + SP_MaxLoss_OptionPct), "")</f>
        <v/>
      </c>
      <c r="DB81" s="31" t="str">
        <f>IF(ISNUMBER(SnapshotTable[[#This Row],[SP Option  Stop Contract]]),(SnapshotTable[[#This Row],[SP Option  Stop Contract]] *(SnapshotTable[[#This Row],[SP Qty]] * 100) - SnapshotTable[[#This Row],[SP Premium]]),"")</f>
        <v/>
      </c>
      <c r="DC81" s="4"/>
      <c r="DD81" s="4"/>
      <c r="DE81" s="4" t="str">
        <f>IF(AND(SnapshotTable[[#This Row],[SP Qty]]&gt;0, SnapshotTable[[#This Row],[SP Stop To Use]]&gt;0),SnapshotTable[[#This Row],[SP Premium]] - ( SnapshotTable[[#This Row],[SP Qty]] * SnapshotTable[[#This Row],[SP Stop To Use]] * 100), "")</f>
        <v/>
      </c>
      <c r="DF81" s="31" t="str">
        <f>IF(AND(SnapshotTable[[#This Row],[SP Qty]]&gt;0,SnapshotTable[[#This Row],[SP Current Ask]]&gt;0), SnapshotTable[[#This Row],[SP Qty]] * SnapshotTable[[#This Row],[SP Current Ask]] * -100, "")</f>
        <v/>
      </c>
      <c r="DG81" s="31" t="str">
        <f>IF(ISNUMBER((SnapshotTable[[#This Row],[SP Total Value]])), SnapshotTable[[#This Row],[SP Premium]] + SnapshotTable[[#This Row],[SP Total Value]], "")</f>
        <v/>
      </c>
      <c r="DH81" s="272" t="str">
        <f>IF(ISNUMBER((SnapshotTable[[#This Row],[SP Total Value]])), SnapshotTable[[#This Row],[SP Gain Loss]] / SnapshotTable[[#This Row],[SP Premium]], "")</f>
        <v/>
      </c>
      <c r="DI81" s="369"/>
      <c r="DJ81" s="136"/>
      <c r="DK81" s="146"/>
      <c r="DL81" s="13"/>
      <c r="DM81" s="13"/>
      <c r="DO81" s="31">
        <f>IF(SnapshotTable[[#This Row],[LC Symbol Count]]=1, SnapshotTable[[#This Row],[LC Qty]] * SnapshotTable[[#This Row],[LC Book Price]] * 100, 0)</f>
        <v>0</v>
      </c>
      <c r="DP81" s="161" t="str">
        <f>IF(AND(SnapshotTable[[#This Row],[LC Exp Date]]&gt;0, SnapshotTable[[#This Row],[LC Strike Price]]&gt;0,SnapshotTable[[#This Row],[LC Qty]]&gt;0,SnapshotTable[[#This Row],[LC Book Date]]&gt;0,SnapshotTable[[#This Row],[LC Book Price]]&gt;0,SnapshotTable[[#This Row],[LC Fill Date]]=0),"Y","")</f>
        <v/>
      </c>
      <c r="DQ81" s="356" t="str">
        <f>IF(SnapshotTable[[#This Row],[LC Premium]] &gt; 0,SnapshotTable[[#This Row],[LC Exp Date]]-MAX(SnapshotTable[[#This Row],[LC Book Date]], SnapshotTable[[#This Row],[LC Fill Date]]),"")</f>
        <v/>
      </c>
      <c r="DR81" s="356" t="str">
        <f>IF(ISNUMBER(SnapshotTable[[#This Row],[LC Term]]), SnapshotTable[[#This Row],[LC Exp Date]] - MockToday, "")</f>
        <v/>
      </c>
      <c r="DS81" s="219" t="str">
        <f>IF(SnapshotTable[[#This Row],[LC Premium]]&gt;0,SnapshotTable[[#This Row],[LC Strike Price]] + SnapshotTable[[#This Row],[LC Book Price]],"")</f>
        <v/>
      </c>
      <c r="DU81" s="9" t="str">
        <f>IF(AND(SnapshotTable[[#This Row],[LC Symbol Count]]&gt;0, SnapshotTable[[#This Row],[LC Contract Value]]&gt;0), SnapshotTable[[#This Row],[LC Contract Value]] * SnapshotTable[[#This Row],[LC Qty]] * 100, "")</f>
        <v/>
      </c>
      <c r="DV81" s="9" t="str">
        <f>IF(AND(ISNUMBER(SnapshotTable[[#This Row],[LC Total Value]]), SnapshotTable[[#This Row],[LC Not Filled]]&lt;&gt;"Y"), SnapshotTable[[#This Row],[LC Total Value]]-SnapshotTable[[#This Row],[LC Premium]],"")</f>
        <v/>
      </c>
      <c r="DW81" s="225" t="str">
        <f>IF(ISNUMBER(SnapshotTable[[#This Row],[LC Actual Gain Loss]]), SnapshotTable[[#This Row],[LC Actual Gain Loss]] / SnapshotTable[[#This Row],[LC Premium]],"")</f>
        <v/>
      </c>
      <c r="DX81" s="269" t="str">
        <f>IF(ISNUMBER(SnapshotTable[[#This Row],[LC Book Price]]),SnapshotTable[[#This Row],[LC Book Price]] * 1.5,"")</f>
        <v/>
      </c>
      <c r="DY81" s="250" t="str">
        <f>IF(SnapshotTable[[#This Row],[LC Premium]]&gt;0, SnapshotTable[[#This Row],[LC Next Target]] * SnapshotTable[[#This Row],[LC Qty]] * 100,"")</f>
        <v/>
      </c>
      <c r="DZ81" s="250" t="str">
        <f>IF(ISNUMBER(SnapshotTable[[#This Row],[LC Target Gross]]), SnapshotTable[[#This Row],[LC Target Gross]] - SnapshotTable[[#This Row],[LC Premium]], "")</f>
        <v/>
      </c>
      <c r="EA81" s="283" t="str">
        <f>IF(ISNUMBER(SnapshotTable[[#This Row],[LC Target Gain Loss]]), SnapshotTable[[#This Row],[LC Target Gain Loss]]/SnapshotTable[[#This Row],[LC Premium]], "")</f>
        <v/>
      </c>
      <c r="EB81" s="247"/>
      <c r="EC81" s="268" t="str">
        <f>IF(SnapshotTable[[#This Row],[LC Premium]]&gt;0, SnapshotTable[[#This Row],[LC Book Price]] * (1 - LC_StopLoss_Pct),"")</f>
        <v/>
      </c>
      <c r="ED81" s="269"/>
      <c r="EE81" s="268" t="str">
        <f>IF(ISNUMBER(SnapshotTable[[#This Row],[LC Contract Value]]),IF(ISNUMBER(SnapshotTable[[#This Row],[LC Stop Loss Override]]), SnapshotTable[[#This Row],[LC Stop Loss Override]],SnapshotTable[[#This Row],[LC Stop Loss Calc Target]]),"")</f>
        <v/>
      </c>
      <c r="EF81" s="31" t="str">
        <f>IF(ISNUMBER(SnapshotTable[[#This Row],[LC Stop  To Use]]), (SnapshotTable[[#This Row],[LC Stop  To Use]] * SnapshotTable[[#This Row],[LC Qty]] * 100),"")</f>
        <v/>
      </c>
      <c r="EG81" s="9" t="str">
        <f>IF(ISNUMBER(SnapshotTable[[#This Row],[LC Total Value]]),SnapshotTable[[#This Row],[LC Stop Loss Amount]] - SnapshotTable[[#This Row],[LC Premium]],"")</f>
        <v/>
      </c>
      <c r="EH81" s="9">
        <f>IF(ISNUMBER(SnapshotTable[[#This Row],[LC Premium]]), SnapshotTable[[#This Row],[LC Qty]] * 100 * SnapshotTable[[#This Row],[LC Strike Price]], "")</f>
        <v>0</v>
      </c>
      <c r="EI81" s="225" t="str">
        <f>IF(AND(ISNUMBER(SnapshotTable[[#This Row],[LC Total Value]]),SnapshotTable[[#This Row],[LC Total Value]]&gt;0),SnapshotTable[[#This Row],[LC Stop Gain Loss]]  / SnapshotTable[[#This Row],[LC Premium]],"")</f>
        <v/>
      </c>
      <c r="EJ81" s="35">
        <f>IF(ISNUMBER(SnapshotTable[[#This Row],[Equity Shares]]),TRUNC(SnapshotTable[[#This Row],[Equity Shares]] / 100),0) + SnapshotTable[[#This Row],[LC Qty]]</f>
        <v>0</v>
      </c>
      <c r="EK81" s="145"/>
      <c r="EL81" s="136"/>
      <c r="EM81" s="146"/>
      <c r="EN81" s="145"/>
      <c r="EO81" s="145"/>
      <c r="EP81" s="136"/>
      <c r="EQ81" s="382" t="b">
        <f>AND(ISNUMBER(SnapshotTable[[#This Row],[SC Exp Date]]), ISNUMBER(SnapshotTable[[#This Row],[SC Strike Price]]), ISNUMBER(SnapshotTable[[#This Row],[SC Qty]]), ISNUMBER(SnapshotTable[[#This Row],[SC Book Date]]), ISNUMBER(SnapshotTable[[#This Row],[SC Book Price]]))</f>
        <v>0</v>
      </c>
      <c r="ER81" s="382" t="b">
        <f>AND(SnapshotTable[[#This Row],[SC Is Booked]], NOT(ISBLANK(SnapshotTable[[#This Row],[SC Fill Date]])))</f>
        <v>0</v>
      </c>
      <c r="ES81" s="340"/>
      <c r="ET81" s="34" t="str">
        <f>IF(AND(ISNUMBER(SnapshotTable[[#This Row],[SC Exp Date]]), ISNUMBER(SnapshotTable[[#This Row],[SC Book Date]])), SnapshotTable[[#This Row],[SC Exp Date]] - MAX(SnapshotTable[[#This Row],[SC Book Date]], SnapshotTable[[#This Row],[SC Fill Date]]) + 1, "")</f>
        <v/>
      </c>
      <c r="EU81" s="34" t="str">
        <f>IF(ISNUMBER(SnapshotTable[[#This Row],[SC Term]]), SnapshotTable[[#This Row],[SC Exp Date]]- MockToday, "")</f>
        <v/>
      </c>
      <c r="EV81" s="31">
        <f>IF(SnapshotTable[[#This Row],[SC Is Booked]], SnapshotTable[[#This Row],[SC Qty]] * SnapshotTable[[#This Row],[SC Book Price]] * 100, 0)</f>
        <v>0</v>
      </c>
      <c r="EW81" s="4" t="str">
        <f>IF(AND(ISNUMBER(SnapshotTable[[#This Row],[Last Price]]), ISNUMBER( SnapshotTable[[#This Row],[SC Book Price]])), SnapshotTable[[#This Row],[Last Price]] - SnapshotTable[[#This Row],[SC Book Price]],"")</f>
        <v/>
      </c>
      <c r="EX81" s="219" t="str">
        <f>IF(SnapshotTable[[#This Row],[SC Is Booked]],IF(SnapshotTable[[#This Row],[SC Intrinsic Value]] &gt; 0, SnapshotTable[[#This Row],[SC Strike Price]], SnapshotTable[[#This Row],[Last Price]]), "")</f>
        <v/>
      </c>
      <c r="EY81" s="4">
        <f>IF(SnapshotTable[[#This Row],[SC Is Booked]], (MinimumPremiumRequired * SnapshotTable[[#This Row],[SC Basis]] * SnapshotTable[[#This Row],[SC Term]]), 0)</f>
        <v>0</v>
      </c>
      <c r="EZ81" s="268"/>
      <c r="FA81" s="204"/>
      <c r="FB81" s="340"/>
      <c r="FC81" s="4">
        <f>IF(SnapshotTable[[#This Row],[SC Is Filled]], btc_max_buyback_amount(SnapshotTable[[#This Row],[SC Fill Date]],SnapshotTable[[#This Row],[SC Exp Date]], SnapshotTable[[#This Row],[SC Book Price]]),0)</f>
        <v>0</v>
      </c>
      <c r="FD81" s="5"/>
      <c r="FE81" s="142" t="str">
        <f>IF(SnapshotTable[[#This Row],[SC Is Filled]], btc_next_cutoff_date(SnapshotTable[[#This Row],[SC Fill Date]],SnapshotTable[[#This Row],[SC Exp Date]]),"")</f>
        <v/>
      </c>
      <c r="FF81" s="4" t="str" cm="1">
        <f t="array" ref="FF81">IF(SnapshotTable[[#This Row],[SC Is Filled]], btc_should_buy_back(SnapshotTable[[#This Row],[SC Fill Date]], SnapshotTable[[#This Row],[SC Exp Date]], SnapshotTable[[#This Row],[SC Book Price]], SnapshotTable[[#This Row],[SC Current Ask]], MockToday, SnapshotTable[[#This Row],[SC Buyback Override]]),"")</f>
        <v/>
      </c>
      <c r="FG81" s="4">
        <f>IF(SnapshotTable[[#This Row],[SC Is Filled]], MAX(0,SnapshotTable[[#This Row],[Last Price]]  - SnapshotTable[[#This Row],[SC Strike Price]]), 0)</f>
        <v>0</v>
      </c>
      <c r="FH81" s="352">
        <f>IF(SnapshotTable[[#This Row],[SC Is Filled]], IF(ISNUMBER(SnapshotTable[[#This Row],[SC Current Ask]]), SnapshotTable[[#This Row],[SC Current Ask]], SnapshotTable[[#This Row],[SC Book Price]]) - SnapshotTable[[#This Row],[SC Intrinsic Value]], 0)</f>
        <v>0</v>
      </c>
      <c r="FI81" s="141"/>
      <c r="FJ81" s="32" t="str">
        <f>IF(SnapshotTable[[#This Row],[SC Is Filled]],100 * SnapshotTable[[#This Row],[SC Qty]] * IF(ISNUMBER(SnapshotTable[[#This Row],[SC Buyback Override]]), SnapshotTable[[#This Row],[SC Buyback Override]], SnapshotTable[[#This Row],[SC Current Ask]]), "")</f>
        <v/>
      </c>
      <c r="FK81" s="235" t="str">
        <f>IF(SnapshotTable[[#This Row],[SC Time Val]]&gt;0, SnapshotTable[[#This Row],[SC Time Val]] / SnapshotTable[[#This Row],[Last Price]],"")</f>
        <v/>
      </c>
      <c r="FL81" s="280" t="str">
        <f>IF(SnapshotTable[[#This Row],[SC Is Booked]], ((SnapshotTable[[#This Row],[Last Price]] -SnapshotTable[[#This Row],[SC Strike Price]]) / SnapshotTable[[#This Row],[Last Price]]) * -1, "")</f>
        <v/>
      </c>
      <c r="FM81" s="155" t="str">
        <f>IF(SnapshotTable[[#This Row],[SC Is Booked]],  (SnapshotTable[[#This Row],[SC Qty]] * 100 * SnapshotTable[[#This Row],[SC Strike Price]]) - SnapshotTable[[#This Row],[SC Current Ask]], "")</f>
        <v/>
      </c>
      <c r="FN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1" s="31" t="str">
        <f>IF(AND(ISNUMBER(SnapshotTable[[#This Row],[SC Exercise Gross]]), ISNUMBER(SnapshotTable[[#This Row],[Equity Basis Per Share]] )), SnapshotTable[[#This Row],[SC Exercise Gross]] - SnapshotTable[[#This Row],[Equity Basis Total]] +  SnapshotTable[[#This Row],[SC Premium]], "")</f>
        <v/>
      </c>
      <c r="FP81" s="5" t="str">
        <f>IF(ISNUMBER(SnapshotTable[[#This Row],[SC Exercise Gross]]), (SnapshotTable[[#This Row],[SC Exercise Gross]]) / (SnapshotTable[[#This Row],[SC Qty]] * 100), "")</f>
        <v/>
      </c>
      <c r="FQ81" s="27" t="str">
        <f>IF(SnapshotTable[[#This Row],[SC Is Booked]],SnapshotTable[[#This Row],[SC Time Val]] /SnapshotTable[[#This Row],[SC Basis]], "")</f>
        <v/>
      </c>
      <c r="FR81" s="27" t="str" cm="1">
        <f t="array" ref="FR81">IF(AND(ISNUMBER(SnapshotTable[[#This Row],[SC Term]]),ISNUMBER(SnapshotTable[[#This Row],[SC Simple ROO]])), EllmanAnnualize(SnapshotTable[[#This Row],[SC DTE]], SnapshotTable[[#This Row],[SC Simple ROO]] ),"")</f>
        <v/>
      </c>
      <c r="FS81" s="4">
        <f>IF(SnapshotTable[[#This Row],[SC Strike Price]] &gt; SnapshotTable[[#This Row],[Last Price]], SnapshotTable[[#This Row],[SC Strike Price]] - SnapshotTable[[#This Row],[Last Price]],0)</f>
        <v>0</v>
      </c>
      <c r="FT81" s="27" t="str">
        <f>IF(AND(ISNUMBER(SnapshotTable[[#This Row],[SC Upside Potential]]), SnapshotTable[[#This Row],[SC Upside Potential]] &gt; 0),(SnapshotTable[[#This Row],[SC Upside Potential]]/ SnapshotTable[[#This Row],[ACB]]),"")</f>
        <v/>
      </c>
      <c r="FU81" s="304" t="str">
        <f>IF(SnapshotTable[[#This Row],[SC Intrinsic Value]] &gt; 0,SnapshotTable[[#This Row],[SC Intrinsic Value]],"")</f>
        <v/>
      </c>
      <c r="FV81" s="27" t="str">
        <f>IF(AND( ISNUMBER( SnapshotTable[[#This Row],[ACB]]),ISNUMBER(SnapshotTable[[#This Row],[SC Downside Protect]])),SnapshotTable[[#This Row],[SC Downside Protect]] / SnapshotTable[[#This Row],[ACB]],"")</f>
        <v/>
      </c>
      <c r="FW81" s="221" t="str">
        <f>IF(AND(ISNUMBER(SnapshotTable[[#This Row],[SC Simple ROO]]),SnapshotTable[[#This Row],[SC Simple ROO]] &gt; 0), SnapshotTable[[#This Row],[SC Premium]] + (SnapshotTable[[#This Row],[SC Qty]] * SnapshotTable[[#This Row],[SC Upside Potential]]), "")</f>
        <v/>
      </c>
      <c r="FX81" s="280" t="str" cm="1">
        <f t="array" ref="FX81">IF(ISNUMBER(SnapshotTable[[#This Row],[SC Max Dollars]]), annualize(SnapshotTable[[#This Row],[SC Term]],(SnapshotTable[[#This Row],[SC Max Dollars]]/SnapshotTable[[#This Row],[SC Basis]])),"")</f>
        <v/>
      </c>
      <c r="FY81" s="221" t="str">
        <f>IF(AND(SnapshotTable[[#This Row],[SC Qty]]&gt;0,SnapshotTable[[#This Row],[SC Current Ask]]&gt;0), SnapshotTable[[#This Row],[SC Qty]] * SnapshotTable[[#This Row],[SC Current Ask]] * -100, "")</f>
        <v/>
      </c>
      <c r="FZ81" s="31" t="str">
        <f>IF(ISNUMBER((SnapshotTable[[#This Row],[SC Current Value]])), SnapshotTable[[#This Row],[SC Premium]] + SnapshotTable[[#This Row],[SC Current Value]], "")</f>
        <v/>
      </c>
      <c r="GA81" s="272" t="str">
        <f>IFERROR( IF(ISNUMBER((SnapshotTable[[#This Row],[SC Current Value]])), SnapshotTable[[#This Row],[SC Gain Loss]] / SnapshotTable[[#This Row],[SC Premium]], ""), "")</f>
        <v/>
      </c>
      <c r="GB81" s="42">
        <f>SnapshotTable[[#This Row],[Equity Shares]] * SaleSharesToConsiderPercentage</f>
        <v>0</v>
      </c>
      <c r="GC81" s="40">
        <f>SnapshotTable[[#This Row],[Long Term Target]] * SellingPriceToConsiderBasedOnTargetPercentage</f>
        <v>99.75</v>
      </c>
      <c r="GD81" s="40">
        <f>SnapshotTable[[#This Row],[Last Price]] * (1+ SellingPriceToConsiderBasedOnTargetPercentage)</f>
        <v>249.42449999999999</v>
      </c>
      <c r="GE81" s="41"/>
      <c r="GF81" s="40"/>
      <c r="GG81" s="31">
        <f>SnapshotTable[[#This Row],[Booked Sale Shares]] * SnapshotTable[[#This Row],[Booked Sale Price]]</f>
        <v>0</v>
      </c>
      <c r="GH81" s="31" t="str">
        <f>IF(SnapshotTable[[#This Row],[Equity Basis Total]] &gt; 0, SnapshotTable[[#This Row],[Equity Basis Per Share]] * SnapshotTable[[#This Row],[Booked Sale Shares]], "")</f>
        <v/>
      </c>
      <c r="GI81" s="31">
        <f>IF(SnapshotTable[[#This Row],[Sale Proceeds]]&gt;0, SnapshotTable[[#This Row],[Sale Proceeds]] - SnapshotTable[[#This Row],[Sale Basis]], 0)</f>
        <v>0</v>
      </c>
      <c r="GJ81" s="27" t="str">
        <f>IF(SnapshotTable[[#This Row],[Sale G/L]]&gt;0, SnapshotTable[[#This Row],[Sale G/L]] / SnapshotTable[[#This Row],[Sale Basis]], IF(ISNUMBER(SnapshotTable[[#This Row],[SC Exercise P&amp;L (TAX)]]), SnapshotTable[[#This Row],[SC Exercise P&amp;L (TAX)]] / SnapshotTable[[#This Row],[SC Basis]], ""))</f>
        <v/>
      </c>
      <c r="GK81" s="27" t="s">
        <v>542</v>
      </c>
      <c r="GL81" s="43" t="str">
        <f>IF(AND(SnapshotTable[[#This Row],[LP Exp Date]]&gt;0,SnapshotTable[[#This Row],[LP Strike Price]]&gt;0), [1]!ToOptionSymbol(SnapshotTable[[#This Row],[Symbol]], SnapshotTable[[#This Row],[LP Strike Price]],SnapshotTable[[#This Row],[LP Exp Date]],1), "")</f>
        <v/>
      </c>
      <c r="GM81" s="30" t="str">
        <f>IF(LEN(SnapshotTable[[#This Row],[LP Symbol]])&gt;0, 1, "")</f>
        <v/>
      </c>
      <c r="GN81" s="43" t="str">
        <f>IF(AND(SnapshotTable[[#This Row],[SP Exp Date]]&gt;0,SnapshotTable[[#This Row],[SP Strike Price]]&gt;0), [1]!ToOptionSymbol(SnapshotTable[[#This Row],[Symbol]], SnapshotTable[[#This Row],[SP Strike Price]],SnapshotTable[[#This Row],[SP Exp Date]],1), "")</f>
        <v/>
      </c>
      <c r="GO81" s="30" t="str">
        <f>IF(LEN(SnapshotTable[[#This Row],[SP Symbol]])&gt;0, 1, "")</f>
        <v/>
      </c>
      <c r="GP81" s="43" t="str">
        <f>IF(AND(SnapshotTable[[#This Row],[LC Exp Date]]&gt;0,SnapshotTable[[#This Row],[LC Strike Price]]&gt;0), [1]!ToOptionSymbol(SnapshotTable[[#This Row],[Symbol]], SnapshotTable[[#This Row],[LC Strike Price]],SnapshotTable[[#This Row],[LC Exp Date]],0), "")</f>
        <v/>
      </c>
      <c r="GQ81" s="30" t="str">
        <f>IF(LEN(SnapshotTable[[#This Row],[LC Symbol]])&gt;0, 1, "")</f>
        <v/>
      </c>
      <c r="GR81" s="43" t="str">
        <f>IF(AND(SnapshotTable[[#This Row],[SC Exp Date]]&gt;0,SnapshotTable[[#This Row],[SC Strike Price]]&gt;0), [1]!ToOptionSymbol(SnapshotTable[[#This Row],[Symbol]], SnapshotTable[[#This Row],[SC Strike Price]],SnapshotTable[[#This Row],[SC Exp Date]],0), "")</f>
        <v/>
      </c>
      <c r="GS81" s="30" t="str">
        <f>IF(LEN(SnapshotTable[[#This Row],[SC Symbol]])&gt;0, 1, "")</f>
        <v/>
      </c>
      <c r="GT81" s="29" t="str">
        <f>IF(COUNT(SnapshotTable[[#This Row],[LP Symbol Count]],SnapshotTable[[#This Row],[SP Symbol Count]],SnapshotTable[[#This Row],[LC Symbol Count]],SnapshotTable[[#This Row],[SC Symbol Count]])&gt;0, "Y", "")</f>
        <v/>
      </c>
      <c r="GU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1" s="216">
        <f>MAX(SnapshotTable[[#This Row],[Equity Basis Total]],SnapshotTable[[#This Row],[Equity Value]]) + (SnapshotTable[[#This Row],[SP Potential Spend]]- SnapshotTable[[#This Row],[SP Premium]] + SnapshotTable[[#This Row],[LP Premium]])+ (SnapshotTable[[#This Row],[LC Premium]] - SnapshotTable[[#This Row],[SC Premium]])</f>
        <v>0</v>
      </c>
      <c r="GW81" s="137" t="str">
        <f>IF(AND(SnapshotTable[[#This Row],[Exposure]] &lt;&gt; 0),SnapshotTable[[#This Row],[Exposure]] / SnapshotTable[[#Totals],[Exposure]], "")</f>
        <v/>
      </c>
      <c r="HE81" s="253"/>
      <c r="HF81" s="253"/>
      <c r="HK81" s="1"/>
      <c r="HL81" s="1"/>
      <c r="HM81" s="1"/>
      <c r="HN81" s="1"/>
      <c r="HO81" s="1"/>
      <c r="HP81" s="1"/>
    </row>
    <row r="82" spans="2:224" ht="12.75" hidden="1" customHeight="1" x14ac:dyDescent="0.25">
      <c r="B82" s="12" t="s">
        <v>756</v>
      </c>
      <c r="C82" s="385">
        <v>21.52</v>
      </c>
      <c r="D82" s="200" t="s">
        <v>467</v>
      </c>
      <c r="E82" s="39">
        <f>SnapshotTable[[#This Row],[Last Price]]*(1 -CrashDiscount)</f>
        <v>18.291999999999998</v>
      </c>
      <c r="F82" s="26" t="s">
        <v>700</v>
      </c>
      <c r="G82" s="26" t="s">
        <v>493</v>
      </c>
      <c r="H82" s="147"/>
      <c r="I82" s="186">
        <v>44804.670138888891</v>
      </c>
      <c r="J82" s="187">
        <v>44804.670138888891</v>
      </c>
      <c r="K82" s="188"/>
      <c r="L82" s="297"/>
      <c r="M82" s="138"/>
      <c r="N82" s="138"/>
      <c r="O82" s="138"/>
      <c r="P82" s="22"/>
      <c r="Q82" s="25"/>
      <c r="R82" s="4" t="str">
        <f>IF(SnapshotTable[[#This Row],[Equity Basis Total]] &gt; 0, SnapshotTable[[#This Row],[Equity Basis Total]] / SnapshotTable[[#This Row],[Equity Shares]], "")</f>
        <v/>
      </c>
      <c r="S82" s="254">
        <f>SnapshotTable[[#This Row],[Last Price]] * SnapshotTable[[#This Row],[Equity Shares]]</f>
        <v>0</v>
      </c>
      <c r="T82" s="254">
        <f>SnapshotTable[[#This Row],[Equity Value]] - SnapshotTable[[#This Row],[Equity Basis Total]]</f>
        <v>0</v>
      </c>
      <c r="U82" s="255" t="str">
        <f>IF(SnapshotTable[[#This Row],[Equity Basis Total]] &gt; 0, SnapshotTable[[#This Row],[Equity G/L]] / SnapshotTable[[#This Row],[Equity Basis Total]], "")</f>
        <v/>
      </c>
      <c r="V82" s="253"/>
      <c r="W82" s="253"/>
      <c r="X82" s="4" t="str">
        <f>IF(AND(ISNUMBER(SnapshotTable[[#This Row],[Equity Basis Per Share]]),ISNUMBER(SnapshotTable[[#This Row],[Equity Target]])),SnapshotTable[[#This Row],[Equity Target]]-SnapshotTable[[#This Row],[Equity Basis Per Share]],"")</f>
        <v/>
      </c>
      <c r="Y82" s="4" t="str">
        <f>IF(AND(ISNUMBER(SnapshotTable[[#This Row],[Equity Basis Per Share]]),ISNUMBER(SnapshotTable[[#This Row],[Equity Stop Loss]])),SnapshotTable[[#This Row],[Equity Stop Loss]]-SnapshotTable[[#This Row],[Equity Basis Per Share]],"")</f>
        <v/>
      </c>
      <c r="Z82" s="260" t="str">
        <f>IFERROR( TEXT(SnapshotTable[[#This Row],[Equity Max Gain Per Share]] /ABS( SnapshotTable[[#This Row],[Equity Max Loss Per Share]]),"0.0 " ) &amp; " : 1", "")</f>
        <v/>
      </c>
      <c r="AA82" s="31" t="str">
        <f>IF(ISNUMBER(SnapshotTable[[#This Row],[Equity Max Gain Per Share]]),SnapshotTable[[#This Row],[Equity Max Gain Per Share]] * SnapshotTable[[#This Row],[Equity Shares]],"")</f>
        <v/>
      </c>
      <c r="AB82" s="31" t="str">
        <f>IF(ISNUMBER(SnapshotTable[[#This Row],[Equity Max Loss Per Share]]),SnapshotTable[[#This Row],[Equity Max Loss Per Share]] * SnapshotTable[[#This Row],[Equity Shares]],"")</f>
        <v/>
      </c>
      <c r="AC82" s="148"/>
      <c r="AD82" s="149"/>
      <c r="AE82" s="31">
        <f>(SnapshotTable[[#This Row],[Annual Dividend Per Share]] / 4) * SnapshotTable[[#This Row],[Equity Shares]]</f>
        <v>0</v>
      </c>
      <c r="AF82" s="31">
        <f>SnapshotTable[[#This Row],[Quarterly Div $]] * 4</f>
        <v>0</v>
      </c>
      <c r="AG82" s="7">
        <f>IF(SnapshotTable[[#This Row],[Annual Dividend Per Share]]&gt;0, SnapshotTable[[#This Row],[Annual Dividend Per Share]]  / SnapshotTable[[#This Row],[Last Price]], 0)</f>
        <v>0</v>
      </c>
      <c r="AH82" s="149"/>
      <c r="AI82" s="5"/>
      <c r="AJ82" s="136">
        <v>101.42</v>
      </c>
      <c r="AK82" s="150" t="str">
        <f>IF(ISNUMBER( SnapshotTable[[#This Row],[EBF Target]]),(SnapshotTable[[#This Row],[EBF Target]] - SnapshotTable[[#This Row],[Last Price]]) / SnapshotTable[[#This Row],[Last Price]], "")</f>
        <v/>
      </c>
      <c r="AL82" s="150" t="str">
        <f>IF(AND(SnapshotTable[[#This Row],[Equity Basis Total]] &gt; 0,ISNUMBER( SnapshotTable[[#This Row],[Long Term Target]])), SnapshotTable[[#This Row],[From Basis $]] / SnapshotTable[[#This Row],[Equity Basis Total]], "")</f>
        <v/>
      </c>
      <c r="AM82" s="9">
        <f>IF( AND(SnapshotTable[[#This Row],[Equity Shares]] &gt;0,ISNUMBER( SnapshotTable[[#This Row],[Long Term Target]])),(SnapshotTable[[#This Row],[Equity Shares]] * SnapshotTable[[#This Row],[Long Term Target]]) - SnapshotTable[[#This Row],[Equity Basis Total]],0)</f>
        <v>0</v>
      </c>
      <c r="AN82" s="9">
        <f>IF( AND(SnapshotTable[[#This Row],[Equity Shares]] &gt;0,ISNUMBER( SnapshotTable[[#This Row],[Long Term Target]])),(SnapshotTable[[#This Row],[Equity Shares]]*SnapshotTable[[#This Row],[Long Term Target]]) - SnapshotTable[[#This Row],[Equity Value]],0)</f>
        <v>0</v>
      </c>
      <c r="AO82" s="150">
        <f>IF(AND(ISNUMBER( SnapshotTable[[#This Row],[Long Term Target]]), ISNUMBER(SnapshotTable[[#This Row],[Last Price]])),(SnapshotTable[[#This Row],[Long Term Target]] - SnapshotTable[[#This Row],[Last Price]]) / SnapshotTable[[#This Row],[Last Price]], "")</f>
        <v>3.7128252788104095</v>
      </c>
      <c r="AP82" s="5">
        <v>120</v>
      </c>
      <c r="AQ82" s="38" t="s">
        <v>29</v>
      </c>
      <c r="AR82" s="5">
        <v>106.83</v>
      </c>
      <c r="AS82" s="38" t="s">
        <v>19</v>
      </c>
      <c r="AT82" s="144"/>
      <c r="AU82" s="185" t="str">
        <f>IF(OR(SnapshotTable[[#This Row],[LP No Fill]]="Y",SnapshotTable[[#This Row],[SP Is Filled]],SnapshotTable[[#This Row],[LC Not Filled]]="Y",SnapshotTable[[#This Row],[SC Is Filled]]),"Y","")</f>
        <v/>
      </c>
      <c r="AV82" s="205"/>
      <c r="AW82" s="211"/>
      <c r="AX82" s="206"/>
      <c r="AY82" s="205" t="str">
        <f>IF(SnapshotTable[[#This Row],[Implied Move]]&gt;0, SnapshotTable[[#This Row],[Last Price]]-SnapshotTable[[#This Row],[Implied Move]],"")</f>
        <v/>
      </c>
      <c r="AZ82" s="205" t="str">
        <f>IF(SnapshotTable[[#This Row],[Implied Move]]&gt;0, SnapshotTable[[#This Row],[Last Price]] + SnapshotTable[[#This Row],[Implied Move]],"")</f>
        <v/>
      </c>
      <c r="BA82" s="302">
        <v>37.56</v>
      </c>
      <c r="BB82" s="318"/>
      <c r="BC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2" s="321"/>
      <c r="BE82" s="172"/>
      <c r="BF82" s="173"/>
      <c r="BG82" s="174"/>
      <c r="BH82" s="174"/>
      <c r="BI82" s="5"/>
      <c r="BJ82" s="151">
        <f>IF(SnapshotTable[[#This Row],[LP Qty]] &gt; 0, SnapshotTable[[#This Row],[LP Qty]] * SnapshotTable[[#This Row],[LP Book Price]] * 100,0)</f>
        <v>0</v>
      </c>
      <c r="BK82" s="134">
        <f>IF(SnapshotTable[[#This Row],[LP Premium]] &gt; 0, SnapshotTable[[#This Row],[LP Qty]] * SnapshotTable[[#This Row],[LP Strike Price]] * 100,0)</f>
        <v>0</v>
      </c>
      <c r="BL82" s="152"/>
      <c r="BM82" s="355" t="str">
        <f>IF(SnapshotTable[[#This Row],[LP Premium]] &gt; 0,SnapshotTable[[#This Row],[LP Exp Date]]-MAX(SnapshotTable[[#This Row],[LP Book Date]], SnapshotTable[[#This Row],[LP Fill Date]]),"")</f>
        <v/>
      </c>
      <c r="BN82" s="355" t="str">
        <f>IF(ISNUMBER( SnapshotTable[[#This Row],[LP Term]]), SnapshotTable[[#This Row],[LP Exp Date]] - MockToday,"")</f>
        <v/>
      </c>
      <c r="BO82" s="161" t="str">
        <f>IF(AND(SnapshotTable[[#This Row],[LP Exp Date]]&gt;0, SnapshotTable[[#This Row],[LP Strike Price]]&gt;0,SnapshotTable[[#This Row],[LP Qty]]&gt;0,SnapshotTable[[#This Row],[LP Book Date]]&gt;0,SnapshotTable[[#This Row],[LP Book Price]]&gt;0,SnapshotTable[[#This Row],[LP Fill Date]]=0),"Y","")</f>
        <v/>
      </c>
      <c r="BP82" s="31" t="str">
        <f>IF(AND(SnapshotTable[[#This Row],[LP No Fill]]&lt;&gt;"Y",SnapshotTable[[#This Row],[LP Contract Value]]&gt;0, SnapshotTable[[#This Row],[LP Qty]]&gt;0), SnapshotTable[[#This Row],[LP Contract Value]]*SnapshotTable[[#This Row],[LP Qty]]*100,"")</f>
        <v/>
      </c>
      <c r="BQ82" s="13"/>
      <c r="BR82" s="5"/>
      <c r="BS82" s="36"/>
      <c r="BT82" s="145"/>
      <c r="BU82" s="13"/>
      <c r="BV82" s="5"/>
      <c r="BW82" s="382" t="b">
        <f>AND(ISNUMBER(SnapshotTable[[#This Row],[SP Exp Date]]), ISNUMBER(SnapshotTable[[#This Row],[SP Strike Price]]), ISNUMBER(SnapshotTable[[#This Row],[SP Qty]]), ISNUMBER(SnapshotTable[[#This Row],[SP Book Date]]), ISNUMBER(SnapshotTable[[#This Row],[SP Book Price]]))</f>
        <v>0</v>
      </c>
      <c r="BX82" s="382" t="b">
        <f>AND(SnapshotTable[[#This Row],[SP Is Booked]], NOT(ISBLANK(SnapshotTable[[#This Row],[SP Fill Date]])))</f>
        <v>0</v>
      </c>
      <c r="BY82" s="33">
        <f>IF(SnapshotTable[[#This Row],[SP Is Booked]], SnapshotTable[[#This Row],[SP Qty]] * SnapshotTable[[#This Row],[SP Book Price]] * 100, 0)</f>
        <v>0</v>
      </c>
      <c r="BZ82" s="339"/>
      <c r="CA82" s="338">
        <f>SnapshotTable[[#This Row],[LP Qty]]</f>
        <v>0</v>
      </c>
      <c r="CB82" s="4" t="str">
        <f>IF(SnapshotTable[[#This Row],[SP Is Booked]], SnapshotTable[[#This Row],[SP Strike Price]] - SnapshotTable[[#This Row],[SP Book Price]], "")</f>
        <v/>
      </c>
      <c r="CC82" s="19" t="str">
        <f>IF(SnapshotTable[[#This Row],[SP Is Booked]],SnapshotTable[[#This Row],[SP Exp Date]]-MAX(SnapshotTable[[#This Row],[SP Book Date]], SnapshotTable[[#This Row],[SP Fill Date]]),"")</f>
        <v/>
      </c>
      <c r="CD82" s="7" t="str">
        <f>IF(SnapshotTable[[#This Row],[SP Is Booked]], SnapshotTable[[#This Row],[SP Book Price]]/SnapshotTable[[#This Row],[SP Strike Price]], "")</f>
        <v/>
      </c>
      <c r="CE82" s="7" t="str">
        <f>IF(ISNUMBER(SnapshotTable[[#This Row],[SP ROO Term]]),SnapshotTable[[#This Row],[SP ROO Term]]*(365/SnapshotTable[[#This Row],[SP Term]]),"")</f>
        <v/>
      </c>
      <c r="CF82" s="221">
        <f>SnapshotTable[[#This Row],[LP Strike Price]] * SnapshotTable[[#This Row],[LP Qty]] * 100</f>
        <v>0</v>
      </c>
      <c r="CG82" s="31">
        <f>IF(ISNUMBER(SnapshotTable[[#This Row],[SP Premium]]), (SnapshotTable[[#This Row],[SP Qty]] * SnapshotTable[[#This Row],[SP Strike Price]]* 100) - SnapshotTable[[#This Row],[LP Protection]], 0)</f>
        <v>0</v>
      </c>
      <c r="CH82" s="7" t="str">
        <f>IF(ISNUMBER(SnapshotTable[[#This Row],[SP Break Even]]),-1 * (SnapshotTable[[#This Row],[SP Break Even]] - SnapshotTable[[#This Row],[Last Price]]) / SnapshotTable[[#This Row],[Last Price]], "")</f>
        <v/>
      </c>
      <c r="CI82" s="31">
        <f>IF(AND(ISNUMBER((SnapshotTable[[#This Row],[SP Potential Spend]])), SnapshotTable[[#This Row],[SP Strike Price]] &gt; SnapshotTable[[#This Row],[Last Price]], SnapshotTable[[#This Row],[SP Is Filled]]), SnapshotTable[[#This Row],[SP Potential Spend]] -  SnapshotTable[[#This Row],[LP Max Value]], 0)</f>
        <v>0</v>
      </c>
      <c r="CJ82" s="229"/>
      <c r="CK82" s="31">
        <f>IF(ISNUMBER(SnapshotTable[[#This Row],[SP Potential Spend]]),IF(ISNUMBER(SnapshotTable[[#This Row],[SP POW]]), SnapshotTable[[#This Row],[SP POW]] * SnapshotTable[[#This Row],[SP Potential Spend]], SnapshotTable[[#This Row],[SP Potential Spend]]), "")</f>
        <v>0</v>
      </c>
      <c r="CL82" s="162">
        <f>IF(NOT(SnapshotTable[[#This Row],[SP Is Filled]]),(SnapshotTable[[#This Row],[SP Qty]] * SnapshotTable[[#This Row],[SP Strike Price]] * 100) - SnapshotTable[[#This Row],[LP Max Value]],"")</f>
        <v>0</v>
      </c>
      <c r="CM82" s="31" t="str">
        <f>IF(SnapshotTable[[#This Row],[SP Actual Spend]]&lt;&gt;0, ((SnapshotTable[[#This Row],[SP Strike Price]]-SnapshotTable[[#This Row],[Last Price]]) *(SnapshotTable[[#This Row],[SP Qty]]*100) - SnapshotTable[[#This Row],[SP Premium]]) * - 1, "")</f>
        <v/>
      </c>
      <c r="CN82" s="152"/>
      <c r="CO82" s="339"/>
      <c r="CP82" s="4" t="str">
        <f>IF(SnapshotTable[[#This Row],[SP Is Filled]], btc_max_buyback_amount(SnapshotTable[[#This Row],[SP Fill Date]],SnapshotTable[[#This Row],[SP Exp Date]], SnapshotTable[[#This Row],[SP Book Price]]),"")</f>
        <v/>
      </c>
      <c r="CQ82" s="76"/>
      <c r="CR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2" s="153" t="str">
        <f>IF(SnapshotTable[[#This Row],[SP Is Filled]], btc_next_cutoff_date(SnapshotTable[[#This Row],[SP Fill Date]],SnapshotTable[[#This Row],[SP Exp Date]]),"")</f>
        <v/>
      </c>
      <c r="CT82" s="220" t="str" cm="1">
        <f t="array" ref="CT82">IF(SnapshotTable[[#This Row],[SP Is Filled]], btc_should_buy_back(SnapshotTable[[#This Row],[SP Fill Date]], SnapshotTable[[#This Row],[SP Exp Date]], SnapshotTable[[#This Row],[SP Book Price]], SnapshotTable[[#This Row],[SP Current Ask]], MockToday, SnapshotTable[[#This Row],[SP Buyback Override]]),"")</f>
        <v/>
      </c>
      <c r="CU82" s="154"/>
      <c r="CV82" s="220"/>
      <c r="CW82" s="348" t="str">
        <f>IF(ISNUMBER( SnapshotTable[[#This Row],[SP Term]]), SnapshotTable[[#This Row],[SP Exp Date]] - MockToday,"")</f>
        <v/>
      </c>
      <c r="CX82" s="31" t="str">
        <f>IF(SnapshotTable[[#This Row],[SP Is Filled]],SnapshotTable[[#This Row],[SP Buyback Price to Use]] * 100 * SnapshotTable[[#This Row],[SP Qty]], "")</f>
        <v/>
      </c>
      <c r="CY82" s="4" t="str">
        <f>IF(ISNUMBER(SnapshotTable[[#This Row],[SP Strike Price]]), SnapshotTable[[#This Row],[SP Strike Price]] * (1 - SP_MaxLoss_StrikePct), "")</f>
        <v/>
      </c>
      <c r="CZ82" s="31" t="str">
        <f>IF(ISNUMBER(SnapshotTable[[#This Row],[SP Strike  Stop Per Share]]),SnapshotTable[[#This Row],[SP Premium]] - ((SnapshotTable[[#This Row],[SP Strike Price]]-SnapshotTable[[#This Row],[SP Strike  Stop Per Share]]) *(SnapshotTable[[#This Row],[SP Qty]] * 100)),"")</f>
        <v/>
      </c>
      <c r="DA82" s="4" t="str">
        <f>IF(AND(ISNUMBER(SnapshotTable[[#This Row],[SP Premium]]),SnapshotTable[[#This Row],[SP Premium]]&gt;0), SnapshotTable[[#This Row],[SP Book Price]] * (1 + SP_MaxLoss_OptionPct), "")</f>
        <v/>
      </c>
      <c r="DB82" s="31" t="str">
        <f>IF(ISNUMBER(SnapshotTable[[#This Row],[SP Option  Stop Contract]]),(SnapshotTable[[#This Row],[SP Option  Stop Contract]] *(SnapshotTable[[#This Row],[SP Qty]] * 100) - SnapshotTable[[#This Row],[SP Premium]]),"")</f>
        <v/>
      </c>
      <c r="DC82" s="4"/>
      <c r="DD82" s="4"/>
      <c r="DE82" s="4" t="str">
        <f>IF(AND(SnapshotTable[[#This Row],[SP Qty]]&gt;0, SnapshotTable[[#This Row],[SP Stop To Use]]&gt;0),SnapshotTable[[#This Row],[SP Premium]] - ( SnapshotTable[[#This Row],[SP Qty]] * SnapshotTable[[#This Row],[SP Stop To Use]] * 100), "")</f>
        <v/>
      </c>
      <c r="DF82" s="31" t="str">
        <f>IF(AND(SnapshotTable[[#This Row],[SP Qty]]&gt;0,SnapshotTable[[#This Row],[SP Current Ask]]&gt;0), SnapshotTable[[#This Row],[SP Qty]] * SnapshotTable[[#This Row],[SP Current Ask]] * -100, "")</f>
        <v/>
      </c>
      <c r="DG82" s="31" t="str">
        <f>IF(ISNUMBER((SnapshotTable[[#This Row],[SP Total Value]])), SnapshotTable[[#This Row],[SP Premium]] + SnapshotTable[[#This Row],[SP Total Value]], "")</f>
        <v/>
      </c>
      <c r="DH82" s="272" t="str">
        <f>IF(ISNUMBER((SnapshotTable[[#This Row],[SP Total Value]])), SnapshotTable[[#This Row],[SP Gain Loss]] / SnapshotTable[[#This Row],[SP Premium]], "")</f>
        <v/>
      </c>
      <c r="DI82" s="369"/>
      <c r="DJ82" s="136"/>
      <c r="DK82" s="146"/>
      <c r="DL82" s="13"/>
      <c r="DM82" s="13"/>
      <c r="DO82" s="31">
        <f>IF(SnapshotTable[[#This Row],[LC Symbol Count]]=1, SnapshotTable[[#This Row],[LC Qty]] * SnapshotTable[[#This Row],[LC Book Price]] * 100, 0)</f>
        <v>0</v>
      </c>
      <c r="DP82" s="161" t="str">
        <f>IF(AND(SnapshotTable[[#This Row],[LC Exp Date]]&gt;0, SnapshotTable[[#This Row],[LC Strike Price]]&gt;0,SnapshotTable[[#This Row],[LC Qty]]&gt;0,SnapshotTable[[#This Row],[LC Book Date]]&gt;0,SnapshotTable[[#This Row],[LC Book Price]]&gt;0,SnapshotTable[[#This Row],[LC Fill Date]]=0),"Y","")</f>
        <v/>
      </c>
      <c r="DQ82" s="356" t="str">
        <f>IF(SnapshotTable[[#This Row],[LC Premium]] &gt; 0,SnapshotTable[[#This Row],[LC Exp Date]]-MAX(SnapshotTable[[#This Row],[LC Book Date]], SnapshotTable[[#This Row],[LC Fill Date]]),"")</f>
        <v/>
      </c>
      <c r="DR82" s="356" t="str">
        <f>IF(ISNUMBER(SnapshotTable[[#This Row],[LC Term]]), SnapshotTable[[#This Row],[LC Exp Date]] - MockToday, "")</f>
        <v/>
      </c>
      <c r="DS82" s="219" t="str">
        <f>IF(SnapshotTable[[#This Row],[LC Premium]]&gt;0,SnapshotTable[[#This Row],[LC Strike Price]] + SnapshotTable[[#This Row],[LC Book Price]],"")</f>
        <v/>
      </c>
      <c r="DU82" s="9" t="str">
        <f>IF(AND(SnapshotTable[[#This Row],[LC Symbol Count]]&gt;0, SnapshotTable[[#This Row],[LC Contract Value]]&gt;0), SnapshotTable[[#This Row],[LC Contract Value]] * SnapshotTable[[#This Row],[LC Qty]] * 100, "")</f>
        <v/>
      </c>
      <c r="DV82" s="9" t="str">
        <f>IF(AND(ISNUMBER(SnapshotTable[[#This Row],[LC Total Value]]), SnapshotTable[[#This Row],[LC Not Filled]]&lt;&gt;"Y"), SnapshotTable[[#This Row],[LC Total Value]]-SnapshotTable[[#This Row],[LC Premium]],"")</f>
        <v/>
      </c>
      <c r="DW82" s="225" t="str">
        <f>IF(ISNUMBER(SnapshotTable[[#This Row],[LC Actual Gain Loss]]), SnapshotTable[[#This Row],[LC Actual Gain Loss]] / SnapshotTable[[#This Row],[LC Premium]],"")</f>
        <v/>
      </c>
      <c r="DX82" s="269" t="str">
        <f>IF(ISNUMBER(SnapshotTable[[#This Row],[LC Book Price]]),SnapshotTable[[#This Row],[LC Book Price]] * 1.5,"")</f>
        <v/>
      </c>
      <c r="DY82" s="250" t="str">
        <f>IF(SnapshotTable[[#This Row],[LC Premium]]&gt;0, SnapshotTable[[#This Row],[LC Next Target]] * SnapshotTable[[#This Row],[LC Qty]] * 100,"")</f>
        <v/>
      </c>
      <c r="DZ82" s="250" t="str">
        <f>IF(ISNUMBER(SnapshotTable[[#This Row],[LC Target Gross]]), SnapshotTable[[#This Row],[LC Target Gross]] - SnapshotTable[[#This Row],[LC Premium]], "")</f>
        <v/>
      </c>
      <c r="EA82" s="283" t="str">
        <f>IF(ISNUMBER(SnapshotTable[[#This Row],[LC Target Gain Loss]]), SnapshotTable[[#This Row],[LC Target Gain Loss]]/SnapshotTable[[#This Row],[LC Premium]], "")</f>
        <v/>
      </c>
      <c r="EB82" s="247"/>
      <c r="EC82" s="268" t="str">
        <f>IF(SnapshotTable[[#This Row],[LC Premium]]&gt;0, SnapshotTable[[#This Row],[LC Book Price]] * (1 - LC_StopLoss_Pct),"")</f>
        <v/>
      </c>
      <c r="ED82" s="269" t="s">
        <v>757</v>
      </c>
      <c r="EE82" s="268" t="str">
        <f>IF(ISNUMBER(SnapshotTable[[#This Row],[LC Contract Value]]),IF(ISNUMBER(SnapshotTable[[#This Row],[LC Stop Loss Override]]), SnapshotTable[[#This Row],[LC Stop Loss Override]],SnapshotTable[[#This Row],[LC Stop Loss Calc Target]]),"")</f>
        <v/>
      </c>
      <c r="EF82" s="31" t="str">
        <f>IF(ISNUMBER(SnapshotTable[[#This Row],[LC Stop  To Use]]), (SnapshotTable[[#This Row],[LC Stop  To Use]] * SnapshotTable[[#This Row],[LC Qty]] * 100),"")</f>
        <v/>
      </c>
      <c r="EG82" s="9" t="str">
        <f>IF(ISNUMBER(SnapshotTable[[#This Row],[LC Total Value]]),SnapshotTable[[#This Row],[LC Stop Loss Amount]] - SnapshotTable[[#This Row],[LC Premium]],"")</f>
        <v/>
      </c>
      <c r="EH82" s="9">
        <f>IF(ISNUMBER(SnapshotTable[[#This Row],[LC Premium]]), SnapshotTable[[#This Row],[LC Qty]] * 100 * SnapshotTable[[#This Row],[LC Strike Price]], "")</f>
        <v>0</v>
      </c>
      <c r="EI82" s="225" t="str">
        <f>IF(AND(ISNUMBER(SnapshotTable[[#This Row],[LC Total Value]]),SnapshotTable[[#This Row],[LC Total Value]]&gt;0),SnapshotTable[[#This Row],[LC Stop Gain Loss]]  / SnapshotTable[[#This Row],[LC Premium]],"")</f>
        <v/>
      </c>
      <c r="EJ82" s="35">
        <f>IF(ISNUMBER(SnapshotTable[[#This Row],[Equity Shares]]),TRUNC(SnapshotTable[[#This Row],[Equity Shares]] / 100),0) + SnapshotTable[[#This Row],[LC Qty]]</f>
        <v>0</v>
      </c>
      <c r="EK82" s="145"/>
      <c r="EL82" s="136"/>
      <c r="EM82" s="146"/>
      <c r="EN82" s="145"/>
      <c r="EO82" s="145"/>
      <c r="EP82" s="136"/>
      <c r="EQ82" s="382" t="b">
        <f>AND(ISNUMBER(SnapshotTable[[#This Row],[SC Exp Date]]), ISNUMBER(SnapshotTable[[#This Row],[SC Strike Price]]), ISNUMBER(SnapshotTable[[#This Row],[SC Qty]]), ISNUMBER(SnapshotTable[[#This Row],[SC Book Date]]), ISNUMBER(SnapshotTable[[#This Row],[SC Book Price]]))</f>
        <v>0</v>
      </c>
      <c r="ER82" s="382" t="b">
        <f>AND(SnapshotTable[[#This Row],[SC Is Booked]], NOT(ISBLANK(SnapshotTable[[#This Row],[SC Fill Date]])))</f>
        <v>0</v>
      </c>
      <c r="ES82" s="340"/>
      <c r="ET82" s="34" t="str">
        <f>IF(AND(ISNUMBER(SnapshotTable[[#This Row],[SC Exp Date]]), ISNUMBER(SnapshotTable[[#This Row],[SC Book Date]])), SnapshotTable[[#This Row],[SC Exp Date]] - MAX(SnapshotTable[[#This Row],[SC Book Date]], SnapshotTable[[#This Row],[SC Fill Date]]) + 1, "")</f>
        <v/>
      </c>
      <c r="EU82" s="34" t="str">
        <f>IF(ISNUMBER(SnapshotTable[[#This Row],[SC Term]]), SnapshotTable[[#This Row],[SC Exp Date]]- MockToday, "")</f>
        <v/>
      </c>
      <c r="EV82" s="31">
        <f>IF(SnapshotTable[[#This Row],[SC Is Booked]], SnapshotTable[[#This Row],[SC Qty]] * SnapshotTable[[#This Row],[SC Book Price]] * 100, 0)</f>
        <v>0</v>
      </c>
      <c r="EW82" s="4" t="str">
        <f>IF(AND(ISNUMBER(SnapshotTable[[#This Row],[Last Price]]), ISNUMBER( SnapshotTable[[#This Row],[SC Book Price]])), SnapshotTable[[#This Row],[Last Price]] - SnapshotTable[[#This Row],[SC Book Price]],"")</f>
        <v/>
      </c>
      <c r="EX82" s="219" t="str">
        <f>IF(SnapshotTable[[#This Row],[SC Is Booked]],IF(SnapshotTable[[#This Row],[SC Intrinsic Value]] &gt; 0, SnapshotTable[[#This Row],[SC Strike Price]], SnapshotTable[[#This Row],[Last Price]]), "")</f>
        <v/>
      </c>
      <c r="EY82" s="4">
        <f>IF(SnapshotTable[[#This Row],[SC Is Booked]], (MinimumPremiumRequired * SnapshotTable[[#This Row],[SC Basis]] * SnapshotTable[[#This Row],[SC Term]]), 0)</f>
        <v>0</v>
      </c>
      <c r="EZ82" s="268"/>
      <c r="FA82" s="204"/>
      <c r="FB82" s="340"/>
      <c r="FC82" s="4">
        <f>IF(SnapshotTable[[#This Row],[SC Is Filled]], btc_max_buyback_amount(SnapshotTable[[#This Row],[SC Fill Date]],SnapshotTable[[#This Row],[SC Exp Date]], SnapshotTable[[#This Row],[SC Book Price]]),0)</f>
        <v>0</v>
      </c>
      <c r="FD82" s="5"/>
      <c r="FE82" s="142" t="str">
        <f>IF(SnapshotTable[[#This Row],[SC Is Filled]], btc_next_cutoff_date(SnapshotTable[[#This Row],[SC Fill Date]],SnapshotTable[[#This Row],[SC Exp Date]]),"")</f>
        <v/>
      </c>
      <c r="FF82" s="4" t="str" cm="1">
        <f t="array" ref="FF82">IF(SnapshotTable[[#This Row],[SC Is Filled]], btc_should_buy_back(SnapshotTable[[#This Row],[SC Fill Date]], SnapshotTable[[#This Row],[SC Exp Date]], SnapshotTable[[#This Row],[SC Book Price]], SnapshotTable[[#This Row],[SC Current Ask]], MockToday, SnapshotTable[[#This Row],[SC Buyback Override]]),"")</f>
        <v/>
      </c>
      <c r="FG82" s="4">
        <f>IF(SnapshotTable[[#This Row],[SC Is Filled]], MAX(0,SnapshotTable[[#This Row],[Last Price]]  - SnapshotTable[[#This Row],[SC Strike Price]]), 0)</f>
        <v>0</v>
      </c>
      <c r="FH82" s="352">
        <f>IF(SnapshotTable[[#This Row],[SC Is Filled]], IF(ISNUMBER(SnapshotTable[[#This Row],[SC Current Ask]]), SnapshotTable[[#This Row],[SC Current Ask]], SnapshotTable[[#This Row],[SC Book Price]]) - SnapshotTable[[#This Row],[SC Intrinsic Value]], 0)</f>
        <v>0</v>
      </c>
      <c r="FI82" s="141"/>
      <c r="FJ82" s="32" t="str">
        <f>IF(SnapshotTable[[#This Row],[SC Is Filled]],100 * SnapshotTable[[#This Row],[SC Qty]] * IF(ISNUMBER(SnapshotTable[[#This Row],[SC Buyback Override]]), SnapshotTable[[#This Row],[SC Buyback Override]], SnapshotTable[[#This Row],[SC Current Ask]]), "")</f>
        <v/>
      </c>
      <c r="FK82" s="235" t="str">
        <f>IF(SnapshotTable[[#This Row],[SC Time Val]]&gt;0, SnapshotTable[[#This Row],[SC Time Val]] / SnapshotTable[[#This Row],[Last Price]],"")</f>
        <v/>
      </c>
      <c r="FL82" s="280" t="str">
        <f>IF(SnapshotTable[[#This Row],[SC Is Booked]], ((SnapshotTable[[#This Row],[Last Price]] -SnapshotTable[[#This Row],[SC Strike Price]]) / SnapshotTable[[#This Row],[Last Price]]) * -1, "")</f>
        <v/>
      </c>
      <c r="FM82" s="155" t="str">
        <f>IF(SnapshotTable[[#This Row],[SC Is Booked]],  (SnapshotTable[[#This Row],[SC Qty]] * 100 * SnapshotTable[[#This Row],[SC Strike Price]]) - SnapshotTable[[#This Row],[SC Current Ask]], "")</f>
        <v/>
      </c>
      <c r="FN82"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2" s="155" t="str">
        <f>IF(AND(ISNUMBER(SnapshotTable[[#This Row],[SC Exercise Gross]]), ISNUMBER(SnapshotTable[[#This Row],[Equity Basis Per Share]] )), SnapshotTable[[#This Row],[SC Exercise Gross]] - SnapshotTable[[#This Row],[Equity Basis Total]] +  SnapshotTable[[#This Row],[SC Premium]], "")</f>
        <v/>
      </c>
      <c r="FP82" s="5" t="str">
        <f>IF(ISNUMBER(SnapshotTable[[#This Row],[SC Exercise Gross]]), (SnapshotTable[[#This Row],[SC Exercise Gross]]) / (SnapshotTable[[#This Row],[SC Qty]] * 100), "")</f>
        <v/>
      </c>
      <c r="FQ82" s="27" t="str">
        <f>IF(SnapshotTable[[#This Row],[SC Is Booked]],SnapshotTable[[#This Row],[SC Time Val]] /SnapshotTable[[#This Row],[SC Basis]], "")</f>
        <v/>
      </c>
      <c r="FR82" s="27" t="str" cm="1">
        <f t="array" ref="FR82">IF(AND(ISNUMBER(SnapshotTable[[#This Row],[SC Term]]),ISNUMBER(SnapshotTable[[#This Row],[SC Simple ROO]])), EllmanAnnualize(SnapshotTable[[#This Row],[SC DTE]], SnapshotTable[[#This Row],[SC Simple ROO]] ),"")</f>
        <v/>
      </c>
      <c r="FS82" s="4">
        <f>IF(SnapshotTable[[#This Row],[SC Strike Price]] &gt; SnapshotTable[[#This Row],[Last Price]], SnapshotTable[[#This Row],[SC Strike Price]] - SnapshotTable[[#This Row],[Last Price]],0)</f>
        <v>0</v>
      </c>
      <c r="FT82" s="27" t="str">
        <f>IF(AND(ISNUMBER(SnapshotTable[[#This Row],[SC Upside Potential]]), SnapshotTable[[#This Row],[SC Upside Potential]] &gt; 0),(SnapshotTable[[#This Row],[SC Upside Potential]]/ SnapshotTable[[#This Row],[ACB]]),"")</f>
        <v/>
      </c>
      <c r="FU82" s="304" t="str">
        <f>IF(SnapshotTable[[#This Row],[SC Intrinsic Value]] &gt; 0,SnapshotTable[[#This Row],[SC Intrinsic Value]],"")</f>
        <v/>
      </c>
      <c r="FV82" s="27" t="str">
        <f>IF(AND( ISNUMBER( SnapshotTable[[#This Row],[ACB]]),ISNUMBER(SnapshotTable[[#This Row],[SC Downside Protect]])),SnapshotTable[[#This Row],[SC Downside Protect]] / SnapshotTable[[#This Row],[ACB]],"")</f>
        <v/>
      </c>
      <c r="FW82" s="221" t="str">
        <f>IF(AND(ISNUMBER(SnapshotTable[[#This Row],[SC Simple ROO]]),SnapshotTable[[#This Row],[SC Simple ROO]] &gt; 0), SnapshotTable[[#This Row],[SC Premium]] + (SnapshotTable[[#This Row],[SC Qty]] * SnapshotTable[[#This Row],[SC Upside Potential]]), "")</f>
        <v/>
      </c>
      <c r="FX82" s="280" t="str" cm="1">
        <f t="array" ref="FX82">IF(ISNUMBER(SnapshotTable[[#This Row],[SC Max Dollars]]), annualize(SnapshotTable[[#This Row],[SC Term]],(SnapshotTable[[#This Row],[SC Max Dollars]]/SnapshotTable[[#This Row],[SC Basis]])),"")</f>
        <v/>
      </c>
      <c r="FY82" s="221" t="str">
        <f>IF(AND(SnapshotTable[[#This Row],[SC Qty]]&gt;0,SnapshotTable[[#This Row],[SC Current Ask]]&gt;0), SnapshotTable[[#This Row],[SC Qty]] * SnapshotTable[[#This Row],[SC Current Ask]] * -100, "")</f>
        <v/>
      </c>
      <c r="FZ82" s="31" t="str">
        <f>IF(ISNUMBER((SnapshotTable[[#This Row],[SC Current Value]])), SnapshotTable[[#This Row],[SC Premium]] + SnapshotTable[[#This Row],[SC Current Value]], "")</f>
        <v/>
      </c>
      <c r="GA82" s="272" t="str">
        <f>IFERROR( IF(ISNUMBER((SnapshotTable[[#This Row],[SC Current Value]])), SnapshotTable[[#This Row],[SC Gain Loss]] / SnapshotTable[[#This Row],[SC Premium]], ""), "")</f>
        <v/>
      </c>
      <c r="GB82" s="175">
        <f>SnapshotTable[[#This Row],[Equity Shares]] * SaleSharesToConsiderPercentage</f>
        <v>0</v>
      </c>
      <c r="GC82" s="176">
        <f>SnapshotTable[[#This Row],[Long Term Target]] * SellingPriceToConsiderBasedOnTargetPercentage</f>
        <v>96.349000000000004</v>
      </c>
      <c r="GD82" s="176">
        <f>SnapshotTable[[#This Row],[Last Price]] * (1+ SellingPriceToConsiderBasedOnTargetPercentage)</f>
        <v>41.963999999999999</v>
      </c>
      <c r="GE82" s="177"/>
      <c r="GF82" s="176"/>
      <c r="GG82" s="31">
        <f>SnapshotTable[[#This Row],[Booked Sale Shares]] * SnapshotTable[[#This Row],[Booked Sale Price]]</f>
        <v>0</v>
      </c>
      <c r="GH82" s="31" t="str">
        <f>IF(SnapshotTable[[#This Row],[Equity Basis Total]] &gt; 0, SnapshotTable[[#This Row],[Equity Basis Per Share]] * SnapshotTable[[#This Row],[Booked Sale Shares]], "")</f>
        <v/>
      </c>
      <c r="GI82" s="31">
        <f>IF(SnapshotTable[[#This Row],[Sale Proceeds]]&gt;0, SnapshotTable[[#This Row],[Sale Proceeds]] - SnapshotTable[[#This Row],[Sale Basis]], 0)</f>
        <v>0</v>
      </c>
      <c r="GJ82" s="156" t="str">
        <f>IF(SnapshotTable[[#This Row],[Sale G/L]]&gt;0, SnapshotTable[[#This Row],[Sale G/L]] / SnapshotTable[[#This Row],[Sale Basis]], IF(ISNUMBER(SnapshotTable[[#This Row],[SC Exercise P&amp;L (TAX)]]), SnapshotTable[[#This Row],[SC Exercise P&amp;L (TAX)]] / SnapshotTable[[#This Row],[SC Basis]], ""))</f>
        <v/>
      </c>
      <c r="GK82" s="156"/>
      <c r="GL82" s="157" t="str">
        <f>IF(AND(SnapshotTable[[#This Row],[LP Exp Date]]&gt;0,SnapshotTable[[#This Row],[LP Strike Price]]&gt;0), [1]!ToOptionSymbol(SnapshotTable[[#This Row],[Symbol]], SnapshotTable[[#This Row],[LP Strike Price]],SnapshotTable[[#This Row],[LP Exp Date]],1), "")</f>
        <v/>
      </c>
      <c r="GM82" s="30" t="str">
        <f>IF(LEN(SnapshotTable[[#This Row],[LP Symbol]])&gt;0, 1, "")</f>
        <v/>
      </c>
      <c r="GN82" s="43" t="str">
        <f>IF(AND(SnapshotTable[[#This Row],[SP Exp Date]]&gt;0,SnapshotTable[[#This Row],[SP Strike Price]]&gt;0), [1]!ToOptionSymbol(SnapshotTable[[#This Row],[Symbol]], SnapshotTable[[#This Row],[SP Strike Price]],SnapshotTable[[#This Row],[SP Exp Date]],1), "")</f>
        <v/>
      </c>
      <c r="GO82" s="30" t="str">
        <f>IF(LEN(SnapshotTable[[#This Row],[SP Symbol]])&gt;0, 1, "")</f>
        <v/>
      </c>
      <c r="GP82" s="157" t="str">
        <f>IF(AND(SnapshotTable[[#This Row],[LC Exp Date]]&gt;0,SnapshotTable[[#This Row],[LC Strike Price]]&gt;0), [1]!ToOptionSymbol(SnapshotTable[[#This Row],[Symbol]], SnapshotTable[[#This Row],[LC Strike Price]],SnapshotTable[[#This Row],[LC Exp Date]],0), "")</f>
        <v/>
      </c>
      <c r="GQ82" s="158" t="str">
        <f>IF(LEN(SnapshotTable[[#This Row],[LC Symbol]])&gt;0, 1, "")</f>
        <v/>
      </c>
      <c r="GR82" s="157" t="str">
        <f>IF(AND(SnapshotTable[[#This Row],[SC Exp Date]]&gt;0,SnapshotTable[[#This Row],[SC Strike Price]]&gt;0), [1]!ToOptionSymbol(SnapshotTable[[#This Row],[Symbol]], SnapshotTable[[#This Row],[SC Strike Price]],SnapshotTable[[#This Row],[SC Exp Date]],0), "")</f>
        <v/>
      </c>
      <c r="GS82" s="158" t="str">
        <f>IF(LEN(SnapshotTable[[#This Row],[SC Symbol]])&gt;0, 1, "")</f>
        <v/>
      </c>
      <c r="GT82" s="159" t="str">
        <f>IF(COUNT(SnapshotTable[[#This Row],[LP Symbol Count]],SnapshotTable[[#This Row],[SP Symbol Count]],SnapshotTable[[#This Row],[LC Symbol Count]],SnapshotTable[[#This Row],[SC Symbol Count]])&gt;0, "Y", "")</f>
        <v/>
      </c>
      <c r="GU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2" s="216">
        <f>MAX(SnapshotTable[[#This Row],[Equity Basis Total]],SnapshotTable[[#This Row],[Equity Value]]) + (SnapshotTable[[#This Row],[SP Potential Spend]]- SnapshotTable[[#This Row],[SP Premium]] + SnapshotTable[[#This Row],[LP Premium]])+ (SnapshotTable[[#This Row],[LC Premium]] - SnapshotTable[[#This Row],[SC Premium]])</f>
        <v>0</v>
      </c>
      <c r="GW82" s="137" t="str">
        <f>IF(AND(SnapshotTable[[#This Row],[Exposure]] &lt;&gt; 0),SnapshotTable[[#This Row],[Exposure]] / SnapshotTable[[#Totals],[Exposure]], "")</f>
        <v/>
      </c>
      <c r="HE82" s="253"/>
      <c r="HF82" s="253"/>
      <c r="HK82" s="1"/>
      <c r="HL82" s="1"/>
      <c r="HM82" s="1"/>
      <c r="HN82" s="1"/>
      <c r="HO82" s="1"/>
      <c r="HP82" s="1"/>
    </row>
    <row r="83" spans="2:224" ht="12.75" hidden="1" customHeight="1" x14ac:dyDescent="0.25">
      <c r="B83" s="12" t="s">
        <v>103</v>
      </c>
      <c r="C83" s="385">
        <v>284.85000000000002</v>
      </c>
      <c r="D83" s="200"/>
      <c r="E83" s="39">
        <f>SnapshotTable[[#This Row],[Last Price]]*(1 -CrashDiscount)</f>
        <v>242.1225</v>
      </c>
      <c r="F83" s="26" t="s">
        <v>102</v>
      </c>
      <c r="G83" s="26" t="s">
        <v>32</v>
      </c>
      <c r="H83" s="147"/>
      <c r="I83" s="186">
        <v>44778.25</v>
      </c>
      <c r="J83" s="187">
        <v>44778.25</v>
      </c>
      <c r="K83" s="188"/>
      <c r="L83" s="297"/>
      <c r="M83" s="138"/>
      <c r="N83" s="138"/>
      <c r="O83" s="138"/>
      <c r="P83" s="22"/>
      <c r="Q83" s="25"/>
      <c r="R83" s="4" t="str">
        <f>IF(SnapshotTable[[#This Row],[Equity Basis Total]] &gt; 0, SnapshotTable[[#This Row],[Equity Basis Total]] / SnapshotTable[[#This Row],[Equity Shares]], "")</f>
        <v/>
      </c>
      <c r="S83" s="254">
        <f>SnapshotTable[[#This Row],[Last Price]] * SnapshotTable[[#This Row],[Equity Shares]]</f>
        <v>0</v>
      </c>
      <c r="T83" s="254">
        <f>SnapshotTable[[#This Row],[Equity Value]] - SnapshotTable[[#This Row],[Equity Basis Total]]</f>
        <v>0</v>
      </c>
      <c r="U83" s="255" t="str">
        <f>IF(SnapshotTable[[#This Row],[Equity Basis Total]] &gt; 0, SnapshotTable[[#This Row],[Equity G/L]] / SnapshotTable[[#This Row],[Equity Basis Total]], "")</f>
        <v/>
      </c>
      <c r="V83" s="253"/>
      <c r="W83" s="253"/>
      <c r="X83" s="4" t="str">
        <f>IF(AND(ISNUMBER(SnapshotTable[[#This Row],[Equity Basis Per Share]]),ISNUMBER(SnapshotTable[[#This Row],[Equity Target]])),SnapshotTable[[#This Row],[Equity Target]]-SnapshotTable[[#This Row],[Equity Basis Per Share]],"")</f>
        <v/>
      </c>
      <c r="Y83" s="4" t="str">
        <f>IF(AND(ISNUMBER(SnapshotTable[[#This Row],[Equity Basis Per Share]]),ISNUMBER(SnapshotTable[[#This Row],[Equity Stop Loss]])),SnapshotTable[[#This Row],[Equity Stop Loss]]-SnapshotTable[[#This Row],[Equity Basis Per Share]],"")</f>
        <v/>
      </c>
      <c r="Z83" s="260" t="str">
        <f>IFERROR( TEXT(SnapshotTable[[#This Row],[Equity Max Gain Per Share]] /ABS( SnapshotTable[[#This Row],[Equity Max Loss Per Share]]),"0.0 " ) &amp; " : 1", "")</f>
        <v/>
      </c>
      <c r="AA83" s="31" t="str">
        <f>IF(ISNUMBER(SnapshotTable[[#This Row],[Equity Max Gain Per Share]]),SnapshotTable[[#This Row],[Equity Max Gain Per Share]] * SnapshotTable[[#This Row],[Equity Shares]],"")</f>
        <v/>
      </c>
      <c r="AB83" s="31" t="str">
        <f>IF(ISNUMBER(SnapshotTable[[#This Row],[Equity Max Loss Per Share]]),SnapshotTable[[#This Row],[Equity Max Loss Per Share]] * SnapshotTable[[#This Row],[Equity Shares]],"")</f>
        <v/>
      </c>
      <c r="AC83" s="148">
        <v>0.04</v>
      </c>
      <c r="AD83" s="149">
        <v>42470</v>
      </c>
      <c r="AE83" s="31">
        <f>(SnapshotTable[[#This Row],[Annual Dividend Per Share]] / 4) * SnapshotTable[[#This Row],[Equity Shares]]</f>
        <v>0</v>
      </c>
      <c r="AF83" s="31">
        <f>SnapshotTable[[#This Row],[Quarterly Div $]] * 4</f>
        <v>0</v>
      </c>
      <c r="AG83" s="7">
        <f>IF(SnapshotTable[[#This Row],[Annual Dividend Per Share]]&gt;0, SnapshotTable[[#This Row],[Annual Dividend Per Share]]  / SnapshotTable[[#This Row],[Last Price]], 0)</f>
        <v>1.40424784974548E-4</v>
      </c>
      <c r="AH83" s="149">
        <v>42069</v>
      </c>
      <c r="AI83" s="5"/>
      <c r="AJ83" s="136">
        <v>115</v>
      </c>
      <c r="AK83" s="150" t="str">
        <f>IF(ISNUMBER( SnapshotTable[[#This Row],[EBF Target]]),(SnapshotTable[[#This Row],[EBF Target]] - SnapshotTable[[#This Row],[Last Price]]) / SnapshotTable[[#This Row],[Last Price]], "")</f>
        <v/>
      </c>
      <c r="AL83" s="150" t="str">
        <f>IF(AND(SnapshotTable[[#This Row],[Equity Basis Total]] &gt; 0,ISNUMBER( SnapshotTable[[#This Row],[Long Term Target]])), SnapshotTable[[#This Row],[From Basis $]] / SnapshotTable[[#This Row],[Equity Basis Total]], "")</f>
        <v/>
      </c>
      <c r="AM83" s="9">
        <f>IF( AND(SnapshotTable[[#This Row],[Equity Shares]] &gt;0,ISNUMBER( SnapshotTable[[#This Row],[Long Term Target]])),(SnapshotTable[[#This Row],[Equity Shares]] * SnapshotTable[[#This Row],[Long Term Target]]) - SnapshotTable[[#This Row],[Equity Basis Total]],0)</f>
        <v>0</v>
      </c>
      <c r="AN83" s="9">
        <f>IF( AND(SnapshotTable[[#This Row],[Equity Shares]] &gt;0,ISNUMBER( SnapshotTable[[#This Row],[Long Term Target]])),(SnapshotTable[[#This Row],[Equity Shares]]*SnapshotTable[[#This Row],[Long Term Target]]) - SnapshotTable[[#This Row],[Equity Value]],0)</f>
        <v>0</v>
      </c>
      <c r="AO83" s="150">
        <f>IF(AND(ISNUMBER( SnapshotTable[[#This Row],[Long Term Target]]), ISNUMBER(SnapshotTable[[#This Row],[Last Price]])),(SnapshotTable[[#This Row],[Long Term Target]] - SnapshotTable[[#This Row],[Last Price]]) / SnapshotTable[[#This Row],[Last Price]], "")</f>
        <v>-0.59627874319817453</v>
      </c>
      <c r="AP83" s="5"/>
      <c r="AQ83" s="38"/>
      <c r="AR83" s="5"/>
      <c r="AS83" s="38"/>
      <c r="AT83" s="144"/>
      <c r="AU83" s="185" t="str">
        <f>IF(OR(SnapshotTable[[#This Row],[LP No Fill]]="Y",SnapshotTable[[#This Row],[SP Is Filled]],SnapshotTable[[#This Row],[LC Not Filled]]="Y",SnapshotTable[[#This Row],[SC Is Filled]]),"Y","")</f>
        <v/>
      </c>
      <c r="AV83" s="205"/>
      <c r="AW83" s="211"/>
      <c r="AX83" s="206"/>
      <c r="AY83" s="205" t="str">
        <f>IF(SnapshotTable[[#This Row],[Implied Move]]&gt;0, SnapshotTable[[#This Row],[Last Price]]-SnapshotTable[[#This Row],[Implied Move]],"")</f>
        <v/>
      </c>
      <c r="AZ83" s="205" t="str">
        <f>IF(SnapshotTable[[#This Row],[Implied Move]]&gt;0, SnapshotTable[[#This Row],[Last Price]] + SnapshotTable[[#This Row],[Implied Move]],"")</f>
        <v/>
      </c>
      <c r="BA83" s="302"/>
      <c r="BB83" s="318"/>
      <c r="BC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3" s="321"/>
      <c r="BE83" s="5"/>
      <c r="BF83" s="14"/>
      <c r="BG83" s="13"/>
      <c r="BH83" s="13">
        <v>42814</v>
      </c>
      <c r="BI83" s="5"/>
      <c r="BJ83" s="134">
        <f>IF(SnapshotTable[[#This Row],[LP Qty]] &gt; 0, SnapshotTable[[#This Row],[LP Qty]] * SnapshotTable[[#This Row],[LP Book Price]] * 100,0)</f>
        <v>0</v>
      </c>
      <c r="BK83" s="134">
        <f>IF(SnapshotTable[[#This Row],[LP Premium]] &gt; 0, SnapshotTable[[#This Row],[LP Qty]] * SnapshotTable[[#This Row],[LP Strike Price]] * 100,0)</f>
        <v>0</v>
      </c>
      <c r="BL83" s="152"/>
      <c r="BM83" s="355" t="str">
        <f>IF(SnapshotTable[[#This Row],[LP Premium]] &gt; 0,SnapshotTable[[#This Row],[LP Exp Date]]-MAX(SnapshotTable[[#This Row],[LP Book Date]], SnapshotTable[[#This Row],[LP Fill Date]]),"")</f>
        <v/>
      </c>
      <c r="BN83" s="355" t="str">
        <f>IF(ISNUMBER( SnapshotTable[[#This Row],[LP Term]]), SnapshotTable[[#This Row],[LP Exp Date]] - MockToday,"")</f>
        <v/>
      </c>
      <c r="BO83" s="161" t="str">
        <f>IF(AND(SnapshotTable[[#This Row],[LP Exp Date]]&gt;0, SnapshotTable[[#This Row],[LP Strike Price]]&gt;0,SnapshotTable[[#This Row],[LP Qty]]&gt;0,SnapshotTable[[#This Row],[LP Book Date]]&gt;0,SnapshotTable[[#This Row],[LP Book Price]]&gt;0,SnapshotTable[[#This Row],[LP Fill Date]]=0),"Y","")</f>
        <v/>
      </c>
      <c r="BP83" s="31" t="str">
        <f>IF(AND(SnapshotTable[[#This Row],[LP No Fill]]&lt;&gt;"Y",SnapshotTable[[#This Row],[LP Contract Value]]&gt;0, SnapshotTable[[#This Row],[LP Qty]]&gt;0), SnapshotTable[[#This Row],[LP Contract Value]]*SnapshotTable[[#This Row],[LP Qty]]*100,"")</f>
        <v/>
      </c>
      <c r="BQ83" s="13"/>
      <c r="BR83" s="5"/>
      <c r="BS83" s="36"/>
      <c r="BT83" s="145"/>
      <c r="BU83" s="13"/>
      <c r="BV83" s="5"/>
      <c r="BW83" s="382" t="b">
        <f>AND(ISNUMBER(SnapshotTable[[#This Row],[SP Exp Date]]), ISNUMBER(SnapshotTable[[#This Row],[SP Strike Price]]), ISNUMBER(SnapshotTable[[#This Row],[SP Qty]]), ISNUMBER(SnapshotTable[[#This Row],[SP Book Date]]), ISNUMBER(SnapshotTable[[#This Row],[SP Book Price]]))</f>
        <v>0</v>
      </c>
      <c r="BX83" s="382" t="b">
        <f>AND(SnapshotTable[[#This Row],[SP Is Booked]], NOT(ISBLANK(SnapshotTable[[#This Row],[SP Fill Date]])))</f>
        <v>0</v>
      </c>
      <c r="BY83" s="33">
        <f>IF(SnapshotTable[[#This Row],[SP Is Booked]], SnapshotTable[[#This Row],[SP Qty]] * SnapshotTable[[#This Row],[SP Book Price]] * 100, 0)</f>
        <v>0</v>
      </c>
      <c r="BZ83" s="339"/>
      <c r="CA83" s="338">
        <f>SnapshotTable[[#This Row],[LP Qty]]</f>
        <v>0</v>
      </c>
      <c r="CB83" s="4" t="str">
        <f>IF(SnapshotTable[[#This Row],[SP Is Booked]], SnapshotTable[[#This Row],[SP Strike Price]] - SnapshotTable[[#This Row],[SP Book Price]], "")</f>
        <v/>
      </c>
      <c r="CC83" s="19" t="str">
        <f>IF(SnapshotTable[[#This Row],[SP Is Booked]],SnapshotTable[[#This Row],[SP Exp Date]]-MAX(SnapshotTable[[#This Row],[SP Book Date]], SnapshotTable[[#This Row],[SP Fill Date]]),"")</f>
        <v/>
      </c>
      <c r="CD83" s="7" t="str">
        <f>IF(SnapshotTable[[#This Row],[SP Is Booked]], SnapshotTable[[#This Row],[SP Book Price]]/SnapshotTable[[#This Row],[SP Strike Price]], "")</f>
        <v/>
      </c>
      <c r="CE83" s="7" t="str">
        <f>IF(ISNUMBER(SnapshotTable[[#This Row],[SP ROO Term]]),SnapshotTable[[#This Row],[SP ROO Term]]*(365/SnapshotTable[[#This Row],[SP Term]]),"")</f>
        <v/>
      </c>
      <c r="CF83" s="221">
        <f>SnapshotTable[[#This Row],[LP Strike Price]] * SnapshotTable[[#This Row],[LP Qty]] * 100</f>
        <v>0</v>
      </c>
      <c r="CG83" s="31">
        <f>IF(ISNUMBER(SnapshotTable[[#This Row],[SP Premium]]), (SnapshotTable[[#This Row],[SP Qty]] * SnapshotTable[[#This Row],[SP Strike Price]]* 100) - SnapshotTable[[#This Row],[LP Protection]], 0)</f>
        <v>0</v>
      </c>
      <c r="CH83" s="7" t="str">
        <f>IF(ISNUMBER(SnapshotTable[[#This Row],[SP Break Even]]),-1 * (SnapshotTable[[#This Row],[SP Break Even]] - SnapshotTable[[#This Row],[Last Price]]) / SnapshotTable[[#This Row],[Last Price]], "")</f>
        <v/>
      </c>
      <c r="CI83" s="31">
        <f>IF(AND(ISNUMBER((SnapshotTable[[#This Row],[SP Potential Spend]])), SnapshotTable[[#This Row],[SP Strike Price]] &gt; SnapshotTable[[#This Row],[Last Price]], SnapshotTable[[#This Row],[SP Is Filled]]), SnapshotTable[[#This Row],[SP Potential Spend]] -  SnapshotTable[[#This Row],[LP Max Value]], 0)</f>
        <v>0</v>
      </c>
      <c r="CJ83" s="229"/>
      <c r="CK83" s="31">
        <f>IF(ISNUMBER(SnapshotTable[[#This Row],[SP Potential Spend]]),IF(ISNUMBER(SnapshotTable[[#This Row],[SP POW]]), SnapshotTable[[#This Row],[SP POW]] * SnapshotTable[[#This Row],[SP Potential Spend]], SnapshotTable[[#This Row],[SP Potential Spend]]), "")</f>
        <v>0</v>
      </c>
      <c r="CL83" s="162">
        <f>IF(NOT(SnapshotTable[[#This Row],[SP Is Filled]]),(SnapshotTable[[#This Row],[SP Qty]] * SnapshotTable[[#This Row],[SP Strike Price]] * 100) - SnapshotTable[[#This Row],[LP Max Value]],"")</f>
        <v>0</v>
      </c>
      <c r="CM83" s="31" t="str">
        <f>IF(SnapshotTable[[#This Row],[SP Actual Spend]]&lt;&gt;0, ((SnapshotTable[[#This Row],[SP Strike Price]]-SnapshotTable[[#This Row],[Last Price]]) *(SnapshotTable[[#This Row],[SP Qty]]*100) - SnapshotTable[[#This Row],[SP Premium]]) * - 1, "")</f>
        <v/>
      </c>
      <c r="CN83" s="76"/>
      <c r="CO83" s="339"/>
      <c r="CP83" s="4" t="str">
        <f>IF(SnapshotTable[[#This Row],[SP Is Filled]], btc_max_buyback_amount(SnapshotTable[[#This Row],[SP Fill Date]],SnapshotTable[[#This Row],[SP Exp Date]], SnapshotTable[[#This Row],[SP Book Price]]),"")</f>
        <v/>
      </c>
      <c r="CQ83" s="76"/>
      <c r="CR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3" s="153" t="str">
        <f>IF(SnapshotTable[[#This Row],[SP Is Filled]], btc_next_cutoff_date(SnapshotTable[[#This Row],[SP Fill Date]],SnapshotTable[[#This Row],[SP Exp Date]]),"")</f>
        <v/>
      </c>
      <c r="CT83" s="220" t="str" cm="1">
        <f t="array" ref="CT83">IF(SnapshotTable[[#This Row],[SP Is Filled]], btc_should_buy_back(SnapshotTable[[#This Row],[SP Fill Date]], SnapshotTable[[#This Row],[SP Exp Date]], SnapshotTable[[#This Row],[SP Book Price]], SnapshotTable[[#This Row],[SP Current Ask]], MockToday, SnapshotTable[[#This Row],[SP Buyback Override]]),"")</f>
        <v/>
      </c>
      <c r="CU83" s="141"/>
      <c r="CV83" s="220"/>
      <c r="CW83" s="348" t="str">
        <f>IF(ISNUMBER( SnapshotTable[[#This Row],[SP Term]]), SnapshotTable[[#This Row],[SP Exp Date]] - MockToday,"")</f>
        <v/>
      </c>
      <c r="CX83" s="31" t="str">
        <f>IF(SnapshotTable[[#This Row],[SP Is Filled]],SnapshotTable[[#This Row],[SP Buyback Price to Use]] * 100 * SnapshotTable[[#This Row],[SP Qty]], "")</f>
        <v/>
      </c>
      <c r="CY83" s="4" t="str">
        <f>IF(ISNUMBER(SnapshotTable[[#This Row],[SP Strike Price]]), SnapshotTable[[#This Row],[SP Strike Price]] * (1 - SP_MaxLoss_StrikePct), "")</f>
        <v/>
      </c>
      <c r="CZ83" s="31" t="str">
        <f>IF(ISNUMBER(SnapshotTable[[#This Row],[SP Strike  Stop Per Share]]),SnapshotTable[[#This Row],[SP Premium]] - ((SnapshotTable[[#This Row],[SP Strike Price]]-SnapshotTable[[#This Row],[SP Strike  Stop Per Share]]) *(SnapshotTable[[#This Row],[SP Qty]] * 100)),"")</f>
        <v/>
      </c>
      <c r="DA83" s="4" t="str">
        <f>IF(AND(ISNUMBER(SnapshotTable[[#This Row],[SP Premium]]),SnapshotTable[[#This Row],[SP Premium]]&gt;0), SnapshotTable[[#This Row],[SP Book Price]] * (1 + SP_MaxLoss_OptionPct), "")</f>
        <v/>
      </c>
      <c r="DB83" s="31" t="str">
        <f>IF(ISNUMBER(SnapshotTable[[#This Row],[SP Option  Stop Contract]]),(SnapshotTable[[#This Row],[SP Option  Stop Contract]] *(SnapshotTable[[#This Row],[SP Qty]] * 100) - SnapshotTable[[#This Row],[SP Premium]]),"")</f>
        <v/>
      </c>
      <c r="DC83" s="4"/>
      <c r="DD83" s="4"/>
      <c r="DE83" s="4" t="str">
        <f>IF(AND(SnapshotTable[[#This Row],[SP Qty]]&gt;0, SnapshotTable[[#This Row],[SP Stop To Use]]&gt;0),SnapshotTable[[#This Row],[SP Premium]] - ( SnapshotTable[[#This Row],[SP Qty]] * SnapshotTable[[#This Row],[SP Stop To Use]] * 100), "")</f>
        <v/>
      </c>
      <c r="DF83" s="31" t="str">
        <f>IF(AND(SnapshotTable[[#This Row],[SP Qty]]&gt;0,SnapshotTable[[#This Row],[SP Current Ask]]&gt;0), SnapshotTable[[#This Row],[SP Qty]] * SnapshotTable[[#This Row],[SP Current Ask]] * -100, "")</f>
        <v/>
      </c>
      <c r="DG83" s="31" t="str">
        <f>IF(ISNUMBER((SnapshotTable[[#This Row],[SP Total Value]])), SnapshotTable[[#This Row],[SP Premium]] + SnapshotTable[[#This Row],[SP Total Value]], "")</f>
        <v/>
      </c>
      <c r="DH83" s="272" t="str">
        <f>IF(ISNUMBER((SnapshotTable[[#This Row],[SP Total Value]])), SnapshotTable[[#This Row],[SP Gain Loss]] / SnapshotTable[[#This Row],[SP Premium]], "")</f>
        <v/>
      </c>
      <c r="DI83" s="369"/>
      <c r="DJ83" s="136"/>
      <c r="DK83" s="146"/>
      <c r="DL83" s="13"/>
      <c r="DM83" s="13"/>
      <c r="DO83" s="31">
        <f>IF(SnapshotTable[[#This Row],[LC Symbol Count]]=1, SnapshotTable[[#This Row],[LC Qty]] * SnapshotTable[[#This Row],[LC Book Price]] * 100, 0)</f>
        <v>0</v>
      </c>
      <c r="DP83" s="161" t="str">
        <f>IF(AND(SnapshotTable[[#This Row],[LC Exp Date]]&gt;0, SnapshotTable[[#This Row],[LC Strike Price]]&gt;0,SnapshotTable[[#This Row],[LC Qty]]&gt;0,SnapshotTable[[#This Row],[LC Book Date]]&gt;0,SnapshotTable[[#This Row],[LC Book Price]]&gt;0,SnapshotTable[[#This Row],[LC Fill Date]]=0),"Y","")</f>
        <v/>
      </c>
      <c r="DQ83" s="356" t="str">
        <f>IF(SnapshotTable[[#This Row],[LC Premium]] &gt; 0,SnapshotTable[[#This Row],[LC Exp Date]]-MAX(SnapshotTable[[#This Row],[LC Book Date]], SnapshotTable[[#This Row],[LC Fill Date]]),"")</f>
        <v/>
      </c>
      <c r="DR83" s="356" t="str">
        <f>IF(ISNUMBER(SnapshotTable[[#This Row],[LC Term]]), SnapshotTable[[#This Row],[LC Exp Date]] - MockToday, "")</f>
        <v/>
      </c>
      <c r="DS83" s="219" t="str">
        <f>IF(SnapshotTable[[#This Row],[LC Premium]]&gt;0,SnapshotTable[[#This Row],[LC Strike Price]] + SnapshotTable[[#This Row],[LC Book Price]],"")</f>
        <v/>
      </c>
      <c r="DU83" s="9" t="str">
        <f>IF(AND(SnapshotTable[[#This Row],[LC Symbol Count]]&gt;0, SnapshotTable[[#This Row],[LC Contract Value]]&gt;0), SnapshotTable[[#This Row],[LC Contract Value]] * SnapshotTable[[#This Row],[LC Qty]] * 100, "")</f>
        <v/>
      </c>
      <c r="DV83" s="9" t="str">
        <f>IF(AND(ISNUMBER(SnapshotTable[[#This Row],[LC Total Value]]), SnapshotTable[[#This Row],[LC Not Filled]]&lt;&gt;"Y"), SnapshotTable[[#This Row],[LC Total Value]]-SnapshotTable[[#This Row],[LC Premium]],"")</f>
        <v/>
      </c>
      <c r="DW83" s="225" t="str">
        <f>IF(ISNUMBER(SnapshotTable[[#This Row],[LC Actual Gain Loss]]), SnapshotTable[[#This Row],[LC Actual Gain Loss]] / SnapshotTable[[#This Row],[LC Premium]],"")</f>
        <v/>
      </c>
      <c r="DX83" s="269" t="str">
        <f>IF(ISNUMBER(SnapshotTable[[#This Row],[LC Book Price]]),SnapshotTable[[#This Row],[LC Book Price]] * 1.5,"")</f>
        <v/>
      </c>
      <c r="DY83" s="250" t="str">
        <f>IF(SnapshotTable[[#This Row],[LC Premium]]&gt;0, SnapshotTable[[#This Row],[LC Next Target]] * SnapshotTable[[#This Row],[LC Qty]] * 100,"")</f>
        <v/>
      </c>
      <c r="DZ83" s="250" t="str">
        <f>IF(ISNUMBER(SnapshotTable[[#This Row],[LC Target Gross]]), SnapshotTable[[#This Row],[LC Target Gross]] - SnapshotTable[[#This Row],[LC Premium]], "")</f>
        <v/>
      </c>
      <c r="EA83" s="283" t="str">
        <f>IF(ISNUMBER(SnapshotTable[[#This Row],[LC Target Gain Loss]]), SnapshotTable[[#This Row],[LC Target Gain Loss]]/SnapshotTable[[#This Row],[LC Premium]], "")</f>
        <v/>
      </c>
      <c r="EB83" s="247"/>
      <c r="EC83" s="268" t="str">
        <f>IF(SnapshotTable[[#This Row],[LC Premium]]&gt;0, SnapshotTable[[#This Row],[LC Book Price]] * (1 - LC_StopLoss_Pct),"")</f>
        <v/>
      </c>
      <c r="ED83" s="269"/>
      <c r="EE83" s="268" t="str">
        <f>IF(ISNUMBER(SnapshotTable[[#This Row],[LC Contract Value]]),IF(ISNUMBER(SnapshotTable[[#This Row],[LC Stop Loss Override]]), SnapshotTable[[#This Row],[LC Stop Loss Override]],SnapshotTable[[#This Row],[LC Stop Loss Calc Target]]),"")</f>
        <v/>
      </c>
      <c r="EF83" s="31" t="str">
        <f>IF(ISNUMBER(SnapshotTable[[#This Row],[LC Stop  To Use]]), (SnapshotTable[[#This Row],[LC Stop  To Use]] * SnapshotTable[[#This Row],[LC Qty]] * 100),"")</f>
        <v/>
      </c>
      <c r="EG83" s="9" t="str">
        <f>IF(ISNUMBER(SnapshotTable[[#This Row],[LC Total Value]]),SnapshotTable[[#This Row],[LC Stop Loss Amount]] - SnapshotTable[[#This Row],[LC Premium]],"")</f>
        <v/>
      </c>
      <c r="EH83" s="9">
        <f>IF(ISNUMBER(SnapshotTable[[#This Row],[LC Premium]]), SnapshotTable[[#This Row],[LC Qty]] * 100 * SnapshotTable[[#This Row],[LC Strike Price]], "")</f>
        <v>0</v>
      </c>
      <c r="EI83" s="225" t="str">
        <f>IF(AND(ISNUMBER(SnapshotTable[[#This Row],[LC Total Value]]),SnapshotTable[[#This Row],[LC Total Value]]&gt;0),SnapshotTable[[#This Row],[LC Stop Gain Loss]]  / SnapshotTable[[#This Row],[LC Premium]],"")</f>
        <v/>
      </c>
      <c r="EJ83" s="35">
        <f>IF(ISNUMBER(SnapshotTable[[#This Row],[Equity Shares]]),TRUNC(SnapshotTable[[#This Row],[Equity Shares]] / 100),0) + SnapshotTable[[#This Row],[LC Qty]]</f>
        <v>0</v>
      </c>
      <c r="EK83" s="145"/>
      <c r="EL83" s="136"/>
      <c r="EM83" s="146"/>
      <c r="EN83" s="145"/>
      <c r="EO83" s="145"/>
      <c r="EP83" s="136"/>
      <c r="EQ83" s="382" t="b">
        <f>AND(ISNUMBER(SnapshotTable[[#This Row],[SC Exp Date]]), ISNUMBER(SnapshotTable[[#This Row],[SC Strike Price]]), ISNUMBER(SnapshotTable[[#This Row],[SC Qty]]), ISNUMBER(SnapshotTable[[#This Row],[SC Book Date]]), ISNUMBER(SnapshotTable[[#This Row],[SC Book Price]]))</f>
        <v>0</v>
      </c>
      <c r="ER83" s="382" t="b">
        <f>AND(SnapshotTable[[#This Row],[SC Is Booked]], NOT(ISBLANK(SnapshotTable[[#This Row],[SC Fill Date]])))</f>
        <v>0</v>
      </c>
      <c r="ES83" s="340"/>
      <c r="ET83" s="34" t="str">
        <f>IF(AND(ISNUMBER(SnapshotTable[[#This Row],[SC Exp Date]]), ISNUMBER(SnapshotTable[[#This Row],[SC Book Date]])), SnapshotTable[[#This Row],[SC Exp Date]] - MAX(SnapshotTable[[#This Row],[SC Book Date]], SnapshotTable[[#This Row],[SC Fill Date]]) + 1, "")</f>
        <v/>
      </c>
      <c r="EU83" s="34" t="str">
        <f>IF(ISNUMBER(SnapshotTable[[#This Row],[SC Term]]), SnapshotTable[[#This Row],[SC Exp Date]]- MockToday, "")</f>
        <v/>
      </c>
      <c r="EV83" s="31">
        <f>IF(SnapshotTable[[#This Row],[SC Is Booked]], SnapshotTable[[#This Row],[SC Qty]] * SnapshotTable[[#This Row],[SC Book Price]] * 100, 0)</f>
        <v>0</v>
      </c>
      <c r="EW83" s="4" t="str">
        <f>IF(AND(ISNUMBER(SnapshotTable[[#This Row],[Last Price]]), ISNUMBER( SnapshotTable[[#This Row],[SC Book Price]])), SnapshotTable[[#This Row],[Last Price]] - SnapshotTable[[#This Row],[SC Book Price]],"")</f>
        <v/>
      </c>
      <c r="EX83" s="219" t="str">
        <f>IF(SnapshotTable[[#This Row],[SC Is Booked]],IF(SnapshotTable[[#This Row],[SC Intrinsic Value]] &gt; 0, SnapshotTable[[#This Row],[SC Strike Price]], SnapshotTable[[#This Row],[Last Price]]), "")</f>
        <v/>
      </c>
      <c r="EY83" s="4">
        <f>IF(SnapshotTable[[#This Row],[SC Is Booked]], (MinimumPremiumRequired * SnapshotTable[[#This Row],[SC Basis]] * SnapshotTable[[#This Row],[SC Term]]), 0)</f>
        <v>0</v>
      </c>
      <c r="EZ83" s="268"/>
      <c r="FA83" s="204"/>
      <c r="FB83" s="340"/>
      <c r="FC83" s="4">
        <f>IF(SnapshotTable[[#This Row],[SC Is Filled]], btc_max_buyback_amount(SnapshotTable[[#This Row],[SC Fill Date]],SnapshotTable[[#This Row],[SC Exp Date]], SnapshotTable[[#This Row],[SC Book Price]]),0)</f>
        <v>0</v>
      </c>
      <c r="FD83" s="5"/>
      <c r="FE83" s="142" t="str">
        <f>IF(SnapshotTable[[#This Row],[SC Is Filled]], btc_next_cutoff_date(SnapshotTable[[#This Row],[SC Fill Date]],SnapshotTable[[#This Row],[SC Exp Date]]),"")</f>
        <v/>
      </c>
      <c r="FF83" s="4" t="str" cm="1">
        <f t="array" ref="FF83">IF(SnapshotTable[[#This Row],[SC Is Filled]], btc_should_buy_back(SnapshotTable[[#This Row],[SC Fill Date]], SnapshotTable[[#This Row],[SC Exp Date]], SnapshotTable[[#This Row],[SC Book Price]], SnapshotTable[[#This Row],[SC Current Ask]], MockToday, SnapshotTable[[#This Row],[SC Buyback Override]]),"")</f>
        <v/>
      </c>
      <c r="FG83" s="4">
        <f>IF(SnapshotTable[[#This Row],[SC Is Filled]], MAX(0,SnapshotTable[[#This Row],[Last Price]]  - SnapshotTable[[#This Row],[SC Strike Price]]), 0)</f>
        <v>0</v>
      </c>
      <c r="FH83" s="352">
        <f>IF(SnapshotTable[[#This Row],[SC Is Filled]], IF(ISNUMBER(SnapshotTable[[#This Row],[SC Current Ask]]), SnapshotTable[[#This Row],[SC Current Ask]], SnapshotTable[[#This Row],[SC Book Price]]) - SnapshotTable[[#This Row],[SC Intrinsic Value]], 0)</f>
        <v>0</v>
      </c>
      <c r="FI83" s="141"/>
      <c r="FJ83" s="32" t="str">
        <f>IF(SnapshotTable[[#This Row],[SC Is Filled]],100 * SnapshotTable[[#This Row],[SC Qty]] * IF(ISNUMBER(SnapshotTable[[#This Row],[SC Buyback Override]]), SnapshotTable[[#This Row],[SC Buyback Override]], SnapshotTable[[#This Row],[SC Current Ask]]), "")</f>
        <v/>
      </c>
      <c r="FK83" s="235" t="str">
        <f>IF(SnapshotTable[[#This Row],[SC Time Val]]&gt;0, SnapshotTable[[#This Row],[SC Time Val]] / SnapshotTable[[#This Row],[Last Price]],"")</f>
        <v/>
      </c>
      <c r="FL83" s="280" t="str">
        <f>IF(SnapshotTable[[#This Row],[SC Is Booked]], ((SnapshotTable[[#This Row],[Last Price]] -SnapshotTable[[#This Row],[SC Strike Price]]) / SnapshotTable[[#This Row],[Last Price]]) * -1, "")</f>
        <v/>
      </c>
      <c r="FM83" s="155" t="str">
        <f>IF(SnapshotTable[[#This Row],[SC Is Booked]],  (SnapshotTable[[#This Row],[SC Qty]] * 100 * SnapshotTable[[#This Row],[SC Strike Price]]) - SnapshotTable[[#This Row],[SC Current Ask]], "")</f>
        <v/>
      </c>
      <c r="FN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3" s="31" t="str">
        <f>IF(AND(ISNUMBER(SnapshotTable[[#This Row],[SC Exercise Gross]]), ISNUMBER(SnapshotTable[[#This Row],[Equity Basis Per Share]] )), SnapshotTable[[#This Row],[SC Exercise Gross]] - SnapshotTable[[#This Row],[Equity Basis Total]] +  SnapshotTable[[#This Row],[SC Premium]], "")</f>
        <v/>
      </c>
      <c r="FP83" s="5" t="str">
        <f>IF(ISNUMBER(SnapshotTable[[#This Row],[SC Exercise Gross]]), (SnapshotTable[[#This Row],[SC Exercise Gross]]) / (SnapshotTable[[#This Row],[SC Qty]] * 100), "")</f>
        <v/>
      </c>
      <c r="FQ83" s="27" t="str">
        <f>IF(SnapshotTable[[#This Row],[SC Is Booked]],SnapshotTable[[#This Row],[SC Time Val]] /SnapshotTable[[#This Row],[SC Basis]], "")</f>
        <v/>
      </c>
      <c r="FR83" s="27" t="str" cm="1">
        <f t="array" ref="FR83">IF(AND(ISNUMBER(SnapshotTable[[#This Row],[SC Term]]),ISNUMBER(SnapshotTable[[#This Row],[SC Simple ROO]])), EllmanAnnualize(SnapshotTable[[#This Row],[SC DTE]], SnapshotTable[[#This Row],[SC Simple ROO]] ),"")</f>
        <v/>
      </c>
      <c r="FS83" s="4">
        <f>IF(SnapshotTable[[#This Row],[SC Strike Price]] &gt; SnapshotTable[[#This Row],[Last Price]], SnapshotTable[[#This Row],[SC Strike Price]] - SnapshotTable[[#This Row],[Last Price]],0)</f>
        <v>0</v>
      </c>
      <c r="FT83" s="27" t="str">
        <f>IF(AND(ISNUMBER(SnapshotTable[[#This Row],[SC Upside Potential]]), SnapshotTable[[#This Row],[SC Upside Potential]] &gt; 0),(SnapshotTable[[#This Row],[SC Upside Potential]]/ SnapshotTable[[#This Row],[ACB]]),"")</f>
        <v/>
      </c>
      <c r="FU83" s="304" t="str">
        <f>IF(SnapshotTable[[#This Row],[SC Intrinsic Value]] &gt; 0,SnapshotTable[[#This Row],[SC Intrinsic Value]],"")</f>
        <v/>
      </c>
      <c r="FV83" s="27" t="str">
        <f>IF(AND( ISNUMBER( SnapshotTable[[#This Row],[ACB]]),ISNUMBER(SnapshotTable[[#This Row],[SC Downside Protect]])),SnapshotTable[[#This Row],[SC Downside Protect]] / SnapshotTable[[#This Row],[ACB]],"")</f>
        <v/>
      </c>
      <c r="FW83" s="221" t="str">
        <f>IF(AND(ISNUMBER(SnapshotTable[[#This Row],[SC Simple ROO]]),SnapshotTable[[#This Row],[SC Simple ROO]] &gt; 0), SnapshotTable[[#This Row],[SC Premium]] + (SnapshotTable[[#This Row],[SC Qty]] * SnapshotTable[[#This Row],[SC Upside Potential]]), "")</f>
        <v/>
      </c>
      <c r="FX83" s="280" t="str" cm="1">
        <f t="array" ref="FX83">IF(ISNUMBER(SnapshotTable[[#This Row],[SC Max Dollars]]), annualize(SnapshotTable[[#This Row],[SC Term]],(SnapshotTable[[#This Row],[SC Max Dollars]]/SnapshotTable[[#This Row],[SC Basis]])),"")</f>
        <v/>
      </c>
      <c r="FY83" s="221" t="str">
        <f>IF(AND(SnapshotTable[[#This Row],[SC Qty]]&gt;0,SnapshotTable[[#This Row],[SC Current Ask]]&gt;0), SnapshotTable[[#This Row],[SC Qty]] * SnapshotTable[[#This Row],[SC Current Ask]] * -100, "")</f>
        <v/>
      </c>
      <c r="FZ83" s="31" t="str">
        <f>IF(ISNUMBER((SnapshotTable[[#This Row],[SC Current Value]])), SnapshotTable[[#This Row],[SC Premium]] + SnapshotTable[[#This Row],[SC Current Value]], "")</f>
        <v/>
      </c>
      <c r="GA83" s="272" t="str">
        <f>IFERROR( IF(ISNUMBER((SnapshotTable[[#This Row],[SC Current Value]])), SnapshotTable[[#This Row],[SC Gain Loss]] / SnapshotTable[[#This Row],[SC Premium]], ""), "")</f>
        <v/>
      </c>
      <c r="GB83" s="42">
        <f>SnapshotTable[[#This Row],[Equity Shares]] * SaleSharesToConsiderPercentage</f>
        <v>0</v>
      </c>
      <c r="GC83" s="40">
        <f>SnapshotTable[[#This Row],[Long Term Target]] * SellingPriceToConsiderBasedOnTargetPercentage</f>
        <v>109.25</v>
      </c>
      <c r="GD83" s="40">
        <f>SnapshotTable[[#This Row],[Last Price]] * (1+ SellingPriceToConsiderBasedOnTargetPercentage)</f>
        <v>555.45749999999998</v>
      </c>
      <c r="GE83" s="41"/>
      <c r="GF83" s="40"/>
      <c r="GG83" s="31">
        <f>SnapshotTable[[#This Row],[Booked Sale Shares]] * SnapshotTable[[#This Row],[Booked Sale Price]]</f>
        <v>0</v>
      </c>
      <c r="GH83" s="31" t="str">
        <f>IF(SnapshotTable[[#This Row],[Equity Basis Total]] &gt; 0, SnapshotTable[[#This Row],[Equity Basis Per Share]] * SnapshotTable[[#This Row],[Booked Sale Shares]], "")</f>
        <v/>
      </c>
      <c r="GI83" s="31">
        <f>IF(SnapshotTable[[#This Row],[Sale Proceeds]]&gt;0, SnapshotTable[[#This Row],[Sale Proceeds]] - SnapshotTable[[#This Row],[Sale Basis]], 0)</f>
        <v>0</v>
      </c>
      <c r="GJ83" s="27" t="str">
        <f>IF(SnapshotTable[[#This Row],[Sale G/L]]&gt;0, SnapshotTable[[#This Row],[Sale G/L]] / SnapshotTable[[#This Row],[Sale Basis]], IF(ISNUMBER(SnapshotTable[[#This Row],[SC Exercise P&amp;L (TAX)]]), SnapshotTable[[#This Row],[SC Exercise P&amp;L (TAX)]] / SnapshotTable[[#This Row],[SC Basis]], ""))</f>
        <v/>
      </c>
      <c r="GK83" s="27" t="s">
        <v>543</v>
      </c>
      <c r="GL83" s="43" t="str">
        <f>IF(AND(SnapshotTable[[#This Row],[LP Exp Date]]&gt;0,SnapshotTable[[#This Row],[LP Strike Price]]&gt;0), [1]!ToOptionSymbol(SnapshotTable[[#This Row],[Symbol]], SnapshotTable[[#This Row],[LP Strike Price]],SnapshotTable[[#This Row],[LP Exp Date]],1), "")</f>
        <v/>
      </c>
      <c r="GM83" s="30" t="str">
        <f>IF(LEN(SnapshotTable[[#This Row],[LP Symbol]])&gt;0, 1, "")</f>
        <v/>
      </c>
      <c r="GN83" s="43" t="str">
        <f>IF(AND(SnapshotTable[[#This Row],[SP Exp Date]]&gt;0,SnapshotTable[[#This Row],[SP Strike Price]]&gt;0), [1]!ToOptionSymbol(SnapshotTable[[#This Row],[Symbol]], SnapshotTable[[#This Row],[SP Strike Price]],SnapshotTable[[#This Row],[SP Exp Date]],1), "")</f>
        <v/>
      </c>
      <c r="GO83" s="30" t="str">
        <f>IF(LEN(SnapshotTable[[#This Row],[SP Symbol]])&gt;0, 1, "")</f>
        <v/>
      </c>
      <c r="GP83" s="43" t="str">
        <f>IF(AND(SnapshotTable[[#This Row],[LC Exp Date]]&gt;0,SnapshotTable[[#This Row],[LC Strike Price]]&gt;0), [1]!ToOptionSymbol(SnapshotTable[[#This Row],[Symbol]], SnapshotTable[[#This Row],[LC Strike Price]],SnapshotTable[[#This Row],[LC Exp Date]],0), "")</f>
        <v/>
      </c>
      <c r="GQ83" s="30" t="str">
        <f>IF(LEN(SnapshotTable[[#This Row],[LC Symbol]])&gt;0, 1, "")</f>
        <v/>
      </c>
      <c r="GR83" s="43" t="str">
        <f>IF(AND(SnapshotTable[[#This Row],[SC Exp Date]]&gt;0,SnapshotTable[[#This Row],[SC Strike Price]]&gt;0), [1]!ToOptionSymbol(SnapshotTable[[#This Row],[Symbol]], SnapshotTable[[#This Row],[SC Strike Price]],SnapshotTable[[#This Row],[SC Exp Date]],0), "")</f>
        <v/>
      </c>
      <c r="GS83" s="30" t="str">
        <f>IF(LEN(SnapshotTable[[#This Row],[SC Symbol]])&gt;0, 1, "")</f>
        <v/>
      </c>
      <c r="GT83" s="29" t="str">
        <f>IF(COUNT(SnapshotTable[[#This Row],[LP Symbol Count]],SnapshotTable[[#This Row],[SP Symbol Count]],SnapshotTable[[#This Row],[LC Symbol Count]],SnapshotTable[[#This Row],[SC Symbol Count]])&gt;0, "Y", "")</f>
        <v/>
      </c>
      <c r="GU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3" s="216">
        <f>MAX(SnapshotTable[[#This Row],[Equity Basis Total]],SnapshotTable[[#This Row],[Equity Value]]) + (SnapshotTable[[#This Row],[SP Potential Spend]]- SnapshotTable[[#This Row],[SP Premium]] + SnapshotTable[[#This Row],[LP Premium]])+ (SnapshotTable[[#This Row],[LC Premium]] - SnapshotTable[[#This Row],[SC Premium]])</f>
        <v>0</v>
      </c>
      <c r="GW83" s="137" t="str">
        <f>IF(AND(SnapshotTable[[#This Row],[Exposure]] &lt;&gt; 0),SnapshotTable[[#This Row],[Exposure]] / SnapshotTable[[#Totals],[Exposure]], "")</f>
        <v/>
      </c>
      <c r="HE83" s="253"/>
      <c r="HF83" s="253"/>
      <c r="HK83" s="1"/>
      <c r="HL83" s="1"/>
      <c r="HM83" s="1"/>
      <c r="HN83" s="1"/>
      <c r="HO83" s="1"/>
      <c r="HP83" s="1"/>
    </row>
    <row r="84" spans="2:224" ht="12.75" hidden="1" customHeight="1" x14ac:dyDescent="0.25">
      <c r="B84" s="12" t="s">
        <v>138</v>
      </c>
      <c r="C84" s="385">
        <v>397.16</v>
      </c>
      <c r="D84" s="200" t="s">
        <v>467</v>
      </c>
      <c r="E84" s="39">
        <f>SnapshotTable[[#This Row],[Last Price]]*(1 -CrashDiscount)</f>
        <v>337.58600000000001</v>
      </c>
      <c r="F84" s="26" t="s">
        <v>137</v>
      </c>
      <c r="G84" s="26" t="s">
        <v>7</v>
      </c>
      <c r="H84" s="147"/>
      <c r="I84" s="186">
        <v>44805.291666666664</v>
      </c>
      <c r="J84" s="187">
        <v>44805.291666666664</v>
      </c>
      <c r="K84" s="188"/>
      <c r="L84" s="297"/>
      <c r="M84" s="138"/>
      <c r="N84" s="138"/>
      <c r="O84" s="138"/>
      <c r="P84" s="22"/>
      <c r="Q84" s="25"/>
      <c r="R84" s="4" t="str">
        <f>IF(SnapshotTable[[#This Row],[Equity Basis Total]] &gt; 0, SnapshotTable[[#This Row],[Equity Basis Total]] / SnapshotTable[[#This Row],[Equity Shares]], "")</f>
        <v/>
      </c>
      <c r="S84" s="254">
        <f>SnapshotTable[[#This Row],[Last Price]] * SnapshotTable[[#This Row],[Equity Shares]]</f>
        <v>0</v>
      </c>
      <c r="T84" s="254">
        <f>SnapshotTable[[#This Row],[Equity Value]] - SnapshotTable[[#This Row],[Equity Basis Total]]</f>
        <v>0</v>
      </c>
      <c r="U84" s="255" t="str">
        <f>IF(SnapshotTable[[#This Row],[Equity Basis Total]] &gt; 0, SnapshotTable[[#This Row],[Equity G/L]] / SnapshotTable[[#This Row],[Equity Basis Total]], "")</f>
        <v/>
      </c>
      <c r="V84" s="253"/>
      <c r="W84" s="253"/>
      <c r="X84" s="4" t="str">
        <f>IF(AND(ISNUMBER(SnapshotTable[[#This Row],[Equity Basis Per Share]]),ISNUMBER(SnapshotTable[[#This Row],[Equity Target]])),SnapshotTable[[#This Row],[Equity Target]]-SnapshotTable[[#This Row],[Equity Basis Per Share]],"")</f>
        <v/>
      </c>
      <c r="Y84" s="4" t="str">
        <f>IF(AND(ISNUMBER(SnapshotTable[[#This Row],[Equity Basis Per Share]]),ISNUMBER(SnapshotTable[[#This Row],[Equity Stop Loss]])),SnapshotTable[[#This Row],[Equity Stop Loss]]-SnapshotTable[[#This Row],[Equity Basis Per Share]],"")</f>
        <v/>
      </c>
      <c r="Z84" s="260" t="str">
        <f>IFERROR( TEXT(SnapshotTable[[#This Row],[Equity Max Gain Per Share]] /ABS( SnapshotTable[[#This Row],[Equity Max Loss Per Share]]),"0.0 " ) &amp; " : 1", "")</f>
        <v/>
      </c>
      <c r="AA84" s="31" t="str">
        <f>IF(ISNUMBER(SnapshotTable[[#This Row],[Equity Max Gain Per Share]]),SnapshotTable[[#This Row],[Equity Max Gain Per Share]] * SnapshotTable[[#This Row],[Equity Shares]],"")</f>
        <v/>
      </c>
      <c r="AB84" s="31" t="str">
        <f>IF(ISNUMBER(SnapshotTable[[#This Row],[Equity Max Loss Per Share]]),SnapshotTable[[#This Row],[Equity Max Loss Per Share]] * SnapshotTable[[#This Row],[Equity Shares]],"")</f>
        <v/>
      </c>
      <c r="AC84" s="148">
        <v>0</v>
      </c>
      <c r="AD84" s="149" t="s">
        <v>2</v>
      </c>
      <c r="AE84" s="31">
        <f>(SnapshotTable[[#This Row],[Annual Dividend Per Share]] / 4) * SnapshotTable[[#This Row],[Equity Shares]]</f>
        <v>0</v>
      </c>
      <c r="AF84" s="31">
        <f>SnapshotTable[[#This Row],[Quarterly Div $]] * 4</f>
        <v>0</v>
      </c>
      <c r="AG84" s="7">
        <f>IF(SnapshotTable[[#This Row],[Annual Dividend Per Share]]&gt;0, SnapshotTable[[#This Row],[Annual Dividend Per Share]]  / SnapshotTable[[#This Row],[Last Price]], 0)</f>
        <v>0</v>
      </c>
      <c r="AH84" s="149" t="s">
        <v>2</v>
      </c>
      <c r="AI84" s="5">
        <v>68</v>
      </c>
      <c r="AJ84" s="136">
        <v>60.88</v>
      </c>
      <c r="AK84" s="150">
        <f>IF(ISNUMBER( SnapshotTable[[#This Row],[EBF Target]]),(SnapshotTable[[#This Row],[EBF Target]] - SnapshotTable[[#This Row],[Last Price]]) / SnapshotTable[[#This Row],[Last Price]], "")</f>
        <v>-0.82878436902004227</v>
      </c>
      <c r="AL84" s="150" t="str">
        <f>IF(AND(SnapshotTable[[#This Row],[Equity Basis Total]] &gt; 0,ISNUMBER( SnapshotTable[[#This Row],[Long Term Target]])), SnapshotTable[[#This Row],[From Basis $]] / SnapshotTable[[#This Row],[Equity Basis Total]], "")</f>
        <v/>
      </c>
      <c r="AM84" s="9">
        <f>IF( AND(SnapshotTable[[#This Row],[Equity Shares]] &gt;0,ISNUMBER( SnapshotTable[[#This Row],[Long Term Target]])),(SnapshotTable[[#This Row],[Equity Shares]] * SnapshotTable[[#This Row],[Long Term Target]]) - SnapshotTable[[#This Row],[Equity Basis Total]],0)</f>
        <v>0</v>
      </c>
      <c r="AN84" s="9">
        <f>IF( AND(SnapshotTable[[#This Row],[Equity Shares]] &gt;0,ISNUMBER( SnapshotTable[[#This Row],[Long Term Target]])),(SnapshotTable[[#This Row],[Equity Shares]]*SnapshotTable[[#This Row],[Long Term Target]]) - SnapshotTable[[#This Row],[Equity Value]],0)</f>
        <v>0</v>
      </c>
      <c r="AO84" s="150">
        <f>IF(AND(ISNUMBER( SnapshotTable[[#This Row],[Long Term Target]]), ISNUMBER(SnapshotTable[[#This Row],[Last Price]])),(SnapshotTable[[#This Row],[Long Term Target]] - SnapshotTable[[#This Row],[Last Price]]) / SnapshotTable[[#This Row],[Last Price]], "")</f>
        <v>-0.8467116527344144</v>
      </c>
      <c r="AP84" s="5">
        <v>59.8</v>
      </c>
      <c r="AQ84" s="38" t="s">
        <v>59</v>
      </c>
      <c r="AR84" s="5">
        <v>53.9</v>
      </c>
      <c r="AS84" s="38" t="s">
        <v>19</v>
      </c>
      <c r="AT84" s="144"/>
      <c r="AU84" s="185" t="str">
        <f>IF(OR(SnapshotTable[[#This Row],[LP No Fill]]="Y",SnapshotTable[[#This Row],[SP Is Filled]],SnapshotTable[[#This Row],[LC Not Filled]]="Y",SnapshotTable[[#This Row],[SC Is Filled]]),"Y","")</f>
        <v/>
      </c>
      <c r="AV84" s="205"/>
      <c r="AW84" s="211"/>
      <c r="AX84" s="206"/>
      <c r="AY84" s="205" t="str">
        <f>IF(SnapshotTable[[#This Row],[Implied Move]]&gt;0, SnapshotTable[[#This Row],[Last Price]]-SnapshotTable[[#This Row],[Implied Move]],"")</f>
        <v/>
      </c>
      <c r="AZ84" s="205" t="str">
        <f>IF(SnapshotTable[[#This Row],[Implied Move]]&gt;0, SnapshotTable[[#This Row],[Last Price]] + SnapshotTable[[#This Row],[Implied Move]],"")</f>
        <v/>
      </c>
      <c r="BA84" s="302"/>
      <c r="BB84" s="318"/>
      <c r="BC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4" s="321"/>
      <c r="BE84" s="5"/>
      <c r="BF84" s="14"/>
      <c r="BG84" s="13"/>
      <c r="BH84" s="13"/>
      <c r="BI84" s="5"/>
      <c r="BJ84" s="134">
        <f>IF(SnapshotTable[[#This Row],[LP Qty]] &gt; 0, SnapshotTable[[#This Row],[LP Qty]] * SnapshotTable[[#This Row],[LP Book Price]] * 100,0)</f>
        <v>0</v>
      </c>
      <c r="BK84" s="134">
        <f>IF(SnapshotTable[[#This Row],[LP Premium]] &gt; 0, SnapshotTable[[#This Row],[LP Qty]] * SnapshotTable[[#This Row],[LP Strike Price]] * 100,0)</f>
        <v>0</v>
      </c>
      <c r="BL84" s="152"/>
      <c r="BM84" s="355" t="str">
        <f>IF(SnapshotTable[[#This Row],[LP Premium]] &gt; 0,SnapshotTable[[#This Row],[LP Exp Date]]-MAX(SnapshotTable[[#This Row],[LP Book Date]], SnapshotTable[[#This Row],[LP Fill Date]]),"")</f>
        <v/>
      </c>
      <c r="BN84" s="355" t="str">
        <f>IF(ISNUMBER( SnapshotTable[[#This Row],[LP Term]]), SnapshotTable[[#This Row],[LP Exp Date]] - MockToday,"")</f>
        <v/>
      </c>
      <c r="BO84" s="161" t="str">
        <f>IF(AND(SnapshotTable[[#This Row],[LP Exp Date]]&gt;0, SnapshotTable[[#This Row],[LP Strike Price]]&gt;0,SnapshotTable[[#This Row],[LP Qty]]&gt;0,SnapshotTable[[#This Row],[LP Book Date]]&gt;0,SnapshotTable[[#This Row],[LP Book Price]]&gt;0,SnapshotTable[[#This Row],[LP Fill Date]]=0),"Y","")</f>
        <v/>
      </c>
      <c r="BP84" s="31" t="str">
        <f>IF(AND(SnapshotTable[[#This Row],[LP No Fill]]&lt;&gt;"Y",SnapshotTable[[#This Row],[LP Contract Value]]&gt;0, SnapshotTable[[#This Row],[LP Qty]]&gt;0), SnapshotTable[[#This Row],[LP Contract Value]]*SnapshotTable[[#This Row],[LP Qty]]*100,"")</f>
        <v/>
      </c>
      <c r="BQ84" s="13"/>
      <c r="BR84" s="5"/>
      <c r="BS84" s="36"/>
      <c r="BT84" s="145"/>
      <c r="BU84" s="13"/>
      <c r="BV84" s="5"/>
      <c r="BW84" s="382" t="b">
        <f>AND(ISNUMBER(SnapshotTable[[#This Row],[SP Exp Date]]), ISNUMBER(SnapshotTable[[#This Row],[SP Strike Price]]), ISNUMBER(SnapshotTable[[#This Row],[SP Qty]]), ISNUMBER(SnapshotTable[[#This Row],[SP Book Date]]), ISNUMBER(SnapshotTable[[#This Row],[SP Book Price]]))</f>
        <v>0</v>
      </c>
      <c r="BX84" s="382" t="b">
        <f>AND(SnapshotTable[[#This Row],[SP Is Booked]], NOT(ISBLANK(SnapshotTable[[#This Row],[SP Fill Date]])))</f>
        <v>0</v>
      </c>
      <c r="BY84" s="33">
        <f>IF(SnapshotTable[[#This Row],[SP Is Booked]], SnapshotTable[[#This Row],[SP Qty]] * SnapshotTable[[#This Row],[SP Book Price]] * 100, 0)</f>
        <v>0</v>
      </c>
      <c r="BZ84" s="339"/>
      <c r="CA84" s="338">
        <f>SnapshotTable[[#This Row],[LP Qty]]</f>
        <v>0</v>
      </c>
      <c r="CB84" s="4" t="str">
        <f>IF(SnapshotTable[[#This Row],[SP Is Booked]], SnapshotTable[[#This Row],[SP Strike Price]] - SnapshotTable[[#This Row],[SP Book Price]], "")</f>
        <v/>
      </c>
      <c r="CC84" s="19" t="str">
        <f>IF(SnapshotTable[[#This Row],[SP Is Booked]],SnapshotTable[[#This Row],[SP Exp Date]]-MAX(SnapshotTable[[#This Row],[SP Book Date]], SnapshotTable[[#This Row],[SP Fill Date]]),"")</f>
        <v/>
      </c>
      <c r="CD84" s="7" t="str">
        <f>IF(SnapshotTable[[#This Row],[SP Is Booked]], SnapshotTable[[#This Row],[SP Book Price]]/SnapshotTable[[#This Row],[SP Strike Price]], "")</f>
        <v/>
      </c>
      <c r="CE84" s="7" t="str">
        <f>IF(ISNUMBER(SnapshotTable[[#This Row],[SP ROO Term]]),SnapshotTable[[#This Row],[SP ROO Term]]*(365/SnapshotTable[[#This Row],[SP Term]]),"")</f>
        <v/>
      </c>
      <c r="CF84" s="221">
        <f>SnapshotTable[[#This Row],[LP Strike Price]] * SnapshotTable[[#This Row],[LP Qty]] * 100</f>
        <v>0</v>
      </c>
      <c r="CG84" s="31">
        <f>IF(ISNUMBER(SnapshotTable[[#This Row],[SP Premium]]), (SnapshotTable[[#This Row],[SP Qty]] * SnapshotTable[[#This Row],[SP Strike Price]]* 100) - SnapshotTable[[#This Row],[LP Protection]], 0)</f>
        <v>0</v>
      </c>
      <c r="CH84" s="7" t="str">
        <f>IF(ISNUMBER(SnapshotTable[[#This Row],[SP Break Even]]),-1 * (SnapshotTable[[#This Row],[SP Break Even]] - SnapshotTable[[#This Row],[Last Price]]) / SnapshotTable[[#This Row],[Last Price]], "")</f>
        <v/>
      </c>
      <c r="CI84" s="31">
        <f>IF(AND(ISNUMBER((SnapshotTable[[#This Row],[SP Potential Spend]])), SnapshotTable[[#This Row],[SP Strike Price]] &gt; SnapshotTable[[#This Row],[Last Price]], SnapshotTable[[#This Row],[SP Is Filled]]), SnapshotTable[[#This Row],[SP Potential Spend]] -  SnapshotTable[[#This Row],[LP Max Value]], 0)</f>
        <v>0</v>
      </c>
      <c r="CJ84" s="229"/>
      <c r="CK84" s="31">
        <f>IF(ISNUMBER(SnapshotTable[[#This Row],[SP Potential Spend]]),IF(ISNUMBER(SnapshotTable[[#This Row],[SP POW]]), SnapshotTable[[#This Row],[SP POW]] * SnapshotTable[[#This Row],[SP Potential Spend]], SnapshotTable[[#This Row],[SP Potential Spend]]), "")</f>
        <v>0</v>
      </c>
      <c r="CL84" s="162">
        <f>IF(NOT(SnapshotTable[[#This Row],[SP Is Filled]]),(SnapshotTable[[#This Row],[SP Qty]] * SnapshotTable[[#This Row],[SP Strike Price]] * 100) - SnapshotTable[[#This Row],[LP Max Value]],"")</f>
        <v>0</v>
      </c>
      <c r="CM84" s="31" t="str">
        <f>IF(SnapshotTable[[#This Row],[SP Actual Spend]]&lt;&gt;0, ((SnapshotTable[[#This Row],[SP Strike Price]]-SnapshotTable[[#This Row],[Last Price]]) *(SnapshotTable[[#This Row],[SP Qty]]*100) - SnapshotTable[[#This Row],[SP Premium]]) * - 1, "")</f>
        <v/>
      </c>
      <c r="CN84" s="76"/>
      <c r="CO84" s="339"/>
      <c r="CP84" s="4" t="str">
        <f>IF(SnapshotTable[[#This Row],[SP Is Filled]], btc_max_buyback_amount(SnapshotTable[[#This Row],[SP Fill Date]],SnapshotTable[[#This Row],[SP Exp Date]], SnapshotTable[[#This Row],[SP Book Price]]),"")</f>
        <v/>
      </c>
      <c r="CQ84" s="76"/>
      <c r="CR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4" s="153" t="str">
        <f>IF(SnapshotTable[[#This Row],[SP Is Filled]], btc_next_cutoff_date(SnapshotTable[[#This Row],[SP Fill Date]],SnapshotTable[[#This Row],[SP Exp Date]]),"")</f>
        <v/>
      </c>
      <c r="CT84" s="220" t="str" cm="1">
        <f t="array" ref="CT84">IF(SnapshotTable[[#This Row],[SP Is Filled]], btc_should_buy_back(SnapshotTable[[#This Row],[SP Fill Date]], SnapshotTable[[#This Row],[SP Exp Date]], SnapshotTable[[#This Row],[SP Book Price]], SnapshotTable[[#This Row],[SP Current Ask]], MockToday, SnapshotTable[[#This Row],[SP Buyback Override]]),"")</f>
        <v/>
      </c>
      <c r="CU84" s="141"/>
      <c r="CV84" s="220"/>
      <c r="CW84" s="348" t="str">
        <f>IF(ISNUMBER( SnapshotTable[[#This Row],[SP Term]]), SnapshotTable[[#This Row],[SP Exp Date]] - MockToday,"")</f>
        <v/>
      </c>
      <c r="CX84" s="31" t="str">
        <f>IF(SnapshotTable[[#This Row],[SP Is Filled]],SnapshotTable[[#This Row],[SP Buyback Price to Use]] * 100 * SnapshotTable[[#This Row],[SP Qty]], "")</f>
        <v/>
      </c>
      <c r="CY84" s="4" t="str">
        <f>IF(ISNUMBER(SnapshotTable[[#This Row],[SP Strike Price]]), SnapshotTable[[#This Row],[SP Strike Price]] * (1 - SP_MaxLoss_StrikePct), "")</f>
        <v/>
      </c>
      <c r="CZ84" s="31" t="str">
        <f>IF(ISNUMBER(SnapshotTable[[#This Row],[SP Strike  Stop Per Share]]),SnapshotTable[[#This Row],[SP Premium]] - ((SnapshotTable[[#This Row],[SP Strike Price]]-SnapshotTable[[#This Row],[SP Strike  Stop Per Share]]) *(SnapshotTable[[#This Row],[SP Qty]] * 100)),"")</f>
        <v/>
      </c>
      <c r="DA84" s="4" t="str">
        <f>IF(AND(ISNUMBER(SnapshotTable[[#This Row],[SP Premium]]),SnapshotTable[[#This Row],[SP Premium]]&gt;0), SnapshotTable[[#This Row],[SP Book Price]] * (1 + SP_MaxLoss_OptionPct), "")</f>
        <v/>
      </c>
      <c r="DB84" s="31" t="str">
        <f>IF(ISNUMBER(SnapshotTable[[#This Row],[SP Option  Stop Contract]]),(SnapshotTable[[#This Row],[SP Option  Stop Contract]] *(SnapshotTable[[#This Row],[SP Qty]] * 100) - SnapshotTable[[#This Row],[SP Premium]]),"")</f>
        <v/>
      </c>
      <c r="DC84" s="4"/>
      <c r="DD84" s="4"/>
      <c r="DE84" s="4" t="str">
        <f>IF(AND(SnapshotTable[[#This Row],[SP Qty]]&gt;0, SnapshotTable[[#This Row],[SP Stop To Use]]&gt;0),SnapshotTable[[#This Row],[SP Premium]] - ( SnapshotTable[[#This Row],[SP Qty]] * SnapshotTable[[#This Row],[SP Stop To Use]] * 100), "")</f>
        <v/>
      </c>
      <c r="DF84" s="31" t="str">
        <f>IF(AND(SnapshotTable[[#This Row],[SP Qty]]&gt;0,SnapshotTable[[#This Row],[SP Current Ask]]&gt;0), SnapshotTable[[#This Row],[SP Qty]] * SnapshotTable[[#This Row],[SP Current Ask]] * -100, "")</f>
        <v/>
      </c>
      <c r="DG84" s="31" t="str">
        <f>IF(ISNUMBER((SnapshotTable[[#This Row],[SP Total Value]])), SnapshotTable[[#This Row],[SP Premium]] + SnapshotTable[[#This Row],[SP Total Value]], "")</f>
        <v/>
      </c>
      <c r="DH84" s="272" t="str">
        <f>IF(ISNUMBER((SnapshotTable[[#This Row],[SP Total Value]])), SnapshotTable[[#This Row],[SP Gain Loss]] / SnapshotTable[[#This Row],[SP Premium]], "")</f>
        <v/>
      </c>
      <c r="DI84" s="369"/>
      <c r="DJ84" s="136"/>
      <c r="DK84" s="146"/>
      <c r="DL84" s="13"/>
      <c r="DM84" s="13"/>
      <c r="DO84" s="31">
        <f>IF(SnapshotTable[[#This Row],[LC Symbol Count]]=1, SnapshotTable[[#This Row],[LC Qty]] * SnapshotTable[[#This Row],[LC Book Price]] * 100, 0)</f>
        <v>0</v>
      </c>
      <c r="DP84" s="161" t="str">
        <f>IF(AND(SnapshotTable[[#This Row],[LC Exp Date]]&gt;0, SnapshotTable[[#This Row],[LC Strike Price]]&gt;0,SnapshotTable[[#This Row],[LC Qty]]&gt;0,SnapshotTable[[#This Row],[LC Book Date]]&gt;0,SnapshotTable[[#This Row],[LC Book Price]]&gt;0,SnapshotTable[[#This Row],[LC Fill Date]]=0),"Y","")</f>
        <v/>
      </c>
      <c r="DQ84" s="356" t="str">
        <f>IF(SnapshotTable[[#This Row],[LC Premium]] &gt; 0,SnapshotTable[[#This Row],[LC Exp Date]]-MAX(SnapshotTable[[#This Row],[LC Book Date]], SnapshotTable[[#This Row],[LC Fill Date]]),"")</f>
        <v/>
      </c>
      <c r="DR84" s="356" t="str">
        <f>IF(ISNUMBER(SnapshotTable[[#This Row],[LC Term]]), SnapshotTable[[#This Row],[LC Exp Date]] - MockToday, "")</f>
        <v/>
      </c>
      <c r="DS84" s="219" t="str">
        <f>IF(SnapshotTable[[#This Row],[LC Premium]]&gt;0,SnapshotTable[[#This Row],[LC Strike Price]] + SnapshotTable[[#This Row],[LC Book Price]],"")</f>
        <v/>
      </c>
      <c r="DU84" s="9" t="str">
        <f>IF(AND(SnapshotTable[[#This Row],[LC Symbol Count]]&gt;0, SnapshotTable[[#This Row],[LC Contract Value]]&gt;0), SnapshotTable[[#This Row],[LC Contract Value]] * SnapshotTable[[#This Row],[LC Qty]] * 100, "")</f>
        <v/>
      </c>
      <c r="DV84" s="9" t="str">
        <f>IF(AND(ISNUMBER(SnapshotTable[[#This Row],[LC Total Value]]), SnapshotTable[[#This Row],[LC Not Filled]]&lt;&gt;"Y"), SnapshotTable[[#This Row],[LC Total Value]]-SnapshotTable[[#This Row],[LC Premium]],"")</f>
        <v/>
      </c>
      <c r="DW84" s="225" t="str">
        <f>IF(ISNUMBER(SnapshotTable[[#This Row],[LC Actual Gain Loss]]), SnapshotTable[[#This Row],[LC Actual Gain Loss]] / SnapshotTable[[#This Row],[LC Premium]],"")</f>
        <v/>
      </c>
      <c r="DX84" s="269" t="str">
        <f>IF(ISNUMBER(SnapshotTable[[#This Row],[LC Book Price]]),SnapshotTable[[#This Row],[LC Book Price]] * 1.5,"")</f>
        <v/>
      </c>
      <c r="DY84" s="250" t="str">
        <f>IF(SnapshotTable[[#This Row],[LC Premium]]&gt;0, SnapshotTable[[#This Row],[LC Next Target]] * SnapshotTable[[#This Row],[LC Qty]] * 100,"")</f>
        <v/>
      </c>
      <c r="DZ84" s="250" t="str">
        <f>IF(ISNUMBER(SnapshotTable[[#This Row],[LC Target Gross]]), SnapshotTable[[#This Row],[LC Target Gross]] - SnapshotTable[[#This Row],[LC Premium]], "")</f>
        <v/>
      </c>
      <c r="EA84" s="283" t="str">
        <f>IF(ISNUMBER(SnapshotTable[[#This Row],[LC Target Gain Loss]]), SnapshotTable[[#This Row],[LC Target Gain Loss]]/SnapshotTable[[#This Row],[LC Premium]], "")</f>
        <v/>
      </c>
      <c r="EB84" s="247"/>
      <c r="EC84" s="268" t="str">
        <f>IF(SnapshotTable[[#This Row],[LC Premium]]&gt;0, SnapshotTable[[#This Row],[LC Book Price]] * (1 - LC_StopLoss_Pct),"")</f>
        <v/>
      </c>
      <c r="ED84" s="269"/>
      <c r="EE84" s="268" t="str">
        <f>IF(ISNUMBER(SnapshotTable[[#This Row],[LC Contract Value]]),IF(ISNUMBER(SnapshotTable[[#This Row],[LC Stop Loss Override]]), SnapshotTable[[#This Row],[LC Stop Loss Override]],SnapshotTable[[#This Row],[LC Stop Loss Calc Target]]),"")</f>
        <v/>
      </c>
      <c r="EF84" s="31" t="str">
        <f>IF(ISNUMBER(SnapshotTable[[#This Row],[LC Stop  To Use]]), (SnapshotTable[[#This Row],[LC Stop  To Use]] * SnapshotTable[[#This Row],[LC Qty]] * 100),"")</f>
        <v/>
      </c>
      <c r="EG84" s="9" t="str">
        <f>IF(ISNUMBER(SnapshotTable[[#This Row],[LC Total Value]]),SnapshotTable[[#This Row],[LC Stop Loss Amount]] - SnapshotTable[[#This Row],[LC Premium]],"")</f>
        <v/>
      </c>
      <c r="EH84" s="9">
        <f>IF(ISNUMBER(SnapshotTable[[#This Row],[LC Premium]]), SnapshotTable[[#This Row],[LC Qty]] * 100 * SnapshotTable[[#This Row],[LC Strike Price]], "")</f>
        <v>0</v>
      </c>
      <c r="EI84" s="225" t="str">
        <f>IF(AND(ISNUMBER(SnapshotTable[[#This Row],[LC Total Value]]),SnapshotTable[[#This Row],[LC Total Value]]&gt;0),SnapshotTable[[#This Row],[LC Stop Gain Loss]]  / SnapshotTable[[#This Row],[LC Premium]],"")</f>
        <v/>
      </c>
      <c r="EJ84" s="35">
        <f>IF(ISNUMBER(SnapshotTable[[#This Row],[Equity Shares]]),TRUNC(SnapshotTable[[#This Row],[Equity Shares]] / 100),0) + SnapshotTable[[#This Row],[LC Qty]]</f>
        <v>0</v>
      </c>
      <c r="EK84" s="145"/>
      <c r="EL84" s="136"/>
      <c r="EM84" s="146"/>
      <c r="EN84" s="145"/>
      <c r="EO84" s="145"/>
      <c r="EP84" s="136"/>
      <c r="EQ84" s="382" t="b">
        <f>AND(ISNUMBER(SnapshotTable[[#This Row],[SC Exp Date]]), ISNUMBER(SnapshotTable[[#This Row],[SC Strike Price]]), ISNUMBER(SnapshotTable[[#This Row],[SC Qty]]), ISNUMBER(SnapshotTable[[#This Row],[SC Book Date]]), ISNUMBER(SnapshotTable[[#This Row],[SC Book Price]]))</f>
        <v>0</v>
      </c>
      <c r="ER84" s="382" t="b">
        <f>AND(SnapshotTable[[#This Row],[SC Is Booked]], NOT(ISBLANK(SnapshotTable[[#This Row],[SC Fill Date]])))</f>
        <v>0</v>
      </c>
      <c r="ES84" s="340"/>
      <c r="ET84" s="34" t="str">
        <f>IF(AND(ISNUMBER(SnapshotTable[[#This Row],[SC Exp Date]]), ISNUMBER(SnapshotTable[[#This Row],[SC Book Date]])), SnapshotTable[[#This Row],[SC Exp Date]] - MAX(SnapshotTable[[#This Row],[SC Book Date]], SnapshotTable[[#This Row],[SC Fill Date]]) + 1, "")</f>
        <v/>
      </c>
      <c r="EU84" s="34" t="str">
        <f>IF(ISNUMBER(SnapshotTable[[#This Row],[SC Term]]), SnapshotTable[[#This Row],[SC Exp Date]]- MockToday, "")</f>
        <v/>
      </c>
      <c r="EV84" s="31">
        <f>IF(SnapshotTable[[#This Row],[SC Is Booked]], SnapshotTable[[#This Row],[SC Qty]] * SnapshotTable[[#This Row],[SC Book Price]] * 100, 0)</f>
        <v>0</v>
      </c>
      <c r="EW84" s="4" t="str">
        <f>IF(AND(ISNUMBER(SnapshotTable[[#This Row],[Last Price]]), ISNUMBER( SnapshotTable[[#This Row],[SC Book Price]])), SnapshotTable[[#This Row],[Last Price]] - SnapshotTable[[#This Row],[SC Book Price]],"")</f>
        <v/>
      </c>
      <c r="EX84" s="219" t="str">
        <f>IF(SnapshotTable[[#This Row],[SC Is Booked]],IF(SnapshotTable[[#This Row],[SC Intrinsic Value]] &gt; 0, SnapshotTable[[#This Row],[SC Strike Price]], SnapshotTable[[#This Row],[Last Price]]), "")</f>
        <v/>
      </c>
      <c r="EY84" s="4">
        <f>IF(SnapshotTable[[#This Row],[SC Is Booked]], (MinimumPremiumRequired * SnapshotTable[[#This Row],[SC Basis]] * SnapshotTable[[#This Row],[SC Term]]), 0)</f>
        <v>0</v>
      </c>
      <c r="EZ84" s="268"/>
      <c r="FA84" s="204"/>
      <c r="FB84" s="340"/>
      <c r="FC84" s="4">
        <f>IF(SnapshotTable[[#This Row],[SC Is Filled]], btc_max_buyback_amount(SnapshotTable[[#This Row],[SC Fill Date]],SnapshotTable[[#This Row],[SC Exp Date]], SnapshotTable[[#This Row],[SC Book Price]]),0)</f>
        <v>0</v>
      </c>
      <c r="FD84" s="5"/>
      <c r="FE84" s="142" t="str">
        <f>IF(SnapshotTable[[#This Row],[SC Is Filled]], btc_next_cutoff_date(SnapshotTable[[#This Row],[SC Fill Date]],SnapshotTable[[#This Row],[SC Exp Date]]),"")</f>
        <v/>
      </c>
      <c r="FF84" s="4" t="str" cm="1">
        <f t="array" ref="FF84">IF(SnapshotTable[[#This Row],[SC Is Filled]], btc_should_buy_back(SnapshotTable[[#This Row],[SC Fill Date]], SnapshotTable[[#This Row],[SC Exp Date]], SnapshotTable[[#This Row],[SC Book Price]], SnapshotTable[[#This Row],[SC Current Ask]], MockToday, SnapshotTable[[#This Row],[SC Buyback Override]]),"")</f>
        <v/>
      </c>
      <c r="FG84" s="4">
        <f>IF(SnapshotTable[[#This Row],[SC Is Filled]], MAX(0,SnapshotTable[[#This Row],[Last Price]]  - SnapshotTable[[#This Row],[SC Strike Price]]), 0)</f>
        <v>0</v>
      </c>
      <c r="FH84" s="352">
        <f>IF(SnapshotTable[[#This Row],[SC Is Filled]], IF(ISNUMBER(SnapshotTable[[#This Row],[SC Current Ask]]), SnapshotTable[[#This Row],[SC Current Ask]], SnapshotTable[[#This Row],[SC Book Price]]) - SnapshotTable[[#This Row],[SC Intrinsic Value]], 0)</f>
        <v>0</v>
      </c>
      <c r="FI84" s="141"/>
      <c r="FJ84" s="32" t="str">
        <f>IF(SnapshotTable[[#This Row],[SC Is Filled]],100 * SnapshotTable[[#This Row],[SC Qty]] * IF(ISNUMBER(SnapshotTable[[#This Row],[SC Buyback Override]]), SnapshotTable[[#This Row],[SC Buyback Override]], SnapshotTable[[#This Row],[SC Current Ask]]), "")</f>
        <v/>
      </c>
      <c r="FK84" s="235" t="str">
        <f>IF(SnapshotTable[[#This Row],[SC Time Val]]&gt;0, SnapshotTable[[#This Row],[SC Time Val]] / SnapshotTable[[#This Row],[Last Price]],"")</f>
        <v/>
      </c>
      <c r="FL84" s="280" t="str">
        <f>IF(SnapshotTable[[#This Row],[SC Is Booked]], ((SnapshotTable[[#This Row],[Last Price]] -SnapshotTable[[#This Row],[SC Strike Price]]) / SnapshotTable[[#This Row],[Last Price]]) * -1, "")</f>
        <v/>
      </c>
      <c r="FM84" s="155" t="str">
        <f>IF(SnapshotTable[[#This Row],[SC Is Booked]],  (SnapshotTable[[#This Row],[SC Qty]] * 100 * SnapshotTable[[#This Row],[SC Strike Price]]) - SnapshotTable[[#This Row],[SC Current Ask]], "")</f>
        <v/>
      </c>
      <c r="FN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4" s="31" t="str">
        <f>IF(AND(ISNUMBER(SnapshotTable[[#This Row],[SC Exercise Gross]]), ISNUMBER(SnapshotTable[[#This Row],[Equity Basis Per Share]] )), SnapshotTable[[#This Row],[SC Exercise Gross]] - SnapshotTable[[#This Row],[Equity Basis Total]] +  SnapshotTable[[#This Row],[SC Premium]], "")</f>
        <v/>
      </c>
      <c r="FP84" s="5" t="str">
        <f>IF(ISNUMBER(SnapshotTable[[#This Row],[SC Exercise Gross]]), (SnapshotTable[[#This Row],[SC Exercise Gross]]) / (SnapshotTable[[#This Row],[SC Qty]] * 100), "")</f>
        <v/>
      </c>
      <c r="FQ84" s="27" t="str">
        <f>IF(SnapshotTable[[#This Row],[SC Is Booked]],SnapshotTable[[#This Row],[SC Time Val]] /SnapshotTable[[#This Row],[SC Basis]], "")</f>
        <v/>
      </c>
      <c r="FR84" s="27" t="str" cm="1">
        <f t="array" ref="FR84">IF(AND(ISNUMBER(SnapshotTable[[#This Row],[SC Term]]),ISNUMBER(SnapshotTable[[#This Row],[SC Simple ROO]])), EllmanAnnualize(SnapshotTable[[#This Row],[SC DTE]], SnapshotTable[[#This Row],[SC Simple ROO]] ),"")</f>
        <v/>
      </c>
      <c r="FS84" s="4">
        <f>IF(SnapshotTable[[#This Row],[SC Strike Price]] &gt; SnapshotTable[[#This Row],[Last Price]], SnapshotTable[[#This Row],[SC Strike Price]] - SnapshotTable[[#This Row],[Last Price]],0)</f>
        <v>0</v>
      </c>
      <c r="FT84" s="27" t="str">
        <f>IF(AND(ISNUMBER(SnapshotTable[[#This Row],[SC Upside Potential]]), SnapshotTable[[#This Row],[SC Upside Potential]] &gt; 0),(SnapshotTable[[#This Row],[SC Upside Potential]]/ SnapshotTable[[#This Row],[ACB]]),"")</f>
        <v/>
      </c>
      <c r="FU84" s="304" t="str">
        <f>IF(SnapshotTable[[#This Row],[SC Intrinsic Value]] &gt; 0,SnapshotTable[[#This Row],[SC Intrinsic Value]],"")</f>
        <v/>
      </c>
      <c r="FV84" s="27" t="str">
        <f>IF(AND( ISNUMBER( SnapshotTable[[#This Row],[ACB]]),ISNUMBER(SnapshotTable[[#This Row],[SC Downside Protect]])),SnapshotTable[[#This Row],[SC Downside Protect]] / SnapshotTable[[#This Row],[ACB]],"")</f>
        <v/>
      </c>
      <c r="FW84" s="221" t="str">
        <f>IF(AND(ISNUMBER(SnapshotTable[[#This Row],[SC Simple ROO]]),SnapshotTable[[#This Row],[SC Simple ROO]] &gt; 0), SnapshotTable[[#This Row],[SC Premium]] + (SnapshotTable[[#This Row],[SC Qty]] * SnapshotTable[[#This Row],[SC Upside Potential]]), "")</f>
        <v/>
      </c>
      <c r="FX84" s="280" t="str" cm="1">
        <f t="array" ref="FX84">IF(ISNUMBER(SnapshotTable[[#This Row],[SC Max Dollars]]), annualize(SnapshotTable[[#This Row],[SC Term]],(SnapshotTable[[#This Row],[SC Max Dollars]]/SnapshotTable[[#This Row],[SC Basis]])),"")</f>
        <v/>
      </c>
      <c r="FY84" s="221" t="str">
        <f>IF(AND(SnapshotTable[[#This Row],[SC Qty]]&gt;0,SnapshotTable[[#This Row],[SC Current Ask]]&gt;0), SnapshotTable[[#This Row],[SC Qty]] * SnapshotTable[[#This Row],[SC Current Ask]] * -100, "")</f>
        <v/>
      </c>
      <c r="FZ84" s="31" t="str">
        <f>IF(ISNUMBER((SnapshotTable[[#This Row],[SC Current Value]])), SnapshotTable[[#This Row],[SC Premium]] + SnapshotTable[[#This Row],[SC Current Value]], "")</f>
        <v/>
      </c>
      <c r="GA84" s="272" t="str">
        <f>IFERROR( IF(ISNUMBER((SnapshotTable[[#This Row],[SC Current Value]])), SnapshotTable[[#This Row],[SC Gain Loss]] / SnapshotTable[[#This Row],[SC Premium]], ""), "")</f>
        <v/>
      </c>
      <c r="GB84" s="42">
        <f>SnapshotTable[[#This Row],[Equity Shares]] * SaleSharesToConsiderPercentage</f>
        <v>0</v>
      </c>
      <c r="GC84" s="40">
        <f>SnapshotTable[[#This Row],[Long Term Target]] * SellingPriceToConsiderBasedOnTargetPercentage</f>
        <v>57.835999999999999</v>
      </c>
      <c r="GD84" s="40">
        <f>SnapshotTable[[#This Row],[Last Price]] * (1+ SellingPriceToConsiderBasedOnTargetPercentage)</f>
        <v>774.46199999999999</v>
      </c>
      <c r="GE84" s="41"/>
      <c r="GF84" s="40">
        <v>22.18</v>
      </c>
      <c r="GG84" s="31">
        <f>SnapshotTable[[#This Row],[Booked Sale Shares]] * SnapshotTable[[#This Row],[Booked Sale Price]]</f>
        <v>0</v>
      </c>
      <c r="GH84" s="31" t="str">
        <f>IF(SnapshotTable[[#This Row],[Equity Basis Total]] &gt; 0, SnapshotTable[[#This Row],[Equity Basis Per Share]] * SnapshotTable[[#This Row],[Booked Sale Shares]], "")</f>
        <v/>
      </c>
      <c r="GI84" s="31">
        <f>IF(SnapshotTable[[#This Row],[Sale Proceeds]]&gt;0, SnapshotTable[[#This Row],[Sale Proceeds]] - SnapshotTable[[#This Row],[Sale Basis]], 0)</f>
        <v>0</v>
      </c>
      <c r="GJ84" s="27" t="str">
        <f>IF(SnapshotTable[[#This Row],[Sale G/L]]&gt;0, SnapshotTable[[#This Row],[Sale G/L]] / SnapshotTable[[#This Row],[Sale Basis]], IF(ISNUMBER(SnapshotTable[[#This Row],[SC Exercise P&amp;L (TAX)]]), SnapshotTable[[#This Row],[SC Exercise P&amp;L (TAX)]] / SnapshotTable[[#This Row],[SC Basis]], ""))</f>
        <v/>
      </c>
      <c r="GK84" s="27" t="s">
        <v>544</v>
      </c>
      <c r="GL84" s="43" t="str">
        <f>IF(AND(SnapshotTable[[#This Row],[LP Exp Date]]&gt;0,SnapshotTable[[#This Row],[LP Strike Price]]&gt;0), [1]!ToOptionSymbol(SnapshotTable[[#This Row],[Symbol]], SnapshotTable[[#This Row],[LP Strike Price]],SnapshotTable[[#This Row],[LP Exp Date]],1), "")</f>
        <v/>
      </c>
      <c r="GM84" s="30" t="str">
        <f>IF(LEN(SnapshotTable[[#This Row],[LP Symbol]])&gt;0, 1, "")</f>
        <v/>
      </c>
      <c r="GN84" s="43" t="str">
        <f>IF(AND(SnapshotTable[[#This Row],[SP Exp Date]]&gt;0,SnapshotTable[[#This Row],[SP Strike Price]]&gt;0), [1]!ToOptionSymbol(SnapshotTable[[#This Row],[Symbol]], SnapshotTable[[#This Row],[SP Strike Price]],SnapshotTable[[#This Row],[SP Exp Date]],1), "")</f>
        <v/>
      </c>
      <c r="GO84" s="30" t="str">
        <f>IF(LEN(SnapshotTable[[#This Row],[SP Symbol]])&gt;0, 1, "")</f>
        <v/>
      </c>
      <c r="GP84" s="43" t="str">
        <f>IF(AND(SnapshotTable[[#This Row],[LC Exp Date]]&gt;0,SnapshotTable[[#This Row],[LC Strike Price]]&gt;0), [1]!ToOptionSymbol(SnapshotTable[[#This Row],[Symbol]], SnapshotTable[[#This Row],[LC Strike Price]],SnapshotTable[[#This Row],[LC Exp Date]],0), "")</f>
        <v/>
      </c>
      <c r="GQ84" s="30" t="str">
        <f>IF(LEN(SnapshotTable[[#This Row],[LC Symbol]])&gt;0, 1, "")</f>
        <v/>
      </c>
      <c r="GR84" s="43" t="str">
        <f>IF(AND(SnapshotTable[[#This Row],[SC Exp Date]]&gt;0,SnapshotTable[[#This Row],[SC Strike Price]]&gt;0), [1]!ToOptionSymbol(SnapshotTable[[#This Row],[Symbol]], SnapshotTable[[#This Row],[SC Strike Price]],SnapshotTable[[#This Row],[SC Exp Date]],0), "")</f>
        <v/>
      </c>
      <c r="GS84" s="30" t="str">
        <f>IF(LEN(SnapshotTable[[#This Row],[SC Symbol]])&gt;0, 1, "")</f>
        <v/>
      </c>
      <c r="GT84" s="29" t="str">
        <f>IF(COUNT(SnapshotTable[[#This Row],[LP Symbol Count]],SnapshotTable[[#This Row],[SP Symbol Count]],SnapshotTable[[#This Row],[LC Symbol Count]],SnapshotTable[[#This Row],[SC Symbol Count]])&gt;0, "Y", "")</f>
        <v/>
      </c>
      <c r="GU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4" s="216">
        <f>MAX(SnapshotTable[[#This Row],[Equity Basis Total]],SnapshotTable[[#This Row],[Equity Value]]) + (SnapshotTable[[#This Row],[SP Potential Spend]]- SnapshotTable[[#This Row],[SP Premium]] + SnapshotTable[[#This Row],[LP Premium]])+ (SnapshotTable[[#This Row],[LC Premium]] - SnapshotTable[[#This Row],[SC Premium]])</f>
        <v>0</v>
      </c>
      <c r="GW84" s="137" t="str">
        <f>IF(AND(SnapshotTable[[#This Row],[Exposure]] &lt;&gt; 0),SnapshotTable[[#This Row],[Exposure]] / SnapshotTable[[#Totals],[Exposure]], "")</f>
        <v/>
      </c>
      <c r="HE84" s="253"/>
      <c r="HF84" s="253"/>
      <c r="HK84" s="1"/>
      <c r="HL84" s="1"/>
      <c r="HM84" s="1"/>
      <c r="HN84" s="1"/>
      <c r="HO84" s="1"/>
      <c r="HP84" s="1"/>
    </row>
    <row r="85" spans="2:224" ht="12.75" hidden="1" customHeight="1" x14ac:dyDescent="0.25">
      <c r="B85" s="12" t="s">
        <v>408</v>
      </c>
      <c r="C85" s="385">
        <v>108.08</v>
      </c>
      <c r="D85" s="200" t="s">
        <v>658</v>
      </c>
      <c r="E85" s="39">
        <f>SnapshotTable[[#This Row],[Last Price]]*(1 -CrashDiscount)</f>
        <v>91.867999999999995</v>
      </c>
      <c r="F85" s="26" t="s">
        <v>102</v>
      </c>
      <c r="G85" s="26" t="s">
        <v>32</v>
      </c>
      <c r="H85" s="147"/>
      <c r="I85" s="186">
        <v>44776.270833333336</v>
      </c>
      <c r="J85" s="187">
        <v>44776.270833333336</v>
      </c>
      <c r="K85" s="188"/>
      <c r="L85" s="297"/>
      <c r="M85" s="138">
        <v>1</v>
      </c>
      <c r="N85" s="138" t="b">
        <v>1</v>
      </c>
      <c r="O85" s="138">
        <v>3</v>
      </c>
      <c r="P85" s="22"/>
      <c r="Q85" s="25"/>
      <c r="R85" s="4" t="str">
        <f>IF(SnapshotTable[[#This Row],[Equity Basis Total]] &gt; 0, SnapshotTable[[#This Row],[Equity Basis Total]] / SnapshotTable[[#This Row],[Equity Shares]], "")</f>
        <v/>
      </c>
      <c r="S85" s="254">
        <f>SnapshotTable[[#This Row],[Last Price]] * SnapshotTable[[#This Row],[Equity Shares]]</f>
        <v>0</v>
      </c>
      <c r="T85" s="254">
        <f>SnapshotTable[[#This Row],[Equity Value]] - SnapshotTable[[#This Row],[Equity Basis Total]]</f>
        <v>0</v>
      </c>
      <c r="U85" s="255" t="str">
        <f>IF(SnapshotTable[[#This Row],[Equity Basis Total]] &gt; 0, SnapshotTable[[#This Row],[Equity G/L]] / SnapshotTable[[#This Row],[Equity Basis Total]], "")</f>
        <v/>
      </c>
      <c r="V85" s="253">
        <v>80</v>
      </c>
      <c r="W85" s="253">
        <v>52.5</v>
      </c>
      <c r="X85" s="4" t="str">
        <f>IF(AND(ISNUMBER(SnapshotTable[[#This Row],[Equity Basis Per Share]]),ISNUMBER(SnapshotTable[[#This Row],[Equity Target]])),SnapshotTable[[#This Row],[Equity Target]]-SnapshotTable[[#This Row],[Equity Basis Per Share]],"")</f>
        <v/>
      </c>
      <c r="Y85" s="4" t="str">
        <f>IF(AND(ISNUMBER(SnapshotTable[[#This Row],[Equity Basis Per Share]]),ISNUMBER(SnapshotTable[[#This Row],[Equity Stop Loss]])),SnapshotTable[[#This Row],[Equity Stop Loss]]-SnapshotTable[[#This Row],[Equity Basis Per Share]],"")</f>
        <v/>
      </c>
      <c r="Z85" s="260" t="str">
        <f>IFERROR( TEXT(SnapshotTable[[#This Row],[Equity Max Gain Per Share]] /ABS( SnapshotTable[[#This Row],[Equity Max Loss Per Share]]),"0.0 " ) &amp; " : 1", "")</f>
        <v/>
      </c>
      <c r="AA85" s="31" t="str">
        <f>IF(ISNUMBER(SnapshotTable[[#This Row],[Equity Max Gain Per Share]]),SnapshotTable[[#This Row],[Equity Max Gain Per Share]] * SnapshotTable[[#This Row],[Equity Shares]],"")</f>
        <v/>
      </c>
      <c r="AB85" s="31" t="str">
        <f>IF(ISNUMBER(SnapshotTable[[#This Row],[Equity Max Loss Per Share]]),SnapshotTable[[#This Row],[Equity Max Loss Per Share]] * SnapshotTable[[#This Row],[Equity Shares]],"")</f>
        <v/>
      </c>
      <c r="AC85" s="148">
        <v>2</v>
      </c>
      <c r="AD85" s="149">
        <v>43954</v>
      </c>
      <c r="AE85" s="31">
        <f>(SnapshotTable[[#This Row],[Annual Dividend Per Share]] / 4) * SnapshotTable[[#This Row],[Equity Shares]]</f>
        <v>0</v>
      </c>
      <c r="AF85" s="31">
        <f>SnapshotTable[[#This Row],[Quarterly Div $]] * 4</f>
        <v>0</v>
      </c>
      <c r="AG85" s="7">
        <f>IF(SnapshotTable[[#This Row],[Annual Dividend Per Share]]&gt;0, SnapshotTable[[#This Row],[Annual Dividend Per Share]]  / SnapshotTable[[#This Row],[Last Price]], 0)</f>
        <v>1.8504811250925242E-2</v>
      </c>
      <c r="AH85" s="149">
        <v>43943</v>
      </c>
      <c r="AI85" s="5">
        <v>84</v>
      </c>
      <c r="AJ85" s="136">
        <v>78.680000000000007</v>
      </c>
      <c r="AK85" s="150">
        <f>IF(ISNUMBER( SnapshotTable[[#This Row],[EBF Target]]),(SnapshotTable[[#This Row],[EBF Target]] - SnapshotTable[[#This Row],[Last Price]]) / SnapshotTable[[#This Row],[Last Price]], "")</f>
        <v>-0.22279792746113988</v>
      </c>
      <c r="AL85" s="150" t="str">
        <f>IF(AND(SnapshotTable[[#This Row],[Equity Basis Total]] &gt; 0,ISNUMBER( SnapshotTable[[#This Row],[Long Term Target]])), SnapshotTable[[#This Row],[From Basis $]] / SnapshotTable[[#This Row],[Equity Basis Total]], "")</f>
        <v/>
      </c>
      <c r="AM85" s="9">
        <f>IF( AND(SnapshotTable[[#This Row],[Equity Shares]] &gt;0,ISNUMBER( SnapshotTable[[#This Row],[Long Term Target]])),(SnapshotTable[[#This Row],[Equity Shares]] * SnapshotTable[[#This Row],[Long Term Target]]) - SnapshotTable[[#This Row],[Equity Basis Total]],0)</f>
        <v>0</v>
      </c>
      <c r="AN85" s="9">
        <f>IF( AND(SnapshotTable[[#This Row],[Equity Shares]] &gt;0,ISNUMBER( SnapshotTable[[#This Row],[Long Term Target]])),(SnapshotTable[[#This Row],[Equity Shares]]*SnapshotTable[[#This Row],[Long Term Target]]) - SnapshotTable[[#This Row],[Equity Value]],0)</f>
        <v>0</v>
      </c>
      <c r="AO85" s="150">
        <f>IF(AND(ISNUMBER( SnapshotTable[[#This Row],[Long Term Target]]), ISNUMBER(SnapshotTable[[#This Row],[Last Price]])),(SnapshotTable[[#This Row],[Long Term Target]] - SnapshotTable[[#This Row],[Last Price]]) / SnapshotTable[[#This Row],[Last Price]], "")</f>
        <v>-0.27202072538860095</v>
      </c>
      <c r="AP85" s="5"/>
      <c r="AQ85" s="38"/>
      <c r="AR85" s="5"/>
      <c r="AS85" s="38"/>
      <c r="AT85" s="144"/>
      <c r="AU85" s="185" t="str">
        <f>IF(OR(SnapshotTable[[#This Row],[LP No Fill]]="Y",SnapshotTable[[#This Row],[SP Is Filled]],SnapshotTable[[#This Row],[LC Not Filled]]="Y",SnapshotTable[[#This Row],[SC Is Filled]]),"Y","")</f>
        <v/>
      </c>
      <c r="AV85" s="205"/>
      <c r="AW85" s="211"/>
      <c r="AX85" s="206"/>
      <c r="AY85" s="205"/>
      <c r="AZ85" s="205"/>
      <c r="BA85" s="302"/>
      <c r="BB85" s="318"/>
      <c r="BC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5" s="321"/>
      <c r="BE85" s="5"/>
      <c r="BF85" s="14"/>
      <c r="BG85" s="13"/>
      <c r="BH85" s="13"/>
      <c r="BI85" s="5"/>
      <c r="BJ85" s="134">
        <f>IF(SnapshotTable[[#This Row],[LP Qty]] &gt; 0, SnapshotTable[[#This Row],[LP Qty]] * SnapshotTable[[#This Row],[LP Book Price]] * 100,0)</f>
        <v>0</v>
      </c>
      <c r="BK85" s="134">
        <f>IF(SnapshotTable[[#This Row],[LP Premium]] &gt; 0, SnapshotTable[[#This Row],[LP Qty]] * SnapshotTable[[#This Row],[LP Strike Price]] * 100,0)</f>
        <v>0</v>
      </c>
      <c r="BL85" s="152"/>
      <c r="BM85" s="355" t="str">
        <f>IF(SnapshotTable[[#This Row],[LP Premium]] &gt; 0,SnapshotTable[[#This Row],[LP Exp Date]]-MAX(SnapshotTable[[#This Row],[LP Book Date]], SnapshotTable[[#This Row],[LP Fill Date]]),"")</f>
        <v/>
      </c>
      <c r="BN85" s="355" t="str">
        <f>IF(ISNUMBER( SnapshotTable[[#This Row],[LP Term]]), SnapshotTable[[#This Row],[LP Exp Date]] - MockToday,"")</f>
        <v/>
      </c>
      <c r="BO85" s="161" t="str">
        <f>IF(AND(SnapshotTable[[#This Row],[LP Exp Date]]&gt;0, SnapshotTable[[#This Row],[LP Strike Price]]&gt;0,SnapshotTable[[#This Row],[LP Qty]]&gt;0,SnapshotTable[[#This Row],[LP Book Date]]&gt;0,SnapshotTable[[#This Row],[LP Book Price]]&gt;0,SnapshotTable[[#This Row],[LP Fill Date]]=0),"Y","")</f>
        <v/>
      </c>
      <c r="BP85" s="31" t="str">
        <f>IF(AND(SnapshotTable[[#This Row],[LP No Fill]]&lt;&gt;"Y",SnapshotTable[[#This Row],[LP Contract Value]]&gt;0, SnapshotTable[[#This Row],[LP Qty]]&gt;0), SnapshotTable[[#This Row],[LP Contract Value]]*SnapshotTable[[#This Row],[LP Qty]]*100,"")</f>
        <v/>
      </c>
      <c r="BQ85" s="13"/>
      <c r="BR85" s="5"/>
      <c r="BS85" s="36"/>
      <c r="BT85" s="145"/>
      <c r="BU85" s="13"/>
      <c r="BV85" s="5"/>
      <c r="BW85" s="382" t="b">
        <f>AND(ISNUMBER(SnapshotTable[[#This Row],[SP Exp Date]]), ISNUMBER(SnapshotTable[[#This Row],[SP Strike Price]]), ISNUMBER(SnapshotTable[[#This Row],[SP Qty]]), ISNUMBER(SnapshotTable[[#This Row],[SP Book Date]]), ISNUMBER(SnapshotTable[[#This Row],[SP Book Price]]))</f>
        <v>0</v>
      </c>
      <c r="BX85" s="382" t="b">
        <f>AND(SnapshotTable[[#This Row],[SP Is Booked]], NOT(ISBLANK(SnapshotTable[[#This Row],[SP Fill Date]])))</f>
        <v>0</v>
      </c>
      <c r="BY85" s="33">
        <f>IF(SnapshotTable[[#This Row],[SP Is Booked]], SnapshotTable[[#This Row],[SP Qty]] * SnapshotTable[[#This Row],[SP Book Price]] * 100, 0)</f>
        <v>0</v>
      </c>
      <c r="BZ85" s="339"/>
      <c r="CA85" s="338">
        <f>SnapshotTable[[#This Row],[LP Qty]]</f>
        <v>0</v>
      </c>
      <c r="CB85" s="4" t="str">
        <f>IF(SnapshotTable[[#This Row],[SP Is Booked]], SnapshotTable[[#This Row],[SP Strike Price]] - SnapshotTable[[#This Row],[SP Book Price]], "")</f>
        <v/>
      </c>
      <c r="CC85" s="19" t="str">
        <f>IF(SnapshotTable[[#This Row],[SP Is Booked]],SnapshotTable[[#This Row],[SP Exp Date]]-MAX(SnapshotTable[[#This Row],[SP Book Date]], SnapshotTable[[#This Row],[SP Fill Date]]),"")</f>
        <v/>
      </c>
      <c r="CD85" s="7" t="str">
        <f>IF(SnapshotTable[[#This Row],[SP Is Booked]], SnapshotTable[[#This Row],[SP Book Price]]/SnapshotTable[[#This Row],[SP Strike Price]], "")</f>
        <v/>
      </c>
      <c r="CE85" s="7" t="str">
        <f>IF(ISNUMBER(SnapshotTable[[#This Row],[SP ROO Term]]),SnapshotTable[[#This Row],[SP ROO Term]]*(365/SnapshotTable[[#This Row],[SP Term]]),"")</f>
        <v/>
      </c>
      <c r="CF85" s="221">
        <f>SnapshotTable[[#This Row],[LP Strike Price]] * SnapshotTable[[#This Row],[LP Qty]] * 100</f>
        <v>0</v>
      </c>
      <c r="CG85" s="31">
        <f>IF(ISNUMBER(SnapshotTable[[#This Row],[SP Premium]]), (SnapshotTable[[#This Row],[SP Qty]] * SnapshotTable[[#This Row],[SP Strike Price]]* 100) - SnapshotTable[[#This Row],[LP Protection]], 0)</f>
        <v>0</v>
      </c>
      <c r="CH85" s="7" t="str">
        <f>IF(ISNUMBER(SnapshotTable[[#This Row],[SP Break Even]]),-1 * (SnapshotTable[[#This Row],[SP Break Even]] - SnapshotTable[[#This Row],[Last Price]]) / SnapshotTable[[#This Row],[Last Price]], "")</f>
        <v/>
      </c>
      <c r="CI85" s="31">
        <f>IF(AND(ISNUMBER((SnapshotTable[[#This Row],[SP Potential Spend]])), SnapshotTable[[#This Row],[SP Strike Price]] &gt; SnapshotTable[[#This Row],[Last Price]], SnapshotTable[[#This Row],[SP Is Filled]]), SnapshotTable[[#This Row],[SP Potential Spend]] -  SnapshotTable[[#This Row],[LP Max Value]], 0)</f>
        <v>0</v>
      </c>
      <c r="CJ85" s="229"/>
      <c r="CK85" s="31">
        <f>IF(ISNUMBER(SnapshotTable[[#This Row],[SP Potential Spend]]),IF(ISNUMBER(SnapshotTable[[#This Row],[SP POW]]), SnapshotTable[[#This Row],[SP POW]] * SnapshotTable[[#This Row],[SP Potential Spend]], SnapshotTable[[#This Row],[SP Potential Spend]]), "")</f>
        <v>0</v>
      </c>
      <c r="CL85" s="162">
        <f>IF(NOT(SnapshotTable[[#This Row],[SP Is Filled]]),(SnapshotTable[[#This Row],[SP Qty]] * SnapshotTable[[#This Row],[SP Strike Price]] * 100) - SnapshotTable[[#This Row],[LP Max Value]],"")</f>
        <v>0</v>
      </c>
      <c r="CM85" s="31" t="str">
        <f>IF(SnapshotTable[[#This Row],[SP Actual Spend]]&lt;&gt;0, ((SnapshotTable[[#This Row],[SP Strike Price]]-SnapshotTable[[#This Row],[Last Price]]) *(SnapshotTable[[#This Row],[SP Qty]]*100) - SnapshotTable[[#This Row],[SP Premium]]) * - 1, "")</f>
        <v/>
      </c>
      <c r="CN85" s="76"/>
      <c r="CO85" s="339"/>
      <c r="CP85" s="4" t="str">
        <f>IF(SnapshotTable[[#This Row],[SP Is Filled]], btc_max_buyback_amount(SnapshotTable[[#This Row],[SP Fill Date]],SnapshotTable[[#This Row],[SP Exp Date]], SnapshotTable[[#This Row],[SP Book Price]]),"")</f>
        <v/>
      </c>
      <c r="CQ85" s="76"/>
      <c r="CR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5" s="153" t="str">
        <f>IF(SnapshotTable[[#This Row],[SP Is Filled]], btc_next_cutoff_date(SnapshotTable[[#This Row],[SP Fill Date]],SnapshotTable[[#This Row],[SP Exp Date]]),"")</f>
        <v/>
      </c>
      <c r="CT85" s="220" t="str" cm="1">
        <f t="array" ref="CT85">IF(SnapshotTable[[#This Row],[SP Is Filled]], btc_should_buy_back(SnapshotTable[[#This Row],[SP Fill Date]], SnapshotTable[[#This Row],[SP Exp Date]], SnapshotTable[[#This Row],[SP Book Price]], SnapshotTable[[#This Row],[SP Current Ask]], MockToday, SnapshotTable[[#This Row],[SP Buyback Override]]),"")</f>
        <v/>
      </c>
      <c r="CU85" s="141"/>
      <c r="CV85" s="220"/>
      <c r="CW85" s="348" t="str">
        <f>IF(ISNUMBER( SnapshotTable[[#This Row],[SP Term]]), SnapshotTable[[#This Row],[SP Exp Date]] - MockToday,"")</f>
        <v/>
      </c>
      <c r="CX85" s="31" t="str">
        <f>IF(SnapshotTable[[#This Row],[SP Is Filled]],SnapshotTable[[#This Row],[SP Buyback Price to Use]] * 100 * SnapshotTable[[#This Row],[SP Qty]], "")</f>
        <v/>
      </c>
      <c r="CY85" s="4" t="str">
        <f>IF(ISNUMBER(SnapshotTable[[#This Row],[SP Strike Price]]), SnapshotTable[[#This Row],[SP Strike Price]] * (1 - SP_MaxLoss_StrikePct), "")</f>
        <v/>
      </c>
      <c r="CZ85" s="31" t="str">
        <f>IF(ISNUMBER(SnapshotTable[[#This Row],[SP Strike  Stop Per Share]]),SnapshotTable[[#This Row],[SP Premium]] - ((SnapshotTable[[#This Row],[SP Strike Price]]-SnapshotTable[[#This Row],[SP Strike  Stop Per Share]]) *(SnapshotTable[[#This Row],[SP Qty]] * 100)),"")</f>
        <v/>
      </c>
      <c r="DA85" s="4" t="str">
        <f>IF(AND(ISNUMBER(SnapshotTable[[#This Row],[SP Premium]]),SnapshotTable[[#This Row],[SP Premium]]&gt;0), SnapshotTable[[#This Row],[SP Book Price]] * (1 + SP_MaxLoss_OptionPct), "")</f>
        <v/>
      </c>
      <c r="DB85" s="31" t="str">
        <f>IF(ISNUMBER(SnapshotTable[[#This Row],[SP Option  Stop Contract]]),(SnapshotTable[[#This Row],[SP Option  Stop Contract]] *(SnapshotTable[[#This Row],[SP Qty]] * 100) - SnapshotTable[[#This Row],[SP Premium]]),"")</f>
        <v/>
      </c>
      <c r="DC85" s="4"/>
      <c r="DD85" s="4"/>
      <c r="DE85" s="4" t="str">
        <f>IF(AND(SnapshotTable[[#This Row],[SP Qty]]&gt;0, SnapshotTable[[#This Row],[SP Stop To Use]]&gt;0),SnapshotTable[[#This Row],[SP Premium]] - ( SnapshotTable[[#This Row],[SP Qty]] * SnapshotTable[[#This Row],[SP Stop To Use]] * 100), "")</f>
        <v/>
      </c>
      <c r="DF85" s="31" t="str">
        <f>IF(AND(SnapshotTable[[#This Row],[SP Qty]]&gt;0,SnapshotTable[[#This Row],[SP Current Ask]]&gt;0), SnapshotTable[[#This Row],[SP Qty]] * SnapshotTable[[#This Row],[SP Current Ask]] * -100, "")</f>
        <v/>
      </c>
      <c r="DG85" s="31" t="str">
        <f>IF(ISNUMBER((SnapshotTable[[#This Row],[SP Total Value]])), SnapshotTable[[#This Row],[SP Premium]] + SnapshotTable[[#This Row],[SP Total Value]], "")</f>
        <v/>
      </c>
      <c r="DH85" s="272" t="str">
        <f>IF(ISNUMBER((SnapshotTable[[#This Row],[SP Total Value]])), SnapshotTable[[#This Row],[SP Gain Loss]] / SnapshotTable[[#This Row],[SP Premium]], "")</f>
        <v/>
      </c>
      <c r="DI85" s="369"/>
      <c r="DJ85" s="136"/>
      <c r="DK85" s="146"/>
      <c r="DL85" s="13"/>
      <c r="DM85" s="13"/>
      <c r="DO85" s="31">
        <f>IF(SnapshotTable[[#This Row],[LC Symbol Count]]=1, SnapshotTable[[#This Row],[LC Qty]] * SnapshotTable[[#This Row],[LC Book Price]] * 100, 0)</f>
        <v>0</v>
      </c>
      <c r="DP85" s="161" t="str">
        <f>IF(AND(SnapshotTable[[#This Row],[LC Exp Date]]&gt;0, SnapshotTable[[#This Row],[LC Strike Price]]&gt;0,SnapshotTable[[#This Row],[LC Qty]]&gt;0,SnapshotTable[[#This Row],[LC Book Date]]&gt;0,SnapshotTable[[#This Row],[LC Book Price]]&gt;0,SnapshotTable[[#This Row],[LC Fill Date]]=0),"Y","")</f>
        <v/>
      </c>
      <c r="DQ85" s="356" t="str">
        <f>IF(SnapshotTable[[#This Row],[LC Premium]] &gt; 0,SnapshotTable[[#This Row],[LC Exp Date]]-MAX(SnapshotTable[[#This Row],[LC Book Date]], SnapshotTable[[#This Row],[LC Fill Date]]),"")</f>
        <v/>
      </c>
      <c r="DR85" s="356" t="str">
        <f>IF(ISNUMBER(SnapshotTable[[#This Row],[LC Term]]), SnapshotTable[[#This Row],[LC Exp Date]] - MockToday, "")</f>
        <v/>
      </c>
      <c r="DS85" s="219" t="str">
        <f>IF(SnapshotTable[[#This Row],[LC Premium]]&gt;0,SnapshotTable[[#This Row],[LC Strike Price]] + SnapshotTable[[#This Row],[LC Book Price]],"")</f>
        <v/>
      </c>
      <c r="DU85" s="9" t="str">
        <f>IF(AND(SnapshotTable[[#This Row],[LC Symbol Count]]&gt;0, SnapshotTable[[#This Row],[LC Contract Value]]&gt;0), SnapshotTable[[#This Row],[LC Contract Value]] * SnapshotTable[[#This Row],[LC Qty]] * 100, "")</f>
        <v/>
      </c>
      <c r="DV85" s="9" t="str">
        <f>IF(AND(ISNUMBER(SnapshotTable[[#This Row],[LC Total Value]]), SnapshotTable[[#This Row],[LC Not Filled]]&lt;&gt;"Y"), SnapshotTable[[#This Row],[LC Total Value]]-SnapshotTable[[#This Row],[LC Premium]],"")</f>
        <v/>
      </c>
      <c r="DW85" s="225" t="str">
        <f>IF(ISNUMBER(SnapshotTable[[#This Row],[LC Actual Gain Loss]]), SnapshotTable[[#This Row],[LC Actual Gain Loss]] / SnapshotTable[[#This Row],[LC Premium]],"")</f>
        <v/>
      </c>
      <c r="DX85" s="269" t="str">
        <f>IF(ISNUMBER(SnapshotTable[[#This Row],[LC Book Price]]),SnapshotTable[[#This Row],[LC Book Price]] * 1.5,"")</f>
        <v/>
      </c>
      <c r="DY85" s="250" t="str">
        <f>IF(SnapshotTable[[#This Row],[LC Premium]]&gt;0, SnapshotTable[[#This Row],[LC Next Target]] * SnapshotTable[[#This Row],[LC Qty]] * 100,"")</f>
        <v/>
      </c>
      <c r="DZ85" s="250" t="str">
        <f>IF(ISNUMBER(SnapshotTable[[#This Row],[LC Target Gross]]), SnapshotTable[[#This Row],[LC Target Gross]] - SnapshotTable[[#This Row],[LC Premium]], "")</f>
        <v/>
      </c>
      <c r="EA85" s="283" t="str">
        <f>IF(ISNUMBER(SnapshotTable[[#This Row],[LC Target Gain Loss]]), SnapshotTable[[#This Row],[LC Target Gain Loss]]/SnapshotTable[[#This Row],[LC Premium]], "")</f>
        <v/>
      </c>
      <c r="EB85" s="247"/>
      <c r="EC85" s="268" t="str">
        <f>IF(SnapshotTable[[#This Row],[LC Premium]]&gt;0, SnapshotTable[[#This Row],[LC Book Price]] * (1 - LC_StopLoss_Pct),"")</f>
        <v/>
      </c>
      <c r="ED85" s="269"/>
      <c r="EE85" s="268" t="str">
        <f>IF(ISNUMBER(SnapshotTable[[#This Row],[LC Contract Value]]),IF(ISNUMBER(SnapshotTable[[#This Row],[LC Stop Loss Override]]), SnapshotTable[[#This Row],[LC Stop Loss Override]],SnapshotTable[[#This Row],[LC Stop Loss Calc Target]]),"")</f>
        <v/>
      </c>
      <c r="EF85" s="31" t="str">
        <f>IF(ISNUMBER(SnapshotTable[[#This Row],[LC Stop  To Use]]), (SnapshotTable[[#This Row],[LC Stop  To Use]] * SnapshotTable[[#This Row],[LC Qty]] * 100),"")</f>
        <v/>
      </c>
      <c r="EG85" s="9" t="str">
        <f>IF(ISNUMBER(SnapshotTable[[#This Row],[LC Total Value]]),SnapshotTable[[#This Row],[LC Stop Loss Amount]] - SnapshotTable[[#This Row],[LC Premium]],"")</f>
        <v/>
      </c>
      <c r="EH85" s="9">
        <f>IF(ISNUMBER(SnapshotTable[[#This Row],[LC Premium]]), SnapshotTable[[#This Row],[LC Qty]] * 100 * SnapshotTable[[#This Row],[LC Strike Price]], "")</f>
        <v>0</v>
      </c>
      <c r="EI85" s="225" t="str">
        <f>IF(AND(ISNUMBER(SnapshotTable[[#This Row],[LC Total Value]]),SnapshotTable[[#This Row],[LC Total Value]]&gt;0),SnapshotTable[[#This Row],[LC Stop Gain Loss]]  / SnapshotTable[[#This Row],[LC Premium]],"")</f>
        <v/>
      </c>
      <c r="EJ85" s="35">
        <f>IF(ISNUMBER(SnapshotTable[[#This Row],[Equity Shares]]),TRUNC(SnapshotTable[[#This Row],[Equity Shares]] / 100),0) + SnapshotTable[[#This Row],[LC Qty]]</f>
        <v>0</v>
      </c>
      <c r="EK85" s="145"/>
      <c r="EL85" s="136"/>
      <c r="EM85" s="146"/>
      <c r="EN85" s="145"/>
      <c r="EO85" s="145"/>
      <c r="EP85" s="136"/>
      <c r="EQ85" s="382" t="b">
        <f>AND(ISNUMBER(SnapshotTable[[#This Row],[SC Exp Date]]), ISNUMBER(SnapshotTable[[#This Row],[SC Strike Price]]), ISNUMBER(SnapshotTable[[#This Row],[SC Qty]]), ISNUMBER(SnapshotTable[[#This Row],[SC Book Date]]), ISNUMBER(SnapshotTable[[#This Row],[SC Book Price]]))</f>
        <v>0</v>
      </c>
      <c r="ER85" s="382" t="b">
        <f>AND(SnapshotTable[[#This Row],[SC Is Booked]], NOT(ISBLANK(SnapshotTable[[#This Row],[SC Fill Date]])))</f>
        <v>0</v>
      </c>
      <c r="ES85" s="340"/>
      <c r="ET85" s="34" t="str">
        <f>IF(AND(ISNUMBER(SnapshotTable[[#This Row],[SC Exp Date]]), ISNUMBER(SnapshotTable[[#This Row],[SC Book Date]])), SnapshotTable[[#This Row],[SC Exp Date]] - MAX(SnapshotTable[[#This Row],[SC Book Date]], SnapshotTable[[#This Row],[SC Fill Date]]) + 1, "")</f>
        <v/>
      </c>
      <c r="EU85" s="34" t="str">
        <f>IF(ISNUMBER(SnapshotTable[[#This Row],[SC Term]]), SnapshotTable[[#This Row],[SC Exp Date]]- MockToday, "")</f>
        <v/>
      </c>
      <c r="EV85" s="31">
        <f>IF(SnapshotTable[[#This Row],[SC Is Booked]], SnapshotTable[[#This Row],[SC Qty]] * SnapshotTable[[#This Row],[SC Book Price]] * 100, 0)</f>
        <v>0</v>
      </c>
      <c r="EW85" s="4" t="str">
        <f>IF(AND(ISNUMBER(SnapshotTable[[#This Row],[Last Price]]), ISNUMBER( SnapshotTable[[#This Row],[SC Book Price]])), SnapshotTable[[#This Row],[Last Price]] - SnapshotTable[[#This Row],[SC Book Price]],"")</f>
        <v/>
      </c>
      <c r="EX85" s="219" t="str">
        <f>IF(SnapshotTable[[#This Row],[SC Is Booked]],IF(SnapshotTable[[#This Row],[SC Intrinsic Value]] &gt; 0, SnapshotTable[[#This Row],[SC Strike Price]], SnapshotTable[[#This Row],[Last Price]]), "")</f>
        <v/>
      </c>
      <c r="EY85" s="4">
        <f>IF(SnapshotTable[[#This Row],[SC Is Booked]], (MinimumPremiumRequired * SnapshotTable[[#This Row],[SC Basis]] * SnapshotTable[[#This Row],[SC Term]]), 0)</f>
        <v>0</v>
      </c>
      <c r="EZ85" s="268"/>
      <c r="FA85" s="204"/>
      <c r="FB85" s="340"/>
      <c r="FC85" s="4">
        <f>IF(SnapshotTable[[#This Row],[SC Is Filled]], btc_max_buyback_amount(SnapshotTable[[#This Row],[SC Fill Date]],SnapshotTable[[#This Row],[SC Exp Date]], SnapshotTable[[#This Row],[SC Book Price]]),0)</f>
        <v>0</v>
      </c>
      <c r="FD85" s="5"/>
      <c r="FE85" s="142" t="str">
        <f>IF(SnapshotTable[[#This Row],[SC Is Filled]], btc_next_cutoff_date(SnapshotTable[[#This Row],[SC Fill Date]],SnapshotTable[[#This Row],[SC Exp Date]]),"")</f>
        <v/>
      </c>
      <c r="FF85" s="4" t="str" cm="1">
        <f t="array" ref="FF85">IF(SnapshotTable[[#This Row],[SC Is Filled]], btc_should_buy_back(SnapshotTable[[#This Row],[SC Fill Date]], SnapshotTable[[#This Row],[SC Exp Date]], SnapshotTable[[#This Row],[SC Book Price]], SnapshotTable[[#This Row],[SC Current Ask]], MockToday, SnapshotTable[[#This Row],[SC Buyback Override]]),"")</f>
        <v/>
      </c>
      <c r="FG85" s="4">
        <f>IF(SnapshotTable[[#This Row],[SC Is Filled]], MAX(0,SnapshotTable[[#This Row],[Last Price]]  - SnapshotTable[[#This Row],[SC Strike Price]]), 0)</f>
        <v>0</v>
      </c>
      <c r="FH85" s="352">
        <f>IF(SnapshotTable[[#This Row],[SC Is Filled]], IF(ISNUMBER(SnapshotTable[[#This Row],[SC Current Ask]]), SnapshotTable[[#This Row],[SC Current Ask]], SnapshotTable[[#This Row],[SC Book Price]]) - SnapshotTable[[#This Row],[SC Intrinsic Value]], 0)</f>
        <v>0</v>
      </c>
      <c r="FI85" s="141">
        <v>45786</v>
      </c>
      <c r="FJ85" s="32" t="str">
        <f>IF(SnapshotTable[[#This Row],[SC Is Filled]],100 * SnapshotTable[[#This Row],[SC Qty]] * IF(ISNUMBER(SnapshotTable[[#This Row],[SC Buyback Override]]), SnapshotTable[[#This Row],[SC Buyback Override]], SnapshotTable[[#This Row],[SC Current Ask]]), "")</f>
        <v/>
      </c>
      <c r="FK85" s="235" t="str">
        <f>IF(SnapshotTable[[#This Row],[SC Time Val]]&gt;0, SnapshotTable[[#This Row],[SC Time Val]] / SnapshotTable[[#This Row],[Last Price]],"")</f>
        <v/>
      </c>
      <c r="FL85" s="280" t="str">
        <f>IF(SnapshotTable[[#This Row],[SC Is Booked]], ((SnapshotTable[[#This Row],[Last Price]] -SnapshotTable[[#This Row],[SC Strike Price]]) / SnapshotTable[[#This Row],[Last Price]]) * -1, "")</f>
        <v/>
      </c>
      <c r="FM85" s="155" t="str">
        <f>IF(SnapshotTable[[#This Row],[SC Is Booked]],  (SnapshotTable[[#This Row],[SC Qty]] * 100 * SnapshotTable[[#This Row],[SC Strike Price]]) - SnapshotTable[[#This Row],[SC Current Ask]], "")</f>
        <v/>
      </c>
      <c r="FN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5" s="31" t="str">
        <f>IF(AND(ISNUMBER(SnapshotTable[[#This Row],[SC Exercise Gross]]), ISNUMBER(SnapshotTable[[#This Row],[Equity Basis Per Share]] )), SnapshotTable[[#This Row],[SC Exercise Gross]] - SnapshotTable[[#This Row],[Equity Basis Total]] +  SnapshotTable[[#This Row],[SC Premium]], "")</f>
        <v/>
      </c>
      <c r="FP85" s="5" t="str">
        <f>IF(ISNUMBER(SnapshotTable[[#This Row],[SC Exercise Gross]]), (SnapshotTable[[#This Row],[SC Exercise Gross]]) / (SnapshotTable[[#This Row],[SC Qty]] * 100), "")</f>
        <v/>
      </c>
      <c r="FQ85" s="27" t="str">
        <f>IF(SnapshotTable[[#This Row],[SC Is Booked]],SnapshotTable[[#This Row],[SC Time Val]] /SnapshotTable[[#This Row],[SC Basis]], "")</f>
        <v/>
      </c>
      <c r="FR85" s="27" t="str" cm="1">
        <f t="array" ref="FR85">IF(AND(ISNUMBER(SnapshotTable[[#This Row],[SC Term]]),ISNUMBER(SnapshotTable[[#This Row],[SC Simple ROO]])), EllmanAnnualize(SnapshotTable[[#This Row],[SC DTE]], SnapshotTable[[#This Row],[SC Simple ROO]] ),"")</f>
        <v/>
      </c>
      <c r="FS85" s="4">
        <f>IF(SnapshotTable[[#This Row],[SC Strike Price]] &gt; SnapshotTable[[#This Row],[Last Price]], SnapshotTable[[#This Row],[SC Strike Price]] - SnapshotTable[[#This Row],[Last Price]],0)</f>
        <v>0</v>
      </c>
      <c r="FT85" s="27" t="str">
        <f>IF(AND(ISNUMBER(SnapshotTable[[#This Row],[SC Upside Potential]]), SnapshotTable[[#This Row],[SC Upside Potential]] &gt; 0),(SnapshotTable[[#This Row],[SC Upside Potential]]/ SnapshotTable[[#This Row],[ACB]]),"")</f>
        <v/>
      </c>
      <c r="FU85" s="304" t="str">
        <f>IF(SnapshotTable[[#This Row],[SC Intrinsic Value]] &gt; 0,SnapshotTable[[#This Row],[SC Intrinsic Value]],"")</f>
        <v/>
      </c>
      <c r="FV85" s="27" t="str">
        <f>IF(AND( ISNUMBER( SnapshotTable[[#This Row],[ACB]]),ISNUMBER(SnapshotTable[[#This Row],[SC Downside Protect]])),SnapshotTable[[#This Row],[SC Downside Protect]] / SnapshotTable[[#This Row],[ACB]],"")</f>
        <v/>
      </c>
      <c r="FW85" s="221" t="str">
        <f>IF(AND(ISNUMBER(SnapshotTable[[#This Row],[SC Simple ROO]]),SnapshotTable[[#This Row],[SC Simple ROO]] &gt; 0), SnapshotTable[[#This Row],[SC Premium]] + (SnapshotTable[[#This Row],[SC Qty]] * SnapshotTable[[#This Row],[SC Upside Potential]]), "")</f>
        <v/>
      </c>
      <c r="FX85" s="280" t="str" cm="1">
        <f t="array" ref="FX85">IF(ISNUMBER(SnapshotTable[[#This Row],[SC Max Dollars]]), annualize(SnapshotTable[[#This Row],[SC Term]],(SnapshotTable[[#This Row],[SC Max Dollars]]/SnapshotTable[[#This Row],[SC Basis]])),"")</f>
        <v/>
      </c>
      <c r="FY85" s="221" t="str">
        <f>IF(AND(SnapshotTable[[#This Row],[SC Qty]]&gt;0,SnapshotTable[[#This Row],[SC Current Ask]]&gt;0), SnapshotTable[[#This Row],[SC Qty]] * SnapshotTable[[#This Row],[SC Current Ask]] * -100, "")</f>
        <v/>
      </c>
      <c r="FZ85" s="31" t="str">
        <f>IF(ISNUMBER((SnapshotTable[[#This Row],[SC Current Value]])), SnapshotTable[[#This Row],[SC Premium]] + SnapshotTable[[#This Row],[SC Current Value]], "")</f>
        <v/>
      </c>
      <c r="GA85" s="272" t="str">
        <f>IFERROR( IF(ISNUMBER((SnapshotTable[[#This Row],[SC Current Value]])), SnapshotTable[[#This Row],[SC Gain Loss]] / SnapshotTable[[#This Row],[SC Premium]], ""), "")</f>
        <v/>
      </c>
      <c r="GB85" s="42">
        <f>SnapshotTable[[#This Row],[Equity Shares]] * SaleSharesToConsiderPercentage</f>
        <v>0</v>
      </c>
      <c r="GC85" s="40">
        <f>SnapshotTable[[#This Row],[Long Term Target]] * SellingPriceToConsiderBasedOnTargetPercentage</f>
        <v>74.746000000000009</v>
      </c>
      <c r="GD85" s="40">
        <f>SnapshotTable[[#This Row],[Last Price]] * (1+ SellingPriceToConsiderBasedOnTargetPercentage)</f>
        <v>210.756</v>
      </c>
      <c r="GE85" s="41"/>
      <c r="GF85" s="40"/>
      <c r="GG85" s="31">
        <f>SnapshotTable[[#This Row],[Booked Sale Shares]] * SnapshotTable[[#This Row],[Booked Sale Price]]</f>
        <v>0</v>
      </c>
      <c r="GH85" s="31" t="str">
        <f>IF(SnapshotTable[[#This Row],[Equity Basis Total]] &gt; 0, SnapshotTable[[#This Row],[Equity Basis Per Share]] * SnapshotTable[[#This Row],[Booked Sale Shares]], "")</f>
        <v/>
      </c>
      <c r="GI85" s="31">
        <f>IF(SnapshotTable[[#This Row],[Sale Proceeds]]&gt;0, SnapshotTable[[#This Row],[Sale Proceeds]] - SnapshotTable[[#This Row],[Sale Basis]], 0)</f>
        <v>0</v>
      </c>
      <c r="GJ85" s="27" t="str">
        <f>IF(SnapshotTable[[#This Row],[Sale G/L]]&gt;0, SnapshotTable[[#This Row],[Sale G/L]] / SnapshotTable[[#This Row],[Sale Basis]], IF(ISNUMBER(SnapshotTable[[#This Row],[SC Exercise P&amp;L (TAX)]]), SnapshotTable[[#This Row],[SC Exercise P&amp;L (TAX)]] / SnapshotTable[[#This Row],[SC Basis]], ""))</f>
        <v/>
      </c>
      <c r="GK85" s="27" t="s">
        <v>513</v>
      </c>
      <c r="GL85" s="43" t="str">
        <f>IF(AND(SnapshotTable[[#This Row],[LP Exp Date]]&gt;0,SnapshotTable[[#This Row],[LP Strike Price]]&gt;0), [1]!ToOptionSymbol(SnapshotTable[[#This Row],[Symbol]], SnapshotTable[[#This Row],[LP Strike Price]],SnapshotTable[[#This Row],[LP Exp Date]],1), "")</f>
        <v/>
      </c>
      <c r="GM85" s="30" t="str">
        <f>IF(LEN(SnapshotTable[[#This Row],[LP Symbol]])&gt;0, 1, "")</f>
        <v/>
      </c>
      <c r="GN85" s="43" t="str">
        <f>IF(AND(SnapshotTable[[#This Row],[SP Exp Date]]&gt;0,SnapshotTable[[#This Row],[SP Strike Price]]&gt;0), [1]!ToOptionSymbol(SnapshotTable[[#This Row],[Symbol]], SnapshotTable[[#This Row],[SP Strike Price]],SnapshotTable[[#This Row],[SP Exp Date]],1), "")</f>
        <v/>
      </c>
      <c r="GO85" s="30" t="str">
        <f>IF(LEN(SnapshotTable[[#This Row],[SP Symbol]])&gt;0, 1, "")</f>
        <v/>
      </c>
      <c r="GP85" s="43" t="str">
        <f>IF(AND(SnapshotTable[[#This Row],[LC Exp Date]]&gt;0,SnapshotTable[[#This Row],[LC Strike Price]]&gt;0), [1]!ToOptionSymbol(SnapshotTable[[#This Row],[Symbol]], SnapshotTable[[#This Row],[LC Strike Price]],SnapshotTable[[#This Row],[LC Exp Date]],0), "")</f>
        <v/>
      </c>
      <c r="GQ85" s="30" t="str">
        <f>IF(LEN(SnapshotTable[[#This Row],[LC Symbol]])&gt;0, 1, "")</f>
        <v/>
      </c>
      <c r="GR85" s="43" t="str">
        <f>IF(AND(SnapshotTable[[#This Row],[SC Exp Date]]&gt;0,SnapshotTable[[#This Row],[SC Strike Price]]&gt;0), [1]!ToOptionSymbol(SnapshotTable[[#This Row],[Symbol]], SnapshotTable[[#This Row],[SC Strike Price]],SnapshotTable[[#This Row],[SC Exp Date]],0), "")</f>
        <v/>
      </c>
      <c r="GS85" s="30" t="str">
        <f>IF(LEN(SnapshotTable[[#This Row],[SC Symbol]])&gt;0, 1, "")</f>
        <v/>
      </c>
      <c r="GT85" s="29" t="str">
        <f>IF(COUNT(SnapshotTable[[#This Row],[LP Symbol Count]],SnapshotTable[[#This Row],[SP Symbol Count]],SnapshotTable[[#This Row],[LC Symbol Count]],SnapshotTable[[#This Row],[SC Symbol Count]])&gt;0, "Y", "")</f>
        <v/>
      </c>
      <c r="GU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5" s="216">
        <f>MAX(SnapshotTable[[#This Row],[Equity Basis Total]],SnapshotTable[[#This Row],[Equity Value]]) + (SnapshotTable[[#This Row],[SP Potential Spend]]- SnapshotTable[[#This Row],[SP Premium]] + SnapshotTable[[#This Row],[LP Premium]])+ (SnapshotTable[[#This Row],[LC Premium]] - SnapshotTable[[#This Row],[SC Premium]])</f>
        <v>0</v>
      </c>
      <c r="GW85" s="137" t="str">
        <f>IF(AND(SnapshotTable[[#This Row],[Exposure]] &lt;&gt; 0),SnapshotTable[[#This Row],[Exposure]] / SnapshotTable[[#Totals],[Exposure]], "")</f>
        <v/>
      </c>
      <c r="HE85" s="253"/>
      <c r="HF85" s="253"/>
      <c r="HK85" s="1"/>
      <c r="HL85" s="1"/>
      <c r="HM85" s="1"/>
      <c r="HN85" s="1"/>
      <c r="HO85" s="1"/>
      <c r="HP85" s="1"/>
    </row>
    <row r="86" spans="2:224" ht="12.75" hidden="1" customHeight="1" x14ac:dyDescent="0.25">
      <c r="B86" s="12" t="s">
        <v>811</v>
      </c>
      <c r="C86" s="385">
        <v>9.4499999999999993</v>
      </c>
      <c r="D86" s="200" t="s">
        <v>179</v>
      </c>
      <c r="E86" s="39">
        <f>SnapshotTable[[#This Row],[Last Price]]*(1 -CrashDiscount)</f>
        <v>8.0324999999999989</v>
      </c>
      <c r="F86" s="26" t="s">
        <v>771</v>
      </c>
      <c r="G86" s="26" t="s">
        <v>24</v>
      </c>
      <c r="H86" s="147"/>
      <c r="I86" s="186">
        <v>44764.25</v>
      </c>
      <c r="J86" s="187">
        <v>44764.25</v>
      </c>
      <c r="K86" s="188"/>
      <c r="L86" s="297"/>
      <c r="M86" s="138"/>
      <c r="N86" s="138"/>
      <c r="O86" s="138"/>
      <c r="P86" s="22"/>
      <c r="Q86" s="25"/>
      <c r="R86" s="4" t="str">
        <f>IF(SnapshotTable[[#This Row],[Equity Basis Total]] &gt; 0, SnapshotTable[[#This Row],[Equity Basis Total]] / SnapshotTable[[#This Row],[Equity Shares]], "")</f>
        <v/>
      </c>
      <c r="S86" s="254">
        <f>SnapshotTable[[#This Row],[Last Price]] * SnapshotTable[[#This Row],[Equity Shares]]</f>
        <v>0</v>
      </c>
      <c r="T86" s="254">
        <f>SnapshotTable[[#This Row],[Equity Value]] - SnapshotTable[[#This Row],[Equity Basis Total]]</f>
        <v>0</v>
      </c>
      <c r="U86" s="255" t="str">
        <f>IF(SnapshotTable[[#This Row],[Equity Basis Total]] &gt; 0, SnapshotTable[[#This Row],[Equity G/L]] / SnapshotTable[[#This Row],[Equity Basis Total]], "")</f>
        <v/>
      </c>
      <c r="V86" s="253"/>
      <c r="W86" s="253"/>
      <c r="X86" s="4" t="str">
        <f>IF(AND(ISNUMBER(SnapshotTable[[#This Row],[Equity Basis Per Share]]),ISNUMBER(SnapshotTable[[#This Row],[Equity Target]])),SnapshotTable[[#This Row],[Equity Target]]-SnapshotTable[[#This Row],[Equity Basis Per Share]],"")</f>
        <v/>
      </c>
      <c r="Y86" s="4" t="str">
        <f>IF(AND(ISNUMBER(SnapshotTable[[#This Row],[Equity Basis Per Share]]),ISNUMBER(SnapshotTable[[#This Row],[Equity Stop Loss]])),SnapshotTable[[#This Row],[Equity Stop Loss]]-SnapshotTable[[#This Row],[Equity Basis Per Share]],"")</f>
        <v/>
      </c>
      <c r="Z86" s="260" t="str">
        <f>IFERROR( TEXT(SnapshotTable[[#This Row],[Equity Max Gain Per Share]] /ABS( SnapshotTable[[#This Row],[Equity Max Loss Per Share]]),"0.0 " ) &amp; " : 1", "")</f>
        <v/>
      </c>
      <c r="AA86" s="31" t="str">
        <f>IF(ISNUMBER(SnapshotTable[[#This Row],[Equity Max Gain Per Share]]),SnapshotTable[[#This Row],[Equity Max Gain Per Share]] * SnapshotTable[[#This Row],[Equity Shares]],"")</f>
        <v/>
      </c>
      <c r="AB86" s="31" t="str">
        <f>IF(ISNUMBER(SnapshotTable[[#This Row],[Equity Max Loss Per Share]]),SnapshotTable[[#This Row],[Equity Max Loss Per Share]] * SnapshotTable[[#This Row],[Equity Shares]],"")</f>
        <v/>
      </c>
      <c r="AC86" s="148"/>
      <c r="AD86" s="149"/>
      <c r="AE86" s="31">
        <f>(SnapshotTable[[#This Row],[Annual Dividend Per Share]] / 4) * SnapshotTable[[#This Row],[Equity Shares]]</f>
        <v>0</v>
      </c>
      <c r="AF86" s="31">
        <f>SnapshotTable[[#This Row],[Quarterly Div $]] * 4</f>
        <v>0</v>
      </c>
      <c r="AG86" s="7">
        <f>IF(SnapshotTable[[#This Row],[Annual Dividend Per Share]]&gt;0, SnapshotTable[[#This Row],[Annual Dividend Per Share]]  / SnapshotTable[[#This Row],[Last Price]], 0)</f>
        <v>0</v>
      </c>
      <c r="AH86" s="149"/>
      <c r="AI86" s="5"/>
      <c r="AJ86" s="136">
        <v>31.86</v>
      </c>
      <c r="AK86" s="150" t="str">
        <f>IF(ISNUMBER( SnapshotTable[[#This Row],[EBF Target]]),(SnapshotTable[[#This Row],[EBF Target]] - SnapshotTable[[#This Row],[Last Price]]) / SnapshotTable[[#This Row],[Last Price]], "")</f>
        <v/>
      </c>
      <c r="AL86" s="150" t="str">
        <f>IF(AND(SnapshotTable[[#This Row],[Equity Basis Total]] &gt; 0,ISNUMBER( SnapshotTable[[#This Row],[Long Term Target]])), SnapshotTable[[#This Row],[From Basis $]] / SnapshotTable[[#This Row],[Equity Basis Total]], "")</f>
        <v/>
      </c>
      <c r="AM86" s="9">
        <f>IF( AND(SnapshotTable[[#This Row],[Equity Shares]] &gt;0,ISNUMBER( SnapshotTable[[#This Row],[Long Term Target]])),(SnapshotTable[[#This Row],[Equity Shares]] * SnapshotTable[[#This Row],[Long Term Target]]) - SnapshotTable[[#This Row],[Equity Basis Total]],0)</f>
        <v>0</v>
      </c>
      <c r="AN86" s="9">
        <f>IF( AND(SnapshotTable[[#This Row],[Equity Shares]] &gt;0,ISNUMBER( SnapshotTable[[#This Row],[Long Term Target]])),(SnapshotTable[[#This Row],[Equity Shares]]*SnapshotTable[[#This Row],[Long Term Target]]) - SnapshotTable[[#This Row],[Equity Value]],0)</f>
        <v>0</v>
      </c>
      <c r="AO86" s="150">
        <f>IF(AND(ISNUMBER( SnapshotTable[[#This Row],[Long Term Target]]), ISNUMBER(SnapshotTable[[#This Row],[Last Price]])),(SnapshotTable[[#This Row],[Long Term Target]] - SnapshotTable[[#This Row],[Last Price]]) / SnapshotTable[[#This Row],[Last Price]], "")</f>
        <v>2.3714285714285714</v>
      </c>
      <c r="AP86" s="5"/>
      <c r="AQ86" s="38"/>
      <c r="AR86" s="5"/>
      <c r="AS86" s="38"/>
      <c r="AT86" s="144" t="s">
        <v>438</v>
      </c>
      <c r="AU86" s="185" t="str">
        <f>IF(OR(SnapshotTable[[#This Row],[LP No Fill]]="Y",SnapshotTable[[#This Row],[SP Is Filled]],SnapshotTable[[#This Row],[LC Not Filled]]="Y",SnapshotTable[[#This Row],[SC Is Filled]]),"Y","")</f>
        <v/>
      </c>
      <c r="AV86" s="205">
        <v>28</v>
      </c>
      <c r="AW86" s="211"/>
      <c r="AX86" s="206"/>
      <c r="AY86" s="205" t="str">
        <f>IF(SnapshotTable[[#This Row],[Implied Move]]&gt;0, SnapshotTable[[#This Row],[Last Price]]-SnapshotTable[[#This Row],[Implied Move]],"")</f>
        <v/>
      </c>
      <c r="AZ86" s="205" t="str">
        <f>IF(SnapshotTable[[#This Row],[Implied Move]]&gt;0, SnapshotTable[[#This Row],[Last Price]] + SnapshotTable[[#This Row],[Implied Move]],"")</f>
        <v/>
      </c>
      <c r="BA86" s="302">
        <v>32.299999999999997</v>
      </c>
      <c r="BB86" s="318"/>
      <c r="BC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6" s="321"/>
      <c r="BE86" s="5"/>
      <c r="BF86" s="14"/>
      <c r="BG86" s="13"/>
      <c r="BH86" s="13"/>
      <c r="BI86" s="5"/>
      <c r="BJ86" s="134">
        <f>IF(SnapshotTable[[#This Row],[LP Qty]] &gt; 0, SnapshotTable[[#This Row],[LP Qty]] * SnapshotTable[[#This Row],[LP Book Price]] * 100,0)</f>
        <v>0</v>
      </c>
      <c r="BK86" s="134">
        <f>IF(SnapshotTable[[#This Row],[LP Premium]] &gt; 0, SnapshotTable[[#This Row],[LP Qty]] * SnapshotTable[[#This Row],[LP Strike Price]] * 100,0)</f>
        <v>0</v>
      </c>
      <c r="BL86" s="152"/>
      <c r="BM86" s="355" t="str">
        <f>IF(SnapshotTable[[#This Row],[LP Premium]] &gt; 0,SnapshotTable[[#This Row],[LP Exp Date]]-MAX(SnapshotTable[[#This Row],[LP Book Date]], SnapshotTable[[#This Row],[LP Fill Date]]),"")</f>
        <v/>
      </c>
      <c r="BN86" s="355" t="str">
        <f>IF(ISNUMBER( SnapshotTable[[#This Row],[LP Term]]), SnapshotTable[[#This Row],[LP Exp Date]] - MockToday,"")</f>
        <v/>
      </c>
      <c r="BO86" s="161" t="str">
        <f>IF(AND(SnapshotTable[[#This Row],[LP Exp Date]]&gt;0, SnapshotTable[[#This Row],[LP Strike Price]]&gt;0,SnapshotTable[[#This Row],[LP Qty]]&gt;0,SnapshotTable[[#This Row],[LP Book Date]]&gt;0,SnapshotTable[[#This Row],[LP Book Price]]&gt;0,SnapshotTable[[#This Row],[LP Fill Date]]=0),"Y","")</f>
        <v/>
      </c>
      <c r="BP86" s="31" t="str">
        <f>IF(AND(SnapshotTable[[#This Row],[LP No Fill]]&lt;&gt;"Y",SnapshotTable[[#This Row],[LP Contract Value]]&gt;0, SnapshotTable[[#This Row],[LP Qty]]&gt;0), SnapshotTable[[#This Row],[LP Contract Value]]*SnapshotTable[[#This Row],[LP Qty]]*100,"")</f>
        <v/>
      </c>
      <c r="BQ86" s="13"/>
      <c r="BR86" s="5"/>
      <c r="BS86" s="36"/>
      <c r="BT86" s="145"/>
      <c r="BU86" s="13"/>
      <c r="BV86" s="5"/>
      <c r="BW86" s="382" t="b">
        <f>AND(ISNUMBER(SnapshotTable[[#This Row],[SP Exp Date]]), ISNUMBER(SnapshotTable[[#This Row],[SP Strike Price]]), ISNUMBER(SnapshotTable[[#This Row],[SP Qty]]), ISNUMBER(SnapshotTable[[#This Row],[SP Book Date]]), ISNUMBER(SnapshotTable[[#This Row],[SP Book Price]]))</f>
        <v>0</v>
      </c>
      <c r="BX86" s="382" t="b">
        <f>AND(SnapshotTable[[#This Row],[SP Is Booked]], NOT(ISBLANK(SnapshotTable[[#This Row],[SP Fill Date]])))</f>
        <v>0</v>
      </c>
      <c r="BY86" s="33">
        <f>IF(SnapshotTable[[#This Row],[SP Is Booked]], SnapshotTable[[#This Row],[SP Qty]] * SnapshotTable[[#This Row],[SP Book Price]] * 100, 0)</f>
        <v>0</v>
      </c>
      <c r="BZ86" s="339"/>
      <c r="CA86" s="338">
        <f>SnapshotTable[[#This Row],[LP Qty]]</f>
        <v>0</v>
      </c>
      <c r="CB86" s="4" t="str">
        <f>IF(SnapshotTable[[#This Row],[SP Is Booked]], SnapshotTable[[#This Row],[SP Strike Price]] - SnapshotTable[[#This Row],[SP Book Price]], "")</f>
        <v/>
      </c>
      <c r="CC86" s="19" t="str">
        <f>IF(SnapshotTable[[#This Row],[SP Is Booked]],SnapshotTable[[#This Row],[SP Exp Date]]-MAX(SnapshotTable[[#This Row],[SP Book Date]], SnapshotTable[[#This Row],[SP Fill Date]]),"")</f>
        <v/>
      </c>
      <c r="CD86" s="7" t="str">
        <f>IF(SnapshotTable[[#This Row],[SP Is Booked]], SnapshotTable[[#This Row],[SP Book Price]]/SnapshotTable[[#This Row],[SP Strike Price]], "")</f>
        <v/>
      </c>
      <c r="CE86" s="7" t="str">
        <f>IF(ISNUMBER(SnapshotTable[[#This Row],[SP ROO Term]]),SnapshotTable[[#This Row],[SP ROO Term]]*(365/SnapshotTable[[#This Row],[SP Term]]),"")</f>
        <v/>
      </c>
      <c r="CF86" s="221">
        <f>SnapshotTable[[#This Row],[LP Strike Price]] * SnapshotTable[[#This Row],[LP Qty]] * 100</f>
        <v>0</v>
      </c>
      <c r="CG86" s="31">
        <f>IF(ISNUMBER(SnapshotTable[[#This Row],[SP Premium]]), (SnapshotTable[[#This Row],[SP Qty]] * SnapshotTable[[#This Row],[SP Strike Price]]* 100) - SnapshotTable[[#This Row],[LP Protection]], 0)</f>
        <v>0</v>
      </c>
      <c r="CH86" s="7" t="str">
        <f>IF(ISNUMBER(SnapshotTable[[#This Row],[SP Break Even]]),-1 * (SnapshotTable[[#This Row],[SP Break Even]] - SnapshotTable[[#This Row],[Last Price]]) / SnapshotTable[[#This Row],[Last Price]], "")</f>
        <v/>
      </c>
      <c r="CI86" s="31">
        <f>IF(AND(ISNUMBER((SnapshotTable[[#This Row],[SP Potential Spend]])), SnapshotTable[[#This Row],[SP Strike Price]] &gt; SnapshotTable[[#This Row],[Last Price]], SnapshotTable[[#This Row],[SP Is Filled]]), SnapshotTable[[#This Row],[SP Potential Spend]] -  SnapshotTable[[#This Row],[LP Max Value]], 0)</f>
        <v>0</v>
      </c>
      <c r="CJ86" s="229"/>
      <c r="CK86" s="31">
        <f>IF(ISNUMBER(SnapshotTable[[#This Row],[SP Potential Spend]]),IF(ISNUMBER(SnapshotTable[[#This Row],[SP POW]]), SnapshotTable[[#This Row],[SP POW]] * SnapshotTable[[#This Row],[SP Potential Spend]], SnapshotTable[[#This Row],[SP Potential Spend]]), "")</f>
        <v>0</v>
      </c>
      <c r="CL86" s="162">
        <f>IF(NOT(SnapshotTable[[#This Row],[SP Is Filled]]),(SnapshotTable[[#This Row],[SP Qty]] * SnapshotTable[[#This Row],[SP Strike Price]] * 100) - SnapshotTable[[#This Row],[LP Max Value]],"")</f>
        <v>0</v>
      </c>
      <c r="CM86" s="31" t="str">
        <f>IF(SnapshotTable[[#This Row],[SP Actual Spend]]&lt;&gt;0, ((SnapshotTable[[#This Row],[SP Strike Price]]-SnapshotTable[[#This Row],[Last Price]]) *(SnapshotTable[[#This Row],[SP Qty]]*100) - SnapshotTable[[#This Row],[SP Premium]]) * - 1, "")</f>
        <v/>
      </c>
      <c r="CN86" s="76"/>
      <c r="CO86" s="339"/>
      <c r="CP86" s="4" t="str">
        <f>IF(SnapshotTable[[#This Row],[SP Is Filled]], btc_max_buyback_amount(SnapshotTable[[#This Row],[SP Fill Date]],SnapshotTable[[#This Row],[SP Exp Date]], SnapshotTable[[#This Row],[SP Book Price]]),"")</f>
        <v/>
      </c>
      <c r="CQ86" s="76"/>
      <c r="CR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6" s="153" t="str">
        <f>IF(SnapshotTable[[#This Row],[SP Is Filled]], btc_next_cutoff_date(SnapshotTable[[#This Row],[SP Fill Date]],SnapshotTable[[#This Row],[SP Exp Date]]),"")</f>
        <v/>
      </c>
      <c r="CT86" s="220" t="str" cm="1">
        <f t="array" ref="CT86">IF(SnapshotTable[[#This Row],[SP Is Filled]], btc_should_buy_back(SnapshotTable[[#This Row],[SP Fill Date]], SnapshotTable[[#This Row],[SP Exp Date]], SnapshotTable[[#This Row],[SP Book Price]], SnapshotTable[[#This Row],[SP Current Ask]], MockToday, SnapshotTable[[#This Row],[SP Buyback Override]]),"")</f>
        <v/>
      </c>
      <c r="CU86" s="141"/>
      <c r="CV86" s="220"/>
      <c r="CW86" s="348" t="str">
        <f>IF(ISNUMBER( SnapshotTable[[#This Row],[SP Term]]), SnapshotTable[[#This Row],[SP Exp Date]] - MockToday,"")</f>
        <v/>
      </c>
      <c r="CX86" s="31" t="str">
        <f>IF(SnapshotTable[[#This Row],[SP Is Filled]],SnapshotTable[[#This Row],[SP Buyback Price to Use]] * 100 * SnapshotTable[[#This Row],[SP Qty]], "")</f>
        <v/>
      </c>
      <c r="CY86" s="4" t="str">
        <f>IF(ISNUMBER(SnapshotTable[[#This Row],[SP Strike Price]]), SnapshotTable[[#This Row],[SP Strike Price]] * (1 - SP_MaxLoss_StrikePct), "")</f>
        <v/>
      </c>
      <c r="CZ86" s="31" t="str">
        <f>IF(ISNUMBER(SnapshotTable[[#This Row],[SP Strike  Stop Per Share]]),SnapshotTable[[#This Row],[SP Premium]] - ((SnapshotTable[[#This Row],[SP Strike Price]]-SnapshotTable[[#This Row],[SP Strike  Stop Per Share]]) *(SnapshotTable[[#This Row],[SP Qty]] * 100)),"")</f>
        <v/>
      </c>
      <c r="DA86" s="4" t="str">
        <f>IF(AND(ISNUMBER(SnapshotTable[[#This Row],[SP Premium]]),SnapshotTable[[#This Row],[SP Premium]]&gt;0), SnapshotTable[[#This Row],[SP Book Price]] * (1 + SP_MaxLoss_OptionPct), "")</f>
        <v/>
      </c>
      <c r="DB86" s="31" t="str">
        <f>IF(ISNUMBER(SnapshotTable[[#This Row],[SP Option  Stop Contract]]),(SnapshotTable[[#This Row],[SP Option  Stop Contract]] *(SnapshotTable[[#This Row],[SP Qty]] * 100) - SnapshotTable[[#This Row],[SP Premium]]),"")</f>
        <v/>
      </c>
      <c r="DC86" s="4">
        <v>28</v>
      </c>
      <c r="DD86" s="4"/>
      <c r="DE86" s="4" t="str">
        <f>IF(AND(SnapshotTable[[#This Row],[SP Qty]]&gt;0, SnapshotTable[[#This Row],[SP Stop To Use]]&gt;0),SnapshotTable[[#This Row],[SP Premium]] - ( SnapshotTable[[#This Row],[SP Qty]] * SnapshotTable[[#This Row],[SP Stop To Use]] * 100), "")</f>
        <v/>
      </c>
      <c r="DF86" s="31" t="str">
        <f>IF(AND(SnapshotTable[[#This Row],[SP Qty]]&gt;0,SnapshotTable[[#This Row],[SP Current Ask]]&gt;0), SnapshotTable[[#This Row],[SP Qty]] * SnapshotTable[[#This Row],[SP Current Ask]] * -100, "")</f>
        <v/>
      </c>
      <c r="DG86" s="31" t="str">
        <f>IF(ISNUMBER((SnapshotTable[[#This Row],[SP Total Value]])), SnapshotTable[[#This Row],[SP Premium]] + SnapshotTable[[#This Row],[SP Total Value]], "")</f>
        <v/>
      </c>
      <c r="DH86" s="272" t="str">
        <f>IF(ISNUMBER((SnapshotTable[[#This Row],[SP Total Value]])), SnapshotTable[[#This Row],[SP Gain Loss]] / SnapshotTable[[#This Row],[SP Premium]], "")</f>
        <v/>
      </c>
      <c r="DI86" s="369"/>
      <c r="DJ86" s="145"/>
      <c r="DK86" s="146"/>
      <c r="DL86" s="145"/>
      <c r="DM86" s="145"/>
      <c r="DN86" s="145"/>
      <c r="DO86" s="31">
        <f>IF(SnapshotTable[[#This Row],[LC Symbol Count]]=1, SnapshotTable[[#This Row],[LC Qty]] * SnapshotTable[[#This Row],[LC Book Price]] * 100, 0)</f>
        <v>0</v>
      </c>
      <c r="DP86" s="161" t="str">
        <f>IF(AND(SnapshotTable[[#This Row],[LC Exp Date]]&gt;0, SnapshotTable[[#This Row],[LC Strike Price]]&gt;0,SnapshotTable[[#This Row],[LC Qty]]&gt;0,SnapshotTable[[#This Row],[LC Book Date]]&gt;0,SnapshotTable[[#This Row],[LC Book Price]]&gt;0,SnapshotTable[[#This Row],[LC Fill Date]]=0),"Y","")</f>
        <v/>
      </c>
      <c r="DQ86" s="356" t="str">
        <f>IF(SnapshotTable[[#This Row],[LC Premium]] &gt; 0,SnapshotTable[[#This Row],[LC Exp Date]]-MAX(SnapshotTable[[#This Row],[LC Book Date]], SnapshotTable[[#This Row],[LC Fill Date]]),"")</f>
        <v/>
      </c>
      <c r="DR86" s="356" t="str">
        <f>IF(ISNUMBER(SnapshotTable[[#This Row],[LC Term]]), SnapshotTable[[#This Row],[LC Exp Date]] - MockToday, "")</f>
        <v/>
      </c>
      <c r="DS86" s="219" t="str">
        <f>IF(SnapshotTable[[#This Row],[LC Premium]]&gt;0,SnapshotTable[[#This Row],[LC Strike Price]] + SnapshotTable[[#This Row],[LC Book Price]],"")</f>
        <v/>
      </c>
      <c r="DU86" s="9" t="str">
        <f>IF(AND(SnapshotTable[[#This Row],[LC Symbol Count]]&gt;0, SnapshotTable[[#This Row],[LC Contract Value]]&gt;0), SnapshotTable[[#This Row],[LC Contract Value]] * SnapshotTable[[#This Row],[LC Qty]] * 100, "")</f>
        <v/>
      </c>
      <c r="DV86" s="9" t="str">
        <f>IF(AND(ISNUMBER(SnapshotTable[[#This Row],[LC Total Value]]), SnapshotTable[[#This Row],[LC Not Filled]]&lt;&gt;"Y"), SnapshotTable[[#This Row],[LC Total Value]]-SnapshotTable[[#This Row],[LC Premium]],"")</f>
        <v/>
      </c>
      <c r="DW86" s="225" t="str">
        <f>IF(ISNUMBER(SnapshotTable[[#This Row],[LC Actual Gain Loss]]), SnapshotTable[[#This Row],[LC Actual Gain Loss]] / SnapshotTable[[#This Row],[LC Premium]],"")</f>
        <v/>
      </c>
      <c r="DX86" s="269" t="str">
        <f>IF(ISNUMBER(SnapshotTable[[#This Row],[LC Book Price]]),SnapshotTable[[#This Row],[LC Book Price]] * 1.5,"")</f>
        <v/>
      </c>
      <c r="DY86" s="250" t="str">
        <f>IF(SnapshotTable[[#This Row],[LC Premium]]&gt;0, SnapshotTable[[#This Row],[LC Next Target]] * SnapshotTable[[#This Row],[LC Qty]] * 100,"")</f>
        <v/>
      </c>
      <c r="DZ86" s="250" t="str">
        <f>IF(ISNUMBER(SnapshotTable[[#This Row],[LC Target Gross]]), SnapshotTable[[#This Row],[LC Target Gross]] - SnapshotTable[[#This Row],[LC Premium]], "")</f>
        <v/>
      </c>
      <c r="EA86" s="283" t="str">
        <f>IF(ISNUMBER(SnapshotTable[[#This Row],[LC Target Gain Loss]]), SnapshotTable[[#This Row],[LC Target Gain Loss]]/SnapshotTable[[#This Row],[LC Premium]], "")</f>
        <v/>
      </c>
      <c r="EB86" s="247"/>
      <c r="EC86" s="268" t="str">
        <f>IF(SnapshotTable[[#This Row],[LC Premium]]&gt;0, SnapshotTable[[#This Row],[LC Book Price]] * (1 - LC_StopLoss_Pct),"")</f>
        <v/>
      </c>
      <c r="ED86" s="269"/>
      <c r="EE86" s="268" t="str">
        <f>IF(ISNUMBER(SnapshotTable[[#This Row],[LC Contract Value]]),IF(ISNUMBER(SnapshotTable[[#This Row],[LC Stop Loss Override]]), SnapshotTable[[#This Row],[LC Stop Loss Override]],SnapshotTable[[#This Row],[LC Stop Loss Calc Target]]),"")</f>
        <v/>
      </c>
      <c r="EF86" s="31" t="str">
        <f>IF(ISNUMBER(SnapshotTable[[#This Row],[LC Stop  To Use]]), (SnapshotTable[[#This Row],[LC Stop  To Use]] * SnapshotTable[[#This Row],[LC Qty]] * 100),"")</f>
        <v/>
      </c>
      <c r="EG86" s="9" t="str">
        <f>IF(ISNUMBER(SnapshotTable[[#This Row],[LC Total Value]]),SnapshotTable[[#This Row],[LC Stop Loss Amount]] - SnapshotTable[[#This Row],[LC Premium]],"")</f>
        <v/>
      </c>
      <c r="EH86" s="9">
        <f>IF(ISNUMBER(SnapshotTable[[#This Row],[LC Premium]]), SnapshotTable[[#This Row],[LC Qty]] * 100 * SnapshotTable[[#This Row],[LC Strike Price]], "")</f>
        <v>0</v>
      </c>
      <c r="EI86" s="225" t="str">
        <f>IF(AND(ISNUMBER(SnapshotTable[[#This Row],[LC Total Value]]),SnapshotTable[[#This Row],[LC Total Value]]&gt;0),SnapshotTable[[#This Row],[LC Stop Gain Loss]]  / SnapshotTable[[#This Row],[LC Premium]],"")</f>
        <v/>
      </c>
      <c r="EJ86" s="35">
        <f>IF(ISNUMBER(SnapshotTable[[#This Row],[Equity Shares]]),TRUNC(SnapshotTable[[#This Row],[Equity Shares]] / 100),0) + SnapshotTable[[#This Row],[LC Qty]]</f>
        <v>0</v>
      </c>
      <c r="EK86" s="145"/>
      <c r="EL86" s="136"/>
      <c r="EM86" s="146"/>
      <c r="EN86" s="145"/>
      <c r="EO86" s="145"/>
      <c r="EP86" s="136"/>
      <c r="EQ86" s="382" t="b">
        <f>AND(ISNUMBER(SnapshotTable[[#This Row],[SC Exp Date]]), ISNUMBER(SnapshotTable[[#This Row],[SC Strike Price]]), ISNUMBER(SnapshotTable[[#This Row],[SC Qty]]), ISNUMBER(SnapshotTable[[#This Row],[SC Book Date]]), ISNUMBER(SnapshotTable[[#This Row],[SC Book Price]]))</f>
        <v>0</v>
      </c>
      <c r="ER86" s="382" t="b">
        <f>AND(SnapshotTable[[#This Row],[SC Is Booked]], NOT(ISBLANK(SnapshotTable[[#This Row],[SC Fill Date]])))</f>
        <v>0</v>
      </c>
      <c r="ES86" s="340"/>
      <c r="ET86" s="34" t="str">
        <f>IF(AND(ISNUMBER(SnapshotTable[[#This Row],[SC Exp Date]]), ISNUMBER(SnapshotTable[[#This Row],[SC Book Date]])), SnapshotTable[[#This Row],[SC Exp Date]] - MAX(SnapshotTable[[#This Row],[SC Book Date]], SnapshotTable[[#This Row],[SC Fill Date]]) + 1, "")</f>
        <v/>
      </c>
      <c r="EU86" s="34" t="str">
        <f>IF(ISNUMBER(SnapshotTable[[#This Row],[SC Term]]), SnapshotTable[[#This Row],[SC Exp Date]]- MockToday, "")</f>
        <v/>
      </c>
      <c r="EV86" s="31">
        <f>IF(SnapshotTable[[#This Row],[SC Is Booked]], SnapshotTable[[#This Row],[SC Qty]] * SnapshotTable[[#This Row],[SC Book Price]] * 100, 0)</f>
        <v>0</v>
      </c>
      <c r="EW86" s="4" t="str">
        <f>IF(AND(ISNUMBER(SnapshotTable[[#This Row],[Last Price]]), ISNUMBER( SnapshotTable[[#This Row],[SC Book Price]])), SnapshotTable[[#This Row],[Last Price]] - SnapshotTable[[#This Row],[SC Book Price]],"")</f>
        <v/>
      </c>
      <c r="EX86" s="219" t="str">
        <f>IF(SnapshotTable[[#This Row],[SC Is Booked]],IF(SnapshotTable[[#This Row],[SC Intrinsic Value]] &gt; 0, SnapshotTable[[#This Row],[SC Strike Price]], SnapshotTable[[#This Row],[Last Price]]), "")</f>
        <v/>
      </c>
      <c r="EY86" s="4">
        <f>IF(SnapshotTable[[#This Row],[SC Is Booked]], (MinimumPremiumRequired * SnapshotTable[[#This Row],[SC Basis]] * SnapshotTable[[#This Row],[SC Term]]), 0)</f>
        <v>0</v>
      </c>
      <c r="EZ86" s="268"/>
      <c r="FA86" s="204"/>
      <c r="FB86" s="340"/>
      <c r="FC86" s="4">
        <f>IF(SnapshotTable[[#This Row],[SC Is Filled]], btc_max_buyback_amount(SnapshotTable[[#This Row],[SC Fill Date]],SnapshotTable[[#This Row],[SC Exp Date]], SnapshotTable[[#This Row],[SC Book Price]]),0)</f>
        <v>0</v>
      </c>
      <c r="FD86" s="5"/>
      <c r="FE86" s="142" t="str">
        <f>IF(SnapshotTable[[#This Row],[SC Is Filled]], btc_next_cutoff_date(SnapshotTable[[#This Row],[SC Fill Date]],SnapshotTable[[#This Row],[SC Exp Date]]),"")</f>
        <v/>
      </c>
      <c r="FF86" s="4" t="str" cm="1">
        <f t="array" ref="FF86">IF(SnapshotTable[[#This Row],[SC Is Filled]], btc_should_buy_back(SnapshotTable[[#This Row],[SC Fill Date]], SnapshotTable[[#This Row],[SC Exp Date]], SnapshotTable[[#This Row],[SC Book Price]], SnapshotTable[[#This Row],[SC Current Ask]], MockToday, SnapshotTable[[#This Row],[SC Buyback Override]]),"")</f>
        <v/>
      </c>
      <c r="FG86" s="4">
        <f>IF(SnapshotTable[[#This Row],[SC Is Filled]], MAX(0,SnapshotTable[[#This Row],[Last Price]]  - SnapshotTable[[#This Row],[SC Strike Price]]), 0)</f>
        <v>0</v>
      </c>
      <c r="FH86" s="352">
        <f>IF(SnapshotTable[[#This Row],[SC Is Filled]], IF(ISNUMBER(SnapshotTable[[#This Row],[SC Current Ask]]), SnapshotTable[[#This Row],[SC Current Ask]], SnapshotTable[[#This Row],[SC Book Price]]) - SnapshotTable[[#This Row],[SC Intrinsic Value]], 0)</f>
        <v>0</v>
      </c>
      <c r="FI86" s="141"/>
      <c r="FJ86" s="32" t="str">
        <f>IF(SnapshotTable[[#This Row],[SC Is Filled]],100 * SnapshotTable[[#This Row],[SC Qty]] * IF(ISNUMBER(SnapshotTable[[#This Row],[SC Buyback Override]]), SnapshotTable[[#This Row],[SC Buyback Override]], SnapshotTable[[#This Row],[SC Current Ask]]), "")</f>
        <v/>
      </c>
      <c r="FK86" s="235" t="str">
        <f>IF(SnapshotTable[[#This Row],[SC Time Val]]&gt;0, SnapshotTable[[#This Row],[SC Time Val]] / SnapshotTable[[#This Row],[Last Price]],"")</f>
        <v/>
      </c>
      <c r="FL86" s="280" t="str">
        <f>IF(SnapshotTable[[#This Row],[SC Is Booked]], ((SnapshotTable[[#This Row],[Last Price]] -SnapshotTable[[#This Row],[SC Strike Price]]) / SnapshotTable[[#This Row],[Last Price]]) * -1, "")</f>
        <v/>
      </c>
      <c r="FM86" s="155" t="str">
        <f>IF(SnapshotTable[[#This Row],[SC Is Booked]],  (SnapshotTable[[#This Row],[SC Qty]] * 100 * SnapshotTable[[#This Row],[SC Strike Price]]) - SnapshotTable[[#This Row],[SC Current Ask]], "")</f>
        <v/>
      </c>
      <c r="FN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6" s="31" t="str">
        <f>IF(AND(ISNUMBER(SnapshotTable[[#This Row],[SC Exercise Gross]]), ISNUMBER(SnapshotTable[[#This Row],[Equity Basis Per Share]] )), SnapshotTable[[#This Row],[SC Exercise Gross]] - SnapshotTable[[#This Row],[Equity Basis Total]] +  SnapshotTable[[#This Row],[SC Premium]], "")</f>
        <v/>
      </c>
      <c r="FP86" s="5" t="str">
        <f>IF(ISNUMBER(SnapshotTable[[#This Row],[SC Exercise Gross]]), (SnapshotTable[[#This Row],[SC Exercise Gross]]) / (SnapshotTable[[#This Row],[SC Qty]] * 100), "")</f>
        <v/>
      </c>
      <c r="FQ86" s="27" t="str">
        <f>IF(SnapshotTable[[#This Row],[SC Is Booked]],SnapshotTable[[#This Row],[SC Time Val]] /SnapshotTable[[#This Row],[SC Basis]], "")</f>
        <v/>
      </c>
      <c r="FR86" s="27" t="str" cm="1">
        <f t="array" ref="FR86">IF(AND(ISNUMBER(SnapshotTable[[#This Row],[SC Term]]),ISNUMBER(SnapshotTable[[#This Row],[SC Simple ROO]])), EllmanAnnualize(SnapshotTable[[#This Row],[SC DTE]], SnapshotTable[[#This Row],[SC Simple ROO]] ),"")</f>
        <v/>
      </c>
      <c r="FS86" s="4">
        <f>IF(SnapshotTable[[#This Row],[SC Strike Price]] &gt; SnapshotTable[[#This Row],[Last Price]], SnapshotTable[[#This Row],[SC Strike Price]] - SnapshotTable[[#This Row],[Last Price]],0)</f>
        <v>0</v>
      </c>
      <c r="FT86" s="27" t="str">
        <f>IF(AND(ISNUMBER(SnapshotTable[[#This Row],[SC Upside Potential]]), SnapshotTable[[#This Row],[SC Upside Potential]] &gt; 0),(SnapshotTable[[#This Row],[SC Upside Potential]]/ SnapshotTable[[#This Row],[ACB]]),"")</f>
        <v/>
      </c>
      <c r="FU86" s="304" t="str">
        <f>IF(SnapshotTable[[#This Row],[SC Intrinsic Value]] &gt; 0,SnapshotTable[[#This Row],[SC Intrinsic Value]],"")</f>
        <v/>
      </c>
      <c r="FV86" s="27" t="str">
        <f>IF(AND( ISNUMBER( SnapshotTable[[#This Row],[ACB]]),ISNUMBER(SnapshotTable[[#This Row],[SC Downside Protect]])),SnapshotTable[[#This Row],[SC Downside Protect]] / SnapshotTable[[#This Row],[ACB]],"")</f>
        <v/>
      </c>
      <c r="FW86" s="221" t="str">
        <f>IF(AND(ISNUMBER(SnapshotTable[[#This Row],[SC Simple ROO]]),SnapshotTable[[#This Row],[SC Simple ROO]] &gt; 0), SnapshotTable[[#This Row],[SC Premium]] + (SnapshotTable[[#This Row],[SC Qty]] * SnapshotTable[[#This Row],[SC Upside Potential]]), "")</f>
        <v/>
      </c>
      <c r="FX86" s="280" t="str" cm="1">
        <f t="array" ref="FX86">IF(ISNUMBER(SnapshotTable[[#This Row],[SC Max Dollars]]), annualize(SnapshotTable[[#This Row],[SC Term]],(SnapshotTable[[#This Row],[SC Max Dollars]]/SnapshotTable[[#This Row],[SC Basis]])),"")</f>
        <v/>
      </c>
      <c r="FY86" s="221" t="str">
        <f>IF(AND(SnapshotTable[[#This Row],[SC Qty]]&gt;0,SnapshotTable[[#This Row],[SC Current Ask]]&gt;0), SnapshotTable[[#This Row],[SC Qty]] * SnapshotTable[[#This Row],[SC Current Ask]] * -100, "")</f>
        <v/>
      </c>
      <c r="FZ86" s="31" t="str">
        <f>IF(ISNUMBER((SnapshotTable[[#This Row],[SC Current Value]])), SnapshotTable[[#This Row],[SC Premium]] + SnapshotTable[[#This Row],[SC Current Value]], "")</f>
        <v/>
      </c>
      <c r="GA86" s="272" t="str">
        <f>IFERROR( IF(ISNUMBER((SnapshotTable[[#This Row],[SC Current Value]])), SnapshotTable[[#This Row],[SC Gain Loss]] / SnapshotTable[[#This Row],[SC Premium]], ""), "")</f>
        <v/>
      </c>
      <c r="GB86" s="42">
        <f>SnapshotTable[[#This Row],[Equity Shares]] * SaleSharesToConsiderPercentage</f>
        <v>0</v>
      </c>
      <c r="GC86" s="40">
        <f>SnapshotTable[[#This Row],[Long Term Target]] * SellingPriceToConsiderBasedOnTargetPercentage</f>
        <v>30.266999999999999</v>
      </c>
      <c r="GD86" s="40">
        <f>SnapshotTable[[#This Row],[Last Price]] * (1+ SellingPriceToConsiderBasedOnTargetPercentage)</f>
        <v>18.427499999999998</v>
      </c>
      <c r="GE86" s="41"/>
      <c r="GF86" s="40"/>
      <c r="GG86" s="31">
        <f>SnapshotTable[[#This Row],[Booked Sale Shares]] * SnapshotTable[[#This Row],[Booked Sale Price]]</f>
        <v>0</v>
      </c>
      <c r="GH86" s="31" t="str">
        <f>IF(SnapshotTable[[#This Row],[Equity Basis Total]] &gt; 0, SnapshotTable[[#This Row],[Equity Basis Per Share]] * SnapshotTable[[#This Row],[Booked Sale Shares]], "")</f>
        <v/>
      </c>
      <c r="GI86" s="31">
        <f>IF(SnapshotTable[[#This Row],[Sale Proceeds]]&gt;0, SnapshotTable[[#This Row],[Sale Proceeds]] - SnapshotTable[[#This Row],[Sale Basis]], 0)</f>
        <v>0</v>
      </c>
      <c r="GJ86" s="27" t="str">
        <f>IF(SnapshotTable[[#This Row],[Sale G/L]]&gt;0, SnapshotTable[[#This Row],[Sale G/L]] / SnapshotTable[[#This Row],[Sale Basis]], IF(ISNUMBER(SnapshotTable[[#This Row],[SC Exercise P&amp;L (TAX)]]), SnapshotTable[[#This Row],[SC Exercise P&amp;L (TAX)]] / SnapshotTable[[#This Row],[SC Basis]], ""))</f>
        <v/>
      </c>
      <c r="GK86" s="27"/>
      <c r="GL86" s="43" t="str">
        <f>IF(AND(SnapshotTable[[#This Row],[LP Exp Date]]&gt;0,SnapshotTable[[#This Row],[LP Strike Price]]&gt;0), [1]!ToOptionSymbol(SnapshotTable[[#This Row],[Symbol]], SnapshotTable[[#This Row],[LP Strike Price]],SnapshotTable[[#This Row],[LP Exp Date]],1), "")</f>
        <v/>
      </c>
      <c r="GM86" s="30" t="str">
        <f>IF(LEN(SnapshotTable[[#This Row],[LP Symbol]])&gt;0, 1, "")</f>
        <v/>
      </c>
      <c r="GN86" s="43" t="str">
        <f>IF(AND(SnapshotTable[[#This Row],[SP Exp Date]]&gt;0,SnapshotTable[[#This Row],[SP Strike Price]]&gt;0), [1]!ToOptionSymbol(SnapshotTable[[#This Row],[Symbol]], SnapshotTable[[#This Row],[SP Strike Price]],SnapshotTable[[#This Row],[SP Exp Date]],1), "")</f>
        <v/>
      </c>
      <c r="GO86" s="30" t="str">
        <f>IF(LEN(SnapshotTable[[#This Row],[SP Symbol]])&gt;0, 1, "")</f>
        <v/>
      </c>
      <c r="GP86" s="43" t="str">
        <f>IF(AND(SnapshotTable[[#This Row],[LC Exp Date]]&gt;0,SnapshotTable[[#This Row],[LC Strike Price]]&gt;0), [1]!ToOptionSymbol(SnapshotTable[[#This Row],[Symbol]], SnapshotTable[[#This Row],[LC Strike Price]],SnapshotTable[[#This Row],[LC Exp Date]],0), "")</f>
        <v/>
      </c>
      <c r="GQ86" s="30" t="str">
        <f>IF(LEN(SnapshotTable[[#This Row],[LC Symbol]])&gt;0, 1, "")</f>
        <v/>
      </c>
      <c r="GR86" s="43" t="str">
        <f>IF(AND(SnapshotTable[[#This Row],[SC Exp Date]]&gt;0,SnapshotTable[[#This Row],[SC Strike Price]]&gt;0), [1]!ToOptionSymbol(SnapshotTable[[#This Row],[Symbol]], SnapshotTable[[#This Row],[SC Strike Price]],SnapshotTable[[#This Row],[SC Exp Date]],0), "")</f>
        <v/>
      </c>
      <c r="GS86" s="30" t="str">
        <f>IF(LEN(SnapshotTable[[#This Row],[SC Symbol]])&gt;0, 1, "")</f>
        <v/>
      </c>
      <c r="GT86" s="29" t="str">
        <f>IF(COUNT(SnapshotTable[[#This Row],[LP Symbol Count]],SnapshotTable[[#This Row],[SP Symbol Count]],SnapshotTable[[#This Row],[LC Symbol Count]],SnapshotTable[[#This Row],[SC Symbol Count]])&gt;0, "Y", "")</f>
        <v/>
      </c>
      <c r="GU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6" s="216">
        <f>MAX(SnapshotTable[[#This Row],[Equity Basis Total]],SnapshotTable[[#This Row],[Equity Value]]) + (SnapshotTable[[#This Row],[SP Potential Spend]]- SnapshotTable[[#This Row],[SP Premium]] + SnapshotTable[[#This Row],[LP Premium]])+ (SnapshotTable[[#This Row],[LC Premium]] - SnapshotTable[[#This Row],[SC Premium]])</f>
        <v>0</v>
      </c>
      <c r="GW86" s="137" t="str">
        <f>IF(AND(SnapshotTable[[#This Row],[Exposure]] &lt;&gt; 0),SnapshotTable[[#This Row],[Exposure]] / SnapshotTable[[#Totals],[Exposure]], "")</f>
        <v/>
      </c>
      <c r="HE86" s="253"/>
      <c r="HF86" s="253"/>
      <c r="HK86" s="1"/>
      <c r="HL86" s="1"/>
      <c r="HM86" s="1"/>
      <c r="HN86" s="1"/>
      <c r="HO86" s="1"/>
      <c r="HP86" s="1"/>
    </row>
    <row r="87" spans="2:224" s="45" customFormat="1" ht="12.75" hidden="1" customHeight="1" x14ac:dyDescent="0.25">
      <c r="B87" s="12" t="s">
        <v>912</v>
      </c>
      <c r="C87" s="385">
        <v>15.33</v>
      </c>
      <c r="D87" s="200" t="s">
        <v>467</v>
      </c>
      <c r="E87" s="39">
        <f>SnapshotTable[[#This Row],[Last Price]]*(1 -CrashDiscount)</f>
        <v>13.0305</v>
      </c>
      <c r="F87" s="26" t="s">
        <v>731</v>
      </c>
      <c r="G87" s="296" t="s">
        <v>4</v>
      </c>
      <c r="H87" s="147"/>
      <c r="I87" s="186"/>
      <c r="J87" s="187"/>
      <c r="K87" s="188"/>
      <c r="L87" s="297"/>
      <c r="M87" s="138"/>
      <c r="N87" s="138"/>
      <c r="O87" s="138"/>
      <c r="P87" s="22"/>
      <c r="Q87" s="25"/>
      <c r="R87" s="4" t="str">
        <f>IF(SnapshotTable[[#This Row],[Equity Basis Total]] &gt; 0, SnapshotTable[[#This Row],[Equity Basis Total]] / SnapshotTable[[#This Row],[Equity Shares]], "")</f>
        <v/>
      </c>
      <c r="S87" s="254">
        <f>SnapshotTable[[#This Row],[Last Price]] * SnapshotTable[[#This Row],[Equity Shares]]</f>
        <v>0</v>
      </c>
      <c r="T87" s="254">
        <f>SnapshotTable[[#This Row],[Equity Value]] - SnapshotTable[[#This Row],[Equity Basis Total]]</f>
        <v>0</v>
      </c>
      <c r="U87" s="255" t="str">
        <f>IF(SnapshotTable[[#This Row],[Equity Basis Total]] &gt; 0, SnapshotTable[[#This Row],[Equity G/L]] / SnapshotTable[[#This Row],[Equity Basis Total]], "")</f>
        <v/>
      </c>
      <c r="V87" s="253"/>
      <c r="W87" s="253"/>
      <c r="X87" s="4" t="str">
        <f>IF(AND(ISNUMBER(SnapshotTable[[#This Row],[Equity Basis Per Share]]),ISNUMBER(SnapshotTable[[#This Row],[Equity Target]])),SnapshotTable[[#This Row],[Equity Target]]-SnapshotTable[[#This Row],[Equity Basis Per Share]],"")</f>
        <v/>
      </c>
      <c r="Y87" s="4" t="str">
        <f>IF(AND(ISNUMBER(SnapshotTable[[#This Row],[Equity Basis Per Share]]),ISNUMBER(SnapshotTable[[#This Row],[Equity Stop Loss]])),SnapshotTable[[#This Row],[Equity Stop Loss]]-SnapshotTable[[#This Row],[Equity Basis Per Share]],"")</f>
        <v/>
      </c>
      <c r="Z87" s="260" t="str">
        <f>IFERROR( TEXT(SnapshotTable[[#This Row],[Equity Max Gain Per Share]] /ABS( SnapshotTable[[#This Row],[Equity Max Loss Per Share]]),"0.0 " ) &amp; " : 1", "")</f>
        <v/>
      </c>
      <c r="AA87" s="31" t="str">
        <f>IF(ISNUMBER(SnapshotTable[[#This Row],[Equity Max Gain Per Share]]),SnapshotTable[[#This Row],[Equity Max Gain Per Share]] * SnapshotTable[[#This Row],[Equity Shares]],"")</f>
        <v/>
      </c>
      <c r="AB87" s="31" t="str">
        <f>IF(ISNUMBER(SnapshotTable[[#This Row],[Equity Max Loss Per Share]]),SnapshotTable[[#This Row],[Equity Max Loss Per Share]] * SnapshotTable[[#This Row],[Equity Shares]],"")</f>
        <v/>
      </c>
      <c r="AC87" s="148"/>
      <c r="AD87" s="149"/>
      <c r="AE87" s="31">
        <f>(SnapshotTable[[#This Row],[Annual Dividend Per Share]] / 4) * SnapshotTable[[#This Row],[Equity Shares]]</f>
        <v>0</v>
      </c>
      <c r="AF87" s="31">
        <f>SnapshotTable[[#This Row],[Quarterly Div $]] * 4</f>
        <v>0</v>
      </c>
      <c r="AG87" s="7">
        <f>IF(SnapshotTable[[#This Row],[Annual Dividend Per Share]]&gt;0, SnapshotTable[[#This Row],[Annual Dividend Per Share]]  / SnapshotTable[[#This Row],[Last Price]], 0)</f>
        <v>0</v>
      </c>
      <c r="AH87" s="149"/>
      <c r="AI87" s="5"/>
      <c r="AJ87" s="136"/>
      <c r="AK87" s="150" t="str">
        <f>IF(ISNUMBER( SnapshotTable[[#This Row],[EBF Target]]),(SnapshotTable[[#This Row],[EBF Target]] - SnapshotTable[[#This Row],[Last Price]]) / SnapshotTable[[#This Row],[Last Price]], "")</f>
        <v/>
      </c>
      <c r="AL87" s="150" t="str">
        <f>IF(AND(SnapshotTable[[#This Row],[Equity Basis Total]] &gt; 0,ISNUMBER( SnapshotTable[[#This Row],[Long Term Target]])), SnapshotTable[[#This Row],[From Basis $]] / SnapshotTable[[#This Row],[Equity Basis Total]], "")</f>
        <v/>
      </c>
      <c r="AM87" s="9">
        <f>IF( AND(SnapshotTable[[#This Row],[Equity Shares]] &gt;0,ISNUMBER( SnapshotTable[[#This Row],[Long Term Target]])),(SnapshotTable[[#This Row],[Equity Shares]] * SnapshotTable[[#This Row],[Long Term Target]]) - SnapshotTable[[#This Row],[Equity Basis Total]],0)</f>
        <v>0</v>
      </c>
      <c r="AN87" s="9">
        <f>IF( AND(SnapshotTable[[#This Row],[Equity Shares]] &gt;0,ISNUMBER( SnapshotTable[[#This Row],[Long Term Target]])),(SnapshotTable[[#This Row],[Equity Shares]]*SnapshotTable[[#This Row],[Long Term Target]]) - SnapshotTable[[#This Row],[Equity Value]],0)</f>
        <v>0</v>
      </c>
      <c r="AO87" s="150" t="str">
        <f>IF(AND(ISNUMBER( SnapshotTable[[#This Row],[Long Term Target]]), ISNUMBER(SnapshotTable[[#This Row],[Last Price]])),(SnapshotTable[[#This Row],[Long Term Target]] - SnapshotTable[[#This Row],[Last Price]]) / SnapshotTable[[#This Row],[Last Price]], "")</f>
        <v/>
      </c>
      <c r="AP87" s="5">
        <v>18</v>
      </c>
      <c r="AQ87" s="38" t="s">
        <v>16</v>
      </c>
      <c r="AR87" s="5">
        <v>16</v>
      </c>
      <c r="AS87" s="38" t="s">
        <v>15</v>
      </c>
      <c r="AT87" s="144" t="s">
        <v>448</v>
      </c>
      <c r="AU87" s="185" t="str">
        <f>IF(OR(SnapshotTable[[#This Row],[LP No Fill]]="Y",SnapshotTable[[#This Row],[SP Is Filled]],SnapshotTable[[#This Row],[LC Not Filled]]="Y",SnapshotTable[[#This Row],[SC Is Filled]]),"Y","")</f>
        <v/>
      </c>
      <c r="AV87" s="205"/>
      <c r="AW87" s="211"/>
      <c r="AX87" s="206"/>
      <c r="AY87" s="205" t="str">
        <f>IF(SnapshotTable[[#This Row],[Implied Move]]&gt;0, SnapshotTable[[#This Row],[Last Price]]-SnapshotTable[[#This Row],[Implied Move]],"")</f>
        <v/>
      </c>
      <c r="AZ87" s="205" t="str">
        <f>IF(SnapshotTable[[#This Row],[Implied Move]]&gt;0, SnapshotTable[[#This Row],[Last Price]] + SnapshotTable[[#This Row],[Implied Move]],"")</f>
        <v/>
      </c>
      <c r="BA87" s="302">
        <v>12.52</v>
      </c>
      <c r="BB87" s="318"/>
      <c r="BC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7" s="321"/>
      <c r="BE87" s="5"/>
      <c r="BF87" s="14"/>
      <c r="BG87" s="13"/>
      <c r="BH87" s="13"/>
      <c r="BI87" s="5"/>
      <c r="BJ87" s="134">
        <f>IF(SnapshotTable[[#This Row],[LP Qty]] &gt; 0, SnapshotTable[[#This Row],[LP Qty]] * SnapshotTable[[#This Row],[LP Book Price]] * 100,0)</f>
        <v>0</v>
      </c>
      <c r="BK87" s="134">
        <f>IF(SnapshotTable[[#This Row],[LP Premium]] &gt; 0, SnapshotTable[[#This Row],[LP Qty]] * SnapshotTable[[#This Row],[LP Strike Price]] * 100,0)</f>
        <v>0</v>
      </c>
      <c r="BL87" s="152"/>
      <c r="BM87" s="19" t="str">
        <f>IF(SnapshotTable[[#This Row],[LP Premium]] &gt; 0,SnapshotTable[[#This Row],[LP Exp Date]]-MAX(SnapshotTable[[#This Row],[LP Book Date]], SnapshotTable[[#This Row],[LP Fill Date]]),"")</f>
        <v/>
      </c>
      <c r="BN87" s="355" t="str">
        <f>IF(ISNUMBER( SnapshotTable[[#This Row],[LP Term]]), SnapshotTable[[#This Row],[LP Exp Date]] - MockToday,"")</f>
        <v/>
      </c>
      <c r="BO87" s="161" t="str">
        <f>IF(AND(SnapshotTable[[#This Row],[LP Exp Date]]&gt;0, SnapshotTable[[#This Row],[LP Strike Price]]&gt;0,SnapshotTable[[#This Row],[LP Qty]]&gt;0,SnapshotTable[[#This Row],[LP Book Date]]&gt;0,SnapshotTable[[#This Row],[LP Book Price]]&gt;0,SnapshotTable[[#This Row],[LP Fill Date]]=0),"Y","")</f>
        <v/>
      </c>
      <c r="BP87" s="31" t="str">
        <f>IF(AND(SnapshotTable[[#This Row],[LP No Fill]]&lt;&gt;"Y",SnapshotTable[[#This Row],[LP Contract Value]]&gt;0, SnapshotTable[[#This Row],[LP Qty]]&gt;0), SnapshotTable[[#This Row],[LP Contract Value]]*SnapshotTable[[#This Row],[LP Qty]]*100,"")</f>
        <v/>
      </c>
      <c r="BQ87" s="13"/>
      <c r="BR87" s="5"/>
      <c r="BS87" s="36"/>
      <c r="BT87" s="145"/>
      <c r="BU87" s="13"/>
      <c r="BV87" s="5"/>
      <c r="BW87" s="382" t="b">
        <f>AND(ISNUMBER(SnapshotTable[[#This Row],[SP Exp Date]]), ISNUMBER(SnapshotTable[[#This Row],[SP Strike Price]]), ISNUMBER(SnapshotTable[[#This Row],[SP Qty]]), ISNUMBER(SnapshotTable[[#This Row],[SP Book Date]]), ISNUMBER(SnapshotTable[[#This Row],[SP Book Price]]))</f>
        <v>0</v>
      </c>
      <c r="BX87" s="382" t="b">
        <f>AND(SnapshotTable[[#This Row],[SP Is Booked]], NOT(ISBLANK(SnapshotTable[[#This Row],[SP Fill Date]])))</f>
        <v>0</v>
      </c>
      <c r="BY87" s="33">
        <f>IF(SnapshotTable[[#This Row],[SP Is Booked]], SnapshotTable[[#This Row],[SP Qty]] * SnapshotTable[[#This Row],[SP Book Price]] * 100, 0)</f>
        <v>0</v>
      </c>
      <c r="BZ87" s="339"/>
      <c r="CA87" s="338">
        <f>SnapshotTable[[#This Row],[LP Qty]]</f>
        <v>0</v>
      </c>
      <c r="CB87" s="4" t="str">
        <f>IF(SnapshotTable[[#This Row],[SP Is Booked]], SnapshotTable[[#This Row],[SP Strike Price]] - SnapshotTable[[#This Row],[SP Book Price]], "")</f>
        <v/>
      </c>
      <c r="CC87" s="19" t="str">
        <f>IF(SnapshotTable[[#This Row],[SP Is Booked]],SnapshotTable[[#This Row],[SP Exp Date]]-MAX(SnapshotTable[[#This Row],[SP Book Date]], SnapshotTable[[#This Row],[SP Fill Date]]),"")</f>
        <v/>
      </c>
      <c r="CD87" s="7" t="str">
        <f>IF(SnapshotTable[[#This Row],[SP Is Booked]], SnapshotTable[[#This Row],[SP Book Price]]/SnapshotTable[[#This Row],[SP Strike Price]], "")</f>
        <v/>
      </c>
      <c r="CE87" s="7" t="str">
        <f>IF(ISNUMBER(SnapshotTable[[#This Row],[SP ROO Term]]),SnapshotTable[[#This Row],[SP ROO Term]]*(365/SnapshotTable[[#This Row],[SP Term]]),"")</f>
        <v/>
      </c>
      <c r="CF87" s="221">
        <f>SnapshotTable[[#This Row],[LP Strike Price]] * SnapshotTable[[#This Row],[LP Qty]] * 100</f>
        <v>0</v>
      </c>
      <c r="CG87" s="31">
        <f>IF(ISNUMBER(SnapshotTable[[#This Row],[SP Premium]]), (SnapshotTable[[#This Row],[SP Qty]] * SnapshotTable[[#This Row],[SP Strike Price]]* 100) - SnapshotTable[[#This Row],[LP Protection]], 0)</f>
        <v>0</v>
      </c>
      <c r="CH87" s="7" t="str">
        <f>IF(ISNUMBER(SnapshotTable[[#This Row],[SP Break Even]]),-1 * (SnapshotTable[[#This Row],[SP Break Even]] - SnapshotTable[[#This Row],[Last Price]]) / SnapshotTable[[#This Row],[Last Price]], "")</f>
        <v/>
      </c>
      <c r="CI87" s="31">
        <f>IF(AND(ISNUMBER((SnapshotTable[[#This Row],[SP Potential Spend]])), SnapshotTable[[#This Row],[SP Strike Price]] &gt; SnapshotTable[[#This Row],[Last Price]], SnapshotTable[[#This Row],[SP Is Filled]]), SnapshotTable[[#This Row],[SP Potential Spend]] -  SnapshotTable[[#This Row],[LP Max Value]], 0)</f>
        <v>0</v>
      </c>
      <c r="CJ87" s="229"/>
      <c r="CK87" s="31">
        <f>IF(ISNUMBER(SnapshotTable[[#This Row],[SP Potential Spend]]),IF(ISNUMBER(SnapshotTable[[#This Row],[SP POW]]), SnapshotTable[[#This Row],[SP POW]] * SnapshotTable[[#This Row],[SP Potential Spend]], SnapshotTable[[#This Row],[SP Potential Spend]]), "")</f>
        <v>0</v>
      </c>
      <c r="CL87" s="162">
        <f>IF(NOT(SnapshotTable[[#This Row],[SP Is Filled]]),(SnapshotTable[[#This Row],[SP Qty]] * SnapshotTable[[#This Row],[SP Strike Price]] * 100) - SnapshotTable[[#This Row],[LP Max Value]],"")</f>
        <v>0</v>
      </c>
      <c r="CM87" s="31" t="str">
        <f>IF(SnapshotTable[[#This Row],[SP Actual Spend]]&lt;&gt;0, ((SnapshotTable[[#This Row],[SP Strike Price]]-SnapshotTable[[#This Row],[Last Price]]) *(SnapshotTable[[#This Row],[SP Qty]]*100) - SnapshotTable[[#This Row],[SP Premium]]) * - 1, "")</f>
        <v/>
      </c>
      <c r="CN87" s="76"/>
      <c r="CO87" s="339"/>
      <c r="CP87" s="4" t="str">
        <f>IF(SnapshotTable[[#This Row],[SP Is Filled]], btc_max_buyback_amount(SnapshotTable[[#This Row],[SP Fill Date]],SnapshotTable[[#This Row],[SP Exp Date]], SnapshotTable[[#This Row],[SP Book Price]]),"")</f>
        <v/>
      </c>
      <c r="CQ87" s="76"/>
      <c r="CR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7" s="153" t="str">
        <f>IF(SnapshotTable[[#This Row],[SP Is Filled]], btc_next_cutoff_date(SnapshotTable[[#This Row],[SP Fill Date]],SnapshotTable[[#This Row],[SP Exp Date]]),"")</f>
        <v/>
      </c>
      <c r="CT87" s="220" t="str" cm="1">
        <f t="array" ref="CT87">IF(SnapshotTable[[#This Row],[SP Is Filled]], btc_should_buy_back(SnapshotTable[[#This Row],[SP Fill Date]], SnapshotTable[[#This Row],[SP Exp Date]], SnapshotTable[[#This Row],[SP Book Price]], SnapshotTable[[#This Row],[SP Current Ask]], MockToday, SnapshotTable[[#This Row],[SP Buyback Override]]),"")</f>
        <v/>
      </c>
      <c r="CU87" s="154"/>
      <c r="CV87" s="220"/>
      <c r="CW87" s="348" t="str">
        <f>IF(ISNUMBER( SnapshotTable[[#This Row],[SP Term]]), SnapshotTable[[#This Row],[SP Exp Date]] - MockToday,"")</f>
        <v/>
      </c>
      <c r="CX87" s="31" t="str">
        <f>IF(SnapshotTable[[#This Row],[SP Is Filled]],SnapshotTable[[#This Row],[SP Buyback Price to Use]] * 100 * SnapshotTable[[#This Row],[SP Qty]], "")</f>
        <v/>
      </c>
      <c r="CY87" s="4" t="str">
        <f>IF(ISNUMBER(SnapshotTable[[#This Row],[SP Strike Price]]), SnapshotTable[[#This Row],[SP Strike Price]] * (1 - SP_MaxLoss_StrikePct), "")</f>
        <v/>
      </c>
      <c r="CZ87" s="31" t="str">
        <f>IF(ISNUMBER(SnapshotTable[[#This Row],[SP Strike  Stop Per Share]]),SnapshotTable[[#This Row],[SP Premium]] - ((SnapshotTable[[#This Row],[SP Strike Price]]-SnapshotTable[[#This Row],[SP Strike  Stop Per Share]]) *(SnapshotTable[[#This Row],[SP Qty]] * 100)),"")</f>
        <v/>
      </c>
      <c r="DA87" s="4" t="str">
        <f>IF(AND(ISNUMBER(SnapshotTable[[#This Row],[SP Premium]]),SnapshotTable[[#This Row],[SP Premium]]&gt;0), SnapshotTable[[#This Row],[SP Book Price]] * (1 + SP_MaxLoss_OptionPct), "")</f>
        <v/>
      </c>
      <c r="DB87" s="31" t="str">
        <f>IF(ISNUMBER(SnapshotTable[[#This Row],[SP Option  Stop Contract]]),(SnapshotTable[[#This Row],[SP Option  Stop Contract]] *(SnapshotTable[[#This Row],[SP Qty]] * 100) - SnapshotTable[[#This Row],[SP Premium]]),"")</f>
        <v/>
      </c>
      <c r="DC87" s="4"/>
      <c r="DD87" s="4"/>
      <c r="DE87" s="4" t="str">
        <f>IF(AND(SnapshotTable[[#This Row],[SP Qty]]&gt;0, SnapshotTable[[#This Row],[SP Stop To Use]]&gt;0),SnapshotTable[[#This Row],[SP Premium]] - ( SnapshotTable[[#This Row],[SP Qty]] * SnapshotTable[[#This Row],[SP Stop To Use]] * 100), "")</f>
        <v/>
      </c>
      <c r="DF87" s="31" t="str">
        <f>IF(AND(SnapshotTable[[#This Row],[SP Qty]]&gt;0,SnapshotTable[[#This Row],[SP Current Ask]]&gt;0), SnapshotTable[[#This Row],[SP Qty]] * SnapshotTable[[#This Row],[SP Current Ask]] * -100, "")</f>
        <v/>
      </c>
      <c r="DG87" s="31" t="str">
        <f>IF(ISNUMBER((SnapshotTable[[#This Row],[SP Total Value]])), SnapshotTable[[#This Row],[SP Premium]] + SnapshotTable[[#This Row],[SP Total Value]], "")</f>
        <v/>
      </c>
      <c r="DH87" s="272" t="str">
        <f>IF(ISNUMBER((SnapshotTable[[#This Row],[SP Total Value]])), SnapshotTable[[#This Row],[SP Gain Loss]] / SnapshotTable[[#This Row],[SP Premium]], "")</f>
        <v/>
      </c>
      <c r="DI87" s="369"/>
      <c r="DJ87" s="136"/>
      <c r="DK87" s="146"/>
      <c r="DL87" s="13"/>
      <c r="DM87" s="13"/>
      <c r="DN87" s="5"/>
      <c r="DO87" s="31">
        <f>IF(SnapshotTable[[#This Row],[LC Symbol Count]]=1, SnapshotTable[[#This Row],[LC Qty]] * SnapshotTable[[#This Row],[LC Book Price]] * 100, 0)</f>
        <v>0</v>
      </c>
      <c r="DP87" s="161" t="str">
        <f>IF(AND(SnapshotTable[[#This Row],[LC Exp Date]]&gt;0, SnapshotTable[[#This Row],[LC Strike Price]]&gt;0,SnapshotTable[[#This Row],[LC Qty]]&gt;0,SnapshotTable[[#This Row],[LC Book Date]]&gt;0,SnapshotTable[[#This Row],[LC Book Price]]&gt;0,SnapshotTable[[#This Row],[LC Fill Date]]=0),"Y","")</f>
        <v/>
      </c>
      <c r="DQ87" s="356" t="str">
        <f>IF(SnapshotTable[[#This Row],[LC Premium]] &gt; 0,SnapshotTable[[#This Row],[LC Exp Date]]-MAX(SnapshotTable[[#This Row],[LC Book Date]], SnapshotTable[[#This Row],[LC Fill Date]]),"")</f>
        <v/>
      </c>
      <c r="DR87" s="356" t="str">
        <f>IF(ISNUMBER(SnapshotTable[[#This Row],[LC Term]]), SnapshotTable[[#This Row],[LC Exp Date]] - MockToday, "")</f>
        <v/>
      </c>
      <c r="DS87" s="219" t="str">
        <f>IF(SnapshotTable[[#This Row],[LC Premium]]&gt;0,SnapshotTable[[#This Row],[LC Strike Price]] + SnapshotTable[[#This Row],[LC Book Price]],"")</f>
        <v/>
      </c>
      <c r="DT87" s="5"/>
      <c r="DU87" s="9" t="str">
        <f>IF(AND(SnapshotTable[[#This Row],[LC Symbol Count]]&gt;0, SnapshotTable[[#This Row],[LC Contract Value]]&gt;0), SnapshotTable[[#This Row],[LC Contract Value]] * SnapshotTable[[#This Row],[LC Qty]] * 100, "")</f>
        <v/>
      </c>
      <c r="DV87" s="9" t="str">
        <f>IF(AND(ISNUMBER(SnapshotTable[[#This Row],[LC Total Value]]), SnapshotTable[[#This Row],[LC Not Filled]]&lt;&gt;"Y"), SnapshotTable[[#This Row],[LC Total Value]]-SnapshotTable[[#This Row],[LC Premium]],"")</f>
        <v/>
      </c>
      <c r="DW87" s="225" t="str">
        <f>IF(ISNUMBER(SnapshotTable[[#This Row],[LC Actual Gain Loss]]), SnapshotTable[[#This Row],[LC Actual Gain Loss]] / SnapshotTable[[#This Row],[LC Premium]],"")</f>
        <v/>
      </c>
      <c r="DX87" s="269" t="str">
        <f>IF(ISNUMBER(SnapshotTable[[#This Row],[LC Book Price]]),SnapshotTable[[#This Row],[LC Book Price]] * 1.5,"")</f>
        <v/>
      </c>
      <c r="DY87" s="250" t="str">
        <f>IF(SnapshotTable[[#This Row],[LC Premium]]&gt;0, SnapshotTable[[#This Row],[LC Next Target]] * SnapshotTable[[#This Row],[LC Qty]] * 100,"")</f>
        <v/>
      </c>
      <c r="DZ87" s="250" t="str">
        <f>IF(ISNUMBER(SnapshotTable[[#This Row],[LC Target Gross]]), SnapshotTable[[#This Row],[LC Target Gross]] - SnapshotTable[[#This Row],[LC Premium]], "")</f>
        <v/>
      </c>
      <c r="EA87" s="283" t="str">
        <f>IF(ISNUMBER(SnapshotTable[[#This Row],[LC Target Gain Loss]]), SnapshotTable[[#This Row],[LC Target Gain Loss]]/SnapshotTable[[#This Row],[LC Premium]], "")</f>
        <v/>
      </c>
      <c r="EB87" s="247"/>
      <c r="EC87" s="268" t="str">
        <f>IF(SnapshotTable[[#This Row],[LC Premium]]&gt;0, SnapshotTable[[#This Row],[LC Book Price]] * (1 - LC_StopLoss_Pct),"")</f>
        <v/>
      </c>
      <c r="ED87" s="269"/>
      <c r="EE87" s="268" t="str">
        <f>IF(ISNUMBER(SnapshotTable[[#This Row],[LC Contract Value]]),IF(ISNUMBER(SnapshotTable[[#This Row],[LC Stop Loss Override]]), SnapshotTable[[#This Row],[LC Stop Loss Override]],SnapshotTable[[#This Row],[LC Stop Loss Calc Target]]),"")</f>
        <v/>
      </c>
      <c r="EF87" s="31" t="str">
        <f>IF(ISNUMBER(SnapshotTable[[#This Row],[LC Stop  To Use]]), (SnapshotTable[[#This Row],[LC Stop  To Use]] * SnapshotTable[[#This Row],[LC Qty]] * 100),"")</f>
        <v/>
      </c>
      <c r="EG87" s="9" t="str">
        <f>IF(ISNUMBER(SnapshotTable[[#This Row],[LC Total Value]]),SnapshotTable[[#This Row],[LC Stop Loss Amount]] - SnapshotTable[[#This Row],[LC Premium]],"")</f>
        <v/>
      </c>
      <c r="EH87" s="9">
        <f>IF(ISNUMBER(SnapshotTable[[#This Row],[LC Premium]]), SnapshotTable[[#This Row],[LC Qty]] * 100 * SnapshotTable[[#This Row],[LC Strike Price]], "")</f>
        <v>0</v>
      </c>
      <c r="EI87" s="225" t="str">
        <f>IF(AND(ISNUMBER(SnapshotTable[[#This Row],[LC Total Value]]),SnapshotTable[[#This Row],[LC Total Value]]&gt;0),SnapshotTable[[#This Row],[LC Stop Gain Loss]]  / SnapshotTable[[#This Row],[LC Premium]],"")</f>
        <v/>
      </c>
      <c r="EJ87" s="35">
        <f>IF(ISNUMBER(SnapshotTable[[#This Row],[Equity Shares]]),TRUNC(SnapshotTable[[#This Row],[Equity Shares]] / 100),0) + SnapshotTable[[#This Row],[LC Qty]]</f>
        <v>0</v>
      </c>
      <c r="EK87" s="145"/>
      <c r="EL87" s="136"/>
      <c r="EM87" s="146"/>
      <c r="EN87" s="145"/>
      <c r="EO87" s="145"/>
      <c r="EP87" s="136"/>
      <c r="EQ87" s="382" t="b">
        <f>AND(ISNUMBER(SnapshotTable[[#This Row],[SC Exp Date]]), ISNUMBER(SnapshotTable[[#This Row],[SC Strike Price]]), ISNUMBER(SnapshotTable[[#This Row],[SC Qty]]), ISNUMBER(SnapshotTable[[#This Row],[SC Book Date]]), ISNUMBER(SnapshotTable[[#This Row],[SC Book Price]]))</f>
        <v>0</v>
      </c>
      <c r="ER87" s="382" t="b">
        <f>AND(SnapshotTable[[#This Row],[SC Is Booked]], NOT(ISBLANK(SnapshotTable[[#This Row],[SC Fill Date]])))</f>
        <v>0</v>
      </c>
      <c r="ES87" s="340"/>
      <c r="ET87" s="34" t="str">
        <f>IF(AND(ISNUMBER(SnapshotTable[[#This Row],[SC Exp Date]]), ISNUMBER(SnapshotTable[[#This Row],[SC Book Date]])), SnapshotTable[[#This Row],[SC Exp Date]] - MAX(SnapshotTable[[#This Row],[SC Book Date]], SnapshotTable[[#This Row],[SC Fill Date]]) + 1, "")</f>
        <v/>
      </c>
      <c r="EU87" s="34" t="str">
        <f>IF(ISNUMBER(SnapshotTable[[#This Row],[SC Term]]), SnapshotTable[[#This Row],[SC Exp Date]]- MockToday, "")</f>
        <v/>
      </c>
      <c r="EV87" s="31">
        <f>IF(SnapshotTable[[#This Row],[SC Is Booked]], SnapshotTable[[#This Row],[SC Qty]] * SnapshotTable[[#This Row],[SC Book Price]] * 100, 0)</f>
        <v>0</v>
      </c>
      <c r="EW87" s="4" t="str">
        <f>IF(AND(ISNUMBER(SnapshotTable[[#This Row],[Last Price]]), ISNUMBER( SnapshotTable[[#This Row],[SC Book Price]])), SnapshotTable[[#This Row],[Last Price]] - SnapshotTable[[#This Row],[SC Book Price]],"")</f>
        <v/>
      </c>
      <c r="EX87" s="219" t="str">
        <f>IF(SnapshotTable[[#This Row],[SC Is Booked]],IF(SnapshotTable[[#This Row],[SC Intrinsic Value]] &gt; 0, SnapshotTable[[#This Row],[SC Strike Price]], SnapshotTable[[#This Row],[Last Price]]), "")</f>
        <v/>
      </c>
      <c r="EY87" s="4">
        <f>IF(SnapshotTable[[#This Row],[SC Is Booked]], (MinimumPremiumRequired * SnapshotTable[[#This Row],[SC Basis]] * SnapshotTable[[#This Row],[SC Term]]), 0)</f>
        <v>0</v>
      </c>
      <c r="EZ87" s="268"/>
      <c r="FA87" s="204"/>
      <c r="FB87" s="340"/>
      <c r="FC87" s="4">
        <f>IF(SnapshotTable[[#This Row],[SC Is Filled]], btc_max_buyback_amount(SnapshotTable[[#This Row],[SC Fill Date]],SnapshotTable[[#This Row],[SC Exp Date]], SnapshotTable[[#This Row],[SC Book Price]]),0)</f>
        <v>0</v>
      </c>
      <c r="FD87" s="5"/>
      <c r="FE87" s="142" t="str">
        <f>IF(SnapshotTable[[#This Row],[SC Is Filled]], btc_next_cutoff_date(SnapshotTable[[#This Row],[SC Fill Date]],SnapshotTable[[#This Row],[SC Exp Date]]),"")</f>
        <v/>
      </c>
      <c r="FF87" s="4" t="str" cm="1">
        <f t="array" ref="FF87">IF(SnapshotTable[[#This Row],[SC Is Filled]], btc_should_buy_back(SnapshotTable[[#This Row],[SC Fill Date]], SnapshotTable[[#This Row],[SC Exp Date]], SnapshotTable[[#This Row],[SC Book Price]], SnapshotTable[[#This Row],[SC Current Ask]], MockToday, SnapshotTable[[#This Row],[SC Buyback Override]]),"")</f>
        <v/>
      </c>
      <c r="FG87" s="4">
        <f>IF(SnapshotTable[[#This Row],[SC Is Filled]], MAX(0,SnapshotTable[[#This Row],[Last Price]]  - SnapshotTable[[#This Row],[SC Strike Price]]), 0)</f>
        <v>0</v>
      </c>
      <c r="FH87" s="352">
        <f>IF(SnapshotTable[[#This Row],[SC Is Filled]], IF(ISNUMBER(SnapshotTable[[#This Row],[SC Current Ask]]), SnapshotTable[[#This Row],[SC Current Ask]], SnapshotTable[[#This Row],[SC Book Price]]) - SnapshotTable[[#This Row],[SC Intrinsic Value]], 0)</f>
        <v>0</v>
      </c>
      <c r="FI87" s="141"/>
      <c r="FJ87" s="32" t="str">
        <f>IF(SnapshotTable[[#This Row],[SC Is Filled]],100 * SnapshotTable[[#This Row],[SC Qty]] * IF(ISNUMBER(SnapshotTable[[#This Row],[SC Buyback Override]]), SnapshotTable[[#This Row],[SC Buyback Override]], SnapshotTable[[#This Row],[SC Current Ask]]), "")</f>
        <v/>
      </c>
      <c r="FK87" s="235" t="str">
        <f>IF(SnapshotTable[[#This Row],[SC Time Val]]&gt;0, SnapshotTable[[#This Row],[SC Time Val]] / SnapshotTable[[#This Row],[Last Price]],"")</f>
        <v/>
      </c>
      <c r="FL87" s="280" t="str">
        <f>IF(SnapshotTable[[#This Row],[SC Is Booked]], ((SnapshotTable[[#This Row],[Last Price]] -SnapshotTable[[#This Row],[SC Strike Price]]) / SnapshotTable[[#This Row],[Last Price]]) * -1, "")</f>
        <v/>
      </c>
      <c r="FM87" s="155" t="str">
        <f>IF(SnapshotTable[[#This Row],[SC Is Booked]],  (SnapshotTable[[#This Row],[SC Qty]] * 100 * SnapshotTable[[#This Row],[SC Strike Price]]) - SnapshotTable[[#This Row],[SC Current Ask]], "")</f>
        <v/>
      </c>
      <c r="FN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7" s="31" t="str">
        <f>IF(AND(ISNUMBER(SnapshotTable[[#This Row],[SC Exercise Gross]]), ISNUMBER(SnapshotTable[[#This Row],[Equity Basis Per Share]] )), SnapshotTable[[#This Row],[SC Exercise Gross]] - SnapshotTable[[#This Row],[Equity Basis Total]] +  SnapshotTable[[#This Row],[SC Premium]], "")</f>
        <v/>
      </c>
      <c r="FP87" s="5" t="str">
        <f>IF(ISNUMBER(SnapshotTable[[#This Row],[SC Exercise Gross]]), (SnapshotTable[[#This Row],[SC Exercise Gross]]) / (SnapshotTable[[#This Row],[SC Qty]] * 100), "")</f>
        <v/>
      </c>
      <c r="FQ87" s="27" t="str">
        <f>IF(SnapshotTable[[#This Row],[SC Is Booked]],SnapshotTable[[#This Row],[SC Time Val]] /SnapshotTable[[#This Row],[SC Basis]], "")</f>
        <v/>
      </c>
      <c r="FR87" s="27" t="str" cm="1">
        <f t="array" ref="FR87">IF(AND(ISNUMBER(SnapshotTable[[#This Row],[SC Term]]),ISNUMBER(SnapshotTable[[#This Row],[SC Simple ROO]])), EllmanAnnualize(SnapshotTable[[#This Row],[SC DTE]], SnapshotTable[[#This Row],[SC Simple ROO]] ),"")</f>
        <v/>
      </c>
      <c r="FS87" s="4">
        <f>IF(SnapshotTable[[#This Row],[SC Strike Price]] &gt; SnapshotTable[[#This Row],[Last Price]], SnapshotTable[[#This Row],[SC Strike Price]] - SnapshotTable[[#This Row],[Last Price]],0)</f>
        <v>0</v>
      </c>
      <c r="FT87" s="27" t="str">
        <f>IF(AND(ISNUMBER(SnapshotTable[[#This Row],[SC Upside Potential]]), SnapshotTable[[#This Row],[SC Upside Potential]] &gt; 0),(SnapshotTable[[#This Row],[SC Upside Potential]]/ SnapshotTable[[#This Row],[ACB]]),"")</f>
        <v/>
      </c>
      <c r="FU87" s="304" t="str">
        <f>IF(SnapshotTable[[#This Row],[SC Intrinsic Value]] &gt; 0,SnapshotTable[[#This Row],[SC Intrinsic Value]],"")</f>
        <v/>
      </c>
      <c r="FV87" s="27" t="str">
        <f>IF(AND( ISNUMBER( SnapshotTable[[#This Row],[ACB]]),ISNUMBER(SnapshotTable[[#This Row],[SC Downside Protect]])),SnapshotTable[[#This Row],[SC Downside Protect]] / SnapshotTable[[#This Row],[ACB]],"")</f>
        <v/>
      </c>
      <c r="FW87" s="221" t="str">
        <f>IF(AND(ISNUMBER(SnapshotTable[[#This Row],[SC Simple ROO]]),SnapshotTable[[#This Row],[SC Simple ROO]] &gt; 0), SnapshotTable[[#This Row],[SC Premium]] + (SnapshotTable[[#This Row],[SC Qty]] * SnapshotTable[[#This Row],[SC Upside Potential]]), "")</f>
        <v/>
      </c>
      <c r="FX87" s="280" t="str" cm="1">
        <f t="array" ref="FX87">IF(ISNUMBER(SnapshotTable[[#This Row],[SC Max Dollars]]), annualize(SnapshotTable[[#This Row],[SC Term]],(SnapshotTable[[#This Row],[SC Max Dollars]]/SnapshotTable[[#This Row],[SC Basis]])),"")</f>
        <v/>
      </c>
      <c r="FY87" s="221" t="str">
        <f>IF(AND(SnapshotTable[[#This Row],[SC Qty]]&gt;0,SnapshotTable[[#This Row],[SC Current Ask]]&gt;0), SnapshotTable[[#This Row],[SC Qty]] * SnapshotTable[[#This Row],[SC Current Ask]] * -100, "")</f>
        <v/>
      </c>
      <c r="FZ87" s="31" t="str">
        <f>IF(ISNUMBER((SnapshotTable[[#This Row],[SC Current Value]])), SnapshotTable[[#This Row],[SC Premium]] + SnapshotTable[[#This Row],[SC Current Value]], "")</f>
        <v/>
      </c>
      <c r="GA87" s="272" t="str">
        <f>IFERROR( IF(ISNUMBER((SnapshotTable[[#This Row],[SC Current Value]])), SnapshotTable[[#This Row],[SC Gain Loss]] / SnapshotTable[[#This Row],[SC Premium]], ""), "")</f>
        <v/>
      </c>
      <c r="GB87" s="42">
        <f>SnapshotTable[[#This Row],[Equity Shares]] * SaleSharesToConsiderPercentage</f>
        <v>0</v>
      </c>
      <c r="GC87" s="40">
        <f>SnapshotTable[[#This Row],[Long Term Target]] * SellingPriceToConsiderBasedOnTargetPercentage</f>
        <v>0</v>
      </c>
      <c r="GD87" s="40">
        <f>SnapshotTable[[#This Row],[Last Price]] * (1+ SellingPriceToConsiderBasedOnTargetPercentage)</f>
        <v>29.8935</v>
      </c>
      <c r="GE87" s="41"/>
      <c r="GF87" s="40"/>
      <c r="GG87" s="31">
        <f>SnapshotTable[[#This Row],[Booked Sale Shares]] * SnapshotTable[[#This Row],[Booked Sale Price]]</f>
        <v>0</v>
      </c>
      <c r="GH87" s="31" t="str">
        <f>IF(SnapshotTable[[#This Row],[Equity Basis Total]] &gt; 0, SnapshotTable[[#This Row],[Equity Basis Per Share]] * SnapshotTable[[#This Row],[Booked Sale Shares]], "")</f>
        <v/>
      </c>
      <c r="GI87" s="31">
        <f>IF(SnapshotTable[[#This Row],[Sale Proceeds]]&gt;0, SnapshotTable[[#This Row],[Sale Proceeds]] - SnapshotTable[[#This Row],[Sale Basis]], 0)</f>
        <v>0</v>
      </c>
      <c r="GJ87" s="27" t="str">
        <f>IF(SnapshotTable[[#This Row],[Sale G/L]]&gt;0, SnapshotTable[[#This Row],[Sale G/L]] / SnapshotTable[[#This Row],[Sale Basis]], IF(ISNUMBER(SnapshotTable[[#This Row],[SC Exercise P&amp;L (TAX)]]), SnapshotTable[[#This Row],[SC Exercise P&amp;L (TAX)]] / SnapshotTable[[#This Row],[SC Basis]], ""))</f>
        <v/>
      </c>
      <c r="GK87" s="27"/>
      <c r="GL87" s="43" t="str">
        <f>IF(AND(SnapshotTable[[#This Row],[LP Exp Date]]&gt;0,SnapshotTable[[#This Row],[LP Strike Price]]&gt;0), [1]!ToOptionSymbol(SnapshotTable[[#This Row],[Symbol]], SnapshotTable[[#This Row],[LP Strike Price]],SnapshotTable[[#This Row],[LP Exp Date]],1), "")</f>
        <v/>
      </c>
      <c r="GM87" s="30" t="str">
        <f>IF(LEN(SnapshotTable[[#This Row],[LP Symbol]])&gt;0, 1, "")</f>
        <v/>
      </c>
      <c r="GN87" s="43" t="str">
        <f>IF(AND(SnapshotTable[[#This Row],[SP Exp Date]]&gt;0,SnapshotTable[[#This Row],[SP Strike Price]]&gt;0), [1]!ToOptionSymbol(SnapshotTable[[#This Row],[Symbol]], SnapshotTable[[#This Row],[SP Strike Price]],SnapshotTable[[#This Row],[SP Exp Date]],1), "")</f>
        <v/>
      </c>
      <c r="GO87" s="30" t="str">
        <f>IF(LEN(SnapshotTable[[#This Row],[SP Symbol]])&gt;0, 1, "")</f>
        <v/>
      </c>
      <c r="GP87" s="43" t="str">
        <f>IF(AND(SnapshotTable[[#This Row],[LC Exp Date]]&gt;0,SnapshotTable[[#This Row],[LC Strike Price]]&gt;0), [1]!ToOptionSymbol(SnapshotTable[[#This Row],[Symbol]], SnapshotTable[[#This Row],[LC Strike Price]],SnapshotTable[[#This Row],[LC Exp Date]],0), "")</f>
        <v/>
      </c>
      <c r="GQ87" s="30" t="str">
        <f>IF(LEN(SnapshotTable[[#This Row],[LC Symbol]])&gt;0, 1, "")</f>
        <v/>
      </c>
      <c r="GR87" s="43" t="str">
        <f>IF(AND(SnapshotTable[[#This Row],[SC Exp Date]]&gt;0,SnapshotTable[[#This Row],[SC Strike Price]]&gt;0), [1]!ToOptionSymbol(SnapshotTable[[#This Row],[Symbol]], SnapshotTable[[#This Row],[SC Strike Price]],SnapshotTable[[#This Row],[SC Exp Date]],0), "")</f>
        <v/>
      </c>
      <c r="GS87" s="30" t="str">
        <f>IF(LEN(SnapshotTable[[#This Row],[SC Symbol]])&gt;0, 1, "")</f>
        <v/>
      </c>
      <c r="GT87" s="29" t="str">
        <f>IF(COUNT(SnapshotTable[[#This Row],[LP Symbol Count]],SnapshotTable[[#This Row],[SP Symbol Count]],SnapshotTable[[#This Row],[LC Symbol Count]],SnapshotTable[[#This Row],[SC Symbol Count]])&gt;0, "Y", "")</f>
        <v/>
      </c>
      <c r="GU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7" s="216">
        <f>MAX(SnapshotTable[[#This Row],[Equity Basis Total]],SnapshotTable[[#This Row],[Equity Value]]) + (SnapshotTable[[#This Row],[SP Potential Spend]]- SnapshotTable[[#This Row],[SP Premium]] + SnapshotTable[[#This Row],[LP Premium]])+ (SnapshotTable[[#This Row],[LC Premium]] - SnapshotTable[[#This Row],[SC Premium]])</f>
        <v>0</v>
      </c>
      <c r="GW87" s="137" t="str">
        <f>IF(AND(SnapshotTable[[#This Row],[Exposure]] &lt;&gt; 0),SnapshotTable[[#This Row],[Exposure]] / SnapshotTable[[#Totals],[Exposure]], "")</f>
        <v/>
      </c>
      <c r="GY87" s="351"/>
      <c r="HE87" s="253"/>
      <c r="HF87" s="253"/>
      <c r="HG87" s="351"/>
      <c r="HH87" s="351"/>
      <c r="HI87" s="351"/>
      <c r="HJ87" s="351"/>
    </row>
    <row r="88" spans="2:224" s="45" customFormat="1" ht="12.75" hidden="1" customHeight="1" x14ac:dyDescent="0.25">
      <c r="B88" s="12" t="s">
        <v>463</v>
      </c>
      <c r="C88" s="385">
        <v>95.76</v>
      </c>
      <c r="D88" s="200" t="s">
        <v>473</v>
      </c>
      <c r="E88" s="39">
        <f>SnapshotTable[[#This Row],[Last Price]]*(1 -CrashDiscount)</f>
        <v>81.396000000000001</v>
      </c>
      <c r="F88" s="26" t="s">
        <v>97</v>
      </c>
      <c r="G88" s="26" t="s">
        <v>12</v>
      </c>
      <c r="H88" s="147"/>
      <c r="I88" s="186">
        <v>44774.673611111109</v>
      </c>
      <c r="J88" s="187">
        <v>44774.673611111109</v>
      </c>
      <c r="K88" s="188"/>
      <c r="L88" s="297"/>
      <c r="M88" s="138">
        <v>2</v>
      </c>
      <c r="N88" s="138"/>
      <c r="O88" s="138"/>
      <c r="P88" s="22"/>
      <c r="Q88" s="25"/>
      <c r="R88" s="4" t="str">
        <f>IF(SnapshotTable[[#This Row],[Equity Basis Total]] &gt; 0, SnapshotTable[[#This Row],[Equity Basis Total]] / SnapshotTable[[#This Row],[Equity Shares]], "")</f>
        <v/>
      </c>
      <c r="S88" s="254">
        <f>SnapshotTable[[#This Row],[Last Price]] * SnapshotTable[[#This Row],[Equity Shares]]</f>
        <v>0</v>
      </c>
      <c r="T88" s="254">
        <f>SnapshotTable[[#This Row],[Equity Value]] - SnapshotTable[[#This Row],[Equity Basis Total]]</f>
        <v>0</v>
      </c>
      <c r="U88" s="255" t="str">
        <f>IF(SnapshotTable[[#This Row],[Equity Basis Total]] &gt; 0, SnapshotTable[[#This Row],[Equity G/L]] / SnapshotTable[[#This Row],[Equity Basis Total]], "")</f>
        <v/>
      </c>
      <c r="V88" s="253"/>
      <c r="W88" s="253"/>
      <c r="X88" s="4" t="str">
        <f>IF(AND(ISNUMBER(SnapshotTable[[#This Row],[Equity Basis Per Share]]),ISNUMBER(SnapshotTable[[#This Row],[Equity Target]])),SnapshotTable[[#This Row],[Equity Target]]-SnapshotTable[[#This Row],[Equity Basis Per Share]],"")</f>
        <v/>
      </c>
      <c r="Y88" s="4" t="str">
        <f>IF(AND(ISNUMBER(SnapshotTable[[#This Row],[Equity Basis Per Share]]),ISNUMBER(SnapshotTable[[#This Row],[Equity Stop Loss]])),SnapshotTable[[#This Row],[Equity Stop Loss]]-SnapshotTable[[#This Row],[Equity Basis Per Share]],"")</f>
        <v/>
      </c>
      <c r="Z88" s="260" t="str">
        <f>IFERROR( TEXT(SnapshotTable[[#This Row],[Equity Max Gain Per Share]] /ABS( SnapshotTable[[#This Row],[Equity Max Loss Per Share]]),"0.0 " ) &amp; " : 1", "")</f>
        <v/>
      </c>
      <c r="AA88" s="31" t="str">
        <f>IF(ISNUMBER(SnapshotTable[[#This Row],[Equity Max Gain Per Share]]),SnapshotTable[[#This Row],[Equity Max Gain Per Share]] * SnapshotTable[[#This Row],[Equity Shares]],"")</f>
        <v/>
      </c>
      <c r="AB88" s="31" t="str">
        <f>IF(ISNUMBER(SnapshotTable[[#This Row],[Equity Max Loss Per Share]]),SnapshotTable[[#This Row],[Equity Max Loss Per Share]] * SnapshotTable[[#This Row],[Equity Shares]],"")</f>
        <v/>
      </c>
      <c r="AC88" s="148"/>
      <c r="AD88" s="149"/>
      <c r="AE88" s="31">
        <f>(SnapshotTable[[#This Row],[Annual Dividend Per Share]] / 4) * SnapshotTable[[#This Row],[Equity Shares]]</f>
        <v>0</v>
      </c>
      <c r="AF88" s="31">
        <f>SnapshotTable[[#This Row],[Quarterly Div $]] * 4</f>
        <v>0</v>
      </c>
      <c r="AG88" s="7">
        <f>IF(SnapshotTable[[#This Row],[Annual Dividend Per Share]]&gt;0, SnapshotTable[[#This Row],[Annual Dividend Per Share]]  / SnapshotTable[[#This Row],[Last Price]], 0)</f>
        <v>0</v>
      </c>
      <c r="AH88" s="149"/>
      <c r="AI88" s="5">
        <v>225</v>
      </c>
      <c r="AJ88" s="136">
        <v>213.71</v>
      </c>
      <c r="AK88" s="150">
        <f>IF(ISNUMBER( SnapshotTable[[#This Row],[EBF Target]]),(SnapshotTable[[#This Row],[EBF Target]] - SnapshotTable[[#This Row],[Last Price]]) / SnapshotTable[[#This Row],[Last Price]], "")</f>
        <v>1.3496240601503759</v>
      </c>
      <c r="AL88" s="150" t="str">
        <f>IF(AND(SnapshotTable[[#This Row],[Equity Basis Total]] &gt; 0,ISNUMBER( SnapshotTable[[#This Row],[Long Term Target]])), SnapshotTable[[#This Row],[From Basis $]] / SnapshotTable[[#This Row],[Equity Basis Total]], "")</f>
        <v/>
      </c>
      <c r="AM88" s="9">
        <f>IF( AND(SnapshotTable[[#This Row],[Equity Shares]] &gt;0,ISNUMBER( SnapshotTable[[#This Row],[Long Term Target]])),(SnapshotTable[[#This Row],[Equity Shares]] * SnapshotTable[[#This Row],[Long Term Target]]) - SnapshotTable[[#This Row],[Equity Basis Total]],0)</f>
        <v>0</v>
      </c>
      <c r="AN88" s="9">
        <f>IF( AND(SnapshotTable[[#This Row],[Equity Shares]] &gt;0,ISNUMBER( SnapshotTable[[#This Row],[Long Term Target]])),(SnapshotTable[[#This Row],[Equity Shares]]*SnapshotTable[[#This Row],[Long Term Target]]) - SnapshotTable[[#This Row],[Equity Value]],0)</f>
        <v>0</v>
      </c>
      <c r="AO88" s="150">
        <f>IF(AND(ISNUMBER( SnapshotTable[[#This Row],[Long Term Target]]), ISNUMBER(SnapshotTable[[#This Row],[Last Price]])),(SnapshotTable[[#This Row],[Long Term Target]] - SnapshotTable[[#This Row],[Last Price]]) / SnapshotTable[[#This Row],[Last Price]], "")</f>
        <v>1.2317251461988303</v>
      </c>
      <c r="AP88" s="5">
        <v>192.5</v>
      </c>
      <c r="AQ88" s="38" t="s">
        <v>16</v>
      </c>
      <c r="AR88" s="5">
        <v>192.5</v>
      </c>
      <c r="AS88" s="38" t="s">
        <v>22</v>
      </c>
      <c r="AT88" s="144" t="s">
        <v>442</v>
      </c>
      <c r="AU88" s="185" t="str">
        <f>IF(OR(SnapshotTable[[#This Row],[LP No Fill]]="Y",SnapshotTable[[#This Row],[SP Is Filled]],SnapshotTable[[#This Row],[LC Not Filled]]="Y",SnapshotTable[[#This Row],[SC Is Filled]]),"Y","")</f>
        <v/>
      </c>
      <c r="AV88" s="205"/>
      <c r="AW88" s="211"/>
      <c r="AX88" s="206"/>
      <c r="AY88" s="205" t="str">
        <f>IF(SnapshotTable[[#This Row],[Implied Move]]&gt;0, SnapshotTable[[#This Row],[Last Price]]-SnapshotTable[[#This Row],[Implied Move]],"")</f>
        <v/>
      </c>
      <c r="AZ88" s="205" t="str">
        <f>IF(SnapshotTable[[#This Row],[Implied Move]]&gt;0, SnapshotTable[[#This Row],[Last Price]] + SnapshotTable[[#This Row],[Implied Move]],"")</f>
        <v/>
      </c>
      <c r="BA88" s="302">
        <v>197.32</v>
      </c>
      <c r="BB88" s="318"/>
      <c r="BC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8" s="321"/>
      <c r="BE88" s="172"/>
      <c r="BF88" s="173"/>
      <c r="BG88" s="174"/>
      <c r="BH88" s="174"/>
      <c r="BI88" s="5"/>
      <c r="BJ88" s="151">
        <f>IF(SnapshotTable[[#This Row],[LP Qty]] &gt; 0, SnapshotTable[[#This Row],[LP Qty]] * SnapshotTable[[#This Row],[LP Book Price]] * 100,0)</f>
        <v>0</v>
      </c>
      <c r="BK88" s="134">
        <f>IF(SnapshotTable[[#This Row],[LP Premium]] &gt; 0, SnapshotTable[[#This Row],[LP Qty]] * SnapshotTable[[#This Row],[LP Strike Price]] * 100,0)</f>
        <v>0</v>
      </c>
      <c r="BL88" s="152"/>
      <c r="BM88" s="355" t="str">
        <f>IF(SnapshotTable[[#This Row],[LP Premium]] &gt; 0,SnapshotTable[[#This Row],[LP Exp Date]]-MAX(SnapshotTable[[#This Row],[LP Book Date]], SnapshotTable[[#This Row],[LP Fill Date]]),"")</f>
        <v/>
      </c>
      <c r="BN88" s="355" t="str">
        <f>IF(ISNUMBER( SnapshotTable[[#This Row],[LP Term]]), SnapshotTable[[#This Row],[LP Exp Date]] - MockToday,"")</f>
        <v/>
      </c>
      <c r="BO88" s="161" t="str">
        <f>IF(AND(SnapshotTable[[#This Row],[LP Exp Date]]&gt;0, SnapshotTable[[#This Row],[LP Strike Price]]&gt;0,SnapshotTable[[#This Row],[LP Qty]]&gt;0,SnapshotTable[[#This Row],[LP Book Date]]&gt;0,SnapshotTable[[#This Row],[LP Book Price]]&gt;0,SnapshotTable[[#This Row],[LP Fill Date]]=0),"Y","")</f>
        <v/>
      </c>
      <c r="BP88" s="31" t="str">
        <f>IF(AND(SnapshotTable[[#This Row],[LP No Fill]]&lt;&gt;"Y",SnapshotTable[[#This Row],[LP Contract Value]]&gt;0, SnapshotTable[[#This Row],[LP Qty]]&gt;0), SnapshotTable[[#This Row],[LP Contract Value]]*SnapshotTable[[#This Row],[LP Qty]]*100,"")</f>
        <v/>
      </c>
      <c r="BQ88" s="13"/>
      <c r="BR88" s="5"/>
      <c r="BS88" s="36"/>
      <c r="BT88" s="145"/>
      <c r="BU88" s="13"/>
      <c r="BV88" s="5"/>
      <c r="BW88" s="382" t="b">
        <f>AND(ISNUMBER(SnapshotTable[[#This Row],[SP Exp Date]]), ISNUMBER(SnapshotTable[[#This Row],[SP Strike Price]]), ISNUMBER(SnapshotTable[[#This Row],[SP Qty]]), ISNUMBER(SnapshotTable[[#This Row],[SP Book Date]]), ISNUMBER(SnapshotTable[[#This Row],[SP Book Price]]))</f>
        <v>0</v>
      </c>
      <c r="BX88" s="382" t="b">
        <f>AND(SnapshotTable[[#This Row],[SP Is Booked]], NOT(ISBLANK(SnapshotTable[[#This Row],[SP Fill Date]])))</f>
        <v>0</v>
      </c>
      <c r="BY88" s="33">
        <f>IF(SnapshotTable[[#This Row],[SP Is Booked]], SnapshotTable[[#This Row],[SP Qty]] * SnapshotTable[[#This Row],[SP Book Price]] * 100, 0)</f>
        <v>0</v>
      </c>
      <c r="BZ88" s="339"/>
      <c r="CA88" s="338">
        <f>SnapshotTable[[#This Row],[LP Qty]]</f>
        <v>0</v>
      </c>
      <c r="CB88" s="4" t="str">
        <f>IF(SnapshotTable[[#This Row],[SP Is Booked]], SnapshotTable[[#This Row],[SP Strike Price]] - SnapshotTable[[#This Row],[SP Book Price]], "")</f>
        <v/>
      </c>
      <c r="CC88" s="19" t="str">
        <f>IF(SnapshotTable[[#This Row],[SP Is Booked]],SnapshotTable[[#This Row],[SP Exp Date]]-MAX(SnapshotTable[[#This Row],[SP Book Date]], SnapshotTable[[#This Row],[SP Fill Date]]),"")</f>
        <v/>
      </c>
      <c r="CD88" s="7" t="str">
        <f>IF(SnapshotTable[[#This Row],[SP Is Booked]], SnapshotTable[[#This Row],[SP Book Price]]/SnapshotTable[[#This Row],[SP Strike Price]], "")</f>
        <v/>
      </c>
      <c r="CE88" s="7" t="str">
        <f>IF(ISNUMBER(SnapshotTable[[#This Row],[SP ROO Term]]),SnapshotTable[[#This Row],[SP ROO Term]]*(365/SnapshotTable[[#This Row],[SP Term]]),"")</f>
        <v/>
      </c>
      <c r="CF88" s="221">
        <f>SnapshotTable[[#This Row],[LP Strike Price]] * SnapshotTable[[#This Row],[LP Qty]] * 100</f>
        <v>0</v>
      </c>
      <c r="CG88" s="31">
        <f>IF(ISNUMBER(SnapshotTable[[#This Row],[SP Premium]]), (SnapshotTable[[#This Row],[SP Qty]] * SnapshotTable[[#This Row],[SP Strike Price]]* 100) - SnapshotTable[[#This Row],[LP Protection]], 0)</f>
        <v>0</v>
      </c>
      <c r="CH88" s="7" t="str">
        <f>IF(ISNUMBER(SnapshotTable[[#This Row],[SP Break Even]]),-1 * (SnapshotTable[[#This Row],[SP Break Even]] - SnapshotTable[[#This Row],[Last Price]]) / SnapshotTable[[#This Row],[Last Price]], "")</f>
        <v/>
      </c>
      <c r="CI88" s="31">
        <f>IF(AND(ISNUMBER((SnapshotTable[[#This Row],[SP Potential Spend]])), SnapshotTable[[#This Row],[SP Strike Price]] &gt; SnapshotTable[[#This Row],[Last Price]], SnapshotTable[[#This Row],[SP Is Filled]]), SnapshotTable[[#This Row],[SP Potential Spend]] -  SnapshotTable[[#This Row],[LP Max Value]], 0)</f>
        <v>0</v>
      </c>
      <c r="CJ88" s="229"/>
      <c r="CK88" s="31">
        <f>IF(ISNUMBER(SnapshotTable[[#This Row],[SP Potential Spend]]),IF(ISNUMBER(SnapshotTable[[#This Row],[SP POW]]), SnapshotTable[[#This Row],[SP POW]] * SnapshotTable[[#This Row],[SP Potential Spend]], SnapshotTable[[#This Row],[SP Potential Spend]]), "")</f>
        <v>0</v>
      </c>
      <c r="CL88" s="162">
        <f>IF(NOT(SnapshotTable[[#This Row],[SP Is Filled]]),(SnapshotTable[[#This Row],[SP Qty]] * SnapshotTable[[#This Row],[SP Strike Price]] * 100) - SnapshotTable[[#This Row],[LP Max Value]],"")</f>
        <v>0</v>
      </c>
      <c r="CM88" s="31" t="str">
        <f>IF(SnapshotTable[[#This Row],[SP Actual Spend]]&lt;&gt;0, ((SnapshotTable[[#This Row],[SP Strike Price]]-SnapshotTable[[#This Row],[Last Price]]) *(SnapshotTable[[#This Row],[SP Qty]]*100) - SnapshotTable[[#This Row],[SP Premium]]) * - 1, "")</f>
        <v/>
      </c>
      <c r="CN88" s="152"/>
      <c r="CO88" s="339"/>
      <c r="CP88" s="4" t="str">
        <f>IF(SnapshotTable[[#This Row],[SP Is Filled]], btc_max_buyback_amount(SnapshotTable[[#This Row],[SP Fill Date]],SnapshotTable[[#This Row],[SP Exp Date]], SnapshotTable[[#This Row],[SP Book Price]]),"")</f>
        <v/>
      </c>
      <c r="CQ88" s="76">
        <v>0.55000000000000004</v>
      </c>
      <c r="CR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8" s="153" t="str">
        <f>IF(SnapshotTable[[#This Row],[SP Is Filled]], btc_next_cutoff_date(SnapshotTable[[#This Row],[SP Fill Date]],SnapshotTable[[#This Row],[SP Exp Date]]),"")</f>
        <v/>
      </c>
      <c r="CT88" s="220" t="str" cm="1">
        <f t="array" ref="CT88">IF(SnapshotTable[[#This Row],[SP Is Filled]], btc_should_buy_back(SnapshotTable[[#This Row],[SP Fill Date]], SnapshotTable[[#This Row],[SP Exp Date]], SnapshotTable[[#This Row],[SP Book Price]], SnapshotTable[[#This Row],[SP Current Ask]], MockToday, SnapshotTable[[#This Row],[SP Buyback Override]]),"")</f>
        <v/>
      </c>
      <c r="CU88" s="154">
        <v>44211</v>
      </c>
      <c r="CV88" s="220"/>
      <c r="CW88" s="348" t="str">
        <f>IF(ISNUMBER( SnapshotTable[[#This Row],[SP Term]]), SnapshotTable[[#This Row],[SP Exp Date]] - MockToday,"")</f>
        <v/>
      </c>
      <c r="CX88" s="31" t="str">
        <f>IF(SnapshotTable[[#This Row],[SP Is Filled]],SnapshotTable[[#This Row],[SP Buyback Price to Use]] * 100 * SnapshotTable[[#This Row],[SP Qty]], "")</f>
        <v/>
      </c>
      <c r="CY88" s="4" t="str">
        <f>IF(ISNUMBER(SnapshotTable[[#This Row],[SP Strike Price]]), SnapshotTable[[#This Row],[SP Strike Price]] * (1 - SP_MaxLoss_StrikePct), "")</f>
        <v/>
      </c>
      <c r="CZ88" s="31" t="str">
        <f>IF(ISNUMBER(SnapshotTable[[#This Row],[SP Strike  Stop Per Share]]),SnapshotTable[[#This Row],[SP Premium]] - ((SnapshotTable[[#This Row],[SP Strike Price]]-SnapshotTable[[#This Row],[SP Strike  Stop Per Share]]) *(SnapshotTable[[#This Row],[SP Qty]] * 100)),"")</f>
        <v/>
      </c>
      <c r="DA88" s="4" t="str">
        <f>IF(AND(ISNUMBER(SnapshotTable[[#This Row],[SP Premium]]),SnapshotTable[[#This Row],[SP Premium]]&gt;0), SnapshotTable[[#This Row],[SP Book Price]] * (1 + SP_MaxLoss_OptionPct), "")</f>
        <v/>
      </c>
      <c r="DB88" s="31" t="str">
        <f>IF(ISNUMBER(SnapshotTable[[#This Row],[SP Option  Stop Contract]]),(SnapshotTable[[#This Row],[SP Option  Stop Contract]] *(SnapshotTable[[#This Row],[SP Qty]] * 100) - SnapshotTable[[#This Row],[SP Premium]]),"")</f>
        <v/>
      </c>
      <c r="DC88" s="4"/>
      <c r="DD88" s="4"/>
      <c r="DE88" s="4" t="str">
        <f>IF(AND(SnapshotTable[[#This Row],[SP Qty]]&gt;0, SnapshotTable[[#This Row],[SP Stop To Use]]&gt;0),SnapshotTable[[#This Row],[SP Premium]] - ( SnapshotTable[[#This Row],[SP Qty]] * SnapshotTable[[#This Row],[SP Stop To Use]] * 100), "")</f>
        <v/>
      </c>
      <c r="DF88" s="31" t="str">
        <f>IF(AND(SnapshotTable[[#This Row],[SP Qty]]&gt;0,SnapshotTable[[#This Row],[SP Current Ask]]&gt;0), SnapshotTable[[#This Row],[SP Qty]] * SnapshotTable[[#This Row],[SP Current Ask]] * -100, "")</f>
        <v/>
      </c>
      <c r="DG88" s="31" t="str">
        <f>IF(ISNUMBER((SnapshotTable[[#This Row],[SP Total Value]])), SnapshotTable[[#This Row],[SP Premium]] + SnapshotTable[[#This Row],[SP Total Value]], "")</f>
        <v/>
      </c>
      <c r="DH88" s="272" t="str">
        <f>IF(ISNUMBER((SnapshotTable[[#This Row],[SP Total Value]])), SnapshotTable[[#This Row],[SP Gain Loss]] / SnapshotTable[[#This Row],[SP Premium]], "")</f>
        <v/>
      </c>
      <c r="DI88" s="369"/>
      <c r="DJ88" s="136"/>
      <c r="DK88" s="146"/>
      <c r="DL88" s="13"/>
      <c r="DM88" s="13"/>
      <c r="DN88" s="5"/>
      <c r="DO88" s="31">
        <f>IF(SnapshotTable[[#This Row],[LC Symbol Count]]=1, SnapshotTable[[#This Row],[LC Qty]] * SnapshotTable[[#This Row],[LC Book Price]] * 100, 0)</f>
        <v>0</v>
      </c>
      <c r="DP88" s="161" t="str">
        <f>IF(AND(SnapshotTable[[#This Row],[LC Exp Date]]&gt;0, SnapshotTable[[#This Row],[LC Strike Price]]&gt;0,SnapshotTable[[#This Row],[LC Qty]]&gt;0,SnapshotTable[[#This Row],[LC Book Date]]&gt;0,SnapshotTable[[#This Row],[LC Book Price]]&gt;0,SnapshotTable[[#This Row],[LC Fill Date]]=0),"Y","")</f>
        <v/>
      </c>
      <c r="DQ88" s="356" t="str">
        <f>IF(SnapshotTable[[#This Row],[LC Premium]] &gt; 0,SnapshotTable[[#This Row],[LC Exp Date]]-MAX(SnapshotTable[[#This Row],[LC Book Date]], SnapshotTable[[#This Row],[LC Fill Date]]),"")</f>
        <v/>
      </c>
      <c r="DR88" s="356" t="str">
        <f>IF(ISNUMBER(SnapshotTable[[#This Row],[LC Term]]), SnapshotTable[[#This Row],[LC Exp Date]] - MockToday, "")</f>
        <v/>
      </c>
      <c r="DS88" s="219" t="str">
        <f>IF(SnapshotTable[[#This Row],[LC Premium]]&gt;0,SnapshotTable[[#This Row],[LC Strike Price]] + SnapshotTable[[#This Row],[LC Book Price]],"")</f>
        <v/>
      </c>
      <c r="DT88" s="5"/>
      <c r="DU88" s="9" t="str">
        <f>IF(AND(SnapshotTable[[#This Row],[LC Symbol Count]]&gt;0, SnapshotTable[[#This Row],[LC Contract Value]]&gt;0), SnapshotTable[[#This Row],[LC Contract Value]] * SnapshotTable[[#This Row],[LC Qty]] * 100, "")</f>
        <v/>
      </c>
      <c r="DV88" s="9" t="str">
        <f>IF(AND(ISNUMBER(SnapshotTable[[#This Row],[LC Total Value]]), SnapshotTable[[#This Row],[LC Not Filled]]&lt;&gt;"Y"), SnapshotTable[[#This Row],[LC Total Value]]-SnapshotTable[[#This Row],[LC Premium]],"")</f>
        <v/>
      </c>
      <c r="DW88" s="225" t="str">
        <f>IF(ISNUMBER(SnapshotTable[[#This Row],[LC Actual Gain Loss]]), SnapshotTable[[#This Row],[LC Actual Gain Loss]] / SnapshotTable[[#This Row],[LC Premium]],"")</f>
        <v/>
      </c>
      <c r="DX88" s="269" t="str">
        <f>IF(ISNUMBER(SnapshotTable[[#This Row],[LC Book Price]]),SnapshotTable[[#This Row],[LC Book Price]] * 1.5,"")</f>
        <v/>
      </c>
      <c r="DY88" s="250" t="str">
        <f>IF(SnapshotTable[[#This Row],[LC Premium]]&gt;0, SnapshotTable[[#This Row],[LC Next Target]] * SnapshotTable[[#This Row],[LC Qty]] * 100,"")</f>
        <v/>
      </c>
      <c r="DZ88" s="250" t="str">
        <f>IF(ISNUMBER(SnapshotTable[[#This Row],[LC Target Gross]]), SnapshotTable[[#This Row],[LC Target Gross]] - SnapshotTable[[#This Row],[LC Premium]], "")</f>
        <v/>
      </c>
      <c r="EA88" s="283" t="str">
        <f>IF(ISNUMBER(SnapshotTable[[#This Row],[LC Target Gain Loss]]), SnapshotTable[[#This Row],[LC Target Gain Loss]]/SnapshotTable[[#This Row],[LC Premium]], "")</f>
        <v/>
      </c>
      <c r="EB88" s="247"/>
      <c r="EC88" s="268" t="str">
        <f>IF(SnapshotTable[[#This Row],[LC Premium]]&gt;0, SnapshotTable[[#This Row],[LC Book Price]] * (1 - LC_StopLoss_Pct),"")</f>
        <v/>
      </c>
      <c r="ED88" s="269"/>
      <c r="EE88" s="268" t="str">
        <f>IF(ISNUMBER(SnapshotTable[[#This Row],[LC Contract Value]]),IF(ISNUMBER(SnapshotTable[[#This Row],[LC Stop Loss Override]]), SnapshotTable[[#This Row],[LC Stop Loss Override]],SnapshotTable[[#This Row],[LC Stop Loss Calc Target]]),"")</f>
        <v/>
      </c>
      <c r="EF88" s="31" t="str">
        <f>IF(ISNUMBER(SnapshotTable[[#This Row],[LC Stop  To Use]]), (SnapshotTable[[#This Row],[LC Stop  To Use]] * SnapshotTable[[#This Row],[LC Qty]] * 100),"")</f>
        <v/>
      </c>
      <c r="EG88" s="9" t="str">
        <f>IF(ISNUMBER(SnapshotTable[[#This Row],[LC Total Value]]),SnapshotTable[[#This Row],[LC Stop Loss Amount]] - SnapshotTable[[#This Row],[LC Premium]],"")</f>
        <v/>
      </c>
      <c r="EH88" s="9">
        <f>IF(ISNUMBER(SnapshotTable[[#This Row],[LC Premium]]), SnapshotTable[[#This Row],[LC Qty]] * 100 * SnapshotTable[[#This Row],[LC Strike Price]], "")</f>
        <v>0</v>
      </c>
      <c r="EI88" s="225" t="str">
        <f>IF(AND(ISNUMBER(SnapshotTable[[#This Row],[LC Total Value]]),SnapshotTable[[#This Row],[LC Total Value]]&gt;0),SnapshotTable[[#This Row],[LC Stop Gain Loss]]  / SnapshotTable[[#This Row],[LC Premium]],"")</f>
        <v/>
      </c>
      <c r="EJ88" s="35">
        <f>IF(ISNUMBER(SnapshotTable[[#This Row],[Equity Shares]]),TRUNC(SnapshotTable[[#This Row],[Equity Shares]] / 100),0) + SnapshotTable[[#This Row],[LC Qty]]</f>
        <v>0</v>
      </c>
      <c r="EK88" s="145"/>
      <c r="EL88" s="136"/>
      <c r="EM88" s="146"/>
      <c r="EN88" s="145"/>
      <c r="EO88" s="145"/>
      <c r="EP88" s="136"/>
      <c r="EQ88" s="382" t="b">
        <f>AND(ISNUMBER(SnapshotTable[[#This Row],[SC Exp Date]]), ISNUMBER(SnapshotTable[[#This Row],[SC Strike Price]]), ISNUMBER(SnapshotTable[[#This Row],[SC Qty]]), ISNUMBER(SnapshotTable[[#This Row],[SC Book Date]]), ISNUMBER(SnapshotTable[[#This Row],[SC Book Price]]))</f>
        <v>0</v>
      </c>
      <c r="ER88" s="382" t="b">
        <f>AND(SnapshotTable[[#This Row],[SC Is Booked]], NOT(ISBLANK(SnapshotTable[[#This Row],[SC Fill Date]])))</f>
        <v>0</v>
      </c>
      <c r="ES88" s="340"/>
      <c r="ET88" s="34" t="str">
        <f>IF(AND(ISNUMBER(SnapshotTable[[#This Row],[SC Exp Date]]), ISNUMBER(SnapshotTable[[#This Row],[SC Book Date]])), SnapshotTable[[#This Row],[SC Exp Date]] - MAX(SnapshotTable[[#This Row],[SC Book Date]], SnapshotTable[[#This Row],[SC Fill Date]]) + 1, "")</f>
        <v/>
      </c>
      <c r="EU88" s="34" t="str">
        <f>IF(ISNUMBER(SnapshotTable[[#This Row],[SC Term]]), SnapshotTable[[#This Row],[SC Exp Date]]- MockToday, "")</f>
        <v/>
      </c>
      <c r="EV88" s="31">
        <f>IF(SnapshotTable[[#This Row],[SC Is Booked]], SnapshotTable[[#This Row],[SC Qty]] * SnapshotTable[[#This Row],[SC Book Price]] * 100, 0)</f>
        <v>0</v>
      </c>
      <c r="EW88" s="4" t="str">
        <f>IF(AND(ISNUMBER(SnapshotTable[[#This Row],[Last Price]]), ISNUMBER( SnapshotTable[[#This Row],[SC Book Price]])), SnapshotTable[[#This Row],[Last Price]] - SnapshotTable[[#This Row],[SC Book Price]],"")</f>
        <v/>
      </c>
      <c r="EX88" s="219" t="str">
        <f>IF(SnapshotTable[[#This Row],[SC Is Booked]],IF(SnapshotTable[[#This Row],[SC Intrinsic Value]] &gt; 0, SnapshotTable[[#This Row],[SC Strike Price]], SnapshotTable[[#This Row],[Last Price]]), "")</f>
        <v/>
      </c>
      <c r="EY88" s="4">
        <f>IF(SnapshotTable[[#This Row],[SC Is Booked]], (MinimumPremiumRequired * SnapshotTable[[#This Row],[SC Basis]] * SnapshotTable[[#This Row],[SC Term]]), 0)</f>
        <v>0</v>
      </c>
      <c r="EZ88" s="268"/>
      <c r="FA88" s="204"/>
      <c r="FB88" s="340"/>
      <c r="FC88" s="4">
        <f>IF(SnapshotTable[[#This Row],[SC Is Filled]], btc_max_buyback_amount(SnapshotTable[[#This Row],[SC Fill Date]],SnapshotTable[[#This Row],[SC Exp Date]], SnapshotTable[[#This Row],[SC Book Price]]),0)</f>
        <v>0</v>
      </c>
      <c r="FD88" s="5"/>
      <c r="FE88" s="142" t="str">
        <f>IF(SnapshotTable[[#This Row],[SC Is Filled]], btc_next_cutoff_date(SnapshotTable[[#This Row],[SC Fill Date]],SnapshotTable[[#This Row],[SC Exp Date]]),"")</f>
        <v/>
      </c>
      <c r="FF88" s="4" t="str" cm="1">
        <f t="array" ref="FF88">IF(SnapshotTable[[#This Row],[SC Is Filled]], btc_should_buy_back(SnapshotTable[[#This Row],[SC Fill Date]], SnapshotTable[[#This Row],[SC Exp Date]], SnapshotTable[[#This Row],[SC Book Price]], SnapshotTable[[#This Row],[SC Current Ask]], MockToday, SnapshotTable[[#This Row],[SC Buyback Override]]),"")</f>
        <v/>
      </c>
      <c r="FG88" s="4">
        <f>IF(SnapshotTable[[#This Row],[SC Is Filled]], MAX(0,SnapshotTable[[#This Row],[Last Price]]  - SnapshotTable[[#This Row],[SC Strike Price]]), 0)</f>
        <v>0</v>
      </c>
      <c r="FH88" s="352">
        <f>IF(SnapshotTable[[#This Row],[SC Is Filled]], IF(ISNUMBER(SnapshotTable[[#This Row],[SC Current Ask]]), SnapshotTable[[#This Row],[SC Current Ask]], SnapshotTable[[#This Row],[SC Book Price]]) - SnapshotTable[[#This Row],[SC Intrinsic Value]], 0)</f>
        <v>0</v>
      </c>
      <c r="FI88" s="141">
        <v>45786</v>
      </c>
      <c r="FJ88" s="32" t="str">
        <f>IF(SnapshotTable[[#This Row],[SC Is Filled]],100 * SnapshotTable[[#This Row],[SC Qty]] * IF(ISNUMBER(SnapshotTable[[#This Row],[SC Buyback Override]]), SnapshotTable[[#This Row],[SC Buyback Override]], SnapshotTable[[#This Row],[SC Current Ask]]), "")</f>
        <v/>
      </c>
      <c r="FK88" s="235" t="str">
        <f>IF(SnapshotTable[[#This Row],[SC Time Val]]&gt;0, SnapshotTable[[#This Row],[SC Time Val]] / SnapshotTable[[#This Row],[Last Price]],"")</f>
        <v/>
      </c>
      <c r="FL88" s="280" t="str">
        <f>IF(SnapshotTable[[#This Row],[SC Is Booked]], ((SnapshotTable[[#This Row],[Last Price]] -SnapshotTable[[#This Row],[SC Strike Price]]) / SnapshotTable[[#This Row],[Last Price]]) * -1, "")</f>
        <v/>
      </c>
      <c r="FM88" s="155" t="str">
        <f>IF(SnapshotTable[[#This Row],[SC Is Booked]],  (SnapshotTable[[#This Row],[SC Qty]] * 100 * SnapshotTable[[#This Row],[SC Strike Price]]) - SnapshotTable[[#This Row],[SC Current Ask]], "")</f>
        <v/>
      </c>
      <c r="FN8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8" s="155" t="str">
        <f>IF(AND(ISNUMBER(SnapshotTable[[#This Row],[SC Exercise Gross]]), ISNUMBER(SnapshotTable[[#This Row],[Equity Basis Per Share]] )), SnapshotTable[[#This Row],[SC Exercise Gross]] - SnapshotTable[[#This Row],[Equity Basis Total]] +  SnapshotTable[[#This Row],[SC Premium]], "")</f>
        <v/>
      </c>
      <c r="FP88" s="5" t="str">
        <f>IF(ISNUMBER(SnapshotTable[[#This Row],[SC Exercise Gross]]), (SnapshotTable[[#This Row],[SC Exercise Gross]]) / (SnapshotTable[[#This Row],[SC Qty]] * 100), "")</f>
        <v/>
      </c>
      <c r="FQ88" s="27" t="str">
        <f>IF(SnapshotTable[[#This Row],[SC Is Booked]],SnapshotTable[[#This Row],[SC Time Val]] /SnapshotTable[[#This Row],[SC Basis]], "")</f>
        <v/>
      </c>
      <c r="FR88" s="27" t="str" cm="1">
        <f t="array" ref="FR88">IF(AND(ISNUMBER(SnapshotTable[[#This Row],[SC Term]]),ISNUMBER(SnapshotTable[[#This Row],[SC Simple ROO]])), EllmanAnnualize(SnapshotTable[[#This Row],[SC DTE]], SnapshotTable[[#This Row],[SC Simple ROO]] ),"")</f>
        <v/>
      </c>
      <c r="FS88" s="4">
        <f>IF(SnapshotTable[[#This Row],[SC Strike Price]] &gt; SnapshotTable[[#This Row],[Last Price]], SnapshotTable[[#This Row],[SC Strike Price]] - SnapshotTable[[#This Row],[Last Price]],0)</f>
        <v>0</v>
      </c>
      <c r="FT88" s="27" t="str">
        <f>IF(AND(ISNUMBER(SnapshotTable[[#This Row],[SC Upside Potential]]), SnapshotTable[[#This Row],[SC Upside Potential]] &gt; 0),(SnapshotTable[[#This Row],[SC Upside Potential]]/ SnapshotTable[[#This Row],[ACB]]),"")</f>
        <v/>
      </c>
      <c r="FU88" s="304" t="str">
        <f>IF(SnapshotTable[[#This Row],[SC Intrinsic Value]] &gt; 0,SnapshotTable[[#This Row],[SC Intrinsic Value]],"")</f>
        <v/>
      </c>
      <c r="FV88" s="27" t="str">
        <f>IF(AND( ISNUMBER( SnapshotTable[[#This Row],[ACB]]),ISNUMBER(SnapshotTable[[#This Row],[SC Downside Protect]])),SnapshotTable[[#This Row],[SC Downside Protect]] / SnapshotTable[[#This Row],[ACB]],"")</f>
        <v/>
      </c>
      <c r="FW88" s="221" t="str">
        <f>IF(AND(ISNUMBER(SnapshotTable[[#This Row],[SC Simple ROO]]),SnapshotTable[[#This Row],[SC Simple ROO]] &gt; 0), SnapshotTable[[#This Row],[SC Premium]] + (SnapshotTable[[#This Row],[SC Qty]] * SnapshotTable[[#This Row],[SC Upside Potential]]), "")</f>
        <v/>
      </c>
      <c r="FX88" s="280" t="str" cm="1">
        <f t="array" ref="FX88">IF(ISNUMBER(SnapshotTable[[#This Row],[SC Max Dollars]]), annualize(SnapshotTable[[#This Row],[SC Term]],(SnapshotTable[[#This Row],[SC Max Dollars]]/SnapshotTable[[#This Row],[SC Basis]])),"")</f>
        <v/>
      </c>
      <c r="FY88" s="221" t="str">
        <f>IF(AND(SnapshotTable[[#This Row],[SC Qty]]&gt;0,SnapshotTable[[#This Row],[SC Current Ask]]&gt;0), SnapshotTable[[#This Row],[SC Qty]] * SnapshotTable[[#This Row],[SC Current Ask]] * -100, "")</f>
        <v/>
      </c>
      <c r="FZ88" s="31" t="str">
        <f>IF(ISNUMBER((SnapshotTable[[#This Row],[SC Current Value]])), SnapshotTable[[#This Row],[SC Premium]] + SnapshotTable[[#This Row],[SC Current Value]], "")</f>
        <v/>
      </c>
      <c r="GA88" s="272" t="str">
        <f>IFERROR( IF(ISNUMBER((SnapshotTable[[#This Row],[SC Current Value]])), SnapshotTable[[#This Row],[SC Gain Loss]] / SnapshotTable[[#This Row],[SC Premium]], ""), "")</f>
        <v/>
      </c>
      <c r="GB88" s="175">
        <f>SnapshotTable[[#This Row],[Equity Shares]] * SaleSharesToConsiderPercentage</f>
        <v>0</v>
      </c>
      <c r="GC88" s="176">
        <f>SnapshotTable[[#This Row],[Long Term Target]] * SellingPriceToConsiderBasedOnTargetPercentage</f>
        <v>203.02449999999999</v>
      </c>
      <c r="GD88" s="176">
        <f>SnapshotTable[[#This Row],[Last Price]] * (1+ SellingPriceToConsiderBasedOnTargetPercentage)</f>
        <v>186.732</v>
      </c>
      <c r="GE88" s="177"/>
      <c r="GF88" s="176"/>
      <c r="GG88" s="31">
        <f>SnapshotTable[[#This Row],[Booked Sale Shares]] * SnapshotTable[[#This Row],[Booked Sale Price]]</f>
        <v>0</v>
      </c>
      <c r="GH88" s="31" t="str">
        <f>IF(SnapshotTable[[#This Row],[Equity Basis Total]] &gt; 0, SnapshotTable[[#This Row],[Equity Basis Per Share]] * SnapshotTable[[#This Row],[Booked Sale Shares]], "")</f>
        <v/>
      </c>
      <c r="GI88" s="31">
        <f>IF(SnapshotTable[[#This Row],[Sale Proceeds]]&gt;0, SnapshotTable[[#This Row],[Sale Proceeds]] - SnapshotTable[[#This Row],[Sale Basis]], 0)</f>
        <v>0</v>
      </c>
      <c r="GJ88" s="156" t="str">
        <f>IF(SnapshotTable[[#This Row],[Sale G/L]]&gt;0, SnapshotTable[[#This Row],[Sale G/L]] / SnapshotTable[[#This Row],[Sale Basis]], IF(ISNUMBER(SnapshotTable[[#This Row],[SC Exercise P&amp;L (TAX)]]), SnapshotTable[[#This Row],[SC Exercise P&amp;L (TAX)]] / SnapshotTable[[#This Row],[SC Basis]], ""))</f>
        <v/>
      </c>
      <c r="GK88" s="156" t="s">
        <v>545</v>
      </c>
      <c r="GL88" s="157" t="str">
        <f>IF(AND(SnapshotTable[[#This Row],[LP Exp Date]]&gt;0,SnapshotTable[[#This Row],[LP Strike Price]]&gt;0), [1]!ToOptionSymbol(SnapshotTable[[#This Row],[Symbol]], SnapshotTable[[#This Row],[LP Strike Price]],SnapshotTable[[#This Row],[LP Exp Date]],1), "")</f>
        <v/>
      </c>
      <c r="GM88" s="30" t="str">
        <f>IF(LEN(SnapshotTable[[#This Row],[LP Symbol]])&gt;0, 1, "")</f>
        <v/>
      </c>
      <c r="GN88" s="43" t="str">
        <f>IF(AND(SnapshotTable[[#This Row],[SP Exp Date]]&gt;0,SnapshotTable[[#This Row],[SP Strike Price]]&gt;0), [1]!ToOptionSymbol(SnapshotTable[[#This Row],[Symbol]], SnapshotTable[[#This Row],[SP Strike Price]],SnapshotTable[[#This Row],[SP Exp Date]],1), "")</f>
        <v/>
      </c>
      <c r="GO88" s="30" t="str">
        <f>IF(LEN(SnapshotTable[[#This Row],[SP Symbol]])&gt;0, 1, "")</f>
        <v/>
      </c>
      <c r="GP88" s="157" t="str">
        <f>IF(AND(SnapshotTable[[#This Row],[LC Exp Date]]&gt;0,SnapshotTable[[#This Row],[LC Strike Price]]&gt;0), [1]!ToOptionSymbol(SnapshotTable[[#This Row],[Symbol]], SnapshotTable[[#This Row],[LC Strike Price]],SnapshotTable[[#This Row],[LC Exp Date]],0), "")</f>
        <v/>
      </c>
      <c r="GQ88" s="158" t="str">
        <f>IF(LEN(SnapshotTable[[#This Row],[LC Symbol]])&gt;0, 1, "")</f>
        <v/>
      </c>
      <c r="GR88" s="157" t="str">
        <f>IF(AND(SnapshotTable[[#This Row],[SC Exp Date]]&gt;0,SnapshotTable[[#This Row],[SC Strike Price]]&gt;0), [1]!ToOptionSymbol(SnapshotTable[[#This Row],[Symbol]], SnapshotTable[[#This Row],[SC Strike Price]],SnapshotTable[[#This Row],[SC Exp Date]],0), "")</f>
        <v/>
      </c>
      <c r="GS88" s="158" t="str">
        <f>IF(LEN(SnapshotTable[[#This Row],[SC Symbol]])&gt;0, 1, "")</f>
        <v/>
      </c>
      <c r="GT88" s="159" t="str">
        <f>IF(COUNT(SnapshotTable[[#This Row],[LP Symbol Count]],SnapshotTable[[#This Row],[SP Symbol Count]],SnapshotTable[[#This Row],[LC Symbol Count]],SnapshotTable[[#This Row],[SC Symbol Count]])&gt;0, "Y", "")</f>
        <v/>
      </c>
      <c r="GU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8" s="216">
        <f>MAX(SnapshotTable[[#This Row],[Equity Basis Total]],SnapshotTable[[#This Row],[Equity Value]]) + (SnapshotTable[[#This Row],[SP Potential Spend]]- SnapshotTable[[#This Row],[SP Premium]] + SnapshotTable[[#This Row],[LP Premium]])+ (SnapshotTable[[#This Row],[LC Premium]] - SnapshotTable[[#This Row],[SC Premium]])</f>
        <v>0</v>
      </c>
      <c r="GW88" s="137" t="str">
        <f>IF(AND(SnapshotTable[[#This Row],[Exposure]] &lt;&gt; 0),SnapshotTable[[#This Row],[Exposure]] / SnapshotTable[[#Totals],[Exposure]], "")</f>
        <v/>
      </c>
      <c r="GY88" s="351"/>
      <c r="HE88" s="253"/>
      <c r="HF88" s="253"/>
      <c r="HG88" s="351"/>
      <c r="HH88" s="351"/>
      <c r="HI88" s="351"/>
      <c r="HJ88" s="351"/>
    </row>
    <row r="89" spans="2:224" ht="12.75" hidden="1" customHeight="1" x14ac:dyDescent="0.25">
      <c r="B89" s="12" t="s">
        <v>74</v>
      </c>
      <c r="C89" s="385">
        <v>23.52</v>
      </c>
      <c r="D89" s="200"/>
      <c r="E89" s="39">
        <f>SnapshotTable[[#This Row],[Last Price]]*(1 -CrashDiscount)</f>
        <v>19.992000000000001</v>
      </c>
      <c r="F89" s="26" t="s">
        <v>73</v>
      </c>
      <c r="G89" s="26" t="s">
        <v>10</v>
      </c>
      <c r="H89" s="147"/>
      <c r="I89" s="186">
        <v>44770.291666666664</v>
      </c>
      <c r="J89" s="187">
        <v>44770.291666666664</v>
      </c>
      <c r="K89" s="188"/>
      <c r="L89" s="297" t="s">
        <v>72</v>
      </c>
      <c r="M89" s="138"/>
      <c r="N89" s="138" t="b">
        <v>1</v>
      </c>
      <c r="O89" s="138"/>
      <c r="P89" s="22"/>
      <c r="Q89" s="25"/>
      <c r="R89" s="4" t="str">
        <f>IF(SnapshotTable[[#This Row],[Equity Basis Total]] &gt; 0, SnapshotTable[[#This Row],[Equity Basis Total]] / SnapshotTable[[#This Row],[Equity Shares]], "")</f>
        <v/>
      </c>
      <c r="S89" s="254">
        <f>SnapshotTable[[#This Row],[Last Price]] * SnapshotTable[[#This Row],[Equity Shares]]</f>
        <v>0</v>
      </c>
      <c r="T89" s="254">
        <f>SnapshotTable[[#This Row],[Equity Value]] - SnapshotTable[[#This Row],[Equity Basis Total]]</f>
        <v>0</v>
      </c>
      <c r="U89" s="255" t="str">
        <f>IF(SnapshotTable[[#This Row],[Equity Basis Total]] &gt; 0, SnapshotTable[[#This Row],[Equity G/L]] / SnapshotTable[[#This Row],[Equity Basis Total]], "")</f>
        <v/>
      </c>
      <c r="V89" s="253"/>
      <c r="W89" s="253"/>
      <c r="X89" s="4" t="str">
        <f>IF(AND(ISNUMBER(SnapshotTable[[#This Row],[Equity Basis Per Share]]),ISNUMBER(SnapshotTable[[#This Row],[Equity Target]])),SnapshotTable[[#This Row],[Equity Target]]-SnapshotTable[[#This Row],[Equity Basis Per Share]],"")</f>
        <v/>
      </c>
      <c r="Y89" s="4" t="str">
        <f>IF(AND(ISNUMBER(SnapshotTable[[#This Row],[Equity Basis Per Share]]),ISNUMBER(SnapshotTable[[#This Row],[Equity Stop Loss]])),SnapshotTable[[#This Row],[Equity Stop Loss]]-SnapshotTable[[#This Row],[Equity Basis Per Share]],"")</f>
        <v/>
      </c>
      <c r="Z89" s="260" t="str">
        <f>IFERROR( TEXT(SnapshotTable[[#This Row],[Equity Max Gain Per Share]] /ABS( SnapshotTable[[#This Row],[Equity Max Loss Per Share]]),"0.0 " ) &amp; " : 1", "")</f>
        <v/>
      </c>
      <c r="AA89" s="31" t="str">
        <f>IF(ISNUMBER(SnapshotTable[[#This Row],[Equity Max Gain Per Share]]),SnapshotTable[[#This Row],[Equity Max Gain Per Share]] * SnapshotTable[[#This Row],[Equity Shares]],"")</f>
        <v/>
      </c>
      <c r="AB89" s="31" t="str">
        <f>IF(ISNUMBER(SnapshotTable[[#This Row],[Equity Max Loss Per Share]]),SnapshotTable[[#This Row],[Equity Max Loss Per Share]] * SnapshotTable[[#This Row],[Equity Shares]],"")</f>
        <v/>
      </c>
      <c r="AC89" s="148">
        <v>0.84</v>
      </c>
      <c r="AD89" s="149" t="s">
        <v>453</v>
      </c>
      <c r="AE89" s="31">
        <f>(SnapshotTable[[#This Row],[Annual Dividend Per Share]] / 4) * SnapshotTable[[#This Row],[Equity Shares]]</f>
        <v>0</v>
      </c>
      <c r="AF89" s="31">
        <f>SnapshotTable[[#This Row],[Quarterly Div $]] * 4</f>
        <v>0</v>
      </c>
      <c r="AG89" s="7">
        <f>IF(SnapshotTable[[#This Row],[Annual Dividend Per Share]]&gt;0, SnapshotTable[[#This Row],[Annual Dividend Per Share]]  / SnapshotTable[[#This Row],[Last Price]], 0)</f>
        <v>3.5714285714285712E-2</v>
      </c>
      <c r="AH89" s="149">
        <v>43862</v>
      </c>
      <c r="AI89" s="5">
        <v>56</v>
      </c>
      <c r="AJ89" s="136">
        <v>45.6</v>
      </c>
      <c r="AK89" s="150">
        <f>IF(ISNUMBER( SnapshotTable[[#This Row],[EBF Target]]),(SnapshotTable[[#This Row],[EBF Target]] - SnapshotTable[[#This Row],[Last Price]]) / SnapshotTable[[#This Row],[Last Price]], "")</f>
        <v>1.3809523809523812</v>
      </c>
      <c r="AL89" s="150" t="str">
        <f>IF(AND(SnapshotTable[[#This Row],[Equity Basis Total]] &gt; 0,ISNUMBER( SnapshotTable[[#This Row],[Long Term Target]])), SnapshotTable[[#This Row],[From Basis $]] / SnapshotTable[[#This Row],[Equity Basis Total]], "")</f>
        <v/>
      </c>
      <c r="AM89" s="9">
        <f>IF( AND(SnapshotTable[[#This Row],[Equity Shares]] &gt;0,ISNUMBER( SnapshotTable[[#This Row],[Long Term Target]])),(SnapshotTable[[#This Row],[Equity Shares]] * SnapshotTable[[#This Row],[Long Term Target]]) - SnapshotTable[[#This Row],[Equity Basis Total]],0)</f>
        <v>0</v>
      </c>
      <c r="AN89" s="9">
        <f>IF( AND(SnapshotTable[[#This Row],[Equity Shares]] &gt;0,ISNUMBER( SnapshotTable[[#This Row],[Long Term Target]])),(SnapshotTable[[#This Row],[Equity Shares]]*SnapshotTable[[#This Row],[Long Term Target]]) - SnapshotTable[[#This Row],[Equity Value]],0)</f>
        <v>0</v>
      </c>
      <c r="AO89" s="150">
        <f>IF(AND(ISNUMBER( SnapshotTable[[#This Row],[Long Term Target]]), ISNUMBER(SnapshotTable[[#This Row],[Last Price]])),(SnapshotTable[[#This Row],[Long Term Target]] - SnapshotTable[[#This Row],[Last Price]]) / SnapshotTable[[#This Row],[Last Price]], "")</f>
        <v>0.93877551020408168</v>
      </c>
      <c r="AP89" s="5"/>
      <c r="AQ89" s="38"/>
      <c r="AR89" s="5"/>
      <c r="AS89" s="38"/>
      <c r="AT89" s="144"/>
      <c r="AU89" s="185" t="str">
        <f>IF(OR(SnapshotTable[[#This Row],[LP No Fill]]="Y",SnapshotTable[[#This Row],[SP Is Filled]],SnapshotTable[[#This Row],[LC Not Filled]]="Y",SnapshotTable[[#This Row],[SC Is Filled]]),"Y","")</f>
        <v/>
      </c>
      <c r="AV89" s="205"/>
      <c r="AW89" s="211"/>
      <c r="AX89" s="206"/>
      <c r="AY89" s="205" t="str">
        <f>IF(SnapshotTable[[#This Row],[Implied Move]]&gt;0, SnapshotTable[[#This Row],[Last Price]]-SnapshotTable[[#This Row],[Implied Move]],"")</f>
        <v/>
      </c>
      <c r="AZ89" s="205" t="str">
        <f>IF(SnapshotTable[[#This Row],[Implied Move]]&gt;0, SnapshotTable[[#This Row],[Last Price]] + SnapshotTable[[#This Row],[Implied Move]],"")</f>
        <v/>
      </c>
      <c r="BA89" s="302"/>
      <c r="BB89" s="318"/>
      <c r="BC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89" s="321"/>
      <c r="BE89" s="5"/>
      <c r="BF89" s="14"/>
      <c r="BG89" s="13"/>
      <c r="BH89" s="13">
        <v>42810</v>
      </c>
      <c r="BI89" s="5"/>
      <c r="BJ89" s="134">
        <f>IF(SnapshotTable[[#This Row],[LP Qty]] &gt; 0, SnapshotTable[[#This Row],[LP Qty]] * SnapshotTable[[#This Row],[LP Book Price]] * 100,0)</f>
        <v>0</v>
      </c>
      <c r="BK89" s="134">
        <f>IF(SnapshotTable[[#This Row],[LP Premium]] &gt; 0, SnapshotTable[[#This Row],[LP Qty]] * SnapshotTable[[#This Row],[LP Strike Price]] * 100,0)</f>
        <v>0</v>
      </c>
      <c r="BL89" s="152"/>
      <c r="BM89" s="355" t="str">
        <f>IF(SnapshotTable[[#This Row],[LP Premium]] &gt; 0,SnapshotTable[[#This Row],[LP Exp Date]]-MAX(SnapshotTable[[#This Row],[LP Book Date]], SnapshotTable[[#This Row],[LP Fill Date]]),"")</f>
        <v/>
      </c>
      <c r="BN89" s="355" t="str">
        <f>IF(ISNUMBER( SnapshotTable[[#This Row],[LP Term]]), SnapshotTable[[#This Row],[LP Exp Date]] - MockToday,"")</f>
        <v/>
      </c>
      <c r="BO89" s="161" t="str">
        <f>IF(AND(SnapshotTable[[#This Row],[LP Exp Date]]&gt;0, SnapshotTable[[#This Row],[LP Strike Price]]&gt;0,SnapshotTable[[#This Row],[LP Qty]]&gt;0,SnapshotTable[[#This Row],[LP Book Date]]&gt;0,SnapshotTable[[#This Row],[LP Book Price]]&gt;0,SnapshotTable[[#This Row],[LP Fill Date]]=0),"Y","")</f>
        <v/>
      </c>
      <c r="BP89" s="31" t="str">
        <f>IF(AND(SnapshotTable[[#This Row],[LP No Fill]]&lt;&gt;"Y",SnapshotTable[[#This Row],[LP Contract Value]]&gt;0, SnapshotTable[[#This Row],[LP Qty]]&gt;0), SnapshotTable[[#This Row],[LP Contract Value]]*SnapshotTable[[#This Row],[LP Qty]]*100,"")</f>
        <v/>
      </c>
      <c r="BQ89" s="13"/>
      <c r="BR89" s="5"/>
      <c r="BS89" s="36"/>
      <c r="BT89" s="145"/>
      <c r="BU89" s="13"/>
      <c r="BV89" s="5"/>
      <c r="BW89" s="382" t="b">
        <f>AND(ISNUMBER(SnapshotTable[[#This Row],[SP Exp Date]]), ISNUMBER(SnapshotTable[[#This Row],[SP Strike Price]]), ISNUMBER(SnapshotTable[[#This Row],[SP Qty]]), ISNUMBER(SnapshotTable[[#This Row],[SP Book Date]]), ISNUMBER(SnapshotTable[[#This Row],[SP Book Price]]))</f>
        <v>0</v>
      </c>
      <c r="BX89" s="382" t="b">
        <f>AND(SnapshotTable[[#This Row],[SP Is Booked]], NOT(ISBLANK(SnapshotTable[[#This Row],[SP Fill Date]])))</f>
        <v>0</v>
      </c>
      <c r="BY89" s="33">
        <f>IF(SnapshotTable[[#This Row],[SP Is Booked]], SnapshotTable[[#This Row],[SP Qty]] * SnapshotTable[[#This Row],[SP Book Price]] * 100, 0)</f>
        <v>0</v>
      </c>
      <c r="BZ89" s="339"/>
      <c r="CA89" s="338">
        <f>SnapshotTable[[#This Row],[LP Qty]]</f>
        <v>0</v>
      </c>
      <c r="CB89" s="4" t="str">
        <f>IF(SnapshotTable[[#This Row],[SP Is Booked]], SnapshotTable[[#This Row],[SP Strike Price]] - SnapshotTable[[#This Row],[SP Book Price]], "")</f>
        <v/>
      </c>
      <c r="CC89" s="19" t="str">
        <f>IF(SnapshotTable[[#This Row],[SP Is Booked]],SnapshotTable[[#This Row],[SP Exp Date]]-MAX(SnapshotTable[[#This Row],[SP Book Date]], SnapshotTable[[#This Row],[SP Fill Date]]),"")</f>
        <v/>
      </c>
      <c r="CD89" s="7" t="str">
        <f>IF(SnapshotTable[[#This Row],[SP Is Booked]], SnapshotTable[[#This Row],[SP Book Price]]/SnapshotTable[[#This Row],[SP Strike Price]], "")</f>
        <v/>
      </c>
      <c r="CE89" s="7" t="str">
        <f>IF(ISNUMBER(SnapshotTable[[#This Row],[SP ROO Term]]),SnapshotTable[[#This Row],[SP ROO Term]]*(365/SnapshotTable[[#This Row],[SP Term]]),"")</f>
        <v/>
      </c>
      <c r="CF89" s="221">
        <f>SnapshotTable[[#This Row],[LP Strike Price]] * SnapshotTable[[#This Row],[LP Qty]] * 100</f>
        <v>0</v>
      </c>
      <c r="CG89" s="31">
        <f>IF(ISNUMBER(SnapshotTable[[#This Row],[SP Premium]]), (SnapshotTable[[#This Row],[SP Qty]] * SnapshotTable[[#This Row],[SP Strike Price]]* 100) - SnapshotTable[[#This Row],[LP Protection]], 0)</f>
        <v>0</v>
      </c>
      <c r="CH89" s="7" t="str">
        <f>IF(ISNUMBER(SnapshotTable[[#This Row],[SP Break Even]]),-1 * (SnapshotTable[[#This Row],[SP Break Even]] - SnapshotTable[[#This Row],[Last Price]]) / SnapshotTable[[#This Row],[Last Price]], "")</f>
        <v/>
      </c>
      <c r="CI89" s="31">
        <f>IF(AND(ISNUMBER((SnapshotTable[[#This Row],[SP Potential Spend]])), SnapshotTable[[#This Row],[SP Strike Price]] &gt; SnapshotTable[[#This Row],[Last Price]], SnapshotTable[[#This Row],[SP Is Filled]]), SnapshotTable[[#This Row],[SP Potential Spend]] -  SnapshotTable[[#This Row],[LP Max Value]], 0)</f>
        <v>0</v>
      </c>
      <c r="CJ89" s="229"/>
      <c r="CK89" s="31">
        <f>IF(ISNUMBER(SnapshotTable[[#This Row],[SP Potential Spend]]),IF(ISNUMBER(SnapshotTable[[#This Row],[SP POW]]), SnapshotTable[[#This Row],[SP POW]] * SnapshotTable[[#This Row],[SP Potential Spend]], SnapshotTable[[#This Row],[SP Potential Spend]]), "")</f>
        <v>0</v>
      </c>
      <c r="CL89" s="162">
        <f>IF(NOT(SnapshotTable[[#This Row],[SP Is Filled]]),(SnapshotTable[[#This Row],[SP Qty]] * SnapshotTable[[#This Row],[SP Strike Price]] * 100) - SnapshotTable[[#This Row],[LP Max Value]],"")</f>
        <v>0</v>
      </c>
      <c r="CM89" s="31" t="str">
        <f>IF(SnapshotTable[[#This Row],[SP Actual Spend]]&lt;&gt;0, ((SnapshotTable[[#This Row],[SP Strike Price]]-SnapshotTable[[#This Row],[Last Price]]) *(SnapshotTable[[#This Row],[SP Qty]]*100) - SnapshotTable[[#This Row],[SP Premium]]) * - 1, "")</f>
        <v/>
      </c>
      <c r="CN89" s="76"/>
      <c r="CO89" s="339"/>
      <c r="CP89" s="4" t="str">
        <f>IF(SnapshotTable[[#This Row],[SP Is Filled]], btc_max_buyback_amount(SnapshotTable[[#This Row],[SP Fill Date]],SnapshotTable[[#This Row],[SP Exp Date]], SnapshotTable[[#This Row],[SP Book Price]]),"")</f>
        <v/>
      </c>
      <c r="CQ89" s="76"/>
      <c r="CR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89" s="153" t="str">
        <f>IF(SnapshotTable[[#This Row],[SP Is Filled]], btc_next_cutoff_date(SnapshotTable[[#This Row],[SP Fill Date]],SnapshotTable[[#This Row],[SP Exp Date]]),"")</f>
        <v/>
      </c>
      <c r="CT89" s="220" t="str" cm="1">
        <f t="array" ref="CT89">IF(SnapshotTable[[#This Row],[SP Is Filled]], btc_should_buy_back(SnapshotTable[[#This Row],[SP Fill Date]], SnapshotTable[[#This Row],[SP Exp Date]], SnapshotTable[[#This Row],[SP Book Price]], SnapshotTable[[#This Row],[SP Current Ask]], MockToday, SnapshotTable[[#This Row],[SP Buyback Override]]),"")</f>
        <v/>
      </c>
      <c r="CU89" s="141"/>
      <c r="CV89" s="220"/>
      <c r="CW89" s="348" t="str">
        <f>IF(ISNUMBER( SnapshotTable[[#This Row],[SP Term]]), SnapshotTable[[#This Row],[SP Exp Date]] - MockToday,"")</f>
        <v/>
      </c>
      <c r="CX89" s="31" t="str">
        <f>IF(SnapshotTable[[#This Row],[SP Is Filled]],SnapshotTable[[#This Row],[SP Buyback Price to Use]] * 100 * SnapshotTable[[#This Row],[SP Qty]], "")</f>
        <v/>
      </c>
      <c r="CY89" s="4" t="str">
        <f>IF(ISNUMBER(SnapshotTable[[#This Row],[SP Strike Price]]), SnapshotTable[[#This Row],[SP Strike Price]] * (1 - SP_MaxLoss_StrikePct), "")</f>
        <v/>
      </c>
      <c r="CZ89" s="31" t="str">
        <f>IF(ISNUMBER(SnapshotTable[[#This Row],[SP Strike  Stop Per Share]]),SnapshotTable[[#This Row],[SP Premium]] - ((SnapshotTable[[#This Row],[SP Strike Price]]-SnapshotTable[[#This Row],[SP Strike  Stop Per Share]]) *(SnapshotTable[[#This Row],[SP Qty]] * 100)),"")</f>
        <v/>
      </c>
      <c r="DA89" s="4" t="str">
        <f>IF(AND(ISNUMBER(SnapshotTable[[#This Row],[SP Premium]]),SnapshotTable[[#This Row],[SP Premium]]&gt;0), SnapshotTable[[#This Row],[SP Book Price]] * (1 + SP_MaxLoss_OptionPct), "")</f>
        <v/>
      </c>
      <c r="DB89" s="31" t="str">
        <f>IF(ISNUMBER(SnapshotTable[[#This Row],[SP Option  Stop Contract]]),(SnapshotTable[[#This Row],[SP Option  Stop Contract]] *(SnapshotTable[[#This Row],[SP Qty]] * 100) - SnapshotTable[[#This Row],[SP Premium]]),"")</f>
        <v/>
      </c>
      <c r="DC89" s="4"/>
      <c r="DD89" s="4"/>
      <c r="DE89" s="4" t="str">
        <f>IF(AND(SnapshotTable[[#This Row],[SP Qty]]&gt;0, SnapshotTable[[#This Row],[SP Stop To Use]]&gt;0),SnapshotTable[[#This Row],[SP Premium]] - ( SnapshotTable[[#This Row],[SP Qty]] * SnapshotTable[[#This Row],[SP Stop To Use]] * 100), "")</f>
        <v/>
      </c>
      <c r="DF89" s="31" t="str">
        <f>IF(AND(SnapshotTable[[#This Row],[SP Qty]]&gt;0,SnapshotTable[[#This Row],[SP Current Ask]]&gt;0), SnapshotTable[[#This Row],[SP Qty]] * SnapshotTable[[#This Row],[SP Current Ask]] * -100, "")</f>
        <v/>
      </c>
      <c r="DG89" s="31" t="str">
        <f>IF(ISNUMBER((SnapshotTable[[#This Row],[SP Total Value]])), SnapshotTable[[#This Row],[SP Premium]] + SnapshotTable[[#This Row],[SP Total Value]], "")</f>
        <v/>
      </c>
      <c r="DH89" s="272" t="str">
        <f>IF(ISNUMBER((SnapshotTable[[#This Row],[SP Total Value]])), SnapshotTable[[#This Row],[SP Gain Loss]] / SnapshotTable[[#This Row],[SP Premium]], "")</f>
        <v/>
      </c>
      <c r="DI89" s="369"/>
      <c r="DJ89" s="136"/>
      <c r="DK89" s="146"/>
      <c r="DL89" s="13"/>
      <c r="DM89" s="13"/>
      <c r="DO89" s="31">
        <f>IF(SnapshotTable[[#This Row],[LC Symbol Count]]=1, SnapshotTable[[#This Row],[LC Qty]] * SnapshotTable[[#This Row],[LC Book Price]] * 100, 0)</f>
        <v>0</v>
      </c>
      <c r="DP89" s="161" t="str">
        <f>IF(AND(SnapshotTable[[#This Row],[LC Exp Date]]&gt;0, SnapshotTable[[#This Row],[LC Strike Price]]&gt;0,SnapshotTable[[#This Row],[LC Qty]]&gt;0,SnapshotTable[[#This Row],[LC Book Date]]&gt;0,SnapshotTable[[#This Row],[LC Book Price]]&gt;0,SnapshotTable[[#This Row],[LC Fill Date]]=0),"Y","")</f>
        <v/>
      </c>
      <c r="DQ89" s="356" t="str">
        <f>IF(SnapshotTable[[#This Row],[LC Premium]] &gt; 0,SnapshotTable[[#This Row],[LC Exp Date]]-MAX(SnapshotTable[[#This Row],[LC Book Date]], SnapshotTable[[#This Row],[LC Fill Date]]),"")</f>
        <v/>
      </c>
      <c r="DR89" s="356" t="str">
        <f>IF(ISNUMBER(SnapshotTable[[#This Row],[LC Term]]), SnapshotTable[[#This Row],[LC Exp Date]] - MockToday, "")</f>
        <v/>
      </c>
      <c r="DS89" s="219" t="str">
        <f>IF(SnapshotTable[[#This Row],[LC Premium]]&gt;0,SnapshotTable[[#This Row],[LC Strike Price]] + SnapshotTable[[#This Row],[LC Book Price]],"")</f>
        <v/>
      </c>
      <c r="DU89" s="9" t="str">
        <f>IF(AND(SnapshotTable[[#This Row],[LC Symbol Count]]&gt;0, SnapshotTable[[#This Row],[LC Contract Value]]&gt;0), SnapshotTable[[#This Row],[LC Contract Value]] * SnapshotTable[[#This Row],[LC Qty]] * 100, "")</f>
        <v/>
      </c>
      <c r="DV89" s="9" t="str">
        <f>IF(AND(ISNUMBER(SnapshotTable[[#This Row],[LC Total Value]]), SnapshotTable[[#This Row],[LC Not Filled]]&lt;&gt;"Y"), SnapshotTable[[#This Row],[LC Total Value]]-SnapshotTable[[#This Row],[LC Premium]],"")</f>
        <v/>
      </c>
      <c r="DW89" s="225" t="str">
        <f>IF(ISNUMBER(SnapshotTable[[#This Row],[LC Actual Gain Loss]]), SnapshotTable[[#This Row],[LC Actual Gain Loss]] / SnapshotTable[[#This Row],[LC Premium]],"")</f>
        <v/>
      </c>
      <c r="DX89" s="269" t="str">
        <f>IF(ISNUMBER(SnapshotTable[[#This Row],[LC Book Price]]),SnapshotTable[[#This Row],[LC Book Price]] * 1.5,"")</f>
        <v/>
      </c>
      <c r="DY89" s="250" t="str">
        <f>IF(SnapshotTable[[#This Row],[LC Premium]]&gt;0, SnapshotTable[[#This Row],[LC Next Target]] * SnapshotTable[[#This Row],[LC Qty]] * 100,"")</f>
        <v/>
      </c>
      <c r="DZ89" s="250" t="str">
        <f>IF(ISNUMBER(SnapshotTable[[#This Row],[LC Target Gross]]), SnapshotTable[[#This Row],[LC Target Gross]] - SnapshotTable[[#This Row],[LC Premium]], "")</f>
        <v/>
      </c>
      <c r="EA89" s="283" t="str">
        <f>IF(ISNUMBER(SnapshotTable[[#This Row],[LC Target Gain Loss]]), SnapshotTable[[#This Row],[LC Target Gain Loss]]/SnapshotTable[[#This Row],[LC Premium]], "")</f>
        <v/>
      </c>
      <c r="EB89" s="247"/>
      <c r="EC89" s="268" t="str">
        <f>IF(SnapshotTable[[#This Row],[LC Premium]]&gt;0, SnapshotTable[[#This Row],[LC Book Price]] * (1 - LC_StopLoss_Pct),"")</f>
        <v/>
      </c>
      <c r="ED89" s="269"/>
      <c r="EE89" s="268" t="str">
        <f>IF(ISNUMBER(SnapshotTable[[#This Row],[LC Contract Value]]),IF(ISNUMBER(SnapshotTable[[#This Row],[LC Stop Loss Override]]), SnapshotTable[[#This Row],[LC Stop Loss Override]],SnapshotTable[[#This Row],[LC Stop Loss Calc Target]]),"")</f>
        <v/>
      </c>
      <c r="EF89" s="31" t="str">
        <f>IF(ISNUMBER(SnapshotTable[[#This Row],[LC Stop  To Use]]), (SnapshotTable[[#This Row],[LC Stop  To Use]] * SnapshotTable[[#This Row],[LC Qty]] * 100),"")</f>
        <v/>
      </c>
      <c r="EG89" s="9" t="str">
        <f>IF(ISNUMBER(SnapshotTable[[#This Row],[LC Total Value]]),SnapshotTable[[#This Row],[LC Stop Loss Amount]] - SnapshotTable[[#This Row],[LC Premium]],"")</f>
        <v/>
      </c>
      <c r="EH89" s="9">
        <f>IF(ISNUMBER(SnapshotTable[[#This Row],[LC Premium]]), SnapshotTable[[#This Row],[LC Qty]] * 100 * SnapshotTable[[#This Row],[LC Strike Price]], "")</f>
        <v>0</v>
      </c>
      <c r="EI89" s="225" t="str">
        <f>IF(AND(ISNUMBER(SnapshotTable[[#This Row],[LC Total Value]]),SnapshotTable[[#This Row],[LC Total Value]]&gt;0),SnapshotTable[[#This Row],[LC Stop Gain Loss]]  / SnapshotTable[[#This Row],[LC Premium]],"")</f>
        <v/>
      </c>
      <c r="EJ89" s="35">
        <f>IF(ISNUMBER(SnapshotTable[[#This Row],[Equity Shares]]),TRUNC(SnapshotTable[[#This Row],[Equity Shares]] / 100),0) + SnapshotTable[[#This Row],[LC Qty]]</f>
        <v>0</v>
      </c>
      <c r="EK89" s="145"/>
      <c r="EL89" s="136"/>
      <c r="EM89" s="146"/>
      <c r="EN89" s="145"/>
      <c r="EO89" s="145"/>
      <c r="EP89" s="136"/>
      <c r="EQ89" s="382" t="b">
        <f>AND(ISNUMBER(SnapshotTable[[#This Row],[SC Exp Date]]), ISNUMBER(SnapshotTable[[#This Row],[SC Strike Price]]), ISNUMBER(SnapshotTable[[#This Row],[SC Qty]]), ISNUMBER(SnapshotTable[[#This Row],[SC Book Date]]), ISNUMBER(SnapshotTable[[#This Row],[SC Book Price]]))</f>
        <v>0</v>
      </c>
      <c r="ER89" s="382" t="b">
        <f>AND(SnapshotTable[[#This Row],[SC Is Booked]], NOT(ISBLANK(SnapshotTable[[#This Row],[SC Fill Date]])))</f>
        <v>0</v>
      </c>
      <c r="ES89" s="340"/>
      <c r="ET89" s="34" t="str">
        <f>IF(AND(ISNUMBER(SnapshotTable[[#This Row],[SC Exp Date]]), ISNUMBER(SnapshotTable[[#This Row],[SC Book Date]])), SnapshotTable[[#This Row],[SC Exp Date]] - MAX(SnapshotTable[[#This Row],[SC Book Date]], SnapshotTable[[#This Row],[SC Fill Date]]) + 1, "")</f>
        <v/>
      </c>
      <c r="EU89" s="34" t="str">
        <f>IF(ISNUMBER(SnapshotTable[[#This Row],[SC Term]]), SnapshotTable[[#This Row],[SC Exp Date]]- MockToday, "")</f>
        <v/>
      </c>
      <c r="EV89" s="31">
        <f>IF(SnapshotTable[[#This Row],[SC Is Booked]], SnapshotTable[[#This Row],[SC Qty]] * SnapshotTable[[#This Row],[SC Book Price]] * 100, 0)</f>
        <v>0</v>
      </c>
      <c r="EW89" s="4" t="str">
        <f>IF(AND(ISNUMBER(SnapshotTable[[#This Row],[Last Price]]), ISNUMBER( SnapshotTable[[#This Row],[SC Book Price]])), SnapshotTable[[#This Row],[Last Price]] - SnapshotTable[[#This Row],[SC Book Price]],"")</f>
        <v/>
      </c>
      <c r="EX89" s="219" t="str">
        <f>IF(SnapshotTable[[#This Row],[SC Is Booked]],IF(SnapshotTable[[#This Row],[SC Intrinsic Value]] &gt; 0, SnapshotTable[[#This Row],[SC Strike Price]], SnapshotTable[[#This Row],[Last Price]]), "")</f>
        <v/>
      </c>
      <c r="EY89" s="4">
        <f>IF(SnapshotTable[[#This Row],[SC Is Booked]], (MinimumPremiumRequired * SnapshotTable[[#This Row],[SC Basis]] * SnapshotTable[[#This Row],[SC Term]]), 0)</f>
        <v>0</v>
      </c>
      <c r="EZ89" s="268"/>
      <c r="FA89" s="204"/>
      <c r="FB89" s="340"/>
      <c r="FC89" s="4">
        <f>IF(SnapshotTable[[#This Row],[SC Is Filled]], btc_max_buyback_amount(SnapshotTable[[#This Row],[SC Fill Date]],SnapshotTable[[#This Row],[SC Exp Date]], SnapshotTable[[#This Row],[SC Book Price]]),0)</f>
        <v>0</v>
      </c>
      <c r="FD89" s="5"/>
      <c r="FE89" s="142" t="str">
        <f>IF(SnapshotTable[[#This Row],[SC Is Filled]], btc_next_cutoff_date(SnapshotTable[[#This Row],[SC Fill Date]],SnapshotTable[[#This Row],[SC Exp Date]]),"")</f>
        <v/>
      </c>
      <c r="FF89" s="4" t="str" cm="1">
        <f t="array" ref="FF89">IF(SnapshotTable[[#This Row],[SC Is Filled]], btc_should_buy_back(SnapshotTable[[#This Row],[SC Fill Date]], SnapshotTable[[#This Row],[SC Exp Date]], SnapshotTable[[#This Row],[SC Book Price]], SnapshotTable[[#This Row],[SC Current Ask]], MockToday, SnapshotTable[[#This Row],[SC Buyback Override]]),"")</f>
        <v/>
      </c>
      <c r="FG89" s="4">
        <f>IF(SnapshotTable[[#This Row],[SC Is Filled]], MAX(0,SnapshotTable[[#This Row],[Last Price]]  - SnapshotTable[[#This Row],[SC Strike Price]]), 0)</f>
        <v>0</v>
      </c>
      <c r="FH89" s="352">
        <f>IF(SnapshotTable[[#This Row],[SC Is Filled]], IF(ISNUMBER(SnapshotTable[[#This Row],[SC Current Ask]]), SnapshotTable[[#This Row],[SC Current Ask]], SnapshotTable[[#This Row],[SC Book Price]]) - SnapshotTable[[#This Row],[SC Intrinsic Value]], 0)</f>
        <v>0</v>
      </c>
      <c r="FI89" s="141"/>
      <c r="FJ89" s="32" t="str">
        <f>IF(SnapshotTable[[#This Row],[SC Is Filled]],100 * SnapshotTable[[#This Row],[SC Qty]] * IF(ISNUMBER(SnapshotTable[[#This Row],[SC Buyback Override]]), SnapshotTable[[#This Row],[SC Buyback Override]], SnapshotTable[[#This Row],[SC Current Ask]]), "")</f>
        <v/>
      </c>
      <c r="FK89" s="235" t="str">
        <f>IF(SnapshotTable[[#This Row],[SC Time Val]]&gt;0, SnapshotTable[[#This Row],[SC Time Val]] / SnapshotTable[[#This Row],[Last Price]],"")</f>
        <v/>
      </c>
      <c r="FL89" s="280" t="str">
        <f>IF(SnapshotTable[[#This Row],[SC Is Booked]], ((SnapshotTable[[#This Row],[Last Price]] -SnapshotTable[[#This Row],[SC Strike Price]]) / SnapshotTable[[#This Row],[Last Price]]) * -1, "")</f>
        <v/>
      </c>
      <c r="FM89" s="155" t="str">
        <f>IF(SnapshotTable[[#This Row],[SC Is Booked]],  (SnapshotTable[[#This Row],[SC Qty]] * 100 * SnapshotTable[[#This Row],[SC Strike Price]]) - SnapshotTable[[#This Row],[SC Current Ask]], "")</f>
        <v/>
      </c>
      <c r="FN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89" s="31" t="str">
        <f>IF(AND(ISNUMBER(SnapshotTable[[#This Row],[SC Exercise Gross]]), ISNUMBER(SnapshotTable[[#This Row],[Equity Basis Per Share]] )), SnapshotTable[[#This Row],[SC Exercise Gross]] - SnapshotTable[[#This Row],[Equity Basis Total]] +  SnapshotTable[[#This Row],[SC Premium]], "")</f>
        <v/>
      </c>
      <c r="FP89" s="5" t="str">
        <f>IF(ISNUMBER(SnapshotTable[[#This Row],[SC Exercise Gross]]), (SnapshotTable[[#This Row],[SC Exercise Gross]]) / (SnapshotTable[[#This Row],[SC Qty]] * 100), "")</f>
        <v/>
      </c>
      <c r="FQ89" s="27" t="str">
        <f>IF(SnapshotTable[[#This Row],[SC Is Booked]],SnapshotTable[[#This Row],[SC Time Val]] /SnapshotTable[[#This Row],[SC Basis]], "")</f>
        <v/>
      </c>
      <c r="FR89" s="27" t="str" cm="1">
        <f t="array" ref="FR89">IF(AND(ISNUMBER(SnapshotTable[[#This Row],[SC Term]]),ISNUMBER(SnapshotTable[[#This Row],[SC Simple ROO]])), EllmanAnnualize(SnapshotTable[[#This Row],[SC DTE]], SnapshotTable[[#This Row],[SC Simple ROO]] ),"")</f>
        <v/>
      </c>
      <c r="FS89" s="4">
        <f>IF(SnapshotTable[[#This Row],[SC Strike Price]] &gt; SnapshotTable[[#This Row],[Last Price]], SnapshotTable[[#This Row],[SC Strike Price]] - SnapshotTable[[#This Row],[Last Price]],0)</f>
        <v>0</v>
      </c>
      <c r="FT89" s="27" t="str">
        <f>IF(AND(ISNUMBER(SnapshotTable[[#This Row],[SC Upside Potential]]), SnapshotTable[[#This Row],[SC Upside Potential]] &gt; 0),(SnapshotTable[[#This Row],[SC Upside Potential]]/ SnapshotTable[[#This Row],[ACB]]),"")</f>
        <v/>
      </c>
      <c r="FU89" s="304" t="str">
        <f>IF(SnapshotTable[[#This Row],[SC Intrinsic Value]] &gt; 0,SnapshotTable[[#This Row],[SC Intrinsic Value]],"")</f>
        <v/>
      </c>
      <c r="FV89" s="27" t="str">
        <f>IF(AND( ISNUMBER( SnapshotTable[[#This Row],[ACB]]),ISNUMBER(SnapshotTable[[#This Row],[SC Downside Protect]])),SnapshotTable[[#This Row],[SC Downside Protect]] / SnapshotTable[[#This Row],[ACB]],"")</f>
        <v/>
      </c>
      <c r="FW89" s="221" t="str">
        <f>IF(AND(ISNUMBER(SnapshotTable[[#This Row],[SC Simple ROO]]),SnapshotTable[[#This Row],[SC Simple ROO]] &gt; 0), SnapshotTable[[#This Row],[SC Premium]] + (SnapshotTable[[#This Row],[SC Qty]] * SnapshotTable[[#This Row],[SC Upside Potential]]), "")</f>
        <v/>
      </c>
      <c r="FX89" s="280" t="str" cm="1">
        <f t="array" ref="FX89">IF(ISNUMBER(SnapshotTable[[#This Row],[SC Max Dollars]]), annualize(SnapshotTable[[#This Row],[SC Term]],(SnapshotTable[[#This Row],[SC Max Dollars]]/SnapshotTable[[#This Row],[SC Basis]])),"")</f>
        <v/>
      </c>
      <c r="FY89" s="221" t="str">
        <f>IF(AND(SnapshotTable[[#This Row],[SC Qty]]&gt;0,SnapshotTable[[#This Row],[SC Current Ask]]&gt;0), SnapshotTable[[#This Row],[SC Qty]] * SnapshotTable[[#This Row],[SC Current Ask]] * -100, "")</f>
        <v/>
      </c>
      <c r="FZ89" s="31" t="str">
        <f>IF(ISNUMBER((SnapshotTable[[#This Row],[SC Current Value]])), SnapshotTable[[#This Row],[SC Premium]] + SnapshotTable[[#This Row],[SC Current Value]], "")</f>
        <v/>
      </c>
      <c r="GA89" s="272" t="str">
        <f>IFERROR( IF(ISNUMBER((SnapshotTable[[#This Row],[SC Current Value]])), SnapshotTable[[#This Row],[SC Gain Loss]] / SnapshotTable[[#This Row],[SC Premium]], ""), "")</f>
        <v/>
      </c>
      <c r="GB89" s="42">
        <f>SnapshotTable[[#This Row],[Equity Shares]] * SaleSharesToConsiderPercentage</f>
        <v>0</v>
      </c>
      <c r="GC89" s="40">
        <f>SnapshotTable[[#This Row],[Long Term Target]] * SellingPriceToConsiderBasedOnTargetPercentage</f>
        <v>43.32</v>
      </c>
      <c r="GD89" s="40">
        <f>SnapshotTable[[#This Row],[Last Price]] * (1+ SellingPriceToConsiderBasedOnTargetPercentage)</f>
        <v>45.863999999999997</v>
      </c>
      <c r="GE89" s="41"/>
      <c r="GF89" s="40"/>
      <c r="GG89" s="31">
        <f>SnapshotTable[[#This Row],[Booked Sale Shares]] * SnapshotTable[[#This Row],[Booked Sale Price]]</f>
        <v>0</v>
      </c>
      <c r="GH89" s="31" t="str">
        <f>IF(SnapshotTable[[#This Row],[Equity Basis Total]] &gt; 0, SnapshotTable[[#This Row],[Equity Basis Per Share]] * SnapshotTable[[#This Row],[Booked Sale Shares]], "")</f>
        <v/>
      </c>
      <c r="GI89" s="31">
        <f>IF(SnapshotTable[[#This Row],[Sale Proceeds]]&gt;0, SnapshotTable[[#This Row],[Sale Proceeds]] - SnapshotTable[[#This Row],[Sale Basis]], 0)</f>
        <v>0</v>
      </c>
      <c r="GJ89" s="27" t="str">
        <f>IF(SnapshotTable[[#This Row],[Sale G/L]]&gt;0, SnapshotTable[[#This Row],[Sale G/L]] / SnapshotTable[[#This Row],[Sale Basis]], IF(ISNUMBER(SnapshotTable[[#This Row],[SC Exercise P&amp;L (TAX)]]), SnapshotTable[[#This Row],[SC Exercise P&amp;L (TAX)]] / SnapshotTable[[#This Row],[SC Basis]], ""))</f>
        <v/>
      </c>
      <c r="GK89" s="27" t="s">
        <v>546</v>
      </c>
      <c r="GL89" s="43" t="str">
        <f>IF(AND(SnapshotTable[[#This Row],[LP Exp Date]]&gt;0,SnapshotTable[[#This Row],[LP Strike Price]]&gt;0), [1]!ToOptionSymbol(SnapshotTable[[#This Row],[Symbol]], SnapshotTable[[#This Row],[LP Strike Price]],SnapshotTable[[#This Row],[LP Exp Date]],1), "")</f>
        <v/>
      </c>
      <c r="GM89" s="30" t="str">
        <f>IF(LEN(SnapshotTable[[#This Row],[LP Symbol]])&gt;0, 1, "")</f>
        <v/>
      </c>
      <c r="GN89" s="43" t="str">
        <f>IF(AND(SnapshotTable[[#This Row],[SP Exp Date]]&gt;0,SnapshotTable[[#This Row],[SP Strike Price]]&gt;0), [1]!ToOptionSymbol(SnapshotTable[[#This Row],[Symbol]], SnapshotTable[[#This Row],[SP Strike Price]],SnapshotTable[[#This Row],[SP Exp Date]],1), "")</f>
        <v/>
      </c>
      <c r="GO89" s="30" t="str">
        <f>IF(LEN(SnapshotTable[[#This Row],[SP Symbol]])&gt;0, 1, "")</f>
        <v/>
      </c>
      <c r="GP89" s="43" t="str">
        <f>IF(AND(SnapshotTable[[#This Row],[LC Exp Date]]&gt;0,SnapshotTable[[#This Row],[LC Strike Price]]&gt;0), [1]!ToOptionSymbol(SnapshotTable[[#This Row],[Symbol]], SnapshotTable[[#This Row],[LC Strike Price]],SnapshotTable[[#This Row],[LC Exp Date]],0), "")</f>
        <v/>
      </c>
      <c r="GQ89" s="30" t="str">
        <f>IF(LEN(SnapshotTable[[#This Row],[LC Symbol]])&gt;0, 1, "")</f>
        <v/>
      </c>
      <c r="GR89" s="43" t="str">
        <f>IF(AND(SnapshotTable[[#This Row],[SC Exp Date]]&gt;0,SnapshotTable[[#This Row],[SC Strike Price]]&gt;0), [1]!ToOptionSymbol(SnapshotTable[[#This Row],[Symbol]], SnapshotTable[[#This Row],[SC Strike Price]],SnapshotTable[[#This Row],[SC Exp Date]],0), "")</f>
        <v/>
      </c>
      <c r="GS89" s="30" t="str">
        <f>IF(LEN(SnapshotTable[[#This Row],[SC Symbol]])&gt;0, 1, "")</f>
        <v/>
      </c>
      <c r="GT89" s="29" t="str">
        <f>IF(COUNT(SnapshotTable[[#This Row],[LP Symbol Count]],SnapshotTable[[#This Row],[SP Symbol Count]],SnapshotTable[[#This Row],[LC Symbol Count]],SnapshotTable[[#This Row],[SC Symbol Count]])&gt;0, "Y", "")</f>
        <v/>
      </c>
      <c r="GU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89" s="216">
        <f>MAX(SnapshotTable[[#This Row],[Equity Basis Total]],SnapshotTable[[#This Row],[Equity Value]]) + (SnapshotTable[[#This Row],[SP Potential Spend]]- SnapshotTable[[#This Row],[SP Premium]] + SnapshotTable[[#This Row],[LP Premium]])+ (SnapshotTable[[#This Row],[LC Premium]] - SnapshotTable[[#This Row],[SC Premium]])</f>
        <v>0</v>
      </c>
      <c r="GW89" s="137" t="str">
        <f>IF(AND(SnapshotTable[[#This Row],[Exposure]] &lt;&gt; 0),SnapshotTable[[#This Row],[Exposure]] / SnapshotTable[[#Totals],[Exposure]], "")</f>
        <v/>
      </c>
      <c r="HE89" s="253"/>
      <c r="HF89" s="253"/>
      <c r="HK89" s="1"/>
      <c r="HL89" s="1"/>
      <c r="HM89" s="1"/>
      <c r="HN89" s="1"/>
      <c r="HO89" s="1"/>
      <c r="HP89" s="1"/>
    </row>
    <row r="90" spans="2:224" ht="12.75" hidden="1" customHeight="1" x14ac:dyDescent="0.25">
      <c r="B90" s="12" t="s">
        <v>414</v>
      </c>
      <c r="C90" s="385">
        <v>32.200000000000003</v>
      </c>
      <c r="D90" s="200"/>
      <c r="E90" s="39">
        <f>SnapshotTable[[#This Row],[Last Price]]*(1 -CrashDiscount)</f>
        <v>27.37</v>
      </c>
      <c r="F90" s="26" t="s">
        <v>42</v>
      </c>
      <c r="G90" s="26" t="s">
        <v>10</v>
      </c>
      <c r="H90" s="147"/>
      <c r="I90" s="186">
        <v>44768.673611111109</v>
      </c>
      <c r="J90" s="187">
        <v>44768.673611111109</v>
      </c>
      <c r="K90" s="188"/>
      <c r="L90" s="297"/>
      <c r="M90" s="138"/>
      <c r="N90" s="138"/>
      <c r="O90" s="138"/>
      <c r="P90" s="22"/>
      <c r="Q90" s="25"/>
      <c r="R90" s="4" t="str">
        <f>IF(SnapshotTable[[#This Row],[Equity Basis Total]] &gt; 0, SnapshotTable[[#This Row],[Equity Basis Total]] / SnapshotTable[[#This Row],[Equity Shares]], "")</f>
        <v/>
      </c>
      <c r="S90" s="254">
        <f>SnapshotTable[[#This Row],[Last Price]] * SnapshotTable[[#This Row],[Equity Shares]]</f>
        <v>0</v>
      </c>
      <c r="T90" s="254">
        <f>SnapshotTable[[#This Row],[Equity Value]] - SnapshotTable[[#This Row],[Equity Basis Total]]</f>
        <v>0</v>
      </c>
      <c r="U90" s="255" t="str">
        <f>IF(SnapshotTable[[#This Row],[Equity Basis Total]] &gt; 0, SnapshotTable[[#This Row],[Equity G/L]] / SnapshotTable[[#This Row],[Equity Basis Total]], "")</f>
        <v/>
      </c>
      <c r="V90" s="253"/>
      <c r="W90" s="253"/>
      <c r="X90" s="4" t="str">
        <f>IF(AND(ISNUMBER(SnapshotTable[[#This Row],[Equity Basis Per Share]]),ISNUMBER(SnapshotTable[[#This Row],[Equity Target]])),SnapshotTable[[#This Row],[Equity Target]]-SnapshotTable[[#This Row],[Equity Basis Per Share]],"")</f>
        <v/>
      </c>
      <c r="Y90" s="4" t="str">
        <f>IF(AND(ISNUMBER(SnapshotTable[[#This Row],[Equity Basis Per Share]]),ISNUMBER(SnapshotTable[[#This Row],[Equity Stop Loss]])),SnapshotTable[[#This Row],[Equity Stop Loss]]-SnapshotTable[[#This Row],[Equity Basis Per Share]],"")</f>
        <v/>
      </c>
      <c r="Z90" s="260" t="str">
        <f>IFERROR( TEXT(SnapshotTable[[#This Row],[Equity Max Gain Per Share]] /ABS( SnapshotTable[[#This Row],[Equity Max Loss Per Share]]),"0.0 " ) &amp; " : 1", "")</f>
        <v/>
      </c>
      <c r="AA90" s="31" t="str">
        <f>IF(ISNUMBER(SnapshotTable[[#This Row],[Equity Max Gain Per Share]]),SnapshotTable[[#This Row],[Equity Max Gain Per Share]] * SnapshotTable[[#This Row],[Equity Shares]],"")</f>
        <v/>
      </c>
      <c r="AB90" s="31" t="str">
        <f>IF(ISNUMBER(SnapshotTable[[#This Row],[Equity Max Loss Per Share]]),SnapshotTable[[#This Row],[Equity Max Loss Per Share]] * SnapshotTable[[#This Row],[Equity Shares]],"")</f>
        <v/>
      </c>
      <c r="AC90" s="148"/>
      <c r="AD90" s="149"/>
      <c r="AE90" s="31">
        <f>(SnapshotTable[[#This Row],[Annual Dividend Per Share]] / 4) * SnapshotTable[[#This Row],[Equity Shares]]</f>
        <v>0</v>
      </c>
      <c r="AF90" s="31">
        <f>SnapshotTable[[#This Row],[Quarterly Div $]] * 4</f>
        <v>0</v>
      </c>
      <c r="AG90" s="7">
        <f>IF(SnapshotTable[[#This Row],[Annual Dividend Per Share]]&gt;0, SnapshotTable[[#This Row],[Annual Dividend Per Share]]  / SnapshotTable[[#This Row],[Last Price]], 0)</f>
        <v>0</v>
      </c>
      <c r="AH90" s="149"/>
      <c r="AI90" s="5"/>
      <c r="AJ90" s="136">
        <v>557.25</v>
      </c>
      <c r="AK90" s="150" t="str">
        <f>IF(ISNUMBER( SnapshotTable[[#This Row],[EBF Target]]),(SnapshotTable[[#This Row],[EBF Target]] - SnapshotTable[[#This Row],[Last Price]]) / SnapshotTable[[#This Row],[Last Price]], "")</f>
        <v/>
      </c>
      <c r="AL90" s="150" t="str">
        <f>IF(AND(SnapshotTable[[#This Row],[Equity Basis Total]] &gt; 0,ISNUMBER( SnapshotTable[[#This Row],[Long Term Target]])), SnapshotTable[[#This Row],[From Basis $]] / SnapshotTable[[#This Row],[Equity Basis Total]], "")</f>
        <v/>
      </c>
      <c r="AM90" s="9">
        <f>IF( AND(SnapshotTable[[#This Row],[Equity Shares]] &gt;0,ISNUMBER( SnapshotTable[[#This Row],[Long Term Target]])),(SnapshotTable[[#This Row],[Equity Shares]] * SnapshotTable[[#This Row],[Long Term Target]]) - SnapshotTable[[#This Row],[Equity Basis Total]],0)</f>
        <v>0</v>
      </c>
      <c r="AN90" s="9">
        <f>IF( AND(SnapshotTable[[#This Row],[Equity Shares]] &gt;0,ISNUMBER( SnapshotTable[[#This Row],[Long Term Target]])),(SnapshotTable[[#This Row],[Equity Shares]]*SnapshotTable[[#This Row],[Long Term Target]]) - SnapshotTable[[#This Row],[Equity Value]],0)</f>
        <v>0</v>
      </c>
      <c r="AO90" s="150">
        <f>IF(AND(ISNUMBER( SnapshotTable[[#This Row],[Long Term Target]]), ISNUMBER(SnapshotTable[[#This Row],[Last Price]])),(SnapshotTable[[#This Row],[Long Term Target]] - SnapshotTable[[#This Row],[Last Price]]) / SnapshotTable[[#This Row],[Last Price]], "")</f>
        <v>16.30590062111801</v>
      </c>
      <c r="AP90" s="5"/>
      <c r="AQ90" s="38"/>
      <c r="AR90" s="5"/>
      <c r="AS90" s="38"/>
      <c r="AT90" s="144"/>
      <c r="AU90" s="185" t="str">
        <f>IF(OR(SnapshotTable[[#This Row],[LP No Fill]]="Y",SnapshotTable[[#This Row],[SP Is Filled]],SnapshotTable[[#This Row],[LC Not Filled]]="Y",SnapshotTable[[#This Row],[SC Is Filled]]),"Y","")</f>
        <v/>
      </c>
      <c r="AV90" s="205"/>
      <c r="AW90" s="211"/>
      <c r="AX90" s="206"/>
      <c r="AY90" s="205" t="str">
        <f>IF(SnapshotTable[[#This Row],[Implied Move]]&gt;0, SnapshotTable[[#This Row],[Last Price]]-SnapshotTable[[#This Row],[Implied Move]],"")</f>
        <v/>
      </c>
      <c r="AZ90" s="205" t="str">
        <f>IF(SnapshotTable[[#This Row],[Implied Move]]&gt;0, SnapshotTable[[#This Row],[Last Price]] + SnapshotTable[[#This Row],[Implied Move]],"")</f>
        <v/>
      </c>
      <c r="BA90" s="302"/>
      <c r="BB90" s="318"/>
      <c r="BC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0" s="321"/>
      <c r="BE90" s="5"/>
      <c r="BF90" s="14"/>
      <c r="BG90" s="13"/>
      <c r="BH90" s="13"/>
      <c r="BI90" s="5"/>
      <c r="BJ90" s="134">
        <f>IF(SnapshotTable[[#This Row],[LP Qty]] &gt; 0, SnapshotTable[[#This Row],[LP Qty]] * SnapshotTable[[#This Row],[LP Book Price]] * 100,0)</f>
        <v>0</v>
      </c>
      <c r="BK90" s="134">
        <f>IF(SnapshotTable[[#This Row],[LP Premium]] &gt; 0, SnapshotTable[[#This Row],[LP Qty]] * SnapshotTable[[#This Row],[LP Strike Price]] * 100,0)</f>
        <v>0</v>
      </c>
      <c r="BL90" s="152"/>
      <c r="BM90" s="355" t="str">
        <f>IF(SnapshotTable[[#This Row],[LP Premium]] &gt; 0,SnapshotTable[[#This Row],[LP Exp Date]]-MAX(SnapshotTable[[#This Row],[LP Book Date]], SnapshotTable[[#This Row],[LP Fill Date]]),"")</f>
        <v/>
      </c>
      <c r="BN90" s="355" t="str">
        <f>IF(ISNUMBER( SnapshotTable[[#This Row],[LP Term]]), SnapshotTable[[#This Row],[LP Exp Date]] - MockToday,"")</f>
        <v/>
      </c>
      <c r="BO90" s="161" t="str">
        <f>IF(AND(SnapshotTable[[#This Row],[LP Exp Date]]&gt;0, SnapshotTable[[#This Row],[LP Strike Price]]&gt;0,SnapshotTable[[#This Row],[LP Qty]]&gt;0,SnapshotTable[[#This Row],[LP Book Date]]&gt;0,SnapshotTable[[#This Row],[LP Book Price]]&gt;0,SnapshotTable[[#This Row],[LP Fill Date]]=0),"Y","")</f>
        <v/>
      </c>
      <c r="BP90" s="31" t="str">
        <f>IF(AND(SnapshotTable[[#This Row],[LP No Fill]]&lt;&gt;"Y",SnapshotTable[[#This Row],[LP Contract Value]]&gt;0, SnapshotTable[[#This Row],[LP Qty]]&gt;0), SnapshotTable[[#This Row],[LP Contract Value]]*SnapshotTable[[#This Row],[LP Qty]]*100,"")</f>
        <v/>
      </c>
      <c r="BQ90" s="13"/>
      <c r="BR90" s="5"/>
      <c r="BS90" s="36"/>
      <c r="BT90" s="145"/>
      <c r="BU90" s="13"/>
      <c r="BV90" s="5"/>
      <c r="BW90" s="382" t="b">
        <f>AND(ISNUMBER(SnapshotTable[[#This Row],[SP Exp Date]]), ISNUMBER(SnapshotTable[[#This Row],[SP Strike Price]]), ISNUMBER(SnapshotTable[[#This Row],[SP Qty]]), ISNUMBER(SnapshotTable[[#This Row],[SP Book Date]]), ISNUMBER(SnapshotTable[[#This Row],[SP Book Price]]))</f>
        <v>0</v>
      </c>
      <c r="BX90" s="382" t="b">
        <f>AND(SnapshotTable[[#This Row],[SP Is Booked]], NOT(ISBLANK(SnapshotTable[[#This Row],[SP Fill Date]])))</f>
        <v>0</v>
      </c>
      <c r="BY90" s="33">
        <f>IF(SnapshotTable[[#This Row],[SP Is Booked]], SnapshotTable[[#This Row],[SP Qty]] * SnapshotTable[[#This Row],[SP Book Price]] * 100, 0)</f>
        <v>0</v>
      </c>
      <c r="BZ90" s="339"/>
      <c r="CA90" s="338">
        <f>SnapshotTable[[#This Row],[LP Qty]]</f>
        <v>0</v>
      </c>
      <c r="CB90" s="4" t="str">
        <f>IF(SnapshotTable[[#This Row],[SP Is Booked]], SnapshotTable[[#This Row],[SP Strike Price]] - SnapshotTable[[#This Row],[SP Book Price]], "")</f>
        <v/>
      </c>
      <c r="CC90" s="19" t="str">
        <f>IF(SnapshotTable[[#This Row],[SP Is Booked]],SnapshotTable[[#This Row],[SP Exp Date]]-MAX(SnapshotTable[[#This Row],[SP Book Date]], SnapshotTable[[#This Row],[SP Fill Date]]),"")</f>
        <v/>
      </c>
      <c r="CD90" s="7" t="str">
        <f>IF(SnapshotTable[[#This Row],[SP Is Booked]], SnapshotTable[[#This Row],[SP Book Price]]/SnapshotTable[[#This Row],[SP Strike Price]], "")</f>
        <v/>
      </c>
      <c r="CE90" s="7" t="str">
        <f>IF(ISNUMBER(SnapshotTable[[#This Row],[SP ROO Term]]),SnapshotTable[[#This Row],[SP ROO Term]]*(365/SnapshotTable[[#This Row],[SP Term]]),"")</f>
        <v/>
      </c>
      <c r="CF90" s="221">
        <f>SnapshotTable[[#This Row],[LP Strike Price]] * SnapshotTable[[#This Row],[LP Qty]] * 100</f>
        <v>0</v>
      </c>
      <c r="CG90" s="31">
        <f>IF(ISNUMBER(SnapshotTable[[#This Row],[SP Premium]]), (SnapshotTable[[#This Row],[SP Qty]] * SnapshotTable[[#This Row],[SP Strike Price]]* 100) - SnapshotTable[[#This Row],[LP Protection]], 0)</f>
        <v>0</v>
      </c>
      <c r="CH90" s="7" t="str">
        <f>IF(ISNUMBER(SnapshotTable[[#This Row],[SP Break Even]]),-1 * (SnapshotTable[[#This Row],[SP Break Even]] - SnapshotTable[[#This Row],[Last Price]]) / SnapshotTable[[#This Row],[Last Price]], "")</f>
        <v/>
      </c>
      <c r="CI90" s="31">
        <f>IF(AND(ISNUMBER((SnapshotTable[[#This Row],[SP Potential Spend]])), SnapshotTable[[#This Row],[SP Strike Price]] &gt; SnapshotTable[[#This Row],[Last Price]], SnapshotTable[[#This Row],[SP Is Filled]]), SnapshotTable[[#This Row],[SP Potential Spend]] -  SnapshotTable[[#This Row],[LP Max Value]], 0)</f>
        <v>0</v>
      </c>
      <c r="CJ90" s="229"/>
      <c r="CK90" s="31">
        <f>IF(ISNUMBER(SnapshotTable[[#This Row],[SP Potential Spend]]),IF(ISNUMBER(SnapshotTable[[#This Row],[SP POW]]), SnapshotTable[[#This Row],[SP POW]] * SnapshotTable[[#This Row],[SP Potential Spend]], SnapshotTable[[#This Row],[SP Potential Spend]]), "")</f>
        <v>0</v>
      </c>
      <c r="CL90" s="162">
        <f>IF(NOT(SnapshotTable[[#This Row],[SP Is Filled]]),(SnapshotTable[[#This Row],[SP Qty]] * SnapshotTable[[#This Row],[SP Strike Price]] * 100) - SnapshotTable[[#This Row],[LP Max Value]],"")</f>
        <v>0</v>
      </c>
      <c r="CM90" s="31" t="str">
        <f>IF(SnapshotTable[[#This Row],[SP Actual Spend]]&lt;&gt;0, ((SnapshotTable[[#This Row],[SP Strike Price]]-SnapshotTable[[#This Row],[Last Price]]) *(SnapshotTable[[#This Row],[SP Qty]]*100) - SnapshotTable[[#This Row],[SP Premium]]) * - 1, "")</f>
        <v/>
      </c>
      <c r="CN90" s="76"/>
      <c r="CO90" s="339"/>
      <c r="CP90" s="4" t="str">
        <f>IF(SnapshotTable[[#This Row],[SP Is Filled]], btc_max_buyback_amount(SnapshotTable[[#This Row],[SP Fill Date]],SnapshotTable[[#This Row],[SP Exp Date]], SnapshotTable[[#This Row],[SP Book Price]]),"")</f>
        <v/>
      </c>
      <c r="CQ90" s="76"/>
      <c r="CR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0" s="153" t="str">
        <f>IF(SnapshotTable[[#This Row],[SP Is Filled]], btc_next_cutoff_date(SnapshotTable[[#This Row],[SP Fill Date]],SnapshotTable[[#This Row],[SP Exp Date]]),"")</f>
        <v/>
      </c>
      <c r="CT90" s="220" t="str" cm="1">
        <f t="array" ref="CT90">IF(SnapshotTable[[#This Row],[SP Is Filled]], btc_should_buy_back(SnapshotTable[[#This Row],[SP Fill Date]], SnapshotTable[[#This Row],[SP Exp Date]], SnapshotTable[[#This Row],[SP Book Price]], SnapshotTable[[#This Row],[SP Current Ask]], MockToday, SnapshotTable[[#This Row],[SP Buyback Override]]),"")</f>
        <v/>
      </c>
      <c r="CU90" s="141"/>
      <c r="CV90" s="220"/>
      <c r="CW90" s="348" t="str">
        <f>IF(ISNUMBER( SnapshotTable[[#This Row],[SP Term]]), SnapshotTable[[#This Row],[SP Exp Date]] - MockToday,"")</f>
        <v/>
      </c>
      <c r="CX90" s="31" t="str">
        <f>IF(SnapshotTable[[#This Row],[SP Is Filled]],SnapshotTable[[#This Row],[SP Buyback Price to Use]] * 100 * SnapshotTable[[#This Row],[SP Qty]], "")</f>
        <v/>
      </c>
      <c r="CY90" s="4" t="str">
        <f>IF(ISNUMBER(SnapshotTable[[#This Row],[SP Strike Price]]), SnapshotTable[[#This Row],[SP Strike Price]] * (1 - SP_MaxLoss_StrikePct), "")</f>
        <v/>
      </c>
      <c r="CZ90" s="31" t="str">
        <f>IF(ISNUMBER(SnapshotTable[[#This Row],[SP Strike  Stop Per Share]]),SnapshotTable[[#This Row],[SP Premium]] - ((SnapshotTable[[#This Row],[SP Strike Price]]-SnapshotTable[[#This Row],[SP Strike  Stop Per Share]]) *(SnapshotTable[[#This Row],[SP Qty]] * 100)),"")</f>
        <v/>
      </c>
      <c r="DA90" s="4" t="str">
        <f>IF(AND(ISNUMBER(SnapshotTable[[#This Row],[SP Premium]]),SnapshotTable[[#This Row],[SP Premium]]&gt;0), SnapshotTable[[#This Row],[SP Book Price]] * (1 + SP_MaxLoss_OptionPct), "")</f>
        <v/>
      </c>
      <c r="DB90" s="31" t="str">
        <f>IF(ISNUMBER(SnapshotTable[[#This Row],[SP Option  Stop Contract]]),(SnapshotTable[[#This Row],[SP Option  Stop Contract]] *(SnapshotTable[[#This Row],[SP Qty]] * 100) - SnapshotTable[[#This Row],[SP Premium]]),"")</f>
        <v/>
      </c>
      <c r="DC90" s="4"/>
      <c r="DD90" s="4"/>
      <c r="DE90" s="4" t="str">
        <f>IF(AND(SnapshotTable[[#This Row],[SP Qty]]&gt;0, SnapshotTable[[#This Row],[SP Stop To Use]]&gt;0),SnapshotTable[[#This Row],[SP Premium]] - ( SnapshotTable[[#This Row],[SP Qty]] * SnapshotTable[[#This Row],[SP Stop To Use]] * 100), "")</f>
        <v/>
      </c>
      <c r="DF90" s="31" t="str">
        <f>IF(AND(SnapshotTable[[#This Row],[SP Qty]]&gt;0,SnapshotTable[[#This Row],[SP Current Ask]]&gt;0), SnapshotTable[[#This Row],[SP Qty]] * SnapshotTable[[#This Row],[SP Current Ask]] * -100, "")</f>
        <v/>
      </c>
      <c r="DG90" s="31" t="str">
        <f>IF(ISNUMBER((SnapshotTable[[#This Row],[SP Total Value]])), SnapshotTable[[#This Row],[SP Premium]] + SnapshotTable[[#This Row],[SP Total Value]], "")</f>
        <v/>
      </c>
      <c r="DH90" s="272" t="str">
        <f>IF(ISNUMBER((SnapshotTable[[#This Row],[SP Total Value]])), SnapshotTable[[#This Row],[SP Gain Loss]] / SnapshotTable[[#This Row],[SP Premium]], "")</f>
        <v/>
      </c>
      <c r="DI90" s="369"/>
      <c r="DJ90" s="136"/>
      <c r="DK90" s="146"/>
      <c r="DL90" s="13"/>
      <c r="DM90" s="13"/>
      <c r="DO90" s="31">
        <f>IF(SnapshotTable[[#This Row],[LC Symbol Count]]=1, SnapshotTable[[#This Row],[LC Qty]] * SnapshotTable[[#This Row],[LC Book Price]] * 100, 0)</f>
        <v>0</v>
      </c>
      <c r="DP90" s="161" t="str">
        <f>IF(AND(SnapshotTable[[#This Row],[LC Exp Date]]&gt;0, SnapshotTable[[#This Row],[LC Strike Price]]&gt;0,SnapshotTable[[#This Row],[LC Qty]]&gt;0,SnapshotTable[[#This Row],[LC Book Date]]&gt;0,SnapshotTable[[#This Row],[LC Book Price]]&gt;0,SnapshotTable[[#This Row],[LC Fill Date]]=0),"Y","")</f>
        <v/>
      </c>
      <c r="DQ90" s="356" t="str">
        <f>IF(SnapshotTable[[#This Row],[LC Premium]] &gt; 0,SnapshotTable[[#This Row],[LC Exp Date]]-MAX(SnapshotTable[[#This Row],[LC Book Date]], SnapshotTable[[#This Row],[LC Fill Date]]),"")</f>
        <v/>
      </c>
      <c r="DR90" s="356" t="str">
        <f>IF(ISNUMBER(SnapshotTable[[#This Row],[LC Term]]), SnapshotTable[[#This Row],[LC Exp Date]] - MockToday, "")</f>
        <v/>
      </c>
      <c r="DS90" s="219" t="str">
        <f>IF(SnapshotTable[[#This Row],[LC Premium]]&gt;0,SnapshotTable[[#This Row],[LC Strike Price]] + SnapshotTable[[#This Row],[LC Book Price]],"")</f>
        <v/>
      </c>
      <c r="DU90" s="9" t="str">
        <f>IF(AND(SnapshotTable[[#This Row],[LC Symbol Count]]&gt;0, SnapshotTable[[#This Row],[LC Contract Value]]&gt;0), SnapshotTable[[#This Row],[LC Contract Value]] * SnapshotTable[[#This Row],[LC Qty]] * 100, "")</f>
        <v/>
      </c>
      <c r="DV90" s="9" t="str">
        <f>IF(AND(ISNUMBER(SnapshotTable[[#This Row],[LC Total Value]]), SnapshotTable[[#This Row],[LC Not Filled]]&lt;&gt;"Y"), SnapshotTable[[#This Row],[LC Total Value]]-SnapshotTable[[#This Row],[LC Premium]],"")</f>
        <v/>
      </c>
      <c r="DW90" s="225" t="str">
        <f>IF(ISNUMBER(SnapshotTable[[#This Row],[LC Actual Gain Loss]]), SnapshotTable[[#This Row],[LC Actual Gain Loss]] / SnapshotTable[[#This Row],[LC Premium]],"")</f>
        <v/>
      </c>
      <c r="DX90" s="269" t="str">
        <f>IF(ISNUMBER(SnapshotTable[[#This Row],[LC Book Price]]),SnapshotTable[[#This Row],[LC Book Price]] * 1.5,"")</f>
        <v/>
      </c>
      <c r="DY90" s="250" t="str">
        <f>IF(SnapshotTable[[#This Row],[LC Premium]]&gt;0, SnapshotTable[[#This Row],[LC Next Target]] * SnapshotTable[[#This Row],[LC Qty]] * 100,"")</f>
        <v/>
      </c>
      <c r="DZ90" s="250" t="str">
        <f>IF(ISNUMBER(SnapshotTable[[#This Row],[LC Target Gross]]), SnapshotTable[[#This Row],[LC Target Gross]] - SnapshotTable[[#This Row],[LC Premium]], "")</f>
        <v/>
      </c>
      <c r="EA90" s="283" t="str">
        <f>IF(ISNUMBER(SnapshotTable[[#This Row],[LC Target Gain Loss]]), SnapshotTable[[#This Row],[LC Target Gain Loss]]/SnapshotTable[[#This Row],[LC Premium]], "")</f>
        <v/>
      </c>
      <c r="EB90" s="247"/>
      <c r="EC90" s="268" t="str">
        <f>IF(SnapshotTable[[#This Row],[LC Premium]]&gt;0, SnapshotTable[[#This Row],[LC Book Price]] * (1 - LC_StopLoss_Pct),"")</f>
        <v/>
      </c>
      <c r="ED90" s="269"/>
      <c r="EE90" s="268" t="str">
        <f>IF(ISNUMBER(SnapshotTable[[#This Row],[LC Contract Value]]),IF(ISNUMBER(SnapshotTable[[#This Row],[LC Stop Loss Override]]), SnapshotTable[[#This Row],[LC Stop Loss Override]],SnapshotTable[[#This Row],[LC Stop Loss Calc Target]]),"")</f>
        <v/>
      </c>
      <c r="EF90" s="31" t="str">
        <f>IF(ISNUMBER(SnapshotTable[[#This Row],[LC Stop  To Use]]), (SnapshotTable[[#This Row],[LC Stop  To Use]] * SnapshotTable[[#This Row],[LC Qty]] * 100),"")</f>
        <v/>
      </c>
      <c r="EG90" s="9" t="str">
        <f>IF(ISNUMBER(SnapshotTable[[#This Row],[LC Total Value]]),SnapshotTable[[#This Row],[LC Stop Loss Amount]] - SnapshotTable[[#This Row],[LC Premium]],"")</f>
        <v/>
      </c>
      <c r="EH90" s="9">
        <f>IF(ISNUMBER(SnapshotTable[[#This Row],[LC Premium]]), SnapshotTable[[#This Row],[LC Qty]] * 100 * SnapshotTable[[#This Row],[LC Strike Price]], "")</f>
        <v>0</v>
      </c>
      <c r="EI90" s="225" t="str">
        <f>IF(AND(ISNUMBER(SnapshotTable[[#This Row],[LC Total Value]]),SnapshotTable[[#This Row],[LC Total Value]]&gt;0),SnapshotTable[[#This Row],[LC Stop Gain Loss]]  / SnapshotTable[[#This Row],[LC Premium]],"")</f>
        <v/>
      </c>
      <c r="EJ90" s="35">
        <f>IF(ISNUMBER(SnapshotTable[[#This Row],[Equity Shares]]),TRUNC(SnapshotTable[[#This Row],[Equity Shares]] / 100),0) + SnapshotTable[[#This Row],[LC Qty]]</f>
        <v>0</v>
      </c>
      <c r="EK90" s="145"/>
      <c r="EL90" s="136"/>
      <c r="EM90" s="146"/>
      <c r="EN90" s="145"/>
      <c r="EO90" s="145"/>
      <c r="EP90" s="136"/>
      <c r="EQ90" s="382" t="b">
        <f>AND(ISNUMBER(SnapshotTable[[#This Row],[SC Exp Date]]), ISNUMBER(SnapshotTable[[#This Row],[SC Strike Price]]), ISNUMBER(SnapshotTable[[#This Row],[SC Qty]]), ISNUMBER(SnapshotTable[[#This Row],[SC Book Date]]), ISNUMBER(SnapshotTable[[#This Row],[SC Book Price]]))</f>
        <v>0</v>
      </c>
      <c r="ER90" s="382" t="b">
        <f>AND(SnapshotTable[[#This Row],[SC Is Booked]], NOT(ISBLANK(SnapshotTable[[#This Row],[SC Fill Date]])))</f>
        <v>0</v>
      </c>
      <c r="ES90" s="340"/>
      <c r="ET90" s="34" t="str">
        <f>IF(AND(ISNUMBER(SnapshotTable[[#This Row],[SC Exp Date]]), ISNUMBER(SnapshotTable[[#This Row],[SC Book Date]])), SnapshotTable[[#This Row],[SC Exp Date]] - MAX(SnapshotTable[[#This Row],[SC Book Date]], SnapshotTable[[#This Row],[SC Fill Date]]) + 1, "")</f>
        <v/>
      </c>
      <c r="EU90" s="34" t="str">
        <f>IF(ISNUMBER(SnapshotTable[[#This Row],[SC Term]]), SnapshotTable[[#This Row],[SC Exp Date]]- MockToday, "")</f>
        <v/>
      </c>
      <c r="EV90" s="31">
        <f>IF(SnapshotTable[[#This Row],[SC Is Booked]], SnapshotTable[[#This Row],[SC Qty]] * SnapshotTable[[#This Row],[SC Book Price]] * 100, 0)</f>
        <v>0</v>
      </c>
      <c r="EW90" s="4" t="str">
        <f>IF(AND(ISNUMBER(SnapshotTable[[#This Row],[Last Price]]), ISNUMBER( SnapshotTable[[#This Row],[SC Book Price]])), SnapshotTable[[#This Row],[Last Price]] - SnapshotTable[[#This Row],[SC Book Price]],"")</f>
        <v/>
      </c>
      <c r="EX90" s="219" t="str">
        <f>IF(SnapshotTable[[#This Row],[SC Is Booked]],IF(SnapshotTable[[#This Row],[SC Intrinsic Value]] &gt; 0, SnapshotTable[[#This Row],[SC Strike Price]], SnapshotTable[[#This Row],[Last Price]]), "")</f>
        <v/>
      </c>
      <c r="EY90" s="4">
        <f>IF(SnapshotTable[[#This Row],[SC Is Booked]], (MinimumPremiumRequired * SnapshotTable[[#This Row],[SC Basis]] * SnapshotTable[[#This Row],[SC Term]]), 0)</f>
        <v>0</v>
      </c>
      <c r="EZ90" s="268"/>
      <c r="FA90" s="204"/>
      <c r="FB90" s="340"/>
      <c r="FC90" s="4">
        <f>IF(SnapshotTable[[#This Row],[SC Is Filled]], btc_max_buyback_amount(SnapshotTable[[#This Row],[SC Fill Date]],SnapshotTable[[#This Row],[SC Exp Date]], SnapshotTable[[#This Row],[SC Book Price]]),0)</f>
        <v>0</v>
      </c>
      <c r="FD90" s="5"/>
      <c r="FE90" s="142" t="str">
        <f>IF(SnapshotTable[[#This Row],[SC Is Filled]], btc_next_cutoff_date(SnapshotTable[[#This Row],[SC Fill Date]],SnapshotTable[[#This Row],[SC Exp Date]]),"")</f>
        <v/>
      </c>
      <c r="FF90" s="4" t="str" cm="1">
        <f t="array" ref="FF90">IF(SnapshotTable[[#This Row],[SC Is Filled]], btc_should_buy_back(SnapshotTable[[#This Row],[SC Fill Date]], SnapshotTable[[#This Row],[SC Exp Date]], SnapshotTable[[#This Row],[SC Book Price]], SnapshotTable[[#This Row],[SC Current Ask]], MockToday, SnapshotTable[[#This Row],[SC Buyback Override]]),"")</f>
        <v/>
      </c>
      <c r="FG90" s="4">
        <f>IF(SnapshotTable[[#This Row],[SC Is Filled]], MAX(0,SnapshotTable[[#This Row],[Last Price]]  - SnapshotTable[[#This Row],[SC Strike Price]]), 0)</f>
        <v>0</v>
      </c>
      <c r="FH90" s="352">
        <f>IF(SnapshotTable[[#This Row],[SC Is Filled]], IF(ISNUMBER(SnapshotTable[[#This Row],[SC Current Ask]]), SnapshotTable[[#This Row],[SC Current Ask]], SnapshotTable[[#This Row],[SC Book Price]]) - SnapshotTable[[#This Row],[SC Intrinsic Value]], 0)</f>
        <v>0</v>
      </c>
      <c r="FI90" s="141"/>
      <c r="FJ90" s="32" t="str">
        <f>IF(SnapshotTable[[#This Row],[SC Is Filled]],100 * SnapshotTable[[#This Row],[SC Qty]] * IF(ISNUMBER(SnapshotTable[[#This Row],[SC Buyback Override]]), SnapshotTable[[#This Row],[SC Buyback Override]], SnapshotTable[[#This Row],[SC Current Ask]]), "")</f>
        <v/>
      </c>
      <c r="FK90" s="235" t="str">
        <f>IF(SnapshotTable[[#This Row],[SC Time Val]]&gt;0, SnapshotTable[[#This Row],[SC Time Val]] / SnapshotTable[[#This Row],[Last Price]],"")</f>
        <v/>
      </c>
      <c r="FL90" s="280" t="str">
        <f>IF(SnapshotTable[[#This Row],[SC Is Booked]], ((SnapshotTable[[#This Row],[Last Price]] -SnapshotTable[[#This Row],[SC Strike Price]]) / SnapshotTable[[#This Row],[Last Price]]) * -1, "")</f>
        <v/>
      </c>
      <c r="FM90" s="155" t="str">
        <f>IF(SnapshotTable[[#This Row],[SC Is Booked]],  (SnapshotTable[[#This Row],[SC Qty]] * 100 * SnapshotTable[[#This Row],[SC Strike Price]]) - SnapshotTable[[#This Row],[SC Current Ask]], "")</f>
        <v/>
      </c>
      <c r="FN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0" s="31" t="str">
        <f>IF(AND(ISNUMBER(SnapshotTable[[#This Row],[SC Exercise Gross]]), ISNUMBER(SnapshotTable[[#This Row],[Equity Basis Per Share]] )), SnapshotTable[[#This Row],[SC Exercise Gross]] - SnapshotTable[[#This Row],[Equity Basis Total]] +  SnapshotTable[[#This Row],[SC Premium]], "")</f>
        <v/>
      </c>
      <c r="FP90" s="5" t="str">
        <f>IF(ISNUMBER(SnapshotTable[[#This Row],[SC Exercise Gross]]), (SnapshotTable[[#This Row],[SC Exercise Gross]]) / (SnapshotTable[[#This Row],[SC Qty]] * 100), "")</f>
        <v/>
      </c>
      <c r="FQ90" s="27" t="str">
        <f>IF(SnapshotTable[[#This Row],[SC Is Booked]],SnapshotTable[[#This Row],[SC Time Val]] /SnapshotTable[[#This Row],[SC Basis]], "")</f>
        <v/>
      </c>
      <c r="FR90" s="27" t="str" cm="1">
        <f t="array" ref="FR90">IF(AND(ISNUMBER(SnapshotTable[[#This Row],[SC Term]]),ISNUMBER(SnapshotTable[[#This Row],[SC Simple ROO]])), EllmanAnnualize(SnapshotTable[[#This Row],[SC DTE]], SnapshotTable[[#This Row],[SC Simple ROO]] ),"")</f>
        <v/>
      </c>
      <c r="FS90" s="4">
        <f>IF(SnapshotTable[[#This Row],[SC Strike Price]] &gt; SnapshotTable[[#This Row],[Last Price]], SnapshotTable[[#This Row],[SC Strike Price]] - SnapshotTable[[#This Row],[Last Price]],0)</f>
        <v>0</v>
      </c>
      <c r="FT90" s="27" t="str">
        <f>IF(AND(ISNUMBER(SnapshotTable[[#This Row],[SC Upside Potential]]), SnapshotTable[[#This Row],[SC Upside Potential]] &gt; 0),(SnapshotTable[[#This Row],[SC Upside Potential]]/ SnapshotTable[[#This Row],[ACB]]),"")</f>
        <v/>
      </c>
      <c r="FU90" s="304" t="str">
        <f>IF(SnapshotTable[[#This Row],[SC Intrinsic Value]] &gt; 0,SnapshotTable[[#This Row],[SC Intrinsic Value]],"")</f>
        <v/>
      </c>
      <c r="FV90" s="27" t="str">
        <f>IF(AND( ISNUMBER( SnapshotTable[[#This Row],[ACB]]),ISNUMBER(SnapshotTable[[#This Row],[SC Downside Protect]])),SnapshotTable[[#This Row],[SC Downside Protect]] / SnapshotTable[[#This Row],[ACB]],"")</f>
        <v/>
      </c>
      <c r="FW90" s="221" t="str">
        <f>IF(AND(ISNUMBER(SnapshotTable[[#This Row],[SC Simple ROO]]),SnapshotTable[[#This Row],[SC Simple ROO]] &gt; 0), SnapshotTable[[#This Row],[SC Premium]] + (SnapshotTable[[#This Row],[SC Qty]] * SnapshotTable[[#This Row],[SC Upside Potential]]), "")</f>
        <v/>
      </c>
      <c r="FX90" s="280" t="str" cm="1">
        <f t="array" ref="FX90">IF(ISNUMBER(SnapshotTable[[#This Row],[SC Max Dollars]]), annualize(SnapshotTable[[#This Row],[SC Term]],(SnapshotTable[[#This Row],[SC Max Dollars]]/SnapshotTable[[#This Row],[SC Basis]])),"")</f>
        <v/>
      </c>
      <c r="FY90" s="221" t="str">
        <f>IF(AND(SnapshotTable[[#This Row],[SC Qty]]&gt;0,SnapshotTable[[#This Row],[SC Current Ask]]&gt;0), SnapshotTable[[#This Row],[SC Qty]] * SnapshotTable[[#This Row],[SC Current Ask]] * -100, "")</f>
        <v/>
      </c>
      <c r="FZ90" s="31" t="str">
        <f>IF(ISNUMBER((SnapshotTable[[#This Row],[SC Current Value]])), SnapshotTable[[#This Row],[SC Premium]] + SnapshotTable[[#This Row],[SC Current Value]], "")</f>
        <v/>
      </c>
      <c r="GA90" s="272" t="str">
        <f>IFERROR( IF(ISNUMBER((SnapshotTable[[#This Row],[SC Current Value]])), SnapshotTable[[#This Row],[SC Gain Loss]] / SnapshotTable[[#This Row],[SC Premium]], ""), "")</f>
        <v/>
      </c>
      <c r="GB90" s="42">
        <f>SnapshotTable[[#This Row],[Equity Shares]] * SaleSharesToConsiderPercentage</f>
        <v>0</v>
      </c>
      <c r="GC90" s="40">
        <f>SnapshotTable[[#This Row],[Long Term Target]] * SellingPriceToConsiderBasedOnTargetPercentage</f>
        <v>529.38749999999993</v>
      </c>
      <c r="GD90" s="40">
        <f>SnapshotTable[[#This Row],[Last Price]] * (1+ SellingPriceToConsiderBasedOnTargetPercentage)</f>
        <v>62.790000000000006</v>
      </c>
      <c r="GE90" s="41"/>
      <c r="GF90" s="40"/>
      <c r="GG90" s="31">
        <f>SnapshotTable[[#This Row],[Booked Sale Shares]] * SnapshotTable[[#This Row],[Booked Sale Price]]</f>
        <v>0</v>
      </c>
      <c r="GH90" s="31" t="str">
        <f>IF(SnapshotTable[[#This Row],[Equity Basis Total]] &gt; 0, SnapshotTable[[#This Row],[Equity Basis Per Share]] * SnapshotTable[[#This Row],[Booked Sale Shares]], "")</f>
        <v/>
      </c>
      <c r="GI90" s="31">
        <f>IF(SnapshotTable[[#This Row],[Sale Proceeds]]&gt;0, SnapshotTable[[#This Row],[Sale Proceeds]] - SnapshotTable[[#This Row],[Sale Basis]], 0)</f>
        <v>0</v>
      </c>
      <c r="GJ90" s="27" t="str">
        <f>IF(SnapshotTable[[#This Row],[Sale G/L]]&gt;0, SnapshotTable[[#This Row],[Sale G/L]] / SnapshotTable[[#This Row],[Sale Basis]], IF(ISNUMBER(SnapshotTable[[#This Row],[SC Exercise P&amp;L (TAX)]]), SnapshotTable[[#This Row],[SC Exercise P&amp;L (TAX)]] / SnapshotTable[[#This Row],[SC Basis]], ""))</f>
        <v/>
      </c>
      <c r="GK90" s="27" t="s">
        <v>547</v>
      </c>
      <c r="GL90" s="43" t="str">
        <f>IF(AND(SnapshotTable[[#This Row],[LP Exp Date]]&gt;0,SnapshotTable[[#This Row],[LP Strike Price]]&gt;0), [1]!ToOptionSymbol(SnapshotTable[[#This Row],[Symbol]], SnapshotTable[[#This Row],[LP Strike Price]],SnapshotTable[[#This Row],[LP Exp Date]],1), "")</f>
        <v/>
      </c>
      <c r="GM90" s="30" t="str">
        <f>IF(LEN(SnapshotTable[[#This Row],[LP Symbol]])&gt;0, 1, "")</f>
        <v/>
      </c>
      <c r="GN90" s="43" t="str">
        <f>IF(AND(SnapshotTable[[#This Row],[SP Exp Date]]&gt;0,SnapshotTable[[#This Row],[SP Strike Price]]&gt;0), [1]!ToOptionSymbol(SnapshotTable[[#This Row],[Symbol]], SnapshotTable[[#This Row],[SP Strike Price]],SnapshotTable[[#This Row],[SP Exp Date]],1), "")</f>
        <v/>
      </c>
      <c r="GO90" s="30" t="str">
        <f>IF(LEN(SnapshotTable[[#This Row],[SP Symbol]])&gt;0, 1, "")</f>
        <v/>
      </c>
      <c r="GP90" s="43" t="str">
        <f>IF(AND(SnapshotTable[[#This Row],[LC Exp Date]]&gt;0,SnapshotTable[[#This Row],[LC Strike Price]]&gt;0), [1]!ToOptionSymbol(SnapshotTable[[#This Row],[Symbol]], SnapshotTable[[#This Row],[LC Strike Price]],SnapshotTable[[#This Row],[LC Exp Date]],0), "")</f>
        <v/>
      </c>
      <c r="GQ90" s="30" t="str">
        <f>IF(LEN(SnapshotTable[[#This Row],[LC Symbol]])&gt;0, 1, "")</f>
        <v/>
      </c>
      <c r="GR90" s="43" t="str">
        <f>IF(AND(SnapshotTable[[#This Row],[SC Exp Date]]&gt;0,SnapshotTable[[#This Row],[SC Strike Price]]&gt;0), [1]!ToOptionSymbol(SnapshotTable[[#This Row],[Symbol]], SnapshotTable[[#This Row],[SC Strike Price]],SnapshotTable[[#This Row],[SC Exp Date]],0), "")</f>
        <v/>
      </c>
      <c r="GS90" s="30" t="str">
        <f>IF(LEN(SnapshotTable[[#This Row],[SC Symbol]])&gt;0, 1, "")</f>
        <v/>
      </c>
      <c r="GT90" s="29" t="str">
        <f>IF(COUNT(SnapshotTable[[#This Row],[LP Symbol Count]],SnapshotTable[[#This Row],[SP Symbol Count]],SnapshotTable[[#This Row],[LC Symbol Count]],SnapshotTable[[#This Row],[SC Symbol Count]])&gt;0, "Y", "")</f>
        <v/>
      </c>
      <c r="GU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0" s="216">
        <f>MAX(SnapshotTable[[#This Row],[Equity Basis Total]],SnapshotTable[[#This Row],[Equity Value]]) + (SnapshotTable[[#This Row],[SP Potential Spend]]- SnapshotTable[[#This Row],[SP Premium]] + SnapshotTable[[#This Row],[LP Premium]])+ (SnapshotTable[[#This Row],[LC Premium]] - SnapshotTable[[#This Row],[SC Premium]])</f>
        <v>0</v>
      </c>
      <c r="GW90" s="137" t="str">
        <f>IF(AND(SnapshotTable[[#This Row],[Exposure]] &lt;&gt; 0),SnapshotTable[[#This Row],[Exposure]] / SnapshotTable[[#Totals],[Exposure]], "")</f>
        <v/>
      </c>
      <c r="HE90" s="253"/>
      <c r="HF90" s="253"/>
      <c r="HK90" s="1"/>
      <c r="HL90" s="1"/>
      <c r="HM90" s="1"/>
      <c r="HN90" s="1"/>
      <c r="HO90" s="1"/>
      <c r="HP90" s="1"/>
    </row>
    <row r="91" spans="2:224" ht="12.75" hidden="1" customHeight="1" x14ac:dyDescent="0.25">
      <c r="B91" s="12" t="s">
        <v>131</v>
      </c>
      <c r="C91" s="385">
        <v>660.75</v>
      </c>
      <c r="D91" s="200"/>
      <c r="E91" s="39">
        <f>SnapshotTable[[#This Row],[Last Price]]*(1 -CrashDiscount)</f>
        <v>561.63749999999993</v>
      </c>
      <c r="F91" s="26" t="s">
        <v>17</v>
      </c>
      <c r="G91" s="26" t="s">
        <v>13</v>
      </c>
      <c r="H91" s="147"/>
      <c r="I91" s="186">
        <v>44775.3125</v>
      </c>
      <c r="J91" s="187">
        <v>44775.3125</v>
      </c>
      <c r="K91" s="188"/>
      <c r="L91" s="297"/>
      <c r="M91" s="138"/>
      <c r="N91" s="138"/>
      <c r="O91" s="138"/>
      <c r="P91" s="22"/>
      <c r="Q91" s="25"/>
      <c r="R91" s="4" t="str">
        <f>IF(SnapshotTable[[#This Row],[Equity Basis Total]] &gt; 0, SnapshotTable[[#This Row],[Equity Basis Total]] / SnapshotTable[[#This Row],[Equity Shares]], "")</f>
        <v/>
      </c>
      <c r="S91" s="254">
        <f>SnapshotTable[[#This Row],[Last Price]] * SnapshotTable[[#This Row],[Equity Shares]]</f>
        <v>0</v>
      </c>
      <c r="T91" s="254">
        <f>SnapshotTable[[#This Row],[Equity Value]] - SnapshotTable[[#This Row],[Equity Basis Total]]</f>
        <v>0</v>
      </c>
      <c r="U91" s="255" t="str">
        <f>IF(SnapshotTable[[#This Row],[Equity Basis Total]] &gt; 0, SnapshotTable[[#This Row],[Equity G/L]] / SnapshotTable[[#This Row],[Equity Basis Total]], "")</f>
        <v/>
      </c>
      <c r="V91" s="253"/>
      <c r="W91" s="253"/>
      <c r="X91" s="4" t="str">
        <f>IF(AND(ISNUMBER(SnapshotTable[[#This Row],[Equity Basis Per Share]]),ISNUMBER(SnapshotTable[[#This Row],[Equity Target]])),SnapshotTable[[#This Row],[Equity Target]]-SnapshotTable[[#This Row],[Equity Basis Per Share]],"")</f>
        <v/>
      </c>
      <c r="Y91" s="4" t="str">
        <f>IF(AND(ISNUMBER(SnapshotTable[[#This Row],[Equity Basis Per Share]]),ISNUMBER(SnapshotTable[[#This Row],[Equity Stop Loss]])),SnapshotTable[[#This Row],[Equity Stop Loss]]-SnapshotTable[[#This Row],[Equity Basis Per Share]],"")</f>
        <v/>
      </c>
      <c r="Z91" s="260" t="str">
        <f>IFERROR( TEXT(SnapshotTable[[#This Row],[Equity Max Gain Per Share]] /ABS( SnapshotTable[[#This Row],[Equity Max Loss Per Share]]),"0.0 " ) &amp; " : 1", "")</f>
        <v/>
      </c>
      <c r="AA91" s="31" t="str">
        <f>IF(ISNUMBER(SnapshotTable[[#This Row],[Equity Max Gain Per Share]]),SnapshotTable[[#This Row],[Equity Max Gain Per Share]] * SnapshotTable[[#This Row],[Equity Shares]],"")</f>
        <v/>
      </c>
      <c r="AB91" s="31" t="str">
        <f>IF(ISNUMBER(SnapshotTable[[#This Row],[Equity Max Loss Per Share]]),SnapshotTable[[#This Row],[Equity Max Loss Per Share]] * SnapshotTable[[#This Row],[Equity Shares]],"")</f>
        <v/>
      </c>
      <c r="AC91" s="148">
        <v>3.9</v>
      </c>
      <c r="AD91" s="149">
        <v>42339</v>
      </c>
      <c r="AE91" s="31">
        <f>(SnapshotTable[[#This Row],[Annual Dividend Per Share]] / 4) * SnapshotTable[[#This Row],[Equity Shares]]</f>
        <v>0</v>
      </c>
      <c r="AF91" s="31">
        <f>SnapshotTable[[#This Row],[Quarterly Div $]] * 4</f>
        <v>0</v>
      </c>
      <c r="AG91" s="7">
        <f>IF(SnapshotTable[[#This Row],[Annual Dividend Per Share]]&gt;0, SnapshotTable[[#This Row],[Annual Dividend Per Share]]  / SnapshotTable[[#This Row],[Last Price]], 0)</f>
        <v>5.902383654937571E-3</v>
      </c>
      <c r="AH91" s="149">
        <v>42233</v>
      </c>
      <c r="AI91" s="5"/>
      <c r="AJ91" s="136">
        <v>155</v>
      </c>
      <c r="AK91" s="150" t="str">
        <f>IF(ISNUMBER( SnapshotTable[[#This Row],[EBF Target]]),(SnapshotTable[[#This Row],[EBF Target]] - SnapshotTable[[#This Row],[Last Price]]) / SnapshotTable[[#This Row],[Last Price]], "")</f>
        <v/>
      </c>
      <c r="AL91" s="150" t="str">
        <f>IF(AND(SnapshotTable[[#This Row],[Equity Basis Total]] &gt; 0,ISNUMBER( SnapshotTable[[#This Row],[Long Term Target]])), SnapshotTable[[#This Row],[From Basis $]] / SnapshotTable[[#This Row],[Equity Basis Total]], "")</f>
        <v/>
      </c>
      <c r="AM91" s="9">
        <f>IF( AND(SnapshotTable[[#This Row],[Equity Shares]] &gt;0,ISNUMBER( SnapshotTable[[#This Row],[Long Term Target]])),(SnapshotTable[[#This Row],[Equity Shares]] * SnapshotTable[[#This Row],[Long Term Target]]) - SnapshotTable[[#This Row],[Equity Basis Total]],0)</f>
        <v>0</v>
      </c>
      <c r="AN91" s="9">
        <f>IF( AND(SnapshotTable[[#This Row],[Equity Shares]] &gt;0,ISNUMBER( SnapshotTable[[#This Row],[Long Term Target]])),(SnapshotTable[[#This Row],[Equity Shares]]*SnapshotTable[[#This Row],[Long Term Target]]) - SnapshotTable[[#This Row],[Equity Value]],0)</f>
        <v>0</v>
      </c>
      <c r="AO91" s="150">
        <f>IF(AND(ISNUMBER( SnapshotTable[[#This Row],[Long Term Target]]), ISNUMBER(SnapshotTable[[#This Row],[Last Price]])),(SnapshotTable[[#This Row],[Long Term Target]] - SnapshotTable[[#This Row],[Last Price]]) / SnapshotTable[[#This Row],[Last Price]], "")</f>
        <v>-0.76541808550889145</v>
      </c>
      <c r="AP91" s="5"/>
      <c r="AQ91" s="38"/>
      <c r="AR91" s="5"/>
      <c r="AS91" s="38"/>
      <c r="AT91" s="144"/>
      <c r="AU91" s="185" t="str">
        <f>IF(OR(SnapshotTable[[#This Row],[LP No Fill]]="Y",SnapshotTable[[#This Row],[SP Is Filled]],SnapshotTable[[#This Row],[LC Not Filled]]="Y",SnapshotTable[[#This Row],[SC Is Filled]]),"Y","")</f>
        <v/>
      </c>
      <c r="AV91" s="205"/>
      <c r="AW91" s="211"/>
      <c r="AX91" s="206"/>
      <c r="AY91" s="205" t="str">
        <f>IF(SnapshotTable[[#This Row],[Implied Move]]&gt;0, SnapshotTable[[#This Row],[Last Price]]-SnapshotTable[[#This Row],[Implied Move]],"")</f>
        <v/>
      </c>
      <c r="AZ91" s="205" t="str">
        <f>IF(SnapshotTable[[#This Row],[Implied Move]]&gt;0, SnapshotTable[[#This Row],[Last Price]] + SnapshotTable[[#This Row],[Implied Move]],"")</f>
        <v/>
      </c>
      <c r="BA91" s="302"/>
      <c r="BB91" s="318"/>
      <c r="BC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1" s="321"/>
      <c r="BE91" s="5"/>
      <c r="BF91" s="14"/>
      <c r="BG91" s="13"/>
      <c r="BH91" s="13"/>
      <c r="BI91" s="5"/>
      <c r="BJ91" s="134">
        <f>IF(SnapshotTable[[#This Row],[LP Qty]] &gt; 0, SnapshotTable[[#This Row],[LP Qty]] * SnapshotTable[[#This Row],[LP Book Price]] * 100,0)</f>
        <v>0</v>
      </c>
      <c r="BK91" s="134">
        <f>IF(SnapshotTable[[#This Row],[LP Premium]] &gt; 0, SnapshotTable[[#This Row],[LP Qty]] * SnapshotTable[[#This Row],[LP Strike Price]] * 100,0)</f>
        <v>0</v>
      </c>
      <c r="BL91" s="152"/>
      <c r="BM91" s="355" t="str">
        <f>IF(SnapshotTable[[#This Row],[LP Premium]] &gt; 0,SnapshotTable[[#This Row],[LP Exp Date]]-MAX(SnapshotTable[[#This Row],[LP Book Date]], SnapshotTable[[#This Row],[LP Fill Date]]),"")</f>
        <v/>
      </c>
      <c r="BN91" s="355" t="str">
        <f>IF(ISNUMBER( SnapshotTable[[#This Row],[LP Term]]), SnapshotTable[[#This Row],[LP Exp Date]] - MockToday,"")</f>
        <v/>
      </c>
      <c r="BO91" s="161" t="str">
        <f>IF(AND(SnapshotTable[[#This Row],[LP Exp Date]]&gt;0, SnapshotTable[[#This Row],[LP Strike Price]]&gt;0,SnapshotTable[[#This Row],[LP Qty]]&gt;0,SnapshotTable[[#This Row],[LP Book Date]]&gt;0,SnapshotTable[[#This Row],[LP Book Price]]&gt;0,SnapshotTable[[#This Row],[LP Fill Date]]=0),"Y","")</f>
        <v/>
      </c>
      <c r="BP91" s="31" t="str">
        <f>IF(AND(SnapshotTable[[#This Row],[LP No Fill]]&lt;&gt;"Y",SnapshotTable[[#This Row],[LP Contract Value]]&gt;0, SnapshotTable[[#This Row],[LP Qty]]&gt;0), SnapshotTable[[#This Row],[LP Contract Value]]*SnapshotTable[[#This Row],[LP Qty]]*100,"")</f>
        <v/>
      </c>
      <c r="BQ91" s="13"/>
      <c r="BR91" s="5"/>
      <c r="BS91" s="36"/>
      <c r="BT91" s="145"/>
      <c r="BU91" s="13"/>
      <c r="BV91" s="5"/>
      <c r="BW91" s="382" t="b">
        <f>AND(ISNUMBER(SnapshotTable[[#This Row],[SP Exp Date]]), ISNUMBER(SnapshotTable[[#This Row],[SP Strike Price]]), ISNUMBER(SnapshotTable[[#This Row],[SP Qty]]), ISNUMBER(SnapshotTable[[#This Row],[SP Book Date]]), ISNUMBER(SnapshotTable[[#This Row],[SP Book Price]]))</f>
        <v>0</v>
      </c>
      <c r="BX91" s="382" t="b">
        <f>AND(SnapshotTable[[#This Row],[SP Is Booked]], NOT(ISBLANK(SnapshotTable[[#This Row],[SP Fill Date]])))</f>
        <v>0</v>
      </c>
      <c r="BY91" s="33">
        <f>IF(SnapshotTable[[#This Row],[SP Is Booked]], SnapshotTable[[#This Row],[SP Qty]] * SnapshotTable[[#This Row],[SP Book Price]] * 100, 0)</f>
        <v>0</v>
      </c>
      <c r="BZ91" s="339"/>
      <c r="CA91" s="338">
        <f>SnapshotTable[[#This Row],[LP Qty]]</f>
        <v>0</v>
      </c>
      <c r="CB91" s="4" t="str">
        <f>IF(SnapshotTable[[#This Row],[SP Is Booked]], SnapshotTable[[#This Row],[SP Strike Price]] - SnapshotTable[[#This Row],[SP Book Price]], "")</f>
        <v/>
      </c>
      <c r="CC91" s="19" t="str">
        <f>IF(SnapshotTable[[#This Row],[SP Is Booked]],SnapshotTable[[#This Row],[SP Exp Date]]-MAX(SnapshotTable[[#This Row],[SP Book Date]], SnapshotTable[[#This Row],[SP Fill Date]]),"")</f>
        <v/>
      </c>
      <c r="CD91" s="7" t="str">
        <f>IF(SnapshotTable[[#This Row],[SP Is Booked]], SnapshotTable[[#This Row],[SP Book Price]]/SnapshotTable[[#This Row],[SP Strike Price]], "")</f>
        <v/>
      </c>
      <c r="CE91" s="7" t="str">
        <f>IF(ISNUMBER(SnapshotTable[[#This Row],[SP ROO Term]]),SnapshotTable[[#This Row],[SP ROO Term]]*(365/SnapshotTable[[#This Row],[SP Term]]),"")</f>
        <v/>
      </c>
      <c r="CF91" s="221">
        <f>SnapshotTable[[#This Row],[LP Strike Price]] * SnapshotTable[[#This Row],[LP Qty]] * 100</f>
        <v>0</v>
      </c>
      <c r="CG91" s="31">
        <f>IF(ISNUMBER(SnapshotTable[[#This Row],[SP Premium]]), (SnapshotTable[[#This Row],[SP Qty]] * SnapshotTable[[#This Row],[SP Strike Price]]* 100) - SnapshotTable[[#This Row],[LP Protection]], 0)</f>
        <v>0</v>
      </c>
      <c r="CH91" s="7" t="str">
        <f>IF(ISNUMBER(SnapshotTable[[#This Row],[SP Break Even]]),-1 * (SnapshotTable[[#This Row],[SP Break Even]] - SnapshotTable[[#This Row],[Last Price]]) / SnapshotTable[[#This Row],[Last Price]], "")</f>
        <v/>
      </c>
      <c r="CI91" s="31">
        <f>IF(AND(ISNUMBER((SnapshotTable[[#This Row],[SP Potential Spend]])), SnapshotTable[[#This Row],[SP Strike Price]] &gt; SnapshotTable[[#This Row],[Last Price]], SnapshotTable[[#This Row],[SP Is Filled]]), SnapshotTable[[#This Row],[SP Potential Spend]] -  SnapshotTable[[#This Row],[LP Max Value]], 0)</f>
        <v>0</v>
      </c>
      <c r="CJ91" s="229"/>
      <c r="CK91" s="31">
        <f>IF(ISNUMBER(SnapshotTable[[#This Row],[SP Potential Spend]]),IF(ISNUMBER(SnapshotTable[[#This Row],[SP POW]]), SnapshotTable[[#This Row],[SP POW]] * SnapshotTable[[#This Row],[SP Potential Spend]], SnapshotTable[[#This Row],[SP Potential Spend]]), "")</f>
        <v>0</v>
      </c>
      <c r="CL91" s="162">
        <f>IF(NOT(SnapshotTable[[#This Row],[SP Is Filled]]),(SnapshotTable[[#This Row],[SP Qty]] * SnapshotTable[[#This Row],[SP Strike Price]] * 100) - SnapshotTable[[#This Row],[LP Max Value]],"")</f>
        <v>0</v>
      </c>
      <c r="CM91" s="31" t="str">
        <f>IF(SnapshotTable[[#This Row],[SP Actual Spend]]&lt;&gt;0, ((SnapshotTable[[#This Row],[SP Strike Price]]-SnapshotTable[[#This Row],[Last Price]]) *(SnapshotTable[[#This Row],[SP Qty]]*100) - SnapshotTable[[#This Row],[SP Premium]]) * - 1, "")</f>
        <v/>
      </c>
      <c r="CN91" s="76"/>
      <c r="CO91" s="339"/>
      <c r="CP91" s="4" t="str">
        <f>IF(SnapshotTable[[#This Row],[SP Is Filled]], btc_max_buyback_amount(SnapshotTable[[#This Row],[SP Fill Date]],SnapshotTable[[#This Row],[SP Exp Date]], SnapshotTable[[#This Row],[SP Book Price]]),"")</f>
        <v/>
      </c>
      <c r="CQ91" s="76"/>
      <c r="CR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1" s="153" t="str">
        <f>IF(SnapshotTable[[#This Row],[SP Is Filled]], btc_next_cutoff_date(SnapshotTable[[#This Row],[SP Fill Date]],SnapshotTable[[#This Row],[SP Exp Date]]),"")</f>
        <v/>
      </c>
      <c r="CT91" s="220" t="str" cm="1">
        <f t="array" ref="CT91">IF(SnapshotTable[[#This Row],[SP Is Filled]], btc_should_buy_back(SnapshotTable[[#This Row],[SP Fill Date]], SnapshotTable[[#This Row],[SP Exp Date]], SnapshotTable[[#This Row],[SP Book Price]], SnapshotTable[[#This Row],[SP Current Ask]], MockToday, SnapshotTable[[#This Row],[SP Buyback Override]]),"")</f>
        <v/>
      </c>
      <c r="CU91" s="141"/>
      <c r="CV91" s="220"/>
      <c r="CW91" s="348" t="str">
        <f>IF(ISNUMBER( SnapshotTable[[#This Row],[SP Term]]), SnapshotTable[[#This Row],[SP Exp Date]] - MockToday,"")</f>
        <v/>
      </c>
      <c r="CX91" s="31" t="str">
        <f>IF(SnapshotTable[[#This Row],[SP Is Filled]],SnapshotTable[[#This Row],[SP Buyback Price to Use]] * 100 * SnapshotTable[[#This Row],[SP Qty]], "")</f>
        <v/>
      </c>
      <c r="CY91" s="4" t="str">
        <f>IF(ISNUMBER(SnapshotTable[[#This Row],[SP Strike Price]]), SnapshotTable[[#This Row],[SP Strike Price]] * (1 - SP_MaxLoss_StrikePct), "")</f>
        <v/>
      </c>
      <c r="CZ91" s="31" t="str">
        <f>IF(ISNUMBER(SnapshotTable[[#This Row],[SP Strike  Stop Per Share]]),SnapshotTable[[#This Row],[SP Premium]] - ((SnapshotTable[[#This Row],[SP Strike Price]]-SnapshotTable[[#This Row],[SP Strike  Stop Per Share]]) *(SnapshotTable[[#This Row],[SP Qty]] * 100)),"")</f>
        <v/>
      </c>
      <c r="DA91" s="4" t="str">
        <f>IF(AND(ISNUMBER(SnapshotTable[[#This Row],[SP Premium]]),SnapshotTable[[#This Row],[SP Premium]]&gt;0), SnapshotTable[[#This Row],[SP Book Price]] * (1 + SP_MaxLoss_OptionPct), "")</f>
        <v/>
      </c>
      <c r="DB91" s="31" t="str">
        <f>IF(ISNUMBER(SnapshotTable[[#This Row],[SP Option  Stop Contract]]),(SnapshotTable[[#This Row],[SP Option  Stop Contract]] *(SnapshotTable[[#This Row],[SP Qty]] * 100) - SnapshotTable[[#This Row],[SP Premium]]),"")</f>
        <v/>
      </c>
      <c r="DC91" s="4"/>
      <c r="DD91" s="4"/>
      <c r="DE91" s="4" t="str">
        <f>IF(AND(SnapshotTable[[#This Row],[SP Qty]]&gt;0, SnapshotTable[[#This Row],[SP Stop To Use]]&gt;0),SnapshotTable[[#This Row],[SP Premium]] - ( SnapshotTable[[#This Row],[SP Qty]] * SnapshotTable[[#This Row],[SP Stop To Use]] * 100), "")</f>
        <v/>
      </c>
      <c r="DF91" s="31" t="str">
        <f>IF(AND(SnapshotTable[[#This Row],[SP Qty]]&gt;0,SnapshotTable[[#This Row],[SP Current Ask]]&gt;0), SnapshotTable[[#This Row],[SP Qty]] * SnapshotTable[[#This Row],[SP Current Ask]] * -100, "")</f>
        <v/>
      </c>
      <c r="DG91" s="31" t="str">
        <f>IF(ISNUMBER((SnapshotTable[[#This Row],[SP Total Value]])), SnapshotTable[[#This Row],[SP Premium]] + SnapshotTable[[#This Row],[SP Total Value]], "")</f>
        <v/>
      </c>
      <c r="DH91" s="272" t="str">
        <f>IF(ISNUMBER((SnapshotTable[[#This Row],[SP Total Value]])), SnapshotTable[[#This Row],[SP Gain Loss]] / SnapshotTable[[#This Row],[SP Premium]], "")</f>
        <v/>
      </c>
      <c r="DI91" s="369"/>
      <c r="DJ91" s="136"/>
      <c r="DK91" s="146"/>
      <c r="DL91" s="13"/>
      <c r="DM91" s="13"/>
      <c r="DO91" s="31">
        <f>IF(SnapshotTable[[#This Row],[LC Symbol Count]]=1, SnapshotTable[[#This Row],[LC Qty]] * SnapshotTable[[#This Row],[LC Book Price]] * 100, 0)</f>
        <v>0</v>
      </c>
      <c r="DP91" s="161" t="str">
        <f>IF(AND(SnapshotTable[[#This Row],[LC Exp Date]]&gt;0, SnapshotTable[[#This Row],[LC Strike Price]]&gt;0,SnapshotTable[[#This Row],[LC Qty]]&gt;0,SnapshotTable[[#This Row],[LC Book Date]]&gt;0,SnapshotTable[[#This Row],[LC Book Price]]&gt;0,SnapshotTable[[#This Row],[LC Fill Date]]=0),"Y","")</f>
        <v/>
      </c>
      <c r="DQ91" s="356" t="str">
        <f>IF(SnapshotTable[[#This Row],[LC Premium]] &gt; 0,SnapshotTable[[#This Row],[LC Exp Date]]-MAX(SnapshotTable[[#This Row],[LC Book Date]], SnapshotTable[[#This Row],[LC Fill Date]]),"")</f>
        <v/>
      </c>
      <c r="DR91" s="356" t="str">
        <f>IF(ISNUMBER(SnapshotTable[[#This Row],[LC Term]]), SnapshotTable[[#This Row],[LC Exp Date]] - MockToday, "")</f>
        <v/>
      </c>
      <c r="DS91" s="219" t="str">
        <f>IF(SnapshotTable[[#This Row],[LC Premium]]&gt;0,SnapshotTable[[#This Row],[LC Strike Price]] + SnapshotTable[[#This Row],[LC Book Price]],"")</f>
        <v/>
      </c>
      <c r="DU91" s="9" t="str">
        <f>IF(AND(SnapshotTable[[#This Row],[LC Symbol Count]]&gt;0, SnapshotTable[[#This Row],[LC Contract Value]]&gt;0), SnapshotTable[[#This Row],[LC Contract Value]] * SnapshotTable[[#This Row],[LC Qty]] * 100, "")</f>
        <v/>
      </c>
      <c r="DV91" s="9" t="str">
        <f>IF(AND(ISNUMBER(SnapshotTable[[#This Row],[LC Total Value]]), SnapshotTable[[#This Row],[LC Not Filled]]&lt;&gt;"Y"), SnapshotTable[[#This Row],[LC Total Value]]-SnapshotTable[[#This Row],[LC Premium]],"")</f>
        <v/>
      </c>
      <c r="DW91" s="225" t="str">
        <f>IF(ISNUMBER(SnapshotTable[[#This Row],[LC Actual Gain Loss]]), SnapshotTable[[#This Row],[LC Actual Gain Loss]] / SnapshotTable[[#This Row],[LC Premium]],"")</f>
        <v/>
      </c>
      <c r="DX91" s="269" t="str">
        <f>IF(ISNUMBER(SnapshotTable[[#This Row],[LC Book Price]]),SnapshotTable[[#This Row],[LC Book Price]] * 1.5,"")</f>
        <v/>
      </c>
      <c r="DY91" s="250" t="str">
        <f>IF(SnapshotTable[[#This Row],[LC Premium]]&gt;0, SnapshotTable[[#This Row],[LC Next Target]] * SnapshotTable[[#This Row],[LC Qty]] * 100,"")</f>
        <v/>
      </c>
      <c r="DZ91" s="250" t="str">
        <f>IF(ISNUMBER(SnapshotTable[[#This Row],[LC Target Gross]]), SnapshotTable[[#This Row],[LC Target Gross]] - SnapshotTable[[#This Row],[LC Premium]], "")</f>
        <v/>
      </c>
      <c r="EA91" s="283" t="str">
        <f>IF(ISNUMBER(SnapshotTable[[#This Row],[LC Target Gain Loss]]), SnapshotTable[[#This Row],[LC Target Gain Loss]]/SnapshotTable[[#This Row],[LC Premium]], "")</f>
        <v/>
      </c>
      <c r="EB91" s="247"/>
      <c r="EC91" s="268" t="str">
        <f>IF(SnapshotTable[[#This Row],[LC Premium]]&gt;0, SnapshotTable[[#This Row],[LC Book Price]] * (1 - LC_StopLoss_Pct),"")</f>
        <v/>
      </c>
      <c r="ED91" s="269"/>
      <c r="EE91" s="268" t="str">
        <f>IF(ISNUMBER(SnapshotTable[[#This Row],[LC Contract Value]]),IF(ISNUMBER(SnapshotTable[[#This Row],[LC Stop Loss Override]]), SnapshotTable[[#This Row],[LC Stop Loss Override]],SnapshotTable[[#This Row],[LC Stop Loss Calc Target]]),"")</f>
        <v/>
      </c>
      <c r="EF91" s="31" t="str">
        <f>IF(ISNUMBER(SnapshotTable[[#This Row],[LC Stop  To Use]]), (SnapshotTable[[#This Row],[LC Stop  To Use]] * SnapshotTable[[#This Row],[LC Qty]] * 100),"")</f>
        <v/>
      </c>
      <c r="EG91" s="9" t="str">
        <f>IF(ISNUMBER(SnapshotTable[[#This Row],[LC Total Value]]),SnapshotTable[[#This Row],[LC Stop Loss Amount]] - SnapshotTable[[#This Row],[LC Premium]],"")</f>
        <v/>
      </c>
      <c r="EH91" s="9">
        <f>IF(ISNUMBER(SnapshotTable[[#This Row],[LC Premium]]), SnapshotTable[[#This Row],[LC Qty]] * 100 * SnapshotTable[[#This Row],[LC Strike Price]], "")</f>
        <v>0</v>
      </c>
      <c r="EI91" s="225" t="str">
        <f>IF(AND(ISNUMBER(SnapshotTable[[#This Row],[LC Total Value]]),SnapshotTable[[#This Row],[LC Total Value]]&gt;0),SnapshotTable[[#This Row],[LC Stop Gain Loss]]  / SnapshotTable[[#This Row],[LC Premium]],"")</f>
        <v/>
      </c>
      <c r="EJ91" s="35">
        <f>IF(ISNUMBER(SnapshotTable[[#This Row],[Equity Shares]]),TRUNC(SnapshotTable[[#This Row],[Equity Shares]] / 100),0) + SnapshotTable[[#This Row],[LC Qty]]</f>
        <v>0</v>
      </c>
      <c r="EK91" s="145"/>
      <c r="EL91" s="136"/>
      <c r="EM91" s="146"/>
      <c r="EN91" s="145"/>
      <c r="EO91" s="145"/>
      <c r="EP91" s="136"/>
      <c r="EQ91" s="382" t="b">
        <f>AND(ISNUMBER(SnapshotTable[[#This Row],[SC Exp Date]]), ISNUMBER(SnapshotTable[[#This Row],[SC Strike Price]]), ISNUMBER(SnapshotTable[[#This Row],[SC Qty]]), ISNUMBER(SnapshotTable[[#This Row],[SC Book Date]]), ISNUMBER(SnapshotTable[[#This Row],[SC Book Price]]))</f>
        <v>0</v>
      </c>
      <c r="ER91" s="382" t="b">
        <f>AND(SnapshotTable[[#This Row],[SC Is Booked]], NOT(ISBLANK(SnapshotTable[[#This Row],[SC Fill Date]])))</f>
        <v>0</v>
      </c>
      <c r="ES91" s="340"/>
      <c r="ET91" s="34" t="str">
        <f>IF(AND(ISNUMBER(SnapshotTable[[#This Row],[SC Exp Date]]), ISNUMBER(SnapshotTable[[#This Row],[SC Book Date]])), SnapshotTable[[#This Row],[SC Exp Date]] - MAX(SnapshotTable[[#This Row],[SC Book Date]], SnapshotTable[[#This Row],[SC Fill Date]]) + 1, "")</f>
        <v/>
      </c>
      <c r="EU91" s="34" t="str">
        <f>IF(ISNUMBER(SnapshotTable[[#This Row],[SC Term]]), SnapshotTable[[#This Row],[SC Exp Date]]- MockToday, "")</f>
        <v/>
      </c>
      <c r="EV91" s="31">
        <f>IF(SnapshotTable[[#This Row],[SC Is Booked]], SnapshotTable[[#This Row],[SC Qty]] * SnapshotTable[[#This Row],[SC Book Price]] * 100, 0)</f>
        <v>0</v>
      </c>
      <c r="EW91" s="4" t="str">
        <f>IF(AND(ISNUMBER(SnapshotTable[[#This Row],[Last Price]]), ISNUMBER( SnapshotTable[[#This Row],[SC Book Price]])), SnapshotTable[[#This Row],[Last Price]] - SnapshotTable[[#This Row],[SC Book Price]],"")</f>
        <v/>
      </c>
      <c r="EX91" s="219" t="str">
        <f>IF(SnapshotTable[[#This Row],[SC Is Booked]],IF(SnapshotTable[[#This Row],[SC Intrinsic Value]] &gt; 0, SnapshotTable[[#This Row],[SC Strike Price]], SnapshotTable[[#This Row],[Last Price]]), "")</f>
        <v/>
      </c>
      <c r="EY91" s="4">
        <f>IF(SnapshotTable[[#This Row],[SC Is Booked]], (MinimumPremiumRequired * SnapshotTable[[#This Row],[SC Basis]] * SnapshotTable[[#This Row],[SC Term]]), 0)</f>
        <v>0</v>
      </c>
      <c r="EZ91" s="268"/>
      <c r="FA91" s="204"/>
      <c r="FB91" s="340"/>
      <c r="FC91" s="4">
        <f>IF(SnapshotTable[[#This Row],[SC Is Filled]], btc_max_buyback_amount(SnapshotTable[[#This Row],[SC Fill Date]],SnapshotTable[[#This Row],[SC Exp Date]], SnapshotTable[[#This Row],[SC Book Price]]),0)</f>
        <v>0</v>
      </c>
      <c r="FD91" s="5"/>
      <c r="FE91" s="142" t="str">
        <f>IF(SnapshotTable[[#This Row],[SC Is Filled]], btc_next_cutoff_date(SnapshotTable[[#This Row],[SC Fill Date]],SnapshotTable[[#This Row],[SC Exp Date]]),"")</f>
        <v/>
      </c>
      <c r="FF91" s="4" t="str" cm="1">
        <f t="array" ref="FF91">IF(SnapshotTable[[#This Row],[SC Is Filled]], btc_should_buy_back(SnapshotTable[[#This Row],[SC Fill Date]], SnapshotTable[[#This Row],[SC Exp Date]], SnapshotTable[[#This Row],[SC Book Price]], SnapshotTable[[#This Row],[SC Current Ask]], MockToday, SnapshotTable[[#This Row],[SC Buyback Override]]),"")</f>
        <v/>
      </c>
      <c r="FG91" s="4">
        <f>IF(SnapshotTable[[#This Row],[SC Is Filled]], MAX(0,SnapshotTable[[#This Row],[Last Price]]  - SnapshotTable[[#This Row],[SC Strike Price]]), 0)</f>
        <v>0</v>
      </c>
      <c r="FH91" s="352">
        <f>IF(SnapshotTable[[#This Row],[SC Is Filled]], IF(ISNUMBER(SnapshotTable[[#This Row],[SC Current Ask]]), SnapshotTable[[#This Row],[SC Current Ask]], SnapshotTable[[#This Row],[SC Book Price]]) - SnapshotTable[[#This Row],[SC Intrinsic Value]], 0)</f>
        <v>0</v>
      </c>
      <c r="FI91" s="141"/>
      <c r="FJ91" s="32" t="str">
        <f>IF(SnapshotTable[[#This Row],[SC Is Filled]],100 * SnapshotTable[[#This Row],[SC Qty]] * IF(ISNUMBER(SnapshotTable[[#This Row],[SC Buyback Override]]), SnapshotTable[[#This Row],[SC Buyback Override]], SnapshotTable[[#This Row],[SC Current Ask]]), "")</f>
        <v/>
      </c>
      <c r="FK91" s="235" t="str">
        <f>IF(SnapshotTable[[#This Row],[SC Time Val]]&gt;0, SnapshotTable[[#This Row],[SC Time Val]] / SnapshotTable[[#This Row],[Last Price]],"")</f>
        <v/>
      </c>
      <c r="FL91" s="280" t="str">
        <f>IF(SnapshotTable[[#This Row],[SC Is Booked]], ((SnapshotTable[[#This Row],[Last Price]] -SnapshotTable[[#This Row],[SC Strike Price]]) / SnapshotTable[[#This Row],[Last Price]]) * -1, "")</f>
        <v/>
      </c>
      <c r="FM91" s="155" t="str">
        <f>IF(SnapshotTable[[#This Row],[SC Is Booked]],  (SnapshotTable[[#This Row],[SC Qty]] * 100 * SnapshotTable[[#This Row],[SC Strike Price]]) - SnapshotTable[[#This Row],[SC Current Ask]], "")</f>
        <v/>
      </c>
      <c r="FN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1" s="31" t="str">
        <f>IF(AND(ISNUMBER(SnapshotTable[[#This Row],[SC Exercise Gross]]), ISNUMBER(SnapshotTable[[#This Row],[Equity Basis Per Share]] )), SnapshotTable[[#This Row],[SC Exercise Gross]] - SnapshotTable[[#This Row],[Equity Basis Total]] +  SnapshotTable[[#This Row],[SC Premium]], "")</f>
        <v/>
      </c>
      <c r="FP91" s="5" t="str">
        <f>IF(ISNUMBER(SnapshotTable[[#This Row],[SC Exercise Gross]]), (SnapshotTable[[#This Row],[SC Exercise Gross]]) / (SnapshotTable[[#This Row],[SC Qty]] * 100), "")</f>
        <v/>
      </c>
      <c r="FQ91" s="27" t="str">
        <f>IF(SnapshotTable[[#This Row],[SC Is Booked]],SnapshotTable[[#This Row],[SC Time Val]] /SnapshotTable[[#This Row],[SC Basis]], "")</f>
        <v/>
      </c>
      <c r="FR91" s="27" t="str" cm="1">
        <f t="array" ref="FR91">IF(AND(ISNUMBER(SnapshotTable[[#This Row],[SC Term]]),ISNUMBER(SnapshotTable[[#This Row],[SC Simple ROO]])), EllmanAnnualize(SnapshotTable[[#This Row],[SC DTE]], SnapshotTable[[#This Row],[SC Simple ROO]] ),"")</f>
        <v/>
      </c>
      <c r="FS91" s="4">
        <f>IF(SnapshotTable[[#This Row],[SC Strike Price]] &gt; SnapshotTable[[#This Row],[Last Price]], SnapshotTable[[#This Row],[SC Strike Price]] - SnapshotTable[[#This Row],[Last Price]],0)</f>
        <v>0</v>
      </c>
      <c r="FT91" s="27" t="str">
        <f>IF(AND(ISNUMBER(SnapshotTable[[#This Row],[SC Upside Potential]]), SnapshotTable[[#This Row],[SC Upside Potential]] &gt; 0),(SnapshotTable[[#This Row],[SC Upside Potential]]/ SnapshotTable[[#This Row],[ACB]]),"")</f>
        <v/>
      </c>
      <c r="FU91" s="304" t="str">
        <f>IF(SnapshotTable[[#This Row],[SC Intrinsic Value]] &gt; 0,SnapshotTable[[#This Row],[SC Intrinsic Value]],"")</f>
        <v/>
      </c>
      <c r="FV91" s="27" t="str">
        <f>IF(AND( ISNUMBER( SnapshotTable[[#This Row],[ACB]]),ISNUMBER(SnapshotTable[[#This Row],[SC Downside Protect]])),SnapshotTable[[#This Row],[SC Downside Protect]] / SnapshotTable[[#This Row],[ACB]],"")</f>
        <v/>
      </c>
      <c r="FW91" s="221" t="str">
        <f>IF(AND(ISNUMBER(SnapshotTable[[#This Row],[SC Simple ROO]]),SnapshotTable[[#This Row],[SC Simple ROO]] &gt; 0), SnapshotTable[[#This Row],[SC Premium]] + (SnapshotTable[[#This Row],[SC Qty]] * SnapshotTable[[#This Row],[SC Upside Potential]]), "")</f>
        <v/>
      </c>
      <c r="FX91" s="280" t="str" cm="1">
        <f t="array" ref="FX91">IF(ISNUMBER(SnapshotTable[[#This Row],[SC Max Dollars]]), annualize(SnapshotTable[[#This Row],[SC Term]],(SnapshotTable[[#This Row],[SC Max Dollars]]/SnapshotTable[[#This Row],[SC Basis]])),"")</f>
        <v/>
      </c>
      <c r="FY91" s="221" t="str">
        <f>IF(AND(SnapshotTable[[#This Row],[SC Qty]]&gt;0,SnapshotTable[[#This Row],[SC Current Ask]]&gt;0), SnapshotTable[[#This Row],[SC Qty]] * SnapshotTable[[#This Row],[SC Current Ask]] * -100, "")</f>
        <v/>
      </c>
      <c r="FZ91" s="31" t="str">
        <f>IF(ISNUMBER((SnapshotTable[[#This Row],[SC Current Value]])), SnapshotTable[[#This Row],[SC Premium]] + SnapshotTable[[#This Row],[SC Current Value]], "")</f>
        <v/>
      </c>
      <c r="GA91" s="272" t="str">
        <f>IFERROR( IF(ISNUMBER((SnapshotTable[[#This Row],[SC Current Value]])), SnapshotTable[[#This Row],[SC Gain Loss]] / SnapshotTable[[#This Row],[SC Premium]], ""), "")</f>
        <v/>
      </c>
      <c r="GB91" s="42">
        <f>SnapshotTable[[#This Row],[Equity Shares]] * SaleSharesToConsiderPercentage</f>
        <v>0</v>
      </c>
      <c r="GC91" s="40">
        <f>SnapshotTable[[#This Row],[Long Term Target]] * SellingPriceToConsiderBasedOnTargetPercentage</f>
        <v>147.25</v>
      </c>
      <c r="GD91" s="40">
        <f>SnapshotTable[[#This Row],[Last Price]] * (1+ SellingPriceToConsiderBasedOnTargetPercentage)</f>
        <v>1288.4624999999999</v>
      </c>
      <c r="GE91" s="41"/>
      <c r="GF91" s="40"/>
      <c r="GG91" s="31">
        <f>SnapshotTable[[#This Row],[Booked Sale Shares]] * SnapshotTable[[#This Row],[Booked Sale Price]]</f>
        <v>0</v>
      </c>
      <c r="GH91" s="31" t="str">
        <f>IF(SnapshotTable[[#This Row],[Equity Basis Total]] &gt; 0, SnapshotTable[[#This Row],[Equity Basis Per Share]] * SnapshotTable[[#This Row],[Booked Sale Shares]], "")</f>
        <v/>
      </c>
      <c r="GI91" s="31">
        <f>IF(SnapshotTable[[#This Row],[Sale Proceeds]]&gt;0, SnapshotTable[[#This Row],[Sale Proceeds]] - SnapshotTable[[#This Row],[Sale Basis]], 0)</f>
        <v>0</v>
      </c>
      <c r="GJ91" s="27" t="str">
        <f>IF(SnapshotTable[[#This Row],[Sale G/L]]&gt;0, SnapshotTable[[#This Row],[Sale G/L]] / SnapshotTable[[#This Row],[Sale Basis]], IF(ISNUMBER(SnapshotTable[[#This Row],[SC Exercise P&amp;L (TAX)]]), SnapshotTable[[#This Row],[SC Exercise P&amp;L (TAX)]] / SnapshotTable[[#This Row],[SC Basis]], ""))</f>
        <v/>
      </c>
      <c r="GK91" s="27" t="s">
        <v>548</v>
      </c>
      <c r="GL91" s="43" t="str">
        <f>IF(AND(SnapshotTable[[#This Row],[LP Exp Date]]&gt;0,SnapshotTable[[#This Row],[LP Strike Price]]&gt;0), [1]!ToOptionSymbol(SnapshotTable[[#This Row],[Symbol]], SnapshotTable[[#This Row],[LP Strike Price]],SnapshotTable[[#This Row],[LP Exp Date]],1), "")</f>
        <v/>
      </c>
      <c r="GM91" s="30" t="str">
        <f>IF(LEN(SnapshotTable[[#This Row],[LP Symbol]])&gt;0, 1, "")</f>
        <v/>
      </c>
      <c r="GN91" s="43" t="str">
        <f>IF(AND(SnapshotTable[[#This Row],[SP Exp Date]]&gt;0,SnapshotTable[[#This Row],[SP Strike Price]]&gt;0), [1]!ToOptionSymbol(SnapshotTable[[#This Row],[Symbol]], SnapshotTable[[#This Row],[SP Strike Price]],SnapshotTable[[#This Row],[SP Exp Date]],1), "")</f>
        <v/>
      </c>
      <c r="GO91" s="30" t="str">
        <f>IF(LEN(SnapshotTable[[#This Row],[SP Symbol]])&gt;0, 1, "")</f>
        <v/>
      </c>
      <c r="GP91" s="43" t="str">
        <f>IF(AND(SnapshotTable[[#This Row],[LC Exp Date]]&gt;0,SnapshotTable[[#This Row],[LC Strike Price]]&gt;0), [1]!ToOptionSymbol(SnapshotTable[[#This Row],[Symbol]], SnapshotTable[[#This Row],[LC Strike Price]],SnapshotTable[[#This Row],[LC Exp Date]],0), "")</f>
        <v/>
      </c>
      <c r="GQ91" s="30" t="str">
        <f>IF(LEN(SnapshotTable[[#This Row],[LC Symbol]])&gt;0, 1, "")</f>
        <v/>
      </c>
      <c r="GR91" s="43" t="str">
        <f>IF(AND(SnapshotTable[[#This Row],[SC Exp Date]]&gt;0,SnapshotTable[[#This Row],[SC Strike Price]]&gt;0), [1]!ToOptionSymbol(SnapshotTable[[#This Row],[Symbol]], SnapshotTable[[#This Row],[SC Strike Price]],SnapshotTable[[#This Row],[SC Exp Date]],0), "")</f>
        <v/>
      </c>
      <c r="GS91" s="30" t="str">
        <f>IF(LEN(SnapshotTable[[#This Row],[SC Symbol]])&gt;0, 1, "")</f>
        <v/>
      </c>
      <c r="GT91" s="29" t="str">
        <f>IF(COUNT(SnapshotTable[[#This Row],[LP Symbol Count]],SnapshotTable[[#This Row],[SP Symbol Count]],SnapshotTable[[#This Row],[LC Symbol Count]],SnapshotTable[[#This Row],[SC Symbol Count]])&gt;0, "Y", "")</f>
        <v/>
      </c>
      <c r="GU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1" s="216">
        <f>MAX(SnapshotTable[[#This Row],[Equity Basis Total]],SnapshotTable[[#This Row],[Equity Value]]) + (SnapshotTable[[#This Row],[SP Potential Spend]]- SnapshotTable[[#This Row],[SP Premium]] + SnapshotTable[[#This Row],[LP Premium]])+ (SnapshotTable[[#This Row],[LC Premium]] - SnapshotTable[[#This Row],[SC Premium]])</f>
        <v>0</v>
      </c>
      <c r="GW91" s="137" t="str">
        <f>IF(AND(SnapshotTable[[#This Row],[Exposure]] &lt;&gt; 0),SnapshotTable[[#This Row],[Exposure]] / SnapshotTable[[#Totals],[Exposure]], "")</f>
        <v/>
      </c>
      <c r="HE91" s="253"/>
      <c r="HF91" s="253"/>
      <c r="HK91" s="1"/>
      <c r="HL91" s="1"/>
      <c r="HM91" s="1"/>
      <c r="HN91" s="1"/>
      <c r="HO91" s="1"/>
      <c r="HP91" s="1"/>
    </row>
    <row r="92" spans="2:224" ht="12.75" hidden="1" customHeight="1" x14ac:dyDescent="0.25">
      <c r="B92" s="12" t="s">
        <v>416</v>
      </c>
      <c r="C92" s="385">
        <v>65.89</v>
      </c>
      <c r="D92" s="200"/>
      <c r="E92" s="39">
        <f>SnapshotTable[[#This Row],[Last Price]]*(1 -CrashDiscount)</f>
        <v>56.006499999999996</v>
      </c>
      <c r="F92" s="26" t="s">
        <v>102</v>
      </c>
      <c r="G92" s="26" t="s">
        <v>32</v>
      </c>
      <c r="H92" s="147"/>
      <c r="I92" s="186">
        <v>44768.25</v>
      </c>
      <c r="J92" s="187">
        <v>44768.25</v>
      </c>
      <c r="K92" s="188"/>
      <c r="L92" s="297"/>
      <c r="M92" s="138"/>
      <c r="N92" s="138"/>
      <c r="O92" s="138"/>
      <c r="P92" s="22"/>
      <c r="Q92" s="25"/>
      <c r="R92" s="4" t="str">
        <f>IF(SnapshotTable[[#This Row],[Equity Basis Total]] &gt; 0, SnapshotTable[[#This Row],[Equity Basis Total]] / SnapshotTable[[#This Row],[Equity Shares]], "")</f>
        <v/>
      </c>
      <c r="S92" s="254">
        <f>SnapshotTable[[#This Row],[Last Price]] * SnapshotTable[[#This Row],[Equity Shares]]</f>
        <v>0</v>
      </c>
      <c r="T92" s="254">
        <f>SnapshotTable[[#This Row],[Equity Value]] - SnapshotTable[[#This Row],[Equity Basis Total]]</f>
        <v>0</v>
      </c>
      <c r="U92" s="255" t="str">
        <f>IF(SnapshotTable[[#This Row],[Equity Basis Total]] &gt; 0, SnapshotTable[[#This Row],[Equity G/L]] / SnapshotTable[[#This Row],[Equity Basis Total]], "")</f>
        <v/>
      </c>
      <c r="V92" s="253"/>
      <c r="W92" s="253"/>
      <c r="X92" s="4" t="str">
        <f>IF(AND(ISNUMBER(SnapshotTable[[#This Row],[Equity Basis Per Share]]),ISNUMBER(SnapshotTable[[#This Row],[Equity Target]])),SnapshotTable[[#This Row],[Equity Target]]-SnapshotTable[[#This Row],[Equity Basis Per Share]],"")</f>
        <v/>
      </c>
      <c r="Y92" s="4" t="str">
        <f>IF(AND(ISNUMBER(SnapshotTable[[#This Row],[Equity Basis Per Share]]),ISNUMBER(SnapshotTable[[#This Row],[Equity Stop Loss]])),SnapshotTable[[#This Row],[Equity Stop Loss]]-SnapshotTable[[#This Row],[Equity Basis Per Share]],"")</f>
        <v/>
      </c>
      <c r="Z92" s="260" t="str">
        <f>IFERROR( TEXT(SnapshotTable[[#This Row],[Equity Max Gain Per Share]] /ABS( SnapshotTable[[#This Row],[Equity Max Loss Per Share]]),"0.0 " ) &amp; " : 1", "")</f>
        <v/>
      </c>
      <c r="AA92" s="31" t="str">
        <f>IF(ISNUMBER(SnapshotTable[[#This Row],[Equity Max Gain Per Share]]),SnapshotTable[[#This Row],[Equity Max Gain Per Share]] * SnapshotTable[[#This Row],[Equity Shares]],"")</f>
        <v/>
      </c>
      <c r="AB92" s="31" t="str">
        <f>IF(ISNUMBER(SnapshotTable[[#This Row],[Equity Max Loss Per Share]]),SnapshotTable[[#This Row],[Equity Max Loss Per Share]] * SnapshotTable[[#This Row],[Equity Shares]],"")</f>
        <v/>
      </c>
      <c r="AC92" s="148"/>
      <c r="AD92" s="149"/>
      <c r="AE92" s="31">
        <f>(SnapshotTable[[#This Row],[Annual Dividend Per Share]] / 4) * SnapshotTable[[#This Row],[Equity Shares]]</f>
        <v>0</v>
      </c>
      <c r="AF92" s="31">
        <f>SnapshotTable[[#This Row],[Quarterly Div $]] * 4</f>
        <v>0</v>
      </c>
      <c r="AG92" s="7">
        <f>IF(SnapshotTable[[#This Row],[Annual Dividend Per Share]]&gt;0, SnapshotTable[[#This Row],[Annual Dividend Per Share]]  / SnapshotTable[[#This Row],[Last Price]], 0)</f>
        <v>0</v>
      </c>
      <c r="AH92" s="149"/>
      <c r="AI92" s="5"/>
      <c r="AJ92" s="136">
        <v>74.78</v>
      </c>
      <c r="AK92" s="150" t="str">
        <f>IF(ISNUMBER( SnapshotTable[[#This Row],[EBF Target]]),(SnapshotTable[[#This Row],[EBF Target]] - SnapshotTable[[#This Row],[Last Price]]) / SnapshotTable[[#This Row],[Last Price]], "")</f>
        <v/>
      </c>
      <c r="AL92" s="150" t="str">
        <f>IF(AND(SnapshotTable[[#This Row],[Equity Basis Total]] &gt; 0,ISNUMBER( SnapshotTable[[#This Row],[Long Term Target]])), SnapshotTable[[#This Row],[From Basis $]] / SnapshotTable[[#This Row],[Equity Basis Total]], "")</f>
        <v/>
      </c>
      <c r="AM92" s="9">
        <f>IF( AND(SnapshotTable[[#This Row],[Equity Shares]] &gt;0,ISNUMBER( SnapshotTable[[#This Row],[Long Term Target]])),(SnapshotTable[[#This Row],[Equity Shares]] * SnapshotTable[[#This Row],[Long Term Target]]) - SnapshotTable[[#This Row],[Equity Basis Total]],0)</f>
        <v>0</v>
      </c>
      <c r="AN92" s="9">
        <f>IF( AND(SnapshotTable[[#This Row],[Equity Shares]] &gt;0,ISNUMBER( SnapshotTable[[#This Row],[Long Term Target]])),(SnapshotTable[[#This Row],[Equity Shares]]*SnapshotTable[[#This Row],[Long Term Target]]) - SnapshotTable[[#This Row],[Equity Value]],0)</f>
        <v>0</v>
      </c>
      <c r="AO92" s="150">
        <f>IF(AND(ISNUMBER( SnapshotTable[[#This Row],[Long Term Target]]), ISNUMBER(SnapshotTable[[#This Row],[Last Price]])),(SnapshotTable[[#This Row],[Long Term Target]] - SnapshotTable[[#This Row],[Last Price]]) / SnapshotTable[[#This Row],[Last Price]], "")</f>
        <v>0.13492183942935196</v>
      </c>
      <c r="AP92" s="5">
        <v>60</v>
      </c>
      <c r="AQ92" s="38" t="s">
        <v>28</v>
      </c>
      <c r="AR92" s="5">
        <v>45</v>
      </c>
      <c r="AS92" s="38" t="s">
        <v>28</v>
      </c>
      <c r="AT92" s="144" t="s">
        <v>417</v>
      </c>
      <c r="AU92" s="185" t="str">
        <f>IF(OR(SnapshotTable[[#This Row],[LP No Fill]]="Y",SnapshotTable[[#This Row],[SP Is Filled]],SnapshotTable[[#This Row],[LC Not Filled]]="Y",SnapshotTable[[#This Row],[SC Is Filled]]),"Y","")</f>
        <v/>
      </c>
      <c r="AV92" s="205"/>
      <c r="AW92" s="211"/>
      <c r="AX92" s="206"/>
      <c r="AY92" s="205" t="str">
        <f>IF(SnapshotTable[[#This Row],[Implied Move]]&gt;0, SnapshotTable[[#This Row],[Last Price]]-SnapshotTable[[#This Row],[Implied Move]],"")</f>
        <v/>
      </c>
      <c r="AZ92" s="205" t="str">
        <f>IF(SnapshotTable[[#This Row],[Implied Move]]&gt;0, SnapshotTable[[#This Row],[Last Price]] + SnapshotTable[[#This Row],[Implied Move]],"")</f>
        <v/>
      </c>
      <c r="BA92" s="302"/>
      <c r="BB92" s="318"/>
      <c r="BC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2" s="321"/>
      <c r="BE92" s="5"/>
      <c r="BF92" s="14"/>
      <c r="BG92" s="13"/>
      <c r="BH92" s="13"/>
      <c r="BI92" s="5"/>
      <c r="BJ92" s="134">
        <f>IF(SnapshotTable[[#This Row],[LP Qty]] &gt; 0, SnapshotTable[[#This Row],[LP Qty]] * SnapshotTable[[#This Row],[LP Book Price]] * 100,0)</f>
        <v>0</v>
      </c>
      <c r="BK92" s="134">
        <f>IF(SnapshotTable[[#This Row],[LP Premium]] &gt; 0, SnapshotTable[[#This Row],[LP Qty]] * SnapshotTable[[#This Row],[LP Strike Price]] * 100,0)</f>
        <v>0</v>
      </c>
      <c r="BL92" s="152"/>
      <c r="BM92" s="355" t="str">
        <f>IF(SnapshotTable[[#This Row],[LP Premium]] &gt; 0,SnapshotTable[[#This Row],[LP Exp Date]]-MAX(SnapshotTable[[#This Row],[LP Book Date]], SnapshotTable[[#This Row],[LP Fill Date]]),"")</f>
        <v/>
      </c>
      <c r="BN92" s="355" t="str">
        <f>IF(ISNUMBER( SnapshotTable[[#This Row],[LP Term]]), SnapshotTable[[#This Row],[LP Exp Date]] - MockToday,"")</f>
        <v/>
      </c>
      <c r="BO92" s="161" t="str">
        <f>IF(AND(SnapshotTable[[#This Row],[LP Exp Date]]&gt;0, SnapshotTable[[#This Row],[LP Strike Price]]&gt;0,SnapshotTable[[#This Row],[LP Qty]]&gt;0,SnapshotTable[[#This Row],[LP Book Date]]&gt;0,SnapshotTable[[#This Row],[LP Book Price]]&gt;0,SnapshotTable[[#This Row],[LP Fill Date]]=0),"Y","")</f>
        <v/>
      </c>
      <c r="BP92" s="31" t="str">
        <f>IF(AND(SnapshotTable[[#This Row],[LP No Fill]]&lt;&gt;"Y",SnapshotTable[[#This Row],[LP Contract Value]]&gt;0, SnapshotTable[[#This Row],[LP Qty]]&gt;0), SnapshotTable[[#This Row],[LP Contract Value]]*SnapshotTable[[#This Row],[LP Qty]]*100,"")</f>
        <v/>
      </c>
      <c r="BQ92" s="13"/>
      <c r="BR92" s="5"/>
      <c r="BS92" s="36"/>
      <c r="BT92" s="145"/>
      <c r="BU92" s="13"/>
      <c r="BV92" s="5"/>
      <c r="BW92" s="382" t="b">
        <f>AND(ISNUMBER(SnapshotTable[[#This Row],[SP Exp Date]]), ISNUMBER(SnapshotTable[[#This Row],[SP Strike Price]]), ISNUMBER(SnapshotTable[[#This Row],[SP Qty]]), ISNUMBER(SnapshotTable[[#This Row],[SP Book Date]]), ISNUMBER(SnapshotTable[[#This Row],[SP Book Price]]))</f>
        <v>0</v>
      </c>
      <c r="BX92" s="382" t="b">
        <f>AND(SnapshotTable[[#This Row],[SP Is Booked]], NOT(ISBLANK(SnapshotTable[[#This Row],[SP Fill Date]])))</f>
        <v>0</v>
      </c>
      <c r="BY92" s="33">
        <f>IF(SnapshotTable[[#This Row],[SP Is Booked]], SnapshotTable[[#This Row],[SP Qty]] * SnapshotTable[[#This Row],[SP Book Price]] * 100, 0)</f>
        <v>0</v>
      </c>
      <c r="BZ92" s="339"/>
      <c r="CA92" s="338">
        <f>SnapshotTable[[#This Row],[LP Qty]]</f>
        <v>0</v>
      </c>
      <c r="CB92" s="4" t="str">
        <f>IF(SnapshotTable[[#This Row],[SP Is Booked]], SnapshotTable[[#This Row],[SP Strike Price]] - SnapshotTable[[#This Row],[SP Book Price]], "")</f>
        <v/>
      </c>
      <c r="CC92" s="19" t="str">
        <f>IF(SnapshotTable[[#This Row],[SP Is Booked]],SnapshotTable[[#This Row],[SP Exp Date]]-MAX(SnapshotTable[[#This Row],[SP Book Date]], SnapshotTable[[#This Row],[SP Fill Date]]),"")</f>
        <v/>
      </c>
      <c r="CD92" s="7" t="str">
        <f>IF(SnapshotTable[[#This Row],[SP Is Booked]], SnapshotTable[[#This Row],[SP Book Price]]/SnapshotTable[[#This Row],[SP Strike Price]], "")</f>
        <v/>
      </c>
      <c r="CE92" s="7" t="str">
        <f>IF(ISNUMBER(SnapshotTable[[#This Row],[SP ROO Term]]),SnapshotTable[[#This Row],[SP ROO Term]]*(365/SnapshotTable[[#This Row],[SP Term]]),"")</f>
        <v/>
      </c>
      <c r="CF92" s="221">
        <f>SnapshotTable[[#This Row],[LP Strike Price]] * SnapshotTable[[#This Row],[LP Qty]] * 100</f>
        <v>0</v>
      </c>
      <c r="CG92" s="31">
        <f>IF(ISNUMBER(SnapshotTable[[#This Row],[SP Premium]]), (SnapshotTable[[#This Row],[SP Qty]] * SnapshotTable[[#This Row],[SP Strike Price]]* 100) - SnapshotTable[[#This Row],[LP Protection]], 0)</f>
        <v>0</v>
      </c>
      <c r="CH92" s="7" t="str">
        <f>IF(ISNUMBER(SnapshotTable[[#This Row],[SP Break Even]]),-1 * (SnapshotTable[[#This Row],[SP Break Even]] - SnapshotTable[[#This Row],[Last Price]]) / SnapshotTable[[#This Row],[Last Price]], "")</f>
        <v/>
      </c>
      <c r="CI92" s="31">
        <f>IF(AND(ISNUMBER((SnapshotTable[[#This Row],[SP Potential Spend]])), SnapshotTable[[#This Row],[SP Strike Price]] &gt; SnapshotTable[[#This Row],[Last Price]], SnapshotTable[[#This Row],[SP Is Filled]]), SnapshotTable[[#This Row],[SP Potential Spend]] -  SnapshotTable[[#This Row],[LP Max Value]], 0)</f>
        <v>0</v>
      </c>
      <c r="CJ92" s="229"/>
      <c r="CK92" s="31">
        <f>IF(ISNUMBER(SnapshotTable[[#This Row],[SP Potential Spend]]),IF(ISNUMBER(SnapshotTable[[#This Row],[SP POW]]), SnapshotTable[[#This Row],[SP POW]] * SnapshotTable[[#This Row],[SP Potential Spend]], SnapshotTable[[#This Row],[SP Potential Spend]]), "")</f>
        <v>0</v>
      </c>
      <c r="CL92" s="162">
        <f>IF(NOT(SnapshotTable[[#This Row],[SP Is Filled]]),(SnapshotTable[[#This Row],[SP Qty]] * SnapshotTable[[#This Row],[SP Strike Price]] * 100) - SnapshotTable[[#This Row],[LP Max Value]],"")</f>
        <v>0</v>
      </c>
      <c r="CM92" s="31" t="str">
        <f>IF(SnapshotTable[[#This Row],[SP Actual Spend]]&lt;&gt;0, ((SnapshotTable[[#This Row],[SP Strike Price]]-SnapshotTable[[#This Row],[Last Price]]) *(SnapshotTable[[#This Row],[SP Qty]]*100) - SnapshotTable[[#This Row],[SP Premium]]) * - 1, "")</f>
        <v/>
      </c>
      <c r="CN92" s="76"/>
      <c r="CO92" s="339"/>
      <c r="CP92" s="4" t="str">
        <f>IF(SnapshotTable[[#This Row],[SP Is Filled]], btc_max_buyback_amount(SnapshotTable[[#This Row],[SP Fill Date]],SnapshotTable[[#This Row],[SP Exp Date]], SnapshotTable[[#This Row],[SP Book Price]]),"")</f>
        <v/>
      </c>
      <c r="CQ92" s="76"/>
      <c r="CR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2" s="153" t="str">
        <f>IF(SnapshotTable[[#This Row],[SP Is Filled]], btc_next_cutoff_date(SnapshotTable[[#This Row],[SP Fill Date]],SnapshotTable[[#This Row],[SP Exp Date]]),"")</f>
        <v/>
      </c>
      <c r="CT92" s="220" t="str" cm="1">
        <f t="array" ref="CT92">IF(SnapshotTable[[#This Row],[SP Is Filled]], btc_should_buy_back(SnapshotTable[[#This Row],[SP Fill Date]], SnapshotTable[[#This Row],[SP Exp Date]], SnapshotTable[[#This Row],[SP Book Price]], SnapshotTable[[#This Row],[SP Current Ask]], MockToday, SnapshotTable[[#This Row],[SP Buyback Override]]),"")</f>
        <v/>
      </c>
      <c r="CU92" s="141"/>
      <c r="CV92" s="220"/>
      <c r="CW92" s="348" t="str">
        <f>IF(ISNUMBER( SnapshotTable[[#This Row],[SP Term]]), SnapshotTable[[#This Row],[SP Exp Date]] - MockToday,"")</f>
        <v/>
      </c>
      <c r="CX92" s="31" t="str">
        <f>IF(SnapshotTable[[#This Row],[SP Is Filled]],SnapshotTable[[#This Row],[SP Buyback Price to Use]] * 100 * SnapshotTable[[#This Row],[SP Qty]], "")</f>
        <v/>
      </c>
      <c r="CY92" s="4" t="str">
        <f>IF(ISNUMBER(SnapshotTable[[#This Row],[SP Strike Price]]), SnapshotTable[[#This Row],[SP Strike Price]] * (1 - SP_MaxLoss_StrikePct), "")</f>
        <v/>
      </c>
      <c r="CZ92" s="31" t="str">
        <f>IF(ISNUMBER(SnapshotTable[[#This Row],[SP Strike  Stop Per Share]]),SnapshotTable[[#This Row],[SP Premium]] - ((SnapshotTable[[#This Row],[SP Strike Price]]-SnapshotTable[[#This Row],[SP Strike  Stop Per Share]]) *(SnapshotTable[[#This Row],[SP Qty]] * 100)),"")</f>
        <v/>
      </c>
      <c r="DA92" s="4" t="str">
        <f>IF(AND(ISNUMBER(SnapshotTable[[#This Row],[SP Premium]]),SnapshotTable[[#This Row],[SP Premium]]&gt;0), SnapshotTable[[#This Row],[SP Book Price]] * (1 + SP_MaxLoss_OptionPct), "")</f>
        <v/>
      </c>
      <c r="DB92" s="31" t="str">
        <f>IF(ISNUMBER(SnapshotTable[[#This Row],[SP Option  Stop Contract]]),(SnapshotTable[[#This Row],[SP Option  Stop Contract]] *(SnapshotTable[[#This Row],[SP Qty]] * 100) - SnapshotTable[[#This Row],[SP Premium]]),"")</f>
        <v/>
      </c>
      <c r="DC92" s="4"/>
      <c r="DD92" s="4"/>
      <c r="DE92" s="4" t="str">
        <f>IF(AND(SnapshotTable[[#This Row],[SP Qty]]&gt;0, SnapshotTable[[#This Row],[SP Stop To Use]]&gt;0),SnapshotTable[[#This Row],[SP Premium]] - ( SnapshotTable[[#This Row],[SP Qty]] * SnapshotTable[[#This Row],[SP Stop To Use]] * 100), "")</f>
        <v/>
      </c>
      <c r="DF92" s="31" t="str">
        <f>IF(AND(SnapshotTable[[#This Row],[SP Qty]]&gt;0,SnapshotTable[[#This Row],[SP Current Ask]]&gt;0), SnapshotTable[[#This Row],[SP Qty]] * SnapshotTable[[#This Row],[SP Current Ask]] * -100, "")</f>
        <v/>
      </c>
      <c r="DG92" s="31" t="str">
        <f>IF(ISNUMBER((SnapshotTable[[#This Row],[SP Total Value]])), SnapshotTable[[#This Row],[SP Premium]] + SnapshotTable[[#This Row],[SP Total Value]], "")</f>
        <v/>
      </c>
      <c r="DH92" s="272" t="str">
        <f>IF(ISNUMBER((SnapshotTable[[#This Row],[SP Total Value]])), SnapshotTable[[#This Row],[SP Gain Loss]] / SnapshotTable[[#This Row],[SP Premium]], "")</f>
        <v/>
      </c>
      <c r="DI92" s="369"/>
      <c r="DJ92" s="136"/>
      <c r="DK92" s="146"/>
      <c r="DL92" s="13"/>
      <c r="DM92" s="13"/>
      <c r="DO92" s="31">
        <f>IF(SnapshotTable[[#This Row],[LC Symbol Count]]=1, SnapshotTable[[#This Row],[LC Qty]] * SnapshotTable[[#This Row],[LC Book Price]] * 100, 0)</f>
        <v>0</v>
      </c>
      <c r="DP92" s="161" t="str">
        <f>IF(AND(SnapshotTable[[#This Row],[LC Exp Date]]&gt;0, SnapshotTable[[#This Row],[LC Strike Price]]&gt;0,SnapshotTable[[#This Row],[LC Qty]]&gt;0,SnapshotTable[[#This Row],[LC Book Date]]&gt;0,SnapshotTable[[#This Row],[LC Book Price]]&gt;0,SnapshotTable[[#This Row],[LC Fill Date]]=0),"Y","")</f>
        <v/>
      </c>
      <c r="DQ92" s="356" t="str">
        <f>IF(SnapshotTable[[#This Row],[LC Premium]] &gt; 0,SnapshotTable[[#This Row],[LC Exp Date]]-MAX(SnapshotTable[[#This Row],[LC Book Date]], SnapshotTable[[#This Row],[LC Fill Date]]),"")</f>
        <v/>
      </c>
      <c r="DR92" s="356" t="str">
        <f>IF(ISNUMBER(SnapshotTable[[#This Row],[LC Term]]), SnapshotTable[[#This Row],[LC Exp Date]] - MockToday, "")</f>
        <v/>
      </c>
      <c r="DS92" s="219" t="str">
        <f>IF(SnapshotTable[[#This Row],[LC Premium]]&gt;0,SnapshotTable[[#This Row],[LC Strike Price]] + SnapshotTable[[#This Row],[LC Book Price]],"")</f>
        <v/>
      </c>
      <c r="DU92" s="9" t="str">
        <f>IF(AND(SnapshotTable[[#This Row],[LC Symbol Count]]&gt;0, SnapshotTable[[#This Row],[LC Contract Value]]&gt;0), SnapshotTable[[#This Row],[LC Contract Value]] * SnapshotTable[[#This Row],[LC Qty]] * 100, "")</f>
        <v/>
      </c>
      <c r="DV92" s="9" t="str">
        <f>IF(AND(ISNUMBER(SnapshotTable[[#This Row],[LC Total Value]]), SnapshotTable[[#This Row],[LC Not Filled]]&lt;&gt;"Y"), SnapshotTable[[#This Row],[LC Total Value]]-SnapshotTable[[#This Row],[LC Premium]],"")</f>
        <v/>
      </c>
      <c r="DW92" s="225" t="str">
        <f>IF(ISNUMBER(SnapshotTable[[#This Row],[LC Actual Gain Loss]]), SnapshotTable[[#This Row],[LC Actual Gain Loss]] / SnapshotTable[[#This Row],[LC Premium]],"")</f>
        <v/>
      </c>
      <c r="DX92" s="269" t="str">
        <f>IF(ISNUMBER(SnapshotTable[[#This Row],[LC Book Price]]),SnapshotTable[[#This Row],[LC Book Price]] * 1.5,"")</f>
        <v/>
      </c>
      <c r="DY92" s="250" t="str">
        <f>IF(SnapshotTable[[#This Row],[LC Premium]]&gt;0, SnapshotTable[[#This Row],[LC Next Target]] * SnapshotTable[[#This Row],[LC Qty]] * 100,"")</f>
        <v/>
      </c>
      <c r="DZ92" s="250" t="str">
        <f>IF(ISNUMBER(SnapshotTable[[#This Row],[LC Target Gross]]), SnapshotTable[[#This Row],[LC Target Gross]] - SnapshotTable[[#This Row],[LC Premium]], "")</f>
        <v/>
      </c>
      <c r="EA92" s="283" t="str">
        <f>IF(ISNUMBER(SnapshotTable[[#This Row],[LC Target Gain Loss]]), SnapshotTable[[#This Row],[LC Target Gain Loss]]/SnapshotTable[[#This Row],[LC Premium]], "")</f>
        <v/>
      </c>
      <c r="EB92" s="247"/>
      <c r="EC92" s="268" t="str">
        <f>IF(SnapshotTable[[#This Row],[LC Premium]]&gt;0, SnapshotTable[[#This Row],[LC Book Price]] * (1 - LC_StopLoss_Pct),"")</f>
        <v/>
      </c>
      <c r="ED92" s="269"/>
      <c r="EE92" s="268" t="str">
        <f>IF(ISNUMBER(SnapshotTable[[#This Row],[LC Contract Value]]),IF(ISNUMBER(SnapshotTable[[#This Row],[LC Stop Loss Override]]), SnapshotTable[[#This Row],[LC Stop Loss Override]],SnapshotTable[[#This Row],[LC Stop Loss Calc Target]]),"")</f>
        <v/>
      </c>
      <c r="EF92" s="31" t="str">
        <f>IF(ISNUMBER(SnapshotTable[[#This Row],[LC Stop  To Use]]), (SnapshotTable[[#This Row],[LC Stop  To Use]] * SnapshotTable[[#This Row],[LC Qty]] * 100),"")</f>
        <v/>
      </c>
      <c r="EG92" s="9" t="str">
        <f>IF(ISNUMBER(SnapshotTable[[#This Row],[LC Total Value]]),SnapshotTable[[#This Row],[LC Stop Loss Amount]] - SnapshotTable[[#This Row],[LC Premium]],"")</f>
        <v/>
      </c>
      <c r="EH92" s="9">
        <f>IF(ISNUMBER(SnapshotTable[[#This Row],[LC Premium]]), SnapshotTable[[#This Row],[LC Qty]] * 100 * SnapshotTable[[#This Row],[LC Strike Price]], "")</f>
        <v>0</v>
      </c>
      <c r="EI92" s="225" t="str">
        <f>IF(AND(ISNUMBER(SnapshotTable[[#This Row],[LC Total Value]]),SnapshotTable[[#This Row],[LC Total Value]]&gt;0),SnapshotTable[[#This Row],[LC Stop Gain Loss]]  / SnapshotTable[[#This Row],[LC Premium]],"")</f>
        <v/>
      </c>
      <c r="EJ92" s="35">
        <f>IF(ISNUMBER(SnapshotTable[[#This Row],[Equity Shares]]),TRUNC(SnapshotTable[[#This Row],[Equity Shares]] / 100),0) + SnapshotTable[[#This Row],[LC Qty]]</f>
        <v>0</v>
      </c>
      <c r="EK92" s="145"/>
      <c r="EL92" s="136"/>
      <c r="EM92" s="146"/>
      <c r="EN92" s="145"/>
      <c r="EO92" s="145"/>
      <c r="EP92" s="136"/>
      <c r="EQ92" s="382" t="b">
        <f>AND(ISNUMBER(SnapshotTable[[#This Row],[SC Exp Date]]), ISNUMBER(SnapshotTable[[#This Row],[SC Strike Price]]), ISNUMBER(SnapshotTable[[#This Row],[SC Qty]]), ISNUMBER(SnapshotTable[[#This Row],[SC Book Date]]), ISNUMBER(SnapshotTable[[#This Row],[SC Book Price]]))</f>
        <v>0</v>
      </c>
      <c r="ER92" s="382" t="b">
        <f>AND(SnapshotTable[[#This Row],[SC Is Booked]], NOT(ISBLANK(SnapshotTable[[#This Row],[SC Fill Date]])))</f>
        <v>0</v>
      </c>
      <c r="ES92" s="340"/>
      <c r="ET92" s="34" t="str">
        <f>IF(AND(ISNUMBER(SnapshotTable[[#This Row],[SC Exp Date]]), ISNUMBER(SnapshotTable[[#This Row],[SC Book Date]])), SnapshotTable[[#This Row],[SC Exp Date]] - MAX(SnapshotTable[[#This Row],[SC Book Date]], SnapshotTable[[#This Row],[SC Fill Date]]) + 1, "")</f>
        <v/>
      </c>
      <c r="EU92" s="34" t="str">
        <f>IF(ISNUMBER(SnapshotTable[[#This Row],[SC Term]]), SnapshotTable[[#This Row],[SC Exp Date]]- MockToday, "")</f>
        <v/>
      </c>
      <c r="EV92" s="31">
        <f>IF(SnapshotTable[[#This Row],[SC Is Booked]], SnapshotTable[[#This Row],[SC Qty]] * SnapshotTable[[#This Row],[SC Book Price]] * 100, 0)</f>
        <v>0</v>
      </c>
      <c r="EW92" s="4" t="str">
        <f>IF(AND(ISNUMBER(SnapshotTable[[#This Row],[Last Price]]), ISNUMBER( SnapshotTable[[#This Row],[SC Book Price]])), SnapshotTable[[#This Row],[Last Price]] - SnapshotTable[[#This Row],[SC Book Price]],"")</f>
        <v/>
      </c>
      <c r="EX92" s="219" t="str">
        <f>IF(SnapshotTable[[#This Row],[SC Is Booked]],IF(SnapshotTable[[#This Row],[SC Intrinsic Value]] &gt; 0, SnapshotTable[[#This Row],[SC Strike Price]], SnapshotTable[[#This Row],[Last Price]]), "")</f>
        <v/>
      </c>
      <c r="EY92" s="4">
        <f>IF(SnapshotTable[[#This Row],[SC Is Booked]], (MinimumPremiumRequired * SnapshotTable[[#This Row],[SC Basis]] * SnapshotTable[[#This Row],[SC Term]]), 0)</f>
        <v>0</v>
      </c>
      <c r="EZ92" s="268"/>
      <c r="FA92" s="204"/>
      <c r="FB92" s="340"/>
      <c r="FC92" s="4">
        <f>IF(SnapshotTable[[#This Row],[SC Is Filled]], btc_max_buyback_amount(SnapshotTable[[#This Row],[SC Fill Date]],SnapshotTable[[#This Row],[SC Exp Date]], SnapshotTable[[#This Row],[SC Book Price]]),0)</f>
        <v>0</v>
      </c>
      <c r="FD92" s="5"/>
      <c r="FE92" s="142" t="str">
        <f>IF(SnapshotTable[[#This Row],[SC Is Filled]], btc_next_cutoff_date(SnapshotTable[[#This Row],[SC Fill Date]],SnapshotTable[[#This Row],[SC Exp Date]]),"")</f>
        <v/>
      </c>
      <c r="FF92" s="4" t="str" cm="1">
        <f t="array" ref="FF92">IF(SnapshotTable[[#This Row],[SC Is Filled]], btc_should_buy_back(SnapshotTable[[#This Row],[SC Fill Date]], SnapshotTable[[#This Row],[SC Exp Date]], SnapshotTable[[#This Row],[SC Book Price]], SnapshotTable[[#This Row],[SC Current Ask]], MockToday, SnapshotTable[[#This Row],[SC Buyback Override]]),"")</f>
        <v/>
      </c>
      <c r="FG92" s="4">
        <f>IF(SnapshotTable[[#This Row],[SC Is Filled]], MAX(0,SnapshotTable[[#This Row],[Last Price]]  - SnapshotTable[[#This Row],[SC Strike Price]]), 0)</f>
        <v>0</v>
      </c>
      <c r="FH92" s="352">
        <f>IF(SnapshotTable[[#This Row],[SC Is Filled]], IF(ISNUMBER(SnapshotTable[[#This Row],[SC Current Ask]]), SnapshotTable[[#This Row],[SC Current Ask]], SnapshotTable[[#This Row],[SC Book Price]]) - SnapshotTable[[#This Row],[SC Intrinsic Value]], 0)</f>
        <v>0</v>
      </c>
      <c r="FI92" s="141"/>
      <c r="FJ92" s="32" t="str">
        <f>IF(SnapshotTable[[#This Row],[SC Is Filled]],100 * SnapshotTable[[#This Row],[SC Qty]] * IF(ISNUMBER(SnapshotTable[[#This Row],[SC Buyback Override]]), SnapshotTable[[#This Row],[SC Buyback Override]], SnapshotTable[[#This Row],[SC Current Ask]]), "")</f>
        <v/>
      </c>
      <c r="FK92" s="235" t="str">
        <f>IF(SnapshotTable[[#This Row],[SC Time Val]]&gt;0, SnapshotTable[[#This Row],[SC Time Val]] / SnapshotTable[[#This Row],[Last Price]],"")</f>
        <v/>
      </c>
      <c r="FL92" s="280" t="str">
        <f>IF(SnapshotTable[[#This Row],[SC Is Booked]], ((SnapshotTable[[#This Row],[Last Price]] -SnapshotTable[[#This Row],[SC Strike Price]]) / SnapshotTable[[#This Row],[Last Price]]) * -1, "")</f>
        <v/>
      </c>
      <c r="FM92" s="155" t="str">
        <f>IF(SnapshotTable[[#This Row],[SC Is Booked]],  (SnapshotTable[[#This Row],[SC Qty]] * 100 * SnapshotTable[[#This Row],[SC Strike Price]]) - SnapshotTable[[#This Row],[SC Current Ask]], "")</f>
        <v/>
      </c>
      <c r="FN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2" s="31" t="str">
        <f>IF(AND(ISNUMBER(SnapshotTable[[#This Row],[SC Exercise Gross]]), ISNUMBER(SnapshotTable[[#This Row],[Equity Basis Per Share]] )), SnapshotTable[[#This Row],[SC Exercise Gross]] - SnapshotTable[[#This Row],[Equity Basis Total]] +  SnapshotTable[[#This Row],[SC Premium]], "")</f>
        <v/>
      </c>
      <c r="FP92" s="5" t="str">
        <f>IF(ISNUMBER(SnapshotTable[[#This Row],[SC Exercise Gross]]), (SnapshotTable[[#This Row],[SC Exercise Gross]]) / (SnapshotTable[[#This Row],[SC Qty]] * 100), "")</f>
        <v/>
      </c>
      <c r="FQ92" s="27" t="str">
        <f>IF(SnapshotTable[[#This Row],[SC Is Booked]],SnapshotTable[[#This Row],[SC Time Val]] /SnapshotTable[[#This Row],[SC Basis]], "")</f>
        <v/>
      </c>
      <c r="FR92" s="27" t="str" cm="1">
        <f t="array" ref="FR92">IF(AND(ISNUMBER(SnapshotTable[[#This Row],[SC Term]]),ISNUMBER(SnapshotTable[[#This Row],[SC Simple ROO]])), EllmanAnnualize(SnapshotTable[[#This Row],[SC DTE]], SnapshotTable[[#This Row],[SC Simple ROO]] ),"")</f>
        <v/>
      </c>
      <c r="FS92" s="4">
        <f>IF(SnapshotTable[[#This Row],[SC Strike Price]] &gt; SnapshotTable[[#This Row],[Last Price]], SnapshotTable[[#This Row],[SC Strike Price]] - SnapshotTable[[#This Row],[Last Price]],0)</f>
        <v>0</v>
      </c>
      <c r="FT92" s="27" t="str">
        <f>IF(AND(ISNUMBER(SnapshotTable[[#This Row],[SC Upside Potential]]), SnapshotTable[[#This Row],[SC Upside Potential]] &gt; 0),(SnapshotTable[[#This Row],[SC Upside Potential]]/ SnapshotTable[[#This Row],[ACB]]),"")</f>
        <v/>
      </c>
      <c r="FU92" s="304" t="str">
        <f>IF(SnapshotTable[[#This Row],[SC Intrinsic Value]] &gt; 0,SnapshotTable[[#This Row],[SC Intrinsic Value]],"")</f>
        <v/>
      </c>
      <c r="FV92" s="27" t="str">
        <f>IF(AND( ISNUMBER( SnapshotTable[[#This Row],[ACB]]),ISNUMBER(SnapshotTable[[#This Row],[SC Downside Protect]])),SnapshotTable[[#This Row],[SC Downside Protect]] / SnapshotTable[[#This Row],[ACB]],"")</f>
        <v/>
      </c>
      <c r="FW92" s="221" t="str">
        <f>IF(AND(ISNUMBER(SnapshotTable[[#This Row],[SC Simple ROO]]),SnapshotTable[[#This Row],[SC Simple ROO]] &gt; 0), SnapshotTable[[#This Row],[SC Premium]] + (SnapshotTable[[#This Row],[SC Qty]] * SnapshotTable[[#This Row],[SC Upside Potential]]), "")</f>
        <v/>
      </c>
      <c r="FX92" s="280" t="str" cm="1">
        <f t="array" ref="FX92">IF(ISNUMBER(SnapshotTable[[#This Row],[SC Max Dollars]]), annualize(SnapshotTable[[#This Row],[SC Term]],(SnapshotTable[[#This Row],[SC Max Dollars]]/SnapshotTable[[#This Row],[SC Basis]])),"")</f>
        <v/>
      </c>
      <c r="FY92" s="221" t="str">
        <f>IF(AND(SnapshotTable[[#This Row],[SC Qty]]&gt;0,SnapshotTable[[#This Row],[SC Current Ask]]&gt;0), SnapshotTable[[#This Row],[SC Qty]] * SnapshotTable[[#This Row],[SC Current Ask]] * -100, "")</f>
        <v/>
      </c>
      <c r="FZ92" s="31" t="str">
        <f>IF(ISNUMBER((SnapshotTable[[#This Row],[SC Current Value]])), SnapshotTable[[#This Row],[SC Premium]] + SnapshotTable[[#This Row],[SC Current Value]], "")</f>
        <v/>
      </c>
      <c r="GA92" s="272" t="str">
        <f>IFERROR( IF(ISNUMBER((SnapshotTable[[#This Row],[SC Current Value]])), SnapshotTable[[#This Row],[SC Gain Loss]] / SnapshotTable[[#This Row],[SC Premium]], ""), "")</f>
        <v/>
      </c>
      <c r="GB92" s="42">
        <f>SnapshotTable[[#This Row],[Equity Shares]] * SaleSharesToConsiderPercentage</f>
        <v>0</v>
      </c>
      <c r="GC92" s="40">
        <f>SnapshotTable[[#This Row],[Long Term Target]] * SellingPriceToConsiderBasedOnTargetPercentage</f>
        <v>71.040999999999997</v>
      </c>
      <c r="GD92" s="40">
        <f>SnapshotTable[[#This Row],[Last Price]] * (1+ SellingPriceToConsiderBasedOnTargetPercentage)</f>
        <v>128.4855</v>
      </c>
      <c r="GE92" s="41"/>
      <c r="GF92" s="40"/>
      <c r="GG92" s="31">
        <f>SnapshotTable[[#This Row],[Booked Sale Shares]] * SnapshotTable[[#This Row],[Booked Sale Price]]</f>
        <v>0</v>
      </c>
      <c r="GH92" s="31" t="str">
        <f>IF(SnapshotTable[[#This Row],[Equity Basis Total]] &gt; 0, SnapshotTable[[#This Row],[Equity Basis Per Share]] * SnapshotTable[[#This Row],[Booked Sale Shares]], "")</f>
        <v/>
      </c>
      <c r="GI92" s="31">
        <f>IF(SnapshotTable[[#This Row],[Sale Proceeds]]&gt;0, SnapshotTable[[#This Row],[Sale Proceeds]] - SnapshotTable[[#This Row],[Sale Basis]], 0)</f>
        <v>0</v>
      </c>
      <c r="GJ92" s="27" t="str">
        <f>IF(SnapshotTable[[#This Row],[Sale G/L]]&gt;0, SnapshotTable[[#This Row],[Sale G/L]] / SnapshotTable[[#This Row],[Sale Basis]], IF(ISNUMBER(SnapshotTable[[#This Row],[SC Exercise P&amp;L (TAX)]]), SnapshotTable[[#This Row],[SC Exercise P&amp;L (TAX)]] / SnapshotTable[[#This Row],[SC Basis]], ""))</f>
        <v/>
      </c>
      <c r="GK92" s="27" t="s">
        <v>549</v>
      </c>
      <c r="GL92" s="43" t="str">
        <f>IF(AND(SnapshotTable[[#This Row],[LP Exp Date]]&gt;0,SnapshotTable[[#This Row],[LP Strike Price]]&gt;0), [1]!ToOptionSymbol(SnapshotTable[[#This Row],[Symbol]], SnapshotTable[[#This Row],[LP Strike Price]],SnapshotTable[[#This Row],[LP Exp Date]],1), "")</f>
        <v/>
      </c>
      <c r="GM92" s="30" t="str">
        <f>IF(LEN(SnapshotTable[[#This Row],[LP Symbol]])&gt;0, 1, "")</f>
        <v/>
      </c>
      <c r="GN92" s="43" t="str">
        <f>IF(AND(SnapshotTable[[#This Row],[SP Exp Date]]&gt;0,SnapshotTable[[#This Row],[SP Strike Price]]&gt;0), [1]!ToOptionSymbol(SnapshotTable[[#This Row],[Symbol]], SnapshotTable[[#This Row],[SP Strike Price]],SnapshotTable[[#This Row],[SP Exp Date]],1), "")</f>
        <v/>
      </c>
      <c r="GO92" s="30" t="str">
        <f>IF(LEN(SnapshotTable[[#This Row],[SP Symbol]])&gt;0, 1, "")</f>
        <v/>
      </c>
      <c r="GP92" s="43" t="str">
        <f>IF(AND(SnapshotTable[[#This Row],[LC Exp Date]]&gt;0,SnapshotTable[[#This Row],[LC Strike Price]]&gt;0), [1]!ToOptionSymbol(SnapshotTable[[#This Row],[Symbol]], SnapshotTable[[#This Row],[LC Strike Price]],SnapshotTable[[#This Row],[LC Exp Date]],0), "")</f>
        <v/>
      </c>
      <c r="GQ92" s="30" t="str">
        <f>IF(LEN(SnapshotTable[[#This Row],[LC Symbol]])&gt;0, 1, "")</f>
        <v/>
      </c>
      <c r="GR92" s="43" t="str">
        <f>IF(AND(SnapshotTable[[#This Row],[SC Exp Date]]&gt;0,SnapshotTable[[#This Row],[SC Strike Price]]&gt;0), [1]!ToOptionSymbol(SnapshotTable[[#This Row],[Symbol]], SnapshotTable[[#This Row],[SC Strike Price]],SnapshotTable[[#This Row],[SC Exp Date]],0), "")</f>
        <v/>
      </c>
      <c r="GS92" s="30" t="str">
        <f>IF(LEN(SnapshotTable[[#This Row],[SC Symbol]])&gt;0, 1, "")</f>
        <v/>
      </c>
      <c r="GT92" s="29" t="str">
        <f>IF(COUNT(SnapshotTable[[#This Row],[LP Symbol Count]],SnapshotTable[[#This Row],[SP Symbol Count]],SnapshotTable[[#This Row],[LC Symbol Count]],SnapshotTable[[#This Row],[SC Symbol Count]])&gt;0, "Y", "")</f>
        <v/>
      </c>
      <c r="GU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2" s="216">
        <f>MAX(SnapshotTable[[#This Row],[Equity Basis Total]],SnapshotTable[[#This Row],[Equity Value]]) + (SnapshotTable[[#This Row],[SP Potential Spend]]- SnapshotTable[[#This Row],[SP Premium]] + SnapshotTable[[#This Row],[LP Premium]])+ (SnapshotTable[[#This Row],[LC Premium]] - SnapshotTable[[#This Row],[SC Premium]])</f>
        <v>0</v>
      </c>
      <c r="GW92" s="137" t="str">
        <f>IF(AND(SnapshotTable[[#This Row],[Exposure]] &lt;&gt; 0),SnapshotTable[[#This Row],[Exposure]] / SnapshotTable[[#Totals],[Exposure]], "")</f>
        <v/>
      </c>
      <c r="HE92" s="253"/>
      <c r="HF92" s="253"/>
      <c r="HK92" s="1"/>
      <c r="HL92" s="1"/>
      <c r="HM92" s="1"/>
      <c r="HN92" s="1"/>
      <c r="HO92" s="1"/>
      <c r="HP92" s="1"/>
    </row>
    <row r="93" spans="2:224" ht="12.75" hidden="1" customHeight="1" x14ac:dyDescent="0.25">
      <c r="B93" s="12" t="s">
        <v>436</v>
      </c>
      <c r="C93" s="385">
        <v>10</v>
      </c>
      <c r="D93" s="200"/>
      <c r="E93" s="39">
        <f>SnapshotTable[[#This Row],[Last Price]]*(1 -CrashDiscount)</f>
        <v>8.5</v>
      </c>
      <c r="F93" s="26" t="s">
        <v>93</v>
      </c>
      <c r="G93" s="26" t="s">
        <v>13</v>
      </c>
      <c r="H93" s="147"/>
      <c r="I93" s="186">
        <v>44768.25</v>
      </c>
      <c r="J93" s="187">
        <v>44768.25</v>
      </c>
      <c r="K93" s="188"/>
      <c r="L93" s="297"/>
      <c r="M93" s="138"/>
      <c r="N93" s="138"/>
      <c r="O93" s="138"/>
      <c r="P93" s="22"/>
      <c r="Q93" s="25"/>
      <c r="R93" s="4" t="str">
        <f>IF(SnapshotTable[[#This Row],[Equity Basis Total]] &gt; 0, SnapshotTable[[#This Row],[Equity Basis Total]] / SnapshotTable[[#This Row],[Equity Shares]], "")</f>
        <v/>
      </c>
      <c r="S93" s="254">
        <f>SnapshotTable[[#This Row],[Last Price]] * SnapshotTable[[#This Row],[Equity Shares]]</f>
        <v>0</v>
      </c>
      <c r="T93" s="254">
        <f>SnapshotTable[[#This Row],[Equity Value]] - SnapshotTable[[#This Row],[Equity Basis Total]]</f>
        <v>0</v>
      </c>
      <c r="U93" s="255" t="str">
        <f>IF(SnapshotTable[[#This Row],[Equity Basis Total]] &gt; 0, SnapshotTable[[#This Row],[Equity G/L]] / SnapshotTable[[#This Row],[Equity Basis Total]], "")</f>
        <v/>
      </c>
      <c r="V93" s="253"/>
      <c r="W93" s="253"/>
      <c r="X93" s="4" t="str">
        <f>IF(AND(ISNUMBER(SnapshotTable[[#This Row],[Equity Basis Per Share]]),ISNUMBER(SnapshotTable[[#This Row],[Equity Target]])),SnapshotTable[[#This Row],[Equity Target]]-SnapshotTable[[#This Row],[Equity Basis Per Share]],"")</f>
        <v/>
      </c>
      <c r="Y93" s="4" t="str">
        <f>IF(AND(ISNUMBER(SnapshotTable[[#This Row],[Equity Basis Per Share]]),ISNUMBER(SnapshotTable[[#This Row],[Equity Stop Loss]])),SnapshotTable[[#This Row],[Equity Stop Loss]]-SnapshotTable[[#This Row],[Equity Basis Per Share]],"")</f>
        <v/>
      </c>
      <c r="Z93" s="260" t="str">
        <f>IFERROR( TEXT(SnapshotTable[[#This Row],[Equity Max Gain Per Share]] /ABS( SnapshotTable[[#This Row],[Equity Max Loss Per Share]]),"0.0 " ) &amp; " : 1", "")</f>
        <v/>
      </c>
      <c r="AA93" s="31" t="str">
        <f>IF(ISNUMBER(SnapshotTable[[#This Row],[Equity Max Gain Per Share]]),SnapshotTable[[#This Row],[Equity Max Gain Per Share]] * SnapshotTable[[#This Row],[Equity Shares]],"")</f>
        <v/>
      </c>
      <c r="AB93" s="31" t="str">
        <f>IF(ISNUMBER(SnapshotTable[[#This Row],[Equity Max Loss Per Share]]),SnapshotTable[[#This Row],[Equity Max Loss Per Share]] * SnapshotTable[[#This Row],[Equity Shares]],"")</f>
        <v/>
      </c>
      <c r="AC93" s="148"/>
      <c r="AD93" s="149"/>
      <c r="AE93" s="31">
        <f>(SnapshotTable[[#This Row],[Annual Dividend Per Share]] / 4) * SnapshotTable[[#This Row],[Equity Shares]]</f>
        <v>0</v>
      </c>
      <c r="AF93" s="31">
        <f>SnapshotTable[[#This Row],[Quarterly Div $]] * 4</f>
        <v>0</v>
      </c>
      <c r="AG93" s="7">
        <f>IF(SnapshotTable[[#This Row],[Annual Dividend Per Share]]&gt;0, SnapshotTable[[#This Row],[Annual Dividend Per Share]]  / SnapshotTable[[#This Row],[Last Price]], 0)</f>
        <v>0</v>
      </c>
      <c r="AH93" s="149"/>
      <c r="AI93" s="5"/>
      <c r="AJ93" s="136">
        <v>18</v>
      </c>
      <c r="AK93" s="150" t="str">
        <f>IF(ISNUMBER( SnapshotTable[[#This Row],[EBF Target]]),(SnapshotTable[[#This Row],[EBF Target]] - SnapshotTable[[#This Row],[Last Price]]) / SnapshotTable[[#This Row],[Last Price]], "")</f>
        <v/>
      </c>
      <c r="AL93" s="150" t="str">
        <f>IF(AND(SnapshotTable[[#This Row],[Equity Basis Total]] &gt; 0,ISNUMBER( SnapshotTable[[#This Row],[Long Term Target]])), SnapshotTable[[#This Row],[From Basis $]] / SnapshotTable[[#This Row],[Equity Basis Total]], "")</f>
        <v/>
      </c>
      <c r="AM93" s="9">
        <f>IF( AND(SnapshotTable[[#This Row],[Equity Shares]] &gt;0,ISNUMBER( SnapshotTable[[#This Row],[Long Term Target]])),(SnapshotTable[[#This Row],[Equity Shares]] * SnapshotTable[[#This Row],[Long Term Target]]) - SnapshotTable[[#This Row],[Equity Basis Total]],0)</f>
        <v>0</v>
      </c>
      <c r="AN93" s="9">
        <f>IF( AND(SnapshotTable[[#This Row],[Equity Shares]] &gt;0,ISNUMBER( SnapshotTable[[#This Row],[Long Term Target]])),(SnapshotTable[[#This Row],[Equity Shares]]*SnapshotTable[[#This Row],[Long Term Target]]) - SnapshotTable[[#This Row],[Equity Value]],0)</f>
        <v>0</v>
      </c>
      <c r="AO93" s="150">
        <f>IF(AND(ISNUMBER( SnapshotTable[[#This Row],[Long Term Target]]), ISNUMBER(SnapshotTable[[#This Row],[Last Price]])),(SnapshotTable[[#This Row],[Long Term Target]] - SnapshotTable[[#This Row],[Last Price]]) / SnapshotTable[[#This Row],[Last Price]], "")</f>
        <v>0.8</v>
      </c>
      <c r="AP93" s="5">
        <v>19.28</v>
      </c>
      <c r="AQ93" s="38" t="s">
        <v>59</v>
      </c>
      <c r="AR93" s="5">
        <v>9.25</v>
      </c>
      <c r="AS93" s="38" t="s">
        <v>19</v>
      </c>
      <c r="AT93" s="144"/>
      <c r="AU93" s="185" t="str">
        <f>IF(OR(SnapshotTable[[#This Row],[LP No Fill]]="Y",SnapshotTable[[#This Row],[SP Is Filled]],SnapshotTable[[#This Row],[LC Not Filled]]="Y",SnapshotTable[[#This Row],[SC Is Filled]]),"Y","")</f>
        <v/>
      </c>
      <c r="AV93" s="205"/>
      <c r="AW93" s="211"/>
      <c r="AX93" s="206"/>
      <c r="AY93" s="205" t="str">
        <f>IF(SnapshotTable[[#This Row],[Implied Move]]&gt;0, SnapshotTable[[#This Row],[Last Price]]-SnapshotTable[[#This Row],[Implied Move]],"")</f>
        <v/>
      </c>
      <c r="AZ93" s="205" t="str">
        <f>IF(SnapshotTable[[#This Row],[Implied Move]]&gt;0, SnapshotTable[[#This Row],[Last Price]] + SnapshotTable[[#This Row],[Implied Move]],"")</f>
        <v/>
      </c>
      <c r="BA93" s="302"/>
      <c r="BB93" s="318"/>
      <c r="BC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3" s="321"/>
      <c r="BE93" s="5"/>
      <c r="BF93" s="14"/>
      <c r="BG93" s="13"/>
      <c r="BH93" s="13"/>
      <c r="BI93" s="5"/>
      <c r="BJ93" s="134">
        <f>IF(SnapshotTable[[#This Row],[LP Qty]] &gt; 0, SnapshotTable[[#This Row],[LP Qty]] * SnapshotTable[[#This Row],[LP Book Price]] * 100,0)</f>
        <v>0</v>
      </c>
      <c r="BK93" s="134">
        <f>IF(SnapshotTable[[#This Row],[LP Premium]] &gt; 0, SnapshotTable[[#This Row],[LP Qty]] * SnapshotTable[[#This Row],[LP Strike Price]] * 100,0)</f>
        <v>0</v>
      </c>
      <c r="BL93" s="152"/>
      <c r="BM93" s="355" t="str">
        <f>IF(SnapshotTable[[#This Row],[LP Premium]] &gt; 0,SnapshotTable[[#This Row],[LP Exp Date]]-MAX(SnapshotTable[[#This Row],[LP Book Date]], SnapshotTable[[#This Row],[LP Fill Date]]),"")</f>
        <v/>
      </c>
      <c r="BN93" s="355" t="str">
        <f>IF(ISNUMBER( SnapshotTable[[#This Row],[LP Term]]), SnapshotTable[[#This Row],[LP Exp Date]] - MockToday,"")</f>
        <v/>
      </c>
      <c r="BO93" s="161" t="str">
        <f>IF(AND(SnapshotTable[[#This Row],[LP Exp Date]]&gt;0, SnapshotTable[[#This Row],[LP Strike Price]]&gt;0,SnapshotTable[[#This Row],[LP Qty]]&gt;0,SnapshotTable[[#This Row],[LP Book Date]]&gt;0,SnapshotTable[[#This Row],[LP Book Price]]&gt;0,SnapshotTable[[#This Row],[LP Fill Date]]=0),"Y","")</f>
        <v/>
      </c>
      <c r="BP93" s="31" t="str">
        <f>IF(AND(SnapshotTable[[#This Row],[LP No Fill]]&lt;&gt;"Y",SnapshotTable[[#This Row],[LP Contract Value]]&gt;0, SnapshotTable[[#This Row],[LP Qty]]&gt;0), SnapshotTable[[#This Row],[LP Contract Value]]*SnapshotTable[[#This Row],[LP Qty]]*100,"")</f>
        <v/>
      </c>
      <c r="BQ93" s="13"/>
      <c r="BR93" s="5"/>
      <c r="BS93" s="36"/>
      <c r="BT93" s="145"/>
      <c r="BU93" s="13"/>
      <c r="BV93" s="5"/>
      <c r="BW93" s="382" t="b">
        <f>AND(ISNUMBER(SnapshotTable[[#This Row],[SP Exp Date]]), ISNUMBER(SnapshotTable[[#This Row],[SP Strike Price]]), ISNUMBER(SnapshotTable[[#This Row],[SP Qty]]), ISNUMBER(SnapshotTable[[#This Row],[SP Book Date]]), ISNUMBER(SnapshotTable[[#This Row],[SP Book Price]]))</f>
        <v>0</v>
      </c>
      <c r="BX93" s="382" t="b">
        <f>AND(SnapshotTable[[#This Row],[SP Is Booked]], NOT(ISBLANK(SnapshotTable[[#This Row],[SP Fill Date]])))</f>
        <v>0</v>
      </c>
      <c r="BY93" s="33">
        <f>IF(SnapshotTable[[#This Row],[SP Is Booked]], SnapshotTable[[#This Row],[SP Qty]] * SnapshotTable[[#This Row],[SP Book Price]] * 100, 0)</f>
        <v>0</v>
      </c>
      <c r="BZ93" s="339"/>
      <c r="CA93" s="338">
        <f>SnapshotTable[[#This Row],[LP Qty]]</f>
        <v>0</v>
      </c>
      <c r="CB93" s="4" t="str">
        <f>IF(SnapshotTable[[#This Row],[SP Is Booked]], SnapshotTable[[#This Row],[SP Strike Price]] - SnapshotTable[[#This Row],[SP Book Price]], "")</f>
        <v/>
      </c>
      <c r="CC93" s="19" t="str">
        <f>IF(SnapshotTable[[#This Row],[SP Is Booked]],SnapshotTable[[#This Row],[SP Exp Date]]-MAX(SnapshotTable[[#This Row],[SP Book Date]], SnapshotTable[[#This Row],[SP Fill Date]]),"")</f>
        <v/>
      </c>
      <c r="CD93" s="7" t="str">
        <f>IF(SnapshotTable[[#This Row],[SP Is Booked]], SnapshotTable[[#This Row],[SP Book Price]]/SnapshotTable[[#This Row],[SP Strike Price]], "")</f>
        <v/>
      </c>
      <c r="CE93" s="7" t="str">
        <f>IF(ISNUMBER(SnapshotTable[[#This Row],[SP ROO Term]]),SnapshotTable[[#This Row],[SP ROO Term]]*(365/SnapshotTable[[#This Row],[SP Term]]),"")</f>
        <v/>
      </c>
      <c r="CF93" s="221">
        <f>SnapshotTable[[#This Row],[LP Strike Price]] * SnapshotTable[[#This Row],[LP Qty]] * 100</f>
        <v>0</v>
      </c>
      <c r="CG93" s="31">
        <f>IF(ISNUMBER(SnapshotTable[[#This Row],[SP Premium]]), (SnapshotTable[[#This Row],[SP Qty]] * SnapshotTable[[#This Row],[SP Strike Price]]* 100) - SnapshotTable[[#This Row],[LP Protection]], 0)</f>
        <v>0</v>
      </c>
      <c r="CH93" s="7" t="str">
        <f>IF(ISNUMBER(SnapshotTable[[#This Row],[SP Break Even]]),-1 * (SnapshotTable[[#This Row],[SP Break Even]] - SnapshotTable[[#This Row],[Last Price]]) / SnapshotTable[[#This Row],[Last Price]], "")</f>
        <v/>
      </c>
      <c r="CI93" s="31">
        <f>IF(AND(ISNUMBER((SnapshotTable[[#This Row],[SP Potential Spend]])), SnapshotTable[[#This Row],[SP Strike Price]] &gt; SnapshotTable[[#This Row],[Last Price]], SnapshotTable[[#This Row],[SP Is Filled]]), SnapshotTable[[#This Row],[SP Potential Spend]] -  SnapshotTable[[#This Row],[LP Max Value]], 0)</f>
        <v>0</v>
      </c>
      <c r="CJ93" s="229"/>
      <c r="CK93" s="31">
        <f>IF(ISNUMBER(SnapshotTable[[#This Row],[SP Potential Spend]]),IF(ISNUMBER(SnapshotTable[[#This Row],[SP POW]]), SnapshotTable[[#This Row],[SP POW]] * SnapshotTable[[#This Row],[SP Potential Spend]], SnapshotTable[[#This Row],[SP Potential Spend]]), "")</f>
        <v>0</v>
      </c>
      <c r="CL93" s="162">
        <f>IF(NOT(SnapshotTable[[#This Row],[SP Is Filled]]),(SnapshotTable[[#This Row],[SP Qty]] * SnapshotTable[[#This Row],[SP Strike Price]] * 100) - SnapshotTable[[#This Row],[LP Max Value]],"")</f>
        <v>0</v>
      </c>
      <c r="CM93" s="31" t="str">
        <f>IF(SnapshotTable[[#This Row],[SP Actual Spend]]&lt;&gt;0, ((SnapshotTable[[#This Row],[SP Strike Price]]-SnapshotTable[[#This Row],[Last Price]]) *(SnapshotTable[[#This Row],[SP Qty]]*100) - SnapshotTable[[#This Row],[SP Premium]]) * - 1, "")</f>
        <v/>
      </c>
      <c r="CN93" s="76"/>
      <c r="CO93" s="339"/>
      <c r="CP93" s="4" t="str">
        <f>IF(SnapshotTable[[#This Row],[SP Is Filled]], btc_max_buyback_amount(SnapshotTable[[#This Row],[SP Fill Date]],SnapshotTable[[#This Row],[SP Exp Date]], SnapshotTable[[#This Row],[SP Book Price]]),"")</f>
        <v/>
      </c>
      <c r="CQ93" s="76"/>
      <c r="CR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3" s="153" t="str">
        <f>IF(SnapshotTable[[#This Row],[SP Is Filled]], btc_next_cutoff_date(SnapshotTable[[#This Row],[SP Fill Date]],SnapshotTable[[#This Row],[SP Exp Date]]),"")</f>
        <v/>
      </c>
      <c r="CT93" s="220" t="str" cm="1">
        <f t="array" ref="CT93">IF(SnapshotTable[[#This Row],[SP Is Filled]], btc_should_buy_back(SnapshotTable[[#This Row],[SP Fill Date]], SnapshotTable[[#This Row],[SP Exp Date]], SnapshotTable[[#This Row],[SP Book Price]], SnapshotTable[[#This Row],[SP Current Ask]], MockToday, SnapshotTable[[#This Row],[SP Buyback Override]]),"")</f>
        <v/>
      </c>
      <c r="CU93" s="141"/>
      <c r="CV93" s="220"/>
      <c r="CW93" s="348" t="str">
        <f>IF(ISNUMBER( SnapshotTable[[#This Row],[SP Term]]), SnapshotTable[[#This Row],[SP Exp Date]] - MockToday,"")</f>
        <v/>
      </c>
      <c r="CX93" s="31" t="str">
        <f>IF(SnapshotTable[[#This Row],[SP Is Filled]],SnapshotTable[[#This Row],[SP Buyback Price to Use]] * 100 * SnapshotTable[[#This Row],[SP Qty]], "")</f>
        <v/>
      </c>
      <c r="CY93" s="4" t="str">
        <f>IF(ISNUMBER(SnapshotTable[[#This Row],[SP Strike Price]]), SnapshotTable[[#This Row],[SP Strike Price]] * (1 - SP_MaxLoss_StrikePct), "")</f>
        <v/>
      </c>
      <c r="CZ93" s="31" t="str">
        <f>IF(ISNUMBER(SnapshotTable[[#This Row],[SP Strike  Stop Per Share]]),SnapshotTable[[#This Row],[SP Premium]] - ((SnapshotTable[[#This Row],[SP Strike Price]]-SnapshotTable[[#This Row],[SP Strike  Stop Per Share]]) *(SnapshotTable[[#This Row],[SP Qty]] * 100)),"")</f>
        <v/>
      </c>
      <c r="DA93" s="4" t="str">
        <f>IF(AND(ISNUMBER(SnapshotTable[[#This Row],[SP Premium]]),SnapshotTable[[#This Row],[SP Premium]]&gt;0), SnapshotTable[[#This Row],[SP Book Price]] * (1 + SP_MaxLoss_OptionPct), "")</f>
        <v/>
      </c>
      <c r="DB93" s="31" t="str">
        <f>IF(ISNUMBER(SnapshotTable[[#This Row],[SP Option  Stop Contract]]),(SnapshotTable[[#This Row],[SP Option  Stop Contract]] *(SnapshotTable[[#This Row],[SP Qty]] * 100) - SnapshotTable[[#This Row],[SP Premium]]),"")</f>
        <v/>
      </c>
      <c r="DC93" s="4"/>
      <c r="DD93" s="4"/>
      <c r="DE93" s="4" t="str">
        <f>IF(AND(SnapshotTable[[#This Row],[SP Qty]]&gt;0, SnapshotTable[[#This Row],[SP Stop To Use]]&gt;0),SnapshotTable[[#This Row],[SP Premium]] - ( SnapshotTable[[#This Row],[SP Qty]] * SnapshotTable[[#This Row],[SP Stop To Use]] * 100), "")</f>
        <v/>
      </c>
      <c r="DF93" s="31" t="str">
        <f>IF(AND(SnapshotTable[[#This Row],[SP Qty]]&gt;0,SnapshotTable[[#This Row],[SP Current Ask]]&gt;0), SnapshotTable[[#This Row],[SP Qty]] * SnapshotTable[[#This Row],[SP Current Ask]] * -100, "")</f>
        <v/>
      </c>
      <c r="DG93" s="31" t="str">
        <f>IF(ISNUMBER((SnapshotTable[[#This Row],[SP Total Value]])), SnapshotTable[[#This Row],[SP Premium]] + SnapshotTable[[#This Row],[SP Total Value]], "")</f>
        <v/>
      </c>
      <c r="DH93" s="272" t="str">
        <f>IF(ISNUMBER((SnapshotTable[[#This Row],[SP Total Value]])), SnapshotTable[[#This Row],[SP Gain Loss]] / SnapshotTable[[#This Row],[SP Premium]], "")</f>
        <v/>
      </c>
      <c r="DI93" s="369"/>
      <c r="DJ93" s="136"/>
      <c r="DK93" s="146"/>
      <c r="DL93" s="13"/>
      <c r="DM93" s="13"/>
      <c r="DO93" s="31">
        <f>IF(SnapshotTable[[#This Row],[LC Symbol Count]]=1, SnapshotTable[[#This Row],[LC Qty]] * SnapshotTable[[#This Row],[LC Book Price]] * 100, 0)</f>
        <v>0</v>
      </c>
      <c r="DP93" s="161" t="str">
        <f>IF(AND(SnapshotTable[[#This Row],[LC Exp Date]]&gt;0, SnapshotTable[[#This Row],[LC Strike Price]]&gt;0,SnapshotTable[[#This Row],[LC Qty]]&gt;0,SnapshotTable[[#This Row],[LC Book Date]]&gt;0,SnapshotTable[[#This Row],[LC Book Price]]&gt;0,SnapshotTable[[#This Row],[LC Fill Date]]=0),"Y","")</f>
        <v/>
      </c>
      <c r="DQ93" s="356" t="str">
        <f>IF(SnapshotTable[[#This Row],[LC Premium]] &gt; 0,SnapshotTable[[#This Row],[LC Exp Date]]-MAX(SnapshotTable[[#This Row],[LC Book Date]], SnapshotTable[[#This Row],[LC Fill Date]]),"")</f>
        <v/>
      </c>
      <c r="DR93" s="356" t="str">
        <f>IF(ISNUMBER(SnapshotTable[[#This Row],[LC Term]]), SnapshotTable[[#This Row],[LC Exp Date]] - MockToday, "")</f>
        <v/>
      </c>
      <c r="DS93" s="219" t="str">
        <f>IF(SnapshotTable[[#This Row],[LC Premium]]&gt;0,SnapshotTable[[#This Row],[LC Strike Price]] + SnapshotTable[[#This Row],[LC Book Price]],"")</f>
        <v/>
      </c>
      <c r="DU93" s="9" t="str">
        <f>IF(AND(SnapshotTable[[#This Row],[LC Symbol Count]]&gt;0, SnapshotTable[[#This Row],[LC Contract Value]]&gt;0), SnapshotTable[[#This Row],[LC Contract Value]] * SnapshotTable[[#This Row],[LC Qty]] * 100, "")</f>
        <v/>
      </c>
      <c r="DV93" s="9" t="str">
        <f>IF(AND(ISNUMBER(SnapshotTable[[#This Row],[LC Total Value]]), SnapshotTable[[#This Row],[LC Not Filled]]&lt;&gt;"Y"), SnapshotTable[[#This Row],[LC Total Value]]-SnapshotTable[[#This Row],[LC Premium]],"")</f>
        <v/>
      </c>
      <c r="DW93" s="225" t="str">
        <f>IF(ISNUMBER(SnapshotTable[[#This Row],[LC Actual Gain Loss]]), SnapshotTable[[#This Row],[LC Actual Gain Loss]] / SnapshotTable[[#This Row],[LC Premium]],"")</f>
        <v/>
      </c>
      <c r="DX93" s="269" t="str">
        <f>IF(ISNUMBER(SnapshotTable[[#This Row],[LC Book Price]]),SnapshotTable[[#This Row],[LC Book Price]] * 1.5,"")</f>
        <v/>
      </c>
      <c r="DY93" s="250" t="str">
        <f>IF(SnapshotTable[[#This Row],[LC Premium]]&gt;0, SnapshotTable[[#This Row],[LC Next Target]] * SnapshotTable[[#This Row],[LC Qty]] * 100,"")</f>
        <v/>
      </c>
      <c r="DZ93" s="250" t="str">
        <f>IF(ISNUMBER(SnapshotTable[[#This Row],[LC Target Gross]]), SnapshotTable[[#This Row],[LC Target Gross]] - SnapshotTable[[#This Row],[LC Premium]], "")</f>
        <v/>
      </c>
      <c r="EA93" s="283" t="str">
        <f>IF(ISNUMBER(SnapshotTable[[#This Row],[LC Target Gain Loss]]), SnapshotTable[[#This Row],[LC Target Gain Loss]]/SnapshotTable[[#This Row],[LC Premium]], "")</f>
        <v/>
      </c>
      <c r="EB93" s="247"/>
      <c r="EC93" s="268" t="str">
        <f>IF(SnapshotTable[[#This Row],[LC Premium]]&gt;0, SnapshotTable[[#This Row],[LC Book Price]] * (1 - LC_StopLoss_Pct),"")</f>
        <v/>
      </c>
      <c r="ED93" s="269"/>
      <c r="EE93" s="268" t="str">
        <f>IF(ISNUMBER(SnapshotTable[[#This Row],[LC Contract Value]]),IF(ISNUMBER(SnapshotTable[[#This Row],[LC Stop Loss Override]]), SnapshotTable[[#This Row],[LC Stop Loss Override]],SnapshotTable[[#This Row],[LC Stop Loss Calc Target]]),"")</f>
        <v/>
      </c>
      <c r="EF93" s="31" t="str">
        <f>IF(ISNUMBER(SnapshotTable[[#This Row],[LC Stop  To Use]]), (SnapshotTable[[#This Row],[LC Stop  To Use]] * SnapshotTable[[#This Row],[LC Qty]] * 100),"")</f>
        <v/>
      </c>
      <c r="EG93" s="9" t="str">
        <f>IF(ISNUMBER(SnapshotTable[[#This Row],[LC Total Value]]),SnapshotTable[[#This Row],[LC Stop Loss Amount]] - SnapshotTable[[#This Row],[LC Premium]],"")</f>
        <v/>
      </c>
      <c r="EH93" s="9">
        <f>IF(ISNUMBER(SnapshotTable[[#This Row],[LC Premium]]), SnapshotTable[[#This Row],[LC Qty]] * 100 * SnapshotTable[[#This Row],[LC Strike Price]], "")</f>
        <v>0</v>
      </c>
      <c r="EI93" s="225" t="str">
        <f>IF(AND(ISNUMBER(SnapshotTable[[#This Row],[LC Total Value]]),SnapshotTable[[#This Row],[LC Total Value]]&gt;0),SnapshotTable[[#This Row],[LC Stop Gain Loss]]  / SnapshotTable[[#This Row],[LC Premium]],"")</f>
        <v/>
      </c>
      <c r="EJ93" s="35">
        <f>IF(ISNUMBER(SnapshotTable[[#This Row],[Equity Shares]]),TRUNC(SnapshotTable[[#This Row],[Equity Shares]] / 100),0) + SnapshotTable[[#This Row],[LC Qty]]</f>
        <v>0</v>
      </c>
      <c r="EK93" s="145"/>
      <c r="EL93" s="136"/>
      <c r="EM93" s="146"/>
      <c r="EN93" s="145"/>
      <c r="EO93" s="145"/>
      <c r="EP93" s="136"/>
      <c r="EQ93" s="382" t="b">
        <f>AND(ISNUMBER(SnapshotTable[[#This Row],[SC Exp Date]]), ISNUMBER(SnapshotTable[[#This Row],[SC Strike Price]]), ISNUMBER(SnapshotTable[[#This Row],[SC Qty]]), ISNUMBER(SnapshotTable[[#This Row],[SC Book Date]]), ISNUMBER(SnapshotTable[[#This Row],[SC Book Price]]))</f>
        <v>0</v>
      </c>
      <c r="ER93" s="382" t="b">
        <f>AND(SnapshotTable[[#This Row],[SC Is Booked]], NOT(ISBLANK(SnapshotTable[[#This Row],[SC Fill Date]])))</f>
        <v>0</v>
      </c>
      <c r="ES93" s="340"/>
      <c r="ET93" s="34" t="str">
        <f>IF(AND(ISNUMBER(SnapshotTable[[#This Row],[SC Exp Date]]), ISNUMBER(SnapshotTable[[#This Row],[SC Book Date]])), SnapshotTable[[#This Row],[SC Exp Date]] - MAX(SnapshotTable[[#This Row],[SC Book Date]], SnapshotTable[[#This Row],[SC Fill Date]]) + 1, "")</f>
        <v/>
      </c>
      <c r="EU93" s="34" t="str">
        <f>IF(ISNUMBER(SnapshotTable[[#This Row],[SC Term]]), SnapshotTable[[#This Row],[SC Exp Date]]- MockToday, "")</f>
        <v/>
      </c>
      <c r="EV93" s="31">
        <f>IF(SnapshotTable[[#This Row],[SC Is Booked]], SnapshotTable[[#This Row],[SC Qty]] * SnapshotTable[[#This Row],[SC Book Price]] * 100, 0)</f>
        <v>0</v>
      </c>
      <c r="EW93" s="4" t="str">
        <f>IF(AND(ISNUMBER(SnapshotTable[[#This Row],[Last Price]]), ISNUMBER( SnapshotTable[[#This Row],[SC Book Price]])), SnapshotTable[[#This Row],[Last Price]] - SnapshotTable[[#This Row],[SC Book Price]],"")</f>
        <v/>
      </c>
      <c r="EX93" s="219" t="str">
        <f>IF(SnapshotTable[[#This Row],[SC Is Booked]],IF(SnapshotTable[[#This Row],[SC Intrinsic Value]] &gt; 0, SnapshotTable[[#This Row],[SC Strike Price]], SnapshotTable[[#This Row],[Last Price]]), "")</f>
        <v/>
      </c>
      <c r="EY93" s="4">
        <f>IF(SnapshotTable[[#This Row],[SC Is Booked]], (MinimumPremiumRequired * SnapshotTable[[#This Row],[SC Basis]] * SnapshotTable[[#This Row],[SC Term]]), 0)</f>
        <v>0</v>
      </c>
      <c r="EZ93" s="268"/>
      <c r="FA93" s="204"/>
      <c r="FB93" s="340"/>
      <c r="FC93" s="4">
        <f>IF(SnapshotTable[[#This Row],[SC Is Filled]], btc_max_buyback_amount(SnapshotTable[[#This Row],[SC Fill Date]],SnapshotTable[[#This Row],[SC Exp Date]], SnapshotTable[[#This Row],[SC Book Price]]),0)</f>
        <v>0</v>
      </c>
      <c r="FD93" s="5"/>
      <c r="FE93" s="142" t="str">
        <f>IF(SnapshotTable[[#This Row],[SC Is Filled]], btc_next_cutoff_date(SnapshotTable[[#This Row],[SC Fill Date]],SnapshotTable[[#This Row],[SC Exp Date]]),"")</f>
        <v/>
      </c>
      <c r="FF93" s="4" t="str" cm="1">
        <f t="array" ref="FF93">IF(SnapshotTable[[#This Row],[SC Is Filled]], btc_should_buy_back(SnapshotTable[[#This Row],[SC Fill Date]], SnapshotTable[[#This Row],[SC Exp Date]], SnapshotTable[[#This Row],[SC Book Price]], SnapshotTable[[#This Row],[SC Current Ask]], MockToday, SnapshotTable[[#This Row],[SC Buyback Override]]),"")</f>
        <v/>
      </c>
      <c r="FG93" s="4">
        <f>IF(SnapshotTable[[#This Row],[SC Is Filled]], MAX(0,SnapshotTable[[#This Row],[Last Price]]  - SnapshotTable[[#This Row],[SC Strike Price]]), 0)</f>
        <v>0</v>
      </c>
      <c r="FH93" s="352">
        <f>IF(SnapshotTable[[#This Row],[SC Is Filled]], IF(ISNUMBER(SnapshotTable[[#This Row],[SC Current Ask]]), SnapshotTable[[#This Row],[SC Current Ask]], SnapshotTable[[#This Row],[SC Book Price]]) - SnapshotTable[[#This Row],[SC Intrinsic Value]], 0)</f>
        <v>0</v>
      </c>
      <c r="FI93" s="141"/>
      <c r="FJ93" s="32" t="str">
        <f>IF(SnapshotTable[[#This Row],[SC Is Filled]],100 * SnapshotTable[[#This Row],[SC Qty]] * IF(ISNUMBER(SnapshotTable[[#This Row],[SC Buyback Override]]), SnapshotTable[[#This Row],[SC Buyback Override]], SnapshotTable[[#This Row],[SC Current Ask]]), "")</f>
        <v/>
      </c>
      <c r="FK93" s="235" t="str">
        <f>IF(SnapshotTable[[#This Row],[SC Time Val]]&gt;0, SnapshotTable[[#This Row],[SC Time Val]] / SnapshotTable[[#This Row],[Last Price]],"")</f>
        <v/>
      </c>
      <c r="FL93" s="280" t="str">
        <f>IF(SnapshotTable[[#This Row],[SC Is Booked]], ((SnapshotTable[[#This Row],[Last Price]] -SnapshotTable[[#This Row],[SC Strike Price]]) / SnapshotTable[[#This Row],[Last Price]]) * -1, "")</f>
        <v/>
      </c>
      <c r="FM93" s="155" t="str">
        <f>IF(SnapshotTable[[#This Row],[SC Is Booked]],  (SnapshotTable[[#This Row],[SC Qty]] * 100 * SnapshotTable[[#This Row],[SC Strike Price]]) - SnapshotTable[[#This Row],[SC Current Ask]], "")</f>
        <v/>
      </c>
      <c r="FN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3" s="31" t="str">
        <f>IF(AND(ISNUMBER(SnapshotTable[[#This Row],[SC Exercise Gross]]), ISNUMBER(SnapshotTable[[#This Row],[Equity Basis Per Share]] )), SnapshotTable[[#This Row],[SC Exercise Gross]] - SnapshotTable[[#This Row],[Equity Basis Total]] +  SnapshotTable[[#This Row],[SC Premium]], "")</f>
        <v/>
      </c>
      <c r="FP93" s="5" t="str">
        <f>IF(ISNUMBER(SnapshotTable[[#This Row],[SC Exercise Gross]]), (SnapshotTable[[#This Row],[SC Exercise Gross]]) / (SnapshotTable[[#This Row],[SC Qty]] * 100), "")</f>
        <v/>
      </c>
      <c r="FQ93" s="27" t="str">
        <f>IF(SnapshotTable[[#This Row],[SC Is Booked]],SnapshotTable[[#This Row],[SC Time Val]] /SnapshotTable[[#This Row],[SC Basis]], "")</f>
        <v/>
      </c>
      <c r="FR93" s="27" t="str" cm="1">
        <f t="array" ref="FR93">IF(AND(ISNUMBER(SnapshotTable[[#This Row],[SC Term]]),ISNUMBER(SnapshotTable[[#This Row],[SC Simple ROO]])), EllmanAnnualize(SnapshotTable[[#This Row],[SC DTE]], SnapshotTable[[#This Row],[SC Simple ROO]] ),"")</f>
        <v/>
      </c>
      <c r="FS93" s="4">
        <f>IF(SnapshotTable[[#This Row],[SC Strike Price]] &gt; SnapshotTable[[#This Row],[Last Price]], SnapshotTable[[#This Row],[SC Strike Price]] - SnapshotTable[[#This Row],[Last Price]],0)</f>
        <v>0</v>
      </c>
      <c r="FT93" s="27" t="str">
        <f>IF(AND(ISNUMBER(SnapshotTable[[#This Row],[SC Upside Potential]]), SnapshotTable[[#This Row],[SC Upside Potential]] &gt; 0),(SnapshotTable[[#This Row],[SC Upside Potential]]/ SnapshotTable[[#This Row],[ACB]]),"")</f>
        <v/>
      </c>
      <c r="FU93" s="304" t="str">
        <f>IF(SnapshotTable[[#This Row],[SC Intrinsic Value]] &gt; 0,SnapshotTable[[#This Row],[SC Intrinsic Value]],"")</f>
        <v/>
      </c>
      <c r="FV93" s="27" t="str">
        <f>IF(AND( ISNUMBER( SnapshotTable[[#This Row],[ACB]]),ISNUMBER(SnapshotTable[[#This Row],[SC Downside Protect]])),SnapshotTable[[#This Row],[SC Downside Protect]] / SnapshotTable[[#This Row],[ACB]],"")</f>
        <v/>
      </c>
      <c r="FW93" s="221" t="str">
        <f>IF(AND(ISNUMBER(SnapshotTable[[#This Row],[SC Simple ROO]]),SnapshotTable[[#This Row],[SC Simple ROO]] &gt; 0), SnapshotTable[[#This Row],[SC Premium]] + (SnapshotTable[[#This Row],[SC Qty]] * SnapshotTable[[#This Row],[SC Upside Potential]]), "")</f>
        <v/>
      </c>
      <c r="FX93" s="280" t="str" cm="1">
        <f t="array" ref="FX93">IF(ISNUMBER(SnapshotTable[[#This Row],[SC Max Dollars]]), annualize(SnapshotTable[[#This Row],[SC Term]],(SnapshotTable[[#This Row],[SC Max Dollars]]/SnapshotTable[[#This Row],[SC Basis]])),"")</f>
        <v/>
      </c>
      <c r="FY93" s="221" t="str">
        <f>IF(AND(SnapshotTable[[#This Row],[SC Qty]]&gt;0,SnapshotTable[[#This Row],[SC Current Ask]]&gt;0), SnapshotTable[[#This Row],[SC Qty]] * SnapshotTable[[#This Row],[SC Current Ask]] * -100, "")</f>
        <v/>
      </c>
      <c r="FZ93" s="31" t="str">
        <f>IF(ISNUMBER((SnapshotTable[[#This Row],[SC Current Value]])), SnapshotTable[[#This Row],[SC Premium]] + SnapshotTable[[#This Row],[SC Current Value]], "")</f>
        <v/>
      </c>
      <c r="GA93" s="272" t="str">
        <f>IFERROR( IF(ISNUMBER((SnapshotTable[[#This Row],[SC Current Value]])), SnapshotTable[[#This Row],[SC Gain Loss]] / SnapshotTable[[#This Row],[SC Premium]], ""), "")</f>
        <v/>
      </c>
      <c r="GB93" s="42">
        <f>SnapshotTable[[#This Row],[Equity Shares]] * SaleSharesToConsiderPercentage</f>
        <v>0</v>
      </c>
      <c r="GC93" s="40">
        <f>SnapshotTable[[#This Row],[Long Term Target]] * SellingPriceToConsiderBasedOnTargetPercentage</f>
        <v>17.099999999999998</v>
      </c>
      <c r="GD93" s="40">
        <f>SnapshotTable[[#This Row],[Last Price]] * (1+ SellingPriceToConsiderBasedOnTargetPercentage)</f>
        <v>19.5</v>
      </c>
      <c r="GE93" s="41"/>
      <c r="GF93" s="40"/>
      <c r="GG93" s="31">
        <f>SnapshotTable[[#This Row],[Booked Sale Shares]] * SnapshotTable[[#This Row],[Booked Sale Price]]</f>
        <v>0</v>
      </c>
      <c r="GH93" s="31" t="str">
        <f>IF(SnapshotTable[[#This Row],[Equity Basis Total]] &gt; 0, SnapshotTable[[#This Row],[Equity Basis Per Share]] * SnapshotTable[[#This Row],[Booked Sale Shares]], "")</f>
        <v/>
      </c>
      <c r="GI93" s="31">
        <f>IF(SnapshotTable[[#This Row],[Sale Proceeds]]&gt;0, SnapshotTable[[#This Row],[Sale Proceeds]] - SnapshotTable[[#This Row],[Sale Basis]], 0)</f>
        <v>0</v>
      </c>
      <c r="GJ93" s="27" t="str">
        <f>IF(SnapshotTable[[#This Row],[Sale G/L]]&gt;0, SnapshotTable[[#This Row],[Sale G/L]] / SnapshotTable[[#This Row],[Sale Basis]], IF(ISNUMBER(SnapshotTable[[#This Row],[SC Exercise P&amp;L (TAX)]]), SnapshotTable[[#This Row],[SC Exercise P&amp;L (TAX)]] / SnapshotTable[[#This Row],[SC Basis]], ""))</f>
        <v/>
      </c>
      <c r="GK93" s="27" t="s">
        <v>550</v>
      </c>
      <c r="GL93" s="43" t="str">
        <f>IF(AND(SnapshotTable[[#This Row],[LP Exp Date]]&gt;0,SnapshotTable[[#This Row],[LP Strike Price]]&gt;0), [1]!ToOptionSymbol(SnapshotTable[[#This Row],[Symbol]], SnapshotTable[[#This Row],[LP Strike Price]],SnapshotTable[[#This Row],[LP Exp Date]],1), "")</f>
        <v/>
      </c>
      <c r="GM93" s="30" t="str">
        <f>IF(LEN(SnapshotTable[[#This Row],[LP Symbol]])&gt;0, 1, "")</f>
        <v/>
      </c>
      <c r="GN93" s="43" t="str">
        <f>IF(AND(SnapshotTable[[#This Row],[SP Exp Date]]&gt;0,SnapshotTable[[#This Row],[SP Strike Price]]&gt;0), [1]!ToOptionSymbol(SnapshotTable[[#This Row],[Symbol]], SnapshotTable[[#This Row],[SP Strike Price]],SnapshotTable[[#This Row],[SP Exp Date]],1), "")</f>
        <v/>
      </c>
      <c r="GO93" s="30" t="str">
        <f>IF(LEN(SnapshotTable[[#This Row],[SP Symbol]])&gt;0, 1, "")</f>
        <v/>
      </c>
      <c r="GP93" s="43" t="str">
        <f>IF(AND(SnapshotTable[[#This Row],[LC Exp Date]]&gt;0,SnapshotTable[[#This Row],[LC Strike Price]]&gt;0), [1]!ToOptionSymbol(SnapshotTable[[#This Row],[Symbol]], SnapshotTable[[#This Row],[LC Strike Price]],SnapshotTable[[#This Row],[LC Exp Date]],0), "")</f>
        <v/>
      </c>
      <c r="GQ93" s="30" t="str">
        <f>IF(LEN(SnapshotTable[[#This Row],[LC Symbol]])&gt;0, 1, "")</f>
        <v/>
      </c>
      <c r="GR93" s="43" t="str">
        <f>IF(AND(SnapshotTable[[#This Row],[SC Exp Date]]&gt;0,SnapshotTable[[#This Row],[SC Strike Price]]&gt;0), [1]!ToOptionSymbol(SnapshotTable[[#This Row],[Symbol]], SnapshotTable[[#This Row],[SC Strike Price]],SnapshotTable[[#This Row],[SC Exp Date]],0), "")</f>
        <v/>
      </c>
      <c r="GS93" s="30" t="str">
        <f>IF(LEN(SnapshotTable[[#This Row],[SC Symbol]])&gt;0, 1, "")</f>
        <v/>
      </c>
      <c r="GT93" s="29" t="str">
        <f>IF(COUNT(SnapshotTable[[#This Row],[LP Symbol Count]],SnapshotTable[[#This Row],[SP Symbol Count]],SnapshotTable[[#This Row],[LC Symbol Count]],SnapshotTable[[#This Row],[SC Symbol Count]])&gt;0, "Y", "")</f>
        <v/>
      </c>
      <c r="GU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3" s="216">
        <f>MAX(SnapshotTable[[#This Row],[Equity Basis Total]],SnapshotTable[[#This Row],[Equity Value]]) + (SnapshotTable[[#This Row],[SP Potential Spend]]- SnapshotTable[[#This Row],[SP Premium]] + SnapshotTable[[#This Row],[LP Premium]])+ (SnapshotTable[[#This Row],[LC Premium]] - SnapshotTable[[#This Row],[SC Premium]])</f>
        <v>0</v>
      </c>
      <c r="GW93" s="137" t="str">
        <f>IF(AND(SnapshotTable[[#This Row],[Exposure]] &lt;&gt; 0),SnapshotTable[[#This Row],[Exposure]] / SnapshotTable[[#Totals],[Exposure]], "")</f>
        <v/>
      </c>
      <c r="HE93" s="253"/>
      <c r="HF93" s="253"/>
      <c r="HK93" s="1"/>
      <c r="HL93" s="1"/>
      <c r="HM93" s="1"/>
      <c r="HN93" s="1"/>
      <c r="HO93" s="1"/>
      <c r="HP93" s="1"/>
    </row>
    <row r="94" spans="2:224" s="45" customFormat="1" ht="12.75" hidden="1" customHeight="1" x14ac:dyDescent="0.25">
      <c r="B94" s="12" t="s">
        <v>487</v>
      </c>
      <c r="C94" s="385">
        <v>2.2799999999999998</v>
      </c>
      <c r="D94" s="200" t="s">
        <v>467</v>
      </c>
      <c r="E94" s="39">
        <f>SnapshotTable[[#This Row],[Last Price]]*(1 -CrashDiscount)</f>
        <v>1.9379999999999997</v>
      </c>
      <c r="F94" s="26" t="s">
        <v>488</v>
      </c>
      <c r="G94" s="26" t="s">
        <v>32</v>
      </c>
      <c r="H94" s="147"/>
      <c r="I94" s="186">
        <v>44784.666666666664</v>
      </c>
      <c r="J94" s="187">
        <v>44784.666666666664</v>
      </c>
      <c r="K94" s="188"/>
      <c r="L94" s="297"/>
      <c r="M94" s="138"/>
      <c r="N94" s="138"/>
      <c r="O94" s="138"/>
      <c r="P94" s="22"/>
      <c r="Q94" s="25"/>
      <c r="R94" s="4" t="str">
        <f>IF(SnapshotTable[[#This Row],[Equity Basis Total]] &gt; 0, SnapshotTable[[#This Row],[Equity Basis Total]] / SnapshotTable[[#This Row],[Equity Shares]], "")</f>
        <v/>
      </c>
      <c r="S94" s="254">
        <f>SnapshotTable[[#This Row],[Last Price]] * SnapshotTable[[#This Row],[Equity Shares]]</f>
        <v>0</v>
      </c>
      <c r="T94" s="254">
        <f>SnapshotTable[[#This Row],[Equity Value]] - SnapshotTable[[#This Row],[Equity Basis Total]]</f>
        <v>0</v>
      </c>
      <c r="U94" s="255" t="str">
        <f>IF(SnapshotTable[[#This Row],[Equity Basis Total]] &gt; 0, SnapshotTable[[#This Row],[Equity G/L]] / SnapshotTable[[#This Row],[Equity Basis Total]], "")</f>
        <v/>
      </c>
      <c r="V94" s="253"/>
      <c r="W94" s="253"/>
      <c r="X94" s="4" t="str">
        <f>IF(AND(ISNUMBER(SnapshotTable[[#This Row],[Equity Basis Per Share]]),ISNUMBER(SnapshotTable[[#This Row],[Equity Target]])),SnapshotTable[[#This Row],[Equity Target]]-SnapshotTable[[#This Row],[Equity Basis Per Share]],"")</f>
        <v/>
      </c>
      <c r="Y94" s="4" t="str">
        <f>IF(AND(ISNUMBER(SnapshotTable[[#This Row],[Equity Basis Per Share]]),ISNUMBER(SnapshotTable[[#This Row],[Equity Stop Loss]])),SnapshotTable[[#This Row],[Equity Stop Loss]]-SnapshotTable[[#This Row],[Equity Basis Per Share]],"")</f>
        <v/>
      </c>
      <c r="Z94" s="260" t="str">
        <f>IFERROR( TEXT(SnapshotTable[[#This Row],[Equity Max Gain Per Share]] /ABS( SnapshotTable[[#This Row],[Equity Max Loss Per Share]]),"0.0 " ) &amp; " : 1", "")</f>
        <v/>
      </c>
      <c r="AA94" s="31" t="str">
        <f>IF(ISNUMBER(SnapshotTable[[#This Row],[Equity Max Gain Per Share]]),SnapshotTable[[#This Row],[Equity Max Gain Per Share]] * SnapshotTable[[#This Row],[Equity Shares]],"")</f>
        <v/>
      </c>
      <c r="AB94" s="31" t="str">
        <f>IF(ISNUMBER(SnapshotTable[[#This Row],[Equity Max Loss Per Share]]),SnapshotTable[[#This Row],[Equity Max Loss Per Share]] * SnapshotTable[[#This Row],[Equity Shares]],"")</f>
        <v/>
      </c>
      <c r="AC94" s="148"/>
      <c r="AD94" s="149"/>
      <c r="AE94" s="31">
        <f>(SnapshotTable[[#This Row],[Annual Dividend Per Share]] / 4) * SnapshotTable[[#This Row],[Equity Shares]]</f>
        <v>0</v>
      </c>
      <c r="AF94" s="31">
        <f>SnapshotTable[[#This Row],[Quarterly Div $]] * 4</f>
        <v>0</v>
      </c>
      <c r="AG94" s="7">
        <f>IF(SnapshotTable[[#This Row],[Annual Dividend Per Share]]&gt;0, SnapshotTable[[#This Row],[Annual Dividend Per Share]]  / SnapshotTable[[#This Row],[Last Price]], 0)</f>
        <v>0</v>
      </c>
      <c r="AH94" s="149"/>
      <c r="AI94" s="5"/>
      <c r="AJ94" s="136"/>
      <c r="AK94" s="150" t="str">
        <f>IF(ISNUMBER( SnapshotTable[[#This Row],[EBF Target]]),(SnapshotTable[[#This Row],[EBF Target]] - SnapshotTable[[#This Row],[Last Price]]) / SnapshotTable[[#This Row],[Last Price]], "")</f>
        <v/>
      </c>
      <c r="AL94" s="150" t="str">
        <f>IF(AND(SnapshotTable[[#This Row],[Equity Basis Total]] &gt; 0,ISNUMBER( SnapshotTable[[#This Row],[Long Term Target]])), SnapshotTable[[#This Row],[From Basis $]] / SnapshotTable[[#This Row],[Equity Basis Total]], "")</f>
        <v/>
      </c>
      <c r="AM94" s="9">
        <f>IF( AND(SnapshotTable[[#This Row],[Equity Shares]] &gt;0,ISNUMBER( SnapshotTable[[#This Row],[Long Term Target]])),(SnapshotTable[[#This Row],[Equity Shares]] * SnapshotTable[[#This Row],[Long Term Target]]) - SnapshotTable[[#This Row],[Equity Basis Total]],0)</f>
        <v>0</v>
      </c>
      <c r="AN94" s="9">
        <f>IF( AND(SnapshotTable[[#This Row],[Equity Shares]] &gt;0,ISNUMBER( SnapshotTable[[#This Row],[Long Term Target]])),(SnapshotTable[[#This Row],[Equity Shares]]*SnapshotTable[[#This Row],[Long Term Target]]) - SnapshotTable[[#This Row],[Equity Value]],0)</f>
        <v>0</v>
      </c>
      <c r="AO94" s="150" t="str">
        <f>IF(AND(ISNUMBER( SnapshotTable[[#This Row],[Long Term Target]]), ISNUMBER(SnapshotTable[[#This Row],[Last Price]])),(SnapshotTable[[#This Row],[Long Term Target]] - SnapshotTable[[#This Row],[Last Price]]) / SnapshotTable[[#This Row],[Last Price]], "")</f>
        <v/>
      </c>
      <c r="AP94" s="5"/>
      <c r="AQ94" s="38"/>
      <c r="AR94" s="5"/>
      <c r="AS94" s="38"/>
      <c r="AT94" s="144"/>
      <c r="AU94" s="185" t="str">
        <f>IF(OR(SnapshotTable[[#This Row],[LP No Fill]]="Y",SnapshotTable[[#This Row],[SP Is Filled]],SnapshotTable[[#This Row],[LC Not Filled]]="Y",SnapshotTable[[#This Row],[SC Is Filled]]),"Y","")</f>
        <v/>
      </c>
      <c r="AV94" s="205"/>
      <c r="AW94" s="211"/>
      <c r="AX94" s="206"/>
      <c r="AY94" s="205" t="str">
        <f>IF(SnapshotTable[[#This Row],[Implied Move]]&gt;0, SnapshotTable[[#This Row],[Last Price]]-SnapshotTable[[#This Row],[Implied Move]],"")</f>
        <v/>
      </c>
      <c r="AZ94" s="205" t="str">
        <f>IF(SnapshotTable[[#This Row],[Implied Move]]&gt;0, SnapshotTable[[#This Row],[Last Price]] + SnapshotTable[[#This Row],[Implied Move]],"")</f>
        <v/>
      </c>
      <c r="BA94" s="302"/>
      <c r="BB94" s="318"/>
      <c r="BC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4" s="321"/>
      <c r="BE94" s="136"/>
      <c r="BF94" s="164"/>
      <c r="BG94" s="165"/>
      <c r="BH94" s="165"/>
      <c r="BI94" s="207"/>
      <c r="BJ94" s="151">
        <f>IF(SnapshotTable[[#This Row],[LP Qty]] &gt; 0, SnapshotTable[[#This Row],[LP Qty]] * SnapshotTable[[#This Row],[LP Book Price]] * 100,0)</f>
        <v>0</v>
      </c>
      <c r="BK94" s="134">
        <f>IF(SnapshotTable[[#This Row],[LP Premium]] &gt; 0, SnapshotTable[[#This Row],[LP Qty]] * SnapshotTable[[#This Row],[LP Strike Price]] * 100,0)</f>
        <v>0</v>
      </c>
      <c r="BL94" s="152"/>
      <c r="BM94" s="355" t="str">
        <f>IF(SnapshotTable[[#This Row],[LP Premium]] &gt; 0,SnapshotTable[[#This Row],[LP Exp Date]]-MAX(SnapshotTable[[#This Row],[LP Book Date]], SnapshotTable[[#This Row],[LP Fill Date]]),"")</f>
        <v/>
      </c>
      <c r="BN94" s="355" t="str">
        <f>IF(ISNUMBER( SnapshotTable[[#This Row],[LP Term]]), SnapshotTable[[#This Row],[LP Exp Date]] - MockToday,"")</f>
        <v/>
      </c>
      <c r="BO94" s="161" t="str">
        <f>IF(AND(SnapshotTable[[#This Row],[LP Exp Date]]&gt;0, SnapshotTable[[#This Row],[LP Strike Price]]&gt;0,SnapshotTable[[#This Row],[LP Qty]]&gt;0,SnapshotTable[[#This Row],[LP Book Date]]&gt;0,SnapshotTable[[#This Row],[LP Book Price]]&gt;0,SnapshotTable[[#This Row],[LP Fill Date]]=0),"Y","")</f>
        <v/>
      </c>
      <c r="BP94" s="31" t="str">
        <f>IF(AND(SnapshotTable[[#This Row],[LP No Fill]]&lt;&gt;"Y",SnapshotTable[[#This Row],[LP Contract Value]]&gt;0, SnapshotTable[[#This Row],[LP Qty]]&gt;0), SnapshotTable[[#This Row],[LP Contract Value]]*SnapshotTable[[#This Row],[LP Qty]]*100,"")</f>
        <v/>
      </c>
      <c r="BQ94" s="13"/>
      <c r="BR94" s="5"/>
      <c r="BS94" s="36"/>
      <c r="BT94" s="145"/>
      <c r="BU94" s="13"/>
      <c r="BV94" s="5"/>
      <c r="BW94" s="382" t="b">
        <f>AND(ISNUMBER(SnapshotTable[[#This Row],[SP Exp Date]]), ISNUMBER(SnapshotTable[[#This Row],[SP Strike Price]]), ISNUMBER(SnapshotTable[[#This Row],[SP Qty]]), ISNUMBER(SnapshotTable[[#This Row],[SP Book Date]]), ISNUMBER(SnapshotTable[[#This Row],[SP Book Price]]))</f>
        <v>0</v>
      </c>
      <c r="BX94" s="382" t="b">
        <f>AND(SnapshotTable[[#This Row],[SP Is Booked]], NOT(ISBLANK(SnapshotTable[[#This Row],[SP Fill Date]])))</f>
        <v>0</v>
      </c>
      <c r="BY94" s="33">
        <f>IF(SnapshotTable[[#This Row],[SP Is Booked]], SnapshotTable[[#This Row],[SP Qty]] * SnapshotTable[[#This Row],[SP Book Price]] * 100, 0)</f>
        <v>0</v>
      </c>
      <c r="BZ94" s="339"/>
      <c r="CA94" s="338">
        <f>SnapshotTable[[#This Row],[LP Qty]]</f>
        <v>0</v>
      </c>
      <c r="CB94" s="4" t="str">
        <f>IF(SnapshotTable[[#This Row],[SP Is Booked]], SnapshotTable[[#This Row],[SP Strike Price]] - SnapshotTable[[#This Row],[SP Book Price]], "")</f>
        <v/>
      </c>
      <c r="CC94" s="19" t="str">
        <f>IF(SnapshotTable[[#This Row],[SP Is Booked]],SnapshotTable[[#This Row],[SP Exp Date]]-MAX(SnapshotTable[[#This Row],[SP Book Date]], SnapshotTable[[#This Row],[SP Fill Date]]),"")</f>
        <v/>
      </c>
      <c r="CD94" s="7" t="str">
        <f>IF(SnapshotTable[[#This Row],[SP Is Booked]], SnapshotTable[[#This Row],[SP Book Price]]/SnapshotTable[[#This Row],[SP Strike Price]], "")</f>
        <v/>
      </c>
      <c r="CE94" s="7" t="str">
        <f>IF(ISNUMBER(SnapshotTable[[#This Row],[SP ROO Term]]),SnapshotTable[[#This Row],[SP ROO Term]]*(365/SnapshotTable[[#This Row],[SP Term]]),"")</f>
        <v/>
      </c>
      <c r="CF94" s="221">
        <f>SnapshotTable[[#This Row],[LP Strike Price]] * SnapshotTable[[#This Row],[LP Qty]] * 100</f>
        <v>0</v>
      </c>
      <c r="CG94" s="31">
        <f>IF(ISNUMBER(SnapshotTable[[#This Row],[SP Premium]]), (SnapshotTable[[#This Row],[SP Qty]] * SnapshotTable[[#This Row],[SP Strike Price]]* 100) - SnapshotTable[[#This Row],[LP Protection]], 0)</f>
        <v>0</v>
      </c>
      <c r="CH94" s="7" t="str">
        <f>IF(ISNUMBER(SnapshotTable[[#This Row],[SP Break Even]]),-1 * (SnapshotTable[[#This Row],[SP Break Even]] - SnapshotTable[[#This Row],[Last Price]]) / SnapshotTable[[#This Row],[Last Price]], "")</f>
        <v/>
      </c>
      <c r="CI94" s="31">
        <f>IF(AND(ISNUMBER((SnapshotTable[[#This Row],[SP Potential Spend]])), SnapshotTable[[#This Row],[SP Strike Price]] &gt; SnapshotTable[[#This Row],[Last Price]], SnapshotTable[[#This Row],[SP Is Filled]]), SnapshotTable[[#This Row],[SP Potential Spend]] -  SnapshotTable[[#This Row],[LP Max Value]], 0)</f>
        <v>0</v>
      </c>
      <c r="CJ94" s="229"/>
      <c r="CK94" s="31">
        <f>IF(ISNUMBER(SnapshotTable[[#This Row],[SP Potential Spend]]),IF(ISNUMBER(SnapshotTable[[#This Row],[SP POW]]), SnapshotTable[[#This Row],[SP POW]] * SnapshotTable[[#This Row],[SP Potential Spend]], SnapshotTable[[#This Row],[SP Potential Spend]]), "")</f>
        <v>0</v>
      </c>
      <c r="CL94" s="162">
        <f>IF(NOT(SnapshotTable[[#This Row],[SP Is Filled]]),(SnapshotTable[[#This Row],[SP Qty]] * SnapshotTable[[#This Row],[SP Strike Price]] * 100) - SnapshotTable[[#This Row],[LP Max Value]],"")</f>
        <v>0</v>
      </c>
      <c r="CM94" s="31" t="str">
        <f>IF(SnapshotTable[[#This Row],[SP Actual Spend]]&lt;&gt;0, ((SnapshotTable[[#This Row],[SP Strike Price]]-SnapshotTable[[#This Row],[Last Price]]) *(SnapshotTable[[#This Row],[SP Qty]]*100) - SnapshotTable[[#This Row],[SP Premium]]) * - 1, "")</f>
        <v/>
      </c>
      <c r="CN94" s="152"/>
      <c r="CO94" s="339"/>
      <c r="CP94" s="4" t="str">
        <f>IF(SnapshotTable[[#This Row],[SP Is Filled]], btc_max_buyback_amount(SnapshotTable[[#This Row],[SP Fill Date]],SnapshotTable[[#This Row],[SP Exp Date]], SnapshotTable[[#This Row],[SP Book Price]]),"")</f>
        <v/>
      </c>
      <c r="CQ94" s="76"/>
      <c r="CR9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4" s="153" t="str">
        <f>IF(SnapshotTable[[#This Row],[SP Is Filled]], btc_next_cutoff_date(SnapshotTable[[#This Row],[SP Fill Date]],SnapshotTable[[#This Row],[SP Exp Date]]),"")</f>
        <v/>
      </c>
      <c r="CT94" s="220" t="str" cm="1">
        <f t="array" ref="CT94">IF(SnapshotTable[[#This Row],[SP Is Filled]], btc_should_buy_back(SnapshotTable[[#This Row],[SP Fill Date]], SnapshotTable[[#This Row],[SP Exp Date]], SnapshotTable[[#This Row],[SP Book Price]], SnapshotTable[[#This Row],[SP Current Ask]], MockToday, SnapshotTable[[#This Row],[SP Buyback Override]]),"")</f>
        <v/>
      </c>
      <c r="CU94" s="154"/>
      <c r="CV94" s="220"/>
      <c r="CW94" s="348" t="str">
        <f>IF(ISNUMBER( SnapshotTable[[#This Row],[SP Term]]), SnapshotTable[[#This Row],[SP Exp Date]] - MockToday,"")</f>
        <v/>
      </c>
      <c r="CX94" s="31" t="str">
        <f>IF(SnapshotTable[[#This Row],[SP Is Filled]],SnapshotTable[[#This Row],[SP Buyback Price to Use]] * 100 * SnapshotTable[[#This Row],[SP Qty]], "")</f>
        <v/>
      </c>
      <c r="CY94" s="4" t="str">
        <f>IF(ISNUMBER(SnapshotTable[[#This Row],[SP Strike Price]]), SnapshotTable[[#This Row],[SP Strike Price]] * (1 - SP_MaxLoss_StrikePct), "")</f>
        <v/>
      </c>
      <c r="CZ94" s="31" t="str">
        <f>IF(ISNUMBER(SnapshotTable[[#This Row],[SP Strike  Stop Per Share]]),SnapshotTable[[#This Row],[SP Premium]] - ((SnapshotTable[[#This Row],[SP Strike Price]]-SnapshotTable[[#This Row],[SP Strike  Stop Per Share]]) *(SnapshotTable[[#This Row],[SP Qty]] * 100)),"")</f>
        <v/>
      </c>
      <c r="DA94" s="4" t="str">
        <f>IF(AND(ISNUMBER(SnapshotTable[[#This Row],[SP Premium]]),SnapshotTable[[#This Row],[SP Premium]]&gt;0), SnapshotTable[[#This Row],[SP Book Price]] * (1 + SP_MaxLoss_OptionPct), "")</f>
        <v/>
      </c>
      <c r="DB94" s="31" t="str">
        <f>IF(ISNUMBER(SnapshotTable[[#This Row],[SP Option  Stop Contract]]),(SnapshotTable[[#This Row],[SP Option  Stop Contract]] *(SnapshotTable[[#This Row],[SP Qty]] * 100) - SnapshotTable[[#This Row],[SP Premium]]),"")</f>
        <v/>
      </c>
      <c r="DC94" s="4"/>
      <c r="DD94" s="4"/>
      <c r="DE94" s="4" t="str">
        <f>IF(AND(SnapshotTable[[#This Row],[SP Qty]]&gt;0, SnapshotTable[[#This Row],[SP Stop To Use]]&gt;0),SnapshotTable[[#This Row],[SP Premium]] - ( SnapshotTable[[#This Row],[SP Qty]] * SnapshotTable[[#This Row],[SP Stop To Use]] * 100), "")</f>
        <v/>
      </c>
      <c r="DF94" s="31" t="str">
        <f>IF(AND(SnapshotTable[[#This Row],[SP Qty]]&gt;0,SnapshotTable[[#This Row],[SP Current Ask]]&gt;0), SnapshotTable[[#This Row],[SP Qty]] * SnapshotTable[[#This Row],[SP Current Ask]] * -100, "")</f>
        <v/>
      </c>
      <c r="DG94" s="31" t="str">
        <f>IF(ISNUMBER((SnapshotTable[[#This Row],[SP Total Value]])), SnapshotTable[[#This Row],[SP Premium]] + SnapshotTable[[#This Row],[SP Total Value]], "")</f>
        <v/>
      </c>
      <c r="DH94" s="272" t="str">
        <f>IF(ISNUMBER((SnapshotTable[[#This Row],[SP Total Value]])), SnapshotTable[[#This Row],[SP Gain Loss]] / SnapshotTable[[#This Row],[SP Premium]], "")</f>
        <v/>
      </c>
      <c r="DI94" s="369"/>
      <c r="DJ94" s="136"/>
      <c r="DK94" s="146"/>
      <c r="DL94" s="145"/>
      <c r="DM94" s="145"/>
      <c r="DN94" s="5"/>
      <c r="DO94" s="31">
        <f>IF(SnapshotTable[[#This Row],[LC Symbol Count]]=1, SnapshotTable[[#This Row],[LC Qty]] * SnapshotTable[[#This Row],[LC Book Price]] * 100, 0)</f>
        <v>0</v>
      </c>
      <c r="DP94" s="161" t="str">
        <f>IF(AND(SnapshotTable[[#This Row],[LC Exp Date]]&gt;0, SnapshotTable[[#This Row],[LC Strike Price]]&gt;0,SnapshotTable[[#This Row],[LC Qty]]&gt;0,SnapshotTable[[#This Row],[LC Book Date]]&gt;0,SnapshotTable[[#This Row],[LC Book Price]]&gt;0,SnapshotTable[[#This Row],[LC Fill Date]]=0),"Y","")</f>
        <v/>
      </c>
      <c r="DQ94" s="356" t="str">
        <f>IF(SnapshotTable[[#This Row],[LC Premium]] &gt; 0,SnapshotTable[[#This Row],[LC Exp Date]]-MAX(SnapshotTable[[#This Row],[LC Book Date]], SnapshotTable[[#This Row],[LC Fill Date]]),"")</f>
        <v/>
      </c>
      <c r="DR94" s="356" t="str">
        <f>IF(ISNUMBER(SnapshotTable[[#This Row],[LC Term]]), SnapshotTable[[#This Row],[LC Exp Date]] - MockToday, "")</f>
        <v/>
      </c>
      <c r="DS94" s="219" t="str">
        <f>IF(SnapshotTable[[#This Row],[LC Premium]]&gt;0,SnapshotTable[[#This Row],[LC Strike Price]] + SnapshotTable[[#This Row],[LC Book Price]],"")</f>
        <v/>
      </c>
      <c r="DT94" s="5"/>
      <c r="DU94" s="9" t="str">
        <f>IF(AND(SnapshotTable[[#This Row],[LC Symbol Count]]&gt;0, SnapshotTable[[#This Row],[LC Contract Value]]&gt;0), SnapshotTable[[#This Row],[LC Contract Value]] * SnapshotTable[[#This Row],[LC Qty]] * 100, "")</f>
        <v/>
      </c>
      <c r="DV94" s="9" t="str">
        <f>IF(AND(ISNUMBER(SnapshotTable[[#This Row],[LC Total Value]]), SnapshotTable[[#This Row],[LC Not Filled]]&lt;&gt;"Y"), SnapshotTable[[#This Row],[LC Total Value]]-SnapshotTable[[#This Row],[LC Premium]],"")</f>
        <v/>
      </c>
      <c r="DW94" s="225" t="str">
        <f>IF(ISNUMBER(SnapshotTable[[#This Row],[LC Actual Gain Loss]]), SnapshotTable[[#This Row],[LC Actual Gain Loss]] / SnapshotTable[[#This Row],[LC Premium]],"")</f>
        <v/>
      </c>
      <c r="DX94" s="269" t="str">
        <f>IF(ISNUMBER(SnapshotTable[[#This Row],[LC Book Price]]),SnapshotTable[[#This Row],[LC Book Price]] * 1.5,"")</f>
        <v/>
      </c>
      <c r="DY94" s="250" t="str">
        <f>IF(SnapshotTable[[#This Row],[LC Premium]]&gt;0, SnapshotTable[[#This Row],[LC Next Target]] * SnapshotTable[[#This Row],[LC Qty]] * 100,"")</f>
        <v/>
      </c>
      <c r="DZ94" s="250" t="str">
        <f>IF(ISNUMBER(SnapshotTable[[#This Row],[LC Target Gross]]), SnapshotTable[[#This Row],[LC Target Gross]] - SnapshotTable[[#This Row],[LC Premium]], "")</f>
        <v/>
      </c>
      <c r="EA94" s="283" t="str">
        <f>IF(ISNUMBER(SnapshotTable[[#This Row],[LC Target Gain Loss]]), SnapshotTable[[#This Row],[LC Target Gain Loss]]/SnapshotTable[[#This Row],[LC Premium]], "")</f>
        <v/>
      </c>
      <c r="EB94" s="247"/>
      <c r="EC94" s="268" t="str">
        <f>IF(SnapshotTable[[#This Row],[LC Premium]]&gt;0, SnapshotTable[[#This Row],[LC Book Price]] * (1 - LC_StopLoss_Pct),"")</f>
        <v/>
      </c>
      <c r="ED94" s="269"/>
      <c r="EE94" s="268" t="str">
        <f>IF(ISNUMBER(SnapshotTable[[#This Row],[LC Contract Value]]),IF(ISNUMBER(SnapshotTable[[#This Row],[LC Stop Loss Override]]), SnapshotTable[[#This Row],[LC Stop Loss Override]],SnapshotTable[[#This Row],[LC Stop Loss Calc Target]]),"")</f>
        <v/>
      </c>
      <c r="EF94" s="31" t="str">
        <f>IF(ISNUMBER(SnapshotTable[[#This Row],[LC Stop  To Use]]), (SnapshotTable[[#This Row],[LC Stop  To Use]] * SnapshotTable[[#This Row],[LC Qty]] * 100),"")</f>
        <v/>
      </c>
      <c r="EG94" s="9" t="str">
        <f>IF(ISNUMBER(SnapshotTable[[#This Row],[LC Total Value]]),SnapshotTable[[#This Row],[LC Stop Loss Amount]] - SnapshotTable[[#This Row],[LC Premium]],"")</f>
        <v/>
      </c>
      <c r="EH94" s="9">
        <f>IF(ISNUMBER(SnapshotTable[[#This Row],[LC Premium]]), SnapshotTable[[#This Row],[LC Qty]] * 100 * SnapshotTable[[#This Row],[LC Strike Price]], "")</f>
        <v>0</v>
      </c>
      <c r="EI94" s="225" t="str">
        <f>IF(AND(ISNUMBER(SnapshotTable[[#This Row],[LC Total Value]]),SnapshotTable[[#This Row],[LC Total Value]]&gt;0),SnapshotTable[[#This Row],[LC Stop Gain Loss]]  / SnapshotTable[[#This Row],[LC Premium]],"")</f>
        <v/>
      </c>
      <c r="EJ94" s="35">
        <f>IF(ISNUMBER(SnapshotTable[[#This Row],[Equity Shares]]),TRUNC(SnapshotTable[[#This Row],[Equity Shares]] / 100),0) + SnapshotTable[[#This Row],[LC Qty]]</f>
        <v>0</v>
      </c>
      <c r="EK94" s="145"/>
      <c r="EL94" s="136"/>
      <c r="EM94" s="146"/>
      <c r="EN94" s="145"/>
      <c r="EO94" s="145"/>
      <c r="EP94" s="136"/>
      <c r="EQ94" s="382" t="b">
        <f>AND(ISNUMBER(SnapshotTable[[#This Row],[SC Exp Date]]), ISNUMBER(SnapshotTable[[#This Row],[SC Strike Price]]), ISNUMBER(SnapshotTable[[#This Row],[SC Qty]]), ISNUMBER(SnapshotTable[[#This Row],[SC Book Date]]), ISNUMBER(SnapshotTable[[#This Row],[SC Book Price]]))</f>
        <v>0</v>
      </c>
      <c r="ER94" s="382" t="b">
        <f>AND(SnapshotTable[[#This Row],[SC Is Booked]], NOT(ISBLANK(SnapshotTable[[#This Row],[SC Fill Date]])))</f>
        <v>0</v>
      </c>
      <c r="ES94" s="340"/>
      <c r="ET94" s="34" t="str">
        <f>IF(AND(ISNUMBER(SnapshotTable[[#This Row],[SC Exp Date]]), ISNUMBER(SnapshotTable[[#This Row],[SC Book Date]])), SnapshotTable[[#This Row],[SC Exp Date]] - MAX(SnapshotTable[[#This Row],[SC Book Date]], SnapshotTable[[#This Row],[SC Fill Date]]) + 1, "")</f>
        <v/>
      </c>
      <c r="EU94" s="34" t="str">
        <f>IF(ISNUMBER(SnapshotTable[[#This Row],[SC Term]]), SnapshotTable[[#This Row],[SC Exp Date]]- MockToday, "")</f>
        <v/>
      </c>
      <c r="EV94" s="31">
        <f>IF(SnapshotTable[[#This Row],[SC Is Booked]], SnapshotTable[[#This Row],[SC Qty]] * SnapshotTable[[#This Row],[SC Book Price]] * 100, 0)</f>
        <v>0</v>
      </c>
      <c r="EW94" s="4" t="str">
        <f>IF(AND(ISNUMBER(SnapshotTable[[#This Row],[Last Price]]), ISNUMBER( SnapshotTable[[#This Row],[SC Book Price]])), SnapshotTable[[#This Row],[Last Price]] - SnapshotTable[[#This Row],[SC Book Price]],"")</f>
        <v/>
      </c>
      <c r="EX94" s="219" t="str">
        <f>IF(SnapshotTable[[#This Row],[SC Is Booked]],IF(SnapshotTable[[#This Row],[SC Intrinsic Value]] &gt; 0, SnapshotTable[[#This Row],[SC Strike Price]], SnapshotTable[[#This Row],[Last Price]]), "")</f>
        <v/>
      </c>
      <c r="EY94" s="4">
        <f>IF(SnapshotTable[[#This Row],[SC Is Booked]], (MinimumPremiumRequired * SnapshotTable[[#This Row],[SC Basis]] * SnapshotTable[[#This Row],[SC Term]]), 0)</f>
        <v>0</v>
      </c>
      <c r="EZ94" s="268"/>
      <c r="FA94" s="204"/>
      <c r="FB94" s="340"/>
      <c r="FC94" s="4">
        <f>IF(SnapshotTable[[#This Row],[SC Is Filled]], btc_max_buyback_amount(SnapshotTable[[#This Row],[SC Fill Date]],SnapshotTable[[#This Row],[SC Exp Date]], SnapshotTable[[#This Row],[SC Book Price]]),0)</f>
        <v>0</v>
      </c>
      <c r="FD94" s="5"/>
      <c r="FE94" s="142" t="str">
        <f>IF(SnapshotTable[[#This Row],[SC Is Filled]], btc_next_cutoff_date(SnapshotTable[[#This Row],[SC Fill Date]],SnapshotTable[[#This Row],[SC Exp Date]]),"")</f>
        <v/>
      </c>
      <c r="FF94" s="4" t="str" cm="1">
        <f t="array" ref="FF94">IF(SnapshotTable[[#This Row],[SC Is Filled]], btc_should_buy_back(SnapshotTable[[#This Row],[SC Fill Date]], SnapshotTable[[#This Row],[SC Exp Date]], SnapshotTable[[#This Row],[SC Book Price]], SnapshotTable[[#This Row],[SC Current Ask]], MockToday, SnapshotTable[[#This Row],[SC Buyback Override]]),"")</f>
        <v/>
      </c>
      <c r="FG94" s="4">
        <f>IF(SnapshotTable[[#This Row],[SC Is Filled]], MAX(0,SnapshotTable[[#This Row],[Last Price]]  - SnapshotTable[[#This Row],[SC Strike Price]]), 0)</f>
        <v>0</v>
      </c>
      <c r="FH94" s="352">
        <f>IF(SnapshotTable[[#This Row],[SC Is Filled]], IF(ISNUMBER(SnapshotTable[[#This Row],[SC Current Ask]]), SnapshotTable[[#This Row],[SC Current Ask]], SnapshotTable[[#This Row],[SC Book Price]]) - SnapshotTable[[#This Row],[SC Intrinsic Value]], 0)</f>
        <v>0</v>
      </c>
      <c r="FI94" s="141"/>
      <c r="FJ94" s="32" t="str">
        <f>IF(SnapshotTable[[#This Row],[SC Is Filled]],100 * SnapshotTable[[#This Row],[SC Qty]] * IF(ISNUMBER(SnapshotTable[[#This Row],[SC Buyback Override]]), SnapshotTable[[#This Row],[SC Buyback Override]], SnapshotTable[[#This Row],[SC Current Ask]]), "")</f>
        <v/>
      </c>
      <c r="FK94" s="235" t="str">
        <f>IF(SnapshotTable[[#This Row],[SC Time Val]]&gt;0, SnapshotTable[[#This Row],[SC Time Val]] / SnapshotTable[[#This Row],[Last Price]],"")</f>
        <v/>
      </c>
      <c r="FL94" s="280" t="str">
        <f>IF(SnapshotTable[[#This Row],[SC Is Booked]], ((SnapshotTable[[#This Row],[Last Price]] -SnapshotTable[[#This Row],[SC Strike Price]]) / SnapshotTable[[#This Row],[Last Price]]) * -1, "")</f>
        <v/>
      </c>
      <c r="FM94" s="155" t="str">
        <f>IF(SnapshotTable[[#This Row],[SC Is Booked]],  (SnapshotTable[[#This Row],[SC Qty]] * 100 * SnapshotTable[[#This Row],[SC Strike Price]]) - SnapshotTable[[#This Row],[SC Current Ask]], "")</f>
        <v/>
      </c>
      <c r="FN94"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4" s="155" t="str">
        <f>IF(AND(ISNUMBER(SnapshotTable[[#This Row],[SC Exercise Gross]]), ISNUMBER(SnapshotTable[[#This Row],[Equity Basis Per Share]] )), SnapshotTable[[#This Row],[SC Exercise Gross]] - SnapshotTable[[#This Row],[Equity Basis Total]] +  SnapshotTable[[#This Row],[SC Premium]], "")</f>
        <v/>
      </c>
      <c r="FP94" s="5" t="str">
        <f>IF(ISNUMBER(SnapshotTable[[#This Row],[SC Exercise Gross]]), (SnapshotTable[[#This Row],[SC Exercise Gross]]) / (SnapshotTable[[#This Row],[SC Qty]] * 100), "")</f>
        <v/>
      </c>
      <c r="FQ94" s="27" t="str">
        <f>IF(SnapshotTable[[#This Row],[SC Is Booked]],SnapshotTable[[#This Row],[SC Time Val]] /SnapshotTable[[#This Row],[SC Basis]], "")</f>
        <v/>
      </c>
      <c r="FR94" s="27" t="str" cm="1">
        <f t="array" ref="FR94">IF(AND(ISNUMBER(SnapshotTable[[#This Row],[SC Term]]),ISNUMBER(SnapshotTable[[#This Row],[SC Simple ROO]])), EllmanAnnualize(SnapshotTable[[#This Row],[SC DTE]], SnapshotTable[[#This Row],[SC Simple ROO]] ),"")</f>
        <v/>
      </c>
      <c r="FS94" s="4">
        <f>IF(SnapshotTable[[#This Row],[SC Strike Price]] &gt; SnapshotTable[[#This Row],[Last Price]], SnapshotTable[[#This Row],[SC Strike Price]] - SnapshotTable[[#This Row],[Last Price]],0)</f>
        <v>0</v>
      </c>
      <c r="FT94" s="27" t="str">
        <f>IF(AND(ISNUMBER(SnapshotTable[[#This Row],[SC Upside Potential]]), SnapshotTable[[#This Row],[SC Upside Potential]] &gt; 0),(SnapshotTable[[#This Row],[SC Upside Potential]]/ SnapshotTable[[#This Row],[ACB]]),"")</f>
        <v/>
      </c>
      <c r="FU94" s="304" t="str">
        <f>IF(SnapshotTable[[#This Row],[SC Intrinsic Value]] &gt; 0,SnapshotTable[[#This Row],[SC Intrinsic Value]],"")</f>
        <v/>
      </c>
      <c r="FV94" s="27" t="str">
        <f>IF(AND( ISNUMBER( SnapshotTable[[#This Row],[ACB]]),ISNUMBER(SnapshotTable[[#This Row],[SC Downside Protect]])),SnapshotTable[[#This Row],[SC Downside Protect]] / SnapshotTable[[#This Row],[ACB]],"")</f>
        <v/>
      </c>
      <c r="FW94" s="221" t="str">
        <f>IF(AND(ISNUMBER(SnapshotTable[[#This Row],[SC Simple ROO]]),SnapshotTable[[#This Row],[SC Simple ROO]] &gt; 0), SnapshotTable[[#This Row],[SC Premium]] + (SnapshotTable[[#This Row],[SC Qty]] * SnapshotTable[[#This Row],[SC Upside Potential]]), "")</f>
        <v/>
      </c>
      <c r="FX94" s="280" t="str" cm="1">
        <f t="array" ref="FX94">IF(ISNUMBER(SnapshotTable[[#This Row],[SC Max Dollars]]), annualize(SnapshotTable[[#This Row],[SC Term]],(SnapshotTable[[#This Row],[SC Max Dollars]]/SnapshotTable[[#This Row],[SC Basis]])),"")</f>
        <v/>
      </c>
      <c r="FY94" s="221" t="str">
        <f>IF(AND(SnapshotTable[[#This Row],[SC Qty]]&gt;0,SnapshotTable[[#This Row],[SC Current Ask]]&gt;0), SnapshotTable[[#This Row],[SC Qty]] * SnapshotTable[[#This Row],[SC Current Ask]] * -100, "")</f>
        <v/>
      </c>
      <c r="FZ94" s="31" t="str">
        <f>IF(ISNUMBER((SnapshotTable[[#This Row],[SC Current Value]])), SnapshotTable[[#This Row],[SC Premium]] + SnapshotTable[[#This Row],[SC Current Value]], "")</f>
        <v/>
      </c>
      <c r="GA94" s="272" t="str">
        <f>IFERROR( IF(ISNUMBER((SnapshotTable[[#This Row],[SC Current Value]])), SnapshotTable[[#This Row],[SC Gain Loss]] / SnapshotTable[[#This Row],[SC Premium]], ""), "")</f>
        <v/>
      </c>
      <c r="GB94" s="42">
        <f>SnapshotTable[[#This Row],[Equity Shares]] * SaleSharesToConsiderPercentage</f>
        <v>0</v>
      </c>
      <c r="GC94" s="40">
        <f>SnapshotTable[[#This Row],[Long Term Target]] * SellingPriceToConsiderBasedOnTargetPercentage</f>
        <v>0</v>
      </c>
      <c r="GD94" s="40">
        <f>SnapshotTable[[#This Row],[Last Price]] * (1+ SellingPriceToConsiderBasedOnTargetPercentage)</f>
        <v>4.4459999999999997</v>
      </c>
      <c r="GE94" s="41"/>
      <c r="GF94" s="40"/>
      <c r="GG94" s="31">
        <f>SnapshotTable[[#This Row],[Booked Sale Shares]] * SnapshotTable[[#This Row],[Booked Sale Price]]</f>
        <v>0</v>
      </c>
      <c r="GH94" s="31" t="str">
        <f>IF(SnapshotTable[[#This Row],[Equity Basis Total]] &gt; 0, SnapshotTable[[#This Row],[Equity Basis Per Share]] * SnapshotTable[[#This Row],[Booked Sale Shares]], "")</f>
        <v/>
      </c>
      <c r="GI94" s="31">
        <f>IF(SnapshotTable[[#This Row],[Sale Proceeds]]&gt;0, SnapshotTable[[#This Row],[Sale Proceeds]] - SnapshotTable[[#This Row],[Sale Basis]], 0)</f>
        <v>0</v>
      </c>
      <c r="GJ94" s="156" t="str">
        <f>IF(SnapshotTable[[#This Row],[Sale G/L]]&gt;0, SnapshotTable[[#This Row],[Sale G/L]] / SnapshotTable[[#This Row],[Sale Basis]], IF(ISNUMBER(SnapshotTable[[#This Row],[SC Exercise P&amp;L (TAX)]]), SnapshotTable[[#This Row],[SC Exercise P&amp;L (TAX)]] / SnapshotTable[[#This Row],[SC Basis]], ""))</f>
        <v/>
      </c>
      <c r="GK94" s="156" t="s">
        <v>551</v>
      </c>
      <c r="GL94" s="157" t="str">
        <f>IF(AND(SnapshotTable[[#This Row],[LP Exp Date]]&gt;0,SnapshotTable[[#This Row],[LP Strike Price]]&gt;0), [1]!ToOptionSymbol(SnapshotTable[[#This Row],[Symbol]], SnapshotTable[[#This Row],[LP Strike Price]],SnapshotTable[[#This Row],[LP Exp Date]],1), "")</f>
        <v/>
      </c>
      <c r="GM94" s="30" t="str">
        <f>IF(LEN(SnapshotTable[[#This Row],[LP Symbol]])&gt;0, 1, "")</f>
        <v/>
      </c>
      <c r="GN94" s="43" t="str">
        <f>IF(AND(SnapshotTable[[#This Row],[SP Exp Date]]&gt;0,SnapshotTable[[#This Row],[SP Strike Price]]&gt;0), [1]!ToOptionSymbol(SnapshotTable[[#This Row],[Symbol]], SnapshotTable[[#This Row],[SP Strike Price]],SnapshotTable[[#This Row],[SP Exp Date]],1), "")</f>
        <v/>
      </c>
      <c r="GO94" s="30" t="str">
        <f>IF(LEN(SnapshotTable[[#This Row],[SP Symbol]])&gt;0, 1, "")</f>
        <v/>
      </c>
      <c r="GP94" s="157" t="str">
        <f>IF(AND(SnapshotTable[[#This Row],[LC Exp Date]]&gt;0,SnapshotTable[[#This Row],[LC Strike Price]]&gt;0), [1]!ToOptionSymbol(SnapshotTable[[#This Row],[Symbol]], SnapshotTable[[#This Row],[LC Strike Price]],SnapshotTable[[#This Row],[LC Exp Date]],0), "")</f>
        <v/>
      </c>
      <c r="GQ94" s="158" t="str">
        <f>IF(LEN(SnapshotTable[[#This Row],[LC Symbol]])&gt;0, 1, "")</f>
        <v/>
      </c>
      <c r="GR94" s="157" t="str">
        <f>IF(AND(SnapshotTable[[#This Row],[SC Exp Date]]&gt;0,SnapshotTable[[#This Row],[SC Strike Price]]&gt;0), [1]!ToOptionSymbol(SnapshotTable[[#This Row],[Symbol]], SnapshotTable[[#This Row],[SC Strike Price]],SnapshotTable[[#This Row],[SC Exp Date]],0), "")</f>
        <v/>
      </c>
      <c r="GS94" s="158" t="str">
        <f>IF(LEN(SnapshotTable[[#This Row],[SC Symbol]])&gt;0, 1, "")</f>
        <v/>
      </c>
      <c r="GT94" s="159" t="str">
        <f>IF(COUNT(SnapshotTable[[#This Row],[LP Symbol Count]],SnapshotTable[[#This Row],[SP Symbol Count]],SnapshotTable[[#This Row],[LC Symbol Count]],SnapshotTable[[#This Row],[SC Symbol Count]])&gt;0, "Y", "")</f>
        <v/>
      </c>
      <c r="GU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4" s="216">
        <f>MAX(SnapshotTable[[#This Row],[Equity Basis Total]],SnapshotTable[[#This Row],[Equity Value]]) + (SnapshotTable[[#This Row],[SP Potential Spend]]- SnapshotTable[[#This Row],[SP Premium]] + SnapshotTable[[#This Row],[LP Premium]])+ (SnapshotTable[[#This Row],[LC Premium]] - SnapshotTable[[#This Row],[SC Premium]])</f>
        <v>0</v>
      </c>
      <c r="GW94" s="137" t="str">
        <f>IF(AND(SnapshotTable[[#This Row],[Exposure]] &lt;&gt; 0),SnapshotTable[[#This Row],[Exposure]] / SnapshotTable[[#Totals],[Exposure]], "")</f>
        <v/>
      </c>
      <c r="GY94" s="351"/>
      <c r="HE94" s="253"/>
      <c r="HF94" s="253"/>
      <c r="HG94" s="351"/>
      <c r="HH94" s="351"/>
      <c r="HI94" s="351"/>
      <c r="HJ94" s="351"/>
    </row>
    <row r="95" spans="2:224" s="45" customFormat="1" ht="12.75" hidden="1" customHeight="1" x14ac:dyDescent="0.25">
      <c r="B95" s="12" t="s">
        <v>775</v>
      </c>
      <c r="C95" s="385">
        <v>166.12</v>
      </c>
      <c r="D95" s="200" t="s">
        <v>467</v>
      </c>
      <c r="E95" s="39">
        <f>SnapshotTable[[#This Row],[Last Price]]*(1 -CrashDiscount)</f>
        <v>141.202</v>
      </c>
      <c r="F95" s="26" t="s">
        <v>496</v>
      </c>
      <c r="G95" s="26" t="s">
        <v>7</v>
      </c>
      <c r="H95" s="147"/>
      <c r="I95" s="186">
        <v>44959</v>
      </c>
      <c r="J95" s="187">
        <v>44959</v>
      </c>
      <c r="K95" s="188"/>
      <c r="L95" s="297"/>
      <c r="M95" s="138"/>
      <c r="N95" s="138"/>
      <c r="O95" s="138"/>
      <c r="P95" s="22"/>
      <c r="Q95" s="25"/>
      <c r="R95" s="4" t="str">
        <f>IF(SnapshotTable[[#This Row],[Equity Basis Total]] &gt; 0, SnapshotTable[[#This Row],[Equity Basis Total]] / SnapshotTable[[#This Row],[Equity Shares]], "")</f>
        <v/>
      </c>
      <c r="S95" s="254">
        <f>SnapshotTable[[#This Row],[Last Price]] * SnapshotTable[[#This Row],[Equity Shares]]</f>
        <v>0</v>
      </c>
      <c r="T95" s="254">
        <f>SnapshotTable[[#This Row],[Equity Value]] - SnapshotTable[[#This Row],[Equity Basis Total]]</f>
        <v>0</v>
      </c>
      <c r="U95" s="255" t="str">
        <f>IF(SnapshotTable[[#This Row],[Equity Basis Total]] &gt; 0, SnapshotTable[[#This Row],[Equity G/L]] / SnapshotTable[[#This Row],[Equity Basis Total]], "")</f>
        <v/>
      </c>
      <c r="V95" s="253">
        <v>280</v>
      </c>
      <c r="W95" s="253">
        <v>238.5</v>
      </c>
      <c r="X95" s="4" t="str">
        <f>IF(AND(ISNUMBER(SnapshotTable[[#This Row],[Equity Basis Per Share]]),ISNUMBER(SnapshotTable[[#This Row],[Equity Target]])),SnapshotTable[[#This Row],[Equity Target]]-SnapshotTable[[#This Row],[Equity Basis Per Share]],"")</f>
        <v/>
      </c>
      <c r="Y95" s="4" t="str">
        <f>IF(AND(ISNUMBER(SnapshotTable[[#This Row],[Equity Basis Per Share]]),ISNUMBER(SnapshotTable[[#This Row],[Equity Stop Loss]])),SnapshotTable[[#This Row],[Equity Stop Loss]]-SnapshotTable[[#This Row],[Equity Basis Per Share]],"")</f>
        <v/>
      </c>
      <c r="Z95" s="260" t="str">
        <f>IFERROR( TEXT(SnapshotTable[[#This Row],[Equity Max Gain Per Share]] /ABS( SnapshotTable[[#This Row],[Equity Max Loss Per Share]]),"0.0 " ) &amp; " : 1", "")</f>
        <v/>
      </c>
      <c r="AA95" s="31" t="str">
        <f>IF(ISNUMBER(SnapshotTable[[#This Row],[Equity Max Gain Per Share]]),SnapshotTable[[#This Row],[Equity Max Gain Per Share]] * SnapshotTable[[#This Row],[Equity Shares]],"")</f>
        <v/>
      </c>
      <c r="AB95" s="31" t="str">
        <f>IF(ISNUMBER(SnapshotTable[[#This Row],[Equity Max Loss Per Share]]),SnapshotTable[[#This Row],[Equity Max Loss Per Share]] * SnapshotTable[[#This Row],[Equity Shares]],"")</f>
        <v/>
      </c>
      <c r="AC95" s="148"/>
      <c r="AD95" s="149"/>
      <c r="AE95" s="31">
        <f>(SnapshotTable[[#This Row],[Annual Dividend Per Share]] / 4) * SnapshotTable[[#This Row],[Equity Shares]]</f>
        <v>0</v>
      </c>
      <c r="AF95" s="31">
        <f>SnapshotTable[[#This Row],[Quarterly Div $]] * 4</f>
        <v>0</v>
      </c>
      <c r="AG95" s="7">
        <f>IF(SnapshotTable[[#This Row],[Annual Dividend Per Share]]&gt;0, SnapshotTable[[#This Row],[Annual Dividend Per Share]]  / SnapshotTable[[#This Row],[Last Price]], 0)</f>
        <v>0</v>
      </c>
      <c r="AH95" s="149"/>
      <c r="AI95" s="5"/>
      <c r="AJ95" s="136">
        <v>75.400000000000006</v>
      </c>
      <c r="AK95" s="150" t="str">
        <f>IF(ISNUMBER( SnapshotTable[[#This Row],[EBF Target]]),(SnapshotTable[[#This Row],[EBF Target]] - SnapshotTable[[#This Row],[Last Price]]) / SnapshotTable[[#This Row],[Last Price]], "")</f>
        <v/>
      </c>
      <c r="AL95" s="150" t="str">
        <f>IF(AND(SnapshotTable[[#This Row],[Equity Basis Total]] &gt; 0,ISNUMBER( SnapshotTable[[#This Row],[Long Term Target]])), SnapshotTable[[#This Row],[From Basis $]] / SnapshotTable[[#This Row],[Equity Basis Total]], "")</f>
        <v/>
      </c>
      <c r="AM95" s="9">
        <f>IF( AND(SnapshotTable[[#This Row],[Equity Shares]] &gt;0,ISNUMBER( SnapshotTable[[#This Row],[Long Term Target]])),(SnapshotTable[[#This Row],[Equity Shares]] * SnapshotTable[[#This Row],[Long Term Target]]) - SnapshotTable[[#This Row],[Equity Basis Total]],0)</f>
        <v>0</v>
      </c>
      <c r="AN95" s="9">
        <f>IF( AND(SnapshotTable[[#This Row],[Equity Shares]] &gt;0,ISNUMBER( SnapshotTable[[#This Row],[Long Term Target]])),(SnapshotTable[[#This Row],[Equity Shares]]*SnapshotTable[[#This Row],[Long Term Target]]) - SnapshotTable[[#This Row],[Equity Value]],0)</f>
        <v>0</v>
      </c>
      <c r="AO95" s="150">
        <f>IF(AND(ISNUMBER( SnapshotTable[[#This Row],[Long Term Target]]), ISNUMBER(SnapshotTable[[#This Row],[Last Price]])),(SnapshotTable[[#This Row],[Long Term Target]] - SnapshotTable[[#This Row],[Last Price]]) / SnapshotTable[[#This Row],[Last Price]], "")</f>
        <v>-0.54611124488321694</v>
      </c>
      <c r="AP95" s="5">
        <v>320</v>
      </c>
      <c r="AQ95" s="38" t="s">
        <v>22</v>
      </c>
      <c r="AR95" s="5">
        <v>320</v>
      </c>
      <c r="AS95" s="38" t="s">
        <v>15</v>
      </c>
      <c r="AT95" s="144" t="s">
        <v>438</v>
      </c>
      <c r="AU95" s="185" t="str">
        <f>IF(OR(SnapshotTable[[#This Row],[LP No Fill]]="Y",SnapshotTable[[#This Row],[SP Is Filled]],SnapshotTable[[#This Row],[LC Not Filled]]="Y",SnapshotTable[[#This Row],[SC Is Filled]]),"Y","")</f>
        <v/>
      </c>
      <c r="AV95" s="205"/>
      <c r="AW95" s="211"/>
      <c r="AX95" s="206"/>
      <c r="AY95" s="205" t="str">
        <f>IF(SnapshotTable[[#This Row],[Implied Move]]&gt;0, SnapshotTable[[#This Row],[Last Price]]-SnapshotTable[[#This Row],[Implied Move]],"")</f>
        <v/>
      </c>
      <c r="AZ95" s="205" t="str">
        <f>IF(SnapshotTable[[#This Row],[Implied Move]]&gt;0, SnapshotTable[[#This Row],[Last Price]] + SnapshotTable[[#This Row],[Implied Move]],"")</f>
        <v/>
      </c>
      <c r="BA95" s="302">
        <v>192.13</v>
      </c>
      <c r="BB95" s="318" t="s">
        <v>908</v>
      </c>
      <c r="BC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5" s="321"/>
      <c r="BE95" s="5"/>
      <c r="BF95" s="14"/>
      <c r="BG95" s="13"/>
      <c r="BH95" s="13"/>
      <c r="BI95" s="5"/>
      <c r="BJ95" s="134">
        <f>IF(SnapshotTable[[#This Row],[LP Qty]] &gt; 0, SnapshotTable[[#This Row],[LP Qty]] * SnapshotTable[[#This Row],[LP Book Price]] * 100,0)</f>
        <v>0</v>
      </c>
      <c r="BK95" s="134">
        <f>IF(SnapshotTable[[#This Row],[LP Premium]] &gt; 0, SnapshotTable[[#This Row],[LP Qty]] * SnapshotTable[[#This Row],[LP Strike Price]] * 100,0)</f>
        <v>0</v>
      </c>
      <c r="BL95" s="152"/>
      <c r="BM95" s="355" t="str">
        <f>IF(SnapshotTable[[#This Row],[LP Premium]] &gt; 0,SnapshotTable[[#This Row],[LP Exp Date]]-MAX(SnapshotTable[[#This Row],[LP Book Date]], SnapshotTable[[#This Row],[LP Fill Date]]),"")</f>
        <v/>
      </c>
      <c r="BN95" s="355" t="str">
        <f>IF(ISNUMBER( SnapshotTable[[#This Row],[LP Term]]), SnapshotTable[[#This Row],[LP Exp Date]] - MockToday,"")</f>
        <v/>
      </c>
      <c r="BO95" s="161" t="str">
        <f>IF(AND(SnapshotTable[[#This Row],[LP Exp Date]]&gt;0, SnapshotTable[[#This Row],[LP Strike Price]]&gt;0,SnapshotTable[[#This Row],[LP Qty]]&gt;0,SnapshotTable[[#This Row],[LP Book Date]]&gt;0,SnapshotTable[[#This Row],[LP Book Price]]&gt;0,SnapshotTable[[#This Row],[LP Fill Date]]=0),"Y","")</f>
        <v/>
      </c>
      <c r="BP95" s="31" t="str">
        <f>IF(AND(SnapshotTable[[#This Row],[LP No Fill]]&lt;&gt;"Y",SnapshotTable[[#This Row],[LP Contract Value]]&gt;0, SnapshotTable[[#This Row],[LP Qty]]&gt;0), SnapshotTable[[#This Row],[LP Contract Value]]*SnapshotTable[[#This Row],[LP Qty]]*100,"")</f>
        <v/>
      </c>
      <c r="BQ95" s="13"/>
      <c r="BR95" s="5"/>
      <c r="BS95" s="36"/>
      <c r="BT95" s="145"/>
      <c r="BU95" s="13"/>
      <c r="BV95" s="5"/>
      <c r="BW95" s="382" t="b">
        <f>AND(ISNUMBER(SnapshotTable[[#This Row],[SP Exp Date]]), ISNUMBER(SnapshotTable[[#This Row],[SP Strike Price]]), ISNUMBER(SnapshotTable[[#This Row],[SP Qty]]), ISNUMBER(SnapshotTable[[#This Row],[SP Book Date]]), ISNUMBER(SnapshotTable[[#This Row],[SP Book Price]]))</f>
        <v>0</v>
      </c>
      <c r="BX95" s="382" t="b">
        <f>AND(SnapshotTable[[#This Row],[SP Is Booked]], NOT(ISBLANK(SnapshotTable[[#This Row],[SP Fill Date]])))</f>
        <v>0</v>
      </c>
      <c r="BY95" s="33">
        <f>IF(SnapshotTable[[#This Row],[SP Is Booked]], SnapshotTable[[#This Row],[SP Qty]] * SnapshotTable[[#This Row],[SP Book Price]] * 100, 0)</f>
        <v>0</v>
      </c>
      <c r="BZ95" s="339"/>
      <c r="CA95" s="338">
        <f>SnapshotTable[[#This Row],[LP Qty]]</f>
        <v>0</v>
      </c>
      <c r="CB95" s="4" t="str">
        <f>IF(SnapshotTable[[#This Row],[SP Is Booked]], SnapshotTable[[#This Row],[SP Strike Price]] - SnapshotTable[[#This Row],[SP Book Price]], "")</f>
        <v/>
      </c>
      <c r="CC95" s="19" t="str">
        <f>IF(SnapshotTable[[#This Row],[SP Is Booked]],SnapshotTable[[#This Row],[SP Exp Date]]-MAX(SnapshotTable[[#This Row],[SP Book Date]], SnapshotTable[[#This Row],[SP Fill Date]]),"")</f>
        <v/>
      </c>
      <c r="CD95" s="7" t="str">
        <f>IF(SnapshotTable[[#This Row],[SP Is Booked]], SnapshotTable[[#This Row],[SP Book Price]]/SnapshotTable[[#This Row],[SP Strike Price]], "")</f>
        <v/>
      </c>
      <c r="CE95" s="7" t="str">
        <f>IF(ISNUMBER(SnapshotTable[[#This Row],[SP ROO Term]]),SnapshotTable[[#This Row],[SP ROO Term]]*(365/SnapshotTable[[#This Row],[SP Term]]),"")</f>
        <v/>
      </c>
      <c r="CF95" s="221">
        <f>SnapshotTable[[#This Row],[LP Strike Price]] * SnapshotTable[[#This Row],[LP Qty]] * 100</f>
        <v>0</v>
      </c>
      <c r="CG95" s="31">
        <f>IF(ISNUMBER(SnapshotTable[[#This Row],[SP Premium]]), (SnapshotTable[[#This Row],[SP Qty]] * SnapshotTable[[#This Row],[SP Strike Price]]* 100) - SnapshotTable[[#This Row],[LP Protection]], 0)</f>
        <v>0</v>
      </c>
      <c r="CH95" s="7" t="str">
        <f>IF(ISNUMBER(SnapshotTable[[#This Row],[SP Break Even]]),-1 * (SnapshotTable[[#This Row],[SP Break Even]] - SnapshotTable[[#This Row],[Last Price]]) / SnapshotTable[[#This Row],[Last Price]], "")</f>
        <v/>
      </c>
      <c r="CI95" s="31">
        <f>IF(AND(ISNUMBER((SnapshotTable[[#This Row],[SP Potential Spend]])), SnapshotTable[[#This Row],[SP Strike Price]] &gt; SnapshotTable[[#This Row],[Last Price]], SnapshotTable[[#This Row],[SP Is Filled]]), SnapshotTable[[#This Row],[SP Potential Spend]] -  SnapshotTable[[#This Row],[LP Max Value]], 0)</f>
        <v>0</v>
      </c>
      <c r="CJ95" s="229"/>
      <c r="CK95" s="31">
        <f>IF(ISNUMBER(SnapshotTable[[#This Row],[SP Potential Spend]]),IF(ISNUMBER(SnapshotTable[[#This Row],[SP POW]]), SnapshotTable[[#This Row],[SP POW]] * SnapshotTable[[#This Row],[SP Potential Spend]], SnapshotTable[[#This Row],[SP Potential Spend]]), "")</f>
        <v>0</v>
      </c>
      <c r="CL95" s="162">
        <f>IF(NOT(SnapshotTable[[#This Row],[SP Is Filled]]),(SnapshotTable[[#This Row],[SP Qty]] * SnapshotTable[[#This Row],[SP Strike Price]] * 100) - SnapshotTable[[#This Row],[LP Max Value]],"")</f>
        <v>0</v>
      </c>
      <c r="CM95" s="31" t="str">
        <f>IF(SnapshotTable[[#This Row],[SP Actual Spend]]&lt;&gt;0, ((SnapshotTable[[#This Row],[SP Strike Price]]-SnapshotTable[[#This Row],[Last Price]]) *(SnapshotTable[[#This Row],[SP Qty]]*100) - SnapshotTable[[#This Row],[SP Premium]]) * - 1, "")</f>
        <v/>
      </c>
      <c r="CN95" s="204"/>
      <c r="CO95" s="339"/>
      <c r="CP95" s="4" t="str">
        <f>IF(SnapshotTable[[#This Row],[SP Is Filled]], btc_max_buyback_amount(SnapshotTable[[#This Row],[SP Fill Date]],SnapshotTable[[#This Row],[SP Exp Date]], SnapshotTable[[#This Row],[SP Book Price]]),"")</f>
        <v/>
      </c>
      <c r="CQ95" s="76"/>
      <c r="CR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5" s="153" t="str">
        <f>IF(SnapshotTable[[#This Row],[SP Is Filled]], btc_next_cutoff_date(SnapshotTable[[#This Row],[SP Fill Date]],SnapshotTable[[#This Row],[SP Exp Date]]),"")</f>
        <v/>
      </c>
      <c r="CT95" s="220" t="str" cm="1">
        <f t="array" ref="CT95">IF(SnapshotTable[[#This Row],[SP Is Filled]], btc_should_buy_back(SnapshotTable[[#This Row],[SP Fill Date]], SnapshotTable[[#This Row],[SP Exp Date]], SnapshotTable[[#This Row],[SP Book Price]], SnapshotTable[[#This Row],[SP Current Ask]], MockToday, SnapshotTable[[#This Row],[SP Buyback Override]]),"")</f>
        <v/>
      </c>
      <c r="CU95" s="141"/>
      <c r="CV95" s="220"/>
      <c r="CW95" s="348" t="str">
        <f>IF(ISNUMBER( SnapshotTable[[#This Row],[SP Term]]), SnapshotTable[[#This Row],[SP Exp Date]] - MockToday,"")</f>
        <v/>
      </c>
      <c r="CX95" s="31" t="str">
        <f>IF(SnapshotTable[[#This Row],[SP Is Filled]],SnapshotTable[[#This Row],[SP Buyback Price to Use]] * 100 * SnapshotTable[[#This Row],[SP Qty]], "")</f>
        <v/>
      </c>
      <c r="CY95" s="4" t="str">
        <f>IF(ISNUMBER(SnapshotTable[[#This Row],[SP Strike Price]]), SnapshotTable[[#This Row],[SP Strike Price]] * (1 - SP_MaxLoss_StrikePct), "")</f>
        <v/>
      </c>
      <c r="CZ95" s="31" t="str">
        <f>IF(ISNUMBER(SnapshotTable[[#This Row],[SP Strike  Stop Per Share]]),SnapshotTable[[#This Row],[SP Premium]] - ((SnapshotTable[[#This Row],[SP Strike Price]]-SnapshotTable[[#This Row],[SP Strike  Stop Per Share]]) *(SnapshotTable[[#This Row],[SP Qty]] * 100)),"")</f>
        <v/>
      </c>
      <c r="DA95" s="4" t="str">
        <f>IF(AND(ISNUMBER(SnapshotTable[[#This Row],[SP Premium]]),SnapshotTable[[#This Row],[SP Premium]]&gt;0), SnapshotTable[[#This Row],[SP Book Price]] * (1 + SP_MaxLoss_OptionPct), "")</f>
        <v/>
      </c>
      <c r="DB95" s="31" t="str">
        <f>IF(ISNUMBER(SnapshotTable[[#This Row],[SP Option  Stop Contract]]),(SnapshotTable[[#This Row],[SP Option  Stop Contract]] *(SnapshotTable[[#This Row],[SP Qty]] * 100) - SnapshotTable[[#This Row],[SP Premium]]),"")</f>
        <v/>
      </c>
      <c r="DC95" s="4"/>
      <c r="DD95" s="4"/>
      <c r="DE95" s="4" t="str">
        <f>IF(AND(SnapshotTable[[#This Row],[SP Qty]]&gt;0, SnapshotTable[[#This Row],[SP Stop To Use]]&gt;0),SnapshotTable[[#This Row],[SP Premium]] - ( SnapshotTable[[#This Row],[SP Qty]] * SnapshotTable[[#This Row],[SP Stop To Use]] * 100), "")</f>
        <v/>
      </c>
      <c r="DF95" s="31" t="str">
        <f>IF(AND(SnapshotTable[[#This Row],[SP Qty]]&gt;0,SnapshotTable[[#This Row],[SP Current Ask]]&gt;0), SnapshotTable[[#This Row],[SP Qty]] * SnapshotTable[[#This Row],[SP Current Ask]] * -100, "")</f>
        <v/>
      </c>
      <c r="DG95" s="31" t="str">
        <f>IF(ISNUMBER((SnapshotTable[[#This Row],[SP Total Value]])), SnapshotTable[[#This Row],[SP Premium]] + SnapshotTable[[#This Row],[SP Total Value]], "")</f>
        <v/>
      </c>
      <c r="DH95" s="272" t="str">
        <f>IF(ISNUMBER((SnapshotTable[[#This Row],[SP Total Value]])), SnapshotTable[[#This Row],[SP Gain Loss]] / SnapshotTable[[#This Row],[SP Premium]], "")</f>
        <v/>
      </c>
      <c r="DI95" s="369"/>
      <c r="DJ95" s="136"/>
      <c r="DK95" s="146"/>
      <c r="DL95" s="13"/>
      <c r="DM95" s="13"/>
      <c r="DN95" s="5"/>
      <c r="DO95" s="31">
        <f>IF(SnapshotTable[[#This Row],[LC Symbol Count]]=1, SnapshotTable[[#This Row],[LC Qty]] * SnapshotTable[[#This Row],[LC Book Price]] * 100, 0)</f>
        <v>0</v>
      </c>
      <c r="DP95" s="161" t="str">
        <f>IF(AND(SnapshotTable[[#This Row],[LC Exp Date]]&gt;0, SnapshotTable[[#This Row],[LC Strike Price]]&gt;0,SnapshotTable[[#This Row],[LC Qty]]&gt;0,SnapshotTable[[#This Row],[LC Book Date]]&gt;0,SnapshotTable[[#This Row],[LC Book Price]]&gt;0,SnapshotTable[[#This Row],[LC Fill Date]]=0),"Y","")</f>
        <v/>
      </c>
      <c r="DQ95" s="356" t="str">
        <f>IF(SnapshotTable[[#This Row],[LC Premium]] &gt; 0,SnapshotTable[[#This Row],[LC Exp Date]]-MAX(SnapshotTable[[#This Row],[LC Book Date]], SnapshotTable[[#This Row],[LC Fill Date]]),"")</f>
        <v/>
      </c>
      <c r="DR95" s="356" t="str">
        <f>IF(ISNUMBER(SnapshotTable[[#This Row],[LC Term]]), SnapshotTable[[#This Row],[LC Exp Date]] - MockToday, "")</f>
        <v/>
      </c>
      <c r="DS95" s="219" t="str">
        <f>IF(SnapshotTable[[#This Row],[LC Premium]]&gt;0,SnapshotTable[[#This Row],[LC Strike Price]] + SnapshotTable[[#This Row],[LC Book Price]],"")</f>
        <v/>
      </c>
      <c r="DT95" s="5"/>
      <c r="DU95" s="9" t="str">
        <f>IF(AND(SnapshotTable[[#This Row],[LC Symbol Count]]&gt;0, SnapshotTable[[#This Row],[LC Contract Value]]&gt;0), SnapshotTable[[#This Row],[LC Contract Value]] * SnapshotTable[[#This Row],[LC Qty]] * 100, "")</f>
        <v/>
      </c>
      <c r="DV95" s="9" t="str">
        <f>IF(AND(ISNUMBER(SnapshotTable[[#This Row],[LC Total Value]]), SnapshotTable[[#This Row],[LC Not Filled]]&lt;&gt;"Y"), SnapshotTable[[#This Row],[LC Total Value]]-SnapshotTable[[#This Row],[LC Premium]],"")</f>
        <v/>
      </c>
      <c r="DW95" s="225" t="str">
        <f>IF(ISNUMBER(SnapshotTable[[#This Row],[LC Actual Gain Loss]]), SnapshotTable[[#This Row],[LC Actual Gain Loss]] / SnapshotTable[[#This Row],[LC Premium]],"")</f>
        <v/>
      </c>
      <c r="DX95" s="269" t="str">
        <f>IF(ISNUMBER(SnapshotTable[[#This Row],[LC Book Price]]),SnapshotTable[[#This Row],[LC Book Price]] * 1.5,"")</f>
        <v/>
      </c>
      <c r="DY95" s="250" t="str">
        <f>IF(SnapshotTable[[#This Row],[LC Premium]]&gt;0, SnapshotTable[[#This Row],[LC Next Target]] * SnapshotTable[[#This Row],[LC Qty]] * 100,"")</f>
        <v/>
      </c>
      <c r="DZ95" s="250" t="str">
        <f>IF(ISNUMBER(SnapshotTable[[#This Row],[LC Target Gross]]), SnapshotTable[[#This Row],[LC Target Gross]] - SnapshotTable[[#This Row],[LC Premium]], "")</f>
        <v/>
      </c>
      <c r="EA95" s="283" t="str">
        <f>IF(ISNUMBER(SnapshotTable[[#This Row],[LC Target Gain Loss]]), SnapshotTable[[#This Row],[LC Target Gain Loss]]/SnapshotTable[[#This Row],[LC Premium]], "")</f>
        <v/>
      </c>
      <c r="EB95" s="247"/>
      <c r="EC95" s="268" t="str">
        <f>IF(SnapshotTable[[#This Row],[LC Premium]]&gt;0, SnapshotTable[[#This Row],[LC Book Price]] * (1 - LC_StopLoss_Pct),"")</f>
        <v/>
      </c>
      <c r="ED95" s="269"/>
      <c r="EE95" s="268" t="str">
        <f>IF(ISNUMBER(SnapshotTable[[#This Row],[LC Contract Value]]),IF(ISNUMBER(SnapshotTable[[#This Row],[LC Stop Loss Override]]), SnapshotTable[[#This Row],[LC Stop Loss Override]],SnapshotTable[[#This Row],[LC Stop Loss Calc Target]]),"")</f>
        <v/>
      </c>
      <c r="EF95" s="31" t="str">
        <f>IF(ISNUMBER(SnapshotTable[[#This Row],[LC Stop  To Use]]), (SnapshotTable[[#This Row],[LC Stop  To Use]] * SnapshotTable[[#This Row],[LC Qty]] * 100),"")</f>
        <v/>
      </c>
      <c r="EG95" s="9" t="str">
        <f>IF(ISNUMBER(SnapshotTable[[#This Row],[LC Total Value]]),SnapshotTable[[#This Row],[LC Stop Loss Amount]] - SnapshotTable[[#This Row],[LC Premium]],"")</f>
        <v/>
      </c>
      <c r="EH95" s="9">
        <f>IF(ISNUMBER(SnapshotTable[[#This Row],[LC Premium]]), SnapshotTable[[#This Row],[LC Qty]] * 100 * SnapshotTable[[#This Row],[LC Strike Price]], "")</f>
        <v>0</v>
      </c>
      <c r="EI95" s="225" t="str">
        <f>IF(AND(ISNUMBER(SnapshotTable[[#This Row],[LC Total Value]]),SnapshotTable[[#This Row],[LC Total Value]]&gt;0),SnapshotTable[[#This Row],[LC Stop Gain Loss]]  / SnapshotTable[[#This Row],[LC Premium]],"")</f>
        <v/>
      </c>
      <c r="EJ95" s="35">
        <f>IF(ISNUMBER(SnapshotTable[[#This Row],[Equity Shares]]),TRUNC(SnapshotTable[[#This Row],[Equity Shares]] / 100),0) + SnapshotTable[[#This Row],[LC Qty]]</f>
        <v>0</v>
      </c>
      <c r="EK95" s="145"/>
      <c r="EL95" s="136"/>
      <c r="EM95" s="146"/>
      <c r="EN95" s="145"/>
      <c r="EO95" s="145"/>
      <c r="EP95" s="136"/>
      <c r="EQ95" s="382" t="b">
        <f>AND(ISNUMBER(SnapshotTable[[#This Row],[SC Exp Date]]), ISNUMBER(SnapshotTable[[#This Row],[SC Strike Price]]), ISNUMBER(SnapshotTable[[#This Row],[SC Qty]]), ISNUMBER(SnapshotTable[[#This Row],[SC Book Date]]), ISNUMBER(SnapshotTable[[#This Row],[SC Book Price]]))</f>
        <v>0</v>
      </c>
      <c r="ER95" s="382" t="b">
        <f>AND(SnapshotTable[[#This Row],[SC Is Booked]], NOT(ISBLANK(SnapshotTable[[#This Row],[SC Fill Date]])))</f>
        <v>0</v>
      </c>
      <c r="ES95" s="340"/>
      <c r="ET95" s="34" t="str">
        <f>IF(AND(ISNUMBER(SnapshotTable[[#This Row],[SC Exp Date]]), ISNUMBER(SnapshotTable[[#This Row],[SC Book Date]])), SnapshotTable[[#This Row],[SC Exp Date]] - MAX(SnapshotTable[[#This Row],[SC Book Date]], SnapshotTable[[#This Row],[SC Fill Date]]) + 1, "")</f>
        <v/>
      </c>
      <c r="EU95" s="34" t="str">
        <f>IF(ISNUMBER(SnapshotTable[[#This Row],[SC Term]]), SnapshotTable[[#This Row],[SC Exp Date]]- MockToday, "")</f>
        <v/>
      </c>
      <c r="EV95" s="31">
        <f>IF(SnapshotTable[[#This Row],[SC Is Booked]], SnapshotTable[[#This Row],[SC Qty]] * SnapshotTable[[#This Row],[SC Book Price]] * 100, 0)</f>
        <v>0</v>
      </c>
      <c r="EW95" s="4" t="str">
        <f>IF(AND(ISNUMBER(SnapshotTable[[#This Row],[Last Price]]), ISNUMBER( SnapshotTable[[#This Row],[SC Book Price]])), SnapshotTable[[#This Row],[Last Price]] - SnapshotTable[[#This Row],[SC Book Price]],"")</f>
        <v/>
      </c>
      <c r="EX95" s="219" t="str">
        <f>IF(SnapshotTable[[#This Row],[SC Is Booked]],IF(SnapshotTable[[#This Row],[SC Intrinsic Value]] &gt; 0, SnapshotTable[[#This Row],[SC Strike Price]], SnapshotTable[[#This Row],[Last Price]]), "")</f>
        <v/>
      </c>
      <c r="EY95" s="4">
        <f>IF(SnapshotTable[[#This Row],[SC Is Booked]], (MinimumPremiumRequired * SnapshotTable[[#This Row],[SC Basis]] * SnapshotTable[[#This Row],[SC Term]]), 0)</f>
        <v>0</v>
      </c>
      <c r="EZ95" s="268"/>
      <c r="FA95" s="204"/>
      <c r="FB95" s="340"/>
      <c r="FC95" s="4">
        <f>IF(SnapshotTable[[#This Row],[SC Is Filled]], btc_max_buyback_amount(SnapshotTable[[#This Row],[SC Fill Date]],SnapshotTable[[#This Row],[SC Exp Date]], SnapshotTable[[#This Row],[SC Book Price]]),0)</f>
        <v>0</v>
      </c>
      <c r="FD95" s="5"/>
      <c r="FE95" s="142" t="str">
        <f>IF(SnapshotTable[[#This Row],[SC Is Filled]], btc_next_cutoff_date(SnapshotTable[[#This Row],[SC Fill Date]],SnapshotTable[[#This Row],[SC Exp Date]]),"")</f>
        <v/>
      </c>
      <c r="FF95" s="4" t="str" cm="1">
        <f t="array" ref="FF95">IF(SnapshotTable[[#This Row],[SC Is Filled]], btc_should_buy_back(SnapshotTable[[#This Row],[SC Fill Date]], SnapshotTable[[#This Row],[SC Exp Date]], SnapshotTable[[#This Row],[SC Book Price]], SnapshotTable[[#This Row],[SC Current Ask]], MockToday, SnapshotTable[[#This Row],[SC Buyback Override]]),"")</f>
        <v/>
      </c>
      <c r="FG95" s="4">
        <f>IF(SnapshotTable[[#This Row],[SC Is Filled]], MAX(0,SnapshotTable[[#This Row],[Last Price]]  - SnapshotTable[[#This Row],[SC Strike Price]]), 0)</f>
        <v>0</v>
      </c>
      <c r="FH95" s="352">
        <f>IF(SnapshotTable[[#This Row],[SC Is Filled]], IF(ISNUMBER(SnapshotTable[[#This Row],[SC Current Ask]]), SnapshotTable[[#This Row],[SC Current Ask]], SnapshotTable[[#This Row],[SC Book Price]]) - SnapshotTable[[#This Row],[SC Intrinsic Value]], 0)</f>
        <v>0</v>
      </c>
      <c r="FI95" s="141"/>
      <c r="FJ95" s="32" t="str">
        <f>IF(SnapshotTable[[#This Row],[SC Is Filled]],100 * SnapshotTable[[#This Row],[SC Qty]] * IF(ISNUMBER(SnapshotTable[[#This Row],[SC Buyback Override]]), SnapshotTable[[#This Row],[SC Buyback Override]], SnapshotTable[[#This Row],[SC Current Ask]]), "")</f>
        <v/>
      </c>
      <c r="FK95" s="235" t="str">
        <f>IF(SnapshotTable[[#This Row],[SC Time Val]]&gt;0, SnapshotTable[[#This Row],[SC Time Val]] / SnapshotTable[[#This Row],[Last Price]],"")</f>
        <v/>
      </c>
      <c r="FL95" s="280" t="str">
        <f>IF(SnapshotTable[[#This Row],[SC Is Booked]], ((SnapshotTable[[#This Row],[Last Price]] -SnapshotTable[[#This Row],[SC Strike Price]]) / SnapshotTable[[#This Row],[Last Price]]) * -1, "")</f>
        <v/>
      </c>
      <c r="FM95" s="155" t="str">
        <f>IF(SnapshotTable[[#This Row],[SC Is Booked]],  (SnapshotTable[[#This Row],[SC Qty]] * 100 * SnapshotTable[[#This Row],[SC Strike Price]]) - SnapshotTable[[#This Row],[SC Current Ask]], "")</f>
        <v/>
      </c>
      <c r="FN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5" s="31" t="str">
        <f>IF(AND(ISNUMBER(SnapshotTable[[#This Row],[SC Exercise Gross]]), ISNUMBER(SnapshotTable[[#This Row],[Equity Basis Per Share]] )), SnapshotTable[[#This Row],[SC Exercise Gross]] - SnapshotTable[[#This Row],[Equity Basis Total]] +  SnapshotTable[[#This Row],[SC Premium]], "")</f>
        <v/>
      </c>
      <c r="FP95" s="5" t="str">
        <f>IF(ISNUMBER(SnapshotTable[[#This Row],[SC Exercise Gross]]), (SnapshotTable[[#This Row],[SC Exercise Gross]]) / (SnapshotTable[[#This Row],[SC Qty]] * 100), "")</f>
        <v/>
      </c>
      <c r="FQ95" s="27" t="str">
        <f>IF(SnapshotTable[[#This Row],[SC Is Booked]],SnapshotTable[[#This Row],[SC Time Val]] /SnapshotTable[[#This Row],[SC Basis]], "")</f>
        <v/>
      </c>
      <c r="FR95" s="27" t="str" cm="1">
        <f t="array" ref="FR95">IF(AND(ISNUMBER(SnapshotTable[[#This Row],[SC Term]]),ISNUMBER(SnapshotTable[[#This Row],[SC Simple ROO]])), EllmanAnnualize(SnapshotTable[[#This Row],[SC DTE]], SnapshotTable[[#This Row],[SC Simple ROO]] ),"")</f>
        <v/>
      </c>
      <c r="FS95" s="4">
        <f>IF(SnapshotTable[[#This Row],[SC Strike Price]] &gt; SnapshotTable[[#This Row],[Last Price]], SnapshotTable[[#This Row],[SC Strike Price]] - SnapshotTable[[#This Row],[Last Price]],0)</f>
        <v>0</v>
      </c>
      <c r="FT95" s="27" t="str">
        <f>IF(AND(ISNUMBER(SnapshotTable[[#This Row],[SC Upside Potential]]), SnapshotTable[[#This Row],[SC Upside Potential]] &gt; 0),(SnapshotTable[[#This Row],[SC Upside Potential]]/ SnapshotTable[[#This Row],[ACB]]),"")</f>
        <v/>
      </c>
      <c r="FU95" s="304" t="str">
        <f>IF(SnapshotTable[[#This Row],[SC Intrinsic Value]] &gt; 0,SnapshotTable[[#This Row],[SC Intrinsic Value]],"")</f>
        <v/>
      </c>
      <c r="FV95" s="27" t="str">
        <f>IF(AND( ISNUMBER( SnapshotTable[[#This Row],[ACB]]),ISNUMBER(SnapshotTable[[#This Row],[SC Downside Protect]])),SnapshotTable[[#This Row],[SC Downside Protect]] / SnapshotTable[[#This Row],[ACB]],"")</f>
        <v/>
      </c>
      <c r="FW95" s="221" t="str">
        <f>IF(AND(ISNUMBER(SnapshotTable[[#This Row],[SC Simple ROO]]),SnapshotTable[[#This Row],[SC Simple ROO]] &gt; 0), SnapshotTable[[#This Row],[SC Premium]] + (SnapshotTable[[#This Row],[SC Qty]] * SnapshotTable[[#This Row],[SC Upside Potential]]), "")</f>
        <v/>
      </c>
      <c r="FX95" s="280" t="str" cm="1">
        <f t="array" ref="FX95">IF(ISNUMBER(SnapshotTable[[#This Row],[SC Max Dollars]]), annualize(SnapshotTable[[#This Row],[SC Term]],(SnapshotTable[[#This Row],[SC Max Dollars]]/SnapshotTable[[#This Row],[SC Basis]])),"")</f>
        <v/>
      </c>
      <c r="FY95" s="221" t="str">
        <f>IF(AND(SnapshotTable[[#This Row],[SC Qty]]&gt;0,SnapshotTable[[#This Row],[SC Current Ask]]&gt;0), SnapshotTable[[#This Row],[SC Qty]] * SnapshotTable[[#This Row],[SC Current Ask]] * -100, "")</f>
        <v/>
      </c>
      <c r="FZ95" s="31" t="str">
        <f>IF(ISNUMBER((SnapshotTable[[#This Row],[SC Current Value]])), SnapshotTable[[#This Row],[SC Premium]] + SnapshotTable[[#This Row],[SC Current Value]], "")</f>
        <v/>
      </c>
      <c r="GA95" s="272" t="str">
        <f>IFERROR( IF(ISNUMBER((SnapshotTable[[#This Row],[SC Current Value]])), SnapshotTable[[#This Row],[SC Gain Loss]] / SnapshotTable[[#This Row],[SC Premium]], ""), "")</f>
        <v/>
      </c>
      <c r="GB95" s="42">
        <f>SnapshotTable[[#This Row],[Equity Shares]] * SaleSharesToConsiderPercentage</f>
        <v>0</v>
      </c>
      <c r="GC95" s="40">
        <f>SnapshotTable[[#This Row],[Long Term Target]] * SellingPriceToConsiderBasedOnTargetPercentage</f>
        <v>71.63</v>
      </c>
      <c r="GD95" s="40">
        <f>SnapshotTable[[#This Row],[Last Price]] * (1+ SellingPriceToConsiderBasedOnTargetPercentage)</f>
        <v>323.93400000000003</v>
      </c>
      <c r="GE95" s="41"/>
      <c r="GF95" s="40"/>
      <c r="GG95" s="31">
        <f>SnapshotTable[[#This Row],[Booked Sale Shares]] * SnapshotTable[[#This Row],[Booked Sale Price]]</f>
        <v>0</v>
      </c>
      <c r="GH95" s="31" t="str">
        <f>IF(SnapshotTable[[#This Row],[Equity Basis Total]] &gt; 0, SnapshotTable[[#This Row],[Equity Basis Per Share]] * SnapshotTable[[#This Row],[Booked Sale Shares]], "")</f>
        <v/>
      </c>
      <c r="GI95" s="31">
        <f>IF(SnapshotTable[[#This Row],[Sale Proceeds]]&gt;0, SnapshotTable[[#This Row],[Sale Proceeds]] - SnapshotTable[[#This Row],[Sale Basis]], 0)</f>
        <v>0</v>
      </c>
      <c r="GJ95" s="27" t="str">
        <f>IF(SnapshotTable[[#This Row],[Sale G/L]]&gt;0, SnapshotTable[[#This Row],[Sale G/L]] / SnapshotTable[[#This Row],[Sale Basis]], IF(ISNUMBER(SnapshotTable[[#This Row],[SC Exercise P&amp;L (TAX)]]), SnapshotTable[[#This Row],[SC Exercise P&amp;L (TAX)]] / SnapshotTable[[#This Row],[SC Basis]], ""))</f>
        <v/>
      </c>
      <c r="GK95" s="27" t="s">
        <v>830</v>
      </c>
      <c r="GL95" s="43" t="str">
        <f>IF(AND(SnapshotTable[[#This Row],[LP Exp Date]]&gt;0,SnapshotTable[[#This Row],[LP Strike Price]]&gt;0), [1]!ToOptionSymbol(SnapshotTable[[#This Row],[Symbol]], SnapshotTable[[#This Row],[LP Strike Price]],SnapshotTable[[#This Row],[LP Exp Date]],1), "")</f>
        <v/>
      </c>
      <c r="GM95" s="30" t="str">
        <f>IF(LEN(SnapshotTable[[#This Row],[LP Symbol]])&gt;0, 1, "")</f>
        <v/>
      </c>
      <c r="GN95" s="43" t="str">
        <f>IF(AND(SnapshotTable[[#This Row],[SP Exp Date]]&gt;0,SnapshotTable[[#This Row],[SP Strike Price]]&gt;0), [1]!ToOptionSymbol(SnapshotTable[[#This Row],[Symbol]], SnapshotTable[[#This Row],[SP Strike Price]],SnapshotTable[[#This Row],[SP Exp Date]],1), "")</f>
        <v/>
      </c>
      <c r="GO95" s="30" t="str">
        <f>IF(LEN(SnapshotTable[[#This Row],[SP Symbol]])&gt;0, 1, "")</f>
        <v/>
      </c>
      <c r="GP95" s="43" t="str">
        <f>IF(AND(SnapshotTable[[#This Row],[LC Exp Date]]&gt;0,SnapshotTable[[#This Row],[LC Strike Price]]&gt;0), [1]!ToOptionSymbol(SnapshotTable[[#This Row],[Symbol]], SnapshotTable[[#This Row],[LC Strike Price]],SnapshotTable[[#This Row],[LC Exp Date]],0), "")</f>
        <v/>
      </c>
      <c r="GQ95" s="30" t="str">
        <f>IF(LEN(SnapshotTable[[#This Row],[LC Symbol]])&gt;0, 1, "")</f>
        <v/>
      </c>
      <c r="GR95" s="43" t="str">
        <f>IF(AND(SnapshotTable[[#This Row],[SC Exp Date]]&gt;0,SnapshotTable[[#This Row],[SC Strike Price]]&gt;0), [1]!ToOptionSymbol(SnapshotTable[[#This Row],[Symbol]], SnapshotTable[[#This Row],[SC Strike Price]],SnapshotTable[[#This Row],[SC Exp Date]],0), "")</f>
        <v/>
      </c>
      <c r="GS95" s="30" t="str">
        <f>IF(LEN(SnapshotTable[[#This Row],[SC Symbol]])&gt;0, 1, "")</f>
        <v/>
      </c>
      <c r="GT95" s="29" t="str">
        <f>IF(COUNT(SnapshotTable[[#This Row],[LP Symbol Count]],SnapshotTable[[#This Row],[SP Symbol Count]],SnapshotTable[[#This Row],[LC Symbol Count]],SnapshotTable[[#This Row],[SC Symbol Count]])&gt;0, "Y", "")</f>
        <v/>
      </c>
      <c r="GU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5" s="216">
        <f>MAX(SnapshotTable[[#This Row],[Equity Basis Total]],SnapshotTable[[#This Row],[Equity Value]]) + (SnapshotTable[[#This Row],[SP Potential Spend]]- SnapshotTable[[#This Row],[SP Premium]] + SnapshotTable[[#This Row],[LP Premium]])+ (SnapshotTable[[#This Row],[LC Premium]] - SnapshotTable[[#This Row],[SC Premium]])</f>
        <v>0</v>
      </c>
      <c r="GW95" s="137" t="str">
        <f>IF(AND(SnapshotTable[[#This Row],[Exposure]] &lt;&gt; 0),SnapshotTable[[#This Row],[Exposure]] / SnapshotTable[[#Totals],[Exposure]], "")</f>
        <v/>
      </c>
      <c r="GY95" s="351"/>
      <c r="HE95" s="253"/>
      <c r="HF95" s="253"/>
      <c r="HG95" s="351"/>
      <c r="HH95" s="351"/>
      <c r="HI95" s="351"/>
      <c r="HJ95" s="351"/>
    </row>
    <row r="96" spans="2:224" ht="12.75" hidden="1" customHeight="1" x14ac:dyDescent="0.25">
      <c r="B96" s="12" t="s">
        <v>918</v>
      </c>
      <c r="C96" s="385">
        <v>11.26</v>
      </c>
      <c r="D96" s="200" t="s">
        <v>467</v>
      </c>
      <c r="E96" s="39">
        <f>SnapshotTable[[#This Row],[Last Price]]*(1 -CrashDiscount)</f>
        <v>9.5709999999999997</v>
      </c>
      <c r="F96" s="26" t="s">
        <v>754</v>
      </c>
      <c r="G96" s="26" t="s">
        <v>688</v>
      </c>
      <c r="H96" s="147"/>
      <c r="I96" s="186"/>
      <c r="J96" s="187"/>
      <c r="K96" s="188"/>
      <c r="L96" s="297"/>
      <c r="M96" s="138"/>
      <c r="N96" s="138"/>
      <c r="O96" s="138"/>
      <c r="P96" s="22"/>
      <c r="Q96" s="25"/>
      <c r="R96" s="4" t="str">
        <f>IF(SnapshotTable[[#This Row],[Equity Basis Total]] &gt; 0, SnapshotTable[[#This Row],[Equity Basis Total]] / SnapshotTable[[#This Row],[Equity Shares]], "")</f>
        <v/>
      </c>
      <c r="S96" s="254">
        <f>SnapshotTable[[#This Row],[Last Price]] * SnapshotTable[[#This Row],[Equity Shares]]</f>
        <v>0</v>
      </c>
      <c r="T96" s="254">
        <f>SnapshotTable[[#This Row],[Equity Value]] - SnapshotTable[[#This Row],[Equity Basis Total]]</f>
        <v>0</v>
      </c>
      <c r="U96" s="255" t="str">
        <f>IF(SnapshotTable[[#This Row],[Equity Basis Total]] &gt; 0, SnapshotTable[[#This Row],[Equity G/L]] / SnapshotTable[[#This Row],[Equity Basis Total]], "")</f>
        <v/>
      </c>
      <c r="V96" s="253"/>
      <c r="W96" s="253"/>
      <c r="X96" s="4" t="str">
        <f>IF(AND(ISNUMBER(SnapshotTable[[#This Row],[Equity Basis Per Share]]),ISNUMBER(SnapshotTable[[#This Row],[Equity Target]])),SnapshotTable[[#This Row],[Equity Target]]-SnapshotTable[[#This Row],[Equity Basis Per Share]],"")</f>
        <v/>
      </c>
      <c r="Y96" s="4" t="str">
        <f>IF(AND(ISNUMBER(SnapshotTable[[#This Row],[Equity Basis Per Share]]),ISNUMBER(SnapshotTable[[#This Row],[Equity Stop Loss]])),SnapshotTable[[#This Row],[Equity Stop Loss]]-SnapshotTable[[#This Row],[Equity Basis Per Share]],"")</f>
        <v/>
      </c>
      <c r="Z96" s="260" t="str">
        <f>IFERROR( TEXT(SnapshotTable[[#This Row],[Equity Max Gain Per Share]] /ABS( SnapshotTable[[#This Row],[Equity Max Loss Per Share]]),"0.0 " ) &amp; " : 1", "")</f>
        <v/>
      </c>
      <c r="AA96" s="31" t="str">
        <f>IF(ISNUMBER(SnapshotTable[[#This Row],[Equity Max Gain Per Share]]),SnapshotTable[[#This Row],[Equity Max Gain Per Share]] * SnapshotTable[[#This Row],[Equity Shares]],"")</f>
        <v/>
      </c>
      <c r="AB96" s="31" t="str">
        <f>IF(ISNUMBER(SnapshotTable[[#This Row],[Equity Max Loss Per Share]]),SnapshotTable[[#This Row],[Equity Max Loss Per Share]] * SnapshotTable[[#This Row],[Equity Shares]],"")</f>
        <v/>
      </c>
      <c r="AC96" s="148"/>
      <c r="AD96" s="149"/>
      <c r="AE96" s="31">
        <f>(SnapshotTable[[#This Row],[Annual Dividend Per Share]] / 4) * SnapshotTable[[#This Row],[Equity Shares]]</f>
        <v>0</v>
      </c>
      <c r="AF96" s="31">
        <f>SnapshotTable[[#This Row],[Quarterly Div $]] * 4</f>
        <v>0</v>
      </c>
      <c r="AG96" s="7">
        <f>IF(SnapshotTable[[#This Row],[Annual Dividend Per Share]]&gt;0, SnapshotTable[[#This Row],[Annual Dividend Per Share]]  / SnapshotTable[[#This Row],[Last Price]], 0)</f>
        <v>0</v>
      </c>
      <c r="AH96" s="149"/>
      <c r="AI96" s="5"/>
      <c r="AJ96" s="136"/>
      <c r="AK96" s="150" t="str">
        <f>IF(ISNUMBER( SnapshotTable[[#This Row],[EBF Target]]),(SnapshotTable[[#This Row],[EBF Target]] - SnapshotTable[[#This Row],[Last Price]]) / SnapshotTable[[#This Row],[Last Price]], "")</f>
        <v/>
      </c>
      <c r="AL96" s="150" t="str">
        <f>IF(AND(SnapshotTable[[#This Row],[Equity Basis Total]] &gt; 0,ISNUMBER( SnapshotTable[[#This Row],[Long Term Target]])), SnapshotTable[[#This Row],[From Basis $]] / SnapshotTable[[#This Row],[Equity Basis Total]], "")</f>
        <v/>
      </c>
      <c r="AM96" s="9">
        <f>IF( AND(SnapshotTable[[#This Row],[Equity Shares]] &gt;0,ISNUMBER( SnapshotTable[[#This Row],[Long Term Target]])),(SnapshotTable[[#This Row],[Equity Shares]] * SnapshotTable[[#This Row],[Long Term Target]]) - SnapshotTable[[#This Row],[Equity Basis Total]],0)</f>
        <v>0</v>
      </c>
      <c r="AN96" s="9">
        <f>IF( AND(SnapshotTable[[#This Row],[Equity Shares]] &gt;0,ISNUMBER( SnapshotTable[[#This Row],[Long Term Target]])),(SnapshotTable[[#This Row],[Equity Shares]]*SnapshotTable[[#This Row],[Long Term Target]]) - SnapshotTable[[#This Row],[Equity Value]],0)</f>
        <v>0</v>
      </c>
      <c r="AO96" s="150" t="str">
        <f>IF(AND(ISNUMBER( SnapshotTable[[#This Row],[Long Term Target]]), ISNUMBER(SnapshotTable[[#This Row],[Last Price]])),(SnapshotTable[[#This Row],[Long Term Target]] - SnapshotTable[[#This Row],[Last Price]]) / SnapshotTable[[#This Row],[Last Price]], "")</f>
        <v/>
      </c>
      <c r="AP96" s="5"/>
      <c r="AQ96" s="38"/>
      <c r="AR96" s="5"/>
      <c r="AS96" s="38"/>
      <c r="AT96" s="144"/>
      <c r="AU96" s="185" t="str">
        <f>IF(OR(SnapshotTable[[#This Row],[LP No Fill]]="Y",SnapshotTable[[#This Row],[SP Is Filled]],SnapshotTable[[#This Row],[LC Not Filled]]="Y",SnapshotTable[[#This Row],[SC Is Filled]]),"Y","")</f>
        <v/>
      </c>
      <c r="AV96" s="205"/>
      <c r="AW96" s="211"/>
      <c r="AX96" s="206"/>
      <c r="AY96" s="205" t="str">
        <f>IF(SnapshotTable[[#This Row],[Implied Move]]&gt;0, SnapshotTable[[#This Row],[Last Price]]-SnapshotTable[[#This Row],[Implied Move]],"")</f>
        <v/>
      </c>
      <c r="AZ96" s="205" t="str">
        <f>IF(SnapshotTable[[#This Row],[Implied Move]]&gt;0, SnapshotTable[[#This Row],[Last Price]] + SnapshotTable[[#This Row],[Implied Move]],"")</f>
        <v/>
      </c>
      <c r="BA96" s="302">
        <v>5.72</v>
      </c>
      <c r="BB96" s="318"/>
      <c r="BC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6" s="321"/>
      <c r="BE96" s="5"/>
      <c r="BF96" s="14"/>
      <c r="BG96" s="13"/>
      <c r="BH96" s="13"/>
      <c r="BI96" s="5"/>
      <c r="BJ96" s="134">
        <f>IF(SnapshotTable[[#This Row],[LP Qty]] &gt; 0, SnapshotTable[[#This Row],[LP Qty]] * SnapshotTable[[#This Row],[LP Book Price]] * 100,0)</f>
        <v>0</v>
      </c>
      <c r="BK96" s="134">
        <f>IF(SnapshotTable[[#This Row],[LP Premium]] &gt; 0, SnapshotTable[[#This Row],[LP Qty]] * SnapshotTable[[#This Row],[LP Strike Price]] * 100,0)</f>
        <v>0</v>
      </c>
      <c r="BL96" s="152"/>
      <c r="BM96" s="355" t="str">
        <f>IF(SnapshotTable[[#This Row],[LP Premium]] &gt; 0,SnapshotTable[[#This Row],[LP Exp Date]]-MAX(SnapshotTable[[#This Row],[LP Book Date]], SnapshotTable[[#This Row],[LP Fill Date]]),"")</f>
        <v/>
      </c>
      <c r="BN96" s="355" t="str">
        <f>IF(ISNUMBER( SnapshotTable[[#This Row],[LP Term]]), SnapshotTable[[#This Row],[LP Exp Date]] - MockToday,"")</f>
        <v/>
      </c>
      <c r="BO96" s="161" t="str">
        <f>IF(AND(SnapshotTable[[#This Row],[LP Exp Date]]&gt;0, SnapshotTable[[#This Row],[LP Strike Price]]&gt;0,SnapshotTable[[#This Row],[LP Qty]]&gt;0,SnapshotTable[[#This Row],[LP Book Date]]&gt;0,SnapshotTable[[#This Row],[LP Book Price]]&gt;0,SnapshotTable[[#This Row],[LP Fill Date]]=0),"Y","")</f>
        <v/>
      </c>
      <c r="BP96" s="31" t="str">
        <f>IF(AND(SnapshotTable[[#This Row],[LP No Fill]]&lt;&gt;"Y",SnapshotTable[[#This Row],[LP Contract Value]]&gt;0, SnapshotTable[[#This Row],[LP Qty]]&gt;0), SnapshotTable[[#This Row],[LP Contract Value]]*SnapshotTable[[#This Row],[LP Qty]]*100,"")</f>
        <v/>
      </c>
      <c r="BQ96" s="13"/>
      <c r="BR96" s="5"/>
      <c r="BS96" s="36"/>
      <c r="BT96" s="145"/>
      <c r="BU96" s="13"/>
      <c r="BV96" s="5"/>
      <c r="BW96" s="382" t="b">
        <f>AND(ISNUMBER(SnapshotTable[[#This Row],[SP Exp Date]]), ISNUMBER(SnapshotTable[[#This Row],[SP Strike Price]]), ISNUMBER(SnapshotTable[[#This Row],[SP Qty]]), ISNUMBER(SnapshotTable[[#This Row],[SP Book Date]]), ISNUMBER(SnapshotTable[[#This Row],[SP Book Price]]))</f>
        <v>0</v>
      </c>
      <c r="BX96" s="382" t="b">
        <f>AND(SnapshotTable[[#This Row],[SP Is Booked]], NOT(ISBLANK(SnapshotTable[[#This Row],[SP Fill Date]])))</f>
        <v>0</v>
      </c>
      <c r="BY96" s="33">
        <f>IF(SnapshotTable[[#This Row],[SP Is Booked]], SnapshotTable[[#This Row],[SP Qty]] * SnapshotTable[[#This Row],[SP Book Price]] * 100, 0)</f>
        <v>0</v>
      </c>
      <c r="BZ96" s="339"/>
      <c r="CA96" s="338">
        <f>SnapshotTable[[#This Row],[LP Qty]]</f>
        <v>0</v>
      </c>
      <c r="CB96" s="4" t="str">
        <f>IF(SnapshotTable[[#This Row],[SP Is Booked]], SnapshotTable[[#This Row],[SP Strike Price]] - SnapshotTable[[#This Row],[SP Book Price]], "")</f>
        <v/>
      </c>
      <c r="CC96" s="19" t="str">
        <f>IF(SnapshotTable[[#This Row],[SP Is Booked]],SnapshotTable[[#This Row],[SP Exp Date]]-MAX(SnapshotTable[[#This Row],[SP Book Date]], SnapshotTable[[#This Row],[SP Fill Date]]),"")</f>
        <v/>
      </c>
      <c r="CD96" s="7" t="str">
        <f>IF(SnapshotTable[[#This Row],[SP Is Booked]], SnapshotTable[[#This Row],[SP Book Price]]/SnapshotTable[[#This Row],[SP Strike Price]], "")</f>
        <v/>
      </c>
      <c r="CE96" s="7" t="str">
        <f>IF(ISNUMBER(SnapshotTable[[#This Row],[SP ROO Term]]),SnapshotTable[[#This Row],[SP ROO Term]]*(365/SnapshotTable[[#This Row],[SP Term]]),"")</f>
        <v/>
      </c>
      <c r="CF96" s="221">
        <f>SnapshotTable[[#This Row],[LP Strike Price]] * SnapshotTable[[#This Row],[LP Qty]] * 100</f>
        <v>0</v>
      </c>
      <c r="CG96" s="31">
        <f>IF(ISNUMBER(SnapshotTable[[#This Row],[SP Premium]]), (SnapshotTable[[#This Row],[SP Qty]] * SnapshotTable[[#This Row],[SP Strike Price]]* 100) - SnapshotTable[[#This Row],[LP Protection]], 0)</f>
        <v>0</v>
      </c>
      <c r="CH96" s="7" t="str">
        <f>IF(ISNUMBER(SnapshotTable[[#This Row],[SP Break Even]]),-1 * (SnapshotTable[[#This Row],[SP Break Even]] - SnapshotTable[[#This Row],[Last Price]]) / SnapshotTable[[#This Row],[Last Price]], "")</f>
        <v/>
      </c>
      <c r="CI96" s="31">
        <f>IF(AND(ISNUMBER((SnapshotTable[[#This Row],[SP Potential Spend]])), SnapshotTable[[#This Row],[SP Strike Price]] &gt; SnapshotTable[[#This Row],[Last Price]], SnapshotTable[[#This Row],[SP Is Filled]]), SnapshotTable[[#This Row],[SP Potential Spend]] -  SnapshotTable[[#This Row],[LP Max Value]], 0)</f>
        <v>0</v>
      </c>
      <c r="CJ96" s="229"/>
      <c r="CK96" s="31">
        <f>IF(ISNUMBER(SnapshotTable[[#This Row],[SP Potential Spend]]),IF(ISNUMBER(SnapshotTable[[#This Row],[SP POW]]), SnapshotTable[[#This Row],[SP POW]] * SnapshotTable[[#This Row],[SP Potential Spend]], SnapshotTable[[#This Row],[SP Potential Spend]]), "")</f>
        <v>0</v>
      </c>
      <c r="CL96" s="162">
        <f>IF(NOT(SnapshotTable[[#This Row],[SP Is Filled]]),(SnapshotTable[[#This Row],[SP Qty]] * SnapshotTable[[#This Row],[SP Strike Price]] * 100) - SnapshotTable[[#This Row],[LP Max Value]],"")</f>
        <v>0</v>
      </c>
      <c r="CM96" s="31" t="str">
        <f>IF(SnapshotTable[[#This Row],[SP Actual Spend]]&lt;&gt;0, ((SnapshotTable[[#This Row],[SP Strike Price]]-SnapshotTable[[#This Row],[Last Price]]) *(SnapshotTable[[#This Row],[SP Qty]]*100) - SnapshotTable[[#This Row],[SP Premium]]) * - 1, "")</f>
        <v/>
      </c>
      <c r="CN96" s="76"/>
      <c r="CO96" s="339"/>
      <c r="CP96" s="4" t="str">
        <f>IF(SnapshotTable[[#This Row],[SP Is Filled]], btc_max_buyback_amount(SnapshotTable[[#This Row],[SP Fill Date]],SnapshotTable[[#This Row],[SP Exp Date]], SnapshotTable[[#This Row],[SP Book Price]]),"")</f>
        <v/>
      </c>
      <c r="CQ96" s="76"/>
      <c r="CR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6" s="153" t="str">
        <f>IF(SnapshotTable[[#This Row],[SP Is Filled]], btc_next_cutoff_date(SnapshotTable[[#This Row],[SP Fill Date]],SnapshotTable[[#This Row],[SP Exp Date]]),"")</f>
        <v/>
      </c>
      <c r="CT96" s="220" t="str" cm="1">
        <f t="array" ref="CT96">IF(SnapshotTable[[#This Row],[SP Is Filled]], btc_should_buy_back(SnapshotTable[[#This Row],[SP Fill Date]], SnapshotTable[[#This Row],[SP Exp Date]], SnapshotTable[[#This Row],[SP Book Price]], SnapshotTable[[#This Row],[SP Current Ask]], MockToday, SnapshotTable[[#This Row],[SP Buyback Override]]),"")</f>
        <v/>
      </c>
      <c r="CU96" s="141"/>
      <c r="CV96" s="220"/>
      <c r="CW96" s="348" t="str">
        <f>IF(ISNUMBER( SnapshotTable[[#This Row],[SP Term]]), SnapshotTable[[#This Row],[SP Exp Date]] - MockToday,"")</f>
        <v/>
      </c>
      <c r="CX96" s="31" t="str">
        <f>IF(SnapshotTable[[#This Row],[SP Is Filled]],SnapshotTable[[#This Row],[SP Buyback Price to Use]] * 100 * SnapshotTable[[#This Row],[SP Qty]], "")</f>
        <v/>
      </c>
      <c r="CY96" s="4" t="str">
        <f>IF(ISNUMBER(SnapshotTable[[#This Row],[SP Strike Price]]), SnapshotTable[[#This Row],[SP Strike Price]] * (1 - SP_MaxLoss_StrikePct), "")</f>
        <v/>
      </c>
      <c r="CZ96" s="31" t="str">
        <f>IF(ISNUMBER(SnapshotTable[[#This Row],[SP Strike  Stop Per Share]]),SnapshotTable[[#This Row],[SP Premium]] - ((SnapshotTable[[#This Row],[SP Strike Price]]-SnapshotTable[[#This Row],[SP Strike  Stop Per Share]]) *(SnapshotTable[[#This Row],[SP Qty]] * 100)),"")</f>
        <v/>
      </c>
      <c r="DA96" s="4" t="str">
        <f>IF(AND(ISNUMBER(SnapshotTable[[#This Row],[SP Premium]]),SnapshotTable[[#This Row],[SP Premium]]&gt;0), SnapshotTable[[#This Row],[SP Book Price]] * (1 + SP_MaxLoss_OptionPct), "")</f>
        <v/>
      </c>
      <c r="DB96" s="31" t="str">
        <f>IF(ISNUMBER(SnapshotTable[[#This Row],[SP Option  Stop Contract]]),(SnapshotTable[[#This Row],[SP Option  Stop Contract]] *(SnapshotTable[[#This Row],[SP Qty]] * 100) - SnapshotTable[[#This Row],[SP Premium]]),"")</f>
        <v/>
      </c>
      <c r="DC96" s="4"/>
      <c r="DD96" s="4"/>
      <c r="DE96" s="4" t="str">
        <f>IF(AND(SnapshotTable[[#This Row],[SP Qty]]&gt;0, SnapshotTable[[#This Row],[SP Stop To Use]]&gt;0),SnapshotTable[[#This Row],[SP Premium]] - ( SnapshotTable[[#This Row],[SP Qty]] * SnapshotTable[[#This Row],[SP Stop To Use]] * 100), "")</f>
        <v/>
      </c>
      <c r="DF96" s="31" t="str">
        <f>IF(AND(SnapshotTable[[#This Row],[SP Qty]]&gt;0,SnapshotTable[[#This Row],[SP Current Ask]]&gt;0), SnapshotTable[[#This Row],[SP Qty]] * SnapshotTable[[#This Row],[SP Current Ask]] * -100, "")</f>
        <v/>
      </c>
      <c r="DG96" s="31" t="str">
        <f>IF(ISNUMBER((SnapshotTable[[#This Row],[SP Total Value]])), SnapshotTable[[#This Row],[SP Premium]] + SnapshotTable[[#This Row],[SP Total Value]], "")</f>
        <v/>
      </c>
      <c r="DH96" s="272" t="str">
        <f>IF(ISNUMBER((SnapshotTable[[#This Row],[SP Total Value]])), SnapshotTable[[#This Row],[SP Gain Loss]] / SnapshotTable[[#This Row],[SP Premium]], "")</f>
        <v/>
      </c>
      <c r="DI96" s="369"/>
      <c r="DJ96" s="136"/>
      <c r="DK96" s="146"/>
      <c r="DL96" s="13"/>
      <c r="DM96" s="13"/>
      <c r="DO96" s="31">
        <f>IF(SnapshotTable[[#This Row],[LC Symbol Count]]=1, SnapshotTable[[#This Row],[LC Qty]] * SnapshotTable[[#This Row],[LC Book Price]] * 100, 0)</f>
        <v>0</v>
      </c>
      <c r="DP96" s="161" t="str">
        <f>IF(AND(SnapshotTable[[#This Row],[LC Exp Date]]&gt;0, SnapshotTable[[#This Row],[LC Strike Price]]&gt;0,SnapshotTable[[#This Row],[LC Qty]]&gt;0,SnapshotTable[[#This Row],[LC Book Date]]&gt;0,SnapshotTable[[#This Row],[LC Book Price]]&gt;0,SnapshotTable[[#This Row],[LC Fill Date]]=0),"Y","")</f>
        <v/>
      </c>
      <c r="DQ96" s="356" t="str">
        <f>IF(SnapshotTable[[#This Row],[LC Premium]] &gt; 0,SnapshotTable[[#This Row],[LC Exp Date]]-MAX(SnapshotTable[[#This Row],[LC Book Date]], SnapshotTable[[#This Row],[LC Fill Date]]),"")</f>
        <v/>
      </c>
      <c r="DR96" s="356" t="str">
        <f>IF(ISNUMBER(SnapshotTable[[#This Row],[LC Term]]), SnapshotTable[[#This Row],[LC Exp Date]] - MockToday, "")</f>
        <v/>
      </c>
      <c r="DS96" s="219" t="str">
        <f>IF(SnapshotTable[[#This Row],[LC Premium]]&gt;0,SnapshotTable[[#This Row],[LC Strike Price]] + SnapshotTable[[#This Row],[LC Book Price]],"")</f>
        <v/>
      </c>
      <c r="DU96" s="9" t="str">
        <f>IF(AND(SnapshotTable[[#This Row],[LC Symbol Count]]&gt;0, SnapshotTable[[#This Row],[LC Contract Value]]&gt;0), SnapshotTable[[#This Row],[LC Contract Value]] * SnapshotTable[[#This Row],[LC Qty]] * 100, "")</f>
        <v/>
      </c>
      <c r="DV96" s="9" t="str">
        <f>IF(AND(ISNUMBER(SnapshotTable[[#This Row],[LC Total Value]]), SnapshotTable[[#This Row],[LC Not Filled]]&lt;&gt;"Y"), SnapshotTable[[#This Row],[LC Total Value]]-SnapshotTable[[#This Row],[LC Premium]],"")</f>
        <v/>
      </c>
      <c r="DW96" s="225" t="str">
        <f>IF(ISNUMBER(SnapshotTable[[#This Row],[LC Actual Gain Loss]]), SnapshotTable[[#This Row],[LC Actual Gain Loss]] / SnapshotTable[[#This Row],[LC Premium]],"")</f>
        <v/>
      </c>
      <c r="DX96" s="269" t="str">
        <f>IF(ISNUMBER(SnapshotTable[[#This Row],[LC Book Price]]),SnapshotTable[[#This Row],[LC Book Price]] * 1.5,"")</f>
        <v/>
      </c>
      <c r="DY96" s="250" t="str">
        <f>IF(SnapshotTable[[#This Row],[LC Premium]]&gt;0, SnapshotTable[[#This Row],[LC Next Target]] * SnapshotTable[[#This Row],[LC Qty]] * 100,"")</f>
        <v/>
      </c>
      <c r="DZ96" s="250" t="str">
        <f>IF(ISNUMBER(SnapshotTable[[#This Row],[LC Target Gross]]), SnapshotTable[[#This Row],[LC Target Gross]] - SnapshotTable[[#This Row],[LC Premium]], "")</f>
        <v/>
      </c>
      <c r="EA96" s="283" t="str">
        <f>IF(ISNUMBER(SnapshotTable[[#This Row],[LC Target Gain Loss]]), SnapshotTable[[#This Row],[LC Target Gain Loss]]/SnapshotTable[[#This Row],[LC Premium]], "")</f>
        <v/>
      </c>
      <c r="EB96" s="247"/>
      <c r="EC96" s="268" t="str">
        <f>IF(SnapshotTable[[#This Row],[LC Premium]]&gt;0, SnapshotTable[[#This Row],[LC Book Price]] * (1 - LC_StopLoss_Pct),"")</f>
        <v/>
      </c>
      <c r="ED96" s="269"/>
      <c r="EE96" s="268" t="str">
        <f>IF(ISNUMBER(SnapshotTable[[#This Row],[LC Contract Value]]),IF(ISNUMBER(SnapshotTable[[#This Row],[LC Stop Loss Override]]), SnapshotTable[[#This Row],[LC Stop Loss Override]],SnapshotTable[[#This Row],[LC Stop Loss Calc Target]]),"")</f>
        <v/>
      </c>
      <c r="EF96" s="31" t="str">
        <f>IF(ISNUMBER(SnapshotTable[[#This Row],[LC Stop  To Use]]), (SnapshotTable[[#This Row],[LC Stop  To Use]] * SnapshotTable[[#This Row],[LC Qty]] * 100),"")</f>
        <v/>
      </c>
      <c r="EG96" s="9" t="str">
        <f>IF(ISNUMBER(SnapshotTable[[#This Row],[LC Total Value]]),SnapshotTable[[#This Row],[LC Stop Loss Amount]] - SnapshotTable[[#This Row],[LC Premium]],"")</f>
        <v/>
      </c>
      <c r="EH96" s="9">
        <f>IF(ISNUMBER(SnapshotTable[[#This Row],[LC Premium]]), SnapshotTable[[#This Row],[LC Qty]] * 100 * SnapshotTable[[#This Row],[LC Strike Price]], "")</f>
        <v>0</v>
      </c>
      <c r="EI96" s="225" t="str">
        <f>IF(AND(ISNUMBER(SnapshotTable[[#This Row],[LC Total Value]]),SnapshotTable[[#This Row],[LC Total Value]]&gt;0),SnapshotTable[[#This Row],[LC Stop Gain Loss]]  / SnapshotTable[[#This Row],[LC Premium]],"")</f>
        <v/>
      </c>
      <c r="EJ96" s="35">
        <f>IF(ISNUMBER(SnapshotTable[[#This Row],[Equity Shares]]),TRUNC(SnapshotTable[[#This Row],[Equity Shares]] / 100),0) + SnapshotTable[[#This Row],[LC Qty]]</f>
        <v>0</v>
      </c>
      <c r="EK96" s="145"/>
      <c r="EL96" s="136"/>
      <c r="EM96" s="146"/>
      <c r="EN96" s="145"/>
      <c r="EO96" s="145"/>
      <c r="EP96" s="136"/>
      <c r="EQ96" s="382" t="b">
        <f>AND(ISNUMBER(SnapshotTable[[#This Row],[SC Exp Date]]), ISNUMBER(SnapshotTable[[#This Row],[SC Strike Price]]), ISNUMBER(SnapshotTable[[#This Row],[SC Qty]]), ISNUMBER(SnapshotTable[[#This Row],[SC Book Date]]), ISNUMBER(SnapshotTable[[#This Row],[SC Book Price]]))</f>
        <v>0</v>
      </c>
      <c r="ER96" s="382" t="b">
        <f>AND(SnapshotTable[[#This Row],[SC Is Booked]], NOT(ISBLANK(SnapshotTable[[#This Row],[SC Fill Date]])))</f>
        <v>0</v>
      </c>
      <c r="ES96" s="340"/>
      <c r="ET96" s="34" t="str">
        <f>IF(AND(ISNUMBER(SnapshotTable[[#This Row],[SC Exp Date]]), ISNUMBER(SnapshotTable[[#This Row],[SC Book Date]])), SnapshotTable[[#This Row],[SC Exp Date]] - MAX(SnapshotTable[[#This Row],[SC Book Date]], SnapshotTable[[#This Row],[SC Fill Date]]) + 1, "")</f>
        <v/>
      </c>
      <c r="EU96" s="34" t="str">
        <f>IF(ISNUMBER(SnapshotTable[[#This Row],[SC Term]]), SnapshotTable[[#This Row],[SC Exp Date]]- MockToday, "")</f>
        <v/>
      </c>
      <c r="EV96" s="31">
        <f>IF(SnapshotTable[[#This Row],[SC Is Booked]], SnapshotTable[[#This Row],[SC Qty]] * SnapshotTable[[#This Row],[SC Book Price]] * 100, 0)</f>
        <v>0</v>
      </c>
      <c r="EW96" s="4" t="str">
        <f>IF(AND(ISNUMBER(SnapshotTable[[#This Row],[Last Price]]), ISNUMBER( SnapshotTable[[#This Row],[SC Book Price]])), SnapshotTable[[#This Row],[Last Price]] - SnapshotTable[[#This Row],[SC Book Price]],"")</f>
        <v/>
      </c>
      <c r="EX96" s="219" t="str">
        <f>IF(SnapshotTable[[#This Row],[SC Is Booked]],IF(SnapshotTable[[#This Row],[SC Intrinsic Value]] &gt; 0, SnapshotTable[[#This Row],[SC Strike Price]], SnapshotTable[[#This Row],[Last Price]]), "")</f>
        <v/>
      </c>
      <c r="EY96" s="4">
        <f>IF(SnapshotTable[[#This Row],[SC Is Booked]], (MinimumPremiumRequired * SnapshotTable[[#This Row],[SC Basis]] * SnapshotTable[[#This Row],[SC Term]]), 0)</f>
        <v>0</v>
      </c>
      <c r="EZ96" s="268"/>
      <c r="FA96" s="204"/>
      <c r="FB96" s="340"/>
      <c r="FC96" s="4">
        <f>IF(SnapshotTable[[#This Row],[SC Is Filled]], btc_max_buyback_amount(SnapshotTable[[#This Row],[SC Fill Date]],SnapshotTable[[#This Row],[SC Exp Date]], SnapshotTable[[#This Row],[SC Book Price]]),0)</f>
        <v>0</v>
      </c>
      <c r="FD96" s="5"/>
      <c r="FE96" s="142" t="str">
        <f>IF(SnapshotTable[[#This Row],[SC Is Filled]], btc_next_cutoff_date(SnapshotTable[[#This Row],[SC Fill Date]],SnapshotTable[[#This Row],[SC Exp Date]]),"")</f>
        <v/>
      </c>
      <c r="FF96" s="4" t="str" cm="1">
        <f t="array" ref="FF96">IF(SnapshotTable[[#This Row],[SC Is Filled]], btc_should_buy_back(SnapshotTable[[#This Row],[SC Fill Date]], SnapshotTable[[#This Row],[SC Exp Date]], SnapshotTable[[#This Row],[SC Book Price]], SnapshotTable[[#This Row],[SC Current Ask]], MockToday, SnapshotTable[[#This Row],[SC Buyback Override]]),"")</f>
        <v/>
      </c>
      <c r="FG96" s="4">
        <f>IF(SnapshotTable[[#This Row],[SC Is Filled]], MAX(0,SnapshotTable[[#This Row],[Last Price]]  - SnapshotTable[[#This Row],[SC Strike Price]]), 0)</f>
        <v>0</v>
      </c>
      <c r="FH96" s="352">
        <f>IF(SnapshotTable[[#This Row],[SC Is Filled]], IF(ISNUMBER(SnapshotTable[[#This Row],[SC Current Ask]]), SnapshotTable[[#This Row],[SC Current Ask]], SnapshotTable[[#This Row],[SC Book Price]]) - SnapshotTable[[#This Row],[SC Intrinsic Value]], 0)</f>
        <v>0</v>
      </c>
      <c r="FI96" s="141">
        <v>45786</v>
      </c>
      <c r="FJ96" s="32" t="str">
        <f>IF(SnapshotTable[[#This Row],[SC Is Filled]],100 * SnapshotTable[[#This Row],[SC Qty]] * IF(ISNUMBER(SnapshotTable[[#This Row],[SC Buyback Override]]), SnapshotTable[[#This Row],[SC Buyback Override]], SnapshotTable[[#This Row],[SC Current Ask]]), "")</f>
        <v/>
      </c>
      <c r="FK96" s="235" t="str">
        <f>IF(SnapshotTable[[#This Row],[SC Time Val]]&gt;0, SnapshotTable[[#This Row],[SC Time Val]] / SnapshotTable[[#This Row],[Last Price]],"")</f>
        <v/>
      </c>
      <c r="FL96" s="280" t="str">
        <f>IF(SnapshotTable[[#This Row],[SC Is Booked]], ((SnapshotTable[[#This Row],[Last Price]] -SnapshotTable[[#This Row],[SC Strike Price]]) / SnapshotTable[[#This Row],[Last Price]]) * -1, "")</f>
        <v/>
      </c>
      <c r="FM96" s="155" t="str">
        <f>IF(SnapshotTable[[#This Row],[SC Is Booked]],  (SnapshotTable[[#This Row],[SC Qty]] * 100 * SnapshotTable[[#This Row],[SC Strike Price]]) - SnapshotTable[[#This Row],[SC Current Ask]], "")</f>
        <v/>
      </c>
      <c r="FN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6" s="31" t="str">
        <f>IF(AND(ISNUMBER(SnapshotTable[[#This Row],[SC Exercise Gross]]), ISNUMBER(SnapshotTable[[#This Row],[Equity Basis Per Share]] )), SnapshotTable[[#This Row],[SC Exercise Gross]] - SnapshotTable[[#This Row],[Equity Basis Total]] +  SnapshotTable[[#This Row],[SC Premium]], "")</f>
        <v/>
      </c>
      <c r="FP96" s="5" t="str">
        <f>IF(ISNUMBER(SnapshotTable[[#This Row],[SC Exercise Gross]]), (SnapshotTable[[#This Row],[SC Exercise Gross]]) / (SnapshotTable[[#This Row],[SC Qty]] * 100), "")</f>
        <v/>
      </c>
      <c r="FQ96" s="27" t="str">
        <f>IF(SnapshotTable[[#This Row],[SC Is Booked]],SnapshotTable[[#This Row],[SC Time Val]] /SnapshotTable[[#This Row],[SC Basis]], "")</f>
        <v/>
      </c>
      <c r="FR96" s="27" t="str" cm="1">
        <f t="array" ref="FR96">IF(AND(ISNUMBER(SnapshotTable[[#This Row],[SC Term]]),ISNUMBER(SnapshotTable[[#This Row],[SC Simple ROO]])), EllmanAnnualize(SnapshotTable[[#This Row],[SC DTE]], SnapshotTable[[#This Row],[SC Simple ROO]] ),"")</f>
        <v/>
      </c>
      <c r="FS96" s="4">
        <f>IF(SnapshotTable[[#This Row],[SC Strike Price]] &gt; SnapshotTable[[#This Row],[Last Price]], SnapshotTable[[#This Row],[SC Strike Price]] - SnapshotTable[[#This Row],[Last Price]],0)</f>
        <v>0</v>
      </c>
      <c r="FT96" s="27" t="str">
        <f>IF(AND(ISNUMBER(SnapshotTable[[#This Row],[SC Upside Potential]]), SnapshotTable[[#This Row],[SC Upside Potential]] &gt; 0),(SnapshotTable[[#This Row],[SC Upside Potential]]/ SnapshotTable[[#This Row],[ACB]]),"")</f>
        <v/>
      </c>
      <c r="FU96" s="304" t="str">
        <f>IF(SnapshotTable[[#This Row],[SC Intrinsic Value]] &gt; 0,SnapshotTable[[#This Row],[SC Intrinsic Value]],"")</f>
        <v/>
      </c>
      <c r="FV96" s="27" t="str">
        <f>IF(AND( ISNUMBER( SnapshotTable[[#This Row],[ACB]]),ISNUMBER(SnapshotTable[[#This Row],[SC Downside Protect]])),SnapshotTable[[#This Row],[SC Downside Protect]] / SnapshotTable[[#This Row],[ACB]],"")</f>
        <v/>
      </c>
      <c r="FW96" s="221" t="str">
        <f>IF(AND(ISNUMBER(SnapshotTable[[#This Row],[SC Simple ROO]]),SnapshotTable[[#This Row],[SC Simple ROO]] &gt; 0), SnapshotTable[[#This Row],[SC Premium]] + (SnapshotTable[[#This Row],[SC Qty]] * SnapshotTable[[#This Row],[SC Upside Potential]]), "")</f>
        <v/>
      </c>
      <c r="FX96" s="280" t="str" cm="1">
        <f t="array" ref="FX96">IF(ISNUMBER(SnapshotTable[[#This Row],[SC Max Dollars]]), annualize(SnapshotTable[[#This Row],[SC Term]],(SnapshotTable[[#This Row],[SC Max Dollars]]/SnapshotTable[[#This Row],[SC Basis]])),"")</f>
        <v/>
      </c>
      <c r="FY96" s="221" t="str">
        <f>IF(AND(SnapshotTable[[#This Row],[SC Qty]]&gt;0,SnapshotTable[[#This Row],[SC Current Ask]]&gt;0), SnapshotTable[[#This Row],[SC Qty]] * SnapshotTable[[#This Row],[SC Current Ask]] * -100, "")</f>
        <v/>
      </c>
      <c r="FZ96" s="31" t="str">
        <f>IF(ISNUMBER((SnapshotTable[[#This Row],[SC Current Value]])), SnapshotTable[[#This Row],[SC Premium]] + SnapshotTable[[#This Row],[SC Current Value]], "")</f>
        <v/>
      </c>
      <c r="GA96" s="272" t="str">
        <f>IFERROR( IF(ISNUMBER((SnapshotTable[[#This Row],[SC Current Value]])), SnapshotTable[[#This Row],[SC Gain Loss]] / SnapshotTable[[#This Row],[SC Premium]], ""), "")</f>
        <v/>
      </c>
      <c r="GB96" s="42">
        <f>SnapshotTable[[#This Row],[Equity Shares]] * SaleSharesToConsiderPercentage</f>
        <v>0</v>
      </c>
      <c r="GC96" s="40">
        <f>SnapshotTable[[#This Row],[Long Term Target]] * SellingPriceToConsiderBasedOnTargetPercentage</f>
        <v>0</v>
      </c>
      <c r="GD96" s="40">
        <f>SnapshotTable[[#This Row],[Last Price]] * (1+ SellingPriceToConsiderBasedOnTargetPercentage)</f>
        <v>21.957000000000001</v>
      </c>
      <c r="GE96" s="41"/>
      <c r="GF96" s="40"/>
      <c r="GG96" s="31">
        <f>SnapshotTable[[#This Row],[Booked Sale Shares]] * SnapshotTable[[#This Row],[Booked Sale Price]]</f>
        <v>0</v>
      </c>
      <c r="GH96" s="31" t="str">
        <f>IF(SnapshotTable[[#This Row],[Equity Basis Total]] &gt; 0, SnapshotTable[[#This Row],[Equity Basis Per Share]] * SnapshotTable[[#This Row],[Booked Sale Shares]], "")</f>
        <v/>
      </c>
      <c r="GI96" s="31">
        <f>IF(SnapshotTable[[#This Row],[Sale Proceeds]]&gt;0, SnapshotTable[[#This Row],[Sale Proceeds]] - SnapshotTable[[#This Row],[Sale Basis]], 0)</f>
        <v>0</v>
      </c>
      <c r="GJ96" s="27" t="str">
        <f>IF(SnapshotTable[[#This Row],[Sale G/L]]&gt;0, SnapshotTable[[#This Row],[Sale G/L]] / SnapshotTable[[#This Row],[Sale Basis]], IF(ISNUMBER(SnapshotTable[[#This Row],[SC Exercise P&amp;L (TAX)]]), SnapshotTable[[#This Row],[SC Exercise P&amp;L (TAX)]] / SnapshotTable[[#This Row],[SC Basis]], ""))</f>
        <v/>
      </c>
      <c r="GK96" s="27"/>
      <c r="GL96" s="43" t="str">
        <f>IF(AND(SnapshotTable[[#This Row],[LP Exp Date]]&gt;0,SnapshotTable[[#This Row],[LP Strike Price]]&gt;0), [1]!ToOptionSymbol(SnapshotTable[[#This Row],[Symbol]], SnapshotTable[[#This Row],[LP Strike Price]],SnapshotTable[[#This Row],[LP Exp Date]],1), "")</f>
        <v/>
      </c>
      <c r="GM96" s="30" t="str">
        <f>IF(LEN(SnapshotTable[[#This Row],[LP Symbol]])&gt;0, 1, "")</f>
        <v/>
      </c>
      <c r="GN96" s="43" t="str">
        <f>IF(AND(SnapshotTable[[#This Row],[SP Exp Date]]&gt;0,SnapshotTable[[#This Row],[SP Strike Price]]&gt;0), [1]!ToOptionSymbol(SnapshotTable[[#This Row],[Symbol]], SnapshotTable[[#This Row],[SP Strike Price]],SnapshotTable[[#This Row],[SP Exp Date]],1), "")</f>
        <v/>
      </c>
      <c r="GO96" s="30" t="str">
        <f>IF(LEN(SnapshotTable[[#This Row],[SP Symbol]])&gt;0, 1, "")</f>
        <v/>
      </c>
      <c r="GP96" s="43" t="str">
        <f>IF(AND(SnapshotTable[[#This Row],[LC Exp Date]]&gt;0,SnapshotTable[[#This Row],[LC Strike Price]]&gt;0), [1]!ToOptionSymbol(SnapshotTable[[#This Row],[Symbol]], SnapshotTable[[#This Row],[LC Strike Price]],SnapshotTable[[#This Row],[LC Exp Date]],0), "")</f>
        <v/>
      </c>
      <c r="GQ96" s="30" t="str">
        <f>IF(LEN(SnapshotTable[[#This Row],[LC Symbol]])&gt;0, 1, "")</f>
        <v/>
      </c>
      <c r="GR96" s="43" t="str">
        <f>IF(AND(SnapshotTable[[#This Row],[SC Exp Date]]&gt;0,SnapshotTable[[#This Row],[SC Strike Price]]&gt;0), [1]!ToOptionSymbol(SnapshotTable[[#This Row],[Symbol]], SnapshotTable[[#This Row],[SC Strike Price]],SnapshotTable[[#This Row],[SC Exp Date]],0), "")</f>
        <v/>
      </c>
      <c r="GS96" s="30" t="str">
        <f>IF(LEN(SnapshotTable[[#This Row],[SC Symbol]])&gt;0, 1, "")</f>
        <v/>
      </c>
      <c r="GT96" s="29" t="str">
        <f>IF(COUNT(SnapshotTable[[#This Row],[LP Symbol Count]],SnapshotTable[[#This Row],[SP Symbol Count]],SnapshotTable[[#This Row],[LC Symbol Count]],SnapshotTable[[#This Row],[SC Symbol Count]])&gt;0, "Y", "")</f>
        <v/>
      </c>
      <c r="GU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6" s="216">
        <f>MAX(SnapshotTable[[#This Row],[Equity Basis Total]],SnapshotTable[[#This Row],[Equity Value]]) + (SnapshotTable[[#This Row],[SP Potential Spend]]- SnapshotTable[[#This Row],[SP Premium]] + SnapshotTable[[#This Row],[LP Premium]])+ (SnapshotTable[[#This Row],[LC Premium]] - SnapshotTable[[#This Row],[SC Premium]])</f>
        <v>0</v>
      </c>
      <c r="GW96" s="137" t="str">
        <f>IF(AND(SnapshotTable[[#This Row],[Exposure]] &lt;&gt; 0),SnapshotTable[[#This Row],[Exposure]] / SnapshotTable[[#Totals],[Exposure]], "")</f>
        <v/>
      </c>
      <c r="HE96" s="253"/>
      <c r="HF96" s="253"/>
      <c r="HK96" s="1"/>
      <c r="HL96" s="1"/>
      <c r="HM96" s="1"/>
      <c r="HN96" s="1"/>
      <c r="HO96" s="1"/>
      <c r="HP96" s="1"/>
    </row>
    <row r="97" spans="2:224" ht="12.75" hidden="1" customHeight="1" x14ac:dyDescent="0.25">
      <c r="B97" s="12" t="s">
        <v>883</v>
      </c>
      <c r="C97" s="385">
        <v>118.79</v>
      </c>
      <c r="D97" s="200"/>
      <c r="E97" s="39">
        <f>SnapshotTable[[#This Row],[Last Price]]*(1 -CrashDiscount)</f>
        <v>100.97150000000001</v>
      </c>
      <c r="F97" s="26"/>
      <c r="G97" s="296"/>
      <c r="H97" s="147"/>
      <c r="I97" s="342"/>
      <c r="J97" s="322"/>
      <c r="K97" s="323"/>
      <c r="L97" s="298"/>
      <c r="M97" s="138"/>
      <c r="N97" s="138"/>
      <c r="O97" s="138"/>
      <c r="P97" s="299"/>
      <c r="Q97" s="324"/>
      <c r="R97" s="4" t="str">
        <f>IF(SnapshotTable[[#This Row],[Equity Basis Total]] &gt; 0, SnapshotTable[[#This Row],[Equity Basis Total]] / SnapshotTable[[#This Row],[Equity Shares]], "")</f>
        <v/>
      </c>
      <c r="S97" s="300">
        <f>SnapshotTable[[#This Row],[Last Price]] * SnapshotTable[[#This Row],[Equity Shares]]</f>
        <v>0</v>
      </c>
      <c r="T97" s="254">
        <f>SnapshotTable[[#This Row],[Equity Value]] - SnapshotTable[[#This Row],[Equity Basis Total]]</f>
        <v>0</v>
      </c>
      <c r="U97" s="255" t="str">
        <f>IF(SnapshotTable[[#This Row],[Equity Basis Total]] &gt; 0, SnapshotTable[[#This Row],[Equity G/L]] / SnapshotTable[[#This Row],[Equity Basis Total]], "")</f>
        <v/>
      </c>
      <c r="V97" s="253">
        <v>127.3</v>
      </c>
      <c r="W97" s="253">
        <v>113.45</v>
      </c>
      <c r="X97" s="4" t="str">
        <f>IF(AND(ISNUMBER(SnapshotTable[[#This Row],[Equity Basis Per Share]]),ISNUMBER(SnapshotTable[[#This Row],[Equity Target]])),SnapshotTable[[#This Row],[Equity Target]]-SnapshotTable[[#This Row],[Equity Basis Per Share]],"")</f>
        <v/>
      </c>
      <c r="Y97" s="4" t="str">
        <f>IF(AND(ISNUMBER(SnapshotTable[[#This Row],[Equity Basis Per Share]]),ISNUMBER(SnapshotTable[[#This Row],[Equity Stop Loss]])),SnapshotTable[[#This Row],[Equity Stop Loss]]-SnapshotTable[[#This Row],[Equity Basis Per Share]],"")</f>
        <v/>
      </c>
      <c r="Z97" s="260" t="str">
        <f>IFERROR( TEXT(SnapshotTable[[#This Row],[Equity Max Gain Per Share]] /ABS( SnapshotTable[[#This Row],[Equity Max Loss Per Share]]),"0.0 " ) &amp; " : 1", "")</f>
        <v/>
      </c>
      <c r="AA97" s="31" t="str">
        <f>IF(ISNUMBER(SnapshotTable[[#This Row],[Equity Max Gain Per Share]]),SnapshotTable[[#This Row],[Equity Max Gain Per Share]] * SnapshotTable[[#This Row],[Equity Shares]],"")</f>
        <v/>
      </c>
      <c r="AB97" s="31" t="str">
        <f>IF(ISNUMBER(SnapshotTable[[#This Row],[Equity Max Loss Per Share]]),SnapshotTable[[#This Row],[Equity Max Loss Per Share]] * SnapshotTable[[#This Row],[Equity Shares]],"")</f>
        <v/>
      </c>
      <c r="AC97" s="148"/>
      <c r="AD97" s="320"/>
      <c r="AE97" s="31">
        <f>(SnapshotTable[[#This Row],[Annual Dividend Per Share]] / 4) * SnapshotTable[[#This Row],[Equity Shares]]</f>
        <v>0</v>
      </c>
      <c r="AF97" s="31">
        <f>SnapshotTable[[#This Row],[Quarterly Div $]] * 4</f>
        <v>0</v>
      </c>
      <c r="AG97" s="7">
        <f>IF(SnapshotTable[[#This Row],[Annual Dividend Per Share]]&gt;0, SnapshotTable[[#This Row],[Annual Dividend Per Share]]  / SnapshotTable[[#This Row],[Last Price]], 0)</f>
        <v>0</v>
      </c>
      <c r="AH97" s="320"/>
      <c r="AI97" s="301"/>
      <c r="AJ97" s="136"/>
      <c r="AK97" s="150" t="str">
        <f>IF(ISNUMBER( SnapshotTable[[#This Row],[EBF Target]]),(SnapshotTable[[#This Row],[EBF Target]] - SnapshotTable[[#This Row],[Last Price]]) / SnapshotTable[[#This Row],[Last Price]], "")</f>
        <v/>
      </c>
      <c r="AL97" s="150" t="str">
        <f>IF(AND(SnapshotTable[[#This Row],[Equity Basis Total]] &gt; 0,ISNUMBER( SnapshotTable[[#This Row],[Long Term Target]])), SnapshotTable[[#This Row],[From Basis $]] / SnapshotTable[[#This Row],[Equity Basis Total]], "")</f>
        <v/>
      </c>
      <c r="AM97" s="9">
        <f>IF( AND(SnapshotTable[[#This Row],[Equity Shares]] &gt;0,ISNUMBER( SnapshotTable[[#This Row],[Long Term Target]])),(SnapshotTable[[#This Row],[Equity Shares]] * SnapshotTable[[#This Row],[Long Term Target]]) - SnapshotTable[[#This Row],[Equity Basis Total]],0)</f>
        <v>0</v>
      </c>
      <c r="AN97" s="9">
        <f>IF( AND(SnapshotTable[[#This Row],[Equity Shares]] &gt;0,ISNUMBER( SnapshotTable[[#This Row],[Long Term Target]])),(SnapshotTable[[#This Row],[Equity Shares]]*SnapshotTable[[#This Row],[Long Term Target]]) - SnapshotTable[[#This Row],[Equity Value]],0)</f>
        <v>0</v>
      </c>
      <c r="AO97" s="150" t="str">
        <f>IF(AND(ISNUMBER( SnapshotTable[[#This Row],[Long Term Target]]), ISNUMBER(SnapshotTable[[#This Row],[Last Price]])),(SnapshotTable[[#This Row],[Long Term Target]] - SnapshotTable[[#This Row],[Last Price]]) / SnapshotTable[[#This Row],[Last Price]], "")</f>
        <v/>
      </c>
      <c r="AP97" s="5"/>
      <c r="AQ97" s="38"/>
      <c r="AR97" s="5"/>
      <c r="AS97" s="38"/>
      <c r="AT97" s="144"/>
      <c r="AU97" s="185" t="str">
        <f>IF(OR(SnapshotTable[[#This Row],[LP No Fill]]="Y",SnapshotTable[[#This Row],[SP Is Filled]],SnapshotTable[[#This Row],[LC Not Filled]]="Y",SnapshotTable[[#This Row],[SC Is Filled]]),"Y","")</f>
        <v/>
      </c>
      <c r="AV97" s="309"/>
      <c r="AW97" s="310"/>
      <c r="AX97" s="206"/>
      <c r="AY97" s="205" t="str">
        <f>IF(SnapshotTable[[#This Row],[Implied Move]]&gt;0, SnapshotTable[[#This Row],[Last Price]]-SnapshotTable[[#This Row],[Implied Move]],"")</f>
        <v/>
      </c>
      <c r="AZ97" s="205" t="str">
        <f>IF(SnapshotTable[[#This Row],[Implied Move]]&gt;0, SnapshotTable[[#This Row],[Last Price]] + SnapshotTable[[#This Row],[Implied Move]],"")</f>
        <v/>
      </c>
      <c r="BA97" s="302"/>
      <c r="BB97" s="318"/>
      <c r="BC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7" s="321"/>
      <c r="BE97" s="136"/>
      <c r="BF97" s="164"/>
      <c r="BG97" s="165"/>
      <c r="BH97" s="165"/>
      <c r="BI97" s="207"/>
      <c r="BJ97" s="151">
        <f>IF(SnapshotTable[[#This Row],[LP Qty]] &gt; 0, SnapshotTable[[#This Row],[LP Qty]] * SnapshotTable[[#This Row],[LP Book Price]] * 100,0)</f>
        <v>0</v>
      </c>
      <c r="BK97" s="134">
        <f>IF(SnapshotTable[[#This Row],[LP Premium]] &gt; 0, SnapshotTable[[#This Row],[LP Qty]] * SnapshotTable[[#This Row],[LP Strike Price]] * 100,0)</f>
        <v>0</v>
      </c>
      <c r="BL97" s="152"/>
      <c r="BM97" s="355" t="str">
        <f>IF(SnapshotTable[[#This Row],[LP Premium]] &gt; 0,SnapshotTable[[#This Row],[LP Exp Date]]-MAX(SnapshotTable[[#This Row],[LP Book Date]], SnapshotTable[[#This Row],[LP Fill Date]]),"")</f>
        <v/>
      </c>
      <c r="BN97" s="355" t="str">
        <f>IF(ISNUMBER( SnapshotTable[[#This Row],[LP Term]]), SnapshotTable[[#This Row],[LP Exp Date]] - MockToday,"")</f>
        <v/>
      </c>
      <c r="BO97" s="161" t="str">
        <f>IF(AND(SnapshotTable[[#This Row],[LP Exp Date]]&gt;0, SnapshotTable[[#This Row],[LP Strike Price]]&gt;0,SnapshotTable[[#This Row],[LP Qty]]&gt;0,SnapshotTable[[#This Row],[LP Book Date]]&gt;0,SnapshotTable[[#This Row],[LP Book Price]]&gt;0,SnapshotTable[[#This Row],[LP Fill Date]]=0),"Y","")</f>
        <v/>
      </c>
      <c r="BP97" s="31" t="str">
        <f>IF(AND(SnapshotTable[[#This Row],[LP No Fill]]&lt;&gt;"Y",SnapshotTable[[#This Row],[LP Contract Value]]&gt;0, SnapshotTable[[#This Row],[LP Qty]]&gt;0), SnapshotTable[[#This Row],[LP Contract Value]]*SnapshotTable[[#This Row],[LP Qty]]*100,"")</f>
        <v/>
      </c>
      <c r="BQ97" s="13"/>
      <c r="BR97" s="5"/>
      <c r="BS97" s="36"/>
      <c r="BT97" s="145"/>
      <c r="BU97" s="13"/>
      <c r="BV97" s="5"/>
      <c r="BW97" s="382" t="b">
        <f>AND(ISNUMBER(SnapshotTable[[#This Row],[SP Exp Date]]), ISNUMBER(SnapshotTable[[#This Row],[SP Strike Price]]), ISNUMBER(SnapshotTable[[#This Row],[SP Qty]]), ISNUMBER(SnapshotTable[[#This Row],[SP Book Date]]), ISNUMBER(SnapshotTable[[#This Row],[SP Book Price]]))</f>
        <v>0</v>
      </c>
      <c r="BX97" s="382" t="b">
        <f>AND(SnapshotTable[[#This Row],[SP Is Booked]], NOT(ISBLANK(SnapshotTable[[#This Row],[SP Fill Date]])))</f>
        <v>0</v>
      </c>
      <c r="BY97" s="33">
        <f>IF(SnapshotTable[[#This Row],[SP Is Booked]], SnapshotTable[[#This Row],[SP Qty]] * SnapshotTable[[#This Row],[SP Book Price]] * 100, 0)</f>
        <v>0</v>
      </c>
      <c r="BZ97" s="343"/>
      <c r="CA97" s="338">
        <f>SnapshotTable[[#This Row],[LP Qty]]</f>
        <v>0</v>
      </c>
      <c r="CB97" s="4" t="str">
        <f>IF(SnapshotTable[[#This Row],[SP Is Booked]], SnapshotTable[[#This Row],[SP Strike Price]] - SnapshotTable[[#This Row],[SP Book Price]], "")</f>
        <v/>
      </c>
      <c r="CC97" s="19" t="str">
        <f>IF(SnapshotTable[[#This Row],[SP Is Booked]],SnapshotTable[[#This Row],[SP Exp Date]]-MAX(SnapshotTable[[#This Row],[SP Book Date]], SnapshotTable[[#This Row],[SP Fill Date]]),"")</f>
        <v/>
      </c>
      <c r="CD97" s="7" t="str">
        <f>IF(SnapshotTable[[#This Row],[SP Is Booked]], SnapshotTable[[#This Row],[SP Book Price]]/SnapshotTable[[#This Row],[SP Strike Price]], "")</f>
        <v/>
      </c>
      <c r="CE97" s="7" t="str">
        <f>IF(ISNUMBER(SnapshotTable[[#This Row],[SP ROO Term]]),SnapshotTable[[#This Row],[SP ROO Term]]*(365/SnapshotTable[[#This Row],[SP Term]]),"")</f>
        <v/>
      </c>
      <c r="CF97" s="221">
        <f>SnapshotTable[[#This Row],[LP Strike Price]] * SnapshotTable[[#This Row],[LP Qty]] * 100</f>
        <v>0</v>
      </c>
      <c r="CG97" s="31">
        <f>IF(ISNUMBER(SnapshotTable[[#This Row],[SP Premium]]), (SnapshotTable[[#This Row],[SP Qty]] * SnapshotTable[[#This Row],[SP Strike Price]]* 100) - SnapshotTable[[#This Row],[LP Protection]], 0)</f>
        <v>0</v>
      </c>
      <c r="CH97" s="7" t="str">
        <f>IF(ISNUMBER(SnapshotTable[[#This Row],[SP Break Even]]),-1 * (SnapshotTable[[#This Row],[SP Break Even]] - SnapshotTable[[#This Row],[Last Price]]) / SnapshotTable[[#This Row],[Last Price]], "")</f>
        <v/>
      </c>
      <c r="CI97" s="31">
        <f>IF(AND(ISNUMBER((SnapshotTable[[#This Row],[SP Potential Spend]])), SnapshotTable[[#This Row],[SP Strike Price]] &gt; SnapshotTable[[#This Row],[Last Price]], SnapshotTable[[#This Row],[SP Is Filled]]), SnapshotTable[[#This Row],[SP Potential Spend]] -  SnapshotTable[[#This Row],[LP Max Value]], 0)</f>
        <v>0</v>
      </c>
      <c r="CJ97" s="229"/>
      <c r="CK97" s="31">
        <f>IF(ISNUMBER(SnapshotTable[[#This Row],[SP Potential Spend]]),IF(ISNUMBER(SnapshotTable[[#This Row],[SP POW]]), SnapshotTable[[#This Row],[SP POW]] * SnapshotTable[[#This Row],[SP Potential Spend]], SnapshotTable[[#This Row],[SP Potential Spend]]), "")</f>
        <v>0</v>
      </c>
      <c r="CL97" s="162">
        <f>IF(NOT(SnapshotTable[[#This Row],[SP Is Filled]]),(SnapshotTable[[#This Row],[SP Qty]] * SnapshotTable[[#This Row],[SP Strike Price]] * 100) - SnapshotTable[[#This Row],[LP Max Value]],"")</f>
        <v>0</v>
      </c>
      <c r="CM97" s="31" t="str">
        <f>IF(SnapshotTable[[#This Row],[SP Actual Spend]]&lt;&gt;0, ((SnapshotTable[[#This Row],[SP Strike Price]]-SnapshotTable[[#This Row],[Last Price]]) *(SnapshotTable[[#This Row],[SP Qty]]*100) - SnapshotTable[[#This Row],[SP Premium]]) * - 1, "")</f>
        <v/>
      </c>
      <c r="CN97" s="152"/>
      <c r="CO97" s="339"/>
      <c r="CP97" s="291" t="str">
        <f>IF(SnapshotTable[[#This Row],[SP Is Filled]], btc_max_buyback_amount(SnapshotTable[[#This Row],[SP Fill Date]],SnapshotTable[[#This Row],[SP Exp Date]], SnapshotTable[[#This Row],[SP Book Price]]),"")</f>
        <v/>
      </c>
      <c r="CQ97" s="76"/>
      <c r="CR97"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7" s="153" t="str">
        <f>IF(SnapshotTable[[#This Row],[SP Is Filled]], btc_next_cutoff_date(SnapshotTable[[#This Row],[SP Fill Date]],SnapshotTable[[#This Row],[SP Exp Date]]),"")</f>
        <v/>
      </c>
      <c r="CT97" s="220" t="str" cm="1">
        <f t="array" ref="CT97">IF(SnapshotTable[[#This Row],[SP Is Filled]], btc_should_buy_back(SnapshotTable[[#This Row],[SP Fill Date]], SnapshotTable[[#This Row],[SP Exp Date]], SnapshotTable[[#This Row],[SP Book Price]], SnapshotTable[[#This Row],[SP Current Ask]], MockToday, SnapshotTable[[#This Row],[SP Buyback Override]]),"")</f>
        <v/>
      </c>
      <c r="CU97" s="154"/>
      <c r="CV97" s="220"/>
      <c r="CW97" s="348" t="str">
        <f>IF(ISNUMBER( SnapshotTable[[#This Row],[SP Term]]), SnapshotTable[[#This Row],[SP Exp Date]] - MockToday,"")</f>
        <v/>
      </c>
      <c r="CX97" s="31" t="str">
        <f>IF(SnapshotTable[[#This Row],[SP Is Filled]],SnapshotTable[[#This Row],[SP Buyback Price to Use]] * 100 * SnapshotTable[[#This Row],[SP Qty]], "")</f>
        <v/>
      </c>
      <c r="CY97" s="4" t="str">
        <f>IF(ISNUMBER(SnapshotTable[[#This Row],[SP Strike Price]]), SnapshotTable[[#This Row],[SP Strike Price]] * (1 - SP_MaxLoss_StrikePct), "")</f>
        <v/>
      </c>
      <c r="CZ97" s="31" t="str">
        <f>IF(ISNUMBER(SnapshotTable[[#This Row],[SP Strike  Stop Per Share]]),SnapshotTable[[#This Row],[SP Premium]] - ((SnapshotTable[[#This Row],[SP Strike Price]]-SnapshotTable[[#This Row],[SP Strike  Stop Per Share]]) *(SnapshotTable[[#This Row],[SP Qty]] * 100)),"")</f>
        <v/>
      </c>
      <c r="DA97" s="4" t="str">
        <f>IF(AND(ISNUMBER(SnapshotTable[[#This Row],[SP Premium]]),SnapshotTable[[#This Row],[SP Premium]]&gt;0), SnapshotTable[[#This Row],[SP Book Price]] * (1 + SP_MaxLoss_OptionPct), "")</f>
        <v/>
      </c>
      <c r="DB97" s="31" t="str">
        <f>IF(ISNUMBER(SnapshotTable[[#This Row],[SP Option  Stop Contract]]),(SnapshotTable[[#This Row],[SP Option  Stop Contract]] *(SnapshotTable[[#This Row],[SP Qty]] * 100) - SnapshotTable[[#This Row],[SP Premium]]),"")</f>
        <v/>
      </c>
      <c r="DC97" s="4"/>
      <c r="DD97" s="4"/>
      <c r="DE97" s="4" t="str">
        <f>IF(AND(SnapshotTable[[#This Row],[SP Qty]]&gt;0, SnapshotTable[[#This Row],[SP Stop To Use]]&gt;0),SnapshotTable[[#This Row],[SP Premium]] - ( SnapshotTable[[#This Row],[SP Qty]] * SnapshotTable[[#This Row],[SP Stop To Use]] * 100), "")</f>
        <v/>
      </c>
      <c r="DF97" s="31" t="str">
        <f>IF(AND(SnapshotTable[[#This Row],[SP Qty]]&gt;0,SnapshotTable[[#This Row],[SP Current Ask]]&gt;0), SnapshotTable[[#This Row],[SP Qty]] * SnapshotTable[[#This Row],[SP Current Ask]] * -100, "")</f>
        <v/>
      </c>
      <c r="DG97" s="31" t="str">
        <f>IF(ISNUMBER((SnapshotTable[[#This Row],[SP Total Value]])), SnapshotTable[[#This Row],[SP Premium]] + SnapshotTable[[#This Row],[SP Total Value]], "")</f>
        <v/>
      </c>
      <c r="DH97" s="272" t="str">
        <f>IF(ISNUMBER((SnapshotTable[[#This Row],[SP Total Value]])), SnapshotTable[[#This Row],[SP Gain Loss]] / SnapshotTable[[#This Row],[SP Premium]], "")</f>
        <v/>
      </c>
      <c r="DI97" s="369"/>
      <c r="DJ97" s="136"/>
      <c r="DK97" s="146"/>
      <c r="DL97" s="145"/>
      <c r="DM97" s="145"/>
      <c r="DO97" s="31">
        <f>IF(SnapshotTable[[#This Row],[LC Symbol Count]]=1, SnapshotTable[[#This Row],[LC Qty]] * SnapshotTable[[#This Row],[LC Book Price]] * 100, 0)</f>
        <v>0</v>
      </c>
      <c r="DP97" s="270" t="str">
        <f>IF(AND(SnapshotTable[[#This Row],[LC Exp Date]]&gt;0, SnapshotTable[[#This Row],[LC Strike Price]]&gt;0,SnapshotTable[[#This Row],[LC Qty]]&gt;0,SnapshotTable[[#This Row],[LC Book Date]]&gt;0,SnapshotTable[[#This Row],[LC Book Price]]&gt;0,SnapshotTable[[#This Row],[LC Fill Date]]=0),"Y","")</f>
        <v/>
      </c>
      <c r="DQ97" s="356" t="str">
        <f>IF(SnapshotTable[[#This Row],[LC Premium]] &gt; 0,SnapshotTable[[#This Row],[LC Exp Date]]-MAX(SnapshotTable[[#This Row],[LC Book Date]], SnapshotTable[[#This Row],[LC Fill Date]]),"")</f>
        <v/>
      </c>
      <c r="DR97" s="356" t="str">
        <f>IF(ISNUMBER(SnapshotTable[[#This Row],[LC Term]]), SnapshotTable[[#This Row],[LC Exp Date]] - MockToday, "")</f>
        <v/>
      </c>
      <c r="DS97" s="325" t="str">
        <f>IF(SnapshotTable[[#This Row],[LC Premium]]&gt;0,SnapshotTable[[#This Row],[LC Strike Price]] + SnapshotTable[[#This Row],[LC Book Price]],"")</f>
        <v/>
      </c>
      <c r="DT97" s="161"/>
      <c r="DU97" s="9" t="str">
        <f>IF(AND(SnapshotTable[[#This Row],[LC Symbol Count]]&gt;0, SnapshotTable[[#This Row],[LC Contract Value]]&gt;0), SnapshotTable[[#This Row],[LC Contract Value]] * SnapshotTable[[#This Row],[LC Qty]] * 100, "")</f>
        <v/>
      </c>
      <c r="DV97" s="9" t="str">
        <f>IF(AND(ISNUMBER(SnapshotTable[[#This Row],[LC Total Value]]), SnapshotTable[[#This Row],[LC Not Filled]]&lt;&gt;"Y"), SnapshotTable[[#This Row],[LC Total Value]]-SnapshotTable[[#This Row],[LC Premium]],"")</f>
        <v/>
      </c>
      <c r="DW97" s="225" t="str">
        <f>IF(ISNUMBER(SnapshotTable[[#This Row],[LC Actual Gain Loss]]), SnapshotTable[[#This Row],[LC Actual Gain Loss]] / SnapshotTable[[#This Row],[LC Premium]],"")</f>
        <v/>
      </c>
      <c r="DX97" s="269" t="str">
        <f>IF(ISNUMBER(SnapshotTable[[#This Row],[LC Book Price]]),SnapshotTable[[#This Row],[LC Book Price]] * 1.5,"")</f>
        <v/>
      </c>
      <c r="DY97" s="250" t="str">
        <f>IF(SnapshotTable[[#This Row],[LC Premium]]&gt;0, SnapshotTable[[#This Row],[LC Next Target]] * SnapshotTable[[#This Row],[LC Qty]] * 100,"")</f>
        <v/>
      </c>
      <c r="DZ97" s="250" t="str">
        <f>IF(ISNUMBER(SnapshotTable[[#This Row],[LC Target Gross]]), SnapshotTable[[#This Row],[LC Target Gross]] - SnapshotTable[[#This Row],[LC Premium]], "")</f>
        <v/>
      </c>
      <c r="EA97" s="283" t="str">
        <f>IF(ISNUMBER(SnapshotTable[[#This Row],[LC Target Gain Loss]]), SnapshotTable[[#This Row],[LC Target Gain Loss]]/SnapshotTable[[#This Row],[LC Premium]], "")</f>
        <v/>
      </c>
      <c r="EB97" s="247"/>
      <c r="EC97" s="271" t="str">
        <f>IF(SnapshotTable[[#This Row],[LC Premium]]&gt;0, SnapshotTable[[#This Row],[LC Book Price]] * (1 - LC_StopLoss_Pct),"")</f>
        <v/>
      </c>
      <c r="ED97" s="269"/>
      <c r="EE97" s="271" t="str">
        <f>IF(ISNUMBER(SnapshotTable[[#This Row],[LC Contract Value]]),IF(ISNUMBER(SnapshotTable[[#This Row],[LC Stop Loss Override]]), SnapshotTable[[#This Row],[LC Stop Loss Override]],SnapshotTable[[#This Row],[LC Stop Loss Calc Target]]),"")</f>
        <v/>
      </c>
      <c r="EF97" s="292" t="str">
        <f>IF(ISNUMBER(SnapshotTable[[#This Row],[LC Stop  To Use]]), (SnapshotTable[[#This Row],[LC Stop  To Use]] * SnapshotTable[[#This Row],[LC Qty]] * 100),"")</f>
        <v/>
      </c>
      <c r="EG97" s="9" t="str">
        <f>IF(ISNUMBER(SnapshotTable[[#This Row],[LC Total Value]]),SnapshotTable[[#This Row],[LC Stop Loss Amount]] - SnapshotTable[[#This Row],[LC Premium]],"")</f>
        <v/>
      </c>
      <c r="EH97" s="9">
        <f>IF(ISNUMBER(SnapshotTable[[#This Row],[LC Premium]]), SnapshotTable[[#This Row],[LC Qty]] * 100 * SnapshotTable[[#This Row],[LC Strike Price]], "")</f>
        <v>0</v>
      </c>
      <c r="EI97" s="225" t="str">
        <f>IF(AND(ISNUMBER(SnapshotTable[[#This Row],[LC Total Value]]),SnapshotTable[[#This Row],[LC Total Value]]&gt;0),SnapshotTable[[#This Row],[LC Stop Gain Loss]]  / SnapshotTable[[#This Row],[LC Premium]],"")</f>
        <v/>
      </c>
      <c r="EJ97" s="35">
        <f>IF(ISNUMBER(SnapshotTable[[#This Row],[Equity Shares]]),TRUNC(SnapshotTable[[#This Row],[Equity Shares]] / 100),0) + SnapshotTable[[#This Row],[LC Qty]]</f>
        <v>0</v>
      </c>
      <c r="EK97" s="145"/>
      <c r="EL97" s="136"/>
      <c r="EM97" s="146"/>
      <c r="EN97" s="145"/>
      <c r="EO97" s="145"/>
      <c r="EP97" s="136"/>
      <c r="EQ97" s="382" t="b">
        <f>AND(ISNUMBER(SnapshotTable[[#This Row],[SC Exp Date]]), ISNUMBER(SnapshotTable[[#This Row],[SC Strike Price]]), ISNUMBER(SnapshotTable[[#This Row],[SC Qty]]), ISNUMBER(SnapshotTable[[#This Row],[SC Book Date]]), ISNUMBER(SnapshotTable[[#This Row],[SC Book Price]]))</f>
        <v>0</v>
      </c>
      <c r="ER97" s="382" t="b">
        <f>AND(SnapshotTable[[#This Row],[SC Is Booked]], NOT(ISBLANK(SnapshotTable[[#This Row],[SC Fill Date]])))</f>
        <v>0</v>
      </c>
      <c r="ES97" s="340"/>
      <c r="ET97" s="34" t="str">
        <f>IF(AND(ISNUMBER(SnapshotTable[[#This Row],[SC Exp Date]]), ISNUMBER(SnapshotTable[[#This Row],[SC Book Date]])), SnapshotTable[[#This Row],[SC Exp Date]] - MAX(SnapshotTable[[#This Row],[SC Book Date]], SnapshotTable[[#This Row],[SC Fill Date]]) + 1, "")</f>
        <v/>
      </c>
      <c r="EU97" s="34" t="str">
        <f>IF(ISNUMBER(SnapshotTable[[#This Row],[SC Term]]), SnapshotTable[[#This Row],[SC Exp Date]]- MockToday, "")</f>
        <v/>
      </c>
      <c r="EV97" s="31">
        <f>IF(SnapshotTable[[#This Row],[SC Is Booked]], SnapshotTable[[#This Row],[SC Qty]] * SnapshotTable[[#This Row],[SC Book Price]] * 100, 0)</f>
        <v>0</v>
      </c>
      <c r="EW97" s="4" t="str">
        <f>IF(AND(ISNUMBER(SnapshotTable[[#This Row],[Last Price]]), ISNUMBER( SnapshotTable[[#This Row],[SC Book Price]])), SnapshotTable[[#This Row],[Last Price]] - SnapshotTable[[#This Row],[SC Book Price]],"")</f>
        <v/>
      </c>
      <c r="EX97" s="344" t="str">
        <f>IF(SnapshotTable[[#This Row],[SC Is Booked]],IF(SnapshotTable[[#This Row],[SC Intrinsic Value]] &gt; 0, SnapshotTable[[#This Row],[SC Strike Price]], SnapshotTable[[#This Row],[Last Price]]), "")</f>
        <v/>
      </c>
      <c r="EY97" s="4">
        <f>IF(SnapshotTable[[#This Row],[SC Is Booked]], (MinimumPremiumRequired * SnapshotTable[[#This Row],[SC Basis]] * SnapshotTable[[#This Row],[SC Term]]), 0)</f>
        <v>0</v>
      </c>
      <c r="EZ97" s="268"/>
      <c r="FA97" s="204"/>
      <c r="FB97" s="340"/>
      <c r="FC97" s="4">
        <f>IF(SnapshotTable[[#This Row],[SC Is Filled]], btc_max_buyback_amount(SnapshotTable[[#This Row],[SC Fill Date]],SnapshotTable[[#This Row],[SC Exp Date]], SnapshotTable[[#This Row],[SC Book Price]]),0)</f>
        <v>0</v>
      </c>
      <c r="FD97" s="5"/>
      <c r="FE97" s="142" t="str">
        <f>IF(SnapshotTable[[#This Row],[SC Is Filled]], btc_next_cutoff_date(SnapshotTable[[#This Row],[SC Fill Date]],SnapshotTable[[#This Row],[SC Exp Date]]),"")</f>
        <v/>
      </c>
      <c r="FF97" s="4" t="str" cm="1">
        <f t="array" ref="FF97">IF(SnapshotTable[[#This Row],[SC Is Filled]], btc_should_buy_back(SnapshotTable[[#This Row],[SC Fill Date]], SnapshotTable[[#This Row],[SC Exp Date]], SnapshotTable[[#This Row],[SC Book Price]], SnapshotTable[[#This Row],[SC Current Ask]], MockToday, SnapshotTable[[#This Row],[SC Buyback Override]]),"")</f>
        <v/>
      </c>
      <c r="FG97" s="31">
        <f>IF(SnapshotTable[[#This Row],[SC Is Filled]], MAX(0,SnapshotTable[[#This Row],[Last Price]]  - SnapshotTable[[#This Row],[SC Strike Price]]), 0)</f>
        <v>0</v>
      </c>
      <c r="FH97" s="352">
        <f>IF(SnapshotTable[[#This Row],[SC Is Filled]], IF(ISNUMBER(SnapshotTable[[#This Row],[SC Current Ask]]), SnapshotTable[[#This Row],[SC Current Ask]], SnapshotTable[[#This Row],[SC Book Price]]) - SnapshotTable[[#This Row],[SC Intrinsic Value]], 0)</f>
        <v>0</v>
      </c>
      <c r="FI97" s="141"/>
      <c r="FJ97" s="32" t="str">
        <f>IF(SnapshotTable[[#This Row],[SC Is Filled]],100 * SnapshotTable[[#This Row],[SC Qty]] * IF(ISNUMBER(SnapshotTable[[#This Row],[SC Buyback Override]]), SnapshotTable[[#This Row],[SC Buyback Override]], SnapshotTable[[#This Row],[SC Current Ask]]), "")</f>
        <v/>
      </c>
      <c r="FK97" s="235" t="str">
        <f>IF(SnapshotTable[[#This Row],[SC Time Val]]&gt;0, SnapshotTable[[#This Row],[SC Time Val]] / SnapshotTable[[#This Row],[Last Price]],"")</f>
        <v/>
      </c>
      <c r="FL97" s="280" t="str">
        <f>IF(SnapshotTable[[#This Row],[SC Is Booked]], ((SnapshotTable[[#This Row],[Last Price]] -SnapshotTable[[#This Row],[SC Strike Price]]) / SnapshotTable[[#This Row],[Last Price]]) * -1, "")</f>
        <v/>
      </c>
      <c r="FM97" s="155" t="str">
        <f>IF(SnapshotTable[[#This Row],[SC Is Booked]],  (SnapshotTable[[#This Row],[SC Qty]] * 100 * SnapshotTable[[#This Row],[SC Strike Price]]) - SnapshotTable[[#This Row],[SC Current Ask]], "")</f>
        <v/>
      </c>
      <c r="FN9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7" s="155" t="str">
        <f>IF(AND(ISNUMBER(SnapshotTable[[#This Row],[SC Exercise Gross]]), ISNUMBER(SnapshotTable[[#This Row],[Equity Basis Per Share]] )), SnapshotTable[[#This Row],[SC Exercise Gross]] - SnapshotTable[[#This Row],[Equity Basis Total]] +  SnapshotTable[[#This Row],[SC Premium]], "")</f>
        <v/>
      </c>
      <c r="FP97" s="5" t="str">
        <f>IF(ISNUMBER(SnapshotTable[[#This Row],[SC Exercise Gross]]), (SnapshotTable[[#This Row],[SC Exercise Gross]]) / (SnapshotTable[[#This Row],[SC Qty]] * 100), "")</f>
        <v/>
      </c>
      <c r="FQ97" s="27" t="str">
        <f>IF(SnapshotTable[[#This Row],[SC Is Booked]],SnapshotTable[[#This Row],[SC Time Val]] /SnapshotTable[[#This Row],[SC Basis]], "")</f>
        <v/>
      </c>
      <c r="FR97" s="27" t="str" cm="1">
        <f t="array" ref="FR97">IF(AND(ISNUMBER(SnapshotTable[[#This Row],[SC Term]]),ISNUMBER(SnapshotTable[[#This Row],[SC Simple ROO]])), EllmanAnnualize(SnapshotTable[[#This Row],[SC DTE]], SnapshotTable[[#This Row],[SC Simple ROO]] ),"")</f>
        <v/>
      </c>
      <c r="FS97" s="4">
        <f>IF(SnapshotTable[[#This Row],[SC Strike Price]] &gt; SnapshotTable[[#This Row],[Last Price]], SnapshotTable[[#This Row],[SC Strike Price]] - SnapshotTable[[#This Row],[Last Price]],0)</f>
        <v>0</v>
      </c>
      <c r="FT97" s="27" t="str">
        <f>IF(AND(ISNUMBER(SnapshotTable[[#This Row],[SC Upside Potential]]), SnapshotTable[[#This Row],[SC Upside Potential]] &gt; 0),(SnapshotTable[[#This Row],[SC Upside Potential]]/ SnapshotTable[[#This Row],[ACB]]),"")</f>
        <v/>
      </c>
      <c r="FU97" s="304" t="str">
        <f>IF(SnapshotTable[[#This Row],[SC Intrinsic Value]] &gt; 0,SnapshotTable[[#This Row],[SC Intrinsic Value]],"")</f>
        <v/>
      </c>
      <c r="FV97" s="27" t="str">
        <f>IF(AND( ISNUMBER( SnapshotTable[[#This Row],[ACB]]),ISNUMBER(SnapshotTable[[#This Row],[SC Downside Protect]])),SnapshotTable[[#This Row],[SC Downside Protect]] / SnapshotTable[[#This Row],[ACB]],"")</f>
        <v/>
      </c>
      <c r="FW97" s="221" t="str">
        <f>IF(AND(ISNUMBER(SnapshotTable[[#This Row],[SC Simple ROO]]),SnapshotTable[[#This Row],[SC Simple ROO]] &gt; 0), SnapshotTable[[#This Row],[SC Premium]] + (SnapshotTable[[#This Row],[SC Qty]] * SnapshotTable[[#This Row],[SC Upside Potential]]), "")</f>
        <v/>
      </c>
      <c r="FX97" s="280" t="str" cm="1">
        <f t="array" ref="FX97">IF(ISNUMBER(SnapshotTable[[#This Row],[SC Max Dollars]]), annualize(SnapshotTable[[#This Row],[SC Term]],(SnapshotTable[[#This Row],[SC Max Dollars]]/SnapshotTable[[#This Row],[SC Basis]])),"")</f>
        <v/>
      </c>
      <c r="FY97" s="221" t="str">
        <f>IF(AND(SnapshotTable[[#This Row],[SC Qty]]&gt;0,SnapshotTable[[#This Row],[SC Current Ask]]&gt;0), SnapshotTable[[#This Row],[SC Qty]] * SnapshotTable[[#This Row],[SC Current Ask]] * -100, "")</f>
        <v/>
      </c>
      <c r="FZ97" s="220" t="str">
        <f>IF(ISNUMBER((SnapshotTable[[#This Row],[SC Current Value]])), SnapshotTable[[#This Row],[SC Premium]] + SnapshotTable[[#This Row],[SC Current Value]], "")</f>
        <v/>
      </c>
      <c r="GA97" s="272" t="str">
        <f>IFERROR( IF(ISNUMBER((SnapshotTable[[#This Row],[SC Current Value]])), SnapshotTable[[#This Row],[SC Gain Loss]] / SnapshotTable[[#This Row],[SC Premium]], ""), "")</f>
        <v/>
      </c>
      <c r="GB97" s="42">
        <f>SnapshotTable[[#This Row],[Equity Shares]] * SaleSharesToConsiderPercentage</f>
        <v>0</v>
      </c>
      <c r="GC97" s="40">
        <f>SnapshotTable[[#This Row],[Long Term Target]] * SellingPriceToConsiderBasedOnTargetPercentage</f>
        <v>0</v>
      </c>
      <c r="GD97" s="40">
        <f>SnapshotTable[[#This Row],[Last Price]] * (1+ SellingPriceToConsiderBasedOnTargetPercentage)</f>
        <v>231.6405</v>
      </c>
      <c r="GE97" s="41"/>
      <c r="GF97" s="40"/>
      <c r="GG97" s="31">
        <f>SnapshotTable[[#This Row],[Booked Sale Shares]] * SnapshotTable[[#This Row],[Booked Sale Price]]</f>
        <v>0</v>
      </c>
      <c r="GH97" s="31" t="str">
        <f>IF(SnapshotTable[[#This Row],[Equity Basis Total]] &gt; 0, SnapshotTable[[#This Row],[Equity Basis Per Share]] * SnapshotTable[[#This Row],[Booked Sale Shares]], "")</f>
        <v/>
      </c>
      <c r="GI97" s="31">
        <f>IF(SnapshotTable[[#This Row],[Sale Proceeds]]&gt;0, SnapshotTable[[#This Row],[Sale Proceeds]] - SnapshotTable[[#This Row],[Sale Basis]], 0)</f>
        <v>0</v>
      </c>
      <c r="GJ97" s="156" t="str">
        <f>IF(SnapshotTable[[#This Row],[Sale G/L]]&gt;0, SnapshotTable[[#This Row],[Sale G/L]] / SnapshotTable[[#This Row],[Sale Basis]], IF(ISNUMBER(SnapshotTable[[#This Row],[SC Exercise P&amp;L (TAX)]]), SnapshotTable[[#This Row],[SC Exercise P&amp;L (TAX)]] / SnapshotTable[[#This Row],[SC Basis]], ""))</f>
        <v/>
      </c>
      <c r="GK97" s="27"/>
      <c r="GL97" s="157" t="str">
        <f>IF(AND(SnapshotTable[[#This Row],[LP Exp Date]]&gt;0,SnapshotTable[[#This Row],[LP Strike Price]]&gt;0), [1]!ToOptionSymbol(SnapshotTable[[#This Row],[Symbol]], SnapshotTable[[#This Row],[LP Strike Price]],SnapshotTable[[#This Row],[LP Exp Date]],1), "")</f>
        <v/>
      </c>
      <c r="GM97" s="30" t="str">
        <f>IF(LEN(SnapshotTable[[#This Row],[LP Symbol]])&gt;0, 1, "")</f>
        <v/>
      </c>
      <c r="GN97" s="43" t="str">
        <f>IF(AND(SnapshotTable[[#This Row],[SP Exp Date]]&gt;0,SnapshotTable[[#This Row],[SP Strike Price]]&gt;0), [1]!ToOptionSymbol(SnapshotTable[[#This Row],[Symbol]], SnapshotTable[[#This Row],[SP Strike Price]],SnapshotTable[[#This Row],[SP Exp Date]],1), "")</f>
        <v/>
      </c>
      <c r="GO97" s="30" t="str">
        <f>IF(LEN(SnapshotTable[[#This Row],[SP Symbol]])&gt;0, 1, "")</f>
        <v/>
      </c>
      <c r="GP97" s="157" t="str">
        <f>IF(AND(SnapshotTable[[#This Row],[LC Exp Date]]&gt;0,SnapshotTable[[#This Row],[LC Strike Price]]&gt;0), [1]!ToOptionSymbol(SnapshotTable[[#This Row],[Symbol]], SnapshotTable[[#This Row],[LC Strike Price]],SnapshotTable[[#This Row],[LC Exp Date]],0), "")</f>
        <v/>
      </c>
      <c r="GQ97" s="158" t="str">
        <f>IF(LEN(SnapshotTable[[#This Row],[LC Symbol]])&gt;0, 1, "")</f>
        <v/>
      </c>
      <c r="GR97" s="157" t="str">
        <f>IF(AND(SnapshotTable[[#This Row],[SC Exp Date]]&gt;0,SnapshotTable[[#This Row],[SC Strike Price]]&gt;0), [1]!ToOptionSymbol(SnapshotTable[[#This Row],[Symbol]], SnapshotTable[[#This Row],[SC Strike Price]],SnapshotTable[[#This Row],[SC Exp Date]],0), "")</f>
        <v/>
      </c>
      <c r="GS97" s="158" t="str">
        <f>IF(LEN(SnapshotTable[[#This Row],[SC Symbol]])&gt;0, 1, "")</f>
        <v/>
      </c>
      <c r="GT97" s="159" t="str">
        <f>IF(COUNT(SnapshotTable[[#This Row],[LP Symbol Count]],SnapshotTable[[#This Row],[SP Symbol Count]],SnapshotTable[[#This Row],[LC Symbol Count]],SnapshotTable[[#This Row],[SC Symbol Count]])&gt;0, "Y", "")</f>
        <v/>
      </c>
      <c r="GU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7" s="216">
        <f>MAX(SnapshotTable[[#This Row],[Equity Basis Total]],SnapshotTable[[#This Row],[Equity Value]]) + (SnapshotTable[[#This Row],[SP Potential Spend]]- SnapshotTable[[#This Row],[SP Premium]] + SnapshotTable[[#This Row],[LP Premium]])+ (SnapshotTable[[#This Row],[LC Premium]] - SnapshotTable[[#This Row],[SC Premium]])</f>
        <v>0</v>
      </c>
      <c r="GW97" s="137" t="str">
        <f>IF(AND(SnapshotTable[[#This Row],[Exposure]] &lt;&gt; 0),SnapshotTable[[#This Row],[Exposure]] / SnapshotTable[[#Totals],[Exposure]], "")</f>
        <v/>
      </c>
      <c r="HE97" s="253"/>
      <c r="HF97" s="253"/>
      <c r="HK97" s="1"/>
      <c r="HL97" s="1"/>
      <c r="HM97" s="1"/>
      <c r="HN97" s="1"/>
      <c r="HO97" s="1"/>
      <c r="HP97" s="1"/>
    </row>
    <row r="98" spans="2:224" ht="12.75" hidden="1" customHeight="1" x14ac:dyDescent="0.25">
      <c r="B98" s="12" t="s">
        <v>35</v>
      </c>
      <c r="C98" s="385">
        <v>103.98</v>
      </c>
      <c r="D98" s="200"/>
      <c r="E98" s="39">
        <f>SnapshotTable[[#This Row],[Last Price]]*(1 -CrashDiscount)</f>
        <v>88.382999999999996</v>
      </c>
      <c r="F98" s="26" t="s">
        <v>34</v>
      </c>
      <c r="G98" s="26" t="s">
        <v>10</v>
      </c>
      <c r="H98" s="147"/>
      <c r="I98" s="186">
        <v>44775.673611111109</v>
      </c>
      <c r="J98" s="187">
        <v>44775.673611111109</v>
      </c>
      <c r="K98" s="188"/>
      <c r="L98" s="297"/>
      <c r="M98" s="138">
        <v>1</v>
      </c>
      <c r="N98" s="138" t="b">
        <v>1</v>
      </c>
      <c r="O98" s="138"/>
      <c r="P98" s="22"/>
      <c r="Q98" s="25"/>
      <c r="R98" s="4" t="str">
        <f>IF(SnapshotTable[[#This Row],[Equity Basis Total]] &gt; 0, SnapshotTable[[#This Row],[Equity Basis Total]] / SnapshotTable[[#This Row],[Equity Shares]], "")</f>
        <v/>
      </c>
      <c r="S98" s="254">
        <f>SnapshotTable[[#This Row],[Last Price]] * SnapshotTable[[#This Row],[Equity Shares]]</f>
        <v>0</v>
      </c>
      <c r="T98" s="254">
        <f>SnapshotTable[[#This Row],[Equity Value]] - SnapshotTable[[#This Row],[Equity Basis Total]]</f>
        <v>0</v>
      </c>
      <c r="U98" s="255" t="str">
        <f>IF(SnapshotTable[[#This Row],[Equity Basis Total]] &gt; 0, SnapshotTable[[#This Row],[Equity G/L]] / SnapshotTable[[#This Row],[Equity Basis Total]], "")</f>
        <v/>
      </c>
      <c r="V98" s="253"/>
      <c r="W98" s="253"/>
      <c r="X98" s="4" t="str">
        <f>IF(AND(ISNUMBER(SnapshotTable[[#This Row],[Equity Basis Per Share]]),ISNUMBER(SnapshotTable[[#This Row],[Equity Target]])),SnapshotTable[[#This Row],[Equity Target]]-SnapshotTable[[#This Row],[Equity Basis Per Share]],"")</f>
        <v/>
      </c>
      <c r="Y98" s="4" t="str">
        <f>IF(AND(ISNUMBER(SnapshotTable[[#This Row],[Equity Basis Per Share]]),ISNUMBER(SnapshotTable[[#This Row],[Equity Stop Loss]])),SnapshotTable[[#This Row],[Equity Stop Loss]]-SnapshotTable[[#This Row],[Equity Basis Per Share]],"")</f>
        <v/>
      </c>
      <c r="Z98" s="260" t="str">
        <f>IFERROR( TEXT(SnapshotTable[[#This Row],[Equity Max Gain Per Share]] /ABS( SnapshotTable[[#This Row],[Equity Max Loss Per Share]]),"0.0 " ) &amp; " : 1", "")</f>
        <v/>
      </c>
      <c r="AA98" s="31" t="str">
        <f>IF(ISNUMBER(SnapshotTable[[#This Row],[Equity Max Gain Per Share]]),SnapshotTable[[#This Row],[Equity Max Gain Per Share]] * SnapshotTable[[#This Row],[Equity Shares]],"")</f>
        <v/>
      </c>
      <c r="AB98" s="31" t="str">
        <f>IF(ISNUMBER(SnapshotTable[[#This Row],[Equity Max Loss Per Share]]),SnapshotTable[[#This Row],[Equity Max Loss Per Share]] * SnapshotTable[[#This Row],[Equity Shares]],"")</f>
        <v/>
      </c>
      <c r="AC98" s="148">
        <v>0.8</v>
      </c>
      <c r="AD98" s="149">
        <v>42602</v>
      </c>
      <c r="AE98" s="31">
        <f>(SnapshotTable[[#This Row],[Annual Dividend Per Share]] / 4) * SnapshotTable[[#This Row],[Equity Shares]]</f>
        <v>0</v>
      </c>
      <c r="AF98" s="31">
        <f>SnapshotTable[[#This Row],[Quarterly Div $]] * 4</f>
        <v>0</v>
      </c>
      <c r="AG98" s="7">
        <f>IF(SnapshotTable[[#This Row],[Annual Dividend Per Share]]&gt;0, SnapshotTable[[#This Row],[Annual Dividend Per Share]]  / SnapshotTable[[#This Row],[Last Price]], 0)</f>
        <v>7.6937872667820735E-3</v>
      </c>
      <c r="AH98" s="149">
        <v>42583</v>
      </c>
      <c r="AI98" s="5">
        <v>95</v>
      </c>
      <c r="AJ98" s="136">
        <v>80.28</v>
      </c>
      <c r="AK98" s="150">
        <f>IF(ISNUMBER( SnapshotTable[[#This Row],[EBF Target]]),(SnapshotTable[[#This Row],[EBF Target]] - SnapshotTable[[#This Row],[Last Price]]) / SnapshotTable[[#This Row],[Last Price]], "")</f>
        <v>-8.6362762069628812E-2</v>
      </c>
      <c r="AL98" s="150" t="str">
        <f>IF(AND(SnapshotTable[[#This Row],[Equity Basis Total]] &gt; 0,ISNUMBER( SnapshotTable[[#This Row],[Long Term Target]])), SnapshotTable[[#This Row],[From Basis $]] / SnapshotTable[[#This Row],[Equity Basis Total]], "")</f>
        <v/>
      </c>
      <c r="AM98" s="9">
        <f>IF( AND(SnapshotTable[[#This Row],[Equity Shares]] &gt;0,ISNUMBER( SnapshotTable[[#This Row],[Long Term Target]])),(SnapshotTable[[#This Row],[Equity Shares]] * SnapshotTable[[#This Row],[Long Term Target]]) - SnapshotTable[[#This Row],[Equity Basis Total]],0)</f>
        <v>0</v>
      </c>
      <c r="AN98" s="9">
        <f>IF( AND(SnapshotTable[[#This Row],[Equity Shares]] &gt;0,ISNUMBER( SnapshotTable[[#This Row],[Long Term Target]])),(SnapshotTable[[#This Row],[Equity Shares]]*SnapshotTable[[#This Row],[Long Term Target]]) - SnapshotTable[[#This Row],[Equity Value]],0)</f>
        <v>0</v>
      </c>
      <c r="AO98" s="150">
        <f>IF(AND(ISNUMBER( SnapshotTable[[#This Row],[Long Term Target]]), ISNUMBER(SnapshotTable[[#This Row],[Last Price]])),(SnapshotTable[[#This Row],[Long Term Target]] - SnapshotTable[[#This Row],[Last Price]]) / SnapshotTable[[#This Row],[Last Price]], "")</f>
        <v>-0.22792844777841895</v>
      </c>
      <c r="AP98" s="5">
        <v>82.5</v>
      </c>
      <c r="AQ98" s="38" t="s">
        <v>22</v>
      </c>
      <c r="AR98" s="5">
        <v>82.5</v>
      </c>
      <c r="AS98" s="38" t="s">
        <v>15</v>
      </c>
      <c r="AT98" s="144" t="s">
        <v>438</v>
      </c>
      <c r="AU98" s="185" t="str">
        <f>IF(OR(SnapshotTable[[#This Row],[LP No Fill]]="Y",SnapshotTable[[#This Row],[SP Is Filled]],SnapshotTable[[#This Row],[LC Not Filled]]="Y",SnapshotTable[[#This Row],[SC Is Filled]]),"Y","")</f>
        <v/>
      </c>
      <c r="AV98" s="205"/>
      <c r="AW98" s="211"/>
      <c r="AX98" s="206"/>
      <c r="AY98" s="205" t="str">
        <f>IF(SnapshotTable[[#This Row],[Implied Move]]&gt;0, SnapshotTable[[#This Row],[Last Price]]-SnapshotTable[[#This Row],[Implied Move]],"")</f>
        <v/>
      </c>
      <c r="AZ98" s="205" t="str">
        <f>IF(SnapshotTable[[#This Row],[Implied Move]]&gt;0, SnapshotTable[[#This Row],[Last Price]] + SnapshotTable[[#This Row],[Implied Move]],"")</f>
        <v/>
      </c>
      <c r="BA98" s="302"/>
      <c r="BB98" s="318"/>
      <c r="BC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8" s="321"/>
      <c r="BE98" s="5"/>
      <c r="BF98" s="14"/>
      <c r="BG98" s="13"/>
      <c r="BH98" s="13"/>
      <c r="BI98" s="5"/>
      <c r="BJ98" s="134">
        <f>IF(SnapshotTable[[#This Row],[LP Qty]] &gt; 0, SnapshotTable[[#This Row],[LP Qty]] * SnapshotTable[[#This Row],[LP Book Price]] * 100,0)</f>
        <v>0</v>
      </c>
      <c r="BK98" s="134">
        <f>IF(SnapshotTable[[#This Row],[LP Premium]] &gt; 0, SnapshotTable[[#This Row],[LP Qty]] * SnapshotTable[[#This Row],[LP Strike Price]] * 100,0)</f>
        <v>0</v>
      </c>
      <c r="BL98" s="152"/>
      <c r="BM98" s="355" t="str">
        <f>IF(SnapshotTable[[#This Row],[LP Premium]] &gt; 0,SnapshotTable[[#This Row],[LP Exp Date]]-MAX(SnapshotTable[[#This Row],[LP Book Date]], SnapshotTable[[#This Row],[LP Fill Date]]),"")</f>
        <v/>
      </c>
      <c r="BN98" s="355" t="str">
        <f>IF(ISNUMBER( SnapshotTable[[#This Row],[LP Term]]), SnapshotTable[[#This Row],[LP Exp Date]] - MockToday,"")</f>
        <v/>
      </c>
      <c r="BO98" s="161" t="str">
        <f>IF(AND(SnapshotTable[[#This Row],[LP Exp Date]]&gt;0, SnapshotTable[[#This Row],[LP Strike Price]]&gt;0,SnapshotTable[[#This Row],[LP Qty]]&gt;0,SnapshotTable[[#This Row],[LP Book Date]]&gt;0,SnapshotTable[[#This Row],[LP Book Price]]&gt;0,SnapshotTable[[#This Row],[LP Fill Date]]=0),"Y","")</f>
        <v/>
      </c>
      <c r="BP98" s="31" t="str">
        <f>IF(AND(SnapshotTable[[#This Row],[LP No Fill]]&lt;&gt;"Y",SnapshotTable[[#This Row],[LP Contract Value]]&gt;0, SnapshotTable[[#This Row],[LP Qty]]&gt;0), SnapshotTable[[#This Row],[LP Contract Value]]*SnapshotTable[[#This Row],[LP Qty]]*100,"")</f>
        <v/>
      </c>
      <c r="BQ98" s="13"/>
      <c r="BR98" s="5"/>
      <c r="BS98" s="36"/>
      <c r="BT98" s="145"/>
      <c r="BU98" s="13"/>
      <c r="BV98" s="5"/>
      <c r="BW98" s="382" t="b">
        <f>AND(ISNUMBER(SnapshotTable[[#This Row],[SP Exp Date]]), ISNUMBER(SnapshotTable[[#This Row],[SP Strike Price]]), ISNUMBER(SnapshotTable[[#This Row],[SP Qty]]), ISNUMBER(SnapshotTable[[#This Row],[SP Book Date]]), ISNUMBER(SnapshotTable[[#This Row],[SP Book Price]]))</f>
        <v>0</v>
      </c>
      <c r="BX98" s="382" t="b">
        <f>AND(SnapshotTable[[#This Row],[SP Is Booked]], NOT(ISBLANK(SnapshotTable[[#This Row],[SP Fill Date]])))</f>
        <v>0</v>
      </c>
      <c r="BY98" s="33">
        <f>IF(SnapshotTable[[#This Row],[SP Is Booked]], SnapshotTable[[#This Row],[SP Qty]] * SnapshotTable[[#This Row],[SP Book Price]] * 100, 0)</f>
        <v>0</v>
      </c>
      <c r="BZ98" s="339"/>
      <c r="CA98" s="338">
        <f>SnapshotTable[[#This Row],[LP Qty]]</f>
        <v>0</v>
      </c>
      <c r="CB98" s="4" t="str">
        <f>IF(SnapshotTable[[#This Row],[SP Is Booked]], SnapshotTable[[#This Row],[SP Strike Price]] - SnapshotTable[[#This Row],[SP Book Price]], "")</f>
        <v/>
      </c>
      <c r="CC98" s="19" t="str">
        <f>IF(SnapshotTable[[#This Row],[SP Is Booked]],SnapshotTable[[#This Row],[SP Exp Date]]-MAX(SnapshotTable[[#This Row],[SP Book Date]], SnapshotTable[[#This Row],[SP Fill Date]]),"")</f>
        <v/>
      </c>
      <c r="CD98" s="7" t="str">
        <f>IF(SnapshotTable[[#This Row],[SP Is Booked]], SnapshotTable[[#This Row],[SP Book Price]]/SnapshotTable[[#This Row],[SP Strike Price]], "")</f>
        <v/>
      </c>
      <c r="CE98" s="7" t="str">
        <f>IF(ISNUMBER(SnapshotTable[[#This Row],[SP ROO Term]]),SnapshotTable[[#This Row],[SP ROO Term]]*(365/SnapshotTable[[#This Row],[SP Term]]),"")</f>
        <v/>
      </c>
      <c r="CF98" s="221">
        <f>SnapshotTable[[#This Row],[LP Strike Price]] * SnapshotTable[[#This Row],[LP Qty]] * 100</f>
        <v>0</v>
      </c>
      <c r="CG98" s="31">
        <f>IF(ISNUMBER(SnapshotTable[[#This Row],[SP Premium]]), (SnapshotTable[[#This Row],[SP Qty]] * SnapshotTable[[#This Row],[SP Strike Price]]* 100) - SnapshotTable[[#This Row],[LP Protection]], 0)</f>
        <v>0</v>
      </c>
      <c r="CH98" s="7" t="str">
        <f>IF(ISNUMBER(SnapshotTable[[#This Row],[SP Break Even]]),-1 * (SnapshotTable[[#This Row],[SP Break Even]] - SnapshotTable[[#This Row],[Last Price]]) / SnapshotTable[[#This Row],[Last Price]], "")</f>
        <v/>
      </c>
      <c r="CI98" s="31">
        <f>IF(AND(ISNUMBER((SnapshotTable[[#This Row],[SP Potential Spend]])), SnapshotTable[[#This Row],[SP Strike Price]] &gt; SnapshotTable[[#This Row],[Last Price]], SnapshotTable[[#This Row],[SP Is Filled]]), SnapshotTable[[#This Row],[SP Potential Spend]] -  SnapshotTable[[#This Row],[LP Max Value]], 0)</f>
        <v>0</v>
      </c>
      <c r="CJ98" s="229"/>
      <c r="CK98" s="31">
        <f>IF(ISNUMBER(SnapshotTable[[#This Row],[SP Potential Spend]]),IF(ISNUMBER(SnapshotTable[[#This Row],[SP POW]]), SnapshotTable[[#This Row],[SP POW]] * SnapshotTable[[#This Row],[SP Potential Spend]], SnapshotTable[[#This Row],[SP Potential Spend]]), "")</f>
        <v>0</v>
      </c>
      <c r="CL98" s="162">
        <f>IF(NOT(SnapshotTable[[#This Row],[SP Is Filled]]),(SnapshotTable[[#This Row],[SP Qty]] * SnapshotTable[[#This Row],[SP Strike Price]] * 100) - SnapshotTable[[#This Row],[LP Max Value]],"")</f>
        <v>0</v>
      </c>
      <c r="CM98" s="31" t="str">
        <f>IF(SnapshotTable[[#This Row],[SP Actual Spend]]&lt;&gt;0, ((SnapshotTable[[#This Row],[SP Strike Price]]-SnapshotTable[[#This Row],[Last Price]]) *(SnapshotTable[[#This Row],[SP Qty]]*100) - SnapshotTable[[#This Row],[SP Premium]]) * - 1, "")</f>
        <v/>
      </c>
      <c r="CN98" s="76"/>
      <c r="CO98" s="339"/>
      <c r="CP98" s="4" t="str">
        <f>IF(SnapshotTable[[#This Row],[SP Is Filled]], btc_max_buyback_amount(SnapshotTable[[#This Row],[SP Fill Date]],SnapshotTable[[#This Row],[SP Exp Date]], SnapshotTable[[#This Row],[SP Book Price]]),"")</f>
        <v/>
      </c>
      <c r="CQ98" s="76"/>
      <c r="CR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8" s="153" t="str">
        <f>IF(SnapshotTable[[#This Row],[SP Is Filled]], btc_next_cutoff_date(SnapshotTable[[#This Row],[SP Fill Date]],SnapshotTable[[#This Row],[SP Exp Date]]),"")</f>
        <v/>
      </c>
      <c r="CT98" s="220" t="str" cm="1">
        <f t="array" ref="CT98">IF(SnapshotTable[[#This Row],[SP Is Filled]], btc_should_buy_back(SnapshotTable[[#This Row],[SP Fill Date]], SnapshotTable[[#This Row],[SP Exp Date]], SnapshotTable[[#This Row],[SP Book Price]], SnapshotTable[[#This Row],[SP Current Ask]], MockToday, SnapshotTable[[#This Row],[SP Buyback Override]]),"")</f>
        <v/>
      </c>
      <c r="CU98" s="141"/>
      <c r="CV98" s="220"/>
      <c r="CW98" s="348" t="str">
        <f>IF(ISNUMBER( SnapshotTable[[#This Row],[SP Term]]), SnapshotTable[[#This Row],[SP Exp Date]] - MockToday,"")</f>
        <v/>
      </c>
      <c r="CX98" s="31" t="str">
        <f>IF(SnapshotTable[[#This Row],[SP Is Filled]],SnapshotTable[[#This Row],[SP Buyback Price to Use]] * 100 * SnapshotTable[[#This Row],[SP Qty]], "")</f>
        <v/>
      </c>
      <c r="CY98" s="4" t="str">
        <f>IF(ISNUMBER(SnapshotTable[[#This Row],[SP Strike Price]]), SnapshotTable[[#This Row],[SP Strike Price]] * (1 - SP_MaxLoss_StrikePct), "")</f>
        <v/>
      </c>
      <c r="CZ98" s="31" t="str">
        <f>IF(ISNUMBER(SnapshotTable[[#This Row],[SP Strike  Stop Per Share]]),SnapshotTable[[#This Row],[SP Premium]] - ((SnapshotTable[[#This Row],[SP Strike Price]]-SnapshotTable[[#This Row],[SP Strike  Stop Per Share]]) *(SnapshotTable[[#This Row],[SP Qty]] * 100)),"")</f>
        <v/>
      </c>
      <c r="DA98" s="4" t="str">
        <f>IF(AND(ISNUMBER(SnapshotTable[[#This Row],[SP Premium]]),SnapshotTable[[#This Row],[SP Premium]]&gt;0), SnapshotTable[[#This Row],[SP Book Price]] * (1 + SP_MaxLoss_OptionPct), "")</f>
        <v/>
      </c>
      <c r="DB98" s="31" t="str">
        <f>IF(ISNUMBER(SnapshotTable[[#This Row],[SP Option  Stop Contract]]),(SnapshotTable[[#This Row],[SP Option  Stop Contract]] *(SnapshotTable[[#This Row],[SP Qty]] * 100) - SnapshotTable[[#This Row],[SP Premium]]),"")</f>
        <v/>
      </c>
      <c r="DC98" s="4"/>
      <c r="DD98" s="4"/>
      <c r="DE98" s="4" t="str">
        <f>IF(AND(SnapshotTable[[#This Row],[SP Qty]]&gt;0, SnapshotTable[[#This Row],[SP Stop To Use]]&gt;0),SnapshotTable[[#This Row],[SP Premium]] - ( SnapshotTable[[#This Row],[SP Qty]] * SnapshotTable[[#This Row],[SP Stop To Use]] * 100), "")</f>
        <v/>
      </c>
      <c r="DF98" s="31" t="str">
        <f>IF(AND(SnapshotTable[[#This Row],[SP Qty]]&gt;0,SnapshotTable[[#This Row],[SP Current Ask]]&gt;0), SnapshotTable[[#This Row],[SP Qty]] * SnapshotTable[[#This Row],[SP Current Ask]] * -100, "")</f>
        <v/>
      </c>
      <c r="DG98" s="31" t="str">
        <f>IF(ISNUMBER((SnapshotTable[[#This Row],[SP Total Value]])), SnapshotTable[[#This Row],[SP Premium]] + SnapshotTable[[#This Row],[SP Total Value]], "")</f>
        <v/>
      </c>
      <c r="DH98" s="272" t="str">
        <f>IF(ISNUMBER((SnapshotTable[[#This Row],[SP Total Value]])), SnapshotTable[[#This Row],[SP Gain Loss]] / SnapshotTable[[#This Row],[SP Premium]], "")</f>
        <v/>
      </c>
      <c r="DI98" s="369"/>
      <c r="DJ98" s="136"/>
      <c r="DK98" s="146"/>
      <c r="DL98" s="13"/>
      <c r="DM98" s="13"/>
      <c r="DO98" s="31">
        <f>IF(SnapshotTable[[#This Row],[LC Symbol Count]]=1, SnapshotTable[[#This Row],[LC Qty]] * SnapshotTable[[#This Row],[LC Book Price]] * 100, 0)</f>
        <v>0</v>
      </c>
      <c r="DP98" s="161" t="str">
        <f>IF(AND(SnapshotTable[[#This Row],[LC Exp Date]]&gt;0, SnapshotTable[[#This Row],[LC Strike Price]]&gt;0,SnapshotTable[[#This Row],[LC Qty]]&gt;0,SnapshotTable[[#This Row],[LC Book Date]]&gt;0,SnapshotTable[[#This Row],[LC Book Price]]&gt;0,SnapshotTable[[#This Row],[LC Fill Date]]=0),"Y","")</f>
        <v/>
      </c>
      <c r="DQ98" s="356" t="str">
        <f>IF(SnapshotTable[[#This Row],[LC Premium]] &gt; 0,SnapshotTable[[#This Row],[LC Exp Date]]-MAX(SnapshotTable[[#This Row],[LC Book Date]], SnapshotTable[[#This Row],[LC Fill Date]]),"")</f>
        <v/>
      </c>
      <c r="DR98" s="356" t="str">
        <f>IF(ISNUMBER(SnapshotTable[[#This Row],[LC Term]]), SnapshotTable[[#This Row],[LC Exp Date]] - MockToday, "")</f>
        <v/>
      </c>
      <c r="DS98" s="219" t="str">
        <f>IF(SnapshotTable[[#This Row],[LC Premium]]&gt;0,SnapshotTable[[#This Row],[LC Strike Price]] + SnapshotTable[[#This Row],[LC Book Price]],"")</f>
        <v/>
      </c>
      <c r="DU98" s="9" t="str">
        <f>IF(AND(SnapshotTable[[#This Row],[LC Symbol Count]]&gt;0, SnapshotTable[[#This Row],[LC Contract Value]]&gt;0), SnapshotTable[[#This Row],[LC Contract Value]] * SnapshotTable[[#This Row],[LC Qty]] * 100, "")</f>
        <v/>
      </c>
      <c r="DV98" s="9" t="str">
        <f>IF(AND(ISNUMBER(SnapshotTable[[#This Row],[LC Total Value]]), SnapshotTable[[#This Row],[LC Not Filled]]&lt;&gt;"Y"), SnapshotTable[[#This Row],[LC Total Value]]-SnapshotTable[[#This Row],[LC Premium]],"")</f>
        <v/>
      </c>
      <c r="DW98" s="225" t="str">
        <f>IF(ISNUMBER(SnapshotTable[[#This Row],[LC Actual Gain Loss]]), SnapshotTable[[#This Row],[LC Actual Gain Loss]] / SnapshotTable[[#This Row],[LC Premium]],"")</f>
        <v/>
      </c>
      <c r="DX98" s="269" t="str">
        <f>IF(ISNUMBER(SnapshotTable[[#This Row],[LC Book Price]]),SnapshotTable[[#This Row],[LC Book Price]] * 1.5,"")</f>
        <v/>
      </c>
      <c r="DY98" s="250" t="str">
        <f>IF(SnapshotTable[[#This Row],[LC Premium]]&gt;0, SnapshotTable[[#This Row],[LC Next Target]] * SnapshotTable[[#This Row],[LC Qty]] * 100,"")</f>
        <v/>
      </c>
      <c r="DZ98" s="250" t="str">
        <f>IF(ISNUMBER(SnapshotTable[[#This Row],[LC Target Gross]]), SnapshotTable[[#This Row],[LC Target Gross]] - SnapshotTable[[#This Row],[LC Premium]], "")</f>
        <v/>
      </c>
      <c r="EA98" s="283" t="str">
        <f>IF(ISNUMBER(SnapshotTable[[#This Row],[LC Target Gain Loss]]), SnapshotTable[[#This Row],[LC Target Gain Loss]]/SnapshotTable[[#This Row],[LC Premium]], "")</f>
        <v/>
      </c>
      <c r="EB98" s="247"/>
      <c r="EC98" s="268" t="str">
        <f>IF(SnapshotTable[[#This Row],[LC Premium]]&gt;0, SnapshotTable[[#This Row],[LC Book Price]] * (1 - LC_StopLoss_Pct),"")</f>
        <v/>
      </c>
      <c r="ED98" s="269"/>
      <c r="EE98" s="268" t="str">
        <f>IF(ISNUMBER(SnapshotTable[[#This Row],[LC Contract Value]]),IF(ISNUMBER(SnapshotTable[[#This Row],[LC Stop Loss Override]]), SnapshotTable[[#This Row],[LC Stop Loss Override]],SnapshotTable[[#This Row],[LC Stop Loss Calc Target]]),"")</f>
        <v/>
      </c>
      <c r="EF98" s="31" t="str">
        <f>IF(ISNUMBER(SnapshotTable[[#This Row],[LC Stop  To Use]]), (SnapshotTable[[#This Row],[LC Stop  To Use]] * SnapshotTable[[#This Row],[LC Qty]] * 100),"")</f>
        <v/>
      </c>
      <c r="EG98" s="9" t="str">
        <f>IF(ISNUMBER(SnapshotTable[[#This Row],[LC Total Value]]),SnapshotTable[[#This Row],[LC Stop Loss Amount]] - SnapshotTable[[#This Row],[LC Premium]],"")</f>
        <v/>
      </c>
      <c r="EH98" s="9">
        <f>IF(ISNUMBER(SnapshotTable[[#This Row],[LC Premium]]), SnapshotTable[[#This Row],[LC Qty]] * 100 * SnapshotTable[[#This Row],[LC Strike Price]], "")</f>
        <v>0</v>
      </c>
      <c r="EI98" s="225" t="str">
        <f>IF(AND(ISNUMBER(SnapshotTable[[#This Row],[LC Total Value]]),SnapshotTable[[#This Row],[LC Total Value]]&gt;0),SnapshotTable[[#This Row],[LC Stop Gain Loss]]  / SnapshotTable[[#This Row],[LC Premium]],"")</f>
        <v/>
      </c>
      <c r="EJ98" s="35">
        <f>IF(ISNUMBER(SnapshotTable[[#This Row],[Equity Shares]]),TRUNC(SnapshotTable[[#This Row],[Equity Shares]] / 100),0) + SnapshotTable[[#This Row],[LC Qty]]</f>
        <v>0</v>
      </c>
      <c r="EK98" s="145"/>
      <c r="EL98" s="136"/>
      <c r="EM98" s="146"/>
      <c r="EN98" s="145"/>
      <c r="EO98" s="145"/>
      <c r="EP98" s="136"/>
      <c r="EQ98" s="382" t="b">
        <f>AND(ISNUMBER(SnapshotTable[[#This Row],[SC Exp Date]]), ISNUMBER(SnapshotTable[[#This Row],[SC Strike Price]]), ISNUMBER(SnapshotTable[[#This Row],[SC Qty]]), ISNUMBER(SnapshotTable[[#This Row],[SC Book Date]]), ISNUMBER(SnapshotTable[[#This Row],[SC Book Price]]))</f>
        <v>0</v>
      </c>
      <c r="ER98" s="382" t="b">
        <f>AND(SnapshotTable[[#This Row],[SC Is Booked]], NOT(ISBLANK(SnapshotTable[[#This Row],[SC Fill Date]])))</f>
        <v>0</v>
      </c>
      <c r="ES98" s="340"/>
      <c r="ET98" s="34" t="str">
        <f>IF(AND(ISNUMBER(SnapshotTable[[#This Row],[SC Exp Date]]), ISNUMBER(SnapshotTable[[#This Row],[SC Book Date]])), SnapshotTable[[#This Row],[SC Exp Date]] - MAX(SnapshotTable[[#This Row],[SC Book Date]], SnapshotTable[[#This Row],[SC Fill Date]]) + 1, "")</f>
        <v/>
      </c>
      <c r="EU98" s="34" t="str">
        <f>IF(ISNUMBER(SnapshotTable[[#This Row],[SC Term]]), SnapshotTable[[#This Row],[SC Exp Date]]- MockToday, "")</f>
        <v/>
      </c>
      <c r="EV98" s="31">
        <f>IF(SnapshotTable[[#This Row],[SC Is Booked]], SnapshotTable[[#This Row],[SC Qty]] * SnapshotTable[[#This Row],[SC Book Price]] * 100, 0)</f>
        <v>0</v>
      </c>
      <c r="EW98" s="4" t="str">
        <f>IF(AND(ISNUMBER(SnapshotTable[[#This Row],[Last Price]]), ISNUMBER( SnapshotTable[[#This Row],[SC Book Price]])), SnapshotTable[[#This Row],[Last Price]] - SnapshotTable[[#This Row],[SC Book Price]],"")</f>
        <v/>
      </c>
      <c r="EX98" s="219" t="str">
        <f>IF(SnapshotTable[[#This Row],[SC Is Booked]],IF(SnapshotTable[[#This Row],[SC Intrinsic Value]] &gt; 0, SnapshotTable[[#This Row],[SC Strike Price]], SnapshotTable[[#This Row],[Last Price]]), "")</f>
        <v/>
      </c>
      <c r="EY98" s="4">
        <f>IF(SnapshotTable[[#This Row],[SC Is Booked]], (MinimumPremiumRequired * SnapshotTable[[#This Row],[SC Basis]] * SnapshotTable[[#This Row],[SC Term]]), 0)</f>
        <v>0</v>
      </c>
      <c r="EZ98" s="268"/>
      <c r="FA98" s="204"/>
      <c r="FB98" s="340"/>
      <c r="FC98" s="4">
        <f>IF(SnapshotTable[[#This Row],[SC Is Filled]], btc_max_buyback_amount(SnapshotTable[[#This Row],[SC Fill Date]],SnapshotTable[[#This Row],[SC Exp Date]], SnapshotTable[[#This Row],[SC Book Price]]),0)</f>
        <v>0</v>
      </c>
      <c r="FD98" s="5"/>
      <c r="FE98" s="142" t="str">
        <f>IF(SnapshotTable[[#This Row],[SC Is Filled]], btc_next_cutoff_date(SnapshotTable[[#This Row],[SC Fill Date]],SnapshotTable[[#This Row],[SC Exp Date]]),"")</f>
        <v/>
      </c>
      <c r="FF98" s="4" t="str" cm="1">
        <f t="array" ref="FF98">IF(SnapshotTable[[#This Row],[SC Is Filled]], btc_should_buy_back(SnapshotTable[[#This Row],[SC Fill Date]], SnapshotTable[[#This Row],[SC Exp Date]], SnapshotTable[[#This Row],[SC Book Price]], SnapshotTable[[#This Row],[SC Current Ask]], MockToday, SnapshotTable[[#This Row],[SC Buyback Override]]),"")</f>
        <v/>
      </c>
      <c r="FG98" s="4">
        <f>IF(SnapshotTable[[#This Row],[SC Is Filled]], MAX(0,SnapshotTable[[#This Row],[Last Price]]  - SnapshotTable[[#This Row],[SC Strike Price]]), 0)</f>
        <v>0</v>
      </c>
      <c r="FH98" s="352">
        <f>IF(SnapshotTable[[#This Row],[SC Is Filled]], IF(ISNUMBER(SnapshotTable[[#This Row],[SC Current Ask]]), SnapshotTable[[#This Row],[SC Current Ask]], SnapshotTable[[#This Row],[SC Book Price]]) - SnapshotTable[[#This Row],[SC Intrinsic Value]], 0)</f>
        <v>0</v>
      </c>
      <c r="FI98" s="141"/>
      <c r="FJ98" s="32" t="str">
        <f>IF(SnapshotTable[[#This Row],[SC Is Filled]],100 * SnapshotTable[[#This Row],[SC Qty]] * IF(ISNUMBER(SnapshotTable[[#This Row],[SC Buyback Override]]), SnapshotTable[[#This Row],[SC Buyback Override]], SnapshotTable[[#This Row],[SC Current Ask]]), "")</f>
        <v/>
      </c>
      <c r="FK98" s="235" t="str">
        <f>IF(SnapshotTable[[#This Row],[SC Time Val]]&gt;0, SnapshotTable[[#This Row],[SC Time Val]] / SnapshotTable[[#This Row],[Last Price]],"")</f>
        <v/>
      </c>
      <c r="FL98" s="280" t="str">
        <f>IF(SnapshotTable[[#This Row],[SC Is Booked]], ((SnapshotTable[[#This Row],[Last Price]] -SnapshotTable[[#This Row],[SC Strike Price]]) / SnapshotTable[[#This Row],[Last Price]]) * -1, "")</f>
        <v/>
      </c>
      <c r="FM98" s="155" t="str">
        <f>IF(SnapshotTable[[#This Row],[SC Is Booked]],  (SnapshotTable[[#This Row],[SC Qty]] * 100 * SnapshotTable[[#This Row],[SC Strike Price]]) - SnapshotTable[[#This Row],[SC Current Ask]], "")</f>
        <v/>
      </c>
      <c r="FN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8" s="31" t="str">
        <f>IF(AND(ISNUMBER(SnapshotTable[[#This Row],[SC Exercise Gross]]), ISNUMBER(SnapshotTable[[#This Row],[Equity Basis Per Share]] )), SnapshotTable[[#This Row],[SC Exercise Gross]] - SnapshotTable[[#This Row],[Equity Basis Total]] +  SnapshotTable[[#This Row],[SC Premium]], "")</f>
        <v/>
      </c>
      <c r="FP98" s="5" t="str">
        <f>IF(ISNUMBER(SnapshotTable[[#This Row],[SC Exercise Gross]]), (SnapshotTable[[#This Row],[SC Exercise Gross]]) / (SnapshotTable[[#This Row],[SC Qty]] * 100), "")</f>
        <v/>
      </c>
      <c r="FQ98" s="27" t="str">
        <f>IF(SnapshotTable[[#This Row],[SC Is Booked]],SnapshotTable[[#This Row],[SC Time Val]] /SnapshotTable[[#This Row],[SC Basis]], "")</f>
        <v/>
      </c>
      <c r="FR98" s="27" t="str" cm="1">
        <f t="array" ref="FR98">IF(AND(ISNUMBER(SnapshotTable[[#This Row],[SC Term]]),ISNUMBER(SnapshotTable[[#This Row],[SC Simple ROO]])), EllmanAnnualize(SnapshotTable[[#This Row],[SC DTE]], SnapshotTable[[#This Row],[SC Simple ROO]] ),"")</f>
        <v/>
      </c>
      <c r="FS98" s="4">
        <f>IF(SnapshotTable[[#This Row],[SC Strike Price]] &gt; SnapshotTable[[#This Row],[Last Price]], SnapshotTable[[#This Row],[SC Strike Price]] - SnapshotTable[[#This Row],[Last Price]],0)</f>
        <v>0</v>
      </c>
      <c r="FT98" s="27" t="str">
        <f>IF(AND(ISNUMBER(SnapshotTable[[#This Row],[SC Upside Potential]]), SnapshotTable[[#This Row],[SC Upside Potential]] &gt; 0),(SnapshotTable[[#This Row],[SC Upside Potential]]/ SnapshotTable[[#This Row],[ACB]]),"")</f>
        <v/>
      </c>
      <c r="FU98" s="304" t="str">
        <f>IF(SnapshotTable[[#This Row],[SC Intrinsic Value]] &gt; 0,SnapshotTable[[#This Row],[SC Intrinsic Value]],"")</f>
        <v/>
      </c>
      <c r="FV98" s="27" t="str">
        <f>IF(AND( ISNUMBER( SnapshotTable[[#This Row],[ACB]]),ISNUMBER(SnapshotTable[[#This Row],[SC Downside Protect]])),SnapshotTable[[#This Row],[SC Downside Protect]] / SnapshotTable[[#This Row],[ACB]],"")</f>
        <v/>
      </c>
      <c r="FW98" s="221" t="str">
        <f>IF(AND(ISNUMBER(SnapshotTable[[#This Row],[SC Simple ROO]]),SnapshotTable[[#This Row],[SC Simple ROO]] &gt; 0), SnapshotTable[[#This Row],[SC Premium]] + (SnapshotTable[[#This Row],[SC Qty]] * SnapshotTable[[#This Row],[SC Upside Potential]]), "")</f>
        <v/>
      </c>
      <c r="FX98" s="280" t="str" cm="1">
        <f t="array" ref="FX98">IF(ISNUMBER(SnapshotTable[[#This Row],[SC Max Dollars]]), annualize(SnapshotTable[[#This Row],[SC Term]],(SnapshotTable[[#This Row],[SC Max Dollars]]/SnapshotTable[[#This Row],[SC Basis]])),"")</f>
        <v/>
      </c>
      <c r="FY98" s="221" t="str">
        <f>IF(AND(SnapshotTable[[#This Row],[SC Qty]]&gt;0,SnapshotTable[[#This Row],[SC Current Ask]]&gt;0), SnapshotTable[[#This Row],[SC Qty]] * SnapshotTable[[#This Row],[SC Current Ask]] * -100, "")</f>
        <v/>
      </c>
      <c r="FZ98" s="31" t="str">
        <f>IF(ISNUMBER((SnapshotTable[[#This Row],[SC Current Value]])), SnapshotTable[[#This Row],[SC Premium]] + SnapshotTable[[#This Row],[SC Current Value]], "")</f>
        <v/>
      </c>
      <c r="GA98" s="272" t="str">
        <f>IFERROR( IF(ISNUMBER((SnapshotTable[[#This Row],[SC Current Value]])), SnapshotTable[[#This Row],[SC Gain Loss]] / SnapshotTable[[#This Row],[SC Premium]], ""), "")</f>
        <v/>
      </c>
      <c r="GB98" s="42">
        <f>SnapshotTable[[#This Row],[Equity Shares]] * SaleSharesToConsiderPercentage</f>
        <v>0</v>
      </c>
      <c r="GC98" s="40">
        <f>SnapshotTable[[#This Row],[Long Term Target]] * SellingPriceToConsiderBasedOnTargetPercentage</f>
        <v>76.265999999999991</v>
      </c>
      <c r="GD98" s="40">
        <f>SnapshotTable[[#This Row],[Last Price]] * (1+ SellingPriceToConsiderBasedOnTargetPercentage)</f>
        <v>202.761</v>
      </c>
      <c r="GE98" s="41"/>
      <c r="GF98" s="40">
        <v>88.88</v>
      </c>
      <c r="GG98" s="31">
        <f>SnapshotTable[[#This Row],[Booked Sale Shares]] * SnapshotTable[[#This Row],[Booked Sale Price]]</f>
        <v>0</v>
      </c>
      <c r="GH98" s="31" t="str">
        <f>IF(SnapshotTable[[#This Row],[Equity Basis Total]] &gt; 0, SnapshotTable[[#This Row],[Equity Basis Per Share]] * SnapshotTable[[#This Row],[Booked Sale Shares]], "")</f>
        <v/>
      </c>
      <c r="GI98" s="31">
        <f>IF(SnapshotTable[[#This Row],[Sale Proceeds]]&gt;0, SnapshotTable[[#This Row],[Sale Proceeds]] - SnapshotTable[[#This Row],[Sale Basis]], 0)</f>
        <v>0</v>
      </c>
      <c r="GJ98" s="27" t="str">
        <f>IF(SnapshotTable[[#This Row],[Sale G/L]]&gt;0, SnapshotTable[[#This Row],[Sale G/L]] / SnapshotTable[[#This Row],[Sale Basis]], IF(ISNUMBER(SnapshotTable[[#This Row],[SC Exercise P&amp;L (TAX)]]), SnapshotTable[[#This Row],[SC Exercise P&amp;L (TAX)]] / SnapshotTable[[#This Row],[SC Basis]], ""))</f>
        <v/>
      </c>
      <c r="GK98" s="27" t="s">
        <v>605</v>
      </c>
      <c r="GL98" s="43" t="str">
        <f>IF(AND(SnapshotTable[[#This Row],[LP Exp Date]]&gt;0,SnapshotTable[[#This Row],[LP Strike Price]]&gt;0), [1]!ToOptionSymbol(SnapshotTable[[#This Row],[Symbol]], SnapshotTable[[#This Row],[LP Strike Price]],SnapshotTable[[#This Row],[LP Exp Date]],1), "")</f>
        <v/>
      </c>
      <c r="GM98" s="30" t="str">
        <f>IF(LEN(SnapshotTable[[#This Row],[LP Symbol]])&gt;0, 1, "")</f>
        <v/>
      </c>
      <c r="GN98" s="43" t="str">
        <f>IF(AND(SnapshotTable[[#This Row],[SP Exp Date]]&gt;0,SnapshotTable[[#This Row],[SP Strike Price]]&gt;0), [1]!ToOptionSymbol(SnapshotTable[[#This Row],[Symbol]], SnapshotTable[[#This Row],[SP Strike Price]],SnapshotTable[[#This Row],[SP Exp Date]],1), "")</f>
        <v/>
      </c>
      <c r="GO98" s="30" t="str">
        <f>IF(LEN(SnapshotTable[[#This Row],[SP Symbol]])&gt;0, 1, "")</f>
        <v/>
      </c>
      <c r="GP98" s="43" t="str">
        <f>IF(AND(SnapshotTable[[#This Row],[LC Exp Date]]&gt;0,SnapshotTable[[#This Row],[LC Strike Price]]&gt;0), [1]!ToOptionSymbol(SnapshotTable[[#This Row],[Symbol]], SnapshotTable[[#This Row],[LC Strike Price]],SnapshotTable[[#This Row],[LC Exp Date]],0), "")</f>
        <v/>
      </c>
      <c r="GQ98" s="30" t="str">
        <f>IF(LEN(SnapshotTable[[#This Row],[LC Symbol]])&gt;0, 1, "")</f>
        <v/>
      </c>
      <c r="GR98" s="43" t="str">
        <f>IF(AND(SnapshotTable[[#This Row],[SC Exp Date]]&gt;0,SnapshotTable[[#This Row],[SC Strike Price]]&gt;0), [1]!ToOptionSymbol(SnapshotTable[[#This Row],[Symbol]], SnapshotTable[[#This Row],[SC Strike Price]],SnapshotTable[[#This Row],[SC Exp Date]],0), "")</f>
        <v/>
      </c>
      <c r="GS98" s="30" t="str">
        <f>IF(LEN(SnapshotTable[[#This Row],[SC Symbol]])&gt;0, 1, "")</f>
        <v/>
      </c>
      <c r="GT98" s="29" t="str">
        <f>IF(COUNT(SnapshotTable[[#This Row],[LP Symbol Count]],SnapshotTable[[#This Row],[SP Symbol Count]],SnapshotTable[[#This Row],[LC Symbol Count]],SnapshotTable[[#This Row],[SC Symbol Count]])&gt;0, "Y", "")</f>
        <v/>
      </c>
      <c r="GU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8" s="216">
        <f>MAX(SnapshotTable[[#This Row],[Equity Basis Total]],SnapshotTable[[#This Row],[Equity Value]]) + (SnapshotTable[[#This Row],[SP Potential Spend]]- SnapshotTable[[#This Row],[SP Premium]] + SnapshotTable[[#This Row],[LP Premium]])+ (SnapshotTable[[#This Row],[LC Premium]] - SnapshotTable[[#This Row],[SC Premium]])</f>
        <v>0</v>
      </c>
      <c r="GW98" s="137" t="str">
        <f>IF(AND(SnapshotTable[[#This Row],[Exposure]] &lt;&gt; 0),SnapshotTable[[#This Row],[Exposure]] / SnapshotTable[[#Totals],[Exposure]], "")</f>
        <v/>
      </c>
      <c r="HE98" s="253"/>
      <c r="HF98" s="253"/>
      <c r="HK98" s="1"/>
      <c r="HL98" s="1"/>
      <c r="HM98" s="1"/>
      <c r="HN98" s="1"/>
      <c r="HO98" s="1"/>
      <c r="HP98" s="1"/>
    </row>
    <row r="99" spans="2:224" ht="12.75" hidden="1" customHeight="1" x14ac:dyDescent="0.25">
      <c r="B99" s="12" t="s">
        <v>869</v>
      </c>
      <c r="C99" s="385">
        <v>21.88</v>
      </c>
      <c r="D99" s="200"/>
      <c r="E99" s="39">
        <f>SnapshotTable[[#This Row],[Last Price]]*(1 -CrashDiscount)</f>
        <v>18.597999999999999</v>
      </c>
      <c r="F99" s="26"/>
      <c r="G99" s="26"/>
      <c r="H99" s="147"/>
      <c r="I99" s="186"/>
      <c r="J99" s="187"/>
      <c r="K99" s="188"/>
      <c r="L99" s="297"/>
      <c r="M99" s="138"/>
      <c r="N99" s="138"/>
      <c r="O99" s="138"/>
      <c r="P99" s="22"/>
      <c r="Q99" s="25"/>
      <c r="R99" s="4" t="str">
        <f>IF(SnapshotTable[[#This Row],[Equity Basis Total]] &gt; 0, SnapshotTable[[#This Row],[Equity Basis Total]] / SnapshotTable[[#This Row],[Equity Shares]], "")</f>
        <v/>
      </c>
      <c r="S99" s="254">
        <f>SnapshotTable[[#This Row],[Last Price]] * SnapshotTable[[#This Row],[Equity Shares]]</f>
        <v>0</v>
      </c>
      <c r="T99" s="254">
        <f>SnapshotTable[[#This Row],[Equity Value]] - SnapshotTable[[#This Row],[Equity Basis Total]]</f>
        <v>0</v>
      </c>
      <c r="U99" s="255" t="str">
        <f>IF(SnapshotTable[[#This Row],[Equity Basis Total]] &gt; 0, SnapshotTable[[#This Row],[Equity G/L]] / SnapshotTable[[#This Row],[Equity Basis Total]], "")</f>
        <v/>
      </c>
      <c r="V99" s="253"/>
      <c r="W99" s="253"/>
      <c r="X99" s="4" t="str">
        <f>IF(AND(ISNUMBER(SnapshotTable[[#This Row],[Equity Basis Per Share]]),ISNUMBER(SnapshotTable[[#This Row],[Equity Target]])),SnapshotTable[[#This Row],[Equity Target]]-SnapshotTable[[#This Row],[Equity Basis Per Share]],"")</f>
        <v/>
      </c>
      <c r="Y99" s="4" t="str">
        <f>IF(AND(ISNUMBER(SnapshotTable[[#This Row],[Equity Basis Per Share]]),ISNUMBER(SnapshotTable[[#This Row],[Equity Stop Loss]])),SnapshotTable[[#This Row],[Equity Stop Loss]]-SnapshotTable[[#This Row],[Equity Basis Per Share]],"")</f>
        <v/>
      </c>
      <c r="Z99" s="260" t="str">
        <f>IFERROR( TEXT(SnapshotTable[[#This Row],[Equity Max Gain Per Share]] /ABS( SnapshotTable[[#This Row],[Equity Max Loss Per Share]]),"0.0 " ) &amp; " : 1", "")</f>
        <v/>
      </c>
      <c r="AA99" s="31" t="str">
        <f>IF(ISNUMBER(SnapshotTable[[#This Row],[Equity Max Gain Per Share]]),SnapshotTable[[#This Row],[Equity Max Gain Per Share]] * SnapshotTable[[#This Row],[Equity Shares]],"")</f>
        <v/>
      </c>
      <c r="AB99" s="31" t="str">
        <f>IF(ISNUMBER(SnapshotTable[[#This Row],[Equity Max Loss Per Share]]),SnapshotTable[[#This Row],[Equity Max Loss Per Share]] * SnapshotTable[[#This Row],[Equity Shares]],"")</f>
        <v/>
      </c>
      <c r="AC99" s="148"/>
      <c r="AD99" s="149"/>
      <c r="AE99" s="31">
        <f>(SnapshotTable[[#This Row],[Annual Dividend Per Share]] / 4) * SnapshotTable[[#This Row],[Equity Shares]]</f>
        <v>0</v>
      </c>
      <c r="AF99" s="31">
        <f>SnapshotTable[[#This Row],[Quarterly Div $]] * 4</f>
        <v>0</v>
      </c>
      <c r="AG99" s="7">
        <f>IF(SnapshotTable[[#This Row],[Annual Dividend Per Share]]&gt;0, SnapshotTable[[#This Row],[Annual Dividend Per Share]]  / SnapshotTable[[#This Row],[Last Price]], 0)</f>
        <v>0</v>
      </c>
      <c r="AH99" s="149"/>
      <c r="AI99" s="5"/>
      <c r="AJ99" s="136"/>
      <c r="AK99" s="150" t="str">
        <f>IF(ISNUMBER( SnapshotTable[[#This Row],[EBF Target]]),(SnapshotTable[[#This Row],[EBF Target]] - SnapshotTable[[#This Row],[Last Price]]) / SnapshotTable[[#This Row],[Last Price]], "")</f>
        <v/>
      </c>
      <c r="AL99" s="150" t="str">
        <f>IF(AND(SnapshotTable[[#This Row],[Equity Basis Total]] &gt; 0,ISNUMBER( SnapshotTable[[#This Row],[Long Term Target]])), SnapshotTable[[#This Row],[From Basis $]] / SnapshotTable[[#This Row],[Equity Basis Total]], "")</f>
        <v/>
      </c>
      <c r="AM99" s="9">
        <f>IF( AND(SnapshotTable[[#This Row],[Equity Shares]] &gt;0,ISNUMBER( SnapshotTable[[#This Row],[Long Term Target]])),(SnapshotTable[[#This Row],[Equity Shares]] * SnapshotTable[[#This Row],[Long Term Target]]) - SnapshotTable[[#This Row],[Equity Basis Total]],0)</f>
        <v>0</v>
      </c>
      <c r="AN99" s="9">
        <f>IF( AND(SnapshotTable[[#This Row],[Equity Shares]] &gt;0,ISNUMBER( SnapshotTable[[#This Row],[Long Term Target]])),(SnapshotTable[[#This Row],[Equity Shares]]*SnapshotTable[[#This Row],[Long Term Target]]) - SnapshotTable[[#This Row],[Equity Value]],0)</f>
        <v>0</v>
      </c>
      <c r="AO99" s="150" t="str">
        <f>IF(AND(ISNUMBER( SnapshotTable[[#This Row],[Long Term Target]]), ISNUMBER(SnapshotTable[[#This Row],[Last Price]])),(SnapshotTable[[#This Row],[Long Term Target]] - SnapshotTable[[#This Row],[Last Price]]) / SnapshotTable[[#This Row],[Last Price]], "")</f>
        <v/>
      </c>
      <c r="AP99" s="5"/>
      <c r="AQ99" s="38"/>
      <c r="AR99" s="5"/>
      <c r="AS99" s="38"/>
      <c r="AT99" s="144"/>
      <c r="AU99" s="185" t="str">
        <f>IF(OR(SnapshotTable[[#This Row],[LP No Fill]]="Y",SnapshotTable[[#This Row],[SP Is Filled]],SnapshotTable[[#This Row],[LC Not Filled]]="Y",SnapshotTable[[#This Row],[SC Is Filled]]),"Y","")</f>
        <v/>
      </c>
      <c r="AV99" s="205"/>
      <c r="AW99" s="211"/>
      <c r="AX99" s="206"/>
      <c r="AY99" s="205" t="str">
        <f>IF(SnapshotTable[[#This Row],[Implied Move]]&gt;0, SnapshotTable[[#This Row],[Last Price]]-SnapshotTable[[#This Row],[Implied Move]],"")</f>
        <v/>
      </c>
      <c r="AZ99" s="205" t="str">
        <f>IF(SnapshotTable[[#This Row],[Implied Move]]&gt;0, SnapshotTable[[#This Row],[Last Price]] + SnapshotTable[[#This Row],[Implied Move]],"")</f>
        <v/>
      </c>
      <c r="BA99" s="302"/>
      <c r="BB99" s="318"/>
      <c r="BC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99" s="321"/>
      <c r="BE99" s="5"/>
      <c r="BF99" s="14"/>
      <c r="BG99" s="13"/>
      <c r="BH99" s="13"/>
      <c r="BI99" s="5"/>
      <c r="BJ99" s="134">
        <f>IF(SnapshotTable[[#This Row],[LP Qty]] &gt; 0, SnapshotTable[[#This Row],[LP Qty]] * SnapshotTable[[#This Row],[LP Book Price]] * 100,0)</f>
        <v>0</v>
      </c>
      <c r="BK99" s="134">
        <f>IF(SnapshotTable[[#This Row],[LP Premium]] &gt; 0, SnapshotTable[[#This Row],[LP Qty]] * SnapshotTable[[#This Row],[LP Strike Price]] * 100,0)</f>
        <v>0</v>
      </c>
      <c r="BL99" s="152"/>
      <c r="BM99" s="355" t="str">
        <f>IF(SnapshotTable[[#This Row],[LP Premium]] &gt; 0,SnapshotTable[[#This Row],[LP Exp Date]]-MAX(SnapshotTable[[#This Row],[LP Book Date]], SnapshotTable[[#This Row],[LP Fill Date]]),"")</f>
        <v/>
      </c>
      <c r="BN99" s="355" t="str">
        <f>IF(ISNUMBER( SnapshotTable[[#This Row],[LP Term]]), SnapshotTable[[#This Row],[LP Exp Date]] - MockToday,"")</f>
        <v/>
      </c>
      <c r="BO99" s="161" t="str">
        <f>IF(AND(SnapshotTable[[#This Row],[LP Exp Date]]&gt;0, SnapshotTable[[#This Row],[LP Strike Price]]&gt;0,SnapshotTable[[#This Row],[LP Qty]]&gt;0,SnapshotTable[[#This Row],[LP Book Date]]&gt;0,SnapshotTable[[#This Row],[LP Book Price]]&gt;0,SnapshotTable[[#This Row],[LP Fill Date]]=0),"Y","")</f>
        <v/>
      </c>
      <c r="BP99" s="31" t="str">
        <f>IF(AND(SnapshotTable[[#This Row],[LP No Fill]]&lt;&gt;"Y",SnapshotTable[[#This Row],[LP Contract Value]]&gt;0, SnapshotTable[[#This Row],[LP Qty]]&gt;0), SnapshotTable[[#This Row],[LP Contract Value]]*SnapshotTable[[#This Row],[LP Qty]]*100,"")</f>
        <v/>
      </c>
      <c r="BQ99" s="13"/>
      <c r="BR99" s="5"/>
      <c r="BS99" s="36"/>
      <c r="BT99" s="145"/>
      <c r="BU99" s="13"/>
      <c r="BV99" s="5"/>
      <c r="BW99" s="382" t="b">
        <f>AND(ISNUMBER(SnapshotTable[[#This Row],[SP Exp Date]]), ISNUMBER(SnapshotTable[[#This Row],[SP Strike Price]]), ISNUMBER(SnapshotTable[[#This Row],[SP Qty]]), ISNUMBER(SnapshotTable[[#This Row],[SP Book Date]]), ISNUMBER(SnapshotTable[[#This Row],[SP Book Price]]))</f>
        <v>0</v>
      </c>
      <c r="BX99" s="382" t="b">
        <f>AND(SnapshotTable[[#This Row],[SP Is Booked]], NOT(ISBLANK(SnapshotTable[[#This Row],[SP Fill Date]])))</f>
        <v>0</v>
      </c>
      <c r="BY99" s="33">
        <f>IF(SnapshotTable[[#This Row],[SP Is Booked]], SnapshotTable[[#This Row],[SP Qty]] * SnapshotTable[[#This Row],[SP Book Price]] * 100, 0)</f>
        <v>0</v>
      </c>
      <c r="BZ99" s="339"/>
      <c r="CA99" s="338">
        <f>SnapshotTable[[#This Row],[LP Qty]]</f>
        <v>0</v>
      </c>
      <c r="CB99" s="4" t="str">
        <f>IF(SnapshotTable[[#This Row],[SP Is Booked]], SnapshotTable[[#This Row],[SP Strike Price]] - SnapshotTable[[#This Row],[SP Book Price]], "")</f>
        <v/>
      </c>
      <c r="CC99" s="19" t="str">
        <f>IF(SnapshotTable[[#This Row],[SP Is Booked]],SnapshotTable[[#This Row],[SP Exp Date]]-MAX(SnapshotTable[[#This Row],[SP Book Date]], SnapshotTable[[#This Row],[SP Fill Date]]),"")</f>
        <v/>
      </c>
      <c r="CD99" s="7" t="str">
        <f>IF(SnapshotTable[[#This Row],[SP Is Booked]], SnapshotTable[[#This Row],[SP Book Price]]/SnapshotTable[[#This Row],[SP Strike Price]], "")</f>
        <v/>
      </c>
      <c r="CE99" s="7" t="str">
        <f>IF(ISNUMBER(SnapshotTable[[#This Row],[SP ROO Term]]),SnapshotTable[[#This Row],[SP ROO Term]]*(365/SnapshotTable[[#This Row],[SP Term]]),"")</f>
        <v/>
      </c>
      <c r="CF99" s="221">
        <f>SnapshotTable[[#This Row],[LP Strike Price]] * SnapshotTable[[#This Row],[LP Qty]] * 100</f>
        <v>0</v>
      </c>
      <c r="CG99" s="31">
        <f>IF(ISNUMBER(SnapshotTable[[#This Row],[SP Premium]]), (SnapshotTable[[#This Row],[SP Qty]] * SnapshotTable[[#This Row],[SP Strike Price]]* 100) - SnapshotTable[[#This Row],[LP Protection]], 0)</f>
        <v>0</v>
      </c>
      <c r="CH99" s="7" t="str">
        <f>IF(ISNUMBER(SnapshotTable[[#This Row],[SP Break Even]]),-1 * (SnapshotTable[[#This Row],[SP Break Even]] - SnapshotTable[[#This Row],[Last Price]]) / SnapshotTable[[#This Row],[Last Price]], "")</f>
        <v/>
      </c>
      <c r="CI99" s="31">
        <f>IF(AND(ISNUMBER((SnapshotTable[[#This Row],[SP Potential Spend]])), SnapshotTable[[#This Row],[SP Strike Price]] &gt; SnapshotTable[[#This Row],[Last Price]], SnapshotTable[[#This Row],[SP Is Filled]]), SnapshotTable[[#This Row],[SP Potential Spend]] -  SnapshotTable[[#This Row],[LP Max Value]], 0)</f>
        <v>0</v>
      </c>
      <c r="CJ99" s="229"/>
      <c r="CK99" s="31">
        <f>IF(ISNUMBER(SnapshotTable[[#This Row],[SP Potential Spend]]),IF(ISNUMBER(SnapshotTable[[#This Row],[SP POW]]), SnapshotTable[[#This Row],[SP POW]] * SnapshotTable[[#This Row],[SP Potential Spend]], SnapshotTable[[#This Row],[SP Potential Spend]]), "")</f>
        <v>0</v>
      </c>
      <c r="CL99" s="162">
        <f>IF(NOT(SnapshotTable[[#This Row],[SP Is Filled]]),(SnapshotTable[[#This Row],[SP Qty]] * SnapshotTable[[#This Row],[SP Strike Price]] * 100) - SnapshotTable[[#This Row],[LP Max Value]],"")</f>
        <v>0</v>
      </c>
      <c r="CM99" s="31" t="str">
        <f>IF(SnapshotTable[[#This Row],[SP Actual Spend]]&lt;&gt;0, ((SnapshotTable[[#This Row],[SP Strike Price]]-SnapshotTable[[#This Row],[Last Price]]) *(SnapshotTable[[#This Row],[SP Qty]]*100) - SnapshotTable[[#This Row],[SP Premium]]) * - 1, "")</f>
        <v/>
      </c>
      <c r="CN99" s="76"/>
      <c r="CO99" s="339"/>
      <c r="CP99" s="4" t="str">
        <f>IF(SnapshotTable[[#This Row],[SP Is Filled]], btc_max_buyback_amount(SnapshotTable[[#This Row],[SP Fill Date]],SnapshotTable[[#This Row],[SP Exp Date]], SnapshotTable[[#This Row],[SP Book Price]]),"")</f>
        <v/>
      </c>
      <c r="CQ99" s="76"/>
      <c r="CR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99" s="153" t="str">
        <f>IF(SnapshotTable[[#This Row],[SP Is Filled]], btc_next_cutoff_date(SnapshotTable[[#This Row],[SP Fill Date]],SnapshotTable[[#This Row],[SP Exp Date]]),"")</f>
        <v/>
      </c>
      <c r="CT99" s="220" t="str" cm="1">
        <f t="array" ref="CT99">IF(SnapshotTable[[#This Row],[SP Is Filled]], btc_should_buy_back(SnapshotTable[[#This Row],[SP Fill Date]], SnapshotTable[[#This Row],[SP Exp Date]], SnapshotTable[[#This Row],[SP Book Price]], SnapshotTable[[#This Row],[SP Current Ask]], MockToday, SnapshotTable[[#This Row],[SP Buyback Override]]),"")</f>
        <v/>
      </c>
      <c r="CU99" s="154"/>
      <c r="CV99" s="220"/>
      <c r="CW99" s="348" t="str">
        <f>IF(ISNUMBER( SnapshotTable[[#This Row],[SP Term]]), SnapshotTable[[#This Row],[SP Exp Date]] - MockToday,"")</f>
        <v/>
      </c>
      <c r="CX99" s="31" t="str">
        <f>IF(SnapshotTable[[#This Row],[SP Is Filled]],SnapshotTable[[#This Row],[SP Buyback Price to Use]] * 100 * SnapshotTable[[#This Row],[SP Qty]], "")</f>
        <v/>
      </c>
      <c r="CY99" s="4" t="str">
        <f>IF(ISNUMBER(SnapshotTable[[#This Row],[SP Strike Price]]), SnapshotTable[[#This Row],[SP Strike Price]] * (1 - SP_MaxLoss_StrikePct), "")</f>
        <v/>
      </c>
      <c r="CZ99" s="31" t="str">
        <f>IF(ISNUMBER(SnapshotTable[[#This Row],[SP Strike  Stop Per Share]]),SnapshotTable[[#This Row],[SP Premium]] - ((SnapshotTable[[#This Row],[SP Strike Price]]-SnapshotTable[[#This Row],[SP Strike  Stop Per Share]]) *(SnapshotTable[[#This Row],[SP Qty]] * 100)),"")</f>
        <v/>
      </c>
      <c r="DA99" s="4" t="str">
        <f>IF(AND(ISNUMBER(SnapshotTable[[#This Row],[SP Premium]]),SnapshotTable[[#This Row],[SP Premium]]&gt;0), SnapshotTable[[#This Row],[SP Book Price]] * (1 + SP_MaxLoss_OptionPct), "")</f>
        <v/>
      </c>
      <c r="DB99" s="31" t="str">
        <f>IF(ISNUMBER(SnapshotTable[[#This Row],[SP Option  Stop Contract]]),(SnapshotTable[[#This Row],[SP Option  Stop Contract]] *(SnapshotTable[[#This Row],[SP Qty]] * 100) - SnapshotTable[[#This Row],[SP Premium]]),"")</f>
        <v/>
      </c>
      <c r="DC99" s="4"/>
      <c r="DD99" s="4"/>
      <c r="DE99" s="4" t="str">
        <f>IF(AND(SnapshotTable[[#This Row],[SP Qty]]&gt;0, SnapshotTable[[#This Row],[SP Stop To Use]]&gt;0),SnapshotTable[[#This Row],[SP Premium]] - ( SnapshotTable[[#This Row],[SP Qty]] * SnapshotTable[[#This Row],[SP Stop To Use]] * 100), "")</f>
        <v/>
      </c>
      <c r="DF99" s="31" t="str">
        <f>IF(AND(SnapshotTable[[#This Row],[SP Qty]]&gt;0,SnapshotTable[[#This Row],[SP Current Ask]]&gt;0), SnapshotTable[[#This Row],[SP Qty]] * SnapshotTable[[#This Row],[SP Current Ask]] * -100, "")</f>
        <v/>
      </c>
      <c r="DG99" s="31" t="str">
        <f>IF(ISNUMBER((SnapshotTable[[#This Row],[SP Total Value]])), SnapshotTable[[#This Row],[SP Premium]] + SnapshotTable[[#This Row],[SP Total Value]], "")</f>
        <v/>
      </c>
      <c r="DH99" s="272" t="str">
        <f>IF(ISNUMBER((SnapshotTable[[#This Row],[SP Total Value]])), SnapshotTable[[#This Row],[SP Gain Loss]] / SnapshotTable[[#This Row],[SP Premium]], "")</f>
        <v/>
      </c>
      <c r="DI99" s="369"/>
      <c r="DJ99" s="136"/>
      <c r="DK99" s="146"/>
      <c r="DL99" s="13"/>
      <c r="DM99" s="13"/>
      <c r="DO99" s="31">
        <f>IF(SnapshotTable[[#This Row],[LC Symbol Count]]=1, SnapshotTable[[#This Row],[LC Qty]] * SnapshotTable[[#This Row],[LC Book Price]] * 100, 0)</f>
        <v>0</v>
      </c>
      <c r="DP99" s="161" t="str">
        <f>IF(AND(SnapshotTable[[#This Row],[LC Exp Date]]&gt;0, SnapshotTable[[#This Row],[LC Strike Price]]&gt;0,SnapshotTable[[#This Row],[LC Qty]]&gt;0,SnapshotTable[[#This Row],[LC Book Date]]&gt;0,SnapshotTable[[#This Row],[LC Book Price]]&gt;0,SnapshotTable[[#This Row],[LC Fill Date]]=0),"Y","")</f>
        <v/>
      </c>
      <c r="DQ99" s="356" t="str">
        <f>IF(SnapshotTable[[#This Row],[LC Premium]] &gt; 0,SnapshotTable[[#This Row],[LC Exp Date]]-MAX(SnapshotTable[[#This Row],[LC Book Date]], SnapshotTable[[#This Row],[LC Fill Date]]),"")</f>
        <v/>
      </c>
      <c r="DR99" s="356" t="str">
        <f>IF(ISNUMBER(SnapshotTable[[#This Row],[LC Term]]), SnapshotTable[[#This Row],[LC Exp Date]] - MockToday, "")</f>
        <v/>
      </c>
      <c r="DS99" s="219" t="str">
        <f>IF(SnapshotTable[[#This Row],[LC Premium]]&gt;0,SnapshotTable[[#This Row],[LC Strike Price]] + SnapshotTable[[#This Row],[LC Book Price]],"")</f>
        <v/>
      </c>
      <c r="DU99" s="9" t="str">
        <f>IF(AND(SnapshotTable[[#This Row],[LC Symbol Count]]&gt;0, SnapshotTable[[#This Row],[LC Contract Value]]&gt;0), SnapshotTable[[#This Row],[LC Contract Value]] * SnapshotTable[[#This Row],[LC Qty]] * 100, "")</f>
        <v/>
      </c>
      <c r="DV99" s="9" t="str">
        <f>IF(AND(ISNUMBER(SnapshotTable[[#This Row],[LC Total Value]]), SnapshotTable[[#This Row],[LC Not Filled]]&lt;&gt;"Y"), SnapshotTable[[#This Row],[LC Total Value]]-SnapshotTable[[#This Row],[LC Premium]],"")</f>
        <v/>
      </c>
      <c r="DW99" s="225" t="str">
        <f>IF(ISNUMBER(SnapshotTable[[#This Row],[LC Actual Gain Loss]]), SnapshotTable[[#This Row],[LC Actual Gain Loss]] / SnapshotTable[[#This Row],[LC Premium]],"")</f>
        <v/>
      </c>
      <c r="DX99" s="269" t="str">
        <f>IF(ISNUMBER(SnapshotTable[[#This Row],[LC Book Price]]),SnapshotTable[[#This Row],[LC Book Price]] * 1.5,"")</f>
        <v/>
      </c>
      <c r="DY99" s="250" t="str">
        <f>IF(SnapshotTable[[#This Row],[LC Premium]]&gt;0, SnapshotTable[[#This Row],[LC Next Target]] * SnapshotTable[[#This Row],[LC Qty]] * 100,"")</f>
        <v/>
      </c>
      <c r="DZ99" s="250" t="str">
        <f>IF(ISNUMBER(SnapshotTable[[#This Row],[LC Target Gross]]), SnapshotTable[[#This Row],[LC Target Gross]] - SnapshotTable[[#This Row],[LC Premium]], "")</f>
        <v/>
      </c>
      <c r="EA99" s="283" t="str">
        <f>IF(ISNUMBER(SnapshotTable[[#This Row],[LC Target Gain Loss]]), SnapshotTable[[#This Row],[LC Target Gain Loss]]/SnapshotTable[[#This Row],[LC Premium]], "")</f>
        <v/>
      </c>
      <c r="EB99" s="247"/>
      <c r="EC99" s="268" t="str">
        <f>IF(SnapshotTable[[#This Row],[LC Premium]]&gt;0, SnapshotTable[[#This Row],[LC Book Price]] * (1 - LC_StopLoss_Pct),"")</f>
        <v/>
      </c>
      <c r="ED99" s="269"/>
      <c r="EE99" s="268" t="str">
        <f>IF(ISNUMBER(SnapshotTable[[#This Row],[LC Contract Value]]),IF(ISNUMBER(SnapshotTable[[#This Row],[LC Stop Loss Override]]), SnapshotTable[[#This Row],[LC Stop Loss Override]],SnapshotTable[[#This Row],[LC Stop Loss Calc Target]]),"")</f>
        <v/>
      </c>
      <c r="EF99" s="31" t="str">
        <f>IF(ISNUMBER(SnapshotTable[[#This Row],[LC Stop  To Use]]), (SnapshotTable[[#This Row],[LC Stop  To Use]] * SnapshotTable[[#This Row],[LC Qty]] * 100),"")</f>
        <v/>
      </c>
      <c r="EG99" s="9" t="str">
        <f>IF(ISNUMBER(SnapshotTable[[#This Row],[LC Total Value]]),SnapshotTable[[#This Row],[LC Stop Loss Amount]] - SnapshotTable[[#This Row],[LC Premium]],"")</f>
        <v/>
      </c>
      <c r="EH99" s="9">
        <f>IF(ISNUMBER(SnapshotTable[[#This Row],[LC Premium]]), SnapshotTable[[#This Row],[LC Qty]] * 100 * SnapshotTable[[#This Row],[LC Strike Price]], "")</f>
        <v>0</v>
      </c>
      <c r="EI99" s="225" t="str">
        <f>IF(AND(ISNUMBER(SnapshotTable[[#This Row],[LC Total Value]]),SnapshotTable[[#This Row],[LC Total Value]]&gt;0),SnapshotTable[[#This Row],[LC Stop Gain Loss]]  / SnapshotTable[[#This Row],[LC Premium]],"")</f>
        <v/>
      </c>
      <c r="EJ99" s="35">
        <f>IF(ISNUMBER(SnapshotTable[[#This Row],[Equity Shares]]),TRUNC(SnapshotTable[[#This Row],[Equity Shares]] / 100),0) + SnapshotTable[[#This Row],[LC Qty]]</f>
        <v>0</v>
      </c>
      <c r="EK99" s="145"/>
      <c r="EL99" s="136"/>
      <c r="EM99" s="146"/>
      <c r="EN99" s="145"/>
      <c r="EO99" s="145"/>
      <c r="EP99" s="136"/>
      <c r="EQ99" s="382" t="b">
        <f>AND(ISNUMBER(SnapshotTable[[#This Row],[SC Exp Date]]), ISNUMBER(SnapshotTable[[#This Row],[SC Strike Price]]), ISNUMBER(SnapshotTable[[#This Row],[SC Qty]]), ISNUMBER(SnapshotTable[[#This Row],[SC Book Date]]), ISNUMBER(SnapshotTable[[#This Row],[SC Book Price]]))</f>
        <v>0</v>
      </c>
      <c r="ER99" s="382" t="b">
        <f>AND(SnapshotTable[[#This Row],[SC Is Booked]], NOT(ISBLANK(SnapshotTable[[#This Row],[SC Fill Date]])))</f>
        <v>0</v>
      </c>
      <c r="ES99" s="340"/>
      <c r="ET99" s="34" t="str">
        <f>IF(AND(ISNUMBER(SnapshotTable[[#This Row],[SC Exp Date]]), ISNUMBER(SnapshotTable[[#This Row],[SC Book Date]])), SnapshotTable[[#This Row],[SC Exp Date]] - MAX(SnapshotTable[[#This Row],[SC Book Date]], SnapshotTable[[#This Row],[SC Fill Date]]) + 1, "")</f>
        <v/>
      </c>
      <c r="EU99" s="34" t="str">
        <f>IF(ISNUMBER(SnapshotTable[[#This Row],[SC Term]]), SnapshotTable[[#This Row],[SC Exp Date]]- MockToday, "")</f>
        <v/>
      </c>
      <c r="EV99" s="31">
        <f>IF(SnapshotTable[[#This Row],[SC Is Booked]], SnapshotTable[[#This Row],[SC Qty]] * SnapshotTable[[#This Row],[SC Book Price]] * 100, 0)</f>
        <v>0</v>
      </c>
      <c r="EW99" s="4" t="str">
        <f>IF(AND(ISNUMBER(SnapshotTable[[#This Row],[Last Price]]), ISNUMBER( SnapshotTable[[#This Row],[SC Book Price]])), SnapshotTable[[#This Row],[Last Price]] - SnapshotTable[[#This Row],[SC Book Price]],"")</f>
        <v/>
      </c>
      <c r="EX99" s="219" t="str">
        <f>IF(SnapshotTable[[#This Row],[SC Is Booked]],IF(SnapshotTable[[#This Row],[SC Intrinsic Value]] &gt; 0, SnapshotTable[[#This Row],[SC Strike Price]], SnapshotTable[[#This Row],[Last Price]]), "")</f>
        <v/>
      </c>
      <c r="EY99" s="4">
        <f>IF(SnapshotTable[[#This Row],[SC Is Booked]], (MinimumPremiumRequired * SnapshotTable[[#This Row],[SC Basis]] * SnapshotTable[[#This Row],[SC Term]]), 0)</f>
        <v>0</v>
      </c>
      <c r="EZ99" s="268"/>
      <c r="FA99" s="204"/>
      <c r="FB99" s="340"/>
      <c r="FC99" s="4">
        <f>IF(SnapshotTable[[#This Row],[SC Is Filled]], btc_max_buyback_amount(SnapshotTable[[#This Row],[SC Fill Date]],SnapshotTable[[#This Row],[SC Exp Date]], SnapshotTable[[#This Row],[SC Book Price]]),0)</f>
        <v>0</v>
      </c>
      <c r="FD99" s="5"/>
      <c r="FE99" s="142" t="str">
        <f>IF(SnapshotTable[[#This Row],[SC Is Filled]], btc_next_cutoff_date(SnapshotTable[[#This Row],[SC Fill Date]],SnapshotTable[[#This Row],[SC Exp Date]]),"")</f>
        <v/>
      </c>
      <c r="FF99" s="4" t="str" cm="1">
        <f t="array" ref="FF99">IF(SnapshotTable[[#This Row],[SC Is Filled]], btc_should_buy_back(SnapshotTable[[#This Row],[SC Fill Date]], SnapshotTable[[#This Row],[SC Exp Date]], SnapshotTable[[#This Row],[SC Book Price]], SnapshotTable[[#This Row],[SC Current Ask]], MockToday, SnapshotTable[[#This Row],[SC Buyback Override]]),"")</f>
        <v/>
      </c>
      <c r="FG99" s="4">
        <f>IF(SnapshotTable[[#This Row],[SC Is Filled]], MAX(0,SnapshotTable[[#This Row],[Last Price]]  - SnapshotTable[[#This Row],[SC Strike Price]]), 0)</f>
        <v>0</v>
      </c>
      <c r="FH99" s="352">
        <f>IF(SnapshotTable[[#This Row],[SC Is Filled]], IF(ISNUMBER(SnapshotTable[[#This Row],[SC Current Ask]]), SnapshotTable[[#This Row],[SC Current Ask]], SnapshotTable[[#This Row],[SC Book Price]]) - SnapshotTable[[#This Row],[SC Intrinsic Value]], 0)</f>
        <v>0</v>
      </c>
      <c r="FI99" s="141"/>
      <c r="FJ99" s="32" t="str">
        <f>IF(SnapshotTable[[#This Row],[SC Is Filled]],100 * SnapshotTable[[#This Row],[SC Qty]] * IF(ISNUMBER(SnapshotTable[[#This Row],[SC Buyback Override]]), SnapshotTable[[#This Row],[SC Buyback Override]], SnapshotTable[[#This Row],[SC Current Ask]]), "")</f>
        <v/>
      </c>
      <c r="FK99" s="235" t="str">
        <f>IF(SnapshotTable[[#This Row],[SC Time Val]]&gt;0, SnapshotTable[[#This Row],[SC Time Val]] / SnapshotTable[[#This Row],[Last Price]],"")</f>
        <v/>
      </c>
      <c r="FL99" s="280" t="str">
        <f>IF(SnapshotTable[[#This Row],[SC Is Booked]], ((SnapshotTable[[#This Row],[Last Price]] -SnapshotTable[[#This Row],[SC Strike Price]]) / SnapshotTable[[#This Row],[Last Price]]) * -1, "")</f>
        <v/>
      </c>
      <c r="FM99" s="155" t="str">
        <f>IF(SnapshotTable[[#This Row],[SC Is Booked]],  (SnapshotTable[[#This Row],[SC Qty]] * 100 * SnapshotTable[[#This Row],[SC Strike Price]]) - SnapshotTable[[#This Row],[SC Current Ask]], "")</f>
        <v/>
      </c>
      <c r="FN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99" s="31" t="str">
        <f>IF(AND(ISNUMBER(SnapshotTable[[#This Row],[SC Exercise Gross]]), ISNUMBER(SnapshotTable[[#This Row],[Equity Basis Per Share]] )), SnapshotTable[[#This Row],[SC Exercise Gross]] - SnapshotTable[[#This Row],[Equity Basis Total]] +  SnapshotTable[[#This Row],[SC Premium]], "")</f>
        <v/>
      </c>
      <c r="FP99" s="5" t="str">
        <f>IF(ISNUMBER(SnapshotTable[[#This Row],[SC Exercise Gross]]), (SnapshotTable[[#This Row],[SC Exercise Gross]]) / (SnapshotTable[[#This Row],[SC Qty]] * 100), "")</f>
        <v/>
      </c>
      <c r="FQ99" s="27" t="str">
        <f>IF(SnapshotTable[[#This Row],[SC Is Booked]],SnapshotTable[[#This Row],[SC Time Val]] /SnapshotTable[[#This Row],[SC Basis]], "")</f>
        <v/>
      </c>
      <c r="FR99" s="27" t="str" cm="1">
        <f t="array" ref="FR99">IF(AND(ISNUMBER(SnapshotTable[[#This Row],[SC Term]]),ISNUMBER(SnapshotTable[[#This Row],[SC Simple ROO]])), EllmanAnnualize(SnapshotTable[[#This Row],[SC DTE]], SnapshotTable[[#This Row],[SC Simple ROO]] ),"")</f>
        <v/>
      </c>
      <c r="FS99" s="4">
        <f>IF(SnapshotTable[[#This Row],[SC Strike Price]] &gt; SnapshotTable[[#This Row],[Last Price]], SnapshotTable[[#This Row],[SC Strike Price]] - SnapshotTable[[#This Row],[Last Price]],0)</f>
        <v>0</v>
      </c>
      <c r="FT99" s="27" t="str">
        <f>IF(AND(ISNUMBER(SnapshotTable[[#This Row],[SC Upside Potential]]), SnapshotTable[[#This Row],[SC Upside Potential]] &gt; 0),(SnapshotTable[[#This Row],[SC Upside Potential]]/ SnapshotTable[[#This Row],[ACB]]),"")</f>
        <v/>
      </c>
      <c r="FU99" s="304" t="str">
        <f>IF(SnapshotTable[[#This Row],[SC Intrinsic Value]] &gt; 0,SnapshotTable[[#This Row],[SC Intrinsic Value]],"")</f>
        <v/>
      </c>
      <c r="FV99" s="27" t="str">
        <f>IF(AND( ISNUMBER( SnapshotTable[[#This Row],[ACB]]),ISNUMBER(SnapshotTable[[#This Row],[SC Downside Protect]])),SnapshotTable[[#This Row],[SC Downside Protect]] / SnapshotTable[[#This Row],[ACB]],"")</f>
        <v/>
      </c>
      <c r="FW99" s="221" t="str">
        <f>IF(AND(ISNUMBER(SnapshotTable[[#This Row],[SC Simple ROO]]),SnapshotTable[[#This Row],[SC Simple ROO]] &gt; 0), SnapshotTable[[#This Row],[SC Premium]] + (SnapshotTable[[#This Row],[SC Qty]] * SnapshotTable[[#This Row],[SC Upside Potential]]), "")</f>
        <v/>
      </c>
      <c r="FX99" s="280" t="str" cm="1">
        <f t="array" ref="FX99">IF(ISNUMBER(SnapshotTable[[#This Row],[SC Max Dollars]]), annualize(SnapshotTable[[#This Row],[SC Term]],(SnapshotTable[[#This Row],[SC Max Dollars]]/SnapshotTable[[#This Row],[SC Basis]])),"")</f>
        <v/>
      </c>
      <c r="FY99" s="221" t="str">
        <f>IF(AND(SnapshotTable[[#This Row],[SC Qty]]&gt;0,SnapshotTable[[#This Row],[SC Current Ask]]&gt;0), SnapshotTable[[#This Row],[SC Qty]] * SnapshotTable[[#This Row],[SC Current Ask]] * -100, "")</f>
        <v/>
      </c>
      <c r="FZ99" s="31" t="str">
        <f>IF(ISNUMBER((SnapshotTable[[#This Row],[SC Current Value]])), SnapshotTable[[#This Row],[SC Premium]] + SnapshotTable[[#This Row],[SC Current Value]], "")</f>
        <v/>
      </c>
      <c r="GA99" s="272" t="str">
        <f>IFERROR( IF(ISNUMBER((SnapshotTable[[#This Row],[SC Current Value]])), SnapshotTable[[#This Row],[SC Gain Loss]] / SnapshotTable[[#This Row],[SC Premium]], ""), "")</f>
        <v/>
      </c>
      <c r="GB99" s="42">
        <f>SnapshotTable[[#This Row],[Equity Shares]] * SaleSharesToConsiderPercentage</f>
        <v>0</v>
      </c>
      <c r="GC99" s="40">
        <f>SnapshotTable[[#This Row],[Long Term Target]] * SellingPriceToConsiderBasedOnTargetPercentage</f>
        <v>0</v>
      </c>
      <c r="GD99" s="40">
        <f>SnapshotTable[[#This Row],[Last Price]] * (1+ SellingPriceToConsiderBasedOnTargetPercentage)</f>
        <v>42.665999999999997</v>
      </c>
      <c r="GE99" s="41"/>
      <c r="GF99" s="40"/>
      <c r="GG99" s="31">
        <f>SnapshotTable[[#This Row],[Booked Sale Shares]] * SnapshotTable[[#This Row],[Booked Sale Price]]</f>
        <v>0</v>
      </c>
      <c r="GH99" s="31" t="str">
        <f>IF(SnapshotTable[[#This Row],[Equity Basis Total]] &gt; 0, SnapshotTable[[#This Row],[Equity Basis Per Share]] * SnapshotTable[[#This Row],[Booked Sale Shares]], "")</f>
        <v/>
      </c>
      <c r="GI99" s="31">
        <f>IF(SnapshotTable[[#This Row],[Sale Proceeds]]&gt;0, SnapshotTable[[#This Row],[Sale Proceeds]] - SnapshotTable[[#This Row],[Sale Basis]], 0)</f>
        <v>0</v>
      </c>
      <c r="GJ99" s="27" t="str">
        <f>IF(SnapshotTable[[#This Row],[Sale G/L]]&gt;0, SnapshotTable[[#This Row],[Sale G/L]] / SnapshotTable[[#This Row],[Sale Basis]], IF(ISNUMBER(SnapshotTable[[#This Row],[SC Exercise P&amp;L (TAX)]]), SnapshotTable[[#This Row],[SC Exercise P&amp;L (TAX)]] / SnapshotTable[[#This Row],[SC Basis]], ""))</f>
        <v/>
      </c>
      <c r="GK99" s="27" t="s">
        <v>873</v>
      </c>
      <c r="GL99" s="43" t="str">
        <f>IF(AND(SnapshotTable[[#This Row],[LP Exp Date]]&gt;0,SnapshotTable[[#This Row],[LP Strike Price]]&gt;0), [1]!ToOptionSymbol(SnapshotTable[[#This Row],[Symbol]], SnapshotTable[[#This Row],[LP Strike Price]],SnapshotTable[[#This Row],[LP Exp Date]],1), "")</f>
        <v/>
      </c>
      <c r="GM99" s="30" t="str">
        <f>IF(LEN(SnapshotTable[[#This Row],[LP Symbol]])&gt;0, 1, "")</f>
        <v/>
      </c>
      <c r="GN99" s="43" t="str">
        <f>IF(AND(SnapshotTable[[#This Row],[SP Exp Date]]&gt;0,SnapshotTable[[#This Row],[SP Strike Price]]&gt;0), [1]!ToOptionSymbol(SnapshotTable[[#This Row],[Symbol]], SnapshotTable[[#This Row],[SP Strike Price]],SnapshotTable[[#This Row],[SP Exp Date]],1), "")</f>
        <v/>
      </c>
      <c r="GO99" s="30" t="str">
        <f>IF(LEN(SnapshotTable[[#This Row],[SP Symbol]])&gt;0, 1, "")</f>
        <v/>
      </c>
      <c r="GP99" s="43" t="str">
        <f>IF(AND(SnapshotTable[[#This Row],[LC Exp Date]]&gt;0,SnapshotTable[[#This Row],[LC Strike Price]]&gt;0), [1]!ToOptionSymbol(SnapshotTable[[#This Row],[Symbol]], SnapshotTable[[#This Row],[LC Strike Price]],SnapshotTable[[#This Row],[LC Exp Date]],0), "")</f>
        <v/>
      </c>
      <c r="GQ99" s="30" t="str">
        <f>IF(LEN(SnapshotTable[[#This Row],[LC Symbol]])&gt;0, 1, "")</f>
        <v/>
      </c>
      <c r="GR99" s="43" t="str">
        <f>IF(AND(SnapshotTable[[#This Row],[SC Exp Date]]&gt;0,SnapshotTable[[#This Row],[SC Strike Price]]&gt;0), [1]!ToOptionSymbol(SnapshotTable[[#This Row],[Symbol]], SnapshotTable[[#This Row],[SC Strike Price]],SnapshotTable[[#This Row],[SC Exp Date]],0), "")</f>
        <v/>
      </c>
      <c r="GS99" s="30" t="str">
        <f>IF(LEN(SnapshotTable[[#This Row],[SC Symbol]])&gt;0, 1, "")</f>
        <v/>
      </c>
      <c r="GT99" s="29" t="str">
        <f>IF(COUNT(SnapshotTable[[#This Row],[LP Symbol Count]],SnapshotTable[[#This Row],[SP Symbol Count]],SnapshotTable[[#This Row],[LC Symbol Count]],SnapshotTable[[#This Row],[SC Symbol Count]])&gt;0, "Y", "")</f>
        <v/>
      </c>
      <c r="GU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99" s="216">
        <f>MAX(SnapshotTable[[#This Row],[Equity Basis Total]],SnapshotTable[[#This Row],[Equity Value]]) + (SnapshotTable[[#This Row],[SP Potential Spend]]- SnapshotTable[[#This Row],[SP Premium]] + SnapshotTable[[#This Row],[LP Premium]])+ (SnapshotTable[[#This Row],[LC Premium]] - SnapshotTable[[#This Row],[SC Premium]])</f>
        <v>0</v>
      </c>
      <c r="GW99" s="137" t="str">
        <f>IF(AND(SnapshotTable[[#This Row],[Exposure]] &lt;&gt; 0),SnapshotTable[[#This Row],[Exposure]] / SnapshotTable[[#Totals],[Exposure]], "")</f>
        <v/>
      </c>
      <c r="HE99" s="253"/>
      <c r="HF99" s="253"/>
      <c r="HK99" s="1"/>
      <c r="HL99" s="1"/>
      <c r="HM99" s="1"/>
      <c r="HN99" s="1"/>
      <c r="HO99" s="1"/>
      <c r="HP99" s="1"/>
    </row>
    <row r="100" spans="2:224" ht="12.75" hidden="1" customHeight="1" x14ac:dyDescent="0.25">
      <c r="B100" s="12" t="s">
        <v>869</v>
      </c>
      <c r="C100" s="385">
        <v>21.88</v>
      </c>
      <c r="D100" s="200"/>
      <c r="E100" s="39">
        <f>SnapshotTable[[#This Row],[Last Price]]*(1 -CrashDiscount)</f>
        <v>18.597999999999999</v>
      </c>
      <c r="F100" s="26" t="s">
        <v>650</v>
      </c>
      <c r="G100" s="26" t="s">
        <v>629</v>
      </c>
      <c r="H100" s="147"/>
      <c r="I100" s="186">
        <v>45161</v>
      </c>
      <c r="J100" s="187"/>
      <c r="K100" s="188"/>
      <c r="L100" s="297"/>
      <c r="M100" s="138"/>
      <c r="N100" s="138"/>
      <c r="O100" s="138"/>
      <c r="P100" s="22"/>
      <c r="Q100" s="25"/>
      <c r="R100" s="4" t="str">
        <f>IF(SnapshotTable[[#This Row],[Equity Basis Total]] &gt; 0, SnapshotTable[[#This Row],[Equity Basis Total]] / SnapshotTable[[#This Row],[Equity Shares]], "")</f>
        <v/>
      </c>
      <c r="S100" s="254">
        <f>SnapshotTable[[#This Row],[Last Price]] * SnapshotTable[[#This Row],[Equity Shares]]</f>
        <v>0</v>
      </c>
      <c r="T100" s="254">
        <f>SnapshotTable[[#This Row],[Equity Value]] - SnapshotTable[[#This Row],[Equity Basis Total]]</f>
        <v>0</v>
      </c>
      <c r="U100" s="255" t="str">
        <f>IF(SnapshotTable[[#This Row],[Equity Basis Total]] &gt; 0, SnapshotTable[[#This Row],[Equity G/L]] / SnapshotTable[[#This Row],[Equity Basis Total]], "")</f>
        <v/>
      </c>
      <c r="V100" s="253">
        <v>48.68</v>
      </c>
      <c r="W100" s="253">
        <v>44.76</v>
      </c>
      <c r="X100" s="4" t="str">
        <f>IF(AND(ISNUMBER(SnapshotTable[[#This Row],[Equity Basis Per Share]]),ISNUMBER(SnapshotTable[[#This Row],[Equity Target]])),SnapshotTable[[#This Row],[Equity Target]]-SnapshotTable[[#This Row],[Equity Basis Per Share]],"")</f>
        <v/>
      </c>
      <c r="Y100" s="4" t="str">
        <f>IF(AND(ISNUMBER(SnapshotTable[[#This Row],[Equity Basis Per Share]]),ISNUMBER(SnapshotTable[[#This Row],[Equity Stop Loss]])),SnapshotTable[[#This Row],[Equity Stop Loss]]-SnapshotTable[[#This Row],[Equity Basis Per Share]],"")</f>
        <v/>
      </c>
      <c r="Z100" s="260" t="str">
        <f>IFERROR( TEXT(SnapshotTable[[#This Row],[Equity Max Gain Per Share]] /ABS( SnapshotTable[[#This Row],[Equity Max Loss Per Share]]),"0.0 " ) &amp; " : 1", "")</f>
        <v/>
      </c>
      <c r="AA100" s="31" t="str">
        <f>IF(ISNUMBER(SnapshotTable[[#This Row],[Equity Max Gain Per Share]]),SnapshotTable[[#This Row],[Equity Max Gain Per Share]] * SnapshotTable[[#This Row],[Equity Shares]],"")</f>
        <v/>
      </c>
      <c r="AB100" s="31" t="str">
        <f>IF(ISNUMBER(SnapshotTable[[#This Row],[Equity Max Loss Per Share]]),SnapshotTable[[#This Row],[Equity Max Loss Per Share]] * SnapshotTable[[#This Row],[Equity Shares]],"")</f>
        <v/>
      </c>
      <c r="AC100" s="148"/>
      <c r="AD100" s="149"/>
      <c r="AE100" s="31">
        <f>(SnapshotTable[[#This Row],[Annual Dividend Per Share]] / 4) * SnapshotTable[[#This Row],[Equity Shares]]</f>
        <v>0</v>
      </c>
      <c r="AF100" s="31">
        <f>SnapshotTable[[#This Row],[Quarterly Div $]] * 4</f>
        <v>0</v>
      </c>
      <c r="AG100" s="7">
        <f>IF(SnapshotTable[[#This Row],[Annual Dividend Per Share]]&gt;0, SnapshotTable[[#This Row],[Annual Dividend Per Share]]  / SnapshotTable[[#This Row],[Last Price]], 0)</f>
        <v>0</v>
      </c>
      <c r="AH100" s="149"/>
      <c r="AI100" s="5"/>
      <c r="AJ100" s="136"/>
      <c r="AK100" s="150" t="str">
        <f>IF(ISNUMBER( SnapshotTable[[#This Row],[EBF Target]]),(SnapshotTable[[#This Row],[EBF Target]] - SnapshotTable[[#This Row],[Last Price]]) / SnapshotTable[[#This Row],[Last Price]], "")</f>
        <v/>
      </c>
      <c r="AL100" s="150" t="str">
        <f>IF(AND(SnapshotTable[[#This Row],[Equity Basis Total]] &gt; 0,ISNUMBER( SnapshotTable[[#This Row],[Long Term Target]])), SnapshotTable[[#This Row],[From Basis $]] / SnapshotTable[[#This Row],[Equity Basis Total]], "")</f>
        <v/>
      </c>
      <c r="AM100" s="9">
        <f>IF( AND(SnapshotTable[[#This Row],[Equity Shares]] &gt;0,ISNUMBER( SnapshotTable[[#This Row],[Long Term Target]])),(SnapshotTable[[#This Row],[Equity Shares]] * SnapshotTable[[#This Row],[Long Term Target]]) - SnapshotTable[[#This Row],[Equity Basis Total]],0)</f>
        <v>0</v>
      </c>
      <c r="AN100" s="9">
        <f>IF( AND(SnapshotTable[[#This Row],[Equity Shares]] &gt;0,ISNUMBER( SnapshotTable[[#This Row],[Long Term Target]])),(SnapshotTable[[#This Row],[Equity Shares]]*SnapshotTable[[#This Row],[Long Term Target]]) - SnapshotTable[[#This Row],[Equity Value]],0)</f>
        <v>0</v>
      </c>
      <c r="AO100" s="150" t="str">
        <f>IF(AND(ISNUMBER( SnapshotTable[[#This Row],[Long Term Target]]), ISNUMBER(SnapshotTable[[#This Row],[Last Price]])),(SnapshotTable[[#This Row],[Long Term Target]] - SnapshotTable[[#This Row],[Last Price]]) / SnapshotTable[[#This Row],[Last Price]], "")</f>
        <v/>
      </c>
      <c r="AP100" s="5">
        <v>48.68</v>
      </c>
      <c r="AQ100" s="38" t="s">
        <v>59</v>
      </c>
      <c r="AR100" s="5">
        <v>44.76</v>
      </c>
      <c r="AS100" s="38" t="s">
        <v>19</v>
      </c>
      <c r="AT100" s="144"/>
      <c r="AU100" s="185" t="str">
        <f>IF(OR(SnapshotTable[[#This Row],[LP No Fill]]="Y",SnapshotTable[[#This Row],[SP Is Filled]],SnapshotTable[[#This Row],[LC Not Filled]]="Y",SnapshotTable[[#This Row],[SC Is Filled]]),"Y","")</f>
        <v/>
      </c>
      <c r="AV100" s="205"/>
      <c r="AW100" s="211"/>
      <c r="AX100" s="206"/>
      <c r="AY100" s="205" t="str">
        <f>IF(SnapshotTable[[#This Row],[Implied Move]]&gt;0, SnapshotTable[[#This Row],[Last Price]]-SnapshotTable[[#This Row],[Implied Move]],"")</f>
        <v/>
      </c>
      <c r="AZ100" s="205" t="str">
        <f>IF(SnapshotTable[[#This Row],[Implied Move]]&gt;0, SnapshotTable[[#This Row],[Last Price]] + SnapshotTable[[#This Row],[Implied Move]],"")</f>
        <v/>
      </c>
      <c r="BA100" s="302">
        <v>46.13</v>
      </c>
      <c r="BB100" s="318"/>
      <c r="BC1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0" s="321"/>
      <c r="BE100" s="5"/>
      <c r="BF100" s="14"/>
      <c r="BG100" s="13"/>
      <c r="BH100" s="13"/>
      <c r="BI100" s="5"/>
      <c r="BJ100" s="134">
        <f>IF(SnapshotTable[[#This Row],[LP Qty]] &gt; 0, SnapshotTable[[#This Row],[LP Qty]] * SnapshotTable[[#This Row],[LP Book Price]] * 100,0)</f>
        <v>0</v>
      </c>
      <c r="BK100" s="134">
        <f>IF(SnapshotTable[[#This Row],[LP Premium]] &gt; 0, SnapshotTable[[#This Row],[LP Qty]] * SnapshotTable[[#This Row],[LP Strike Price]] * 100,0)</f>
        <v>0</v>
      </c>
      <c r="BL100" s="152"/>
      <c r="BM100" s="355" t="str">
        <f>IF(SnapshotTable[[#This Row],[LP Premium]] &gt; 0,SnapshotTable[[#This Row],[LP Exp Date]]-MAX(SnapshotTable[[#This Row],[LP Book Date]], SnapshotTable[[#This Row],[LP Fill Date]]),"")</f>
        <v/>
      </c>
      <c r="BN100" s="355" t="str">
        <f>IF(ISNUMBER( SnapshotTable[[#This Row],[LP Term]]), SnapshotTable[[#This Row],[LP Exp Date]] - MockToday,"")</f>
        <v/>
      </c>
      <c r="BO100" s="161" t="str">
        <f>IF(AND(SnapshotTable[[#This Row],[LP Exp Date]]&gt;0, SnapshotTable[[#This Row],[LP Strike Price]]&gt;0,SnapshotTable[[#This Row],[LP Qty]]&gt;0,SnapshotTable[[#This Row],[LP Book Date]]&gt;0,SnapshotTable[[#This Row],[LP Book Price]]&gt;0,SnapshotTable[[#This Row],[LP Fill Date]]=0),"Y","")</f>
        <v/>
      </c>
      <c r="BP100" s="31" t="str">
        <f>IF(AND(SnapshotTable[[#This Row],[LP No Fill]]&lt;&gt;"Y",SnapshotTable[[#This Row],[LP Contract Value]]&gt;0, SnapshotTable[[#This Row],[LP Qty]]&gt;0), SnapshotTable[[#This Row],[LP Contract Value]]*SnapshotTable[[#This Row],[LP Qty]]*100,"")</f>
        <v/>
      </c>
      <c r="BQ100" s="13"/>
      <c r="BR100" s="5"/>
      <c r="BS100" s="36"/>
      <c r="BT100" s="145"/>
      <c r="BU100" s="13"/>
      <c r="BV100" s="5"/>
      <c r="BW100" s="382" t="b">
        <f>AND(ISNUMBER(SnapshotTable[[#This Row],[SP Exp Date]]), ISNUMBER(SnapshotTable[[#This Row],[SP Strike Price]]), ISNUMBER(SnapshotTable[[#This Row],[SP Qty]]), ISNUMBER(SnapshotTable[[#This Row],[SP Book Date]]), ISNUMBER(SnapshotTable[[#This Row],[SP Book Price]]))</f>
        <v>0</v>
      </c>
      <c r="BX100" s="382" t="b">
        <f>AND(SnapshotTable[[#This Row],[SP Is Booked]], NOT(ISBLANK(SnapshotTable[[#This Row],[SP Fill Date]])))</f>
        <v>0</v>
      </c>
      <c r="BY100" s="33">
        <f>IF(SnapshotTable[[#This Row],[SP Is Booked]], SnapshotTable[[#This Row],[SP Qty]] * SnapshotTable[[#This Row],[SP Book Price]] * 100, 0)</f>
        <v>0</v>
      </c>
      <c r="BZ100" s="339"/>
      <c r="CA100" s="338">
        <f>SnapshotTable[[#This Row],[LP Qty]]</f>
        <v>0</v>
      </c>
      <c r="CB100" s="4" t="str">
        <f>IF(SnapshotTable[[#This Row],[SP Is Booked]], SnapshotTable[[#This Row],[SP Strike Price]] - SnapshotTable[[#This Row],[SP Book Price]], "")</f>
        <v/>
      </c>
      <c r="CC100" s="19" t="str">
        <f>IF(SnapshotTable[[#This Row],[SP Is Booked]],SnapshotTable[[#This Row],[SP Exp Date]]-MAX(SnapshotTable[[#This Row],[SP Book Date]], SnapshotTable[[#This Row],[SP Fill Date]]),"")</f>
        <v/>
      </c>
      <c r="CD100" s="7" t="str">
        <f>IF(SnapshotTable[[#This Row],[SP Is Booked]], SnapshotTable[[#This Row],[SP Book Price]]/SnapshotTable[[#This Row],[SP Strike Price]], "")</f>
        <v/>
      </c>
      <c r="CE100" s="7" t="str">
        <f>IF(ISNUMBER(SnapshotTable[[#This Row],[SP ROO Term]]),SnapshotTable[[#This Row],[SP ROO Term]]*(365/SnapshotTable[[#This Row],[SP Term]]),"")</f>
        <v/>
      </c>
      <c r="CF100" s="221">
        <f>SnapshotTable[[#This Row],[LP Strike Price]] * SnapshotTable[[#This Row],[LP Qty]] * 100</f>
        <v>0</v>
      </c>
      <c r="CG100" s="31">
        <f>IF(ISNUMBER(SnapshotTable[[#This Row],[SP Premium]]), (SnapshotTable[[#This Row],[SP Qty]] * SnapshotTable[[#This Row],[SP Strike Price]]* 100) - SnapshotTable[[#This Row],[LP Protection]], 0)</f>
        <v>0</v>
      </c>
      <c r="CH100" s="7" t="str">
        <f>IF(ISNUMBER(SnapshotTable[[#This Row],[SP Break Even]]),-1 * (SnapshotTable[[#This Row],[SP Break Even]] - SnapshotTable[[#This Row],[Last Price]]) / SnapshotTable[[#This Row],[Last Price]], "")</f>
        <v/>
      </c>
      <c r="CI100" s="31">
        <f>IF(AND(ISNUMBER((SnapshotTable[[#This Row],[SP Potential Spend]])), SnapshotTable[[#This Row],[SP Strike Price]] &gt; SnapshotTable[[#This Row],[Last Price]], SnapshotTable[[#This Row],[SP Is Filled]]), SnapshotTable[[#This Row],[SP Potential Spend]] -  SnapshotTable[[#This Row],[LP Max Value]], 0)</f>
        <v>0</v>
      </c>
      <c r="CJ100" s="229"/>
      <c r="CK100" s="31">
        <f>IF(ISNUMBER(SnapshotTable[[#This Row],[SP Potential Spend]]),IF(ISNUMBER(SnapshotTable[[#This Row],[SP POW]]), SnapshotTable[[#This Row],[SP POW]] * SnapshotTable[[#This Row],[SP Potential Spend]], SnapshotTable[[#This Row],[SP Potential Spend]]), "")</f>
        <v>0</v>
      </c>
      <c r="CL100" s="162">
        <f>IF(NOT(SnapshotTable[[#This Row],[SP Is Filled]]),(SnapshotTable[[#This Row],[SP Qty]] * SnapshotTable[[#This Row],[SP Strike Price]] * 100) - SnapshotTable[[#This Row],[LP Max Value]],"")</f>
        <v>0</v>
      </c>
      <c r="CM100" s="31" t="str">
        <f>IF(SnapshotTable[[#This Row],[SP Actual Spend]]&lt;&gt;0, ((SnapshotTable[[#This Row],[SP Strike Price]]-SnapshotTable[[#This Row],[Last Price]]) *(SnapshotTable[[#This Row],[SP Qty]]*100) - SnapshotTable[[#This Row],[SP Premium]]) * - 1, "")</f>
        <v/>
      </c>
      <c r="CN100" s="76"/>
      <c r="CO100" s="339"/>
      <c r="CP100" s="4" t="str">
        <f>IF(SnapshotTable[[#This Row],[SP Is Filled]], btc_max_buyback_amount(SnapshotTable[[#This Row],[SP Fill Date]],SnapshotTable[[#This Row],[SP Exp Date]], SnapshotTable[[#This Row],[SP Book Price]]),"")</f>
        <v/>
      </c>
      <c r="CQ100" s="76"/>
      <c r="CR10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0" s="153" t="str">
        <f>IF(SnapshotTable[[#This Row],[SP Is Filled]], btc_next_cutoff_date(SnapshotTable[[#This Row],[SP Fill Date]],SnapshotTable[[#This Row],[SP Exp Date]]),"")</f>
        <v/>
      </c>
      <c r="CT100" s="220" t="str" cm="1">
        <f t="array" ref="CT100">IF(SnapshotTable[[#This Row],[SP Is Filled]], btc_should_buy_back(SnapshotTable[[#This Row],[SP Fill Date]], SnapshotTable[[#This Row],[SP Exp Date]], SnapshotTable[[#This Row],[SP Book Price]], SnapshotTable[[#This Row],[SP Current Ask]], MockToday, SnapshotTable[[#This Row],[SP Buyback Override]]),"")</f>
        <v/>
      </c>
      <c r="CU100" s="141"/>
      <c r="CV100" s="220"/>
      <c r="CW100" s="348" t="str">
        <f>IF(ISNUMBER( SnapshotTable[[#This Row],[SP Term]]), SnapshotTable[[#This Row],[SP Exp Date]] - MockToday,"")</f>
        <v/>
      </c>
      <c r="CX100" s="31" t="str">
        <f>IF(SnapshotTable[[#This Row],[SP Is Filled]],SnapshotTable[[#This Row],[SP Buyback Price to Use]] * 100 * SnapshotTable[[#This Row],[SP Qty]], "")</f>
        <v/>
      </c>
      <c r="CY100" s="4" t="str">
        <f>IF(ISNUMBER(SnapshotTable[[#This Row],[SP Strike Price]]), SnapshotTable[[#This Row],[SP Strike Price]] * (1 - SP_MaxLoss_StrikePct), "")</f>
        <v/>
      </c>
      <c r="CZ100" s="31" t="str">
        <f>IF(ISNUMBER(SnapshotTable[[#This Row],[SP Strike  Stop Per Share]]),SnapshotTable[[#This Row],[SP Premium]] - ((SnapshotTable[[#This Row],[SP Strike Price]]-SnapshotTable[[#This Row],[SP Strike  Stop Per Share]]) *(SnapshotTable[[#This Row],[SP Qty]] * 100)),"")</f>
        <v/>
      </c>
      <c r="DA100" s="4" t="str">
        <f>IF(AND(ISNUMBER(SnapshotTable[[#This Row],[SP Premium]]),SnapshotTable[[#This Row],[SP Premium]]&gt;0), SnapshotTable[[#This Row],[SP Book Price]] * (1 + SP_MaxLoss_OptionPct), "")</f>
        <v/>
      </c>
      <c r="DB100" s="31" t="str">
        <f>IF(ISNUMBER(SnapshotTable[[#This Row],[SP Option  Stop Contract]]),(SnapshotTable[[#This Row],[SP Option  Stop Contract]] *(SnapshotTable[[#This Row],[SP Qty]] * 100) - SnapshotTable[[#This Row],[SP Premium]]),"")</f>
        <v/>
      </c>
      <c r="DC100" s="4"/>
      <c r="DD100" s="4"/>
      <c r="DE100" s="4" t="str">
        <f>IF(AND(SnapshotTable[[#This Row],[SP Qty]]&gt;0, SnapshotTable[[#This Row],[SP Stop To Use]]&gt;0),SnapshotTable[[#This Row],[SP Premium]] - ( SnapshotTable[[#This Row],[SP Qty]] * SnapshotTable[[#This Row],[SP Stop To Use]] * 100), "")</f>
        <v/>
      </c>
      <c r="DF100" s="31" t="str">
        <f>IF(AND(SnapshotTable[[#This Row],[SP Qty]]&gt;0,SnapshotTable[[#This Row],[SP Current Ask]]&gt;0), SnapshotTable[[#This Row],[SP Qty]] * SnapshotTable[[#This Row],[SP Current Ask]] * -100, "")</f>
        <v/>
      </c>
      <c r="DG100" s="31" t="str">
        <f>IF(ISNUMBER((SnapshotTable[[#This Row],[SP Total Value]])), SnapshotTable[[#This Row],[SP Premium]] + SnapshotTable[[#This Row],[SP Total Value]], "")</f>
        <v/>
      </c>
      <c r="DH100" s="272" t="str">
        <f>IF(ISNUMBER((SnapshotTable[[#This Row],[SP Total Value]])), SnapshotTable[[#This Row],[SP Gain Loss]] / SnapshotTable[[#This Row],[SP Premium]], "")</f>
        <v/>
      </c>
      <c r="DI100" s="369"/>
      <c r="DJ100" s="136"/>
      <c r="DK100" s="146"/>
      <c r="DL100" s="13"/>
      <c r="DM100" s="13"/>
      <c r="DO100" s="31">
        <f>IF(SnapshotTable[[#This Row],[LC Symbol Count]]=1, SnapshotTable[[#This Row],[LC Qty]] * SnapshotTable[[#This Row],[LC Book Price]] * 100, 0)</f>
        <v>0</v>
      </c>
      <c r="DP100" s="161" t="str">
        <f>IF(AND(SnapshotTable[[#This Row],[LC Exp Date]]&gt;0, SnapshotTable[[#This Row],[LC Strike Price]]&gt;0,SnapshotTable[[#This Row],[LC Qty]]&gt;0,SnapshotTable[[#This Row],[LC Book Date]]&gt;0,SnapshotTable[[#This Row],[LC Book Price]]&gt;0,SnapshotTable[[#This Row],[LC Fill Date]]=0),"Y","")</f>
        <v/>
      </c>
      <c r="DQ100" s="356" t="str">
        <f>IF(SnapshotTable[[#This Row],[LC Premium]] &gt; 0,SnapshotTable[[#This Row],[LC Exp Date]]-MAX(SnapshotTable[[#This Row],[LC Book Date]], SnapshotTable[[#This Row],[LC Fill Date]]),"")</f>
        <v/>
      </c>
      <c r="DR100" s="356" t="str">
        <f>IF(ISNUMBER(SnapshotTable[[#This Row],[LC Term]]), SnapshotTable[[#This Row],[LC Exp Date]] - MockToday, "")</f>
        <v/>
      </c>
      <c r="DS100" s="219" t="str">
        <f>IF(SnapshotTable[[#This Row],[LC Premium]]&gt;0,SnapshotTable[[#This Row],[LC Strike Price]] + SnapshotTable[[#This Row],[LC Book Price]],"")</f>
        <v/>
      </c>
      <c r="DU100" s="9" t="str">
        <f>IF(AND(SnapshotTable[[#This Row],[LC Symbol Count]]&gt;0, SnapshotTable[[#This Row],[LC Contract Value]]&gt;0), SnapshotTable[[#This Row],[LC Contract Value]] * SnapshotTable[[#This Row],[LC Qty]] * 100, "")</f>
        <v/>
      </c>
      <c r="DV100" s="9" t="str">
        <f>IF(AND(ISNUMBER(SnapshotTable[[#This Row],[LC Total Value]]), SnapshotTable[[#This Row],[LC Not Filled]]&lt;&gt;"Y"), SnapshotTable[[#This Row],[LC Total Value]]-SnapshotTable[[#This Row],[LC Premium]],"")</f>
        <v/>
      </c>
      <c r="DW100" s="225" t="str">
        <f>IF(ISNUMBER(SnapshotTable[[#This Row],[LC Actual Gain Loss]]), SnapshotTable[[#This Row],[LC Actual Gain Loss]] / SnapshotTable[[#This Row],[LC Premium]],"")</f>
        <v/>
      </c>
      <c r="DX100" s="269" t="str">
        <f>IF(ISNUMBER(SnapshotTable[[#This Row],[LC Book Price]]),SnapshotTable[[#This Row],[LC Book Price]] * 1.5,"")</f>
        <v/>
      </c>
      <c r="DY100" s="250" t="str">
        <f>IF(SnapshotTable[[#This Row],[LC Premium]]&gt;0, SnapshotTable[[#This Row],[LC Next Target]] * SnapshotTable[[#This Row],[LC Qty]] * 100,"")</f>
        <v/>
      </c>
      <c r="DZ100" s="250" t="str">
        <f>IF(ISNUMBER(SnapshotTable[[#This Row],[LC Target Gross]]), SnapshotTable[[#This Row],[LC Target Gross]] - SnapshotTable[[#This Row],[LC Premium]], "")</f>
        <v/>
      </c>
      <c r="EA100" s="283" t="str">
        <f>IF(ISNUMBER(SnapshotTable[[#This Row],[LC Target Gain Loss]]), SnapshotTable[[#This Row],[LC Target Gain Loss]]/SnapshotTable[[#This Row],[LC Premium]], "")</f>
        <v/>
      </c>
      <c r="EB100" s="247"/>
      <c r="EC100" s="268" t="str">
        <f>IF(SnapshotTable[[#This Row],[LC Premium]]&gt;0, SnapshotTable[[#This Row],[LC Book Price]] * (1 - LC_StopLoss_Pct),"")</f>
        <v/>
      </c>
      <c r="ED100" s="269"/>
      <c r="EE100" s="268" t="str">
        <f>IF(ISNUMBER(SnapshotTable[[#This Row],[LC Contract Value]]),IF(ISNUMBER(SnapshotTable[[#This Row],[LC Stop Loss Override]]), SnapshotTable[[#This Row],[LC Stop Loss Override]],SnapshotTable[[#This Row],[LC Stop Loss Calc Target]]),"")</f>
        <v/>
      </c>
      <c r="EF100" s="31" t="str">
        <f>IF(ISNUMBER(SnapshotTable[[#This Row],[LC Stop  To Use]]), (SnapshotTable[[#This Row],[LC Stop  To Use]] * SnapshotTable[[#This Row],[LC Qty]] * 100),"")</f>
        <v/>
      </c>
      <c r="EG100" s="9" t="str">
        <f>IF(ISNUMBER(SnapshotTable[[#This Row],[LC Total Value]]),SnapshotTable[[#This Row],[LC Stop Loss Amount]] - SnapshotTable[[#This Row],[LC Premium]],"")</f>
        <v/>
      </c>
      <c r="EH100" s="9">
        <f>IF(ISNUMBER(SnapshotTable[[#This Row],[LC Premium]]), SnapshotTable[[#This Row],[LC Qty]] * 100 * SnapshotTable[[#This Row],[LC Strike Price]], "")</f>
        <v>0</v>
      </c>
      <c r="EI100" s="225" t="str">
        <f>IF(AND(ISNUMBER(SnapshotTable[[#This Row],[LC Total Value]]),SnapshotTable[[#This Row],[LC Total Value]]&gt;0),SnapshotTable[[#This Row],[LC Stop Gain Loss]]  / SnapshotTable[[#This Row],[LC Premium]],"")</f>
        <v/>
      </c>
      <c r="EJ100" s="35">
        <f>IF(ISNUMBER(SnapshotTable[[#This Row],[Equity Shares]]),TRUNC(SnapshotTable[[#This Row],[Equity Shares]] / 100),0) + SnapshotTable[[#This Row],[LC Qty]]</f>
        <v>0</v>
      </c>
      <c r="EK100" s="145"/>
      <c r="EL100" s="136"/>
      <c r="EM100" s="146"/>
      <c r="EN100" s="145"/>
      <c r="EO100" s="145"/>
      <c r="EP100" s="136"/>
      <c r="EQ100" s="382" t="b">
        <f>AND(ISNUMBER(SnapshotTable[[#This Row],[SC Exp Date]]), ISNUMBER(SnapshotTable[[#This Row],[SC Strike Price]]), ISNUMBER(SnapshotTable[[#This Row],[SC Qty]]), ISNUMBER(SnapshotTable[[#This Row],[SC Book Date]]), ISNUMBER(SnapshotTable[[#This Row],[SC Book Price]]))</f>
        <v>0</v>
      </c>
      <c r="ER100" s="382" t="b">
        <f>AND(SnapshotTable[[#This Row],[SC Is Booked]], NOT(ISBLANK(SnapshotTable[[#This Row],[SC Fill Date]])))</f>
        <v>0</v>
      </c>
      <c r="ES100" s="340"/>
      <c r="ET100" s="34" t="str">
        <f>IF(AND(ISNUMBER(SnapshotTable[[#This Row],[SC Exp Date]]), ISNUMBER(SnapshotTable[[#This Row],[SC Book Date]])), SnapshotTable[[#This Row],[SC Exp Date]] - MAX(SnapshotTable[[#This Row],[SC Book Date]], SnapshotTable[[#This Row],[SC Fill Date]]) + 1, "")</f>
        <v/>
      </c>
      <c r="EU100" s="34" t="str">
        <f>IF(ISNUMBER(SnapshotTable[[#This Row],[SC Term]]), SnapshotTable[[#This Row],[SC Exp Date]]- MockToday, "")</f>
        <v/>
      </c>
      <c r="EV100" s="31">
        <f>IF(SnapshotTable[[#This Row],[SC Is Booked]], SnapshotTable[[#This Row],[SC Qty]] * SnapshotTable[[#This Row],[SC Book Price]] * 100, 0)</f>
        <v>0</v>
      </c>
      <c r="EW100" s="4" t="str">
        <f>IF(AND(ISNUMBER(SnapshotTable[[#This Row],[Last Price]]), ISNUMBER( SnapshotTable[[#This Row],[SC Book Price]])), SnapshotTable[[#This Row],[Last Price]] - SnapshotTable[[#This Row],[SC Book Price]],"")</f>
        <v/>
      </c>
      <c r="EX100" s="219" t="str">
        <f>IF(SnapshotTable[[#This Row],[SC Is Booked]],IF(SnapshotTable[[#This Row],[SC Intrinsic Value]] &gt; 0, SnapshotTable[[#This Row],[SC Strike Price]], SnapshotTable[[#This Row],[Last Price]]), "")</f>
        <v/>
      </c>
      <c r="EY100" s="4">
        <f>IF(SnapshotTable[[#This Row],[SC Is Booked]], (MinimumPremiumRequired * SnapshotTable[[#This Row],[SC Basis]] * SnapshotTable[[#This Row],[SC Term]]), 0)</f>
        <v>0</v>
      </c>
      <c r="EZ100" s="268"/>
      <c r="FA100" s="204"/>
      <c r="FB100" s="340"/>
      <c r="FC100" s="4">
        <f>IF(SnapshotTable[[#This Row],[SC Is Filled]], btc_max_buyback_amount(SnapshotTable[[#This Row],[SC Fill Date]],SnapshotTable[[#This Row],[SC Exp Date]], SnapshotTable[[#This Row],[SC Book Price]]),0)</f>
        <v>0</v>
      </c>
      <c r="FD100" s="5"/>
      <c r="FE100" s="142" t="str">
        <f>IF(SnapshotTable[[#This Row],[SC Is Filled]], btc_next_cutoff_date(SnapshotTable[[#This Row],[SC Fill Date]],SnapshotTable[[#This Row],[SC Exp Date]]),"")</f>
        <v/>
      </c>
      <c r="FF100" s="4" t="str" cm="1">
        <f t="array" ref="FF100">IF(SnapshotTable[[#This Row],[SC Is Filled]], btc_should_buy_back(SnapshotTable[[#This Row],[SC Fill Date]], SnapshotTable[[#This Row],[SC Exp Date]], SnapshotTable[[#This Row],[SC Book Price]], SnapshotTable[[#This Row],[SC Current Ask]], MockToday, SnapshotTable[[#This Row],[SC Buyback Override]]),"")</f>
        <v/>
      </c>
      <c r="FG100" s="4">
        <f>IF(SnapshotTable[[#This Row],[SC Is Filled]], MAX(0,SnapshotTable[[#This Row],[Last Price]]  - SnapshotTable[[#This Row],[SC Strike Price]]), 0)</f>
        <v>0</v>
      </c>
      <c r="FH100" s="352">
        <f>IF(SnapshotTable[[#This Row],[SC Is Filled]], IF(ISNUMBER(SnapshotTable[[#This Row],[SC Current Ask]]), SnapshotTable[[#This Row],[SC Current Ask]], SnapshotTable[[#This Row],[SC Book Price]]) - SnapshotTable[[#This Row],[SC Intrinsic Value]], 0)</f>
        <v>0</v>
      </c>
      <c r="FI100" s="141"/>
      <c r="FJ100" s="32" t="str">
        <f>IF(SnapshotTable[[#This Row],[SC Is Filled]],100 * SnapshotTable[[#This Row],[SC Qty]] * IF(ISNUMBER(SnapshotTable[[#This Row],[SC Buyback Override]]), SnapshotTable[[#This Row],[SC Buyback Override]], SnapshotTable[[#This Row],[SC Current Ask]]), "")</f>
        <v/>
      </c>
      <c r="FK100" s="235" t="str">
        <f>IF(SnapshotTable[[#This Row],[SC Time Val]]&gt;0, SnapshotTable[[#This Row],[SC Time Val]] / SnapshotTable[[#This Row],[Last Price]],"")</f>
        <v/>
      </c>
      <c r="FL100" s="280" t="str">
        <f>IF(SnapshotTable[[#This Row],[SC Is Booked]], ((SnapshotTable[[#This Row],[Last Price]] -SnapshotTable[[#This Row],[SC Strike Price]]) / SnapshotTable[[#This Row],[Last Price]]) * -1, "")</f>
        <v/>
      </c>
      <c r="FM100" s="155" t="str">
        <f>IF(SnapshotTable[[#This Row],[SC Is Booked]],  (SnapshotTable[[#This Row],[SC Qty]] * 100 * SnapshotTable[[#This Row],[SC Strike Price]]) - SnapshotTable[[#This Row],[SC Current Ask]], "")</f>
        <v/>
      </c>
      <c r="FN10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0" s="31" t="str">
        <f>IF(AND(ISNUMBER(SnapshotTable[[#This Row],[SC Exercise Gross]]), ISNUMBER(SnapshotTable[[#This Row],[Equity Basis Per Share]] )), SnapshotTable[[#This Row],[SC Exercise Gross]] - SnapshotTable[[#This Row],[Equity Basis Total]] +  SnapshotTable[[#This Row],[SC Premium]], "")</f>
        <v/>
      </c>
      <c r="FP100" s="5" t="str">
        <f>IF(ISNUMBER(SnapshotTable[[#This Row],[SC Exercise Gross]]), (SnapshotTable[[#This Row],[SC Exercise Gross]]) / (SnapshotTable[[#This Row],[SC Qty]] * 100), "")</f>
        <v/>
      </c>
      <c r="FQ100" s="27" t="str">
        <f>IF(SnapshotTable[[#This Row],[SC Is Booked]],SnapshotTable[[#This Row],[SC Time Val]] /SnapshotTable[[#This Row],[SC Basis]], "")</f>
        <v/>
      </c>
      <c r="FR100" s="27" t="str" cm="1">
        <f t="array" ref="FR100">IF(AND(ISNUMBER(SnapshotTable[[#This Row],[SC Term]]),ISNUMBER(SnapshotTable[[#This Row],[SC Simple ROO]])), EllmanAnnualize(SnapshotTable[[#This Row],[SC DTE]], SnapshotTable[[#This Row],[SC Simple ROO]] ),"")</f>
        <v/>
      </c>
      <c r="FS100" s="4">
        <f>IF(SnapshotTable[[#This Row],[SC Strike Price]] &gt; SnapshotTable[[#This Row],[Last Price]], SnapshotTable[[#This Row],[SC Strike Price]] - SnapshotTable[[#This Row],[Last Price]],0)</f>
        <v>0</v>
      </c>
      <c r="FT100" s="27" t="str">
        <f>IF(AND(ISNUMBER(SnapshotTable[[#This Row],[SC Upside Potential]]), SnapshotTable[[#This Row],[SC Upside Potential]] &gt; 0),(SnapshotTable[[#This Row],[SC Upside Potential]]/ SnapshotTable[[#This Row],[ACB]]),"")</f>
        <v/>
      </c>
      <c r="FU100" s="304" t="str">
        <f>IF(SnapshotTable[[#This Row],[SC Intrinsic Value]] &gt; 0,SnapshotTable[[#This Row],[SC Intrinsic Value]],"")</f>
        <v/>
      </c>
      <c r="FV100" s="27" t="str">
        <f>IF(AND( ISNUMBER( SnapshotTable[[#This Row],[ACB]]),ISNUMBER(SnapshotTable[[#This Row],[SC Downside Protect]])),SnapshotTable[[#This Row],[SC Downside Protect]] / SnapshotTable[[#This Row],[ACB]],"")</f>
        <v/>
      </c>
      <c r="FW100" s="221" t="str">
        <f>IF(AND(ISNUMBER(SnapshotTable[[#This Row],[SC Simple ROO]]),SnapshotTable[[#This Row],[SC Simple ROO]] &gt; 0), SnapshotTable[[#This Row],[SC Premium]] + (SnapshotTable[[#This Row],[SC Qty]] * SnapshotTable[[#This Row],[SC Upside Potential]]), "")</f>
        <v/>
      </c>
      <c r="FX100" s="280" t="str" cm="1">
        <f t="array" ref="FX100">IF(ISNUMBER(SnapshotTable[[#This Row],[SC Max Dollars]]), annualize(SnapshotTable[[#This Row],[SC Term]],(SnapshotTable[[#This Row],[SC Max Dollars]]/SnapshotTable[[#This Row],[SC Basis]])),"")</f>
        <v/>
      </c>
      <c r="FY100" s="221" t="str">
        <f>IF(AND(SnapshotTable[[#This Row],[SC Qty]]&gt;0,SnapshotTable[[#This Row],[SC Current Ask]]&gt;0), SnapshotTable[[#This Row],[SC Qty]] * SnapshotTable[[#This Row],[SC Current Ask]] * -100, "")</f>
        <v/>
      </c>
      <c r="FZ100" s="31" t="str">
        <f>IF(ISNUMBER((SnapshotTable[[#This Row],[SC Current Value]])), SnapshotTable[[#This Row],[SC Premium]] + SnapshotTable[[#This Row],[SC Current Value]], "")</f>
        <v/>
      </c>
      <c r="GA100" s="272" t="str">
        <f>IFERROR( IF(ISNUMBER((SnapshotTable[[#This Row],[SC Current Value]])), SnapshotTable[[#This Row],[SC Gain Loss]] / SnapshotTable[[#This Row],[SC Premium]], ""), "")</f>
        <v/>
      </c>
      <c r="GB100" s="42">
        <f>SnapshotTable[[#This Row],[Equity Shares]] * SaleSharesToConsiderPercentage</f>
        <v>0</v>
      </c>
      <c r="GC100" s="40">
        <f>SnapshotTable[[#This Row],[Long Term Target]] * SellingPriceToConsiderBasedOnTargetPercentage</f>
        <v>0</v>
      </c>
      <c r="GD100" s="40">
        <f>SnapshotTable[[#This Row],[Last Price]] * (1+ SellingPriceToConsiderBasedOnTargetPercentage)</f>
        <v>42.665999999999997</v>
      </c>
      <c r="GE100" s="41"/>
      <c r="GF100" s="40"/>
      <c r="GG100" s="31">
        <f>SnapshotTable[[#This Row],[Booked Sale Shares]] * SnapshotTable[[#This Row],[Booked Sale Price]]</f>
        <v>0</v>
      </c>
      <c r="GH100" s="31" t="str">
        <f>IF(SnapshotTable[[#This Row],[Equity Basis Total]] &gt; 0, SnapshotTable[[#This Row],[Equity Basis Per Share]] * SnapshotTable[[#This Row],[Booked Sale Shares]], "")</f>
        <v/>
      </c>
      <c r="GI100" s="31">
        <f>IF(SnapshotTable[[#This Row],[Sale Proceeds]]&gt;0, SnapshotTable[[#This Row],[Sale Proceeds]] - SnapshotTable[[#This Row],[Sale Basis]], 0)</f>
        <v>0</v>
      </c>
      <c r="GJ100" s="27" t="str">
        <f>IF(SnapshotTable[[#This Row],[Sale G/L]]&gt;0, SnapshotTable[[#This Row],[Sale G/L]] / SnapshotTable[[#This Row],[Sale Basis]], IF(ISNUMBER(SnapshotTable[[#This Row],[SC Exercise P&amp;L (TAX)]]), SnapshotTable[[#This Row],[SC Exercise P&amp;L (TAX)]] / SnapshotTable[[#This Row],[SC Basis]], ""))</f>
        <v/>
      </c>
      <c r="GK100" s="27"/>
      <c r="GL100" s="43" t="str">
        <f>IF(AND(SnapshotTable[[#This Row],[LP Exp Date]]&gt;0,SnapshotTable[[#This Row],[LP Strike Price]]&gt;0), [1]!ToOptionSymbol(SnapshotTable[[#This Row],[Symbol]], SnapshotTable[[#This Row],[LP Strike Price]],SnapshotTable[[#This Row],[LP Exp Date]],1), "")</f>
        <v/>
      </c>
      <c r="GM100" s="30" t="str">
        <f>IF(LEN(SnapshotTable[[#This Row],[LP Symbol]])&gt;0, 1, "")</f>
        <v/>
      </c>
      <c r="GN100" s="43" t="str">
        <f>IF(AND(SnapshotTable[[#This Row],[SP Exp Date]]&gt;0,SnapshotTable[[#This Row],[SP Strike Price]]&gt;0), [1]!ToOptionSymbol(SnapshotTable[[#This Row],[Symbol]], SnapshotTable[[#This Row],[SP Strike Price]],SnapshotTable[[#This Row],[SP Exp Date]],1), "")</f>
        <v/>
      </c>
      <c r="GO100" s="30" t="str">
        <f>IF(LEN(SnapshotTable[[#This Row],[SP Symbol]])&gt;0, 1, "")</f>
        <v/>
      </c>
      <c r="GP100" s="43" t="str">
        <f>IF(AND(SnapshotTable[[#This Row],[LC Exp Date]]&gt;0,SnapshotTable[[#This Row],[LC Strike Price]]&gt;0), [1]!ToOptionSymbol(SnapshotTable[[#This Row],[Symbol]], SnapshotTable[[#This Row],[LC Strike Price]],SnapshotTable[[#This Row],[LC Exp Date]],0), "")</f>
        <v/>
      </c>
      <c r="GQ100" s="30" t="str">
        <f>IF(LEN(SnapshotTable[[#This Row],[LC Symbol]])&gt;0, 1, "")</f>
        <v/>
      </c>
      <c r="GR100" s="43" t="str">
        <f>IF(AND(SnapshotTable[[#This Row],[SC Exp Date]]&gt;0,SnapshotTable[[#This Row],[SC Strike Price]]&gt;0), [1]!ToOptionSymbol(SnapshotTable[[#This Row],[Symbol]], SnapshotTable[[#This Row],[SC Strike Price]],SnapshotTable[[#This Row],[SC Exp Date]],0), "")</f>
        <v/>
      </c>
      <c r="GS100" s="30" t="str">
        <f>IF(LEN(SnapshotTable[[#This Row],[SC Symbol]])&gt;0, 1, "")</f>
        <v/>
      </c>
      <c r="GT100" s="29" t="str">
        <f>IF(COUNT(SnapshotTable[[#This Row],[LP Symbol Count]],SnapshotTable[[#This Row],[SP Symbol Count]],SnapshotTable[[#This Row],[LC Symbol Count]],SnapshotTable[[#This Row],[SC Symbol Count]])&gt;0, "Y", "")</f>
        <v/>
      </c>
      <c r="GU1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0" s="216">
        <f>MAX(SnapshotTable[[#This Row],[Equity Basis Total]],SnapshotTable[[#This Row],[Equity Value]]) + (SnapshotTable[[#This Row],[SP Potential Spend]]- SnapshotTable[[#This Row],[SP Premium]] + SnapshotTable[[#This Row],[LP Premium]])+ (SnapshotTable[[#This Row],[LC Premium]] - SnapshotTable[[#This Row],[SC Premium]])</f>
        <v>0</v>
      </c>
      <c r="GW100" s="137" t="str">
        <f>IF(AND(SnapshotTable[[#This Row],[Exposure]] &lt;&gt; 0),SnapshotTable[[#This Row],[Exposure]] / SnapshotTable[[#Totals],[Exposure]], "")</f>
        <v/>
      </c>
      <c r="HE100" s="253"/>
      <c r="HF100" s="253"/>
      <c r="HK100" s="1"/>
      <c r="HL100" s="1"/>
      <c r="HM100" s="1"/>
      <c r="HN100" s="1"/>
      <c r="HO100" s="1"/>
      <c r="HP100" s="1"/>
    </row>
    <row r="101" spans="2:224" ht="12.75" hidden="1" customHeight="1" x14ac:dyDescent="0.25">
      <c r="B101" s="12" t="s">
        <v>454</v>
      </c>
      <c r="C101" s="385">
        <v>27.17</v>
      </c>
      <c r="D101" s="200"/>
      <c r="E101" s="39">
        <f>SnapshotTable[[#This Row],[Last Price]]*(1 -CrashDiscount)</f>
        <v>23.0945</v>
      </c>
      <c r="F101" s="26" t="s">
        <v>164</v>
      </c>
      <c r="G101" s="26" t="s">
        <v>10</v>
      </c>
      <c r="H101" s="147"/>
      <c r="I101" s="186">
        <v>44791.760416666664</v>
      </c>
      <c r="J101" s="187">
        <v>44791.760416666664</v>
      </c>
      <c r="K101" s="188"/>
      <c r="L101" s="297"/>
      <c r="M101" s="138"/>
      <c r="N101" s="138"/>
      <c r="O101" s="138"/>
      <c r="P101" s="22"/>
      <c r="Q101" s="25"/>
      <c r="R101" s="4" t="str">
        <f>IF(SnapshotTable[[#This Row],[Equity Basis Total]] &gt; 0, SnapshotTable[[#This Row],[Equity Basis Total]] / SnapshotTable[[#This Row],[Equity Shares]], "")</f>
        <v/>
      </c>
      <c r="S101" s="254">
        <f>SnapshotTable[[#This Row],[Last Price]] * SnapshotTable[[#This Row],[Equity Shares]]</f>
        <v>0</v>
      </c>
      <c r="T101" s="254">
        <f>SnapshotTable[[#This Row],[Equity Value]] - SnapshotTable[[#This Row],[Equity Basis Total]]</f>
        <v>0</v>
      </c>
      <c r="U101" s="255" t="str">
        <f>IF(SnapshotTable[[#This Row],[Equity Basis Total]] &gt; 0, SnapshotTable[[#This Row],[Equity G/L]] / SnapshotTable[[#This Row],[Equity Basis Total]], "")</f>
        <v/>
      </c>
      <c r="V101" s="253"/>
      <c r="W101" s="253"/>
      <c r="X101" s="4" t="str">
        <f>IF(AND(ISNUMBER(SnapshotTable[[#This Row],[Equity Basis Per Share]]),ISNUMBER(SnapshotTable[[#This Row],[Equity Target]])),SnapshotTable[[#This Row],[Equity Target]]-SnapshotTable[[#This Row],[Equity Basis Per Share]],"")</f>
        <v/>
      </c>
      <c r="Y101" s="4" t="str">
        <f>IF(AND(ISNUMBER(SnapshotTable[[#This Row],[Equity Basis Per Share]]),ISNUMBER(SnapshotTable[[#This Row],[Equity Stop Loss]])),SnapshotTable[[#This Row],[Equity Stop Loss]]-SnapshotTable[[#This Row],[Equity Basis Per Share]],"")</f>
        <v/>
      </c>
      <c r="Z101" s="260" t="str">
        <f>IFERROR( TEXT(SnapshotTable[[#This Row],[Equity Max Gain Per Share]] /ABS( SnapshotTable[[#This Row],[Equity Max Loss Per Share]]),"0.0 " ) &amp; " : 1", "")</f>
        <v/>
      </c>
      <c r="AA101" s="31" t="str">
        <f>IF(ISNUMBER(SnapshotTable[[#This Row],[Equity Max Gain Per Share]]),SnapshotTable[[#This Row],[Equity Max Gain Per Share]] * SnapshotTable[[#This Row],[Equity Shares]],"")</f>
        <v/>
      </c>
      <c r="AB101" s="31" t="str">
        <f>IF(ISNUMBER(SnapshotTable[[#This Row],[Equity Max Loss Per Share]]),SnapshotTable[[#This Row],[Equity Max Loss Per Share]] * SnapshotTable[[#This Row],[Equity Shares]],"")</f>
        <v/>
      </c>
      <c r="AC101" s="148"/>
      <c r="AD101" s="149"/>
      <c r="AE101" s="31">
        <f>(SnapshotTable[[#This Row],[Annual Dividend Per Share]] / 4) * SnapshotTable[[#This Row],[Equity Shares]]</f>
        <v>0</v>
      </c>
      <c r="AF101" s="31">
        <f>SnapshotTable[[#This Row],[Quarterly Div $]] * 4</f>
        <v>0</v>
      </c>
      <c r="AG101" s="7">
        <f>IF(SnapshotTable[[#This Row],[Annual Dividend Per Share]]&gt;0, SnapshotTable[[#This Row],[Annual Dividend Per Share]]  / SnapshotTable[[#This Row],[Last Price]], 0)</f>
        <v>0</v>
      </c>
      <c r="AH101" s="149"/>
      <c r="AI101" s="5"/>
      <c r="AJ101" s="136"/>
      <c r="AK101" s="150" t="str">
        <f>IF(ISNUMBER( SnapshotTable[[#This Row],[EBF Target]]),(SnapshotTable[[#This Row],[EBF Target]] - SnapshotTable[[#This Row],[Last Price]]) / SnapshotTable[[#This Row],[Last Price]], "")</f>
        <v/>
      </c>
      <c r="AL101" s="150" t="str">
        <f>IF(AND(SnapshotTable[[#This Row],[Equity Basis Total]] &gt; 0,ISNUMBER( SnapshotTable[[#This Row],[Long Term Target]])), SnapshotTable[[#This Row],[From Basis $]] / SnapshotTable[[#This Row],[Equity Basis Total]], "")</f>
        <v/>
      </c>
      <c r="AM101" s="9">
        <f>IF( AND(SnapshotTable[[#This Row],[Equity Shares]] &gt;0,ISNUMBER( SnapshotTable[[#This Row],[Long Term Target]])),(SnapshotTable[[#This Row],[Equity Shares]] * SnapshotTable[[#This Row],[Long Term Target]]) - SnapshotTable[[#This Row],[Equity Basis Total]],0)</f>
        <v>0</v>
      </c>
      <c r="AN101" s="9">
        <f>IF( AND(SnapshotTable[[#This Row],[Equity Shares]] &gt;0,ISNUMBER( SnapshotTable[[#This Row],[Long Term Target]])),(SnapshotTable[[#This Row],[Equity Shares]]*SnapshotTable[[#This Row],[Long Term Target]]) - SnapshotTable[[#This Row],[Equity Value]],0)</f>
        <v>0</v>
      </c>
      <c r="AO101" s="150" t="str">
        <f>IF(AND(ISNUMBER( SnapshotTable[[#This Row],[Long Term Target]]), ISNUMBER(SnapshotTable[[#This Row],[Last Price]])),(SnapshotTable[[#This Row],[Long Term Target]] - SnapshotTable[[#This Row],[Last Price]]) / SnapshotTable[[#This Row],[Last Price]], "")</f>
        <v/>
      </c>
      <c r="AP101" s="5"/>
      <c r="AQ101" s="38"/>
      <c r="AR101" s="5"/>
      <c r="AS101" s="38"/>
      <c r="AT101" s="144"/>
      <c r="AU101" s="185" t="str">
        <f>IF(OR(SnapshotTable[[#This Row],[LP No Fill]]="Y",SnapshotTable[[#This Row],[SP Is Filled]],SnapshotTable[[#This Row],[LC Not Filled]]="Y",SnapshotTable[[#This Row],[SC Is Filled]]),"Y","")</f>
        <v/>
      </c>
      <c r="AV101" s="205"/>
      <c r="AW101" s="211"/>
      <c r="AX101" s="206"/>
      <c r="AY101" s="205" t="str">
        <f>IF(SnapshotTable[[#This Row],[Implied Move]]&gt;0, SnapshotTable[[#This Row],[Last Price]]-SnapshotTable[[#This Row],[Implied Move]],"")</f>
        <v/>
      </c>
      <c r="AZ101" s="205" t="str">
        <f>IF(SnapshotTable[[#This Row],[Implied Move]]&gt;0, SnapshotTable[[#This Row],[Last Price]] + SnapshotTable[[#This Row],[Implied Move]],"")</f>
        <v/>
      </c>
      <c r="BA101" s="302"/>
      <c r="BB101" s="318"/>
      <c r="BC10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1" s="321"/>
      <c r="BE101" s="5"/>
      <c r="BF101" s="14"/>
      <c r="BG101" s="13"/>
      <c r="BH101" s="13"/>
      <c r="BI101" s="5"/>
      <c r="BJ101" s="134">
        <f>IF(SnapshotTable[[#This Row],[LP Qty]] &gt; 0, SnapshotTable[[#This Row],[LP Qty]] * SnapshotTable[[#This Row],[LP Book Price]] * 100,0)</f>
        <v>0</v>
      </c>
      <c r="BK101" s="134">
        <f>IF(SnapshotTable[[#This Row],[LP Premium]] &gt; 0, SnapshotTable[[#This Row],[LP Qty]] * SnapshotTable[[#This Row],[LP Strike Price]] * 100,0)</f>
        <v>0</v>
      </c>
      <c r="BL101" s="152"/>
      <c r="BM101" s="355" t="str">
        <f>IF(SnapshotTable[[#This Row],[LP Premium]] &gt; 0,SnapshotTable[[#This Row],[LP Exp Date]]-MAX(SnapshotTable[[#This Row],[LP Book Date]], SnapshotTable[[#This Row],[LP Fill Date]]),"")</f>
        <v/>
      </c>
      <c r="BN101" s="355" t="str">
        <f>IF(ISNUMBER( SnapshotTable[[#This Row],[LP Term]]), SnapshotTable[[#This Row],[LP Exp Date]] - MockToday,"")</f>
        <v/>
      </c>
      <c r="BO101" s="161" t="str">
        <f>IF(AND(SnapshotTable[[#This Row],[LP Exp Date]]&gt;0, SnapshotTable[[#This Row],[LP Strike Price]]&gt;0,SnapshotTable[[#This Row],[LP Qty]]&gt;0,SnapshotTable[[#This Row],[LP Book Date]]&gt;0,SnapshotTable[[#This Row],[LP Book Price]]&gt;0,SnapshotTable[[#This Row],[LP Fill Date]]=0),"Y","")</f>
        <v/>
      </c>
      <c r="BP101" s="31" t="str">
        <f>IF(AND(SnapshotTable[[#This Row],[LP No Fill]]&lt;&gt;"Y",SnapshotTable[[#This Row],[LP Contract Value]]&gt;0, SnapshotTable[[#This Row],[LP Qty]]&gt;0), SnapshotTable[[#This Row],[LP Contract Value]]*SnapshotTable[[#This Row],[LP Qty]]*100,"")</f>
        <v/>
      </c>
      <c r="BQ101" s="13"/>
      <c r="BR101" s="5"/>
      <c r="BS101" s="36"/>
      <c r="BT101" s="145"/>
      <c r="BU101" s="13"/>
      <c r="BV101" s="5"/>
      <c r="BW101" s="382" t="b">
        <f>AND(ISNUMBER(SnapshotTable[[#This Row],[SP Exp Date]]), ISNUMBER(SnapshotTable[[#This Row],[SP Strike Price]]), ISNUMBER(SnapshotTable[[#This Row],[SP Qty]]), ISNUMBER(SnapshotTable[[#This Row],[SP Book Date]]), ISNUMBER(SnapshotTable[[#This Row],[SP Book Price]]))</f>
        <v>0</v>
      </c>
      <c r="BX101" s="382" t="b">
        <f>AND(SnapshotTable[[#This Row],[SP Is Booked]], NOT(ISBLANK(SnapshotTable[[#This Row],[SP Fill Date]])))</f>
        <v>0</v>
      </c>
      <c r="BY101" s="33">
        <f>IF(SnapshotTable[[#This Row],[SP Is Booked]], SnapshotTable[[#This Row],[SP Qty]] * SnapshotTable[[#This Row],[SP Book Price]] * 100, 0)</f>
        <v>0</v>
      </c>
      <c r="BZ101" s="339"/>
      <c r="CA101" s="338">
        <f>SnapshotTable[[#This Row],[LP Qty]]</f>
        <v>0</v>
      </c>
      <c r="CB101" s="4" t="str">
        <f>IF(SnapshotTable[[#This Row],[SP Is Booked]], SnapshotTable[[#This Row],[SP Strike Price]] - SnapshotTable[[#This Row],[SP Book Price]], "")</f>
        <v/>
      </c>
      <c r="CC101" s="19" t="str">
        <f>IF(SnapshotTable[[#This Row],[SP Is Booked]],SnapshotTable[[#This Row],[SP Exp Date]]-MAX(SnapshotTable[[#This Row],[SP Book Date]], SnapshotTable[[#This Row],[SP Fill Date]]),"")</f>
        <v/>
      </c>
      <c r="CD101" s="7" t="str">
        <f>IF(SnapshotTable[[#This Row],[SP Is Booked]], SnapshotTable[[#This Row],[SP Book Price]]/SnapshotTable[[#This Row],[SP Strike Price]], "")</f>
        <v/>
      </c>
      <c r="CE101" s="7" t="str">
        <f>IF(ISNUMBER(SnapshotTable[[#This Row],[SP ROO Term]]),SnapshotTable[[#This Row],[SP ROO Term]]*(365/SnapshotTable[[#This Row],[SP Term]]),"")</f>
        <v/>
      </c>
      <c r="CF101" s="221">
        <f>SnapshotTable[[#This Row],[LP Strike Price]] * SnapshotTable[[#This Row],[LP Qty]] * 100</f>
        <v>0</v>
      </c>
      <c r="CG101" s="31">
        <f>IF(ISNUMBER(SnapshotTable[[#This Row],[SP Premium]]), (SnapshotTable[[#This Row],[SP Qty]] * SnapshotTable[[#This Row],[SP Strike Price]]* 100) - SnapshotTable[[#This Row],[LP Protection]], 0)</f>
        <v>0</v>
      </c>
      <c r="CH101" s="7" t="str">
        <f>IF(ISNUMBER(SnapshotTable[[#This Row],[SP Break Even]]),-1 * (SnapshotTable[[#This Row],[SP Break Even]] - SnapshotTable[[#This Row],[Last Price]]) / SnapshotTable[[#This Row],[Last Price]], "")</f>
        <v/>
      </c>
      <c r="CI101" s="31">
        <f>IF(AND(ISNUMBER((SnapshotTable[[#This Row],[SP Potential Spend]])), SnapshotTable[[#This Row],[SP Strike Price]] &gt; SnapshotTable[[#This Row],[Last Price]], SnapshotTable[[#This Row],[SP Is Filled]]), SnapshotTable[[#This Row],[SP Potential Spend]] -  SnapshotTable[[#This Row],[LP Max Value]], 0)</f>
        <v>0</v>
      </c>
      <c r="CJ101" s="229"/>
      <c r="CK101" s="31">
        <f>IF(ISNUMBER(SnapshotTable[[#This Row],[SP Potential Spend]]),IF(ISNUMBER(SnapshotTable[[#This Row],[SP POW]]), SnapshotTable[[#This Row],[SP POW]] * SnapshotTable[[#This Row],[SP Potential Spend]], SnapshotTable[[#This Row],[SP Potential Spend]]), "")</f>
        <v>0</v>
      </c>
      <c r="CL101" s="162">
        <f>IF(NOT(SnapshotTable[[#This Row],[SP Is Filled]]),(SnapshotTable[[#This Row],[SP Qty]] * SnapshotTable[[#This Row],[SP Strike Price]] * 100) - SnapshotTable[[#This Row],[LP Max Value]],"")</f>
        <v>0</v>
      </c>
      <c r="CM101" s="31" t="str">
        <f>IF(SnapshotTable[[#This Row],[SP Actual Spend]]&lt;&gt;0, ((SnapshotTable[[#This Row],[SP Strike Price]]-SnapshotTable[[#This Row],[Last Price]]) *(SnapshotTable[[#This Row],[SP Qty]]*100) - SnapshotTable[[#This Row],[SP Premium]]) * - 1, "")</f>
        <v/>
      </c>
      <c r="CN101" s="76"/>
      <c r="CO101" s="339"/>
      <c r="CP101" s="4" t="str">
        <f>IF(SnapshotTable[[#This Row],[SP Is Filled]], btc_max_buyback_amount(SnapshotTable[[#This Row],[SP Fill Date]],SnapshotTable[[#This Row],[SP Exp Date]], SnapshotTable[[#This Row],[SP Book Price]]),"")</f>
        <v/>
      </c>
      <c r="CQ101" s="76"/>
      <c r="CR10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1" s="153" t="str">
        <f>IF(SnapshotTable[[#This Row],[SP Is Filled]], btc_next_cutoff_date(SnapshotTable[[#This Row],[SP Fill Date]],SnapshotTable[[#This Row],[SP Exp Date]]),"")</f>
        <v/>
      </c>
      <c r="CT101" s="220" t="str" cm="1">
        <f t="array" ref="CT101">IF(SnapshotTable[[#This Row],[SP Is Filled]], btc_should_buy_back(SnapshotTable[[#This Row],[SP Fill Date]], SnapshotTable[[#This Row],[SP Exp Date]], SnapshotTable[[#This Row],[SP Book Price]], SnapshotTable[[#This Row],[SP Current Ask]], MockToday, SnapshotTable[[#This Row],[SP Buyback Override]]),"")</f>
        <v/>
      </c>
      <c r="CU101" s="141"/>
      <c r="CV101" s="220"/>
      <c r="CW101" s="348" t="str">
        <f>IF(ISNUMBER( SnapshotTable[[#This Row],[SP Term]]), SnapshotTable[[#This Row],[SP Exp Date]] - MockToday,"")</f>
        <v/>
      </c>
      <c r="CX101" s="31" t="str">
        <f>IF(SnapshotTable[[#This Row],[SP Is Filled]],SnapshotTable[[#This Row],[SP Buyback Price to Use]] * 100 * SnapshotTable[[#This Row],[SP Qty]], "")</f>
        <v/>
      </c>
      <c r="CY101" s="4" t="str">
        <f>IF(ISNUMBER(SnapshotTable[[#This Row],[SP Strike Price]]), SnapshotTable[[#This Row],[SP Strike Price]] * (1 - SP_MaxLoss_StrikePct), "")</f>
        <v/>
      </c>
      <c r="CZ101" s="31" t="str">
        <f>IF(ISNUMBER(SnapshotTable[[#This Row],[SP Strike  Stop Per Share]]),SnapshotTable[[#This Row],[SP Premium]] - ((SnapshotTable[[#This Row],[SP Strike Price]]-SnapshotTable[[#This Row],[SP Strike  Stop Per Share]]) *(SnapshotTable[[#This Row],[SP Qty]] * 100)),"")</f>
        <v/>
      </c>
      <c r="DA101" s="4" t="str">
        <f>IF(AND(ISNUMBER(SnapshotTable[[#This Row],[SP Premium]]),SnapshotTable[[#This Row],[SP Premium]]&gt;0), SnapshotTable[[#This Row],[SP Book Price]] * (1 + SP_MaxLoss_OptionPct), "")</f>
        <v/>
      </c>
      <c r="DB101" s="31" t="str">
        <f>IF(ISNUMBER(SnapshotTable[[#This Row],[SP Option  Stop Contract]]),(SnapshotTable[[#This Row],[SP Option  Stop Contract]] *(SnapshotTable[[#This Row],[SP Qty]] * 100) - SnapshotTable[[#This Row],[SP Premium]]),"")</f>
        <v/>
      </c>
      <c r="DC101" s="4"/>
      <c r="DD101" s="4"/>
      <c r="DE101" s="4" t="str">
        <f>IF(AND(SnapshotTable[[#This Row],[SP Qty]]&gt;0, SnapshotTable[[#This Row],[SP Stop To Use]]&gt;0),SnapshotTable[[#This Row],[SP Premium]] - ( SnapshotTable[[#This Row],[SP Qty]] * SnapshotTable[[#This Row],[SP Stop To Use]] * 100), "")</f>
        <v/>
      </c>
      <c r="DF101" s="31" t="str">
        <f>IF(AND(SnapshotTable[[#This Row],[SP Qty]]&gt;0,SnapshotTable[[#This Row],[SP Current Ask]]&gt;0), SnapshotTable[[#This Row],[SP Qty]] * SnapshotTable[[#This Row],[SP Current Ask]] * -100, "")</f>
        <v/>
      </c>
      <c r="DG101" s="31" t="str">
        <f>IF(ISNUMBER((SnapshotTable[[#This Row],[SP Total Value]])), SnapshotTable[[#This Row],[SP Premium]] + SnapshotTable[[#This Row],[SP Total Value]], "")</f>
        <v/>
      </c>
      <c r="DH101" s="272" t="str">
        <f>IF(ISNUMBER((SnapshotTable[[#This Row],[SP Total Value]])), SnapshotTable[[#This Row],[SP Gain Loss]] / SnapshotTable[[#This Row],[SP Premium]], "")</f>
        <v/>
      </c>
      <c r="DI101" s="369"/>
      <c r="DJ101" s="136"/>
      <c r="DK101" s="146"/>
      <c r="DL101" s="13"/>
      <c r="DM101" s="13"/>
      <c r="DO101" s="31">
        <f>IF(SnapshotTable[[#This Row],[LC Symbol Count]]=1, SnapshotTable[[#This Row],[LC Qty]] * SnapshotTable[[#This Row],[LC Book Price]] * 100, 0)</f>
        <v>0</v>
      </c>
      <c r="DP101" s="161" t="str">
        <f>IF(AND(SnapshotTable[[#This Row],[LC Exp Date]]&gt;0, SnapshotTable[[#This Row],[LC Strike Price]]&gt;0,SnapshotTable[[#This Row],[LC Qty]]&gt;0,SnapshotTable[[#This Row],[LC Book Date]]&gt;0,SnapshotTable[[#This Row],[LC Book Price]]&gt;0,SnapshotTable[[#This Row],[LC Fill Date]]=0),"Y","")</f>
        <v/>
      </c>
      <c r="DQ101" s="356" t="str">
        <f>IF(SnapshotTable[[#This Row],[LC Premium]] &gt; 0,SnapshotTable[[#This Row],[LC Exp Date]]-MAX(SnapshotTable[[#This Row],[LC Book Date]], SnapshotTable[[#This Row],[LC Fill Date]]),"")</f>
        <v/>
      </c>
      <c r="DR101" s="356" t="str">
        <f>IF(ISNUMBER(SnapshotTable[[#This Row],[LC Term]]), SnapshotTable[[#This Row],[LC Exp Date]] - MockToday, "")</f>
        <v/>
      </c>
      <c r="DS101" s="219" t="str">
        <f>IF(SnapshotTable[[#This Row],[LC Premium]]&gt;0,SnapshotTable[[#This Row],[LC Strike Price]] + SnapshotTable[[#This Row],[LC Book Price]],"")</f>
        <v/>
      </c>
      <c r="DU101" s="9" t="str">
        <f>IF(AND(SnapshotTable[[#This Row],[LC Symbol Count]]&gt;0, SnapshotTable[[#This Row],[LC Contract Value]]&gt;0), SnapshotTable[[#This Row],[LC Contract Value]] * SnapshotTable[[#This Row],[LC Qty]] * 100, "")</f>
        <v/>
      </c>
      <c r="DV101" s="9" t="str">
        <f>IF(AND(ISNUMBER(SnapshotTable[[#This Row],[LC Total Value]]), SnapshotTable[[#This Row],[LC Not Filled]]&lt;&gt;"Y"), SnapshotTable[[#This Row],[LC Total Value]]-SnapshotTable[[#This Row],[LC Premium]],"")</f>
        <v/>
      </c>
      <c r="DW101" s="225" t="str">
        <f>IF(ISNUMBER(SnapshotTable[[#This Row],[LC Actual Gain Loss]]), SnapshotTable[[#This Row],[LC Actual Gain Loss]] / SnapshotTable[[#This Row],[LC Premium]],"")</f>
        <v/>
      </c>
      <c r="DX101" s="269" t="str">
        <f>IF(ISNUMBER(SnapshotTable[[#This Row],[LC Book Price]]),SnapshotTable[[#This Row],[LC Book Price]] * 1.5,"")</f>
        <v/>
      </c>
      <c r="DY101" s="250" t="str">
        <f>IF(SnapshotTable[[#This Row],[LC Premium]]&gt;0, SnapshotTable[[#This Row],[LC Next Target]] * SnapshotTable[[#This Row],[LC Qty]] * 100,"")</f>
        <v/>
      </c>
      <c r="DZ101" s="250" t="str">
        <f>IF(ISNUMBER(SnapshotTable[[#This Row],[LC Target Gross]]), SnapshotTable[[#This Row],[LC Target Gross]] - SnapshotTable[[#This Row],[LC Premium]], "")</f>
        <v/>
      </c>
      <c r="EA101" s="283" t="str">
        <f>IF(ISNUMBER(SnapshotTable[[#This Row],[LC Target Gain Loss]]), SnapshotTable[[#This Row],[LC Target Gain Loss]]/SnapshotTable[[#This Row],[LC Premium]], "")</f>
        <v/>
      </c>
      <c r="EB101" s="247"/>
      <c r="EC101" s="268" t="str">
        <f>IF(SnapshotTable[[#This Row],[LC Premium]]&gt;0, SnapshotTable[[#This Row],[LC Book Price]] * (1 - LC_StopLoss_Pct),"")</f>
        <v/>
      </c>
      <c r="ED101" s="269"/>
      <c r="EE101" s="268" t="str">
        <f>IF(ISNUMBER(SnapshotTable[[#This Row],[LC Contract Value]]),IF(ISNUMBER(SnapshotTable[[#This Row],[LC Stop Loss Override]]), SnapshotTable[[#This Row],[LC Stop Loss Override]],SnapshotTable[[#This Row],[LC Stop Loss Calc Target]]),"")</f>
        <v/>
      </c>
      <c r="EF101" s="31" t="str">
        <f>IF(ISNUMBER(SnapshotTable[[#This Row],[LC Stop  To Use]]), (SnapshotTable[[#This Row],[LC Stop  To Use]] * SnapshotTable[[#This Row],[LC Qty]] * 100),"")</f>
        <v/>
      </c>
      <c r="EG101" s="9" t="str">
        <f>IF(ISNUMBER(SnapshotTable[[#This Row],[LC Total Value]]),SnapshotTable[[#This Row],[LC Stop Loss Amount]] - SnapshotTable[[#This Row],[LC Premium]],"")</f>
        <v/>
      </c>
      <c r="EH101" s="9">
        <f>IF(ISNUMBER(SnapshotTable[[#This Row],[LC Premium]]), SnapshotTable[[#This Row],[LC Qty]] * 100 * SnapshotTable[[#This Row],[LC Strike Price]], "")</f>
        <v>0</v>
      </c>
      <c r="EI101" s="225" t="str">
        <f>IF(AND(ISNUMBER(SnapshotTable[[#This Row],[LC Total Value]]),SnapshotTable[[#This Row],[LC Total Value]]&gt;0),SnapshotTable[[#This Row],[LC Stop Gain Loss]]  / SnapshotTable[[#This Row],[LC Premium]],"")</f>
        <v/>
      </c>
      <c r="EJ101" s="35">
        <f>IF(ISNUMBER(SnapshotTable[[#This Row],[Equity Shares]]),TRUNC(SnapshotTable[[#This Row],[Equity Shares]] / 100),0) + SnapshotTable[[#This Row],[LC Qty]]</f>
        <v>0</v>
      </c>
      <c r="EK101" s="145"/>
      <c r="EL101" s="136"/>
      <c r="EM101" s="146"/>
      <c r="EN101" s="145"/>
      <c r="EO101" s="145"/>
      <c r="EP101" s="136"/>
      <c r="EQ101" s="382" t="b">
        <f>AND(ISNUMBER(SnapshotTable[[#This Row],[SC Exp Date]]), ISNUMBER(SnapshotTable[[#This Row],[SC Strike Price]]), ISNUMBER(SnapshotTable[[#This Row],[SC Qty]]), ISNUMBER(SnapshotTable[[#This Row],[SC Book Date]]), ISNUMBER(SnapshotTable[[#This Row],[SC Book Price]]))</f>
        <v>0</v>
      </c>
      <c r="ER101" s="382" t="b">
        <f>AND(SnapshotTable[[#This Row],[SC Is Booked]], NOT(ISBLANK(SnapshotTable[[#This Row],[SC Fill Date]])))</f>
        <v>0</v>
      </c>
      <c r="ES101" s="340"/>
      <c r="ET101" s="34" t="str">
        <f>IF(AND(ISNUMBER(SnapshotTable[[#This Row],[SC Exp Date]]), ISNUMBER(SnapshotTable[[#This Row],[SC Book Date]])), SnapshotTable[[#This Row],[SC Exp Date]] - MAX(SnapshotTable[[#This Row],[SC Book Date]], SnapshotTable[[#This Row],[SC Fill Date]]) + 1, "")</f>
        <v/>
      </c>
      <c r="EU101" s="34" t="str">
        <f>IF(ISNUMBER(SnapshotTable[[#This Row],[SC Term]]), SnapshotTable[[#This Row],[SC Exp Date]]- MockToday, "")</f>
        <v/>
      </c>
      <c r="EV101" s="31">
        <f>IF(SnapshotTable[[#This Row],[SC Is Booked]], SnapshotTable[[#This Row],[SC Qty]] * SnapshotTable[[#This Row],[SC Book Price]] * 100, 0)</f>
        <v>0</v>
      </c>
      <c r="EW101" s="4" t="str">
        <f>IF(AND(ISNUMBER(SnapshotTable[[#This Row],[Last Price]]), ISNUMBER( SnapshotTable[[#This Row],[SC Book Price]])), SnapshotTable[[#This Row],[Last Price]] - SnapshotTable[[#This Row],[SC Book Price]],"")</f>
        <v/>
      </c>
      <c r="EX101" s="219" t="str">
        <f>IF(SnapshotTable[[#This Row],[SC Is Booked]],IF(SnapshotTable[[#This Row],[SC Intrinsic Value]] &gt; 0, SnapshotTable[[#This Row],[SC Strike Price]], SnapshotTable[[#This Row],[Last Price]]), "")</f>
        <v/>
      </c>
      <c r="EY101" s="4">
        <f>IF(SnapshotTable[[#This Row],[SC Is Booked]], (MinimumPremiumRequired * SnapshotTable[[#This Row],[SC Basis]] * SnapshotTable[[#This Row],[SC Term]]), 0)</f>
        <v>0</v>
      </c>
      <c r="EZ101" s="268"/>
      <c r="FA101" s="204"/>
      <c r="FB101" s="340"/>
      <c r="FC101" s="4">
        <f>IF(SnapshotTable[[#This Row],[SC Is Filled]], btc_max_buyback_amount(SnapshotTable[[#This Row],[SC Fill Date]],SnapshotTable[[#This Row],[SC Exp Date]], SnapshotTable[[#This Row],[SC Book Price]]),0)</f>
        <v>0</v>
      </c>
      <c r="FD101" s="5"/>
      <c r="FE101" s="142" t="str">
        <f>IF(SnapshotTable[[#This Row],[SC Is Filled]], btc_next_cutoff_date(SnapshotTable[[#This Row],[SC Fill Date]],SnapshotTable[[#This Row],[SC Exp Date]]),"")</f>
        <v/>
      </c>
      <c r="FF101" s="4" t="str" cm="1">
        <f t="array" ref="FF101">IF(SnapshotTable[[#This Row],[SC Is Filled]], btc_should_buy_back(SnapshotTable[[#This Row],[SC Fill Date]], SnapshotTable[[#This Row],[SC Exp Date]], SnapshotTable[[#This Row],[SC Book Price]], SnapshotTable[[#This Row],[SC Current Ask]], MockToday, SnapshotTable[[#This Row],[SC Buyback Override]]),"")</f>
        <v/>
      </c>
      <c r="FG101" s="4">
        <f>IF(SnapshotTable[[#This Row],[SC Is Filled]], MAX(0,SnapshotTable[[#This Row],[Last Price]]  - SnapshotTable[[#This Row],[SC Strike Price]]), 0)</f>
        <v>0</v>
      </c>
      <c r="FH101" s="352">
        <f>IF(SnapshotTable[[#This Row],[SC Is Filled]], IF(ISNUMBER(SnapshotTable[[#This Row],[SC Current Ask]]), SnapshotTable[[#This Row],[SC Current Ask]], SnapshotTable[[#This Row],[SC Book Price]]) - SnapshotTable[[#This Row],[SC Intrinsic Value]], 0)</f>
        <v>0</v>
      </c>
      <c r="FI101" s="141"/>
      <c r="FJ101" s="32" t="str">
        <f>IF(SnapshotTable[[#This Row],[SC Is Filled]],100 * SnapshotTable[[#This Row],[SC Qty]] * IF(ISNUMBER(SnapshotTable[[#This Row],[SC Buyback Override]]), SnapshotTable[[#This Row],[SC Buyback Override]], SnapshotTable[[#This Row],[SC Current Ask]]), "")</f>
        <v/>
      </c>
      <c r="FK101" s="235" t="str">
        <f>IF(SnapshotTable[[#This Row],[SC Time Val]]&gt;0, SnapshotTable[[#This Row],[SC Time Val]] / SnapshotTable[[#This Row],[Last Price]],"")</f>
        <v/>
      </c>
      <c r="FL101" s="280" t="str">
        <f>IF(SnapshotTable[[#This Row],[SC Is Booked]], ((SnapshotTable[[#This Row],[Last Price]] -SnapshotTable[[#This Row],[SC Strike Price]]) / SnapshotTable[[#This Row],[Last Price]]) * -1, "")</f>
        <v/>
      </c>
      <c r="FM101" s="155" t="str">
        <f>IF(SnapshotTable[[#This Row],[SC Is Booked]],  (SnapshotTable[[#This Row],[SC Qty]] * 100 * SnapshotTable[[#This Row],[SC Strike Price]]) - SnapshotTable[[#This Row],[SC Current Ask]], "")</f>
        <v/>
      </c>
      <c r="FN1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1" s="31" t="str">
        <f>IF(AND(ISNUMBER(SnapshotTable[[#This Row],[SC Exercise Gross]]), ISNUMBER(SnapshotTable[[#This Row],[Equity Basis Per Share]] )), SnapshotTable[[#This Row],[SC Exercise Gross]] - SnapshotTable[[#This Row],[Equity Basis Total]] +  SnapshotTable[[#This Row],[SC Premium]], "")</f>
        <v/>
      </c>
      <c r="FP101" s="5" t="str">
        <f>IF(ISNUMBER(SnapshotTable[[#This Row],[SC Exercise Gross]]), (SnapshotTable[[#This Row],[SC Exercise Gross]]) / (SnapshotTable[[#This Row],[SC Qty]] * 100), "")</f>
        <v/>
      </c>
      <c r="FQ101" s="27" t="str">
        <f>IF(SnapshotTable[[#This Row],[SC Is Booked]],SnapshotTable[[#This Row],[SC Time Val]] /SnapshotTable[[#This Row],[SC Basis]], "")</f>
        <v/>
      </c>
      <c r="FR101" s="27" t="str" cm="1">
        <f t="array" ref="FR101">IF(AND(ISNUMBER(SnapshotTable[[#This Row],[SC Term]]),ISNUMBER(SnapshotTable[[#This Row],[SC Simple ROO]])), EllmanAnnualize(SnapshotTable[[#This Row],[SC DTE]], SnapshotTable[[#This Row],[SC Simple ROO]] ),"")</f>
        <v/>
      </c>
      <c r="FS101" s="4">
        <f>IF(SnapshotTable[[#This Row],[SC Strike Price]] &gt; SnapshotTable[[#This Row],[Last Price]], SnapshotTable[[#This Row],[SC Strike Price]] - SnapshotTable[[#This Row],[Last Price]],0)</f>
        <v>0</v>
      </c>
      <c r="FT101" s="27" t="str">
        <f>IF(AND(ISNUMBER(SnapshotTable[[#This Row],[SC Upside Potential]]), SnapshotTable[[#This Row],[SC Upside Potential]] &gt; 0),(SnapshotTable[[#This Row],[SC Upside Potential]]/ SnapshotTable[[#This Row],[ACB]]),"")</f>
        <v/>
      </c>
      <c r="FU101" s="304" t="str">
        <f>IF(SnapshotTable[[#This Row],[SC Intrinsic Value]] &gt; 0,SnapshotTable[[#This Row],[SC Intrinsic Value]],"")</f>
        <v/>
      </c>
      <c r="FV101" s="27" t="str">
        <f>IF(AND( ISNUMBER( SnapshotTable[[#This Row],[ACB]]),ISNUMBER(SnapshotTable[[#This Row],[SC Downside Protect]])),SnapshotTable[[#This Row],[SC Downside Protect]] / SnapshotTable[[#This Row],[ACB]],"")</f>
        <v/>
      </c>
      <c r="FW101" s="221" t="str">
        <f>IF(AND(ISNUMBER(SnapshotTable[[#This Row],[SC Simple ROO]]),SnapshotTable[[#This Row],[SC Simple ROO]] &gt; 0), SnapshotTable[[#This Row],[SC Premium]] + (SnapshotTable[[#This Row],[SC Qty]] * SnapshotTable[[#This Row],[SC Upside Potential]]), "")</f>
        <v/>
      </c>
      <c r="FX101" s="280" t="str" cm="1">
        <f t="array" ref="FX101">IF(ISNUMBER(SnapshotTable[[#This Row],[SC Max Dollars]]), annualize(SnapshotTable[[#This Row],[SC Term]],(SnapshotTable[[#This Row],[SC Max Dollars]]/SnapshotTable[[#This Row],[SC Basis]])),"")</f>
        <v/>
      </c>
      <c r="FY101" s="221" t="str">
        <f>IF(AND(SnapshotTable[[#This Row],[SC Qty]]&gt;0,SnapshotTable[[#This Row],[SC Current Ask]]&gt;0), SnapshotTable[[#This Row],[SC Qty]] * SnapshotTable[[#This Row],[SC Current Ask]] * -100, "")</f>
        <v/>
      </c>
      <c r="FZ101" s="31" t="str">
        <f>IF(ISNUMBER((SnapshotTable[[#This Row],[SC Current Value]])), SnapshotTable[[#This Row],[SC Premium]] + SnapshotTable[[#This Row],[SC Current Value]], "")</f>
        <v/>
      </c>
      <c r="GA101" s="272" t="str">
        <f>IFERROR( IF(ISNUMBER((SnapshotTable[[#This Row],[SC Current Value]])), SnapshotTable[[#This Row],[SC Gain Loss]] / SnapshotTable[[#This Row],[SC Premium]], ""), "")</f>
        <v/>
      </c>
      <c r="GB101" s="42">
        <f>SnapshotTable[[#This Row],[Equity Shares]] * SaleSharesToConsiderPercentage</f>
        <v>0</v>
      </c>
      <c r="GC101" s="40">
        <f>SnapshotTable[[#This Row],[Long Term Target]] * SellingPriceToConsiderBasedOnTargetPercentage</f>
        <v>0</v>
      </c>
      <c r="GD101" s="40">
        <f>SnapshotTable[[#This Row],[Last Price]] * (1+ SellingPriceToConsiderBasedOnTargetPercentage)</f>
        <v>52.981500000000004</v>
      </c>
      <c r="GE101" s="41"/>
      <c r="GF101" s="40"/>
      <c r="GG101" s="31">
        <f>SnapshotTable[[#This Row],[Booked Sale Shares]] * SnapshotTable[[#This Row],[Booked Sale Price]]</f>
        <v>0</v>
      </c>
      <c r="GH101" s="31" t="str">
        <f>IF(SnapshotTable[[#This Row],[Equity Basis Total]] &gt; 0, SnapshotTable[[#This Row],[Equity Basis Per Share]] * SnapshotTable[[#This Row],[Booked Sale Shares]], "")</f>
        <v/>
      </c>
      <c r="GI101" s="31">
        <f>IF(SnapshotTable[[#This Row],[Sale Proceeds]]&gt;0, SnapshotTable[[#This Row],[Sale Proceeds]] - SnapshotTable[[#This Row],[Sale Basis]], 0)</f>
        <v>0</v>
      </c>
      <c r="GJ101" s="27" t="str">
        <f>IF(SnapshotTable[[#This Row],[Sale G/L]]&gt;0, SnapshotTable[[#This Row],[Sale G/L]] / SnapshotTable[[#This Row],[Sale Basis]], IF(ISNUMBER(SnapshotTable[[#This Row],[SC Exercise P&amp;L (TAX)]]), SnapshotTable[[#This Row],[SC Exercise P&amp;L (TAX)]] / SnapshotTable[[#This Row],[SC Basis]], ""))</f>
        <v/>
      </c>
      <c r="GK101" s="27" t="s">
        <v>552</v>
      </c>
      <c r="GL101" s="43" t="str">
        <f>IF(AND(SnapshotTable[[#This Row],[LP Exp Date]]&gt;0,SnapshotTable[[#This Row],[LP Strike Price]]&gt;0), [1]!ToOptionSymbol(SnapshotTable[[#This Row],[Symbol]], SnapshotTable[[#This Row],[LP Strike Price]],SnapshotTable[[#This Row],[LP Exp Date]],1), "")</f>
        <v/>
      </c>
      <c r="GM101" s="30" t="str">
        <f>IF(LEN(SnapshotTable[[#This Row],[LP Symbol]])&gt;0, 1, "")</f>
        <v/>
      </c>
      <c r="GN101" s="43" t="str">
        <f>IF(AND(SnapshotTable[[#This Row],[SP Exp Date]]&gt;0,SnapshotTable[[#This Row],[SP Strike Price]]&gt;0), [1]!ToOptionSymbol(SnapshotTable[[#This Row],[Symbol]], SnapshotTable[[#This Row],[SP Strike Price]],SnapshotTable[[#This Row],[SP Exp Date]],1), "")</f>
        <v/>
      </c>
      <c r="GO101" s="30" t="str">
        <f>IF(LEN(SnapshotTable[[#This Row],[SP Symbol]])&gt;0, 1, "")</f>
        <v/>
      </c>
      <c r="GP101" s="43" t="str">
        <f>IF(AND(SnapshotTable[[#This Row],[LC Exp Date]]&gt;0,SnapshotTable[[#This Row],[LC Strike Price]]&gt;0), [1]!ToOptionSymbol(SnapshotTable[[#This Row],[Symbol]], SnapshotTable[[#This Row],[LC Strike Price]],SnapshotTable[[#This Row],[LC Exp Date]],0), "")</f>
        <v/>
      </c>
      <c r="GQ101" s="30" t="str">
        <f>IF(LEN(SnapshotTable[[#This Row],[LC Symbol]])&gt;0, 1, "")</f>
        <v/>
      </c>
      <c r="GR101" s="43" t="str">
        <f>IF(AND(SnapshotTable[[#This Row],[SC Exp Date]]&gt;0,SnapshotTable[[#This Row],[SC Strike Price]]&gt;0), [1]!ToOptionSymbol(SnapshotTable[[#This Row],[Symbol]], SnapshotTable[[#This Row],[SC Strike Price]],SnapshotTable[[#This Row],[SC Exp Date]],0), "")</f>
        <v/>
      </c>
      <c r="GS101" s="30" t="str">
        <f>IF(LEN(SnapshotTable[[#This Row],[SC Symbol]])&gt;0, 1, "")</f>
        <v/>
      </c>
      <c r="GT101" s="29" t="str">
        <f>IF(COUNT(SnapshotTable[[#This Row],[LP Symbol Count]],SnapshotTable[[#This Row],[SP Symbol Count]],SnapshotTable[[#This Row],[LC Symbol Count]],SnapshotTable[[#This Row],[SC Symbol Count]])&gt;0, "Y", "")</f>
        <v/>
      </c>
      <c r="GU10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1" s="216">
        <f>MAX(SnapshotTable[[#This Row],[Equity Basis Total]],SnapshotTable[[#This Row],[Equity Value]]) + (SnapshotTable[[#This Row],[SP Potential Spend]]- SnapshotTable[[#This Row],[SP Premium]] + SnapshotTable[[#This Row],[LP Premium]])+ (SnapshotTable[[#This Row],[LC Premium]] - SnapshotTable[[#This Row],[SC Premium]])</f>
        <v>0</v>
      </c>
      <c r="GW101" s="137" t="str">
        <f>IF(AND(SnapshotTable[[#This Row],[Exposure]] &lt;&gt; 0),SnapshotTable[[#This Row],[Exposure]] / SnapshotTable[[#Totals],[Exposure]], "")</f>
        <v/>
      </c>
      <c r="HE101" s="253"/>
      <c r="HF101" s="253"/>
      <c r="HK101" s="1"/>
      <c r="HL101" s="1"/>
      <c r="HM101" s="1"/>
      <c r="HN101" s="1"/>
      <c r="HO101" s="1"/>
      <c r="HP101" s="1"/>
    </row>
    <row r="102" spans="2:224" ht="12.75" hidden="1" customHeight="1" x14ac:dyDescent="0.25">
      <c r="B102" s="12" t="s">
        <v>94</v>
      </c>
      <c r="C102" s="385">
        <v>135.65</v>
      </c>
      <c r="D102" s="200" t="s">
        <v>658</v>
      </c>
      <c r="E102" s="39">
        <f>SnapshotTable[[#This Row],[Last Price]]*(1 -CrashDiscount)</f>
        <v>115.30249999999999</v>
      </c>
      <c r="F102" s="26" t="s">
        <v>734</v>
      </c>
      <c r="G102" s="26" t="s">
        <v>629</v>
      </c>
      <c r="H102" s="147"/>
      <c r="I102" s="186">
        <v>44754.25</v>
      </c>
      <c r="J102" s="187">
        <v>44754.25</v>
      </c>
      <c r="K102" s="188" t="s">
        <v>3</v>
      </c>
      <c r="L102" s="297"/>
      <c r="M102" s="138">
        <v>1</v>
      </c>
      <c r="N102" s="138"/>
      <c r="O102" s="138">
        <v>2</v>
      </c>
      <c r="P102" s="22"/>
      <c r="Q102" s="25"/>
      <c r="R102" s="4" t="str">
        <f>IF(SnapshotTable[[#This Row],[Equity Basis Total]] &gt; 0, SnapshotTable[[#This Row],[Equity Basis Total]] / SnapshotTable[[#This Row],[Equity Shares]], "")</f>
        <v/>
      </c>
      <c r="S102" s="254">
        <f>SnapshotTable[[#This Row],[Last Price]] * SnapshotTable[[#This Row],[Equity Shares]]</f>
        <v>0</v>
      </c>
      <c r="T102" s="254">
        <f>SnapshotTable[[#This Row],[Equity Value]] - SnapshotTable[[#This Row],[Equity Basis Total]]</f>
        <v>0</v>
      </c>
      <c r="U102" s="255" t="str">
        <f>IF(SnapshotTable[[#This Row],[Equity Basis Total]] &gt; 0, SnapshotTable[[#This Row],[Equity G/L]] / SnapshotTable[[#This Row],[Equity Basis Total]], "")</f>
        <v/>
      </c>
      <c r="V102" s="253">
        <v>147</v>
      </c>
      <c r="W102" s="253">
        <v>130</v>
      </c>
      <c r="X102" s="4" t="str">
        <f>IF(AND(ISNUMBER(SnapshotTable[[#This Row],[Equity Basis Per Share]]),ISNUMBER(SnapshotTable[[#This Row],[Equity Target]])),SnapshotTable[[#This Row],[Equity Target]]-SnapshotTable[[#This Row],[Equity Basis Per Share]],"")</f>
        <v/>
      </c>
      <c r="Y102" s="4" t="str">
        <f>IF(AND(ISNUMBER(SnapshotTable[[#This Row],[Equity Basis Per Share]]),ISNUMBER(SnapshotTable[[#This Row],[Equity Stop Loss]])),SnapshotTable[[#This Row],[Equity Stop Loss]]-SnapshotTable[[#This Row],[Equity Basis Per Share]],"")</f>
        <v/>
      </c>
      <c r="Z102" s="260" t="str">
        <f>IFERROR( TEXT(SnapshotTable[[#This Row],[Equity Max Gain Per Share]] /ABS( SnapshotTable[[#This Row],[Equity Max Loss Per Share]]),"0.0 " ) &amp; " : 1", "")</f>
        <v/>
      </c>
      <c r="AA102" s="31" t="str">
        <f>IF(ISNUMBER(SnapshotTable[[#This Row],[Equity Max Gain Per Share]]),SnapshotTable[[#This Row],[Equity Max Gain Per Share]] * SnapshotTable[[#This Row],[Equity Shares]],"")</f>
        <v/>
      </c>
      <c r="AB102" s="31" t="str">
        <f>IF(ISNUMBER(SnapshotTable[[#This Row],[Equity Max Loss Per Share]]),SnapshotTable[[#This Row],[Equity Max Loss Per Share]] * SnapshotTable[[#This Row],[Equity Shares]],"")</f>
        <v/>
      </c>
      <c r="AC102" s="148">
        <v>3.84</v>
      </c>
      <c r="AD102" s="149">
        <v>44012</v>
      </c>
      <c r="AE102" s="31">
        <f>(SnapshotTable[[#This Row],[Annual Dividend Per Share]] / 4) * SnapshotTable[[#This Row],[Equity Shares]]</f>
        <v>0</v>
      </c>
      <c r="AF102" s="31">
        <f>SnapshotTable[[#This Row],[Quarterly Div $]] * 4</f>
        <v>0</v>
      </c>
      <c r="AG102" s="7">
        <f>IF(SnapshotTable[[#This Row],[Annual Dividend Per Share]]&gt;0, SnapshotTable[[#This Row],[Annual Dividend Per Share]]  / SnapshotTable[[#This Row],[Last Price]], 0)</f>
        <v>2.8308145963877623E-2</v>
      </c>
      <c r="AH102" s="149">
        <v>44017</v>
      </c>
      <c r="AI102" s="5">
        <v>175</v>
      </c>
      <c r="AJ102" s="136">
        <v>151.96</v>
      </c>
      <c r="AK102" s="150">
        <f>IF(ISNUMBER( SnapshotTable[[#This Row],[EBF Target]]),(SnapshotTable[[#This Row],[EBF Target]] - SnapshotTable[[#This Row],[Last Price]]) / SnapshotTable[[#This Row],[Last Price]], "")</f>
        <v>0.29008477699963137</v>
      </c>
      <c r="AL102" s="150" t="str">
        <f>IF(AND(SnapshotTable[[#This Row],[Equity Basis Total]] &gt; 0,ISNUMBER( SnapshotTable[[#This Row],[Long Term Target]])), SnapshotTable[[#This Row],[From Basis $]] / SnapshotTable[[#This Row],[Equity Basis Total]], "")</f>
        <v/>
      </c>
      <c r="AM102" s="9">
        <f>IF( AND(SnapshotTable[[#This Row],[Equity Shares]] &gt;0,ISNUMBER( SnapshotTable[[#This Row],[Long Term Target]])),(SnapshotTable[[#This Row],[Equity Shares]] * SnapshotTable[[#This Row],[Long Term Target]]) - SnapshotTable[[#This Row],[Equity Basis Total]],0)</f>
        <v>0</v>
      </c>
      <c r="AN102" s="9">
        <f>IF( AND(SnapshotTable[[#This Row],[Equity Shares]] &gt;0,ISNUMBER( SnapshotTable[[#This Row],[Long Term Target]])),(SnapshotTable[[#This Row],[Equity Shares]]*SnapshotTable[[#This Row],[Long Term Target]]) - SnapshotTable[[#This Row],[Equity Value]],0)</f>
        <v>0</v>
      </c>
      <c r="AO102" s="150">
        <f>IF(AND(ISNUMBER( SnapshotTable[[#This Row],[Long Term Target]]), ISNUMBER(SnapshotTable[[#This Row],[Last Price]])),(SnapshotTable[[#This Row],[Long Term Target]] - SnapshotTable[[#This Row],[Last Price]]) / SnapshotTable[[#This Row],[Last Price]], "")</f>
        <v>0.12023590121636565</v>
      </c>
      <c r="AP102" s="5">
        <v>138</v>
      </c>
      <c r="AQ102" s="38" t="s">
        <v>16</v>
      </c>
      <c r="AR102" s="5">
        <v>138</v>
      </c>
      <c r="AS102" s="38" t="s">
        <v>22</v>
      </c>
      <c r="AT102" s="144" t="s">
        <v>442</v>
      </c>
      <c r="AU102" s="185" t="str">
        <f>IF(OR(SnapshotTable[[#This Row],[LP No Fill]]="Y",SnapshotTable[[#This Row],[SP Is Filled]],SnapshotTable[[#This Row],[LC Not Filled]]="Y",SnapshotTable[[#This Row],[SC Is Filled]]),"Y","")</f>
        <v/>
      </c>
      <c r="AV102" s="205"/>
      <c r="AW102" s="211">
        <v>2.91</v>
      </c>
      <c r="AX102" s="206">
        <v>44287</v>
      </c>
      <c r="AY102" s="205">
        <f>IF(SnapshotTable[[#This Row],[Implied Move]]&gt;0, SnapshotTable[[#This Row],[Last Price]]-SnapshotTable[[#This Row],[Implied Move]],"")</f>
        <v>132.74</v>
      </c>
      <c r="AZ102" s="205">
        <f>IF(SnapshotTable[[#This Row],[Implied Move]]&gt;0, SnapshotTable[[#This Row],[Last Price]] + SnapshotTable[[#This Row],[Implied Move]],"")</f>
        <v>138.56</v>
      </c>
      <c r="BA102" s="302">
        <v>139.66999999999999</v>
      </c>
      <c r="BB102" s="367"/>
      <c r="BC10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2" s="321"/>
      <c r="BE102" s="5"/>
      <c r="BF102" s="14"/>
      <c r="BG102" s="13"/>
      <c r="BH102" s="13"/>
      <c r="BI102" s="5"/>
      <c r="BJ102" s="134">
        <f>IF(SnapshotTable[[#This Row],[LP Qty]] &gt; 0, SnapshotTable[[#This Row],[LP Qty]] * SnapshotTable[[#This Row],[LP Book Price]] * 100,0)</f>
        <v>0</v>
      </c>
      <c r="BK102" s="134">
        <f>IF(SnapshotTable[[#This Row],[LP Premium]] &gt; 0, SnapshotTable[[#This Row],[LP Qty]] * SnapshotTable[[#This Row],[LP Strike Price]] * 100,0)</f>
        <v>0</v>
      </c>
      <c r="BL102" s="152"/>
      <c r="BM102" s="355" t="str">
        <f>IF(SnapshotTable[[#This Row],[LP Premium]] &gt; 0,SnapshotTable[[#This Row],[LP Exp Date]]-MAX(SnapshotTable[[#This Row],[LP Book Date]], SnapshotTable[[#This Row],[LP Fill Date]]),"")</f>
        <v/>
      </c>
      <c r="BN102" s="355" t="str">
        <f>IF(ISNUMBER( SnapshotTable[[#This Row],[LP Term]]), SnapshotTable[[#This Row],[LP Exp Date]] - MockToday,"")</f>
        <v/>
      </c>
      <c r="BO102" s="161" t="str">
        <f>IF(AND(SnapshotTable[[#This Row],[LP Exp Date]]&gt;0, SnapshotTable[[#This Row],[LP Strike Price]]&gt;0,SnapshotTable[[#This Row],[LP Qty]]&gt;0,SnapshotTable[[#This Row],[LP Book Date]]&gt;0,SnapshotTable[[#This Row],[LP Book Price]]&gt;0,SnapshotTable[[#This Row],[LP Fill Date]]=0),"Y","")</f>
        <v/>
      </c>
      <c r="BP102" s="31" t="str">
        <f>IF(AND(SnapshotTable[[#This Row],[LP No Fill]]&lt;&gt;"Y",SnapshotTable[[#This Row],[LP Contract Value]]&gt;0, SnapshotTable[[#This Row],[LP Qty]]&gt;0), SnapshotTable[[#This Row],[LP Contract Value]]*SnapshotTable[[#This Row],[LP Qty]]*100,"")</f>
        <v/>
      </c>
      <c r="BQ102" s="13"/>
      <c r="BR102" s="5"/>
      <c r="BS102" s="36"/>
      <c r="BT102" s="145"/>
      <c r="BU102" s="13"/>
      <c r="BV102" s="5"/>
      <c r="BW102" s="382" t="b">
        <f>AND(ISNUMBER(SnapshotTable[[#This Row],[SP Exp Date]]), ISNUMBER(SnapshotTable[[#This Row],[SP Strike Price]]), ISNUMBER(SnapshotTable[[#This Row],[SP Qty]]), ISNUMBER(SnapshotTable[[#This Row],[SP Book Date]]), ISNUMBER(SnapshotTable[[#This Row],[SP Book Price]]))</f>
        <v>0</v>
      </c>
      <c r="BX102" s="382" t="b">
        <f>AND(SnapshotTable[[#This Row],[SP Is Booked]], NOT(ISBLANK(SnapshotTable[[#This Row],[SP Fill Date]])))</f>
        <v>0</v>
      </c>
      <c r="BY102" s="33">
        <f>IF(SnapshotTable[[#This Row],[SP Is Booked]], SnapshotTable[[#This Row],[SP Qty]] * SnapshotTable[[#This Row],[SP Book Price]] * 100, 0)</f>
        <v>0</v>
      </c>
      <c r="BZ102" s="339">
        <v>0.18</v>
      </c>
      <c r="CA102" s="338">
        <f>SnapshotTable[[#This Row],[LP Qty]]</f>
        <v>0</v>
      </c>
      <c r="CB102" s="4" t="str">
        <f>IF(SnapshotTable[[#This Row],[SP Is Booked]], SnapshotTable[[#This Row],[SP Strike Price]] - SnapshotTable[[#This Row],[SP Book Price]], "")</f>
        <v/>
      </c>
      <c r="CC102" s="19" t="str">
        <f>IF(SnapshotTable[[#This Row],[SP Is Booked]],SnapshotTable[[#This Row],[SP Exp Date]]-MAX(SnapshotTable[[#This Row],[SP Book Date]], SnapshotTable[[#This Row],[SP Fill Date]]),"")</f>
        <v/>
      </c>
      <c r="CD102" s="7" t="str">
        <f>IF(SnapshotTable[[#This Row],[SP Is Booked]], SnapshotTable[[#This Row],[SP Book Price]]/SnapshotTable[[#This Row],[SP Strike Price]], "")</f>
        <v/>
      </c>
      <c r="CE102" s="7" t="str">
        <f>IF(ISNUMBER(SnapshotTable[[#This Row],[SP ROO Term]]),SnapshotTable[[#This Row],[SP ROO Term]]*(365/SnapshotTable[[#This Row],[SP Term]]),"")</f>
        <v/>
      </c>
      <c r="CF102" s="221">
        <f>SnapshotTable[[#This Row],[LP Strike Price]] * SnapshotTable[[#This Row],[LP Qty]] * 100</f>
        <v>0</v>
      </c>
      <c r="CG102" s="31">
        <f>IF(ISNUMBER(SnapshotTable[[#This Row],[SP Premium]]), (SnapshotTable[[#This Row],[SP Qty]] * SnapshotTable[[#This Row],[SP Strike Price]]* 100) - SnapshotTable[[#This Row],[LP Protection]], 0)</f>
        <v>0</v>
      </c>
      <c r="CH102" s="7" t="str">
        <f>IF(ISNUMBER(SnapshotTable[[#This Row],[SP Break Even]]),-1 * (SnapshotTable[[#This Row],[SP Break Even]] - SnapshotTable[[#This Row],[Last Price]]) / SnapshotTable[[#This Row],[Last Price]], "")</f>
        <v/>
      </c>
      <c r="CI102" s="31">
        <f>IF(AND(ISNUMBER((SnapshotTable[[#This Row],[SP Potential Spend]])), SnapshotTable[[#This Row],[SP Strike Price]] &gt; SnapshotTable[[#This Row],[Last Price]], SnapshotTable[[#This Row],[SP Is Filled]]), SnapshotTable[[#This Row],[SP Potential Spend]] -  SnapshotTable[[#This Row],[LP Max Value]], 0)</f>
        <v>0</v>
      </c>
      <c r="CJ102" s="229"/>
      <c r="CK102" s="31">
        <f>IF(ISNUMBER(SnapshotTable[[#This Row],[SP Potential Spend]]),IF(ISNUMBER(SnapshotTable[[#This Row],[SP POW]]), SnapshotTable[[#This Row],[SP POW]] * SnapshotTable[[#This Row],[SP Potential Spend]], SnapshotTable[[#This Row],[SP Potential Spend]]), "")</f>
        <v>0</v>
      </c>
      <c r="CL102" s="162">
        <f>IF(NOT(SnapshotTable[[#This Row],[SP Is Filled]]),(SnapshotTable[[#This Row],[SP Qty]] * SnapshotTable[[#This Row],[SP Strike Price]] * 100) - SnapshotTable[[#This Row],[LP Max Value]],"")</f>
        <v>0</v>
      </c>
      <c r="CM102" s="31" t="str">
        <f>IF(SnapshotTable[[#This Row],[SP Actual Spend]]&lt;&gt;0, ((SnapshotTable[[#This Row],[SP Strike Price]]-SnapshotTable[[#This Row],[Last Price]]) *(SnapshotTable[[#This Row],[SP Qty]]*100) - SnapshotTable[[#This Row],[SP Premium]]) * - 1, "")</f>
        <v/>
      </c>
      <c r="CN102" s="204"/>
      <c r="CO102" s="339"/>
      <c r="CP102" s="4" t="str">
        <f>IF(SnapshotTable[[#This Row],[SP Is Filled]], btc_max_buyback_amount(SnapshotTable[[#This Row],[SP Fill Date]],SnapshotTable[[#This Row],[SP Exp Date]], SnapshotTable[[#This Row],[SP Book Price]]),"")</f>
        <v/>
      </c>
      <c r="CQ102" s="76"/>
      <c r="CR10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2" s="153" t="str">
        <f>IF(SnapshotTable[[#This Row],[SP Is Filled]], btc_next_cutoff_date(SnapshotTable[[#This Row],[SP Fill Date]],SnapshotTable[[#This Row],[SP Exp Date]]),"")</f>
        <v/>
      </c>
      <c r="CT102" s="220" t="str" cm="1">
        <f t="array" ref="CT102">IF(SnapshotTable[[#This Row],[SP Is Filled]], btc_should_buy_back(SnapshotTable[[#This Row],[SP Fill Date]], SnapshotTable[[#This Row],[SP Exp Date]], SnapshotTable[[#This Row],[SP Book Price]], SnapshotTable[[#This Row],[SP Current Ask]], MockToday, SnapshotTable[[#This Row],[SP Buyback Override]]),"")</f>
        <v/>
      </c>
      <c r="CU102" s="141"/>
      <c r="CV102" s="220"/>
      <c r="CW102" s="348" t="str">
        <f>IF(ISNUMBER( SnapshotTable[[#This Row],[SP Term]]), SnapshotTable[[#This Row],[SP Exp Date]] - MockToday,"")</f>
        <v/>
      </c>
      <c r="CX102" s="31" t="str">
        <f>IF(SnapshotTable[[#This Row],[SP Is Filled]],SnapshotTable[[#This Row],[SP Buyback Price to Use]] * 100 * SnapshotTable[[#This Row],[SP Qty]], "")</f>
        <v/>
      </c>
      <c r="CY102" s="4" t="str">
        <f>IF(ISNUMBER(SnapshotTable[[#This Row],[SP Strike Price]]), SnapshotTable[[#This Row],[SP Strike Price]] * (1 - SP_MaxLoss_StrikePct), "")</f>
        <v/>
      </c>
      <c r="CZ102" s="31" t="str">
        <f>IF(ISNUMBER(SnapshotTable[[#This Row],[SP Strike  Stop Per Share]]),SnapshotTable[[#This Row],[SP Premium]] - ((SnapshotTable[[#This Row],[SP Strike Price]]-SnapshotTable[[#This Row],[SP Strike  Stop Per Share]]) *(SnapshotTable[[#This Row],[SP Qty]] * 100)),"")</f>
        <v/>
      </c>
      <c r="DA102" s="4" t="str">
        <f>IF(AND(ISNUMBER(SnapshotTable[[#This Row],[SP Premium]]),SnapshotTable[[#This Row],[SP Premium]]&gt;0), SnapshotTable[[#This Row],[SP Book Price]] * (1 + SP_MaxLoss_OptionPct), "")</f>
        <v/>
      </c>
      <c r="DB102" s="31" t="str">
        <f>IF(ISNUMBER(SnapshotTable[[#This Row],[SP Option  Stop Contract]]),(SnapshotTable[[#This Row],[SP Option  Stop Contract]] *(SnapshotTable[[#This Row],[SP Qty]] * 100) - SnapshotTable[[#This Row],[SP Premium]]),"")</f>
        <v/>
      </c>
      <c r="DC102" s="4"/>
      <c r="DD102" s="4"/>
      <c r="DE102" s="4" t="str">
        <f>IF(AND(SnapshotTable[[#This Row],[SP Qty]]&gt;0, SnapshotTable[[#This Row],[SP Stop To Use]]&gt;0),SnapshotTable[[#This Row],[SP Premium]] - ( SnapshotTable[[#This Row],[SP Qty]] * SnapshotTable[[#This Row],[SP Stop To Use]] * 100), "")</f>
        <v/>
      </c>
      <c r="DF102" s="31" t="str">
        <f>IF(AND(SnapshotTable[[#This Row],[SP Qty]]&gt;0,SnapshotTable[[#This Row],[SP Current Ask]]&gt;0), SnapshotTable[[#This Row],[SP Qty]] * SnapshotTable[[#This Row],[SP Current Ask]] * -100, "")</f>
        <v/>
      </c>
      <c r="DG102" s="31" t="str">
        <f>IF(ISNUMBER((SnapshotTable[[#This Row],[SP Total Value]])), SnapshotTable[[#This Row],[SP Premium]] + SnapshotTable[[#This Row],[SP Total Value]], "")</f>
        <v/>
      </c>
      <c r="DH102" s="272" t="str">
        <f>IF(ISNUMBER((SnapshotTable[[#This Row],[SP Total Value]])), SnapshotTable[[#This Row],[SP Gain Loss]] / SnapshotTable[[#This Row],[SP Premium]], "")</f>
        <v/>
      </c>
      <c r="DI102" s="369"/>
      <c r="DJ102" s="136"/>
      <c r="DK102" s="146"/>
      <c r="DL102" s="13"/>
      <c r="DM102" s="13"/>
      <c r="DO102" s="31">
        <f>IF(SnapshotTable[[#This Row],[LC Symbol Count]]=1, SnapshotTable[[#This Row],[LC Qty]] * SnapshotTable[[#This Row],[LC Book Price]] * 100, 0)</f>
        <v>0</v>
      </c>
      <c r="DP102" s="161" t="str">
        <f>IF(AND(SnapshotTable[[#This Row],[LC Exp Date]]&gt;0, SnapshotTable[[#This Row],[LC Strike Price]]&gt;0,SnapshotTable[[#This Row],[LC Qty]]&gt;0,SnapshotTable[[#This Row],[LC Book Date]]&gt;0,SnapshotTable[[#This Row],[LC Book Price]]&gt;0,SnapshotTable[[#This Row],[LC Fill Date]]=0),"Y","")</f>
        <v/>
      </c>
      <c r="DQ102" s="356" t="str">
        <f>IF(SnapshotTable[[#This Row],[LC Premium]] &gt; 0,SnapshotTable[[#This Row],[LC Exp Date]]-MAX(SnapshotTable[[#This Row],[LC Book Date]], SnapshotTable[[#This Row],[LC Fill Date]]),"")</f>
        <v/>
      </c>
      <c r="DR102" s="356" t="str">
        <f>IF(ISNUMBER(SnapshotTable[[#This Row],[LC Term]]), SnapshotTable[[#This Row],[LC Exp Date]] - MockToday, "")</f>
        <v/>
      </c>
      <c r="DS102" s="219" t="str">
        <f>IF(SnapshotTable[[#This Row],[LC Premium]]&gt;0,SnapshotTable[[#This Row],[LC Strike Price]] + SnapshotTable[[#This Row],[LC Book Price]],"")</f>
        <v/>
      </c>
      <c r="DT102" s="5">
        <v>0</v>
      </c>
      <c r="DU102" s="9" t="str">
        <f>IF(AND(SnapshotTable[[#This Row],[LC Symbol Count]]&gt;0, SnapshotTable[[#This Row],[LC Contract Value]]&gt;0), SnapshotTable[[#This Row],[LC Contract Value]] * SnapshotTable[[#This Row],[LC Qty]] * 100, "")</f>
        <v/>
      </c>
      <c r="DV102" s="9" t="str">
        <f>IF(AND(ISNUMBER(SnapshotTable[[#This Row],[LC Total Value]]), SnapshotTable[[#This Row],[LC Not Filled]]&lt;&gt;"Y"), SnapshotTable[[#This Row],[LC Total Value]]-SnapshotTable[[#This Row],[LC Premium]],"")</f>
        <v/>
      </c>
      <c r="DW102" s="225" t="str">
        <f>IF(ISNUMBER(SnapshotTable[[#This Row],[LC Actual Gain Loss]]), SnapshotTable[[#This Row],[LC Actual Gain Loss]] / SnapshotTable[[#This Row],[LC Premium]],"")</f>
        <v/>
      </c>
      <c r="DX102" s="269" t="str">
        <f>IF(ISNUMBER(SnapshotTable[[#This Row],[LC Book Price]]),SnapshotTable[[#This Row],[LC Book Price]] * 1.5,"")</f>
        <v/>
      </c>
      <c r="DY102" s="250" t="str">
        <f>IF(SnapshotTable[[#This Row],[LC Premium]]&gt;0, SnapshotTable[[#This Row],[LC Next Target]] * SnapshotTable[[#This Row],[LC Qty]] * 100,"")</f>
        <v/>
      </c>
      <c r="DZ102" s="250" t="str">
        <f>IF(ISNUMBER(SnapshotTable[[#This Row],[LC Target Gross]]), SnapshotTable[[#This Row],[LC Target Gross]] - SnapshotTable[[#This Row],[LC Premium]], "")</f>
        <v/>
      </c>
      <c r="EA102" s="283" t="str">
        <f>IF(ISNUMBER(SnapshotTable[[#This Row],[LC Target Gain Loss]]), SnapshotTable[[#This Row],[LC Target Gain Loss]]/SnapshotTable[[#This Row],[LC Premium]], "")</f>
        <v/>
      </c>
      <c r="EB102" s="247"/>
      <c r="EC102" s="268" t="str">
        <f>IF(SnapshotTable[[#This Row],[LC Premium]]&gt;0, SnapshotTable[[#This Row],[LC Book Price]] * (1 - LC_StopLoss_Pct),"")</f>
        <v/>
      </c>
      <c r="ED102" s="269"/>
      <c r="EE102" s="268" t="str">
        <f>IF(ISNUMBER(SnapshotTable[[#This Row],[LC Contract Value]]),IF(ISNUMBER(SnapshotTable[[#This Row],[LC Stop Loss Override]]), SnapshotTable[[#This Row],[LC Stop Loss Override]],SnapshotTable[[#This Row],[LC Stop Loss Calc Target]]),"")</f>
        <v/>
      </c>
      <c r="EF102" s="31" t="str">
        <f>IF(ISNUMBER(SnapshotTable[[#This Row],[LC Stop  To Use]]), (SnapshotTable[[#This Row],[LC Stop  To Use]] * SnapshotTable[[#This Row],[LC Qty]] * 100),"")</f>
        <v/>
      </c>
      <c r="EG102" s="9" t="str">
        <f>IF(ISNUMBER(SnapshotTable[[#This Row],[LC Total Value]]),SnapshotTable[[#This Row],[LC Stop Loss Amount]] - SnapshotTable[[#This Row],[LC Premium]],"")</f>
        <v/>
      </c>
      <c r="EH102" s="9">
        <f>IF(ISNUMBER(SnapshotTable[[#This Row],[LC Premium]]), SnapshotTable[[#This Row],[LC Qty]] * 100 * SnapshotTable[[#This Row],[LC Strike Price]], "")</f>
        <v>0</v>
      </c>
      <c r="EI102" s="225" t="str">
        <f>IF(AND(ISNUMBER(SnapshotTable[[#This Row],[LC Total Value]]),SnapshotTable[[#This Row],[LC Total Value]]&gt;0),SnapshotTable[[#This Row],[LC Stop Gain Loss]]  / SnapshotTable[[#This Row],[LC Premium]],"")</f>
        <v/>
      </c>
      <c r="EJ102" s="35">
        <f>IF(ISNUMBER(SnapshotTable[[#This Row],[Equity Shares]]),TRUNC(SnapshotTable[[#This Row],[Equity Shares]] / 100),0) + SnapshotTable[[#This Row],[LC Qty]]</f>
        <v>0</v>
      </c>
      <c r="EK102" s="145"/>
      <c r="EL102" s="136"/>
      <c r="EM102" s="146"/>
      <c r="EN102" s="145"/>
      <c r="EO102" s="145"/>
      <c r="EP102" s="136"/>
      <c r="EQ102" s="382" t="b">
        <f>AND(ISNUMBER(SnapshotTable[[#This Row],[SC Exp Date]]), ISNUMBER(SnapshotTable[[#This Row],[SC Strike Price]]), ISNUMBER(SnapshotTable[[#This Row],[SC Qty]]), ISNUMBER(SnapshotTable[[#This Row],[SC Book Date]]), ISNUMBER(SnapshotTable[[#This Row],[SC Book Price]]))</f>
        <v>0</v>
      </c>
      <c r="ER102" s="382" t="b">
        <f>AND(SnapshotTable[[#This Row],[SC Is Booked]], NOT(ISBLANK(SnapshotTable[[#This Row],[SC Fill Date]])))</f>
        <v>0</v>
      </c>
      <c r="ES102" s="340"/>
      <c r="ET102" s="34" t="str">
        <f>IF(AND(ISNUMBER(SnapshotTable[[#This Row],[SC Exp Date]]), ISNUMBER(SnapshotTable[[#This Row],[SC Book Date]])), SnapshotTable[[#This Row],[SC Exp Date]] - MAX(SnapshotTable[[#This Row],[SC Book Date]], SnapshotTable[[#This Row],[SC Fill Date]]) + 1, "")</f>
        <v/>
      </c>
      <c r="EU102" s="34" t="str">
        <f>IF(ISNUMBER(SnapshotTable[[#This Row],[SC Term]]), SnapshotTable[[#This Row],[SC Exp Date]]- MockToday, "")</f>
        <v/>
      </c>
      <c r="EV102" s="31">
        <f>IF(SnapshotTable[[#This Row],[SC Is Booked]], SnapshotTable[[#This Row],[SC Qty]] * SnapshotTable[[#This Row],[SC Book Price]] * 100, 0)</f>
        <v>0</v>
      </c>
      <c r="EW102" s="4" t="str">
        <f>IF(AND(ISNUMBER(SnapshotTable[[#This Row],[Last Price]]), ISNUMBER( SnapshotTable[[#This Row],[SC Book Price]])), SnapshotTable[[#This Row],[Last Price]] - SnapshotTable[[#This Row],[SC Book Price]],"")</f>
        <v/>
      </c>
      <c r="EX102" s="219" t="str">
        <f>IF(SnapshotTable[[#This Row],[SC Is Booked]],IF(SnapshotTable[[#This Row],[SC Intrinsic Value]] &gt; 0, SnapshotTable[[#This Row],[SC Strike Price]], SnapshotTable[[#This Row],[Last Price]]), "")</f>
        <v/>
      </c>
      <c r="EY102" s="4">
        <f>IF(SnapshotTable[[#This Row],[SC Is Booked]], (MinimumPremiumRequired * SnapshotTable[[#This Row],[SC Basis]] * SnapshotTable[[#This Row],[SC Term]]), 0)</f>
        <v>0</v>
      </c>
      <c r="EZ102" s="268"/>
      <c r="FA102" s="204"/>
      <c r="FB102" s="340"/>
      <c r="FC102" s="4">
        <f>IF(SnapshotTable[[#This Row],[SC Is Filled]], btc_max_buyback_amount(SnapshotTable[[#This Row],[SC Fill Date]],SnapshotTable[[#This Row],[SC Exp Date]], SnapshotTable[[#This Row],[SC Book Price]]),0)</f>
        <v>0</v>
      </c>
      <c r="FD102" s="5"/>
      <c r="FE102" s="142" t="str">
        <f>IF(SnapshotTable[[#This Row],[SC Is Filled]], btc_next_cutoff_date(SnapshotTable[[#This Row],[SC Fill Date]],SnapshotTable[[#This Row],[SC Exp Date]]),"")</f>
        <v/>
      </c>
      <c r="FF102" s="4" t="str" cm="1">
        <f t="array" ref="FF102">IF(SnapshotTable[[#This Row],[SC Is Filled]], btc_should_buy_back(SnapshotTable[[#This Row],[SC Fill Date]], SnapshotTable[[#This Row],[SC Exp Date]], SnapshotTable[[#This Row],[SC Book Price]], SnapshotTable[[#This Row],[SC Current Ask]], MockToday, SnapshotTable[[#This Row],[SC Buyback Override]]),"")</f>
        <v/>
      </c>
      <c r="FG102" s="4">
        <f>IF(SnapshotTable[[#This Row],[SC Is Filled]], MAX(0,SnapshotTable[[#This Row],[Last Price]]  - SnapshotTable[[#This Row],[SC Strike Price]]), 0)</f>
        <v>0</v>
      </c>
      <c r="FH102" s="352">
        <f>IF(SnapshotTable[[#This Row],[SC Is Filled]], IF(ISNUMBER(SnapshotTable[[#This Row],[SC Current Ask]]), SnapshotTable[[#This Row],[SC Current Ask]], SnapshotTable[[#This Row],[SC Book Price]]) - SnapshotTable[[#This Row],[SC Intrinsic Value]], 0)</f>
        <v>0</v>
      </c>
      <c r="FI102" s="141"/>
      <c r="FJ102" s="32" t="str">
        <f>IF(SnapshotTable[[#This Row],[SC Is Filled]],100 * SnapshotTable[[#This Row],[SC Qty]] * IF(ISNUMBER(SnapshotTable[[#This Row],[SC Buyback Override]]), SnapshotTable[[#This Row],[SC Buyback Override]], SnapshotTable[[#This Row],[SC Current Ask]]), "")</f>
        <v/>
      </c>
      <c r="FK102" s="235" t="str">
        <f>IF(SnapshotTable[[#This Row],[SC Time Val]]&gt;0, SnapshotTable[[#This Row],[SC Time Val]] / SnapshotTable[[#This Row],[Last Price]],"")</f>
        <v/>
      </c>
      <c r="FL102" s="280" t="str">
        <f>IF(SnapshotTable[[#This Row],[SC Is Booked]], ((SnapshotTable[[#This Row],[Last Price]] -SnapshotTable[[#This Row],[SC Strike Price]]) / SnapshotTable[[#This Row],[Last Price]]) * -1, "")</f>
        <v/>
      </c>
      <c r="FM102" s="155" t="str">
        <f>IF(SnapshotTable[[#This Row],[SC Is Booked]],  (SnapshotTable[[#This Row],[SC Qty]] * 100 * SnapshotTable[[#This Row],[SC Strike Price]]) - SnapshotTable[[#This Row],[SC Current Ask]], "")</f>
        <v/>
      </c>
      <c r="FN1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2" s="31" t="str">
        <f>IF(AND(ISNUMBER(SnapshotTable[[#This Row],[SC Exercise Gross]]), ISNUMBER(SnapshotTable[[#This Row],[Equity Basis Per Share]] )), SnapshotTable[[#This Row],[SC Exercise Gross]] - SnapshotTable[[#This Row],[Equity Basis Total]] +  SnapshotTable[[#This Row],[SC Premium]], "")</f>
        <v/>
      </c>
      <c r="FP102" s="5" t="str">
        <f>IF(ISNUMBER(SnapshotTable[[#This Row],[SC Exercise Gross]]), (SnapshotTable[[#This Row],[SC Exercise Gross]]) / (SnapshotTable[[#This Row],[SC Qty]] * 100), "")</f>
        <v/>
      </c>
      <c r="FQ102" s="27" t="str">
        <f>IF(SnapshotTable[[#This Row],[SC Is Booked]],SnapshotTable[[#This Row],[SC Time Val]] /SnapshotTable[[#This Row],[SC Basis]], "")</f>
        <v/>
      </c>
      <c r="FR102" s="27" t="str" cm="1">
        <f t="array" ref="FR102">IF(AND(ISNUMBER(SnapshotTable[[#This Row],[SC Term]]),ISNUMBER(SnapshotTable[[#This Row],[SC Simple ROO]])), EllmanAnnualize(SnapshotTable[[#This Row],[SC DTE]], SnapshotTable[[#This Row],[SC Simple ROO]] ),"")</f>
        <v/>
      </c>
      <c r="FS102" s="4">
        <f>IF(SnapshotTable[[#This Row],[SC Strike Price]] &gt; SnapshotTable[[#This Row],[Last Price]], SnapshotTable[[#This Row],[SC Strike Price]] - SnapshotTable[[#This Row],[Last Price]],0)</f>
        <v>0</v>
      </c>
      <c r="FT102" s="27" t="str">
        <f>IF(AND(ISNUMBER(SnapshotTable[[#This Row],[SC Upside Potential]]), SnapshotTable[[#This Row],[SC Upside Potential]] &gt; 0),(SnapshotTable[[#This Row],[SC Upside Potential]]/ SnapshotTable[[#This Row],[ACB]]),"")</f>
        <v/>
      </c>
      <c r="FU102" s="304" t="str">
        <f>IF(SnapshotTable[[#This Row],[SC Intrinsic Value]] &gt; 0,SnapshotTable[[#This Row],[SC Intrinsic Value]],"")</f>
        <v/>
      </c>
      <c r="FV102" s="27" t="str">
        <f>IF(AND( ISNUMBER( SnapshotTable[[#This Row],[ACB]]),ISNUMBER(SnapshotTable[[#This Row],[SC Downside Protect]])),SnapshotTable[[#This Row],[SC Downside Protect]] / SnapshotTable[[#This Row],[ACB]],"")</f>
        <v/>
      </c>
      <c r="FW102" s="221" t="str">
        <f>IF(AND(ISNUMBER(SnapshotTable[[#This Row],[SC Simple ROO]]),SnapshotTable[[#This Row],[SC Simple ROO]] &gt; 0), SnapshotTable[[#This Row],[SC Premium]] + (SnapshotTable[[#This Row],[SC Qty]] * SnapshotTable[[#This Row],[SC Upside Potential]]), "")</f>
        <v/>
      </c>
      <c r="FX102" s="280" t="str" cm="1">
        <f t="array" ref="FX102">IF(ISNUMBER(SnapshotTable[[#This Row],[SC Max Dollars]]), annualize(SnapshotTable[[#This Row],[SC Term]],(SnapshotTable[[#This Row],[SC Max Dollars]]/SnapshotTable[[#This Row],[SC Basis]])),"")</f>
        <v/>
      </c>
      <c r="FY102" s="221" t="str">
        <f>IF(AND(SnapshotTable[[#This Row],[SC Qty]]&gt;0,SnapshotTable[[#This Row],[SC Current Ask]]&gt;0), SnapshotTable[[#This Row],[SC Qty]] * SnapshotTable[[#This Row],[SC Current Ask]] * -100, "")</f>
        <v/>
      </c>
      <c r="FZ102" s="31" t="str">
        <f>IF(ISNUMBER((SnapshotTable[[#This Row],[SC Current Value]])), SnapshotTable[[#This Row],[SC Premium]] + SnapshotTable[[#This Row],[SC Current Value]], "")</f>
        <v/>
      </c>
      <c r="GA102" s="272" t="str">
        <f>IFERROR( IF(ISNUMBER((SnapshotTable[[#This Row],[SC Current Value]])), SnapshotTable[[#This Row],[SC Gain Loss]] / SnapshotTable[[#This Row],[SC Premium]], ""), "")</f>
        <v/>
      </c>
      <c r="GB102" s="42">
        <f>SnapshotTable[[#This Row],[Equity Shares]] * SaleSharesToConsiderPercentage</f>
        <v>0</v>
      </c>
      <c r="GC102" s="40">
        <f>SnapshotTable[[#This Row],[Long Term Target]] * SellingPriceToConsiderBasedOnTargetPercentage</f>
        <v>144.36199999999999</v>
      </c>
      <c r="GD102" s="40">
        <f>SnapshotTable[[#This Row],[Last Price]] * (1+ SellingPriceToConsiderBasedOnTargetPercentage)</f>
        <v>264.51749999999998</v>
      </c>
      <c r="GE102" s="41"/>
      <c r="GF102" s="40"/>
      <c r="GG102" s="31">
        <f>SnapshotTable[[#This Row],[Booked Sale Shares]] * SnapshotTable[[#This Row],[Booked Sale Price]]</f>
        <v>0</v>
      </c>
      <c r="GH102" s="31" t="str">
        <f>IF(SnapshotTable[[#This Row],[Equity Basis Total]] &gt; 0, SnapshotTable[[#This Row],[Equity Basis Per Share]] * SnapshotTable[[#This Row],[Booked Sale Shares]], "")</f>
        <v/>
      </c>
      <c r="GI102" s="31">
        <f>IF(SnapshotTable[[#This Row],[Sale Proceeds]]&gt;0, SnapshotTable[[#This Row],[Sale Proceeds]] - SnapshotTable[[#This Row],[Sale Basis]], 0)</f>
        <v>0</v>
      </c>
      <c r="GJ102" s="27" t="str">
        <f>IF(SnapshotTable[[#This Row],[Sale G/L]]&gt;0, SnapshotTable[[#This Row],[Sale G/L]] / SnapshotTable[[#This Row],[Sale Basis]], IF(ISNUMBER(SnapshotTable[[#This Row],[SC Exercise P&amp;L (TAX)]]), SnapshotTable[[#This Row],[SC Exercise P&amp;L (TAX)]] / SnapshotTable[[#This Row],[SC Basis]], ""))</f>
        <v/>
      </c>
      <c r="GK102" s="27" t="s">
        <v>514</v>
      </c>
      <c r="GL102" s="43" t="str">
        <f>IF(AND(SnapshotTable[[#This Row],[LP Exp Date]]&gt;0,SnapshotTable[[#This Row],[LP Strike Price]]&gt;0), [1]!ToOptionSymbol(SnapshotTable[[#This Row],[Symbol]], SnapshotTable[[#This Row],[LP Strike Price]],SnapshotTable[[#This Row],[LP Exp Date]],1), "")</f>
        <v/>
      </c>
      <c r="GM102" s="30" t="str">
        <f>IF(LEN(SnapshotTable[[#This Row],[LP Symbol]])&gt;0, 1, "")</f>
        <v/>
      </c>
      <c r="GN102" s="43" t="str">
        <f>IF(AND(SnapshotTable[[#This Row],[SP Exp Date]]&gt;0,SnapshotTable[[#This Row],[SP Strike Price]]&gt;0), [1]!ToOptionSymbol(SnapshotTable[[#This Row],[Symbol]], SnapshotTable[[#This Row],[SP Strike Price]],SnapshotTable[[#This Row],[SP Exp Date]],1), "")</f>
        <v/>
      </c>
      <c r="GO102" s="30" t="str">
        <f>IF(LEN(SnapshotTable[[#This Row],[SP Symbol]])&gt;0, 1, "")</f>
        <v/>
      </c>
      <c r="GP102" s="43" t="str">
        <f>IF(AND(SnapshotTable[[#This Row],[LC Exp Date]]&gt;0,SnapshotTable[[#This Row],[LC Strike Price]]&gt;0), [1]!ToOptionSymbol(SnapshotTable[[#This Row],[Symbol]], SnapshotTable[[#This Row],[LC Strike Price]],SnapshotTable[[#This Row],[LC Exp Date]],0), "")</f>
        <v/>
      </c>
      <c r="GQ102" s="30" t="str">
        <f>IF(LEN(SnapshotTable[[#This Row],[LC Symbol]])&gt;0, 1, "")</f>
        <v/>
      </c>
      <c r="GR102" s="43" t="str">
        <f>IF(AND(SnapshotTable[[#This Row],[SC Exp Date]]&gt;0,SnapshotTable[[#This Row],[SC Strike Price]]&gt;0), [1]!ToOptionSymbol(SnapshotTable[[#This Row],[Symbol]], SnapshotTable[[#This Row],[SC Strike Price]],SnapshotTable[[#This Row],[SC Exp Date]],0), "")</f>
        <v/>
      </c>
      <c r="GS102" s="30" t="str">
        <f>IF(LEN(SnapshotTable[[#This Row],[SC Symbol]])&gt;0, 1, "")</f>
        <v/>
      </c>
      <c r="GT102" s="29" t="str">
        <f>IF(COUNT(SnapshotTable[[#This Row],[LP Symbol Count]],SnapshotTable[[#This Row],[SP Symbol Count]],SnapshotTable[[#This Row],[LC Symbol Count]],SnapshotTable[[#This Row],[SC Symbol Count]])&gt;0, "Y", "")</f>
        <v/>
      </c>
      <c r="GU10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2" s="216">
        <f>MAX(SnapshotTable[[#This Row],[Equity Basis Total]],SnapshotTable[[#This Row],[Equity Value]]) + (SnapshotTable[[#This Row],[SP Potential Spend]]- SnapshotTable[[#This Row],[SP Premium]] + SnapshotTable[[#This Row],[LP Premium]])+ (SnapshotTable[[#This Row],[LC Premium]] - SnapshotTable[[#This Row],[SC Premium]])</f>
        <v>0</v>
      </c>
      <c r="GW102" s="137" t="str">
        <f>IF(AND(SnapshotTable[[#This Row],[Exposure]] &lt;&gt; 0),SnapshotTable[[#This Row],[Exposure]] / SnapshotTable[[#Totals],[Exposure]], "")</f>
        <v/>
      </c>
      <c r="HE102" s="253"/>
      <c r="HF102" s="253"/>
      <c r="HK102" s="1"/>
      <c r="HL102" s="1"/>
      <c r="HM102" s="1"/>
      <c r="HN102" s="1"/>
      <c r="HO102" s="1"/>
      <c r="HP102" s="1"/>
    </row>
    <row r="103" spans="2:224" ht="12.75" hidden="1" customHeight="1" x14ac:dyDescent="0.25">
      <c r="B103" s="12" t="s">
        <v>413</v>
      </c>
      <c r="C103" s="385">
        <v>2.78</v>
      </c>
      <c r="D103" s="200" t="s">
        <v>467</v>
      </c>
      <c r="E103" s="39">
        <f>SnapshotTable[[#This Row],[Last Price]]*(1 -CrashDiscount)</f>
        <v>2.363</v>
      </c>
      <c r="F103" s="26" t="s">
        <v>149</v>
      </c>
      <c r="G103" s="26" t="s">
        <v>32</v>
      </c>
      <c r="H103" s="147"/>
      <c r="I103" s="186">
        <v>44782.3125</v>
      </c>
      <c r="J103" s="187">
        <v>44782.3125</v>
      </c>
      <c r="K103" s="188"/>
      <c r="L103" s="297"/>
      <c r="M103" s="138"/>
      <c r="N103" s="138"/>
      <c r="O103" s="138"/>
      <c r="P103" s="22"/>
      <c r="Q103" s="25"/>
      <c r="R103" s="4" t="str">
        <f>IF(SnapshotTable[[#This Row],[Equity Basis Total]] &gt; 0, SnapshotTable[[#This Row],[Equity Basis Total]] / SnapshotTable[[#This Row],[Equity Shares]], "")</f>
        <v/>
      </c>
      <c r="S103" s="254">
        <f>SnapshotTable[[#This Row],[Last Price]] * SnapshotTable[[#This Row],[Equity Shares]]</f>
        <v>0</v>
      </c>
      <c r="T103" s="254">
        <f>SnapshotTable[[#This Row],[Equity Value]] - SnapshotTable[[#This Row],[Equity Basis Total]]</f>
        <v>0</v>
      </c>
      <c r="U103" s="255" t="str">
        <f>IF(SnapshotTable[[#This Row],[Equity Basis Total]] &gt; 0, SnapshotTable[[#This Row],[Equity G/L]] / SnapshotTable[[#This Row],[Equity Basis Total]], "")</f>
        <v/>
      </c>
      <c r="V103" s="253"/>
      <c r="W103" s="253"/>
      <c r="X103" s="4" t="str">
        <f>IF(AND(ISNUMBER(SnapshotTable[[#This Row],[Equity Basis Per Share]]),ISNUMBER(SnapshotTable[[#This Row],[Equity Target]])),SnapshotTable[[#This Row],[Equity Target]]-SnapshotTable[[#This Row],[Equity Basis Per Share]],"")</f>
        <v/>
      </c>
      <c r="Y103" s="4" t="str">
        <f>IF(AND(ISNUMBER(SnapshotTable[[#This Row],[Equity Basis Per Share]]),ISNUMBER(SnapshotTable[[#This Row],[Equity Stop Loss]])),SnapshotTable[[#This Row],[Equity Stop Loss]]-SnapshotTable[[#This Row],[Equity Basis Per Share]],"")</f>
        <v/>
      </c>
      <c r="Z103" s="260" t="str">
        <f>IFERROR( TEXT(SnapshotTable[[#This Row],[Equity Max Gain Per Share]] /ABS( SnapshotTable[[#This Row],[Equity Max Loss Per Share]]),"0.0 " ) &amp; " : 1", "")</f>
        <v/>
      </c>
      <c r="AA103" s="31" t="str">
        <f>IF(ISNUMBER(SnapshotTable[[#This Row],[Equity Max Gain Per Share]]),SnapshotTable[[#This Row],[Equity Max Gain Per Share]] * SnapshotTable[[#This Row],[Equity Shares]],"")</f>
        <v/>
      </c>
      <c r="AB103" s="31" t="str">
        <f>IF(ISNUMBER(SnapshotTable[[#This Row],[Equity Max Loss Per Share]]),SnapshotTable[[#This Row],[Equity Max Loss Per Share]] * SnapshotTable[[#This Row],[Equity Shares]],"")</f>
        <v/>
      </c>
      <c r="AC103" s="148"/>
      <c r="AD103" s="149"/>
      <c r="AE103" s="31">
        <f>(SnapshotTable[[#This Row],[Annual Dividend Per Share]] / 4) * SnapshotTable[[#This Row],[Equity Shares]]</f>
        <v>0</v>
      </c>
      <c r="AF103" s="31">
        <f>SnapshotTable[[#This Row],[Quarterly Div $]] * 4</f>
        <v>0</v>
      </c>
      <c r="AG103" s="7">
        <f>IF(SnapshotTable[[#This Row],[Annual Dividend Per Share]]&gt;0, SnapshotTable[[#This Row],[Annual Dividend Per Share]]  / SnapshotTable[[#This Row],[Last Price]], 0)</f>
        <v>0</v>
      </c>
      <c r="AH103" s="149"/>
      <c r="AI103" s="5"/>
      <c r="AJ103" s="136" t="s">
        <v>111</v>
      </c>
      <c r="AK103" s="150" t="str">
        <f>IF(ISNUMBER( SnapshotTable[[#This Row],[EBF Target]]),(SnapshotTable[[#This Row],[EBF Target]] - SnapshotTable[[#This Row],[Last Price]]) / SnapshotTable[[#This Row],[Last Price]], "")</f>
        <v/>
      </c>
      <c r="AL103" s="150" t="str">
        <f>IF(AND(SnapshotTable[[#This Row],[Equity Basis Total]] &gt; 0,ISNUMBER( SnapshotTable[[#This Row],[Long Term Target]])), SnapshotTable[[#This Row],[From Basis $]] / SnapshotTable[[#This Row],[Equity Basis Total]], "")</f>
        <v/>
      </c>
      <c r="AM103" s="9">
        <f>IF( AND(SnapshotTable[[#This Row],[Equity Shares]] &gt;0,ISNUMBER( SnapshotTable[[#This Row],[Long Term Target]])),(SnapshotTable[[#This Row],[Equity Shares]] * SnapshotTable[[#This Row],[Long Term Target]]) - SnapshotTable[[#This Row],[Equity Basis Total]],0)</f>
        <v>0</v>
      </c>
      <c r="AN103" s="9">
        <f>IF( AND(SnapshotTable[[#This Row],[Equity Shares]] &gt;0,ISNUMBER( SnapshotTable[[#This Row],[Long Term Target]])),(SnapshotTable[[#This Row],[Equity Shares]]*SnapshotTable[[#This Row],[Long Term Target]]) - SnapshotTable[[#This Row],[Equity Value]],0)</f>
        <v>0</v>
      </c>
      <c r="AO103" s="150" t="str">
        <f>IF(AND(ISNUMBER( SnapshotTable[[#This Row],[Long Term Target]]), ISNUMBER(SnapshotTable[[#This Row],[Last Price]])),(SnapshotTable[[#This Row],[Long Term Target]] - SnapshotTable[[#This Row],[Last Price]]) / SnapshotTable[[#This Row],[Last Price]], "")</f>
        <v/>
      </c>
      <c r="AP103" s="5"/>
      <c r="AQ103" s="38"/>
      <c r="AR103" s="5"/>
      <c r="AS103" s="38"/>
      <c r="AT103" s="144"/>
      <c r="AU103" s="185" t="str">
        <f>IF(OR(SnapshotTable[[#This Row],[LP No Fill]]="Y",SnapshotTable[[#This Row],[SP Is Filled]],SnapshotTable[[#This Row],[LC Not Filled]]="Y",SnapshotTable[[#This Row],[SC Is Filled]]),"Y","")</f>
        <v/>
      </c>
      <c r="AV103" s="205"/>
      <c r="AW103" s="211"/>
      <c r="AX103" s="206"/>
      <c r="AY103" s="205" t="str">
        <f>IF(SnapshotTable[[#This Row],[Implied Move]]&gt;0, SnapshotTable[[#This Row],[Last Price]]-SnapshotTable[[#This Row],[Implied Move]],"")</f>
        <v/>
      </c>
      <c r="AZ103" s="205" t="str">
        <f>IF(SnapshotTable[[#This Row],[Implied Move]]&gt;0, SnapshotTable[[#This Row],[Last Price]] + SnapshotTable[[#This Row],[Implied Move]],"")</f>
        <v/>
      </c>
      <c r="BA103" s="302"/>
      <c r="BB103" s="318"/>
      <c r="BC1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3" s="321"/>
      <c r="BE103" s="5"/>
      <c r="BF103" s="14"/>
      <c r="BG103" s="13"/>
      <c r="BH103" s="13"/>
      <c r="BI103" s="5"/>
      <c r="BJ103" s="134">
        <f>IF(SnapshotTable[[#This Row],[LP Qty]] &gt; 0, SnapshotTable[[#This Row],[LP Qty]] * SnapshotTable[[#This Row],[LP Book Price]] * 100,0)</f>
        <v>0</v>
      </c>
      <c r="BK103" s="134">
        <f>IF(SnapshotTable[[#This Row],[LP Premium]] &gt; 0, SnapshotTable[[#This Row],[LP Qty]] * SnapshotTable[[#This Row],[LP Strike Price]] * 100,0)</f>
        <v>0</v>
      </c>
      <c r="BL103" s="152"/>
      <c r="BM103" s="355" t="str">
        <f>IF(SnapshotTable[[#This Row],[LP Premium]] &gt; 0,SnapshotTable[[#This Row],[LP Exp Date]]-MAX(SnapshotTable[[#This Row],[LP Book Date]], SnapshotTable[[#This Row],[LP Fill Date]]),"")</f>
        <v/>
      </c>
      <c r="BN103" s="355" t="str">
        <f>IF(ISNUMBER( SnapshotTable[[#This Row],[LP Term]]), SnapshotTable[[#This Row],[LP Exp Date]] - MockToday,"")</f>
        <v/>
      </c>
      <c r="BO103" s="161" t="str">
        <f>IF(AND(SnapshotTable[[#This Row],[LP Exp Date]]&gt;0, SnapshotTable[[#This Row],[LP Strike Price]]&gt;0,SnapshotTable[[#This Row],[LP Qty]]&gt;0,SnapshotTable[[#This Row],[LP Book Date]]&gt;0,SnapshotTable[[#This Row],[LP Book Price]]&gt;0,SnapshotTable[[#This Row],[LP Fill Date]]=0),"Y","")</f>
        <v/>
      </c>
      <c r="BP103" s="31" t="str">
        <f>IF(AND(SnapshotTable[[#This Row],[LP No Fill]]&lt;&gt;"Y",SnapshotTable[[#This Row],[LP Contract Value]]&gt;0, SnapshotTable[[#This Row],[LP Qty]]&gt;0), SnapshotTable[[#This Row],[LP Contract Value]]*SnapshotTable[[#This Row],[LP Qty]]*100,"")</f>
        <v/>
      </c>
      <c r="BQ103" s="13"/>
      <c r="BR103" s="5"/>
      <c r="BS103" s="36"/>
      <c r="BT103" s="145"/>
      <c r="BU103" s="13"/>
      <c r="BV103" s="5"/>
      <c r="BW103" s="382" t="b">
        <f>AND(ISNUMBER(SnapshotTable[[#This Row],[SP Exp Date]]), ISNUMBER(SnapshotTable[[#This Row],[SP Strike Price]]), ISNUMBER(SnapshotTable[[#This Row],[SP Qty]]), ISNUMBER(SnapshotTable[[#This Row],[SP Book Date]]), ISNUMBER(SnapshotTable[[#This Row],[SP Book Price]]))</f>
        <v>0</v>
      </c>
      <c r="BX103" s="382" t="b">
        <f>AND(SnapshotTable[[#This Row],[SP Is Booked]], NOT(ISBLANK(SnapshotTable[[#This Row],[SP Fill Date]])))</f>
        <v>0</v>
      </c>
      <c r="BY103" s="33">
        <f>IF(SnapshotTable[[#This Row],[SP Is Booked]], SnapshotTable[[#This Row],[SP Qty]] * SnapshotTable[[#This Row],[SP Book Price]] * 100, 0)</f>
        <v>0</v>
      </c>
      <c r="BZ103" s="339"/>
      <c r="CA103" s="338">
        <f>SnapshotTable[[#This Row],[LP Qty]]</f>
        <v>0</v>
      </c>
      <c r="CB103" s="4" t="str">
        <f>IF(SnapshotTable[[#This Row],[SP Is Booked]], SnapshotTable[[#This Row],[SP Strike Price]] - SnapshotTable[[#This Row],[SP Book Price]], "")</f>
        <v/>
      </c>
      <c r="CC103" s="19" t="str">
        <f>IF(SnapshotTable[[#This Row],[SP Is Booked]],SnapshotTable[[#This Row],[SP Exp Date]]-MAX(SnapshotTable[[#This Row],[SP Book Date]], SnapshotTable[[#This Row],[SP Fill Date]]),"")</f>
        <v/>
      </c>
      <c r="CD103" s="7" t="str">
        <f>IF(SnapshotTable[[#This Row],[SP Is Booked]], SnapshotTable[[#This Row],[SP Book Price]]/SnapshotTable[[#This Row],[SP Strike Price]], "")</f>
        <v/>
      </c>
      <c r="CE103" s="7" t="str">
        <f>IF(ISNUMBER(SnapshotTable[[#This Row],[SP ROO Term]]),SnapshotTable[[#This Row],[SP ROO Term]]*(365/SnapshotTable[[#This Row],[SP Term]]),"")</f>
        <v/>
      </c>
      <c r="CF103" s="221">
        <f>SnapshotTable[[#This Row],[LP Strike Price]] * SnapshotTable[[#This Row],[LP Qty]] * 100</f>
        <v>0</v>
      </c>
      <c r="CG103" s="31">
        <f>IF(ISNUMBER(SnapshotTable[[#This Row],[SP Premium]]), (SnapshotTable[[#This Row],[SP Qty]] * SnapshotTable[[#This Row],[SP Strike Price]]* 100) - SnapshotTable[[#This Row],[LP Protection]], 0)</f>
        <v>0</v>
      </c>
      <c r="CH103" s="7" t="str">
        <f>IF(ISNUMBER(SnapshotTable[[#This Row],[SP Break Even]]),-1 * (SnapshotTable[[#This Row],[SP Break Even]] - SnapshotTable[[#This Row],[Last Price]]) / SnapshotTable[[#This Row],[Last Price]], "")</f>
        <v/>
      </c>
      <c r="CI103" s="31">
        <f>IF(AND(ISNUMBER((SnapshotTable[[#This Row],[SP Potential Spend]])), SnapshotTable[[#This Row],[SP Strike Price]] &gt; SnapshotTable[[#This Row],[Last Price]], SnapshotTable[[#This Row],[SP Is Filled]]), SnapshotTable[[#This Row],[SP Potential Spend]] -  SnapshotTable[[#This Row],[LP Max Value]], 0)</f>
        <v>0</v>
      </c>
      <c r="CJ103" s="229"/>
      <c r="CK103" s="31">
        <f>IF(ISNUMBER(SnapshotTable[[#This Row],[SP Potential Spend]]),IF(ISNUMBER(SnapshotTable[[#This Row],[SP POW]]), SnapshotTable[[#This Row],[SP POW]] * SnapshotTable[[#This Row],[SP Potential Spend]], SnapshotTable[[#This Row],[SP Potential Spend]]), "")</f>
        <v>0</v>
      </c>
      <c r="CL103" s="162">
        <f>IF(NOT(SnapshotTable[[#This Row],[SP Is Filled]]),(SnapshotTable[[#This Row],[SP Qty]] * SnapshotTable[[#This Row],[SP Strike Price]] * 100) - SnapshotTable[[#This Row],[LP Max Value]],"")</f>
        <v>0</v>
      </c>
      <c r="CM103" s="31" t="str">
        <f>IF(SnapshotTable[[#This Row],[SP Actual Spend]]&lt;&gt;0, ((SnapshotTable[[#This Row],[SP Strike Price]]-SnapshotTable[[#This Row],[Last Price]]) *(SnapshotTable[[#This Row],[SP Qty]]*100) - SnapshotTable[[#This Row],[SP Premium]]) * - 1, "")</f>
        <v/>
      </c>
      <c r="CN103" s="76"/>
      <c r="CO103" s="339"/>
      <c r="CP103" s="4" t="str">
        <f>IF(SnapshotTable[[#This Row],[SP Is Filled]], btc_max_buyback_amount(SnapshotTable[[#This Row],[SP Fill Date]],SnapshotTable[[#This Row],[SP Exp Date]], SnapshotTable[[#This Row],[SP Book Price]]),"")</f>
        <v/>
      </c>
      <c r="CQ103" s="76"/>
      <c r="CR1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3" s="153" t="str">
        <f>IF(SnapshotTable[[#This Row],[SP Is Filled]], btc_next_cutoff_date(SnapshotTable[[#This Row],[SP Fill Date]],SnapshotTable[[#This Row],[SP Exp Date]]),"")</f>
        <v/>
      </c>
      <c r="CT103" s="220" t="str" cm="1">
        <f t="array" ref="CT103">IF(SnapshotTable[[#This Row],[SP Is Filled]], btc_should_buy_back(SnapshotTable[[#This Row],[SP Fill Date]], SnapshotTable[[#This Row],[SP Exp Date]], SnapshotTable[[#This Row],[SP Book Price]], SnapshotTable[[#This Row],[SP Current Ask]], MockToday, SnapshotTable[[#This Row],[SP Buyback Override]]),"")</f>
        <v/>
      </c>
      <c r="CU103" s="141"/>
      <c r="CV103" s="220"/>
      <c r="CW103" s="348" t="str">
        <f>IF(ISNUMBER( SnapshotTable[[#This Row],[SP Term]]), SnapshotTable[[#This Row],[SP Exp Date]] - MockToday,"")</f>
        <v/>
      </c>
      <c r="CX103" s="31" t="str">
        <f>IF(SnapshotTable[[#This Row],[SP Is Filled]],SnapshotTable[[#This Row],[SP Buyback Price to Use]] * 100 * SnapshotTable[[#This Row],[SP Qty]], "")</f>
        <v/>
      </c>
      <c r="CY103" s="4" t="str">
        <f>IF(ISNUMBER(SnapshotTable[[#This Row],[SP Strike Price]]), SnapshotTable[[#This Row],[SP Strike Price]] * (1 - SP_MaxLoss_StrikePct), "")</f>
        <v/>
      </c>
      <c r="CZ103" s="31" t="str">
        <f>IF(ISNUMBER(SnapshotTable[[#This Row],[SP Strike  Stop Per Share]]),SnapshotTable[[#This Row],[SP Premium]] - ((SnapshotTable[[#This Row],[SP Strike Price]]-SnapshotTable[[#This Row],[SP Strike  Stop Per Share]]) *(SnapshotTable[[#This Row],[SP Qty]] * 100)),"")</f>
        <v/>
      </c>
      <c r="DA103" s="4" t="str">
        <f>IF(AND(ISNUMBER(SnapshotTable[[#This Row],[SP Premium]]),SnapshotTable[[#This Row],[SP Premium]]&gt;0), SnapshotTable[[#This Row],[SP Book Price]] * (1 + SP_MaxLoss_OptionPct), "")</f>
        <v/>
      </c>
      <c r="DB103" s="31" t="str">
        <f>IF(ISNUMBER(SnapshotTable[[#This Row],[SP Option  Stop Contract]]),(SnapshotTable[[#This Row],[SP Option  Stop Contract]] *(SnapshotTable[[#This Row],[SP Qty]] * 100) - SnapshotTable[[#This Row],[SP Premium]]),"")</f>
        <v/>
      </c>
      <c r="DC103" s="4"/>
      <c r="DD103" s="4"/>
      <c r="DE103" s="4" t="str">
        <f>IF(AND(SnapshotTable[[#This Row],[SP Qty]]&gt;0, SnapshotTable[[#This Row],[SP Stop To Use]]&gt;0),SnapshotTable[[#This Row],[SP Premium]] - ( SnapshotTable[[#This Row],[SP Qty]] * SnapshotTable[[#This Row],[SP Stop To Use]] * 100), "")</f>
        <v/>
      </c>
      <c r="DF103" s="31" t="str">
        <f>IF(AND(SnapshotTable[[#This Row],[SP Qty]]&gt;0,SnapshotTable[[#This Row],[SP Current Ask]]&gt;0), SnapshotTable[[#This Row],[SP Qty]] * SnapshotTable[[#This Row],[SP Current Ask]] * -100, "")</f>
        <v/>
      </c>
      <c r="DG103" s="31" t="str">
        <f>IF(ISNUMBER((SnapshotTable[[#This Row],[SP Total Value]])), SnapshotTable[[#This Row],[SP Premium]] + SnapshotTable[[#This Row],[SP Total Value]], "")</f>
        <v/>
      </c>
      <c r="DH103" s="272" t="str">
        <f>IF(ISNUMBER((SnapshotTable[[#This Row],[SP Total Value]])), SnapshotTable[[#This Row],[SP Gain Loss]] / SnapshotTable[[#This Row],[SP Premium]], "")</f>
        <v/>
      </c>
      <c r="DI103" s="369"/>
      <c r="DJ103" s="136"/>
      <c r="DK103" s="146"/>
      <c r="DL103" s="13"/>
      <c r="DM103" s="13"/>
      <c r="DO103" s="31">
        <f>IF(SnapshotTable[[#This Row],[LC Symbol Count]]=1, SnapshotTable[[#This Row],[LC Qty]] * SnapshotTable[[#This Row],[LC Book Price]] * 100, 0)</f>
        <v>0</v>
      </c>
      <c r="DP103" s="161" t="str">
        <f>IF(AND(SnapshotTable[[#This Row],[LC Exp Date]]&gt;0, SnapshotTable[[#This Row],[LC Strike Price]]&gt;0,SnapshotTable[[#This Row],[LC Qty]]&gt;0,SnapshotTable[[#This Row],[LC Book Date]]&gt;0,SnapshotTable[[#This Row],[LC Book Price]]&gt;0,SnapshotTable[[#This Row],[LC Fill Date]]=0),"Y","")</f>
        <v/>
      </c>
      <c r="DQ103" s="356" t="str">
        <f>IF(SnapshotTable[[#This Row],[LC Premium]] &gt; 0,SnapshotTable[[#This Row],[LC Exp Date]]-MAX(SnapshotTable[[#This Row],[LC Book Date]], SnapshotTable[[#This Row],[LC Fill Date]]),"")</f>
        <v/>
      </c>
      <c r="DR103" s="356" t="str">
        <f>IF(ISNUMBER(SnapshotTable[[#This Row],[LC Term]]), SnapshotTable[[#This Row],[LC Exp Date]] - MockToday, "")</f>
        <v/>
      </c>
      <c r="DS103" s="219" t="str">
        <f>IF(SnapshotTable[[#This Row],[LC Premium]]&gt;0,SnapshotTable[[#This Row],[LC Strike Price]] + SnapshotTable[[#This Row],[LC Book Price]],"")</f>
        <v/>
      </c>
      <c r="DU103" s="9" t="str">
        <f>IF(AND(SnapshotTable[[#This Row],[LC Symbol Count]]&gt;0, SnapshotTable[[#This Row],[LC Contract Value]]&gt;0), SnapshotTable[[#This Row],[LC Contract Value]] * SnapshotTable[[#This Row],[LC Qty]] * 100, "")</f>
        <v/>
      </c>
      <c r="DV103" s="9" t="str">
        <f>IF(AND(ISNUMBER(SnapshotTable[[#This Row],[LC Total Value]]), SnapshotTable[[#This Row],[LC Not Filled]]&lt;&gt;"Y"), SnapshotTable[[#This Row],[LC Total Value]]-SnapshotTable[[#This Row],[LC Premium]],"")</f>
        <v/>
      </c>
      <c r="DW103" s="225" t="str">
        <f>IF(ISNUMBER(SnapshotTable[[#This Row],[LC Actual Gain Loss]]), SnapshotTable[[#This Row],[LC Actual Gain Loss]] / SnapshotTable[[#This Row],[LC Premium]],"")</f>
        <v/>
      </c>
      <c r="DX103" s="269" t="str">
        <f>IF(ISNUMBER(SnapshotTable[[#This Row],[LC Book Price]]),SnapshotTable[[#This Row],[LC Book Price]] * 1.5,"")</f>
        <v/>
      </c>
      <c r="DY103" s="250" t="str">
        <f>IF(SnapshotTable[[#This Row],[LC Premium]]&gt;0, SnapshotTable[[#This Row],[LC Next Target]] * SnapshotTable[[#This Row],[LC Qty]] * 100,"")</f>
        <v/>
      </c>
      <c r="DZ103" s="250" t="str">
        <f>IF(ISNUMBER(SnapshotTable[[#This Row],[LC Target Gross]]), SnapshotTable[[#This Row],[LC Target Gross]] - SnapshotTable[[#This Row],[LC Premium]], "")</f>
        <v/>
      </c>
      <c r="EA103" s="283" t="str">
        <f>IF(ISNUMBER(SnapshotTable[[#This Row],[LC Target Gain Loss]]), SnapshotTable[[#This Row],[LC Target Gain Loss]]/SnapshotTable[[#This Row],[LC Premium]], "")</f>
        <v/>
      </c>
      <c r="EB103" s="247"/>
      <c r="EC103" s="268" t="str">
        <f>IF(SnapshotTable[[#This Row],[LC Premium]]&gt;0, SnapshotTable[[#This Row],[LC Book Price]] * (1 - LC_StopLoss_Pct),"")</f>
        <v/>
      </c>
      <c r="ED103" s="269"/>
      <c r="EE103" s="268" t="str">
        <f>IF(ISNUMBER(SnapshotTable[[#This Row],[LC Contract Value]]),IF(ISNUMBER(SnapshotTable[[#This Row],[LC Stop Loss Override]]), SnapshotTable[[#This Row],[LC Stop Loss Override]],SnapshotTable[[#This Row],[LC Stop Loss Calc Target]]),"")</f>
        <v/>
      </c>
      <c r="EF103" s="31" t="str">
        <f>IF(ISNUMBER(SnapshotTable[[#This Row],[LC Stop  To Use]]), (SnapshotTable[[#This Row],[LC Stop  To Use]] * SnapshotTable[[#This Row],[LC Qty]] * 100),"")</f>
        <v/>
      </c>
      <c r="EG103" s="9" t="str">
        <f>IF(ISNUMBER(SnapshotTable[[#This Row],[LC Total Value]]),SnapshotTable[[#This Row],[LC Stop Loss Amount]] - SnapshotTable[[#This Row],[LC Premium]],"")</f>
        <v/>
      </c>
      <c r="EH103" s="9">
        <f>IF(ISNUMBER(SnapshotTable[[#This Row],[LC Premium]]), SnapshotTable[[#This Row],[LC Qty]] * 100 * SnapshotTable[[#This Row],[LC Strike Price]], "")</f>
        <v>0</v>
      </c>
      <c r="EI103" s="225" t="str">
        <f>IF(AND(ISNUMBER(SnapshotTable[[#This Row],[LC Total Value]]),SnapshotTable[[#This Row],[LC Total Value]]&gt;0),SnapshotTable[[#This Row],[LC Stop Gain Loss]]  / SnapshotTable[[#This Row],[LC Premium]],"")</f>
        <v/>
      </c>
      <c r="EJ103" s="35">
        <f>IF(ISNUMBER(SnapshotTable[[#This Row],[Equity Shares]]),TRUNC(SnapshotTable[[#This Row],[Equity Shares]] / 100),0) + SnapshotTable[[#This Row],[LC Qty]]</f>
        <v>0</v>
      </c>
      <c r="EK103" s="145"/>
      <c r="EL103" s="136"/>
      <c r="EM103" s="146"/>
      <c r="EN103" s="145"/>
      <c r="EO103" s="145"/>
      <c r="EP103" s="136"/>
      <c r="EQ103" s="382" t="b">
        <f>AND(ISNUMBER(SnapshotTable[[#This Row],[SC Exp Date]]), ISNUMBER(SnapshotTable[[#This Row],[SC Strike Price]]), ISNUMBER(SnapshotTable[[#This Row],[SC Qty]]), ISNUMBER(SnapshotTable[[#This Row],[SC Book Date]]), ISNUMBER(SnapshotTable[[#This Row],[SC Book Price]]))</f>
        <v>0</v>
      </c>
      <c r="ER103" s="382" t="b">
        <f>AND(SnapshotTable[[#This Row],[SC Is Booked]], NOT(ISBLANK(SnapshotTable[[#This Row],[SC Fill Date]])))</f>
        <v>0</v>
      </c>
      <c r="ES103" s="340"/>
      <c r="ET103" s="34" t="str">
        <f>IF(AND(ISNUMBER(SnapshotTable[[#This Row],[SC Exp Date]]), ISNUMBER(SnapshotTable[[#This Row],[SC Book Date]])), SnapshotTable[[#This Row],[SC Exp Date]] - MAX(SnapshotTable[[#This Row],[SC Book Date]], SnapshotTable[[#This Row],[SC Fill Date]]) + 1, "")</f>
        <v/>
      </c>
      <c r="EU103" s="34" t="str">
        <f>IF(ISNUMBER(SnapshotTable[[#This Row],[SC Term]]), SnapshotTable[[#This Row],[SC Exp Date]]- MockToday, "")</f>
        <v/>
      </c>
      <c r="EV103" s="31">
        <f>IF(SnapshotTable[[#This Row],[SC Is Booked]], SnapshotTable[[#This Row],[SC Qty]] * SnapshotTable[[#This Row],[SC Book Price]] * 100, 0)</f>
        <v>0</v>
      </c>
      <c r="EW103" s="4" t="str">
        <f>IF(AND(ISNUMBER(SnapshotTable[[#This Row],[Last Price]]), ISNUMBER( SnapshotTable[[#This Row],[SC Book Price]])), SnapshotTable[[#This Row],[Last Price]] - SnapshotTable[[#This Row],[SC Book Price]],"")</f>
        <v/>
      </c>
      <c r="EX103" s="219" t="str">
        <f>IF(SnapshotTable[[#This Row],[SC Is Booked]],IF(SnapshotTable[[#This Row],[SC Intrinsic Value]] &gt; 0, SnapshotTable[[#This Row],[SC Strike Price]], SnapshotTable[[#This Row],[Last Price]]), "")</f>
        <v/>
      </c>
      <c r="EY103" s="4">
        <f>IF(SnapshotTable[[#This Row],[SC Is Booked]], (MinimumPremiumRequired * SnapshotTable[[#This Row],[SC Basis]] * SnapshotTable[[#This Row],[SC Term]]), 0)</f>
        <v>0</v>
      </c>
      <c r="EZ103" s="268"/>
      <c r="FA103" s="204"/>
      <c r="FB103" s="340"/>
      <c r="FC103" s="4">
        <f>IF(SnapshotTable[[#This Row],[SC Is Filled]], btc_max_buyback_amount(SnapshotTable[[#This Row],[SC Fill Date]],SnapshotTable[[#This Row],[SC Exp Date]], SnapshotTable[[#This Row],[SC Book Price]]),0)</f>
        <v>0</v>
      </c>
      <c r="FD103" s="5"/>
      <c r="FE103" s="142" t="str">
        <f>IF(SnapshotTable[[#This Row],[SC Is Filled]], btc_next_cutoff_date(SnapshotTable[[#This Row],[SC Fill Date]],SnapshotTable[[#This Row],[SC Exp Date]]),"")</f>
        <v/>
      </c>
      <c r="FF103" s="4" t="str" cm="1">
        <f t="array" ref="FF103">IF(SnapshotTable[[#This Row],[SC Is Filled]], btc_should_buy_back(SnapshotTable[[#This Row],[SC Fill Date]], SnapshotTable[[#This Row],[SC Exp Date]], SnapshotTable[[#This Row],[SC Book Price]], SnapshotTable[[#This Row],[SC Current Ask]], MockToday, SnapshotTable[[#This Row],[SC Buyback Override]]),"")</f>
        <v/>
      </c>
      <c r="FG103" s="4">
        <f>IF(SnapshotTable[[#This Row],[SC Is Filled]], MAX(0,SnapshotTable[[#This Row],[Last Price]]  - SnapshotTable[[#This Row],[SC Strike Price]]), 0)</f>
        <v>0</v>
      </c>
      <c r="FH103" s="352">
        <f>IF(SnapshotTable[[#This Row],[SC Is Filled]], IF(ISNUMBER(SnapshotTable[[#This Row],[SC Current Ask]]), SnapshotTable[[#This Row],[SC Current Ask]], SnapshotTable[[#This Row],[SC Book Price]]) - SnapshotTable[[#This Row],[SC Intrinsic Value]], 0)</f>
        <v>0</v>
      </c>
      <c r="FI103" s="141"/>
      <c r="FJ103" s="32" t="str">
        <f>IF(SnapshotTable[[#This Row],[SC Is Filled]],100 * SnapshotTable[[#This Row],[SC Qty]] * IF(ISNUMBER(SnapshotTable[[#This Row],[SC Buyback Override]]), SnapshotTable[[#This Row],[SC Buyback Override]], SnapshotTable[[#This Row],[SC Current Ask]]), "")</f>
        <v/>
      </c>
      <c r="FK103" s="235" t="str">
        <f>IF(SnapshotTable[[#This Row],[SC Time Val]]&gt;0, SnapshotTable[[#This Row],[SC Time Val]] / SnapshotTable[[#This Row],[Last Price]],"")</f>
        <v/>
      </c>
      <c r="FL103" s="280" t="str">
        <f>IF(SnapshotTable[[#This Row],[SC Is Booked]], ((SnapshotTable[[#This Row],[Last Price]] -SnapshotTable[[#This Row],[SC Strike Price]]) / SnapshotTable[[#This Row],[Last Price]]) * -1, "")</f>
        <v/>
      </c>
      <c r="FM103" s="155" t="str">
        <f>IF(SnapshotTable[[#This Row],[SC Is Booked]],  (SnapshotTable[[#This Row],[SC Qty]] * 100 * SnapshotTable[[#This Row],[SC Strike Price]]) - SnapshotTable[[#This Row],[SC Current Ask]], "")</f>
        <v/>
      </c>
      <c r="FN1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3" s="31" t="str">
        <f>IF(AND(ISNUMBER(SnapshotTable[[#This Row],[SC Exercise Gross]]), ISNUMBER(SnapshotTable[[#This Row],[Equity Basis Per Share]] )), SnapshotTable[[#This Row],[SC Exercise Gross]] - SnapshotTable[[#This Row],[Equity Basis Total]] +  SnapshotTable[[#This Row],[SC Premium]], "")</f>
        <v/>
      </c>
      <c r="FP103" s="5" t="str">
        <f>IF(ISNUMBER(SnapshotTable[[#This Row],[SC Exercise Gross]]), (SnapshotTable[[#This Row],[SC Exercise Gross]]) / (SnapshotTable[[#This Row],[SC Qty]] * 100), "")</f>
        <v/>
      </c>
      <c r="FQ103" s="27" t="str">
        <f>IF(SnapshotTable[[#This Row],[SC Is Booked]],SnapshotTable[[#This Row],[SC Time Val]] /SnapshotTable[[#This Row],[SC Basis]], "")</f>
        <v/>
      </c>
      <c r="FR103" s="27" t="str" cm="1">
        <f t="array" ref="FR103">IF(AND(ISNUMBER(SnapshotTable[[#This Row],[SC Term]]),ISNUMBER(SnapshotTable[[#This Row],[SC Simple ROO]])), EllmanAnnualize(SnapshotTable[[#This Row],[SC DTE]], SnapshotTable[[#This Row],[SC Simple ROO]] ),"")</f>
        <v/>
      </c>
      <c r="FS103" s="4">
        <f>IF(SnapshotTable[[#This Row],[SC Strike Price]] &gt; SnapshotTable[[#This Row],[Last Price]], SnapshotTable[[#This Row],[SC Strike Price]] - SnapshotTable[[#This Row],[Last Price]],0)</f>
        <v>0</v>
      </c>
      <c r="FT103" s="27" t="str">
        <f>IF(AND(ISNUMBER(SnapshotTable[[#This Row],[SC Upside Potential]]), SnapshotTable[[#This Row],[SC Upside Potential]] &gt; 0),(SnapshotTable[[#This Row],[SC Upside Potential]]/ SnapshotTable[[#This Row],[ACB]]),"")</f>
        <v/>
      </c>
      <c r="FU103" s="304" t="str">
        <f>IF(SnapshotTable[[#This Row],[SC Intrinsic Value]] &gt; 0,SnapshotTable[[#This Row],[SC Intrinsic Value]],"")</f>
        <v/>
      </c>
      <c r="FV103" s="27" t="str">
        <f>IF(AND( ISNUMBER( SnapshotTable[[#This Row],[ACB]]),ISNUMBER(SnapshotTable[[#This Row],[SC Downside Protect]])),SnapshotTable[[#This Row],[SC Downside Protect]] / SnapshotTable[[#This Row],[ACB]],"")</f>
        <v/>
      </c>
      <c r="FW103" s="221" t="str">
        <f>IF(AND(ISNUMBER(SnapshotTable[[#This Row],[SC Simple ROO]]),SnapshotTable[[#This Row],[SC Simple ROO]] &gt; 0), SnapshotTable[[#This Row],[SC Premium]] + (SnapshotTable[[#This Row],[SC Qty]] * SnapshotTable[[#This Row],[SC Upside Potential]]), "")</f>
        <v/>
      </c>
      <c r="FX103" s="280" t="str" cm="1">
        <f t="array" ref="FX103">IF(ISNUMBER(SnapshotTable[[#This Row],[SC Max Dollars]]), annualize(SnapshotTable[[#This Row],[SC Term]],(SnapshotTable[[#This Row],[SC Max Dollars]]/SnapshotTable[[#This Row],[SC Basis]])),"")</f>
        <v/>
      </c>
      <c r="FY103" s="221" t="str">
        <f>IF(AND(SnapshotTable[[#This Row],[SC Qty]]&gt;0,SnapshotTable[[#This Row],[SC Current Ask]]&gt;0), SnapshotTable[[#This Row],[SC Qty]] * SnapshotTable[[#This Row],[SC Current Ask]] * -100, "")</f>
        <v/>
      </c>
      <c r="FZ103" s="31" t="str">
        <f>IF(ISNUMBER((SnapshotTable[[#This Row],[SC Current Value]])), SnapshotTable[[#This Row],[SC Premium]] + SnapshotTable[[#This Row],[SC Current Value]], "")</f>
        <v/>
      </c>
      <c r="GA103" s="272" t="str">
        <f>IFERROR( IF(ISNUMBER((SnapshotTable[[#This Row],[SC Current Value]])), SnapshotTable[[#This Row],[SC Gain Loss]] / SnapshotTable[[#This Row],[SC Premium]], ""), "")</f>
        <v/>
      </c>
      <c r="GB103" s="42">
        <f>SnapshotTable[[#This Row],[Equity Shares]] * SaleSharesToConsiderPercentage</f>
        <v>0</v>
      </c>
      <c r="GC103" s="40" t="e">
        <f>SnapshotTable[[#This Row],[Long Term Target]] * SellingPriceToConsiderBasedOnTargetPercentage</f>
        <v>#VALUE!</v>
      </c>
      <c r="GD103" s="40">
        <f>SnapshotTable[[#This Row],[Last Price]] * (1+ SellingPriceToConsiderBasedOnTargetPercentage)</f>
        <v>5.4209999999999994</v>
      </c>
      <c r="GE103" s="41"/>
      <c r="GF103" s="40"/>
      <c r="GG103" s="31">
        <f>SnapshotTable[[#This Row],[Booked Sale Shares]] * SnapshotTable[[#This Row],[Booked Sale Price]]</f>
        <v>0</v>
      </c>
      <c r="GH103" s="31" t="str">
        <f>IF(SnapshotTable[[#This Row],[Equity Basis Total]] &gt; 0, SnapshotTable[[#This Row],[Equity Basis Per Share]] * SnapshotTable[[#This Row],[Booked Sale Shares]], "")</f>
        <v/>
      </c>
      <c r="GI103" s="31">
        <f>IF(SnapshotTable[[#This Row],[Sale Proceeds]]&gt;0, SnapshotTable[[#This Row],[Sale Proceeds]] - SnapshotTable[[#This Row],[Sale Basis]], 0)</f>
        <v>0</v>
      </c>
      <c r="GJ103" s="27" t="str">
        <f>IF(SnapshotTable[[#This Row],[Sale G/L]]&gt;0, SnapshotTable[[#This Row],[Sale G/L]] / SnapshotTable[[#This Row],[Sale Basis]], IF(ISNUMBER(SnapshotTable[[#This Row],[SC Exercise P&amp;L (TAX)]]), SnapshotTable[[#This Row],[SC Exercise P&amp;L (TAX)]] / SnapshotTable[[#This Row],[SC Basis]], ""))</f>
        <v/>
      </c>
      <c r="GK103" s="27" t="s">
        <v>604</v>
      </c>
      <c r="GL103" s="43" t="str">
        <f>IF(AND(SnapshotTable[[#This Row],[LP Exp Date]]&gt;0,SnapshotTable[[#This Row],[LP Strike Price]]&gt;0), [1]!ToOptionSymbol(SnapshotTable[[#This Row],[Symbol]], SnapshotTable[[#This Row],[LP Strike Price]],SnapshotTable[[#This Row],[LP Exp Date]],1), "")</f>
        <v/>
      </c>
      <c r="GM103" s="30" t="str">
        <f>IF(LEN(SnapshotTable[[#This Row],[LP Symbol]])&gt;0, 1, "")</f>
        <v/>
      </c>
      <c r="GN103" s="43" t="str">
        <f>IF(AND(SnapshotTable[[#This Row],[SP Exp Date]]&gt;0,SnapshotTable[[#This Row],[SP Strike Price]]&gt;0), [1]!ToOptionSymbol(SnapshotTable[[#This Row],[Symbol]], SnapshotTable[[#This Row],[SP Strike Price]],SnapshotTable[[#This Row],[SP Exp Date]],1), "")</f>
        <v/>
      </c>
      <c r="GO103" s="30" t="str">
        <f>IF(LEN(SnapshotTable[[#This Row],[SP Symbol]])&gt;0, 1, "")</f>
        <v/>
      </c>
      <c r="GP103" s="43" t="str">
        <f>IF(AND(SnapshotTable[[#This Row],[LC Exp Date]]&gt;0,SnapshotTable[[#This Row],[LC Strike Price]]&gt;0), [1]!ToOptionSymbol(SnapshotTable[[#This Row],[Symbol]], SnapshotTable[[#This Row],[LC Strike Price]],SnapshotTable[[#This Row],[LC Exp Date]],0), "")</f>
        <v/>
      </c>
      <c r="GQ103" s="30" t="str">
        <f>IF(LEN(SnapshotTable[[#This Row],[LC Symbol]])&gt;0, 1, "")</f>
        <v/>
      </c>
      <c r="GR103" s="43" t="str">
        <f>IF(AND(SnapshotTable[[#This Row],[SC Exp Date]]&gt;0,SnapshotTable[[#This Row],[SC Strike Price]]&gt;0), [1]!ToOptionSymbol(SnapshotTable[[#This Row],[Symbol]], SnapshotTable[[#This Row],[SC Strike Price]],SnapshotTable[[#This Row],[SC Exp Date]],0), "")</f>
        <v/>
      </c>
      <c r="GS103" s="30" t="str">
        <f>IF(LEN(SnapshotTable[[#This Row],[SC Symbol]])&gt;0, 1, "")</f>
        <v/>
      </c>
      <c r="GT103" s="29" t="str">
        <f>IF(COUNT(SnapshotTable[[#This Row],[LP Symbol Count]],SnapshotTable[[#This Row],[SP Symbol Count]],SnapshotTable[[#This Row],[LC Symbol Count]],SnapshotTable[[#This Row],[SC Symbol Count]])&gt;0, "Y", "")</f>
        <v/>
      </c>
      <c r="GU1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3" s="216">
        <f>MAX(SnapshotTable[[#This Row],[Equity Basis Total]],SnapshotTable[[#This Row],[Equity Value]]) + (SnapshotTable[[#This Row],[SP Potential Spend]]- SnapshotTable[[#This Row],[SP Premium]] + SnapshotTable[[#This Row],[LP Premium]])+ (SnapshotTable[[#This Row],[LC Premium]] - SnapshotTable[[#This Row],[SC Premium]])</f>
        <v>0</v>
      </c>
      <c r="GW103" s="137" t="str">
        <f>IF(AND(SnapshotTable[[#This Row],[Exposure]] &lt;&gt; 0),SnapshotTable[[#This Row],[Exposure]] / SnapshotTable[[#Totals],[Exposure]], "")</f>
        <v/>
      </c>
      <c r="HE103" s="253"/>
      <c r="HF103" s="253"/>
      <c r="HK103" s="1"/>
      <c r="HL103" s="1"/>
      <c r="HM103" s="1"/>
      <c r="HN103" s="1"/>
      <c r="HO103" s="1"/>
      <c r="HP103" s="1"/>
    </row>
    <row r="104" spans="2:224" ht="12.75" hidden="1" customHeight="1" x14ac:dyDescent="0.25">
      <c r="B104" s="12" t="s">
        <v>842</v>
      </c>
      <c r="C104" s="385">
        <v>136.19999999999999</v>
      </c>
      <c r="D104" s="200" t="s">
        <v>841</v>
      </c>
      <c r="E104" s="39">
        <f>SnapshotTable[[#This Row],[Last Price]]*(1 -CrashDiscount)</f>
        <v>115.76999999999998</v>
      </c>
      <c r="F104" s="26" t="s">
        <v>843</v>
      </c>
      <c r="G104" s="26" t="s">
        <v>493</v>
      </c>
      <c r="H104" s="147"/>
      <c r="I104" s="186">
        <v>45064.291666666664</v>
      </c>
      <c r="J104" s="187">
        <v>45064.291666666664</v>
      </c>
      <c r="K104" s="188"/>
      <c r="L104" s="297"/>
      <c r="M104" s="138"/>
      <c r="N104" s="138"/>
      <c r="O104" s="138"/>
      <c r="P104" s="22"/>
      <c r="Q104" s="25"/>
      <c r="R104" s="4" t="str">
        <f>IF(SnapshotTable[[#This Row],[Equity Basis Total]] &gt; 0, SnapshotTable[[#This Row],[Equity Basis Total]] / SnapshotTable[[#This Row],[Equity Shares]], "")</f>
        <v/>
      </c>
      <c r="S104" s="254">
        <f>SnapshotTable[[#This Row],[Last Price]] * SnapshotTable[[#This Row],[Equity Shares]]</f>
        <v>0</v>
      </c>
      <c r="T104" s="254">
        <f>SnapshotTable[[#This Row],[Equity Value]] - SnapshotTable[[#This Row],[Equity Basis Total]]</f>
        <v>0</v>
      </c>
      <c r="U104" s="255" t="str">
        <f>IF(SnapshotTable[[#This Row],[Equity Basis Total]] &gt; 0, SnapshotTable[[#This Row],[Equity G/L]] / SnapshotTable[[#This Row],[Equity Basis Total]], "")</f>
        <v/>
      </c>
      <c r="V104" s="253"/>
      <c r="W104" s="253"/>
      <c r="X104" s="4" t="str">
        <f>IF(AND(ISNUMBER(SnapshotTable[[#This Row],[Equity Basis Per Share]]),ISNUMBER(SnapshotTable[[#This Row],[Equity Target]])),SnapshotTable[[#This Row],[Equity Target]]-SnapshotTable[[#This Row],[Equity Basis Per Share]],"")</f>
        <v/>
      </c>
      <c r="Y104" s="4" t="str">
        <f>IF(AND(ISNUMBER(SnapshotTable[[#This Row],[Equity Basis Per Share]]),ISNUMBER(SnapshotTable[[#This Row],[Equity Stop Loss]])),SnapshotTable[[#This Row],[Equity Stop Loss]]-SnapshotTable[[#This Row],[Equity Basis Per Share]],"")</f>
        <v/>
      </c>
      <c r="Z104" s="260" t="str">
        <f>IFERROR( TEXT(SnapshotTable[[#This Row],[Equity Max Gain Per Share]] /ABS( SnapshotTable[[#This Row],[Equity Max Loss Per Share]]),"0.0 " ) &amp; " : 1", "")</f>
        <v/>
      </c>
      <c r="AA104" s="31" t="str">
        <f>IF(ISNUMBER(SnapshotTable[[#This Row],[Equity Max Gain Per Share]]),SnapshotTable[[#This Row],[Equity Max Gain Per Share]] * SnapshotTable[[#This Row],[Equity Shares]],"")</f>
        <v/>
      </c>
      <c r="AB104" s="31" t="str">
        <f>IF(ISNUMBER(SnapshotTable[[#This Row],[Equity Max Loss Per Share]]),SnapshotTable[[#This Row],[Equity Max Loss Per Share]] * SnapshotTable[[#This Row],[Equity Shares]],"")</f>
        <v/>
      </c>
      <c r="AC104" s="148"/>
      <c r="AD104" s="149"/>
      <c r="AE104" s="31">
        <f>(SnapshotTable[[#This Row],[Annual Dividend Per Share]] / 4) * SnapshotTable[[#This Row],[Equity Shares]]</f>
        <v>0</v>
      </c>
      <c r="AF104" s="31">
        <f>SnapshotTable[[#This Row],[Quarterly Div $]] * 4</f>
        <v>0</v>
      </c>
      <c r="AG104" s="7">
        <f>IF(SnapshotTable[[#This Row],[Annual Dividend Per Share]]&gt;0, SnapshotTable[[#This Row],[Annual Dividend Per Share]]  / SnapshotTable[[#This Row],[Last Price]], 0)</f>
        <v>0</v>
      </c>
      <c r="AH104" s="149"/>
      <c r="AI104" s="5"/>
      <c r="AJ104" s="136">
        <v>150.33000000000001</v>
      </c>
      <c r="AK104" s="150" t="str">
        <f>IF(ISNUMBER( SnapshotTable[[#This Row],[EBF Target]]),(SnapshotTable[[#This Row],[EBF Target]] - SnapshotTable[[#This Row],[Last Price]]) / SnapshotTable[[#This Row],[Last Price]], "")</f>
        <v/>
      </c>
      <c r="AL104" s="150" t="str">
        <f>IF(AND(SnapshotTable[[#This Row],[Equity Basis Total]] &gt; 0,ISNUMBER( SnapshotTable[[#This Row],[Long Term Target]])), SnapshotTable[[#This Row],[From Basis $]] / SnapshotTable[[#This Row],[Equity Basis Total]], "")</f>
        <v/>
      </c>
      <c r="AM104" s="9">
        <f>IF( AND(SnapshotTable[[#This Row],[Equity Shares]] &gt;0,ISNUMBER( SnapshotTable[[#This Row],[Long Term Target]])),(SnapshotTable[[#This Row],[Equity Shares]] * SnapshotTable[[#This Row],[Long Term Target]]) - SnapshotTable[[#This Row],[Equity Basis Total]],0)</f>
        <v>0</v>
      </c>
      <c r="AN104" s="9">
        <f>IF( AND(SnapshotTable[[#This Row],[Equity Shares]] &gt;0,ISNUMBER( SnapshotTable[[#This Row],[Long Term Target]])),(SnapshotTable[[#This Row],[Equity Shares]]*SnapshotTable[[#This Row],[Long Term Target]]) - SnapshotTable[[#This Row],[Equity Value]],0)</f>
        <v>0</v>
      </c>
      <c r="AO104" s="150">
        <f>IF(AND(ISNUMBER( SnapshotTable[[#This Row],[Long Term Target]]), ISNUMBER(SnapshotTable[[#This Row],[Last Price]])),(SnapshotTable[[#This Row],[Long Term Target]] - SnapshotTable[[#This Row],[Last Price]]) / SnapshotTable[[#This Row],[Last Price]], "")</f>
        <v>0.10374449339207067</v>
      </c>
      <c r="AP104" s="5">
        <v>119</v>
      </c>
      <c r="AQ104" s="38" t="s">
        <v>22</v>
      </c>
      <c r="AR104" s="5">
        <v>119</v>
      </c>
      <c r="AS104" s="38" t="s">
        <v>15</v>
      </c>
      <c r="AT104" s="144" t="s">
        <v>438</v>
      </c>
      <c r="AU104" s="185" t="str">
        <f>IF(OR(SnapshotTable[[#This Row],[LP No Fill]]="Y",SnapshotTable[[#This Row],[SP Is Filled]],SnapshotTable[[#This Row],[LC Not Filled]]="Y",SnapshotTable[[#This Row],[SC Is Filled]]),"Y","")</f>
        <v/>
      </c>
      <c r="AV104" s="205"/>
      <c r="AW104" s="211"/>
      <c r="AX104" s="206"/>
      <c r="AY104" s="205" t="str">
        <f>IF(SnapshotTable[[#This Row],[Implied Move]]&gt;0, SnapshotTable[[#This Row],[Last Price]]-SnapshotTable[[#This Row],[Implied Move]],"")</f>
        <v/>
      </c>
      <c r="AZ104" s="205" t="str">
        <f>IF(SnapshotTable[[#This Row],[Implied Move]]&gt;0, SnapshotTable[[#This Row],[Last Price]] + SnapshotTable[[#This Row],[Implied Move]],"")</f>
        <v/>
      </c>
      <c r="BA104" s="302">
        <v>116.6</v>
      </c>
      <c r="BB104" s="318"/>
      <c r="BC1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4" s="321"/>
      <c r="BE104" s="5"/>
      <c r="BF104" s="14"/>
      <c r="BG104" s="13"/>
      <c r="BH104" s="13"/>
      <c r="BI104" s="5"/>
      <c r="BJ104" s="134">
        <f>IF(SnapshotTable[[#This Row],[LP Qty]] &gt; 0, SnapshotTable[[#This Row],[LP Qty]] * SnapshotTable[[#This Row],[LP Book Price]] * 100,0)</f>
        <v>0</v>
      </c>
      <c r="BK104" s="134">
        <f>IF(SnapshotTable[[#This Row],[LP Premium]] &gt; 0, SnapshotTable[[#This Row],[LP Qty]] * SnapshotTable[[#This Row],[LP Strike Price]] * 100,0)</f>
        <v>0</v>
      </c>
      <c r="BL104" s="152"/>
      <c r="BM104" s="355" t="str">
        <f>IF(SnapshotTable[[#This Row],[LP Premium]] &gt; 0,SnapshotTable[[#This Row],[LP Exp Date]]-MAX(SnapshotTable[[#This Row],[LP Book Date]], SnapshotTable[[#This Row],[LP Fill Date]]),"")</f>
        <v/>
      </c>
      <c r="BN104" s="355" t="str">
        <f>IF(ISNUMBER( SnapshotTable[[#This Row],[LP Term]]), SnapshotTable[[#This Row],[LP Exp Date]] - MockToday,"")</f>
        <v/>
      </c>
      <c r="BO104" s="161" t="str">
        <f>IF(AND(SnapshotTable[[#This Row],[LP Exp Date]]&gt;0, SnapshotTable[[#This Row],[LP Strike Price]]&gt;0,SnapshotTable[[#This Row],[LP Qty]]&gt;0,SnapshotTable[[#This Row],[LP Book Date]]&gt;0,SnapshotTable[[#This Row],[LP Book Price]]&gt;0,SnapshotTable[[#This Row],[LP Fill Date]]=0),"Y","")</f>
        <v/>
      </c>
      <c r="BP104" s="31" t="str">
        <f>IF(AND(SnapshotTable[[#This Row],[LP No Fill]]&lt;&gt;"Y",SnapshotTable[[#This Row],[LP Contract Value]]&gt;0, SnapshotTable[[#This Row],[LP Qty]]&gt;0), SnapshotTable[[#This Row],[LP Contract Value]]*SnapshotTable[[#This Row],[LP Qty]]*100,"")</f>
        <v/>
      </c>
      <c r="BQ104" s="13"/>
      <c r="BR104" s="5"/>
      <c r="BS104" s="36"/>
      <c r="BT104" s="145"/>
      <c r="BU104" s="13"/>
      <c r="BV104" s="5"/>
      <c r="BW104" s="382" t="b">
        <f>AND(ISNUMBER(SnapshotTable[[#This Row],[SP Exp Date]]), ISNUMBER(SnapshotTable[[#This Row],[SP Strike Price]]), ISNUMBER(SnapshotTable[[#This Row],[SP Qty]]), ISNUMBER(SnapshotTable[[#This Row],[SP Book Date]]), ISNUMBER(SnapshotTable[[#This Row],[SP Book Price]]))</f>
        <v>0</v>
      </c>
      <c r="BX104" s="382" t="b">
        <f>AND(SnapshotTable[[#This Row],[SP Is Booked]], NOT(ISBLANK(SnapshotTable[[#This Row],[SP Fill Date]])))</f>
        <v>0</v>
      </c>
      <c r="BY104" s="33">
        <f>IF(SnapshotTable[[#This Row],[SP Is Booked]], SnapshotTable[[#This Row],[SP Qty]] * SnapshotTable[[#This Row],[SP Book Price]] * 100, 0)</f>
        <v>0</v>
      </c>
      <c r="BZ104" s="339"/>
      <c r="CA104" s="338">
        <f>SnapshotTable[[#This Row],[LP Qty]]</f>
        <v>0</v>
      </c>
      <c r="CB104" s="4" t="str">
        <f>IF(SnapshotTable[[#This Row],[SP Is Booked]], SnapshotTable[[#This Row],[SP Strike Price]] - SnapshotTable[[#This Row],[SP Book Price]], "")</f>
        <v/>
      </c>
      <c r="CC104" s="19" t="str">
        <f>IF(SnapshotTable[[#This Row],[SP Is Booked]],SnapshotTable[[#This Row],[SP Exp Date]]-MAX(SnapshotTable[[#This Row],[SP Book Date]], SnapshotTable[[#This Row],[SP Fill Date]]),"")</f>
        <v/>
      </c>
      <c r="CD104" s="7" t="str">
        <f>IF(SnapshotTable[[#This Row],[SP Is Booked]], SnapshotTable[[#This Row],[SP Book Price]]/SnapshotTable[[#This Row],[SP Strike Price]], "")</f>
        <v/>
      </c>
      <c r="CE104" s="7" t="str">
        <f>IF(ISNUMBER(SnapshotTable[[#This Row],[SP ROO Term]]),SnapshotTable[[#This Row],[SP ROO Term]]*(365/SnapshotTable[[#This Row],[SP Term]]),"")</f>
        <v/>
      </c>
      <c r="CF104" s="221">
        <f>SnapshotTable[[#This Row],[LP Strike Price]] * SnapshotTable[[#This Row],[LP Qty]] * 100</f>
        <v>0</v>
      </c>
      <c r="CG104" s="31">
        <f>IF(ISNUMBER(SnapshotTable[[#This Row],[SP Premium]]), (SnapshotTable[[#This Row],[SP Qty]] * SnapshotTable[[#This Row],[SP Strike Price]]* 100) - SnapshotTable[[#This Row],[LP Protection]], 0)</f>
        <v>0</v>
      </c>
      <c r="CH104" s="7" t="str">
        <f>IF(ISNUMBER(SnapshotTable[[#This Row],[SP Break Even]]),-1 * (SnapshotTable[[#This Row],[SP Break Even]] - SnapshotTable[[#This Row],[Last Price]]) / SnapshotTable[[#This Row],[Last Price]], "")</f>
        <v/>
      </c>
      <c r="CI104" s="31">
        <f>IF(AND(ISNUMBER((SnapshotTable[[#This Row],[SP Potential Spend]])), SnapshotTable[[#This Row],[SP Strike Price]] &gt; SnapshotTable[[#This Row],[Last Price]], SnapshotTable[[#This Row],[SP Is Filled]]), SnapshotTable[[#This Row],[SP Potential Spend]] -  SnapshotTable[[#This Row],[LP Max Value]], 0)</f>
        <v>0</v>
      </c>
      <c r="CJ104" s="229"/>
      <c r="CK104" s="31">
        <f>IF(ISNUMBER(SnapshotTable[[#This Row],[SP Potential Spend]]),IF(ISNUMBER(SnapshotTable[[#This Row],[SP POW]]), SnapshotTable[[#This Row],[SP POW]] * SnapshotTable[[#This Row],[SP Potential Spend]], SnapshotTable[[#This Row],[SP Potential Spend]]), "")</f>
        <v>0</v>
      </c>
      <c r="CL104" s="162">
        <f>IF(NOT(SnapshotTable[[#This Row],[SP Is Filled]]),(SnapshotTable[[#This Row],[SP Qty]] * SnapshotTable[[#This Row],[SP Strike Price]] * 100) - SnapshotTable[[#This Row],[LP Max Value]],"")</f>
        <v>0</v>
      </c>
      <c r="CM104" s="31" t="str">
        <f>IF(SnapshotTable[[#This Row],[SP Actual Spend]]&lt;&gt;0, ((SnapshotTable[[#This Row],[SP Strike Price]]-SnapshotTable[[#This Row],[Last Price]]) *(SnapshotTable[[#This Row],[SP Qty]]*100) - SnapshotTable[[#This Row],[SP Premium]]) * - 1, "")</f>
        <v/>
      </c>
      <c r="CN104" s="76"/>
      <c r="CO104" s="339"/>
      <c r="CP104" s="4" t="str">
        <f>IF(SnapshotTable[[#This Row],[SP Is Filled]], btc_max_buyback_amount(SnapshotTable[[#This Row],[SP Fill Date]],SnapshotTable[[#This Row],[SP Exp Date]], SnapshotTable[[#This Row],[SP Book Price]]),"")</f>
        <v/>
      </c>
      <c r="CQ104" s="76"/>
      <c r="CR1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4" s="153" t="str">
        <f>IF(SnapshotTable[[#This Row],[SP Is Filled]], btc_next_cutoff_date(SnapshotTable[[#This Row],[SP Fill Date]],SnapshotTable[[#This Row],[SP Exp Date]]),"")</f>
        <v/>
      </c>
      <c r="CT104" s="220" t="str" cm="1">
        <f t="array" ref="CT104">IF(SnapshotTable[[#This Row],[SP Is Filled]], btc_should_buy_back(SnapshotTable[[#This Row],[SP Fill Date]], SnapshotTable[[#This Row],[SP Exp Date]], SnapshotTable[[#This Row],[SP Book Price]], SnapshotTable[[#This Row],[SP Current Ask]], MockToday, SnapshotTable[[#This Row],[SP Buyback Override]]),"")</f>
        <v/>
      </c>
      <c r="CU104" s="141"/>
      <c r="CV104" s="220"/>
      <c r="CW104" s="348" t="str">
        <f>IF(ISNUMBER( SnapshotTable[[#This Row],[SP Term]]), SnapshotTable[[#This Row],[SP Exp Date]] - MockToday,"")</f>
        <v/>
      </c>
      <c r="CX104" s="31" t="str">
        <f>IF(SnapshotTable[[#This Row],[SP Is Filled]],SnapshotTable[[#This Row],[SP Buyback Price to Use]] * 100 * SnapshotTable[[#This Row],[SP Qty]], "")</f>
        <v/>
      </c>
      <c r="CY104" s="4" t="str">
        <f>IF(ISNUMBER(SnapshotTable[[#This Row],[SP Strike Price]]), SnapshotTable[[#This Row],[SP Strike Price]] * (1 - SP_MaxLoss_StrikePct), "")</f>
        <v/>
      </c>
      <c r="CZ104" s="31" t="str">
        <f>IF(ISNUMBER(SnapshotTable[[#This Row],[SP Strike  Stop Per Share]]),SnapshotTable[[#This Row],[SP Premium]] - ((SnapshotTable[[#This Row],[SP Strike Price]]-SnapshotTable[[#This Row],[SP Strike  Stop Per Share]]) *(SnapshotTable[[#This Row],[SP Qty]] * 100)),"")</f>
        <v/>
      </c>
      <c r="DA104" s="4" t="str">
        <f>IF(AND(ISNUMBER(SnapshotTable[[#This Row],[SP Premium]]),SnapshotTable[[#This Row],[SP Premium]]&gt;0), SnapshotTable[[#This Row],[SP Book Price]] * (1 + SP_MaxLoss_OptionPct), "")</f>
        <v/>
      </c>
      <c r="DB104" s="31" t="str">
        <f>IF(ISNUMBER(SnapshotTable[[#This Row],[SP Option  Stop Contract]]),(SnapshotTable[[#This Row],[SP Option  Stop Contract]] *(SnapshotTable[[#This Row],[SP Qty]] * 100) - SnapshotTable[[#This Row],[SP Premium]]),"")</f>
        <v/>
      </c>
      <c r="DC104" s="4"/>
      <c r="DD104" s="4"/>
      <c r="DE104" s="4" t="str">
        <f>IF(AND(SnapshotTable[[#This Row],[SP Qty]]&gt;0, SnapshotTable[[#This Row],[SP Stop To Use]]&gt;0),SnapshotTable[[#This Row],[SP Premium]] - ( SnapshotTable[[#This Row],[SP Qty]] * SnapshotTable[[#This Row],[SP Stop To Use]] * 100), "")</f>
        <v/>
      </c>
      <c r="DF104" s="31" t="str">
        <f>IF(AND(SnapshotTable[[#This Row],[SP Qty]]&gt;0,SnapshotTable[[#This Row],[SP Current Ask]]&gt;0), SnapshotTable[[#This Row],[SP Qty]] * SnapshotTable[[#This Row],[SP Current Ask]] * -100, "")</f>
        <v/>
      </c>
      <c r="DG104" s="31" t="str">
        <f>IF(ISNUMBER((SnapshotTable[[#This Row],[SP Total Value]])), SnapshotTable[[#This Row],[SP Premium]] + SnapshotTable[[#This Row],[SP Total Value]], "")</f>
        <v/>
      </c>
      <c r="DH104" s="272" t="str">
        <f>IF(ISNUMBER((SnapshotTable[[#This Row],[SP Total Value]])), SnapshotTable[[#This Row],[SP Gain Loss]] / SnapshotTable[[#This Row],[SP Premium]], "")</f>
        <v/>
      </c>
      <c r="DI104" s="369"/>
      <c r="DJ104" s="136"/>
      <c r="DK104" s="146"/>
      <c r="DL104" s="13"/>
      <c r="DM104" s="13"/>
      <c r="DO104" s="31">
        <f>IF(SnapshotTable[[#This Row],[LC Symbol Count]]=1, SnapshotTable[[#This Row],[LC Qty]] * SnapshotTable[[#This Row],[LC Book Price]] * 100, 0)</f>
        <v>0</v>
      </c>
      <c r="DP104" s="161" t="str">
        <f>IF(AND(SnapshotTable[[#This Row],[LC Exp Date]]&gt;0, SnapshotTable[[#This Row],[LC Strike Price]]&gt;0,SnapshotTable[[#This Row],[LC Qty]]&gt;0,SnapshotTable[[#This Row],[LC Book Date]]&gt;0,SnapshotTable[[#This Row],[LC Book Price]]&gt;0,SnapshotTable[[#This Row],[LC Fill Date]]=0),"Y","")</f>
        <v/>
      </c>
      <c r="DQ104" s="356" t="str">
        <f>IF(SnapshotTable[[#This Row],[LC Premium]] &gt; 0,SnapshotTable[[#This Row],[LC Exp Date]]-MAX(SnapshotTable[[#This Row],[LC Book Date]], SnapshotTable[[#This Row],[LC Fill Date]]),"")</f>
        <v/>
      </c>
      <c r="DR104" s="356" t="str">
        <f>IF(ISNUMBER(SnapshotTable[[#This Row],[LC Term]]), SnapshotTable[[#This Row],[LC Exp Date]] - MockToday, "")</f>
        <v/>
      </c>
      <c r="DS104" s="219" t="str">
        <f>IF(SnapshotTable[[#This Row],[LC Premium]]&gt;0,SnapshotTable[[#This Row],[LC Strike Price]] + SnapshotTable[[#This Row],[LC Book Price]],"")</f>
        <v/>
      </c>
      <c r="DU104" s="9" t="str">
        <f>IF(AND(SnapshotTable[[#This Row],[LC Symbol Count]]&gt;0, SnapshotTable[[#This Row],[LC Contract Value]]&gt;0), SnapshotTable[[#This Row],[LC Contract Value]] * SnapshotTable[[#This Row],[LC Qty]] * 100, "")</f>
        <v/>
      </c>
      <c r="DV104" s="9" t="str">
        <f>IF(AND(ISNUMBER(SnapshotTable[[#This Row],[LC Total Value]]), SnapshotTable[[#This Row],[LC Not Filled]]&lt;&gt;"Y"), SnapshotTable[[#This Row],[LC Total Value]]-SnapshotTable[[#This Row],[LC Premium]],"")</f>
        <v/>
      </c>
      <c r="DW104" s="225" t="str">
        <f>IF(ISNUMBER(SnapshotTable[[#This Row],[LC Actual Gain Loss]]), SnapshotTable[[#This Row],[LC Actual Gain Loss]] / SnapshotTable[[#This Row],[LC Premium]],"")</f>
        <v/>
      </c>
      <c r="DX104" s="269" t="str">
        <f>IF(ISNUMBER(SnapshotTable[[#This Row],[LC Book Price]]),SnapshotTable[[#This Row],[LC Book Price]] * 1.5,"")</f>
        <v/>
      </c>
      <c r="DY104" s="250" t="str">
        <f>IF(SnapshotTable[[#This Row],[LC Premium]]&gt;0, SnapshotTable[[#This Row],[LC Next Target]] * SnapshotTable[[#This Row],[LC Qty]] * 100,"")</f>
        <v/>
      </c>
      <c r="DZ104" s="250" t="str">
        <f>IF(ISNUMBER(SnapshotTable[[#This Row],[LC Target Gross]]), SnapshotTable[[#This Row],[LC Target Gross]] - SnapshotTable[[#This Row],[LC Premium]], "")</f>
        <v/>
      </c>
      <c r="EA104" s="283" t="str">
        <f>IF(ISNUMBER(SnapshotTable[[#This Row],[LC Target Gain Loss]]), SnapshotTable[[#This Row],[LC Target Gain Loss]]/SnapshotTable[[#This Row],[LC Premium]], "")</f>
        <v/>
      </c>
      <c r="EB104" s="247"/>
      <c r="EC104" s="268" t="str">
        <f>IF(SnapshotTable[[#This Row],[LC Premium]]&gt;0, SnapshotTable[[#This Row],[LC Book Price]] * (1 - LC_StopLoss_Pct),"")</f>
        <v/>
      </c>
      <c r="ED104" s="269"/>
      <c r="EE104" s="268" t="str">
        <f>IF(ISNUMBER(SnapshotTable[[#This Row],[LC Contract Value]]),IF(ISNUMBER(SnapshotTable[[#This Row],[LC Stop Loss Override]]), SnapshotTable[[#This Row],[LC Stop Loss Override]],SnapshotTable[[#This Row],[LC Stop Loss Calc Target]]),"")</f>
        <v/>
      </c>
      <c r="EF104" s="31" t="str">
        <f>IF(ISNUMBER(SnapshotTable[[#This Row],[LC Stop  To Use]]), (SnapshotTable[[#This Row],[LC Stop  To Use]] * SnapshotTable[[#This Row],[LC Qty]] * 100),"")</f>
        <v/>
      </c>
      <c r="EG104" s="9" t="str">
        <f>IF(ISNUMBER(SnapshotTable[[#This Row],[LC Total Value]]),SnapshotTable[[#This Row],[LC Stop Loss Amount]] - SnapshotTable[[#This Row],[LC Premium]],"")</f>
        <v/>
      </c>
      <c r="EH104" s="9">
        <f>IF(ISNUMBER(SnapshotTable[[#This Row],[LC Premium]]), SnapshotTable[[#This Row],[LC Qty]] * 100 * SnapshotTable[[#This Row],[LC Strike Price]], "")</f>
        <v>0</v>
      </c>
      <c r="EI104" s="225" t="str">
        <f>IF(AND(ISNUMBER(SnapshotTable[[#This Row],[LC Total Value]]),SnapshotTable[[#This Row],[LC Total Value]]&gt;0),SnapshotTable[[#This Row],[LC Stop Gain Loss]]  / SnapshotTable[[#This Row],[LC Premium]],"")</f>
        <v/>
      </c>
      <c r="EJ104" s="35">
        <f>IF(ISNUMBER(SnapshotTable[[#This Row],[Equity Shares]]),TRUNC(SnapshotTable[[#This Row],[Equity Shares]] / 100),0) + SnapshotTable[[#This Row],[LC Qty]]</f>
        <v>0</v>
      </c>
      <c r="EK104" s="145"/>
      <c r="EL104" s="136"/>
      <c r="EM104" s="146"/>
      <c r="EN104" s="145"/>
      <c r="EO104" s="145"/>
      <c r="EP104" s="136"/>
      <c r="EQ104" s="382" t="b">
        <f>AND(ISNUMBER(SnapshotTable[[#This Row],[SC Exp Date]]), ISNUMBER(SnapshotTable[[#This Row],[SC Strike Price]]), ISNUMBER(SnapshotTable[[#This Row],[SC Qty]]), ISNUMBER(SnapshotTable[[#This Row],[SC Book Date]]), ISNUMBER(SnapshotTable[[#This Row],[SC Book Price]]))</f>
        <v>0</v>
      </c>
      <c r="ER104" s="382" t="b">
        <f>AND(SnapshotTable[[#This Row],[SC Is Booked]], NOT(ISBLANK(SnapshotTable[[#This Row],[SC Fill Date]])))</f>
        <v>0</v>
      </c>
      <c r="ES104" s="340"/>
      <c r="ET104" s="34" t="str">
        <f>IF(AND(ISNUMBER(SnapshotTable[[#This Row],[SC Exp Date]]), ISNUMBER(SnapshotTable[[#This Row],[SC Book Date]])), SnapshotTable[[#This Row],[SC Exp Date]] - MAX(SnapshotTable[[#This Row],[SC Book Date]], SnapshotTable[[#This Row],[SC Fill Date]]) + 1, "")</f>
        <v/>
      </c>
      <c r="EU104" s="34" t="str">
        <f>IF(ISNUMBER(SnapshotTable[[#This Row],[SC Term]]), SnapshotTable[[#This Row],[SC Exp Date]]- MockToday, "")</f>
        <v/>
      </c>
      <c r="EV104" s="31">
        <f>IF(SnapshotTable[[#This Row],[SC Is Booked]], SnapshotTable[[#This Row],[SC Qty]] * SnapshotTable[[#This Row],[SC Book Price]] * 100, 0)</f>
        <v>0</v>
      </c>
      <c r="EW104" s="4" t="str">
        <f>IF(AND(ISNUMBER(SnapshotTable[[#This Row],[Last Price]]), ISNUMBER( SnapshotTable[[#This Row],[SC Book Price]])), SnapshotTable[[#This Row],[Last Price]] - SnapshotTable[[#This Row],[SC Book Price]],"")</f>
        <v/>
      </c>
      <c r="EX104" s="219" t="str">
        <f>IF(SnapshotTable[[#This Row],[SC Is Booked]],IF(SnapshotTable[[#This Row],[SC Intrinsic Value]] &gt; 0, SnapshotTable[[#This Row],[SC Strike Price]], SnapshotTable[[#This Row],[Last Price]]), "")</f>
        <v/>
      </c>
      <c r="EY104" s="4">
        <f>IF(SnapshotTable[[#This Row],[SC Is Booked]], (MinimumPremiumRequired * SnapshotTable[[#This Row],[SC Basis]] * SnapshotTable[[#This Row],[SC Term]]), 0)</f>
        <v>0</v>
      </c>
      <c r="EZ104" s="268"/>
      <c r="FA104" s="204"/>
      <c r="FB104" s="340"/>
      <c r="FC104" s="4">
        <f>IF(SnapshotTable[[#This Row],[SC Is Filled]], btc_max_buyback_amount(SnapshotTable[[#This Row],[SC Fill Date]],SnapshotTable[[#This Row],[SC Exp Date]], SnapshotTable[[#This Row],[SC Book Price]]),0)</f>
        <v>0</v>
      </c>
      <c r="FD104" s="5"/>
      <c r="FE104" s="142" t="str">
        <f>IF(SnapshotTable[[#This Row],[SC Is Filled]], btc_next_cutoff_date(SnapshotTable[[#This Row],[SC Fill Date]],SnapshotTable[[#This Row],[SC Exp Date]]),"")</f>
        <v/>
      </c>
      <c r="FF104" s="4" t="str" cm="1">
        <f t="array" ref="FF104">IF(SnapshotTable[[#This Row],[SC Is Filled]], btc_should_buy_back(SnapshotTable[[#This Row],[SC Fill Date]], SnapshotTable[[#This Row],[SC Exp Date]], SnapshotTable[[#This Row],[SC Book Price]], SnapshotTable[[#This Row],[SC Current Ask]], MockToday, SnapshotTable[[#This Row],[SC Buyback Override]]),"")</f>
        <v/>
      </c>
      <c r="FG104" s="4">
        <f>IF(SnapshotTable[[#This Row],[SC Is Filled]], MAX(0,SnapshotTable[[#This Row],[Last Price]]  - SnapshotTable[[#This Row],[SC Strike Price]]), 0)</f>
        <v>0</v>
      </c>
      <c r="FH104" s="352">
        <f>IF(SnapshotTable[[#This Row],[SC Is Filled]], IF(ISNUMBER(SnapshotTable[[#This Row],[SC Current Ask]]), SnapshotTable[[#This Row],[SC Current Ask]], SnapshotTable[[#This Row],[SC Book Price]]) - SnapshotTable[[#This Row],[SC Intrinsic Value]], 0)</f>
        <v>0</v>
      </c>
      <c r="FI104" s="141"/>
      <c r="FJ104" s="32" t="str">
        <f>IF(SnapshotTable[[#This Row],[SC Is Filled]],100 * SnapshotTable[[#This Row],[SC Qty]] * IF(ISNUMBER(SnapshotTable[[#This Row],[SC Buyback Override]]), SnapshotTable[[#This Row],[SC Buyback Override]], SnapshotTable[[#This Row],[SC Current Ask]]), "")</f>
        <v/>
      </c>
      <c r="FK104" s="235" t="str">
        <f>IF(SnapshotTable[[#This Row],[SC Time Val]]&gt;0, SnapshotTable[[#This Row],[SC Time Val]] / SnapshotTable[[#This Row],[Last Price]],"")</f>
        <v/>
      </c>
      <c r="FL104" s="280" t="str">
        <f>IF(SnapshotTable[[#This Row],[SC Is Booked]], ((SnapshotTable[[#This Row],[Last Price]] -SnapshotTable[[#This Row],[SC Strike Price]]) / SnapshotTable[[#This Row],[Last Price]]) * -1, "")</f>
        <v/>
      </c>
      <c r="FM104" s="155" t="str">
        <f>IF(SnapshotTable[[#This Row],[SC Is Booked]],  (SnapshotTable[[#This Row],[SC Qty]] * 100 * SnapshotTable[[#This Row],[SC Strike Price]]) - SnapshotTable[[#This Row],[SC Current Ask]], "")</f>
        <v/>
      </c>
      <c r="FN1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4" s="31" t="str">
        <f>IF(AND(ISNUMBER(SnapshotTable[[#This Row],[SC Exercise Gross]]), ISNUMBER(SnapshotTable[[#This Row],[Equity Basis Per Share]] )), SnapshotTable[[#This Row],[SC Exercise Gross]] - SnapshotTable[[#This Row],[Equity Basis Total]] +  SnapshotTable[[#This Row],[SC Premium]], "")</f>
        <v/>
      </c>
      <c r="FP104" s="5" t="str">
        <f>IF(ISNUMBER(SnapshotTable[[#This Row],[SC Exercise Gross]]), (SnapshotTable[[#This Row],[SC Exercise Gross]]) / (SnapshotTable[[#This Row],[SC Qty]] * 100), "")</f>
        <v/>
      </c>
      <c r="FQ104" s="27" t="str">
        <f>IF(SnapshotTable[[#This Row],[SC Is Booked]],SnapshotTable[[#This Row],[SC Time Val]] /SnapshotTable[[#This Row],[SC Basis]], "")</f>
        <v/>
      </c>
      <c r="FR104" s="27" t="str" cm="1">
        <f t="array" ref="FR104">IF(AND(ISNUMBER(SnapshotTable[[#This Row],[SC Term]]),ISNUMBER(SnapshotTable[[#This Row],[SC Simple ROO]])), EllmanAnnualize(SnapshotTable[[#This Row],[SC DTE]], SnapshotTable[[#This Row],[SC Simple ROO]] ),"")</f>
        <v/>
      </c>
      <c r="FS104" s="4">
        <f>IF(SnapshotTable[[#This Row],[SC Strike Price]] &gt; SnapshotTable[[#This Row],[Last Price]], SnapshotTable[[#This Row],[SC Strike Price]] - SnapshotTable[[#This Row],[Last Price]],0)</f>
        <v>0</v>
      </c>
      <c r="FT104" s="27" t="str">
        <f>IF(AND(ISNUMBER(SnapshotTable[[#This Row],[SC Upside Potential]]), SnapshotTable[[#This Row],[SC Upside Potential]] &gt; 0),(SnapshotTable[[#This Row],[SC Upside Potential]]/ SnapshotTable[[#This Row],[ACB]]),"")</f>
        <v/>
      </c>
      <c r="FU104" s="304" t="str">
        <f>IF(SnapshotTable[[#This Row],[SC Intrinsic Value]] &gt; 0,SnapshotTable[[#This Row],[SC Intrinsic Value]],"")</f>
        <v/>
      </c>
      <c r="FV104" s="27" t="str">
        <f>IF(AND( ISNUMBER( SnapshotTable[[#This Row],[ACB]]),ISNUMBER(SnapshotTable[[#This Row],[SC Downside Protect]])),SnapshotTable[[#This Row],[SC Downside Protect]] / SnapshotTable[[#This Row],[ACB]],"")</f>
        <v/>
      </c>
      <c r="FW104" s="221" t="str">
        <f>IF(AND(ISNUMBER(SnapshotTable[[#This Row],[SC Simple ROO]]),SnapshotTable[[#This Row],[SC Simple ROO]] &gt; 0), SnapshotTable[[#This Row],[SC Premium]] + (SnapshotTable[[#This Row],[SC Qty]] * SnapshotTable[[#This Row],[SC Upside Potential]]), "")</f>
        <v/>
      </c>
      <c r="FX104" s="280" t="str" cm="1">
        <f t="array" ref="FX104">IF(ISNUMBER(SnapshotTable[[#This Row],[SC Max Dollars]]), annualize(SnapshotTable[[#This Row],[SC Term]],(SnapshotTable[[#This Row],[SC Max Dollars]]/SnapshotTable[[#This Row],[SC Basis]])),"")</f>
        <v/>
      </c>
      <c r="FY104" s="221" t="str">
        <f>IF(AND(SnapshotTable[[#This Row],[SC Qty]]&gt;0,SnapshotTable[[#This Row],[SC Current Ask]]&gt;0), SnapshotTable[[#This Row],[SC Qty]] * SnapshotTable[[#This Row],[SC Current Ask]] * -100, "")</f>
        <v/>
      </c>
      <c r="FZ104" s="31" t="str">
        <f>IF(ISNUMBER((SnapshotTable[[#This Row],[SC Current Value]])), SnapshotTable[[#This Row],[SC Premium]] + SnapshotTable[[#This Row],[SC Current Value]], "")</f>
        <v/>
      </c>
      <c r="GA104" s="272" t="str">
        <f>IFERROR( IF(ISNUMBER((SnapshotTable[[#This Row],[SC Current Value]])), SnapshotTable[[#This Row],[SC Gain Loss]] / SnapshotTable[[#This Row],[SC Premium]], ""), "")</f>
        <v/>
      </c>
      <c r="GB104" s="42">
        <f>SnapshotTable[[#This Row],[Equity Shares]] * SaleSharesToConsiderPercentage</f>
        <v>0</v>
      </c>
      <c r="GC104" s="40">
        <f>SnapshotTable[[#This Row],[Long Term Target]] * SellingPriceToConsiderBasedOnTargetPercentage</f>
        <v>142.8135</v>
      </c>
      <c r="GD104" s="40">
        <f>SnapshotTable[[#This Row],[Last Price]] * (1+ SellingPriceToConsiderBasedOnTargetPercentage)</f>
        <v>265.58999999999997</v>
      </c>
      <c r="GE104" s="41"/>
      <c r="GF104" s="40"/>
      <c r="GG104" s="31">
        <f>SnapshotTable[[#This Row],[Booked Sale Shares]] * SnapshotTable[[#This Row],[Booked Sale Price]]</f>
        <v>0</v>
      </c>
      <c r="GH104" s="31" t="str">
        <f>IF(SnapshotTable[[#This Row],[Equity Basis Total]] &gt; 0, SnapshotTable[[#This Row],[Equity Basis Per Share]] * SnapshotTable[[#This Row],[Booked Sale Shares]], "")</f>
        <v/>
      </c>
      <c r="GI104" s="31">
        <f>IF(SnapshotTable[[#This Row],[Sale Proceeds]]&gt;0, SnapshotTable[[#This Row],[Sale Proceeds]] - SnapshotTable[[#This Row],[Sale Basis]], 0)</f>
        <v>0</v>
      </c>
      <c r="GJ104" s="27" t="str">
        <f>IF(SnapshotTable[[#This Row],[Sale G/L]]&gt;0, SnapshotTable[[#This Row],[Sale G/L]] / SnapshotTable[[#This Row],[Sale Basis]], IF(ISNUMBER(SnapshotTable[[#This Row],[SC Exercise P&amp;L (TAX)]]), SnapshotTable[[#This Row],[SC Exercise P&amp;L (TAX)]] / SnapshotTable[[#This Row],[SC Basis]], ""))</f>
        <v/>
      </c>
      <c r="GK104" s="27"/>
      <c r="GL104" s="43" t="str">
        <f>IF(AND(SnapshotTable[[#This Row],[LP Exp Date]]&gt;0,SnapshotTable[[#This Row],[LP Strike Price]]&gt;0), [1]!ToOptionSymbol(SnapshotTable[[#This Row],[Symbol]], SnapshotTable[[#This Row],[LP Strike Price]],SnapshotTable[[#This Row],[LP Exp Date]],1), "")</f>
        <v/>
      </c>
      <c r="GM104" s="30" t="str">
        <f>IF(LEN(SnapshotTable[[#This Row],[LP Symbol]])&gt;0, 1, "")</f>
        <v/>
      </c>
      <c r="GN104" s="43" t="str">
        <f>IF(AND(SnapshotTable[[#This Row],[SP Exp Date]]&gt;0,SnapshotTable[[#This Row],[SP Strike Price]]&gt;0), [1]!ToOptionSymbol(SnapshotTable[[#This Row],[Symbol]], SnapshotTable[[#This Row],[SP Strike Price]],SnapshotTable[[#This Row],[SP Exp Date]],1), "")</f>
        <v/>
      </c>
      <c r="GO104" s="30" t="str">
        <f>IF(LEN(SnapshotTable[[#This Row],[SP Symbol]])&gt;0, 1, "")</f>
        <v/>
      </c>
      <c r="GP104" s="43" t="str">
        <f>IF(AND(SnapshotTable[[#This Row],[LC Exp Date]]&gt;0,SnapshotTable[[#This Row],[LC Strike Price]]&gt;0), [1]!ToOptionSymbol(SnapshotTable[[#This Row],[Symbol]], SnapshotTable[[#This Row],[LC Strike Price]],SnapshotTable[[#This Row],[LC Exp Date]],0), "")</f>
        <v/>
      </c>
      <c r="GQ104" s="30" t="str">
        <f>IF(LEN(SnapshotTable[[#This Row],[LC Symbol]])&gt;0, 1, "")</f>
        <v/>
      </c>
      <c r="GR104" s="43" t="str">
        <f>IF(AND(SnapshotTable[[#This Row],[SC Exp Date]]&gt;0,SnapshotTable[[#This Row],[SC Strike Price]]&gt;0), [1]!ToOptionSymbol(SnapshotTable[[#This Row],[Symbol]], SnapshotTable[[#This Row],[SC Strike Price]],SnapshotTable[[#This Row],[SC Exp Date]],0), "")</f>
        <v/>
      </c>
      <c r="GS104" s="30" t="str">
        <f>IF(LEN(SnapshotTable[[#This Row],[SC Symbol]])&gt;0, 1, "")</f>
        <v/>
      </c>
      <c r="GT104" s="29" t="str">
        <f>IF(COUNT(SnapshotTable[[#This Row],[LP Symbol Count]],SnapshotTable[[#This Row],[SP Symbol Count]],SnapshotTable[[#This Row],[LC Symbol Count]],SnapshotTable[[#This Row],[SC Symbol Count]])&gt;0, "Y", "")</f>
        <v/>
      </c>
      <c r="GU1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4" s="216">
        <f>MAX(SnapshotTable[[#This Row],[Equity Basis Total]],SnapshotTable[[#This Row],[Equity Value]]) + (SnapshotTable[[#This Row],[SP Potential Spend]]- SnapshotTable[[#This Row],[SP Premium]] + SnapshotTable[[#This Row],[LP Premium]])+ (SnapshotTable[[#This Row],[LC Premium]] - SnapshotTable[[#This Row],[SC Premium]])</f>
        <v>0</v>
      </c>
      <c r="GW104" s="137" t="str">
        <f>IF(AND(SnapshotTable[[#This Row],[Exposure]] &lt;&gt; 0),SnapshotTable[[#This Row],[Exposure]] / SnapshotTable[[#Totals],[Exposure]], "")</f>
        <v/>
      </c>
      <c r="HE104" s="253"/>
      <c r="HF104" s="253"/>
      <c r="HK104" s="1"/>
      <c r="HL104" s="1"/>
      <c r="HM104" s="1"/>
      <c r="HN104" s="1"/>
      <c r="HO104" s="1"/>
      <c r="HP104" s="1"/>
    </row>
    <row r="105" spans="2:224" ht="12.75" hidden="1" customHeight="1" x14ac:dyDescent="0.25">
      <c r="B105" s="12" t="s">
        <v>969</v>
      </c>
      <c r="C105" s="385">
        <v>3.95</v>
      </c>
      <c r="D105" s="200" t="s">
        <v>179</v>
      </c>
      <c r="E105" s="39">
        <f>SnapshotTable[[#This Row],[Last Price]]*(1 -CrashDiscount)</f>
        <v>3.3574999999999999</v>
      </c>
      <c r="F105" s="26" t="s">
        <v>445</v>
      </c>
      <c r="G105" s="26" t="s">
        <v>24</v>
      </c>
      <c r="H105" s="147"/>
      <c r="I105" s="186"/>
      <c r="J105" s="187"/>
      <c r="K105" s="188"/>
      <c r="L105" s="297"/>
      <c r="M105" s="138"/>
      <c r="N105" s="138"/>
      <c r="O105" s="138"/>
      <c r="P105" s="22"/>
      <c r="Q105" s="25"/>
      <c r="R105" s="4" t="str">
        <f>IF(SnapshotTable[[#This Row],[Equity Basis Total]] &gt; 0, SnapshotTable[[#This Row],[Equity Basis Total]] / SnapshotTable[[#This Row],[Equity Shares]], "")</f>
        <v/>
      </c>
      <c r="S105" s="254">
        <f>SnapshotTable[[#This Row],[Last Price]] * SnapshotTable[[#This Row],[Equity Shares]]</f>
        <v>0</v>
      </c>
      <c r="T105" s="254">
        <f>SnapshotTable[[#This Row],[Equity Value]] - SnapshotTable[[#This Row],[Equity Basis Total]]</f>
        <v>0</v>
      </c>
      <c r="U105" s="255" t="str">
        <f>IF(SnapshotTable[[#This Row],[Equity Basis Total]] &gt; 0, SnapshotTable[[#This Row],[Equity G/L]] / SnapshotTable[[#This Row],[Equity Basis Total]], "")</f>
        <v/>
      </c>
      <c r="V105" s="253"/>
      <c r="W105" s="253"/>
      <c r="X105" s="4" t="str">
        <f>IF(AND(ISNUMBER(SnapshotTable[[#This Row],[Equity Basis Per Share]]),ISNUMBER(SnapshotTable[[#This Row],[Equity Target]])),SnapshotTable[[#This Row],[Equity Target]]-SnapshotTable[[#This Row],[Equity Basis Per Share]],"")</f>
        <v/>
      </c>
      <c r="Y105" s="4" t="str">
        <f>IF(AND(ISNUMBER(SnapshotTable[[#This Row],[Equity Basis Per Share]]),ISNUMBER(SnapshotTable[[#This Row],[Equity Stop Loss]])),SnapshotTable[[#This Row],[Equity Stop Loss]]-SnapshotTable[[#This Row],[Equity Basis Per Share]],"")</f>
        <v/>
      </c>
      <c r="Z105" s="260" t="str">
        <f>IFERROR( TEXT(SnapshotTable[[#This Row],[Equity Max Gain Per Share]] /ABS( SnapshotTable[[#This Row],[Equity Max Loss Per Share]]),"0.0 " ) &amp; " : 1", "")</f>
        <v/>
      </c>
      <c r="AA105" s="31" t="str">
        <f>IF(ISNUMBER(SnapshotTable[[#This Row],[Equity Max Gain Per Share]]),SnapshotTable[[#This Row],[Equity Max Gain Per Share]] * SnapshotTable[[#This Row],[Equity Shares]],"")</f>
        <v/>
      </c>
      <c r="AB105" s="31" t="str">
        <f>IF(ISNUMBER(SnapshotTable[[#This Row],[Equity Max Loss Per Share]]),SnapshotTable[[#This Row],[Equity Max Loss Per Share]] * SnapshotTable[[#This Row],[Equity Shares]],"")</f>
        <v/>
      </c>
      <c r="AC105" s="148"/>
      <c r="AD105" s="149"/>
      <c r="AE105" s="31">
        <f>(SnapshotTable[[#This Row],[Annual Dividend Per Share]] / 4) * SnapshotTable[[#This Row],[Equity Shares]]</f>
        <v>0</v>
      </c>
      <c r="AF105" s="31">
        <f>SnapshotTable[[#This Row],[Quarterly Div $]] * 4</f>
        <v>0</v>
      </c>
      <c r="AG105" s="7">
        <f>IF(SnapshotTable[[#This Row],[Annual Dividend Per Share]]&gt;0, SnapshotTable[[#This Row],[Annual Dividend Per Share]]  / SnapshotTable[[#This Row],[Last Price]], 0)</f>
        <v>0</v>
      </c>
      <c r="AH105" s="149"/>
      <c r="AI105" s="5"/>
      <c r="AJ105" s="136"/>
      <c r="AK105" s="150" t="str">
        <f>IF(ISNUMBER( SnapshotTable[[#This Row],[EBF Target]]),(SnapshotTable[[#This Row],[EBF Target]] - SnapshotTable[[#This Row],[Last Price]]) / SnapshotTable[[#This Row],[Last Price]], "")</f>
        <v/>
      </c>
      <c r="AL105" s="150" t="str">
        <f>IF(AND(SnapshotTable[[#This Row],[Equity Basis Total]] &gt; 0,ISNUMBER( SnapshotTable[[#This Row],[Long Term Target]])), SnapshotTable[[#This Row],[From Basis $]] / SnapshotTable[[#This Row],[Equity Basis Total]], "")</f>
        <v/>
      </c>
      <c r="AM105" s="9">
        <f>IF( AND(SnapshotTable[[#This Row],[Equity Shares]] &gt;0,ISNUMBER( SnapshotTable[[#This Row],[Long Term Target]])),(SnapshotTable[[#This Row],[Equity Shares]] * SnapshotTable[[#This Row],[Long Term Target]]) - SnapshotTable[[#This Row],[Equity Basis Total]],0)</f>
        <v>0</v>
      </c>
      <c r="AN105" s="9">
        <f>IF( AND(SnapshotTable[[#This Row],[Equity Shares]] &gt;0,ISNUMBER( SnapshotTable[[#This Row],[Long Term Target]])),(SnapshotTable[[#This Row],[Equity Shares]]*SnapshotTable[[#This Row],[Long Term Target]]) - SnapshotTable[[#This Row],[Equity Value]],0)</f>
        <v>0</v>
      </c>
      <c r="AO105" s="150" t="str">
        <f>IF(AND(ISNUMBER( SnapshotTable[[#This Row],[Long Term Target]]), ISNUMBER(SnapshotTable[[#This Row],[Last Price]])),(SnapshotTable[[#This Row],[Long Term Target]] - SnapshotTable[[#This Row],[Last Price]]) / SnapshotTable[[#This Row],[Last Price]], "")</f>
        <v/>
      </c>
      <c r="AP105" s="5">
        <v>4</v>
      </c>
      <c r="AQ105" s="38" t="s">
        <v>16</v>
      </c>
      <c r="AR105" s="5">
        <v>2</v>
      </c>
      <c r="AS105" s="38" t="s">
        <v>847</v>
      </c>
      <c r="AT105" s="144" t="s">
        <v>433</v>
      </c>
      <c r="AU105" s="185" t="str">
        <f>IF(OR(SnapshotTable[[#This Row],[LP No Fill]]="Y",SnapshotTable[[#This Row],[SP Is Filled]],SnapshotTable[[#This Row],[LC Not Filled]]="Y",SnapshotTable[[#This Row],[SC Is Filled]]),"Y","")</f>
        <v/>
      </c>
      <c r="AV105" s="205"/>
      <c r="AW105" s="211"/>
      <c r="AX105" s="206"/>
      <c r="AY105" s="205" t="str">
        <f>IF(SnapshotTable[[#This Row],[Implied Move]]&gt;0, SnapshotTable[[#This Row],[Last Price]]-SnapshotTable[[#This Row],[Implied Move]],"")</f>
        <v/>
      </c>
      <c r="AZ105" s="205" t="str">
        <f>IF(SnapshotTable[[#This Row],[Implied Move]]&gt;0, SnapshotTable[[#This Row],[Last Price]] + SnapshotTable[[#This Row],[Implied Move]],"")</f>
        <v/>
      </c>
      <c r="BA105" s="302">
        <v>0.19</v>
      </c>
      <c r="BB105" s="318"/>
      <c r="BC1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5" s="321"/>
      <c r="BE105" s="5"/>
      <c r="BF105" s="14"/>
      <c r="BG105" s="13"/>
      <c r="BH105" s="13"/>
      <c r="BI105" s="5"/>
      <c r="BJ105" s="134">
        <f>IF(SnapshotTable[[#This Row],[LP Qty]] &gt; 0, SnapshotTable[[#This Row],[LP Qty]] * SnapshotTable[[#This Row],[LP Book Price]] * 100,0)</f>
        <v>0</v>
      </c>
      <c r="BK105" s="134">
        <f>IF(SnapshotTable[[#This Row],[LP Premium]] &gt; 0, SnapshotTable[[#This Row],[LP Qty]] * SnapshotTable[[#This Row],[LP Strike Price]] * 100,0)</f>
        <v>0</v>
      </c>
      <c r="BL105" s="152"/>
      <c r="BM105" s="355" t="str">
        <f>IF(SnapshotTable[[#This Row],[LP Premium]] &gt; 0,SnapshotTable[[#This Row],[LP Exp Date]]-MAX(SnapshotTable[[#This Row],[LP Book Date]], SnapshotTable[[#This Row],[LP Fill Date]]),"")</f>
        <v/>
      </c>
      <c r="BN105" s="355" t="str">
        <f>IF(ISNUMBER( SnapshotTable[[#This Row],[LP Term]]), SnapshotTable[[#This Row],[LP Exp Date]] - MockToday,"")</f>
        <v/>
      </c>
      <c r="BO105" s="161" t="str">
        <f>IF(AND(SnapshotTable[[#This Row],[LP Exp Date]]&gt;0, SnapshotTable[[#This Row],[LP Strike Price]]&gt;0,SnapshotTable[[#This Row],[LP Qty]]&gt;0,SnapshotTable[[#This Row],[LP Book Date]]&gt;0,SnapshotTable[[#This Row],[LP Book Price]]&gt;0,SnapshotTable[[#This Row],[LP Fill Date]]=0),"Y","")</f>
        <v/>
      </c>
      <c r="BP105" s="31" t="str">
        <f>IF(AND(SnapshotTable[[#This Row],[LP No Fill]]&lt;&gt;"Y",SnapshotTable[[#This Row],[LP Contract Value]]&gt;0, SnapshotTable[[#This Row],[LP Qty]]&gt;0), SnapshotTable[[#This Row],[LP Contract Value]]*SnapshotTable[[#This Row],[LP Qty]]*100,"")</f>
        <v/>
      </c>
      <c r="BQ105" s="13"/>
      <c r="BR105" s="5"/>
      <c r="BS105" s="36"/>
      <c r="BT105" s="145"/>
      <c r="BU105" s="13"/>
      <c r="BV105" s="5"/>
      <c r="BW105" s="382" t="b">
        <f>AND(ISNUMBER(SnapshotTable[[#This Row],[SP Exp Date]]), ISNUMBER(SnapshotTable[[#This Row],[SP Strike Price]]), ISNUMBER(SnapshotTable[[#This Row],[SP Qty]]), ISNUMBER(SnapshotTable[[#This Row],[SP Book Date]]), ISNUMBER(SnapshotTable[[#This Row],[SP Book Price]]))</f>
        <v>0</v>
      </c>
      <c r="BX105" s="382" t="b">
        <f>AND(SnapshotTable[[#This Row],[SP Is Booked]], NOT(ISBLANK(SnapshotTable[[#This Row],[SP Fill Date]])))</f>
        <v>0</v>
      </c>
      <c r="BY105" s="33">
        <f>IF(SnapshotTable[[#This Row],[SP Is Booked]], SnapshotTable[[#This Row],[SP Qty]] * SnapshotTable[[#This Row],[SP Book Price]] * 100, 0)</f>
        <v>0</v>
      </c>
      <c r="BZ105" s="339"/>
      <c r="CA105" s="338">
        <f>SnapshotTable[[#This Row],[LP Qty]]</f>
        <v>0</v>
      </c>
      <c r="CB105" s="4" t="str">
        <f>IF(SnapshotTable[[#This Row],[SP Is Booked]], SnapshotTable[[#This Row],[SP Strike Price]] - SnapshotTable[[#This Row],[SP Book Price]], "")</f>
        <v/>
      </c>
      <c r="CC105" s="19" t="str">
        <f>IF(SnapshotTable[[#This Row],[SP Is Booked]],SnapshotTable[[#This Row],[SP Exp Date]]-MAX(SnapshotTable[[#This Row],[SP Book Date]], SnapshotTable[[#This Row],[SP Fill Date]]),"")</f>
        <v/>
      </c>
      <c r="CD105" s="7" t="str">
        <f>IF(SnapshotTable[[#This Row],[SP Is Booked]], SnapshotTable[[#This Row],[SP Book Price]]/SnapshotTable[[#This Row],[SP Strike Price]], "")</f>
        <v/>
      </c>
      <c r="CE105" s="7" t="str">
        <f>IF(ISNUMBER(SnapshotTable[[#This Row],[SP ROO Term]]),SnapshotTable[[#This Row],[SP ROO Term]]*(365/SnapshotTable[[#This Row],[SP Term]]),"")</f>
        <v/>
      </c>
      <c r="CF105" s="221">
        <f>SnapshotTable[[#This Row],[LP Strike Price]] * SnapshotTable[[#This Row],[LP Qty]] * 100</f>
        <v>0</v>
      </c>
      <c r="CG105" s="31">
        <f>IF(ISNUMBER(SnapshotTable[[#This Row],[SP Premium]]), (SnapshotTable[[#This Row],[SP Qty]] * SnapshotTable[[#This Row],[SP Strike Price]]* 100) - SnapshotTable[[#This Row],[LP Protection]], 0)</f>
        <v>0</v>
      </c>
      <c r="CH105" s="7" t="str">
        <f>IF(ISNUMBER(SnapshotTable[[#This Row],[SP Break Even]]),-1 * (SnapshotTable[[#This Row],[SP Break Even]] - SnapshotTable[[#This Row],[Last Price]]) / SnapshotTable[[#This Row],[Last Price]], "")</f>
        <v/>
      </c>
      <c r="CI105" s="31">
        <f>IF(AND(ISNUMBER((SnapshotTable[[#This Row],[SP Potential Spend]])), SnapshotTable[[#This Row],[SP Strike Price]] &gt; SnapshotTable[[#This Row],[Last Price]], SnapshotTable[[#This Row],[SP Is Filled]]), SnapshotTable[[#This Row],[SP Potential Spend]] -  SnapshotTable[[#This Row],[LP Max Value]], 0)</f>
        <v>0</v>
      </c>
      <c r="CJ105" s="229">
        <v>0.8</v>
      </c>
      <c r="CK105" s="31">
        <f>IF(ISNUMBER(SnapshotTable[[#This Row],[SP Potential Spend]]),IF(ISNUMBER(SnapshotTable[[#This Row],[SP POW]]), SnapshotTable[[#This Row],[SP POW]] * SnapshotTable[[#This Row],[SP Potential Spend]], SnapshotTable[[#This Row],[SP Potential Spend]]), "")</f>
        <v>0</v>
      </c>
      <c r="CL105" s="162">
        <f>IF(NOT(SnapshotTable[[#This Row],[SP Is Filled]]),(SnapshotTable[[#This Row],[SP Qty]] * SnapshotTable[[#This Row],[SP Strike Price]] * 100) - SnapshotTable[[#This Row],[LP Max Value]],"")</f>
        <v>0</v>
      </c>
      <c r="CM105" s="31" t="str">
        <f>IF(SnapshotTable[[#This Row],[SP Actual Spend]]&lt;&gt;0, ((SnapshotTable[[#This Row],[SP Strike Price]]-SnapshotTable[[#This Row],[Last Price]]) *(SnapshotTable[[#This Row],[SP Qty]]*100) - SnapshotTable[[#This Row],[SP Premium]]) * - 1, "")</f>
        <v/>
      </c>
      <c r="CN105" s="76"/>
      <c r="CO105" s="339"/>
      <c r="CP105" s="4" t="str">
        <f>IF(SnapshotTable[[#This Row],[SP Is Filled]], btc_max_buyback_amount(SnapshotTable[[#This Row],[SP Fill Date]],SnapshotTable[[#This Row],[SP Exp Date]], SnapshotTable[[#This Row],[SP Book Price]]),"")</f>
        <v/>
      </c>
      <c r="CQ105" s="76"/>
      <c r="CR1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5" s="153" t="str">
        <f>IF(SnapshotTable[[#This Row],[SP Is Filled]], btc_next_cutoff_date(SnapshotTable[[#This Row],[SP Fill Date]],SnapshotTable[[#This Row],[SP Exp Date]]),"")</f>
        <v/>
      </c>
      <c r="CT105" s="220" t="str" cm="1">
        <f t="array" ref="CT105">IF(SnapshotTable[[#This Row],[SP Is Filled]], btc_should_buy_back(SnapshotTable[[#This Row],[SP Fill Date]], SnapshotTable[[#This Row],[SP Exp Date]], SnapshotTable[[#This Row],[SP Book Price]], SnapshotTable[[#This Row],[SP Current Ask]], MockToday, SnapshotTable[[#This Row],[SP Buyback Override]]),"")</f>
        <v/>
      </c>
      <c r="CU105" s="154"/>
      <c r="CV105" s="220"/>
      <c r="CW105" s="348" t="str">
        <f>IF(ISNUMBER( SnapshotTable[[#This Row],[SP Term]]), SnapshotTable[[#This Row],[SP Exp Date]] - MockToday,"")</f>
        <v/>
      </c>
      <c r="CX105" s="31" t="str">
        <f>IF(SnapshotTable[[#This Row],[SP Is Filled]],SnapshotTable[[#This Row],[SP Buyback Price to Use]] * 100 * SnapshotTable[[#This Row],[SP Qty]], "")</f>
        <v/>
      </c>
      <c r="CY105" s="4" t="str">
        <f>IF(ISNUMBER(SnapshotTable[[#This Row],[SP Strike Price]]), SnapshotTable[[#This Row],[SP Strike Price]] * (1 - SP_MaxLoss_StrikePct), "")</f>
        <v/>
      </c>
      <c r="CZ105" s="31" t="str">
        <f>IF(ISNUMBER(SnapshotTable[[#This Row],[SP Strike  Stop Per Share]]),SnapshotTable[[#This Row],[SP Premium]] - ((SnapshotTable[[#This Row],[SP Strike Price]]-SnapshotTable[[#This Row],[SP Strike  Stop Per Share]]) *(SnapshotTable[[#This Row],[SP Qty]] * 100)),"")</f>
        <v/>
      </c>
      <c r="DA105" s="4" t="str">
        <f>IF(AND(ISNUMBER(SnapshotTable[[#This Row],[SP Premium]]),SnapshotTable[[#This Row],[SP Premium]]&gt;0), SnapshotTable[[#This Row],[SP Book Price]] * (1 + SP_MaxLoss_OptionPct), "")</f>
        <v/>
      </c>
      <c r="DB105" s="31" t="str">
        <f>IF(ISNUMBER(SnapshotTable[[#This Row],[SP Option  Stop Contract]]),(SnapshotTable[[#This Row],[SP Option  Stop Contract]] *(SnapshotTable[[#This Row],[SP Qty]] * 100) - SnapshotTable[[#This Row],[SP Premium]]),"")</f>
        <v/>
      </c>
      <c r="DC105" s="4"/>
      <c r="DD105" s="4"/>
      <c r="DE105" s="4" t="str">
        <f>IF(AND(SnapshotTable[[#This Row],[SP Qty]]&gt;0, SnapshotTable[[#This Row],[SP Stop To Use]]&gt;0),SnapshotTable[[#This Row],[SP Premium]] - ( SnapshotTable[[#This Row],[SP Qty]] * SnapshotTable[[#This Row],[SP Stop To Use]] * 100), "")</f>
        <v/>
      </c>
      <c r="DF105" s="31" t="str">
        <f>IF(AND(SnapshotTable[[#This Row],[SP Qty]]&gt;0,SnapshotTable[[#This Row],[SP Current Ask]]&gt;0), SnapshotTable[[#This Row],[SP Qty]] * SnapshotTable[[#This Row],[SP Current Ask]] * -100, "")</f>
        <v/>
      </c>
      <c r="DG105" s="31" t="str">
        <f>IF(ISNUMBER((SnapshotTable[[#This Row],[SP Total Value]])), SnapshotTable[[#This Row],[SP Premium]] + SnapshotTable[[#This Row],[SP Total Value]], "")</f>
        <v/>
      </c>
      <c r="DH105" s="272" t="str">
        <f>IF(ISNUMBER((SnapshotTable[[#This Row],[SP Total Value]])), SnapshotTable[[#This Row],[SP Gain Loss]] / SnapshotTable[[#This Row],[SP Premium]], "")</f>
        <v/>
      </c>
      <c r="DI105" s="369"/>
      <c r="DJ105" s="136"/>
      <c r="DK105" s="146"/>
      <c r="DL105" s="13"/>
      <c r="DM105" s="13"/>
      <c r="DO105" s="31">
        <f>IF(SnapshotTable[[#This Row],[LC Symbol Count]]=1, SnapshotTable[[#This Row],[LC Qty]] * SnapshotTable[[#This Row],[LC Book Price]] * 100, 0)</f>
        <v>0</v>
      </c>
      <c r="DP105" s="161" t="str">
        <f>IF(AND(SnapshotTable[[#This Row],[LC Exp Date]]&gt;0, SnapshotTable[[#This Row],[LC Strike Price]]&gt;0,SnapshotTable[[#This Row],[LC Qty]]&gt;0,SnapshotTable[[#This Row],[LC Book Date]]&gt;0,SnapshotTable[[#This Row],[LC Book Price]]&gt;0,SnapshotTable[[#This Row],[LC Fill Date]]=0),"Y","")</f>
        <v/>
      </c>
      <c r="DQ105" s="356" t="str">
        <f>IF(SnapshotTable[[#This Row],[LC Premium]] &gt; 0,SnapshotTable[[#This Row],[LC Exp Date]]-MAX(SnapshotTable[[#This Row],[LC Book Date]], SnapshotTable[[#This Row],[LC Fill Date]]),"")</f>
        <v/>
      </c>
      <c r="DR105" s="356" t="str">
        <f>IF(ISNUMBER(SnapshotTable[[#This Row],[LC Term]]), SnapshotTable[[#This Row],[LC Exp Date]] - MockToday, "")</f>
        <v/>
      </c>
      <c r="DS105" s="219" t="str">
        <f>IF(SnapshotTable[[#This Row],[LC Premium]]&gt;0,SnapshotTable[[#This Row],[LC Strike Price]] + SnapshotTable[[#This Row],[LC Book Price]],"")</f>
        <v/>
      </c>
      <c r="DU105" s="9" t="str">
        <f>IF(AND(SnapshotTable[[#This Row],[LC Symbol Count]]&gt;0, SnapshotTable[[#This Row],[LC Contract Value]]&gt;0), SnapshotTable[[#This Row],[LC Contract Value]] * SnapshotTable[[#This Row],[LC Qty]] * 100, "")</f>
        <v/>
      </c>
      <c r="DV105" s="9" t="str">
        <f>IF(AND(ISNUMBER(SnapshotTable[[#This Row],[LC Total Value]]), SnapshotTable[[#This Row],[LC Not Filled]]&lt;&gt;"Y"), SnapshotTable[[#This Row],[LC Total Value]]-SnapshotTable[[#This Row],[LC Premium]],"")</f>
        <v/>
      </c>
      <c r="DW105" s="225" t="str">
        <f>IF(ISNUMBER(SnapshotTable[[#This Row],[LC Actual Gain Loss]]), SnapshotTable[[#This Row],[LC Actual Gain Loss]] / SnapshotTable[[#This Row],[LC Premium]],"")</f>
        <v/>
      </c>
      <c r="DX105" s="269" t="str">
        <f>IF(ISNUMBER(SnapshotTable[[#This Row],[LC Book Price]]),SnapshotTable[[#This Row],[LC Book Price]] * 1.5,"")</f>
        <v/>
      </c>
      <c r="DY105" s="250" t="str">
        <f>IF(SnapshotTable[[#This Row],[LC Premium]]&gt;0, SnapshotTable[[#This Row],[LC Next Target]] * SnapshotTable[[#This Row],[LC Qty]] * 100,"")</f>
        <v/>
      </c>
      <c r="DZ105" s="250" t="str">
        <f>IF(ISNUMBER(SnapshotTable[[#This Row],[LC Target Gross]]), SnapshotTable[[#This Row],[LC Target Gross]] - SnapshotTable[[#This Row],[LC Premium]], "")</f>
        <v/>
      </c>
      <c r="EA105" s="283" t="str">
        <f>IF(ISNUMBER(SnapshotTable[[#This Row],[LC Target Gain Loss]]), SnapshotTable[[#This Row],[LC Target Gain Loss]]/SnapshotTable[[#This Row],[LC Premium]], "")</f>
        <v/>
      </c>
      <c r="EB105" s="247"/>
      <c r="EC105" s="268" t="str">
        <f>IF(SnapshotTable[[#This Row],[LC Premium]]&gt;0, SnapshotTable[[#This Row],[LC Book Price]] * (1 - LC_StopLoss_Pct),"")</f>
        <v/>
      </c>
      <c r="ED105" s="269"/>
      <c r="EE105" s="268" t="str">
        <f>IF(ISNUMBER(SnapshotTable[[#This Row],[LC Contract Value]]),IF(ISNUMBER(SnapshotTable[[#This Row],[LC Stop Loss Override]]), SnapshotTable[[#This Row],[LC Stop Loss Override]],SnapshotTable[[#This Row],[LC Stop Loss Calc Target]]),"")</f>
        <v/>
      </c>
      <c r="EF105" s="31" t="str">
        <f>IF(ISNUMBER(SnapshotTable[[#This Row],[LC Stop  To Use]]), (SnapshotTable[[#This Row],[LC Stop  To Use]] * SnapshotTable[[#This Row],[LC Qty]] * 100),"")</f>
        <v/>
      </c>
      <c r="EG105" s="9" t="str">
        <f>IF(ISNUMBER(SnapshotTable[[#This Row],[LC Total Value]]),SnapshotTable[[#This Row],[LC Stop Loss Amount]] - SnapshotTable[[#This Row],[LC Premium]],"")</f>
        <v/>
      </c>
      <c r="EH105" s="9">
        <f>IF(ISNUMBER(SnapshotTable[[#This Row],[LC Premium]]), SnapshotTable[[#This Row],[LC Qty]] * 100 * SnapshotTable[[#This Row],[LC Strike Price]], "")</f>
        <v>0</v>
      </c>
      <c r="EI105" s="225" t="str">
        <f>IF(AND(ISNUMBER(SnapshotTable[[#This Row],[LC Total Value]]),SnapshotTable[[#This Row],[LC Total Value]]&gt;0),SnapshotTable[[#This Row],[LC Stop Gain Loss]]  / SnapshotTable[[#This Row],[LC Premium]],"")</f>
        <v/>
      </c>
      <c r="EJ105" s="35">
        <f>IF(ISNUMBER(SnapshotTable[[#This Row],[Equity Shares]]),TRUNC(SnapshotTable[[#This Row],[Equity Shares]] / 100),0) + SnapshotTable[[#This Row],[LC Qty]]</f>
        <v>0</v>
      </c>
      <c r="EK105" s="145"/>
      <c r="EL105" s="136"/>
      <c r="EM105" s="146"/>
      <c r="EN105" s="145"/>
      <c r="EO105" s="145"/>
      <c r="EP105" s="136"/>
      <c r="EQ105" s="382" t="b">
        <f>AND(ISNUMBER(SnapshotTable[[#This Row],[SC Exp Date]]), ISNUMBER(SnapshotTable[[#This Row],[SC Strike Price]]), ISNUMBER(SnapshotTable[[#This Row],[SC Qty]]), ISNUMBER(SnapshotTable[[#This Row],[SC Book Date]]), ISNUMBER(SnapshotTable[[#This Row],[SC Book Price]]))</f>
        <v>0</v>
      </c>
      <c r="ER105" s="382" t="b">
        <f>AND(SnapshotTable[[#This Row],[SC Is Booked]], NOT(ISBLANK(SnapshotTable[[#This Row],[SC Fill Date]])))</f>
        <v>0</v>
      </c>
      <c r="ES105" s="340"/>
      <c r="ET105" s="34" t="str">
        <f>IF(AND(ISNUMBER(SnapshotTable[[#This Row],[SC Exp Date]]), ISNUMBER(SnapshotTable[[#This Row],[SC Book Date]])), SnapshotTable[[#This Row],[SC Exp Date]] - MAX(SnapshotTable[[#This Row],[SC Book Date]], SnapshotTable[[#This Row],[SC Fill Date]]) + 1, "")</f>
        <v/>
      </c>
      <c r="EU105" s="34" t="str">
        <f>IF(ISNUMBER(SnapshotTable[[#This Row],[SC Term]]), SnapshotTable[[#This Row],[SC Exp Date]]- MockToday, "")</f>
        <v/>
      </c>
      <c r="EV105" s="31">
        <f>IF(SnapshotTable[[#This Row],[SC Is Booked]], SnapshotTable[[#This Row],[SC Qty]] * SnapshotTable[[#This Row],[SC Book Price]] * 100, 0)</f>
        <v>0</v>
      </c>
      <c r="EW105" s="4" t="str">
        <f>IF(AND(ISNUMBER(SnapshotTable[[#This Row],[Last Price]]), ISNUMBER( SnapshotTable[[#This Row],[SC Book Price]])), SnapshotTable[[#This Row],[Last Price]] - SnapshotTable[[#This Row],[SC Book Price]],"")</f>
        <v/>
      </c>
      <c r="EX105" s="219" t="str">
        <f>IF(SnapshotTable[[#This Row],[SC Is Booked]],IF(SnapshotTable[[#This Row],[SC Intrinsic Value]] &gt; 0, SnapshotTable[[#This Row],[SC Strike Price]], SnapshotTable[[#This Row],[Last Price]]), "")</f>
        <v/>
      </c>
      <c r="EY105" s="4">
        <f>IF(SnapshotTable[[#This Row],[SC Is Booked]], (MinimumPremiumRequired * SnapshotTable[[#This Row],[SC Basis]] * SnapshotTable[[#This Row],[SC Term]]), 0)</f>
        <v>0</v>
      </c>
      <c r="EZ105" s="268"/>
      <c r="FA105" s="204"/>
      <c r="FB105" s="340"/>
      <c r="FC105" s="4">
        <f>IF(SnapshotTable[[#This Row],[SC Is Filled]], btc_max_buyback_amount(SnapshotTable[[#This Row],[SC Fill Date]],SnapshotTable[[#This Row],[SC Exp Date]], SnapshotTable[[#This Row],[SC Book Price]]),0)</f>
        <v>0</v>
      </c>
      <c r="FD105" s="5"/>
      <c r="FE105" s="142" t="str">
        <f>IF(SnapshotTable[[#This Row],[SC Is Filled]], btc_next_cutoff_date(SnapshotTable[[#This Row],[SC Fill Date]],SnapshotTable[[#This Row],[SC Exp Date]]),"")</f>
        <v/>
      </c>
      <c r="FF105" s="4" t="str" cm="1">
        <f t="array" ref="FF105">IF(SnapshotTable[[#This Row],[SC Is Filled]], btc_should_buy_back(SnapshotTable[[#This Row],[SC Fill Date]], SnapshotTable[[#This Row],[SC Exp Date]], SnapshotTable[[#This Row],[SC Book Price]], SnapshotTable[[#This Row],[SC Current Ask]], MockToday, SnapshotTable[[#This Row],[SC Buyback Override]]),"")</f>
        <v/>
      </c>
      <c r="FG105" s="4">
        <f>IF(SnapshotTable[[#This Row],[SC Is Filled]], MAX(0,SnapshotTable[[#This Row],[Last Price]]  - SnapshotTable[[#This Row],[SC Strike Price]]), 0)</f>
        <v>0</v>
      </c>
      <c r="FH105" s="352">
        <f>IF(SnapshotTable[[#This Row],[SC Is Filled]], IF(ISNUMBER(SnapshotTable[[#This Row],[SC Current Ask]]), SnapshotTable[[#This Row],[SC Current Ask]], SnapshotTable[[#This Row],[SC Book Price]]) - SnapshotTable[[#This Row],[SC Intrinsic Value]], 0)</f>
        <v>0</v>
      </c>
      <c r="FI105" s="141"/>
      <c r="FJ105" s="32" t="str">
        <f>IF(SnapshotTable[[#This Row],[SC Is Filled]],100 * SnapshotTable[[#This Row],[SC Qty]] * IF(ISNUMBER(SnapshotTable[[#This Row],[SC Buyback Override]]), SnapshotTable[[#This Row],[SC Buyback Override]], SnapshotTable[[#This Row],[SC Current Ask]]), "")</f>
        <v/>
      </c>
      <c r="FK105" s="235" t="str">
        <f>IF(SnapshotTable[[#This Row],[SC Time Val]]&gt;0, SnapshotTable[[#This Row],[SC Time Val]] / SnapshotTable[[#This Row],[Last Price]],"")</f>
        <v/>
      </c>
      <c r="FL105" s="280" t="str">
        <f>IF(SnapshotTable[[#This Row],[SC Is Booked]], ((SnapshotTable[[#This Row],[Last Price]] -SnapshotTable[[#This Row],[SC Strike Price]]) / SnapshotTable[[#This Row],[Last Price]]) * -1, "")</f>
        <v/>
      </c>
      <c r="FM105" s="155" t="str">
        <f>IF(SnapshotTable[[#This Row],[SC Is Booked]],  (SnapshotTable[[#This Row],[SC Qty]] * 100 * SnapshotTable[[#This Row],[SC Strike Price]]) - SnapshotTable[[#This Row],[SC Current Ask]], "")</f>
        <v/>
      </c>
      <c r="FN1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5" s="31" t="str">
        <f>IF(AND(ISNUMBER(SnapshotTable[[#This Row],[SC Exercise Gross]]), ISNUMBER(SnapshotTable[[#This Row],[Equity Basis Per Share]] )), SnapshotTable[[#This Row],[SC Exercise Gross]] - SnapshotTable[[#This Row],[Equity Basis Total]] +  SnapshotTable[[#This Row],[SC Premium]], "")</f>
        <v/>
      </c>
      <c r="FP105" s="5" t="str">
        <f>IF(ISNUMBER(SnapshotTable[[#This Row],[SC Exercise Gross]]), (SnapshotTable[[#This Row],[SC Exercise Gross]]) / (SnapshotTable[[#This Row],[SC Qty]] * 100), "")</f>
        <v/>
      </c>
      <c r="FQ105" s="27" t="str">
        <f>IF(SnapshotTable[[#This Row],[SC Is Booked]],SnapshotTable[[#This Row],[SC Time Val]] /SnapshotTable[[#This Row],[SC Basis]], "")</f>
        <v/>
      </c>
      <c r="FR105" s="27" t="str" cm="1">
        <f t="array" ref="FR105">IF(AND(ISNUMBER(SnapshotTable[[#This Row],[SC Term]]),ISNUMBER(SnapshotTable[[#This Row],[SC Simple ROO]])), EllmanAnnualize(SnapshotTable[[#This Row],[SC DTE]], SnapshotTable[[#This Row],[SC Simple ROO]] ),"")</f>
        <v/>
      </c>
      <c r="FS105" s="4">
        <f>IF(SnapshotTable[[#This Row],[SC Strike Price]] &gt; SnapshotTable[[#This Row],[Last Price]], SnapshotTable[[#This Row],[SC Strike Price]] - SnapshotTable[[#This Row],[Last Price]],0)</f>
        <v>0</v>
      </c>
      <c r="FT105" s="27" t="str">
        <f>IF(AND(ISNUMBER(SnapshotTable[[#This Row],[SC Upside Potential]]), SnapshotTable[[#This Row],[SC Upside Potential]] &gt; 0),(SnapshotTable[[#This Row],[SC Upside Potential]]/ SnapshotTable[[#This Row],[ACB]]),"")</f>
        <v/>
      </c>
      <c r="FU105" s="304" t="str">
        <f>IF(SnapshotTable[[#This Row],[SC Intrinsic Value]] &gt; 0,SnapshotTable[[#This Row],[SC Intrinsic Value]],"")</f>
        <v/>
      </c>
      <c r="FV105" s="27" t="str">
        <f>IF(AND( ISNUMBER( SnapshotTable[[#This Row],[ACB]]),ISNUMBER(SnapshotTable[[#This Row],[SC Downside Protect]])),SnapshotTable[[#This Row],[SC Downside Protect]] / SnapshotTable[[#This Row],[ACB]],"")</f>
        <v/>
      </c>
      <c r="FW105" s="221" t="str">
        <f>IF(AND(ISNUMBER(SnapshotTable[[#This Row],[SC Simple ROO]]),SnapshotTable[[#This Row],[SC Simple ROO]] &gt; 0), SnapshotTable[[#This Row],[SC Premium]] + (SnapshotTable[[#This Row],[SC Qty]] * SnapshotTable[[#This Row],[SC Upside Potential]]), "")</f>
        <v/>
      </c>
      <c r="FX105" s="280" t="str" cm="1">
        <f t="array" ref="FX105">IF(ISNUMBER(SnapshotTable[[#This Row],[SC Max Dollars]]), annualize(SnapshotTable[[#This Row],[SC Term]],(SnapshotTable[[#This Row],[SC Max Dollars]]/SnapshotTable[[#This Row],[SC Basis]])),"")</f>
        <v/>
      </c>
      <c r="FY105" s="221" t="str">
        <f>IF(AND(SnapshotTable[[#This Row],[SC Qty]]&gt;0,SnapshotTable[[#This Row],[SC Current Ask]]&gt;0), SnapshotTable[[#This Row],[SC Qty]] * SnapshotTable[[#This Row],[SC Current Ask]] * -100, "")</f>
        <v/>
      </c>
      <c r="FZ105" s="31" t="str">
        <f>IF(ISNUMBER((SnapshotTable[[#This Row],[SC Current Value]])), SnapshotTable[[#This Row],[SC Premium]] + SnapshotTable[[#This Row],[SC Current Value]], "")</f>
        <v/>
      </c>
      <c r="GA105" s="272" t="str">
        <f>IFERROR( IF(ISNUMBER((SnapshotTable[[#This Row],[SC Current Value]])), SnapshotTable[[#This Row],[SC Gain Loss]] / SnapshotTable[[#This Row],[SC Premium]], ""), "")</f>
        <v/>
      </c>
      <c r="GB105" s="42">
        <f>SnapshotTable[[#This Row],[Equity Shares]] * SaleSharesToConsiderPercentage</f>
        <v>0</v>
      </c>
      <c r="GC105" s="40">
        <f>SnapshotTable[[#This Row],[Long Term Target]] * SellingPriceToConsiderBasedOnTargetPercentage</f>
        <v>0</v>
      </c>
      <c r="GD105" s="40">
        <f>SnapshotTable[[#This Row],[Last Price]] * (1+ SellingPriceToConsiderBasedOnTargetPercentage)</f>
        <v>7.7025000000000006</v>
      </c>
      <c r="GE105" s="41"/>
      <c r="GF105" s="40"/>
      <c r="GG105" s="31">
        <f>SnapshotTable[[#This Row],[Booked Sale Shares]] * SnapshotTable[[#This Row],[Booked Sale Price]]</f>
        <v>0</v>
      </c>
      <c r="GH105" s="31" t="str">
        <f>IF(SnapshotTable[[#This Row],[Equity Basis Total]] &gt; 0, SnapshotTable[[#This Row],[Equity Basis Per Share]] * SnapshotTable[[#This Row],[Booked Sale Shares]], "")</f>
        <v/>
      </c>
      <c r="GI105" s="31">
        <f>IF(SnapshotTable[[#This Row],[Sale Proceeds]]&gt;0, SnapshotTable[[#This Row],[Sale Proceeds]] - SnapshotTable[[#This Row],[Sale Basis]], 0)</f>
        <v>0</v>
      </c>
      <c r="GJ105" s="27" t="str">
        <f>IF(SnapshotTable[[#This Row],[Sale G/L]]&gt;0, SnapshotTable[[#This Row],[Sale G/L]] / SnapshotTable[[#This Row],[Sale Basis]], IF(ISNUMBER(SnapshotTable[[#This Row],[SC Exercise P&amp;L (TAX)]]), SnapshotTable[[#This Row],[SC Exercise P&amp;L (TAX)]] / SnapshotTable[[#This Row],[SC Basis]], ""))</f>
        <v/>
      </c>
      <c r="GK105" s="27" t="s">
        <v>968</v>
      </c>
      <c r="GL105" s="43" t="str">
        <f>IF(AND(SnapshotTable[[#This Row],[LP Exp Date]]&gt;0,SnapshotTable[[#This Row],[LP Strike Price]]&gt;0), [1]!ToOptionSymbol(SnapshotTable[[#This Row],[Symbol]], SnapshotTable[[#This Row],[LP Strike Price]],SnapshotTable[[#This Row],[LP Exp Date]],1), "")</f>
        <v/>
      </c>
      <c r="GM105" s="30" t="str">
        <f>IF(LEN(SnapshotTable[[#This Row],[LP Symbol]])&gt;0, 1, "")</f>
        <v/>
      </c>
      <c r="GN105" s="43" t="str">
        <f>IF(AND(SnapshotTable[[#This Row],[SP Exp Date]]&gt;0,SnapshotTable[[#This Row],[SP Strike Price]]&gt;0), [1]!ToOptionSymbol(SnapshotTable[[#This Row],[Symbol]], SnapshotTable[[#This Row],[SP Strike Price]],SnapshotTable[[#This Row],[SP Exp Date]],1), "")</f>
        <v/>
      </c>
      <c r="GO105" s="30" t="str">
        <f>IF(LEN(SnapshotTable[[#This Row],[SP Symbol]])&gt;0, 1, "")</f>
        <v/>
      </c>
      <c r="GP105" s="43" t="str">
        <f>IF(AND(SnapshotTable[[#This Row],[LC Exp Date]]&gt;0,SnapshotTable[[#This Row],[LC Strike Price]]&gt;0), [1]!ToOptionSymbol(SnapshotTable[[#This Row],[Symbol]], SnapshotTable[[#This Row],[LC Strike Price]],SnapshotTable[[#This Row],[LC Exp Date]],0), "")</f>
        <v/>
      </c>
      <c r="GQ105" s="30" t="str">
        <f>IF(LEN(SnapshotTable[[#This Row],[LC Symbol]])&gt;0, 1, "")</f>
        <v/>
      </c>
      <c r="GR105" s="43" t="str">
        <f>IF(AND(SnapshotTable[[#This Row],[SC Exp Date]]&gt;0,SnapshotTable[[#This Row],[SC Strike Price]]&gt;0), [1]!ToOptionSymbol(SnapshotTable[[#This Row],[Symbol]], SnapshotTable[[#This Row],[SC Strike Price]],SnapshotTable[[#This Row],[SC Exp Date]],0), "")</f>
        <v/>
      </c>
      <c r="GS105" s="30" t="str">
        <f>IF(LEN(SnapshotTable[[#This Row],[SC Symbol]])&gt;0, 1, "")</f>
        <v/>
      </c>
      <c r="GT105" s="29" t="str">
        <f>IF(COUNT(SnapshotTable[[#This Row],[LP Symbol Count]],SnapshotTable[[#This Row],[SP Symbol Count]],SnapshotTable[[#This Row],[LC Symbol Count]],SnapshotTable[[#This Row],[SC Symbol Count]])&gt;0, "Y", "")</f>
        <v/>
      </c>
      <c r="GU1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5" s="216">
        <f>MAX(SnapshotTable[[#This Row],[Equity Basis Total]],SnapshotTable[[#This Row],[Equity Value]]) + (SnapshotTable[[#This Row],[SP Potential Spend]]- SnapshotTable[[#This Row],[SP Premium]] + SnapshotTable[[#This Row],[LP Premium]])+ (SnapshotTable[[#This Row],[LC Premium]] - SnapshotTable[[#This Row],[SC Premium]])</f>
        <v>0</v>
      </c>
      <c r="GW105" s="137" t="str">
        <f>IF(AND(SnapshotTable[[#This Row],[Exposure]] &lt;&gt; 0),SnapshotTable[[#This Row],[Exposure]] / SnapshotTable[[#Totals],[Exposure]], "")</f>
        <v/>
      </c>
      <c r="HE105" s="253"/>
      <c r="HF105" s="253"/>
      <c r="HK105" s="1"/>
      <c r="HL105" s="1"/>
      <c r="HM105" s="1"/>
      <c r="HN105" s="1"/>
      <c r="HO105" s="1"/>
      <c r="HP105" s="1"/>
    </row>
    <row r="106" spans="2:224" ht="12.75" hidden="1" customHeight="1" x14ac:dyDescent="0.25">
      <c r="B106" s="12" t="s">
        <v>965</v>
      </c>
      <c r="C106" s="385">
        <v>82.64</v>
      </c>
      <c r="D106" s="200"/>
      <c r="E106" s="39">
        <f>SnapshotTable[[#This Row],[Last Price]]*(1 -CrashDiscount)</f>
        <v>70.244</v>
      </c>
      <c r="F106" s="26" t="s">
        <v>648</v>
      </c>
      <c r="G106" s="296" t="s">
        <v>7</v>
      </c>
      <c r="H106" s="147"/>
      <c r="I106" s="186"/>
      <c r="J106" s="187"/>
      <c r="K106" s="188"/>
      <c r="L106" s="297"/>
      <c r="M106" s="138"/>
      <c r="N106" s="138"/>
      <c r="O106" s="138"/>
      <c r="P106" s="22"/>
      <c r="Q106" s="25"/>
      <c r="R106" s="4" t="str">
        <f>IF(SnapshotTable[[#This Row],[Equity Basis Total]] &gt; 0, SnapshotTable[[#This Row],[Equity Basis Total]] / SnapshotTable[[#This Row],[Equity Shares]], "")</f>
        <v/>
      </c>
      <c r="S106" s="254">
        <f>SnapshotTable[[#This Row],[Last Price]] * SnapshotTable[[#This Row],[Equity Shares]]</f>
        <v>0</v>
      </c>
      <c r="T106" s="254">
        <f>SnapshotTable[[#This Row],[Equity Value]] - SnapshotTable[[#This Row],[Equity Basis Total]]</f>
        <v>0</v>
      </c>
      <c r="U106" s="255" t="str">
        <f>IF(SnapshotTable[[#This Row],[Equity Basis Total]] &gt; 0, SnapshotTable[[#This Row],[Equity G/L]] / SnapshotTable[[#This Row],[Equity Basis Total]], "")</f>
        <v/>
      </c>
      <c r="V106" s="253"/>
      <c r="W106" s="253"/>
      <c r="X106" s="4" t="str">
        <f>IF(AND(ISNUMBER(SnapshotTable[[#This Row],[Equity Basis Per Share]]),ISNUMBER(SnapshotTable[[#This Row],[Equity Target]])),SnapshotTable[[#This Row],[Equity Target]]-SnapshotTable[[#This Row],[Equity Basis Per Share]],"")</f>
        <v/>
      </c>
      <c r="Y106" s="4" t="str">
        <f>IF(AND(ISNUMBER(SnapshotTable[[#This Row],[Equity Basis Per Share]]),ISNUMBER(SnapshotTable[[#This Row],[Equity Stop Loss]])),SnapshotTable[[#This Row],[Equity Stop Loss]]-SnapshotTable[[#This Row],[Equity Basis Per Share]],"")</f>
        <v/>
      </c>
      <c r="Z106" s="260" t="str">
        <f>IFERROR( TEXT(SnapshotTable[[#This Row],[Equity Max Gain Per Share]] /ABS( SnapshotTable[[#This Row],[Equity Max Loss Per Share]]),"0.0 " ) &amp; " : 1", "")</f>
        <v/>
      </c>
      <c r="AA106" s="31" t="str">
        <f>IF(ISNUMBER(SnapshotTable[[#This Row],[Equity Max Gain Per Share]]),SnapshotTable[[#This Row],[Equity Max Gain Per Share]] * SnapshotTable[[#This Row],[Equity Shares]],"")</f>
        <v/>
      </c>
      <c r="AB106" s="31" t="str">
        <f>IF(ISNUMBER(SnapshotTable[[#This Row],[Equity Max Loss Per Share]]),SnapshotTable[[#This Row],[Equity Max Loss Per Share]] * SnapshotTable[[#This Row],[Equity Shares]],"")</f>
        <v/>
      </c>
      <c r="AC106" s="148"/>
      <c r="AD106" s="149"/>
      <c r="AE106" s="31">
        <f>(SnapshotTable[[#This Row],[Annual Dividend Per Share]] / 4) * SnapshotTable[[#This Row],[Equity Shares]]</f>
        <v>0</v>
      </c>
      <c r="AF106" s="31">
        <f>SnapshotTable[[#This Row],[Quarterly Div $]] * 4</f>
        <v>0</v>
      </c>
      <c r="AG106" s="7">
        <f>IF(SnapshotTable[[#This Row],[Annual Dividend Per Share]]&gt;0, SnapshotTable[[#This Row],[Annual Dividend Per Share]]  / SnapshotTable[[#This Row],[Last Price]], 0)</f>
        <v>0</v>
      </c>
      <c r="AH106" s="149"/>
      <c r="AI106" s="5"/>
      <c r="AJ106" s="136"/>
      <c r="AK106" s="150" t="str">
        <f>IF(ISNUMBER( SnapshotTable[[#This Row],[EBF Target]]),(SnapshotTable[[#This Row],[EBF Target]] - SnapshotTable[[#This Row],[Last Price]]) / SnapshotTable[[#This Row],[Last Price]], "")</f>
        <v/>
      </c>
      <c r="AL106" s="150" t="str">
        <f>IF(AND(SnapshotTable[[#This Row],[Equity Basis Total]] &gt; 0,ISNUMBER( SnapshotTable[[#This Row],[Long Term Target]])), SnapshotTable[[#This Row],[From Basis $]] / SnapshotTable[[#This Row],[Equity Basis Total]], "")</f>
        <v/>
      </c>
      <c r="AM106" s="9">
        <f>IF( AND(SnapshotTable[[#This Row],[Equity Shares]] &gt;0,ISNUMBER( SnapshotTable[[#This Row],[Long Term Target]])),(SnapshotTable[[#This Row],[Equity Shares]] * SnapshotTable[[#This Row],[Long Term Target]]) - SnapshotTable[[#This Row],[Equity Basis Total]],0)</f>
        <v>0</v>
      </c>
      <c r="AN106" s="9">
        <f>IF( AND(SnapshotTable[[#This Row],[Equity Shares]] &gt;0,ISNUMBER( SnapshotTable[[#This Row],[Long Term Target]])),(SnapshotTable[[#This Row],[Equity Shares]]*SnapshotTable[[#This Row],[Long Term Target]]) - SnapshotTable[[#This Row],[Equity Value]],0)</f>
        <v>0</v>
      </c>
      <c r="AO106" s="150" t="str">
        <f>IF(AND(ISNUMBER( SnapshotTable[[#This Row],[Long Term Target]]), ISNUMBER(SnapshotTable[[#This Row],[Last Price]])),(SnapshotTable[[#This Row],[Long Term Target]] - SnapshotTable[[#This Row],[Last Price]]) / SnapshotTable[[#This Row],[Last Price]], "")</f>
        <v/>
      </c>
      <c r="AP106" s="5"/>
      <c r="AQ106" s="38"/>
      <c r="AR106" s="5"/>
      <c r="AS106" s="38"/>
      <c r="AT106" s="144"/>
      <c r="AU106" s="185" t="str">
        <f>IF(OR(SnapshotTable[[#This Row],[LP No Fill]]="Y",SnapshotTable[[#This Row],[SP Is Filled]],SnapshotTable[[#This Row],[LC Not Filled]]="Y",SnapshotTable[[#This Row],[SC Is Filled]]),"Y","")</f>
        <v/>
      </c>
      <c r="AV106" s="205"/>
      <c r="AW106" s="211"/>
      <c r="AX106" s="206"/>
      <c r="AY106" s="205" t="str">
        <f>IF(SnapshotTable[[#This Row],[Implied Move]]&gt;0, SnapshotTable[[#This Row],[Last Price]]-SnapshotTable[[#This Row],[Implied Move]],"")</f>
        <v/>
      </c>
      <c r="AZ106" s="205" t="str">
        <f>IF(SnapshotTable[[#This Row],[Implied Move]]&gt;0, SnapshotTable[[#This Row],[Last Price]] + SnapshotTable[[#This Row],[Implied Move]],"")</f>
        <v/>
      </c>
      <c r="BA106" s="302">
        <v>136.15</v>
      </c>
      <c r="BB106" s="318" t="s">
        <v>967</v>
      </c>
      <c r="BC1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6" s="321"/>
      <c r="BE106" s="5"/>
      <c r="BF106" s="14"/>
      <c r="BG106" s="13"/>
      <c r="BH106" s="13"/>
      <c r="BI106" s="5"/>
      <c r="BJ106" s="134">
        <f>IF(SnapshotTable[[#This Row],[LP Qty]] &gt; 0, SnapshotTable[[#This Row],[LP Qty]] * SnapshotTable[[#This Row],[LP Book Price]] * 100,0)</f>
        <v>0</v>
      </c>
      <c r="BK106" s="134">
        <f>IF(SnapshotTable[[#This Row],[LP Premium]] &gt; 0, SnapshotTable[[#This Row],[LP Qty]] * SnapshotTable[[#This Row],[LP Strike Price]] * 100,0)</f>
        <v>0</v>
      </c>
      <c r="BL106" s="152"/>
      <c r="BM106" s="355" t="str">
        <f>IF(SnapshotTable[[#This Row],[LP Premium]] &gt; 0,SnapshotTable[[#This Row],[LP Exp Date]]-MAX(SnapshotTable[[#This Row],[LP Book Date]], SnapshotTable[[#This Row],[LP Fill Date]]),"")</f>
        <v/>
      </c>
      <c r="BN106" s="355" t="str">
        <f>IF(ISNUMBER( SnapshotTable[[#This Row],[LP Term]]), SnapshotTable[[#This Row],[LP Exp Date]] - MockToday,"")</f>
        <v/>
      </c>
      <c r="BO106" s="161" t="str">
        <f>IF(AND(SnapshotTable[[#This Row],[LP Exp Date]]&gt;0, SnapshotTable[[#This Row],[LP Strike Price]]&gt;0,SnapshotTable[[#This Row],[LP Qty]]&gt;0,SnapshotTable[[#This Row],[LP Book Date]]&gt;0,SnapshotTable[[#This Row],[LP Book Price]]&gt;0,SnapshotTable[[#This Row],[LP Fill Date]]=0),"Y","")</f>
        <v/>
      </c>
      <c r="BP106" s="31" t="str">
        <f>IF(AND(SnapshotTable[[#This Row],[LP No Fill]]&lt;&gt;"Y",SnapshotTable[[#This Row],[LP Contract Value]]&gt;0, SnapshotTable[[#This Row],[LP Qty]]&gt;0), SnapshotTable[[#This Row],[LP Contract Value]]*SnapshotTable[[#This Row],[LP Qty]]*100,"")</f>
        <v/>
      </c>
      <c r="BQ106" s="13"/>
      <c r="BR106" s="5"/>
      <c r="BS106" s="36"/>
      <c r="BT106" s="145"/>
      <c r="BU106" s="13"/>
      <c r="BV106" s="5"/>
      <c r="BW106" s="382" t="b">
        <f>AND(ISNUMBER(SnapshotTable[[#This Row],[SP Exp Date]]), ISNUMBER(SnapshotTable[[#This Row],[SP Strike Price]]), ISNUMBER(SnapshotTable[[#This Row],[SP Qty]]), ISNUMBER(SnapshotTable[[#This Row],[SP Book Date]]), ISNUMBER(SnapshotTable[[#This Row],[SP Book Price]]))</f>
        <v>0</v>
      </c>
      <c r="BX106" s="382" t="b">
        <f>AND(SnapshotTable[[#This Row],[SP Is Booked]], NOT(ISBLANK(SnapshotTable[[#This Row],[SP Fill Date]])))</f>
        <v>0</v>
      </c>
      <c r="BY106" s="33">
        <f>IF(SnapshotTable[[#This Row],[SP Is Booked]], SnapshotTable[[#This Row],[SP Qty]] * SnapshotTable[[#This Row],[SP Book Price]] * 100, 0)</f>
        <v>0</v>
      </c>
      <c r="BZ106" s="339"/>
      <c r="CA106" s="338">
        <f>SnapshotTable[[#This Row],[LP Qty]]</f>
        <v>0</v>
      </c>
      <c r="CB106" s="4" t="str">
        <f>IF(SnapshotTable[[#This Row],[SP Is Booked]], SnapshotTable[[#This Row],[SP Strike Price]] - SnapshotTable[[#This Row],[SP Book Price]], "")</f>
        <v/>
      </c>
      <c r="CC106" s="19" t="str">
        <f>IF(SnapshotTable[[#This Row],[SP Is Booked]],SnapshotTable[[#This Row],[SP Exp Date]]-MAX(SnapshotTable[[#This Row],[SP Book Date]], SnapshotTable[[#This Row],[SP Fill Date]]),"")</f>
        <v/>
      </c>
      <c r="CD106" s="7" t="str">
        <f>IF(SnapshotTable[[#This Row],[SP Is Booked]], SnapshotTable[[#This Row],[SP Book Price]]/SnapshotTable[[#This Row],[SP Strike Price]], "")</f>
        <v/>
      </c>
      <c r="CE106" s="7" t="str">
        <f>IF(ISNUMBER(SnapshotTable[[#This Row],[SP ROO Term]]),SnapshotTable[[#This Row],[SP ROO Term]]*(365/SnapshotTable[[#This Row],[SP Term]]),"")</f>
        <v/>
      </c>
      <c r="CF106" s="221">
        <f>SnapshotTable[[#This Row],[LP Strike Price]] * SnapshotTable[[#This Row],[LP Qty]] * 100</f>
        <v>0</v>
      </c>
      <c r="CG106" s="31">
        <f>IF(ISNUMBER(SnapshotTable[[#This Row],[SP Premium]]), (SnapshotTable[[#This Row],[SP Qty]] * SnapshotTable[[#This Row],[SP Strike Price]]* 100) - SnapshotTable[[#This Row],[LP Protection]], 0)</f>
        <v>0</v>
      </c>
      <c r="CH106" s="7" t="str">
        <f>IF(ISNUMBER(SnapshotTable[[#This Row],[SP Break Even]]),-1 * (SnapshotTable[[#This Row],[SP Break Even]] - SnapshotTable[[#This Row],[Last Price]]) / SnapshotTable[[#This Row],[Last Price]], "")</f>
        <v/>
      </c>
      <c r="CI106" s="31">
        <f>IF(AND(ISNUMBER((SnapshotTable[[#This Row],[SP Potential Spend]])), SnapshotTable[[#This Row],[SP Strike Price]] &gt; SnapshotTable[[#This Row],[Last Price]], SnapshotTable[[#This Row],[SP Is Filled]]), SnapshotTable[[#This Row],[SP Potential Spend]] -  SnapshotTable[[#This Row],[LP Max Value]], 0)</f>
        <v>0</v>
      </c>
      <c r="CJ106" s="229"/>
      <c r="CK106" s="31">
        <f>IF(ISNUMBER(SnapshotTable[[#This Row],[SP Potential Spend]]),IF(ISNUMBER(SnapshotTable[[#This Row],[SP POW]]), SnapshotTable[[#This Row],[SP POW]] * SnapshotTable[[#This Row],[SP Potential Spend]], SnapshotTable[[#This Row],[SP Potential Spend]]), "")</f>
        <v>0</v>
      </c>
      <c r="CL106" s="162">
        <f>IF(NOT(SnapshotTable[[#This Row],[SP Is Filled]]),(SnapshotTable[[#This Row],[SP Qty]] * SnapshotTable[[#This Row],[SP Strike Price]] * 100) - SnapshotTable[[#This Row],[LP Max Value]],"")</f>
        <v>0</v>
      </c>
      <c r="CM106" s="31" t="str">
        <f>IF(SnapshotTable[[#This Row],[SP Actual Spend]]&lt;&gt;0, ((SnapshotTable[[#This Row],[SP Strike Price]]-SnapshotTable[[#This Row],[Last Price]]) *(SnapshotTable[[#This Row],[SP Qty]]*100) - SnapshotTable[[#This Row],[SP Premium]]) * - 1, "")</f>
        <v/>
      </c>
      <c r="CN106" s="76"/>
      <c r="CO106" s="339"/>
      <c r="CP106" s="4" t="str">
        <f>IF(SnapshotTable[[#This Row],[SP Is Filled]], btc_max_buyback_amount(SnapshotTable[[#This Row],[SP Fill Date]],SnapshotTable[[#This Row],[SP Exp Date]], SnapshotTable[[#This Row],[SP Book Price]]),"")</f>
        <v/>
      </c>
      <c r="CQ106" s="76"/>
      <c r="CR1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6" s="153" t="str">
        <f>IF(SnapshotTable[[#This Row],[SP Is Filled]], btc_next_cutoff_date(SnapshotTable[[#This Row],[SP Fill Date]],SnapshotTable[[#This Row],[SP Exp Date]]),"")</f>
        <v/>
      </c>
      <c r="CT106" s="220" t="str" cm="1">
        <f t="array" ref="CT106">IF(SnapshotTable[[#This Row],[SP Is Filled]], btc_should_buy_back(SnapshotTable[[#This Row],[SP Fill Date]], SnapshotTable[[#This Row],[SP Exp Date]], SnapshotTable[[#This Row],[SP Book Price]], SnapshotTable[[#This Row],[SP Current Ask]], MockToday, SnapshotTable[[#This Row],[SP Buyback Override]]),"")</f>
        <v/>
      </c>
      <c r="CU106" s="141"/>
      <c r="CV106" s="220"/>
      <c r="CW106" s="348" t="str">
        <f>IF(ISNUMBER( SnapshotTable[[#This Row],[SP Term]]), SnapshotTable[[#This Row],[SP Exp Date]] - MockToday,"")</f>
        <v/>
      </c>
      <c r="CX106" s="31" t="str">
        <f>IF(SnapshotTable[[#This Row],[SP Is Filled]],SnapshotTable[[#This Row],[SP Buyback Price to Use]] * 100 * SnapshotTable[[#This Row],[SP Qty]], "")</f>
        <v/>
      </c>
      <c r="CY106" s="4" t="str">
        <f>IF(ISNUMBER(SnapshotTable[[#This Row],[SP Strike Price]]), SnapshotTable[[#This Row],[SP Strike Price]] * (1 - SP_MaxLoss_StrikePct), "")</f>
        <v/>
      </c>
      <c r="CZ106" s="31" t="str">
        <f>IF(ISNUMBER(SnapshotTable[[#This Row],[SP Strike  Stop Per Share]]),SnapshotTable[[#This Row],[SP Premium]] - ((SnapshotTable[[#This Row],[SP Strike Price]]-SnapshotTable[[#This Row],[SP Strike  Stop Per Share]]) *(SnapshotTable[[#This Row],[SP Qty]] * 100)),"")</f>
        <v/>
      </c>
      <c r="DA106" s="4" t="str">
        <f>IF(AND(ISNUMBER(SnapshotTable[[#This Row],[SP Premium]]),SnapshotTable[[#This Row],[SP Premium]]&gt;0), SnapshotTable[[#This Row],[SP Book Price]] * (1 + SP_MaxLoss_OptionPct), "")</f>
        <v/>
      </c>
      <c r="DB106" s="31" t="str">
        <f>IF(ISNUMBER(SnapshotTable[[#This Row],[SP Option  Stop Contract]]),(SnapshotTable[[#This Row],[SP Option  Stop Contract]] *(SnapshotTable[[#This Row],[SP Qty]] * 100) - SnapshotTable[[#This Row],[SP Premium]]),"")</f>
        <v/>
      </c>
      <c r="DC106" s="4"/>
      <c r="DD106" s="4"/>
      <c r="DE106" s="4" t="str">
        <f>IF(AND(SnapshotTable[[#This Row],[SP Qty]]&gt;0, SnapshotTable[[#This Row],[SP Stop To Use]]&gt;0),SnapshotTable[[#This Row],[SP Premium]] - ( SnapshotTable[[#This Row],[SP Qty]] * SnapshotTable[[#This Row],[SP Stop To Use]] * 100), "")</f>
        <v/>
      </c>
      <c r="DF106" s="31" t="str">
        <f>IF(AND(SnapshotTable[[#This Row],[SP Qty]]&gt;0,SnapshotTable[[#This Row],[SP Current Ask]]&gt;0), SnapshotTable[[#This Row],[SP Qty]] * SnapshotTable[[#This Row],[SP Current Ask]] * -100, "")</f>
        <v/>
      </c>
      <c r="DG106" s="31" t="str">
        <f>IF(ISNUMBER((SnapshotTable[[#This Row],[SP Total Value]])), SnapshotTable[[#This Row],[SP Premium]] + SnapshotTable[[#This Row],[SP Total Value]], "")</f>
        <v/>
      </c>
      <c r="DH106" s="272" t="str">
        <f>IF(ISNUMBER((SnapshotTable[[#This Row],[SP Total Value]])), SnapshotTable[[#This Row],[SP Gain Loss]] / SnapshotTable[[#This Row],[SP Premium]], "")</f>
        <v/>
      </c>
      <c r="DI106" s="369"/>
      <c r="DJ106" s="136"/>
      <c r="DK106" s="146"/>
      <c r="DL106" s="13"/>
      <c r="DM106" s="13"/>
      <c r="DO106" s="31">
        <f>IF(SnapshotTable[[#This Row],[LC Symbol Count]]=1, SnapshotTable[[#This Row],[LC Qty]] * SnapshotTable[[#This Row],[LC Book Price]] * 100, 0)</f>
        <v>0</v>
      </c>
      <c r="DP106" s="161" t="str">
        <f>IF(AND(SnapshotTable[[#This Row],[LC Exp Date]]&gt;0, SnapshotTable[[#This Row],[LC Strike Price]]&gt;0,SnapshotTable[[#This Row],[LC Qty]]&gt;0,SnapshotTable[[#This Row],[LC Book Date]]&gt;0,SnapshotTable[[#This Row],[LC Book Price]]&gt;0,SnapshotTable[[#This Row],[LC Fill Date]]=0),"Y","")</f>
        <v/>
      </c>
      <c r="DQ106" s="356" t="str">
        <f>IF(SnapshotTable[[#This Row],[LC Premium]] &gt; 0,SnapshotTable[[#This Row],[LC Exp Date]]-MAX(SnapshotTable[[#This Row],[LC Book Date]], SnapshotTable[[#This Row],[LC Fill Date]]),"")</f>
        <v/>
      </c>
      <c r="DR106" s="356" t="str">
        <f>IF(ISNUMBER(SnapshotTable[[#This Row],[LC Term]]), SnapshotTable[[#This Row],[LC Exp Date]] - MockToday, "")</f>
        <v/>
      </c>
      <c r="DS106" s="219" t="str">
        <f>IF(SnapshotTable[[#This Row],[LC Premium]]&gt;0,SnapshotTable[[#This Row],[LC Strike Price]] + SnapshotTable[[#This Row],[LC Book Price]],"")</f>
        <v/>
      </c>
      <c r="DU106" s="9" t="str">
        <f>IF(AND(SnapshotTable[[#This Row],[LC Symbol Count]]&gt;0, SnapshotTable[[#This Row],[LC Contract Value]]&gt;0), SnapshotTable[[#This Row],[LC Contract Value]] * SnapshotTable[[#This Row],[LC Qty]] * 100, "")</f>
        <v/>
      </c>
      <c r="DV106" s="9" t="str">
        <f>IF(AND(ISNUMBER(SnapshotTable[[#This Row],[LC Total Value]]), SnapshotTable[[#This Row],[LC Not Filled]]&lt;&gt;"Y"), SnapshotTable[[#This Row],[LC Total Value]]-SnapshotTable[[#This Row],[LC Premium]],"")</f>
        <v/>
      </c>
      <c r="DW106" s="225" t="str">
        <f>IF(ISNUMBER(SnapshotTable[[#This Row],[LC Actual Gain Loss]]), SnapshotTable[[#This Row],[LC Actual Gain Loss]] / SnapshotTable[[#This Row],[LC Premium]],"")</f>
        <v/>
      </c>
      <c r="DX106" s="269" t="str">
        <f>IF(ISNUMBER(SnapshotTable[[#This Row],[LC Book Price]]),SnapshotTable[[#This Row],[LC Book Price]] * 1.5,"")</f>
        <v/>
      </c>
      <c r="DY106" s="250" t="str">
        <f>IF(SnapshotTable[[#This Row],[LC Premium]]&gt;0, SnapshotTable[[#This Row],[LC Next Target]] * SnapshotTable[[#This Row],[LC Qty]] * 100,"")</f>
        <v/>
      </c>
      <c r="DZ106" s="250" t="str">
        <f>IF(ISNUMBER(SnapshotTable[[#This Row],[LC Target Gross]]), SnapshotTable[[#This Row],[LC Target Gross]] - SnapshotTable[[#This Row],[LC Premium]], "")</f>
        <v/>
      </c>
      <c r="EA106" s="283" t="str">
        <f>IF(ISNUMBER(SnapshotTable[[#This Row],[LC Target Gain Loss]]), SnapshotTable[[#This Row],[LC Target Gain Loss]]/SnapshotTable[[#This Row],[LC Premium]], "")</f>
        <v/>
      </c>
      <c r="EB106" s="247"/>
      <c r="EC106" s="268" t="str">
        <f>IF(SnapshotTable[[#This Row],[LC Premium]]&gt;0, SnapshotTable[[#This Row],[LC Book Price]] * (1 - LC_StopLoss_Pct),"")</f>
        <v/>
      </c>
      <c r="ED106" s="269"/>
      <c r="EE106" s="268" t="str">
        <f>IF(ISNUMBER(SnapshotTable[[#This Row],[LC Contract Value]]),IF(ISNUMBER(SnapshotTable[[#This Row],[LC Stop Loss Override]]), SnapshotTable[[#This Row],[LC Stop Loss Override]],SnapshotTable[[#This Row],[LC Stop Loss Calc Target]]),"")</f>
        <v/>
      </c>
      <c r="EF106" s="31" t="str">
        <f>IF(ISNUMBER(SnapshotTable[[#This Row],[LC Stop  To Use]]), (SnapshotTable[[#This Row],[LC Stop  To Use]] * SnapshotTable[[#This Row],[LC Qty]] * 100),"")</f>
        <v/>
      </c>
      <c r="EG106" s="9" t="str">
        <f>IF(ISNUMBER(SnapshotTable[[#This Row],[LC Total Value]]),SnapshotTable[[#This Row],[LC Stop Loss Amount]] - SnapshotTable[[#This Row],[LC Premium]],"")</f>
        <v/>
      </c>
      <c r="EH106" s="9">
        <f>IF(ISNUMBER(SnapshotTable[[#This Row],[LC Premium]]), SnapshotTable[[#This Row],[LC Qty]] * 100 * SnapshotTable[[#This Row],[LC Strike Price]], "")</f>
        <v>0</v>
      </c>
      <c r="EI106" s="225" t="str">
        <f>IF(AND(ISNUMBER(SnapshotTable[[#This Row],[LC Total Value]]),SnapshotTable[[#This Row],[LC Total Value]]&gt;0),SnapshotTable[[#This Row],[LC Stop Gain Loss]]  / SnapshotTable[[#This Row],[LC Premium]],"")</f>
        <v/>
      </c>
      <c r="EJ106" s="35">
        <f>IF(ISNUMBER(SnapshotTable[[#This Row],[Equity Shares]]),TRUNC(SnapshotTable[[#This Row],[Equity Shares]] / 100),0) + SnapshotTable[[#This Row],[LC Qty]]</f>
        <v>0</v>
      </c>
      <c r="EK106" s="145"/>
      <c r="EL106" s="136"/>
      <c r="EM106" s="146"/>
      <c r="EN106" s="145"/>
      <c r="EO106" s="145"/>
      <c r="EP106" s="136"/>
      <c r="EQ106" s="382" t="b">
        <f>AND(ISNUMBER(SnapshotTable[[#This Row],[SC Exp Date]]), ISNUMBER(SnapshotTable[[#This Row],[SC Strike Price]]), ISNUMBER(SnapshotTable[[#This Row],[SC Qty]]), ISNUMBER(SnapshotTable[[#This Row],[SC Book Date]]), ISNUMBER(SnapshotTable[[#This Row],[SC Book Price]]))</f>
        <v>0</v>
      </c>
      <c r="ER106" s="382" t="b">
        <f>AND(SnapshotTable[[#This Row],[SC Is Booked]], NOT(ISBLANK(SnapshotTable[[#This Row],[SC Fill Date]])))</f>
        <v>0</v>
      </c>
      <c r="ES106" s="340"/>
      <c r="ET106" s="34" t="str">
        <f>IF(AND(ISNUMBER(SnapshotTable[[#This Row],[SC Exp Date]]), ISNUMBER(SnapshotTable[[#This Row],[SC Book Date]])), SnapshotTable[[#This Row],[SC Exp Date]] - MAX(SnapshotTable[[#This Row],[SC Book Date]], SnapshotTable[[#This Row],[SC Fill Date]]) + 1, "")</f>
        <v/>
      </c>
      <c r="EU106" s="34" t="str">
        <f>IF(ISNUMBER(SnapshotTable[[#This Row],[SC Term]]), SnapshotTable[[#This Row],[SC Exp Date]]- MockToday, "")</f>
        <v/>
      </c>
      <c r="EV106" s="31">
        <f>IF(SnapshotTable[[#This Row],[SC Is Booked]], SnapshotTable[[#This Row],[SC Qty]] * SnapshotTable[[#This Row],[SC Book Price]] * 100, 0)</f>
        <v>0</v>
      </c>
      <c r="EW106" s="4" t="str">
        <f>IF(AND(ISNUMBER(SnapshotTable[[#This Row],[Last Price]]), ISNUMBER( SnapshotTable[[#This Row],[SC Book Price]])), SnapshotTable[[#This Row],[Last Price]] - SnapshotTable[[#This Row],[SC Book Price]],"")</f>
        <v/>
      </c>
      <c r="EX106" s="219" t="str">
        <f>IF(SnapshotTable[[#This Row],[SC Is Booked]],IF(SnapshotTable[[#This Row],[SC Intrinsic Value]] &gt; 0, SnapshotTable[[#This Row],[SC Strike Price]], SnapshotTable[[#This Row],[Last Price]]), "")</f>
        <v/>
      </c>
      <c r="EY106" s="4">
        <f>IF(SnapshotTable[[#This Row],[SC Is Booked]], (MinimumPremiumRequired * SnapshotTable[[#This Row],[SC Basis]] * SnapshotTable[[#This Row],[SC Term]]), 0)</f>
        <v>0</v>
      </c>
      <c r="EZ106" s="268"/>
      <c r="FA106" s="204"/>
      <c r="FB106" s="340"/>
      <c r="FC106" s="4">
        <f>IF(SnapshotTable[[#This Row],[SC Is Filled]], btc_max_buyback_amount(SnapshotTable[[#This Row],[SC Fill Date]],SnapshotTable[[#This Row],[SC Exp Date]], SnapshotTable[[#This Row],[SC Book Price]]),0)</f>
        <v>0</v>
      </c>
      <c r="FD106" s="5"/>
      <c r="FE106" s="142" t="str">
        <f>IF(SnapshotTable[[#This Row],[SC Is Filled]], btc_next_cutoff_date(SnapshotTable[[#This Row],[SC Fill Date]],SnapshotTable[[#This Row],[SC Exp Date]]),"")</f>
        <v/>
      </c>
      <c r="FF106" s="4" t="str" cm="1">
        <f t="array" ref="FF106">IF(SnapshotTable[[#This Row],[SC Is Filled]], btc_should_buy_back(SnapshotTable[[#This Row],[SC Fill Date]], SnapshotTable[[#This Row],[SC Exp Date]], SnapshotTable[[#This Row],[SC Book Price]], SnapshotTable[[#This Row],[SC Current Ask]], MockToday, SnapshotTable[[#This Row],[SC Buyback Override]]),"")</f>
        <v/>
      </c>
      <c r="FG106" s="4">
        <f>IF(SnapshotTable[[#This Row],[SC Is Filled]], MAX(0,SnapshotTable[[#This Row],[Last Price]]  - SnapshotTable[[#This Row],[SC Strike Price]]), 0)</f>
        <v>0</v>
      </c>
      <c r="FH106" s="352">
        <f>IF(SnapshotTable[[#This Row],[SC Is Filled]], IF(ISNUMBER(SnapshotTable[[#This Row],[SC Current Ask]]), SnapshotTable[[#This Row],[SC Current Ask]], SnapshotTable[[#This Row],[SC Book Price]]) - SnapshotTable[[#This Row],[SC Intrinsic Value]], 0)</f>
        <v>0</v>
      </c>
      <c r="FI106" s="141"/>
      <c r="FJ106" s="32" t="str">
        <f>IF(SnapshotTable[[#This Row],[SC Is Filled]],100 * SnapshotTable[[#This Row],[SC Qty]] * IF(ISNUMBER(SnapshotTable[[#This Row],[SC Buyback Override]]), SnapshotTable[[#This Row],[SC Buyback Override]], SnapshotTable[[#This Row],[SC Current Ask]]), "")</f>
        <v/>
      </c>
      <c r="FK106" s="235" t="str">
        <f>IF(SnapshotTable[[#This Row],[SC Time Val]]&gt;0, SnapshotTable[[#This Row],[SC Time Val]] / SnapshotTable[[#This Row],[Last Price]],"")</f>
        <v/>
      </c>
      <c r="FL106" s="280" t="str">
        <f>IF(SnapshotTable[[#This Row],[SC Is Booked]], ((SnapshotTable[[#This Row],[Last Price]] -SnapshotTable[[#This Row],[SC Strike Price]]) / SnapshotTable[[#This Row],[Last Price]]) * -1, "")</f>
        <v/>
      </c>
      <c r="FM106" s="155" t="str">
        <f>IF(SnapshotTable[[#This Row],[SC Is Booked]],  (SnapshotTable[[#This Row],[SC Qty]] * 100 * SnapshotTable[[#This Row],[SC Strike Price]]) - SnapshotTable[[#This Row],[SC Current Ask]], "")</f>
        <v/>
      </c>
      <c r="FN10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6" s="31" t="str">
        <f>IF(AND(ISNUMBER(SnapshotTable[[#This Row],[SC Exercise Gross]]), ISNUMBER(SnapshotTable[[#This Row],[Equity Basis Per Share]] )), SnapshotTable[[#This Row],[SC Exercise Gross]] - SnapshotTable[[#This Row],[Equity Basis Total]] +  SnapshotTable[[#This Row],[SC Premium]], "")</f>
        <v/>
      </c>
      <c r="FP106" s="5" t="str">
        <f>IF(ISNUMBER(SnapshotTable[[#This Row],[SC Exercise Gross]]), (SnapshotTable[[#This Row],[SC Exercise Gross]]) / (SnapshotTable[[#This Row],[SC Qty]] * 100), "")</f>
        <v/>
      </c>
      <c r="FQ106" s="27" t="str">
        <f>IF(SnapshotTable[[#This Row],[SC Is Booked]],SnapshotTable[[#This Row],[SC Time Val]] /SnapshotTable[[#This Row],[SC Basis]], "")</f>
        <v/>
      </c>
      <c r="FR106" s="27" t="str" cm="1">
        <f t="array" ref="FR106">IF(AND(ISNUMBER(SnapshotTable[[#This Row],[SC Term]]),ISNUMBER(SnapshotTable[[#This Row],[SC Simple ROO]])), EllmanAnnualize(SnapshotTable[[#This Row],[SC DTE]], SnapshotTable[[#This Row],[SC Simple ROO]] ),"")</f>
        <v/>
      </c>
      <c r="FS106" s="4">
        <f>IF(SnapshotTable[[#This Row],[SC Strike Price]] &gt; SnapshotTable[[#This Row],[Last Price]], SnapshotTable[[#This Row],[SC Strike Price]] - SnapshotTable[[#This Row],[Last Price]],0)</f>
        <v>0</v>
      </c>
      <c r="FT106" s="27" t="str">
        <f>IF(AND(ISNUMBER(SnapshotTable[[#This Row],[SC Upside Potential]]), SnapshotTable[[#This Row],[SC Upside Potential]] &gt; 0),(SnapshotTable[[#This Row],[SC Upside Potential]]/ SnapshotTable[[#This Row],[ACB]]),"")</f>
        <v/>
      </c>
      <c r="FU106" s="304" t="str">
        <f>IF(SnapshotTable[[#This Row],[SC Intrinsic Value]] &gt; 0,SnapshotTable[[#This Row],[SC Intrinsic Value]],"")</f>
        <v/>
      </c>
      <c r="FV106" s="27" t="str">
        <f>IF(AND( ISNUMBER( SnapshotTable[[#This Row],[ACB]]),ISNUMBER(SnapshotTable[[#This Row],[SC Downside Protect]])),SnapshotTable[[#This Row],[SC Downside Protect]] / SnapshotTable[[#This Row],[ACB]],"")</f>
        <v/>
      </c>
      <c r="FW106" s="221" t="str">
        <f>IF(AND(ISNUMBER(SnapshotTable[[#This Row],[SC Simple ROO]]),SnapshotTable[[#This Row],[SC Simple ROO]] &gt; 0), SnapshotTable[[#This Row],[SC Premium]] + (SnapshotTable[[#This Row],[SC Qty]] * SnapshotTable[[#This Row],[SC Upside Potential]]), "")</f>
        <v/>
      </c>
      <c r="FX106" s="280" t="str" cm="1">
        <f t="array" ref="FX106">IF(ISNUMBER(SnapshotTable[[#This Row],[SC Max Dollars]]), annualize(SnapshotTable[[#This Row],[SC Term]],(SnapshotTable[[#This Row],[SC Max Dollars]]/SnapshotTable[[#This Row],[SC Basis]])),"")</f>
        <v/>
      </c>
      <c r="FY106" s="221" t="str">
        <f>IF(AND(SnapshotTable[[#This Row],[SC Qty]]&gt;0,SnapshotTable[[#This Row],[SC Current Ask]]&gt;0), SnapshotTable[[#This Row],[SC Qty]] * SnapshotTable[[#This Row],[SC Current Ask]] * -100, "")</f>
        <v/>
      </c>
      <c r="FZ106" s="31" t="str">
        <f>IF(ISNUMBER((SnapshotTable[[#This Row],[SC Current Value]])), SnapshotTable[[#This Row],[SC Premium]] + SnapshotTable[[#This Row],[SC Current Value]], "")</f>
        <v/>
      </c>
      <c r="GA106" s="272" t="str">
        <f>IFERROR( IF(ISNUMBER((SnapshotTable[[#This Row],[SC Current Value]])), SnapshotTable[[#This Row],[SC Gain Loss]] / SnapshotTable[[#This Row],[SC Premium]], ""), "")</f>
        <v/>
      </c>
      <c r="GB106" s="42">
        <f>SnapshotTable[[#This Row],[Equity Shares]] * SaleSharesToConsiderPercentage</f>
        <v>0</v>
      </c>
      <c r="GC106" s="40">
        <f>SnapshotTable[[#This Row],[Long Term Target]] * SellingPriceToConsiderBasedOnTargetPercentage</f>
        <v>0</v>
      </c>
      <c r="GD106" s="40">
        <f>SnapshotTable[[#This Row],[Last Price]] * (1+ SellingPriceToConsiderBasedOnTargetPercentage)</f>
        <v>161.148</v>
      </c>
      <c r="GE106" s="41"/>
      <c r="GF106" s="40"/>
      <c r="GG106" s="31">
        <f>SnapshotTable[[#This Row],[Booked Sale Shares]] * SnapshotTable[[#This Row],[Booked Sale Price]]</f>
        <v>0</v>
      </c>
      <c r="GH106" s="31" t="str">
        <f>IF(SnapshotTable[[#This Row],[Equity Basis Total]] &gt; 0, SnapshotTable[[#This Row],[Equity Basis Per Share]] * SnapshotTable[[#This Row],[Booked Sale Shares]], "")</f>
        <v/>
      </c>
      <c r="GI106" s="31">
        <f>IF(SnapshotTable[[#This Row],[Sale Proceeds]]&gt;0, SnapshotTable[[#This Row],[Sale Proceeds]] - SnapshotTable[[#This Row],[Sale Basis]], 0)</f>
        <v>0</v>
      </c>
      <c r="GJ106" s="27" t="str">
        <f>IF(SnapshotTable[[#This Row],[Sale G/L]]&gt;0, SnapshotTable[[#This Row],[Sale G/L]] / SnapshotTable[[#This Row],[Sale Basis]], IF(ISNUMBER(SnapshotTable[[#This Row],[SC Exercise P&amp;L (TAX)]]), SnapshotTable[[#This Row],[SC Exercise P&amp;L (TAX)]] / SnapshotTable[[#This Row],[SC Basis]], ""))</f>
        <v/>
      </c>
      <c r="GK106" s="27"/>
      <c r="GL106" s="43" t="str">
        <f>IF(AND(SnapshotTable[[#This Row],[LP Exp Date]]&gt;0,SnapshotTable[[#This Row],[LP Strike Price]]&gt;0), [1]!ToOptionSymbol(SnapshotTable[[#This Row],[Symbol]], SnapshotTable[[#This Row],[LP Strike Price]],SnapshotTable[[#This Row],[LP Exp Date]],1), "")</f>
        <v/>
      </c>
      <c r="GM106" s="30" t="str">
        <f>IF(LEN(SnapshotTable[[#This Row],[LP Symbol]])&gt;0, 1, "")</f>
        <v/>
      </c>
      <c r="GN106" s="43" t="str">
        <f>IF(AND(SnapshotTable[[#This Row],[SP Exp Date]]&gt;0,SnapshotTable[[#This Row],[SP Strike Price]]&gt;0), [1]!ToOptionSymbol(SnapshotTable[[#This Row],[Symbol]], SnapshotTable[[#This Row],[SP Strike Price]],SnapshotTable[[#This Row],[SP Exp Date]],1), "")</f>
        <v/>
      </c>
      <c r="GO106" s="30" t="str">
        <f>IF(LEN(SnapshotTable[[#This Row],[SP Symbol]])&gt;0, 1, "")</f>
        <v/>
      </c>
      <c r="GP106" s="43" t="str">
        <f>IF(AND(SnapshotTable[[#This Row],[LC Exp Date]]&gt;0,SnapshotTable[[#This Row],[LC Strike Price]]&gt;0), [1]!ToOptionSymbol(SnapshotTable[[#This Row],[Symbol]], SnapshotTable[[#This Row],[LC Strike Price]],SnapshotTable[[#This Row],[LC Exp Date]],0), "")</f>
        <v/>
      </c>
      <c r="GQ106" s="30" t="str">
        <f>IF(LEN(SnapshotTable[[#This Row],[LC Symbol]])&gt;0, 1, "")</f>
        <v/>
      </c>
      <c r="GR106" s="43" t="str">
        <f>IF(AND(SnapshotTable[[#This Row],[SC Exp Date]]&gt;0,SnapshotTable[[#This Row],[SC Strike Price]]&gt;0), [1]!ToOptionSymbol(SnapshotTable[[#This Row],[Symbol]], SnapshotTable[[#This Row],[SC Strike Price]],SnapshotTable[[#This Row],[SC Exp Date]],0), "")</f>
        <v/>
      </c>
      <c r="GS106" s="30" t="str">
        <f>IF(LEN(SnapshotTable[[#This Row],[SC Symbol]])&gt;0, 1, "")</f>
        <v/>
      </c>
      <c r="GT106" s="29" t="str">
        <f>IF(COUNT(SnapshotTable[[#This Row],[LP Symbol Count]],SnapshotTable[[#This Row],[SP Symbol Count]],SnapshotTable[[#This Row],[LC Symbol Count]],SnapshotTable[[#This Row],[SC Symbol Count]])&gt;0, "Y", "")</f>
        <v/>
      </c>
      <c r="GU1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6" s="216">
        <f>MAX(SnapshotTable[[#This Row],[Equity Basis Total]],SnapshotTable[[#This Row],[Equity Value]]) + (SnapshotTable[[#This Row],[SP Potential Spend]]- SnapshotTable[[#This Row],[SP Premium]] + SnapshotTable[[#This Row],[LP Premium]])+ (SnapshotTable[[#This Row],[LC Premium]] - SnapshotTable[[#This Row],[SC Premium]])</f>
        <v>0</v>
      </c>
      <c r="GW106" s="137" t="str">
        <f>IF(AND(SnapshotTable[[#This Row],[Exposure]] &lt;&gt; 0),SnapshotTable[[#This Row],[Exposure]] / SnapshotTable[[#Totals],[Exposure]], "")</f>
        <v/>
      </c>
      <c r="HE106" s="253"/>
      <c r="HF106" s="253"/>
      <c r="HK106" s="1"/>
      <c r="HL106" s="1"/>
      <c r="HM106" s="1"/>
      <c r="HN106" s="1"/>
      <c r="HO106" s="1"/>
      <c r="HP106" s="1"/>
    </row>
    <row r="107" spans="2:224" ht="12.75" hidden="1" customHeight="1" x14ac:dyDescent="0.25">
      <c r="B107" s="12" t="s">
        <v>106</v>
      </c>
      <c r="C107" s="385">
        <v>11.58</v>
      </c>
      <c r="D107" s="200"/>
      <c r="E107" s="39">
        <f>SnapshotTable[[#This Row],[Last Price]]*(1 -CrashDiscount)</f>
        <v>9.843</v>
      </c>
      <c r="F107" s="26" t="s">
        <v>105</v>
      </c>
      <c r="G107" s="26" t="s">
        <v>4</v>
      </c>
      <c r="H107" s="147"/>
      <c r="I107" s="186">
        <v>44769</v>
      </c>
      <c r="J107" s="187">
        <v>44769</v>
      </c>
      <c r="K107" s="188"/>
      <c r="L107" s="297"/>
      <c r="M107" s="138"/>
      <c r="N107" s="138"/>
      <c r="O107" s="138"/>
      <c r="P107" s="22"/>
      <c r="Q107" s="25"/>
      <c r="R107" s="4" t="str">
        <f>IF(SnapshotTable[[#This Row],[Equity Basis Total]] &gt; 0, SnapshotTable[[#This Row],[Equity Basis Total]] / SnapshotTable[[#This Row],[Equity Shares]], "")</f>
        <v/>
      </c>
      <c r="S107" s="254">
        <f>SnapshotTable[[#This Row],[Last Price]] * SnapshotTable[[#This Row],[Equity Shares]]</f>
        <v>0</v>
      </c>
      <c r="T107" s="254">
        <f>SnapshotTable[[#This Row],[Equity Value]] - SnapshotTable[[#This Row],[Equity Basis Total]]</f>
        <v>0</v>
      </c>
      <c r="U107" s="255" t="str">
        <f>IF(SnapshotTable[[#This Row],[Equity Basis Total]] &gt; 0, SnapshotTable[[#This Row],[Equity G/L]] / SnapshotTable[[#This Row],[Equity Basis Total]], "")</f>
        <v/>
      </c>
      <c r="V107" s="253"/>
      <c r="W107" s="253"/>
      <c r="X107" s="4" t="str">
        <f>IF(AND(ISNUMBER(SnapshotTable[[#This Row],[Equity Basis Per Share]]),ISNUMBER(SnapshotTable[[#This Row],[Equity Target]])),SnapshotTable[[#This Row],[Equity Target]]-SnapshotTable[[#This Row],[Equity Basis Per Share]],"")</f>
        <v/>
      </c>
      <c r="Y107" s="4" t="str">
        <f>IF(AND(ISNUMBER(SnapshotTable[[#This Row],[Equity Basis Per Share]]),ISNUMBER(SnapshotTable[[#This Row],[Equity Stop Loss]])),SnapshotTable[[#This Row],[Equity Stop Loss]]-SnapshotTable[[#This Row],[Equity Basis Per Share]],"")</f>
        <v/>
      </c>
      <c r="Z107" s="260" t="str">
        <f>IFERROR( TEXT(SnapshotTable[[#This Row],[Equity Max Gain Per Share]] /ABS( SnapshotTable[[#This Row],[Equity Max Loss Per Share]]),"0.0 " ) &amp; " : 1", "")</f>
        <v/>
      </c>
      <c r="AA107" s="31" t="str">
        <f>IF(ISNUMBER(SnapshotTable[[#This Row],[Equity Max Gain Per Share]]),SnapshotTable[[#This Row],[Equity Max Gain Per Share]] * SnapshotTable[[#This Row],[Equity Shares]],"")</f>
        <v/>
      </c>
      <c r="AB107" s="31" t="str">
        <f>IF(ISNUMBER(SnapshotTable[[#This Row],[Equity Max Loss Per Share]]),SnapshotTable[[#This Row],[Equity Max Loss Per Share]] * SnapshotTable[[#This Row],[Equity Shares]],"")</f>
        <v/>
      </c>
      <c r="AC107" s="148">
        <v>0.72</v>
      </c>
      <c r="AD107" s="149">
        <v>42899</v>
      </c>
      <c r="AE107" s="31">
        <f>(SnapshotTable[[#This Row],[Annual Dividend Per Share]] / 4) * SnapshotTable[[#This Row],[Equity Shares]]</f>
        <v>0</v>
      </c>
      <c r="AF107" s="31">
        <f>SnapshotTable[[#This Row],[Quarterly Div $]] * 4</f>
        <v>0</v>
      </c>
      <c r="AG107" s="7">
        <f>IF(SnapshotTable[[#This Row],[Annual Dividend Per Share]]&gt;0, SnapshotTable[[#This Row],[Annual Dividend Per Share]]  / SnapshotTable[[#This Row],[Last Price]], 0)</f>
        <v>6.2176165803108807E-2</v>
      </c>
      <c r="AH107" s="149">
        <v>42863</v>
      </c>
      <c r="AI107" s="5"/>
      <c r="AJ107" s="136">
        <v>11.2</v>
      </c>
      <c r="AK107" s="150" t="str">
        <f>IF(ISNUMBER( SnapshotTable[[#This Row],[EBF Target]]),(SnapshotTable[[#This Row],[EBF Target]] - SnapshotTable[[#This Row],[Last Price]]) / SnapshotTable[[#This Row],[Last Price]], "")</f>
        <v/>
      </c>
      <c r="AL107" s="150" t="str">
        <f>IF(AND(SnapshotTable[[#This Row],[Equity Basis Total]] &gt; 0,ISNUMBER( SnapshotTable[[#This Row],[Long Term Target]])), SnapshotTable[[#This Row],[From Basis $]] / SnapshotTable[[#This Row],[Equity Basis Total]], "")</f>
        <v/>
      </c>
      <c r="AM107" s="9">
        <f>IF( AND(SnapshotTable[[#This Row],[Equity Shares]] &gt;0,ISNUMBER( SnapshotTable[[#This Row],[Long Term Target]])),(SnapshotTable[[#This Row],[Equity Shares]] * SnapshotTable[[#This Row],[Long Term Target]]) - SnapshotTable[[#This Row],[Equity Basis Total]],0)</f>
        <v>0</v>
      </c>
      <c r="AN107" s="9">
        <f>IF( AND(SnapshotTable[[#This Row],[Equity Shares]] &gt;0,ISNUMBER( SnapshotTable[[#This Row],[Long Term Target]])),(SnapshotTable[[#This Row],[Equity Shares]]*SnapshotTable[[#This Row],[Long Term Target]]) - SnapshotTable[[#This Row],[Equity Value]],0)</f>
        <v>0</v>
      </c>
      <c r="AO107" s="150">
        <f>IF(AND(ISNUMBER( SnapshotTable[[#This Row],[Long Term Target]]), ISNUMBER(SnapshotTable[[#This Row],[Last Price]])),(SnapshotTable[[#This Row],[Long Term Target]] - SnapshotTable[[#This Row],[Last Price]]) / SnapshotTable[[#This Row],[Last Price]], "")</f>
        <v>-3.2815198618307492E-2</v>
      </c>
      <c r="AP107" s="5"/>
      <c r="AQ107" s="38"/>
      <c r="AR107" s="5"/>
      <c r="AS107" s="38"/>
      <c r="AT107" s="144"/>
      <c r="AU107" s="185" t="str">
        <f>IF(OR(SnapshotTable[[#This Row],[LP No Fill]]="Y",SnapshotTable[[#This Row],[SP Is Filled]],SnapshotTable[[#This Row],[LC Not Filled]]="Y",SnapshotTable[[#This Row],[SC Is Filled]]),"Y","")</f>
        <v/>
      </c>
      <c r="AV107" s="205"/>
      <c r="AW107" s="211"/>
      <c r="AX107" s="206"/>
      <c r="AY107" s="205" t="str">
        <f>IF(SnapshotTable[[#This Row],[Implied Move]]&gt;0, SnapshotTable[[#This Row],[Last Price]]-SnapshotTable[[#This Row],[Implied Move]],"")</f>
        <v/>
      </c>
      <c r="AZ107" s="205" t="str">
        <f>IF(SnapshotTable[[#This Row],[Implied Move]]&gt;0, SnapshotTable[[#This Row],[Last Price]] + SnapshotTable[[#This Row],[Implied Move]],"")</f>
        <v/>
      </c>
      <c r="BA107" s="302"/>
      <c r="BB107" s="318"/>
      <c r="BC1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7" s="321"/>
      <c r="BE107" s="5"/>
      <c r="BF107" s="14"/>
      <c r="BG107" s="13"/>
      <c r="BH107" s="13"/>
      <c r="BI107" s="5"/>
      <c r="BJ107" s="134">
        <f>IF(SnapshotTable[[#This Row],[LP Qty]] &gt; 0, SnapshotTable[[#This Row],[LP Qty]] * SnapshotTable[[#This Row],[LP Book Price]] * 100,0)</f>
        <v>0</v>
      </c>
      <c r="BK107" s="134">
        <f>IF(SnapshotTable[[#This Row],[LP Premium]] &gt; 0, SnapshotTable[[#This Row],[LP Qty]] * SnapshotTable[[#This Row],[LP Strike Price]] * 100,0)</f>
        <v>0</v>
      </c>
      <c r="BL107" s="152"/>
      <c r="BM107" s="355" t="str">
        <f>IF(SnapshotTable[[#This Row],[LP Premium]] &gt; 0,SnapshotTable[[#This Row],[LP Exp Date]]-MAX(SnapshotTable[[#This Row],[LP Book Date]], SnapshotTable[[#This Row],[LP Fill Date]]),"")</f>
        <v/>
      </c>
      <c r="BN107" s="355" t="str">
        <f>IF(ISNUMBER( SnapshotTable[[#This Row],[LP Term]]), SnapshotTable[[#This Row],[LP Exp Date]] - MockToday,"")</f>
        <v/>
      </c>
      <c r="BO107" s="161" t="str">
        <f>IF(AND(SnapshotTable[[#This Row],[LP Exp Date]]&gt;0, SnapshotTable[[#This Row],[LP Strike Price]]&gt;0,SnapshotTable[[#This Row],[LP Qty]]&gt;0,SnapshotTable[[#This Row],[LP Book Date]]&gt;0,SnapshotTable[[#This Row],[LP Book Price]]&gt;0,SnapshotTable[[#This Row],[LP Fill Date]]=0),"Y","")</f>
        <v/>
      </c>
      <c r="BP107" s="31" t="str">
        <f>IF(AND(SnapshotTable[[#This Row],[LP No Fill]]&lt;&gt;"Y",SnapshotTable[[#This Row],[LP Contract Value]]&gt;0, SnapshotTable[[#This Row],[LP Qty]]&gt;0), SnapshotTable[[#This Row],[LP Contract Value]]*SnapshotTable[[#This Row],[LP Qty]]*100,"")</f>
        <v/>
      </c>
      <c r="BQ107" s="13"/>
      <c r="BR107" s="5"/>
      <c r="BS107" s="36"/>
      <c r="BT107" s="145"/>
      <c r="BU107" s="13"/>
      <c r="BV107" s="5"/>
      <c r="BW107" s="382" t="b">
        <f>AND(ISNUMBER(SnapshotTable[[#This Row],[SP Exp Date]]), ISNUMBER(SnapshotTable[[#This Row],[SP Strike Price]]), ISNUMBER(SnapshotTable[[#This Row],[SP Qty]]), ISNUMBER(SnapshotTable[[#This Row],[SP Book Date]]), ISNUMBER(SnapshotTable[[#This Row],[SP Book Price]]))</f>
        <v>0</v>
      </c>
      <c r="BX107" s="382" t="b">
        <f>AND(SnapshotTable[[#This Row],[SP Is Booked]], NOT(ISBLANK(SnapshotTable[[#This Row],[SP Fill Date]])))</f>
        <v>0</v>
      </c>
      <c r="BY107" s="33">
        <f>IF(SnapshotTable[[#This Row],[SP Is Booked]], SnapshotTable[[#This Row],[SP Qty]] * SnapshotTable[[#This Row],[SP Book Price]] * 100, 0)</f>
        <v>0</v>
      </c>
      <c r="BZ107" s="339"/>
      <c r="CA107" s="338">
        <f>SnapshotTable[[#This Row],[LP Qty]]</f>
        <v>0</v>
      </c>
      <c r="CB107" s="4" t="str">
        <f>IF(SnapshotTable[[#This Row],[SP Is Booked]], SnapshotTable[[#This Row],[SP Strike Price]] - SnapshotTable[[#This Row],[SP Book Price]], "")</f>
        <v/>
      </c>
      <c r="CC107" s="19" t="str">
        <f>IF(SnapshotTable[[#This Row],[SP Is Booked]],SnapshotTable[[#This Row],[SP Exp Date]]-MAX(SnapshotTable[[#This Row],[SP Book Date]], SnapshotTable[[#This Row],[SP Fill Date]]),"")</f>
        <v/>
      </c>
      <c r="CD107" s="7" t="str">
        <f>IF(SnapshotTable[[#This Row],[SP Is Booked]], SnapshotTable[[#This Row],[SP Book Price]]/SnapshotTable[[#This Row],[SP Strike Price]], "")</f>
        <v/>
      </c>
      <c r="CE107" s="7" t="str">
        <f>IF(ISNUMBER(SnapshotTable[[#This Row],[SP ROO Term]]),SnapshotTable[[#This Row],[SP ROO Term]]*(365/SnapshotTable[[#This Row],[SP Term]]),"")</f>
        <v/>
      </c>
      <c r="CF107" s="221">
        <f>SnapshotTable[[#This Row],[LP Strike Price]] * SnapshotTable[[#This Row],[LP Qty]] * 100</f>
        <v>0</v>
      </c>
      <c r="CG107" s="31">
        <f>IF(ISNUMBER(SnapshotTable[[#This Row],[SP Premium]]), (SnapshotTable[[#This Row],[SP Qty]] * SnapshotTable[[#This Row],[SP Strike Price]]* 100) - SnapshotTable[[#This Row],[LP Protection]], 0)</f>
        <v>0</v>
      </c>
      <c r="CH107" s="7" t="str">
        <f>IF(ISNUMBER(SnapshotTable[[#This Row],[SP Break Even]]),-1 * (SnapshotTable[[#This Row],[SP Break Even]] - SnapshotTable[[#This Row],[Last Price]]) / SnapshotTable[[#This Row],[Last Price]], "")</f>
        <v/>
      </c>
      <c r="CI107" s="31">
        <f>IF(AND(ISNUMBER((SnapshotTable[[#This Row],[SP Potential Spend]])), SnapshotTable[[#This Row],[SP Strike Price]] &gt; SnapshotTable[[#This Row],[Last Price]], SnapshotTable[[#This Row],[SP Is Filled]]), SnapshotTable[[#This Row],[SP Potential Spend]] -  SnapshotTable[[#This Row],[LP Max Value]], 0)</f>
        <v>0</v>
      </c>
      <c r="CJ107" s="229"/>
      <c r="CK107" s="31">
        <f>IF(ISNUMBER(SnapshotTable[[#This Row],[SP Potential Spend]]),IF(ISNUMBER(SnapshotTable[[#This Row],[SP POW]]), SnapshotTable[[#This Row],[SP POW]] * SnapshotTable[[#This Row],[SP Potential Spend]], SnapshotTable[[#This Row],[SP Potential Spend]]), "")</f>
        <v>0</v>
      </c>
      <c r="CL107" s="162">
        <f>IF(NOT(SnapshotTable[[#This Row],[SP Is Filled]]),(SnapshotTable[[#This Row],[SP Qty]] * SnapshotTable[[#This Row],[SP Strike Price]] * 100) - SnapshotTable[[#This Row],[LP Max Value]],"")</f>
        <v>0</v>
      </c>
      <c r="CM107" s="31" t="str">
        <f>IF(SnapshotTable[[#This Row],[SP Actual Spend]]&lt;&gt;0, ((SnapshotTable[[#This Row],[SP Strike Price]]-SnapshotTable[[#This Row],[Last Price]]) *(SnapshotTable[[#This Row],[SP Qty]]*100) - SnapshotTable[[#This Row],[SP Premium]]) * - 1, "")</f>
        <v/>
      </c>
      <c r="CN107" s="76"/>
      <c r="CO107" s="339"/>
      <c r="CP107" s="4" t="str">
        <f>IF(SnapshotTable[[#This Row],[SP Is Filled]], btc_max_buyback_amount(SnapshotTable[[#This Row],[SP Fill Date]],SnapshotTable[[#This Row],[SP Exp Date]], SnapshotTable[[#This Row],[SP Book Price]]),"")</f>
        <v/>
      </c>
      <c r="CQ107" s="76"/>
      <c r="CR1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7" s="153" t="str">
        <f>IF(SnapshotTable[[#This Row],[SP Is Filled]], btc_next_cutoff_date(SnapshotTable[[#This Row],[SP Fill Date]],SnapshotTable[[#This Row],[SP Exp Date]]),"")</f>
        <v/>
      </c>
      <c r="CT107" s="220" t="str" cm="1">
        <f t="array" ref="CT107">IF(SnapshotTable[[#This Row],[SP Is Filled]], btc_should_buy_back(SnapshotTable[[#This Row],[SP Fill Date]], SnapshotTable[[#This Row],[SP Exp Date]], SnapshotTable[[#This Row],[SP Book Price]], SnapshotTable[[#This Row],[SP Current Ask]], MockToday, SnapshotTable[[#This Row],[SP Buyback Override]]),"")</f>
        <v/>
      </c>
      <c r="CU107" s="141"/>
      <c r="CV107" s="220"/>
      <c r="CW107" s="348" t="str">
        <f>IF(ISNUMBER( SnapshotTable[[#This Row],[SP Term]]), SnapshotTable[[#This Row],[SP Exp Date]] - MockToday,"")</f>
        <v/>
      </c>
      <c r="CX107" s="31" t="str">
        <f>IF(SnapshotTable[[#This Row],[SP Is Filled]],SnapshotTable[[#This Row],[SP Buyback Price to Use]] * 100 * SnapshotTable[[#This Row],[SP Qty]], "")</f>
        <v/>
      </c>
      <c r="CY107" s="4" t="str">
        <f>IF(ISNUMBER(SnapshotTable[[#This Row],[SP Strike Price]]), SnapshotTable[[#This Row],[SP Strike Price]] * (1 - SP_MaxLoss_StrikePct), "")</f>
        <v/>
      </c>
      <c r="CZ107" s="31" t="str">
        <f>IF(ISNUMBER(SnapshotTable[[#This Row],[SP Strike  Stop Per Share]]),SnapshotTable[[#This Row],[SP Premium]] - ((SnapshotTable[[#This Row],[SP Strike Price]]-SnapshotTable[[#This Row],[SP Strike  Stop Per Share]]) *(SnapshotTable[[#This Row],[SP Qty]] * 100)),"")</f>
        <v/>
      </c>
      <c r="DA107" s="4" t="str">
        <f>IF(AND(ISNUMBER(SnapshotTable[[#This Row],[SP Premium]]),SnapshotTable[[#This Row],[SP Premium]]&gt;0), SnapshotTable[[#This Row],[SP Book Price]] * (1 + SP_MaxLoss_OptionPct), "")</f>
        <v/>
      </c>
      <c r="DB107" s="31" t="str">
        <f>IF(ISNUMBER(SnapshotTable[[#This Row],[SP Option  Stop Contract]]),(SnapshotTable[[#This Row],[SP Option  Stop Contract]] *(SnapshotTable[[#This Row],[SP Qty]] * 100) - SnapshotTable[[#This Row],[SP Premium]]),"")</f>
        <v/>
      </c>
      <c r="DC107" s="4"/>
      <c r="DD107" s="4"/>
      <c r="DE107" s="4" t="str">
        <f>IF(AND(SnapshotTable[[#This Row],[SP Qty]]&gt;0, SnapshotTable[[#This Row],[SP Stop To Use]]&gt;0),SnapshotTable[[#This Row],[SP Premium]] - ( SnapshotTable[[#This Row],[SP Qty]] * SnapshotTable[[#This Row],[SP Stop To Use]] * 100), "")</f>
        <v/>
      </c>
      <c r="DF107" s="31" t="str">
        <f>IF(AND(SnapshotTable[[#This Row],[SP Qty]]&gt;0,SnapshotTable[[#This Row],[SP Current Ask]]&gt;0), SnapshotTable[[#This Row],[SP Qty]] * SnapshotTable[[#This Row],[SP Current Ask]] * -100, "")</f>
        <v/>
      </c>
      <c r="DG107" s="31" t="str">
        <f>IF(ISNUMBER((SnapshotTable[[#This Row],[SP Total Value]])), SnapshotTable[[#This Row],[SP Premium]] + SnapshotTable[[#This Row],[SP Total Value]], "")</f>
        <v/>
      </c>
      <c r="DH107" s="272" t="str">
        <f>IF(ISNUMBER((SnapshotTable[[#This Row],[SP Total Value]])), SnapshotTable[[#This Row],[SP Gain Loss]] / SnapshotTable[[#This Row],[SP Premium]], "")</f>
        <v/>
      </c>
      <c r="DI107" s="369"/>
      <c r="DJ107" s="136"/>
      <c r="DK107" s="146"/>
      <c r="DL107" s="13"/>
      <c r="DM107" s="13"/>
      <c r="DO107" s="31">
        <f>IF(SnapshotTable[[#This Row],[LC Symbol Count]]=1, SnapshotTable[[#This Row],[LC Qty]] * SnapshotTable[[#This Row],[LC Book Price]] * 100, 0)</f>
        <v>0</v>
      </c>
      <c r="DP107" s="161" t="str">
        <f>IF(AND(SnapshotTable[[#This Row],[LC Exp Date]]&gt;0, SnapshotTable[[#This Row],[LC Strike Price]]&gt;0,SnapshotTable[[#This Row],[LC Qty]]&gt;0,SnapshotTable[[#This Row],[LC Book Date]]&gt;0,SnapshotTable[[#This Row],[LC Book Price]]&gt;0,SnapshotTable[[#This Row],[LC Fill Date]]=0),"Y","")</f>
        <v/>
      </c>
      <c r="DQ107" s="356" t="str">
        <f>IF(SnapshotTable[[#This Row],[LC Premium]] &gt; 0,SnapshotTable[[#This Row],[LC Exp Date]]-MAX(SnapshotTable[[#This Row],[LC Book Date]], SnapshotTable[[#This Row],[LC Fill Date]]),"")</f>
        <v/>
      </c>
      <c r="DR107" s="356" t="str">
        <f>IF(ISNUMBER(SnapshotTable[[#This Row],[LC Term]]), SnapshotTable[[#This Row],[LC Exp Date]] - MockToday, "")</f>
        <v/>
      </c>
      <c r="DS107" s="219" t="str">
        <f>IF(SnapshotTable[[#This Row],[LC Premium]]&gt;0,SnapshotTable[[#This Row],[LC Strike Price]] + SnapshotTable[[#This Row],[LC Book Price]],"")</f>
        <v/>
      </c>
      <c r="DU107" s="9" t="str">
        <f>IF(AND(SnapshotTable[[#This Row],[LC Symbol Count]]&gt;0, SnapshotTable[[#This Row],[LC Contract Value]]&gt;0), SnapshotTable[[#This Row],[LC Contract Value]] * SnapshotTable[[#This Row],[LC Qty]] * 100, "")</f>
        <v/>
      </c>
      <c r="DV107" s="9" t="str">
        <f>IF(AND(ISNUMBER(SnapshotTable[[#This Row],[LC Total Value]]), SnapshotTable[[#This Row],[LC Not Filled]]&lt;&gt;"Y"), SnapshotTable[[#This Row],[LC Total Value]]-SnapshotTable[[#This Row],[LC Premium]],"")</f>
        <v/>
      </c>
      <c r="DW107" s="225" t="str">
        <f>IF(ISNUMBER(SnapshotTable[[#This Row],[LC Actual Gain Loss]]), SnapshotTable[[#This Row],[LC Actual Gain Loss]] / SnapshotTable[[#This Row],[LC Premium]],"")</f>
        <v/>
      </c>
      <c r="DX107" s="269" t="str">
        <f>IF(ISNUMBER(SnapshotTable[[#This Row],[LC Book Price]]),SnapshotTable[[#This Row],[LC Book Price]] * 1.5,"")</f>
        <v/>
      </c>
      <c r="DY107" s="250" t="str">
        <f>IF(SnapshotTable[[#This Row],[LC Premium]]&gt;0, SnapshotTable[[#This Row],[LC Next Target]] * SnapshotTable[[#This Row],[LC Qty]] * 100,"")</f>
        <v/>
      </c>
      <c r="DZ107" s="250" t="str">
        <f>IF(ISNUMBER(SnapshotTable[[#This Row],[LC Target Gross]]), SnapshotTable[[#This Row],[LC Target Gross]] - SnapshotTable[[#This Row],[LC Premium]], "")</f>
        <v/>
      </c>
      <c r="EA107" s="283" t="str">
        <f>IF(ISNUMBER(SnapshotTable[[#This Row],[LC Target Gain Loss]]), SnapshotTable[[#This Row],[LC Target Gain Loss]]/SnapshotTable[[#This Row],[LC Premium]], "")</f>
        <v/>
      </c>
      <c r="EB107" s="247"/>
      <c r="EC107" s="268" t="str">
        <f>IF(SnapshotTable[[#This Row],[LC Premium]]&gt;0, SnapshotTable[[#This Row],[LC Book Price]] * (1 - LC_StopLoss_Pct),"")</f>
        <v/>
      </c>
      <c r="ED107" s="269"/>
      <c r="EE107" s="268" t="str">
        <f>IF(ISNUMBER(SnapshotTable[[#This Row],[LC Contract Value]]),IF(ISNUMBER(SnapshotTable[[#This Row],[LC Stop Loss Override]]), SnapshotTable[[#This Row],[LC Stop Loss Override]],SnapshotTable[[#This Row],[LC Stop Loss Calc Target]]),"")</f>
        <v/>
      </c>
      <c r="EF107" s="31" t="str">
        <f>IF(ISNUMBER(SnapshotTable[[#This Row],[LC Stop  To Use]]), (SnapshotTable[[#This Row],[LC Stop  To Use]] * SnapshotTable[[#This Row],[LC Qty]] * 100),"")</f>
        <v/>
      </c>
      <c r="EG107" s="9" t="str">
        <f>IF(ISNUMBER(SnapshotTable[[#This Row],[LC Total Value]]),SnapshotTable[[#This Row],[LC Stop Loss Amount]] - SnapshotTable[[#This Row],[LC Premium]],"")</f>
        <v/>
      </c>
      <c r="EH107" s="9">
        <f>IF(ISNUMBER(SnapshotTable[[#This Row],[LC Premium]]), SnapshotTable[[#This Row],[LC Qty]] * 100 * SnapshotTable[[#This Row],[LC Strike Price]], "")</f>
        <v>0</v>
      </c>
      <c r="EI107" s="225" t="str">
        <f>IF(AND(ISNUMBER(SnapshotTable[[#This Row],[LC Total Value]]),SnapshotTable[[#This Row],[LC Total Value]]&gt;0),SnapshotTable[[#This Row],[LC Stop Gain Loss]]  / SnapshotTable[[#This Row],[LC Premium]],"")</f>
        <v/>
      </c>
      <c r="EJ107" s="35">
        <f>IF(ISNUMBER(SnapshotTable[[#This Row],[Equity Shares]]),TRUNC(SnapshotTable[[#This Row],[Equity Shares]] / 100),0) + SnapshotTable[[#This Row],[LC Qty]]</f>
        <v>0</v>
      </c>
      <c r="EK107" s="145"/>
      <c r="EL107" s="136"/>
      <c r="EM107" s="146"/>
      <c r="EN107" s="145"/>
      <c r="EO107" s="145"/>
      <c r="EP107" s="136"/>
      <c r="EQ107" s="382" t="b">
        <f>AND(ISNUMBER(SnapshotTable[[#This Row],[SC Exp Date]]), ISNUMBER(SnapshotTable[[#This Row],[SC Strike Price]]), ISNUMBER(SnapshotTable[[#This Row],[SC Qty]]), ISNUMBER(SnapshotTable[[#This Row],[SC Book Date]]), ISNUMBER(SnapshotTable[[#This Row],[SC Book Price]]))</f>
        <v>0</v>
      </c>
      <c r="ER107" s="382" t="b">
        <f>AND(SnapshotTable[[#This Row],[SC Is Booked]], NOT(ISBLANK(SnapshotTable[[#This Row],[SC Fill Date]])))</f>
        <v>0</v>
      </c>
      <c r="ES107" s="340"/>
      <c r="ET107" s="34" t="str">
        <f>IF(AND(ISNUMBER(SnapshotTable[[#This Row],[SC Exp Date]]), ISNUMBER(SnapshotTable[[#This Row],[SC Book Date]])), SnapshotTable[[#This Row],[SC Exp Date]] - MAX(SnapshotTable[[#This Row],[SC Book Date]], SnapshotTable[[#This Row],[SC Fill Date]]) + 1, "")</f>
        <v/>
      </c>
      <c r="EU107" s="34" t="str">
        <f>IF(ISNUMBER(SnapshotTable[[#This Row],[SC Term]]), SnapshotTable[[#This Row],[SC Exp Date]]- MockToday, "")</f>
        <v/>
      </c>
      <c r="EV107" s="31">
        <f>IF(SnapshotTable[[#This Row],[SC Is Booked]], SnapshotTable[[#This Row],[SC Qty]] * SnapshotTable[[#This Row],[SC Book Price]] * 100, 0)</f>
        <v>0</v>
      </c>
      <c r="EW107" s="4" t="str">
        <f>IF(AND(ISNUMBER(SnapshotTable[[#This Row],[Last Price]]), ISNUMBER( SnapshotTable[[#This Row],[SC Book Price]])), SnapshotTable[[#This Row],[Last Price]] - SnapshotTable[[#This Row],[SC Book Price]],"")</f>
        <v/>
      </c>
      <c r="EX107" s="219" t="str">
        <f>IF(SnapshotTable[[#This Row],[SC Is Booked]],IF(SnapshotTable[[#This Row],[SC Intrinsic Value]] &gt; 0, SnapshotTable[[#This Row],[SC Strike Price]], SnapshotTable[[#This Row],[Last Price]]), "")</f>
        <v/>
      </c>
      <c r="EY107" s="4">
        <f>IF(SnapshotTable[[#This Row],[SC Is Booked]], (MinimumPremiumRequired * SnapshotTable[[#This Row],[SC Basis]] * SnapshotTable[[#This Row],[SC Term]]), 0)</f>
        <v>0</v>
      </c>
      <c r="EZ107" s="268"/>
      <c r="FA107" s="204"/>
      <c r="FB107" s="340"/>
      <c r="FC107" s="4">
        <f>IF(SnapshotTable[[#This Row],[SC Is Filled]], btc_max_buyback_amount(SnapshotTable[[#This Row],[SC Fill Date]],SnapshotTable[[#This Row],[SC Exp Date]], SnapshotTable[[#This Row],[SC Book Price]]),0)</f>
        <v>0</v>
      </c>
      <c r="FD107" s="5"/>
      <c r="FE107" s="142" t="str">
        <f>IF(SnapshotTable[[#This Row],[SC Is Filled]], btc_next_cutoff_date(SnapshotTable[[#This Row],[SC Fill Date]],SnapshotTable[[#This Row],[SC Exp Date]]),"")</f>
        <v/>
      </c>
      <c r="FF107" s="4" t="str" cm="1">
        <f t="array" ref="FF107">IF(SnapshotTable[[#This Row],[SC Is Filled]], btc_should_buy_back(SnapshotTable[[#This Row],[SC Fill Date]], SnapshotTable[[#This Row],[SC Exp Date]], SnapshotTable[[#This Row],[SC Book Price]], SnapshotTable[[#This Row],[SC Current Ask]], MockToday, SnapshotTable[[#This Row],[SC Buyback Override]]),"")</f>
        <v/>
      </c>
      <c r="FG107" s="4">
        <f>IF(SnapshotTable[[#This Row],[SC Is Filled]], MAX(0,SnapshotTable[[#This Row],[Last Price]]  - SnapshotTable[[#This Row],[SC Strike Price]]), 0)</f>
        <v>0</v>
      </c>
      <c r="FH107" s="352">
        <f>IF(SnapshotTable[[#This Row],[SC Is Filled]], IF(ISNUMBER(SnapshotTable[[#This Row],[SC Current Ask]]), SnapshotTable[[#This Row],[SC Current Ask]], SnapshotTable[[#This Row],[SC Book Price]]) - SnapshotTable[[#This Row],[SC Intrinsic Value]], 0)</f>
        <v>0</v>
      </c>
      <c r="FI107" s="141"/>
      <c r="FJ107" s="32" t="str">
        <f>IF(SnapshotTable[[#This Row],[SC Is Filled]],100 * SnapshotTable[[#This Row],[SC Qty]] * IF(ISNUMBER(SnapshotTable[[#This Row],[SC Buyback Override]]), SnapshotTable[[#This Row],[SC Buyback Override]], SnapshotTable[[#This Row],[SC Current Ask]]), "")</f>
        <v/>
      </c>
      <c r="FK107" s="235" t="str">
        <f>IF(SnapshotTable[[#This Row],[SC Time Val]]&gt;0, SnapshotTable[[#This Row],[SC Time Val]] / SnapshotTable[[#This Row],[Last Price]],"")</f>
        <v/>
      </c>
      <c r="FL107" s="280" t="str">
        <f>IF(SnapshotTable[[#This Row],[SC Is Booked]], ((SnapshotTable[[#This Row],[Last Price]] -SnapshotTable[[#This Row],[SC Strike Price]]) / SnapshotTable[[#This Row],[Last Price]]) * -1, "")</f>
        <v/>
      </c>
      <c r="FM107" s="155" t="str">
        <f>IF(SnapshotTable[[#This Row],[SC Is Booked]],  (SnapshotTable[[#This Row],[SC Qty]] * 100 * SnapshotTable[[#This Row],[SC Strike Price]]) - SnapshotTable[[#This Row],[SC Current Ask]], "")</f>
        <v/>
      </c>
      <c r="FN1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7" s="31" t="str">
        <f>IF(AND(ISNUMBER(SnapshotTable[[#This Row],[SC Exercise Gross]]), ISNUMBER(SnapshotTable[[#This Row],[Equity Basis Per Share]] )), SnapshotTable[[#This Row],[SC Exercise Gross]] - SnapshotTable[[#This Row],[Equity Basis Total]] +  SnapshotTable[[#This Row],[SC Premium]], "")</f>
        <v/>
      </c>
      <c r="FP107" s="5" t="str">
        <f>IF(ISNUMBER(SnapshotTable[[#This Row],[SC Exercise Gross]]), (SnapshotTable[[#This Row],[SC Exercise Gross]]) / (SnapshotTable[[#This Row],[SC Qty]] * 100), "")</f>
        <v/>
      </c>
      <c r="FQ107" s="27" t="str">
        <f>IF(SnapshotTable[[#This Row],[SC Is Booked]],SnapshotTable[[#This Row],[SC Time Val]] /SnapshotTable[[#This Row],[SC Basis]], "")</f>
        <v/>
      </c>
      <c r="FR107" s="27" t="str" cm="1">
        <f t="array" ref="FR107">IF(AND(ISNUMBER(SnapshotTable[[#This Row],[SC Term]]),ISNUMBER(SnapshotTable[[#This Row],[SC Simple ROO]])), EllmanAnnualize(SnapshotTable[[#This Row],[SC DTE]], SnapshotTable[[#This Row],[SC Simple ROO]] ),"")</f>
        <v/>
      </c>
      <c r="FS107" s="4">
        <f>IF(SnapshotTable[[#This Row],[SC Strike Price]] &gt; SnapshotTable[[#This Row],[Last Price]], SnapshotTable[[#This Row],[SC Strike Price]] - SnapshotTable[[#This Row],[Last Price]],0)</f>
        <v>0</v>
      </c>
      <c r="FT107" s="27" t="str">
        <f>IF(AND(ISNUMBER(SnapshotTable[[#This Row],[SC Upside Potential]]), SnapshotTable[[#This Row],[SC Upside Potential]] &gt; 0),(SnapshotTable[[#This Row],[SC Upside Potential]]/ SnapshotTable[[#This Row],[ACB]]),"")</f>
        <v/>
      </c>
      <c r="FU107" s="304" t="str">
        <f>IF(SnapshotTable[[#This Row],[SC Intrinsic Value]] &gt; 0,SnapshotTable[[#This Row],[SC Intrinsic Value]],"")</f>
        <v/>
      </c>
      <c r="FV107" s="27" t="str">
        <f>IF(AND( ISNUMBER( SnapshotTable[[#This Row],[ACB]]),ISNUMBER(SnapshotTable[[#This Row],[SC Downside Protect]])),SnapshotTable[[#This Row],[SC Downside Protect]] / SnapshotTable[[#This Row],[ACB]],"")</f>
        <v/>
      </c>
      <c r="FW107" s="221" t="str">
        <f>IF(AND(ISNUMBER(SnapshotTable[[#This Row],[SC Simple ROO]]),SnapshotTable[[#This Row],[SC Simple ROO]] &gt; 0), SnapshotTable[[#This Row],[SC Premium]] + (SnapshotTable[[#This Row],[SC Qty]] * SnapshotTable[[#This Row],[SC Upside Potential]]), "")</f>
        <v/>
      </c>
      <c r="FX107" s="280" t="str" cm="1">
        <f t="array" ref="FX107">IF(ISNUMBER(SnapshotTable[[#This Row],[SC Max Dollars]]), annualize(SnapshotTable[[#This Row],[SC Term]],(SnapshotTable[[#This Row],[SC Max Dollars]]/SnapshotTable[[#This Row],[SC Basis]])),"")</f>
        <v/>
      </c>
      <c r="FY107" s="221" t="str">
        <f>IF(AND(SnapshotTable[[#This Row],[SC Qty]]&gt;0,SnapshotTable[[#This Row],[SC Current Ask]]&gt;0), SnapshotTable[[#This Row],[SC Qty]] * SnapshotTable[[#This Row],[SC Current Ask]] * -100, "")</f>
        <v/>
      </c>
      <c r="FZ107" s="31" t="str">
        <f>IF(ISNUMBER((SnapshotTable[[#This Row],[SC Current Value]])), SnapshotTable[[#This Row],[SC Premium]] + SnapshotTable[[#This Row],[SC Current Value]], "")</f>
        <v/>
      </c>
      <c r="GA107" s="272" t="str">
        <f>IFERROR( IF(ISNUMBER((SnapshotTable[[#This Row],[SC Current Value]])), SnapshotTable[[#This Row],[SC Gain Loss]] / SnapshotTable[[#This Row],[SC Premium]], ""), "")</f>
        <v/>
      </c>
      <c r="GB107" s="42">
        <f>SnapshotTable[[#This Row],[Equity Shares]] * SaleSharesToConsiderPercentage</f>
        <v>0</v>
      </c>
      <c r="GC107" s="40">
        <f>SnapshotTable[[#This Row],[Long Term Target]] * SellingPriceToConsiderBasedOnTargetPercentage</f>
        <v>10.639999999999999</v>
      </c>
      <c r="GD107" s="40">
        <f>SnapshotTable[[#This Row],[Last Price]] * (1+ SellingPriceToConsiderBasedOnTargetPercentage)</f>
        <v>22.581</v>
      </c>
      <c r="GE107" s="41"/>
      <c r="GF107" s="40"/>
      <c r="GG107" s="31">
        <f>SnapshotTable[[#This Row],[Booked Sale Shares]] * SnapshotTable[[#This Row],[Booked Sale Price]]</f>
        <v>0</v>
      </c>
      <c r="GH107" s="31" t="str">
        <f>IF(SnapshotTable[[#This Row],[Equity Basis Total]] &gt; 0, SnapshotTable[[#This Row],[Equity Basis Per Share]] * SnapshotTable[[#This Row],[Booked Sale Shares]], "")</f>
        <v/>
      </c>
      <c r="GI107" s="31">
        <f>IF(SnapshotTable[[#This Row],[Sale Proceeds]]&gt;0, SnapshotTable[[#This Row],[Sale Proceeds]] - SnapshotTable[[#This Row],[Sale Basis]], 0)</f>
        <v>0</v>
      </c>
      <c r="GJ107" s="27" t="str">
        <f>IF(SnapshotTable[[#This Row],[Sale G/L]]&gt;0, SnapshotTable[[#This Row],[Sale G/L]] / SnapshotTable[[#This Row],[Sale Basis]], IF(ISNUMBER(SnapshotTable[[#This Row],[SC Exercise P&amp;L (TAX)]]), SnapshotTable[[#This Row],[SC Exercise P&amp;L (TAX)]] / SnapshotTable[[#This Row],[SC Basis]], ""))</f>
        <v/>
      </c>
      <c r="GK107" s="27" t="s">
        <v>554</v>
      </c>
      <c r="GL107" s="43" t="str">
        <f>IF(AND(SnapshotTable[[#This Row],[LP Exp Date]]&gt;0,SnapshotTable[[#This Row],[LP Strike Price]]&gt;0), [1]!ToOptionSymbol(SnapshotTable[[#This Row],[Symbol]], SnapshotTable[[#This Row],[LP Strike Price]],SnapshotTable[[#This Row],[LP Exp Date]],1), "")</f>
        <v/>
      </c>
      <c r="GM107" s="30" t="str">
        <f>IF(LEN(SnapshotTable[[#This Row],[LP Symbol]])&gt;0, 1, "")</f>
        <v/>
      </c>
      <c r="GN107" s="43" t="str">
        <f>IF(AND(SnapshotTable[[#This Row],[SP Exp Date]]&gt;0,SnapshotTable[[#This Row],[SP Strike Price]]&gt;0), [1]!ToOptionSymbol(SnapshotTable[[#This Row],[Symbol]], SnapshotTable[[#This Row],[SP Strike Price]],SnapshotTable[[#This Row],[SP Exp Date]],1), "")</f>
        <v/>
      </c>
      <c r="GO107" s="30" t="str">
        <f>IF(LEN(SnapshotTable[[#This Row],[SP Symbol]])&gt;0, 1, "")</f>
        <v/>
      </c>
      <c r="GP107" s="43" t="str">
        <f>IF(AND(SnapshotTable[[#This Row],[LC Exp Date]]&gt;0,SnapshotTable[[#This Row],[LC Strike Price]]&gt;0), [1]!ToOptionSymbol(SnapshotTable[[#This Row],[Symbol]], SnapshotTable[[#This Row],[LC Strike Price]],SnapshotTable[[#This Row],[LC Exp Date]],0), "")</f>
        <v/>
      </c>
      <c r="GQ107" s="30" t="str">
        <f>IF(LEN(SnapshotTable[[#This Row],[LC Symbol]])&gt;0, 1, "")</f>
        <v/>
      </c>
      <c r="GR107" s="43" t="str">
        <f>IF(AND(SnapshotTable[[#This Row],[SC Exp Date]]&gt;0,SnapshotTable[[#This Row],[SC Strike Price]]&gt;0), [1]!ToOptionSymbol(SnapshotTable[[#This Row],[Symbol]], SnapshotTable[[#This Row],[SC Strike Price]],SnapshotTable[[#This Row],[SC Exp Date]],0), "")</f>
        <v/>
      </c>
      <c r="GS107" s="30" t="str">
        <f>IF(LEN(SnapshotTable[[#This Row],[SC Symbol]])&gt;0, 1, "")</f>
        <v/>
      </c>
      <c r="GT107" s="29" t="str">
        <f>IF(COUNT(SnapshotTable[[#This Row],[LP Symbol Count]],SnapshotTable[[#This Row],[SP Symbol Count]],SnapshotTable[[#This Row],[LC Symbol Count]],SnapshotTable[[#This Row],[SC Symbol Count]])&gt;0, "Y", "")</f>
        <v/>
      </c>
      <c r="GU1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7" s="216">
        <f>MAX(SnapshotTable[[#This Row],[Equity Basis Total]],SnapshotTable[[#This Row],[Equity Value]]) + (SnapshotTable[[#This Row],[SP Potential Spend]]- SnapshotTable[[#This Row],[SP Premium]] + SnapshotTable[[#This Row],[LP Premium]])+ (SnapshotTable[[#This Row],[LC Premium]] - SnapshotTable[[#This Row],[SC Premium]])</f>
        <v>0</v>
      </c>
      <c r="GW107" s="137" t="str">
        <f>IF(AND(SnapshotTable[[#This Row],[Exposure]] &lt;&gt; 0),SnapshotTable[[#This Row],[Exposure]] / SnapshotTable[[#Totals],[Exposure]], "")</f>
        <v/>
      </c>
      <c r="HE107" s="253"/>
      <c r="HF107" s="253"/>
      <c r="HK107" s="1"/>
      <c r="HL107" s="1"/>
      <c r="HM107" s="1"/>
      <c r="HN107" s="1"/>
      <c r="HO107" s="1"/>
      <c r="HP107" s="1"/>
    </row>
    <row r="108" spans="2:224" ht="12.75" hidden="1" customHeight="1" x14ac:dyDescent="0.25">
      <c r="B108" s="12" t="s">
        <v>67</v>
      </c>
      <c r="C108" s="385">
        <v>112.21</v>
      </c>
      <c r="D108" s="200" t="s">
        <v>473</v>
      </c>
      <c r="E108" s="39">
        <f>SnapshotTable[[#This Row],[Last Price]]*(1 -CrashDiscount)</f>
        <v>95.378499999999988</v>
      </c>
      <c r="F108" s="26" t="s">
        <v>137</v>
      </c>
      <c r="G108" s="26" t="s">
        <v>7</v>
      </c>
      <c r="H108" s="147"/>
      <c r="I108" s="186">
        <v>44790.670138888891</v>
      </c>
      <c r="J108" s="187">
        <v>44790.670138888891</v>
      </c>
      <c r="K108" s="188"/>
      <c r="L108" s="297"/>
      <c r="M108" s="138"/>
      <c r="N108" s="138"/>
      <c r="O108" s="138">
        <v>1</v>
      </c>
      <c r="P108" s="22"/>
      <c r="Q108" s="25"/>
      <c r="R108" s="4" t="str">
        <f>IF(SnapshotTable[[#This Row],[Equity Basis Total]] &gt; 0, SnapshotTable[[#This Row],[Equity Basis Total]] / SnapshotTable[[#This Row],[Equity Shares]], "")</f>
        <v/>
      </c>
      <c r="S108" s="254">
        <f>SnapshotTable[[#This Row],[Last Price]] * SnapshotTable[[#This Row],[Equity Shares]]</f>
        <v>0</v>
      </c>
      <c r="T108" s="254">
        <f>SnapshotTable[[#This Row],[Equity Value]] - SnapshotTable[[#This Row],[Equity Basis Total]]</f>
        <v>0</v>
      </c>
      <c r="U108" s="255" t="str">
        <f>IF(SnapshotTable[[#This Row],[Equity Basis Total]] &gt; 0, SnapshotTable[[#This Row],[Equity G/L]] / SnapshotTable[[#This Row],[Equity Basis Total]], "")</f>
        <v/>
      </c>
      <c r="V108" s="253"/>
      <c r="W108" s="253"/>
      <c r="X108" s="4" t="str">
        <f>IF(AND(ISNUMBER(SnapshotTable[[#This Row],[Equity Basis Per Share]]),ISNUMBER(SnapshotTable[[#This Row],[Equity Target]])),SnapshotTable[[#This Row],[Equity Target]]-SnapshotTable[[#This Row],[Equity Basis Per Share]],"")</f>
        <v/>
      </c>
      <c r="Y108" s="4" t="str">
        <f>IF(AND(ISNUMBER(SnapshotTable[[#This Row],[Equity Basis Per Share]]),ISNUMBER(SnapshotTable[[#This Row],[Equity Stop Loss]])),SnapshotTable[[#This Row],[Equity Stop Loss]]-SnapshotTable[[#This Row],[Equity Basis Per Share]],"")</f>
        <v/>
      </c>
      <c r="Z108" s="260" t="str">
        <f>IFERROR( TEXT(SnapshotTable[[#This Row],[Equity Max Gain Per Share]] /ABS( SnapshotTable[[#This Row],[Equity Max Loss Per Share]]),"0.0 " ) &amp; " : 1", "")</f>
        <v/>
      </c>
      <c r="AA108" s="31" t="str">
        <f>IF(ISNUMBER(SnapshotTable[[#This Row],[Equity Max Gain Per Share]]),SnapshotTable[[#This Row],[Equity Max Gain Per Share]] * SnapshotTable[[#This Row],[Equity Shares]],"")</f>
        <v/>
      </c>
      <c r="AB108" s="31" t="str">
        <f>IF(ISNUMBER(SnapshotTable[[#This Row],[Equity Max Loss Per Share]]),SnapshotTable[[#This Row],[Equity Max Loss Per Share]] * SnapshotTable[[#This Row],[Equity Shares]],"")</f>
        <v/>
      </c>
      <c r="AC108" s="148">
        <v>1.4</v>
      </c>
      <c r="AD108" s="149">
        <v>43488</v>
      </c>
      <c r="AE108" s="31">
        <f>(SnapshotTable[[#This Row],[Annual Dividend Per Share]] / 4) * SnapshotTable[[#This Row],[Equity Shares]]</f>
        <v>0</v>
      </c>
      <c r="AF108" s="31">
        <f>SnapshotTable[[#This Row],[Quarterly Div $]] * 4</f>
        <v>0</v>
      </c>
      <c r="AG108" s="7">
        <f>IF(SnapshotTable[[#This Row],[Annual Dividend Per Share]]&gt;0, SnapshotTable[[#This Row],[Annual Dividend Per Share]]  / SnapshotTable[[#This Row],[Last Price]], 0)</f>
        <v>1.2476606363069244E-2</v>
      </c>
      <c r="AH108" s="149">
        <v>43833</v>
      </c>
      <c r="AI108" s="5">
        <v>56</v>
      </c>
      <c r="AJ108" s="136">
        <v>49.35</v>
      </c>
      <c r="AK108" s="150">
        <f>IF(ISNUMBER( SnapshotTable[[#This Row],[EBF Target]]),(SnapshotTable[[#This Row],[EBF Target]] - SnapshotTable[[#This Row],[Last Price]]) / SnapshotTable[[#This Row],[Last Price]], "")</f>
        <v>-0.50093574547723019</v>
      </c>
      <c r="AL108" s="150" t="str">
        <f>IF(AND(SnapshotTable[[#This Row],[Equity Basis Total]] &gt; 0,ISNUMBER( SnapshotTable[[#This Row],[Long Term Target]])), SnapshotTable[[#This Row],[From Basis $]] / SnapshotTable[[#This Row],[Equity Basis Total]], "")</f>
        <v/>
      </c>
      <c r="AM108" s="9">
        <f>IF( AND(SnapshotTable[[#This Row],[Equity Shares]] &gt;0,ISNUMBER( SnapshotTable[[#This Row],[Long Term Target]])),(SnapshotTable[[#This Row],[Equity Shares]] * SnapshotTable[[#This Row],[Long Term Target]]) - SnapshotTable[[#This Row],[Equity Basis Total]],0)</f>
        <v>0</v>
      </c>
      <c r="AN108" s="9">
        <f>IF( AND(SnapshotTable[[#This Row],[Equity Shares]] &gt;0,ISNUMBER( SnapshotTable[[#This Row],[Long Term Target]])),(SnapshotTable[[#This Row],[Equity Shares]]*SnapshotTable[[#This Row],[Long Term Target]]) - SnapshotTable[[#This Row],[Equity Value]],0)</f>
        <v>0</v>
      </c>
      <c r="AO108" s="150">
        <f>IF(AND(ISNUMBER( SnapshotTable[[#This Row],[Long Term Target]]), ISNUMBER(SnapshotTable[[#This Row],[Last Price]])),(SnapshotTable[[#This Row],[Long Term Target]] - SnapshotTable[[#This Row],[Last Price]]) / SnapshotTable[[#This Row],[Last Price]], "")</f>
        <v>-0.56019962570180903</v>
      </c>
      <c r="AP108" s="5">
        <v>47.5</v>
      </c>
      <c r="AQ108" s="38" t="s">
        <v>22</v>
      </c>
      <c r="AR108" s="5">
        <v>47.5</v>
      </c>
      <c r="AS108" s="38" t="s">
        <v>15</v>
      </c>
      <c r="AT108" s="144" t="s">
        <v>438</v>
      </c>
      <c r="AU108" s="185" t="str">
        <f>IF(OR(SnapshotTable[[#This Row],[LP No Fill]]="Y",SnapshotTable[[#This Row],[SP Is Filled]],SnapshotTable[[#This Row],[LC Not Filled]]="Y",SnapshotTable[[#This Row],[SC Is Filled]]),"Y","")</f>
        <v/>
      </c>
      <c r="AV108" s="205"/>
      <c r="AW108" s="211"/>
      <c r="AX108" s="206"/>
      <c r="AY108" s="205" t="str">
        <f>IF(SnapshotTable[[#This Row],[Implied Move]]&gt;0, SnapshotTable[[#This Row],[Last Price]]-SnapshotTable[[#This Row],[Implied Move]],"")</f>
        <v/>
      </c>
      <c r="AZ108" s="205" t="str">
        <f>IF(SnapshotTable[[#This Row],[Implied Move]]&gt;0, SnapshotTable[[#This Row],[Last Price]] + SnapshotTable[[#This Row],[Implied Move]],"")</f>
        <v/>
      </c>
      <c r="BA108" s="302"/>
      <c r="BB108" s="318"/>
      <c r="BC1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8" s="321"/>
      <c r="BE108" s="5"/>
      <c r="BF108" s="14"/>
      <c r="BG108" s="13"/>
      <c r="BH108" s="13"/>
      <c r="BI108" s="5"/>
      <c r="BJ108" s="134">
        <f>IF(SnapshotTable[[#This Row],[LP Qty]] &gt; 0, SnapshotTable[[#This Row],[LP Qty]] * SnapshotTable[[#This Row],[LP Book Price]] * 100,0)</f>
        <v>0</v>
      </c>
      <c r="BK108" s="134">
        <f>IF(SnapshotTable[[#This Row],[LP Premium]] &gt; 0, SnapshotTable[[#This Row],[LP Qty]] * SnapshotTable[[#This Row],[LP Strike Price]] * 100,0)</f>
        <v>0</v>
      </c>
      <c r="BL108" s="152"/>
      <c r="BM108" s="355" t="str">
        <f>IF(SnapshotTable[[#This Row],[LP Premium]] &gt; 0,SnapshotTable[[#This Row],[LP Exp Date]]-MAX(SnapshotTable[[#This Row],[LP Book Date]], SnapshotTable[[#This Row],[LP Fill Date]]),"")</f>
        <v/>
      </c>
      <c r="BN108" s="355" t="str">
        <f>IF(ISNUMBER( SnapshotTable[[#This Row],[LP Term]]), SnapshotTable[[#This Row],[LP Exp Date]] - MockToday,"")</f>
        <v/>
      </c>
      <c r="BO108" s="161" t="str">
        <f>IF(AND(SnapshotTable[[#This Row],[LP Exp Date]]&gt;0, SnapshotTable[[#This Row],[LP Strike Price]]&gt;0,SnapshotTable[[#This Row],[LP Qty]]&gt;0,SnapshotTable[[#This Row],[LP Book Date]]&gt;0,SnapshotTable[[#This Row],[LP Book Price]]&gt;0,SnapshotTable[[#This Row],[LP Fill Date]]=0),"Y","")</f>
        <v/>
      </c>
      <c r="BP108" s="31" t="str">
        <f>IF(AND(SnapshotTable[[#This Row],[LP No Fill]]&lt;&gt;"Y",SnapshotTable[[#This Row],[LP Contract Value]]&gt;0, SnapshotTable[[#This Row],[LP Qty]]&gt;0), SnapshotTable[[#This Row],[LP Contract Value]]*SnapshotTable[[#This Row],[LP Qty]]*100,"")</f>
        <v/>
      </c>
      <c r="BQ108" s="13"/>
      <c r="BR108" s="5"/>
      <c r="BS108" s="36"/>
      <c r="BT108" s="145"/>
      <c r="BU108" s="13"/>
      <c r="BV108" s="5"/>
      <c r="BW108" s="382" t="b">
        <f>AND(ISNUMBER(SnapshotTable[[#This Row],[SP Exp Date]]), ISNUMBER(SnapshotTable[[#This Row],[SP Strike Price]]), ISNUMBER(SnapshotTable[[#This Row],[SP Qty]]), ISNUMBER(SnapshotTable[[#This Row],[SP Book Date]]), ISNUMBER(SnapshotTable[[#This Row],[SP Book Price]]))</f>
        <v>0</v>
      </c>
      <c r="BX108" s="382" t="b">
        <f>AND(SnapshotTable[[#This Row],[SP Is Booked]], NOT(ISBLANK(SnapshotTable[[#This Row],[SP Fill Date]])))</f>
        <v>0</v>
      </c>
      <c r="BY108" s="33">
        <f>IF(SnapshotTable[[#This Row],[SP Is Booked]], SnapshotTable[[#This Row],[SP Qty]] * SnapshotTable[[#This Row],[SP Book Price]] * 100, 0)</f>
        <v>0</v>
      </c>
      <c r="BZ108" s="339"/>
      <c r="CA108" s="338">
        <f>SnapshotTable[[#This Row],[LP Qty]]</f>
        <v>0</v>
      </c>
      <c r="CB108" s="4" t="str">
        <f>IF(SnapshotTable[[#This Row],[SP Is Booked]], SnapshotTable[[#This Row],[SP Strike Price]] - SnapshotTable[[#This Row],[SP Book Price]], "")</f>
        <v/>
      </c>
      <c r="CC108" s="19" t="str">
        <f>IF(SnapshotTable[[#This Row],[SP Is Booked]],SnapshotTable[[#This Row],[SP Exp Date]]-MAX(SnapshotTable[[#This Row],[SP Book Date]], SnapshotTable[[#This Row],[SP Fill Date]]),"")</f>
        <v/>
      </c>
      <c r="CD108" s="7" t="str">
        <f>IF(SnapshotTable[[#This Row],[SP Is Booked]], SnapshotTable[[#This Row],[SP Book Price]]/SnapshotTable[[#This Row],[SP Strike Price]], "")</f>
        <v/>
      </c>
      <c r="CE108" s="7" t="str">
        <f>IF(ISNUMBER(SnapshotTable[[#This Row],[SP ROO Term]]),SnapshotTable[[#This Row],[SP ROO Term]]*(365/SnapshotTable[[#This Row],[SP Term]]),"")</f>
        <v/>
      </c>
      <c r="CF108" s="221">
        <f>SnapshotTable[[#This Row],[LP Strike Price]] * SnapshotTable[[#This Row],[LP Qty]] * 100</f>
        <v>0</v>
      </c>
      <c r="CG108" s="31">
        <f>IF(ISNUMBER(SnapshotTable[[#This Row],[SP Premium]]), (SnapshotTable[[#This Row],[SP Qty]] * SnapshotTable[[#This Row],[SP Strike Price]]* 100) - SnapshotTable[[#This Row],[LP Protection]], 0)</f>
        <v>0</v>
      </c>
      <c r="CH108" s="7" t="str">
        <f>IF(ISNUMBER(SnapshotTable[[#This Row],[SP Break Even]]),-1 * (SnapshotTable[[#This Row],[SP Break Even]] - SnapshotTable[[#This Row],[Last Price]]) / SnapshotTable[[#This Row],[Last Price]], "")</f>
        <v/>
      </c>
      <c r="CI108" s="31">
        <f>IF(AND(ISNUMBER((SnapshotTable[[#This Row],[SP Potential Spend]])), SnapshotTable[[#This Row],[SP Strike Price]] &gt; SnapshotTable[[#This Row],[Last Price]], SnapshotTable[[#This Row],[SP Is Filled]]), SnapshotTable[[#This Row],[SP Potential Spend]] -  SnapshotTable[[#This Row],[LP Max Value]], 0)</f>
        <v>0</v>
      </c>
      <c r="CJ108" s="229"/>
      <c r="CK108" s="31">
        <f>IF(ISNUMBER(SnapshotTable[[#This Row],[SP Potential Spend]]),IF(ISNUMBER(SnapshotTable[[#This Row],[SP POW]]), SnapshotTable[[#This Row],[SP POW]] * SnapshotTable[[#This Row],[SP Potential Spend]], SnapshotTable[[#This Row],[SP Potential Spend]]), "")</f>
        <v>0</v>
      </c>
      <c r="CL108" s="162">
        <f>IF(NOT(SnapshotTable[[#This Row],[SP Is Filled]]),(SnapshotTable[[#This Row],[SP Qty]] * SnapshotTable[[#This Row],[SP Strike Price]] * 100) - SnapshotTable[[#This Row],[LP Max Value]],"")</f>
        <v>0</v>
      </c>
      <c r="CM108" s="31" t="str">
        <f>IF(SnapshotTable[[#This Row],[SP Actual Spend]]&lt;&gt;0, ((SnapshotTable[[#This Row],[SP Strike Price]]-SnapshotTable[[#This Row],[Last Price]]) *(SnapshotTable[[#This Row],[SP Qty]]*100) - SnapshotTable[[#This Row],[SP Premium]]) * - 1, "")</f>
        <v/>
      </c>
      <c r="CN108" s="76"/>
      <c r="CO108" s="339"/>
      <c r="CP108" s="4" t="str">
        <f>IF(SnapshotTable[[#This Row],[SP Is Filled]], btc_max_buyback_amount(SnapshotTable[[#This Row],[SP Fill Date]],SnapshotTable[[#This Row],[SP Exp Date]], SnapshotTable[[#This Row],[SP Book Price]]),"")</f>
        <v/>
      </c>
      <c r="CQ108" s="76"/>
      <c r="CR1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8" s="153" t="str">
        <f>IF(SnapshotTable[[#This Row],[SP Is Filled]], btc_next_cutoff_date(SnapshotTable[[#This Row],[SP Fill Date]],SnapshotTable[[#This Row],[SP Exp Date]]),"")</f>
        <v/>
      </c>
      <c r="CT108" s="220" t="str" cm="1">
        <f t="array" ref="CT108">IF(SnapshotTable[[#This Row],[SP Is Filled]], btc_should_buy_back(SnapshotTable[[#This Row],[SP Fill Date]], SnapshotTable[[#This Row],[SP Exp Date]], SnapshotTable[[#This Row],[SP Book Price]], SnapshotTable[[#This Row],[SP Current Ask]], MockToday, SnapshotTable[[#This Row],[SP Buyback Override]]),"")</f>
        <v/>
      </c>
      <c r="CU108" s="141"/>
      <c r="CV108" s="220"/>
      <c r="CW108" s="348" t="str">
        <f>IF(ISNUMBER( SnapshotTable[[#This Row],[SP Term]]), SnapshotTable[[#This Row],[SP Exp Date]] - MockToday,"")</f>
        <v/>
      </c>
      <c r="CX108" s="31" t="str">
        <f>IF(SnapshotTable[[#This Row],[SP Is Filled]],SnapshotTable[[#This Row],[SP Buyback Price to Use]] * 100 * SnapshotTable[[#This Row],[SP Qty]], "")</f>
        <v/>
      </c>
      <c r="CY108" s="4" t="str">
        <f>IF(ISNUMBER(SnapshotTable[[#This Row],[SP Strike Price]]), SnapshotTable[[#This Row],[SP Strike Price]] * (1 - SP_MaxLoss_StrikePct), "")</f>
        <v/>
      </c>
      <c r="CZ108" s="31" t="str">
        <f>IF(ISNUMBER(SnapshotTable[[#This Row],[SP Strike  Stop Per Share]]),SnapshotTable[[#This Row],[SP Premium]] - ((SnapshotTable[[#This Row],[SP Strike Price]]-SnapshotTable[[#This Row],[SP Strike  Stop Per Share]]) *(SnapshotTable[[#This Row],[SP Qty]] * 100)),"")</f>
        <v/>
      </c>
      <c r="DA108" s="4" t="str">
        <f>IF(AND(ISNUMBER(SnapshotTable[[#This Row],[SP Premium]]),SnapshotTable[[#This Row],[SP Premium]]&gt;0), SnapshotTable[[#This Row],[SP Book Price]] * (1 + SP_MaxLoss_OptionPct), "")</f>
        <v/>
      </c>
      <c r="DB108" s="31" t="str">
        <f>IF(ISNUMBER(SnapshotTable[[#This Row],[SP Option  Stop Contract]]),(SnapshotTable[[#This Row],[SP Option  Stop Contract]] *(SnapshotTable[[#This Row],[SP Qty]] * 100) - SnapshotTable[[#This Row],[SP Premium]]),"")</f>
        <v/>
      </c>
      <c r="DC108" s="4"/>
      <c r="DD108" s="4"/>
      <c r="DE108" s="4" t="str">
        <f>IF(AND(SnapshotTable[[#This Row],[SP Qty]]&gt;0, SnapshotTable[[#This Row],[SP Stop To Use]]&gt;0),SnapshotTable[[#This Row],[SP Premium]] - ( SnapshotTable[[#This Row],[SP Qty]] * SnapshotTable[[#This Row],[SP Stop To Use]] * 100), "")</f>
        <v/>
      </c>
      <c r="DF108" s="31" t="str">
        <f>IF(AND(SnapshotTable[[#This Row],[SP Qty]]&gt;0,SnapshotTable[[#This Row],[SP Current Ask]]&gt;0), SnapshotTable[[#This Row],[SP Qty]] * SnapshotTable[[#This Row],[SP Current Ask]] * -100, "")</f>
        <v/>
      </c>
      <c r="DG108" s="31" t="str">
        <f>IF(ISNUMBER((SnapshotTable[[#This Row],[SP Total Value]])), SnapshotTable[[#This Row],[SP Premium]] + SnapshotTable[[#This Row],[SP Total Value]], "")</f>
        <v/>
      </c>
      <c r="DH108" s="272" t="str">
        <f>IF(ISNUMBER((SnapshotTable[[#This Row],[SP Total Value]])), SnapshotTable[[#This Row],[SP Gain Loss]] / SnapshotTable[[#This Row],[SP Premium]], "")</f>
        <v/>
      </c>
      <c r="DI108" s="369"/>
      <c r="DJ108" s="136"/>
      <c r="DK108" s="146"/>
      <c r="DL108" s="13"/>
      <c r="DM108" s="13"/>
      <c r="DO108" s="31">
        <f>IF(SnapshotTable[[#This Row],[LC Symbol Count]]=1, SnapshotTable[[#This Row],[LC Qty]] * SnapshotTable[[#This Row],[LC Book Price]] * 100, 0)</f>
        <v>0</v>
      </c>
      <c r="DP108" s="161" t="str">
        <f>IF(AND(SnapshotTable[[#This Row],[LC Exp Date]]&gt;0, SnapshotTable[[#This Row],[LC Strike Price]]&gt;0,SnapshotTable[[#This Row],[LC Qty]]&gt;0,SnapshotTable[[#This Row],[LC Book Date]]&gt;0,SnapshotTable[[#This Row],[LC Book Price]]&gt;0,SnapshotTable[[#This Row],[LC Fill Date]]=0),"Y","")</f>
        <v/>
      </c>
      <c r="DQ108" s="356" t="str">
        <f>IF(SnapshotTable[[#This Row],[LC Premium]] &gt; 0,SnapshotTable[[#This Row],[LC Exp Date]]-MAX(SnapshotTable[[#This Row],[LC Book Date]], SnapshotTable[[#This Row],[LC Fill Date]]),"")</f>
        <v/>
      </c>
      <c r="DR108" s="356" t="str">
        <f>IF(ISNUMBER(SnapshotTable[[#This Row],[LC Term]]), SnapshotTable[[#This Row],[LC Exp Date]] - MockToday, "")</f>
        <v/>
      </c>
      <c r="DS108" s="219" t="str">
        <f>IF(SnapshotTable[[#This Row],[LC Premium]]&gt;0,SnapshotTable[[#This Row],[LC Strike Price]] + SnapshotTable[[#This Row],[LC Book Price]],"")</f>
        <v/>
      </c>
      <c r="DU108" s="9" t="str">
        <f>IF(AND(SnapshotTable[[#This Row],[LC Symbol Count]]&gt;0, SnapshotTable[[#This Row],[LC Contract Value]]&gt;0), SnapshotTable[[#This Row],[LC Contract Value]] * SnapshotTable[[#This Row],[LC Qty]] * 100, "")</f>
        <v/>
      </c>
      <c r="DV108" s="9" t="str">
        <f>IF(AND(ISNUMBER(SnapshotTable[[#This Row],[LC Total Value]]), SnapshotTable[[#This Row],[LC Not Filled]]&lt;&gt;"Y"), SnapshotTable[[#This Row],[LC Total Value]]-SnapshotTable[[#This Row],[LC Premium]],"")</f>
        <v/>
      </c>
      <c r="DW108" s="225" t="str">
        <f>IF(ISNUMBER(SnapshotTable[[#This Row],[LC Actual Gain Loss]]), SnapshotTable[[#This Row],[LC Actual Gain Loss]] / SnapshotTable[[#This Row],[LC Premium]],"")</f>
        <v/>
      </c>
      <c r="DX108" s="269" t="str">
        <f>IF(ISNUMBER(SnapshotTable[[#This Row],[LC Book Price]]),SnapshotTable[[#This Row],[LC Book Price]] * 1.5,"")</f>
        <v/>
      </c>
      <c r="DY108" s="250" t="str">
        <f>IF(SnapshotTable[[#This Row],[LC Premium]]&gt;0, SnapshotTable[[#This Row],[LC Next Target]] * SnapshotTable[[#This Row],[LC Qty]] * 100,"")</f>
        <v/>
      </c>
      <c r="DZ108" s="250" t="str">
        <f>IF(ISNUMBER(SnapshotTable[[#This Row],[LC Target Gross]]), SnapshotTable[[#This Row],[LC Target Gross]] - SnapshotTable[[#This Row],[LC Premium]], "")</f>
        <v/>
      </c>
      <c r="EA108" s="283" t="str">
        <f>IF(ISNUMBER(SnapshotTable[[#This Row],[LC Target Gain Loss]]), SnapshotTable[[#This Row],[LC Target Gain Loss]]/SnapshotTable[[#This Row],[LC Premium]], "")</f>
        <v/>
      </c>
      <c r="EB108" s="247"/>
      <c r="EC108" s="268" t="str">
        <f>IF(SnapshotTable[[#This Row],[LC Premium]]&gt;0, SnapshotTable[[#This Row],[LC Book Price]] * (1 - LC_StopLoss_Pct),"")</f>
        <v/>
      </c>
      <c r="ED108" s="269"/>
      <c r="EE108" s="268" t="str">
        <f>IF(ISNUMBER(SnapshotTable[[#This Row],[LC Contract Value]]),IF(ISNUMBER(SnapshotTable[[#This Row],[LC Stop Loss Override]]), SnapshotTable[[#This Row],[LC Stop Loss Override]],SnapshotTable[[#This Row],[LC Stop Loss Calc Target]]),"")</f>
        <v/>
      </c>
      <c r="EF108" s="31" t="str">
        <f>IF(ISNUMBER(SnapshotTable[[#This Row],[LC Stop  To Use]]), (SnapshotTable[[#This Row],[LC Stop  To Use]] * SnapshotTable[[#This Row],[LC Qty]] * 100),"")</f>
        <v/>
      </c>
      <c r="EG108" s="9" t="str">
        <f>IF(ISNUMBER(SnapshotTable[[#This Row],[LC Total Value]]),SnapshotTable[[#This Row],[LC Stop Loss Amount]] - SnapshotTable[[#This Row],[LC Premium]],"")</f>
        <v/>
      </c>
      <c r="EH108" s="9">
        <f>IF(ISNUMBER(SnapshotTable[[#This Row],[LC Premium]]), SnapshotTable[[#This Row],[LC Qty]] * 100 * SnapshotTable[[#This Row],[LC Strike Price]], "")</f>
        <v>0</v>
      </c>
      <c r="EI108" s="225" t="str">
        <f>IF(AND(ISNUMBER(SnapshotTable[[#This Row],[LC Total Value]]),SnapshotTable[[#This Row],[LC Total Value]]&gt;0),SnapshotTable[[#This Row],[LC Stop Gain Loss]]  / SnapshotTable[[#This Row],[LC Premium]],"")</f>
        <v/>
      </c>
      <c r="EJ108" s="35">
        <f>IF(ISNUMBER(SnapshotTable[[#This Row],[Equity Shares]]),TRUNC(SnapshotTable[[#This Row],[Equity Shares]] / 100),0) + SnapshotTable[[#This Row],[LC Qty]]</f>
        <v>0</v>
      </c>
      <c r="EK108" s="145"/>
      <c r="EL108" s="136"/>
      <c r="EM108" s="146"/>
      <c r="EN108" s="145"/>
      <c r="EO108" s="145"/>
      <c r="EP108" s="136"/>
      <c r="EQ108" s="382" t="b">
        <f>AND(ISNUMBER(SnapshotTable[[#This Row],[SC Exp Date]]), ISNUMBER(SnapshotTable[[#This Row],[SC Strike Price]]), ISNUMBER(SnapshotTable[[#This Row],[SC Qty]]), ISNUMBER(SnapshotTable[[#This Row],[SC Book Date]]), ISNUMBER(SnapshotTable[[#This Row],[SC Book Price]]))</f>
        <v>0</v>
      </c>
      <c r="ER108" s="382" t="b">
        <f>AND(SnapshotTable[[#This Row],[SC Is Booked]], NOT(ISBLANK(SnapshotTable[[#This Row],[SC Fill Date]])))</f>
        <v>0</v>
      </c>
      <c r="ES108" s="340"/>
      <c r="ET108" s="34" t="str">
        <f>IF(AND(ISNUMBER(SnapshotTable[[#This Row],[SC Exp Date]]), ISNUMBER(SnapshotTable[[#This Row],[SC Book Date]])), SnapshotTable[[#This Row],[SC Exp Date]] - MAX(SnapshotTable[[#This Row],[SC Book Date]], SnapshotTable[[#This Row],[SC Fill Date]]) + 1, "")</f>
        <v/>
      </c>
      <c r="EU108" s="34" t="str">
        <f>IF(ISNUMBER(SnapshotTable[[#This Row],[SC Term]]), SnapshotTable[[#This Row],[SC Exp Date]]- MockToday, "")</f>
        <v/>
      </c>
      <c r="EV108" s="31">
        <f>IF(SnapshotTable[[#This Row],[SC Is Booked]], SnapshotTable[[#This Row],[SC Qty]] * SnapshotTable[[#This Row],[SC Book Price]] * 100, 0)</f>
        <v>0</v>
      </c>
      <c r="EW108" s="4" t="str">
        <f>IF(AND(ISNUMBER(SnapshotTable[[#This Row],[Last Price]]), ISNUMBER( SnapshotTable[[#This Row],[SC Book Price]])), SnapshotTable[[#This Row],[Last Price]] - SnapshotTable[[#This Row],[SC Book Price]],"")</f>
        <v/>
      </c>
      <c r="EX108" s="219" t="str">
        <f>IF(SnapshotTable[[#This Row],[SC Is Booked]],IF(SnapshotTable[[#This Row],[SC Intrinsic Value]] &gt; 0, SnapshotTable[[#This Row],[SC Strike Price]], SnapshotTable[[#This Row],[Last Price]]), "")</f>
        <v/>
      </c>
      <c r="EY108" s="4">
        <f>IF(SnapshotTable[[#This Row],[SC Is Booked]], (MinimumPremiumRequired * SnapshotTable[[#This Row],[SC Basis]] * SnapshotTable[[#This Row],[SC Term]]), 0)</f>
        <v>0</v>
      </c>
      <c r="EZ108" s="268"/>
      <c r="FA108" s="204"/>
      <c r="FB108" s="340"/>
      <c r="FC108" s="4">
        <f>IF(SnapshotTable[[#This Row],[SC Is Filled]], btc_max_buyback_amount(SnapshotTable[[#This Row],[SC Fill Date]],SnapshotTable[[#This Row],[SC Exp Date]], SnapshotTable[[#This Row],[SC Book Price]]),0)</f>
        <v>0</v>
      </c>
      <c r="FD108" s="5"/>
      <c r="FE108" s="142" t="str">
        <f>IF(SnapshotTable[[#This Row],[SC Is Filled]], btc_next_cutoff_date(SnapshotTable[[#This Row],[SC Fill Date]],SnapshotTable[[#This Row],[SC Exp Date]]),"")</f>
        <v/>
      </c>
      <c r="FF108" s="4" t="str" cm="1">
        <f t="array" ref="FF108">IF(SnapshotTable[[#This Row],[SC Is Filled]], btc_should_buy_back(SnapshotTable[[#This Row],[SC Fill Date]], SnapshotTable[[#This Row],[SC Exp Date]], SnapshotTable[[#This Row],[SC Book Price]], SnapshotTable[[#This Row],[SC Current Ask]], MockToday, SnapshotTable[[#This Row],[SC Buyback Override]]),"")</f>
        <v/>
      </c>
      <c r="FG108" s="4">
        <f>IF(SnapshotTable[[#This Row],[SC Is Filled]], MAX(0,SnapshotTable[[#This Row],[Last Price]]  - SnapshotTable[[#This Row],[SC Strike Price]]), 0)</f>
        <v>0</v>
      </c>
      <c r="FH108" s="352">
        <f>IF(SnapshotTable[[#This Row],[SC Is Filled]], IF(ISNUMBER(SnapshotTable[[#This Row],[SC Current Ask]]), SnapshotTable[[#This Row],[SC Current Ask]], SnapshotTable[[#This Row],[SC Book Price]]) - SnapshotTable[[#This Row],[SC Intrinsic Value]], 0)</f>
        <v>0</v>
      </c>
      <c r="FI108" s="141"/>
      <c r="FJ108" s="32" t="str">
        <f>IF(SnapshotTable[[#This Row],[SC Is Filled]],100 * SnapshotTable[[#This Row],[SC Qty]] * IF(ISNUMBER(SnapshotTable[[#This Row],[SC Buyback Override]]), SnapshotTable[[#This Row],[SC Buyback Override]], SnapshotTable[[#This Row],[SC Current Ask]]), "")</f>
        <v/>
      </c>
      <c r="FK108" s="235" t="str">
        <f>IF(SnapshotTable[[#This Row],[SC Time Val]]&gt;0, SnapshotTable[[#This Row],[SC Time Val]] / SnapshotTable[[#This Row],[Last Price]],"")</f>
        <v/>
      </c>
      <c r="FL108" s="280" t="str">
        <f>IF(SnapshotTable[[#This Row],[SC Is Booked]], ((SnapshotTable[[#This Row],[Last Price]] -SnapshotTable[[#This Row],[SC Strike Price]]) / SnapshotTable[[#This Row],[Last Price]]) * -1, "")</f>
        <v/>
      </c>
      <c r="FM108" s="155" t="str">
        <f>IF(SnapshotTable[[#This Row],[SC Is Booked]],  (SnapshotTable[[#This Row],[SC Qty]] * 100 * SnapshotTable[[#This Row],[SC Strike Price]]) - SnapshotTable[[#This Row],[SC Current Ask]], "")</f>
        <v/>
      </c>
      <c r="FN1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8" s="31" t="str">
        <f>IF(AND(ISNUMBER(SnapshotTable[[#This Row],[SC Exercise Gross]]), ISNUMBER(SnapshotTable[[#This Row],[Equity Basis Per Share]] )), SnapshotTable[[#This Row],[SC Exercise Gross]] - SnapshotTable[[#This Row],[Equity Basis Total]] +  SnapshotTable[[#This Row],[SC Premium]], "")</f>
        <v/>
      </c>
      <c r="FP108" s="5" t="str">
        <f>IF(ISNUMBER(SnapshotTable[[#This Row],[SC Exercise Gross]]), (SnapshotTable[[#This Row],[SC Exercise Gross]]) / (SnapshotTable[[#This Row],[SC Qty]] * 100), "")</f>
        <v/>
      </c>
      <c r="FQ108" s="27" t="str">
        <f>IF(SnapshotTable[[#This Row],[SC Is Booked]],SnapshotTable[[#This Row],[SC Time Val]] /SnapshotTable[[#This Row],[SC Basis]], "")</f>
        <v/>
      </c>
      <c r="FR108" s="27" t="str" cm="1">
        <f t="array" ref="FR108">IF(AND(ISNUMBER(SnapshotTable[[#This Row],[SC Term]]),ISNUMBER(SnapshotTable[[#This Row],[SC Simple ROO]])), EllmanAnnualize(SnapshotTable[[#This Row],[SC DTE]], SnapshotTable[[#This Row],[SC Simple ROO]] ),"")</f>
        <v/>
      </c>
      <c r="FS108" s="4">
        <f>IF(SnapshotTable[[#This Row],[SC Strike Price]] &gt; SnapshotTable[[#This Row],[Last Price]], SnapshotTable[[#This Row],[SC Strike Price]] - SnapshotTable[[#This Row],[Last Price]],0)</f>
        <v>0</v>
      </c>
      <c r="FT108" s="27" t="str">
        <f>IF(AND(ISNUMBER(SnapshotTable[[#This Row],[SC Upside Potential]]), SnapshotTable[[#This Row],[SC Upside Potential]] &gt; 0),(SnapshotTable[[#This Row],[SC Upside Potential]]/ SnapshotTable[[#This Row],[ACB]]),"")</f>
        <v/>
      </c>
      <c r="FU108" s="304" t="str">
        <f>IF(SnapshotTable[[#This Row],[SC Intrinsic Value]] &gt; 0,SnapshotTable[[#This Row],[SC Intrinsic Value]],"")</f>
        <v/>
      </c>
      <c r="FV108" s="27" t="str">
        <f>IF(AND( ISNUMBER( SnapshotTable[[#This Row],[ACB]]),ISNUMBER(SnapshotTable[[#This Row],[SC Downside Protect]])),SnapshotTable[[#This Row],[SC Downside Protect]] / SnapshotTable[[#This Row],[ACB]],"")</f>
        <v/>
      </c>
      <c r="FW108" s="221" t="str">
        <f>IF(AND(ISNUMBER(SnapshotTable[[#This Row],[SC Simple ROO]]),SnapshotTable[[#This Row],[SC Simple ROO]] &gt; 0), SnapshotTable[[#This Row],[SC Premium]] + (SnapshotTable[[#This Row],[SC Qty]] * SnapshotTable[[#This Row],[SC Upside Potential]]), "")</f>
        <v/>
      </c>
      <c r="FX108" s="280" t="str" cm="1">
        <f t="array" ref="FX108">IF(ISNUMBER(SnapshotTable[[#This Row],[SC Max Dollars]]), annualize(SnapshotTable[[#This Row],[SC Term]],(SnapshotTable[[#This Row],[SC Max Dollars]]/SnapshotTable[[#This Row],[SC Basis]])),"")</f>
        <v/>
      </c>
      <c r="FY108" s="221" t="str">
        <f>IF(AND(SnapshotTable[[#This Row],[SC Qty]]&gt;0,SnapshotTable[[#This Row],[SC Current Ask]]&gt;0), SnapshotTable[[#This Row],[SC Qty]] * SnapshotTable[[#This Row],[SC Current Ask]] * -100, "")</f>
        <v/>
      </c>
      <c r="FZ108" s="31" t="str">
        <f>IF(ISNUMBER((SnapshotTable[[#This Row],[SC Current Value]])), SnapshotTable[[#This Row],[SC Premium]] + SnapshotTable[[#This Row],[SC Current Value]], "")</f>
        <v/>
      </c>
      <c r="GA108" s="272" t="str">
        <f>IFERROR( IF(ISNUMBER((SnapshotTable[[#This Row],[SC Current Value]])), SnapshotTable[[#This Row],[SC Gain Loss]] / SnapshotTable[[#This Row],[SC Premium]], ""), "")</f>
        <v/>
      </c>
      <c r="GB108" s="42">
        <f>SnapshotTable[[#This Row],[Equity Shares]] * SaleSharesToConsiderPercentage</f>
        <v>0</v>
      </c>
      <c r="GC108" s="40">
        <f>SnapshotTable[[#This Row],[Long Term Target]] * SellingPriceToConsiderBasedOnTargetPercentage</f>
        <v>46.8825</v>
      </c>
      <c r="GD108" s="40">
        <f>SnapshotTable[[#This Row],[Last Price]] * (1+ SellingPriceToConsiderBasedOnTargetPercentage)</f>
        <v>218.80949999999999</v>
      </c>
      <c r="GE108" s="41"/>
      <c r="GF108" s="40"/>
      <c r="GG108" s="31">
        <f>SnapshotTable[[#This Row],[Booked Sale Shares]] * SnapshotTable[[#This Row],[Booked Sale Price]]</f>
        <v>0</v>
      </c>
      <c r="GH108" s="31" t="str">
        <f>IF(SnapshotTable[[#This Row],[Equity Basis Total]] &gt; 0, SnapshotTable[[#This Row],[Equity Basis Per Share]] * SnapshotTable[[#This Row],[Booked Sale Shares]], "")</f>
        <v/>
      </c>
      <c r="GI108" s="31">
        <f>IF(SnapshotTable[[#This Row],[Sale Proceeds]]&gt;0, SnapshotTable[[#This Row],[Sale Proceeds]] - SnapshotTable[[#This Row],[Sale Basis]], 0)</f>
        <v>0</v>
      </c>
      <c r="GJ108" s="27" t="str">
        <f>IF(SnapshotTable[[#This Row],[Sale G/L]]&gt;0, SnapshotTable[[#This Row],[Sale G/L]] / SnapshotTable[[#This Row],[Sale Basis]], IF(ISNUMBER(SnapshotTable[[#This Row],[SC Exercise P&amp;L (TAX)]]), SnapshotTable[[#This Row],[SC Exercise P&amp;L (TAX)]] / SnapshotTable[[#This Row],[SC Basis]], ""))</f>
        <v/>
      </c>
      <c r="GK108" s="27" t="s">
        <v>555</v>
      </c>
      <c r="GL108" s="43" t="str">
        <f>IF(AND(SnapshotTable[[#This Row],[LP Exp Date]]&gt;0,SnapshotTable[[#This Row],[LP Strike Price]]&gt;0), [1]!ToOptionSymbol(SnapshotTable[[#This Row],[Symbol]], SnapshotTable[[#This Row],[LP Strike Price]],SnapshotTable[[#This Row],[LP Exp Date]],1), "")</f>
        <v/>
      </c>
      <c r="GM108" s="30" t="str">
        <f>IF(LEN(SnapshotTable[[#This Row],[LP Symbol]])&gt;0, 1, "")</f>
        <v/>
      </c>
      <c r="GN108" s="43" t="str">
        <f>IF(AND(SnapshotTable[[#This Row],[SP Exp Date]]&gt;0,SnapshotTable[[#This Row],[SP Strike Price]]&gt;0), [1]!ToOptionSymbol(SnapshotTable[[#This Row],[Symbol]], SnapshotTable[[#This Row],[SP Strike Price]],SnapshotTable[[#This Row],[SP Exp Date]],1), "")</f>
        <v/>
      </c>
      <c r="GO108" s="30" t="str">
        <f>IF(LEN(SnapshotTable[[#This Row],[SP Symbol]])&gt;0, 1, "")</f>
        <v/>
      </c>
      <c r="GP108" s="43" t="str">
        <f>IF(AND(SnapshotTable[[#This Row],[LC Exp Date]]&gt;0,SnapshotTable[[#This Row],[LC Strike Price]]&gt;0), [1]!ToOptionSymbol(SnapshotTable[[#This Row],[Symbol]], SnapshotTable[[#This Row],[LC Strike Price]],SnapshotTable[[#This Row],[LC Exp Date]],0), "")</f>
        <v/>
      </c>
      <c r="GQ108" s="30" t="str">
        <f>IF(LEN(SnapshotTable[[#This Row],[LC Symbol]])&gt;0, 1, "")</f>
        <v/>
      </c>
      <c r="GR108" s="43" t="str">
        <f>IF(AND(SnapshotTable[[#This Row],[SC Exp Date]]&gt;0,SnapshotTable[[#This Row],[SC Strike Price]]&gt;0), [1]!ToOptionSymbol(SnapshotTable[[#This Row],[Symbol]], SnapshotTable[[#This Row],[SC Strike Price]],SnapshotTable[[#This Row],[SC Exp Date]],0), "")</f>
        <v/>
      </c>
      <c r="GS108" s="30" t="str">
        <f>IF(LEN(SnapshotTable[[#This Row],[SC Symbol]])&gt;0, 1, "")</f>
        <v/>
      </c>
      <c r="GT108" s="29" t="str">
        <f>IF(COUNT(SnapshotTable[[#This Row],[LP Symbol Count]],SnapshotTable[[#This Row],[SP Symbol Count]],SnapshotTable[[#This Row],[LC Symbol Count]],SnapshotTable[[#This Row],[SC Symbol Count]])&gt;0, "Y", "")</f>
        <v/>
      </c>
      <c r="GU1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8" s="216">
        <f>MAX(SnapshotTable[[#This Row],[Equity Basis Total]],SnapshotTable[[#This Row],[Equity Value]]) + (SnapshotTable[[#This Row],[SP Potential Spend]]- SnapshotTable[[#This Row],[SP Premium]] + SnapshotTable[[#This Row],[LP Premium]])+ (SnapshotTable[[#This Row],[LC Premium]] - SnapshotTable[[#This Row],[SC Premium]])</f>
        <v>0</v>
      </c>
      <c r="GW108" s="137" t="str">
        <f>IF(AND(SnapshotTable[[#This Row],[Exposure]] &lt;&gt; 0),SnapshotTable[[#This Row],[Exposure]] / SnapshotTable[[#Totals],[Exposure]], "")</f>
        <v/>
      </c>
      <c r="HE108" s="253"/>
      <c r="HF108" s="253"/>
      <c r="HK108" s="1"/>
      <c r="HL108" s="1"/>
      <c r="HM108" s="1"/>
      <c r="HN108" s="1"/>
      <c r="HO108" s="1"/>
      <c r="HP108" s="1"/>
    </row>
    <row r="109" spans="2:224" ht="12.75" hidden="1" customHeight="1" x14ac:dyDescent="0.25">
      <c r="B109" s="12" t="s">
        <v>52</v>
      </c>
      <c r="C109" s="385">
        <v>22.96</v>
      </c>
      <c r="D109" s="200"/>
      <c r="E109" s="39">
        <f>SnapshotTable[[#This Row],[Last Price]]*(1 -CrashDiscount)</f>
        <v>19.516000000000002</v>
      </c>
      <c r="F109" s="26" t="s">
        <v>51</v>
      </c>
      <c r="G109" s="26" t="s">
        <v>4</v>
      </c>
      <c r="H109" s="147"/>
      <c r="I109" s="186">
        <v>44790.670138888891</v>
      </c>
      <c r="J109" s="187">
        <v>44790.670138888891</v>
      </c>
      <c r="K109" s="188"/>
      <c r="L109" s="297"/>
      <c r="M109" s="138"/>
      <c r="N109" s="138"/>
      <c r="O109" s="138"/>
      <c r="P109" s="22"/>
      <c r="Q109" s="25"/>
      <c r="R109" s="4" t="str">
        <f>IF(SnapshotTable[[#This Row],[Equity Basis Total]] &gt; 0, SnapshotTable[[#This Row],[Equity Basis Total]] / SnapshotTable[[#This Row],[Equity Shares]], "")</f>
        <v/>
      </c>
      <c r="S109" s="254">
        <f>SnapshotTable[[#This Row],[Last Price]] * SnapshotTable[[#This Row],[Equity Shares]]</f>
        <v>0</v>
      </c>
      <c r="T109" s="254">
        <f>SnapshotTable[[#This Row],[Equity Value]] - SnapshotTable[[#This Row],[Equity Basis Total]]</f>
        <v>0</v>
      </c>
      <c r="U109" s="255" t="str">
        <f>IF(SnapshotTable[[#This Row],[Equity Basis Total]] &gt; 0, SnapshotTable[[#This Row],[Equity G/L]] / SnapshotTable[[#This Row],[Equity Basis Total]], "")</f>
        <v/>
      </c>
      <c r="V109" s="253"/>
      <c r="W109" s="253"/>
      <c r="X109" s="4" t="str">
        <f>IF(AND(ISNUMBER(SnapshotTable[[#This Row],[Equity Basis Per Share]]),ISNUMBER(SnapshotTable[[#This Row],[Equity Target]])),SnapshotTable[[#This Row],[Equity Target]]-SnapshotTable[[#This Row],[Equity Basis Per Share]],"")</f>
        <v/>
      </c>
      <c r="Y109" s="4" t="str">
        <f>IF(AND(ISNUMBER(SnapshotTable[[#This Row],[Equity Basis Per Share]]),ISNUMBER(SnapshotTable[[#This Row],[Equity Stop Loss]])),SnapshotTable[[#This Row],[Equity Stop Loss]]-SnapshotTable[[#This Row],[Equity Basis Per Share]],"")</f>
        <v/>
      </c>
      <c r="Z109" s="260" t="str">
        <f>IFERROR( TEXT(SnapshotTable[[#This Row],[Equity Max Gain Per Share]] /ABS( SnapshotTable[[#This Row],[Equity Max Loss Per Share]]),"0.0 " ) &amp; " : 1", "")</f>
        <v/>
      </c>
      <c r="AA109" s="31" t="str">
        <f>IF(ISNUMBER(SnapshotTable[[#This Row],[Equity Max Gain Per Share]]),SnapshotTable[[#This Row],[Equity Max Gain Per Share]] * SnapshotTable[[#This Row],[Equity Shares]],"")</f>
        <v/>
      </c>
      <c r="AB109" s="31" t="str">
        <f>IF(ISNUMBER(SnapshotTable[[#This Row],[Equity Max Loss Per Share]]),SnapshotTable[[#This Row],[Equity Max Loss Per Share]] * SnapshotTable[[#This Row],[Equity Shares]],"")</f>
        <v/>
      </c>
      <c r="AC109" s="148">
        <v>0.08</v>
      </c>
      <c r="AD109" s="149">
        <v>42368</v>
      </c>
      <c r="AE109" s="31">
        <f>(SnapshotTable[[#This Row],[Annual Dividend Per Share]] / 4) * SnapshotTable[[#This Row],[Equity Shares]]</f>
        <v>0</v>
      </c>
      <c r="AF109" s="31">
        <f>SnapshotTable[[#This Row],[Quarterly Div $]] * 4</f>
        <v>0</v>
      </c>
      <c r="AG109" s="7">
        <f>IF(SnapshotTable[[#This Row],[Annual Dividend Per Share]]&gt;0, SnapshotTable[[#This Row],[Annual Dividend Per Share]]  / SnapshotTable[[#This Row],[Last Price]], 0)</f>
        <v>3.4843205574912892E-3</v>
      </c>
      <c r="AH109" s="149">
        <v>42256</v>
      </c>
      <c r="AI109" s="5"/>
      <c r="AJ109" s="136">
        <v>16</v>
      </c>
      <c r="AK109" s="150" t="str">
        <f>IF(ISNUMBER( SnapshotTable[[#This Row],[EBF Target]]),(SnapshotTable[[#This Row],[EBF Target]] - SnapshotTable[[#This Row],[Last Price]]) / SnapshotTable[[#This Row],[Last Price]], "")</f>
        <v/>
      </c>
      <c r="AL109" s="150" t="str">
        <f>IF(AND(SnapshotTable[[#This Row],[Equity Basis Total]] &gt; 0,ISNUMBER( SnapshotTable[[#This Row],[Long Term Target]])), SnapshotTable[[#This Row],[From Basis $]] / SnapshotTable[[#This Row],[Equity Basis Total]], "")</f>
        <v/>
      </c>
      <c r="AM109" s="9">
        <f>IF( AND(SnapshotTable[[#This Row],[Equity Shares]] &gt;0,ISNUMBER( SnapshotTable[[#This Row],[Long Term Target]])),(SnapshotTable[[#This Row],[Equity Shares]] * SnapshotTable[[#This Row],[Long Term Target]]) - SnapshotTable[[#This Row],[Equity Basis Total]],0)</f>
        <v>0</v>
      </c>
      <c r="AN109" s="9">
        <f>IF( AND(SnapshotTable[[#This Row],[Equity Shares]] &gt;0,ISNUMBER( SnapshotTable[[#This Row],[Long Term Target]])),(SnapshotTable[[#This Row],[Equity Shares]]*SnapshotTable[[#This Row],[Long Term Target]]) - SnapshotTable[[#This Row],[Equity Value]],0)</f>
        <v>0</v>
      </c>
      <c r="AO109" s="150">
        <f>IF(AND(ISNUMBER( SnapshotTable[[#This Row],[Long Term Target]]), ISNUMBER(SnapshotTable[[#This Row],[Last Price]])),(SnapshotTable[[#This Row],[Long Term Target]] - SnapshotTable[[#This Row],[Last Price]]) / SnapshotTable[[#This Row],[Last Price]], "")</f>
        <v>-0.30313588850174217</v>
      </c>
      <c r="AP109" s="5"/>
      <c r="AQ109" s="38"/>
      <c r="AR109" s="5"/>
      <c r="AS109" s="38"/>
      <c r="AT109" s="144"/>
      <c r="AU109" s="185" t="str">
        <f>IF(OR(SnapshotTable[[#This Row],[LP No Fill]]="Y",SnapshotTable[[#This Row],[SP Is Filled]],SnapshotTable[[#This Row],[LC Not Filled]]="Y",SnapshotTable[[#This Row],[SC Is Filled]]),"Y","")</f>
        <v/>
      </c>
      <c r="AV109" s="205"/>
      <c r="AW109" s="211"/>
      <c r="AX109" s="206"/>
      <c r="AY109" s="205" t="str">
        <f>IF(SnapshotTable[[#This Row],[Implied Move]]&gt;0, SnapshotTable[[#This Row],[Last Price]]-SnapshotTable[[#This Row],[Implied Move]],"")</f>
        <v/>
      </c>
      <c r="AZ109" s="205" t="str">
        <f>IF(SnapshotTable[[#This Row],[Implied Move]]&gt;0, SnapshotTable[[#This Row],[Last Price]] + SnapshotTable[[#This Row],[Implied Move]],"")</f>
        <v/>
      </c>
      <c r="BA109" s="302"/>
      <c r="BB109" s="318"/>
      <c r="BC1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09" s="321"/>
      <c r="BE109" s="5"/>
      <c r="BF109" s="14"/>
      <c r="BG109" s="13"/>
      <c r="BH109" s="13"/>
      <c r="BI109" s="5"/>
      <c r="BJ109" s="134">
        <f>IF(SnapshotTable[[#This Row],[LP Qty]] &gt; 0, SnapshotTable[[#This Row],[LP Qty]] * SnapshotTable[[#This Row],[LP Book Price]] * 100,0)</f>
        <v>0</v>
      </c>
      <c r="BK109" s="134">
        <f>IF(SnapshotTable[[#This Row],[LP Premium]] &gt; 0, SnapshotTable[[#This Row],[LP Qty]] * SnapshotTable[[#This Row],[LP Strike Price]] * 100,0)</f>
        <v>0</v>
      </c>
      <c r="BL109" s="152"/>
      <c r="BM109" s="355" t="str">
        <f>IF(SnapshotTable[[#This Row],[LP Premium]] &gt; 0,SnapshotTable[[#This Row],[LP Exp Date]]-MAX(SnapshotTable[[#This Row],[LP Book Date]], SnapshotTable[[#This Row],[LP Fill Date]]),"")</f>
        <v/>
      </c>
      <c r="BN109" s="355" t="str">
        <f>IF(ISNUMBER( SnapshotTable[[#This Row],[LP Term]]), SnapshotTable[[#This Row],[LP Exp Date]] - MockToday,"")</f>
        <v/>
      </c>
      <c r="BO109" s="161" t="str">
        <f>IF(AND(SnapshotTable[[#This Row],[LP Exp Date]]&gt;0, SnapshotTable[[#This Row],[LP Strike Price]]&gt;0,SnapshotTable[[#This Row],[LP Qty]]&gt;0,SnapshotTable[[#This Row],[LP Book Date]]&gt;0,SnapshotTable[[#This Row],[LP Book Price]]&gt;0,SnapshotTable[[#This Row],[LP Fill Date]]=0),"Y","")</f>
        <v/>
      </c>
      <c r="BP109" s="31" t="str">
        <f>IF(AND(SnapshotTable[[#This Row],[LP No Fill]]&lt;&gt;"Y",SnapshotTable[[#This Row],[LP Contract Value]]&gt;0, SnapshotTable[[#This Row],[LP Qty]]&gt;0), SnapshotTable[[#This Row],[LP Contract Value]]*SnapshotTable[[#This Row],[LP Qty]]*100,"")</f>
        <v/>
      </c>
      <c r="BQ109" s="13"/>
      <c r="BR109" s="5"/>
      <c r="BS109" s="36"/>
      <c r="BT109" s="145"/>
      <c r="BU109" s="13"/>
      <c r="BV109" s="5"/>
      <c r="BW109" s="382" t="b">
        <f>AND(ISNUMBER(SnapshotTable[[#This Row],[SP Exp Date]]), ISNUMBER(SnapshotTable[[#This Row],[SP Strike Price]]), ISNUMBER(SnapshotTable[[#This Row],[SP Qty]]), ISNUMBER(SnapshotTable[[#This Row],[SP Book Date]]), ISNUMBER(SnapshotTable[[#This Row],[SP Book Price]]))</f>
        <v>0</v>
      </c>
      <c r="BX109" s="382" t="b">
        <f>AND(SnapshotTable[[#This Row],[SP Is Booked]], NOT(ISBLANK(SnapshotTable[[#This Row],[SP Fill Date]])))</f>
        <v>0</v>
      </c>
      <c r="BY109" s="33">
        <f>IF(SnapshotTable[[#This Row],[SP Is Booked]], SnapshotTable[[#This Row],[SP Qty]] * SnapshotTable[[#This Row],[SP Book Price]] * 100, 0)</f>
        <v>0</v>
      </c>
      <c r="BZ109" s="339"/>
      <c r="CA109" s="338">
        <f>SnapshotTable[[#This Row],[LP Qty]]</f>
        <v>0</v>
      </c>
      <c r="CB109" s="4" t="str">
        <f>IF(SnapshotTable[[#This Row],[SP Is Booked]], SnapshotTable[[#This Row],[SP Strike Price]] - SnapshotTable[[#This Row],[SP Book Price]], "")</f>
        <v/>
      </c>
      <c r="CC109" s="19" t="str">
        <f>IF(SnapshotTable[[#This Row],[SP Is Booked]],SnapshotTable[[#This Row],[SP Exp Date]]-MAX(SnapshotTable[[#This Row],[SP Book Date]], SnapshotTable[[#This Row],[SP Fill Date]]),"")</f>
        <v/>
      </c>
      <c r="CD109" s="7" t="str">
        <f>IF(SnapshotTable[[#This Row],[SP Is Booked]], SnapshotTable[[#This Row],[SP Book Price]]/SnapshotTable[[#This Row],[SP Strike Price]], "")</f>
        <v/>
      </c>
      <c r="CE109" s="7" t="str">
        <f>IF(ISNUMBER(SnapshotTable[[#This Row],[SP ROO Term]]),SnapshotTable[[#This Row],[SP ROO Term]]*(365/SnapshotTable[[#This Row],[SP Term]]),"")</f>
        <v/>
      </c>
      <c r="CF109" s="221">
        <f>SnapshotTable[[#This Row],[LP Strike Price]] * SnapshotTable[[#This Row],[LP Qty]] * 100</f>
        <v>0</v>
      </c>
      <c r="CG109" s="31">
        <f>IF(ISNUMBER(SnapshotTable[[#This Row],[SP Premium]]), (SnapshotTable[[#This Row],[SP Qty]] * SnapshotTable[[#This Row],[SP Strike Price]]* 100) - SnapshotTable[[#This Row],[LP Protection]], 0)</f>
        <v>0</v>
      </c>
      <c r="CH109" s="7" t="str">
        <f>IF(ISNUMBER(SnapshotTable[[#This Row],[SP Break Even]]),-1 * (SnapshotTable[[#This Row],[SP Break Even]] - SnapshotTable[[#This Row],[Last Price]]) / SnapshotTable[[#This Row],[Last Price]], "")</f>
        <v/>
      </c>
      <c r="CI109" s="31">
        <f>IF(AND(ISNUMBER((SnapshotTable[[#This Row],[SP Potential Spend]])), SnapshotTable[[#This Row],[SP Strike Price]] &gt; SnapshotTable[[#This Row],[Last Price]], SnapshotTable[[#This Row],[SP Is Filled]]), SnapshotTable[[#This Row],[SP Potential Spend]] -  SnapshotTable[[#This Row],[LP Max Value]], 0)</f>
        <v>0</v>
      </c>
      <c r="CJ109" s="229"/>
      <c r="CK109" s="31">
        <f>IF(ISNUMBER(SnapshotTable[[#This Row],[SP Potential Spend]]),IF(ISNUMBER(SnapshotTable[[#This Row],[SP POW]]), SnapshotTable[[#This Row],[SP POW]] * SnapshotTable[[#This Row],[SP Potential Spend]], SnapshotTable[[#This Row],[SP Potential Spend]]), "")</f>
        <v>0</v>
      </c>
      <c r="CL109" s="162">
        <f>IF(NOT(SnapshotTable[[#This Row],[SP Is Filled]]),(SnapshotTable[[#This Row],[SP Qty]] * SnapshotTable[[#This Row],[SP Strike Price]] * 100) - SnapshotTable[[#This Row],[LP Max Value]],"")</f>
        <v>0</v>
      </c>
      <c r="CM109" s="31" t="str">
        <f>IF(SnapshotTable[[#This Row],[SP Actual Spend]]&lt;&gt;0, ((SnapshotTable[[#This Row],[SP Strike Price]]-SnapshotTable[[#This Row],[Last Price]]) *(SnapshotTable[[#This Row],[SP Qty]]*100) - SnapshotTable[[#This Row],[SP Premium]]) * - 1, "")</f>
        <v/>
      </c>
      <c r="CN109" s="76"/>
      <c r="CO109" s="339"/>
      <c r="CP109" s="4" t="str">
        <f>IF(SnapshotTable[[#This Row],[SP Is Filled]], btc_max_buyback_amount(SnapshotTable[[#This Row],[SP Fill Date]],SnapshotTable[[#This Row],[SP Exp Date]], SnapshotTable[[#This Row],[SP Book Price]]),"")</f>
        <v/>
      </c>
      <c r="CQ109" s="76"/>
      <c r="CR1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09" s="153" t="str">
        <f>IF(SnapshotTable[[#This Row],[SP Is Filled]], btc_next_cutoff_date(SnapshotTable[[#This Row],[SP Fill Date]],SnapshotTable[[#This Row],[SP Exp Date]]),"")</f>
        <v/>
      </c>
      <c r="CT109" s="220" t="str" cm="1">
        <f t="array" ref="CT109">IF(SnapshotTable[[#This Row],[SP Is Filled]], btc_should_buy_back(SnapshotTable[[#This Row],[SP Fill Date]], SnapshotTable[[#This Row],[SP Exp Date]], SnapshotTable[[#This Row],[SP Book Price]], SnapshotTable[[#This Row],[SP Current Ask]], MockToday, SnapshotTable[[#This Row],[SP Buyback Override]]),"")</f>
        <v/>
      </c>
      <c r="CU109" s="141"/>
      <c r="CV109" s="220"/>
      <c r="CW109" s="348" t="str">
        <f>IF(ISNUMBER( SnapshotTable[[#This Row],[SP Term]]), SnapshotTable[[#This Row],[SP Exp Date]] - MockToday,"")</f>
        <v/>
      </c>
      <c r="CX109" s="31" t="str">
        <f>IF(SnapshotTable[[#This Row],[SP Is Filled]],SnapshotTable[[#This Row],[SP Buyback Price to Use]] * 100 * SnapshotTable[[#This Row],[SP Qty]], "")</f>
        <v/>
      </c>
      <c r="CY109" s="4" t="str">
        <f>IF(ISNUMBER(SnapshotTable[[#This Row],[SP Strike Price]]), SnapshotTable[[#This Row],[SP Strike Price]] * (1 - SP_MaxLoss_StrikePct), "")</f>
        <v/>
      </c>
      <c r="CZ109" s="31" t="str">
        <f>IF(ISNUMBER(SnapshotTable[[#This Row],[SP Strike  Stop Per Share]]),SnapshotTable[[#This Row],[SP Premium]] - ((SnapshotTable[[#This Row],[SP Strike Price]]-SnapshotTable[[#This Row],[SP Strike  Stop Per Share]]) *(SnapshotTable[[#This Row],[SP Qty]] * 100)),"")</f>
        <v/>
      </c>
      <c r="DA109" s="4" t="str">
        <f>IF(AND(ISNUMBER(SnapshotTable[[#This Row],[SP Premium]]),SnapshotTable[[#This Row],[SP Premium]]&gt;0), SnapshotTable[[#This Row],[SP Book Price]] * (1 + SP_MaxLoss_OptionPct), "")</f>
        <v/>
      </c>
      <c r="DB109" s="31" t="str">
        <f>IF(ISNUMBER(SnapshotTable[[#This Row],[SP Option  Stop Contract]]),(SnapshotTable[[#This Row],[SP Option  Stop Contract]] *(SnapshotTable[[#This Row],[SP Qty]] * 100) - SnapshotTable[[#This Row],[SP Premium]]),"")</f>
        <v/>
      </c>
      <c r="DC109" s="4"/>
      <c r="DD109" s="4"/>
      <c r="DE109" s="4" t="str">
        <f>IF(AND(SnapshotTable[[#This Row],[SP Qty]]&gt;0, SnapshotTable[[#This Row],[SP Stop To Use]]&gt;0),SnapshotTable[[#This Row],[SP Premium]] - ( SnapshotTable[[#This Row],[SP Qty]] * SnapshotTable[[#This Row],[SP Stop To Use]] * 100), "")</f>
        <v/>
      </c>
      <c r="DF109" s="31" t="str">
        <f>IF(AND(SnapshotTable[[#This Row],[SP Qty]]&gt;0,SnapshotTable[[#This Row],[SP Current Ask]]&gt;0), SnapshotTable[[#This Row],[SP Qty]] * SnapshotTable[[#This Row],[SP Current Ask]] * -100, "")</f>
        <v/>
      </c>
      <c r="DG109" s="31" t="str">
        <f>IF(ISNUMBER((SnapshotTable[[#This Row],[SP Total Value]])), SnapshotTable[[#This Row],[SP Premium]] + SnapshotTable[[#This Row],[SP Total Value]], "")</f>
        <v/>
      </c>
      <c r="DH109" s="272" t="str">
        <f>IF(ISNUMBER((SnapshotTable[[#This Row],[SP Total Value]])), SnapshotTable[[#This Row],[SP Gain Loss]] / SnapshotTable[[#This Row],[SP Premium]], "")</f>
        <v/>
      </c>
      <c r="DI109" s="369"/>
      <c r="DJ109" s="136"/>
      <c r="DK109" s="146"/>
      <c r="DL109" s="13"/>
      <c r="DM109" s="13"/>
      <c r="DO109" s="31">
        <f>IF(SnapshotTable[[#This Row],[LC Symbol Count]]=1, SnapshotTable[[#This Row],[LC Qty]] * SnapshotTable[[#This Row],[LC Book Price]] * 100, 0)</f>
        <v>0</v>
      </c>
      <c r="DP109" s="161" t="str">
        <f>IF(AND(SnapshotTable[[#This Row],[LC Exp Date]]&gt;0, SnapshotTable[[#This Row],[LC Strike Price]]&gt;0,SnapshotTable[[#This Row],[LC Qty]]&gt;0,SnapshotTable[[#This Row],[LC Book Date]]&gt;0,SnapshotTable[[#This Row],[LC Book Price]]&gt;0,SnapshotTable[[#This Row],[LC Fill Date]]=0),"Y","")</f>
        <v/>
      </c>
      <c r="DQ109" s="356" t="str">
        <f>IF(SnapshotTable[[#This Row],[LC Premium]] &gt; 0,SnapshotTable[[#This Row],[LC Exp Date]]-MAX(SnapshotTable[[#This Row],[LC Book Date]], SnapshotTable[[#This Row],[LC Fill Date]]),"")</f>
        <v/>
      </c>
      <c r="DR109" s="356" t="str">
        <f>IF(ISNUMBER(SnapshotTable[[#This Row],[LC Term]]), SnapshotTable[[#This Row],[LC Exp Date]] - MockToday, "")</f>
        <v/>
      </c>
      <c r="DS109" s="219" t="str">
        <f>IF(SnapshotTable[[#This Row],[LC Premium]]&gt;0,SnapshotTable[[#This Row],[LC Strike Price]] + SnapshotTable[[#This Row],[LC Book Price]],"")</f>
        <v/>
      </c>
      <c r="DU109" s="9" t="str">
        <f>IF(AND(SnapshotTable[[#This Row],[LC Symbol Count]]&gt;0, SnapshotTable[[#This Row],[LC Contract Value]]&gt;0), SnapshotTable[[#This Row],[LC Contract Value]] * SnapshotTable[[#This Row],[LC Qty]] * 100, "")</f>
        <v/>
      </c>
      <c r="DV109" s="9" t="str">
        <f>IF(AND(ISNUMBER(SnapshotTable[[#This Row],[LC Total Value]]), SnapshotTable[[#This Row],[LC Not Filled]]&lt;&gt;"Y"), SnapshotTable[[#This Row],[LC Total Value]]-SnapshotTable[[#This Row],[LC Premium]],"")</f>
        <v/>
      </c>
      <c r="DW109" s="225" t="str">
        <f>IF(ISNUMBER(SnapshotTable[[#This Row],[LC Actual Gain Loss]]), SnapshotTable[[#This Row],[LC Actual Gain Loss]] / SnapshotTable[[#This Row],[LC Premium]],"")</f>
        <v/>
      </c>
      <c r="DX109" s="269" t="str">
        <f>IF(ISNUMBER(SnapshotTable[[#This Row],[LC Book Price]]),SnapshotTable[[#This Row],[LC Book Price]] * 1.5,"")</f>
        <v/>
      </c>
      <c r="DY109" s="250" t="str">
        <f>IF(SnapshotTable[[#This Row],[LC Premium]]&gt;0, SnapshotTable[[#This Row],[LC Next Target]] * SnapshotTable[[#This Row],[LC Qty]] * 100,"")</f>
        <v/>
      </c>
      <c r="DZ109" s="250" t="str">
        <f>IF(ISNUMBER(SnapshotTable[[#This Row],[LC Target Gross]]), SnapshotTable[[#This Row],[LC Target Gross]] - SnapshotTable[[#This Row],[LC Premium]], "")</f>
        <v/>
      </c>
      <c r="EA109" s="283" t="str">
        <f>IF(ISNUMBER(SnapshotTable[[#This Row],[LC Target Gain Loss]]), SnapshotTable[[#This Row],[LC Target Gain Loss]]/SnapshotTable[[#This Row],[LC Premium]], "")</f>
        <v/>
      </c>
      <c r="EB109" s="247"/>
      <c r="EC109" s="268" t="str">
        <f>IF(SnapshotTable[[#This Row],[LC Premium]]&gt;0, SnapshotTable[[#This Row],[LC Book Price]] * (1 - LC_StopLoss_Pct),"")</f>
        <v/>
      </c>
      <c r="ED109" s="269"/>
      <c r="EE109" s="268" t="str">
        <f>IF(ISNUMBER(SnapshotTable[[#This Row],[LC Contract Value]]),IF(ISNUMBER(SnapshotTable[[#This Row],[LC Stop Loss Override]]), SnapshotTable[[#This Row],[LC Stop Loss Override]],SnapshotTable[[#This Row],[LC Stop Loss Calc Target]]),"")</f>
        <v/>
      </c>
      <c r="EF109" s="31" t="str">
        <f>IF(ISNUMBER(SnapshotTable[[#This Row],[LC Stop  To Use]]), (SnapshotTable[[#This Row],[LC Stop  To Use]] * SnapshotTable[[#This Row],[LC Qty]] * 100),"")</f>
        <v/>
      </c>
      <c r="EG109" s="9" t="str">
        <f>IF(ISNUMBER(SnapshotTable[[#This Row],[LC Total Value]]),SnapshotTable[[#This Row],[LC Stop Loss Amount]] - SnapshotTable[[#This Row],[LC Premium]],"")</f>
        <v/>
      </c>
      <c r="EH109" s="9">
        <f>IF(ISNUMBER(SnapshotTable[[#This Row],[LC Premium]]), SnapshotTable[[#This Row],[LC Qty]] * 100 * SnapshotTable[[#This Row],[LC Strike Price]], "")</f>
        <v>0</v>
      </c>
      <c r="EI109" s="225" t="str">
        <f>IF(AND(ISNUMBER(SnapshotTable[[#This Row],[LC Total Value]]),SnapshotTable[[#This Row],[LC Total Value]]&gt;0),SnapshotTable[[#This Row],[LC Stop Gain Loss]]  / SnapshotTable[[#This Row],[LC Premium]],"")</f>
        <v/>
      </c>
      <c r="EJ109" s="35">
        <f>IF(ISNUMBER(SnapshotTable[[#This Row],[Equity Shares]]),TRUNC(SnapshotTable[[#This Row],[Equity Shares]] / 100),0) + SnapshotTable[[#This Row],[LC Qty]]</f>
        <v>0</v>
      </c>
      <c r="EK109" s="145"/>
      <c r="EL109" s="136"/>
      <c r="EM109" s="146"/>
      <c r="EN109" s="145"/>
      <c r="EO109" s="145"/>
      <c r="EP109" s="136"/>
      <c r="EQ109" s="382" t="b">
        <f>AND(ISNUMBER(SnapshotTable[[#This Row],[SC Exp Date]]), ISNUMBER(SnapshotTable[[#This Row],[SC Strike Price]]), ISNUMBER(SnapshotTable[[#This Row],[SC Qty]]), ISNUMBER(SnapshotTable[[#This Row],[SC Book Date]]), ISNUMBER(SnapshotTable[[#This Row],[SC Book Price]]))</f>
        <v>0</v>
      </c>
      <c r="ER109" s="382" t="b">
        <f>AND(SnapshotTable[[#This Row],[SC Is Booked]], NOT(ISBLANK(SnapshotTable[[#This Row],[SC Fill Date]])))</f>
        <v>0</v>
      </c>
      <c r="ES109" s="340"/>
      <c r="ET109" s="34" t="str">
        <f>IF(AND(ISNUMBER(SnapshotTable[[#This Row],[SC Exp Date]]), ISNUMBER(SnapshotTable[[#This Row],[SC Book Date]])), SnapshotTable[[#This Row],[SC Exp Date]] - MAX(SnapshotTable[[#This Row],[SC Book Date]], SnapshotTable[[#This Row],[SC Fill Date]]) + 1, "")</f>
        <v/>
      </c>
      <c r="EU109" s="34" t="str">
        <f>IF(ISNUMBER(SnapshotTable[[#This Row],[SC Term]]), SnapshotTable[[#This Row],[SC Exp Date]]- MockToday, "")</f>
        <v/>
      </c>
      <c r="EV109" s="31">
        <f>IF(SnapshotTable[[#This Row],[SC Is Booked]], SnapshotTable[[#This Row],[SC Qty]] * SnapshotTable[[#This Row],[SC Book Price]] * 100, 0)</f>
        <v>0</v>
      </c>
      <c r="EW109" s="4" t="str">
        <f>IF(AND(ISNUMBER(SnapshotTable[[#This Row],[Last Price]]), ISNUMBER( SnapshotTable[[#This Row],[SC Book Price]])), SnapshotTable[[#This Row],[Last Price]] - SnapshotTable[[#This Row],[SC Book Price]],"")</f>
        <v/>
      </c>
      <c r="EX109" s="219" t="str">
        <f>IF(SnapshotTable[[#This Row],[SC Is Booked]],IF(SnapshotTable[[#This Row],[SC Intrinsic Value]] &gt; 0, SnapshotTable[[#This Row],[SC Strike Price]], SnapshotTable[[#This Row],[Last Price]]), "")</f>
        <v/>
      </c>
      <c r="EY109" s="4">
        <f>IF(SnapshotTable[[#This Row],[SC Is Booked]], (MinimumPremiumRequired * SnapshotTable[[#This Row],[SC Basis]] * SnapshotTable[[#This Row],[SC Term]]), 0)</f>
        <v>0</v>
      </c>
      <c r="EZ109" s="268"/>
      <c r="FA109" s="204"/>
      <c r="FB109" s="340"/>
      <c r="FC109" s="4">
        <f>IF(SnapshotTable[[#This Row],[SC Is Filled]], btc_max_buyback_amount(SnapshotTable[[#This Row],[SC Fill Date]],SnapshotTable[[#This Row],[SC Exp Date]], SnapshotTable[[#This Row],[SC Book Price]]),0)</f>
        <v>0</v>
      </c>
      <c r="FD109" s="5"/>
      <c r="FE109" s="142" t="str">
        <f>IF(SnapshotTable[[#This Row],[SC Is Filled]], btc_next_cutoff_date(SnapshotTable[[#This Row],[SC Fill Date]],SnapshotTable[[#This Row],[SC Exp Date]]),"")</f>
        <v/>
      </c>
      <c r="FF109" s="4" t="str" cm="1">
        <f t="array" ref="FF109">IF(SnapshotTable[[#This Row],[SC Is Filled]], btc_should_buy_back(SnapshotTable[[#This Row],[SC Fill Date]], SnapshotTable[[#This Row],[SC Exp Date]], SnapshotTable[[#This Row],[SC Book Price]], SnapshotTable[[#This Row],[SC Current Ask]], MockToday, SnapshotTable[[#This Row],[SC Buyback Override]]),"")</f>
        <v/>
      </c>
      <c r="FG109" s="4">
        <f>IF(SnapshotTable[[#This Row],[SC Is Filled]], MAX(0,SnapshotTable[[#This Row],[Last Price]]  - SnapshotTable[[#This Row],[SC Strike Price]]), 0)</f>
        <v>0</v>
      </c>
      <c r="FH109" s="352">
        <f>IF(SnapshotTable[[#This Row],[SC Is Filled]], IF(ISNUMBER(SnapshotTable[[#This Row],[SC Current Ask]]), SnapshotTable[[#This Row],[SC Current Ask]], SnapshotTable[[#This Row],[SC Book Price]]) - SnapshotTable[[#This Row],[SC Intrinsic Value]], 0)</f>
        <v>0</v>
      </c>
      <c r="FI109" s="141"/>
      <c r="FJ109" s="32" t="str">
        <f>IF(SnapshotTable[[#This Row],[SC Is Filled]],100 * SnapshotTable[[#This Row],[SC Qty]] * IF(ISNUMBER(SnapshotTable[[#This Row],[SC Buyback Override]]), SnapshotTable[[#This Row],[SC Buyback Override]], SnapshotTable[[#This Row],[SC Current Ask]]), "")</f>
        <v/>
      </c>
      <c r="FK109" s="235" t="str">
        <f>IF(SnapshotTable[[#This Row],[SC Time Val]]&gt;0, SnapshotTable[[#This Row],[SC Time Val]] / SnapshotTable[[#This Row],[Last Price]],"")</f>
        <v/>
      </c>
      <c r="FL109" s="280" t="str">
        <f>IF(SnapshotTable[[#This Row],[SC Is Booked]], ((SnapshotTable[[#This Row],[Last Price]] -SnapshotTable[[#This Row],[SC Strike Price]]) / SnapshotTable[[#This Row],[Last Price]]) * -1, "")</f>
        <v/>
      </c>
      <c r="FM109" s="155" t="str">
        <f>IF(SnapshotTable[[#This Row],[SC Is Booked]],  (SnapshotTable[[#This Row],[SC Qty]] * 100 * SnapshotTable[[#This Row],[SC Strike Price]]) - SnapshotTable[[#This Row],[SC Current Ask]], "")</f>
        <v/>
      </c>
      <c r="FN1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09" s="31" t="str">
        <f>IF(AND(ISNUMBER(SnapshotTable[[#This Row],[SC Exercise Gross]]), ISNUMBER(SnapshotTable[[#This Row],[Equity Basis Per Share]] )), SnapshotTable[[#This Row],[SC Exercise Gross]] - SnapshotTable[[#This Row],[Equity Basis Total]] +  SnapshotTable[[#This Row],[SC Premium]], "")</f>
        <v/>
      </c>
      <c r="FP109" s="5" t="str">
        <f>IF(ISNUMBER(SnapshotTable[[#This Row],[SC Exercise Gross]]), (SnapshotTable[[#This Row],[SC Exercise Gross]]) / (SnapshotTable[[#This Row],[SC Qty]] * 100), "")</f>
        <v/>
      </c>
      <c r="FQ109" s="27" t="str">
        <f>IF(SnapshotTable[[#This Row],[SC Is Booked]],SnapshotTable[[#This Row],[SC Time Val]] /SnapshotTable[[#This Row],[SC Basis]], "")</f>
        <v/>
      </c>
      <c r="FR109" s="27" t="str" cm="1">
        <f t="array" ref="FR109">IF(AND(ISNUMBER(SnapshotTable[[#This Row],[SC Term]]),ISNUMBER(SnapshotTable[[#This Row],[SC Simple ROO]])), EllmanAnnualize(SnapshotTable[[#This Row],[SC DTE]], SnapshotTable[[#This Row],[SC Simple ROO]] ),"")</f>
        <v/>
      </c>
      <c r="FS109" s="4">
        <f>IF(SnapshotTable[[#This Row],[SC Strike Price]] &gt; SnapshotTable[[#This Row],[Last Price]], SnapshotTable[[#This Row],[SC Strike Price]] - SnapshotTable[[#This Row],[Last Price]],0)</f>
        <v>0</v>
      </c>
      <c r="FT109" s="27" t="str">
        <f>IF(AND(ISNUMBER(SnapshotTable[[#This Row],[SC Upside Potential]]), SnapshotTable[[#This Row],[SC Upside Potential]] &gt; 0),(SnapshotTable[[#This Row],[SC Upside Potential]]/ SnapshotTable[[#This Row],[ACB]]),"")</f>
        <v/>
      </c>
      <c r="FU109" s="304" t="str">
        <f>IF(SnapshotTable[[#This Row],[SC Intrinsic Value]] &gt; 0,SnapshotTable[[#This Row],[SC Intrinsic Value]],"")</f>
        <v/>
      </c>
      <c r="FV109" s="27" t="str">
        <f>IF(AND( ISNUMBER( SnapshotTable[[#This Row],[ACB]]),ISNUMBER(SnapshotTable[[#This Row],[SC Downside Protect]])),SnapshotTable[[#This Row],[SC Downside Protect]] / SnapshotTable[[#This Row],[ACB]],"")</f>
        <v/>
      </c>
      <c r="FW109" s="221" t="str">
        <f>IF(AND(ISNUMBER(SnapshotTable[[#This Row],[SC Simple ROO]]),SnapshotTable[[#This Row],[SC Simple ROO]] &gt; 0), SnapshotTable[[#This Row],[SC Premium]] + (SnapshotTable[[#This Row],[SC Qty]] * SnapshotTable[[#This Row],[SC Upside Potential]]), "")</f>
        <v/>
      </c>
      <c r="FX109" s="280" t="str" cm="1">
        <f t="array" ref="FX109">IF(ISNUMBER(SnapshotTable[[#This Row],[SC Max Dollars]]), annualize(SnapshotTable[[#This Row],[SC Term]],(SnapshotTable[[#This Row],[SC Max Dollars]]/SnapshotTable[[#This Row],[SC Basis]])),"")</f>
        <v/>
      </c>
      <c r="FY109" s="221" t="str">
        <f>IF(AND(SnapshotTable[[#This Row],[SC Qty]]&gt;0,SnapshotTable[[#This Row],[SC Current Ask]]&gt;0), SnapshotTable[[#This Row],[SC Qty]] * SnapshotTable[[#This Row],[SC Current Ask]] * -100, "")</f>
        <v/>
      </c>
      <c r="FZ109" s="31" t="str">
        <f>IF(ISNUMBER((SnapshotTable[[#This Row],[SC Current Value]])), SnapshotTable[[#This Row],[SC Premium]] + SnapshotTable[[#This Row],[SC Current Value]], "")</f>
        <v/>
      </c>
      <c r="GA109" s="272" t="str">
        <f>IFERROR( IF(ISNUMBER((SnapshotTable[[#This Row],[SC Current Value]])), SnapshotTable[[#This Row],[SC Gain Loss]] / SnapshotTable[[#This Row],[SC Premium]], ""), "")</f>
        <v/>
      </c>
      <c r="GB109" s="42">
        <f>SnapshotTable[[#This Row],[Equity Shares]] * SaleSharesToConsiderPercentage</f>
        <v>0</v>
      </c>
      <c r="GC109" s="40">
        <f>SnapshotTable[[#This Row],[Long Term Target]] * SellingPriceToConsiderBasedOnTargetPercentage</f>
        <v>15.2</v>
      </c>
      <c r="GD109" s="40">
        <f>SnapshotTable[[#This Row],[Last Price]] * (1+ SellingPriceToConsiderBasedOnTargetPercentage)</f>
        <v>44.771999999999998</v>
      </c>
      <c r="GE109" s="41"/>
      <c r="GF109" s="40"/>
      <c r="GG109" s="31">
        <f>SnapshotTable[[#This Row],[Booked Sale Shares]] * SnapshotTable[[#This Row],[Booked Sale Price]]</f>
        <v>0</v>
      </c>
      <c r="GH109" s="31" t="str">
        <f>IF(SnapshotTable[[#This Row],[Equity Basis Total]] &gt; 0, SnapshotTable[[#This Row],[Equity Basis Per Share]] * SnapshotTable[[#This Row],[Booked Sale Shares]], "")</f>
        <v/>
      </c>
      <c r="GI109" s="31">
        <f>IF(SnapshotTable[[#This Row],[Sale Proceeds]]&gt;0, SnapshotTable[[#This Row],[Sale Proceeds]] - SnapshotTable[[#This Row],[Sale Basis]], 0)</f>
        <v>0</v>
      </c>
      <c r="GJ109" s="27" t="str">
        <f>IF(SnapshotTable[[#This Row],[Sale G/L]]&gt;0, SnapshotTable[[#This Row],[Sale G/L]] / SnapshotTable[[#This Row],[Sale Basis]], IF(ISNUMBER(SnapshotTable[[#This Row],[SC Exercise P&amp;L (TAX)]]), SnapshotTable[[#This Row],[SC Exercise P&amp;L (TAX)]] / SnapshotTable[[#This Row],[SC Basis]], ""))</f>
        <v/>
      </c>
      <c r="GK109" s="27" t="s">
        <v>556</v>
      </c>
      <c r="GL109" s="43" t="str">
        <f>IF(AND(SnapshotTable[[#This Row],[LP Exp Date]]&gt;0,SnapshotTable[[#This Row],[LP Strike Price]]&gt;0), [1]!ToOptionSymbol(SnapshotTable[[#This Row],[Symbol]], SnapshotTable[[#This Row],[LP Strike Price]],SnapshotTable[[#This Row],[LP Exp Date]],1), "")</f>
        <v/>
      </c>
      <c r="GM109" s="30" t="str">
        <f>IF(LEN(SnapshotTable[[#This Row],[LP Symbol]])&gt;0, 1, "")</f>
        <v/>
      </c>
      <c r="GN109" s="43" t="str">
        <f>IF(AND(SnapshotTable[[#This Row],[SP Exp Date]]&gt;0,SnapshotTable[[#This Row],[SP Strike Price]]&gt;0), [1]!ToOptionSymbol(SnapshotTable[[#This Row],[Symbol]], SnapshotTable[[#This Row],[SP Strike Price]],SnapshotTable[[#This Row],[SP Exp Date]],1), "")</f>
        <v/>
      </c>
      <c r="GO109" s="30" t="str">
        <f>IF(LEN(SnapshotTable[[#This Row],[SP Symbol]])&gt;0, 1, "")</f>
        <v/>
      </c>
      <c r="GP109" s="43" t="str">
        <f>IF(AND(SnapshotTable[[#This Row],[LC Exp Date]]&gt;0,SnapshotTable[[#This Row],[LC Strike Price]]&gt;0), [1]!ToOptionSymbol(SnapshotTable[[#This Row],[Symbol]], SnapshotTable[[#This Row],[LC Strike Price]],SnapshotTable[[#This Row],[LC Exp Date]],0), "")</f>
        <v/>
      </c>
      <c r="GQ109" s="30" t="str">
        <f>IF(LEN(SnapshotTable[[#This Row],[LC Symbol]])&gt;0, 1, "")</f>
        <v/>
      </c>
      <c r="GR109" s="43" t="str">
        <f>IF(AND(SnapshotTable[[#This Row],[SC Exp Date]]&gt;0,SnapshotTable[[#This Row],[SC Strike Price]]&gt;0), [1]!ToOptionSymbol(SnapshotTable[[#This Row],[Symbol]], SnapshotTable[[#This Row],[SC Strike Price]],SnapshotTable[[#This Row],[SC Exp Date]],0), "")</f>
        <v/>
      </c>
      <c r="GS109" s="30" t="str">
        <f>IF(LEN(SnapshotTable[[#This Row],[SC Symbol]])&gt;0, 1, "")</f>
        <v/>
      </c>
      <c r="GT109" s="29" t="str">
        <f>IF(COUNT(SnapshotTable[[#This Row],[LP Symbol Count]],SnapshotTable[[#This Row],[SP Symbol Count]],SnapshotTable[[#This Row],[LC Symbol Count]],SnapshotTable[[#This Row],[SC Symbol Count]])&gt;0, "Y", "")</f>
        <v/>
      </c>
      <c r="GU1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09" s="216">
        <f>MAX(SnapshotTable[[#This Row],[Equity Basis Total]],SnapshotTable[[#This Row],[Equity Value]]) + (SnapshotTable[[#This Row],[SP Potential Spend]]- SnapshotTable[[#This Row],[SP Premium]] + SnapshotTable[[#This Row],[LP Premium]])+ (SnapshotTable[[#This Row],[LC Premium]] - SnapshotTable[[#This Row],[SC Premium]])</f>
        <v>0</v>
      </c>
      <c r="GW109" s="137" t="str">
        <f>IF(AND(SnapshotTable[[#This Row],[Exposure]] &lt;&gt; 0),SnapshotTable[[#This Row],[Exposure]] / SnapshotTable[[#Totals],[Exposure]], "")</f>
        <v/>
      </c>
      <c r="HE109" s="253"/>
      <c r="HF109" s="253"/>
      <c r="HK109" s="1"/>
      <c r="HL109" s="1"/>
      <c r="HM109" s="1"/>
      <c r="HN109" s="1"/>
      <c r="HO109" s="1"/>
      <c r="HP109" s="1"/>
    </row>
    <row r="110" spans="2:224" ht="12.75" hidden="1" customHeight="1" x14ac:dyDescent="0.25">
      <c r="B110" s="12" t="s">
        <v>430</v>
      </c>
      <c r="C110" s="385">
        <v>88.53</v>
      </c>
      <c r="D110" s="200"/>
      <c r="E110" s="39">
        <f>SnapshotTable[[#This Row],[Last Price]]*(1 -CrashDiscount)</f>
        <v>75.250500000000002</v>
      </c>
      <c r="F110" s="26" t="s">
        <v>126</v>
      </c>
      <c r="G110" s="26" t="s">
        <v>24</v>
      </c>
      <c r="H110" s="147"/>
      <c r="I110" s="186">
        <v>44776.708333333336</v>
      </c>
      <c r="J110" s="187">
        <v>44776.708333333336</v>
      </c>
      <c r="K110" s="188"/>
      <c r="L110" s="297" t="s">
        <v>134</v>
      </c>
      <c r="M110" s="138"/>
      <c r="N110" s="138" t="b">
        <v>1</v>
      </c>
      <c r="O110" s="138">
        <v>3</v>
      </c>
      <c r="P110" s="22"/>
      <c r="Q110" s="25"/>
      <c r="R110" s="4" t="str">
        <f>IF(SnapshotTable[[#This Row],[Equity Basis Total]] &gt; 0, SnapshotTable[[#This Row],[Equity Basis Total]] / SnapshotTable[[#This Row],[Equity Shares]], "")</f>
        <v/>
      </c>
      <c r="S110" s="254">
        <f>SnapshotTable[[#This Row],[Last Price]] * SnapshotTable[[#This Row],[Equity Shares]]</f>
        <v>0</v>
      </c>
      <c r="T110" s="254">
        <f>SnapshotTable[[#This Row],[Equity Value]] - SnapshotTable[[#This Row],[Equity Basis Total]]</f>
        <v>0</v>
      </c>
      <c r="U110" s="255" t="str">
        <f>IF(SnapshotTable[[#This Row],[Equity Basis Total]] &gt; 0, SnapshotTable[[#This Row],[Equity G/L]] / SnapshotTable[[#This Row],[Equity Basis Total]], "")</f>
        <v/>
      </c>
      <c r="V110" s="253"/>
      <c r="W110" s="253"/>
      <c r="X110" s="4" t="str">
        <f>IF(AND(ISNUMBER(SnapshotTable[[#This Row],[Equity Basis Per Share]]),ISNUMBER(SnapshotTable[[#This Row],[Equity Target]])),SnapshotTable[[#This Row],[Equity Target]]-SnapshotTable[[#This Row],[Equity Basis Per Share]],"")</f>
        <v/>
      </c>
      <c r="Y110" s="4" t="str">
        <f>IF(AND(ISNUMBER(SnapshotTable[[#This Row],[Equity Basis Per Share]]),ISNUMBER(SnapshotTable[[#This Row],[Equity Stop Loss]])),SnapshotTable[[#This Row],[Equity Stop Loss]]-SnapshotTable[[#This Row],[Equity Basis Per Share]],"")</f>
        <v/>
      </c>
      <c r="Z110" s="260" t="str">
        <f>IFERROR( TEXT(SnapshotTable[[#This Row],[Equity Max Gain Per Share]] /ABS( SnapshotTable[[#This Row],[Equity Max Loss Per Share]]),"0.0 " ) &amp; " : 1", "")</f>
        <v/>
      </c>
      <c r="AA110" s="31" t="str">
        <f>IF(ISNUMBER(SnapshotTable[[#This Row],[Equity Max Gain Per Share]]),SnapshotTable[[#This Row],[Equity Max Gain Per Share]] * SnapshotTable[[#This Row],[Equity Shares]],"")</f>
        <v/>
      </c>
      <c r="AB110" s="31" t="str">
        <f>IF(ISNUMBER(SnapshotTable[[#This Row],[Equity Max Loss Per Share]]),SnapshotTable[[#This Row],[Equity Max Loss Per Share]] * SnapshotTable[[#This Row],[Equity Shares]],"")</f>
        <v/>
      </c>
      <c r="AC110" s="148"/>
      <c r="AD110" s="149"/>
      <c r="AE110" s="31">
        <f>(SnapshotTable[[#This Row],[Annual Dividend Per Share]] / 4) * SnapshotTable[[#This Row],[Equity Shares]]</f>
        <v>0</v>
      </c>
      <c r="AF110" s="31">
        <f>SnapshotTable[[#This Row],[Quarterly Div $]] * 4</f>
        <v>0</v>
      </c>
      <c r="AG110" s="7">
        <f>IF(SnapshotTable[[#This Row],[Annual Dividend Per Share]]&gt;0, SnapshotTable[[#This Row],[Annual Dividend Per Share]]  / SnapshotTable[[#This Row],[Last Price]], 0)</f>
        <v>0</v>
      </c>
      <c r="AH110" s="149">
        <v>43705</v>
      </c>
      <c r="AI110" s="5">
        <v>70</v>
      </c>
      <c r="AJ110" s="136">
        <v>31.35</v>
      </c>
      <c r="AK110" s="150">
        <f>IF(ISNUMBER( SnapshotTable[[#This Row],[EBF Target]]),(SnapshotTable[[#This Row],[EBF Target]] - SnapshotTable[[#This Row],[Last Price]]) / SnapshotTable[[#This Row],[Last Price]], "")</f>
        <v>-0.20930757935163222</v>
      </c>
      <c r="AL110" s="150" t="str">
        <f>IF(AND(SnapshotTable[[#This Row],[Equity Basis Total]] &gt; 0,ISNUMBER( SnapshotTable[[#This Row],[Long Term Target]])), SnapshotTable[[#This Row],[From Basis $]] / SnapshotTable[[#This Row],[Equity Basis Total]], "")</f>
        <v/>
      </c>
      <c r="AM110" s="9">
        <f>IF( AND(SnapshotTable[[#This Row],[Equity Shares]] &gt;0,ISNUMBER( SnapshotTable[[#This Row],[Long Term Target]])),(SnapshotTable[[#This Row],[Equity Shares]] * SnapshotTable[[#This Row],[Long Term Target]]) - SnapshotTable[[#This Row],[Equity Basis Total]],0)</f>
        <v>0</v>
      </c>
      <c r="AN110" s="9">
        <f>IF( AND(SnapshotTable[[#This Row],[Equity Shares]] &gt;0,ISNUMBER( SnapshotTable[[#This Row],[Long Term Target]])),(SnapshotTable[[#This Row],[Equity Shares]]*SnapshotTable[[#This Row],[Long Term Target]]) - SnapshotTable[[#This Row],[Equity Value]],0)</f>
        <v>0</v>
      </c>
      <c r="AO110" s="150">
        <f>IF(AND(ISNUMBER( SnapshotTable[[#This Row],[Long Term Target]]), ISNUMBER(SnapshotTable[[#This Row],[Last Price]])),(SnapshotTable[[#This Row],[Long Term Target]] - SnapshotTable[[#This Row],[Last Price]]) / SnapshotTable[[#This Row],[Last Price]], "")</f>
        <v>-0.64588275160962383</v>
      </c>
      <c r="AP110" s="5">
        <v>180</v>
      </c>
      <c r="AQ110" s="38" t="s">
        <v>29</v>
      </c>
      <c r="AR110" s="5">
        <v>160</v>
      </c>
      <c r="AS110" s="38" t="s">
        <v>15</v>
      </c>
      <c r="AT110" s="144"/>
      <c r="AU110" s="185" t="str">
        <f>IF(OR(SnapshotTable[[#This Row],[LP No Fill]]="Y",SnapshotTable[[#This Row],[SP Is Filled]],SnapshotTable[[#This Row],[LC Not Filled]]="Y",SnapshotTable[[#This Row],[SC Is Filled]]),"Y","")</f>
        <v/>
      </c>
      <c r="AV110" s="205"/>
      <c r="AW110" s="211"/>
      <c r="AX110" s="206"/>
      <c r="AY110" s="205" t="str">
        <f>IF(SnapshotTable[[#This Row],[Implied Move]]&gt;0, SnapshotTable[[#This Row],[Last Price]]-SnapshotTable[[#This Row],[Implied Move]],"")</f>
        <v/>
      </c>
      <c r="AZ110" s="205" t="str">
        <f>IF(SnapshotTable[[#This Row],[Implied Move]]&gt;0, SnapshotTable[[#This Row],[Last Price]] + SnapshotTable[[#This Row],[Implied Move]],"")</f>
        <v/>
      </c>
      <c r="BA110" s="302"/>
      <c r="BB110" s="318"/>
      <c r="BC1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0" s="321"/>
      <c r="BE110" s="5"/>
      <c r="BF110" s="14"/>
      <c r="BG110" s="13"/>
      <c r="BH110" s="13"/>
      <c r="BI110" s="5"/>
      <c r="BJ110" s="134">
        <f>IF(SnapshotTable[[#This Row],[LP Qty]] &gt; 0, SnapshotTable[[#This Row],[LP Qty]] * SnapshotTable[[#This Row],[LP Book Price]] * 100,0)</f>
        <v>0</v>
      </c>
      <c r="BK110" s="134">
        <f>IF(SnapshotTable[[#This Row],[LP Premium]] &gt; 0, SnapshotTable[[#This Row],[LP Qty]] * SnapshotTable[[#This Row],[LP Strike Price]] * 100,0)</f>
        <v>0</v>
      </c>
      <c r="BL110" s="152"/>
      <c r="BM110" s="355" t="str">
        <f>IF(SnapshotTable[[#This Row],[LP Premium]] &gt; 0,SnapshotTable[[#This Row],[LP Exp Date]]-MAX(SnapshotTable[[#This Row],[LP Book Date]], SnapshotTable[[#This Row],[LP Fill Date]]),"")</f>
        <v/>
      </c>
      <c r="BN110" s="355" t="str">
        <f>IF(ISNUMBER( SnapshotTable[[#This Row],[LP Term]]), SnapshotTable[[#This Row],[LP Exp Date]] - MockToday,"")</f>
        <v/>
      </c>
      <c r="BO110" s="161" t="str">
        <f>IF(AND(SnapshotTable[[#This Row],[LP Exp Date]]&gt;0, SnapshotTable[[#This Row],[LP Strike Price]]&gt;0,SnapshotTable[[#This Row],[LP Qty]]&gt;0,SnapshotTable[[#This Row],[LP Book Date]]&gt;0,SnapshotTable[[#This Row],[LP Book Price]]&gt;0,SnapshotTable[[#This Row],[LP Fill Date]]=0),"Y","")</f>
        <v/>
      </c>
      <c r="BP110" s="31" t="str">
        <f>IF(AND(SnapshotTable[[#This Row],[LP No Fill]]&lt;&gt;"Y",SnapshotTable[[#This Row],[LP Contract Value]]&gt;0, SnapshotTable[[#This Row],[LP Qty]]&gt;0), SnapshotTable[[#This Row],[LP Contract Value]]*SnapshotTable[[#This Row],[LP Qty]]*100,"")</f>
        <v/>
      </c>
      <c r="BQ110" s="13"/>
      <c r="BR110" s="5"/>
      <c r="BS110" s="36"/>
      <c r="BT110" s="145"/>
      <c r="BU110" s="13"/>
      <c r="BV110" s="5"/>
      <c r="BW110" s="382" t="b">
        <f>AND(ISNUMBER(SnapshotTable[[#This Row],[SP Exp Date]]), ISNUMBER(SnapshotTable[[#This Row],[SP Strike Price]]), ISNUMBER(SnapshotTable[[#This Row],[SP Qty]]), ISNUMBER(SnapshotTable[[#This Row],[SP Book Date]]), ISNUMBER(SnapshotTable[[#This Row],[SP Book Price]]))</f>
        <v>0</v>
      </c>
      <c r="BX110" s="382" t="b">
        <f>AND(SnapshotTable[[#This Row],[SP Is Booked]], NOT(ISBLANK(SnapshotTable[[#This Row],[SP Fill Date]])))</f>
        <v>0</v>
      </c>
      <c r="BY110" s="33">
        <f>IF(SnapshotTable[[#This Row],[SP Is Booked]], SnapshotTable[[#This Row],[SP Qty]] * SnapshotTable[[#This Row],[SP Book Price]] * 100, 0)</f>
        <v>0</v>
      </c>
      <c r="BZ110" s="339"/>
      <c r="CA110" s="338">
        <f>SnapshotTable[[#This Row],[LP Qty]]</f>
        <v>0</v>
      </c>
      <c r="CB110" s="4" t="str">
        <f>IF(SnapshotTable[[#This Row],[SP Is Booked]], SnapshotTable[[#This Row],[SP Strike Price]] - SnapshotTable[[#This Row],[SP Book Price]], "")</f>
        <v/>
      </c>
      <c r="CC110" s="19" t="str">
        <f>IF(SnapshotTable[[#This Row],[SP Is Booked]],SnapshotTable[[#This Row],[SP Exp Date]]-MAX(SnapshotTable[[#This Row],[SP Book Date]], SnapshotTable[[#This Row],[SP Fill Date]]),"")</f>
        <v/>
      </c>
      <c r="CD110" s="7" t="str">
        <f>IF(SnapshotTable[[#This Row],[SP Is Booked]], SnapshotTable[[#This Row],[SP Book Price]]/SnapshotTable[[#This Row],[SP Strike Price]], "")</f>
        <v/>
      </c>
      <c r="CE110" s="7" t="str">
        <f>IF(ISNUMBER(SnapshotTable[[#This Row],[SP ROO Term]]),SnapshotTable[[#This Row],[SP ROO Term]]*(365/SnapshotTable[[#This Row],[SP Term]]),"")</f>
        <v/>
      </c>
      <c r="CF110" s="221">
        <f>SnapshotTable[[#This Row],[LP Strike Price]] * SnapshotTable[[#This Row],[LP Qty]] * 100</f>
        <v>0</v>
      </c>
      <c r="CG110" s="31">
        <f>IF(ISNUMBER(SnapshotTable[[#This Row],[SP Premium]]), (SnapshotTable[[#This Row],[SP Qty]] * SnapshotTable[[#This Row],[SP Strike Price]]* 100) - SnapshotTable[[#This Row],[LP Protection]], 0)</f>
        <v>0</v>
      </c>
      <c r="CH110" s="7" t="str">
        <f>IF(ISNUMBER(SnapshotTable[[#This Row],[SP Break Even]]),-1 * (SnapshotTable[[#This Row],[SP Break Even]] - SnapshotTable[[#This Row],[Last Price]]) / SnapshotTable[[#This Row],[Last Price]], "")</f>
        <v/>
      </c>
      <c r="CI110" s="31">
        <f>IF(AND(ISNUMBER((SnapshotTable[[#This Row],[SP Potential Spend]])), SnapshotTable[[#This Row],[SP Strike Price]] &gt; SnapshotTable[[#This Row],[Last Price]], SnapshotTable[[#This Row],[SP Is Filled]]), SnapshotTable[[#This Row],[SP Potential Spend]] -  SnapshotTable[[#This Row],[LP Max Value]], 0)</f>
        <v>0</v>
      </c>
      <c r="CJ110" s="229"/>
      <c r="CK110" s="31">
        <f>IF(ISNUMBER(SnapshotTable[[#This Row],[SP Potential Spend]]),IF(ISNUMBER(SnapshotTable[[#This Row],[SP POW]]), SnapshotTable[[#This Row],[SP POW]] * SnapshotTable[[#This Row],[SP Potential Spend]], SnapshotTable[[#This Row],[SP Potential Spend]]), "")</f>
        <v>0</v>
      </c>
      <c r="CL110" s="162">
        <f>IF(NOT(SnapshotTable[[#This Row],[SP Is Filled]]),(SnapshotTable[[#This Row],[SP Qty]] * SnapshotTable[[#This Row],[SP Strike Price]] * 100) - SnapshotTable[[#This Row],[LP Max Value]],"")</f>
        <v>0</v>
      </c>
      <c r="CM110" s="31" t="str">
        <f>IF(SnapshotTable[[#This Row],[SP Actual Spend]]&lt;&gt;0, ((SnapshotTable[[#This Row],[SP Strike Price]]-SnapshotTable[[#This Row],[Last Price]]) *(SnapshotTable[[#This Row],[SP Qty]]*100) - SnapshotTable[[#This Row],[SP Premium]]) * - 1, "")</f>
        <v/>
      </c>
      <c r="CN110" s="76"/>
      <c r="CO110" s="339"/>
      <c r="CP110" s="4" t="str">
        <f>IF(SnapshotTable[[#This Row],[SP Is Filled]], btc_max_buyback_amount(SnapshotTable[[#This Row],[SP Fill Date]],SnapshotTable[[#This Row],[SP Exp Date]], SnapshotTable[[#This Row],[SP Book Price]]),"")</f>
        <v/>
      </c>
      <c r="CQ110" s="76"/>
      <c r="CR1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0" s="153" t="str">
        <f>IF(SnapshotTable[[#This Row],[SP Is Filled]], btc_next_cutoff_date(SnapshotTable[[#This Row],[SP Fill Date]],SnapshotTable[[#This Row],[SP Exp Date]]),"")</f>
        <v/>
      </c>
      <c r="CT110" s="220" t="str" cm="1">
        <f t="array" ref="CT110">IF(SnapshotTable[[#This Row],[SP Is Filled]], btc_should_buy_back(SnapshotTable[[#This Row],[SP Fill Date]], SnapshotTable[[#This Row],[SP Exp Date]], SnapshotTable[[#This Row],[SP Book Price]], SnapshotTable[[#This Row],[SP Current Ask]], MockToday, SnapshotTable[[#This Row],[SP Buyback Override]]),"")</f>
        <v/>
      </c>
      <c r="CU110" s="141"/>
      <c r="CV110" s="220"/>
      <c r="CW110" s="348" t="str">
        <f>IF(ISNUMBER( SnapshotTable[[#This Row],[SP Term]]), SnapshotTable[[#This Row],[SP Exp Date]] - MockToday,"")</f>
        <v/>
      </c>
      <c r="CX110" s="31" t="str">
        <f>IF(SnapshotTable[[#This Row],[SP Is Filled]],SnapshotTable[[#This Row],[SP Buyback Price to Use]] * 100 * SnapshotTable[[#This Row],[SP Qty]], "")</f>
        <v/>
      </c>
      <c r="CY110" s="4" t="str">
        <f>IF(ISNUMBER(SnapshotTable[[#This Row],[SP Strike Price]]), SnapshotTable[[#This Row],[SP Strike Price]] * (1 - SP_MaxLoss_StrikePct), "")</f>
        <v/>
      </c>
      <c r="CZ110" s="31" t="str">
        <f>IF(ISNUMBER(SnapshotTable[[#This Row],[SP Strike  Stop Per Share]]),SnapshotTable[[#This Row],[SP Premium]] - ((SnapshotTable[[#This Row],[SP Strike Price]]-SnapshotTable[[#This Row],[SP Strike  Stop Per Share]]) *(SnapshotTable[[#This Row],[SP Qty]] * 100)),"")</f>
        <v/>
      </c>
      <c r="DA110" s="4" t="str">
        <f>IF(AND(ISNUMBER(SnapshotTable[[#This Row],[SP Premium]]),SnapshotTable[[#This Row],[SP Premium]]&gt;0), SnapshotTable[[#This Row],[SP Book Price]] * (1 + SP_MaxLoss_OptionPct), "")</f>
        <v/>
      </c>
      <c r="DB110" s="31" t="str">
        <f>IF(ISNUMBER(SnapshotTable[[#This Row],[SP Option  Stop Contract]]),(SnapshotTable[[#This Row],[SP Option  Stop Contract]] *(SnapshotTable[[#This Row],[SP Qty]] * 100) - SnapshotTable[[#This Row],[SP Premium]]),"")</f>
        <v/>
      </c>
      <c r="DC110" s="4"/>
      <c r="DD110" s="4"/>
      <c r="DE110" s="4" t="str">
        <f>IF(AND(SnapshotTable[[#This Row],[SP Qty]]&gt;0, SnapshotTable[[#This Row],[SP Stop To Use]]&gt;0),SnapshotTable[[#This Row],[SP Premium]] - ( SnapshotTable[[#This Row],[SP Qty]] * SnapshotTable[[#This Row],[SP Stop To Use]] * 100), "")</f>
        <v/>
      </c>
      <c r="DF110" s="31" t="str">
        <f>IF(AND(SnapshotTable[[#This Row],[SP Qty]]&gt;0,SnapshotTable[[#This Row],[SP Current Ask]]&gt;0), SnapshotTable[[#This Row],[SP Qty]] * SnapshotTable[[#This Row],[SP Current Ask]] * -100, "")</f>
        <v/>
      </c>
      <c r="DG110" s="31" t="str">
        <f>IF(ISNUMBER((SnapshotTable[[#This Row],[SP Total Value]])), SnapshotTable[[#This Row],[SP Premium]] + SnapshotTable[[#This Row],[SP Total Value]], "")</f>
        <v/>
      </c>
      <c r="DH110" s="272" t="str">
        <f>IF(ISNUMBER((SnapshotTable[[#This Row],[SP Total Value]])), SnapshotTable[[#This Row],[SP Gain Loss]] / SnapshotTable[[#This Row],[SP Premium]], "")</f>
        <v/>
      </c>
      <c r="DI110" s="369"/>
      <c r="DJ110" s="136"/>
      <c r="DK110" s="146"/>
      <c r="DL110" s="13"/>
      <c r="DM110" s="13"/>
      <c r="DO110" s="31">
        <f>IF(SnapshotTable[[#This Row],[LC Symbol Count]]=1, SnapshotTable[[#This Row],[LC Qty]] * SnapshotTable[[#This Row],[LC Book Price]] * 100, 0)</f>
        <v>0</v>
      </c>
      <c r="DP110" s="161" t="str">
        <f>IF(AND(SnapshotTable[[#This Row],[LC Exp Date]]&gt;0, SnapshotTable[[#This Row],[LC Strike Price]]&gt;0,SnapshotTable[[#This Row],[LC Qty]]&gt;0,SnapshotTable[[#This Row],[LC Book Date]]&gt;0,SnapshotTable[[#This Row],[LC Book Price]]&gt;0,SnapshotTable[[#This Row],[LC Fill Date]]=0),"Y","")</f>
        <v/>
      </c>
      <c r="DQ110" s="356" t="str">
        <f>IF(SnapshotTable[[#This Row],[LC Premium]] &gt; 0,SnapshotTable[[#This Row],[LC Exp Date]]-MAX(SnapshotTable[[#This Row],[LC Book Date]], SnapshotTable[[#This Row],[LC Fill Date]]),"")</f>
        <v/>
      </c>
      <c r="DR110" s="356" t="str">
        <f>IF(ISNUMBER(SnapshotTable[[#This Row],[LC Term]]), SnapshotTable[[#This Row],[LC Exp Date]] - MockToday, "")</f>
        <v/>
      </c>
      <c r="DS110" s="219" t="str">
        <f>IF(SnapshotTable[[#This Row],[LC Premium]]&gt;0,SnapshotTable[[#This Row],[LC Strike Price]] + SnapshotTable[[#This Row],[LC Book Price]],"")</f>
        <v/>
      </c>
      <c r="DU110" s="9" t="str">
        <f>IF(AND(SnapshotTable[[#This Row],[LC Symbol Count]]&gt;0, SnapshotTable[[#This Row],[LC Contract Value]]&gt;0), SnapshotTable[[#This Row],[LC Contract Value]] * SnapshotTable[[#This Row],[LC Qty]] * 100, "")</f>
        <v/>
      </c>
      <c r="DV110" s="9" t="str">
        <f>IF(AND(ISNUMBER(SnapshotTable[[#This Row],[LC Total Value]]), SnapshotTable[[#This Row],[LC Not Filled]]&lt;&gt;"Y"), SnapshotTable[[#This Row],[LC Total Value]]-SnapshotTable[[#This Row],[LC Premium]],"")</f>
        <v/>
      </c>
      <c r="DW110" s="225" t="str">
        <f>IF(ISNUMBER(SnapshotTable[[#This Row],[LC Actual Gain Loss]]), SnapshotTable[[#This Row],[LC Actual Gain Loss]] / SnapshotTable[[#This Row],[LC Premium]],"")</f>
        <v/>
      </c>
      <c r="DX110" s="269" t="str">
        <f>IF(ISNUMBER(SnapshotTable[[#This Row],[LC Book Price]]),SnapshotTable[[#This Row],[LC Book Price]] * 1.5,"")</f>
        <v/>
      </c>
      <c r="DY110" s="250" t="str">
        <f>IF(SnapshotTable[[#This Row],[LC Premium]]&gt;0, SnapshotTable[[#This Row],[LC Next Target]] * SnapshotTable[[#This Row],[LC Qty]] * 100,"")</f>
        <v/>
      </c>
      <c r="DZ110" s="250" t="str">
        <f>IF(ISNUMBER(SnapshotTable[[#This Row],[LC Target Gross]]), SnapshotTable[[#This Row],[LC Target Gross]] - SnapshotTable[[#This Row],[LC Premium]], "")</f>
        <v/>
      </c>
      <c r="EA110" s="283" t="str">
        <f>IF(ISNUMBER(SnapshotTable[[#This Row],[LC Target Gain Loss]]), SnapshotTable[[#This Row],[LC Target Gain Loss]]/SnapshotTable[[#This Row],[LC Premium]], "")</f>
        <v/>
      </c>
      <c r="EB110" s="247"/>
      <c r="EC110" s="268" t="str">
        <f>IF(SnapshotTable[[#This Row],[LC Premium]]&gt;0, SnapshotTable[[#This Row],[LC Book Price]] * (1 - LC_StopLoss_Pct),"")</f>
        <v/>
      </c>
      <c r="ED110" s="269"/>
      <c r="EE110" s="268" t="str">
        <f>IF(ISNUMBER(SnapshotTable[[#This Row],[LC Contract Value]]),IF(ISNUMBER(SnapshotTable[[#This Row],[LC Stop Loss Override]]), SnapshotTable[[#This Row],[LC Stop Loss Override]],SnapshotTable[[#This Row],[LC Stop Loss Calc Target]]),"")</f>
        <v/>
      </c>
      <c r="EF110" s="31" t="str">
        <f>IF(ISNUMBER(SnapshotTable[[#This Row],[LC Stop  To Use]]), (SnapshotTable[[#This Row],[LC Stop  To Use]] * SnapshotTable[[#This Row],[LC Qty]] * 100),"")</f>
        <v/>
      </c>
      <c r="EG110" s="9" t="str">
        <f>IF(ISNUMBER(SnapshotTable[[#This Row],[LC Total Value]]),SnapshotTable[[#This Row],[LC Stop Loss Amount]] - SnapshotTable[[#This Row],[LC Premium]],"")</f>
        <v/>
      </c>
      <c r="EH110" s="9">
        <f>IF(ISNUMBER(SnapshotTable[[#This Row],[LC Premium]]), SnapshotTable[[#This Row],[LC Qty]] * 100 * SnapshotTable[[#This Row],[LC Strike Price]], "")</f>
        <v>0</v>
      </c>
      <c r="EI110" s="225" t="str">
        <f>IF(AND(ISNUMBER(SnapshotTable[[#This Row],[LC Total Value]]),SnapshotTable[[#This Row],[LC Total Value]]&gt;0),SnapshotTable[[#This Row],[LC Stop Gain Loss]]  / SnapshotTable[[#This Row],[LC Premium]],"")</f>
        <v/>
      </c>
      <c r="EJ110" s="35">
        <f>IF(ISNUMBER(SnapshotTable[[#This Row],[Equity Shares]]),TRUNC(SnapshotTable[[#This Row],[Equity Shares]] / 100),0) + SnapshotTable[[#This Row],[LC Qty]]</f>
        <v>0</v>
      </c>
      <c r="EK110" s="145"/>
      <c r="EL110" s="136"/>
      <c r="EM110" s="146"/>
      <c r="EN110" s="145"/>
      <c r="EO110" s="145"/>
      <c r="EP110" s="136"/>
      <c r="EQ110" s="382" t="b">
        <f>AND(ISNUMBER(SnapshotTable[[#This Row],[SC Exp Date]]), ISNUMBER(SnapshotTable[[#This Row],[SC Strike Price]]), ISNUMBER(SnapshotTable[[#This Row],[SC Qty]]), ISNUMBER(SnapshotTable[[#This Row],[SC Book Date]]), ISNUMBER(SnapshotTable[[#This Row],[SC Book Price]]))</f>
        <v>0</v>
      </c>
      <c r="ER110" s="382" t="b">
        <f>AND(SnapshotTable[[#This Row],[SC Is Booked]], NOT(ISBLANK(SnapshotTable[[#This Row],[SC Fill Date]])))</f>
        <v>0</v>
      </c>
      <c r="ES110" s="340"/>
      <c r="ET110" s="34" t="str">
        <f>IF(AND(ISNUMBER(SnapshotTable[[#This Row],[SC Exp Date]]), ISNUMBER(SnapshotTable[[#This Row],[SC Book Date]])), SnapshotTable[[#This Row],[SC Exp Date]] - MAX(SnapshotTable[[#This Row],[SC Book Date]], SnapshotTable[[#This Row],[SC Fill Date]]) + 1, "")</f>
        <v/>
      </c>
      <c r="EU110" s="34" t="str">
        <f>IF(ISNUMBER(SnapshotTable[[#This Row],[SC Term]]), SnapshotTable[[#This Row],[SC Exp Date]]- MockToday, "")</f>
        <v/>
      </c>
      <c r="EV110" s="31">
        <f>IF(SnapshotTable[[#This Row],[SC Is Booked]], SnapshotTable[[#This Row],[SC Qty]] * SnapshotTable[[#This Row],[SC Book Price]] * 100, 0)</f>
        <v>0</v>
      </c>
      <c r="EW110" s="4" t="str">
        <f>IF(AND(ISNUMBER(SnapshotTable[[#This Row],[Last Price]]), ISNUMBER( SnapshotTable[[#This Row],[SC Book Price]])), SnapshotTable[[#This Row],[Last Price]] - SnapshotTable[[#This Row],[SC Book Price]],"")</f>
        <v/>
      </c>
      <c r="EX110" s="219" t="str">
        <f>IF(SnapshotTable[[#This Row],[SC Is Booked]],IF(SnapshotTable[[#This Row],[SC Intrinsic Value]] &gt; 0, SnapshotTable[[#This Row],[SC Strike Price]], SnapshotTable[[#This Row],[Last Price]]), "")</f>
        <v/>
      </c>
      <c r="EY110" s="4">
        <f>IF(SnapshotTable[[#This Row],[SC Is Booked]], (MinimumPremiumRequired * SnapshotTable[[#This Row],[SC Basis]] * SnapshotTable[[#This Row],[SC Term]]), 0)</f>
        <v>0</v>
      </c>
      <c r="EZ110" s="268"/>
      <c r="FA110" s="204"/>
      <c r="FB110" s="340"/>
      <c r="FC110" s="4">
        <f>IF(SnapshotTable[[#This Row],[SC Is Filled]], btc_max_buyback_amount(SnapshotTable[[#This Row],[SC Fill Date]],SnapshotTable[[#This Row],[SC Exp Date]], SnapshotTable[[#This Row],[SC Book Price]]),0)</f>
        <v>0</v>
      </c>
      <c r="FD110" s="5"/>
      <c r="FE110" s="142" t="str">
        <f>IF(SnapshotTable[[#This Row],[SC Is Filled]], btc_next_cutoff_date(SnapshotTable[[#This Row],[SC Fill Date]],SnapshotTable[[#This Row],[SC Exp Date]]),"")</f>
        <v/>
      </c>
      <c r="FF110" s="4" t="str" cm="1">
        <f t="array" ref="FF110">IF(SnapshotTable[[#This Row],[SC Is Filled]], btc_should_buy_back(SnapshotTable[[#This Row],[SC Fill Date]], SnapshotTable[[#This Row],[SC Exp Date]], SnapshotTable[[#This Row],[SC Book Price]], SnapshotTable[[#This Row],[SC Current Ask]], MockToday, SnapshotTable[[#This Row],[SC Buyback Override]]),"")</f>
        <v/>
      </c>
      <c r="FG110" s="4">
        <f>IF(SnapshotTable[[#This Row],[SC Is Filled]], MAX(0,SnapshotTable[[#This Row],[Last Price]]  - SnapshotTable[[#This Row],[SC Strike Price]]), 0)</f>
        <v>0</v>
      </c>
      <c r="FH110" s="352">
        <f>IF(SnapshotTable[[#This Row],[SC Is Filled]], IF(ISNUMBER(SnapshotTable[[#This Row],[SC Current Ask]]), SnapshotTable[[#This Row],[SC Current Ask]], SnapshotTable[[#This Row],[SC Book Price]]) - SnapshotTable[[#This Row],[SC Intrinsic Value]], 0)</f>
        <v>0</v>
      </c>
      <c r="FI110" s="141"/>
      <c r="FJ110" s="32" t="str">
        <f>IF(SnapshotTable[[#This Row],[SC Is Filled]],100 * SnapshotTable[[#This Row],[SC Qty]] * IF(ISNUMBER(SnapshotTable[[#This Row],[SC Buyback Override]]), SnapshotTable[[#This Row],[SC Buyback Override]], SnapshotTable[[#This Row],[SC Current Ask]]), "")</f>
        <v/>
      </c>
      <c r="FK110" s="235" t="str">
        <f>IF(SnapshotTable[[#This Row],[SC Time Val]]&gt;0, SnapshotTable[[#This Row],[SC Time Val]] / SnapshotTable[[#This Row],[Last Price]],"")</f>
        <v/>
      </c>
      <c r="FL110" s="280" t="str">
        <f>IF(SnapshotTable[[#This Row],[SC Is Booked]], ((SnapshotTable[[#This Row],[Last Price]] -SnapshotTable[[#This Row],[SC Strike Price]]) / SnapshotTable[[#This Row],[Last Price]]) * -1, "")</f>
        <v/>
      </c>
      <c r="FM110" s="155" t="str">
        <f>IF(SnapshotTable[[#This Row],[SC Is Booked]],  (SnapshotTable[[#This Row],[SC Qty]] * 100 * SnapshotTable[[#This Row],[SC Strike Price]]) - SnapshotTable[[#This Row],[SC Current Ask]], "")</f>
        <v/>
      </c>
      <c r="FN11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0" s="31" t="str">
        <f>IF(AND(ISNUMBER(SnapshotTable[[#This Row],[SC Exercise Gross]]), ISNUMBER(SnapshotTable[[#This Row],[Equity Basis Per Share]] )), SnapshotTable[[#This Row],[SC Exercise Gross]] - SnapshotTable[[#This Row],[Equity Basis Total]] +  SnapshotTable[[#This Row],[SC Premium]], "")</f>
        <v/>
      </c>
      <c r="FP110" s="5" t="str">
        <f>IF(ISNUMBER(SnapshotTable[[#This Row],[SC Exercise Gross]]), (SnapshotTable[[#This Row],[SC Exercise Gross]]) / (SnapshotTable[[#This Row],[SC Qty]] * 100), "")</f>
        <v/>
      </c>
      <c r="FQ110" s="27" t="str">
        <f>IF(SnapshotTable[[#This Row],[SC Is Booked]],SnapshotTable[[#This Row],[SC Time Val]] /SnapshotTable[[#This Row],[SC Basis]], "")</f>
        <v/>
      </c>
      <c r="FR110" s="27" t="str" cm="1">
        <f t="array" ref="FR110">IF(AND(ISNUMBER(SnapshotTable[[#This Row],[SC Term]]),ISNUMBER(SnapshotTable[[#This Row],[SC Simple ROO]])), EllmanAnnualize(SnapshotTable[[#This Row],[SC DTE]], SnapshotTable[[#This Row],[SC Simple ROO]] ),"")</f>
        <v/>
      </c>
      <c r="FS110" s="4">
        <f>IF(SnapshotTable[[#This Row],[SC Strike Price]] &gt; SnapshotTable[[#This Row],[Last Price]], SnapshotTable[[#This Row],[SC Strike Price]] - SnapshotTable[[#This Row],[Last Price]],0)</f>
        <v>0</v>
      </c>
      <c r="FT110" s="27" t="str">
        <f>IF(AND(ISNUMBER(SnapshotTable[[#This Row],[SC Upside Potential]]), SnapshotTable[[#This Row],[SC Upside Potential]] &gt; 0),(SnapshotTable[[#This Row],[SC Upside Potential]]/ SnapshotTable[[#This Row],[ACB]]),"")</f>
        <v/>
      </c>
      <c r="FU110" s="304" t="str">
        <f>IF(SnapshotTable[[#This Row],[SC Intrinsic Value]] &gt; 0,SnapshotTable[[#This Row],[SC Intrinsic Value]],"")</f>
        <v/>
      </c>
      <c r="FV110" s="27" t="str">
        <f>IF(AND( ISNUMBER( SnapshotTable[[#This Row],[ACB]]),ISNUMBER(SnapshotTable[[#This Row],[SC Downside Protect]])),SnapshotTable[[#This Row],[SC Downside Protect]] / SnapshotTable[[#This Row],[ACB]],"")</f>
        <v/>
      </c>
      <c r="FW110" s="221" t="str">
        <f>IF(AND(ISNUMBER(SnapshotTable[[#This Row],[SC Simple ROO]]),SnapshotTable[[#This Row],[SC Simple ROO]] &gt; 0), SnapshotTable[[#This Row],[SC Premium]] + (SnapshotTable[[#This Row],[SC Qty]] * SnapshotTable[[#This Row],[SC Upside Potential]]), "")</f>
        <v/>
      </c>
      <c r="FX110" s="280" t="str" cm="1">
        <f t="array" ref="FX110">IF(ISNUMBER(SnapshotTable[[#This Row],[SC Max Dollars]]), annualize(SnapshotTable[[#This Row],[SC Term]],(SnapshotTable[[#This Row],[SC Max Dollars]]/SnapshotTable[[#This Row],[SC Basis]])),"")</f>
        <v/>
      </c>
      <c r="FY110" s="221" t="str">
        <f>IF(AND(SnapshotTable[[#This Row],[SC Qty]]&gt;0,SnapshotTable[[#This Row],[SC Current Ask]]&gt;0), SnapshotTable[[#This Row],[SC Qty]] * SnapshotTable[[#This Row],[SC Current Ask]] * -100, "")</f>
        <v/>
      </c>
      <c r="FZ110" s="31" t="str">
        <f>IF(ISNUMBER((SnapshotTable[[#This Row],[SC Current Value]])), SnapshotTable[[#This Row],[SC Premium]] + SnapshotTable[[#This Row],[SC Current Value]], "")</f>
        <v/>
      </c>
      <c r="GA110" s="272" t="str">
        <f>IFERROR( IF(ISNUMBER((SnapshotTable[[#This Row],[SC Current Value]])), SnapshotTable[[#This Row],[SC Gain Loss]] / SnapshotTable[[#This Row],[SC Premium]], ""), "")</f>
        <v/>
      </c>
      <c r="GB110" s="42">
        <f>SnapshotTable[[#This Row],[Equity Shares]] * SaleSharesToConsiderPercentage</f>
        <v>0</v>
      </c>
      <c r="GC110" s="40">
        <f>SnapshotTable[[#This Row],[Long Term Target]] * SellingPriceToConsiderBasedOnTargetPercentage</f>
        <v>29.782499999999999</v>
      </c>
      <c r="GD110" s="40">
        <f>SnapshotTable[[#This Row],[Last Price]] * (1+ SellingPriceToConsiderBasedOnTargetPercentage)</f>
        <v>172.6335</v>
      </c>
      <c r="GE110" s="41"/>
      <c r="GF110" s="40"/>
      <c r="GG110" s="31">
        <f>SnapshotTable[[#This Row],[Booked Sale Shares]] * SnapshotTable[[#This Row],[Booked Sale Price]]</f>
        <v>0</v>
      </c>
      <c r="GH110" s="31" t="str">
        <f>IF(SnapshotTable[[#This Row],[Equity Basis Total]] &gt; 0, SnapshotTable[[#This Row],[Equity Basis Per Share]] * SnapshotTable[[#This Row],[Booked Sale Shares]], "")</f>
        <v/>
      </c>
      <c r="GI110" s="31">
        <f>IF(SnapshotTable[[#This Row],[Sale Proceeds]]&gt;0, SnapshotTable[[#This Row],[Sale Proceeds]] - SnapshotTable[[#This Row],[Sale Basis]], 0)</f>
        <v>0</v>
      </c>
      <c r="GJ110" s="27" t="str">
        <f>IF(SnapshotTable[[#This Row],[Sale G/L]]&gt;0, SnapshotTable[[#This Row],[Sale G/L]] / SnapshotTable[[#This Row],[Sale Basis]], IF(ISNUMBER(SnapshotTable[[#This Row],[SC Exercise P&amp;L (TAX)]]), SnapshotTable[[#This Row],[SC Exercise P&amp;L (TAX)]] / SnapshotTable[[#This Row],[SC Basis]], ""))</f>
        <v/>
      </c>
      <c r="GK110" s="27" t="s">
        <v>557</v>
      </c>
      <c r="GL110" s="43" t="str">
        <f>IF(AND(SnapshotTable[[#This Row],[LP Exp Date]]&gt;0,SnapshotTable[[#This Row],[LP Strike Price]]&gt;0), [1]!ToOptionSymbol(SnapshotTable[[#This Row],[Symbol]], SnapshotTable[[#This Row],[LP Strike Price]],SnapshotTable[[#This Row],[LP Exp Date]],1), "")</f>
        <v/>
      </c>
      <c r="GM110" s="30" t="str">
        <f>IF(LEN(SnapshotTable[[#This Row],[LP Symbol]])&gt;0, 1, "")</f>
        <v/>
      </c>
      <c r="GN110" s="43" t="str">
        <f>IF(AND(SnapshotTable[[#This Row],[SP Exp Date]]&gt;0,SnapshotTable[[#This Row],[SP Strike Price]]&gt;0), [1]!ToOptionSymbol(SnapshotTable[[#This Row],[Symbol]], SnapshotTable[[#This Row],[SP Strike Price]],SnapshotTable[[#This Row],[SP Exp Date]],1), "")</f>
        <v/>
      </c>
      <c r="GO110" s="30" t="str">
        <f>IF(LEN(SnapshotTable[[#This Row],[SP Symbol]])&gt;0, 1, "")</f>
        <v/>
      </c>
      <c r="GP110" s="43" t="str">
        <f>IF(AND(SnapshotTable[[#This Row],[LC Exp Date]]&gt;0,SnapshotTable[[#This Row],[LC Strike Price]]&gt;0), [1]!ToOptionSymbol(SnapshotTable[[#This Row],[Symbol]], SnapshotTable[[#This Row],[LC Strike Price]],SnapshotTable[[#This Row],[LC Exp Date]],0), "")</f>
        <v/>
      </c>
      <c r="GQ110" s="30" t="str">
        <f>IF(LEN(SnapshotTable[[#This Row],[LC Symbol]])&gt;0, 1, "")</f>
        <v/>
      </c>
      <c r="GR110" s="43" t="str">
        <f>IF(AND(SnapshotTable[[#This Row],[SC Exp Date]]&gt;0,SnapshotTable[[#This Row],[SC Strike Price]]&gt;0), [1]!ToOptionSymbol(SnapshotTable[[#This Row],[Symbol]], SnapshotTable[[#This Row],[SC Strike Price]],SnapshotTable[[#This Row],[SC Exp Date]],0), "")</f>
        <v/>
      </c>
      <c r="GS110" s="30" t="str">
        <f>IF(LEN(SnapshotTable[[#This Row],[SC Symbol]])&gt;0, 1, "")</f>
        <v/>
      </c>
      <c r="GT110" s="29" t="str">
        <f>IF(COUNT(SnapshotTable[[#This Row],[LP Symbol Count]],SnapshotTable[[#This Row],[SP Symbol Count]],SnapshotTable[[#This Row],[LC Symbol Count]],SnapshotTable[[#This Row],[SC Symbol Count]])&gt;0, "Y", "")</f>
        <v/>
      </c>
      <c r="GU1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0" s="216">
        <f>MAX(SnapshotTable[[#This Row],[Equity Basis Total]],SnapshotTable[[#This Row],[Equity Value]]) + (SnapshotTable[[#This Row],[SP Potential Spend]]- SnapshotTable[[#This Row],[SP Premium]] + SnapshotTable[[#This Row],[LP Premium]])+ (SnapshotTable[[#This Row],[LC Premium]] - SnapshotTable[[#This Row],[SC Premium]])</f>
        <v>0</v>
      </c>
      <c r="GW110" s="137" t="str">
        <f>IF(AND(SnapshotTable[[#This Row],[Exposure]] &lt;&gt; 0),SnapshotTable[[#This Row],[Exposure]] / SnapshotTable[[#Totals],[Exposure]], "")</f>
        <v/>
      </c>
      <c r="HE110" s="253"/>
      <c r="HF110" s="253"/>
      <c r="HK110" s="1"/>
      <c r="HL110" s="1"/>
      <c r="HM110" s="1"/>
      <c r="HN110" s="1"/>
      <c r="HO110" s="1"/>
      <c r="HP110" s="1"/>
    </row>
    <row r="111" spans="2:224" ht="12.75" hidden="1" customHeight="1" x14ac:dyDescent="0.25">
      <c r="B111" s="12" t="s">
        <v>38</v>
      </c>
      <c r="C111" s="385">
        <v>396.81</v>
      </c>
      <c r="D111" s="200"/>
      <c r="E111" s="39">
        <f>SnapshotTable[[#This Row],[Last Price]]*(1 -CrashDiscount)</f>
        <v>337.2885</v>
      </c>
      <c r="F111" s="26" t="s">
        <v>497</v>
      </c>
      <c r="G111" s="26" t="s">
        <v>7</v>
      </c>
      <c r="H111" s="147"/>
      <c r="I111" s="186">
        <v>44798.291666666664</v>
      </c>
      <c r="J111" s="187">
        <v>44798.291666666664</v>
      </c>
      <c r="K111" s="188"/>
      <c r="L111" s="297"/>
      <c r="M111" s="138">
        <v>2</v>
      </c>
      <c r="N111" s="138" t="b">
        <v>1</v>
      </c>
      <c r="O111" s="138">
        <v>2</v>
      </c>
      <c r="P111" s="22"/>
      <c r="Q111" s="25"/>
      <c r="R111" s="4" t="str">
        <f>IF(SnapshotTable[[#This Row],[Equity Basis Total]] &gt; 0, SnapshotTable[[#This Row],[Equity Basis Total]] / SnapshotTable[[#This Row],[Equity Shares]], "")</f>
        <v/>
      </c>
      <c r="S111" s="254">
        <f>SnapshotTable[[#This Row],[Last Price]] * SnapshotTable[[#This Row],[Equity Shares]]</f>
        <v>0</v>
      </c>
      <c r="T111" s="254">
        <f>SnapshotTable[[#This Row],[Equity Value]] - SnapshotTable[[#This Row],[Equity Basis Total]]</f>
        <v>0</v>
      </c>
      <c r="U111" s="255" t="str">
        <f>IF(SnapshotTable[[#This Row],[Equity Basis Total]] &gt; 0, SnapshotTable[[#This Row],[Equity G/L]] / SnapshotTable[[#This Row],[Equity Basis Total]], "")</f>
        <v/>
      </c>
      <c r="V111" s="253"/>
      <c r="W111" s="253"/>
      <c r="X111" s="4" t="str">
        <f>IF(AND(ISNUMBER(SnapshotTable[[#This Row],[Equity Basis Per Share]]),ISNUMBER(SnapshotTable[[#This Row],[Equity Target]])),SnapshotTable[[#This Row],[Equity Target]]-SnapshotTable[[#This Row],[Equity Basis Per Share]],"")</f>
        <v/>
      </c>
      <c r="Y111" s="4" t="str">
        <f>IF(AND(ISNUMBER(SnapshotTable[[#This Row],[Equity Basis Per Share]]),ISNUMBER(SnapshotTable[[#This Row],[Equity Stop Loss]])),SnapshotTable[[#This Row],[Equity Stop Loss]]-SnapshotTable[[#This Row],[Equity Basis Per Share]],"")</f>
        <v/>
      </c>
      <c r="Z111" s="260" t="str">
        <f>IFERROR( TEXT(SnapshotTable[[#This Row],[Equity Max Gain Per Share]] /ABS( SnapshotTable[[#This Row],[Equity Max Loss Per Share]]),"0.0 " ) &amp; " : 1", "")</f>
        <v/>
      </c>
      <c r="AA111" s="31" t="str">
        <f>IF(ISNUMBER(SnapshotTable[[#This Row],[Equity Max Gain Per Share]]),SnapshotTable[[#This Row],[Equity Max Gain Per Share]] * SnapshotTable[[#This Row],[Equity Shares]],"")</f>
        <v/>
      </c>
      <c r="AB111" s="31" t="str">
        <f>IF(ISNUMBER(SnapshotTable[[#This Row],[Equity Max Loss Per Share]]),SnapshotTable[[#This Row],[Equity Max Loss Per Share]] * SnapshotTable[[#This Row],[Equity Shares]],"")</f>
        <v/>
      </c>
      <c r="AC111" s="148">
        <v>4.08</v>
      </c>
      <c r="AD111" s="149">
        <v>43008</v>
      </c>
      <c r="AE111" s="31">
        <f>(SnapshotTable[[#This Row],[Annual Dividend Per Share]] / 4) * SnapshotTable[[#This Row],[Equity Shares]]</f>
        <v>0</v>
      </c>
      <c r="AF111" s="31">
        <f>SnapshotTable[[#This Row],[Quarterly Div $]] * 4</f>
        <v>0</v>
      </c>
      <c r="AG111" s="7">
        <f>IF(SnapshotTable[[#This Row],[Annual Dividend Per Share]]&gt;0, SnapshotTable[[#This Row],[Annual Dividend Per Share]]  / SnapshotTable[[#This Row],[Last Price]], 0)</f>
        <v>1.0281998941558932E-2</v>
      </c>
      <c r="AH111" s="149">
        <v>43266</v>
      </c>
      <c r="AI111" s="5">
        <v>345</v>
      </c>
      <c r="AJ111" s="136">
        <v>476.54</v>
      </c>
      <c r="AK111" s="150">
        <f>IF(ISNUMBER( SnapshotTable[[#This Row],[EBF Target]]),(SnapshotTable[[#This Row],[EBF Target]] - SnapshotTable[[#This Row],[Last Price]]) / SnapshotTable[[#This Row],[Last Price]], "")</f>
        <v>-0.13056626597111967</v>
      </c>
      <c r="AL111" s="150" t="str">
        <f>IF(AND(SnapshotTable[[#This Row],[Equity Basis Total]] &gt; 0,ISNUMBER( SnapshotTable[[#This Row],[Long Term Target]])), SnapshotTable[[#This Row],[From Basis $]] / SnapshotTable[[#This Row],[Equity Basis Total]], "")</f>
        <v/>
      </c>
      <c r="AM111" s="9">
        <f>IF( AND(SnapshotTable[[#This Row],[Equity Shares]] &gt;0,ISNUMBER( SnapshotTable[[#This Row],[Long Term Target]])),(SnapshotTable[[#This Row],[Equity Shares]] * SnapshotTable[[#This Row],[Long Term Target]]) - SnapshotTable[[#This Row],[Equity Basis Total]],0)</f>
        <v>0</v>
      </c>
      <c r="AN111" s="9">
        <f>IF( AND(SnapshotTable[[#This Row],[Equity Shares]] &gt;0,ISNUMBER( SnapshotTable[[#This Row],[Long Term Target]])),(SnapshotTable[[#This Row],[Equity Shares]]*SnapshotTable[[#This Row],[Long Term Target]]) - SnapshotTable[[#This Row],[Equity Value]],0)</f>
        <v>0</v>
      </c>
      <c r="AO111" s="150">
        <f>IF(AND(ISNUMBER( SnapshotTable[[#This Row],[Long Term Target]]), ISNUMBER(SnapshotTable[[#This Row],[Last Price]])),(SnapshotTable[[#This Row],[Long Term Target]] - SnapshotTable[[#This Row],[Last Price]]) / SnapshotTable[[#This Row],[Last Price]], "")</f>
        <v>0.20092739598296419</v>
      </c>
      <c r="AP111" s="5">
        <v>8</v>
      </c>
      <c r="AQ111" s="38" t="s">
        <v>16</v>
      </c>
      <c r="AR111" s="5">
        <v>8</v>
      </c>
      <c r="AS111" s="38" t="s">
        <v>22</v>
      </c>
      <c r="AT111" s="144" t="s">
        <v>442</v>
      </c>
      <c r="AU111" s="185" t="str">
        <f>IF(OR(SnapshotTable[[#This Row],[LP No Fill]]="Y",SnapshotTable[[#This Row],[SP Is Filled]],SnapshotTable[[#This Row],[LC Not Filled]]="Y",SnapshotTable[[#This Row],[SC Is Filled]]),"Y","")</f>
        <v/>
      </c>
      <c r="AV111" s="205"/>
      <c r="AW111" s="211"/>
      <c r="AX111" s="206"/>
      <c r="AY111" s="205" t="str">
        <f>IF(SnapshotTable[[#This Row],[Implied Move]]&gt;0, SnapshotTable[[#This Row],[Last Price]]-SnapshotTable[[#This Row],[Implied Move]],"")</f>
        <v/>
      </c>
      <c r="AZ111" s="205" t="str">
        <f>IF(SnapshotTable[[#This Row],[Implied Move]]&gt;0, SnapshotTable[[#This Row],[Last Price]] + SnapshotTable[[#This Row],[Implied Move]],"")</f>
        <v/>
      </c>
      <c r="BA111" s="302">
        <v>232.5</v>
      </c>
      <c r="BB111" s="318"/>
      <c r="BC1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1" s="321"/>
      <c r="BE111" s="5"/>
      <c r="BF111" s="14"/>
      <c r="BG111" s="13"/>
      <c r="BH111" s="13"/>
      <c r="BI111" s="5"/>
      <c r="BJ111" s="134">
        <f>IF(SnapshotTable[[#This Row],[LP Qty]] &gt; 0, SnapshotTable[[#This Row],[LP Qty]] * SnapshotTable[[#This Row],[LP Book Price]] * 100,0)</f>
        <v>0</v>
      </c>
      <c r="BK111" s="134">
        <f>IF(SnapshotTable[[#This Row],[LP Premium]] &gt; 0, SnapshotTable[[#This Row],[LP Qty]] * SnapshotTable[[#This Row],[LP Strike Price]] * 100,0)</f>
        <v>0</v>
      </c>
      <c r="BL111" s="152"/>
      <c r="BM111" s="355" t="str">
        <f>IF(SnapshotTable[[#This Row],[LP Premium]] &gt; 0,SnapshotTable[[#This Row],[LP Exp Date]]-MAX(SnapshotTable[[#This Row],[LP Book Date]], SnapshotTable[[#This Row],[LP Fill Date]]),"")</f>
        <v/>
      </c>
      <c r="BN111" s="355" t="str">
        <f>IF(ISNUMBER( SnapshotTable[[#This Row],[LP Term]]), SnapshotTable[[#This Row],[LP Exp Date]] - MockToday,"")</f>
        <v/>
      </c>
      <c r="BO111" s="161" t="str">
        <f>IF(AND(SnapshotTable[[#This Row],[LP Exp Date]]&gt;0, SnapshotTable[[#This Row],[LP Strike Price]]&gt;0,SnapshotTable[[#This Row],[LP Qty]]&gt;0,SnapshotTable[[#This Row],[LP Book Date]]&gt;0,SnapshotTable[[#This Row],[LP Book Price]]&gt;0,SnapshotTable[[#This Row],[LP Fill Date]]=0),"Y","")</f>
        <v/>
      </c>
      <c r="BP111" s="31" t="str">
        <f>IF(AND(SnapshotTable[[#This Row],[LP No Fill]]&lt;&gt;"Y",SnapshotTable[[#This Row],[LP Contract Value]]&gt;0, SnapshotTable[[#This Row],[LP Qty]]&gt;0), SnapshotTable[[#This Row],[LP Contract Value]]*SnapshotTable[[#This Row],[LP Qty]]*100,"")</f>
        <v/>
      </c>
      <c r="BQ111" s="13"/>
      <c r="BR111" s="5"/>
      <c r="BS111" s="36"/>
      <c r="BT111" s="145"/>
      <c r="BU111" s="13"/>
      <c r="BV111" s="5"/>
      <c r="BW111" s="382" t="b">
        <f>AND(ISNUMBER(SnapshotTable[[#This Row],[SP Exp Date]]), ISNUMBER(SnapshotTable[[#This Row],[SP Strike Price]]), ISNUMBER(SnapshotTable[[#This Row],[SP Qty]]), ISNUMBER(SnapshotTable[[#This Row],[SP Book Date]]), ISNUMBER(SnapshotTable[[#This Row],[SP Book Price]]))</f>
        <v>0</v>
      </c>
      <c r="BX111" s="382" t="b">
        <f>AND(SnapshotTable[[#This Row],[SP Is Booked]], NOT(ISBLANK(SnapshotTable[[#This Row],[SP Fill Date]])))</f>
        <v>0</v>
      </c>
      <c r="BY111" s="33">
        <f>IF(SnapshotTable[[#This Row],[SP Is Booked]], SnapshotTable[[#This Row],[SP Qty]] * SnapshotTable[[#This Row],[SP Book Price]] * 100, 0)</f>
        <v>0</v>
      </c>
      <c r="BZ111" s="339"/>
      <c r="CA111" s="338">
        <f>SnapshotTable[[#This Row],[LP Qty]]</f>
        <v>0</v>
      </c>
      <c r="CB111" s="4" t="str">
        <f>IF(SnapshotTable[[#This Row],[SP Is Booked]], SnapshotTable[[#This Row],[SP Strike Price]] - SnapshotTable[[#This Row],[SP Book Price]], "")</f>
        <v/>
      </c>
      <c r="CC111" s="19" t="str">
        <f>IF(SnapshotTable[[#This Row],[SP Is Booked]],SnapshotTable[[#This Row],[SP Exp Date]]-MAX(SnapshotTable[[#This Row],[SP Book Date]], SnapshotTable[[#This Row],[SP Fill Date]]),"")</f>
        <v/>
      </c>
      <c r="CD111" s="7" t="str">
        <f>IF(SnapshotTable[[#This Row],[SP Is Booked]], SnapshotTable[[#This Row],[SP Book Price]]/SnapshotTable[[#This Row],[SP Strike Price]], "")</f>
        <v/>
      </c>
      <c r="CE111" s="7" t="str">
        <f>IF(ISNUMBER(SnapshotTable[[#This Row],[SP ROO Term]]),SnapshotTable[[#This Row],[SP ROO Term]]*(365/SnapshotTable[[#This Row],[SP Term]]),"")</f>
        <v/>
      </c>
      <c r="CF111" s="221">
        <f>SnapshotTable[[#This Row],[LP Strike Price]] * SnapshotTable[[#This Row],[LP Qty]] * 100</f>
        <v>0</v>
      </c>
      <c r="CG111" s="31">
        <f>IF(ISNUMBER(SnapshotTable[[#This Row],[SP Premium]]), (SnapshotTable[[#This Row],[SP Qty]] * SnapshotTable[[#This Row],[SP Strike Price]]* 100) - SnapshotTable[[#This Row],[LP Protection]], 0)</f>
        <v>0</v>
      </c>
      <c r="CH111" s="7" t="str">
        <f>IF(ISNUMBER(SnapshotTable[[#This Row],[SP Break Even]]),-1 * (SnapshotTable[[#This Row],[SP Break Even]] - SnapshotTable[[#This Row],[Last Price]]) / SnapshotTable[[#This Row],[Last Price]], "")</f>
        <v/>
      </c>
      <c r="CI111" s="31">
        <f>IF(AND(ISNUMBER((SnapshotTable[[#This Row],[SP Potential Spend]])), SnapshotTable[[#This Row],[SP Strike Price]] &gt; SnapshotTable[[#This Row],[Last Price]], SnapshotTable[[#This Row],[SP Is Filled]]), SnapshotTable[[#This Row],[SP Potential Spend]] -  SnapshotTable[[#This Row],[LP Max Value]], 0)</f>
        <v>0</v>
      </c>
      <c r="CJ111" s="229"/>
      <c r="CK111" s="31">
        <f>IF(ISNUMBER(SnapshotTable[[#This Row],[SP Potential Spend]]),IF(ISNUMBER(SnapshotTable[[#This Row],[SP POW]]), SnapshotTable[[#This Row],[SP POW]] * SnapshotTable[[#This Row],[SP Potential Spend]], SnapshotTable[[#This Row],[SP Potential Spend]]), "")</f>
        <v>0</v>
      </c>
      <c r="CL111" s="162">
        <f>IF(NOT(SnapshotTable[[#This Row],[SP Is Filled]]),(SnapshotTable[[#This Row],[SP Qty]] * SnapshotTable[[#This Row],[SP Strike Price]] * 100) - SnapshotTable[[#This Row],[LP Max Value]],"")</f>
        <v>0</v>
      </c>
      <c r="CM111" s="31" t="str">
        <f>IF(SnapshotTable[[#This Row],[SP Actual Spend]]&lt;&gt;0, ((SnapshotTable[[#This Row],[SP Strike Price]]-SnapshotTable[[#This Row],[Last Price]]) *(SnapshotTable[[#This Row],[SP Qty]]*100) - SnapshotTable[[#This Row],[SP Premium]]) * - 1, "")</f>
        <v/>
      </c>
      <c r="CN111" s="76"/>
      <c r="CO111" s="339"/>
      <c r="CP111" s="4" t="str">
        <f>IF(SnapshotTable[[#This Row],[SP Is Filled]], btc_max_buyback_amount(SnapshotTable[[#This Row],[SP Fill Date]],SnapshotTable[[#This Row],[SP Exp Date]], SnapshotTable[[#This Row],[SP Book Price]]),"")</f>
        <v/>
      </c>
      <c r="CQ111" s="76"/>
      <c r="CR1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1" s="153" t="str">
        <f>IF(SnapshotTable[[#This Row],[SP Is Filled]], btc_next_cutoff_date(SnapshotTable[[#This Row],[SP Fill Date]],SnapshotTable[[#This Row],[SP Exp Date]]),"")</f>
        <v/>
      </c>
      <c r="CT111" s="220" t="str" cm="1">
        <f t="array" ref="CT111">IF(SnapshotTable[[#This Row],[SP Is Filled]], btc_should_buy_back(SnapshotTable[[#This Row],[SP Fill Date]], SnapshotTable[[#This Row],[SP Exp Date]], SnapshotTable[[#This Row],[SP Book Price]], SnapshotTable[[#This Row],[SP Current Ask]], MockToday, SnapshotTable[[#This Row],[SP Buyback Override]]),"")</f>
        <v/>
      </c>
      <c r="CU111" s="141"/>
      <c r="CV111" s="220"/>
      <c r="CW111" s="348" t="str">
        <f>IF(ISNUMBER( SnapshotTable[[#This Row],[SP Term]]), SnapshotTable[[#This Row],[SP Exp Date]] - MockToday,"")</f>
        <v/>
      </c>
      <c r="CX111" s="31" t="str">
        <f>IF(SnapshotTable[[#This Row],[SP Is Filled]],SnapshotTable[[#This Row],[SP Buyback Price to Use]] * 100 * SnapshotTable[[#This Row],[SP Qty]], "")</f>
        <v/>
      </c>
      <c r="CY111" s="4" t="str">
        <f>IF(ISNUMBER(SnapshotTable[[#This Row],[SP Strike Price]]), SnapshotTable[[#This Row],[SP Strike Price]] * (1 - SP_MaxLoss_StrikePct), "")</f>
        <v/>
      </c>
      <c r="CZ111" s="31" t="str">
        <f>IF(ISNUMBER(SnapshotTable[[#This Row],[SP Strike  Stop Per Share]]),SnapshotTable[[#This Row],[SP Premium]] - ((SnapshotTable[[#This Row],[SP Strike Price]]-SnapshotTable[[#This Row],[SP Strike  Stop Per Share]]) *(SnapshotTable[[#This Row],[SP Qty]] * 100)),"")</f>
        <v/>
      </c>
      <c r="DA111" s="4" t="str">
        <f>IF(AND(ISNUMBER(SnapshotTable[[#This Row],[SP Premium]]),SnapshotTable[[#This Row],[SP Premium]]&gt;0), SnapshotTable[[#This Row],[SP Book Price]] * (1 + SP_MaxLoss_OptionPct), "")</f>
        <v/>
      </c>
      <c r="DB111" s="31" t="str">
        <f>IF(ISNUMBER(SnapshotTable[[#This Row],[SP Option  Stop Contract]]),(SnapshotTable[[#This Row],[SP Option  Stop Contract]] *(SnapshotTable[[#This Row],[SP Qty]] * 100) - SnapshotTable[[#This Row],[SP Premium]]),"")</f>
        <v/>
      </c>
      <c r="DC111" s="4"/>
      <c r="DD111" s="4"/>
      <c r="DE111" s="4" t="str">
        <f>IF(AND(SnapshotTable[[#This Row],[SP Qty]]&gt;0, SnapshotTable[[#This Row],[SP Stop To Use]]&gt;0),SnapshotTable[[#This Row],[SP Premium]] - ( SnapshotTable[[#This Row],[SP Qty]] * SnapshotTable[[#This Row],[SP Stop To Use]] * 100), "")</f>
        <v/>
      </c>
      <c r="DF111" s="31" t="str">
        <f>IF(AND(SnapshotTable[[#This Row],[SP Qty]]&gt;0,SnapshotTable[[#This Row],[SP Current Ask]]&gt;0), SnapshotTable[[#This Row],[SP Qty]] * SnapshotTable[[#This Row],[SP Current Ask]] * -100, "")</f>
        <v/>
      </c>
      <c r="DG111" s="31" t="str">
        <f>IF(ISNUMBER((SnapshotTable[[#This Row],[SP Total Value]])), SnapshotTable[[#This Row],[SP Premium]] + SnapshotTable[[#This Row],[SP Total Value]], "")</f>
        <v/>
      </c>
      <c r="DH111" s="272" t="str">
        <f>IF(ISNUMBER((SnapshotTable[[#This Row],[SP Total Value]])), SnapshotTable[[#This Row],[SP Gain Loss]] / SnapshotTable[[#This Row],[SP Premium]], "")</f>
        <v/>
      </c>
      <c r="DI111" s="369"/>
      <c r="DJ111" s="136"/>
      <c r="DK111" s="146"/>
      <c r="DL111" s="13"/>
      <c r="DM111" s="13"/>
      <c r="DO111" s="31">
        <f>IF(SnapshotTable[[#This Row],[LC Symbol Count]]=1, SnapshotTable[[#This Row],[LC Qty]] * SnapshotTable[[#This Row],[LC Book Price]] * 100, 0)</f>
        <v>0</v>
      </c>
      <c r="DP111" s="161" t="str">
        <f>IF(AND(SnapshotTable[[#This Row],[LC Exp Date]]&gt;0, SnapshotTable[[#This Row],[LC Strike Price]]&gt;0,SnapshotTable[[#This Row],[LC Qty]]&gt;0,SnapshotTable[[#This Row],[LC Book Date]]&gt;0,SnapshotTable[[#This Row],[LC Book Price]]&gt;0,SnapshotTable[[#This Row],[LC Fill Date]]=0),"Y","")</f>
        <v/>
      </c>
      <c r="DQ111" s="356" t="str">
        <f>IF(SnapshotTable[[#This Row],[LC Premium]] &gt; 0,SnapshotTable[[#This Row],[LC Exp Date]]-MAX(SnapshotTable[[#This Row],[LC Book Date]], SnapshotTable[[#This Row],[LC Fill Date]]),"")</f>
        <v/>
      </c>
      <c r="DR111" s="356" t="str">
        <f>IF(ISNUMBER(SnapshotTable[[#This Row],[LC Term]]), SnapshotTable[[#This Row],[LC Exp Date]] - MockToday, "")</f>
        <v/>
      </c>
      <c r="DS111" s="219" t="str">
        <f>IF(SnapshotTable[[#This Row],[LC Premium]]&gt;0,SnapshotTable[[#This Row],[LC Strike Price]] + SnapshotTable[[#This Row],[LC Book Price]],"")</f>
        <v/>
      </c>
      <c r="DU111" s="9" t="str">
        <f>IF(AND(SnapshotTable[[#This Row],[LC Symbol Count]]&gt;0, SnapshotTable[[#This Row],[LC Contract Value]]&gt;0), SnapshotTable[[#This Row],[LC Contract Value]] * SnapshotTable[[#This Row],[LC Qty]] * 100, "")</f>
        <v/>
      </c>
      <c r="DV111" s="9" t="str">
        <f>IF(AND(ISNUMBER(SnapshotTable[[#This Row],[LC Total Value]]), SnapshotTable[[#This Row],[LC Not Filled]]&lt;&gt;"Y"), SnapshotTable[[#This Row],[LC Total Value]]-SnapshotTable[[#This Row],[LC Premium]],"")</f>
        <v/>
      </c>
      <c r="DW111" s="225" t="str">
        <f>IF(ISNUMBER(SnapshotTable[[#This Row],[LC Actual Gain Loss]]), SnapshotTable[[#This Row],[LC Actual Gain Loss]] / SnapshotTable[[#This Row],[LC Premium]],"")</f>
        <v/>
      </c>
      <c r="DX111" s="269" t="str">
        <f>IF(ISNUMBER(SnapshotTable[[#This Row],[LC Book Price]]),SnapshotTable[[#This Row],[LC Book Price]] * 1.5,"")</f>
        <v/>
      </c>
      <c r="DY111" s="250" t="str">
        <f>IF(SnapshotTable[[#This Row],[LC Premium]]&gt;0, SnapshotTable[[#This Row],[LC Next Target]] * SnapshotTable[[#This Row],[LC Qty]] * 100,"")</f>
        <v/>
      </c>
      <c r="DZ111" s="250" t="str">
        <f>IF(ISNUMBER(SnapshotTable[[#This Row],[LC Target Gross]]), SnapshotTable[[#This Row],[LC Target Gross]] - SnapshotTable[[#This Row],[LC Premium]], "")</f>
        <v/>
      </c>
      <c r="EA111" s="283" t="str">
        <f>IF(ISNUMBER(SnapshotTable[[#This Row],[LC Target Gain Loss]]), SnapshotTable[[#This Row],[LC Target Gain Loss]]/SnapshotTable[[#This Row],[LC Premium]], "")</f>
        <v/>
      </c>
      <c r="EB111" s="247"/>
      <c r="EC111" s="268" t="str">
        <f>IF(SnapshotTable[[#This Row],[LC Premium]]&gt;0, SnapshotTable[[#This Row],[LC Book Price]] * (1 - LC_StopLoss_Pct),"")</f>
        <v/>
      </c>
      <c r="ED111" s="269"/>
      <c r="EE111" s="268" t="str">
        <f>IF(ISNUMBER(SnapshotTable[[#This Row],[LC Contract Value]]),IF(ISNUMBER(SnapshotTable[[#This Row],[LC Stop Loss Override]]), SnapshotTable[[#This Row],[LC Stop Loss Override]],SnapshotTable[[#This Row],[LC Stop Loss Calc Target]]),"")</f>
        <v/>
      </c>
      <c r="EF111" s="31" t="str">
        <f>IF(ISNUMBER(SnapshotTable[[#This Row],[LC Stop  To Use]]), (SnapshotTable[[#This Row],[LC Stop  To Use]] * SnapshotTable[[#This Row],[LC Qty]] * 100),"")</f>
        <v/>
      </c>
      <c r="EG111" s="9" t="str">
        <f>IF(ISNUMBER(SnapshotTable[[#This Row],[LC Total Value]]),SnapshotTable[[#This Row],[LC Stop Loss Amount]] - SnapshotTable[[#This Row],[LC Premium]],"")</f>
        <v/>
      </c>
      <c r="EH111" s="9">
        <f>IF(ISNUMBER(SnapshotTable[[#This Row],[LC Premium]]), SnapshotTable[[#This Row],[LC Qty]] * 100 * SnapshotTable[[#This Row],[LC Strike Price]], "")</f>
        <v>0</v>
      </c>
      <c r="EI111" s="225" t="str">
        <f>IF(AND(ISNUMBER(SnapshotTable[[#This Row],[LC Total Value]]),SnapshotTable[[#This Row],[LC Total Value]]&gt;0),SnapshotTable[[#This Row],[LC Stop Gain Loss]]  / SnapshotTable[[#This Row],[LC Premium]],"")</f>
        <v/>
      </c>
      <c r="EJ111" s="35">
        <f>IF(ISNUMBER(SnapshotTable[[#This Row],[Equity Shares]]),TRUNC(SnapshotTable[[#This Row],[Equity Shares]] / 100),0) + SnapshotTable[[#This Row],[LC Qty]]</f>
        <v>0</v>
      </c>
      <c r="EK111" s="145"/>
      <c r="EL111" s="136"/>
      <c r="EM111" s="146"/>
      <c r="EN111" s="145"/>
      <c r="EO111" s="145"/>
      <c r="EP111" s="136"/>
      <c r="EQ111" s="382" t="b">
        <f>AND(ISNUMBER(SnapshotTable[[#This Row],[SC Exp Date]]), ISNUMBER(SnapshotTable[[#This Row],[SC Strike Price]]), ISNUMBER(SnapshotTable[[#This Row],[SC Qty]]), ISNUMBER(SnapshotTable[[#This Row],[SC Book Date]]), ISNUMBER(SnapshotTable[[#This Row],[SC Book Price]]))</f>
        <v>0</v>
      </c>
      <c r="ER111" s="382" t="b">
        <f>AND(SnapshotTable[[#This Row],[SC Is Booked]], NOT(ISBLANK(SnapshotTable[[#This Row],[SC Fill Date]])))</f>
        <v>0</v>
      </c>
      <c r="ES111" s="340"/>
      <c r="ET111" s="34" t="str">
        <f>IF(AND(ISNUMBER(SnapshotTable[[#This Row],[SC Exp Date]]), ISNUMBER(SnapshotTable[[#This Row],[SC Book Date]])), SnapshotTable[[#This Row],[SC Exp Date]] - MAX(SnapshotTable[[#This Row],[SC Book Date]], SnapshotTable[[#This Row],[SC Fill Date]]) + 1, "")</f>
        <v/>
      </c>
      <c r="EU111" s="34" t="str">
        <f>IF(ISNUMBER(SnapshotTable[[#This Row],[SC Term]]), SnapshotTable[[#This Row],[SC Exp Date]]- MockToday, "")</f>
        <v/>
      </c>
      <c r="EV111" s="31">
        <f>IF(SnapshotTable[[#This Row],[SC Is Booked]], SnapshotTable[[#This Row],[SC Qty]] * SnapshotTable[[#This Row],[SC Book Price]] * 100, 0)</f>
        <v>0</v>
      </c>
      <c r="EW111" s="4" t="str">
        <f>IF(AND(ISNUMBER(SnapshotTable[[#This Row],[Last Price]]), ISNUMBER( SnapshotTable[[#This Row],[SC Book Price]])), SnapshotTable[[#This Row],[Last Price]] - SnapshotTable[[#This Row],[SC Book Price]],"")</f>
        <v/>
      </c>
      <c r="EX111" s="219" t="str">
        <f>IF(SnapshotTable[[#This Row],[SC Is Booked]],IF(SnapshotTable[[#This Row],[SC Intrinsic Value]] &gt; 0, SnapshotTable[[#This Row],[SC Strike Price]], SnapshotTable[[#This Row],[Last Price]]), "")</f>
        <v/>
      </c>
      <c r="EY111" s="4">
        <f>IF(SnapshotTable[[#This Row],[SC Is Booked]], (MinimumPremiumRequired * SnapshotTable[[#This Row],[SC Basis]] * SnapshotTable[[#This Row],[SC Term]]), 0)</f>
        <v>0</v>
      </c>
      <c r="EZ111" s="268"/>
      <c r="FA111" s="204"/>
      <c r="FB111" s="340"/>
      <c r="FC111" s="4">
        <f>IF(SnapshotTable[[#This Row],[SC Is Filled]], btc_max_buyback_amount(SnapshotTable[[#This Row],[SC Fill Date]],SnapshotTable[[#This Row],[SC Exp Date]], SnapshotTable[[#This Row],[SC Book Price]]),0)</f>
        <v>0</v>
      </c>
      <c r="FD111" s="5"/>
      <c r="FE111" s="142" t="str">
        <f>IF(SnapshotTable[[#This Row],[SC Is Filled]], btc_next_cutoff_date(SnapshotTable[[#This Row],[SC Fill Date]],SnapshotTable[[#This Row],[SC Exp Date]]),"")</f>
        <v/>
      </c>
      <c r="FF111" s="4" t="str" cm="1">
        <f t="array" ref="FF111">IF(SnapshotTable[[#This Row],[SC Is Filled]], btc_should_buy_back(SnapshotTable[[#This Row],[SC Fill Date]], SnapshotTable[[#This Row],[SC Exp Date]], SnapshotTable[[#This Row],[SC Book Price]], SnapshotTable[[#This Row],[SC Current Ask]], MockToday, SnapshotTable[[#This Row],[SC Buyback Override]]),"")</f>
        <v/>
      </c>
      <c r="FG111" s="4">
        <f>IF(SnapshotTable[[#This Row],[SC Is Filled]], MAX(0,SnapshotTable[[#This Row],[Last Price]]  - SnapshotTable[[#This Row],[SC Strike Price]]), 0)</f>
        <v>0</v>
      </c>
      <c r="FH111" s="352">
        <f>IF(SnapshotTable[[#This Row],[SC Is Filled]], IF(ISNUMBER(SnapshotTable[[#This Row],[SC Current Ask]]), SnapshotTable[[#This Row],[SC Current Ask]], SnapshotTable[[#This Row],[SC Book Price]]) - SnapshotTable[[#This Row],[SC Intrinsic Value]], 0)</f>
        <v>0</v>
      </c>
      <c r="FI111" s="141"/>
      <c r="FJ111" s="32" t="str">
        <f>IF(SnapshotTable[[#This Row],[SC Is Filled]],100 * SnapshotTable[[#This Row],[SC Qty]] * IF(ISNUMBER(SnapshotTable[[#This Row],[SC Buyback Override]]), SnapshotTable[[#This Row],[SC Buyback Override]], SnapshotTable[[#This Row],[SC Current Ask]]), "")</f>
        <v/>
      </c>
      <c r="FK111" s="235" t="str">
        <f>IF(SnapshotTable[[#This Row],[SC Time Val]]&gt;0, SnapshotTable[[#This Row],[SC Time Val]] / SnapshotTable[[#This Row],[Last Price]],"")</f>
        <v/>
      </c>
      <c r="FL111" s="280" t="str">
        <f>IF(SnapshotTable[[#This Row],[SC Is Booked]], ((SnapshotTable[[#This Row],[Last Price]] -SnapshotTable[[#This Row],[SC Strike Price]]) / SnapshotTable[[#This Row],[Last Price]]) * -1, "")</f>
        <v/>
      </c>
      <c r="FM111" s="155" t="str">
        <f>IF(SnapshotTable[[#This Row],[SC Is Booked]],  (SnapshotTable[[#This Row],[SC Qty]] * 100 * SnapshotTable[[#This Row],[SC Strike Price]]) - SnapshotTable[[#This Row],[SC Current Ask]], "")</f>
        <v/>
      </c>
      <c r="FN11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1" s="31" t="str">
        <f>IF(AND(ISNUMBER(SnapshotTable[[#This Row],[SC Exercise Gross]]), ISNUMBER(SnapshotTable[[#This Row],[Equity Basis Per Share]] )), SnapshotTable[[#This Row],[SC Exercise Gross]] - SnapshotTable[[#This Row],[Equity Basis Total]] +  SnapshotTable[[#This Row],[SC Premium]], "")</f>
        <v/>
      </c>
      <c r="FP111" s="5" t="str">
        <f>IF(ISNUMBER(SnapshotTable[[#This Row],[SC Exercise Gross]]), (SnapshotTable[[#This Row],[SC Exercise Gross]]) / (SnapshotTable[[#This Row],[SC Qty]] * 100), "")</f>
        <v/>
      </c>
      <c r="FQ111" s="27" t="str">
        <f>IF(SnapshotTable[[#This Row],[SC Is Booked]],SnapshotTable[[#This Row],[SC Time Val]] /SnapshotTable[[#This Row],[SC Basis]], "")</f>
        <v/>
      </c>
      <c r="FR111" s="27" t="str" cm="1">
        <f t="array" ref="FR111">IF(AND(ISNUMBER(SnapshotTable[[#This Row],[SC Term]]),ISNUMBER(SnapshotTable[[#This Row],[SC Simple ROO]])), EllmanAnnualize(SnapshotTable[[#This Row],[SC DTE]], SnapshotTable[[#This Row],[SC Simple ROO]] ),"")</f>
        <v/>
      </c>
      <c r="FS111" s="4">
        <f>IF(SnapshotTable[[#This Row],[SC Strike Price]] &gt; SnapshotTable[[#This Row],[Last Price]], SnapshotTable[[#This Row],[SC Strike Price]] - SnapshotTable[[#This Row],[Last Price]],0)</f>
        <v>0</v>
      </c>
      <c r="FT111" s="27" t="str">
        <f>IF(AND(ISNUMBER(SnapshotTable[[#This Row],[SC Upside Potential]]), SnapshotTable[[#This Row],[SC Upside Potential]] &gt; 0),(SnapshotTable[[#This Row],[SC Upside Potential]]/ SnapshotTable[[#This Row],[ACB]]),"")</f>
        <v/>
      </c>
      <c r="FU111" s="304" t="str">
        <f>IF(SnapshotTable[[#This Row],[SC Intrinsic Value]] &gt; 0,SnapshotTable[[#This Row],[SC Intrinsic Value]],"")</f>
        <v/>
      </c>
      <c r="FV111" s="27" t="str">
        <f>IF(AND( ISNUMBER( SnapshotTable[[#This Row],[ACB]]),ISNUMBER(SnapshotTable[[#This Row],[SC Downside Protect]])),SnapshotTable[[#This Row],[SC Downside Protect]] / SnapshotTable[[#This Row],[ACB]],"")</f>
        <v/>
      </c>
      <c r="FW111" s="221" t="str">
        <f>IF(AND(ISNUMBER(SnapshotTable[[#This Row],[SC Simple ROO]]),SnapshotTable[[#This Row],[SC Simple ROO]] &gt; 0), SnapshotTable[[#This Row],[SC Premium]] + (SnapshotTable[[#This Row],[SC Qty]] * SnapshotTable[[#This Row],[SC Upside Potential]]), "")</f>
        <v/>
      </c>
      <c r="FX111" s="280" t="str" cm="1">
        <f t="array" ref="FX111">IF(ISNUMBER(SnapshotTable[[#This Row],[SC Max Dollars]]), annualize(SnapshotTable[[#This Row],[SC Term]],(SnapshotTable[[#This Row],[SC Max Dollars]]/SnapshotTable[[#This Row],[SC Basis]])),"")</f>
        <v/>
      </c>
      <c r="FY111" s="221" t="str">
        <f>IF(AND(SnapshotTable[[#This Row],[SC Qty]]&gt;0,SnapshotTable[[#This Row],[SC Current Ask]]&gt;0), SnapshotTable[[#This Row],[SC Qty]] * SnapshotTable[[#This Row],[SC Current Ask]] * -100, "")</f>
        <v/>
      </c>
      <c r="FZ111" s="31" t="str">
        <f>IF(ISNUMBER((SnapshotTable[[#This Row],[SC Current Value]])), SnapshotTable[[#This Row],[SC Premium]] + SnapshotTable[[#This Row],[SC Current Value]], "")</f>
        <v/>
      </c>
      <c r="GA111" s="272" t="str">
        <f>IFERROR( IF(ISNUMBER((SnapshotTable[[#This Row],[SC Current Value]])), SnapshotTable[[#This Row],[SC Gain Loss]] / SnapshotTable[[#This Row],[SC Premium]], ""), "")</f>
        <v/>
      </c>
      <c r="GB111" s="42">
        <f>SnapshotTable[[#This Row],[Equity Shares]] * SaleSharesToConsiderPercentage</f>
        <v>0</v>
      </c>
      <c r="GC111" s="40">
        <f>SnapshotTable[[#This Row],[Long Term Target]] * SellingPriceToConsiderBasedOnTargetPercentage</f>
        <v>452.71300000000002</v>
      </c>
      <c r="GD111" s="40">
        <f>SnapshotTable[[#This Row],[Last Price]] * (1+ SellingPriceToConsiderBasedOnTargetPercentage)</f>
        <v>773.77949999999998</v>
      </c>
      <c r="GE111" s="41"/>
      <c r="GF111" s="40"/>
      <c r="GG111" s="31">
        <f>SnapshotTable[[#This Row],[Booked Sale Shares]] * SnapshotTable[[#This Row],[Booked Sale Price]]</f>
        <v>0</v>
      </c>
      <c r="GH111" s="31" t="str">
        <f>IF(SnapshotTable[[#This Row],[Equity Basis Total]] &gt; 0, SnapshotTable[[#This Row],[Equity Basis Per Share]] * SnapshotTable[[#This Row],[Booked Sale Shares]], "")</f>
        <v/>
      </c>
      <c r="GI111" s="31">
        <f>IF(SnapshotTable[[#This Row],[Sale Proceeds]]&gt;0, SnapshotTable[[#This Row],[Sale Proceeds]] - SnapshotTable[[#This Row],[Sale Basis]], 0)</f>
        <v>0</v>
      </c>
      <c r="GJ111" s="27" t="str">
        <f>IF(SnapshotTable[[#This Row],[Sale G/L]]&gt;0, SnapshotTable[[#This Row],[Sale G/L]] / SnapshotTable[[#This Row],[Sale Basis]], IF(ISNUMBER(SnapshotTable[[#This Row],[SC Exercise P&amp;L (TAX)]]), SnapshotTable[[#This Row],[SC Exercise P&amp;L (TAX)]] / SnapshotTable[[#This Row],[SC Basis]], ""))</f>
        <v/>
      </c>
      <c r="GK111" s="27" t="s">
        <v>522</v>
      </c>
      <c r="GL111" s="43" t="str">
        <f>IF(AND(SnapshotTable[[#This Row],[LP Exp Date]]&gt;0,SnapshotTable[[#This Row],[LP Strike Price]]&gt;0), [1]!ToOptionSymbol(SnapshotTable[[#This Row],[Symbol]], SnapshotTable[[#This Row],[LP Strike Price]],SnapshotTable[[#This Row],[LP Exp Date]],1), "")</f>
        <v/>
      </c>
      <c r="GM111" s="30" t="str">
        <f>IF(LEN(SnapshotTable[[#This Row],[LP Symbol]])&gt;0, 1, "")</f>
        <v/>
      </c>
      <c r="GN111" s="43" t="str">
        <f>IF(AND(SnapshotTable[[#This Row],[SP Exp Date]]&gt;0,SnapshotTable[[#This Row],[SP Strike Price]]&gt;0), [1]!ToOptionSymbol(SnapshotTable[[#This Row],[Symbol]], SnapshotTable[[#This Row],[SP Strike Price]],SnapshotTable[[#This Row],[SP Exp Date]],1), "")</f>
        <v/>
      </c>
      <c r="GO111" s="30" t="str">
        <f>IF(LEN(SnapshotTable[[#This Row],[SP Symbol]])&gt;0, 1, "")</f>
        <v/>
      </c>
      <c r="GP111" s="43" t="str">
        <f>IF(AND(SnapshotTable[[#This Row],[LC Exp Date]]&gt;0,SnapshotTable[[#This Row],[LC Strike Price]]&gt;0), [1]!ToOptionSymbol(SnapshotTable[[#This Row],[Symbol]], SnapshotTable[[#This Row],[LC Strike Price]],SnapshotTable[[#This Row],[LC Exp Date]],0), "")</f>
        <v/>
      </c>
      <c r="GQ111" s="30" t="str">
        <f>IF(LEN(SnapshotTable[[#This Row],[LC Symbol]])&gt;0, 1, "")</f>
        <v/>
      </c>
      <c r="GR111" s="43" t="str">
        <f>IF(AND(SnapshotTable[[#This Row],[SC Exp Date]]&gt;0,SnapshotTable[[#This Row],[SC Strike Price]]&gt;0), [1]!ToOptionSymbol(SnapshotTable[[#This Row],[Symbol]], SnapshotTable[[#This Row],[SC Strike Price]],SnapshotTable[[#This Row],[SC Exp Date]],0), "")</f>
        <v/>
      </c>
      <c r="GS111" s="30" t="str">
        <f>IF(LEN(SnapshotTable[[#This Row],[SC Symbol]])&gt;0, 1, "")</f>
        <v/>
      </c>
      <c r="GT111" s="29" t="str">
        <f>IF(COUNT(SnapshotTable[[#This Row],[LP Symbol Count]],SnapshotTable[[#This Row],[SP Symbol Count]],SnapshotTable[[#This Row],[LC Symbol Count]],SnapshotTable[[#This Row],[SC Symbol Count]])&gt;0, "Y", "")</f>
        <v/>
      </c>
      <c r="GU1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1" s="216">
        <f>MAX(SnapshotTable[[#This Row],[Equity Basis Total]],SnapshotTable[[#This Row],[Equity Value]]) + (SnapshotTable[[#This Row],[SP Potential Spend]]- SnapshotTable[[#This Row],[SP Premium]] + SnapshotTable[[#This Row],[LP Premium]])+ (SnapshotTable[[#This Row],[LC Premium]] - SnapshotTable[[#This Row],[SC Premium]])</f>
        <v>0</v>
      </c>
      <c r="GW111" s="137" t="str">
        <f>IF(AND(SnapshotTable[[#This Row],[Exposure]] &lt;&gt; 0),SnapshotTable[[#This Row],[Exposure]] / SnapshotTable[[#Totals],[Exposure]], "")</f>
        <v/>
      </c>
      <c r="HE111" s="253"/>
      <c r="HF111" s="253"/>
      <c r="HK111" s="1"/>
      <c r="HL111" s="1"/>
      <c r="HM111" s="1"/>
      <c r="HN111" s="1"/>
      <c r="HO111" s="1"/>
      <c r="HP111" s="1"/>
    </row>
    <row r="112" spans="2:224" ht="12.75" hidden="1" customHeight="1" x14ac:dyDescent="0.25">
      <c r="B112" s="12" t="s">
        <v>948</v>
      </c>
      <c r="C112" s="385">
        <v>192.98</v>
      </c>
      <c r="D112" s="200" t="s">
        <v>690</v>
      </c>
      <c r="E112" s="39">
        <f>SnapshotTable[[#This Row],[Last Price]]*(1 -CrashDiscount)</f>
        <v>164.03299999999999</v>
      </c>
      <c r="F112" s="26" t="s">
        <v>819</v>
      </c>
      <c r="G112" s="26" t="s">
        <v>630</v>
      </c>
      <c r="H112" s="147"/>
      <c r="I112" s="186">
        <v>45318</v>
      </c>
      <c r="J112" s="187">
        <v>45135.260416666664</v>
      </c>
      <c r="K112" s="188"/>
      <c r="L112" s="297"/>
      <c r="M112" s="138"/>
      <c r="N112" s="138"/>
      <c r="O112" s="138"/>
      <c r="P112" s="22"/>
      <c r="Q112" s="25"/>
      <c r="R112" s="4" t="str">
        <f>IF(SnapshotTable[[#This Row],[Equity Basis Total]] &gt; 0, SnapshotTable[[#This Row],[Equity Basis Total]] / SnapshotTable[[#This Row],[Equity Shares]], "")</f>
        <v/>
      </c>
      <c r="S112" s="254">
        <f>SnapshotTable[[#This Row],[Last Price]] * SnapshotTable[[#This Row],[Equity Shares]]</f>
        <v>0</v>
      </c>
      <c r="T112" s="254">
        <f>SnapshotTable[[#This Row],[Equity Value]] - SnapshotTable[[#This Row],[Equity Basis Total]]</f>
        <v>0</v>
      </c>
      <c r="U112" s="255" t="str">
        <f>IF(SnapshotTable[[#This Row],[Equity Basis Total]] &gt; 0, SnapshotTable[[#This Row],[Equity G/L]] / SnapshotTable[[#This Row],[Equity Basis Total]], "")</f>
        <v/>
      </c>
      <c r="V112" s="253">
        <v>200</v>
      </c>
      <c r="W112" s="253">
        <v>171.45</v>
      </c>
      <c r="X112" s="4" t="str">
        <f>IF(AND(ISNUMBER(SnapshotTable[[#This Row],[Equity Basis Per Share]]),ISNUMBER(SnapshotTable[[#This Row],[Equity Target]])),SnapshotTable[[#This Row],[Equity Target]]-SnapshotTable[[#This Row],[Equity Basis Per Share]],"")</f>
        <v/>
      </c>
      <c r="Y112" s="4" t="str">
        <f>IF(AND(ISNUMBER(SnapshotTable[[#This Row],[Equity Basis Per Share]]),ISNUMBER(SnapshotTable[[#This Row],[Equity Stop Loss]])),SnapshotTable[[#This Row],[Equity Stop Loss]]-SnapshotTable[[#This Row],[Equity Basis Per Share]],"")</f>
        <v/>
      </c>
      <c r="Z112" s="260" t="str">
        <f>IFERROR( TEXT(SnapshotTable[[#This Row],[Equity Max Gain Per Share]] /ABS( SnapshotTable[[#This Row],[Equity Max Loss Per Share]]),"0.0 " ) &amp; " : 1", "")</f>
        <v/>
      </c>
      <c r="AA112" s="31" t="str">
        <f>IF(ISNUMBER(SnapshotTable[[#This Row],[Equity Max Gain Per Share]]),SnapshotTable[[#This Row],[Equity Max Gain Per Share]] * SnapshotTable[[#This Row],[Equity Shares]],"")</f>
        <v/>
      </c>
      <c r="AB112" s="31" t="str">
        <f>IF(ISNUMBER(SnapshotTable[[#This Row],[Equity Max Loss Per Share]]),SnapshotTable[[#This Row],[Equity Max Loss Per Share]] * SnapshotTable[[#This Row],[Equity Shares]],"")</f>
        <v/>
      </c>
      <c r="AC112" s="148">
        <v>4.28</v>
      </c>
      <c r="AD112" s="149">
        <v>42348</v>
      </c>
      <c r="AE112" s="31">
        <f>(SnapshotTable[[#This Row],[Annual Dividend Per Share]] / 4) * SnapshotTable[[#This Row],[Equity Shares]]</f>
        <v>0</v>
      </c>
      <c r="AF112" s="31">
        <f>SnapshotTable[[#This Row],[Quarterly Div $]] * 4</f>
        <v>0</v>
      </c>
      <c r="AG112" s="7">
        <f>IF(SnapshotTable[[#This Row],[Annual Dividend Per Share]]&gt;0, SnapshotTable[[#This Row],[Annual Dividend Per Share]]  / SnapshotTable[[#This Row],[Last Price]], 0)</f>
        <v>2.2178464089542962E-2</v>
      </c>
      <c r="AH112" s="149">
        <v>44791</v>
      </c>
      <c r="AI112" s="5"/>
      <c r="AJ112" s="136">
        <v>195</v>
      </c>
      <c r="AK112" s="150" t="str">
        <f>IF(ISNUMBER( SnapshotTable[[#This Row],[EBF Target]]),(SnapshotTable[[#This Row],[EBF Target]] - SnapshotTable[[#This Row],[Last Price]]) / SnapshotTable[[#This Row],[Last Price]], "")</f>
        <v/>
      </c>
      <c r="AL112" s="150" t="str">
        <f>IF(AND(SnapshotTable[[#This Row],[Equity Basis Total]] &gt; 0,ISNUMBER( SnapshotTable[[#This Row],[Long Term Target]])), SnapshotTable[[#This Row],[From Basis $]] / SnapshotTable[[#This Row],[Equity Basis Total]], "")</f>
        <v/>
      </c>
      <c r="AM112" s="9">
        <f>IF( AND(SnapshotTable[[#This Row],[Equity Shares]] &gt;0,ISNUMBER( SnapshotTable[[#This Row],[Long Term Target]])),(SnapshotTable[[#This Row],[Equity Shares]] * SnapshotTable[[#This Row],[Long Term Target]]) - SnapshotTable[[#This Row],[Equity Basis Total]],0)</f>
        <v>0</v>
      </c>
      <c r="AN112" s="9">
        <f>IF( AND(SnapshotTable[[#This Row],[Equity Shares]] &gt;0,ISNUMBER( SnapshotTable[[#This Row],[Long Term Target]])),(SnapshotTable[[#This Row],[Equity Shares]]*SnapshotTable[[#This Row],[Long Term Target]]) - SnapshotTable[[#This Row],[Equity Value]],0)</f>
        <v>0</v>
      </c>
      <c r="AO112" s="150">
        <f>IF(AND(ISNUMBER( SnapshotTable[[#This Row],[Long Term Target]]), ISNUMBER(SnapshotTable[[#This Row],[Last Price]])),(SnapshotTable[[#This Row],[Long Term Target]] - SnapshotTable[[#This Row],[Last Price]]) / SnapshotTable[[#This Row],[Last Price]], "")</f>
        <v>1.0467405948803039E-2</v>
      </c>
      <c r="AP112" s="5">
        <v>162.5</v>
      </c>
      <c r="AQ112" s="38" t="s">
        <v>16</v>
      </c>
      <c r="AR112" s="5">
        <v>145</v>
      </c>
      <c r="AS112" s="38" t="s">
        <v>15</v>
      </c>
      <c r="AT112" s="144" t="s">
        <v>448</v>
      </c>
      <c r="AU112" s="185" t="str">
        <f>IF(OR(SnapshotTable[[#This Row],[LP No Fill]]="Y",SnapshotTable[[#This Row],[SP Is Filled]],SnapshotTable[[#This Row],[LC Not Filled]]="Y",SnapshotTable[[#This Row],[SC Is Filled]]),"Y","")</f>
        <v/>
      </c>
      <c r="AV112" s="205"/>
      <c r="AW112" s="211"/>
      <c r="AX112" s="206"/>
      <c r="AY112" s="205" t="str">
        <f>IF(SnapshotTable[[#This Row],[Implied Move]]&gt;0, SnapshotTable[[#This Row],[Last Price]]-SnapshotTable[[#This Row],[Implied Move]],"")</f>
        <v/>
      </c>
      <c r="AZ112" s="205" t="str">
        <f>IF(SnapshotTable[[#This Row],[Implied Move]]&gt;0, SnapshotTable[[#This Row],[Last Price]] + SnapshotTable[[#This Row],[Implied Move]],"")</f>
        <v/>
      </c>
      <c r="BA112" s="302">
        <v>147.38999999999999</v>
      </c>
      <c r="BB112" s="318"/>
      <c r="BC1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2" s="321"/>
      <c r="BE112" s="5"/>
      <c r="BF112" s="14"/>
      <c r="BG112" s="13"/>
      <c r="BH112" s="13"/>
      <c r="BI112" s="5"/>
      <c r="BJ112" s="134">
        <f>IF(SnapshotTable[[#This Row],[LP Qty]] &gt; 0, SnapshotTable[[#This Row],[LP Qty]] * SnapshotTable[[#This Row],[LP Book Price]] * 100,0)</f>
        <v>0</v>
      </c>
      <c r="BK112" s="134">
        <f>IF(SnapshotTable[[#This Row],[LP Premium]] &gt; 0, SnapshotTable[[#This Row],[LP Qty]] * SnapshotTable[[#This Row],[LP Strike Price]] * 100,0)</f>
        <v>0</v>
      </c>
      <c r="BL112" s="152"/>
      <c r="BM112" s="355" t="str">
        <f>IF(SnapshotTable[[#This Row],[LP Premium]] &gt; 0,SnapshotTable[[#This Row],[LP Exp Date]]-MAX(SnapshotTable[[#This Row],[LP Book Date]], SnapshotTable[[#This Row],[LP Fill Date]]),"")</f>
        <v/>
      </c>
      <c r="BN112" s="355" t="str">
        <f>IF(ISNUMBER( SnapshotTable[[#This Row],[LP Term]]), SnapshotTable[[#This Row],[LP Exp Date]] - MockToday,"")</f>
        <v/>
      </c>
      <c r="BO112" s="161" t="str">
        <f>IF(AND(SnapshotTable[[#This Row],[LP Exp Date]]&gt;0, SnapshotTable[[#This Row],[LP Strike Price]]&gt;0,SnapshotTable[[#This Row],[LP Qty]]&gt;0,SnapshotTable[[#This Row],[LP Book Date]]&gt;0,SnapshotTable[[#This Row],[LP Book Price]]&gt;0,SnapshotTable[[#This Row],[LP Fill Date]]=0),"Y","")</f>
        <v/>
      </c>
      <c r="BP112" s="31" t="str">
        <f>IF(AND(SnapshotTable[[#This Row],[LP No Fill]]&lt;&gt;"Y",SnapshotTable[[#This Row],[LP Contract Value]]&gt;0, SnapshotTable[[#This Row],[LP Qty]]&gt;0), SnapshotTable[[#This Row],[LP Contract Value]]*SnapshotTable[[#This Row],[LP Qty]]*100,"")</f>
        <v/>
      </c>
      <c r="BQ112" s="13"/>
      <c r="BR112" s="5"/>
      <c r="BS112" s="36"/>
      <c r="BT112" s="145"/>
      <c r="BU112" s="13"/>
      <c r="BV112" s="5"/>
      <c r="BW112" s="382" t="b">
        <f>AND(ISNUMBER(SnapshotTable[[#This Row],[SP Exp Date]]), ISNUMBER(SnapshotTable[[#This Row],[SP Strike Price]]), ISNUMBER(SnapshotTable[[#This Row],[SP Qty]]), ISNUMBER(SnapshotTable[[#This Row],[SP Book Date]]), ISNUMBER(SnapshotTable[[#This Row],[SP Book Price]]))</f>
        <v>0</v>
      </c>
      <c r="BX112" s="382" t="b">
        <f>AND(SnapshotTable[[#This Row],[SP Is Booked]], NOT(ISBLANK(SnapshotTable[[#This Row],[SP Fill Date]])))</f>
        <v>0</v>
      </c>
      <c r="BY112" s="33">
        <f>IF(SnapshotTable[[#This Row],[SP Is Booked]], SnapshotTable[[#This Row],[SP Qty]] * SnapshotTable[[#This Row],[SP Book Price]] * 100, 0)</f>
        <v>0</v>
      </c>
      <c r="BZ112" s="339"/>
      <c r="CA112" s="338">
        <f>SnapshotTable[[#This Row],[LP Qty]]</f>
        <v>0</v>
      </c>
      <c r="CB112" s="4" t="str">
        <f>IF(SnapshotTable[[#This Row],[SP Is Booked]], SnapshotTable[[#This Row],[SP Strike Price]] - SnapshotTable[[#This Row],[SP Book Price]], "")</f>
        <v/>
      </c>
      <c r="CC112" s="19" t="str">
        <f>IF(SnapshotTable[[#This Row],[SP Is Booked]],SnapshotTable[[#This Row],[SP Exp Date]]-MAX(SnapshotTable[[#This Row],[SP Book Date]], SnapshotTable[[#This Row],[SP Fill Date]]),"")</f>
        <v/>
      </c>
      <c r="CD112" s="7" t="str">
        <f>IF(SnapshotTable[[#This Row],[SP Is Booked]], SnapshotTable[[#This Row],[SP Book Price]]/SnapshotTable[[#This Row],[SP Strike Price]], "")</f>
        <v/>
      </c>
      <c r="CE112" s="7" t="str">
        <f>IF(ISNUMBER(SnapshotTable[[#This Row],[SP ROO Term]]),SnapshotTable[[#This Row],[SP ROO Term]]*(365/SnapshotTable[[#This Row],[SP Term]]),"")</f>
        <v/>
      </c>
      <c r="CF112" s="221">
        <f>SnapshotTable[[#This Row],[LP Strike Price]] * SnapshotTable[[#This Row],[LP Qty]] * 100</f>
        <v>0</v>
      </c>
      <c r="CG112" s="31">
        <f>IF(ISNUMBER(SnapshotTable[[#This Row],[SP Premium]]), (SnapshotTable[[#This Row],[SP Qty]] * SnapshotTable[[#This Row],[SP Strike Price]]* 100) - SnapshotTable[[#This Row],[LP Protection]], 0)</f>
        <v>0</v>
      </c>
      <c r="CH112" s="7" t="str">
        <f>IF(ISNUMBER(SnapshotTable[[#This Row],[SP Break Even]]),-1 * (SnapshotTable[[#This Row],[SP Break Even]] - SnapshotTable[[#This Row],[Last Price]]) / SnapshotTable[[#This Row],[Last Price]], "")</f>
        <v/>
      </c>
      <c r="CI112" s="31">
        <f>IF(AND(ISNUMBER((SnapshotTable[[#This Row],[SP Potential Spend]])), SnapshotTable[[#This Row],[SP Strike Price]] &gt; SnapshotTable[[#This Row],[Last Price]], SnapshotTable[[#This Row],[SP Is Filled]]), SnapshotTable[[#This Row],[SP Potential Spend]] -  SnapshotTable[[#This Row],[LP Max Value]], 0)</f>
        <v>0</v>
      </c>
      <c r="CJ112" s="229"/>
      <c r="CK112" s="31">
        <f>IF(ISNUMBER(SnapshotTable[[#This Row],[SP Potential Spend]]),IF(ISNUMBER(SnapshotTable[[#This Row],[SP POW]]), SnapshotTable[[#This Row],[SP POW]] * SnapshotTable[[#This Row],[SP Potential Spend]], SnapshotTable[[#This Row],[SP Potential Spend]]), "")</f>
        <v>0</v>
      </c>
      <c r="CL112" s="162">
        <f>IF(NOT(SnapshotTable[[#This Row],[SP Is Filled]]),(SnapshotTable[[#This Row],[SP Qty]] * SnapshotTable[[#This Row],[SP Strike Price]] * 100) - SnapshotTable[[#This Row],[LP Max Value]],"")</f>
        <v>0</v>
      </c>
      <c r="CM112" s="31" t="str">
        <f>IF(SnapshotTable[[#This Row],[SP Actual Spend]]&lt;&gt;0, ((SnapshotTable[[#This Row],[SP Strike Price]]-SnapshotTable[[#This Row],[Last Price]]) *(SnapshotTable[[#This Row],[SP Qty]]*100) - SnapshotTable[[#This Row],[SP Premium]]) * - 1, "")</f>
        <v/>
      </c>
      <c r="CN112" s="76"/>
      <c r="CO112" s="339"/>
      <c r="CP112" s="4" t="str">
        <f>IF(SnapshotTable[[#This Row],[SP Is Filled]], btc_max_buyback_amount(SnapshotTable[[#This Row],[SP Fill Date]],SnapshotTable[[#This Row],[SP Exp Date]], SnapshotTable[[#This Row],[SP Book Price]]),"")</f>
        <v/>
      </c>
      <c r="CQ112" s="76"/>
      <c r="CR1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2" s="153" t="str">
        <f>IF(SnapshotTable[[#This Row],[SP Is Filled]], btc_next_cutoff_date(SnapshotTable[[#This Row],[SP Fill Date]],SnapshotTable[[#This Row],[SP Exp Date]]),"")</f>
        <v/>
      </c>
      <c r="CT112" s="220" t="str" cm="1">
        <f t="array" ref="CT112">IF(SnapshotTable[[#This Row],[SP Is Filled]], btc_should_buy_back(SnapshotTable[[#This Row],[SP Fill Date]], SnapshotTable[[#This Row],[SP Exp Date]], SnapshotTable[[#This Row],[SP Book Price]], SnapshotTable[[#This Row],[SP Current Ask]], MockToday, SnapshotTable[[#This Row],[SP Buyback Override]]),"")</f>
        <v/>
      </c>
      <c r="CU112" s="154"/>
      <c r="CV112" s="220"/>
      <c r="CW112" s="348" t="str">
        <f>IF(ISNUMBER( SnapshotTable[[#This Row],[SP Term]]), SnapshotTable[[#This Row],[SP Exp Date]] - MockToday,"")</f>
        <v/>
      </c>
      <c r="CX112" s="31" t="str">
        <f>IF(SnapshotTable[[#This Row],[SP Is Filled]],SnapshotTable[[#This Row],[SP Buyback Price to Use]] * 100 * SnapshotTable[[#This Row],[SP Qty]], "")</f>
        <v/>
      </c>
      <c r="CY112" s="4" t="str">
        <f>IF(ISNUMBER(SnapshotTable[[#This Row],[SP Strike Price]]), SnapshotTable[[#This Row],[SP Strike Price]] * (1 - SP_MaxLoss_StrikePct), "")</f>
        <v/>
      </c>
      <c r="CZ112" s="31" t="str">
        <f>IF(ISNUMBER(SnapshotTable[[#This Row],[SP Strike  Stop Per Share]]),SnapshotTable[[#This Row],[SP Premium]] - ((SnapshotTable[[#This Row],[SP Strike Price]]-SnapshotTable[[#This Row],[SP Strike  Stop Per Share]]) *(SnapshotTable[[#This Row],[SP Qty]] * 100)),"")</f>
        <v/>
      </c>
      <c r="DA112" s="4" t="str">
        <f>IF(AND(ISNUMBER(SnapshotTable[[#This Row],[SP Premium]]),SnapshotTable[[#This Row],[SP Premium]]&gt;0), SnapshotTable[[#This Row],[SP Book Price]] * (1 + SP_MaxLoss_OptionPct), "")</f>
        <v/>
      </c>
      <c r="DB112" s="31" t="str">
        <f>IF(ISNUMBER(SnapshotTable[[#This Row],[SP Option  Stop Contract]]),(SnapshotTable[[#This Row],[SP Option  Stop Contract]] *(SnapshotTable[[#This Row],[SP Qty]] * 100) - SnapshotTable[[#This Row],[SP Premium]]),"")</f>
        <v/>
      </c>
      <c r="DC112" s="4"/>
      <c r="DD112" s="4"/>
      <c r="DE112" s="4" t="str">
        <f>IF(AND(SnapshotTable[[#This Row],[SP Qty]]&gt;0, SnapshotTable[[#This Row],[SP Stop To Use]]&gt;0),SnapshotTable[[#This Row],[SP Premium]] - ( SnapshotTable[[#This Row],[SP Qty]] * SnapshotTable[[#This Row],[SP Stop To Use]] * 100), "")</f>
        <v/>
      </c>
      <c r="DF112" s="31" t="str">
        <f>IF(AND(SnapshotTable[[#This Row],[SP Qty]]&gt;0,SnapshotTable[[#This Row],[SP Current Ask]]&gt;0), SnapshotTable[[#This Row],[SP Qty]] * SnapshotTable[[#This Row],[SP Current Ask]] * -100, "")</f>
        <v/>
      </c>
      <c r="DG112" s="31" t="str">
        <f>IF(ISNUMBER((SnapshotTable[[#This Row],[SP Total Value]])), SnapshotTable[[#This Row],[SP Premium]] + SnapshotTable[[#This Row],[SP Total Value]], "")</f>
        <v/>
      </c>
      <c r="DH112" s="272" t="str">
        <f>IF(ISNUMBER((SnapshotTable[[#This Row],[SP Total Value]])), SnapshotTable[[#This Row],[SP Gain Loss]] / SnapshotTable[[#This Row],[SP Premium]], "")</f>
        <v/>
      </c>
      <c r="DI112" s="369"/>
      <c r="DJ112" s="136"/>
      <c r="DK112" s="146"/>
      <c r="DL112" s="13"/>
      <c r="DM112" s="13"/>
      <c r="DO112" s="31">
        <f>IF(SnapshotTable[[#This Row],[LC Symbol Count]]=1, SnapshotTable[[#This Row],[LC Qty]] * SnapshotTable[[#This Row],[LC Book Price]] * 100, 0)</f>
        <v>0</v>
      </c>
      <c r="DP112" s="161" t="str">
        <f>IF(AND(SnapshotTable[[#This Row],[LC Exp Date]]&gt;0, SnapshotTable[[#This Row],[LC Strike Price]]&gt;0,SnapshotTable[[#This Row],[LC Qty]]&gt;0,SnapshotTable[[#This Row],[LC Book Date]]&gt;0,SnapshotTable[[#This Row],[LC Book Price]]&gt;0,SnapshotTable[[#This Row],[LC Fill Date]]=0),"Y","")</f>
        <v/>
      </c>
      <c r="DQ112" s="356" t="str">
        <f>IF(SnapshotTable[[#This Row],[LC Premium]] &gt; 0,SnapshotTable[[#This Row],[LC Exp Date]]-MAX(SnapshotTable[[#This Row],[LC Book Date]], SnapshotTable[[#This Row],[LC Fill Date]]),"")</f>
        <v/>
      </c>
      <c r="DR112" s="356" t="str">
        <f>IF(ISNUMBER(SnapshotTable[[#This Row],[LC Term]]), SnapshotTable[[#This Row],[LC Exp Date]] - MockToday, "")</f>
        <v/>
      </c>
      <c r="DS112" s="219" t="str">
        <f>IF(SnapshotTable[[#This Row],[LC Premium]]&gt;0,SnapshotTable[[#This Row],[LC Strike Price]] + SnapshotTable[[#This Row],[LC Book Price]],"")</f>
        <v/>
      </c>
      <c r="DU112" s="9" t="str">
        <f>IF(AND(SnapshotTable[[#This Row],[LC Symbol Count]]&gt;0, SnapshotTable[[#This Row],[LC Contract Value]]&gt;0), SnapshotTable[[#This Row],[LC Contract Value]] * SnapshotTable[[#This Row],[LC Qty]] * 100, "")</f>
        <v/>
      </c>
      <c r="DV112" s="9" t="str">
        <f>IF(AND(ISNUMBER(SnapshotTable[[#This Row],[LC Total Value]]), SnapshotTable[[#This Row],[LC Not Filled]]&lt;&gt;"Y"), SnapshotTable[[#This Row],[LC Total Value]]-SnapshotTable[[#This Row],[LC Premium]],"")</f>
        <v/>
      </c>
      <c r="DW112" s="225" t="str">
        <f>IF(ISNUMBER(SnapshotTable[[#This Row],[LC Actual Gain Loss]]), SnapshotTable[[#This Row],[LC Actual Gain Loss]] / SnapshotTable[[#This Row],[LC Premium]],"")</f>
        <v/>
      </c>
      <c r="DX112" s="269" t="str">
        <f>IF(ISNUMBER(SnapshotTable[[#This Row],[LC Book Price]]),SnapshotTable[[#This Row],[LC Book Price]] * 1.5,"")</f>
        <v/>
      </c>
      <c r="DY112" s="250" t="str">
        <f>IF(SnapshotTable[[#This Row],[LC Premium]]&gt;0, SnapshotTable[[#This Row],[LC Next Target]] * SnapshotTable[[#This Row],[LC Qty]] * 100,"")</f>
        <v/>
      </c>
      <c r="DZ112" s="250" t="str">
        <f>IF(ISNUMBER(SnapshotTable[[#This Row],[LC Target Gross]]), SnapshotTable[[#This Row],[LC Target Gross]] - SnapshotTable[[#This Row],[LC Premium]], "")</f>
        <v/>
      </c>
      <c r="EA112" s="283" t="str">
        <f>IF(ISNUMBER(SnapshotTable[[#This Row],[LC Target Gain Loss]]), SnapshotTable[[#This Row],[LC Target Gain Loss]]/SnapshotTable[[#This Row],[LC Premium]], "")</f>
        <v/>
      </c>
      <c r="EB112" s="247"/>
      <c r="EC112" s="268" t="str">
        <f>IF(SnapshotTable[[#This Row],[LC Premium]]&gt;0, SnapshotTable[[#This Row],[LC Book Price]] * (1 - LC_StopLoss_Pct),"")</f>
        <v/>
      </c>
      <c r="ED112" s="269"/>
      <c r="EE112" s="268" t="str">
        <f>IF(ISNUMBER(SnapshotTable[[#This Row],[LC Contract Value]]),IF(ISNUMBER(SnapshotTable[[#This Row],[LC Stop Loss Override]]), SnapshotTable[[#This Row],[LC Stop Loss Override]],SnapshotTable[[#This Row],[LC Stop Loss Calc Target]]),"")</f>
        <v/>
      </c>
      <c r="EF112" s="31" t="str">
        <f>IF(ISNUMBER(SnapshotTable[[#This Row],[LC Stop  To Use]]), (SnapshotTable[[#This Row],[LC Stop  To Use]] * SnapshotTable[[#This Row],[LC Qty]] * 100),"")</f>
        <v/>
      </c>
      <c r="EG112" s="9" t="str">
        <f>IF(ISNUMBER(SnapshotTable[[#This Row],[LC Total Value]]),SnapshotTable[[#This Row],[LC Stop Loss Amount]] - SnapshotTable[[#This Row],[LC Premium]],"")</f>
        <v/>
      </c>
      <c r="EH112" s="9">
        <f>IF(ISNUMBER(SnapshotTable[[#This Row],[LC Premium]]), SnapshotTable[[#This Row],[LC Qty]] * 100 * SnapshotTable[[#This Row],[LC Strike Price]], "")</f>
        <v>0</v>
      </c>
      <c r="EI112" s="225" t="str">
        <f>IF(AND(ISNUMBER(SnapshotTable[[#This Row],[LC Total Value]]),SnapshotTable[[#This Row],[LC Total Value]]&gt;0),SnapshotTable[[#This Row],[LC Stop Gain Loss]]  / SnapshotTable[[#This Row],[LC Premium]],"")</f>
        <v/>
      </c>
      <c r="EJ112" s="35">
        <f>IF(ISNUMBER(SnapshotTable[[#This Row],[Equity Shares]]),TRUNC(SnapshotTable[[#This Row],[Equity Shares]] / 100),0) + SnapshotTable[[#This Row],[LC Qty]]</f>
        <v>0</v>
      </c>
      <c r="EK112" s="145"/>
      <c r="EL112" s="136"/>
      <c r="EM112" s="146"/>
      <c r="EN112" s="145"/>
      <c r="EO112" s="145"/>
      <c r="EP112" s="136"/>
      <c r="EQ112" s="382" t="b">
        <f>AND(ISNUMBER(SnapshotTable[[#This Row],[SC Exp Date]]), ISNUMBER(SnapshotTable[[#This Row],[SC Strike Price]]), ISNUMBER(SnapshotTable[[#This Row],[SC Qty]]), ISNUMBER(SnapshotTable[[#This Row],[SC Book Date]]), ISNUMBER(SnapshotTable[[#This Row],[SC Book Price]]))</f>
        <v>0</v>
      </c>
      <c r="ER112" s="382" t="b">
        <f>AND(SnapshotTable[[#This Row],[SC Is Booked]], NOT(ISBLANK(SnapshotTable[[#This Row],[SC Fill Date]])))</f>
        <v>0</v>
      </c>
      <c r="ES112" s="340"/>
      <c r="ET112" s="34" t="str">
        <f>IF(AND(ISNUMBER(SnapshotTable[[#This Row],[SC Exp Date]]), ISNUMBER(SnapshotTable[[#This Row],[SC Book Date]])), SnapshotTable[[#This Row],[SC Exp Date]] - MAX(SnapshotTable[[#This Row],[SC Book Date]], SnapshotTable[[#This Row],[SC Fill Date]]) + 1, "")</f>
        <v/>
      </c>
      <c r="EU112" s="34" t="str">
        <f>IF(ISNUMBER(SnapshotTable[[#This Row],[SC Term]]), SnapshotTable[[#This Row],[SC Exp Date]]- MockToday, "")</f>
        <v/>
      </c>
      <c r="EV112" s="31">
        <f>IF(SnapshotTable[[#This Row],[SC Is Booked]], SnapshotTable[[#This Row],[SC Qty]] * SnapshotTable[[#This Row],[SC Book Price]] * 100, 0)</f>
        <v>0</v>
      </c>
      <c r="EW112" s="4" t="str">
        <f>IF(AND(ISNUMBER(SnapshotTable[[#This Row],[Last Price]]), ISNUMBER( SnapshotTable[[#This Row],[SC Book Price]])), SnapshotTable[[#This Row],[Last Price]] - SnapshotTable[[#This Row],[SC Book Price]],"")</f>
        <v/>
      </c>
      <c r="EX112" s="219" t="str">
        <f>IF(SnapshotTable[[#This Row],[SC Is Booked]],IF(SnapshotTable[[#This Row],[SC Intrinsic Value]] &gt; 0, SnapshotTable[[#This Row],[SC Strike Price]], SnapshotTable[[#This Row],[Last Price]]), "")</f>
        <v/>
      </c>
      <c r="EY112" s="4">
        <f>IF(SnapshotTable[[#This Row],[SC Is Booked]], (MinimumPremiumRequired * SnapshotTable[[#This Row],[SC Basis]] * SnapshotTable[[#This Row],[SC Term]]), 0)</f>
        <v>0</v>
      </c>
      <c r="EZ112" s="268"/>
      <c r="FA112" s="204"/>
      <c r="FB112" s="340"/>
      <c r="FC112" s="4">
        <f>IF(SnapshotTable[[#This Row],[SC Is Filled]], btc_max_buyback_amount(SnapshotTable[[#This Row],[SC Fill Date]],SnapshotTable[[#This Row],[SC Exp Date]], SnapshotTable[[#This Row],[SC Book Price]]),0)</f>
        <v>0</v>
      </c>
      <c r="FD112" s="5"/>
      <c r="FE112" s="142" t="str">
        <f>IF(SnapshotTable[[#This Row],[SC Is Filled]], btc_next_cutoff_date(SnapshotTable[[#This Row],[SC Fill Date]],SnapshotTable[[#This Row],[SC Exp Date]]),"")</f>
        <v/>
      </c>
      <c r="FF112" s="4" t="str" cm="1">
        <f t="array" ref="FF112">IF(SnapshotTable[[#This Row],[SC Is Filled]], btc_should_buy_back(SnapshotTable[[#This Row],[SC Fill Date]], SnapshotTable[[#This Row],[SC Exp Date]], SnapshotTable[[#This Row],[SC Book Price]], SnapshotTable[[#This Row],[SC Current Ask]], MockToday, SnapshotTable[[#This Row],[SC Buyback Override]]),"")</f>
        <v/>
      </c>
      <c r="FG112" s="4">
        <f>IF(SnapshotTable[[#This Row],[SC Is Filled]], MAX(0,SnapshotTable[[#This Row],[Last Price]]  - SnapshotTable[[#This Row],[SC Strike Price]]), 0)</f>
        <v>0</v>
      </c>
      <c r="FH112" s="352">
        <f>IF(SnapshotTable[[#This Row],[SC Is Filled]], IF(ISNUMBER(SnapshotTable[[#This Row],[SC Current Ask]]), SnapshotTable[[#This Row],[SC Current Ask]], SnapshotTable[[#This Row],[SC Book Price]]) - SnapshotTable[[#This Row],[SC Intrinsic Value]], 0)</f>
        <v>0</v>
      </c>
      <c r="FI112" s="141"/>
      <c r="FJ112" s="32" t="str">
        <f>IF(SnapshotTable[[#This Row],[SC Is Filled]],100 * SnapshotTable[[#This Row],[SC Qty]] * IF(ISNUMBER(SnapshotTable[[#This Row],[SC Buyback Override]]), SnapshotTable[[#This Row],[SC Buyback Override]], SnapshotTable[[#This Row],[SC Current Ask]]), "")</f>
        <v/>
      </c>
      <c r="FK112" s="235" t="str">
        <f>IF(SnapshotTable[[#This Row],[SC Time Val]]&gt;0, SnapshotTable[[#This Row],[SC Time Val]] / SnapshotTable[[#This Row],[Last Price]],"")</f>
        <v/>
      </c>
      <c r="FL112" s="280" t="str">
        <f>IF(SnapshotTable[[#This Row],[SC Is Booked]], ((SnapshotTable[[#This Row],[Last Price]] -SnapshotTable[[#This Row],[SC Strike Price]]) / SnapshotTable[[#This Row],[Last Price]]) * -1, "")</f>
        <v/>
      </c>
      <c r="FM112" s="155" t="str">
        <f>IF(SnapshotTable[[#This Row],[SC Is Booked]],  (SnapshotTable[[#This Row],[SC Qty]] * 100 * SnapshotTable[[#This Row],[SC Strike Price]]) - SnapshotTable[[#This Row],[SC Current Ask]], "")</f>
        <v/>
      </c>
      <c r="FN1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2" s="31" t="str">
        <f>IF(AND(ISNUMBER(SnapshotTable[[#This Row],[SC Exercise Gross]]), ISNUMBER(SnapshotTable[[#This Row],[Equity Basis Per Share]] )), SnapshotTable[[#This Row],[SC Exercise Gross]] - SnapshotTable[[#This Row],[Equity Basis Total]] +  SnapshotTable[[#This Row],[SC Premium]], "")</f>
        <v/>
      </c>
      <c r="FP112" s="5" t="str">
        <f>IF(ISNUMBER(SnapshotTable[[#This Row],[SC Exercise Gross]]), (SnapshotTable[[#This Row],[SC Exercise Gross]]) / (SnapshotTable[[#This Row],[SC Qty]] * 100), "")</f>
        <v/>
      </c>
      <c r="FQ112" s="27" t="str">
        <f>IF(SnapshotTable[[#This Row],[SC Is Booked]],SnapshotTable[[#This Row],[SC Time Val]] /SnapshotTable[[#This Row],[SC Basis]], "")</f>
        <v/>
      </c>
      <c r="FR112" s="27" t="str" cm="1">
        <f t="array" ref="FR112">IF(AND(ISNUMBER(SnapshotTable[[#This Row],[SC Term]]),ISNUMBER(SnapshotTable[[#This Row],[SC Simple ROO]])), EllmanAnnualize(SnapshotTable[[#This Row],[SC DTE]], SnapshotTable[[#This Row],[SC Simple ROO]] ),"")</f>
        <v/>
      </c>
      <c r="FS112" s="4">
        <f>IF(SnapshotTable[[#This Row],[SC Strike Price]] &gt; SnapshotTable[[#This Row],[Last Price]], SnapshotTable[[#This Row],[SC Strike Price]] - SnapshotTable[[#This Row],[Last Price]],0)</f>
        <v>0</v>
      </c>
      <c r="FT112" s="27" t="str">
        <f>IF(AND(ISNUMBER(SnapshotTable[[#This Row],[SC Upside Potential]]), SnapshotTable[[#This Row],[SC Upside Potential]] &gt; 0),(SnapshotTable[[#This Row],[SC Upside Potential]]/ SnapshotTable[[#This Row],[ACB]]),"")</f>
        <v/>
      </c>
      <c r="FU112" s="304" t="str">
        <f>IF(SnapshotTable[[#This Row],[SC Intrinsic Value]] &gt; 0,SnapshotTable[[#This Row],[SC Intrinsic Value]],"")</f>
        <v/>
      </c>
      <c r="FV112" s="27" t="str">
        <f>IF(AND( ISNUMBER( SnapshotTable[[#This Row],[ACB]]),ISNUMBER(SnapshotTable[[#This Row],[SC Downside Protect]])),SnapshotTable[[#This Row],[SC Downside Protect]] / SnapshotTable[[#This Row],[ACB]],"")</f>
        <v/>
      </c>
      <c r="FW112" s="221" t="str">
        <f>IF(AND(ISNUMBER(SnapshotTable[[#This Row],[SC Simple ROO]]),SnapshotTable[[#This Row],[SC Simple ROO]] &gt; 0), SnapshotTable[[#This Row],[SC Premium]] + (SnapshotTable[[#This Row],[SC Qty]] * SnapshotTable[[#This Row],[SC Upside Potential]]), "")</f>
        <v/>
      </c>
      <c r="FX112" s="280" t="str" cm="1">
        <f t="array" ref="FX112">IF(ISNUMBER(SnapshotTable[[#This Row],[SC Max Dollars]]), annualize(SnapshotTable[[#This Row],[SC Term]],(SnapshotTable[[#This Row],[SC Max Dollars]]/SnapshotTable[[#This Row],[SC Basis]])),"")</f>
        <v/>
      </c>
      <c r="FY112" s="221" t="str">
        <f>IF(AND(SnapshotTable[[#This Row],[SC Qty]]&gt;0,SnapshotTable[[#This Row],[SC Current Ask]]&gt;0), SnapshotTable[[#This Row],[SC Qty]] * SnapshotTable[[#This Row],[SC Current Ask]] * -100, "")</f>
        <v/>
      </c>
      <c r="FZ112" s="31" t="str">
        <f>IF(ISNUMBER((SnapshotTable[[#This Row],[SC Current Value]])), SnapshotTable[[#This Row],[SC Premium]] + SnapshotTable[[#This Row],[SC Current Value]], "")</f>
        <v/>
      </c>
      <c r="GA112" s="272" t="str">
        <f>IFERROR( IF(ISNUMBER((SnapshotTable[[#This Row],[SC Current Value]])), SnapshotTable[[#This Row],[SC Gain Loss]] / SnapshotTable[[#This Row],[SC Premium]], ""), "")</f>
        <v/>
      </c>
      <c r="GB112" s="42">
        <f>SnapshotTable[[#This Row],[Equity Shares]] * SaleSharesToConsiderPercentage</f>
        <v>0</v>
      </c>
      <c r="GC112" s="40">
        <f>SnapshotTable[[#This Row],[Long Term Target]] * SellingPriceToConsiderBasedOnTargetPercentage</f>
        <v>185.25</v>
      </c>
      <c r="GD112" s="40">
        <f>SnapshotTable[[#This Row],[Last Price]] * (1+ SellingPriceToConsiderBasedOnTargetPercentage)</f>
        <v>376.31099999999998</v>
      </c>
      <c r="GE112" s="41"/>
      <c r="GF112" s="40"/>
      <c r="GG112" s="31">
        <f>SnapshotTable[[#This Row],[Booked Sale Shares]] * SnapshotTable[[#This Row],[Booked Sale Price]]</f>
        <v>0</v>
      </c>
      <c r="GH112" s="31" t="str">
        <f>IF(SnapshotTable[[#This Row],[Equity Basis Total]] &gt; 0, SnapshotTable[[#This Row],[Equity Basis Per Share]] * SnapshotTable[[#This Row],[Booked Sale Shares]], "")</f>
        <v/>
      </c>
      <c r="GI112" s="31">
        <f>IF(SnapshotTable[[#This Row],[Sale Proceeds]]&gt;0, SnapshotTable[[#This Row],[Sale Proceeds]] - SnapshotTable[[#This Row],[Sale Basis]], 0)</f>
        <v>0</v>
      </c>
      <c r="GJ112" s="27" t="str">
        <f>IF(SnapshotTable[[#This Row],[Sale G/L]]&gt;0, SnapshotTable[[#This Row],[Sale G/L]] / SnapshotTable[[#This Row],[Sale Basis]], IF(ISNUMBER(SnapshotTable[[#This Row],[SC Exercise P&amp;L (TAX)]]), SnapshotTable[[#This Row],[SC Exercise P&amp;L (TAX)]] / SnapshotTable[[#This Row],[SC Basis]], ""))</f>
        <v/>
      </c>
      <c r="GK112" s="27" t="s">
        <v>874</v>
      </c>
      <c r="GL112" s="43" t="str">
        <f>IF(AND(SnapshotTable[[#This Row],[LP Exp Date]]&gt;0,SnapshotTable[[#This Row],[LP Strike Price]]&gt;0), [1]!ToOptionSymbol(SnapshotTable[[#This Row],[Symbol]], SnapshotTable[[#This Row],[LP Strike Price]],SnapshotTable[[#This Row],[LP Exp Date]],1), "")</f>
        <v/>
      </c>
      <c r="GM112" s="30" t="str">
        <f>IF(LEN(SnapshotTable[[#This Row],[LP Symbol]])&gt;0, 1, "")</f>
        <v/>
      </c>
      <c r="GN112" s="43" t="str">
        <f>IF(AND(SnapshotTable[[#This Row],[SP Exp Date]]&gt;0,SnapshotTable[[#This Row],[SP Strike Price]]&gt;0), [1]!ToOptionSymbol(SnapshotTable[[#This Row],[Symbol]], SnapshotTable[[#This Row],[SP Strike Price]],SnapshotTable[[#This Row],[SP Exp Date]],1), "")</f>
        <v/>
      </c>
      <c r="GO112" s="30" t="str">
        <f>IF(LEN(SnapshotTable[[#This Row],[SP Symbol]])&gt;0, 1, "")</f>
        <v/>
      </c>
      <c r="GP112" s="43" t="str">
        <f>IF(AND(SnapshotTable[[#This Row],[LC Exp Date]]&gt;0,SnapshotTable[[#This Row],[LC Strike Price]]&gt;0), [1]!ToOptionSymbol(SnapshotTable[[#This Row],[Symbol]], SnapshotTable[[#This Row],[LC Strike Price]],SnapshotTable[[#This Row],[LC Exp Date]],0), "")</f>
        <v/>
      </c>
      <c r="GQ112" s="30" t="str">
        <f>IF(LEN(SnapshotTable[[#This Row],[LC Symbol]])&gt;0, 1, "")</f>
        <v/>
      </c>
      <c r="GR112" s="43" t="str">
        <f>IF(AND(SnapshotTable[[#This Row],[SC Exp Date]]&gt;0,SnapshotTable[[#This Row],[SC Strike Price]]&gt;0), [1]!ToOptionSymbol(SnapshotTable[[#This Row],[Symbol]], SnapshotTable[[#This Row],[SC Strike Price]],SnapshotTable[[#This Row],[SC Exp Date]],0), "")</f>
        <v/>
      </c>
      <c r="GS112" s="30" t="str">
        <f>IF(LEN(SnapshotTable[[#This Row],[SC Symbol]])&gt;0, 1, "")</f>
        <v/>
      </c>
      <c r="GT112" s="29" t="str">
        <f>IF(COUNT(SnapshotTable[[#This Row],[LP Symbol Count]],SnapshotTable[[#This Row],[SP Symbol Count]],SnapshotTable[[#This Row],[LC Symbol Count]],SnapshotTable[[#This Row],[SC Symbol Count]])&gt;0, "Y", "")</f>
        <v/>
      </c>
      <c r="GU1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2" s="216">
        <f>MAX(SnapshotTable[[#This Row],[Equity Basis Total]],SnapshotTable[[#This Row],[Equity Value]]) + (SnapshotTable[[#This Row],[SP Potential Spend]]- SnapshotTable[[#This Row],[SP Premium]] + SnapshotTable[[#This Row],[LP Premium]])+ (SnapshotTable[[#This Row],[LC Premium]] - SnapshotTable[[#This Row],[SC Premium]])</f>
        <v>0</v>
      </c>
      <c r="GW112" s="137" t="str">
        <f>IF(AND(SnapshotTable[[#This Row],[Exposure]] &lt;&gt; 0),SnapshotTable[[#This Row],[Exposure]] / SnapshotTable[[#Totals],[Exposure]], "")</f>
        <v/>
      </c>
      <c r="HE112" s="253"/>
      <c r="HF112" s="253"/>
      <c r="HK112" s="1"/>
      <c r="HL112" s="1"/>
      <c r="HM112" s="1"/>
      <c r="HN112" s="1"/>
      <c r="HO112" s="1"/>
      <c r="HP112" s="1"/>
    </row>
    <row r="113" spans="2:224" ht="12.75" hidden="1" customHeight="1" x14ac:dyDescent="0.25">
      <c r="B113" s="12" t="s">
        <v>915</v>
      </c>
      <c r="C113" s="385">
        <v>90.43</v>
      </c>
      <c r="D113" s="200"/>
      <c r="E113" s="39">
        <f>SnapshotTable[[#This Row],[Last Price]]*(1 -CrashDiscount)</f>
        <v>76.865499999999997</v>
      </c>
      <c r="F113" s="26" t="s">
        <v>85</v>
      </c>
      <c r="G113" s="296" t="s">
        <v>678</v>
      </c>
      <c r="H113" s="147"/>
      <c r="I113" s="186"/>
      <c r="J113" s="187"/>
      <c r="K113" s="188"/>
      <c r="L113" s="297"/>
      <c r="M113" s="138"/>
      <c r="N113" s="138"/>
      <c r="O113" s="138"/>
      <c r="P113" s="22"/>
      <c r="Q113" s="25"/>
      <c r="R113" s="4" t="str">
        <f>IF(SnapshotTable[[#This Row],[Equity Basis Total]] &gt; 0, SnapshotTable[[#This Row],[Equity Basis Total]] / SnapshotTable[[#This Row],[Equity Shares]], "")</f>
        <v/>
      </c>
      <c r="S113" s="254">
        <f>SnapshotTable[[#This Row],[Last Price]] * SnapshotTable[[#This Row],[Equity Shares]]</f>
        <v>0</v>
      </c>
      <c r="T113" s="254">
        <f>SnapshotTable[[#This Row],[Equity Value]] - SnapshotTable[[#This Row],[Equity Basis Total]]</f>
        <v>0</v>
      </c>
      <c r="U113" s="255" t="str">
        <f>IF(SnapshotTable[[#This Row],[Equity Basis Total]] &gt; 0, SnapshotTable[[#This Row],[Equity G/L]] / SnapshotTable[[#This Row],[Equity Basis Total]], "")</f>
        <v/>
      </c>
      <c r="V113" s="253">
        <v>115.75</v>
      </c>
      <c r="W113" s="253">
        <v>99.95</v>
      </c>
      <c r="X113" s="4" t="str">
        <f>IF(AND(ISNUMBER(SnapshotTable[[#This Row],[Equity Basis Per Share]]),ISNUMBER(SnapshotTable[[#This Row],[Equity Target]])),SnapshotTable[[#This Row],[Equity Target]]-SnapshotTable[[#This Row],[Equity Basis Per Share]],"")</f>
        <v/>
      </c>
      <c r="Y113" s="4" t="str">
        <f>IF(AND(ISNUMBER(SnapshotTable[[#This Row],[Equity Basis Per Share]]),ISNUMBER(SnapshotTable[[#This Row],[Equity Stop Loss]])),SnapshotTable[[#This Row],[Equity Stop Loss]]-SnapshotTable[[#This Row],[Equity Basis Per Share]],"")</f>
        <v/>
      </c>
      <c r="Z113" s="260" t="str">
        <f>IFERROR( TEXT(SnapshotTable[[#This Row],[Equity Max Gain Per Share]] /ABS( SnapshotTable[[#This Row],[Equity Max Loss Per Share]]),"0.0 " ) &amp; " : 1", "")</f>
        <v/>
      </c>
      <c r="AA113" s="31" t="str">
        <f>IF(ISNUMBER(SnapshotTable[[#This Row],[Equity Max Gain Per Share]]),SnapshotTable[[#This Row],[Equity Max Gain Per Share]] * SnapshotTable[[#This Row],[Equity Shares]],"")</f>
        <v/>
      </c>
      <c r="AB113" s="31" t="str">
        <f>IF(ISNUMBER(SnapshotTable[[#This Row],[Equity Max Loss Per Share]]),SnapshotTable[[#This Row],[Equity Max Loss Per Share]] * SnapshotTable[[#This Row],[Equity Shares]],"")</f>
        <v/>
      </c>
      <c r="AC113" s="148"/>
      <c r="AD113" s="149"/>
      <c r="AE113" s="31">
        <f>(SnapshotTable[[#This Row],[Annual Dividend Per Share]] / 4) * SnapshotTable[[#This Row],[Equity Shares]]</f>
        <v>0</v>
      </c>
      <c r="AF113" s="31">
        <f>SnapshotTable[[#This Row],[Quarterly Div $]] * 4</f>
        <v>0</v>
      </c>
      <c r="AG113" s="7">
        <f>IF(SnapshotTable[[#This Row],[Annual Dividend Per Share]]&gt;0, SnapshotTable[[#This Row],[Annual Dividend Per Share]]  / SnapshotTable[[#This Row],[Last Price]], 0)</f>
        <v>0</v>
      </c>
      <c r="AH113" s="149"/>
      <c r="AI113" s="5"/>
      <c r="AJ113" s="136"/>
      <c r="AK113" s="150" t="str">
        <f>IF(ISNUMBER( SnapshotTable[[#This Row],[EBF Target]]),(SnapshotTable[[#This Row],[EBF Target]] - SnapshotTable[[#This Row],[Last Price]]) / SnapshotTable[[#This Row],[Last Price]], "")</f>
        <v/>
      </c>
      <c r="AL113" s="150" t="str">
        <f>IF(AND(SnapshotTable[[#This Row],[Equity Basis Total]] &gt; 0,ISNUMBER( SnapshotTable[[#This Row],[Long Term Target]])), SnapshotTable[[#This Row],[From Basis $]] / SnapshotTable[[#This Row],[Equity Basis Total]], "")</f>
        <v/>
      </c>
      <c r="AM113" s="9">
        <f>IF( AND(SnapshotTable[[#This Row],[Equity Shares]] &gt;0,ISNUMBER( SnapshotTable[[#This Row],[Long Term Target]])),(SnapshotTable[[#This Row],[Equity Shares]] * SnapshotTable[[#This Row],[Long Term Target]]) - SnapshotTable[[#This Row],[Equity Basis Total]],0)</f>
        <v>0</v>
      </c>
      <c r="AN113" s="9">
        <f>IF( AND(SnapshotTable[[#This Row],[Equity Shares]] &gt;0,ISNUMBER( SnapshotTable[[#This Row],[Long Term Target]])),(SnapshotTable[[#This Row],[Equity Shares]]*SnapshotTable[[#This Row],[Long Term Target]]) - SnapshotTable[[#This Row],[Equity Value]],0)</f>
        <v>0</v>
      </c>
      <c r="AO113" s="150" t="str">
        <f>IF(AND(ISNUMBER( SnapshotTable[[#This Row],[Long Term Target]]), ISNUMBER(SnapshotTable[[#This Row],[Last Price]])),(SnapshotTable[[#This Row],[Long Term Target]] - SnapshotTable[[#This Row],[Last Price]]) / SnapshotTable[[#This Row],[Last Price]], "")</f>
        <v/>
      </c>
      <c r="AP113" s="5"/>
      <c r="AQ113" s="38"/>
      <c r="AR113" s="5"/>
      <c r="AS113" s="38"/>
      <c r="AT113" s="144"/>
      <c r="AU113" s="185" t="str">
        <f>IF(OR(SnapshotTable[[#This Row],[LP No Fill]]="Y",SnapshotTable[[#This Row],[SP Is Filled]],SnapshotTable[[#This Row],[LC Not Filled]]="Y",SnapshotTable[[#This Row],[SC Is Filled]]),"Y","")</f>
        <v/>
      </c>
      <c r="AV113" s="205"/>
      <c r="AW113" s="211"/>
      <c r="AX113" s="206"/>
      <c r="AY113" s="205" t="str">
        <f>IF(SnapshotTable[[#This Row],[Implied Move]]&gt;0, SnapshotTable[[#This Row],[Last Price]]-SnapshotTable[[#This Row],[Implied Move]],"")</f>
        <v/>
      </c>
      <c r="AZ113" s="205" t="str">
        <f>IF(SnapshotTable[[#This Row],[Implied Move]]&gt;0, SnapshotTable[[#This Row],[Last Price]] + SnapshotTable[[#This Row],[Implied Move]],"")</f>
        <v/>
      </c>
      <c r="BA113" s="302">
        <v>106.59</v>
      </c>
      <c r="BB113" s="318"/>
      <c r="BC1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3" s="321"/>
      <c r="BE113" s="5"/>
      <c r="BF113" s="14"/>
      <c r="BG113" s="13"/>
      <c r="BH113" s="13"/>
      <c r="BI113" s="5"/>
      <c r="BJ113" s="134">
        <f>IF(SnapshotTable[[#This Row],[LP Qty]] &gt; 0, SnapshotTable[[#This Row],[LP Qty]] * SnapshotTable[[#This Row],[LP Book Price]] * 100,0)</f>
        <v>0</v>
      </c>
      <c r="BK113" s="134">
        <f>IF(SnapshotTable[[#This Row],[LP Premium]] &gt; 0, SnapshotTable[[#This Row],[LP Qty]] * SnapshotTable[[#This Row],[LP Strike Price]] * 100,0)</f>
        <v>0</v>
      </c>
      <c r="BL113" s="152"/>
      <c r="BM113" s="355" t="str">
        <f>IF(SnapshotTable[[#This Row],[LP Premium]] &gt; 0,SnapshotTable[[#This Row],[LP Exp Date]]-MAX(SnapshotTable[[#This Row],[LP Book Date]], SnapshotTable[[#This Row],[LP Fill Date]]),"")</f>
        <v/>
      </c>
      <c r="BN113" s="355" t="str">
        <f>IF(ISNUMBER( SnapshotTable[[#This Row],[LP Term]]), SnapshotTable[[#This Row],[LP Exp Date]] - MockToday,"")</f>
        <v/>
      </c>
      <c r="BO113" s="161" t="str">
        <f>IF(AND(SnapshotTable[[#This Row],[LP Exp Date]]&gt;0, SnapshotTable[[#This Row],[LP Strike Price]]&gt;0,SnapshotTable[[#This Row],[LP Qty]]&gt;0,SnapshotTable[[#This Row],[LP Book Date]]&gt;0,SnapshotTable[[#This Row],[LP Book Price]]&gt;0,SnapshotTable[[#This Row],[LP Fill Date]]=0),"Y","")</f>
        <v/>
      </c>
      <c r="BP113" s="31" t="str">
        <f>IF(AND(SnapshotTable[[#This Row],[LP No Fill]]&lt;&gt;"Y",SnapshotTable[[#This Row],[LP Contract Value]]&gt;0, SnapshotTable[[#This Row],[LP Qty]]&gt;0), SnapshotTable[[#This Row],[LP Contract Value]]*SnapshotTable[[#This Row],[LP Qty]]*100,"")</f>
        <v/>
      </c>
      <c r="BQ113" s="13"/>
      <c r="BR113" s="5"/>
      <c r="BS113" s="36"/>
      <c r="BT113" s="145"/>
      <c r="BU113" s="13"/>
      <c r="BV113" s="5"/>
      <c r="BW113" s="382" t="b">
        <f>AND(ISNUMBER(SnapshotTable[[#This Row],[SP Exp Date]]), ISNUMBER(SnapshotTable[[#This Row],[SP Strike Price]]), ISNUMBER(SnapshotTable[[#This Row],[SP Qty]]), ISNUMBER(SnapshotTable[[#This Row],[SP Book Date]]), ISNUMBER(SnapshotTable[[#This Row],[SP Book Price]]))</f>
        <v>0</v>
      </c>
      <c r="BX113" s="382" t="b">
        <f>AND(SnapshotTable[[#This Row],[SP Is Booked]], NOT(ISBLANK(SnapshotTable[[#This Row],[SP Fill Date]])))</f>
        <v>0</v>
      </c>
      <c r="BY113" s="33">
        <f>IF(SnapshotTable[[#This Row],[SP Is Booked]], SnapshotTable[[#This Row],[SP Qty]] * SnapshotTable[[#This Row],[SP Book Price]] * 100, 0)</f>
        <v>0</v>
      </c>
      <c r="BZ113" s="339"/>
      <c r="CA113" s="338">
        <f>SnapshotTable[[#This Row],[LP Qty]]</f>
        <v>0</v>
      </c>
      <c r="CB113" s="4" t="str">
        <f>IF(SnapshotTable[[#This Row],[SP Is Booked]], SnapshotTable[[#This Row],[SP Strike Price]] - SnapshotTable[[#This Row],[SP Book Price]], "")</f>
        <v/>
      </c>
      <c r="CC113" s="19" t="str">
        <f>IF(SnapshotTable[[#This Row],[SP Is Booked]],SnapshotTable[[#This Row],[SP Exp Date]]-MAX(SnapshotTable[[#This Row],[SP Book Date]], SnapshotTable[[#This Row],[SP Fill Date]]),"")</f>
        <v/>
      </c>
      <c r="CD113" s="7" t="str">
        <f>IF(SnapshotTable[[#This Row],[SP Is Booked]], SnapshotTable[[#This Row],[SP Book Price]]/SnapshotTable[[#This Row],[SP Strike Price]], "")</f>
        <v/>
      </c>
      <c r="CE113" s="7" t="str">
        <f>IF(ISNUMBER(SnapshotTable[[#This Row],[SP ROO Term]]),SnapshotTable[[#This Row],[SP ROO Term]]*(365/SnapshotTable[[#This Row],[SP Term]]),"")</f>
        <v/>
      </c>
      <c r="CF113" s="221">
        <f>SnapshotTable[[#This Row],[LP Strike Price]] * SnapshotTable[[#This Row],[LP Qty]] * 100</f>
        <v>0</v>
      </c>
      <c r="CG113" s="31">
        <f>IF(ISNUMBER(SnapshotTable[[#This Row],[SP Premium]]), (SnapshotTable[[#This Row],[SP Qty]] * SnapshotTable[[#This Row],[SP Strike Price]]* 100) - SnapshotTable[[#This Row],[LP Protection]], 0)</f>
        <v>0</v>
      </c>
      <c r="CH113" s="7" t="str">
        <f>IF(ISNUMBER(SnapshotTable[[#This Row],[SP Break Even]]),-1 * (SnapshotTable[[#This Row],[SP Break Even]] - SnapshotTable[[#This Row],[Last Price]]) / SnapshotTable[[#This Row],[Last Price]], "")</f>
        <v/>
      </c>
      <c r="CI113" s="31">
        <f>IF(AND(ISNUMBER((SnapshotTable[[#This Row],[SP Potential Spend]])), SnapshotTable[[#This Row],[SP Strike Price]] &gt; SnapshotTable[[#This Row],[Last Price]], SnapshotTable[[#This Row],[SP Is Filled]]), SnapshotTable[[#This Row],[SP Potential Spend]] -  SnapshotTable[[#This Row],[LP Max Value]], 0)</f>
        <v>0</v>
      </c>
      <c r="CJ113" s="229"/>
      <c r="CK113" s="31">
        <f>IF(ISNUMBER(SnapshotTable[[#This Row],[SP Potential Spend]]),IF(ISNUMBER(SnapshotTable[[#This Row],[SP POW]]), SnapshotTable[[#This Row],[SP POW]] * SnapshotTable[[#This Row],[SP Potential Spend]], SnapshotTable[[#This Row],[SP Potential Spend]]), "")</f>
        <v>0</v>
      </c>
      <c r="CL113" s="162">
        <f>IF(NOT(SnapshotTable[[#This Row],[SP Is Filled]]),(SnapshotTable[[#This Row],[SP Qty]] * SnapshotTable[[#This Row],[SP Strike Price]] * 100) - SnapshotTable[[#This Row],[LP Max Value]],"")</f>
        <v>0</v>
      </c>
      <c r="CM113" s="31" t="str">
        <f>IF(SnapshotTable[[#This Row],[SP Actual Spend]]&lt;&gt;0, ((SnapshotTable[[#This Row],[SP Strike Price]]-SnapshotTable[[#This Row],[Last Price]]) *(SnapshotTable[[#This Row],[SP Qty]]*100) - SnapshotTable[[#This Row],[SP Premium]]) * - 1, "")</f>
        <v/>
      </c>
      <c r="CN113" s="76"/>
      <c r="CO113" s="339"/>
      <c r="CP113" s="4" t="str">
        <f>IF(SnapshotTable[[#This Row],[SP Is Filled]], btc_max_buyback_amount(SnapshotTable[[#This Row],[SP Fill Date]],SnapshotTable[[#This Row],[SP Exp Date]], SnapshotTable[[#This Row],[SP Book Price]]),"")</f>
        <v/>
      </c>
      <c r="CQ113" s="76"/>
      <c r="CR1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3" s="153" t="str">
        <f>IF(SnapshotTable[[#This Row],[SP Is Filled]], btc_next_cutoff_date(SnapshotTable[[#This Row],[SP Fill Date]],SnapshotTable[[#This Row],[SP Exp Date]]),"")</f>
        <v/>
      </c>
      <c r="CT113" s="220" t="str" cm="1">
        <f t="array" ref="CT113">IF(SnapshotTable[[#This Row],[SP Is Filled]], btc_should_buy_back(SnapshotTable[[#This Row],[SP Fill Date]], SnapshotTable[[#This Row],[SP Exp Date]], SnapshotTable[[#This Row],[SP Book Price]], SnapshotTable[[#This Row],[SP Current Ask]], MockToday, SnapshotTable[[#This Row],[SP Buyback Override]]),"")</f>
        <v/>
      </c>
      <c r="CU113" s="154"/>
      <c r="CV113" s="220"/>
      <c r="CW113" s="348" t="str">
        <f>IF(ISNUMBER( SnapshotTable[[#This Row],[SP Term]]), SnapshotTable[[#This Row],[SP Exp Date]] - MockToday,"")</f>
        <v/>
      </c>
      <c r="CX113" s="31" t="str">
        <f>IF(SnapshotTable[[#This Row],[SP Is Filled]],SnapshotTable[[#This Row],[SP Buyback Price to Use]] * 100 * SnapshotTable[[#This Row],[SP Qty]], "")</f>
        <v/>
      </c>
      <c r="CY113" s="4" t="str">
        <f>IF(ISNUMBER(SnapshotTable[[#This Row],[SP Strike Price]]), SnapshotTable[[#This Row],[SP Strike Price]] * (1 - SP_MaxLoss_StrikePct), "")</f>
        <v/>
      </c>
      <c r="CZ113" s="31" t="str">
        <f>IF(ISNUMBER(SnapshotTable[[#This Row],[SP Strike  Stop Per Share]]),SnapshotTable[[#This Row],[SP Premium]] - ((SnapshotTable[[#This Row],[SP Strike Price]]-SnapshotTable[[#This Row],[SP Strike  Stop Per Share]]) *(SnapshotTable[[#This Row],[SP Qty]] * 100)),"")</f>
        <v/>
      </c>
      <c r="DA113" s="4" t="str">
        <f>IF(AND(ISNUMBER(SnapshotTable[[#This Row],[SP Premium]]),SnapshotTable[[#This Row],[SP Premium]]&gt;0), SnapshotTable[[#This Row],[SP Book Price]] * (1 + SP_MaxLoss_OptionPct), "")</f>
        <v/>
      </c>
      <c r="DB113" s="31" t="str">
        <f>IF(ISNUMBER(SnapshotTable[[#This Row],[SP Option  Stop Contract]]),(SnapshotTable[[#This Row],[SP Option  Stop Contract]] *(SnapshotTable[[#This Row],[SP Qty]] * 100) - SnapshotTable[[#This Row],[SP Premium]]),"")</f>
        <v/>
      </c>
      <c r="DC113" s="4"/>
      <c r="DD113" s="4"/>
      <c r="DE113" s="4" t="str">
        <f>IF(AND(SnapshotTable[[#This Row],[SP Qty]]&gt;0, SnapshotTable[[#This Row],[SP Stop To Use]]&gt;0),SnapshotTable[[#This Row],[SP Premium]] - ( SnapshotTable[[#This Row],[SP Qty]] * SnapshotTable[[#This Row],[SP Stop To Use]] * 100), "")</f>
        <v/>
      </c>
      <c r="DF113" s="31" t="str">
        <f>IF(AND(SnapshotTable[[#This Row],[SP Qty]]&gt;0,SnapshotTable[[#This Row],[SP Current Ask]]&gt;0), SnapshotTable[[#This Row],[SP Qty]] * SnapshotTable[[#This Row],[SP Current Ask]] * -100, "")</f>
        <v/>
      </c>
      <c r="DG113" s="31" t="str">
        <f>IF(ISNUMBER((SnapshotTable[[#This Row],[SP Total Value]])), SnapshotTable[[#This Row],[SP Premium]] + SnapshotTable[[#This Row],[SP Total Value]], "")</f>
        <v/>
      </c>
      <c r="DH113" s="272" t="str">
        <f>IF(ISNUMBER((SnapshotTable[[#This Row],[SP Total Value]])), SnapshotTable[[#This Row],[SP Gain Loss]] / SnapshotTable[[#This Row],[SP Premium]], "")</f>
        <v/>
      </c>
      <c r="DI113" s="369"/>
      <c r="DJ113" s="136"/>
      <c r="DK113" s="146"/>
      <c r="DL113" s="13"/>
      <c r="DM113" s="13"/>
      <c r="DO113" s="31">
        <f>IF(SnapshotTable[[#This Row],[LC Symbol Count]]=1, SnapshotTable[[#This Row],[LC Qty]] * SnapshotTable[[#This Row],[LC Book Price]] * 100, 0)</f>
        <v>0</v>
      </c>
      <c r="DP113" s="161" t="str">
        <f>IF(AND(SnapshotTable[[#This Row],[LC Exp Date]]&gt;0, SnapshotTable[[#This Row],[LC Strike Price]]&gt;0,SnapshotTable[[#This Row],[LC Qty]]&gt;0,SnapshotTable[[#This Row],[LC Book Date]]&gt;0,SnapshotTable[[#This Row],[LC Book Price]]&gt;0,SnapshotTable[[#This Row],[LC Fill Date]]=0),"Y","")</f>
        <v/>
      </c>
      <c r="DQ113" s="356" t="str">
        <f>IF(SnapshotTable[[#This Row],[LC Premium]] &gt; 0,SnapshotTable[[#This Row],[LC Exp Date]]-MAX(SnapshotTable[[#This Row],[LC Book Date]], SnapshotTable[[#This Row],[LC Fill Date]]),"")</f>
        <v/>
      </c>
      <c r="DR113" s="356" t="str">
        <f>IF(ISNUMBER(SnapshotTable[[#This Row],[LC Term]]), SnapshotTable[[#This Row],[LC Exp Date]] - MockToday, "")</f>
        <v/>
      </c>
      <c r="DS113" s="219" t="str">
        <f>IF(SnapshotTable[[#This Row],[LC Premium]]&gt;0,SnapshotTable[[#This Row],[LC Strike Price]] + SnapshotTable[[#This Row],[LC Book Price]],"")</f>
        <v/>
      </c>
      <c r="DU113" s="9" t="str">
        <f>IF(AND(SnapshotTable[[#This Row],[LC Symbol Count]]&gt;0, SnapshotTable[[#This Row],[LC Contract Value]]&gt;0), SnapshotTable[[#This Row],[LC Contract Value]] * SnapshotTable[[#This Row],[LC Qty]] * 100, "")</f>
        <v/>
      </c>
      <c r="DV113" s="9" t="str">
        <f>IF(AND(ISNUMBER(SnapshotTable[[#This Row],[LC Total Value]]), SnapshotTable[[#This Row],[LC Not Filled]]&lt;&gt;"Y"), SnapshotTable[[#This Row],[LC Total Value]]-SnapshotTable[[#This Row],[LC Premium]],"")</f>
        <v/>
      </c>
      <c r="DW113" s="225" t="str">
        <f>IF(ISNUMBER(SnapshotTable[[#This Row],[LC Actual Gain Loss]]), SnapshotTable[[#This Row],[LC Actual Gain Loss]] / SnapshotTable[[#This Row],[LC Premium]],"")</f>
        <v/>
      </c>
      <c r="DX113" s="269" t="str">
        <f>IF(ISNUMBER(SnapshotTable[[#This Row],[LC Book Price]]),SnapshotTable[[#This Row],[LC Book Price]] * 1.5,"")</f>
        <v/>
      </c>
      <c r="DY113" s="250" t="str">
        <f>IF(SnapshotTable[[#This Row],[LC Premium]]&gt;0, SnapshotTable[[#This Row],[LC Next Target]] * SnapshotTable[[#This Row],[LC Qty]] * 100,"")</f>
        <v/>
      </c>
      <c r="DZ113" s="250" t="str">
        <f>IF(ISNUMBER(SnapshotTable[[#This Row],[LC Target Gross]]), SnapshotTable[[#This Row],[LC Target Gross]] - SnapshotTable[[#This Row],[LC Premium]], "")</f>
        <v/>
      </c>
      <c r="EA113" s="283" t="str">
        <f>IF(ISNUMBER(SnapshotTable[[#This Row],[LC Target Gain Loss]]), SnapshotTable[[#This Row],[LC Target Gain Loss]]/SnapshotTable[[#This Row],[LC Premium]], "")</f>
        <v/>
      </c>
      <c r="EB113" s="247"/>
      <c r="EC113" s="268" t="str">
        <f>IF(SnapshotTable[[#This Row],[LC Premium]]&gt;0, SnapshotTable[[#This Row],[LC Book Price]] * (1 - LC_StopLoss_Pct),"")</f>
        <v/>
      </c>
      <c r="ED113" s="269"/>
      <c r="EE113" s="268" t="str">
        <f>IF(ISNUMBER(SnapshotTable[[#This Row],[LC Contract Value]]),IF(ISNUMBER(SnapshotTable[[#This Row],[LC Stop Loss Override]]), SnapshotTable[[#This Row],[LC Stop Loss Override]],SnapshotTable[[#This Row],[LC Stop Loss Calc Target]]),"")</f>
        <v/>
      </c>
      <c r="EF113" s="31" t="str">
        <f>IF(ISNUMBER(SnapshotTable[[#This Row],[LC Stop  To Use]]), (SnapshotTable[[#This Row],[LC Stop  To Use]] * SnapshotTable[[#This Row],[LC Qty]] * 100),"")</f>
        <v/>
      </c>
      <c r="EG113" s="9" t="str">
        <f>IF(ISNUMBER(SnapshotTable[[#This Row],[LC Total Value]]),SnapshotTable[[#This Row],[LC Stop Loss Amount]] - SnapshotTable[[#This Row],[LC Premium]],"")</f>
        <v/>
      </c>
      <c r="EH113" s="9">
        <f>IF(ISNUMBER(SnapshotTable[[#This Row],[LC Premium]]), SnapshotTable[[#This Row],[LC Qty]] * 100 * SnapshotTable[[#This Row],[LC Strike Price]], "")</f>
        <v>0</v>
      </c>
      <c r="EI113" s="225" t="str">
        <f>IF(AND(ISNUMBER(SnapshotTable[[#This Row],[LC Total Value]]),SnapshotTable[[#This Row],[LC Total Value]]&gt;0),SnapshotTable[[#This Row],[LC Stop Gain Loss]]  / SnapshotTable[[#This Row],[LC Premium]],"")</f>
        <v/>
      </c>
      <c r="EJ113" s="35">
        <f>IF(ISNUMBER(SnapshotTable[[#This Row],[Equity Shares]]),TRUNC(SnapshotTable[[#This Row],[Equity Shares]] / 100),0) + SnapshotTable[[#This Row],[LC Qty]]</f>
        <v>0</v>
      </c>
      <c r="EK113" s="145"/>
      <c r="EL113" s="136"/>
      <c r="EM113" s="146"/>
      <c r="EN113" s="145"/>
      <c r="EO113" s="145"/>
      <c r="EP113" s="136"/>
      <c r="EQ113" s="382" t="b">
        <f>AND(ISNUMBER(SnapshotTable[[#This Row],[SC Exp Date]]), ISNUMBER(SnapshotTable[[#This Row],[SC Strike Price]]), ISNUMBER(SnapshotTable[[#This Row],[SC Qty]]), ISNUMBER(SnapshotTable[[#This Row],[SC Book Date]]), ISNUMBER(SnapshotTable[[#This Row],[SC Book Price]]))</f>
        <v>0</v>
      </c>
      <c r="ER113" s="382" t="b">
        <f>AND(SnapshotTable[[#This Row],[SC Is Booked]], NOT(ISBLANK(SnapshotTable[[#This Row],[SC Fill Date]])))</f>
        <v>0</v>
      </c>
      <c r="ES113" s="340"/>
      <c r="ET113" s="34" t="str">
        <f>IF(AND(ISNUMBER(SnapshotTable[[#This Row],[SC Exp Date]]), ISNUMBER(SnapshotTable[[#This Row],[SC Book Date]])), SnapshotTable[[#This Row],[SC Exp Date]] - MAX(SnapshotTable[[#This Row],[SC Book Date]], SnapshotTable[[#This Row],[SC Fill Date]]) + 1, "")</f>
        <v/>
      </c>
      <c r="EU113" s="34" t="str">
        <f>IF(ISNUMBER(SnapshotTable[[#This Row],[SC Term]]), SnapshotTable[[#This Row],[SC Exp Date]]- MockToday, "")</f>
        <v/>
      </c>
      <c r="EV113" s="31">
        <f>IF(SnapshotTable[[#This Row],[SC Is Booked]], SnapshotTable[[#This Row],[SC Qty]] * SnapshotTable[[#This Row],[SC Book Price]] * 100, 0)</f>
        <v>0</v>
      </c>
      <c r="EW113" s="4" t="str">
        <f>IF(AND(ISNUMBER(SnapshotTable[[#This Row],[Last Price]]), ISNUMBER( SnapshotTable[[#This Row],[SC Book Price]])), SnapshotTable[[#This Row],[Last Price]] - SnapshotTable[[#This Row],[SC Book Price]],"")</f>
        <v/>
      </c>
      <c r="EX113" s="219" t="str">
        <f>IF(SnapshotTable[[#This Row],[SC Is Booked]],IF(SnapshotTable[[#This Row],[SC Intrinsic Value]] &gt; 0, SnapshotTable[[#This Row],[SC Strike Price]], SnapshotTable[[#This Row],[Last Price]]), "")</f>
        <v/>
      </c>
      <c r="EY113" s="4">
        <f>IF(SnapshotTable[[#This Row],[SC Is Booked]], (MinimumPremiumRequired * SnapshotTable[[#This Row],[SC Basis]] * SnapshotTable[[#This Row],[SC Term]]), 0)</f>
        <v>0</v>
      </c>
      <c r="EZ113" s="268"/>
      <c r="FA113" s="204"/>
      <c r="FB113" s="340"/>
      <c r="FC113" s="4">
        <f>IF(SnapshotTable[[#This Row],[SC Is Filled]], btc_max_buyback_amount(SnapshotTable[[#This Row],[SC Fill Date]],SnapshotTable[[#This Row],[SC Exp Date]], SnapshotTable[[#This Row],[SC Book Price]]),0)</f>
        <v>0</v>
      </c>
      <c r="FD113" s="5"/>
      <c r="FE113" s="142" t="str">
        <f>IF(SnapshotTable[[#This Row],[SC Is Filled]], btc_next_cutoff_date(SnapshotTable[[#This Row],[SC Fill Date]],SnapshotTable[[#This Row],[SC Exp Date]]),"")</f>
        <v/>
      </c>
      <c r="FF113" s="4" t="str" cm="1">
        <f t="array" ref="FF113">IF(SnapshotTable[[#This Row],[SC Is Filled]], btc_should_buy_back(SnapshotTable[[#This Row],[SC Fill Date]], SnapshotTable[[#This Row],[SC Exp Date]], SnapshotTable[[#This Row],[SC Book Price]], SnapshotTable[[#This Row],[SC Current Ask]], MockToday, SnapshotTable[[#This Row],[SC Buyback Override]]),"")</f>
        <v/>
      </c>
      <c r="FG113" s="4">
        <f>IF(SnapshotTable[[#This Row],[SC Is Filled]], MAX(0,SnapshotTable[[#This Row],[Last Price]]  - SnapshotTable[[#This Row],[SC Strike Price]]), 0)</f>
        <v>0</v>
      </c>
      <c r="FH113" s="352">
        <f>IF(SnapshotTable[[#This Row],[SC Is Filled]], IF(ISNUMBER(SnapshotTable[[#This Row],[SC Current Ask]]), SnapshotTable[[#This Row],[SC Current Ask]], SnapshotTable[[#This Row],[SC Book Price]]) - SnapshotTable[[#This Row],[SC Intrinsic Value]], 0)</f>
        <v>0</v>
      </c>
      <c r="FI113" s="141">
        <v>45786</v>
      </c>
      <c r="FJ113" s="32" t="str">
        <f>IF(SnapshotTable[[#This Row],[SC Is Filled]],100 * SnapshotTable[[#This Row],[SC Qty]] * IF(ISNUMBER(SnapshotTable[[#This Row],[SC Buyback Override]]), SnapshotTable[[#This Row],[SC Buyback Override]], SnapshotTable[[#This Row],[SC Current Ask]]), "")</f>
        <v/>
      </c>
      <c r="FK113" s="235" t="str">
        <f>IF(SnapshotTable[[#This Row],[SC Time Val]]&gt;0, SnapshotTable[[#This Row],[SC Time Val]] / SnapshotTable[[#This Row],[Last Price]],"")</f>
        <v/>
      </c>
      <c r="FL113" s="280" t="str">
        <f>IF(SnapshotTable[[#This Row],[SC Is Booked]], ((SnapshotTable[[#This Row],[Last Price]] -SnapshotTable[[#This Row],[SC Strike Price]]) / SnapshotTable[[#This Row],[Last Price]]) * -1, "")</f>
        <v/>
      </c>
      <c r="FM113" s="155" t="str">
        <f>IF(SnapshotTable[[#This Row],[SC Is Booked]],  (SnapshotTable[[#This Row],[SC Qty]] * 100 * SnapshotTable[[#This Row],[SC Strike Price]]) - SnapshotTable[[#This Row],[SC Current Ask]], "")</f>
        <v/>
      </c>
      <c r="FN1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3" s="31" t="str">
        <f>IF(AND(ISNUMBER(SnapshotTable[[#This Row],[SC Exercise Gross]]), ISNUMBER(SnapshotTable[[#This Row],[Equity Basis Per Share]] )), SnapshotTable[[#This Row],[SC Exercise Gross]] - SnapshotTable[[#This Row],[Equity Basis Total]] +  SnapshotTable[[#This Row],[SC Premium]], "")</f>
        <v/>
      </c>
      <c r="FP113" s="5" t="str">
        <f>IF(ISNUMBER(SnapshotTable[[#This Row],[SC Exercise Gross]]), (SnapshotTable[[#This Row],[SC Exercise Gross]]) / (SnapshotTable[[#This Row],[SC Qty]] * 100), "")</f>
        <v/>
      </c>
      <c r="FQ113" s="27" t="str">
        <f>IF(SnapshotTable[[#This Row],[SC Is Booked]],SnapshotTable[[#This Row],[SC Time Val]] /SnapshotTable[[#This Row],[SC Basis]], "")</f>
        <v/>
      </c>
      <c r="FR113" s="27" t="str" cm="1">
        <f t="array" ref="FR113">IF(AND(ISNUMBER(SnapshotTable[[#This Row],[SC Term]]),ISNUMBER(SnapshotTable[[#This Row],[SC Simple ROO]])), EllmanAnnualize(SnapshotTable[[#This Row],[SC DTE]], SnapshotTable[[#This Row],[SC Simple ROO]] ),"")</f>
        <v/>
      </c>
      <c r="FS113" s="4">
        <f>IF(SnapshotTable[[#This Row],[SC Strike Price]] &gt; SnapshotTable[[#This Row],[Last Price]], SnapshotTable[[#This Row],[SC Strike Price]] - SnapshotTable[[#This Row],[Last Price]],0)</f>
        <v>0</v>
      </c>
      <c r="FT113" s="27" t="str">
        <f>IF(AND(ISNUMBER(SnapshotTable[[#This Row],[SC Upside Potential]]), SnapshotTable[[#This Row],[SC Upside Potential]] &gt; 0),(SnapshotTable[[#This Row],[SC Upside Potential]]/ SnapshotTable[[#This Row],[ACB]]),"")</f>
        <v/>
      </c>
      <c r="FU113" s="304" t="str">
        <f>IF(SnapshotTable[[#This Row],[SC Intrinsic Value]] &gt; 0,SnapshotTable[[#This Row],[SC Intrinsic Value]],"")</f>
        <v/>
      </c>
      <c r="FV113" s="27" t="str">
        <f>IF(AND( ISNUMBER( SnapshotTable[[#This Row],[ACB]]),ISNUMBER(SnapshotTable[[#This Row],[SC Downside Protect]])),SnapshotTable[[#This Row],[SC Downside Protect]] / SnapshotTable[[#This Row],[ACB]],"")</f>
        <v/>
      </c>
      <c r="FW113" s="221" t="str">
        <f>IF(AND(ISNUMBER(SnapshotTable[[#This Row],[SC Simple ROO]]),SnapshotTable[[#This Row],[SC Simple ROO]] &gt; 0), SnapshotTable[[#This Row],[SC Premium]] + (SnapshotTable[[#This Row],[SC Qty]] * SnapshotTable[[#This Row],[SC Upside Potential]]), "")</f>
        <v/>
      </c>
      <c r="FX113" s="280" t="str" cm="1">
        <f t="array" ref="FX113">IF(ISNUMBER(SnapshotTable[[#This Row],[SC Max Dollars]]), annualize(SnapshotTable[[#This Row],[SC Term]],(SnapshotTable[[#This Row],[SC Max Dollars]]/SnapshotTable[[#This Row],[SC Basis]])),"")</f>
        <v/>
      </c>
      <c r="FY113" s="221" t="str">
        <f>IF(AND(SnapshotTable[[#This Row],[SC Qty]]&gt;0,SnapshotTable[[#This Row],[SC Current Ask]]&gt;0), SnapshotTable[[#This Row],[SC Qty]] * SnapshotTable[[#This Row],[SC Current Ask]] * -100, "")</f>
        <v/>
      </c>
      <c r="FZ113" s="31" t="str">
        <f>IF(ISNUMBER((SnapshotTable[[#This Row],[SC Current Value]])), SnapshotTable[[#This Row],[SC Premium]] + SnapshotTable[[#This Row],[SC Current Value]], "")</f>
        <v/>
      </c>
      <c r="GA113" s="272" t="str">
        <f>IFERROR( IF(ISNUMBER((SnapshotTable[[#This Row],[SC Current Value]])), SnapshotTable[[#This Row],[SC Gain Loss]] / SnapshotTable[[#This Row],[SC Premium]], ""), "")</f>
        <v/>
      </c>
      <c r="GB113" s="42">
        <f>SnapshotTable[[#This Row],[Equity Shares]] * SaleSharesToConsiderPercentage</f>
        <v>0</v>
      </c>
      <c r="GC113" s="40">
        <f>SnapshotTable[[#This Row],[Long Term Target]] * SellingPriceToConsiderBasedOnTargetPercentage</f>
        <v>0</v>
      </c>
      <c r="GD113" s="40">
        <f>SnapshotTable[[#This Row],[Last Price]] * (1+ SellingPriceToConsiderBasedOnTargetPercentage)</f>
        <v>176.33850000000001</v>
      </c>
      <c r="GE113" s="41"/>
      <c r="GF113" s="40"/>
      <c r="GG113" s="31">
        <f>SnapshotTable[[#This Row],[Booked Sale Shares]] * SnapshotTable[[#This Row],[Booked Sale Price]]</f>
        <v>0</v>
      </c>
      <c r="GH113" s="31" t="str">
        <f>IF(SnapshotTable[[#This Row],[Equity Basis Total]] &gt; 0, SnapshotTable[[#This Row],[Equity Basis Per Share]] * SnapshotTable[[#This Row],[Booked Sale Shares]], "")</f>
        <v/>
      </c>
      <c r="GI113" s="31">
        <f>IF(SnapshotTable[[#This Row],[Sale Proceeds]]&gt;0, SnapshotTable[[#This Row],[Sale Proceeds]] - SnapshotTable[[#This Row],[Sale Basis]], 0)</f>
        <v>0</v>
      </c>
      <c r="GJ113" s="27" t="str">
        <f>IF(SnapshotTable[[#This Row],[Sale G/L]]&gt;0, SnapshotTable[[#This Row],[Sale G/L]] / SnapshotTable[[#This Row],[Sale Basis]], IF(ISNUMBER(SnapshotTable[[#This Row],[SC Exercise P&amp;L (TAX)]]), SnapshotTable[[#This Row],[SC Exercise P&amp;L (TAX)]] / SnapshotTable[[#This Row],[SC Basis]], ""))</f>
        <v/>
      </c>
      <c r="GK113" s="27"/>
      <c r="GL113" s="43" t="str">
        <f>IF(AND(SnapshotTable[[#This Row],[LP Exp Date]]&gt;0,SnapshotTable[[#This Row],[LP Strike Price]]&gt;0), [1]!ToOptionSymbol(SnapshotTable[[#This Row],[Symbol]], SnapshotTable[[#This Row],[LP Strike Price]],SnapshotTable[[#This Row],[LP Exp Date]],1), "")</f>
        <v/>
      </c>
      <c r="GM113" s="30" t="str">
        <f>IF(LEN(SnapshotTable[[#This Row],[LP Symbol]])&gt;0, 1, "")</f>
        <v/>
      </c>
      <c r="GN113" s="43" t="str">
        <f>IF(AND(SnapshotTable[[#This Row],[SP Exp Date]]&gt;0,SnapshotTable[[#This Row],[SP Strike Price]]&gt;0), [1]!ToOptionSymbol(SnapshotTable[[#This Row],[Symbol]], SnapshotTable[[#This Row],[SP Strike Price]],SnapshotTable[[#This Row],[SP Exp Date]],1), "")</f>
        <v/>
      </c>
      <c r="GO113" s="30" t="str">
        <f>IF(LEN(SnapshotTable[[#This Row],[SP Symbol]])&gt;0, 1, "")</f>
        <v/>
      </c>
      <c r="GP113" s="43" t="str">
        <f>IF(AND(SnapshotTable[[#This Row],[LC Exp Date]]&gt;0,SnapshotTable[[#This Row],[LC Strike Price]]&gt;0), [1]!ToOptionSymbol(SnapshotTable[[#This Row],[Symbol]], SnapshotTable[[#This Row],[LC Strike Price]],SnapshotTable[[#This Row],[LC Exp Date]],0), "")</f>
        <v/>
      </c>
      <c r="GQ113" s="30" t="str">
        <f>IF(LEN(SnapshotTable[[#This Row],[LC Symbol]])&gt;0, 1, "")</f>
        <v/>
      </c>
      <c r="GR113" s="43" t="str">
        <f>IF(AND(SnapshotTable[[#This Row],[SC Exp Date]]&gt;0,SnapshotTable[[#This Row],[SC Strike Price]]&gt;0), [1]!ToOptionSymbol(SnapshotTable[[#This Row],[Symbol]], SnapshotTable[[#This Row],[SC Strike Price]],SnapshotTable[[#This Row],[SC Exp Date]],0), "")</f>
        <v/>
      </c>
      <c r="GS113" s="30" t="str">
        <f>IF(LEN(SnapshotTable[[#This Row],[SC Symbol]])&gt;0, 1, "")</f>
        <v/>
      </c>
      <c r="GT113" s="29" t="str">
        <f>IF(COUNT(SnapshotTable[[#This Row],[LP Symbol Count]],SnapshotTable[[#This Row],[SP Symbol Count]],SnapshotTable[[#This Row],[LC Symbol Count]],SnapshotTable[[#This Row],[SC Symbol Count]])&gt;0, "Y", "")</f>
        <v/>
      </c>
      <c r="GU1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3" s="216">
        <f>MAX(SnapshotTable[[#This Row],[Equity Basis Total]],SnapshotTable[[#This Row],[Equity Value]]) + (SnapshotTable[[#This Row],[SP Potential Spend]]- SnapshotTable[[#This Row],[SP Premium]] + SnapshotTable[[#This Row],[LP Premium]])+ (SnapshotTable[[#This Row],[LC Premium]] - SnapshotTable[[#This Row],[SC Premium]])</f>
        <v>0</v>
      </c>
      <c r="GW113" s="137" t="str">
        <f>IF(AND(SnapshotTable[[#This Row],[Exposure]] &lt;&gt; 0),SnapshotTable[[#This Row],[Exposure]] / SnapshotTable[[#Totals],[Exposure]], "")</f>
        <v/>
      </c>
      <c r="HE113" s="253"/>
      <c r="HF113" s="253"/>
      <c r="HK113" s="1"/>
      <c r="HL113" s="1"/>
      <c r="HM113" s="1"/>
      <c r="HN113" s="1"/>
      <c r="HO113" s="1"/>
      <c r="HP113" s="1"/>
    </row>
    <row r="114" spans="2:224" ht="12.75" hidden="1" customHeight="1" x14ac:dyDescent="0.25">
      <c r="B114" s="12" t="s">
        <v>765</v>
      </c>
      <c r="C114" s="385">
        <v>29.94</v>
      </c>
      <c r="D114" s="200" t="s">
        <v>467</v>
      </c>
      <c r="E114" s="39">
        <f>SnapshotTable[[#This Row],[Last Price]]*(1 -CrashDiscount)</f>
        <v>25.449000000000002</v>
      </c>
      <c r="F114" s="26" t="s">
        <v>45</v>
      </c>
      <c r="G114" s="26" t="s">
        <v>493</v>
      </c>
      <c r="H114" s="147"/>
      <c r="I114" s="186">
        <v>44775.666666666664</v>
      </c>
      <c r="J114" s="187">
        <v>44775.666666666664</v>
      </c>
      <c r="K114" s="188"/>
      <c r="L114" s="297"/>
      <c r="M114" s="138"/>
      <c r="N114" s="138"/>
      <c r="O114" s="138"/>
      <c r="P114" s="22"/>
      <c r="Q114" s="25"/>
      <c r="R114" s="4" t="str">
        <f>IF(SnapshotTable[[#This Row],[Equity Basis Total]] &gt; 0, SnapshotTable[[#This Row],[Equity Basis Total]] / SnapshotTable[[#This Row],[Equity Shares]], "")</f>
        <v/>
      </c>
      <c r="S114" s="254">
        <f>SnapshotTable[[#This Row],[Last Price]] * SnapshotTable[[#This Row],[Equity Shares]]</f>
        <v>0</v>
      </c>
      <c r="T114" s="254">
        <f>SnapshotTable[[#This Row],[Equity Value]] - SnapshotTable[[#This Row],[Equity Basis Total]]</f>
        <v>0</v>
      </c>
      <c r="U114" s="255" t="str">
        <f>IF(SnapshotTable[[#This Row],[Equity Basis Total]] &gt; 0, SnapshotTable[[#This Row],[Equity G/L]] / SnapshotTable[[#This Row],[Equity Basis Total]], "")</f>
        <v/>
      </c>
      <c r="V114" s="253">
        <v>100</v>
      </c>
      <c r="W114" s="253">
        <v>86.17</v>
      </c>
      <c r="X114" s="4" t="str">
        <f>IF(AND(ISNUMBER(SnapshotTable[[#This Row],[Equity Basis Per Share]]),ISNUMBER(SnapshotTable[[#This Row],[Equity Target]])),SnapshotTable[[#This Row],[Equity Target]]-SnapshotTable[[#This Row],[Equity Basis Per Share]],"")</f>
        <v/>
      </c>
      <c r="Y114" s="4" t="str">
        <f>IF(AND(ISNUMBER(SnapshotTable[[#This Row],[Equity Basis Per Share]]),ISNUMBER(SnapshotTable[[#This Row],[Equity Stop Loss]])),SnapshotTable[[#This Row],[Equity Stop Loss]]-SnapshotTable[[#This Row],[Equity Basis Per Share]],"")</f>
        <v/>
      </c>
      <c r="Z114" s="260" t="str">
        <f>IFERROR( TEXT(SnapshotTable[[#This Row],[Equity Max Gain Per Share]] /ABS( SnapshotTable[[#This Row],[Equity Max Loss Per Share]]),"0.0 " ) &amp; " : 1", "")</f>
        <v/>
      </c>
      <c r="AA114" s="31" t="str">
        <f>IF(ISNUMBER(SnapshotTable[[#This Row],[Equity Max Gain Per Share]]),SnapshotTable[[#This Row],[Equity Max Gain Per Share]] * SnapshotTable[[#This Row],[Equity Shares]],"")</f>
        <v/>
      </c>
      <c r="AB114" s="31" t="str">
        <f>IF(ISNUMBER(SnapshotTable[[#This Row],[Equity Max Loss Per Share]]),SnapshotTable[[#This Row],[Equity Max Loss Per Share]] * SnapshotTable[[#This Row],[Equity Shares]],"")</f>
        <v/>
      </c>
      <c r="AC114" s="148"/>
      <c r="AD114" s="149"/>
      <c r="AE114" s="31">
        <f>(SnapshotTable[[#This Row],[Annual Dividend Per Share]] / 4) * SnapshotTable[[#This Row],[Equity Shares]]</f>
        <v>0</v>
      </c>
      <c r="AF114" s="31">
        <f>SnapshotTable[[#This Row],[Quarterly Div $]] * 4</f>
        <v>0</v>
      </c>
      <c r="AG114" s="7">
        <f>IF(SnapshotTable[[#This Row],[Annual Dividend Per Share]]&gt;0, SnapshotTable[[#This Row],[Annual Dividend Per Share]]  / SnapshotTable[[#This Row],[Last Price]], 0)</f>
        <v>0</v>
      </c>
      <c r="AH114" s="149"/>
      <c r="AI114" s="5"/>
      <c r="AJ114" s="136">
        <v>102.64</v>
      </c>
      <c r="AK114" s="150" t="str">
        <f>IF(ISNUMBER( SnapshotTable[[#This Row],[EBF Target]]),(SnapshotTable[[#This Row],[EBF Target]] - SnapshotTable[[#This Row],[Last Price]]) / SnapshotTable[[#This Row],[Last Price]], "")</f>
        <v/>
      </c>
      <c r="AL114" s="150" t="str">
        <f>IF(AND(SnapshotTable[[#This Row],[Equity Basis Total]] &gt; 0,ISNUMBER( SnapshotTable[[#This Row],[Long Term Target]])), SnapshotTable[[#This Row],[From Basis $]] / SnapshotTable[[#This Row],[Equity Basis Total]], "")</f>
        <v/>
      </c>
      <c r="AM114" s="9">
        <f>IF( AND(SnapshotTable[[#This Row],[Equity Shares]] &gt;0,ISNUMBER( SnapshotTable[[#This Row],[Long Term Target]])),(SnapshotTable[[#This Row],[Equity Shares]] * SnapshotTable[[#This Row],[Long Term Target]]) - SnapshotTable[[#This Row],[Equity Basis Total]],0)</f>
        <v>0</v>
      </c>
      <c r="AN114" s="9">
        <f>IF( AND(SnapshotTable[[#This Row],[Equity Shares]] &gt;0,ISNUMBER( SnapshotTable[[#This Row],[Long Term Target]])),(SnapshotTable[[#This Row],[Equity Shares]]*SnapshotTable[[#This Row],[Long Term Target]]) - SnapshotTable[[#This Row],[Equity Value]],0)</f>
        <v>0</v>
      </c>
      <c r="AO114" s="150">
        <f>IF(AND(ISNUMBER( SnapshotTable[[#This Row],[Long Term Target]]), ISNUMBER(SnapshotTable[[#This Row],[Last Price]])),(SnapshotTable[[#This Row],[Long Term Target]] - SnapshotTable[[#This Row],[Last Price]]) / SnapshotTable[[#This Row],[Last Price]], "")</f>
        <v>2.4281897127588512</v>
      </c>
      <c r="AP114" s="5">
        <v>94</v>
      </c>
      <c r="AQ114" s="38" t="s">
        <v>16</v>
      </c>
      <c r="AR114" s="5">
        <v>86.5</v>
      </c>
      <c r="AS114" s="38" t="s">
        <v>19</v>
      </c>
      <c r="AT114" s="144" t="s">
        <v>442</v>
      </c>
      <c r="AU114" s="185" t="str">
        <f>IF(OR(SnapshotTable[[#This Row],[LP No Fill]]="Y",SnapshotTable[[#This Row],[SP Is Filled]],SnapshotTable[[#This Row],[LC Not Filled]]="Y",SnapshotTable[[#This Row],[SC Is Filled]]),"Y","")</f>
        <v/>
      </c>
      <c r="AV114" s="205"/>
      <c r="AW114" s="211"/>
      <c r="AX114" s="206"/>
      <c r="AY114" s="205" t="str">
        <f>IF(SnapshotTable[[#This Row],[Implied Move]]&gt;0, SnapshotTable[[#This Row],[Last Price]]-SnapshotTable[[#This Row],[Implied Move]],"")</f>
        <v/>
      </c>
      <c r="AZ114" s="205" t="str">
        <f>IF(SnapshotTable[[#This Row],[Implied Move]]&gt;0, SnapshotTable[[#This Row],[Last Price]] + SnapshotTable[[#This Row],[Implied Move]],"")</f>
        <v/>
      </c>
      <c r="BA114" s="302">
        <v>79.23</v>
      </c>
      <c r="BB114" s="318"/>
      <c r="BC1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4" s="321"/>
      <c r="BE114" s="5"/>
      <c r="BF114" s="14"/>
      <c r="BG114" s="13"/>
      <c r="BH114" s="13"/>
      <c r="BI114" s="5"/>
      <c r="BJ114" s="134">
        <f>IF(SnapshotTable[[#This Row],[LP Qty]] &gt; 0, SnapshotTable[[#This Row],[LP Qty]] * SnapshotTable[[#This Row],[LP Book Price]] * 100,0)</f>
        <v>0</v>
      </c>
      <c r="BK114" s="134">
        <f>IF(SnapshotTable[[#This Row],[LP Premium]] &gt; 0, SnapshotTable[[#This Row],[LP Qty]] * SnapshotTable[[#This Row],[LP Strike Price]] * 100,0)</f>
        <v>0</v>
      </c>
      <c r="BL114" s="152"/>
      <c r="BM114" s="355" t="str">
        <f>IF(SnapshotTable[[#This Row],[LP Premium]] &gt; 0,SnapshotTable[[#This Row],[LP Exp Date]]-MAX(SnapshotTable[[#This Row],[LP Book Date]], SnapshotTable[[#This Row],[LP Fill Date]]),"")</f>
        <v/>
      </c>
      <c r="BN114" s="355" t="str">
        <f>IF(ISNUMBER( SnapshotTable[[#This Row],[LP Term]]), SnapshotTable[[#This Row],[LP Exp Date]] - MockToday,"")</f>
        <v/>
      </c>
      <c r="BO114" s="161" t="str">
        <f>IF(AND(SnapshotTable[[#This Row],[LP Exp Date]]&gt;0, SnapshotTable[[#This Row],[LP Strike Price]]&gt;0,SnapshotTable[[#This Row],[LP Qty]]&gt;0,SnapshotTable[[#This Row],[LP Book Date]]&gt;0,SnapshotTable[[#This Row],[LP Book Price]]&gt;0,SnapshotTable[[#This Row],[LP Fill Date]]=0),"Y","")</f>
        <v/>
      </c>
      <c r="BP114" s="31" t="str">
        <f>IF(AND(SnapshotTable[[#This Row],[LP No Fill]]&lt;&gt;"Y",SnapshotTable[[#This Row],[LP Contract Value]]&gt;0, SnapshotTable[[#This Row],[LP Qty]]&gt;0), SnapshotTable[[#This Row],[LP Contract Value]]*SnapshotTable[[#This Row],[LP Qty]]*100,"")</f>
        <v/>
      </c>
      <c r="BQ114" s="13"/>
      <c r="BR114" s="5"/>
      <c r="BS114" s="36"/>
      <c r="BT114" s="145"/>
      <c r="BU114" s="13"/>
      <c r="BV114" s="5"/>
      <c r="BW114" s="382" t="b">
        <f>AND(ISNUMBER(SnapshotTable[[#This Row],[SP Exp Date]]), ISNUMBER(SnapshotTable[[#This Row],[SP Strike Price]]), ISNUMBER(SnapshotTable[[#This Row],[SP Qty]]), ISNUMBER(SnapshotTable[[#This Row],[SP Book Date]]), ISNUMBER(SnapshotTable[[#This Row],[SP Book Price]]))</f>
        <v>0</v>
      </c>
      <c r="BX114" s="382" t="b">
        <f>AND(SnapshotTable[[#This Row],[SP Is Booked]], NOT(ISBLANK(SnapshotTable[[#This Row],[SP Fill Date]])))</f>
        <v>0</v>
      </c>
      <c r="BY114" s="33">
        <f>IF(SnapshotTable[[#This Row],[SP Is Booked]], SnapshotTable[[#This Row],[SP Qty]] * SnapshotTable[[#This Row],[SP Book Price]] * 100, 0)</f>
        <v>0</v>
      </c>
      <c r="BZ114" s="339"/>
      <c r="CA114" s="338">
        <f>SnapshotTable[[#This Row],[LP Qty]]</f>
        <v>0</v>
      </c>
      <c r="CB114" s="4" t="str">
        <f>IF(SnapshotTable[[#This Row],[SP Is Booked]], SnapshotTable[[#This Row],[SP Strike Price]] - SnapshotTable[[#This Row],[SP Book Price]], "")</f>
        <v/>
      </c>
      <c r="CC114" s="19" t="str">
        <f>IF(SnapshotTable[[#This Row],[SP Is Booked]],SnapshotTable[[#This Row],[SP Exp Date]]-MAX(SnapshotTable[[#This Row],[SP Book Date]], SnapshotTable[[#This Row],[SP Fill Date]]),"")</f>
        <v/>
      </c>
      <c r="CD114" s="7" t="str">
        <f>IF(SnapshotTable[[#This Row],[SP Is Booked]], SnapshotTable[[#This Row],[SP Book Price]]/SnapshotTable[[#This Row],[SP Strike Price]], "")</f>
        <v/>
      </c>
      <c r="CE114" s="7" t="str">
        <f>IF(ISNUMBER(SnapshotTable[[#This Row],[SP ROO Term]]),SnapshotTable[[#This Row],[SP ROO Term]]*(365/SnapshotTable[[#This Row],[SP Term]]),"")</f>
        <v/>
      </c>
      <c r="CF114" s="221">
        <f>SnapshotTable[[#This Row],[LP Strike Price]] * SnapshotTable[[#This Row],[LP Qty]] * 100</f>
        <v>0</v>
      </c>
      <c r="CG114" s="31">
        <f>IF(ISNUMBER(SnapshotTable[[#This Row],[SP Premium]]), (SnapshotTable[[#This Row],[SP Qty]] * SnapshotTable[[#This Row],[SP Strike Price]]* 100) - SnapshotTable[[#This Row],[LP Protection]], 0)</f>
        <v>0</v>
      </c>
      <c r="CH114" s="7" t="str">
        <f>IF(ISNUMBER(SnapshotTable[[#This Row],[SP Break Even]]),-1 * (SnapshotTable[[#This Row],[SP Break Even]] - SnapshotTable[[#This Row],[Last Price]]) / SnapshotTable[[#This Row],[Last Price]], "")</f>
        <v/>
      </c>
      <c r="CI114" s="31">
        <f>IF(AND(ISNUMBER((SnapshotTable[[#This Row],[SP Potential Spend]])), SnapshotTable[[#This Row],[SP Strike Price]] &gt; SnapshotTable[[#This Row],[Last Price]], SnapshotTable[[#This Row],[SP Is Filled]]), SnapshotTable[[#This Row],[SP Potential Spend]] -  SnapshotTable[[#This Row],[LP Max Value]], 0)</f>
        <v>0</v>
      </c>
      <c r="CJ114" s="229"/>
      <c r="CK114" s="31">
        <f>IF(ISNUMBER(SnapshotTable[[#This Row],[SP Potential Spend]]),IF(ISNUMBER(SnapshotTable[[#This Row],[SP POW]]), SnapshotTable[[#This Row],[SP POW]] * SnapshotTable[[#This Row],[SP Potential Spend]], SnapshotTable[[#This Row],[SP Potential Spend]]), "")</f>
        <v>0</v>
      </c>
      <c r="CL114" s="162">
        <f>IF(NOT(SnapshotTable[[#This Row],[SP Is Filled]]),(SnapshotTable[[#This Row],[SP Qty]] * SnapshotTable[[#This Row],[SP Strike Price]] * 100) - SnapshotTable[[#This Row],[LP Max Value]],"")</f>
        <v>0</v>
      </c>
      <c r="CM114" s="31" t="str">
        <f>IF(SnapshotTable[[#This Row],[SP Actual Spend]]&lt;&gt;0, ((SnapshotTable[[#This Row],[SP Strike Price]]-SnapshotTable[[#This Row],[Last Price]]) *(SnapshotTable[[#This Row],[SP Qty]]*100) - SnapshotTable[[#This Row],[SP Premium]]) * - 1, "")</f>
        <v/>
      </c>
      <c r="CN114" s="76"/>
      <c r="CO114" s="339"/>
      <c r="CP114" s="4" t="str">
        <f>IF(SnapshotTable[[#This Row],[SP Is Filled]], btc_max_buyback_amount(SnapshotTable[[#This Row],[SP Fill Date]],SnapshotTable[[#This Row],[SP Exp Date]], SnapshotTable[[#This Row],[SP Book Price]]),"")</f>
        <v/>
      </c>
      <c r="CQ114" s="76"/>
      <c r="CR1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4" s="153" t="str">
        <f>IF(SnapshotTable[[#This Row],[SP Is Filled]], btc_next_cutoff_date(SnapshotTable[[#This Row],[SP Fill Date]],SnapshotTable[[#This Row],[SP Exp Date]]),"")</f>
        <v/>
      </c>
      <c r="CT114" s="220" t="str" cm="1">
        <f t="array" ref="CT114">IF(SnapshotTable[[#This Row],[SP Is Filled]], btc_should_buy_back(SnapshotTable[[#This Row],[SP Fill Date]], SnapshotTable[[#This Row],[SP Exp Date]], SnapshotTable[[#This Row],[SP Book Price]], SnapshotTable[[#This Row],[SP Current Ask]], MockToday, SnapshotTable[[#This Row],[SP Buyback Override]]),"")</f>
        <v/>
      </c>
      <c r="CU114" s="141"/>
      <c r="CV114" s="220"/>
      <c r="CW114" s="348" t="str">
        <f>IF(ISNUMBER( SnapshotTable[[#This Row],[SP Term]]), SnapshotTable[[#This Row],[SP Exp Date]] - MockToday,"")</f>
        <v/>
      </c>
      <c r="CX114" s="31" t="str">
        <f>IF(SnapshotTable[[#This Row],[SP Is Filled]],SnapshotTable[[#This Row],[SP Buyback Price to Use]] * 100 * SnapshotTable[[#This Row],[SP Qty]], "")</f>
        <v/>
      </c>
      <c r="CY114" s="4" t="str">
        <f>IF(ISNUMBER(SnapshotTable[[#This Row],[SP Strike Price]]), SnapshotTable[[#This Row],[SP Strike Price]] * (1 - SP_MaxLoss_StrikePct), "")</f>
        <v/>
      </c>
      <c r="CZ114" s="31" t="str">
        <f>IF(ISNUMBER(SnapshotTable[[#This Row],[SP Strike  Stop Per Share]]),SnapshotTable[[#This Row],[SP Premium]] - ((SnapshotTable[[#This Row],[SP Strike Price]]-SnapshotTable[[#This Row],[SP Strike  Stop Per Share]]) *(SnapshotTable[[#This Row],[SP Qty]] * 100)),"")</f>
        <v/>
      </c>
      <c r="DA114" s="4" t="str">
        <f>IF(AND(ISNUMBER(SnapshotTable[[#This Row],[SP Premium]]),SnapshotTable[[#This Row],[SP Premium]]&gt;0), SnapshotTable[[#This Row],[SP Book Price]] * (1 + SP_MaxLoss_OptionPct), "")</f>
        <v/>
      </c>
      <c r="DB114" s="31" t="str">
        <f>IF(ISNUMBER(SnapshotTable[[#This Row],[SP Option  Stop Contract]]),(SnapshotTable[[#This Row],[SP Option  Stop Contract]] *(SnapshotTable[[#This Row],[SP Qty]] * 100) - SnapshotTable[[#This Row],[SP Premium]]),"")</f>
        <v/>
      </c>
      <c r="DC114" s="4"/>
      <c r="DD114" s="4"/>
      <c r="DE114" s="4" t="str">
        <f>IF(AND(SnapshotTable[[#This Row],[SP Qty]]&gt;0, SnapshotTable[[#This Row],[SP Stop To Use]]&gt;0),SnapshotTable[[#This Row],[SP Premium]] - ( SnapshotTable[[#This Row],[SP Qty]] * SnapshotTable[[#This Row],[SP Stop To Use]] * 100), "")</f>
        <v/>
      </c>
      <c r="DF114" s="31" t="str">
        <f>IF(AND(SnapshotTable[[#This Row],[SP Qty]]&gt;0,SnapshotTable[[#This Row],[SP Current Ask]]&gt;0), SnapshotTable[[#This Row],[SP Qty]] * SnapshotTable[[#This Row],[SP Current Ask]] * -100, "")</f>
        <v/>
      </c>
      <c r="DG114" s="31" t="str">
        <f>IF(ISNUMBER((SnapshotTable[[#This Row],[SP Total Value]])), SnapshotTable[[#This Row],[SP Premium]] + SnapshotTable[[#This Row],[SP Total Value]], "")</f>
        <v/>
      </c>
      <c r="DH114" s="272" t="str">
        <f>IF(ISNUMBER((SnapshotTable[[#This Row],[SP Total Value]])), SnapshotTable[[#This Row],[SP Gain Loss]] / SnapshotTable[[#This Row],[SP Premium]], "")</f>
        <v/>
      </c>
      <c r="DI114" s="369"/>
      <c r="DJ114" s="136"/>
      <c r="DK114" s="146"/>
      <c r="DL114" s="13"/>
      <c r="DM114" s="13"/>
      <c r="DO114" s="31">
        <f>IF(SnapshotTable[[#This Row],[LC Symbol Count]]=1, SnapshotTable[[#This Row],[LC Qty]] * SnapshotTable[[#This Row],[LC Book Price]] * 100, 0)</f>
        <v>0</v>
      </c>
      <c r="DP114" s="161" t="str">
        <f>IF(AND(SnapshotTable[[#This Row],[LC Exp Date]]&gt;0, SnapshotTable[[#This Row],[LC Strike Price]]&gt;0,SnapshotTable[[#This Row],[LC Qty]]&gt;0,SnapshotTable[[#This Row],[LC Book Date]]&gt;0,SnapshotTable[[#This Row],[LC Book Price]]&gt;0,SnapshotTable[[#This Row],[LC Fill Date]]=0),"Y","")</f>
        <v/>
      </c>
      <c r="DQ114" s="356" t="str">
        <f>IF(SnapshotTable[[#This Row],[LC Premium]] &gt; 0,SnapshotTable[[#This Row],[LC Exp Date]]-MAX(SnapshotTable[[#This Row],[LC Book Date]], SnapshotTable[[#This Row],[LC Fill Date]]),"")</f>
        <v/>
      </c>
      <c r="DR114" s="356" t="str">
        <f>IF(ISNUMBER(SnapshotTable[[#This Row],[LC Term]]), SnapshotTable[[#This Row],[LC Exp Date]] - MockToday, "")</f>
        <v/>
      </c>
      <c r="DS114" s="219" t="str">
        <f>IF(SnapshotTable[[#This Row],[LC Premium]]&gt;0,SnapshotTable[[#This Row],[LC Strike Price]] + SnapshotTable[[#This Row],[LC Book Price]],"")</f>
        <v/>
      </c>
      <c r="DU114" s="9" t="str">
        <f>IF(AND(SnapshotTable[[#This Row],[LC Symbol Count]]&gt;0, SnapshotTable[[#This Row],[LC Contract Value]]&gt;0), SnapshotTable[[#This Row],[LC Contract Value]] * SnapshotTable[[#This Row],[LC Qty]] * 100, "")</f>
        <v/>
      </c>
      <c r="DV114" s="9" t="str">
        <f>IF(AND(ISNUMBER(SnapshotTable[[#This Row],[LC Total Value]]), SnapshotTable[[#This Row],[LC Not Filled]]&lt;&gt;"Y"), SnapshotTable[[#This Row],[LC Total Value]]-SnapshotTable[[#This Row],[LC Premium]],"")</f>
        <v/>
      </c>
      <c r="DW114" s="225" t="str">
        <f>IF(ISNUMBER(SnapshotTable[[#This Row],[LC Actual Gain Loss]]), SnapshotTable[[#This Row],[LC Actual Gain Loss]] / SnapshotTable[[#This Row],[LC Premium]],"")</f>
        <v/>
      </c>
      <c r="DX114" s="269" t="str">
        <f>IF(ISNUMBER(SnapshotTable[[#This Row],[LC Book Price]]),SnapshotTable[[#This Row],[LC Book Price]] * 1.5,"")</f>
        <v/>
      </c>
      <c r="DY114" s="250" t="str">
        <f>IF(SnapshotTable[[#This Row],[LC Premium]]&gt;0, SnapshotTable[[#This Row],[LC Next Target]] * SnapshotTable[[#This Row],[LC Qty]] * 100,"")</f>
        <v/>
      </c>
      <c r="DZ114" s="250" t="str">
        <f>IF(ISNUMBER(SnapshotTable[[#This Row],[LC Target Gross]]), SnapshotTable[[#This Row],[LC Target Gross]] - SnapshotTable[[#This Row],[LC Premium]], "")</f>
        <v/>
      </c>
      <c r="EA114" s="283" t="str">
        <f>IF(ISNUMBER(SnapshotTable[[#This Row],[LC Target Gain Loss]]), SnapshotTable[[#This Row],[LC Target Gain Loss]]/SnapshotTable[[#This Row],[LC Premium]], "")</f>
        <v/>
      </c>
      <c r="EB114" s="247"/>
      <c r="EC114" s="268" t="str">
        <f>IF(SnapshotTable[[#This Row],[LC Premium]]&gt;0, SnapshotTable[[#This Row],[LC Book Price]] * (1 - LC_StopLoss_Pct),"")</f>
        <v/>
      </c>
      <c r="ED114" s="269"/>
      <c r="EE114" s="268" t="str">
        <f>IF(ISNUMBER(SnapshotTable[[#This Row],[LC Contract Value]]),IF(ISNUMBER(SnapshotTable[[#This Row],[LC Stop Loss Override]]), SnapshotTable[[#This Row],[LC Stop Loss Override]],SnapshotTable[[#This Row],[LC Stop Loss Calc Target]]),"")</f>
        <v/>
      </c>
      <c r="EF114" s="31" t="str">
        <f>IF(ISNUMBER(SnapshotTable[[#This Row],[LC Stop  To Use]]), (SnapshotTable[[#This Row],[LC Stop  To Use]] * SnapshotTable[[#This Row],[LC Qty]] * 100),"")</f>
        <v/>
      </c>
      <c r="EG114" s="9" t="str">
        <f>IF(ISNUMBER(SnapshotTable[[#This Row],[LC Total Value]]),SnapshotTable[[#This Row],[LC Stop Loss Amount]] - SnapshotTable[[#This Row],[LC Premium]],"")</f>
        <v/>
      </c>
      <c r="EH114" s="9">
        <f>IF(ISNUMBER(SnapshotTable[[#This Row],[LC Premium]]), SnapshotTable[[#This Row],[LC Qty]] * 100 * SnapshotTable[[#This Row],[LC Strike Price]], "")</f>
        <v>0</v>
      </c>
      <c r="EI114" s="225" t="str">
        <f>IF(AND(ISNUMBER(SnapshotTable[[#This Row],[LC Total Value]]),SnapshotTable[[#This Row],[LC Total Value]]&gt;0),SnapshotTable[[#This Row],[LC Stop Gain Loss]]  / SnapshotTable[[#This Row],[LC Premium]],"")</f>
        <v/>
      </c>
      <c r="EJ114" s="35">
        <f>IF(ISNUMBER(SnapshotTable[[#This Row],[Equity Shares]]),TRUNC(SnapshotTable[[#This Row],[Equity Shares]] / 100),0) + SnapshotTable[[#This Row],[LC Qty]]</f>
        <v>0</v>
      </c>
      <c r="EK114" s="145"/>
      <c r="EL114" s="136"/>
      <c r="EM114" s="146"/>
      <c r="EN114" s="145"/>
      <c r="EO114" s="145"/>
      <c r="EP114" s="136"/>
      <c r="EQ114" s="382" t="b">
        <f>AND(ISNUMBER(SnapshotTable[[#This Row],[SC Exp Date]]), ISNUMBER(SnapshotTable[[#This Row],[SC Strike Price]]), ISNUMBER(SnapshotTable[[#This Row],[SC Qty]]), ISNUMBER(SnapshotTable[[#This Row],[SC Book Date]]), ISNUMBER(SnapshotTable[[#This Row],[SC Book Price]]))</f>
        <v>0</v>
      </c>
      <c r="ER114" s="382" t="b">
        <f>AND(SnapshotTable[[#This Row],[SC Is Booked]], NOT(ISBLANK(SnapshotTable[[#This Row],[SC Fill Date]])))</f>
        <v>0</v>
      </c>
      <c r="ES114" s="340"/>
      <c r="ET114" s="34" t="str">
        <f>IF(AND(ISNUMBER(SnapshotTable[[#This Row],[SC Exp Date]]), ISNUMBER(SnapshotTable[[#This Row],[SC Book Date]])), SnapshotTable[[#This Row],[SC Exp Date]] - MAX(SnapshotTable[[#This Row],[SC Book Date]], SnapshotTable[[#This Row],[SC Fill Date]]) + 1, "")</f>
        <v/>
      </c>
      <c r="EU114" s="34" t="str">
        <f>IF(ISNUMBER(SnapshotTable[[#This Row],[SC Term]]), SnapshotTable[[#This Row],[SC Exp Date]]- MockToday, "")</f>
        <v/>
      </c>
      <c r="EV114" s="31">
        <f>IF(SnapshotTable[[#This Row],[SC Is Booked]], SnapshotTable[[#This Row],[SC Qty]] * SnapshotTable[[#This Row],[SC Book Price]] * 100, 0)</f>
        <v>0</v>
      </c>
      <c r="EW114" s="4" t="str">
        <f>IF(AND(ISNUMBER(SnapshotTable[[#This Row],[Last Price]]), ISNUMBER( SnapshotTable[[#This Row],[SC Book Price]])), SnapshotTable[[#This Row],[Last Price]] - SnapshotTable[[#This Row],[SC Book Price]],"")</f>
        <v/>
      </c>
      <c r="EX114" s="219" t="str">
        <f>IF(SnapshotTable[[#This Row],[SC Is Booked]],IF(SnapshotTable[[#This Row],[SC Intrinsic Value]] &gt; 0, SnapshotTable[[#This Row],[SC Strike Price]], SnapshotTable[[#This Row],[Last Price]]), "")</f>
        <v/>
      </c>
      <c r="EY114" s="4">
        <f>IF(SnapshotTable[[#This Row],[SC Is Booked]], (MinimumPremiumRequired * SnapshotTable[[#This Row],[SC Basis]] * SnapshotTable[[#This Row],[SC Term]]), 0)</f>
        <v>0</v>
      </c>
      <c r="EZ114" s="268"/>
      <c r="FA114" s="204"/>
      <c r="FB114" s="340"/>
      <c r="FC114" s="4">
        <f>IF(SnapshotTable[[#This Row],[SC Is Filled]], btc_max_buyback_amount(SnapshotTable[[#This Row],[SC Fill Date]],SnapshotTable[[#This Row],[SC Exp Date]], SnapshotTable[[#This Row],[SC Book Price]]),0)</f>
        <v>0</v>
      </c>
      <c r="FD114" s="5"/>
      <c r="FE114" s="142" t="str">
        <f>IF(SnapshotTable[[#This Row],[SC Is Filled]], btc_next_cutoff_date(SnapshotTable[[#This Row],[SC Fill Date]],SnapshotTable[[#This Row],[SC Exp Date]]),"")</f>
        <v/>
      </c>
      <c r="FF114" s="4" t="str" cm="1">
        <f t="array" ref="FF114">IF(SnapshotTable[[#This Row],[SC Is Filled]], btc_should_buy_back(SnapshotTable[[#This Row],[SC Fill Date]], SnapshotTable[[#This Row],[SC Exp Date]], SnapshotTable[[#This Row],[SC Book Price]], SnapshotTable[[#This Row],[SC Current Ask]], MockToday, SnapshotTable[[#This Row],[SC Buyback Override]]),"")</f>
        <v/>
      </c>
      <c r="FG114" s="4">
        <f>IF(SnapshotTable[[#This Row],[SC Is Filled]], MAX(0,SnapshotTable[[#This Row],[Last Price]]  - SnapshotTable[[#This Row],[SC Strike Price]]), 0)</f>
        <v>0</v>
      </c>
      <c r="FH114" s="352">
        <f>IF(SnapshotTable[[#This Row],[SC Is Filled]], IF(ISNUMBER(SnapshotTable[[#This Row],[SC Current Ask]]), SnapshotTable[[#This Row],[SC Current Ask]], SnapshotTable[[#This Row],[SC Book Price]]) - SnapshotTable[[#This Row],[SC Intrinsic Value]], 0)</f>
        <v>0</v>
      </c>
      <c r="FI114" s="141"/>
      <c r="FJ114" s="32" t="str">
        <f>IF(SnapshotTable[[#This Row],[SC Is Filled]],100 * SnapshotTable[[#This Row],[SC Qty]] * IF(ISNUMBER(SnapshotTable[[#This Row],[SC Buyback Override]]), SnapshotTable[[#This Row],[SC Buyback Override]], SnapshotTable[[#This Row],[SC Current Ask]]), "")</f>
        <v/>
      </c>
      <c r="FK114" s="235" t="str">
        <f>IF(SnapshotTable[[#This Row],[SC Time Val]]&gt;0, SnapshotTable[[#This Row],[SC Time Val]] / SnapshotTable[[#This Row],[Last Price]],"")</f>
        <v/>
      </c>
      <c r="FL114" s="280" t="str">
        <f>IF(SnapshotTable[[#This Row],[SC Is Booked]], ((SnapshotTable[[#This Row],[Last Price]] -SnapshotTable[[#This Row],[SC Strike Price]]) / SnapshotTable[[#This Row],[Last Price]]) * -1, "")</f>
        <v/>
      </c>
      <c r="FM114" s="155" t="str">
        <f>IF(SnapshotTable[[#This Row],[SC Is Booked]],  (SnapshotTable[[#This Row],[SC Qty]] * 100 * SnapshotTable[[#This Row],[SC Strike Price]]) - SnapshotTable[[#This Row],[SC Current Ask]], "")</f>
        <v/>
      </c>
      <c r="FN1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4" s="31" t="str">
        <f>IF(AND(ISNUMBER(SnapshotTable[[#This Row],[SC Exercise Gross]]), ISNUMBER(SnapshotTable[[#This Row],[Equity Basis Per Share]] )), SnapshotTable[[#This Row],[SC Exercise Gross]] - SnapshotTable[[#This Row],[Equity Basis Total]] +  SnapshotTable[[#This Row],[SC Premium]], "")</f>
        <v/>
      </c>
      <c r="FP114" s="5" t="str">
        <f>IF(ISNUMBER(SnapshotTable[[#This Row],[SC Exercise Gross]]), (SnapshotTable[[#This Row],[SC Exercise Gross]]) / (SnapshotTable[[#This Row],[SC Qty]] * 100), "")</f>
        <v/>
      </c>
      <c r="FQ114" s="27" t="str">
        <f>IF(SnapshotTable[[#This Row],[SC Is Booked]],SnapshotTable[[#This Row],[SC Time Val]] /SnapshotTable[[#This Row],[SC Basis]], "")</f>
        <v/>
      </c>
      <c r="FR114" s="27" t="str" cm="1">
        <f t="array" ref="FR114">IF(AND(ISNUMBER(SnapshotTable[[#This Row],[SC Term]]),ISNUMBER(SnapshotTable[[#This Row],[SC Simple ROO]])), EllmanAnnualize(SnapshotTable[[#This Row],[SC DTE]], SnapshotTable[[#This Row],[SC Simple ROO]] ),"")</f>
        <v/>
      </c>
      <c r="FS114" s="4">
        <f>IF(SnapshotTable[[#This Row],[SC Strike Price]] &gt; SnapshotTable[[#This Row],[Last Price]], SnapshotTable[[#This Row],[SC Strike Price]] - SnapshotTable[[#This Row],[Last Price]],0)</f>
        <v>0</v>
      </c>
      <c r="FT114" s="27" t="str">
        <f>IF(AND(ISNUMBER(SnapshotTable[[#This Row],[SC Upside Potential]]), SnapshotTable[[#This Row],[SC Upside Potential]] &gt; 0),(SnapshotTable[[#This Row],[SC Upside Potential]]/ SnapshotTable[[#This Row],[ACB]]),"")</f>
        <v/>
      </c>
      <c r="FU114" s="304" t="str">
        <f>IF(SnapshotTable[[#This Row],[SC Intrinsic Value]] &gt; 0,SnapshotTable[[#This Row],[SC Intrinsic Value]],"")</f>
        <v/>
      </c>
      <c r="FV114" s="27" t="str">
        <f>IF(AND( ISNUMBER( SnapshotTable[[#This Row],[ACB]]),ISNUMBER(SnapshotTable[[#This Row],[SC Downside Protect]])),SnapshotTable[[#This Row],[SC Downside Protect]] / SnapshotTable[[#This Row],[ACB]],"")</f>
        <v/>
      </c>
      <c r="FW114" s="221" t="str">
        <f>IF(AND(ISNUMBER(SnapshotTable[[#This Row],[SC Simple ROO]]),SnapshotTable[[#This Row],[SC Simple ROO]] &gt; 0), SnapshotTable[[#This Row],[SC Premium]] + (SnapshotTable[[#This Row],[SC Qty]] * SnapshotTable[[#This Row],[SC Upside Potential]]), "")</f>
        <v/>
      </c>
      <c r="FX114" s="280" t="str" cm="1">
        <f t="array" ref="FX114">IF(ISNUMBER(SnapshotTable[[#This Row],[SC Max Dollars]]), annualize(SnapshotTable[[#This Row],[SC Term]],(SnapshotTable[[#This Row],[SC Max Dollars]]/SnapshotTable[[#This Row],[SC Basis]])),"")</f>
        <v/>
      </c>
      <c r="FY114" s="221" t="str">
        <f>IF(AND(SnapshotTable[[#This Row],[SC Qty]]&gt;0,SnapshotTable[[#This Row],[SC Current Ask]]&gt;0), SnapshotTable[[#This Row],[SC Qty]] * SnapshotTable[[#This Row],[SC Current Ask]] * -100, "")</f>
        <v/>
      </c>
      <c r="FZ114" s="31" t="str">
        <f>IF(ISNUMBER((SnapshotTable[[#This Row],[SC Current Value]])), SnapshotTable[[#This Row],[SC Premium]] + SnapshotTable[[#This Row],[SC Current Value]], "")</f>
        <v/>
      </c>
      <c r="GA114" s="272" t="str">
        <f>IFERROR( IF(ISNUMBER((SnapshotTable[[#This Row],[SC Current Value]])), SnapshotTable[[#This Row],[SC Gain Loss]] / SnapshotTable[[#This Row],[SC Premium]], ""), "")</f>
        <v/>
      </c>
      <c r="GB114" s="42">
        <f>SnapshotTable[[#This Row],[Equity Shares]] * SaleSharesToConsiderPercentage</f>
        <v>0</v>
      </c>
      <c r="GC114" s="40">
        <f>SnapshotTable[[#This Row],[Long Term Target]] * SellingPriceToConsiderBasedOnTargetPercentage</f>
        <v>97.507999999999996</v>
      </c>
      <c r="GD114" s="40">
        <f>SnapshotTable[[#This Row],[Last Price]] * (1+ SellingPriceToConsiderBasedOnTargetPercentage)</f>
        <v>58.383000000000003</v>
      </c>
      <c r="GE114" s="41"/>
      <c r="GF114" s="40"/>
      <c r="GG114" s="31">
        <f>SnapshotTable[[#This Row],[Booked Sale Shares]] * SnapshotTable[[#This Row],[Booked Sale Price]]</f>
        <v>0</v>
      </c>
      <c r="GH114" s="31" t="str">
        <f>IF(SnapshotTable[[#This Row],[Equity Basis Total]] &gt; 0, SnapshotTable[[#This Row],[Equity Basis Per Share]] * SnapshotTable[[#This Row],[Booked Sale Shares]], "")</f>
        <v/>
      </c>
      <c r="GI114" s="31">
        <f>IF(SnapshotTable[[#This Row],[Sale Proceeds]]&gt;0, SnapshotTable[[#This Row],[Sale Proceeds]] - SnapshotTable[[#This Row],[Sale Basis]], 0)</f>
        <v>0</v>
      </c>
      <c r="GJ114" s="27" t="str">
        <f>IF(SnapshotTable[[#This Row],[Sale G/L]]&gt;0, SnapshotTable[[#This Row],[Sale G/L]] / SnapshotTable[[#This Row],[Sale Basis]], IF(ISNUMBER(SnapshotTable[[#This Row],[SC Exercise P&amp;L (TAX)]]), SnapshotTable[[#This Row],[SC Exercise P&amp;L (TAX)]] / SnapshotTable[[#This Row],[SC Basis]], ""))</f>
        <v/>
      </c>
      <c r="GK114" s="27"/>
      <c r="GL114" s="43" t="str">
        <f>IF(AND(SnapshotTable[[#This Row],[LP Exp Date]]&gt;0,SnapshotTable[[#This Row],[LP Strike Price]]&gt;0), [1]!ToOptionSymbol(SnapshotTable[[#This Row],[Symbol]], SnapshotTable[[#This Row],[LP Strike Price]],SnapshotTable[[#This Row],[LP Exp Date]],1), "")</f>
        <v/>
      </c>
      <c r="GM114" s="30" t="str">
        <f>IF(LEN(SnapshotTable[[#This Row],[LP Symbol]])&gt;0, 1, "")</f>
        <v/>
      </c>
      <c r="GN114" s="43" t="str">
        <f>IF(AND(SnapshotTable[[#This Row],[SP Exp Date]]&gt;0,SnapshotTable[[#This Row],[SP Strike Price]]&gt;0), [1]!ToOptionSymbol(SnapshotTable[[#This Row],[Symbol]], SnapshotTable[[#This Row],[SP Strike Price]],SnapshotTable[[#This Row],[SP Exp Date]],1), "")</f>
        <v/>
      </c>
      <c r="GO114" s="30" t="str">
        <f>IF(LEN(SnapshotTable[[#This Row],[SP Symbol]])&gt;0, 1, "")</f>
        <v/>
      </c>
      <c r="GP114" s="43" t="str">
        <f>IF(AND(SnapshotTable[[#This Row],[LC Exp Date]]&gt;0,SnapshotTable[[#This Row],[LC Strike Price]]&gt;0), [1]!ToOptionSymbol(SnapshotTable[[#This Row],[Symbol]], SnapshotTable[[#This Row],[LC Strike Price]],SnapshotTable[[#This Row],[LC Exp Date]],0), "")</f>
        <v/>
      </c>
      <c r="GQ114" s="30" t="str">
        <f>IF(LEN(SnapshotTable[[#This Row],[LC Symbol]])&gt;0, 1, "")</f>
        <v/>
      </c>
      <c r="GR114" s="43" t="str">
        <f>IF(AND(SnapshotTable[[#This Row],[SC Exp Date]]&gt;0,SnapshotTable[[#This Row],[SC Strike Price]]&gt;0), [1]!ToOptionSymbol(SnapshotTable[[#This Row],[Symbol]], SnapshotTable[[#This Row],[SC Strike Price]],SnapshotTable[[#This Row],[SC Exp Date]],0), "")</f>
        <v/>
      </c>
      <c r="GS114" s="30" t="str">
        <f>IF(LEN(SnapshotTable[[#This Row],[SC Symbol]])&gt;0, 1, "")</f>
        <v/>
      </c>
      <c r="GT114" s="29" t="str">
        <f>IF(COUNT(SnapshotTable[[#This Row],[LP Symbol Count]],SnapshotTable[[#This Row],[SP Symbol Count]],SnapshotTable[[#This Row],[LC Symbol Count]],SnapshotTable[[#This Row],[SC Symbol Count]])&gt;0, "Y", "")</f>
        <v/>
      </c>
      <c r="GU1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4" s="216">
        <f>MAX(SnapshotTable[[#This Row],[Equity Basis Total]],SnapshotTable[[#This Row],[Equity Value]]) + (SnapshotTable[[#This Row],[SP Potential Spend]]- SnapshotTable[[#This Row],[SP Premium]] + SnapshotTable[[#This Row],[LP Premium]])+ (SnapshotTable[[#This Row],[LC Premium]] - SnapshotTable[[#This Row],[SC Premium]])</f>
        <v>0</v>
      </c>
      <c r="GW114" s="137" t="str">
        <f>IF(AND(SnapshotTable[[#This Row],[Exposure]] &lt;&gt; 0),SnapshotTable[[#This Row],[Exposure]] / SnapshotTable[[#Totals],[Exposure]], "")</f>
        <v/>
      </c>
      <c r="HE114" s="253"/>
      <c r="HF114" s="253"/>
      <c r="HK114" s="1"/>
      <c r="HL114" s="1"/>
      <c r="HM114" s="1"/>
      <c r="HN114" s="1"/>
      <c r="HO114" s="1"/>
      <c r="HP114" s="1"/>
    </row>
    <row r="115" spans="2:224" ht="12.75" hidden="1" customHeight="1" x14ac:dyDescent="0.25">
      <c r="B115" s="12" t="s">
        <v>84</v>
      </c>
      <c r="C115" s="385">
        <v>83.52</v>
      </c>
      <c r="D115" s="200"/>
      <c r="E115" s="39">
        <f>SnapshotTable[[#This Row],[Last Price]]*(1 -CrashDiscount)</f>
        <v>70.99199999999999</v>
      </c>
      <c r="F115" s="26" t="s">
        <v>83</v>
      </c>
      <c r="G115" s="26" t="s">
        <v>10</v>
      </c>
      <c r="H115" s="147"/>
      <c r="I115" s="186">
        <v>44755.270833333336</v>
      </c>
      <c r="J115" s="187">
        <v>44755.270833333336</v>
      </c>
      <c r="K115" s="188"/>
      <c r="L115" s="297"/>
      <c r="M115" s="138"/>
      <c r="N115" s="138"/>
      <c r="O115" s="138"/>
      <c r="P115" s="22"/>
      <c r="Q115" s="25"/>
      <c r="R115" s="4" t="str">
        <f>IF(SnapshotTable[[#This Row],[Equity Basis Total]] &gt; 0, SnapshotTable[[#This Row],[Equity Basis Total]] / SnapshotTable[[#This Row],[Equity Shares]], "")</f>
        <v/>
      </c>
      <c r="S115" s="254">
        <f>SnapshotTable[[#This Row],[Last Price]] * SnapshotTable[[#This Row],[Equity Shares]]</f>
        <v>0</v>
      </c>
      <c r="T115" s="254">
        <f>SnapshotTable[[#This Row],[Equity Value]] - SnapshotTable[[#This Row],[Equity Basis Total]]</f>
        <v>0</v>
      </c>
      <c r="U115" s="255" t="str">
        <f>IF(SnapshotTable[[#This Row],[Equity Basis Total]] &gt; 0, SnapshotTable[[#This Row],[Equity G/L]] / SnapshotTable[[#This Row],[Equity Basis Total]], "")</f>
        <v/>
      </c>
      <c r="V115" s="253"/>
      <c r="W115" s="253"/>
      <c r="X115" s="4" t="str">
        <f>IF(AND(ISNUMBER(SnapshotTable[[#This Row],[Equity Basis Per Share]]),ISNUMBER(SnapshotTable[[#This Row],[Equity Target]])),SnapshotTable[[#This Row],[Equity Target]]-SnapshotTable[[#This Row],[Equity Basis Per Share]],"")</f>
        <v/>
      </c>
      <c r="Y115" s="4" t="str">
        <f>IF(AND(ISNUMBER(SnapshotTable[[#This Row],[Equity Basis Per Share]]),ISNUMBER(SnapshotTable[[#This Row],[Equity Stop Loss]])),SnapshotTable[[#This Row],[Equity Stop Loss]]-SnapshotTable[[#This Row],[Equity Basis Per Share]],"")</f>
        <v/>
      </c>
      <c r="Z115" s="260" t="str">
        <f>IFERROR( TEXT(SnapshotTable[[#This Row],[Equity Max Gain Per Share]] /ABS( SnapshotTable[[#This Row],[Equity Max Loss Per Share]]),"0.0 " ) &amp; " : 1", "")</f>
        <v/>
      </c>
      <c r="AA115" s="31" t="str">
        <f>IF(ISNUMBER(SnapshotTable[[#This Row],[Equity Max Gain Per Share]]),SnapshotTable[[#This Row],[Equity Max Gain Per Share]] * SnapshotTable[[#This Row],[Equity Shares]],"")</f>
        <v/>
      </c>
      <c r="AB115" s="31" t="str">
        <f>IF(ISNUMBER(SnapshotTable[[#This Row],[Equity Max Loss Per Share]]),SnapshotTable[[#This Row],[Equity Max Loss Per Share]] * SnapshotTable[[#This Row],[Equity Shares]],"")</f>
        <v/>
      </c>
      <c r="AC115" s="148">
        <v>0.54</v>
      </c>
      <c r="AD115" s="149">
        <v>42530</v>
      </c>
      <c r="AE115" s="31">
        <f>(SnapshotTable[[#This Row],[Annual Dividend Per Share]] / 4) * SnapshotTable[[#This Row],[Equity Shares]]</f>
        <v>0</v>
      </c>
      <c r="AF115" s="31">
        <f>SnapshotTable[[#This Row],[Quarterly Div $]] * 4</f>
        <v>0</v>
      </c>
      <c r="AG115" s="7">
        <f>IF(SnapshotTable[[#This Row],[Annual Dividend Per Share]]&gt;0, SnapshotTable[[#This Row],[Annual Dividend Per Share]]  / SnapshotTable[[#This Row],[Last Price]], 0)</f>
        <v>6.4655172413793111E-3</v>
      </c>
      <c r="AH115" s="149">
        <v>42500</v>
      </c>
      <c r="AI115" s="5"/>
      <c r="AJ115" s="136">
        <v>60</v>
      </c>
      <c r="AK115" s="150" t="str">
        <f>IF(ISNUMBER( SnapshotTable[[#This Row],[EBF Target]]),(SnapshotTable[[#This Row],[EBF Target]] - SnapshotTable[[#This Row],[Last Price]]) / SnapshotTable[[#This Row],[Last Price]], "")</f>
        <v/>
      </c>
      <c r="AL115" s="150" t="str">
        <f>IF(AND(SnapshotTable[[#This Row],[Equity Basis Total]] &gt; 0,ISNUMBER( SnapshotTable[[#This Row],[Long Term Target]])), SnapshotTable[[#This Row],[From Basis $]] / SnapshotTable[[#This Row],[Equity Basis Total]], "")</f>
        <v/>
      </c>
      <c r="AM115" s="9">
        <f>IF( AND(SnapshotTable[[#This Row],[Equity Shares]] &gt;0,ISNUMBER( SnapshotTable[[#This Row],[Long Term Target]])),(SnapshotTable[[#This Row],[Equity Shares]] * SnapshotTable[[#This Row],[Long Term Target]]) - SnapshotTable[[#This Row],[Equity Basis Total]],0)</f>
        <v>0</v>
      </c>
      <c r="AN115" s="9">
        <f>IF( AND(SnapshotTable[[#This Row],[Equity Shares]] &gt;0,ISNUMBER( SnapshotTable[[#This Row],[Long Term Target]])),(SnapshotTable[[#This Row],[Equity Shares]]*SnapshotTable[[#This Row],[Long Term Target]]) - SnapshotTable[[#This Row],[Equity Value]],0)</f>
        <v>0</v>
      </c>
      <c r="AO115" s="150">
        <f>IF(AND(ISNUMBER( SnapshotTable[[#This Row],[Long Term Target]]), ISNUMBER(SnapshotTable[[#This Row],[Last Price]])),(SnapshotTable[[#This Row],[Long Term Target]] - SnapshotTable[[#This Row],[Last Price]]) / SnapshotTable[[#This Row],[Last Price]], "")</f>
        <v>-0.28160919540229884</v>
      </c>
      <c r="AP115" s="5">
        <v>39.5</v>
      </c>
      <c r="AQ115" s="38" t="s">
        <v>837</v>
      </c>
      <c r="AR115" s="5">
        <v>36.200000000000003</v>
      </c>
      <c r="AS115" s="38" t="s">
        <v>59</v>
      </c>
      <c r="AT115" s="144" t="s">
        <v>838</v>
      </c>
      <c r="AU115" s="185" t="str">
        <f>IF(OR(SnapshotTable[[#This Row],[LP No Fill]]="Y",SnapshotTable[[#This Row],[SP Is Filled]],SnapshotTable[[#This Row],[LC Not Filled]]="Y",SnapshotTable[[#This Row],[SC Is Filled]]),"Y","")</f>
        <v/>
      </c>
      <c r="AV115" s="205"/>
      <c r="AW115" s="211"/>
      <c r="AX115" s="206"/>
      <c r="AY115" s="205" t="str">
        <f>IF(SnapshotTable[[#This Row],[Implied Move]]&gt;0, SnapshotTable[[#This Row],[Last Price]]-SnapshotTable[[#This Row],[Implied Move]],"")</f>
        <v/>
      </c>
      <c r="AZ115" s="205" t="str">
        <f>IF(SnapshotTable[[#This Row],[Implied Move]]&gt;0, SnapshotTable[[#This Row],[Last Price]] + SnapshotTable[[#This Row],[Implied Move]],"")</f>
        <v/>
      </c>
      <c r="BA115" s="302">
        <v>2.1800000000000002</v>
      </c>
      <c r="BB115" s="318"/>
      <c r="BC1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5" s="321"/>
      <c r="BE115" s="5"/>
      <c r="BF115" s="14"/>
      <c r="BG115" s="13"/>
      <c r="BH115" s="13"/>
      <c r="BI115" s="5"/>
      <c r="BJ115" s="134">
        <f>IF(SnapshotTable[[#This Row],[LP Qty]] &gt; 0, SnapshotTable[[#This Row],[LP Qty]] * SnapshotTable[[#This Row],[LP Book Price]] * 100,0)</f>
        <v>0</v>
      </c>
      <c r="BK115" s="134">
        <f>IF(SnapshotTable[[#This Row],[LP Premium]] &gt; 0, SnapshotTable[[#This Row],[LP Qty]] * SnapshotTable[[#This Row],[LP Strike Price]] * 100,0)</f>
        <v>0</v>
      </c>
      <c r="BL115" s="152"/>
      <c r="BM115" s="355" t="str">
        <f>IF(SnapshotTable[[#This Row],[LP Premium]] &gt; 0,SnapshotTable[[#This Row],[LP Exp Date]]-MAX(SnapshotTable[[#This Row],[LP Book Date]], SnapshotTable[[#This Row],[LP Fill Date]]),"")</f>
        <v/>
      </c>
      <c r="BN115" s="355" t="str">
        <f>IF(ISNUMBER( SnapshotTable[[#This Row],[LP Term]]), SnapshotTable[[#This Row],[LP Exp Date]] - MockToday,"")</f>
        <v/>
      </c>
      <c r="BO115" s="161" t="str">
        <f>IF(AND(SnapshotTable[[#This Row],[LP Exp Date]]&gt;0, SnapshotTable[[#This Row],[LP Strike Price]]&gt;0,SnapshotTable[[#This Row],[LP Qty]]&gt;0,SnapshotTable[[#This Row],[LP Book Date]]&gt;0,SnapshotTable[[#This Row],[LP Book Price]]&gt;0,SnapshotTable[[#This Row],[LP Fill Date]]=0),"Y","")</f>
        <v/>
      </c>
      <c r="BP115" s="31" t="str">
        <f>IF(AND(SnapshotTable[[#This Row],[LP No Fill]]&lt;&gt;"Y",SnapshotTable[[#This Row],[LP Contract Value]]&gt;0, SnapshotTable[[#This Row],[LP Qty]]&gt;0), SnapshotTable[[#This Row],[LP Contract Value]]*SnapshotTable[[#This Row],[LP Qty]]*100,"")</f>
        <v/>
      </c>
      <c r="BQ115" s="13"/>
      <c r="BR115" s="5"/>
      <c r="BS115" s="36"/>
      <c r="BT115" s="145"/>
      <c r="BU115" s="13"/>
      <c r="BV115" s="5"/>
      <c r="BW115" s="382" t="b">
        <f>AND(ISNUMBER(SnapshotTable[[#This Row],[SP Exp Date]]), ISNUMBER(SnapshotTable[[#This Row],[SP Strike Price]]), ISNUMBER(SnapshotTable[[#This Row],[SP Qty]]), ISNUMBER(SnapshotTable[[#This Row],[SP Book Date]]), ISNUMBER(SnapshotTable[[#This Row],[SP Book Price]]))</f>
        <v>0</v>
      </c>
      <c r="BX115" s="382" t="b">
        <f>AND(SnapshotTable[[#This Row],[SP Is Booked]], NOT(ISBLANK(SnapshotTable[[#This Row],[SP Fill Date]])))</f>
        <v>0</v>
      </c>
      <c r="BY115" s="33">
        <f>IF(SnapshotTable[[#This Row],[SP Is Booked]], SnapshotTable[[#This Row],[SP Qty]] * SnapshotTable[[#This Row],[SP Book Price]] * 100, 0)</f>
        <v>0</v>
      </c>
      <c r="BZ115" s="339"/>
      <c r="CA115" s="338">
        <f>SnapshotTable[[#This Row],[LP Qty]]</f>
        <v>0</v>
      </c>
      <c r="CB115" s="4" t="str">
        <f>IF(SnapshotTable[[#This Row],[SP Is Booked]], SnapshotTable[[#This Row],[SP Strike Price]] - SnapshotTable[[#This Row],[SP Book Price]], "")</f>
        <v/>
      </c>
      <c r="CC115" s="19" t="str">
        <f>IF(SnapshotTable[[#This Row],[SP Is Booked]],SnapshotTable[[#This Row],[SP Exp Date]]-MAX(SnapshotTable[[#This Row],[SP Book Date]], SnapshotTable[[#This Row],[SP Fill Date]]),"")</f>
        <v/>
      </c>
      <c r="CD115" s="7" t="str">
        <f>IF(SnapshotTable[[#This Row],[SP Is Booked]], SnapshotTable[[#This Row],[SP Book Price]]/SnapshotTable[[#This Row],[SP Strike Price]], "")</f>
        <v/>
      </c>
      <c r="CE115" s="7" t="str">
        <f>IF(ISNUMBER(SnapshotTable[[#This Row],[SP ROO Term]]),SnapshotTable[[#This Row],[SP ROO Term]]*(365/SnapshotTable[[#This Row],[SP Term]]),"")</f>
        <v/>
      </c>
      <c r="CF115" s="221">
        <f>SnapshotTable[[#This Row],[LP Strike Price]] * SnapshotTable[[#This Row],[LP Qty]] * 100</f>
        <v>0</v>
      </c>
      <c r="CG115" s="31">
        <f>IF(ISNUMBER(SnapshotTable[[#This Row],[SP Premium]]), (SnapshotTable[[#This Row],[SP Qty]] * SnapshotTable[[#This Row],[SP Strike Price]]* 100) - SnapshotTable[[#This Row],[LP Protection]], 0)</f>
        <v>0</v>
      </c>
      <c r="CH115" s="7" t="str">
        <f>IF(ISNUMBER(SnapshotTable[[#This Row],[SP Break Even]]),-1 * (SnapshotTable[[#This Row],[SP Break Even]] - SnapshotTable[[#This Row],[Last Price]]) / SnapshotTable[[#This Row],[Last Price]], "")</f>
        <v/>
      </c>
      <c r="CI115" s="31">
        <f>IF(AND(ISNUMBER((SnapshotTable[[#This Row],[SP Potential Spend]])), SnapshotTable[[#This Row],[SP Strike Price]] &gt; SnapshotTable[[#This Row],[Last Price]], SnapshotTable[[#This Row],[SP Is Filled]]), SnapshotTable[[#This Row],[SP Potential Spend]] -  SnapshotTable[[#This Row],[LP Max Value]], 0)</f>
        <v>0</v>
      </c>
      <c r="CJ115" s="229"/>
      <c r="CK115" s="31">
        <f>IF(ISNUMBER(SnapshotTable[[#This Row],[SP Potential Spend]]),IF(ISNUMBER(SnapshotTable[[#This Row],[SP POW]]), SnapshotTable[[#This Row],[SP POW]] * SnapshotTable[[#This Row],[SP Potential Spend]], SnapshotTable[[#This Row],[SP Potential Spend]]), "")</f>
        <v>0</v>
      </c>
      <c r="CL115" s="162">
        <f>IF(NOT(SnapshotTable[[#This Row],[SP Is Filled]]),(SnapshotTable[[#This Row],[SP Qty]] * SnapshotTable[[#This Row],[SP Strike Price]] * 100) - SnapshotTable[[#This Row],[LP Max Value]],"")</f>
        <v>0</v>
      </c>
      <c r="CM115" s="31" t="str">
        <f>IF(SnapshotTable[[#This Row],[SP Actual Spend]]&lt;&gt;0, ((SnapshotTable[[#This Row],[SP Strike Price]]-SnapshotTable[[#This Row],[Last Price]]) *(SnapshotTable[[#This Row],[SP Qty]]*100) - SnapshotTable[[#This Row],[SP Premium]]) * - 1, "")</f>
        <v/>
      </c>
      <c r="CN115" s="76"/>
      <c r="CO115" s="339"/>
      <c r="CP115" s="4" t="str">
        <f>IF(SnapshotTable[[#This Row],[SP Is Filled]], btc_max_buyback_amount(SnapshotTable[[#This Row],[SP Fill Date]],SnapshotTable[[#This Row],[SP Exp Date]], SnapshotTable[[#This Row],[SP Book Price]]),"")</f>
        <v/>
      </c>
      <c r="CQ115" s="76"/>
      <c r="CR1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5" s="153" t="str">
        <f>IF(SnapshotTable[[#This Row],[SP Is Filled]], btc_next_cutoff_date(SnapshotTable[[#This Row],[SP Fill Date]],SnapshotTable[[#This Row],[SP Exp Date]]),"")</f>
        <v/>
      </c>
      <c r="CT115" s="220" t="str" cm="1">
        <f t="array" ref="CT115">IF(SnapshotTable[[#This Row],[SP Is Filled]], btc_should_buy_back(SnapshotTable[[#This Row],[SP Fill Date]], SnapshotTable[[#This Row],[SP Exp Date]], SnapshotTable[[#This Row],[SP Book Price]], SnapshotTable[[#This Row],[SP Current Ask]], MockToday, SnapshotTable[[#This Row],[SP Buyback Override]]),"")</f>
        <v/>
      </c>
      <c r="CU115" s="141"/>
      <c r="CV115" s="220"/>
      <c r="CW115" s="348" t="str">
        <f>IF(ISNUMBER( SnapshotTable[[#This Row],[SP Term]]), SnapshotTable[[#This Row],[SP Exp Date]] - MockToday,"")</f>
        <v/>
      </c>
      <c r="CX115" s="31" t="str">
        <f>IF(SnapshotTable[[#This Row],[SP Is Filled]],SnapshotTable[[#This Row],[SP Buyback Price to Use]] * 100 * SnapshotTable[[#This Row],[SP Qty]], "")</f>
        <v/>
      </c>
      <c r="CY115" s="4" t="str">
        <f>IF(ISNUMBER(SnapshotTable[[#This Row],[SP Strike Price]]), SnapshotTable[[#This Row],[SP Strike Price]] * (1 - SP_MaxLoss_StrikePct), "")</f>
        <v/>
      </c>
      <c r="CZ115" s="31" t="str">
        <f>IF(ISNUMBER(SnapshotTable[[#This Row],[SP Strike  Stop Per Share]]),SnapshotTable[[#This Row],[SP Premium]] - ((SnapshotTable[[#This Row],[SP Strike Price]]-SnapshotTable[[#This Row],[SP Strike  Stop Per Share]]) *(SnapshotTable[[#This Row],[SP Qty]] * 100)),"")</f>
        <v/>
      </c>
      <c r="DA115" s="4" t="str">
        <f>IF(AND(ISNUMBER(SnapshotTable[[#This Row],[SP Premium]]),SnapshotTable[[#This Row],[SP Premium]]&gt;0), SnapshotTable[[#This Row],[SP Book Price]] * (1 + SP_MaxLoss_OptionPct), "")</f>
        <v/>
      </c>
      <c r="DB115" s="31" t="str">
        <f>IF(ISNUMBER(SnapshotTable[[#This Row],[SP Option  Stop Contract]]),(SnapshotTable[[#This Row],[SP Option  Stop Contract]] *(SnapshotTable[[#This Row],[SP Qty]] * 100) - SnapshotTable[[#This Row],[SP Premium]]),"")</f>
        <v/>
      </c>
      <c r="DC115" s="4"/>
      <c r="DD115" s="4"/>
      <c r="DE115" s="4" t="str">
        <f>IF(AND(SnapshotTable[[#This Row],[SP Qty]]&gt;0, SnapshotTable[[#This Row],[SP Stop To Use]]&gt;0),SnapshotTable[[#This Row],[SP Premium]] - ( SnapshotTable[[#This Row],[SP Qty]] * SnapshotTable[[#This Row],[SP Stop To Use]] * 100), "")</f>
        <v/>
      </c>
      <c r="DF115" s="31" t="str">
        <f>IF(AND(SnapshotTable[[#This Row],[SP Qty]]&gt;0,SnapshotTable[[#This Row],[SP Current Ask]]&gt;0), SnapshotTable[[#This Row],[SP Qty]] * SnapshotTable[[#This Row],[SP Current Ask]] * -100, "")</f>
        <v/>
      </c>
      <c r="DG115" s="31" t="str">
        <f>IF(ISNUMBER((SnapshotTable[[#This Row],[SP Total Value]])), SnapshotTable[[#This Row],[SP Premium]] + SnapshotTable[[#This Row],[SP Total Value]], "")</f>
        <v/>
      </c>
      <c r="DH115" s="272" t="str">
        <f>IF(ISNUMBER((SnapshotTable[[#This Row],[SP Total Value]])), SnapshotTable[[#This Row],[SP Gain Loss]] / SnapshotTable[[#This Row],[SP Premium]], "")</f>
        <v/>
      </c>
      <c r="DI115" s="369"/>
      <c r="DJ115" s="136"/>
      <c r="DK115" s="146"/>
      <c r="DL115" s="13"/>
      <c r="DM115" s="13"/>
      <c r="DO115" s="31">
        <f>IF(SnapshotTable[[#This Row],[LC Symbol Count]]=1, SnapshotTable[[#This Row],[LC Qty]] * SnapshotTable[[#This Row],[LC Book Price]] * 100, 0)</f>
        <v>0</v>
      </c>
      <c r="DP115" s="161" t="str">
        <f>IF(AND(SnapshotTable[[#This Row],[LC Exp Date]]&gt;0, SnapshotTable[[#This Row],[LC Strike Price]]&gt;0,SnapshotTable[[#This Row],[LC Qty]]&gt;0,SnapshotTable[[#This Row],[LC Book Date]]&gt;0,SnapshotTable[[#This Row],[LC Book Price]]&gt;0,SnapshotTable[[#This Row],[LC Fill Date]]=0),"Y","")</f>
        <v/>
      </c>
      <c r="DQ115" s="356" t="str">
        <f>IF(SnapshotTable[[#This Row],[LC Premium]] &gt; 0,SnapshotTable[[#This Row],[LC Exp Date]]-MAX(SnapshotTable[[#This Row],[LC Book Date]], SnapshotTable[[#This Row],[LC Fill Date]]),"")</f>
        <v/>
      </c>
      <c r="DR115" s="356" t="str">
        <f>IF(ISNUMBER(SnapshotTable[[#This Row],[LC Term]]), SnapshotTable[[#This Row],[LC Exp Date]] - MockToday, "")</f>
        <v/>
      </c>
      <c r="DS115" s="219" t="str">
        <f>IF(SnapshotTable[[#This Row],[LC Premium]]&gt;0,SnapshotTable[[#This Row],[LC Strike Price]] + SnapshotTable[[#This Row],[LC Book Price]],"")</f>
        <v/>
      </c>
      <c r="DU115" s="9" t="str">
        <f>IF(AND(SnapshotTable[[#This Row],[LC Symbol Count]]&gt;0, SnapshotTable[[#This Row],[LC Contract Value]]&gt;0), SnapshotTable[[#This Row],[LC Contract Value]] * SnapshotTable[[#This Row],[LC Qty]] * 100, "")</f>
        <v/>
      </c>
      <c r="DV115" s="9" t="str">
        <f>IF(AND(ISNUMBER(SnapshotTable[[#This Row],[LC Total Value]]), SnapshotTable[[#This Row],[LC Not Filled]]&lt;&gt;"Y"), SnapshotTable[[#This Row],[LC Total Value]]-SnapshotTable[[#This Row],[LC Premium]],"")</f>
        <v/>
      </c>
      <c r="DW115" s="225" t="str">
        <f>IF(ISNUMBER(SnapshotTable[[#This Row],[LC Actual Gain Loss]]), SnapshotTable[[#This Row],[LC Actual Gain Loss]] / SnapshotTable[[#This Row],[LC Premium]],"")</f>
        <v/>
      </c>
      <c r="DX115" s="269" t="str">
        <f>IF(ISNUMBER(SnapshotTable[[#This Row],[LC Book Price]]),SnapshotTable[[#This Row],[LC Book Price]] * 1.5,"")</f>
        <v/>
      </c>
      <c r="DY115" s="250" t="str">
        <f>IF(SnapshotTable[[#This Row],[LC Premium]]&gt;0, SnapshotTable[[#This Row],[LC Next Target]] * SnapshotTable[[#This Row],[LC Qty]] * 100,"")</f>
        <v/>
      </c>
      <c r="DZ115" s="250" t="str">
        <f>IF(ISNUMBER(SnapshotTable[[#This Row],[LC Target Gross]]), SnapshotTable[[#This Row],[LC Target Gross]] - SnapshotTable[[#This Row],[LC Premium]], "")</f>
        <v/>
      </c>
      <c r="EA115" s="283" t="str">
        <f>IF(ISNUMBER(SnapshotTable[[#This Row],[LC Target Gain Loss]]), SnapshotTable[[#This Row],[LC Target Gain Loss]]/SnapshotTable[[#This Row],[LC Premium]], "")</f>
        <v/>
      </c>
      <c r="EB115" s="247"/>
      <c r="EC115" s="268" t="str">
        <f>IF(SnapshotTable[[#This Row],[LC Premium]]&gt;0, SnapshotTable[[#This Row],[LC Book Price]] * (1 - LC_StopLoss_Pct),"")</f>
        <v/>
      </c>
      <c r="ED115" s="269"/>
      <c r="EE115" s="268" t="str">
        <f>IF(ISNUMBER(SnapshotTable[[#This Row],[LC Contract Value]]),IF(ISNUMBER(SnapshotTable[[#This Row],[LC Stop Loss Override]]), SnapshotTable[[#This Row],[LC Stop Loss Override]],SnapshotTable[[#This Row],[LC Stop Loss Calc Target]]),"")</f>
        <v/>
      </c>
      <c r="EF115" s="31" t="str">
        <f>IF(ISNUMBER(SnapshotTable[[#This Row],[LC Stop  To Use]]), (SnapshotTable[[#This Row],[LC Stop  To Use]] * SnapshotTable[[#This Row],[LC Qty]] * 100),"")</f>
        <v/>
      </c>
      <c r="EG115" s="9" t="str">
        <f>IF(ISNUMBER(SnapshotTable[[#This Row],[LC Total Value]]),SnapshotTable[[#This Row],[LC Stop Loss Amount]] - SnapshotTable[[#This Row],[LC Premium]],"")</f>
        <v/>
      </c>
      <c r="EH115" s="9">
        <f>IF(ISNUMBER(SnapshotTable[[#This Row],[LC Premium]]), SnapshotTable[[#This Row],[LC Qty]] * 100 * SnapshotTable[[#This Row],[LC Strike Price]], "")</f>
        <v>0</v>
      </c>
      <c r="EI115" s="225" t="str">
        <f>IF(AND(ISNUMBER(SnapshotTable[[#This Row],[LC Total Value]]),SnapshotTable[[#This Row],[LC Total Value]]&gt;0),SnapshotTable[[#This Row],[LC Stop Gain Loss]]  / SnapshotTable[[#This Row],[LC Premium]],"")</f>
        <v/>
      </c>
      <c r="EJ115" s="35">
        <f>IF(ISNUMBER(SnapshotTable[[#This Row],[Equity Shares]]),TRUNC(SnapshotTable[[#This Row],[Equity Shares]] / 100),0) + SnapshotTable[[#This Row],[LC Qty]]</f>
        <v>0</v>
      </c>
      <c r="EK115" s="145"/>
      <c r="EL115" s="136"/>
      <c r="EM115" s="146"/>
      <c r="EN115" s="145"/>
      <c r="EO115" s="145"/>
      <c r="EP115" s="136"/>
      <c r="EQ115" s="382" t="b">
        <f>AND(ISNUMBER(SnapshotTable[[#This Row],[SC Exp Date]]), ISNUMBER(SnapshotTable[[#This Row],[SC Strike Price]]), ISNUMBER(SnapshotTable[[#This Row],[SC Qty]]), ISNUMBER(SnapshotTable[[#This Row],[SC Book Date]]), ISNUMBER(SnapshotTable[[#This Row],[SC Book Price]]))</f>
        <v>0</v>
      </c>
      <c r="ER115" s="382" t="b">
        <f>AND(SnapshotTable[[#This Row],[SC Is Booked]], NOT(ISBLANK(SnapshotTable[[#This Row],[SC Fill Date]])))</f>
        <v>0</v>
      </c>
      <c r="ES115" s="340"/>
      <c r="ET115" s="34" t="str">
        <f>IF(AND(ISNUMBER(SnapshotTable[[#This Row],[SC Exp Date]]), ISNUMBER(SnapshotTable[[#This Row],[SC Book Date]])), SnapshotTable[[#This Row],[SC Exp Date]] - MAX(SnapshotTable[[#This Row],[SC Book Date]], SnapshotTable[[#This Row],[SC Fill Date]]) + 1, "")</f>
        <v/>
      </c>
      <c r="EU115" s="34" t="str">
        <f>IF(ISNUMBER(SnapshotTable[[#This Row],[SC Term]]), SnapshotTable[[#This Row],[SC Exp Date]]- MockToday, "")</f>
        <v/>
      </c>
      <c r="EV115" s="31">
        <f>IF(SnapshotTable[[#This Row],[SC Is Booked]], SnapshotTable[[#This Row],[SC Qty]] * SnapshotTable[[#This Row],[SC Book Price]] * 100, 0)</f>
        <v>0</v>
      </c>
      <c r="EW115" s="4" t="str">
        <f>IF(AND(ISNUMBER(SnapshotTable[[#This Row],[Last Price]]), ISNUMBER( SnapshotTable[[#This Row],[SC Book Price]])), SnapshotTable[[#This Row],[Last Price]] - SnapshotTable[[#This Row],[SC Book Price]],"")</f>
        <v/>
      </c>
      <c r="EX115" s="219" t="str">
        <f>IF(SnapshotTable[[#This Row],[SC Is Booked]],IF(SnapshotTable[[#This Row],[SC Intrinsic Value]] &gt; 0, SnapshotTable[[#This Row],[SC Strike Price]], SnapshotTable[[#This Row],[Last Price]]), "")</f>
        <v/>
      </c>
      <c r="EY115" s="4">
        <f>IF(SnapshotTable[[#This Row],[SC Is Booked]], (MinimumPremiumRequired * SnapshotTable[[#This Row],[SC Basis]] * SnapshotTable[[#This Row],[SC Term]]), 0)</f>
        <v>0</v>
      </c>
      <c r="EZ115" s="268"/>
      <c r="FA115" s="204"/>
      <c r="FB115" s="340"/>
      <c r="FC115" s="4">
        <f>IF(SnapshotTable[[#This Row],[SC Is Filled]], btc_max_buyback_amount(SnapshotTable[[#This Row],[SC Fill Date]],SnapshotTable[[#This Row],[SC Exp Date]], SnapshotTable[[#This Row],[SC Book Price]]),0)</f>
        <v>0</v>
      </c>
      <c r="FD115" s="5"/>
      <c r="FE115" s="142" t="str">
        <f>IF(SnapshotTable[[#This Row],[SC Is Filled]], btc_next_cutoff_date(SnapshotTable[[#This Row],[SC Fill Date]],SnapshotTable[[#This Row],[SC Exp Date]]),"")</f>
        <v/>
      </c>
      <c r="FF115" s="4" t="str" cm="1">
        <f t="array" ref="FF115">IF(SnapshotTable[[#This Row],[SC Is Filled]], btc_should_buy_back(SnapshotTable[[#This Row],[SC Fill Date]], SnapshotTable[[#This Row],[SC Exp Date]], SnapshotTable[[#This Row],[SC Book Price]], SnapshotTable[[#This Row],[SC Current Ask]], MockToday, SnapshotTable[[#This Row],[SC Buyback Override]]),"")</f>
        <v/>
      </c>
      <c r="FG115" s="4">
        <f>IF(SnapshotTable[[#This Row],[SC Is Filled]], MAX(0,SnapshotTable[[#This Row],[Last Price]]  - SnapshotTable[[#This Row],[SC Strike Price]]), 0)</f>
        <v>0</v>
      </c>
      <c r="FH115" s="352">
        <f>IF(SnapshotTable[[#This Row],[SC Is Filled]], IF(ISNUMBER(SnapshotTable[[#This Row],[SC Current Ask]]), SnapshotTable[[#This Row],[SC Current Ask]], SnapshotTable[[#This Row],[SC Book Price]]) - SnapshotTable[[#This Row],[SC Intrinsic Value]], 0)</f>
        <v>0</v>
      </c>
      <c r="FI115" s="141"/>
      <c r="FJ115" s="32" t="str">
        <f>IF(SnapshotTable[[#This Row],[SC Is Filled]],100 * SnapshotTable[[#This Row],[SC Qty]] * IF(ISNUMBER(SnapshotTable[[#This Row],[SC Buyback Override]]), SnapshotTable[[#This Row],[SC Buyback Override]], SnapshotTable[[#This Row],[SC Current Ask]]), "")</f>
        <v/>
      </c>
      <c r="FK115" s="235" t="str">
        <f>IF(SnapshotTable[[#This Row],[SC Time Val]]&gt;0, SnapshotTable[[#This Row],[SC Time Val]] / SnapshotTable[[#This Row],[Last Price]],"")</f>
        <v/>
      </c>
      <c r="FL115" s="280" t="str">
        <f>IF(SnapshotTable[[#This Row],[SC Is Booked]], ((SnapshotTable[[#This Row],[Last Price]] -SnapshotTable[[#This Row],[SC Strike Price]]) / SnapshotTable[[#This Row],[Last Price]]) * -1, "")</f>
        <v/>
      </c>
      <c r="FM115" s="155" t="str">
        <f>IF(SnapshotTable[[#This Row],[SC Is Booked]],  (SnapshotTable[[#This Row],[SC Qty]] * 100 * SnapshotTable[[#This Row],[SC Strike Price]]) - SnapshotTable[[#This Row],[SC Current Ask]], "")</f>
        <v/>
      </c>
      <c r="FN11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5" s="31" t="str">
        <f>IF(AND(ISNUMBER(SnapshotTable[[#This Row],[SC Exercise Gross]]), ISNUMBER(SnapshotTable[[#This Row],[Equity Basis Per Share]] )), SnapshotTable[[#This Row],[SC Exercise Gross]] - SnapshotTable[[#This Row],[Equity Basis Total]] +  SnapshotTable[[#This Row],[SC Premium]], "")</f>
        <v/>
      </c>
      <c r="FP115" s="5" t="str">
        <f>IF(ISNUMBER(SnapshotTable[[#This Row],[SC Exercise Gross]]), (SnapshotTable[[#This Row],[SC Exercise Gross]]) / (SnapshotTable[[#This Row],[SC Qty]] * 100), "")</f>
        <v/>
      </c>
      <c r="FQ115" s="27" t="str">
        <f>IF(SnapshotTable[[#This Row],[SC Is Booked]],SnapshotTable[[#This Row],[SC Time Val]] /SnapshotTable[[#This Row],[SC Basis]], "")</f>
        <v/>
      </c>
      <c r="FR115" s="27" t="str" cm="1">
        <f t="array" ref="FR115">IF(AND(ISNUMBER(SnapshotTable[[#This Row],[SC Term]]),ISNUMBER(SnapshotTable[[#This Row],[SC Simple ROO]])), EllmanAnnualize(SnapshotTable[[#This Row],[SC DTE]], SnapshotTable[[#This Row],[SC Simple ROO]] ),"")</f>
        <v/>
      </c>
      <c r="FS115" s="4">
        <f>IF(SnapshotTable[[#This Row],[SC Strike Price]] &gt; SnapshotTable[[#This Row],[Last Price]], SnapshotTable[[#This Row],[SC Strike Price]] - SnapshotTable[[#This Row],[Last Price]],0)</f>
        <v>0</v>
      </c>
      <c r="FT115" s="27" t="str">
        <f>IF(AND(ISNUMBER(SnapshotTable[[#This Row],[SC Upside Potential]]), SnapshotTable[[#This Row],[SC Upside Potential]] &gt; 0),(SnapshotTable[[#This Row],[SC Upside Potential]]/ SnapshotTable[[#This Row],[ACB]]),"")</f>
        <v/>
      </c>
      <c r="FU115" s="304" t="str">
        <f>IF(SnapshotTable[[#This Row],[SC Intrinsic Value]] &gt; 0,SnapshotTable[[#This Row],[SC Intrinsic Value]],"")</f>
        <v/>
      </c>
      <c r="FV115" s="27" t="str">
        <f>IF(AND( ISNUMBER( SnapshotTable[[#This Row],[ACB]]),ISNUMBER(SnapshotTable[[#This Row],[SC Downside Protect]])),SnapshotTable[[#This Row],[SC Downside Protect]] / SnapshotTable[[#This Row],[ACB]],"")</f>
        <v/>
      </c>
      <c r="FW115" s="221" t="str">
        <f>IF(AND(ISNUMBER(SnapshotTable[[#This Row],[SC Simple ROO]]),SnapshotTable[[#This Row],[SC Simple ROO]] &gt; 0), SnapshotTable[[#This Row],[SC Premium]] + (SnapshotTable[[#This Row],[SC Qty]] * SnapshotTable[[#This Row],[SC Upside Potential]]), "")</f>
        <v/>
      </c>
      <c r="FX115" s="280" t="str" cm="1">
        <f t="array" ref="FX115">IF(ISNUMBER(SnapshotTable[[#This Row],[SC Max Dollars]]), annualize(SnapshotTable[[#This Row],[SC Term]],(SnapshotTable[[#This Row],[SC Max Dollars]]/SnapshotTable[[#This Row],[SC Basis]])),"")</f>
        <v/>
      </c>
      <c r="FY115" s="221" t="str">
        <f>IF(AND(SnapshotTable[[#This Row],[SC Qty]]&gt;0,SnapshotTable[[#This Row],[SC Current Ask]]&gt;0), SnapshotTable[[#This Row],[SC Qty]] * SnapshotTable[[#This Row],[SC Current Ask]] * -100, "")</f>
        <v/>
      </c>
      <c r="FZ115" s="31" t="str">
        <f>IF(ISNUMBER((SnapshotTable[[#This Row],[SC Current Value]])), SnapshotTable[[#This Row],[SC Premium]] + SnapshotTable[[#This Row],[SC Current Value]], "")</f>
        <v/>
      </c>
      <c r="GA115" s="272" t="str">
        <f>IFERROR( IF(ISNUMBER((SnapshotTable[[#This Row],[SC Current Value]])), SnapshotTable[[#This Row],[SC Gain Loss]] / SnapshotTable[[#This Row],[SC Premium]], ""), "")</f>
        <v/>
      </c>
      <c r="GB115" s="42">
        <f>SnapshotTable[[#This Row],[Equity Shares]] * SaleSharesToConsiderPercentage</f>
        <v>0</v>
      </c>
      <c r="GC115" s="40">
        <f>SnapshotTable[[#This Row],[Long Term Target]] * SellingPriceToConsiderBasedOnTargetPercentage</f>
        <v>57</v>
      </c>
      <c r="GD115" s="40">
        <f>SnapshotTable[[#This Row],[Last Price]] * (1+ SellingPriceToConsiderBasedOnTargetPercentage)</f>
        <v>162.86399999999998</v>
      </c>
      <c r="GE115" s="41"/>
      <c r="GF115" s="40"/>
      <c r="GG115" s="31">
        <f>SnapshotTable[[#This Row],[Booked Sale Shares]] * SnapshotTable[[#This Row],[Booked Sale Price]]</f>
        <v>0</v>
      </c>
      <c r="GH115" s="31" t="str">
        <f>IF(SnapshotTable[[#This Row],[Equity Basis Total]] &gt; 0, SnapshotTable[[#This Row],[Equity Basis Per Share]] * SnapshotTable[[#This Row],[Booked Sale Shares]], "")</f>
        <v/>
      </c>
      <c r="GI115" s="31">
        <f>IF(SnapshotTable[[#This Row],[Sale Proceeds]]&gt;0, SnapshotTable[[#This Row],[Sale Proceeds]] - SnapshotTable[[#This Row],[Sale Basis]], 0)</f>
        <v>0</v>
      </c>
      <c r="GJ115" s="27" t="str">
        <f>IF(SnapshotTable[[#This Row],[Sale G/L]]&gt;0, SnapshotTable[[#This Row],[Sale G/L]] / SnapshotTable[[#This Row],[Sale Basis]], IF(ISNUMBER(SnapshotTable[[#This Row],[SC Exercise P&amp;L (TAX)]]), SnapshotTable[[#This Row],[SC Exercise P&amp;L (TAX)]] / SnapshotTable[[#This Row],[SC Basis]], ""))</f>
        <v/>
      </c>
      <c r="GK115" s="27" t="s">
        <v>558</v>
      </c>
      <c r="GL115" s="43" t="str">
        <f>IF(AND(SnapshotTable[[#This Row],[LP Exp Date]]&gt;0,SnapshotTable[[#This Row],[LP Strike Price]]&gt;0), [1]!ToOptionSymbol(SnapshotTable[[#This Row],[Symbol]], SnapshotTable[[#This Row],[LP Strike Price]],SnapshotTable[[#This Row],[LP Exp Date]],1), "")</f>
        <v/>
      </c>
      <c r="GM115" s="30" t="str">
        <f>IF(LEN(SnapshotTable[[#This Row],[LP Symbol]])&gt;0, 1, "")</f>
        <v/>
      </c>
      <c r="GN115" s="43" t="str">
        <f>IF(AND(SnapshotTable[[#This Row],[SP Exp Date]]&gt;0,SnapshotTable[[#This Row],[SP Strike Price]]&gt;0), [1]!ToOptionSymbol(SnapshotTable[[#This Row],[Symbol]], SnapshotTable[[#This Row],[SP Strike Price]],SnapshotTable[[#This Row],[SP Exp Date]],1), "")</f>
        <v/>
      </c>
      <c r="GO115" s="30" t="str">
        <f>IF(LEN(SnapshotTable[[#This Row],[SP Symbol]])&gt;0, 1, "")</f>
        <v/>
      </c>
      <c r="GP115" s="43" t="str">
        <f>IF(AND(SnapshotTable[[#This Row],[LC Exp Date]]&gt;0,SnapshotTable[[#This Row],[LC Strike Price]]&gt;0), [1]!ToOptionSymbol(SnapshotTable[[#This Row],[Symbol]], SnapshotTable[[#This Row],[LC Strike Price]],SnapshotTable[[#This Row],[LC Exp Date]],0), "")</f>
        <v/>
      </c>
      <c r="GQ115" s="30" t="str">
        <f>IF(LEN(SnapshotTable[[#This Row],[LC Symbol]])&gt;0, 1, "")</f>
        <v/>
      </c>
      <c r="GR115" s="43" t="str">
        <f>IF(AND(SnapshotTable[[#This Row],[SC Exp Date]]&gt;0,SnapshotTable[[#This Row],[SC Strike Price]]&gt;0), [1]!ToOptionSymbol(SnapshotTable[[#This Row],[Symbol]], SnapshotTable[[#This Row],[SC Strike Price]],SnapshotTable[[#This Row],[SC Exp Date]],0), "")</f>
        <v/>
      </c>
      <c r="GS115" s="30" t="str">
        <f>IF(LEN(SnapshotTable[[#This Row],[SC Symbol]])&gt;0, 1, "")</f>
        <v/>
      </c>
      <c r="GT115" s="29" t="str">
        <f>IF(COUNT(SnapshotTable[[#This Row],[LP Symbol Count]],SnapshotTable[[#This Row],[SP Symbol Count]],SnapshotTable[[#This Row],[LC Symbol Count]],SnapshotTable[[#This Row],[SC Symbol Count]])&gt;0, "Y", "")</f>
        <v/>
      </c>
      <c r="GU1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5" s="216">
        <f>MAX(SnapshotTable[[#This Row],[Equity Basis Total]],SnapshotTable[[#This Row],[Equity Value]]) + (SnapshotTable[[#This Row],[SP Potential Spend]]- SnapshotTable[[#This Row],[SP Premium]] + SnapshotTable[[#This Row],[LP Premium]])+ (SnapshotTable[[#This Row],[LC Premium]] - SnapshotTable[[#This Row],[SC Premium]])</f>
        <v>0</v>
      </c>
      <c r="GW115" s="137" t="str">
        <f>IF(AND(SnapshotTable[[#This Row],[Exposure]] &lt;&gt; 0),SnapshotTable[[#This Row],[Exposure]] / SnapshotTable[[#Totals],[Exposure]], "")</f>
        <v/>
      </c>
      <c r="HE115" s="253"/>
      <c r="HF115" s="253"/>
      <c r="HK115" s="1"/>
      <c r="HL115" s="1"/>
      <c r="HM115" s="1"/>
      <c r="HN115" s="1"/>
      <c r="HO115" s="1"/>
      <c r="HP115" s="1"/>
    </row>
    <row r="116" spans="2:224" ht="12.75" hidden="1" customHeight="1" x14ac:dyDescent="0.25">
      <c r="B116" s="12" t="s">
        <v>177</v>
      </c>
      <c r="C116" s="385">
        <v>100.57</v>
      </c>
      <c r="D116" s="200"/>
      <c r="E116" s="39">
        <f>SnapshotTable[[#This Row],[Last Price]]*(1 -CrashDiscount)</f>
        <v>85.484499999999997</v>
      </c>
      <c r="F116" s="26" t="s">
        <v>702</v>
      </c>
      <c r="G116" s="26" t="s">
        <v>32</v>
      </c>
      <c r="H116" s="147"/>
      <c r="I116" s="186">
        <v>44762.3125</v>
      </c>
      <c r="J116" s="187">
        <v>44762.3125</v>
      </c>
      <c r="K116" s="188"/>
      <c r="L116" s="297"/>
      <c r="M116" s="138">
        <v>2</v>
      </c>
      <c r="N116" s="138"/>
      <c r="O116" s="138"/>
      <c r="P116" s="22"/>
      <c r="Q116" s="25"/>
      <c r="R116" s="4" t="str">
        <f>IF(SnapshotTable[[#This Row],[Equity Basis Total]] &gt; 0, SnapshotTable[[#This Row],[Equity Basis Total]] / SnapshotTable[[#This Row],[Equity Shares]], "")</f>
        <v/>
      </c>
      <c r="S116" s="254">
        <f>SnapshotTable[[#This Row],[Last Price]] * SnapshotTable[[#This Row],[Equity Shares]]</f>
        <v>0</v>
      </c>
      <c r="T116" s="254">
        <f>SnapshotTable[[#This Row],[Equity Value]] - SnapshotTable[[#This Row],[Equity Basis Total]]</f>
        <v>0</v>
      </c>
      <c r="U116" s="255" t="str">
        <f>IF(SnapshotTable[[#This Row],[Equity Basis Total]] &gt; 0, SnapshotTable[[#This Row],[Equity G/L]] / SnapshotTable[[#This Row],[Equity Basis Total]], "")</f>
        <v/>
      </c>
      <c r="V116" s="253"/>
      <c r="W116" s="253"/>
      <c r="X116" s="4" t="str">
        <f>IF(AND(ISNUMBER(SnapshotTable[[#This Row],[Equity Basis Per Share]]),ISNUMBER(SnapshotTable[[#This Row],[Equity Target]])),SnapshotTable[[#This Row],[Equity Target]]-SnapshotTable[[#This Row],[Equity Basis Per Share]],"")</f>
        <v/>
      </c>
      <c r="Y116" s="4" t="str">
        <f>IF(AND(ISNUMBER(SnapshotTable[[#This Row],[Equity Basis Per Share]]),ISNUMBER(SnapshotTable[[#This Row],[Equity Stop Loss]])),SnapshotTable[[#This Row],[Equity Stop Loss]]-SnapshotTable[[#This Row],[Equity Basis Per Share]],"")</f>
        <v/>
      </c>
      <c r="Z116" s="260" t="str">
        <f>IFERROR( TEXT(SnapshotTable[[#This Row],[Equity Max Gain Per Share]] /ABS( SnapshotTable[[#This Row],[Equity Max Loss Per Share]]),"0.0 " ) &amp; " : 1", "")</f>
        <v/>
      </c>
      <c r="AA116" s="31" t="str">
        <f>IF(ISNUMBER(SnapshotTable[[#This Row],[Equity Max Gain Per Share]]),SnapshotTable[[#This Row],[Equity Max Gain Per Share]] * SnapshotTable[[#This Row],[Equity Shares]],"")</f>
        <v/>
      </c>
      <c r="AB116" s="31" t="str">
        <f>IF(ISNUMBER(SnapshotTable[[#This Row],[Equity Max Loss Per Share]]),SnapshotTable[[#This Row],[Equity Max Loss Per Share]] * SnapshotTable[[#This Row],[Equity Shares]],"")</f>
        <v/>
      </c>
      <c r="AC116" s="148">
        <v>1.32</v>
      </c>
      <c r="AD116" s="149">
        <v>42962</v>
      </c>
      <c r="AE116" s="31">
        <f>(SnapshotTable[[#This Row],[Annual Dividend Per Share]] / 4) * SnapshotTable[[#This Row],[Equity Shares]]</f>
        <v>0</v>
      </c>
      <c r="AF116" s="31">
        <f>SnapshotTable[[#This Row],[Quarterly Div $]] * 4</f>
        <v>0</v>
      </c>
      <c r="AG116" s="7">
        <f>IF(SnapshotTable[[#This Row],[Annual Dividend Per Share]]&gt;0, SnapshotTable[[#This Row],[Annual Dividend Per Share]]  / SnapshotTable[[#This Row],[Last Price]], 0)</f>
        <v>1.3125186437307349E-2</v>
      </c>
      <c r="AH116" s="149">
        <v>43841</v>
      </c>
      <c r="AI116" s="5">
        <v>110</v>
      </c>
      <c r="AJ116" s="136">
        <v>134.88</v>
      </c>
      <c r="AK116" s="150">
        <f>IF(ISNUMBER( SnapshotTable[[#This Row],[EBF Target]]),(SnapshotTable[[#This Row],[EBF Target]] - SnapshotTable[[#This Row],[Last Price]]) / SnapshotTable[[#This Row],[Last Price]], "")</f>
        <v>9.3765536442279085E-2</v>
      </c>
      <c r="AL116" s="150" t="str">
        <f>IF(AND(SnapshotTable[[#This Row],[Equity Basis Total]] &gt; 0,ISNUMBER( SnapshotTable[[#This Row],[Long Term Target]])), SnapshotTable[[#This Row],[From Basis $]] / SnapshotTable[[#This Row],[Equity Basis Total]], "")</f>
        <v/>
      </c>
      <c r="AM116" s="9">
        <f>IF( AND(SnapshotTable[[#This Row],[Equity Shares]] &gt;0,ISNUMBER( SnapshotTable[[#This Row],[Long Term Target]])),(SnapshotTable[[#This Row],[Equity Shares]] * SnapshotTable[[#This Row],[Long Term Target]]) - SnapshotTable[[#This Row],[Equity Basis Total]],0)</f>
        <v>0</v>
      </c>
      <c r="AN116" s="9">
        <f>IF( AND(SnapshotTable[[#This Row],[Equity Shares]] &gt;0,ISNUMBER( SnapshotTable[[#This Row],[Long Term Target]])),(SnapshotTable[[#This Row],[Equity Shares]]*SnapshotTable[[#This Row],[Long Term Target]]) - SnapshotTable[[#This Row],[Equity Value]],0)</f>
        <v>0</v>
      </c>
      <c r="AO116" s="150">
        <f>IF(AND(ISNUMBER( SnapshotTable[[#This Row],[Long Term Target]]), ISNUMBER(SnapshotTable[[#This Row],[Last Price]])),(SnapshotTable[[#This Row],[Long Term Target]] - SnapshotTable[[#This Row],[Last Price]]) / SnapshotTable[[#This Row],[Last Price]], "")</f>
        <v>0.34115541413940542</v>
      </c>
      <c r="AP116" s="5"/>
      <c r="AQ116" s="38"/>
      <c r="AR116" s="5"/>
      <c r="AS116" s="38"/>
      <c r="AT116" s="144"/>
      <c r="AU116" s="185" t="str">
        <f>IF(OR(SnapshotTable[[#This Row],[LP No Fill]]="Y",SnapshotTable[[#This Row],[SP Is Filled]],SnapshotTable[[#This Row],[LC Not Filled]]="Y",SnapshotTable[[#This Row],[SC Is Filled]]),"Y","")</f>
        <v/>
      </c>
      <c r="AV116" s="205"/>
      <c r="AW116" s="211"/>
      <c r="AX116" s="206"/>
      <c r="AY116" s="205" t="str">
        <f>IF(SnapshotTable[[#This Row],[Implied Move]]&gt;0, SnapshotTable[[#This Row],[Last Price]]-SnapshotTable[[#This Row],[Implied Move]],"")</f>
        <v/>
      </c>
      <c r="AZ116" s="205" t="str">
        <f>IF(SnapshotTable[[#This Row],[Implied Move]]&gt;0, SnapshotTable[[#This Row],[Last Price]] + SnapshotTable[[#This Row],[Implied Move]],"")</f>
        <v/>
      </c>
      <c r="BA116" s="302"/>
      <c r="BB116" s="318"/>
      <c r="BC1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6" s="321"/>
      <c r="BE116" s="5"/>
      <c r="BF116" s="14"/>
      <c r="BG116" s="13"/>
      <c r="BH116" s="13"/>
      <c r="BI116" s="5"/>
      <c r="BJ116" s="134">
        <f>IF(SnapshotTable[[#This Row],[LP Qty]] &gt; 0, SnapshotTable[[#This Row],[LP Qty]] * SnapshotTable[[#This Row],[LP Book Price]] * 100,0)</f>
        <v>0</v>
      </c>
      <c r="BK116" s="134">
        <f>IF(SnapshotTable[[#This Row],[LP Premium]] &gt; 0, SnapshotTable[[#This Row],[LP Qty]] * SnapshotTable[[#This Row],[LP Strike Price]] * 100,0)</f>
        <v>0</v>
      </c>
      <c r="BL116" s="152"/>
      <c r="BM116" s="355" t="str">
        <f>IF(SnapshotTable[[#This Row],[LP Premium]] &gt; 0,SnapshotTable[[#This Row],[LP Exp Date]]-MAX(SnapshotTable[[#This Row],[LP Book Date]], SnapshotTable[[#This Row],[LP Fill Date]]),"")</f>
        <v/>
      </c>
      <c r="BN116" s="355" t="str">
        <f>IF(ISNUMBER( SnapshotTable[[#This Row],[LP Term]]), SnapshotTable[[#This Row],[LP Exp Date]] - MockToday,"")</f>
        <v/>
      </c>
      <c r="BO116" s="161" t="str">
        <f>IF(AND(SnapshotTable[[#This Row],[LP Exp Date]]&gt;0, SnapshotTable[[#This Row],[LP Strike Price]]&gt;0,SnapshotTable[[#This Row],[LP Qty]]&gt;0,SnapshotTable[[#This Row],[LP Book Date]]&gt;0,SnapshotTable[[#This Row],[LP Book Price]]&gt;0,SnapshotTable[[#This Row],[LP Fill Date]]=0),"Y","")</f>
        <v/>
      </c>
      <c r="BP116" s="31" t="str">
        <f>IF(AND(SnapshotTable[[#This Row],[LP No Fill]]&lt;&gt;"Y",SnapshotTable[[#This Row],[LP Contract Value]]&gt;0, SnapshotTable[[#This Row],[LP Qty]]&gt;0), SnapshotTable[[#This Row],[LP Contract Value]]*SnapshotTable[[#This Row],[LP Qty]]*100,"")</f>
        <v/>
      </c>
      <c r="BQ116" s="13"/>
      <c r="BR116" s="5"/>
      <c r="BS116" s="36"/>
      <c r="BT116" s="145"/>
      <c r="BU116" s="13"/>
      <c r="BV116" s="5"/>
      <c r="BW116" s="382" t="b">
        <f>AND(ISNUMBER(SnapshotTable[[#This Row],[SP Exp Date]]), ISNUMBER(SnapshotTable[[#This Row],[SP Strike Price]]), ISNUMBER(SnapshotTable[[#This Row],[SP Qty]]), ISNUMBER(SnapshotTable[[#This Row],[SP Book Date]]), ISNUMBER(SnapshotTable[[#This Row],[SP Book Price]]))</f>
        <v>0</v>
      </c>
      <c r="BX116" s="382" t="b">
        <f>AND(SnapshotTable[[#This Row],[SP Is Booked]], NOT(ISBLANK(SnapshotTable[[#This Row],[SP Fill Date]])))</f>
        <v>0</v>
      </c>
      <c r="BY116" s="33">
        <f>IF(SnapshotTable[[#This Row],[SP Is Booked]], SnapshotTable[[#This Row],[SP Qty]] * SnapshotTable[[#This Row],[SP Book Price]] * 100, 0)</f>
        <v>0</v>
      </c>
      <c r="BZ116" s="339"/>
      <c r="CA116" s="338">
        <f>SnapshotTable[[#This Row],[LP Qty]]</f>
        <v>0</v>
      </c>
      <c r="CB116" s="4" t="str">
        <f>IF(SnapshotTable[[#This Row],[SP Is Booked]], SnapshotTable[[#This Row],[SP Strike Price]] - SnapshotTable[[#This Row],[SP Book Price]], "")</f>
        <v/>
      </c>
      <c r="CC116" s="19" t="str">
        <f>IF(SnapshotTable[[#This Row],[SP Is Booked]],SnapshotTable[[#This Row],[SP Exp Date]]-MAX(SnapshotTable[[#This Row],[SP Book Date]], SnapshotTable[[#This Row],[SP Fill Date]]),"")</f>
        <v/>
      </c>
      <c r="CD116" s="7" t="str">
        <f>IF(SnapshotTable[[#This Row],[SP Is Booked]], SnapshotTable[[#This Row],[SP Book Price]]/SnapshotTable[[#This Row],[SP Strike Price]], "")</f>
        <v/>
      </c>
      <c r="CE116" s="7" t="str">
        <f>IF(ISNUMBER(SnapshotTable[[#This Row],[SP ROO Term]]),SnapshotTable[[#This Row],[SP ROO Term]]*(365/SnapshotTable[[#This Row],[SP Term]]),"")</f>
        <v/>
      </c>
      <c r="CF116" s="221">
        <f>SnapshotTable[[#This Row],[LP Strike Price]] * SnapshotTable[[#This Row],[LP Qty]] * 100</f>
        <v>0</v>
      </c>
      <c r="CG116" s="31">
        <f>IF(ISNUMBER(SnapshotTable[[#This Row],[SP Premium]]), (SnapshotTable[[#This Row],[SP Qty]] * SnapshotTable[[#This Row],[SP Strike Price]]* 100) - SnapshotTable[[#This Row],[LP Protection]], 0)</f>
        <v>0</v>
      </c>
      <c r="CH116" s="7" t="str">
        <f>IF(ISNUMBER(SnapshotTable[[#This Row],[SP Break Even]]),-1 * (SnapshotTable[[#This Row],[SP Break Even]] - SnapshotTable[[#This Row],[Last Price]]) / SnapshotTable[[#This Row],[Last Price]], "")</f>
        <v/>
      </c>
      <c r="CI116" s="31">
        <f>IF(AND(ISNUMBER((SnapshotTable[[#This Row],[SP Potential Spend]])), SnapshotTable[[#This Row],[SP Strike Price]] &gt; SnapshotTable[[#This Row],[Last Price]], SnapshotTable[[#This Row],[SP Is Filled]]), SnapshotTable[[#This Row],[SP Potential Spend]] -  SnapshotTable[[#This Row],[LP Max Value]], 0)</f>
        <v>0</v>
      </c>
      <c r="CJ116" s="229"/>
      <c r="CK116" s="31">
        <f>IF(ISNUMBER(SnapshotTable[[#This Row],[SP Potential Spend]]),IF(ISNUMBER(SnapshotTable[[#This Row],[SP POW]]), SnapshotTable[[#This Row],[SP POW]] * SnapshotTable[[#This Row],[SP Potential Spend]], SnapshotTable[[#This Row],[SP Potential Spend]]), "")</f>
        <v>0</v>
      </c>
      <c r="CL116" s="162">
        <f>IF(NOT(SnapshotTable[[#This Row],[SP Is Filled]]),(SnapshotTable[[#This Row],[SP Qty]] * SnapshotTable[[#This Row],[SP Strike Price]] * 100) - SnapshotTable[[#This Row],[LP Max Value]],"")</f>
        <v>0</v>
      </c>
      <c r="CM116" s="31" t="str">
        <f>IF(SnapshotTable[[#This Row],[SP Actual Spend]]&lt;&gt;0, ((SnapshotTable[[#This Row],[SP Strike Price]]-SnapshotTable[[#This Row],[Last Price]]) *(SnapshotTable[[#This Row],[SP Qty]]*100) - SnapshotTable[[#This Row],[SP Premium]]) * - 1, "")</f>
        <v/>
      </c>
      <c r="CN116" s="76"/>
      <c r="CO116" s="339"/>
      <c r="CP116" s="4" t="str">
        <f>IF(SnapshotTable[[#This Row],[SP Is Filled]], btc_max_buyback_amount(SnapshotTable[[#This Row],[SP Fill Date]],SnapshotTable[[#This Row],[SP Exp Date]], SnapshotTable[[#This Row],[SP Book Price]]),"")</f>
        <v/>
      </c>
      <c r="CQ116" s="76"/>
      <c r="CR1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6" s="153" t="str">
        <f>IF(SnapshotTable[[#This Row],[SP Is Filled]], btc_next_cutoff_date(SnapshotTable[[#This Row],[SP Fill Date]],SnapshotTable[[#This Row],[SP Exp Date]]),"")</f>
        <v/>
      </c>
      <c r="CT116" s="220" t="str" cm="1">
        <f t="array" ref="CT116">IF(SnapshotTable[[#This Row],[SP Is Filled]], btc_should_buy_back(SnapshotTable[[#This Row],[SP Fill Date]], SnapshotTable[[#This Row],[SP Exp Date]], SnapshotTable[[#This Row],[SP Book Price]], SnapshotTable[[#This Row],[SP Current Ask]], MockToday, SnapshotTable[[#This Row],[SP Buyback Override]]),"")</f>
        <v/>
      </c>
      <c r="CU116" s="141"/>
      <c r="CV116" s="220"/>
      <c r="CW116" s="348" t="str">
        <f>IF(ISNUMBER( SnapshotTable[[#This Row],[SP Term]]), SnapshotTable[[#This Row],[SP Exp Date]] - MockToday,"")</f>
        <v/>
      </c>
      <c r="CX116" s="31" t="str">
        <f>IF(SnapshotTable[[#This Row],[SP Is Filled]],SnapshotTable[[#This Row],[SP Buyback Price to Use]] * 100 * SnapshotTable[[#This Row],[SP Qty]], "")</f>
        <v/>
      </c>
      <c r="CY116" s="4" t="str">
        <f>IF(ISNUMBER(SnapshotTable[[#This Row],[SP Strike Price]]), SnapshotTable[[#This Row],[SP Strike Price]] * (1 - SP_MaxLoss_StrikePct), "")</f>
        <v/>
      </c>
      <c r="CZ116" s="31" t="str">
        <f>IF(ISNUMBER(SnapshotTable[[#This Row],[SP Strike  Stop Per Share]]),SnapshotTable[[#This Row],[SP Premium]] - ((SnapshotTable[[#This Row],[SP Strike Price]]-SnapshotTable[[#This Row],[SP Strike  Stop Per Share]]) *(SnapshotTable[[#This Row],[SP Qty]] * 100)),"")</f>
        <v/>
      </c>
      <c r="DA116" s="4" t="str">
        <f>IF(AND(ISNUMBER(SnapshotTable[[#This Row],[SP Premium]]),SnapshotTable[[#This Row],[SP Premium]]&gt;0), SnapshotTable[[#This Row],[SP Book Price]] * (1 + SP_MaxLoss_OptionPct), "")</f>
        <v/>
      </c>
      <c r="DB116" s="31" t="str">
        <f>IF(ISNUMBER(SnapshotTable[[#This Row],[SP Option  Stop Contract]]),(SnapshotTable[[#This Row],[SP Option  Stop Contract]] *(SnapshotTable[[#This Row],[SP Qty]] * 100) - SnapshotTable[[#This Row],[SP Premium]]),"")</f>
        <v/>
      </c>
      <c r="DC116" s="4"/>
      <c r="DD116" s="4"/>
      <c r="DE116" s="4" t="str">
        <f>IF(AND(SnapshotTable[[#This Row],[SP Qty]]&gt;0, SnapshotTable[[#This Row],[SP Stop To Use]]&gt;0),SnapshotTable[[#This Row],[SP Premium]] - ( SnapshotTable[[#This Row],[SP Qty]] * SnapshotTable[[#This Row],[SP Stop To Use]] * 100), "")</f>
        <v/>
      </c>
      <c r="DF116" s="31" t="str">
        <f>IF(AND(SnapshotTable[[#This Row],[SP Qty]]&gt;0,SnapshotTable[[#This Row],[SP Current Ask]]&gt;0), SnapshotTable[[#This Row],[SP Qty]] * SnapshotTable[[#This Row],[SP Current Ask]] * -100, "")</f>
        <v/>
      </c>
      <c r="DG116" s="31" t="str">
        <f>IF(ISNUMBER((SnapshotTable[[#This Row],[SP Total Value]])), SnapshotTable[[#This Row],[SP Premium]] + SnapshotTable[[#This Row],[SP Total Value]], "")</f>
        <v/>
      </c>
      <c r="DH116" s="272" t="str">
        <f>IF(ISNUMBER((SnapshotTable[[#This Row],[SP Total Value]])), SnapshotTable[[#This Row],[SP Gain Loss]] / SnapshotTable[[#This Row],[SP Premium]], "")</f>
        <v/>
      </c>
      <c r="DI116" s="369"/>
      <c r="DJ116" s="136"/>
      <c r="DK116" s="146"/>
      <c r="DL116" s="13"/>
      <c r="DM116" s="13"/>
      <c r="DO116" s="31">
        <f>IF(SnapshotTable[[#This Row],[LC Symbol Count]]=1, SnapshotTable[[#This Row],[LC Qty]] * SnapshotTable[[#This Row],[LC Book Price]] * 100, 0)</f>
        <v>0</v>
      </c>
      <c r="DP116" s="161" t="str">
        <f>IF(AND(SnapshotTable[[#This Row],[LC Exp Date]]&gt;0, SnapshotTable[[#This Row],[LC Strike Price]]&gt;0,SnapshotTable[[#This Row],[LC Qty]]&gt;0,SnapshotTable[[#This Row],[LC Book Date]]&gt;0,SnapshotTable[[#This Row],[LC Book Price]]&gt;0,SnapshotTable[[#This Row],[LC Fill Date]]=0),"Y","")</f>
        <v/>
      </c>
      <c r="DQ116" s="356" t="str">
        <f>IF(SnapshotTable[[#This Row],[LC Premium]] &gt; 0,SnapshotTable[[#This Row],[LC Exp Date]]-MAX(SnapshotTable[[#This Row],[LC Book Date]], SnapshotTable[[#This Row],[LC Fill Date]]),"")</f>
        <v/>
      </c>
      <c r="DR116" s="356" t="str">
        <f>IF(ISNUMBER(SnapshotTable[[#This Row],[LC Term]]), SnapshotTable[[#This Row],[LC Exp Date]] - MockToday, "")</f>
        <v/>
      </c>
      <c r="DS116" s="219" t="str">
        <f>IF(SnapshotTable[[#This Row],[LC Premium]]&gt;0,SnapshotTable[[#This Row],[LC Strike Price]] + SnapshotTable[[#This Row],[LC Book Price]],"")</f>
        <v/>
      </c>
      <c r="DU116" s="9" t="str">
        <f>IF(AND(SnapshotTable[[#This Row],[LC Symbol Count]]&gt;0, SnapshotTable[[#This Row],[LC Contract Value]]&gt;0), SnapshotTable[[#This Row],[LC Contract Value]] * SnapshotTable[[#This Row],[LC Qty]] * 100, "")</f>
        <v/>
      </c>
      <c r="DV116" s="9" t="str">
        <f>IF(AND(ISNUMBER(SnapshotTable[[#This Row],[LC Total Value]]), SnapshotTable[[#This Row],[LC Not Filled]]&lt;&gt;"Y"), SnapshotTable[[#This Row],[LC Total Value]]-SnapshotTable[[#This Row],[LC Premium]],"")</f>
        <v/>
      </c>
      <c r="DW116" s="225" t="str">
        <f>IF(ISNUMBER(SnapshotTable[[#This Row],[LC Actual Gain Loss]]), SnapshotTable[[#This Row],[LC Actual Gain Loss]] / SnapshotTable[[#This Row],[LC Premium]],"")</f>
        <v/>
      </c>
      <c r="DX116" s="269" t="str">
        <f>IF(ISNUMBER(SnapshotTable[[#This Row],[LC Book Price]]),SnapshotTable[[#This Row],[LC Book Price]] * 1.5,"")</f>
        <v/>
      </c>
      <c r="DY116" s="250" t="str">
        <f>IF(SnapshotTable[[#This Row],[LC Premium]]&gt;0, SnapshotTable[[#This Row],[LC Next Target]] * SnapshotTable[[#This Row],[LC Qty]] * 100,"")</f>
        <v/>
      </c>
      <c r="DZ116" s="250" t="str">
        <f>IF(ISNUMBER(SnapshotTable[[#This Row],[LC Target Gross]]), SnapshotTable[[#This Row],[LC Target Gross]] - SnapshotTable[[#This Row],[LC Premium]], "")</f>
        <v/>
      </c>
      <c r="EA116" s="283" t="str">
        <f>IF(ISNUMBER(SnapshotTable[[#This Row],[LC Target Gain Loss]]), SnapshotTable[[#This Row],[LC Target Gain Loss]]/SnapshotTable[[#This Row],[LC Premium]], "")</f>
        <v/>
      </c>
      <c r="EB116" s="247"/>
      <c r="EC116" s="268" t="str">
        <f>IF(SnapshotTable[[#This Row],[LC Premium]]&gt;0, SnapshotTable[[#This Row],[LC Book Price]] * (1 - LC_StopLoss_Pct),"")</f>
        <v/>
      </c>
      <c r="ED116" s="269"/>
      <c r="EE116" s="268" t="str">
        <f>IF(ISNUMBER(SnapshotTable[[#This Row],[LC Contract Value]]),IF(ISNUMBER(SnapshotTable[[#This Row],[LC Stop Loss Override]]), SnapshotTable[[#This Row],[LC Stop Loss Override]],SnapshotTable[[#This Row],[LC Stop Loss Calc Target]]),"")</f>
        <v/>
      </c>
      <c r="EF116" s="31" t="str">
        <f>IF(ISNUMBER(SnapshotTable[[#This Row],[LC Stop  To Use]]), (SnapshotTable[[#This Row],[LC Stop  To Use]] * SnapshotTable[[#This Row],[LC Qty]] * 100),"")</f>
        <v/>
      </c>
      <c r="EG116" s="9" t="str">
        <f>IF(ISNUMBER(SnapshotTable[[#This Row],[LC Total Value]]),SnapshotTable[[#This Row],[LC Stop Loss Amount]] - SnapshotTable[[#This Row],[LC Premium]],"")</f>
        <v/>
      </c>
      <c r="EH116" s="9">
        <f>IF(ISNUMBER(SnapshotTable[[#This Row],[LC Premium]]), SnapshotTable[[#This Row],[LC Qty]] * 100 * SnapshotTable[[#This Row],[LC Strike Price]], "")</f>
        <v>0</v>
      </c>
      <c r="EI116" s="225" t="str">
        <f>IF(AND(ISNUMBER(SnapshotTable[[#This Row],[LC Total Value]]),SnapshotTable[[#This Row],[LC Total Value]]&gt;0),SnapshotTable[[#This Row],[LC Stop Gain Loss]]  / SnapshotTable[[#This Row],[LC Premium]],"")</f>
        <v/>
      </c>
      <c r="EJ116" s="35">
        <f>IF(ISNUMBER(SnapshotTable[[#This Row],[Equity Shares]]),TRUNC(SnapshotTable[[#This Row],[Equity Shares]] / 100),0) + SnapshotTable[[#This Row],[LC Qty]]</f>
        <v>0</v>
      </c>
      <c r="EK116" s="145"/>
      <c r="EL116" s="136"/>
      <c r="EM116" s="146"/>
      <c r="EN116" s="145"/>
      <c r="EO116" s="145"/>
      <c r="EP116" s="136"/>
      <c r="EQ116" s="382" t="b">
        <f>AND(ISNUMBER(SnapshotTable[[#This Row],[SC Exp Date]]), ISNUMBER(SnapshotTable[[#This Row],[SC Strike Price]]), ISNUMBER(SnapshotTable[[#This Row],[SC Qty]]), ISNUMBER(SnapshotTable[[#This Row],[SC Book Date]]), ISNUMBER(SnapshotTable[[#This Row],[SC Book Price]]))</f>
        <v>0</v>
      </c>
      <c r="ER116" s="382" t="b">
        <f>AND(SnapshotTable[[#This Row],[SC Is Booked]], NOT(ISBLANK(SnapshotTable[[#This Row],[SC Fill Date]])))</f>
        <v>0</v>
      </c>
      <c r="ES116" s="340"/>
      <c r="ET116" s="34" t="str">
        <f>IF(AND(ISNUMBER(SnapshotTable[[#This Row],[SC Exp Date]]), ISNUMBER(SnapshotTable[[#This Row],[SC Book Date]])), SnapshotTable[[#This Row],[SC Exp Date]] - MAX(SnapshotTable[[#This Row],[SC Book Date]], SnapshotTable[[#This Row],[SC Fill Date]]) + 1, "")</f>
        <v/>
      </c>
      <c r="EU116" s="34" t="str">
        <f>IF(ISNUMBER(SnapshotTable[[#This Row],[SC Term]]), SnapshotTable[[#This Row],[SC Exp Date]]- MockToday, "")</f>
        <v/>
      </c>
      <c r="EV116" s="31">
        <f>IF(SnapshotTable[[#This Row],[SC Is Booked]], SnapshotTable[[#This Row],[SC Qty]] * SnapshotTable[[#This Row],[SC Book Price]] * 100, 0)</f>
        <v>0</v>
      </c>
      <c r="EW116" s="4" t="str">
        <f>IF(AND(ISNUMBER(SnapshotTable[[#This Row],[Last Price]]), ISNUMBER( SnapshotTable[[#This Row],[SC Book Price]])), SnapshotTable[[#This Row],[Last Price]] - SnapshotTable[[#This Row],[SC Book Price]],"")</f>
        <v/>
      </c>
      <c r="EX116" s="219" t="str">
        <f>IF(SnapshotTable[[#This Row],[SC Is Booked]],IF(SnapshotTable[[#This Row],[SC Intrinsic Value]] &gt; 0, SnapshotTable[[#This Row],[SC Strike Price]], SnapshotTable[[#This Row],[Last Price]]), "")</f>
        <v/>
      </c>
      <c r="EY116" s="4">
        <f>IF(SnapshotTable[[#This Row],[SC Is Booked]], (MinimumPremiumRequired * SnapshotTable[[#This Row],[SC Basis]] * SnapshotTable[[#This Row],[SC Term]]), 0)</f>
        <v>0</v>
      </c>
      <c r="EZ116" s="268"/>
      <c r="FA116" s="204"/>
      <c r="FB116" s="340"/>
      <c r="FC116" s="4">
        <f>IF(SnapshotTable[[#This Row],[SC Is Filled]], btc_max_buyback_amount(SnapshotTable[[#This Row],[SC Fill Date]],SnapshotTable[[#This Row],[SC Exp Date]], SnapshotTable[[#This Row],[SC Book Price]]),0)</f>
        <v>0</v>
      </c>
      <c r="FD116" s="5"/>
      <c r="FE116" s="142" t="str">
        <f>IF(SnapshotTable[[#This Row],[SC Is Filled]], btc_next_cutoff_date(SnapshotTable[[#This Row],[SC Fill Date]],SnapshotTable[[#This Row],[SC Exp Date]]),"")</f>
        <v/>
      </c>
      <c r="FF116" s="4" t="str" cm="1">
        <f t="array" ref="FF116">IF(SnapshotTable[[#This Row],[SC Is Filled]], btc_should_buy_back(SnapshotTable[[#This Row],[SC Fill Date]], SnapshotTable[[#This Row],[SC Exp Date]], SnapshotTable[[#This Row],[SC Book Price]], SnapshotTable[[#This Row],[SC Current Ask]], MockToday, SnapshotTable[[#This Row],[SC Buyback Override]]),"")</f>
        <v/>
      </c>
      <c r="FG116" s="4">
        <f>IF(SnapshotTable[[#This Row],[SC Is Filled]], MAX(0,SnapshotTable[[#This Row],[Last Price]]  - SnapshotTable[[#This Row],[SC Strike Price]]), 0)</f>
        <v>0</v>
      </c>
      <c r="FH116" s="352">
        <f>IF(SnapshotTable[[#This Row],[SC Is Filled]], IF(ISNUMBER(SnapshotTable[[#This Row],[SC Current Ask]]), SnapshotTable[[#This Row],[SC Current Ask]], SnapshotTable[[#This Row],[SC Book Price]]) - SnapshotTable[[#This Row],[SC Intrinsic Value]], 0)</f>
        <v>0</v>
      </c>
      <c r="FI116" s="141"/>
      <c r="FJ116" s="32" t="str">
        <f>IF(SnapshotTable[[#This Row],[SC Is Filled]],100 * SnapshotTable[[#This Row],[SC Qty]] * IF(ISNUMBER(SnapshotTable[[#This Row],[SC Buyback Override]]), SnapshotTable[[#This Row],[SC Buyback Override]], SnapshotTable[[#This Row],[SC Current Ask]]), "")</f>
        <v/>
      </c>
      <c r="FK116" s="235" t="str">
        <f>IF(SnapshotTable[[#This Row],[SC Time Val]]&gt;0, SnapshotTable[[#This Row],[SC Time Val]] / SnapshotTable[[#This Row],[Last Price]],"")</f>
        <v/>
      </c>
      <c r="FL116" s="280" t="str">
        <f>IF(SnapshotTable[[#This Row],[SC Is Booked]], ((SnapshotTable[[#This Row],[Last Price]] -SnapshotTable[[#This Row],[SC Strike Price]]) / SnapshotTable[[#This Row],[Last Price]]) * -1, "")</f>
        <v/>
      </c>
      <c r="FM116" s="155" t="str">
        <f>IF(SnapshotTable[[#This Row],[SC Is Booked]],  (SnapshotTable[[#This Row],[SC Qty]] * 100 * SnapshotTable[[#This Row],[SC Strike Price]]) - SnapshotTable[[#This Row],[SC Current Ask]], "")</f>
        <v/>
      </c>
      <c r="FN1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6" s="31" t="str">
        <f>IF(AND(ISNUMBER(SnapshotTable[[#This Row],[SC Exercise Gross]]), ISNUMBER(SnapshotTable[[#This Row],[Equity Basis Per Share]] )), SnapshotTable[[#This Row],[SC Exercise Gross]] - SnapshotTable[[#This Row],[Equity Basis Total]] +  SnapshotTable[[#This Row],[SC Premium]], "")</f>
        <v/>
      </c>
      <c r="FP116" s="5" t="str">
        <f>IF(ISNUMBER(SnapshotTable[[#This Row],[SC Exercise Gross]]), (SnapshotTable[[#This Row],[SC Exercise Gross]]) / (SnapshotTable[[#This Row],[SC Qty]] * 100), "")</f>
        <v/>
      </c>
      <c r="FQ116" s="27" t="str">
        <f>IF(SnapshotTable[[#This Row],[SC Is Booked]],SnapshotTable[[#This Row],[SC Time Val]] /SnapshotTable[[#This Row],[SC Basis]], "")</f>
        <v/>
      </c>
      <c r="FR116" s="27" t="str" cm="1">
        <f t="array" ref="FR116">IF(AND(ISNUMBER(SnapshotTable[[#This Row],[SC Term]]),ISNUMBER(SnapshotTable[[#This Row],[SC Simple ROO]])), EllmanAnnualize(SnapshotTable[[#This Row],[SC DTE]], SnapshotTable[[#This Row],[SC Simple ROO]] ),"")</f>
        <v/>
      </c>
      <c r="FS116" s="4">
        <f>IF(SnapshotTable[[#This Row],[SC Strike Price]] &gt; SnapshotTable[[#This Row],[Last Price]], SnapshotTable[[#This Row],[SC Strike Price]] - SnapshotTable[[#This Row],[Last Price]],0)</f>
        <v>0</v>
      </c>
      <c r="FT116" s="27" t="str">
        <f>IF(AND(ISNUMBER(SnapshotTable[[#This Row],[SC Upside Potential]]), SnapshotTable[[#This Row],[SC Upside Potential]] &gt; 0),(SnapshotTable[[#This Row],[SC Upside Potential]]/ SnapshotTable[[#This Row],[ACB]]),"")</f>
        <v/>
      </c>
      <c r="FU116" s="304" t="str">
        <f>IF(SnapshotTable[[#This Row],[SC Intrinsic Value]] &gt; 0,SnapshotTable[[#This Row],[SC Intrinsic Value]],"")</f>
        <v/>
      </c>
      <c r="FV116" s="27" t="str">
        <f>IF(AND( ISNUMBER( SnapshotTable[[#This Row],[ACB]]),ISNUMBER(SnapshotTable[[#This Row],[SC Downside Protect]])),SnapshotTable[[#This Row],[SC Downside Protect]] / SnapshotTable[[#This Row],[ACB]],"")</f>
        <v/>
      </c>
      <c r="FW116" s="221" t="str">
        <f>IF(AND(ISNUMBER(SnapshotTable[[#This Row],[SC Simple ROO]]),SnapshotTable[[#This Row],[SC Simple ROO]] &gt; 0), SnapshotTable[[#This Row],[SC Premium]] + (SnapshotTable[[#This Row],[SC Qty]] * SnapshotTable[[#This Row],[SC Upside Potential]]), "")</f>
        <v/>
      </c>
      <c r="FX116" s="280" t="str" cm="1">
        <f t="array" ref="FX116">IF(ISNUMBER(SnapshotTable[[#This Row],[SC Max Dollars]]), annualize(SnapshotTable[[#This Row],[SC Term]],(SnapshotTable[[#This Row],[SC Max Dollars]]/SnapshotTable[[#This Row],[SC Basis]])),"")</f>
        <v/>
      </c>
      <c r="FY116" s="221" t="str">
        <f>IF(AND(SnapshotTable[[#This Row],[SC Qty]]&gt;0,SnapshotTable[[#This Row],[SC Current Ask]]&gt;0), SnapshotTable[[#This Row],[SC Qty]] * SnapshotTable[[#This Row],[SC Current Ask]] * -100, "")</f>
        <v/>
      </c>
      <c r="FZ116" s="31" t="str">
        <f>IF(ISNUMBER((SnapshotTable[[#This Row],[SC Current Value]])), SnapshotTable[[#This Row],[SC Premium]] + SnapshotTable[[#This Row],[SC Current Value]], "")</f>
        <v/>
      </c>
      <c r="GA116" s="272" t="str">
        <f>IFERROR( IF(ISNUMBER((SnapshotTable[[#This Row],[SC Current Value]])), SnapshotTable[[#This Row],[SC Gain Loss]] / SnapshotTable[[#This Row],[SC Premium]], ""), "")</f>
        <v/>
      </c>
      <c r="GB116" s="42">
        <f>SnapshotTable[[#This Row],[Equity Shares]] * SaleSharesToConsiderPercentage</f>
        <v>0</v>
      </c>
      <c r="GC116" s="40">
        <f>SnapshotTable[[#This Row],[Long Term Target]] * SellingPriceToConsiderBasedOnTargetPercentage</f>
        <v>128.136</v>
      </c>
      <c r="GD116" s="40">
        <f>SnapshotTable[[#This Row],[Last Price]] * (1+ SellingPriceToConsiderBasedOnTargetPercentage)</f>
        <v>196.11149999999998</v>
      </c>
      <c r="GE116" s="41"/>
      <c r="GF116" s="40"/>
      <c r="GG116" s="31">
        <f>SnapshotTable[[#This Row],[Booked Sale Shares]] * SnapshotTable[[#This Row],[Booked Sale Price]]</f>
        <v>0</v>
      </c>
      <c r="GH116" s="31" t="str">
        <f>IF(SnapshotTable[[#This Row],[Equity Basis Total]] &gt; 0, SnapshotTable[[#This Row],[Equity Basis Per Share]] * SnapshotTable[[#This Row],[Booked Sale Shares]], "")</f>
        <v/>
      </c>
      <c r="GI116" s="31">
        <f>IF(SnapshotTable[[#This Row],[Sale Proceeds]]&gt;0, SnapshotTable[[#This Row],[Sale Proceeds]] - SnapshotTable[[#This Row],[Sale Basis]], 0)</f>
        <v>0</v>
      </c>
      <c r="GJ116" s="27" t="str">
        <f>IF(SnapshotTable[[#This Row],[Sale G/L]]&gt;0, SnapshotTable[[#This Row],[Sale G/L]] / SnapshotTable[[#This Row],[Sale Basis]], IF(ISNUMBER(SnapshotTable[[#This Row],[SC Exercise P&amp;L (TAX)]]), SnapshotTable[[#This Row],[SC Exercise P&amp;L (TAX)]] / SnapshotTable[[#This Row],[SC Basis]], ""))</f>
        <v/>
      </c>
      <c r="GK116" s="27" t="s">
        <v>502</v>
      </c>
      <c r="GL116" s="43" t="str">
        <f>IF(AND(SnapshotTable[[#This Row],[LP Exp Date]]&gt;0,SnapshotTable[[#This Row],[LP Strike Price]]&gt;0), [1]!ToOptionSymbol(SnapshotTable[[#This Row],[Symbol]], SnapshotTable[[#This Row],[LP Strike Price]],SnapshotTable[[#This Row],[LP Exp Date]],1), "")</f>
        <v/>
      </c>
      <c r="GM116" s="30" t="str">
        <f>IF(LEN(SnapshotTable[[#This Row],[LP Symbol]])&gt;0, 1, "")</f>
        <v/>
      </c>
      <c r="GN116" s="43" t="str">
        <f>IF(AND(SnapshotTable[[#This Row],[SP Exp Date]]&gt;0,SnapshotTable[[#This Row],[SP Strike Price]]&gt;0), [1]!ToOptionSymbol(SnapshotTable[[#This Row],[Symbol]], SnapshotTable[[#This Row],[SP Strike Price]],SnapshotTable[[#This Row],[SP Exp Date]],1), "")</f>
        <v/>
      </c>
      <c r="GO116" s="30" t="str">
        <f>IF(LEN(SnapshotTable[[#This Row],[SP Symbol]])&gt;0, 1, "")</f>
        <v/>
      </c>
      <c r="GP116" s="43" t="str">
        <f>IF(AND(SnapshotTable[[#This Row],[LC Exp Date]]&gt;0,SnapshotTable[[#This Row],[LC Strike Price]]&gt;0), [1]!ToOptionSymbol(SnapshotTable[[#This Row],[Symbol]], SnapshotTable[[#This Row],[LC Strike Price]],SnapshotTable[[#This Row],[LC Exp Date]],0), "")</f>
        <v/>
      </c>
      <c r="GQ116" s="30" t="str">
        <f>IF(LEN(SnapshotTable[[#This Row],[LC Symbol]])&gt;0, 1, "")</f>
        <v/>
      </c>
      <c r="GR116" s="43" t="str">
        <f>IF(AND(SnapshotTable[[#This Row],[SC Exp Date]]&gt;0,SnapshotTable[[#This Row],[SC Strike Price]]&gt;0), [1]!ToOptionSymbol(SnapshotTable[[#This Row],[Symbol]], SnapshotTable[[#This Row],[SC Strike Price]],SnapshotTable[[#This Row],[SC Exp Date]],0), "")</f>
        <v/>
      </c>
      <c r="GS116" s="30" t="str">
        <f>IF(LEN(SnapshotTable[[#This Row],[SC Symbol]])&gt;0, 1, "")</f>
        <v/>
      </c>
      <c r="GT116" s="29" t="str">
        <f>IF(COUNT(SnapshotTable[[#This Row],[LP Symbol Count]],SnapshotTable[[#This Row],[SP Symbol Count]],SnapshotTable[[#This Row],[LC Symbol Count]],SnapshotTable[[#This Row],[SC Symbol Count]])&gt;0, "Y", "")</f>
        <v/>
      </c>
      <c r="GU1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6" s="216">
        <f>MAX(SnapshotTable[[#This Row],[Equity Basis Total]],SnapshotTable[[#This Row],[Equity Value]]) + (SnapshotTable[[#This Row],[SP Potential Spend]]- SnapshotTable[[#This Row],[SP Premium]] + SnapshotTable[[#This Row],[LP Premium]])+ (SnapshotTable[[#This Row],[LC Premium]] - SnapshotTable[[#This Row],[SC Premium]])</f>
        <v>0</v>
      </c>
      <c r="GW116" s="137" t="str">
        <f>IF(AND(SnapshotTable[[#This Row],[Exposure]] &lt;&gt; 0),SnapshotTable[[#This Row],[Exposure]] / SnapshotTable[[#Totals],[Exposure]], "")</f>
        <v/>
      </c>
      <c r="HE116" s="253"/>
      <c r="HF116" s="253"/>
      <c r="HK116" s="1"/>
      <c r="HL116" s="1"/>
      <c r="HM116" s="1"/>
      <c r="HN116" s="1"/>
      <c r="HO116" s="1"/>
      <c r="HP116" s="1"/>
    </row>
    <row r="117" spans="2:224" ht="12.75" hidden="1" customHeight="1" x14ac:dyDescent="0.25">
      <c r="B117" s="12" t="s">
        <v>709</v>
      </c>
      <c r="C117" s="385">
        <v>245.77</v>
      </c>
      <c r="D117" s="200"/>
      <c r="E117" s="39">
        <f>SnapshotTable[[#This Row],[Last Price]]*(1 -CrashDiscount)</f>
        <v>208.90450000000001</v>
      </c>
      <c r="F117" s="26" t="s">
        <v>496</v>
      </c>
      <c r="G117" s="26" t="s">
        <v>7</v>
      </c>
      <c r="H117" s="147"/>
      <c r="I117" s="186">
        <v>44777.291666666664</v>
      </c>
      <c r="J117" s="187">
        <v>44777.291666666664</v>
      </c>
      <c r="K117" s="188"/>
      <c r="L117" s="297"/>
      <c r="M117" s="138"/>
      <c r="N117" s="138"/>
      <c r="O117" s="138"/>
      <c r="P117" s="22"/>
      <c r="Q117" s="25"/>
      <c r="R117" s="4" t="str">
        <f>IF(SnapshotTable[[#This Row],[Equity Basis Total]] &gt; 0, SnapshotTable[[#This Row],[Equity Basis Total]] / SnapshotTable[[#This Row],[Equity Shares]], "")</f>
        <v/>
      </c>
      <c r="S117" s="254">
        <f>SnapshotTable[[#This Row],[Last Price]] * SnapshotTable[[#This Row],[Equity Shares]]</f>
        <v>0</v>
      </c>
      <c r="T117" s="254">
        <f>SnapshotTable[[#This Row],[Equity Value]] - SnapshotTable[[#This Row],[Equity Basis Total]]</f>
        <v>0</v>
      </c>
      <c r="U117" s="255" t="str">
        <f>IF(SnapshotTable[[#This Row],[Equity Basis Total]] &gt; 0, SnapshotTable[[#This Row],[Equity G/L]] / SnapshotTable[[#This Row],[Equity Basis Total]], "")</f>
        <v/>
      </c>
      <c r="V117" s="253">
        <v>130</v>
      </c>
      <c r="W117" s="253">
        <v>110.5</v>
      </c>
      <c r="X117" s="4" t="str">
        <f>IF(AND(ISNUMBER(SnapshotTable[[#This Row],[Equity Basis Per Share]]),ISNUMBER(SnapshotTable[[#This Row],[Equity Target]])),SnapshotTable[[#This Row],[Equity Target]]-SnapshotTable[[#This Row],[Equity Basis Per Share]],"")</f>
        <v/>
      </c>
      <c r="Y117" s="4" t="str">
        <f>IF(AND(ISNUMBER(SnapshotTable[[#This Row],[Equity Basis Per Share]]),ISNUMBER(SnapshotTable[[#This Row],[Equity Stop Loss]])),SnapshotTable[[#This Row],[Equity Stop Loss]]-SnapshotTable[[#This Row],[Equity Basis Per Share]],"")</f>
        <v/>
      </c>
      <c r="Z117" s="260" t="str">
        <f>IFERROR( TEXT(SnapshotTable[[#This Row],[Equity Max Gain Per Share]] /ABS( SnapshotTable[[#This Row],[Equity Max Loss Per Share]]),"0.0 " ) &amp; " : 1", "")</f>
        <v/>
      </c>
      <c r="AA117" s="31" t="str">
        <f>IF(ISNUMBER(SnapshotTable[[#This Row],[Equity Max Gain Per Share]]),SnapshotTable[[#This Row],[Equity Max Gain Per Share]] * SnapshotTable[[#This Row],[Equity Shares]],"")</f>
        <v/>
      </c>
      <c r="AB117" s="31" t="str">
        <f>IF(ISNUMBER(SnapshotTable[[#This Row],[Equity Max Loss Per Share]]),SnapshotTable[[#This Row],[Equity Max Loss Per Share]] * SnapshotTable[[#This Row],[Equity Shares]],"")</f>
        <v/>
      </c>
      <c r="AC117" s="148"/>
      <c r="AD117" s="149"/>
      <c r="AE117" s="31">
        <f>(SnapshotTable[[#This Row],[Annual Dividend Per Share]] / 4) * SnapshotTable[[#This Row],[Equity Shares]]</f>
        <v>0</v>
      </c>
      <c r="AF117" s="31">
        <f>SnapshotTable[[#This Row],[Quarterly Div $]] * 4</f>
        <v>0</v>
      </c>
      <c r="AG117" s="7">
        <f>IF(SnapshotTable[[#This Row],[Annual Dividend Per Share]]&gt;0, SnapshotTable[[#This Row],[Annual Dividend Per Share]]  / SnapshotTable[[#This Row],[Last Price]], 0)</f>
        <v>0</v>
      </c>
      <c r="AH117" s="149"/>
      <c r="AI117" s="5"/>
      <c r="AJ117" s="136">
        <v>95.93</v>
      </c>
      <c r="AK117" s="150" t="str">
        <f>IF(ISNUMBER( SnapshotTable[[#This Row],[EBF Target]]),(SnapshotTable[[#This Row],[EBF Target]] - SnapshotTable[[#This Row],[Last Price]]) / SnapshotTable[[#This Row],[Last Price]], "")</f>
        <v/>
      </c>
      <c r="AL117" s="150" t="str">
        <f>IF(AND(SnapshotTable[[#This Row],[Equity Basis Total]] &gt; 0,ISNUMBER( SnapshotTable[[#This Row],[Long Term Target]])), SnapshotTable[[#This Row],[From Basis $]] / SnapshotTable[[#This Row],[Equity Basis Total]], "")</f>
        <v/>
      </c>
      <c r="AM117" s="9">
        <f>IF( AND(SnapshotTable[[#This Row],[Equity Shares]] &gt;0,ISNUMBER( SnapshotTable[[#This Row],[Long Term Target]])),(SnapshotTable[[#This Row],[Equity Shares]] * SnapshotTable[[#This Row],[Long Term Target]]) - SnapshotTable[[#This Row],[Equity Basis Total]],0)</f>
        <v>0</v>
      </c>
      <c r="AN117" s="9">
        <f>IF( AND(SnapshotTable[[#This Row],[Equity Shares]] &gt;0,ISNUMBER( SnapshotTable[[#This Row],[Long Term Target]])),(SnapshotTable[[#This Row],[Equity Shares]]*SnapshotTable[[#This Row],[Long Term Target]]) - SnapshotTable[[#This Row],[Equity Value]],0)</f>
        <v>0</v>
      </c>
      <c r="AO117" s="150">
        <f>IF(AND(ISNUMBER( SnapshotTable[[#This Row],[Long Term Target]]), ISNUMBER(SnapshotTable[[#This Row],[Last Price]])),(SnapshotTable[[#This Row],[Long Term Target]] - SnapshotTable[[#This Row],[Last Price]]) / SnapshotTable[[#This Row],[Last Price]], "")</f>
        <v>-0.60967571306506085</v>
      </c>
      <c r="AP117" s="5"/>
      <c r="AQ117" s="38"/>
      <c r="AR117" s="5"/>
      <c r="AS117" s="38"/>
      <c r="AT117" s="144"/>
      <c r="AU117" s="185" t="str">
        <f>IF(OR(SnapshotTable[[#This Row],[LP No Fill]]="Y",SnapshotTable[[#This Row],[SP Is Filled]],SnapshotTable[[#This Row],[LC Not Filled]]="Y",SnapshotTable[[#This Row],[SC Is Filled]]),"Y","")</f>
        <v/>
      </c>
      <c r="AV117" s="205"/>
      <c r="AW117" s="211"/>
      <c r="AX117" s="206"/>
      <c r="AY117" s="205" t="str">
        <f>IF(SnapshotTable[[#This Row],[Implied Move]]&gt;0, SnapshotTable[[#This Row],[Last Price]]-SnapshotTable[[#This Row],[Implied Move]],"")</f>
        <v/>
      </c>
      <c r="AZ117" s="205" t="str">
        <f>IF(SnapshotTable[[#This Row],[Implied Move]]&gt;0, SnapshotTable[[#This Row],[Last Price]] + SnapshotTable[[#This Row],[Implied Move]],"")</f>
        <v/>
      </c>
      <c r="BA117" s="302"/>
      <c r="BB117" s="318"/>
      <c r="BC1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7" s="321"/>
      <c r="BE117" s="5"/>
      <c r="BF117" s="14"/>
      <c r="BG117" s="13"/>
      <c r="BH117" s="13"/>
      <c r="BI117" s="5"/>
      <c r="BJ117" s="134">
        <f>IF(SnapshotTable[[#This Row],[LP Qty]] &gt; 0, SnapshotTable[[#This Row],[LP Qty]] * SnapshotTable[[#This Row],[LP Book Price]] * 100,0)</f>
        <v>0</v>
      </c>
      <c r="BK117" s="134">
        <f>IF(SnapshotTable[[#This Row],[LP Premium]] &gt; 0, SnapshotTable[[#This Row],[LP Qty]] * SnapshotTable[[#This Row],[LP Strike Price]] * 100,0)</f>
        <v>0</v>
      </c>
      <c r="BL117" s="152"/>
      <c r="BM117" s="355" t="str">
        <f>IF(SnapshotTable[[#This Row],[LP Premium]] &gt; 0,SnapshotTable[[#This Row],[LP Exp Date]]-MAX(SnapshotTable[[#This Row],[LP Book Date]], SnapshotTable[[#This Row],[LP Fill Date]]),"")</f>
        <v/>
      </c>
      <c r="BN117" s="355" t="str">
        <f>IF(ISNUMBER( SnapshotTable[[#This Row],[LP Term]]), SnapshotTable[[#This Row],[LP Exp Date]] - MockToday,"")</f>
        <v/>
      </c>
      <c r="BO117" s="161" t="str">
        <f>IF(AND(SnapshotTable[[#This Row],[LP Exp Date]]&gt;0, SnapshotTable[[#This Row],[LP Strike Price]]&gt;0,SnapshotTable[[#This Row],[LP Qty]]&gt;0,SnapshotTable[[#This Row],[LP Book Date]]&gt;0,SnapshotTable[[#This Row],[LP Book Price]]&gt;0,SnapshotTable[[#This Row],[LP Fill Date]]=0),"Y","")</f>
        <v/>
      </c>
      <c r="BP117" s="31" t="str">
        <f>IF(AND(SnapshotTable[[#This Row],[LP No Fill]]&lt;&gt;"Y",SnapshotTable[[#This Row],[LP Contract Value]]&gt;0, SnapshotTable[[#This Row],[LP Qty]]&gt;0), SnapshotTable[[#This Row],[LP Contract Value]]*SnapshotTable[[#This Row],[LP Qty]]*100,"")</f>
        <v/>
      </c>
      <c r="BQ117" s="13"/>
      <c r="BR117" s="5"/>
      <c r="BS117" s="36"/>
      <c r="BT117" s="145"/>
      <c r="BU117" s="13"/>
      <c r="BV117" s="5"/>
      <c r="BW117" s="382" t="b">
        <f>AND(ISNUMBER(SnapshotTable[[#This Row],[SP Exp Date]]), ISNUMBER(SnapshotTable[[#This Row],[SP Strike Price]]), ISNUMBER(SnapshotTable[[#This Row],[SP Qty]]), ISNUMBER(SnapshotTable[[#This Row],[SP Book Date]]), ISNUMBER(SnapshotTable[[#This Row],[SP Book Price]]))</f>
        <v>0</v>
      </c>
      <c r="BX117" s="382" t="b">
        <f>AND(SnapshotTable[[#This Row],[SP Is Booked]], NOT(ISBLANK(SnapshotTable[[#This Row],[SP Fill Date]])))</f>
        <v>0</v>
      </c>
      <c r="BY117" s="33">
        <f>IF(SnapshotTable[[#This Row],[SP Is Booked]], SnapshotTable[[#This Row],[SP Qty]] * SnapshotTable[[#This Row],[SP Book Price]] * 100, 0)</f>
        <v>0</v>
      </c>
      <c r="BZ117" s="339"/>
      <c r="CA117" s="338">
        <f>SnapshotTable[[#This Row],[LP Qty]]</f>
        <v>0</v>
      </c>
      <c r="CB117" s="4" t="str">
        <f>IF(SnapshotTable[[#This Row],[SP Is Booked]], SnapshotTable[[#This Row],[SP Strike Price]] - SnapshotTable[[#This Row],[SP Book Price]], "")</f>
        <v/>
      </c>
      <c r="CC117" s="19" t="str">
        <f>IF(SnapshotTable[[#This Row],[SP Is Booked]],SnapshotTable[[#This Row],[SP Exp Date]]-MAX(SnapshotTable[[#This Row],[SP Book Date]], SnapshotTable[[#This Row],[SP Fill Date]]),"")</f>
        <v/>
      </c>
      <c r="CD117" s="7" t="str">
        <f>IF(SnapshotTable[[#This Row],[SP Is Booked]], SnapshotTable[[#This Row],[SP Book Price]]/SnapshotTable[[#This Row],[SP Strike Price]], "")</f>
        <v/>
      </c>
      <c r="CE117" s="7" t="str">
        <f>IF(ISNUMBER(SnapshotTable[[#This Row],[SP ROO Term]]),SnapshotTable[[#This Row],[SP ROO Term]]*(365/SnapshotTable[[#This Row],[SP Term]]),"")</f>
        <v/>
      </c>
      <c r="CF117" s="221">
        <f>SnapshotTable[[#This Row],[LP Strike Price]] * SnapshotTable[[#This Row],[LP Qty]] * 100</f>
        <v>0</v>
      </c>
      <c r="CG117" s="31">
        <f>IF(ISNUMBER(SnapshotTable[[#This Row],[SP Premium]]), (SnapshotTable[[#This Row],[SP Qty]] * SnapshotTable[[#This Row],[SP Strike Price]]* 100) - SnapshotTable[[#This Row],[LP Protection]], 0)</f>
        <v>0</v>
      </c>
      <c r="CH117" s="7" t="str">
        <f>IF(ISNUMBER(SnapshotTable[[#This Row],[SP Break Even]]),-1 * (SnapshotTable[[#This Row],[SP Break Even]] - SnapshotTable[[#This Row],[Last Price]]) / SnapshotTable[[#This Row],[Last Price]], "")</f>
        <v/>
      </c>
      <c r="CI117" s="31">
        <f>IF(AND(ISNUMBER((SnapshotTable[[#This Row],[SP Potential Spend]])), SnapshotTable[[#This Row],[SP Strike Price]] &gt; SnapshotTable[[#This Row],[Last Price]], SnapshotTable[[#This Row],[SP Is Filled]]), SnapshotTable[[#This Row],[SP Potential Spend]] -  SnapshotTable[[#This Row],[LP Max Value]], 0)</f>
        <v>0</v>
      </c>
      <c r="CJ117" s="229"/>
      <c r="CK117" s="31">
        <f>IF(ISNUMBER(SnapshotTable[[#This Row],[SP Potential Spend]]),IF(ISNUMBER(SnapshotTable[[#This Row],[SP POW]]), SnapshotTable[[#This Row],[SP POW]] * SnapshotTable[[#This Row],[SP Potential Spend]], SnapshotTable[[#This Row],[SP Potential Spend]]), "")</f>
        <v>0</v>
      </c>
      <c r="CL117" s="162">
        <f>IF(NOT(SnapshotTable[[#This Row],[SP Is Filled]]),(SnapshotTable[[#This Row],[SP Qty]] * SnapshotTable[[#This Row],[SP Strike Price]] * 100) - SnapshotTable[[#This Row],[LP Max Value]],"")</f>
        <v>0</v>
      </c>
      <c r="CM117" s="31" t="str">
        <f>IF(SnapshotTable[[#This Row],[SP Actual Spend]]&lt;&gt;0, ((SnapshotTable[[#This Row],[SP Strike Price]]-SnapshotTable[[#This Row],[Last Price]]) *(SnapshotTable[[#This Row],[SP Qty]]*100) - SnapshotTable[[#This Row],[SP Premium]]) * - 1, "")</f>
        <v/>
      </c>
      <c r="CN117" s="152"/>
      <c r="CO117" s="339"/>
      <c r="CP117" s="4" t="str">
        <f>IF(SnapshotTable[[#This Row],[SP Is Filled]], btc_max_buyback_amount(SnapshotTable[[#This Row],[SP Fill Date]],SnapshotTable[[#This Row],[SP Exp Date]], SnapshotTable[[#This Row],[SP Book Price]]),"")</f>
        <v/>
      </c>
      <c r="CQ117" s="76"/>
      <c r="CR1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7" s="153" t="str">
        <f>IF(SnapshotTable[[#This Row],[SP Is Filled]], btc_next_cutoff_date(SnapshotTable[[#This Row],[SP Fill Date]],SnapshotTable[[#This Row],[SP Exp Date]]),"")</f>
        <v/>
      </c>
      <c r="CT117" s="220" t="str" cm="1">
        <f t="array" ref="CT117">IF(SnapshotTable[[#This Row],[SP Is Filled]], btc_should_buy_back(SnapshotTable[[#This Row],[SP Fill Date]], SnapshotTable[[#This Row],[SP Exp Date]], SnapshotTable[[#This Row],[SP Book Price]], SnapshotTable[[#This Row],[SP Current Ask]], MockToday, SnapshotTable[[#This Row],[SP Buyback Override]]),"")</f>
        <v/>
      </c>
      <c r="CU117" s="154"/>
      <c r="CV117" s="220"/>
      <c r="CW117" s="348" t="str">
        <f>IF(ISNUMBER( SnapshotTable[[#This Row],[SP Term]]), SnapshotTable[[#This Row],[SP Exp Date]] - MockToday,"")</f>
        <v/>
      </c>
      <c r="CX117" s="31" t="str">
        <f>IF(SnapshotTable[[#This Row],[SP Is Filled]],SnapshotTable[[#This Row],[SP Buyback Price to Use]] * 100 * SnapshotTable[[#This Row],[SP Qty]], "")</f>
        <v/>
      </c>
      <c r="CY117" s="4" t="str">
        <f>IF(ISNUMBER(SnapshotTable[[#This Row],[SP Strike Price]]), SnapshotTable[[#This Row],[SP Strike Price]] * (1 - SP_MaxLoss_StrikePct), "")</f>
        <v/>
      </c>
      <c r="CZ117" s="31" t="str">
        <f>IF(ISNUMBER(SnapshotTable[[#This Row],[SP Strike  Stop Per Share]]),SnapshotTable[[#This Row],[SP Premium]] - ((SnapshotTable[[#This Row],[SP Strike Price]]-SnapshotTable[[#This Row],[SP Strike  Stop Per Share]]) *(SnapshotTable[[#This Row],[SP Qty]] * 100)),"")</f>
        <v/>
      </c>
      <c r="DA117" s="4" t="str">
        <f>IF(AND(ISNUMBER(SnapshotTable[[#This Row],[SP Premium]]),SnapshotTable[[#This Row],[SP Premium]]&gt;0), SnapshotTable[[#This Row],[SP Book Price]] * (1 + SP_MaxLoss_OptionPct), "")</f>
        <v/>
      </c>
      <c r="DB117" s="31" t="str">
        <f>IF(ISNUMBER(SnapshotTable[[#This Row],[SP Option  Stop Contract]]),(SnapshotTable[[#This Row],[SP Option  Stop Contract]] *(SnapshotTable[[#This Row],[SP Qty]] * 100) - SnapshotTable[[#This Row],[SP Premium]]),"")</f>
        <v/>
      </c>
      <c r="DC117" s="4"/>
      <c r="DD117" s="4"/>
      <c r="DE117" s="4" t="str">
        <f>IF(AND(SnapshotTable[[#This Row],[SP Qty]]&gt;0, SnapshotTable[[#This Row],[SP Stop To Use]]&gt;0),SnapshotTable[[#This Row],[SP Premium]] - ( SnapshotTable[[#This Row],[SP Qty]] * SnapshotTable[[#This Row],[SP Stop To Use]] * 100), "")</f>
        <v/>
      </c>
      <c r="DF117" s="31" t="str">
        <f>IF(AND(SnapshotTable[[#This Row],[SP Qty]]&gt;0,SnapshotTable[[#This Row],[SP Current Ask]]&gt;0), SnapshotTable[[#This Row],[SP Qty]] * SnapshotTable[[#This Row],[SP Current Ask]] * -100, "")</f>
        <v/>
      </c>
      <c r="DG117" s="31" t="str">
        <f>IF(ISNUMBER((SnapshotTable[[#This Row],[SP Total Value]])), SnapshotTable[[#This Row],[SP Premium]] + SnapshotTable[[#This Row],[SP Total Value]], "")</f>
        <v/>
      </c>
      <c r="DH117" s="272" t="str">
        <f>IF(ISNUMBER((SnapshotTable[[#This Row],[SP Total Value]])), SnapshotTable[[#This Row],[SP Gain Loss]] / SnapshotTable[[#This Row],[SP Premium]], "")</f>
        <v/>
      </c>
      <c r="DI117" s="369"/>
      <c r="DJ117" s="136"/>
      <c r="DK117" s="146"/>
      <c r="DL117" s="145"/>
      <c r="DM117" s="145"/>
      <c r="DO117" s="31">
        <f>IF(SnapshotTable[[#This Row],[LC Symbol Count]]=1, SnapshotTable[[#This Row],[LC Qty]] * SnapshotTable[[#This Row],[LC Book Price]] * 100, 0)</f>
        <v>0</v>
      </c>
      <c r="DP117" s="270" t="str">
        <f>IF(AND(SnapshotTable[[#This Row],[LC Exp Date]]&gt;0, SnapshotTable[[#This Row],[LC Strike Price]]&gt;0,SnapshotTable[[#This Row],[LC Qty]]&gt;0,SnapshotTable[[#This Row],[LC Book Date]]&gt;0,SnapshotTable[[#This Row],[LC Book Price]]&gt;0,SnapshotTable[[#This Row],[LC Fill Date]]=0),"Y","")</f>
        <v/>
      </c>
      <c r="DQ117" s="356" t="str">
        <f>IF(SnapshotTable[[#This Row],[LC Premium]] &gt; 0,SnapshotTable[[#This Row],[LC Exp Date]]-MAX(SnapshotTable[[#This Row],[LC Book Date]], SnapshotTable[[#This Row],[LC Fill Date]]),"")</f>
        <v/>
      </c>
      <c r="DR117" s="356" t="str">
        <f>IF(ISNUMBER(SnapshotTable[[#This Row],[LC Term]]), SnapshotTable[[#This Row],[LC Exp Date]] - MockToday, "")</f>
        <v/>
      </c>
      <c r="DS117" s="219" t="str">
        <f>IF(SnapshotTable[[#This Row],[LC Premium]]&gt;0,SnapshotTable[[#This Row],[LC Strike Price]] + SnapshotTable[[#This Row],[LC Book Price]],"")</f>
        <v/>
      </c>
      <c r="DU117" s="9" t="str">
        <f>IF(AND(SnapshotTable[[#This Row],[LC Symbol Count]]&gt;0, SnapshotTable[[#This Row],[LC Contract Value]]&gt;0), SnapshotTable[[#This Row],[LC Contract Value]] * SnapshotTable[[#This Row],[LC Qty]] * 100, "")</f>
        <v/>
      </c>
      <c r="DV117" s="9" t="str">
        <f>IF(AND(ISNUMBER(SnapshotTable[[#This Row],[LC Total Value]]), SnapshotTable[[#This Row],[LC Not Filled]]&lt;&gt;"Y"), SnapshotTable[[#This Row],[LC Total Value]]-SnapshotTable[[#This Row],[LC Premium]],"")</f>
        <v/>
      </c>
      <c r="DW117" s="225" t="str">
        <f>IF(ISNUMBER(SnapshotTable[[#This Row],[LC Actual Gain Loss]]), SnapshotTable[[#This Row],[LC Actual Gain Loss]] / SnapshotTable[[#This Row],[LC Premium]],"")</f>
        <v/>
      </c>
      <c r="DX117" s="269" t="str">
        <f>IF(ISNUMBER(SnapshotTable[[#This Row],[LC Book Price]]),SnapshotTable[[#This Row],[LC Book Price]] * 1.5,"")</f>
        <v/>
      </c>
      <c r="DY117" s="250" t="str">
        <f>IF(SnapshotTable[[#This Row],[LC Premium]]&gt;0, SnapshotTable[[#This Row],[LC Next Target]] * SnapshotTable[[#This Row],[LC Qty]] * 100,"")</f>
        <v/>
      </c>
      <c r="DZ117" s="250" t="str">
        <f>IF(ISNUMBER(SnapshotTable[[#This Row],[LC Target Gross]]), SnapshotTable[[#This Row],[LC Target Gross]] - SnapshotTable[[#This Row],[LC Premium]], "")</f>
        <v/>
      </c>
      <c r="EA117" s="283" t="str">
        <f>IF(ISNUMBER(SnapshotTable[[#This Row],[LC Target Gain Loss]]), SnapshotTable[[#This Row],[LC Target Gain Loss]]/SnapshotTable[[#This Row],[LC Premium]], "")</f>
        <v/>
      </c>
      <c r="EB117" s="247"/>
      <c r="EC117" s="268" t="str">
        <f>IF(SnapshotTable[[#This Row],[LC Premium]]&gt;0, SnapshotTable[[#This Row],[LC Book Price]] * (1 - LC_StopLoss_Pct),"")</f>
        <v/>
      </c>
      <c r="ED117" s="269"/>
      <c r="EE117" s="268" t="str">
        <f>IF(ISNUMBER(SnapshotTable[[#This Row],[LC Contract Value]]),IF(ISNUMBER(SnapshotTable[[#This Row],[LC Stop Loss Override]]), SnapshotTable[[#This Row],[LC Stop Loss Override]],SnapshotTable[[#This Row],[LC Stop Loss Calc Target]]),"")</f>
        <v/>
      </c>
      <c r="EF117" s="31" t="str">
        <f>IF(ISNUMBER(SnapshotTable[[#This Row],[LC Stop  To Use]]), (SnapshotTable[[#This Row],[LC Stop  To Use]] * SnapshotTable[[#This Row],[LC Qty]] * 100),"")</f>
        <v/>
      </c>
      <c r="EG117" s="9" t="str">
        <f>IF(ISNUMBER(SnapshotTable[[#This Row],[LC Total Value]]),SnapshotTable[[#This Row],[LC Stop Loss Amount]] - SnapshotTable[[#This Row],[LC Premium]],"")</f>
        <v/>
      </c>
      <c r="EH117" s="9">
        <f>IF(ISNUMBER(SnapshotTable[[#This Row],[LC Premium]]), SnapshotTable[[#This Row],[LC Qty]] * 100 * SnapshotTable[[#This Row],[LC Strike Price]], "")</f>
        <v>0</v>
      </c>
      <c r="EI117" s="225" t="str">
        <f>IF(AND(ISNUMBER(SnapshotTable[[#This Row],[LC Total Value]]),SnapshotTable[[#This Row],[LC Total Value]]&gt;0),SnapshotTable[[#This Row],[LC Stop Gain Loss]]  / SnapshotTable[[#This Row],[LC Premium]],"")</f>
        <v/>
      </c>
      <c r="EJ117" s="35">
        <f>IF(ISNUMBER(SnapshotTable[[#This Row],[Equity Shares]]),TRUNC(SnapshotTable[[#This Row],[Equity Shares]] / 100),0) + SnapshotTable[[#This Row],[LC Qty]]</f>
        <v>0</v>
      </c>
      <c r="EK117" s="145"/>
      <c r="EL117" s="136"/>
      <c r="EM117" s="146"/>
      <c r="EN117" s="145"/>
      <c r="EO117" s="145"/>
      <c r="EP117" s="136"/>
      <c r="EQ117" s="382" t="b">
        <f>AND(ISNUMBER(SnapshotTable[[#This Row],[SC Exp Date]]), ISNUMBER(SnapshotTable[[#This Row],[SC Strike Price]]), ISNUMBER(SnapshotTable[[#This Row],[SC Qty]]), ISNUMBER(SnapshotTable[[#This Row],[SC Book Date]]), ISNUMBER(SnapshotTable[[#This Row],[SC Book Price]]))</f>
        <v>0</v>
      </c>
      <c r="ER117" s="382" t="b">
        <f>AND(SnapshotTable[[#This Row],[SC Is Booked]], NOT(ISBLANK(SnapshotTable[[#This Row],[SC Fill Date]])))</f>
        <v>0</v>
      </c>
      <c r="ES117" s="340"/>
      <c r="ET117" s="34" t="str">
        <f>IF(AND(ISNUMBER(SnapshotTable[[#This Row],[SC Exp Date]]), ISNUMBER(SnapshotTable[[#This Row],[SC Book Date]])), SnapshotTable[[#This Row],[SC Exp Date]] - MAX(SnapshotTable[[#This Row],[SC Book Date]], SnapshotTable[[#This Row],[SC Fill Date]]) + 1, "")</f>
        <v/>
      </c>
      <c r="EU117" s="34" t="str">
        <f>IF(ISNUMBER(SnapshotTable[[#This Row],[SC Term]]), SnapshotTable[[#This Row],[SC Exp Date]]- MockToday, "")</f>
        <v/>
      </c>
      <c r="EV117" s="31">
        <f>IF(SnapshotTable[[#This Row],[SC Is Booked]], SnapshotTable[[#This Row],[SC Qty]] * SnapshotTable[[#This Row],[SC Book Price]] * 100, 0)</f>
        <v>0</v>
      </c>
      <c r="EW117" s="4" t="str">
        <f>IF(AND(ISNUMBER(SnapshotTable[[#This Row],[Last Price]]), ISNUMBER( SnapshotTable[[#This Row],[SC Book Price]])), SnapshotTable[[#This Row],[Last Price]] - SnapshotTable[[#This Row],[SC Book Price]],"")</f>
        <v/>
      </c>
      <c r="EX117" s="219" t="str">
        <f>IF(SnapshotTable[[#This Row],[SC Is Booked]],IF(SnapshotTable[[#This Row],[SC Intrinsic Value]] &gt; 0, SnapshotTable[[#This Row],[SC Strike Price]], SnapshotTable[[#This Row],[Last Price]]), "")</f>
        <v/>
      </c>
      <c r="EY117" s="4">
        <f>IF(SnapshotTable[[#This Row],[SC Is Booked]], (MinimumPremiumRequired * SnapshotTable[[#This Row],[SC Basis]] * SnapshotTable[[#This Row],[SC Term]]), 0)</f>
        <v>0</v>
      </c>
      <c r="EZ117" s="268"/>
      <c r="FA117" s="204"/>
      <c r="FB117" s="340"/>
      <c r="FC117" s="4">
        <f>IF(SnapshotTable[[#This Row],[SC Is Filled]], btc_max_buyback_amount(SnapshotTable[[#This Row],[SC Fill Date]],SnapshotTable[[#This Row],[SC Exp Date]], SnapshotTable[[#This Row],[SC Book Price]]),0)</f>
        <v>0</v>
      </c>
      <c r="FD117" s="5"/>
      <c r="FE117" s="142" t="str">
        <f>IF(SnapshotTable[[#This Row],[SC Is Filled]], btc_next_cutoff_date(SnapshotTable[[#This Row],[SC Fill Date]],SnapshotTable[[#This Row],[SC Exp Date]]),"")</f>
        <v/>
      </c>
      <c r="FF117" s="4" t="str" cm="1">
        <f t="array" ref="FF117">IF(SnapshotTable[[#This Row],[SC Is Filled]], btc_should_buy_back(SnapshotTable[[#This Row],[SC Fill Date]], SnapshotTable[[#This Row],[SC Exp Date]], SnapshotTable[[#This Row],[SC Book Price]], SnapshotTable[[#This Row],[SC Current Ask]], MockToday, SnapshotTable[[#This Row],[SC Buyback Override]]),"")</f>
        <v/>
      </c>
      <c r="FG117" s="4">
        <f>IF(SnapshotTable[[#This Row],[SC Is Filled]], MAX(0,SnapshotTable[[#This Row],[Last Price]]  - SnapshotTable[[#This Row],[SC Strike Price]]), 0)</f>
        <v>0</v>
      </c>
      <c r="FH117" s="352">
        <f>IF(SnapshotTable[[#This Row],[SC Is Filled]], IF(ISNUMBER(SnapshotTable[[#This Row],[SC Current Ask]]), SnapshotTable[[#This Row],[SC Current Ask]], SnapshotTable[[#This Row],[SC Book Price]]) - SnapshotTable[[#This Row],[SC Intrinsic Value]], 0)</f>
        <v>0</v>
      </c>
      <c r="FI117" s="141"/>
      <c r="FJ117" s="32" t="str">
        <f>IF(SnapshotTable[[#This Row],[SC Is Filled]],100 * SnapshotTable[[#This Row],[SC Qty]] * IF(ISNUMBER(SnapshotTable[[#This Row],[SC Buyback Override]]), SnapshotTable[[#This Row],[SC Buyback Override]], SnapshotTable[[#This Row],[SC Current Ask]]), "")</f>
        <v/>
      </c>
      <c r="FK117" s="235" t="str">
        <f>IF(SnapshotTable[[#This Row],[SC Time Val]]&gt;0, SnapshotTable[[#This Row],[SC Time Val]] / SnapshotTable[[#This Row],[Last Price]],"")</f>
        <v/>
      </c>
      <c r="FL117" s="280" t="str">
        <f>IF(SnapshotTable[[#This Row],[SC Is Booked]], ((SnapshotTable[[#This Row],[Last Price]] -SnapshotTable[[#This Row],[SC Strike Price]]) / SnapshotTable[[#This Row],[Last Price]]) * -1, "")</f>
        <v/>
      </c>
      <c r="FM117" s="155" t="str">
        <f>IF(SnapshotTable[[#This Row],[SC Is Booked]],  (SnapshotTable[[#This Row],[SC Qty]] * 100 * SnapshotTable[[#This Row],[SC Strike Price]]) - SnapshotTable[[#This Row],[SC Current Ask]], "")</f>
        <v/>
      </c>
      <c r="FN11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7" s="155" t="str">
        <f>IF(AND(ISNUMBER(SnapshotTable[[#This Row],[SC Exercise Gross]]), ISNUMBER(SnapshotTable[[#This Row],[Equity Basis Per Share]] )), SnapshotTable[[#This Row],[SC Exercise Gross]] - SnapshotTable[[#This Row],[Equity Basis Total]] +  SnapshotTable[[#This Row],[SC Premium]], "")</f>
        <v/>
      </c>
      <c r="FP117" s="5" t="str">
        <f>IF(ISNUMBER(SnapshotTable[[#This Row],[SC Exercise Gross]]), (SnapshotTable[[#This Row],[SC Exercise Gross]]) / (SnapshotTable[[#This Row],[SC Qty]] * 100), "")</f>
        <v/>
      </c>
      <c r="FQ117" s="27" t="str">
        <f>IF(SnapshotTable[[#This Row],[SC Is Booked]],SnapshotTable[[#This Row],[SC Time Val]] /SnapshotTable[[#This Row],[SC Basis]], "")</f>
        <v/>
      </c>
      <c r="FR117" s="27" t="str" cm="1">
        <f t="array" ref="FR117">IF(AND(ISNUMBER(SnapshotTable[[#This Row],[SC Term]]),ISNUMBER(SnapshotTable[[#This Row],[SC Simple ROO]])), EllmanAnnualize(SnapshotTable[[#This Row],[SC DTE]], SnapshotTable[[#This Row],[SC Simple ROO]] ),"")</f>
        <v/>
      </c>
      <c r="FS117" s="4">
        <f>IF(SnapshotTable[[#This Row],[SC Strike Price]] &gt; SnapshotTable[[#This Row],[Last Price]], SnapshotTable[[#This Row],[SC Strike Price]] - SnapshotTable[[#This Row],[Last Price]],0)</f>
        <v>0</v>
      </c>
      <c r="FT117" s="27" t="str">
        <f>IF(AND(ISNUMBER(SnapshotTable[[#This Row],[SC Upside Potential]]), SnapshotTable[[#This Row],[SC Upside Potential]] &gt; 0),(SnapshotTable[[#This Row],[SC Upside Potential]]/ SnapshotTable[[#This Row],[ACB]]),"")</f>
        <v/>
      </c>
      <c r="FU117" s="304" t="str">
        <f>IF(SnapshotTable[[#This Row],[SC Intrinsic Value]] &gt; 0,SnapshotTable[[#This Row],[SC Intrinsic Value]],"")</f>
        <v/>
      </c>
      <c r="FV117" s="27" t="str">
        <f>IF(AND( ISNUMBER( SnapshotTable[[#This Row],[ACB]]),ISNUMBER(SnapshotTable[[#This Row],[SC Downside Protect]])),SnapshotTable[[#This Row],[SC Downside Protect]] / SnapshotTable[[#This Row],[ACB]],"")</f>
        <v/>
      </c>
      <c r="FW117" s="221" t="str">
        <f>IF(AND(ISNUMBER(SnapshotTable[[#This Row],[SC Simple ROO]]),SnapshotTable[[#This Row],[SC Simple ROO]] &gt; 0), SnapshotTable[[#This Row],[SC Premium]] + (SnapshotTable[[#This Row],[SC Qty]] * SnapshotTable[[#This Row],[SC Upside Potential]]), "")</f>
        <v/>
      </c>
      <c r="FX117" s="280" t="str" cm="1">
        <f t="array" ref="FX117">IF(ISNUMBER(SnapshotTable[[#This Row],[SC Max Dollars]]), annualize(SnapshotTable[[#This Row],[SC Term]],(SnapshotTable[[#This Row],[SC Max Dollars]]/SnapshotTable[[#This Row],[SC Basis]])),"")</f>
        <v/>
      </c>
      <c r="FY117" s="221" t="str">
        <f>IF(AND(SnapshotTable[[#This Row],[SC Qty]]&gt;0,SnapshotTable[[#This Row],[SC Current Ask]]&gt;0), SnapshotTable[[#This Row],[SC Qty]] * SnapshotTable[[#This Row],[SC Current Ask]] * -100, "")</f>
        <v/>
      </c>
      <c r="FZ117" s="220" t="str">
        <f>IF(ISNUMBER((SnapshotTable[[#This Row],[SC Current Value]])), SnapshotTable[[#This Row],[SC Premium]] + SnapshotTable[[#This Row],[SC Current Value]], "")</f>
        <v/>
      </c>
      <c r="GA117" s="272" t="str">
        <f>IFERROR( IF(ISNUMBER((SnapshotTable[[#This Row],[SC Current Value]])), SnapshotTable[[#This Row],[SC Gain Loss]] / SnapshotTable[[#This Row],[SC Premium]], ""), "")</f>
        <v/>
      </c>
      <c r="GB117" s="288">
        <f>SnapshotTable[[#This Row],[Equity Shares]] * SaleSharesToConsiderPercentage</f>
        <v>0</v>
      </c>
      <c r="GC117" s="289">
        <f>SnapshotTable[[#This Row],[Long Term Target]] * SellingPriceToConsiderBasedOnTargetPercentage</f>
        <v>91.133499999999998</v>
      </c>
      <c r="GD117" s="289">
        <f>SnapshotTable[[#This Row],[Last Price]] * (1+ SellingPriceToConsiderBasedOnTargetPercentage)</f>
        <v>479.25150000000002</v>
      </c>
      <c r="GE117" s="290"/>
      <c r="GF117" s="289"/>
      <c r="GG117" s="31">
        <f>SnapshotTable[[#This Row],[Booked Sale Shares]] * SnapshotTable[[#This Row],[Booked Sale Price]]</f>
        <v>0</v>
      </c>
      <c r="GH117" s="31" t="str">
        <f>IF(SnapshotTable[[#This Row],[Equity Basis Total]] &gt; 0, SnapshotTable[[#This Row],[Equity Basis Per Share]] * SnapshotTable[[#This Row],[Booked Sale Shares]], "")</f>
        <v/>
      </c>
      <c r="GI117" s="31">
        <f>IF(SnapshotTable[[#This Row],[Sale Proceeds]]&gt;0, SnapshotTable[[#This Row],[Sale Proceeds]] - SnapshotTable[[#This Row],[Sale Basis]], 0)</f>
        <v>0</v>
      </c>
      <c r="GJ117" s="156" t="str">
        <f>IF(SnapshotTable[[#This Row],[Sale G/L]]&gt;0, SnapshotTable[[#This Row],[Sale G/L]] / SnapshotTable[[#This Row],[Sale Basis]], IF(ISNUMBER(SnapshotTable[[#This Row],[SC Exercise P&amp;L (TAX)]]), SnapshotTable[[#This Row],[SC Exercise P&amp;L (TAX)]] / SnapshotTable[[#This Row],[SC Basis]], ""))</f>
        <v/>
      </c>
      <c r="GK117" s="27"/>
      <c r="GL117" s="157" t="str">
        <f>IF(AND(SnapshotTable[[#This Row],[LP Exp Date]]&gt;0,SnapshotTable[[#This Row],[LP Strike Price]]&gt;0), [1]!ToOptionSymbol(SnapshotTable[[#This Row],[Symbol]], SnapshotTable[[#This Row],[LP Strike Price]],SnapshotTable[[#This Row],[LP Exp Date]],1), "")</f>
        <v/>
      </c>
      <c r="GM117" s="30" t="str">
        <f>IF(LEN(SnapshotTable[[#This Row],[LP Symbol]])&gt;0, 1, "")</f>
        <v/>
      </c>
      <c r="GN117" s="43" t="str">
        <f>IF(AND(SnapshotTable[[#This Row],[SP Exp Date]]&gt;0,SnapshotTable[[#This Row],[SP Strike Price]]&gt;0), [1]!ToOptionSymbol(SnapshotTable[[#This Row],[Symbol]], SnapshotTable[[#This Row],[SP Strike Price]],SnapshotTable[[#This Row],[SP Exp Date]],1), "")</f>
        <v/>
      </c>
      <c r="GO117" s="30" t="str">
        <f>IF(LEN(SnapshotTable[[#This Row],[SP Symbol]])&gt;0, 1, "")</f>
        <v/>
      </c>
      <c r="GP117" s="157" t="str">
        <f>IF(AND(SnapshotTable[[#This Row],[LC Exp Date]]&gt;0,SnapshotTable[[#This Row],[LC Strike Price]]&gt;0), [1]!ToOptionSymbol(SnapshotTable[[#This Row],[Symbol]], SnapshotTable[[#This Row],[LC Strike Price]],SnapshotTable[[#This Row],[LC Exp Date]],0), "")</f>
        <v/>
      </c>
      <c r="GQ117" s="158" t="str">
        <f>IF(LEN(SnapshotTable[[#This Row],[LC Symbol]])&gt;0, 1, "")</f>
        <v/>
      </c>
      <c r="GR117" s="157" t="str">
        <f>IF(AND(SnapshotTable[[#This Row],[SC Exp Date]]&gt;0,SnapshotTable[[#This Row],[SC Strike Price]]&gt;0), [1]!ToOptionSymbol(SnapshotTable[[#This Row],[Symbol]], SnapshotTable[[#This Row],[SC Strike Price]],SnapshotTable[[#This Row],[SC Exp Date]],0), "")</f>
        <v/>
      </c>
      <c r="GS117" s="158" t="str">
        <f>IF(LEN(SnapshotTable[[#This Row],[SC Symbol]])&gt;0, 1, "")</f>
        <v/>
      </c>
      <c r="GT117" s="159" t="str">
        <f>IF(COUNT(SnapshotTable[[#This Row],[LP Symbol Count]],SnapshotTable[[#This Row],[SP Symbol Count]],SnapshotTable[[#This Row],[LC Symbol Count]],SnapshotTable[[#This Row],[SC Symbol Count]])&gt;0, "Y", "")</f>
        <v/>
      </c>
      <c r="GU1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7" s="216">
        <f>MAX(SnapshotTable[[#This Row],[Equity Basis Total]],SnapshotTable[[#This Row],[Equity Value]]) + (SnapshotTable[[#This Row],[SP Potential Spend]]- SnapshotTable[[#This Row],[SP Premium]] + SnapshotTable[[#This Row],[LP Premium]])+ (SnapshotTable[[#This Row],[LC Premium]] - SnapshotTable[[#This Row],[SC Premium]])</f>
        <v>0</v>
      </c>
      <c r="GW117" s="137" t="str">
        <f>IF(AND(SnapshotTable[[#This Row],[Exposure]] &lt;&gt; 0),SnapshotTable[[#This Row],[Exposure]] / SnapshotTable[[#Totals],[Exposure]], "")</f>
        <v/>
      </c>
      <c r="HE117" s="253"/>
      <c r="HF117" s="253"/>
      <c r="HK117" s="1"/>
      <c r="HL117" s="1"/>
      <c r="HM117" s="1"/>
      <c r="HN117" s="1"/>
      <c r="HO117" s="1"/>
      <c r="HP117" s="1"/>
    </row>
    <row r="118" spans="2:224" ht="12.75" hidden="1" customHeight="1" x14ac:dyDescent="0.25">
      <c r="B118" s="12" t="s">
        <v>428</v>
      </c>
      <c r="C118" s="385">
        <v>607.33000000000004</v>
      </c>
      <c r="D118" s="200" t="s">
        <v>467</v>
      </c>
      <c r="E118" s="39">
        <f>SnapshotTable[[#This Row],[Last Price]]*(1 -CrashDiscount)</f>
        <v>516.23050000000001</v>
      </c>
      <c r="F118" s="26" t="s">
        <v>429</v>
      </c>
      <c r="G118" s="26" t="s">
        <v>13</v>
      </c>
      <c r="H118" s="147"/>
      <c r="I118" s="186">
        <v>44792.28125</v>
      </c>
      <c r="J118" s="187">
        <v>44792.28125</v>
      </c>
      <c r="K118" s="188" t="s">
        <v>3</v>
      </c>
      <c r="L118" s="297"/>
      <c r="M118" s="138"/>
      <c r="N118" s="138"/>
      <c r="O118" s="138"/>
      <c r="P118" s="22"/>
      <c r="Q118" s="25"/>
      <c r="R118" s="4" t="str">
        <f>IF(SnapshotTable[[#This Row],[Equity Basis Total]] &gt; 0, SnapshotTable[[#This Row],[Equity Basis Total]] / SnapshotTable[[#This Row],[Equity Shares]], "")</f>
        <v/>
      </c>
      <c r="S118" s="254">
        <f>SnapshotTable[[#This Row],[Last Price]] * SnapshotTable[[#This Row],[Equity Shares]]</f>
        <v>0</v>
      </c>
      <c r="T118" s="254">
        <f>SnapshotTable[[#This Row],[Equity Value]] - SnapshotTable[[#This Row],[Equity Basis Total]]</f>
        <v>0</v>
      </c>
      <c r="U118" s="255" t="str">
        <f>IF(SnapshotTable[[#This Row],[Equity Basis Total]] &gt; 0, SnapshotTable[[#This Row],[Equity G/L]] / SnapshotTable[[#This Row],[Equity Basis Total]], "")</f>
        <v/>
      </c>
      <c r="V118" s="253">
        <v>430</v>
      </c>
      <c r="W118" s="253">
        <v>406.95</v>
      </c>
      <c r="X118" s="4" t="str">
        <f>IF(AND(ISNUMBER(SnapshotTable[[#This Row],[Equity Basis Per Share]]),ISNUMBER(SnapshotTable[[#This Row],[Equity Target]])),SnapshotTable[[#This Row],[Equity Target]]-SnapshotTable[[#This Row],[Equity Basis Per Share]],"")</f>
        <v/>
      </c>
      <c r="Y118" s="4" t="str">
        <f>IF(AND(ISNUMBER(SnapshotTable[[#This Row],[Equity Basis Per Share]]),ISNUMBER(SnapshotTable[[#This Row],[Equity Stop Loss]])),SnapshotTable[[#This Row],[Equity Stop Loss]]-SnapshotTable[[#This Row],[Equity Basis Per Share]],"")</f>
        <v/>
      </c>
      <c r="Z118" s="260" t="str">
        <f>IFERROR( TEXT(SnapshotTable[[#This Row],[Equity Max Gain Per Share]] /ABS( SnapshotTable[[#This Row],[Equity Max Loss Per Share]]),"0.0 " ) &amp; " : 1", "")</f>
        <v/>
      </c>
      <c r="AA118" s="31" t="str">
        <f>IF(ISNUMBER(SnapshotTable[[#This Row],[Equity Max Gain Per Share]]),SnapshotTable[[#This Row],[Equity Max Gain Per Share]] * SnapshotTable[[#This Row],[Equity Shares]],"")</f>
        <v/>
      </c>
      <c r="AB118" s="31" t="str">
        <f>IF(ISNUMBER(SnapshotTable[[#This Row],[Equity Max Loss Per Share]]),SnapshotTable[[#This Row],[Equity Max Loss Per Share]] * SnapshotTable[[#This Row],[Equity Shares]],"")</f>
        <v/>
      </c>
      <c r="AC118" s="148"/>
      <c r="AD118" s="149"/>
      <c r="AE118" s="31">
        <f>(SnapshotTable[[#This Row],[Annual Dividend Per Share]] / 4) * SnapshotTable[[#This Row],[Equity Shares]]</f>
        <v>0</v>
      </c>
      <c r="AF118" s="31">
        <f>SnapshotTable[[#This Row],[Quarterly Div $]] * 4</f>
        <v>0</v>
      </c>
      <c r="AG118" s="7">
        <f>IF(SnapshotTable[[#This Row],[Annual Dividend Per Share]]&gt;0, SnapshotTable[[#This Row],[Annual Dividend Per Share]]  / SnapshotTable[[#This Row],[Last Price]], 0)</f>
        <v>0</v>
      </c>
      <c r="AH118" s="149"/>
      <c r="AI118" s="5"/>
      <c r="AJ118" s="136">
        <v>437.3</v>
      </c>
      <c r="AK118" s="150" t="str">
        <f>IF(ISNUMBER( SnapshotTable[[#This Row],[EBF Target]]),(SnapshotTable[[#This Row],[EBF Target]] - SnapshotTable[[#This Row],[Last Price]]) / SnapshotTable[[#This Row],[Last Price]], "")</f>
        <v/>
      </c>
      <c r="AL118" s="150" t="str">
        <f>IF(AND(SnapshotTable[[#This Row],[Equity Basis Total]] &gt; 0,ISNUMBER( SnapshotTable[[#This Row],[Long Term Target]])), SnapshotTable[[#This Row],[From Basis $]] / SnapshotTable[[#This Row],[Equity Basis Total]], "")</f>
        <v/>
      </c>
      <c r="AM118" s="9">
        <f>IF( AND(SnapshotTable[[#This Row],[Equity Shares]] &gt;0,ISNUMBER( SnapshotTable[[#This Row],[Long Term Target]])),(SnapshotTable[[#This Row],[Equity Shares]] * SnapshotTable[[#This Row],[Long Term Target]]) - SnapshotTable[[#This Row],[Equity Basis Total]],0)</f>
        <v>0</v>
      </c>
      <c r="AN118" s="9">
        <f>IF( AND(SnapshotTable[[#This Row],[Equity Shares]] &gt;0,ISNUMBER( SnapshotTable[[#This Row],[Long Term Target]])),(SnapshotTable[[#This Row],[Equity Shares]]*SnapshotTable[[#This Row],[Long Term Target]]) - SnapshotTable[[#This Row],[Equity Value]],0)</f>
        <v>0</v>
      </c>
      <c r="AO118" s="150">
        <f>IF(AND(ISNUMBER( SnapshotTable[[#This Row],[Long Term Target]]), ISNUMBER(SnapshotTable[[#This Row],[Last Price]])),(SnapshotTable[[#This Row],[Long Term Target]] - SnapshotTable[[#This Row],[Last Price]]) / SnapshotTable[[#This Row],[Last Price]], "")</f>
        <v>-0.27996311725091799</v>
      </c>
      <c r="AP118" s="5">
        <v>340</v>
      </c>
      <c r="AQ118" s="38" t="s">
        <v>16</v>
      </c>
      <c r="AR118" s="5">
        <v>340</v>
      </c>
      <c r="AS118" s="38" t="s">
        <v>22</v>
      </c>
      <c r="AT118" s="144" t="s">
        <v>442</v>
      </c>
      <c r="AU118" s="185" t="str">
        <f>IF(OR(SnapshotTable[[#This Row],[LP No Fill]]="Y",SnapshotTable[[#This Row],[SP Is Filled]],SnapshotTable[[#This Row],[LC Not Filled]]="Y",SnapshotTable[[#This Row],[SC Is Filled]]),"Y","")</f>
        <v/>
      </c>
      <c r="AV118" s="205"/>
      <c r="AW118" s="211"/>
      <c r="AX118" s="206"/>
      <c r="AY118" s="205" t="str">
        <f>IF(SnapshotTable[[#This Row],[Implied Move]]&gt;0, SnapshotTable[[#This Row],[Last Price]]-SnapshotTable[[#This Row],[Implied Move]],"")</f>
        <v/>
      </c>
      <c r="AZ118" s="205" t="str">
        <f>IF(SnapshotTable[[#This Row],[Implied Move]]&gt;0, SnapshotTable[[#This Row],[Last Price]] + SnapshotTable[[#This Row],[Implied Move]],"")</f>
        <v/>
      </c>
      <c r="BA118" s="302">
        <v>401.27</v>
      </c>
      <c r="BB118" s="318"/>
      <c r="BC1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8" s="321"/>
      <c r="BE118" s="5"/>
      <c r="BF118" s="14"/>
      <c r="BG118" s="13"/>
      <c r="BH118" s="13"/>
      <c r="BI118" s="5"/>
      <c r="BJ118" s="134">
        <f>IF(SnapshotTable[[#This Row],[LP Qty]] &gt; 0, SnapshotTable[[#This Row],[LP Qty]] * SnapshotTable[[#This Row],[LP Book Price]] * 100,0)</f>
        <v>0</v>
      </c>
      <c r="BK118" s="134">
        <f>IF(SnapshotTable[[#This Row],[LP Premium]] &gt; 0, SnapshotTable[[#This Row],[LP Qty]] * SnapshotTable[[#This Row],[LP Strike Price]] * 100,0)</f>
        <v>0</v>
      </c>
      <c r="BL118" s="152"/>
      <c r="BM118" s="355" t="str">
        <f>IF(SnapshotTable[[#This Row],[LP Premium]] &gt; 0,SnapshotTable[[#This Row],[LP Exp Date]]-MAX(SnapshotTable[[#This Row],[LP Book Date]], SnapshotTable[[#This Row],[LP Fill Date]]),"")</f>
        <v/>
      </c>
      <c r="BN118" s="355" t="str">
        <f>IF(ISNUMBER( SnapshotTable[[#This Row],[LP Term]]), SnapshotTable[[#This Row],[LP Exp Date]] - MockToday,"")</f>
        <v/>
      </c>
      <c r="BO118" s="161" t="str">
        <f>IF(AND(SnapshotTable[[#This Row],[LP Exp Date]]&gt;0, SnapshotTable[[#This Row],[LP Strike Price]]&gt;0,SnapshotTable[[#This Row],[LP Qty]]&gt;0,SnapshotTable[[#This Row],[LP Book Date]]&gt;0,SnapshotTable[[#This Row],[LP Book Price]]&gt;0,SnapshotTable[[#This Row],[LP Fill Date]]=0),"Y","")</f>
        <v/>
      </c>
      <c r="BP118" s="31" t="str">
        <f>IF(AND(SnapshotTable[[#This Row],[LP No Fill]]&lt;&gt;"Y",SnapshotTable[[#This Row],[LP Contract Value]]&gt;0, SnapshotTable[[#This Row],[LP Qty]]&gt;0), SnapshotTable[[#This Row],[LP Contract Value]]*SnapshotTable[[#This Row],[LP Qty]]*100,"")</f>
        <v/>
      </c>
      <c r="BQ118" s="13"/>
      <c r="BR118" s="5"/>
      <c r="BS118" s="36"/>
      <c r="BT118" s="145"/>
      <c r="BU118" s="13"/>
      <c r="BV118" s="5"/>
      <c r="BW118" s="382" t="b">
        <f>AND(ISNUMBER(SnapshotTable[[#This Row],[SP Exp Date]]), ISNUMBER(SnapshotTable[[#This Row],[SP Strike Price]]), ISNUMBER(SnapshotTable[[#This Row],[SP Qty]]), ISNUMBER(SnapshotTable[[#This Row],[SP Book Date]]), ISNUMBER(SnapshotTable[[#This Row],[SP Book Price]]))</f>
        <v>0</v>
      </c>
      <c r="BX118" s="382" t="b">
        <f>AND(SnapshotTable[[#This Row],[SP Is Booked]], NOT(ISBLANK(SnapshotTable[[#This Row],[SP Fill Date]])))</f>
        <v>0</v>
      </c>
      <c r="BY118" s="33">
        <f>IF(SnapshotTable[[#This Row],[SP Is Booked]], SnapshotTable[[#This Row],[SP Qty]] * SnapshotTable[[#This Row],[SP Book Price]] * 100, 0)</f>
        <v>0</v>
      </c>
      <c r="BZ118" s="339"/>
      <c r="CA118" s="338">
        <f>SnapshotTable[[#This Row],[LP Qty]]</f>
        <v>0</v>
      </c>
      <c r="CB118" s="4" t="str">
        <f>IF(SnapshotTable[[#This Row],[SP Is Booked]], SnapshotTable[[#This Row],[SP Strike Price]] - SnapshotTable[[#This Row],[SP Book Price]], "")</f>
        <v/>
      </c>
      <c r="CC118" s="19" t="str">
        <f>IF(SnapshotTable[[#This Row],[SP Is Booked]],SnapshotTable[[#This Row],[SP Exp Date]]-MAX(SnapshotTable[[#This Row],[SP Book Date]], SnapshotTable[[#This Row],[SP Fill Date]]),"")</f>
        <v/>
      </c>
      <c r="CD118" s="7" t="str">
        <f>IF(SnapshotTable[[#This Row],[SP Is Booked]], SnapshotTable[[#This Row],[SP Book Price]]/SnapshotTable[[#This Row],[SP Strike Price]], "")</f>
        <v/>
      </c>
      <c r="CE118" s="7" t="str">
        <f>IF(ISNUMBER(SnapshotTable[[#This Row],[SP ROO Term]]),SnapshotTable[[#This Row],[SP ROO Term]]*(365/SnapshotTable[[#This Row],[SP Term]]),"")</f>
        <v/>
      </c>
      <c r="CF118" s="221">
        <f>SnapshotTable[[#This Row],[LP Strike Price]] * SnapshotTable[[#This Row],[LP Qty]] * 100</f>
        <v>0</v>
      </c>
      <c r="CG118" s="31">
        <f>IF(ISNUMBER(SnapshotTable[[#This Row],[SP Premium]]), (SnapshotTable[[#This Row],[SP Qty]] * SnapshotTable[[#This Row],[SP Strike Price]]* 100) - SnapshotTable[[#This Row],[LP Protection]], 0)</f>
        <v>0</v>
      </c>
      <c r="CH118" s="7" t="str">
        <f>IF(ISNUMBER(SnapshotTable[[#This Row],[SP Break Even]]),-1 * (SnapshotTable[[#This Row],[SP Break Even]] - SnapshotTable[[#This Row],[Last Price]]) / SnapshotTable[[#This Row],[Last Price]], "")</f>
        <v/>
      </c>
      <c r="CI118" s="31">
        <f>IF(AND(ISNUMBER((SnapshotTable[[#This Row],[SP Potential Spend]])), SnapshotTable[[#This Row],[SP Strike Price]] &gt; SnapshotTable[[#This Row],[Last Price]], SnapshotTable[[#This Row],[SP Is Filled]]), SnapshotTable[[#This Row],[SP Potential Spend]] -  SnapshotTable[[#This Row],[LP Max Value]], 0)</f>
        <v>0</v>
      </c>
      <c r="CJ118" s="229"/>
      <c r="CK118" s="31">
        <f>IF(ISNUMBER(SnapshotTable[[#This Row],[SP Potential Spend]]),IF(ISNUMBER(SnapshotTable[[#This Row],[SP POW]]), SnapshotTable[[#This Row],[SP POW]] * SnapshotTable[[#This Row],[SP Potential Spend]], SnapshotTable[[#This Row],[SP Potential Spend]]), "")</f>
        <v>0</v>
      </c>
      <c r="CL118" s="162">
        <f>IF(NOT(SnapshotTable[[#This Row],[SP Is Filled]]),(SnapshotTable[[#This Row],[SP Qty]] * SnapshotTable[[#This Row],[SP Strike Price]] * 100) - SnapshotTable[[#This Row],[LP Max Value]],"")</f>
        <v>0</v>
      </c>
      <c r="CM118" s="31" t="str">
        <f>IF(SnapshotTable[[#This Row],[SP Actual Spend]]&lt;&gt;0, ((SnapshotTable[[#This Row],[SP Strike Price]]-SnapshotTable[[#This Row],[Last Price]]) *(SnapshotTable[[#This Row],[SP Qty]]*100) - SnapshotTable[[#This Row],[SP Premium]]) * - 1, "")</f>
        <v/>
      </c>
      <c r="CN118" s="76"/>
      <c r="CO118" s="339"/>
      <c r="CP118" s="4" t="str">
        <f>IF(SnapshotTable[[#This Row],[SP Is Filled]], btc_max_buyback_amount(SnapshotTable[[#This Row],[SP Fill Date]],SnapshotTable[[#This Row],[SP Exp Date]], SnapshotTable[[#This Row],[SP Book Price]]),"")</f>
        <v/>
      </c>
      <c r="CQ118" s="76"/>
      <c r="CR1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8" s="153" t="str">
        <f>IF(SnapshotTable[[#This Row],[SP Is Filled]], btc_next_cutoff_date(SnapshotTable[[#This Row],[SP Fill Date]],SnapshotTable[[#This Row],[SP Exp Date]]),"")</f>
        <v/>
      </c>
      <c r="CT118" s="220" t="str" cm="1">
        <f t="array" ref="CT118">IF(SnapshotTable[[#This Row],[SP Is Filled]], btc_should_buy_back(SnapshotTable[[#This Row],[SP Fill Date]], SnapshotTable[[#This Row],[SP Exp Date]], SnapshotTable[[#This Row],[SP Book Price]], SnapshotTable[[#This Row],[SP Current Ask]], MockToday, SnapshotTable[[#This Row],[SP Buyback Override]]),"")</f>
        <v/>
      </c>
      <c r="CU118" s="141"/>
      <c r="CV118" s="220"/>
      <c r="CW118" s="348" t="str">
        <f>IF(ISNUMBER( SnapshotTable[[#This Row],[SP Term]]), SnapshotTable[[#This Row],[SP Exp Date]] - MockToday,"")</f>
        <v/>
      </c>
      <c r="CX118" s="31" t="str">
        <f>IF(SnapshotTable[[#This Row],[SP Is Filled]],SnapshotTable[[#This Row],[SP Buyback Price to Use]] * 100 * SnapshotTable[[#This Row],[SP Qty]], "")</f>
        <v/>
      </c>
      <c r="CY118" s="4" t="str">
        <f>IF(ISNUMBER(SnapshotTable[[#This Row],[SP Strike Price]]), SnapshotTable[[#This Row],[SP Strike Price]] * (1 - SP_MaxLoss_StrikePct), "")</f>
        <v/>
      </c>
      <c r="CZ118" s="31" t="str">
        <f>IF(ISNUMBER(SnapshotTable[[#This Row],[SP Strike  Stop Per Share]]),SnapshotTable[[#This Row],[SP Premium]] - ((SnapshotTable[[#This Row],[SP Strike Price]]-SnapshotTable[[#This Row],[SP Strike  Stop Per Share]]) *(SnapshotTable[[#This Row],[SP Qty]] * 100)),"")</f>
        <v/>
      </c>
      <c r="DA118" s="4" t="str">
        <f>IF(AND(ISNUMBER(SnapshotTable[[#This Row],[SP Premium]]),SnapshotTable[[#This Row],[SP Premium]]&gt;0), SnapshotTable[[#This Row],[SP Book Price]] * (1 + SP_MaxLoss_OptionPct), "")</f>
        <v/>
      </c>
      <c r="DB118" s="31" t="str">
        <f>IF(ISNUMBER(SnapshotTable[[#This Row],[SP Option  Stop Contract]]),(SnapshotTable[[#This Row],[SP Option  Stop Contract]] *(SnapshotTable[[#This Row],[SP Qty]] * 100) - SnapshotTable[[#This Row],[SP Premium]]),"")</f>
        <v/>
      </c>
      <c r="DC118" s="4"/>
      <c r="DD118" s="4"/>
      <c r="DE118" s="4" t="str">
        <f>IF(AND(SnapshotTable[[#This Row],[SP Qty]]&gt;0, SnapshotTable[[#This Row],[SP Stop To Use]]&gt;0),SnapshotTable[[#This Row],[SP Premium]] - ( SnapshotTable[[#This Row],[SP Qty]] * SnapshotTable[[#This Row],[SP Stop To Use]] * 100), "")</f>
        <v/>
      </c>
      <c r="DF118" s="31" t="str">
        <f>IF(AND(SnapshotTable[[#This Row],[SP Qty]]&gt;0,SnapshotTable[[#This Row],[SP Current Ask]]&gt;0), SnapshotTable[[#This Row],[SP Qty]] * SnapshotTable[[#This Row],[SP Current Ask]] * -100, "")</f>
        <v/>
      </c>
      <c r="DG118" s="31" t="str">
        <f>IF(ISNUMBER((SnapshotTable[[#This Row],[SP Total Value]])), SnapshotTable[[#This Row],[SP Premium]] + SnapshotTable[[#This Row],[SP Total Value]], "")</f>
        <v/>
      </c>
      <c r="DH118" s="272" t="str">
        <f>IF(ISNUMBER((SnapshotTable[[#This Row],[SP Total Value]])), SnapshotTable[[#This Row],[SP Gain Loss]] / SnapshotTable[[#This Row],[SP Premium]], "")</f>
        <v/>
      </c>
      <c r="DI118" s="369"/>
      <c r="DJ118" s="136"/>
      <c r="DK118" s="146"/>
      <c r="DL118" s="13"/>
      <c r="DM118" s="13"/>
      <c r="DO118" s="31">
        <f>IF(SnapshotTable[[#This Row],[LC Symbol Count]]=1, SnapshotTable[[#This Row],[LC Qty]] * SnapshotTable[[#This Row],[LC Book Price]] * 100, 0)</f>
        <v>0</v>
      </c>
      <c r="DP118" s="161" t="str">
        <f>IF(AND(SnapshotTable[[#This Row],[LC Exp Date]]&gt;0, SnapshotTable[[#This Row],[LC Strike Price]]&gt;0,SnapshotTable[[#This Row],[LC Qty]]&gt;0,SnapshotTable[[#This Row],[LC Book Date]]&gt;0,SnapshotTable[[#This Row],[LC Book Price]]&gt;0,SnapshotTable[[#This Row],[LC Fill Date]]=0),"Y","")</f>
        <v/>
      </c>
      <c r="DQ118" s="356" t="str">
        <f>IF(SnapshotTable[[#This Row],[LC Premium]] &gt; 0,SnapshotTable[[#This Row],[LC Exp Date]]-MAX(SnapshotTable[[#This Row],[LC Book Date]], SnapshotTable[[#This Row],[LC Fill Date]]),"")</f>
        <v/>
      </c>
      <c r="DR118" s="356" t="str">
        <f>IF(ISNUMBER(SnapshotTable[[#This Row],[LC Term]]), SnapshotTable[[#This Row],[LC Exp Date]] - MockToday, "")</f>
        <v/>
      </c>
      <c r="DS118" s="219" t="str">
        <f>IF(SnapshotTable[[#This Row],[LC Premium]]&gt;0,SnapshotTable[[#This Row],[LC Strike Price]] + SnapshotTable[[#This Row],[LC Book Price]],"")</f>
        <v/>
      </c>
      <c r="DU118" s="9" t="str">
        <f>IF(AND(SnapshotTable[[#This Row],[LC Symbol Count]]&gt;0, SnapshotTable[[#This Row],[LC Contract Value]]&gt;0), SnapshotTable[[#This Row],[LC Contract Value]] * SnapshotTable[[#This Row],[LC Qty]] * 100, "")</f>
        <v/>
      </c>
      <c r="DV118" s="9" t="str">
        <f>IF(AND(ISNUMBER(SnapshotTable[[#This Row],[LC Total Value]]), SnapshotTable[[#This Row],[LC Not Filled]]&lt;&gt;"Y"), SnapshotTable[[#This Row],[LC Total Value]]-SnapshotTable[[#This Row],[LC Premium]],"")</f>
        <v/>
      </c>
      <c r="DW118" s="225" t="str">
        <f>IF(ISNUMBER(SnapshotTable[[#This Row],[LC Actual Gain Loss]]), SnapshotTable[[#This Row],[LC Actual Gain Loss]] / SnapshotTable[[#This Row],[LC Premium]],"")</f>
        <v/>
      </c>
      <c r="DX118" s="269" t="str">
        <f>IF(ISNUMBER(SnapshotTable[[#This Row],[LC Book Price]]),SnapshotTable[[#This Row],[LC Book Price]] * 1.5,"")</f>
        <v/>
      </c>
      <c r="DY118" s="250" t="str">
        <f>IF(SnapshotTable[[#This Row],[LC Premium]]&gt;0, SnapshotTable[[#This Row],[LC Next Target]] * SnapshotTable[[#This Row],[LC Qty]] * 100,"")</f>
        <v/>
      </c>
      <c r="DZ118" s="250" t="str">
        <f>IF(ISNUMBER(SnapshotTable[[#This Row],[LC Target Gross]]), SnapshotTable[[#This Row],[LC Target Gross]] - SnapshotTable[[#This Row],[LC Premium]], "")</f>
        <v/>
      </c>
      <c r="EA118" s="283" t="str">
        <f>IF(ISNUMBER(SnapshotTable[[#This Row],[LC Target Gain Loss]]), SnapshotTable[[#This Row],[LC Target Gain Loss]]/SnapshotTable[[#This Row],[LC Premium]], "")</f>
        <v/>
      </c>
      <c r="EB118" s="247"/>
      <c r="EC118" s="268" t="str">
        <f>IF(SnapshotTable[[#This Row],[LC Premium]]&gt;0, SnapshotTable[[#This Row],[LC Book Price]] * (1 - LC_StopLoss_Pct),"")</f>
        <v/>
      </c>
      <c r="ED118" s="269"/>
      <c r="EE118" s="268" t="str">
        <f>IF(ISNUMBER(SnapshotTable[[#This Row],[LC Contract Value]]),IF(ISNUMBER(SnapshotTable[[#This Row],[LC Stop Loss Override]]), SnapshotTable[[#This Row],[LC Stop Loss Override]],SnapshotTable[[#This Row],[LC Stop Loss Calc Target]]),"")</f>
        <v/>
      </c>
      <c r="EF118" s="31" t="str">
        <f>IF(ISNUMBER(SnapshotTable[[#This Row],[LC Stop  To Use]]), (SnapshotTable[[#This Row],[LC Stop  To Use]] * SnapshotTable[[#This Row],[LC Qty]] * 100),"")</f>
        <v/>
      </c>
      <c r="EG118" s="9" t="str">
        <f>IF(ISNUMBER(SnapshotTable[[#This Row],[LC Total Value]]),SnapshotTable[[#This Row],[LC Stop Loss Amount]] - SnapshotTable[[#This Row],[LC Premium]],"")</f>
        <v/>
      </c>
      <c r="EH118" s="9">
        <f>IF(ISNUMBER(SnapshotTable[[#This Row],[LC Premium]]), SnapshotTable[[#This Row],[LC Qty]] * 100 * SnapshotTable[[#This Row],[LC Strike Price]], "")</f>
        <v>0</v>
      </c>
      <c r="EI118" s="225" t="str">
        <f>IF(AND(ISNUMBER(SnapshotTable[[#This Row],[LC Total Value]]),SnapshotTable[[#This Row],[LC Total Value]]&gt;0),SnapshotTable[[#This Row],[LC Stop Gain Loss]]  / SnapshotTable[[#This Row],[LC Premium]],"")</f>
        <v/>
      </c>
      <c r="EJ118" s="35">
        <f>IF(ISNUMBER(SnapshotTable[[#This Row],[Equity Shares]]),TRUNC(SnapshotTable[[#This Row],[Equity Shares]] / 100),0) + SnapshotTable[[#This Row],[LC Qty]]</f>
        <v>0</v>
      </c>
      <c r="EK118" s="145"/>
      <c r="EL118" s="136"/>
      <c r="EM118" s="146"/>
      <c r="EN118" s="145"/>
      <c r="EO118" s="145"/>
      <c r="EP118" s="136"/>
      <c r="EQ118" s="382" t="b">
        <f>AND(ISNUMBER(SnapshotTable[[#This Row],[SC Exp Date]]), ISNUMBER(SnapshotTable[[#This Row],[SC Strike Price]]), ISNUMBER(SnapshotTable[[#This Row],[SC Qty]]), ISNUMBER(SnapshotTable[[#This Row],[SC Book Date]]), ISNUMBER(SnapshotTable[[#This Row],[SC Book Price]]))</f>
        <v>0</v>
      </c>
      <c r="ER118" s="382" t="b">
        <f>AND(SnapshotTable[[#This Row],[SC Is Booked]], NOT(ISBLANK(SnapshotTable[[#This Row],[SC Fill Date]])))</f>
        <v>0</v>
      </c>
      <c r="ES118" s="340"/>
      <c r="ET118" s="34" t="str">
        <f>IF(AND(ISNUMBER(SnapshotTable[[#This Row],[SC Exp Date]]), ISNUMBER(SnapshotTable[[#This Row],[SC Book Date]])), SnapshotTable[[#This Row],[SC Exp Date]] - MAX(SnapshotTable[[#This Row],[SC Book Date]], SnapshotTable[[#This Row],[SC Fill Date]]) + 1, "")</f>
        <v/>
      </c>
      <c r="EU118" s="34" t="str">
        <f>IF(ISNUMBER(SnapshotTable[[#This Row],[SC Term]]), SnapshotTable[[#This Row],[SC Exp Date]]- MockToday, "")</f>
        <v/>
      </c>
      <c r="EV118" s="31">
        <f>IF(SnapshotTable[[#This Row],[SC Is Booked]], SnapshotTable[[#This Row],[SC Qty]] * SnapshotTable[[#This Row],[SC Book Price]] * 100, 0)</f>
        <v>0</v>
      </c>
      <c r="EW118" s="4" t="str">
        <f>IF(AND(ISNUMBER(SnapshotTable[[#This Row],[Last Price]]), ISNUMBER( SnapshotTable[[#This Row],[SC Book Price]])), SnapshotTable[[#This Row],[Last Price]] - SnapshotTable[[#This Row],[SC Book Price]],"")</f>
        <v/>
      </c>
      <c r="EX118" s="219" t="str">
        <f>IF(SnapshotTable[[#This Row],[SC Is Booked]],IF(SnapshotTable[[#This Row],[SC Intrinsic Value]] &gt; 0, SnapshotTable[[#This Row],[SC Strike Price]], SnapshotTable[[#This Row],[Last Price]]), "")</f>
        <v/>
      </c>
      <c r="EY118" s="4">
        <f>IF(SnapshotTable[[#This Row],[SC Is Booked]], (MinimumPremiumRequired * SnapshotTable[[#This Row],[SC Basis]] * SnapshotTable[[#This Row],[SC Term]]), 0)</f>
        <v>0</v>
      </c>
      <c r="EZ118" s="268"/>
      <c r="FA118" s="204"/>
      <c r="FB118" s="340"/>
      <c r="FC118" s="4">
        <f>IF(SnapshotTable[[#This Row],[SC Is Filled]], btc_max_buyback_amount(SnapshotTable[[#This Row],[SC Fill Date]],SnapshotTable[[#This Row],[SC Exp Date]], SnapshotTable[[#This Row],[SC Book Price]]),0)</f>
        <v>0</v>
      </c>
      <c r="FD118" s="5"/>
      <c r="FE118" s="142" t="str">
        <f>IF(SnapshotTable[[#This Row],[SC Is Filled]], btc_next_cutoff_date(SnapshotTable[[#This Row],[SC Fill Date]],SnapshotTable[[#This Row],[SC Exp Date]]),"")</f>
        <v/>
      </c>
      <c r="FF118" s="4" t="str" cm="1">
        <f t="array" ref="FF118">IF(SnapshotTable[[#This Row],[SC Is Filled]], btc_should_buy_back(SnapshotTable[[#This Row],[SC Fill Date]], SnapshotTable[[#This Row],[SC Exp Date]], SnapshotTable[[#This Row],[SC Book Price]], SnapshotTable[[#This Row],[SC Current Ask]], MockToday, SnapshotTable[[#This Row],[SC Buyback Override]]),"")</f>
        <v/>
      </c>
      <c r="FG118" s="4">
        <f>IF(SnapshotTable[[#This Row],[SC Is Filled]], MAX(0,SnapshotTable[[#This Row],[Last Price]]  - SnapshotTable[[#This Row],[SC Strike Price]]), 0)</f>
        <v>0</v>
      </c>
      <c r="FH118" s="352">
        <f>IF(SnapshotTable[[#This Row],[SC Is Filled]], IF(ISNUMBER(SnapshotTable[[#This Row],[SC Current Ask]]), SnapshotTable[[#This Row],[SC Current Ask]], SnapshotTable[[#This Row],[SC Book Price]]) - SnapshotTable[[#This Row],[SC Intrinsic Value]], 0)</f>
        <v>0</v>
      </c>
      <c r="FI118" s="141"/>
      <c r="FJ118" s="32" t="str">
        <f>IF(SnapshotTable[[#This Row],[SC Is Filled]],100 * SnapshotTable[[#This Row],[SC Qty]] * IF(ISNUMBER(SnapshotTable[[#This Row],[SC Buyback Override]]), SnapshotTable[[#This Row],[SC Buyback Override]], SnapshotTable[[#This Row],[SC Current Ask]]), "")</f>
        <v/>
      </c>
      <c r="FK118" s="235" t="str">
        <f>IF(SnapshotTable[[#This Row],[SC Time Val]]&gt;0, SnapshotTable[[#This Row],[SC Time Val]] / SnapshotTable[[#This Row],[Last Price]],"")</f>
        <v/>
      </c>
      <c r="FL118" s="280" t="str">
        <f>IF(SnapshotTable[[#This Row],[SC Is Booked]], ((SnapshotTable[[#This Row],[Last Price]] -SnapshotTable[[#This Row],[SC Strike Price]]) / SnapshotTable[[#This Row],[Last Price]]) * -1, "")</f>
        <v/>
      </c>
      <c r="FM118" s="155" t="str">
        <f>IF(SnapshotTable[[#This Row],[SC Is Booked]],  (SnapshotTable[[#This Row],[SC Qty]] * 100 * SnapshotTable[[#This Row],[SC Strike Price]]) - SnapshotTable[[#This Row],[SC Current Ask]], "")</f>
        <v/>
      </c>
      <c r="FN1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8" s="31" t="str">
        <f>IF(AND(ISNUMBER(SnapshotTable[[#This Row],[SC Exercise Gross]]), ISNUMBER(SnapshotTable[[#This Row],[Equity Basis Per Share]] )), SnapshotTable[[#This Row],[SC Exercise Gross]] - SnapshotTable[[#This Row],[Equity Basis Total]] +  SnapshotTable[[#This Row],[SC Premium]], "")</f>
        <v/>
      </c>
      <c r="FP118" s="5" t="str">
        <f>IF(ISNUMBER(SnapshotTable[[#This Row],[SC Exercise Gross]]), (SnapshotTable[[#This Row],[SC Exercise Gross]]) / (SnapshotTable[[#This Row],[SC Qty]] * 100), "")</f>
        <v/>
      </c>
      <c r="FQ118" s="27" t="str">
        <f>IF(SnapshotTable[[#This Row],[SC Is Booked]],SnapshotTable[[#This Row],[SC Time Val]] /SnapshotTable[[#This Row],[SC Basis]], "")</f>
        <v/>
      </c>
      <c r="FR118" s="27" t="str" cm="1">
        <f t="array" ref="FR118">IF(AND(ISNUMBER(SnapshotTable[[#This Row],[SC Term]]),ISNUMBER(SnapshotTable[[#This Row],[SC Simple ROO]])), EllmanAnnualize(SnapshotTable[[#This Row],[SC DTE]], SnapshotTable[[#This Row],[SC Simple ROO]] ),"")</f>
        <v/>
      </c>
      <c r="FS118" s="4">
        <f>IF(SnapshotTable[[#This Row],[SC Strike Price]] &gt; SnapshotTable[[#This Row],[Last Price]], SnapshotTable[[#This Row],[SC Strike Price]] - SnapshotTable[[#This Row],[Last Price]],0)</f>
        <v>0</v>
      </c>
      <c r="FT118" s="27" t="str">
        <f>IF(AND(ISNUMBER(SnapshotTable[[#This Row],[SC Upside Potential]]), SnapshotTable[[#This Row],[SC Upside Potential]] &gt; 0),(SnapshotTable[[#This Row],[SC Upside Potential]]/ SnapshotTable[[#This Row],[ACB]]),"")</f>
        <v/>
      </c>
      <c r="FU118" s="304" t="str">
        <f>IF(SnapshotTable[[#This Row],[SC Intrinsic Value]] &gt; 0,SnapshotTable[[#This Row],[SC Intrinsic Value]],"")</f>
        <v/>
      </c>
      <c r="FV118" s="27" t="str">
        <f>IF(AND( ISNUMBER( SnapshotTable[[#This Row],[ACB]]),ISNUMBER(SnapshotTable[[#This Row],[SC Downside Protect]])),SnapshotTable[[#This Row],[SC Downside Protect]] / SnapshotTable[[#This Row],[ACB]],"")</f>
        <v/>
      </c>
      <c r="FW118" s="221" t="str">
        <f>IF(AND(ISNUMBER(SnapshotTable[[#This Row],[SC Simple ROO]]),SnapshotTable[[#This Row],[SC Simple ROO]] &gt; 0), SnapshotTable[[#This Row],[SC Premium]] + (SnapshotTable[[#This Row],[SC Qty]] * SnapshotTable[[#This Row],[SC Upside Potential]]), "")</f>
        <v/>
      </c>
      <c r="FX118" s="280" t="str" cm="1">
        <f t="array" ref="FX118">IF(ISNUMBER(SnapshotTable[[#This Row],[SC Max Dollars]]), annualize(SnapshotTable[[#This Row],[SC Term]],(SnapshotTable[[#This Row],[SC Max Dollars]]/SnapshotTable[[#This Row],[SC Basis]])),"")</f>
        <v/>
      </c>
      <c r="FY118" s="221" t="str">
        <f>IF(AND(SnapshotTable[[#This Row],[SC Qty]]&gt;0,SnapshotTable[[#This Row],[SC Current Ask]]&gt;0), SnapshotTable[[#This Row],[SC Qty]] * SnapshotTable[[#This Row],[SC Current Ask]] * -100, "")</f>
        <v/>
      </c>
      <c r="FZ118" s="31" t="str">
        <f>IF(ISNUMBER((SnapshotTable[[#This Row],[SC Current Value]])), SnapshotTable[[#This Row],[SC Premium]] + SnapshotTable[[#This Row],[SC Current Value]], "")</f>
        <v/>
      </c>
      <c r="GA118" s="272" t="str">
        <f>IFERROR( IF(ISNUMBER((SnapshotTable[[#This Row],[SC Current Value]])), SnapshotTable[[#This Row],[SC Gain Loss]] / SnapshotTable[[#This Row],[SC Premium]], ""), "")</f>
        <v/>
      </c>
      <c r="GB118" s="42">
        <f>SnapshotTable[[#This Row],[Equity Shares]] * SaleSharesToConsiderPercentage</f>
        <v>0</v>
      </c>
      <c r="GC118" s="40">
        <f>SnapshotTable[[#This Row],[Long Term Target]] * SellingPriceToConsiderBasedOnTargetPercentage</f>
        <v>415.435</v>
      </c>
      <c r="GD118" s="40">
        <f>SnapshotTable[[#This Row],[Last Price]] * (1+ SellingPriceToConsiderBasedOnTargetPercentage)</f>
        <v>1184.2935</v>
      </c>
      <c r="GE118" s="41"/>
      <c r="GF118" s="40"/>
      <c r="GG118" s="31">
        <f>SnapshotTable[[#This Row],[Booked Sale Shares]] * SnapshotTable[[#This Row],[Booked Sale Price]]</f>
        <v>0</v>
      </c>
      <c r="GH118" s="31" t="str">
        <f>IF(SnapshotTable[[#This Row],[Equity Basis Total]] &gt; 0, SnapshotTable[[#This Row],[Equity Basis Per Share]] * SnapshotTable[[#This Row],[Booked Sale Shares]], "")</f>
        <v/>
      </c>
      <c r="GI118" s="31">
        <f>IF(SnapshotTable[[#This Row],[Sale Proceeds]]&gt;0, SnapshotTable[[#This Row],[Sale Proceeds]] - SnapshotTable[[#This Row],[Sale Basis]], 0)</f>
        <v>0</v>
      </c>
      <c r="GJ118" s="27" t="str">
        <f>IF(SnapshotTable[[#This Row],[Sale G/L]]&gt;0, SnapshotTable[[#This Row],[Sale G/L]] / SnapshotTable[[#This Row],[Sale Basis]], IF(ISNUMBER(SnapshotTable[[#This Row],[SC Exercise P&amp;L (TAX)]]), SnapshotTable[[#This Row],[SC Exercise P&amp;L (TAX)]] / SnapshotTable[[#This Row],[SC Basis]], ""))</f>
        <v/>
      </c>
      <c r="GK118" s="27" t="s">
        <v>560</v>
      </c>
      <c r="GL118" s="43" t="str">
        <f>IF(AND(SnapshotTable[[#This Row],[LP Exp Date]]&gt;0,SnapshotTable[[#This Row],[LP Strike Price]]&gt;0), [1]!ToOptionSymbol(SnapshotTable[[#This Row],[Symbol]], SnapshotTable[[#This Row],[LP Strike Price]],SnapshotTable[[#This Row],[LP Exp Date]],1), "")</f>
        <v/>
      </c>
      <c r="GM118" s="30" t="str">
        <f>IF(LEN(SnapshotTable[[#This Row],[LP Symbol]])&gt;0, 1, "")</f>
        <v/>
      </c>
      <c r="GN118" s="43" t="str">
        <f>IF(AND(SnapshotTable[[#This Row],[SP Exp Date]]&gt;0,SnapshotTable[[#This Row],[SP Strike Price]]&gt;0), [1]!ToOptionSymbol(SnapshotTable[[#This Row],[Symbol]], SnapshotTable[[#This Row],[SP Strike Price]],SnapshotTable[[#This Row],[SP Exp Date]],1), "")</f>
        <v/>
      </c>
      <c r="GO118" s="30" t="str">
        <f>IF(LEN(SnapshotTable[[#This Row],[SP Symbol]])&gt;0, 1, "")</f>
        <v/>
      </c>
      <c r="GP118" s="43" t="str">
        <f>IF(AND(SnapshotTable[[#This Row],[LC Exp Date]]&gt;0,SnapshotTable[[#This Row],[LC Strike Price]]&gt;0), [1]!ToOptionSymbol(SnapshotTable[[#This Row],[Symbol]], SnapshotTable[[#This Row],[LC Strike Price]],SnapshotTable[[#This Row],[LC Exp Date]],0), "")</f>
        <v/>
      </c>
      <c r="GQ118" s="30" t="str">
        <f>IF(LEN(SnapshotTable[[#This Row],[LC Symbol]])&gt;0, 1, "")</f>
        <v/>
      </c>
      <c r="GR118" s="43" t="str">
        <f>IF(AND(SnapshotTable[[#This Row],[SC Exp Date]]&gt;0,SnapshotTable[[#This Row],[SC Strike Price]]&gt;0), [1]!ToOptionSymbol(SnapshotTable[[#This Row],[Symbol]], SnapshotTable[[#This Row],[SC Strike Price]],SnapshotTable[[#This Row],[SC Exp Date]],0), "")</f>
        <v/>
      </c>
      <c r="GS118" s="30" t="str">
        <f>IF(LEN(SnapshotTable[[#This Row],[SC Symbol]])&gt;0, 1, "")</f>
        <v/>
      </c>
      <c r="GT118" s="29" t="str">
        <f>IF(COUNT(SnapshotTable[[#This Row],[LP Symbol Count]],SnapshotTable[[#This Row],[SP Symbol Count]],SnapshotTable[[#This Row],[LC Symbol Count]],SnapshotTable[[#This Row],[SC Symbol Count]])&gt;0, "Y", "")</f>
        <v/>
      </c>
      <c r="GU1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8" s="216">
        <f>MAX(SnapshotTable[[#This Row],[Equity Basis Total]],SnapshotTable[[#This Row],[Equity Value]]) + (SnapshotTable[[#This Row],[SP Potential Spend]]- SnapshotTable[[#This Row],[SP Premium]] + SnapshotTable[[#This Row],[LP Premium]])+ (SnapshotTable[[#This Row],[LC Premium]] - SnapshotTable[[#This Row],[SC Premium]])</f>
        <v>0</v>
      </c>
      <c r="GW118" s="137" t="str">
        <f>IF(AND(SnapshotTable[[#This Row],[Exposure]] &lt;&gt; 0),SnapshotTable[[#This Row],[Exposure]] / SnapshotTable[[#Totals],[Exposure]], "")</f>
        <v/>
      </c>
      <c r="HE118" s="253"/>
      <c r="HF118" s="253"/>
      <c r="HK118" s="1"/>
      <c r="HL118" s="1"/>
      <c r="HM118" s="1"/>
      <c r="HN118" s="1"/>
      <c r="HO118" s="1"/>
      <c r="HP118" s="1"/>
    </row>
    <row r="119" spans="2:224" ht="12.75" hidden="1" customHeight="1" x14ac:dyDescent="0.25">
      <c r="B119" s="12" t="s">
        <v>946</v>
      </c>
      <c r="C119" s="385">
        <v>102.47</v>
      </c>
      <c r="D119" s="200"/>
      <c r="E119" s="39">
        <f>SnapshotTable[[#This Row],[Last Price]]*(1 -CrashDiscount)</f>
        <v>87.099499999999992</v>
      </c>
      <c r="F119" s="26" t="s">
        <v>493</v>
      </c>
      <c r="G119" s="296" t="s">
        <v>843</v>
      </c>
      <c r="H119" s="147"/>
      <c r="I119" s="186"/>
      <c r="J119" s="187"/>
      <c r="K119" s="188"/>
      <c r="L119" s="297"/>
      <c r="M119" s="138"/>
      <c r="N119" s="138"/>
      <c r="O119" s="138"/>
      <c r="P119" s="22"/>
      <c r="Q119" s="25"/>
      <c r="R119" s="4" t="str">
        <f>IF(SnapshotTable[[#This Row],[Equity Basis Total]] &gt; 0, SnapshotTable[[#This Row],[Equity Basis Total]] / SnapshotTable[[#This Row],[Equity Shares]], "")</f>
        <v/>
      </c>
      <c r="S119" s="254">
        <f>SnapshotTable[[#This Row],[Last Price]] * SnapshotTable[[#This Row],[Equity Shares]]</f>
        <v>0</v>
      </c>
      <c r="T119" s="254">
        <f>SnapshotTable[[#This Row],[Equity Value]] - SnapshotTable[[#This Row],[Equity Basis Total]]</f>
        <v>0</v>
      </c>
      <c r="U119" s="255" t="str">
        <f>IF(SnapshotTable[[#This Row],[Equity Basis Total]] &gt; 0, SnapshotTable[[#This Row],[Equity G/L]] / SnapshotTable[[#This Row],[Equity Basis Total]], "")</f>
        <v/>
      </c>
      <c r="V119" s="253"/>
      <c r="W119" s="253"/>
      <c r="X119" s="4" t="str">
        <f>IF(AND(ISNUMBER(SnapshotTable[[#This Row],[Equity Basis Per Share]]),ISNUMBER(SnapshotTable[[#This Row],[Equity Target]])),SnapshotTable[[#This Row],[Equity Target]]-SnapshotTable[[#This Row],[Equity Basis Per Share]],"")</f>
        <v/>
      </c>
      <c r="Y119" s="4" t="str">
        <f>IF(AND(ISNUMBER(SnapshotTable[[#This Row],[Equity Basis Per Share]]),ISNUMBER(SnapshotTable[[#This Row],[Equity Stop Loss]])),SnapshotTable[[#This Row],[Equity Stop Loss]]-SnapshotTable[[#This Row],[Equity Basis Per Share]],"")</f>
        <v/>
      </c>
      <c r="Z119" s="260" t="str">
        <f>IFERROR( TEXT(SnapshotTable[[#This Row],[Equity Max Gain Per Share]] /ABS( SnapshotTable[[#This Row],[Equity Max Loss Per Share]]),"0.0 " ) &amp; " : 1", "")</f>
        <v/>
      </c>
      <c r="AA119" s="31" t="str">
        <f>IF(ISNUMBER(SnapshotTable[[#This Row],[Equity Max Gain Per Share]]),SnapshotTable[[#This Row],[Equity Max Gain Per Share]] * SnapshotTable[[#This Row],[Equity Shares]],"")</f>
        <v/>
      </c>
      <c r="AB119" s="31" t="str">
        <f>IF(ISNUMBER(SnapshotTable[[#This Row],[Equity Max Loss Per Share]]),SnapshotTable[[#This Row],[Equity Max Loss Per Share]] * SnapshotTable[[#This Row],[Equity Shares]],"")</f>
        <v/>
      </c>
      <c r="AC119" s="148"/>
      <c r="AD119" s="149"/>
      <c r="AE119" s="31">
        <f>(SnapshotTable[[#This Row],[Annual Dividend Per Share]] / 4) * SnapshotTable[[#This Row],[Equity Shares]]</f>
        <v>0</v>
      </c>
      <c r="AF119" s="31">
        <f>SnapshotTable[[#This Row],[Quarterly Div $]] * 4</f>
        <v>0</v>
      </c>
      <c r="AG119" s="7">
        <f>IF(SnapshotTable[[#This Row],[Annual Dividend Per Share]]&gt;0, SnapshotTable[[#This Row],[Annual Dividend Per Share]]  / SnapshotTable[[#This Row],[Last Price]], 0)</f>
        <v>0</v>
      </c>
      <c r="AH119" s="149"/>
      <c r="AI119" s="5"/>
      <c r="AJ119" s="136"/>
      <c r="AK119" s="150" t="str">
        <f>IF(ISNUMBER( SnapshotTable[[#This Row],[EBF Target]]),(SnapshotTable[[#This Row],[EBF Target]] - SnapshotTable[[#This Row],[Last Price]]) / SnapshotTable[[#This Row],[Last Price]], "")</f>
        <v/>
      </c>
      <c r="AL119" s="150" t="str">
        <f>IF(AND(SnapshotTable[[#This Row],[Equity Basis Total]] &gt; 0,ISNUMBER( SnapshotTable[[#This Row],[Long Term Target]])), SnapshotTable[[#This Row],[From Basis $]] / SnapshotTable[[#This Row],[Equity Basis Total]], "")</f>
        <v/>
      </c>
      <c r="AM119" s="9">
        <f>IF( AND(SnapshotTable[[#This Row],[Equity Shares]] &gt;0,ISNUMBER( SnapshotTable[[#This Row],[Long Term Target]])),(SnapshotTable[[#This Row],[Equity Shares]] * SnapshotTable[[#This Row],[Long Term Target]]) - SnapshotTable[[#This Row],[Equity Basis Total]],0)</f>
        <v>0</v>
      </c>
      <c r="AN119" s="9">
        <f>IF( AND(SnapshotTable[[#This Row],[Equity Shares]] &gt;0,ISNUMBER( SnapshotTable[[#This Row],[Long Term Target]])),(SnapshotTable[[#This Row],[Equity Shares]]*SnapshotTable[[#This Row],[Long Term Target]]) - SnapshotTable[[#This Row],[Equity Value]],0)</f>
        <v>0</v>
      </c>
      <c r="AO119" s="150" t="str">
        <f>IF(AND(ISNUMBER( SnapshotTable[[#This Row],[Long Term Target]]), ISNUMBER(SnapshotTable[[#This Row],[Last Price]])),(SnapshotTable[[#This Row],[Long Term Target]] - SnapshotTable[[#This Row],[Last Price]]) / SnapshotTable[[#This Row],[Last Price]], "")</f>
        <v/>
      </c>
      <c r="AP119" s="5"/>
      <c r="AQ119" s="38"/>
      <c r="AR119" s="5"/>
      <c r="AS119" s="38"/>
      <c r="AT119" s="144"/>
      <c r="AU119" s="185" t="str">
        <f>IF(OR(SnapshotTable[[#This Row],[LP No Fill]]="Y",SnapshotTable[[#This Row],[SP Is Filled]],SnapshotTable[[#This Row],[LC Not Filled]]="Y",SnapshotTable[[#This Row],[SC Is Filled]]),"Y","")</f>
        <v/>
      </c>
      <c r="AV119" s="205"/>
      <c r="AW119" s="211"/>
      <c r="AX119" s="206"/>
      <c r="AY119" s="205" t="str">
        <f>IF(SnapshotTable[[#This Row],[Implied Move]]&gt;0, SnapshotTable[[#This Row],[Last Price]]-SnapshotTable[[#This Row],[Implied Move]],"")</f>
        <v/>
      </c>
      <c r="AZ119" s="205" t="str">
        <f>IF(SnapshotTable[[#This Row],[Implied Move]]&gt;0, SnapshotTable[[#This Row],[Last Price]] + SnapshotTable[[#This Row],[Implied Move]],"")</f>
        <v/>
      </c>
      <c r="BA119" s="302">
        <v>94.54</v>
      </c>
      <c r="BB119" s="318"/>
      <c r="BC1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19" s="321"/>
      <c r="BE119" s="5"/>
      <c r="BF119" s="14"/>
      <c r="BG119" s="13"/>
      <c r="BH119" s="13"/>
      <c r="BI119" s="5"/>
      <c r="BJ119" s="134">
        <f>IF(SnapshotTable[[#This Row],[LP Qty]] &gt; 0, SnapshotTable[[#This Row],[LP Qty]] * SnapshotTable[[#This Row],[LP Book Price]] * 100,0)</f>
        <v>0</v>
      </c>
      <c r="BK119" s="134">
        <f>IF(SnapshotTable[[#This Row],[LP Premium]] &gt; 0, SnapshotTable[[#This Row],[LP Qty]] * SnapshotTable[[#This Row],[LP Strike Price]] * 100,0)</f>
        <v>0</v>
      </c>
      <c r="BL119" s="152"/>
      <c r="BM119" s="355" t="str">
        <f>IF(SnapshotTable[[#This Row],[LP Premium]] &gt; 0,SnapshotTable[[#This Row],[LP Exp Date]]-MAX(SnapshotTable[[#This Row],[LP Book Date]], SnapshotTable[[#This Row],[LP Fill Date]]),"")</f>
        <v/>
      </c>
      <c r="BN119" s="355" t="str">
        <f>IF(ISNUMBER( SnapshotTable[[#This Row],[LP Term]]), SnapshotTable[[#This Row],[LP Exp Date]] - MockToday,"")</f>
        <v/>
      </c>
      <c r="BO119" s="161" t="str">
        <f>IF(AND(SnapshotTable[[#This Row],[LP Exp Date]]&gt;0, SnapshotTable[[#This Row],[LP Strike Price]]&gt;0,SnapshotTable[[#This Row],[LP Qty]]&gt;0,SnapshotTable[[#This Row],[LP Book Date]]&gt;0,SnapshotTable[[#This Row],[LP Book Price]]&gt;0,SnapshotTable[[#This Row],[LP Fill Date]]=0),"Y","")</f>
        <v/>
      </c>
      <c r="BP119" s="31" t="str">
        <f>IF(AND(SnapshotTable[[#This Row],[LP No Fill]]&lt;&gt;"Y",SnapshotTable[[#This Row],[LP Contract Value]]&gt;0, SnapshotTable[[#This Row],[LP Qty]]&gt;0), SnapshotTable[[#This Row],[LP Contract Value]]*SnapshotTable[[#This Row],[LP Qty]]*100,"")</f>
        <v/>
      </c>
      <c r="BQ119" s="13"/>
      <c r="BR119" s="5"/>
      <c r="BS119" s="36"/>
      <c r="BT119" s="145"/>
      <c r="BU119" s="13"/>
      <c r="BV119" s="5"/>
      <c r="BW119" s="382" t="b">
        <f>AND(ISNUMBER(SnapshotTable[[#This Row],[SP Exp Date]]), ISNUMBER(SnapshotTable[[#This Row],[SP Strike Price]]), ISNUMBER(SnapshotTable[[#This Row],[SP Qty]]), ISNUMBER(SnapshotTable[[#This Row],[SP Book Date]]), ISNUMBER(SnapshotTable[[#This Row],[SP Book Price]]))</f>
        <v>0</v>
      </c>
      <c r="BX119" s="382" t="b">
        <f>AND(SnapshotTable[[#This Row],[SP Is Booked]], NOT(ISBLANK(SnapshotTable[[#This Row],[SP Fill Date]])))</f>
        <v>0</v>
      </c>
      <c r="BY119" s="33">
        <f>IF(SnapshotTable[[#This Row],[SP Is Booked]], SnapshotTable[[#This Row],[SP Qty]] * SnapshotTable[[#This Row],[SP Book Price]] * 100, 0)</f>
        <v>0</v>
      </c>
      <c r="BZ119" s="339"/>
      <c r="CA119" s="338">
        <f>SnapshotTable[[#This Row],[LP Qty]]</f>
        <v>0</v>
      </c>
      <c r="CB119" s="4" t="str">
        <f>IF(SnapshotTable[[#This Row],[SP Is Booked]], SnapshotTable[[#This Row],[SP Strike Price]] - SnapshotTable[[#This Row],[SP Book Price]], "")</f>
        <v/>
      </c>
      <c r="CC119" s="19" t="str">
        <f>IF(SnapshotTable[[#This Row],[SP Is Booked]],SnapshotTable[[#This Row],[SP Exp Date]]-MAX(SnapshotTable[[#This Row],[SP Book Date]], SnapshotTable[[#This Row],[SP Fill Date]]),"")</f>
        <v/>
      </c>
      <c r="CD119" s="7" t="str">
        <f>IF(SnapshotTable[[#This Row],[SP Is Booked]], SnapshotTable[[#This Row],[SP Book Price]]/SnapshotTable[[#This Row],[SP Strike Price]], "")</f>
        <v/>
      </c>
      <c r="CE119" s="7" t="str">
        <f>IF(ISNUMBER(SnapshotTable[[#This Row],[SP ROO Term]]),SnapshotTable[[#This Row],[SP ROO Term]]*(365/SnapshotTable[[#This Row],[SP Term]]),"")</f>
        <v/>
      </c>
      <c r="CF119" s="221">
        <f>SnapshotTable[[#This Row],[LP Strike Price]] * SnapshotTable[[#This Row],[LP Qty]] * 100</f>
        <v>0</v>
      </c>
      <c r="CG119" s="31">
        <f>IF(ISNUMBER(SnapshotTable[[#This Row],[SP Premium]]), (SnapshotTable[[#This Row],[SP Qty]] * SnapshotTable[[#This Row],[SP Strike Price]]* 100) - SnapshotTable[[#This Row],[LP Protection]], 0)</f>
        <v>0</v>
      </c>
      <c r="CH119" s="7" t="str">
        <f>IF(ISNUMBER(SnapshotTable[[#This Row],[SP Break Even]]),-1 * (SnapshotTable[[#This Row],[SP Break Even]] - SnapshotTable[[#This Row],[Last Price]]) / SnapshotTable[[#This Row],[Last Price]], "")</f>
        <v/>
      </c>
      <c r="CI119" s="31">
        <f>IF(AND(ISNUMBER((SnapshotTable[[#This Row],[SP Potential Spend]])), SnapshotTable[[#This Row],[SP Strike Price]] &gt; SnapshotTable[[#This Row],[Last Price]], SnapshotTable[[#This Row],[SP Is Filled]]), SnapshotTable[[#This Row],[SP Potential Spend]] -  SnapshotTable[[#This Row],[LP Max Value]], 0)</f>
        <v>0</v>
      </c>
      <c r="CJ119" s="229"/>
      <c r="CK119" s="31">
        <f>IF(ISNUMBER(SnapshotTable[[#This Row],[SP Potential Spend]]),IF(ISNUMBER(SnapshotTable[[#This Row],[SP POW]]), SnapshotTable[[#This Row],[SP POW]] * SnapshotTable[[#This Row],[SP Potential Spend]], SnapshotTable[[#This Row],[SP Potential Spend]]), "")</f>
        <v>0</v>
      </c>
      <c r="CL119" s="162">
        <f>IF(NOT(SnapshotTable[[#This Row],[SP Is Filled]]),(SnapshotTable[[#This Row],[SP Qty]] * SnapshotTable[[#This Row],[SP Strike Price]] * 100) - SnapshotTable[[#This Row],[LP Max Value]],"")</f>
        <v>0</v>
      </c>
      <c r="CM119" s="31" t="str">
        <f>IF(SnapshotTable[[#This Row],[SP Actual Spend]]&lt;&gt;0, ((SnapshotTable[[#This Row],[SP Strike Price]]-SnapshotTable[[#This Row],[Last Price]]) *(SnapshotTable[[#This Row],[SP Qty]]*100) - SnapshotTable[[#This Row],[SP Premium]]) * - 1, "")</f>
        <v/>
      </c>
      <c r="CN119" s="76"/>
      <c r="CO119" s="339"/>
      <c r="CP119" s="4" t="str">
        <f>IF(SnapshotTable[[#This Row],[SP Is Filled]], btc_max_buyback_amount(SnapshotTable[[#This Row],[SP Fill Date]],SnapshotTable[[#This Row],[SP Exp Date]], SnapshotTable[[#This Row],[SP Book Price]]),"")</f>
        <v/>
      </c>
      <c r="CQ119" s="76"/>
      <c r="CR1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19" s="153" t="str">
        <f>IF(SnapshotTable[[#This Row],[SP Is Filled]], btc_next_cutoff_date(SnapshotTable[[#This Row],[SP Fill Date]],SnapshotTable[[#This Row],[SP Exp Date]]),"")</f>
        <v/>
      </c>
      <c r="CT119" s="220" t="str" cm="1">
        <f t="array" ref="CT119">IF(SnapshotTable[[#This Row],[SP Is Filled]], btc_should_buy_back(SnapshotTable[[#This Row],[SP Fill Date]], SnapshotTable[[#This Row],[SP Exp Date]], SnapshotTable[[#This Row],[SP Book Price]], SnapshotTable[[#This Row],[SP Current Ask]], MockToday, SnapshotTable[[#This Row],[SP Buyback Override]]),"")</f>
        <v/>
      </c>
      <c r="CU119" s="154"/>
      <c r="CV119" s="220"/>
      <c r="CW119" s="348" t="str">
        <f>IF(ISNUMBER( SnapshotTable[[#This Row],[SP Term]]), SnapshotTable[[#This Row],[SP Exp Date]] - MockToday,"")</f>
        <v/>
      </c>
      <c r="CX119" s="31" t="str">
        <f>IF(SnapshotTable[[#This Row],[SP Is Filled]],SnapshotTable[[#This Row],[SP Buyback Price to Use]] * 100 * SnapshotTable[[#This Row],[SP Qty]], "")</f>
        <v/>
      </c>
      <c r="CY119" s="4" t="str">
        <f>IF(ISNUMBER(SnapshotTable[[#This Row],[SP Strike Price]]), SnapshotTable[[#This Row],[SP Strike Price]] * (1 - SP_MaxLoss_StrikePct), "")</f>
        <v/>
      </c>
      <c r="CZ119" s="31" t="str">
        <f>IF(ISNUMBER(SnapshotTable[[#This Row],[SP Strike  Stop Per Share]]),SnapshotTable[[#This Row],[SP Premium]] - ((SnapshotTable[[#This Row],[SP Strike Price]]-SnapshotTable[[#This Row],[SP Strike  Stop Per Share]]) *(SnapshotTable[[#This Row],[SP Qty]] * 100)),"")</f>
        <v/>
      </c>
      <c r="DA119" s="4" t="str">
        <f>IF(AND(ISNUMBER(SnapshotTable[[#This Row],[SP Premium]]),SnapshotTable[[#This Row],[SP Premium]]&gt;0), SnapshotTable[[#This Row],[SP Book Price]] * (1 + SP_MaxLoss_OptionPct), "")</f>
        <v/>
      </c>
      <c r="DB119" s="31" t="str">
        <f>IF(ISNUMBER(SnapshotTable[[#This Row],[SP Option  Stop Contract]]),(SnapshotTable[[#This Row],[SP Option  Stop Contract]] *(SnapshotTable[[#This Row],[SP Qty]] * 100) - SnapshotTable[[#This Row],[SP Premium]]),"")</f>
        <v/>
      </c>
      <c r="DC119" s="4"/>
      <c r="DD119" s="4"/>
      <c r="DE119" s="4" t="str">
        <f>IF(AND(SnapshotTable[[#This Row],[SP Qty]]&gt;0, SnapshotTable[[#This Row],[SP Stop To Use]]&gt;0),SnapshotTable[[#This Row],[SP Premium]] - ( SnapshotTable[[#This Row],[SP Qty]] * SnapshotTable[[#This Row],[SP Stop To Use]] * 100), "")</f>
        <v/>
      </c>
      <c r="DF119" s="31" t="str">
        <f>IF(AND(SnapshotTable[[#This Row],[SP Qty]]&gt;0,SnapshotTable[[#This Row],[SP Current Ask]]&gt;0), SnapshotTable[[#This Row],[SP Qty]] * SnapshotTable[[#This Row],[SP Current Ask]] * -100, "")</f>
        <v/>
      </c>
      <c r="DG119" s="31" t="str">
        <f>IF(ISNUMBER((SnapshotTable[[#This Row],[SP Total Value]])), SnapshotTable[[#This Row],[SP Premium]] + SnapshotTable[[#This Row],[SP Total Value]], "")</f>
        <v/>
      </c>
      <c r="DH119" s="272" t="str">
        <f>IF(ISNUMBER((SnapshotTable[[#This Row],[SP Total Value]])), SnapshotTable[[#This Row],[SP Gain Loss]] / SnapshotTable[[#This Row],[SP Premium]], "")</f>
        <v/>
      </c>
      <c r="DI119" s="369"/>
      <c r="DJ119" s="136"/>
      <c r="DK119" s="146"/>
      <c r="DL119" s="13"/>
      <c r="DM119" s="13"/>
      <c r="DO119" s="31">
        <f>IF(SnapshotTable[[#This Row],[LC Symbol Count]]=1, SnapshotTable[[#This Row],[LC Qty]] * SnapshotTable[[#This Row],[LC Book Price]] * 100, 0)</f>
        <v>0</v>
      </c>
      <c r="DP119" s="161" t="str">
        <f>IF(AND(SnapshotTable[[#This Row],[LC Exp Date]]&gt;0, SnapshotTable[[#This Row],[LC Strike Price]]&gt;0,SnapshotTable[[#This Row],[LC Qty]]&gt;0,SnapshotTable[[#This Row],[LC Book Date]]&gt;0,SnapshotTable[[#This Row],[LC Book Price]]&gt;0,SnapshotTable[[#This Row],[LC Fill Date]]=0),"Y","")</f>
        <v/>
      </c>
      <c r="DQ119" s="356" t="str">
        <f>IF(SnapshotTable[[#This Row],[LC Premium]] &gt; 0,SnapshotTable[[#This Row],[LC Exp Date]]-MAX(SnapshotTable[[#This Row],[LC Book Date]], SnapshotTable[[#This Row],[LC Fill Date]]),"")</f>
        <v/>
      </c>
      <c r="DR119" s="356" t="str">
        <f>IF(ISNUMBER(SnapshotTable[[#This Row],[LC Term]]), SnapshotTable[[#This Row],[LC Exp Date]] - MockToday, "")</f>
        <v/>
      </c>
      <c r="DS119" s="219" t="str">
        <f>IF(SnapshotTable[[#This Row],[LC Premium]]&gt;0,SnapshotTable[[#This Row],[LC Strike Price]] + SnapshotTable[[#This Row],[LC Book Price]],"")</f>
        <v/>
      </c>
      <c r="DU119" s="9" t="str">
        <f>IF(AND(SnapshotTable[[#This Row],[LC Symbol Count]]&gt;0, SnapshotTable[[#This Row],[LC Contract Value]]&gt;0), SnapshotTable[[#This Row],[LC Contract Value]] * SnapshotTable[[#This Row],[LC Qty]] * 100, "")</f>
        <v/>
      </c>
      <c r="DV119" s="9" t="str">
        <f>IF(AND(ISNUMBER(SnapshotTable[[#This Row],[LC Total Value]]), SnapshotTable[[#This Row],[LC Not Filled]]&lt;&gt;"Y"), SnapshotTable[[#This Row],[LC Total Value]]-SnapshotTable[[#This Row],[LC Premium]],"")</f>
        <v/>
      </c>
      <c r="DW119" s="225" t="str">
        <f>IF(ISNUMBER(SnapshotTable[[#This Row],[LC Actual Gain Loss]]), SnapshotTable[[#This Row],[LC Actual Gain Loss]] / SnapshotTable[[#This Row],[LC Premium]],"")</f>
        <v/>
      </c>
      <c r="DX119" s="269" t="str">
        <f>IF(ISNUMBER(SnapshotTable[[#This Row],[LC Book Price]]),SnapshotTable[[#This Row],[LC Book Price]] * 1.5,"")</f>
        <v/>
      </c>
      <c r="DY119" s="250" t="str">
        <f>IF(SnapshotTable[[#This Row],[LC Premium]]&gt;0, SnapshotTable[[#This Row],[LC Next Target]] * SnapshotTable[[#This Row],[LC Qty]] * 100,"")</f>
        <v/>
      </c>
      <c r="DZ119" s="250" t="str">
        <f>IF(ISNUMBER(SnapshotTable[[#This Row],[LC Target Gross]]), SnapshotTable[[#This Row],[LC Target Gross]] - SnapshotTable[[#This Row],[LC Premium]], "")</f>
        <v/>
      </c>
      <c r="EA119" s="283" t="str">
        <f>IF(ISNUMBER(SnapshotTable[[#This Row],[LC Target Gain Loss]]), SnapshotTable[[#This Row],[LC Target Gain Loss]]/SnapshotTable[[#This Row],[LC Premium]], "")</f>
        <v/>
      </c>
      <c r="EB119" s="247"/>
      <c r="EC119" s="268" t="str">
        <f>IF(SnapshotTable[[#This Row],[LC Premium]]&gt;0, SnapshotTable[[#This Row],[LC Book Price]] * (1 - LC_StopLoss_Pct),"")</f>
        <v/>
      </c>
      <c r="ED119" s="269"/>
      <c r="EE119" s="268" t="str">
        <f>IF(ISNUMBER(SnapshotTable[[#This Row],[LC Contract Value]]),IF(ISNUMBER(SnapshotTable[[#This Row],[LC Stop Loss Override]]), SnapshotTable[[#This Row],[LC Stop Loss Override]],SnapshotTable[[#This Row],[LC Stop Loss Calc Target]]),"")</f>
        <v/>
      </c>
      <c r="EF119" s="31" t="str">
        <f>IF(ISNUMBER(SnapshotTable[[#This Row],[LC Stop  To Use]]), (SnapshotTable[[#This Row],[LC Stop  To Use]] * SnapshotTable[[#This Row],[LC Qty]] * 100),"")</f>
        <v/>
      </c>
      <c r="EG119" s="9" t="str">
        <f>IF(ISNUMBER(SnapshotTable[[#This Row],[LC Total Value]]),SnapshotTable[[#This Row],[LC Stop Loss Amount]] - SnapshotTable[[#This Row],[LC Premium]],"")</f>
        <v/>
      </c>
      <c r="EH119" s="9">
        <f>IF(ISNUMBER(SnapshotTable[[#This Row],[LC Premium]]), SnapshotTable[[#This Row],[LC Qty]] * 100 * SnapshotTable[[#This Row],[LC Strike Price]], "")</f>
        <v>0</v>
      </c>
      <c r="EI119" s="225" t="str">
        <f>IF(AND(ISNUMBER(SnapshotTable[[#This Row],[LC Total Value]]),SnapshotTable[[#This Row],[LC Total Value]]&gt;0),SnapshotTable[[#This Row],[LC Stop Gain Loss]]  / SnapshotTable[[#This Row],[LC Premium]],"")</f>
        <v/>
      </c>
      <c r="EJ119" s="35">
        <f>IF(ISNUMBER(SnapshotTable[[#This Row],[Equity Shares]]),TRUNC(SnapshotTable[[#This Row],[Equity Shares]] / 100),0) + SnapshotTable[[#This Row],[LC Qty]]</f>
        <v>0</v>
      </c>
      <c r="EK119" s="145"/>
      <c r="EL119" s="136"/>
      <c r="EM119" s="146"/>
      <c r="EN119" s="145"/>
      <c r="EO119" s="145"/>
      <c r="EP119" s="136"/>
      <c r="EQ119" s="382" t="b">
        <f>AND(ISNUMBER(SnapshotTable[[#This Row],[SC Exp Date]]), ISNUMBER(SnapshotTable[[#This Row],[SC Strike Price]]), ISNUMBER(SnapshotTable[[#This Row],[SC Qty]]), ISNUMBER(SnapshotTable[[#This Row],[SC Book Date]]), ISNUMBER(SnapshotTable[[#This Row],[SC Book Price]]))</f>
        <v>0</v>
      </c>
      <c r="ER119" s="382" t="b">
        <f>AND(SnapshotTable[[#This Row],[SC Is Booked]], NOT(ISBLANK(SnapshotTable[[#This Row],[SC Fill Date]])))</f>
        <v>0</v>
      </c>
      <c r="ES119" s="340"/>
      <c r="ET119" s="34" t="str">
        <f>IF(AND(ISNUMBER(SnapshotTable[[#This Row],[SC Exp Date]]), ISNUMBER(SnapshotTable[[#This Row],[SC Book Date]])), SnapshotTable[[#This Row],[SC Exp Date]] - MAX(SnapshotTable[[#This Row],[SC Book Date]], SnapshotTable[[#This Row],[SC Fill Date]]) + 1, "")</f>
        <v/>
      </c>
      <c r="EU119" s="34" t="str">
        <f>IF(ISNUMBER(SnapshotTable[[#This Row],[SC Term]]), SnapshotTable[[#This Row],[SC Exp Date]]- MockToday, "")</f>
        <v/>
      </c>
      <c r="EV119" s="31">
        <f>IF(SnapshotTable[[#This Row],[SC Is Booked]], SnapshotTable[[#This Row],[SC Qty]] * SnapshotTable[[#This Row],[SC Book Price]] * 100, 0)</f>
        <v>0</v>
      </c>
      <c r="EW119" s="4" t="str">
        <f>IF(AND(ISNUMBER(SnapshotTable[[#This Row],[Last Price]]), ISNUMBER( SnapshotTable[[#This Row],[SC Book Price]])), SnapshotTable[[#This Row],[Last Price]] - SnapshotTable[[#This Row],[SC Book Price]],"")</f>
        <v/>
      </c>
      <c r="EX119" s="219" t="str">
        <f>IF(SnapshotTable[[#This Row],[SC Is Booked]],IF(SnapshotTable[[#This Row],[SC Intrinsic Value]] &gt; 0, SnapshotTable[[#This Row],[SC Strike Price]], SnapshotTable[[#This Row],[Last Price]]), "")</f>
        <v/>
      </c>
      <c r="EY119" s="4">
        <f>IF(SnapshotTable[[#This Row],[SC Is Booked]], (MinimumPremiumRequired * SnapshotTable[[#This Row],[SC Basis]] * SnapshotTable[[#This Row],[SC Term]]), 0)</f>
        <v>0</v>
      </c>
      <c r="EZ119" s="268"/>
      <c r="FA119" s="204"/>
      <c r="FB119" s="340"/>
      <c r="FC119" s="4">
        <f>IF(SnapshotTable[[#This Row],[SC Is Filled]], btc_max_buyback_amount(SnapshotTable[[#This Row],[SC Fill Date]],SnapshotTable[[#This Row],[SC Exp Date]], SnapshotTable[[#This Row],[SC Book Price]]),0)</f>
        <v>0</v>
      </c>
      <c r="FD119" s="5"/>
      <c r="FE119" s="142" t="str">
        <f>IF(SnapshotTable[[#This Row],[SC Is Filled]], btc_next_cutoff_date(SnapshotTable[[#This Row],[SC Fill Date]],SnapshotTable[[#This Row],[SC Exp Date]]),"")</f>
        <v/>
      </c>
      <c r="FF119" s="4" t="str" cm="1">
        <f t="array" ref="FF119">IF(SnapshotTable[[#This Row],[SC Is Filled]], btc_should_buy_back(SnapshotTable[[#This Row],[SC Fill Date]], SnapshotTable[[#This Row],[SC Exp Date]], SnapshotTable[[#This Row],[SC Book Price]], SnapshotTable[[#This Row],[SC Current Ask]], MockToday, SnapshotTable[[#This Row],[SC Buyback Override]]),"")</f>
        <v/>
      </c>
      <c r="FG119" s="4">
        <f>IF(SnapshotTable[[#This Row],[SC Is Filled]], MAX(0,SnapshotTable[[#This Row],[Last Price]]  - SnapshotTable[[#This Row],[SC Strike Price]]), 0)</f>
        <v>0</v>
      </c>
      <c r="FH119" s="352">
        <f>IF(SnapshotTable[[#This Row],[SC Is Filled]], IF(ISNUMBER(SnapshotTable[[#This Row],[SC Current Ask]]), SnapshotTable[[#This Row],[SC Current Ask]], SnapshotTable[[#This Row],[SC Book Price]]) - SnapshotTable[[#This Row],[SC Intrinsic Value]], 0)</f>
        <v>0</v>
      </c>
      <c r="FI119" s="141"/>
      <c r="FJ119" s="32" t="str">
        <f>IF(SnapshotTable[[#This Row],[SC Is Filled]],100 * SnapshotTable[[#This Row],[SC Qty]] * IF(ISNUMBER(SnapshotTable[[#This Row],[SC Buyback Override]]), SnapshotTable[[#This Row],[SC Buyback Override]], SnapshotTable[[#This Row],[SC Current Ask]]), "")</f>
        <v/>
      </c>
      <c r="FK119" s="235" t="str">
        <f>IF(SnapshotTable[[#This Row],[SC Time Val]]&gt;0, SnapshotTable[[#This Row],[SC Time Val]] / SnapshotTable[[#This Row],[Last Price]],"")</f>
        <v/>
      </c>
      <c r="FL119" s="280" t="str">
        <f>IF(SnapshotTable[[#This Row],[SC Is Booked]], ((SnapshotTable[[#This Row],[Last Price]] -SnapshotTable[[#This Row],[SC Strike Price]]) / SnapshotTable[[#This Row],[Last Price]]) * -1, "")</f>
        <v/>
      </c>
      <c r="FM119" s="155" t="str">
        <f>IF(SnapshotTable[[#This Row],[SC Is Booked]],  (SnapshotTable[[#This Row],[SC Qty]] * 100 * SnapshotTable[[#This Row],[SC Strike Price]]) - SnapshotTable[[#This Row],[SC Current Ask]], "")</f>
        <v/>
      </c>
      <c r="FN1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19" s="31" t="str">
        <f>IF(AND(ISNUMBER(SnapshotTable[[#This Row],[SC Exercise Gross]]), ISNUMBER(SnapshotTable[[#This Row],[Equity Basis Per Share]] )), SnapshotTable[[#This Row],[SC Exercise Gross]] - SnapshotTable[[#This Row],[Equity Basis Total]] +  SnapshotTable[[#This Row],[SC Premium]], "")</f>
        <v/>
      </c>
      <c r="FP119" s="5" t="str">
        <f>IF(ISNUMBER(SnapshotTable[[#This Row],[SC Exercise Gross]]), (SnapshotTable[[#This Row],[SC Exercise Gross]]) / (SnapshotTable[[#This Row],[SC Qty]] * 100), "")</f>
        <v/>
      </c>
      <c r="FQ119" s="27" t="str">
        <f>IF(SnapshotTable[[#This Row],[SC Is Booked]],SnapshotTable[[#This Row],[SC Time Val]] /SnapshotTable[[#This Row],[SC Basis]], "")</f>
        <v/>
      </c>
      <c r="FR119" s="27" t="str" cm="1">
        <f t="array" ref="FR119">IF(AND(ISNUMBER(SnapshotTable[[#This Row],[SC Term]]),ISNUMBER(SnapshotTable[[#This Row],[SC Simple ROO]])), EllmanAnnualize(SnapshotTable[[#This Row],[SC DTE]], SnapshotTable[[#This Row],[SC Simple ROO]] ),"")</f>
        <v/>
      </c>
      <c r="FS119" s="4">
        <f>IF(SnapshotTable[[#This Row],[SC Strike Price]] &gt; SnapshotTable[[#This Row],[Last Price]], SnapshotTable[[#This Row],[SC Strike Price]] - SnapshotTable[[#This Row],[Last Price]],0)</f>
        <v>0</v>
      </c>
      <c r="FT119" s="27" t="str">
        <f>IF(AND(ISNUMBER(SnapshotTable[[#This Row],[SC Upside Potential]]), SnapshotTable[[#This Row],[SC Upside Potential]] &gt; 0),(SnapshotTable[[#This Row],[SC Upside Potential]]/ SnapshotTable[[#This Row],[ACB]]),"")</f>
        <v/>
      </c>
      <c r="FU119" s="304" t="str">
        <f>IF(SnapshotTable[[#This Row],[SC Intrinsic Value]] &gt; 0,SnapshotTable[[#This Row],[SC Intrinsic Value]],"")</f>
        <v/>
      </c>
      <c r="FV119" s="27" t="str">
        <f>IF(AND( ISNUMBER( SnapshotTable[[#This Row],[ACB]]),ISNUMBER(SnapshotTable[[#This Row],[SC Downside Protect]])),SnapshotTable[[#This Row],[SC Downside Protect]] / SnapshotTable[[#This Row],[ACB]],"")</f>
        <v/>
      </c>
      <c r="FW119" s="221" t="str">
        <f>IF(AND(ISNUMBER(SnapshotTable[[#This Row],[SC Simple ROO]]),SnapshotTable[[#This Row],[SC Simple ROO]] &gt; 0), SnapshotTable[[#This Row],[SC Premium]] + (SnapshotTable[[#This Row],[SC Qty]] * SnapshotTable[[#This Row],[SC Upside Potential]]), "")</f>
        <v/>
      </c>
      <c r="FX119" s="280" t="str" cm="1">
        <f t="array" ref="FX119">IF(ISNUMBER(SnapshotTable[[#This Row],[SC Max Dollars]]), annualize(SnapshotTable[[#This Row],[SC Term]],(SnapshotTable[[#This Row],[SC Max Dollars]]/SnapshotTable[[#This Row],[SC Basis]])),"")</f>
        <v/>
      </c>
      <c r="FY119" s="221" t="str">
        <f>IF(AND(SnapshotTable[[#This Row],[SC Qty]]&gt;0,SnapshotTable[[#This Row],[SC Current Ask]]&gt;0), SnapshotTable[[#This Row],[SC Qty]] * SnapshotTable[[#This Row],[SC Current Ask]] * -100, "")</f>
        <v/>
      </c>
      <c r="FZ119" s="31" t="str">
        <f>IF(ISNUMBER((SnapshotTable[[#This Row],[SC Current Value]])), SnapshotTable[[#This Row],[SC Premium]] + SnapshotTable[[#This Row],[SC Current Value]], "")</f>
        <v/>
      </c>
      <c r="GA119" s="272" t="str">
        <f>IFERROR( IF(ISNUMBER((SnapshotTable[[#This Row],[SC Current Value]])), SnapshotTable[[#This Row],[SC Gain Loss]] / SnapshotTable[[#This Row],[SC Premium]], ""), "")</f>
        <v/>
      </c>
      <c r="GB119" s="42">
        <f>SnapshotTable[[#This Row],[Equity Shares]] * SaleSharesToConsiderPercentage</f>
        <v>0</v>
      </c>
      <c r="GC119" s="40">
        <f>SnapshotTable[[#This Row],[Long Term Target]] * SellingPriceToConsiderBasedOnTargetPercentage</f>
        <v>0</v>
      </c>
      <c r="GD119" s="40">
        <f>SnapshotTable[[#This Row],[Last Price]] * (1+ SellingPriceToConsiderBasedOnTargetPercentage)</f>
        <v>199.81649999999999</v>
      </c>
      <c r="GE119" s="41"/>
      <c r="GF119" s="40"/>
      <c r="GG119" s="31">
        <f>SnapshotTable[[#This Row],[Booked Sale Shares]] * SnapshotTable[[#This Row],[Booked Sale Price]]</f>
        <v>0</v>
      </c>
      <c r="GH119" s="31" t="str">
        <f>IF(SnapshotTable[[#This Row],[Equity Basis Total]] &gt; 0, SnapshotTable[[#This Row],[Equity Basis Per Share]] * SnapshotTable[[#This Row],[Booked Sale Shares]], "")</f>
        <v/>
      </c>
      <c r="GI119" s="31">
        <f>IF(SnapshotTable[[#This Row],[Sale Proceeds]]&gt;0, SnapshotTable[[#This Row],[Sale Proceeds]] - SnapshotTable[[#This Row],[Sale Basis]], 0)</f>
        <v>0</v>
      </c>
      <c r="GJ119" s="27" t="str">
        <f>IF(SnapshotTable[[#This Row],[Sale G/L]]&gt;0, SnapshotTable[[#This Row],[Sale G/L]] / SnapshotTable[[#This Row],[Sale Basis]], IF(ISNUMBER(SnapshotTable[[#This Row],[SC Exercise P&amp;L (TAX)]]), SnapshotTable[[#This Row],[SC Exercise P&amp;L (TAX)]] / SnapshotTable[[#This Row],[SC Basis]], ""))</f>
        <v/>
      </c>
      <c r="GK119" s="27"/>
      <c r="GL119" s="43" t="str">
        <f>IF(AND(SnapshotTable[[#This Row],[LP Exp Date]]&gt;0,SnapshotTable[[#This Row],[LP Strike Price]]&gt;0), [1]!ToOptionSymbol(SnapshotTable[[#This Row],[Symbol]], SnapshotTable[[#This Row],[LP Strike Price]],SnapshotTable[[#This Row],[LP Exp Date]],1), "")</f>
        <v/>
      </c>
      <c r="GM119" s="30" t="str">
        <f>IF(LEN(SnapshotTable[[#This Row],[LP Symbol]])&gt;0, 1, "")</f>
        <v/>
      </c>
      <c r="GN119" s="43" t="str">
        <f>IF(AND(SnapshotTable[[#This Row],[SP Exp Date]]&gt;0,SnapshotTable[[#This Row],[SP Strike Price]]&gt;0), [1]!ToOptionSymbol(SnapshotTable[[#This Row],[Symbol]], SnapshotTable[[#This Row],[SP Strike Price]],SnapshotTable[[#This Row],[SP Exp Date]],1), "")</f>
        <v/>
      </c>
      <c r="GO119" s="30" t="str">
        <f>IF(LEN(SnapshotTable[[#This Row],[SP Symbol]])&gt;0, 1, "")</f>
        <v/>
      </c>
      <c r="GP119" s="43" t="str">
        <f>IF(AND(SnapshotTable[[#This Row],[LC Exp Date]]&gt;0,SnapshotTable[[#This Row],[LC Strike Price]]&gt;0), [1]!ToOptionSymbol(SnapshotTable[[#This Row],[Symbol]], SnapshotTable[[#This Row],[LC Strike Price]],SnapshotTable[[#This Row],[LC Exp Date]],0), "")</f>
        <v/>
      </c>
      <c r="GQ119" s="30" t="str">
        <f>IF(LEN(SnapshotTable[[#This Row],[LC Symbol]])&gt;0, 1, "")</f>
        <v/>
      </c>
      <c r="GR119" s="43" t="str">
        <f>IF(AND(SnapshotTable[[#This Row],[SC Exp Date]]&gt;0,SnapshotTable[[#This Row],[SC Strike Price]]&gt;0), [1]!ToOptionSymbol(SnapshotTable[[#This Row],[Symbol]], SnapshotTable[[#This Row],[SC Strike Price]],SnapshotTable[[#This Row],[SC Exp Date]],0), "")</f>
        <v/>
      </c>
      <c r="GS119" s="30" t="str">
        <f>IF(LEN(SnapshotTable[[#This Row],[SC Symbol]])&gt;0, 1, "")</f>
        <v/>
      </c>
      <c r="GT119" s="29" t="str">
        <f>IF(COUNT(SnapshotTable[[#This Row],[LP Symbol Count]],SnapshotTable[[#This Row],[SP Symbol Count]],SnapshotTable[[#This Row],[LC Symbol Count]],SnapshotTable[[#This Row],[SC Symbol Count]])&gt;0, "Y", "")</f>
        <v/>
      </c>
      <c r="GU1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19" s="216">
        <f>MAX(SnapshotTable[[#This Row],[Equity Basis Total]],SnapshotTable[[#This Row],[Equity Value]]) + (SnapshotTable[[#This Row],[SP Potential Spend]]- SnapshotTable[[#This Row],[SP Premium]] + SnapshotTable[[#This Row],[LP Premium]])+ (SnapshotTable[[#This Row],[LC Premium]] - SnapshotTable[[#This Row],[SC Premium]])</f>
        <v>0</v>
      </c>
      <c r="GW119" s="137" t="str">
        <f>IF(AND(SnapshotTable[[#This Row],[Exposure]] &lt;&gt; 0),SnapshotTable[[#This Row],[Exposure]] / SnapshotTable[[#Totals],[Exposure]], "")</f>
        <v/>
      </c>
      <c r="HE119" s="253"/>
      <c r="HF119" s="253"/>
      <c r="HK119" s="1"/>
      <c r="HL119" s="1"/>
      <c r="HM119" s="1"/>
      <c r="HN119" s="1"/>
      <c r="HO119" s="1"/>
      <c r="HP119" s="1"/>
    </row>
    <row r="120" spans="2:224" ht="12.75" hidden="1" customHeight="1" x14ac:dyDescent="0.25">
      <c r="B120" s="12" t="s">
        <v>966</v>
      </c>
      <c r="C120" s="385">
        <v>3.95</v>
      </c>
      <c r="D120" s="200" t="s">
        <v>179</v>
      </c>
      <c r="E120" s="39">
        <f>SnapshotTable[[#This Row],[Last Price]]*(1 -CrashDiscount)</f>
        <v>3.3574999999999999</v>
      </c>
      <c r="F120" s="26" t="s">
        <v>445</v>
      </c>
      <c r="G120" s="26" t="s">
        <v>24</v>
      </c>
      <c r="H120" s="147"/>
      <c r="I120" s="186"/>
      <c r="J120" s="187"/>
      <c r="K120" s="188"/>
      <c r="L120" s="297"/>
      <c r="M120" s="138"/>
      <c r="N120" s="138"/>
      <c r="O120" s="138"/>
      <c r="P120" s="22"/>
      <c r="Q120" s="25"/>
      <c r="R120" s="4" t="str">
        <f>IF(SnapshotTable[[#This Row],[Equity Basis Total]] &gt; 0, SnapshotTable[[#This Row],[Equity Basis Total]] / SnapshotTable[[#This Row],[Equity Shares]], "")</f>
        <v/>
      </c>
      <c r="S120" s="254">
        <f>SnapshotTable[[#This Row],[Last Price]] * SnapshotTable[[#This Row],[Equity Shares]]</f>
        <v>0</v>
      </c>
      <c r="T120" s="254">
        <f>SnapshotTable[[#This Row],[Equity Value]] - SnapshotTable[[#This Row],[Equity Basis Total]]</f>
        <v>0</v>
      </c>
      <c r="U120" s="255" t="str">
        <f>IF(SnapshotTable[[#This Row],[Equity Basis Total]] &gt; 0, SnapshotTable[[#This Row],[Equity G/L]] / SnapshotTable[[#This Row],[Equity Basis Total]], "")</f>
        <v/>
      </c>
      <c r="V120" s="253"/>
      <c r="W120" s="253"/>
      <c r="X120" s="4" t="str">
        <f>IF(AND(ISNUMBER(SnapshotTable[[#This Row],[Equity Basis Per Share]]),ISNUMBER(SnapshotTable[[#This Row],[Equity Target]])),SnapshotTable[[#This Row],[Equity Target]]-SnapshotTable[[#This Row],[Equity Basis Per Share]],"")</f>
        <v/>
      </c>
      <c r="Y120" s="4" t="str">
        <f>IF(AND(ISNUMBER(SnapshotTable[[#This Row],[Equity Basis Per Share]]),ISNUMBER(SnapshotTable[[#This Row],[Equity Stop Loss]])),SnapshotTable[[#This Row],[Equity Stop Loss]]-SnapshotTable[[#This Row],[Equity Basis Per Share]],"")</f>
        <v/>
      </c>
      <c r="Z120" s="260" t="str">
        <f>IFERROR( TEXT(SnapshotTable[[#This Row],[Equity Max Gain Per Share]] /ABS( SnapshotTable[[#This Row],[Equity Max Loss Per Share]]),"0.0 " ) &amp; " : 1", "")</f>
        <v/>
      </c>
      <c r="AA120" s="31" t="str">
        <f>IF(ISNUMBER(SnapshotTable[[#This Row],[Equity Max Gain Per Share]]),SnapshotTable[[#This Row],[Equity Max Gain Per Share]] * SnapshotTable[[#This Row],[Equity Shares]],"")</f>
        <v/>
      </c>
      <c r="AB120" s="31" t="str">
        <f>IF(ISNUMBER(SnapshotTable[[#This Row],[Equity Max Loss Per Share]]),SnapshotTable[[#This Row],[Equity Max Loss Per Share]] * SnapshotTable[[#This Row],[Equity Shares]],"")</f>
        <v/>
      </c>
      <c r="AC120" s="148"/>
      <c r="AD120" s="149"/>
      <c r="AE120" s="31">
        <f>(SnapshotTable[[#This Row],[Annual Dividend Per Share]] / 4) * SnapshotTable[[#This Row],[Equity Shares]]</f>
        <v>0</v>
      </c>
      <c r="AF120" s="31">
        <f>SnapshotTable[[#This Row],[Quarterly Div $]] * 4</f>
        <v>0</v>
      </c>
      <c r="AG120" s="7">
        <f>IF(SnapshotTable[[#This Row],[Annual Dividend Per Share]]&gt;0, SnapshotTable[[#This Row],[Annual Dividend Per Share]]  / SnapshotTable[[#This Row],[Last Price]], 0)</f>
        <v>0</v>
      </c>
      <c r="AH120" s="149"/>
      <c r="AI120" s="5"/>
      <c r="AJ120" s="136"/>
      <c r="AK120" s="150" t="str">
        <f>IF(ISNUMBER( SnapshotTable[[#This Row],[EBF Target]]),(SnapshotTable[[#This Row],[EBF Target]] - SnapshotTable[[#This Row],[Last Price]]) / SnapshotTable[[#This Row],[Last Price]], "")</f>
        <v/>
      </c>
      <c r="AL120" s="150" t="str">
        <f>IF(AND(SnapshotTable[[#This Row],[Equity Basis Total]] &gt; 0,ISNUMBER( SnapshotTable[[#This Row],[Long Term Target]])), SnapshotTable[[#This Row],[From Basis $]] / SnapshotTable[[#This Row],[Equity Basis Total]], "")</f>
        <v/>
      </c>
      <c r="AM120" s="9">
        <f>IF( AND(SnapshotTable[[#This Row],[Equity Shares]] &gt;0,ISNUMBER( SnapshotTable[[#This Row],[Long Term Target]])),(SnapshotTable[[#This Row],[Equity Shares]] * SnapshotTable[[#This Row],[Long Term Target]]) - SnapshotTable[[#This Row],[Equity Basis Total]],0)</f>
        <v>0</v>
      </c>
      <c r="AN120" s="9">
        <f>IF( AND(SnapshotTable[[#This Row],[Equity Shares]] &gt;0,ISNUMBER( SnapshotTable[[#This Row],[Long Term Target]])),(SnapshotTable[[#This Row],[Equity Shares]]*SnapshotTable[[#This Row],[Long Term Target]]) - SnapshotTable[[#This Row],[Equity Value]],0)</f>
        <v>0</v>
      </c>
      <c r="AO120" s="150" t="str">
        <f>IF(AND(ISNUMBER( SnapshotTable[[#This Row],[Long Term Target]]), ISNUMBER(SnapshotTable[[#This Row],[Last Price]])),(SnapshotTable[[#This Row],[Long Term Target]] - SnapshotTable[[#This Row],[Last Price]]) / SnapshotTable[[#This Row],[Last Price]], "")</f>
        <v/>
      </c>
      <c r="AP120" s="5">
        <v>4</v>
      </c>
      <c r="AQ120" s="38" t="s">
        <v>16</v>
      </c>
      <c r="AR120" s="5">
        <v>2</v>
      </c>
      <c r="AS120" s="38" t="s">
        <v>847</v>
      </c>
      <c r="AT120" s="144" t="s">
        <v>433</v>
      </c>
      <c r="AU120" s="185" t="str">
        <f>IF(OR(SnapshotTable[[#This Row],[LP No Fill]]="Y",SnapshotTable[[#This Row],[SP Is Filled]],SnapshotTable[[#This Row],[LC Not Filled]]="Y",SnapshotTable[[#This Row],[SC Is Filled]]),"Y","")</f>
        <v/>
      </c>
      <c r="AV120" s="205"/>
      <c r="AW120" s="211"/>
      <c r="AX120" s="206"/>
      <c r="AY120" s="205" t="str">
        <f>IF(SnapshotTable[[#This Row],[Implied Move]]&gt;0, SnapshotTable[[#This Row],[Last Price]]-SnapshotTable[[#This Row],[Implied Move]],"")</f>
        <v/>
      </c>
      <c r="AZ120" s="205" t="str">
        <f>IF(SnapshotTable[[#This Row],[Implied Move]]&gt;0, SnapshotTable[[#This Row],[Last Price]] + SnapshotTable[[#This Row],[Implied Move]],"")</f>
        <v/>
      </c>
      <c r="BA120" s="302">
        <v>0.19</v>
      </c>
      <c r="BB120" s="318"/>
      <c r="BC1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0" s="321"/>
      <c r="BE120" s="5"/>
      <c r="BF120" s="14"/>
      <c r="BG120" s="13"/>
      <c r="BH120" s="13"/>
      <c r="BI120" s="5"/>
      <c r="BJ120" s="134">
        <f>IF(SnapshotTable[[#This Row],[LP Qty]] &gt; 0, SnapshotTable[[#This Row],[LP Qty]] * SnapshotTable[[#This Row],[LP Book Price]] * 100,0)</f>
        <v>0</v>
      </c>
      <c r="BK120" s="134">
        <f>IF(SnapshotTable[[#This Row],[LP Premium]] &gt; 0, SnapshotTable[[#This Row],[LP Qty]] * SnapshotTable[[#This Row],[LP Strike Price]] * 100,0)</f>
        <v>0</v>
      </c>
      <c r="BL120" s="152"/>
      <c r="BM120" s="355" t="str">
        <f>IF(SnapshotTable[[#This Row],[LP Premium]] &gt; 0,SnapshotTable[[#This Row],[LP Exp Date]]-MAX(SnapshotTable[[#This Row],[LP Book Date]], SnapshotTable[[#This Row],[LP Fill Date]]),"")</f>
        <v/>
      </c>
      <c r="BN120" s="355" t="str">
        <f>IF(ISNUMBER( SnapshotTable[[#This Row],[LP Term]]), SnapshotTable[[#This Row],[LP Exp Date]] - MockToday,"")</f>
        <v/>
      </c>
      <c r="BO120" s="161" t="str">
        <f>IF(AND(SnapshotTable[[#This Row],[LP Exp Date]]&gt;0, SnapshotTable[[#This Row],[LP Strike Price]]&gt;0,SnapshotTable[[#This Row],[LP Qty]]&gt;0,SnapshotTable[[#This Row],[LP Book Date]]&gt;0,SnapshotTable[[#This Row],[LP Book Price]]&gt;0,SnapshotTable[[#This Row],[LP Fill Date]]=0),"Y","")</f>
        <v/>
      </c>
      <c r="BP120" s="31" t="str">
        <f>IF(AND(SnapshotTable[[#This Row],[LP No Fill]]&lt;&gt;"Y",SnapshotTable[[#This Row],[LP Contract Value]]&gt;0, SnapshotTable[[#This Row],[LP Qty]]&gt;0), SnapshotTable[[#This Row],[LP Contract Value]]*SnapshotTable[[#This Row],[LP Qty]]*100,"")</f>
        <v/>
      </c>
      <c r="BQ120" s="13"/>
      <c r="BR120" s="5"/>
      <c r="BS120" s="36"/>
      <c r="BT120" s="145"/>
      <c r="BU120" s="13"/>
      <c r="BV120" s="5"/>
      <c r="BW120" s="382" t="b">
        <f>AND(ISNUMBER(SnapshotTable[[#This Row],[SP Exp Date]]), ISNUMBER(SnapshotTable[[#This Row],[SP Strike Price]]), ISNUMBER(SnapshotTable[[#This Row],[SP Qty]]), ISNUMBER(SnapshotTable[[#This Row],[SP Book Date]]), ISNUMBER(SnapshotTable[[#This Row],[SP Book Price]]))</f>
        <v>0</v>
      </c>
      <c r="BX120" s="382" t="b">
        <f>AND(SnapshotTable[[#This Row],[SP Is Booked]], NOT(ISBLANK(SnapshotTable[[#This Row],[SP Fill Date]])))</f>
        <v>0</v>
      </c>
      <c r="BY120" s="33">
        <f>IF(SnapshotTable[[#This Row],[SP Is Booked]], SnapshotTable[[#This Row],[SP Qty]] * SnapshotTable[[#This Row],[SP Book Price]] * 100, 0)</f>
        <v>0</v>
      </c>
      <c r="BZ120" s="339"/>
      <c r="CA120" s="338">
        <f>SnapshotTable[[#This Row],[LP Qty]]</f>
        <v>0</v>
      </c>
      <c r="CB120" s="4" t="str">
        <f>IF(SnapshotTable[[#This Row],[SP Is Booked]], SnapshotTable[[#This Row],[SP Strike Price]] - SnapshotTable[[#This Row],[SP Book Price]], "")</f>
        <v/>
      </c>
      <c r="CC120" s="19" t="str">
        <f>IF(SnapshotTable[[#This Row],[SP Is Booked]],SnapshotTable[[#This Row],[SP Exp Date]]-MAX(SnapshotTable[[#This Row],[SP Book Date]], SnapshotTable[[#This Row],[SP Fill Date]]),"")</f>
        <v/>
      </c>
      <c r="CD120" s="7" t="str">
        <f>IF(SnapshotTable[[#This Row],[SP Is Booked]], SnapshotTable[[#This Row],[SP Book Price]]/SnapshotTable[[#This Row],[SP Strike Price]], "")</f>
        <v/>
      </c>
      <c r="CE120" s="7" t="str">
        <f>IF(ISNUMBER(SnapshotTable[[#This Row],[SP ROO Term]]),SnapshotTable[[#This Row],[SP ROO Term]]*(365/SnapshotTable[[#This Row],[SP Term]]),"")</f>
        <v/>
      </c>
      <c r="CF120" s="221">
        <f>SnapshotTable[[#This Row],[LP Strike Price]] * SnapshotTable[[#This Row],[LP Qty]] * 100</f>
        <v>0</v>
      </c>
      <c r="CG120" s="31">
        <f>IF(ISNUMBER(SnapshotTable[[#This Row],[SP Premium]]), (SnapshotTable[[#This Row],[SP Qty]] * SnapshotTable[[#This Row],[SP Strike Price]]* 100) - SnapshotTable[[#This Row],[LP Protection]], 0)</f>
        <v>0</v>
      </c>
      <c r="CH120" s="7" t="str">
        <f>IF(ISNUMBER(SnapshotTable[[#This Row],[SP Break Even]]),-1 * (SnapshotTable[[#This Row],[SP Break Even]] - SnapshotTable[[#This Row],[Last Price]]) / SnapshotTable[[#This Row],[Last Price]], "")</f>
        <v/>
      </c>
      <c r="CI120" s="31">
        <f>IF(AND(ISNUMBER((SnapshotTable[[#This Row],[SP Potential Spend]])), SnapshotTable[[#This Row],[SP Strike Price]] &gt; SnapshotTable[[#This Row],[Last Price]], SnapshotTable[[#This Row],[SP Is Filled]]), SnapshotTable[[#This Row],[SP Potential Spend]] -  SnapshotTable[[#This Row],[LP Max Value]], 0)</f>
        <v>0</v>
      </c>
      <c r="CJ120" s="229">
        <v>0.01</v>
      </c>
      <c r="CK120" s="31">
        <f>IF(ISNUMBER(SnapshotTable[[#This Row],[SP Potential Spend]]),IF(ISNUMBER(SnapshotTable[[#This Row],[SP POW]]), SnapshotTable[[#This Row],[SP POW]] * SnapshotTable[[#This Row],[SP Potential Spend]], SnapshotTable[[#This Row],[SP Potential Spend]]), "")</f>
        <v>0</v>
      </c>
      <c r="CL120" s="162">
        <f>IF(NOT(SnapshotTable[[#This Row],[SP Is Filled]]),(SnapshotTable[[#This Row],[SP Qty]] * SnapshotTable[[#This Row],[SP Strike Price]] * 100) - SnapshotTable[[#This Row],[LP Max Value]],"")</f>
        <v>0</v>
      </c>
      <c r="CM120" s="31" t="str">
        <f>IF(SnapshotTable[[#This Row],[SP Actual Spend]]&lt;&gt;0, ((SnapshotTable[[#This Row],[SP Strike Price]]-SnapshotTable[[#This Row],[Last Price]]) *(SnapshotTable[[#This Row],[SP Qty]]*100) - SnapshotTable[[#This Row],[SP Premium]]) * - 1, "")</f>
        <v/>
      </c>
      <c r="CN120" s="76"/>
      <c r="CO120" s="339"/>
      <c r="CP120" s="4" t="str">
        <f>IF(SnapshotTable[[#This Row],[SP Is Filled]], btc_max_buyback_amount(SnapshotTable[[#This Row],[SP Fill Date]],SnapshotTable[[#This Row],[SP Exp Date]], SnapshotTable[[#This Row],[SP Book Price]]),"")</f>
        <v/>
      </c>
      <c r="CQ120" s="76"/>
      <c r="CR12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0" s="153" t="str">
        <f>IF(SnapshotTable[[#This Row],[SP Is Filled]], btc_next_cutoff_date(SnapshotTable[[#This Row],[SP Fill Date]],SnapshotTable[[#This Row],[SP Exp Date]]),"")</f>
        <v/>
      </c>
      <c r="CT120" s="220" t="str" cm="1">
        <f t="array" ref="CT120">IF(SnapshotTable[[#This Row],[SP Is Filled]], btc_should_buy_back(SnapshotTable[[#This Row],[SP Fill Date]], SnapshotTable[[#This Row],[SP Exp Date]], SnapshotTable[[#This Row],[SP Book Price]], SnapshotTable[[#This Row],[SP Current Ask]], MockToday, SnapshotTable[[#This Row],[SP Buyback Override]]),"")</f>
        <v/>
      </c>
      <c r="CU120" s="154"/>
      <c r="CV120" s="220"/>
      <c r="CW120" s="348" t="str">
        <f>IF(ISNUMBER( SnapshotTable[[#This Row],[SP Term]]), SnapshotTable[[#This Row],[SP Exp Date]] - MockToday,"")</f>
        <v/>
      </c>
      <c r="CX120" s="31" t="str">
        <f>IF(SnapshotTable[[#This Row],[SP Is Filled]],SnapshotTable[[#This Row],[SP Buyback Price to Use]] * 100 * SnapshotTable[[#This Row],[SP Qty]], "")</f>
        <v/>
      </c>
      <c r="CY120" s="4" t="str">
        <f>IF(ISNUMBER(SnapshotTable[[#This Row],[SP Strike Price]]), SnapshotTable[[#This Row],[SP Strike Price]] * (1 - SP_MaxLoss_StrikePct), "")</f>
        <v/>
      </c>
      <c r="CZ120" s="31" t="str">
        <f>IF(ISNUMBER(SnapshotTable[[#This Row],[SP Strike  Stop Per Share]]),SnapshotTable[[#This Row],[SP Premium]] - ((SnapshotTable[[#This Row],[SP Strike Price]]-SnapshotTable[[#This Row],[SP Strike  Stop Per Share]]) *(SnapshotTable[[#This Row],[SP Qty]] * 100)),"")</f>
        <v/>
      </c>
      <c r="DA120" s="4" t="str">
        <f>IF(AND(ISNUMBER(SnapshotTable[[#This Row],[SP Premium]]),SnapshotTable[[#This Row],[SP Premium]]&gt;0), SnapshotTable[[#This Row],[SP Book Price]] * (1 + SP_MaxLoss_OptionPct), "")</f>
        <v/>
      </c>
      <c r="DB120" s="31" t="str">
        <f>IF(ISNUMBER(SnapshotTable[[#This Row],[SP Option  Stop Contract]]),(SnapshotTable[[#This Row],[SP Option  Stop Contract]] *(SnapshotTable[[#This Row],[SP Qty]] * 100) - SnapshotTable[[#This Row],[SP Premium]]),"")</f>
        <v/>
      </c>
      <c r="DC120" s="4"/>
      <c r="DD120" s="4"/>
      <c r="DE120" s="4" t="str">
        <f>IF(AND(SnapshotTable[[#This Row],[SP Qty]]&gt;0, SnapshotTable[[#This Row],[SP Stop To Use]]&gt;0),SnapshotTable[[#This Row],[SP Premium]] - ( SnapshotTable[[#This Row],[SP Qty]] * SnapshotTable[[#This Row],[SP Stop To Use]] * 100), "")</f>
        <v/>
      </c>
      <c r="DF120" s="31" t="str">
        <f>IF(AND(SnapshotTable[[#This Row],[SP Qty]]&gt;0,SnapshotTable[[#This Row],[SP Current Ask]]&gt;0), SnapshotTable[[#This Row],[SP Qty]] * SnapshotTable[[#This Row],[SP Current Ask]] * -100, "")</f>
        <v/>
      </c>
      <c r="DG120" s="31" t="str">
        <f>IF(ISNUMBER((SnapshotTable[[#This Row],[SP Total Value]])), SnapshotTable[[#This Row],[SP Premium]] + SnapshotTable[[#This Row],[SP Total Value]], "")</f>
        <v/>
      </c>
      <c r="DH120" s="272" t="str">
        <f>IF(ISNUMBER((SnapshotTable[[#This Row],[SP Total Value]])), SnapshotTable[[#This Row],[SP Gain Loss]] / SnapshotTable[[#This Row],[SP Premium]], "")</f>
        <v/>
      </c>
      <c r="DI120" s="369"/>
      <c r="DJ120" s="136"/>
      <c r="DK120" s="146"/>
      <c r="DL120" s="13"/>
      <c r="DM120" s="13"/>
      <c r="DO120" s="31">
        <f>IF(SnapshotTable[[#This Row],[LC Symbol Count]]=1, SnapshotTable[[#This Row],[LC Qty]] * SnapshotTable[[#This Row],[LC Book Price]] * 100, 0)</f>
        <v>0</v>
      </c>
      <c r="DP120" s="161" t="str">
        <f>IF(AND(SnapshotTable[[#This Row],[LC Exp Date]]&gt;0, SnapshotTable[[#This Row],[LC Strike Price]]&gt;0,SnapshotTable[[#This Row],[LC Qty]]&gt;0,SnapshotTable[[#This Row],[LC Book Date]]&gt;0,SnapshotTable[[#This Row],[LC Book Price]]&gt;0,SnapshotTable[[#This Row],[LC Fill Date]]=0),"Y","")</f>
        <v/>
      </c>
      <c r="DQ120" s="356" t="str">
        <f>IF(SnapshotTable[[#This Row],[LC Premium]] &gt; 0,SnapshotTable[[#This Row],[LC Exp Date]]-MAX(SnapshotTable[[#This Row],[LC Book Date]], SnapshotTable[[#This Row],[LC Fill Date]]),"")</f>
        <v/>
      </c>
      <c r="DR120" s="356" t="str">
        <f>IF(ISNUMBER(SnapshotTable[[#This Row],[LC Term]]), SnapshotTable[[#This Row],[LC Exp Date]] - MockToday, "")</f>
        <v/>
      </c>
      <c r="DS120" s="219" t="str">
        <f>IF(SnapshotTable[[#This Row],[LC Premium]]&gt;0,SnapshotTable[[#This Row],[LC Strike Price]] + SnapshotTable[[#This Row],[LC Book Price]],"")</f>
        <v/>
      </c>
      <c r="DU120" s="9" t="str">
        <f>IF(AND(SnapshotTable[[#This Row],[LC Symbol Count]]&gt;0, SnapshotTable[[#This Row],[LC Contract Value]]&gt;0), SnapshotTable[[#This Row],[LC Contract Value]] * SnapshotTable[[#This Row],[LC Qty]] * 100, "")</f>
        <v/>
      </c>
      <c r="DV120" s="9" t="str">
        <f>IF(AND(ISNUMBER(SnapshotTable[[#This Row],[LC Total Value]]), SnapshotTable[[#This Row],[LC Not Filled]]&lt;&gt;"Y"), SnapshotTable[[#This Row],[LC Total Value]]-SnapshotTable[[#This Row],[LC Premium]],"")</f>
        <v/>
      </c>
      <c r="DW120" s="225" t="str">
        <f>IF(ISNUMBER(SnapshotTable[[#This Row],[LC Actual Gain Loss]]), SnapshotTable[[#This Row],[LC Actual Gain Loss]] / SnapshotTable[[#This Row],[LC Premium]],"")</f>
        <v/>
      </c>
      <c r="DX120" s="269" t="str">
        <f>IF(ISNUMBER(SnapshotTable[[#This Row],[LC Book Price]]),SnapshotTable[[#This Row],[LC Book Price]] * 1.5,"")</f>
        <v/>
      </c>
      <c r="DY120" s="250" t="str">
        <f>IF(SnapshotTable[[#This Row],[LC Premium]]&gt;0, SnapshotTable[[#This Row],[LC Next Target]] * SnapshotTable[[#This Row],[LC Qty]] * 100,"")</f>
        <v/>
      </c>
      <c r="DZ120" s="250" t="str">
        <f>IF(ISNUMBER(SnapshotTable[[#This Row],[LC Target Gross]]), SnapshotTable[[#This Row],[LC Target Gross]] - SnapshotTable[[#This Row],[LC Premium]], "")</f>
        <v/>
      </c>
      <c r="EA120" s="283" t="str">
        <f>IF(ISNUMBER(SnapshotTable[[#This Row],[LC Target Gain Loss]]), SnapshotTable[[#This Row],[LC Target Gain Loss]]/SnapshotTable[[#This Row],[LC Premium]], "")</f>
        <v/>
      </c>
      <c r="EB120" s="247"/>
      <c r="EC120" s="268" t="str">
        <f>IF(SnapshotTable[[#This Row],[LC Premium]]&gt;0, SnapshotTable[[#This Row],[LC Book Price]] * (1 - LC_StopLoss_Pct),"")</f>
        <v/>
      </c>
      <c r="ED120" s="269"/>
      <c r="EE120" s="268" t="str">
        <f>IF(ISNUMBER(SnapshotTable[[#This Row],[LC Contract Value]]),IF(ISNUMBER(SnapshotTable[[#This Row],[LC Stop Loss Override]]), SnapshotTable[[#This Row],[LC Stop Loss Override]],SnapshotTable[[#This Row],[LC Stop Loss Calc Target]]),"")</f>
        <v/>
      </c>
      <c r="EF120" s="31" t="str">
        <f>IF(ISNUMBER(SnapshotTable[[#This Row],[LC Stop  To Use]]), (SnapshotTable[[#This Row],[LC Stop  To Use]] * SnapshotTable[[#This Row],[LC Qty]] * 100),"")</f>
        <v/>
      </c>
      <c r="EG120" s="9" t="str">
        <f>IF(ISNUMBER(SnapshotTable[[#This Row],[LC Total Value]]),SnapshotTable[[#This Row],[LC Stop Loss Amount]] - SnapshotTable[[#This Row],[LC Premium]],"")</f>
        <v/>
      </c>
      <c r="EH120" s="9">
        <f>IF(ISNUMBER(SnapshotTable[[#This Row],[LC Premium]]), SnapshotTable[[#This Row],[LC Qty]] * 100 * SnapshotTable[[#This Row],[LC Strike Price]], "")</f>
        <v>0</v>
      </c>
      <c r="EI120" s="225" t="str">
        <f>IF(AND(ISNUMBER(SnapshotTable[[#This Row],[LC Total Value]]),SnapshotTable[[#This Row],[LC Total Value]]&gt;0),SnapshotTable[[#This Row],[LC Stop Gain Loss]]  / SnapshotTable[[#This Row],[LC Premium]],"")</f>
        <v/>
      </c>
      <c r="EJ120" s="35">
        <f>IF(ISNUMBER(SnapshotTable[[#This Row],[Equity Shares]]),TRUNC(SnapshotTable[[#This Row],[Equity Shares]] / 100),0) + SnapshotTable[[#This Row],[LC Qty]]</f>
        <v>0</v>
      </c>
      <c r="EK120" s="145"/>
      <c r="EL120" s="136"/>
      <c r="EM120" s="146"/>
      <c r="EN120" s="145"/>
      <c r="EO120" s="145"/>
      <c r="EP120" s="136">
        <v>0.17</v>
      </c>
      <c r="EQ120" s="382" t="b">
        <f>AND(ISNUMBER(SnapshotTable[[#This Row],[SC Exp Date]]), ISNUMBER(SnapshotTable[[#This Row],[SC Strike Price]]), ISNUMBER(SnapshotTable[[#This Row],[SC Qty]]), ISNUMBER(SnapshotTable[[#This Row],[SC Book Date]]), ISNUMBER(SnapshotTable[[#This Row],[SC Book Price]]))</f>
        <v>0</v>
      </c>
      <c r="ER120" s="382" t="b">
        <f>AND(SnapshotTable[[#This Row],[SC Is Booked]], NOT(ISBLANK(SnapshotTable[[#This Row],[SC Fill Date]])))</f>
        <v>0</v>
      </c>
      <c r="ES120" s="340"/>
      <c r="ET120" s="34" t="str">
        <f>IF(AND(ISNUMBER(SnapshotTable[[#This Row],[SC Exp Date]]), ISNUMBER(SnapshotTable[[#This Row],[SC Book Date]])), SnapshotTable[[#This Row],[SC Exp Date]] - MAX(SnapshotTable[[#This Row],[SC Book Date]], SnapshotTable[[#This Row],[SC Fill Date]]) + 1, "")</f>
        <v/>
      </c>
      <c r="EU120" s="34" t="str">
        <f>IF(ISNUMBER(SnapshotTable[[#This Row],[SC Term]]), SnapshotTable[[#This Row],[SC Exp Date]]- MockToday, "")</f>
        <v/>
      </c>
      <c r="EV120" s="31">
        <f>IF(SnapshotTable[[#This Row],[SC Is Booked]], SnapshotTable[[#This Row],[SC Qty]] * SnapshotTable[[#This Row],[SC Book Price]] * 100, 0)</f>
        <v>0</v>
      </c>
      <c r="EW120" s="4">
        <f>IF(AND(ISNUMBER(SnapshotTable[[#This Row],[Last Price]]), ISNUMBER( SnapshotTable[[#This Row],[SC Book Price]])), SnapshotTable[[#This Row],[Last Price]] - SnapshotTable[[#This Row],[SC Book Price]],"")</f>
        <v>3.7800000000000002</v>
      </c>
      <c r="EX120" s="219" t="str">
        <f>IF(SnapshotTable[[#This Row],[SC Is Booked]],IF(SnapshotTable[[#This Row],[SC Intrinsic Value]] &gt; 0, SnapshotTable[[#This Row],[SC Strike Price]], SnapshotTable[[#This Row],[Last Price]]), "")</f>
        <v/>
      </c>
      <c r="EY120" s="4">
        <f>IF(SnapshotTable[[#This Row],[SC Is Booked]], (MinimumPremiumRequired * SnapshotTable[[#This Row],[SC Basis]] * SnapshotTable[[#This Row],[SC Term]]), 0)</f>
        <v>0</v>
      </c>
      <c r="EZ120" s="268"/>
      <c r="FA120" s="204"/>
      <c r="FB120" s="340"/>
      <c r="FC120" s="4">
        <f>IF(SnapshotTable[[#This Row],[SC Is Filled]], btc_max_buyback_amount(SnapshotTable[[#This Row],[SC Fill Date]],SnapshotTable[[#This Row],[SC Exp Date]], SnapshotTable[[#This Row],[SC Book Price]]),0)</f>
        <v>0</v>
      </c>
      <c r="FD120" s="5"/>
      <c r="FE120" s="142" t="str">
        <f>IF(SnapshotTable[[#This Row],[SC Is Filled]], btc_next_cutoff_date(SnapshotTable[[#This Row],[SC Fill Date]],SnapshotTable[[#This Row],[SC Exp Date]]),"")</f>
        <v/>
      </c>
      <c r="FF120" s="4" t="str" cm="1">
        <f t="array" ref="FF120">IF(SnapshotTable[[#This Row],[SC Is Filled]], btc_should_buy_back(SnapshotTable[[#This Row],[SC Fill Date]], SnapshotTable[[#This Row],[SC Exp Date]], SnapshotTable[[#This Row],[SC Book Price]], SnapshotTable[[#This Row],[SC Current Ask]], MockToday, SnapshotTable[[#This Row],[SC Buyback Override]]),"")</f>
        <v/>
      </c>
      <c r="FG120" s="4">
        <f>IF(SnapshotTable[[#This Row],[SC Is Filled]], MAX(0,SnapshotTable[[#This Row],[Last Price]]  - SnapshotTable[[#This Row],[SC Strike Price]]), 0)</f>
        <v>0</v>
      </c>
      <c r="FH120" s="352">
        <f>IF(SnapshotTable[[#This Row],[SC Is Filled]], IF(ISNUMBER(SnapshotTable[[#This Row],[SC Current Ask]]), SnapshotTable[[#This Row],[SC Current Ask]], SnapshotTable[[#This Row],[SC Book Price]]) - SnapshotTable[[#This Row],[SC Intrinsic Value]], 0)</f>
        <v>0</v>
      </c>
      <c r="FI120" s="141"/>
      <c r="FJ120" s="32" t="str">
        <f>IF(SnapshotTable[[#This Row],[SC Is Filled]],100 * SnapshotTable[[#This Row],[SC Qty]] * IF(ISNUMBER(SnapshotTable[[#This Row],[SC Buyback Override]]), SnapshotTable[[#This Row],[SC Buyback Override]], SnapshotTable[[#This Row],[SC Current Ask]]), "")</f>
        <v/>
      </c>
      <c r="FK120" s="235" t="str">
        <f>IF(SnapshotTable[[#This Row],[SC Time Val]]&gt;0, SnapshotTable[[#This Row],[SC Time Val]] / SnapshotTable[[#This Row],[Last Price]],"")</f>
        <v/>
      </c>
      <c r="FL120" s="280" t="str">
        <f>IF(SnapshotTable[[#This Row],[SC Is Booked]], ((SnapshotTable[[#This Row],[Last Price]] -SnapshotTable[[#This Row],[SC Strike Price]]) / SnapshotTable[[#This Row],[Last Price]]) * -1, "")</f>
        <v/>
      </c>
      <c r="FM120" s="155" t="str">
        <f>IF(SnapshotTable[[#This Row],[SC Is Booked]],  (SnapshotTable[[#This Row],[SC Qty]] * 100 * SnapshotTable[[#This Row],[SC Strike Price]]) - SnapshotTable[[#This Row],[SC Current Ask]], "")</f>
        <v/>
      </c>
      <c r="FN12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0" s="31" t="str">
        <f>IF(AND(ISNUMBER(SnapshotTable[[#This Row],[SC Exercise Gross]]), ISNUMBER(SnapshotTable[[#This Row],[Equity Basis Per Share]] )), SnapshotTable[[#This Row],[SC Exercise Gross]] - SnapshotTable[[#This Row],[Equity Basis Total]] +  SnapshotTable[[#This Row],[SC Premium]], "")</f>
        <v/>
      </c>
      <c r="FP120" s="5" t="str">
        <f>IF(ISNUMBER(SnapshotTable[[#This Row],[SC Exercise Gross]]), (SnapshotTable[[#This Row],[SC Exercise Gross]]) / (SnapshotTable[[#This Row],[SC Qty]] * 100), "")</f>
        <v/>
      </c>
      <c r="FQ120" s="27" t="str">
        <f>IF(SnapshotTable[[#This Row],[SC Is Booked]],SnapshotTable[[#This Row],[SC Time Val]] /SnapshotTable[[#This Row],[SC Basis]], "")</f>
        <v/>
      </c>
      <c r="FR120" s="27" t="str" cm="1">
        <f t="array" ref="FR120">IF(AND(ISNUMBER(SnapshotTable[[#This Row],[SC Term]]),ISNUMBER(SnapshotTable[[#This Row],[SC Simple ROO]])), EllmanAnnualize(SnapshotTable[[#This Row],[SC DTE]], SnapshotTable[[#This Row],[SC Simple ROO]] ),"")</f>
        <v/>
      </c>
      <c r="FS120" s="4">
        <f>IF(SnapshotTable[[#This Row],[SC Strike Price]] &gt; SnapshotTable[[#This Row],[Last Price]], SnapshotTable[[#This Row],[SC Strike Price]] - SnapshotTable[[#This Row],[Last Price]],0)</f>
        <v>0</v>
      </c>
      <c r="FT120" s="27" t="str">
        <f>IF(AND(ISNUMBER(SnapshotTable[[#This Row],[SC Upside Potential]]), SnapshotTable[[#This Row],[SC Upside Potential]] &gt; 0),(SnapshotTable[[#This Row],[SC Upside Potential]]/ SnapshotTable[[#This Row],[ACB]]),"")</f>
        <v/>
      </c>
      <c r="FU120" s="304" t="str">
        <f>IF(SnapshotTable[[#This Row],[SC Intrinsic Value]] &gt; 0,SnapshotTable[[#This Row],[SC Intrinsic Value]],"")</f>
        <v/>
      </c>
      <c r="FV120" s="27" t="str">
        <f>IF(AND( ISNUMBER( SnapshotTable[[#This Row],[ACB]]),ISNUMBER(SnapshotTable[[#This Row],[SC Downside Protect]])),SnapshotTable[[#This Row],[SC Downside Protect]] / SnapshotTable[[#This Row],[ACB]],"")</f>
        <v/>
      </c>
      <c r="FW120" s="221" t="str">
        <f>IF(AND(ISNUMBER(SnapshotTable[[#This Row],[SC Simple ROO]]),SnapshotTable[[#This Row],[SC Simple ROO]] &gt; 0), SnapshotTable[[#This Row],[SC Premium]] + (SnapshotTable[[#This Row],[SC Qty]] * SnapshotTable[[#This Row],[SC Upside Potential]]), "")</f>
        <v/>
      </c>
      <c r="FX120" s="280" t="str" cm="1">
        <f t="array" ref="FX120">IF(ISNUMBER(SnapshotTable[[#This Row],[SC Max Dollars]]), annualize(SnapshotTable[[#This Row],[SC Term]],(SnapshotTable[[#This Row],[SC Max Dollars]]/SnapshotTable[[#This Row],[SC Basis]])),"")</f>
        <v/>
      </c>
      <c r="FY120" s="221" t="str">
        <f>IF(AND(SnapshotTable[[#This Row],[SC Qty]]&gt;0,SnapshotTable[[#This Row],[SC Current Ask]]&gt;0), SnapshotTable[[#This Row],[SC Qty]] * SnapshotTable[[#This Row],[SC Current Ask]] * -100, "")</f>
        <v/>
      </c>
      <c r="FZ120" s="31" t="str">
        <f>IF(ISNUMBER((SnapshotTable[[#This Row],[SC Current Value]])), SnapshotTable[[#This Row],[SC Premium]] + SnapshotTable[[#This Row],[SC Current Value]], "")</f>
        <v/>
      </c>
      <c r="GA120" s="272" t="str">
        <f>IFERROR( IF(ISNUMBER((SnapshotTable[[#This Row],[SC Current Value]])), SnapshotTable[[#This Row],[SC Gain Loss]] / SnapshotTable[[#This Row],[SC Premium]], ""), "")</f>
        <v/>
      </c>
      <c r="GB120" s="42">
        <f>SnapshotTable[[#This Row],[Equity Shares]] * SaleSharesToConsiderPercentage</f>
        <v>0</v>
      </c>
      <c r="GC120" s="40">
        <f>SnapshotTable[[#This Row],[Long Term Target]] * SellingPriceToConsiderBasedOnTargetPercentage</f>
        <v>0</v>
      </c>
      <c r="GD120" s="40">
        <f>SnapshotTable[[#This Row],[Last Price]] * (1+ SellingPriceToConsiderBasedOnTargetPercentage)</f>
        <v>7.7025000000000006</v>
      </c>
      <c r="GE120" s="41"/>
      <c r="GF120" s="40"/>
      <c r="GG120" s="31">
        <f>SnapshotTable[[#This Row],[Booked Sale Shares]] * SnapshotTable[[#This Row],[Booked Sale Price]]</f>
        <v>0</v>
      </c>
      <c r="GH120" s="31" t="str">
        <f>IF(SnapshotTable[[#This Row],[Equity Basis Total]] &gt; 0, SnapshotTable[[#This Row],[Equity Basis Per Share]] * SnapshotTable[[#This Row],[Booked Sale Shares]], "")</f>
        <v/>
      </c>
      <c r="GI120" s="31">
        <f>IF(SnapshotTable[[#This Row],[Sale Proceeds]]&gt;0, SnapshotTable[[#This Row],[Sale Proceeds]] - SnapshotTable[[#This Row],[Sale Basis]], 0)</f>
        <v>0</v>
      </c>
      <c r="GJ120" s="27" t="str">
        <f>IF(SnapshotTable[[#This Row],[Sale G/L]]&gt;0, SnapshotTable[[#This Row],[Sale G/L]] / SnapshotTable[[#This Row],[Sale Basis]], IF(ISNUMBER(SnapshotTable[[#This Row],[SC Exercise P&amp;L (TAX)]]), SnapshotTable[[#This Row],[SC Exercise P&amp;L (TAX)]] / SnapshotTable[[#This Row],[SC Basis]], ""))</f>
        <v/>
      </c>
      <c r="GK120" s="27" t="s">
        <v>970</v>
      </c>
      <c r="GL120" s="43" t="str">
        <f>IF(AND(SnapshotTable[[#This Row],[LP Exp Date]]&gt;0,SnapshotTable[[#This Row],[LP Strike Price]]&gt;0), [1]!ToOptionSymbol(SnapshotTable[[#This Row],[Symbol]], SnapshotTable[[#This Row],[LP Strike Price]],SnapshotTable[[#This Row],[LP Exp Date]],1), "")</f>
        <v/>
      </c>
      <c r="GM120" s="30" t="str">
        <f>IF(LEN(SnapshotTable[[#This Row],[LP Symbol]])&gt;0, 1, "")</f>
        <v/>
      </c>
      <c r="GN120" s="43" t="str">
        <f>IF(AND(SnapshotTable[[#This Row],[SP Exp Date]]&gt;0,SnapshotTable[[#This Row],[SP Strike Price]]&gt;0), [1]!ToOptionSymbol(SnapshotTable[[#This Row],[Symbol]], SnapshotTable[[#This Row],[SP Strike Price]],SnapshotTable[[#This Row],[SP Exp Date]],1), "")</f>
        <v/>
      </c>
      <c r="GO120" s="30" t="str">
        <f>IF(LEN(SnapshotTable[[#This Row],[SP Symbol]])&gt;0, 1, "")</f>
        <v/>
      </c>
      <c r="GP120" s="43" t="str">
        <f>IF(AND(SnapshotTable[[#This Row],[LC Exp Date]]&gt;0,SnapshotTable[[#This Row],[LC Strike Price]]&gt;0), [1]!ToOptionSymbol(SnapshotTable[[#This Row],[Symbol]], SnapshotTable[[#This Row],[LC Strike Price]],SnapshotTable[[#This Row],[LC Exp Date]],0), "")</f>
        <v/>
      </c>
      <c r="GQ120" s="30" t="str">
        <f>IF(LEN(SnapshotTable[[#This Row],[LC Symbol]])&gt;0, 1, "")</f>
        <v/>
      </c>
      <c r="GR120" s="43" t="str">
        <f>IF(AND(SnapshotTable[[#This Row],[SC Exp Date]]&gt;0,SnapshotTable[[#This Row],[SC Strike Price]]&gt;0), [1]!ToOptionSymbol(SnapshotTable[[#This Row],[Symbol]], SnapshotTable[[#This Row],[SC Strike Price]],SnapshotTable[[#This Row],[SC Exp Date]],0), "")</f>
        <v/>
      </c>
      <c r="GS120" s="30" t="str">
        <f>IF(LEN(SnapshotTable[[#This Row],[SC Symbol]])&gt;0, 1, "")</f>
        <v/>
      </c>
      <c r="GT120" s="29" t="str">
        <f>IF(COUNT(SnapshotTable[[#This Row],[LP Symbol Count]],SnapshotTable[[#This Row],[SP Symbol Count]],SnapshotTable[[#This Row],[LC Symbol Count]],SnapshotTable[[#This Row],[SC Symbol Count]])&gt;0, "Y", "")</f>
        <v/>
      </c>
      <c r="GU1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0" s="216">
        <f>MAX(SnapshotTable[[#This Row],[Equity Basis Total]],SnapshotTable[[#This Row],[Equity Value]]) + (SnapshotTable[[#This Row],[SP Potential Spend]]- SnapshotTable[[#This Row],[SP Premium]] + SnapshotTable[[#This Row],[LP Premium]])+ (SnapshotTable[[#This Row],[LC Premium]] - SnapshotTable[[#This Row],[SC Premium]])</f>
        <v>0</v>
      </c>
      <c r="GW120" s="137" t="str">
        <f>IF(AND(SnapshotTable[[#This Row],[Exposure]] &lt;&gt; 0),SnapshotTable[[#This Row],[Exposure]] / SnapshotTable[[#Totals],[Exposure]], "")</f>
        <v/>
      </c>
      <c r="HE120" s="253"/>
      <c r="HF120" s="253"/>
      <c r="HK120" s="1"/>
      <c r="HL120" s="1"/>
      <c r="HM120" s="1"/>
      <c r="HN120" s="1"/>
      <c r="HO120" s="1"/>
      <c r="HP120" s="1"/>
    </row>
    <row r="121" spans="2:224" s="45" customFormat="1" ht="12.75" hidden="1" customHeight="1" x14ac:dyDescent="0.25">
      <c r="B121" s="12" t="s">
        <v>169</v>
      </c>
      <c r="C121" s="385">
        <v>553.91999999999996</v>
      </c>
      <c r="D121" s="200"/>
      <c r="E121" s="39">
        <f>SnapshotTable[[#This Row],[Last Price]]*(1 -CrashDiscount)</f>
        <v>470.83199999999994</v>
      </c>
      <c r="F121" s="26" t="s">
        <v>168</v>
      </c>
      <c r="G121" s="26" t="s">
        <v>7</v>
      </c>
      <c r="H121" s="147"/>
      <c r="I121" s="186">
        <v>44791.666666666664</v>
      </c>
      <c r="J121" s="187">
        <v>44791.666666666664</v>
      </c>
      <c r="K121" s="188"/>
      <c r="L121" s="297"/>
      <c r="M121" s="138"/>
      <c r="N121" s="138"/>
      <c r="O121" s="138"/>
      <c r="P121" s="22"/>
      <c r="Q121" s="25"/>
      <c r="R121" s="4" t="str">
        <f>IF(SnapshotTable[[#This Row],[Equity Basis Total]] &gt; 0, SnapshotTable[[#This Row],[Equity Basis Total]] / SnapshotTable[[#This Row],[Equity Shares]], "")</f>
        <v/>
      </c>
      <c r="S121" s="254">
        <f>SnapshotTable[[#This Row],[Last Price]] * SnapshotTable[[#This Row],[Equity Shares]]</f>
        <v>0</v>
      </c>
      <c r="T121" s="254">
        <f>SnapshotTable[[#This Row],[Equity Value]] - SnapshotTable[[#This Row],[Equity Basis Total]]</f>
        <v>0</v>
      </c>
      <c r="U121" s="255" t="str">
        <f>IF(SnapshotTable[[#This Row],[Equity Basis Total]] &gt; 0, SnapshotTable[[#This Row],[Equity G/L]] / SnapshotTable[[#This Row],[Equity Basis Total]], "")</f>
        <v/>
      </c>
      <c r="V121" s="253">
        <v>270</v>
      </c>
      <c r="W121" s="253">
        <v>196.4</v>
      </c>
      <c r="X121" s="4" t="str">
        <f>IF(AND(ISNUMBER(SnapshotTable[[#This Row],[Equity Basis Per Share]]),ISNUMBER(SnapshotTable[[#This Row],[Equity Target]])),SnapshotTable[[#This Row],[Equity Target]]-SnapshotTable[[#This Row],[Equity Basis Per Share]],"")</f>
        <v/>
      </c>
      <c r="Y121" s="4" t="str">
        <f>IF(AND(ISNUMBER(SnapshotTable[[#This Row],[Equity Basis Per Share]]),ISNUMBER(SnapshotTable[[#This Row],[Equity Stop Loss]])),SnapshotTable[[#This Row],[Equity Stop Loss]]-SnapshotTable[[#This Row],[Equity Basis Per Share]],"")</f>
        <v/>
      </c>
      <c r="Z121" s="260" t="str">
        <f>IFERROR( TEXT(SnapshotTable[[#This Row],[Equity Max Gain Per Share]] /ABS( SnapshotTable[[#This Row],[Equity Max Loss Per Share]]),"0.0 " ) &amp; " : 1", "")</f>
        <v/>
      </c>
      <c r="AA121" s="31" t="str">
        <f>IF(ISNUMBER(SnapshotTable[[#This Row],[Equity Max Gain Per Share]]),SnapshotTable[[#This Row],[Equity Max Gain Per Share]] * SnapshotTable[[#This Row],[Equity Shares]],"")</f>
        <v/>
      </c>
      <c r="AB121" s="31" t="str">
        <f>IF(ISNUMBER(SnapshotTable[[#This Row],[Equity Max Loss Per Share]]),SnapshotTable[[#This Row],[Equity Max Loss Per Share]] * SnapshotTable[[#This Row],[Equity Shares]],"")</f>
        <v/>
      </c>
      <c r="AC121" s="148"/>
      <c r="AD121" s="149"/>
      <c r="AE121" s="31">
        <f>(SnapshotTable[[#This Row],[Annual Dividend Per Share]] / 4) * SnapshotTable[[#This Row],[Equity Shares]]</f>
        <v>0</v>
      </c>
      <c r="AF121" s="31">
        <f>SnapshotTable[[#This Row],[Quarterly Div $]] * 4</f>
        <v>0</v>
      </c>
      <c r="AG121" s="7">
        <f>IF(SnapshotTable[[#This Row],[Annual Dividend Per Share]]&gt;0, SnapshotTable[[#This Row],[Annual Dividend Per Share]]  / SnapshotTable[[#This Row],[Last Price]], 0)</f>
        <v>0</v>
      </c>
      <c r="AH121" s="149"/>
      <c r="AI121" s="5"/>
      <c r="AJ121" s="136">
        <v>115.32</v>
      </c>
      <c r="AK121" s="150" t="str">
        <f>IF(ISNUMBER( SnapshotTable[[#This Row],[EBF Target]]),(SnapshotTable[[#This Row],[EBF Target]] - SnapshotTable[[#This Row],[Last Price]]) / SnapshotTable[[#This Row],[Last Price]], "")</f>
        <v/>
      </c>
      <c r="AL121" s="150" t="str">
        <f>IF(AND(SnapshotTable[[#This Row],[Equity Basis Total]] &gt; 0,ISNUMBER( SnapshotTable[[#This Row],[Long Term Target]])), SnapshotTable[[#This Row],[From Basis $]] / SnapshotTable[[#This Row],[Equity Basis Total]], "")</f>
        <v/>
      </c>
      <c r="AM121" s="9">
        <f>IF( AND(SnapshotTable[[#This Row],[Equity Shares]] &gt;0,ISNUMBER( SnapshotTable[[#This Row],[Long Term Target]])),(SnapshotTable[[#This Row],[Equity Shares]] * SnapshotTable[[#This Row],[Long Term Target]]) - SnapshotTable[[#This Row],[Equity Basis Total]],0)</f>
        <v>0</v>
      </c>
      <c r="AN121" s="9">
        <f>IF( AND(SnapshotTable[[#This Row],[Equity Shares]] &gt;0,ISNUMBER( SnapshotTable[[#This Row],[Long Term Target]])),(SnapshotTable[[#This Row],[Equity Shares]]*SnapshotTable[[#This Row],[Long Term Target]]) - SnapshotTable[[#This Row],[Equity Value]],0)</f>
        <v>0</v>
      </c>
      <c r="AO121" s="150">
        <f>IF(AND(ISNUMBER( SnapshotTable[[#This Row],[Long Term Target]]), ISNUMBER(SnapshotTable[[#This Row],[Last Price]])),(SnapshotTable[[#This Row],[Long Term Target]] - SnapshotTable[[#This Row],[Last Price]]) / SnapshotTable[[#This Row],[Last Price]], "")</f>
        <v>-0.79181109185441945</v>
      </c>
      <c r="AP121" s="5">
        <v>8</v>
      </c>
      <c r="AQ121" s="38" t="s">
        <v>16</v>
      </c>
      <c r="AR121" s="5">
        <v>8</v>
      </c>
      <c r="AS121" s="38" t="s">
        <v>22</v>
      </c>
      <c r="AT121" s="144" t="s">
        <v>886</v>
      </c>
      <c r="AU121" s="185" t="str">
        <f>IF(OR(SnapshotTable[[#This Row],[LP No Fill]]="Y",SnapshotTable[[#This Row],[SP Is Filled]],SnapshotTable[[#This Row],[LC Not Filled]]="Y",SnapshotTable[[#This Row],[SC Is Filled]]),"Y","")</f>
        <v/>
      </c>
      <c r="AV121" s="205"/>
      <c r="AW121" s="211"/>
      <c r="AX121" s="206"/>
      <c r="AY121" s="205" t="str">
        <f>IF(SnapshotTable[[#This Row],[Implied Move]]&gt;0, SnapshotTable[[#This Row],[Last Price]]-SnapshotTable[[#This Row],[Implied Move]],"")</f>
        <v/>
      </c>
      <c r="AZ121" s="205" t="str">
        <f>IF(SnapshotTable[[#This Row],[Implied Move]]&gt;0, SnapshotTable[[#This Row],[Last Price]] + SnapshotTable[[#This Row],[Implied Move]],"")</f>
        <v/>
      </c>
      <c r="BA121" s="302">
        <v>350.71</v>
      </c>
      <c r="BB121" s="318"/>
      <c r="BC1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1" s="321"/>
      <c r="BE121" s="5"/>
      <c r="BF121" s="14"/>
      <c r="BG121" s="13"/>
      <c r="BH121" s="13"/>
      <c r="BI121" s="5"/>
      <c r="BJ121" s="134">
        <f>IF(SnapshotTable[[#This Row],[LP Qty]] &gt; 0, SnapshotTable[[#This Row],[LP Qty]] * SnapshotTable[[#This Row],[LP Book Price]] * 100,0)</f>
        <v>0</v>
      </c>
      <c r="BK121" s="134">
        <f>IF(SnapshotTable[[#This Row],[LP Premium]] &gt; 0, SnapshotTable[[#This Row],[LP Qty]] * SnapshotTable[[#This Row],[LP Strike Price]] * 100,0)</f>
        <v>0</v>
      </c>
      <c r="BL121" s="152"/>
      <c r="BM121" s="355" t="str">
        <f>IF(SnapshotTable[[#This Row],[LP Premium]] &gt; 0,SnapshotTable[[#This Row],[LP Exp Date]]-MAX(SnapshotTable[[#This Row],[LP Book Date]], SnapshotTable[[#This Row],[LP Fill Date]]),"")</f>
        <v/>
      </c>
      <c r="BN121" s="355" t="str">
        <f>IF(ISNUMBER( SnapshotTable[[#This Row],[LP Term]]), SnapshotTable[[#This Row],[LP Exp Date]] - MockToday,"")</f>
        <v/>
      </c>
      <c r="BO121" s="161" t="str">
        <f>IF(AND(SnapshotTable[[#This Row],[LP Exp Date]]&gt;0, SnapshotTable[[#This Row],[LP Strike Price]]&gt;0,SnapshotTable[[#This Row],[LP Qty]]&gt;0,SnapshotTable[[#This Row],[LP Book Date]]&gt;0,SnapshotTable[[#This Row],[LP Book Price]]&gt;0,SnapshotTable[[#This Row],[LP Fill Date]]=0),"Y","")</f>
        <v/>
      </c>
      <c r="BP121" s="31" t="str">
        <f>IF(AND(SnapshotTable[[#This Row],[LP No Fill]]&lt;&gt;"Y",SnapshotTable[[#This Row],[LP Contract Value]]&gt;0, SnapshotTable[[#This Row],[LP Qty]]&gt;0), SnapshotTable[[#This Row],[LP Contract Value]]*SnapshotTable[[#This Row],[LP Qty]]*100,"")</f>
        <v/>
      </c>
      <c r="BQ121" s="13"/>
      <c r="BR121" s="5"/>
      <c r="BS121" s="36"/>
      <c r="BT121" s="145"/>
      <c r="BU121" s="13"/>
      <c r="BV121" s="5"/>
      <c r="BW121" s="382" t="b">
        <f>AND(ISNUMBER(SnapshotTable[[#This Row],[SP Exp Date]]), ISNUMBER(SnapshotTable[[#This Row],[SP Strike Price]]), ISNUMBER(SnapshotTable[[#This Row],[SP Qty]]), ISNUMBER(SnapshotTable[[#This Row],[SP Book Date]]), ISNUMBER(SnapshotTable[[#This Row],[SP Book Price]]))</f>
        <v>0</v>
      </c>
      <c r="BX121" s="382" t="b">
        <f>AND(SnapshotTable[[#This Row],[SP Is Booked]], NOT(ISBLANK(SnapshotTable[[#This Row],[SP Fill Date]])))</f>
        <v>0</v>
      </c>
      <c r="BY121" s="33">
        <f>IF(SnapshotTable[[#This Row],[SP Is Booked]], SnapshotTable[[#This Row],[SP Qty]] * SnapshotTable[[#This Row],[SP Book Price]] * 100, 0)</f>
        <v>0</v>
      </c>
      <c r="BZ121" s="339"/>
      <c r="CA121" s="338">
        <f>SnapshotTable[[#This Row],[LP Qty]]</f>
        <v>0</v>
      </c>
      <c r="CB121" s="4" t="str">
        <f>IF(SnapshotTable[[#This Row],[SP Is Booked]], SnapshotTable[[#This Row],[SP Strike Price]] - SnapshotTable[[#This Row],[SP Book Price]], "")</f>
        <v/>
      </c>
      <c r="CC121" s="19" t="str">
        <f>IF(SnapshotTable[[#This Row],[SP Is Booked]],SnapshotTable[[#This Row],[SP Exp Date]]-MAX(SnapshotTable[[#This Row],[SP Book Date]], SnapshotTable[[#This Row],[SP Fill Date]]),"")</f>
        <v/>
      </c>
      <c r="CD121" s="7" t="str">
        <f>IF(SnapshotTable[[#This Row],[SP Is Booked]], SnapshotTable[[#This Row],[SP Book Price]]/SnapshotTable[[#This Row],[SP Strike Price]], "")</f>
        <v/>
      </c>
      <c r="CE121" s="7" t="str">
        <f>IF(ISNUMBER(SnapshotTable[[#This Row],[SP ROO Term]]),SnapshotTable[[#This Row],[SP ROO Term]]*(365/SnapshotTable[[#This Row],[SP Term]]),"")</f>
        <v/>
      </c>
      <c r="CF121" s="221">
        <f>SnapshotTable[[#This Row],[LP Strike Price]] * SnapshotTable[[#This Row],[LP Qty]] * 100</f>
        <v>0</v>
      </c>
      <c r="CG121" s="31">
        <f>IF(ISNUMBER(SnapshotTable[[#This Row],[SP Premium]]), (SnapshotTable[[#This Row],[SP Qty]] * SnapshotTable[[#This Row],[SP Strike Price]]* 100) - SnapshotTable[[#This Row],[LP Protection]], 0)</f>
        <v>0</v>
      </c>
      <c r="CH121" s="7" t="str">
        <f>IF(ISNUMBER(SnapshotTable[[#This Row],[SP Break Even]]),-1 * (SnapshotTable[[#This Row],[SP Break Even]] - SnapshotTable[[#This Row],[Last Price]]) / SnapshotTable[[#This Row],[Last Price]], "")</f>
        <v/>
      </c>
      <c r="CI121" s="31">
        <f>IF(AND(ISNUMBER((SnapshotTable[[#This Row],[SP Potential Spend]])), SnapshotTable[[#This Row],[SP Strike Price]] &gt; SnapshotTable[[#This Row],[Last Price]], SnapshotTable[[#This Row],[SP Is Filled]]), SnapshotTable[[#This Row],[SP Potential Spend]] -  SnapshotTable[[#This Row],[LP Max Value]], 0)</f>
        <v>0</v>
      </c>
      <c r="CJ121" s="229"/>
      <c r="CK121" s="31">
        <f>IF(ISNUMBER(SnapshotTable[[#This Row],[SP Potential Spend]]),IF(ISNUMBER(SnapshotTable[[#This Row],[SP POW]]), SnapshotTable[[#This Row],[SP POW]] * SnapshotTable[[#This Row],[SP Potential Spend]], SnapshotTable[[#This Row],[SP Potential Spend]]), "")</f>
        <v>0</v>
      </c>
      <c r="CL121" s="162">
        <f>IF(NOT(SnapshotTable[[#This Row],[SP Is Filled]]),(SnapshotTable[[#This Row],[SP Qty]] * SnapshotTable[[#This Row],[SP Strike Price]] * 100) - SnapshotTable[[#This Row],[LP Max Value]],"")</f>
        <v>0</v>
      </c>
      <c r="CM121" s="31" t="str">
        <f>IF(SnapshotTable[[#This Row],[SP Actual Spend]]&lt;&gt;0, ((SnapshotTable[[#This Row],[SP Strike Price]]-SnapshotTable[[#This Row],[Last Price]]) *(SnapshotTable[[#This Row],[SP Qty]]*100) - SnapshotTable[[#This Row],[SP Premium]]) * - 1, "")</f>
        <v/>
      </c>
      <c r="CN121" s="76"/>
      <c r="CO121" s="339"/>
      <c r="CP121" s="4" t="str">
        <f>IF(SnapshotTable[[#This Row],[SP Is Filled]], btc_max_buyback_amount(SnapshotTable[[#This Row],[SP Fill Date]],SnapshotTable[[#This Row],[SP Exp Date]], SnapshotTable[[#This Row],[SP Book Price]]),"")</f>
        <v/>
      </c>
      <c r="CQ121" s="76"/>
      <c r="CR1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1" s="153" t="str">
        <f>IF(SnapshotTable[[#This Row],[SP Is Filled]], btc_next_cutoff_date(SnapshotTable[[#This Row],[SP Fill Date]],SnapshotTable[[#This Row],[SP Exp Date]]),"")</f>
        <v/>
      </c>
      <c r="CT121" s="220" t="str" cm="1">
        <f t="array" ref="CT121">IF(SnapshotTable[[#This Row],[SP Is Filled]], btc_should_buy_back(SnapshotTable[[#This Row],[SP Fill Date]], SnapshotTable[[#This Row],[SP Exp Date]], SnapshotTable[[#This Row],[SP Book Price]], SnapshotTable[[#This Row],[SP Current Ask]], MockToday, SnapshotTable[[#This Row],[SP Buyback Override]]),"")</f>
        <v/>
      </c>
      <c r="CU121" s="141"/>
      <c r="CV121" s="220"/>
      <c r="CW121" s="348" t="str">
        <f>IF(ISNUMBER( SnapshotTable[[#This Row],[SP Term]]), SnapshotTable[[#This Row],[SP Exp Date]] - MockToday,"")</f>
        <v/>
      </c>
      <c r="CX121" s="31" t="str">
        <f>IF(SnapshotTable[[#This Row],[SP Is Filled]],SnapshotTable[[#This Row],[SP Buyback Price to Use]] * 100 * SnapshotTable[[#This Row],[SP Qty]], "")</f>
        <v/>
      </c>
      <c r="CY121" s="4" t="str">
        <f>IF(ISNUMBER(SnapshotTable[[#This Row],[SP Strike Price]]), SnapshotTable[[#This Row],[SP Strike Price]] * (1 - SP_MaxLoss_StrikePct), "")</f>
        <v/>
      </c>
      <c r="CZ121" s="31" t="str">
        <f>IF(ISNUMBER(SnapshotTable[[#This Row],[SP Strike  Stop Per Share]]),SnapshotTable[[#This Row],[SP Premium]] - ((SnapshotTable[[#This Row],[SP Strike Price]]-SnapshotTable[[#This Row],[SP Strike  Stop Per Share]]) *(SnapshotTable[[#This Row],[SP Qty]] * 100)),"")</f>
        <v/>
      </c>
      <c r="DA121" s="4" t="str">
        <f>IF(AND(ISNUMBER(SnapshotTable[[#This Row],[SP Premium]]),SnapshotTable[[#This Row],[SP Premium]]&gt;0), SnapshotTable[[#This Row],[SP Book Price]] * (1 + SP_MaxLoss_OptionPct), "")</f>
        <v/>
      </c>
      <c r="DB121" s="31" t="str">
        <f>IF(ISNUMBER(SnapshotTable[[#This Row],[SP Option  Stop Contract]]),(SnapshotTable[[#This Row],[SP Option  Stop Contract]] *(SnapshotTable[[#This Row],[SP Qty]] * 100) - SnapshotTable[[#This Row],[SP Premium]]),"")</f>
        <v/>
      </c>
      <c r="DC121" s="4"/>
      <c r="DD121" s="4"/>
      <c r="DE121" s="4" t="str">
        <f>IF(AND(SnapshotTable[[#This Row],[SP Qty]]&gt;0, SnapshotTable[[#This Row],[SP Stop To Use]]&gt;0),SnapshotTable[[#This Row],[SP Premium]] - ( SnapshotTable[[#This Row],[SP Qty]] * SnapshotTable[[#This Row],[SP Stop To Use]] * 100), "")</f>
        <v/>
      </c>
      <c r="DF121" s="31" t="str">
        <f>IF(AND(SnapshotTable[[#This Row],[SP Qty]]&gt;0,SnapshotTable[[#This Row],[SP Current Ask]]&gt;0), SnapshotTable[[#This Row],[SP Qty]] * SnapshotTable[[#This Row],[SP Current Ask]] * -100, "")</f>
        <v/>
      </c>
      <c r="DG121" s="31" t="str">
        <f>IF(ISNUMBER((SnapshotTable[[#This Row],[SP Total Value]])), SnapshotTable[[#This Row],[SP Premium]] + SnapshotTable[[#This Row],[SP Total Value]], "")</f>
        <v/>
      </c>
      <c r="DH121" s="272" t="str">
        <f>IF(ISNUMBER((SnapshotTable[[#This Row],[SP Total Value]])), SnapshotTable[[#This Row],[SP Gain Loss]] / SnapshotTable[[#This Row],[SP Premium]], "")</f>
        <v/>
      </c>
      <c r="DI121" s="369"/>
      <c r="DJ121" s="136"/>
      <c r="DK121" s="146"/>
      <c r="DL121" s="13"/>
      <c r="DM121" s="13"/>
      <c r="DN121" s="5"/>
      <c r="DO121" s="31">
        <f>IF(SnapshotTable[[#This Row],[LC Symbol Count]]=1, SnapshotTable[[#This Row],[LC Qty]] * SnapshotTable[[#This Row],[LC Book Price]] * 100, 0)</f>
        <v>0</v>
      </c>
      <c r="DP121" s="161" t="str">
        <f>IF(AND(SnapshotTable[[#This Row],[LC Exp Date]]&gt;0, SnapshotTable[[#This Row],[LC Strike Price]]&gt;0,SnapshotTable[[#This Row],[LC Qty]]&gt;0,SnapshotTable[[#This Row],[LC Book Date]]&gt;0,SnapshotTable[[#This Row],[LC Book Price]]&gt;0,SnapshotTable[[#This Row],[LC Fill Date]]=0),"Y","")</f>
        <v/>
      </c>
      <c r="DQ121" s="356" t="str">
        <f>IF(SnapshotTable[[#This Row],[LC Premium]] &gt; 0,SnapshotTable[[#This Row],[LC Exp Date]]-MAX(SnapshotTable[[#This Row],[LC Book Date]], SnapshotTable[[#This Row],[LC Fill Date]]),"")</f>
        <v/>
      </c>
      <c r="DR121" s="356" t="str">
        <f>IF(ISNUMBER(SnapshotTable[[#This Row],[LC Term]]), SnapshotTable[[#This Row],[LC Exp Date]] - MockToday, "")</f>
        <v/>
      </c>
      <c r="DS121" s="219" t="str">
        <f>IF(SnapshotTable[[#This Row],[LC Premium]]&gt;0,SnapshotTable[[#This Row],[LC Strike Price]] + SnapshotTable[[#This Row],[LC Book Price]],"")</f>
        <v/>
      </c>
      <c r="DT121" s="5"/>
      <c r="DU121" s="9" t="str">
        <f>IF(AND(SnapshotTable[[#This Row],[LC Symbol Count]]&gt;0, SnapshotTable[[#This Row],[LC Contract Value]]&gt;0), SnapshotTable[[#This Row],[LC Contract Value]] * SnapshotTable[[#This Row],[LC Qty]] * 100, "")</f>
        <v/>
      </c>
      <c r="DV121" s="9" t="str">
        <f>IF(AND(ISNUMBER(SnapshotTable[[#This Row],[LC Total Value]]), SnapshotTable[[#This Row],[LC Not Filled]]&lt;&gt;"Y"), SnapshotTable[[#This Row],[LC Total Value]]-SnapshotTable[[#This Row],[LC Premium]],"")</f>
        <v/>
      </c>
      <c r="DW121" s="225" t="str">
        <f>IF(ISNUMBER(SnapshotTable[[#This Row],[LC Actual Gain Loss]]), SnapshotTable[[#This Row],[LC Actual Gain Loss]] / SnapshotTable[[#This Row],[LC Premium]],"")</f>
        <v/>
      </c>
      <c r="DX121" s="269" t="str">
        <f>IF(ISNUMBER(SnapshotTable[[#This Row],[LC Book Price]]),SnapshotTable[[#This Row],[LC Book Price]] * 1.5,"")</f>
        <v/>
      </c>
      <c r="DY121" s="250" t="str">
        <f>IF(SnapshotTable[[#This Row],[LC Premium]]&gt;0, SnapshotTable[[#This Row],[LC Next Target]] * SnapshotTable[[#This Row],[LC Qty]] * 100,"")</f>
        <v/>
      </c>
      <c r="DZ121" s="250" t="str">
        <f>IF(ISNUMBER(SnapshotTable[[#This Row],[LC Target Gross]]), SnapshotTable[[#This Row],[LC Target Gross]] - SnapshotTable[[#This Row],[LC Premium]], "")</f>
        <v/>
      </c>
      <c r="EA121" s="283" t="str">
        <f>IF(ISNUMBER(SnapshotTable[[#This Row],[LC Target Gain Loss]]), SnapshotTable[[#This Row],[LC Target Gain Loss]]/SnapshotTable[[#This Row],[LC Premium]], "")</f>
        <v/>
      </c>
      <c r="EB121" s="247"/>
      <c r="EC121" s="268" t="str">
        <f>IF(SnapshotTable[[#This Row],[LC Premium]]&gt;0, SnapshotTable[[#This Row],[LC Book Price]] * (1 - LC_StopLoss_Pct),"")</f>
        <v/>
      </c>
      <c r="ED121" s="269"/>
      <c r="EE121" s="268" t="str">
        <f>IF(ISNUMBER(SnapshotTable[[#This Row],[LC Contract Value]]),IF(ISNUMBER(SnapshotTable[[#This Row],[LC Stop Loss Override]]), SnapshotTable[[#This Row],[LC Stop Loss Override]],SnapshotTable[[#This Row],[LC Stop Loss Calc Target]]),"")</f>
        <v/>
      </c>
      <c r="EF121" s="31" t="str">
        <f>IF(ISNUMBER(SnapshotTable[[#This Row],[LC Stop  To Use]]), (SnapshotTable[[#This Row],[LC Stop  To Use]] * SnapshotTable[[#This Row],[LC Qty]] * 100),"")</f>
        <v/>
      </c>
      <c r="EG121" s="9" t="str">
        <f>IF(ISNUMBER(SnapshotTable[[#This Row],[LC Total Value]]),SnapshotTable[[#This Row],[LC Stop Loss Amount]] - SnapshotTable[[#This Row],[LC Premium]],"")</f>
        <v/>
      </c>
      <c r="EH121" s="9">
        <f>IF(ISNUMBER(SnapshotTable[[#This Row],[LC Premium]]), SnapshotTable[[#This Row],[LC Qty]] * 100 * SnapshotTable[[#This Row],[LC Strike Price]], "")</f>
        <v>0</v>
      </c>
      <c r="EI121" s="225" t="str">
        <f>IF(AND(ISNUMBER(SnapshotTable[[#This Row],[LC Total Value]]),SnapshotTable[[#This Row],[LC Total Value]]&gt;0),SnapshotTable[[#This Row],[LC Stop Gain Loss]]  / SnapshotTable[[#This Row],[LC Premium]],"")</f>
        <v/>
      </c>
      <c r="EJ121" s="35">
        <f>IF(ISNUMBER(SnapshotTable[[#This Row],[Equity Shares]]),TRUNC(SnapshotTable[[#This Row],[Equity Shares]] / 100),0) + SnapshotTable[[#This Row],[LC Qty]]</f>
        <v>0</v>
      </c>
      <c r="EK121" s="145"/>
      <c r="EL121" s="136"/>
      <c r="EM121" s="146"/>
      <c r="EN121" s="145"/>
      <c r="EO121" s="145"/>
      <c r="EP121" s="136"/>
      <c r="EQ121" s="382" t="b">
        <f>AND(ISNUMBER(SnapshotTable[[#This Row],[SC Exp Date]]), ISNUMBER(SnapshotTable[[#This Row],[SC Strike Price]]), ISNUMBER(SnapshotTable[[#This Row],[SC Qty]]), ISNUMBER(SnapshotTable[[#This Row],[SC Book Date]]), ISNUMBER(SnapshotTable[[#This Row],[SC Book Price]]))</f>
        <v>0</v>
      </c>
      <c r="ER121" s="382" t="b">
        <f>AND(SnapshotTable[[#This Row],[SC Is Booked]], NOT(ISBLANK(SnapshotTable[[#This Row],[SC Fill Date]])))</f>
        <v>0</v>
      </c>
      <c r="ES121" s="340"/>
      <c r="ET121" s="34" t="str">
        <f>IF(AND(ISNUMBER(SnapshotTable[[#This Row],[SC Exp Date]]), ISNUMBER(SnapshotTable[[#This Row],[SC Book Date]])), SnapshotTable[[#This Row],[SC Exp Date]] - MAX(SnapshotTable[[#This Row],[SC Book Date]], SnapshotTable[[#This Row],[SC Fill Date]]) + 1, "")</f>
        <v/>
      </c>
      <c r="EU121" s="34" t="str">
        <f>IF(ISNUMBER(SnapshotTable[[#This Row],[SC Term]]), SnapshotTable[[#This Row],[SC Exp Date]]- MockToday, "")</f>
        <v/>
      </c>
      <c r="EV121" s="31">
        <f>IF(SnapshotTable[[#This Row],[SC Is Booked]], SnapshotTable[[#This Row],[SC Qty]] * SnapshotTable[[#This Row],[SC Book Price]] * 100, 0)</f>
        <v>0</v>
      </c>
      <c r="EW121" s="4" t="str">
        <f>IF(AND(ISNUMBER(SnapshotTable[[#This Row],[Last Price]]), ISNUMBER( SnapshotTable[[#This Row],[SC Book Price]])), SnapshotTable[[#This Row],[Last Price]] - SnapshotTable[[#This Row],[SC Book Price]],"")</f>
        <v/>
      </c>
      <c r="EX121" s="219" t="str">
        <f>IF(SnapshotTable[[#This Row],[SC Is Booked]],IF(SnapshotTable[[#This Row],[SC Intrinsic Value]] &gt; 0, SnapshotTable[[#This Row],[SC Strike Price]], SnapshotTable[[#This Row],[Last Price]]), "")</f>
        <v/>
      </c>
      <c r="EY121" s="4">
        <f>IF(SnapshotTable[[#This Row],[SC Is Booked]], (MinimumPremiumRequired * SnapshotTable[[#This Row],[SC Basis]] * SnapshotTable[[#This Row],[SC Term]]), 0)</f>
        <v>0</v>
      </c>
      <c r="EZ121" s="268"/>
      <c r="FA121" s="204"/>
      <c r="FB121" s="340"/>
      <c r="FC121" s="4">
        <f>IF(SnapshotTable[[#This Row],[SC Is Filled]], btc_max_buyback_amount(SnapshotTable[[#This Row],[SC Fill Date]],SnapshotTable[[#This Row],[SC Exp Date]], SnapshotTable[[#This Row],[SC Book Price]]),0)</f>
        <v>0</v>
      </c>
      <c r="FD121" s="5"/>
      <c r="FE121" s="142" t="str">
        <f>IF(SnapshotTable[[#This Row],[SC Is Filled]], btc_next_cutoff_date(SnapshotTable[[#This Row],[SC Fill Date]],SnapshotTable[[#This Row],[SC Exp Date]]),"")</f>
        <v/>
      </c>
      <c r="FF121" s="4" t="str" cm="1">
        <f t="array" ref="FF121">IF(SnapshotTable[[#This Row],[SC Is Filled]], btc_should_buy_back(SnapshotTable[[#This Row],[SC Fill Date]], SnapshotTable[[#This Row],[SC Exp Date]], SnapshotTable[[#This Row],[SC Book Price]], SnapshotTable[[#This Row],[SC Current Ask]], MockToday, SnapshotTable[[#This Row],[SC Buyback Override]]),"")</f>
        <v/>
      </c>
      <c r="FG121" s="4">
        <f>IF(SnapshotTable[[#This Row],[SC Is Filled]], MAX(0,SnapshotTable[[#This Row],[Last Price]]  - SnapshotTable[[#This Row],[SC Strike Price]]), 0)</f>
        <v>0</v>
      </c>
      <c r="FH121" s="352">
        <f>IF(SnapshotTable[[#This Row],[SC Is Filled]], IF(ISNUMBER(SnapshotTable[[#This Row],[SC Current Ask]]), SnapshotTable[[#This Row],[SC Current Ask]], SnapshotTable[[#This Row],[SC Book Price]]) - SnapshotTable[[#This Row],[SC Intrinsic Value]], 0)</f>
        <v>0</v>
      </c>
      <c r="FI121" s="141"/>
      <c r="FJ121" s="32" t="str">
        <f>IF(SnapshotTable[[#This Row],[SC Is Filled]],100 * SnapshotTable[[#This Row],[SC Qty]] * IF(ISNUMBER(SnapshotTable[[#This Row],[SC Buyback Override]]), SnapshotTable[[#This Row],[SC Buyback Override]], SnapshotTable[[#This Row],[SC Current Ask]]), "")</f>
        <v/>
      </c>
      <c r="FK121" s="235" t="str">
        <f>IF(SnapshotTable[[#This Row],[SC Time Val]]&gt;0, SnapshotTable[[#This Row],[SC Time Val]] / SnapshotTable[[#This Row],[Last Price]],"")</f>
        <v/>
      </c>
      <c r="FL121" s="280" t="str">
        <f>IF(SnapshotTable[[#This Row],[SC Is Booked]], ((SnapshotTable[[#This Row],[Last Price]] -SnapshotTable[[#This Row],[SC Strike Price]]) / SnapshotTable[[#This Row],[Last Price]]) * -1, "")</f>
        <v/>
      </c>
      <c r="FM121" s="155" t="str">
        <f>IF(SnapshotTable[[#This Row],[SC Is Booked]],  (SnapshotTable[[#This Row],[SC Qty]] * 100 * SnapshotTable[[#This Row],[SC Strike Price]]) - SnapshotTable[[#This Row],[SC Current Ask]], "")</f>
        <v/>
      </c>
      <c r="FN1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1" s="31" t="str">
        <f>IF(AND(ISNUMBER(SnapshotTable[[#This Row],[SC Exercise Gross]]), ISNUMBER(SnapshotTable[[#This Row],[Equity Basis Per Share]] )), SnapshotTable[[#This Row],[SC Exercise Gross]] - SnapshotTable[[#This Row],[Equity Basis Total]] +  SnapshotTable[[#This Row],[SC Premium]], "")</f>
        <v/>
      </c>
      <c r="FP121" s="5" t="str">
        <f>IF(ISNUMBER(SnapshotTable[[#This Row],[SC Exercise Gross]]), (SnapshotTable[[#This Row],[SC Exercise Gross]]) / (SnapshotTable[[#This Row],[SC Qty]] * 100), "")</f>
        <v/>
      </c>
      <c r="FQ121" s="27" t="str">
        <f>IF(SnapshotTable[[#This Row],[SC Is Booked]],SnapshotTable[[#This Row],[SC Time Val]] /SnapshotTable[[#This Row],[SC Basis]], "")</f>
        <v/>
      </c>
      <c r="FR121" s="27" t="str" cm="1">
        <f t="array" ref="FR121">IF(AND(ISNUMBER(SnapshotTable[[#This Row],[SC Term]]),ISNUMBER(SnapshotTable[[#This Row],[SC Simple ROO]])), EllmanAnnualize(SnapshotTable[[#This Row],[SC DTE]], SnapshotTable[[#This Row],[SC Simple ROO]] ),"")</f>
        <v/>
      </c>
      <c r="FS121" s="4">
        <f>IF(SnapshotTable[[#This Row],[SC Strike Price]] &gt; SnapshotTable[[#This Row],[Last Price]], SnapshotTable[[#This Row],[SC Strike Price]] - SnapshotTable[[#This Row],[Last Price]],0)</f>
        <v>0</v>
      </c>
      <c r="FT121" s="27" t="str">
        <f>IF(AND(ISNUMBER(SnapshotTable[[#This Row],[SC Upside Potential]]), SnapshotTable[[#This Row],[SC Upside Potential]] &gt; 0),(SnapshotTable[[#This Row],[SC Upside Potential]]/ SnapshotTable[[#This Row],[ACB]]),"")</f>
        <v/>
      </c>
      <c r="FU121" s="304" t="str">
        <f>IF(SnapshotTable[[#This Row],[SC Intrinsic Value]] &gt; 0,SnapshotTable[[#This Row],[SC Intrinsic Value]],"")</f>
        <v/>
      </c>
      <c r="FV121" s="27" t="str">
        <f>IF(AND( ISNUMBER( SnapshotTable[[#This Row],[ACB]]),ISNUMBER(SnapshotTable[[#This Row],[SC Downside Protect]])),SnapshotTable[[#This Row],[SC Downside Protect]] / SnapshotTable[[#This Row],[ACB]],"")</f>
        <v/>
      </c>
      <c r="FW121" s="221" t="str">
        <f>IF(AND(ISNUMBER(SnapshotTable[[#This Row],[SC Simple ROO]]),SnapshotTable[[#This Row],[SC Simple ROO]] &gt; 0), SnapshotTable[[#This Row],[SC Premium]] + (SnapshotTable[[#This Row],[SC Qty]] * SnapshotTable[[#This Row],[SC Upside Potential]]), "")</f>
        <v/>
      </c>
      <c r="FX121" s="280" t="str" cm="1">
        <f t="array" ref="FX121">IF(ISNUMBER(SnapshotTable[[#This Row],[SC Max Dollars]]), annualize(SnapshotTable[[#This Row],[SC Term]],(SnapshotTable[[#This Row],[SC Max Dollars]]/SnapshotTable[[#This Row],[SC Basis]])),"")</f>
        <v/>
      </c>
      <c r="FY121" s="221" t="str">
        <f>IF(AND(SnapshotTable[[#This Row],[SC Qty]]&gt;0,SnapshotTable[[#This Row],[SC Current Ask]]&gt;0), SnapshotTable[[#This Row],[SC Qty]] * SnapshotTable[[#This Row],[SC Current Ask]] * -100, "")</f>
        <v/>
      </c>
      <c r="FZ121" s="31" t="str">
        <f>IF(ISNUMBER((SnapshotTable[[#This Row],[SC Current Value]])), SnapshotTable[[#This Row],[SC Premium]] + SnapshotTable[[#This Row],[SC Current Value]], "")</f>
        <v/>
      </c>
      <c r="GA121" s="272" t="str">
        <f>IFERROR( IF(ISNUMBER((SnapshotTable[[#This Row],[SC Current Value]])), SnapshotTable[[#This Row],[SC Gain Loss]] / SnapshotTable[[#This Row],[SC Premium]], ""), "")</f>
        <v/>
      </c>
      <c r="GB121" s="42">
        <f>SnapshotTable[[#This Row],[Equity Shares]] * SaleSharesToConsiderPercentage</f>
        <v>0</v>
      </c>
      <c r="GC121" s="40">
        <f>SnapshotTable[[#This Row],[Long Term Target]] * SellingPriceToConsiderBasedOnTargetPercentage</f>
        <v>109.55399999999999</v>
      </c>
      <c r="GD121" s="40">
        <f>SnapshotTable[[#This Row],[Last Price]] * (1+ SellingPriceToConsiderBasedOnTargetPercentage)</f>
        <v>1080.144</v>
      </c>
      <c r="GE121" s="41"/>
      <c r="GF121" s="40"/>
      <c r="GG121" s="31">
        <f>SnapshotTable[[#This Row],[Booked Sale Shares]] * SnapshotTable[[#This Row],[Booked Sale Price]]</f>
        <v>0</v>
      </c>
      <c r="GH121" s="31" t="str">
        <f>IF(SnapshotTable[[#This Row],[Equity Basis Total]] &gt; 0, SnapshotTable[[#This Row],[Equity Basis Per Share]] * SnapshotTable[[#This Row],[Booked Sale Shares]], "")</f>
        <v/>
      </c>
      <c r="GI121" s="31">
        <f>IF(SnapshotTable[[#This Row],[Sale Proceeds]]&gt;0, SnapshotTable[[#This Row],[Sale Proceeds]] - SnapshotTable[[#This Row],[Sale Basis]], 0)</f>
        <v>0</v>
      </c>
      <c r="GJ121" s="27" t="str">
        <f>IF(SnapshotTable[[#This Row],[Sale G/L]]&gt;0, SnapshotTable[[#This Row],[Sale G/L]] / SnapshotTable[[#This Row],[Sale Basis]], IF(ISNUMBER(SnapshotTable[[#This Row],[SC Exercise P&amp;L (TAX)]]), SnapshotTable[[#This Row],[SC Exercise P&amp;L (TAX)]] / SnapshotTable[[#This Row],[SC Basis]], ""))</f>
        <v/>
      </c>
      <c r="GK121" s="27" t="s">
        <v>512</v>
      </c>
      <c r="GL121" s="43" t="str">
        <f>IF(AND(SnapshotTable[[#This Row],[LP Exp Date]]&gt;0,SnapshotTable[[#This Row],[LP Strike Price]]&gt;0), [1]!ToOptionSymbol(SnapshotTable[[#This Row],[Symbol]], SnapshotTable[[#This Row],[LP Strike Price]],SnapshotTable[[#This Row],[LP Exp Date]],1), "")</f>
        <v/>
      </c>
      <c r="GM121" s="30" t="str">
        <f>IF(LEN(SnapshotTable[[#This Row],[LP Symbol]])&gt;0, 1, "")</f>
        <v/>
      </c>
      <c r="GN121" s="43" t="str">
        <f>IF(AND(SnapshotTable[[#This Row],[SP Exp Date]]&gt;0,SnapshotTable[[#This Row],[SP Strike Price]]&gt;0), [1]!ToOptionSymbol(SnapshotTable[[#This Row],[Symbol]], SnapshotTable[[#This Row],[SP Strike Price]],SnapshotTable[[#This Row],[SP Exp Date]],1), "")</f>
        <v/>
      </c>
      <c r="GO121" s="30" t="str">
        <f>IF(LEN(SnapshotTable[[#This Row],[SP Symbol]])&gt;0, 1, "")</f>
        <v/>
      </c>
      <c r="GP121" s="43" t="str">
        <f>IF(AND(SnapshotTable[[#This Row],[LC Exp Date]]&gt;0,SnapshotTable[[#This Row],[LC Strike Price]]&gt;0), [1]!ToOptionSymbol(SnapshotTable[[#This Row],[Symbol]], SnapshotTable[[#This Row],[LC Strike Price]],SnapshotTable[[#This Row],[LC Exp Date]],0), "")</f>
        <v/>
      </c>
      <c r="GQ121" s="30" t="str">
        <f>IF(LEN(SnapshotTable[[#This Row],[LC Symbol]])&gt;0, 1, "")</f>
        <v/>
      </c>
      <c r="GR121" s="43" t="str">
        <f>IF(AND(SnapshotTable[[#This Row],[SC Exp Date]]&gt;0,SnapshotTable[[#This Row],[SC Strike Price]]&gt;0), [1]!ToOptionSymbol(SnapshotTable[[#This Row],[Symbol]], SnapshotTable[[#This Row],[SC Strike Price]],SnapshotTable[[#This Row],[SC Exp Date]],0), "")</f>
        <v/>
      </c>
      <c r="GS121" s="30" t="str">
        <f>IF(LEN(SnapshotTable[[#This Row],[SC Symbol]])&gt;0, 1, "")</f>
        <v/>
      </c>
      <c r="GT121" s="29" t="str">
        <f>IF(COUNT(SnapshotTable[[#This Row],[LP Symbol Count]],SnapshotTable[[#This Row],[SP Symbol Count]],SnapshotTable[[#This Row],[LC Symbol Count]],SnapshotTable[[#This Row],[SC Symbol Count]])&gt;0, "Y", "")</f>
        <v/>
      </c>
      <c r="GU121" s="29"/>
      <c r="GV121" s="216">
        <f>MAX(SnapshotTable[[#This Row],[Equity Basis Total]],SnapshotTable[[#This Row],[Equity Value]]) + (SnapshotTable[[#This Row],[SP Potential Spend]]- SnapshotTable[[#This Row],[SP Premium]] + SnapshotTable[[#This Row],[LP Premium]])+ (SnapshotTable[[#This Row],[LC Premium]] - SnapshotTable[[#This Row],[SC Premium]])</f>
        <v>0</v>
      </c>
      <c r="GW121" s="137" t="str">
        <f>IF(AND(SnapshotTable[[#This Row],[Exposure]] &lt;&gt; 0),SnapshotTable[[#This Row],[Exposure]] / SnapshotTable[[#Totals],[Exposure]], "")</f>
        <v/>
      </c>
      <c r="GY121" s="351"/>
      <c r="HE121" s="253"/>
      <c r="HF121" s="253"/>
      <c r="HG121" s="351"/>
      <c r="HH121" s="351"/>
      <c r="HI121" s="351"/>
      <c r="HJ121" s="351"/>
    </row>
    <row r="122" spans="2:224" ht="12.75" hidden="1" customHeight="1" x14ac:dyDescent="0.25">
      <c r="B122" s="12" t="s">
        <v>827</v>
      </c>
      <c r="C122" s="385">
        <v>22.85</v>
      </c>
      <c r="D122" s="200" t="s">
        <v>467</v>
      </c>
      <c r="E122" s="39">
        <f>SnapshotTable[[#This Row],[Last Price]]*(1 -CrashDiscount)</f>
        <v>19.422499999999999</v>
      </c>
      <c r="F122" s="26" t="s">
        <v>5</v>
      </c>
      <c r="G122" s="26" t="s">
        <v>4</v>
      </c>
      <c r="H122" s="147"/>
      <c r="I122" s="186"/>
      <c r="J122" s="187"/>
      <c r="K122" s="188"/>
      <c r="L122" s="297"/>
      <c r="M122" s="138"/>
      <c r="N122" s="138"/>
      <c r="O122" s="138"/>
      <c r="P122" s="22"/>
      <c r="Q122" s="25"/>
      <c r="R122" s="4" t="str">
        <f>IF(SnapshotTable[[#This Row],[Equity Basis Total]] &gt; 0, SnapshotTable[[#This Row],[Equity Basis Total]] / SnapshotTable[[#This Row],[Equity Shares]], "")</f>
        <v/>
      </c>
      <c r="S122" s="254">
        <f>SnapshotTable[[#This Row],[Last Price]] * SnapshotTable[[#This Row],[Equity Shares]]</f>
        <v>0</v>
      </c>
      <c r="T122" s="254">
        <f>SnapshotTable[[#This Row],[Equity Value]] - SnapshotTable[[#This Row],[Equity Basis Total]]</f>
        <v>0</v>
      </c>
      <c r="U122" s="255" t="str">
        <f>IF(SnapshotTable[[#This Row],[Equity Basis Total]] &gt; 0, SnapshotTable[[#This Row],[Equity G/L]] / SnapshotTable[[#This Row],[Equity Basis Total]], "")</f>
        <v/>
      </c>
      <c r="V122" s="253"/>
      <c r="W122" s="253"/>
      <c r="X122" s="4" t="str">
        <f>IF(AND(ISNUMBER(SnapshotTable[[#This Row],[Equity Basis Per Share]]),ISNUMBER(SnapshotTable[[#This Row],[Equity Target]])),SnapshotTable[[#This Row],[Equity Target]]-SnapshotTable[[#This Row],[Equity Basis Per Share]],"")</f>
        <v/>
      </c>
      <c r="Y122" s="4" t="str">
        <f>IF(AND(ISNUMBER(SnapshotTable[[#This Row],[Equity Basis Per Share]]),ISNUMBER(SnapshotTable[[#This Row],[Equity Stop Loss]])),SnapshotTable[[#This Row],[Equity Stop Loss]]-SnapshotTable[[#This Row],[Equity Basis Per Share]],"")</f>
        <v/>
      </c>
      <c r="Z122" s="260" t="str">
        <f>IFERROR( TEXT(SnapshotTable[[#This Row],[Equity Max Gain Per Share]] /ABS( SnapshotTable[[#This Row],[Equity Max Loss Per Share]]),"0.0 " ) &amp; " : 1", "")</f>
        <v/>
      </c>
      <c r="AA122" s="31" t="str">
        <f>IF(ISNUMBER(SnapshotTable[[#This Row],[Equity Max Gain Per Share]]),SnapshotTable[[#This Row],[Equity Max Gain Per Share]] * SnapshotTable[[#This Row],[Equity Shares]],"")</f>
        <v/>
      </c>
      <c r="AB122" s="31" t="str">
        <f>IF(ISNUMBER(SnapshotTable[[#This Row],[Equity Max Loss Per Share]]),SnapshotTable[[#This Row],[Equity Max Loss Per Share]] * SnapshotTable[[#This Row],[Equity Shares]],"")</f>
        <v/>
      </c>
      <c r="AC122" s="148"/>
      <c r="AD122" s="149"/>
      <c r="AE122" s="31">
        <f>(SnapshotTable[[#This Row],[Annual Dividend Per Share]] / 4) * SnapshotTable[[#This Row],[Equity Shares]]</f>
        <v>0</v>
      </c>
      <c r="AF122" s="31">
        <f>SnapshotTable[[#This Row],[Quarterly Div $]] * 4</f>
        <v>0</v>
      </c>
      <c r="AG122" s="7">
        <f>IF(SnapshotTable[[#This Row],[Annual Dividend Per Share]]&gt;0, SnapshotTable[[#This Row],[Annual Dividend Per Share]]  / SnapshotTable[[#This Row],[Last Price]], 0)</f>
        <v>0</v>
      </c>
      <c r="AH122" s="149"/>
      <c r="AI122" s="5"/>
      <c r="AJ122" s="136"/>
      <c r="AK122" s="150" t="str">
        <f>IF(ISNUMBER( SnapshotTable[[#This Row],[EBF Target]]),(SnapshotTable[[#This Row],[EBF Target]] - SnapshotTable[[#This Row],[Last Price]]) / SnapshotTable[[#This Row],[Last Price]], "")</f>
        <v/>
      </c>
      <c r="AL122" s="150" t="str">
        <f>IF(AND(SnapshotTable[[#This Row],[Equity Basis Total]] &gt; 0,ISNUMBER( SnapshotTable[[#This Row],[Long Term Target]])), SnapshotTable[[#This Row],[From Basis $]] / SnapshotTable[[#This Row],[Equity Basis Total]], "")</f>
        <v/>
      </c>
      <c r="AM122" s="9">
        <f>IF( AND(SnapshotTable[[#This Row],[Equity Shares]] &gt;0,ISNUMBER( SnapshotTable[[#This Row],[Long Term Target]])),(SnapshotTable[[#This Row],[Equity Shares]] * SnapshotTable[[#This Row],[Long Term Target]]) - SnapshotTable[[#This Row],[Equity Basis Total]],0)</f>
        <v>0</v>
      </c>
      <c r="AN122" s="9">
        <f>IF( AND(SnapshotTable[[#This Row],[Equity Shares]] &gt;0,ISNUMBER( SnapshotTable[[#This Row],[Long Term Target]])),(SnapshotTable[[#This Row],[Equity Shares]]*SnapshotTable[[#This Row],[Long Term Target]]) - SnapshotTable[[#This Row],[Equity Value]],0)</f>
        <v>0</v>
      </c>
      <c r="AO122" s="150" t="str">
        <f>IF(AND(ISNUMBER( SnapshotTable[[#This Row],[Long Term Target]]), ISNUMBER(SnapshotTable[[#This Row],[Last Price]])),(SnapshotTable[[#This Row],[Long Term Target]] - SnapshotTable[[#This Row],[Last Price]]) / SnapshotTable[[#This Row],[Last Price]], "")</f>
        <v/>
      </c>
      <c r="AP122" s="5"/>
      <c r="AQ122" s="38" t="s">
        <v>16</v>
      </c>
      <c r="AR122" s="5"/>
      <c r="AS122" s="38" t="s">
        <v>22</v>
      </c>
      <c r="AT122" s="144" t="s">
        <v>442</v>
      </c>
      <c r="AU122" s="185" t="str">
        <f>IF(OR(SnapshotTable[[#This Row],[LP No Fill]]="Y",SnapshotTable[[#This Row],[SP Is Filled]],SnapshotTable[[#This Row],[LC Not Filled]]="Y",SnapshotTable[[#This Row],[SC Is Filled]]),"Y","")</f>
        <v/>
      </c>
      <c r="AV122" s="205"/>
      <c r="AW122" s="211"/>
      <c r="AX122" s="206"/>
      <c r="AY122" s="205" t="str">
        <f>IF(SnapshotTable[[#This Row],[Implied Move]]&gt;0, SnapshotTable[[#This Row],[Last Price]]-SnapshotTable[[#This Row],[Implied Move]],"")</f>
        <v/>
      </c>
      <c r="AZ122" s="205" t="str">
        <f>IF(SnapshotTable[[#This Row],[Implied Move]]&gt;0, SnapshotTable[[#This Row],[Last Price]] + SnapshotTable[[#This Row],[Implied Move]],"")</f>
        <v/>
      </c>
      <c r="BA122" s="302">
        <v>722</v>
      </c>
      <c r="BB122" s="318"/>
      <c r="BC1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2" s="321"/>
      <c r="BE122" s="5"/>
      <c r="BF122" s="14"/>
      <c r="BG122" s="13"/>
      <c r="BH122" s="13"/>
      <c r="BI122" s="5"/>
      <c r="BJ122" s="134">
        <f>IF(SnapshotTable[[#This Row],[LP Qty]] &gt; 0, SnapshotTable[[#This Row],[LP Qty]] * SnapshotTable[[#This Row],[LP Book Price]] * 100,0)</f>
        <v>0</v>
      </c>
      <c r="BK122" s="134">
        <f>IF(SnapshotTable[[#This Row],[LP Premium]] &gt; 0, SnapshotTable[[#This Row],[LP Qty]] * SnapshotTable[[#This Row],[LP Strike Price]] * 100,0)</f>
        <v>0</v>
      </c>
      <c r="BL122" s="152"/>
      <c r="BM122" s="355" t="str">
        <f>IF(SnapshotTable[[#This Row],[LP Premium]] &gt; 0,SnapshotTable[[#This Row],[LP Exp Date]]-MAX(SnapshotTable[[#This Row],[LP Book Date]], SnapshotTable[[#This Row],[LP Fill Date]]),"")</f>
        <v/>
      </c>
      <c r="BN122" s="355" t="str">
        <f>IF(ISNUMBER( SnapshotTable[[#This Row],[LP Term]]), SnapshotTable[[#This Row],[LP Exp Date]] - MockToday,"")</f>
        <v/>
      </c>
      <c r="BO122" s="161" t="str">
        <f>IF(AND(SnapshotTable[[#This Row],[LP Exp Date]]&gt;0, SnapshotTable[[#This Row],[LP Strike Price]]&gt;0,SnapshotTable[[#This Row],[LP Qty]]&gt;0,SnapshotTable[[#This Row],[LP Book Date]]&gt;0,SnapshotTable[[#This Row],[LP Book Price]]&gt;0,SnapshotTable[[#This Row],[LP Fill Date]]=0),"Y","")</f>
        <v/>
      </c>
      <c r="BP122" s="31" t="str">
        <f>IF(AND(SnapshotTable[[#This Row],[LP No Fill]]&lt;&gt;"Y",SnapshotTable[[#This Row],[LP Contract Value]]&gt;0, SnapshotTable[[#This Row],[LP Qty]]&gt;0), SnapshotTable[[#This Row],[LP Contract Value]]*SnapshotTable[[#This Row],[LP Qty]]*100,"")</f>
        <v/>
      </c>
      <c r="BQ122" s="13"/>
      <c r="BR122" s="5"/>
      <c r="BS122" s="36"/>
      <c r="BT122" s="145"/>
      <c r="BU122" s="13"/>
      <c r="BV122" s="5"/>
      <c r="BW122" s="382" t="b">
        <f>AND(ISNUMBER(SnapshotTable[[#This Row],[SP Exp Date]]), ISNUMBER(SnapshotTable[[#This Row],[SP Strike Price]]), ISNUMBER(SnapshotTable[[#This Row],[SP Qty]]), ISNUMBER(SnapshotTable[[#This Row],[SP Book Date]]), ISNUMBER(SnapshotTable[[#This Row],[SP Book Price]]))</f>
        <v>0</v>
      </c>
      <c r="BX122" s="382" t="b">
        <f>AND(SnapshotTable[[#This Row],[SP Is Booked]], NOT(ISBLANK(SnapshotTable[[#This Row],[SP Fill Date]])))</f>
        <v>0</v>
      </c>
      <c r="BY122" s="33">
        <f>IF(SnapshotTable[[#This Row],[SP Is Booked]], SnapshotTable[[#This Row],[SP Qty]] * SnapshotTable[[#This Row],[SP Book Price]] * 100, 0)</f>
        <v>0</v>
      </c>
      <c r="BZ122" s="339"/>
      <c r="CA122" s="338">
        <f>SnapshotTable[[#This Row],[LP Qty]]</f>
        <v>0</v>
      </c>
      <c r="CB122" s="4" t="str">
        <f>IF(SnapshotTable[[#This Row],[SP Is Booked]], SnapshotTable[[#This Row],[SP Strike Price]] - SnapshotTable[[#This Row],[SP Book Price]], "")</f>
        <v/>
      </c>
      <c r="CC122" s="19" t="str">
        <f>IF(SnapshotTable[[#This Row],[SP Is Booked]],SnapshotTable[[#This Row],[SP Exp Date]]-MAX(SnapshotTable[[#This Row],[SP Book Date]], SnapshotTable[[#This Row],[SP Fill Date]]),"")</f>
        <v/>
      </c>
      <c r="CD122" s="7" t="str">
        <f>IF(SnapshotTable[[#This Row],[SP Is Booked]], SnapshotTable[[#This Row],[SP Book Price]]/SnapshotTable[[#This Row],[SP Strike Price]], "")</f>
        <v/>
      </c>
      <c r="CE122" s="7" t="str">
        <f>IF(ISNUMBER(SnapshotTable[[#This Row],[SP ROO Term]]),SnapshotTable[[#This Row],[SP ROO Term]]*(365/SnapshotTable[[#This Row],[SP Term]]),"")</f>
        <v/>
      </c>
      <c r="CF122" s="221">
        <f>SnapshotTable[[#This Row],[LP Strike Price]] * SnapshotTable[[#This Row],[LP Qty]] * 100</f>
        <v>0</v>
      </c>
      <c r="CG122" s="31">
        <f>IF(ISNUMBER(SnapshotTable[[#This Row],[SP Premium]]), (SnapshotTable[[#This Row],[SP Qty]] * SnapshotTable[[#This Row],[SP Strike Price]]* 100) - SnapshotTable[[#This Row],[LP Protection]], 0)</f>
        <v>0</v>
      </c>
      <c r="CH122" s="7" t="str">
        <f>IF(ISNUMBER(SnapshotTable[[#This Row],[SP Break Even]]),-1 * (SnapshotTable[[#This Row],[SP Break Even]] - SnapshotTable[[#This Row],[Last Price]]) / SnapshotTable[[#This Row],[Last Price]], "")</f>
        <v/>
      </c>
      <c r="CI122" s="31">
        <f>IF(AND(ISNUMBER((SnapshotTable[[#This Row],[SP Potential Spend]])), SnapshotTable[[#This Row],[SP Strike Price]] &gt; SnapshotTable[[#This Row],[Last Price]], SnapshotTable[[#This Row],[SP Is Filled]]), SnapshotTable[[#This Row],[SP Potential Spend]] -  SnapshotTable[[#This Row],[LP Max Value]], 0)</f>
        <v>0</v>
      </c>
      <c r="CJ122" s="229"/>
      <c r="CK122" s="31">
        <f>IF(ISNUMBER(SnapshotTable[[#This Row],[SP Potential Spend]]),IF(ISNUMBER(SnapshotTable[[#This Row],[SP POW]]), SnapshotTable[[#This Row],[SP POW]] * SnapshotTable[[#This Row],[SP Potential Spend]], SnapshotTable[[#This Row],[SP Potential Spend]]), "")</f>
        <v>0</v>
      </c>
      <c r="CL122" s="162">
        <f>IF(NOT(SnapshotTable[[#This Row],[SP Is Filled]]),(SnapshotTable[[#This Row],[SP Qty]] * SnapshotTable[[#This Row],[SP Strike Price]] * 100) - SnapshotTable[[#This Row],[LP Max Value]],"")</f>
        <v>0</v>
      </c>
      <c r="CM122" s="31" t="str">
        <f>IF(SnapshotTable[[#This Row],[SP Actual Spend]]&lt;&gt;0, ((SnapshotTable[[#This Row],[SP Strike Price]]-SnapshotTable[[#This Row],[Last Price]]) *(SnapshotTable[[#This Row],[SP Qty]]*100) - SnapshotTable[[#This Row],[SP Premium]]) * - 1, "")</f>
        <v/>
      </c>
      <c r="CN122" s="76"/>
      <c r="CO122" s="339"/>
      <c r="CP122" s="4" t="str">
        <f>IF(SnapshotTable[[#This Row],[SP Is Filled]], btc_max_buyback_amount(SnapshotTable[[#This Row],[SP Fill Date]],SnapshotTable[[#This Row],[SP Exp Date]], SnapshotTable[[#This Row],[SP Book Price]]),"")</f>
        <v/>
      </c>
      <c r="CQ122" s="76"/>
      <c r="CR1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2" s="153" t="str">
        <f>IF(SnapshotTable[[#This Row],[SP Is Filled]], btc_next_cutoff_date(SnapshotTable[[#This Row],[SP Fill Date]],SnapshotTable[[#This Row],[SP Exp Date]]),"")</f>
        <v/>
      </c>
      <c r="CT122" s="220" t="str" cm="1">
        <f t="array" ref="CT122">IF(SnapshotTable[[#This Row],[SP Is Filled]], btc_should_buy_back(SnapshotTable[[#This Row],[SP Fill Date]], SnapshotTable[[#This Row],[SP Exp Date]], SnapshotTable[[#This Row],[SP Book Price]], SnapshotTable[[#This Row],[SP Current Ask]], MockToday, SnapshotTable[[#This Row],[SP Buyback Override]]),"")</f>
        <v/>
      </c>
      <c r="CU122" s="154"/>
      <c r="CV122" s="220"/>
      <c r="CW122" s="348" t="str">
        <f>IF(ISNUMBER( SnapshotTable[[#This Row],[SP Term]]), SnapshotTable[[#This Row],[SP Exp Date]] - MockToday,"")</f>
        <v/>
      </c>
      <c r="CX122" s="31" t="str">
        <f>IF(SnapshotTable[[#This Row],[SP Is Filled]],SnapshotTable[[#This Row],[SP Buyback Price to Use]] * 100 * SnapshotTable[[#This Row],[SP Qty]], "")</f>
        <v/>
      </c>
      <c r="CY122" s="4" t="str">
        <f>IF(ISNUMBER(SnapshotTable[[#This Row],[SP Strike Price]]), SnapshotTable[[#This Row],[SP Strike Price]] * (1 - SP_MaxLoss_StrikePct), "")</f>
        <v/>
      </c>
      <c r="CZ122" s="31" t="str">
        <f>IF(ISNUMBER(SnapshotTable[[#This Row],[SP Strike  Stop Per Share]]),SnapshotTable[[#This Row],[SP Premium]] - ((SnapshotTable[[#This Row],[SP Strike Price]]-SnapshotTable[[#This Row],[SP Strike  Stop Per Share]]) *(SnapshotTable[[#This Row],[SP Qty]] * 100)),"")</f>
        <v/>
      </c>
      <c r="DA122" s="4" t="str">
        <f>IF(AND(ISNUMBER(SnapshotTable[[#This Row],[SP Premium]]),SnapshotTable[[#This Row],[SP Premium]]&gt;0), SnapshotTable[[#This Row],[SP Book Price]] * (1 + SP_MaxLoss_OptionPct), "")</f>
        <v/>
      </c>
      <c r="DB122" s="31" t="str">
        <f>IF(ISNUMBER(SnapshotTable[[#This Row],[SP Option  Stop Contract]]),(SnapshotTable[[#This Row],[SP Option  Stop Contract]] *(SnapshotTable[[#This Row],[SP Qty]] * 100) - SnapshotTable[[#This Row],[SP Premium]]),"")</f>
        <v/>
      </c>
      <c r="DC122" s="4"/>
      <c r="DD122" s="4"/>
      <c r="DE122" s="4" t="str">
        <f>IF(AND(SnapshotTable[[#This Row],[SP Qty]]&gt;0, SnapshotTable[[#This Row],[SP Stop To Use]]&gt;0),SnapshotTable[[#This Row],[SP Premium]] - ( SnapshotTable[[#This Row],[SP Qty]] * SnapshotTable[[#This Row],[SP Stop To Use]] * 100), "")</f>
        <v/>
      </c>
      <c r="DF122" s="31" t="str">
        <f>IF(AND(SnapshotTable[[#This Row],[SP Qty]]&gt;0,SnapshotTable[[#This Row],[SP Current Ask]]&gt;0), SnapshotTable[[#This Row],[SP Qty]] * SnapshotTable[[#This Row],[SP Current Ask]] * -100, "")</f>
        <v/>
      </c>
      <c r="DG122" s="31" t="str">
        <f>IF(ISNUMBER((SnapshotTable[[#This Row],[SP Total Value]])), SnapshotTable[[#This Row],[SP Premium]] + SnapshotTable[[#This Row],[SP Total Value]], "")</f>
        <v/>
      </c>
      <c r="DH122" s="272" t="str">
        <f>IF(ISNUMBER((SnapshotTable[[#This Row],[SP Total Value]])), SnapshotTable[[#This Row],[SP Gain Loss]] / SnapshotTable[[#This Row],[SP Premium]], "")</f>
        <v/>
      </c>
      <c r="DI122" s="369"/>
      <c r="DJ122" s="136"/>
      <c r="DK122" s="146"/>
      <c r="DL122" s="13"/>
      <c r="DM122" s="13"/>
      <c r="DO122" s="31">
        <f>IF(SnapshotTable[[#This Row],[LC Symbol Count]]=1, SnapshotTable[[#This Row],[LC Qty]] * SnapshotTable[[#This Row],[LC Book Price]] * 100, 0)</f>
        <v>0</v>
      </c>
      <c r="DP122" s="161" t="str">
        <f>IF(AND(SnapshotTable[[#This Row],[LC Exp Date]]&gt;0, SnapshotTable[[#This Row],[LC Strike Price]]&gt;0,SnapshotTable[[#This Row],[LC Qty]]&gt;0,SnapshotTable[[#This Row],[LC Book Date]]&gt;0,SnapshotTable[[#This Row],[LC Book Price]]&gt;0,SnapshotTable[[#This Row],[LC Fill Date]]=0),"Y","")</f>
        <v/>
      </c>
      <c r="DQ122" s="356" t="str">
        <f>IF(SnapshotTable[[#This Row],[LC Premium]] &gt; 0,SnapshotTable[[#This Row],[LC Exp Date]]-MAX(SnapshotTable[[#This Row],[LC Book Date]], SnapshotTable[[#This Row],[LC Fill Date]]),"")</f>
        <v/>
      </c>
      <c r="DR122" s="356" t="str">
        <f>IF(ISNUMBER(SnapshotTable[[#This Row],[LC Term]]), SnapshotTable[[#This Row],[LC Exp Date]] - MockToday, "")</f>
        <v/>
      </c>
      <c r="DS122" s="219" t="str">
        <f>IF(SnapshotTable[[#This Row],[LC Premium]]&gt;0,SnapshotTable[[#This Row],[LC Strike Price]] + SnapshotTable[[#This Row],[LC Book Price]],"")</f>
        <v/>
      </c>
      <c r="DU122" s="9" t="str">
        <f>IF(AND(SnapshotTable[[#This Row],[LC Symbol Count]]&gt;0, SnapshotTable[[#This Row],[LC Contract Value]]&gt;0), SnapshotTable[[#This Row],[LC Contract Value]] * SnapshotTable[[#This Row],[LC Qty]] * 100, "")</f>
        <v/>
      </c>
      <c r="DV122" s="9" t="str">
        <f>IF(AND(ISNUMBER(SnapshotTable[[#This Row],[LC Total Value]]), SnapshotTable[[#This Row],[LC Not Filled]]&lt;&gt;"Y"), SnapshotTable[[#This Row],[LC Total Value]]-SnapshotTable[[#This Row],[LC Premium]],"")</f>
        <v/>
      </c>
      <c r="DW122" s="225" t="str">
        <f>IF(ISNUMBER(SnapshotTable[[#This Row],[LC Actual Gain Loss]]), SnapshotTable[[#This Row],[LC Actual Gain Loss]] / SnapshotTable[[#This Row],[LC Premium]],"")</f>
        <v/>
      </c>
      <c r="DX122" s="269" t="str">
        <f>IF(ISNUMBER(SnapshotTable[[#This Row],[LC Book Price]]),SnapshotTable[[#This Row],[LC Book Price]] * 1.5,"")</f>
        <v/>
      </c>
      <c r="DY122" s="250" t="str">
        <f>IF(SnapshotTable[[#This Row],[LC Premium]]&gt;0, SnapshotTable[[#This Row],[LC Next Target]] * SnapshotTable[[#This Row],[LC Qty]] * 100,"")</f>
        <v/>
      </c>
      <c r="DZ122" s="250" t="str">
        <f>IF(ISNUMBER(SnapshotTable[[#This Row],[LC Target Gross]]), SnapshotTable[[#This Row],[LC Target Gross]] - SnapshotTable[[#This Row],[LC Premium]], "")</f>
        <v/>
      </c>
      <c r="EA122" s="283" t="str">
        <f>IF(ISNUMBER(SnapshotTable[[#This Row],[LC Target Gain Loss]]), SnapshotTable[[#This Row],[LC Target Gain Loss]]/SnapshotTable[[#This Row],[LC Premium]], "")</f>
        <v/>
      </c>
      <c r="EB122" s="247"/>
      <c r="EC122" s="268" t="str">
        <f>IF(SnapshotTable[[#This Row],[LC Premium]]&gt;0, SnapshotTable[[#This Row],[LC Book Price]] * (1 - LC_StopLoss_Pct),"")</f>
        <v/>
      </c>
      <c r="ED122" s="269"/>
      <c r="EE122" s="268" t="str">
        <f>IF(ISNUMBER(SnapshotTable[[#This Row],[LC Contract Value]]),IF(ISNUMBER(SnapshotTable[[#This Row],[LC Stop Loss Override]]), SnapshotTable[[#This Row],[LC Stop Loss Override]],SnapshotTable[[#This Row],[LC Stop Loss Calc Target]]),"")</f>
        <v/>
      </c>
      <c r="EF122" s="31" t="str">
        <f>IF(ISNUMBER(SnapshotTable[[#This Row],[LC Stop  To Use]]), (SnapshotTable[[#This Row],[LC Stop  To Use]] * SnapshotTable[[#This Row],[LC Qty]] * 100),"")</f>
        <v/>
      </c>
      <c r="EG122" s="9" t="str">
        <f>IF(ISNUMBER(SnapshotTable[[#This Row],[LC Total Value]]),SnapshotTable[[#This Row],[LC Stop Loss Amount]] - SnapshotTable[[#This Row],[LC Premium]],"")</f>
        <v/>
      </c>
      <c r="EH122" s="9">
        <f>IF(ISNUMBER(SnapshotTable[[#This Row],[LC Premium]]), SnapshotTable[[#This Row],[LC Qty]] * 100 * SnapshotTable[[#This Row],[LC Strike Price]], "")</f>
        <v>0</v>
      </c>
      <c r="EI122" s="225" t="str">
        <f>IF(AND(ISNUMBER(SnapshotTable[[#This Row],[LC Total Value]]),SnapshotTable[[#This Row],[LC Total Value]]&gt;0),SnapshotTable[[#This Row],[LC Stop Gain Loss]]  / SnapshotTable[[#This Row],[LC Premium]],"")</f>
        <v/>
      </c>
      <c r="EJ122" s="35">
        <f>IF(ISNUMBER(SnapshotTable[[#This Row],[Equity Shares]]),TRUNC(SnapshotTable[[#This Row],[Equity Shares]] / 100),0) + SnapshotTable[[#This Row],[LC Qty]]</f>
        <v>0</v>
      </c>
      <c r="EK122" s="145"/>
      <c r="EL122" s="136"/>
      <c r="EM122" s="146"/>
      <c r="EN122" s="145"/>
      <c r="EO122" s="145"/>
      <c r="EP122" s="136"/>
      <c r="EQ122" s="382" t="b">
        <f>AND(ISNUMBER(SnapshotTable[[#This Row],[SC Exp Date]]), ISNUMBER(SnapshotTable[[#This Row],[SC Strike Price]]), ISNUMBER(SnapshotTable[[#This Row],[SC Qty]]), ISNUMBER(SnapshotTable[[#This Row],[SC Book Date]]), ISNUMBER(SnapshotTable[[#This Row],[SC Book Price]]))</f>
        <v>0</v>
      </c>
      <c r="ER122" s="382" t="b">
        <f>AND(SnapshotTable[[#This Row],[SC Is Booked]], NOT(ISBLANK(SnapshotTable[[#This Row],[SC Fill Date]])))</f>
        <v>0</v>
      </c>
      <c r="ES122" s="340"/>
      <c r="ET122" s="34" t="str">
        <f>IF(AND(ISNUMBER(SnapshotTable[[#This Row],[SC Exp Date]]), ISNUMBER(SnapshotTable[[#This Row],[SC Book Date]])), SnapshotTable[[#This Row],[SC Exp Date]] - MAX(SnapshotTable[[#This Row],[SC Book Date]], SnapshotTable[[#This Row],[SC Fill Date]]) + 1, "")</f>
        <v/>
      </c>
      <c r="EU122" s="34" t="str">
        <f>IF(ISNUMBER(SnapshotTable[[#This Row],[SC Term]]), SnapshotTable[[#This Row],[SC Exp Date]]- MockToday, "")</f>
        <v/>
      </c>
      <c r="EV122" s="31">
        <f>IF(SnapshotTable[[#This Row],[SC Is Booked]], SnapshotTable[[#This Row],[SC Qty]] * SnapshotTable[[#This Row],[SC Book Price]] * 100, 0)</f>
        <v>0</v>
      </c>
      <c r="EW122" s="4" t="str">
        <f>IF(AND(ISNUMBER(SnapshotTable[[#This Row],[Last Price]]), ISNUMBER( SnapshotTable[[#This Row],[SC Book Price]])), SnapshotTable[[#This Row],[Last Price]] - SnapshotTable[[#This Row],[SC Book Price]],"")</f>
        <v/>
      </c>
      <c r="EX122" s="219" t="str">
        <f>IF(SnapshotTable[[#This Row],[SC Is Booked]],IF(SnapshotTable[[#This Row],[SC Intrinsic Value]] &gt; 0, SnapshotTable[[#This Row],[SC Strike Price]], SnapshotTable[[#This Row],[Last Price]]), "")</f>
        <v/>
      </c>
      <c r="EY122" s="4">
        <f>IF(SnapshotTable[[#This Row],[SC Is Booked]], (MinimumPremiumRequired * SnapshotTable[[#This Row],[SC Basis]] * SnapshotTable[[#This Row],[SC Term]]), 0)</f>
        <v>0</v>
      </c>
      <c r="EZ122" s="268"/>
      <c r="FA122" s="204"/>
      <c r="FB122" s="340"/>
      <c r="FC122" s="4">
        <f>IF(SnapshotTable[[#This Row],[SC Is Filled]], btc_max_buyback_amount(SnapshotTable[[#This Row],[SC Fill Date]],SnapshotTable[[#This Row],[SC Exp Date]], SnapshotTable[[#This Row],[SC Book Price]]),0)</f>
        <v>0</v>
      </c>
      <c r="FD122" s="5"/>
      <c r="FE122" s="142" t="str">
        <f>IF(SnapshotTable[[#This Row],[SC Is Filled]], btc_next_cutoff_date(SnapshotTable[[#This Row],[SC Fill Date]],SnapshotTable[[#This Row],[SC Exp Date]]),"")</f>
        <v/>
      </c>
      <c r="FF122" s="4" t="str" cm="1">
        <f t="array" ref="FF122">IF(SnapshotTable[[#This Row],[SC Is Filled]], btc_should_buy_back(SnapshotTable[[#This Row],[SC Fill Date]], SnapshotTable[[#This Row],[SC Exp Date]], SnapshotTable[[#This Row],[SC Book Price]], SnapshotTable[[#This Row],[SC Current Ask]], MockToday, SnapshotTable[[#This Row],[SC Buyback Override]]),"")</f>
        <v/>
      </c>
      <c r="FG122" s="4">
        <f>IF(SnapshotTable[[#This Row],[SC Is Filled]], MAX(0,SnapshotTable[[#This Row],[Last Price]]  - SnapshotTable[[#This Row],[SC Strike Price]]), 0)</f>
        <v>0</v>
      </c>
      <c r="FH122" s="352">
        <f>IF(SnapshotTable[[#This Row],[SC Is Filled]], IF(ISNUMBER(SnapshotTable[[#This Row],[SC Current Ask]]), SnapshotTable[[#This Row],[SC Current Ask]], SnapshotTable[[#This Row],[SC Book Price]]) - SnapshotTable[[#This Row],[SC Intrinsic Value]], 0)</f>
        <v>0</v>
      </c>
      <c r="FI122" s="141"/>
      <c r="FJ122" s="32" t="str">
        <f>IF(SnapshotTable[[#This Row],[SC Is Filled]],100 * SnapshotTable[[#This Row],[SC Qty]] * IF(ISNUMBER(SnapshotTable[[#This Row],[SC Buyback Override]]), SnapshotTable[[#This Row],[SC Buyback Override]], SnapshotTable[[#This Row],[SC Current Ask]]), "")</f>
        <v/>
      </c>
      <c r="FK122" s="235" t="str">
        <f>IF(SnapshotTable[[#This Row],[SC Time Val]]&gt;0, SnapshotTable[[#This Row],[SC Time Val]] / SnapshotTable[[#This Row],[Last Price]],"")</f>
        <v/>
      </c>
      <c r="FL122" s="280" t="str">
        <f>IF(SnapshotTable[[#This Row],[SC Is Booked]], ((SnapshotTable[[#This Row],[Last Price]] -SnapshotTable[[#This Row],[SC Strike Price]]) / SnapshotTable[[#This Row],[Last Price]]) * -1, "")</f>
        <v/>
      </c>
      <c r="FM122" s="155" t="str">
        <f>IF(SnapshotTable[[#This Row],[SC Is Booked]],  (SnapshotTable[[#This Row],[SC Qty]] * 100 * SnapshotTable[[#This Row],[SC Strike Price]]) - SnapshotTable[[#This Row],[SC Current Ask]], "")</f>
        <v/>
      </c>
      <c r="FN12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2" s="31" t="str">
        <f>IF(AND(ISNUMBER(SnapshotTable[[#This Row],[SC Exercise Gross]]), ISNUMBER(SnapshotTable[[#This Row],[Equity Basis Per Share]] )), SnapshotTable[[#This Row],[SC Exercise Gross]] - SnapshotTable[[#This Row],[Equity Basis Total]] +  SnapshotTable[[#This Row],[SC Premium]], "")</f>
        <v/>
      </c>
      <c r="FP122" s="5" t="str">
        <f>IF(ISNUMBER(SnapshotTable[[#This Row],[SC Exercise Gross]]), (SnapshotTable[[#This Row],[SC Exercise Gross]]) / (SnapshotTable[[#This Row],[SC Qty]] * 100), "")</f>
        <v/>
      </c>
      <c r="FQ122" s="27" t="str">
        <f>IF(SnapshotTable[[#This Row],[SC Is Booked]],SnapshotTable[[#This Row],[SC Time Val]] /SnapshotTable[[#This Row],[SC Basis]], "")</f>
        <v/>
      </c>
      <c r="FR122" s="27" t="str" cm="1">
        <f t="array" ref="FR122">IF(AND(ISNUMBER(SnapshotTable[[#This Row],[SC Term]]),ISNUMBER(SnapshotTable[[#This Row],[SC Simple ROO]])), EllmanAnnualize(SnapshotTable[[#This Row],[SC DTE]], SnapshotTable[[#This Row],[SC Simple ROO]] ),"")</f>
        <v/>
      </c>
      <c r="FS122" s="4">
        <f>IF(SnapshotTable[[#This Row],[SC Strike Price]] &gt; SnapshotTable[[#This Row],[Last Price]], SnapshotTable[[#This Row],[SC Strike Price]] - SnapshotTable[[#This Row],[Last Price]],0)</f>
        <v>0</v>
      </c>
      <c r="FT122" s="27" t="str">
        <f>IF(AND(ISNUMBER(SnapshotTable[[#This Row],[SC Upside Potential]]), SnapshotTable[[#This Row],[SC Upside Potential]] &gt; 0),(SnapshotTable[[#This Row],[SC Upside Potential]]/ SnapshotTable[[#This Row],[ACB]]),"")</f>
        <v/>
      </c>
      <c r="FU122" s="304" t="str">
        <f>IF(SnapshotTable[[#This Row],[SC Intrinsic Value]] &gt; 0,SnapshotTable[[#This Row],[SC Intrinsic Value]],"")</f>
        <v/>
      </c>
      <c r="FV122" s="27" t="str">
        <f>IF(AND( ISNUMBER( SnapshotTable[[#This Row],[ACB]]),ISNUMBER(SnapshotTable[[#This Row],[SC Downside Protect]])),SnapshotTable[[#This Row],[SC Downside Protect]] / SnapshotTable[[#This Row],[ACB]],"")</f>
        <v/>
      </c>
      <c r="FW122" s="221" t="str">
        <f>IF(AND(ISNUMBER(SnapshotTable[[#This Row],[SC Simple ROO]]),SnapshotTable[[#This Row],[SC Simple ROO]] &gt; 0), SnapshotTable[[#This Row],[SC Premium]] + (SnapshotTable[[#This Row],[SC Qty]] * SnapshotTable[[#This Row],[SC Upside Potential]]), "")</f>
        <v/>
      </c>
      <c r="FX122" s="280" t="str" cm="1">
        <f t="array" ref="FX122">IF(ISNUMBER(SnapshotTable[[#This Row],[SC Max Dollars]]), annualize(SnapshotTable[[#This Row],[SC Term]],(SnapshotTable[[#This Row],[SC Max Dollars]]/SnapshotTable[[#This Row],[SC Basis]])),"")</f>
        <v/>
      </c>
      <c r="FY122" s="221" t="str">
        <f>IF(AND(SnapshotTable[[#This Row],[SC Qty]]&gt;0,SnapshotTable[[#This Row],[SC Current Ask]]&gt;0), SnapshotTable[[#This Row],[SC Qty]] * SnapshotTable[[#This Row],[SC Current Ask]] * -100, "")</f>
        <v/>
      </c>
      <c r="FZ122" s="31" t="str">
        <f>IF(ISNUMBER((SnapshotTable[[#This Row],[SC Current Value]])), SnapshotTable[[#This Row],[SC Premium]] + SnapshotTable[[#This Row],[SC Current Value]], "")</f>
        <v/>
      </c>
      <c r="GA122" s="272" t="str">
        <f>IFERROR( IF(ISNUMBER((SnapshotTable[[#This Row],[SC Current Value]])), SnapshotTable[[#This Row],[SC Gain Loss]] / SnapshotTable[[#This Row],[SC Premium]], ""), "")</f>
        <v/>
      </c>
      <c r="GB122" s="42">
        <f>SnapshotTable[[#This Row],[Equity Shares]] * SaleSharesToConsiderPercentage</f>
        <v>0</v>
      </c>
      <c r="GC122" s="40">
        <f>SnapshotTable[[#This Row],[Long Term Target]] * SellingPriceToConsiderBasedOnTargetPercentage</f>
        <v>0</v>
      </c>
      <c r="GD122" s="40">
        <f>SnapshotTable[[#This Row],[Last Price]] * (1+ SellingPriceToConsiderBasedOnTargetPercentage)</f>
        <v>44.557500000000005</v>
      </c>
      <c r="GE122" s="41"/>
      <c r="GF122" s="40"/>
      <c r="GG122" s="31">
        <f>SnapshotTable[[#This Row],[Booked Sale Shares]] * SnapshotTable[[#This Row],[Booked Sale Price]]</f>
        <v>0</v>
      </c>
      <c r="GH122" s="31" t="str">
        <f>IF(SnapshotTable[[#This Row],[Equity Basis Total]] &gt; 0, SnapshotTable[[#This Row],[Equity Basis Per Share]] * SnapshotTable[[#This Row],[Booked Sale Shares]], "")</f>
        <v/>
      </c>
      <c r="GI122" s="31">
        <f>IF(SnapshotTable[[#This Row],[Sale Proceeds]]&gt;0, SnapshotTable[[#This Row],[Sale Proceeds]] - SnapshotTable[[#This Row],[Sale Basis]], 0)</f>
        <v>0</v>
      </c>
      <c r="GJ122" s="27" t="str">
        <f>IF(SnapshotTable[[#This Row],[Sale G/L]]&gt;0, SnapshotTable[[#This Row],[Sale G/L]] / SnapshotTable[[#This Row],[Sale Basis]], IF(ISNUMBER(SnapshotTable[[#This Row],[SC Exercise P&amp;L (TAX)]]), SnapshotTable[[#This Row],[SC Exercise P&amp;L (TAX)]] / SnapshotTable[[#This Row],[SC Basis]], ""))</f>
        <v/>
      </c>
      <c r="GK122" s="27" t="s">
        <v>872</v>
      </c>
      <c r="GL122" s="43" t="str">
        <f>IF(AND(SnapshotTable[[#This Row],[LP Exp Date]]&gt;0,SnapshotTable[[#This Row],[LP Strike Price]]&gt;0), [1]!ToOptionSymbol(SnapshotTable[[#This Row],[Symbol]], SnapshotTable[[#This Row],[LP Strike Price]],SnapshotTable[[#This Row],[LP Exp Date]],1), "")</f>
        <v/>
      </c>
      <c r="GM122" s="30" t="str">
        <f>IF(LEN(SnapshotTable[[#This Row],[LP Symbol]])&gt;0, 1, "")</f>
        <v/>
      </c>
      <c r="GN122" s="43" t="str">
        <f>IF(AND(SnapshotTable[[#This Row],[SP Exp Date]]&gt;0,SnapshotTable[[#This Row],[SP Strike Price]]&gt;0), [1]!ToOptionSymbol(SnapshotTable[[#This Row],[Symbol]], SnapshotTable[[#This Row],[SP Strike Price]],SnapshotTable[[#This Row],[SP Exp Date]],1), "")</f>
        <v/>
      </c>
      <c r="GO122" s="30" t="str">
        <f>IF(LEN(SnapshotTable[[#This Row],[SP Symbol]])&gt;0, 1, "")</f>
        <v/>
      </c>
      <c r="GP122" s="43" t="str">
        <f>IF(AND(SnapshotTable[[#This Row],[LC Exp Date]]&gt;0,SnapshotTable[[#This Row],[LC Strike Price]]&gt;0), [1]!ToOptionSymbol(SnapshotTable[[#This Row],[Symbol]], SnapshotTable[[#This Row],[LC Strike Price]],SnapshotTable[[#This Row],[LC Exp Date]],0), "")</f>
        <v/>
      </c>
      <c r="GQ122" s="30" t="str">
        <f>IF(LEN(SnapshotTable[[#This Row],[LC Symbol]])&gt;0, 1, "")</f>
        <v/>
      </c>
      <c r="GR122" s="43" t="str">
        <f>IF(AND(SnapshotTable[[#This Row],[SC Exp Date]]&gt;0,SnapshotTable[[#This Row],[SC Strike Price]]&gt;0), [1]!ToOptionSymbol(SnapshotTable[[#This Row],[Symbol]], SnapshotTable[[#This Row],[SC Strike Price]],SnapshotTable[[#This Row],[SC Exp Date]],0), "")</f>
        <v/>
      </c>
      <c r="GS122" s="30" t="str">
        <f>IF(LEN(SnapshotTable[[#This Row],[SC Symbol]])&gt;0, 1, "")</f>
        <v/>
      </c>
      <c r="GT122" s="29" t="str">
        <f>IF(COUNT(SnapshotTable[[#This Row],[LP Symbol Count]],SnapshotTable[[#This Row],[SP Symbol Count]],SnapshotTable[[#This Row],[LC Symbol Count]],SnapshotTable[[#This Row],[SC Symbol Count]])&gt;0, "Y", "")</f>
        <v/>
      </c>
      <c r="GU1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2" s="216">
        <f>MAX(SnapshotTable[[#This Row],[Equity Basis Total]],SnapshotTable[[#This Row],[Equity Value]]) + (SnapshotTable[[#This Row],[SP Potential Spend]]- SnapshotTable[[#This Row],[SP Premium]] + SnapshotTable[[#This Row],[LP Premium]])+ (SnapshotTable[[#This Row],[LC Premium]] - SnapshotTable[[#This Row],[SC Premium]])</f>
        <v>0</v>
      </c>
      <c r="GW122" s="137" t="str">
        <f>IF(AND(SnapshotTable[[#This Row],[Exposure]] &lt;&gt; 0),SnapshotTable[[#This Row],[Exposure]] / SnapshotTable[[#Totals],[Exposure]], "")</f>
        <v/>
      </c>
      <c r="HE122" s="253"/>
      <c r="HF122" s="253"/>
      <c r="HK122" s="1"/>
      <c r="HL122" s="1"/>
      <c r="HM122" s="1"/>
      <c r="HN122" s="1"/>
      <c r="HO122" s="1"/>
      <c r="HP122" s="1"/>
    </row>
    <row r="123" spans="2:224" ht="12.75" hidden="1" customHeight="1" x14ac:dyDescent="0.25">
      <c r="B123" s="12" t="s">
        <v>900</v>
      </c>
      <c r="C123" s="385">
        <v>441.8</v>
      </c>
      <c r="D123" s="200"/>
      <c r="E123" s="39">
        <f>SnapshotTable[[#This Row],[Last Price]]*(1 -CrashDiscount)</f>
        <v>375.53</v>
      </c>
      <c r="F123" s="26" t="s">
        <v>749</v>
      </c>
      <c r="G123" s="296" t="s">
        <v>7</v>
      </c>
      <c r="H123" s="147"/>
      <c r="I123" s="186"/>
      <c r="J123" s="187"/>
      <c r="K123" s="188"/>
      <c r="L123" s="297"/>
      <c r="M123" s="138"/>
      <c r="N123" s="138"/>
      <c r="O123" s="138"/>
      <c r="P123" s="22"/>
      <c r="Q123" s="25"/>
      <c r="R123" s="4" t="str">
        <f>IF(SnapshotTable[[#This Row],[Equity Basis Total]] &gt; 0, SnapshotTable[[#This Row],[Equity Basis Total]] / SnapshotTable[[#This Row],[Equity Shares]], "")</f>
        <v/>
      </c>
      <c r="S123" s="254">
        <f>SnapshotTable[[#This Row],[Last Price]] * SnapshotTable[[#This Row],[Equity Shares]]</f>
        <v>0</v>
      </c>
      <c r="T123" s="254">
        <f>SnapshotTable[[#This Row],[Equity Value]] - SnapshotTable[[#This Row],[Equity Basis Total]]</f>
        <v>0</v>
      </c>
      <c r="U123" s="255" t="str">
        <f>IF(SnapshotTable[[#This Row],[Equity Basis Total]] &gt; 0, SnapshotTable[[#This Row],[Equity G/L]] / SnapshotTable[[#This Row],[Equity Basis Total]], "")</f>
        <v/>
      </c>
      <c r="V123" s="253">
        <v>135</v>
      </c>
      <c r="W123" s="253">
        <v>121.7</v>
      </c>
      <c r="X123" s="4" t="str">
        <f>IF(AND(ISNUMBER(SnapshotTable[[#This Row],[Equity Basis Per Share]]),ISNUMBER(SnapshotTable[[#This Row],[Equity Target]])),SnapshotTable[[#This Row],[Equity Target]]-SnapshotTable[[#This Row],[Equity Basis Per Share]],"")</f>
        <v/>
      </c>
      <c r="Y123" s="4" t="str">
        <f>IF(AND(ISNUMBER(SnapshotTable[[#This Row],[Equity Basis Per Share]]),ISNUMBER(SnapshotTable[[#This Row],[Equity Stop Loss]])),SnapshotTable[[#This Row],[Equity Stop Loss]]-SnapshotTable[[#This Row],[Equity Basis Per Share]],"")</f>
        <v/>
      </c>
      <c r="Z123" s="260" t="str">
        <f>IFERROR( TEXT(SnapshotTable[[#This Row],[Equity Max Gain Per Share]] /ABS( SnapshotTable[[#This Row],[Equity Max Loss Per Share]]),"0.0 " ) &amp; " : 1", "")</f>
        <v/>
      </c>
      <c r="AA123" s="31" t="str">
        <f>IF(ISNUMBER(SnapshotTable[[#This Row],[Equity Max Gain Per Share]]),SnapshotTable[[#This Row],[Equity Max Gain Per Share]] * SnapshotTable[[#This Row],[Equity Shares]],"")</f>
        <v/>
      </c>
      <c r="AB123" s="31" t="str">
        <f>IF(ISNUMBER(SnapshotTable[[#This Row],[Equity Max Loss Per Share]]),SnapshotTable[[#This Row],[Equity Max Loss Per Share]] * SnapshotTable[[#This Row],[Equity Shares]],"")</f>
        <v/>
      </c>
      <c r="AC123" s="148"/>
      <c r="AD123" s="149"/>
      <c r="AE123" s="31">
        <f>(SnapshotTable[[#This Row],[Annual Dividend Per Share]] / 4) * SnapshotTable[[#This Row],[Equity Shares]]</f>
        <v>0</v>
      </c>
      <c r="AF123" s="31">
        <f>SnapshotTable[[#This Row],[Quarterly Div $]] * 4</f>
        <v>0</v>
      </c>
      <c r="AG123" s="7">
        <f>IF(SnapshotTable[[#This Row],[Annual Dividend Per Share]]&gt;0, SnapshotTable[[#This Row],[Annual Dividend Per Share]]  / SnapshotTable[[#This Row],[Last Price]], 0)</f>
        <v>0</v>
      </c>
      <c r="AH123" s="149"/>
      <c r="AI123" s="5"/>
      <c r="AJ123" s="136"/>
      <c r="AK123" s="150" t="str">
        <f>IF(ISNUMBER( SnapshotTable[[#This Row],[EBF Target]]),(SnapshotTable[[#This Row],[EBF Target]] - SnapshotTable[[#This Row],[Last Price]]) / SnapshotTable[[#This Row],[Last Price]], "")</f>
        <v/>
      </c>
      <c r="AL123" s="150" t="str">
        <f>IF(AND(SnapshotTable[[#This Row],[Equity Basis Total]] &gt; 0,ISNUMBER( SnapshotTable[[#This Row],[Long Term Target]])), SnapshotTable[[#This Row],[From Basis $]] / SnapshotTable[[#This Row],[Equity Basis Total]], "")</f>
        <v/>
      </c>
      <c r="AM123" s="9">
        <f>IF( AND(SnapshotTable[[#This Row],[Equity Shares]] &gt;0,ISNUMBER( SnapshotTable[[#This Row],[Long Term Target]])),(SnapshotTable[[#This Row],[Equity Shares]] * SnapshotTable[[#This Row],[Long Term Target]]) - SnapshotTable[[#This Row],[Equity Basis Total]],0)</f>
        <v>0</v>
      </c>
      <c r="AN123" s="9">
        <f>IF( AND(SnapshotTable[[#This Row],[Equity Shares]] &gt;0,ISNUMBER( SnapshotTable[[#This Row],[Long Term Target]])),(SnapshotTable[[#This Row],[Equity Shares]]*SnapshotTable[[#This Row],[Long Term Target]]) - SnapshotTable[[#This Row],[Equity Value]],0)</f>
        <v>0</v>
      </c>
      <c r="AO123" s="150" t="str">
        <f>IF(AND(ISNUMBER( SnapshotTable[[#This Row],[Long Term Target]]), ISNUMBER(SnapshotTable[[#This Row],[Last Price]])),(SnapshotTable[[#This Row],[Long Term Target]] - SnapshotTable[[#This Row],[Last Price]]) / SnapshotTable[[#This Row],[Last Price]], "")</f>
        <v/>
      </c>
      <c r="AP123" s="5">
        <v>135</v>
      </c>
      <c r="AQ123" s="38" t="s">
        <v>59</v>
      </c>
      <c r="AR123" s="5">
        <v>121.7</v>
      </c>
      <c r="AS123" s="38" t="s">
        <v>19</v>
      </c>
      <c r="AT123" s="144" t="s">
        <v>886</v>
      </c>
      <c r="AU123" s="185" t="str">
        <f>IF(OR(SnapshotTable[[#This Row],[LP No Fill]]="Y",SnapshotTable[[#This Row],[SP Is Filled]],SnapshotTable[[#This Row],[LC Not Filled]]="Y",SnapshotTable[[#This Row],[SC Is Filled]]),"Y","")</f>
        <v/>
      </c>
      <c r="AV123" s="205"/>
      <c r="AW123" s="211"/>
      <c r="AX123" s="206"/>
      <c r="AY123" s="205" t="str">
        <f>IF(SnapshotTable[[#This Row],[Implied Move]]&gt;0, SnapshotTable[[#This Row],[Last Price]]-SnapshotTable[[#This Row],[Implied Move]],"")</f>
        <v/>
      </c>
      <c r="AZ123" s="205" t="str">
        <f>IF(SnapshotTable[[#This Row],[Implied Move]]&gt;0, SnapshotTable[[#This Row],[Last Price]] + SnapshotTable[[#This Row],[Implied Move]],"")</f>
        <v/>
      </c>
      <c r="BA123" s="302">
        <v>131.46</v>
      </c>
      <c r="BB123" s="318"/>
      <c r="BC1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3" s="321"/>
      <c r="BE123" s="5"/>
      <c r="BF123" s="14"/>
      <c r="BG123" s="13"/>
      <c r="BH123" s="13"/>
      <c r="BI123" s="5"/>
      <c r="BJ123" s="134">
        <f>IF(SnapshotTable[[#This Row],[LP Qty]] &gt; 0, SnapshotTable[[#This Row],[LP Qty]] * SnapshotTable[[#This Row],[LP Book Price]] * 100,0)</f>
        <v>0</v>
      </c>
      <c r="BK123" s="134">
        <f>IF(SnapshotTable[[#This Row],[LP Premium]] &gt; 0, SnapshotTable[[#This Row],[LP Qty]] * SnapshotTable[[#This Row],[LP Strike Price]] * 100,0)</f>
        <v>0</v>
      </c>
      <c r="BL123" s="152"/>
      <c r="BM123" s="355" t="str">
        <f>IF(SnapshotTable[[#This Row],[LP Premium]] &gt; 0,SnapshotTable[[#This Row],[LP Exp Date]]-MAX(SnapshotTable[[#This Row],[LP Book Date]], SnapshotTable[[#This Row],[LP Fill Date]]),"")</f>
        <v/>
      </c>
      <c r="BN123" s="355" t="str">
        <f>IF(ISNUMBER( SnapshotTable[[#This Row],[LP Term]]), SnapshotTable[[#This Row],[LP Exp Date]] - MockToday,"")</f>
        <v/>
      </c>
      <c r="BO123" s="161" t="str">
        <f>IF(AND(SnapshotTable[[#This Row],[LP Exp Date]]&gt;0, SnapshotTable[[#This Row],[LP Strike Price]]&gt;0,SnapshotTable[[#This Row],[LP Qty]]&gt;0,SnapshotTable[[#This Row],[LP Book Date]]&gt;0,SnapshotTable[[#This Row],[LP Book Price]]&gt;0,SnapshotTable[[#This Row],[LP Fill Date]]=0),"Y","")</f>
        <v/>
      </c>
      <c r="BP123" s="31" t="str">
        <f>IF(AND(SnapshotTable[[#This Row],[LP No Fill]]&lt;&gt;"Y",SnapshotTable[[#This Row],[LP Contract Value]]&gt;0, SnapshotTable[[#This Row],[LP Qty]]&gt;0), SnapshotTable[[#This Row],[LP Contract Value]]*SnapshotTable[[#This Row],[LP Qty]]*100,"")</f>
        <v/>
      </c>
      <c r="BQ123" s="13"/>
      <c r="BR123" s="5"/>
      <c r="BS123" s="36"/>
      <c r="BT123" s="145"/>
      <c r="BU123" s="13"/>
      <c r="BV123" s="5"/>
      <c r="BW123" s="382" t="b">
        <f>AND(ISNUMBER(SnapshotTable[[#This Row],[SP Exp Date]]), ISNUMBER(SnapshotTable[[#This Row],[SP Strike Price]]), ISNUMBER(SnapshotTable[[#This Row],[SP Qty]]), ISNUMBER(SnapshotTable[[#This Row],[SP Book Date]]), ISNUMBER(SnapshotTable[[#This Row],[SP Book Price]]))</f>
        <v>0</v>
      </c>
      <c r="BX123" s="382" t="b">
        <f>AND(SnapshotTable[[#This Row],[SP Is Booked]], NOT(ISBLANK(SnapshotTable[[#This Row],[SP Fill Date]])))</f>
        <v>0</v>
      </c>
      <c r="BY123" s="33">
        <f>IF(SnapshotTable[[#This Row],[SP Is Booked]], SnapshotTable[[#This Row],[SP Qty]] * SnapshotTable[[#This Row],[SP Book Price]] * 100, 0)</f>
        <v>0</v>
      </c>
      <c r="BZ123" s="339"/>
      <c r="CA123" s="338">
        <f>SnapshotTable[[#This Row],[LP Qty]]</f>
        <v>0</v>
      </c>
      <c r="CB123" s="4" t="str">
        <f>IF(SnapshotTable[[#This Row],[SP Is Booked]], SnapshotTable[[#This Row],[SP Strike Price]] - SnapshotTable[[#This Row],[SP Book Price]], "")</f>
        <v/>
      </c>
      <c r="CC123" s="19" t="str">
        <f>IF(SnapshotTable[[#This Row],[SP Is Booked]],SnapshotTable[[#This Row],[SP Exp Date]]-MAX(SnapshotTable[[#This Row],[SP Book Date]], SnapshotTable[[#This Row],[SP Fill Date]]),"")</f>
        <v/>
      </c>
      <c r="CD123" s="7" t="str">
        <f>IF(SnapshotTable[[#This Row],[SP Is Booked]], SnapshotTable[[#This Row],[SP Book Price]]/SnapshotTable[[#This Row],[SP Strike Price]], "")</f>
        <v/>
      </c>
      <c r="CE123" s="7" t="str">
        <f>IF(ISNUMBER(SnapshotTable[[#This Row],[SP ROO Term]]),SnapshotTable[[#This Row],[SP ROO Term]]*(365/SnapshotTable[[#This Row],[SP Term]]),"")</f>
        <v/>
      </c>
      <c r="CF123" s="221">
        <f>SnapshotTable[[#This Row],[LP Strike Price]] * SnapshotTable[[#This Row],[LP Qty]] * 100</f>
        <v>0</v>
      </c>
      <c r="CG123" s="31">
        <f>IF(ISNUMBER(SnapshotTable[[#This Row],[SP Premium]]), (SnapshotTable[[#This Row],[SP Qty]] * SnapshotTable[[#This Row],[SP Strike Price]]* 100) - SnapshotTable[[#This Row],[LP Protection]], 0)</f>
        <v>0</v>
      </c>
      <c r="CH123" s="7" t="str">
        <f>IF(ISNUMBER(SnapshotTable[[#This Row],[SP Break Even]]),-1 * (SnapshotTable[[#This Row],[SP Break Even]] - SnapshotTable[[#This Row],[Last Price]]) / SnapshotTable[[#This Row],[Last Price]], "")</f>
        <v/>
      </c>
      <c r="CI123" s="31">
        <f>IF(AND(ISNUMBER((SnapshotTable[[#This Row],[SP Potential Spend]])), SnapshotTable[[#This Row],[SP Strike Price]] &gt; SnapshotTable[[#This Row],[Last Price]], SnapshotTable[[#This Row],[SP Is Filled]]), SnapshotTable[[#This Row],[SP Potential Spend]] -  SnapshotTable[[#This Row],[LP Max Value]], 0)</f>
        <v>0</v>
      </c>
      <c r="CJ123" s="229"/>
      <c r="CK123" s="31">
        <f>IF(ISNUMBER(SnapshotTable[[#This Row],[SP Potential Spend]]),IF(ISNUMBER(SnapshotTable[[#This Row],[SP POW]]), SnapshotTable[[#This Row],[SP POW]] * SnapshotTable[[#This Row],[SP Potential Spend]], SnapshotTable[[#This Row],[SP Potential Spend]]), "")</f>
        <v>0</v>
      </c>
      <c r="CL123" s="162">
        <f>IF(NOT(SnapshotTable[[#This Row],[SP Is Filled]]),(SnapshotTable[[#This Row],[SP Qty]] * SnapshotTable[[#This Row],[SP Strike Price]] * 100) - SnapshotTable[[#This Row],[LP Max Value]],"")</f>
        <v>0</v>
      </c>
      <c r="CM123" s="31" t="str">
        <f>IF(SnapshotTable[[#This Row],[SP Actual Spend]]&lt;&gt;0, ((SnapshotTable[[#This Row],[SP Strike Price]]-SnapshotTable[[#This Row],[Last Price]]) *(SnapshotTable[[#This Row],[SP Qty]]*100) - SnapshotTable[[#This Row],[SP Premium]]) * - 1, "")</f>
        <v/>
      </c>
      <c r="CN123" s="76"/>
      <c r="CO123" s="339"/>
      <c r="CP123" s="4" t="str">
        <f>IF(SnapshotTable[[#This Row],[SP Is Filled]], btc_max_buyback_amount(SnapshotTable[[#This Row],[SP Fill Date]],SnapshotTable[[#This Row],[SP Exp Date]], SnapshotTable[[#This Row],[SP Book Price]]),"")</f>
        <v/>
      </c>
      <c r="CQ123" s="76"/>
      <c r="CR1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3" s="153" t="str">
        <f>IF(SnapshotTable[[#This Row],[SP Is Filled]], btc_next_cutoff_date(SnapshotTable[[#This Row],[SP Fill Date]],SnapshotTable[[#This Row],[SP Exp Date]]),"")</f>
        <v/>
      </c>
      <c r="CT123" s="220" t="str" cm="1">
        <f t="array" ref="CT123">IF(SnapshotTable[[#This Row],[SP Is Filled]], btc_should_buy_back(SnapshotTable[[#This Row],[SP Fill Date]], SnapshotTable[[#This Row],[SP Exp Date]], SnapshotTable[[#This Row],[SP Book Price]], SnapshotTable[[#This Row],[SP Current Ask]], MockToday, SnapshotTable[[#This Row],[SP Buyback Override]]),"")</f>
        <v/>
      </c>
      <c r="CU123" s="154"/>
      <c r="CV123" s="220"/>
      <c r="CW123" s="348" t="str">
        <f>IF(ISNUMBER( SnapshotTable[[#This Row],[SP Term]]), SnapshotTable[[#This Row],[SP Exp Date]] - MockToday,"")</f>
        <v/>
      </c>
      <c r="CX123" s="31" t="str">
        <f>IF(SnapshotTable[[#This Row],[SP Is Filled]],SnapshotTable[[#This Row],[SP Buyback Price to Use]] * 100 * SnapshotTable[[#This Row],[SP Qty]], "")</f>
        <v/>
      </c>
      <c r="CY123" s="4" t="str">
        <f>IF(ISNUMBER(SnapshotTable[[#This Row],[SP Strike Price]]), SnapshotTable[[#This Row],[SP Strike Price]] * (1 - SP_MaxLoss_StrikePct), "")</f>
        <v/>
      </c>
      <c r="CZ123" s="31" t="str">
        <f>IF(ISNUMBER(SnapshotTable[[#This Row],[SP Strike  Stop Per Share]]),SnapshotTable[[#This Row],[SP Premium]] - ((SnapshotTable[[#This Row],[SP Strike Price]]-SnapshotTable[[#This Row],[SP Strike  Stop Per Share]]) *(SnapshotTable[[#This Row],[SP Qty]] * 100)),"")</f>
        <v/>
      </c>
      <c r="DA123" s="4" t="str">
        <f>IF(AND(ISNUMBER(SnapshotTable[[#This Row],[SP Premium]]),SnapshotTable[[#This Row],[SP Premium]]&gt;0), SnapshotTable[[#This Row],[SP Book Price]] * (1 + SP_MaxLoss_OptionPct), "")</f>
        <v/>
      </c>
      <c r="DB123" s="31" t="str">
        <f>IF(ISNUMBER(SnapshotTable[[#This Row],[SP Option  Stop Contract]]),(SnapshotTable[[#This Row],[SP Option  Stop Contract]] *(SnapshotTable[[#This Row],[SP Qty]] * 100) - SnapshotTable[[#This Row],[SP Premium]]),"")</f>
        <v/>
      </c>
      <c r="DC123" s="4"/>
      <c r="DD123" s="4"/>
      <c r="DE123" s="4" t="str">
        <f>IF(AND(SnapshotTable[[#This Row],[SP Qty]]&gt;0, SnapshotTable[[#This Row],[SP Stop To Use]]&gt;0),SnapshotTable[[#This Row],[SP Premium]] - ( SnapshotTable[[#This Row],[SP Qty]] * SnapshotTable[[#This Row],[SP Stop To Use]] * 100), "")</f>
        <v/>
      </c>
      <c r="DF123" s="31" t="str">
        <f>IF(AND(SnapshotTable[[#This Row],[SP Qty]]&gt;0,SnapshotTable[[#This Row],[SP Current Ask]]&gt;0), SnapshotTable[[#This Row],[SP Qty]] * SnapshotTable[[#This Row],[SP Current Ask]] * -100, "")</f>
        <v/>
      </c>
      <c r="DG123" s="31" t="str">
        <f>IF(ISNUMBER((SnapshotTable[[#This Row],[SP Total Value]])), SnapshotTable[[#This Row],[SP Premium]] + SnapshotTable[[#This Row],[SP Total Value]], "")</f>
        <v/>
      </c>
      <c r="DH123" s="272" t="str">
        <f>IF(ISNUMBER((SnapshotTable[[#This Row],[SP Total Value]])), SnapshotTable[[#This Row],[SP Gain Loss]] / SnapshotTable[[#This Row],[SP Premium]], "")</f>
        <v/>
      </c>
      <c r="DI123" s="369"/>
      <c r="DJ123" s="136"/>
      <c r="DK123" s="146"/>
      <c r="DL123" s="13"/>
      <c r="DM123" s="13"/>
      <c r="DO123" s="31">
        <f>IF(SnapshotTable[[#This Row],[LC Symbol Count]]=1, SnapshotTable[[#This Row],[LC Qty]] * SnapshotTable[[#This Row],[LC Book Price]] * 100, 0)</f>
        <v>0</v>
      </c>
      <c r="DP123" s="161" t="str">
        <f>IF(AND(SnapshotTable[[#This Row],[LC Exp Date]]&gt;0, SnapshotTable[[#This Row],[LC Strike Price]]&gt;0,SnapshotTable[[#This Row],[LC Qty]]&gt;0,SnapshotTable[[#This Row],[LC Book Date]]&gt;0,SnapshotTable[[#This Row],[LC Book Price]]&gt;0,SnapshotTable[[#This Row],[LC Fill Date]]=0),"Y","")</f>
        <v/>
      </c>
      <c r="DQ123" s="356" t="str">
        <f>IF(SnapshotTable[[#This Row],[LC Premium]] &gt; 0,SnapshotTable[[#This Row],[LC Exp Date]]-MAX(SnapshotTable[[#This Row],[LC Book Date]], SnapshotTable[[#This Row],[LC Fill Date]]),"")</f>
        <v/>
      </c>
      <c r="DR123" s="356" t="str">
        <f>IF(ISNUMBER(SnapshotTable[[#This Row],[LC Term]]), SnapshotTable[[#This Row],[LC Exp Date]] - MockToday, "")</f>
        <v/>
      </c>
      <c r="DS123" s="219" t="str">
        <f>IF(SnapshotTable[[#This Row],[LC Premium]]&gt;0,SnapshotTable[[#This Row],[LC Strike Price]] + SnapshotTable[[#This Row],[LC Book Price]],"")</f>
        <v/>
      </c>
      <c r="DU123" s="9" t="str">
        <f>IF(AND(SnapshotTable[[#This Row],[LC Symbol Count]]&gt;0, SnapshotTable[[#This Row],[LC Contract Value]]&gt;0), SnapshotTable[[#This Row],[LC Contract Value]] * SnapshotTable[[#This Row],[LC Qty]] * 100, "")</f>
        <v/>
      </c>
      <c r="DV123" s="9" t="str">
        <f>IF(AND(ISNUMBER(SnapshotTable[[#This Row],[LC Total Value]]), SnapshotTable[[#This Row],[LC Not Filled]]&lt;&gt;"Y"), SnapshotTable[[#This Row],[LC Total Value]]-SnapshotTable[[#This Row],[LC Premium]],"")</f>
        <v/>
      </c>
      <c r="DW123" s="225" t="str">
        <f>IF(ISNUMBER(SnapshotTable[[#This Row],[LC Actual Gain Loss]]), SnapshotTable[[#This Row],[LC Actual Gain Loss]] / SnapshotTable[[#This Row],[LC Premium]],"")</f>
        <v/>
      </c>
      <c r="DX123" s="269" t="str">
        <f>IF(ISNUMBER(SnapshotTable[[#This Row],[LC Book Price]]),SnapshotTable[[#This Row],[LC Book Price]] * 1.5,"")</f>
        <v/>
      </c>
      <c r="DY123" s="250" t="str">
        <f>IF(SnapshotTable[[#This Row],[LC Premium]]&gt;0, SnapshotTable[[#This Row],[LC Next Target]] * SnapshotTable[[#This Row],[LC Qty]] * 100,"")</f>
        <v/>
      </c>
      <c r="DZ123" s="250" t="str">
        <f>IF(ISNUMBER(SnapshotTable[[#This Row],[LC Target Gross]]), SnapshotTable[[#This Row],[LC Target Gross]] - SnapshotTable[[#This Row],[LC Premium]], "")</f>
        <v/>
      </c>
      <c r="EA123" s="283" t="str">
        <f>IF(ISNUMBER(SnapshotTable[[#This Row],[LC Target Gain Loss]]), SnapshotTable[[#This Row],[LC Target Gain Loss]]/SnapshotTable[[#This Row],[LC Premium]], "")</f>
        <v/>
      </c>
      <c r="EB123" s="247"/>
      <c r="EC123" s="268" t="str">
        <f>IF(SnapshotTable[[#This Row],[LC Premium]]&gt;0, SnapshotTable[[#This Row],[LC Book Price]] * (1 - LC_StopLoss_Pct),"")</f>
        <v/>
      </c>
      <c r="ED123" s="269"/>
      <c r="EE123" s="268" t="str">
        <f>IF(ISNUMBER(SnapshotTable[[#This Row],[LC Contract Value]]),IF(ISNUMBER(SnapshotTable[[#This Row],[LC Stop Loss Override]]), SnapshotTable[[#This Row],[LC Stop Loss Override]],SnapshotTable[[#This Row],[LC Stop Loss Calc Target]]),"")</f>
        <v/>
      </c>
      <c r="EF123" s="31" t="str">
        <f>IF(ISNUMBER(SnapshotTable[[#This Row],[LC Stop  To Use]]), (SnapshotTable[[#This Row],[LC Stop  To Use]] * SnapshotTable[[#This Row],[LC Qty]] * 100),"")</f>
        <v/>
      </c>
      <c r="EG123" s="9" t="str">
        <f>IF(ISNUMBER(SnapshotTable[[#This Row],[LC Total Value]]),SnapshotTable[[#This Row],[LC Stop Loss Amount]] - SnapshotTable[[#This Row],[LC Premium]],"")</f>
        <v/>
      </c>
      <c r="EH123" s="9">
        <f>IF(ISNUMBER(SnapshotTable[[#This Row],[LC Premium]]), SnapshotTable[[#This Row],[LC Qty]] * 100 * SnapshotTable[[#This Row],[LC Strike Price]], "")</f>
        <v>0</v>
      </c>
      <c r="EI123" s="225" t="str">
        <f>IF(AND(ISNUMBER(SnapshotTable[[#This Row],[LC Total Value]]),SnapshotTable[[#This Row],[LC Total Value]]&gt;0),SnapshotTable[[#This Row],[LC Stop Gain Loss]]  / SnapshotTable[[#This Row],[LC Premium]],"")</f>
        <v/>
      </c>
      <c r="EJ123" s="35">
        <f>IF(ISNUMBER(SnapshotTable[[#This Row],[Equity Shares]]),TRUNC(SnapshotTable[[#This Row],[Equity Shares]] / 100),0) + SnapshotTable[[#This Row],[LC Qty]]</f>
        <v>0</v>
      </c>
      <c r="EK123" s="145"/>
      <c r="EL123" s="136"/>
      <c r="EM123" s="146"/>
      <c r="EN123" s="145"/>
      <c r="EO123" s="145"/>
      <c r="EP123" s="136"/>
      <c r="EQ123" s="382" t="b">
        <f>AND(ISNUMBER(SnapshotTable[[#This Row],[SC Exp Date]]), ISNUMBER(SnapshotTable[[#This Row],[SC Strike Price]]), ISNUMBER(SnapshotTable[[#This Row],[SC Qty]]), ISNUMBER(SnapshotTable[[#This Row],[SC Book Date]]), ISNUMBER(SnapshotTable[[#This Row],[SC Book Price]]))</f>
        <v>0</v>
      </c>
      <c r="ER123" s="382" t="b">
        <f>AND(SnapshotTable[[#This Row],[SC Is Booked]], NOT(ISBLANK(SnapshotTable[[#This Row],[SC Fill Date]])))</f>
        <v>0</v>
      </c>
      <c r="ES123" s="340"/>
      <c r="ET123" s="34" t="str">
        <f>IF(AND(ISNUMBER(SnapshotTable[[#This Row],[SC Exp Date]]), ISNUMBER(SnapshotTable[[#This Row],[SC Book Date]])), SnapshotTable[[#This Row],[SC Exp Date]] - MAX(SnapshotTable[[#This Row],[SC Book Date]], SnapshotTable[[#This Row],[SC Fill Date]]) + 1, "")</f>
        <v/>
      </c>
      <c r="EU123" s="34" t="str">
        <f>IF(ISNUMBER(SnapshotTable[[#This Row],[SC Term]]), SnapshotTable[[#This Row],[SC Exp Date]]- MockToday, "")</f>
        <v/>
      </c>
      <c r="EV123" s="31">
        <f>IF(SnapshotTable[[#This Row],[SC Is Booked]], SnapshotTable[[#This Row],[SC Qty]] * SnapshotTable[[#This Row],[SC Book Price]] * 100, 0)</f>
        <v>0</v>
      </c>
      <c r="EW123" s="4" t="str">
        <f>IF(AND(ISNUMBER(SnapshotTable[[#This Row],[Last Price]]), ISNUMBER( SnapshotTable[[#This Row],[SC Book Price]])), SnapshotTable[[#This Row],[Last Price]] - SnapshotTable[[#This Row],[SC Book Price]],"")</f>
        <v/>
      </c>
      <c r="EX123" s="219" t="str">
        <f>IF(SnapshotTable[[#This Row],[SC Is Booked]],IF(SnapshotTable[[#This Row],[SC Intrinsic Value]] &gt; 0, SnapshotTable[[#This Row],[SC Strike Price]], SnapshotTable[[#This Row],[Last Price]]), "")</f>
        <v/>
      </c>
      <c r="EY123" s="4">
        <f>IF(SnapshotTable[[#This Row],[SC Is Booked]], (MinimumPremiumRequired * SnapshotTable[[#This Row],[SC Basis]] * SnapshotTable[[#This Row],[SC Term]]), 0)</f>
        <v>0</v>
      </c>
      <c r="EZ123" s="268"/>
      <c r="FA123" s="204"/>
      <c r="FB123" s="340"/>
      <c r="FC123" s="4">
        <f>IF(SnapshotTable[[#This Row],[SC Is Filled]], btc_max_buyback_amount(SnapshotTable[[#This Row],[SC Fill Date]],SnapshotTable[[#This Row],[SC Exp Date]], SnapshotTable[[#This Row],[SC Book Price]]),0)</f>
        <v>0</v>
      </c>
      <c r="FD123" s="5"/>
      <c r="FE123" s="142" t="str">
        <f>IF(SnapshotTable[[#This Row],[SC Is Filled]], btc_next_cutoff_date(SnapshotTable[[#This Row],[SC Fill Date]],SnapshotTable[[#This Row],[SC Exp Date]]),"")</f>
        <v/>
      </c>
      <c r="FF123" s="4" t="str" cm="1">
        <f t="array" ref="FF123">IF(SnapshotTable[[#This Row],[SC Is Filled]], btc_should_buy_back(SnapshotTable[[#This Row],[SC Fill Date]], SnapshotTable[[#This Row],[SC Exp Date]], SnapshotTable[[#This Row],[SC Book Price]], SnapshotTable[[#This Row],[SC Current Ask]], MockToday, SnapshotTable[[#This Row],[SC Buyback Override]]),"")</f>
        <v/>
      </c>
      <c r="FG123" s="4">
        <f>IF(SnapshotTable[[#This Row],[SC Is Filled]], MAX(0,SnapshotTable[[#This Row],[Last Price]]  - SnapshotTable[[#This Row],[SC Strike Price]]), 0)</f>
        <v>0</v>
      </c>
      <c r="FH123" s="352">
        <f>IF(SnapshotTable[[#This Row],[SC Is Filled]], IF(ISNUMBER(SnapshotTable[[#This Row],[SC Current Ask]]), SnapshotTable[[#This Row],[SC Current Ask]], SnapshotTable[[#This Row],[SC Book Price]]) - SnapshotTable[[#This Row],[SC Intrinsic Value]], 0)</f>
        <v>0</v>
      </c>
      <c r="FI123" s="141"/>
      <c r="FJ123" s="32" t="str">
        <f>IF(SnapshotTable[[#This Row],[SC Is Filled]],100 * SnapshotTable[[#This Row],[SC Qty]] * IF(ISNUMBER(SnapshotTable[[#This Row],[SC Buyback Override]]), SnapshotTable[[#This Row],[SC Buyback Override]], SnapshotTable[[#This Row],[SC Current Ask]]), "")</f>
        <v/>
      </c>
      <c r="FK123" s="235" t="str">
        <f>IF(SnapshotTable[[#This Row],[SC Time Val]]&gt;0, SnapshotTable[[#This Row],[SC Time Val]] / SnapshotTable[[#This Row],[Last Price]],"")</f>
        <v/>
      </c>
      <c r="FL123" s="280" t="str">
        <f>IF(SnapshotTable[[#This Row],[SC Is Booked]], ((SnapshotTable[[#This Row],[Last Price]] -SnapshotTable[[#This Row],[SC Strike Price]]) / SnapshotTable[[#This Row],[Last Price]]) * -1, "")</f>
        <v/>
      </c>
      <c r="FM123" s="155" t="str">
        <f>IF(SnapshotTable[[#This Row],[SC Is Booked]],  (SnapshotTable[[#This Row],[SC Qty]] * 100 * SnapshotTable[[#This Row],[SC Strike Price]]) - SnapshotTable[[#This Row],[SC Current Ask]], "")</f>
        <v/>
      </c>
      <c r="FN1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3" s="31" t="str">
        <f>IF(AND(ISNUMBER(SnapshotTable[[#This Row],[SC Exercise Gross]]), ISNUMBER(SnapshotTable[[#This Row],[Equity Basis Per Share]] )), SnapshotTable[[#This Row],[SC Exercise Gross]] - SnapshotTable[[#This Row],[Equity Basis Total]] +  SnapshotTable[[#This Row],[SC Premium]], "")</f>
        <v/>
      </c>
      <c r="FP123" s="5" t="str">
        <f>IF(ISNUMBER(SnapshotTable[[#This Row],[SC Exercise Gross]]), (SnapshotTable[[#This Row],[SC Exercise Gross]]) / (SnapshotTable[[#This Row],[SC Qty]] * 100), "")</f>
        <v/>
      </c>
      <c r="FQ123" s="27" t="str">
        <f>IF(SnapshotTable[[#This Row],[SC Is Booked]],SnapshotTable[[#This Row],[SC Time Val]] /SnapshotTable[[#This Row],[SC Basis]], "")</f>
        <v/>
      </c>
      <c r="FR123" s="27" t="str" cm="1">
        <f t="array" ref="FR123">IF(AND(ISNUMBER(SnapshotTable[[#This Row],[SC Term]]),ISNUMBER(SnapshotTable[[#This Row],[SC Simple ROO]])), EllmanAnnualize(SnapshotTable[[#This Row],[SC DTE]], SnapshotTable[[#This Row],[SC Simple ROO]] ),"")</f>
        <v/>
      </c>
      <c r="FS123" s="4">
        <f>IF(SnapshotTable[[#This Row],[SC Strike Price]] &gt; SnapshotTable[[#This Row],[Last Price]], SnapshotTable[[#This Row],[SC Strike Price]] - SnapshotTable[[#This Row],[Last Price]],0)</f>
        <v>0</v>
      </c>
      <c r="FT123" s="27" t="str">
        <f>IF(AND(ISNUMBER(SnapshotTable[[#This Row],[SC Upside Potential]]), SnapshotTable[[#This Row],[SC Upside Potential]] &gt; 0),(SnapshotTable[[#This Row],[SC Upside Potential]]/ SnapshotTable[[#This Row],[ACB]]),"")</f>
        <v/>
      </c>
      <c r="FU123" s="304" t="str">
        <f>IF(SnapshotTable[[#This Row],[SC Intrinsic Value]] &gt; 0,SnapshotTable[[#This Row],[SC Intrinsic Value]],"")</f>
        <v/>
      </c>
      <c r="FV123" s="27" t="str">
        <f>IF(AND( ISNUMBER( SnapshotTable[[#This Row],[ACB]]),ISNUMBER(SnapshotTable[[#This Row],[SC Downside Protect]])),SnapshotTable[[#This Row],[SC Downside Protect]] / SnapshotTable[[#This Row],[ACB]],"")</f>
        <v/>
      </c>
      <c r="FW123" s="221" t="str">
        <f>IF(AND(ISNUMBER(SnapshotTable[[#This Row],[SC Simple ROO]]),SnapshotTable[[#This Row],[SC Simple ROO]] &gt; 0), SnapshotTable[[#This Row],[SC Premium]] + (SnapshotTable[[#This Row],[SC Qty]] * SnapshotTable[[#This Row],[SC Upside Potential]]), "")</f>
        <v/>
      </c>
      <c r="FX123" s="280" t="str" cm="1">
        <f t="array" ref="FX123">IF(ISNUMBER(SnapshotTable[[#This Row],[SC Max Dollars]]), annualize(SnapshotTable[[#This Row],[SC Term]],(SnapshotTable[[#This Row],[SC Max Dollars]]/SnapshotTable[[#This Row],[SC Basis]])),"")</f>
        <v/>
      </c>
      <c r="FY123" s="221" t="str">
        <f>IF(AND(SnapshotTable[[#This Row],[SC Qty]]&gt;0,SnapshotTable[[#This Row],[SC Current Ask]]&gt;0), SnapshotTable[[#This Row],[SC Qty]] * SnapshotTable[[#This Row],[SC Current Ask]] * -100, "")</f>
        <v/>
      </c>
      <c r="FZ123" s="31" t="str">
        <f>IF(ISNUMBER((SnapshotTable[[#This Row],[SC Current Value]])), SnapshotTable[[#This Row],[SC Premium]] + SnapshotTable[[#This Row],[SC Current Value]], "")</f>
        <v/>
      </c>
      <c r="GA123" s="272" t="str">
        <f>IFERROR( IF(ISNUMBER((SnapshotTable[[#This Row],[SC Current Value]])), SnapshotTable[[#This Row],[SC Gain Loss]] / SnapshotTable[[#This Row],[SC Premium]], ""), "")</f>
        <v/>
      </c>
      <c r="GB123" s="42">
        <f>SnapshotTable[[#This Row],[Equity Shares]] * SaleSharesToConsiderPercentage</f>
        <v>0</v>
      </c>
      <c r="GC123" s="40">
        <f>SnapshotTable[[#This Row],[Long Term Target]] * SellingPriceToConsiderBasedOnTargetPercentage</f>
        <v>0</v>
      </c>
      <c r="GD123" s="40">
        <f>SnapshotTable[[#This Row],[Last Price]] * (1+ SellingPriceToConsiderBasedOnTargetPercentage)</f>
        <v>861.51</v>
      </c>
      <c r="GE123" s="41"/>
      <c r="GF123" s="40"/>
      <c r="GG123" s="31">
        <f>SnapshotTable[[#This Row],[Booked Sale Shares]] * SnapshotTable[[#This Row],[Booked Sale Price]]</f>
        <v>0</v>
      </c>
      <c r="GH123" s="31" t="str">
        <f>IF(SnapshotTable[[#This Row],[Equity Basis Total]] &gt; 0, SnapshotTable[[#This Row],[Equity Basis Per Share]] * SnapshotTable[[#This Row],[Booked Sale Shares]], "")</f>
        <v/>
      </c>
      <c r="GI123" s="31">
        <f>IF(SnapshotTable[[#This Row],[Sale Proceeds]]&gt;0, SnapshotTable[[#This Row],[Sale Proceeds]] - SnapshotTable[[#This Row],[Sale Basis]], 0)</f>
        <v>0</v>
      </c>
      <c r="GJ123" s="27" t="str">
        <f>IF(SnapshotTable[[#This Row],[Sale G/L]]&gt;0, SnapshotTable[[#This Row],[Sale G/L]] / SnapshotTable[[#This Row],[Sale Basis]], IF(ISNUMBER(SnapshotTable[[#This Row],[SC Exercise P&amp;L (TAX)]]), SnapshotTable[[#This Row],[SC Exercise P&amp;L (TAX)]] / SnapshotTable[[#This Row],[SC Basis]], ""))</f>
        <v/>
      </c>
      <c r="GK123" s="27"/>
      <c r="GL123" s="43" t="str">
        <f>IF(AND(SnapshotTable[[#This Row],[LP Exp Date]]&gt;0,SnapshotTable[[#This Row],[LP Strike Price]]&gt;0), [1]!ToOptionSymbol(SnapshotTable[[#This Row],[Symbol]], SnapshotTable[[#This Row],[LP Strike Price]],SnapshotTable[[#This Row],[LP Exp Date]],1), "")</f>
        <v/>
      </c>
      <c r="GM123" s="30" t="str">
        <f>IF(LEN(SnapshotTable[[#This Row],[LP Symbol]])&gt;0, 1, "")</f>
        <v/>
      </c>
      <c r="GN123" s="43" t="str">
        <f>IF(AND(SnapshotTable[[#This Row],[SP Exp Date]]&gt;0,SnapshotTable[[#This Row],[SP Strike Price]]&gt;0), [1]!ToOptionSymbol(SnapshotTable[[#This Row],[Symbol]], SnapshotTable[[#This Row],[SP Strike Price]],SnapshotTable[[#This Row],[SP Exp Date]],1), "")</f>
        <v/>
      </c>
      <c r="GO123" s="30" t="str">
        <f>IF(LEN(SnapshotTable[[#This Row],[SP Symbol]])&gt;0, 1, "")</f>
        <v/>
      </c>
      <c r="GP123" s="43" t="str">
        <f>IF(AND(SnapshotTable[[#This Row],[LC Exp Date]]&gt;0,SnapshotTable[[#This Row],[LC Strike Price]]&gt;0), [1]!ToOptionSymbol(SnapshotTable[[#This Row],[Symbol]], SnapshotTable[[#This Row],[LC Strike Price]],SnapshotTable[[#This Row],[LC Exp Date]],0), "")</f>
        <v/>
      </c>
      <c r="GQ123" s="30" t="str">
        <f>IF(LEN(SnapshotTable[[#This Row],[LC Symbol]])&gt;0, 1, "")</f>
        <v/>
      </c>
      <c r="GR123" s="43" t="str">
        <f>IF(AND(SnapshotTable[[#This Row],[SC Exp Date]]&gt;0,SnapshotTable[[#This Row],[SC Strike Price]]&gt;0), [1]!ToOptionSymbol(SnapshotTable[[#This Row],[Symbol]], SnapshotTable[[#This Row],[SC Strike Price]],SnapshotTable[[#This Row],[SC Exp Date]],0), "")</f>
        <v/>
      </c>
      <c r="GS123" s="30" t="str">
        <f>IF(LEN(SnapshotTable[[#This Row],[SC Symbol]])&gt;0, 1, "")</f>
        <v/>
      </c>
      <c r="GT123" s="29" t="str">
        <f>IF(COUNT(SnapshotTable[[#This Row],[LP Symbol Count]],SnapshotTable[[#This Row],[SP Symbol Count]],SnapshotTable[[#This Row],[LC Symbol Count]],SnapshotTable[[#This Row],[SC Symbol Count]])&gt;0, "Y", "")</f>
        <v/>
      </c>
      <c r="GU1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3" s="216">
        <f>MAX(SnapshotTable[[#This Row],[Equity Basis Total]],SnapshotTable[[#This Row],[Equity Value]]) + (SnapshotTable[[#This Row],[SP Potential Spend]]- SnapshotTable[[#This Row],[SP Premium]] + SnapshotTable[[#This Row],[LP Premium]])+ (SnapshotTable[[#This Row],[LC Premium]] - SnapshotTable[[#This Row],[SC Premium]])</f>
        <v>0</v>
      </c>
      <c r="GW123" s="137" t="str">
        <f>IF(AND(SnapshotTable[[#This Row],[Exposure]] &lt;&gt; 0),SnapshotTable[[#This Row],[Exposure]] / SnapshotTable[[#Totals],[Exposure]], "")</f>
        <v/>
      </c>
      <c r="HE123" s="253"/>
      <c r="HF123" s="253"/>
      <c r="HK123" s="1"/>
      <c r="HL123" s="1"/>
      <c r="HM123" s="1"/>
      <c r="HN123" s="1"/>
      <c r="HO123" s="1"/>
      <c r="HP123" s="1"/>
    </row>
    <row r="124" spans="2:224" ht="12.75" hidden="1" customHeight="1" x14ac:dyDescent="0.25">
      <c r="B124" s="12" t="s">
        <v>796</v>
      </c>
      <c r="C124" s="385">
        <v>85.75</v>
      </c>
      <c r="D124" s="200" t="s">
        <v>467</v>
      </c>
      <c r="E124" s="39">
        <f>SnapshotTable[[#This Row],[Last Price]]*(1 -CrashDiscount)</f>
        <v>72.887500000000003</v>
      </c>
      <c r="F124" s="26" t="s">
        <v>764</v>
      </c>
      <c r="G124" s="26" t="s">
        <v>630</v>
      </c>
      <c r="H124" s="147"/>
      <c r="I124" s="186">
        <v>44777.270833333336</v>
      </c>
      <c r="J124" s="187">
        <v>44777.270833333336</v>
      </c>
      <c r="K124" s="188"/>
      <c r="L124" s="297"/>
      <c r="M124" s="138"/>
      <c r="N124" s="138"/>
      <c r="O124" s="138"/>
      <c r="P124" s="22"/>
      <c r="Q124" s="25"/>
      <c r="R124" s="4" t="str">
        <f>IF(SnapshotTable[[#This Row],[Equity Basis Total]] &gt; 0, SnapshotTable[[#This Row],[Equity Basis Total]] / SnapshotTable[[#This Row],[Equity Shares]], "")</f>
        <v/>
      </c>
      <c r="S124" s="254">
        <f>SnapshotTable[[#This Row],[Last Price]] * SnapshotTable[[#This Row],[Equity Shares]]</f>
        <v>0</v>
      </c>
      <c r="T124" s="254">
        <f>SnapshotTable[[#This Row],[Equity Value]] - SnapshotTable[[#This Row],[Equity Basis Total]]</f>
        <v>0</v>
      </c>
      <c r="U124" s="255" t="str">
        <f>IF(SnapshotTable[[#This Row],[Equity Basis Total]] &gt; 0, SnapshotTable[[#This Row],[Equity G/L]] / SnapshotTable[[#This Row],[Equity Basis Total]], "")</f>
        <v/>
      </c>
      <c r="V124" s="253">
        <v>100</v>
      </c>
      <c r="W124" s="253">
        <v>72.900000000000006</v>
      </c>
      <c r="X124" s="4" t="str">
        <f>IF(AND(ISNUMBER(SnapshotTable[[#This Row],[Equity Basis Per Share]]),ISNUMBER(SnapshotTable[[#This Row],[Equity Target]])),SnapshotTable[[#This Row],[Equity Target]]-SnapshotTable[[#This Row],[Equity Basis Per Share]],"")</f>
        <v/>
      </c>
      <c r="Y124" s="4" t="str">
        <f>IF(AND(ISNUMBER(SnapshotTable[[#This Row],[Equity Basis Per Share]]),ISNUMBER(SnapshotTable[[#This Row],[Equity Stop Loss]])),SnapshotTable[[#This Row],[Equity Stop Loss]]-SnapshotTable[[#This Row],[Equity Basis Per Share]],"")</f>
        <v/>
      </c>
      <c r="Z124" s="260" t="str">
        <f>IFERROR( TEXT(SnapshotTable[[#This Row],[Equity Max Gain Per Share]] /ABS( SnapshotTable[[#This Row],[Equity Max Loss Per Share]]),"0.0 " ) &amp; " : 1", "")</f>
        <v/>
      </c>
      <c r="AA124" s="31" t="str">
        <f>IF(ISNUMBER(SnapshotTable[[#This Row],[Equity Max Gain Per Share]]),SnapshotTable[[#This Row],[Equity Max Gain Per Share]] * SnapshotTable[[#This Row],[Equity Shares]],"")</f>
        <v/>
      </c>
      <c r="AB124" s="31" t="str">
        <f>IF(ISNUMBER(SnapshotTable[[#This Row],[Equity Max Loss Per Share]]),SnapshotTable[[#This Row],[Equity Max Loss Per Share]] * SnapshotTable[[#This Row],[Equity Shares]],"")</f>
        <v/>
      </c>
      <c r="AC124" s="148"/>
      <c r="AD124" s="149"/>
      <c r="AE124" s="31">
        <f>(SnapshotTable[[#This Row],[Annual Dividend Per Share]] / 4) * SnapshotTable[[#This Row],[Equity Shares]]</f>
        <v>0</v>
      </c>
      <c r="AF124" s="31">
        <f>SnapshotTable[[#This Row],[Quarterly Div $]] * 4</f>
        <v>0</v>
      </c>
      <c r="AG124" s="7">
        <f>IF(SnapshotTable[[#This Row],[Annual Dividend Per Share]]&gt;0, SnapshotTable[[#This Row],[Annual Dividend Per Share]]  / SnapshotTable[[#This Row],[Last Price]], 0)</f>
        <v>0</v>
      </c>
      <c r="AH124" s="149"/>
      <c r="AI124" s="5"/>
      <c r="AJ124" s="136">
        <v>87.82</v>
      </c>
      <c r="AK124" s="150" t="str">
        <f>IF(ISNUMBER( SnapshotTable[[#This Row],[EBF Target]]),(SnapshotTable[[#This Row],[EBF Target]] - SnapshotTable[[#This Row],[Last Price]]) / SnapshotTable[[#This Row],[Last Price]], "")</f>
        <v/>
      </c>
      <c r="AL124" s="150" t="str">
        <f>IF(AND(SnapshotTable[[#This Row],[Equity Basis Total]] &gt; 0,ISNUMBER( SnapshotTable[[#This Row],[Long Term Target]])), SnapshotTable[[#This Row],[From Basis $]] / SnapshotTable[[#This Row],[Equity Basis Total]], "")</f>
        <v/>
      </c>
      <c r="AM124" s="9">
        <f>IF( AND(SnapshotTable[[#This Row],[Equity Shares]] &gt;0,ISNUMBER( SnapshotTable[[#This Row],[Long Term Target]])),(SnapshotTable[[#This Row],[Equity Shares]] * SnapshotTable[[#This Row],[Long Term Target]]) - SnapshotTable[[#This Row],[Equity Basis Total]],0)</f>
        <v>0</v>
      </c>
      <c r="AN124" s="9">
        <f>IF( AND(SnapshotTable[[#This Row],[Equity Shares]] &gt;0,ISNUMBER( SnapshotTable[[#This Row],[Long Term Target]])),(SnapshotTable[[#This Row],[Equity Shares]]*SnapshotTable[[#This Row],[Long Term Target]]) - SnapshotTable[[#This Row],[Equity Value]],0)</f>
        <v>0</v>
      </c>
      <c r="AO124" s="150">
        <f>IF(AND(ISNUMBER( SnapshotTable[[#This Row],[Long Term Target]]), ISNUMBER(SnapshotTable[[#This Row],[Last Price]])),(SnapshotTable[[#This Row],[Long Term Target]] - SnapshotTable[[#This Row],[Last Price]]) / SnapshotTable[[#This Row],[Last Price]], "")</f>
        <v>2.4139941690962018E-2</v>
      </c>
      <c r="AP124" s="5"/>
      <c r="AQ124" s="38"/>
      <c r="AR124" s="5"/>
      <c r="AS124" s="38"/>
      <c r="AT124" s="144"/>
      <c r="AU124" s="185" t="str">
        <f>IF(OR(SnapshotTable[[#This Row],[LP No Fill]]="Y",SnapshotTable[[#This Row],[SP Is Filled]],SnapshotTable[[#This Row],[LC Not Filled]]="Y",SnapshotTable[[#This Row],[SC Is Filled]]),"Y","")</f>
        <v/>
      </c>
      <c r="AV124" s="205"/>
      <c r="AW124" s="211"/>
      <c r="AX124" s="206"/>
      <c r="AY124" s="205" t="str">
        <f>IF(SnapshotTable[[#This Row],[Implied Move]]&gt;0, SnapshotTable[[#This Row],[Last Price]]-SnapshotTable[[#This Row],[Implied Move]],"")</f>
        <v/>
      </c>
      <c r="AZ124" s="205" t="str">
        <f>IF(SnapshotTable[[#This Row],[Implied Move]]&gt;0, SnapshotTable[[#This Row],[Last Price]] + SnapshotTable[[#This Row],[Implied Move]],"")</f>
        <v/>
      </c>
      <c r="BA124" s="302">
        <v>76.400000000000006</v>
      </c>
      <c r="BB124" s="318"/>
      <c r="BC1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4" s="321"/>
      <c r="BE124" s="5"/>
      <c r="BF124" s="14"/>
      <c r="BG124" s="13"/>
      <c r="BH124" s="13"/>
      <c r="BI124" s="5"/>
      <c r="BJ124" s="134">
        <f>IF(SnapshotTable[[#This Row],[LP Qty]] &gt; 0, SnapshotTable[[#This Row],[LP Qty]] * SnapshotTable[[#This Row],[LP Book Price]] * 100,0)</f>
        <v>0</v>
      </c>
      <c r="BK124" s="134">
        <f>IF(SnapshotTable[[#This Row],[LP Premium]] &gt; 0, SnapshotTable[[#This Row],[LP Qty]] * SnapshotTable[[#This Row],[LP Strike Price]] * 100,0)</f>
        <v>0</v>
      </c>
      <c r="BL124" s="152"/>
      <c r="BM124" s="355" t="str">
        <f>IF(SnapshotTable[[#This Row],[LP Premium]] &gt; 0,SnapshotTable[[#This Row],[LP Exp Date]]-MAX(SnapshotTable[[#This Row],[LP Book Date]], SnapshotTable[[#This Row],[LP Fill Date]]),"")</f>
        <v/>
      </c>
      <c r="BN124" s="355" t="str">
        <f>IF(ISNUMBER( SnapshotTable[[#This Row],[LP Term]]), SnapshotTable[[#This Row],[LP Exp Date]] - MockToday,"")</f>
        <v/>
      </c>
      <c r="BO124" s="161" t="str">
        <f>IF(AND(SnapshotTable[[#This Row],[LP Exp Date]]&gt;0, SnapshotTable[[#This Row],[LP Strike Price]]&gt;0,SnapshotTable[[#This Row],[LP Qty]]&gt;0,SnapshotTable[[#This Row],[LP Book Date]]&gt;0,SnapshotTable[[#This Row],[LP Book Price]]&gt;0,SnapshotTable[[#This Row],[LP Fill Date]]=0),"Y","")</f>
        <v/>
      </c>
      <c r="BP124" s="31" t="str">
        <f>IF(AND(SnapshotTable[[#This Row],[LP No Fill]]&lt;&gt;"Y",SnapshotTable[[#This Row],[LP Contract Value]]&gt;0, SnapshotTable[[#This Row],[LP Qty]]&gt;0), SnapshotTable[[#This Row],[LP Contract Value]]*SnapshotTable[[#This Row],[LP Qty]]*100,"")</f>
        <v/>
      </c>
      <c r="BQ124" s="13"/>
      <c r="BR124" s="5"/>
      <c r="BS124" s="36"/>
      <c r="BT124" s="145"/>
      <c r="BU124" s="13"/>
      <c r="BV124" s="5"/>
      <c r="BW124" s="382" t="b">
        <f>AND(ISNUMBER(SnapshotTable[[#This Row],[SP Exp Date]]), ISNUMBER(SnapshotTable[[#This Row],[SP Strike Price]]), ISNUMBER(SnapshotTable[[#This Row],[SP Qty]]), ISNUMBER(SnapshotTable[[#This Row],[SP Book Date]]), ISNUMBER(SnapshotTable[[#This Row],[SP Book Price]]))</f>
        <v>0</v>
      </c>
      <c r="BX124" s="382" t="b">
        <f>AND(SnapshotTable[[#This Row],[SP Is Booked]], NOT(ISBLANK(SnapshotTable[[#This Row],[SP Fill Date]])))</f>
        <v>0</v>
      </c>
      <c r="BY124" s="33">
        <f>IF(SnapshotTable[[#This Row],[SP Is Booked]], SnapshotTable[[#This Row],[SP Qty]] * SnapshotTable[[#This Row],[SP Book Price]] * 100, 0)</f>
        <v>0</v>
      </c>
      <c r="BZ124" s="339"/>
      <c r="CA124" s="338">
        <f>SnapshotTable[[#This Row],[LP Qty]]</f>
        <v>0</v>
      </c>
      <c r="CB124" s="4" t="str">
        <f>IF(SnapshotTable[[#This Row],[SP Is Booked]], SnapshotTable[[#This Row],[SP Strike Price]] - SnapshotTable[[#This Row],[SP Book Price]], "")</f>
        <v/>
      </c>
      <c r="CC124" s="19" t="str">
        <f>IF(SnapshotTable[[#This Row],[SP Is Booked]],SnapshotTable[[#This Row],[SP Exp Date]]-MAX(SnapshotTable[[#This Row],[SP Book Date]], SnapshotTable[[#This Row],[SP Fill Date]]),"")</f>
        <v/>
      </c>
      <c r="CD124" s="7" t="str">
        <f>IF(SnapshotTable[[#This Row],[SP Is Booked]], SnapshotTable[[#This Row],[SP Book Price]]/SnapshotTable[[#This Row],[SP Strike Price]], "")</f>
        <v/>
      </c>
      <c r="CE124" s="7" t="str">
        <f>IF(ISNUMBER(SnapshotTable[[#This Row],[SP ROO Term]]),SnapshotTable[[#This Row],[SP ROO Term]]*(365/SnapshotTable[[#This Row],[SP Term]]),"")</f>
        <v/>
      </c>
      <c r="CF124" s="221">
        <f>SnapshotTable[[#This Row],[LP Strike Price]] * SnapshotTable[[#This Row],[LP Qty]] * 100</f>
        <v>0</v>
      </c>
      <c r="CG124" s="31">
        <f>IF(ISNUMBER(SnapshotTable[[#This Row],[SP Premium]]), (SnapshotTable[[#This Row],[SP Qty]] * SnapshotTable[[#This Row],[SP Strike Price]]* 100) - SnapshotTable[[#This Row],[LP Protection]], 0)</f>
        <v>0</v>
      </c>
      <c r="CH124" s="7" t="str">
        <f>IF(ISNUMBER(SnapshotTable[[#This Row],[SP Break Even]]),-1 * (SnapshotTable[[#This Row],[SP Break Even]] - SnapshotTable[[#This Row],[Last Price]]) / SnapshotTable[[#This Row],[Last Price]], "")</f>
        <v/>
      </c>
      <c r="CI124" s="31">
        <f>IF(AND(ISNUMBER((SnapshotTable[[#This Row],[SP Potential Spend]])), SnapshotTable[[#This Row],[SP Strike Price]] &gt; SnapshotTable[[#This Row],[Last Price]], SnapshotTable[[#This Row],[SP Is Filled]]), SnapshotTable[[#This Row],[SP Potential Spend]] -  SnapshotTable[[#This Row],[LP Max Value]], 0)</f>
        <v>0</v>
      </c>
      <c r="CJ124" s="229"/>
      <c r="CK124" s="31">
        <f>IF(ISNUMBER(SnapshotTable[[#This Row],[SP Potential Spend]]),IF(ISNUMBER(SnapshotTable[[#This Row],[SP POW]]), SnapshotTable[[#This Row],[SP POW]] * SnapshotTable[[#This Row],[SP Potential Spend]], SnapshotTable[[#This Row],[SP Potential Spend]]), "")</f>
        <v>0</v>
      </c>
      <c r="CL124" s="162">
        <f>IF(NOT(SnapshotTable[[#This Row],[SP Is Filled]]),(SnapshotTable[[#This Row],[SP Qty]] * SnapshotTable[[#This Row],[SP Strike Price]] * 100) - SnapshotTable[[#This Row],[LP Max Value]],"")</f>
        <v>0</v>
      </c>
      <c r="CM124" s="31" t="str">
        <f>IF(SnapshotTable[[#This Row],[SP Actual Spend]]&lt;&gt;0, ((SnapshotTable[[#This Row],[SP Strike Price]]-SnapshotTable[[#This Row],[Last Price]]) *(SnapshotTable[[#This Row],[SP Qty]]*100) - SnapshotTable[[#This Row],[SP Premium]]) * - 1, "")</f>
        <v/>
      </c>
      <c r="CN124" s="76"/>
      <c r="CO124" s="339"/>
      <c r="CP124" s="4" t="str">
        <f>IF(SnapshotTable[[#This Row],[SP Is Filled]], btc_max_buyback_amount(SnapshotTable[[#This Row],[SP Fill Date]],SnapshotTable[[#This Row],[SP Exp Date]], SnapshotTable[[#This Row],[SP Book Price]]),"")</f>
        <v/>
      </c>
      <c r="CQ124" s="76"/>
      <c r="CR1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4" s="153" t="str">
        <f>IF(SnapshotTable[[#This Row],[SP Is Filled]], btc_next_cutoff_date(SnapshotTable[[#This Row],[SP Fill Date]],SnapshotTable[[#This Row],[SP Exp Date]]),"")</f>
        <v/>
      </c>
      <c r="CT124" s="220" t="str" cm="1">
        <f t="array" ref="CT124">IF(SnapshotTable[[#This Row],[SP Is Filled]], btc_should_buy_back(SnapshotTable[[#This Row],[SP Fill Date]], SnapshotTable[[#This Row],[SP Exp Date]], SnapshotTable[[#This Row],[SP Book Price]], SnapshotTable[[#This Row],[SP Current Ask]], MockToday, SnapshotTable[[#This Row],[SP Buyback Override]]),"")</f>
        <v/>
      </c>
      <c r="CU124" s="141"/>
      <c r="CV124" s="220"/>
      <c r="CW124" s="348" t="str">
        <f>IF(ISNUMBER( SnapshotTable[[#This Row],[SP Term]]), SnapshotTable[[#This Row],[SP Exp Date]] - MockToday,"")</f>
        <v/>
      </c>
      <c r="CX124" s="31" t="str">
        <f>IF(SnapshotTable[[#This Row],[SP Is Filled]],SnapshotTable[[#This Row],[SP Buyback Price to Use]] * 100 * SnapshotTable[[#This Row],[SP Qty]], "")</f>
        <v/>
      </c>
      <c r="CY124" s="4" t="str">
        <f>IF(ISNUMBER(SnapshotTable[[#This Row],[SP Strike Price]]), SnapshotTable[[#This Row],[SP Strike Price]] * (1 - SP_MaxLoss_StrikePct), "")</f>
        <v/>
      </c>
      <c r="CZ124" s="31" t="str">
        <f>IF(ISNUMBER(SnapshotTable[[#This Row],[SP Strike  Stop Per Share]]),SnapshotTable[[#This Row],[SP Premium]] - ((SnapshotTable[[#This Row],[SP Strike Price]]-SnapshotTable[[#This Row],[SP Strike  Stop Per Share]]) *(SnapshotTable[[#This Row],[SP Qty]] * 100)),"")</f>
        <v/>
      </c>
      <c r="DA124" s="4" t="str">
        <f>IF(AND(ISNUMBER(SnapshotTable[[#This Row],[SP Premium]]),SnapshotTable[[#This Row],[SP Premium]]&gt;0), SnapshotTable[[#This Row],[SP Book Price]] * (1 + SP_MaxLoss_OptionPct), "")</f>
        <v/>
      </c>
      <c r="DB124" s="31" t="str">
        <f>IF(ISNUMBER(SnapshotTable[[#This Row],[SP Option  Stop Contract]]),(SnapshotTable[[#This Row],[SP Option  Stop Contract]] *(SnapshotTable[[#This Row],[SP Qty]] * 100) - SnapshotTable[[#This Row],[SP Premium]]),"")</f>
        <v/>
      </c>
      <c r="DC124" s="4"/>
      <c r="DD124" s="4"/>
      <c r="DE124" s="4" t="str">
        <f>IF(AND(SnapshotTable[[#This Row],[SP Qty]]&gt;0, SnapshotTable[[#This Row],[SP Stop To Use]]&gt;0),SnapshotTable[[#This Row],[SP Premium]] - ( SnapshotTable[[#This Row],[SP Qty]] * SnapshotTable[[#This Row],[SP Stop To Use]] * 100), "")</f>
        <v/>
      </c>
      <c r="DF124" s="31" t="str">
        <f>IF(AND(SnapshotTable[[#This Row],[SP Qty]]&gt;0,SnapshotTable[[#This Row],[SP Current Ask]]&gt;0), SnapshotTable[[#This Row],[SP Qty]] * SnapshotTable[[#This Row],[SP Current Ask]] * -100, "")</f>
        <v/>
      </c>
      <c r="DG124" s="31" t="str">
        <f>IF(ISNUMBER((SnapshotTable[[#This Row],[SP Total Value]])), SnapshotTable[[#This Row],[SP Premium]] + SnapshotTable[[#This Row],[SP Total Value]], "")</f>
        <v/>
      </c>
      <c r="DH124" s="272" t="str">
        <f>IF(ISNUMBER((SnapshotTable[[#This Row],[SP Total Value]])), SnapshotTable[[#This Row],[SP Gain Loss]] / SnapshotTable[[#This Row],[SP Premium]], "")</f>
        <v/>
      </c>
      <c r="DI124" s="369"/>
      <c r="DJ124" s="136"/>
      <c r="DK124" s="146"/>
      <c r="DL124" s="13"/>
      <c r="DM124" s="13"/>
      <c r="DO124" s="31">
        <f>IF(SnapshotTable[[#This Row],[LC Symbol Count]]=1, SnapshotTable[[#This Row],[LC Qty]] * SnapshotTable[[#This Row],[LC Book Price]] * 100, 0)</f>
        <v>0</v>
      </c>
      <c r="DP124" s="161" t="str">
        <f>IF(AND(SnapshotTable[[#This Row],[LC Exp Date]]&gt;0, SnapshotTable[[#This Row],[LC Strike Price]]&gt;0,SnapshotTable[[#This Row],[LC Qty]]&gt;0,SnapshotTable[[#This Row],[LC Book Date]]&gt;0,SnapshotTable[[#This Row],[LC Book Price]]&gt;0,SnapshotTable[[#This Row],[LC Fill Date]]=0),"Y","")</f>
        <v/>
      </c>
      <c r="DQ124" s="356" t="str">
        <f>IF(SnapshotTable[[#This Row],[LC Premium]] &gt; 0,SnapshotTable[[#This Row],[LC Exp Date]]-MAX(SnapshotTable[[#This Row],[LC Book Date]], SnapshotTable[[#This Row],[LC Fill Date]]),"")</f>
        <v/>
      </c>
      <c r="DR124" s="356" t="str">
        <f>IF(ISNUMBER(SnapshotTable[[#This Row],[LC Term]]), SnapshotTable[[#This Row],[LC Exp Date]] - MockToday, "")</f>
        <v/>
      </c>
      <c r="DS124" s="219" t="str">
        <f>IF(SnapshotTable[[#This Row],[LC Premium]]&gt;0,SnapshotTable[[#This Row],[LC Strike Price]] + SnapshotTable[[#This Row],[LC Book Price]],"")</f>
        <v/>
      </c>
      <c r="DU124" s="9" t="str">
        <f>IF(AND(SnapshotTable[[#This Row],[LC Symbol Count]]&gt;0, SnapshotTable[[#This Row],[LC Contract Value]]&gt;0), SnapshotTable[[#This Row],[LC Contract Value]] * SnapshotTable[[#This Row],[LC Qty]] * 100, "")</f>
        <v/>
      </c>
      <c r="DV124" s="9" t="str">
        <f>IF(AND(ISNUMBER(SnapshotTable[[#This Row],[LC Total Value]]), SnapshotTable[[#This Row],[LC Not Filled]]&lt;&gt;"Y"), SnapshotTable[[#This Row],[LC Total Value]]-SnapshotTable[[#This Row],[LC Premium]],"")</f>
        <v/>
      </c>
      <c r="DW124" s="225" t="str">
        <f>IF(ISNUMBER(SnapshotTable[[#This Row],[LC Actual Gain Loss]]), SnapshotTable[[#This Row],[LC Actual Gain Loss]] / SnapshotTable[[#This Row],[LC Premium]],"")</f>
        <v/>
      </c>
      <c r="DX124" s="269" t="str">
        <f>IF(ISNUMBER(SnapshotTable[[#This Row],[LC Book Price]]),SnapshotTable[[#This Row],[LC Book Price]] * 1.5,"")</f>
        <v/>
      </c>
      <c r="DY124" s="250" t="str">
        <f>IF(SnapshotTable[[#This Row],[LC Premium]]&gt;0, SnapshotTable[[#This Row],[LC Next Target]] * SnapshotTable[[#This Row],[LC Qty]] * 100,"")</f>
        <v/>
      </c>
      <c r="DZ124" s="250" t="str">
        <f>IF(ISNUMBER(SnapshotTable[[#This Row],[LC Target Gross]]), SnapshotTable[[#This Row],[LC Target Gross]] - SnapshotTable[[#This Row],[LC Premium]], "")</f>
        <v/>
      </c>
      <c r="EA124" s="283" t="str">
        <f>IF(ISNUMBER(SnapshotTable[[#This Row],[LC Target Gain Loss]]), SnapshotTable[[#This Row],[LC Target Gain Loss]]/SnapshotTable[[#This Row],[LC Premium]], "")</f>
        <v/>
      </c>
      <c r="EB124" s="247"/>
      <c r="EC124" s="268" t="str">
        <f>IF(SnapshotTable[[#This Row],[LC Premium]]&gt;0, SnapshotTable[[#This Row],[LC Book Price]] * (1 - LC_StopLoss_Pct),"")</f>
        <v/>
      </c>
      <c r="ED124" s="269"/>
      <c r="EE124" s="268" t="str">
        <f>IF(ISNUMBER(SnapshotTable[[#This Row],[LC Contract Value]]),IF(ISNUMBER(SnapshotTable[[#This Row],[LC Stop Loss Override]]), SnapshotTable[[#This Row],[LC Stop Loss Override]],SnapshotTable[[#This Row],[LC Stop Loss Calc Target]]),"")</f>
        <v/>
      </c>
      <c r="EF124" s="31" t="str">
        <f>IF(ISNUMBER(SnapshotTable[[#This Row],[LC Stop  To Use]]), (SnapshotTable[[#This Row],[LC Stop  To Use]] * SnapshotTable[[#This Row],[LC Qty]] * 100),"")</f>
        <v/>
      </c>
      <c r="EG124" s="9" t="str">
        <f>IF(ISNUMBER(SnapshotTable[[#This Row],[LC Total Value]]),SnapshotTable[[#This Row],[LC Stop Loss Amount]] - SnapshotTable[[#This Row],[LC Premium]],"")</f>
        <v/>
      </c>
      <c r="EH124" s="9">
        <f>IF(ISNUMBER(SnapshotTable[[#This Row],[LC Premium]]), SnapshotTable[[#This Row],[LC Qty]] * 100 * SnapshotTable[[#This Row],[LC Strike Price]], "")</f>
        <v>0</v>
      </c>
      <c r="EI124" s="225" t="str">
        <f>IF(AND(ISNUMBER(SnapshotTable[[#This Row],[LC Total Value]]),SnapshotTable[[#This Row],[LC Total Value]]&gt;0),SnapshotTable[[#This Row],[LC Stop Gain Loss]]  / SnapshotTable[[#This Row],[LC Premium]],"")</f>
        <v/>
      </c>
      <c r="EJ124" s="35">
        <f>IF(ISNUMBER(SnapshotTable[[#This Row],[Equity Shares]]),TRUNC(SnapshotTable[[#This Row],[Equity Shares]] / 100),0) + SnapshotTable[[#This Row],[LC Qty]]</f>
        <v>0</v>
      </c>
      <c r="EK124" s="145"/>
      <c r="EL124" s="136"/>
      <c r="EM124" s="146"/>
      <c r="EN124" s="145"/>
      <c r="EO124" s="145"/>
      <c r="EP124" s="136"/>
      <c r="EQ124" s="382" t="b">
        <f>AND(ISNUMBER(SnapshotTable[[#This Row],[SC Exp Date]]), ISNUMBER(SnapshotTable[[#This Row],[SC Strike Price]]), ISNUMBER(SnapshotTable[[#This Row],[SC Qty]]), ISNUMBER(SnapshotTable[[#This Row],[SC Book Date]]), ISNUMBER(SnapshotTable[[#This Row],[SC Book Price]]))</f>
        <v>0</v>
      </c>
      <c r="ER124" s="382" t="b">
        <f>AND(SnapshotTable[[#This Row],[SC Is Booked]], NOT(ISBLANK(SnapshotTable[[#This Row],[SC Fill Date]])))</f>
        <v>0</v>
      </c>
      <c r="ES124" s="340"/>
      <c r="ET124" s="34" t="str">
        <f>IF(AND(ISNUMBER(SnapshotTable[[#This Row],[SC Exp Date]]), ISNUMBER(SnapshotTable[[#This Row],[SC Book Date]])), SnapshotTable[[#This Row],[SC Exp Date]] - MAX(SnapshotTable[[#This Row],[SC Book Date]], SnapshotTable[[#This Row],[SC Fill Date]]) + 1, "")</f>
        <v/>
      </c>
      <c r="EU124" s="34" t="str">
        <f>IF(ISNUMBER(SnapshotTable[[#This Row],[SC Term]]), SnapshotTable[[#This Row],[SC Exp Date]]- MockToday, "")</f>
        <v/>
      </c>
      <c r="EV124" s="31">
        <f>IF(SnapshotTable[[#This Row],[SC Is Booked]], SnapshotTable[[#This Row],[SC Qty]] * SnapshotTable[[#This Row],[SC Book Price]] * 100, 0)</f>
        <v>0</v>
      </c>
      <c r="EW124" s="4" t="str">
        <f>IF(AND(ISNUMBER(SnapshotTable[[#This Row],[Last Price]]), ISNUMBER( SnapshotTable[[#This Row],[SC Book Price]])), SnapshotTable[[#This Row],[Last Price]] - SnapshotTable[[#This Row],[SC Book Price]],"")</f>
        <v/>
      </c>
      <c r="EX124" s="219" t="str">
        <f>IF(SnapshotTable[[#This Row],[SC Is Booked]],IF(SnapshotTable[[#This Row],[SC Intrinsic Value]] &gt; 0, SnapshotTable[[#This Row],[SC Strike Price]], SnapshotTable[[#This Row],[Last Price]]), "")</f>
        <v/>
      </c>
      <c r="EY124" s="4">
        <f>IF(SnapshotTable[[#This Row],[SC Is Booked]], (MinimumPremiumRequired * SnapshotTable[[#This Row],[SC Basis]] * SnapshotTable[[#This Row],[SC Term]]), 0)</f>
        <v>0</v>
      </c>
      <c r="EZ124" s="268"/>
      <c r="FA124" s="204"/>
      <c r="FB124" s="340"/>
      <c r="FC124" s="4">
        <f>IF(SnapshotTable[[#This Row],[SC Is Filled]], btc_max_buyback_amount(SnapshotTable[[#This Row],[SC Fill Date]],SnapshotTable[[#This Row],[SC Exp Date]], SnapshotTable[[#This Row],[SC Book Price]]),0)</f>
        <v>0</v>
      </c>
      <c r="FD124" s="5"/>
      <c r="FE124" s="142" t="str">
        <f>IF(SnapshotTable[[#This Row],[SC Is Filled]], btc_next_cutoff_date(SnapshotTable[[#This Row],[SC Fill Date]],SnapshotTable[[#This Row],[SC Exp Date]]),"")</f>
        <v/>
      </c>
      <c r="FF124" s="4" t="str" cm="1">
        <f t="array" ref="FF124">IF(SnapshotTable[[#This Row],[SC Is Filled]], btc_should_buy_back(SnapshotTable[[#This Row],[SC Fill Date]], SnapshotTable[[#This Row],[SC Exp Date]], SnapshotTable[[#This Row],[SC Book Price]], SnapshotTable[[#This Row],[SC Current Ask]], MockToday, SnapshotTable[[#This Row],[SC Buyback Override]]),"")</f>
        <v/>
      </c>
      <c r="FG124" s="4">
        <f>IF(SnapshotTable[[#This Row],[SC Is Filled]], MAX(0,SnapshotTable[[#This Row],[Last Price]]  - SnapshotTable[[#This Row],[SC Strike Price]]), 0)</f>
        <v>0</v>
      </c>
      <c r="FH124" s="352">
        <f>IF(SnapshotTable[[#This Row],[SC Is Filled]], IF(ISNUMBER(SnapshotTable[[#This Row],[SC Current Ask]]), SnapshotTable[[#This Row],[SC Current Ask]], SnapshotTable[[#This Row],[SC Book Price]]) - SnapshotTable[[#This Row],[SC Intrinsic Value]], 0)</f>
        <v>0</v>
      </c>
      <c r="FI124" s="141"/>
      <c r="FJ124" s="32" t="str">
        <f>IF(SnapshotTable[[#This Row],[SC Is Filled]],100 * SnapshotTable[[#This Row],[SC Qty]] * IF(ISNUMBER(SnapshotTable[[#This Row],[SC Buyback Override]]), SnapshotTable[[#This Row],[SC Buyback Override]], SnapshotTable[[#This Row],[SC Current Ask]]), "")</f>
        <v/>
      </c>
      <c r="FK124" s="235" t="str">
        <f>IF(SnapshotTable[[#This Row],[SC Time Val]]&gt;0, SnapshotTable[[#This Row],[SC Time Val]] / SnapshotTable[[#This Row],[Last Price]],"")</f>
        <v/>
      </c>
      <c r="FL124" s="280" t="str">
        <f>IF(SnapshotTable[[#This Row],[SC Is Booked]], ((SnapshotTable[[#This Row],[Last Price]] -SnapshotTable[[#This Row],[SC Strike Price]]) / SnapshotTable[[#This Row],[Last Price]]) * -1, "")</f>
        <v/>
      </c>
      <c r="FM124" s="155" t="str">
        <f>IF(SnapshotTable[[#This Row],[SC Is Booked]],  (SnapshotTable[[#This Row],[SC Qty]] * 100 * SnapshotTable[[#This Row],[SC Strike Price]]) - SnapshotTable[[#This Row],[SC Current Ask]], "")</f>
        <v/>
      </c>
      <c r="FN1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4" s="31" t="str">
        <f>IF(AND(ISNUMBER(SnapshotTable[[#This Row],[SC Exercise Gross]]), ISNUMBER(SnapshotTable[[#This Row],[Equity Basis Per Share]] )), SnapshotTable[[#This Row],[SC Exercise Gross]] - SnapshotTable[[#This Row],[Equity Basis Total]] +  SnapshotTable[[#This Row],[SC Premium]], "")</f>
        <v/>
      </c>
      <c r="FP124" s="5" t="str">
        <f>IF(ISNUMBER(SnapshotTable[[#This Row],[SC Exercise Gross]]), (SnapshotTable[[#This Row],[SC Exercise Gross]]) / (SnapshotTable[[#This Row],[SC Qty]] * 100), "")</f>
        <v/>
      </c>
      <c r="FQ124" s="27" t="str">
        <f>IF(SnapshotTable[[#This Row],[SC Is Booked]],SnapshotTable[[#This Row],[SC Time Val]] /SnapshotTable[[#This Row],[SC Basis]], "")</f>
        <v/>
      </c>
      <c r="FR124" s="27" t="str" cm="1">
        <f t="array" ref="FR124">IF(AND(ISNUMBER(SnapshotTable[[#This Row],[SC Term]]),ISNUMBER(SnapshotTable[[#This Row],[SC Simple ROO]])), EllmanAnnualize(SnapshotTable[[#This Row],[SC DTE]], SnapshotTable[[#This Row],[SC Simple ROO]] ),"")</f>
        <v/>
      </c>
      <c r="FS124" s="4">
        <f>IF(SnapshotTable[[#This Row],[SC Strike Price]] &gt; SnapshotTable[[#This Row],[Last Price]], SnapshotTable[[#This Row],[SC Strike Price]] - SnapshotTable[[#This Row],[Last Price]],0)</f>
        <v>0</v>
      </c>
      <c r="FT124" s="27" t="str">
        <f>IF(AND(ISNUMBER(SnapshotTable[[#This Row],[SC Upside Potential]]), SnapshotTable[[#This Row],[SC Upside Potential]] &gt; 0),(SnapshotTable[[#This Row],[SC Upside Potential]]/ SnapshotTable[[#This Row],[ACB]]),"")</f>
        <v/>
      </c>
      <c r="FU124" s="304" t="str">
        <f>IF(SnapshotTable[[#This Row],[SC Intrinsic Value]] &gt; 0,SnapshotTable[[#This Row],[SC Intrinsic Value]],"")</f>
        <v/>
      </c>
      <c r="FV124" s="27" t="str">
        <f>IF(AND( ISNUMBER( SnapshotTable[[#This Row],[ACB]]),ISNUMBER(SnapshotTable[[#This Row],[SC Downside Protect]])),SnapshotTable[[#This Row],[SC Downside Protect]] / SnapshotTable[[#This Row],[ACB]],"")</f>
        <v/>
      </c>
      <c r="FW124" s="221" t="str">
        <f>IF(AND(ISNUMBER(SnapshotTable[[#This Row],[SC Simple ROO]]),SnapshotTable[[#This Row],[SC Simple ROO]] &gt; 0), SnapshotTable[[#This Row],[SC Premium]] + (SnapshotTable[[#This Row],[SC Qty]] * SnapshotTable[[#This Row],[SC Upside Potential]]), "")</f>
        <v/>
      </c>
      <c r="FX124" s="280" t="str" cm="1">
        <f t="array" ref="FX124">IF(ISNUMBER(SnapshotTable[[#This Row],[SC Max Dollars]]), annualize(SnapshotTable[[#This Row],[SC Term]],(SnapshotTable[[#This Row],[SC Max Dollars]]/SnapshotTable[[#This Row],[SC Basis]])),"")</f>
        <v/>
      </c>
      <c r="FY124" s="221" t="str">
        <f>IF(AND(SnapshotTable[[#This Row],[SC Qty]]&gt;0,SnapshotTable[[#This Row],[SC Current Ask]]&gt;0), SnapshotTable[[#This Row],[SC Qty]] * SnapshotTable[[#This Row],[SC Current Ask]] * -100, "")</f>
        <v/>
      </c>
      <c r="FZ124" s="31" t="str">
        <f>IF(ISNUMBER((SnapshotTable[[#This Row],[SC Current Value]])), SnapshotTable[[#This Row],[SC Premium]] + SnapshotTable[[#This Row],[SC Current Value]], "")</f>
        <v/>
      </c>
      <c r="GA124" s="272" t="str">
        <f>IFERROR( IF(ISNUMBER((SnapshotTable[[#This Row],[SC Current Value]])), SnapshotTable[[#This Row],[SC Gain Loss]] / SnapshotTable[[#This Row],[SC Premium]], ""), "")</f>
        <v/>
      </c>
      <c r="GB124" s="42">
        <f>SnapshotTable[[#This Row],[Equity Shares]] * SaleSharesToConsiderPercentage</f>
        <v>0</v>
      </c>
      <c r="GC124" s="40">
        <f>SnapshotTable[[#This Row],[Long Term Target]] * SellingPriceToConsiderBasedOnTargetPercentage</f>
        <v>83.428999999999988</v>
      </c>
      <c r="GD124" s="40">
        <f>SnapshotTable[[#This Row],[Last Price]] * (1+ SellingPriceToConsiderBasedOnTargetPercentage)</f>
        <v>167.21250000000001</v>
      </c>
      <c r="GE124" s="41"/>
      <c r="GF124" s="40"/>
      <c r="GG124" s="31">
        <f>SnapshotTable[[#This Row],[Booked Sale Shares]] * SnapshotTable[[#This Row],[Booked Sale Price]]</f>
        <v>0</v>
      </c>
      <c r="GH124" s="31" t="str">
        <f>IF(SnapshotTable[[#This Row],[Equity Basis Total]] &gt; 0, SnapshotTable[[#This Row],[Equity Basis Per Share]] * SnapshotTable[[#This Row],[Booked Sale Shares]], "")</f>
        <v/>
      </c>
      <c r="GI124" s="31">
        <f>IF(SnapshotTable[[#This Row],[Sale Proceeds]]&gt;0, SnapshotTable[[#This Row],[Sale Proceeds]] - SnapshotTable[[#This Row],[Sale Basis]], 0)</f>
        <v>0</v>
      </c>
      <c r="GJ124" s="27" t="str">
        <f>IF(SnapshotTable[[#This Row],[Sale G/L]]&gt;0, SnapshotTable[[#This Row],[Sale G/L]] / SnapshotTable[[#This Row],[Sale Basis]], IF(ISNUMBER(SnapshotTable[[#This Row],[SC Exercise P&amp;L (TAX)]]), SnapshotTable[[#This Row],[SC Exercise P&amp;L (TAX)]] / SnapshotTable[[#This Row],[SC Basis]], ""))</f>
        <v/>
      </c>
      <c r="GK124" s="27"/>
      <c r="GL124" s="43" t="str">
        <f>IF(AND(SnapshotTable[[#This Row],[LP Exp Date]]&gt;0,SnapshotTable[[#This Row],[LP Strike Price]]&gt;0), [1]!ToOptionSymbol(SnapshotTable[[#This Row],[Symbol]], SnapshotTable[[#This Row],[LP Strike Price]],SnapshotTable[[#This Row],[LP Exp Date]],1), "")</f>
        <v/>
      </c>
      <c r="GM124" s="30" t="str">
        <f>IF(LEN(SnapshotTable[[#This Row],[LP Symbol]])&gt;0, 1, "")</f>
        <v/>
      </c>
      <c r="GN124" s="43" t="str">
        <f>IF(AND(SnapshotTable[[#This Row],[SP Exp Date]]&gt;0,SnapshotTable[[#This Row],[SP Strike Price]]&gt;0), [1]!ToOptionSymbol(SnapshotTable[[#This Row],[Symbol]], SnapshotTable[[#This Row],[SP Strike Price]],SnapshotTable[[#This Row],[SP Exp Date]],1), "")</f>
        <v/>
      </c>
      <c r="GO124" s="30" t="str">
        <f>IF(LEN(SnapshotTable[[#This Row],[SP Symbol]])&gt;0, 1, "")</f>
        <v/>
      </c>
      <c r="GP124" s="43" t="str">
        <f>IF(AND(SnapshotTable[[#This Row],[LC Exp Date]]&gt;0,SnapshotTable[[#This Row],[LC Strike Price]]&gt;0), [1]!ToOptionSymbol(SnapshotTable[[#This Row],[Symbol]], SnapshotTable[[#This Row],[LC Strike Price]],SnapshotTable[[#This Row],[LC Exp Date]],0), "")</f>
        <v/>
      </c>
      <c r="GQ124" s="30" t="str">
        <f>IF(LEN(SnapshotTable[[#This Row],[LC Symbol]])&gt;0, 1, "")</f>
        <v/>
      </c>
      <c r="GR124" s="43" t="str">
        <f>IF(AND(SnapshotTable[[#This Row],[SC Exp Date]]&gt;0,SnapshotTable[[#This Row],[SC Strike Price]]&gt;0), [1]!ToOptionSymbol(SnapshotTable[[#This Row],[Symbol]], SnapshotTable[[#This Row],[SC Strike Price]],SnapshotTable[[#This Row],[SC Exp Date]],0), "")</f>
        <v/>
      </c>
      <c r="GS124" s="30" t="str">
        <f>IF(LEN(SnapshotTable[[#This Row],[SC Symbol]])&gt;0, 1, "")</f>
        <v/>
      </c>
      <c r="GT124" s="29" t="str">
        <f>IF(COUNT(SnapshotTable[[#This Row],[LP Symbol Count]],SnapshotTable[[#This Row],[SP Symbol Count]],SnapshotTable[[#This Row],[LC Symbol Count]],SnapshotTable[[#This Row],[SC Symbol Count]])&gt;0, "Y", "")</f>
        <v/>
      </c>
      <c r="GU1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4" s="216">
        <f>MAX(SnapshotTable[[#This Row],[Equity Basis Total]],SnapshotTable[[#This Row],[Equity Value]]) + (SnapshotTable[[#This Row],[SP Potential Spend]]- SnapshotTable[[#This Row],[SP Premium]] + SnapshotTable[[#This Row],[LP Premium]])+ (SnapshotTable[[#This Row],[LC Premium]] - SnapshotTable[[#This Row],[SC Premium]])</f>
        <v>0</v>
      </c>
      <c r="GW124" s="137" t="str">
        <f>IF(AND(SnapshotTable[[#This Row],[Exposure]] &lt;&gt; 0),SnapshotTable[[#This Row],[Exposure]] / SnapshotTable[[#Totals],[Exposure]], "")</f>
        <v/>
      </c>
      <c r="HE124" s="253"/>
      <c r="HF124" s="253"/>
      <c r="HK124" s="1"/>
      <c r="HL124" s="1"/>
      <c r="HM124" s="1"/>
      <c r="HN124" s="1"/>
      <c r="HO124" s="1"/>
      <c r="HP124" s="1"/>
    </row>
    <row r="125" spans="2:224" ht="12.75" hidden="1" customHeight="1" x14ac:dyDescent="0.25">
      <c r="B125" s="12" t="s">
        <v>133</v>
      </c>
      <c r="C125" s="385">
        <v>120.24</v>
      </c>
      <c r="D125" s="200"/>
      <c r="E125" s="39">
        <f>SnapshotTable[[#This Row],[Last Price]]*(1 -CrashDiscount)</f>
        <v>102.20399999999999</v>
      </c>
      <c r="F125" s="26" t="s">
        <v>87</v>
      </c>
      <c r="G125" s="26" t="s">
        <v>10</v>
      </c>
      <c r="H125" s="147"/>
      <c r="I125" s="186">
        <v>44798.288194444445</v>
      </c>
      <c r="J125" s="187">
        <v>44798.288194444445</v>
      </c>
      <c r="K125" s="188"/>
      <c r="L125" s="297"/>
      <c r="M125" s="138"/>
      <c r="N125" s="138"/>
      <c r="O125" s="138"/>
      <c r="P125" s="22"/>
      <c r="Q125" s="25"/>
      <c r="R125" s="4" t="str">
        <f>IF(SnapshotTable[[#This Row],[Equity Basis Total]] &gt; 0, SnapshotTable[[#This Row],[Equity Basis Total]] / SnapshotTable[[#This Row],[Equity Shares]], "")</f>
        <v/>
      </c>
      <c r="S125" s="254">
        <f>SnapshotTable[[#This Row],[Last Price]] * SnapshotTable[[#This Row],[Equity Shares]]</f>
        <v>0</v>
      </c>
      <c r="T125" s="254">
        <f>SnapshotTable[[#This Row],[Equity Value]] - SnapshotTable[[#This Row],[Equity Basis Total]]</f>
        <v>0</v>
      </c>
      <c r="U125" s="255" t="str">
        <f>IF(SnapshotTable[[#This Row],[Equity Basis Total]] &gt; 0, SnapshotTable[[#This Row],[Equity G/L]] / SnapshotTable[[#This Row],[Equity Basis Total]], "")</f>
        <v/>
      </c>
      <c r="V125" s="253"/>
      <c r="W125" s="253"/>
      <c r="X125" s="4" t="str">
        <f>IF(AND(ISNUMBER(SnapshotTable[[#This Row],[Equity Basis Per Share]]),ISNUMBER(SnapshotTable[[#This Row],[Equity Target]])),SnapshotTable[[#This Row],[Equity Target]]-SnapshotTable[[#This Row],[Equity Basis Per Share]],"")</f>
        <v/>
      </c>
      <c r="Y125" s="4" t="str">
        <f>IF(AND(ISNUMBER(SnapshotTable[[#This Row],[Equity Basis Per Share]]),ISNUMBER(SnapshotTable[[#This Row],[Equity Stop Loss]])),SnapshotTable[[#This Row],[Equity Stop Loss]]-SnapshotTable[[#This Row],[Equity Basis Per Share]],"")</f>
        <v/>
      </c>
      <c r="Z125" s="260" t="str">
        <f>IFERROR( TEXT(SnapshotTable[[#This Row],[Equity Max Gain Per Share]] /ABS( SnapshotTable[[#This Row],[Equity Max Loss Per Share]]),"0.0 " ) &amp; " : 1", "")</f>
        <v/>
      </c>
      <c r="AA125" s="31" t="str">
        <f>IF(ISNUMBER(SnapshotTable[[#This Row],[Equity Max Gain Per Share]]),SnapshotTable[[#This Row],[Equity Max Gain Per Share]] * SnapshotTable[[#This Row],[Equity Shares]],"")</f>
        <v/>
      </c>
      <c r="AB125" s="31" t="str">
        <f>IF(ISNUMBER(SnapshotTable[[#This Row],[Equity Max Loss Per Share]]),SnapshotTable[[#This Row],[Equity Max Loss Per Share]] * SnapshotTable[[#This Row],[Equity Shares]],"")</f>
        <v/>
      </c>
      <c r="AC125" s="148">
        <v>1</v>
      </c>
      <c r="AD125" s="149">
        <v>42732</v>
      </c>
      <c r="AE125" s="31">
        <f>(SnapshotTable[[#This Row],[Annual Dividend Per Share]] / 4) * SnapshotTable[[#This Row],[Equity Shares]]</f>
        <v>0</v>
      </c>
      <c r="AF125" s="31">
        <f>SnapshotTable[[#This Row],[Quarterly Div $]] * 4</f>
        <v>0</v>
      </c>
      <c r="AG125" s="7">
        <f>IF(SnapshotTable[[#This Row],[Annual Dividend Per Share]]&gt;0, SnapshotTable[[#This Row],[Annual Dividend Per Share]]  / SnapshotTable[[#This Row],[Last Price]], 0)</f>
        <v>8.3166999334664017E-3</v>
      </c>
      <c r="AH125" s="149">
        <v>42712</v>
      </c>
      <c r="AI125" s="5"/>
      <c r="AJ125" s="136">
        <v>90</v>
      </c>
      <c r="AK125" s="150" t="str">
        <f>IF(ISNUMBER( SnapshotTable[[#This Row],[EBF Target]]),(SnapshotTable[[#This Row],[EBF Target]] - SnapshotTable[[#This Row],[Last Price]]) / SnapshotTable[[#This Row],[Last Price]], "")</f>
        <v/>
      </c>
      <c r="AL125" s="150" t="str">
        <f>IF(AND(SnapshotTable[[#This Row],[Equity Basis Total]] &gt; 0,ISNUMBER( SnapshotTable[[#This Row],[Long Term Target]])), SnapshotTable[[#This Row],[From Basis $]] / SnapshotTable[[#This Row],[Equity Basis Total]], "")</f>
        <v/>
      </c>
      <c r="AM125" s="9">
        <f>IF( AND(SnapshotTable[[#This Row],[Equity Shares]] &gt;0,ISNUMBER( SnapshotTable[[#This Row],[Long Term Target]])),(SnapshotTable[[#This Row],[Equity Shares]] * SnapshotTable[[#This Row],[Long Term Target]]) - SnapshotTable[[#This Row],[Equity Basis Total]],0)</f>
        <v>0</v>
      </c>
      <c r="AN125" s="9">
        <f>IF( AND(SnapshotTable[[#This Row],[Equity Shares]] &gt;0,ISNUMBER( SnapshotTable[[#This Row],[Long Term Target]])),(SnapshotTable[[#This Row],[Equity Shares]]*SnapshotTable[[#This Row],[Long Term Target]]) - SnapshotTable[[#This Row],[Equity Value]],0)</f>
        <v>0</v>
      </c>
      <c r="AO125" s="150">
        <f>IF(AND(ISNUMBER( SnapshotTable[[#This Row],[Long Term Target]]), ISNUMBER(SnapshotTable[[#This Row],[Last Price]])),(SnapshotTable[[#This Row],[Long Term Target]] - SnapshotTable[[#This Row],[Last Price]]) / SnapshotTable[[#This Row],[Last Price]], "")</f>
        <v>-0.25149700598802394</v>
      </c>
      <c r="AP125" s="5">
        <v>72.5</v>
      </c>
      <c r="AQ125" s="38" t="s">
        <v>16</v>
      </c>
      <c r="AR125" s="5">
        <v>72.5</v>
      </c>
      <c r="AS125" s="38" t="s">
        <v>132</v>
      </c>
      <c r="AT125" s="144"/>
      <c r="AU125" s="185" t="str">
        <f>IF(OR(SnapshotTable[[#This Row],[LP No Fill]]="Y",SnapshotTable[[#This Row],[SP Is Filled]],SnapshotTable[[#This Row],[LC Not Filled]]="Y",SnapshotTable[[#This Row],[SC Is Filled]]),"Y","")</f>
        <v/>
      </c>
      <c r="AV125" s="205"/>
      <c r="AW125" s="211"/>
      <c r="AX125" s="206"/>
      <c r="AY125" s="205" t="str">
        <f>IF(SnapshotTable[[#This Row],[Implied Move]]&gt;0, SnapshotTable[[#This Row],[Last Price]]-SnapshotTable[[#This Row],[Implied Move]],"")</f>
        <v/>
      </c>
      <c r="AZ125" s="205" t="str">
        <f>IF(SnapshotTable[[#This Row],[Implied Move]]&gt;0, SnapshotTable[[#This Row],[Last Price]] + SnapshotTable[[#This Row],[Implied Move]],"")</f>
        <v/>
      </c>
      <c r="BA125" s="302"/>
      <c r="BB125" s="318"/>
      <c r="BC1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5" s="321"/>
      <c r="BE125" s="5"/>
      <c r="BF125" s="14"/>
      <c r="BG125" s="13"/>
      <c r="BH125" s="13"/>
      <c r="BI125" s="5"/>
      <c r="BJ125" s="134">
        <f>IF(SnapshotTable[[#This Row],[LP Qty]] &gt; 0, SnapshotTable[[#This Row],[LP Qty]] * SnapshotTable[[#This Row],[LP Book Price]] * 100,0)</f>
        <v>0</v>
      </c>
      <c r="BK125" s="134">
        <f>IF(SnapshotTable[[#This Row],[LP Premium]] &gt; 0, SnapshotTable[[#This Row],[LP Qty]] * SnapshotTable[[#This Row],[LP Strike Price]] * 100,0)</f>
        <v>0</v>
      </c>
      <c r="BL125" s="152"/>
      <c r="BM125" s="355" t="str">
        <f>IF(SnapshotTable[[#This Row],[LP Premium]] &gt; 0,SnapshotTable[[#This Row],[LP Exp Date]]-MAX(SnapshotTable[[#This Row],[LP Book Date]], SnapshotTable[[#This Row],[LP Fill Date]]),"")</f>
        <v/>
      </c>
      <c r="BN125" s="355" t="str">
        <f>IF(ISNUMBER( SnapshotTable[[#This Row],[LP Term]]), SnapshotTable[[#This Row],[LP Exp Date]] - MockToday,"")</f>
        <v/>
      </c>
      <c r="BO125" s="161" t="str">
        <f>IF(AND(SnapshotTable[[#This Row],[LP Exp Date]]&gt;0, SnapshotTable[[#This Row],[LP Strike Price]]&gt;0,SnapshotTable[[#This Row],[LP Qty]]&gt;0,SnapshotTable[[#This Row],[LP Book Date]]&gt;0,SnapshotTable[[#This Row],[LP Book Price]]&gt;0,SnapshotTable[[#This Row],[LP Fill Date]]=0),"Y","")</f>
        <v/>
      </c>
      <c r="BP125" s="31" t="str">
        <f>IF(AND(SnapshotTable[[#This Row],[LP No Fill]]&lt;&gt;"Y",SnapshotTable[[#This Row],[LP Contract Value]]&gt;0, SnapshotTable[[#This Row],[LP Qty]]&gt;0), SnapshotTable[[#This Row],[LP Contract Value]]*SnapshotTable[[#This Row],[LP Qty]]*100,"")</f>
        <v/>
      </c>
      <c r="BQ125" s="13"/>
      <c r="BR125" s="5"/>
      <c r="BS125" s="36"/>
      <c r="BT125" s="145"/>
      <c r="BU125" s="13"/>
      <c r="BV125" s="5"/>
      <c r="BW125" s="382" t="b">
        <f>AND(ISNUMBER(SnapshotTable[[#This Row],[SP Exp Date]]), ISNUMBER(SnapshotTable[[#This Row],[SP Strike Price]]), ISNUMBER(SnapshotTable[[#This Row],[SP Qty]]), ISNUMBER(SnapshotTable[[#This Row],[SP Book Date]]), ISNUMBER(SnapshotTable[[#This Row],[SP Book Price]]))</f>
        <v>0</v>
      </c>
      <c r="BX125" s="382" t="b">
        <f>AND(SnapshotTable[[#This Row],[SP Is Booked]], NOT(ISBLANK(SnapshotTable[[#This Row],[SP Fill Date]])))</f>
        <v>0</v>
      </c>
      <c r="BY125" s="33">
        <f>IF(SnapshotTable[[#This Row],[SP Is Booked]], SnapshotTable[[#This Row],[SP Qty]] * SnapshotTable[[#This Row],[SP Book Price]] * 100, 0)</f>
        <v>0</v>
      </c>
      <c r="BZ125" s="339"/>
      <c r="CA125" s="338">
        <f>SnapshotTable[[#This Row],[LP Qty]]</f>
        <v>0</v>
      </c>
      <c r="CB125" s="4" t="str">
        <f>IF(SnapshotTable[[#This Row],[SP Is Booked]], SnapshotTable[[#This Row],[SP Strike Price]] - SnapshotTable[[#This Row],[SP Book Price]], "")</f>
        <v/>
      </c>
      <c r="CC125" s="19" t="str">
        <f>IF(SnapshotTable[[#This Row],[SP Is Booked]],SnapshotTable[[#This Row],[SP Exp Date]]-MAX(SnapshotTable[[#This Row],[SP Book Date]], SnapshotTable[[#This Row],[SP Fill Date]]),"")</f>
        <v/>
      </c>
      <c r="CD125" s="7" t="str">
        <f>IF(SnapshotTable[[#This Row],[SP Is Booked]], SnapshotTable[[#This Row],[SP Book Price]]/SnapshotTable[[#This Row],[SP Strike Price]], "")</f>
        <v/>
      </c>
      <c r="CE125" s="7" t="str">
        <f>IF(ISNUMBER(SnapshotTable[[#This Row],[SP ROO Term]]),SnapshotTable[[#This Row],[SP ROO Term]]*(365/SnapshotTable[[#This Row],[SP Term]]),"")</f>
        <v/>
      </c>
      <c r="CF125" s="221">
        <f>SnapshotTable[[#This Row],[LP Strike Price]] * SnapshotTable[[#This Row],[LP Qty]] * 100</f>
        <v>0</v>
      </c>
      <c r="CG125" s="31">
        <f>IF(ISNUMBER(SnapshotTable[[#This Row],[SP Premium]]), (SnapshotTable[[#This Row],[SP Qty]] * SnapshotTable[[#This Row],[SP Strike Price]]* 100) - SnapshotTable[[#This Row],[LP Protection]], 0)</f>
        <v>0</v>
      </c>
      <c r="CH125" s="7" t="str">
        <f>IF(ISNUMBER(SnapshotTable[[#This Row],[SP Break Even]]),-1 * (SnapshotTable[[#This Row],[SP Break Even]] - SnapshotTable[[#This Row],[Last Price]]) / SnapshotTable[[#This Row],[Last Price]], "")</f>
        <v/>
      </c>
      <c r="CI125" s="31">
        <f>IF(AND(ISNUMBER((SnapshotTable[[#This Row],[SP Potential Spend]])), SnapshotTable[[#This Row],[SP Strike Price]] &gt; SnapshotTable[[#This Row],[Last Price]], SnapshotTable[[#This Row],[SP Is Filled]]), SnapshotTable[[#This Row],[SP Potential Spend]] -  SnapshotTable[[#This Row],[LP Max Value]], 0)</f>
        <v>0</v>
      </c>
      <c r="CJ125" s="229"/>
      <c r="CK125" s="31">
        <f>IF(ISNUMBER(SnapshotTable[[#This Row],[SP Potential Spend]]),IF(ISNUMBER(SnapshotTable[[#This Row],[SP POW]]), SnapshotTable[[#This Row],[SP POW]] * SnapshotTable[[#This Row],[SP Potential Spend]], SnapshotTable[[#This Row],[SP Potential Spend]]), "")</f>
        <v>0</v>
      </c>
      <c r="CL125" s="162">
        <f>IF(NOT(SnapshotTable[[#This Row],[SP Is Filled]]),(SnapshotTable[[#This Row],[SP Qty]] * SnapshotTable[[#This Row],[SP Strike Price]] * 100) - SnapshotTable[[#This Row],[LP Max Value]],"")</f>
        <v>0</v>
      </c>
      <c r="CM125" s="31" t="str">
        <f>IF(SnapshotTable[[#This Row],[SP Actual Spend]]&lt;&gt;0, ((SnapshotTable[[#This Row],[SP Strike Price]]-SnapshotTable[[#This Row],[Last Price]]) *(SnapshotTable[[#This Row],[SP Qty]]*100) - SnapshotTable[[#This Row],[SP Premium]]) * - 1, "")</f>
        <v/>
      </c>
      <c r="CN125" s="76"/>
      <c r="CO125" s="339"/>
      <c r="CP125" s="4" t="str">
        <f>IF(SnapshotTable[[#This Row],[SP Is Filled]], btc_max_buyback_amount(SnapshotTable[[#This Row],[SP Fill Date]],SnapshotTable[[#This Row],[SP Exp Date]], SnapshotTable[[#This Row],[SP Book Price]]),"")</f>
        <v/>
      </c>
      <c r="CQ125" s="76"/>
      <c r="CR1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5" s="153" t="str">
        <f>IF(SnapshotTable[[#This Row],[SP Is Filled]], btc_next_cutoff_date(SnapshotTable[[#This Row],[SP Fill Date]],SnapshotTable[[#This Row],[SP Exp Date]]),"")</f>
        <v/>
      </c>
      <c r="CT125" s="220" t="str" cm="1">
        <f t="array" ref="CT125">IF(SnapshotTable[[#This Row],[SP Is Filled]], btc_should_buy_back(SnapshotTable[[#This Row],[SP Fill Date]], SnapshotTable[[#This Row],[SP Exp Date]], SnapshotTable[[#This Row],[SP Book Price]], SnapshotTable[[#This Row],[SP Current Ask]], MockToday, SnapshotTable[[#This Row],[SP Buyback Override]]),"")</f>
        <v/>
      </c>
      <c r="CU125" s="141"/>
      <c r="CV125" s="220"/>
      <c r="CW125" s="348" t="str">
        <f>IF(ISNUMBER( SnapshotTable[[#This Row],[SP Term]]), SnapshotTable[[#This Row],[SP Exp Date]] - MockToday,"")</f>
        <v/>
      </c>
      <c r="CX125" s="31" t="str">
        <f>IF(SnapshotTable[[#This Row],[SP Is Filled]],SnapshotTable[[#This Row],[SP Buyback Price to Use]] * 100 * SnapshotTable[[#This Row],[SP Qty]], "")</f>
        <v/>
      </c>
      <c r="CY125" s="4" t="str">
        <f>IF(ISNUMBER(SnapshotTable[[#This Row],[SP Strike Price]]), SnapshotTable[[#This Row],[SP Strike Price]] * (1 - SP_MaxLoss_StrikePct), "")</f>
        <v/>
      </c>
      <c r="CZ125" s="31" t="str">
        <f>IF(ISNUMBER(SnapshotTable[[#This Row],[SP Strike  Stop Per Share]]),SnapshotTable[[#This Row],[SP Premium]] - ((SnapshotTable[[#This Row],[SP Strike Price]]-SnapshotTable[[#This Row],[SP Strike  Stop Per Share]]) *(SnapshotTable[[#This Row],[SP Qty]] * 100)),"")</f>
        <v/>
      </c>
      <c r="DA125" s="4" t="str">
        <f>IF(AND(ISNUMBER(SnapshotTable[[#This Row],[SP Premium]]),SnapshotTable[[#This Row],[SP Premium]]&gt;0), SnapshotTable[[#This Row],[SP Book Price]] * (1 + SP_MaxLoss_OptionPct), "")</f>
        <v/>
      </c>
      <c r="DB125" s="31" t="str">
        <f>IF(ISNUMBER(SnapshotTable[[#This Row],[SP Option  Stop Contract]]),(SnapshotTable[[#This Row],[SP Option  Stop Contract]] *(SnapshotTable[[#This Row],[SP Qty]] * 100) - SnapshotTable[[#This Row],[SP Premium]]),"")</f>
        <v/>
      </c>
      <c r="DC125" s="4"/>
      <c r="DD125" s="4"/>
      <c r="DE125" s="4" t="str">
        <f>IF(AND(SnapshotTable[[#This Row],[SP Qty]]&gt;0, SnapshotTable[[#This Row],[SP Stop To Use]]&gt;0),SnapshotTable[[#This Row],[SP Premium]] - ( SnapshotTable[[#This Row],[SP Qty]] * SnapshotTable[[#This Row],[SP Stop To Use]] * 100), "")</f>
        <v/>
      </c>
      <c r="DF125" s="31" t="str">
        <f>IF(AND(SnapshotTable[[#This Row],[SP Qty]]&gt;0,SnapshotTable[[#This Row],[SP Current Ask]]&gt;0), SnapshotTable[[#This Row],[SP Qty]] * SnapshotTable[[#This Row],[SP Current Ask]] * -100, "")</f>
        <v/>
      </c>
      <c r="DG125" s="31" t="str">
        <f>IF(ISNUMBER((SnapshotTable[[#This Row],[SP Total Value]])), SnapshotTable[[#This Row],[SP Premium]] + SnapshotTable[[#This Row],[SP Total Value]], "")</f>
        <v/>
      </c>
      <c r="DH125" s="272" t="str">
        <f>IF(ISNUMBER((SnapshotTable[[#This Row],[SP Total Value]])), SnapshotTable[[#This Row],[SP Gain Loss]] / SnapshotTable[[#This Row],[SP Premium]], "")</f>
        <v/>
      </c>
      <c r="DI125" s="369"/>
      <c r="DJ125" s="136"/>
      <c r="DK125" s="146"/>
      <c r="DL125" s="13"/>
      <c r="DM125" s="13"/>
      <c r="DO125" s="31">
        <f>IF(SnapshotTable[[#This Row],[LC Symbol Count]]=1, SnapshotTable[[#This Row],[LC Qty]] * SnapshotTable[[#This Row],[LC Book Price]] * 100, 0)</f>
        <v>0</v>
      </c>
      <c r="DP125" s="161" t="str">
        <f>IF(AND(SnapshotTable[[#This Row],[LC Exp Date]]&gt;0, SnapshotTable[[#This Row],[LC Strike Price]]&gt;0,SnapshotTable[[#This Row],[LC Qty]]&gt;0,SnapshotTable[[#This Row],[LC Book Date]]&gt;0,SnapshotTable[[#This Row],[LC Book Price]]&gt;0,SnapshotTable[[#This Row],[LC Fill Date]]=0),"Y","")</f>
        <v/>
      </c>
      <c r="DQ125" s="356" t="str">
        <f>IF(SnapshotTable[[#This Row],[LC Premium]] &gt; 0,SnapshotTable[[#This Row],[LC Exp Date]]-MAX(SnapshotTable[[#This Row],[LC Book Date]], SnapshotTable[[#This Row],[LC Fill Date]]),"")</f>
        <v/>
      </c>
      <c r="DR125" s="356" t="str">
        <f>IF(ISNUMBER(SnapshotTable[[#This Row],[LC Term]]), SnapshotTable[[#This Row],[LC Exp Date]] - MockToday, "")</f>
        <v/>
      </c>
      <c r="DS125" s="219" t="str">
        <f>IF(SnapshotTable[[#This Row],[LC Premium]]&gt;0,SnapshotTable[[#This Row],[LC Strike Price]] + SnapshotTable[[#This Row],[LC Book Price]],"")</f>
        <v/>
      </c>
      <c r="DU125" s="9" t="str">
        <f>IF(AND(SnapshotTable[[#This Row],[LC Symbol Count]]&gt;0, SnapshotTable[[#This Row],[LC Contract Value]]&gt;0), SnapshotTable[[#This Row],[LC Contract Value]] * SnapshotTable[[#This Row],[LC Qty]] * 100, "")</f>
        <v/>
      </c>
      <c r="DV125" s="9" t="str">
        <f>IF(AND(ISNUMBER(SnapshotTable[[#This Row],[LC Total Value]]), SnapshotTable[[#This Row],[LC Not Filled]]&lt;&gt;"Y"), SnapshotTable[[#This Row],[LC Total Value]]-SnapshotTable[[#This Row],[LC Premium]],"")</f>
        <v/>
      </c>
      <c r="DW125" s="225" t="str">
        <f>IF(ISNUMBER(SnapshotTable[[#This Row],[LC Actual Gain Loss]]), SnapshotTable[[#This Row],[LC Actual Gain Loss]] / SnapshotTable[[#This Row],[LC Premium]],"")</f>
        <v/>
      </c>
      <c r="DX125" s="269" t="str">
        <f>IF(ISNUMBER(SnapshotTable[[#This Row],[LC Book Price]]),SnapshotTable[[#This Row],[LC Book Price]] * 1.5,"")</f>
        <v/>
      </c>
      <c r="DY125" s="250" t="str">
        <f>IF(SnapshotTable[[#This Row],[LC Premium]]&gt;0, SnapshotTable[[#This Row],[LC Next Target]] * SnapshotTable[[#This Row],[LC Qty]] * 100,"")</f>
        <v/>
      </c>
      <c r="DZ125" s="250" t="str">
        <f>IF(ISNUMBER(SnapshotTable[[#This Row],[LC Target Gross]]), SnapshotTable[[#This Row],[LC Target Gross]] - SnapshotTable[[#This Row],[LC Premium]], "")</f>
        <v/>
      </c>
      <c r="EA125" s="283" t="str">
        <f>IF(ISNUMBER(SnapshotTable[[#This Row],[LC Target Gain Loss]]), SnapshotTable[[#This Row],[LC Target Gain Loss]]/SnapshotTable[[#This Row],[LC Premium]], "")</f>
        <v/>
      </c>
      <c r="EB125" s="247"/>
      <c r="EC125" s="268" t="str">
        <f>IF(SnapshotTable[[#This Row],[LC Premium]]&gt;0, SnapshotTable[[#This Row],[LC Book Price]] * (1 - LC_StopLoss_Pct),"")</f>
        <v/>
      </c>
      <c r="ED125" s="269"/>
      <c r="EE125" s="268" t="str">
        <f>IF(ISNUMBER(SnapshotTable[[#This Row],[LC Contract Value]]),IF(ISNUMBER(SnapshotTable[[#This Row],[LC Stop Loss Override]]), SnapshotTable[[#This Row],[LC Stop Loss Override]],SnapshotTable[[#This Row],[LC Stop Loss Calc Target]]),"")</f>
        <v/>
      </c>
      <c r="EF125" s="31" t="str">
        <f>IF(ISNUMBER(SnapshotTable[[#This Row],[LC Stop  To Use]]), (SnapshotTable[[#This Row],[LC Stop  To Use]] * SnapshotTable[[#This Row],[LC Qty]] * 100),"")</f>
        <v/>
      </c>
      <c r="EG125" s="9" t="str">
        <f>IF(ISNUMBER(SnapshotTable[[#This Row],[LC Total Value]]),SnapshotTable[[#This Row],[LC Stop Loss Amount]] - SnapshotTable[[#This Row],[LC Premium]],"")</f>
        <v/>
      </c>
      <c r="EH125" s="9">
        <f>IF(ISNUMBER(SnapshotTable[[#This Row],[LC Premium]]), SnapshotTable[[#This Row],[LC Qty]] * 100 * SnapshotTable[[#This Row],[LC Strike Price]], "")</f>
        <v>0</v>
      </c>
      <c r="EI125" s="225" t="str">
        <f>IF(AND(ISNUMBER(SnapshotTable[[#This Row],[LC Total Value]]),SnapshotTable[[#This Row],[LC Total Value]]&gt;0),SnapshotTable[[#This Row],[LC Stop Gain Loss]]  / SnapshotTable[[#This Row],[LC Premium]],"")</f>
        <v/>
      </c>
      <c r="EJ125" s="35">
        <f>IF(ISNUMBER(SnapshotTable[[#This Row],[Equity Shares]]),TRUNC(SnapshotTable[[#This Row],[Equity Shares]] / 100),0) + SnapshotTable[[#This Row],[LC Qty]]</f>
        <v>0</v>
      </c>
      <c r="EK125" s="145"/>
      <c r="EL125" s="136"/>
      <c r="EM125" s="146"/>
      <c r="EN125" s="145"/>
      <c r="EO125" s="145"/>
      <c r="EP125" s="136"/>
      <c r="EQ125" s="382" t="b">
        <f>AND(ISNUMBER(SnapshotTable[[#This Row],[SC Exp Date]]), ISNUMBER(SnapshotTable[[#This Row],[SC Strike Price]]), ISNUMBER(SnapshotTable[[#This Row],[SC Qty]]), ISNUMBER(SnapshotTable[[#This Row],[SC Book Date]]), ISNUMBER(SnapshotTable[[#This Row],[SC Book Price]]))</f>
        <v>0</v>
      </c>
      <c r="ER125" s="382" t="b">
        <f>AND(SnapshotTable[[#This Row],[SC Is Booked]], NOT(ISBLANK(SnapshotTable[[#This Row],[SC Fill Date]])))</f>
        <v>0</v>
      </c>
      <c r="ES125" s="340"/>
      <c r="ET125" s="34" t="str">
        <f>IF(AND(ISNUMBER(SnapshotTable[[#This Row],[SC Exp Date]]), ISNUMBER(SnapshotTable[[#This Row],[SC Book Date]])), SnapshotTable[[#This Row],[SC Exp Date]] - MAX(SnapshotTable[[#This Row],[SC Book Date]], SnapshotTable[[#This Row],[SC Fill Date]]) + 1, "")</f>
        <v/>
      </c>
      <c r="EU125" s="34" t="str">
        <f>IF(ISNUMBER(SnapshotTable[[#This Row],[SC Term]]), SnapshotTable[[#This Row],[SC Exp Date]]- MockToday, "")</f>
        <v/>
      </c>
      <c r="EV125" s="31">
        <f>IF(SnapshotTable[[#This Row],[SC Is Booked]], SnapshotTable[[#This Row],[SC Qty]] * SnapshotTable[[#This Row],[SC Book Price]] * 100, 0)</f>
        <v>0</v>
      </c>
      <c r="EW125" s="4" t="str">
        <f>IF(AND(ISNUMBER(SnapshotTable[[#This Row],[Last Price]]), ISNUMBER( SnapshotTable[[#This Row],[SC Book Price]])), SnapshotTable[[#This Row],[Last Price]] - SnapshotTable[[#This Row],[SC Book Price]],"")</f>
        <v/>
      </c>
      <c r="EX125" s="219" t="str">
        <f>IF(SnapshotTable[[#This Row],[SC Is Booked]],IF(SnapshotTable[[#This Row],[SC Intrinsic Value]] &gt; 0, SnapshotTable[[#This Row],[SC Strike Price]], SnapshotTable[[#This Row],[Last Price]]), "")</f>
        <v/>
      </c>
      <c r="EY125" s="4">
        <f>IF(SnapshotTable[[#This Row],[SC Is Booked]], (MinimumPremiumRequired * SnapshotTable[[#This Row],[SC Basis]] * SnapshotTable[[#This Row],[SC Term]]), 0)</f>
        <v>0</v>
      </c>
      <c r="EZ125" s="268"/>
      <c r="FA125" s="204"/>
      <c r="FB125" s="340"/>
      <c r="FC125" s="4">
        <f>IF(SnapshotTable[[#This Row],[SC Is Filled]], btc_max_buyback_amount(SnapshotTable[[#This Row],[SC Fill Date]],SnapshotTable[[#This Row],[SC Exp Date]], SnapshotTable[[#This Row],[SC Book Price]]),0)</f>
        <v>0</v>
      </c>
      <c r="FD125" s="5"/>
      <c r="FE125" s="142" t="str">
        <f>IF(SnapshotTable[[#This Row],[SC Is Filled]], btc_next_cutoff_date(SnapshotTable[[#This Row],[SC Fill Date]],SnapshotTable[[#This Row],[SC Exp Date]]),"")</f>
        <v/>
      </c>
      <c r="FF125" s="4" t="str" cm="1">
        <f t="array" ref="FF125">IF(SnapshotTable[[#This Row],[SC Is Filled]], btc_should_buy_back(SnapshotTable[[#This Row],[SC Fill Date]], SnapshotTable[[#This Row],[SC Exp Date]], SnapshotTable[[#This Row],[SC Book Price]], SnapshotTable[[#This Row],[SC Current Ask]], MockToday, SnapshotTable[[#This Row],[SC Buyback Override]]),"")</f>
        <v/>
      </c>
      <c r="FG125" s="4">
        <f>IF(SnapshotTable[[#This Row],[SC Is Filled]], MAX(0,SnapshotTable[[#This Row],[Last Price]]  - SnapshotTable[[#This Row],[SC Strike Price]]), 0)</f>
        <v>0</v>
      </c>
      <c r="FH125" s="352">
        <f>IF(SnapshotTable[[#This Row],[SC Is Filled]], IF(ISNUMBER(SnapshotTable[[#This Row],[SC Current Ask]]), SnapshotTable[[#This Row],[SC Current Ask]], SnapshotTable[[#This Row],[SC Book Price]]) - SnapshotTable[[#This Row],[SC Intrinsic Value]], 0)</f>
        <v>0</v>
      </c>
      <c r="FI125" s="141"/>
      <c r="FJ125" s="32" t="str">
        <f>IF(SnapshotTable[[#This Row],[SC Is Filled]],100 * SnapshotTable[[#This Row],[SC Qty]] * IF(ISNUMBER(SnapshotTable[[#This Row],[SC Buyback Override]]), SnapshotTable[[#This Row],[SC Buyback Override]], SnapshotTable[[#This Row],[SC Current Ask]]), "")</f>
        <v/>
      </c>
      <c r="FK125" s="235" t="str">
        <f>IF(SnapshotTable[[#This Row],[SC Time Val]]&gt;0, SnapshotTable[[#This Row],[SC Time Val]] / SnapshotTable[[#This Row],[Last Price]],"")</f>
        <v/>
      </c>
      <c r="FL125" s="280" t="str">
        <f>IF(SnapshotTable[[#This Row],[SC Is Booked]], ((SnapshotTable[[#This Row],[Last Price]] -SnapshotTable[[#This Row],[SC Strike Price]]) / SnapshotTable[[#This Row],[Last Price]]) * -1, "")</f>
        <v/>
      </c>
      <c r="FM125" s="155" t="str">
        <f>IF(SnapshotTable[[#This Row],[SC Is Booked]],  (SnapshotTable[[#This Row],[SC Qty]] * 100 * SnapshotTable[[#This Row],[SC Strike Price]]) - SnapshotTable[[#This Row],[SC Current Ask]], "")</f>
        <v/>
      </c>
      <c r="FN1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5" s="31" t="str">
        <f>IF(AND(ISNUMBER(SnapshotTable[[#This Row],[SC Exercise Gross]]), ISNUMBER(SnapshotTable[[#This Row],[Equity Basis Per Share]] )), SnapshotTable[[#This Row],[SC Exercise Gross]] - SnapshotTable[[#This Row],[Equity Basis Total]] +  SnapshotTable[[#This Row],[SC Premium]], "")</f>
        <v/>
      </c>
      <c r="FP125" s="5" t="str">
        <f>IF(ISNUMBER(SnapshotTable[[#This Row],[SC Exercise Gross]]), (SnapshotTable[[#This Row],[SC Exercise Gross]]) / (SnapshotTable[[#This Row],[SC Qty]] * 100), "")</f>
        <v/>
      </c>
      <c r="FQ125" s="27" t="str">
        <f>IF(SnapshotTable[[#This Row],[SC Is Booked]],SnapshotTable[[#This Row],[SC Time Val]] /SnapshotTable[[#This Row],[SC Basis]], "")</f>
        <v/>
      </c>
      <c r="FR125" s="27" t="str" cm="1">
        <f t="array" ref="FR125">IF(AND(ISNUMBER(SnapshotTable[[#This Row],[SC Term]]),ISNUMBER(SnapshotTable[[#This Row],[SC Simple ROO]])), EllmanAnnualize(SnapshotTable[[#This Row],[SC DTE]], SnapshotTable[[#This Row],[SC Simple ROO]] ),"")</f>
        <v/>
      </c>
      <c r="FS125" s="4">
        <f>IF(SnapshotTable[[#This Row],[SC Strike Price]] &gt; SnapshotTable[[#This Row],[Last Price]], SnapshotTable[[#This Row],[SC Strike Price]] - SnapshotTable[[#This Row],[Last Price]],0)</f>
        <v>0</v>
      </c>
      <c r="FT125" s="27" t="str">
        <f>IF(AND(ISNUMBER(SnapshotTable[[#This Row],[SC Upside Potential]]), SnapshotTable[[#This Row],[SC Upside Potential]] &gt; 0),(SnapshotTable[[#This Row],[SC Upside Potential]]/ SnapshotTable[[#This Row],[ACB]]),"")</f>
        <v/>
      </c>
      <c r="FU125" s="304" t="str">
        <f>IF(SnapshotTable[[#This Row],[SC Intrinsic Value]] &gt; 0,SnapshotTable[[#This Row],[SC Intrinsic Value]],"")</f>
        <v/>
      </c>
      <c r="FV125" s="27" t="str">
        <f>IF(AND( ISNUMBER( SnapshotTable[[#This Row],[ACB]]),ISNUMBER(SnapshotTable[[#This Row],[SC Downside Protect]])),SnapshotTable[[#This Row],[SC Downside Protect]] / SnapshotTable[[#This Row],[ACB]],"")</f>
        <v/>
      </c>
      <c r="FW125" s="221" t="str">
        <f>IF(AND(ISNUMBER(SnapshotTable[[#This Row],[SC Simple ROO]]),SnapshotTable[[#This Row],[SC Simple ROO]] &gt; 0), SnapshotTable[[#This Row],[SC Premium]] + (SnapshotTable[[#This Row],[SC Qty]] * SnapshotTable[[#This Row],[SC Upside Potential]]), "")</f>
        <v/>
      </c>
      <c r="FX125" s="280" t="str" cm="1">
        <f t="array" ref="FX125">IF(ISNUMBER(SnapshotTable[[#This Row],[SC Max Dollars]]), annualize(SnapshotTable[[#This Row],[SC Term]],(SnapshotTable[[#This Row],[SC Max Dollars]]/SnapshotTable[[#This Row],[SC Basis]])),"")</f>
        <v/>
      </c>
      <c r="FY125" s="221" t="str">
        <f>IF(AND(SnapshotTable[[#This Row],[SC Qty]]&gt;0,SnapshotTable[[#This Row],[SC Current Ask]]&gt;0), SnapshotTable[[#This Row],[SC Qty]] * SnapshotTable[[#This Row],[SC Current Ask]] * -100, "")</f>
        <v/>
      </c>
      <c r="FZ125" s="31" t="str">
        <f>IF(ISNUMBER((SnapshotTable[[#This Row],[SC Current Value]])), SnapshotTable[[#This Row],[SC Premium]] + SnapshotTable[[#This Row],[SC Current Value]], "")</f>
        <v/>
      </c>
      <c r="GA125" s="272" t="str">
        <f>IFERROR( IF(ISNUMBER((SnapshotTable[[#This Row],[SC Current Value]])), SnapshotTable[[#This Row],[SC Gain Loss]] / SnapshotTable[[#This Row],[SC Premium]], ""), "")</f>
        <v/>
      </c>
      <c r="GB125" s="42">
        <f>SnapshotTable[[#This Row],[Equity Shares]] * SaleSharesToConsiderPercentage</f>
        <v>0</v>
      </c>
      <c r="GC125" s="40">
        <f>SnapshotTable[[#This Row],[Long Term Target]] * SellingPriceToConsiderBasedOnTargetPercentage</f>
        <v>85.5</v>
      </c>
      <c r="GD125" s="40">
        <f>SnapshotTable[[#This Row],[Last Price]] * (1+ SellingPriceToConsiderBasedOnTargetPercentage)</f>
        <v>234.46799999999999</v>
      </c>
      <c r="GE125" s="41"/>
      <c r="GF125" s="40"/>
      <c r="GG125" s="31">
        <f>SnapshotTable[[#This Row],[Booked Sale Shares]] * SnapshotTable[[#This Row],[Booked Sale Price]]</f>
        <v>0</v>
      </c>
      <c r="GH125" s="31" t="str">
        <f>IF(SnapshotTable[[#This Row],[Equity Basis Total]] &gt; 0, SnapshotTable[[#This Row],[Equity Basis Per Share]] * SnapshotTable[[#This Row],[Booked Sale Shares]], "")</f>
        <v/>
      </c>
      <c r="GI125" s="31">
        <f>IF(SnapshotTable[[#This Row],[Sale Proceeds]]&gt;0, SnapshotTable[[#This Row],[Sale Proceeds]] - SnapshotTable[[#This Row],[Sale Basis]], 0)</f>
        <v>0</v>
      </c>
      <c r="GJ125" s="27" t="str">
        <f>IF(SnapshotTable[[#This Row],[Sale G/L]]&gt;0, SnapshotTable[[#This Row],[Sale G/L]] / SnapshotTable[[#This Row],[Sale Basis]], IF(ISNUMBER(SnapshotTable[[#This Row],[SC Exercise P&amp;L (TAX)]]), SnapshotTable[[#This Row],[SC Exercise P&amp;L (TAX)]] / SnapshotTable[[#This Row],[SC Basis]], ""))</f>
        <v/>
      </c>
      <c r="GK125" s="27" t="s">
        <v>561</v>
      </c>
      <c r="GL125" s="43" t="str">
        <f>IF(AND(SnapshotTable[[#This Row],[LP Exp Date]]&gt;0,SnapshotTable[[#This Row],[LP Strike Price]]&gt;0), [1]!ToOptionSymbol(SnapshotTable[[#This Row],[Symbol]], SnapshotTable[[#This Row],[LP Strike Price]],SnapshotTable[[#This Row],[LP Exp Date]],1), "")</f>
        <v/>
      </c>
      <c r="GM125" s="30" t="str">
        <f>IF(LEN(SnapshotTable[[#This Row],[LP Symbol]])&gt;0, 1, "")</f>
        <v/>
      </c>
      <c r="GN125" s="43" t="str">
        <f>IF(AND(SnapshotTable[[#This Row],[SP Exp Date]]&gt;0,SnapshotTable[[#This Row],[SP Strike Price]]&gt;0), [1]!ToOptionSymbol(SnapshotTable[[#This Row],[Symbol]], SnapshotTable[[#This Row],[SP Strike Price]],SnapshotTable[[#This Row],[SP Exp Date]],1), "")</f>
        <v/>
      </c>
      <c r="GO125" s="30" t="str">
        <f>IF(LEN(SnapshotTable[[#This Row],[SP Symbol]])&gt;0, 1, "")</f>
        <v/>
      </c>
      <c r="GP125" s="43" t="str">
        <f>IF(AND(SnapshotTable[[#This Row],[LC Exp Date]]&gt;0,SnapshotTable[[#This Row],[LC Strike Price]]&gt;0), [1]!ToOptionSymbol(SnapshotTable[[#This Row],[Symbol]], SnapshotTable[[#This Row],[LC Strike Price]],SnapshotTable[[#This Row],[LC Exp Date]],0), "")</f>
        <v/>
      </c>
      <c r="GQ125" s="30" t="str">
        <f>IF(LEN(SnapshotTable[[#This Row],[LC Symbol]])&gt;0, 1, "")</f>
        <v/>
      </c>
      <c r="GR125" s="43" t="str">
        <f>IF(AND(SnapshotTable[[#This Row],[SC Exp Date]]&gt;0,SnapshotTable[[#This Row],[SC Strike Price]]&gt;0), [1]!ToOptionSymbol(SnapshotTable[[#This Row],[Symbol]], SnapshotTable[[#This Row],[SC Strike Price]],SnapshotTable[[#This Row],[SC Exp Date]],0), "")</f>
        <v/>
      </c>
      <c r="GS125" s="30" t="str">
        <f>IF(LEN(SnapshotTable[[#This Row],[SC Symbol]])&gt;0, 1, "")</f>
        <v/>
      </c>
      <c r="GT125" s="29" t="str">
        <f>IF(COUNT(SnapshotTable[[#This Row],[LP Symbol Count]],SnapshotTable[[#This Row],[SP Symbol Count]],SnapshotTable[[#This Row],[LC Symbol Count]],SnapshotTable[[#This Row],[SC Symbol Count]])&gt;0, "Y", "")</f>
        <v/>
      </c>
      <c r="GU1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5" s="216">
        <f>MAX(SnapshotTable[[#This Row],[Equity Basis Total]],SnapshotTable[[#This Row],[Equity Value]]) + (SnapshotTable[[#This Row],[SP Potential Spend]]- SnapshotTable[[#This Row],[SP Premium]] + SnapshotTable[[#This Row],[LP Premium]])+ (SnapshotTable[[#This Row],[LC Premium]] - SnapshotTable[[#This Row],[SC Premium]])</f>
        <v>0</v>
      </c>
      <c r="GW125" s="137" t="str">
        <f>IF(AND(SnapshotTable[[#This Row],[Exposure]] &lt;&gt; 0),SnapshotTable[[#This Row],[Exposure]] / SnapshotTable[[#Totals],[Exposure]], "")</f>
        <v/>
      </c>
      <c r="HE125" s="253"/>
      <c r="HF125" s="253"/>
      <c r="HK125" s="1"/>
      <c r="HL125" s="1"/>
      <c r="HM125" s="1"/>
      <c r="HN125" s="1"/>
      <c r="HO125" s="1"/>
      <c r="HP125" s="1"/>
    </row>
    <row r="126" spans="2:224" ht="12.75" hidden="1" customHeight="1" x14ac:dyDescent="0.25">
      <c r="B126" s="12" t="s">
        <v>145</v>
      </c>
      <c r="C126" s="385">
        <v>179.14</v>
      </c>
      <c r="D126" s="200"/>
      <c r="E126" s="39">
        <f>SnapshotTable[[#This Row],[Last Price]]*(1 -CrashDiscount)</f>
        <v>152.26899999999998</v>
      </c>
      <c r="F126" s="26" t="s">
        <v>17</v>
      </c>
      <c r="G126" s="26" t="s">
        <v>13</v>
      </c>
      <c r="H126" s="147"/>
      <c r="I126" s="186">
        <v>44763.25</v>
      </c>
      <c r="J126" s="187">
        <v>44763.25</v>
      </c>
      <c r="K126" s="188"/>
      <c r="L126" s="297"/>
      <c r="M126" s="138"/>
      <c r="N126" s="138" t="b">
        <v>1</v>
      </c>
      <c r="O126" s="138"/>
      <c r="P126" s="22"/>
      <c r="Q126" s="25"/>
      <c r="R126" s="4" t="str">
        <f>IF(SnapshotTable[[#This Row],[Equity Basis Total]] &gt; 0, SnapshotTable[[#This Row],[Equity Basis Total]] / SnapshotTable[[#This Row],[Equity Shares]], "")</f>
        <v/>
      </c>
      <c r="S126" s="254">
        <f>SnapshotTable[[#This Row],[Last Price]] * SnapshotTable[[#This Row],[Equity Shares]]</f>
        <v>0</v>
      </c>
      <c r="T126" s="254">
        <f>SnapshotTable[[#This Row],[Equity Value]] - SnapshotTable[[#This Row],[Equity Basis Total]]</f>
        <v>0</v>
      </c>
      <c r="U126" s="255" t="str">
        <f>IF(SnapshotTable[[#This Row],[Equity Basis Total]] &gt; 0, SnapshotTable[[#This Row],[Equity G/L]] / SnapshotTable[[#This Row],[Equity Basis Total]], "")</f>
        <v/>
      </c>
      <c r="V126" s="253"/>
      <c r="W126" s="253"/>
      <c r="X126" s="4" t="str">
        <f>IF(AND(ISNUMBER(SnapshotTable[[#This Row],[Equity Basis Per Share]]),ISNUMBER(SnapshotTable[[#This Row],[Equity Target]])),SnapshotTable[[#This Row],[Equity Target]]-SnapshotTable[[#This Row],[Equity Basis Per Share]],"")</f>
        <v/>
      </c>
      <c r="Y126" s="4" t="str">
        <f>IF(AND(ISNUMBER(SnapshotTable[[#This Row],[Equity Basis Per Share]]),ISNUMBER(SnapshotTable[[#This Row],[Equity Stop Loss]])),SnapshotTable[[#This Row],[Equity Stop Loss]]-SnapshotTable[[#This Row],[Equity Basis Per Share]],"")</f>
        <v/>
      </c>
      <c r="Z126" s="260" t="str">
        <f>IFERROR( TEXT(SnapshotTable[[#This Row],[Equity Max Gain Per Share]] /ABS( SnapshotTable[[#This Row],[Equity Max Loss Per Share]]),"0.0 " ) &amp; " : 1", "")</f>
        <v/>
      </c>
      <c r="AA126" s="31" t="str">
        <f>IF(ISNUMBER(SnapshotTable[[#This Row],[Equity Max Gain Per Share]]),SnapshotTable[[#This Row],[Equity Max Gain Per Share]] * SnapshotTable[[#This Row],[Equity Shares]],"")</f>
        <v/>
      </c>
      <c r="AB126" s="31" t="str">
        <f>IF(ISNUMBER(SnapshotTable[[#This Row],[Equity Max Loss Per Share]]),SnapshotTable[[#This Row],[Equity Max Loss Per Share]] * SnapshotTable[[#This Row],[Equity Shares]],"")</f>
        <v/>
      </c>
      <c r="AC126" s="148">
        <v>0.56000000000000005</v>
      </c>
      <c r="AD126" s="149">
        <v>43036</v>
      </c>
      <c r="AE126" s="31">
        <f>(SnapshotTable[[#This Row],[Annual Dividend Per Share]] / 4) * SnapshotTable[[#This Row],[Equity Shares]]</f>
        <v>0</v>
      </c>
      <c r="AF126" s="31">
        <f>SnapshotTable[[#This Row],[Quarterly Div $]] * 4</f>
        <v>0</v>
      </c>
      <c r="AG126" s="7">
        <f>IF(SnapshotTable[[#This Row],[Annual Dividend Per Share]]&gt;0, SnapshotTable[[#This Row],[Annual Dividend Per Share]]  / SnapshotTable[[#This Row],[Last Price]], 0)</f>
        <v>3.1260466674109641E-3</v>
      </c>
      <c r="AH126" s="149">
        <v>43278</v>
      </c>
      <c r="AI126" s="5">
        <v>118</v>
      </c>
      <c r="AJ126" s="136">
        <v>154.54</v>
      </c>
      <c r="AK126" s="150">
        <f>IF(ISNUMBER( SnapshotTable[[#This Row],[EBF Target]]),(SnapshotTable[[#This Row],[EBF Target]] - SnapshotTable[[#This Row],[Last Price]]) / SnapshotTable[[#This Row],[Last Price]], "")</f>
        <v>-0.3412973093669755</v>
      </c>
      <c r="AL126" s="150" t="str">
        <f>IF(AND(SnapshotTable[[#This Row],[Equity Basis Total]] &gt; 0,ISNUMBER( SnapshotTable[[#This Row],[Long Term Target]])), SnapshotTable[[#This Row],[From Basis $]] / SnapshotTable[[#This Row],[Equity Basis Total]], "")</f>
        <v/>
      </c>
      <c r="AM126" s="9">
        <f>IF( AND(SnapshotTable[[#This Row],[Equity Shares]] &gt;0,ISNUMBER( SnapshotTable[[#This Row],[Long Term Target]])),(SnapshotTable[[#This Row],[Equity Shares]] * SnapshotTable[[#This Row],[Long Term Target]]) - SnapshotTable[[#This Row],[Equity Basis Total]],0)</f>
        <v>0</v>
      </c>
      <c r="AN126" s="9">
        <f>IF( AND(SnapshotTable[[#This Row],[Equity Shares]] &gt;0,ISNUMBER( SnapshotTable[[#This Row],[Long Term Target]])),(SnapshotTable[[#This Row],[Equity Shares]]*SnapshotTable[[#This Row],[Long Term Target]]) - SnapshotTable[[#This Row],[Equity Value]],0)</f>
        <v>0</v>
      </c>
      <c r="AO126" s="150">
        <f>IF(AND(ISNUMBER( SnapshotTable[[#This Row],[Long Term Target]]), ISNUMBER(SnapshotTable[[#This Row],[Last Price]])),(SnapshotTable[[#This Row],[Long Term Target]] - SnapshotTable[[#This Row],[Last Price]]) / SnapshotTable[[#This Row],[Last Price]], "")</f>
        <v>-0.13732276431841017</v>
      </c>
      <c r="AP126" s="5"/>
      <c r="AQ126" s="38"/>
      <c r="AR126" s="5"/>
      <c r="AS126" s="38"/>
      <c r="AT126" s="144"/>
      <c r="AU126" s="185" t="str">
        <f>IF(OR(SnapshotTable[[#This Row],[LP No Fill]]="Y",SnapshotTable[[#This Row],[SP Is Filled]],SnapshotTable[[#This Row],[LC Not Filled]]="Y",SnapshotTable[[#This Row],[SC Is Filled]]),"Y","")</f>
        <v/>
      </c>
      <c r="AV126" s="205"/>
      <c r="AW126" s="211"/>
      <c r="AX126" s="206"/>
      <c r="AY126" s="205" t="str">
        <f>IF(SnapshotTable[[#This Row],[Implied Move]]&gt;0, SnapshotTable[[#This Row],[Last Price]]-SnapshotTable[[#This Row],[Implied Move]],"")</f>
        <v/>
      </c>
      <c r="AZ126" s="205" t="str">
        <f>IF(SnapshotTable[[#This Row],[Implied Move]]&gt;0, SnapshotTable[[#This Row],[Last Price]] + SnapshotTable[[#This Row],[Implied Move]],"")</f>
        <v/>
      </c>
      <c r="BA126" s="302"/>
      <c r="BB126" s="318"/>
      <c r="BC1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6" s="321"/>
      <c r="BE126" s="5"/>
      <c r="BF126" s="14"/>
      <c r="BG126" s="13"/>
      <c r="BH126" s="13"/>
      <c r="BI126" s="5"/>
      <c r="BJ126" s="134">
        <f>IF(SnapshotTable[[#This Row],[LP Qty]] &gt; 0, SnapshotTable[[#This Row],[LP Qty]] * SnapshotTable[[#This Row],[LP Book Price]] * 100,0)</f>
        <v>0</v>
      </c>
      <c r="BK126" s="134">
        <f>IF(SnapshotTable[[#This Row],[LP Premium]] &gt; 0, SnapshotTable[[#This Row],[LP Qty]] * SnapshotTable[[#This Row],[LP Strike Price]] * 100,0)</f>
        <v>0</v>
      </c>
      <c r="BL126" s="152"/>
      <c r="BM126" s="355" t="str">
        <f>IF(SnapshotTable[[#This Row],[LP Premium]] &gt; 0,SnapshotTable[[#This Row],[LP Exp Date]]-MAX(SnapshotTable[[#This Row],[LP Book Date]], SnapshotTable[[#This Row],[LP Fill Date]]),"")</f>
        <v/>
      </c>
      <c r="BN126" s="355" t="str">
        <f>IF(ISNUMBER( SnapshotTable[[#This Row],[LP Term]]), SnapshotTable[[#This Row],[LP Exp Date]] - MockToday,"")</f>
        <v/>
      </c>
      <c r="BO126" s="161" t="str">
        <f>IF(AND(SnapshotTable[[#This Row],[LP Exp Date]]&gt;0, SnapshotTable[[#This Row],[LP Strike Price]]&gt;0,SnapshotTable[[#This Row],[LP Qty]]&gt;0,SnapshotTable[[#This Row],[LP Book Date]]&gt;0,SnapshotTable[[#This Row],[LP Book Price]]&gt;0,SnapshotTable[[#This Row],[LP Fill Date]]=0),"Y","")</f>
        <v/>
      </c>
      <c r="BP126" s="31" t="str">
        <f>IF(AND(SnapshotTable[[#This Row],[LP No Fill]]&lt;&gt;"Y",SnapshotTable[[#This Row],[LP Contract Value]]&gt;0, SnapshotTable[[#This Row],[LP Qty]]&gt;0), SnapshotTable[[#This Row],[LP Contract Value]]*SnapshotTable[[#This Row],[LP Qty]]*100,"")</f>
        <v/>
      </c>
      <c r="BQ126" s="13"/>
      <c r="BR126" s="5"/>
      <c r="BS126" s="36"/>
      <c r="BT126" s="145"/>
      <c r="BU126" s="13"/>
      <c r="BV126" s="5"/>
      <c r="BW126" s="382" t="b">
        <f>AND(ISNUMBER(SnapshotTable[[#This Row],[SP Exp Date]]), ISNUMBER(SnapshotTable[[#This Row],[SP Strike Price]]), ISNUMBER(SnapshotTable[[#This Row],[SP Qty]]), ISNUMBER(SnapshotTable[[#This Row],[SP Book Date]]), ISNUMBER(SnapshotTable[[#This Row],[SP Book Price]]))</f>
        <v>0</v>
      </c>
      <c r="BX126" s="382" t="b">
        <f>AND(SnapshotTable[[#This Row],[SP Is Booked]], NOT(ISBLANK(SnapshotTable[[#This Row],[SP Fill Date]])))</f>
        <v>0</v>
      </c>
      <c r="BY126" s="33">
        <f>IF(SnapshotTable[[#This Row],[SP Is Booked]], SnapshotTable[[#This Row],[SP Qty]] * SnapshotTable[[#This Row],[SP Book Price]] * 100, 0)</f>
        <v>0</v>
      </c>
      <c r="BZ126" s="339"/>
      <c r="CA126" s="338">
        <f>SnapshotTable[[#This Row],[LP Qty]]</f>
        <v>0</v>
      </c>
      <c r="CB126" s="4" t="str">
        <f>IF(SnapshotTable[[#This Row],[SP Is Booked]], SnapshotTable[[#This Row],[SP Strike Price]] - SnapshotTable[[#This Row],[SP Book Price]], "")</f>
        <v/>
      </c>
      <c r="CC126" s="19" t="str">
        <f>IF(SnapshotTable[[#This Row],[SP Is Booked]],SnapshotTable[[#This Row],[SP Exp Date]]-MAX(SnapshotTable[[#This Row],[SP Book Date]], SnapshotTable[[#This Row],[SP Fill Date]]),"")</f>
        <v/>
      </c>
      <c r="CD126" s="7" t="str">
        <f>IF(SnapshotTable[[#This Row],[SP Is Booked]], SnapshotTable[[#This Row],[SP Book Price]]/SnapshotTable[[#This Row],[SP Strike Price]], "")</f>
        <v/>
      </c>
      <c r="CE126" s="7" t="str">
        <f>IF(ISNUMBER(SnapshotTable[[#This Row],[SP ROO Term]]),SnapshotTable[[#This Row],[SP ROO Term]]*(365/SnapshotTable[[#This Row],[SP Term]]),"")</f>
        <v/>
      </c>
      <c r="CF126" s="221">
        <f>SnapshotTable[[#This Row],[LP Strike Price]] * SnapshotTable[[#This Row],[LP Qty]] * 100</f>
        <v>0</v>
      </c>
      <c r="CG126" s="31">
        <f>IF(ISNUMBER(SnapshotTable[[#This Row],[SP Premium]]), (SnapshotTable[[#This Row],[SP Qty]] * SnapshotTable[[#This Row],[SP Strike Price]]* 100) - SnapshotTable[[#This Row],[LP Protection]], 0)</f>
        <v>0</v>
      </c>
      <c r="CH126" s="7" t="str">
        <f>IF(ISNUMBER(SnapshotTable[[#This Row],[SP Break Even]]),-1 * (SnapshotTable[[#This Row],[SP Break Even]] - SnapshotTable[[#This Row],[Last Price]]) / SnapshotTable[[#This Row],[Last Price]], "")</f>
        <v/>
      </c>
      <c r="CI126" s="31">
        <f>IF(AND(ISNUMBER((SnapshotTable[[#This Row],[SP Potential Spend]])), SnapshotTable[[#This Row],[SP Strike Price]] &gt; SnapshotTable[[#This Row],[Last Price]], SnapshotTable[[#This Row],[SP Is Filled]]), SnapshotTable[[#This Row],[SP Potential Spend]] -  SnapshotTable[[#This Row],[LP Max Value]], 0)</f>
        <v>0</v>
      </c>
      <c r="CJ126" s="229"/>
      <c r="CK126" s="31">
        <f>IF(ISNUMBER(SnapshotTable[[#This Row],[SP Potential Spend]]),IF(ISNUMBER(SnapshotTable[[#This Row],[SP POW]]), SnapshotTable[[#This Row],[SP POW]] * SnapshotTable[[#This Row],[SP Potential Spend]], SnapshotTable[[#This Row],[SP Potential Spend]]), "")</f>
        <v>0</v>
      </c>
      <c r="CL126" s="162">
        <f>IF(NOT(SnapshotTable[[#This Row],[SP Is Filled]]),(SnapshotTable[[#This Row],[SP Qty]] * SnapshotTable[[#This Row],[SP Strike Price]] * 100) - SnapshotTable[[#This Row],[LP Max Value]],"")</f>
        <v>0</v>
      </c>
      <c r="CM126" s="31" t="str">
        <f>IF(SnapshotTable[[#This Row],[SP Actual Spend]]&lt;&gt;0, ((SnapshotTable[[#This Row],[SP Strike Price]]-SnapshotTable[[#This Row],[Last Price]]) *(SnapshotTable[[#This Row],[SP Qty]]*100) - SnapshotTable[[#This Row],[SP Premium]]) * - 1, "")</f>
        <v/>
      </c>
      <c r="CN126" s="76"/>
      <c r="CO126" s="339"/>
      <c r="CP126" s="4" t="str">
        <f>IF(SnapshotTable[[#This Row],[SP Is Filled]], btc_max_buyback_amount(SnapshotTable[[#This Row],[SP Fill Date]],SnapshotTable[[#This Row],[SP Exp Date]], SnapshotTable[[#This Row],[SP Book Price]]),"")</f>
        <v/>
      </c>
      <c r="CQ126" s="76"/>
      <c r="CR1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6" s="153" t="str">
        <f>IF(SnapshotTable[[#This Row],[SP Is Filled]], btc_next_cutoff_date(SnapshotTable[[#This Row],[SP Fill Date]],SnapshotTable[[#This Row],[SP Exp Date]]),"")</f>
        <v/>
      </c>
      <c r="CT126" s="220" t="str" cm="1">
        <f t="array" ref="CT126">IF(SnapshotTable[[#This Row],[SP Is Filled]], btc_should_buy_back(SnapshotTable[[#This Row],[SP Fill Date]], SnapshotTable[[#This Row],[SP Exp Date]], SnapshotTable[[#This Row],[SP Book Price]], SnapshotTable[[#This Row],[SP Current Ask]], MockToday, SnapshotTable[[#This Row],[SP Buyback Override]]),"")</f>
        <v/>
      </c>
      <c r="CU126" s="141"/>
      <c r="CV126" s="220"/>
      <c r="CW126" s="348" t="str">
        <f>IF(ISNUMBER( SnapshotTable[[#This Row],[SP Term]]), SnapshotTable[[#This Row],[SP Exp Date]] - MockToday,"")</f>
        <v/>
      </c>
      <c r="CX126" s="31" t="str">
        <f>IF(SnapshotTable[[#This Row],[SP Is Filled]],SnapshotTable[[#This Row],[SP Buyback Price to Use]] * 100 * SnapshotTable[[#This Row],[SP Qty]], "")</f>
        <v/>
      </c>
      <c r="CY126" s="4" t="str">
        <f>IF(ISNUMBER(SnapshotTable[[#This Row],[SP Strike Price]]), SnapshotTable[[#This Row],[SP Strike Price]] * (1 - SP_MaxLoss_StrikePct), "")</f>
        <v/>
      </c>
      <c r="CZ126" s="31" t="str">
        <f>IF(ISNUMBER(SnapshotTable[[#This Row],[SP Strike  Stop Per Share]]),SnapshotTable[[#This Row],[SP Premium]] - ((SnapshotTable[[#This Row],[SP Strike Price]]-SnapshotTable[[#This Row],[SP Strike  Stop Per Share]]) *(SnapshotTable[[#This Row],[SP Qty]] * 100)),"")</f>
        <v/>
      </c>
      <c r="DA126" s="4" t="str">
        <f>IF(AND(ISNUMBER(SnapshotTable[[#This Row],[SP Premium]]),SnapshotTable[[#This Row],[SP Premium]]&gt;0), SnapshotTable[[#This Row],[SP Book Price]] * (1 + SP_MaxLoss_OptionPct), "")</f>
        <v/>
      </c>
      <c r="DB126" s="31" t="str">
        <f>IF(ISNUMBER(SnapshotTable[[#This Row],[SP Option  Stop Contract]]),(SnapshotTable[[#This Row],[SP Option  Stop Contract]] *(SnapshotTable[[#This Row],[SP Qty]] * 100) - SnapshotTable[[#This Row],[SP Premium]]),"")</f>
        <v/>
      </c>
      <c r="DC126" s="4"/>
      <c r="DD126" s="4"/>
      <c r="DE126" s="4" t="str">
        <f>IF(AND(SnapshotTable[[#This Row],[SP Qty]]&gt;0, SnapshotTable[[#This Row],[SP Stop To Use]]&gt;0),SnapshotTable[[#This Row],[SP Premium]] - ( SnapshotTable[[#This Row],[SP Qty]] * SnapshotTable[[#This Row],[SP Stop To Use]] * 100), "")</f>
        <v/>
      </c>
      <c r="DF126" s="31" t="str">
        <f>IF(AND(SnapshotTable[[#This Row],[SP Qty]]&gt;0,SnapshotTable[[#This Row],[SP Current Ask]]&gt;0), SnapshotTable[[#This Row],[SP Qty]] * SnapshotTable[[#This Row],[SP Current Ask]] * -100, "")</f>
        <v/>
      </c>
      <c r="DG126" s="31" t="str">
        <f>IF(ISNUMBER((SnapshotTable[[#This Row],[SP Total Value]])), SnapshotTable[[#This Row],[SP Premium]] + SnapshotTable[[#This Row],[SP Total Value]], "")</f>
        <v/>
      </c>
      <c r="DH126" s="272" t="str">
        <f>IF(ISNUMBER((SnapshotTable[[#This Row],[SP Total Value]])), SnapshotTable[[#This Row],[SP Gain Loss]] / SnapshotTable[[#This Row],[SP Premium]], "")</f>
        <v/>
      </c>
      <c r="DI126" s="369"/>
      <c r="DJ126" s="136"/>
      <c r="DK126" s="146"/>
      <c r="DL126" s="13"/>
      <c r="DM126" s="13"/>
      <c r="DO126" s="31">
        <f>IF(SnapshotTable[[#This Row],[LC Symbol Count]]=1, SnapshotTable[[#This Row],[LC Qty]] * SnapshotTable[[#This Row],[LC Book Price]] * 100, 0)</f>
        <v>0</v>
      </c>
      <c r="DP126" s="161" t="str">
        <f>IF(AND(SnapshotTable[[#This Row],[LC Exp Date]]&gt;0, SnapshotTable[[#This Row],[LC Strike Price]]&gt;0,SnapshotTable[[#This Row],[LC Qty]]&gt;0,SnapshotTable[[#This Row],[LC Book Date]]&gt;0,SnapshotTable[[#This Row],[LC Book Price]]&gt;0,SnapshotTable[[#This Row],[LC Fill Date]]=0),"Y","")</f>
        <v/>
      </c>
      <c r="DQ126" s="356" t="str">
        <f>IF(SnapshotTable[[#This Row],[LC Premium]] &gt; 0,SnapshotTable[[#This Row],[LC Exp Date]]-MAX(SnapshotTable[[#This Row],[LC Book Date]], SnapshotTable[[#This Row],[LC Fill Date]]),"")</f>
        <v/>
      </c>
      <c r="DR126" s="356" t="str">
        <f>IF(ISNUMBER(SnapshotTable[[#This Row],[LC Term]]), SnapshotTable[[#This Row],[LC Exp Date]] - MockToday, "")</f>
        <v/>
      </c>
      <c r="DS126" s="219" t="str">
        <f>IF(SnapshotTable[[#This Row],[LC Premium]]&gt;0,SnapshotTable[[#This Row],[LC Strike Price]] + SnapshotTable[[#This Row],[LC Book Price]],"")</f>
        <v/>
      </c>
      <c r="DU126" s="9" t="str">
        <f>IF(AND(SnapshotTable[[#This Row],[LC Symbol Count]]&gt;0, SnapshotTable[[#This Row],[LC Contract Value]]&gt;0), SnapshotTable[[#This Row],[LC Contract Value]] * SnapshotTable[[#This Row],[LC Qty]] * 100, "")</f>
        <v/>
      </c>
      <c r="DV126" s="9" t="str">
        <f>IF(AND(ISNUMBER(SnapshotTable[[#This Row],[LC Total Value]]), SnapshotTable[[#This Row],[LC Not Filled]]&lt;&gt;"Y"), SnapshotTable[[#This Row],[LC Total Value]]-SnapshotTable[[#This Row],[LC Premium]],"")</f>
        <v/>
      </c>
      <c r="DW126" s="225" t="str">
        <f>IF(ISNUMBER(SnapshotTable[[#This Row],[LC Actual Gain Loss]]), SnapshotTable[[#This Row],[LC Actual Gain Loss]] / SnapshotTable[[#This Row],[LC Premium]],"")</f>
        <v/>
      </c>
      <c r="DX126" s="269" t="str">
        <f>IF(ISNUMBER(SnapshotTable[[#This Row],[LC Book Price]]),SnapshotTable[[#This Row],[LC Book Price]] * 1.5,"")</f>
        <v/>
      </c>
      <c r="DY126" s="250" t="str">
        <f>IF(SnapshotTable[[#This Row],[LC Premium]]&gt;0, SnapshotTable[[#This Row],[LC Next Target]] * SnapshotTable[[#This Row],[LC Qty]] * 100,"")</f>
        <v/>
      </c>
      <c r="DZ126" s="250" t="str">
        <f>IF(ISNUMBER(SnapshotTable[[#This Row],[LC Target Gross]]), SnapshotTable[[#This Row],[LC Target Gross]] - SnapshotTable[[#This Row],[LC Premium]], "")</f>
        <v/>
      </c>
      <c r="EA126" s="283" t="str">
        <f>IF(ISNUMBER(SnapshotTable[[#This Row],[LC Target Gain Loss]]), SnapshotTable[[#This Row],[LC Target Gain Loss]]/SnapshotTable[[#This Row],[LC Premium]], "")</f>
        <v/>
      </c>
      <c r="EB126" s="247"/>
      <c r="EC126" s="268" t="str">
        <f>IF(SnapshotTable[[#This Row],[LC Premium]]&gt;0, SnapshotTable[[#This Row],[LC Book Price]] * (1 - LC_StopLoss_Pct),"")</f>
        <v/>
      </c>
      <c r="ED126" s="269"/>
      <c r="EE126" s="268" t="str">
        <f>IF(ISNUMBER(SnapshotTable[[#This Row],[LC Contract Value]]),IF(ISNUMBER(SnapshotTable[[#This Row],[LC Stop Loss Override]]), SnapshotTable[[#This Row],[LC Stop Loss Override]],SnapshotTable[[#This Row],[LC Stop Loss Calc Target]]),"")</f>
        <v/>
      </c>
      <c r="EF126" s="31" t="str">
        <f>IF(ISNUMBER(SnapshotTable[[#This Row],[LC Stop  To Use]]), (SnapshotTable[[#This Row],[LC Stop  To Use]] * SnapshotTable[[#This Row],[LC Qty]] * 100),"")</f>
        <v/>
      </c>
      <c r="EG126" s="9" t="str">
        <f>IF(ISNUMBER(SnapshotTable[[#This Row],[LC Total Value]]),SnapshotTable[[#This Row],[LC Stop Loss Amount]] - SnapshotTable[[#This Row],[LC Premium]],"")</f>
        <v/>
      </c>
      <c r="EH126" s="9">
        <f>IF(ISNUMBER(SnapshotTable[[#This Row],[LC Premium]]), SnapshotTable[[#This Row],[LC Qty]] * 100 * SnapshotTable[[#This Row],[LC Strike Price]], "")</f>
        <v>0</v>
      </c>
      <c r="EI126" s="225" t="str">
        <f>IF(AND(ISNUMBER(SnapshotTable[[#This Row],[LC Total Value]]),SnapshotTable[[#This Row],[LC Total Value]]&gt;0),SnapshotTable[[#This Row],[LC Stop Gain Loss]]  / SnapshotTable[[#This Row],[LC Premium]],"")</f>
        <v/>
      </c>
      <c r="EJ126" s="35">
        <f>IF(ISNUMBER(SnapshotTable[[#This Row],[Equity Shares]]),TRUNC(SnapshotTable[[#This Row],[Equity Shares]] / 100),0) + SnapshotTable[[#This Row],[LC Qty]]</f>
        <v>0</v>
      </c>
      <c r="EK126" s="145"/>
      <c r="EL126" s="136"/>
      <c r="EM126" s="146"/>
      <c r="EN126" s="145"/>
      <c r="EO126" s="145"/>
      <c r="EP126" s="136"/>
      <c r="EQ126" s="382" t="b">
        <f>AND(ISNUMBER(SnapshotTable[[#This Row],[SC Exp Date]]), ISNUMBER(SnapshotTable[[#This Row],[SC Strike Price]]), ISNUMBER(SnapshotTable[[#This Row],[SC Qty]]), ISNUMBER(SnapshotTable[[#This Row],[SC Book Date]]), ISNUMBER(SnapshotTable[[#This Row],[SC Book Price]]))</f>
        <v>0</v>
      </c>
      <c r="ER126" s="382" t="b">
        <f>AND(SnapshotTable[[#This Row],[SC Is Booked]], NOT(ISBLANK(SnapshotTable[[#This Row],[SC Fill Date]])))</f>
        <v>0</v>
      </c>
      <c r="ES126" s="340"/>
      <c r="ET126" s="34" t="str">
        <f>IF(AND(ISNUMBER(SnapshotTable[[#This Row],[SC Exp Date]]), ISNUMBER(SnapshotTable[[#This Row],[SC Book Date]])), SnapshotTable[[#This Row],[SC Exp Date]] - MAX(SnapshotTable[[#This Row],[SC Book Date]], SnapshotTable[[#This Row],[SC Fill Date]]) + 1, "")</f>
        <v/>
      </c>
      <c r="EU126" s="34" t="str">
        <f>IF(ISNUMBER(SnapshotTable[[#This Row],[SC Term]]), SnapshotTable[[#This Row],[SC Exp Date]]- MockToday, "")</f>
        <v/>
      </c>
      <c r="EV126" s="31">
        <f>IF(SnapshotTable[[#This Row],[SC Is Booked]], SnapshotTable[[#This Row],[SC Qty]] * SnapshotTable[[#This Row],[SC Book Price]] * 100, 0)</f>
        <v>0</v>
      </c>
      <c r="EW126" s="4" t="str">
        <f>IF(AND(ISNUMBER(SnapshotTable[[#This Row],[Last Price]]), ISNUMBER( SnapshotTable[[#This Row],[SC Book Price]])), SnapshotTable[[#This Row],[Last Price]] - SnapshotTable[[#This Row],[SC Book Price]],"")</f>
        <v/>
      </c>
      <c r="EX126" s="219" t="str">
        <f>IF(SnapshotTable[[#This Row],[SC Is Booked]],IF(SnapshotTable[[#This Row],[SC Intrinsic Value]] &gt; 0, SnapshotTable[[#This Row],[SC Strike Price]], SnapshotTable[[#This Row],[Last Price]]), "")</f>
        <v/>
      </c>
      <c r="EY126" s="4">
        <f>IF(SnapshotTable[[#This Row],[SC Is Booked]], (MinimumPremiumRequired * SnapshotTable[[#This Row],[SC Basis]] * SnapshotTable[[#This Row],[SC Term]]), 0)</f>
        <v>0</v>
      </c>
      <c r="EZ126" s="268"/>
      <c r="FA126" s="204"/>
      <c r="FB126" s="340"/>
      <c r="FC126" s="4">
        <f>IF(SnapshotTable[[#This Row],[SC Is Filled]], btc_max_buyback_amount(SnapshotTable[[#This Row],[SC Fill Date]],SnapshotTable[[#This Row],[SC Exp Date]], SnapshotTable[[#This Row],[SC Book Price]]),0)</f>
        <v>0</v>
      </c>
      <c r="FD126" s="5"/>
      <c r="FE126" s="142" t="str">
        <f>IF(SnapshotTable[[#This Row],[SC Is Filled]], btc_next_cutoff_date(SnapshotTable[[#This Row],[SC Fill Date]],SnapshotTable[[#This Row],[SC Exp Date]]),"")</f>
        <v/>
      </c>
      <c r="FF126" s="4" t="str" cm="1">
        <f t="array" ref="FF126">IF(SnapshotTable[[#This Row],[SC Is Filled]], btc_should_buy_back(SnapshotTable[[#This Row],[SC Fill Date]], SnapshotTable[[#This Row],[SC Exp Date]], SnapshotTable[[#This Row],[SC Book Price]], SnapshotTable[[#This Row],[SC Current Ask]], MockToday, SnapshotTable[[#This Row],[SC Buyback Override]]),"")</f>
        <v/>
      </c>
      <c r="FG126" s="4">
        <f>IF(SnapshotTable[[#This Row],[SC Is Filled]], MAX(0,SnapshotTable[[#This Row],[Last Price]]  - SnapshotTable[[#This Row],[SC Strike Price]]), 0)</f>
        <v>0</v>
      </c>
      <c r="FH126" s="352">
        <f>IF(SnapshotTable[[#This Row],[SC Is Filled]], IF(ISNUMBER(SnapshotTable[[#This Row],[SC Current Ask]]), SnapshotTable[[#This Row],[SC Current Ask]], SnapshotTable[[#This Row],[SC Book Price]]) - SnapshotTable[[#This Row],[SC Intrinsic Value]], 0)</f>
        <v>0</v>
      </c>
      <c r="FI126" s="141"/>
      <c r="FJ126" s="32" t="str">
        <f>IF(SnapshotTable[[#This Row],[SC Is Filled]],100 * SnapshotTable[[#This Row],[SC Qty]] * IF(ISNUMBER(SnapshotTable[[#This Row],[SC Buyback Override]]), SnapshotTable[[#This Row],[SC Buyback Override]], SnapshotTable[[#This Row],[SC Current Ask]]), "")</f>
        <v/>
      </c>
      <c r="FK126" s="235" t="str">
        <f>IF(SnapshotTable[[#This Row],[SC Time Val]]&gt;0, SnapshotTable[[#This Row],[SC Time Val]] / SnapshotTable[[#This Row],[Last Price]],"")</f>
        <v/>
      </c>
      <c r="FL126" s="280" t="str">
        <f>IF(SnapshotTable[[#This Row],[SC Is Booked]], ((SnapshotTable[[#This Row],[Last Price]] -SnapshotTable[[#This Row],[SC Strike Price]]) / SnapshotTable[[#This Row],[Last Price]]) * -1, "")</f>
        <v/>
      </c>
      <c r="FM126" s="155" t="str">
        <f>IF(SnapshotTable[[#This Row],[SC Is Booked]],  (SnapshotTable[[#This Row],[SC Qty]] * 100 * SnapshotTable[[#This Row],[SC Strike Price]]) - SnapshotTable[[#This Row],[SC Current Ask]], "")</f>
        <v/>
      </c>
      <c r="FN1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6" s="31" t="str">
        <f>IF(AND(ISNUMBER(SnapshotTable[[#This Row],[SC Exercise Gross]]), ISNUMBER(SnapshotTable[[#This Row],[Equity Basis Per Share]] )), SnapshotTable[[#This Row],[SC Exercise Gross]] - SnapshotTable[[#This Row],[Equity Basis Total]] +  SnapshotTable[[#This Row],[SC Premium]], "")</f>
        <v/>
      </c>
      <c r="FP126" s="5" t="str">
        <f>IF(ISNUMBER(SnapshotTable[[#This Row],[SC Exercise Gross]]), (SnapshotTable[[#This Row],[SC Exercise Gross]]) / (SnapshotTable[[#This Row],[SC Qty]] * 100), "")</f>
        <v/>
      </c>
      <c r="FQ126" s="27" t="str">
        <f>IF(SnapshotTable[[#This Row],[SC Is Booked]],SnapshotTable[[#This Row],[SC Time Val]] /SnapshotTable[[#This Row],[SC Basis]], "")</f>
        <v/>
      </c>
      <c r="FR126" s="27" t="str" cm="1">
        <f t="array" ref="FR126">IF(AND(ISNUMBER(SnapshotTable[[#This Row],[SC Term]]),ISNUMBER(SnapshotTable[[#This Row],[SC Simple ROO]])), EllmanAnnualize(SnapshotTable[[#This Row],[SC DTE]], SnapshotTable[[#This Row],[SC Simple ROO]] ),"")</f>
        <v/>
      </c>
      <c r="FS126" s="4">
        <f>IF(SnapshotTable[[#This Row],[SC Strike Price]] &gt; SnapshotTable[[#This Row],[Last Price]], SnapshotTable[[#This Row],[SC Strike Price]] - SnapshotTable[[#This Row],[Last Price]],0)</f>
        <v>0</v>
      </c>
      <c r="FT126" s="27" t="str">
        <f>IF(AND(ISNUMBER(SnapshotTable[[#This Row],[SC Upside Potential]]), SnapshotTable[[#This Row],[SC Upside Potential]] &gt; 0),(SnapshotTable[[#This Row],[SC Upside Potential]]/ SnapshotTable[[#This Row],[ACB]]),"")</f>
        <v/>
      </c>
      <c r="FU126" s="304" t="str">
        <f>IF(SnapshotTable[[#This Row],[SC Intrinsic Value]] &gt; 0,SnapshotTable[[#This Row],[SC Intrinsic Value]],"")</f>
        <v/>
      </c>
      <c r="FV126" s="27" t="str">
        <f>IF(AND( ISNUMBER( SnapshotTable[[#This Row],[ACB]]),ISNUMBER(SnapshotTable[[#This Row],[SC Downside Protect]])),SnapshotTable[[#This Row],[SC Downside Protect]] / SnapshotTable[[#This Row],[ACB]],"")</f>
        <v/>
      </c>
      <c r="FW126" s="221" t="str">
        <f>IF(AND(ISNUMBER(SnapshotTable[[#This Row],[SC Simple ROO]]),SnapshotTable[[#This Row],[SC Simple ROO]] &gt; 0), SnapshotTable[[#This Row],[SC Premium]] + (SnapshotTable[[#This Row],[SC Qty]] * SnapshotTable[[#This Row],[SC Upside Potential]]), "")</f>
        <v/>
      </c>
      <c r="FX126" s="280" t="str" cm="1">
        <f t="array" ref="FX126">IF(ISNUMBER(SnapshotTable[[#This Row],[SC Max Dollars]]), annualize(SnapshotTable[[#This Row],[SC Term]],(SnapshotTable[[#This Row],[SC Max Dollars]]/SnapshotTable[[#This Row],[SC Basis]])),"")</f>
        <v/>
      </c>
      <c r="FY126" s="221" t="str">
        <f>IF(AND(SnapshotTable[[#This Row],[SC Qty]]&gt;0,SnapshotTable[[#This Row],[SC Current Ask]]&gt;0), SnapshotTable[[#This Row],[SC Qty]] * SnapshotTable[[#This Row],[SC Current Ask]] * -100, "")</f>
        <v/>
      </c>
      <c r="FZ126" s="31" t="str">
        <f>IF(ISNUMBER((SnapshotTable[[#This Row],[SC Current Value]])), SnapshotTable[[#This Row],[SC Premium]] + SnapshotTable[[#This Row],[SC Current Value]], "")</f>
        <v/>
      </c>
      <c r="GA126" s="272" t="str">
        <f>IFERROR( IF(ISNUMBER((SnapshotTable[[#This Row],[SC Current Value]])), SnapshotTable[[#This Row],[SC Gain Loss]] / SnapshotTable[[#This Row],[SC Premium]], ""), "")</f>
        <v/>
      </c>
      <c r="GB126" s="42">
        <f>SnapshotTable[[#This Row],[Equity Shares]] * SaleSharesToConsiderPercentage</f>
        <v>0</v>
      </c>
      <c r="GC126" s="40">
        <f>SnapshotTable[[#This Row],[Long Term Target]] * SellingPriceToConsiderBasedOnTargetPercentage</f>
        <v>146.81299999999999</v>
      </c>
      <c r="GD126" s="40">
        <f>SnapshotTable[[#This Row],[Last Price]] * (1+ SellingPriceToConsiderBasedOnTargetPercentage)</f>
        <v>349.32299999999998</v>
      </c>
      <c r="GE126" s="41"/>
      <c r="GF126" s="40"/>
      <c r="GG126" s="31">
        <f>SnapshotTable[[#This Row],[Booked Sale Shares]] * SnapshotTable[[#This Row],[Booked Sale Price]]</f>
        <v>0</v>
      </c>
      <c r="GH126" s="31" t="str">
        <f>IF(SnapshotTable[[#This Row],[Equity Basis Total]] &gt; 0, SnapshotTable[[#This Row],[Equity Basis Per Share]] * SnapshotTable[[#This Row],[Booked Sale Shares]], "")</f>
        <v/>
      </c>
      <c r="GI126" s="31">
        <f>IF(SnapshotTable[[#This Row],[Sale Proceeds]]&gt;0, SnapshotTable[[#This Row],[Sale Proceeds]] - SnapshotTable[[#This Row],[Sale Basis]], 0)</f>
        <v>0</v>
      </c>
      <c r="GJ126" s="27" t="str">
        <f>IF(SnapshotTable[[#This Row],[Sale G/L]]&gt;0, SnapshotTable[[#This Row],[Sale G/L]] / SnapshotTable[[#This Row],[Sale Basis]], IF(ISNUMBER(SnapshotTable[[#This Row],[SC Exercise P&amp;L (TAX)]]), SnapshotTable[[#This Row],[SC Exercise P&amp;L (TAX)]] / SnapshotTable[[#This Row],[SC Basis]], ""))</f>
        <v/>
      </c>
      <c r="GK126" s="27" t="s">
        <v>562</v>
      </c>
      <c r="GL126" s="43" t="str">
        <f>IF(AND(SnapshotTable[[#This Row],[LP Exp Date]]&gt;0,SnapshotTable[[#This Row],[LP Strike Price]]&gt;0), [1]!ToOptionSymbol(SnapshotTable[[#This Row],[Symbol]], SnapshotTable[[#This Row],[LP Strike Price]],SnapshotTable[[#This Row],[LP Exp Date]],1), "")</f>
        <v/>
      </c>
      <c r="GM126" s="30" t="str">
        <f>IF(LEN(SnapshotTable[[#This Row],[LP Symbol]])&gt;0, 1, "")</f>
        <v/>
      </c>
      <c r="GN126" s="43" t="str">
        <f>IF(AND(SnapshotTable[[#This Row],[SP Exp Date]]&gt;0,SnapshotTable[[#This Row],[SP Strike Price]]&gt;0), [1]!ToOptionSymbol(SnapshotTable[[#This Row],[Symbol]], SnapshotTable[[#This Row],[SP Strike Price]],SnapshotTable[[#This Row],[SP Exp Date]],1), "")</f>
        <v/>
      </c>
      <c r="GO126" s="30" t="str">
        <f>IF(LEN(SnapshotTable[[#This Row],[SP Symbol]])&gt;0, 1, "")</f>
        <v/>
      </c>
      <c r="GP126" s="43" t="str">
        <f>IF(AND(SnapshotTable[[#This Row],[LC Exp Date]]&gt;0,SnapshotTable[[#This Row],[LC Strike Price]]&gt;0), [1]!ToOptionSymbol(SnapshotTable[[#This Row],[Symbol]], SnapshotTable[[#This Row],[LC Strike Price]],SnapshotTable[[#This Row],[LC Exp Date]],0), "")</f>
        <v/>
      </c>
      <c r="GQ126" s="30" t="str">
        <f>IF(LEN(SnapshotTable[[#This Row],[LC Symbol]])&gt;0, 1, "")</f>
        <v/>
      </c>
      <c r="GR126" s="43" t="str">
        <f>IF(AND(SnapshotTable[[#This Row],[SC Exp Date]]&gt;0,SnapshotTable[[#This Row],[SC Strike Price]]&gt;0), [1]!ToOptionSymbol(SnapshotTable[[#This Row],[Symbol]], SnapshotTable[[#This Row],[SC Strike Price]],SnapshotTable[[#This Row],[SC Exp Date]],0), "")</f>
        <v/>
      </c>
      <c r="GS126" s="30" t="str">
        <f>IF(LEN(SnapshotTable[[#This Row],[SC Symbol]])&gt;0, 1, "")</f>
        <v/>
      </c>
      <c r="GT126" s="29" t="str">
        <f>IF(COUNT(SnapshotTable[[#This Row],[LP Symbol Count]],SnapshotTable[[#This Row],[SP Symbol Count]],SnapshotTable[[#This Row],[LC Symbol Count]],SnapshotTable[[#This Row],[SC Symbol Count]])&gt;0, "Y", "")</f>
        <v/>
      </c>
      <c r="GU1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6" s="216">
        <f>MAX(SnapshotTable[[#This Row],[Equity Basis Total]],SnapshotTable[[#This Row],[Equity Value]]) + (SnapshotTable[[#This Row],[SP Potential Spend]]- SnapshotTable[[#This Row],[SP Premium]] + SnapshotTable[[#This Row],[LP Premium]])+ (SnapshotTable[[#This Row],[LC Premium]] - SnapshotTable[[#This Row],[SC Premium]])</f>
        <v>0</v>
      </c>
      <c r="GW126" s="137" t="str">
        <f>IF(AND(SnapshotTable[[#This Row],[Exposure]] &lt;&gt; 0),SnapshotTable[[#This Row],[Exposure]] / SnapshotTable[[#Totals],[Exposure]], "")</f>
        <v/>
      </c>
      <c r="HE126" s="253"/>
      <c r="HF126" s="253"/>
      <c r="HK126" s="1"/>
      <c r="HL126" s="1"/>
      <c r="HM126" s="1"/>
      <c r="HN126" s="1"/>
      <c r="HO126" s="1"/>
      <c r="HP126" s="1"/>
    </row>
    <row r="127" spans="2:224" ht="12.75" hidden="1" customHeight="1" x14ac:dyDescent="0.25">
      <c r="B127" s="12" t="s">
        <v>828</v>
      </c>
      <c r="C127" s="385">
        <v>521.47</v>
      </c>
      <c r="D127" s="200" t="s">
        <v>179</v>
      </c>
      <c r="E127" s="39">
        <f>SnapshotTable[[#This Row],[Last Price]]*(1 -CrashDiscount)</f>
        <v>443.24950000000001</v>
      </c>
      <c r="F127" s="26" t="s">
        <v>5</v>
      </c>
      <c r="G127" s="26" t="s">
        <v>4</v>
      </c>
      <c r="H127" s="147"/>
      <c r="I127" s="186"/>
      <c r="J127" s="187"/>
      <c r="K127" s="188"/>
      <c r="L127" s="297"/>
      <c r="M127" s="138"/>
      <c r="N127" s="138"/>
      <c r="O127" s="138"/>
      <c r="P127" s="22"/>
      <c r="Q127" s="25"/>
      <c r="R127" s="4" t="str">
        <f>IF(SnapshotTable[[#This Row],[Equity Basis Total]] &gt; 0, SnapshotTable[[#This Row],[Equity Basis Total]] / SnapshotTable[[#This Row],[Equity Shares]], "")</f>
        <v/>
      </c>
      <c r="S127" s="254">
        <f>SnapshotTable[[#This Row],[Last Price]] * SnapshotTable[[#This Row],[Equity Shares]]</f>
        <v>0</v>
      </c>
      <c r="T127" s="254">
        <f>SnapshotTable[[#This Row],[Equity Value]] - SnapshotTable[[#This Row],[Equity Basis Total]]</f>
        <v>0</v>
      </c>
      <c r="U127" s="255" t="str">
        <f>IF(SnapshotTable[[#This Row],[Equity Basis Total]] &gt; 0, SnapshotTable[[#This Row],[Equity G/L]] / SnapshotTable[[#This Row],[Equity Basis Total]], "")</f>
        <v/>
      </c>
      <c r="V127" s="253"/>
      <c r="W127" s="253"/>
      <c r="X127" s="4" t="str">
        <f>IF(AND(ISNUMBER(SnapshotTable[[#This Row],[Equity Basis Per Share]]),ISNUMBER(SnapshotTable[[#This Row],[Equity Target]])),SnapshotTable[[#This Row],[Equity Target]]-SnapshotTable[[#This Row],[Equity Basis Per Share]],"")</f>
        <v/>
      </c>
      <c r="Y127" s="4" t="str">
        <f>IF(AND(ISNUMBER(SnapshotTable[[#This Row],[Equity Basis Per Share]]),ISNUMBER(SnapshotTable[[#This Row],[Equity Stop Loss]])),SnapshotTable[[#This Row],[Equity Stop Loss]]-SnapshotTable[[#This Row],[Equity Basis Per Share]],"")</f>
        <v/>
      </c>
      <c r="Z127" s="260" t="str">
        <f>IFERROR( TEXT(SnapshotTable[[#This Row],[Equity Max Gain Per Share]] /ABS( SnapshotTable[[#This Row],[Equity Max Loss Per Share]]),"0.0 " ) &amp; " : 1", "")</f>
        <v/>
      </c>
      <c r="AA127" s="31" t="str">
        <f>IF(ISNUMBER(SnapshotTable[[#This Row],[Equity Max Gain Per Share]]),SnapshotTable[[#This Row],[Equity Max Gain Per Share]] * SnapshotTable[[#This Row],[Equity Shares]],"")</f>
        <v/>
      </c>
      <c r="AB127" s="31" t="str">
        <f>IF(ISNUMBER(SnapshotTable[[#This Row],[Equity Max Loss Per Share]]),SnapshotTable[[#This Row],[Equity Max Loss Per Share]] * SnapshotTable[[#This Row],[Equity Shares]],"")</f>
        <v/>
      </c>
      <c r="AC127" s="148"/>
      <c r="AD127" s="149"/>
      <c r="AE127" s="31">
        <f>(SnapshotTable[[#This Row],[Annual Dividend Per Share]] / 4) * SnapshotTable[[#This Row],[Equity Shares]]</f>
        <v>0</v>
      </c>
      <c r="AF127" s="31">
        <f>SnapshotTable[[#This Row],[Quarterly Div $]] * 4</f>
        <v>0</v>
      </c>
      <c r="AG127" s="7">
        <f>IF(SnapshotTable[[#This Row],[Annual Dividend Per Share]]&gt;0, SnapshotTable[[#This Row],[Annual Dividend Per Share]]  / SnapshotTable[[#This Row],[Last Price]], 0)</f>
        <v>0</v>
      </c>
      <c r="AH127" s="149"/>
      <c r="AI127" s="5"/>
      <c r="AJ127" s="136"/>
      <c r="AK127" s="150" t="str">
        <f>IF(ISNUMBER( SnapshotTable[[#This Row],[EBF Target]]),(SnapshotTable[[#This Row],[EBF Target]] - SnapshotTable[[#This Row],[Last Price]]) / SnapshotTable[[#This Row],[Last Price]], "")</f>
        <v/>
      </c>
      <c r="AL127" s="150" t="str">
        <f>IF(AND(SnapshotTable[[#This Row],[Equity Basis Total]] &gt; 0,ISNUMBER( SnapshotTable[[#This Row],[Long Term Target]])), SnapshotTable[[#This Row],[From Basis $]] / SnapshotTable[[#This Row],[Equity Basis Total]], "")</f>
        <v/>
      </c>
      <c r="AM127" s="9">
        <f>IF( AND(SnapshotTable[[#This Row],[Equity Shares]] &gt;0,ISNUMBER( SnapshotTable[[#This Row],[Long Term Target]])),(SnapshotTable[[#This Row],[Equity Shares]] * SnapshotTable[[#This Row],[Long Term Target]]) - SnapshotTable[[#This Row],[Equity Basis Total]],0)</f>
        <v>0</v>
      </c>
      <c r="AN127" s="9">
        <f>IF( AND(SnapshotTable[[#This Row],[Equity Shares]] &gt;0,ISNUMBER( SnapshotTable[[#This Row],[Long Term Target]])),(SnapshotTable[[#This Row],[Equity Shares]]*SnapshotTable[[#This Row],[Long Term Target]]) - SnapshotTable[[#This Row],[Equity Value]],0)</f>
        <v>0</v>
      </c>
      <c r="AO127" s="150" t="str">
        <f>IF(AND(ISNUMBER( SnapshotTable[[#This Row],[Long Term Target]]), ISNUMBER(SnapshotTable[[#This Row],[Last Price]])),(SnapshotTable[[#This Row],[Long Term Target]] - SnapshotTable[[#This Row],[Last Price]]) / SnapshotTable[[#This Row],[Last Price]], "")</f>
        <v/>
      </c>
      <c r="AP127" s="5">
        <v>335</v>
      </c>
      <c r="AQ127" s="38" t="s">
        <v>22</v>
      </c>
      <c r="AR127" s="5">
        <v>335</v>
      </c>
      <c r="AS127" s="38" t="s">
        <v>15</v>
      </c>
      <c r="AT127" s="144" t="s">
        <v>438</v>
      </c>
      <c r="AU127" s="185" t="str">
        <f>IF(OR(SnapshotTable[[#This Row],[LP No Fill]]="Y",SnapshotTable[[#This Row],[SP Is Filled]],SnapshotTable[[#This Row],[LC Not Filled]]="Y",SnapshotTable[[#This Row],[SC Is Filled]]),"Y","")</f>
        <v/>
      </c>
      <c r="AV127" s="205"/>
      <c r="AW127" s="211"/>
      <c r="AX127" s="206"/>
      <c r="AY127" s="205" t="str">
        <f>IF(SnapshotTable[[#This Row],[Implied Move]]&gt;0, SnapshotTable[[#This Row],[Last Price]]-SnapshotTable[[#This Row],[Implied Move]],"")</f>
        <v/>
      </c>
      <c r="AZ127" s="205" t="str">
        <f>IF(SnapshotTable[[#This Row],[Implied Move]]&gt;0, SnapshotTable[[#This Row],[Last Price]] + SnapshotTable[[#This Row],[Implied Move]],"")</f>
        <v/>
      </c>
      <c r="BA127" s="302">
        <v>22.33</v>
      </c>
      <c r="BB127" s="318" t="s">
        <v>891</v>
      </c>
      <c r="BC1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7" s="321"/>
      <c r="BE127" s="5"/>
      <c r="BF127" s="14"/>
      <c r="BG127" s="13"/>
      <c r="BH127" s="13"/>
      <c r="BI127" s="5"/>
      <c r="BJ127" s="134">
        <f>IF(SnapshotTable[[#This Row],[LP Qty]] &gt; 0, SnapshotTable[[#This Row],[LP Qty]] * SnapshotTable[[#This Row],[LP Book Price]] * 100,0)</f>
        <v>0</v>
      </c>
      <c r="BK127" s="134">
        <f>IF(SnapshotTable[[#This Row],[LP Premium]] &gt; 0, SnapshotTable[[#This Row],[LP Qty]] * SnapshotTable[[#This Row],[LP Strike Price]] * 100,0)</f>
        <v>0</v>
      </c>
      <c r="BL127" s="152"/>
      <c r="BM127" s="355" t="str">
        <f>IF(SnapshotTable[[#This Row],[LP Premium]] &gt; 0,SnapshotTable[[#This Row],[LP Exp Date]]-MAX(SnapshotTable[[#This Row],[LP Book Date]], SnapshotTable[[#This Row],[LP Fill Date]]),"")</f>
        <v/>
      </c>
      <c r="BN127" s="355" t="str">
        <f>IF(ISNUMBER( SnapshotTable[[#This Row],[LP Term]]), SnapshotTable[[#This Row],[LP Exp Date]] - MockToday,"")</f>
        <v/>
      </c>
      <c r="BO127" s="161" t="str">
        <f>IF(AND(SnapshotTable[[#This Row],[LP Exp Date]]&gt;0, SnapshotTable[[#This Row],[LP Strike Price]]&gt;0,SnapshotTable[[#This Row],[LP Qty]]&gt;0,SnapshotTable[[#This Row],[LP Book Date]]&gt;0,SnapshotTable[[#This Row],[LP Book Price]]&gt;0,SnapshotTable[[#This Row],[LP Fill Date]]=0),"Y","")</f>
        <v/>
      </c>
      <c r="BP127" s="31" t="str">
        <f>IF(AND(SnapshotTable[[#This Row],[LP No Fill]]&lt;&gt;"Y",SnapshotTable[[#This Row],[LP Contract Value]]&gt;0, SnapshotTable[[#This Row],[LP Qty]]&gt;0), SnapshotTable[[#This Row],[LP Contract Value]]*SnapshotTable[[#This Row],[LP Qty]]*100,"")</f>
        <v/>
      </c>
      <c r="BQ127" s="13"/>
      <c r="BR127" s="5"/>
      <c r="BS127" s="36"/>
      <c r="BT127" s="145"/>
      <c r="BU127" s="13"/>
      <c r="BV127" s="5"/>
      <c r="BW127" s="382" t="b">
        <f>AND(ISNUMBER(SnapshotTable[[#This Row],[SP Exp Date]]), ISNUMBER(SnapshotTable[[#This Row],[SP Strike Price]]), ISNUMBER(SnapshotTable[[#This Row],[SP Qty]]), ISNUMBER(SnapshotTable[[#This Row],[SP Book Date]]), ISNUMBER(SnapshotTable[[#This Row],[SP Book Price]]))</f>
        <v>0</v>
      </c>
      <c r="BX127" s="382" t="b">
        <f>AND(SnapshotTable[[#This Row],[SP Is Booked]], NOT(ISBLANK(SnapshotTable[[#This Row],[SP Fill Date]])))</f>
        <v>0</v>
      </c>
      <c r="BY127" s="33">
        <f>IF(SnapshotTable[[#This Row],[SP Is Booked]], SnapshotTable[[#This Row],[SP Qty]] * SnapshotTable[[#This Row],[SP Book Price]] * 100, 0)</f>
        <v>0</v>
      </c>
      <c r="BZ127" s="339"/>
      <c r="CA127" s="338">
        <f>SnapshotTable[[#This Row],[LP Qty]]</f>
        <v>0</v>
      </c>
      <c r="CB127" s="4" t="str">
        <f>IF(SnapshotTable[[#This Row],[SP Is Booked]], SnapshotTable[[#This Row],[SP Strike Price]] - SnapshotTable[[#This Row],[SP Book Price]], "")</f>
        <v/>
      </c>
      <c r="CC127" s="19" t="str">
        <f>IF(SnapshotTable[[#This Row],[SP Is Booked]],SnapshotTable[[#This Row],[SP Exp Date]]-MAX(SnapshotTable[[#This Row],[SP Book Date]], SnapshotTable[[#This Row],[SP Fill Date]]),"")</f>
        <v/>
      </c>
      <c r="CD127" s="7" t="str">
        <f>IF(SnapshotTable[[#This Row],[SP Is Booked]], SnapshotTable[[#This Row],[SP Book Price]]/SnapshotTable[[#This Row],[SP Strike Price]], "")</f>
        <v/>
      </c>
      <c r="CE127" s="7" t="str">
        <f>IF(ISNUMBER(SnapshotTable[[#This Row],[SP ROO Term]]),SnapshotTable[[#This Row],[SP ROO Term]]*(365/SnapshotTable[[#This Row],[SP Term]]),"")</f>
        <v/>
      </c>
      <c r="CF127" s="221">
        <f>SnapshotTable[[#This Row],[LP Strike Price]] * SnapshotTable[[#This Row],[LP Qty]] * 100</f>
        <v>0</v>
      </c>
      <c r="CG127" s="31">
        <f>IF(ISNUMBER(SnapshotTable[[#This Row],[SP Premium]]), (SnapshotTable[[#This Row],[SP Qty]] * SnapshotTable[[#This Row],[SP Strike Price]]* 100) - SnapshotTable[[#This Row],[LP Protection]], 0)</f>
        <v>0</v>
      </c>
      <c r="CH127" s="7" t="str">
        <f>IF(ISNUMBER(SnapshotTable[[#This Row],[SP Break Even]]),-1 * (SnapshotTable[[#This Row],[SP Break Even]] - SnapshotTable[[#This Row],[Last Price]]) / SnapshotTable[[#This Row],[Last Price]], "")</f>
        <v/>
      </c>
      <c r="CI127" s="31">
        <f>IF(AND(ISNUMBER((SnapshotTable[[#This Row],[SP Potential Spend]])), SnapshotTable[[#This Row],[SP Strike Price]] &gt; SnapshotTable[[#This Row],[Last Price]], SnapshotTable[[#This Row],[SP Is Filled]]), SnapshotTable[[#This Row],[SP Potential Spend]] -  SnapshotTable[[#This Row],[LP Max Value]], 0)</f>
        <v>0</v>
      </c>
      <c r="CJ127" s="229"/>
      <c r="CK127" s="31">
        <f>IF(ISNUMBER(SnapshotTable[[#This Row],[SP Potential Spend]]),IF(ISNUMBER(SnapshotTable[[#This Row],[SP POW]]), SnapshotTable[[#This Row],[SP POW]] * SnapshotTable[[#This Row],[SP Potential Spend]], SnapshotTable[[#This Row],[SP Potential Spend]]), "")</f>
        <v>0</v>
      </c>
      <c r="CL127" s="162">
        <f>IF(NOT(SnapshotTable[[#This Row],[SP Is Filled]]),(SnapshotTable[[#This Row],[SP Qty]] * SnapshotTable[[#This Row],[SP Strike Price]] * 100) - SnapshotTable[[#This Row],[LP Max Value]],"")</f>
        <v>0</v>
      </c>
      <c r="CM127" s="31" t="str">
        <f>IF(SnapshotTable[[#This Row],[SP Actual Spend]]&lt;&gt;0, ((SnapshotTable[[#This Row],[SP Strike Price]]-SnapshotTable[[#This Row],[Last Price]]) *(SnapshotTable[[#This Row],[SP Qty]]*100) - SnapshotTable[[#This Row],[SP Premium]]) * - 1, "")</f>
        <v/>
      </c>
      <c r="CN127" s="76"/>
      <c r="CO127" s="339">
        <v>0</v>
      </c>
      <c r="CP127" s="4" t="str">
        <f>IF(SnapshotTable[[#This Row],[SP Is Filled]], btc_max_buyback_amount(SnapshotTable[[#This Row],[SP Fill Date]],SnapshotTable[[#This Row],[SP Exp Date]], SnapshotTable[[#This Row],[SP Book Price]]),"")</f>
        <v/>
      </c>
      <c r="CQ127" s="76"/>
      <c r="CR1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7" s="153" t="str">
        <f>IF(SnapshotTable[[#This Row],[SP Is Filled]], btc_next_cutoff_date(SnapshotTable[[#This Row],[SP Fill Date]],SnapshotTable[[#This Row],[SP Exp Date]]),"")</f>
        <v/>
      </c>
      <c r="CT127" s="220" t="str" cm="1">
        <f t="array" ref="CT127">IF(SnapshotTable[[#This Row],[SP Is Filled]], btc_should_buy_back(SnapshotTable[[#This Row],[SP Fill Date]], SnapshotTable[[#This Row],[SP Exp Date]], SnapshotTable[[#This Row],[SP Book Price]], SnapshotTable[[#This Row],[SP Current Ask]], MockToday, SnapshotTable[[#This Row],[SP Buyback Override]]),"")</f>
        <v/>
      </c>
      <c r="CU127" s="141"/>
      <c r="CV127" s="220"/>
      <c r="CW127" s="348" t="str">
        <f>IF(ISNUMBER( SnapshotTable[[#This Row],[SP Term]]), SnapshotTable[[#This Row],[SP Exp Date]] - MockToday,"")</f>
        <v/>
      </c>
      <c r="CX127" s="31" t="str">
        <f>IF(SnapshotTable[[#This Row],[SP Is Filled]],SnapshotTable[[#This Row],[SP Buyback Price to Use]] * 100 * SnapshotTable[[#This Row],[SP Qty]], "")</f>
        <v/>
      </c>
      <c r="CY127" s="4" t="str">
        <f>IF(ISNUMBER(SnapshotTable[[#This Row],[SP Strike Price]]), SnapshotTable[[#This Row],[SP Strike Price]] * (1 - SP_MaxLoss_StrikePct), "")</f>
        <v/>
      </c>
      <c r="CZ127" s="31" t="str">
        <f>IF(ISNUMBER(SnapshotTable[[#This Row],[SP Strike  Stop Per Share]]),SnapshotTable[[#This Row],[SP Premium]] - ((SnapshotTable[[#This Row],[SP Strike Price]]-SnapshotTable[[#This Row],[SP Strike  Stop Per Share]]) *(SnapshotTable[[#This Row],[SP Qty]] * 100)),"")</f>
        <v/>
      </c>
      <c r="DA127" s="4" t="str">
        <f>IF(AND(ISNUMBER(SnapshotTable[[#This Row],[SP Premium]]),SnapshotTable[[#This Row],[SP Premium]]&gt;0), SnapshotTable[[#This Row],[SP Book Price]] * (1 + SP_MaxLoss_OptionPct), "")</f>
        <v/>
      </c>
      <c r="DB127" s="31" t="str">
        <f>IF(ISNUMBER(SnapshotTable[[#This Row],[SP Option  Stop Contract]]),(SnapshotTable[[#This Row],[SP Option  Stop Contract]] *(SnapshotTable[[#This Row],[SP Qty]] * 100) - SnapshotTable[[#This Row],[SP Premium]]),"")</f>
        <v/>
      </c>
      <c r="DC127" s="4"/>
      <c r="DD127" s="4"/>
      <c r="DE127" s="4" t="str">
        <f>IF(AND(SnapshotTable[[#This Row],[SP Qty]]&gt;0, SnapshotTable[[#This Row],[SP Stop To Use]]&gt;0),SnapshotTable[[#This Row],[SP Premium]] - ( SnapshotTable[[#This Row],[SP Qty]] * SnapshotTable[[#This Row],[SP Stop To Use]] * 100), "")</f>
        <v/>
      </c>
      <c r="DF127" s="31" t="str">
        <f>IF(AND(SnapshotTable[[#This Row],[SP Qty]]&gt;0,SnapshotTable[[#This Row],[SP Current Ask]]&gt;0), SnapshotTable[[#This Row],[SP Qty]] * SnapshotTable[[#This Row],[SP Current Ask]] * -100, "")</f>
        <v/>
      </c>
      <c r="DG127" s="31" t="str">
        <f>IF(ISNUMBER((SnapshotTable[[#This Row],[SP Total Value]])), SnapshotTable[[#This Row],[SP Premium]] + SnapshotTable[[#This Row],[SP Total Value]], "")</f>
        <v/>
      </c>
      <c r="DH127" s="272" t="str">
        <f>IF(ISNUMBER((SnapshotTable[[#This Row],[SP Total Value]])), SnapshotTable[[#This Row],[SP Gain Loss]] / SnapshotTable[[#This Row],[SP Premium]], "")</f>
        <v/>
      </c>
      <c r="DI127" s="369"/>
      <c r="DJ127" s="136"/>
      <c r="DK127" s="146"/>
      <c r="DL127" s="13"/>
      <c r="DM127" s="13"/>
      <c r="DO127" s="31">
        <f>IF(SnapshotTable[[#This Row],[LC Symbol Count]]=1, SnapshotTable[[#This Row],[LC Qty]] * SnapshotTable[[#This Row],[LC Book Price]] * 100, 0)</f>
        <v>0</v>
      </c>
      <c r="DP127" s="161" t="str">
        <f>IF(AND(SnapshotTable[[#This Row],[LC Exp Date]]&gt;0, SnapshotTable[[#This Row],[LC Strike Price]]&gt;0,SnapshotTable[[#This Row],[LC Qty]]&gt;0,SnapshotTable[[#This Row],[LC Book Date]]&gt;0,SnapshotTable[[#This Row],[LC Book Price]]&gt;0,SnapshotTable[[#This Row],[LC Fill Date]]=0),"Y","")</f>
        <v/>
      </c>
      <c r="DQ127" s="356" t="str">
        <f>IF(SnapshotTable[[#This Row],[LC Premium]] &gt; 0,SnapshotTable[[#This Row],[LC Exp Date]]-MAX(SnapshotTable[[#This Row],[LC Book Date]], SnapshotTable[[#This Row],[LC Fill Date]]),"")</f>
        <v/>
      </c>
      <c r="DR127" s="356" t="str">
        <f>IF(ISNUMBER(SnapshotTable[[#This Row],[LC Term]]), SnapshotTable[[#This Row],[LC Exp Date]] - MockToday, "")</f>
        <v/>
      </c>
      <c r="DS127" s="219" t="str">
        <f>IF(SnapshotTable[[#This Row],[LC Premium]]&gt;0,SnapshotTable[[#This Row],[LC Strike Price]] + SnapshotTable[[#This Row],[LC Book Price]],"")</f>
        <v/>
      </c>
      <c r="DU127" s="9" t="str">
        <f>IF(AND(SnapshotTable[[#This Row],[LC Symbol Count]]&gt;0, SnapshotTable[[#This Row],[LC Contract Value]]&gt;0), SnapshotTable[[#This Row],[LC Contract Value]] * SnapshotTable[[#This Row],[LC Qty]] * 100, "")</f>
        <v/>
      </c>
      <c r="DV127" s="9" t="str">
        <f>IF(AND(ISNUMBER(SnapshotTable[[#This Row],[LC Total Value]]), SnapshotTable[[#This Row],[LC Not Filled]]&lt;&gt;"Y"), SnapshotTable[[#This Row],[LC Total Value]]-SnapshotTable[[#This Row],[LC Premium]],"")</f>
        <v/>
      </c>
      <c r="DW127" s="225" t="str">
        <f>IF(ISNUMBER(SnapshotTable[[#This Row],[LC Actual Gain Loss]]), SnapshotTable[[#This Row],[LC Actual Gain Loss]] / SnapshotTable[[#This Row],[LC Premium]],"")</f>
        <v/>
      </c>
      <c r="DX127" s="269" t="str">
        <f>IF(ISNUMBER(SnapshotTable[[#This Row],[LC Book Price]]),SnapshotTable[[#This Row],[LC Book Price]] * 1.5,"")</f>
        <v/>
      </c>
      <c r="DY127" s="250" t="str">
        <f>IF(SnapshotTable[[#This Row],[LC Premium]]&gt;0, SnapshotTable[[#This Row],[LC Next Target]] * SnapshotTable[[#This Row],[LC Qty]] * 100,"")</f>
        <v/>
      </c>
      <c r="DZ127" s="250" t="str">
        <f>IF(ISNUMBER(SnapshotTable[[#This Row],[LC Target Gross]]), SnapshotTable[[#This Row],[LC Target Gross]] - SnapshotTable[[#This Row],[LC Premium]], "")</f>
        <v/>
      </c>
      <c r="EA127" s="283" t="str">
        <f>IF(ISNUMBER(SnapshotTable[[#This Row],[LC Target Gain Loss]]), SnapshotTable[[#This Row],[LC Target Gain Loss]]/SnapshotTable[[#This Row],[LC Premium]], "")</f>
        <v/>
      </c>
      <c r="EB127" s="247"/>
      <c r="EC127" s="268" t="str">
        <f>IF(SnapshotTable[[#This Row],[LC Premium]]&gt;0, SnapshotTable[[#This Row],[LC Book Price]] * (1 - LC_StopLoss_Pct),"")</f>
        <v/>
      </c>
      <c r="ED127" s="269"/>
      <c r="EE127" s="268" t="str">
        <f>IF(ISNUMBER(SnapshotTable[[#This Row],[LC Contract Value]]),IF(ISNUMBER(SnapshotTable[[#This Row],[LC Stop Loss Override]]), SnapshotTable[[#This Row],[LC Stop Loss Override]],SnapshotTable[[#This Row],[LC Stop Loss Calc Target]]),"")</f>
        <v/>
      </c>
      <c r="EF127" s="31" t="str">
        <f>IF(ISNUMBER(SnapshotTable[[#This Row],[LC Stop  To Use]]), (SnapshotTable[[#This Row],[LC Stop  To Use]] * SnapshotTable[[#This Row],[LC Qty]] * 100),"")</f>
        <v/>
      </c>
      <c r="EG127" s="9" t="str">
        <f>IF(ISNUMBER(SnapshotTable[[#This Row],[LC Total Value]]),SnapshotTable[[#This Row],[LC Stop Loss Amount]] - SnapshotTable[[#This Row],[LC Premium]],"")</f>
        <v/>
      </c>
      <c r="EH127" s="9">
        <f>IF(ISNUMBER(SnapshotTable[[#This Row],[LC Premium]]), SnapshotTable[[#This Row],[LC Qty]] * 100 * SnapshotTable[[#This Row],[LC Strike Price]], "")</f>
        <v>0</v>
      </c>
      <c r="EI127" s="225" t="str">
        <f>IF(AND(ISNUMBER(SnapshotTable[[#This Row],[LC Total Value]]),SnapshotTable[[#This Row],[LC Total Value]]&gt;0),SnapshotTable[[#This Row],[LC Stop Gain Loss]]  / SnapshotTable[[#This Row],[LC Premium]],"")</f>
        <v/>
      </c>
      <c r="EJ127" s="35">
        <f>IF(ISNUMBER(SnapshotTable[[#This Row],[Equity Shares]]),TRUNC(SnapshotTable[[#This Row],[Equity Shares]] / 100),0) + SnapshotTable[[#This Row],[LC Qty]]</f>
        <v>0</v>
      </c>
      <c r="EK127" s="145"/>
      <c r="EL127" s="136"/>
      <c r="EM127" s="146"/>
      <c r="EN127" s="145"/>
      <c r="EO127" s="145"/>
      <c r="EP127" s="136"/>
      <c r="EQ127" s="382" t="b">
        <f>AND(ISNUMBER(SnapshotTable[[#This Row],[SC Exp Date]]), ISNUMBER(SnapshotTable[[#This Row],[SC Strike Price]]), ISNUMBER(SnapshotTable[[#This Row],[SC Qty]]), ISNUMBER(SnapshotTable[[#This Row],[SC Book Date]]), ISNUMBER(SnapshotTable[[#This Row],[SC Book Price]]))</f>
        <v>0</v>
      </c>
      <c r="ER127" s="382" t="b">
        <f>AND(SnapshotTable[[#This Row],[SC Is Booked]], NOT(ISBLANK(SnapshotTable[[#This Row],[SC Fill Date]])))</f>
        <v>0</v>
      </c>
      <c r="ES127" s="340"/>
      <c r="ET127" s="34" t="str">
        <f>IF(AND(ISNUMBER(SnapshotTable[[#This Row],[SC Exp Date]]), ISNUMBER(SnapshotTable[[#This Row],[SC Book Date]])), SnapshotTable[[#This Row],[SC Exp Date]] - MAX(SnapshotTable[[#This Row],[SC Book Date]], SnapshotTable[[#This Row],[SC Fill Date]]) + 1, "")</f>
        <v/>
      </c>
      <c r="EU127" s="34" t="str">
        <f>IF(ISNUMBER(SnapshotTable[[#This Row],[SC Term]]), SnapshotTable[[#This Row],[SC Exp Date]]- MockToday, "")</f>
        <v/>
      </c>
      <c r="EV127" s="31">
        <f>IF(SnapshotTable[[#This Row],[SC Is Booked]], SnapshotTable[[#This Row],[SC Qty]] * SnapshotTable[[#This Row],[SC Book Price]] * 100, 0)</f>
        <v>0</v>
      </c>
      <c r="EW127" s="4" t="str">
        <f>IF(AND(ISNUMBER(SnapshotTable[[#This Row],[Last Price]]), ISNUMBER( SnapshotTable[[#This Row],[SC Book Price]])), SnapshotTable[[#This Row],[Last Price]] - SnapshotTable[[#This Row],[SC Book Price]],"")</f>
        <v/>
      </c>
      <c r="EX127" s="219" t="str">
        <f>IF(SnapshotTable[[#This Row],[SC Is Booked]],IF(SnapshotTable[[#This Row],[SC Intrinsic Value]] &gt; 0, SnapshotTable[[#This Row],[SC Strike Price]], SnapshotTable[[#This Row],[Last Price]]), "")</f>
        <v/>
      </c>
      <c r="EY127" s="4">
        <f>IF(SnapshotTable[[#This Row],[SC Is Booked]], (MinimumPremiumRequired * SnapshotTable[[#This Row],[SC Basis]] * SnapshotTable[[#This Row],[SC Term]]), 0)</f>
        <v>0</v>
      </c>
      <c r="EZ127" s="268"/>
      <c r="FA127" s="204"/>
      <c r="FB127" s="340"/>
      <c r="FC127" s="4">
        <f>IF(SnapshotTable[[#This Row],[SC Is Filled]], btc_max_buyback_amount(SnapshotTable[[#This Row],[SC Fill Date]],SnapshotTable[[#This Row],[SC Exp Date]], SnapshotTable[[#This Row],[SC Book Price]]),0)</f>
        <v>0</v>
      </c>
      <c r="FD127" s="5"/>
      <c r="FE127" s="142" t="str">
        <f>IF(SnapshotTable[[#This Row],[SC Is Filled]], btc_next_cutoff_date(SnapshotTable[[#This Row],[SC Fill Date]],SnapshotTable[[#This Row],[SC Exp Date]]),"")</f>
        <v/>
      </c>
      <c r="FF127" s="4" t="str" cm="1">
        <f t="array" ref="FF127">IF(SnapshotTable[[#This Row],[SC Is Filled]], btc_should_buy_back(SnapshotTable[[#This Row],[SC Fill Date]], SnapshotTable[[#This Row],[SC Exp Date]], SnapshotTable[[#This Row],[SC Book Price]], SnapshotTable[[#This Row],[SC Current Ask]], MockToday, SnapshotTable[[#This Row],[SC Buyback Override]]),"")</f>
        <v/>
      </c>
      <c r="FG127" s="4">
        <f>IF(SnapshotTable[[#This Row],[SC Is Filled]], MAX(0,SnapshotTable[[#This Row],[Last Price]]  - SnapshotTable[[#This Row],[SC Strike Price]]), 0)</f>
        <v>0</v>
      </c>
      <c r="FH127" s="352">
        <f>IF(SnapshotTable[[#This Row],[SC Is Filled]], IF(ISNUMBER(SnapshotTable[[#This Row],[SC Current Ask]]), SnapshotTable[[#This Row],[SC Current Ask]], SnapshotTable[[#This Row],[SC Book Price]]) - SnapshotTable[[#This Row],[SC Intrinsic Value]], 0)</f>
        <v>0</v>
      </c>
      <c r="FI127" s="141"/>
      <c r="FJ127" s="32" t="str">
        <f>IF(SnapshotTable[[#This Row],[SC Is Filled]],100 * SnapshotTable[[#This Row],[SC Qty]] * IF(ISNUMBER(SnapshotTable[[#This Row],[SC Buyback Override]]), SnapshotTable[[#This Row],[SC Buyback Override]], SnapshotTable[[#This Row],[SC Current Ask]]), "")</f>
        <v/>
      </c>
      <c r="FK127" s="235" t="str">
        <f>IF(SnapshotTable[[#This Row],[SC Time Val]]&gt;0, SnapshotTable[[#This Row],[SC Time Val]] / SnapshotTable[[#This Row],[Last Price]],"")</f>
        <v/>
      </c>
      <c r="FL127" s="280" t="str">
        <f>IF(SnapshotTable[[#This Row],[SC Is Booked]], ((SnapshotTable[[#This Row],[Last Price]] -SnapshotTable[[#This Row],[SC Strike Price]]) / SnapshotTable[[#This Row],[Last Price]]) * -1, "")</f>
        <v/>
      </c>
      <c r="FM127" s="155" t="str">
        <f>IF(SnapshotTable[[#This Row],[SC Is Booked]],  (SnapshotTable[[#This Row],[SC Qty]] * 100 * SnapshotTable[[#This Row],[SC Strike Price]]) - SnapshotTable[[#This Row],[SC Current Ask]], "")</f>
        <v/>
      </c>
      <c r="FN1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7" s="31" t="str">
        <f>IF(AND(ISNUMBER(SnapshotTable[[#This Row],[SC Exercise Gross]]), ISNUMBER(SnapshotTable[[#This Row],[Equity Basis Per Share]] )), SnapshotTable[[#This Row],[SC Exercise Gross]] - SnapshotTable[[#This Row],[Equity Basis Total]] +  SnapshotTable[[#This Row],[SC Premium]], "")</f>
        <v/>
      </c>
      <c r="FP127" s="5" t="str">
        <f>IF(ISNUMBER(SnapshotTable[[#This Row],[SC Exercise Gross]]), (SnapshotTable[[#This Row],[SC Exercise Gross]]) / (SnapshotTable[[#This Row],[SC Qty]] * 100), "")</f>
        <v/>
      </c>
      <c r="FQ127" s="27" t="str">
        <f>IF(SnapshotTable[[#This Row],[SC Is Booked]],SnapshotTable[[#This Row],[SC Time Val]] /SnapshotTable[[#This Row],[SC Basis]], "")</f>
        <v/>
      </c>
      <c r="FR127" s="27" t="str" cm="1">
        <f t="array" ref="FR127">IF(AND(ISNUMBER(SnapshotTable[[#This Row],[SC Term]]),ISNUMBER(SnapshotTable[[#This Row],[SC Simple ROO]])), EllmanAnnualize(SnapshotTable[[#This Row],[SC DTE]], SnapshotTable[[#This Row],[SC Simple ROO]] ),"")</f>
        <v/>
      </c>
      <c r="FS127" s="4">
        <f>IF(SnapshotTable[[#This Row],[SC Strike Price]] &gt; SnapshotTable[[#This Row],[Last Price]], SnapshotTable[[#This Row],[SC Strike Price]] - SnapshotTable[[#This Row],[Last Price]],0)</f>
        <v>0</v>
      </c>
      <c r="FT127" s="27" t="str">
        <f>IF(AND(ISNUMBER(SnapshotTable[[#This Row],[SC Upside Potential]]), SnapshotTable[[#This Row],[SC Upside Potential]] &gt; 0),(SnapshotTable[[#This Row],[SC Upside Potential]]/ SnapshotTable[[#This Row],[ACB]]),"")</f>
        <v/>
      </c>
      <c r="FU127" s="304" t="str">
        <f>IF(SnapshotTable[[#This Row],[SC Intrinsic Value]] &gt; 0,SnapshotTable[[#This Row],[SC Intrinsic Value]],"")</f>
        <v/>
      </c>
      <c r="FV127" s="27" t="str">
        <f>IF(AND( ISNUMBER( SnapshotTable[[#This Row],[ACB]]),ISNUMBER(SnapshotTable[[#This Row],[SC Downside Protect]])),SnapshotTable[[#This Row],[SC Downside Protect]] / SnapshotTable[[#This Row],[ACB]],"")</f>
        <v/>
      </c>
      <c r="FW127" s="221" t="str">
        <f>IF(AND(ISNUMBER(SnapshotTable[[#This Row],[SC Simple ROO]]),SnapshotTable[[#This Row],[SC Simple ROO]] &gt; 0), SnapshotTable[[#This Row],[SC Premium]] + (SnapshotTable[[#This Row],[SC Qty]] * SnapshotTable[[#This Row],[SC Upside Potential]]), "")</f>
        <v/>
      </c>
      <c r="FX127" s="280" t="str" cm="1">
        <f t="array" ref="FX127">IF(ISNUMBER(SnapshotTable[[#This Row],[SC Max Dollars]]), annualize(SnapshotTable[[#This Row],[SC Term]],(SnapshotTable[[#This Row],[SC Max Dollars]]/SnapshotTable[[#This Row],[SC Basis]])),"")</f>
        <v/>
      </c>
      <c r="FY127" s="221" t="str">
        <f>IF(AND(SnapshotTable[[#This Row],[SC Qty]]&gt;0,SnapshotTable[[#This Row],[SC Current Ask]]&gt;0), SnapshotTable[[#This Row],[SC Qty]] * SnapshotTable[[#This Row],[SC Current Ask]] * -100, "")</f>
        <v/>
      </c>
      <c r="FZ127" s="31" t="str">
        <f>IF(ISNUMBER((SnapshotTable[[#This Row],[SC Current Value]])), SnapshotTable[[#This Row],[SC Premium]] + SnapshotTable[[#This Row],[SC Current Value]], "")</f>
        <v/>
      </c>
      <c r="GA127" s="272" t="str">
        <f>IFERROR( IF(ISNUMBER((SnapshotTable[[#This Row],[SC Current Value]])), SnapshotTable[[#This Row],[SC Gain Loss]] / SnapshotTable[[#This Row],[SC Premium]], ""), "")</f>
        <v/>
      </c>
      <c r="GB127" s="42">
        <f>SnapshotTable[[#This Row],[Equity Shares]] * SaleSharesToConsiderPercentage</f>
        <v>0</v>
      </c>
      <c r="GC127" s="40">
        <f>SnapshotTable[[#This Row],[Long Term Target]] * SellingPriceToConsiderBasedOnTargetPercentage</f>
        <v>0</v>
      </c>
      <c r="GD127" s="40">
        <f>SnapshotTable[[#This Row],[Last Price]] * (1+ SellingPriceToConsiderBasedOnTargetPercentage)</f>
        <v>1016.8665</v>
      </c>
      <c r="GE127" s="41"/>
      <c r="GF127" s="40"/>
      <c r="GG127" s="31">
        <f>SnapshotTable[[#This Row],[Booked Sale Shares]] * SnapshotTable[[#This Row],[Booked Sale Price]]</f>
        <v>0</v>
      </c>
      <c r="GH127" s="31" t="str">
        <f>IF(SnapshotTable[[#This Row],[Equity Basis Total]] &gt; 0, SnapshotTable[[#This Row],[Equity Basis Per Share]] * SnapshotTable[[#This Row],[Booked Sale Shares]], "")</f>
        <v/>
      </c>
      <c r="GI127" s="31">
        <f>IF(SnapshotTable[[#This Row],[Sale Proceeds]]&gt;0, SnapshotTable[[#This Row],[Sale Proceeds]] - SnapshotTable[[#This Row],[Sale Basis]], 0)</f>
        <v>0</v>
      </c>
      <c r="GJ127" s="27" t="str">
        <f>IF(SnapshotTable[[#This Row],[Sale G/L]]&gt;0, SnapshotTable[[#This Row],[Sale G/L]] / SnapshotTable[[#This Row],[Sale Basis]], IF(ISNUMBER(SnapshotTable[[#This Row],[SC Exercise P&amp;L (TAX)]]), SnapshotTable[[#This Row],[SC Exercise P&amp;L (TAX)]] / SnapshotTable[[#This Row],[SC Basis]], ""))</f>
        <v/>
      </c>
      <c r="GK127" s="27" t="s">
        <v>875</v>
      </c>
      <c r="GL127" s="43" t="str">
        <f>IF(AND(SnapshotTable[[#This Row],[LP Exp Date]]&gt;0,SnapshotTable[[#This Row],[LP Strike Price]]&gt;0), [1]!ToOptionSymbol(SnapshotTable[[#This Row],[Symbol]], SnapshotTable[[#This Row],[LP Strike Price]],SnapshotTable[[#This Row],[LP Exp Date]],1), "")</f>
        <v/>
      </c>
      <c r="GM127" s="30" t="str">
        <f>IF(LEN(SnapshotTable[[#This Row],[LP Symbol]])&gt;0, 1, "")</f>
        <v/>
      </c>
      <c r="GN127" s="43" t="str">
        <f>IF(AND(SnapshotTable[[#This Row],[SP Exp Date]]&gt;0,SnapshotTable[[#This Row],[SP Strike Price]]&gt;0), [1]!ToOptionSymbol(SnapshotTable[[#This Row],[Symbol]], SnapshotTable[[#This Row],[SP Strike Price]],SnapshotTable[[#This Row],[SP Exp Date]],1), "")</f>
        <v/>
      </c>
      <c r="GO127" s="30" t="str">
        <f>IF(LEN(SnapshotTable[[#This Row],[SP Symbol]])&gt;0, 1, "")</f>
        <v/>
      </c>
      <c r="GP127" s="43" t="str">
        <f>IF(AND(SnapshotTable[[#This Row],[LC Exp Date]]&gt;0,SnapshotTable[[#This Row],[LC Strike Price]]&gt;0), [1]!ToOptionSymbol(SnapshotTable[[#This Row],[Symbol]], SnapshotTable[[#This Row],[LC Strike Price]],SnapshotTable[[#This Row],[LC Exp Date]],0), "")</f>
        <v/>
      </c>
      <c r="GQ127" s="30" t="str">
        <f>IF(LEN(SnapshotTable[[#This Row],[LC Symbol]])&gt;0, 1, "")</f>
        <v/>
      </c>
      <c r="GR127" s="43" t="str">
        <f>IF(AND(SnapshotTable[[#This Row],[SC Exp Date]]&gt;0,SnapshotTable[[#This Row],[SC Strike Price]]&gt;0), [1]!ToOptionSymbol(SnapshotTable[[#This Row],[Symbol]], SnapshotTable[[#This Row],[SC Strike Price]],SnapshotTable[[#This Row],[SC Exp Date]],0), "")</f>
        <v/>
      </c>
      <c r="GS127" s="30" t="str">
        <f>IF(LEN(SnapshotTable[[#This Row],[SC Symbol]])&gt;0, 1, "")</f>
        <v/>
      </c>
      <c r="GT127" s="29" t="str">
        <f>IF(COUNT(SnapshotTable[[#This Row],[LP Symbol Count]],SnapshotTable[[#This Row],[SP Symbol Count]],SnapshotTable[[#This Row],[LC Symbol Count]],SnapshotTable[[#This Row],[SC Symbol Count]])&gt;0, "Y", "")</f>
        <v/>
      </c>
      <c r="GU1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7" s="216">
        <f>MAX(SnapshotTable[[#This Row],[Equity Basis Total]],SnapshotTable[[#This Row],[Equity Value]]) + (SnapshotTable[[#This Row],[SP Potential Spend]]- SnapshotTable[[#This Row],[SP Premium]] + SnapshotTable[[#This Row],[LP Premium]])+ (SnapshotTable[[#This Row],[LC Premium]] - SnapshotTable[[#This Row],[SC Premium]])</f>
        <v>0</v>
      </c>
      <c r="GW127" s="137" t="str">
        <f>IF(AND(SnapshotTable[[#This Row],[Exposure]] &lt;&gt; 0),SnapshotTable[[#This Row],[Exposure]] / SnapshotTable[[#Totals],[Exposure]], "")</f>
        <v/>
      </c>
      <c r="HE127" s="253"/>
      <c r="HF127" s="253"/>
      <c r="HK127" s="1"/>
      <c r="HL127" s="1"/>
      <c r="HM127" s="1"/>
      <c r="HN127" s="1"/>
      <c r="HO127" s="1"/>
      <c r="HP127" s="1"/>
    </row>
    <row r="128" spans="2:224" ht="12.75" hidden="1" customHeight="1" x14ac:dyDescent="0.25">
      <c r="B128" s="12" t="s">
        <v>649</v>
      </c>
      <c r="C128" s="385">
        <v>168.82</v>
      </c>
      <c r="D128" s="200"/>
      <c r="E128" s="39">
        <f>SnapshotTable[[#This Row],[Last Price]]*(1 -CrashDiscount)</f>
        <v>143.49699999999999</v>
      </c>
      <c r="F128" s="26" t="s">
        <v>149</v>
      </c>
      <c r="G128" s="26" t="s">
        <v>32</v>
      </c>
      <c r="H128" s="147"/>
      <c r="I128" s="186">
        <v>44770.666666666664</v>
      </c>
      <c r="J128" s="187">
        <v>44770.666666666664</v>
      </c>
      <c r="K128" s="188"/>
      <c r="L128" s="297"/>
      <c r="M128" s="138">
        <v>1</v>
      </c>
      <c r="N128" s="138"/>
      <c r="O128" s="138"/>
      <c r="P128" s="22"/>
      <c r="Q128" s="25"/>
      <c r="R128" s="4" t="str">
        <f>IF(SnapshotTable[[#This Row],[Equity Basis Total]] &gt; 0, SnapshotTable[[#This Row],[Equity Basis Total]] / SnapshotTable[[#This Row],[Equity Shares]], "")</f>
        <v/>
      </c>
      <c r="S128" s="254">
        <f>SnapshotTable[[#This Row],[Last Price]] * SnapshotTable[[#This Row],[Equity Shares]]</f>
        <v>0</v>
      </c>
      <c r="T128" s="254">
        <f>SnapshotTable[[#This Row],[Equity Value]] - SnapshotTable[[#This Row],[Equity Basis Total]]</f>
        <v>0</v>
      </c>
      <c r="U128" s="255" t="str">
        <f>IF(SnapshotTable[[#This Row],[Equity Basis Total]] &gt; 0, SnapshotTable[[#This Row],[Equity G/L]] / SnapshotTable[[#This Row],[Equity Basis Total]], "")</f>
        <v/>
      </c>
      <c r="V128" s="253"/>
      <c r="W128" s="253"/>
      <c r="X128" s="4" t="str">
        <f>IF(AND(ISNUMBER(SnapshotTable[[#This Row],[Equity Basis Per Share]]),ISNUMBER(SnapshotTable[[#This Row],[Equity Target]])),SnapshotTable[[#This Row],[Equity Target]]-SnapshotTable[[#This Row],[Equity Basis Per Share]],"")</f>
        <v/>
      </c>
      <c r="Y128" s="4" t="str">
        <f>IF(AND(ISNUMBER(SnapshotTable[[#This Row],[Equity Basis Per Share]]),ISNUMBER(SnapshotTable[[#This Row],[Equity Stop Loss]])),SnapshotTable[[#This Row],[Equity Stop Loss]]-SnapshotTable[[#This Row],[Equity Basis Per Share]],"")</f>
        <v/>
      </c>
      <c r="Z128" s="260" t="str">
        <f>IFERROR( TEXT(SnapshotTable[[#This Row],[Equity Max Gain Per Share]] /ABS( SnapshotTable[[#This Row],[Equity Max Loss Per Share]]),"0.0 " ) &amp; " : 1", "")</f>
        <v/>
      </c>
      <c r="AA128" s="31" t="str">
        <f>IF(ISNUMBER(SnapshotTable[[#This Row],[Equity Max Gain Per Share]]),SnapshotTable[[#This Row],[Equity Max Gain Per Share]] * SnapshotTable[[#This Row],[Equity Shares]],"")</f>
        <v/>
      </c>
      <c r="AB128" s="31" t="str">
        <f>IF(ISNUMBER(SnapshotTable[[#This Row],[Equity Max Loss Per Share]]),SnapshotTable[[#This Row],[Equity Max Loss Per Share]] * SnapshotTable[[#This Row],[Equity Shares]],"")</f>
        <v/>
      </c>
      <c r="AC128" s="148"/>
      <c r="AD128" s="149"/>
      <c r="AE128" s="31">
        <f>(SnapshotTable[[#This Row],[Annual Dividend Per Share]] / 4) * SnapshotTable[[#This Row],[Equity Shares]]</f>
        <v>0</v>
      </c>
      <c r="AF128" s="31">
        <f>SnapshotTable[[#This Row],[Quarterly Div $]] * 4</f>
        <v>0</v>
      </c>
      <c r="AG128" s="7">
        <f>IF(SnapshotTable[[#This Row],[Annual Dividend Per Share]]&gt;0, SnapshotTable[[#This Row],[Annual Dividend Per Share]]  / SnapshotTable[[#This Row],[Last Price]], 0)</f>
        <v>0</v>
      </c>
      <c r="AH128" s="149"/>
      <c r="AI128" s="5">
        <v>185</v>
      </c>
      <c r="AJ128" s="136">
        <v>167.53</v>
      </c>
      <c r="AK128" s="150">
        <f>IF(ISNUMBER( SnapshotTable[[#This Row],[EBF Target]]),(SnapshotTable[[#This Row],[EBF Target]] - SnapshotTable[[#This Row],[Last Price]]) / SnapshotTable[[#This Row],[Last Price]], "")</f>
        <v>9.5841724914109749E-2</v>
      </c>
      <c r="AL128" s="150" t="str">
        <f>IF(AND(SnapshotTable[[#This Row],[Equity Basis Total]] &gt; 0,ISNUMBER( SnapshotTable[[#This Row],[Long Term Target]])), SnapshotTable[[#This Row],[From Basis $]] / SnapshotTable[[#This Row],[Equity Basis Total]], "")</f>
        <v/>
      </c>
      <c r="AM128" s="9">
        <f>IF( AND(SnapshotTable[[#This Row],[Equity Shares]] &gt;0,ISNUMBER( SnapshotTable[[#This Row],[Long Term Target]])),(SnapshotTable[[#This Row],[Equity Shares]] * SnapshotTable[[#This Row],[Long Term Target]]) - SnapshotTable[[#This Row],[Equity Basis Total]],0)</f>
        <v>0</v>
      </c>
      <c r="AN128" s="9">
        <f>IF( AND(SnapshotTable[[#This Row],[Equity Shares]] &gt;0,ISNUMBER( SnapshotTable[[#This Row],[Long Term Target]])),(SnapshotTable[[#This Row],[Equity Shares]]*SnapshotTable[[#This Row],[Long Term Target]]) - SnapshotTable[[#This Row],[Equity Value]],0)</f>
        <v>0</v>
      </c>
      <c r="AO128" s="150">
        <f>IF(AND(ISNUMBER( SnapshotTable[[#This Row],[Long Term Target]]), ISNUMBER(SnapshotTable[[#This Row],[Last Price]])),(SnapshotTable[[#This Row],[Long Term Target]] - SnapshotTable[[#This Row],[Last Price]]) / SnapshotTable[[#This Row],[Last Price]], "")</f>
        <v>-7.6412747304821236E-3</v>
      </c>
      <c r="AP128" s="5"/>
      <c r="AQ128" s="38"/>
      <c r="AR128" s="5"/>
      <c r="AS128" s="38"/>
      <c r="AT128" s="144"/>
      <c r="AU128" s="185" t="str">
        <f>IF(OR(SnapshotTable[[#This Row],[LP No Fill]]="Y",SnapshotTable[[#This Row],[SP Is Filled]],SnapshotTable[[#This Row],[LC Not Filled]]="Y",SnapshotTable[[#This Row],[SC Is Filled]]),"Y","")</f>
        <v/>
      </c>
      <c r="AV128" s="205"/>
      <c r="AW128" s="211"/>
      <c r="AX128" s="206"/>
      <c r="AY128" s="205" t="str">
        <f>IF(SnapshotTable[[#This Row],[Implied Move]]&gt;0, SnapshotTable[[#This Row],[Last Price]]-SnapshotTable[[#This Row],[Implied Move]],"")</f>
        <v/>
      </c>
      <c r="AZ128" s="205" t="str">
        <f>IF(SnapshotTable[[#This Row],[Implied Move]]&gt;0, SnapshotTable[[#This Row],[Last Price]] + SnapshotTable[[#This Row],[Implied Move]],"")</f>
        <v/>
      </c>
      <c r="BA128" s="302"/>
      <c r="BB128" s="318"/>
      <c r="BC1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8" s="321"/>
      <c r="BE128" s="136"/>
      <c r="BF128" s="164"/>
      <c r="BG128" s="165"/>
      <c r="BH128" s="165"/>
      <c r="BI128" s="207"/>
      <c r="BJ128" s="151">
        <f>IF(SnapshotTable[[#This Row],[LP Qty]] &gt; 0, SnapshotTable[[#This Row],[LP Qty]] * SnapshotTable[[#This Row],[LP Book Price]] * 100,0)</f>
        <v>0</v>
      </c>
      <c r="BK128" s="134">
        <f>IF(SnapshotTable[[#This Row],[LP Premium]] &gt; 0, SnapshotTable[[#This Row],[LP Qty]] * SnapshotTable[[#This Row],[LP Strike Price]] * 100,0)</f>
        <v>0</v>
      </c>
      <c r="BL128" s="152"/>
      <c r="BM128" s="355" t="str">
        <f>IF(SnapshotTable[[#This Row],[LP Premium]] &gt; 0,SnapshotTable[[#This Row],[LP Exp Date]]-MAX(SnapshotTable[[#This Row],[LP Book Date]], SnapshotTable[[#This Row],[LP Fill Date]]),"")</f>
        <v/>
      </c>
      <c r="BN128" s="355" t="str">
        <f>IF(ISNUMBER( SnapshotTable[[#This Row],[LP Term]]), SnapshotTable[[#This Row],[LP Exp Date]] - MockToday,"")</f>
        <v/>
      </c>
      <c r="BO128" s="161" t="str">
        <f>IF(AND(SnapshotTable[[#This Row],[LP Exp Date]]&gt;0, SnapshotTable[[#This Row],[LP Strike Price]]&gt;0,SnapshotTable[[#This Row],[LP Qty]]&gt;0,SnapshotTable[[#This Row],[LP Book Date]]&gt;0,SnapshotTable[[#This Row],[LP Book Price]]&gt;0,SnapshotTable[[#This Row],[LP Fill Date]]=0),"Y","")</f>
        <v/>
      </c>
      <c r="BP128" s="31" t="str">
        <f>IF(AND(SnapshotTable[[#This Row],[LP No Fill]]&lt;&gt;"Y",SnapshotTable[[#This Row],[LP Contract Value]]&gt;0, SnapshotTable[[#This Row],[LP Qty]]&gt;0), SnapshotTable[[#This Row],[LP Contract Value]]*SnapshotTable[[#This Row],[LP Qty]]*100,"")</f>
        <v/>
      </c>
      <c r="BQ128" s="13"/>
      <c r="BR128" s="5"/>
      <c r="BS128" s="36"/>
      <c r="BT128" s="145"/>
      <c r="BU128" s="13"/>
      <c r="BV128" s="5"/>
      <c r="BW128" s="382" t="b">
        <f>AND(ISNUMBER(SnapshotTable[[#This Row],[SP Exp Date]]), ISNUMBER(SnapshotTable[[#This Row],[SP Strike Price]]), ISNUMBER(SnapshotTable[[#This Row],[SP Qty]]), ISNUMBER(SnapshotTable[[#This Row],[SP Book Date]]), ISNUMBER(SnapshotTable[[#This Row],[SP Book Price]]))</f>
        <v>0</v>
      </c>
      <c r="BX128" s="382" t="b">
        <f>AND(SnapshotTable[[#This Row],[SP Is Booked]], NOT(ISBLANK(SnapshotTable[[#This Row],[SP Fill Date]])))</f>
        <v>0</v>
      </c>
      <c r="BY128" s="33">
        <f>IF(SnapshotTable[[#This Row],[SP Is Booked]], SnapshotTable[[#This Row],[SP Qty]] * SnapshotTable[[#This Row],[SP Book Price]] * 100, 0)</f>
        <v>0</v>
      </c>
      <c r="BZ128" s="339"/>
      <c r="CA128" s="338">
        <f>SnapshotTable[[#This Row],[LP Qty]]</f>
        <v>0</v>
      </c>
      <c r="CB128" s="4" t="str">
        <f>IF(SnapshotTable[[#This Row],[SP Is Booked]], SnapshotTable[[#This Row],[SP Strike Price]] - SnapshotTable[[#This Row],[SP Book Price]], "")</f>
        <v/>
      </c>
      <c r="CC128" s="19" t="str">
        <f>IF(SnapshotTable[[#This Row],[SP Is Booked]],SnapshotTable[[#This Row],[SP Exp Date]]-MAX(SnapshotTable[[#This Row],[SP Book Date]], SnapshotTable[[#This Row],[SP Fill Date]]),"")</f>
        <v/>
      </c>
      <c r="CD128" s="7" t="str">
        <f>IF(SnapshotTable[[#This Row],[SP Is Booked]], SnapshotTable[[#This Row],[SP Book Price]]/SnapshotTable[[#This Row],[SP Strike Price]], "")</f>
        <v/>
      </c>
      <c r="CE128" s="7" t="str">
        <f>IF(ISNUMBER(SnapshotTable[[#This Row],[SP ROO Term]]),SnapshotTable[[#This Row],[SP ROO Term]]*(365/SnapshotTable[[#This Row],[SP Term]]),"")</f>
        <v/>
      </c>
      <c r="CF128" s="221">
        <f>SnapshotTable[[#This Row],[LP Strike Price]] * SnapshotTable[[#This Row],[LP Qty]] * 100</f>
        <v>0</v>
      </c>
      <c r="CG128" s="31">
        <f>IF(ISNUMBER(SnapshotTable[[#This Row],[SP Premium]]), (SnapshotTable[[#This Row],[SP Qty]] * SnapshotTable[[#This Row],[SP Strike Price]]* 100) - SnapshotTable[[#This Row],[LP Protection]], 0)</f>
        <v>0</v>
      </c>
      <c r="CH128" s="7" t="str">
        <f>IF(ISNUMBER(SnapshotTable[[#This Row],[SP Break Even]]),-1 * (SnapshotTable[[#This Row],[SP Break Even]] - SnapshotTable[[#This Row],[Last Price]]) / SnapshotTable[[#This Row],[Last Price]], "")</f>
        <v/>
      </c>
      <c r="CI128" s="31">
        <f>IF(AND(ISNUMBER((SnapshotTable[[#This Row],[SP Potential Spend]])), SnapshotTable[[#This Row],[SP Strike Price]] &gt; SnapshotTable[[#This Row],[Last Price]], SnapshotTable[[#This Row],[SP Is Filled]]), SnapshotTable[[#This Row],[SP Potential Spend]] -  SnapshotTable[[#This Row],[LP Max Value]], 0)</f>
        <v>0</v>
      </c>
      <c r="CJ128" s="229"/>
      <c r="CK128" s="31">
        <f>IF(ISNUMBER(SnapshotTable[[#This Row],[SP Potential Spend]]),IF(ISNUMBER(SnapshotTable[[#This Row],[SP POW]]), SnapshotTable[[#This Row],[SP POW]] * SnapshotTable[[#This Row],[SP Potential Spend]], SnapshotTable[[#This Row],[SP Potential Spend]]), "")</f>
        <v>0</v>
      </c>
      <c r="CL128" s="162">
        <f>IF(NOT(SnapshotTable[[#This Row],[SP Is Filled]]),(SnapshotTable[[#This Row],[SP Qty]] * SnapshotTable[[#This Row],[SP Strike Price]] * 100) - SnapshotTable[[#This Row],[LP Max Value]],"")</f>
        <v>0</v>
      </c>
      <c r="CM128" s="31" t="str">
        <f>IF(SnapshotTable[[#This Row],[SP Actual Spend]]&lt;&gt;0, ((SnapshotTable[[#This Row],[SP Strike Price]]-SnapshotTable[[#This Row],[Last Price]]) *(SnapshotTable[[#This Row],[SP Qty]]*100) - SnapshotTable[[#This Row],[SP Premium]]) * - 1, "")</f>
        <v/>
      </c>
      <c r="CN128" s="152"/>
      <c r="CO128" s="339"/>
      <c r="CP128" s="4" t="str">
        <f>IF(SnapshotTable[[#This Row],[SP Is Filled]], btc_max_buyback_amount(SnapshotTable[[#This Row],[SP Fill Date]],SnapshotTable[[#This Row],[SP Exp Date]], SnapshotTable[[#This Row],[SP Book Price]]),"")</f>
        <v/>
      </c>
      <c r="CQ128" s="76"/>
      <c r="CR1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8" s="153" t="str">
        <f>IF(SnapshotTable[[#This Row],[SP Is Filled]], btc_next_cutoff_date(SnapshotTable[[#This Row],[SP Fill Date]],SnapshotTable[[#This Row],[SP Exp Date]]),"")</f>
        <v/>
      </c>
      <c r="CT128" s="220" t="str" cm="1">
        <f t="array" ref="CT128">IF(SnapshotTable[[#This Row],[SP Is Filled]], btc_should_buy_back(SnapshotTable[[#This Row],[SP Fill Date]], SnapshotTable[[#This Row],[SP Exp Date]], SnapshotTable[[#This Row],[SP Book Price]], SnapshotTable[[#This Row],[SP Current Ask]], MockToday, SnapshotTable[[#This Row],[SP Buyback Override]]),"")</f>
        <v/>
      </c>
      <c r="CU128" s="154"/>
      <c r="CV128" s="220"/>
      <c r="CW128" s="348" t="str">
        <f>IF(ISNUMBER( SnapshotTable[[#This Row],[SP Term]]), SnapshotTable[[#This Row],[SP Exp Date]] - MockToday,"")</f>
        <v/>
      </c>
      <c r="CX128" s="31" t="str">
        <f>IF(SnapshotTable[[#This Row],[SP Is Filled]],SnapshotTable[[#This Row],[SP Buyback Price to Use]] * 100 * SnapshotTable[[#This Row],[SP Qty]], "")</f>
        <v/>
      </c>
      <c r="CY128" s="4" t="str">
        <f>IF(ISNUMBER(SnapshotTable[[#This Row],[SP Strike Price]]), SnapshotTable[[#This Row],[SP Strike Price]] * (1 - SP_MaxLoss_StrikePct), "")</f>
        <v/>
      </c>
      <c r="CZ128" s="31" t="str">
        <f>IF(ISNUMBER(SnapshotTable[[#This Row],[SP Strike  Stop Per Share]]),SnapshotTable[[#This Row],[SP Premium]] - ((SnapshotTable[[#This Row],[SP Strike Price]]-SnapshotTable[[#This Row],[SP Strike  Stop Per Share]]) *(SnapshotTable[[#This Row],[SP Qty]] * 100)),"")</f>
        <v/>
      </c>
      <c r="DA128" s="4" t="str">
        <f>IF(AND(ISNUMBER(SnapshotTable[[#This Row],[SP Premium]]),SnapshotTable[[#This Row],[SP Premium]]&gt;0), SnapshotTable[[#This Row],[SP Book Price]] * (1 + SP_MaxLoss_OptionPct), "")</f>
        <v/>
      </c>
      <c r="DB128" s="31" t="str">
        <f>IF(ISNUMBER(SnapshotTable[[#This Row],[SP Option  Stop Contract]]),(SnapshotTable[[#This Row],[SP Option  Stop Contract]] *(SnapshotTable[[#This Row],[SP Qty]] * 100) - SnapshotTable[[#This Row],[SP Premium]]),"")</f>
        <v/>
      </c>
      <c r="DC128" s="4"/>
      <c r="DD128" s="4"/>
      <c r="DE128" s="4" t="str">
        <f>IF(AND(SnapshotTable[[#This Row],[SP Qty]]&gt;0, SnapshotTable[[#This Row],[SP Stop To Use]]&gt;0),SnapshotTable[[#This Row],[SP Premium]] - ( SnapshotTable[[#This Row],[SP Qty]] * SnapshotTable[[#This Row],[SP Stop To Use]] * 100), "")</f>
        <v/>
      </c>
      <c r="DF128" s="31" t="str">
        <f>IF(AND(SnapshotTable[[#This Row],[SP Qty]]&gt;0,SnapshotTable[[#This Row],[SP Current Ask]]&gt;0), SnapshotTable[[#This Row],[SP Qty]] * SnapshotTable[[#This Row],[SP Current Ask]] * -100, "")</f>
        <v/>
      </c>
      <c r="DG128" s="31" t="str">
        <f>IF(ISNUMBER((SnapshotTable[[#This Row],[SP Total Value]])), SnapshotTable[[#This Row],[SP Premium]] + SnapshotTable[[#This Row],[SP Total Value]], "")</f>
        <v/>
      </c>
      <c r="DH128" s="272" t="str">
        <f>IF(ISNUMBER((SnapshotTable[[#This Row],[SP Total Value]])), SnapshotTable[[#This Row],[SP Gain Loss]] / SnapshotTable[[#This Row],[SP Premium]], "")</f>
        <v/>
      </c>
      <c r="DI128" s="369"/>
      <c r="DJ128" s="136"/>
      <c r="DK128" s="146"/>
      <c r="DL128" s="145"/>
      <c r="DM128" s="145"/>
      <c r="DO128" s="31">
        <f>IF(SnapshotTable[[#This Row],[LC Symbol Count]]=1, SnapshotTable[[#This Row],[LC Qty]] * SnapshotTable[[#This Row],[LC Book Price]] * 100, 0)</f>
        <v>0</v>
      </c>
      <c r="DP128" s="161" t="str">
        <f>IF(AND(SnapshotTable[[#This Row],[LC Exp Date]]&gt;0, SnapshotTable[[#This Row],[LC Strike Price]]&gt;0,SnapshotTable[[#This Row],[LC Qty]]&gt;0,SnapshotTable[[#This Row],[LC Book Date]]&gt;0,SnapshotTable[[#This Row],[LC Book Price]]&gt;0,SnapshotTable[[#This Row],[LC Fill Date]]=0),"Y","")</f>
        <v/>
      </c>
      <c r="DQ128" s="356" t="str">
        <f>IF(SnapshotTable[[#This Row],[LC Premium]] &gt; 0,SnapshotTable[[#This Row],[LC Exp Date]]-MAX(SnapshotTable[[#This Row],[LC Book Date]], SnapshotTable[[#This Row],[LC Fill Date]]),"")</f>
        <v/>
      </c>
      <c r="DR128" s="356" t="str">
        <f>IF(ISNUMBER(SnapshotTable[[#This Row],[LC Term]]), SnapshotTable[[#This Row],[LC Exp Date]] - MockToday, "")</f>
        <v/>
      </c>
      <c r="DS128" s="219" t="str">
        <f>IF(SnapshotTable[[#This Row],[LC Premium]]&gt;0,SnapshotTable[[#This Row],[LC Strike Price]] + SnapshotTable[[#This Row],[LC Book Price]],"")</f>
        <v/>
      </c>
      <c r="DU128" s="9" t="str">
        <f>IF(AND(SnapshotTable[[#This Row],[LC Symbol Count]]&gt;0, SnapshotTable[[#This Row],[LC Contract Value]]&gt;0), SnapshotTable[[#This Row],[LC Contract Value]] * SnapshotTable[[#This Row],[LC Qty]] * 100, "")</f>
        <v/>
      </c>
      <c r="DV128" s="9" t="str">
        <f>IF(AND(ISNUMBER(SnapshotTable[[#This Row],[LC Total Value]]), SnapshotTable[[#This Row],[LC Not Filled]]&lt;&gt;"Y"), SnapshotTable[[#This Row],[LC Total Value]]-SnapshotTable[[#This Row],[LC Premium]],"")</f>
        <v/>
      </c>
      <c r="DW128" s="225" t="str">
        <f>IF(ISNUMBER(SnapshotTable[[#This Row],[LC Actual Gain Loss]]), SnapshotTable[[#This Row],[LC Actual Gain Loss]] / SnapshotTable[[#This Row],[LC Premium]],"")</f>
        <v/>
      </c>
      <c r="DX128" s="269" t="str">
        <f>IF(ISNUMBER(SnapshotTable[[#This Row],[LC Book Price]]),SnapshotTable[[#This Row],[LC Book Price]] * 1.5,"")</f>
        <v/>
      </c>
      <c r="DY128" s="250" t="str">
        <f>IF(SnapshotTable[[#This Row],[LC Premium]]&gt;0, SnapshotTable[[#This Row],[LC Next Target]] * SnapshotTable[[#This Row],[LC Qty]] * 100,"")</f>
        <v/>
      </c>
      <c r="DZ128" s="250" t="str">
        <f>IF(ISNUMBER(SnapshotTable[[#This Row],[LC Target Gross]]), SnapshotTable[[#This Row],[LC Target Gross]] - SnapshotTable[[#This Row],[LC Premium]], "")</f>
        <v/>
      </c>
      <c r="EA128" s="283" t="str">
        <f>IF(ISNUMBER(SnapshotTable[[#This Row],[LC Target Gain Loss]]), SnapshotTable[[#This Row],[LC Target Gain Loss]]/SnapshotTable[[#This Row],[LC Premium]], "")</f>
        <v/>
      </c>
      <c r="EB128" s="247"/>
      <c r="EC128" s="268" t="str">
        <f>IF(SnapshotTable[[#This Row],[LC Premium]]&gt;0, SnapshotTable[[#This Row],[LC Book Price]] * (1 - LC_StopLoss_Pct),"")</f>
        <v/>
      </c>
      <c r="ED128" s="269"/>
      <c r="EE128" s="268" t="str">
        <f>IF(ISNUMBER(SnapshotTable[[#This Row],[LC Contract Value]]),IF(ISNUMBER(SnapshotTable[[#This Row],[LC Stop Loss Override]]), SnapshotTable[[#This Row],[LC Stop Loss Override]],SnapshotTable[[#This Row],[LC Stop Loss Calc Target]]),"")</f>
        <v/>
      </c>
      <c r="EF128" s="31" t="str">
        <f>IF(ISNUMBER(SnapshotTable[[#This Row],[LC Stop  To Use]]), (SnapshotTable[[#This Row],[LC Stop  To Use]] * SnapshotTable[[#This Row],[LC Qty]] * 100),"")</f>
        <v/>
      </c>
      <c r="EG128" s="9" t="str">
        <f>IF(ISNUMBER(SnapshotTable[[#This Row],[LC Total Value]]),SnapshotTable[[#This Row],[LC Stop Loss Amount]] - SnapshotTable[[#This Row],[LC Premium]],"")</f>
        <v/>
      </c>
      <c r="EH128" s="9">
        <f>IF(ISNUMBER(SnapshotTable[[#This Row],[LC Premium]]), SnapshotTable[[#This Row],[LC Qty]] * 100 * SnapshotTable[[#This Row],[LC Strike Price]], "")</f>
        <v>0</v>
      </c>
      <c r="EI128" s="225" t="str">
        <f>IF(AND(ISNUMBER(SnapshotTable[[#This Row],[LC Total Value]]),SnapshotTable[[#This Row],[LC Total Value]]&gt;0),SnapshotTable[[#This Row],[LC Stop Gain Loss]]  / SnapshotTable[[#This Row],[LC Premium]],"")</f>
        <v/>
      </c>
      <c r="EJ128" s="35">
        <f>IF(ISNUMBER(SnapshotTable[[#This Row],[Equity Shares]]),TRUNC(SnapshotTable[[#This Row],[Equity Shares]] / 100),0) + SnapshotTable[[#This Row],[LC Qty]]</f>
        <v>0</v>
      </c>
      <c r="EK128" s="145"/>
      <c r="EL128" s="136"/>
      <c r="EM128" s="146"/>
      <c r="EN128" s="145"/>
      <c r="EO128" s="145"/>
      <c r="EP128" s="136"/>
      <c r="EQ128" s="382" t="b">
        <f>AND(ISNUMBER(SnapshotTable[[#This Row],[SC Exp Date]]), ISNUMBER(SnapshotTable[[#This Row],[SC Strike Price]]), ISNUMBER(SnapshotTable[[#This Row],[SC Qty]]), ISNUMBER(SnapshotTable[[#This Row],[SC Book Date]]), ISNUMBER(SnapshotTable[[#This Row],[SC Book Price]]))</f>
        <v>0</v>
      </c>
      <c r="ER128" s="382" t="b">
        <f>AND(SnapshotTable[[#This Row],[SC Is Booked]], NOT(ISBLANK(SnapshotTable[[#This Row],[SC Fill Date]])))</f>
        <v>0</v>
      </c>
      <c r="ES128" s="340"/>
      <c r="ET128" s="34" t="str">
        <f>IF(AND(ISNUMBER(SnapshotTable[[#This Row],[SC Exp Date]]), ISNUMBER(SnapshotTable[[#This Row],[SC Book Date]])), SnapshotTable[[#This Row],[SC Exp Date]] - MAX(SnapshotTable[[#This Row],[SC Book Date]], SnapshotTable[[#This Row],[SC Fill Date]]) + 1, "")</f>
        <v/>
      </c>
      <c r="EU128" s="34" t="str">
        <f>IF(ISNUMBER(SnapshotTable[[#This Row],[SC Term]]), SnapshotTable[[#This Row],[SC Exp Date]]- MockToday, "")</f>
        <v/>
      </c>
      <c r="EV128" s="31">
        <f>IF(SnapshotTable[[#This Row],[SC Is Booked]], SnapshotTable[[#This Row],[SC Qty]] * SnapshotTable[[#This Row],[SC Book Price]] * 100, 0)</f>
        <v>0</v>
      </c>
      <c r="EW128" s="4" t="str">
        <f>IF(AND(ISNUMBER(SnapshotTable[[#This Row],[Last Price]]), ISNUMBER( SnapshotTable[[#This Row],[SC Book Price]])), SnapshotTable[[#This Row],[Last Price]] - SnapshotTable[[#This Row],[SC Book Price]],"")</f>
        <v/>
      </c>
      <c r="EX128" s="219" t="str">
        <f>IF(SnapshotTable[[#This Row],[SC Is Booked]],IF(SnapshotTable[[#This Row],[SC Intrinsic Value]] &gt; 0, SnapshotTable[[#This Row],[SC Strike Price]], SnapshotTable[[#This Row],[Last Price]]), "")</f>
        <v/>
      </c>
      <c r="EY128" s="4">
        <f>IF(SnapshotTable[[#This Row],[SC Is Booked]], (MinimumPremiumRequired * SnapshotTable[[#This Row],[SC Basis]] * SnapshotTable[[#This Row],[SC Term]]), 0)</f>
        <v>0</v>
      </c>
      <c r="EZ128" s="268"/>
      <c r="FA128" s="204"/>
      <c r="FB128" s="340"/>
      <c r="FC128" s="4">
        <f>IF(SnapshotTable[[#This Row],[SC Is Filled]], btc_max_buyback_amount(SnapshotTable[[#This Row],[SC Fill Date]],SnapshotTable[[#This Row],[SC Exp Date]], SnapshotTable[[#This Row],[SC Book Price]]),0)</f>
        <v>0</v>
      </c>
      <c r="FD128" s="5"/>
      <c r="FE128" s="142" t="str">
        <f>IF(SnapshotTable[[#This Row],[SC Is Filled]], btc_next_cutoff_date(SnapshotTable[[#This Row],[SC Fill Date]],SnapshotTable[[#This Row],[SC Exp Date]]),"")</f>
        <v/>
      </c>
      <c r="FF128" s="4" t="str" cm="1">
        <f t="array" ref="FF128">IF(SnapshotTable[[#This Row],[SC Is Filled]], btc_should_buy_back(SnapshotTable[[#This Row],[SC Fill Date]], SnapshotTable[[#This Row],[SC Exp Date]], SnapshotTable[[#This Row],[SC Book Price]], SnapshotTable[[#This Row],[SC Current Ask]], MockToday, SnapshotTable[[#This Row],[SC Buyback Override]]),"")</f>
        <v/>
      </c>
      <c r="FG128" s="4">
        <f>IF(SnapshotTable[[#This Row],[SC Is Filled]], MAX(0,SnapshotTable[[#This Row],[Last Price]]  - SnapshotTable[[#This Row],[SC Strike Price]]), 0)</f>
        <v>0</v>
      </c>
      <c r="FH128" s="352">
        <f>IF(SnapshotTable[[#This Row],[SC Is Filled]], IF(ISNUMBER(SnapshotTable[[#This Row],[SC Current Ask]]), SnapshotTable[[#This Row],[SC Current Ask]], SnapshotTable[[#This Row],[SC Book Price]]) - SnapshotTable[[#This Row],[SC Intrinsic Value]], 0)</f>
        <v>0</v>
      </c>
      <c r="FI128" s="141"/>
      <c r="FJ128" s="32" t="str">
        <f>IF(SnapshotTable[[#This Row],[SC Is Filled]],100 * SnapshotTable[[#This Row],[SC Qty]] * IF(ISNUMBER(SnapshotTable[[#This Row],[SC Buyback Override]]), SnapshotTable[[#This Row],[SC Buyback Override]], SnapshotTable[[#This Row],[SC Current Ask]]), "")</f>
        <v/>
      </c>
      <c r="FK128" s="235" t="str">
        <f>IF(SnapshotTable[[#This Row],[SC Time Val]]&gt;0, SnapshotTable[[#This Row],[SC Time Val]] / SnapshotTable[[#This Row],[Last Price]],"")</f>
        <v/>
      </c>
      <c r="FL128" s="280" t="str">
        <f>IF(SnapshotTable[[#This Row],[SC Is Booked]], ((SnapshotTable[[#This Row],[Last Price]] -SnapshotTable[[#This Row],[SC Strike Price]]) / SnapshotTable[[#This Row],[Last Price]]) * -1, "")</f>
        <v/>
      </c>
      <c r="FM128" s="155" t="str">
        <f>IF(SnapshotTable[[#This Row],[SC Is Booked]],  (SnapshotTable[[#This Row],[SC Qty]] * 100 * SnapshotTable[[#This Row],[SC Strike Price]]) - SnapshotTable[[#This Row],[SC Current Ask]], "")</f>
        <v/>
      </c>
      <c r="FN12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8" s="155" t="str">
        <f>IF(AND(ISNUMBER(SnapshotTable[[#This Row],[SC Exercise Gross]]), ISNUMBER(SnapshotTable[[#This Row],[Equity Basis Per Share]] )), SnapshotTable[[#This Row],[SC Exercise Gross]] - SnapshotTable[[#This Row],[Equity Basis Total]] +  SnapshotTable[[#This Row],[SC Premium]], "")</f>
        <v/>
      </c>
      <c r="FP128" s="5" t="str">
        <f>IF(ISNUMBER(SnapshotTable[[#This Row],[SC Exercise Gross]]), (SnapshotTable[[#This Row],[SC Exercise Gross]]) / (SnapshotTable[[#This Row],[SC Qty]] * 100), "")</f>
        <v/>
      </c>
      <c r="FQ128" s="27" t="str">
        <f>IF(SnapshotTable[[#This Row],[SC Is Booked]],SnapshotTable[[#This Row],[SC Time Val]] /SnapshotTable[[#This Row],[SC Basis]], "")</f>
        <v/>
      </c>
      <c r="FR128" s="27" t="str" cm="1">
        <f t="array" ref="FR128">IF(AND(ISNUMBER(SnapshotTable[[#This Row],[SC Term]]),ISNUMBER(SnapshotTable[[#This Row],[SC Simple ROO]])), EllmanAnnualize(SnapshotTable[[#This Row],[SC DTE]], SnapshotTable[[#This Row],[SC Simple ROO]] ),"")</f>
        <v/>
      </c>
      <c r="FS128" s="4">
        <f>IF(SnapshotTable[[#This Row],[SC Strike Price]] &gt; SnapshotTable[[#This Row],[Last Price]], SnapshotTable[[#This Row],[SC Strike Price]] - SnapshotTable[[#This Row],[Last Price]],0)</f>
        <v>0</v>
      </c>
      <c r="FT128" s="27" t="str">
        <f>IF(AND(ISNUMBER(SnapshotTable[[#This Row],[SC Upside Potential]]), SnapshotTable[[#This Row],[SC Upside Potential]] &gt; 0),(SnapshotTable[[#This Row],[SC Upside Potential]]/ SnapshotTable[[#This Row],[ACB]]),"")</f>
        <v/>
      </c>
      <c r="FU128" s="304" t="str">
        <f>IF(SnapshotTable[[#This Row],[SC Intrinsic Value]] &gt; 0,SnapshotTable[[#This Row],[SC Intrinsic Value]],"")</f>
        <v/>
      </c>
      <c r="FV128" s="27" t="str">
        <f>IF(AND( ISNUMBER( SnapshotTable[[#This Row],[ACB]]),ISNUMBER(SnapshotTable[[#This Row],[SC Downside Protect]])),SnapshotTable[[#This Row],[SC Downside Protect]] / SnapshotTable[[#This Row],[ACB]],"")</f>
        <v/>
      </c>
      <c r="FW128" s="221" t="str">
        <f>IF(AND(ISNUMBER(SnapshotTable[[#This Row],[SC Simple ROO]]),SnapshotTable[[#This Row],[SC Simple ROO]] &gt; 0), SnapshotTable[[#This Row],[SC Premium]] + (SnapshotTable[[#This Row],[SC Qty]] * SnapshotTable[[#This Row],[SC Upside Potential]]), "")</f>
        <v/>
      </c>
      <c r="FX128" s="280" t="str" cm="1">
        <f t="array" ref="FX128">IF(ISNUMBER(SnapshotTable[[#This Row],[SC Max Dollars]]), annualize(SnapshotTable[[#This Row],[SC Term]],(SnapshotTable[[#This Row],[SC Max Dollars]]/SnapshotTable[[#This Row],[SC Basis]])),"")</f>
        <v/>
      </c>
      <c r="FY128" s="221" t="str">
        <f>IF(AND(SnapshotTable[[#This Row],[SC Qty]]&gt;0,SnapshotTable[[#This Row],[SC Current Ask]]&gt;0), SnapshotTable[[#This Row],[SC Qty]] * SnapshotTable[[#This Row],[SC Current Ask]] * -100, "")</f>
        <v/>
      </c>
      <c r="FZ128" s="31" t="str">
        <f>IF(ISNUMBER((SnapshotTable[[#This Row],[SC Current Value]])), SnapshotTable[[#This Row],[SC Premium]] + SnapshotTable[[#This Row],[SC Current Value]], "")</f>
        <v/>
      </c>
      <c r="GA128" s="272" t="str">
        <f>IFERROR( IF(ISNUMBER((SnapshotTable[[#This Row],[SC Current Value]])), SnapshotTable[[#This Row],[SC Gain Loss]] / SnapshotTable[[#This Row],[SC Premium]], ""), "")</f>
        <v/>
      </c>
      <c r="GB128" s="42">
        <f>SnapshotTable[[#This Row],[Equity Shares]] * SaleSharesToConsiderPercentage</f>
        <v>0</v>
      </c>
      <c r="GC128" s="40">
        <f>SnapshotTable[[#This Row],[Long Term Target]] * SellingPriceToConsiderBasedOnTargetPercentage</f>
        <v>159.15349999999998</v>
      </c>
      <c r="GD128" s="40">
        <f>SnapshotTable[[#This Row],[Last Price]] * (1+ SellingPriceToConsiderBasedOnTargetPercentage)</f>
        <v>329.19899999999996</v>
      </c>
      <c r="GE128" s="41"/>
      <c r="GF128" s="40"/>
      <c r="GG128" s="31">
        <f>SnapshotTable[[#This Row],[Booked Sale Shares]] * SnapshotTable[[#This Row],[Booked Sale Price]]</f>
        <v>0</v>
      </c>
      <c r="GH128" s="31" t="str">
        <f>IF(SnapshotTable[[#This Row],[Equity Basis Total]] &gt; 0, SnapshotTable[[#This Row],[Equity Basis Per Share]] * SnapshotTable[[#This Row],[Booked Sale Shares]], "")</f>
        <v/>
      </c>
      <c r="GI128" s="31">
        <f>IF(SnapshotTable[[#This Row],[Sale Proceeds]]&gt;0, SnapshotTable[[#This Row],[Sale Proceeds]] - SnapshotTable[[#This Row],[Sale Basis]], 0)</f>
        <v>0</v>
      </c>
      <c r="GJ128" s="156" t="str">
        <f>IF(SnapshotTable[[#This Row],[Sale G/L]]&gt;0, SnapshotTable[[#This Row],[Sale G/L]] / SnapshotTable[[#This Row],[Sale Basis]], IF(ISNUMBER(SnapshotTable[[#This Row],[SC Exercise P&amp;L (TAX)]]), SnapshotTable[[#This Row],[SC Exercise P&amp;L (TAX)]] / SnapshotTable[[#This Row],[SC Basis]], ""))</f>
        <v/>
      </c>
      <c r="GK128" s="27"/>
      <c r="GL128" s="157" t="str">
        <f>IF(AND(SnapshotTable[[#This Row],[LP Exp Date]]&gt;0,SnapshotTable[[#This Row],[LP Strike Price]]&gt;0), [1]!ToOptionSymbol(SnapshotTable[[#This Row],[Symbol]], SnapshotTable[[#This Row],[LP Strike Price]],SnapshotTable[[#This Row],[LP Exp Date]],1), "")</f>
        <v/>
      </c>
      <c r="GM128" s="30" t="str">
        <f>IF(LEN(SnapshotTable[[#This Row],[LP Symbol]])&gt;0, 1, "")</f>
        <v/>
      </c>
      <c r="GN128" s="43" t="str">
        <f>IF(AND(SnapshotTable[[#This Row],[SP Exp Date]]&gt;0,SnapshotTable[[#This Row],[SP Strike Price]]&gt;0), [1]!ToOptionSymbol(SnapshotTable[[#This Row],[Symbol]], SnapshotTable[[#This Row],[SP Strike Price]],SnapshotTable[[#This Row],[SP Exp Date]],1), "")</f>
        <v/>
      </c>
      <c r="GO128" s="30" t="str">
        <f>IF(LEN(SnapshotTable[[#This Row],[SP Symbol]])&gt;0, 1, "")</f>
        <v/>
      </c>
      <c r="GP128" s="157" t="str">
        <f>IF(AND(SnapshotTable[[#This Row],[LC Exp Date]]&gt;0,SnapshotTable[[#This Row],[LC Strike Price]]&gt;0), [1]!ToOptionSymbol(SnapshotTable[[#This Row],[Symbol]], SnapshotTable[[#This Row],[LC Strike Price]],SnapshotTable[[#This Row],[LC Exp Date]],0), "")</f>
        <v/>
      </c>
      <c r="GQ128" s="158" t="str">
        <f>IF(LEN(SnapshotTable[[#This Row],[LC Symbol]])&gt;0, 1, "")</f>
        <v/>
      </c>
      <c r="GR128" s="157" t="str">
        <f>IF(AND(SnapshotTable[[#This Row],[SC Exp Date]]&gt;0,SnapshotTable[[#This Row],[SC Strike Price]]&gt;0), [1]!ToOptionSymbol(SnapshotTable[[#This Row],[Symbol]], SnapshotTable[[#This Row],[SC Strike Price]],SnapshotTable[[#This Row],[SC Exp Date]],0), "")</f>
        <v/>
      </c>
      <c r="GS128" s="158" t="str">
        <f>IF(LEN(SnapshotTable[[#This Row],[SC Symbol]])&gt;0, 1, "")</f>
        <v/>
      </c>
      <c r="GT128" s="159" t="str">
        <f>IF(COUNT(SnapshotTable[[#This Row],[LP Symbol Count]],SnapshotTable[[#This Row],[SP Symbol Count]],SnapshotTable[[#This Row],[LC Symbol Count]],SnapshotTable[[#This Row],[SC Symbol Count]])&gt;0, "Y", "")</f>
        <v/>
      </c>
      <c r="GU1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8" s="216">
        <f>MAX(SnapshotTable[[#This Row],[Equity Basis Total]],SnapshotTable[[#This Row],[Equity Value]]) + (SnapshotTable[[#This Row],[SP Potential Spend]]- SnapshotTable[[#This Row],[SP Premium]] + SnapshotTable[[#This Row],[LP Premium]])+ (SnapshotTable[[#This Row],[LC Premium]] - SnapshotTable[[#This Row],[SC Premium]])</f>
        <v>0</v>
      </c>
      <c r="GW128" s="137" t="str">
        <f>IF(AND(SnapshotTable[[#This Row],[Exposure]] &lt;&gt; 0),SnapshotTable[[#This Row],[Exposure]] / SnapshotTable[[#Totals],[Exposure]], "")</f>
        <v/>
      </c>
      <c r="HE128" s="253"/>
      <c r="HF128" s="253"/>
      <c r="HK128" s="1"/>
      <c r="HL128" s="1"/>
      <c r="HM128" s="1"/>
      <c r="HN128" s="1"/>
      <c r="HO128" s="1"/>
      <c r="HP128" s="1"/>
    </row>
    <row r="129" spans="2:224" ht="12.75" hidden="1" customHeight="1" x14ac:dyDescent="0.25">
      <c r="B129" s="12" t="s">
        <v>492</v>
      </c>
      <c r="C129" s="385">
        <v>22.83</v>
      </c>
      <c r="D129" s="200" t="s">
        <v>467</v>
      </c>
      <c r="E129" s="39">
        <f>SnapshotTable[[#This Row],[Last Price]]*(1 -CrashDiscount)</f>
        <v>19.405499999999996</v>
      </c>
      <c r="F129" s="26" t="s">
        <v>696</v>
      </c>
      <c r="G129" s="26" t="s">
        <v>697</v>
      </c>
      <c r="H129" s="147"/>
      <c r="I129" s="186">
        <v>45142</v>
      </c>
      <c r="J129" s="187">
        <v>44778.291666666664</v>
      </c>
      <c r="K129" s="188"/>
      <c r="L129" s="297"/>
      <c r="M129" s="138"/>
      <c r="N129" s="138"/>
      <c r="O129" s="138"/>
      <c r="P129" s="22"/>
      <c r="Q129" s="25"/>
      <c r="R129" s="4" t="str">
        <f>IF(SnapshotTable[[#This Row],[Equity Basis Total]] &gt; 0, SnapshotTable[[#This Row],[Equity Basis Total]] / SnapshotTable[[#This Row],[Equity Shares]], "")</f>
        <v/>
      </c>
      <c r="S129" s="254">
        <f>SnapshotTable[[#This Row],[Last Price]] * SnapshotTable[[#This Row],[Equity Shares]]</f>
        <v>0</v>
      </c>
      <c r="T129" s="254">
        <f>SnapshotTable[[#This Row],[Equity Value]] - SnapshotTable[[#This Row],[Equity Basis Total]]</f>
        <v>0</v>
      </c>
      <c r="U129" s="255" t="str">
        <f>IF(SnapshotTable[[#This Row],[Equity Basis Total]] &gt; 0, SnapshotTable[[#This Row],[Equity G/L]] / SnapshotTable[[#This Row],[Equity Basis Total]], "")</f>
        <v/>
      </c>
      <c r="V129" s="253">
        <v>80</v>
      </c>
      <c r="W129" s="253">
        <v>45.7</v>
      </c>
      <c r="X129" s="4" t="str">
        <f>IF(AND(ISNUMBER(SnapshotTable[[#This Row],[Equity Basis Per Share]]),ISNUMBER(SnapshotTable[[#This Row],[Equity Target]])),SnapshotTable[[#This Row],[Equity Target]]-SnapshotTable[[#This Row],[Equity Basis Per Share]],"")</f>
        <v/>
      </c>
      <c r="Y129" s="4" t="str">
        <f>IF(AND(ISNUMBER(SnapshotTable[[#This Row],[Equity Basis Per Share]]),ISNUMBER(SnapshotTable[[#This Row],[Equity Stop Loss]])),SnapshotTable[[#This Row],[Equity Stop Loss]]-SnapshotTable[[#This Row],[Equity Basis Per Share]],"")</f>
        <v/>
      </c>
      <c r="Z129" s="260" t="str">
        <f>IFERROR( TEXT(SnapshotTable[[#This Row],[Equity Max Gain Per Share]] /ABS( SnapshotTable[[#This Row],[Equity Max Loss Per Share]]),"0.0 " ) &amp; " : 1", "")</f>
        <v/>
      </c>
      <c r="AA129" s="31" t="str">
        <f>IF(ISNUMBER(SnapshotTable[[#This Row],[Equity Max Gain Per Share]]),SnapshotTable[[#This Row],[Equity Max Gain Per Share]] * SnapshotTable[[#This Row],[Equity Shares]],"")</f>
        <v/>
      </c>
      <c r="AB129" s="31" t="str">
        <f>IF(ISNUMBER(SnapshotTable[[#This Row],[Equity Max Loss Per Share]]),SnapshotTable[[#This Row],[Equity Max Loss Per Share]] * SnapshotTable[[#This Row],[Equity Shares]],"")</f>
        <v/>
      </c>
      <c r="AC129" s="148"/>
      <c r="AD129" s="149"/>
      <c r="AE129" s="31">
        <f>(SnapshotTable[[#This Row],[Annual Dividend Per Share]] / 4) * SnapshotTable[[#This Row],[Equity Shares]]</f>
        <v>0</v>
      </c>
      <c r="AF129" s="31">
        <f>SnapshotTable[[#This Row],[Quarterly Div $]] * 4</f>
        <v>0</v>
      </c>
      <c r="AG129" s="7">
        <f>IF(SnapshotTable[[#This Row],[Annual Dividend Per Share]]&gt;0, SnapshotTable[[#This Row],[Annual Dividend Per Share]]  / SnapshotTable[[#This Row],[Last Price]], 0)</f>
        <v>0</v>
      </c>
      <c r="AH129" s="149"/>
      <c r="AI129" s="5">
        <f>SnapshotTable[[#This Row],[Equity Target]]</f>
        <v>80</v>
      </c>
      <c r="AJ129" s="136">
        <v>33.56</v>
      </c>
      <c r="AK129" s="150">
        <f>IF(ISNUMBER( SnapshotTable[[#This Row],[EBF Target]]),(SnapshotTable[[#This Row],[EBF Target]] - SnapshotTable[[#This Row],[Last Price]]) / SnapshotTable[[#This Row],[Last Price]], "")</f>
        <v>2.5041611914148052</v>
      </c>
      <c r="AL129" s="150" t="str">
        <f>IF(AND(SnapshotTable[[#This Row],[Equity Basis Total]] &gt; 0,ISNUMBER( SnapshotTable[[#This Row],[Long Term Target]])), SnapshotTable[[#This Row],[From Basis $]] / SnapshotTable[[#This Row],[Equity Basis Total]], "")</f>
        <v/>
      </c>
      <c r="AM129" s="9">
        <f>IF( AND(SnapshotTable[[#This Row],[Equity Shares]] &gt;0,ISNUMBER( SnapshotTable[[#This Row],[Long Term Target]])),(SnapshotTable[[#This Row],[Equity Shares]] * SnapshotTable[[#This Row],[Long Term Target]]) - SnapshotTable[[#This Row],[Equity Basis Total]],0)</f>
        <v>0</v>
      </c>
      <c r="AN129" s="9">
        <f>IF( AND(SnapshotTable[[#This Row],[Equity Shares]] &gt;0,ISNUMBER( SnapshotTable[[#This Row],[Long Term Target]])),(SnapshotTable[[#This Row],[Equity Shares]]*SnapshotTable[[#This Row],[Long Term Target]]) - SnapshotTable[[#This Row],[Equity Value]],0)</f>
        <v>0</v>
      </c>
      <c r="AO129" s="150">
        <f>IF(AND(ISNUMBER( SnapshotTable[[#This Row],[Long Term Target]]), ISNUMBER(SnapshotTable[[#This Row],[Last Price]])),(SnapshotTable[[#This Row],[Long Term Target]] - SnapshotTable[[#This Row],[Last Price]]) / SnapshotTable[[#This Row],[Last Price]], "")</f>
        <v>0.46999561979851096</v>
      </c>
      <c r="AP129" s="5">
        <v>25.5</v>
      </c>
      <c r="AQ129" s="38" t="s">
        <v>22</v>
      </c>
      <c r="AR129" s="5">
        <v>25.5</v>
      </c>
      <c r="AS129" s="38" t="s">
        <v>15</v>
      </c>
      <c r="AT129" s="144" t="s">
        <v>438</v>
      </c>
      <c r="AU129" s="185" t="str">
        <f>IF(OR(SnapshotTable[[#This Row],[LP No Fill]]="Y",SnapshotTable[[#This Row],[SP Is Filled]],SnapshotTable[[#This Row],[LC Not Filled]]="Y",SnapshotTable[[#This Row],[SC Is Filled]]),"Y","")</f>
        <v/>
      </c>
      <c r="AV129" s="205"/>
      <c r="AW129" s="211"/>
      <c r="AX129" s="206"/>
      <c r="AY129" s="205" t="str">
        <f>IF(SnapshotTable[[#This Row],[Implied Move]]&gt;0, SnapshotTable[[#This Row],[Last Price]]-SnapshotTable[[#This Row],[Implied Move]],"")</f>
        <v/>
      </c>
      <c r="AZ129" s="205" t="str">
        <f>IF(SnapshotTable[[#This Row],[Implied Move]]&gt;0, SnapshotTable[[#This Row],[Last Price]] + SnapshotTable[[#This Row],[Implied Move]],"")</f>
        <v/>
      </c>
      <c r="BA129" s="302">
        <v>22.7</v>
      </c>
      <c r="BB129" s="318"/>
      <c r="BC1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29" s="321"/>
      <c r="BE129" s="136"/>
      <c r="BF129" s="164"/>
      <c r="BG129" s="165"/>
      <c r="BH129" s="165"/>
      <c r="BI129" s="207"/>
      <c r="BJ129" s="151">
        <f>IF(SnapshotTable[[#This Row],[LP Qty]] &gt; 0, SnapshotTable[[#This Row],[LP Qty]] * SnapshotTable[[#This Row],[LP Book Price]] * 100,0)</f>
        <v>0</v>
      </c>
      <c r="BK129" s="134">
        <f>IF(SnapshotTable[[#This Row],[LP Premium]] &gt; 0, SnapshotTable[[#This Row],[LP Qty]] * SnapshotTable[[#This Row],[LP Strike Price]] * 100,0)</f>
        <v>0</v>
      </c>
      <c r="BL129" s="152"/>
      <c r="BM129" s="355" t="str">
        <f>IF(SnapshotTable[[#This Row],[LP Premium]] &gt; 0,SnapshotTable[[#This Row],[LP Exp Date]]-MAX(SnapshotTable[[#This Row],[LP Book Date]], SnapshotTable[[#This Row],[LP Fill Date]]),"")</f>
        <v/>
      </c>
      <c r="BN129" s="355" t="str">
        <f>IF(ISNUMBER( SnapshotTable[[#This Row],[LP Term]]), SnapshotTable[[#This Row],[LP Exp Date]] - MockToday,"")</f>
        <v/>
      </c>
      <c r="BO129" s="161" t="str">
        <f>IF(AND(SnapshotTable[[#This Row],[LP Exp Date]]&gt;0, SnapshotTable[[#This Row],[LP Strike Price]]&gt;0,SnapshotTable[[#This Row],[LP Qty]]&gt;0,SnapshotTable[[#This Row],[LP Book Date]]&gt;0,SnapshotTable[[#This Row],[LP Book Price]]&gt;0,SnapshotTable[[#This Row],[LP Fill Date]]=0),"Y","")</f>
        <v/>
      </c>
      <c r="BP129" s="31" t="str">
        <f>IF(AND(SnapshotTable[[#This Row],[LP No Fill]]&lt;&gt;"Y",SnapshotTable[[#This Row],[LP Contract Value]]&gt;0, SnapshotTable[[#This Row],[LP Qty]]&gt;0), SnapshotTable[[#This Row],[LP Contract Value]]*SnapshotTable[[#This Row],[LP Qty]]*100,"")</f>
        <v/>
      </c>
      <c r="BQ129" s="13"/>
      <c r="BR129" s="5"/>
      <c r="BS129" s="36"/>
      <c r="BT129" s="145"/>
      <c r="BU129" s="13"/>
      <c r="BV129" s="5"/>
      <c r="BW129" s="382" t="b">
        <f>AND(ISNUMBER(SnapshotTable[[#This Row],[SP Exp Date]]), ISNUMBER(SnapshotTable[[#This Row],[SP Strike Price]]), ISNUMBER(SnapshotTable[[#This Row],[SP Qty]]), ISNUMBER(SnapshotTable[[#This Row],[SP Book Date]]), ISNUMBER(SnapshotTable[[#This Row],[SP Book Price]]))</f>
        <v>0</v>
      </c>
      <c r="BX129" s="382" t="b">
        <f>AND(SnapshotTable[[#This Row],[SP Is Booked]], NOT(ISBLANK(SnapshotTable[[#This Row],[SP Fill Date]])))</f>
        <v>0</v>
      </c>
      <c r="BY129" s="33">
        <f>IF(SnapshotTable[[#This Row],[SP Is Booked]], SnapshotTable[[#This Row],[SP Qty]] * SnapshotTable[[#This Row],[SP Book Price]] * 100, 0)</f>
        <v>0</v>
      </c>
      <c r="BZ129" s="339"/>
      <c r="CA129" s="338">
        <f>SnapshotTable[[#This Row],[LP Qty]]</f>
        <v>0</v>
      </c>
      <c r="CB129" s="4" t="str">
        <f>IF(SnapshotTable[[#This Row],[SP Is Booked]], SnapshotTable[[#This Row],[SP Strike Price]] - SnapshotTable[[#This Row],[SP Book Price]], "")</f>
        <v/>
      </c>
      <c r="CC129" s="19" t="str">
        <f>IF(SnapshotTable[[#This Row],[SP Is Booked]],SnapshotTable[[#This Row],[SP Exp Date]]-MAX(SnapshotTable[[#This Row],[SP Book Date]], SnapshotTable[[#This Row],[SP Fill Date]]),"")</f>
        <v/>
      </c>
      <c r="CD129" s="7" t="str">
        <f>IF(SnapshotTable[[#This Row],[SP Is Booked]], SnapshotTable[[#This Row],[SP Book Price]]/SnapshotTable[[#This Row],[SP Strike Price]], "")</f>
        <v/>
      </c>
      <c r="CE129" s="7" t="str">
        <f>IF(ISNUMBER(SnapshotTable[[#This Row],[SP ROO Term]]),SnapshotTable[[#This Row],[SP ROO Term]]*(365/SnapshotTable[[#This Row],[SP Term]]),"")</f>
        <v/>
      </c>
      <c r="CF129" s="221">
        <f>SnapshotTable[[#This Row],[LP Strike Price]] * SnapshotTable[[#This Row],[LP Qty]] * 100</f>
        <v>0</v>
      </c>
      <c r="CG129" s="31">
        <f>IF(ISNUMBER(SnapshotTable[[#This Row],[SP Premium]]), (SnapshotTable[[#This Row],[SP Qty]] * SnapshotTable[[#This Row],[SP Strike Price]]* 100) - SnapshotTable[[#This Row],[LP Protection]], 0)</f>
        <v>0</v>
      </c>
      <c r="CH129" s="7" t="str">
        <f>IF(ISNUMBER(SnapshotTable[[#This Row],[SP Break Even]]),-1 * (SnapshotTable[[#This Row],[SP Break Even]] - SnapshotTable[[#This Row],[Last Price]]) / SnapshotTable[[#This Row],[Last Price]], "")</f>
        <v/>
      </c>
      <c r="CI129" s="31">
        <f>IF(AND(ISNUMBER((SnapshotTable[[#This Row],[SP Potential Spend]])), SnapshotTable[[#This Row],[SP Strike Price]] &gt; SnapshotTable[[#This Row],[Last Price]], SnapshotTable[[#This Row],[SP Is Filled]]), SnapshotTable[[#This Row],[SP Potential Spend]] -  SnapshotTable[[#This Row],[LP Max Value]], 0)</f>
        <v>0</v>
      </c>
      <c r="CJ129" s="229"/>
      <c r="CK129" s="31">
        <f>IF(ISNUMBER(SnapshotTable[[#This Row],[SP Potential Spend]]),IF(ISNUMBER(SnapshotTable[[#This Row],[SP POW]]), SnapshotTable[[#This Row],[SP POW]] * SnapshotTable[[#This Row],[SP Potential Spend]], SnapshotTable[[#This Row],[SP Potential Spend]]), "")</f>
        <v>0</v>
      </c>
      <c r="CL129" s="162">
        <f>IF(NOT(SnapshotTable[[#This Row],[SP Is Filled]]),(SnapshotTable[[#This Row],[SP Qty]] * SnapshotTable[[#This Row],[SP Strike Price]] * 100) - SnapshotTable[[#This Row],[LP Max Value]],"")</f>
        <v>0</v>
      </c>
      <c r="CM129" s="31" t="str">
        <f>IF(SnapshotTable[[#This Row],[SP Actual Spend]]&lt;&gt;0, ((SnapshotTable[[#This Row],[SP Strike Price]]-SnapshotTable[[#This Row],[Last Price]]) *(SnapshotTable[[#This Row],[SP Qty]]*100) - SnapshotTable[[#This Row],[SP Premium]]) * - 1, "")</f>
        <v/>
      </c>
      <c r="CN129" s="213"/>
      <c r="CO129" s="339"/>
      <c r="CP129" s="4" t="str">
        <f>IF(SnapshotTable[[#This Row],[SP Is Filled]], btc_max_buyback_amount(SnapshotTable[[#This Row],[SP Fill Date]],SnapshotTable[[#This Row],[SP Exp Date]], SnapshotTable[[#This Row],[SP Book Price]]),"")</f>
        <v/>
      </c>
      <c r="CQ129" s="76"/>
      <c r="CR1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29" s="153" t="str">
        <f>IF(SnapshotTable[[#This Row],[SP Is Filled]], btc_next_cutoff_date(SnapshotTable[[#This Row],[SP Fill Date]],SnapshotTable[[#This Row],[SP Exp Date]]),"")</f>
        <v/>
      </c>
      <c r="CT129" s="220" t="str" cm="1">
        <f t="array" ref="CT129">IF(SnapshotTable[[#This Row],[SP Is Filled]], btc_should_buy_back(SnapshotTable[[#This Row],[SP Fill Date]], SnapshotTable[[#This Row],[SP Exp Date]], SnapshotTable[[#This Row],[SP Book Price]], SnapshotTable[[#This Row],[SP Current Ask]], MockToday, SnapshotTable[[#This Row],[SP Buyback Override]]),"")</f>
        <v/>
      </c>
      <c r="CU129" s="154"/>
      <c r="CV129" s="220"/>
      <c r="CW129" s="348" t="str">
        <f>IF(ISNUMBER( SnapshotTable[[#This Row],[SP Term]]), SnapshotTable[[#This Row],[SP Exp Date]] - MockToday,"")</f>
        <v/>
      </c>
      <c r="CX129" s="31" t="str">
        <f>IF(SnapshotTable[[#This Row],[SP Is Filled]],SnapshotTable[[#This Row],[SP Buyback Price to Use]] * 100 * SnapshotTable[[#This Row],[SP Qty]], "")</f>
        <v/>
      </c>
      <c r="CY129" s="4" t="str">
        <f>IF(ISNUMBER(SnapshotTable[[#This Row],[SP Strike Price]]), SnapshotTable[[#This Row],[SP Strike Price]] * (1 - SP_MaxLoss_StrikePct), "")</f>
        <v/>
      </c>
      <c r="CZ129" s="31" t="str">
        <f>IF(ISNUMBER(SnapshotTable[[#This Row],[SP Strike  Stop Per Share]]),SnapshotTable[[#This Row],[SP Premium]] - ((SnapshotTable[[#This Row],[SP Strike Price]]-SnapshotTable[[#This Row],[SP Strike  Stop Per Share]]) *(SnapshotTable[[#This Row],[SP Qty]] * 100)),"")</f>
        <v/>
      </c>
      <c r="DA129" s="4" t="str">
        <f>IF(AND(ISNUMBER(SnapshotTable[[#This Row],[SP Premium]]),SnapshotTable[[#This Row],[SP Premium]]&gt;0), SnapshotTable[[#This Row],[SP Book Price]] * (1 + SP_MaxLoss_OptionPct), "")</f>
        <v/>
      </c>
      <c r="DB129" s="31" t="str">
        <f>IF(ISNUMBER(SnapshotTable[[#This Row],[SP Option  Stop Contract]]),(SnapshotTable[[#This Row],[SP Option  Stop Contract]] *(SnapshotTable[[#This Row],[SP Qty]] * 100) - SnapshotTable[[#This Row],[SP Premium]]),"")</f>
        <v/>
      </c>
      <c r="DC129" s="4"/>
      <c r="DD129" s="4"/>
      <c r="DE129" s="4" t="str">
        <f>IF(AND(SnapshotTable[[#This Row],[SP Qty]]&gt;0, SnapshotTable[[#This Row],[SP Stop To Use]]&gt;0),SnapshotTable[[#This Row],[SP Premium]] - ( SnapshotTable[[#This Row],[SP Qty]] * SnapshotTable[[#This Row],[SP Stop To Use]] * 100), "")</f>
        <v/>
      </c>
      <c r="DF129" s="31" t="str">
        <f>IF(AND(SnapshotTable[[#This Row],[SP Qty]]&gt;0,SnapshotTable[[#This Row],[SP Current Ask]]&gt;0), SnapshotTable[[#This Row],[SP Qty]] * SnapshotTable[[#This Row],[SP Current Ask]] * -100, "")</f>
        <v/>
      </c>
      <c r="DG129" s="31" t="str">
        <f>IF(ISNUMBER((SnapshotTable[[#This Row],[SP Total Value]])), SnapshotTable[[#This Row],[SP Premium]] + SnapshotTable[[#This Row],[SP Total Value]], "")</f>
        <v/>
      </c>
      <c r="DH129" s="272" t="str">
        <f>IF(ISNUMBER((SnapshotTable[[#This Row],[SP Total Value]])), SnapshotTable[[#This Row],[SP Gain Loss]] / SnapshotTable[[#This Row],[SP Premium]], "")</f>
        <v/>
      </c>
      <c r="DI129" s="369"/>
      <c r="DJ129" s="136"/>
      <c r="DK129" s="146"/>
      <c r="DL129" s="145"/>
      <c r="DM129" s="145"/>
      <c r="DO129" s="31">
        <f>IF(SnapshotTable[[#This Row],[LC Symbol Count]]=1, SnapshotTable[[#This Row],[LC Qty]] * SnapshotTable[[#This Row],[LC Book Price]] * 100, 0)</f>
        <v>0</v>
      </c>
      <c r="DP129" s="161" t="str">
        <f>IF(AND(SnapshotTable[[#This Row],[LC Exp Date]]&gt;0, SnapshotTable[[#This Row],[LC Strike Price]]&gt;0,SnapshotTable[[#This Row],[LC Qty]]&gt;0,SnapshotTable[[#This Row],[LC Book Date]]&gt;0,SnapshotTable[[#This Row],[LC Book Price]]&gt;0,SnapshotTable[[#This Row],[LC Fill Date]]=0),"Y","")</f>
        <v/>
      </c>
      <c r="DQ129" s="356" t="str">
        <f>IF(SnapshotTable[[#This Row],[LC Premium]] &gt; 0,SnapshotTable[[#This Row],[LC Exp Date]]-MAX(SnapshotTable[[#This Row],[LC Book Date]], SnapshotTable[[#This Row],[LC Fill Date]]),"")</f>
        <v/>
      </c>
      <c r="DR129" s="356" t="str">
        <f>IF(ISNUMBER(SnapshotTable[[#This Row],[LC Term]]), SnapshotTable[[#This Row],[LC Exp Date]] - MockToday, "")</f>
        <v/>
      </c>
      <c r="DS129" s="219" t="str">
        <f>IF(SnapshotTable[[#This Row],[LC Premium]]&gt;0,SnapshotTable[[#This Row],[LC Strike Price]] + SnapshotTable[[#This Row],[LC Book Price]],"")</f>
        <v/>
      </c>
      <c r="DU129" s="9" t="str">
        <f>IF(AND(SnapshotTable[[#This Row],[LC Symbol Count]]&gt;0, SnapshotTable[[#This Row],[LC Contract Value]]&gt;0), SnapshotTable[[#This Row],[LC Contract Value]] * SnapshotTable[[#This Row],[LC Qty]] * 100, "")</f>
        <v/>
      </c>
      <c r="DV129" s="9" t="str">
        <f>IF(AND(ISNUMBER(SnapshotTable[[#This Row],[LC Total Value]]), SnapshotTable[[#This Row],[LC Not Filled]]&lt;&gt;"Y"), SnapshotTable[[#This Row],[LC Total Value]]-SnapshotTable[[#This Row],[LC Premium]],"")</f>
        <v/>
      </c>
      <c r="DW129" s="225" t="str">
        <f>IF(ISNUMBER(SnapshotTable[[#This Row],[LC Actual Gain Loss]]), SnapshotTable[[#This Row],[LC Actual Gain Loss]] / SnapshotTable[[#This Row],[LC Premium]],"")</f>
        <v/>
      </c>
      <c r="DX129" s="269" t="str">
        <f>IF(ISNUMBER(SnapshotTable[[#This Row],[LC Book Price]]),SnapshotTable[[#This Row],[LC Book Price]] * 1.5,"")</f>
        <v/>
      </c>
      <c r="DY129" s="250" t="str">
        <f>IF(SnapshotTable[[#This Row],[LC Premium]]&gt;0, SnapshotTable[[#This Row],[LC Next Target]] * SnapshotTable[[#This Row],[LC Qty]] * 100,"")</f>
        <v/>
      </c>
      <c r="DZ129" s="250" t="str">
        <f>IF(ISNUMBER(SnapshotTable[[#This Row],[LC Target Gross]]), SnapshotTable[[#This Row],[LC Target Gross]] - SnapshotTable[[#This Row],[LC Premium]], "")</f>
        <v/>
      </c>
      <c r="EA129" s="283" t="str">
        <f>IF(ISNUMBER(SnapshotTable[[#This Row],[LC Target Gain Loss]]), SnapshotTable[[#This Row],[LC Target Gain Loss]]/SnapshotTable[[#This Row],[LC Premium]], "")</f>
        <v/>
      </c>
      <c r="EB129" s="247"/>
      <c r="EC129" s="268" t="str">
        <f>IF(SnapshotTable[[#This Row],[LC Premium]]&gt;0, SnapshotTable[[#This Row],[LC Book Price]] * (1 - LC_StopLoss_Pct),"")</f>
        <v/>
      </c>
      <c r="ED129" s="269"/>
      <c r="EE129" s="268" t="str">
        <f>IF(ISNUMBER(SnapshotTable[[#This Row],[LC Contract Value]]),IF(ISNUMBER(SnapshotTable[[#This Row],[LC Stop Loss Override]]), SnapshotTable[[#This Row],[LC Stop Loss Override]],SnapshotTable[[#This Row],[LC Stop Loss Calc Target]]),"")</f>
        <v/>
      </c>
      <c r="EF129" s="31" t="str">
        <f>IF(ISNUMBER(SnapshotTable[[#This Row],[LC Stop  To Use]]), (SnapshotTable[[#This Row],[LC Stop  To Use]] * SnapshotTable[[#This Row],[LC Qty]] * 100),"")</f>
        <v/>
      </c>
      <c r="EG129" s="9" t="str">
        <f>IF(ISNUMBER(SnapshotTable[[#This Row],[LC Total Value]]),SnapshotTable[[#This Row],[LC Stop Loss Amount]] - SnapshotTable[[#This Row],[LC Premium]],"")</f>
        <v/>
      </c>
      <c r="EH129" s="9">
        <f>IF(ISNUMBER(SnapshotTable[[#This Row],[LC Premium]]), SnapshotTable[[#This Row],[LC Qty]] * 100 * SnapshotTable[[#This Row],[LC Strike Price]], "")</f>
        <v>0</v>
      </c>
      <c r="EI129" s="225" t="str">
        <f>IF(AND(ISNUMBER(SnapshotTable[[#This Row],[LC Total Value]]),SnapshotTable[[#This Row],[LC Total Value]]&gt;0),SnapshotTable[[#This Row],[LC Stop Gain Loss]]  / SnapshotTable[[#This Row],[LC Premium]],"")</f>
        <v/>
      </c>
      <c r="EJ129" s="35">
        <f>IF(ISNUMBER(SnapshotTable[[#This Row],[Equity Shares]]),TRUNC(SnapshotTable[[#This Row],[Equity Shares]] / 100),0) + SnapshotTable[[#This Row],[LC Qty]]</f>
        <v>0</v>
      </c>
      <c r="EK129" s="145"/>
      <c r="EL129" s="136"/>
      <c r="EM129" s="146"/>
      <c r="EN129" s="145"/>
      <c r="EO129" s="145"/>
      <c r="EP129" s="136"/>
      <c r="EQ129" s="382" t="b">
        <f>AND(ISNUMBER(SnapshotTable[[#This Row],[SC Exp Date]]), ISNUMBER(SnapshotTable[[#This Row],[SC Strike Price]]), ISNUMBER(SnapshotTable[[#This Row],[SC Qty]]), ISNUMBER(SnapshotTable[[#This Row],[SC Book Date]]), ISNUMBER(SnapshotTable[[#This Row],[SC Book Price]]))</f>
        <v>0</v>
      </c>
      <c r="ER129" s="382" t="b">
        <f>AND(SnapshotTable[[#This Row],[SC Is Booked]], NOT(ISBLANK(SnapshotTable[[#This Row],[SC Fill Date]])))</f>
        <v>0</v>
      </c>
      <c r="ES129" s="340"/>
      <c r="ET129" s="34" t="str">
        <f>IF(AND(ISNUMBER(SnapshotTable[[#This Row],[SC Exp Date]]), ISNUMBER(SnapshotTable[[#This Row],[SC Book Date]])), SnapshotTable[[#This Row],[SC Exp Date]] - MAX(SnapshotTable[[#This Row],[SC Book Date]], SnapshotTable[[#This Row],[SC Fill Date]]) + 1, "")</f>
        <v/>
      </c>
      <c r="EU129" s="34" t="str">
        <f>IF(ISNUMBER(SnapshotTable[[#This Row],[SC Term]]), SnapshotTable[[#This Row],[SC Exp Date]]- MockToday, "")</f>
        <v/>
      </c>
      <c r="EV129" s="31">
        <f>IF(SnapshotTable[[#This Row],[SC Is Booked]], SnapshotTable[[#This Row],[SC Qty]] * SnapshotTable[[#This Row],[SC Book Price]] * 100, 0)</f>
        <v>0</v>
      </c>
      <c r="EW129" s="4" t="str">
        <f>IF(AND(ISNUMBER(SnapshotTable[[#This Row],[Last Price]]), ISNUMBER( SnapshotTable[[#This Row],[SC Book Price]])), SnapshotTable[[#This Row],[Last Price]] - SnapshotTable[[#This Row],[SC Book Price]],"")</f>
        <v/>
      </c>
      <c r="EX129" s="219" t="str">
        <f>IF(SnapshotTable[[#This Row],[SC Is Booked]],IF(SnapshotTable[[#This Row],[SC Intrinsic Value]] &gt; 0, SnapshotTable[[#This Row],[SC Strike Price]], SnapshotTable[[#This Row],[Last Price]]), "")</f>
        <v/>
      </c>
      <c r="EY129" s="4">
        <f>IF(SnapshotTable[[#This Row],[SC Is Booked]], (MinimumPremiumRequired * SnapshotTable[[#This Row],[SC Basis]] * SnapshotTable[[#This Row],[SC Term]]), 0)</f>
        <v>0</v>
      </c>
      <c r="EZ129" s="268"/>
      <c r="FA129" s="204"/>
      <c r="FB129" s="340"/>
      <c r="FC129" s="4">
        <f>IF(SnapshotTable[[#This Row],[SC Is Filled]], btc_max_buyback_amount(SnapshotTable[[#This Row],[SC Fill Date]],SnapshotTable[[#This Row],[SC Exp Date]], SnapshotTable[[#This Row],[SC Book Price]]),0)</f>
        <v>0</v>
      </c>
      <c r="FD129" s="5"/>
      <c r="FE129" s="142" t="str">
        <f>IF(SnapshotTable[[#This Row],[SC Is Filled]], btc_next_cutoff_date(SnapshotTable[[#This Row],[SC Fill Date]],SnapshotTable[[#This Row],[SC Exp Date]]),"")</f>
        <v/>
      </c>
      <c r="FF129" s="4" t="str" cm="1">
        <f t="array" ref="FF129">IF(SnapshotTable[[#This Row],[SC Is Filled]], btc_should_buy_back(SnapshotTable[[#This Row],[SC Fill Date]], SnapshotTable[[#This Row],[SC Exp Date]], SnapshotTable[[#This Row],[SC Book Price]], SnapshotTable[[#This Row],[SC Current Ask]], MockToday, SnapshotTable[[#This Row],[SC Buyback Override]]),"")</f>
        <v/>
      </c>
      <c r="FG129" s="4">
        <f>IF(SnapshotTable[[#This Row],[SC Is Filled]], MAX(0,SnapshotTable[[#This Row],[Last Price]]  - SnapshotTable[[#This Row],[SC Strike Price]]), 0)</f>
        <v>0</v>
      </c>
      <c r="FH129" s="352">
        <f>IF(SnapshotTable[[#This Row],[SC Is Filled]], IF(ISNUMBER(SnapshotTable[[#This Row],[SC Current Ask]]), SnapshotTable[[#This Row],[SC Current Ask]], SnapshotTable[[#This Row],[SC Book Price]]) - SnapshotTable[[#This Row],[SC Intrinsic Value]], 0)</f>
        <v>0</v>
      </c>
      <c r="FI129" s="141"/>
      <c r="FJ129" s="32" t="str">
        <f>IF(SnapshotTable[[#This Row],[SC Is Filled]],100 * SnapshotTable[[#This Row],[SC Qty]] * IF(ISNUMBER(SnapshotTable[[#This Row],[SC Buyback Override]]), SnapshotTable[[#This Row],[SC Buyback Override]], SnapshotTable[[#This Row],[SC Current Ask]]), "")</f>
        <v/>
      </c>
      <c r="FK129" s="235" t="str">
        <f>IF(SnapshotTable[[#This Row],[SC Time Val]]&gt;0, SnapshotTable[[#This Row],[SC Time Val]] / SnapshotTable[[#This Row],[Last Price]],"")</f>
        <v/>
      </c>
      <c r="FL129" s="280" t="str">
        <f>IF(SnapshotTable[[#This Row],[SC Is Booked]], ((SnapshotTable[[#This Row],[Last Price]] -SnapshotTable[[#This Row],[SC Strike Price]]) / SnapshotTable[[#This Row],[Last Price]]) * -1, "")</f>
        <v/>
      </c>
      <c r="FM129" s="155" t="str">
        <f>IF(SnapshotTable[[#This Row],[SC Is Booked]],  (SnapshotTable[[#This Row],[SC Qty]] * 100 * SnapshotTable[[#This Row],[SC Strike Price]]) - SnapshotTable[[#This Row],[SC Current Ask]], "")</f>
        <v/>
      </c>
      <c r="FN129"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29" s="155" t="str">
        <f>IF(AND(ISNUMBER(SnapshotTable[[#This Row],[SC Exercise Gross]]), ISNUMBER(SnapshotTable[[#This Row],[Equity Basis Per Share]] )), SnapshotTable[[#This Row],[SC Exercise Gross]] - SnapshotTable[[#This Row],[Equity Basis Total]] +  SnapshotTable[[#This Row],[SC Premium]], "")</f>
        <v/>
      </c>
      <c r="FP129" s="5" t="str">
        <f>IF(ISNUMBER(SnapshotTable[[#This Row],[SC Exercise Gross]]), (SnapshotTable[[#This Row],[SC Exercise Gross]]) / (SnapshotTable[[#This Row],[SC Qty]] * 100), "")</f>
        <v/>
      </c>
      <c r="FQ129" s="27" t="str">
        <f>IF(SnapshotTable[[#This Row],[SC Is Booked]],SnapshotTable[[#This Row],[SC Time Val]] /SnapshotTable[[#This Row],[SC Basis]], "")</f>
        <v/>
      </c>
      <c r="FR129" s="27" t="str" cm="1">
        <f t="array" ref="FR129">IF(AND(ISNUMBER(SnapshotTable[[#This Row],[SC Term]]),ISNUMBER(SnapshotTable[[#This Row],[SC Simple ROO]])), EllmanAnnualize(SnapshotTable[[#This Row],[SC DTE]], SnapshotTable[[#This Row],[SC Simple ROO]] ),"")</f>
        <v/>
      </c>
      <c r="FS129" s="4">
        <f>IF(SnapshotTable[[#This Row],[SC Strike Price]] &gt; SnapshotTable[[#This Row],[Last Price]], SnapshotTable[[#This Row],[SC Strike Price]] - SnapshotTable[[#This Row],[Last Price]],0)</f>
        <v>0</v>
      </c>
      <c r="FT129" s="27" t="str">
        <f>IF(AND(ISNUMBER(SnapshotTable[[#This Row],[SC Upside Potential]]), SnapshotTable[[#This Row],[SC Upside Potential]] &gt; 0),(SnapshotTable[[#This Row],[SC Upside Potential]]/ SnapshotTable[[#This Row],[ACB]]),"")</f>
        <v/>
      </c>
      <c r="FU129" s="304" t="str">
        <f>IF(SnapshotTable[[#This Row],[SC Intrinsic Value]] &gt; 0,SnapshotTable[[#This Row],[SC Intrinsic Value]],"")</f>
        <v/>
      </c>
      <c r="FV129" s="27" t="str">
        <f>IF(AND( ISNUMBER( SnapshotTable[[#This Row],[ACB]]),ISNUMBER(SnapshotTable[[#This Row],[SC Downside Protect]])),SnapshotTable[[#This Row],[SC Downside Protect]] / SnapshotTable[[#This Row],[ACB]],"")</f>
        <v/>
      </c>
      <c r="FW129" s="221" t="str">
        <f>IF(AND(ISNUMBER(SnapshotTable[[#This Row],[SC Simple ROO]]),SnapshotTable[[#This Row],[SC Simple ROO]] &gt; 0), SnapshotTable[[#This Row],[SC Premium]] + (SnapshotTable[[#This Row],[SC Qty]] * SnapshotTable[[#This Row],[SC Upside Potential]]), "")</f>
        <v/>
      </c>
      <c r="FX129" s="280" t="str" cm="1">
        <f t="array" ref="FX129">IF(ISNUMBER(SnapshotTable[[#This Row],[SC Max Dollars]]), annualize(SnapshotTable[[#This Row],[SC Term]],(SnapshotTable[[#This Row],[SC Max Dollars]]/SnapshotTable[[#This Row],[SC Basis]])),"")</f>
        <v/>
      </c>
      <c r="FY129" s="221" t="str">
        <f>IF(AND(SnapshotTable[[#This Row],[SC Qty]]&gt;0,SnapshotTable[[#This Row],[SC Current Ask]]&gt;0), SnapshotTable[[#This Row],[SC Qty]] * SnapshotTable[[#This Row],[SC Current Ask]] * -100, "")</f>
        <v/>
      </c>
      <c r="FZ129" s="31" t="str">
        <f>IF(ISNUMBER((SnapshotTable[[#This Row],[SC Current Value]])), SnapshotTable[[#This Row],[SC Premium]] + SnapshotTable[[#This Row],[SC Current Value]], "")</f>
        <v/>
      </c>
      <c r="GA129" s="272" t="str">
        <f>IFERROR( IF(ISNUMBER((SnapshotTable[[#This Row],[SC Current Value]])), SnapshotTable[[#This Row],[SC Gain Loss]] / SnapshotTable[[#This Row],[SC Premium]], ""), "")</f>
        <v/>
      </c>
      <c r="GB129" s="42">
        <f>SnapshotTable[[#This Row],[Equity Shares]] * SaleSharesToConsiderPercentage</f>
        <v>0</v>
      </c>
      <c r="GC129" s="40">
        <f>SnapshotTable[[#This Row],[Long Term Target]] * SellingPriceToConsiderBasedOnTargetPercentage</f>
        <v>31.882000000000001</v>
      </c>
      <c r="GD129" s="40">
        <f>SnapshotTable[[#This Row],[Last Price]] * (1+ SellingPriceToConsiderBasedOnTargetPercentage)</f>
        <v>44.518499999999996</v>
      </c>
      <c r="GE129" s="41"/>
      <c r="GF129" s="40"/>
      <c r="GG129" s="31">
        <f>SnapshotTable[[#This Row],[Booked Sale Shares]] * SnapshotTable[[#This Row],[Booked Sale Price]]</f>
        <v>0</v>
      </c>
      <c r="GH129" s="31" t="str">
        <f>IF(SnapshotTable[[#This Row],[Equity Basis Total]] &gt; 0, SnapshotTable[[#This Row],[Equity Basis Per Share]] * SnapshotTable[[#This Row],[Booked Sale Shares]], "")</f>
        <v/>
      </c>
      <c r="GI129" s="31">
        <f>IF(SnapshotTable[[#This Row],[Sale Proceeds]]&gt;0, SnapshotTable[[#This Row],[Sale Proceeds]] - SnapshotTable[[#This Row],[Sale Basis]], 0)</f>
        <v>0</v>
      </c>
      <c r="GJ129" s="156" t="str">
        <f>IF(SnapshotTable[[#This Row],[Sale G/L]]&gt;0, SnapshotTable[[#This Row],[Sale G/L]] / SnapshotTable[[#This Row],[Sale Basis]], IF(ISNUMBER(SnapshotTable[[#This Row],[SC Exercise P&amp;L (TAX)]]), SnapshotTable[[#This Row],[SC Exercise P&amp;L (TAX)]] / SnapshotTable[[#This Row],[SC Basis]], ""))</f>
        <v/>
      </c>
      <c r="GK129" s="156" t="s">
        <v>876</v>
      </c>
      <c r="GL129" s="157" t="str">
        <f>IF(AND(SnapshotTable[[#This Row],[LP Exp Date]]&gt;0,SnapshotTable[[#This Row],[LP Strike Price]]&gt;0), [1]!ToOptionSymbol(SnapshotTable[[#This Row],[Symbol]], SnapshotTable[[#This Row],[LP Strike Price]],SnapshotTable[[#This Row],[LP Exp Date]],1), "")</f>
        <v/>
      </c>
      <c r="GM129" s="30" t="str">
        <f>IF(LEN(SnapshotTable[[#This Row],[LP Symbol]])&gt;0, 1, "")</f>
        <v/>
      </c>
      <c r="GN129" s="43" t="str">
        <f>IF(AND(SnapshotTable[[#This Row],[SP Exp Date]]&gt;0,SnapshotTable[[#This Row],[SP Strike Price]]&gt;0), [1]!ToOptionSymbol(SnapshotTable[[#This Row],[Symbol]], SnapshotTable[[#This Row],[SP Strike Price]],SnapshotTable[[#This Row],[SP Exp Date]],1), "")</f>
        <v/>
      </c>
      <c r="GO129" s="30" t="str">
        <f>IF(LEN(SnapshotTable[[#This Row],[SP Symbol]])&gt;0, 1, "")</f>
        <v/>
      </c>
      <c r="GP129" s="157" t="str">
        <f>IF(AND(SnapshotTable[[#This Row],[LC Exp Date]]&gt;0,SnapshotTable[[#This Row],[LC Strike Price]]&gt;0), [1]!ToOptionSymbol(SnapshotTable[[#This Row],[Symbol]], SnapshotTable[[#This Row],[LC Strike Price]],SnapshotTable[[#This Row],[LC Exp Date]],0), "")</f>
        <v/>
      </c>
      <c r="GQ129" s="158" t="str">
        <f>IF(LEN(SnapshotTable[[#This Row],[LC Symbol]])&gt;0, 1, "")</f>
        <v/>
      </c>
      <c r="GR129" s="157" t="str">
        <f>IF(AND(SnapshotTable[[#This Row],[SC Exp Date]]&gt;0,SnapshotTable[[#This Row],[SC Strike Price]]&gt;0), [1]!ToOptionSymbol(SnapshotTable[[#This Row],[Symbol]], SnapshotTable[[#This Row],[SC Strike Price]],SnapshotTable[[#This Row],[SC Exp Date]],0), "")</f>
        <v/>
      </c>
      <c r="GS129" s="158" t="str">
        <f>IF(LEN(SnapshotTable[[#This Row],[SC Symbol]])&gt;0, 1, "")</f>
        <v/>
      </c>
      <c r="GT129" s="159" t="str">
        <f>IF(COUNT(SnapshotTable[[#This Row],[LP Symbol Count]],SnapshotTable[[#This Row],[SP Symbol Count]],SnapshotTable[[#This Row],[LC Symbol Count]],SnapshotTable[[#This Row],[SC Symbol Count]])&gt;0, "Y", "")</f>
        <v/>
      </c>
      <c r="GU1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29" s="216">
        <f>MAX(SnapshotTable[[#This Row],[Equity Basis Total]],SnapshotTable[[#This Row],[Equity Value]]) + (SnapshotTable[[#This Row],[SP Potential Spend]]- SnapshotTable[[#This Row],[SP Premium]] + SnapshotTable[[#This Row],[LP Premium]])+ (SnapshotTable[[#This Row],[LC Premium]] - SnapshotTable[[#This Row],[SC Premium]])</f>
        <v>0</v>
      </c>
      <c r="GW129" s="137" t="str">
        <f>IF(AND(SnapshotTable[[#This Row],[Exposure]] &lt;&gt; 0),SnapshotTable[[#This Row],[Exposure]] / SnapshotTable[[#Totals],[Exposure]], "")</f>
        <v/>
      </c>
      <c r="HE129" s="253"/>
      <c r="HF129" s="253"/>
      <c r="HK129" s="1"/>
      <c r="HL129" s="1"/>
      <c r="HM129" s="1"/>
      <c r="HN129" s="1"/>
      <c r="HO129" s="1"/>
      <c r="HP129" s="1"/>
    </row>
    <row r="130" spans="2:224" s="45" customFormat="1" ht="12.75" hidden="1" customHeight="1" x14ac:dyDescent="0.25">
      <c r="B130" s="12" t="s">
        <v>27</v>
      </c>
      <c r="C130" s="385">
        <v>210.13</v>
      </c>
      <c r="D130" s="200"/>
      <c r="E130" s="39">
        <f>SnapshotTable[[#This Row],[Last Price]]*(1 -CrashDiscount)</f>
        <v>178.6105</v>
      </c>
      <c r="F130" s="26" t="s">
        <v>26</v>
      </c>
      <c r="G130" s="26" t="s">
        <v>10</v>
      </c>
      <c r="H130" s="147"/>
      <c r="I130" s="186">
        <v>44797.3125</v>
      </c>
      <c r="J130" s="187">
        <v>44797.3125</v>
      </c>
      <c r="K130" s="188"/>
      <c r="L130" s="297"/>
      <c r="M130" s="138"/>
      <c r="N130" s="138"/>
      <c r="O130" s="138"/>
      <c r="P130" s="22"/>
      <c r="Q130" s="25"/>
      <c r="R130" s="4" t="str">
        <f>IF(SnapshotTable[[#This Row],[Equity Basis Total]] &gt; 0, SnapshotTable[[#This Row],[Equity Basis Total]] / SnapshotTable[[#This Row],[Equity Shares]], "")</f>
        <v/>
      </c>
      <c r="S130" s="254">
        <f>SnapshotTable[[#This Row],[Last Price]] * SnapshotTable[[#This Row],[Equity Shares]]</f>
        <v>0</v>
      </c>
      <c r="T130" s="254">
        <f>SnapshotTable[[#This Row],[Equity Value]] - SnapshotTable[[#This Row],[Equity Basis Total]]</f>
        <v>0</v>
      </c>
      <c r="U130" s="255" t="str">
        <f>IF(SnapshotTable[[#This Row],[Equity Basis Total]] &gt; 0, SnapshotTable[[#This Row],[Equity G/L]] / SnapshotTable[[#This Row],[Equity Basis Total]], "")</f>
        <v/>
      </c>
      <c r="V130" s="253"/>
      <c r="W130" s="253"/>
      <c r="X130" s="4" t="str">
        <f>IF(AND(ISNUMBER(SnapshotTable[[#This Row],[Equity Basis Per Share]]),ISNUMBER(SnapshotTable[[#This Row],[Equity Target]])),SnapshotTable[[#This Row],[Equity Target]]-SnapshotTable[[#This Row],[Equity Basis Per Share]],"")</f>
        <v/>
      </c>
      <c r="Y130" s="4" t="str">
        <f>IF(AND(ISNUMBER(SnapshotTable[[#This Row],[Equity Basis Per Share]]),ISNUMBER(SnapshotTable[[#This Row],[Equity Stop Loss]])),SnapshotTable[[#This Row],[Equity Stop Loss]]-SnapshotTable[[#This Row],[Equity Basis Per Share]],"")</f>
        <v/>
      </c>
      <c r="Z130" s="260" t="str">
        <f>IFERROR( TEXT(SnapshotTable[[#This Row],[Equity Max Gain Per Share]] /ABS( SnapshotTable[[#This Row],[Equity Max Loss Per Share]]),"0.0 " ) &amp; " : 1", "")</f>
        <v/>
      </c>
      <c r="AA130" s="31" t="str">
        <f>IF(ISNUMBER(SnapshotTable[[#This Row],[Equity Max Gain Per Share]]),SnapshotTable[[#This Row],[Equity Max Gain Per Share]] * SnapshotTable[[#This Row],[Equity Shares]],"")</f>
        <v/>
      </c>
      <c r="AB130" s="31" t="str">
        <f>IF(ISNUMBER(SnapshotTable[[#This Row],[Equity Max Loss Per Share]]),SnapshotTable[[#This Row],[Equity Max Loss Per Share]] * SnapshotTable[[#This Row],[Equity Shares]],"")</f>
        <v/>
      </c>
      <c r="AC130" s="148"/>
      <c r="AD130" s="149"/>
      <c r="AE130" s="31">
        <f>(SnapshotTable[[#This Row],[Annual Dividend Per Share]] / 4) * SnapshotTable[[#This Row],[Equity Shares]]</f>
        <v>0</v>
      </c>
      <c r="AF130" s="31">
        <f>SnapshotTable[[#This Row],[Quarterly Div $]] * 4</f>
        <v>0</v>
      </c>
      <c r="AG130" s="7">
        <f>IF(SnapshotTable[[#This Row],[Annual Dividend Per Share]]&gt;0, SnapshotTable[[#This Row],[Annual Dividend Per Share]]  / SnapshotTable[[#This Row],[Last Price]], 0)</f>
        <v>0</v>
      </c>
      <c r="AH130" s="149"/>
      <c r="AI130" s="5"/>
      <c r="AJ130" s="136">
        <v>39.17</v>
      </c>
      <c r="AK130" s="150" t="str">
        <f>IF(ISNUMBER( SnapshotTable[[#This Row],[EBF Target]]),(SnapshotTable[[#This Row],[EBF Target]] - SnapshotTable[[#This Row],[Last Price]]) / SnapshotTable[[#This Row],[Last Price]], "")</f>
        <v/>
      </c>
      <c r="AL130" s="150" t="str">
        <f>IF(AND(SnapshotTable[[#This Row],[Equity Basis Total]] &gt; 0,ISNUMBER( SnapshotTable[[#This Row],[Long Term Target]])), SnapshotTable[[#This Row],[From Basis $]] / SnapshotTable[[#This Row],[Equity Basis Total]], "")</f>
        <v/>
      </c>
      <c r="AM130" s="9">
        <f>IF( AND(SnapshotTable[[#This Row],[Equity Shares]] &gt;0,ISNUMBER( SnapshotTable[[#This Row],[Long Term Target]])),(SnapshotTable[[#This Row],[Equity Shares]] * SnapshotTable[[#This Row],[Long Term Target]]) - SnapshotTable[[#This Row],[Equity Basis Total]],0)</f>
        <v>0</v>
      </c>
      <c r="AN130" s="9">
        <f>IF( AND(SnapshotTable[[#This Row],[Equity Shares]] &gt;0,ISNUMBER( SnapshotTable[[#This Row],[Long Term Target]])),(SnapshotTable[[#This Row],[Equity Shares]]*SnapshotTable[[#This Row],[Long Term Target]]) - SnapshotTable[[#This Row],[Equity Value]],0)</f>
        <v>0</v>
      </c>
      <c r="AO130" s="150">
        <f>IF(AND(ISNUMBER( SnapshotTable[[#This Row],[Long Term Target]]), ISNUMBER(SnapshotTable[[#This Row],[Last Price]])),(SnapshotTable[[#This Row],[Long Term Target]] - SnapshotTable[[#This Row],[Last Price]]) / SnapshotTable[[#This Row],[Last Price]], "")</f>
        <v>-0.81359158616094795</v>
      </c>
      <c r="AP130" s="5"/>
      <c r="AQ130" s="38"/>
      <c r="AR130" s="5">
        <v>57</v>
      </c>
      <c r="AS130" s="38"/>
      <c r="AT130" s="144"/>
      <c r="AU130" s="185" t="str">
        <f>IF(OR(SnapshotTable[[#This Row],[LP No Fill]]="Y",SnapshotTable[[#This Row],[SP Is Filled]],SnapshotTable[[#This Row],[LC Not Filled]]="Y",SnapshotTable[[#This Row],[SC Is Filled]]),"Y","")</f>
        <v/>
      </c>
      <c r="AV130" s="205"/>
      <c r="AW130" s="211"/>
      <c r="AX130" s="206"/>
      <c r="AY130" s="205" t="str">
        <f>IF(SnapshotTable[[#This Row],[Implied Move]]&gt;0, SnapshotTable[[#This Row],[Last Price]]-SnapshotTable[[#This Row],[Implied Move]],"")</f>
        <v/>
      </c>
      <c r="AZ130" s="205" t="str">
        <f>IF(SnapshotTable[[#This Row],[Implied Move]]&gt;0, SnapshotTable[[#This Row],[Last Price]] + SnapshotTable[[#This Row],[Implied Move]],"")</f>
        <v/>
      </c>
      <c r="BA130" s="302"/>
      <c r="BB130" s="318"/>
      <c r="BC1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0" s="321"/>
      <c r="BE130" s="5"/>
      <c r="BF130" s="14"/>
      <c r="BG130" s="13"/>
      <c r="BH130" s="13"/>
      <c r="BI130" s="5"/>
      <c r="BJ130" s="134">
        <f>IF(SnapshotTable[[#This Row],[LP Qty]] &gt; 0, SnapshotTable[[#This Row],[LP Qty]] * SnapshotTable[[#This Row],[LP Book Price]] * 100,0)</f>
        <v>0</v>
      </c>
      <c r="BK130" s="134">
        <f>IF(SnapshotTable[[#This Row],[LP Premium]] &gt; 0, SnapshotTable[[#This Row],[LP Qty]] * SnapshotTable[[#This Row],[LP Strike Price]] * 100,0)</f>
        <v>0</v>
      </c>
      <c r="BL130" s="152"/>
      <c r="BM130" s="355" t="str">
        <f>IF(SnapshotTable[[#This Row],[LP Premium]] &gt; 0,SnapshotTable[[#This Row],[LP Exp Date]]-MAX(SnapshotTable[[#This Row],[LP Book Date]], SnapshotTable[[#This Row],[LP Fill Date]]),"")</f>
        <v/>
      </c>
      <c r="BN130" s="355" t="str">
        <f>IF(ISNUMBER( SnapshotTable[[#This Row],[LP Term]]), SnapshotTable[[#This Row],[LP Exp Date]] - MockToday,"")</f>
        <v/>
      </c>
      <c r="BO130" s="161" t="str">
        <f>IF(AND(SnapshotTable[[#This Row],[LP Exp Date]]&gt;0, SnapshotTable[[#This Row],[LP Strike Price]]&gt;0,SnapshotTable[[#This Row],[LP Qty]]&gt;0,SnapshotTable[[#This Row],[LP Book Date]]&gt;0,SnapshotTable[[#This Row],[LP Book Price]]&gt;0,SnapshotTable[[#This Row],[LP Fill Date]]=0),"Y","")</f>
        <v/>
      </c>
      <c r="BP130" s="31" t="str">
        <f>IF(AND(SnapshotTable[[#This Row],[LP No Fill]]&lt;&gt;"Y",SnapshotTable[[#This Row],[LP Contract Value]]&gt;0, SnapshotTable[[#This Row],[LP Qty]]&gt;0), SnapshotTable[[#This Row],[LP Contract Value]]*SnapshotTable[[#This Row],[LP Qty]]*100,"")</f>
        <v/>
      </c>
      <c r="BQ130" s="13"/>
      <c r="BR130" s="5"/>
      <c r="BS130" s="36"/>
      <c r="BT130" s="145"/>
      <c r="BU130" s="13"/>
      <c r="BV130" s="5"/>
      <c r="BW130" s="382" t="b">
        <f>AND(ISNUMBER(SnapshotTable[[#This Row],[SP Exp Date]]), ISNUMBER(SnapshotTable[[#This Row],[SP Strike Price]]), ISNUMBER(SnapshotTable[[#This Row],[SP Qty]]), ISNUMBER(SnapshotTable[[#This Row],[SP Book Date]]), ISNUMBER(SnapshotTable[[#This Row],[SP Book Price]]))</f>
        <v>0</v>
      </c>
      <c r="BX130" s="382" t="b">
        <f>AND(SnapshotTable[[#This Row],[SP Is Booked]], NOT(ISBLANK(SnapshotTable[[#This Row],[SP Fill Date]])))</f>
        <v>0</v>
      </c>
      <c r="BY130" s="33">
        <f>IF(SnapshotTable[[#This Row],[SP Is Booked]], SnapshotTable[[#This Row],[SP Qty]] * SnapshotTable[[#This Row],[SP Book Price]] * 100, 0)</f>
        <v>0</v>
      </c>
      <c r="BZ130" s="339"/>
      <c r="CA130" s="338">
        <f>SnapshotTable[[#This Row],[LP Qty]]</f>
        <v>0</v>
      </c>
      <c r="CB130" s="4" t="str">
        <f>IF(SnapshotTable[[#This Row],[SP Is Booked]], SnapshotTable[[#This Row],[SP Strike Price]] - SnapshotTable[[#This Row],[SP Book Price]], "")</f>
        <v/>
      </c>
      <c r="CC130" s="19" t="str">
        <f>IF(SnapshotTable[[#This Row],[SP Is Booked]],SnapshotTable[[#This Row],[SP Exp Date]]-MAX(SnapshotTable[[#This Row],[SP Book Date]], SnapshotTable[[#This Row],[SP Fill Date]]),"")</f>
        <v/>
      </c>
      <c r="CD130" s="7" t="str">
        <f>IF(SnapshotTable[[#This Row],[SP Is Booked]], SnapshotTable[[#This Row],[SP Book Price]]/SnapshotTable[[#This Row],[SP Strike Price]], "")</f>
        <v/>
      </c>
      <c r="CE130" s="7" t="str">
        <f>IF(ISNUMBER(SnapshotTable[[#This Row],[SP ROO Term]]),SnapshotTable[[#This Row],[SP ROO Term]]*(365/SnapshotTable[[#This Row],[SP Term]]),"")</f>
        <v/>
      </c>
      <c r="CF130" s="221">
        <f>SnapshotTable[[#This Row],[LP Strike Price]] * SnapshotTable[[#This Row],[LP Qty]] * 100</f>
        <v>0</v>
      </c>
      <c r="CG130" s="31">
        <f>IF(ISNUMBER(SnapshotTable[[#This Row],[SP Premium]]), (SnapshotTable[[#This Row],[SP Qty]] * SnapshotTable[[#This Row],[SP Strike Price]]* 100) - SnapshotTable[[#This Row],[LP Protection]], 0)</f>
        <v>0</v>
      </c>
      <c r="CH130" s="7" t="str">
        <f>IF(ISNUMBER(SnapshotTable[[#This Row],[SP Break Even]]),-1 * (SnapshotTable[[#This Row],[SP Break Even]] - SnapshotTable[[#This Row],[Last Price]]) / SnapshotTable[[#This Row],[Last Price]], "")</f>
        <v/>
      </c>
      <c r="CI130" s="31">
        <f>IF(AND(ISNUMBER((SnapshotTable[[#This Row],[SP Potential Spend]])), SnapshotTable[[#This Row],[SP Strike Price]] &gt; SnapshotTable[[#This Row],[Last Price]], SnapshotTable[[#This Row],[SP Is Filled]]), SnapshotTable[[#This Row],[SP Potential Spend]] -  SnapshotTable[[#This Row],[LP Max Value]], 0)</f>
        <v>0</v>
      </c>
      <c r="CJ130" s="229"/>
      <c r="CK130" s="31">
        <f>IF(ISNUMBER(SnapshotTable[[#This Row],[SP Potential Spend]]),IF(ISNUMBER(SnapshotTable[[#This Row],[SP POW]]), SnapshotTable[[#This Row],[SP POW]] * SnapshotTable[[#This Row],[SP Potential Spend]], SnapshotTable[[#This Row],[SP Potential Spend]]), "")</f>
        <v>0</v>
      </c>
      <c r="CL130" s="162">
        <f>IF(NOT(SnapshotTable[[#This Row],[SP Is Filled]]),(SnapshotTable[[#This Row],[SP Qty]] * SnapshotTable[[#This Row],[SP Strike Price]] * 100) - SnapshotTable[[#This Row],[LP Max Value]],"")</f>
        <v>0</v>
      </c>
      <c r="CM130" s="31" t="str">
        <f>IF(SnapshotTable[[#This Row],[SP Actual Spend]]&lt;&gt;0, ((SnapshotTable[[#This Row],[SP Strike Price]]-SnapshotTable[[#This Row],[Last Price]]) *(SnapshotTable[[#This Row],[SP Qty]]*100) - SnapshotTable[[#This Row],[SP Premium]]) * - 1, "")</f>
        <v/>
      </c>
      <c r="CN130" s="76"/>
      <c r="CO130" s="339"/>
      <c r="CP130" s="4" t="str">
        <f>IF(SnapshotTable[[#This Row],[SP Is Filled]], btc_max_buyback_amount(SnapshotTable[[#This Row],[SP Fill Date]],SnapshotTable[[#This Row],[SP Exp Date]], SnapshotTable[[#This Row],[SP Book Price]]),"")</f>
        <v/>
      </c>
      <c r="CQ130" s="76"/>
      <c r="CR1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0" s="153" t="str">
        <f>IF(SnapshotTable[[#This Row],[SP Is Filled]], btc_next_cutoff_date(SnapshotTable[[#This Row],[SP Fill Date]],SnapshotTable[[#This Row],[SP Exp Date]]),"")</f>
        <v/>
      </c>
      <c r="CT130" s="220" t="str" cm="1">
        <f t="array" ref="CT130">IF(SnapshotTable[[#This Row],[SP Is Filled]], btc_should_buy_back(SnapshotTable[[#This Row],[SP Fill Date]], SnapshotTable[[#This Row],[SP Exp Date]], SnapshotTable[[#This Row],[SP Book Price]], SnapshotTable[[#This Row],[SP Current Ask]], MockToday, SnapshotTable[[#This Row],[SP Buyback Override]]),"")</f>
        <v/>
      </c>
      <c r="CU130" s="141"/>
      <c r="CV130" s="220"/>
      <c r="CW130" s="348" t="str">
        <f>IF(ISNUMBER( SnapshotTable[[#This Row],[SP Term]]), SnapshotTable[[#This Row],[SP Exp Date]] - MockToday,"")</f>
        <v/>
      </c>
      <c r="CX130" s="31" t="str">
        <f>IF(SnapshotTable[[#This Row],[SP Is Filled]],SnapshotTable[[#This Row],[SP Buyback Price to Use]] * 100 * SnapshotTable[[#This Row],[SP Qty]], "")</f>
        <v/>
      </c>
      <c r="CY130" s="4" t="str">
        <f>IF(ISNUMBER(SnapshotTable[[#This Row],[SP Strike Price]]), SnapshotTable[[#This Row],[SP Strike Price]] * (1 - SP_MaxLoss_StrikePct), "")</f>
        <v/>
      </c>
      <c r="CZ130" s="31" t="str">
        <f>IF(ISNUMBER(SnapshotTable[[#This Row],[SP Strike  Stop Per Share]]),SnapshotTable[[#This Row],[SP Premium]] - ((SnapshotTable[[#This Row],[SP Strike Price]]-SnapshotTable[[#This Row],[SP Strike  Stop Per Share]]) *(SnapshotTable[[#This Row],[SP Qty]] * 100)),"")</f>
        <v/>
      </c>
      <c r="DA130" s="4" t="str">
        <f>IF(AND(ISNUMBER(SnapshotTable[[#This Row],[SP Premium]]),SnapshotTable[[#This Row],[SP Premium]]&gt;0), SnapshotTable[[#This Row],[SP Book Price]] * (1 + SP_MaxLoss_OptionPct), "")</f>
        <v/>
      </c>
      <c r="DB130" s="31" t="str">
        <f>IF(ISNUMBER(SnapshotTable[[#This Row],[SP Option  Stop Contract]]),(SnapshotTable[[#This Row],[SP Option  Stop Contract]] *(SnapshotTable[[#This Row],[SP Qty]] * 100) - SnapshotTable[[#This Row],[SP Premium]]),"")</f>
        <v/>
      </c>
      <c r="DC130" s="4"/>
      <c r="DD130" s="4"/>
      <c r="DE130" s="4" t="str">
        <f>IF(AND(SnapshotTable[[#This Row],[SP Qty]]&gt;0, SnapshotTable[[#This Row],[SP Stop To Use]]&gt;0),SnapshotTable[[#This Row],[SP Premium]] - ( SnapshotTable[[#This Row],[SP Qty]] * SnapshotTable[[#This Row],[SP Stop To Use]] * 100), "")</f>
        <v/>
      </c>
      <c r="DF130" s="31" t="str">
        <f>IF(AND(SnapshotTable[[#This Row],[SP Qty]]&gt;0,SnapshotTable[[#This Row],[SP Current Ask]]&gt;0), SnapshotTable[[#This Row],[SP Qty]] * SnapshotTable[[#This Row],[SP Current Ask]] * -100, "")</f>
        <v/>
      </c>
      <c r="DG130" s="31" t="str">
        <f>IF(ISNUMBER((SnapshotTable[[#This Row],[SP Total Value]])), SnapshotTable[[#This Row],[SP Premium]] + SnapshotTable[[#This Row],[SP Total Value]], "")</f>
        <v/>
      </c>
      <c r="DH130" s="272" t="str">
        <f>IF(ISNUMBER((SnapshotTable[[#This Row],[SP Total Value]])), SnapshotTable[[#This Row],[SP Gain Loss]] / SnapshotTable[[#This Row],[SP Premium]], "")</f>
        <v/>
      </c>
      <c r="DI130" s="369"/>
      <c r="DJ130" s="136"/>
      <c r="DK130" s="146"/>
      <c r="DL130" s="13"/>
      <c r="DM130" s="13"/>
      <c r="DN130" s="5"/>
      <c r="DO130" s="31">
        <f>IF(SnapshotTable[[#This Row],[LC Symbol Count]]=1, SnapshotTable[[#This Row],[LC Qty]] * SnapshotTable[[#This Row],[LC Book Price]] * 100, 0)</f>
        <v>0</v>
      </c>
      <c r="DP130" s="161" t="str">
        <f>IF(AND(SnapshotTable[[#This Row],[LC Exp Date]]&gt;0, SnapshotTable[[#This Row],[LC Strike Price]]&gt;0,SnapshotTable[[#This Row],[LC Qty]]&gt;0,SnapshotTable[[#This Row],[LC Book Date]]&gt;0,SnapshotTable[[#This Row],[LC Book Price]]&gt;0,SnapshotTable[[#This Row],[LC Fill Date]]=0),"Y","")</f>
        <v/>
      </c>
      <c r="DQ130" s="356" t="str">
        <f>IF(SnapshotTable[[#This Row],[LC Premium]] &gt; 0,SnapshotTable[[#This Row],[LC Exp Date]]-MAX(SnapshotTable[[#This Row],[LC Book Date]], SnapshotTable[[#This Row],[LC Fill Date]]),"")</f>
        <v/>
      </c>
      <c r="DR130" s="356" t="str">
        <f>IF(ISNUMBER(SnapshotTable[[#This Row],[LC Term]]), SnapshotTable[[#This Row],[LC Exp Date]] - MockToday, "")</f>
        <v/>
      </c>
      <c r="DS130" s="219" t="str">
        <f>IF(SnapshotTable[[#This Row],[LC Premium]]&gt;0,SnapshotTable[[#This Row],[LC Strike Price]] + SnapshotTable[[#This Row],[LC Book Price]],"")</f>
        <v/>
      </c>
      <c r="DT130" s="5"/>
      <c r="DU130" s="9" t="str">
        <f>IF(AND(SnapshotTable[[#This Row],[LC Symbol Count]]&gt;0, SnapshotTable[[#This Row],[LC Contract Value]]&gt;0), SnapshotTable[[#This Row],[LC Contract Value]] * SnapshotTable[[#This Row],[LC Qty]] * 100, "")</f>
        <v/>
      </c>
      <c r="DV130" s="9" t="str">
        <f>IF(AND(ISNUMBER(SnapshotTable[[#This Row],[LC Total Value]]), SnapshotTable[[#This Row],[LC Not Filled]]&lt;&gt;"Y"), SnapshotTable[[#This Row],[LC Total Value]]-SnapshotTable[[#This Row],[LC Premium]],"")</f>
        <v/>
      </c>
      <c r="DW130" s="225" t="str">
        <f>IF(ISNUMBER(SnapshotTable[[#This Row],[LC Actual Gain Loss]]), SnapshotTable[[#This Row],[LC Actual Gain Loss]] / SnapshotTable[[#This Row],[LC Premium]],"")</f>
        <v/>
      </c>
      <c r="DX130" s="269" t="str">
        <f>IF(ISNUMBER(SnapshotTable[[#This Row],[LC Book Price]]),SnapshotTable[[#This Row],[LC Book Price]] * 1.5,"")</f>
        <v/>
      </c>
      <c r="DY130" s="250" t="str">
        <f>IF(SnapshotTable[[#This Row],[LC Premium]]&gt;0, SnapshotTable[[#This Row],[LC Next Target]] * SnapshotTable[[#This Row],[LC Qty]] * 100,"")</f>
        <v/>
      </c>
      <c r="DZ130" s="250" t="str">
        <f>IF(ISNUMBER(SnapshotTable[[#This Row],[LC Target Gross]]), SnapshotTable[[#This Row],[LC Target Gross]] - SnapshotTable[[#This Row],[LC Premium]], "")</f>
        <v/>
      </c>
      <c r="EA130" s="283" t="str">
        <f>IF(ISNUMBER(SnapshotTable[[#This Row],[LC Target Gain Loss]]), SnapshotTable[[#This Row],[LC Target Gain Loss]]/SnapshotTable[[#This Row],[LC Premium]], "")</f>
        <v/>
      </c>
      <c r="EB130" s="247"/>
      <c r="EC130" s="268" t="str">
        <f>IF(SnapshotTable[[#This Row],[LC Premium]]&gt;0, SnapshotTable[[#This Row],[LC Book Price]] * (1 - LC_StopLoss_Pct),"")</f>
        <v/>
      </c>
      <c r="ED130" s="269"/>
      <c r="EE130" s="268" t="str">
        <f>IF(ISNUMBER(SnapshotTable[[#This Row],[LC Contract Value]]),IF(ISNUMBER(SnapshotTable[[#This Row],[LC Stop Loss Override]]), SnapshotTable[[#This Row],[LC Stop Loss Override]],SnapshotTable[[#This Row],[LC Stop Loss Calc Target]]),"")</f>
        <v/>
      </c>
      <c r="EF130" s="31" t="str">
        <f>IF(ISNUMBER(SnapshotTable[[#This Row],[LC Stop  To Use]]), (SnapshotTable[[#This Row],[LC Stop  To Use]] * SnapshotTable[[#This Row],[LC Qty]] * 100),"")</f>
        <v/>
      </c>
      <c r="EG130" s="9" t="str">
        <f>IF(ISNUMBER(SnapshotTable[[#This Row],[LC Total Value]]),SnapshotTable[[#This Row],[LC Stop Loss Amount]] - SnapshotTable[[#This Row],[LC Premium]],"")</f>
        <v/>
      </c>
      <c r="EH130" s="9">
        <f>IF(ISNUMBER(SnapshotTable[[#This Row],[LC Premium]]), SnapshotTable[[#This Row],[LC Qty]] * 100 * SnapshotTable[[#This Row],[LC Strike Price]], "")</f>
        <v>0</v>
      </c>
      <c r="EI130" s="225" t="str">
        <f>IF(AND(ISNUMBER(SnapshotTable[[#This Row],[LC Total Value]]),SnapshotTable[[#This Row],[LC Total Value]]&gt;0),SnapshotTable[[#This Row],[LC Stop Gain Loss]]  / SnapshotTable[[#This Row],[LC Premium]],"")</f>
        <v/>
      </c>
      <c r="EJ130" s="35">
        <f>IF(ISNUMBER(SnapshotTable[[#This Row],[Equity Shares]]),TRUNC(SnapshotTable[[#This Row],[Equity Shares]] / 100),0) + SnapshotTable[[#This Row],[LC Qty]]</f>
        <v>0</v>
      </c>
      <c r="EK130" s="145"/>
      <c r="EL130" s="136"/>
      <c r="EM130" s="146"/>
      <c r="EN130" s="145"/>
      <c r="EO130" s="145"/>
      <c r="EP130" s="136"/>
      <c r="EQ130" s="382" t="b">
        <f>AND(ISNUMBER(SnapshotTable[[#This Row],[SC Exp Date]]), ISNUMBER(SnapshotTable[[#This Row],[SC Strike Price]]), ISNUMBER(SnapshotTable[[#This Row],[SC Qty]]), ISNUMBER(SnapshotTable[[#This Row],[SC Book Date]]), ISNUMBER(SnapshotTable[[#This Row],[SC Book Price]]))</f>
        <v>0</v>
      </c>
      <c r="ER130" s="382" t="b">
        <f>AND(SnapshotTable[[#This Row],[SC Is Booked]], NOT(ISBLANK(SnapshotTable[[#This Row],[SC Fill Date]])))</f>
        <v>0</v>
      </c>
      <c r="ES130" s="340"/>
      <c r="ET130" s="34" t="str">
        <f>IF(AND(ISNUMBER(SnapshotTable[[#This Row],[SC Exp Date]]), ISNUMBER(SnapshotTable[[#This Row],[SC Book Date]])), SnapshotTable[[#This Row],[SC Exp Date]] - MAX(SnapshotTable[[#This Row],[SC Book Date]], SnapshotTable[[#This Row],[SC Fill Date]]) + 1, "")</f>
        <v/>
      </c>
      <c r="EU130" s="34" t="str">
        <f>IF(ISNUMBER(SnapshotTable[[#This Row],[SC Term]]), SnapshotTable[[#This Row],[SC Exp Date]]- MockToday, "")</f>
        <v/>
      </c>
      <c r="EV130" s="31">
        <f>IF(SnapshotTable[[#This Row],[SC Is Booked]], SnapshotTable[[#This Row],[SC Qty]] * SnapshotTable[[#This Row],[SC Book Price]] * 100, 0)</f>
        <v>0</v>
      </c>
      <c r="EW130" s="4" t="str">
        <f>IF(AND(ISNUMBER(SnapshotTable[[#This Row],[Last Price]]), ISNUMBER( SnapshotTable[[#This Row],[SC Book Price]])), SnapshotTable[[#This Row],[Last Price]] - SnapshotTable[[#This Row],[SC Book Price]],"")</f>
        <v/>
      </c>
      <c r="EX130" s="219" t="str">
        <f>IF(SnapshotTable[[#This Row],[SC Is Booked]],IF(SnapshotTable[[#This Row],[SC Intrinsic Value]] &gt; 0, SnapshotTable[[#This Row],[SC Strike Price]], SnapshotTable[[#This Row],[Last Price]]), "")</f>
        <v/>
      </c>
      <c r="EY130" s="4">
        <f>IF(SnapshotTable[[#This Row],[SC Is Booked]], (MinimumPremiumRequired * SnapshotTable[[#This Row],[SC Basis]] * SnapshotTable[[#This Row],[SC Term]]), 0)</f>
        <v>0</v>
      </c>
      <c r="EZ130" s="268"/>
      <c r="FA130" s="204"/>
      <c r="FB130" s="340"/>
      <c r="FC130" s="4">
        <f>IF(SnapshotTable[[#This Row],[SC Is Filled]], btc_max_buyback_amount(SnapshotTable[[#This Row],[SC Fill Date]],SnapshotTable[[#This Row],[SC Exp Date]], SnapshotTable[[#This Row],[SC Book Price]]),0)</f>
        <v>0</v>
      </c>
      <c r="FD130" s="5"/>
      <c r="FE130" s="142" t="str">
        <f>IF(SnapshotTable[[#This Row],[SC Is Filled]], btc_next_cutoff_date(SnapshotTable[[#This Row],[SC Fill Date]],SnapshotTable[[#This Row],[SC Exp Date]]),"")</f>
        <v/>
      </c>
      <c r="FF130" s="4" t="str" cm="1">
        <f t="array" ref="FF130">IF(SnapshotTable[[#This Row],[SC Is Filled]], btc_should_buy_back(SnapshotTable[[#This Row],[SC Fill Date]], SnapshotTable[[#This Row],[SC Exp Date]], SnapshotTable[[#This Row],[SC Book Price]], SnapshotTable[[#This Row],[SC Current Ask]], MockToday, SnapshotTable[[#This Row],[SC Buyback Override]]),"")</f>
        <v/>
      </c>
      <c r="FG130" s="4">
        <f>IF(SnapshotTable[[#This Row],[SC Is Filled]], MAX(0,SnapshotTable[[#This Row],[Last Price]]  - SnapshotTable[[#This Row],[SC Strike Price]]), 0)</f>
        <v>0</v>
      </c>
      <c r="FH130" s="352">
        <f>IF(SnapshotTable[[#This Row],[SC Is Filled]], IF(ISNUMBER(SnapshotTable[[#This Row],[SC Current Ask]]), SnapshotTable[[#This Row],[SC Current Ask]], SnapshotTable[[#This Row],[SC Book Price]]) - SnapshotTable[[#This Row],[SC Intrinsic Value]], 0)</f>
        <v>0</v>
      </c>
      <c r="FI130" s="141"/>
      <c r="FJ130" s="32" t="str">
        <f>IF(SnapshotTable[[#This Row],[SC Is Filled]],100 * SnapshotTable[[#This Row],[SC Qty]] * IF(ISNUMBER(SnapshotTable[[#This Row],[SC Buyback Override]]), SnapshotTable[[#This Row],[SC Buyback Override]], SnapshotTable[[#This Row],[SC Current Ask]]), "")</f>
        <v/>
      </c>
      <c r="FK130" s="235" t="str">
        <f>IF(SnapshotTable[[#This Row],[SC Time Val]]&gt;0, SnapshotTable[[#This Row],[SC Time Val]] / SnapshotTable[[#This Row],[Last Price]],"")</f>
        <v/>
      </c>
      <c r="FL130" s="280" t="str">
        <f>IF(SnapshotTable[[#This Row],[SC Is Booked]], ((SnapshotTable[[#This Row],[Last Price]] -SnapshotTable[[#This Row],[SC Strike Price]]) / SnapshotTable[[#This Row],[Last Price]]) * -1, "")</f>
        <v/>
      </c>
      <c r="FM130" s="155" t="str">
        <f>IF(SnapshotTable[[#This Row],[SC Is Booked]],  (SnapshotTable[[#This Row],[SC Qty]] * 100 * SnapshotTable[[#This Row],[SC Strike Price]]) - SnapshotTable[[#This Row],[SC Current Ask]], "")</f>
        <v/>
      </c>
      <c r="FN1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0" s="31" t="str">
        <f>IF(AND(ISNUMBER(SnapshotTable[[#This Row],[SC Exercise Gross]]), ISNUMBER(SnapshotTable[[#This Row],[Equity Basis Per Share]] )), SnapshotTable[[#This Row],[SC Exercise Gross]] - SnapshotTable[[#This Row],[Equity Basis Total]] +  SnapshotTable[[#This Row],[SC Premium]], "")</f>
        <v/>
      </c>
      <c r="FP130" s="5" t="str">
        <f>IF(ISNUMBER(SnapshotTable[[#This Row],[SC Exercise Gross]]), (SnapshotTable[[#This Row],[SC Exercise Gross]]) / (SnapshotTable[[#This Row],[SC Qty]] * 100), "")</f>
        <v/>
      </c>
      <c r="FQ130" s="27" t="str">
        <f>IF(SnapshotTable[[#This Row],[SC Is Booked]],SnapshotTable[[#This Row],[SC Time Val]] /SnapshotTable[[#This Row],[SC Basis]], "")</f>
        <v/>
      </c>
      <c r="FR130" s="27" t="str" cm="1">
        <f t="array" ref="FR130">IF(AND(ISNUMBER(SnapshotTable[[#This Row],[SC Term]]),ISNUMBER(SnapshotTable[[#This Row],[SC Simple ROO]])), EllmanAnnualize(SnapshotTable[[#This Row],[SC DTE]], SnapshotTable[[#This Row],[SC Simple ROO]] ),"")</f>
        <v/>
      </c>
      <c r="FS130" s="4">
        <f>IF(SnapshotTable[[#This Row],[SC Strike Price]] &gt; SnapshotTable[[#This Row],[Last Price]], SnapshotTable[[#This Row],[SC Strike Price]] - SnapshotTable[[#This Row],[Last Price]],0)</f>
        <v>0</v>
      </c>
      <c r="FT130" s="27" t="str">
        <f>IF(AND(ISNUMBER(SnapshotTable[[#This Row],[SC Upside Potential]]), SnapshotTable[[#This Row],[SC Upside Potential]] &gt; 0),(SnapshotTable[[#This Row],[SC Upside Potential]]/ SnapshotTable[[#This Row],[ACB]]),"")</f>
        <v/>
      </c>
      <c r="FU130" s="304" t="str">
        <f>IF(SnapshotTable[[#This Row],[SC Intrinsic Value]] &gt; 0,SnapshotTable[[#This Row],[SC Intrinsic Value]],"")</f>
        <v/>
      </c>
      <c r="FV130" s="27" t="str">
        <f>IF(AND( ISNUMBER( SnapshotTable[[#This Row],[ACB]]),ISNUMBER(SnapshotTable[[#This Row],[SC Downside Protect]])),SnapshotTable[[#This Row],[SC Downside Protect]] / SnapshotTable[[#This Row],[ACB]],"")</f>
        <v/>
      </c>
      <c r="FW130" s="221" t="str">
        <f>IF(AND(ISNUMBER(SnapshotTable[[#This Row],[SC Simple ROO]]),SnapshotTable[[#This Row],[SC Simple ROO]] &gt; 0), SnapshotTable[[#This Row],[SC Premium]] + (SnapshotTable[[#This Row],[SC Qty]] * SnapshotTable[[#This Row],[SC Upside Potential]]), "")</f>
        <v/>
      </c>
      <c r="FX130" s="280" t="str" cm="1">
        <f t="array" ref="FX130">IF(ISNUMBER(SnapshotTable[[#This Row],[SC Max Dollars]]), annualize(SnapshotTable[[#This Row],[SC Term]],(SnapshotTable[[#This Row],[SC Max Dollars]]/SnapshotTable[[#This Row],[SC Basis]])),"")</f>
        <v/>
      </c>
      <c r="FY130" s="221" t="str">
        <f>IF(AND(SnapshotTable[[#This Row],[SC Qty]]&gt;0,SnapshotTable[[#This Row],[SC Current Ask]]&gt;0), SnapshotTable[[#This Row],[SC Qty]] * SnapshotTable[[#This Row],[SC Current Ask]] * -100, "")</f>
        <v/>
      </c>
      <c r="FZ130" s="31" t="str">
        <f>IF(ISNUMBER((SnapshotTable[[#This Row],[SC Current Value]])), SnapshotTable[[#This Row],[SC Premium]] + SnapshotTable[[#This Row],[SC Current Value]], "")</f>
        <v/>
      </c>
      <c r="GA130" s="272" t="str">
        <f>IFERROR( IF(ISNUMBER((SnapshotTable[[#This Row],[SC Current Value]])), SnapshotTable[[#This Row],[SC Gain Loss]] / SnapshotTable[[#This Row],[SC Premium]], ""), "")</f>
        <v/>
      </c>
      <c r="GB130" s="42">
        <f>SnapshotTable[[#This Row],[Equity Shares]] * SaleSharesToConsiderPercentage</f>
        <v>0</v>
      </c>
      <c r="GC130" s="40">
        <f>SnapshotTable[[#This Row],[Long Term Target]] * SellingPriceToConsiderBasedOnTargetPercentage</f>
        <v>37.211500000000001</v>
      </c>
      <c r="GD130" s="40">
        <f>SnapshotTable[[#This Row],[Last Price]] * (1+ SellingPriceToConsiderBasedOnTargetPercentage)</f>
        <v>409.75349999999997</v>
      </c>
      <c r="GE130" s="41"/>
      <c r="GF130" s="40"/>
      <c r="GG130" s="31">
        <f>SnapshotTable[[#This Row],[Booked Sale Shares]] * SnapshotTable[[#This Row],[Booked Sale Price]]</f>
        <v>0</v>
      </c>
      <c r="GH130" s="31" t="str">
        <f>IF(SnapshotTable[[#This Row],[Equity Basis Total]] &gt; 0, SnapshotTable[[#This Row],[Equity Basis Per Share]] * SnapshotTable[[#This Row],[Booked Sale Shares]], "")</f>
        <v/>
      </c>
      <c r="GI130" s="31">
        <f>IF(SnapshotTable[[#This Row],[Sale Proceeds]]&gt;0, SnapshotTable[[#This Row],[Sale Proceeds]] - SnapshotTable[[#This Row],[Sale Basis]], 0)</f>
        <v>0</v>
      </c>
      <c r="GJ130" s="27" t="str">
        <f>IF(SnapshotTable[[#This Row],[Sale G/L]]&gt;0, SnapshotTable[[#This Row],[Sale G/L]] / SnapshotTable[[#This Row],[Sale Basis]], IF(ISNUMBER(SnapshotTable[[#This Row],[SC Exercise P&amp;L (TAX)]]), SnapshotTable[[#This Row],[SC Exercise P&amp;L (TAX)]] / SnapshotTable[[#This Row],[SC Basis]], ""))</f>
        <v/>
      </c>
      <c r="GK130" s="27" t="s">
        <v>563</v>
      </c>
      <c r="GL130" s="43" t="str">
        <f>IF(AND(SnapshotTable[[#This Row],[LP Exp Date]]&gt;0,SnapshotTable[[#This Row],[LP Strike Price]]&gt;0), [1]!ToOptionSymbol(SnapshotTable[[#This Row],[Symbol]], SnapshotTable[[#This Row],[LP Strike Price]],SnapshotTable[[#This Row],[LP Exp Date]],1), "")</f>
        <v/>
      </c>
      <c r="GM130" s="30" t="str">
        <f>IF(LEN(SnapshotTable[[#This Row],[LP Symbol]])&gt;0, 1, "")</f>
        <v/>
      </c>
      <c r="GN130" s="43" t="str">
        <f>IF(AND(SnapshotTable[[#This Row],[SP Exp Date]]&gt;0,SnapshotTable[[#This Row],[SP Strike Price]]&gt;0), [1]!ToOptionSymbol(SnapshotTable[[#This Row],[Symbol]], SnapshotTable[[#This Row],[SP Strike Price]],SnapshotTable[[#This Row],[SP Exp Date]],1), "")</f>
        <v/>
      </c>
      <c r="GO130" s="30" t="str">
        <f>IF(LEN(SnapshotTable[[#This Row],[SP Symbol]])&gt;0, 1, "")</f>
        <v/>
      </c>
      <c r="GP130" s="43" t="str">
        <f>IF(AND(SnapshotTable[[#This Row],[LC Exp Date]]&gt;0,SnapshotTable[[#This Row],[LC Strike Price]]&gt;0), [1]!ToOptionSymbol(SnapshotTable[[#This Row],[Symbol]], SnapshotTable[[#This Row],[LC Strike Price]],SnapshotTable[[#This Row],[LC Exp Date]],0), "")</f>
        <v/>
      </c>
      <c r="GQ130" s="30" t="str">
        <f>IF(LEN(SnapshotTable[[#This Row],[LC Symbol]])&gt;0, 1, "")</f>
        <v/>
      </c>
      <c r="GR130" s="43" t="str">
        <f>IF(AND(SnapshotTable[[#This Row],[SC Exp Date]]&gt;0,SnapshotTable[[#This Row],[SC Strike Price]]&gt;0), [1]!ToOptionSymbol(SnapshotTable[[#This Row],[Symbol]], SnapshotTable[[#This Row],[SC Strike Price]],SnapshotTable[[#This Row],[SC Exp Date]],0), "")</f>
        <v/>
      </c>
      <c r="GS130" s="30" t="str">
        <f>IF(LEN(SnapshotTable[[#This Row],[SC Symbol]])&gt;0, 1, "")</f>
        <v/>
      </c>
      <c r="GT130" s="29" t="str">
        <f>IF(COUNT(SnapshotTable[[#This Row],[LP Symbol Count]],SnapshotTable[[#This Row],[SP Symbol Count]],SnapshotTable[[#This Row],[LC Symbol Count]],SnapshotTable[[#This Row],[SC Symbol Count]])&gt;0, "Y", "")</f>
        <v/>
      </c>
      <c r="GU1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0" s="216">
        <f>MAX(SnapshotTable[[#This Row],[Equity Basis Total]],SnapshotTable[[#This Row],[Equity Value]]) + (SnapshotTable[[#This Row],[SP Potential Spend]]- SnapshotTable[[#This Row],[SP Premium]] + SnapshotTable[[#This Row],[LP Premium]])+ (SnapshotTable[[#This Row],[LC Premium]] - SnapshotTable[[#This Row],[SC Premium]])</f>
        <v>0</v>
      </c>
      <c r="GW130" s="137" t="str">
        <f>IF(AND(SnapshotTable[[#This Row],[Exposure]] &lt;&gt; 0),SnapshotTable[[#This Row],[Exposure]] / SnapshotTable[[#Totals],[Exposure]], "")</f>
        <v/>
      </c>
      <c r="GY130" s="351"/>
      <c r="HE130" s="253"/>
      <c r="HF130" s="253"/>
      <c r="HG130" s="351"/>
      <c r="HH130" s="351"/>
      <c r="HI130" s="351"/>
      <c r="HJ130" s="351"/>
    </row>
    <row r="131" spans="2:224" ht="12.75" hidden="1" customHeight="1" x14ac:dyDescent="0.25">
      <c r="B131" s="12" t="s">
        <v>944</v>
      </c>
      <c r="C131" s="385">
        <v>3.05</v>
      </c>
      <c r="D131" s="200"/>
      <c r="E131" s="39">
        <f>SnapshotTable[[#This Row],[Last Price]]*(1 -CrashDiscount)</f>
        <v>2.5924999999999998</v>
      </c>
      <c r="F131" s="26" t="s">
        <v>812</v>
      </c>
      <c r="G131" s="26" t="s">
        <v>630</v>
      </c>
      <c r="H131" s="147"/>
      <c r="I131" s="186"/>
      <c r="J131" s="187"/>
      <c r="K131" s="188"/>
      <c r="L131" s="297"/>
      <c r="M131" s="138"/>
      <c r="N131" s="138"/>
      <c r="O131" s="138"/>
      <c r="P131" s="22"/>
      <c r="Q131" s="25"/>
      <c r="R131" s="4" t="str">
        <f>IF(SnapshotTable[[#This Row],[Equity Basis Total]] &gt; 0, SnapshotTable[[#This Row],[Equity Basis Total]] / SnapshotTable[[#This Row],[Equity Shares]], "")</f>
        <v/>
      </c>
      <c r="S131" s="254">
        <f>SnapshotTable[[#This Row],[Last Price]] * SnapshotTable[[#This Row],[Equity Shares]]</f>
        <v>0</v>
      </c>
      <c r="T131" s="254">
        <f>SnapshotTable[[#This Row],[Equity Value]] - SnapshotTable[[#This Row],[Equity Basis Total]]</f>
        <v>0</v>
      </c>
      <c r="U131" s="255" t="str">
        <f>IF(SnapshotTable[[#This Row],[Equity Basis Total]] &gt; 0, SnapshotTable[[#This Row],[Equity G/L]] / SnapshotTable[[#This Row],[Equity Basis Total]], "")</f>
        <v/>
      </c>
      <c r="V131" s="253"/>
      <c r="W131" s="253"/>
      <c r="X131" s="4" t="str">
        <f>IF(AND(ISNUMBER(SnapshotTable[[#This Row],[Equity Basis Per Share]]),ISNUMBER(SnapshotTable[[#This Row],[Equity Target]])),SnapshotTable[[#This Row],[Equity Target]]-SnapshotTable[[#This Row],[Equity Basis Per Share]],"")</f>
        <v/>
      </c>
      <c r="Y131" s="4" t="str">
        <f>IF(AND(ISNUMBER(SnapshotTable[[#This Row],[Equity Basis Per Share]]),ISNUMBER(SnapshotTable[[#This Row],[Equity Stop Loss]])),SnapshotTable[[#This Row],[Equity Stop Loss]]-SnapshotTable[[#This Row],[Equity Basis Per Share]],"")</f>
        <v/>
      </c>
      <c r="Z131" s="260" t="str">
        <f>IFERROR( TEXT(SnapshotTable[[#This Row],[Equity Max Gain Per Share]] /ABS( SnapshotTable[[#This Row],[Equity Max Loss Per Share]]),"0.0 " ) &amp; " : 1", "")</f>
        <v/>
      </c>
      <c r="AA131" s="31" t="str">
        <f>IF(ISNUMBER(SnapshotTable[[#This Row],[Equity Max Gain Per Share]]),SnapshotTable[[#This Row],[Equity Max Gain Per Share]] * SnapshotTable[[#This Row],[Equity Shares]],"")</f>
        <v/>
      </c>
      <c r="AB131" s="31" t="str">
        <f>IF(ISNUMBER(SnapshotTable[[#This Row],[Equity Max Loss Per Share]]),SnapshotTable[[#This Row],[Equity Max Loss Per Share]] * SnapshotTable[[#This Row],[Equity Shares]],"")</f>
        <v/>
      </c>
      <c r="AC131" s="148"/>
      <c r="AD131" s="149"/>
      <c r="AE131" s="31">
        <f>(SnapshotTable[[#This Row],[Annual Dividend Per Share]] / 4) * SnapshotTable[[#This Row],[Equity Shares]]</f>
        <v>0</v>
      </c>
      <c r="AF131" s="31">
        <f>SnapshotTable[[#This Row],[Quarterly Div $]] * 4</f>
        <v>0</v>
      </c>
      <c r="AG131" s="7">
        <f>IF(SnapshotTable[[#This Row],[Annual Dividend Per Share]]&gt;0, SnapshotTable[[#This Row],[Annual Dividend Per Share]]  / SnapshotTable[[#This Row],[Last Price]], 0)</f>
        <v>0</v>
      </c>
      <c r="AH131" s="149"/>
      <c r="AI131" s="5"/>
      <c r="AJ131" s="136">
        <v>2.65</v>
      </c>
      <c r="AK131" s="150" t="str">
        <f>IF(ISNUMBER( SnapshotTable[[#This Row],[EBF Target]]),(SnapshotTable[[#This Row],[EBF Target]] - SnapshotTable[[#This Row],[Last Price]]) / SnapshotTable[[#This Row],[Last Price]], "")</f>
        <v/>
      </c>
      <c r="AL131" s="150" t="str">
        <f>IF(AND(SnapshotTable[[#This Row],[Equity Basis Total]] &gt; 0,ISNUMBER( SnapshotTable[[#This Row],[Long Term Target]])), SnapshotTable[[#This Row],[From Basis $]] / SnapshotTable[[#This Row],[Equity Basis Total]], "")</f>
        <v/>
      </c>
      <c r="AM131" s="9">
        <f>IF( AND(SnapshotTable[[#This Row],[Equity Shares]] &gt;0,ISNUMBER( SnapshotTable[[#This Row],[Long Term Target]])),(SnapshotTable[[#This Row],[Equity Shares]] * SnapshotTable[[#This Row],[Long Term Target]]) - SnapshotTable[[#This Row],[Equity Basis Total]],0)</f>
        <v>0</v>
      </c>
      <c r="AN131" s="9">
        <f>IF( AND(SnapshotTable[[#This Row],[Equity Shares]] &gt;0,ISNUMBER( SnapshotTable[[#This Row],[Long Term Target]])),(SnapshotTable[[#This Row],[Equity Shares]]*SnapshotTable[[#This Row],[Long Term Target]]) - SnapshotTable[[#This Row],[Equity Value]],0)</f>
        <v>0</v>
      </c>
      <c r="AO131" s="150">
        <f>IF(AND(ISNUMBER( SnapshotTable[[#This Row],[Long Term Target]]), ISNUMBER(SnapshotTable[[#This Row],[Last Price]])),(SnapshotTable[[#This Row],[Long Term Target]] - SnapshotTable[[#This Row],[Last Price]]) / SnapshotTable[[#This Row],[Last Price]], "")</f>
        <v>-0.13114754098360654</v>
      </c>
      <c r="AP131" s="5"/>
      <c r="AQ131" s="38"/>
      <c r="AR131" s="5"/>
      <c r="AS131" s="38"/>
      <c r="AT131" s="144" t="s">
        <v>886</v>
      </c>
      <c r="AU131" s="185" t="str">
        <f>IF(OR(SnapshotTable[[#This Row],[LP No Fill]]="Y",SnapshotTable[[#This Row],[SP Is Filled]],SnapshotTable[[#This Row],[LC Not Filled]]="Y",SnapshotTable[[#This Row],[SC Is Filled]]),"Y","")</f>
        <v/>
      </c>
      <c r="AV131" s="205"/>
      <c r="AW131" s="211"/>
      <c r="AX131" s="206"/>
      <c r="AY131" s="205" t="str">
        <f>IF(SnapshotTable[[#This Row],[Implied Move]]&gt;0, SnapshotTable[[#This Row],[Last Price]]-SnapshotTable[[#This Row],[Implied Move]],"")</f>
        <v/>
      </c>
      <c r="AZ131" s="205" t="str">
        <f>IF(SnapshotTable[[#This Row],[Implied Move]]&gt;0, SnapshotTable[[#This Row],[Last Price]] + SnapshotTable[[#This Row],[Implied Move]],"")</f>
        <v/>
      </c>
      <c r="BA131" s="302">
        <v>1.73</v>
      </c>
      <c r="BB131" s="318"/>
      <c r="BC1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1" s="321"/>
      <c r="BE131" s="5"/>
      <c r="BF131" s="14"/>
      <c r="BG131" s="13"/>
      <c r="BH131" s="13"/>
      <c r="BI131" s="5"/>
      <c r="BJ131" s="134">
        <f>IF(SnapshotTable[[#This Row],[LP Qty]] &gt; 0, SnapshotTable[[#This Row],[LP Qty]] * SnapshotTable[[#This Row],[LP Book Price]] * 100,0)</f>
        <v>0</v>
      </c>
      <c r="BK131" s="134">
        <f>IF(SnapshotTable[[#This Row],[LP Premium]] &gt; 0, SnapshotTable[[#This Row],[LP Qty]] * SnapshotTable[[#This Row],[LP Strike Price]] * 100,0)</f>
        <v>0</v>
      </c>
      <c r="BL131" s="152"/>
      <c r="BM131" s="355" t="str">
        <f>IF(SnapshotTable[[#This Row],[LP Premium]] &gt; 0,SnapshotTable[[#This Row],[LP Exp Date]]-MAX(SnapshotTable[[#This Row],[LP Book Date]], SnapshotTable[[#This Row],[LP Fill Date]]),"")</f>
        <v/>
      </c>
      <c r="BN131" s="355" t="str">
        <f>IF(ISNUMBER( SnapshotTable[[#This Row],[LP Term]]), SnapshotTable[[#This Row],[LP Exp Date]] - MockToday,"")</f>
        <v/>
      </c>
      <c r="BO131" s="161" t="str">
        <f>IF(AND(SnapshotTable[[#This Row],[LP Exp Date]]&gt;0, SnapshotTable[[#This Row],[LP Strike Price]]&gt;0,SnapshotTable[[#This Row],[LP Qty]]&gt;0,SnapshotTable[[#This Row],[LP Book Date]]&gt;0,SnapshotTable[[#This Row],[LP Book Price]]&gt;0,SnapshotTable[[#This Row],[LP Fill Date]]=0),"Y","")</f>
        <v/>
      </c>
      <c r="BP131" s="31" t="str">
        <f>IF(AND(SnapshotTable[[#This Row],[LP No Fill]]&lt;&gt;"Y",SnapshotTable[[#This Row],[LP Contract Value]]&gt;0, SnapshotTable[[#This Row],[LP Qty]]&gt;0), SnapshotTable[[#This Row],[LP Contract Value]]*SnapshotTable[[#This Row],[LP Qty]]*100,"")</f>
        <v/>
      </c>
      <c r="BQ131" s="13"/>
      <c r="BR131" s="5"/>
      <c r="BS131" s="36"/>
      <c r="BT131" s="145"/>
      <c r="BU131" s="13"/>
      <c r="BV131" s="5"/>
      <c r="BW131" s="382" t="b">
        <f>AND(ISNUMBER(SnapshotTable[[#This Row],[SP Exp Date]]), ISNUMBER(SnapshotTable[[#This Row],[SP Strike Price]]), ISNUMBER(SnapshotTable[[#This Row],[SP Qty]]), ISNUMBER(SnapshotTable[[#This Row],[SP Book Date]]), ISNUMBER(SnapshotTable[[#This Row],[SP Book Price]]))</f>
        <v>0</v>
      </c>
      <c r="BX131" s="382" t="b">
        <f>AND(SnapshotTable[[#This Row],[SP Is Booked]], NOT(ISBLANK(SnapshotTable[[#This Row],[SP Fill Date]])))</f>
        <v>0</v>
      </c>
      <c r="BY131" s="33">
        <f>IF(SnapshotTable[[#This Row],[SP Is Booked]], SnapshotTable[[#This Row],[SP Qty]] * SnapshotTable[[#This Row],[SP Book Price]] * 100, 0)</f>
        <v>0</v>
      </c>
      <c r="BZ131" s="339"/>
      <c r="CA131" s="338">
        <f>SnapshotTable[[#This Row],[LP Qty]]</f>
        <v>0</v>
      </c>
      <c r="CB131" s="4" t="str">
        <f>IF(SnapshotTable[[#This Row],[SP Is Booked]], SnapshotTable[[#This Row],[SP Strike Price]] - SnapshotTable[[#This Row],[SP Book Price]], "")</f>
        <v/>
      </c>
      <c r="CC131" s="19" t="str">
        <f>IF(SnapshotTable[[#This Row],[SP Is Booked]],SnapshotTable[[#This Row],[SP Exp Date]]-MAX(SnapshotTable[[#This Row],[SP Book Date]], SnapshotTable[[#This Row],[SP Fill Date]]),"")</f>
        <v/>
      </c>
      <c r="CD131" s="7" t="str">
        <f>IF(SnapshotTable[[#This Row],[SP Is Booked]], SnapshotTable[[#This Row],[SP Book Price]]/SnapshotTable[[#This Row],[SP Strike Price]], "")</f>
        <v/>
      </c>
      <c r="CE131" s="7" t="str">
        <f>IF(ISNUMBER(SnapshotTable[[#This Row],[SP ROO Term]]),SnapshotTable[[#This Row],[SP ROO Term]]*(365/SnapshotTable[[#This Row],[SP Term]]),"")</f>
        <v/>
      </c>
      <c r="CF131" s="221">
        <f>SnapshotTable[[#This Row],[LP Strike Price]] * SnapshotTable[[#This Row],[LP Qty]] * 100</f>
        <v>0</v>
      </c>
      <c r="CG131" s="31">
        <f>IF(ISNUMBER(SnapshotTable[[#This Row],[SP Premium]]), (SnapshotTable[[#This Row],[SP Qty]] * SnapshotTable[[#This Row],[SP Strike Price]]* 100) - SnapshotTable[[#This Row],[LP Protection]], 0)</f>
        <v>0</v>
      </c>
      <c r="CH131" s="7" t="str">
        <f>IF(ISNUMBER(SnapshotTable[[#This Row],[SP Break Even]]),-1 * (SnapshotTable[[#This Row],[SP Break Even]] - SnapshotTable[[#This Row],[Last Price]]) / SnapshotTable[[#This Row],[Last Price]], "")</f>
        <v/>
      </c>
      <c r="CI131" s="31">
        <f>IF(AND(ISNUMBER((SnapshotTable[[#This Row],[SP Potential Spend]])), SnapshotTable[[#This Row],[SP Strike Price]] &gt; SnapshotTable[[#This Row],[Last Price]], SnapshotTable[[#This Row],[SP Is Filled]]), SnapshotTable[[#This Row],[SP Potential Spend]] -  SnapshotTable[[#This Row],[LP Max Value]], 0)</f>
        <v>0</v>
      </c>
      <c r="CJ131" s="229"/>
      <c r="CK131" s="31">
        <f>IF(ISNUMBER(SnapshotTable[[#This Row],[SP Potential Spend]]),IF(ISNUMBER(SnapshotTable[[#This Row],[SP POW]]), SnapshotTable[[#This Row],[SP POW]] * SnapshotTable[[#This Row],[SP Potential Spend]], SnapshotTable[[#This Row],[SP Potential Spend]]), "")</f>
        <v>0</v>
      </c>
      <c r="CL131" s="162">
        <f>IF(NOT(SnapshotTable[[#This Row],[SP Is Filled]]),(SnapshotTable[[#This Row],[SP Qty]] * SnapshotTable[[#This Row],[SP Strike Price]] * 100) - SnapshotTable[[#This Row],[LP Max Value]],"")</f>
        <v>0</v>
      </c>
      <c r="CM131" s="31" t="str">
        <f>IF(SnapshotTable[[#This Row],[SP Actual Spend]]&lt;&gt;0, ((SnapshotTable[[#This Row],[SP Strike Price]]-SnapshotTable[[#This Row],[Last Price]]) *(SnapshotTable[[#This Row],[SP Qty]]*100) - SnapshotTable[[#This Row],[SP Premium]]) * - 1, "")</f>
        <v/>
      </c>
      <c r="CN131" s="76"/>
      <c r="CO131" s="339"/>
      <c r="CP131" s="4" t="str">
        <f>IF(SnapshotTable[[#This Row],[SP Is Filled]], btc_max_buyback_amount(SnapshotTable[[#This Row],[SP Fill Date]],SnapshotTable[[#This Row],[SP Exp Date]], SnapshotTable[[#This Row],[SP Book Price]]),"")</f>
        <v/>
      </c>
      <c r="CQ131" s="76"/>
      <c r="CR1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1" s="153" t="str">
        <f>IF(SnapshotTable[[#This Row],[SP Is Filled]], btc_next_cutoff_date(SnapshotTable[[#This Row],[SP Fill Date]],SnapshotTable[[#This Row],[SP Exp Date]]),"")</f>
        <v/>
      </c>
      <c r="CT131" s="220" t="str" cm="1">
        <f t="array" ref="CT131">IF(SnapshotTable[[#This Row],[SP Is Filled]], btc_should_buy_back(SnapshotTable[[#This Row],[SP Fill Date]], SnapshotTable[[#This Row],[SP Exp Date]], SnapshotTable[[#This Row],[SP Book Price]], SnapshotTable[[#This Row],[SP Current Ask]], MockToday, SnapshotTable[[#This Row],[SP Buyback Override]]),"")</f>
        <v/>
      </c>
      <c r="CU131" s="141"/>
      <c r="CV131" s="220"/>
      <c r="CW131" s="348" t="str">
        <f>IF(ISNUMBER( SnapshotTable[[#This Row],[SP Term]]), SnapshotTable[[#This Row],[SP Exp Date]] - MockToday,"")</f>
        <v/>
      </c>
      <c r="CX131" s="31" t="str">
        <f>IF(SnapshotTable[[#This Row],[SP Is Filled]],SnapshotTable[[#This Row],[SP Buyback Price to Use]] * 100 * SnapshotTable[[#This Row],[SP Qty]], "")</f>
        <v/>
      </c>
      <c r="CY131" s="4" t="str">
        <f>IF(ISNUMBER(SnapshotTable[[#This Row],[SP Strike Price]]), SnapshotTable[[#This Row],[SP Strike Price]] * (1 - SP_MaxLoss_StrikePct), "")</f>
        <v/>
      </c>
      <c r="CZ131" s="31" t="str">
        <f>IF(ISNUMBER(SnapshotTable[[#This Row],[SP Strike  Stop Per Share]]),SnapshotTable[[#This Row],[SP Premium]] - ((SnapshotTable[[#This Row],[SP Strike Price]]-SnapshotTable[[#This Row],[SP Strike  Stop Per Share]]) *(SnapshotTable[[#This Row],[SP Qty]] * 100)),"")</f>
        <v/>
      </c>
      <c r="DA131" s="4" t="str">
        <f>IF(AND(ISNUMBER(SnapshotTable[[#This Row],[SP Premium]]),SnapshotTable[[#This Row],[SP Premium]]&gt;0), SnapshotTable[[#This Row],[SP Book Price]] * (1 + SP_MaxLoss_OptionPct), "")</f>
        <v/>
      </c>
      <c r="DB131" s="31" t="str">
        <f>IF(ISNUMBER(SnapshotTable[[#This Row],[SP Option  Stop Contract]]),(SnapshotTable[[#This Row],[SP Option  Stop Contract]] *(SnapshotTable[[#This Row],[SP Qty]] * 100) - SnapshotTable[[#This Row],[SP Premium]]),"")</f>
        <v/>
      </c>
      <c r="DC131" s="4"/>
      <c r="DD131" s="4"/>
      <c r="DE131" s="4" t="str">
        <f>IF(AND(SnapshotTable[[#This Row],[SP Qty]]&gt;0, SnapshotTable[[#This Row],[SP Stop To Use]]&gt;0),SnapshotTable[[#This Row],[SP Premium]] - ( SnapshotTable[[#This Row],[SP Qty]] * SnapshotTable[[#This Row],[SP Stop To Use]] * 100), "")</f>
        <v/>
      </c>
      <c r="DF131" s="31" t="str">
        <f>IF(AND(SnapshotTable[[#This Row],[SP Qty]]&gt;0,SnapshotTable[[#This Row],[SP Current Ask]]&gt;0), SnapshotTable[[#This Row],[SP Qty]] * SnapshotTable[[#This Row],[SP Current Ask]] * -100, "")</f>
        <v/>
      </c>
      <c r="DG131" s="31" t="str">
        <f>IF(ISNUMBER((SnapshotTable[[#This Row],[SP Total Value]])), SnapshotTable[[#This Row],[SP Premium]] + SnapshotTable[[#This Row],[SP Total Value]], "")</f>
        <v/>
      </c>
      <c r="DH131" s="272" t="str">
        <f>IF(ISNUMBER((SnapshotTable[[#This Row],[SP Total Value]])), SnapshotTable[[#This Row],[SP Gain Loss]] / SnapshotTable[[#This Row],[SP Premium]], "")</f>
        <v/>
      </c>
      <c r="DI131" s="369"/>
      <c r="DJ131" s="136"/>
      <c r="DK131" s="146"/>
      <c r="DL131" s="145"/>
      <c r="DM131" s="145"/>
      <c r="DO131" s="31">
        <f>IF(SnapshotTable[[#This Row],[LC Symbol Count]]=1, SnapshotTable[[#This Row],[LC Qty]] * SnapshotTable[[#This Row],[LC Book Price]] * 100, 0)</f>
        <v>0</v>
      </c>
      <c r="DP131" s="161" t="str">
        <f>IF(AND(SnapshotTable[[#This Row],[LC Exp Date]]&gt;0, SnapshotTable[[#This Row],[LC Strike Price]]&gt;0,SnapshotTable[[#This Row],[LC Qty]]&gt;0,SnapshotTable[[#This Row],[LC Book Date]]&gt;0,SnapshotTable[[#This Row],[LC Book Price]]&gt;0,SnapshotTable[[#This Row],[LC Fill Date]]=0),"Y","")</f>
        <v/>
      </c>
      <c r="DQ131" s="356" t="str">
        <f>IF(SnapshotTable[[#This Row],[LC Premium]] &gt; 0,SnapshotTable[[#This Row],[LC Exp Date]]-MAX(SnapshotTable[[#This Row],[LC Book Date]], SnapshotTable[[#This Row],[LC Fill Date]]),"")</f>
        <v/>
      </c>
      <c r="DR131" s="356" t="str">
        <f>IF(ISNUMBER(SnapshotTable[[#This Row],[LC Term]]), SnapshotTable[[#This Row],[LC Exp Date]] - MockToday, "")</f>
        <v/>
      </c>
      <c r="DS131" s="219" t="str">
        <f>IF(SnapshotTable[[#This Row],[LC Premium]]&gt;0,SnapshotTable[[#This Row],[LC Strike Price]] + SnapshotTable[[#This Row],[LC Book Price]],"")</f>
        <v/>
      </c>
      <c r="DU131" s="9" t="str">
        <f>IF(AND(SnapshotTable[[#This Row],[LC Symbol Count]]&gt;0, SnapshotTable[[#This Row],[LC Contract Value]]&gt;0), SnapshotTable[[#This Row],[LC Contract Value]] * SnapshotTable[[#This Row],[LC Qty]] * 100, "")</f>
        <v/>
      </c>
      <c r="DV131" s="9" t="str">
        <f>IF(AND(ISNUMBER(SnapshotTable[[#This Row],[LC Total Value]]), SnapshotTable[[#This Row],[LC Not Filled]]&lt;&gt;"Y"), SnapshotTable[[#This Row],[LC Total Value]]-SnapshotTable[[#This Row],[LC Premium]],"")</f>
        <v/>
      </c>
      <c r="DW131" s="225" t="str">
        <f>IF(ISNUMBER(SnapshotTable[[#This Row],[LC Actual Gain Loss]]), SnapshotTable[[#This Row],[LC Actual Gain Loss]] / SnapshotTable[[#This Row],[LC Premium]],"")</f>
        <v/>
      </c>
      <c r="DX131" s="269" t="str">
        <f>IF(ISNUMBER(SnapshotTable[[#This Row],[LC Book Price]]),SnapshotTable[[#This Row],[LC Book Price]] * 1.5,"")</f>
        <v/>
      </c>
      <c r="DY131" s="250" t="str">
        <f>IF(SnapshotTable[[#This Row],[LC Premium]]&gt;0, SnapshotTable[[#This Row],[LC Next Target]] * SnapshotTable[[#This Row],[LC Qty]] * 100,"")</f>
        <v/>
      </c>
      <c r="DZ131" s="250" t="str">
        <f>IF(ISNUMBER(SnapshotTable[[#This Row],[LC Target Gross]]), SnapshotTable[[#This Row],[LC Target Gross]] - SnapshotTable[[#This Row],[LC Premium]], "")</f>
        <v/>
      </c>
      <c r="EA131" s="283" t="str">
        <f>IF(ISNUMBER(SnapshotTable[[#This Row],[LC Target Gain Loss]]), SnapshotTable[[#This Row],[LC Target Gain Loss]]/SnapshotTable[[#This Row],[LC Premium]], "")</f>
        <v/>
      </c>
      <c r="EB131" s="247"/>
      <c r="EC131" s="268" t="str">
        <f>IF(SnapshotTable[[#This Row],[LC Premium]]&gt;0, SnapshotTable[[#This Row],[LC Book Price]] * (1 - LC_StopLoss_Pct),"")</f>
        <v/>
      </c>
      <c r="ED131" s="269"/>
      <c r="EE131" s="268" t="str">
        <f>IF(ISNUMBER(SnapshotTable[[#This Row],[LC Contract Value]]),IF(ISNUMBER(SnapshotTable[[#This Row],[LC Stop Loss Override]]), SnapshotTable[[#This Row],[LC Stop Loss Override]],SnapshotTable[[#This Row],[LC Stop Loss Calc Target]]),"")</f>
        <v/>
      </c>
      <c r="EF131" s="31" t="str">
        <f>IF(ISNUMBER(SnapshotTable[[#This Row],[LC Stop  To Use]]), (SnapshotTable[[#This Row],[LC Stop  To Use]] * SnapshotTable[[#This Row],[LC Qty]] * 100),"")</f>
        <v/>
      </c>
      <c r="EG131" s="9" t="str">
        <f>IF(ISNUMBER(SnapshotTable[[#This Row],[LC Total Value]]),SnapshotTable[[#This Row],[LC Stop Loss Amount]] - SnapshotTable[[#This Row],[LC Premium]],"")</f>
        <v/>
      </c>
      <c r="EH131" s="9">
        <f>IF(ISNUMBER(SnapshotTable[[#This Row],[LC Premium]]), SnapshotTable[[#This Row],[LC Qty]] * 100 * SnapshotTable[[#This Row],[LC Strike Price]], "")</f>
        <v>0</v>
      </c>
      <c r="EI131" s="225" t="str">
        <f>IF(AND(ISNUMBER(SnapshotTable[[#This Row],[LC Total Value]]),SnapshotTable[[#This Row],[LC Total Value]]&gt;0),SnapshotTable[[#This Row],[LC Stop Gain Loss]]  / SnapshotTable[[#This Row],[LC Premium]],"")</f>
        <v/>
      </c>
      <c r="EJ131" s="35">
        <f>IF(ISNUMBER(SnapshotTable[[#This Row],[Equity Shares]]),TRUNC(SnapshotTable[[#This Row],[Equity Shares]] / 100),0) + SnapshotTable[[#This Row],[LC Qty]]</f>
        <v>0</v>
      </c>
      <c r="EK131" s="145"/>
      <c r="EL131" s="136"/>
      <c r="EM131" s="146"/>
      <c r="EN131" s="145"/>
      <c r="EO131" s="145"/>
      <c r="EP131" s="136"/>
      <c r="EQ131" s="382" t="b">
        <f>AND(ISNUMBER(SnapshotTable[[#This Row],[SC Exp Date]]), ISNUMBER(SnapshotTable[[#This Row],[SC Strike Price]]), ISNUMBER(SnapshotTable[[#This Row],[SC Qty]]), ISNUMBER(SnapshotTable[[#This Row],[SC Book Date]]), ISNUMBER(SnapshotTable[[#This Row],[SC Book Price]]))</f>
        <v>0</v>
      </c>
      <c r="ER131" s="382" t="b">
        <f>AND(SnapshotTable[[#This Row],[SC Is Booked]], NOT(ISBLANK(SnapshotTable[[#This Row],[SC Fill Date]])))</f>
        <v>0</v>
      </c>
      <c r="ES131" s="340"/>
      <c r="ET131" s="34" t="str">
        <f>IF(AND(ISNUMBER(SnapshotTable[[#This Row],[SC Exp Date]]), ISNUMBER(SnapshotTable[[#This Row],[SC Book Date]])), SnapshotTable[[#This Row],[SC Exp Date]] - MAX(SnapshotTable[[#This Row],[SC Book Date]], SnapshotTable[[#This Row],[SC Fill Date]]) + 1, "")</f>
        <v/>
      </c>
      <c r="EU131" s="34" t="str">
        <f>IF(ISNUMBER(SnapshotTable[[#This Row],[SC Term]]), SnapshotTable[[#This Row],[SC Exp Date]]- MockToday, "")</f>
        <v/>
      </c>
      <c r="EV131" s="31">
        <f>IF(SnapshotTable[[#This Row],[SC Is Booked]], SnapshotTable[[#This Row],[SC Qty]] * SnapshotTable[[#This Row],[SC Book Price]] * 100, 0)</f>
        <v>0</v>
      </c>
      <c r="EW131" s="4" t="str">
        <f>IF(AND(ISNUMBER(SnapshotTable[[#This Row],[Last Price]]), ISNUMBER( SnapshotTable[[#This Row],[SC Book Price]])), SnapshotTable[[#This Row],[Last Price]] - SnapshotTable[[#This Row],[SC Book Price]],"")</f>
        <v/>
      </c>
      <c r="EX131" s="219" t="str">
        <f>IF(SnapshotTable[[#This Row],[SC Is Booked]],IF(SnapshotTable[[#This Row],[SC Intrinsic Value]] &gt; 0, SnapshotTable[[#This Row],[SC Strike Price]], SnapshotTable[[#This Row],[Last Price]]), "")</f>
        <v/>
      </c>
      <c r="EY131" s="4">
        <f>IF(SnapshotTable[[#This Row],[SC Is Booked]], (MinimumPremiumRequired * SnapshotTable[[#This Row],[SC Basis]] * SnapshotTable[[#This Row],[SC Term]]), 0)</f>
        <v>0</v>
      </c>
      <c r="EZ131" s="268"/>
      <c r="FA131" s="204"/>
      <c r="FB131" s="340"/>
      <c r="FC131" s="4">
        <f>IF(SnapshotTable[[#This Row],[SC Is Filled]], btc_max_buyback_amount(SnapshotTable[[#This Row],[SC Fill Date]],SnapshotTable[[#This Row],[SC Exp Date]], SnapshotTable[[#This Row],[SC Book Price]]),0)</f>
        <v>0</v>
      </c>
      <c r="FD131" s="5"/>
      <c r="FE131" s="142" t="str">
        <f>IF(SnapshotTable[[#This Row],[SC Is Filled]], btc_next_cutoff_date(SnapshotTable[[#This Row],[SC Fill Date]],SnapshotTable[[#This Row],[SC Exp Date]]),"")</f>
        <v/>
      </c>
      <c r="FF131" s="4" t="str" cm="1">
        <f t="array" ref="FF131">IF(SnapshotTable[[#This Row],[SC Is Filled]], btc_should_buy_back(SnapshotTable[[#This Row],[SC Fill Date]], SnapshotTable[[#This Row],[SC Exp Date]], SnapshotTable[[#This Row],[SC Book Price]], SnapshotTable[[#This Row],[SC Current Ask]], MockToday, SnapshotTable[[#This Row],[SC Buyback Override]]),"")</f>
        <v/>
      </c>
      <c r="FG131" s="4">
        <f>IF(SnapshotTable[[#This Row],[SC Is Filled]], MAX(0,SnapshotTable[[#This Row],[Last Price]]  - SnapshotTable[[#This Row],[SC Strike Price]]), 0)</f>
        <v>0</v>
      </c>
      <c r="FH131" s="352">
        <f>IF(SnapshotTable[[#This Row],[SC Is Filled]], IF(ISNUMBER(SnapshotTable[[#This Row],[SC Current Ask]]), SnapshotTable[[#This Row],[SC Current Ask]], SnapshotTable[[#This Row],[SC Book Price]]) - SnapshotTable[[#This Row],[SC Intrinsic Value]], 0)</f>
        <v>0</v>
      </c>
      <c r="FI131" s="141"/>
      <c r="FJ131" s="32" t="str">
        <f>IF(SnapshotTable[[#This Row],[SC Is Filled]],100 * SnapshotTable[[#This Row],[SC Qty]] * IF(ISNUMBER(SnapshotTable[[#This Row],[SC Buyback Override]]), SnapshotTable[[#This Row],[SC Buyback Override]], SnapshotTable[[#This Row],[SC Current Ask]]), "")</f>
        <v/>
      </c>
      <c r="FK131" s="235" t="str">
        <f>IF(SnapshotTable[[#This Row],[SC Time Val]]&gt;0, SnapshotTable[[#This Row],[SC Time Val]] / SnapshotTable[[#This Row],[Last Price]],"")</f>
        <v/>
      </c>
      <c r="FL131" s="280" t="str">
        <f>IF(SnapshotTable[[#This Row],[SC Is Booked]], ((SnapshotTable[[#This Row],[Last Price]] -SnapshotTable[[#This Row],[SC Strike Price]]) / SnapshotTable[[#This Row],[Last Price]]) * -1, "")</f>
        <v/>
      </c>
      <c r="FM131" s="155" t="str">
        <f>IF(SnapshotTable[[#This Row],[SC Is Booked]],  (SnapshotTable[[#This Row],[SC Qty]] * 100 * SnapshotTable[[#This Row],[SC Strike Price]]) - SnapshotTable[[#This Row],[SC Current Ask]], "")</f>
        <v/>
      </c>
      <c r="FN13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1" s="31" t="str">
        <f>IF(AND(ISNUMBER(SnapshotTable[[#This Row],[SC Exercise Gross]]), ISNUMBER(SnapshotTable[[#This Row],[Equity Basis Per Share]] )), SnapshotTable[[#This Row],[SC Exercise Gross]] - SnapshotTable[[#This Row],[Equity Basis Total]] +  SnapshotTable[[#This Row],[SC Premium]], "")</f>
        <v/>
      </c>
      <c r="FP131" s="5" t="str">
        <f>IF(ISNUMBER(SnapshotTable[[#This Row],[SC Exercise Gross]]), (SnapshotTable[[#This Row],[SC Exercise Gross]]) / (SnapshotTable[[#This Row],[SC Qty]] * 100), "")</f>
        <v/>
      </c>
      <c r="FQ131" s="27" t="str">
        <f>IF(SnapshotTable[[#This Row],[SC Is Booked]],SnapshotTable[[#This Row],[SC Time Val]] /SnapshotTable[[#This Row],[SC Basis]], "")</f>
        <v/>
      </c>
      <c r="FR131" s="27" t="str" cm="1">
        <f t="array" ref="FR131">IF(AND(ISNUMBER(SnapshotTable[[#This Row],[SC Term]]),ISNUMBER(SnapshotTable[[#This Row],[SC Simple ROO]])), EllmanAnnualize(SnapshotTable[[#This Row],[SC DTE]], SnapshotTable[[#This Row],[SC Simple ROO]] ),"")</f>
        <v/>
      </c>
      <c r="FS131" s="4">
        <f>IF(SnapshotTable[[#This Row],[SC Strike Price]] &gt; SnapshotTable[[#This Row],[Last Price]], SnapshotTable[[#This Row],[SC Strike Price]] - SnapshotTable[[#This Row],[Last Price]],0)</f>
        <v>0</v>
      </c>
      <c r="FT131" s="27" t="str">
        <f>IF(AND(ISNUMBER(SnapshotTable[[#This Row],[SC Upside Potential]]), SnapshotTable[[#This Row],[SC Upside Potential]] &gt; 0),(SnapshotTable[[#This Row],[SC Upside Potential]]/ SnapshotTable[[#This Row],[ACB]]),"")</f>
        <v/>
      </c>
      <c r="FU131" s="304" t="str">
        <f>IF(SnapshotTable[[#This Row],[SC Intrinsic Value]] &gt; 0,SnapshotTable[[#This Row],[SC Intrinsic Value]],"")</f>
        <v/>
      </c>
      <c r="FV131" s="27" t="str">
        <f>IF(AND( ISNUMBER( SnapshotTable[[#This Row],[ACB]]),ISNUMBER(SnapshotTable[[#This Row],[SC Downside Protect]])),SnapshotTable[[#This Row],[SC Downside Protect]] / SnapshotTable[[#This Row],[ACB]],"")</f>
        <v/>
      </c>
      <c r="FW131" s="221" t="str">
        <f>IF(AND(ISNUMBER(SnapshotTable[[#This Row],[SC Simple ROO]]),SnapshotTable[[#This Row],[SC Simple ROO]] &gt; 0), SnapshotTable[[#This Row],[SC Premium]] + (SnapshotTable[[#This Row],[SC Qty]] * SnapshotTable[[#This Row],[SC Upside Potential]]), "")</f>
        <v/>
      </c>
      <c r="FX131" s="280" t="str" cm="1">
        <f t="array" ref="FX131">IF(ISNUMBER(SnapshotTable[[#This Row],[SC Max Dollars]]), annualize(SnapshotTable[[#This Row],[SC Term]],(SnapshotTable[[#This Row],[SC Max Dollars]]/SnapshotTable[[#This Row],[SC Basis]])),"")</f>
        <v/>
      </c>
      <c r="FY131" s="221" t="str">
        <f>IF(AND(SnapshotTable[[#This Row],[SC Qty]]&gt;0,SnapshotTable[[#This Row],[SC Current Ask]]&gt;0), SnapshotTable[[#This Row],[SC Qty]] * SnapshotTable[[#This Row],[SC Current Ask]] * -100, "")</f>
        <v/>
      </c>
      <c r="FZ131" s="31" t="str">
        <f>IF(ISNUMBER((SnapshotTable[[#This Row],[SC Current Value]])), SnapshotTable[[#This Row],[SC Premium]] + SnapshotTable[[#This Row],[SC Current Value]], "")</f>
        <v/>
      </c>
      <c r="GA131" s="272" t="str">
        <f>IFERROR( IF(ISNUMBER((SnapshotTable[[#This Row],[SC Current Value]])), SnapshotTable[[#This Row],[SC Gain Loss]] / SnapshotTable[[#This Row],[SC Premium]], ""), "")</f>
        <v/>
      </c>
      <c r="GB131" s="42">
        <f>SnapshotTable[[#This Row],[Equity Shares]] * SaleSharesToConsiderPercentage</f>
        <v>0</v>
      </c>
      <c r="GC131" s="40">
        <f>SnapshotTable[[#This Row],[Long Term Target]] * SellingPriceToConsiderBasedOnTargetPercentage</f>
        <v>2.5174999999999996</v>
      </c>
      <c r="GD131" s="40">
        <f>SnapshotTable[[#This Row],[Last Price]] * (1+ SellingPriceToConsiderBasedOnTargetPercentage)</f>
        <v>5.9474999999999998</v>
      </c>
      <c r="GE131" s="41"/>
      <c r="GF131" s="40"/>
      <c r="GG131" s="31">
        <f>SnapshotTable[[#This Row],[Booked Sale Shares]] * SnapshotTable[[#This Row],[Booked Sale Price]]</f>
        <v>0</v>
      </c>
      <c r="GH131" s="31" t="str">
        <f>IF(SnapshotTable[[#This Row],[Equity Basis Total]] &gt; 0, SnapshotTable[[#This Row],[Equity Basis Per Share]] * SnapshotTable[[#This Row],[Booked Sale Shares]], "")</f>
        <v/>
      </c>
      <c r="GI131" s="31">
        <f>IF(SnapshotTable[[#This Row],[Sale Proceeds]]&gt;0, SnapshotTable[[#This Row],[Sale Proceeds]] - SnapshotTable[[#This Row],[Sale Basis]], 0)</f>
        <v>0</v>
      </c>
      <c r="GJ131" s="27" t="str">
        <f>IF(SnapshotTable[[#This Row],[Sale G/L]]&gt;0, SnapshotTable[[#This Row],[Sale G/L]] / SnapshotTable[[#This Row],[Sale Basis]], IF(ISNUMBER(SnapshotTable[[#This Row],[SC Exercise P&amp;L (TAX)]]), SnapshotTable[[#This Row],[SC Exercise P&amp;L (TAX)]] / SnapshotTable[[#This Row],[SC Basis]], ""))</f>
        <v/>
      </c>
      <c r="GK131" s="27"/>
      <c r="GL131" s="43" t="str">
        <f>IF(AND(SnapshotTable[[#This Row],[LP Exp Date]]&gt;0,SnapshotTable[[#This Row],[LP Strike Price]]&gt;0), [1]!ToOptionSymbol(SnapshotTable[[#This Row],[Symbol]], SnapshotTable[[#This Row],[LP Strike Price]],SnapshotTable[[#This Row],[LP Exp Date]],1), "")</f>
        <v/>
      </c>
      <c r="GM131" s="30" t="str">
        <f>IF(LEN(SnapshotTable[[#This Row],[LP Symbol]])&gt;0, 1, "")</f>
        <v/>
      </c>
      <c r="GN131" s="43" t="str">
        <f>IF(AND(SnapshotTable[[#This Row],[SP Exp Date]]&gt;0,SnapshotTable[[#This Row],[SP Strike Price]]&gt;0), [1]!ToOptionSymbol(SnapshotTable[[#This Row],[Symbol]], SnapshotTable[[#This Row],[SP Strike Price]],SnapshotTable[[#This Row],[SP Exp Date]],1), "")</f>
        <v/>
      </c>
      <c r="GO131" s="30" t="str">
        <f>IF(LEN(SnapshotTable[[#This Row],[SP Symbol]])&gt;0, 1, "")</f>
        <v/>
      </c>
      <c r="GP131" s="43" t="str">
        <f>IF(AND(SnapshotTable[[#This Row],[LC Exp Date]]&gt;0,SnapshotTable[[#This Row],[LC Strike Price]]&gt;0), [1]!ToOptionSymbol(SnapshotTable[[#This Row],[Symbol]], SnapshotTable[[#This Row],[LC Strike Price]],SnapshotTable[[#This Row],[LC Exp Date]],0), "")</f>
        <v/>
      </c>
      <c r="GQ131" s="30" t="str">
        <f>IF(LEN(SnapshotTable[[#This Row],[LC Symbol]])&gt;0, 1, "")</f>
        <v/>
      </c>
      <c r="GR131" s="43" t="str">
        <f>IF(AND(SnapshotTable[[#This Row],[SC Exp Date]]&gt;0,SnapshotTable[[#This Row],[SC Strike Price]]&gt;0), [1]!ToOptionSymbol(SnapshotTable[[#This Row],[Symbol]], SnapshotTable[[#This Row],[SC Strike Price]],SnapshotTable[[#This Row],[SC Exp Date]],0), "")</f>
        <v/>
      </c>
      <c r="GS131" s="30" t="str">
        <f>IF(LEN(SnapshotTable[[#This Row],[SC Symbol]])&gt;0, 1, "")</f>
        <v/>
      </c>
      <c r="GT131" s="29" t="str">
        <f>IF(COUNT(SnapshotTable[[#This Row],[LP Symbol Count]],SnapshotTable[[#This Row],[SP Symbol Count]],SnapshotTable[[#This Row],[LC Symbol Count]],SnapshotTable[[#This Row],[SC Symbol Count]])&gt;0, "Y", "")</f>
        <v/>
      </c>
      <c r="GU1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1" s="216">
        <f>MAX(SnapshotTable[[#This Row],[Equity Basis Total]],SnapshotTable[[#This Row],[Equity Value]]) + (SnapshotTable[[#This Row],[SP Potential Spend]]- SnapshotTable[[#This Row],[SP Premium]] + SnapshotTable[[#This Row],[LP Premium]])+ (SnapshotTable[[#This Row],[LC Premium]] - SnapshotTable[[#This Row],[SC Premium]])</f>
        <v>0</v>
      </c>
      <c r="GW131" s="137" t="str">
        <f>IF(AND(SnapshotTable[[#This Row],[Exposure]] &lt;&gt; 0),SnapshotTable[[#This Row],[Exposure]] / SnapshotTable[[#Totals],[Exposure]], "")</f>
        <v/>
      </c>
      <c r="HE131" s="253"/>
      <c r="HF131" s="253"/>
      <c r="HK131" s="1"/>
      <c r="HL131" s="1"/>
      <c r="HM131" s="1"/>
      <c r="HN131" s="1"/>
      <c r="HO131" s="1"/>
      <c r="HP131" s="1"/>
    </row>
    <row r="132" spans="2:224" s="45" customFormat="1" ht="12.75" hidden="1" customHeight="1" x14ac:dyDescent="0.25">
      <c r="B132" s="12" t="s">
        <v>64</v>
      </c>
      <c r="C132" s="385">
        <v>14.24</v>
      </c>
      <c r="D132" s="200"/>
      <c r="E132" s="39">
        <f>SnapshotTable[[#This Row],[Last Price]]*(1 -CrashDiscount)</f>
        <v>12.103999999999999</v>
      </c>
      <c r="F132" s="26" t="s">
        <v>25</v>
      </c>
      <c r="G132" s="26" t="s">
        <v>24</v>
      </c>
      <c r="H132" s="147"/>
      <c r="I132" s="186">
        <v>44777.28125</v>
      </c>
      <c r="J132" s="187">
        <v>44777.28125</v>
      </c>
      <c r="K132" s="188"/>
      <c r="L132" s="297"/>
      <c r="M132" s="138"/>
      <c r="N132" s="138"/>
      <c r="O132" s="138">
        <v>4</v>
      </c>
      <c r="P132" s="22"/>
      <c r="Q132" s="25"/>
      <c r="R132" s="4" t="str">
        <f>IF(SnapshotTable[[#This Row],[Equity Basis Total]] &gt; 0, SnapshotTable[[#This Row],[Equity Basis Total]] / SnapshotTable[[#This Row],[Equity Shares]], "")</f>
        <v/>
      </c>
      <c r="S132" s="254">
        <f>SnapshotTable[[#This Row],[Last Price]] * SnapshotTable[[#This Row],[Equity Shares]]</f>
        <v>0</v>
      </c>
      <c r="T132" s="254">
        <f>SnapshotTable[[#This Row],[Equity Value]] - SnapshotTable[[#This Row],[Equity Basis Total]]</f>
        <v>0</v>
      </c>
      <c r="U132" s="255" t="str">
        <f>IF(SnapshotTable[[#This Row],[Equity Basis Total]] &gt; 0, SnapshotTable[[#This Row],[Equity G/L]] / SnapshotTable[[#This Row],[Equity Basis Total]], "")</f>
        <v/>
      </c>
      <c r="V132" s="253"/>
      <c r="W132" s="253"/>
      <c r="X132" s="4" t="str">
        <f>IF(AND(ISNUMBER(SnapshotTable[[#This Row],[Equity Basis Per Share]]),ISNUMBER(SnapshotTable[[#This Row],[Equity Target]])),SnapshotTable[[#This Row],[Equity Target]]-SnapshotTable[[#This Row],[Equity Basis Per Share]],"")</f>
        <v/>
      </c>
      <c r="Y132" s="4" t="str">
        <f>IF(AND(ISNUMBER(SnapshotTable[[#This Row],[Equity Basis Per Share]]),ISNUMBER(SnapshotTable[[#This Row],[Equity Stop Loss]])),SnapshotTable[[#This Row],[Equity Stop Loss]]-SnapshotTable[[#This Row],[Equity Basis Per Share]],"")</f>
        <v/>
      </c>
      <c r="Z132" s="260" t="str">
        <f>IFERROR( TEXT(SnapshotTable[[#This Row],[Equity Max Gain Per Share]] /ABS( SnapshotTable[[#This Row],[Equity Max Loss Per Share]]),"0.0 " ) &amp; " : 1", "")</f>
        <v/>
      </c>
      <c r="AA132" s="31" t="str">
        <f>IF(ISNUMBER(SnapshotTable[[#This Row],[Equity Max Gain Per Share]]),SnapshotTable[[#This Row],[Equity Max Gain Per Share]] * SnapshotTable[[#This Row],[Equity Shares]],"")</f>
        <v/>
      </c>
      <c r="AB132" s="31" t="str">
        <f>IF(ISNUMBER(SnapshotTable[[#This Row],[Equity Max Loss Per Share]]),SnapshotTable[[#This Row],[Equity Max Loss Per Share]] * SnapshotTable[[#This Row],[Equity Shares]],"")</f>
        <v/>
      </c>
      <c r="AC132" s="148">
        <v>0</v>
      </c>
      <c r="AD132" s="149" t="s">
        <v>2</v>
      </c>
      <c r="AE132" s="31">
        <f>(SnapshotTable[[#This Row],[Annual Dividend Per Share]] / 4) * SnapshotTable[[#This Row],[Equity Shares]]</f>
        <v>0</v>
      </c>
      <c r="AF132" s="31">
        <f>SnapshotTable[[#This Row],[Quarterly Div $]] * 4</f>
        <v>0</v>
      </c>
      <c r="AG132" s="7">
        <f>IF(SnapshotTable[[#This Row],[Annual Dividend Per Share]]&gt;0, SnapshotTable[[#This Row],[Annual Dividend Per Share]]  / SnapshotTable[[#This Row],[Last Price]], 0)</f>
        <v>0</v>
      </c>
      <c r="AH132" s="149" t="s">
        <v>2</v>
      </c>
      <c r="AI132" s="5"/>
      <c r="AJ132" s="136">
        <v>20</v>
      </c>
      <c r="AK132" s="150" t="str">
        <f>IF(ISNUMBER( SnapshotTable[[#This Row],[EBF Target]]),(SnapshotTable[[#This Row],[EBF Target]] - SnapshotTable[[#This Row],[Last Price]]) / SnapshotTable[[#This Row],[Last Price]], "")</f>
        <v/>
      </c>
      <c r="AL132" s="150" t="str">
        <f>IF(AND(SnapshotTable[[#This Row],[Equity Basis Total]] &gt; 0,ISNUMBER( SnapshotTable[[#This Row],[Long Term Target]])), SnapshotTable[[#This Row],[From Basis $]] / SnapshotTable[[#This Row],[Equity Basis Total]], "")</f>
        <v/>
      </c>
      <c r="AM132" s="9">
        <f>IF( AND(SnapshotTable[[#This Row],[Equity Shares]] &gt;0,ISNUMBER( SnapshotTable[[#This Row],[Long Term Target]])),(SnapshotTable[[#This Row],[Equity Shares]] * SnapshotTable[[#This Row],[Long Term Target]]) - SnapshotTable[[#This Row],[Equity Basis Total]],0)</f>
        <v>0</v>
      </c>
      <c r="AN132" s="9">
        <f>IF( AND(SnapshotTable[[#This Row],[Equity Shares]] &gt;0,ISNUMBER( SnapshotTable[[#This Row],[Long Term Target]])),(SnapshotTable[[#This Row],[Equity Shares]]*SnapshotTable[[#This Row],[Long Term Target]]) - SnapshotTable[[#This Row],[Equity Value]],0)</f>
        <v>0</v>
      </c>
      <c r="AO132" s="150">
        <f>IF(AND(ISNUMBER( SnapshotTable[[#This Row],[Long Term Target]]), ISNUMBER(SnapshotTable[[#This Row],[Last Price]])),(SnapshotTable[[#This Row],[Long Term Target]] - SnapshotTable[[#This Row],[Last Price]]) / SnapshotTable[[#This Row],[Last Price]], "")</f>
        <v>0.4044943820224719</v>
      </c>
      <c r="AP132" s="5"/>
      <c r="AQ132" s="38"/>
      <c r="AR132" s="5"/>
      <c r="AS132" s="38"/>
      <c r="AT132" s="144"/>
      <c r="AU132" s="185" t="str">
        <f>IF(OR(SnapshotTable[[#This Row],[LP No Fill]]="Y",SnapshotTable[[#This Row],[SP Is Filled]],SnapshotTable[[#This Row],[LC Not Filled]]="Y",SnapshotTable[[#This Row],[SC Is Filled]]),"Y","")</f>
        <v/>
      </c>
      <c r="AV132" s="205"/>
      <c r="AW132" s="211"/>
      <c r="AX132" s="206"/>
      <c r="AY132" s="205" t="str">
        <f>IF(SnapshotTable[[#This Row],[Implied Move]]&gt;0, SnapshotTable[[#This Row],[Last Price]]-SnapshotTable[[#This Row],[Implied Move]],"")</f>
        <v/>
      </c>
      <c r="AZ132" s="205" t="str">
        <f>IF(SnapshotTable[[#This Row],[Implied Move]]&gt;0, SnapshotTable[[#This Row],[Last Price]] + SnapshotTable[[#This Row],[Implied Move]],"")</f>
        <v/>
      </c>
      <c r="BA132" s="302"/>
      <c r="BB132" s="318"/>
      <c r="BC1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2" s="321"/>
      <c r="BE132" s="5"/>
      <c r="BF132" s="14"/>
      <c r="BG132" s="13"/>
      <c r="BH132" s="13"/>
      <c r="BI132" s="5"/>
      <c r="BJ132" s="134">
        <f>IF(SnapshotTable[[#This Row],[LP Qty]] &gt; 0, SnapshotTable[[#This Row],[LP Qty]] * SnapshotTable[[#This Row],[LP Book Price]] * 100,0)</f>
        <v>0</v>
      </c>
      <c r="BK132" s="134">
        <f>IF(SnapshotTable[[#This Row],[LP Premium]] &gt; 0, SnapshotTable[[#This Row],[LP Qty]] * SnapshotTable[[#This Row],[LP Strike Price]] * 100,0)</f>
        <v>0</v>
      </c>
      <c r="BL132" s="152"/>
      <c r="BM132" s="355" t="str">
        <f>IF(SnapshotTable[[#This Row],[LP Premium]] &gt; 0,SnapshotTable[[#This Row],[LP Exp Date]]-MAX(SnapshotTable[[#This Row],[LP Book Date]], SnapshotTable[[#This Row],[LP Fill Date]]),"")</f>
        <v/>
      </c>
      <c r="BN132" s="355" t="str">
        <f>IF(ISNUMBER( SnapshotTable[[#This Row],[LP Term]]), SnapshotTable[[#This Row],[LP Exp Date]] - MockToday,"")</f>
        <v/>
      </c>
      <c r="BO132" s="161" t="str">
        <f>IF(AND(SnapshotTable[[#This Row],[LP Exp Date]]&gt;0, SnapshotTable[[#This Row],[LP Strike Price]]&gt;0,SnapshotTable[[#This Row],[LP Qty]]&gt;0,SnapshotTable[[#This Row],[LP Book Date]]&gt;0,SnapshotTable[[#This Row],[LP Book Price]]&gt;0,SnapshotTable[[#This Row],[LP Fill Date]]=0),"Y","")</f>
        <v/>
      </c>
      <c r="BP132" s="31" t="str">
        <f>IF(AND(SnapshotTable[[#This Row],[LP No Fill]]&lt;&gt;"Y",SnapshotTable[[#This Row],[LP Contract Value]]&gt;0, SnapshotTable[[#This Row],[LP Qty]]&gt;0), SnapshotTable[[#This Row],[LP Contract Value]]*SnapshotTable[[#This Row],[LP Qty]]*100,"")</f>
        <v/>
      </c>
      <c r="BQ132" s="13"/>
      <c r="BR132" s="5"/>
      <c r="BS132" s="36"/>
      <c r="BT132" s="145"/>
      <c r="BU132" s="13"/>
      <c r="BV132" s="5"/>
      <c r="BW132" s="382" t="b">
        <f>AND(ISNUMBER(SnapshotTable[[#This Row],[SP Exp Date]]), ISNUMBER(SnapshotTable[[#This Row],[SP Strike Price]]), ISNUMBER(SnapshotTable[[#This Row],[SP Qty]]), ISNUMBER(SnapshotTable[[#This Row],[SP Book Date]]), ISNUMBER(SnapshotTable[[#This Row],[SP Book Price]]))</f>
        <v>0</v>
      </c>
      <c r="BX132" s="382" t="b">
        <f>AND(SnapshotTable[[#This Row],[SP Is Booked]], NOT(ISBLANK(SnapshotTable[[#This Row],[SP Fill Date]])))</f>
        <v>0</v>
      </c>
      <c r="BY132" s="33">
        <f>IF(SnapshotTable[[#This Row],[SP Is Booked]], SnapshotTable[[#This Row],[SP Qty]] * SnapshotTable[[#This Row],[SP Book Price]] * 100, 0)</f>
        <v>0</v>
      </c>
      <c r="BZ132" s="339"/>
      <c r="CA132" s="338">
        <f>SnapshotTable[[#This Row],[LP Qty]]</f>
        <v>0</v>
      </c>
      <c r="CB132" s="4" t="str">
        <f>IF(SnapshotTable[[#This Row],[SP Is Booked]], SnapshotTable[[#This Row],[SP Strike Price]] - SnapshotTable[[#This Row],[SP Book Price]], "")</f>
        <v/>
      </c>
      <c r="CC132" s="19" t="str">
        <f>IF(SnapshotTable[[#This Row],[SP Is Booked]],SnapshotTable[[#This Row],[SP Exp Date]]-MAX(SnapshotTable[[#This Row],[SP Book Date]], SnapshotTable[[#This Row],[SP Fill Date]]),"")</f>
        <v/>
      </c>
      <c r="CD132" s="7" t="str">
        <f>IF(SnapshotTable[[#This Row],[SP Is Booked]], SnapshotTable[[#This Row],[SP Book Price]]/SnapshotTable[[#This Row],[SP Strike Price]], "")</f>
        <v/>
      </c>
      <c r="CE132" s="7" t="str">
        <f>IF(ISNUMBER(SnapshotTable[[#This Row],[SP ROO Term]]),SnapshotTable[[#This Row],[SP ROO Term]]*(365/SnapshotTable[[#This Row],[SP Term]]),"")</f>
        <v/>
      </c>
      <c r="CF132" s="221">
        <f>SnapshotTable[[#This Row],[LP Strike Price]] * SnapshotTable[[#This Row],[LP Qty]] * 100</f>
        <v>0</v>
      </c>
      <c r="CG132" s="31">
        <f>IF(ISNUMBER(SnapshotTable[[#This Row],[SP Premium]]), (SnapshotTable[[#This Row],[SP Qty]] * SnapshotTable[[#This Row],[SP Strike Price]]* 100) - SnapshotTable[[#This Row],[LP Protection]], 0)</f>
        <v>0</v>
      </c>
      <c r="CH132" s="7" t="str">
        <f>IF(ISNUMBER(SnapshotTable[[#This Row],[SP Break Even]]),-1 * (SnapshotTable[[#This Row],[SP Break Even]] - SnapshotTable[[#This Row],[Last Price]]) / SnapshotTable[[#This Row],[Last Price]], "")</f>
        <v/>
      </c>
      <c r="CI132" s="31">
        <f>IF(AND(ISNUMBER((SnapshotTable[[#This Row],[SP Potential Spend]])), SnapshotTable[[#This Row],[SP Strike Price]] &gt; SnapshotTable[[#This Row],[Last Price]], SnapshotTable[[#This Row],[SP Is Filled]]), SnapshotTable[[#This Row],[SP Potential Spend]] -  SnapshotTable[[#This Row],[LP Max Value]], 0)</f>
        <v>0</v>
      </c>
      <c r="CJ132" s="229"/>
      <c r="CK132" s="31">
        <f>IF(ISNUMBER(SnapshotTable[[#This Row],[SP Potential Spend]]),IF(ISNUMBER(SnapshotTable[[#This Row],[SP POW]]), SnapshotTable[[#This Row],[SP POW]] * SnapshotTable[[#This Row],[SP Potential Spend]], SnapshotTable[[#This Row],[SP Potential Spend]]), "")</f>
        <v>0</v>
      </c>
      <c r="CL132" s="162">
        <f>IF(NOT(SnapshotTable[[#This Row],[SP Is Filled]]),(SnapshotTable[[#This Row],[SP Qty]] * SnapshotTable[[#This Row],[SP Strike Price]] * 100) - SnapshotTable[[#This Row],[LP Max Value]],"")</f>
        <v>0</v>
      </c>
      <c r="CM132" s="31" t="str">
        <f>IF(SnapshotTable[[#This Row],[SP Actual Spend]]&lt;&gt;0, ((SnapshotTable[[#This Row],[SP Strike Price]]-SnapshotTable[[#This Row],[Last Price]]) *(SnapshotTable[[#This Row],[SP Qty]]*100) - SnapshotTable[[#This Row],[SP Premium]]) * - 1, "")</f>
        <v/>
      </c>
      <c r="CN132" s="76"/>
      <c r="CO132" s="339"/>
      <c r="CP132" s="4" t="str">
        <f>IF(SnapshotTable[[#This Row],[SP Is Filled]], btc_max_buyback_amount(SnapshotTable[[#This Row],[SP Fill Date]],SnapshotTable[[#This Row],[SP Exp Date]], SnapshotTable[[#This Row],[SP Book Price]]),"")</f>
        <v/>
      </c>
      <c r="CQ132" s="76"/>
      <c r="CR1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2" s="153" t="str">
        <f>IF(SnapshotTable[[#This Row],[SP Is Filled]], btc_next_cutoff_date(SnapshotTable[[#This Row],[SP Fill Date]],SnapshotTable[[#This Row],[SP Exp Date]]),"")</f>
        <v/>
      </c>
      <c r="CT132" s="220" t="str" cm="1">
        <f t="array" ref="CT132">IF(SnapshotTable[[#This Row],[SP Is Filled]], btc_should_buy_back(SnapshotTable[[#This Row],[SP Fill Date]], SnapshotTable[[#This Row],[SP Exp Date]], SnapshotTable[[#This Row],[SP Book Price]], SnapshotTable[[#This Row],[SP Current Ask]], MockToday, SnapshotTable[[#This Row],[SP Buyback Override]]),"")</f>
        <v/>
      </c>
      <c r="CU132" s="141"/>
      <c r="CV132" s="220"/>
      <c r="CW132" s="348" t="str">
        <f>IF(ISNUMBER( SnapshotTable[[#This Row],[SP Term]]), SnapshotTable[[#This Row],[SP Exp Date]] - MockToday,"")</f>
        <v/>
      </c>
      <c r="CX132" s="31" t="str">
        <f>IF(SnapshotTable[[#This Row],[SP Is Filled]],SnapshotTable[[#This Row],[SP Buyback Price to Use]] * 100 * SnapshotTable[[#This Row],[SP Qty]], "")</f>
        <v/>
      </c>
      <c r="CY132" s="4" t="str">
        <f>IF(ISNUMBER(SnapshotTable[[#This Row],[SP Strike Price]]), SnapshotTable[[#This Row],[SP Strike Price]] * (1 - SP_MaxLoss_StrikePct), "")</f>
        <v/>
      </c>
      <c r="CZ132" s="31" t="str">
        <f>IF(ISNUMBER(SnapshotTable[[#This Row],[SP Strike  Stop Per Share]]),SnapshotTable[[#This Row],[SP Premium]] - ((SnapshotTable[[#This Row],[SP Strike Price]]-SnapshotTable[[#This Row],[SP Strike  Stop Per Share]]) *(SnapshotTable[[#This Row],[SP Qty]] * 100)),"")</f>
        <v/>
      </c>
      <c r="DA132" s="4" t="str">
        <f>IF(AND(ISNUMBER(SnapshotTable[[#This Row],[SP Premium]]),SnapshotTable[[#This Row],[SP Premium]]&gt;0), SnapshotTable[[#This Row],[SP Book Price]] * (1 + SP_MaxLoss_OptionPct), "")</f>
        <v/>
      </c>
      <c r="DB132" s="31" t="str">
        <f>IF(ISNUMBER(SnapshotTable[[#This Row],[SP Option  Stop Contract]]),(SnapshotTable[[#This Row],[SP Option  Stop Contract]] *(SnapshotTable[[#This Row],[SP Qty]] * 100) - SnapshotTable[[#This Row],[SP Premium]]),"")</f>
        <v/>
      </c>
      <c r="DC132" s="4"/>
      <c r="DD132" s="4"/>
      <c r="DE132" s="4" t="str">
        <f>IF(AND(SnapshotTable[[#This Row],[SP Qty]]&gt;0, SnapshotTable[[#This Row],[SP Stop To Use]]&gt;0),SnapshotTable[[#This Row],[SP Premium]] - ( SnapshotTable[[#This Row],[SP Qty]] * SnapshotTable[[#This Row],[SP Stop To Use]] * 100), "")</f>
        <v/>
      </c>
      <c r="DF132" s="31" t="str">
        <f>IF(AND(SnapshotTable[[#This Row],[SP Qty]]&gt;0,SnapshotTable[[#This Row],[SP Current Ask]]&gt;0), SnapshotTable[[#This Row],[SP Qty]] * SnapshotTable[[#This Row],[SP Current Ask]] * -100, "")</f>
        <v/>
      </c>
      <c r="DG132" s="31" t="str">
        <f>IF(ISNUMBER((SnapshotTable[[#This Row],[SP Total Value]])), SnapshotTable[[#This Row],[SP Premium]] + SnapshotTable[[#This Row],[SP Total Value]], "")</f>
        <v/>
      </c>
      <c r="DH132" s="272" t="str">
        <f>IF(ISNUMBER((SnapshotTable[[#This Row],[SP Total Value]])), SnapshotTable[[#This Row],[SP Gain Loss]] / SnapshotTable[[#This Row],[SP Premium]], "")</f>
        <v/>
      </c>
      <c r="DI132" s="369"/>
      <c r="DJ132" s="136"/>
      <c r="DK132" s="146"/>
      <c r="DL132" s="13"/>
      <c r="DM132" s="13"/>
      <c r="DN132" s="5"/>
      <c r="DO132" s="31">
        <f>IF(SnapshotTable[[#This Row],[LC Symbol Count]]=1, SnapshotTable[[#This Row],[LC Qty]] * SnapshotTable[[#This Row],[LC Book Price]] * 100, 0)</f>
        <v>0</v>
      </c>
      <c r="DP132" s="161" t="str">
        <f>IF(AND(SnapshotTable[[#This Row],[LC Exp Date]]&gt;0, SnapshotTable[[#This Row],[LC Strike Price]]&gt;0,SnapshotTable[[#This Row],[LC Qty]]&gt;0,SnapshotTable[[#This Row],[LC Book Date]]&gt;0,SnapshotTable[[#This Row],[LC Book Price]]&gt;0,SnapshotTable[[#This Row],[LC Fill Date]]=0),"Y","")</f>
        <v/>
      </c>
      <c r="DQ132" s="356" t="str">
        <f>IF(SnapshotTable[[#This Row],[LC Premium]] &gt; 0,SnapshotTable[[#This Row],[LC Exp Date]]-MAX(SnapshotTable[[#This Row],[LC Book Date]], SnapshotTable[[#This Row],[LC Fill Date]]),"")</f>
        <v/>
      </c>
      <c r="DR132" s="356" t="str">
        <f>IF(ISNUMBER(SnapshotTable[[#This Row],[LC Term]]), SnapshotTable[[#This Row],[LC Exp Date]] - MockToday, "")</f>
        <v/>
      </c>
      <c r="DS132" s="219" t="str">
        <f>IF(SnapshotTable[[#This Row],[LC Premium]]&gt;0,SnapshotTable[[#This Row],[LC Strike Price]] + SnapshotTable[[#This Row],[LC Book Price]],"")</f>
        <v/>
      </c>
      <c r="DT132" s="5"/>
      <c r="DU132" s="9" t="str">
        <f>IF(AND(SnapshotTable[[#This Row],[LC Symbol Count]]&gt;0, SnapshotTable[[#This Row],[LC Contract Value]]&gt;0), SnapshotTable[[#This Row],[LC Contract Value]] * SnapshotTable[[#This Row],[LC Qty]] * 100, "")</f>
        <v/>
      </c>
      <c r="DV132" s="9" t="str">
        <f>IF(AND(ISNUMBER(SnapshotTable[[#This Row],[LC Total Value]]), SnapshotTable[[#This Row],[LC Not Filled]]&lt;&gt;"Y"), SnapshotTable[[#This Row],[LC Total Value]]-SnapshotTable[[#This Row],[LC Premium]],"")</f>
        <v/>
      </c>
      <c r="DW132" s="225" t="str">
        <f>IF(ISNUMBER(SnapshotTable[[#This Row],[LC Actual Gain Loss]]), SnapshotTable[[#This Row],[LC Actual Gain Loss]] / SnapshotTable[[#This Row],[LC Premium]],"")</f>
        <v/>
      </c>
      <c r="DX132" s="269" t="str">
        <f>IF(ISNUMBER(SnapshotTable[[#This Row],[LC Book Price]]),SnapshotTable[[#This Row],[LC Book Price]] * 1.5,"")</f>
        <v/>
      </c>
      <c r="DY132" s="250" t="str">
        <f>IF(SnapshotTable[[#This Row],[LC Premium]]&gt;0, SnapshotTable[[#This Row],[LC Next Target]] * SnapshotTable[[#This Row],[LC Qty]] * 100,"")</f>
        <v/>
      </c>
      <c r="DZ132" s="250" t="str">
        <f>IF(ISNUMBER(SnapshotTable[[#This Row],[LC Target Gross]]), SnapshotTable[[#This Row],[LC Target Gross]] - SnapshotTable[[#This Row],[LC Premium]], "")</f>
        <v/>
      </c>
      <c r="EA132" s="283" t="str">
        <f>IF(ISNUMBER(SnapshotTable[[#This Row],[LC Target Gain Loss]]), SnapshotTable[[#This Row],[LC Target Gain Loss]]/SnapshotTable[[#This Row],[LC Premium]], "")</f>
        <v/>
      </c>
      <c r="EB132" s="247"/>
      <c r="EC132" s="268" t="str">
        <f>IF(SnapshotTable[[#This Row],[LC Premium]]&gt;0, SnapshotTable[[#This Row],[LC Book Price]] * (1 - LC_StopLoss_Pct),"")</f>
        <v/>
      </c>
      <c r="ED132" s="269"/>
      <c r="EE132" s="268" t="str">
        <f>IF(ISNUMBER(SnapshotTable[[#This Row],[LC Contract Value]]),IF(ISNUMBER(SnapshotTable[[#This Row],[LC Stop Loss Override]]), SnapshotTable[[#This Row],[LC Stop Loss Override]],SnapshotTable[[#This Row],[LC Stop Loss Calc Target]]),"")</f>
        <v/>
      </c>
      <c r="EF132" s="31" t="str">
        <f>IF(ISNUMBER(SnapshotTable[[#This Row],[LC Stop  To Use]]), (SnapshotTable[[#This Row],[LC Stop  To Use]] * SnapshotTable[[#This Row],[LC Qty]] * 100),"")</f>
        <v/>
      </c>
      <c r="EG132" s="9" t="str">
        <f>IF(ISNUMBER(SnapshotTable[[#This Row],[LC Total Value]]),SnapshotTable[[#This Row],[LC Stop Loss Amount]] - SnapshotTable[[#This Row],[LC Premium]],"")</f>
        <v/>
      </c>
      <c r="EH132" s="9">
        <f>IF(ISNUMBER(SnapshotTable[[#This Row],[LC Premium]]), SnapshotTable[[#This Row],[LC Qty]] * 100 * SnapshotTable[[#This Row],[LC Strike Price]], "")</f>
        <v>0</v>
      </c>
      <c r="EI132" s="225" t="str">
        <f>IF(AND(ISNUMBER(SnapshotTable[[#This Row],[LC Total Value]]),SnapshotTable[[#This Row],[LC Total Value]]&gt;0),SnapshotTable[[#This Row],[LC Stop Gain Loss]]  / SnapshotTable[[#This Row],[LC Premium]],"")</f>
        <v/>
      </c>
      <c r="EJ132" s="35">
        <f>IF(ISNUMBER(SnapshotTable[[#This Row],[Equity Shares]]),TRUNC(SnapshotTable[[#This Row],[Equity Shares]] / 100),0) + SnapshotTable[[#This Row],[LC Qty]]</f>
        <v>0</v>
      </c>
      <c r="EK132" s="145"/>
      <c r="EL132" s="136"/>
      <c r="EM132" s="146"/>
      <c r="EN132" s="145"/>
      <c r="EO132" s="145"/>
      <c r="EP132" s="136"/>
      <c r="EQ132" s="382" t="b">
        <f>AND(ISNUMBER(SnapshotTable[[#This Row],[SC Exp Date]]), ISNUMBER(SnapshotTable[[#This Row],[SC Strike Price]]), ISNUMBER(SnapshotTable[[#This Row],[SC Qty]]), ISNUMBER(SnapshotTable[[#This Row],[SC Book Date]]), ISNUMBER(SnapshotTable[[#This Row],[SC Book Price]]))</f>
        <v>0</v>
      </c>
      <c r="ER132" s="382" t="b">
        <f>AND(SnapshotTable[[#This Row],[SC Is Booked]], NOT(ISBLANK(SnapshotTable[[#This Row],[SC Fill Date]])))</f>
        <v>0</v>
      </c>
      <c r="ES132" s="340"/>
      <c r="ET132" s="34" t="str">
        <f>IF(AND(ISNUMBER(SnapshotTable[[#This Row],[SC Exp Date]]), ISNUMBER(SnapshotTable[[#This Row],[SC Book Date]])), SnapshotTable[[#This Row],[SC Exp Date]] - MAX(SnapshotTable[[#This Row],[SC Book Date]], SnapshotTable[[#This Row],[SC Fill Date]]) + 1, "")</f>
        <v/>
      </c>
      <c r="EU132" s="34" t="str">
        <f>IF(ISNUMBER(SnapshotTable[[#This Row],[SC Term]]), SnapshotTable[[#This Row],[SC Exp Date]]- MockToday, "")</f>
        <v/>
      </c>
      <c r="EV132" s="31">
        <f>IF(SnapshotTable[[#This Row],[SC Is Booked]], SnapshotTable[[#This Row],[SC Qty]] * SnapshotTable[[#This Row],[SC Book Price]] * 100, 0)</f>
        <v>0</v>
      </c>
      <c r="EW132" s="4" t="str">
        <f>IF(AND(ISNUMBER(SnapshotTable[[#This Row],[Last Price]]), ISNUMBER( SnapshotTable[[#This Row],[SC Book Price]])), SnapshotTable[[#This Row],[Last Price]] - SnapshotTable[[#This Row],[SC Book Price]],"")</f>
        <v/>
      </c>
      <c r="EX132" s="219" t="str">
        <f>IF(SnapshotTable[[#This Row],[SC Is Booked]],IF(SnapshotTable[[#This Row],[SC Intrinsic Value]] &gt; 0, SnapshotTable[[#This Row],[SC Strike Price]], SnapshotTable[[#This Row],[Last Price]]), "")</f>
        <v/>
      </c>
      <c r="EY132" s="4">
        <f>IF(SnapshotTable[[#This Row],[SC Is Booked]], (MinimumPremiumRequired * SnapshotTable[[#This Row],[SC Basis]] * SnapshotTable[[#This Row],[SC Term]]), 0)</f>
        <v>0</v>
      </c>
      <c r="EZ132" s="268"/>
      <c r="FA132" s="204"/>
      <c r="FB132" s="340"/>
      <c r="FC132" s="4">
        <f>IF(SnapshotTable[[#This Row],[SC Is Filled]], btc_max_buyback_amount(SnapshotTable[[#This Row],[SC Fill Date]],SnapshotTable[[#This Row],[SC Exp Date]], SnapshotTable[[#This Row],[SC Book Price]]),0)</f>
        <v>0</v>
      </c>
      <c r="FD132" s="5"/>
      <c r="FE132" s="142" t="str">
        <f>IF(SnapshotTable[[#This Row],[SC Is Filled]], btc_next_cutoff_date(SnapshotTable[[#This Row],[SC Fill Date]],SnapshotTable[[#This Row],[SC Exp Date]]),"")</f>
        <v/>
      </c>
      <c r="FF132" s="4" t="str" cm="1">
        <f t="array" ref="FF132">IF(SnapshotTable[[#This Row],[SC Is Filled]], btc_should_buy_back(SnapshotTable[[#This Row],[SC Fill Date]], SnapshotTable[[#This Row],[SC Exp Date]], SnapshotTable[[#This Row],[SC Book Price]], SnapshotTable[[#This Row],[SC Current Ask]], MockToday, SnapshotTable[[#This Row],[SC Buyback Override]]),"")</f>
        <v/>
      </c>
      <c r="FG132" s="4">
        <f>IF(SnapshotTable[[#This Row],[SC Is Filled]], MAX(0,SnapshotTable[[#This Row],[Last Price]]  - SnapshotTable[[#This Row],[SC Strike Price]]), 0)</f>
        <v>0</v>
      </c>
      <c r="FH132" s="352">
        <f>IF(SnapshotTable[[#This Row],[SC Is Filled]], IF(ISNUMBER(SnapshotTable[[#This Row],[SC Current Ask]]), SnapshotTable[[#This Row],[SC Current Ask]], SnapshotTable[[#This Row],[SC Book Price]]) - SnapshotTable[[#This Row],[SC Intrinsic Value]], 0)</f>
        <v>0</v>
      </c>
      <c r="FI132" s="141"/>
      <c r="FJ132" s="32" t="str">
        <f>IF(SnapshotTable[[#This Row],[SC Is Filled]],100 * SnapshotTable[[#This Row],[SC Qty]] * IF(ISNUMBER(SnapshotTable[[#This Row],[SC Buyback Override]]), SnapshotTable[[#This Row],[SC Buyback Override]], SnapshotTable[[#This Row],[SC Current Ask]]), "")</f>
        <v/>
      </c>
      <c r="FK132" s="235" t="str">
        <f>IF(SnapshotTable[[#This Row],[SC Time Val]]&gt;0, SnapshotTable[[#This Row],[SC Time Val]] / SnapshotTable[[#This Row],[Last Price]],"")</f>
        <v/>
      </c>
      <c r="FL132" s="280" t="str">
        <f>IF(SnapshotTable[[#This Row],[SC Is Booked]], ((SnapshotTable[[#This Row],[Last Price]] -SnapshotTable[[#This Row],[SC Strike Price]]) / SnapshotTable[[#This Row],[Last Price]]) * -1, "")</f>
        <v/>
      </c>
      <c r="FM132" s="155" t="str">
        <f>IF(SnapshotTable[[#This Row],[SC Is Booked]],  (SnapshotTable[[#This Row],[SC Qty]] * 100 * SnapshotTable[[#This Row],[SC Strike Price]]) - SnapshotTable[[#This Row],[SC Current Ask]], "")</f>
        <v/>
      </c>
      <c r="FN1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2" s="31" t="str">
        <f>IF(AND(ISNUMBER(SnapshotTable[[#This Row],[SC Exercise Gross]]), ISNUMBER(SnapshotTable[[#This Row],[Equity Basis Per Share]] )), SnapshotTable[[#This Row],[SC Exercise Gross]] - SnapshotTable[[#This Row],[Equity Basis Total]] +  SnapshotTable[[#This Row],[SC Premium]], "")</f>
        <v/>
      </c>
      <c r="FP132" s="5" t="str">
        <f>IF(ISNUMBER(SnapshotTable[[#This Row],[SC Exercise Gross]]), (SnapshotTable[[#This Row],[SC Exercise Gross]]) / (SnapshotTable[[#This Row],[SC Qty]] * 100), "")</f>
        <v/>
      </c>
      <c r="FQ132" s="27" t="str">
        <f>IF(SnapshotTable[[#This Row],[SC Is Booked]],SnapshotTable[[#This Row],[SC Time Val]] /SnapshotTable[[#This Row],[SC Basis]], "")</f>
        <v/>
      </c>
      <c r="FR132" s="27" t="str" cm="1">
        <f t="array" ref="FR132">IF(AND(ISNUMBER(SnapshotTable[[#This Row],[SC Term]]),ISNUMBER(SnapshotTable[[#This Row],[SC Simple ROO]])), EllmanAnnualize(SnapshotTable[[#This Row],[SC DTE]], SnapshotTable[[#This Row],[SC Simple ROO]] ),"")</f>
        <v/>
      </c>
      <c r="FS132" s="4">
        <f>IF(SnapshotTable[[#This Row],[SC Strike Price]] &gt; SnapshotTable[[#This Row],[Last Price]], SnapshotTable[[#This Row],[SC Strike Price]] - SnapshotTable[[#This Row],[Last Price]],0)</f>
        <v>0</v>
      </c>
      <c r="FT132" s="27" t="str">
        <f>IF(AND(ISNUMBER(SnapshotTable[[#This Row],[SC Upside Potential]]), SnapshotTable[[#This Row],[SC Upside Potential]] &gt; 0),(SnapshotTable[[#This Row],[SC Upside Potential]]/ SnapshotTable[[#This Row],[ACB]]),"")</f>
        <v/>
      </c>
      <c r="FU132" s="304" t="str">
        <f>IF(SnapshotTable[[#This Row],[SC Intrinsic Value]] &gt; 0,SnapshotTable[[#This Row],[SC Intrinsic Value]],"")</f>
        <v/>
      </c>
      <c r="FV132" s="27" t="str">
        <f>IF(AND( ISNUMBER( SnapshotTable[[#This Row],[ACB]]),ISNUMBER(SnapshotTable[[#This Row],[SC Downside Protect]])),SnapshotTable[[#This Row],[SC Downside Protect]] / SnapshotTable[[#This Row],[ACB]],"")</f>
        <v/>
      </c>
      <c r="FW132" s="221" t="str">
        <f>IF(AND(ISNUMBER(SnapshotTable[[#This Row],[SC Simple ROO]]),SnapshotTable[[#This Row],[SC Simple ROO]] &gt; 0), SnapshotTable[[#This Row],[SC Premium]] + (SnapshotTable[[#This Row],[SC Qty]] * SnapshotTable[[#This Row],[SC Upside Potential]]), "")</f>
        <v/>
      </c>
      <c r="FX132" s="280" t="str" cm="1">
        <f t="array" ref="FX132">IF(ISNUMBER(SnapshotTable[[#This Row],[SC Max Dollars]]), annualize(SnapshotTable[[#This Row],[SC Term]],(SnapshotTable[[#This Row],[SC Max Dollars]]/SnapshotTable[[#This Row],[SC Basis]])),"")</f>
        <v/>
      </c>
      <c r="FY132" s="221" t="str">
        <f>IF(AND(SnapshotTable[[#This Row],[SC Qty]]&gt;0,SnapshotTable[[#This Row],[SC Current Ask]]&gt;0), SnapshotTable[[#This Row],[SC Qty]] * SnapshotTable[[#This Row],[SC Current Ask]] * -100, "")</f>
        <v/>
      </c>
      <c r="FZ132" s="31" t="str">
        <f>IF(ISNUMBER((SnapshotTable[[#This Row],[SC Current Value]])), SnapshotTable[[#This Row],[SC Premium]] + SnapshotTable[[#This Row],[SC Current Value]], "")</f>
        <v/>
      </c>
      <c r="GA132" s="272" t="str">
        <f>IFERROR( IF(ISNUMBER((SnapshotTable[[#This Row],[SC Current Value]])), SnapshotTable[[#This Row],[SC Gain Loss]] / SnapshotTable[[#This Row],[SC Premium]], ""), "")</f>
        <v/>
      </c>
      <c r="GB132" s="42">
        <f>SnapshotTable[[#This Row],[Equity Shares]] * SaleSharesToConsiderPercentage</f>
        <v>0</v>
      </c>
      <c r="GC132" s="40">
        <f>SnapshotTable[[#This Row],[Long Term Target]] * SellingPriceToConsiderBasedOnTargetPercentage</f>
        <v>19</v>
      </c>
      <c r="GD132" s="40">
        <f>SnapshotTable[[#This Row],[Last Price]] * (1+ SellingPriceToConsiderBasedOnTargetPercentage)</f>
        <v>27.768000000000001</v>
      </c>
      <c r="GE132" s="41">
        <v>50</v>
      </c>
      <c r="GF132" s="40">
        <v>34.880000000000003</v>
      </c>
      <c r="GG132" s="31">
        <f>SnapshotTable[[#This Row],[Booked Sale Shares]] * SnapshotTable[[#This Row],[Booked Sale Price]]</f>
        <v>1744.0000000000002</v>
      </c>
      <c r="GH132" s="31" t="str">
        <f>IF(SnapshotTable[[#This Row],[Equity Basis Total]] &gt; 0, SnapshotTable[[#This Row],[Equity Basis Per Share]] * SnapshotTable[[#This Row],[Booked Sale Shares]], "")</f>
        <v/>
      </c>
      <c r="GI132" s="31" t="e">
        <f>IF(SnapshotTable[[#This Row],[Sale Proceeds]]&gt;0, SnapshotTable[[#This Row],[Sale Proceeds]] - SnapshotTable[[#This Row],[Sale Basis]], 0)</f>
        <v>#VALUE!</v>
      </c>
      <c r="GJ132" s="27" t="e">
        <f>IF(SnapshotTable[[#This Row],[Sale G/L]]&gt;0, SnapshotTable[[#This Row],[Sale G/L]] / SnapshotTable[[#This Row],[Sale Basis]], IF(ISNUMBER(SnapshotTable[[#This Row],[SC Exercise P&amp;L (TAX)]]), SnapshotTable[[#This Row],[SC Exercise P&amp;L (TAX)]] / SnapshotTable[[#This Row],[SC Basis]], ""))</f>
        <v>#VALUE!</v>
      </c>
      <c r="GK132" s="27" t="s">
        <v>564</v>
      </c>
      <c r="GL132" s="43" t="str">
        <f>IF(AND(SnapshotTable[[#This Row],[LP Exp Date]]&gt;0,SnapshotTable[[#This Row],[LP Strike Price]]&gt;0), [1]!ToOptionSymbol(SnapshotTable[[#This Row],[Symbol]], SnapshotTable[[#This Row],[LP Strike Price]],SnapshotTable[[#This Row],[LP Exp Date]],1), "")</f>
        <v/>
      </c>
      <c r="GM132" s="30" t="str">
        <f>IF(LEN(SnapshotTable[[#This Row],[LP Symbol]])&gt;0, 1, "")</f>
        <v/>
      </c>
      <c r="GN132" s="43" t="str">
        <f>IF(AND(SnapshotTable[[#This Row],[SP Exp Date]]&gt;0,SnapshotTable[[#This Row],[SP Strike Price]]&gt;0), [1]!ToOptionSymbol(SnapshotTable[[#This Row],[Symbol]], SnapshotTable[[#This Row],[SP Strike Price]],SnapshotTable[[#This Row],[SP Exp Date]],1), "")</f>
        <v/>
      </c>
      <c r="GO132" s="30" t="str">
        <f>IF(LEN(SnapshotTable[[#This Row],[SP Symbol]])&gt;0, 1, "")</f>
        <v/>
      </c>
      <c r="GP132" s="43" t="str">
        <f>IF(AND(SnapshotTable[[#This Row],[LC Exp Date]]&gt;0,SnapshotTable[[#This Row],[LC Strike Price]]&gt;0), [1]!ToOptionSymbol(SnapshotTable[[#This Row],[Symbol]], SnapshotTable[[#This Row],[LC Strike Price]],SnapshotTable[[#This Row],[LC Exp Date]],0), "")</f>
        <v/>
      </c>
      <c r="GQ132" s="30" t="str">
        <f>IF(LEN(SnapshotTable[[#This Row],[LC Symbol]])&gt;0, 1, "")</f>
        <v/>
      </c>
      <c r="GR132" s="43" t="str">
        <f>IF(AND(SnapshotTable[[#This Row],[SC Exp Date]]&gt;0,SnapshotTable[[#This Row],[SC Strike Price]]&gt;0), [1]!ToOptionSymbol(SnapshotTable[[#This Row],[Symbol]], SnapshotTable[[#This Row],[SC Strike Price]],SnapshotTable[[#This Row],[SC Exp Date]],0), "")</f>
        <v/>
      </c>
      <c r="GS132" s="30" t="str">
        <f>IF(LEN(SnapshotTable[[#This Row],[SC Symbol]])&gt;0, 1, "")</f>
        <v/>
      </c>
      <c r="GT132" s="29" t="str">
        <f>IF(COUNT(SnapshotTable[[#This Row],[LP Symbol Count]],SnapshotTable[[#This Row],[SP Symbol Count]],SnapshotTable[[#This Row],[LC Symbol Count]],SnapshotTable[[#This Row],[SC Symbol Count]])&gt;0, "Y", "")</f>
        <v/>
      </c>
      <c r="GU1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2" s="216">
        <f>MAX(SnapshotTable[[#This Row],[Equity Basis Total]],SnapshotTable[[#This Row],[Equity Value]]) + (SnapshotTable[[#This Row],[SP Potential Spend]]- SnapshotTable[[#This Row],[SP Premium]] + SnapshotTable[[#This Row],[LP Premium]])+ (SnapshotTable[[#This Row],[LC Premium]] - SnapshotTable[[#This Row],[SC Premium]])</f>
        <v>0</v>
      </c>
      <c r="GW132" s="137" t="str">
        <f>IF(AND(SnapshotTable[[#This Row],[Exposure]] &lt;&gt; 0),SnapshotTable[[#This Row],[Exposure]] / SnapshotTable[[#Totals],[Exposure]], "")</f>
        <v/>
      </c>
      <c r="GY132" s="351"/>
      <c r="HE132" s="253"/>
      <c r="HF132" s="253"/>
      <c r="HG132" s="351"/>
      <c r="HH132" s="351"/>
      <c r="HI132" s="351"/>
      <c r="HJ132" s="351"/>
    </row>
    <row r="133" spans="2:224" ht="12.75" hidden="1" customHeight="1" x14ac:dyDescent="0.25">
      <c r="B133" s="12" t="s">
        <v>495</v>
      </c>
      <c r="C133" s="385">
        <v>47.89</v>
      </c>
      <c r="D133" s="200"/>
      <c r="E133" s="39">
        <f>SnapshotTable[[#This Row],[Last Price]]*(1 -CrashDiscount)</f>
        <v>40.706499999999998</v>
      </c>
      <c r="F133" s="26" t="s">
        <v>496</v>
      </c>
      <c r="G133" s="26" t="s">
        <v>7</v>
      </c>
      <c r="H133" s="147"/>
      <c r="I133" s="186">
        <v>44721.670138888891</v>
      </c>
      <c r="J133" s="187">
        <v>44721.670138888891</v>
      </c>
      <c r="K133" s="188" t="s">
        <v>3</v>
      </c>
      <c r="L133" s="297"/>
      <c r="M133" s="138"/>
      <c r="N133" s="138"/>
      <c r="O133" s="138"/>
      <c r="P133" s="22"/>
      <c r="Q133" s="25"/>
      <c r="R133" s="4" t="str">
        <f>IF(SnapshotTable[[#This Row],[Equity Basis Total]] &gt; 0, SnapshotTable[[#This Row],[Equity Basis Total]] / SnapshotTable[[#This Row],[Equity Shares]], "")</f>
        <v/>
      </c>
      <c r="S133" s="254">
        <f>SnapshotTable[[#This Row],[Last Price]] * SnapshotTable[[#This Row],[Equity Shares]]</f>
        <v>0</v>
      </c>
      <c r="T133" s="254">
        <f>SnapshotTable[[#This Row],[Equity Value]] - SnapshotTable[[#This Row],[Equity Basis Total]]</f>
        <v>0</v>
      </c>
      <c r="U133" s="255" t="str">
        <f>IF(SnapshotTable[[#This Row],[Equity Basis Total]] &gt; 0, SnapshotTable[[#This Row],[Equity G/L]] / SnapshotTable[[#This Row],[Equity Basis Total]], "")</f>
        <v/>
      </c>
      <c r="V133" s="253"/>
      <c r="W133" s="253"/>
      <c r="X133" s="4" t="str">
        <f>IF(AND(ISNUMBER(SnapshotTable[[#This Row],[Equity Basis Per Share]]),ISNUMBER(SnapshotTable[[#This Row],[Equity Target]])),SnapshotTable[[#This Row],[Equity Target]]-SnapshotTable[[#This Row],[Equity Basis Per Share]],"")</f>
        <v/>
      </c>
      <c r="Y133" s="4" t="str">
        <f>IF(AND(ISNUMBER(SnapshotTable[[#This Row],[Equity Basis Per Share]]),ISNUMBER(SnapshotTable[[#This Row],[Equity Stop Loss]])),SnapshotTable[[#This Row],[Equity Stop Loss]]-SnapshotTable[[#This Row],[Equity Basis Per Share]],"")</f>
        <v/>
      </c>
      <c r="Z133" s="260" t="str">
        <f>IFERROR( TEXT(SnapshotTable[[#This Row],[Equity Max Gain Per Share]] /ABS( SnapshotTable[[#This Row],[Equity Max Loss Per Share]]),"0.0 " ) &amp; " : 1", "")</f>
        <v/>
      </c>
      <c r="AA133" s="31" t="str">
        <f>IF(ISNUMBER(SnapshotTable[[#This Row],[Equity Max Gain Per Share]]),SnapshotTable[[#This Row],[Equity Max Gain Per Share]] * SnapshotTable[[#This Row],[Equity Shares]],"")</f>
        <v/>
      </c>
      <c r="AB133" s="31" t="str">
        <f>IF(ISNUMBER(SnapshotTable[[#This Row],[Equity Max Loss Per Share]]),SnapshotTable[[#This Row],[Equity Max Loss Per Share]] * SnapshotTable[[#This Row],[Equity Shares]],"")</f>
        <v/>
      </c>
      <c r="AC133" s="148"/>
      <c r="AD133" s="149"/>
      <c r="AE133" s="31">
        <f>(SnapshotTable[[#This Row],[Annual Dividend Per Share]] / 4) * SnapshotTable[[#This Row],[Equity Shares]]</f>
        <v>0</v>
      </c>
      <c r="AF133" s="31">
        <f>SnapshotTable[[#This Row],[Quarterly Div $]] * 4</f>
        <v>0</v>
      </c>
      <c r="AG133" s="7">
        <f>IF(SnapshotTable[[#This Row],[Annual Dividend Per Share]]&gt;0, SnapshotTable[[#This Row],[Annual Dividend Per Share]]  / SnapshotTable[[#This Row],[Last Price]], 0)</f>
        <v>0</v>
      </c>
      <c r="AH133" s="149"/>
      <c r="AI133" s="5"/>
      <c r="AJ133" s="136">
        <v>90.46</v>
      </c>
      <c r="AK133" s="150" t="str">
        <f>IF(ISNUMBER( SnapshotTable[[#This Row],[EBF Target]]),(SnapshotTable[[#This Row],[EBF Target]] - SnapshotTable[[#This Row],[Last Price]]) / SnapshotTable[[#This Row],[Last Price]], "")</f>
        <v/>
      </c>
      <c r="AL133" s="150" t="str">
        <f>IF(AND(SnapshotTable[[#This Row],[Equity Basis Total]] &gt; 0,ISNUMBER( SnapshotTable[[#This Row],[Long Term Target]])), SnapshotTable[[#This Row],[From Basis $]] / SnapshotTable[[#This Row],[Equity Basis Total]], "")</f>
        <v/>
      </c>
      <c r="AM133" s="9">
        <f>IF( AND(SnapshotTable[[#This Row],[Equity Shares]] &gt;0,ISNUMBER( SnapshotTable[[#This Row],[Long Term Target]])),(SnapshotTable[[#This Row],[Equity Shares]] * SnapshotTable[[#This Row],[Long Term Target]]) - SnapshotTable[[#This Row],[Equity Basis Total]],0)</f>
        <v>0</v>
      </c>
      <c r="AN133" s="9">
        <f>IF( AND(SnapshotTable[[#This Row],[Equity Shares]] &gt;0,ISNUMBER( SnapshotTable[[#This Row],[Long Term Target]])),(SnapshotTable[[#This Row],[Equity Shares]]*SnapshotTable[[#This Row],[Long Term Target]]) - SnapshotTable[[#This Row],[Equity Value]],0)</f>
        <v>0</v>
      </c>
      <c r="AO133" s="150">
        <f>IF(AND(ISNUMBER( SnapshotTable[[#This Row],[Long Term Target]]), ISNUMBER(SnapshotTable[[#This Row],[Last Price]])),(SnapshotTable[[#This Row],[Long Term Target]] - SnapshotTable[[#This Row],[Last Price]]) / SnapshotTable[[#This Row],[Last Price]], "")</f>
        <v>0.88891209020672357</v>
      </c>
      <c r="AP133" s="5">
        <v>135</v>
      </c>
      <c r="AQ133" s="38" t="s">
        <v>22</v>
      </c>
      <c r="AR133" s="5">
        <v>135</v>
      </c>
      <c r="AS133" s="38" t="s">
        <v>15</v>
      </c>
      <c r="AT133" s="144"/>
      <c r="AU133" s="185" t="str">
        <f>IF(OR(SnapshotTable[[#This Row],[LP No Fill]]="Y",SnapshotTable[[#This Row],[SP Is Filled]],SnapshotTable[[#This Row],[LC Not Filled]]="Y",SnapshotTable[[#This Row],[SC Is Filled]]),"Y","")</f>
        <v/>
      </c>
      <c r="AV133" s="205"/>
      <c r="AW133" s="211"/>
      <c r="AX133" s="206"/>
      <c r="AY133" s="205" t="str">
        <f>IF(SnapshotTable[[#This Row],[Implied Move]]&gt;0, SnapshotTable[[#This Row],[Last Price]]-SnapshotTable[[#This Row],[Implied Move]],"")</f>
        <v/>
      </c>
      <c r="AZ133" s="205" t="str">
        <f>IF(SnapshotTable[[#This Row],[Implied Move]]&gt;0, SnapshotTable[[#This Row],[Last Price]] + SnapshotTable[[#This Row],[Implied Move]],"")</f>
        <v/>
      </c>
      <c r="BA133" s="302"/>
      <c r="BB133" s="318"/>
      <c r="BC1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3" s="321"/>
      <c r="BE133" s="136"/>
      <c r="BF133" s="164"/>
      <c r="BG133" s="165"/>
      <c r="BH133" s="165"/>
      <c r="BI133" s="207"/>
      <c r="BJ133" s="151">
        <f>IF(SnapshotTable[[#This Row],[LP Qty]] &gt; 0, SnapshotTable[[#This Row],[LP Qty]] * SnapshotTable[[#This Row],[LP Book Price]] * 100,0)</f>
        <v>0</v>
      </c>
      <c r="BK133" s="134">
        <f>IF(SnapshotTable[[#This Row],[LP Premium]] &gt; 0, SnapshotTable[[#This Row],[LP Qty]] * SnapshotTable[[#This Row],[LP Strike Price]] * 100,0)</f>
        <v>0</v>
      </c>
      <c r="BL133" s="152"/>
      <c r="BM133" s="355" t="str">
        <f>IF(SnapshotTable[[#This Row],[LP Premium]] &gt; 0,SnapshotTable[[#This Row],[LP Exp Date]]-MAX(SnapshotTable[[#This Row],[LP Book Date]], SnapshotTable[[#This Row],[LP Fill Date]]),"")</f>
        <v/>
      </c>
      <c r="BN133" s="355" t="str">
        <f>IF(ISNUMBER( SnapshotTable[[#This Row],[LP Term]]), SnapshotTable[[#This Row],[LP Exp Date]] - MockToday,"")</f>
        <v/>
      </c>
      <c r="BO133" s="161" t="str">
        <f>IF(AND(SnapshotTable[[#This Row],[LP Exp Date]]&gt;0, SnapshotTable[[#This Row],[LP Strike Price]]&gt;0,SnapshotTable[[#This Row],[LP Qty]]&gt;0,SnapshotTable[[#This Row],[LP Book Date]]&gt;0,SnapshotTable[[#This Row],[LP Book Price]]&gt;0,SnapshotTable[[#This Row],[LP Fill Date]]=0),"Y","")</f>
        <v/>
      </c>
      <c r="BP133" s="31" t="str">
        <f>IF(AND(SnapshotTable[[#This Row],[LP No Fill]]&lt;&gt;"Y",SnapshotTable[[#This Row],[LP Contract Value]]&gt;0, SnapshotTable[[#This Row],[LP Qty]]&gt;0), SnapshotTable[[#This Row],[LP Contract Value]]*SnapshotTable[[#This Row],[LP Qty]]*100,"")</f>
        <v/>
      </c>
      <c r="BQ133" s="13"/>
      <c r="BR133" s="5"/>
      <c r="BS133" s="36"/>
      <c r="BT133" s="145"/>
      <c r="BU133" s="13"/>
      <c r="BV133" s="5"/>
      <c r="BW133" s="382" t="b">
        <f>AND(ISNUMBER(SnapshotTable[[#This Row],[SP Exp Date]]), ISNUMBER(SnapshotTable[[#This Row],[SP Strike Price]]), ISNUMBER(SnapshotTable[[#This Row],[SP Qty]]), ISNUMBER(SnapshotTable[[#This Row],[SP Book Date]]), ISNUMBER(SnapshotTable[[#This Row],[SP Book Price]]))</f>
        <v>0</v>
      </c>
      <c r="BX133" s="382" t="b">
        <f>AND(SnapshotTable[[#This Row],[SP Is Booked]], NOT(ISBLANK(SnapshotTable[[#This Row],[SP Fill Date]])))</f>
        <v>0</v>
      </c>
      <c r="BY133" s="33">
        <f>IF(SnapshotTable[[#This Row],[SP Is Booked]], SnapshotTable[[#This Row],[SP Qty]] * SnapshotTable[[#This Row],[SP Book Price]] * 100, 0)</f>
        <v>0</v>
      </c>
      <c r="BZ133" s="339"/>
      <c r="CA133" s="338">
        <f>SnapshotTable[[#This Row],[LP Qty]]</f>
        <v>0</v>
      </c>
      <c r="CB133" s="4" t="str">
        <f>IF(SnapshotTable[[#This Row],[SP Is Booked]], SnapshotTable[[#This Row],[SP Strike Price]] - SnapshotTable[[#This Row],[SP Book Price]], "")</f>
        <v/>
      </c>
      <c r="CC133" s="19" t="str">
        <f>IF(SnapshotTable[[#This Row],[SP Is Booked]],SnapshotTable[[#This Row],[SP Exp Date]]-MAX(SnapshotTable[[#This Row],[SP Book Date]], SnapshotTable[[#This Row],[SP Fill Date]]),"")</f>
        <v/>
      </c>
      <c r="CD133" s="7" t="str">
        <f>IF(SnapshotTable[[#This Row],[SP Is Booked]], SnapshotTable[[#This Row],[SP Book Price]]/SnapshotTable[[#This Row],[SP Strike Price]], "")</f>
        <v/>
      </c>
      <c r="CE133" s="7" t="str">
        <f>IF(ISNUMBER(SnapshotTable[[#This Row],[SP ROO Term]]),SnapshotTable[[#This Row],[SP ROO Term]]*(365/SnapshotTable[[#This Row],[SP Term]]),"")</f>
        <v/>
      </c>
      <c r="CF133" s="221">
        <f>SnapshotTable[[#This Row],[LP Strike Price]] * SnapshotTable[[#This Row],[LP Qty]] * 100</f>
        <v>0</v>
      </c>
      <c r="CG133" s="31">
        <f>IF(ISNUMBER(SnapshotTable[[#This Row],[SP Premium]]), (SnapshotTable[[#This Row],[SP Qty]] * SnapshotTable[[#This Row],[SP Strike Price]]* 100) - SnapshotTable[[#This Row],[LP Protection]], 0)</f>
        <v>0</v>
      </c>
      <c r="CH133" s="7" t="str">
        <f>IF(ISNUMBER(SnapshotTable[[#This Row],[SP Break Even]]),-1 * (SnapshotTable[[#This Row],[SP Break Even]] - SnapshotTable[[#This Row],[Last Price]]) / SnapshotTable[[#This Row],[Last Price]], "")</f>
        <v/>
      </c>
      <c r="CI133" s="31">
        <f>IF(AND(ISNUMBER((SnapshotTable[[#This Row],[SP Potential Spend]])), SnapshotTable[[#This Row],[SP Strike Price]] &gt; SnapshotTable[[#This Row],[Last Price]], SnapshotTable[[#This Row],[SP Is Filled]]), SnapshotTable[[#This Row],[SP Potential Spend]] -  SnapshotTable[[#This Row],[LP Max Value]], 0)</f>
        <v>0</v>
      </c>
      <c r="CJ133" s="229"/>
      <c r="CK133" s="31">
        <f>IF(ISNUMBER(SnapshotTable[[#This Row],[SP Potential Spend]]),IF(ISNUMBER(SnapshotTable[[#This Row],[SP POW]]), SnapshotTable[[#This Row],[SP POW]] * SnapshotTable[[#This Row],[SP Potential Spend]], SnapshotTable[[#This Row],[SP Potential Spend]]), "")</f>
        <v>0</v>
      </c>
      <c r="CL133" s="162">
        <f>IF(NOT(SnapshotTable[[#This Row],[SP Is Filled]]),(SnapshotTable[[#This Row],[SP Qty]] * SnapshotTable[[#This Row],[SP Strike Price]] * 100) - SnapshotTable[[#This Row],[LP Max Value]],"")</f>
        <v>0</v>
      </c>
      <c r="CM133" s="31" t="str">
        <f>IF(SnapshotTable[[#This Row],[SP Actual Spend]]&lt;&gt;0, ((SnapshotTable[[#This Row],[SP Strike Price]]-SnapshotTable[[#This Row],[Last Price]]) *(SnapshotTable[[#This Row],[SP Qty]]*100) - SnapshotTable[[#This Row],[SP Premium]]) * - 1, "")</f>
        <v/>
      </c>
      <c r="CN133" s="152"/>
      <c r="CO133" s="339"/>
      <c r="CP133" s="4" t="str">
        <f>IF(SnapshotTable[[#This Row],[SP Is Filled]], btc_max_buyback_amount(SnapshotTable[[#This Row],[SP Fill Date]],SnapshotTable[[#This Row],[SP Exp Date]], SnapshotTable[[#This Row],[SP Book Price]]),"")</f>
        <v/>
      </c>
      <c r="CQ133" s="76"/>
      <c r="CR1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3" s="153" t="str">
        <f>IF(SnapshotTable[[#This Row],[SP Is Filled]], btc_next_cutoff_date(SnapshotTable[[#This Row],[SP Fill Date]],SnapshotTable[[#This Row],[SP Exp Date]]),"")</f>
        <v/>
      </c>
      <c r="CT133" s="220" t="str" cm="1">
        <f t="array" ref="CT133">IF(SnapshotTable[[#This Row],[SP Is Filled]], btc_should_buy_back(SnapshotTable[[#This Row],[SP Fill Date]], SnapshotTable[[#This Row],[SP Exp Date]], SnapshotTable[[#This Row],[SP Book Price]], SnapshotTable[[#This Row],[SP Current Ask]], MockToday, SnapshotTable[[#This Row],[SP Buyback Override]]),"")</f>
        <v/>
      </c>
      <c r="CU133" s="154"/>
      <c r="CV133" s="220"/>
      <c r="CW133" s="348" t="str">
        <f>IF(ISNUMBER( SnapshotTable[[#This Row],[SP Term]]), SnapshotTable[[#This Row],[SP Exp Date]] - MockToday,"")</f>
        <v/>
      </c>
      <c r="CX133" s="31" t="str">
        <f>IF(SnapshotTable[[#This Row],[SP Is Filled]],SnapshotTable[[#This Row],[SP Buyback Price to Use]] * 100 * SnapshotTable[[#This Row],[SP Qty]], "")</f>
        <v/>
      </c>
      <c r="CY133" s="4" t="str">
        <f>IF(ISNUMBER(SnapshotTable[[#This Row],[SP Strike Price]]), SnapshotTable[[#This Row],[SP Strike Price]] * (1 - SP_MaxLoss_StrikePct), "")</f>
        <v/>
      </c>
      <c r="CZ133" s="31" t="str">
        <f>IF(ISNUMBER(SnapshotTable[[#This Row],[SP Strike  Stop Per Share]]),SnapshotTable[[#This Row],[SP Premium]] - ((SnapshotTable[[#This Row],[SP Strike Price]]-SnapshotTable[[#This Row],[SP Strike  Stop Per Share]]) *(SnapshotTable[[#This Row],[SP Qty]] * 100)),"")</f>
        <v/>
      </c>
      <c r="DA133" s="4" t="str">
        <f>IF(AND(ISNUMBER(SnapshotTable[[#This Row],[SP Premium]]),SnapshotTable[[#This Row],[SP Premium]]&gt;0), SnapshotTable[[#This Row],[SP Book Price]] * (1 + SP_MaxLoss_OptionPct), "")</f>
        <v/>
      </c>
      <c r="DB133" s="31" t="str">
        <f>IF(ISNUMBER(SnapshotTable[[#This Row],[SP Option  Stop Contract]]),(SnapshotTable[[#This Row],[SP Option  Stop Contract]] *(SnapshotTable[[#This Row],[SP Qty]] * 100) - SnapshotTable[[#This Row],[SP Premium]]),"")</f>
        <v/>
      </c>
      <c r="DC133" s="4"/>
      <c r="DD133" s="4"/>
      <c r="DE133" s="4" t="str">
        <f>IF(AND(SnapshotTable[[#This Row],[SP Qty]]&gt;0, SnapshotTable[[#This Row],[SP Stop To Use]]&gt;0),SnapshotTable[[#This Row],[SP Premium]] - ( SnapshotTable[[#This Row],[SP Qty]] * SnapshotTable[[#This Row],[SP Stop To Use]] * 100), "")</f>
        <v/>
      </c>
      <c r="DF133" s="31" t="str">
        <f>IF(AND(SnapshotTable[[#This Row],[SP Qty]]&gt;0,SnapshotTable[[#This Row],[SP Current Ask]]&gt;0), SnapshotTable[[#This Row],[SP Qty]] * SnapshotTable[[#This Row],[SP Current Ask]] * -100, "")</f>
        <v/>
      </c>
      <c r="DG133" s="31" t="str">
        <f>IF(ISNUMBER((SnapshotTable[[#This Row],[SP Total Value]])), SnapshotTable[[#This Row],[SP Premium]] + SnapshotTable[[#This Row],[SP Total Value]], "")</f>
        <v/>
      </c>
      <c r="DH133" s="272" t="str">
        <f>IF(ISNUMBER((SnapshotTable[[#This Row],[SP Total Value]])), SnapshotTable[[#This Row],[SP Gain Loss]] / SnapshotTable[[#This Row],[SP Premium]], "")</f>
        <v/>
      </c>
      <c r="DI133" s="369"/>
      <c r="DJ133" s="136"/>
      <c r="DK133" s="146"/>
      <c r="DL133" s="145"/>
      <c r="DM133" s="145"/>
      <c r="DO133" s="31">
        <f>IF(SnapshotTable[[#This Row],[LC Symbol Count]]=1, SnapshotTable[[#This Row],[LC Qty]] * SnapshotTable[[#This Row],[LC Book Price]] * 100, 0)</f>
        <v>0</v>
      </c>
      <c r="DP133" s="161" t="str">
        <f>IF(AND(SnapshotTable[[#This Row],[LC Exp Date]]&gt;0, SnapshotTable[[#This Row],[LC Strike Price]]&gt;0,SnapshotTable[[#This Row],[LC Qty]]&gt;0,SnapshotTable[[#This Row],[LC Book Date]]&gt;0,SnapshotTable[[#This Row],[LC Book Price]]&gt;0,SnapshotTable[[#This Row],[LC Fill Date]]=0),"Y","")</f>
        <v/>
      </c>
      <c r="DQ133" s="356" t="str">
        <f>IF(SnapshotTable[[#This Row],[LC Premium]] &gt; 0,SnapshotTable[[#This Row],[LC Exp Date]]-MAX(SnapshotTable[[#This Row],[LC Book Date]], SnapshotTable[[#This Row],[LC Fill Date]]),"")</f>
        <v/>
      </c>
      <c r="DR133" s="356" t="str">
        <f>IF(ISNUMBER(SnapshotTable[[#This Row],[LC Term]]), SnapshotTable[[#This Row],[LC Exp Date]] - MockToday, "")</f>
        <v/>
      </c>
      <c r="DS133" s="219" t="str">
        <f>IF(SnapshotTable[[#This Row],[LC Premium]]&gt;0,SnapshotTable[[#This Row],[LC Strike Price]] + SnapshotTable[[#This Row],[LC Book Price]],"")</f>
        <v/>
      </c>
      <c r="DU133" s="9" t="str">
        <f>IF(AND(SnapshotTable[[#This Row],[LC Symbol Count]]&gt;0, SnapshotTable[[#This Row],[LC Contract Value]]&gt;0), SnapshotTable[[#This Row],[LC Contract Value]] * SnapshotTable[[#This Row],[LC Qty]] * 100, "")</f>
        <v/>
      </c>
      <c r="DV133" s="9" t="str">
        <f>IF(AND(ISNUMBER(SnapshotTable[[#This Row],[LC Total Value]]), SnapshotTable[[#This Row],[LC Not Filled]]&lt;&gt;"Y"), SnapshotTable[[#This Row],[LC Total Value]]-SnapshotTable[[#This Row],[LC Premium]],"")</f>
        <v/>
      </c>
      <c r="DW133" s="225" t="str">
        <f>IF(ISNUMBER(SnapshotTable[[#This Row],[LC Actual Gain Loss]]), SnapshotTable[[#This Row],[LC Actual Gain Loss]] / SnapshotTable[[#This Row],[LC Premium]],"")</f>
        <v/>
      </c>
      <c r="DX133" s="269" t="str">
        <f>IF(ISNUMBER(SnapshotTable[[#This Row],[LC Book Price]]),SnapshotTable[[#This Row],[LC Book Price]] * 1.5,"")</f>
        <v/>
      </c>
      <c r="DY133" s="250" t="str">
        <f>IF(SnapshotTable[[#This Row],[LC Premium]]&gt;0, SnapshotTable[[#This Row],[LC Next Target]] * SnapshotTable[[#This Row],[LC Qty]] * 100,"")</f>
        <v/>
      </c>
      <c r="DZ133" s="250" t="str">
        <f>IF(ISNUMBER(SnapshotTable[[#This Row],[LC Target Gross]]), SnapshotTable[[#This Row],[LC Target Gross]] - SnapshotTable[[#This Row],[LC Premium]], "")</f>
        <v/>
      </c>
      <c r="EA133" s="283" t="str">
        <f>IF(ISNUMBER(SnapshotTable[[#This Row],[LC Target Gain Loss]]), SnapshotTable[[#This Row],[LC Target Gain Loss]]/SnapshotTable[[#This Row],[LC Premium]], "")</f>
        <v/>
      </c>
      <c r="EB133" s="247"/>
      <c r="EC133" s="268" t="str">
        <f>IF(SnapshotTable[[#This Row],[LC Premium]]&gt;0, SnapshotTable[[#This Row],[LC Book Price]] * (1 - LC_StopLoss_Pct),"")</f>
        <v/>
      </c>
      <c r="ED133" s="269"/>
      <c r="EE133" s="268" t="str">
        <f>IF(ISNUMBER(SnapshotTable[[#This Row],[LC Contract Value]]),IF(ISNUMBER(SnapshotTable[[#This Row],[LC Stop Loss Override]]), SnapshotTable[[#This Row],[LC Stop Loss Override]],SnapshotTable[[#This Row],[LC Stop Loss Calc Target]]),"")</f>
        <v/>
      </c>
      <c r="EF133" s="31" t="str">
        <f>IF(ISNUMBER(SnapshotTable[[#This Row],[LC Stop  To Use]]), (SnapshotTable[[#This Row],[LC Stop  To Use]] * SnapshotTable[[#This Row],[LC Qty]] * 100),"")</f>
        <v/>
      </c>
      <c r="EG133" s="9" t="str">
        <f>IF(ISNUMBER(SnapshotTable[[#This Row],[LC Total Value]]),SnapshotTable[[#This Row],[LC Stop Loss Amount]] - SnapshotTable[[#This Row],[LC Premium]],"")</f>
        <v/>
      </c>
      <c r="EH133" s="9">
        <f>IF(ISNUMBER(SnapshotTable[[#This Row],[LC Premium]]), SnapshotTable[[#This Row],[LC Qty]] * 100 * SnapshotTable[[#This Row],[LC Strike Price]], "")</f>
        <v>0</v>
      </c>
      <c r="EI133" s="225" t="str">
        <f>IF(AND(ISNUMBER(SnapshotTable[[#This Row],[LC Total Value]]),SnapshotTable[[#This Row],[LC Total Value]]&gt;0),SnapshotTable[[#This Row],[LC Stop Gain Loss]]  / SnapshotTable[[#This Row],[LC Premium]],"")</f>
        <v/>
      </c>
      <c r="EJ133" s="35">
        <f>IF(ISNUMBER(SnapshotTable[[#This Row],[Equity Shares]]),TRUNC(SnapshotTable[[#This Row],[Equity Shares]] / 100),0) + SnapshotTable[[#This Row],[LC Qty]]</f>
        <v>0</v>
      </c>
      <c r="EK133" s="145"/>
      <c r="EL133" s="136"/>
      <c r="EM133" s="146"/>
      <c r="EN133" s="145"/>
      <c r="EO133" s="145"/>
      <c r="EP133" s="136"/>
      <c r="EQ133" s="382" t="b">
        <f>AND(ISNUMBER(SnapshotTable[[#This Row],[SC Exp Date]]), ISNUMBER(SnapshotTable[[#This Row],[SC Strike Price]]), ISNUMBER(SnapshotTable[[#This Row],[SC Qty]]), ISNUMBER(SnapshotTable[[#This Row],[SC Book Date]]), ISNUMBER(SnapshotTable[[#This Row],[SC Book Price]]))</f>
        <v>0</v>
      </c>
      <c r="ER133" s="382" t="b">
        <f>AND(SnapshotTable[[#This Row],[SC Is Booked]], NOT(ISBLANK(SnapshotTable[[#This Row],[SC Fill Date]])))</f>
        <v>0</v>
      </c>
      <c r="ES133" s="340"/>
      <c r="ET133" s="34" t="str">
        <f>IF(AND(ISNUMBER(SnapshotTable[[#This Row],[SC Exp Date]]), ISNUMBER(SnapshotTable[[#This Row],[SC Book Date]])), SnapshotTable[[#This Row],[SC Exp Date]] - MAX(SnapshotTable[[#This Row],[SC Book Date]], SnapshotTable[[#This Row],[SC Fill Date]]) + 1, "")</f>
        <v/>
      </c>
      <c r="EU133" s="34" t="str">
        <f>IF(ISNUMBER(SnapshotTable[[#This Row],[SC Term]]), SnapshotTable[[#This Row],[SC Exp Date]]- MockToday, "")</f>
        <v/>
      </c>
      <c r="EV133" s="31">
        <f>IF(SnapshotTable[[#This Row],[SC Is Booked]], SnapshotTable[[#This Row],[SC Qty]] * SnapshotTable[[#This Row],[SC Book Price]] * 100, 0)</f>
        <v>0</v>
      </c>
      <c r="EW133" s="4" t="str">
        <f>IF(AND(ISNUMBER(SnapshotTable[[#This Row],[Last Price]]), ISNUMBER( SnapshotTable[[#This Row],[SC Book Price]])), SnapshotTable[[#This Row],[Last Price]] - SnapshotTable[[#This Row],[SC Book Price]],"")</f>
        <v/>
      </c>
      <c r="EX133" s="219" t="str">
        <f>IF(SnapshotTable[[#This Row],[SC Is Booked]],IF(SnapshotTable[[#This Row],[SC Intrinsic Value]] &gt; 0, SnapshotTable[[#This Row],[SC Strike Price]], SnapshotTable[[#This Row],[Last Price]]), "")</f>
        <v/>
      </c>
      <c r="EY133" s="4">
        <f>IF(SnapshotTable[[#This Row],[SC Is Booked]], (MinimumPremiumRequired * SnapshotTable[[#This Row],[SC Basis]] * SnapshotTable[[#This Row],[SC Term]]), 0)</f>
        <v>0</v>
      </c>
      <c r="EZ133" s="268"/>
      <c r="FA133" s="204"/>
      <c r="FB133" s="340"/>
      <c r="FC133" s="4">
        <f>IF(SnapshotTable[[#This Row],[SC Is Filled]], btc_max_buyback_amount(SnapshotTable[[#This Row],[SC Fill Date]],SnapshotTable[[#This Row],[SC Exp Date]], SnapshotTable[[#This Row],[SC Book Price]]),0)</f>
        <v>0</v>
      </c>
      <c r="FD133" s="5"/>
      <c r="FE133" s="142" t="str">
        <f>IF(SnapshotTable[[#This Row],[SC Is Filled]], btc_next_cutoff_date(SnapshotTable[[#This Row],[SC Fill Date]],SnapshotTable[[#This Row],[SC Exp Date]]),"")</f>
        <v/>
      </c>
      <c r="FF133" s="4" t="str" cm="1">
        <f t="array" ref="FF133">IF(SnapshotTable[[#This Row],[SC Is Filled]], btc_should_buy_back(SnapshotTable[[#This Row],[SC Fill Date]], SnapshotTable[[#This Row],[SC Exp Date]], SnapshotTable[[#This Row],[SC Book Price]], SnapshotTable[[#This Row],[SC Current Ask]], MockToday, SnapshotTable[[#This Row],[SC Buyback Override]]),"")</f>
        <v/>
      </c>
      <c r="FG133" s="4">
        <f>IF(SnapshotTable[[#This Row],[SC Is Filled]], MAX(0,SnapshotTable[[#This Row],[Last Price]]  - SnapshotTable[[#This Row],[SC Strike Price]]), 0)</f>
        <v>0</v>
      </c>
      <c r="FH133" s="352">
        <f>IF(SnapshotTable[[#This Row],[SC Is Filled]], IF(ISNUMBER(SnapshotTable[[#This Row],[SC Current Ask]]), SnapshotTable[[#This Row],[SC Current Ask]], SnapshotTable[[#This Row],[SC Book Price]]) - SnapshotTable[[#This Row],[SC Intrinsic Value]], 0)</f>
        <v>0</v>
      </c>
      <c r="FI133" s="141"/>
      <c r="FJ133" s="32" t="str">
        <f>IF(SnapshotTable[[#This Row],[SC Is Filled]],100 * SnapshotTable[[#This Row],[SC Qty]] * IF(ISNUMBER(SnapshotTable[[#This Row],[SC Buyback Override]]), SnapshotTable[[#This Row],[SC Buyback Override]], SnapshotTable[[#This Row],[SC Current Ask]]), "")</f>
        <v/>
      </c>
      <c r="FK133" s="235" t="str">
        <f>IF(SnapshotTable[[#This Row],[SC Time Val]]&gt;0, SnapshotTable[[#This Row],[SC Time Val]] / SnapshotTable[[#This Row],[Last Price]],"")</f>
        <v/>
      </c>
      <c r="FL133" s="280" t="str">
        <f>IF(SnapshotTable[[#This Row],[SC Is Booked]], ((SnapshotTable[[#This Row],[Last Price]] -SnapshotTable[[#This Row],[SC Strike Price]]) / SnapshotTable[[#This Row],[Last Price]]) * -1, "")</f>
        <v/>
      </c>
      <c r="FM133" s="155" t="str">
        <f>IF(SnapshotTable[[#This Row],[SC Is Booked]],  (SnapshotTable[[#This Row],[SC Qty]] * 100 * SnapshotTable[[#This Row],[SC Strike Price]]) - SnapshotTable[[#This Row],[SC Current Ask]], "")</f>
        <v/>
      </c>
      <c r="FN133"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3" s="155" t="str">
        <f>IF(AND(ISNUMBER(SnapshotTable[[#This Row],[SC Exercise Gross]]), ISNUMBER(SnapshotTable[[#This Row],[Equity Basis Per Share]] )), SnapshotTable[[#This Row],[SC Exercise Gross]] - SnapshotTable[[#This Row],[Equity Basis Total]] +  SnapshotTable[[#This Row],[SC Premium]], "")</f>
        <v/>
      </c>
      <c r="FP133" s="5" t="str">
        <f>IF(ISNUMBER(SnapshotTable[[#This Row],[SC Exercise Gross]]), (SnapshotTable[[#This Row],[SC Exercise Gross]]) / (SnapshotTable[[#This Row],[SC Qty]] * 100), "")</f>
        <v/>
      </c>
      <c r="FQ133" s="27" t="str">
        <f>IF(SnapshotTable[[#This Row],[SC Is Booked]],SnapshotTable[[#This Row],[SC Time Val]] /SnapshotTable[[#This Row],[SC Basis]], "")</f>
        <v/>
      </c>
      <c r="FR133" s="27" t="str" cm="1">
        <f t="array" ref="FR133">IF(AND(ISNUMBER(SnapshotTable[[#This Row],[SC Term]]),ISNUMBER(SnapshotTable[[#This Row],[SC Simple ROO]])), EllmanAnnualize(SnapshotTable[[#This Row],[SC DTE]], SnapshotTable[[#This Row],[SC Simple ROO]] ),"")</f>
        <v/>
      </c>
      <c r="FS133" s="4">
        <f>IF(SnapshotTable[[#This Row],[SC Strike Price]] &gt; SnapshotTable[[#This Row],[Last Price]], SnapshotTable[[#This Row],[SC Strike Price]] - SnapshotTable[[#This Row],[Last Price]],0)</f>
        <v>0</v>
      </c>
      <c r="FT133" s="27" t="str">
        <f>IF(AND(ISNUMBER(SnapshotTable[[#This Row],[SC Upside Potential]]), SnapshotTable[[#This Row],[SC Upside Potential]] &gt; 0),(SnapshotTable[[#This Row],[SC Upside Potential]]/ SnapshotTable[[#This Row],[ACB]]),"")</f>
        <v/>
      </c>
      <c r="FU133" s="304" t="str">
        <f>IF(SnapshotTable[[#This Row],[SC Intrinsic Value]] &gt; 0,SnapshotTable[[#This Row],[SC Intrinsic Value]],"")</f>
        <v/>
      </c>
      <c r="FV133" s="27" t="str">
        <f>IF(AND( ISNUMBER( SnapshotTable[[#This Row],[ACB]]),ISNUMBER(SnapshotTable[[#This Row],[SC Downside Protect]])),SnapshotTable[[#This Row],[SC Downside Protect]] / SnapshotTable[[#This Row],[ACB]],"")</f>
        <v/>
      </c>
      <c r="FW133" s="221" t="str">
        <f>IF(AND(ISNUMBER(SnapshotTable[[#This Row],[SC Simple ROO]]),SnapshotTable[[#This Row],[SC Simple ROO]] &gt; 0), SnapshotTable[[#This Row],[SC Premium]] + (SnapshotTable[[#This Row],[SC Qty]] * SnapshotTable[[#This Row],[SC Upside Potential]]), "")</f>
        <v/>
      </c>
      <c r="FX133" s="280" t="str" cm="1">
        <f t="array" ref="FX133">IF(ISNUMBER(SnapshotTable[[#This Row],[SC Max Dollars]]), annualize(SnapshotTable[[#This Row],[SC Term]],(SnapshotTable[[#This Row],[SC Max Dollars]]/SnapshotTable[[#This Row],[SC Basis]])),"")</f>
        <v/>
      </c>
      <c r="FY133" s="221" t="str">
        <f>IF(AND(SnapshotTable[[#This Row],[SC Qty]]&gt;0,SnapshotTable[[#This Row],[SC Current Ask]]&gt;0), SnapshotTable[[#This Row],[SC Qty]] * SnapshotTable[[#This Row],[SC Current Ask]] * -100, "")</f>
        <v/>
      </c>
      <c r="FZ133" s="31" t="str">
        <f>IF(ISNUMBER((SnapshotTable[[#This Row],[SC Current Value]])), SnapshotTable[[#This Row],[SC Premium]] + SnapshotTable[[#This Row],[SC Current Value]], "")</f>
        <v/>
      </c>
      <c r="GA133" s="272" t="str">
        <f>IFERROR( IF(ISNUMBER((SnapshotTable[[#This Row],[SC Current Value]])), SnapshotTable[[#This Row],[SC Gain Loss]] / SnapshotTable[[#This Row],[SC Premium]], ""), "")</f>
        <v/>
      </c>
      <c r="GB133" s="42">
        <f>SnapshotTable[[#This Row],[Equity Shares]] * SaleSharesToConsiderPercentage</f>
        <v>0</v>
      </c>
      <c r="GC133" s="40">
        <f>SnapshotTable[[#This Row],[Long Term Target]] * SellingPriceToConsiderBasedOnTargetPercentage</f>
        <v>85.936999999999983</v>
      </c>
      <c r="GD133" s="40">
        <f>SnapshotTable[[#This Row],[Last Price]] * (1+ SellingPriceToConsiderBasedOnTargetPercentage)</f>
        <v>93.385499999999993</v>
      </c>
      <c r="GE133" s="41"/>
      <c r="GF133" s="40"/>
      <c r="GG133" s="31">
        <f>SnapshotTable[[#This Row],[Booked Sale Shares]] * SnapshotTable[[#This Row],[Booked Sale Price]]</f>
        <v>0</v>
      </c>
      <c r="GH133" s="31" t="str">
        <f>IF(SnapshotTable[[#This Row],[Equity Basis Total]] &gt; 0, SnapshotTable[[#This Row],[Equity Basis Per Share]] * SnapshotTable[[#This Row],[Booked Sale Shares]], "")</f>
        <v/>
      </c>
      <c r="GI133" s="31">
        <f>IF(SnapshotTable[[#This Row],[Sale Proceeds]]&gt;0, SnapshotTable[[#This Row],[Sale Proceeds]] - SnapshotTable[[#This Row],[Sale Basis]], 0)</f>
        <v>0</v>
      </c>
      <c r="GJ133" s="156" t="str">
        <f>IF(SnapshotTable[[#This Row],[Sale G/L]]&gt;0, SnapshotTable[[#This Row],[Sale G/L]] / SnapshotTable[[#This Row],[Sale Basis]], IF(ISNUMBER(SnapshotTable[[#This Row],[SC Exercise P&amp;L (TAX)]]), SnapshotTable[[#This Row],[SC Exercise P&amp;L (TAX)]] / SnapshotTable[[#This Row],[SC Basis]], ""))</f>
        <v/>
      </c>
      <c r="GK133" s="156" t="s">
        <v>565</v>
      </c>
      <c r="GL133" s="157" t="str">
        <f>IF(AND(SnapshotTable[[#This Row],[LP Exp Date]]&gt;0,SnapshotTable[[#This Row],[LP Strike Price]]&gt;0), [1]!ToOptionSymbol(SnapshotTable[[#This Row],[Symbol]], SnapshotTable[[#This Row],[LP Strike Price]],SnapshotTable[[#This Row],[LP Exp Date]],1), "")</f>
        <v/>
      </c>
      <c r="GM133" s="30" t="str">
        <f>IF(LEN(SnapshotTable[[#This Row],[LP Symbol]])&gt;0, 1, "")</f>
        <v/>
      </c>
      <c r="GN133" s="43" t="str">
        <f>IF(AND(SnapshotTable[[#This Row],[SP Exp Date]]&gt;0,SnapshotTable[[#This Row],[SP Strike Price]]&gt;0), [1]!ToOptionSymbol(SnapshotTable[[#This Row],[Symbol]], SnapshotTable[[#This Row],[SP Strike Price]],SnapshotTable[[#This Row],[SP Exp Date]],1), "")</f>
        <v/>
      </c>
      <c r="GO133" s="30" t="str">
        <f>IF(LEN(SnapshotTable[[#This Row],[SP Symbol]])&gt;0, 1, "")</f>
        <v/>
      </c>
      <c r="GP133" s="157" t="str">
        <f>IF(AND(SnapshotTable[[#This Row],[LC Exp Date]]&gt;0,SnapshotTable[[#This Row],[LC Strike Price]]&gt;0), [1]!ToOptionSymbol(SnapshotTable[[#This Row],[Symbol]], SnapshotTable[[#This Row],[LC Strike Price]],SnapshotTable[[#This Row],[LC Exp Date]],0), "")</f>
        <v/>
      </c>
      <c r="GQ133" s="158" t="str">
        <f>IF(LEN(SnapshotTable[[#This Row],[LC Symbol]])&gt;0, 1, "")</f>
        <v/>
      </c>
      <c r="GR133" s="157" t="str">
        <f>IF(AND(SnapshotTable[[#This Row],[SC Exp Date]]&gt;0,SnapshotTable[[#This Row],[SC Strike Price]]&gt;0), [1]!ToOptionSymbol(SnapshotTable[[#This Row],[Symbol]], SnapshotTable[[#This Row],[SC Strike Price]],SnapshotTable[[#This Row],[SC Exp Date]],0), "")</f>
        <v/>
      </c>
      <c r="GS133" s="158" t="str">
        <f>IF(LEN(SnapshotTable[[#This Row],[SC Symbol]])&gt;0, 1, "")</f>
        <v/>
      </c>
      <c r="GT133" s="159" t="str">
        <f>IF(COUNT(SnapshotTable[[#This Row],[LP Symbol Count]],SnapshotTable[[#This Row],[SP Symbol Count]],SnapshotTable[[#This Row],[LC Symbol Count]],SnapshotTable[[#This Row],[SC Symbol Count]])&gt;0, "Y", "")</f>
        <v/>
      </c>
      <c r="GU1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3" s="216">
        <f>MAX(SnapshotTable[[#This Row],[Equity Basis Total]],SnapshotTable[[#This Row],[Equity Value]]) + (SnapshotTable[[#This Row],[SP Potential Spend]]- SnapshotTable[[#This Row],[SP Premium]] + SnapshotTable[[#This Row],[LP Premium]])+ (SnapshotTable[[#This Row],[LC Premium]] - SnapshotTable[[#This Row],[SC Premium]])</f>
        <v>0</v>
      </c>
      <c r="GW133" s="137" t="str">
        <f>IF(AND(SnapshotTable[[#This Row],[Exposure]] &lt;&gt; 0),SnapshotTable[[#This Row],[Exposure]] / SnapshotTable[[#Totals],[Exposure]], "")</f>
        <v/>
      </c>
      <c r="HE133" s="253"/>
      <c r="HF133" s="253"/>
      <c r="HK133" s="1"/>
      <c r="HL133" s="1"/>
      <c r="HM133" s="1"/>
      <c r="HN133" s="1"/>
      <c r="HO133" s="1"/>
      <c r="HP133" s="1"/>
    </row>
    <row r="134" spans="2:224" ht="12.75" hidden="1" customHeight="1" x14ac:dyDescent="0.25">
      <c r="B134" s="12" t="s">
        <v>415</v>
      </c>
      <c r="C134" s="385">
        <v>31.25</v>
      </c>
      <c r="D134" s="200" t="s">
        <v>467</v>
      </c>
      <c r="E134" s="39">
        <f>SnapshotTable[[#This Row],[Last Price]]*(1 -CrashDiscount)</f>
        <v>26.5625</v>
      </c>
      <c r="F134" s="26" t="s">
        <v>126</v>
      </c>
      <c r="G134" s="26" t="s">
        <v>24</v>
      </c>
      <c r="H134" s="147"/>
      <c r="I134" s="186">
        <v>44763.25</v>
      </c>
      <c r="J134" s="187">
        <v>44763.25</v>
      </c>
      <c r="K134" s="188"/>
      <c r="L134" s="297"/>
      <c r="M134" s="138"/>
      <c r="N134" s="138"/>
      <c r="O134" s="138"/>
      <c r="P134" s="22"/>
      <c r="Q134" s="25"/>
      <c r="R134" s="4" t="str">
        <f>IF(SnapshotTable[[#This Row],[Equity Basis Total]] &gt; 0, SnapshotTable[[#This Row],[Equity Basis Total]] / SnapshotTable[[#This Row],[Equity Shares]], "")</f>
        <v/>
      </c>
      <c r="S134" s="254">
        <f>SnapshotTable[[#This Row],[Last Price]] * SnapshotTable[[#This Row],[Equity Shares]]</f>
        <v>0</v>
      </c>
      <c r="T134" s="254">
        <f>SnapshotTable[[#This Row],[Equity Value]] - SnapshotTable[[#This Row],[Equity Basis Total]]</f>
        <v>0</v>
      </c>
      <c r="U134" s="255" t="str">
        <f>IF(SnapshotTable[[#This Row],[Equity Basis Total]] &gt; 0, SnapshotTable[[#This Row],[Equity G/L]] / SnapshotTable[[#This Row],[Equity Basis Total]], "")</f>
        <v/>
      </c>
      <c r="V134" s="253"/>
      <c r="W134" s="253"/>
      <c r="X134" s="4" t="str">
        <f>IF(AND(ISNUMBER(SnapshotTable[[#This Row],[Equity Basis Per Share]]),ISNUMBER(SnapshotTable[[#This Row],[Equity Target]])),SnapshotTable[[#This Row],[Equity Target]]-SnapshotTable[[#This Row],[Equity Basis Per Share]],"")</f>
        <v/>
      </c>
      <c r="Y134" s="4" t="str">
        <f>IF(AND(ISNUMBER(SnapshotTable[[#This Row],[Equity Basis Per Share]]),ISNUMBER(SnapshotTable[[#This Row],[Equity Stop Loss]])),SnapshotTable[[#This Row],[Equity Stop Loss]]-SnapshotTable[[#This Row],[Equity Basis Per Share]],"")</f>
        <v/>
      </c>
      <c r="Z134" s="260" t="str">
        <f>IFERROR( TEXT(SnapshotTable[[#This Row],[Equity Max Gain Per Share]] /ABS( SnapshotTable[[#This Row],[Equity Max Loss Per Share]]),"0.0 " ) &amp; " : 1", "")</f>
        <v/>
      </c>
      <c r="AA134" s="31" t="str">
        <f>IF(ISNUMBER(SnapshotTable[[#This Row],[Equity Max Gain Per Share]]),SnapshotTable[[#This Row],[Equity Max Gain Per Share]] * SnapshotTable[[#This Row],[Equity Shares]],"")</f>
        <v/>
      </c>
      <c r="AB134" s="31" t="str">
        <f>IF(ISNUMBER(SnapshotTable[[#This Row],[Equity Max Loss Per Share]]),SnapshotTable[[#This Row],[Equity Max Loss Per Share]] * SnapshotTable[[#This Row],[Equity Shares]],"")</f>
        <v/>
      </c>
      <c r="AC134" s="148">
        <v>2.8</v>
      </c>
      <c r="AD134" s="149">
        <v>43630</v>
      </c>
      <c r="AE134" s="31">
        <f>(SnapshotTable[[#This Row],[Annual Dividend Per Share]] / 4) * SnapshotTable[[#This Row],[Equity Shares]]</f>
        <v>0</v>
      </c>
      <c r="AF134" s="31">
        <f>SnapshotTable[[#This Row],[Quarterly Div $]] * 4</f>
        <v>0</v>
      </c>
      <c r="AG134" s="7">
        <f>IF(SnapshotTable[[#This Row],[Annual Dividend Per Share]]&gt;0, SnapshotTable[[#This Row],[Annual Dividend Per Share]]  / SnapshotTable[[#This Row],[Last Price]], 0)</f>
        <v>8.9599999999999999E-2</v>
      </c>
      <c r="AH134" s="149">
        <v>43707</v>
      </c>
      <c r="AI134" s="5">
        <v>62</v>
      </c>
      <c r="AJ134" s="136">
        <v>56.95</v>
      </c>
      <c r="AK134" s="150">
        <f>IF(ISNUMBER( SnapshotTable[[#This Row],[EBF Target]]),(SnapshotTable[[#This Row],[EBF Target]] - SnapshotTable[[#This Row],[Last Price]]) / SnapshotTable[[#This Row],[Last Price]], "")</f>
        <v>0.98399999999999999</v>
      </c>
      <c r="AL134" s="150" t="str">
        <f>IF(AND(SnapshotTable[[#This Row],[Equity Basis Total]] &gt; 0,ISNUMBER( SnapshotTable[[#This Row],[Long Term Target]])), SnapshotTable[[#This Row],[From Basis $]] / SnapshotTable[[#This Row],[Equity Basis Total]], "")</f>
        <v/>
      </c>
      <c r="AM134" s="9">
        <f>IF( AND(SnapshotTable[[#This Row],[Equity Shares]] &gt;0,ISNUMBER( SnapshotTable[[#This Row],[Long Term Target]])),(SnapshotTable[[#This Row],[Equity Shares]] * SnapshotTable[[#This Row],[Long Term Target]]) - SnapshotTable[[#This Row],[Equity Basis Total]],0)</f>
        <v>0</v>
      </c>
      <c r="AN134" s="9">
        <f>IF( AND(SnapshotTable[[#This Row],[Equity Shares]] &gt;0,ISNUMBER( SnapshotTable[[#This Row],[Long Term Target]])),(SnapshotTable[[#This Row],[Equity Shares]]*SnapshotTable[[#This Row],[Long Term Target]]) - SnapshotTable[[#This Row],[Equity Value]],0)</f>
        <v>0</v>
      </c>
      <c r="AO134" s="150">
        <f>IF(AND(ISNUMBER( SnapshotTable[[#This Row],[Long Term Target]]), ISNUMBER(SnapshotTable[[#This Row],[Last Price]])),(SnapshotTable[[#This Row],[Long Term Target]] - SnapshotTable[[#This Row],[Last Price]]) / SnapshotTable[[#This Row],[Last Price]], "")</f>
        <v>0.82240000000000013</v>
      </c>
      <c r="AP134" s="5"/>
      <c r="AQ134" s="38"/>
      <c r="AR134" s="5"/>
      <c r="AS134" s="38"/>
      <c r="AT134" s="144"/>
      <c r="AU134" s="185" t="str">
        <f>IF(OR(SnapshotTable[[#This Row],[LP No Fill]]="Y",SnapshotTable[[#This Row],[SP Is Filled]],SnapshotTable[[#This Row],[LC Not Filled]]="Y",SnapshotTable[[#This Row],[SC Is Filled]]),"Y","")</f>
        <v/>
      </c>
      <c r="AV134" s="205"/>
      <c r="AW134" s="211">
        <v>1.9079999999999999</v>
      </c>
      <c r="AX134" s="206">
        <v>44302</v>
      </c>
      <c r="AY134" s="205">
        <f>IF(SnapshotTable[[#This Row],[Implied Move]]&gt;0, SnapshotTable[[#This Row],[Last Price]]-SnapshotTable[[#This Row],[Implied Move]],"")</f>
        <v>29.341999999999999</v>
      </c>
      <c r="AZ134" s="205">
        <f>IF(SnapshotTable[[#This Row],[Implied Move]]&gt;0, SnapshotTable[[#This Row],[Last Price]] + SnapshotTable[[#This Row],[Implied Move]],"")</f>
        <v>33.158000000000001</v>
      </c>
      <c r="BA134" s="302">
        <v>59.69</v>
      </c>
      <c r="BB134" s="318"/>
      <c r="BC1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4" s="321"/>
      <c r="BE134" s="5"/>
      <c r="BF134" s="14"/>
      <c r="BG134" s="13"/>
      <c r="BH134" s="13"/>
      <c r="BI134" s="5"/>
      <c r="BJ134" s="134">
        <f>IF(SnapshotTable[[#This Row],[LP Qty]] &gt; 0, SnapshotTable[[#This Row],[LP Qty]] * SnapshotTable[[#This Row],[LP Book Price]] * 100,0)</f>
        <v>0</v>
      </c>
      <c r="BK134" s="134">
        <f>IF(SnapshotTable[[#This Row],[LP Premium]] &gt; 0, SnapshotTable[[#This Row],[LP Qty]] * SnapshotTable[[#This Row],[LP Strike Price]] * 100,0)</f>
        <v>0</v>
      </c>
      <c r="BL134" s="152"/>
      <c r="BM134" s="355" t="str">
        <f>IF(SnapshotTable[[#This Row],[LP Premium]] &gt; 0,SnapshotTable[[#This Row],[LP Exp Date]]-MAX(SnapshotTable[[#This Row],[LP Book Date]], SnapshotTable[[#This Row],[LP Fill Date]]),"")</f>
        <v/>
      </c>
      <c r="BN134" s="355" t="str">
        <f>IF(ISNUMBER( SnapshotTable[[#This Row],[LP Term]]), SnapshotTable[[#This Row],[LP Exp Date]] - MockToday,"")</f>
        <v/>
      </c>
      <c r="BO134" s="161" t="str">
        <f>IF(AND(SnapshotTable[[#This Row],[LP Exp Date]]&gt;0, SnapshotTable[[#This Row],[LP Strike Price]]&gt;0,SnapshotTable[[#This Row],[LP Qty]]&gt;0,SnapshotTable[[#This Row],[LP Book Date]]&gt;0,SnapshotTable[[#This Row],[LP Book Price]]&gt;0,SnapshotTable[[#This Row],[LP Fill Date]]=0),"Y","")</f>
        <v/>
      </c>
      <c r="BP134" s="31" t="str">
        <f>IF(AND(SnapshotTable[[#This Row],[LP No Fill]]&lt;&gt;"Y",SnapshotTable[[#This Row],[LP Contract Value]]&gt;0, SnapshotTable[[#This Row],[LP Qty]]&gt;0), SnapshotTable[[#This Row],[LP Contract Value]]*SnapshotTable[[#This Row],[LP Qty]]*100,"")</f>
        <v/>
      </c>
      <c r="BQ134" s="13"/>
      <c r="BR134" s="5"/>
      <c r="BS134" s="36"/>
      <c r="BT134" s="145"/>
      <c r="BU134" s="13"/>
      <c r="BV134" s="5"/>
      <c r="BW134" s="382" t="b">
        <f>AND(ISNUMBER(SnapshotTable[[#This Row],[SP Exp Date]]), ISNUMBER(SnapshotTable[[#This Row],[SP Strike Price]]), ISNUMBER(SnapshotTable[[#This Row],[SP Qty]]), ISNUMBER(SnapshotTable[[#This Row],[SP Book Date]]), ISNUMBER(SnapshotTable[[#This Row],[SP Book Price]]))</f>
        <v>0</v>
      </c>
      <c r="BX134" s="382" t="b">
        <f>AND(SnapshotTable[[#This Row],[SP Is Booked]], NOT(ISBLANK(SnapshotTable[[#This Row],[SP Fill Date]])))</f>
        <v>0</v>
      </c>
      <c r="BY134" s="33">
        <f>IF(SnapshotTable[[#This Row],[SP Is Booked]], SnapshotTable[[#This Row],[SP Qty]] * SnapshotTable[[#This Row],[SP Book Price]] * 100, 0)</f>
        <v>0</v>
      </c>
      <c r="BZ134" s="339"/>
      <c r="CA134" s="338">
        <f>SnapshotTable[[#This Row],[LP Qty]]</f>
        <v>0</v>
      </c>
      <c r="CB134" s="4" t="str">
        <f>IF(SnapshotTable[[#This Row],[SP Is Booked]], SnapshotTable[[#This Row],[SP Strike Price]] - SnapshotTable[[#This Row],[SP Book Price]], "")</f>
        <v/>
      </c>
      <c r="CC134" s="19" t="str">
        <f>IF(SnapshotTable[[#This Row],[SP Is Booked]],SnapshotTable[[#This Row],[SP Exp Date]]-MAX(SnapshotTable[[#This Row],[SP Book Date]], SnapshotTable[[#This Row],[SP Fill Date]]),"")</f>
        <v/>
      </c>
      <c r="CD134" s="7" t="str">
        <f>IF(SnapshotTable[[#This Row],[SP Is Booked]], SnapshotTable[[#This Row],[SP Book Price]]/SnapshotTable[[#This Row],[SP Strike Price]], "")</f>
        <v/>
      </c>
      <c r="CE134" s="7" t="str">
        <f>IF(ISNUMBER(SnapshotTable[[#This Row],[SP ROO Term]]),SnapshotTable[[#This Row],[SP ROO Term]]*(365/SnapshotTable[[#This Row],[SP Term]]),"")</f>
        <v/>
      </c>
      <c r="CF134" s="221">
        <f>SnapshotTable[[#This Row],[LP Strike Price]] * SnapshotTable[[#This Row],[LP Qty]] * 100</f>
        <v>0</v>
      </c>
      <c r="CG134" s="31">
        <f>IF(ISNUMBER(SnapshotTable[[#This Row],[SP Premium]]), (SnapshotTable[[#This Row],[SP Qty]] * SnapshotTable[[#This Row],[SP Strike Price]]* 100) - SnapshotTable[[#This Row],[LP Protection]], 0)</f>
        <v>0</v>
      </c>
      <c r="CH134" s="7" t="str">
        <f>IF(ISNUMBER(SnapshotTable[[#This Row],[SP Break Even]]),-1 * (SnapshotTable[[#This Row],[SP Break Even]] - SnapshotTable[[#This Row],[Last Price]]) / SnapshotTable[[#This Row],[Last Price]], "")</f>
        <v/>
      </c>
      <c r="CI134" s="31">
        <f>IF(AND(ISNUMBER((SnapshotTable[[#This Row],[SP Potential Spend]])), SnapshotTable[[#This Row],[SP Strike Price]] &gt; SnapshotTable[[#This Row],[Last Price]], SnapshotTable[[#This Row],[SP Is Filled]]), SnapshotTable[[#This Row],[SP Potential Spend]] -  SnapshotTable[[#This Row],[LP Max Value]], 0)</f>
        <v>0</v>
      </c>
      <c r="CJ134" s="229"/>
      <c r="CK134" s="31">
        <f>IF(ISNUMBER(SnapshotTable[[#This Row],[SP Potential Spend]]),IF(ISNUMBER(SnapshotTable[[#This Row],[SP POW]]), SnapshotTable[[#This Row],[SP POW]] * SnapshotTable[[#This Row],[SP Potential Spend]], SnapshotTable[[#This Row],[SP Potential Spend]]), "")</f>
        <v>0</v>
      </c>
      <c r="CL134" s="162">
        <f>IF(NOT(SnapshotTable[[#This Row],[SP Is Filled]]),(SnapshotTable[[#This Row],[SP Qty]] * SnapshotTable[[#This Row],[SP Strike Price]] * 100) - SnapshotTable[[#This Row],[LP Max Value]],"")</f>
        <v>0</v>
      </c>
      <c r="CM134" s="31" t="str">
        <f>IF(SnapshotTable[[#This Row],[SP Actual Spend]]&lt;&gt;0, ((SnapshotTable[[#This Row],[SP Strike Price]]-SnapshotTable[[#This Row],[Last Price]]) *(SnapshotTable[[#This Row],[SP Qty]]*100) - SnapshotTable[[#This Row],[SP Premium]]) * - 1, "")</f>
        <v/>
      </c>
      <c r="CN134" s="76"/>
      <c r="CO134" s="339"/>
      <c r="CP134" s="4" t="str">
        <f>IF(SnapshotTable[[#This Row],[SP Is Filled]], btc_max_buyback_amount(SnapshotTable[[#This Row],[SP Fill Date]],SnapshotTable[[#This Row],[SP Exp Date]], SnapshotTable[[#This Row],[SP Book Price]]),"")</f>
        <v/>
      </c>
      <c r="CQ134" s="76"/>
      <c r="CR1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4" s="153" t="str">
        <f>IF(SnapshotTable[[#This Row],[SP Is Filled]], btc_next_cutoff_date(SnapshotTable[[#This Row],[SP Fill Date]],SnapshotTable[[#This Row],[SP Exp Date]]),"")</f>
        <v/>
      </c>
      <c r="CT134" s="220" t="str" cm="1">
        <f t="array" ref="CT134">IF(SnapshotTable[[#This Row],[SP Is Filled]], btc_should_buy_back(SnapshotTable[[#This Row],[SP Fill Date]], SnapshotTable[[#This Row],[SP Exp Date]], SnapshotTable[[#This Row],[SP Book Price]], SnapshotTable[[#This Row],[SP Current Ask]], MockToday, SnapshotTable[[#This Row],[SP Buyback Override]]),"")</f>
        <v/>
      </c>
      <c r="CU134" s="141"/>
      <c r="CV134" s="220"/>
      <c r="CW134" s="348" t="str">
        <f>IF(ISNUMBER( SnapshotTable[[#This Row],[SP Term]]), SnapshotTable[[#This Row],[SP Exp Date]] - MockToday,"")</f>
        <v/>
      </c>
      <c r="CX134" s="31" t="str">
        <f>IF(SnapshotTable[[#This Row],[SP Is Filled]],SnapshotTable[[#This Row],[SP Buyback Price to Use]] * 100 * SnapshotTable[[#This Row],[SP Qty]], "")</f>
        <v/>
      </c>
      <c r="CY134" s="4" t="str">
        <f>IF(ISNUMBER(SnapshotTable[[#This Row],[SP Strike Price]]), SnapshotTable[[#This Row],[SP Strike Price]] * (1 - SP_MaxLoss_StrikePct), "")</f>
        <v/>
      </c>
      <c r="CZ134" s="31" t="str">
        <f>IF(ISNUMBER(SnapshotTable[[#This Row],[SP Strike  Stop Per Share]]),SnapshotTable[[#This Row],[SP Premium]] - ((SnapshotTable[[#This Row],[SP Strike Price]]-SnapshotTable[[#This Row],[SP Strike  Stop Per Share]]) *(SnapshotTable[[#This Row],[SP Qty]] * 100)),"")</f>
        <v/>
      </c>
      <c r="DA134" s="4" t="str">
        <f>IF(AND(ISNUMBER(SnapshotTable[[#This Row],[SP Premium]]),SnapshotTable[[#This Row],[SP Premium]]&gt;0), SnapshotTable[[#This Row],[SP Book Price]] * (1 + SP_MaxLoss_OptionPct), "")</f>
        <v/>
      </c>
      <c r="DB134" s="31" t="str">
        <f>IF(ISNUMBER(SnapshotTable[[#This Row],[SP Option  Stop Contract]]),(SnapshotTable[[#This Row],[SP Option  Stop Contract]] *(SnapshotTable[[#This Row],[SP Qty]] * 100) - SnapshotTable[[#This Row],[SP Premium]]),"")</f>
        <v/>
      </c>
      <c r="DC134" s="4"/>
      <c r="DD134" s="4"/>
      <c r="DE134" s="4" t="str">
        <f>IF(AND(SnapshotTable[[#This Row],[SP Qty]]&gt;0, SnapshotTable[[#This Row],[SP Stop To Use]]&gt;0),SnapshotTable[[#This Row],[SP Premium]] - ( SnapshotTable[[#This Row],[SP Qty]] * SnapshotTable[[#This Row],[SP Stop To Use]] * 100), "")</f>
        <v/>
      </c>
      <c r="DF134" s="31" t="str">
        <f>IF(AND(SnapshotTable[[#This Row],[SP Qty]]&gt;0,SnapshotTable[[#This Row],[SP Current Ask]]&gt;0), SnapshotTable[[#This Row],[SP Qty]] * SnapshotTable[[#This Row],[SP Current Ask]] * -100, "")</f>
        <v/>
      </c>
      <c r="DG134" s="31" t="str">
        <f>IF(ISNUMBER((SnapshotTable[[#This Row],[SP Total Value]])), SnapshotTable[[#This Row],[SP Premium]] + SnapshotTable[[#This Row],[SP Total Value]], "")</f>
        <v/>
      </c>
      <c r="DH134" s="272" t="str">
        <f>IF(ISNUMBER((SnapshotTable[[#This Row],[SP Total Value]])), SnapshotTable[[#This Row],[SP Gain Loss]] / SnapshotTable[[#This Row],[SP Premium]], "")</f>
        <v/>
      </c>
      <c r="DI134" s="369"/>
      <c r="DJ134" s="136"/>
      <c r="DK134" s="146"/>
      <c r="DL134" s="13"/>
      <c r="DM134" s="13"/>
      <c r="DO134" s="31">
        <f>IF(SnapshotTable[[#This Row],[LC Symbol Count]]=1, SnapshotTable[[#This Row],[LC Qty]] * SnapshotTable[[#This Row],[LC Book Price]] * 100, 0)</f>
        <v>0</v>
      </c>
      <c r="DP134" s="161" t="str">
        <f>IF(AND(SnapshotTable[[#This Row],[LC Exp Date]]&gt;0, SnapshotTable[[#This Row],[LC Strike Price]]&gt;0,SnapshotTable[[#This Row],[LC Qty]]&gt;0,SnapshotTable[[#This Row],[LC Book Date]]&gt;0,SnapshotTable[[#This Row],[LC Book Price]]&gt;0,SnapshotTable[[#This Row],[LC Fill Date]]=0),"Y","")</f>
        <v/>
      </c>
      <c r="DQ134" s="356" t="str">
        <f>IF(SnapshotTable[[#This Row],[LC Premium]] &gt; 0,SnapshotTable[[#This Row],[LC Exp Date]]-MAX(SnapshotTable[[#This Row],[LC Book Date]], SnapshotTable[[#This Row],[LC Fill Date]]),"")</f>
        <v/>
      </c>
      <c r="DR134" s="356" t="str">
        <f>IF(ISNUMBER(SnapshotTable[[#This Row],[LC Term]]), SnapshotTable[[#This Row],[LC Exp Date]] - MockToday, "")</f>
        <v/>
      </c>
      <c r="DS134" s="219" t="str">
        <f>IF(SnapshotTable[[#This Row],[LC Premium]]&gt;0,SnapshotTable[[#This Row],[LC Strike Price]] + SnapshotTable[[#This Row],[LC Book Price]],"")</f>
        <v/>
      </c>
      <c r="DU134" s="9" t="str">
        <f>IF(AND(SnapshotTable[[#This Row],[LC Symbol Count]]&gt;0, SnapshotTable[[#This Row],[LC Contract Value]]&gt;0), SnapshotTable[[#This Row],[LC Contract Value]] * SnapshotTable[[#This Row],[LC Qty]] * 100, "")</f>
        <v/>
      </c>
      <c r="DV134" s="9" t="str">
        <f>IF(AND(ISNUMBER(SnapshotTable[[#This Row],[LC Total Value]]), SnapshotTable[[#This Row],[LC Not Filled]]&lt;&gt;"Y"), SnapshotTable[[#This Row],[LC Total Value]]-SnapshotTable[[#This Row],[LC Premium]],"")</f>
        <v/>
      </c>
      <c r="DW134" s="225" t="str">
        <f>IF(ISNUMBER(SnapshotTable[[#This Row],[LC Actual Gain Loss]]), SnapshotTable[[#This Row],[LC Actual Gain Loss]] / SnapshotTable[[#This Row],[LC Premium]],"")</f>
        <v/>
      </c>
      <c r="DX134" s="269" t="str">
        <f>IF(ISNUMBER(SnapshotTable[[#This Row],[LC Book Price]]),SnapshotTable[[#This Row],[LC Book Price]] * 1.5,"")</f>
        <v/>
      </c>
      <c r="DY134" s="250" t="str">
        <f>IF(SnapshotTable[[#This Row],[LC Premium]]&gt;0, SnapshotTable[[#This Row],[LC Next Target]] * SnapshotTable[[#This Row],[LC Qty]] * 100,"")</f>
        <v/>
      </c>
      <c r="DZ134" s="250" t="str">
        <f>IF(ISNUMBER(SnapshotTable[[#This Row],[LC Target Gross]]), SnapshotTable[[#This Row],[LC Target Gross]] - SnapshotTable[[#This Row],[LC Premium]], "")</f>
        <v/>
      </c>
      <c r="EA134" s="283" t="str">
        <f>IF(ISNUMBER(SnapshotTable[[#This Row],[LC Target Gain Loss]]), SnapshotTable[[#This Row],[LC Target Gain Loss]]/SnapshotTable[[#This Row],[LC Premium]], "")</f>
        <v/>
      </c>
      <c r="EB134" s="247"/>
      <c r="EC134" s="268" t="str">
        <f>IF(SnapshotTable[[#This Row],[LC Premium]]&gt;0, SnapshotTable[[#This Row],[LC Book Price]] * (1 - LC_StopLoss_Pct),"")</f>
        <v/>
      </c>
      <c r="ED134" s="269"/>
      <c r="EE134" s="268" t="str">
        <f>IF(ISNUMBER(SnapshotTable[[#This Row],[LC Contract Value]]),IF(ISNUMBER(SnapshotTable[[#This Row],[LC Stop Loss Override]]), SnapshotTable[[#This Row],[LC Stop Loss Override]],SnapshotTable[[#This Row],[LC Stop Loss Calc Target]]),"")</f>
        <v/>
      </c>
      <c r="EF134" s="31" t="str">
        <f>IF(ISNUMBER(SnapshotTable[[#This Row],[LC Stop  To Use]]), (SnapshotTable[[#This Row],[LC Stop  To Use]] * SnapshotTable[[#This Row],[LC Qty]] * 100),"")</f>
        <v/>
      </c>
      <c r="EG134" s="9" t="str">
        <f>IF(ISNUMBER(SnapshotTable[[#This Row],[LC Total Value]]),SnapshotTable[[#This Row],[LC Stop Loss Amount]] - SnapshotTable[[#This Row],[LC Premium]],"")</f>
        <v/>
      </c>
      <c r="EH134" s="9">
        <f>IF(ISNUMBER(SnapshotTable[[#This Row],[LC Premium]]), SnapshotTable[[#This Row],[LC Qty]] * 100 * SnapshotTable[[#This Row],[LC Strike Price]], "")</f>
        <v>0</v>
      </c>
      <c r="EI134" s="225" t="str">
        <f>IF(AND(ISNUMBER(SnapshotTable[[#This Row],[LC Total Value]]),SnapshotTable[[#This Row],[LC Total Value]]&gt;0),SnapshotTable[[#This Row],[LC Stop Gain Loss]]  / SnapshotTable[[#This Row],[LC Premium]],"")</f>
        <v/>
      </c>
      <c r="EJ134" s="35">
        <f>IF(ISNUMBER(SnapshotTable[[#This Row],[Equity Shares]]),TRUNC(SnapshotTable[[#This Row],[Equity Shares]] / 100),0) + SnapshotTable[[#This Row],[LC Qty]]</f>
        <v>0</v>
      </c>
      <c r="EK134" s="145"/>
      <c r="EL134" s="136"/>
      <c r="EM134" s="146"/>
      <c r="EN134" s="145"/>
      <c r="EO134" s="145"/>
      <c r="EP134" s="136"/>
      <c r="EQ134" s="382" t="b">
        <f>AND(ISNUMBER(SnapshotTable[[#This Row],[SC Exp Date]]), ISNUMBER(SnapshotTable[[#This Row],[SC Strike Price]]), ISNUMBER(SnapshotTable[[#This Row],[SC Qty]]), ISNUMBER(SnapshotTable[[#This Row],[SC Book Date]]), ISNUMBER(SnapshotTable[[#This Row],[SC Book Price]]))</f>
        <v>0</v>
      </c>
      <c r="ER134" s="382" t="b">
        <f>AND(SnapshotTable[[#This Row],[SC Is Booked]], NOT(ISBLANK(SnapshotTable[[#This Row],[SC Fill Date]])))</f>
        <v>0</v>
      </c>
      <c r="ES134" s="340"/>
      <c r="ET134" s="34" t="str">
        <f>IF(AND(ISNUMBER(SnapshotTable[[#This Row],[SC Exp Date]]), ISNUMBER(SnapshotTable[[#This Row],[SC Book Date]])), SnapshotTable[[#This Row],[SC Exp Date]] - MAX(SnapshotTable[[#This Row],[SC Book Date]], SnapshotTable[[#This Row],[SC Fill Date]]) + 1, "")</f>
        <v/>
      </c>
      <c r="EU134" s="34" t="str">
        <f>IF(ISNUMBER(SnapshotTable[[#This Row],[SC Term]]), SnapshotTable[[#This Row],[SC Exp Date]]- MockToday, "")</f>
        <v/>
      </c>
      <c r="EV134" s="31">
        <f>IF(SnapshotTable[[#This Row],[SC Is Booked]], SnapshotTable[[#This Row],[SC Qty]] * SnapshotTable[[#This Row],[SC Book Price]] * 100, 0)</f>
        <v>0</v>
      </c>
      <c r="EW134" s="4" t="str">
        <f>IF(AND(ISNUMBER(SnapshotTable[[#This Row],[Last Price]]), ISNUMBER( SnapshotTable[[#This Row],[SC Book Price]])), SnapshotTable[[#This Row],[Last Price]] - SnapshotTable[[#This Row],[SC Book Price]],"")</f>
        <v/>
      </c>
      <c r="EX134" s="219" t="str">
        <f>IF(SnapshotTable[[#This Row],[SC Is Booked]],IF(SnapshotTable[[#This Row],[SC Intrinsic Value]] &gt; 0, SnapshotTable[[#This Row],[SC Strike Price]], SnapshotTable[[#This Row],[Last Price]]), "")</f>
        <v/>
      </c>
      <c r="EY134" s="4">
        <f>IF(SnapshotTable[[#This Row],[SC Is Booked]], (MinimumPremiumRequired * SnapshotTable[[#This Row],[SC Basis]] * SnapshotTable[[#This Row],[SC Term]]), 0)</f>
        <v>0</v>
      </c>
      <c r="EZ134" s="268"/>
      <c r="FA134" s="204"/>
      <c r="FB134" s="340"/>
      <c r="FC134" s="4">
        <f>IF(SnapshotTable[[#This Row],[SC Is Filled]], btc_max_buyback_amount(SnapshotTable[[#This Row],[SC Fill Date]],SnapshotTable[[#This Row],[SC Exp Date]], SnapshotTable[[#This Row],[SC Book Price]]),0)</f>
        <v>0</v>
      </c>
      <c r="FD134" s="5"/>
      <c r="FE134" s="142" t="str">
        <f>IF(SnapshotTable[[#This Row],[SC Is Filled]], btc_next_cutoff_date(SnapshotTable[[#This Row],[SC Fill Date]],SnapshotTable[[#This Row],[SC Exp Date]]),"")</f>
        <v/>
      </c>
      <c r="FF134" s="4" t="str" cm="1">
        <f t="array" ref="FF134">IF(SnapshotTable[[#This Row],[SC Is Filled]], btc_should_buy_back(SnapshotTable[[#This Row],[SC Fill Date]], SnapshotTable[[#This Row],[SC Exp Date]], SnapshotTable[[#This Row],[SC Book Price]], SnapshotTable[[#This Row],[SC Current Ask]], MockToday, SnapshotTable[[#This Row],[SC Buyback Override]]),"")</f>
        <v/>
      </c>
      <c r="FG134" s="4">
        <f>IF(SnapshotTable[[#This Row],[SC Is Filled]], MAX(0,SnapshotTable[[#This Row],[Last Price]]  - SnapshotTable[[#This Row],[SC Strike Price]]), 0)</f>
        <v>0</v>
      </c>
      <c r="FH134" s="352">
        <f>IF(SnapshotTable[[#This Row],[SC Is Filled]], IF(ISNUMBER(SnapshotTable[[#This Row],[SC Current Ask]]), SnapshotTable[[#This Row],[SC Current Ask]], SnapshotTable[[#This Row],[SC Book Price]]) - SnapshotTable[[#This Row],[SC Intrinsic Value]], 0)</f>
        <v>0</v>
      </c>
      <c r="FI134" s="141"/>
      <c r="FJ134" s="32" t="str">
        <f>IF(SnapshotTable[[#This Row],[SC Is Filled]],100 * SnapshotTable[[#This Row],[SC Qty]] * IF(ISNUMBER(SnapshotTable[[#This Row],[SC Buyback Override]]), SnapshotTable[[#This Row],[SC Buyback Override]], SnapshotTable[[#This Row],[SC Current Ask]]), "")</f>
        <v/>
      </c>
      <c r="FK134" s="235" t="str">
        <f>IF(SnapshotTable[[#This Row],[SC Time Val]]&gt;0, SnapshotTable[[#This Row],[SC Time Val]] / SnapshotTable[[#This Row],[Last Price]],"")</f>
        <v/>
      </c>
      <c r="FL134" s="280" t="str">
        <f>IF(SnapshotTable[[#This Row],[SC Is Booked]], ((SnapshotTable[[#This Row],[Last Price]] -SnapshotTable[[#This Row],[SC Strike Price]]) / SnapshotTable[[#This Row],[Last Price]]) * -1, "")</f>
        <v/>
      </c>
      <c r="FM134" s="155" t="str">
        <f>IF(SnapshotTable[[#This Row],[SC Is Booked]],  (SnapshotTable[[#This Row],[SC Qty]] * 100 * SnapshotTable[[#This Row],[SC Strike Price]]) - SnapshotTable[[#This Row],[SC Current Ask]], "")</f>
        <v/>
      </c>
      <c r="FN1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4" s="31" t="str">
        <f>IF(AND(ISNUMBER(SnapshotTable[[#This Row],[SC Exercise Gross]]), ISNUMBER(SnapshotTable[[#This Row],[Equity Basis Per Share]] )), SnapshotTable[[#This Row],[SC Exercise Gross]] - SnapshotTable[[#This Row],[Equity Basis Total]] +  SnapshotTable[[#This Row],[SC Premium]], "")</f>
        <v/>
      </c>
      <c r="FP134" s="5" t="str">
        <f>IF(ISNUMBER(SnapshotTable[[#This Row],[SC Exercise Gross]]), (SnapshotTable[[#This Row],[SC Exercise Gross]]) / (SnapshotTable[[#This Row],[SC Qty]] * 100), "")</f>
        <v/>
      </c>
      <c r="FQ134" s="27" t="str">
        <f>IF(SnapshotTable[[#This Row],[SC Is Booked]],SnapshotTable[[#This Row],[SC Time Val]] /SnapshotTable[[#This Row],[SC Basis]], "")</f>
        <v/>
      </c>
      <c r="FR134" s="27" t="str" cm="1">
        <f t="array" ref="FR134">IF(AND(ISNUMBER(SnapshotTable[[#This Row],[SC Term]]),ISNUMBER(SnapshotTable[[#This Row],[SC Simple ROO]])), EllmanAnnualize(SnapshotTable[[#This Row],[SC DTE]], SnapshotTable[[#This Row],[SC Simple ROO]] ),"")</f>
        <v/>
      </c>
      <c r="FS134" s="4">
        <f>IF(SnapshotTable[[#This Row],[SC Strike Price]] &gt; SnapshotTable[[#This Row],[Last Price]], SnapshotTable[[#This Row],[SC Strike Price]] - SnapshotTable[[#This Row],[Last Price]],0)</f>
        <v>0</v>
      </c>
      <c r="FT134" s="27" t="str">
        <f>IF(AND(ISNUMBER(SnapshotTable[[#This Row],[SC Upside Potential]]), SnapshotTable[[#This Row],[SC Upside Potential]] &gt; 0),(SnapshotTable[[#This Row],[SC Upside Potential]]/ SnapshotTable[[#This Row],[ACB]]),"")</f>
        <v/>
      </c>
      <c r="FU134" s="304" t="str">
        <f>IF(SnapshotTable[[#This Row],[SC Intrinsic Value]] &gt; 0,SnapshotTable[[#This Row],[SC Intrinsic Value]],"")</f>
        <v/>
      </c>
      <c r="FV134" s="27" t="str">
        <f>IF(AND( ISNUMBER( SnapshotTable[[#This Row],[ACB]]),ISNUMBER(SnapshotTable[[#This Row],[SC Downside Protect]])),SnapshotTable[[#This Row],[SC Downside Protect]] / SnapshotTable[[#This Row],[ACB]],"")</f>
        <v/>
      </c>
      <c r="FW134" s="221" t="str">
        <f>IF(AND(ISNUMBER(SnapshotTable[[#This Row],[SC Simple ROO]]),SnapshotTable[[#This Row],[SC Simple ROO]] &gt; 0), SnapshotTable[[#This Row],[SC Premium]] + (SnapshotTable[[#This Row],[SC Qty]] * SnapshotTable[[#This Row],[SC Upside Potential]]), "")</f>
        <v/>
      </c>
      <c r="FX134" s="280" t="str" cm="1">
        <f t="array" ref="FX134">IF(ISNUMBER(SnapshotTable[[#This Row],[SC Max Dollars]]), annualize(SnapshotTable[[#This Row],[SC Term]],(SnapshotTable[[#This Row],[SC Max Dollars]]/SnapshotTable[[#This Row],[SC Basis]])),"")</f>
        <v/>
      </c>
      <c r="FY134" s="221" t="str">
        <f>IF(AND(SnapshotTable[[#This Row],[SC Qty]]&gt;0,SnapshotTable[[#This Row],[SC Current Ask]]&gt;0), SnapshotTable[[#This Row],[SC Qty]] * SnapshotTable[[#This Row],[SC Current Ask]] * -100, "")</f>
        <v/>
      </c>
      <c r="FZ134" s="31" t="str">
        <f>IF(ISNUMBER((SnapshotTable[[#This Row],[SC Current Value]])), SnapshotTable[[#This Row],[SC Premium]] + SnapshotTable[[#This Row],[SC Current Value]], "")</f>
        <v/>
      </c>
      <c r="GA134" s="272" t="str">
        <f>IFERROR( IF(ISNUMBER((SnapshotTable[[#This Row],[SC Current Value]])), SnapshotTable[[#This Row],[SC Gain Loss]] / SnapshotTable[[#This Row],[SC Premium]], ""), "")</f>
        <v/>
      </c>
      <c r="GB134" s="42">
        <f>SnapshotTable[[#This Row],[Equity Shares]] * SaleSharesToConsiderPercentage</f>
        <v>0</v>
      </c>
      <c r="GC134" s="40">
        <f>SnapshotTable[[#This Row],[Long Term Target]] * SellingPriceToConsiderBasedOnTargetPercentage</f>
        <v>54.102499999999999</v>
      </c>
      <c r="GD134" s="40">
        <f>SnapshotTable[[#This Row],[Last Price]] * (1+ SellingPriceToConsiderBasedOnTargetPercentage)</f>
        <v>60.9375</v>
      </c>
      <c r="GE134" s="41"/>
      <c r="GF134" s="40"/>
      <c r="GG134" s="31">
        <f>SnapshotTable[[#This Row],[Booked Sale Shares]] * SnapshotTable[[#This Row],[Booked Sale Price]]</f>
        <v>0</v>
      </c>
      <c r="GH134" s="31" t="str">
        <f>IF(SnapshotTable[[#This Row],[Equity Basis Total]] &gt; 0, SnapshotTable[[#This Row],[Equity Basis Per Share]] * SnapshotTable[[#This Row],[Booked Sale Shares]], "")</f>
        <v/>
      </c>
      <c r="GI134" s="31">
        <f>IF(SnapshotTable[[#This Row],[Sale Proceeds]]&gt;0, SnapshotTable[[#This Row],[Sale Proceeds]] - SnapshotTable[[#This Row],[Sale Basis]], 0)</f>
        <v>0</v>
      </c>
      <c r="GJ134" s="27" t="str">
        <f>IF(SnapshotTable[[#This Row],[Sale G/L]]&gt;0, SnapshotTable[[#This Row],[Sale G/L]] / SnapshotTable[[#This Row],[Sale Basis]], IF(ISNUMBER(SnapshotTable[[#This Row],[SC Exercise P&amp;L (TAX)]]), SnapshotTable[[#This Row],[SC Exercise P&amp;L (TAX)]] / SnapshotTable[[#This Row],[SC Basis]], ""))</f>
        <v/>
      </c>
      <c r="GK134" s="27" t="s">
        <v>566</v>
      </c>
      <c r="GL134" s="43" t="str">
        <f>IF(AND(SnapshotTable[[#This Row],[LP Exp Date]]&gt;0,SnapshotTable[[#This Row],[LP Strike Price]]&gt;0), [1]!ToOptionSymbol(SnapshotTable[[#This Row],[Symbol]], SnapshotTable[[#This Row],[LP Strike Price]],SnapshotTable[[#This Row],[LP Exp Date]],1), "")</f>
        <v/>
      </c>
      <c r="GM134" s="30" t="str">
        <f>IF(LEN(SnapshotTable[[#This Row],[LP Symbol]])&gt;0, 1, "")</f>
        <v/>
      </c>
      <c r="GN134" s="43" t="str">
        <f>IF(AND(SnapshotTable[[#This Row],[SP Exp Date]]&gt;0,SnapshotTable[[#This Row],[SP Strike Price]]&gt;0), [1]!ToOptionSymbol(SnapshotTable[[#This Row],[Symbol]], SnapshotTable[[#This Row],[SP Strike Price]],SnapshotTable[[#This Row],[SP Exp Date]],1), "")</f>
        <v/>
      </c>
      <c r="GO134" s="30" t="str">
        <f>IF(LEN(SnapshotTable[[#This Row],[SP Symbol]])&gt;0, 1, "")</f>
        <v/>
      </c>
      <c r="GP134" s="43" t="str">
        <f>IF(AND(SnapshotTable[[#This Row],[LC Exp Date]]&gt;0,SnapshotTable[[#This Row],[LC Strike Price]]&gt;0), [1]!ToOptionSymbol(SnapshotTable[[#This Row],[Symbol]], SnapshotTable[[#This Row],[LC Strike Price]],SnapshotTable[[#This Row],[LC Exp Date]],0), "")</f>
        <v/>
      </c>
      <c r="GQ134" s="30" t="str">
        <f>IF(LEN(SnapshotTable[[#This Row],[LC Symbol]])&gt;0, 1, "")</f>
        <v/>
      </c>
      <c r="GR134" s="43" t="str">
        <f>IF(AND(SnapshotTable[[#This Row],[SC Exp Date]]&gt;0,SnapshotTable[[#This Row],[SC Strike Price]]&gt;0), [1]!ToOptionSymbol(SnapshotTable[[#This Row],[Symbol]], SnapshotTable[[#This Row],[SC Strike Price]],SnapshotTable[[#This Row],[SC Exp Date]],0), "")</f>
        <v/>
      </c>
      <c r="GS134" s="30" t="str">
        <f>IF(LEN(SnapshotTable[[#This Row],[SC Symbol]])&gt;0, 1, "")</f>
        <v/>
      </c>
      <c r="GT134" s="29" t="str">
        <f>IF(COUNT(SnapshotTable[[#This Row],[LP Symbol Count]],SnapshotTable[[#This Row],[SP Symbol Count]],SnapshotTable[[#This Row],[LC Symbol Count]],SnapshotTable[[#This Row],[SC Symbol Count]])&gt;0, "Y", "")</f>
        <v/>
      </c>
      <c r="GU1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4" s="216">
        <f>MAX(SnapshotTable[[#This Row],[Equity Basis Total]],SnapshotTable[[#This Row],[Equity Value]]) + (SnapshotTable[[#This Row],[SP Potential Spend]]- SnapshotTable[[#This Row],[SP Premium]] + SnapshotTable[[#This Row],[LP Premium]])+ (SnapshotTable[[#This Row],[LC Premium]] - SnapshotTable[[#This Row],[SC Premium]])</f>
        <v>0</v>
      </c>
      <c r="GW134" s="137" t="str">
        <f>IF(AND(SnapshotTable[[#This Row],[Exposure]] &lt;&gt; 0),SnapshotTable[[#This Row],[Exposure]] / SnapshotTable[[#Totals],[Exposure]], "")</f>
        <v/>
      </c>
      <c r="HE134" s="253"/>
      <c r="HF134" s="253"/>
      <c r="HK134" s="1"/>
      <c r="HL134" s="1"/>
      <c r="HM134" s="1"/>
      <c r="HN134" s="1"/>
      <c r="HO134" s="1"/>
      <c r="HP134" s="1"/>
    </row>
    <row r="135" spans="2:224" ht="12.75" hidden="1" customHeight="1" x14ac:dyDescent="0.25">
      <c r="B135" s="12" t="s">
        <v>44</v>
      </c>
      <c r="C135" s="385">
        <v>319.83</v>
      </c>
      <c r="D135" s="200"/>
      <c r="E135" s="39">
        <f>SnapshotTable[[#This Row],[Last Price]]*(1 -CrashDiscount)</f>
        <v>271.85550000000001</v>
      </c>
      <c r="F135" s="26" t="s">
        <v>42</v>
      </c>
      <c r="G135" s="26" t="s">
        <v>10</v>
      </c>
      <c r="H135" s="147"/>
      <c r="I135" s="186">
        <v>44770.3125</v>
      </c>
      <c r="J135" s="187">
        <v>44770.3125</v>
      </c>
      <c r="K135" s="188"/>
      <c r="L135" s="297"/>
      <c r="M135" s="138"/>
      <c r="N135" s="138"/>
      <c r="O135" s="138"/>
      <c r="P135" s="22"/>
      <c r="Q135" s="25"/>
      <c r="R135" s="4" t="str">
        <f>IF(SnapshotTable[[#This Row],[Equity Basis Total]] &gt; 0, SnapshotTable[[#This Row],[Equity Basis Total]] / SnapshotTable[[#This Row],[Equity Shares]], "")</f>
        <v/>
      </c>
      <c r="S135" s="254">
        <f>SnapshotTable[[#This Row],[Last Price]] * SnapshotTable[[#This Row],[Equity Shares]]</f>
        <v>0</v>
      </c>
      <c r="T135" s="254">
        <f>SnapshotTable[[#This Row],[Equity Value]] - SnapshotTable[[#This Row],[Equity Basis Total]]</f>
        <v>0</v>
      </c>
      <c r="U135" s="255" t="str">
        <f>IF(SnapshotTable[[#This Row],[Equity Basis Total]] &gt; 0, SnapshotTable[[#This Row],[Equity G/L]] / SnapshotTable[[#This Row],[Equity Basis Total]], "")</f>
        <v/>
      </c>
      <c r="V135" s="253"/>
      <c r="W135" s="253"/>
      <c r="X135" s="4" t="str">
        <f>IF(AND(ISNUMBER(SnapshotTable[[#This Row],[Equity Basis Per Share]]),ISNUMBER(SnapshotTable[[#This Row],[Equity Target]])),SnapshotTable[[#This Row],[Equity Target]]-SnapshotTable[[#This Row],[Equity Basis Per Share]],"")</f>
        <v/>
      </c>
      <c r="Y135" s="4" t="str">
        <f>IF(AND(ISNUMBER(SnapshotTable[[#This Row],[Equity Basis Per Share]]),ISNUMBER(SnapshotTable[[#This Row],[Equity Stop Loss]])),SnapshotTable[[#This Row],[Equity Stop Loss]]-SnapshotTable[[#This Row],[Equity Basis Per Share]],"")</f>
        <v/>
      </c>
      <c r="Z135" s="260" t="str">
        <f>IFERROR( TEXT(SnapshotTable[[#This Row],[Equity Max Gain Per Share]] /ABS( SnapshotTable[[#This Row],[Equity Max Loss Per Share]]),"0.0 " ) &amp; " : 1", "")</f>
        <v/>
      </c>
      <c r="AA135" s="31" t="str">
        <f>IF(ISNUMBER(SnapshotTable[[#This Row],[Equity Max Gain Per Share]]),SnapshotTable[[#This Row],[Equity Max Gain Per Share]] * SnapshotTable[[#This Row],[Equity Shares]],"")</f>
        <v/>
      </c>
      <c r="AB135" s="31" t="str">
        <f>IF(ISNUMBER(SnapshotTable[[#This Row],[Equity Max Loss Per Share]]),SnapshotTable[[#This Row],[Equity Max Loss Per Share]] * SnapshotTable[[#This Row],[Equity Shares]],"")</f>
        <v/>
      </c>
      <c r="AC135" s="148">
        <v>1.24</v>
      </c>
      <c r="AD135" s="149">
        <v>42368</v>
      </c>
      <c r="AE135" s="31">
        <f>(SnapshotTable[[#This Row],[Annual Dividend Per Share]] / 4) * SnapshotTable[[#This Row],[Equity Shares]]</f>
        <v>0</v>
      </c>
      <c r="AF135" s="31">
        <f>SnapshotTable[[#This Row],[Quarterly Div $]] * 4</f>
        <v>0</v>
      </c>
      <c r="AG135" s="7">
        <f>IF(SnapshotTable[[#This Row],[Annual Dividend Per Share]]&gt;0, SnapshotTable[[#This Row],[Annual Dividend Per Share]]  / SnapshotTable[[#This Row],[Last Price]], 0)</f>
        <v>3.8770596879592286E-3</v>
      </c>
      <c r="AH135" s="149">
        <v>42256</v>
      </c>
      <c r="AI135" s="5"/>
      <c r="AJ135" s="136">
        <v>110</v>
      </c>
      <c r="AK135" s="150" t="str">
        <f>IF(ISNUMBER( SnapshotTable[[#This Row],[EBF Target]]),(SnapshotTable[[#This Row],[EBF Target]] - SnapshotTable[[#This Row],[Last Price]]) / SnapshotTable[[#This Row],[Last Price]], "")</f>
        <v/>
      </c>
      <c r="AL135" s="150" t="str">
        <f>IF(AND(SnapshotTable[[#This Row],[Equity Basis Total]] &gt; 0,ISNUMBER( SnapshotTable[[#This Row],[Long Term Target]])), SnapshotTable[[#This Row],[From Basis $]] / SnapshotTable[[#This Row],[Equity Basis Total]], "")</f>
        <v/>
      </c>
      <c r="AM135" s="9">
        <f>IF( AND(SnapshotTable[[#This Row],[Equity Shares]] &gt;0,ISNUMBER( SnapshotTable[[#This Row],[Long Term Target]])),(SnapshotTable[[#This Row],[Equity Shares]] * SnapshotTable[[#This Row],[Long Term Target]]) - SnapshotTable[[#This Row],[Equity Basis Total]],0)</f>
        <v>0</v>
      </c>
      <c r="AN135" s="9">
        <f>IF( AND(SnapshotTable[[#This Row],[Equity Shares]] &gt;0,ISNUMBER( SnapshotTable[[#This Row],[Long Term Target]])),(SnapshotTable[[#This Row],[Equity Shares]]*SnapshotTable[[#This Row],[Long Term Target]]) - SnapshotTable[[#This Row],[Equity Value]],0)</f>
        <v>0</v>
      </c>
      <c r="AO135" s="150">
        <f>IF(AND(ISNUMBER( SnapshotTable[[#This Row],[Long Term Target]]), ISNUMBER(SnapshotTable[[#This Row],[Last Price]])),(SnapshotTable[[#This Row],[Long Term Target]] - SnapshotTable[[#This Row],[Last Price]]) / SnapshotTable[[#This Row],[Last Price]], "")</f>
        <v>-0.65606728574555229</v>
      </c>
      <c r="AP135" s="5"/>
      <c r="AQ135" s="38"/>
      <c r="AR135" s="5"/>
      <c r="AS135" s="38"/>
      <c r="AT135" s="144"/>
      <c r="AU135" s="185" t="str">
        <f>IF(OR(SnapshotTable[[#This Row],[LP No Fill]]="Y",SnapshotTable[[#This Row],[SP Is Filled]],SnapshotTable[[#This Row],[LC Not Filled]]="Y",SnapshotTable[[#This Row],[SC Is Filled]]),"Y","")</f>
        <v/>
      </c>
      <c r="AV135" s="205"/>
      <c r="AW135" s="211"/>
      <c r="AX135" s="206"/>
      <c r="AY135" s="205" t="str">
        <f>IF(SnapshotTable[[#This Row],[Implied Move]]&gt;0, SnapshotTable[[#This Row],[Last Price]]-SnapshotTable[[#This Row],[Implied Move]],"")</f>
        <v/>
      </c>
      <c r="AZ135" s="205" t="str">
        <f>IF(SnapshotTable[[#This Row],[Implied Move]]&gt;0, SnapshotTable[[#This Row],[Last Price]] + SnapshotTable[[#This Row],[Implied Move]],"")</f>
        <v/>
      </c>
      <c r="BA135" s="302"/>
      <c r="BB135" s="318"/>
      <c r="BC1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5" s="321"/>
      <c r="BE135" s="5"/>
      <c r="BF135" s="14"/>
      <c r="BG135" s="13"/>
      <c r="BH135" s="13"/>
      <c r="BI135" s="5"/>
      <c r="BJ135" s="134">
        <f>IF(SnapshotTable[[#This Row],[LP Qty]] &gt; 0, SnapshotTable[[#This Row],[LP Qty]] * SnapshotTable[[#This Row],[LP Book Price]] * 100,0)</f>
        <v>0</v>
      </c>
      <c r="BK135" s="134">
        <f>IF(SnapshotTable[[#This Row],[LP Premium]] &gt; 0, SnapshotTable[[#This Row],[LP Qty]] * SnapshotTable[[#This Row],[LP Strike Price]] * 100,0)</f>
        <v>0</v>
      </c>
      <c r="BL135" s="152"/>
      <c r="BM135" s="355" t="str">
        <f>IF(SnapshotTable[[#This Row],[LP Premium]] &gt; 0,SnapshotTable[[#This Row],[LP Exp Date]]-MAX(SnapshotTable[[#This Row],[LP Book Date]], SnapshotTable[[#This Row],[LP Fill Date]]),"")</f>
        <v/>
      </c>
      <c r="BN135" s="355" t="str">
        <f>IF(ISNUMBER( SnapshotTable[[#This Row],[LP Term]]), SnapshotTable[[#This Row],[LP Exp Date]] - MockToday,"")</f>
        <v/>
      </c>
      <c r="BO135" s="161" t="str">
        <f>IF(AND(SnapshotTable[[#This Row],[LP Exp Date]]&gt;0, SnapshotTable[[#This Row],[LP Strike Price]]&gt;0,SnapshotTable[[#This Row],[LP Qty]]&gt;0,SnapshotTable[[#This Row],[LP Book Date]]&gt;0,SnapshotTable[[#This Row],[LP Book Price]]&gt;0,SnapshotTable[[#This Row],[LP Fill Date]]=0),"Y","")</f>
        <v/>
      </c>
      <c r="BP135" s="31" t="str">
        <f>IF(AND(SnapshotTable[[#This Row],[LP No Fill]]&lt;&gt;"Y",SnapshotTable[[#This Row],[LP Contract Value]]&gt;0, SnapshotTable[[#This Row],[LP Qty]]&gt;0), SnapshotTable[[#This Row],[LP Contract Value]]*SnapshotTable[[#This Row],[LP Qty]]*100,"")</f>
        <v/>
      </c>
      <c r="BQ135" s="13"/>
      <c r="BR135" s="5"/>
      <c r="BS135" s="36"/>
      <c r="BT135" s="145"/>
      <c r="BU135" s="13"/>
      <c r="BV135" s="5"/>
      <c r="BW135" s="382" t="b">
        <f>AND(ISNUMBER(SnapshotTable[[#This Row],[SP Exp Date]]), ISNUMBER(SnapshotTable[[#This Row],[SP Strike Price]]), ISNUMBER(SnapshotTable[[#This Row],[SP Qty]]), ISNUMBER(SnapshotTable[[#This Row],[SP Book Date]]), ISNUMBER(SnapshotTable[[#This Row],[SP Book Price]]))</f>
        <v>0</v>
      </c>
      <c r="BX135" s="382" t="b">
        <f>AND(SnapshotTable[[#This Row],[SP Is Booked]], NOT(ISBLANK(SnapshotTable[[#This Row],[SP Fill Date]])))</f>
        <v>0</v>
      </c>
      <c r="BY135" s="33">
        <f>IF(SnapshotTable[[#This Row],[SP Is Booked]], SnapshotTable[[#This Row],[SP Qty]] * SnapshotTable[[#This Row],[SP Book Price]] * 100, 0)</f>
        <v>0</v>
      </c>
      <c r="BZ135" s="339"/>
      <c r="CA135" s="338">
        <f>SnapshotTable[[#This Row],[LP Qty]]</f>
        <v>0</v>
      </c>
      <c r="CB135" s="4" t="str">
        <f>IF(SnapshotTable[[#This Row],[SP Is Booked]], SnapshotTable[[#This Row],[SP Strike Price]] - SnapshotTable[[#This Row],[SP Book Price]], "")</f>
        <v/>
      </c>
      <c r="CC135" s="19" t="str">
        <f>IF(SnapshotTable[[#This Row],[SP Is Booked]],SnapshotTable[[#This Row],[SP Exp Date]]-MAX(SnapshotTable[[#This Row],[SP Book Date]], SnapshotTable[[#This Row],[SP Fill Date]]),"")</f>
        <v/>
      </c>
      <c r="CD135" s="7" t="str">
        <f>IF(SnapshotTable[[#This Row],[SP Is Booked]], SnapshotTable[[#This Row],[SP Book Price]]/SnapshotTable[[#This Row],[SP Strike Price]], "")</f>
        <v/>
      </c>
      <c r="CE135" s="7" t="str">
        <f>IF(ISNUMBER(SnapshotTable[[#This Row],[SP ROO Term]]),SnapshotTable[[#This Row],[SP ROO Term]]*(365/SnapshotTable[[#This Row],[SP Term]]),"")</f>
        <v/>
      </c>
      <c r="CF135" s="221">
        <f>SnapshotTable[[#This Row],[LP Strike Price]] * SnapshotTable[[#This Row],[LP Qty]] * 100</f>
        <v>0</v>
      </c>
      <c r="CG135" s="31">
        <f>IF(ISNUMBER(SnapshotTable[[#This Row],[SP Premium]]), (SnapshotTable[[#This Row],[SP Qty]] * SnapshotTable[[#This Row],[SP Strike Price]]* 100) - SnapshotTable[[#This Row],[LP Protection]], 0)</f>
        <v>0</v>
      </c>
      <c r="CH135" s="7" t="str">
        <f>IF(ISNUMBER(SnapshotTable[[#This Row],[SP Break Even]]),-1 * (SnapshotTable[[#This Row],[SP Break Even]] - SnapshotTable[[#This Row],[Last Price]]) / SnapshotTable[[#This Row],[Last Price]], "")</f>
        <v/>
      </c>
      <c r="CI135" s="31">
        <f>IF(AND(ISNUMBER((SnapshotTable[[#This Row],[SP Potential Spend]])), SnapshotTable[[#This Row],[SP Strike Price]] &gt; SnapshotTable[[#This Row],[Last Price]], SnapshotTable[[#This Row],[SP Is Filled]]), SnapshotTable[[#This Row],[SP Potential Spend]] -  SnapshotTable[[#This Row],[LP Max Value]], 0)</f>
        <v>0</v>
      </c>
      <c r="CJ135" s="229"/>
      <c r="CK135" s="31">
        <f>IF(ISNUMBER(SnapshotTable[[#This Row],[SP Potential Spend]]),IF(ISNUMBER(SnapshotTable[[#This Row],[SP POW]]), SnapshotTable[[#This Row],[SP POW]] * SnapshotTable[[#This Row],[SP Potential Spend]], SnapshotTable[[#This Row],[SP Potential Spend]]), "")</f>
        <v>0</v>
      </c>
      <c r="CL135" s="162">
        <f>IF(NOT(SnapshotTable[[#This Row],[SP Is Filled]]),(SnapshotTable[[#This Row],[SP Qty]] * SnapshotTable[[#This Row],[SP Strike Price]] * 100) - SnapshotTable[[#This Row],[LP Max Value]],"")</f>
        <v>0</v>
      </c>
      <c r="CM135" s="31" t="str">
        <f>IF(SnapshotTable[[#This Row],[SP Actual Spend]]&lt;&gt;0, ((SnapshotTable[[#This Row],[SP Strike Price]]-SnapshotTable[[#This Row],[Last Price]]) *(SnapshotTable[[#This Row],[SP Qty]]*100) - SnapshotTable[[#This Row],[SP Premium]]) * - 1, "")</f>
        <v/>
      </c>
      <c r="CN135" s="76"/>
      <c r="CO135" s="339"/>
      <c r="CP135" s="4" t="str">
        <f>IF(SnapshotTable[[#This Row],[SP Is Filled]], btc_max_buyback_amount(SnapshotTable[[#This Row],[SP Fill Date]],SnapshotTable[[#This Row],[SP Exp Date]], SnapshotTable[[#This Row],[SP Book Price]]),"")</f>
        <v/>
      </c>
      <c r="CQ135" s="76"/>
      <c r="CR1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5" s="153" t="str">
        <f>IF(SnapshotTable[[#This Row],[SP Is Filled]], btc_next_cutoff_date(SnapshotTable[[#This Row],[SP Fill Date]],SnapshotTable[[#This Row],[SP Exp Date]]),"")</f>
        <v/>
      </c>
      <c r="CT135" s="220" t="str" cm="1">
        <f t="array" ref="CT135">IF(SnapshotTable[[#This Row],[SP Is Filled]], btc_should_buy_back(SnapshotTable[[#This Row],[SP Fill Date]], SnapshotTable[[#This Row],[SP Exp Date]], SnapshotTable[[#This Row],[SP Book Price]], SnapshotTable[[#This Row],[SP Current Ask]], MockToday, SnapshotTable[[#This Row],[SP Buyback Override]]),"")</f>
        <v/>
      </c>
      <c r="CU135" s="141"/>
      <c r="CV135" s="220"/>
      <c r="CW135" s="348" t="str">
        <f>IF(ISNUMBER( SnapshotTable[[#This Row],[SP Term]]), SnapshotTable[[#This Row],[SP Exp Date]] - MockToday,"")</f>
        <v/>
      </c>
      <c r="CX135" s="31" t="str">
        <f>IF(SnapshotTable[[#This Row],[SP Is Filled]],SnapshotTable[[#This Row],[SP Buyback Price to Use]] * 100 * SnapshotTable[[#This Row],[SP Qty]], "")</f>
        <v/>
      </c>
      <c r="CY135" s="4" t="str">
        <f>IF(ISNUMBER(SnapshotTable[[#This Row],[SP Strike Price]]), SnapshotTable[[#This Row],[SP Strike Price]] * (1 - SP_MaxLoss_StrikePct), "")</f>
        <v/>
      </c>
      <c r="CZ135" s="31" t="str">
        <f>IF(ISNUMBER(SnapshotTable[[#This Row],[SP Strike  Stop Per Share]]),SnapshotTable[[#This Row],[SP Premium]] - ((SnapshotTable[[#This Row],[SP Strike Price]]-SnapshotTable[[#This Row],[SP Strike  Stop Per Share]]) *(SnapshotTable[[#This Row],[SP Qty]] * 100)),"")</f>
        <v/>
      </c>
      <c r="DA135" s="4" t="str">
        <f>IF(AND(ISNUMBER(SnapshotTable[[#This Row],[SP Premium]]),SnapshotTable[[#This Row],[SP Premium]]&gt;0), SnapshotTable[[#This Row],[SP Book Price]] * (1 + SP_MaxLoss_OptionPct), "")</f>
        <v/>
      </c>
      <c r="DB135" s="31" t="str">
        <f>IF(ISNUMBER(SnapshotTable[[#This Row],[SP Option  Stop Contract]]),(SnapshotTable[[#This Row],[SP Option  Stop Contract]] *(SnapshotTable[[#This Row],[SP Qty]] * 100) - SnapshotTable[[#This Row],[SP Premium]]),"")</f>
        <v/>
      </c>
      <c r="DC135" s="4"/>
      <c r="DD135" s="4"/>
      <c r="DE135" s="4" t="str">
        <f>IF(AND(SnapshotTable[[#This Row],[SP Qty]]&gt;0, SnapshotTable[[#This Row],[SP Stop To Use]]&gt;0),SnapshotTable[[#This Row],[SP Premium]] - ( SnapshotTable[[#This Row],[SP Qty]] * SnapshotTable[[#This Row],[SP Stop To Use]] * 100), "")</f>
        <v/>
      </c>
      <c r="DF135" s="31" t="str">
        <f>IF(AND(SnapshotTable[[#This Row],[SP Qty]]&gt;0,SnapshotTable[[#This Row],[SP Current Ask]]&gt;0), SnapshotTable[[#This Row],[SP Qty]] * SnapshotTable[[#This Row],[SP Current Ask]] * -100, "")</f>
        <v/>
      </c>
      <c r="DG135" s="31" t="str">
        <f>IF(ISNUMBER((SnapshotTable[[#This Row],[SP Total Value]])), SnapshotTable[[#This Row],[SP Premium]] + SnapshotTable[[#This Row],[SP Total Value]], "")</f>
        <v/>
      </c>
      <c r="DH135" s="272" t="str">
        <f>IF(ISNUMBER((SnapshotTable[[#This Row],[SP Total Value]])), SnapshotTable[[#This Row],[SP Gain Loss]] / SnapshotTable[[#This Row],[SP Premium]], "")</f>
        <v/>
      </c>
      <c r="DI135" s="369"/>
      <c r="DJ135" s="136"/>
      <c r="DK135" s="146"/>
      <c r="DL135" s="13"/>
      <c r="DM135" s="13"/>
      <c r="DO135" s="31">
        <f>IF(SnapshotTable[[#This Row],[LC Symbol Count]]=1, SnapshotTable[[#This Row],[LC Qty]] * SnapshotTable[[#This Row],[LC Book Price]] * 100, 0)</f>
        <v>0</v>
      </c>
      <c r="DP135" s="161" t="str">
        <f>IF(AND(SnapshotTable[[#This Row],[LC Exp Date]]&gt;0, SnapshotTable[[#This Row],[LC Strike Price]]&gt;0,SnapshotTable[[#This Row],[LC Qty]]&gt;0,SnapshotTable[[#This Row],[LC Book Date]]&gt;0,SnapshotTable[[#This Row],[LC Book Price]]&gt;0,SnapshotTable[[#This Row],[LC Fill Date]]=0),"Y","")</f>
        <v/>
      </c>
      <c r="DQ135" s="356" t="str">
        <f>IF(SnapshotTable[[#This Row],[LC Premium]] &gt; 0,SnapshotTable[[#This Row],[LC Exp Date]]-MAX(SnapshotTable[[#This Row],[LC Book Date]], SnapshotTable[[#This Row],[LC Fill Date]]),"")</f>
        <v/>
      </c>
      <c r="DR135" s="356" t="str">
        <f>IF(ISNUMBER(SnapshotTable[[#This Row],[LC Term]]), SnapshotTable[[#This Row],[LC Exp Date]] - MockToday, "")</f>
        <v/>
      </c>
      <c r="DS135" s="219" t="str">
        <f>IF(SnapshotTable[[#This Row],[LC Premium]]&gt;0,SnapshotTable[[#This Row],[LC Strike Price]] + SnapshotTable[[#This Row],[LC Book Price]],"")</f>
        <v/>
      </c>
      <c r="DU135" s="9" t="str">
        <f>IF(AND(SnapshotTable[[#This Row],[LC Symbol Count]]&gt;0, SnapshotTable[[#This Row],[LC Contract Value]]&gt;0), SnapshotTable[[#This Row],[LC Contract Value]] * SnapshotTable[[#This Row],[LC Qty]] * 100, "")</f>
        <v/>
      </c>
      <c r="DV135" s="9" t="str">
        <f>IF(AND(ISNUMBER(SnapshotTable[[#This Row],[LC Total Value]]), SnapshotTable[[#This Row],[LC Not Filled]]&lt;&gt;"Y"), SnapshotTable[[#This Row],[LC Total Value]]-SnapshotTable[[#This Row],[LC Premium]],"")</f>
        <v/>
      </c>
      <c r="DW135" s="225" t="str">
        <f>IF(ISNUMBER(SnapshotTable[[#This Row],[LC Actual Gain Loss]]), SnapshotTable[[#This Row],[LC Actual Gain Loss]] / SnapshotTable[[#This Row],[LC Premium]],"")</f>
        <v/>
      </c>
      <c r="DX135" s="269" t="str">
        <f>IF(ISNUMBER(SnapshotTable[[#This Row],[LC Book Price]]),SnapshotTable[[#This Row],[LC Book Price]] * 1.5,"")</f>
        <v/>
      </c>
      <c r="DY135" s="250" t="str">
        <f>IF(SnapshotTable[[#This Row],[LC Premium]]&gt;0, SnapshotTable[[#This Row],[LC Next Target]] * SnapshotTable[[#This Row],[LC Qty]] * 100,"")</f>
        <v/>
      </c>
      <c r="DZ135" s="250" t="str">
        <f>IF(ISNUMBER(SnapshotTable[[#This Row],[LC Target Gross]]), SnapshotTable[[#This Row],[LC Target Gross]] - SnapshotTable[[#This Row],[LC Premium]], "")</f>
        <v/>
      </c>
      <c r="EA135" s="283" t="str">
        <f>IF(ISNUMBER(SnapshotTable[[#This Row],[LC Target Gain Loss]]), SnapshotTable[[#This Row],[LC Target Gain Loss]]/SnapshotTable[[#This Row],[LC Premium]], "")</f>
        <v/>
      </c>
      <c r="EB135" s="247"/>
      <c r="EC135" s="268" t="str">
        <f>IF(SnapshotTable[[#This Row],[LC Premium]]&gt;0, SnapshotTable[[#This Row],[LC Book Price]] * (1 - LC_StopLoss_Pct),"")</f>
        <v/>
      </c>
      <c r="ED135" s="269"/>
      <c r="EE135" s="268" t="str">
        <f>IF(ISNUMBER(SnapshotTable[[#This Row],[LC Contract Value]]),IF(ISNUMBER(SnapshotTable[[#This Row],[LC Stop Loss Override]]), SnapshotTable[[#This Row],[LC Stop Loss Override]],SnapshotTable[[#This Row],[LC Stop Loss Calc Target]]),"")</f>
        <v/>
      </c>
      <c r="EF135" s="31" t="str">
        <f>IF(ISNUMBER(SnapshotTable[[#This Row],[LC Stop  To Use]]), (SnapshotTable[[#This Row],[LC Stop  To Use]] * SnapshotTable[[#This Row],[LC Qty]] * 100),"")</f>
        <v/>
      </c>
      <c r="EG135" s="9" t="str">
        <f>IF(ISNUMBER(SnapshotTable[[#This Row],[LC Total Value]]),SnapshotTable[[#This Row],[LC Stop Loss Amount]] - SnapshotTable[[#This Row],[LC Premium]],"")</f>
        <v/>
      </c>
      <c r="EH135" s="9">
        <f>IF(ISNUMBER(SnapshotTable[[#This Row],[LC Premium]]), SnapshotTable[[#This Row],[LC Qty]] * 100 * SnapshotTable[[#This Row],[LC Strike Price]], "")</f>
        <v>0</v>
      </c>
      <c r="EI135" s="225" t="str">
        <f>IF(AND(ISNUMBER(SnapshotTable[[#This Row],[LC Total Value]]),SnapshotTable[[#This Row],[LC Total Value]]&gt;0),SnapshotTable[[#This Row],[LC Stop Gain Loss]]  / SnapshotTable[[#This Row],[LC Premium]],"")</f>
        <v/>
      </c>
      <c r="EJ135" s="35">
        <f>IF(ISNUMBER(SnapshotTable[[#This Row],[Equity Shares]]),TRUNC(SnapshotTable[[#This Row],[Equity Shares]] / 100),0) + SnapshotTable[[#This Row],[LC Qty]]</f>
        <v>0</v>
      </c>
      <c r="EK135" s="145"/>
      <c r="EL135" s="136"/>
      <c r="EM135" s="146"/>
      <c r="EN135" s="145"/>
      <c r="EO135" s="145"/>
      <c r="EP135" s="136"/>
      <c r="EQ135" s="382" t="b">
        <f>AND(ISNUMBER(SnapshotTable[[#This Row],[SC Exp Date]]), ISNUMBER(SnapshotTable[[#This Row],[SC Strike Price]]), ISNUMBER(SnapshotTable[[#This Row],[SC Qty]]), ISNUMBER(SnapshotTable[[#This Row],[SC Book Date]]), ISNUMBER(SnapshotTable[[#This Row],[SC Book Price]]))</f>
        <v>0</v>
      </c>
      <c r="ER135" s="382" t="b">
        <f>AND(SnapshotTable[[#This Row],[SC Is Booked]], NOT(ISBLANK(SnapshotTable[[#This Row],[SC Fill Date]])))</f>
        <v>0</v>
      </c>
      <c r="ES135" s="340"/>
      <c r="ET135" s="34" t="str">
        <f>IF(AND(ISNUMBER(SnapshotTable[[#This Row],[SC Exp Date]]), ISNUMBER(SnapshotTable[[#This Row],[SC Book Date]])), SnapshotTable[[#This Row],[SC Exp Date]] - MAX(SnapshotTable[[#This Row],[SC Book Date]], SnapshotTable[[#This Row],[SC Fill Date]]) + 1, "")</f>
        <v/>
      </c>
      <c r="EU135" s="34" t="str">
        <f>IF(ISNUMBER(SnapshotTable[[#This Row],[SC Term]]), SnapshotTable[[#This Row],[SC Exp Date]]- MockToday, "")</f>
        <v/>
      </c>
      <c r="EV135" s="31">
        <f>IF(SnapshotTable[[#This Row],[SC Is Booked]], SnapshotTable[[#This Row],[SC Qty]] * SnapshotTable[[#This Row],[SC Book Price]] * 100, 0)</f>
        <v>0</v>
      </c>
      <c r="EW135" s="4" t="str">
        <f>IF(AND(ISNUMBER(SnapshotTable[[#This Row],[Last Price]]), ISNUMBER( SnapshotTable[[#This Row],[SC Book Price]])), SnapshotTable[[#This Row],[Last Price]] - SnapshotTable[[#This Row],[SC Book Price]],"")</f>
        <v/>
      </c>
      <c r="EX135" s="219" t="str">
        <f>IF(SnapshotTable[[#This Row],[SC Is Booked]],IF(SnapshotTable[[#This Row],[SC Intrinsic Value]] &gt; 0, SnapshotTable[[#This Row],[SC Strike Price]], SnapshotTable[[#This Row],[Last Price]]), "")</f>
        <v/>
      </c>
      <c r="EY135" s="4">
        <f>IF(SnapshotTable[[#This Row],[SC Is Booked]], (MinimumPremiumRequired * SnapshotTable[[#This Row],[SC Basis]] * SnapshotTable[[#This Row],[SC Term]]), 0)</f>
        <v>0</v>
      </c>
      <c r="EZ135" s="268"/>
      <c r="FA135" s="204"/>
      <c r="FB135" s="340"/>
      <c r="FC135" s="4">
        <f>IF(SnapshotTable[[#This Row],[SC Is Filled]], btc_max_buyback_amount(SnapshotTable[[#This Row],[SC Fill Date]],SnapshotTable[[#This Row],[SC Exp Date]], SnapshotTable[[#This Row],[SC Book Price]]),0)</f>
        <v>0</v>
      </c>
      <c r="FD135" s="5"/>
      <c r="FE135" s="142" t="str">
        <f>IF(SnapshotTable[[#This Row],[SC Is Filled]], btc_next_cutoff_date(SnapshotTable[[#This Row],[SC Fill Date]],SnapshotTable[[#This Row],[SC Exp Date]]),"")</f>
        <v/>
      </c>
      <c r="FF135" s="4" t="str" cm="1">
        <f t="array" ref="FF135">IF(SnapshotTable[[#This Row],[SC Is Filled]], btc_should_buy_back(SnapshotTable[[#This Row],[SC Fill Date]], SnapshotTable[[#This Row],[SC Exp Date]], SnapshotTable[[#This Row],[SC Book Price]], SnapshotTable[[#This Row],[SC Current Ask]], MockToday, SnapshotTable[[#This Row],[SC Buyback Override]]),"")</f>
        <v/>
      </c>
      <c r="FG135" s="4">
        <f>IF(SnapshotTable[[#This Row],[SC Is Filled]], MAX(0,SnapshotTable[[#This Row],[Last Price]]  - SnapshotTable[[#This Row],[SC Strike Price]]), 0)</f>
        <v>0</v>
      </c>
      <c r="FH135" s="352">
        <f>IF(SnapshotTable[[#This Row],[SC Is Filled]], IF(ISNUMBER(SnapshotTable[[#This Row],[SC Current Ask]]), SnapshotTable[[#This Row],[SC Current Ask]], SnapshotTable[[#This Row],[SC Book Price]]) - SnapshotTable[[#This Row],[SC Intrinsic Value]], 0)</f>
        <v>0</v>
      </c>
      <c r="FI135" s="141"/>
      <c r="FJ135" s="32" t="str">
        <f>IF(SnapshotTable[[#This Row],[SC Is Filled]],100 * SnapshotTable[[#This Row],[SC Qty]] * IF(ISNUMBER(SnapshotTable[[#This Row],[SC Buyback Override]]), SnapshotTable[[#This Row],[SC Buyback Override]], SnapshotTable[[#This Row],[SC Current Ask]]), "")</f>
        <v/>
      </c>
      <c r="FK135" s="235" t="str">
        <f>IF(SnapshotTable[[#This Row],[SC Time Val]]&gt;0, SnapshotTable[[#This Row],[SC Time Val]] / SnapshotTable[[#This Row],[Last Price]],"")</f>
        <v/>
      </c>
      <c r="FL135" s="280" t="str">
        <f>IF(SnapshotTable[[#This Row],[SC Is Booked]], ((SnapshotTable[[#This Row],[Last Price]] -SnapshotTable[[#This Row],[SC Strike Price]]) / SnapshotTable[[#This Row],[Last Price]]) * -1, "")</f>
        <v/>
      </c>
      <c r="FM135" s="155" t="str">
        <f>IF(SnapshotTable[[#This Row],[SC Is Booked]],  (SnapshotTable[[#This Row],[SC Qty]] * 100 * SnapshotTable[[#This Row],[SC Strike Price]]) - SnapshotTable[[#This Row],[SC Current Ask]], "")</f>
        <v/>
      </c>
      <c r="FN13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5" s="31" t="str">
        <f>IF(AND(ISNUMBER(SnapshotTable[[#This Row],[SC Exercise Gross]]), ISNUMBER(SnapshotTable[[#This Row],[Equity Basis Per Share]] )), SnapshotTable[[#This Row],[SC Exercise Gross]] - SnapshotTable[[#This Row],[Equity Basis Total]] +  SnapshotTable[[#This Row],[SC Premium]], "")</f>
        <v/>
      </c>
      <c r="FP135" s="5" t="str">
        <f>IF(ISNUMBER(SnapshotTable[[#This Row],[SC Exercise Gross]]), (SnapshotTable[[#This Row],[SC Exercise Gross]]) / (SnapshotTable[[#This Row],[SC Qty]] * 100), "")</f>
        <v/>
      </c>
      <c r="FQ135" s="27" t="str">
        <f>IF(SnapshotTable[[#This Row],[SC Is Booked]],SnapshotTable[[#This Row],[SC Time Val]] /SnapshotTable[[#This Row],[SC Basis]], "")</f>
        <v/>
      </c>
      <c r="FR135" s="27" t="str" cm="1">
        <f t="array" ref="FR135">IF(AND(ISNUMBER(SnapshotTable[[#This Row],[SC Term]]),ISNUMBER(SnapshotTable[[#This Row],[SC Simple ROO]])), EllmanAnnualize(SnapshotTable[[#This Row],[SC DTE]], SnapshotTable[[#This Row],[SC Simple ROO]] ),"")</f>
        <v/>
      </c>
      <c r="FS135" s="4">
        <f>IF(SnapshotTable[[#This Row],[SC Strike Price]] &gt; SnapshotTable[[#This Row],[Last Price]], SnapshotTable[[#This Row],[SC Strike Price]] - SnapshotTable[[#This Row],[Last Price]],0)</f>
        <v>0</v>
      </c>
      <c r="FT135" s="27" t="str">
        <f>IF(AND(ISNUMBER(SnapshotTable[[#This Row],[SC Upside Potential]]), SnapshotTable[[#This Row],[SC Upside Potential]] &gt; 0),(SnapshotTable[[#This Row],[SC Upside Potential]]/ SnapshotTable[[#This Row],[ACB]]),"")</f>
        <v/>
      </c>
      <c r="FU135" s="304" t="str">
        <f>IF(SnapshotTable[[#This Row],[SC Intrinsic Value]] &gt; 0,SnapshotTable[[#This Row],[SC Intrinsic Value]],"")</f>
        <v/>
      </c>
      <c r="FV135" s="27" t="str">
        <f>IF(AND( ISNUMBER( SnapshotTable[[#This Row],[ACB]]),ISNUMBER(SnapshotTable[[#This Row],[SC Downside Protect]])),SnapshotTable[[#This Row],[SC Downside Protect]] / SnapshotTable[[#This Row],[ACB]],"")</f>
        <v/>
      </c>
      <c r="FW135" s="221" t="str">
        <f>IF(AND(ISNUMBER(SnapshotTable[[#This Row],[SC Simple ROO]]),SnapshotTable[[#This Row],[SC Simple ROO]] &gt; 0), SnapshotTable[[#This Row],[SC Premium]] + (SnapshotTable[[#This Row],[SC Qty]] * SnapshotTable[[#This Row],[SC Upside Potential]]), "")</f>
        <v/>
      </c>
      <c r="FX135" s="280" t="str" cm="1">
        <f t="array" ref="FX135">IF(ISNUMBER(SnapshotTable[[#This Row],[SC Max Dollars]]), annualize(SnapshotTable[[#This Row],[SC Term]],(SnapshotTable[[#This Row],[SC Max Dollars]]/SnapshotTable[[#This Row],[SC Basis]])),"")</f>
        <v/>
      </c>
      <c r="FY135" s="221" t="str">
        <f>IF(AND(SnapshotTable[[#This Row],[SC Qty]]&gt;0,SnapshotTable[[#This Row],[SC Current Ask]]&gt;0), SnapshotTable[[#This Row],[SC Qty]] * SnapshotTable[[#This Row],[SC Current Ask]] * -100, "")</f>
        <v/>
      </c>
      <c r="FZ135" s="31" t="str">
        <f>IF(ISNUMBER((SnapshotTable[[#This Row],[SC Current Value]])), SnapshotTable[[#This Row],[SC Premium]] + SnapshotTable[[#This Row],[SC Current Value]], "")</f>
        <v/>
      </c>
      <c r="GA135" s="272" t="str">
        <f>IFERROR( IF(ISNUMBER((SnapshotTable[[#This Row],[SC Current Value]])), SnapshotTable[[#This Row],[SC Gain Loss]] / SnapshotTable[[#This Row],[SC Premium]], ""), "")</f>
        <v/>
      </c>
      <c r="GB135" s="42">
        <f>SnapshotTable[[#This Row],[Equity Shares]] * SaleSharesToConsiderPercentage</f>
        <v>0</v>
      </c>
      <c r="GC135" s="40">
        <f>SnapshotTable[[#This Row],[Long Term Target]] * SellingPriceToConsiderBasedOnTargetPercentage</f>
        <v>104.5</v>
      </c>
      <c r="GD135" s="40">
        <f>SnapshotTable[[#This Row],[Last Price]] * (1+ SellingPriceToConsiderBasedOnTargetPercentage)</f>
        <v>623.66849999999999</v>
      </c>
      <c r="GE135" s="41"/>
      <c r="GF135" s="40"/>
      <c r="GG135" s="31">
        <f>SnapshotTable[[#This Row],[Booked Sale Shares]] * SnapshotTable[[#This Row],[Booked Sale Price]]</f>
        <v>0</v>
      </c>
      <c r="GH135" s="31" t="str">
        <f>IF(SnapshotTable[[#This Row],[Equity Basis Total]] &gt; 0, SnapshotTable[[#This Row],[Equity Basis Per Share]] * SnapshotTable[[#This Row],[Booked Sale Shares]], "")</f>
        <v/>
      </c>
      <c r="GI135" s="31">
        <f>IF(SnapshotTable[[#This Row],[Sale Proceeds]]&gt;0, SnapshotTable[[#This Row],[Sale Proceeds]] - SnapshotTable[[#This Row],[Sale Basis]], 0)</f>
        <v>0</v>
      </c>
      <c r="GJ135" s="27" t="str">
        <f>IF(SnapshotTable[[#This Row],[Sale G/L]]&gt;0, SnapshotTable[[#This Row],[Sale G/L]] / SnapshotTable[[#This Row],[Sale Basis]], IF(ISNUMBER(SnapshotTable[[#This Row],[SC Exercise P&amp;L (TAX)]]), SnapshotTable[[#This Row],[SC Exercise P&amp;L (TAX)]] / SnapshotTable[[#This Row],[SC Basis]], ""))</f>
        <v/>
      </c>
      <c r="GK135" s="27" t="s">
        <v>567</v>
      </c>
      <c r="GL135" s="43" t="str">
        <f>IF(AND(SnapshotTable[[#This Row],[LP Exp Date]]&gt;0,SnapshotTable[[#This Row],[LP Strike Price]]&gt;0), [1]!ToOptionSymbol(SnapshotTable[[#This Row],[Symbol]], SnapshotTable[[#This Row],[LP Strike Price]],SnapshotTable[[#This Row],[LP Exp Date]],1), "")</f>
        <v/>
      </c>
      <c r="GM135" s="30" t="str">
        <f>IF(LEN(SnapshotTable[[#This Row],[LP Symbol]])&gt;0, 1, "")</f>
        <v/>
      </c>
      <c r="GN135" s="43" t="str">
        <f>IF(AND(SnapshotTable[[#This Row],[SP Exp Date]]&gt;0,SnapshotTable[[#This Row],[SP Strike Price]]&gt;0), [1]!ToOptionSymbol(SnapshotTable[[#This Row],[Symbol]], SnapshotTable[[#This Row],[SP Strike Price]],SnapshotTable[[#This Row],[SP Exp Date]],1), "")</f>
        <v/>
      </c>
      <c r="GO135" s="30" t="str">
        <f>IF(LEN(SnapshotTable[[#This Row],[SP Symbol]])&gt;0, 1, "")</f>
        <v/>
      </c>
      <c r="GP135" s="43" t="str">
        <f>IF(AND(SnapshotTable[[#This Row],[LC Exp Date]]&gt;0,SnapshotTable[[#This Row],[LC Strike Price]]&gt;0), [1]!ToOptionSymbol(SnapshotTable[[#This Row],[Symbol]], SnapshotTable[[#This Row],[LC Strike Price]],SnapshotTable[[#This Row],[LC Exp Date]],0), "")</f>
        <v/>
      </c>
      <c r="GQ135" s="30" t="str">
        <f>IF(LEN(SnapshotTable[[#This Row],[LC Symbol]])&gt;0, 1, "")</f>
        <v/>
      </c>
      <c r="GR135" s="43" t="str">
        <f>IF(AND(SnapshotTable[[#This Row],[SC Exp Date]]&gt;0,SnapshotTable[[#This Row],[SC Strike Price]]&gt;0), [1]!ToOptionSymbol(SnapshotTable[[#This Row],[Symbol]], SnapshotTable[[#This Row],[SC Strike Price]],SnapshotTable[[#This Row],[SC Exp Date]],0), "")</f>
        <v/>
      </c>
      <c r="GS135" s="30" t="str">
        <f>IF(LEN(SnapshotTable[[#This Row],[SC Symbol]])&gt;0, 1, "")</f>
        <v/>
      </c>
      <c r="GT135" s="29" t="str">
        <f>IF(COUNT(SnapshotTable[[#This Row],[LP Symbol Count]],SnapshotTable[[#This Row],[SP Symbol Count]],SnapshotTable[[#This Row],[LC Symbol Count]],SnapshotTable[[#This Row],[SC Symbol Count]])&gt;0, "Y", "")</f>
        <v/>
      </c>
      <c r="GU1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5" s="216">
        <f>MAX(SnapshotTable[[#This Row],[Equity Basis Total]],SnapshotTable[[#This Row],[Equity Value]]) + (SnapshotTable[[#This Row],[SP Potential Spend]]- SnapshotTable[[#This Row],[SP Premium]] + SnapshotTable[[#This Row],[LP Premium]])+ (SnapshotTable[[#This Row],[LC Premium]] - SnapshotTable[[#This Row],[SC Premium]])</f>
        <v>0</v>
      </c>
      <c r="GW135" s="137" t="str">
        <f>IF(AND(SnapshotTable[[#This Row],[Exposure]] &lt;&gt; 0),SnapshotTable[[#This Row],[Exposure]] / SnapshotTable[[#Totals],[Exposure]], "")</f>
        <v/>
      </c>
      <c r="HE135" s="253"/>
      <c r="HF135" s="253"/>
      <c r="HK135" s="1"/>
      <c r="HL135" s="1"/>
      <c r="HM135" s="1"/>
      <c r="HN135" s="1"/>
      <c r="HO135" s="1"/>
      <c r="HP135" s="1"/>
    </row>
    <row r="136" spans="2:224" ht="12.75" hidden="1" customHeight="1" x14ac:dyDescent="0.25">
      <c r="B136" s="12" t="s">
        <v>821</v>
      </c>
      <c r="C136" s="385">
        <v>12</v>
      </c>
      <c r="D136" s="200" t="s">
        <v>467</v>
      </c>
      <c r="E136" s="39">
        <f>SnapshotTable[[#This Row],[Last Price]]*(1 -CrashDiscount)</f>
        <v>10.199999999999999</v>
      </c>
      <c r="F136" s="26" t="s">
        <v>168</v>
      </c>
      <c r="G136" s="26" t="s">
        <v>7</v>
      </c>
      <c r="H136" s="147"/>
      <c r="I136" s="186">
        <v>44790.28125</v>
      </c>
      <c r="J136" s="187">
        <v>44790.28125</v>
      </c>
      <c r="K136" s="188"/>
      <c r="L136" s="297"/>
      <c r="M136" s="138"/>
      <c r="N136" s="138"/>
      <c r="O136" s="138"/>
      <c r="P136" s="22"/>
      <c r="Q136" s="25"/>
      <c r="R136" s="4" t="str">
        <f>IF(SnapshotTable[[#This Row],[Equity Basis Total]] &gt; 0, SnapshotTable[[#This Row],[Equity Basis Total]] / SnapshotTable[[#This Row],[Equity Shares]], "")</f>
        <v/>
      </c>
      <c r="S136" s="254">
        <f>SnapshotTable[[#This Row],[Last Price]] * SnapshotTable[[#This Row],[Equity Shares]]</f>
        <v>0</v>
      </c>
      <c r="T136" s="254">
        <f>SnapshotTable[[#This Row],[Equity Value]] - SnapshotTable[[#This Row],[Equity Basis Total]]</f>
        <v>0</v>
      </c>
      <c r="U136" s="255" t="str">
        <f>IF(SnapshotTable[[#This Row],[Equity Basis Total]] &gt; 0, SnapshotTable[[#This Row],[Equity G/L]] / SnapshotTable[[#This Row],[Equity Basis Total]], "")</f>
        <v/>
      </c>
      <c r="V136" s="253">
        <v>90</v>
      </c>
      <c r="W136" s="253">
        <v>64.25</v>
      </c>
      <c r="X136" s="4" t="str">
        <f>IF(AND(ISNUMBER(SnapshotTable[[#This Row],[Equity Basis Per Share]]),ISNUMBER(SnapshotTable[[#This Row],[Equity Target]])),SnapshotTable[[#This Row],[Equity Target]]-SnapshotTable[[#This Row],[Equity Basis Per Share]],"")</f>
        <v/>
      </c>
      <c r="Y136" s="4" t="str">
        <f>IF(AND(ISNUMBER(SnapshotTable[[#This Row],[Equity Basis Per Share]]),ISNUMBER(SnapshotTable[[#This Row],[Equity Stop Loss]])),SnapshotTable[[#This Row],[Equity Stop Loss]]-SnapshotTable[[#This Row],[Equity Basis Per Share]],"")</f>
        <v/>
      </c>
      <c r="Z136" s="260" t="str">
        <f>IFERROR( TEXT(SnapshotTable[[#This Row],[Equity Max Gain Per Share]] /ABS( SnapshotTable[[#This Row],[Equity Max Loss Per Share]]),"0.0 " ) &amp; " : 1", "")</f>
        <v/>
      </c>
      <c r="AA136" s="31" t="str">
        <f>IF(ISNUMBER(SnapshotTable[[#This Row],[Equity Max Gain Per Share]]),SnapshotTable[[#This Row],[Equity Max Gain Per Share]] * SnapshotTable[[#This Row],[Equity Shares]],"")</f>
        <v/>
      </c>
      <c r="AB136" s="31" t="str">
        <f>IF(ISNUMBER(SnapshotTable[[#This Row],[Equity Max Loss Per Share]]),SnapshotTable[[#This Row],[Equity Max Loss Per Share]] * SnapshotTable[[#This Row],[Equity Shares]],"")</f>
        <v/>
      </c>
      <c r="AC136" s="148"/>
      <c r="AD136" s="149"/>
      <c r="AE136" s="31">
        <f>(SnapshotTable[[#This Row],[Annual Dividend Per Share]] / 4) * SnapshotTable[[#This Row],[Equity Shares]]</f>
        <v>0</v>
      </c>
      <c r="AF136" s="31">
        <f>SnapshotTable[[#This Row],[Quarterly Div $]] * 4</f>
        <v>0</v>
      </c>
      <c r="AG136" s="7">
        <f>IF(SnapshotTable[[#This Row],[Annual Dividend Per Share]]&gt;0, SnapshotTable[[#This Row],[Annual Dividend Per Share]]  / SnapshotTable[[#This Row],[Last Price]], 0)</f>
        <v>0</v>
      </c>
      <c r="AH136" s="149"/>
      <c r="AI136" s="5"/>
      <c r="AJ136" s="136">
        <v>81</v>
      </c>
      <c r="AK136" s="150" t="str">
        <f>IF(ISNUMBER( SnapshotTable[[#This Row],[EBF Target]]),(SnapshotTable[[#This Row],[EBF Target]] - SnapshotTable[[#This Row],[Last Price]]) / SnapshotTable[[#This Row],[Last Price]], "")</f>
        <v/>
      </c>
      <c r="AL136" s="150" t="str">
        <f>IF(AND(SnapshotTable[[#This Row],[Equity Basis Total]] &gt; 0,ISNUMBER( SnapshotTable[[#This Row],[Long Term Target]])), SnapshotTable[[#This Row],[From Basis $]] / SnapshotTable[[#This Row],[Equity Basis Total]], "")</f>
        <v/>
      </c>
      <c r="AM136" s="9">
        <f>IF( AND(SnapshotTable[[#This Row],[Equity Shares]] &gt;0,ISNUMBER( SnapshotTable[[#This Row],[Long Term Target]])),(SnapshotTable[[#This Row],[Equity Shares]] * SnapshotTable[[#This Row],[Long Term Target]]) - SnapshotTable[[#This Row],[Equity Basis Total]],0)</f>
        <v>0</v>
      </c>
      <c r="AN136" s="9">
        <f>IF( AND(SnapshotTable[[#This Row],[Equity Shares]] &gt;0,ISNUMBER( SnapshotTable[[#This Row],[Long Term Target]])),(SnapshotTable[[#This Row],[Equity Shares]]*SnapshotTable[[#This Row],[Long Term Target]]) - SnapshotTable[[#This Row],[Equity Value]],0)</f>
        <v>0</v>
      </c>
      <c r="AO136" s="150">
        <f>IF(AND(ISNUMBER( SnapshotTable[[#This Row],[Long Term Target]]), ISNUMBER(SnapshotTable[[#This Row],[Last Price]])),(SnapshotTable[[#This Row],[Long Term Target]] - SnapshotTable[[#This Row],[Last Price]]) / SnapshotTable[[#This Row],[Last Price]], "")</f>
        <v>5.75</v>
      </c>
      <c r="AP136" s="5">
        <v>55</v>
      </c>
      <c r="AQ136" s="38" t="s">
        <v>22</v>
      </c>
      <c r="AR136" s="5">
        <v>55</v>
      </c>
      <c r="AS136" s="38" t="s">
        <v>15</v>
      </c>
      <c r="AT136" s="144" t="s">
        <v>438</v>
      </c>
      <c r="AU136" s="185" t="str">
        <f>IF(OR(SnapshotTable[[#This Row],[LP No Fill]]="Y",SnapshotTable[[#This Row],[SP Is Filled]],SnapshotTable[[#This Row],[LC Not Filled]]="Y",SnapshotTable[[#This Row],[SC Is Filled]]),"Y","")</f>
        <v/>
      </c>
      <c r="AV136" s="205"/>
      <c r="AW136" s="211"/>
      <c r="AX136" s="206"/>
      <c r="AY136" s="205" t="str">
        <f>IF(SnapshotTable[[#This Row],[Implied Move]]&gt;0, SnapshotTable[[#This Row],[Last Price]]-SnapshotTable[[#This Row],[Implied Move]],"")</f>
        <v/>
      </c>
      <c r="AZ136" s="205" t="str">
        <f>IF(SnapshotTable[[#This Row],[Implied Move]]&gt;0, SnapshotTable[[#This Row],[Last Price]] + SnapshotTable[[#This Row],[Implied Move]],"")</f>
        <v/>
      </c>
      <c r="BA136" s="302">
        <v>61.12</v>
      </c>
      <c r="BB136" s="318"/>
      <c r="BC1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6" s="321"/>
      <c r="BE136" s="5"/>
      <c r="BF136" s="14"/>
      <c r="BG136" s="13"/>
      <c r="BH136" s="13"/>
      <c r="BI136" s="5"/>
      <c r="BJ136" s="134">
        <f>IF(SnapshotTable[[#This Row],[LP Qty]] &gt; 0, SnapshotTable[[#This Row],[LP Qty]] * SnapshotTable[[#This Row],[LP Book Price]] * 100,0)</f>
        <v>0</v>
      </c>
      <c r="BK136" s="134">
        <f>IF(SnapshotTable[[#This Row],[LP Premium]] &gt; 0, SnapshotTable[[#This Row],[LP Qty]] * SnapshotTable[[#This Row],[LP Strike Price]] * 100,0)</f>
        <v>0</v>
      </c>
      <c r="BL136" s="152"/>
      <c r="BM136" s="355" t="str">
        <f>IF(SnapshotTable[[#This Row],[LP Premium]] &gt; 0,SnapshotTable[[#This Row],[LP Exp Date]]-MAX(SnapshotTable[[#This Row],[LP Book Date]], SnapshotTable[[#This Row],[LP Fill Date]]),"")</f>
        <v/>
      </c>
      <c r="BN136" s="355" t="str">
        <f>IF(ISNUMBER( SnapshotTable[[#This Row],[LP Term]]), SnapshotTable[[#This Row],[LP Exp Date]] - MockToday,"")</f>
        <v/>
      </c>
      <c r="BO136" s="161" t="str">
        <f>IF(AND(SnapshotTable[[#This Row],[LP Exp Date]]&gt;0, SnapshotTable[[#This Row],[LP Strike Price]]&gt;0,SnapshotTable[[#This Row],[LP Qty]]&gt;0,SnapshotTable[[#This Row],[LP Book Date]]&gt;0,SnapshotTable[[#This Row],[LP Book Price]]&gt;0,SnapshotTable[[#This Row],[LP Fill Date]]=0),"Y","")</f>
        <v/>
      </c>
      <c r="BP136" s="31" t="str">
        <f>IF(AND(SnapshotTable[[#This Row],[LP No Fill]]&lt;&gt;"Y",SnapshotTable[[#This Row],[LP Contract Value]]&gt;0, SnapshotTable[[#This Row],[LP Qty]]&gt;0), SnapshotTable[[#This Row],[LP Contract Value]]*SnapshotTable[[#This Row],[LP Qty]]*100,"")</f>
        <v/>
      </c>
      <c r="BQ136" s="13"/>
      <c r="BR136" s="5"/>
      <c r="BS136" s="36"/>
      <c r="BT136" s="145"/>
      <c r="BU136" s="13"/>
      <c r="BV136" s="5"/>
      <c r="BW136" s="382" t="b">
        <f>AND(ISNUMBER(SnapshotTable[[#This Row],[SP Exp Date]]), ISNUMBER(SnapshotTable[[#This Row],[SP Strike Price]]), ISNUMBER(SnapshotTable[[#This Row],[SP Qty]]), ISNUMBER(SnapshotTable[[#This Row],[SP Book Date]]), ISNUMBER(SnapshotTable[[#This Row],[SP Book Price]]))</f>
        <v>0</v>
      </c>
      <c r="BX136" s="382" t="b">
        <f>AND(SnapshotTable[[#This Row],[SP Is Booked]], NOT(ISBLANK(SnapshotTable[[#This Row],[SP Fill Date]])))</f>
        <v>0</v>
      </c>
      <c r="BY136" s="33">
        <f>IF(SnapshotTable[[#This Row],[SP Is Booked]], SnapshotTable[[#This Row],[SP Qty]] * SnapshotTable[[#This Row],[SP Book Price]] * 100, 0)</f>
        <v>0</v>
      </c>
      <c r="BZ136" s="339"/>
      <c r="CA136" s="338">
        <f>SnapshotTable[[#This Row],[LP Qty]]</f>
        <v>0</v>
      </c>
      <c r="CB136" s="4" t="str">
        <f>IF(SnapshotTable[[#This Row],[SP Is Booked]], SnapshotTable[[#This Row],[SP Strike Price]] - SnapshotTable[[#This Row],[SP Book Price]], "")</f>
        <v/>
      </c>
      <c r="CC136" s="19" t="str">
        <f>IF(SnapshotTable[[#This Row],[SP Is Booked]],SnapshotTable[[#This Row],[SP Exp Date]]-MAX(SnapshotTable[[#This Row],[SP Book Date]], SnapshotTable[[#This Row],[SP Fill Date]]),"")</f>
        <v/>
      </c>
      <c r="CD136" s="7" t="str">
        <f>IF(SnapshotTable[[#This Row],[SP Is Booked]], SnapshotTable[[#This Row],[SP Book Price]]/SnapshotTable[[#This Row],[SP Strike Price]], "")</f>
        <v/>
      </c>
      <c r="CE136" s="7" t="str">
        <f>IF(ISNUMBER(SnapshotTable[[#This Row],[SP ROO Term]]),SnapshotTable[[#This Row],[SP ROO Term]]*(365/SnapshotTable[[#This Row],[SP Term]]),"")</f>
        <v/>
      </c>
      <c r="CF136" s="221">
        <f>SnapshotTable[[#This Row],[LP Strike Price]] * SnapshotTable[[#This Row],[LP Qty]] * 100</f>
        <v>0</v>
      </c>
      <c r="CG136" s="31">
        <f>IF(ISNUMBER(SnapshotTable[[#This Row],[SP Premium]]), (SnapshotTable[[#This Row],[SP Qty]] * SnapshotTable[[#This Row],[SP Strike Price]]* 100) - SnapshotTable[[#This Row],[LP Protection]], 0)</f>
        <v>0</v>
      </c>
      <c r="CH136" s="7" t="str">
        <f>IF(ISNUMBER(SnapshotTable[[#This Row],[SP Break Even]]),-1 * (SnapshotTable[[#This Row],[SP Break Even]] - SnapshotTable[[#This Row],[Last Price]]) / SnapshotTable[[#This Row],[Last Price]], "")</f>
        <v/>
      </c>
      <c r="CI136" s="31">
        <f>IF(AND(ISNUMBER((SnapshotTable[[#This Row],[SP Potential Spend]])), SnapshotTable[[#This Row],[SP Strike Price]] &gt; SnapshotTable[[#This Row],[Last Price]], SnapshotTable[[#This Row],[SP Is Filled]]), SnapshotTable[[#This Row],[SP Potential Spend]] -  SnapshotTable[[#This Row],[LP Max Value]], 0)</f>
        <v>0</v>
      </c>
      <c r="CJ136" s="229"/>
      <c r="CK136" s="31">
        <f>IF(ISNUMBER(SnapshotTable[[#This Row],[SP Potential Spend]]),IF(ISNUMBER(SnapshotTable[[#This Row],[SP POW]]), SnapshotTable[[#This Row],[SP POW]] * SnapshotTable[[#This Row],[SP Potential Spend]], SnapshotTable[[#This Row],[SP Potential Spend]]), "")</f>
        <v>0</v>
      </c>
      <c r="CL136" s="162">
        <f>IF(NOT(SnapshotTable[[#This Row],[SP Is Filled]]),(SnapshotTable[[#This Row],[SP Qty]] * SnapshotTable[[#This Row],[SP Strike Price]] * 100) - SnapshotTable[[#This Row],[LP Max Value]],"")</f>
        <v>0</v>
      </c>
      <c r="CM136" s="31" t="str">
        <f>IF(SnapshotTable[[#This Row],[SP Actual Spend]]&lt;&gt;0, ((SnapshotTable[[#This Row],[SP Strike Price]]-SnapshotTable[[#This Row],[Last Price]]) *(SnapshotTable[[#This Row],[SP Qty]]*100) - SnapshotTable[[#This Row],[SP Premium]]) * - 1, "")</f>
        <v/>
      </c>
      <c r="CN136" s="76"/>
      <c r="CO136" s="339"/>
      <c r="CP136" s="4" t="str">
        <f>IF(SnapshotTable[[#This Row],[SP Is Filled]], btc_max_buyback_amount(SnapshotTable[[#This Row],[SP Fill Date]],SnapshotTable[[#This Row],[SP Exp Date]], SnapshotTable[[#This Row],[SP Book Price]]),"")</f>
        <v/>
      </c>
      <c r="CQ136" s="76"/>
      <c r="CR1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6" s="153" t="str">
        <f>IF(SnapshotTable[[#This Row],[SP Is Filled]], btc_next_cutoff_date(SnapshotTable[[#This Row],[SP Fill Date]],SnapshotTable[[#This Row],[SP Exp Date]]),"")</f>
        <v/>
      </c>
      <c r="CT136" s="220" t="str" cm="1">
        <f t="array" ref="CT136">IF(SnapshotTable[[#This Row],[SP Is Filled]], btc_should_buy_back(SnapshotTable[[#This Row],[SP Fill Date]], SnapshotTable[[#This Row],[SP Exp Date]], SnapshotTable[[#This Row],[SP Book Price]], SnapshotTable[[#This Row],[SP Current Ask]], MockToday, SnapshotTable[[#This Row],[SP Buyback Override]]),"")</f>
        <v/>
      </c>
      <c r="CU136" s="141"/>
      <c r="CV136" s="220"/>
      <c r="CW136" s="348" t="str">
        <f>IF(ISNUMBER( SnapshotTable[[#This Row],[SP Term]]), SnapshotTable[[#This Row],[SP Exp Date]] - MockToday,"")</f>
        <v/>
      </c>
      <c r="CX136" s="31" t="str">
        <f>IF(SnapshotTable[[#This Row],[SP Is Filled]],SnapshotTable[[#This Row],[SP Buyback Price to Use]] * 100 * SnapshotTable[[#This Row],[SP Qty]], "")</f>
        <v/>
      </c>
      <c r="CY136" s="4" t="str">
        <f>IF(ISNUMBER(SnapshotTable[[#This Row],[SP Strike Price]]), SnapshotTable[[#This Row],[SP Strike Price]] * (1 - SP_MaxLoss_StrikePct), "")</f>
        <v/>
      </c>
      <c r="CZ136" s="31" t="str">
        <f>IF(ISNUMBER(SnapshotTable[[#This Row],[SP Strike  Stop Per Share]]),SnapshotTable[[#This Row],[SP Premium]] - ((SnapshotTable[[#This Row],[SP Strike Price]]-SnapshotTable[[#This Row],[SP Strike  Stop Per Share]]) *(SnapshotTable[[#This Row],[SP Qty]] * 100)),"")</f>
        <v/>
      </c>
      <c r="DA136" s="4" t="str">
        <f>IF(AND(ISNUMBER(SnapshotTable[[#This Row],[SP Premium]]),SnapshotTable[[#This Row],[SP Premium]]&gt;0), SnapshotTable[[#This Row],[SP Book Price]] * (1 + SP_MaxLoss_OptionPct), "")</f>
        <v/>
      </c>
      <c r="DB136" s="31" t="str">
        <f>IF(ISNUMBER(SnapshotTable[[#This Row],[SP Option  Stop Contract]]),(SnapshotTable[[#This Row],[SP Option  Stop Contract]] *(SnapshotTable[[#This Row],[SP Qty]] * 100) - SnapshotTable[[#This Row],[SP Premium]]),"")</f>
        <v/>
      </c>
      <c r="DC136" s="4"/>
      <c r="DD136" s="4">
        <v>3.3</v>
      </c>
      <c r="DE136" s="4" t="str">
        <f>IF(AND(SnapshotTable[[#This Row],[SP Qty]]&gt;0, SnapshotTable[[#This Row],[SP Stop To Use]]&gt;0),SnapshotTable[[#This Row],[SP Premium]] - ( SnapshotTable[[#This Row],[SP Qty]] * SnapshotTable[[#This Row],[SP Stop To Use]] * 100), "")</f>
        <v/>
      </c>
      <c r="DF136" s="31" t="str">
        <f>IF(AND(SnapshotTable[[#This Row],[SP Qty]]&gt;0,SnapshotTable[[#This Row],[SP Current Ask]]&gt;0), SnapshotTable[[#This Row],[SP Qty]] * SnapshotTable[[#This Row],[SP Current Ask]] * -100, "")</f>
        <v/>
      </c>
      <c r="DG136" s="31" t="str">
        <f>IF(ISNUMBER((SnapshotTable[[#This Row],[SP Total Value]])), SnapshotTable[[#This Row],[SP Premium]] + SnapshotTable[[#This Row],[SP Total Value]], "")</f>
        <v/>
      </c>
      <c r="DH136" s="272" t="str">
        <f>IF(ISNUMBER((SnapshotTable[[#This Row],[SP Total Value]])), SnapshotTable[[#This Row],[SP Gain Loss]] / SnapshotTable[[#This Row],[SP Premium]], "")</f>
        <v/>
      </c>
      <c r="DI136" s="369"/>
      <c r="DJ136" s="136"/>
      <c r="DK136" s="146"/>
      <c r="DL136" s="13"/>
      <c r="DM136" s="13"/>
      <c r="DO136" s="31">
        <f>IF(SnapshotTable[[#This Row],[LC Symbol Count]]=1, SnapshotTable[[#This Row],[LC Qty]] * SnapshotTable[[#This Row],[LC Book Price]] * 100, 0)</f>
        <v>0</v>
      </c>
      <c r="DP136" s="161" t="str">
        <f>IF(AND(SnapshotTable[[#This Row],[LC Exp Date]]&gt;0, SnapshotTable[[#This Row],[LC Strike Price]]&gt;0,SnapshotTable[[#This Row],[LC Qty]]&gt;0,SnapshotTable[[#This Row],[LC Book Date]]&gt;0,SnapshotTable[[#This Row],[LC Book Price]]&gt;0,SnapshotTable[[#This Row],[LC Fill Date]]=0),"Y","")</f>
        <v/>
      </c>
      <c r="DQ136" s="356" t="str">
        <f>IF(SnapshotTable[[#This Row],[LC Premium]] &gt; 0,SnapshotTable[[#This Row],[LC Exp Date]]-MAX(SnapshotTable[[#This Row],[LC Book Date]], SnapshotTable[[#This Row],[LC Fill Date]]),"")</f>
        <v/>
      </c>
      <c r="DR136" s="356" t="str">
        <f>IF(ISNUMBER(SnapshotTable[[#This Row],[LC Term]]), SnapshotTable[[#This Row],[LC Exp Date]] - MockToday, "")</f>
        <v/>
      </c>
      <c r="DS136" s="219" t="str">
        <f>IF(SnapshotTable[[#This Row],[LC Premium]]&gt;0,SnapshotTable[[#This Row],[LC Strike Price]] + SnapshotTable[[#This Row],[LC Book Price]],"")</f>
        <v/>
      </c>
      <c r="DU136" s="9" t="str">
        <f>IF(AND(SnapshotTable[[#This Row],[LC Symbol Count]]&gt;0, SnapshotTable[[#This Row],[LC Contract Value]]&gt;0), SnapshotTable[[#This Row],[LC Contract Value]] * SnapshotTable[[#This Row],[LC Qty]] * 100, "")</f>
        <v/>
      </c>
      <c r="DV136" s="9" t="str">
        <f>IF(AND(ISNUMBER(SnapshotTable[[#This Row],[LC Total Value]]), SnapshotTable[[#This Row],[LC Not Filled]]&lt;&gt;"Y"), SnapshotTable[[#This Row],[LC Total Value]]-SnapshotTable[[#This Row],[LC Premium]],"")</f>
        <v/>
      </c>
      <c r="DW136" s="225" t="str">
        <f>IF(ISNUMBER(SnapshotTable[[#This Row],[LC Actual Gain Loss]]), SnapshotTable[[#This Row],[LC Actual Gain Loss]] / SnapshotTable[[#This Row],[LC Premium]],"")</f>
        <v/>
      </c>
      <c r="DX136" s="269" t="str">
        <f>IF(ISNUMBER(SnapshotTable[[#This Row],[LC Book Price]]),SnapshotTable[[#This Row],[LC Book Price]] * 1.5,"")</f>
        <v/>
      </c>
      <c r="DY136" s="250" t="str">
        <f>IF(SnapshotTable[[#This Row],[LC Premium]]&gt;0, SnapshotTable[[#This Row],[LC Next Target]] * SnapshotTable[[#This Row],[LC Qty]] * 100,"")</f>
        <v/>
      </c>
      <c r="DZ136" s="250" t="str">
        <f>IF(ISNUMBER(SnapshotTable[[#This Row],[LC Target Gross]]), SnapshotTable[[#This Row],[LC Target Gross]] - SnapshotTable[[#This Row],[LC Premium]], "")</f>
        <v/>
      </c>
      <c r="EA136" s="283" t="str">
        <f>IF(ISNUMBER(SnapshotTable[[#This Row],[LC Target Gain Loss]]), SnapshotTable[[#This Row],[LC Target Gain Loss]]/SnapshotTable[[#This Row],[LC Premium]], "")</f>
        <v/>
      </c>
      <c r="EB136" s="247"/>
      <c r="EC136" s="268" t="str">
        <f>IF(SnapshotTable[[#This Row],[LC Premium]]&gt;0, SnapshotTable[[#This Row],[LC Book Price]] * (1 - LC_StopLoss_Pct),"")</f>
        <v/>
      </c>
      <c r="ED136" s="269"/>
      <c r="EE136" s="268" t="str">
        <f>IF(ISNUMBER(SnapshotTable[[#This Row],[LC Contract Value]]),IF(ISNUMBER(SnapshotTable[[#This Row],[LC Stop Loss Override]]), SnapshotTable[[#This Row],[LC Stop Loss Override]],SnapshotTable[[#This Row],[LC Stop Loss Calc Target]]),"")</f>
        <v/>
      </c>
      <c r="EF136" s="31" t="str">
        <f>IF(ISNUMBER(SnapshotTable[[#This Row],[LC Stop  To Use]]), (SnapshotTable[[#This Row],[LC Stop  To Use]] * SnapshotTable[[#This Row],[LC Qty]] * 100),"")</f>
        <v/>
      </c>
      <c r="EG136" s="9" t="str">
        <f>IF(ISNUMBER(SnapshotTable[[#This Row],[LC Total Value]]),SnapshotTable[[#This Row],[LC Stop Loss Amount]] - SnapshotTable[[#This Row],[LC Premium]],"")</f>
        <v/>
      </c>
      <c r="EH136" s="9">
        <f>IF(ISNUMBER(SnapshotTable[[#This Row],[LC Premium]]), SnapshotTable[[#This Row],[LC Qty]] * 100 * SnapshotTable[[#This Row],[LC Strike Price]], "")</f>
        <v>0</v>
      </c>
      <c r="EI136" s="225" t="str">
        <f>IF(AND(ISNUMBER(SnapshotTable[[#This Row],[LC Total Value]]),SnapshotTable[[#This Row],[LC Total Value]]&gt;0),SnapshotTable[[#This Row],[LC Stop Gain Loss]]  / SnapshotTable[[#This Row],[LC Premium]],"")</f>
        <v/>
      </c>
      <c r="EJ136" s="35">
        <f>IF(ISNUMBER(SnapshotTable[[#This Row],[Equity Shares]]),TRUNC(SnapshotTable[[#This Row],[Equity Shares]] / 100),0) + SnapshotTable[[#This Row],[LC Qty]]</f>
        <v>0</v>
      </c>
      <c r="EK136" s="145"/>
      <c r="EL136" s="136"/>
      <c r="EM136" s="146"/>
      <c r="EN136" s="145"/>
      <c r="EO136" s="145"/>
      <c r="EP136" s="136"/>
      <c r="EQ136" s="382" t="b">
        <f>AND(ISNUMBER(SnapshotTable[[#This Row],[SC Exp Date]]), ISNUMBER(SnapshotTable[[#This Row],[SC Strike Price]]), ISNUMBER(SnapshotTable[[#This Row],[SC Qty]]), ISNUMBER(SnapshotTable[[#This Row],[SC Book Date]]), ISNUMBER(SnapshotTable[[#This Row],[SC Book Price]]))</f>
        <v>0</v>
      </c>
      <c r="ER136" s="382" t="b">
        <f>AND(SnapshotTable[[#This Row],[SC Is Booked]], NOT(ISBLANK(SnapshotTable[[#This Row],[SC Fill Date]])))</f>
        <v>0</v>
      </c>
      <c r="ES136" s="340"/>
      <c r="ET136" s="34" t="str">
        <f>IF(AND(ISNUMBER(SnapshotTable[[#This Row],[SC Exp Date]]), ISNUMBER(SnapshotTable[[#This Row],[SC Book Date]])), SnapshotTable[[#This Row],[SC Exp Date]] - MAX(SnapshotTable[[#This Row],[SC Book Date]], SnapshotTable[[#This Row],[SC Fill Date]]) + 1, "")</f>
        <v/>
      </c>
      <c r="EU136" s="34" t="str">
        <f>IF(ISNUMBER(SnapshotTable[[#This Row],[SC Term]]), SnapshotTable[[#This Row],[SC Exp Date]]- MockToday, "")</f>
        <v/>
      </c>
      <c r="EV136" s="31">
        <f>IF(SnapshotTable[[#This Row],[SC Is Booked]], SnapshotTable[[#This Row],[SC Qty]] * SnapshotTable[[#This Row],[SC Book Price]] * 100, 0)</f>
        <v>0</v>
      </c>
      <c r="EW136" s="4" t="str">
        <f>IF(AND(ISNUMBER(SnapshotTable[[#This Row],[Last Price]]), ISNUMBER( SnapshotTable[[#This Row],[SC Book Price]])), SnapshotTable[[#This Row],[Last Price]] - SnapshotTable[[#This Row],[SC Book Price]],"")</f>
        <v/>
      </c>
      <c r="EX136" s="219" t="str">
        <f>IF(SnapshotTable[[#This Row],[SC Is Booked]],IF(SnapshotTable[[#This Row],[SC Intrinsic Value]] &gt; 0, SnapshotTable[[#This Row],[SC Strike Price]], SnapshotTable[[#This Row],[Last Price]]), "")</f>
        <v/>
      </c>
      <c r="EY136" s="4">
        <f>IF(SnapshotTable[[#This Row],[SC Is Booked]], (MinimumPremiumRequired * SnapshotTable[[#This Row],[SC Basis]] * SnapshotTable[[#This Row],[SC Term]]), 0)</f>
        <v>0</v>
      </c>
      <c r="EZ136" s="268"/>
      <c r="FA136" s="204"/>
      <c r="FB136" s="340"/>
      <c r="FC136" s="4">
        <f>IF(SnapshotTable[[#This Row],[SC Is Filled]], btc_max_buyback_amount(SnapshotTable[[#This Row],[SC Fill Date]],SnapshotTable[[#This Row],[SC Exp Date]], SnapshotTable[[#This Row],[SC Book Price]]),0)</f>
        <v>0</v>
      </c>
      <c r="FD136" s="5"/>
      <c r="FE136" s="142" t="str">
        <f>IF(SnapshotTable[[#This Row],[SC Is Filled]], btc_next_cutoff_date(SnapshotTable[[#This Row],[SC Fill Date]],SnapshotTable[[#This Row],[SC Exp Date]]),"")</f>
        <v/>
      </c>
      <c r="FF136" s="4" t="str" cm="1">
        <f t="array" ref="FF136">IF(SnapshotTable[[#This Row],[SC Is Filled]], btc_should_buy_back(SnapshotTable[[#This Row],[SC Fill Date]], SnapshotTable[[#This Row],[SC Exp Date]], SnapshotTable[[#This Row],[SC Book Price]], SnapshotTable[[#This Row],[SC Current Ask]], MockToday, SnapshotTable[[#This Row],[SC Buyback Override]]),"")</f>
        <v/>
      </c>
      <c r="FG136" s="4">
        <f>IF(SnapshotTable[[#This Row],[SC Is Filled]], MAX(0,SnapshotTable[[#This Row],[Last Price]]  - SnapshotTable[[#This Row],[SC Strike Price]]), 0)</f>
        <v>0</v>
      </c>
      <c r="FH136" s="352">
        <f>IF(SnapshotTable[[#This Row],[SC Is Filled]], IF(ISNUMBER(SnapshotTable[[#This Row],[SC Current Ask]]), SnapshotTable[[#This Row],[SC Current Ask]], SnapshotTable[[#This Row],[SC Book Price]]) - SnapshotTable[[#This Row],[SC Intrinsic Value]], 0)</f>
        <v>0</v>
      </c>
      <c r="FI136" s="141"/>
      <c r="FJ136" s="32" t="str">
        <f>IF(SnapshotTable[[#This Row],[SC Is Filled]],100 * SnapshotTable[[#This Row],[SC Qty]] * IF(ISNUMBER(SnapshotTable[[#This Row],[SC Buyback Override]]), SnapshotTable[[#This Row],[SC Buyback Override]], SnapshotTable[[#This Row],[SC Current Ask]]), "")</f>
        <v/>
      </c>
      <c r="FK136" s="235" t="str">
        <f>IF(SnapshotTable[[#This Row],[SC Time Val]]&gt;0, SnapshotTable[[#This Row],[SC Time Val]] / SnapshotTable[[#This Row],[Last Price]],"")</f>
        <v/>
      </c>
      <c r="FL136" s="280" t="str">
        <f>IF(SnapshotTable[[#This Row],[SC Is Booked]], ((SnapshotTable[[#This Row],[Last Price]] -SnapshotTable[[#This Row],[SC Strike Price]]) / SnapshotTable[[#This Row],[Last Price]]) * -1, "")</f>
        <v/>
      </c>
      <c r="FM136" s="155" t="str">
        <f>IF(SnapshotTable[[#This Row],[SC Is Booked]],  (SnapshotTable[[#This Row],[SC Qty]] * 100 * SnapshotTable[[#This Row],[SC Strike Price]]) - SnapshotTable[[#This Row],[SC Current Ask]], "")</f>
        <v/>
      </c>
      <c r="FN13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6" s="31" t="str">
        <f>IF(AND(ISNUMBER(SnapshotTable[[#This Row],[SC Exercise Gross]]), ISNUMBER(SnapshotTable[[#This Row],[Equity Basis Per Share]] )), SnapshotTable[[#This Row],[SC Exercise Gross]] - SnapshotTable[[#This Row],[Equity Basis Total]] +  SnapshotTable[[#This Row],[SC Premium]], "")</f>
        <v/>
      </c>
      <c r="FP136" s="5" t="str">
        <f>IF(ISNUMBER(SnapshotTable[[#This Row],[SC Exercise Gross]]), (SnapshotTable[[#This Row],[SC Exercise Gross]]) / (SnapshotTable[[#This Row],[SC Qty]] * 100), "")</f>
        <v/>
      </c>
      <c r="FQ136" s="27" t="str">
        <f>IF(SnapshotTable[[#This Row],[SC Is Booked]],SnapshotTable[[#This Row],[SC Time Val]] /SnapshotTable[[#This Row],[SC Basis]], "")</f>
        <v/>
      </c>
      <c r="FR136" s="27" t="str" cm="1">
        <f t="array" ref="FR136">IF(AND(ISNUMBER(SnapshotTable[[#This Row],[SC Term]]),ISNUMBER(SnapshotTable[[#This Row],[SC Simple ROO]])), EllmanAnnualize(SnapshotTable[[#This Row],[SC DTE]], SnapshotTable[[#This Row],[SC Simple ROO]] ),"")</f>
        <v/>
      </c>
      <c r="FS136" s="4">
        <f>IF(SnapshotTable[[#This Row],[SC Strike Price]] &gt; SnapshotTable[[#This Row],[Last Price]], SnapshotTable[[#This Row],[SC Strike Price]] - SnapshotTable[[#This Row],[Last Price]],0)</f>
        <v>0</v>
      </c>
      <c r="FT136" s="27" t="str">
        <f>IF(AND(ISNUMBER(SnapshotTable[[#This Row],[SC Upside Potential]]), SnapshotTable[[#This Row],[SC Upside Potential]] &gt; 0),(SnapshotTable[[#This Row],[SC Upside Potential]]/ SnapshotTable[[#This Row],[ACB]]),"")</f>
        <v/>
      </c>
      <c r="FU136" s="304" t="str">
        <f>IF(SnapshotTable[[#This Row],[SC Intrinsic Value]] &gt; 0,SnapshotTable[[#This Row],[SC Intrinsic Value]],"")</f>
        <v/>
      </c>
      <c r="FV136" s="27" t="str">
        <f>IF(AND( ISNUMBER( SnapshotTable[[#This Row],[ACB]]),ISNUMBER(SnapshotTable[[#This Row],[SC Downside Protect]])),SnapshotTable[[#This Row],[SC Downside Protect]] / SnapshotTable[[#This Row],[ACB]],"")</f>
        <v/>
      </c>
      <c r="FW136" s="221" t="str">
        <f>IF(AND(ISNUMBER(SnapshotTable[[#This Row],[SC Simple ROO]]),SnapshotTable[[#This Row],[SC Simple ROO]] &gt; 0), SnapshotTable[[#This Row],[SC Premium]] + (SnapshotTable[[#This Row],[SC Qty]] * SnapshotTable[[#This Row],[SC Upside Potential]]), "")</f>
        <v/>
      </c>
      <c r="FX136" s="280" t="str" cm="1">
        <f t="array" ref="FX136">IF(ISNUMBER(SnapshotTable[[#This Row],[SC Max Dollars]]), annualize(SnapshotTable[[#This Row],[SC Term]],(SnapshotTable[[#This Row],[SC Max Dollars]]/SnapshotTable[[#This Row],[SC Basis]])),"")</f>
        <v/>
      </c>
      <c r="FY136" s="221" t="str">
        <f>IF(AND(SnapshotTable[[#This Row],[SC Qty]]&gt;0,SnapshotTable[[#This Row],[SC Current Ask]]&gt;0), SnapshotTable[[#This Row],[SC Qty]] * SnapshotTable[[#This Row],[SC Current Ask]] * -100, "")</f>
        <v/>
      </c>
      <c r="FZ136" s="31" t="str">
        <f>IF(ISNUMBER((SnapshotTable[[#This Row],[SC Current Value]])), SnapshotTable[[#This Row],[SC Premium]] + SnapshotTable[[#This Row],[SC Current Value]], "")</f>
        <v/>
      </c>
      <c r="GA136" s="272" t="str">
        <f>IFERROR( IF(ISNUMBER((SnapshotTable[[#This Row],[SC Current Value]])), SnapshotTable[[#This Row],[SC Gain Loss]] / SnapshotTable[[#This Row],[SC Premium]], ""), "")</f>
        <v/>
      </c>
      <c r="GB136" s="42">
        <f>SnapshotTable[[#This Row],[Equity Shares]] * SaleSharesToConsiderPercentage</f>
        <v>0</v>
      </c>
      <c r="GC136" s="40">
        <f>SnapshotTable[[#This Row],[Long Term Target]] * SellingPriceToConsiderBasedOnTargetPercentage</f>
        <v>76.95</v>
      </c>
      <c r="GD136" s="40">
        <f>SnapshotTable[[#This Row],[Last Price]] * (1+ SellingPriceToConsiderBasedOnTargetPercentage)</f>
        <v>23.4</v>
      </c>
      <c r="GE136" s="41"/>
      <c r="GF136" s="40"/>
      <c r="GG136" s="31">
        <f>SnapshotTable[[#This Row],[Booked Sale Shares]] * SnapshotTable[[#This Row],[Booked Sale Price]]</f>
        <v>0</v>
      </c>
      <c r="GH136" s="31" t="str">
        <f>IF(SnapshotTable[[#This Row],[Equity Basis Total]] &gt; 0, SnapshotTable[[#This Row],[Equity Basis Per Share]] * SnapshotTable[[#This Row],[Booked Sale Shares]], "")</f>
        <v/>
      </c>
      <c r="GI136" s="31">
        <f>IF(SnapshotTable[[#This Row],[Sale Proceeds]]&gt;0, SnapshotTable[[#This Row],[Sale Proceeds]] - SnapshotTable[[#This Row],[Sale Basis]], 0)</f>
        <v>0</v>
      </c>
      <c r="GJ136" s="27" t="str">
        <f>IF(SnapshotTable[[#This Row],[Sale G/L]]&gt;0, SnapshotTable[[#This Row],[Sale G/L]] / SnapshotTable[[#This Row],[Sale Basis]], IF(ISNUMBER(SnapshotTable[[#This Row],[SC Exercise P&amp;L (TAX)]]), SnapshotTable[[#This Row],[SC Exercise P&amp;L (TAX)]] / SnapshotTable[[#This Row],[SC Basis]], ""))</f>
        <v/>
      </c>
      <c r="GK136" s="27"/>
      <c r="GL136" s="43" t="str">
        <f>IF(AND(SnapshotTable[[#This Row],[LP Exp Date]]&gt;0,SnapshotTable[[#This Row],[LP Strike Price]]&gt;0), [1]!ToOptionSymbol(SnapshotTable[[#This Row],[Symbol]], SnapshotTable[[#This Row],[LP Strike Price]],SnapshotTable[[#This Row],[LP Exp Date]],1), "")</f>
        <v/>
      </c>
      <c r="GM136" s="30" t="str">
        <f>IF(LEN(SnapshotTable[[#This Row],[LP Symbol]])&gt;0, 1, "")</f>
        <v/>
      </c>
      <c r="GN136" s="43" t="str">
        <f>IF(AND(SnapshotTable[[#This Row],[SP Exp Date]]&gt;0,SnapshotTable[[#This Row],[SP Strike Price]]&gt;0), [1]!ToOptionSymbol(SnapshotTable[[#This Row],[Symbol]], SnapshotTable[[#This Row],[SP Strike Price]],SnapshotTable[[#This Row],[SP Exp Date]],1), "")</f>
        <v/>
      </c>
      <c r="GO136" s="30" t="str">
        <f>IF(LEN(SnapshotTable[[#This Row],[SP Symbol]])&gt;0, 1, "")</f>
        <v/>
      </c>
      <c r="GP136" s="43" t="str">
        <f>IF(AND(SnapshotTable[[#This Row],[LC Exp Date]]&gt;0,SnapshotTable[[#This Row],[LC Strike Price]]&gt;0), [1]!ToOptionSymbol(SnapshotTable[[#This Row],[Symbol]], SnapshotTable[[#This Row],[LC Strike Price]],SnapshotTable[[#This Row],[LC Exp Date]],0), "")</f>
        <v/>
      </c>
      <c r="GQ136" s="30" t="str">
        <f>IF(LEN(SnapshotTable[[#This Row],[LC Symbol]])&gt;0, 1, "")</f>
        <v/>
      </c>
      <c r="GR136" s="43" t="str">
        <f>IF(AND(SnapshotTable[[#This Row],[SC Exp Date]]&gt;0,SnapshotTable[[#This Row],[SC Strike Price]]&gt;0), [1]!ToOptionSymbol(SnapshotTable[[#This Row],[Symbol]], SnapshotTable[[#This Row],[SC Strike Price]],SnapshotTable[[#This Row],[SC Exp Date]],0), "")</f>
        <v/>
      </c>
      <c r="GS136" s="30" t="str">
        <f>IF(LEN(SnapshotTable[[#This Row],[SC Symbol]])&gt;0, 1, "")</f>
        <v/>
      </c>
      <c r="GT136" s="29" t="str">
        <f>IF(COUNT(SnapshotTable[[#This Row],[LP Symbol Count]],SnapshotTable[[#This Row],[SP Symbol Count]],SnapshotTable[[#This Row],[LC Symbol Count]],SnapshotTable[[#This Row],[SC Symbol Count]])&gt;0, "Y", "")</f>
        <v/>
      </c>
      <c r="GU1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6" s="216">
        <f>MAX(SnapshotTable[[#This Row],[Equity Basis Total]],SnapshotTable[[#This Row],[Equity Value]]) + (SnapshotTable[[#This Row],[SP Potential Spend]]- SnapshotTable[[#This Row],[SP Premium]] + SnapshotTable[[#This Row],[LP Premium]])+ (SnapshotTable[[#This Row],[LC Premium]] - SnapshotTable[[#This Row],[SC Premium]])</f>
        <v>0</v>
      </c>
      <c r="GW136" s="137" t="str">
        <f>IF(AND(SnapshotTable[[#This Row],[Exposure]] &lt;&gt; 0),SnapshotTable[[#This Row],[Exposure]] / SnapshotTable[[#Totals],[Exposure]], "")</f>
        <v/>
      </c>
      <c r="HE136" s="253"/>
      <c r="HF136" s="253"/>
      <c r="HK136" s="1"/>
      <c r="HL136" s="1"/>
      <c r="HM136" s="1"/>
      <c r="HN136" s="1"/>
      <c r="HO136" s="1"/>
      <c r="HP136" s="1"/>
    </row>
    <row r="137" spans="2:224" ht="12.75" hidden="1" customHeight="1" x14ac:dyDescent="0.25">
      <c r="B137" s="12" t="s">
        <v>43</v>
      </c>
      <c r="C137" s="385">
        <v>193.94</v>
      </c>
      <c r="D137" s="200"/>
      <c r="E137" s="39">
        <f>SnapshotTable[[#This Row],[Last Price]]*(1 -CrashDiscount)</f>
        <v>164.84899999999999</v>
      </c>
      <c r="F137" s="26" t="s">
        <v>42</v>
      </c>
      <c r="G137" s="26" t="s">
        <v>10</v>
      </c>
      <c r="H137" s="147"/>
      <c r="I137" s="186">
        <v>44735.291666666664</v>
      </c>
      <c r="J137" s="187">
        <v>44735.291666666664</v>
      </c>
      <c r="K137" s="188" t="s">
        <v>3</v>
      </c>
      <c r="L137" s="297"/>
      <c r="M137" s="138"/>
      <c r="N137" s="138"/>
      <c r="O137" s="138"/>
      <c r="P137" s="22"/>
      <c r="Q137" s="25"/>
      <c r="R137" s="4" t="str">
        <f>IF(SnapshotTable[[#This Row],[Equity Basis Total]] &gt; 0, SnapshotTable[[#This Row],[Equity Basis Total]] / SnapshotTable[[#This Row],[Equity Shares]], "")</f>
        <v/>
      </c>
      <c r="S137" s="254">
        <f>SnapshotTable[[#This Row],[Last Price]] * SnapshotTable[[#This Row],[Equity Shares]]</f>
        <v>0</v>
      </c>
      <c r="T137" s="254">
        <f>SnapshotTable[[#This Row],[Equity Value]] - SnapshotTable[[#This Row],[Equity Basis Total]]</f>
        <v>0</v>
      </c>
      <c r="U137" s="255" t="str">
        <f>IF(SnapshotTable[[#This Row],[Equity Basis Total]] &gt; 0, SnapshotTable[[#This Row],[Equity G/L]] / SnapshotTable[[#This Row],[Equity Basis Total]], "")</f>
        <v/>
      </c>
      <c r="V137" s="253"/>
      <c r="W137" s="253"/>
      <c r="X137" s="4" t="str">
        <f>IF(AND(ISNUMBER(SnapshotTable[[#This Row],[Equity Basis Per Share]]),ISNUMBER(SnapshotTable[[#This Row],[Equity Target]])),SnapshotTable[[#This Row],[Equity Target]]-SnapshotTable[[#This Row],[Equity Basis Per Share]],"")</f>
        <v/>
      </c>
      <c r="Y137" s="4" t="str">
        <f>IF(AND(ISNUMBER(SnapshotTable[[#This Row],[Equity Basis Per Share]]),ISNUMBER(SnapshotTable[[#This Row],[Equity Stop Loss]])),SnapshotTable[[#This Row],[Equity Stop Loss]]-SnapshotTable[[#This Row],[Equity Basis Per Share]],"")</f>
        <v/>
      </c>
      <c r="Z137" s="260" t="str">
        <f>IFERROR( TEXT(SnapshotTable[[#This Row],[Equity Max Gain Per Share]] /ABS( SnapshotTable[[#This Row],[Equity Max Loss Per Share]]),"0.0 " ) &amp; " : 1", "")</f>
        <v/>
      </c>
      <c r="AA137" s="31" t="str">
        <f>IF(ISNUMBER(SnapshotTable[[#This Row],[Equity Max Gain Per Share]]),SnapshotTable[[#This Row],[Equity Max Gain Per Share]] * SnapshotTable[[#This Row],[Equity Shares]],"")</f>
        <v/>
      </c>
      <c r="AB137" s="31" t="str">
        <f>IF(ISNUMBER(SnapshotTable[[#This Row],[Equity Max Loss Per Share]]),SnapshotTable[[#This Row],[Equity Max Loss Per Share]] * SnapshotTable[[#This Row],[Equity Shares]],"")</f>
        <v/>
      </c>
      <c r="AC137" s="148"/>
      <c r="AD137" s="149"/>
      <c r="AE137" s="31">
        <f>(SnapshotTable[[#This Row],[Annual Dividend Per Share]] / 4) * SnapshotTable[[#This Row],[Equity Shares]]</f>
        <v>0</v>
      </c>
      <c r="AF137" s="31">
        <f>SnapshotTable[[#This Row],[Quarterly Div $]] * 4</f>
        <v>0</v>
      </c>
      <c r="AG137" s="7">
        <f>IF(SnapshotTable[[#This Row],[Annual Dividend Per Share]]&gt;0, SnapshotTable[[#This Row],[Annual Dividend Per Share]]  / SnapshotTable[[#This Row],[Last Price]], 0)</f>
        <v>0</v>
      </c>
      <c r="AH137" s="149"/>
      <c r="AI137" s="5"/>
      <c r="AJ137" s="136">
        <v>102.82</v>
      </c>
      <c r="AK137" s="150" t="str">
        <f>IF(ISNUMBER( SnapshotTable[[#This Row],[EBF Target]]),(SnapshotTable[[#This Row],[EBF Target]] - SnapshotTable[[#This Row],[Last Price]]) / SnapshotTable[[#This Row],[Last Price]], "")</f>
        <v/>
      </c>
      <c r="AL137" s="150" t="str">
        <f>IF(AND(SnapshotTable[[#This Row],[Equity Basis Total]] &gt; 0,ISNUMBER( SnapshotTable[[#This Row],[Long Term Target]])), SnapshotTable[[#This Row],[From Basis $]] / SnapshotTable[[#This Row],[Equity Basis Total]], "")</f>
        <v/>
      </c>
      <c r="AM137" s="9">
        <f>IF( AND(SnapshotTable[[#This Row],[Equity Shares]] &gt;0,ISNUMBER( SnapshotTable[[#This Row],[Long Term Target]])),(SnapshotTable[[#This Row],[Equity Shares]] * SnapshotTable[[#This Row],[Long Term Target]]) - SnapshotTable[[#This Row],[Equity Basis Total]],0)</f>
        <v>0</v>
      </c>
      <c r="AN137" s="9">
        <f>IF( AND(SnapshotTable[[#This Row],[Equity Shares]] &gt;0,ISNUMBER( SnapshotTable[[#This Row],[Long Term Target]])),(SnapshotTable[[#This Row],[Equity Shares]]*SnapshotTable[[#This Row],[Long Term Target]]) - SnapshotTable[[#This Row],[Equity Value]],0)</f>
        <v>0</v>
      </c>
      <c r="AO137" s="150">
        <f>IF(AND(ISNUMBER( SnapshotTable[[#This Row],[Long Term Target]]), ISNUMBER(SnapshotTable[[#This Row],[Last Price]])),(SnapshotTable[[#This Row],[Long Term Target]] - SnapshotTable[[#This Row],[Last Price]]) / SnapshotTable[[#This Row],[Last Price]], "")</f>
        <v>-0.4698360317624008</v>
      </c>
      <c r="AP137" s="5"/>
      <c r="AQ137" s="38"/>
      <c r="AR137" s="5"/>
      <c r="AS137" s="38"/>
      <c r="AT137" s="144"/>
      <c r="AU137" s="185" t="str">
        <f>IF(OR(SnapshotTable[[#This Row],[LP No Fill]]="Y",SnapshotTable[[#This Row],[SP Is Filled]],SnapshotTable[[#This Row],[LC Not Filled]]="Y",SnapshotTable[[#This Row],[SC Is Filled]]),"Y","")</f>
        <v/>
      </c>
      <c r="AV137" s="205"/>
      <c r="AW137" s="211"/>
      <c r="AX137" s="206"/>
      <c r="AY137" s="205" t="str">
        <f>IF(SnapshotTable[[#This Row],[Implied Move]]&gt;0, SnapshotTable[[#This Row],[Last Price]]-SnapshotTable[[#This Row],[Implied Move]],"")</f>
        <v/>
      </c>
      <c r="AZ137" s="205" t="str">
        <f>IF(SnapshotTable[[#This Row],[Implied Move]]&gt;0, SnapshotTable[[#This Row],[Last Price]] + SnapshotTable[[#This Row],[Implied Move]],"")</f>
        <v/>
      </c>
      <c r="BA137" s="302"/>
      <c r="BB137" s="318"/>
      <c r="BC1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7" s="321"/>
      <c r="BE137" s="5"/>
      <c r="BF137" s="14"/>
      <c r="BG137" s="13"/>
      <c r="BH137" s="13"/>
      <c r="BI137" s="5"/>
      <c r="BJ137" s="134">
        <f>IF(SnapshotTable[[#This Row],[LP Qty]] &gt; 0, SnapshotTable[[#This Row],[LP Qty]] * SnapshotTable[[#This Row],[LP Book Price]] * 100,0)</f>
        <v>0</v>
      </c>
      <c r="BK137" s="134">
        <f>IF(SnapshotTable[[#This Row],[LP Premium]] &gt; 0, SnapshotTable[[#This Row],[LP Qty]] * SnapshotTable[[#This Row],[LP Strike Price]] * 100,0)</f>
        <v>0</v>
      </c>
      <c r="BL137" s="152"/>
      <c r="BM137" s="355" t="str">
        <f>IF(SnapshotTable[[#This Row],[LP Premium]] &gt; 0,SnapshotTable[[#This Row],[LP Exp Date]]-MAX(SnapshotTable[[#This Row],[LP Book Date]], SnapshotTable[[#This Row],[LP Fill Date]]),"")</f>
        <v/>
      </c>
      <c r="BN137" s="355" t="str">
        <f>IF(ISNUMBER( SnapshotTable[[#This Row],[LP Term]]), SnapshotTable[[#This Row],[LP Exp Date]] - MockToday,"")</f>
        <v/>
      </c>
      <c r="BO137" s="161" t="str">
        <f>IF(AND(SnapshotTable[[#This Row],[LP Exp Date]]&gt;0, SnapshotTable[[#This Row],[LP Strike Price]]&gt;0,SnapshotTable[[#This Row],[LP Qty]]&gt;0,SnapshotTable[[#This Row],[LP Book Date]]&gt;0,SnapshotTable[[#This Row],[LP Book Price]]&gt;0,SnapshotTable[[#This Row],[LP Fill Date]]=0),"Y","")</f>
        <v/>
      </c>
      <c r="BP137" s="31" t="str">
        <f>IF(AND(SnapshotTable[[#This Row],[LP No Fill]]&lt;&gt;"Y",SnapshotTable[[#This Row],[LP Contract Value]]&gt;0, SnapshotTable[[#This Row],[LP Qty]]&gt;0), SnapshotTable[[#This Row],[LP Contract Value]]*SnapshotTable[[#This Row],[LP Qty]]*100,"")</f>
        <v/>
      </c>
      <c r="BQ137" s="13"/>
      <c r="BR137" s="5"/>
      <c r="BS137" s="36"/>
      <c r="BT137" s="145"/>
      <c r="BU137" s="13"/>
      <c r="BV137" s="5"/>
      <c r="BW137" s="382" t="b">
        <f>AND(ISNUMBER(SnapshotTable[[#This Row],[SP Exp Date]]), ISNUMBER(SnapshotTable[[#This Row],[SP Strike Price]]), ISNUMBER(SnapshotTable[[#This Row],[SP Qty]]), ISNUMBER(SnapshotTable[[#This Row],[SP Book Date]]), ISNUMBER(SnapshotTable[[#This Row],[SP Book Price]]))</f>
        <v>0</v>
      </c>
      <c r="BX137" s="382" t="b">
        <f>AND(SnapshotTable[[#This Row],[SP Is Booked]], NOT(ISBLANK(SnapshotTable[[#This Row],[SP Fill Date]])))</f>
        <v>0</v>
      </c>
      <c r="BY137" s="33">
        <f>IF(SnapshotTable[[#This Row],[SP Is Booked]], SnapshotTable[[#This Row],[SP Qty]] * SnapshotTable[[#This Row],[SP Book Price]] * 100, 0)</f>
        <v>0</v>
      </c>
      <c r="BZ137" s="339"/>
      <c r="CA137" s="338">
        <f>SnapshotTable[[#This Row],[LP Qty]]</f>
        <v>0</v>
      </c>
      <c r="CB137" s="4" t="str">
        <f>IF(SnapshotTable[[#This Row],[SP Is Booked]], SnapshotTable[[#This Row],[SP Strike Price]] - SnapshotTable[[#This Row],[SP Book Price]], "")</f>
        <v/>
      </c>
      <c r="CC137" s="19" t="str">
        <f>IF(SnapshotTable[[#This Row],[SP Is Booked]],SnapshotTable[[#This Row],[SP Exp Date]]-MAX(SnapshotTable[[#This Row],[SP Book Date]], SnapshotTable[[#This Row],[SP Fill Date]]),"")</f>
        <v/>
      </c>
      <c r="CD137" s="7" t="str">
        <f>IF(SnapshotTable[[#This Row],[SP Is Booked]], SnapshotTable[[#This Row],[SP Book Price]]/SnapshotTable[[#This Row],[SP Strike Price]], "")</f>
        <v/>
      </c>
      <c r="CE137" s="7" t="str">
        <f>IF(ISNUMBER(SnapshotTable[[#This Row],[SP ROO Term]]),SnapshotTable[[#This Row],[SP ROO Term]]*(365/SnapshotTable[[#This Row],[SP Term]]),"")</f>
        <v/>
      </c>
      <c r="CF137" s="221">
        <f>SnapshotTable[[#This Row],[LP Strike Price]] * SnapshotTable[[#This Row],[LP Qty]] * 100</f>
        <v>0</v>
      </c>
      <c r="CG137" s="31">
        <f>IF(ISNUMBER(SnapshotTable[[#This Row],[SP Premium]]), (SnapshotTable[[#This Row],[SP Qty]] * SnapshotTable[[#This Row],[SP Strike Price]]* 100) - SnapshotTable[[#This Row],[LP Protection]], 0)</f>
        <v>0</v>
      </c>
      <c r="CH137" s="7" t="str">
        <f>IF(ISNUMBER(SnapshotTable[[#This Row],[SP Break Even]]),-1 * (SnapshotTable[[#This Row],[SP Break Even]] - SnapshotTable[[#This Row],[Last Price]]) / SnapshotTable[[#This Row],[Last Price]], "")</f>
        <v/>
      </c>
      <c r="CI137" s="31">
        <f>IF(AND(ISNUMBER((SnapshotTable[[#This Row],[SP Potential Spend]])), SnapshotTable[[#This Row],[SP Strike Price]] &gt; SnapshotTable[[#This Row],[Last Price]], SnapshotTable[[#This Row],[SP Is Filled]]), SnapshotTable[[#This Row],[SP Potential Spend]] -  SnapshotTable[[#This Row],[LP Max Value]], 0)</f>
        <v>0</v>
      </c>
      <c r="CJ137" s="229"/>
      <c r="CK137" s="31">
        <f>IF(ISNUMBER(SnapshotTable[[#This Row],[SP Potential Spend]]),IF(ISNUMBER(SnapshotTable[[#This Row],[SP POW]]), SnapshotTable[[#This Row],[SP POW]] * SnapshotTable[[#This Row],[SP Potential Spend]], SnapshotTable[[#This Row],[SP Potential Spend]]), "")</f>
        <v>0</v>
      </c>
      <c r="CL137" s="162">
        <f>IF(NOT(SnapshotTable[[#This Row],[SP Is Filled]]),(SnapshotTable[[#This Row],[SP Qty]] * SnapshotTable[[#This Row],[SP Strike Price]] * 100) - SnapshotTable[[#This Row],[LP Max Value]],"")</f>
        <v>0</v>
      </c>
      <c r="CM137" s="31" t="str">
        <f>IF(SnapshotTable[[#This Row],[SP Actual Spend]]&lt;&gt;0, ((SnapshotTable[[#This Row],[SP Strike Price]]-SnapshotTable[[#This Row],[Last Price]]) *(SnapshotTable[[#This Row],[SP Qty]]*100) - SnapshotTable[[#This Row],[SP Premium]]) * - 1, "")</f>
        <v/>
      </c>
      <c r="CN137" s="76"/>
      <c r="CO137" s="339"/>
      <c r="CP137" s="4" t="str">
        <f>IF(SnapshotTable[[#This Row],[SP Is Filled]], btc_max_buyback_amount(SnapshotTable[[#This Row],[SP Fill Date]],SnapshotTable[[#This Row],[SP Exp Date]], SnapshotTable[[#This Row],[SP Book Price]]),"")</f>
        <v/>
      </c>
      <c r="CQ137" s="76"/>
      <c r="CR1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7" s="153" t="str">
        <f>IF(SnapshotTable[[#This Row],[SP Is Filled]], btc_next_cutoff_date(SnapshotTable[[#This Row],[SP Fill Date]],SnapshotTable[[#This Row],[SP Exp Date]]),"")</f>
        <v/>
      </c>
      <c r="CT137" s="220" t="str" cm="1">
        <f t="array" ref="CT137">IF(SnapshotTable[[#This Row],[SP Is Filled]], btc_should_buy_back(SnapshotTable[[#This Row],[SP Fill Date]], SnapshotTable[[#This Row],[SP Exp Date]], SnapshotTable[[#This Row],[SP Book Price]], SnapshotTable[[#This Row],[SP Current Ask]], MockToday, SnapshotTable[[#This Row],[SP Buyback Override]]),"")</f>
        <v/>
      </c>
      <c r="CU137" s="141"/>
      <c r="CV137" s="220"/>
      <c r="CW137" s="348" t="str">
        <f>IF(ISNUMBER( SnapshotTable[[#This Row],[SP Term]]), SnapshotTable[[#This Row],[SP Exp Date]] - MockToday,"")</f>
        <v/>
      </c>
      <c r="CX137" s="31" t="str">
        <f>IF(SnapshotTable[[#This Row],[SP Is Filled]],SnapshotTable[[#This Row],[SP Buyback Price to Use]] * 100 * SnapshotTable[[#This Row],[SP Qty]], "")</f>
        <v/>
      </c>
      <c r="CY137" s="4" t="str">
        <f>IF(ISNUMBER(SnapshotTable[[#This Row],[SP Strike Price]]), SnapshotTable[[#This Row],[SP Strike Price]] * (1 - SP_MaxLoss_StrikePct), "")</f>
        <v/>
      </c>
      <c r="CZ137" s="31" t="str">
        <f>IF(ISNUMBER(SnapshotTable[[#This Row],[SP Strike  Stop Per Share]]),SnapshotTable[[#This Row],[SP Premium]] - ((SnapshotTable[[#This Row],[SP Strike Price]]-SnapshotTable[[#This Row],[SP Strike  Stop Per Share]]) *(SnapshotTable[[#This Row],[SP Qty]] * 100)),"")</f>
        <v/>
      </c>
      <c r="DA137" s="4" t="str">
        <f>IF(AND(ISNUMBER(SnapshotTable[[#This Row],[SP Premium]]),SnapshotTable[[#This Row],[SP Premium]]&gt;0), SnapshotTable[[#This Row],[SP Book Price]] * (1 + SP_MaxLoss_OptionPct), "")</f>
        <v/>
      </c>
      <c r="DB137" s="31" t="str">
        <f>IF(ISNUMBER(SnapshotTable[[#This Row],[SP Option  Stop Contract]]),(SnapshotTable[[#This Row],[SP Option  Stop Contract]] *(SnapshotTable[[#This Row],[SP Qty]] * 100) - SnapshotTable[[#This Row],[SP Premium]]),"")</f>
        <v/>
      </c>
      <c r="DC137" s="4"/>
      <c r="DD137" s="4"/>
      <c r="DE137" s="4" t="str">
        <f>IF(AND(SnapshotTable[[#This Row],[SP Qty]]&gt;0, SnapshotTable[[#This Row],[SP Stop To Use]]&gt;0),SnapshotTable[[#This Row],[SP Premium]] - ( SnapshotTable[[#This Row],[SP Qty]] * SnapshotTable[[#This Row],[SP Stop To Use]] * 100), "")</f>
        <v/>
      </c>
      <c r="DF137" s="31" t="str">
        <f>IF(AND(SnapshotTable[[#This Row],[SP Qty]]&gt;0,SnapshotTable[[#This Row],[SP Current Ask]]&gt;0), SnapshotTable[[#This Row],[SP Qty]] * SnapshotTable[[#This Row],[SP Current Ask]] * -100, "")</f>
        <v/>
      </c>
      <c r="DG137" s="31" t="str">
        <f>IF(ISNUMBER((SnapshotTable[[#This Row],[SP Total Value]])), SnapshotTable[[#This Row],[SP Premium]] + SnapshotTable[[#This Row],[SP Total Value]], "")</f>
        <v/>
      </c>
      <c r="DH137" s="272" t="str">
        <f>IF(ISNUMBER((SnapshotTable[[#This Row],[SP Total Value]])), SnapshotTable[[#This Row],[SP Gain Loss]] / SnapshotTable[[#This Row],[SP Premium]], "")</f>
        <v/>
      </c>
      <c r="DI137" s="369"/>
      <c r="DJ137" s="136"/>
      <c r="DK137" s="146"/>
      <c r="DL137" s="13"/>
      <c r="DM137" s="13"/>
      <c r="DO137" s="31">
        <f>IF(SnapshotTable[[#This Row],[LC Symbol Count]]=1, SnapshotTable[[#This Row],[LC Qty]] * SnapshotTable[[#This Row],[LC Book Price]] * 100, 0)</f>
        <v>0</v>
      </c>
      <c r="DP137" s="161" t="str">
        <f>IF(AND(SnapshotTable[[#This Row],[LC Exp Date]]&gt;0, SnapshotTable[[#This Row],[LC Strike Price]]&gt;0,SnapshotTable[[#This Row],[LC Qty]]&gt;0,SnapshotTable[[#This Row],[LC Book Date]]&gt;0,SnapshotTable[[#This Row],[LC Book Price]]&gt;0,SnapshotTable[[#This Row],[LC Fill Date]]=0),"Y","")</f>
        <v/>
      </c>
      <c r="DQ137" s="356" t="str">
        <f>IF(SnapshotTable[[#This Row],[LC Premium]] &gt; 0,SnapshotTable[[#This Row],[LC Exp Date]]-MAX(SnapshotTable[[#This Row],[LC Book Date]], SnapshotTable[[#This Row],[LC Fill Date]]),"")</f>
        <v/>
      </c>
      <c r="DR137" s="356" t="str">
        <f>IF(ISNUMBER(SnapshotTable[[#This Row],[LC Term]]), SnapshotTable[[#This Row],[LC Exp Date]] - MockToday, "")</f>
        <v/>
      </c>
      <c r="DS137" s="219" t="str">
        <f>IF(SnapshotTable[[#This Row],[LC Premium]]&gt;0,SnapshotTable[[#This Row],[LC Strike Price]] + SnapshotTable[[#This Row],[LC Book Price]],"")</f>
        <v/>
      </c>
      <c r="DU137" s="9" t="str">
        <f>IF(AND(SnapshotTable[[#This Row],[LC Symbol Count]]&gt;0, SnapshotTable[[#This Row],[LC Contract Value]]&gt;0), SnapshotTable[[#This Row],[LC Contract Value]] * SnapshotTable[[#This Row],[LC Qty]] * 100, "")</f>
        <v/>
      </c>
      <c r="DV137" s="9" t="str">
        <f>IF(AND(ISNUMBER(SnapshotTable[[#This Row],[LC Total Value]]), SnapshotTable[[#This Row],[LC Not Filled]]&lt;&gt;"Y"), SnapshotTable[[#This Row],[LC Total Value]]-SnapshotTable[[#This Row],[LC Premium]],"")</f>
        <v/>
      </c>
      <c r="DW137" s="225" t="str">
        <f>IF(ISNUMBER(SnapshotTable[[#This Row],[LC Actual Gain Loss]]), SnapshotTable[[#This Row],[LC Actual Gain Loss]] / SnapshotTable[[#This Row],[LC Premium]],"")</f>
        <v/>
      </c>
      <c r="DX137" s="269" t="str">
        <f>IF(ISNUMBER(SnapshotTable[[#This Row],[LC Book Price]]),SnapshotTable[[#This Row],[LC Book Price]] * 1.5,"")</f>
        <v/>
      </c>
      <c r="DY137" s="250" t="str">
        <f>IF(SnapshotTable[[#This Row],[LC Premium]]&gt;0, SnapshotTable[[#This Row],[LC Next Target]] * SnapshotTable[[#This Row],[LC Qty]] * 100,"")</f>
        <v/>
      </c>
      <c r="DZ137" s="250" t="str">
        <f>IF(ISNUMBER(SnapshotTable[[#This Row],[LC Target Gross]]), SnapshotTable[[#This Row],[LC Target Gross]] - SnapshotTable[[#This Row],[LC Premium]], "")</f>
        <v/>
      </c>
      <c r="EA137" s="283" t="str">
        <f>IF(ISNUMBER(SnapshotTable[[#This Row],[LC Target Gain Loss]]), SnapshotTable[[#This Row],[LC Target Gain Loss]]/SnapshotTable[[#This Row],[LC Premium]], "")</f>
        <v/>
      </c>
      <c r="EB137" s="247"/>
      <c r="EC137" s="268" t="str">
        <f>IF(SnapshotTable[[#This Row],[LC Premium]]&gt;0, SnapshotTable[[#This Row],[LC Book Price]] * (1 - LC_StopLoss_Pct),"")</f>
        <v/>
      </c>
      <c r="ED137" s="269"/>
      <c r="EE137" s="268" t="str">
        <f>IF(ISNUMBER(SnapshotTable[[#This Row],[LC Contract Value]]),IF(ISNUMBER(SnapshotTable[[#This Row],[LC Stop Loss Override]]), SnapshotTable[[#This Row],[LC Stop Loss Override]],SnapshotTable[[#This Row],[LC Stop Loss Calc Target]]),"")</f>
        <v/>
      </c>
      <c r="EF137" s="31" t="str">
        <f>IF(ISNUMBER(SnapshotTable[[#This Row],[LC Stop  To Use]]), (SnapshotTable[[#This Row],[LC Stop  To Use]] * SnapshotTable[[#This Row],[LC Qty]] * 100),"")</f>
        <v/>
      </c>
      <c r="EG137" s="9" t="str">
        <f>IF(ISNUMBER(SnapshotTable[[#This Row],[LC Total Value]]),SnapshotTable[[#This Row],[LC Stop Loss Amount]] - SnapshotTable[[#This Row],[LC Premium]],"")</f>
        <v/>
      </c>
      <c r="EH137" s="9">
        <f>IF(ISNUMBER(SnapshotTable[[#This Row],[LC Premium]]), SnapshotTable[[#This Row],[LC Qty]] * 100 * SnapshotTable[[#This Row],[LC Strike Price]], "")</f>
        <v>0</v>
      </c>
      <c r="EI137" s="225" t="str">
        <f>IF(AND(ISNUMBER(SnapshotTable[[#This Row],[LC Total Value]]),SnapshotTable[[#This Row],[LC Total Value]]&gt;0),SnapshotTable[[#This Row],[LC Stop Gain Loss]]  / SnapshotTable[[#This Row],[LC Premium]],"")</f>
        <v/>
      </c>
      <c r="EJ137" s="35">
        <f>IF(ISNUMBER(SnapshotTable[[#This Row],[Equity Shares]]),TRUNC(SnapshotTable[[#This Row],[Equity Shares]] / 100),0) + SnapshotTable[[#This Row],[LC Qty]]</f>
        <v>0</v>
      </c>
      <c r="EK137" s="145"/>
      <c r="EL137" s="136"/>
      <c r="EM137" s="146"/>
      <c r="EN137" s="145"/>
      <c r="EO137" s="145"/>
      <c r="EP137" s="136"/>
      <c r="EQ137" s="382" t="b">
        <f>AND(ISNUMBER(SnapshotTable[[#This Row],[SC Exp Date]]), ISNUMBER(SnapshotTable[[#This Row],[SC Strike Price]]), ISNUMBER(SnapshotTable[[#This Row],[SC Qty]]), ISNUMBER(SnapshotTable[[#This Row],[SC Book Date]]), ISNUMBER(SnapshotTable[[#This Row],[SC Book Price]]))</f>
        <v>0</v>
      </c>
      <c r="ER137" s="382" t="b">
        <f>AND(SnapshotTable[[#This Row],[SC Is Booked]], NOT(ISBLANK(SnapshotTable[[#This Row],[SC Fill Date]])))</f>
        <v>0</v>
      </c>
      <c r="ES137" s="340"/>
      <c r="ET137" s="34" t="str">
        <f>IF(AND(ISNUMBER(SnapshotTable[[#This Row],[SC Exp Date]]), ISNUMBER(SnapshotTable[[#This Row],[SC Book Date]])), SnapshotTable[[#This Row],[SC Exp Date]] - MAX(SnapshotTable[[#This Row],[SC Book Date]], SnapshotTable[[#This Row],[SC Fill Date]]) + 1, "")</f>
        <v/>
      </c>
      <c r="EU137" s="34" t="str">
        <f>IF(ISNUMBER(SnapshotTable[[#This Row],[SC Term]]), SnapshotTable[[#This Row],[SC Exp Date]]- MockToday, "")</f>
        <v/>
      </c>
      <c r="EV137" s="31">
        <f>IF(SnapshotTable[[#This Row],[SC Is Booked]], SnapshotTable[[#This Row],[SC Qty]] * SnapshotTable[[#This Row],[SC Book Price]] * 100, 0)</f>
        <v>0</v>
      </c>
      <c r="EW137" s="4" t="str">
        <f>IF(AND(ISNUMBER(SnapshotTable[[#This Row],[Last Price]]), ISNUMBER( SnapshotTable[[#This Row],[SC Book Price]])), SnapshotTable[[#This Row],[Last Price]] - SnapshotTable[[#This Row],[SC Book Price]],"")</f>
        <v/>
      </c>
      <c r="EX137" s="219" t="str">
        <f>IF(SnapshotTable[[#This Row],[SC Is Booked]],IF(SnapshotTable[[#This Row],[SC Intrinsic Value]] &gt; 0, SnapshotTable[[#This Row],[SC Strike Price]], SnapshotTable[[#This Row],[Last Price]]), "")</f>
        <v/>
      </c>
      <c r="EY137" s="4">
        <f>IF(SnapshotTable[[#This Row],[SC Is Booked]], (MinimumPremiumRequired * SnapshotTable[[#This Row],[SC Basis]] * SnapshotTable[[#This Row],[SC Term]]), 0)</f>
        <v>0</v>
      </c>
      <c r="EZ137" s="268"/>
      <c r="FA137" s="204"/>
      <c r="FB137" s="340"/>
      <c r="FC137" s="4">
        <f>IF(SnapshotTable[[#This Row],[SC Is Filled]], btc_max_buyback_amount(SnapshotTable[[#This Row],[SC Fill Date]],SnapshotTable[[#This Row],[SC Exp Date]], SnapshotTable[[#This Row],[SC Book Price]]),0)</f>
        <v>0</v>
      </c>
      <c r="FD137" s="5"/>
      <c r="FE137" s="142" t="str">
        <f>IF(SnapshotTable[[#This Row],[SC Is Filled]], btc_next_cutoff_date(SnapshotTable[[#This Row],[SC Fill Date]],SnapshotTable[[#This Row],[SC Exp Date]]),"")</f>
        <v/>
      </c>
      <c r="FF137" s="4" t="str" cm="1">
        <f t="array" ref="FF137">IF(SnapshotTable[[#This Row],[SC Is Filled]], btc_should_buy_back(SnapshotTable[[#This Row],[SC Fill Date]], SnapshotTable[[#This Row],[SC Exp Date]], SnapshotTable[[#This Row],[SC Book Price]], SnapshotTable[[#This Row],[SC Current Ask]], MockToday, SnapshotTable[[#This Row],[SC Buyback Override]]),"")</f>
        <v/>
      </c>
      <c r="FG137" s="4">
        <f>IF(SnapshotTable[[#This Row],[SC Is Filled]], MAX(0,SnapshotTable[[#This Row],[Last Price]]  - SnapshotTable[[#This Row],[SC Strike Price]]), 0)</f>
        <v>0</v>
      </c>
      <c r="FH137" s="352">
        <f>IF(SnapshotTable[[#This Row],[SC Is Filled]], IF(ISNUMBER(SnapshotTable[[#This Row],[SC Current Ask]]), SnapshotTable[[#This Row],[SC Current Ask]], SnapshotTable[[#This Row],[SC Book Price]]) - SnapshotTable[[#This Row],[SC Intrinsic Value]], 0)</f>
        <v>0</v>
      </c>
      <c r="FI137" s="141"/>
      <c r="FJ137" s="32" t="str">
        <f>IF(SnapshotTable[[#This Row],[SC Is Filled]],100 * SnapshotTable[[#This Row],[SC Qty]] * IF(ISNUMBER(SnapshotTable[[#This Row],[SC Buyback Override]]), SnapshotTable[[#This Row],[SC Buyback Override]], SnapshotTable[[#This Row],[SC Current Ask]]), "")</f>
        <v/>
      </c>
      <c r="FK137" s="235" t="str">
        <f>IF(SnapshotTable[[#This Row],[SC Time Val]]&gt;0, SnapshotTable[[#This Row],[SC Time Val]] / SnapshotTable[[#This Row],[Last Price]],"")</f>
        <v/>
      </c>
      <c r="FL137" s="280" t="str">
        <f>IF(SnapshotTable[[#This Row],[SC Is Booked]], ((SnapshotTable[[#This Row],[Last Price]] -SnapshotTable[[#This Row],[SC Strike Price]]) / SnapshotTable[[#This Row],[Last Price]]) * -1, "")</f>
        <v/>
      </c>
      <c r="FM137" s="155" t="str">
        <f>IF(SnapshotTable[[#This Row],[SC Is Booked]],  (SnapshotTable[[#This Row],[SC Qty]] * 100 * SnapshotTable[[#This Row],[SC Strike Price]]) - SnapshotTable[[#This Row],[SC Current Ask]], "")</f>
        <v/>
      </c>
      <c r="FN1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7" s="31" t="str">
        <f>IF(AND(ISNUMBER(SnapshotTable[[#This Row],[SC Exercise Gross]]), ISNUMBER(SnapshotTable[[#This Row],[Equity Basis Per Share]] )), SnapshotTable[[#This Row],[SC Exercise Gross]] - SnapshotTable[[#This Row],[Equity Basis Total]] +  SnapshotTable[[#This Row],[SC Premium]], "")</f>
        <v/>
      </c>
      <c r="FP137" s="5" t="str">
        <f>IF(ISNUMBER(SnapshotTable[[#This Row],[SC Exercise Gross]]), (SnapshotTable[[#This Row],[SC Exercise Gross]]) / (SnapshotTable[[#This Row],[SC Qty]] * 100), "")</f>
        <v/>
      </c>
      <c r="FQ137" s="27" t="str">
        <f>IF(SnapshotTable[[#This Row],[SC Is Booked]],SnapshotTable[[#This Row],[SC Time Val]] /SnapshotTable[[#This Row],[SC Basis]], "")</f>
        <v/>
      </c>
      <c r="FR137" s="27" t="str" cm="1">
        <f t="array" ref="FR137">IF(AND(ISNUMBER(SnapshotTable[[#This Row],[SC Term]]),ISNUMBER(SnapshotTable[[#This Row],[SC Simple ROO]])), EllmanAnnualize(SnapshotTable[[#This Row],[SC DTE]], SnapshotTable[[#This Row],[SC Simple ROO]] ),"")</f>
        <v/>
      </c>
      <c r="FS137" s="4">
        <f>IF(SnapshotTable[[#This Row],[SC Strike Price]] &gt; SnapshotTable[[#This Row],[Last Price]], SnapshotTable[[#This Row],[SC Strike Price]] - SnapshotTable[[#This Row],[Last Price]],0)</f>
        <v>0</v>
      </c>
      <c r="FT137" s="27" t="str">
        <f>IF(AND(ISNUMBER(SnapshotTable[[#This Row],[SC Upside Potential]]), SnapshotTable[[#This Row],[SC Upside Potential]] &gt; 0),(SnapshotTable[[#This Row],[SC Upside Potential]]/ SnapshotTable[[#This Row],[ACB]]),"")</f>
        <v/>
      </c>
      <c r="FU137" s="304" t="str">
        <f>IF(SnapshotTable[[#This Row],[SC Intrinsic Value]] &gt; 0,SnapshotTable[[#This Row],[SC Intrinsic Value]],"")</f>
        <v/>
      </c>
      <c r="FV137" s="27" t="str">
        <f>IF(AND( ISNUMBER( SnapshotTable[[#This Row],[ACB]]),ISNUMBER(SnapshotTable[[#This Row],[SC Downside Protect]])),SnapshotTable[[#This Row],[SC Downside Protect]] / SnapshotTable[[#This Row],[ACB]],"")</f>
        <v/>
      </c>
      <c r="FW137" s="221" t="str">
        <f>IF(AND(ISNUMBER(SnapshotTable[[#This Row],[SC Simple ROO]]),SnapshotTable[[#This Row],[SC Simple ROO]] &gt; 0), SnapshotTable[[#This Row],[SC Premium]] + (SnapshotTable[[#This Row],[SC Qty]] * SnapshotTable[[#This Row],[SC Upside Potential]]), "")</f>
        <v/>
      </c>
      <c r="FX137" s="280" t="str" cm="1">
        <f t="array" ref="FX137">IF(ISNUMBER(SnapshotTable[[#This Row],[SC Max Dollars]]), annualize(SnapshotTable[[#This Row],[SC Term]],(SnapshotTable[[#This Row],[SC Max Dollars]]/SnapshotTable[[#This Row],[SC Basis]])),"")</f>
        <v/>
      </c>
      <c r="FY137" s="221" t="str">
        <f>IF(AND(SnapshotTable[[#This Row],[SC Qty]]&gt;0,SnapshotTable[[#This Row],[SC Current Ask]]&gt;0), SnapshotTable[[#This Row],[SC Qty]] * SnapshotTable[[#This Row],[SC Current Ask]] * -100, "")</f>
        <v/>
      </c>
      <c r="FZ137" s="31" t="str">
        <f>IF(ISNUMBER((SnapshotTable[[#This Row],[SC Current Value]])), SnapshotTable[[#This Row],[SC Premium]] + SnapshotTable[[#This Row],[SC Current Value]], "")</f>
        <v/>
      </c>
      <c r="GA137" s="272" t="str">
        <f>IFERROR( IF(ISNUMBER((SnapshotTable[[#This Row],[SC Current Value]])), SnapshotTable[[#This Row],[SC Gain Loss]] / SnapshotTable[[#This Row],[SC Premium]], ""), "")</f>
        <v/>
      </c>
      <c r="GB137" s="42">
        <f>SnapshotTable[[#This Row],[Equity Shares]] * SaleSharesToConsiderPercentage</f>
        <v>0</v>
      </c>
      <c r="GC137" s="40">
        <f>SnapshotTable[[#This Row],[Long Term Target]] * SellingPriceToConsiderBasedOnTargetPercentage</f>
        <v>97.678999999999988</v>
      </c>
      <c r="GD137" s="40">
        <f>SnapshotTable[[#This Row],[Last Price]] * (1+ SellingPriceToConsiderBasedOnTargetPercentage)</f>
        <v>378.18299999999999</v>
      </c>
      <c r="GE137" s="41"/>
      <c r="GF137" s="40"/>
      <c r="GG137" s="31">
        <f>SnapshotTable[[#This Row],[Booked Sale Shares]] * SnapshotTable[[#This Row],[Booked Sale Price]]</f>
        <v>0</v>
      </c>
      <c r="GH137" s="31" t="str">
        <f>IF(SnapshotTable[[#This Row],[Equity Basis Total]] &gt; 0, SnapshotTable[[#This Row],[Equity Basis Per Share]] * SnapshotTable[[#This Row],[Booked Sale Shares]], "")</f>
        <v/>
      </c>
      <c r="GI137" s="31">
        <f>IF(SnapshotTable[[#This Row],[Sale Proceeds]]&gt;0, SnapshotTable[[#This Row],[Sale Proceeds]] - SnapshotTable[[#This Row],[Sale Basis]], 0)</f>
        <v>0</v>
      </c>
      <c r="GJ137" s="27" t="str">
        <f>IF(SnapshotTable[[#This Row],[Sale G/L]]&gt;0, SnapshotTable[[#This Row],[Sale G/L]] / SnapshotTable[[#This Row],[Sale Basis]], IF(ISNUMBER(SnapshotTable[[#This Row],[SC Exercise P&amp;L (TAX)]]), SnapshotTable[[#This Row],[SC Exercise P&amp;L (TAX)]] / SnapshotTable[[#This Row],[SC Basis]], ""))</f>
        <v/>
      </c>
      <c r="GK137" s="27" t="s">
        <v>568</v>
      </c>
      <c r="GL137" s="43" t="str">
        <f>IF(AND(SnapshotTable[[#This Row],[LP Exp Date]]&gt;0,SnapshotTable[[#This Row],[LP Strike Price]]&gt;0), [1]!ToOptionSymbol(SnapshotTable[[#This Row],[Symbol]], SnapshotTable[[#This Row],[LP Strike Price]],SnapshotTable[[#This Row],[LP Exp Date]],1), "")</f>
        <v/>
      </c>
      <c r="GM137" s="30" t="str">
        <f>IF(LEN(SnapshotTable[[#This Row],[LP Symbol]])&gt;0, 1, "")</f>
        <v/>
      </c>
      <c r="GN137" s="43" t="str">
        <f>IF(AND(SnapshotTable[[#This Row],[SP Exp Date]]&gt;0,SnapshotTable[[#This Row],[SP Strike Price]]&gt;0), [1]!ToOptionSymbol(SnapshotTable[[#This Row],[Symbol]], SnapshotTable[[#This Row],[SP Strike Price]],SnapshotTable[[#This Row],[SP Exp Date]],1), "")</f>
        <v/>
      </c>
      <c r="GO137" s="30" t="str">
        <f>IF(LEN(SnapshotTable[[#This Row],[SP Symbol]])&gt;0, 1, "")</f>
        <v/>
      </c>
      <c r="GP137" s="43" t="str">
        <f>IF(AND(SnapshotTable[[#This Row],[LC Exp Date]]&gt;0,SnapshotTable[[#This Row],[LC Strike Price]]&gt;0), [1]!ToOptionSymbol(SnapshotTable[[#This Row],[Symbol]], SnapshotTable[[#This Row],[LC Strike Price]],SnapshotTable[[#This Row],[LC Exp Date]],0), "")</f>
        <v/>
      </c>
      <c r="GQ137" s="30" t="str">
        <f>IF(LEN(SnapshotTable[[#This Row],[LC Symbol]])&gt;0, 1, "")</f>
        <v/>
      </c>
      <c r="GR137" s="43" t="str">
        <f>IF(AND(SnapshotTable[[#This Row],[SC Exp Date]]&gt;0,SnapshotTable[[#This Row],[SC Strike Price]]&gt;0), [1]!ToOptionSymbol(SnapshotTable[[#This Row],[Symbol]], SnapshotTable[[#This Row],[SC Strike Price]],SnapshotTable[[#This Row],[SC Exp Date]],0), "")</f>
        <v/>
      </c>
      <c r="GS137" s="30" t="str">
        <f>IF(LEN(SnapshotTable[[#This Row],[SC Symbol]])&gt;0, 1, "")</f>
        <v/>
      </c>
      <c r="GT137" s="29" t="str">
        <f>IF(COUNT(SnapshotTable[[#This Row],[LP Symbol Count]],SnapshotTable[[#This Row],[SP Symbol Count]],SnapshotTable[[#This Row],[LC Symbol Count]],SnapshotTable[[#This Row],[SC Symbol Count]])&gt;0, "Y", "")</f>
        <v/>
      </c>
      <c r="GU1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7" s="216">
        <f>MAX(SnapshotTable[[#This Row],[Equity Basis Total]],SnapshotTable[[#This Row],[Equity Value]]) + (SnapshotTable[[#This Row],[SP Potential Spend]]- SnapshotTable[[#This Row],[SP Premium]] + SnapshotTable[[#This Row],[LP Premium]])+ (SnapshotTable[[#This Row],[LC Premium]] - SnapshotTable[[#This Row],[SC Premium]])</f>
        <v>0</v>
      </c>
      <c r="GW137" s="137" t="str">
        <f>IF(AND(SnapshotTable[[#This Row],[Exposure]] &lt;&gt; 0),SnapshotTable[[#This Row],[Exposure]] / SnapshotTable[[#Totals],[Exposure]], "")</f>
        <v/>
      </c>
      <c r="HE137" s="253"/>
      <c r="HF137" s="253"/>
      <c r="HK137" s="1"/>
      <c r="HL137" s="1"/>
      <c r="HM137" s="1"/>
      <c r="HN137" s="1"/>
      <c r="HO137" s="1"/>
      <c r="HP137" s="1"/>
    </row>
    <row r="138" spans="2:224" ht="12.75" hidden="1" customHeight="1" x14ac:dyDescent="0.25">
      <c r="B138" s="12" t="s">
        <v>879</v>
      </c>
      <c r="C138" s="385">
        <v>41.36</v>
      </c>
      <c r="D138" s="200"/>
      <c r="E138" s="39">
        <f>SnapshotTable[[#This Row],[Last Price]]*(1 -CrashDiscount)</f>
        <v>35.155999999999999</v>
      </c>
      <c r="F138" s="26" t="s">
        <v>496</v>
      </c>
      <c r="G138" s="26" t="s">
        <v>7</v>
      </c>
      <c r="H138" s="147"/>
      <c r="I138" s="186">
        <v>45167</v>
      </c>
      <c r="J138" s="187"/>
      <c r="K138" s="188"/>
      <c r="L138" s="297"/>
      <c r="M138" s="138"/>
      <c r="N138" s="138"/>
      <c r="O138" s="138"/>
      <c r="P138" s="22"/>
      <c r="Q138" s="25"/>
      <c r="R138" s="4" t="str">
        <f>IF(SnapshotTable[[#This Row],[Equity Basis Total]] &gt; 0, SnapshotTable[[#This Row],[Equity Basis Total]] / SnapshotTable[[#This Row],[Equity Shares]], "")</f>
        <v/>
      </c>
      <c r="S138" s="254">
        <f>SnapshotTable[[#This Row],[Last Price]] * SnapshotTable[[#This Row],[Equity Shares]]</f>
        <v>0</v>
      </c>
      <c r="T138" s="254">
        <f>SnapshotTable[[#This Row],[Equity Value]] - SnapshotTable[[#This Row],[Equity Basis Total]]</f>
        <v>0</v>
      </c>
      <c r="U138" s="255" t="str">
        <f>IF(SnapshotTable[[#This Row],[Equity Basis Total]] &gt; 0, SnapshotTable[[#This Row],[Equity G/L]] / SnapshotTable[[#This Row],[Equity Basis Total]], "")</f>
        <v/>
      </c>
      <c r="V138" s="253"/>
      <c r="W138" s="253"/>
      <c r="X138" s="4" t="str">
        <f>IF(AND(ISNUMBER(SnapshotTable[[#This Row],[Equity Basis Per Share]]),ISNUMBER(SnapshotTable[[#This Row],[Equity Target]])),SnapshotTable[[#This Row],[Equity Target]]-SnapshotTable[[#This Row],[Equity Basis Per Share]],"")</f>
        <v/>
      </c>
      <c r="Y138" s="4" t="str">
        <f>IF(AND(ISNUMBER(SnapshotTable[[#This Row],[Equity Basis Per Share]]),ISNUMBER(SnapshotTable[[#This Row],[Equity Stop Loss]])),SnapshotTable[[#This Row],[Equity Stop Loss]]-SnapshotTable[[#This Row],[Equity Basis Per Share]],"")</f>
        <v/>
      </c>
      <c r="Z138" s="260" t="str">
        <f>IFERROR( TEXT(SnapshotTable[[#This Row],[Equity Max Gain Per Share]] /ABS( SnapshotTable[[#This Row],[Equity Max Loss Per Share]]),"0.0 " ) &amp; " : 1", "")</f>
        <v/>
      </c>
      <c r="AA138" s="31" t="str">
        <f>IF(ISNUMBER(SnapshotTable[[#This Row],[Equity Max Gain Per Share]]),SnapshotTable[[#This Row],[Equity Max Gain Per Share]] * SnapshotTable[[#This Row],[Equity Shares]],"")</f>
        <v/>
      </c>
      <c r="AB138" s="31" t="str">
        <f>IF(ISNUMBER(SnapshotTable[[#This Row],[Equity Max Loss Per Share]]),SnapshotTable[[#This Row],[Equity Max Loss Per Share]] * SnapshotTable[[#This Row],[Equity Shares]],"")</f>
        <v/>
      </c>
      <c r="AC138" s="148"/>
      <c r="AD138" s="149"/>
      <c r="AE138" s="31">
        <f>(SnapshotTable[[#This Row],[Annual Dividend Per Share]] / 4) * SnapshotTable[[#This Row],[Equity Shares]]</f>
        <v>0</v>
      </c>
      <c r="AF138" s="31">
        <f>SnapshotTable[[#This Row],[Quarterly Div $]] * 4</f>
        <v>0</v>
      </c>
      <c r="AG138" s="7">
        <f>IF(SnapshotTable[[#This Row],[Annual Dividend Per Share]]&gt;0, SnapshotTable[[#This Row],[Annual Dividend Per Share]]  / SnapshotTable[[#This Row],[Last Price]], 0)</f>
        <v>0</v>
      </c>
      <c r="AH138" s="149"/>
      <c r="AI138" s="5"/>
      <c r="AJ138" s="136">
        <v>52.42</v>
      </c>
      <c r="AK138" s="150" t="str">
        <f>IF(ISNUMBER( SnapshotTable[[#This Row],[EBF Target]]),(SnapshotTable[[#This Row],[EBF Target]] - SnapshotTable[[#This Row],[Last Price]]) / SnapshotTable[[#This Row],[Last Price]], "")</f>
        <v/>
      </c>
      <c r="AL138" s="150" t="str">
        <f>IF(AND(SnapshotTable[[#This Row],[Equity Basis Total]] &gt; 0,ISNUMBER( SnapshotTable[[#This Row],[Long Term Target]])), SnapshotTable[[#This Row],[From Basis $]] / SnapshotTable[[#This Row],[Equity Basis Total]], "")</f>
        <v/>
      </c>
      <c r="AM138" s="9">
        <f>IF( AND(SnapshotTable[[#This Row],[Equity Shares]] &gt;0,ISNUMBER( SnapshotTable[[#This Row],[Long Term Target]])),(SnapshotTable[[#This Row],[Equity Shares]] * SnapshotTable[[#This Row],[Long Term Target]]) - SnapshotTable[[#This Row],[Equity Basis Total]],0)</f>
        <v>0</v>
      </c>
      <c r="AN138" s="9">
        <f>IF( AND(SnapshotTable[[#This Row],[Equity Shares]] &gt;0,ISNUMBER( SnapshotTable[[#This Row],[Long Term Target]])),(SnapshotTable[[#This Row],[Equity Shares]]*SnapshotTable[[#This Row],[Long Term Target]]) - SnapshotTable[[#This Row],[Equity Value]],0)</f>
        <v>0</v>
      </c>
      <c r="AO138" s="150">
        <f>IF(AND(ISNUMBER( SnapshotTable[[#This Row],[Long Term Target]]), ISNUMBER(SnapshotTable[[#This Row],[Last Price]])),(SnapshotTable[[#This Row],[Long Term Target]] - SnapshotTable[[#This Row],[Last Price]]) / SnapshotTable[[#This Row],[Last Price]], "")</f>
        <v>0.26740812379110257</v>
      </c>
      <c r="AP138" s="5">
        <v>5</v>
      </c>
      <c r="AQ138" s="38" t="s">
        <v>59</v>
      </c>
      <c r="AR138" s="5">
        <v>2.5</v>
      </c>
      <c r="AS138" s="38" t="s">
        <v>19</v>
      </c>
      <c r="AT138" s="144" t="s">
        <v>466</v>
      </c>
      <c r="AU138" s="185" t="str">
        <f>IF(OR(SnapshotTable[[#This Row],[LP No Fill]]="Y",SnapshotTable[[#This Row],[SP Is Filled]],SnapshotTable[[#This Row],[LC Not Filled]]="Y",SnapshotTable[[#This Row],[SC Is Filled]]),"Y","")</f>
        <v/>
      </c>
      <c r="AV138" s="205"/>
      <c r="AW138" s="211"/>
      <c r="AX138" s="206"/>
      <c r="AY138" s="205" t="str">
        <f>IF(SnapshotTable[[#This Row],[Implied Move]]&gt;0, SnapshotTable[[#This Row],[Last Price]]-SnapshotTable[[#This Row],[Implied Move]],"")</f>
        <v/>
      </c>
      <c r="AZ138" s="205" t="str">
        <f>IF(SnapshotTable[[#This Row],[Implied Move]]&gt;0, SnapshotTable[[#This Row],[Last Price]] + SnapshotTable[[#This Row],[Implied Move]],"")</f>
        <v/>
      </c>
      <c r="BA138" s="302">
        <v>2.8</v>
      </c>
      <c r="BB138" s="318"/>
      <c r="BC1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8" s="321"/>
      <c r="BE138" s="5"/>
      <c r="BF138" s="14"/>
      <c r="BG138" s="13"/>
      <c r="BH138" s="13"/>
      <c r="BI138" s="5"/>
      <c r="BJ138" s="134">
        <f>IF(SnapshotTable[[#This Row],[LP Qty]] &gt; 0, SnapshotTable[[#This Row],[LP Qty]] * SnapshotTable[[#This Row],[LP Book Price]] * 100,0)</f>
        <v>0</v>
      </c>
      <c r="BK138" s="134">
        <f>IF(SnapshotTable[[#This Row],[LP Premium]] &gt; 0, SnapshotTable[[#This Row],[LP Qty]] * SnapshotTable[[#This Row],[LP Strike Price]] * 100,0)</f>
        <v>0</v>
      </c>
      <c r="BL138" s="152"/>
      <c r="BM138" s="355" t="str">
        <f>IF(SnapshotTable[[#This Row],[LP Premium]] &gt; 0,SnapshotTable[[#This Row],[LP Exp Date]]-MAX(SnapshotTable[[#This Row],[LP Book Date]], SnapshotTable[[#This Row],[LP Fill Date]]),"")</f>
        <v/>
      </c>
      <c r="BN138" s="355" t="str">
        <f>IF(ISNUMBER( SnapshotTable[[#This Row],[LP Term]]), SnapshotTable[[#This Row],[LP Exp Date]] - MockToday,"")</f>
        <v/>
      </c>
      <c r="BO138" s="161" t="str">
        <f>IF(AND(SnapshotTable[[#This Row],[LP Exp Date]]&gt;0, SnapshotTable[[#This Row],[LP Strike Price]]&gt;0,SnapshotTable[[#This Row],[LP Qty]]&gt;0,SnapshotTable[[#This Row],[LP Book Date]]&gt;0,SnapshotTable[[#This Row],[LP Book Price]]&gt;0,SnapshotTable[[#This Row],[LP Fill Date]]=0),"Y","")</f>
        <v/>
      </c>
      <c r="BP138" s="31" t="str">
        <f>IF(AND(SnapshotTable[[#This Row],[LP No Fill]]&lt;&gt;"Y",SnapshotTable[[#This Row],[LP Contract Value]]&gt;0, SnapshotTable[[#This Row],[LP Qty]]&gt;0), SnapshotTable[[#This Row],[LP Contract Value]]*SnapshotTable[[#This Row],[LP Qty]]*100,"")</f>
        <v/>
      </c>
      <c r="BQ138" s="13"/>
      <c r="BR138" s="5"/>
      <c r="BS138" s="36"/>
      <c r="BT138" s="145"/>
      <c r="BU138" s="13"/>
      <c r="BV138" s="5"/>
      <c r="BW138" s="382" t="b">
        <f>AND(ISNUMBER(SnapshotTable[[#This Row],[SP Exp Date]]), ISNUMBER(SnapshotTable[[#This Row],[SP Strike Price]]), ISNUMBER(SnapshotTable[[#This Row],[SP Qty]]), ISNUMBER(SnapshotTable[[#This Row],[SP Book Date]]), ISNUMBER(SnapshotTable[[#This Row],[SP Book Price]]))</f>
        <v>0</v>
      </c>
      <c r="BX138" s="382" t="b">
        <f>AND(SnapshotTable[[#This Row],[SP Is Booked]], NOT(ISBLANK(SnapshotTable[[#This Row],[SP Fill Date]])))</f>
        <v>0</v>
      </c>
      <c r="BY138" s="33">
        <f>IF(SnapshotTable[[#This Row],[SP Is Booked]], SnapshotTable[[#This Row],[SP Qty]] * SnapshotTable[[#This Row],[SP Book Price]] * 100, 0)</f>
        <v>0</v>
      </c>
      <c r="BZ138" s="339"/>
      <c r="CA138" s="338">
        <f>SnapshotTable[[#This Row],[LP Qty]]</f>
        <v>0</v>
      </c>
      <c r="CB138" s="4" t="str">
        <f>IF(SnapshotTable[[#This Row],[SP Is Booked]], SnapshotTable[[#This Row],[SP Strike Price]] - SnapshotTable[[#This Row],[SP Book Price]], "")</f>
        <v/>
      </c>
      <c r="CC138" s="19" t="str">
        <f>IF(SnapshotTable[[#This Row],[SP Is Booked]],SnapshotTable[[#This Row],[SP Exp Date]]-MAX(SnapshotTable[[#This Row],[SP Book Date]], SnapshotTable[[#This Row],[SP Fill Date]]),"")</f>
        <v/>
      </c>
      <c r="CD138" s="7" t="str">
        <f>IF(SnapshotTable[[#This Row],[SP Is Booked]], SnapshotTable[[#This Row],[SP Book Price]]/SnapshotTable[[#This Row],[SP Strike Price]], "")</f>
        <v/>
      </c>
      <c r="CE138" s="7" t="str">
        <f>IF(ISNUMBER(SnapshotTable[[#This Row],[SP ROO Term]]),SnapshotTable[[#This Row],[SP ROO Term]]*(365/SnapshotTable[[#This Row],[SP Term]]),"")</f>
        <v/>
      </c>
      <c r="CF138" s="221">
        <f>SnapshotTable[[#This Row],[LP Strike Price]] * SnapshotTable[[#This Row],[LP Qty]] * 100</f>
        <v>0</v>
      </c>
      <c r="CG138" s="31">
        <f>IF(ISNUMBER(SnapshotTable[[#This Row],[SP Premium]]), (SnapshotTable[[#This Row],[SP Qty]] * SnapshotTable[[#This Row],[SP Strike Price]]* 100) - SnapshotTable[[#This Row],[LP Protection]], 0)</f>
        <v>0</v>
      </c>
      <c r="CH138" s="7" t="str">
        <f>IF(ISNUMBER(SnapshotTable[[#This Row],[SP Break Even]]),-1 * (SnapshotTable[[#This Row],[SP Break Even]] - SnapshotTable[[#This Row],[Last Price]]) / SnapshotTable[[#This Row],[Last Price]], "")</f>
        <v/>
      </c>
      <c r="CI138" s="31">
        <f>IF(AND(ISNUMBER((SnapshotTable[[#This Row],[SP Potential Spend]])), SnapshotTable[[#This Row],[SP Strike Price]] &gt; SnapshotTable[[#This Row],[Last Price]], SnapshotTable[[#This Row],[SP Is Filled]]), SnapshotTable[[#This Row],[SP Potential Spend]] -  SnapshotTable[[#This Row],[LP Max Value]], 0)</f>
        <v>0</v>
      </c>
      <c r="CJ138" s="229"/>
      <c r="CK138" s="31">
        <f>IF(ISNUMBER(SnapshotTable[[#This Row],[SP Potential Spend]]),IF(ISNUMBER(SnapshotTable[[#This Row],[SP POW]]), SnapshotTable[[#This Row],[SP POW]] * SnapshotTable[[#This Row],[SP Potential Spend]], SnapshotTable[[#This Row],[SP Potential Spend]]), "")</f>
        <v>0</v>
      </c>
      <c r="CL138" s="162">
        <f>IF(NOT(SnapshotTable[[#This Row],[SP Is Filled]]),(SnapshotTable[[#This Row],[SP Qty]] * SnapshotTable[[#This Row],[SP Strike Price]] * 100) - SnapshotTable[[#This Row],[LP Max Value]],"")</f>
        <v>0</v>
      </c>
      <c r="CM138" s="31" t="str">
        <f>IF(SnapshotTable[[#This Row],[SP Actual Spend]]&lt;&gt;0, ((SnapshotTable[[#This Row],[SP Strike Price]]-SnapshotTable[[#This Row],[Last Price]]) *(SnapshotTable[[#This Row],[SP Qty]]*100) - SnapshotTable[[#This Row],[SP Premium]]) * - 1, "")</f>
        <v/>
      </c>
      <c r="CN138" s="76"/>
      <c r="CO138" s="339"/>
      <c r="CP138" s="4" t="str">
        <f>IF(SnapshotTable[[#This Row],[SP Is Filled]], btc_max_buyback_amount(SnapshotTable[[#This Row],[SP Fill Date]],SnapshotTable[[#This Row],[SP Exp Date]], SnapshotTable[[#This Row],[SP Book Price]]),"")</f>
        <v/>
      </c>
      <c r="CQ138" s="76"/>
      <c r="CR1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8" s="153" t="str">
        <f>IF(SnapshotTable[[#This Row],[SP Is Filled]], btc_next_cutoff_date(SnapshotTable[[#This Row],[SP Fill Date]],SnapshotTable[[#This Row],[SP Exp Date]]),"")</f>
        <v/>
      </c>
      <c r="CT138" s="220" t="str" cm="1">
        <f t="array" ref="CT138">IF(SnapshotTable[[#This Row],[SP Is Filled]], btc_should_buy_back(SnapshotTable[[#This Row],[SP Fill Date]], SnapshotTable[[#This Row],[SP Exp Date]], SnapshotTable[[#This Row],[SP Book Price]], SnapshotTable[[#This Row],[SP Current Ask]], MockToday, SnapshotTable[[#This Row],[SP Buyback Override]]),"")</f>
        <v/>
      </c>
      <c r="CU138" s="141"/>
      <c r="CV138" s="220"/>
      <c r="CW138" s="348" t="str">
        <f>IF(ISNUMBER( SnapshotTable[[#This Row],[SP Term]]), SnapshotTable[[#This Row],[SP Exp Date]] - MockToday,"")</f>
        <v/>
      </c>
      <c r="CX138" s="31" t="str">
        <f>IF(SnapshotTable[[#This Row],[SP Is Filled]],SnapshotTable[[#This Row],[SP Buyback Price to Use]] * 100 * SnapshotTable[[#This Row],[SP Qty]], "")</f>
        <v/>
      </c>
      <c r="CY138" s="4" t="str">
        <f>IF(ISNUMBER(SnapshotTable[[#This Row],[SP Strike Price]]), SnapshotTable[[#This Row],[SP Strike Price]] * (1 - SP_MaxLoss_StrikePct), "")</f>
        <v/>
      </c>
      <c r="CZ138" s="31" t="str">
        <f>IF(ISNUMBER(SnapshotTable[[#This Row],[SP Strike  Stop Per Share]]),SnapshotTable[[#This Row],[SP Premium]] - ((SnapshotTable[[#This Row],[SP Strike Price]]-SnapshotTable[[#This Row],[SP Strike  Stop Per Share]]) *(SnapshotTable[[#This Row],[SP Qty]] * 100)),"")</f>
        <v/>
      </c>
      <c r="DA138" s="4" t="str">
        <f>IF(AND(ISNUMBER(SnapshotTable[[#This Row],[SP Premium]]),SnapshotTable[[#This Row],[SP Premium]]&gt;0), SnapshotTable[[#This Row],[SP Book Price]] * (1 + SP_MaxLoss_OptionPct), "")</f>
        <v/>
      </c>
      <c r="DB138" s="31" t="str">
        <f>IF(ISNUMBER(SnapshotTable[[#This Row],[SP Option  Stop Contract]]),(SnapshotTable[[#This Row],[SP Option  Stop Contract]] *(SnapshotTable[[#This Row],[SP Qty]] * 100) - SnapshotTable[[#This Row],[SP Premium]]),"")</f>
        <v/>
      </c>
      <c r="DC138" s="4"/>
      <c r="DD138" s="4"/>
      <c r="DE138" s="4" t="str">
        <f>IF(AND(SnapshotTable[[#This Row],[SP Qty]]&gt;0, SnapshotTable[[#This Row],[SP Stop To Use]]&gt;0),SnapshotTable[[#This Row],[SP Premium]] - ( SnapshotTable[[#This Row],[SP Qty]] * SnapshotTable[[#This Row],[SP Stop To Use]] * 100), "")</f>
        <v/>
      </c>
      <c r="DF138" s="31" t="str">
        <f>IF(AND(SnapshotTable[[#This Row],[SP Qty]]&gt;0,SnapshotTable[[#This Row],[SP Current Ask]]&gt;0), SnapshotTable[[#This Row],[SP Qty]] * SnapshotTable[[#This Row],[SP Current Ask]] * -100, "")</f>
        <v/>
      </c>
      <c r="DG138" s="31" t="str">
        <f>IF(ISNUMBER((SnapshotTable[[#This Row],[SP Total Value]])), SnapshotTable[[#This Row],[SP Premium]] + SnapshotTable[[#This Row],[SP Total Value]], "")</f>
        <v/>
      </c>
      <c r="DH138" s="272" t="str">
        <f>IF(ISNUMBER((SnapshotTable[[#This Row],[SP Total Value]])), SnapshotTable[[#This Row],[SP Gain Loss]] / SnapshotTable[[#This Row],[SP Premium]], "")</f>
        <v/>
      </c>
      <c r="DI138" s="369"/>
      <c r="DJ138" s="136"/>
      <c r="DK138" s="146"/>
      <c r="DL138" s="13"/>
      <c r="DM138" s="13"/>
      <c r="DO138" s="31">
        <f>IF(SnapshotTable[[#This Row],[LC Symbol Count]]=1, SnapshotTable[[#This Row],[LC Qty]] * SnapshotTable[[#This Row],[LC Book Price]] * 100, 0)</f>
        <v>0</v>
      </c>
      <c r="DP138" s="161" t="str">
        <f>IF(AND(SnapshotTable[[#This Row],[LC Exp Date]]&gt;0, SnapshotTable[[#This Row],[LC Strike Price]]&gt;0,SnapshotTable[[#This Row],[LC Qty]]&gt;0,SnapshotTable[[#This Row],[LC Book Date]]&gt;0,SnapshotTable[[#This Row],[LC Book Price]]&gt;0,SnapshotTable[[#This Row],[LC Fill Date]]=0),"Y","")</f>
        <v/>
      </c>
      <c r="DQ138" s="356" t="str">
        <f>IF(SnapshotTable[[#This Row],[LC Premium]] &gt; 0,SnapshotTable[[#This Row],[LC Exp Date]]-MAX(SnapshotTable[[#This Row],[LC Book Date]], SnapshotTable[[#This Row],[LC Fill Date]]),"")</f>
        <v/>
      </c>
      <c r="DR138" s="356" t="str">
        <f>IF(ISNUMBER(SnapshotTable[[#This Row],[LC Term]]), SnapshotTable[[#This Row],[LC Exp Date]] - MockToday, "")</f>
        <v/>
      </c>
      <c r="DS138" s="219" t="str">
        <f>IF(SnapshotTable[[#This Row],[LC Premium]]&gt;0,SnapshotTable[[#This Row],[LC Strike Price]] + SnapshotTable[[#This Row],[LC Book Price]],"")</f>
        <v/>
      </c>
      <c r="DU138" s="9" t="str">
        <f>IF(AND(SnapshotTable[[#This Row],[LC Symbol Count]]&gt;0, SnapshotTable[[#This Row],[LC Contract Value]]&gt;0), SnapshotTable[[#This Row],[LC Contract Value]] * SnapshotTable[[#This Row],[LC Qty]] * 100, "")</f>
        <v/>
      </c>
      <c r="DV138" s="9" t="str">
        <f>IF(AND(ISNUMBER(SnapshotTable[[#This Row],[LC Total Value]]), SnapshotTable[[#This Row],[LC Not Filled]]&lt;&gt;"Y"), SnapshotTable[[#This Row],[LC Total Value]]-SnapshotTable[[#This Row],[LC Premium]],"")</f>
        <v/>
      </c>
      <c r="DW138" s="225" t="str">
        <f>IF(ISNUMBER(SnapshotTable[[#This Row],[LC Actual Gain Loss]]), SnapshotTable[[#This Row],[LC Actual Gain Loss]] / SnapshotTable[[#This Row],[LC Premium]],"")</f>
        <v/>
      </c>
      <c r="DX138" s="269" t="str">
        <f>IF(ISNUMBER(SnapshotTable[[#This Row],[LC Book Price]]),SnapshotTable[[#This Row],[LC Book Price]] * 1.5,"")</f>
        <v/>
      </c>
      <c r="DY138" s="250" t="str">
        <f>IF(SnapshotTable[[#This Row],[LC Premium]]&gt;0, SnapshotTable[[#This Row],[LC Next Target]] * SnapshotTable[[#This Row],[LC Qty]] * 100,"")</f>
        <v/>
      </c>
      <c r="DZ138" s="250" t="str">
        <f>IF(ISNUMBER(SnapshotTable[[#This Row],[LC Target Gross]]), SnapshotTable[[#This Row],[LC Target Gross]] - SnapshotTable[[#This Row],[LC Premium]], "")</f>
        <v/>
      </c>
      <c r="EA138" s="283" t="str">
        <f>IF(ISNUMBER(SnapshotTable[[#This Row],[LC Target Gain Loss]]), SnapshotTable[[#This Row],[LC Target Gain Loss]]/SnapshotTable[[#This Row],[LC Premium]], "")</f>
        <v/>
      </c>
      <c r="EB138" s="247"/>
      <c r="EC138" s="268" t="str">
        <f>IF(SnapshotTable[[#This Row],[LC Premium]]&gt;0, SnapshotTable[[#This Row],[LC Book Price]] * (1 - LC_StopLoss_Pct),"")</f>
        <v/>
      </c>
      <c r="ED138" s="269"/>
      <c r="EE138" s="268" t="str">
        <f>IF(ISNUMBER(SnapshotTable[[#This Row],[LC Contract Value]]),IF(ISNUMBER(SnapshotTable[[#This Row],[LC Stop Loss Override]]), SnapshotTable[[#This Row],[LC Stop Loss Override]],SnapshotTable[[#This Row],[LC Stop Loss Calc Target]]),"")</f>
        <v/>
      </c>
      <c r="EF138" s="31" t="str">
        <f>IF(ISNUMBER(SnapshotTable[[#This Row],[LC Stop  To Use]]), (SnapshotTable[[#This Row],[LC Stop  To Use]] * SnapshotTable[[#This Row],[LC Qty]] * 100),"")</f>
        <v/>
      </c>
      <c r="EG138" s="9" t="str">
        <f>IF(ISNUMBER(SnapshotTable[[#This Row],[LC Total Value]]),SnapshotTable[[#This Row],[LC Stop Loss Amount]] - SnapshotTable[[#This Row],[LC Premium]],"")</f>
        <v/>
      </c>
      <c r="EH138" s="9">
        <f>IF(ISNUMBER(SnapshotTable[[#This Row],[LC Premium]]), SnapshotTable[[#This Row],[LC Qty]] * 100 * SnapshotTable[[#This Row],[LC Strike Price]], "")</f>
        <v>0</v>
      </c>
      <c r="EI138" s="225" t="str">
        <f>IF(AND(ISNUMBER(SnapshotTable[[#This Row],[LC Total Value]]),SnapshotTable[[#This Row],[LC Total Value]]&gt;0),SnapshotTable[[#This Row],[LC Stop Gain Loss]]  / SnapshotTable[[#This Row],[LC Premium]],"")</f>
        <v/>
      </c>
      <c r="EJ138" s="35">
        <f>IF(ISNUMBER(SnapshotTable[[#This Row],[Equity Shares]]),TRUNC(SnapshotTable[[#This Row],[Equity Shares]] / 100),0) + SnapshotTable[[#This Row],[LC Qty]]</f>
        <v>0</v>
      </c>
      <c r="EK138" s="145"/>
      <c r="EL138" s="136"/>
      <c r="EM138" s="146"/>
      <c r="EN138" s="145"/>
      <c r="EO138" s="145"/>
      <c r="EP138" s="136"/>
      <c r="EQ138" s="382" t="b">
        <f>AND(ISNUMBER(SnapshotTable[[#This Row],[SC Exp Date]]), ISNUMBER(SnapshotTable[[#This Row],[SC Strike Price]]), ISNUMBER(SnapshotTable[[#This Row],[SC Qty]]), ISNUMBER(SnapshotTable[[#This Row],[SC Book Date]]), ISNUMBER(SnapshotTable[[#This Row],[SC Book Price]]))</f>
        <v>0</v>
      </c>
      <c r="ER138" s="382" t="b">
        <f>AND(SnapshotTable[[#This Row],[SC Is Booked]], NOT(ISBLANK(SnapshotTable[[#This Row],[SC Fill Date]])))</f>
        <v>0</v>
      </c>
      <c r="ES138" s="340"/>
      <c r="ET138" s="34" t="str">
        <f>IF(AND(ISNUMBER(SnapshotTable[[#This Row],[SC Exp Date]]), ISNUMBER(SnapshotTable[[#This Row],[SC Book Date]])), SnapshotTable[[#This Row],[SC Exp Date]] - MAX(SnapshotTable[[#This Row],[SC Book Date]], SnapshotTable[[#This Row],[SC Fill Date]]) + 1, "")</f>
        <v/>
      </c>
      <c r="EU138" s="34" t="str">
        <f>IF(ISNUMBER(SnapshotTable[[#This Row],[SC Term]]), SnapshotTable[[#This Row],[SC Exp Date]]- MockToday, "")</f>
        <v/>
      </c>
      <c r="EV138" s="31">
        <f>IF(SnapshotTable[[#This Row],[SC Is Booked]], SnapshotTable[[#This Row],[SC Qty]] * SnapshotTable[[#This Row],[SC Book Price]] * 100, 0)</f>
        <v>0</v>
      </c>
      <c r="EW138" s="4" t="str">
        <f>IF(AND(ISNUMBER(SnapshotTable[[#This Row],[Last Price]]), ISNUMBER( SnapshotTable[[#This Row],[SC Book Price]])), SnapshotTable[[#This Row],[Last Price]] - SnapshotTable[[#This Row],[SC Book Price]],"")</f>
        <v/>
      </c>
      <c r="EX138" s="219" t="str">
        <f>IF(SnapshotTable[[#This Row],[SC Is Booked]],IF(SnapshotTable[[#This Row],[SC Intrinsic Value]] &gt; 0, SnapshotTable[[#This Row],[SC Strike Price]], SnapshotTable[[#This Row],[Last Price]]), "")</f>
        <v/>
      </c>
      <c r="EY138" s="4">
        <f>IF(SnapshotTable[[#This Row],[SC Is Booked]], (MinimumPremiumRequired * SnapshotTable[[#This Row],[SC Basis]] * SnapshotTable[[#This Row],[SC Term]]), 0)</f>
        <v>0</v>
      </c>
      <c r="EZ138" s="268"/>
      <c r="FA138" s="204"/>
      <c r="FB138" s="340"/>
      <c r="FC138" s="4">
        <f>IF(SnapshotTable[[#This Row],[SC Is Filled]], btc_max_buyback_amount(SnapshotTable[[#This Row],[SC Fill Date]],SnapshotTable[[#This Row],[SC Exp Date]], SnapshotTable[[#This Row],[SC Book Price]]),0)</f>
        <v>0</v>
      </c>
      <c r="FD138" s="5"/>
      <c r="FE138" s="142" t="str">
        <f>IF(SnapshotTable[[#This Row],[SC Is Filled]], btc_next_cutoff_date(SnapshotTable[[#This Row],[SC Fill Date]],SnapshotTable[[#This Row],[SC Exp Date]]),"")</f>
        <v/>
      </c>
      <c r="FF138" s="4" t="str" cm="1">
        <f t="array" ref="FF138">IF(SnapshotTable[[#This Row],[SC Is Filled]], btc_should_buy_back(SnapshotTable[[#This Row],[SC Fill Date]], SnapshotTable[[#This Row],[SC Exp Date]], SnapshotTable[[#This Row],[SC Book Price]], SnapshotTable[[#This Row],[SC Current Ask]], MockToday, SnapshotTable[[#This Row],[SC Buyback Override]]),"")</f>
        <v/>
      </c>
      <c r="FG138" s="4">
        <f>IF(SnapshotTable[[#This Row],[SC Is Filled]], MAX(0,SnapshotTable[[#This Row],[Last Price]]  - SnapshotTable[[#This Row],[SC Strike Price]]), 0)</f>
        <v>0</v>
      </c>
      <c r="FH138" s="352">
        <f>IF(SnapshotTable[[#This Row],[SC Is Filled]], IF(ISNUMBER(SnapshotTable[[#This Row],[SC Current Ask]]), SnapshotTable[[#This Row],[SC Current Ask]], SnapshotTable[[#This Row],[SC Book Price]]) - SnapshotTable[[#This Row],[SC Intrinsic Value]], 0)</f>
        <v>0</v>
      </c>
      <c r="FI138" s="141"/>
      <c r="FJ138" s="32" t="str">
        <f>IF(SnapshotTable[[#This Row],[SC Is Filled]],100 * SnapshotTable[[#This Row],[SC Qty]] * IF(ISNUMBER(SnapshotTable[[#This Row],[SC Buyback Override]]), SnapshotTable[[#This Row],[SC Buyback Override]], SnapshotTable[[#This Row],[SC Current Ask]]), "")</f>
        <v/>
      </c>
      <c r="FK138" s="235" t="str">
        <f>IF(SnapshotTable[[#This Row],[SC Time Val]]&gt;0, SnapshotTable[[#This Row],[SC Time Val]] / SnapshotTable[[#This Row],[Last Price]],"")</f>
        <v/>
      </c>
      <c r="FL138" s="280" t="str">
        <f>IF(SnapshotTable[[#This Row],[SC Is Booked]], ((SnapshotTable[[#This Row],[Last Price]] -SnapshotTable[[#This Row],[SC Strike Price]]) / SnapshotTable[[#This Row],[Last Price]]) * -1, "")</f>
        <v/>
      </c>
      <c r="FM138" s="155" t="str">
        <f>IF(SnapshotTable[[#This Row],[SC Is Booked]],  (SnapshotTable[[#This Row],[SC Qty]] * 100 * SnapshotTable[[#This Row],[SC Strike Price]]) - SnapshotTable[[#This Row],[SC Current Ask]], "")</f>
        <v/>
      </c>
      <c r="FN13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8" s="31" t="str">
        <f>IF(AND(ISNUMBER(SnapshotTable[[#This Row],[SC Exercise Gross]]), ISNUMBER(SnapshotTable[[#This Row],[Equity Basis Per Share]] )), SnapshotTable[[#This Row],[SC Exercise Gross]] - SnapshotTable[[#This Row],[Equity Basis Total]] +  SnapshotTable[[#This Row],[SC Premium]], "")</f>
        <v/>
      </c>
      <c r="FP138" s="5" t="str">
        <f>IF(ISNUMBER(SnapshotTable[[#This Row],[SC Exercise Gross]]), (SnapshotTable[[#This Row],[SC Exercise Gross]]) / (SnapshotTable[[#This Row],[SC Qty]] * 100), "")</f>
        <v/>
      </c>
      <c r="FQ138" s="27" t="str">
        <f>IF(SnapshotTable[[#This Row],[SC Is Booked]],SnapshotTable[[#This Row],[SC Time Val]] /SnapshotTable[[#This Row],[SC Basis]], "")</f>
        <v/>
      </c>
      <c r="FR138" s="27" t="str" cm="1">
        <f t="array" ref="FR138">IF(AND(ISNUMBER(SnapshotTable[[#This Row],[SC Term]]),ISNUMBER(SnapshotTable[[#This Row],[SC Simple ROO]])), EllmanAnnualize(SnapshotTable[[#This Row],[SC DTE]], SnapshotTable[[#This Row],[SC Simple ROO]] ),"")</f>
        <v/>
      </c>
      <c r="FS138" s="4">
        <f>IF(SnapshotTable[[#This Row],[SC Strike Price]] &gt; SnapshotTable[[#This Row],[Last Price]], SnapshotTable[[#This Row],[SC Strike Price]] - SnapshotTable[[#This Row],[Last Price]],0)</f>
        <v>0</v>
      </c>
      <c r="FT138" s="27" t="str">
        <f>IF(AND(ISNUMBER(SnapshotTable[[#This Row],[SC Upside Potential]]), SnapshotTable[[#This Row],[SC Upside Potential]] &gt; 0),(SnapshotTable[[#This Row],[SC Upside Potential]]/ SnapshotTable[[#This Row],[ACB]]),"")</f>
        <v/>
      </c>
      <c r="FU138" s="304" t="str">
        <f>IF(SnapshotTable[[#This Row],[SC Intrinsic Value]] &gt; 0,SnapshotTable[[#This Row],[SC Intrinsic Value]],"")</f>
        <v/>
      </c>
      <c r="FV138" s="27" t="str">
        <f>IF(AND( ISNUMBER( SnapshotTable[[#This Row],[ACB]]),ISNUMBER(SnapshotTable[[#This Row],[SC Downside Protect]])),SnapshotTable[[#This Row],[SC Downside Protect]] / SnapshotTable[[#This Row],[ACB]],"")</f>
        <v/>
      </c>
      <c r="FW138" s="221" t="str">
        <f>IF(AND(ISNUMBER(SnapshotTable[[#This Row],[SC Simple ROO]]),SnapshotTable[[#This Row],[SC Simple ROO]] &gt; 0), SnapshotTable[[#This Row],[SC Premium]] + (SnapshotTable[[#This Row],[SC Qty]] * SnapshotTable[[#This Row],[SC Upside Potential]]), "")</f>
        <v/>
      </c>
      <c r="FX138" s="280" t="str" cm="1">
        <f t="array" ref="FX138">IF(ISNUMBER(SnapshotTable[[#This Row],[SC Max Dollars]]), annualize(SnapshotTable[[#This Row],[SC Term]],(SnapshotTable[[#This Row],[SC Max Dollars]]/SnapshotTable[[#This Row],[SC Basis]])),"")</f>
        <v/>
      </c>
      <c r="FY138" s="221" t="str">
        <f>IF(AND(SnapshotTable[[#This Row],[SC Qty]]&gt;0,SnapshotTable[[#This Row],[SC Current Ask]]&gt;0), SnapshotTable[[#This Row],[SC Qty]] * SnapshotTable[[#This Row],[SC Current Ask]] * -100, "")</f>
        <v/>
      </c>
      <c r="FZ138" s="31" t="str">
        <f>IF(ISNUMBER((SnapshotTable[[#This Row],[SC Current Value]])), SnapshotTable[[#This Row],[SC Premium]] + SnapshotTable[[#This Row],[SC Current Value]], "")</f>
        <v/>
      </c>
      <c r="GA138" s="272" t="str">
        <f>IFERROR( IF(ISNUMBER((SnapshotTable[[#This Row],[SC Current Value]])), SnapshotTable[[#This Row],[SC Gain Loss]] / SnapshotTable[[#This Row],[SC Premium]], ""), "")</f>
        <v/>
      </c>
      <c r="GB138" s="42">
        <f>SnapshotTable[[#This Row],[Equity Shares]] * SaleSharesToConsiderPercentage</f>
        <v>0</v>
      </c>
      <c r="GC138" s="40">
        <f>SnapshotTable[[#This Row],[Long Term Target]] * SellingPriceToConsiderBasedOnTargetPercentage</f>
        <v>49.798999999999999</v>
      </c>
      <c r="GD138" s="40">
        <f>SnapshotTable[[#This Row],[Last Price]] * (1+ SellingPriceToConsiderBasedOnTargetPercentage)</f>
        <v>80.652000000000001</v>
      </c>
      <c r="GE138" s="41"/>
      <c r="GF138" s="40"/>
      <c r="GG138" s="31">
        <f>SnapshotTable[[#This Row],[Booked Sale Shares]] * SnapshotTable[[#This Row],[Booked Sale Price]]</f>
        <v>0</v>
      </c>
      <c r="GH138" s="31" t="str">
        <f>IF(SnapshotTable[[#This Row],[Equity Basis Total]] &gt; 0, SnapshotTable[[#This Row],[Equity Basis Per Share]] * SnapshotTable[[#This Row],[Booked Sale Shares]], "")</f>
        <v/>
      </c>
      <c r="GI138" s="31">
        <f>IF(SnapshotTable[[#This Row],[Sale Proceeds]]&gt;0, SnapshotTable[[#This Row],[Sale Proceeds]] - SnapshotTable[[#This Row],[Sale Basis]], 0)</f>
        <v>0</v>
      </c>
      <c r="GJ138" s="27" t="str">
        <f>IF(SnapshotTable[[#This Row],[Sale G/L]]&gt;0, SnapshotTable[[#This Row],[Sale G/L]] / SnapshotTable[[#This Row],[Sale Basis]], IF(ISNUMBER(SnapshotTable[[#This Row],[SC Exercise P&amp;L (TAX)]]), SnapshotTable[[#This Row],[SC Exercise P&amp;L (TAX)]] / SnapshotTable[[#This Row],[SC Basis]], ""))</f>
        <v/>
      </c>
      <c r="GK138" s="27"/>
      <c r="GL138" s="43" t="str">
        <f>IF(AND(SnapshotTable[[#This Row],[LP Exp Date]]&gt;0,SnapshotTable[[#This Row],[LP Strike Price]]&gt;0), [1]!ToOptionSymbol(SnapshotTable[[#This Row],[Symbol]], SnapshotTable[[#This Row],[LP Strike Price]],SnapshotTable[[#This Row],[LP Exp Date]],1), "")</f>
        <v/>
      </c>
      <c r="GM138" s="30" t="str">
        <f>IF(LEN(SnapshotTable[[#This Row],[LP Symbol]])&gt;0, 1, "")</f>
        <v/>
      </c>
      <c r="GN138" s="43" t="str">
        <f>IF(AND(SnapshotTable[[#This Row],[SP Exp Date]]&gt;0,SnapshotTable[[#This Row],[SP Strike Price]]&gt;0), [1]!ToOptionSymbol(SnapshotTable[[#This Row],[Symbol]], SnapshotTable[[#This Row],[SP Strike Price]],SnapshotTable[[#This Row],[SP Exp Date]],1), "")</f>
        <v/>
      </c>
      <c r="GO138" s="30" t="str">
        <f>IF(LEN(SnapshotTable[[#This Row],[SP Symbol]])&gt;0, 1, "")</f>
        <v/>
      </c>
      <c r="GP138" s="43" t="str">
        <f>IF(AND(SnapshotTable[[#This Row],[LC Exp Date]]&gt;0,SnapshotTable[[#This Row],[LC Strike Price]]&gt;0), [1]!ToOptionSymbol(SnapshotTable[[#This Row],[Symbol]], SnapshotTable[[#This Row],[LC Strike Price]],SnapshotTable[[#This Row],[LC Exp Date]],0), "")</f>
        <v/>
      </c>
      <c r="GQ138" s="30" t="str">
        <f>IF(LEN(SnapshotTable[[#This Row],[LC Symbol]])&gt;0, 1, "")</f>
        <v/>
      </c>
      <c r="GR138" s="43" t="str">
        <f>IF(AND(SnapshotTable[[#This Row],[SC Exp Date]]&gt;0,SnapshotTable[[#This Row],[SC Strike Price]]&gt;0), [1]!ToOptionSymbol(SnapshotTable[[#This Row],[Symbol]], SnapshotTable[[#This Row],[SC Strike Price]],SnapshotTable[[#This Row],[SC Exp Date]],0), "")</f>
        <v/>
      </c>
      <c r="GS138" s="30" t="str">
        <f>IF(LEN(SnapshotTable[[#This Row],[SC Symbol]])&gt;0, 1, "")</f>
        <v/>
      </c>
      <c r="GT138" s="29" t="str">
        <f>IF(COUNT(SnapshotTable[[#This Row],[LP Symbol Count]],SnapshotTable[[#This Row],[SP Symbol Count]],SnapshotTable[[#This Row],[LC Symbol Count]],SnapshotTable[[#This Row],[SC Symbol Count]])&gt;0, "Y", "")</f>
        <v/>
      </c>
      <c r="GU1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8" s="216">
        <f>MAX(SnapshotTable[[#This Row],[Equity Basis Total]],SnapshotTable[[#This Row],[Equity Value]]) + (SnapshotTable[[#This Row],[SP Potential Spend]]- SnapshotTable[[#This Row],[SP Premium]] + SnapshotTable[[#This Row],[LP Premium]])+ (SnapshotTable[[#This Row],[LC Premium]] - SnapshotTable[[#This Row],[SC Premium]])</f>
        <v>0</v>
      </c>
      <c r="GW138" s="137" t="str">
        <f>IF(AND(SnapshotTable[[#This Row],[Exposure]] &lt;&gt; 0),SnapshotTable[[#This Row],[Exposure]] / SnapshotTable[[#Totals],[Exposure]], "")</f>
        <v/>
      </c>
      <c r="HE138" s="253"/>
      <c r="HF138" s="253"/>
      <c r="HK138" s="1"/>
      <c r="HL138" s="1"/>
      <c r="HM138" s="1"/>
      <c r="HN138" s="1"/>
      <c r="HO138" s="1"/>
      <c r="HP138" s="1"/>
    </row>
    <row r="139" spans="2:224" ht="12.75" hidden="1" customHeight="1" x14ac:dyDescent="0.25">
      <c r="B139" s="12" t="s">
        <v>123</v>
      </c>
      <c r="C139" s="385">
        <v>127.95</v>
      </c>
      <c r="D139" s="200"/>
      <c r="E139" s="39">
        <f>SnapshotTable[[#This Row],[Last Price]]*(1 -CrashDiscount)</f>
        <v>108.75749999999999</v>
      </c>
      <c r="F139" s="26" t="s">
        <v>121</v>
      </c>
      <c r="G139" s="26" t="s">
        <v>120</v>
      </c>
      <c r="H139" s="147"/>
      <c r="I139" s="186">
        <v>44781.291666666664</v>
      </c>
      <c r="J139" s="187">
        <v>44781.291666666664</v>
      </c>
      <c r="K139" s="188"/>
      <c r="L139" s="297"/>
      <c r="M139" s="138"/>
      <c r="N139" s="138"/>
      <c r="O139" s="138"/>
      <c r="P139" s="22"/>
      <c r="Q139" s="25"/>
      <c r="R139" s="4" t="str">
        <f>IF(SnapshotTable[[#This Row],[Equity Basis Total]] &gt; 0, SnapshotTable[[#This Row],[Equity Basis Total]] / SnapshotTable[[#This Row],[Equity Shares]], "")</f>
        <v/>
      </c>
      <c r="S139" s="254">
        <f>SnapshotTable[[#This Row],[Last Price]] * SnapshotTable[[#This Row],[Equity Shares]]</f>
        <v>0</v>
      </c>
      <c r="T139" s="254">
        <f>SnapshotTable[[#This Row],[Equity Value]] - SnapshotTable[[#This Row],[Equity Basis Total]]</f>
        <v>0</v>
      </c>
      <c r="U139" s="255" t="str">
        <f>IF(SnapshotTable[[#This Row],[Equity Basis Total]] &gt; 0, SnapshotTable[[#This Row],[Equity G/L]] / SnapshotTable[[#This Row],[Equity Basis Total]], "")</f>
        <v/>
      </c>
      <c r="V139" s="253"/>
      <c r="W139" s="253"/>
      <c r="X139" s="4" t="str">
        <f>IF(AND(ISNUMBER(SnapshotTable[[#This Row],[Equity Basis Per Share]]),ISNUMBER(SnapshotTable[[#This Row],[Equity Target]])),SnapshotTable[[#This Row],[Equity Target]]-SnapshotTable[[#This Row],[Equity Basis Per Share]],"")</f>
        <v/>
      </c>
      <c r="Y139" s="4" t="str">
        <f>IF(AND(ISNUMBER(SnapshotTable[[#This Row],[Equity Basis Per Share]]),ISNUMBER(SnapshotTable[[#This Row],[Equity Stop Loss]])),SnapshotTable[[#This Row],[Equity Stop Loss]]-SnapshotTable[[#This Row],[Equity Basis Per Share]],"")</f>
        <v/>
      </c>
      <c r="Z139" s="260" t="str">
        <f>IFERROR( TEXT(SnapshotTable[[#This Row],[Equity Max Gain Per Share]] /ABS( SnapshotTable[[#This Row],[Equity Max Loss Per Share]]),"0.0 " ) &amp; " : 1", "")</f>
        <v/>
      </c>
      <c r="AA139" s="31" t="str">
        <f>IF(ISNUMBER(SnapshotTable[[#This Row],[Equity Max Gain Per Share]]),SnapshotTable[[#This Row],[Equity Max Gain Per Share]] * SnapshotTable[[#This Row],[Equity Shares]],"")</f>
        <v/>
      </c>
      <c r="AB139" s="31" t="str">
        <f>IF(ISNUMBER(SnapshotTable[[#This Row],[Equity Max Loss Per Share]]),SnapshotTable[[#This Row],[Equity Max Loss Per Share]] * SnapshotTable[[#This Row],[Equity Shares]],"")</f>
        <v/>
      </c>
      <c r="AC139" s="148">
        <f>0.89 * 4</f>
        <v>3.56</v>
      </c>
      <c r="AD139" s="149">
        <v>43175</v>
      </c>
      <c r="AE139" s="31">
        <f>(SnapshotTable[[#This Row],[Annual Dividend Per Share]] / 4) * SnapshotTable[[#This Row],[Equity Shares]]</f>
        <v>0</v>
      </c>
      <c r="AF139" s="31">
        <f>SnapshotTable[[#This Row],[Quarterly Div $]] * 4</f>
        <v>0</v>
      </c>
      <c r="AG139" s="7">
        <f>IF(SnapshotTable[[#This Row],[Annual Dividend Per Share]]&gt;0, SnapshotTable[[#This Row],[Annual Dividend Per Share]]  / SnapshotTable[[#This Row],[Last Price]], 0)</f>
        <v>2.7823368503321611E-2</v>
      </c>
      <c r="AH139" s="149">
        <v>43146</v>
      </c>
      <c r="AI139" s="5"/>
      <c r="AJ139" s="136">
        <v>88.25</v>
      </c>
      <c r="AK139" s="150" t="str">
        <f>IF(ISNUMBER( SnapshotTable[[#This Row],[EBF Target]]),(SnapshotTable[[#This Row],[EBF Target]] - SnapshotTable[[#This Row],[Last Price]]) / SnapshotTable[[#This Row],[Last Price]], "")</f>
        <v/>
      </c>
      <c r="AL139" s="150" t="str">
        <f>IF(AND(SnapshotTable[[#This Row],[Equity Basis Total]] &gt; 0,ISNUMBER( SnapshotTable[[#This Row],[Long Term Target]])), SnapshotTable[[#This Row],[From Basis $]] / SnapshotTable[[#This Row],[Equity Basis Total]], "")</f>
        <v/>
      </c>
      <c r="AM139" s="9">
        <f>IF( AND(SnapshotTable[[#This Row],[Equity Shares]] &gt;0,ISNUMBER( SnapshotTable[[#This Row],[Long Term Target]])),(SnapshotTable[[#This Row],[Equity Shares]] * SnapshotTable[[#This Row],[Long Term Target]]) - SnapshotTable[[#This Row],[Equity Basis Total]],0)</f>
        <v>0</v>
      </c>
      <c r="AN139" s="9">
        <f>IF( AND(SnapshotTable[[#This Row],[Equity Shares]] &gt;0,ISNUMBER( SnapshotTable[[#This Row],[Long Term Target]])),(SnapshotTable[[#This Row],[Equity Shares]]*SnapshotTable[[#This Row],[Long Term Target]]) - SnapshotTable[[#This Row],[Equity Value]],0)</f>
        <v>0</v>
      </c>
      <c r="AO139" s="150">
        <f>IF(AND(ISNUMBER( SnapshotTable[[#This Row],[Long Term Target]]), ISNUMBER(SnapshotTable[[#This Row],[Last Price]])),(SnapshotTable[[#This Row],[Long Term Target]] - SnapshotTable[[#This Row],[Last Price]]) / SnapshotTable[[#This Row],[Last Price]], "")</f>
        <v>-0.31027745212973817</v>
      </c>
      <c r="AP139" s="5"/>
      <c r="AQ139" s="38"/>
      <c r="AR139" s="5"/>
      <c r="AS139" s="38"/>
      <c r="AT139" s="144"/>
      <c r="AU139" s="185" t="str">
        <f>IF(OR(SnapshotTable[[#This Row],[LP No Fill]]="Y",SnapshotTable[[#This Row],[SP Is Filled]],SnapshotTable[[#This Row],[LC Not Filled]]="Y",SnapshotTable[[#This Row],[SC Is Filled]]),"Y","")</f>
        <v/>
      </c>
      <c r="AV139" s="205"/>
      <c r="AW139" s="211"/>
      <c r="AX139" s="206"/>
      <c r="AY139" s="205" t="str">
        <f>IF(SnapshotTable[[#This Row],[Implied Move]]&gt;0, SnapshotTable[[#This Row],[Last Price]]-SnapshotTable[[#This Row],[Implied Move]],"")</f>
        <v/>
      </c>
      <c r="AZ139" s="205" t="str">
        <f>IF(SnapshotTable[[#This Row],[Implied Move]]&gt;0, SnapshotTable[[#This Row],[Last Price]] + SnapshotTable[[#This Row],[Implied Move]],"")</f>
        <v/>
      </c>
      <c r="BA139" s="302"/>
      <c r="BB139" s="318"/>
      <c r="BC1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39" s="321"/>
      <c r="BE139" s="5"/>
      <c r="BF139" s="14"/>
      <c r="BG139" s="13"/>
      <c r="BH139" s="13"/>
      <c r="BI139" s="5"/>
      <c r="BJ139" s="134">
        <f>IF(SnapshotTable[[#This Row],[LP Qty]] &gt; 0, SnapshotTable[[#This Row],[LP Qty]] * SnapshotTable[[#This Row],[LP Book Price]] * 100,0)</f>
        <v>0</v>
      </c>
      <c r="BK139" s="134">
        <f>IF(SnapshotTable[[#This Row],[LP Premium]] &gt; 0, SnapshotTable[[#This Row],[LP Qty]] * SnapshotTable[[#This Row],[LP Strike Price]] * 100,0)</f>
        <v>0</v>
      </c>
      <c r="BL139" s="152"/>
      <c r="BM139" s="355" t="str">
        <f>IF(SnapshotTable[[#This Row],[LP Premium]] &gt; 0,SnapshotTable[[#This Row],[LP Exp Date]]-MAX(SnapshotTable[[#This Row],[LP Book Date]], SnapshotTable[[#This Row],[LP Fill Date]]),"")</f>
        <v/>
      </c>
      <c r="BN139" s="355" t="str">
        <f>IF(ISNUMBER( SnapshotTable[[#This Row],[LP Term]]), SnapshotTable[[#This Row],[LP Exp Date]] - MockToday,"")</f>
        <v/>
      </c>
      <c r="BO139" s="161" t="str">
        <f>IF(AND(SnapshotTable[[#This Row],[LP Exp Date]]&gt;0, SnapshotTable[[#This Row],[LP Strike Price]]&gt;0,SnapshotTable[[#This Row],[LP Qty]]&gt;0,SnapshotTable[[#This Row],[LP Book Date]]&gt;0,SnapshotTable[[#This Row],[LP Book Price]]&gt;0,SnapshotTable[[#This Row],[LP Fill Date]]=0),"Y","")</f>
        <v/>
      </c>
      <c r="BP139" s="31" t="str">
        <f>IF(AND(SnapshotTable[[#This Row],[LP No Fill]]&lt;&gt;"Y",SnapshotTable[[#This Row],[LP Contract Value]]&gt;0, SnapshotTable[[#This Row],[LP Qty]]&gt;0), SnapshotTable[[#This Row],[LP Contract Value]]*SnapshotTable[[#This Row],[LP Qty]]*100,"")</f>
        <v/>
      </c>
      <c r="BQ139" s="13"/>
      <c r="BR139" s="5"/>
      <c r="BS139" s="36"/>
      <c r="BT139" s="145"/>
      <c r="BU139" s="13"/>
      <c r="BV139" s="5"/>
      <c r="BW139" s="382" t="b">
        <f>AND(ISNUMBER(SnapshotTable[[#This Row],[SP Exp Date]]), ISNUMBER(SnapshotTable[[#This Row],[SP Strike Price]]), ISNUMBER(SnapshotTable[[#This Row],[SP Qty]]), ISNUMBER(SnapshotTable[[#This Row],[SP Book Date]]), ISNUMBER(SnapshotTable[[#This Row],[SP Book Price]]))</f>
        <v>0</v>
      </c>
      <c r="BX139" s="382" t="b">
        <f>AND(SnapshotTable[[#This Row],[SP Is Booked]], NOT(ISBLANK(SnapshotTable[[#This Row],[SP Fill Date]])))</f>
        <v>0</v>
      </c>
      <c r="BY139" s="33">
        <f>IF(SnapshotTable[[#This Row],[SP Is Booked]], SnapshotTable[[#This Row],[SP Qty]] * SnapshotTable[[#This Row],[SP Book Price]] * 100, 0)</f>
        <v>0</v>
      </c>
      <c r="BZ139" s="339"/>
      <c r="CA139" s="338">
        <f>SnapshotTable[[#This Row],[LP Qty]]</f>
        <v>0</v>
      </c>
      <c r="CB139" s="4" t="str">
        <f>IF(SnapshotTable[[#This Row],[SP Is Booked]], SnapshotTable[[#This Row],[SP Strike Price]] - SnapshotTable[[#This Row],[SP Book Price]], "")</f>
        <v/>
      </c>
      <c r="CC139" s="19" t="str">
        <f>IF(SnapshotTable[[#This Row],[SP Is Booked]],SnapshotTable[[#This Row],[SP Exp Date]]-MAX(SnapshotTable[[#This Row],[SP Book Date]], SnapshotTable[[#This Row],[SP Fill Date]]),"")</f>
        <v/>
      </c>
      <c r="CD139" s="7" t="str">
        <f>IF(SnapshotTable[[#This Row],[SP Is Booked]], SnapshotTable[[#This Row],[SP Book Price]]/SnapshotTable[[#This Row],[SP Strike Price]], "")</f>
        <v/>
      </c>
      <c r="CE139" s="7" t="str">
        <f>IF(ISNUMBER(SnapshotTable[[#This Row],[SP ROO Term]]),SnapshotTable[[#This Row],[SP ROO Term]]*(365/SnapshotTable[[#This Row],[SP Term]]),"")</f>
        <v/>
      </c>
      <c r="CF139" s="221">
        <f>SnapshotTable[[#This Row],[LP Strike Price]] * SnapshotTable[[#This Row],[LP Qty]] * 100</f>
        <v>0</v>
      </c>
      <c r="CG139" s="31">
        <f>IF(ISNUMBER(SnapshotTable[[#This Row],[SP Premium]]), (SnapshotTable[[#This Row],[SP Qty]] * SnapshotTable[[#This Row],[SP Strike Price]]* 100) - SnapshotTable[[#This Row],[LP Protection]], 0)</f>
        <v>0</v>
      </c>
      <c r="CH139" s="7" t="str">
        <f>IF(ISNUMBER(SnapshotTable[[#This Row],[SP Break Even]]),-1 * (SnapshotTable[[#This Row],[SP Break Even]] - SnapshotTable[[#This Row],[Last Price]]) / SnapshotTable[[#This Row],[Last Price]], "")</f>
        <v/>
      </c>
      <c r="CI139" s="31">
        <f>IF(AND(ISNUMBER((SnapshotTable[[#This Row],[SP Potential Spend]])), SnapshotTable[[#This Row],[SP Strike Price]] &gt; SnapshotTable[[#This Row],[Last Price]], SnapshotTable[[#This Row],[SP Is Filled]]), SnapshotTable[[#This Row],[SP Potential Spend]] -  SnapshotTable[[#This Row],[LP Max Value]], 0)</f>
        <v>0</v>
      </c>
      <c r="CJ139" s="229"/>
      <c r="CK139" s="31">
        <f>IF(ISNUMBER(SnapshotTable[[#This Row],[SP Potential Spend]]),IF(ISNUMBER(SnapshotTable[[#This Row],[SP POW]]), SnapshotTable[[#This Row],[SP POW]] * SnapshotTable[[#This Row],[SP Potential Spend]], SnapshotTable[[#This Row],[SP Potential Spend]]), "")</f>
        <v>0</v>
      </c>
      <c r="CL139" s="162">
        <f>IF(NOT(SnapshotTable[[#This Row],[SP Is Filled]]),(SnapshotTable[[#This Row],[SP Qty]] * SnapshotTable[[#This Row],[SP Strike Price]] * 100) - SnapshotTable[[#This Row],[LP Max Value]],"")</f>
        <v>0</v>
      </c>
      <c r="CM139" s="31" t="str">
        <f>IF(SnapshotTable[[#This Row],[SP Actual Spend]]&lt;&gt;0, ((SnapshotTable[[#This Row],[SP Strike Price]]-SnapshotTable[[#This Row],[Last Price]]) *(SnapshotTable[[#This Row],[SP Qty]]*100) - SnapshotTable[[#This Row],[SP Premium]]) * - 1, "")</f>
        <v/>
      </c>
      <c r="CN139" s="76"/>
      <c r="CO139" s="339"/>
      <c r="CP139" s="4" t="str">
        <f>IF(SnapshotTable[[#This Row],[SP Is Filled]], btc_max_buyback_amount(SnapshotTable[[#This Row],[SP Fill Date]],SnapshotTable[[#This Row],[SP Exp Date]], SnapshotTable[[#This Row],[SP Book Price]]),"")</f>
        <v/>
      </c>
      <c r="CQ139" s="76"/>
      <c r="CR1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39" s="153" t="str">
        <f>IF(SnapshotTable[[#This Row],[SP Is Filled]], btc_next_cutoff_date(SnapshotTable[[#This Row],[SP Fill Date]],SnapshotTable[[#This Row],[SP Exp Date]]),"")</f>
        <v/>
      </c>
      <c r="CT139" s="220" t="str" cm="1">
        <f t="array" ref="CT139">IF(SnapshotTable[[#This Row],[SP Is Filled]], btc_should_buy_back(SnapshotTable[[#This Row],[SP Fill Date]], SnapshotTable[[#This Row],[SP Exp Date]], SnapshotTable[[#This Row],[SP Book Price]], SnapshotTable[[#This Row],[SP Current Ask]], MockToday, SnapshotTable[[#This Row],[SP Buyback Override]]),"")</f>
        <v/>
      </c>
      <c r="CU139" s="141"/>
      <c r="CV139" s="220"/>
      <c r="CW139" s="348" t="str">
        <f>IF(ISNUMBER( SnapshotTable[[#This Row],[SP Term]]), SnapshotTable[[#This Row],[SP Exp Date]] - MockToday,"")</f>
        <v/>
      </c>
      <c r="CX139" s="31" t="str">
        <f>IF(SnapshotTable[[#This Row],[SP Is Filled]],SnapshotTable[[#This Row],[SP Buyback Price to Use]] * 100 * SnapshotTable[[#This Row],[SP Qty]], "")</f>
        <v/>
      </c>
      <c r="CY139" s="4" t="str">
        <f>IF(ISNUMBER(SnapshotTable[[#This Row],[SP Strike Price]]), SnapshotTable[[#This Row],[SP Strike Price]] * (1 - SP_MaxLoss_StrikePct), "")</f>
        <v/>
      </c>
      <c r="CZ139" s="31" t="str">
        <f>IF(ISNUMBER(SnapshotTable[[#This Row],[SP Strike  Stop Per Share]]),SnapshotTable[[#This Row],[SP Premium]] - ((SnapshotTable[[#This Row],[SP Strike Price]]-SnapshotTable[[#This Row],[SP Strike  Stop Per Share]]) *(SnapshotTable[[#This Row],[SP Qty]] * 100)),"")</f>
        <v/>
      </c>
      <c r="DA139" s="4" t="str">
        <f>IF(AND(ISNUMBER(SnapshotTable[[#This Row],[SP Premium]]),SnapshotTable[[#This Row],[SP Premium]]&gt;0), SnapshotTable[[#This Row],[SP Book Price]] * (1 + SP_MaxLoss_OptionPct), "")</f>
        <v/>
      </c>
      <c r="DB139" s="31" t="str">
        <f>IF(ISNUMBER(SnapshotTable[[#This Row],[SP Option  Stop Contract]]),(SnapshotTable[[#This Row],[SP Option  Stop Contract]] *(SnapshotTable[[#This Row],[SP Qty]] * 100) - SnapshotTable[[#This Row],[SP Premium]]),"")</f>
        <v/>
      </c>
      <c r="DC139" s="4"/>
      <c r="DD139" s="4"/>
      <c r="DE139" s="4" t="str">
        <f>IF(AND(SnapshotTable[[#This Row],[SP Qty]]&gt;0, SnapshotTable[[#This Row],[SP Stop To Use]]&gt;0),SnapshotTable[[#This Row],[SP Premium]] - ( SnapshotTable[[#This Row],[SP Qty]] * SnapshotTable[[#This Row],[SP Stop To Use]] * 100), "")</f>
        <v/>
      </c>
      <c r="DF139" s="31" t="str">
        <f>IF(AND(SnapshotTable[[#This Row],[SP Qty]]&gt;0,SnapshotTable[[#This Row],[SP Current Ask]]&gt;0), SnapshotTable[[#This Row],[SP Qty]] * SnapshotTable[[#This Row],[SP Current Ask]] * -100, "")</f>
        <v/>
      </c>
      <c r="DG139" s="31" t="str">
        <f>IF(ISNUMBER((SnapshotTable[[#This Row],[SP Total Value]])), SnapshotTable[[#This Row],[SP Premium]] + SnapshotTable[[#This Row],[SP Total Value]], "")</f>
        <v/>
      </c>
      <c r="DH139" s="272" t="str">
        <f>IF(ISNUMBER((SnapshotTable[[#This Row],[SP Total Value]])), SnapshotTable[[#This Row],[SP Gain Loss]] / SnapshotTable[[#This Row],[SP Premium]], "")</f>
        <v/>
      </c>
      <c r="DI139" s="369"/>
      <c r="DJ139" s="136"/>
      <c r="DK139" s="146"/>
      <c r="DL139" s="13"/>
      <c r="DM139" s="13"/>
      <c r="DO139" s="31">
        <f>IF(SnapshotTable[[#This Row],[LC Symbol Count]]=1, SnapshotTable[[#This Row],[LC Qty]] * SnapshotTable[[#This Row],[LC Book Price]] * 100, 0)</f>
        <v>0</v>
      </c>
      <c r="DP139" s="161" t="str">
        <f>IF(AND(SnapshotTable[[#This Row],[LC Exp Date]]&gt;0, SnapshotTable[[#This Row],[LC Strike Price]]&gt;0,SnapshotTable[[#This Row],[LC Qty]]&gt;0,SnapshotTable[[#This Row],[LC Book Date]]&gt;0,SnapshotTable[[#This Row],[LC Book Price]]&gt;0,SnapshotTable[[#This Row],[LC Fill Date]]=0),"Y","")</f>
        <v/>
      </c>
      <c r="DQ139" s="356" t="str">
        <f>IF(SnapshotTable[[#This Row],[LC Premium]] &gt; 0,SnapshotTable[[#This Row],[LC Exp Date]]-MAX(SnapshotTable[[#This Row],[LC Book Date]], SnapshotTable[[#This Row],[LC Fill Date]]),"")</f>
        <v/>
      </c>
      <c r="DR139" s="356" t="str">
        <f>IF(ISNUMBER(SnapshotTable[[#This Row],[LC Term]]), SnapshotTable[[#This Row],[LC Exp Date]] - MockToday, "")</f>
        <v/>
      </c>
      <c r="DS139" s="219" t="str">
        <f>IF(SnapshotTable[[#This Row],[LC Premium]]&gt;0,SnapshotTable[[#This Row],[LC Strike Price]] + SnapshotTable[[#This Row],[LC Book Price]],"")</f>
        <v/>
      </c>
      <c r="DU139" s="9" t="str">
        <f>IF(AND(SnapshotTable[[#This Row],[LC Symbol Count]]&gt;0, SnapshotTable[[#This Row],[LC Contract Value]]&gt;0), SnapshotTable[[#This Row],[LC Contract Value]] * SnapshotTable[[#This Row],[LC Qty]] * 100, "")</f>
        <v/>
      </c>
      <c r="DV139" s="9" t="str">
        <f>IF(AND(ISNUMBER(SnapshotTable[[#This Row],[LC Total Value]]), SnapshotTable[[#This Row],[LC Not Filled]]&lt;&gt;"Y"), SnapshotTable[[#This Row],[LC Total Value]]-SnapshotTable[[#This Row],[LC Premium]],"")</f>
        <v/>
      </c>
      <c r="DW139" s="225" t="str">
        <f>IF(ISNUMBER(SnapshotTable[[#This Row],[LC Actual Gain Loss]]), SnapshotTable[[#This Row],[LC Actual Gain Loss]] / SnapshotTable[[#This Row],[LC Premium]],"")</f>
        <v/>
      </c>
      <c r="DX139" s="269" t="str">
        <f>IF(ISNUMBER(SnapshotTable[[#This Row],[LC Book Price]]),SnapshotTable[[#This Row],[LC Book Price]] * 1.5,"")</f>
        <v/>
      </c>
      <c r="DY139" s="250" t="str">
        <f>IF(SnapshotTable[[#This Row],[LC Premium]]&gt;0, SnapshotTable[[#This Row],[LC Next Target]] * SnapshotTable[[#This Row],[LC Qty]] * 100,"")</f>
        <v/>
      </c>
      <c r="DZ139" s="250" t="str">
        <f>IF(ISNUMBER(SnapshotTable[[#This Row],[LC Target Gross]]), SnapshotTable[[#This Row],[LC Target Gross]] - SnapshotTable[[#This Row],[LC Premium]], "")</f>
        <v/>
      </c>
      <c r="EA139" s="283" t="str">
        <f>IF(ISNUMBER(SnapshotTable[[#This Row],[LC Target Gain Loss]]), SnapshotTable[[#This Row],[LC Target Gain Loss]]/SnapshotTable[[#This Row],[LC Premium]], "")</f>
        <v/>
      </c>
      <c r="EB139" s="247"/>
      <c r="EC139" s="268" t="str">
        <f>IF(SnapshotTable[[#This Row],[LC Premium]]&gt;0, SnapshotTable[[#This Row],[LC Book Price]] * (1 - LC_StopLoss_Pct),"")</f>
        <v/>
      </c>
      <c r="ED139" s="269"/>
      <c r="EE139" s="268" t="str">
        <f>IF(ISNUMBER(SnapshotTable[[#This Row],[LC Contract Value]]),IF(ISNUMBER(SnapshotTable[[#This Row],[LC Stop Loss Override]]), SnapshotTable[[#This Row],[LC Stop Loss Override]],SnapshotTable[[#This Row],[LC Stop Loss Calc Target]]),"")</f>
        <v/>
      </c>
      <c r="EF139" s="31" t="str">
        <f>IF(ISNUMBER(SnapshotTable[[#This Row],[LC Stop  To Use]]), (SnapshotTable[[#This Row],[LC Stop  To Use]] * SnapshotTable[[#This Row],[LC Qty]] * 100),"")</f>
        <v/>
      </c>
      <c r="EG139" s="9" t="str">
        <f>IF(ISNUMBER(SnapshotTable[[#This Row],[LC Total Value]]),SnapshotTable[[#This Row],[LC Stop Loss Amount]] - SnapshotTable[[#This Row],[LC Premium]],"")</f>
        <v/>
      </c>
      <c r="EH139" s="9">
        <f>IF(ISNUMBER(SnapshotTable[[#This Row],[LC Premium]]), SnapshotTable[[#This Row],[LC Qty]] * 100 * SnapshotTable[[#This Row],[LC Strike Price]], "")</f>
        <v>0</v>
      </c>
      <c r="EI139" s="225" t="str">
        <f>IF(AND(ISNUMBER(SnapshotTable[[#This Row],[LC Total Value]]),SnapshotTable[[#This Row],[LC Total Value]]&gt;0),SnapshotTable[[#This Row],[LC Stop Gain Loss]]  / SnapshotTable[[#This Row],[LC Premium]],"")</f>
        <v/>
      </c>
      <c r="EJ139" s="35">
        <f>IF(ISNUMBER(SnapshotTable[[#This Row],[Equity Shares]]),TRUNC(SnapshotTable[[#This Row],[Equity Shares]] / 100),0) + SnapshotTable[[#This Row],[LC Qty]]</f>
        <v>0</v>
      </c>
      <c r="EK139" s="145"/>
      <c r="EL139" s="136"/>
      <c r="EM139" s="146"/>
      <c r="EN139" s="145"/>
      <c r="EO139" s="145"/>
      <c r="EP139" s="136"/>
      <c r="EQ139" s="382" t="b">
        <f>AND(ISNUMBER(SnapshotTable[[#This Row],[SC Exp Date]]), ISNUMBER(SnapshotTable[[#This Row],[SC Strike Price]]), ISNUMBER(SnapshotTable[[#This Row],[SC Qty]]), ISNUMBER(SnapshotTable[[#This Row],[SC Book Date]]), ISNUMBER(SnapshotTable[[#This Row],[SC Book Price]]))</f>
        <v>0</v>
      </c>
      <c r="ER139" s="382" t="b">
        <f>AND(SnapshotTable[[#This Row],[SC Is Booked]], NOT(ISBLANK(SnapshotTable[[#This Row],[SC Fill Date]])))</f>
        <v>0</v>
      </c>
      <c r="ES139" s="340"/>
      <c r="ET139" s="34" t="str">
        <f>IF(AND(ISNUMBER(SnapshotTable[[#This Row],[SC Exp Date]]), ISNUMBER(SnapshotTable[[#This Row],[SC Book Date]])), SnapshotTable[[#This Row],[SC Exp Date]] - MAX(SnapshotTable[[#This Row],[SC Book Date]], SnapshotTable[[#This Row],[SC Fill Date]]) + 1, "")</f>
        <v/>
      </c>
      <c r="EU139" s="34" t="str">
        <f>IF(ISNUMBER(SnapshotTable[[#This Row],[SC Term]]), SnapshotTable[[#This Row],[SC Exp Date]]- MockToday, "")</f>
        <v/>
      </c>
      <c r="EV139" s="31">
        <f>IF(SnapshotTable[[#This Row],[SC Is Booked]], SnapshotTable[[#This Row],[SC Qty]] * SnapshotTable[[#This Row],[SC Book Price]] * 100, 0)</f>
        <v>0</v>
      </c>
      <c r="EW139" s="4" t="str">
        <f>IF(AND(ISNUMBER(SnapshotTable[[#This Row],[Last Price]]), ISNUMBER( SnapshotTable[[#This Row],[SC Book Price]])), SnapshotTable[[#This Row],[Last Price]] - SnapshotTable[[#This Row],[SC Book Price]],"")</f>
        <v/>
      </c>
      <c r="EX139" s="219" t="str">
        <f>IF(SnapshotTable[[#This Row],[SC Is Booked]],IF(SnapshotTable[[#This Row],[SC Intrinsic Value]] &gt; 0, SnapshotTable[[#This Row],[SC Strike Price]], SnapshotTable[[#This Row],[Last Price]]), "")</f>
        <v/>
      </c>
      <c r="EY139" s="4">
        <f>IF(SnapshotTable[[#This Row],[SC Is Booked]], (MinimumPremiumRequired * SnapshotTable[[#This Row],[SC Basis]] * SnapshotTable[[#This Row],[SC Term]]), 0)</f>
        <v>0</v>
      </c>
      <c r="EZ139" s="268"/>
      <c r="FA139" s="204"/>
      <c r="FB139" s="340"/>
      <c r="FC139" s="4">
        <f>IF(SnapshotTable[[#This Row],[SC Is Filled]], btc_max_buyback_amount(SnapshotTable[[#This Row],[SC Fill Date]],SnapshotTable[[#This Row],[SC Exp Date]], SnapshotTable[[#This Row],[SC Book Price]]),0)</f>
        <v>0</v>
      </c>
      <c r="FD139" s="5"/>
      <c r="FE139" s="142" t="str">
        <f>IF(SnapshotTable[[#This Row],[SC Is Filled]], btc_next_cutoff_date(SnapshotTable[[#This Row],[SC Fill Date]],SnapshotTable[[#This Row],[SC Exp Date]]),"")</f>
        <v/>
      </c>
      <c r="FF139" s="4" t="str" cm="1">
        <f t="array" ref="FF139">IF(SnapshotTable[[#This Row],[SC Is Filled]], btc_should_buy_back(SnapshotTable[[#This Row],[SC Fill Date]], SnapshotTable[[#This Row],[SC Exp Date]], SnapshotTable[[#This Row],[SC Book Price]], SnapshotTable[[#This Row],[SC Current Ask]], MockToday, SnapshotTable[[#This Row],[SC Buyback Override]]),"")</f>
        <v/>
      </c>
      <c r="FG139" s="4">
        <f>IF(SnapshotTable[[#This Row],[SC Is Filled]], MAX(0,SnapshotTable[[#This Row],[Last Price]]  - SnapshotTable[[#This Row],[SC Strike Price]]), 0)</f>
        <v>0</v>
      </c>
      <c r="FH139" s="352">
        <f>IF(SnapshotTable[[#This Row],[SC Is Filled]], IF(ISNUMBER(SnapshotTable[[#This Row],[SC Current Ask]]), SnapshotTable[[#This Row],[SC Current Ask]], SnapshotTable[[#This Row],[SC Book Price]]) - SnapshotTable[[#This Row],[SC Intrinsic Value]], 0)</f>
        <v>0</v>
      </c>
      <c r="FI139" s="141"/>
      <c r="FJ139" s="32" t="str">
        <f>IF(SnapshotTable[[#This Row],[SC Is Filled]],100 * SnapshotTable[[#This Row],[SC Qty]] * IF(ISNUMBER(SnapshotTable[[#This Row],[SC Buyback Override]]), SnapshotTable[[#This Row],[SC Buyback Override]], SnapshotTable[[#This Row],[SC Current Ask]]), "")</f>
        <v/>
      </c>
      <c r="FK139" s="235" t="str">
        <f>IF(SnapshotTable[[#This Row],[SC Time Val]]&gt;0, SnapshotTable[[#This Row],[SC Time Val]] / SnapshotTable[[#This Row],[Last Price]],"")</f>
        <v/>
      </c>
      <c r="FL139" s="280" t="str">
        <f>IF(SnapshotTable[[#This Row],[SC Is Booked]], ((SnapshotTable[[#This Row],[Last Price]] -SnapshotTable[[#This Row],[SC Strike Price]]) / SnapshotTable[[#This Row],[Last Price]]) * -1, "")</f>
        <v/>
      </c>
      <c r="FM139" s="155" t="str">
        <f>IF(SnapshotTable[[#This Row],[SC Is Booked]],  (SnapshotTable[[#This Row],[SC Qty]] * 100 * SnapshotTable[[#This Row],[SC Strike Price]]) - SnapshotTable[[#This Row],[SC Current Ask]], "")</f>
        <v/>
      </c>
      <c r="FN1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39" s="31" t="str">
        <f>IF(AND(ISNUMBER(SnapshotTable[[#This Row],[SC Exercise Gross]]), ISNUMBER(SnapshotTable[[#This Row],[Equity Basis Per Share]] )), SnapshotTable[[#This Row],[SC Exercise Gross]] - SnapshotTable[[#This Row],[Equity Basis Total]] +  SnapshotTable[[#This Row],[SC Premium]], "")</f>
        <v/>
      </c>
      <c r="FP139" s="5" t="str">
        <f>IF(ISNUMBER(SnapshotTable[[#This Row],[SC Exercise Gross]]), (SnapshotTable[[#This Row],[SC Exercise Gross]]) / (SnapshotTable[[#This Row],[SC Qty]] * 100), "")</f>
        <v/>
      </c>
      <c r="FQ139" s="27" t="str">
        <f>IF(SnapshotTable[[#This Row],[SC Is Booked]],SnapshotTable[[#This Row],[SC Time Val]] /SnapshotTable[[#This Row],[SC Basis]], "")</f>
        <v/>
      </c>
      <c r="FR139" s="27" t="str" cm="1">
        <f t="array" ref="FR139">IF(AND(ISNUMBER(SnapshotTable[[#This Row],[SC Term]]),ISNUMBER(SnapshotTable[[#This Row],[SC Simple ROO]])), EllmanAnnualize(SnapshotTable[[#This Row],[SC DTE]], SnapshotTable[[#This Row],[SC Simple ROO]] ),"")</f>
        <v/>
      </c>
      <c r="FS139" s="4">
        <f>IF(SnapshotTable[[#This Row],[SC Strike Price]] &gt; SnapshotTable[[#This Row],[Last Price]], SnapshotTable[[#This Row],[SC Strike Price]] - SnapshotTable[[#This Row],[Last Price]],0)</f>
        <v>0</v>
      </c>
      <c r="FT139" s="27" t="str">
        <f>IF(AND(ISNUMBER(SnapshotTable[[#This Row],[SC Upside Potential]]), SnapshotTable[[#This Row],[SC Upside Potential]] &gt; 0),(SnapshotTable[[#This Row],[SC Upside Potential]]/ SnapshotTable[[#This Row],[ACB]]),"")</f>
        <v/>
      </c>
      <c r="FU139" s="304" t="str">
        <f>IF(SnapshotTable[[#This Row],[SC Intrinsic Value]] &gt; 0,SnapshotTable[[#This Row],[SC Intrinsic Value]],"")</f>
        <v/>
      </c>
      <c r="FV139" s="27" t="str">
        <f>IF(AND( ISNUMBER( SnapshotTable[[#This Row],[ACB]]),ISNUMBER(SnapshotTable[[#This Row],[SC Downside Protect]])),SnapshotTable[[#This Row],[SC Downside Protect]] / SnapshotTable[[#This Row],[ACB]],"")</f>
        <v/>
      </c>
      <c r="FW139" s="221" t="str">
        <f>IF(AND(ISNUMBER(SnapshotTable[[#This Row],[SC Simple ROO]]),SnapshotTable[[#This Row],[SC Simple ROO]] &gt; 0), SnapshotTable[[#This Row],[SC Premium]] + (SnapshotTable[[#This Row],[SC Qty]] * SnapshotTable[[#This Row],[SC Upside Potential]]), "")</f>
        <v/>
      </c>
      <c r="FX139" s="280" t="str" cm="1">
        <f t="array" ref="FX139">IF(ISNUMBER(SnapshotTable[[#This Row],[SC Max Dollars]]), annualize(SnapshotTable[[#This Row],[SC Term]],(SnapshotTable[[#This Row],[SC Max Dollars]]/SnapshotTable[[#This Row],[SC Basis]])),"")</f>
        <v/>
      </c>
      <c r="FY139" s="221" t="str">
        <f>IF(AND(SnapshotTable[[#This Row],[SC Qty]]&gt;0,SnapshotTable[[#This Row],[SC Current Ask]]&gt;0), SnapshotTable[[#This Row],[SC Qty]] * SnapshotTable[[#This Row],[SC Current Ask]] * -100, "")</f>
        <v/>
      </c>
      <c r="FZ139" s="31" t="str">
        <f>IF(ISNUMBER((SnapshotTable[[#This Row],[SC Current Value]])), SnapshotTable[[#This Row],[SC Premium]] + SnapshotTable[[#This Row],[SC Current Value]], "")</f>
        <v/>
      </c>
      <c r="GA139" s="272" t="str">
        <f>IFERROR( IF(ISNUMBER((SnapshotTable[[#This Row],[SC Current Value]])), SnapshotTable[[#This Row],[SC Gain Loss]] / SnapshotTable[[#This Row],[SC Premium]], ""), "")</f>
        <v/>
      </c>
      <c r="GB139" s="42">
        <f>SnapshotTable[[#This Row],[Equity Shares]] * SaleSharesToConsiderPercentage</f>
        <v>0</v>
      </c>
      <c r="GC139" s="40">
        <f>SnapshotTable[[#This Row],[Long Term Target]] * SellingPriceToConsiderBasedOnTargetPercentage</f>
        <v>83.837499999999991</v>
      </c>
      <c r="GD139" s="40">
        <f>SnapshotTable[[#This Row],[Last Price]] * (1+ SellingPriceToConsiderBasedOnTargetPercentage)</f>
        <v>249.5025</v>
      </c>
      <c r="GE139" s="41"/>
      <c r="GF139" s="40"/>
      <c r="GG139" s="31">
        <f>SnapshotTable[[#This Row],[Booked Sale Shares]] * SnapshotTable[[#This Row],[Booked Sale Price]]</f>
        <v>0</v>
      </c>
      <c r="GH139" s="31" t="str">
        <f>IF(SnapshotTable[[#This Row],[Equity Basis Total]] &gt; 0, SnapshotTable[[#This Row],[Equity Basis Per Share]] * SnapshotTable[[#This Row],[Booked Sale Shares]], "")</f>
        <v/>
      </c>
      <c r="GI139" s="31">
        <f>IF(SnapshotTable[[#This Row],[Sale Proceeds]]&gt;0, SnapshotTable[[#This Row],[Sale Proceeds]] - SnapshotTable[[#This Row],[Sale Basis]], 0)</f>
        <v>0</v>
      </c>
      <c r="GJ139" s="27" t="str">
        <f>IF(SnapshotTable[[#This Row],[Sale G/L]]&gt;0, SnapshotTable[[#This Row],[Sale G/L]] / SnapshotTable[[#This Row],[Sale Basis]], IF(ISNUMBER(SnapshotTable[[#This Row],[SC Exercise P&amp;L (TAX)]]), SnapshotTable[[#This Row],[SC Exercise P&amp;L (TAX)]] / SnapshotTable[[#This Row],[SC Basis]], ""))</f>
        <v/>
      </c>
      <c r="GK139" s="27" t="s">
        <v>569</v>
      </c>
      <c r="GL139" s="43" t="str">
        <f>IF(AND(SnapshotTable[[#This Row],[LP Exp Date]]&gt;0,SnapshotTable[[#This Row],[LP Strike Price]]&gt;0), [1]!ToOptionSymbol(SnapshotTable[[#This Row],[Symbol]], SnapshotTable[[#This Row],[LP Strike Price]],SnapshotTable[[#This Row],[LP Exp Date]],1), "")</f>
        <v/>
      </c>
      <c r="GM139" s="30" t="str">
        <f>IF(LEN(SnapshotTable[[#This Row],[LP Symbol]])&gt;0, 1, "")</f>
        <v/>
      </c>
      <c r="GN139" s="43" t="str">
        <f>IF(AND(SnapshotTable[[#This Row],[SP Exp Date]]&gt;0,SnapshotTable[[#This Row],[SP Strike Price]]&gt;0), [1]!ToOptionSymbol(SnapshotTable[[#This Row],[Symbol]], SnapshotTable[[#This Row],[SP Strike Price]],SnapshotTable[[#This Row],[SP Exp Date]],1), "")</f>
        <v/>
      </c>
      <c r="GO139" s="30" t="str">
        <f>IF(LEN(SnapshotTable[[#This Row],[SP Symbol]])&gt;0, 1, "")</f>
        <v/>
      </c>
      <c r="GP139" s="43" t="str">
        <f>IF(AND(SnapshotTable[[#This Row],[LC Exp Date]]&gt;0,SnapshotTable[[#This Row],[LC Strike Price]]&gt;0), [1]!ToOptionSymbol(SnapshotTable[[#This Row],[Symbol]], SnapshotTable[[#This Row],[LC Strike Price]],SnapshotTable[[#This Row],[LC Exp Date]],0), "")</f>
        <v/>
      </c>
      <c r="GQ139" s="30" t="str">
        <f>IF(LEN(SnapshotTable[[#This Row],[LC Symbol]])&gt;0, 1, "")</f>
        <v/>
      </c>
      <c r="GR139" s="43" t="str">
        <f>IF(AND(SnapshotTable[[#This Row],[SC Exp Date]]&gt;0,SnapshotTable[[#This Row],[SC Strike Price]]&gt;0), [1]!ToOptionSymbol(SnapshotTable[[#This Row],[Symbol]], SnapshotTable[[#This Row],[SC Strike Price]],SnapshotTable[[#This Row],[SC Exp Date]],0), "")</f>
        <v/>
      </c>
      <c r="GS139" s="30" t="str">
        <f>IF(LEN(SnapshotTable[[#This Row],[SC Symbol]])&gt;0, 1, "")</f>
        <v/>
      </c>
      <c r="GT139" s="29" t="str">
        <f>IF(COUNT(SnapshotTable[[#This Row],[LP Symbol Count]],SnapshotTable[[#This Row],[SP Symbol Count]],SnapshotTable[[#This Row],[LC Symbol Count]],SnapshotTable[[#This Row],[SC Symbol Count]])&gt;0, "Y", "")</f>
        <v/>
      </c>
      <c r="GU1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39" s="216">
        <f>MAX(SnapshotTable[[#This Row],[Equity Basis Total]],SnapshotTable[[#This Row],[Equity Value]]) + (SnapshotTable[[#This Row],[SP Potential Spend]]- SnapshotTable[[#This Row],[SP Premium]] + SnapshotTable[[#This Row],[LP Premium]])+ (SnapshotTable[[#This Row],[LC Premium]] - SnapshotTable[[#This Row],[SC Premium]])</f>
        <v>0</v>
      </c>
      <c r="GW139" s="137" t="str">
        <f>IF(AND(SnapshotTable[[#This Row],[Exposure]] &lt;&gt; 0),SnapshotTable[[#This Row],[Exposure]] / SnapshotTable[[#Totals],[Exposure]], "")</f>
        <v/>
      </c>
      <c r="HE139" s="253"/>
      <c r="HF139" s="253"/>
      <c r="HK139" s="1"/>
      <c r="HL139" s="1"/>
      <c r="HM139" s="1"/>
      <c r="HN139" s="1"/>
      <c r="HO139" s="1"/>
      <c r="HP139" s="1"/>
    </row>
    <row r="140" spans="2:224" ht="13.5" hidden="1" customHeight="1" x14ac:dyDescent="0.25">
      <c r="B140" s="12" t="s">
        <v>813</v>
      </c>
      <c r="C140" s="385">
        <v>232.08</v>
      </c>
      <c r="D140" s="200"/>
      <c r="E140" s="39">
        <f>SnapshotTable[[#This Row],[Last Price]]*(1 -CrashDiscount)</f>
        <v>197.268</v>
      </c>
      <c r="F140" s="26" t="s">
        <v>814</v>
      </c>
      <c r="G140" s="26" t="s">
        <v>32</v>
      </c>
      <c r="H140" s="147"/>
      <c r="I140" s="186">
        <v>44777.670138888891</v>
      </c>
      <c r="J140" s="187">
        <v>44777.670138888891</v>
      </c>
      <c r="K140" s="188"/>
      <c r="L140" s="297"/>
      <c r="M140" s="138"/>
      <c r="N140" s="138"/>
      <c r="O140" s="138"/>
      <c r="P140" s="22"/>
      <c r="Q140" s="25"/>
      <c r="R140" s="4" t="str">
        <f>IF(SnapshotTable[[#This Row],[Equity Basis Total]] &gt; 0, SnapshotTable[[#This Row],[Equity Basis Total]] / SnapshotTable[[#This Row],[Equity Shares]], "")</f>
        <v/>
      </c>
      <c r="S140" s="254">
        <f>SnapshotTable[[#This Row],[Last Price]] * SnapshotTable[[#This Row],[Equity Shares]]</f>
        <v>0</v>
      </c>
      <c r="T140" s="254">
        <f>SnapshotTable[[#This Row],[Equity Value]] - SnapshotTable[[#This Row],[Equity Basis Total]]</f>
        <v>0</v>
      </c>
      <c r="U140" s="255" t="str">
        <f>IF(SnapshotTable[[#This Row],[Equity Basis Total]] &gt; 0, SnapshotTable[[#This Row],[Equity G/L]] / SnapshotTable[[#This Row],[Equity Basis Total]], "")</f>
        <v/>
      </c>
      <c r="V140" s="253">
        <v>175</v>
      </c>
      <c r="W140" s="253">
        <v>113</v>
      </c>
      <c r="X140" s="4" t="str">
        <f>IF(AND(ISNUMBER(SnapshotTable[[#This Row],[Equity Basis Per Share]]),ISNUMBER(SnapshotTable[[#This Row],[Equity Target]])),SnapshotTable[[#This Row],[Equity Target]]-SnapshotTable[[#This Row],[Equity Basis Per Share]],"")</f>
        <v/>
      </c>
      <c r="Y140" s="4" t="str">
        <f>IF(AND(ISNUMBER(SnapshotTable[[#This Row],[Equity Basis Per Share]]),ISNUMBER(SnapshotTable[[#This Row],[Equity Stop Loss]])),SnapshotTable[[#This Row],[Equity Stop Loss]]-SnapshotTable[[#This Row],[Equity Basis Per Share]],"")</f>
        <v/>
      </c>
      <c r="Z140" s="260" t="str">
        <f>IFERROR( TEXT(SnapshotTable[[#This Row],[Equity Max Gain Per Share]] /ABS( SnapshotTable[[#This Row],[Equity Max Loss Per Share]]),"0.0 " ) &amp; " : 1", "")</f>
        <v/>
      </c>
      <c r="AA140" s="31" t="str">
        <f>IF(ISNUMBER(SnapshotTable[[#This Row],[Equity Max Gain Per Share]]),SnapshotTable[[#This Row],[Equity Max Gain Per Share]] * SnapshotTable[[#This Row],[Equity Shares]],"")</f>
        <v/>
      </c>
      <c r="AB140" s="31" t="str">
        <f>IF(ISNUMBER(SnapshotTable[[#This Row],[Equity Max Loss Per Share]]),SnapshotTable[[#This Row],[Equity Max Loss Per Share]] * SnapshotTable[[#This Row],[Equity Shares]],"")</f>
        <v/>
      </c>
      <c r="AC140" s="148"/>
      <c r="AD140" s="149"/>
      <c r="AE140" s="31">
        <f>(SnapshotTable[[#This Row],[Annual Dividend Per Share]] / 4) * SnapshotTable[[#This Row],[Equity Shares]]</f>
        <v>0</v>
      </c>
      <c r="AF140" s="31">
        <f>SnapshotTable[[#This Row],[Quarterly Div $]] * 4</f>
        <v>0</v>
      </c>
      <c r="AG140" s="7">
        <f>IF(SnapshotTable[[#This Row],[Annual Dividend Per Share]]&gt;0, SnapshotTable[[#This Row],[Annual Dividend Per Share]]  / SnapshotTable[[#This Row],[Last Price]], 0)</f>
        <v>0</v>
      </c>
      <c r="AH140" s="149"/>
      <c r="AI140" s="5"/>
      <c r="AJ140" s="136">
        <v>127</v>
      </c>
      <c r="AK140" s="150" t="str">
        <f>IF(ISNUMBER( SnapshotTable[[#This Row],[EBF Target]]),(SnapshotTable[[#This Row],[EBF Target]] - SnapshotTable[[#This Row],[Last Price]]) / SnapshotTable[[#This Row],[Last Price]], "")</f>
        <v/>
      </c>
      <c r="AL140" s="150" t="str">
        <f>IF(AND(SnapshotTable[[#This Row],[Equity Basis Total]] &gt; 0,ISNUMBER( SnapshotTable[[#This Row],[Long Term Target]])), SnapshotTable[[#This Row],[From Basis $]] / SnapshotTable[[#This Row],[Equity Basis Total]], "")</f>
        <v/>
      </c>
      <c r="AM140" s="9">
        <f>IF( AND(SnapshotTable[[#This Row],[Equity Shares]] &gt;0,ISNUMBER( SnapshotTable[[#This Row],[Long Term Target]])),(SnapshotTable[[#This Row],[Equity Shares]] * SnapshotTable[[#This Row],[Long Term Target]]) - SnapshotTable[[#This Row],[Equity Basis Total]],0)</f>
        <v>0</v>
      </c>
      <c r="AN140" s="9">
        <f>IF( AND(SnapshotTable[[#This Row],[Equity Shares]] &gt;0,ISNUMBER( SnapshotTable[[#This Row],[Long Term Target]])),(SnapshotTable[[#This Row],[Equity Shares]]*SnapshotTable[[#This Row],[Long Term Target]]) - SnapshotTable[[#This Row],[Equity Value]],0)</f>
        <v>0</v>
      </c>
      <c r="AO140" s="150">
        <f>IF(AND(ISNUMBER( SnapshotTable[[#This Row],[Long Term Target]]), ISNUMBER(SnapshotTable[[#This Row],[Last Price]])),(SnapshotTable[[#This Row],[Long Term Target]] - SnapshotTable[[#This Row],[Last Price]]) / SnapshotTable[[#This Row],[Last Price]], "")</f>
        <v>-0.45277490520510172</v>
      </c>
      <c r="AP140" s="5"/>
      <c r="AQ140" s="38"/>
      <c r="AR140" s="5">
        <v>113</v>
      </c>
      <c r="AS140" s="38" t="s">
        <v>19</v>
      </c>
      <c r="AT140" s="144"/>
      <c r="AU140" s="185" t="str">
        <f>IF(OR(SnapshotTable[[#This Row],[LP No Fill]]="Y",SnapshotTable[[#This Row],[SP Is Filled]],SnapshotTable[[#This Row],[LC Not Filled]]="Y",SnapshotTable[[#This Row],[SC Is Filled]]),"Y","")</f>
        <v/>
      </c>
      <c r="AV140" s="205"/>
      <c r="AW140" s="211"/>
      <c r="AX140" s="206"/>
      <c r="AY140" s="205" t="str">
        <f>IF(SnapshotTable[[#This Row],[Implied Move]]&gt;0, SnapshotTable[[#This Row],[Last Price]]-SnapshotTable[[#This Row],[Implied Move]],"")</f>
        <v/>
      </c>
      <c r="AZ140" s="205" t="str">
        <f>IF(SnapshotTable[[#This Row],[Implied Move]]&gt;0, SnapshotTable[[#This Row],[Last Price]] + SnapshotTable[[#This Row],[Implied Move]],"")</f>
        <v/>
      </c>
      <c r="BA140" s="302">
        <v>122.28</v>
      </c>
      <c r="BB140" s="318"/>
      <c r="BC1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0" s="321"/>
      <c r="BE140" s="5"/>
      <c r="BF140" s="14"/>
      <c r="BG140" s="13"/>
      <c r="BH140" s="13"/>
      <c r="BI140" s="5"/>
      <c r="BJ140" s="134">
        <f>IF(SnapshotTable[[#This Row],[LP Qty]] &gt; 0, SnapshotTable[[#This Row],[LP Qty]] * SnapshotTable[[#This Row],[LP Book Price]] * 100,0)</f>
        <v>0</v>
      </c>
      <c r="BK140" s="134">
        <f>IF(SnapshotTable[[#This Row],[LP Premium]] &gt; 0, SnapshotTable[[#This Row],[LP Qty]] * SnapshotTable[[#This Row],[LP Strike Price]] * 100,0)</f>
        <v>0</v>
      </c>
      <c r="BL140" s="152"/>
      <c r="BM140" s="355" t="str">
        <f>IF(SnapshotTable[[#This Row],[LP Premium]] &gt; 0,SnapshotTable[[#This Row],[LP Exp Date]]-MAX(SnapshotTable[[#This Row],[LP Book Date]], SnapshotTable[[#This Row],[LP Fill Date]]),"")</f>
        <v/>
      </c>
      <c r="BN140" s="355" t="str">
        <f>IF(ISNUMBER( SnapshotTable[[#This Row],[LP Term]]), SnapshotTable[[#This Row],[LP Exp Date]] - MockToday,"")</f>
        <v/>
      </c>
      <c r="BO140" s="161" t="str">
        <f>IF(AND(SnapshotTable[[#This Row],[LP Exp Date]]&gt;0, SnapshotTable[[#This Row],[LP Strike Price]]&gt;0,SnapshotTable[[#This Row],[LP Qty]]&gt;0,SnapshotTable[[#This Row],[LP Book Date]]&gt;0,SnapshotTable[[#This Row],[LP Book Price]]&gt;0,SnapshotTable[[#This Row],[LP Fill Date]]=0),"Y","")</f>
        <v/>
      </c>
      <c r="BP140" s="31" t="str">
        <f>IF(AND(SnapshotTable[[#This Row],[LP No Fill]]&lt;&gt;"Y",SnapshotTable[[#This Row],[LP Contract Value]]&gt;0, SnapshotTable[[#This Row],[LP Qty]]&gt;0), SnapshotTable[[#This Row],[LP Contract Value]]*SnapshotTable[[#This Row],[LP Qty]]*100,"")</f>
        <v/>
      </c>
      <c r="BQ140" s="13"/>
      <c r="BR140" s="5"/>
      <c r="BS140" s="36"/>
      <c r="BT140" s="145"/>
      <c r="BU140" s="13"/>
      <c r="BV140" s="5"/>
      <c r="BW140" s="382" t="b">
        <f>AND(ISNUMBER(SnapshotTable[[#This Row],[SP Exp Date]]), ISNUMBER(SnapshotTable[[#This Row],[SP Strike Price]]), ISNUMBER(SnapshotTable[[#This Row],[SP Qty]]), ISNUMBER(SnapshotTable[[#This Row],[SP Book Date]]), ISNUMBER(SnapshotTable[[#This Row],[SP Book Price]]))</f>
        <v>0</v>
      </c>
      <c r="BX140" s="382" t="b">
        <f>AND(SnapshotTable[[#This Row],[SP Is Booked]], NOT(ISBLANK(SnapshotTable[[#This Row],[SP Fill Date]])))</f>
        <v>0</v>
      </c>
      <c r="BY140" s="33">
        <f>IF(SnapshotTable[[#This Row],[SP Is Booked]], SnapshotTable[[#This Row],[SP Qty]] * SnapshotTable[[#This Row],[SP Book Price]] * 100, 0)</f>
        <v>0</v>
      </c>
      <c r="BZ140" s="339"/>
      <c r="CA140" s="338">
        <f>SnapshotTable[[#This Row],[LP Qty]]</f>
        <v>0</v>
      </c>
      <c r="CB140" s="4" t="str">
        <f>IF(SnapshotTable[[#This Row],[SP Is Booked]], SnapshotTable[[#This Row],[SP Strike Price]] - SnapshotTable[[#This Row],[SP Book Price]], "")</f>
        <v/>
      </c>
      <c r="CC140" s="19" t="str">
        <f>IF(SnapshotTable[[#This Row],[SP Is Booked]],SnapshotTable[[#This Row],[SP Exp Date]]-MAX(SnapshotTable[[#This Row],[SP Book Date]], SnapshotTable[[#This Row],[SP Fill Date]]),"")</f>
        <v/>
      </c>
      <c r="CD140" s="7" t="str">
        <f>IF(SnapshotTable[[#This Row],[SP Is Booked]], SnapshotTable[[#This Row],[SP Book Price]]/SnapshotTable[[#This Row],[SP Strike Price]], "")</f>
        <v/>
      </c>
      <c r="CE140" s="7" t="str">
        <f>IF(ISNUMBER(SnapshotTable[[#This Row],[SP ROO Term]]),SnapshotTable[[#This Row],[SP ROO Term]]*(365/SnapshotTable[[#This Row],[SP Term]]),"")</f>
        <v/>
      </c>
      <c r="CF140" s="221">
        <f>SnapshotTable[[#This Row],[LP Strike Price]] * SnapshotTable[[#This Row],[LP Qty]] * 100</f>
        <v>0</v>
      </c>
      <c r="CG140" s="31">
        <f>IF(ISNUMBER(SnapshotTable[[#This Row],[SP Premium]]), (SnapshotTable[[#This Row],[SP Qty]] * SnapshotTable[[#This Row],[SP Strike Price]]* 100) - SnapshotTable[[#This Row],[LP Protection]], 0)</f>
        <v>0</v>
      </c>
      <c r="CH140" s="7" t="str">
        <f>IF(ISNUMBER(SnapshotTable[[#This Row],[SP Break Even]]),-1 * (SnapshotTable[[#This Row],[SP Break Even]] - SnapshotTable[[#This Row],[Last Price]]) / SnapshotTable[[#This Row],[Last Price]], "")</f>
        <v/>
      </c>
      <c r="CI140" s="31">
        <f>IF(AND(ISNUMBER((SnapshotTable[[#This Row],[SP Potential Spend]])), SnapshotTable[[#This Row],[SP Strike Price]] &gt; SnapshotTable[[#This Row],[Last Price]], SnapshotTable[[#This Row],[SP Is Filled]]), SnapshotTable[[#This Row],[SP Potential Spend]] -  SnapshotTable[[#This Row],[LP Max Value]], 0)</f>
        <v>0</v>
      </c>
      <c r="CJ140" s="229"/>
      <c r="CK140" s="31">
        <f>IF(ISNUMBER(SnapshotTable[[#This Row],[SP Potential Spend]]),IF(ISNUMBER(SnapshotTable[[#This Row],[SP POW]]), SnapshotTable[[#This Row],[SP POW]] * SnapshotTable[[#This Row],[SP Potential Spend]], SnapshotTable[[#This Row],[SP Potential Spend]]), "")</f>
        <v>0</v>
      </c>
      <c r="CL140" s="162">
        <f>IF(NOT(SnapshotTable[[#This Row],[SP Is Filled]]),(SnapshotTable[[#This Row],[SP Qty]] * SnapshotTable[[#This Row],[SP Strike Price]] * 100) - SnapshotTable[[#This Row],[LP Max Value]],"")</f>
        <v>0</v>
      </c>
      <c r="CM140" s="31" t="str">
        <f>IF(SnapshotTable[[#This Row],[SP Actual Spend]]&lt;&gt;0, ((SnapshotTable[[#This Row],[SP Strike Price]]-SnapshotTable[[#This Row],[Last Price]]) *(SnapshotTable[[#This Row],[SP Qty]]*100) - SnapshotTable[[#This Row],[SP Premium]]) * - 1, "")</f>
        <v/>
      </c>
      <c r="CN140" s="76"/>
      <c r="CO140" s="339"/>
      <c r="CP140" s="4" t="str">
        <f>IF(SnapshotTable[[#This Row],[SP Is Filled]], btc_max_buyback_amount(SnapshotTable[[#This Row],[SP Fill Date]],SnapshotTable[[#This Row],[SP Exp Date]], SnapshotTable[[#This Row],[SP Book Price]]),"")</f>
        <v/>
      </c>
      <c r="CQ140" s="76"/>
      <c r="CR1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0" s="153" t="str">
        <f>IF(SnapshotTable[[#This Row],[SP Is Filled]], btc_next_cutoff_date(SnapshotTable[[#This Row],[SP Fill Date]],SnapshotTable[[#This Row],[SP Exp Date]]),"")</f>
        <v/>
      </c>
      <c r="CT140" s="220" t="str" cm="1">
        <f t="array" ref="CT140">IF(SnapshotTable[[#This Row],[SP Is Filled]], btc_should_buy_back(SnapshotTable[[#This Row],[SP Fill Date]], SnapshotTable[[#This Row],[SP Exp Date]], SnapshotTable[[#This Row],[SP Book Price]], SnapshotTable[[#This Row],[SP Current Ask]], MockToday, SnapshotTable[[#This Row],[SP Buyback Override]]),"")</f>
        <v/>
      </c>
      <c r="CU140" s="141"/>
      <c r="CV140" s="220"/>
      <c r="CW140" s="348" t="str">
        <f>IF(ISNUMBER( SnapshotTable[[#This Row],[SP Term]]), SnapshotTable[[#This Row],[SP Exp Date]] - MockToday,"")</f>
        <v/>
      </c>
      <c r="CX140" s="31" t="str">
        <f>IF(SnapshotTable[[#This Row],[SP Is Filled]],SnapshotTable[[#This Row],[SP Buyback Price to Use]] * 100 * SnapshotTable[[#This Row],[SP Qty]], "")</f>
        <v/>
      </c>
      <c r="CY140" s="4" t="str">
        <f>IF(ISNUMBER(SnapshotTable[[#This Row],[SP Strike Price]]), SnapshotTable[[#This Row],[SP Strike Price]] * (1 - SP_MaxLoss_StrikePct), "")</f>
        <v/>
      </c>
      <c r="CZ140" s="31" t="str">
        <f>IF(ISNUMBER(SnapshotTable[[#This Row],[SP Strike  Stop Per Share]]),SnapshotTable[[#This Row],[SP Premium]] - ((SnapshotTable[[#This Row],[SP Strike Price]]-SnapshotTable[[#This Row],[SP Strike  Stop Per Share]]) *(SnapshotTable[[#This Row],[SP Qty]] * 100)),"")</f>
        <v/>
      </c>
      <c r="DA140" s="4" t="str">
        <f>IF(AND(ISNUMBER(SnapshotTable[[#This Row],[SP Premium]]),SnapshotTable[[#This Row],[SP Premium]]&gt;0), SnapshotTable[[#This Row],[SP Book Price]] * (1 + SP_MaxLoss_OptionPct), "")</f>
        <v/>
      </c>
      <c r="DB140" s="31" t="str">
        <f>IF(ISNUMBER(SnapshotTable[[#This Row],[SP Option  Stop Contract]]),(SnapshotTable[[#This Row],[SP Option  Stop Contract]] *(SnapshotTable[[#This Row],[SP Qty]] * 100) - SnapshotTable[[#This Row],[SP Premium]]),"")</f>
        <v/>
      </c>
      <c r="DC140" s="4"/>
      <c r="DD140" s="4"/>
      <c r="DE140" s="4" t="str">
        <f>IF(AND(SnapshotTable[[#This Row],[SP Qty]]&gt;0, SnapshotTable[[#This Row],[SP Stop To Use]]&gt;0),SnapshotTable[[#This Row],[SP Premium]] - ( SnapshotTable[[#This Row],[SP Qty]] * SnapshotTable[[#This Row],[SP Stop To Use]] * 100), "")</f>
        <v/>
      </c>
      <c r="DF140" s="31" t="str">
        <f>IF(AND(SnapshotTable[[#This Row],[SP Qty]]&gt;0,SnapshotTable[[#This Row],[SP Current Ask]]&gt;0), SnapshotTable[[#This Row],[SP Qty]] * SnapshotTable[[#This Row],[SP Current Ask]] * -100, "")</f>
        <v/>
      </c>
      <c r="DG140" s="31" t="str">
        <f>IF(ISNUMBER((SnapshotTable[[#This Row],[SP Total Value]])), SnapshotTable[[#This Row],[SP Premium]] + SnapshotTable[[#This Row],[SP Total Value]], "")</f>
        <v/>
      </c>
      <c r="DH140" s="272" t="str">
        <f>IF(ISNUMBER((SnapshotTable[[#This Row],[SP Total Value]])), SnapshotTable[[#This Row],[SP Gain Loss]] / SnapshotTable[[#This Row],[SP Premium]], "")</f>
        <v/>
      </c>
      <c r="DI140" s="369"/>
      <c r="DJ140" s="136"/>
      <c r="DK140" s="146"/>
      <c r="DL140" s="13"/>
      <c r="DM140" s="13"/>
      <c r="DO140" s="31">
        <f>IF(SnapshotTable[[#This Row],[LC Symbol Count]]=1, SnapshotTable[[#This Row],[LC Qty]] * SnapshotTable[[#This Row],[LC Book Price]] * 100, 0)</f>
        <v>0</v>
      </c>
      <c r="DP140" s="161" t="str">
        <f>IF(AND(SnapshotTable[[#This Row],[LC Exp Date]]&gt;0, SnapshotTable[[#This Row],[LC Strike Price]]&gt;0,SnapshotTable[[#This Row],[LC Qty]]&gt;0,SnapshotTable[[#This Row],[LC Book Date]]&gt;0,SnapshotTable[[#This Row],[LC Book Price]]&gt;0,SnapshotTable[[#This Row],[LC Fill Date]]=0),"Y","")</f>
        <v/>
      </c>
      <c r="DQ140" s="356" t="str">
        <f>IF(SnapshotTable[[#This Row],[LC Premium]] &gt; 0,SnapshotTable[[#This Row],[LC Exp Date]]-MAX(SnapshotTable[[#This Row],[LC Book Date]], SnapshotTable[[#This Row],[LC Fill Date]]),"")</f>
        <v/>
      </c>
      <c r="DR140" s="356" t="str">
        <f>IF(ISNUMBER(SnapshotTable[[#This Row],[LC Term]]), SnapshotTable[[#This Row],[LC Exp Date]] - MockToday, "")</f>
        <v/>
      </c>
      <c r="DS140" s="219" t="str">
        <f>IF(SnapshotTable[[#This Row],[LC Premium]]&gt;0,SnapshotTable[[#This Row],[LC Strike Price]] + SnapshotTable[[#This Row],[LC Book Price]],"")</f>
        <v/>
      </c>
      <c r="DU140" s="9" t="str">
        <f>IF(AND(SnapshotTable[[#This Row],[LC Symbol Count]]&gt;0, SnapshotTable[[#This Row],[LC Contract Value]]&gt;0), SnapshotTable[[#This Row],[LC Contract Value]] * SnapshotTable[[#This Row],[LC Qty]] * 100, "")</f>
        <v/>
      </c>
      <c r="DV140" s="9" t="str">
        <f>IF(AND(ISNUMBER(SnapshotTable[[#This Row],[LC Total Value]]), SnapshotTable[[#This Row],[LC Not Filled]]&lt;&gt;"Y"), SnapshotTable[[#This Row],[LC Total Value]]-SnapshotTable[[#This Row],[LC Premium]],"")</f>
        <v/>
      </c>
      <c r="DW140" s="225" t="str">
        <f>IF(ISNUMBER(SnapshotTable[[#This Row],[LC Actual Gain Loss]]), SnapshotTable[[#This Row],[LC Actual Gain Loss]] / SnapshotTable[[#This Row],[LC Premium]],"")</f>
        <v/>
      </c>
      <c r="DX140" s="269" t="str">
        <f>IF(ISNUMBER(SnapshotTable[[#This Row],[LC Book Price]]),SnapshotTable[[#This Row],[LC Book Price]] * 1.5,"")</f>
        <v/>
      </c>
      <c r="DY140" s="250" t="str">
        <f>IF(SnapshotTable[[#This Row],[LC Premium]]&gt;0, SnapshotTable[[#This Row],[LC Next Target]] * SnapshotTable[[#This Row],[LC Qty]] * 100,"")</f>
        <v/>
      </c>
      <c r="DZ140" s="250" t="str">
        <f>IF(ISNUMBER(SnapshotTable[[#This Row],[LC Target Gross]]), SnapshotTable[[#This Row],[LC Target Gross]] - SnapshotTable[[#This Row],[LC Premium]], "")</f>
        <v/>
      </c>
      <c r="EA140" s="283" t="str">
        <f>IF(ISNUMBER(SnapshotTable[[#This Row],[LC Target Gain Loss]]), SnapshotTable[[#This Row],[LC Target Gain Loss]]/SnapshotTable[[#This Row],[LC Premium]], "")</f>
        <v/>
      </c>
      <c r="EB140" s="247"/>
      <c r="EC140" s="268" t="str">
        <f>IF(SnapshotTable[[#This Row],[LC Premium]]&gt;0, SnapshotTable[[#This Row],[LC Book Price]] * (1 - LC_StopLoss_Pct),"")</f>
        <v/>
      </c>
      <c r="ED140" s="269"/>
      <c r="EE140" s="268" t="str">
        <f>IF(ISNUMBER(SnapshotTable[[#This Row],[LC Contract Value]]),IF(ISNUMBER(SnapshotTable[[#This Row],[LC Stop Loss Override]]), SnapshotTable[[#This Row],[LC Stop Loss Override]],SnapshotTable[[#This Row],[LC Stop Loss Calc Target]]),"")</f>
        <v/>
      </c>
      <c r="EF140" s="31" t="str">
        <f>IF(ISNUMBER(SnapshotTable[[#This Row],[LC Stop  To Use]]), (SnapshotTable[[#This Row],[LC Stop  To Use]] * SnapshotTable[[#This Row],[LC Qty]] * 100),"")</f>
        <v/>
      </c>
      <c r="EG140" s="9" t="str">
        <f>IF(ISNUMBER(SnapshotTable[[#This Row],[LC Total Value]]),SnapshotTable[[#This Row],[LC Stop Loss Amount]] - SnapshotTable[[#This Row],[LC Premium]],"")</f>
        <v/>
      </c>
      <c r="EH140" s="9">
        <f>IF(ISNUMBER(SnapshotTable[[#This Row],[LC Premium]]), SnapshotTable[[#This Row],[LC Qty]] * 100 * SnapshotTable[[#This Row],[LC Strike Price]], "")</f>
        <v>0</v>
      </c>
      <c r="EI140" s="225" t="str">
        <f>IF(AND(ISNUMBER(SnapshotTable[[#This Row],[LC Total Value]]),SnapshotTable[[#This Row],[LC Total Value]]&gt;0),SnapshotTable[[#This Row],[LC Stop Gain Loss]]  / SnapshotTable[[#This Row],[LC Premium]],"")</f>
        <v/>
      </c>
      <c r="EJ140" s="35">
        <f>IF(ISNUMBER(SnapshotTable[[#This Row],[Equity Shares]]),TRUNC(SnapshotTable[[#This Row],[Equity Shares]] / 100),0) + SnapshotTable[[#This Row],[LC Qty]]</f>
        <v>0</v>
      </c>
      <c r="EK140" s="145"/>
      <c r="EL140" s="136"/>
      <c r="EM140" s="146"/>
      <c r="EN140" s="145"/>
      <c r="EO140" s="145"/>
      <c r="EP140" s="136"/>
      <c r="EQ140" s="382" t="b">
        <f>AND(ISNUMBER(SnapshotTable[[#This Row],[SC Exp Date]]), ISNUMBER(SnapshotTable[[#This Row],[SC Strike Price]]), ISNUMBER(SnapshotTable[[#This Row],[SC Qty]]), ISNUMBER(SnapshotTable[[#This Row],[SC Book Date]]), ISNUMBER(SnapshotTable[[#This Row],[SC Book Price]]))</f>
        <v>0</v>
      </c>
      <c r="ER140" s="382" t="b">
        <f>AND(SnapshotTable[[#This Row],[SC Is Booked]], NOT(ISBLANK(SnapshotTable[[#This Row],[SC Fill Date]])))</f>
        <v>0</v>
      </c>
      <c r="ES140" s="340"/>
      <c r="ET140" s="34" t="str">
        <f>IF(AND(ISNUMBER(SnapshotTable[[#This Row],[SC Exp Date]]), ISNUMBER(SnapshotTable[[#This Row],[SC Book Date]])), SnapshotTable[[#This Row],[SC Exp Date]] - MAX(SnapshotTable[[#This Row],[SC Book Date]], SnapshotTable[[#This Row],[SC Fill Date]]) + 1, "")</f>
        <v/>
      </c>
      <c r="EU140" s="34" t="str">
        <f>IF(ISNUMBER(SnapshotTable[[#This Row],[SC Term]]), SnapshotTable[[#This Row],[SC Exp Date]]- MockToday, "")</f>
        <v/>
      </c>
      <c r="EV140" s="31">
        <f>IF(SnapshotTable[[#This Row],[SC Is Booked]], SnapshotTable[[#This Row],[SC Qty]] * SnapshotTable[[#This Row],[SC Book Price]] * 100, 0)</f>
        <v>0</v>
      </c>
      <c r="EW140" s="4" t="str">
        <f>IF(AND(ISNUMBER(SnapshotTable[[#This Row],[Last Price]]), ISNUMBER( SnapshotTable[[#This Row],[SC Book Price]])), SnapshotTable[[#This Row],[Last Price]] - SnapshotTable[[#This Row],[SC Book Price]],"")</f>
        <v/>
      </c>
      <c r="EX140" s="219" t="str">
        <f>IF(SnapshotTable[[#This Row],[SC Is Booked]],IF(SnapshotTable[[#This Row],[SC Intrinsic Value]] &gt; 0, SnapshotTable[[#This Row],[SC Strike Price]], SnapshotTable[[#This Row],[Last Price]]), "")</f>
        <v/>
      </c>
      <c r="EY140" s="4">
        <f>IF(SnapshotTable[[#This Row],[SC Is Booked]], (MinimumPremiumRequired * SnapshotTable[[#This Row],[SC Basis]] * SnapshotTable[[#This Row],[SC Term]]), 0)</f>
        <v>0</v>
      </c>
      <c r="EZ140" s="268"/>
      <c r="FA140" s="204"/>
      <c r="FB140" s="340"/>
      <c r="FC140" s="4">
        <f>IF(SnapshotTable[[#This Row],[SC Is Filled]], btc_max_buyback_amount(SnapshotTable[[#This Row],[SC Fill Date]],SnapshotTable[[#This Row],[SC Exp Date]], SnapshotTable[[#This Row],[SC Book Price]]),0)</f>
        <v>0</v>
      </c>
      <c r="FD140" s="5"/>
      <c r="FE140" s="142" t="str">
        <f>IF(SnapshotTable[[#This Row],[SC Is Filled]], btc_next_cutoff_date(SnapshotTable[[#This Row],[SC Fill Date]],SnapshotTable[[#This Row],[SC Exp Date]]),"")</f>
        <v/>
      </c>
      <c r="FF140" s="4" t="str" cm="1">
        <f t="array" ref="FF140">IF(SnapshotTable[[#This Row],[SC Is Filled]], btc_should_buy_back(SnapshotTable[[#This Row],[SC Fill Date]], SnapshotTable[[#This Row],[SC Exp Date]], SnapshotTable[[#This Row],[SC Book Price]], SnapshotTable[[#This Row],[SC Current Ask]], MockToday, SnapshotTable[[#This Row],[SC Buyback Override]]),"")</f>
        <v/>
      </c>
      <c r="FG140" s="4">
        <f>IF(SnapshotTable[[#This Row],[SC Is Filled]], MAX(0,SnapshotTable[[#This Row],[Last Price]]  - SnapshotTable[[#This Row],[SC Strike Price]]), 0)</f>
        <v>0</v>
      </c>
      <c r="FH140" s="352">
        <f>IF(SnapshotTable[[#This Row],[SC Is Filled]], IF(ISNUMBER(SnapshotTable[[#This Row],[SC Current Ask]]), SnapshotTable[[#This Row],[SC Current Ask]], SnapshotTable[[#This Row],[SC Book Price]]) - SnapshotTable[[#This Row],[SC Intrinsic Value]], 0)</f>
        <v>0</v>
      </c>
      <c r="FI140" s="141"/>
      <c r="FJ140" s="32" t="str">
        <f>IF(SnapshotTable[[#This Row],[SC Is Filled]],100 * SnapshotTable[[#This Row],[SC Qty]] * IF(ISNUMBER(SnapshotTable[[#This Row],[SC Buyback Override]]), SnapshotTable[[#This Row],[SC Buyback Override]], SnapshotTable[[#This Row],[SC Current Ask]]), "")</f>
        <v/>
      </c>
      <c r="FK140" s="235" t="str">
        <f>IF(SnapshotTable[[#This Row],[SC Time Val]]&gt;0, SnapshotTable[[#This Row],[SC Time Val]] / SnapshotTable[[#This Row],[Last Price]],"")</f>
        <v/>
      </c>
      <c r="FL140" s="280" t="str">
        <f>IF(SnapshotTable[[#This Row],[SC Is Booked]], ((SnapshotTable[[#This Row],[Last Price]] -SnapshotTable[[#This Row],[SC Strike Price]]) / SnapshotTable[[#This Row],[Last Price]]) * -1, "")</f>
        <v/>
      </c>
      <c r="FM140" s="155" t="str">
        <f>IF(SnapshotTable[[#This Row],[SC Is Booked]],  (SnapshotTable[[#This Row],[SC Qty]] * 100 * SnapshotTable[[#This Row],[SC Strike Price]]) - SnapshotTable[[#This Row],[SC Current Ask]], "")</f>
        <v/>
      </c>
      <c r="FN1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0" s="31" t="str">
        <f>IF(AND(ISNUMBER(SnapshotTable[[#This Row],[SC Exercise Gross]]), ISNUMBER(SnapshotTable[[#This Row],[Equity Basis Per Share]] )), SnapshotTable[[#This Row],[SC Exercise Gross]] - SnapshotTable[[#This Row],[Equity Basis Total]] +  SnapshotTable[[#This Row],[SC Premium]], "")</f>
        <v/>
      </c>
      <c r="FP140" s="5" t="str">
        <f>IF(ISNUMBER(SnapshotTable[[#This Row],[SC Exercise Gross]]), (SnapshotTable[[#This Row],[SC Exercise Gross]]) / (SnapshotTable[[#This Row],[SC Qty]] * 100), "")</f>
        <v/>
      </c>
      <c r="FQ140" s="27" t="str">
        <f>IF(SnapshotTable[[#This Row],[SC Is Booked]],SnapshotTable[[#This Row],[SC Time Val]] /SnapshotTable[[#This Row],[SC Basis]], "")</f>
        <v/>
      </c>
      <c r="FR140" s="27" t="str" cm="1">
        <f t="array" ref="FR140">IF(AND(ISNUMBER(SnapshotTable[[#This Row],[SC Term]]),ISNUMBER(SnapshotTable[[#This Row],[SC Simple ROO]])), EllmanAnnualize(SnapshotTable[[#This Row],[SC DTE]], SnapshotTable[[#This Row],[SC Simple ROO]] ),"")</f>
        <v/>
      </c>
      <c r="FS140" s="4">
        <f>IF(SnapshotTable[[#This Row],[SC Strike Price]] &gt; SnapshotTable[[#This Row],[Last Price]], SnapshotTable[[#This Row],[SC Strike Price]] - SnapshotTable[[#This Row],[Last Price]],0)</f>
        <v>0</v>
      </c>
      <c r="FT140" s="27" t="str">
        <f>IF(AND(ISNUMBER(SnapshotTable[[#This Row],[SC Upside Potential]]), SnapshotTable[[#This Row],[SC Upside Potential]] &gt; 0),(SnapshotTable[[#This Row],[SC Upside Potential]]/ SnapshotTable[[#This Row],[ACB]]),"")</f>
        <v/>
      </c>
      <c r="FU140" s="304" t="str">
        <f>IF(SnapshotTable[[#This Row],[SC Intrinsic Value]] &gt; 0,SnapshotTable[[#This Row],[SC Intrinsic Value]],"")</f>
        <v/>
      </c>
      <c r="FV140" s="27" t="str">
        <f>IF(AND( ISNUMBER( SnapshotTable[[#This Row],[ACB]]),ISNUMBER(SnapshotTable[[#This Row],[SC Downside Protect]])),SnapshotTable[[#This Row],[SC Downside Protect]] / SnapshotTable[[#This Row],[ACB]],"")</f>
        <v/>
      </c>
      <c r="FW140" s="221" t="str">
        <f>IF(AND(ISNUMBER(SnapshotTable[[#This Row],[SC Simple ROO]]),SnapshotTable[[#This Row],[SC Simple ROO]] &gt; 0), SnapshotTable[[#This Row],[SC Premium]] + (SnapshotTable[[#This Row],[SC Qty]] * SnapshotTable[[#This Row],[SC Upside Potential]]), "")</f>
        <v/>
      </c>
      <c r="FX140" s="280" t="str" cm="1">
        <f t="array" ref="FX140">IF(ISNUMBER(SnapshotTable[[#This Row],[SC Max Dollars]]), annualize(SnapshotTable[[#This Row],[SC Term]],(SnapshotTable[[#This Row],[SC Max Dollars]]/SnapshotTable[[#This Row],[SC Basis]])),"")</f>
        <v/>
      </c>
      <c r="FY140" s="221" t="str">
        <f>IF(AND(SnapshotTable[[#This Row],[SC Qty]]&gt;0,SnapshotTable[[#This Row],[SC Current Ask]]&gt;0), SnapshotTable[[#This Row],[SC Qty]] * SnapshotTable[[#This Row],[SC Current Ask]] * -100, "")</f>
        <v/>
      </c>
      <c r="FZ140" s="31" t="str">
        <f>IF(ISNUMBER((SnapshotTable[[#This Row],[SC Current Value]])), SnapshotTable[[#This Row],[SC Premium]] + SnapshotTable[[#This Row],[SC Current Value]], "")</f>
        <v/>
      </c>
      <c r="GA140" s="272" t="str">
        <f>IFERROR( IF(ISNUMBER((SnapshotTable[[#This Row],[SC Current Value]])), SnapshotTable[[#This Row],[SC Gain Loss]] / SnapshotTable[[#This Row],[SC Premium]], ""), "")</f>
        <v/>
      </c>
      <c r="GB140" s="42">
        <f>SnapshotTable[[#This Row],[Equity Shares]] * SaleSharesToConsiderPercentage</f>
        <v>0</v>
      </c>
      <c r="GC140" s="40">
        <f>SnapshotTable[[#This Row],[Long Term Target]] * SellingPriceToConsiderBasedOnTargetPercentage</f>
        <v>120.64999999999999</v>
      </c>
      <c r="GD140" s="40">
        <f>SnapshotTable[[#This Row],[Last Price]] * (1+ SellingPriceToConsiderBasedOnTargetPercentage)</f>
        <v>452.55600000000004</v>
      </c>
      <c r="GE140" s="41"/>
      <c r="GF140" s="40"/>
      <c r="GG140" s="31">
        <f>SnapshotTable[[#This Row],[Booked Sale Shares]] * SnapshotTable[[#This Row],[Booked Sale Price]]</f>
        <v>0</v>
      </c>
      <c r="GH140" s="31" t="str">
        <f>IF(SnapshotTable[[#This Row],[Equity Basis Total]] &gt; 0, SnapshotTable[[#This Row],[Equity Basis Per Share]] * SnapshotTable[[#This Row],[Booked Sale Shares]], "")</f>
        <v/>
      </c>
      <c r="GI140" s="31">
        <f>IF(SnapshotTable[[#This Row],[Sale Proceeds]]&gt;0, SnapshotTable[[#This Row],[Sale Proceeds]] - SnapshotTable[[#This Row],[Sale Basis]], 0)</f>
        <v>0</v>
      </c>
      <c r="GJ140" s="27" t="str">
        <f>IF(SnapshotTable[[#This Row],[Sale G/L]]&gt;0, SnapshotTable[[#This Row],[Sale G/L]] / SnapshotTable[[#This Row],[Sale Basis]], IF(ISNUMBER(SnapshotTable[[#This Row],[SC Exercise P&amp;L (TAX)]]), SnapshotTable[[#This Row],[SC Exercise P&amp;L (TAX)]] / SnapshotTable[[#This Row],[SC Basis]], ""))</f>
        <v/>
      </c>
      <c r="GK140" s="27"/>
      <c r="GL140" s="43" t="str">
        <f>IF(AND(SnapshotTable[[#This Row],[LP Exp Date]]&gt;0,SnapshotTable[[#This Row],[LP Strike Price]]&gt;0), [1]!ToOptionSymbol(SnapshotTable[[#This Row],[Symbol]], SnapshotTable[[#This Row],[LP Strike Price]],SnapshotTable[[#This Row],[LP Exp Date]],1), "")</f>
        <v/>
      </c>
      <c r="GM140" s="30" t="str">
        <f>IF(LEN(SnapshotTable[[#This Row],[LP Symbol]])&gt;0, 1, "")</f>
        <v/>
      </c>
      <c r="GN140" s="43" t="str">
        <f>IF(AND(SnapshotTable[[#This Row],[SP Exp Date]]&gt;0,SnapshotTable[[#This Row],[SP Strike Price]]&gt;0), [1]!ToOptionSymbol(SnapshotTable[[#This Row],[Symbol]], SnapshotTable[[#This Row],[SP Strike Price]],SnapshotTable[[#This Row],[SP Exp Date]],1), "")</f>
        <v/>
      </c>
      <c r="GO140" s="30" t="str">
        <f>IF(LEN(SnapshotTable[[#This Row],[SP Symbol]])&gt;0, 1, "")</f>
        <v/>
      </c>
      <c r="GP140" s="43" t="str">
        <f>IF(AND(SnapshotTable[[#This Row],[LC Exp Date]]&gt;0,SnapshotTable[[#This Row],[LC Strike Price]]&gt;0), [1]!ToOptionSymbol(SnapshotTable[[#This Row],[Symbol]], SnapshotTable[[#This Row],[LC Strike Price]],SnapshotTable[[#This Row],[LC Exp Date]],0), "")</f>
        <v/>
      </c>
      <c r="GQ140" s="30" t="str">
        <f>IF(LEN(SnapshotTable[[#This Row],[LC Symbol]])&gt;0, 1, "")</f>
        <v/>
      </c>
      <c r="GR140" s="43" t="str">
        <f>IF(AND(SnapshotTable[[#This Row],[SC Exp Date]]&gt;0,SnapshotTable[[#This Row],[SC Strike Price]]&gt;0), [1]!ToOptionSymbol(SnapshotTable[[#This Row],[Symbol]], SnapshotTable[[#This Row],[SC Strike Price]],SnapshotTable[[#This Row],[SC Exp Date]],0), "")</f>
        <v/>
      </c>
      <c r="GS140" s="30" t="str">
        <f>IF(LEN(SnapshotTable[[#This Row],[SC Symbol]])&gt;0, 1, "")</f>
        <v/>
      </c>
      <c r="GT140" s="29" t="str">
        <f>IF(COUNT(SnapshotTable[[#This Row],[LP Symbol Count]],SnapshotTable[[#This Row],[SP Symbol Count]],SnapshotTable[[#This Row],[LC Symbol Count]],SnapshotTable[[#This Row],[SC Symbol Count]])&gt;0, "Y", "")</f>
        <v/>
      </c>
      <c r="GU1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0" s="216">
        <f>MAX(SnapshotTable[[#This Row],[Equity Basis Total]],SnapshotTable[[#This Row],[Equity Value]]) + (SnapshotTable[[#This Row],[SP Potential Spend]]- SnapshotTable[[#This Row],[SP Premium]] + SnapshotTable[[#This Row],[LP Premium]])+ (SnapshotTable[[#This Row],[LC Premium]] - SnapshotTable[[#This Row],[SC Premium]])</f>
        <v>0</v>
      </c>
      <c r="GW140" s="137" t="str">
        <f>IF(AND(SnapshotTable[[#This Row],[Exposure]] &lt;&gt; 0),SnapshotTable[[#This Row],[Exposure]] / SnapshotTable[[#Totals],[Exposure]], "")</f>
        <v/>
      </c>
      <c r="HE140" s="253"/>
      <c r="HF140" s="253"/>
      <c r="HK140" s="1"/>
      <c r="HL140" s="1"/>
      <c r="HM140" s="1"/>
      <c r="HN140" s="1"/>
      <c r="HO140" s="1"/>
      <c r="HP140" s="1"/>
    </row>
    <row r="141" spans="2:224" ht="13.5" hidden="1" customHeight="1" x14ac:dyDescent="0.25">
      <c r="B141" s="12" t="s">
        <v>762</v>
      </c>
      <c r="C141" s="385">
        <v>188.42</v>
      </c>
      <c r="D141" s="200" t="s">
        <v>763</v>
      </c>
      <c r="E141" s="39">
        <f>SnapshotTable[[#This Row],[Last Price]]*(1 -CrashDiscount)</f>
        <v>160.15699999999998</v>
      </c>
      <c r="F141" s="26" t="s">
        <v>648</v>
      </c>
      <c r="G141" s="26" t="s">
        <v>7</v>
      </c>
      <c r="H141" s="147"/>
      <c r="I141" s="186">
        <v>44985</v>
      </c>
      <c r="J141" s="187">
        <v>44985</v>
      </c>
      <c r="K141" s="188"/>
      <c r="L141" s="297"/>
      <c r="M141" s="138"/>
      <c r="N141" s="138"/>
      <c r="O141" s="138"/>
      <c r="P141" s="22"/>
      <c r="Q141" s="25"/>
      <c r="R141" s="4" t="str">
        <f>IF(SnapshotTable[[#This Row],[Equity Basis Total]] &gt; 0, SnapshotTable[[#This Row],[Equity Basis Total]] / SnapshotTable[[#This Row],[Equity Shares]], "")</f>
        <v/>
      </c>
      <c r="S141" s="254">
        <f>SnapshotTable[[#This Row],[Last Price]] * SnapshotTable[[#This Row],[Equity Shares]]</f>
        <v>0</v>
      </c>
      <c r="T141" s="254">
        <f>SnapshotTable[[#This Row],[Equity Value]] - SnapshotTable[[#This Row],[Equity Basis Total]]</f>
        <v>0</v>
      </c>
      <c r="U141" s="255" t="str">
        <f>IF(SnapshotTable[[#This Row],[Equity Basis Total]] &gt; 0, SnapshotTable[[#This Row],[Equity G/L]] / SnapshotTable[[#This Row],[Equity Basis Total]], "")</f>
        <v/>
      </c>
      <c r="V141" s="253"/>
      <c r="W141" s="253"/>
      <c r="X141" s="4" t="str">
        <f>IF(AND(ISNUMBER(SnapshotTable[[#This Row],[Equity Basis Per Share]]),ISNUMBER(SnapshotTable[[#This Row],[Equity Target]])),SnapshotTable[[#This Row],[Equity Target]]-SnapshotTable[[#This Row],[Equity Basis Per Share]],"")</f>
        <v/>
      </c>
      <c r="Y141" s="4" t="str">
        <f>IF(AND(ISNUMBER(SnapshotTable[[#This Row],[Equity Basis Per Share]]),ISNUMBER(SnapshotTable[[#This Row],[Equity Stop Loss]])),SnapshotTable[[#This Row],[Equity Stop Loss]]-SnapshotTable[[#This Row],[Equity Basis Per Share]],"")</f>
        <v/>
      </c>
      <c r="Z141" s="260" t="str">
        <f>IFERROR( TEXT(SnapshotTable[[#This Row],[Equity Max Gain Per Share]] /ABS( SnapshotTable[[#This Row],[Equity Max Loss Per Share]]),"0.0 " ) &amp; " : 1", "")</f>
        <v/>
      </c>
      <c r="AA141" s="31" t="str">
        <f>IF(ISNUMBER(SnapshotTable[[#This Row],[Equity Max Gain Per Share]]),SnapshotTable[[#This Row],[Equity Max Gain Per Share]] * SnapshotTable[[#This Row],[Equity Shares]],"")</f>
        <v/>
      </c>
      <c r="AB141" s="31" t="str">
        <f>IF(ISNUMBER(SnapshotTable[[#This Row],[Equity Max Loss Per Share]]),SnapshotTable[[#This Row],[Equity Max Loss Per Share]] * SnapshotTable[[#This Row],[Equity Shares]],"")</f>
        <v/>
      </c>
      <c r="AC141" s="148"/>
      <c r="AD141" s="149"/>
      <c r="AE141" s="31">
        <f>(SnapshotTable[[#This Row],[Annual Dividend Per Share]] / 4) * SnapshotTable[[#This Row],[Equity Shares]]</f>
        <v>0</v>
      </c>
      <c r="AF141" s="31">
        <f>SnapshotTable[[#This Row],[Quarterly Div $]] * 4</f>
        <v>0</v>
      </c>
      <c r="AG141" s="7">
        <f>IF(SnapshotTable[[#This Row],[Annual Dividend Per Share]]&gt;0, SnapshotTable[[#This Row],[Annual Dividend Per Share]]  / SnapshotTable[[#This Row],[Last Price]], 0)</f>
        <v>0</v>
      </c>
      <c r="AH141" s="149"/>
      <c r="AI141" s="5"/>
      <c r="AJ141" s="136">
        <v>560</v>
      </c>
      <c r="AK141" s="150" t="str">
        <f>IF(ISNUMBER( SnapshotTable[[#This Row],[EBF Target]]),(SnapshotTable[[#This Row],[EBF Target]] - SnapshotTable[[#This Row],[Last Price]]) / SnapshotTable[[#This Row],[Last Price]], "")</f>
        <v/>
      </c>
      <c r="AL141" s="150" t="str">
        <f>IF(AND(SnapshotTable[[#This Row],[Equity Basis Total]] &gt; 0,ISNUMBER( SnapshotTable[[#This Row],[Long Term Target]])), SnapshotTable[[#This Row],[From Basis $]] / SnapshotTable[[#This Row],[Equity Basis Total]], "")</f>
        <v/>
      </c>
      <c r="AM141" s="9">
        <f>IF( AND(SnapshotTable[[#This Row],[Equity Shares]] &gt;0,ISNUMBER( SnapshotTable[[#This Row],[Long Term Target]])),(SnapshotTable[[#This Row],[Equity Shares]] * SnapshotTable[[#This Row],[Long Term Target]]) - SnapshotTable[[#This Row],[Equity Basis Total]],0)</f>
        <v>0</v>
      </c>
      <c r="AN141" s="9">
        <f>IF( AND(SnapshotTable[[#This Row],[Equity Shares]] &gt;0,ISNUMBER( SnapshotTable[[#This Row],[Long Term Target]])),(SnapshotTable[[#This Row],[Equity Shares]]*SnapshotTable[[#This Row],[Long Term Target]]) - SnapshotTable[[#This Row],[Equity Value]],0)</f>
        <v>0</v>
      </c>
      <c r="AO141" s="150">
        <f>IF(AND(ISNUMBER( SnapshotTable[[#This Row],[Long Term Target]]), ISNUMBER(SnapshotTable[[#This Row],[Last Price]])),(SnapshotTable[[#This Row],[Long Term Target]] - SnapshotTable[[#This Row],[Last Price]]) / SnapshotTable[[#This Row],[Last Price]], "")</f>
        <v>1.9720836429253799</v>
      </c>
      <c r="AP141" s="5"/>
      <c r="AQ141" s="38" t="s">
        <v>77</v>
      </c>
      <c r="AR141" s="5"/>
      <c r="AS141" s="38" t="s">
        <v>15</v>
      </c>
      <c r="AT141" s="144"/>
      <c r="AU141" s="185" t="str">
        <f>IF(OR(SnapshotTable[[#This Row],[LP No Fill]]="Y",SnapshotTable[[#This Row],[SP Is Filled]],SnapshotTable[[#This Row],[LC Not Filled]]="Y",SnapshotTable[[#This Row],[SC Is Filled]]),"Y","")</f>
        <v/>
      </c>
      <c r="AV141" s="205"/>
      <c r="AW141" s="211"/>
      <c r="AX141" s="206"/>
      <c r="AY141" s="205" t="str">
        <f>IF(SnapshotTable[[#This Row],[Implied Move]]&gt;0, SnapshotTable[[#This Row],[Last Price]]-SnapshotTable[[#This Row],[Implied Move]],"")</f>
        <v/>
      </c>
      <c r="AZ141" s="205" t="str">
        <f>IF(SnapshotTable[[#This Row],[Implied Move]]&gt;0, SnapshotTable[[#This Row],[Last Price]] + SnapshotTable[[#This Row],[Implied Move]],"")</f>
        <v/>
      </c>
      <c r="BA141" s="302">
        <v>433.48</v>
      </c>
      <c r="BB141" s="318"/>
      <c r="BC1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1" s="321"/>
      <c r="BE141" s="5"/>
      <c r="BF141" s="14"/>
      <c r="BG141" s="13"/>
      <c r="BH141" s="13"/>
      <c r="BI141" s="5"/>
      <c r="BJ141" s="134">
        <f>IF(SnapshotTable[[#This Row],[LP Qty]] &gt; 0, SnapshotTable[[#This Row],[LP Qty]] * SnapshotTable[[#This Row],[LP Book Price]] * 100,0)</f>
        <v>0</v>
      </c>
      <c r="BK141" s="134">
        <f>IF(SnapshotTable[[#This Row],[LP Premium]] &gt; 0, SnapshotTable[[#This Row],[LP Qty]] * SnapshotTable[[#This Row],[LP Strike Price]] * 100,0)</f>
        <v>0</v>
      </c>
      <c r="BL141" s="152"/>
      <c r="BM141" s="355" t="str">
        <f>IF(SnapshotTable[[#This Row],[LP Premium]] &gt; 0,SnapshotTable[[#This Row],[LP Exp Date]]-MAX(SnapshotTable[[#This Row],[LP Book Date]], SnapshotTable[[#This Row],[LP Fill Date]]),"")</f>
        <v/>
      </c>
      <c r="BN141" s="355" t="str">
        <f>IF(ISNUMBER( SnapshotTable[[#This Row],[LP Term]]), SnapshotTable[[#This Row],[LP Exp Date]] - MockToday,"")</f>
        <v/>
      </c>
      <c r="BO141" s="161" t="str">
        <f>IF(AND(SnapshotTable[[#This Row],[LP Exp Date]]&gt;0, SnapshotTable[[#This Row],[LP Strike Price]]&gt;0,SnapshotTable[[#This Row],[LP Qty]]&gt;0,SnapshotTable[[#This Row],[LP Book Date]]&gt;0,SnapshotTable[[#This Row],[LP Book Price]]&gt;0,SnapshotTable[[#This Row],[LP Fill Date]]=0),"Y","")</f>
        <v/>
      </c>
      <c r="BP141" s="31" t="str">
        <f>IF(AND(SnapshotTable[[#This Row],[LP No Fill]]&lt;&gt;"Y",SnapshotTable[[#This Row],[LP Contract Value]]&gt;0, SnapshotTable[[#This Row],[LP Qty]]&gt;0), SnapshotTable[[#This Row],[LP Contract Value]]*SnapshotTable[[#This Row],[LP Qty]]*100,"")</f>
        <v/>
      </c>
      <c r="BQ141" s="13"/>
      <c r="BR141" s="5"/>
      <c r="BS141" s="36"/>
      <c r="BT141" s="145"/>
      <c r="BU141" s="13"/>
      <c r="BV141" s="5"/>
      <c r="BW141" s="382" t="b">
        <f>AND(ISNUMBER(SnapshotTable[[#This Row],[SP Exp Date]]), ISNUMBER(SnapshotTable[[#This Row],[SP Strike Price]]), ISNUMBER(SnapshotTable[[#This Row],[SP Qty]]), ISNUMBER(SnapshotTable[[#This Row],[SP Book Date]]), ISNUMBER(SnapshotTable[[#This Row],[SP Book Price]]))</f>
        <v>0</v>
      </c>
      <c r="BX141" s="382" t="b">
        <f>AND(SnapshotTable[[#This Row],[SP Is Booked]], NOT(ISBLANK(SnapshotTable[[#This Row],[SP Fill Date]])))</f>
        <v>0</v>
      </c>
      <c r="BY141" s="33">
        <f>IF(SnapshotTable[[#This Row],[SP Is Booked]], SnapshotTable[[#This Row],[SP Qty]] * SnapshotTable[[#This Row],[SP Book Price]] * 100, 0)</f>
        <v>0</v>
      </c>
      <c r="BZ141" s="339"/>
      <c r="CA141" s="338">
        <f>SnapshotTable[[#This Row],[LP Qty]]</f>
        <v>0</v>
      </c>
      <c r="CB141" s="4" t="str">
        <f>IF(SnapshotTable[[#This Row],[SP Is Booked]], SnapshotTable[[#This Row],[SP Strike Price]] - SnapshotTable[[#This Row],[SP Book Price]], "")</f>
        <v/>
      </c>
      <c r="CC141" s="19" t="str">
        <f>IF(SnapshotTable[[#This Row],[SP Is Booked]],SnapshotTable[[#This Row],[SP Exp Date]]-MAX(SnapshotTable[[#This Row],[SP Book Date]], SnapshotTable[[#This Row],[SP Fill Date]]),"")</f>
        <v/>
      </c>
      <c r="CD141" s="7" t="str">
        <f>IF(SnapshotTable[[#This Row],[SP Is Booked]], SnapshotTable[[#This Row],[SP Book Price]]/SnapshotTable[[#This Row],[SP Strike Price]], "")</f>
        <v/>
      </c>
      <c r="CE141" s="7" t="str">
        <f>IF(ISNUMBER(SnapshotTable[[#This Row],[SP ROO Term]]),SnapshotTable[[#This Row],[SP ROO Term]]*(365/SnapshotTable[[#This Row],[SP Term]]),"")</f>
        <v/>
      </c>
      <c r="CF141" s="221">
        <f>SnapshotTable[[#This Row],[LP Strike Price]] * SnapshotTable[[#This Row],[LP Qty]] * 100</f>
        <v>0</v>
      </c>
      <c r="CG141" s="31">
        <f>IF(ISNUMBER(SnapshotTable[[#This Row],[SP Premium]]), (SnapshotTable[[#This Row],[SP Qty]] * SnapshotTable[[#This Row],[SP Strike Price]]* 100) - SnapshotTable[[#This Row],[LP Protection]], 0)</f>
        <v>0</v>
      </c>
      <c r="CH141" s="7" t="str">
        <f>IF(ISNUMBER(SnapshotTable[[#This Row],[SP Break Even]]),-1 * (SnapshotTable[[#This Row],[SP Break Even]] - SnapshotTable[[#This Row],[Last Price]]) / SnapshotTable[[#This Row],[Last Price]], "")</f>
        <v/>
      </c>
      <c r="CI141" s="31">
        <f>IF(AND(ISNUMBER((SnapshotTable[[#This Row],[SP Potential Spend]])), SnapshotTable[[#This Row],[SP Strike Price]] &gt; SnapshotTable[[#This Row],[Last Price]], SnapshotTable[[#This Row],[SP Is Filled]]), SnapshotTable[[#This Row],[SP Potential Spend]] -  SnapshotTable[[#This Row],[LP Max Value]], 0)</f>
        <v>0</v>
      </c>
      <c r="CJ141" s="229">
        <v>0.4</v>
      </c>
      <c r="CK141" s="31">
        <f>IF(ISNUMBER(SnapshotTable[[#This Row],[SP Potential Spend]]),IF(ISNUMBER(SnapshotTable[[#This Row],[SP POW]]), SnapshotTable[[#This Row],[SP POW]] * SnapshotTable[[#This Row],[SP Potential Spend]], SnapshotTable[[#This Row],[SP Potential Spend]]), "")</f>
        <v>0</v>
      </c>
      <c r="CL141" s="162">
        <f>IF(NOT(SnapshotTable[[#This Row],[SP Is Filled]]),(SnapshotTable[[#This Row],[SP Qty]] * SnapshotTable[[#This Row],[SP Strike Price]] * 100) - SnapshotTable[[#This Row],[LP Max Value]],"")</f>
        <v>0</v>
      </c>
      <c r="CM141" s="31" t="str">
        <f>IF(SnapshotTable[[#This Row],[SP Actual Spend]]&lt;&gt;0, ((SnapshotTable[[#This Row],[SP Strike Price]]-SnapshotTable[[#This Row],[Last Price]]) *(SnapshotTable[[#This Row],[SP Qty]]*100) - SnapshotTable[[#This Row],[SP Premium]]) * - 1, "")</f>
        <v/>
      </c>
      <c r="CN141" s="204"/>
      <c r="CO141" s="339"/>
      <c r="CP141" s="4" t="str">
        <f>IF(SnapshotTable[[#This Row],[SP Is Filled]], btc_max_buyback_amount(SnapshotTable[[#This Row],[SP Fill Date]],SnapshotTable[[#This Row],[SP Exp Date]], SnapshotTable[[#This Row],[SP Book Price]]),"")</f>
        <v/>
      </c>
      <c r="CQ141" s="76"/>
      <c r="CR1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1" s="153" t="str">
        <f>IF(SnapshotTable[[#This Row],[SP Is Filled]], btc_next_cutoff_date(SnapshotTable[[#This Row],[SP Fill Date]],SnapshotTable[[#This Row],[SP Exp Date]]),"")</f>
        <v/>
      </c>
      <c r="CT141" s="220" t="str" cm="1">
        <f t="array" ref="CT141">IF(SnapshotTable[[#This Row],[SP Is Filled]], btc_should_buy_back(SnapshotTable[[#This Row],[SP Fill Date]], SnapshotTable[[#This Row],[SP Exp Date]], SnapshotTable[[#This Row],[SP Book Price]], SnapshotTable[[#This Row],[SP Current Ask]], MockToday, SnapshotTable[[#This Row],[SP Buyback Override]]),"")</f>
        <v/>
      </c>
      <c r="CU141" s="141"/>
      <c r="CV141" s="220"/>
      <c r="CW141" s="348" t="str">
        <f>IF(ISNUMBER( SnapshotTable[[#This Row],[SP Term]]), SnapshotTable[[#This Row],[SP Exp Date]] - MockToday,"")</f>
        <v/>
      </c>
      <c r="CX141" s="31" t="str">
        <f>IF(SnapshotTable[[#This Row],[SP Is Filled]],SnapshotTable[[#This Row],[SP Buyback Price to Use]] * 100 * SnapshotTable[[#This Row],[SP Qty]], "")</f>
        <v/>
      </c>
      <c r="CY141" s="4" t="str">
        <f>IF(ISNUMBER(SnapshotTable[[#This Row],[SP Strike Price]]), SnapshotTable[[#This Row],[SP Strike Price]] * (1 - SP_MaxLoss_StrikePct), "")</f>
        <v/>
      </c>
      <c r="CZ141" s="31" t="str">
        <f>IF(ISNUMBER(SnapshotTable[[#This Row],[SP Strike  Stop Per Share]]),SnapshotTable[[#This Row],[SP Premium]] - ((SnapshotTable[[#This Row],[SP Strike Price]]-SnapshotTable[[#This Row],[SP Strike  Stop Per Share]]) *(SnapshotTable[[#This Row],[SP Qty]] * 100)),"")</f>
        <v/>
      </c>
      <c r="DA141" s="4" t="str">
        <f>IF(AND(ISNUMBER(SnapshotTable[[#This Row],[SP Premium]]),SnapshotTable[[#This Row],[SP Premium]]&gt;0), SnapshotTable[[#This Row],[SP Book Price]] * (1 + SP_MaxLoss_OptionPct), "")</f>
        <v/>
      </c>
      <c r="DB141" s="31" t="str">
        <f>IF(ISNUMBER(SnapshotTable[[#This Row],[SP Option  Stop Contract]]),(SnapshotTable[[#This Row],[SP Option  Stop Contract]] *(SnapshotTable[[#This Row],[SP Qty]] * 100) - SnapshotTable[[#This Row],[SP Premium]]),"")</f>
        <v/>
      </c>
      <c r="DC141" s="4"/>
      <c r="DD141" s="4"/>
      <c r="DE141" s="4" t="str">
        <f>IF(AND(SnapshotTable[[#This Row],[SP Qty]]&gt;0, SnapshotTable[[#This Row],[SP Stop To Use]]&gt;0),SnapshotTable[[#This Row],[SP Premium]] - ( SnapshotTable[[#This Row],[SP Qty]] * SnapshotTable[[#This Row],[SP Stop To Use]] * 100), "")</f>
        <v/>
      </c>
      <c r="DF141" s="31" t="str">
        <f>IF(AND(SnapshotTable[[#This Row],[SP Qty]]&gt;0,SnapshotTable[[#This Row],[SP Current Ask]]&gt;0), SnapshotTable[[#This Row],[SP Qty]] * SnapshotTable[[#This Row],[SP Current Ask]] * -100, "")</f>
        <v/>
      </c>
      <c r="DG141" s="31" t="str">
        <f>IF(ISNUMBER((SnapshotTable[[#This Row],[SP Total Value]])), SnapshotTable[[#This Row],[SP Premium]] + SnapshotTable[[#This Row],[SP Total Value]], "")</f>
        <v/>
      </c>
      <c r="DH141" s="272" t="str">
        <f>IF(ISNUMBER((SnapshotTable[[#This Row],[SP Total Value]])), SnapshotTable[[#This Row],[SP Gain Loss]] / SnapshotTable[[#This Row],[SP Premium]], "")</f>
        <v/>
      </c>
      <c r="DI141" s="369"/>
      <c r="DJ141" s="136"/>
      <c r="DK141" s="146"/>
      <c r="DL141" s="13"/>
      <c r="DM141" s="13"/>
      <c r="DO141" s="31">
        <f>IF(SnapshotTable[[#This Row],[LC Symbol Count]]=1, SnapshotTable[[#This Row],[LC Qty]] * SnapshotTable[[#This Row],[LC Book Price]] * 100, 0)</f>
        <v>0</v>
      </c>
      <c r="DP141" s="161" t="str">
        <f>IF(AND(SnapshotTable[[#This Row],[LC Exp Date]]&gt;0, SnapshotTable[[#This Row],[LC Strike Price]]&gt;0,SnapshotTable[[#This Row],[LC Qty]]&gt;0,SnapshotTable[[#This Row],[LC Book Date]]&gt;0,SnapshotTable[[#This Row],[LC Book Price]]&gt;0,SnapshotTable[[#This Row],[LC Fill Date]]=0),"Y","")</f>
        <v/>
      </c>
      <c r="DQ141" s="356" t="str">
        <f>IF(SnapshotTable[[#This Row],[LC Premium]] &gt; 0,SnapshotTable[[#This Row],[LC Exp Date]]-MAX(SnapshotTable[[#This Row],[LC Book Date]], SnapshotTable[[#This Row],[LC Fill Date]]),"")</f>
        <v/>
      </c>
      <c r="DR141" s="356" t="str">
        <f>IF(ISNUMBER(SnapshotTable[[#This Row],[LC Term]]), SnapshotTable[[#This Row],[LC Exp Date]] - MockToday, "")</f>
        <v/>
      </c>
      <c r="DS141" s="219" t="str">
        <f>IF(SnapshotTable[[#This Row],[LC Premium]]&gt;0,SnapshotTable[[#This Row],[LC Strike Price]] + SnapshotTable[[#This Row],[LC Book Price]],"")</f>
        <v/>
      </c>
      <c r="DU141" s="9" t="str">
        <f>IF(AND(SnapshotTable[[#This Row],[LC Symbol Count]]&gt;0, SnapshotTable[[#This Row],[LC Contract Value]]&gt;0), SnapshotTable[[#This Row],[LC Contract Value]] * SnapshotTable[[#This Row],[LC Qty]] * 100, "")</f>
        <v/>
      </c>
      <c r="DV141" s="9" t="str">
        <f>IF(AND(ISNUMBER(SnapshotTable[[#This Row],[LC Total Value]]), SnapshotTable[[#This Row],[LC Not Filled]]&lt;&gt;"Y"), SnapshotTable[[#This Row],[LC Total Value]]-SnapshotTable[[#This Row],[LC Premium]],"")</f>
        <v/>
      </c>
      <c r="DW141" s="225" t="str">
        <f>IF(ISNUMBER(SnapshotTable[[#This Row],[LC Actual Gain Loss]]), SnapshotTable[[#This Row],[LC Actual Gain Loss]] / SnapshotTable[[#This Row],[LC Premium]],"")</f>
        <v/>
      </c>
      <c r="DX141" s="269" t="str">
        <f>IF(ISNUMBER(SnapshotTable[[#This Row],[LC Book Price]]),SnapshotTable[[#This Row],[LC Book Price]] * 1.5,"")</f>
        <v/>
      </c>
      <c r="DY141" s="250" t="str">
        <f>IF(SnapshotTable[[#This Row],[LC Premium]]&gt;0, SnapshotTable[[#This Row],[LC Next Target]] * SnapshotTable[[#This Row],[LC Qty]] * 100,"")</f>
        <v/>
      </c>
      <c r="DZ141" s="250" t="str">
        <f>IF(ISNUMBER(SnapshotTable[[#This Row],[LC Target Gross]]), SnapshotTable[[#This Row],[LC Target Gross]] - SnapshotTable[[#This Row],[LC Premium]], "")</f>
        <v/>
      </c>
      <c r="EA141" s="283" t="str">
        <f>IF(ISNUMBER(SnapshotTable[[#This Row],[LC Target Gain Loss]]), SnapshotTable[[#This Row],[LC Target Gain Loss]]/SnapshotTable[[#This Row],[LC Premium]], "")</f>
        <v/>
      </c>
      <c r="EB141" s="247"/>
      <c r="EC141" s="268" t="str">
        <f>IF(SnapshotTable[[#This Row],[LC Premium]]&gt;0, SnapshotTable[[#This Row],[LC Book Price]] * (1 - LC_StopLoss_Pct),"")</f>
        <v/>
      </c>
      <c r="ED141" s="269"/>
      <c r="EE141" s="268" t="str">
        <f>IF(ISNUMBER(SnapshotTable[[#This Row],[LC Contract Value]]),IF(ISNUMBER(SnapshotTable[[#This Row],[LC Stop Loss Override]]), SnapshotTable[[#This Row],[LC Stop Loss Override]],SnapshotTable[[#This Row],[LC Stop Loss Calc Target]]),"")</f>
        <v/>
      </c>
      <c r="EF141" s="31" t="str">
        <f>IF(ISNUMBER(SnapshotTable[[#This Row],[LC Stop  To Use]]), (SnapshotTable[[#This Row],[LC Stop  To Use]] * SnapshotTable[[#This Row],[LC Qty]] * 100),"")</f>
        <v/>
      </c>
      <c r="EG141" s="9" t="str">
        <f>IF(ISNUMBER(SnapshotTable[[#This Row],[LC Total Value]]),SnapshotTable[[#This Row],[LC Stop Loss Amount]] - SnapshotTable[[#This Row],[LC Premium]],"")</f>
        <v/>
      </c>
      <c r="EH141" s="9">
        <f>IF(ISNUMBER(SnapshotTable[[#This Row],[LC Premium]]), SnapshotTable[[#This Row],[LC Qty]] * 100 * SnapshotTable[[#This Row],[LC Strike Price]], "")</f>
        <v>0</v>
      </c>
      <c r="EI141" s="225" t="str">
        <f>IF(AND(ISNUMBER(SnapshotTable[[#This Row],[LC Total Value]]),SnapshotTable[[#This Row],[LC Total Value]]&gt;0),SnapshotTable[[#This Row],[LC Stop Gain Loss]]  / SnapshotTable[[#This Row],[LC Premium]],"")</f>
        <v/>
      </c>
      <c r="EJ141" s="35">
        <f>IF(ISNUMBER(SnapshotTable[[#This Row],[Equity Shares]]),TRUNC(SnapshotTable[[#This Row],[Equity Shares]] / 100),0) + SnapshotTable[[#This Row],[LC Qty]]</f>
        <v>0</v>
      </c>
      <c r="EK141" s="145"/>
      <c r="EL141" s="136"/>
      <c r="EM141" s="146"/>
      <c r="EN141" s="145"/>
      <c r="EO141" s="145"/>
      <c r="EP141" s="136"/>
      <c r="EQ141" s="382" t="b">
        <f>AND(ISNUMBER(SnapshotTable[[#This Row],[SC Exp Date]]), ISNUMBER(SnapshotTable[[#This Row],[SC Strike Price]]), ISNUMBER(SnapshotTable[[#This Row],[SC Qty]]), ISNUMBER(SnapshotTable[[#This Row],[SC Book Date]]), ISNUMBER(SnapshotTable[[#This Row],[SC Book Price]]))</f>
        <v>0</v>
      </c>
      <c r="ER141" s="382" t="b">
        <f>AND(SnapshotTable[[#This Row],[SC Is Booked]], NOT(ISBLANK(SnapshotTable[[#This Row],[SC Fill Date]])))</f>
        <v>0</v>
      </c>
      <c r="ES141" s="340"/>
      <c r="ET141" s="34" t="str">
        <f>IF(AND(ISNUMBER(SnapshotTable[[#This Row],[SC Exp Date]]), ISNUMBER(SnapshotTable[[#This Row],[SC Book Date]])), SnapshotTable[[#This Row],[SC Exp Date]] - MAX(SnapshotTable[[#This Row],[SC Book Date]], SnapshotTable[[#This Row],[SC Fill Date]]) + 1, "")</f>
        <v/>
      </c>
      <c r="EU141" s="34" t="str">
        <f>IF(ISNUMBER(SnapshotTable[[#This Row],[SC Term]]), SnapshotTable[[#This Row],[SC Exp Date]]- MockToday, "")</f>
        <v/>
      </c>
      <c r="EV141" s="31">
        <f>IF(SnapshotTable[[#This Row],[SC Is Booked]], SnapshotTable[[#This Row],[SC Qty]] * SnapshotTable[[#This Row],[SC Book Price]] * 100, 0)</f>
        <v>0</v>
      </c>
      <c r="EW141" s="4" t="str">
        <f>IF(AND(ISNUMBER(SnapshotTable[[#This Row],[Last Price]]), ISNUMBER( SnapshotTable[[#This Row],[SC Book Price]])), SnapshotTable[[#This Row],[Last Price]] - SnapshotTable[[#This Row],[SC Book Price]],"")</f>
        <v/>
      </c>
      <c r="EX141" s="219" t="str">
        <f>IF(SnapshotTable[[#This Row],[SC Is Booked]],IF(SnapshotTable[[#This Row],[SC Intrinsic Value]] &gt; 0, SnapshotTable[[#This Row],[SC Strike Price]], SnapshotTable[[#This Row],[Last Price]]), "")</f>
        <v/>
      </c>
      <c r="EY141" s="4">
        <f>IF(SnapshotTable[[#This Row],[SC Is Booked]], (MinimumPremiumRequired * SnapshotTable[[#This Row],[SC Basis]] * SnapshotTable[[#This Row],[SC Term]]), 0)</f>
        <v>0</v>
      </c>
      <c r="EZ141" s="268"/>
      <c r="FA141" s="386"/>
      <c r="FB141" s="340"/>
      <c r="FC141" s="4">
        <f>IF(SnapshotTable[[#This Row],[SC Is Filled]], btc_max_buyback_amount(SnapshotTable[[#This Row],[SC Fill Date]],SnapshotTable[[#This Row],[SC Exp Date]], SnapshotTable[[#This Row],[SC Book Price]]),0)</f>
        <v>0</v>
      </c>
      <c r="FD141" s="5"/>
      <c r="FE141" s="142" t="str">
        <f>IF(SnapshotTable[[#This Row],[SC Is Filled]], btc_next_cutoff_date(SnapshotTable[[#This Row],[SC Fill Date]],SnapshotTable[[#This Row],[SC Exp Date]]),"")</f>
        <v/>
      </c>
      <c r="FF141" s="4" t="str" cm="1">
        <f t="array" ref="FF141">IF(SnapshotTable[[#This Row],[SC Is Filled]], btc_should_buy_back(SnapshotTable[[#This Row],[SC Fill Date]], SnapshotTable[[#This Row],[SC Exp Date]], SnapshotTable[[#This Row],[SC Book Price]], SnapshotTable[[#This Row],[SC Current Ask]], MockToday, SnapshotTable[[#This Row],[SC Buyback Override]]),"")</f>
        <v/>
      </c>
      <c r="FG141" s="4">
        <f>IF(SnapshotTable[[#This Row],[SC Is Filled]], MAX(0,SnapshotTable[[#This Row],[Last Price]]  - SnapshotTable[[#This Row],[SC Strike Price]]), 0)</f>
        <v>0</v>
      </c>
      <c r="FH141" s="352">
        <f>IF(SnapshotTable[[#This Row],[SC Is Filled]], IF(ISNUMBER(SnapshotTable[[#This Row],[SC Current Ask]]), SnapshotTable[[#This Row],[SC Current Ask]], SnapshotTable[[#This Row],[SC Book Price]]) - SnapshotTable[[#This Row],[SC Intrinsic Value]], 0)</f>
        <v>0</v>
      </c>
      <c r="FI141" s="141">
        <v>44274</v>
      </c>
      <c r="FJ141" s="32" t="str">
        <f>IF(SnapshotTable[[#This Row],[SC Is Filled]],100 * SnapshotTable[[#This Row],[SC Qty]] * IF(ISNUMBER(SnapshotTable[[#This Row],[SC Buyback Override]]), SnapshotTable[[#This Row],[SC Buyback Override]], SnapshotTable[[#This Row],[SC Current Ask]]), "")</f>
        <v/>
      </c>
      <c r="FK141" s="235" t="str">
        <f>IF(SnapshotTable[[#This Row],[SC Time Val]]&gt;0, SnapshotTable[[#This Row],[SC Time Val]] / SnapshotTable[[#This Row],[Last Price]],"")</f>
        <v/>
      </c>
      <c r="FL141" s="280" t="str">
        <f>IF(SnapshotTable[[#This Row],[SC Is Booked]], ((SnapshotTable[[#This Row],[Last Price]] -SnapshotTable[[#This Row],[SC Strike Price]]) / SnapshotTable[[#This Row],[Last Price]]) * -1, "")</f>
        <v/>
      </c>
      <c r="FM141" s="155" t="str">
        <f>IF(SnapshotTable[[#This Row],[SC Is Booked]],  (SnapshotTable[[#This Row],[SC Qty]] * 100 * SnapshotTable[[#This Row],[SC Strike Price]]) - SnapshotTable[[#This Row],[SC Current Ask]], "")</f>
        <v/>
      </c>
      <c r="FN1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1" s="31" t="str">
        <f>IF(AND(ISNUMBER(SnapshotTable[[#This Row],[SC Exercise Gross]]), ISNUMBER(SnapshotTable[[#This Row],[Equity Basis Per Share]] )), SnapshotTable[[#This Row],[SC Exercise Gross]] - SnapshotTable[[#This Row],[Equity Basis Total]] +  SnapshotTable[[#This Row],[SC Premium]], "")</f>
        <v/>
      </c>
      <c r="FP141" s="5" t="str">
        <f>IF(ISNUMBER(SnapshotTable[[#This Row],[SC Exercise Gross]]), (SnapshotTable[[#This Row],[SC Exercise Gross]]) / (SnapshotTable[[#This Row],[SC Qty]] * 100), "")</f>
        <v/>
      </c>
      <c r="FQ141" s="27" t="str">
        <f>IF(SnapshotTable[[#This Row],[SC Is Booked]],SnapshotTable[[#This Row],[SC Time Val]] /SnapshotTable[[#This Row],[SC Basis]], "")</f>
        <v/>
      </c>
      <c r="FR141" s="27" t="str" cm="1">
        <f t="array" ref="FR141">IF(AND(ISNUMBER(SnapshotTable[[#This Row],[SC Term]]),ISNUMBER(SnapshotTable[[#This Row],[SC Simple ROO]])), EllmanAnnualize(SnapshotTable[[#This Row],[SC DTE]], SnapshotTable[[#This Row],[SC Simple ROO]] ),"")</f>
        <v/>
      </c>
      <c r="FS141" s="4">
        <f>IF(SnapshotTable[[#This Row],[SC Strike Price]] &gt; SnapshotTable[[#This Row],[Last Price]], SnapshotTable[[#This Row],[SC Strike Price]] - SnapshotTable[[#This Row],[Last Price]],0)</f>
        <v>0</v>
      </c>
      <c r="FT141" s="27" t="str">
        <f>IF(AND(ISNUMBER(SnapshotTable[[#This Row],[SC Upside Potential]]), SnapshotTable[[#This Row],[SC Upside Potential]] &gt; 0),(SnapshotTable[[#This Row],[SC Upside Potential]]/ SnapshotTable[[#This Row],[ACB]]),"")</f>
        <v/>
      </c>
      <c r="FU141" s="304" t="str">
        <f>IF(SnapshotTable[[#This Row],[SC Intrinsic Value]] &gt; 0,SnapshotTable[[#This Row],[SC Intrinsic Value]],"")</f>
        <v/>
      </c>
      <c r="FV141" s="27" t="str">
        <f>IF(AND( ISNUMBER( SnapshotTable[[#This Row],[ACB]]),ISNUMBER(SnapshotTable[[#This Row],[SC Downside Protect]])),SnapshotTable[[#This Row],[SC Downside Protect]] / SnapshotTable[[#This Row],[ACB]],"")</f>
        <v/>
      </c>
      <c r="FW141" s="221" t="str">
        <f>IF(AND(ISNUMBER(SnapshotTable[[#This Row],[SC Simple ROO]]),SnapshotTable[[#This Row],[SC Simple ROO]] &gt; 0), SnapshotTable[[#This Row],[SC Premium]] + (SnapshotTable[[#This Row],[SC Qty]] * SnapshotTable[[#This Row],[SC Upside Potential]]), "")</f>
        <v/>
      </c>
      <c r="FX141" s="280" t="str" cm="1">
        <f t="array" ref="FX141">IF(ISNUMBER(SnapshotTable[[#This Row],[SC Max Dollars]]), annualize(SnapshotTable[[#This Row],[SC Term]],(SnapshotTable[[#This Row],[SC Max Dollars]]/SnapshotTable[[#This Row],[SC Basis]])),"")</f>
        <v/>
      </c>
      <c r="FY141" s="221" t="str">
        <f>IF(AND(SnapshotTable[[#This Row],[SC Qty]]&gt;0,SnapshotTable[[#This Row],[SC Current Ask]]&gt;0), SnapshotTable[[#This Row],[SC Qty]] * SnapshotTable[[#This Row],[SC Current Ask]] * -100, "")</f>
        <v/>
      </c>
      <c r="FZ141" s="31" t="str">
        <f>IF(ISNUMBER((SnapshotTable[[#This Row],[SC Current Value]])), SnapshotTable[[#This Row],[SC Premium]] + SnapshotTable[[#This Row],[SC Current Value]], "")</f>
        <v/>
      </c>
      <c r="GA141" s="272" t="str">
        <f>IFERROR( IF(ISNUMBER((SnapshotTable[[#This Row],[SC Current Value]])), SnapshotTable[[#This Row],[SC Gain Loss]] / SnapshotTable[[#This Row],[SC Premium]], ""), "")</f>
        <v/>
      </c>
      <c r="GB141" s="42">
        <f>SnapshotTable[[#This Row],[Equity Shares]] * SaleSharesToConsiderPercentage</f>
        <v>0</v>
      </c>
      <c r="GC141" s="40">
        <f>SnapshotTable[[#This Row],[Long Term Target]] * SellingPriceToConsiderBasedOnTargetPercentage</f>
        <v>532</v>
      </c>
      <c r="GD141" s="40">
        <f>SnapshotTable[[#This Row],[Last Price]] * (1+ SellingPriceToConsiderBasedOnTargetPercentage)</f>
        <v>367.41899999999998</v>
      </c>
      <c r="GE141" s="41"/>
      <c r="GF141" s="40"/>
      <c r="GG141" s="31">
        <f>SnapshotTable[[#This Row],[Booked Sale Shares]] * SnapshotTable[[#This Row],[Booked Sale Price]]</f>
        <v>0</v>
      </c>
      <c r="GH141" s="31" t="str">
        <f>IF(SnapshotTable[[#This Row],[Equity Basis Total]] &gt; 0, SnapshotTable[[#This Row],[Equity Basis Per Share]] * SnapshotTable[[#This Row],[Booked Sale Shares]], "")</f>
        <v/>
      </c>
      <c r="GI141" s="31">
        <f>IF(SnapshotTable[[#This Row],[Sale Proceeds]]&gt;0, SnapshotTable[[#This Row],[Sale Proceeds]] - SnapshotTable[[#This Row],[Sale Basis]], 0)</f>
        <v>0</v>
      </c>
      <c r="GJ141" s="27" t="str">
        <f>IF(SnapshotTable[[#This Row],[Sale G/L]]&gt;0, SnapshotTable[[#This Row],[Sale G/L]] / SnapshotTable[[#This Row],[Sale Basis]], IF(ISNUMBER(SnapshotTable[[#This Row],[SC Exercise P&amp;L (TAX)]]), SnapshotTable[[#This Row],[SC Exercise P&amp;L (TAX)]] / SnapshotTable[[#This Row],[SC Basis]], ""))</f>
        <v/>
      </c>
      <c r="GK141" s="27"/>
      <c r="GL141" s="43" t="str">
        <f>IF(AND(SnapshotTable[[#This Row],[LP Exp Date]]&gt;0,SnapshotTable[[#This Row],[LP Strike Price]]&gt;0), [1]!ToOptionSymbol(SnapshotTable[[#This Row],[Symbol]], SnapshotTable[[#This Row],[LP Strike Price]],SnapshotTable[[#This Row],[LP Exp Date]],1), "")</f>
        <v/>
      </c>
      <c r="GM141" s="30" t="str">
        <f>IF(LEN(SnapshotTable[[#This Row],[LP Symbol]])&gt;0, 1, "")</f>
        <v/>
      </c>
      <c r="GN141" s="43" t="str">
        <f>IF(AND(SnapshotTable[[#This Row],[SP Exp Date]]&gt;0,SnapshotTable[[#This Row],[SP Strike Price]]&gt;0), [1]!ToOptionSymbol(SnapshotTable[[#This Row],[Symbol]], SnapshotTable[[#This Row],[SP Strike Price]],SnapshotTable[[#This Row],[SP Exp Date]],1), "")</f>
        <v/>
      </c>
      <c r="GO141" s="30" t="str">
        <f>IF(LEN(SnapshotTable[[#This Row],[SP Symbol]])&gt;0, 1, "")</f>
        <v/>
      </c>
      <c r="GP141" s="43" t="str">
        <f>IF(AND(SnapshotTable[[#This Row],[LC Exp Date]]&gt;0,SnapshotTable[[#This Row],[LC Strike Price]]&gt;0), [1]!ToOptionSymbol(SnapshotTable[[#This Row],[Symbol]], SnapshotTable[[#This Row],[LC Strike Price]],SnapshotTable[[#This Row],[LC Exp Date]],0), "")</f>
        <v/>
      </c>
      <c r="GQ141" s="30" t="str">
        <f>IF(LEN(SnapshotTable[[#This Row],[LC Symbol]])&gt;0, 1, "")</f>
        <v/>
      </c>
      <c r="GR141" s="43" t="str">
        <f>IF(AND(SnapshotTable[[#This Row],[SC Exp Date]]&gt;0,SnapshotTable[[#This Row],[SC Strike Price]]&gt;0), [1]!ToOptionSymbol(SnapshotTable[[#This Row],[Symbol]], SnapshotTable[[#This Row],[SC Strike Price]],SnapshotTable[[#This Row],[SC Exp Date]],0), "")</f>
        <v/>
      </c>
      <c r="GS141" s="30" t="str">
        <f>IF(LEN(SnapshotTable[[#This Row],[SC Symbol]])&gt;0, 1, "")</f>
        <v/>
      </c>
      <c r="GT141" s="29" t="str">
        <f>IF(COUNT(SnapshotTable[[#This Row],[LP Symbol Count]],SnapshotTable[[#This Row],[SP Symbol Count]],SnapshotTable[[#This Row],[LC Symbol Count]],SnapshotTable[[#This Row],[SC Symbol Count]])&gt;0, "Y", "")</f>
        <v/>
      </c>
      <c r="GU1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1" s="216">
        <f>MAX(SnapshotTable[[#This Row],[Equity Basis Total]],SnapshotTable[[#This Row],[Equity Value]]) + (SnapshotTable[[#This Row],[SP Potential Spend]]- SnapshotTable[[#This Row],[SP Premium]] + SnapshotTable[[#This Row],[LP Premium]])+ (SnapshotTable[[#This Row],[LC Premium]] - SnapshotTable[[#This Row],[SC Premium]])</f>
        <v>0</v>
      </c>
      <c r="GW141" s="137" t="str">
        <f>IF(AND(SnapshotTable[[#This Row],[Exposure]] &lt;&gt; 0),SnapshotTable[[#This Row],[Exposure]] / SnapshotTable[[#Totals],[Exposure]], "")</f>
        <v/>
      </c>
      <c r="HE141" s="253"/>
      <c r="HF141" s="253"/>
      <c r="HK141" s="1"/>
      <c r="HL141" s="1"/>
      <c r="HM141" s="1"/>
      <c r="HN141" s="1"/>
      <c r="HO141" s="1"/>
      <c r="HP141" s="1"/>
    </row>
    <row r="142" spans="2:224" ht="12.75" hidden="1" customHeight="1" x14ac:dyDescent="0.25">
      <c r="B142" s="12" t="s">
        <v>836</v>
      </c>
      <c r="C142" s="385">
        <v>18.16</v>
      </c>
      <c r="D142" s="200" t="s">
        <v>467</v>
      </c>
      <c r="E142" s="39">
        <f>SnapshotTable[[#This Row],[Last Price]]*(1 -CrashDiscount)</f>
        <v>15.436</v>
      </c>
      <c r="F142" s="26"/>
      <c r="G142" s="26"/>
      <c r="H142" s="147"/>
      <c r="I142" s="186" t="s">
        <v>2</v>
      </c>
      <c r="J142" s="187"/>
      <c r="K142" s="188"/>
      <c r="L142" s="297"/>
      <c r="M142" s="138"/>
      <c r="N142" s="138"/>
      <c r="O142" s="138"/>
      <c r="P142" s="22"/>
      <c r="Q142" s="25"/>
      <c r="R142" s="4" t="str">
        <f>IF(SnapshotTable[[#This Row],[Equity Basis Total]] &gt; 0, SnapshotTable[[#This Row],[Equity Basis Total]] / SnapshotTable[[#This Row],[Equity Shares]], "")</f>
        <v/>
      </c>
      <c r="S142" s="254">
        <f>SnapshotTable[[#This Row],[Last Price]] * SnapshotTable[[#This Row],[Equity Shares]]</f>
        <v>0</v>
      </c>
      <c r="T142" s="254">
        <f>SnapshotTable[[#This Row],[Equity Value]] - SnapshotTable[[#This Row],[Equity Basis Total]]</f>
        <v>0</v>
      </c>
      <c r="U142" s="255" t="str">
        <f>IF(SnapshotTable[[#This Row],[Equity Basis Total]] &gt; 0, SnapshotTable[[#This Row],[Equity G/L]] / SnapshotTable[[#This Row],[Equity Basis Total]], "")</f>
        <v/>
      </c>
      <c r="V142" s="253">
        <v>24.94</v>
      </c>
      <c r="W142" s="253"/>
      <c r="X142" s="4" t="str">
        <f>IF(AND(ISNUMBER(SnapshotTable[[#This Row],[Equity Basis Per Share]]),ISNUMBER(SnapshotTable[[#This Row],[Equity Target]])),SnapshotTable[[#This Row],[Equity Target]]-SnapshotTable[[#This Row],[Equity Basis Per Share]],"")</f>
        <v/>
      </c>
      <c r="Y142" s="4" t="str">
        <f>IF(AND(ISNUMBER(SnapshotTable[[#This Row],[Equity Basis Per Share]]),ISNUMBER(SnapshotTable[[#This Row],[Equity Stop Loss]])),SnapshotTable[[#This Row],[Equity Stop Loss]]-SnapshotTable[[#This Row],[Equity Basis Per Share]],"")</f>
        <v/>
      </c>
      <c r="Z142" s="260" t="str">
        <f>IFERROR( TEXT(SnapshotTable[[#This Row],[Equity Max Gain Per Share]] /ABS( SnapshotTable[[#This Row],[Equity Max Loss Per Share]]),"0.0 " ) &amp; " : 1", "")</f>
        <v/>
      </c>
      <c r="AA142" s="31" t="str">
        <f>IF(ISNUMBER(SnapshotTable[[#This Row],[Equity Max Gain Per Share]]),SnapshotTable[[#This Row],[Equity Max Gain Per Share]] * SnapshotTable[[#This Row],[Equity Shares]],"")</f>
        <v/>
      </c>
      <c r="AB142" s="31" t="str">
        <f>IF(ISNUMBER(SnapshotTable[[#This Row],[Equity Max Loss Per Share]]),SnapshotTable[[#This Row],[Equity Max Loss Per Share]] * SnapshotTable[[#This Row],[Equity Shares]],"")</f>
        <v/>
      </c>
      <c r="AC142" s="148"/>
      <c r="AD142" s="149"/>
      <c r="AE142" s="31">
        <f>(SnapshotTable[[#This Row],[Annual Dividend Per Share]] / 4) * SnapshotTable[[#This Row],[Equity Shares]]</f>
        <v>0</v>
      </c>
      <c r="AF142" s="31">
        <f>SnapshotTable[[#This Row],[Quarterly Div $]] * 4</f>
        <v>0</v>
      </c>
      <c r="AG142" s="7">
        <f>IF(SnapshotTable[[#This Row],[Annual Dividend Per Share]]&gt;0, SnapshotTable[[#This Row],[Annual Dividend Per Share]]  / SnapshotTable[[#This Row],[Last Price]], 0)</f>
        <v>0</v>
      </c>
      <c r="AH142" s="149"/>
      <c r="AI142" s="5"/>
      <c r="AJ142" s="136"/>
      <c r="AK142" s="150" t="str">
        <f>IF(ISNUMBER( SnapshotTable[[#This Row],[EBF Target]]),(SnapshotTable[[#This Row],[EBF Target]] - SnapshotTable[[#This Row],[Last Price]]) / SnapshotTable[[#This Row],[Last Price]], "")</f>
        <v/>
      </c>
      <c r="AL142" s="150" t="str">
        <f>IF(AND(SnapshotTable[[#This Row],[Equity Basis Total]] &gt; 0,ISNUMBER( SnapshotTable[[#This Row],[Long Term Target]])), SnapshotTable[[#This Row],[From Basis $]] / SnapshotTable[[#This Row],[Equity Basis Total]], "")</f>
        <v/>
      </c>
      <c r="AM142" s="9">
        <f>IF( AND(SnapshotTable[[#This Row],[Equity Shares]] &gt;0,ISNUMBER( SnapshotTable[[#This Row],[Long Term Target]])),(SnapshotTable[[#This Row],[Equity Shares]] * SnapshotTable[[#This Row],[Long Term Target]]) - SnapshotTable[[#This Row],[Equity Basis Total]],0)</f>
        <v>0</v>
      </c>
      <c r="AN142" s="9">
        <f>IF( AND(SnapshotTable[[#This Row],[Equity Shares]] &gt;0,ISNUMBER( SnapshotTable[[#This Row],[Long Term Target]])),(SnapshotTable[[#This Row],[Equity Shares]]*SnapshotTable[[#This Row],[Long Term Target]]) - SnapshotTable[[#This Row],[Equity Value]],0)</f>
        <v>0</v>
      </c>
      <c r="AO142" s="150" t="str">
        <f>IF(AND(ISNUMBER( SnapshotTable[[#This Row],[Long Term Target]]), ISNUMBER(SnapshotTable[[#This Row],[Last Price]])),(SnapshotTable[[#This Row],[Long Term Target]] - SnapshotTable[[#This Row],[Last Price]]) / SnapshotTable[[#This Row],[Last Price]], "")</f>
        <v/>
      </c>
      <c r="AP142" s="5"/>
      <c r="AQ142" s="38"/>
      <c r="AR142" s="5"/>
      <c r="AS142" s="38"/>
      <c r="AT142" s="144"/>
      <c r="AU142" s="185" t="str">
        <f>IF(OR(SnapshotTable[[#This Row],[LP No Fill]]="Y",SnapshotTable[[#This Row],[SP Is Filled]],SnapshotTable[[#This Row],[LC Not Filled]]="Y",SnapshotTable[[#This Row],[SC Is Filled]]),"Y","")</f>
        <v/>
      </c>
      <c r="AV142" s="205"/>
      <c r="AW142" s="211"/>
      <c r="AX142" s="206"/>
      <c r="AY142" s="205" t="str">
        <f>IF(SnapshotTable[[#This Row],[Implied Move]]&gt;0, SnapshotTable[[#This Row],[Last Price]]-SnapshotTable[[#This Row],[Implied Move]],"")</f>
        <v/>
      </c>
      <c r="AZ142" s="205" t="str">
        <f>IF(SnapshotTable[[#This Row],[Implied Move]]&gt;0, SnapshotTable[[#This Row],[Last Price]] + SnapshotTable[[#This Row],[Implied Move]],"")</f>
        <v/>
      </c>
      <c r="BA142" s="302">
        <v>21.77</v>
      </c>
      <c r="BB142" s="318"/>
      <c r="BC1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2" s="321"/>
      <c r="BE142" s="5"/>
      <c r="BF142" s="14"/>
      <c r="BG142" s="13"/>
      <c r="BH142" s="13"/>
      <c r="BI142" s="5"/>
      <c r="BJ142" s="134">
        <f>IF(SnapshotTable[[#This Row],[LP Qty]] &gt; 0, SnapshotTable[[#This Row],[LP Qty]] * SnapshotTable[[#This Row],[LP Book Price]] * 100,0)</f>
        <v>0</v>
      </c>
      <c r="BK142" s="134">
        <f>IF(SnapshotTable[[#This Row],[LP Premium]] &gt; 0, SnapshotTable[[#This Row],[LP Qty]] * SnapshotTable[[#This Row],[LP Strike Price]] * 100,0)</f>
        <v>0</v>
      </c>
      <c r="BL142" s="152"/>
      <c r="BM142" s="355" t="str">
        <f>IF(SnapshotTable[[#This Row],[LP Premium]] &gt; 0,SnapshotTable[[#This Row],[LP Exp Date]]-MAX(SnapshotTable[[#This Row],[LP Book Date]], SnapshotTable[[#This Row],[LP Fill Date]]),"")</f>
        <v/>
      </c>
      <c r="BN142" s="355" t="str">
        <f>IF(ISNUMBER( SnapshotTable[[#This Row],[LP Term]]), SnapshotTable[[#This Row],[LP Exp Date]] - MockToday,"")</f>
        <v/>
      </c>
      <c r="BO142" s="161" t="str">
        <f>IF(AND(SnapshotTable[[#This Row],[LP Exp Date]]&gt;0, SnapshotTable[[#This Row],[LP Strike Price]]&gt;0,SnapshotTable[[#This Row],[LP Qty]]&gt;0,SnapshotTable[[#This Row],[LP Book Date]]&gt;0,SnapshotTable[[#This Row],[LP Book Price]]&gt;0,SnapshotTable[[#This Row],[LP Fill Date]]=0),"Y","")</f>
        <v/>
      </c>
      <c r="BP142" s="31" t="str">
        <f>IF(AND(SnapshotTable[[#This Row],[LP No Fill]]&lt;&gt;"Y",SnapshotTable[[#This Row],[LP Contract Value]]&gt;0, SnapshotTable[[#This Row],[LP Qty]]&gt;0), SnapshotTable[[#This Row],[LP Contract Value]]*SnapshotTable[[#This Row],[LP Qty]]*100,"")</f>
        <v/>
      </c>
      <c r="BQ142" s="13"/>
      <c r="BR142" s="5"/>
      <c r="BS142" s="36"/>
      <c r="BT142" s="145"/>
      <c r="BU142" s="13"/>
      <c r="BV142" s="5"/>
      <c r="BW142" s="382" t="b">
        <f>AND(ISNUMBER(SnapshotTable[[#This Row],[SP Exp Date]]), ISNUMBER(SnapshotTable[[#This Row],[SP Strike Price]]), ISNUMBER(SnapshotTable[[#This Row],[SP Qty]]), ISNUMBER(SnapshotTable[[#This Row],[SP Book Date]]), ISNUMBER(SnapshotTable[[#This Row],[SP Book Price]]))</f>
        <v>0</v>
      </c>
      <c r="BX142" s="382" t="b">
        <f>AND(SnapshotTable[[#This Row],[SP Is Booked]], NOT(ISBLANK(SnapshotTable[[#This Row],[SP Fill Date]])))</f>
        <v>0</v>
      </c>
      <c r="BY142" s="33">
        <f>IF(SnapshotTable[[#This Row],[SP Is Booked]], SnapshotTable[[#This Row],[SP Qty]] * SnapshotTable[[#This Row],[SP Book Price]] * 100, 0)</f>
        <v>0</v>
      </c>
      <c r="BZ142" s="339"/>
      <c r="CA142" s="338">
        <f>SnapshotTable[[#This Row],[LP Qty]]</f>
        <v>0</v>
      </c>
      <c r="CB142" s="4" t="str">
        <f>IF(SnapshotTable[[#This Row],[SP Is Booked]], SnapshotTable[[#This Row],[SP Strike Price]] - SnapshotTable[[#This Row],[SP Book Price]], "")</f>
        <v/>
      </c>
      <c r="CC142" s="19" t="str">
        <f>IF(SnapshotTable[[#This Row],[SP Is Booked]],SnapshotTable[[#This Row],[SP Exp Date]]-MAX(SnapshotTable[[#This Row],[SP Book Date]], SnapshotTable[[#This Row],[SP Fill Date]]),"")</f>
        <v/>
      </c>
      <c r="CD142" s="7" t="str">
        <f>IF(SnapshotTable[[#This Row],[SP Is Booked]], SnapshotTable[[#This Row],[SP Book Price]]/SnapshotTable[[#This Row],[SP Strike Price]], "")</f>
        <v/>
      </c>
      <c r="CE142" s="7" t="str">
        <f>IF(ISNUMBER(SnapshotTable[[#This Row],[SP ROO Term]]),SnapshotTable[[#This Row],[SP ROO Term]]*(365/SnapshotTable[[#This Row],[SP Term]]),"")</f>
        <v/>
      </c>
      <c r="CF142" s="221">
        <f>SnapshotTable[[#This Row],[LP Strike Price]] * SnapshotTable[[#This Row],[LP Qty]] * 100</f>
        <v>0</v>
      </c>
      <c r="CG142" s="31">
        <f>IF(ISNUMBER(SnapshotTable[[#This Row],[SP Premium]]), (SnapshotTable[[#This Row],[SP Qty]] * SnapshotTable[[#This Row],[SP Strike Price]]* 100) - SnapshotTable[[#This Row],[LP Protection]], 0)</f>
        <v>0</v>
      </c>
      <c r="CH142" s="7" t="str">
        <f>IF(ISNUMBER(SnapshotTable[[#This Row],[SP Break Even]]),-1 * (SnapshotTable[[#This Row],[SP Break Even]] - SnapshotTable[[#This Row],[Last Price]]) / SnapshotTable[[#This Row],[Last Price]], "")</f>
        <v/>
      </c>
      <c r="CI142" s="31">
        <f>IF(AND(ISNUMBER((SnapshotTable[[#This Row],[SP Potential Spend]])), SnapshotTable[[#This Row],[SP Strike Price]] &gt; SnapshotTable[[#This Row],[Last Price]], SnapshotTable[[#This Row],[SP Is Filled]]), SnapshotTable[[#This Row],[SP Potential Spend]] -  SnapshotTable[[#This Row],[LP Max Value]], 0)</f>
        <v>0</v>
      </c>
      <c r="CJ142" s="229"/>
      <c r="CK142" s="31">
        <f>IF(ISNUMBER(SnapshotTable[[#This Row],[SP Potential Spend]]),IF(ISNUMBER(SnapshotTable[[#This Row],[SP POW]]), SnapshotTable[[#This Row],[SP POW]] * SnapshotTable[[#This Row],[SP Potential Spend]], SnapshotTable[[#This Row],[SP Potential Spend]]), "")</f>
        <v>0</v>
      </c>
      <c r="CL142" s="162">
        <f>IF(NOT(SnapshotTable[[#This Row],[SP Is Filled]]),(SnapshotTable[[#This Row],[SP Qty]] * SnapshotTable[[#This Row],[SP Strike Price]] * 100) - SnapshotTable[[#This Row],[LP Max Value]],"")</f>
        <v>0</v>
      </c>
      <c r="CM142" s="31" t="str">
        <f>IF(SnapshotTable[[#This Row],[SP Actual Spend]]&lt;&gt;0, ((SnapshotTable[[#This Row],[SP Strike Price]]-SnapshotTable[[#This Row],[Last Price]]) *(SnapshotTable[[#This Row],[SP Qty]]*100) - SnapshotTable[[#This Row],[SP Premium]]) * - 1, "")</f>
        <v/>
      </c>
      <c r="CN142" s="204"/>
      <c r="CO142" s="339"/>
      <c r="CP142" s="4" t="str">
        <f>IF(SnapshotTable[[#This Row],[SP Is Filled]], btc_max_buyback_amount(SnapshotTable[[#This Row],[SP Fill Date]],SnapshotTable[[#This Row],[SP Exp Date]], SnapshotTable[[#This Row],[SP Book Price]]),"")</f>
        <v/>
      </c>
      <c r="CQ142" s="76"/>
      <c r="CR14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2" s="153" t="str">
        <f>IF(SnapshotTable[[#This Row],[SP Is Filled]], btc_next_cutoff_date(SnapshotTable[[#This Row],[SP Fill Date]],SnapshotTable[[#This Row],[SP Exp Date]]),"")</f>
        <v/>
      </c>
      <c r="CT142" s="220" t="str" cm="1">
        <f t="array" ref="CT142">IF(SnapshotTable[[#This Row],[SP Is Filled]], btc_should_buy_back(SnapshotTable[[#This Row],[SP Fill Date]], SnapshotTable[[#This Row],[SP Exp Date]], SnapshotTable[[#This Row],[SP Book Price]], SnapshotTable[[#This Row],[SP Current Ask]], MockToday, SnapshotTable[[#This Row],[SP Buyback Override]]),"")</f>
        <v/>
      </c>
      <c r="CU142" s="141"/>
      <c r="CV142" s="220"/>
      <c r="CW142" s="348" t="str">
        <f>IF(ISNUMBER( SnapshotTable[[#This Row],[SP Term]]), SnapshotTable[[#This Row],[SP Exp Date]] - MockToday,"")</f>
        <v/>
      </c>
      <c r="CX142" s="31" t="str">
        <f>IF(SnapshotTable[[#This Row],[SP Is Filled]],SnapshotTable[[#This Row],[SP Buyback Price to Use]] * 100 * SnapshotTable[[#This Row],[SP Qty]], "")</f>
        <v/>
      </c>
      <c r="CY142" s="4" t="str">
        <f>IF(ISNUMBER(SnapshotTable[[#This Row],[SP Strike Price]]), SnapshotTable[[#This Row],[SP Strike Price]] * (1 - SP_MaxLoss_StrikePct), "")</f>
        <v/>
      </c>
      <c r="CZ142" s="31" t="str">
        <f>IF(ISNUMBER(SnapshotTable[[#This Row],[SP Strike  Stop Per Share]]),SnapshotTable[[#This Row],[SP Premium]] - ((SnapshotTable[[#This Row],[SP Strike Price]]-SnapshotTable[[#This Row],[SP Strike  Stop Per Share]]) *(SnapshotTable[[#This Row],[SP Qty]] * 100)),"")</f>
        <v/>
      </c>
      <c r="DA142" s="4" t="str">
        <f>IF(AND(ISNUMBER(SnapshotTable[[#This Row],[SP Premium]]),SnapshotTable[[#This Row],[SP Premium]]&gt;0), SnapshotTable[[#This Row],[SP Book Price]] * (1 + SP_MaxLoss_OptionPct), "")</f>
        <v/>
      </c>
      <c r="DB142" s="31" t="str">
        <f>IF(ISNUMBER(SnapshotTable[[#This Row],[SP Option  Stop Contract]]),(SnapshotTable[[#This Row],[SP Option  Stop Contract]] *(SnapshotTable[[#This Row],[SP Qty]] * 100) - SnapshotTable[[#This Row],[SP Premium]]),"")</f>
        <v/>
      </c>
      <c r="DC142" s="4"/>
      <c r="DD142" s="4"/>
      <c r="DE142" s="4" t="str">
        <f>IF(AND(SnapshotTable[[#This Row],[SP Qty]]&gt;0, SnapshotTable[[#This Row],[SP Stop To Use]]&gt;0),SnapshotTable[[#This Row],[SP Premium]] - ( SnapshotTable[[#This Row],[SP Qty]] * SnapshotTable[[#This Row],[SP Stop To Use]] * 100), "")</f>
        <v/>
      </c>
      <c r="DF142" s="31" t="str">
        <f>IF(AND(SnapshotTable[[#This Row],[SP Qty]]&gt;0,SnapshotTable[[#This Row],[SP Current Ask]]&gt;0), SnapshotTable[[#This Row],[SP Qty]] * SnapshotTable[[#This Row],[SP Current Ask]] * -100, "")</f>
        <v/>
      </c>
      <c r="DG142" s="31" t="str">
        <f>IF(ISNUMBER((SnapshotTable[[#This Row],[SP Total Value]])), SnapshotTable[[#This Row],[SP Premium]] + SnapshotTable[[#This Row],[SP Total Value]], "")</f>
        <v/>
      </c>
      <c r="DH142" s="272" t="str">
        <f>IF(ISNUMBER((SnapshotTable[[#This Row],[SP Total Value]])), SnapshotTable[[#This Row],[SP Gain Loss]] / SnapshotTable[[#This Row],[SP Premium]], "")</f>
        <v/>
      </c>
      <c r="DI142" s="369"/>
      <c r="DJ142" s="136"/>
      <c r="DK142" s="146"/>
      <c r="DL142" s="13"/>
      <c r="DM142" s="13"/>
      <c r="DO142" s="31">
        <f>IF(SnapshotTable[[#This Row],[LC Symbol Count]]=1, SnapshotTable[[#This Row],[LC Qty]] * SnapshotTable[[#This Row],[LC Book Price]] * 100, 0)</f>
        <v>0</v>
      </c>
      <c r="DP142" s="161" t="str">
        <f>IF(AND(SnapshotTable[[#This Row],[LC Exp Date]]&gt;0, SnapshotTable[[#This Row],[LC Strike Price]]&gt;0,SnapshotTable[[#This Row],[LC Qty]]&gt;0,SnapshotTable[[#This Row],[LC Book Date]]&gt;0,SnapshotTable[[#This Row],[LC Book Price]]&gt;0,SnapshotTable[[#This Row],[LC Fill Date]]=0),"Y","")</f>
        <v/>
      </c>
      <c r="DQ142" s="356" t="str">
        <f>IF(SnapshotTable[[#This Row],[LC Premium]] &gt; 0,SnapshotTable[[#This Row],[LC Exp Date]]-MAX(SnapshotTable[[#This Row],[LC Book Date]], SnapshotTable[[#This Row],[LC Fill Date]]),"")</f>
        <v/>
      </c>
      <c r="DR142" s="356" t="str">
        <f>IF(ISNUMBER(SnapshotTable[[#This Row],[LC Term]]), SnapshotTable[[#This Row],[LC Exp Date]] - MockToday, "")</f>
        <v/>
      </c>
      <c r="DS142" s="219" t="str">
        <f>IF(SnapshotTable[[#This Row],[LC Premium]]&gt;0,SnapshotTable[[#This Row],[LC Strike Price]] + SnapshotTable[[#This Row],[LC Book Price]],"")</f>
        <v/>
      </c>
      <c r="DU142" s="9" t="str">
        <f>IF(AND(SnapshotTable[[#This Row],[LC Symbol Count]]&gt;0, SnapshotTable[[#This Row],[LC Contract Value]]&gt;0), SnapshotTable[[#This Row],[LC Contract Value]] * SnapshotTable[[#This Row],[LC Qty]] * 100, "")</f>
        <v/>
      </c>
      <c r="DV142" s="9" t="str">
        <f>IF(AND(ISNUMBER(SnapshotTable[[#This Row],[LC Total Value]]), SnapshotTable[[#This Row],[LC Not Filled]]&lt;&gt;"Y"), SnapshotTable[[#This Row],[LC Total Value]]-SnapshotTable[[#This Row],[LC Premium]],"")</f>
        <v/>
      </c>
      <c r="DW142" s="225" t="str">
        <f>IF(ISNUMBER(SnapshotTable[[#This Row],[LC Actual Gain Loss]]), SnapshotTable[[#This Row],[LC Actual Gain Loss]] / SnapshotTable[[#This Row],[LC Premium]],"")</f>
        <v/>
      </c>
      <c r="DX142" s="269" t="str">
        <f>IF(ISNUMBER(SnapshotTable[[#This Row],[LC Book Price]]),SnapshotTable[[#This Row],[LC Book Price]] * 1.5,"")</f>
        <v/>
      </c>
      <c r="DY142" s="250" t="str">
        <f>IF(SnapshotTable[[#This Row],[LC Premium]]&gt;0, SnapshotTable[[#This Row],[LC Next Target]] * SnapshotTable[[#This Row],[LC Qty]] * 100,"")</f>
        <v/>
      </c>
      <c r="DZ142" s="250" t="str">
        <f>IF(ISNUMBER(SnapshotTable[[#This Row],[LC Target Gross]]), SnapshotTable[[#This Row],[LC Target Gross]] - SnapshotTable[[#This Row],[LC Premium]], "")</f>
        <v/>
      </c>
      <c r="EA142" s="283" t="str">
        <f>IF(ISNUMBER(SnapshotTable[[#This Row],[LC Target Gain Loss]]), SnapshotTable[[#This Row],[LC Target Gain Loss]]/SnapshotTable[[#This Row],[LC Premium]], "")</f>
        <v/>
      </c>
      <c r="EB142" s="247"/>
      <c r="EC142" s="268" t="str">
        <f>IF(SnapshotTable[[#This Row],[LC Premium]]&gt;0, SnapshotTable[[#This Row],[LC Book Price]] * (1 - LC_StopLoss_Pct),"")</f>
        <v/>
      </c>
      <c r="ED142" s="269"/>
      <c r="EE142" s="268" t="str">
        <f>IF(ISNUMBER(SnapshotTable[[#This Row],[LC Contract Value]]),IF(ISNUMBER(SnapshotTable[[#This Row],[LC Stop Loss Override]]), SnapshotTable[[#This Row],[LC Stop Loss Override]],SnapshotTable[[#This Row],[LC Stop Loss Calc Target]]),"")</f>
        <v/>
      </c>
      <c r="EF142" s="31" t="str">
        <f>IF(ISNUMBER(SnapshotTable[[#This Row],[LC Stop  To Use]]), (SnapshotTable[[#This Row],[LC Stop  To Use]] * SnapshotTable[[#This Row],[LC Qty]] * 100),"")</f>
        <v/>
      </c>
      <c r="EG142" s="9" t="str">
        <f>IF(ISNUMBER(SnapshotTable[[#This Row],[LC Total Value]]),SnapshotTable[[#This Row],[LC Stop Loss Amount]] - SnapshotTable[[#This Row],[LC Premium]],"")</f>
        <v/>
      </c>
      <c r="EH142" s="9">
        <f>IF(ISNUMBER(SnapshotTable[[#This Row],[LC Premium]]), SnapshotTable[[#This Row],[LC Qty]] * 100 * SnapshotTable[[#This Row],[LC Strike Price]], "")</f>
        <v>0</v>
      </c>
      <c r="EI142" s="225" t="str">
        <f>IF(AND(ISNUMBER(SnapshotTable[[#This Row],[LC Total Value]]),SnapshotTable[[#This Row],[LC Total Value]]&gt;0),SnapshotTable[[#This Row],[LC Stop Gain Loss]]  / SnapshotTable[[#This Row],[LC Premium]],"")</f>
        <v/>
      </c>
      <c r="EJ142" s="35">
        <f>IF(ISNUMBER(SnapshotTable[[#This Row],[Equity Shares]]),TRUNC(SnapshotTable[[#This Row],[Equity Shares]] / 100),0) + SnapshotTable[[#This Row],[LC Qty]]</f>
        <v>0</v>
      </c>
      <c r="EK142" s="145"/>
      <c r="EL142" s="136"/>
      <c r="EM142" s="146"/>
      <c r="EN142" s="145"/>
      <c r="EO142" s="145"/>
      <c r="EP142" s="136"/>
      <c r="EQ142" s="382" t="b">
        <f>AND(ISNUMBER(SnapshotTable[[#This Row],[SC Exp Date]]), ISNUMBER(SnapshotTable[[#This Row],[SC Strike Price]]), ISNUMBER(SnapshotTable[[#This Row],[SC Qty]]), ISNUMBER(SnapshotTable[[#This Row],[SC Book Date]]), ISNUMBER(SnapshotTable[[#This Row],[SC Book Price]]))</f>
        <v>0</v>
      </c>
      <c r="ER142" s="382" t="b">
        <f>AND(SnapshotTable[[#This Row],[SC Is Booked]], NOT(ISBLANK(SnapshotTable[[#This Row],[SC Fill Date]])))</f>
        <v>0</v>
      </c>
      <c r="ES142" s="340"/>
      <c r="ET142" s="34" t="str">
        <f>IF(AND(ISNUMBER(SnapshotTable[[#This Row],[SC Exp Date]]), ISNUMBER(SnapshotTable[[#This Row],[SC Book Date]])), SnapshotTable[[#This Row],[SC Exp Date]] - MAX(SnapshotTable[[#This Row],[SC Book Date]], SnapshotTable[[#This Row],[SC Fill Date]]) + 1, "")</f>
        <v/>
      </c>
      <c r="EU142" s="34" t="str">
        <f>IF(ISNUMBER(SnapshotTable[[#This Row],[SC Term]]), SnapshotTable[[#This Row],[SC Exp Date]]- MockToday, "")</f>
        <v/>
      </c>
      <c r="EV142" s="31">
        <f>IF(SnapshotTable[[#This Row],[SC Is Booked]], SnapshotTable[[#This Row],[SC Qty]] * SnapshotTable[[#This Row],[SC Book Price]] * 100, 0)</f>
        <v>0</v>
      </c>
      <c r="EW142" s="4" t="str">
        <f>IF(AND(ISNUMBER(SnapshotTable[[#This Row],[Last Price]]), ISNUMBER( SnapshotTable[[#This Row],[SC Book Price]])), SnapshotTable[[#This Row],[Last Price]] - SnapshotTable[[#This Row],[SC Book Price]],"")</f>
        <v/>
      </c>
      <c r="EX142" s="219" t="str">
        <f>IF(SnapshotTable[[#This Row],[SC Is Booked]],IF(SnapshotTable[[#This Row],[SC Intrinsic Value]] &gt; 0, SnapshotTable[[#This Row],[SC Strike Price]], SnapshotTable[[#This Row],[Last Price]]), "")</f>
        <v/>
      </c>
      <c r="EY142" s="4">
        <f>IF(SnapshotTable[[#This Row],[SC Is Booked]], (MinimumPremiumRequired * SnapshotTable[[#This Row],[SC Basis]] * SnapshotTable[[#This Row],[SC Term]]), 0)</f>
        <v>0</v>
      </c>
      <c r="EZ142" s="268"/>
      <c r="FA142" s="204"/>
      <c r="FB142" s="340"/>
      <c r="FC142" s="4">
        <f>IF(SnapshotTable[[#This Row],[SC Is Filled]], btc_max_buyback_amount(SnapshotTable[[#This Row],[SC Fill Date]],SnapshotTable[[#This Row],[SC Exp Date]], SnapshotTable[[#This Row],[SC Book Price]]),0)</f>
        <v>0</v>
      </c>
      <c r="FD142" s="5"/>
      <c r="FE142" s="142" t="str">
        <f>IF(SnapshotTable[[#This Row],[SC Is Filled]], btc_next_cutoff_date(SnapshotTable[[#This Row],[SC Fill Date]],SnapshotTable[[#This Row],[SC Exp Date]]),"")</f>
        <v/>
      </c>
      <c r="FF142" s="4" t="str" cm="1">
        <f t="array" ref="FF142">IF(SnapshotTable[[#This Row],[SC Is Filled]], btc_should_buy_back(SnapshotTable[[#This Row],[SC Fill Date]], SnapshotTable[[#This Row],[SC Exp Date]], SnapshotTable[[#This Row],[SC Book Price]], SnapshotTable[[#This Row],[SC Current Ask]], MockToday, SnapshotTable[[#This Row],[SC Buyback Override]]),"")</f>
        <v/>
      </c>
      <c r="FG142" s="4">
        <f>IF(SnapshotTable[[#This Row],[SC Is Filled]], MAX(0,SnapshotTable[[#This Row],[Last Price]]  - SnapshotTable[[#This Row],[SC Strike Price]]), 0)</f>
        <v>0</v>
      </c>
      <c r="FH142" s="352">
        <f>IF(SnapshotTable[[#This Row],[SC Is Filled]], IF(ISNUMBER(SnapshotTable[[#This Row],[SC Current Ask]]), SnapshotTable[[#This Row],[SC Current Ask]], SnapshotTable[[#This Row],[SC Book Price]]) - SnapshotTable[[#This Row],[SC Intrinsic Value]], 0)</f>
        <v>0</v>
      </c>
      <c r="FI142" s="141"/>
      <c r="FJ142" s="32" t="str">
        <f>IF(SnapshotTable[[#This Row],[SC Is Filled]],100 * SnapshotTable[[#This Row],[SC Qty]] * IF(ISNUMBER(SnapshotTable[[#This Row],[SC Buyback Override]]), SnapshotTable[[#This Row],[SC Buyback Override]], SnapshotTable[[#This Row],[SC Current Ask]]), "")</f>
        <v/>
      </c>
      <c r="FK142" s="235" t="str">
        <f>IF(SnapshotTable[[#This Row],[SC Time Val]]&gt;0, SnapshotTable[[#This Row],[SC Time Val]] / SnapshotTable[[#This Row],[Last Price]],"")</f>
        <v/>
      </c>
      <c r="FL142" s="280" t="str">
        <f>IF(SnapshotTable[[#This Row],[SC Is Booked]], ((SnapshotTable[[#This Row],[Last Price]] -SnapshotTable[[#This Row],[SC Strike Price]]) / SnapshotTable[[#This Row],[Last Price]]) * -1, "")</f>
        <v/>
      </c>
      <c r="FM142" s="155" t="str">
        <f>IF(SnapshotTable[[#This Row],[SC Is Booked]],  (SnapshotTable[[#This Row],[SC Qty]] * 100 * SnapshotTable[[#This Row],[SC Strike Price]]) - SnapshotTable[[#This Row],[SC Current Ask]], "")</f>
        <v/>
      </c>
      <c r="FN14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2" s="31" t="str">
        <f>IF(AND(ISNUMBER(SnapshotTable[[#This Row],[SC Exercise Gross]]), ISNUMBER(SnapshotTable[[#This Row],[Equity Basis Per Share]] )), SnapshotTable[[#This Row],[SC Exercise Gross]] - SnapshotTable[[#This Row],[Equity Basis Total]] +  SnapshotTable[[#This Row],[SC Premium]], "")</f>
        <v/>
      </c>
      <c r="FP142" s="5" t="str">
        <f>IF(ISNUMBER(SnapshotTable[[#This Row],[SC Exercise Gross]]), (SnapshotTable[[#This Row],[SC Exercise Gross]]) / (SnapshotTable[[#This Row],[SC Qty]] * 100), "")</f>
        <v/>
      </c>
      <c r="FQ142" s="27" t="str">
        <f>IF(SnapshotTable[[#This Row],[SC Is Booked]],SnapshotTable[[#This Row],[SC Time Val]] /SnapshotTable[[#This Row],[SC Basis]], "")</f>
        <v/>
      </c>
      <c r="FR142" s="27" t="str" cm="1">
        <f t="array" ref="FR142">IF(AND(ISNUMBER(SnapshotTable[[#This Row],[SC Term]]),ISNUMBER(SnapshotTable[[#This Row],[SC Simple ROO]])), EllmanAnnualize(SnapshotTable[[#This Row],[SC DTE]], SnapshotTable[[#This Row],[SC Simple ROO]] ),"")</f>
        <v/>
      </c>
      <c r="FS142" s="4">
        <f>IF(SnapshotTable[[#This Row],[SC Strike Price]] &gt; SnapshotTable[[#This Row],[Last Price]], SnapshotTable[[#This Row],[SC Strike Price]] - SnapshotTable[[#This Row],[Last Price]],0)</f>
        <v>0</v>
      </c>
      <c r="FT142" s="27" t="str">
        <f>IF(AND(ISNUMBER(SnapshotTable[[#This Row],[SC Upside Potential]]), SnapshotTable[[#This Row],[SC Upside Potential]] &gt; 0),(SnapshotTable[[#This Row],[SC Upside Potential]]/ SnapshotTable[[#This Row],[ACB]]),"")</f>
        <v/>
      </c>
      <c r="FU142" s="304" t="str">
        <f>IF(SnapshotTable[[#This Row],[SC Intrinsic Value]] &gt; 0,SnapshotTable[[#This Row],[SC Intrinsic Value]],"")</f>
        <v/>
      </c>
      <c r="FV142" s="27" t="str">
        <f>IF(AND( ISNUMBER( SnapshotTable[[#This Row],[ACB]]),ISNUMBER(SnapshotTable[[#This Row],[SC Downside Protect]])),SnapshotTable[[#This Row],[SC Downside Protect]] / SnapshotTable[[#This Row],[ACB]],"")</f>
        <v/>
      </c>
      <c r="FW142" s="221" t="str">
        <f>IF(AND(ISNUMBER(SnapshotTable[[#This Row],[SC Simple ROO]]),SnapshotTable[[#This Row],[SC Simple ROO]] &gt; 0), SnapshotTable[[#This Row],[SC Premium]] + (SnapshotTable[[#This Row],[SC Qty]] * SnapshotTable[[#This Row],[SC Upside Potential]]), "")</f>
        <v/>
      </c>
      <c r="FX142" s="280" t="str" cm="1">
        <f t="array" ref="FX142">IF(ISNUMBER(SnapshotTable[[#This Row],[SC Max Dollars]]), annualize(SnapshotTable[[#This Row],[SC Term]],(SnapshotTable[[#This Row],[SC Max Dollars]]/SnapshotTable[[#This Row],[SC Basis]])),"")</f>
        <v/>
      </c>
      <c r="FY142" s="221" t="str">
        <f>IF(AND(SnapshotTable[[#This Row],[SC Qty]]&gt;0,SnapshotTable[[#This Row],[SC Current Ask]]&gt;0), SnapshotTable[[#This Row],[SC Qty]] * SnapshotTable[[#This Row],[SC Current Ask]] * -100, "")</f>
        <v/>
      </c>
      <c r="FZ142" s="31" t="str">
        <f>IF(ISNUMBER((SnapshotTable[[#This Row],[SC Current Value]])), SnapshotTable[[#This Row],[SC Premium]] + SnapshotTable[[#This Row],[SC Current Value]], "")</f>
        <v/>
      </c>
      <c r="GA142" s="272" t="str">
        <f>IFERROR( IF(ISNUMBER((SnapshotTable[[#This Row],[SC Current Value]])), SnapshotTable[[#This Row],[SC Gain Loss]] / SnapshotTable[[#This Row],[SC Premium]], ""), "")</f>
        <v/>
      </c>
      <c r="GB142" s="42">
        <f>SnapshotTable[[#This Row],[Equity Shares]] * SaleSharesToConsiderPercentage</f>
        <v>0</v>
      </c>
      <c r="GC142" s="40">
        <f>SnapshotTable[[#This Row],[Long Term Target]] * SellingPriceToConsiderBasedOnTargetPercentage</f>
        <v>0</v>
      </c>
      <c r="GD142" s="40">
        <f>SnapshotTable[[#This Row],[Last Price]] * (1+ SellingPriceToConsiderBasedOnTargetPercentage)</f>
        <v>35.411999999999999</v>
      </c>
      <c r="GE142" s="41"/>
      <c r="GF142" s="40"/>
      <c r="GG142" s="31">
        <f>SnapshotTable[[#This Row],[Booked Sale Shares]] * SnapshotTable[[#This Row],[Booked Sale Price]]</f>
        <v>0</v>
      </c>
      <c r="GH142" s="31" t="str">
        <f>IF(SnapshotTable[[#This Row],[Equity Basis Total]] &gt; 0, SnapshotTable[[#This Row],[Equity Basis Per Share]] * SnapshotTable[[#This Row],[Booked Sale Shares]], "")</f>
        <v/>
      </c>
      <c r="GI142" s="31">
        <f>IF(SnapshotTable[[#This Row],[Sale Proceeds]]&gt;0, SnapshotTable[[#This Row],[Sale Proceeds]] - SnapshotTable[[#This Row],[Sale Basis]], 0)</f>
        <v>0</v>
      </c>
      <c r="GJ142" s="27" t="str">
        <f>IF(SnapshotTable[[#This Row],[Sale G/L]]&gt;0, SnapshotTable[[#This Row],[Sale G/L]] / SnapshotTable[[#This Row],[Sale Basis]], IF(ISNUMBER(SnapshotTable[[#This Row],[SC Exercise P&amp;L (TAX)]]), SnapshotTable[[#This Row],[SC Exercise P&amp;L (TAX)]] / SnapshotTable[[#This Row],[SC Basis]], ""))</f>
        <v/>
      </c>
      <c r="GK142" s="27"/>
      <c r="GL142" s="43" t="str">
        <f>IF(AND(SnapshotTable[[#This Row],[LP Exp Date]]&gt;0,SnapshotTable[[#This Row],[LP Strike Price]]&gt;0), [1]!ToOptionSymbol(SnapshotTable[[#This Row],[Symbol]], SnapshotTable[[#This Row],[LP Strike Price]],SnapshotTable[[#This Row],[LP Exp Date]],1), "")</f>
        <v/>
      </c>
      <c r="GM142" s="30" t="str">
        <f>IF(LEN(SnapshotTable[[#This Row],[LP Symbol]])&gt;0, 1, "")</f>
        <v/>
      </c>
      <c r="GN142" s="43" t="str">
        <f>IF(AND(SnapshotTable[[#This Row],[SP Exp Date]]&gt;0,SnapshotTable[[#This Row],[SP Strike Price]]&gt;0), [1]!ToOptionSymbol(SnapshotTable[[#This Row],[Symbol]], SnapshotTable[[#This Row],[SP Strike Price]],SnapshotTable[[#This Row],[SP Exp Date]],1), "")</f>
        <v/>
      </c>
      <c r="GO142" s="30" t="str">
        <f>IF(LEN(SnapshotTable[[#This Row],[SP Symbol]])&gt;0, 1, "")</f>
        <v/>
      </c>
      <c r="GP142" s="43" t="str">
        <f>IF(AND(SnapshotTable[[#This Row],[LC Exp Date]]&gt;0,SnapshotTable[[#This Row],[LC Strike Price]]&gt;0), [1]!ToOptionSymbol(SnapshotTable[[#This Row],[Symbol]], SnapshotTable[[#This Row],[LC Strike Price]],SnapshotTable[[#This Row],[LC Exp Date]],0), "")</f>
        <v/>
      </c>
      <c r="GQ142" s="30" t="str">
        <f>IF(LEN(SnapshotTable[[#This Row],[LC Symbol]])&gt;0, 1, "")</f>
        <v/>
      </c>
      <c r="GR142" s="43" t="str">
        <f>IF(AND(SnapshotTable[[#This Row],[SC Exp Date]]&gt;0,SnapshotTable[[#This Row],[SC Strike Price]]&gt;0), [1]!ToOptionSymbol(SnapshotTable[[#This Row],[Symbol]], SnapshotTable[[#This Row],[SC Strike Price]],SnapshotTable[[#This Row],[SC Exp Date]],0), "")</f>
        <v/>
      </c>
      <c r="GS142" s="30" t="str">
        <f>IF(LEN(SnapshotTable[[#This Row],[SC Symbol]])&gt;0, 1, "")</f>
        <v/>
      </c>
      <c r="GT142" s="29" t="str">
        <f>IF(COUNT(SnapshotTable[[#This Row],[LP Symbol Count]],SnapshotTable[[#This Row],[SP Symbol Count]],SnapshotTable[[#This Row],[LC Symbol Count]],SnapshotTable[[#This Row],[SC Symbol Count]])&gt;0, "Y", "")</f>
        <v/>
      </c>
      <c r="GU1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2" s="216">
        <f>MAX(SnapshotTable[[#This Row],[Equity Basis Total]],SnapshotTable[[#This Row],[Equity Value]]) + (SnapshotTable[[#This Row],[SP Potential Spend]]- SnapshotTable[[#This Row],[SP Premium]] + SnapshotTable[[#This Row],[LP Premium]])+ (SnapshotTable[[#This Row],[LC Premium]] - SnapshotTable[[#This Row],[SC Premium]])</f>
        <v>0</v>
      </c>
      <c r="GW142" s="137" t="str">
        <f>IF(AND(SnapshotTable[[#This Row],[Exposure]] &lt;&gt; 0),SnapshotTable[[#This Row],[Exposure]] / SnapshotTable[[#Totals],[Exposure]], "")</f>
        <v/>
      </c>
      <c r="HE142" s="253"/>
      <c r="HF142" s="253"/>
      <c r="HK142" s="1"/>
      <c r="HL142" s="1"/>
      <c r="HM142" s="1"/>
      <c r="HN142" s="1"/>
      <c r="HO142" s="1"/>
      <c r="HP142" s="1"/>
    </row>
    <row r="143" spans="2:224" ht="12.75" hidden="1" customHeight="1" x14ac:dyDescent="0.25">
      <c r="B143" s="12" t="s">
        <v>90</v>
      </c>
      <c r="C143" s="385">
        <v>9.41</v>
      </c>
      <c r="D143" s="200"/>
      <c r="E143" s="39">
        <f>SnapshotTable[[#This Row],[Last Price]]*(1 -CrashDiscount)</f>
        <v>7.9984999999999999</v>
      </c>
      <c r="F143" s="26" t="s">
        <v>89</v>
      </c>
      <c r="G143" s="26" t="s">
        <v>7</v>
      </c>
      <c r="H143" s="147"/>
      <c r="I143" s="186">
        <v>44797.677083333336</v>
      </c>
      <c r="J143" s="187">
        <v>44797.677083333336</v>
      </c>
      <c r="K143" s="188"/>
      <c r="L143" s="297"/>
      <c r="M143" s="138"/>
      <c r="N143" s="138"/>
      <c r="O143" s="138"/>
      <c r="P143" s="22"/>
      <c r="Q143" s="25"/>
      <c r="R143" s="4" t="str">
        <f>IF(SnapshotTable[[#This Row],[Equity Basis Total]] &gt; 0, SnapshotTable[[#This Row],[Equity Basis Total]] / SnapshotTable[[#This Row],[Equity Shares]], "")</f>
        <v/>
      </c>
      <c r="S143" s="254">
        <f>SnapshotTable[[#This Row],[Last Price]] * SnapshotTable[[#This Row],[Equity Shares]]</f>
        <v>0</v>
      </c>
      <c r="T143" s="254">
        <f>SnapshotTable[[#This Row],[Equity Value]] - SnapshotTable[[#This Row],[Equity Basis Total]]</f>
        <v>0</v>
      </c>
      <c r="U143" s="255" t="str">
        <f>IF(SnapshotTable[[#This Row],[Equity Basis Total]] &gt; 0, SnapshotTable[[#This Row],[Equity G/L]] / SnapshotTable[[#This Row],[Equity Basis Total]], "")</f>
        <v/>
      </c>
      <c r="V143" s="253"/>
      <c r="W143" s="253"/>
      <c r="X143" s="4" t="str">
        <f>IF(AND(ISNUMBER(SnapshotTable[[#This Row],[Equity Basis Per Share]]),ISNUMBER(SnapshotTable[[#This Row],[Equity Target]])),SnapshotTable[[#This Row],[Equity Target]]-SnapshotTable[[#This Row],[Equity Basis Per Share]],"")</f>
        <v/>
      </c>
      <c r="Y143" s="4" t="str">
        <f>IF(AND(ISNUMBER(SnapshotTable[[#This Row],[Equity Basis Per Share]]),ISNUMBER(SnapshotTable[[#This Row],[Equity Stop Loss]])),SnapshotTable[[#This Row],[Equity Stop Loss]]-SnapshotTable[[#This Row],[Equity Basis Per Share]],"")</f>
        <v/>
      </c>
      <c r="Z143" s="260" t="str">
        <f>IFERROR( TEXT(SnapshotTable[[#This Row],[Equity Max Gain Per Share]] /ABS( SnapshotTable[[#This Row],[Equity Max Loss Per Share]]),"0.0 " ) &amp; " : 1", "")</f>
        <v/>
      </c>
      <c r="AA143" s="31" t="str">
        <f>IF(ISNUMBER(SnapshotTable[[#This Row],[Equity Max Gain Per Share]]),SnapshotTable[[#This Row],[Equity Max Gain Per Share]] * SnapshotTable[[#This Row],[Equity Shares]],"")</f>
        <v/>
      </c>
      <c r="AB143" s="31" t="str">
        <f>IF(ISNUMBER(SnapshotTable[[#This Row],[Equity Max Loss Per Share]]),SnapshotTable[[#This Row],[Equity Max Loss Per Share]] * SnapshotTable[[#This Row],[Equity Shares]],"")</f>
        <v/>
      </c>
      <c r="AC143" s="148">
        <v>0.72</v>
      </c>
      <c r="AD143" s="149">
        <v>43019</v>
      </c>
      <c r="AE143" s="31">
        <f>(SnapshotTable[[#This Row],[Annual Dividend Per Share]] / 4) * SnapshotTable[[#This Row],[Equity Shares]]</f>
        <v>0</v>
      </c>
      <c r="AF143" s="31">
        <f>SnapshotTable[[#This Row],[Quarterly Div $]] * 4</f>
        <v>0</v>
      </c>
      <c r="AG143" s="7">
        <f>IF(SnapshotTable[[#This Row],[Annual Dividend Per Share]]&gt;0, SnapshotTable[[#This Row],[Annual Dividend Per Share]]  / SnapshotTable[[#This Row],[Last Price]], 0)</f>
        <v>7.6514346439957484E-2</v>
      </c>
      <c r="AH143" s="149">
        <v>42986</v>
      </c>
      <c r="AI143" s="5">
        <v>100</v>
      </c>
      <c r="AJ143" s="136">
        <v>111.5</v>
      </c>
      <c r="AK143" s="150">
        <f>IF(ISNUMBER( SnapshotTable[[#This Row],[EBF Target]]),(SnapshotTable[[#This Row],[EBF Target]] - SnapshotTable[[#This Row],[Last Price]]) / SnapshotTable[[#This Row],[Last Price]], "")</f>
        <v>9.6269925611052081</v>
      </c>
      <c r="AL143" s="150" t="str">
        <f>IF(AND(SnapshotTable[[#This Row],[Equity Basis Total]] &gt; 0,ISNUMBER( SnapshotTable[[#This Row],[Long Term Target]])), SnapshotTable[[#This Row],[From Basis $]] / SnapshotTable[[#This Row],[Equity Basis Total]], "")</f>
        <v/>
      </c>
      <c r="AM143" s="9">
        <f>IF( AND(SnapshotTable[[#This Row],[Equity Shares]] &gt;0,ISNUMBER( SnapshotTable[[#This Row],[Long Term Target]])),(SnapshotTable[[#This Row],[Equity Shares]] * SnapshotTable[[#This Row],[Long Term Target]]) - SnapshotTable[[#This Row],[Equity Basis Total]],0)</f>
        <v>0</v>
      </c>
      <c r="AN143" s="9">
        <f>IF( AND(SnapshotTable[[#This Row],[Equity Shares]] &gt;0,ISNUMBER( SnapshotTable[[#This Row],[Long Term Target]])),(SnapshotTable[[#This Row],[Equity Shares]]*SnapshotTable[[#This Row],[Long Term Target]]) - SnapshotTable[[#This Row],[Equity Value]],0)</f>
        <v>0</v>
      </c>
      <c r="AO143" s="150">
        <f>IF(AND(ISNUMBER( SnapshotTable[[#This Row],[Long Term Target]]), ISNUMBER(SnapshotTable[[#This Row],[Last Price]])),(SnapshotTable[[#This Row],[Long Term Target]] - SnapshotTable[[#This Row],[Last Price]]) / SnapshotTable[[#This Row],[Last Price]], "")</f>
        <v>10.849096705632306</v>
      </c>
      <c r="AP143" s="5"/>
      <c r="AQ143" s="38"/>
      <c r="AR143" s="5"/>
      <c r="AS143" s="38"/>
      <c r="AT143" s="144"/>
      <c r="AU143" s="185" t="str">
        <f>IF(OR(SnapshotTable[[#This Row],[LP No Fill]]="Y",SnapshotTable[[#This Row],[SP Is Filled]],SnapshotTable[[#This Row],[LC Not Filled]]="Y",SnapshotTable[[#This Row],[SC Is Filled]]),"Y","")</f>
        <v/>
      </c>
      <c r="AV143" s="205"/>
      <c r="AW143" s="211"/>
      <c r="AX143" s="206"/>
      <c r="AY143" s="205" t="str">
        <f>IF(SnapshotTable[[#This Row],[Implied Move]]&gt;0, SnapshotTable[[#This Row],[Last Price]]-SnapshotTable[[#This Row],[Implied Move]],"")</f>
        <v/>
      </c>
      <c r="AZ143" s="205" t="str">
        <f>IF(SnapshotTable[[#This Row],[Implied Move]]&gt;0, SnapshotTable[[#This Row],[Last Price]] + SnapshotTable[[#This Row],[Implied Move]],"")</f>
        <v/>
      </c>
      <c r="BA143" s="302"/>
      <c r="BB143" s="318"/>
      <c r="BC1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3" s="321"/>
      <c r="BE143" s="5"/>
      <c r="BF143" s="14"/>
      <c r="BG143" s="13"/>
      <c r="BH143" s="13"/>
      <c r="BI143" s="5"/>
      <c r="BJ143" s="134">
        <f>IF(SnapshotTable[[#This Row],[LP Qty]] &gt; 0, SnapshotTable[[#This Row],[LP Qty]] * SnapshotTable[[#This Row],[LP Book Price]] * 100,0)</f>
        <v>0</v>
      </c>
      <c r="BK143" s="134">
        <f>IF(SnapshotTable[[#This Row],[LP Premium]] &gt; 0, SnapshotTable[[#This Row],[LP Qty]] * SnapshotTable[[#This Row],[LP Strike Price]] * 100,0)</f>
        <v>0</v>
      </c>
      <c r="BL143" s="152"/>
      <c r="BM143" s="355" t="str">
        <f>IF(SnapshotTable[[#This Row],[LP Premium]] &gt; 0,SnapshotTable[[#This Row],[LP Exp Date]]-MAX(SnapshotTable[[#This Row],[LP Book Date]], SnapshotTable[[#This Row],[LP Fill Date]]),"")</f>
        <v/>
      </c>
      <c r="BN143" s="355" t="str">
        <f>IF(ISNUMBER( SnapshotTable[[#This Row],[LP Term]]), SnapshotTable[[#This Row],[LP Exp Date]] - MockToday,"")</f>
        <v/>
      </c>
      <c r="BO143" s="161" t="str">
        <f>IF(AND(SnapshotTable[[#This Row],[LP Exp Date]]&gt;0, SnapshotTable[[#This Row],[LP Strike Price]]&gt;0,SnapshotTable[[#This Row],[LP Qty]]&gt;0,SnapshotTable[[#This Row],[LP Book Date]]&gt;0,SnapshotTable[[#This Row],[LP Book Price]]&gt;0,SnapshotTable[[#This Row],[LP Fill Date]]=0),"Y","")</f>
        <v/>
      </c>
      <c r="BP143" s="31" t="str">
        <f>IF(AND(SnapshotTable[[#This Row],[LP No Fill]]&lt;&gt;"Y",SnapshotTable[[#This Row],[LP Contract Value]]&gt;0, SnapshotTable[[#This Row],[LP Qty]]&gt;0), SnapshotTable[[#This Row],[LP Contract Value]]*SnapshotTable[[#This Row],[LP Qty]]*100,"")</f>
        <v/>
      </c>
      <c r="BQ143" s="13"/>
      <c r="BR143" s="5"/>
      <c r="BS143" s="36"/>
      <c r="BT143" s="145"/>
      <c r="BU143" s="13"/>
      <c r="BV143" s="5"/>
      <c r="BW143" s="382" t="b">
        <f>AND(ISNUMBER(SnapshotTable[[#This Row],[SP Exp Date]]), ISNUMBER(SnapshotTable[[#This Row],[SP Strike Price]]), ISNUMBER(SnapshotTable[[#This Row],[SP Qty]]), ISNUMBER(SnapshotTable[[#This Row],[SP Book Date]]), ISNUMBER(SnapshotTable[[#This Row],[SP Book Price]]))</f>
        <v>0</v>
      </c>
      <c r="BX143" s="382" t="b">
        <f>AND(SnapshotTable[[#This Row],[SP Is Booked]], NOT(ISBLANK(SnapshotTable[[#This Row],[SP Fill Date]])))</f>
        <v>0</v>
      </c>
      <c r="BY143" s="33">
        <f>IF(SnapshotTable[[#This Row],[SP Is Booked]], SnapshotTable[[#This Row],[SP Qty]] * SnapshotTable[[#This Row],[SP Book Price]] * 100, 0)</f>
        <v>0</v>
      </c>
      <c r="BZ143" s="339"/>
      <c r="CA143" s="338">
        <f>SnapshotTable[[#This Row],[LP Qty]]</f>
        <v>0</v>
      </c>
      <c r="CB143" s="4" t="str">
        <f>IF(SnapshotTable[[#This Row],[SP Is Booked]], SnapshotTable[[#This Row],[SP Strike Price]] - SnapshotTable[[#This Row],[SP Book Price]], "")</f>
        <v/>
      </c>
      <c r="CC143" s="19" t="str">
        <f>IF(SnapshotTable[[#This Row],[SP Is Booked]],SnapshotTable[[#This Row],[SP Exp Date]]-MAX(SnapshotTable[[#This Row],[SP Book Date]], SnapshotTable[[#This Row],[SP Fill Date]]),"")</f>
        <v/>
      </c>
      <c r="CD143" s="7" t="str">
        <f>IF(SnapshotTable[[#This Row],[SP Is Booked]], SnapshotTable[[#This Row],[SP Book Price]]/SnapshotTable[[#This Row],[SP Strike Price]], "")</f>
        <v/>
      </c>
      <c r="CE143" s="7" t="str">
        <f>IF(ISNUMBER(SnapshotTable[[#This Row],[SP ROO Term]]),SnapshotTable[[#This Row],[SP ROO Term]]*(365/SnapshotTable[[#This Row],[SP Term]]),"")</f>
        <v/>
      </c>
      <c r="CF143" s="221">
        <f>SnapshotTable[[#This Row],[LP Strike Price]] * SnapshotTable[[#This Row],[LP Qty]] * 100</f>
        <v>0</v>
      </c>
      <c r="CG143" s="31">
        <f>IF(ISNUMBER(SnapshotTable[[#This Row],[SP Premium]]), (SnapshotTable[[#This Row],[SP Qty]] * SnapshotTable[[#This Row],[SP Strike Price]]* 100) - SnapshotTable[[#This Row],[LP Protection]], 0)</f>
        <v>0</v>
      </c>
      <c r="CH143" s="7" t="str">
        <f>IF(ISNUMBER(SnapshotTable[[#This Row],[SP Break Even]]),-1 * (SnapshotTable[[#This Row],[SP Break Even]] - SnapshotTable[[#This Row],[Last Price]]) / SnapshotTable[[#This Row],[Last Price]], "")</f>
        <v/>
      </c>
      <c r="CI143" s="31">
        <f>IF(AND(ISNUMBER((SnapshotTable[[#This Row],[SP Potential Spend]])), SnapshotTable[[#This Row],[SP Strike Price]] &gt; SnapshotTable[[#This Row],[Last Price]], SnapshotTable[[#This Row],[SP Is Filled]]), SnapshotTable[[#This Row],[SP Potential Spend]] -  SnapshotTable[[#This Row],[LP Max Value]], 0)</f>
        <v>0</v>
      </c>
      <c r="CJ143" s="229"/>
      <c r="CK143" s="31">
        <f>IF(ISNUMBER(SnapshotTable[[#This Row],[SP Potential Spend]]),IF(ISNUMBER(SnapshotTable[[#This Row],[SP POW]]), SnapshotTable[[#This Row],[SP POW]] * SnapshotTable[[#This Row],[SP Potential Spend]], SnapshotTable[[#This Row],[SP Potential Spend]]), "")</f>
        <v>0</v>
      </c>
      <c r="CL143" s="162">
        <f>IF(NOT(SnapshotTable[[#This Row],[SP Is Filled]]),(SnapshotTable[[#This Row],[SP Qty]] * SnapshotTable[[#This Row],[SP Strike Price]] * 100) - SnapshotTable[[#This Row],[LP Max Value]],"")</f>
        <v>0</v>
      </c>
      <c r="CM143" s="31" t="str">
        <f>IF(SnapshotTable[[#This Row],[SP Actual Spend]]&lt;&gt;0, ((SnapshotTable[[#This Row],[SP Strike Price]]-SnapshotTable[[#This Row],[Last Price]]) *(SnapshotTable[[#This Row],[SP Qty]]*100) - SnapshotTable[[#This Row],[SP Premium]]) * - 1, "")</f>
        <v/>
      </c>
      <c r="CN143" s="76"/>
      <c r="CO143" s="339"/>
      <c r="CP143" s="4" t="str">
        <f>IF(SnapshotTable[[#This Row],[SP Is Filled]], btc_max_buyback_amount(SnapshotTable[[#This Row],[SP Fill Date]],SnapshotTable[[#This Row],[SP Exp Date]], SnapshotTable[[#This Row],[SP Book Price]]),"")</f>
        <v/>
      </c>
      <c r="CQ143" s="76"/>
      <c r="CR1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3" s="153" t="str">
        <f>IF(SnapshotTable[[#This Row],[SP Is Filled]], btc_next_cutoff_date(SnapshotTable[[#This Row],[SP Fill Date]],SnapshotTable[[#This Row],[SP Exp Date]]),"")</f>
        <v/>
      </c>
      <c r="CT143" s="220" t="str" cm="1">
        <f t="array" ref="CT143">IF(SnapshotTable[[#This Row],[SP Is Filled]], btc_should_buy_back(SnapshotTable[[#This Row],[SP Fill Date]], SnapshotTable[[#This Row],[SP Exp Date]], SnapshotTable[[#This Row],[SP Book Price]], SnapshotTable[[#This Row],[SP Current Ask]], MockToday, SnapshotTable[[#This Row],[SP Buyback Override]]),"")</f>
        <v/>
      </c>
      <c r="CU143" s="141"/>
      <c r="CV143" s="220"/>
      <c r="CW143" s="348" t="str">
        <f>IF(ISNUMBER( SnapshotTable[[#This Row],[SP Term]]), SnapshotTable[[#This Row],[SP Exp Date]] - MockToday,"")</f>
        <v/>
      </c>
      <c r="CX143" s="31" t="str">
        <f>IF(SnapshotTable[[#This Row],[SP Is Filled]],SnapshotTable[[#This Row],[SP Buyback Price to Use]] * 100 * SnapshotTable[[#This Row],[SP Qty]], "")</f>
        <v/>
      </c>
      <c r="CY143" s="4" t="str">
        <f>IF(ISNUMBER(SnapshotTable[[#This Row],[SP Strike Price]]), SnapshotTable[[#This Row],[SP Strike Price]] * (1 - SP_MaxLoss_StrikePct), "")</f>
        <v/>
      </c>
      <c r="CZ143" s="31" t="str">
        <f>IF(ISNUMBER(SnapshotTable[[#This Row],[SP Strike  Stop Per Share]]),SnapshotTable[[#This Row],[SP Premium]] - ((SnapshotTable[[#This Row],[SP Strike Price]]-SnapshotTable[[#This Row],[SP Strike  Stop Per Share]]) *(SnapshotTable[[#This Row],[SP Qty]] * 100)),"")</f>
        <v/>
      </c>
      <c r="DA143" s="4" t="str">
        <f>IF(AND(ISNUMBER(SnapshotTable[[#This Row],[SP Premium]]),SnapshotTable[[#This Row],[SP Premium]]&gt;0), SnapshotTable[[#This Row],[SP Book Price]] * (1 + SP_MaxLoss_OptionPct), "")</f>
        <v/>
      </c>
      <c r="DB143" s="31" t="str">
        <f>IF(ISNUMBER(SnapshotTable[[#This Row],[SP Option  Stop Contract]]),(SnapshotTable[[#This Row],[SP Option  Stop Contract]] *(SnapshotTable[[#This Row],[SP Qty]] * 100) - SnapshotTable[[#This Row],[SP Premium]]),"")</f>
        <v/>
      </c>
      <c r="DC143" s="4"/>
      <c r="DD143" s="4"/>
      <c r="DE143" s="4" t="str">
        <f>IF(AND(SnapshotTable[[#This Row],[SP Qty]]&gt;0, SnapshotTable[[#This Row],[SP Stop To Use]]&gt;0),SnapshotTable[[#This Row],[SP Premium]] - ( SnapshotTable[[#This Row],[SP Qty]] * SnapshotTable[[#This Row],[SP Stop To Use]] * 100), "")</f>
        <v/>
      </c>
      <c r="DF143" s="31" t="str">
        <f>IF(AND(SnapshotTable[[#This Row],[SP Qty]]&gt;0,SnapshotTable[[#This Row],[SP Current Ask]]&gt;0), SnapshotTable[[#This Row],[SP Qty]] * SnapshotTable[[#This Row],[SP Current Ask]] * -100, "")</f>
        <v/>
      </c>
      <c r="DG143" s="31" t="str">
        <f>IF(ISNUMBER((SnapshotTable[[#This Row],[SP Total Value]])), SnapshotTable[[#This Row],[SP Premium]] + SnapshotTable[[#This Row],[SP Total Value]], "")</f>
        <v/>
      </c>
      <c r="DH143" s="272" t="str">
        <f>IF(ISNUMBER((SnapshotTable[[#This Row],[SP Total Value]])), SnapshotTable[[#This Row],[SP Gain Loss]] / SnapshotTable[[#This Row],[SP Premium]], "")</f>
        <v/>
      </c>
      <c r="DI143" s="369"/>
      <c r="DJ143" s="136"/>
      <c r="DK143" s="146"/>
      <c r="DL143" s="13"/>
      <c r="DM143" s="13"/>
      <c r="DO143" s="31">
        <f>IF(SnapshotTable[[#This Row],[LC Symbol Count]]=1, SnapshotTable[[#This Row],[LC Qty]] * SnapshotTable[[#This Row],[LC Book Price]] * 100, 0)</f>
        <v>0</v>
      </c>
      <c r="DP143" s="161" t="str">
        <f>IF(AND(SnapshotTable[[#This Row],[LC Exp Date]]&gt;0, SnapshotTable[[#This Row],[LC Strike Price]]&gt;0,SnapshotTable[[#This Row],[LC Qty]]&gt;0,SnapshotTable[[#This Row],[LC Book Date]]&gt;0,SnapshotTable[[#This Row],[LC Book Price]]&gt;0,SnapshotTable[[#This Row],[LC Fill Date]]=0),"Y","")</f>
        <v/>
      </c>
      <c r="DQ143" s="356" t="str">
        <f>IF(SnapshotTable[[#This Row],[LC Premium]] &gt; 0,SnapshotTable[[#This Row],[LC Exp Date]]-MAX(SnapshotTable[[#This Row],[LC Book Date]], SnapshotTable[[#This Row],[LC Fill Date]]),"")</f>
        <v/>
      </c>
      <c r="DR143" s="356" t="str">
        <f>IF(ISNUMBER(SnapshotTable[[#This Row],[LC Term]]), SnapshotTable[[#This Row],[LC Exp Date]] - MockToday, "")</f>
        <v/>
      </c>
      <c r="DS143" s="219" t="str">
        <f>IF(SnapshotTable[[#This Row],[LC Premium]]&gt;0,SnapshotTable[[#This Row],[LC Strike Price]] + SnapshotTable[[#This Row],[LC Book Price]],"")</f>
        <v/>
      </c>
      <c r="DU143" s="9" t="str">
        <f>IF(AND(SnapshotTable[[#This Row],[LC Symbol Count]]&gt;0, SnapshotTable[[#This Row],[LC Contract Value]]&gt;0), SnapshotTable[[#This Row],[LC Contract Value]] * SnapshotTable[[#This Row],[LC Qty]] * 100, "")</f>
        <v/>
      </c>
      <c r="DV143" s="9" t="str">
        <f>IF(AND(ISNUMBER(SnapshotTable[[#This Row],[LC Total Value]]), SnapshotTable[[#This Row],[LC Not Filled]]&lt;&gt;"Y"), SnapshotTable[[#This Row],[LC Total Value]]-SnapshotTable[[#This Row],[LC Premium]],"")</f>
        <v/>
      </c>
      <c r="DW143" s="225" t="str">
        <f>IF(ISNUMBER(SnapshotTable[[#This Row],[LC Actual Gain Loss]]), SnapshotTable[[#This Row],[LC Actual Gain Loss]] / SnapshotTable[[#This Row],[LC Premium]],"")</f>
        <v/>
      </c>
      <c r="DX143" s="269" t="str">
        <f>IF(ISNUMBER(SnapshotTable[[#This Row],[LC Book Price]]),SnapshotTable[[#This Row],[LC Book Price]] * 1.5,"")</f>
        <v/>
      </c>
      <c r="DY143" s="250" t="str">
        <f>IF(SnapshotTable[[#This Row],[LC Premium]]&gt;0, SnapshotTable[[#This Row],[LC Next Target]] * SnapshotTable[[#This Row],[LC Qty]] * 100,"")</f>
        <v/>
      </c>
      <c r="DZ143" s="250" t="str">
        <f>IF(ISNUMBER(SnapshotTable[[#This Row],[LC Target Gross]]), SnapshotTable[[#This Row],[LC Target Gross]] - SnapshotTable[[#This Row],[LC Premium]], "")</f>
        <v/>
      </c>
      <c r="EA143" s="283" t="str">
        <f>IF(ISNUMBER(SnapshotTable[[#This Row],[LC Target Gain Loss]]), SnapshotTable[[#This Row],[LC Target Gain Loss]]/SnapshotTable[[#This Row],[LC Premium]], "")</f>
        <v/>
      </c>
      <c r="EB143" s="247"/>
      <c r="EC143" s="268" t="str">
        <f>IF(SnapshotTable[[#This Row],[LC Premium]]&gt;0, SnapshotTable[[#This Row],[LC Book Price]] * (1 - LC_StopLoss_Pct),"")</f>
        <v/>
      </c>
      <c r="ED143" s="269"/>
      <c r="EE143" s="268" t="str">
        <f>IF(ISNUMBER(SnapshotTable[[#This Row],[LC Contract Value]]),IF(ISNUMBER(SnapshotTable[[#This Row],[LC Stop Loss Override]]), SnapshotTable[[#This Row],[LC Stop Loss Override]],SnapshotTable[[#This Row],[LC Stop Loss Calc Target]]),"")</f>
        <v/>
      </c>
      <c r="EF143" s="31" t="str">
        <f>IF(ISNUMBER(SnapshotTable[[#This Row],[LC Stop  To Use]]), (SnapshotTable[[#This Row],[LC Stop  To Use]] * SnapshotTable[[#This Row],[LC Qty]] * 100),"")</f>
        <v/>
      </c>
      <c r="EG143" s="9" t="str">
        <f>IF(ISNUMBER(SnapshotTable[[#This Row],[LC Total Value]]),SnapshotTable[[#This Row],[LC Stop Loss Amount]] - SnapshotTable[[#This Row],[LC Premium]],"")</f>
        <v/>
      </c>
      <c r="EH143" s="9">
        <f>IF(ISNUMBER(SnapshotTable[[#This Row],[LC Premium]]), SnapshotTable[[#This Row],[LC Qty]] * 100 * SnapshotTable[[#This Row],[LC Strike Price]], "")</f>
        <v>0</v>
      </c>
      <c r="EI143" s="225" t="str">
        <f>IF(AND(ISNUMBER(SnapshotTable[[#This Row],[LC Total Value]]),SnapshotTable[[#This Row],[LC Total Value]]&gt;0),SnapshotTable[[#This Row],[LC Stop Gain Loss]]  / SnapshotTable[[#This Row],[LC Premium]],"")</f>
        <v/>
      </c>
      <c r="EJ143" s="35">
        <f>IF(ISNUMBER(SnapshotTable[[#This Row],[Equity Shares]]),TRUNC(SnapshotTable[[#This Row],[Equity Shares]] / 100),0) + SnapshotTable[[#This Row],[LC Qty]]</f>
        <v>0</v>
      </c>
      <c r="EK143" s="145"/>
      <c r="EL143" s="136"/>
      <c r="EM143" s="146"/>
      <c r="EN143" s="145"/>
      <c r="EO143" s="145"/>
      <c r="EP143" s="136"/>
      <c r="EQ143" s="382" t="b">
        <f>AND(ISNUMBER(SnapshotTable[[#This Row],[SC Exp Date]]), ISNUMBER(SnapshotTable[[#This Row],[SC Strike Price]]), ISNUMBER(SnapshotTable[[#This Row],[SC Qty]]), ISNUMBER(SnapshotTable[[#This Row],[SC Book Date]]), ISNUMBER(SnapshotTable[[#This Row],[SC Book Price]]))</f>
        <v>0</v>
      </c>
      <c r="ER143" s="382" t="b">
        <f>AND(SnapshotTable[[#This Row],[SC Is Booked]], NOT(ISBLANK(SnapshotTable[[#This Row],[SC Fill Date]])))</f>
        <v>0</v>
      </c>
      <c r="ES143" s="340"/>
      <c r="ET143" s="34" t="str">
        <f>IF(AND(ISNUMBER(SnapshotTable[[#This Row],[SC Exp Date]]), ISNUMBER(SnapshotTable[[#This Row],[SC Book Date]])), SnapshotTable[[#This Row],[SC Exp Date]] - MAX(SnapshotTable[[#This Row],[SC Book Date]], SnapshotTable[[#This Row],[SC Fill Date]]) + 1, "")</f>
        <v/>
      </c>
      <c r="EU143" s="34" t="str">
        <f>IF(ISNUMBER(SnapshotTable[[#This Row],[SC Term]]), SnapshotTable[[#This Row],[SC Exp Date]]- MockToday, "")</f>
        <v/>
      </c>
      <c r="EV143" s="31">
        <f>IF(SnapshotTable[[#This Row],[SC Is Booked]], SnapshotTable[[#This Row],[SC Qty]] * SnapshotTable[[#This Row],[SC Book Price]] * 100, 0)</f>
        <v>0</v>
      </c>
      <c r="EW143" s="4" t="str">
        <f>IF(AND(ISNUMBER(SnapshotTable[[#This Row],[Last Price]]), ISNUMBER( SnapshotTable[[#This Row],[SC Book Price]])), SnapshotTable[[#This Row],[Last Price]] - SnapshotTable[[#This Row],[SC Book Price]],"")</f>
        <v/>
      </c>
      <c r="EX143" s="219" t="str">
        <f>IF(SnapshotTable[[#This Row],[SC Is Booked]],IF(SnapshotTable[[#This Row],[SC Intrinsic Value]] &gt; 0, SnapshotTable[[#This Row],[SC Strike Price]], SnapshotTable[[#This Row],[Last Price]]), "")</f>
        <v/>
      </c>
      <c r="EY143" s="4">
        <f>IF(SnapshotTable[[#This Row],[SC Is Booked]], (MinimumPremiumRequired * SnapshotTable[[#This Row],[SC Basis]] * SnapshotTable[[#This Row],[SC Term]]), 0)</f>
        <v>0</v>
      </c>
      <c r="EZ143" s="268"/>
      <c r="FA143" s="204"/>
      <c r="FB143" s="340"/>
      <c r="FC143" s="4">
        <f>IF(SnapshotTable[[#This Row],[SC Is Filled]], btc_max_buyback_amount(SnapshotTable[[#This Row],[SC Fill Date]],SnapshotTable[[#This Row],[SC Exp Date]], SnapshotTable[[#This Row],[SC Book Price]]),0)</f>
        <v>0</v>
      </c>
      <c r="FD143" s="5"/>
      <c r="FE143" s="142" t="str">
        <f>IF(SnapshotTable[[#This Row],[SC Is Filled]], btc_next_cutoff_date(SnapshotTable[[#This Row],[SC Fill Date]],SnapshotTable[[#This Row],[SC Exp Date]]),"")</f>
        <v/>
      </c>
      <c r="FF143" s="4" t="str" cm="1">
        <f t="array" ref="FF143">IF(SnapshotTable[[#This Row],[SC Is Filled]], btc_should_buy_back(SnapshotTable[[#This Row],[SC Fill Date]], SnapshotTable[[#This Row],[SC Exp Date]], SnapshotTable[[#This Row],[SC Book Price]], SnapshotTable[[#This Row],[SC Current Ask]], MockToday, SnapshotTable[[#This Row],[SC Buyback Override]]),"")</f>
        <v/>
      </c>
      <c r="FG143" s="4">
        <f>IF(SnapshotTable[[#This Row],[SC Is Filled]], MAX(0,SnapshotTable[[#This Row],[Last Price]]  - SnapshotTable[[#This Row],[SC Strike Price]]), 0)</f>
        <v>0</v>
      </c>
      <c r="FH143" s="352">
        <f>IF(SnapshotTable[[#This Row],[SC Is Filled]], IF(ISNUMBER(SnapshotTable[[#This Row],[SC Current Ask]]), SnapshotTable[[#This Row],[SC Current Ask]], SnapshotTable[[#This Row],[SC Book Price]]) - SnapshotTable[[#This Row],[SC Intrinsic Value]], 0)</f>
        <v>0</v>
      </c>
      <c r="FI143" s="141"/>
      <c r="FJ143" s="32" t="str">
        <f>IF(SnapshotTable[[#This Row],[SC Is Filled]],100 * SnapshotTable[[#This Row],[SC Qty]] * IF(ISNUMBER(SnapshotTable[[#This Row],[SC Buyback Override]]), SnapshotTable[[#This Row],[SC Buyback Override]], SnapshotTable[[#This Row],[SC Current Ask]]), "")</f>
        <v/>
      </c>
      <c r="FK143" s="235" t="str">
        <f>IF(SnapshotTable[[#This Row],[SC Time Val]]&gt;0, SnapshotTable[[#This Row],[SC Time Val]] / SnapshotTable[[#This Row],[Last Price]],"")</f>
        <v/>
      </c>
      <c r="FL143" s="280" t="str">
        <f>IF(SnapshotTable[[#This Row],[SC Is Booked]], ((SnapshotTable[[#This Row],[Last Price]] -SnapshotTable[[#This Row],[SC Strike Price]]) / SnapshotTable[[#This Row],[Last Price]]) * -1, "")</f>
        <v/>
      </c>
      <c r="FM143" s="155" t="str">
        <f>IF(SnapshotTable[[#This Row],[SC Is Booked]],  (SnapshotTable[[#This Row],[SC Qty]] * 100 * SnapshotTable[[#This Row],[SC Strike Price]]) - SnapshotTable[[#This Row],[SC Current Ask]], "")</f>
        <v/>
      </c>
      <c r="FN1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3" s="31" t="str">
        <f>IF(AND(ISNUMBER(SnapshotTable[[#This Row],[SC Exercise Gross]]), ISNUMBER(SnapshotTable[[#This Row],[Equity Basis Per Share]] )), SnapshotTable[[#This Row],[SC Exercise Gross]] - SnapshotTable[[#This Row],[Equity Basis Total]] +  SnapshotTable[[#This Row],[SC Premium]], "")</f>
        <v/>
      </c>
      <c r="FP143" s="5" t="str">
        <f>IF(ISNUMBER(SnapshotTable[[#This Row],[SC Exercise Gross]]), (SnapshotTable[[#This Row],[SC Exercise Gross]]) / (SnapshotTable[[#This Row],[SC Qty]] * 100), "")</f>
        <v/>
      </c>
      <c r="FQ143" s="27" t="str">
        <f>IF(SnapshotTable[[#This Row],[SC Is Booked]],SnapshotTable[[#This Row],[SC Time Val]] /SnapshotTable[[#This Row],[SC Basis]], "")</f>
        <v/>
      </c>
      <c r="FR143" s="27" t="str" cm="1">
        <f t="array" ref="FR143">IF(AND(ISNUMBER(SnapshotTable[[#This Row],[SC Term]]),ISNUMBER(SnapshotTable[[#This Row],[SC Simple ROO]])), EllmanAnnualize(SnapshotTable[[#This Row],[SC DTE]], SnapshotTable[[#This Row],[SC Simple ROO]] ),"")</f>
        <v/>
      </c>
      <c r="FS143" s="4">
        <f>IF(SnapshotTable[[#This Row],[SC Strike Price]] &gt; SnapshotTable[[#This Row],[Last Price]], SnapshotTable[[#This Row],[SC Strike Price]] - SnapshotTable[[#This Row],[Last Price]],0)</f>
        <v>0</v>
      </c>
      <c r="FT143" s="27" t="str">
        <f>IF(AND(ISNUMBER(SnapshotTable[[#This Row],[SC Upside Potential]]), SnapshotTable[[#This Row],[SC Upside Potential]] &gt; 0),(SnapshotTable[[#This Row],[SC Upside Potential]]/ SnapshotTable[[#This Row],[ACB]]),"")</f>
        <v/>
      </c>
      <c r="FU143" s="304" t="str">
        <f>IF(SnapshotTable[[#This Row],[SC Intrinsic Value]] &gt; 0,SnapshotTable[[#This Row],[SC Intrinsic Value]],"")</f>
        <v/>
      </c>
      <c r="FV143" s="27" t="str">
        <f>IF(AND( ISNUMBER( SnapshotTable[[#This Row],[ACB]]),ISNUMBER(SnapshotTable[[#This Row],[SC Downside Protect]])),SnapshotTable[[#This Row],[SC Downside Protect]] / SnapshotTable[[#This Row],[ACB]],"")</f>
        <v/>
      </c>
      <c r="FW143" s="221" t="str">
        <f>IF(AND(ISNUMBER(SnapshotTable[[#This Row],[SC Simple ROO]]),SnapshotTable[[#This Row],[SC Simple ROO]] &gt; 0), SnapshotTable[[#This Row],[SC Premium]] + (SnapshotTable[[#This Row],[SC Qty]] * SnapshotTable[[#This Row],[SC Upside Potential]]), "")</f>
        <v/>
      </c>
      <c r="FX143" s="280" t="str" cm="1">
        <f t="array" ref="FX143">IF(ISNUMBER(SnapshotTable[[#This Row],[SC Max Dollars]]), annualize(SnapshotTable[[#This Row],[SC Term]],(SnapshotTable[[#This Row],[SC Max Dollars]]/SnapshotTable[[#This Row],[SC Basis]])),"")</f>
        <v/>
      </c>
      <c r="FY143" s="221" t="str">
        <f>IF(AND(SnapshotTable[[#This Row],[SC Qty]]&gt;0,SnapshotTable[[#This Row],[SC Current Ask]]&gt;0), SnapshotTable[[#This Row],[SC Qty]] * SnapshotTable[[#This Row],[SC Current Ask]] * -100, "")</f>
        <v/>
      </c>
      <c r="FZ143" s="31" t="str">
        <f>IF(ISNUMBER((SnapshotTable[[#This Row],[SC Current Value]])), SnapshotTable[[#This Row],[SC Premium]] + SnapshotTable[[#This Row],[SC Current Value]], "")</f>
        <v/>
      </c>
      <c r="GA143" s="272" t="str">
        <f>IFERROR( IF(ISNUMBER((SnapshotTable[[#This Row],[SC Current Value]])), SnapshotTable[[#This Row],[SC Gain Loss]] / SnapshotTable[[#This Row],[SC Premium]], ""), "")</f>
        <v/>
      </c>
      <c r="GB143" s="42">
        <f>SnapshotTable[[#This Row],[Equity Shares]] * SaleSharesToConsiderPercentage</f>
        <v>0</v>
      </c>
      <c r="GC143" s="40">
        <f>SnapshotTable[[#This Row],[Long Term Target]] * SellingPriceToConsiderBasedOnTargetPercentage</f>
        <v>105.925</v>
      </c>
      <c r="GD143" s="40">
        <f>SnapshotTable[[#This Row],[Last Price]] * (1+ SellingPriceToConsiderBasedOnTargetPercentage)</f>
        <v>18.349499999999999</v>
      </c>
      <c r="GE143" s="41"/>
      <c r="GF143" s="40"/>
      <c r="GG143" s="31">
        <f>SnapshotTable[[#This Row],[Booked Sale Shares]] * SnapshotTable[[#This Row],[Booked Sale Price]]</f>
        <v>0</v>
      </c>
      <c r="GH143" s="31" t="str">
        <f>IF(SnapshotTable[[#This Row],[Equity Basis Total]] &gt; 0, SnapshotTable[[#This Row],[Equity Basis Per Share]] * SnapshotTable[[#This Row],[Booked Sale Shares]], "")</f>
        <v/>
      </c>
      <c r="GI143" s="31">
        <f>IF(SnapshotTable[[#This Row],[Sale Proceeds]]&gt;0, SnapshotTable[[#This Row],[Sale Proceeds]] - SnapshotTable[[#This Row],[Sale Basis]], 0)</f>
        <v>0</v>
      </c>
      <c r="GJ143" s="27" t="str">
        <f>IF(SnapshotTable[[#This Row],[Sale G/L]]&gt;0, SnapshotTable[[#This Row],[Sale G/L]] / SnapshotTable[[#This Row],[Sale Basis]], IF(ISNUMBER(SnapshotTable[[#This Row],[SC Exercise P&amp;L (TAX)]]), SnapshotTable[[#This Row],[SC Exercise P&amp;L (TAX)]] / SnapshotTable[[#This Row],[SC Basis]], ""))</f>
        <v/>
      </c>
      <c r="GK143" s="27" t="s">
        <v>570</v>
      </c>
      <c r="GL143" s="43" t="str">
        <f>IF(AND(SnapshotTable[[#This Row],[LP Exp Date]]&gt;0,SnapshotTable[[#This Row],[LP Strike Price]]&gt;0), [1]!ToOptionSymbol(SnapshotTable[[#This Row],[Symbol]], SnapshotTable[[#This Row],[LP Strike Price]],SnapshotTable[[#This Row],[LP Exp Date]],1), "")</f>
        <v/>
      </c>
      <c r="GM143" s="30" t="str">
        <f>IF(LEN(SnapshotTable[[#This Row],[LP Symbol]])&gt;0, 1, "")</f>
        <v/>
      </c>
      <c r="GN143" s="43" t="str">
        <f>IF(AND(SnapshotTable[[#This Row],[SP Exp Date]]&gt;0,SnapshotTable[[#This Row],[SP Strike Price]]&gt;0), [1]!ToOptionSymbol(SnapshotTable[[#This Row],[Symbol]], SnapshotTable[[#This Row],[SP Strike Price]],SnapshotTable[[#This Row],[SP Exp Date]],1), "")</f>
        <v/>
      </c>
      <c r="GO143" s="30" t="str">
        <f>IF(LEN(SnapshotTable[[#This Row],[SP Symbol]])&gt;0, 1, "")</f>
        <v/>
      </c>
      <c r="GP143" s="43" t="str">
        <f>IF(AND(SnapshotTable[[#This Row],[LC Exp Date]]&gt;0,SnapshotTable[[#This Row],[LC Strike Price]]&gt;0), [1]!ToOptionSymbol(SnapshotTable[[#This Row],[Symbol]], SnapshotTable[[#This Row],[LC Strike Price]],SnapshotTable[[#This Row],[LC Exp Date]],0), "")</f>
        <v/>
      </c>
      <c r="GQ143" s="30" t="str">
        <f>IF(LEN(SnapshotTable[[#This Row],[LC Symbol]])&gt;0, 1, "")</f>
        <v/>
      </c>
      <c r="GR143" s="43" t="str">
        <f>IF(AND(SnapshotTable[[#This Row],[SC Exp Date]]&gt;0,SnapshotTable[[#This Row],[SC Strike Price]]&gt;0), [1]!ToOptionSymbol(SnapshotTable[[#This Row],[Symbol]], SnapshotTable[[#This Row],[SC Strike Price]],SnapshotTable[[#This Row],[SC Exp Date]],0), "")</f>
        <v/>
      </c>
      <c r="GS143" s="30" t="str">
        <f>IF(LEN(SnapshotTable[[#This Row],[SC Symbol]])&gt;0, 1, "")</f>
        <v/>
      </c>
      <c r="GT143" s="29" t="str">
        <f>IF(COUNT(SnapshotTable[[#This Row],[LP Symbol Count]],SnapshotTable[[#This Row],[SP Symbol Count]],SnapshotTable[[#This Row],[LC Symbol Count]],SnapshotTable[[#This Row],[SC Symbol Count]])&gt;0, "Y", "")</f>
        <v/>
      </c>
      <c r="GU1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3" s="216">
        <f>MAX(SnapshotTable[[#This Row],[Equity Basis Total]],SnapshotTable[[#This Row],[Equity Value]]) + (SnapshotTable[[#This Row],[SP Potential Spend]]- SnapshotTable[[#This Row],[SP Premium]] + SnapshotTable[[#This Row],[LP Premium]])+ (SnapshotTable[[#This Row],[LC Premium]] - SnapshotTable[[#This Row],[SC Premium]])</f>
        <v>0</v>
      </c>
      <c r="GW143" s="137" t="str">
        <f>IF(AND(SnapshotTable[[#This Row],[Exposure]] &lt;&gt; 0),SnapshotTable[[#This Row],[Exposure]] / SnapshotTable[[#Totals],[Exposure]], "")</f>
        <v/>
      </c>
      <c r="HE143" s="253"/>
      <c r="HF143" s="253"/>
      <c r="HK143" s="1"/>
      <c r="HL143" s="1"/>
      <c r="HM143" s="1"/>
      <c r="HN143" s="1"/>
      <c r="HO143" s="1"/>
      <c r="HP143" s="1"/>
    </row>
    <row r="144" spans="2:224" ht="12.75" hidden="1" customHeight="1" x14ac:dyDescent="0.25">
      <c r="B144" s="12" t="s">
        <v>31</v>
      </c>
      <c r="C144" s="385">
        <v>110.95</v>
      </c>
      <c r="D144" s="200" t="s">
        <v>690</v>
      </c>
      <c r="E144" s="39">
        <f>SnapshotTable[[#This Row],[Last Price]]*(1 -CrashDiscount)</f>
        <v>94.307500000000005</v>
      </c>
      <c r="F144" s="26" t="s">
        <v>30</v>
      </c>
      <c r="G144" s="26" t="s">
        <v>10</v>
      </c>
      <c r="H144" s="147"/>
      <c r="I144" s="186">
        <v>44776.670138888891</v>
      </c>
      <c r="J144" s="187">
        <v>44776.670138888891</v>
      </c>
      <c r="K144" s="188"/>
      <c r="L144" s="297"/>
      <c r="M144" s="138"/>
      <c r="N144" s="138"/>
      <c r="O144" s="138"/>
      <c r="P144" s="22"/>
      <c r="Q144" s="25"/>
      <c r="R144" s="4" t="str">
        <f>IF(SnapshotTable[[#This Row],[Equity Basis Total]] &gt; 0, SnapshotTable[[#This Row],[Equity Basis Total]] / SnapshotTable[[#This Row],[Equity Shares]], "")</f>
        <v/>
      </c>
      <c r="S144" s="254">
        <f>SnapshotTable[[#This Row],[Last Price]] * SnapshotTable[[#This Row],[Equity Shares]]</f>
        <v>0</v>
      </c>
      <c r="T144" s="254">
        <f>SnapshotTable[[#This Row],[Equity Value]] - SnapshotTable[[#This Row],[Equity Basis Total]]</f>
        <v>0</v>
      </c>
      <c r="U144" s="255" t="str">
        <f>IF(SnapshotTable[[#This Row],[Equity Basis Total]] &gt; 0, SnapshotTable[[#This Row],[Equity G/L]] / SnapshotTable[[#This Row],[Equity Basis Total]], "")</f>
        <v/>
      </c>
      <c r="V144" s="253"/>
      <c r="W144" s="253"/>
      <c r="X144" s="4" t="str">
        <f>IF(AND(ISNUMBER(SnapshotTable[[#This Row],[Equity Basis Per Share]]),ISNUMBER(SnapshotTable[[#This Row],[Equity Target]])),SnapshotTable[[#This Row],[Equity Target]]-SnapshotTable[[#This Row],[Equity Basis Per Share]],"")</f>
        <v/>
      </c>
      <c r="Y144" s="4" t="str">
        <f>IF(AND(ISNUMBER(SnapshotTable[[#This Row],[Equity Basis Per Share]]),ISNUMBER(SnapshotTable[[#This Row],[Equity Stop Loss]])),SnapshotTable[[#This Row],[Equity Stop Loss]]-SnapshotTable[[#This Row],[Equity Basis Per Share]],"")</f>
        <v/>
      </c>
      <c r="Z144" s="260" t="str">
        <f>IFERROR( TEXT(SnapshotTable[[#This Row],[Equity Max Gain Per Share]] /ABS( SnapshotTable[[#This Row],[Equity Max Loss Per Share]]),"0.0 " ) &amp; " : 1", "")</f>
        <v/>
      </c>
      <c r="AA144" s="31" t="str">
        <f>IF(ISNUMBER(SnapshotTable[[#This Row],[Equity Max Gain Per Share]]),SnapshotTable[[#This Row],[Equity Max Gain Per Share]] * SnapshotTable[[#This Row],[Equity Shares]],"")</f>
        <v/>
      </c>
      <c r="AB144" s="31" t="str">
        <f>IF(ISNUMBER(SnapshotTable[[#This Row],[Equity Max Loss Per Share]]),SnapshotTable[[#This Row],[Equity Max Loss Per Share]] * SnapshotTable[[#This Row],[Equity Shares]],"")</f>
        <v/>
      </c>
      <c r="AC144" s="148"/>
      <c r="AD144" s="149" t="s">
        <v>2</v>
      </c>
      <c r="AE144" s="31">
        <f>(SnapshotTable[[#This Row],[Annual Dividend Per Share]] / 4) * SnapshotTable[[#This Row],[Equity Shares]]</f>
        <v>0</v>
      </c>
      <c r="AF144" s="31">
        <f>SnapshotTable[[#This Row],[Quarterly Div $]] * 4</f>
        <v>0</v>
      </c>
      <c r="AG144" s="7">
        <f>IF(SnapshotTable[[#This Row],[Annual Dividend Per Share]]&gt;0, SnapshotTable[[#This Row],[Annual Dividend Per Share]]  / SnapshotTable[[#This Row],[Last Price]], 0)</f>
        <v>0</v>
      </c>
      <c r="AH144" s="149"/>
      <c r="AI144" s="5"/>
      <c r="AJ144" s="136"/>
      <c r="AK144" s="150" t="str">
        <f>IF(ISNUMBER( SnapshotTable[[#This Row],[EBF Target]]),(SnapshotTable[[#This Row],[EBF Target]] - SnapshotTable[[#This Row],[Last Price]]) / SnapshotTable[[#This Row],[Last Price]], "")</f>
        <v/>
      </c>
      <c r="AL144" s="150" t="str">
        <f>IF(AND(SnapshotTable[[#This Row],[Equity Basis Total]] &gt; 0,ISNUMBER( SnapshotTable[[#This Row],[Long Term Target]])), SnapshotTable[[#This Row],[From Basis $]] / SnapshotTable[[#This Row],[Equity Basis Total]], "")</f>
        <v/>
      </c>
      <c r="AM144" s="9">
        <f>IF( AND(SnapshotTable[[#This Row],[Equity Shares]] &gt;0,ISNUMBER( SnapshotTable[[#This Row],[Long Term Target]])),(SnapshotTable[[#This Row],[Equity Shares]] * SnapshotTable[[#This Row],[Long Term Target]]) - SnapshotTable[[#This Row],[Equity Basis Total]],0)</f>
        <v>0</v>
      </c>
      <c r="AN144" s="9">
        <f>IF( AND(SnapshotTable[[#This Row],[Equity Shares]] &gt;0,ISNUMBER( SnapshotTable[[#This Row],[Long Term Target]])),(SnapshotTable[[#This Row],[Equity Shares]]*SnapshotTable[[#This Row],[Long Term Target]]) - SnapshotTable[[#This Row],[Equity Value]],0)</f>
        <v>0</v>
      </c>
      <c r="AO144" s="150" t="str">
        <f>IF(AND(ISNUMBER( SnapshotTable[[#This Row],[Long Term Target]]), ISNUMBER(SnapshotTable[[#This Row],[Last Price]])),(SnapshotTable[[#This Row],[Long Term Target]] - SnapshotTable[[#This Row],[Last Price]]) / SnapshotTable[[#This Row],[Last Price]], "")</f>
        <v/>
      </c>
      <c r="AP144" s="5">
        <v>34</v>
      </c>
      <c r="AQ144" s="38" t="s">
        <v>29</v>
      </c>
      <c r="AR144" s="5">
        <v>32</v>
      </c>
      <c r="AS144" s="38" t="s">
        <v>28</v>
      </c>
      <c r="AT144" s="144"/>
      <c r="AU144" s="185" t="str">
        <f>IF(OR(SnapshotTable[[#This Row],[LP No Fill]]="Y",SnapshotTable[[#This Row],[SP Is Filled]],SnapshotTable[[#This Row],[LC Not Filled]]="Y",SnapshotTable[[#This Row],[SC Is Filled]]),"Y","")</f>
        <v/>
      </c>
      <c r="AV144" s="205"/>
      <c r="AW144" s="211"/>
      <c r="AX144" s="206"/>
      <c r="AY144" s="205" t="str">
        <f>IF(SnapshotTable[[#This Row],[Implied Move]]&gt;0, SnapshotTable[[#This Row],[Last Price]]-SnapshotTable[[#This Row],[Implied Move]],"")</f>
        <v/>
      </c>
      <c r="AZ144" s="205" t="str">
        <f>IF(SnapshotTable[[#This Row],[Implied Move]]&gt;0, SnapshotTable[[#This Row],[Last Price]] + SnapshotTable[[#This Row],[Implied Move]],"")</f>
        <v/>
      </c>
      <c r="BA144" s="302"/>
      <c r="BB144" s="318"/>
      <c r="BC1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4" s="321"/>
      <c r="BE144" s="5"/>
      <c r="BF144" s="14"/>
      <c r="BG144" s="13"/>
      <c r="BH144" s="13"/>
      <c r="BI144" s="5"/>
      <c r="BJ144" s="134">
        <f>IF(SnapshotTable[[#This Row],[LP Qty]] &gt; 0, SnapshotTable[[#This Row],[LP Qty]] * SnapshotTable[[#This Row],[LP Book Price]] * 100,0)</f>
        <v>0</v>
      </c>
      <c r="BK144" s="134">
        <f>IF(SnapshotTable[[#This Row],[LP Premium]] &gt; 0, SnapshotTable[[#This Row],[LP Qty]] * SnapshotTable[[#This Row],[LP Strike Price]] * 100,0)</f>
        <v>0</v>
      </c>
      <c r="BL144" s="152"/>
      <c r="BM144" s="355" t="str">
        <f>IF(SnapshotTable[[#This Row],[LP Premium]] &gt; 0,SnapshotTable[[#This Row],[LP Exp Date]]-MAX(SnapshotTable[[#This Row],[LP Book Date]], SnapshotTable[[#This Row],[LP Fill Date]]),"")</f>
        <v/>
      </c>
      <c r="BN144" s="355" t="str">
        <f>IF(ISNUMBER( SnapshotTable[[#This Row],[LP Term]]), SnapshotTable[[#This Row],[LP Exp Date]] - MockToday,"")</f>
        <v/>
      </c>
      <c r="BO144" s="161" t="str">
        <f>IF(AND(SnapshotTable[[#This Row],[LP Exp Date]]&gt;0, SnapshotTable[[#This Row],[LP Strike Price]]&gt;0,SnapshotTable[[#This Row],[LP Qty]]&gt;0,SnapshotTable[[#This Row],[LP Book Date]]&gt;0,SnapshotTable[[#This Row],[LP Book Price]]&gt;0,SnapshotTable[[#This Row],[LP Fill Date]]=0),"Y","")</f>
        <v/>
      </c>
      <c r="BP144" s="31" t="str">
        <f>IF(AND(SnapshotTable[[#This Row],[LP No Fill]]&lt;&gt;"Y",SnapshotTable[[#This Row],[LP Contract Value]]&gt;0, SnapshotTable[[#This Row],[LP Qty]]&gt;0), SnapshotTable[[#This Row],[LP Contract Value]]*SnapshotTable[[#This Row],[LP Qty]]*100,"")</f>
        <v/>
      </c>
      <c r="BQ144" s="13"/>
      <c r="BR144" s="5"/>
      <c r="BS144" s="36"/>
      <c r="BT144" s="145"/>
      <c r="BU144" s="13"/>
      <c r="BV144" s="5"/>
      <c r="BW144" s="382" t="b">
        <f>AND(ISNUMBER(SnapshotTable[[#This Row],[SP Exp Date]]), ISNUMBER(SnapshotTable[[#This Row],[SP Strike Price]]), ISNUMBER(SnapshotTable[[#This Row],[SP Qty]]), ISNUMBER(SnapshotTable[[#This Row],[SP Book Date]]), ISNUMBER(SnapshotTable[[#This Row],[SP Book Price]]))</f>
        <v>0</v>
      </c>
      <c r="BX144" s="382" t="b">
        <f>AND(SnapshotTable[[#This Row],[SP Is Booked]], NOT(ISBLANK(SnapshotTable[[#This Row],[SP Fill Date]])))</f>
        <v>0</v>
      </c>
      <c r="BY144" s="33">
        <f>IF(SnapshotTable[[#This Row],[SP Is Booked]], SnapshotTable[[#This Row],[SP Qty]] * SnapshotTable[[#This Row],[SP Book Price]] * 100, 0)</f>
        <v>0</v>
      </c>
      <c r="BZ144" s="339"/>
      <c r="CA144" s="338">
        <f>SnapshotTable[[#This Row],[LP Qty]]</f>
        <v>0</v>
      </c>
      <c r="CB144" s="4" t="str">
        <f>IF(SnapshotTable[[#This Row],[SP Is Booked]], SnapshotTable[[#This Row],[SP Strike Price]] - SnapshotTable[[#This Row],[SP Book Price]], "")</f>
        <v/>
      </c>
      <c r="CC144" s="19" t="str">
        <f>IF(SnapshotTable[[#This Row],[SP Is Booked]],SnapshotTable[[#This Row],[SP Exp Date]]-MAX(SnapshotTable[[#This Row],[SP Book Date]], SnapshotTable[[#This Row],[SP Fill Date]]),"")</f>
        <v/>
      </c>
      <c r="CD144" s="7" t="str">
        <f>IF(SnapshotTable[[#This Row],[SP Is Booked]], SnapshotTable[[#This Row],[SP Book Price]]/SnapshotTable[[#This Row],[SP Strike Price]], "")</f>
        <v/>
      </c>
      <c r="CE144" s="7" t="str">
        <f>IF(ISNUMBER(SnapshotTable[[#This Row],[SP ROO Term]]),SnapshotTable[[#This Row],[SP ROO Term]]*(365/SnapshotTable[[#This Row],[SP Term]]),"")</f>
        <v/>
      </c>
      <c r="CF144" s="221">
        <f>SnapshotTable[[#This Row],[LP Strike Price]] * SnapshotTable[[#This Row],[LP Qty]] * 100</f>
        <v>0</v>
      </c>
      <c r="CG144" s="31">
        <f>IF(ISNUMBER(SnapshotTable[[#This Row],[SP Premium]]), (SnapshotTable[[#This Row],[SP Qty]] * SnapshotTable[[#This Row],[SP Strike Price]]* 100) - SnapshotTable[[#This Row],[LP Protection]], 0)</f>
        <v>0</v>
      </c>
      <c r="CH144" s="7" t="str">
        <f>IF(ISNUMBER(SnapshotTable[[#This Row],[SP Break Even]]),-1 * (SnapshotTable[[#This Row],[SP Break Even]] - SnapshotTable[[#This Row],[Last Price]]) / SnapshotTable[[#This Row],[Last Price]], "")</f>
        <v/>
      </c>
      <c r="CI144" s="31">
        <f>IF(AND(ISNUMBER((SnapshotTable[[#This Row],[SP Potential Spend]])), SnapshotTable[[#This Row],[SP Strike Price]] &gt; SnapshotTable[[#This Row],[Last Price]], SnapshotTable[[#This Row],[SP Is Filled]]), SnapshotTable[[#This Row],[SP Potential Spend]] -  SnapshotTable[[#This Row],[LP Max Value]], 0)</f>
        <v>0</v>
      </c>
      <c r="CJ144" s="229"/>
      <c r="CK144" s="31">
        <f>IF(ISNUMBER(SnapshotTable[[#This Row],[SP Potential Spend]]),IF(ISNUMBER(SnapshotTable[[#This Row],[SP POW]]), SnapshotTable[[#This Row],[SP POW]] * SnapshotTable[[#This Row],[SP Potential Spend]], SnapshotTable[[#This Row],[SP Potential Spend]]), "")</f>
        <v>0</v>
      </c>
      <c r="CL144" s="162">
        <f>IF(NOT(SnapshotTable[[#This Row],[SP Is Filled]]),(SnapshotTable[[#This Row],[SP Qty]] * SnapshotTable[[#This Row],[SP Strike Price]] * 100) - SnapshotTable[[#This Row],[LP Max Value]],"")</f>
        <v>0</v>
      </c>
      <c r="CM144" s="31" t="str">
        <f>IF(SnapshotTable[[#This Row],[SP Actual Spend]]&lt;&gt;0, ((SnapshotTable[[#This Row],[SP Strike Price]]-SnapshotTable[[#This Row],[Last Price]]) *(SnapshotTable[[#This Row],[SP Qty]]*100) - SnapshotTable[[#This Row],[SP Premium]]) * - 1, "")</f>
        <v/>
      </c>
      <c r="CN144" s="76"/>
      <c r="CO144" s="339"/>
      <c r="CP144" s="4" t="str">
        <f>IF(SnapshotTable[[#This Row],[SP Is Filled]], btc_max_buyback_amount(SnapshotTable[[#This Row],[SP Fill Date]],SnapshotTable[[#This Row],[SP Exp Date]], SnapshotTable[[#This Row],[SP Book Price]]),"")</f>
        <v/>
      </c>
      <c r="CQ144" s="76"/>
      <c r="CR1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4" s="153" t="str">
        <f>IF(SnapshotTable[[#This Row],[SP Is Filled]], btc_next_cutoff_date(SnapshotTable[[#This Row],[SP Fill Date]],SnapshotTable[[#This Row],[SP Exp Date]]),"")</f>
        <v/>
      </c>
      <c r="CT144" s="220" t="str" cm="1">
        <f t="array" ref="CT144">IF(SnapshotTable[[#This Row],[SP Is Filled]], btc_should_buy_back(SnapshotTable[[#This Row],[SP Fill Date]], SnapshotTable[[#This Row],[SP Exp Date]], SnapshotTable[[#This Row],[SP Book Price]], SnapshotTable[[#This Row],[SP Current Ask]], MockToday, SnapshotTable[[#This Row],[SP Buyback Override]]),"")</f>
        <v/>
      </c>
      <c r="CU144" s="141"/>
      <c r="CV144" s="220"/>
      <c r="CW144" s="348" t="str">
        <f>IF(ISNUMBER( SnapshotTable[[#This Row],[SP Term]]), SnapshotTable[[#This Row],[SP Exp Date]] - MockToday,"")</f>
        <v/>
      </c>
      <c r="CX144" s="31" t="str">
        <f>IF(SnapshotTable[[#This Row],[SP Is Filled]],SnapshotTable[[#This Row],[SP Buyback Price to Use]] * 100 * SnapshotTable[[#This Row],[SP Qty]], "")</f>
        <v/>
      </c>
      <c r="CY144" s="4" t="str">
        <f>IF(ISNUMBER(SnapshotTable[[#This Row],[SP Strike Price]]), SnapshotTable[[#This Row],[SP Strike Price]] * (1 - SP_MaxLoss_StrikePct), "")</f>
        <v/>
      </c>
      <c r="CZ144" s="31" t="str">
        <f>IF(ISNUMBER(SnapshotTable[[#This Row],[SP Strike  Stop Per Share]]),SnapshotTable[[#This Row],[SP Premium]] - ((SnapshotTable[[#This Row],[SP Strike Price]]-SnapshotTable[[#This Row],[SP Strike  Stop Per Share]]) *(SnapshotTable[[#This Row],[SP Qty]] * 100)),"")</f>
        <v/>
      </c>
      <c r="DA144" s="4" t="str">
        <f>IF(AND(ISNUMBER(SnapshotTable[[#This Row],[SP Premium]]),SnapshotTable[[#This Row],[SP Premium]]&gt;0), SnapshotTable[[#This Row],[SP Book Price]] * (1 + SP_MaxLoss_OptionPct), "")</f>
        <v/>
      </c>
      <c r="DB144" s="31" t="str">
        <f>IF(ISNUMBER(SnapshotTable[[#This Row],[SP Option  Stop Contract]]),(SnapshotTable[[#This Row],[SP Option  Stop Contract]] *(SnapshotTable[[#This Row],[SP Qty]] * 100) - SnapshotTable[[#This Row],[SP Premium]]),"")</f>
        <v/>
      </c>
      <c r="DC144" s="4"/>
      <c r="DD144" s="4"/>
      <c r="DE144" s="4" t="str">
        <f>IF(AND(SnapshotTable[[#This Row],[SP Qty]]&gt;0, SnapshotTable[[#This Row],[SP Stop To Use]]&gt;0),SnapshotTable[[#This Row],[SP Premium]] - ( SnapshotTable[[#This Row],[SP Qty]] * SnapshotTable[[#This Row],[SP Stop To Use]] * 100), "")</f>
        <v/>
      </c>
      <c r="DF144" s="31" t="str">
        <f>IF(AND(SnapshotTable[[#This Row],[SP Qty]]&gt;0,SnapshotTable[[#This Row],[SP Current Ask]]&gt;0), SnapshotTable[[#This Row],[SP Qty]] * SnapshotTable[[#This Row],[SP Current Ask]] * -100, "")</f>
        <v/>
      </c>
      <c r="DG144" s="31" t="str">
        <f>IF(ISNUMBER((SnapshotTable[[#This Row],[SP Total Value]])), SnapshotTable[[#This Row],[SP Premium]] + SnapshotTable[[#This Row],[SP Total Value]], "")</f>
        <v/>
      </c>
      <c r="DH144" s="272" t="str">
        <f>IF(ISNUMBER((SnapshotTable[[#This Row],[SP Total Value]])), SnapshotTable[[#This Row],[SP Gain Loss]] / SnapshotTable[[#This Row],[SP Premium]], "")</f>
        <v/>
      </c>
      <c r="DI144" s="369"/>
      <c r="DJ144" s="136"/>
      <c r="DK144" s="146"/>
      <c r="DL144" s="13"/>
      <c r="DM144" s="13"/>
      <c r="DO144" s="31">
        <f>IF(SnapshotTable[[#This Row],[LC Symbol Count]]=1, SnapshotTable[[#This Row],[LC Qty]] * SnapshotTable[[#This Row],[LC Book Price]] * 100, 0)</f>
        <v>0</v>
      </c>
      <c r="DP144" s="161" t="str">
        <f>IF(AND(SnapshotTable[[#This Row],[LC Exp Date]]&gt;0, SnapshotTable[[#This Row],[LC Strike Price]]&gt;0,SnapshotTable[[#This Row],[LC Qty]]&gt;0,SnapshotTable[[#This Row],[LC Book Date]]&gt;0,SnapshotTable[[#This Row],[LC Book Price]]&gt;0,SnapshotTable[[#This Row],[LC Fill Date]]=0),"Y","")</f>
        <v/>
      </c>
      <c r="DQ144" s="356" t="str">
        <f>IF(SnapshotTable[[#This Row],[LC Premium]] &gt; 0,SnapshotTable[[#This Row],[LC Exp Date]]-MAX(SnapshotTable[[#This Row],[LC Book Date]], SnapshotTable[[#This Row],[LC Fill Date]]),"")</f>
        <v/>
      </c>
      <c r="DR144" s="356" t="str">
        <f>IF(ISNUMBER(SnapshotTable[[#This Row],[LC Term]]), SnapshotTable[[#This Row],[LC Exp Date]] - MockToday, "")</f>
        <v/>
      </c>
      <c r="DS144" s="219" t="str">
        <f>IF(SnapshotTable[[#This Row],[LC Premium]]&gt;0,SnapshotTable[[#This Row],[LC Strike Price]] + SnapshotTable[[#This Row],[LC Book Price]],"")</f>
        <v/>
      </c>
      <c r="DU144" s="9" t="str">
        <f>IF(AND(SnapshotTable[[#This Row],[LC Symbol Count]]&gt;0, SnapshotTable[[#This Row],[LC Contract Value]]&gt;0), SnapshotTable[[#This Row],[LC Contract Value]] * SnapshotTable[[#This Row],[LC Qty]] * 100, "")</f>
        <v/>
      </c>
      <c r="DV144" s="9" t="str">
        <f>IF(AND(ISNUMBER(SnapshotTable[[#This Row],[LC Total Value]]), SnapshotTable[[#This Row],[LC Not Filled]]&lt;&gt;"Y"), SnapshotTable[[#This Row],[LC Total Value]]-SnapshotTable[[#This Row],[LC Premium]],"")</f>
        <v/>
      </c>
      <c r="DW144" s="225" t="str">
        <f>IF(ISNUMBER(SnapshotTable[[#This Row],[LC Actual Gain Loss]]), SnapshotTable[[#This Row],[LC Actual Gain Loss]] / SnapshotTable[[#This Row],[LC Premium]],"")</f>
        <v/>
      </c>
      <c r="DX144" s="269" t="str">
        <f>IF(ISNUMBER(SnapshotTable[[#This Row],[LC Book Price]]),SnapshotTable[[#This Row],[LC Book Price]] * 1.5,"")</f>
        <v/>
      </c>
      <c r="DY144" s="250" t="str">
        <f>IF(SnapshotTable[[#This Row],[LC Premium]]&gt;0, SnapshotTable[[#This Row],[LC Next Target]] * SnapshotTable[[#This Row],[LC Qty]] * 100,"")</f>
        <v/>
      </c>
      <c r="DZ144" s="250" t="str">
        <f>IF(ISNUMBER(SnapshotTable[[#This Row],[LC Target Gross]]), SnapshotTable[[#This Row],[LC Target Gross]] - SnapshotTable[[#This Row],[LC Premium]], "")</f>
        <v/>
      </c>
      <c r="EA144" s="283" t="str">
        <f>IF(ISNUMBER(SnapshotTable[[#This Row],[LC Target Gain Loss]]), SnapshotTable[[#This Row],[LC Target Gain Loss]]/SnapshotTable[[#This Row],[LC Premium]], "")</f>
        <v/>
      </c>
      <c r="EB144" s="247"/>
      <c r="EC144" s="268" t="str">
        <f>IF(SnapshotTable[[#This Row],[LC Premium]]&gt;0, SnapshotTable[[#This Row],[LC Book Price]] * (1 - LC_StopLoss_Pct),"")</f>
        <v/>
      </c>
      <c r="ED144" s="269"/>
      <c r="EE144" s="268" t="str">
        <f>IF(ISNUMBER(SnapshotTable[[#This Row],[LC Contract Value]]),IF(ISNUMBER(SnapshotTable[[#This Row],[LC Stop Loss Override]]), SnapshotTable[[#This Row],[LC Stop Loss Override]],SnapshotTable[[#This Row],[LC Stop Loss Calc Target]]),"")</f>
        <v/>
      </c>
      <c r="EF144" s="31" t="str">
        <f>IF(ISNUMBER(SnapshotTable[[#This Row],[LC Stop  To Use]]), (SnapshotTable[[#This Row],[LC Stop  To Use]] * SnapshotTable[[#This Row],[LC Qty]] * 100),"")</f>
        <v/>
      </c>
      <c r="EG144" s="9" t="str">
        <f>IF(ISNUMBER(SnapshotTable[[#This Row],[LC Total Value]]),SnapshotTable[[#This Row],[LC Stop Loss Amount]] - SnapshotTable[[#This Row],[LC Premium]],"")</f>
        <v/>
      </c>
      <c r="EH144" s="9">
        <f>IF(ISNUMBER(SnapshotTable[[#This Row],[LC Premium]]), SnapshotTable[[#This Row],[LC Qty]] * 100 * SnapshotTable[[#This Row],[LC Strike Price]], "")</f>
        <v>0</v>
      </c>
      <c r="EI144" s="225" t="str">
        <f>IF(AND(ISNUMBER(SnapshotTable[[#This Row],[LC Total Value]]),SnapshotTable[[#This Row],[LC Total Value]]&gt;0),SnapshotTable[[#This Row],[LC Stop Gain Loss]]  / SnapshotTable[[#This Row],[LC Premium]],"")</f>
        <v/>
      </c>
      <c r="EJ144" s="35">
        <f>IF(ISNUMBER(SnapshotTable[[#This Row],[Equity Shares]]),TRUNC(SnapshotTable[[#This Row],[Equity Shares]] / 100),0) + SnapshotTable[[#This Row],[LC Qty]]</f>
        <v>0</v>
      </c>
      <c r="EK144" s="145"/>
      <c r="EL144" s="136"/>
      <c r="EM144" s="146"/>
      <c r="EN144" s="145"/>
      <c r="EO144" s="145"/>
      <c r="EP144" s="136"/>
      <c r="EQ144" s="382" t="b">
        <f>AND(ISNUMBER(SnapshotTable[[#This Row],[SC Exp Date]]), ISNUMBER(SnapshotTable[[#This Row],[SC Strike Price]]), ISNUMBER(SnapshotTable[[#This Row],[SC Qty]]), ISNUMBER(SnapshotTable[[#This Row],[SC Book Date]]), ISNUMBER(SnapshotTable[[#This Row],[SC Book Price]]))</f>
        <v>0</v>
      </c>
      <c r="ER144" s="382" t="b">
        <f>AND(SnapshotTable[[#This Row],[SC Is Booked]], NOT(ISBLANK(SnapshotTable[[#This Row],[SC Fill Date]])))</f>
        <v>0</v>
      </c>
      <c r="ES144" s="340"/>
      <c r="ET144" s="34" t="str">
        <f>IF(AND(ISNUMBER(SnapshotTable[[#This Row],[SC Exp Date]]), ISNUMBER(SnapshotTable[[#This Row],[SC Book Date]])), SnapshotTable[[#This Row],[SC Exp Date]] - MAX(SnapshotTable[[#This Row],[SC Book Date]], SnapshotTable[[#This Row],[SC Fill Date]]) + 1, "")</f>
        <v/>
      </c>
      <c r="EU144" s="34" t="str">
        <f>IF(ISNUMBER(SnapshotTable[[#This Row],[SC Term]]), SnapshotTable[[#This Row],[SC Exp Date]]- MockToday, "")</f>
        <v/>
      </c>
      <c r="EV144" s="31">
        <f>IF(SnapshotTable[[#This Row],[SC Is Booked]], SnapshotTable[[#This Row],[SC Qty]] * SnapshotTable[[#This Row],[SC Book Price]] * 100, 0)</f>
        <v>0</v>
      </c>
      <c r="EW144" s="4" t="str">
        <f>IF(AND(ISNUMBER(SnapshotTable[[#This Row],[Last Price]]), ISNUMBER( SnapshotTable[[#This Row],[SC Book Price]])), SnapshotTable[[#This Row],[Last Price]] - SnapshotTable[[#This Row],[SC Book Price]],"")</f>
        <v/>
      </c>
      <c r="EX144" s="219" t="str">
        <f>IF(SnapshotTable[[#This Row],[SC Is Booked]],IF(SnapshotTable[[#This Row],[SC Intrinsic Value]] &gt; 0, SnapshotTable[[#This Row],[SC Strike Price]], SnapshotTable[[#This Row],[Last Price]]), "")</f>
        <v/>
      </c>
      <c r="EY144" s="4">
        <f>IF(SnapshotTable[[#This Row],[SC Is Booked]], (MinimumPremiumRequired * SnapshotTable[[#This Row],[SC Basis]] * SnapshotTable[[#This Row],[SC Term]]), 0)</f>
        <v>0</v>
      </c>
      <c r="EZ144" s="268"/>
      <c r="FA144" s="204"/>
      <c r="FB144" s="340"/>
      <c r="FC144" s="4">
        <f>IF(SnapshotTable[[#This Row],[SC Is Filled]], btc_max_buyback_amount(SnapshotTable[[#This Row],[SC Fill Date]],SnapshotTable[[#This Row],[SC Exp Date]], SnapshotTable[[#This Row],[SC Book Price]]),0)</f>
        <v>0</v>
      </c>
      <c r="FD144" s="5"/>
      <c r="FE144" s="142" t="str">
        <f>IF(SnapshotTable[[#This Row],[SC Is Filled]], btc_next_cutoff_date(SnapshotTable[[#This Row],[SC Fill Date]],SnapshotTable[[#This Row],[SC Exp Date]]),"")</f>
        <v/>
      </c>
      <c r="FF144" s="4" t="str" cm="1">
        <f t="array" ref="FF144">IF(SnapshotTable[[#This Row],[SC Is Filled]], btc_should_buy_back(SnapshotTable[[#This Row],[SC Fill Date]], SnapshotTable[[#This Row],[SC Exp Date]], SnapshotTable[[#This Row],[SC Book Price]], SnapshotTable[[#This Row],[SC Current Ask]], MockToday, SnapshotTable[[#This Row],[SC Buyback Override]]),"")</f>
        <v/>
      </c>
      <c r="FG144" s="4">
        <f>IF(SnapshotTable[[#This Row],[SC Is Filled]], MAX(0,SnapshotTable[[#This Row],[Last Price]]  - SnapshotTable[[#This Row],[SC Strike Price]]), 0)</f>
        <v>0</v>
      </c>
      <c r="FH144" s="352">
        <f>IF(SnapshotTable[[#This Row],[SC Is Filled]], IF(ISNUMBER(SnapshotTable[[#This Row],[SC Current Ask]]), SnapshotTable[[#This Row],[SC Current Ask]], SnapshotTable[[#This Row],[SC Book Price]]) - SnapshotTable[[#This Row],[SC Intrinsic Value]], 0)</f>
        <v>0</v>
      </c>
      <c r="FI144" s="141"/>
      <c r="FJ144" s="32" t="str">
        <f>IF(SnapshotTable[[#This Row],[SC Is Filled]],100 * SnapshotTable[[#This Row],[SC Qty]] * IF(ISNUMBER(SnapshotTable[[#This Row],[SC Buyback Override]]), SnapshotTable[[#This Row],[SC Buyback Override]], SnapshotTable[[#This Row],[SC Current Ask]]), "")</f>
        <v/>
      </c>
      <c r="FK144" s="235" t="str">
        <f>IF(SnapshotTable[[#This Row],[SC Time Val]]&gt;0, SnapshotTable[[#This Row],[SC Time Val]] / SnapshotTable[[#This Row],[Last Price]],"")</f>
        <v/>
      </c>
      <c r="FL144" s="280" t="str">
        <f>IF(SnapshotTable[[#This Row],[SC Is Booked]], ((SnapshotTable[[#This Row],[Last Price]] -SnapshotTable[[#This Row],[SC Strike Price]]) / SnapshotTable[[#This Row],[Last Price]]) * -1, "")</f>
        <v/>
      </c>
      <c r="FM144" s="155" t="str">
        <f>IF(SnapshotTable[[#This Row],[SC Is Booked]],  (SnapshotTable[[#This Row],[SC Qty]] * 100 * SnapshotTable[[#This Row],[SC Strike Price]]) - SnapshotTable[[#This Row],[SC Current Ask]], "")</f>
        <v/>
      </c>
      <c r="FN1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4" s="31" t="str">
        <f>IF(AND(ISNUMBER(SnapshotTable[[#This Row],[SC Exercise Gross]]), ISNUMBER(SnapshotTable[[#This Row],[Equity Basis Per Share]] )), SnapshotTable[[#This Row],[SC Exercise Gross]] - SnapshotTable[[#This Row],[Equity Basis Total]] +  SnapshotTable[[#This Row],[SC Premium]], "")</f>
        <v/>
      </c>
      <c r="FP144" s="5" t="str">
        <f>IF(ISNUMBER(SnapshotTable[[#This Row],[SC Exercise Gross]]), (SnapshotTable[[#This Row],[SC Exercise Gross]]) / (SnapshotTable[[#This Row],[SC Qty]] * 100), "")</f>
        <v/>
      </c>
      <c r="FQ144" s="27" t="str">
        <f>IF(SnapshotTable[[#This Row],[SC Is Booked]],SnapshotTable[[#This Row],[SC Time Val]] /SnapshotTable[[#This Row],[SC Basis]], "")</f>
        <v/>
      </c>
      <c r="FR144" s="27" t="str" cm="1">
        <f t="array" ref="FR144">IF(AND(ISNUMBER(SnapshotTable[[#This Row],[SC Term]]),ISNUMBER(SnapshotTable[[#This Row],[SC Simple ROO]])), EllmanAnnualize(SnapshotTable[[#This Row],[SC DTE]], SnapshotTable[[#This Row],[SC Simple ROO]] ),"")</f>
        <v/>
      </c>
      <c r="FS144" s="4">
        <f>IF(SnapshotTable[[#This Row],[SC Strike Price]] &gt; SnapshotTable[[#This Row],[Last Price]], SnapshotTable[[#This Row],[SC Strike Price]] - SnapshotTable[[#This Row],[Last Price]],0)</f>
        <v>0</v>
      </c>
      <c r="FT144" s="27" t="str">
        <f>IF(AND(ISNUMBER(SnapshotTable[[#This Row],[SC Upside Potential]]), SnapshotTable[[#This Row],[SC Upside Potential]] &gt; 0),(SnapshotTable[[#This Row],[SC Upside Potential]]/ SnapshotTable[[#This Row],[ACB]]),"")</f>
        <v/>
      </c>
      <c r="FU144" s="304" t="str">
        <f>IF(SnapshotTable[[#This Row],[SC Intrinsic Value]] &gt; 0,SnapshotTable[[#This Row],[SC Intrinsic Value]],"")</f>
        <v/>
      </c>
      <c r="FV144" s="27" t="str">
        <f>IF(AND( ISNUMBER( SnapshotTable[[#This Row],[ACB]]),ISNUMBER(SnapshotTable[[#This Row],[SC Downside Protect]])),SnapshotTable[[#This Row],[SC Downside Protect]] / SnapshotTable[[#This Row],[ACB]],"")</f>
        <v/>
      </c>
      <c r="FW144" s="221" t="str">
        <f>IF(AND(ISNUMBER(SnapshotTable[[#This Row],[SC Simple ROO]]),SnapshotTable[[#This Row],[SC Simple ROO]] &gt; 0), SnapshotTable[[#This Row],[SC Premium]] + (SnapshotTable[[#This Row],[SC Qty]] * SnapshotTable[[#This Row],[SC Upside Potential]]), "")</f>
        <v/>
      </c>
      <c r="FX144" s="280" t="str" cm="1">
        <f t="array" ref="FX144">IF(ISNUMBER(SnapshotTable[[#This Row],[SC Max Dollars]]), annualize(SnapshotTable[[#This Row],[SC Term]],(SnapshotTable[[#This Row],[SC Max Dollars]]/SnapshotTable[[#This Row],[SC Basis]])),"")</f>
        <v/>
      </c>
      <c r="FY144" s="221" t="str">
        <f>IF(AND(SnapshotTable[[#This Row],[SC Qty]]&gt;0,SnapshotTable[[#This Row],[SC Current Ask]]&gt;0), SnapshotTable[[#This Row],[SC Qty]] * SnapshotTable[[#This Row],[SC Current Ask]] * -100, "")</f>
        <v/>
      </c>
      <c r="FZ144" s="31" t="str">
        <f>IF(ISNUMBER((SnapshotTable[[#This Row],[SC Current Value]])), SnapshotTable[[#This Row],[SC Premium]] + SnapshotTable[[#This Row],[SC Current Value]], "")</f>
        <v/>
      </c>
      <c r="GA144" s="272" t="str">
        <f>IFERROR( IF(ISNUMBER((SnapshotTable[[#This Row],[SC Current Value]])), SnapshotTable[[#This Row],[SC Gain Loss]] / SnapshotTable[[#This Row],[SC Premium]], ""), "")</f>
        <v/>
      </c>
      <c r="GB144" s="42">
        <f>SnapshotTable[[#This Row],[Equity Shares]] * SaleSharesToConsiderPercentage</f>
        <v>0</v>
      </c>
      <c r="GC144" s="40">
        <f>SnapshotTable[[#This Row],[Long Term Target]] * SellingPriceToConsiderBasedOnTargetPercentage</f>
        <v>0</v>
      </c>
      <c r="GD144" s="40">
        <f>SnapshotTable[[#This Row],[Last Price]] * (1+ SellingPriceToConsiderBasedOnTargetPercentage)</f>
        <v>216.35249999999999</v>
      </c>
      <c r="GE144" s="41"/>
      <c r="GF144" s="40"/>
      <c r="GG144" s="31">
        <f>SnapshotTable[[#This Row],[Booked Sale Shares]] * SnapshotTable[[#This Row],[Booked Sale Price]]</f>
        <v>0</v>
      </c>
      <c r="GH144" s="31" t="str">
        <f>IF(SnapshotTable[[#This Row],[Equity Basis Total]] &gt; 0, SnapshotTable[[#This Row],[Equity Basis Per Share]] * SnapshotTable[[#This Row],[Booked Sale Shares]], "")</f>
        <v/>
      </c>
      <c r="GI144" s="31">
        <f>IF(SnapshotTable[[#This Row],[Sale Proceeds]]&gt;0, SnapshotTable[[#This Row],[Sale Proceeds]] - SnapshotTable[[#This Row],[Sale Basis]], 0)</f>
        <v>0</v>
      </c>
      <c r="GJ144" s="27" t="str">
        <f>IF(SnapshotTable[[#This Row],[Sale G/L]]&gt;0, SnapshotTable[[#This Row],[Sale G/L]] / SnapshotTable[[#This Row],[Sale Basis]], IF(ISNUMBER(SnapshotTable[[#This Row],[SC Exercise P&amp;L (TAX)]]), SnapshotTable[[#This Row],[SC Exercise P&amp;L (TAX)]] / SnapshotTable[[#This Row],[SC Basis]], ""))</f>
        <v/>
      </c>
      <c r="GK144" s="27" t="s">
        <v>571</v>
      </c>
      <c r="GL144" s="43" t="str">
        <f>IF(AND(SnapshotTable[[#This Row],[LP Exp Date]]&gt;0,SnapshotTable[[#This Row],[LP Strike Price]]&gt;0), [1]!ToOptionSymbol(SnapshotTable[[#This Row],[Symbol]], SnapshotTable[[#This Row],[LP Strike Price]],SnapshotTable[[#This Row],[LP Exp Date]],1), "")</f>
        <v/>
      </c>
      <c r="GM144" s="30" t="str">
        <f>IF(LEN(SnapshotTable[[#This Row],[LP Symbol]])&gt;0, 1, "")</f>
        <v/>
      </c>
      <c r="GN144" s="43" t="str">
        <f>IF(AND(SnapshotTable[[#This Row],[SP Exp Date]]&gt;0,SnapshotTable[[#This Row],[SP Strike Price]]&gt;0), [1]!ToOptionSymbol(SnapshotTable[[#This Row],[Symbol]], SnapshotTable[[#This Row],[SP Strike Price]],SnapshotTable[[#This Row],[SP Exp Date]],1), "")</f>
        <v/>
      </c>
      <c r="GO144" s="30" t="str">
        <f>IF(LEN(SnapshotTable[[#This Row],[SP Symbol]])&gt;0, 1, "")</f>
        <v/>
      </c>
      <c r="GP144" s="43" t="str">
        <f>IF(AND(SnapshotTable[[#This Row],[LC Exp Date]]&gt;0,SnapshotTable[[#This Row],[LC Strike Price]]&gt;0), [1]!ToOptionSymbol(SnapshotTable[[#This Row],[Symbol]], SnapshotTable[[#This Row],[LC Strike Price]],SnapshotTable[[#This Row],[LC Exp Date]],0), "")</f>
        <v/>
      </c>
      <c r="GQ144" s="30" t="str">
        <f>IF(LEN(SnapshotTable[[#This Row],[LC Symbol]])&gt;0, 1, "")</f>
        <v/>
      </c>
      <c r="GR144" s="43" t="str">
        <f>IF(AND(SnapshotTable[[#This Row],[SC Exp Date]]&gt;0,SnapshotTable[[#This Row],[SC Strike Price]]&gt;0), [1]!ToOptionSymbol(SnapshotTable[[#This Row],[Symbol]], SnapshotTable[[#This Row],[SC Strike Price]],SnapshotTable[[#This Row],[SC Exp Date]],0), "")</f>
        <v/>
      </c>
      <c r="GS144" s="30" t="str">
        <f>IF(LEN(SnapshotTable[[#This Row],[SC Symbol]])&gt;0, 1, "")</f>
        <v/>
      </c>
      <c r="GT144" s="29" t="str">
        <f>IF(COUNT(SnapshotTable[[#This Row],[LP Symbol Count]],SnapshotTable[[#This Row],[SP Symbol Count]],SnapshotTable[[#This Row],[LC Symbol Count]],SnapshotTable[[#This Row],[SC Symbol Count]])&gt;0, "Y", "")</f>
        <v/>
      </c>
      <c r="GU1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4" s="216">
        <f>MAX(SnapshotTable[[#This Row],[Equity Basis Total]],SnapshotTable[[#This Row],[Equity Value]]) + (SnapshotTable[[#This Row],[SP Potential Spend]]- SnapshotTable[[#This Row],[SP Premium]] + SnapshotTable[[#This Row],[LP Premium]])+ (SnapshotTable[[#This Row],[LC Premium]] - SnapshotTable[[#This Row],[SC Premium]])</f>
        <v>0</v>
      </c>
      <c r="GW144" s="137" t="str">
        <f>IF(AND(SnapshotTable[[#This Row],[Exposure]] &lt;&gt; 0),SnapshotTable[[#This Row],[Exposure]] / SnapshotTable[[#Totals],[Exposure]], "")</f>
        <v/>
      </c>
      <c r="HE144" s="253"/>
      <c r="HF144" s="253"/>
      <c r="HK144" s="1"/>
      <c r="HL144" s="1"/>
      <c r="HM144" s="1"/>
      <c r="HN144" s="1"/>
      <c r="HO144" s="1"/>
      <c r="HP144" s="1"/>
    </row>
    <row r="145" spans="2:224" ht="12.75" hidden="1" customHeight="1" x14ac:dyDescent="0.25">
      <c r="B145" s="12" t="s">
        <v>140</v>
      </c>
      <c r="C145" s="385">
        <v>266.88</v>
      </c>
      <c r="D145" s="200"/>
      <c r="E145" s="39">
        <f>SnapshotTable[[#This Row],[Last Price]]*(1 -CrashDiscount)</f>
        <v>226.84799999999998</v>
      </c>
      <c r="F145" s="26" t="s">
        <v>139</v>
      </c>
      <c r="G145" s="26" t="s">
        <v>12</v>
      </c>
      <c r="H145" s="147"/>
      <c r="I145" s="186">
        <v>44768.354166666664</v>
      </c>
      <c r="J145" s="187">
        <v>44768.354166666664</v>
      </c>
      <c r="K145" s="188"/>
      <c r="L145" s="297"/>
      <c r="M145" s="138"/>
      <c r="N145" s="138"/>
      <c r="O145" s="138"/>
      <c r="P145" s="22"/>
      <c r="Q145" s="25"/>
      <c r="R145" s="4" t="str">
        <f>IF(SnapshotTable[[#This Row],[Equity Basis Total]] &gt; 0, SnapshotTable[[#This Row],[Equity Basis Total]] / SnapshotTable[[#This Row],[Equity Shares]], "")</f>
        <v/>
      </c>
      <c r="S145" s="254">
        <f>SnapshotTable[[#This Row],[Last Price]] * SnapshotTable[[#This Row],[Equity Shares]]</f>
        <v>0</v>
      </c>
      <c r="T145" s="254">
        <f>SnapshotTable[[#This Row],[Equity Value]] - SnapshotTable[[#This Row],[Equity Basis Total]]</f>
        <v>0</v>
      </c>
      <c r="U145" s="255" t="str">
        <f>IF(SnapshotTable[[#This Row],[Equity Basis Total]] &gt; 0, SnapshotTable[[#This Row],[Equity G/L]] / SnapshotTable[[#This Row],[Equity Basis Total]], "")</f>
        <v/>
      </c>
      <c r="V145" s="253"/>
      <c r="W145" s="253"/>
      <c r="X145" s="4" t="str">
        <f>IF(AND(ISNUMBER(SnapshotTable[[#This Row],[Equity Basis Per Share]]),ISNUMBER(SnapshotTable[[#This Row],[Equity Target]])),SnapshotTable[[#This Row],[Equity Target]]-SnapshotTable[[#This Row],[Equity Basis Per Share]],"")</f>
        <v/>
      </c>
      <c r="Y145" s="4" t="str">
        <f>IF(AND(ISNUMBER(SnapshotTable[[#This Row],[Equity Basis Per Share]]),ISNUMBER(SnapshotTable[[#This Row],[Equity Stop Loss]])),SnapshotTable[[#This Row],[Equity Stop Loss]]-SnapshotTable[[#This Row],[Equity Basis Per Share]],"")</f>
        <v/>
      </c>
      <c r="Z145" s="260" t="str">
        <f>IFERROR( TEXT(SnapshotTable[[#This Row],[Equity Max Gain Per Share]] /ABS( SnapshotTable[[#This Row],[Equity Max Loss Per Share]]),"0.0 " ) &amp; " : 1", "")</f>
        <v/>
      </c>
      <c r="AA145" s="31" t="str">
        <f>IF(ISNUMBER(SnapshotTable[[#This Row],[Equity Max Gain Per Share]]),SnapshotTable[[#This Row],[Equity Max Gain Per Share]] * SnapshotTable[[#This Row],[Equity Shares]],"")</f>
        <v/>
      </c>
      <c r="AB145" s="31" t="str">
        <f>IF(ISNUMBER(SnapshotTable[[#This Row],[Equity Max Loss Per Share]]),SnapshotTable[[#This Row],[Equity Max Loss Per Share]] * SnapshotTable[[#This Row],[Equity Shares]],"")</f>
        <v/>
      </c>
      <c r="AC145" s="148">
        <v>1.4</v>
      </c>
      <c r="AD145" s="149">
        <v>42752</v>
      </c>
      <c r="AE145" s="31">
        <f>(SnapshotTable[[#This Row],[Annual Dividend Per Share]] / 4) * SnapshotTable[[#This Row],[Equity Shares]]</f>
        <v>0</v>
      </c>
      <c r="AF145" s="31">
        <f>SnapshotTable[[#This Row],[Quarterly Div $]] * 4</f>
        <v>0</v>
      </c>
      <c r="AG145" s="7">
        <f>IF(SnapshotTable[[#This Row],[Annual Dividend Per Share]]&gt;0, SnapshotTable[[#This Row],[Annual Dividend Per Share]]  / SnapshotTable[[#This Row],[Last Price]], 0)</f>
        <v>5.2458033573141482E-3</v>
      </c>
      <c r="AH145" s="149">
        <v>42718</v>
      </c>
      <c r="AI145" s="5"/>
      <c r="AJ145" s="136">
        <v>125.06</v>
      </c>
      <c r="AK145" s="150" t="str">
        <f>IF(ISNUMBER( SnapshotTable[[#This Row],[EBF Target]]),(SnapshotTable[[#This Row],[EBF Target]] - SnapshotTable[[#This Row],[Last Price]]) / SnapshotTable[[#This Row],[Last Price]], "")</f>
        <v/>
      </c>
      <c r="AL145" s="150" t="str">
        <f>IF(AND(SnapshotTable[[#This Row],[Equity Basis Total]] &gt; 0,ISNUMBER( SnapshotTable[[#This Row],[Long Term Target]])), SnapshotTable[[#This Row],[From Basis $]] / SnapshotTable[[#This Row],[Equity Basis Total]], "")</f>
        <v/>
      </c>
      <c r="AM145" s="9">
        <f>IF( AND(SnapshotTable[[#This Row],[Equity Shares]] &gt;0,ISNUMBER( SnapshotTable[[#This Row],[Long Term Target]])),(SnapshotTable[[#This Row],[Equity Shares]] * SnapshotTable[[#This Row],[Long Term Target]]) - SnapshotTable[[#This Row],[Equity Basis Total]],0)</f>
        <v>0</v>
      </c>
      <c r="AN145" s="9">
        <f>IF( AND(SnapshotTable[[#This Row],[Equity Shares]] &gt;0,ISNUMBER( SnapshotTable[[#This Row],[Long Term Target]])),(SnapshotTable[[#This Row],[Equity Shares]]*SnapshotTable[[#This Row],[Long Term Target]]) - SnapshotTable[[#This Row],[Equity Value]],0)</f>
        <v>0</v>
      </c>
      <c r="AO145" s="150">
        <f>IF(AND(ISNUMBER( SnapshotTable[[#This Row],[Long Term Target]]), ISNUMBER(SnapshotTable[[#This Row],[Last Price]])),(SnapshotTable[[#This Row],[Long Term Target]] - SnapshotTable[[#This Row],[Last Price]]) / SnapshotTable[[#This Row],[Last Price]], "")</f>
        <v>-0.5313998800959232</v>
      </c>
      <c r="AP145" s="5"/>
      <c r="AQ145" s="38"/>
      <c r="AR145" s="5"/>
      <c r="AS145" s="38"/>
      <c r="AT145" s="144"/>
      <c r="AU145" s="185" t="str">
        <f>IF(OR(SnapshotTable[[#This Row],[LP No Fill]]="Y",SnapshotTable[[#This Row],[SP Is Filled]],SnapshotTable[[#This Row],[LC Not Filled]]="Y",SnapshotTable[[#This Row],[SC Is Filled]]),"Y","")</f>
        <v/>
      </c>
      <c r="AV145" s="205"/>
      <c r="AW145" s="211"/>
      <c r="AX145" s="206"/>
      <c r="AY145" s="205" t="str">
        <f>IF(SnapshotTable[[#This Row],[Implied Move]]&gt;0, SnapshotTable[[#This Row],[Last Price]]-SnapshotTable[[#This Row],[Implied Move]],"")</f>
        <v/>
      </c>
      <c r="AZ145" s="205" t="str">
        <f>IF(SnapshotTable[[#This Row],[Implied Move]]&gt;0, SnapshotTable[[#This Row],[Last Price]] + SnapshotTable[[#This Row],[Implied Move]],"")</f>
        <v/>
      </c>
      <c r="BA145" s="302"/>
      <c r="BB145" s="318"/>
      <c r="BC1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5" s="321"/>
      <c r="BE145" s="5"/>
      <c r="BF145" s="14"/>
      <c r="BG145" s="13"/>
      <c r="BH145" s="13"/>
      <c r="BI145" s="5"/>
      <c r="BJ145" s="134">
        <f>IF(SnapshotTable[[#This Row],[LP Qty]] &gt; 0, SnapshotTable[[#This Row],[LP Qty]] * SnapshotTable[[#This Row],[LP Book Price]] * 100,0)</f>
        <v>0</v>
      </c>
      <c r="BK145" s="134">
        <f>IF(SnapshotTable[[#This Row],[LP Premium]] &gt; 0, SnapshotTable[[#This Row],[LP Qty]] * SnapshotTable[[#This Row],[LP Strike Price]] * 100,0)</f>
        <v>0</v>
      </c>
      <c r="BL145" s="152"/>
      <c r="BM145" s="355" t="str">
        <f>IF(SnapshotTable[[#This Row],[LP Premium]] &gt; 0,SnapshotTable[[#This Row],[LP Exp Date]]-MAX(SnapshotTable[[#This Row],[LP Book Date]], SnapshotTable[[#This Row],[LP Fill Date]]),"")</f>
        <v/>
      </c>
      <c r="BN145" s="355" t="str">
        <f>IF(ISNUMBER( SnapshotTable[[#This Row],[LP Term]]), SnapshotTable[[#This Row],[LP Exp Date]] - MockToday,"")</f>
        <v/>
      </c>
      <c r="BO145" s="161" t="str">
        <f>IF(AND(SnapshotTable[[#This Row],[LP Exp Date]]&gt;0, SnapshotTable[[#This Row],[LP Strike Price]]&gt;0,SnapshotTable[[#This Row],[LP Qty]]&gt;0,SnapshotTable[[#This Row],[LP Book Date]]&gt;0,SnapshotTable[[#This Row],[LP Book Price]]&gt;0,SnapshotTable[[#This Row],[LP Fill Date]]=0),"Y","")</f>
        <v/>
      </c>
      <c r="BP145" s="31" t="str">
        <f>IF(AND(SnapshotTable[[#This Row],[LP No Fill]]&lt;&gt;"Y",SnapshotTable[[#This Row],[LP Contract Value]]&gt;0, SnapshotTable[[#This Row],[LP Qty]]&gt;0), SnapshotTable[[#This Row],[LP Contract Value]]*SnapshotTable[[#This Row],[LP Qty]]*100,"")</f>
        <v/>
      </c>
      <c r="BQ145" s="13"/>
      <c r="BR145" s="5"/>
      <c r="BS145" s="36"/>
      <c r="BT145" s="145"/>
      <c r="BU145" s="13"/>
      <c r="BV145" s="5"/>
      <c r="BW145" s="382" t="b">
        <f>AND(ISNUMBER(SnapshotTable[[#This Row],[SP Exp Date]]), ISNUMBER(SnapshotTable[[#This Row],[SP Strike Price]]), ISNUMBER(SnapshotTable[[#This Row],[SP Qty]]), ISNUMBER(SnapshotTable[[#This Row],[SP Book Date]]), ISNUMBER(SnapshotTable[[#This Row],[SP Book Price]]))</f>
        <v>0</v>
      </c>
      <c r="BX145" s="382" t="b">
        <f>AND(SnapshotTable[[#This Row],[SP Is Booked]], NOT(ISBLANK(SnapshotTable[[#This Row],[SP Fill Date]])))</f>
        <v>0</v>
      </c>
      <c r="BY145" s="33">
        <f>IF(SnapshotTable[[#This Row],[SP Is Booked]], SnapshotTable[[#This Row],[SP Qty]] * SnapshotTable[[#This Row],[SP Book Price]] * 100, 0)</f>
        <v>0</v>
      </c>
      <c r="BZ145" s="339"/>
      <c r="CA145" s="338">
        <f>SnapshotTable[[#This Row],[LP Qty]]</f>
        <v>0</v>
      </c>
      <c r="CB145" s="4" t="str">
        <f>IF(SnapshotTable[[#This Row],[SP Is Booked]], SnapshotTable[[#This Row],[SP Strike Price]] - SnapshotTable[[#This Row],[SP Book Price]], "")</f>
        <v/>
      </c>
      <c r="CC145" s="19" t="str">
        <f>IF(SnapshotTable[[#This Row],[SP Is Booked]],SnapshotTable[[#This Row],[SP Exp Date]]-MAX(SnapshotTable[[#This Row],[SP Book Date]], SnapshotTable[[#This Row],[SP Fill Date]]),"")</f>
        <v/>
      </c>
      <c r="CD145" s="7" t="str">
        <f>IF(SnapshotTable[[#This Row],[SP Is Booked]], SnapshotTable[[#This Row],[SP Book Price]]/SnapshotTable[[#This Row],[SP Strike Price]], "")</f>
        <v/>
      </c>
      <c r="CE145" s="7" t="str">
        <f>IF(ISNUMBER(SnapshotTable[[#This Row],[SP ROO Term]]),SnapshotTable[[#This Row],[SP ROO Term]]*(365/SnapshotTable[[#This Row],[SP Term]]),"")</f>
        <v/>
      </c>
      <c r="CF145" s="221">
        <f>SnapshotTable[[#This Row],[LP Strike Price]] * SnapshotTable[[#This Row],[LP Qty]] * 100</f>
        <v>0</v>
      </c>
      <c r="CG145" s="31">
        <f>IF(ISNUMBER(SnapshotTable[[#This Row],[SP Premium]]), (SnapshotTable[[#This Row],[SP Qty]] * SnapshotTable[[#This Row],[SP Strike Price]]* 100) - SnapshotTable[[#This Row],[LP Protection]], 0)</f>
        <v>0</v>
      </c>
      <c r="CH145" s="7" t="str">
        <f>IF(ISNUMBER(SnapshotTable[[#This Row],[SP Break Even]]),-1 * (SnapshotTable[[#This Row],[SP Break Even]] - SnapshotTable[[#This Row],[Last Price]]) / SnapshotTable[[#This Row],[Last Price]], "")</f>
        <v/>
      </c>
      <c r="CI145" s="31">
        <f>IF(AND(ISNUMBER((SnapshotTable[[#This Row],[SP Potential Spend]])), SnapshotTable[[#This Row],[SP Strike Price]] &gt; SnapshotTable[[#This Row],[Last Price]], SnapshotTable[[#This Row],[SP Is Filled]]), SnapshotTable[[#This Row],[SP Potential Spend]] -  SnapshotTable[[#This Row],[LP Max Value]], 0)</f>
        <v>0</v>
      </c>
      <c r="CJ145" s="229"/>
      <c r="CK145" s="31">
        <f>IF(ISNUMBER(SnapshotTable[[#This Row],[SP Potential Spend]]),IF(ISNUMBER(SnapshotTable[[#This Row],[SP POW]]), SnapshotTable[[#This Row],[SP POW]] * SnapshotTable[[#This Row],[SP Potential Spend]], SnapshotTable[[#This Row],[SP Potential Spend]]), "")</f>
        <v>0</v>
      </c>
      <c r="CL145" s="162">
        <f>IF(NOT(SnapshotTable[[#This Row],[SP Is Filled]]),(SnapshotTable[[#This Row],[SP Qty]] * SnapshotTable[[#This Row],[SP Strike Price]] * 100) - SnapshotTable[[#This Row],[LP Max Value]],"")</f>
        <v>0</v>
      </c>
      <c r="CM145" s="31" t="str">
        <f>IF(SnapshotTable[[#This Row],[SP Actual Spend]]&lt;&gt;0, ((SnapshotTable[[#This Row],[SP Strike Price]]-SnapshotTable[[#This Row],[Last Price]]) *(SnapshotTable[[#This Row],[SP Qty]]*100) - SnapshotTable[[#This Row],[SP Premium]]) * - 1, "")</f>
        <v/>
      </c>
      <c r="CN145" s="76"/>
      <c r="CO145" s="339"/>
      <c r="CP145" s="4" t="str">
        <f>IF(SnapshotTable[[#This Row],[SP Is Filled]], btc_max_buyback_amount(SnapshotTable[[#This Row],[SP Fill Date]],SnapshotTable[[#This Row],[SP Exp Date]], SnapshotTable[[#This Row],[SP Book Price]]),"")</f>
        <v/>
      </c>
      <c r="CQ145" s="76"/>
      <c r="CR1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5" s="153" t="str">
        <f>IF(SnapshotTable[[#This Row],[SP Is Filled]], btc_next_cutoff_date(SnapshotTable[[#This Row],[SP Fill Date]],SnapshotTable[[#This Row],[SP Exp Date]]),"")</f>
        <v/>
      </c>
      <c r="CT145" s="220" t="str" cm="1">
        <f t="array" ref="CT145">IF(SnapshotTable[[#This Row],[SP Is Filled]], btc_should_buy_back(SnapshotTable[[#This Row],[SP Fill Date]], SnapshotTable[[#This Row],[SP Exp Date]], SnapshotTable[[#This Row],[SP Book Price]], SnapshotTable[[#This Row],[SP Current Ask]], MockToday, SnapshotTable[[#This Row],[SP Buyback Override]]),"")</f>
        <v/>
      </c>
      <c r="CU145" s="141"/>
      <c r="CV145" s="220"/>
      <c r="CW145" s="348" t="str">
        <f>IF(ISNUMBER( SnapshotTable[[#This Row],[SP Term]]), SnapshotTable[[#This Row],[SP Exp Date]] - MockToday,"")</f>
        <v/>
      </c>
      <c r="CX145" s="31" t="str">
        <f>IF(SnapshotTable[[#This Row],[SP Is Filled]],SnapshotTable[[#This Row],[SP Buyback Price to Use]] * 100 * SnapshotTable[[#This Row],[SP Qty]], "")</f>
        <v/>
      </c>
      <c r="CY145" s="4" t="str">
        <f>IF(ISNUMBER(SnapshotTable[[#This Row],[SP Strike Price]]), SnapshotTable[[#This Row],[SP Strike Price]] * (1 - SP_MaxLoss_StrikePct), "")</f>
        <v/>
      </c>
      <c r="CZ145" s="31" t="str">
        <f>IF(ISNUMBER(SnapshotTable[[#This Row],[SP Strike  Stop Per Share]]),SnapshotTable[[#This Row],[SP Premium]] - ((SnapshotTable[[#This Row],[SP Strike Price]]-SnapshotTable[[#This Row],[SP Strike  Stop Per Share]]) *(SnapshotTable[[#This Row],[SP Qty]] * 100)),"")</f>
        <v/>
      </c>
      <c r="DA145" s="4" t="str">
        <f>IF(AND(ISNUMBER(SnapshotTable[[#This Row],[SP Premium]]),SnapshotTable[[#This Row],[SP Premium]]&gt;0), SnapshotTable[[#This Row],[SP Book Price]] * (1 + SP_MaxLoss_OptionPct), "")</f>
        <v/>
      </c>
      <c r="DB145" s="31" t="str">
        <f>IF(ISNUMBER(SnapshotTable[[#This Row],[SP Option  Stop Contract]]),(SnapshotTable[[#This Row],[SP Option  Stop Contract]] *(SnapshotTable[[#This Row],[SP Qty]] * 100) - SnapshotTable[[#This Row],[SP Premium]]),"")</f>
        <v/>
      </c>
      <c r="DC145" s="4"/>
      <c r="DD145" s="4"/>
      <c r="DE145" s="4" t="str">
        <f>IF(AND(SnapshotTable[[#This Row],[SP Qty]]&gt;0, SnapshotTable[[#This Row],[SP Stop To Use]]&gt;0),SnapshotTable[[#This Row],[SP Premium]] - ( SnapshotTable[[#This Row],[SP Qty]] * SnapshotTable[[#This Row],[SP Stop To Use]] * 100), "")</f>
        <v/>
      </c>
      <c r="DF145" s="31" t="str">
        <f>IF(AND(SnapshotTable[[#This Row],[SP Qty]]&gt;0,SnapshotTable[[#This Row],[SP Current Ask]]&gt;0), SnapshotTable[[#This Row],[SP Qty]] * SnapshotTable[[#This Row],[SP Current Ask]] * -100, "")</f>
        <v/>
      </c>
      <c r="DG145" s="31" t="str">
        <f>IF(ISNUMBER((SnapshotTable[[#This Row],[SP Total Value]])), SnapshotTable[[#This Row],[SP Premium]] + SnapshotTable[[#This Row],[SP Total Value]], "")</f>
        <v/>
      </c>
      <c r="DH145" s="272" t="str">
        <f>IF(ISNUMBER((SnapshotTable[[#This Row],[SP Total Value]])), SnapshotTable[[#This Row],[SP Gain Loss]] / SnapshotTable[[#This Row],[SP Premium]], "")</f>
        <v/>
      </c>
      <c r="DI145" s="369"/>
      <c r="DJ145" s="136"/>
      <c r="DK145" s="146"/>
      <c r="DL145" s="13"/>
      <c r="DM145" s="13"/>
      <c r="DO145" s="31">
        <f>IF(SnapshotTable[[#This Row],[LC Symbol Count]]=1, SnapshotTable[[#This Row],[LC Qty]] * SnapshotTable[[#This Row],[LC Book Price]] * 100, 0)</f>
        <v>0</v>
      </c>
      <c r="DP145" s="161" t="str">
        <f>IF(AND(SnapshotTable[[#This Row],[LC Exp Date]]&gt;0, SnapshotTable[[#This Row],[LC Strike Price]]&gt;0,SnapshotTable[[#This Row],[LC Qty]]&gt;0,SnapshotTable[[#This Row],[LC Book Date]]&gt;0,SnapshotTable[[#This Row],[LC Book Price]]&gt;0,SnapshotTable[[#This Row],[LC Fill Date]]=0),"Y","")</f>
        <v/>
      </c>
      <c r="DQ145" s="356" t="str">
        <f>IF(SnapshotTable[[#This Row],[LC Premium]] &gt; 0,SnapshotTable[[#This Row],[LC Exp Date]]-MAX(SnapshotTable[[#This Row],[LC Book Date]], SnapshotTable[[#This Row],[LC Fill Date]]),"")</f>
        <v/>
      </c>
      <c r="DR145" s="356" t="str">
        <f>IF(ISNUMBER(SnapshotTable[[#This Row],[LC Term]]), SnapshotTable[[#This Row],[LC Exp Date]] - MockToday, "")</f>
        <v/>
      </c>
      <c r="DS145" s="219" t="str">
        <f>IF(SnapshotTable[[#This Row],[LC Premium]]&gt;0,SnapshotTable[[#This Row],[LC Strike Price]] + SnapshotTable[[#This Row],[LC Book Price]],"")</f>
        <v/>
      </c>
      <c r="DU145" s="9" t="str">
        <f>IF(AND(SnapshotTable[[#This Row],[LC Symbol Count]]&gt;0, SnapshotTable[[#This Row],[LC Contract Value]]&gt;0), SnapshotTable[[#This Row],[LC Contract Value]] * SnapshotTable[[#This Row],[LC Qty]] * 100, "")</f>
        <v/>
      </c>
      <c r="DV145" s="9" t="str">
        <f>IF(AND(ISNUMBER(SnapshotTable[[#This Row],[LC Total Value]]), SnapshotTable[[#This Row],[LC Not Filled]]&lt;&gt;"Y"), SnapshotTable[[#This Row],[LC Total Value]]-SnapshotTable[[#This Row],[LC Premium]],"")</f>
        <v/>
      </c>
      <c r="DW145" s="225" t="str">
        <f>IF(ISNUMBER(SnapshotTable[[#This Row],[LC Actual Gain Loss]]), SnapshotTable[[#This Row],[LC Actual Gain Loss]] / SnapshotTable[[#This Row],[LC Premium]],"")</f>
        <v/>
      </c>
      <c r="DX145" s="269" t="str">
        <f>IF(ISNUMBER(SnapshotTable[[#This Row],[LC Book Price]]),SnapshotTable[[#This Row],[LC Book Price]] * 1.5,"")</f>
        <v/>
      </c>
      <c r="DY145" s="250" t="str">
        <f>IF(SnapshotTable[[#This Row],[LC Premium]]&gt;0, SnapshotTable[[#This Row],[LC Next Target]] * SnapshotTable[[#This Row],[LC Qty]] * 100,"")</f>
        <v/>
      </c>
      <c r="DZ145" s="250" t="str">
        <f>IF(ISNUMBER(SnapshotTable[[#This Row],[LC Target Gross]]), SnapshotTable[[#This Row],[LC Target Gross]] - SnapshotTable[[#This Row],[LC Premium]], "")</f>
        <v/>
      </c>
      <c r="EA145" s="283" t="str">
        <f>IF(ISNUMBER(SnapshotTable[[#This Row],[LC Target Gain Loss]]), SnapshotTable[[#This Row],[LC Target Gain Loss]]/SnapshotTable[[#This Row],[LC Premium]], "")</f>
        <v/>
      </c>
      <c r="EB145" s="247"/>
      <c r="EC145" s="268" t="str">
        <f>IF(SnapshotTable[[#This Row],[LC Premium]]&gt;0, SnapshotTable[[#This Row],[LC Book Price]] * (1 - LC_StopLoss_Pct),"")</f>
        <v/>
      </c>
      <c r="ED145" s="269"/>
      <c r="EE145" s="268" t="str">
        <f>IF(ISNUMBER(SnapshotTable[[#This Row],[LC Contract Value]]),IF(ISNUMBER(SnapshotTable[[#This Row],[LC Stop Loss Override]]), SnapshotTable[[#This Row],[LC Stop Loss Override]],SnapshotTable[[#This Row],[LC Stop Loss Calc Target]]),"")</f>
        <v/>
      </c>
      <c r="EF145" s="31" t="str">
        <f>IF(ISNUMBER(SnapshotTable[[#This Row],[LC Stop  To Use]]), (SnapshotTable[[#This Row],[LC Stop  To Use]] * SnapshotTable[[#This Row],[LC Qty]] * 100),"")</f>
        <v/>
      </c>
      <c r="EG145" s="9" t="str">
        <f>IF(ISNUMBER(SnapshotTable[[#This Row],[LC Total Value]]),SnapshotTable[[#This Row],[LC Stop Loss Amount]] - SnapshotTable[[#This Row],[LC Premium]],"")</f>
        <v/>
      </c>
      <c r="EH145" s="9">
        <f>IF(ISNUMBER(SnapshotTable[[#This Row],[LC Premium]]), SnapshotTable[[#This Row],[LC Qty]] * 100 * SnapshotTable[[#This Row],[LC Strike Price]], "")</f>
        <v>0</v>
      </c>
      <c r="EI145" s="225" t="str">
        <f>IF(AND(ISNUMBER(SnapshotTable[[#This Row],[LC Total Value]]),SnapshotTable[[#This Row],[LC Total Value]]&gt;0),SnapshotTable[[#This Row],[LC Stop Gain Loss]]  / SnapshotTable[[#This Row],[LC Premium]],"")</f>
        <v/>
      </c>
      <c r="EJ145" s="35">
        <f>IF(ISNUMBER(SnapshotTable[[#This Row],[Equity Shares]]),TRUNC(SnapshotTable[[#This Row],[Equity Shares]] / 100),0) + SnapshotTable[[#This Row],[LC Qty]]</f>
        <v>0</v>
      </c>
      <c r="EK145" s="145"/>
      <c r="EL145" s="136"/>
      <c r="EM145" s="146"/>
      <c r="EN145" s="145"/>
      <c r="EO145" s="145"/>
      <c r="EP145" s="136"/>
      <c r="EQ145" s="382" t="b">
        <f>AND(ISNUMBER(SnapshotTable[[#This Row],[SC Exp Date]]), ISNUMBER(SnapshotTable[[#This Row],[SC Strike Price]]), ISNUMBER(SnapshotTable[[#This Row],[SC Qty]]), ISNUMBER(SnapshotTable[[#This Row],[SC Book Date]]), ISNUMBER(SnapshotTable[[#This Row],[SC Book Price]]))</f>
        <v>0</v>
      </c>
      <c r="ER145" s="382" t="b">
        <f>AND(SnapshotTable[[#This Row],[SC Is Booked]], NOT(ISBLANK(SnapshotTable[[#This Row],[SC Fill Date]])))</f>
        <v>0</v>
      </c>
      <c r="ES145" s="340"/>
      <c r="ET145" s="34" t="str">
        <f>IF(AND(ISNUMBER(SnapshotTable[[#This Row],[SC Exp Date]]), ISNUMBER(SnapshotTable[[#This Row],[SC Book Date]])), SnapshotTable[[#This Row],[SC Exp Date]] - MAX(SnapshotTable[[#This Row],[SC Book Date]], SnapshotTable[[#This Row],[SC Fill Date]]) + 1, "")</f>
        <v/>
      </c>
      <c r="EU145" s="34" t="str">
        <f>IF(ISNUMBER(SnapshotTable[[#This Row],[SC Term]]), SnapshotTable[[#This Row],[SC Exp Date]]- MockToday, "")</f>
        <v/>
      </c>
      <c r="EV145" s="31">
        <f>IF(SnapshotTable[[#This Row],[SC Is Booked]], SnapshotTable[[#This Row],[SC Qty]] * SnapshotTable[[#This Row],[SC Book Price]] * 100, 0)</f>
        <v>0</v>
      </c>
      <c r="EW145" s="4" t="str">
        <f>IF(AND(ISNUMBER(SnapshotTable[[#This Row],[Last Price]]), ISNUMBER( SnapshotTable[[#This Row],[SC Book Price]])), SnapshotTable[[#This Row],[Last Price]] - SnapshotTable[[#This Row],[SC Book Price]],"")</f>
        <v/>
      </c>
      <c r="EX145" s="219" t="str">
        <f>IF(SnapshotTable[[#This Row],[SC Is Booked]],IF(SnapshotTable[[#This Row],[SC Intrinsic Value]] &gt; 0, SnapshotTable[[#This Row],[SC Strike Price]], SnapshotTable[[#This Row],[Last Price]]), "")</f>
        <v/>
      </c>
      <c r="EY145" s="4">
        <f>IF(SnapshotTable[[#This Row],[SC Is Booked]], (MinimumPremiumRequired * SnapshotTable[[#This Row],[SC Basis]] * SnapshotTable[[#This Row],[SC Term]]), 0)</f>
        <v>0</v>
      </c>
      <c r="EZ145" s="268"/>
      <c r="FA145" s="204"/>
      <c r="FB145" s="340"/>
      <c r="FC145" s="4">
        <f>IF(SnapshotTable[[#This Row],[SC Is Filled]], btc_max_buyback_amount(SnapshotTable[[#This Row],[SC Fill Date]],SnapshotTable[[#This Row],[SC Exp Date]], SnapshotTable[[#This Row],[SC Book Price]]),0)</f>
        <v>0</v>
      </c>
      <c r="FD145" s="5"/>
      <c r="FE145" s="142" t="str">
        <f>IF(SnapshotTable[[#This Row],[SC Is Filled]], btc_next_cutoff_date(SnapshotTable[[#This Row],[SC Fill Date]],SnapshotTable[[#This Row],[SC Exp Date]]),"")</f>
        <v/>
      </c>
      <c r="FF145" s="4" t="str" cm="1">
        <f t="array" ref="FF145">IF(SnapshotTable[[#This Row],[SC Is Filled]], btc_should_buy_back(SnapshotTable[[#This Row],[SC Fill Date]], SnapshotTable[[#This Row],[SC Exp Date]], SnapshotTable[[#This Row],[SC Book Price]], SnapshotTable[[#This Row],[SC Current Ask]], MockToday, SnapshotTable[[#This Row],[SC Buyback Override]]),"")</f>
        <v/>
      </c>
      <c r="FG145" s="4">
        <f>IF(SnapshotTable[[#This Row],[SC Is Filled]], MAX(0,SnapshotTable[[#This Row],[Last Price]]  - SnapshotTable[[#This Row],[SC Strike Price]]), 0)</f>
        <v>0</v>
      </c>
      <c r="FH145" s="352">
        <f>IF(SnapshotTable[[#This Row],[SC Is Filled]], IF(ISNUMBER(SnapshotTable[[#This Row],[SC Current Ask]]), SnapshotTable[[#This Row],[SC Current Ask]], SnapshotTable[[#This Row],[SC Book Price]]) - SnapshotTable[[#This Row],[SC Intrinsic Value]], 0)</f>
        <v>0</v>
      </c>
      <c r="FI145" s="141"/>
      <c r="FJ145" s="32" t="str">
        <f>IF(SnapshotTable[[#This Row],[SC Is Filled]],100 * SnapshotTable[[#This Row],[SC Qty]] * IF(ISNUMBER(SnapshotTable[[#This Row],[SC Buyback Override]]), SnapshotTable[[#This Row],[SC Buyback Override]], SnapshotTable[[#This Row],[SC Current Ask]]), "")</f>
        <v/>
      </c>
      <c r="FK145" s="235" t="str">
        <f>IF(SnapshotTable[[#This Row],[SC Time Val]]&gt;0, SnapshotTable[[#This Row],[SC Time Val]] / SnapshotTable[[#This Row],[Last Price]],"")</f>
        <v/>
      </c>
      <c r="FL145" s="280" t="str">
        <f>IF(SnapshotTable[[#This Row],[SC Is Booked]], ((SnapshotTable[[#This Row],[Last Price]] -SnapshotTable[[#This Row],[SC Strike Price]]) / SnapshotTable[[#This Row],[Last Price]]) * -1, "")</f>
        <v/>
      </c>
      <c r="FM145" s="155" t="str">
        <f>IF(SnapshotTable[[#This Row],[SC Is Booked]],  (SnapshotTable[[#This Row],[SC Qty]] * 100 * SnapshotTable[[#This Row],[SC Strike Price]]) - SnapshotTable[[#This Row],[SC Current Ask]], "")</f>
        <v/>
      </c>
      <c r="FN1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5" s="31" t="str">
        <f>IF(AND(ISNUMBER(SnapshotTable[[#This Row],[SC Exercise Gross]]), ISNUMBER(SnapshotTable[[#This Row],[Equity Basis Per Share]] )), SnapshotTable[[#This Row],[SC Exercise Gross]] - SnapshotTable[[#This Row],[Equity Basis Total]] +  SnapshotTable[[#This Row],[SC Premium]], "")</f>
        <v/>
      </c>
      <c r="FP145" s="5" t="str">
        <f>IF(ISNUMBER(SnapshotTable[[#This Row],[SC Exercise Gross]]), (SnapshotTable[[#This Row],[SC Exercise Gross]]) / (SnapshotTable[[#This Row],[SC Qty]] * 100), "")</f>
        <v/>
      </c>
      <c r="FQ145" s="27" t="str">
        <f>IF(SnapshotTable[[#This Row],[SC Is Booked]],SnapshotTable[[#This Row],[SC Time Val]] /SnapshotTable[[#This Row],[SC Basis]], "")</f>
        <v/>
      </c>
      <c r="FR145" s="27" t="str" cm="1">
        <f t="array" ref="FR145">IF(AND(ISNUMBER(SnapshotTable[[#This Row],[SC Term]]),ISNUMBER(SnapshotTable[[#This Row],[SC Simple ROO]])), EllmanAnnualize(SnapshotTable[[#This Row],[SC DTE]], SnapshotTable[[#This Row],[SC Simple ROO]] ),"")</f>
        <v/>
      </c>
      <c r="FS145" s="4">
        <f>IF(SnapshotTable[[#This Row],[SC Strike Price]] &gt; SnapshotTable[[#This Row],[Last Price]], SnapshotTable[[#This Row],[SC Strike Price]] - SnapshotTable[[#This Row],[Last Price]],0)</f>
        <v>0</v>
      </c>
      <c r="FT145" s="27" t="str">
        <f>IF(AND(ISNUMBER(SnapshotTable[[#This Row],[SC Upside Potential]]), SnapshotTable[[#This Row],[SC Upside Potential]] &gt; 0),(SnapshotTable[[#This Row],[SC Upside Potential]]/ SnapshotTable[[#This Row],[ACB]]),"")</f>
        <v/>
      </c>
      <c r="FU145" s="304" t="str">
        <f>IF(SnapshotTable[[#This Row],[SC Intrinsic Value]] &gt; 0,SnapshotTable[[#This Row],[SC Intrinsic Value]],"")</f>
        <v/>
      </c>
      <c r="FV145" s="27" t="str">
        <f>IF(AND( ISNUMBER( SnapshotTable[[#This Row],[ACB]]),ISNUMBER(SnapshotTable[[#This Row],[SC Downside Protect]])),SnapshotTable[[#This Row],[SC Downside Protect]] / SnapshotTable[[#This Row],[ACB]],"")</f>
        <v/>
      </c>
      <c r="FW145" s="221" t="str">
        <f>IF(AND(ISNUMBER(SnapshotTable[[#This Row],[SC Simple ROO]]),SnapshotTable[[#This Row],[SC Simple ROO]] &gt; 0), SnapshotTable[[#This Row],[SC Premium]] + (SnapshotTable[[#This Row],[SC Qty]] * SnapshotTable[[#This Row],[SC Upside Potential]]), "")</f>
        <v/>
      </c>
      <c r="FX145" s="280" t="str" cm="1">
        <f t="array" ref="FX145">IF(ISNUMBER(SnapshotTable[[#This Row],[SC Max Dollars]]), annualize(SnapshotTable[[#This Row],[SC Term]],(SnapshotTable[[#This Row],[SC Max Dollars]]/SnapshotTable[[#This Row],[SC Basis]])),"")</f>
        <v/>
      </c>
      <c r="FY145" s="221" t="str">
        <f>IF(AND(SnapshotTable[[#This Row],[SC Qty]]&gt;0,SnapshotTable[[#This Row],[SC Current Ask]]&gt;0), SnapshotTable[[#This Row],[SC Qty]] * SnapshotTable[[#This Row],[SC Current Ask]] * -100, "")</f>
        <v/>
      </c>
      <c r="FZ145" s="31" t="str">
        <f>IF(ISNUMBER((SnapshotTable[[#This Row],[SC Current Value]])), SnapshotTable[[#This Row],[SC Premium]] + SnapshotTable[[#This Row],[SC Current Value]], "")</f>
        <v/>
      </c>
      <c r="GA145" s="272" t="str">
        <f>IFERROR( IF(ISNUMBER((SnapshotTable[[#This Row],[SC Current Value]])), SnapshotTable[[#This Row],[SC Gain Loss]] / SnapshotTable[[#This Row],[SC Premium]], ""), "")</f>
        <v/>
      </c>
      <c r="GB145" s="42">
        <f>SnapshotTable[[#This Row],[Equity Shares]] * SaleSharesToConsiderPercentage</f>
        <v>0</v>
      </c>
      <c r="GC145" s="40">
        <f>SnapshotTable[[#This Row],[Long Term Target]] * SellingPriceToConsiderBasedOnTargetPercentage</f>
        <v>118.807</v>
      </c>
      <c r="GD145" s="40">
        <f>SnapshotTable[[#This Row],[Last Price]] * (1+ SellingPriceToConsiderBasedOnTargetPercentage)</f>
        <v>520.41599999999994</v>
      </c>
      <c r="GE145" s="41"/>
      <c r="GF145" s="40"/>
      <c r="GG145" s="31">
        <f>SnapshotTable[[#This Row],[Booked Sale Shares]] * SnapshotTable[[#This Row],[Booked Sale Price]]</f>
        <v>0</v>
      </c>
      <c r="GH145" s="31" t="str">
        <f>IF(SnapshotTable[[#This Row],[Equity Basis Total]] &gt; 0, SnapshotTable[[#This Row],[Equity Basis Per Share]] * SnapshotTable[[#This Row],[Booked Sale Shares]], "")</f>
        <v/>
      </c>
      <c r="GI145" s="31">
        <f>IF(SnapshotTable[[#This Row],[Sale Proceeds]]&gt;0, SnapshotTable[[#This Row],[Sale Proceeds]] - SnapshotTable[[#This Row],[Sale Basis]], 0)</f>
        <v>0</v>
      </c>
      <c r="GJ145" s="27" t="str">
        <f>IF(SnapshotTable[[#This Row],[Sale G/L]]&gt;0, SnapshotTable[[#This Row],[Sale G/L]] / SnapshotTable[[#This Row],[Sale Basis]], IF(ISNUMBER(SnapshotTable[[#This Row],[SC Exercise P&amp;L (TAX)]]), SnapshotTable[[#This Row],[SC Exercise P&amp;L (TAX)]] / SnapshotTable[[#This Row],[SC Basis]], ""))</f>
        <v/>
      </c>
      <c r="GK145" s="27" t="s">
        <v>572</v>
      </c>
      <c r="GL145" s="43" t="str">
        <f>IF(AND(SnapshotTable[[#This Row],[LP Exp Date]]&gt;0,SnapshotTable[[#This Row],[LP Strike Price]]&gt;0), [1]!ToOptionSymbol(SnapshotTable[[#This Row],[Symbol]], SnapshotTable[[#This Row],[LP Strike Price]],SnapshotTable[[#This Row],[LP Exp Date]],1), "")</f>
        <v/>
      </c>
      <c r="GM145" s="30" t="str">
        <f>IF(LEN(SnapshotTable[[#This Row],[LP Symbol]])&gt;0, 1, "")</f>
        <v/>
      </c>
      <c r="GN145" s="43" t="str">
        <f>IF(AND(SnapshotTable[[#This Row],[SP Exp Date]]&gt;0,SnapshotTable[[#This Row],[SP Strike Price]]&gt;0), [1]!ToOptionSymbol(SnapshotTable[[#This Row],[Symbol]], SnapshotTable[[#This Row],[SP Strike Price]],SnapshotTable[[#This Row],[SP Exp Date]],1), "")</f>
        <v/>
      </c>
      <c r="GO145" s="30" t="str">
        <f>IF(LEN(SnapshotTable[[#This Row],[SP Symbol]])&gt;0, 1, "")</f>
        <v/>
      </c>
      <c r="GP145" s="43" t="str">
        <f>IF(AND(SnapshotTable[[#This Row],[LC Exp Date]]&gt;0,SnapshotTable[[#This Row],[LC Strike Price]]&gt;0), [1]!ToOptionSymbol(SnapshotTable[[#This Row],[Symbol]], SnapshotTable[[#This Row],[LC Strike Price]],SnapshotTable[[#This Row],[LC Exp Date]],0), "")</f>
        <v/>
      </c>
      <c r="GQ145" s="30" t="str">
        <f>IF(LEN(SnapshotTable[[#This Row],[LC Symbol]])&gt;0, 1, "")</f>
        <v/>
      </c>
      <c r="GR145" s="43" t="str">
        <f>IF(AND(SnapshotTable[[#This Row],[SC Exp Date]]&gt;0,SnapshotTable[[#This Row],[SC Strike Price]]&gt;0), [1]!ToOptionSymbol(SnapshotTable[[#This Row],[Symbol]], SnapshotTable[[#This Row],[SC Strike Price]],SnapshotTable[[#This Row],[SC Exp Date]],0), "")</f>
        <v/>
      </c>
      <c r="GS145" s="30" t="str">
        <f>IF(LEN(SnapshotTable[[#This Row],[SC Symbol]])&gt;0, 1, "")</f>
        <v/>
      </c>
      <c r="GT145" s="29" t="str">
        <f>IF(COUNT(SnapshotTable[[#This Row],[LP Symbol Count]],SnapshotTable[[#This Row],[SP Symbol Count]],SnapshotTable[[#This Row],[LC Symbol Count]],SnapshotTable[[#This Row],[SC Symbol Count]])&gt;0, "Y", "")</f>
        <v/>
      </c>
      <c r="GU1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5" s="216">
        <f>MAX(SnapshotTable[[#This Row],[Equity Basis Total]],SnapshotTable[[#This Row],[Equity Value]]) + (SnapshotTable[[#This Row],[SP Potential Spend]]- SnapshotTable[[#This Row],[SP Premium]] + SnapshotTable[[#This Row],[LP Premium]])+ (SnapshotTable[[#This Row],[LC Premium]] - SnapshotTable[[#This Row],[SC Premium]])</f>
        <v>0</v>
      </c>
      <c r="GW145" s="137" t="str">
        <f>IF(AND(SnapshotTable[[#This Row],[Exposure]] &lt;&gt; 0),SnapshotTable[[#This Row],[Exposure]] / SnapshotTable[[#Totals],[Exposure]], "")</f>
        <v/>
      </c>
      <c r="HE145" s="253"/>
      <c r="HF145" s="253"/>
      <c r="HK145" s="1"/>
      <c r="HL145" s="1"/>
      <c r="HM145" s="1"/>
      <c r="HN145" s="1"/>
      <c r="HO145" s="1"/>
      <c r="HP145" s="1"/>
    </row>
    <row r="146" spans="2:224" ht="12.75" hidden="1" customHeight="1" x14ac:dyDescent="0.25">
      <c r="B146" s="12" t="s">
        <v>122</v>
      </c>
      <c r="C146" s="385">
        <v>112.09</v>
      </c>
      <c r="D146" s="200"/>
      <c r="E146" s="39">
        <f>SnapshotTable[[#This Row],[Last Price]]*(1 -CrashDiscount)</f>
        <v>95.276499999999999</v>
      </c>
      <c r="F146" s="26" t="s">
        <v>121</v>
      </c>
      <c r="G146" s="26" t="s">
        <v>120</v>
      </c>
      <c r="H146" s="147"/>
      <c r="I146" s="186">
        <v>44777.854166666664</v>
      </c>
      <c r="J146" s="187">
        <v>44777.854166666664</v>
      </c>
      <c r="K146" s="188"/>
      <c r="L146" s="297"/>
      <c r="M146" s="138"/>
      <c r="N146" s="138"/>
      <c r="O146" s="138"/>
      <c r="P146" s="22"/>
      <c r="Q146" s="25"/>
      <c r="R146" s="4" t="str">
        <f>IF(SnapshotTable[[#This Row],[Equity Basis Total]] &gt; 0, SnapshotTable[[#This Row],[Equity Basis Total]] / SnapshotTable[[#This Row],[Equity Shares]], "")</f>
        <v/>
      </c>
      <c r="S146" s="254">
        <f>SnapshotTable[[#This Row],[Last Price]] * SnapshotTable[[#This Row],[Equity Shares]]</f>
        <v>0</v>
      </c>
      <c r="T146" s="254">
        <f>SnapshotTable[[#This Row],[Equity Value]] - SnapshotTable[[#This Row],[Equity Basis Total]]</f>
        <v>0</v>
      </c>
      <c r="U146" s="255" t="str">
        <f>IF(SnapshotTable[[#This Row],[Equity Basis Total]] &gt; 0, SnapshotTable[[#This Row],[Equity G/L]] / SnapshotTable[[#This Row],[Equity Basis Total]], "")</f>
        <v/>
      </c>
      <c r="V146" s="253"/>
      <c r="W146" s="253"/>
      <c r="X146" s="4" t="str">
        <f>IF(AND(ISNUMBER(SnapshotTable[[#This Row],[Equity Basis Per Share]]),ISNUMBER(SnapshotTable[[#This Row],[Equity Target]])),SnapshotTable[[#This Row],[Equity Target]]-SnapshotTable[[#This Row],[Equity Basis Per Share]],"")</f>
        <v/>
      </c>
      <c r="Y146" s="4" t="str">
        <f>IF(AND(ISNUMBER(SnapshotTable[[#This Row],[Equity Basis Per Share]]),ISNUMBER(SnapshotTable[[#This Row],[Equity Stop Loss]])),SnapshotTable[[#This Row],[Equity Stop Loss]]-SnapshotTable[[#This Row],[Equity Basis Per Share]],"")</f>
        <v/>
      </c>
      <c r="Z146" s="260" t="str">
        <f>IFERROR( TEXT(SnapshotTable[[#This Row],[Equity Max Gain Per Share]] /ABS( SnapshotTable[[#This Row],[Equity Max Loss Per Share]]),"0.0 " ) &amp; " : 1", "")</f>
        <v/>
      </c>
      <c r="AA146" s="31" t="str">
        <f>IF(ISNUMBER(SnapshotTable[[#This Row],[Equity Max Gain Per Share]]),SnapshotTable[[#This Row],[Equity Max Gain Per Share]] * SnapshotTable[[#This Row],[Equity Shares]],"")</f>
        <v/>
      </c>
      <c r="AB146" s="31" t="str">
        <f>IF(ISNUMBER(SnapshotTable[[#This Row],[Equity Max Loss Per Share]]),SnapshotTable[[#This Row],[Equity Max Loss Per Share]] * SnapshotTable[[#This Row],[Equity Shares]],"")</f>
        <v/>
      </c>
      <c r="AC146" s="148">
        <v>2.6</v>
      </c>
      <c r="AD146" s="149">
        <v>42353</v>
      </c>
      <c r="AE146" s="31">
        <f>(SnapshotTable[[#This Row],[Annual Dividend Per Share]] / 4) * SnapshotTable[[#This Row],[Equity Shares]]</f>
        <v>0</v>
      </c>
      <c r="AF146" s="31">
        <f>SnapshotTable[[#This Row],[Quarterly Div $]] * 4</f>
        <v>0</v>
      </c>
      <c r="AG146" s="7">
        <f>IF(SnapshotTable[[#This Row],[Annual Dividend Per Share]]&gt;0, SnapshotTable[[#This Row],[Annual Dividend Per Share]]  / SnapshotTable[[#This Row],[Last Price]], 0)</f>
        <v>2.3195646355607103E-2</v>
      </c>
      <c r="AH146" s="149">
        <v>42229</v>
      </c>
      <c r="AI146" s="5"/>
      <c r="AJ146" s="136">
        <v>63</v>
      </c>
      <c r="AK146" s="150" t="str">
        <f>IF(ISNUMBER( SnapshotTable[[#This Row],[EBF Target]]),(SnapshotTable[[#This Row],[EBF Target]] - SnapshotTable[[#This Row],[Last Price]]) / SnapshotTable[[#This Row],[Last Price]], "")</f>
        <v/>
      </c>
      <c r="AL146" s="150" t="str">
        <f>IF(AND(SnapshotTable[[#This Row],[Equity Basis Total]] &gt; 0,ISNUMBER( SnapshotTable[[#This Row],[Long Term Target]])), SnapshotTable[[#This Row],[From Basis $]] / SnapshotTable[[#This Row],[Equity Basis Total]], "")</f>
        <v/>
      </c>
      <c r="AM146" s="9">
        <f>IF( AND(SnapshotTable[[#This Row],[Equity Shares]] &gt;0,ISNUMBER( SnapshotTable[[#This Row],[Long Term Target]])),(SnapshotTable[[#This Row],[Equity Shares]] * SnapshotTable[[#This Row],[Long Term Target]]) - SnapshotTable[[#This Row],[Equity Basis Total]],0)</f>
        <v>0</v>
      </c>
      <c r="AN146" s="9">
        <f>IF( AND(SnapshotTable[[#This Row],[Equity Shares]] &gt;0,ISNUMBER( SnapshotTable[[#This Row],[Long Term Target]])),(SnapshotTable[[#This Row],[Equity Shares]]*SnapshotTable[[#This Row],[Long Term Target]]) - SnapshotTable[[#This Row],[Equity Value]],0)</f>
        <v>0</v>
      </c>
      <c r="AO146" s="150">
        <f>IF(AND(ISNUMBER( SnapshotTable[[#This Row],[Long Term Target]]), ISNUMBER(SnapshotTable[[#This Row],[Last Price]])),(SnapshotTable[[#This Row],[Long Term Target]] - SnapshotTable[[#This Row],[Last Price]]) / SnapshotTable[[#This Row],[Last Price]], "")</f>
        <v>-0.43795164599875103</v>
      </c>
      <c r="AP146" s="5"/>
      <c r="AQ146" s="38"/>
      <c r="AR146" s="5"/>
      <c r="AS146" s="38"/>
      <c r="AT146" s="144"/>
      <c r="AU146" s="185" t="str">
        <f>IF(OR(SnapshotTable[[#This Row],[LP No Fill]]="Y",SnapshotTable[[#This Row],[SP Is Filled]],SnapshotTable[[#This Row],[LC Not Filled]]="Y",SnapshotTable[[#This Row],[SC Is Filled]]),"Y","")</f>
        <v/>
      </c>
      <c r="AV146" s="205"/>
      <c r="AW146" s="211"/>
      <c r="AX146" s="206"/>
      <c r="AY146" s="205" t="str">
        <f>IF(SnapshotTable[[#This Row],[Implied Move]]&gt;0, SnapshotTable[[#This Row],[Last Price]]-SnapshotTable[[#This Row],[Implied Move]],"")</f>
        <v/>
      </c>
      <c r="AZ146" s="205" t="str">
        <f>IF(SnapshotTable[[#This Row],[Implied Move]]&gt;0, SnapshotTable[[#This Row],[Last Price]] + SnapshotTable[[#This Row],[Implied Move]],"")</f>
        <v/>
      </c>
      <c r="BA146" s="302"/>
      <c r="BB146" s="318"/>
      <c r="BC14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6" s="321"/>
      <c r="BE146" s="5"/>
      <c r="BF146" s="14"/>
      <c r="BG146" s="13"/>
      <c r="BH146" s="13"/>
      <c r="BI146" s="5"/>
      <c r="BJ146" s="134">
        <f>IF(SnapshotTable[[#This Row],[LP Qty]] &gt; 0, SnapshotTable[[#This Row],[LP Qty]] * SnapshotTable[[#This Row],[LP Book Price]] * 100,0)</f>
        <v>0</v>
      </c>
      <c r="BK146" s="134">
        <f>IF(SnapshotTable[[#This Row],[LP Premium]] &gt; 0, SnapshotTable[[#This Row],[LP Qty]] * SnapshotTable[[#This Row],[LP Strike Price]] * 100,0)</f>
        <v>0</v>
      </c>
      <c r="BL146" s="152"/>
      <c r="BM146" s="355" t="str">
        <f>IF(SnapshotTable[[#This Row],[LP Premium]] &gt; 0,SnapshotTable[[#This Row],[LP Exp Date]]-MAX(SnapshotTable[[#This Row],[LP Book Date]], SnapshotTable[[#This Row],[LP Fill Date]]),"")</f>
        <v/>
      </c>
      <c r="BN146" s="355" t="str">
        <f>IF(ISNUMBER( SnapshotTable[[#This Row],[LP Term]]), SnapshotTable[[#This Row],[LP Exp Date]] - MockToday,"")</f>
        <v/>
      </c>
      <c r="BO146" s="161" t="str">
        <f>IF(AND(SnapshotTable[[#This Row],[LP Exp Date]]&gt;0, SnapshotTable[[#This Row],[LP Strike Price]]&gt;0,SnapshotTable[[#This Row],[LP Qty]]&gt;0,SnapshotTable[[#This Row],[LP Book Date]]&gt;0,SnapshotTable[[#This Row],[LP Book Price]]&gt;0,SnapshotTable[[#This Row],[LP Fill Date]]=0),"Y","")</f>
        <v/>
      </c>
      <c r="BP146" s="31" t="str">
        <f>IF(AND(SnapshotTable[[#This Row],[LP No Fill]]&lt;&gt;"Y",SnapshotTable[[#This Row],[LP Contract Value]]&gt;0, SnapshotTable[[#This Row],[LP Qty]]&gt;0), SnapshotTable[[#This Row],[LP Contract Value]]*SnapshotTable[[#This Row],[LP Qty]]*100,"")</f>
        <v/>
      </c>
      <c r="BQ146" s="13"/>
      <c r="BR146" s="5"/>
      <c r="BS146" s="36"/>
      <c r="BT146" s="145"/>
      <c r="BU146" s="13"/>
      <c r="BV146" s="5"/>
      <c r="BW146" s="382" t="b">
        <f>AND(ISNUMBER(SnapshotTable[[#This Row],[SP Exp Date]]), ISNUMBER(SnapshotTable[[#This Row],[SP Strike Price]]), ISNUMBER(SnapshotTable[[#This Row],[SP Qty]]), ISNUMBER(SnapshotTable[[#This Row],[SP Book Date]]), ISNUMBER(SnapshotTable[[#This Row],[SP Book Price]]))</f>
        <v>0</v>
      </c>
      <c r="BX146" s="382" t="b">
        <f>AND(SnapshotTable[[#This Row],[SP Is Booked]], NOT(ISBLANK(SnapshotTable[[#This Row],[SP Fill Date]])))</f>
        <v>0</v>
      </c>
      <c r="BY146" s="33">
        <f>IF(SnapshotTable[[#This Row],[SP Is Booked]], SnapshotTable[[#This Row],[SP Qty]] * SnapshotTable[[#This Row],[SP Book Price]] * 100, 0)</f>
        <v>0</v>
      </c>
      <c r="BZ146" s="339"/>
      <c r="CA146" s="338">
        <f>SnapshotTable[[#This Row],[LP Qty]]</f>
        <v>0</v>
      </c>
      <c r="CB146" s="4" t="str">
        <f>IF(SnapshotTable[[#This Row],[SP Is Booked]], SnapshotTable[[#This Row],[SP Strike Price]] - SnapshotTable[[#This Row],[SP Book Price]], "")</f>
        <v/>
      </c>
      <c r="CC146" s="19" t="str">
        <f>IF(SnapshotTable[[#This Row],[SP Is Booked]],SnapshotTable[[#This Row],[SP Exp Date]]-MAX(SnapshotTable[[#This Row],[SP Book Date]], SnapshotTable[[#This Row],[SP Fill Date]]),"")</f>
        <v/>
      </c>
      <c r="CD146" s="7" t="str">
        <f>IF(SnapshotTable[[#This Row],[SP Is Booked]], SnapshotTable[[#This Row],[SP Book Price]]/SnapshotTable[[#This Row],[SP Strike Price]], "")</f>
        <v/>
      </c>
      <c r="CE146" s="7" t="str">
        <f>IF(ISNUMBER(SnapshotTable[[#This Row],[SP ROO Term]]),SnapshotTable[[#This Row],[SP ROO Term]]*(365/SnapshotTable[[#This Row],[SP Term]]),"")</f>
        <v/>
      </c>
      <c r="CF146" s="221">
        <f>SnapshotTable[[#This Row],[LP Strike Price]] * SnapshotTable[[#This Row],[LP Qty]] * 100</f>
        <v>0</v>
      </c>
      <c r="CG146" s="31">
        <f>IF(ISNUMBER(SnapshotTable[[#This Row],[SP Premium]]), (SnapshotTable[[#This Row],[SP Qty]] * SnapshotTable[[#This Row],[SP Strike Price]]* 100) - SnapshotTable[[#This Row],[LP Protection]], 0)</f>
        <v>0</v>
      </c>
      <c r="CH146" s="7" t="str">
        <f>IF(ISNUMBER(SnapshotTable[[#This Row],[SP Break Even]]),-1 * (SnapshotTable[[#This Row],[SP Break Even]] - SnapshotTable[[#This Row],[Last Price]]) / SnapshotTable[[#This Row],[Last Price]], "")</f>
        <v/>
      </c>
      <c r="CI146" s="31">
        <f>IF(AND(ISNUMBER((SnapshotTable[[#This Row],[SP Potential Spend]])), SnapshotTable[[#This Row],[SP Strike Price]] &gt; SnapshotTable[[#This Row],[Last Price]], SnapshotTable[[#This Row],[SP Is Filled]]), SnapshotTable[[#This Row],[SP Potential Spend]] -  SnapshotTable[[#This Row],[LP Max Value]], 0)</f>
        <v>0</v>
      </c>
      <c r="CJ146" s="229"/>
      <c r="CK146" s="31">
        <f>IF(ISNUMBER(SnapshotTable[[#This Row],[SP Potential Spend]]),IF(ISNUMBER(SnapshotTable[[#This Row],[SP POW]]), SnapshotTable[[#This Row],[SP POW]] * SnapshotTable[[#This Row],[SP Potential Spend]], SnapshotTable[[#This Row],[SP Potential Spend]]), "")</f>
        <v>0</v>
      </c>
      <c r="CL146" s="162">
        <f>IF(NOT(SnapshotTable[[#This Row],[SP Is Filled]]),(SnapshotTable[[#This Row],[SP Qty]] * SnapshotTable[[#This Row],[SP Strike Price]] * 100) - SnapshotTable[[#This Row],[LP Max Value]],"")</f>
        <v>0</v>
      </c>
      <c r="CM146" s="31" t="str">
        <f>IF(SnapshotTable[[#This Row],[SP Actual Spend]]&lt;&gt;0, ((SnapshotTable[[#This Row],[SP Strike Price]]-SnapshotTable[[#This Row],[Last Price]]) *(SnapshotTable[[#This Row],[SP Qty]]*100) - SnapshotTable[[#This Row],[SP Premium]]) * - 1, "")</f>
        <v/>
      </c>
      <c r="CN146" s="76"/>
      <c r="CO146" s="339"/>
      <c r="CP146" s="4" t="str">
        <f>IF(SnapshotTable[[#This Row],[SP Is Filled]], btc_max_buyback_amount(SnapshotTable[[#This Row],[SP Fill Date]],SnapshotTable[[#This Row],[SP Exp Date]], SnapshotTable[[#This Row],[SP Book Price]]),"")</f>
        <v/>
      </c>
      <c r="CQ146" s="76"/>
      <c r="CR1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6" s="153" t="str">
        <f>IF(SnapshotTable[[#This Row],[SP Is Filled]], btc_next_cutoff_date(SnapshotTable[[#This Row],[SP Fill Date]],SnapshotTable[[#This Row],[SP Exp Date]]),"")</f>
        <v/>
      </c>
      <c r="CT146" s="220" t="str" cm="1">
        <f t="array" ref="CT146">IF(SnapshotTable[[#This Row],[SP Is Filled]], btc_should_buy_back(SnapshotTable[[#This Row],[SP Fill Date]], SnapshotTable[[#This Row],[SP Exp Date]], SnapshotTable[[#This Row],[SP Book Price]], SnapshotTable[[#This Row],[SP Current Ask]], MockToday, SnapshotTable[[#This Row],[SP Buyback Override]]),"")</f>
        <v/>
      </c>
      <c r="CU146" s="141"/>
      <c r="CV146" s="220"/>
      <c r="CW146" s="348" t="str">
        <f>IF(ISNUMBER( SnapshotTable[[#This Row],[SP Term]]), SnapshotTable[[#This Row],[SP Exp Date]] - MockToday,"")</f>
        <v/>
      </c>
      <c r="CX146" s="31" t="str">
        <f>IF(SnapshotTable[[#This Row],[SP Is Filled]],SnapshotTable[[#This Row],[SP Buyback Price to Use]] * 100 * SnapshotTable[[#This Row],[SP Qty]], "")</f>
        <v/>
      </c>
      <c r="CY146" s="4" t="str">
        <f>IF(ISNUMBER(SnapshotTable[[#This Row],[SP Strike Price]]), SnapshotTable[[#This Row],[SP Strike Price]] * (1 - SP_MaxLoss_StrikePct), "")</f>
        <v/>
      </c>
      <c r="CZ146" s="31" t="str">
        <f>IF(ISNUMBER(SnapshotTable[[#This Row],[SP Strike  Stop Per Share]]),SnapshotTable[[#This Row],[SP Premium]] - ((SnapshotTable[[#This Row],[SP Strike Price]]-SnapshotTable[[#This Row],[SP Strike  Stop Per Share]]) *(SnapshotTable[[#This Row],[SP Qty]] * 100)),"")</f>
        <v/>
      </c>
      <c r="DA146" s="4" t="str">
        <f>IF(AND(ISNUMBER(SnapshotTable[[#This Row],[SP Premium]]),SnapshotTable[[#This Row],[SP Premium]]&gt;0), SnapshotTable[[#This Row],[SP Book Price]] * (1 + SP_MaxLoss_OptionPct), "")</f>
        <v/>
      </c>
      <c r="DB146" s="31" t="str">
        <f>IF(ISNUMBER(SnapshotTable[[#This Row],[SP Option  Stop Contract]]),(SnapshotTable[[#This Row],[SP Option  Stop Contract]] *(SnapshotTable[[#This Row],[SP Qty]] * 100) - SnapshotTable[[#This Row],[SP Premium]]),"")</f>
        <v/>
      </c>
      <c r="DC146" s="4"/>
      <c r="DD146" s="4"/>
      <c r="DE146" s="4" t="str">
        <f>IF(AND(SnapshotTable[[#This Row],[SP Qty]]&gt;0, SnapshotTable[[#This Row],[SP Stop To Use]]&gt;0),SnapshotTable[[#This Row],[SP Premium]] - ( SnapshotTable[[#This Row],[SP Qty]] * SnapshotTable[[#This Row],[SP Stop To Use]] * 100), "")</f>
        <v/>
      </c>
      <c r="DF146" s="31" t="str">
        <f>IF(AND(SnapshotTable[[#This Row],[SP Qty]]&gt;0,SnapshotTable[[#This Row],[SP Current Ask]]&gt;0), SnapshotTable[[#This Row],[SP Qty]] * SnapshotTable[[#This Row],[SP Current Ask]] * -100, "")</f>
        <v/>
      </c>
      <c r="DG146" s="31" t="str">
        <f>IF(ISNUMBER((SnapshotTable[[#This Row],[SP Total Value]])), SnapshotTable[[#This Row],[SP Premium]] + SnapshotTable[[#This Row],[SP Total Value]], "")</f>
        <v/>
      </c>
      <c r="DH146" s="272" t="str">
        <f>IF(ISNUMBER((SnapshotTable[[#This Row],[SP Total Value]])), SnapshotTable[[#This Row],[SP Gain Loss]] / SnapshotTable[[#This Row],[SP Premium]], "")</f>
        <v/>
      </c>
      <c r="DI146" s="369"/>
      <c r="DJ146" s="136"/>
      <c r="DK146" s="146"/>
      <c r="DL146" s="13"/>
      <c r="DM146" s="13"/>
      <c r="DO146" s="31">
        <f>IF(SnapshotTable[[#This Row],[LC Symbol Count]]=1, SnapshotTable[[#This Row],[LC Qty]] * SnapshotTable[[#This Row],[LC Book Price]] * 100, 0)</f>
        <v>0</v>
      </c>
      <c r="DP146" s="161" t="str">
        <f>IF(AND(SnapshotTable[[#This Row],[LC Exp Date]]&gt;0, SnapshotTable[[#This Row],[LC Strike Price]]&gt;0,SnapshotTable[[#This Row],[LC Qty]]&gt;0,SnapshotTable[[#This Row],[LC Book Date]]&gt;0,SnapshotTable[[#This Row],[LC Book Price]]&gt;0,SnapshotTable[[#This Row],[LC Fill Date]]=0),"Y","")</f>
        <v/>
      </c>
      <c r="DQ146" s="356" t="str">
        <f>IF(SnapshotTable[[#This Row],[LC Premium]] &gt; 0,SnapshotTable[[#This Row],[LC Exp Date]]-MAX(SnapshotTable[[#This Row],[LC Book Date]], SnapshotTable[[#This Row],[LC Fill Date]]),"")</f>
        <v/>
      </c>
      <c r="DR146" s="356" t="str">
        <f>IF(ISNUMBER(SnapshotTable[[#This Row],[LC Term]]), SnapshotTable[[#This Row],[LC Exp Date]] - MockToday, "")</f>
        <v/>
      </c>
      <c r="DS146" s="219" t="str">
        <f>IF(SnapshotTable[[#This Row],[LC Premium]]&gt;0,SnapshotTable[[#This Row],[LC Strike Price]] + SnapshotTable[[#This Row],[LC Book Price]],"")</f>
        <v/>
      </c>
      <c r="DU146" s="9" t="str">
        <f>IF(AND(SnapshotTable[[#This Row],[LC Symbol Count]]&gt;0, SnapshotTable[[#This Row],[LC Contract Value]]&gt;0), SnapshotTable[[#This Row],[LC Contract Value]] * SnapshotTable[[#This Row],[LC Qty]] * 100, "")</f>
        <v/>
      </c>
      <c r="DV146" s="9" t="str">
        <f>IF(AND(ISNUMBER(SnapshotTable[[#This Row],[LC Total Value]]), SnapshotTable[[#This Row],[LC Not Filled]]&lt;&gt;"Y"), SnapshotTable[[#This Row],[LC Total Value]]-SnapshotTable[[#This Row],[LC Premium]],"")</f>
        <v/>
      </c>
      <c r="DW146" s="225" t="str">
        <f>IF(ISNUMBER(SnapshotTable[[#This Row],[LC Actual Gain Loss]]), SnapshotTable[[#This Row],[LC Actual Gain Loss]] / SnapshotTable[[#This Row],[LC Premium]],"")</f>
        <v/>
      </c>
      <c r="DX146" s="269" t="str">
        <f>IF(ISNUMBER(SnapshotTable[[#This Row],[LC Book Price]]),SnapshotTable[[#This Row],[LC Book Price]] * 1.5,"")</f>
        <v/>
      </c>
      <c r="DY146" s="250" t="str">
        <f>IF(SnapshotTable[[#This Row],[LC Premium]]&gt;0, SnapshotTable[[#This Row],[LC Next Target]] * SnapshotTable[[#This Row],[LC Qty]] * 100,"")</f>
        <v/>
      </c>
      <c r="DZ146" s="250" t="str">
        <f>IF(ISNUMBER(SnapshotTable[[#This Row],[LC Target Gross]]), SnapshotTable[[#This Row],[LC Target Gross]] - SnapshotTable[[#This Row],[LC Premium]], "")</f>
        <v/>
      </c>
      <c r="EA146" s="283" t="str">
        <f>IF(ISNUMBER(SnapshotTable[[#This Row],[LC Target Gain Loss]]), SnapshotTable[[#This Row],[LC Target Gain Loss]]/SnapshotTable[[#This Row],[LC Premium]], "")</f>
        <v/>
      </c>
      <c r="EB146" s="247"/>
      <c r="EC146" s="268" t="str">
        <f>IF(SnapshotTable[[#This Row],[LC Premium]]&gt;0, SnapshotTable[[#This Row],[LC Book Price]] * (1 - LC_StopLoss_Pct),"")</f>
        <v/>
      </c>
      <c r="ED146" s="269"/>
      <c r="EE146" s="268" t="str">
        <f>IF(ISNUMBER(SnapshotTable[[#This Row],[LC Contract Value]]),IF(ISNUMBER(SnapshotTable[[#This Row],[LC Stop Loss Override]]), SnapshotTable[[#This Row],[LC Stop Loss Override]],SnapshotTable[[#This Row],[LC Stop Loss Calc Target]]),"")</f>
        <v/>
      </c>
      <c r="EF146" s="31" t="str">
        <f>IF(ISNUMBER(SnapshotTable[[#This Row],[LC Stop  To Use]]), (SnapshotTable[[#This Row],[LC Stop  To Use]] * SnapshotTable[[#This Row],[LC Qty]] * 100),"")</f>
        <v/>
      </c>
      <c r="EG146" s="9" t="str">
        <f>IF(ISNUMBER(SnapshotTable[[#This Row],[LC Total Value]]),SnapshotTable[[#This Row],[LC Stop Loss Amount]] - SnapshotTable[[#This Row],[LC Premium]],"")</f>
        <v/>
      </c>
      <c r="EH146" s="9">
        <f>IF(ISNUMBER(SnapshotTable[[#This Row],[LC Premium]]), SnapshotTable[[#This Row],[LC Qty]] * 100 * SnapshotTable[[#This Row],[LC Strike Price]], "")</f>
        <v>0</v>
      </c>
      <c r="EI146" s="225" t="str">
        <f>IF(AND(ISNUMBER(SnapshotTable[[#This Row],[LC Total Value]]),SnapshotTable[[#This Row],[LC Total Value]]&gt;0),SnapshotTable[[#This Row],[LC Stop Gain Loss]]  / SnapshotTable[[#This Row],[LC Premium]],"")</f>
        <v/>
      </c>
      <c r="EJ146" s="35">
        <f>IF(ISNUMBER(SnapshotTable[[#This Row],[Equity Shares]]),TRUNC(SnapshotTable[[#This Row],[Equity Shares]] / 100),0) + SnapshotTable[[#This Row],[LC Qty]]</f>
        <v>0</v>
      </c>
      <c r="EK146" s="145"/>
      <c r="EL146" s="136"/>
      <c r="EM146" s="146"/>
      <c r="EN146" s="145"/>
      <c r="EO146" s="145"/>
      <c r="EP146" s="136"/>
      <c r="EQ146" s="382" t="b">
        <f>AND(ISNUMBER(SnapshotTable[[#This Row],[SC Exp Date]]), ISNUMBER(SnapshotTable[[#This Row],[SC Strike Price]]), ISNUMBER(SnapshotTable[[#This Row],[SC Qty]]), ISNUMBER(SnapshotTable[[#This Row],[SC Book Date]]), ISNUMBER(SnapshotTable[[#This Row],[SC Book Price]]))</f>
        <v>0</v>
      </c>
      <c r="ER146" s="382" t="b">
        <f>AND(SnapshotTable[[#This Row],[SC Is Booked]], NOT(ISBLANK(SnapshotTable[[#This Row],[SC Fill Date]])))</f>
        <v>0</v>
      </c>
      <c r="ES146" s="340"/>
      <c r="ET146" s="34" t="str">
        <f>IF(AND(ISNUMBER(SnapshotTable[[#This Row],[SC Exp Date]]), ISNUMBER(SnapshotTable[[#This Row],[SC Book Date]])), SnapshotTable[[#This Row],[SC Exp Date]] - MAX(SnapshotTable[[#This Row],[SC Book Date]], SnapshotTable[[#This Row],[SC Fill Date]]) + 1, "")</f>
        <v/>
      </c>
      <c r="EU146" s="34" t="str">
        <f>IF(ISNUMBER(SnapshotTable[[#This Row],[SC Term]]), SnapshotTable[[#This Row],[SC Exp Date]]- MockToday, "")</f>
        <v/>
      </c>
      <c r="EV146" s="31">
        <f>IF(SnapshotTable[[#This Row],[SC Is Booked]], SnapshotTable[[#This Row],[SC Qty]] * SnapshotTable[[#This Row],[SC Book Price]] * 100, 0)</f>
        <v>0</v>
      </c>
      <c r="EW146" s="4" t="str">
        <f>IF(AND(ISNUMBER(SnapshotTable[[#This Row],[Last Price]]), ISNUMBER( SnapshotTable[[#This Row],[SC Book Price]])), SnapshotTable[[#This Row],[Last Price]] - SnapshotTable[[#This Row],[SC Book Price]],"")</f>
        <v/>
      </c>
      <c r="EX146" s="219" t="str">
        <f>IF(SnapshotTable[[#This Row],[SC Is Booked]],IF(SnapshotTable[[#This Row],[SC Intrinsic Value]] &gt; 0, SnapshotTable[[#This Row],[SC Strike Price]], SnapshotTable[[#This Row],[Last Price]]), "")</f>
        <v/>
      </c>
      <c r="EY146" s="4">
        <f>IF(SnapshotTable[[#This Row],[SC Is Booked]], (MinimumPremiumRequired * SnapshotTable[[#This Row],[SC Basis]] * SnapshotTable[[#This Row],[SC Term]]), 0)</f>
        <v>0</v>
      </c>
      <c r="EZ146" s="268"/>
      <c r="FA146" s="204"/>
      <c r="FB146" s="340"/>
      <c r="FC146" s="4">
        <f>IF(SnapshotTable[[#This Row],[SC Is Filled]], btc_max_buyback_amount(SnapshotTable[[#This Row],[SC Fill Date]],SnapshotTable[[#This Row],[SC Exp Date]], SnapshotTable[[#This Row],[SC Book Price]]),0)</f>
        <v>0</v>
      </c>
      <c r="FD146" s="5"/>
      <c r="FE146" s="142" t="str">
        <f>IF(SnapshotTable[[#This Row],[SC Is Filled]], btc_next_cutoff_date(SnapshotTable[[#This Row],[SC Fill Date]],SnapshotTable[[#This Row],[SC Exp Date]]),"")</f>
        <v/>
      </c>
      <c r="FF146" s="4" t="str" cm="1">
        <f t="array" ref="FF146">IF(SnapshotTable[[#This Row],[SC Is Filled]], btc_should_buy_back(SnapshotTable[[#This Row],[SC Fill Date]], SnapshotTable[[#This Row],[SC Exp Date]], SnapshotTable[[#This Row],[SC Book Price]], SnapshotTable[[#This Row],[SC Current Ask]], MockToday, SnapshotTable[[#This Row],[SC Buyback Override]]),"")</f>
        <v/>
      </c>
      <c r="FG146" s="4">
        <f>IF(SnapshotTable[[#This Row],[SC Is Filled]], MAX(0,SnapshotTable[[#This Row],[Last Price]]  - SnapshotTable[[#This Row],[SC Strike Price]]), 0)</f>
        <v>0</v>
      </c>
      <c r="FH146" s="352">
        <f>IF(SnapshotTable[[#This Row],[SC Is Filled]], IF(ISNUMBER(SnapshotTable[[#This Row],[SC Current Ask]]), SnapshotTable[[#This Row],[SC Current Ask]], SnapshotTable[[#This Row],[SC Book Price]]) - SnapshotTable[[#This Row],[SC Intrinsic Value]], 0)</f>
        <v>0</v>
      </c>
      <c r="FI146" s="141"/>
      <c r="FJ146" s="32" t="str">
        <f>IF(SnapshotTable[[#This Row],[SC Is Filled]],100 * SnapshotTable[[#This Row],[SC Qty]] * IF(ISNUMBER(SnapshotTable[[#This Row],[SC Buyback Override]]), SnapshotTable[[#This Row],[SC Buyback Override]], SnapshotTable[[#This Row],[SC Current Ask]]), "")</f>
        <v/>
      </c>
      <c r="FK146" s="235" t="str">
        <f>IF(SnapshotTable[[#This Row],[SC Time Val]]&gt;0, SnapshotTable[[#This Row],[SC Time Val]] / SnapshotTable[[#This Row],[Last Price]],"")</f>
        <v/>
      </c>
      <c r="FL146" s="280" t="str">
        <f>IF(SnapshotTable[[#This Row],[SC Is Booked]], ((SnapshotTable[[#This Row],[Last Price]] -SnapshotTable[[#This Row],[SC Strike Price]]) / SnapshotTable[[#This Row],[Last Price]]) * -1, "")</f>
        <v/>
      </c>
      <c r="FM146" s="155" t="str">
        <f>IF(SnapshotTable[[#This Row],[SC Is Booked]],  (SnapshotTable[[#This Row],[SC Qty]] * 100 * SnapshotTable[[#This Row],[SC Strike Price]]) - SnapshotTable[[#This Row],[SC Current Ask]], "")</f>
        <v/>
      </c>
      <c r="FN14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6" s="31" t="str">
        <f>IF(AND(ISNUMBER(SnapshotTable[[#This Row],[SC Exercise Gross]]), ISNUMBER(SnapshotTable[[#This Row],[Equity Basis Per Share]] )), SnapshotTable[[#This Row],[SC Exercise Gross]] - SnapshotTable[[#This Row],[Equity Basis Total]] +  SnapshotTable[[#This Row],[SC Premium]], "")</f>
        <v/>
      </c>
      <c r="FP146" s="5" t="str">
        <f>IF(ISNUMBER(SnapshotTable[[#This Row],[SC Exercise Gross]]), (SnapshotTable[[#This Row],[SC Exercise Gross]]) / (SnapshotTable[[#This Row],[SC Qty]] * 100), "")</f>
        <v/>
      </c>
      <c r="FQ146" s="27" t="str">
        <f>IF(SnapshotTable[[#This Row],[SC Is Booked]],SnapshotTable[[#This Row],[SC Time Val]] /SnapshotTable[[#This Row],[SC Basis]], "")</f>
        <v/>
      </c>
      <c r="FR146" s="27" t="str" cm="1">
        <f t="array" ref="FR146">IF(AND(ISNUMBER(SnapshotTable[[#This Row],[SC Term]]),ISNUMBER(SnapshotTable[[#This Row],[SC Simple ROO]])), EllmanAnnualize(SnapshotTable[[#This Row],[SC DTE]], SnapshotTable[[#This Row],[SC Simple ROO]] ),"")</f>
        <v/>
      </c>
      <c r="FS146" s="4">
        <f>IF(SnapshotTable[[#This Row],[SC Strike Price]] &gt; SnapshotTable[[#This Row],[Last Price]], SnapshotTable[[#This Row],[SC Strike Price]] - SnapshotTable[[#This Row],[Last Price]],0)</f>
        <v>0</v>
      </c>
      <c r="FT146" s="27" t="str">
        <f>IF(AND(ISNUMBER(SnapshotTable[[#This Row],[SC Upside Potential]]), SnapshotTable[[#This Row],[SC Upside Potential]] &gt; 0),(SnapshotTable[[#This Row],[SC Upside Potential]]/ SnapshotTable[[#This Row],[ACB]]),"")</f>
        <v/>
      </c>
      <c r="FU146" s="304" t="str">
        <f>IF(SnapshotTable[[#This Row],[SC Intrinsic Value]] &gt; 0,SnapshotTable[[#This Row],[SC Intrinsic Value]],"")</f>
        <v/>
      </c>
      <c r="FV146" s="27" t="str">
        <f>IF(AND( ISNUMBER( SnapshotTable[[#This Row],[ACB]]),ISNUMBER(SnapshotTable[[#This Row],[SC Downside Protect]])),SnapshotTable[[#This Row],[SC Downside Protect]] / SnapshotTable[[#This Row],[ACB]],"")</f>
        <v/>
      </c>
      <c r="FW146" s="221" t="str">
        <f>IF(AND(ISNUMBER(SnapshotTable[[#This Row],[SC Simple ROO]]),SnapshotTable[[#This Row],[SC Simple ROO]] &gt; 0), SnapshotTable[[#This Row],[SC Premium]] + (SnapshotTable[[#This Row],[SC Qty]] * SnapshotTable[[#This Row],[SC Upside Potential]]), "")</f>
        <v/>
      </c>
      <c r="FX146" s="280" t="str" cm="1">
        <f t="array" ref="FX146">IF(ISNUMBER(SnapshotTable[[#This Row],[SC Max Dollars]]), annualize(SnapshotTable[[#This Row],[SC Term]],(SnapshotTable[[#This Row],[SC Max Dollars]]/SnapshotTable[[#This Row],[SC Basis]])),"")</f>
        <v/>
      </c>
      <c r="FY146" s="221" t="str">
        <f>IF(AND(SnapshotTable[[#This Row],[SC Qty]]&gt;0,SnapshotTable[[#This Row],[SC Current Ask]]&gt;0), SnapshotTable[[#This Row],[SC Qty]] * SnapshotTable[[#This Row],[SC Current Ask]] * -100, "")</f>
        <v/>
      </c>
      <c r="FZ146" s="31" t="str">
        <f>IF(ISNUMBER((SnapshotTable[[#This Row],[SC Current Value]])), SnapshotTable[[#This Row],[SC Premium]] + SnapshotTable[[#This Row],[SC Current Value]], "")</f>
        <v/>
      </c>
      <c r="GA146" s="272" t="str">
        <f>IFERROR( IF(ISNUMBER((SnapshotTable[[#This Row],[SC Current Value]])), SnapshotTable[[#This Row],[SC Gain Loss]] / SnapshotTable[[#This Row],[SC Premium]], ""), "")</f>
        <v/>
      </c>
      <c r="GB146" s="42">
        <f>SnapshotTable[[#This Row],[Equity Shares]] * SaleSharesToConsiderPercentage</f>
        <v>0</v>
      </c>
      <c r="GC146" s="40">
        <f>SnapshotTable[[#This Row],[Long Term Target]] * SellingPriceToConsiderBasedOnTargetPercentage</f>
        <v>59.849999999999994</v>
      </c>
      <c r="GD146" s="40">
        <f>SnapshotTable[[#This Row],[Last Price]] * (1+ SellingPriceToConsiderBasedOnTargetPercentage)</f>
        <v>218.57550000000001</v>
      </c>
      <c r="GE146" s="41"/>
      <c r="GF146" s="40">
        <v>60</v>
      </c>
      <c r="GG146" s="31">
        <f>SnapshotTable[[#This Row],[Booked Sale Shares]] * SnapshotTable[[#This Row],[Booked Sale Price]]</f>
        <v>0</v>
      </c>
      <c r="GH146" s="31" t="str">
        <f>IF(SnapshotTable[[#This Row],[Equity Basis Total]] &gt; 0, SnapshotTable[[#This Row],[Equity Basis Per Share]] * SnapshotTable[[#This Row],[Booked Sale Shares]], "")</f>
        <v/>
      </c>
      <c r="GI146" s="31">
        <f>IF(SnapshotTable[[#This Row],[Sale Proceeds]]&gt;0, SnapshotTable[[#This Row],[Sale Proceeds]] - SnapshotTable[[#This Row],[Sale Basis]], 0)</f>
        <v>0</v>
      </c>
      <c r="GJ146" s="27" t="str">
        <f>IF(SnapshotTable[[#This Row],[Sale G/L]]&gt;0, SnapshotTable[[#This Row],[Sale G/L]] / SnapshotTable[[#This Row],[Sale Basis]], IF(ISNUMBER(SnapshotTable[[#This Row],[SC Exercise P&amp;L (TAX)]]), SnapshotTable[[#This Row],[SC Exercise P&amp;L (TAX)]] / SnapshotTable[[#This Row],[SC Basis]], ""))</f>
        <v/>
      </c>
      <c r="GK146" s="27" t="s">
        <v>573</v>
      </c>
      <c r="GL146" s="43" t="str">
        <f>IF(AND(SnapshotTable[[#This Row],[LP Exp Date]]&gt;0,SnapshotTable[[#This Row],[LP Strike Price]]&gt;0), [1]!ToOptionSymbol(SnapshotTable[[#This Row],[Symbol]], SnapshotTable[[#This Row],[LP Strike Price]],SnapshotTable[[#This Row],[LP Exp Date]],1), "")</f>
        <v/>
      </c>
      <c r="GM146" s="30" t="str">
        <f>IF(LEN(SnapshotTable[[#This Row],[LP Symbol]])&gt;0, 1, "")</f>
        <v/>
      </c>
      <c r="GN146" s="43" t="str">
        <f>IF(AND(SnapshotTable[[#This Row],[SP Exp Date]]&gt;0,SnapshotTable[[#This Row],[SP Strike Price]]&gt;0), [1]!ToOptionSymbol(SnapshotTable[[#This Row],[Symbol]], SnapshotTable[[#This Row],[SP Strike Price]],SnapshotTable[[#This Row],[SP Exp Date]],1), "")</f>
        <v/>
      </c>
      <c r="GO146" s="30" t="str">
        <f>IF(LEN(SnapshotTable[[#This Row],[SP Symbol]])&gt;0, 1, "")</f>
        <v/>
      </c>
      <c r="GP146" s="43" t="str">
        <f>IF(AND(SnapshotTable[[#This Row],[LC Exp Date]]&gt;0,SnapshotTable[[#This Row],[LC Strike Price]]&gt;0), [1]!ToOptionSymbol(SnapshotTable[[#This Row],[Symbol]], SnapshotTable[[#This Row],[LC Strike Price]],SnapshotTable[[#This Row],[LC Exp Date]],0), "")</f>
        <v/>
      </c>
      <c r="GQ146" s="30" t="str">
        <f>IF(LEN(SnapshotTable[[#This Row],[LC Symbol]])&gt;0, 1, "")</f>
        <v/>
      </c>
      <c r="GR146" s="43" t="str">
        <f>IF(AND(SnapshotTable[[#This Row],[SC Exp Date]]&gt;0,SnapshotTable[[#This Row],[SC Strike Price]]&gt;0), [1]!ToOptionSymbol(SnapshotTable[[#This Row],[Symbol]], SnapshotTable[[#This Row],[SC Strike Price]],SnapshotTable[[#This Row],[SC Exp Date]],0), "")</f>
        <v/>
      </c>
      <c r="GS146" s="30" t="str">
        <f>IF(LEN(SnapshotTable[[#This Row],[SC Symbol]])&gt;0, 1, "")</f>
        <v/>
      </c>
      <c r="GT146" s="29" t="str">
        <f>IF(COUNT(SnapshotTable[[#This Row],[LP Symbol Count]],SnapshotTable[[#This Row],[SP Symbol Count]],SnapshotTable[[#This Row],[LC Symbol Count]],SnapshotTable[[#This Row],[SC Symbol Count]])&gt;0, "Y", "")</f>
        <v/>
      </c>
      <c r="GU14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6" s="216">
        <f>MAX(SnapshotTable[[#This Row],[Equity Basis Total]],SnapshotTable[[#This Row],[Equity Value]]) + (SnapshotTable[[#This Row],[SP Potential Spend]]- SnapshotTable[[#This Row],[SP Premium]] + SnapshotTable[[#This Row],[LP Premium]])+ (SnapshotTable[[#This Row],[LC Premium]] - SnapshotTable[[#This Row],[SC Premium]])</f>
        <v>0</v>
      </c>
      <c r="GW146" s="137" t="str">
        <f>IF(AND(SnapshotTable[[#This Row],[Exposure]] &lt;&gt; 0),SnapshotTable[[#This Row],[Exposure]] / SnapshotTable[[#Totals],[Exposure]], "")</f>
        <v/>
      </c>
      <c r="HE146" s="253"/>
      <c r="HF146" s="253"/>
      <c r="HK146" s="1"/>
      <c r="HL146" s="1"/>
      <c r="HM146" s="1"/>
      <c r="HN146" s="1"/>
      <c r="HO146" s="1"/>
      <c r="HP146" s="1"/>
    </row>
    <row r="147" spans="2:224" ht="12.75" hidden="1" customHeight="1" x14ac:dyDescent="0.25">
      <c r="B147" s="12" t="s">
        <v>818</v>
      </c>
      <c r="C147" s="385">
        <v>30.81</v>
      </c>
      <c r="D147" s="200" t="s">
        <v>467</v>
      </c>
      <c r="E147" s="39">
        <f>SnapshotTable[[#This Row],[Last Price]]*(1 -CrashDiscount)</f>
        <v>26.188499999999998</v>
      </c>
      <c r="F147" s="26" t="s">
        <v>816</v>
      </c>
      <c r="G147" s="26" t="s">
        <v>678</v>
      </c>
      <c r="H147" s="147"/>
      <c r="I147" s="186">
        <v>44777.708333333336</v>
      </c>
      <c r="J147" s="187">
        <v>44777.708333333336</v>
      </c>
      <c r="K147" s="188"/>
      <c r="L147" s="298"/>
      <c r="M147" s="138"/>
      <c r="N147" s="138"/>
      <c r="O147" s="138"/>
      <c r="P147" s="22"/>
      <c r="Q147" s="25"/>
      <c r="R147" s="4" t="str">
        <f>IF(SnapshotTable[[#This Row],[Equity Basis Total]] &gt; 0, SnapshotTable[[#This Row],[Equity Basis Total]] / SnapshotTable[[#This Row],[Equity Shares]], "")</f>
        <v/>
      </c>
      <c r="S147" s="300">
        <f>SnapshotTable[[#This Row],[Last Price]] * SnapshotTable[[#This Row],[Equity Shares]]</f>
        <v>0</v>
      </c>
      <c r="T147" s="254">
        <f>SnapshotTable[[#This Row],[Equity Value]] - SnapshotTable[[#This Row],[Equity Basis Total]]</f>
        <v>0</v>
      </c>
      <c r="U147" s="255" t="str">
        <f>IF(SnapshotTable[[#This Row],[Equity Basis Total]] &gt; 0, SnapshotTable[[#This Row],[Equity G/L]] / SnapshotTable[[#This Row],[Equity Basis Total]], "")</f>
        <v/>
      </c>
      <c r="V147" s="253">
        <v>75</v>
      </c>
      <c r="W147" s="253">
        <v>63.65</v>
      </c>
      <c r="X147" s="4" t="str">
        <f>IF(AND(ISNUMBER(SnapshotTable[[#This Row],[Equity Basis Per Share]]),ISNUMBER(SnapshotTable[[#This Row],[Equity Target]])),SnapshotTable[[#This Row],[Equity Target]]-SnapshotTable[[#This Row],[Equity Basis Per Share]],"")</f>
        <v/>
      </c>
      <c r="Y147" s="4" t="str">
        <f>IF(AND(ISNUMBER(SnapshotTable[[#This Row],[Equity Basis Per Share]]),ISNUMBER(SnapshotTable[[#This Row],[Equity Stop Loss]])),SnapshotTable[[#This Row],[Equity Stop Loss]]-SnapshotTable[[#This Row],[Equity Basis Per Share]],"")</f>
        <v/>
      </c>
      <c r="Z147" s="260" t="str">
        <f>IFERROR( TEXT(SnapshotTable[[#This Row],[Equity Max Gain Per Share]] /ABS( SnapshotTable[[#This Row],[Equity Max Loss Per Share]]),"0.0 " ) &amp; " : 1", "")</f>
        <v/>
      </c>
      <c r="AA147" s="31" t="str">
        <f>IF(ISNUMBER(SnapshotTable[[#This Row],[Equity Max Gain Per Share]]),SnapshotTable[[#This Row],[Equity Max Gain Per Share]] * SnapshotTable[[#This Row],[Equity Shares]],"")</f>
        <v/>
      </c>
      <c r="AB147" s="31" t="str">
        <f>IF(ISNUMBER(SnapshotTable[[#This Row],[Equity Max Loss Per Share]]),SnapshotTable[[#This Row],[Equity Max Loss Per Share]] * SnapshotTable[[#This Row],[Equity Shares]],"")</f>
        <v/>
      </c>
      <c r="AC147" s="148"/>
      <c r="AD147" s="149"/>
      <c r="AE147" s="31">
        <f>(SnapshotTable[[#This Row],[Annual Dividend Per Share]] / 4) * SnapshotTable[[#This Row],[Equity Shares]]</f>
        <v>0</v>
      </c>
      <c r="AF147" s="31">
        <f>SnapshotTable[[#This Row],[Quarterly Div $]] * 4</f>
        <v>0</v>
      </c>
      <c r="AG147" s="7">
        <f>IF(SnapshotTable[[#This Row],[Annual Dividend Per Share]]&gt;0, SnapshotTable[[#This Row],[Annual Dividend Per Share]]  / SnapshotTable[[#This Row],[Last Price]], 0)</f>
        <v>0</v>
      </c>
      <c r="AH147" s="149"/>
      <c r="AI147" s="301"/>
      <c r="AJ147" s="136">
        <v>78.099999999999994</v>
      </c>
      <c r="AK147" s="150" t="str">
        <f>IF(ISNUMBER( SnapshotTable[[#This Row],[EBF Target]]),(SnapshotTable[[#This Row],[EBF Target]] - SnapshotTable[[#This Row],[Last Price]]) / SnapshotTable[[#This Row],[Last Price]], "")</f>
        <v/>
      </c>
      <c r="AL147" s="150" t="str">
        <f>IF(AND(SnapshotTable[[#This Row],[Equity Basis Total]] &gt; 0,ISNUMBER( SnapshotTable[[#This Row],[Long Term Target]])), SnapshotTable[[#This Row],[From Basis $]] / SnapshotTable[[#This Row],[Equity Basis Total]], "")</f>
        <v/>
      </c>
      <c r="AM147" s="9">
        <f>IF( AND(SnapshotTable[[#This Row],[Equity Shares]] &gt;0,ISNUMBER( SnapshotTable[[#This Row],[Long Term Target]])),(SnapshotTable[[#This Row],[Equity Shares]] * SnapshotTable[[#This Row],[Long Term Target]]) - SnapshotTable[[#This Row],[Equity Basis Total]],0)</f>
        <v>0</v>
      </c>
      <c r="AN147" s="9">
        <f>IF( AND(SnapshotTable[[#This Row],[Equity Shares]] &gt;0,ISNUMBER( SnapshotTable[[#This Row],[Long Term Target]])),(SnapshotTable[[#This Row],[Equity Shares]]*SnapshotTable[[#This Row],[Long Term Target]]) - SnapshotTable[[#This Row],[Equity Value]],0)</f>
        <v>0</v>
      </c>
      <c r="AO147" s="150">
        <f>IF(AND(ISNUMBER( SnapshotTable[[#This Row],[Long Term Target]]), ISNUMBER(SnapshotTable[[#This Row],[Last Price]])),(SnapshotTable[[#This Row],[Long Term Target]] - SnapshotTable[[#This Row],[Last Price]]) / SnapshotTable[[#This Row],[Last Price]], "")</f>
        <v>1.5348912690684842</v>
      </c>
      <c r="AP147" s="5"/>
      <c r="AQ147" s="38"/>
      <c r="AR147" s="5"/>
      <c r="AS147" s="38"/>
      <c r="AT147" s="144"/>
      <c r="AU147" s="185" t="str">
        <f>IF(OR(SnapshotTable[[#This Row],[LP No Fill]]="Y",SnapshotTable[[#This Row],[SP Is Filled]],SnapshotTable[[#This Row],[LC Not Filled]]="Y",SnapshotTable[[#This Row],[SC Is Filled]]),"Y","")</f>
        <v/>
      </c>
      <c r="AV147" s="309"/>
      <c r="AW147" s="310"/>
      <c r="AX147" s="206"/>
      <c r="AY147" s="205" t="str">
        <f>IF(SnapshotTable[[#This Row],[Implied Move]]&gt;0, SnapshotTable[[#This Row],[Last Price]]-SnapshotTable[[#This Row],[Implied Move]],"")</f>
        <v/>
      </c>
      <c r="AZ147" s="205" t="str">
        <f>IF(SnapshotTable[[#This Row],[Implied Move]]&gt;0, SnapshotTable[[#This Row],[Last Price]] + SnapshotTable[[#This Row],[Implied Move]],"")</f>
        <v/>
      </c>
      <c r="BA147" s="302">
        <v>66.23</v>
      </c>
      <c r="BB147" s="318"/>
      <c r="BC1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7" s="321"/>
      <c r="BE147" s="136"/>
      <c r="BF147" s="164"/>
      <c r="BG147" s="165"/>
      <c r="BH147" s="165"/>
      <c r="BI147" s="207"/>
      <c r="BJ147" s="151">
        <f>IF(SnapshotTable[[#This Row],[LP Qty]] &gt; 0, SnapshotTable[[#This Row],[LP Qty]] * SnapshotTable[[#This Row],[LP Book Price]] * 100,0)</f>
        <v>0</v>
      </c>
      <c r="BK147" s="134">
        <f>IF(SnapshotTable[[#This Row],[LP Premium]] &gt; 0, SnapshotTable[[#This Row],[LP Qty]] * SnapshotTable[[#This Row],[LP Strike Price]] * 100,0)</f>
        <v>0</v>
      </c>
      <c r="BL147" s="152"/>
      <c r="BM147" s="355" t="str">
        <f>IF(SnapshotTable[[#This Row],[LP Premium]] &gt; 0,SnapshotTable[[#This Row],[LP Exp Date]]-MAX(SnapshotTable[[#This Row],[LP Book Date]], SnapshotTable[[#This Row],[LP Fill Date]]),"")</f>
        <v/>
      </c>
      <c r="BN147" s="355" t="str">
        <f>IF(ISNUMBER( SnapshotTable[[#This Row],[LP Term]]), SnapshotTable[[#This Row],[LP Exp Date]] - MockToday,"")</f>
        <v/>
      </c>
      <c r="BO147" s="161" t="str">
        <f>IF(AND(SnapshotTable[[#This Row],[LP Exp Date]]&gt;0, SnapshotTable[[#This Row],[LP Strike Price]]&gt;0,SnapshotTable[[#This Row],[LP Qty]]&gt;0,SnapshotTable[[#This Row],[LP Book Date]]&gt;0,SnapshotTable[[#This Row],[LP Book Price]]&gt;0,SnapshotTable[[#This Row],[LP Fill Date]]=0),"Y","")</f>
        <v/>
      </c>
      <c r="BP147" s="31" t="str">
        <f>IF(AND(SnapshotTable[[#This Row],[LP No Fill]]&lt;&gt;"Y",SnapshotTable[[#This Row],[LP Contract Value]]&gt;0, SnapshotTable[[#This Row],[LP Qty]]&gt;0), SnapshotTable[[#This Row],[LP Contract Value]]*SnapshotTable[[#This Row],[LP Qty]]*100,"")</f>
        <v/>
      </c>
      <c r="BQ147" s="13"/>
      <c r="BR147" s="5"/>
      <c r="BS147" s="36"/>
      <c r="BT147" s="145"/>
      <c r="BU147" s="13"/>
      <c r="BV147" s="5"/>
      <c r="BW147" s="382" t="b">
        <f>AND(ISNUMBER(SnapshotTable[[#This Row],[SP Exp Date]]), ISNUMBER(SnapshotTable[[#This Row],[SP Strike Price]]), ISNUMBER(SnapshotTable[[#This Row],[SP Qty]]), ISNUMBER(SnapshotTable[[#This Row],[SP Book Date]]), ISNUMBER(SnapshotTable[[#This Row],[SP Book Price]]))</f>
        <v>0</v>
      </c>
      <c r="BX147" s="382" t="b">
        <f>AND(SnapshotTable[[#This Row],[SP Is Booked]], NOT(ISBLANK(SnapshotTable[[#This Row],[SP Fill Date]])))</f>
        <v>0</v>
      </c>
      <c r="BY147" s="33">
        <f>IF(SnapshotTable[[#This Row],[SP Is Booked]], SnapshotTable[[#This Row],[SP Qty]] * SnapshotTable[[#This Row],[SP Book Price]] * 100, 0)</f>
        <v>0</v>
      </c>
      <c r="BZ147" s="339"/>
      <c r="CA147" s="338">
        <f>SnapshotTable[[#This Row],[LP Qty]]</f>
        <v>0</v>
      </c>
      <c r="CB147" s="4" t="str">
        <f>IF(SnapshotTable[[#This Row],[SP Is Booked]], SnapshotTable[[#This Row],[SP Strike Price]] - SnapshotTable[[#This Row],[SP Book Price]], "")</f>
        <v/>
      </c>
      <c r="CC147" s="19" t="str">
        <f>IF(SnapshotTable[[#This Row],[SP Is Booked]],SnapshotTable[[#This Row],[SP Exp Date]]-MAX(SnapshotTable[[#This Row],[SP Book Date]], SnapshotTable[[#This Row],[SP Fill Date]]),"")</f>
        <v/>
      </c>
      <c r="CD147" s="7" t="str">
        <f>IF(SnapshotTable[[#This Row],[SP Is Booked]], SnapshotTable[[#This Row],[SP Book Price]]/SnapshotTable[[#This Row],[SP Strike Price]], "")</f>
        <v/>
      </c>
      <c r="CE147" s="7" t="str">
        <f>IF(ISNUMBER(SnapshotTable[[#This Row],[SP ROO Term]]),SnapshotTable[[#This Row],[SP ROO Term]]*(365/SnapshotTable[[#This Row],[SP Term]]),"")</f>
        <v/>
      </c>
      <c r="CF147" s="221">
        <f>SnapshotTable[[#This Row],[LP Strike Price]] * SnapshotTable[[#This Row],[LP Qty]] * 100</f>
        <v>0</v>
      </c>
      <c r="CG147" s="31">
        <f>IF(ISNUMBER(SnapshotTable[[#This Row],[SP Premium]]), (SnapshotTable[[#This Row],[SP Qty]] * SnapshotTable[[#This Row],[SP Strike Price]]* 100) - SnapshotTable[[#This Row],[LP Protection]], 0)</f>
        <v>0</v>
      </c>
      <c r="CH147" s="7" t="str">
        <f>IF(ISNUMBER(SnapshotTable[[#This Row],[SP Break Even]]),-1 * (SnapshotTable[[#This Row],[SP Break Even]] - SnapshotTable[[#This Row],[Last Price]]) / SnapshotTable[[#This Row],[Last Price]], "")</f>
        <v/>
      </c>
      <c r="CI147" s="31">
        <f>IF(AND(ISNUMBER((SnapshotTable[[#This Row],[SP Potential Spend]])), SnapshotTable[[#This Row],[SP Strike Price]] &gt; SnapshotTable[[#This Row],[Last Price]], SnapshotTable[[#This Row],[SP Is Filled]]), SnapshotTable[[#This Row],[SP Potential Spend]] -  SnapshotTable[[#This Row],[LP Max Value]], 0)</f>
        <v>0</v>
      </c>
      <c r="CJ147" s="229"/>
      <c r="CK147" s="31">
        <f>IF(ISNUMBER(SnapshotTable[[#This Row],[SP Potential Spend]]),IF(ISNUMBER(SnapshotTable[[#This Row],[SP POW]]), SnapshotTable[[#This Row],[SP POW]] * SnapshotTable[[#This Row],[SP Potential Spend]], SnapshotTable[[#This Row],[SP Potential Spend]]), "")</f>
        <v>0</v>
      </c>
      <c r="CL147" s="162">
        <f>IF(NOT(SnapshotTable[[#This Row],[SP Is Filled]]),(SnapshotTable[[#This Row],[SP Qty]] * SnapshotTable[[#This Row],[SP Strike Price]] * 100) - SnapshotTable[[#This Row],[LP Max Value]],"")</f>
        <v>0</v>
      </c>
      <c r="CM147" s="31" t="str">
        <f>IF(SnapshotTable[[#This Row],[SP Actual Spend]]&lt;&gt;0, ((SnapshotTable[[#This Row],[SP Strike Price]]-SnapshotTable[[#This Row],[Last Price]]) *(SnapshotTable[[#This Row],[SP Qty]]*100) - SnapshotTable[[#This Row],[SP Premium]]) * - 1, "")</f>
        <v/>
      </c>
      <c r="CN147" s="152"/>
      <c r="CO147" s="339"/>
      <c r="CP147" s="291" t="str">
        <f>IF(SnapshotTable[[#This Row],[SP Is Filled]], btc_max_buyback_amount(SnapshotTable[[#This Row],[SP Fill Date]],SnapshotTable[[#This Row],[SP Exp Date]], SnapshotTable[[#This Row],[SP Book Price]]),"")</f>
        <v/>
      </c>
      <c r="CQ147" s="76"/>
      <c r="CR147"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7" s="153" t="str">
        <f>IF(SnapshotTable[[#This Row],[SP Is Filled]], btc_next_cutoff_date(SnapshotTable[[#This Row],[SP Fill Date]],SnapshotTable[[#This Row],[SP Exp Date]]),"")</f>
        <v/>
      </c>
      <c r="CT147" s="220" t="str" cm="1">
        <f t="array" ref="CT147">IF(SnapshotTable[[#This Row],[SP Is Filled]], btc_should_buy_back(SnapshotTable[[#This Row],[SP Fill Date]], SnapshotTable[[#This Row],[SP Exp Date]], SnapshotTable[[#This Row],[SP Book Price]], SnapshotTable[[#This Row],[SP Current Ask]], MockToday, SnapshotTable[[#This Row],[SP Buyback Override]]),"")</f>
        <v/>
      </c>
      <c r="CU147" s="154"/>
      <c r="CV147" s="220"/>
      <c r="CW147" s="348" t="str">
        <f>IF(ISNUMBER( SnapshotTable[[#This Row],[SP Term]]), SnapshotTable[[#This Row],[SP Exp Date]] - MockToday,"")</f>
        <v/>
      </c>
      <c r="CX147" s="31" t="str">
        <f>IF(SnapshotTable[[#This Row],[SP Is Filled]],SnapshotTable[[#This Row],[SP Buyback Price to Use]] * 100 * SnapshotTable[[#This Row],[SP Qty]], "")</f>
        <v/>
      </c>
      <c r="CY147" s="4" t="str">
        <f>IF(ISNUMBER(SnapshotTable[[#This Row],[SP Strike Price]]), SnapshotTable[[#This Row],[SP Strike Price]] * (1 - SP_MaxLoss_StrikePct), "")</f>
        <v/>
      </c>
      <c r="CZ147" s="31" t="str">
        <f>IF(ISNUMBER(SnapshotTable[[#This Row],[SP Strike  Stop Per Share]]),SnapshotTable[[#This Row],[SP Premium]] - ((SnapshotTable[[#This Row],[SP Strike Price]]-SnapshotTable[[#This Row],[SP Strike  Stop Per Share]]) *(SnapshotTable[[#This Row],[SP Qty]] * 100)),"")</f>
        <v/>
      </c>
      <c r="DA147" s="4" t="str">
        <f>IF(AND(ISNUMBER(SnapshotTable[[#This Row],[SP Premium]]),SnapshotTable[[#This Row],[SP Premium]]&gt;0), SnapshotTable[[#This Row],[SP Book Price]] * (1 + SP_MaxLoss_OptionPct), "")</f>
        <v/>
      </c>
      <c r="DB147" s="31" t="str">
        <f>IF(ISNUMBER(SnapshotTable[[#This Row],[SP Option  Stop Contract]]),(SnapshotTable[[#This Row],[SP Option  Stop Contract]] *(SnapshotTable[[#This Row],[SP Qty]] * 100) - SnapshotTable[[#This Row],[SP Premium]]),"")</f>
        <v/>
      </c>
      <c r="DC147" s="4"/>
      <c r="DD147" s="4"/>
      <c r="DE147" s="4" t="str">
        <f>IF(AND(SnapshotTable[[#This Row],[SP Qty]]&gt;0, SnapshotTable[[#This Row],[SP Stop To Use]]&gt;0),SnapshotTable[[#This Row],[SP Premium]] - ( SnapshotTable[[#This Row],[SP Qty]] * SnapshotTable[[#This Row],[SP Stop To Use]] * 100), "")</f>
        <v/>
      </c>
      <c r="DF147" s="31" t="str">
        <f>IF(AND(SnapshotTable[[#This Row],[SP Qty]]&gt;0,SnapshotTable[[#This Row],[SP Current Ask]]&gt;0), SnapshotTable[[#This Row],[SP Qty]] * SnapshotTable[[#This Row],[SP Current Ask]] * -100, "")</f>
        <v/>
      </c>
      <c r="DG147" s="31" t="str">
        <f>IF(ISNUMBER((SnapshotTable[[#This Row],[SP Total Value]])), SnapshotTable[[#This Row],[SP Premium]] + SnapshotTable[[#This Row],[SP Total Value]], "")</f>
        <v/>
      </c>
      <c r="DH147" s="272" t="str">
        <f>IF(ISNUMBER((SnapshotTable[[#This Row],[SP Total Value]])), SnapshotTable[[#This Row],[SP Gain Loss]] / SnapshotTable[[#This Row],[SP Premium]], "")</f>
        <v/>
      </c>
      <c r="DI147" s="369"/>
      <c r="DJ147" s="136"/>
      <c r="DK147" s="146"/>
      <c r="DL147" s="145"/>
      <c r="DM147" s="145"/>
      <c r="DO147" s="31">
        <f>IF(SnapshotTable[[#This Row],[LC Symbol Count]]=1, SnapshotTable[[#This Row],[LC Qty]] * SnapshotTable[[#This Row],[LC Book Price]] * 100, 0)</f>
        <v>0</v>
      </c>
      <c r="DP147" s="270" t="str">
        <f>IF(AND(SnapshotTable[[#This Row],[LC Exp Date]]&gt;0, SnapshotTable[[#This Row],[LC Strike Price]]&gt;0,SnapshotTable[[#This Row],[LC Qty]]&gt;0,SnapshotTable[[#This Row],[LC Book Date]]&gt;0,SnapshotTable[[#This Row],[LC Book Price]]&gt;0,SnapshotTable[[#This Row],[LC Fill Date]]=0),"Y","")</f>
        <v/>
      </c>
      <c r="DQ147" s="356" t="str">
        <f>IF(SnapshotTable[[#This Row],[LC Premium]] &gt; 0,SnapshotTable[[#This Row],[LC Exp Date]]-MAX(SnapshotTable[[#This Row],[LC Book Date]], SnapshotTable[[#This Row],[LC Fill Date]]),"")</f>
        <v/>
      </c>
      <c r="DR147" s="356" t="str">
        <f>IF(ISNUMBER(SnapshotTable[[#This Row],[LC Term]]), SnapshotTable[[#This Row],[LC Exp Date]] - MockToday, "")</f>
        <v/>
      </c>
      <c r="DS147" s="219" t="str">
        <f>IF(SnapshotTable[[#This Row],[LC Premium]]&gt;0,SnapshotTable[[#This Row],[LC Strike Price]] + SnapshotTable[[#This Row],[LC Book Price]],"")</f>
        <v/>
      </c>
      <c r="DU147" s="9" t="str">
        <f>IF(AND(SnapshotTable[[#This Row],[LC Symbol Count]]&gt;0, SnapshotTable[[#This Row],[LC Contract Value]]&gt;0), SnapshotTable[[#This Row],[LC Contract Value]] * SnapshotTable[[#This Row],[LC Qty]] * 100, "")</f>
        <v/>
      </c>
      <c r="DV147" s="9" t="str">
        <f>IF(AND(ISNUMBER(SnapshotTable[[#This Row],[LC Total Value]]), SnapshotTable[[#This Row],[LC Not Filled]]&lt;&gt;"Y"), SnapshotTable[[#This Row],[LC Total Value]]-SnapshotTable[[#This Row],[LC Premium]],"")</f>
        <v/>
      </c>
      <c r="DW147" s="225" t="str">
        <f>IF(ISNUMBER(SnapshotTable[[#This Row],[LC Actual Gain Loss]]), SnapshotTable[[#This Row],[LC Actual Gain Loss]] / SnapshotTable[[#This Row],[LC Premium]],"")</f>
        <v/>
      </c>
      <c r="DX147" s="269" t="str">
        <f>IF(ISNUMBER(SnapshotTable[[#This Row],[LC Book Price]]),SnapshotTable[[#This Row],[LC Book Price]] * 1.5,"")</f>
        <v/>
      </c>
      <c r="DY147" s="250" t="str">
        <f>IF(SnapshotTable[[#This Row],[LC Premium]]&gt;0, SnapshotTable[[#This Row],[LC Next Target]] * SnapshotTable[[#This Row],[LC Qty]] * 100,"")</f>
        <v/>
      </c>
      <c r="DZ147" s="250" t="str">
        <f>IF(ISNUMBER(SnapshotTable[[#This Row],[LC Target Gross]]), SnapshotTable[[#This Row],[LC Target Gross]] - SnapshotTable[[#This Row],[LC Premium]], "")</f>
        <v/>
      </c>
      <c r="EA147" s="283" t="str">
        <f>IF(ISNUMBER(SnapshotTable[[#This Row],[LC Target Gain Loss]]), SnapshotTable[[#This Row],[LC Target Gain Loss]]/SnapshotTable[[#This Row],[LC Premium]], "")</f>
        <v/>
      </c>
      <c r="EB147" s="247"/>
      <c r="EC147" s="271" t="str">
        <f>IF(SnapshotTable[[#This Row],[LC Premium]]&gt;0, SnapshotTable[[#This Row],[LC Book Price]] * (1 - LC_StopLoss_Pct),"")</f>
        <v/>
      </c>
      <c r="ED147" s="269"/>
      <c r="EE147" s="271" t="str">
        <f>IF(ISNUMBER(SnapshotTable[[#This Row],[LC Contract Value]]),IF(ISNUMBER(SnapshotTable[[#This Row],[LC Stop Loss Override]]), SnapshotTable[[#This Row],[LC Stop Loss Override]],SnapshotTable[[#This Row],[LC Stop Loss Calc Target]]),"")</f>
        <v/>
      </c>
      <c r="EF147" s="292" t="str">
        <f>IF(ISNUMBER(SnapshotTable[[#This Row],[LC Stop  To Use]]), (SnapshotTable[[#This Row],[LC Stop  To Use]] * SnapshotTable[[#This Row],[LC Qty]] * 100),"")</f>
        <v/>
      </c>
      <c r="EG147" s="9" t="str">
        <f>IF(ISNUMBER(SnapshotTable[[#This Row],[LC Total Value]]),SnapshotTable[[#This Row],[LC Stop Loss Amount]] - SnapshotTable[[#This Row],[LC Premium]],"")</f>
        <v/>
      </c>
      <c r="EH147" s="9">
        <f>IF(ISNUMBER(SnapshotTable[[#This Row],[LC Premium]]), SnapshotTable[[#This Row],[LC Qty]] * 100 * SnapshotTable[[#This Row],[LC Strike Price]], "")</f>
        <v>0</v>
      </c>
      <c r="EI147" s="225" t="str">
        <f>IF(AND(ISNUMBER(SnapshotTable[[#This Row],[LC Total Value]]),SnapshotTable[[#This Row],[LC Total Value]]&gt;0),SnapshotTable[[#This Row],[LC Stop Gain Loss]]  / SnapshotTable[[#This Row],[LC Premium]],"")</f>
        <v/>
      </c>
      <c r="EJ147" s="35">
        <f>IF(ISNUMBER(SnapshotTable[[#This Row],[Equity Shares]]),TRUNC(SnapshotTable[[#This Row],[Equity Shares]] / 100),0) + SnapshotTable[[#This Row],[LC Qty]]</f>
        <v>0</v>
      </c>
      <c r="EK147" s="145"/>
      <c r="EL147" s="136"/>
      <c r="EM147" s="146"/>
      <c r="EN147" s="145"/>
      <c r="EO147" s="145"/>
      <c r="EP147" s="136"/>
      <c r="EQ147" s="382" t="b">
        <f>AND(ISNUMBER(SnapshotTable[[#This Row],[SC Exp Date]]), ISNUMBER(SnapshotTable[[#This Row],[SC Strike Price]]), ISNUMBER(SnapshotTable[[#This Row],[SC Qty]]), ISNUMBER(SnapshotTable[[#This Row],[SC Book Date]]), ISNUMBER(SnapshotTable[[#This Row],[SC Book Price]]))</f>
        <v>0</v>
      </c>
      <c r="ER147" s="382" t="b">
        <f>AND(SnapshotTable[[#This Row],[SC Is Booked]], NOT(ISBLANK(SnapshotTable[[#This Row],[SC Fill Date]])))</f>
        <v>0</v>
      </c>
      <c r="ES147" s="340"/>
      <c r="ET147" s="34" t="str">
        <f>IF(AND(ISNUMBER(SnapshotTable[[#This Row],[SC Exp Date]]), ISNUMBER(SnapshotTable[[#This Row],[SC Book Date]])), SnapshotTable[[#This Row],[SC Exp Date]] - MAX(SnapshotTable[[#This Row],[SC Book Date]], SnapshotTable[[#This Row],[SC Fill Date]]) + 1, "")</f>
        <v/>
      </c>
      <c r="EU147" s="34" t="str">
        <f>IF(ISNUMBER(SnapshotTable[[#This Row],[SC Term]]), SnapshotTable[[#This Row],[SC Exp Date]]- MockToday, "")</f>
        <v/>
      </c>
      <c r="EV147" s="31">
        <f>IF(SnapshotTable[[#This Row],[SC Is Booked]], SnapshotTable[[#This Row],[SC Qty]] * SnapshotTable[[#This Row],[SC Book Price]] * 100, 0)</f>
        <v>0</v>
      </c>
      <c r="EW147" s="4" t="str">
        <f>IF(AND(ISNUMBER(SnapshotTable[[#This Row],[Last Price]]), ISNUMBER( SnapshotTable[[#This Row],[SC Book Price]])), SnapshotTable[[#This Row],[Last Price]] - SnapshotTable[[#This Row],[SC Book Price]],"")</f>
        <v/>
      </c>
      <c r="EX147" s="219" t="str">
        <f>IF(SnapshotTable[[#This Row],[SC Is Booked]],IF(SnapshotTable[[#This Row],[SC Intrinsic Value]] &gt; 0, SnapshotTable[[#This Row],[SC Strike Price]], SnapshotTable[[#This Row],[Last Price]]), "")</f>
        <v/>
      </c>
      <c r="EY147" s="4">
        <f>IF(SnapshotTable[[#This Row],[SC Is Booked]], (MinimumPremiumRequired * SnapshotTable[[#This Row],[SC Basis]] * SnapshotTable[[#This Row],[SC Term]]), 0)</f>
        <v>0</v>
      </c>
      <c r="EZ147" s="268"/>
      <c r="FA147" s="204"/>
      <c r="FB147" s="340"/>
      <c r="FC147" s="4">
        <f>IF(SnapshotTable[[#This Row],[SC Is Filled]], btc_max_buyback_amount(SnapshotTable[[#This Row],[SC Fill Date]],SnapshotTable[[#This Row],[SC Exp Date]], SnapshotTable[[#This Row],[SC Book Price]]),0)</f>
        <v>0</v>
      </c>
      <c r="FD147" s="5"/>
      <c r="FE147" s="142" t="str">
        <f>IF(SnapshotTable[[#This Row],[SC Is Filled]], btc_next_cutoff_date(SnapshotTable[[#This Row],[SC Fill Date]],SnapshotTable[[#This Row],[SC Exp Date]]),"")</f>
        <v/>
      </c>
      <c r="FF147" s="4" t="str" cm="1">
        <f t="array" ref="FF147">IF(SnapshotTable[[#This Row],[SC Is Filled]], btc_should_buy_back(SnapshotTable[[#This Row],[SC Fill Date]], SnapshotTable[[#This Row],[SC Exp Date]], SnapshotTable[[#This Row],[SC Book Price]], SnapshotTable[[#This Row],[SC Current Ask]], MockToday, SnapshotTable[[#This Row],[SC Buyback Override]]),"")</f>
        <v/>
      </c>
      <c r="FG147" s="4">
        <f>IF(SnapshotTable[[#This Row],[SC Is Filled]], MAX(0,SnapshotTable[[#This Row],[Last Price]]  - SnapshotTable[[#This Row],[SC Strike Price]]), 0)</f>
        <v>0</v>
      </c>
      <c r="FH147" s="352">
        <f>IF(SnapshotTable[[#This Row],[SC Is Filled]], IF(ISNUMBER(SnapshotTable[[#This Row],[SC Current Ask]]), SnapshotTable[[#This Row],[SC Current Ask]], SnapshotTable[[#This Row],[SC Book Price]]) - SnapshotTable[[#This Row],[SC Intrinsic Value]], 0)</f>
        <v>0</v>
      </c>
      <c r="FI147" s="141"/>
      <c r="FJ147" s="32" t="str">
        <f>IF(SnapshotTable[[#This Row],[SC Is Filled]],100 * SnapshotTable[[#This Row],[SC Qty]] * IF(ISNUMBER(SnapshotTable[[#This Row],[SC Buyback Override]]), SnapshotTable[[#This Row],[SC Buyback Override]], SnapshotTable[[#This Row],[SC Current Ask]]), "")</f>
        <v/>
      </c>
      <c r="FK147" s="235" t="str">
        <f>IF(SnapshotTable[[#This Row],[SC Time Val]]&gt;0, SnapshotTable[[#This Row],[SC Time Val]] / SnapshotTable[[#This Row],[Last Price]],"")</f>
        <v/>
      </c>
      <c r="FL147" s="280" t="str">
        <f>IF(SnapshotTable[[#This Row],[SC Is Booked]], ((SnapshotTable[[#This Row],[Last Price]] -SnapshotTable[[#This Row],[SC Strike Price]]) / SnapshotTable[[#This Row],[Last Price]]) * -1, "")</f>
        <v/>
      </c>
      <c r="FM147" s="155" t="str">
        <f>IF(SnapshotTable[[#This Row],[SC Is Booked]],  (SnapshotTable[[#This Row],[SC Qty]] * 100 * SnapshotTable[[#This Row],[SC Strike Price]]) - SnapshotTable[[#This Row],[SC Current Ask]], "")</f>
        <v/>
      </c>
      <c r="FN14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7" s="155" t="str">
        <f>IF(AND(ISNUMBER(SnapshotTable[[#This Row],[SC Exercise Gross]]), ISNUMBER(SnapshotTable[[#This Row],[Equity Basis Per Share]] )), SnapshotTable[[#This Row],[SC Exercise Gross]] - SnapshotTable[[#This Row],[Equity Basis Total]] +  SnapshotTable[[#This Row],[SC Premium]], "")</f>
        <v/>
      </c>
      <c r="FP147" s="5" t="str">
        <f>IF(ISNUMBER(SnapshotTable[[#This Row],[SC Exercise Gross]]), (SnapshotTable[[#This Row],[SC Exercise Gross]]) / (SnapshotTable[[#This Row],[SC Qty]] * 100), "")</f>
        <v/>
      </c>
      <c r="FQ147" s="27" t="str">
        <f>IF(SnapshotTable[[#This Row],[SC Is Booked]],SnapshotTable[[#This Row],[SC Time Val]] /SnapshotTable[[#This Row],[SC Basis]], "")</f>
        <v/>
      </c>
      <c r="FR147" s="27" t="str" cm="1">
        <f t="array" ref="FR147">IF(AND(ISNUMBER(SnapshotTable[[#This Row],[SC Term]]),ISNUMBER(SnapshotTable[[#This Row],[SC Simple ROO]])), EllmanAnnualize(SnapshotTable[[#This Row],[SC DTE]], SnapshotTable[[#This Row],[SC Simple ROO]] ),"")</f>
        <v/>
      </c>
      <c r="FS147" s="4">
        <f>IF(SnapshotTable[[#This Row],[SC Strike Price]] &gt; SnapshotTable[[#This Row],[Last Price]], SnapshotTable[[#This Row],[SC Strike Price]] - SnapshotTable[[#This Row],[Last Price]],0)</f>
        <v>0</v>
      </c>
      <c r="FT147" s="27" t="str">
        <f>IF(AND(ISNUMBER(SnapshotTable[[#This Row],[SC Upside Potential]]), SnapshotTable[[#This Row],[SC Upside Potential]] &gt; 0),(SnapshotTable[[#This Row],[SC Upside Potential]]/ SnapshotTable[[#This Row],[ACB]]),"")</f>
        <v/>
      </c>
      <c r="FU147" s="304" t="str">
        <f>IF(SnapshotTable[[#This Row],[SC Intrinsic Value]] &gt; 0,SnapshotTable[[#This Row],[SC Intrinsic Value]],"")</f>
        <v/>
      </c>
      <c r="FV147" s="27" t="str">
        <f>IF(AND( ISNUMBER( SnapshotTable[[#This Row],[ACB]]),ISNUMBER(SnapshotTable[[#This Row],[SC Downside Protect]])),SnapshotTable[[#This Row],[SC Downside Protect]] / SnapshotTable[[#This Row],[ACB]],"")</f>
        <v/>
      </c>
      <c r="FW147" s="221" t="str">
        <f>IF(AND(ISNUMBER(SnapshotTable[[#This Row],[SC Simple ROO]]),SnapshotTable[[#This Row],[SC Simple ROO]] &gt; 0), SnapshotTable[[#This Row],[SC Premium]] + (SnapshotTable[[#This Row],[SC Qty]] * SnapshotTable[[#This Row],[SC Upside Potential]]), "")</f>
        <v/>
      </c>
      <c r="FX147" s="280" t="str" cm="1">
        <f t="array" ref="FX147">IF(ISNUMBER(SnapshotTable[[#This Row],[SC Max Dollars]]), annualize(SnapshotTable[[#This Row],[SC Term]],(SnapshotTable[[#This Row],[SC Max Dollars]]/SnapshotTable[[#This Row],[SC Basis]])),"")</f>
        <v/>
      </c>
      <c r="FY147" s="221" t="str">
        <f>IF(AND(SnapshotTable[[#This Row],[SC Qty]]&gt;0,SnapshotTable[[#This Row],[SC Current Ask]]&gt;0), SnapshotTable[[#This Row],[SC Qty]] * SnapshotTable[[#This Row],[SC Current Ask]] * -100, "")</f>
        <v/>
      </c>
      <c r="FZ147" s="220" t="str">
        <f>IF(ISNUMBER((SnapshotTable[[#This Row],[SC Current Value]])), SnapshotTable[[#This Row],[SC Premium]] + SnapshotTable[[#This Row],[SC Current Value]], "")</f>
        <v/>
      </c>
      <c r="GA147" s="272" t="str">
        <f>IFERROR( IF(ISNUMBER((SnapshotTable[[#This Row],[SC Current Value]])), SnapshotTable[[#This Row],[SC Gain Loss]] / SnapshotTable[[#This Row],[SC Premium]], ""), "")</f>
        <v/>
      </c>
      <c r="GB147" s="42">
        <f>SnapshotTable[[#This Row],[Equity Shares]] * SaleSharesToConsiderPercentage</f>
        <v>0</v>
      </c>
      <c r="GC147" s="40">
        <f>SnapshotTable[[#This Row],[Long Term Target]] * SellingPriceToConsiderBasedOnTargetPercentage</f>
        <v>74.194999999999993</v>
      </c>
      <c r="GD147" s="40">
        <f>SnapshotTable[[#This Row],[Last Price]] * (1+ SellingPriceToConsiderBasedOnTargetPercentage)</f>
        <v>60.079499999999996</v>
      </c>
      <c r="GE147" s="41"/>
      <c r="GF147" s="40"/>
      <c r="GG147" s="31">
        <f>SnapshotTable[[#This Row],[Booked Sale Shares]] * SnapshotTable[[#This Row],[Booked Sale Price]]</f>
        <v>0</v>
      </c>
      <c r="GH147" s="31" t="str">
        <f>IF(SnapshotTable[[#This Row],[Equity Basis Total]] &gt; 0, SnapshotTable[[#This Row],[Equity Basis Per Share]] * SnapshotTable[[#This Row],[Booked Sale Shares]], "")</f>
        <v/>
      </c>
      <c r="GI147" s="31">
        <f>IF(SnapshotTable[[#This Row],[Sale Proceeds]]&gt;0, SnapshotTable[[#This Row],[Sale Proceeds]] - SnapshotTable[[#This Row],[Sale Basis]], 0)</f>
        <v>0</v>
      </c>
      <c r="GJ147" s="156" t="str">
        <f>IF(SnapshotTable[[#This Row],[Sale G/L]]&gt;0, SnapshotTable[[#This Row],[Sale G/L]] / SnapshotTable[[#This Row],[Sale Basis]], IF(ISNUMBER(SnapshotTable[[#This Row],[SC Exercise P&amp;L (TAX)]]), SnapshotTable[[#This Row],[SC Exercise P&amp;L (TAX)]] / SnapshotTable[[#This Row],[SC Basis]], ""))</f>
        <v/>
      </c>
      <c r="GK147" s="27"/>
      <c r="GL147" s="157" t="str">
        <f>IF(AND(SnapshotTable[[#This Row],[LP Exp Date]]&gt;0,SnapshotTable[[#This Row],[LP Strike Price]]&gt;0), [1]!ToOptionSymbol(SnapshotTable[[#This Row],[Symbol]], SnapshotTable[[#This Row],[LP Strike Price]],SnapshotTable[[#This Row],[LP Exp Date]],1), "")</f>
        <v/>
      </c>
      <c r="GM147" s="30" t="str">
        <f>IF(LEN(SnapshotTable[[#This Row],[LP Symbol]])&gt;0, 1, "")</f>
        <v/>
      </c>
      <c r="GN147" s="43" t="str">
        <f>IF(AND(SnapshotTable[[#This Row],[SP Exp Date]]&gt;0,SnapshotTable[[#This Row],[SP Strike Price]]&gt;0), [1]!ToOptionSymbol(SnapshotTable[[#This Row],[Symbol]], SnapshotTable[[#This Row],[SP Strike Price]],SnapshotTable[[#This Row],[SP Exp Date]],1), "")</f>
        <v/>
      </c>
      <c r="GO147" s="30" t="str">
        <f>IF(LEN(SnapshotTable[[#This Row],[SP Symbol]])&gt;0, 1, "")</f>
        <v/>
      </c>
      <c r="GP147" s="157" t="str">
        <f>IF(AND(SnapshotTable[[#This Row],[LC Exp Date]]&gt;0,SnapshotTable[[#This Row],[LC Strike Price]]&gt;0), [1]!ToOptionSymbol(SnapshotTable[[#This Row],[Symbol]], SnapshotTable[[#This Row],[LC Strike Price]],SnapshotTable[[#This Row],[LC Exp Date]],0), "")</f>
        <v/>
      </c>
      <c r="GQ147" s="158" t="str">
        <f>IF(LEN(SnapshotTable[[#This Row],[LC Symbol]])&gt;0, 1, "")</f>
        <v/>
      </c>
      <c r="GR147" s="157" t="str">
        <f>IF(AND(SnapshotTable[[#This Row],[SC Exp Date]]&gt;0,SnapshotTable[[#This Row],[SC Strike Price]]&gt;0), [1]!ToOptionSymbol(SnapshotTable[[#This Row],[Symbol]], SnapshotTable[[#This Row],[SC Strike Price]],SnapshotTable[[#This Row],[SC Exp Date]],0), "")</f>
        <v/>
      </c>
      <c r="GS147" s="158" t="str">
        <f>IF(LEN(SnapshotTable[[#This Row],[SC Symbol]])&gt;0, 1, "")</f>
        <v/>
      </c>
      <c r="GT147" s="159" t="str">
        <f>IF(COUNT(SnapshotTable[[#This Row],[LP Symbol Count]],SnapshotTable[[#This Row],[SP Symbol Count]],SnapshotTable[[#This Row],[LC Symbol Count]],SnapshotTable[[#This Row],[SC Symbol Count]])&gt;0, "Y", "")</f>
        <v/>
      </c>
      <c r="GU1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7" s="216">
        <f>MAX(SnapshotTable[[#This Row],[Equity Basis Total]],SnapshotTable[[#This Row],[Equity Value]]) + (SnapshotTable[[#This Row],[SP Potential Spend]]- SnapshotTable[[#This Row],[SP Premium]] + SnapshotTable[[#This Row],[LP Premium]])+ (SnapshotTable[[#This Row],[LC Premium]] - SnapshotTable[[#This Row],[SC Premium]])</f>
        <v>0</v>
      </c>
      <c r="GW147" s="137" t="str">
        <f>IF(AND(SnapshotTable[[#This Row],[Exposure]] &lt;&gt; 0),SnapshotTable[[#This Row],[Exposure]] / SnapshotTable[[#Totals],[Exposure]], "")</f>
        <v/>
      </c>
      <c r="HE147" s="253"/>
      <c r="HF147" s="253"/>
      <c r="HK147" s="1"/>
      <c r="HL147" s="1"/>
      <c r="HM147" s="1"/>
      <c r="HN147" s="1"/>
      <c r="HO147" s="1"/>
      <c r="HP147" s="1"/>
    </row>
    <row r="148" spans="2:224" ht="12.75" hidden="1" customHeight="1" x14ac:dyDescent="0.25">
      <c r="B148" s="12" t="s">
        <v>897</v>
      </c>
      <c r="C148" s="385">
        <v>32.090000000000003</v>
      </c>
      <c r="D148" s="200"/>
      <c r="E148" s="39">
        <f>SnapshotTable[[#This Row],[Last Price]]*(1 -CrashDiscount)</f>
        <v>27.276500000000002</v>
      </c>
      <c r="F148" s="26" t="s">
        <v>36</v>
      </c>
      <c r="G148" s="296" t="s">
        <v>24</v>
      </c>
      <c r="H148" s="147"/>
      <c r="I148" s="186"/>
      <c r="J148" s="187"/>
      <c r="K148" s="188"/>
      <c r="L148" s="297"/>
      <c r="M148" s="138"/>
      <c r="N148" s="138"/>
      <c r="O148" s="138"/>
      <c r="P148" s="22"/>
      <c r="Q148" s="25"/>
      <c r="R148" s="4" t="str">
        <f>IF(SnapshotTable[[#This Row],[Equity Basis Total]] &gt; 0, SnapshotTable[[#This Row],[Equity Basis Total]] / SnapshotTable[[#This Row],[Equity Shares]], "")</f>
        <v/>
      </c>
      <c r="S148" s="254">
        <f>SnapshotTable[[#This Row],[Last Price]] * SnapshotTable[[#This Row],[Equity Shares]]</f>
        <v>0</v>
      </c>
      <c r="T148" s="254">
        <f>SnapshotTable[[#This Row],[Equity Value]] - SnapshotTable[[#This Row],[Equity Basis Total]]</f>
        <v>0</v>
      </c>
      <c r="U148" s="255" t="str">
        <f>IF(SnapshotTable[[#This Row],[Equity Basis Total]] &gt; 0, SnapshotTable[[#This Row],[Equity G/L]] / SnapshotTable[[#This Row],[Equity Basis Total]], "")</f>
        <v/>
      </c>
      <c r="V148" s="253"/>
      <c r="W148" s="253"/>
      <c r="X148" s="4" t="str">
        <f>IF(AND(ISNUMBER(SnapshotTable[[#This Row],[Equity Basis Per Share]]),ISNUMBER(SnapshotTable[[#This Row],[Equity Target]])),SnapshotTable[[#This Row],[Equity Target]]-SnapshotTable[[#This Row],[Equity Basis Per Share]],"")</f>
        <v/>
      </c>
      <c r="Y148" s="4" t="str">
        <f>IF(AND(ISNUMBER(SnapshotTable[[#This Row],[Equity Basis Per Share]]),ISNUMBER(SnapshotTable[[#This Row],[Equity Stop Loss]])),SnapshotTable[[#This Row],[Equity Stop Loss]]-SnapshotTable[[#This Row],[Equity Basis Per Share]],"")</f>
        <v/>
      </c>
      <c r="Z148" s="260" t="str">
        <f>IFERROR( TEXT(SnapshotTable[[#This Row],[Equity Max Gain Per Share]] /ABS( SnapshotTable[[#This Row],[Equity Max Loss Per Share]]),"0.0 " ) &amp; " : 1", "")</f>
        <v/>
      </c>
      <c r="AA148" s="31" t="str">
        <f>IF(ISNUMBER(SnapshotTable[[#This Row],[Equity Max Gain Per Share]]),SnapshotTable[[#This Row],[Equity Max Gain Per Share]] * SnapshotTable[[#This Row],[Equity Shares]],"")</f>
        <v/>
      </c>
      <c r="AB148" s="31" t="str">
        <f>IF(ISNUMBER(SnapshotTable[[#This Row],[Equity Max Loss Per Share]]),SnapshotTable[[#This Row],[Equity Max Loss Per Share]] * SnapshotTable[[#This Row],[Equity Shares]],"")</f>
        <v/>
      </c>
      <c r="AC148" s="148"/>
      <c r="AD148" s="149"/>
      <c r="AE148" s="31">
        <f>(SnapshotTable[[#This Row],[Annual Dividend Per Share]] / 4) * SnapshotTable[[#This Row],[Equity Shares]]</f>
        <v>0</v>
      </c>
      <c r="AF148" s="31">
        <f>SnapshotTable[[#This Row],[Quarterly Div $]] * 4</f>
        <v>0</v>
      </c>
      <c r="AG148" s="7">
        <f>IF(SnapshotTable[[#This Row],[Annual Dividend Per Share]]&gt;0, SnapshotTable[[#This Row],[Annual Dividend Per Share]]  / SnapshotTable[[#This Row],[Last Price]], 0)</f>
        <v>0</v>
      </c>
      <c r="AH148" s="149"/>
      <c r="AI148" s="5"/>
      <c r="AJ148" s="136"/>
      <c r="AK148" s="150" t="str">
        <f>IF(ISNUMBER( SnapshotTable[[#This Row],[EBF Target]]),(SnapshotTable[[#This Row],[EBF Target]] - SnapshotTable[[#This Row],[Last Price]]) / SnapshotTable[[#This Row],[Last Price]], "")</f>
        <v/>
      </c>
      <c r="AL148" s="150" t="str">
        <f>IF(AND(SnapshotTable[[#This Row],[Equity Basis Total]] &gt; 0,ISNUMBER( SnapshotTable[[#This Row],[Long Term Target]])), SnapshotTable[[#This Row],[From Basis $]] / SnapshotTable[[#This Row],[Equity Basis Total]], "")</f>
        <v/>
      </c>
      <c r="AM148" s="9">
        <f>IF( AND(SnapshotTable[[#This Row],[Equity Shares]] &gt;0,ISNUMBER( SnapshotTable[[#This Row],[Long Term Target]])),(SnapshotTable[[#This Row],[Equity Shares]] * SnapshotTable[[#This Row],[Long Term Target]]) - SnapshotTable[[#This Row],[Equity Basis Total]],0)</f>
        <v>0</v>
      </c>
      <c r="AN148" s="9">
        <f>IF( AND(SnapshotTable[[#This Row],[Equity Shares]] &gt;0,ISNUMBER( SnapshotTable[[#This Row],[Long Term Target]])),(SnapshotTable[[#This Row],[Equity Shares]]*SnapshotTable[[#This Row],[Long Term Target]]) - SnapshotTable[[#This Row],[Equity Value]],0)</f>
        <v>0</v>
      </c>
      <c r="AO148" s="150" t="str">
        <f>IF(AND(ISNUMBER( SnapshotTable[[#This Row],[Long Term Target]]), ISNUMBER(SnapshotTable[[#This Row],[Last Price]])),(SnapshotTable[[#This Row],[Long Term Target]] - SnapshotTable[[#This Row],[Last Price]]) / SnapshotTable[[#This Row],[Last Price]], "")</f>
        <v/>
      </c>
      <c r="AP148" s="5"/>
      <c r="AQ148" s="38"/>
      <c r="AR148" s="5"/>
      <c r="AS148" s="38"/>
      <c r="AT148" s="144"/>
      <c r="AU148" s="185" t="str">
        <f>IF(OR(SnapshotTable[[#This Row],[LP No Fill]]="Y",SnapshotTable[[#This Row],[SP Is Filled]],SnapshotTable[[#This Row],[LC Not Filled]]="Y",SnapshotTable[[#This Row],[SC Is Filled]]),"Y","")</f>
        <v/>
      </c>
      <c r="AV148" s="205"/>
      <c r="AW148" s="211"/>
      <c r="AX148" s="206"/>
      <c r="AY148" s="205" t="str">
        <f>IF(SnapshotTable[[#This Row],[Implied Move]]&gt;0, SnapshotTable[[#This Row],[Last Price]]-SnapshotTable[[#This Row],[Implied Move]],"")</f>
        <v/>
      </c>
      <c r="AZ148" s="205" t="str">
        <f>IF(SnapshotTable[[#This Row],[Implied Move]]&gt;0, SnapshotTable[[#This Row],[Last Price]] + SnapshotTable[[#This Row],[Implied Move]],"")</f>
        <v/>
      </c>
      <c r="BA148" s="302">
        <v>12.37</v>
      </c>
      <c r="BB148" s="318"/>
      <c r="BC1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8" s="321"/>
      <c r="BE148" s="5"/>
      <c r="BF148" s="14"/>
      <c r="BG148" s="13"/>
      <c r="BH148" s="13"/>
      <c r="BI148" s="5"/>
      <c r="BJ148" s="134">
        <f>IF(SnapshotTable[[#This Row],[LP Qty]] &gt; 0, SnapshotTable[[#This Row],[LP Qty]] * SnapshotTable[[#This Row],[LP Book Price]] * 100,0)</f>
        <v>0</v>
      </c>
      <c r="BK148" s="134">
        <f>IF(SnapshotTable[[#This Row],[LP Premium]] &gt; 0, SnapshotTable[[#This Row],[LP Qty]] * SnapshotTable[[#This Row],[LP Strike Price]] * 100,0)</f>
        <v>0</v>
      </c>
      <c r="BL148" s="152"/>
      <c r="BM148" s="355" t="str">
        <f>IF(SnapshotTable[[#This Row],[LP Premium]] &gt; 0,SnapshotTable[[#This Row],[LP Exp Date]]-MAX(SnapshotTable[[#This Row],[LP Book Date]], SnapshotTable[[#This Row],[LP Fill Date]]),"")</f>
        <v/>
      </c>
      <c r="BN148" s="355" t="str">
        <f>IF(ISNUMBER( SnapshotTable[[#This Row],[LP Term]]), SnapshotTable[[#This Row],[LP Exp Date]] - MockToday,"")</f>
        <v/>
      </c>
      <c r="BO148" s="161" t="str">
        <f>IF(AND(SnapshotTable[[#This Row],[LP Exp Date]]&gt;0, SnapshotTable[[#This Row],[LP Strike Price]]&gt;0,SnapshotTable[[#This Row],[LP Qty]]&gt;0,SnapshotTable[[#This Row],[LP Book Date]]&gt;0,SnapshotTable[[#This Row],[LP Book Price]]&gt;0,SnapshotTable[[#This Row],[LP Fill Date]]=0),"Y","")</f>
        <v/>
      </c>
      <c r="BP148" s="31" t="str">
        <f>IF(AND(SnapshotTable[[#This Row],[LP No Fill]]&lt;&gt;"Y",SnapshotTable[[#This Row],[LP Contract Value]]&gt;0, SnapshotTable[[#This Row],[LP Qty]]&gt;0), SnapshotTable[[#This Row],[LP Contract Value]]*SnapshotTable[[#This Row],[LP Qty]]*100,"")</f>
        <v/>
      </c>
      <c r="BQ148" s="13"/>
      <c r="BR148" s="5"/>
      <c r="BS148" s="36"/>
      <c r="BT148" s="145"/>
      <c r="BU148" s="13"/>
      <c r="BV148" s="5"/>
      <c r="BW148" s="382" t="b">
        <f>AND(ISNUMBER(SnapshotTable[[#This Row],[SP Exp Date]]), ISNUMBER(SnapshotTable[[#This Row],[SP Strike Price]]), ISNUMBER(SnapshotTable[[#This Row],[SP Qty]]), ISNUMBER(SnapshotTable[[#This Row],[SP Book Date]]), ISNUMBER(SnapshotTable[[#This Row],[SP Book Price]]))</f>
        <v>0</v>
      </c>
      <c r="BX148" s="382" t="b">
        <f>AND(SnapshotTable[[#This Row],[SP Is Booked]], NOT(ISBLANK(SnapshotTable[[#This Row],[SP Fill Date]])))</f>
        <v>0</v>
      </c>
      <c r="BY148" s="33">
        <f>IF(SnapshotTable[[#This Row],[SP Is Booked]], SnapshotTable[[#This Row],[SP Qty]] * SnapshotTable[[#This Row],[SP Book Price]] * 100, 0)</f>
        <v>0</v>
      </c>
      <c r="BZ148" s="339"/>
      <c r="CA148" s="338">
        <f>SnapshotTable[[#This Row],[LP Qty]]</f>
        <v>0</v>
      </c>
      <c r="CB148" s="4" t="str">
        <f>IF(SnapshotTable[[#This Row],[SP Is Booked]], SnapshotTable[[#This Row],[SP Strike Price]] - SnapshotTable[[#This Row],[SP Book Price]], "")</f>
        <v/>
      </c>
      <c r="CC148" s="19" t="str">
        <f>IF(SnapshotTable[[#This Row],[SP Is Booked]],SnapshotTable[[#This Row],[SP Exp Date]]-MAX(SnapshotTable[[#This Row],[SP Book Date]], SnapshotTable[[#This Row],[SP Fill Date]]),"")</f>
        <v/>
      </c>
      <c r="CD148" s="7" t="str">
        <f>IF(SnapshotTable[[#This Row],[SP Is Booked]], SnapshotTable[[#This Row],[SP Book Price]]/SnapshotTable[[#This Row],[SP Strike Price]], "")</f>
        <v/>
      </c>
      <c r="CE148" s="7" t="str">
        <f>IF(ISNUMBER(SnapshotTable[[#This Row],[SP ROO Term]]),SnapshotTable[[#This Row],[SP ROO Term]]*(365/SnapshotTable[[#This Row],[SP Term]]),"")</f>
        <v/>
      </c>
      <c r="CF148" s="221">
        <f>SnapshotTable[[#This Row],[LP Strike Price]] * SnapshotTable[[#This Row],[LP Qty]] * 100</f>
        <v>0</v>
      </c>
      <c r="CG148" s="31">
        <f>IF(ISNUMBER(SnapshotTable[[#This Row],[SP Premium]]), (SnapshotTable[[#This Row],[SP Qty]] * SnapshotTable[[#This Row],[SP Strike Price]]* 100) - SnapshotTable[[#This Row],[LP Protection]], 0)</f>
        <v>0</v>
      </c>
      <c r="CH148" s="7" t="str">
        <f>IF(ISNUMBER(SnapshotTable[[#This Row],[SP Break Even]]),-1 * (SnapshotTable[[#This Row],[SP Break Even]] - SnapshotTable[[#This Row],[Last Price]]) / SnapshotTable[[#This Row],[Last Price]], "")</f>
        <v/>
      </c>
      <c r="CI148" s="31">
        <f>IF(AND(ISNUMBER((SnapshotTable[[#This Row],[SP Potential Spend]])), SnapshotTable[[#This Row],[SP Strike Price]] &gt; SnapshotTable[[#This Row],[Last Price]], SnapshotTable[[#This Row],[SP Is Filled]]), SnapshotTable[[#This Row],[SP Potential Spend]] -  SnapshotTable[[#This Row],[LP Max Value]], 0)</f>
        <v>0</v>
      </c>
      <c r="CJ148" s="229"/>
      <c r="CK148" s="31">
        <f>IF(ISNUMBER(SnapshotTable[[#This Row],[SP Potential Spend]]),IF(ISNUMBER(SnapshotTable[[#This Row],[SP POW]]), SnapshotTable[[#This Row],[SP POW]] * SnapshotTable[[#This Row],[SP Potential Spend]], SnapshotTable[[#This Row],[SP Potential Spend]]), "")</f>
        <v>0</v>
      </c>
      <c r="CL148" s="162">
        <f>IF(NOT(SnapshotTable[[#This Row],[SP Is Filled]]),(SnapshotTable[[#This Row],[SP Qty]] * SnapshotTable[[#This Row],[SP Strike Price]] * 100) - SnapshotTable[[#This Row],[LP Max Value]],"")</f>
        <v>0</v>
      </c>
      <c r="CM148" s="31" t="str">
        <f>IF(SnapshotTable[[#This Row],[SP Actual Spend]]&lt;&gt;0, ((SnapshotTable[[#This Row],[SP Strike Price]]-SnapshotTable[[#This Row],[Last Price]]) *(SnapshotTable[[#This Row],[SP Qty]]*100) - SnapshotTable[[#This Row],[SP Premium]]) * - 1, "")</f>
        <v/>
      </c>
      <c r="CN148" s="76"/>
      <c r="CO148" s="339"/>
      <c r="CP148" s="4" t="str">
        <f>IF(SnapshotTable[[#This Row],[SP Is Filled]], btc_max_buyback_amount(SnapshotTable[[#This Row],[SP Fill Date]],SnapshotTable[[#This Row],[SP Exp Date]], SnapshotTable[[#This Row],[SP Book Price]]),"")</f>
        <v/>
      </c>
      <c r="CQ148" s="76"/>
      <c r="CR1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8" s="153" t="str">
        <f>IF(SnapshotTable[[#This Row],[SP Is Filled]], btc_next_cutoff_date(SnapshotTable[[#This Row],[SP Fill Date]],SnapshotTable[[#This Row],[SP Exp Date]]),"")</f>
        <v/>
      </c>
      <c r="CT148" s="220" t="str" cm="1">
        <f t="array" ref="CT148">IF(SnapshotTable[[#This Row],[SP Is Filled]], btc_should_buy_back(SnapshotTable[[#This Row],[SP Fill Date]], SnapshotTable[[#This Row],[SP Exp Date]], SnapshotTable[[#This Row],[SP Book Price]], SnapshotTable[[#This Row],[SP Current Ask]], MockToday, SnapshotTable[[#This Row],[SP Buyback Override]]),"")</f>
        <v/>
      </c>
      <c r="CU148" s="154"/>
      <c r="CV148" s="220"/>
      <c r="CW148" s="348" t="str">
        <f>IF(ISNUMBER( SnapshotTable[[#This Row],[SP Term]]), SnapshotTable[[#This Row],[SP Exp Date]] - MockToday,"")</f>
        <v/>
      </c>
      <c r="CX148" s="31" t="str">
        <f>IF(SnapshotTable[[#This Row],[SP Is Filled]],SnapshotTable[[#This Row],[SP Buyback Price to Use]] * 100 * SnapshotTable[[#This Row],[SP Qty]], "")</f>
        <v/>
      </c>
      <c r="CY148" s="4" t="str">
        <f>IF(ISNUMBER(SnapshotTable[[#This Row],[SP Strike Price]]), SnapshotTable[[#This Row],[SP Strike Price]] * (1 - SP_MaxLoss_StrikePct), "")</f>
        <v/>
      </c>
      <c r="CZ148" s="31" t="str">
        <f>IF(ISNUMBER(SnapshotTable[[#This Row],[SP Strike  Stop Per Share]]),SnapshotTable[[#This Row],[SP Premium]] - ((SnapshotTable[[#This Row],[SP Strike Price]]-SnapshotTable[[#This Row],[SP Strike  Stop Per Share]]) *(SnapshotTable[[#This Row],[SP Qty]] * 100)),"")</f>
        <v/>
      </c>
      <c r="DA148" s="4" t="str">
        <f>IF(AND(ISNUMBER(SnapshotTable[[#This Row],[SP Premium]]),SnapshotTable[[#This Row],[SP Premium]]&gt;0), SnapshotTable[[#This Row],[SP Book Price]] * (1 + SP_MaxLoss_OptionPct), "")</f>
        <v/>
      </c>
      <c r="DB148" s="31" t="str">
        <f>IF(ISNUMBER(SnapshotTable[[#This Row],[SP Option  Stop Contract]]),(SnapshotTable[[#This Row],[SP Option  Stop Contract]] *(SnapshotTable[[#This Row],[SP Qty]] * 100) - SnapshotTable[[#This Row],[SP Premium]]),"")</f>
        <v/>
      </c>
      <c r="DC148" s="4"/>
      <c r="DD148" s="4"/>
      <c r="DE148" s="4" t="str">
        <f>IF(AND(SnapshotTable[[#This Row],[SP Qty]]&gt;0, SnapshotTable[[#This Row],[SP Stop To Use]]&gt;0),SnapshotTable[[#This Row],[SP Premium]] - ( SnapshotTable[[#This Row],[SP Qty]] * SnapshotTable[[#This Row],[SP Stop To Use]] * 100), "")</f>
        <v/>
      </c>
      <c r="DF148" s="31" t="str">
        <f>IF(AND(SnapshotTable[[#This Row],[SP Qty]]&gt;0,SnapshotTable[[#This Row],[SP Current Ask]]&gt;0), SnapshotTable[[#This Row],[SP Qty]] * SnapshotTable[[#This Row],[SP Current Ask]] * -100, "")</f>
        <v/>
      </c>
      <c r="DG148" s="31" t="str">
        <f>IF(ISNUMBER((SnapshotTable[[#This Row],[SP Total Value]])), SnapshotTable[[#This Row],[SP Premium]] + SnapshotTable[[#This Row],[SP Total Value]], "")</f>
        <v/>
      </c>
      <c r="DH148" s="272" t="str">
        <f>IF(ISNUMBER((SnapshotTable[[#This Row],[SP Total Value]])), SnapshotTable[[#This Row],[SP Gain Loss]] / SnapshotTable[[#This Row],[SP Premium]], "")</f>
        <v/>
      </c>
      <c r="DI148" s="369"/>
      <c r="DJ148" s="136"/>
      <c r="DK148" s="146"/>
      <c r="DL148" s="13"/>
      <c r="DM148" s="13"/>
      <c r="DO148" s="31">
        <f>IF(SnapshotTable[[#This Row],[LC Symbol Count]]=1, SnapshotTable[[#This Row],[LC Qty]] * SnapshotTable[[#This Row],[LC Book Price]] * 100, 0)</f>
        <v>0</v>
      </c>
      <c r="DP148" s="161" t="str">
        <f>IF(AND(SnapshotTable[[#This Row],[LC Exp Date]]&gt;0, SnapshotTable[[#This Row],[LC Strike Price]]&gt;0,SnapshotTable[[#This Row],[LC Qty]]&gt;0,SnapshotTable[[#This Row],[LC Book Date]]&gt;0,SnapshotTable[[#This Row],[LC Book Price]]&gt;0,SnapshotTable[[#This Row],[LC Fill Date]]=0),"Y","")</f>
        <v/>
      </c>
      <c r="DQ148" s="356" t="str">
        <f>IF(SnapshotTable[[#This Row],[LC Premium]] &gt; 0,SnapshotTable[[#This Row],[LC Exp Date]]-MAX(SnapshotTable[[#This Row],[LC Book Date]], SnapshotTable[[#This Row],[LC Fill Date]]),"")</f>
        <v/>
      </c>
      <c r="DR148" s="356" t="str">
        <f>IF(ISNUMBER(SnapshotTable[[#This Row],[LC Term]]), SnapshotTable[[#This Row],[LC Exp Date]] - MockToday, "")</f>
        <v/>
      </c>
      <c r="DS148" s="219" t="str">
        <f>IF(SnapshotTable[[#This Row],[LC Premium]]&gt;0,SnapshotTable[[#This Row],[LC Strike Price]] + SnapshotTable[[#This Row],[LC Book Price]],"")</f>
        <v/>
      </c>
      <c r="DU148" s="9" t="str">
        <f>IF(AND(SnapshotTable[[#This Row],[LC Symbol Count]]&gt;0, SnapshotTable[[#This Row],[LC Contract Value]]&gt;0), SnapshotTable[[#This Row],[LC Contract Value]] * SnapshotTable[[#This Row],[LC Qty]] * 100, "")</f>
        <v/>
      </c>
      <c r="DV148" s="9" t="str">
        <f>IF(AND(ISNUMBER(SnapshotTable[[#This Row],[LC Total Value]]), SnapshotTable[[#This Row],[LC Not Filled]]&lt;&gt;"Y"), SnapshotTable[[#This Row],[LC Total Value]]-SnapshotTable[[#This Row],[LC Premium]],"")</f>
        <v/>
      </c>
      <c r="DW148" s="225" t="str">
        <f>IF(ISNUMBER(SnapshotTable[[#This Row],[LC Actual Gain Loss]]), SnapshotTable[[#This Row],[LC Actual Gain Loss]] / SnapshotTable[[#This Row],[LC Premium]],"")</f>
        <v/>
      </c>
      <c r="DX148" s="269" t="str">
        <f>IF(ISNUMBER(SnapshotTable[[#This Row],[LC Book Price]]),SnapshotTable[[#This Row],[LC Book Price]] * 1.5,"")</f>
        <v/>
      </c>
      <c r="DY148" s="250" t="str">
        <f>IF(SnapshotTable[[#This Row],[LC Premium]]&gt;0, SnapshotTable[[#This Row],[LC Next Target]] * SnapshotTable[[#This Row],[LC Qty]] * 100,"")</f>
        <v/>
      </c>
      <c r="DZ148" s="250" t="str">
        <f>IF(ISNUMBER(SnapshotTable[[#This Row],[LC Target Gross]]), SnapshotTable[[#This Row],[LC Target Gross]] - SnapshotTable[[#This Row],[LC Premium]], "")</f>
        <v/>
      </c>
      <c r="EA148" s="283" t="str">
        <f>IF(ISNUMBER(SnapshotTable[[#This Row],[LC Target Gain Loss]]), SnapshotTable[[#This Row],[LC Target Gain Loss]]/SnapshotTable[[#This Row],[LC Premium]], "")</f>
        <v/>
      </c>
      <c r="EB148" s="247"/>
      <c r="EC148" s="268" t="str">
        <f>IF(SnapshotTable[[#This Row],[LC Premium]]&gt;0, SnapshotTable[[#This Row],[LC Book Price]] * (1 - LC_StopLoss_Pct),"")</f>
        <v/>
      </c>
      <c r="ED148" s="269"/>
      <c r="EE148" s="268" t="str">
        <f>IF(ISNUMBER(SnapshotTable[[#This Row],[LC Contract Value]]),IF(ISNUMBER(SnapshotTable[[#This Row],[LC Stop Loss Override]]), SnapshotTable[[#This Row],[LC Stop Loss Override]],SnapshotTable[[#This Row],[LC Stop Loss Calc Target]]),"")</f>
        <v/>
      </c>
      <c r="EF148" s="31" t="str">
        <f>IF(ISNUMBER(SnapshotTable[[#This Row],[LC Stop  To Use]]), (SnapshotTable[[#This Row],[LC Stop  To Use]] * SnapshotTable[[#This Row],[LC Qty]] * 100),"")</f>
        <v/>
      </c>
      <c r="EG148" s="9" t="str">
        <f>IF(ISNUMBER(SnapshotTable[[#This Row],[LC Total Value]]),SnapshotTable[[#This Row],[LC Stop Loss Amount]] - SnapshotTable[[#This Row],[LC Premium]],"")</f>
        <v/>
      </c>
      <c r="EH148" s="9">
        <f>IF(ISNUMBER(SnapshotTable[[#This Row],[LC Premium]]), SnapshotTable[[#This Row],[LC Qty]] * 100 * SnapshotTable[[#This Row],[LC Strike Price]], "")</f>
        <v>0</v>
      </c>
      <c r="EI148" s="225" t="str">
        <f>IF(AND(ISNUMBER(SnapshotTable[[#This Row],[LC Total Value]]),SnapshotTable[[#This Row],[LC Total Value]]&gt;0),SnapshotTable[[#This Row],[LC Stop Gain Loss]]  / SnapshotTable[[#This Row],[LC Premium]],"")</f>
        <v/>
      </c>
      <c r="EJ148" s="35">
        <f>IF(ISNUMBER(SnapshotTable[[#This Row],[Equity Shares]]),TRUNC(SnapshotTable[[#This Row],[Equity Shares]] / 100),0) + SnapshotTable[[#This Row],[LC Qty]]</f>
        <v>0</v>
      </c>
      <c r="EK148" s="145"/>
      <c r="EL148" s="136"/>
      <c r="EM148" s="146"/>
      <c r="EN148" s="145"/>
      <c r="EO148" s="145"/>
      <c r="EP148" s="136"/>
      <c r="EQ148" s="382" t="b">
        <f>AND(ISNUMBER(SnapshotTable[[#This Row],[SC Exp Date]]), ISNUMBER(SnapshotTable[[#This Row],[SC Strike Price]]), ISNUMBER(SnapshotTable[[#This Row],[SC Qty]]), ISNUMBER(SnapshotTable[[#This Row],[SC Book Date]]), ISNUMBER(SnapshotTable[[#This Row],[SC Book Price]]))</f>
        <v>0</v>
      </c>
      <c r="ER148" s="382" t="b">
        <f>AND(SnapshotTable[[#This Row],[SC Is Booked]], NOT(ISBLANK(SnapshotTable[[#This Row],[SC Fill Date]])))</f>
        <v>0</v>
      </c>
      <c r="ES148" s="340"/>
      <c r="ET148" s="34" t="str">
        <f>IF(AND(ISNUMBER(SnapshotTable[[#This Row],[SC Exp Date]]), ISNUMBER(SnapshotTable[[#This Row],[SC Book Date]])), SnapshotTable[[#This Row],[SC Exp Date]] - MAX(SnapshotTable[[#This Row],[SC Book Date]], SnapshotTable[[#This Row],[SC Fill Date]]) + 1, "")</f>
        <v/>
      </c>
      <c r="EU148" s="34" t="str">
        <f>IF(ISNUMBER(SnapshotTable[[#This Row],[SC Term]]), SnapshotTable[[#This Row],[SC Exp Date]]- MockToday, "")</f>
        <v/>
      </c>
      <c r="EV148" s="31">
        <f>IF(SnapshotTable[[#This Row],[SC Is Booked]], SnapshotTable[[#This Row],[SC Qty]] * SnapshotTable[[#This Row],[SC Book Price]] * 100, 0)</f>
        <v>0</v>
      </c>
      <c r="EW148" s="4" t="str">
        <f>IF(AND(ISNUMBER(SnapshotTable[[#This Row],[Last Price]]), ISNUMBER( SnapshotTable[[#This Row],[SC Book Price]])), SnapshotTable[[#This Row],[Last Price]] - SnapshotTable[[#This Row],[SC Book Price]],"")</f>
        <v/>
      </c>
      <c r="EX148" s="219" t="str">
        <f>IF(SnapshotTable[[#This Row],[SC Is Booked]],IF(SnapshotTable[[#This Row],[SC Intrinsic Value]] &gt; 0, SnapshotTable[[#This Row],[SC Strike Price]], SnapshotTable[[#This Row],[Last Price]]), "")</f>
        <v/>
      </c>
      <c r="EY148" s="4">
        <f>IF(SnapshotTable[[#This Row],[SC Is Booked]], (MinimumPremiumRequired * SnapshotTable[[#This Row],[SC Basis]] * SnapshotTable[[#This Row],[SC Term]]), 0)</f>
        <v>0</v>
      </c>
      <c r="EZ148" s="268"/>
      <c r="FA148" s="204"/>
      <c r="FB148" s="340"/>
      <c r="FC148" s="4">
        <f>IF(SnapshotTable[[#This Row],[SC Is Filled]], btc_max_buyback_amount(SnapshotTable[[#This Row],[SC Fill Date]],SnapshotTable[[#This Row],[SC Exp Date]], SnapshotTable[[#This Row],[SC Book Price]]),0)</f>
        <v>0</v>
      </c>
      <c r="FD148" s="5"/>
      <c r="FE148" s="142" t="str">
        <f>IF(SnapshotTable[[#This Row],[SC Is Filled]], btc_next_cutoff_date(SnapshotTable[[#This Row],[SC Fill Date]],SnapshotTable[[#This Row],[SC Exp Date]]),"")</f>
        <v/>
      </c>
      <c r="FF148" s="4" t="str" cm="1">
        <f t="array" ref="FF148">IF(SnapshotTable[[#This Row],[SC Is Filled]], btc_should_buy_back(SnapshotTable[[#This Row],[SC Fill Date]], SnapshotTable[[#This Row],[SC Exp Date]], SnapshotTable[[#This Row],[SC Book Price]], SnapshotTable[[#This Row],[SC Current Ask]], MockToday, SnapshotTable[[#This Row],[SC Buyback Override]]),"")</f>
        <v/>
      </c>
      <c r="FG148" s="4">
        <f>IF(SnapshotTable[[#This Row],[SC Is Filled]], MAX(0,SnapshotTable[[#This Row],[Last Price]]  - SnapshotTable[[#This Row],[SC Strike Price]]), 0)</f>
        <v>0</v>
      </c>
      <c r="FH148" s="352">
        <f>IF(SnapshotTable[[#This Row],[SC Is Filled]], IF(ISNUMBER(SnapshotTable[[#This Row],[SC Current Ask]]), SnapshotTable[[#This Row],[SC Current Ask]], SnapshotTable[[#This Row],[SC Book Price]]) - SnapshotTable[[#This Row],[SC Intrinsic Value]], 0)</f>
        <v>0</v>
      </c>
      <c r="FI148" s="141"/>
      <c r="FJ148" s="32" t="str">
        <f>IF(SnapshotTable[[#This Row],[SC Is Filled]],100 * SnapshotTable[[#This Row],[SC Qty]] * IF(ISNUMBER(SnapshotTable[[#This Row],[SC Buyback Override]]), SnapshotTable[[#This Row],[SC Buyback Override]], SnapshotTable[[#This Row],[SC Current Ask]]), "")</f>
        <v/>
      </c>
      <c r="FK148" s="235" t="str">
        <f>IF(SnapshotTable[[#This Row],[SC Time Val]]&gt;0, SnapshotTable[[#This Row],[SC Time Val]] / SnapshotTable[[#This Row],[Last Price]],"")</f>
        <v/>
      </c>
      <c r="FL148" s="280" t="str">
        <f>IF(SnapshotTable[[#This Row],[SC Is Booked]], ((SnapshotTable[[#This Row],[Last Price]] -SnapshotTable[[#This Row],[SC Strike Price]]) / SnapshotTable[[#This Row],[Last Price]]) * -1, "")</f>
        <v/>
      </c>
      <c r="FM148" s="155" t="str">
        <f>IF(SnapshotTable[[#This Row],[SC Is Booked]],  (SnapshotTable[[#This Row],[SC Qty]] * 100 * SnapshotTable[[#This Row],[SC Strike Price]]) - SnapshotTable[[#This Row],[SC Current Ask]], "")</f>
        <v/>
      </c>
      <c r="FN1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8" s="31" t="str">
        <f>IF(AND(ISNUMBER(SnapshotTable[[#This Row],[SC Exercise Gross]]), ISNUMBER(SnapshotTable[[#This Row],[Equity Basis Per Share]] )), SnapshotTable[[#This Row],[SC Exercise Gross]] - SnapshotTable[[#This Row],[Equity Basis Total]] +  SnapshotTable[[#This Row],[SC Premium]], "")</f>
        <v/>
      </c>
      <c r="FP148" s="5" t="str">
        <f>IF(ISNUMBER(SnapshotTable[[#This Row],[SC Exercise Gross]]), (SnapshotTable[[#This Row],[SC Exercise Gross]]) / (SnapshotTable[[#This Row],[SC Qty]] * 100), "")</f>
        <v/>
      </c>
      <c r="FQ148" s="27" t="str">
        <f>IF(SnapshotTable[[#This Row],[SC Is Booked]],SnapshotTable[[#This Row],[SC Time Val]] /SnapshotTable[[#This Row],[SC Basis]], "")</f>
        <v/>
      </c>
      <c r="FR148" s="27" t="str" cm="1">
        <f t="array" ref="FR148">IF(AND(ISNUMBER(SnapshotTable[[#This Row],[SC Term]]),ISNUMBER(SnapshotTable[[#This Row],[SC Simple ROO]])), EllmanAnnualize(SnapshotTable[[#This Row],[SC DTE]], SnapshotTable[[#This Row],[SC Simple ROO]] ),"")</f>
        <v/>
      </c>
      <c r="FS148" s="4">
        <f>IF(SnapshotTable[[#This Row],[SC Strike Price]] &gt; SnapshotTable[[#This Row],[Last Price]], SnapshotTable[[#This Row],[SC Strike Price]] - SnapshotTable[[#This Row],[Last Price]],0)</f>
        <v>0</v>
      </c>
      <c r="FT148" s="27" t="str">
        <f>IF(AND(ISNUMBER(SnapshotTable[[#This Row],[SC Upside Potential]]), SnapshotTable[[#This Row],[SC Upside Potential]] &gt; 0),(SnapshotTable[[#This Row],[SC Upside Potential]]/ SnapshotTable[[#This Row],[ACB]]),"")</f>
        <v/>
      </c>
      <c r="FU148" s="304" t="str">
        <f>IF(SnapshotTable[[#This Row],[SC Intrinsic Value]] &gt; 0,SnapshotTable[[#This Row],[SC Intrinsic Value]],"")</f>
        <v/>
      </c>
      <c r="FV148" s="27" t="str">
        <f>IF(AND( ISNUMBER( SnapshotTable[[#This Row],[ACB]]),ISNUMBER(SnapshotTable[[#This Row],[SC Downside Protect]])),SnapshotTable[[#This Row],[SC Downside Protect]] / SnapshotTable[[#This Row],[ACB]],"")</f>
        <v/>
      </c>
      <c r="FW148" s="221" t="str">
        <f>IF(AND(ISNUMBER(SnapshotTable[[#This Row],[SC Simple ROO]]),SnapshotTable[[#This Row],[SC Simple ROO]] &gt; 0), SnapshotTable[[#This Row],[SC Premium]] + (SnapshotTable[[#This Row],[SC Qty]] * SnapshotTable[[#This Row],[SC Upside Potential]]), "")</f>
        <v/>
      </c>
      <c r="FX148" s="280" t="str" cm="1">
        <f t="array" ref="FX148">IF(ISNUMBER(SnapshotTable[[#This Row],[SC Max Dollars]]), annualize(SnapshotTable[[#This Row],[SC Term]],(SnapshotTable[[#This Row],[SC Max Dollars]]/SnapshotTable[[#This Row],[SC Basis]])),"")</f>
        <v/>
      </c>
      <c r="FY148" s="221" t="str">
        <f>IF(AND(SnapshotTable[[#This Row],[SC Qty]]&gt;0,SnapshotTable[[#This Row],[SC Current Ask]]&gt;0), SnapshotTable[[#This Row],[SC Qty]] * SnapshotTable[[#This Row],[SC Current Ask]] * -100, "")</f>
        <v/>
      </c>
      <c r="FZ148" s="31" t="str">
        <f>IF(ISNUMBER((SnapshotTable[[#This Row],[SC Current Value]])), SnapshotTable[[#This Row],[SC Premium]] + SnapshotTable[[#This Row],[SC Current Value]], "")</f>
        <v/>
      </c>
      <c r="GA148" s="272" t="str">
        <f>IFERROR( IF(ISNUMBER((SnapshotTable[[#This Row],[SC Current Value]])), SnapshotTable[[#This Row],[SC Gain Loss]] / SnapshotTable[[#This Row],[SC Premium]], ""), "")</f>
        <v/>
      </c>
      <c r="GB148" s="42">
        <f>SnapshotTable[[#This Row],[Equity Shares]] * SaleSharesToConsiderPercentage</f>
        <v>0</v>
      </c>
      <c r="GC148" s="40">
        <f>SnapshotTable[[#This Row],[Long Term Target]] * SellingPriceToConsiderBasedOnTargetPercentage</f>
        <v>0</v>
      </c>
      <c r="GD148" s="40">
        <f>SnapshotTable[[#This Row],[Last Price]] * (1+ SellingPriceToConsiderBasedOnTargetPercentage)</f>
        <v>62.575500000000005</v>
      </c>
      <c r="GE148" s="41"/>
      <c r="GF148" s="40"/>
      <c r="GG148" s="31">
        <f>SnapshotTable[[#This Row],[Booked Sale Shares]] * SnapshotTable[[#This Row],[Booked Sale Price]]</f>
        <v>0</v>
      </c>
      <c r="GH148" s="31" t="str">
        <f>IF(SnapshotTable[[#This Row],[Equity Basis Total]] &gt; 0, SnapshotTable[[#This Row],[Equity Basis Per Share]] * SnapshotTable[[#This Row],[Booked Sale Shares]], "")</f>
        <v/>
      </c>
      <c r="GI148" s="31">
        <f>IF(SnapshotTable[[#This Row],[Sale Proceeds]]&gt;0, SnapshotTable[[#This Row],[Sale Proceeds]] - SnapshotTable[[#This Row],[Sale Basis]], 0)</f>
        <v>0</v>
      </c>
      <c r="GJ148" s="27" t="str">
        <f>IF(SnapshotTable[[#This Row],[Sale G/L]]&gt;0, SnapshotTable[[#This Row],[Sale G/L]] / SnapshotTable[[#This Row],[Sale Basis]], IF(ISNUMBER(SnapshotTable[[#This Row],[SC Exercise P&amp;L (TAX)]]), SnapshotTable[[#This Row],[SC Exercise P&amp;L (TAX)]] / SnapshotTable[[#This Row],[SC Basis]], ""))</f>
        <v/>
      </c>
      <c r="GK148" s="27"/>
      <c r="GL148" s="43" t="str">
        <f>IF(AND(SnapshotTable[[#This Row],[LP Exp Date]]&gt;0,SnapshotTable[[#This Row],[LP Strike Price]]&gt;0), [1]!ToOptionSymbol(SnapshotTable[[#This Row],[Symbol]], SnapshotTable[[#This Row],[LP Strike Price]],SnapshotTable[[#This Row],[LP Exp Date]],1), "")</f>
        <v/>
      </c>
      <c r="GM148" s="30" t="str">
        <f>IF(LEN(SnapshotTable[[#This Row],[LP Symbol]])&gt;0, 1, "")</f>
        <v/>
      </c>
      <c r="GN148" s="43" t="str">
        <f>IF(AND(SnapshotTable[[#This Row],[SP Exp Date]]&gt;0,SnapshotTable[[#This Row],[SP Strike Price]]&gt;0), [1]!ToOptionSymbol(SnapshotTable[[#This Row],[Symbol]], SnapshotTable[[#This Row],[SP Strike Price]],SnapshotTable[[#This Row],[SP Exp Date]],1), "")</f>
        <v/>
      </c>
      <c r="GO148" s="30" t="str">
        <f>IF(LEN(SnapshotTable[[#This Row],[SP Symbol]])&gt;0, 1, "")</f>
        <v/>
      </c>
      <c r="GP148" s="43" t="str">
        <f>IF(AND(SnapshotTable[[#This Row],[LC Exp Date]]&gt;0,SnapshotTable[[#This Row],[LC Strike Price]]&gt;0), [1]!ToOptionSymbol(SnapshotTable[[#This Row],[Symbol]], SnapshotTable[[#This Row],[LC Strike Price]],SnapshotTable[[#This Row],[LC Exp Date]],0), "")</f>
        <v/>
      </c>
      <c r="GQ148" s="30" t="str">
        <f>IF(LEN(SnapshotTable[[#This Row],[LC Symbol]])&gt;0, 1, "")</f>
        <v/>
      </c>
      <c r="GR148" s="43" t="str">
        <f>IF(AND(SnapshotTable[[#This Row],[SC Exp Date]]&gt;0,SnapshotTable[[#This Row],[SC Strike Price]]&gt;0), [1]!ToOptionSymbol(SnapshotTable[[#This Row],[Symbol]], SnapshotTable[[#This Row],[SC Strike Price]],SnapshotTable[[#This Row],[SC Exp Date]],0), "")</f>
        <v/>
      </c>
      <c r="GS148" s="30" t="str">
        <f>IF(LEN(SnapshotTable[[#This Row],[SC Symbol]])&gt;0, 1, "")</f>
        <v/>
      </c>
      <c r="GT148" s="29" t="str">
        <f>IF(COUNT(SnapshotTable[[#This Row],[LP Symbol Count]],SnapshotTable[[#This Row],[SP Symbol Count]],SnapshotTable[[#This Row],[LC Symbol Count]],SnapshotTable[[#This Row],[SC Symbol Count]])&gt;0, "Y", "")</f>
        <v/>
      </c>
      <c r="GU1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8" s="216">
        <f>MAX(SnapshotTable[[#This Row],[Equity Basis Total]],SnapshotTable[[#This Row],[Equity Value]]) + (SnapshotTable[[#This Row],[SP Potential Spend]]- SnapshotTable[[#This Row],[SP Premium]] + SnapshotTable[[#This Row],[LP Premium]])+ (SnapshotTable[[#This Row],[LC Premium]] - SnapshotTable[[#This Row],[SC Premium]])</f>
        <v>0</v>
      </c>
      <c r="GW148" s="137" t="str">
        <f>IF(AND(SnapshotTable[[#This Row],[Exposure]] &lt;&gt; 0),SnapshotTable[[#This Row],[Exposure]] / SnapshotTable[[#Totals],[Exposure]], "")</f>
        <v/>
      </c>
      <c r="HE148" s="253"/>
      <c r="HF148" s="253"/>
      <c r="HK148" s="1"/>
      <c r="HL148" s="1"/>
      <c r="HM148" s="1"/>
      <c r="HN148" s="1"/>
      <c r="HO148" s="1"/>
      <c r="HP148" s="1"/>
    </row>
    <row r="149" spans="2:224" ht="12.75" hidden="1" customHeight="1" x14ac:dyDescent="0.25">
      <c r="B149" s="12" t="s">
        <v>724</v>
      </c>
      <c r="C149" s="385">
        <v>82.63</v>
      </c>
      <c r="D149" s="200"/>
      <c r="E149" s="39">
        <f>SnapshotTable[[#This Row],[Last Price]]*(1 -CrashDiscount)</f>
        <v>70.235499999999988</v>
      </c>
      <c r="F149" s="26" t="s">
        <v>647</v>
      </c>
      <c r="G149" s="26" t="s">
        <v>629</v>
      </c>
      <c r="H149" s="147"/>
      <c r="I149" s="186">
        <v>44775.28125</v>
      </c>
      <c r="J149" s="187">
        <v>44775.28125</v>
      </c>
      <c r="K149" s="188"/>
      <c r="L149" s="297"/>
      <c r="M149" s="138"/>
      <c r="N149" s="138"/>
      <c r="O149" s="138"/>
      <c r="P149" s="22"/>
      <c r="Q149" s="25"/>
      <c r="R149" s="4" t="str">
        <f>IF(SnapshotTable[[#This Row],[Equity Basis Total]] &gt; 0, SnapshotTable[[#This Row],[Equity Basis Total]] / SnapshotTable[[#This Row],[Equity Shares]], "")</f>
        <v/>
      </c>
      <c r="S149" s="254">
        <f>SnapshotTable[[#This Row],[Last Price]] * SnapshotTable[[#This Row],[Equity Shares]]</f>
        <v>0</v>
      </c>
      <c r="T149" s="254">
        <f>SnapshotTable[[#This Row],[Equity Value]] - SnapshotTable[[#This Row],[Equity Basis Total]]</f>
        <v>0</v>
      </c>
      <c r="U149" s="255" t="str">
        <f>IF(SnapshotTable[[#This Row],[Equity Basis Total]] &gt; 0, SnapshotTable[[#This Row],[Equity G/L]] / SnapshotTable[[#This Row],[Equity Basis Total]], "")</f>
        <v/>
      </c>
      <c r="V149" s="253"/>
      <c r="W149" s="253"/>
      <c r="X149" s="4" t="str">
        <f>IF(AND(ISNUMBER(SnapshotTable[[#This Row],[Equity Basis Per Share]]),ISNUMBER(SnapshotTable[[#This Row],[Equity Target]])),SnapshotTable[[#This Row],[Equity Target]]-SnapshotTable[[#This Row],[Equity Basis Per Share]],"")</f>
        <v/>
      </c>
      <c r="Y149" s="4" t="str">
        <f>IF(AND(ISNUMBER(SnapshotTable[[#This Row],[Equity Basis Per Share]]),ISNUMBER(SnapshotTable[[#This Row],[Equity Stop Loss]])),SnapshotTable[[#This Row],[Equity Stop Loss]]-SnapshotTable[[#This Row],[Equity Basis Per Share]],"")</f>
        <v/>
      </c>
      <c r="Z149" s="260" t="str">
        <f>IFERROR( TEXT(SnapshotTable[[#This Row],[Equity Max Gain Per Share]] /ABS( SnapshotTable[[#This Row],[Equity Max Loss Per Share]]),"0.0 " ) &amp; " : 1", "")</f>
        <v/>
      </c>
      <c r="AA149" s="31" t="str">
        <f>IF(ISNUMBER(SnapshotTable[[#This Row],[Equity Max Gain Per Share]]),SnapshotTable[[#This Row],[Equity Max Gain Per Share]] * SnapshotTable[[#This Row],[Equity Shares]],"")</f>
        <v/>
      </c>
      <c r="AB149" s="31" t="str">
        <f>IF(ISNUMBER(SnapshotTable[[#This Row],[Equity Max Loss Per Share]]),SnapshotTable[[#This Row],[Equity Max Loss Per Share]] * SnapshotTable[[#This Row],[Equity Shares]],"")</f>
        <v/>
      </c>
      <c r="AC149" s="148"/>
      <c r="AD149" s="149"/>
      <c r="AE149" s="31">
        <f>(SnapshotTable[[#This Row],[Annual Dividend Per Share]] / 4) * SnapshotTable[[#This Row],[Equity Shares]]</f>
        <v>0</v>
      </c>
      <c r="AF149" s="31">
        <f>SnapshotTable[[#This Row],[Quarterly Div $]] * 4</f>
        <v>0</v>
      </c>
      <c r="AG149" s="7">
        <f>IF(SnapshotTable[[#This Row],[Annual Dividend Per Share]]&gt;0, SnapshotTable[[#This Row],[Annual Dividend Per Share]]  / SnapshotTable[[#This Row],[Last Price]], 0)</f>
        <v>0</v>
      </c>
      <c r="AH149" s="149"/>
      <c r="AI149" s="5"/>
      <c r="AJ149" s="136">
        <v>223.86</v>
      </c>
      <c r="AK149" s="150" t="str">
        <f>IF(ISNUMBER( SnapshotTable[[#This Row],[EBF Target]]),(SnapshotTable[[#This Row],[EBF Target]] - SnapshotTable[[#This Row],[Last Price]]) / SnapshotTable[[#This Row],[Last Price]], "")</f>
        <v/>
      </c>
      <c r="AL149" s="150" t="str">
        <f>IF(AND(SnapshotTable[[#This Row],[Equity Basis Total]] &gt; 0,ISNUMBER( SnapshotTable[[#This Row],[Long Term Target]])), SnapshotTable[[#This Row],[From Basis $]] / SnapshotTable[[#This Row],[Equity Basis Total]], "")</f>
        <v/>
      </c>
      <c r="AM149" s="9">
        <f>IF( AND(SnapshotTable[[#This Row],[Equity Shares]] &gt;0,ISNUMBER( SnapshotTable[[#This Row],[Long Term Target]])),(SnapshotTable[[#This Row],[Equity Shares]] * SnapshotTable[[#This Row],[Long Term Target]]) - SnapshotTable[[#This Row],[Equity Basis Total]],0)</f>
        <v>0</v>
      </c>
      <c r="AN149" s="9">
        <f>IF( AND(SnapshotTable[[#This Row],[Equity Shares]] &gt;0,ISNUMBER( SnapshotTable[[#This Row],[Long Term Target]])),(SnapshotTable[[#This Row],[Equity Shares]]*SnapshotTable[[#This Row],[Long Term Target]]) - SnapshotTable[[#This Row],[Equity Value]],0)</f>
        <v>0</v>
      </c>
      <c r="AO149" s="150">
        <f>IF(AND(ISNUMBER( SnapshotTable[[#This Row],[Long Term Target]]), ISNUMBER(SnapshotTable[[#This Row],[Last Price]])),(SnapshotTable[[#This Row],[Long Term Target]] - SnapshotTable[[#This Row],[Last Price]]) / SnapshotTable[[#This Row],[Last Price]], "")</f>
        <v>1.7091855258380737</v>
      </c>
      <c r="AP149" s="5"/>
      <c r="AQ149" s="38"/>
      <c r="AR149" s="5"/>
      <c r="AS149" s="38"/>
      <c r="AT149" s="144"/>
      <c r="AU149" s="185" t="str">
        <f>IF(OR(SnapshotTable[[#This Row],[LP No Fill]]="Y",SnapshotTable[[#This Row],[SP Is Filled]],SnapshotTable[[#This Row],[LC Not Filled]]="Y",SnapshotTable[[#This Row],[SC Is Filled]]),"Y","")</f>
        <v/>
      </c>
      <c r="AV149" s="205"/>
      <c r="AW149" s="211"/>
      <c r="AX149" s="206"/>
      <c r="AY149" s="205" t="str">
        <f>IF(SnapshotTable[[#This Row],[Implied Move]]&gt;0, SnapshotTable[[#This Row],[Last Price]]-SnapshotTable[[#This Row],[Implied Move]],"")</f>
        <v/>
      </c>
      <c r="AZ149" s="205" t="str">
        <f>IF(SnapshotTable[[#This Row],[Implied Move]]&gt;0, SnapshotTable[[#This Row],[Last Price]] + SnapshotTable[[#This Row],[Implied Move]],"")</f>
        <v/>
      </c>
      <c r="BA149" s="302"/>
      <c r="BB149" s="318"/>
      <c r="BC1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49" s="321"/>
      <c r="BE149" s="136"/>
      <c r="BF149" s="164"/>
      <c r="BG149" s="165"/>
      <c r="BH149" s="165"/>
      <c r="BI149" s="207"/>
      <c r="BJ149" s="151">
        <f>IF(SnapshotTable[[#This Row],[LP Qty]] &gt; 0, SnapshotTable[[#This Row],[LP Qty]] * SnapshotTable[[#This Row],[LP Book Price]] * 100,0)</f>
        <v>0</v>
      </c>
      <c r="BK149" s="134">
        <f>IF(SnapshotTable[[#This Row],[LP Premium]] &gt; 0, SnapshotTable[[#This Row],[LP Qty]] * SnapshotTable[[#This Row],[LP Strike Price]] * 100,0)</f>
        <v>0</v>
      </c>
      <c r="BL149" s="152"/>
      <c r="BM149" s="355" t="str">
        <f>IF(SnapshotTable[[#This Row],[LP Premium]] &gt; 0,SnapshotTable[[#This Row],[LP Exp Date]]-MAX(SnapshotTable[[#This Row],[LP Book Date]], SnapshotTable[[#This Row],[LP Fill Date]]),"")</f>
        <v/>
      </c>
      <c r="BN149" s="355" t="str">
        <f>IF(ISNUMBER( SnapshotTable[[#This Row],[LP Term]]), SnapshotTable[[#This Row],[LP Exp Date]] - MockToday,"")</f>
        <v/>
      </c>
      <c r="BO149" s="161" t="str">
        <f>IF(AND(SnapshotTable[[#This Row],[LP Exp Date]]&gt;0, SnapshotTable[[#This Row],[LP Strike Price]]&gt;0,SnapshotTable[[#This Row],[LP Qty]]&gt;0,SnapshotTable[[#This Row],[LP Book Date]]&gt;0,SnapshotTable[[#This Row],[LP Book Price]]&gt;0,SnapshotTable[[#This Row],[LP Fill Date]]=0),"Y","")</f>
        <v/>
      </c>
      <c r="BP149" s="31" t="str">
        <f>IF(AND(SnapshotTable[[#This Row],[LP No Fill]]&lt;&gt;"Y",SnapshotTable[[#This Row],[LP Contract Value]]&gt;0, SnapshotTable[[#This Row],[LP Qty]]&gt;0), SnapshotTable[[#This Row],[LP Contract Value]]*SnapshotTable[[#This Row],[LP Qty]]*100,"")</f>
        <v/>
      </c>
      <c r="BQ149" s="13"/>
      <c r="BR149" s="5"/>
      <c r="BS149" s="36"/>
      <c r="BT149" s="145"/>
      <c r="BU149" s="13"/>
      <c r="BV149" s="5"/>
      <c r="BW149" s="382" t="b">
        <f>AND(ISNUMBER(SnapshotTable[[#This Row],[SP Exp Date]]), ISNUMBER(SnapshotTable[[#This Row],[SP Strike Price]]), ISNUMBER(SnapshotTable[[#This Row],[SP Qty]]), ISNUMBER(SnapshotTable[[#This Row],[SP Book Date]]), ISNUMBER(SnapshotTable[[#This Row],[SP Book Price]]))</f>
        <v>0</v>
      </c>
      <c r="BX149" s="382" t="b">
        <f>AND(SnapshotTable[[#This Row],[SP Is Booked]], NOT(ISBLANK(SnapshotTable[[#This Row],[SP Fill Date]])))</f>
        <v>0</v>
      </c>
      <c r="BY149" s="33">
        <f>IF(SnapshotTable[[#This Row],[SP Is Booked]], SnapshotTable[[#This Row],[SP Qty]] * SnapshotTable[[#This Row],[SP Book Price]] * 100, 0)</f>
        <v>0</v>
      </c>
      <c r="BZ149" s="339"/>
      <c r="CA149" s="338">
        <f>SnapshotTable[[#This Row],[LP Qty]]</f>
        <v>0</v>
      </c>
      <c r="CB149" s="4" t="str">
        <f>IF(SnapshotTable[[#This Row],[SP Is Booked]], SnapshotTable[[#This Row],[SP Strike Price]] - SnapshotTable[[#This Row],[SP Book Price]], "")</f>
        <v/>
      </c>
      <c r="CC149" s="19" t="str">
        <f>IF(SnapshotTable[[#This Row],[SP Is Booked]],SnapshotTable[[#This Row],[SP Exp Date]]-MAX(SnapshotTable[[#This Row],[SP Book Date]], SnapshotTable[[#This Row],[SP Fill Date]]),"")</f>
        <v/>
      </c>
      <c r="CD149" s="7" t="str">
        <f>IF(SnapshotTable[[#This Row],[SP Is Booked]], SnapshotTable[[#This Row],[SP Book Price]]/SnapshotTable[[#This Row],[SP Strike Price]], "")</f>
        <v/>
      </c>
      <c r="CE149" s="7" t="str">
        <f>IF(ISNUMBER(SnapshotTable[[#This Row],[SP ROO Term]]),SnapshotTable[[#This Row],[SP ROO Term]]*(365/SnapshotTable[[#This Row],[SP Term]]),"")</f>
        <v/>
      </c>
      <c r="CF149" s="221">
        <f>SnapshotTable[[#This Row],[LP Strike Price]] * SnapshotTable[[#This Row],[LP Qty]] * 100</f>
        <v>0</v>
      </c>
      <c r="CG149" s="31">
        <f>IF(ISNUMBER(SnapshotTable[[#This Row],[SP Premium]]), (SnapshotTable[[#This Row],[SP Qty]] * SnapshotTable[[#This Row],[SP Strike Price]]* 100) - SnapshotTable[[#This Row],[LP Protection]], 0)</f>
        <v>0</v>
      </c>
      <c r="CH149" s="7" t="str">
        <f>IF(ISNUMBER(SnapshotTable[[#This Row],[SP Break Even]]),-1 * (SnapshotTable[[#This Row],[SP Break Even]] - SnapshotTable[[#This Row],[Last Price]]) / SnapshotTable[[#This Row],[Last Price]], "")</f>
        <v/>
      </c>
      <c r="CI149" s="31">
        <f>IF(AND(ISNUMBER((SnapshotTable[[#This Row],[SP Potential Spend]])), SnapshotTable[[#This Row],[SP Strike Price]] &gt; SnapshotTable[[#This Row],[Last Price]], SnapshotTable[[#This Row],[SP Is Filled]]), SnapshotTable[[#This Row],[SP Potential Spend]] -  SnapshotTable[[#This Row],[LP Max Value]], 0)</f>
        <v>0</v>
      </c>
      <c r="CJ149" s="229"/>
      <c r="CK149" s="31">
        <f>IF(ISNUMBER(SnapshotTable[[#This Row],[SP Potential Spend]]),IF(ISNUMBER(SnapshotTable[[#This Row],[SP POW]]), SnapshotTable[[#This Row],[SP POW]] * SnapshotTable[[#This Row],[SP Potential Spend]], SnapshotTable[[#This Row],[SP Potential Spend]]), "")</f>
        <v>0</v>
      </c>
      <c r="CL149" s="162">
        <f>IF(NOT(SnapshotTable[[#This Row],[SP Is Filled]]),(SnapshotTable[[#This Row],[SP Qty]] * SnapshotTable[[#This Row],[SP Strike Price]] * 100) - SnapshotTable[[#This Row],[LP Max Value]],"")</f>
        <v>0</v>
      </c>
      <c r="CM149" s="31" t="str">
        <f>IF(SnapshotTable[[#This Row],[SP Actual Spend]]&lt;&gt;0, ((SnapshotTable[[#This Row],[SP Strike Price]]-SnapshotTable[[#This Row],[Last Price]]) *(SnapshotTable[[#This Row],[SP Qty]]*100) - SnapshotTable[[#This Row],[SP Premium]]) * - 1, "")</f>
        <v/>
      </c>
      <c r="CN149" s="152"/>
      <c r="CO149" s="339"/>
      <c r="CP149" s="291" t="str">
        <f>IF(SnapshotTable[[#This Row],[SP Is Filled]], btc_max_buyback_amount(SnapshotTable[[#This Row],[SP Fill Date]],SnapshotTable[[#This Row],[SP Exp Date]], SnapshotTable[[#This Row],[SP Book Price]]),"")</f>
        <v/>
      </c>
      <c r="CQ149" s="76"/>
      <c r="CR149"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49" s="153" t="str">
        <f>IF(SnapshotTable[[#This Row],[SP Is Filled]], btc_next_cutoff_date(SnapshotTable[[#This Row],[SP Fill Date]],SnapshotTable[[#This Row],[SP Exp Date]]),"")</f>
        <v/>
      </c>
      <c r="CT149" s="220" t="str" cm="1">
        <f t="array" ref="CT149">IF(SnapshotTable[[#This Row],[SP Is Filled]], btc_should_buy_back(SnapshotTable[[#This Row],[SP Fill Date]], SnapshotTable[[#This Row],[SP Exp Date]], SnapshotTable[[#This Row],[SP Book Price]], SnapshotTable[[#This Row],[SP Current Ask]], MockToday, SnapshotTable[[#This Row],[SP Buyback Override]]),"")</f>
        <v/>
      </c>
      <c r="CU149" s="154"/>
      <c r="CV149" s="220"/>
      <c r="CW149" s="348" t="str">
        <f>IF(ISNUMBER( SnapshotTable[[#This Row],[SP Term]]), SnapshotTable[[#This Row],[SP Exp Date]] - MockToday,"")</f>
        <v/>
      </c>
      <c r="CX149" s="31" t="str">
        <f>IF(SnapshotTable[[#This Row],[SP Is Filled]],SnapshotTable[[#This Row],[SP Buyback Price to Use]] * 100 * SnapshotTable[[#This Row],[SP Qty]], "")</f>
        <v/>
      </c>
      <c r="CY149" s="4" t="str">
        <f>IF(ISNUMBER(SnapshotTable[[#This Row],[SP Strike Price]]), SnapshotTable[[#This Row],[SP Strike Price]] * (1 - SP_MaxLoss_StrikePct), "")</f>
        <v/>
      </c>
      <c r="CZ149" s="31" t="str">
        <f>IF(ISNUMBER(SnapshotTable[[#This Row],[SP Strike  Stop Per Share]]),SnapshotTable[[#This Row],[SP Premium]] - ((SnapshotTable[[#This Row],[SP Strike Price]]-SnapshotTable[[#This Row],[SP Strike  Stop Per Share]]) *(SnapshotTable[[#This Row],[SP Qty]] * 100)),"")</f>
        <v/>
      </c>
      <c r="DA149" s="4" t="str">
        <f>IF(AND(ISNUMBER(SnapshotTable[[#This Row],[SP Premium]]),SnapshotTable[[#This Row],[SP Premium]]&gt;0), SnapshotTable[[#This Row],[SP Book Price]] * (1 + SP_MaxLoss_OptionPct), "")</f>
        <v/>
      </c>
      <c r="DB149" s="31" t="str">
        <f>IF(ISNUMBER(SnapshotTable[[#This Row],[SP Option  Stop Contract]]),(SnapshotTable[[#This Row],[SP Option  Stop Contract]] *(SnapshotTable[[#This Row],[SP Qty]] * 100) - SnapshotTable[[#This Row],[SP Premium]]),"")</f>
        <v/>
      </c>
      <c r="DC149" s="4"/>
      <c r="DD149" s="4"/>
      <c r="DE149" s="4" t="str">
        <f>IF(AND(SnapshotTable[[#This Row],[SP Qty]]&gt;0, SnapshotTable[[#This Row],[SP Stop To Use]]&gt;0),SnapshotTable[[#This Row],[SP Premium]] - ( SnapshotTable[[#This Row],[SP Qty]] * SnapshotTable[[#This Row],[SP Stop To Use]] * 100), "")</f>
        <v/>
      </c>
      <c r="DF149" s="31" t="str">
        <f>IF(AND(SnapshotTable[[#This Row],[SP Qty]]&gt;0,SnapshotTable[[#This Row],[SP Current Ask]]&gt;0), SnapshotTable[[#This Row],[SP Qty]] * SnapshotTable[[#This Row],[SP Current Ask]] * -100, "")</f>
        <v/>
      </c>
      <c r="DG149" s="31" t="str">
        <f>IF(ISNUMBER((SnapshotTable[[#This Row],[SP Total Value]])), SnapshotTable[[#This Row],[SP Premium]] + SnapshotTable[[#This Row],[SP Total Value]], "")</f>
        <v/>
      </c>
      <c r="DH149" s="272" t="str">
        <f>IF(ISNUMBER((SnapshotTable[[#This Row],[SP Total Value]])), SnapshotTable[[#This Row],[SP Gain Loss]] / SnapshotTable[[#This Row],[SP Premium]], "")</f>
        <v/>
      </c>
      <c r="DI149" s="369"/>
      <c r="DJ149" s="136"/>
      <c r="DK149" s="146"/>
      <c r="DL149" s="145"/>
      <c r="DM149" s="145"/>
      <c r="DO149" s="31">
        <f>IF(SnapshotTable[[#This Row],[LC Symbol Count]]=1, SnapshotTable[[#This Row],[LC Qty]] * SnapshotTable[[#This Row],[LC Book Price]] * 100, 0)</f>
        <v>0</v>
      </c>
      <c r="DP149" s="270" t="str">
        <f>IF(AND(SnapshotTable[[#This Row],[LC Exp Date]]&gt;0, SnapshotTable[[#This Row],[LC Strike Price]]&gt;0,SnapshotTable[[#This Row],[LC Qty]]&gt;0,SnapshotTable[[#This Row],[LC Book Date]]&gt;0,SnapshotTable[[#This Row],[LC Book Price]]&gt;0,SnapshotTable[[#This Row],[LC Fill Date]]=0),"Y","")</f>
        <v/>
      </c>
      <c r="DQ149" s="356" t="str">
        <f>IF(SnapshotTable[[#This Row],[LC Premium]] &gt; 0,SnapshotTable[[#This Row],[LC Exp Date]]-MAX(SnapshotTable[[#This Row],[LC Book Date]], SnapshotTable[[#This Row],[LC Fill Date]]),"")</f>
        <v/>
      </c>
      <c r="DR149" s="356" t="str">
        <f>IF(ISNUMBER(SnapshotTable[[#This Row],[LC Term]]), SnapshotTable[[#This Row],[LC Exp Date]] - MockToday, "")</f>
        <v/>
      </c>
      <c r="DS149" s="219" t="str">
        <f>IF(SnapshotTable[[#This Row],[LC Premium]]&gt;0,SnapshotTable[[#This Row],[LC Strike Price]] + SnapshotTable[[#This Row],[LC Book Price]],"")</f>
        <v/>
      </c>
      <c r="DU149" s="9" t="str">
        <f>IF(AND(SnapshotTable[[#This Row],[LC Symbol Count]]&gt;0, SnapshotTable[[#This Row],[LC Contract Value]]&gt;0), SnapshotTable[[#This Row],[LC Contract Value]] * SnapshotTable[[#This Row],[LC Qty]] * 100, "")</f>
        <v/>
      </c>
      <c r="DV149" s="9" t="str">
        <f>IF(AND(ISNUMBER(SnapshotTable[[#This Row],[LC Total Value]]), SnapshotTable[[#This Row],[LC Not Filled]]&lt;&gt;"Y"), SnapshotTable[[#This Row],[LC Total Value]]-SnapshotTable[[#This Row],[LC Premium]],"")</f>
        <v/>
      </c>
      <c r="DW149" s="225" t="str">
        <f>IF(ISNUMBER(SnapshotTable[[#This Row],[LC Actual Gain Loss]]), SnapshotTable[[#This Row],[LC Actual Gain Loss]] / SnapshotTable[[#This Row],[LC Premium]],"")</f>
        <v/>
      </c>
      <c r="DX149" s="269" t="str">
        <f>IF(ISNUMBER(SnapshotTable[[#This Row],[LC Book Price]]),SnapshotTable[[#This Row],[LC Book Price]] * 1.5,"")</f>
        <v/>
      </c>
      <c r="DY149" s="250" t="str">
        <f>IF(SnapshotTable[[#This Row],[LC Premium]]&gt;0, SnapshotTable[[#This Row],[LC Next Target]] * SnapshotTable[[#This Row],[LC Qty]] * 100,"")</f>
        <v/>
      </c>
      <c r="DZ149" s="250" t="str">
        <f>IF(ISNUMBER(SnapshotTable[[#This Row],[LC Target Gross]]), SnapshotTable[[#This Row],[LC Target Gross]] - SnapshotTable[[#This Row],[LC Premium]], "")</f>
        <v/>
      </c>
      <c r="EA149" s="283" t="str">
        <f>IF(ISNUMBER(SnapshotTable[[#This Row],[LC Target Gain Loss]]), SnapshotTable[[#This Row],[LC Target Gain Loss]]/SnapshotTable[[#This Row],[LC Premium]], "")</f>
        <v/>
      </c>
      <c r="EB149" s="247"/>
      <c r="EC149" s="271" t="str">
        <f>IF(SnapshotTable[[#This Row],[LC Premium]]&gt;0, SnapshotTable[[#This Row],[LC Book Price]] * (1 - LC_StopLoss_Pct),"")</f>
        <v/>
      </c>
      <c r="ED149" s="269"/>
      <c r="EE149" s="268" t="str">
        <f>IF(ISNUMBER(SnapshotTable[[#This Row],[LC Contract Value]]),IF(ISNUMBER(SnapshotTable[[#This Row],[LC Stop Loss Override]]), SnapshotTable[[#This Row],[LC Stop Loss Override]],SnapshotTable[[#This Row],[LC Stop Loss Calc Target]]),"")</f>
        <v/>
      </c>
      <c r="EF149" s="31" t="str">
        <f>IF(ISNUMBER(SnapshotTable[[#This Row],[LC Stop  To Use]]), (SnapshotTable[[#This Row],[LC Stop  To Use]] * SnapshotTable[[#This Row],[LC Qty]] * 100),"")</f>
        <v/>
      </c>
      <c r="EG149" s="9" t="str">
        <f>IF(ISNUMBER(SnapshotTable[[#This Row],[LC Total Value]]),SnapshotTable[[#This Row],[LC Stop Loss Amount]] - SnapshotTable[[#This Row],[LC Premium]],"")</f>
        <v/>
      </c>
      <c r="EH149" s="9">
        <f>IF(ISNUMBER(SnapshotTable[[#This Row],[LC Premium]]), SnapshotTable[[#This Row],[LC Qty]] * 100 * SnapshotTable[[#This Row],[LC Strike Price]], "")</f>
        <v>0</v>
      </c>
      <c r="EI149" s="225" t="str">
        <f>IF(AND(ISNUMBER(SnapshotTable[[#This Row],[LC Total Value]]),SnapshotTable[[#This Row],[LC Total Value]]&gt;0),SnapshotTable[[#This Row],[LC Stop Gain Loss]]  / SnapshotTable[[#This Row],[LC Premium]],"")</f>
        <v/>
      </c>
      <c r="EJ149" s="35">
        <f>IF(ISNUMBER(SnapshotTable[[#This Row],[Equity Shares]]),TRUNC(SnapshotTable[[#This Row],[Equity Shares]] / 100),0) + SnapshotTable[[#This Row],[LC Qty]]</f>
        <v>0</v>
      </c>
      <c r="EK149" s="145"/>
      <c r="EL149" s="136"/>
      <c r="EM149" s="146"/>
      <c r="EN149" s="145"/>
      <c r="EO149" s="145"/>
      <c r="EP149" s="136"/>
      <c r="EQ149" s="382" t="b">
        <f>AND(ISNUMBER(SnapshotTable[[#This Row],[SC Exp Date]]), ISNUMBER(SnapshotTable[[#This Row],[SC Strike Price]]), ISNUMBER(SnapshotTable[[#This Row],[SC Qty]]), ISNUMBER(SnapshotTable[[#This Row],[SC Book Date]]), ISNUMBER(SnapshotTable[[#This Row],[SC Book Price]]))</f>
        <v>0</v>
      </c>
      <c r="ER149" s="382" t="b">
        <f>AND(SnapshotTable[[#This Row],[SC Is Booked]], NOT(ISBLANK(SnapshotTable[[#This Row],[SC Fill Date]])))</f>
        <v>0</v>
      </c>
      <c r="ES149" s="340"/>
      <c r="ET149" s="34" t="str">
        <f>IF(AND(ISNUMBER(SnapshotTable[[#This Row],[SC Exp Date]]), ISNUMBER(SnapshotTable[[#This Row],[SC Book Date]])), SnapshotTable[[#This Row],[SC Exp Date]] - MAX(SnapshotTable[[#This Row],[SC Book Date]], SnapshotTable[[#This Row],[SC Fill Date]]) + 1, "")</f>
        <v/>
      </c>
      <c r="EU149" s="34" t="str">
        <f>IF(ISNUMBER(SnapshotTable[[#This Row],[SC Term]]), SnapshotTable[[#This Row],[SC Exp Date]]- MockToday, "")</f>
        <v/>
      </c>
      <c r="EV149" s="31">
        <f>IF(SnapshotTable[[#This Row],[SC Is Booked]], SnapshotTable[[#This Row],[SC Qty]] * SnapshotTable[[#This Row],[SC Book Price]] * 100, 0)</f>
        <v>0</v>
      </c>
      <c r="EW149" s="4" t="str">
        <f>IF(AND(ISNUMBER(SnapshotTable[[#This Row],[Last Price]]), ISNUMBER( SnapshotTable[[#This Row],[SC Book Price]])), SnapshotTable[[#This Row],[Last Price]] - SnapshotTable[[#This Row],[SC Book Price]],"")</f>
        <v/>
      </c>
      <c r="EX149" s="219" t="str">
        <f>IF(SnapshotTable[[#This Row],[SC Is Booked]],IF(SnapshotTable[[#This Row],[SC Intrinsic Value]] &gt; 0, SnapshotTable[[#This Row],[SC Strike Price]], SnapshotTable[[#This Row],[Last Price]]), "")</f>
        <v/>
      </c>
      <c r="EY149" s="4">
        <f>IF(SnapshotTable[[#This Row],[SC Is Booked]], (MinimumPremiumRequired * SnapshotTable[[#This Row],[SC Basis]] * SnapshotTable[[#This Row],[SC Term]]), 0)</f>
        <v>0</v>
      </c>
      <c r="EZ149" s="268"/>
      <c r="FA149" s="204"/>
      <c r="FB149" s="340"/>
      <c r="FC149" s="4">
        <f>IF(SnapshotTable[[#This Row],[SC Is Filled]], btc_max_buyback_amount(SnapshotTable[[#This Row],[SC Fill Date]],SnapshotTable[[#This Row],[SC Exp Date]], SnapshotTable[[#This Row],[SC Book Price]]),0)</f>
        <v>0</v>
      </c>
      <c r="FD149" s="5"/>
      <c r="FE149" s="142" t="str">
        <f>IF(SnapshotTable[[#This Row],[SC Is Filled]], btc_next_cutoff_date(SnapshotTable[[#This Row],[SC Fill Date]],SnapshotTable[[#This Row],[SC Exp Date]]),"")</f>
        <v/>
      </c>
      <c r="FF149" s="4" t="str" cm="1">
        <f t="array" ref="FF149">IF(SnapshotTable[[#This Row],[SC Is Filled]], btc_should_buy_back(SnapshotTable[[#This Row],[SC Fill Date]], SnapshotTable[[#This Row],[SC Exp Date]], SnapshotTable[[#This Row],[SC Book Price]], SnapshotTable[[#This Row],[SC Current Ask]], MockToday, SnapshotTable[[#This Row],[SC Buyback Override]]),"")</f>
        <v/>
      </c>
      <c r="FG149" s="4">
        <f>IF(SnapshotTable[[#This Row],[SC Is Filled]], MAX(0,SnapshotTable[[#This Row],[Last Price]]  - SnapshotTable[[#This Row],[SC Strike Price]]), 0)</f>
        <v>0</v>
      </c>
      <c r="FH149" s="352">
        <f>IF(SnapshotTable[[#This Row],[SC Is Filled]], IF(ISNUMBER(SnapshotTable[[#This Row],[SC Current Ask]]), SnapshotTable[[#This Row],[SC Current Ask]], SnapshotTable[[#This Row],[SC Book Price]]) - SnapshotTable[[#This Row],[SC Intrinsic Value]], 0)</f>
        <v>0</v>
      </c>
      <c r="FI149" s="141"/>
      <c r="FJ149" s="32" t="str">
        <f>IF(SnapshotTable[[#This Row],[SC Is Filled]],100 * SnapshotTable[[#This Row],[SC Qty]] * IF(ISNUMBER(SnapshotTable[[#This Row],[SC Buyback Override]]), SnapshotTable[[#This Row],[SC Buyback Override]], SnapshotTable[[#This Row],[SC Current Ask]]), "")</f>
        <v/>
      </c>
      <c r="FK149" s="235" t="str">
        <f>IF(SnapshotTable[[#This Row],[SC Time Val]]&gt;0, SnapshotTable[[#This Row],[SC Time Val]] / SnapshotTable[[#This Row],[Last Price]],"")</f>
        <v/>
      </c>
      <c r="FL149" s="280" t="str">
        <f>IF(SnapshotTable[[#This Row],[SC Is Booked]], ((SnapshotTable[[#This Row],[Last Price]] -SnapshotTable[[#This Row],[SC Strike Price]]) / SnapshotTable[[#This Row],[Last Price]]) * -1, "")</f>
        <v/>
      </c>
      <c r="FM149" s="155" t="str">
        <f>IF(SnapshotTable[[#This Row],[SC Is Booked]],  (SnapshotTable[[#This Row],[SC Qty]] * 100 * SnapshotTable[[#This Row],[SC Strike Price]]) - SnapshotTable[[#This Row],[SC Current Ask]], "")</f>
        <v/>
      </c>
      <c r="FN149"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49" s="155" t="str">
        <f>IF(AND(ISNUMBER(SnapshotTable[[#This Row],[SC Exercise Gross]]), ISNUMBER(SnapshotTable[[#This Row],[Equity Basis Per Share]] )), SnapshotTable[[#This Row],[SC Exercise Gross]] - SnapshotTable[[#This Row],[Equity Basis Total]] +  SnapshotTable[[#This Row],[SC Premium]], "")</f>
        <v/>
      </c>
      <c r="FP149" s="5" t="str">
        <f>IF(ISNUMBER(SnapshotTable[[#This Row],[SC Exercise Gross]]), (SnapshotTable[[#This Row],[SC Exercise Gross]]) / (SnapshotTable[[#This Row],[SC Qty]] * 100), "")</f>
        <v/>
      </c>
      <c r="FQ149" s="27" t="str">
        <f>IF(SnapshotTable[[#This Row],[SC Is Booked]],SnapshotTable[[#This Row],[SC Time Val]] /SnapshotTable[[#This Row],[SC Basis]], "")</f>
        <v/>
      </c>
      <c r="FR149" s="27" t="str" cm="1">
        <f t="array" ref="FR149">IF(AND(ISNUMBER(SnapshotTable[[#This Row],[SC Term]]),ISNUMBER(SnapshotTable[[#This Row],[SC Simple ROO]])), EllmanAnnualize(SnapshotTable[[#This Row],[SC DTE]], SnapshotTable[[#This Row],[SC Simple ROO]] ),"")</f>
        <v/>
      </c>
      <c r="FS149" s="4">
        <f>IF(SnapshotTable[[#This Row],[SC Strike Price]] &gt; SnapshotTable[[#This Row],[Last Price]], SnapshotTable[[#This Row],[SC Strike Price]] - SnapshotTable[[#This Row],[Last Price]],0)</f>
        <v>0</v>
      </c>
      <c r="FT149" s="27" t="str">
        <f>IF(AND(ISNUMBER(SnapshotTable[[#This Row],[SC Upside Potential]]), SnapshotTable[[#This Row],[SC Upside Potential]] &gt; 0),(SnapshotTable[[#This Row],[SC Upside Potential]]/ SnapshotTable[[#This Row],[ACB]]),"")</f>
        <v/>
      </c>
      <c r="FU149" s="304" t="str">
        <f>IF(SnapshotTable[[#This Row],[SC Intrinsic Value]] &gt; 0,SnapshotTable[[#This Row],[SC Intrinsic Value]],"")</f>
        <v/>
      </c>
      <c r="FV149" s="27" t="str">
        <f>IF(AND( ISNUMBER( SnapshotTable[[#This Row],[ACB]]),ISNUMBER(SnapshotTable[[#This Row],[SC Downside Protect]])),SnapshotTable[[#This Row],[SC Downside Protect]] / SnapshotTable[[#This Row],[ACB]],"")</f>
        <v/>
      </c>
      <c r="FW149" s="221" t="str">
        <f>IF(AND(ISNUMBER(SnapshotTable[[#This Row],[SC Simple ROO]]),SnapshotTable[[#This Row],[SC Simple ROO]] &gt; 0), SnapshotTable[[#This Row],[SC Premium]] + (SnapshotTable[[#This Row],[SC Qty]] * SnapshotTable[[#This Row],[SC Upside Potential]]), "")</f>
        <v/>
      </c>
      <c r="FX149" s="280" t="str" cm="1">
        <f t="array" ref="FX149">IF(ISNUMBER(SnapshotTable[[#This Row],[SC Max Dollars]]), annualize(SnapshotTable[[#This Row],[SC Term]],(SnapshotTable[[#This Row],[SC Max Dollars]]/SnapshotTable[[#This Row],[SC Basis]])),"")</f>
        <v/>
      </c>
      <c r="FY149" s="221" t="str">
        <f>IF(AND(SnapshotTable[[#This Row],[SC Qty]]&gt;0,SnapshotTable[[#This Row],[SC Current Ask]]&gt;0), SnapshotTable[[#This Row],[SC Qty]] * SnapshotTable[[#This Row],[SC Current Ask]] * -100, "")</f>
        <v/>
      </c>
      <c r="FZ149" s="220" t="str">
        <f>IF(ISNUMBER((SnapshotTable[[#This Row],[SC Current Value]])), SnapshotTable[[#This Row],[SC Premium]] + SnapshotTable[[#This Row],[SC Current Value]], "")</f>
        <v/>
      </c>
      <c r="GA149" s="272" t="str">
        <f>IFERROR( IF(ISNUMBER((SnapshotTable[[#This Row],[SC Current Value]])), SnapshotTable[[#This Row],[SC Gain Loss]] / SnapshotTable[[#This Row],[SC Premium]], ""), "")</f>
        <v/>
      </c>
      <c r="GB149" s="42">
        <f>SnapshotTable[[#This Row],[Equity Shares]] * SaleSharesToConsiderPercentage</f>
        <v>0</v>
      </c>
      <c r="GC149" s="40">
        <f>SnapshotTable[[#This Row],[Long Term Target]] * SellingPriceToConsiderBasedOnTargetPercentage</f>
        <v>212.667</v>
      </c>
      <c r="GD149" s="40">
        <f>SnapshotTable[[#This Row],[Last Price]] * (1+ SellingPriceToConsiderBasedOnTargetPercentage)</f>
        <v>161.12849999999997</v>
      </c>
      <c r="GE149" s="41"/>
      <c r="GF149" s="40"/>
      <c r="GG149" s="31">
        <f>SnapshotTable[[#This Row],[Booked Sale Shares]] * SnapshotTable[[#This Row],[Booked Sale Price]]</f>
        <v>0</v>
      </c>
      <c r="GH149" s="31" t="str">
        <f>IF(SnapshotTable[[#This Row],[Equity Basis Total]] &gt; 0, SnapshotTable[[#This Row],[Equity Basis Per Share]] * SnapshotTable[[#This Row],[Booked Sale Shares]], "")</f>
        <v/>
      </c>
      <c r="GI149" s="31">
        <f>IF(SnapshotTable[[#This Row],[Sale Proceeds]]&gt;0, SnapshotTable[[#This Row],[Sale Proceeds]] - SnapshotTable[[#This Row],[Sale Basis]], 0)</f>
        <v>0</v>
      </c>
      <c r="GJ149" s="156" t="str">
        <f>IF(SnapshotTable[[#This Row],[Sale G/L]]&gt;0, SnapshotTable[[#This Row],[Sale G/L]] / SnapshotTable[[#This Row],[Sale Basis]], IF(ISNUMBER(SnapshotTable[[#This Row],[SC Exercise P&amp;L (TAX)]]), SnapshotTable[[#This Row],[SC Exercise P&amp;L (TAX)]] / SnapshotTable[[#This Row],[SC Basis]], ""))</f>
        <v/>
      </c>
      <c r="GK149" s="27"/>
      <c r="GL149" s="157" t="str">
        <f>IF(AND(SnapshotTable[[#This Row],[LP Exp Date]]&gt;0,SnapshotTable[[#This Row],[LP Strike Price]]&gt;0), [1]!ToOptionSymbol(SnapshotTable[[#This Row],[Symbol]], SnapshotTable[[#This Row],[LP Strike Price]],SnapshotTable[[#This Row],[LP Exp Date]],1), "")</f>
        <v/>
      </c>
      <c r="GM149" s="30" t="str">
        <f>IF(LEN(SnapshotTable[[#This Row],[LP Symbol]])&gt;0, 1, "")</f>
        <v/>
      </c>
      <c r="GN149" s="43" t="str">
        <f>IF(AND(SnapshotTable[[#This Row],[SP Exp Date]]&gt;0,SnapshotTable[[#This Row],[SP Strike Price]]&gt;0), [1]!ToOptionSymbol(SnapshotTable[[#This Row],[Symbol]], SnapshotTable[[#This Row],[SP Strike Price]],SnapshotTable[[#This Row],[SP Exp Date]],1), "")</f>
        <v/>
      </c>
      <c r="GO149" s="30" t="str">
        <f>IF(LEN(SnapshotTable[[#This Row],[SP Symbol]])&gt;0, 1, "")</f>
        <v/>
      </c>
      <c r="GP149" s="157" t="str">
        <f>IF(AND(SnapshotTable[[#This Row],[LC Exp Date]]&gt;0,SnapshotTable[[#This Row],[LC Strike Price]]&gt;0), [1]!ToOptionSymbol(SnapshotTable[[#This Row],[Symbol]], SnapshotTable[[#This Row],[LC Strike Price]],SnapshotTable[[#This Row],[LC Exp Date]],0), "")</f>
        <v/>
      </c>
      <c r="GQ149" s="158" t="str">
        <f>IF(LEN(SnapshotTable[[#This Row],[LC Symbol]])&gt;0, 1, "")</f>
        <v/>
      </c>
      <c r="GR149" s="157" t="str">
        <f>IF(AND(SnapshotTable[[#This Row],[SC Exp Date]]&gt;0,SnapshotTable[[#This Row],[SC Strike Price]]&gt;0), [1]!ToOptionSymbol(SnapshotTable[[#This Row],[Symbol]], SnapshotTable[[#This Row],[SC Strike Price]],SnapshotTable[[#This Row],[SC Exp Date]],0), "")</f>
        <v/>
      </c>
      <c r="GS149" s="158" t="str">
        <f>IF(LEN(SnapshotTable[[#This Row],[SC Symbol]])&gt;0, 1, "")</f>
        <v/>
      </c>
      <c r="GT149" s="159" t="str">
        <f>IF(COUNT(SnapshotTable[[#This Row],[LP Symbol Count]],SnapshotTable[[#This Row],[SP Symbol Count]],SnapshotTable[[#This Row],[LC Symbol Count]],SnapshotTable[[#This Row],[SC Symbol Count]])&gt;0, "Y", "")</f>
        <v/>
      </c>
      <c r="GU1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49" s="216">
        <f>MAX(SnapshotTable[[#This Row],[Equity Basis Total]],SnapshotTable[[#This Row],[Equity Value]]) + (SnapshotTable[[#This Row],[SP Potential Spend]]- SnapshotTable[[#This Row],[SP Premium]] + SnapshotTable[[#This Row],[LP Premium]])+ (SnapshotTable[[#This Row],[LC Premium]] - SnapshotTable[[#This Row],[SC Premium]])</f>
        <v>0</v>
      </c>
      <c r="GW149" s="137" t="str">
        <f>IF(AND(SnapshotTable[[#This Row],[Exposure]] &lt;&gt; 0),SnapshotTable[[#This Row],[Exposure]] / SnapshotTable[[#Totals],[Exposure]], "")</f>
        <v/>
      </c>
      <c r="HE149" s="253"/>
      <c r="HF149" s="253"/>
      <c r="HK149" s="1"/>
      <c r="HL149" s="1"/>
      <c r="HM149" s="1"/>
      <c r="HN149" s="1"/>
      <c r="HO149" s="1"/>
      <c r="HP149" s="1"/>
    </row>
    <row r="150" spans="2:224" ht="12.75" hidden="1" customHeight="1" x14ac:dyDescent="0.25">
      <c r="B150" s="12" t="s">
        <v>142</v>
      </c>
      <c r="C150" s="385">
        <v>139.63</v>
      </c>
      <c r="D150" s="200"/>
      <c r="E150" s="39">
        <f>SnapshotTable[[#This Row],[Last Price]]*(1 -CrashDiscount)</f>
        <v>118.68549999999999</v>
      </c>
      <c r="F150" s="26" t="s">
        <v>141</v>
      </c>
      <c r="G150" s="26" t="s">
        <v>13</v>
      </c>
      <c r="H150" s="147"/>
      <c r="I150" s="186">
        <v>44776.288194444445</v>
      </c>
      <c r="J150" s="187">
        <v>44776.288194444445</v>
      </c>
      <c r="K150" s="188"/>
      <c r="L150" s="297"/>
      <c r="M150" s="138"/>
      <c r="N150" s="138"/>
      <c r="O150" s="138"/>
      <c r="P150" s="22"/>
      <c r="Q150" s="25"/>
      <c r="R150" s="4" t="str">
        <f>IF(SnapshotTable[[#This Row],[Equity Basis Total]] &gt; 0, SnapshotTable[[#This Row],[Equity Basis Total]] / SnapshotTable[[#This Row],[Equity Shares]], "")</f>
        <v/>
      </c>
      <c r="S150" s="254">
        <f>SnapshotTable[[#This Row],[Last Price]] * SnapshotTable[[#This Row],[Equity Shares]]</f>
        <v>0</v>
      </c>
      <c r="T150" s="254">
        <f>SnapshotTable[[#This Row],[Equity Value]] - SnapshotTable[[#This Row],[Equity Basis Total]]</f>
        <v>0</v>
      </c>
      <c r="U150" s="255" t="str">
        <f>IF(SnapshotTable[[#This Row],[Equity Basis Total]] &gt; 0, SnapshotTable[[#This Row],[Equity G/L]] / SnapshotTable[[#This Row],[Equity Basis Total]], "")</f>
        <v/>
      </c>
      <c r="V150" s="253"/>
      <c r="W150" s="253"/>
      <c r="X150" s="4" t="str">
        <f>IF(AND(ISNUMBER(SnapshotTable[[#This Row],[Equity Basis Per Share]]),ISNUMBER(SnapshotTable[[#This Row],[Equity Target]])),SnapshotTable[[#This Row],[Equity Target]]-SnapshotTable[[#This Row],[Equity Basis Per Share]],"")</f>
        <v/>
      </c>
      <c r="Y150" s="4" t="str">
        <f>IF(AND(ISNUMBER(SnapshotTable[[#This Row],[Equity Basis Per Share]]),ISNUMBER(SnapshotTable[[#This Row],[Equity Stop Loss]])),SnapshotTable[[#This Row],[Equity Stop Loss]]-SnapshotTable[[#This Row],[Equity Basis Per Share]],"")</f>
        <v/>
      </c>
      <c r="Z150" s="260" t="str">
        <f>IFERROR( TEXT(SnapshotTable[[#This Row],[Equity Max Gain Per Share]] /ABS( SnapshotTable[[#This Row],[Equity Max Loss Per Share]]),"0.0 " ) &amp; " : 1", "")</f>
        <v/>
      </c>
      <c r="AA150" s="31" t="str">
        <f>IF(ISNUMBER(SnapshotTable[[#This Row],[Equity Max Gain Per Share]]),SnapshotTable[[#This Row],[Equity Max Gain Per Share]] * SnapshotTable[[#This Row],[Equity Shares]],"")</f>
        <v/>
      </c>
      <c r="AB150" s="31" t="str">
        <f>IF(ISNUMBER(SnapshotTable[[#This Row],[Equity Max Loss Per Share]]),SnapshotTable[[#This Row],[Equity Max Loss Per Share]] * SnapshotTable[[#This Row],[Equity Shares]],"")</f>
        <v/>
      </c>
      <c r="AC150" s="148">
        <v>1.88</v>
      </c>
      <c r="AD150" s="149">
        <v>42348</v>
      </c>
      <c r="AE150" s="31">
        <f>(SnapshotTable[[#This Row],[Annual Dividend Per Share]] / 4) * SnapshotTable[[#This Row],[Equity Shares]]</f>
        <v>0</v>
      </c>
      <c r="AF150" s="31">
        <f>SnapshotTable[[#This Row],[Quarterly Div $]] * 4</f>
        <v>0</v>
      </c>
      <c r="AG150" s="7">
        <f>IF(SnapshotTable[[#This Row],[Annual Dividend Per Share]]&gt;0, SnapshotTable[[#This Row],[Annual Dividend Per Share]]  / SnapshotTable[[#This Row],[Last Price]], 0)</f>
        <v>1.3464155267492658E-2</v>
      </c>
      <c r="AH150" s="149">
        <v>42226</v>
      </c>
      <c r="AI150" s="5">
        <v>80</v>
      </c>
      <c r="AJ150" s="136">
        <v>72.260000000000005</v>
      </c>
      <c r="AK150" s="150">
        <f>IF(ISNUMBER( SnapshotTable[[#This Row],[EBF Target]]),(SnapshotTable[[#This Row],[EBF Target]] - SnapshotTable[[#This Row],[Last Price]]) / SnapshotTable[[#This Row],[Last Price]], "")</f>
        <v>-0.42705722265988683</v>
      </c>
      <c r="AL150" s="150" t="str">
        <f>IF(AND(SnapshotTable[[#This Row],[Equity Basis Total]] &gt; 0,ISNUMBER( SnapshotTable[[#This Row],[Long Term Target]])), SnapshotTable[[#This Row],[From Basis $]] / SnapshotTable[[#This Row],[Equity Basis Total]], "")</f>
        <v/>
      </c>
      <c r="AM150" s="9">
        <f>IF( AND(SnapshotTable[[#This Row],[Equity Shares]] &gt;0,ISNUMBER( SnapshotTable[[#This Row],[Long Term Target]])),(SnapshotTable[[#This Row],[Equity Shares]] * SnapshotTable[[#This Row],[Long Term Target]]) - SnapshotTable[[#This Row],[Equity Basis Total]],0)</f>
        <v>0</v>
      </c>
      <c r="AN150" s="9">
        <f>IF( AND(SnapshotTable[[#This Row],[Equity Shares]] &gt;0,ISNUMBER( SnapshotTable[[#This Row],[Long Term Target]])),(SnapshotTable[[#This Row],[Equity Shares]]*SnapshotTable[[#This Row],[Long Term Target]]) - SnapshotTable[[#This Row],[Equity Value]],0)</f>
        <v>0</v>
      </c>
      <c r="AO150" s="150">
        <f>IF(AND(ISNUMBER( SnapshotTable[[#This Row],[Long Term Target]]), ISNUMBER(SnapshotTable[[#This Row],[Last Price]])),(SnapshotTable[[#This Row],[Long Term Target]] - SnapshotTable[[#This Row],[Last Price]]) / SnapshotTable[[#This Row],[Last Price]], "")</f>
        <v>-0.48248943636754271</v>
      </c>
      <c r="AP150" s="5"/>
      <c r="AQ150" s="38"/>
      <c r="AR150" s="5"/>
      <c r="AS150" s="38"/>
      <c r="AT150" s="144"/>
      <c r="AU150" s="185" t="str">
        <f>IF(OR(SnapshotTable[[#This Row],[LP No Fill]]="Y",SnapshotTable[[#This Row],[SP Is Filled]],SnapshotTable[[#This Row],[LC Not Filled]]="Y",SnapshotTable[[#This Row],[SC Is Filled]]),"Y","")</f>
        <v/>
      </c>
      <c r="AV150" s="205"/>
      <c r="AW150" s="211"/>
      <c r="AX150" s="206"/>
      <c r="AY150" s="205" t="str">
        <f>IF(SnapshotTable[[#This Row],[Implied Move]]&gt;0, SnapshotTable[[#This Row],[Last Price]]-SnapshotTable[[#This Row],[Implied Move]],"")</f>
        <v/>
      </c>
      <c r="AZ150" s="205" t="str">
        <f>IF(SnapshotTable[[#This Row],[Implied Move]]&gt;0, SnapshotTable[[#This Row],[Last Price]] + SnapshotTable[[#This Row],[Implied Move]],"")</f>
        <v/>
      </c>
      <c r="BA150" s="302"/>
      <c r="BB150" s="318"/>
      <c r="BC1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0" s="321"/>
      <c r="BE150" s="5"/>
      <c r="BF150" s="14"/>
      <c r="BG150" s="13"/>
      <c r="BH150" s="13"/>
      <c r="BI150" s="5"/>
      <c r="BJ150" s="134">
        <f>IF(SnapshotTable[[#This Row],[LP Qty]] &gt; 0, SnapshotTable[[#This Row],[LP Qty]] * SnapshotTable[[#This Row],[LP Book Price]] * 100,0)</f>
        <v>0</v>
      </c>
      <c r="BK150" s="134">
        <f>IF(SnapshotTable[[#This Row],[LP Premium]] &gt; 0, SnapshotTable[[#This Row],[LP Qty]] * SnapshotTable[[#This Row],[LP Strike Price]] * 100,0)</f>
        <v>0</v>
      </c>
      <c r="BL150" s="152"/>
      <c r="BM150" s="355" t="str">
        <f>IF(SnapshotTable[[#This Row],[LP Premium]] &gt; 0,SnapshotTable[[#This Row],[LP Exp Date]]-MAX(SnapshotTable[[#This Row],[LP Book Date]], SnapshotTable[[#This Row],[LP Fill Date]]),"")</f>
        <v/>
      </c>
      <c r="BN150" s="355" t="str">
        <f>IF(ISNUMBER( SnapshotTable[[#This Row],[LP Term]]), SnapshotTable[[#This Row],[LP Exp Date]] - MockToday,"")</f>
        <v/>
      </c>
      <c r="BO150" s="161" t="str">
        <f>IF(AND(SnapshotTable[[#This Row],[LP Exp Date]]&gt;0, SnapshotTable[[#This Row],[LP Strike Price]]&gt;0,SnapshotTable[[#This Row],[LP Qty]]&gt;0,SnapshotTable[[#This Row],[LP Book Date]]&gt;0,SnapshotTable[[#This Row],[LP Book Price]]&gt;0,SnapshotTable[[#This Row],[LP Fill Date]]=0),"Y","")</f>
        <v/>
      </c>
      <c r="BP150" s="31" t="str">
        <f>IF(AND(SnapshotTable[[#This Row],[LP No Fill]]&lt;&gt;"Y",SnapshotTable[[#This Row],[LP Contract Value]]&gt;0, SnapshotTable[[#This Row],[LP Qty]]&gt;0), SnapshotTable[[#This Row],[LP Contract Value]]*SnapshotTable[[#This Row],[LP Qty]]*100,"")</f>
        <v/>
      </c>
      <c r="BQ150" s="13"/>
      <c r="BR150" s="5"/>
      <c r="BS150" s="36"/>
      <c r="BT150" s="145"/>
      <c r="BU150" s="13"/>
      <c r="BV150" s="5"/>
      <c r="BW150" s="382" t="b">
        <f>AND(ISNUMBER(SnapshotTable[[#This Row],[SP Exp Date]]), ISNUMBER(SnapshotTable[[#This Row],[SP Strike Price]]), ISNUMBER(SnapshotTable[[#This Row],[SP Qty]]), ISNUMBER(SnapshotTable[[#This Row],[SP Book Date]]), ISNUMBER(SnapshotTable[[#This Row],[SP Book Price]]))</f>
        <v>0</v>
      </c>
      <c r="BX150" s="382" t="b">
        <f>AND(SnapshotTable[[#This Row],[SP Is Booked]], NOT(ISBLANK(SnapshotTable[[#This Row],[SP Fill Date]])))</f>
        <v>0</v>
      </c>
      <c r="BY150" s="33">
        <f>IF(SnapshotTable[[#This Row],[SP Is Booked]], SnapshotTable[[#This Row],[SP Qty]] * SnapshotTable[[#This Row],[SP Book Price]] * 100, 0)</f>
        <v>0</v>
      </c>
      <c r="BZ150" s="339"/>
      <c r="CA150" s="338">
        <f>SnapshotTable[[#This Row],[LP Qty]]</f>
        <v>0</v>
      </c>
      <c r="CB150" s="4" t="str">
        <f>IF(SnapshotTable[[#This Row],[SP Is Booked]], SnapshotTable[[#This Row],[SP Strike Price]] - SnapshotTable[[#This Row],[SP Book Price]], "")</f>
        <v/>
      </c>
      <c r="CC150" s="19" t="str">
        <f>IF(SnapshotTable[[#This Row],[SP Is Booked]],SnapshotTable[[#This Row],[SP Exp Date]]-MAX(SnapshotTable[[#This Row],[SP Book Date]], SnapshotTable[[#This Row],[SP Fill Date]]),"")</f>
        <v/>
      </c>
      <c r="CD150" s="7" t="str">
        <f>IF(SnapshotTable[[#This Row],[SP Is Booked]], SnapshotTable[[#This Row],[SP Book Price]]/SnapshotTable[[#This Row],[SP Strike Price]], "")</f>
        <v/>
      </c>
      <c r="CE150" s="7" t="str">
        <f>IF(ISNUMBER(SnapshotTable[[#This Row],[SP ROO Term]]),SnapshotTable[[#This Row],[SP ROO Term]]*(365/SnapshotTable[[#This Row],[SP Term]]),"")</f>
        <v/>
      </c>
      <c r="CF150" s="221">
        <f>SnapshotTable[[#This Row],[LP Strike Price]] * SnapshotTable[[#This Row],[LP Qty]] * 100</f>
        <v>0</v>
      </c>
      <c r="CG150" s="31">
        <f>IF(ISNUMBER(SnapshotTable[[#This Row],[SP Premium]]), (SnapshotTable[[#This Row],[SP Qty]] * SnapshotTable[[#This Row],[SP Strike Price]]* 100) - SnapshotTable[[#This Row],[LP Protection]], 0)</f>
        <v>0</v>
      </c>
      <c r="CH150" s="7" t="str">
        <f>IF(ISNUMBER(SnapshotTable[[#This Row],[SP Break Even]]),-1 * (SnapshotTable[[#This Row],[SP Break Even]] - SnapshotTable[[#This Row],[Last Price]]) / SnapshotTable[[#This Row],[Last Price]], "")</f>
        <v/>
      </c>
      <c r="CI150" s="31">
        <f>IF(AND(ISNUMBER((SnapshotTable[[#This Row],[SP Potential Spend]])), SnapshotTable[[#This Row],[SP Strike Price]] &gt; SnapshotTable[[#This Row],[Last Price]], SnapshotTable[[#This Row],[SP Is Filled]]), SnapshotTable[[#This Row],[SP Potential Spend]] -  SnapshotTable[[#This Row],[LP Max Value]], 0)</f>
        <v>0</v>
      </c>
      <c r="CJ150" s="229"/>
      <c r="CK150" s="31">
        <f>IF(ISNUMBER(SnapshotTable[[#This Row],[SP Potential Spend]]),IF(ISNUMBER(SnapshotTable[[#This Row],[SP POW]]), SnapshotTable[[#This Row],[SP POW]] * SnapshotTable[[#This Row],[SP Potential Spend]], SnapshotTable[[#This Row],[SP Potential Spend]]), "")</f>
        <v>0</v>
      </c>
      <c r="CL150" s="162">
        <f>IF(NOT(SnapshotTable[[#This Row],[SP Is Filled]]),(SnapshotTable[[#This Row],[SP Qty]] * SnapshotTable[[#This Row],[SP Strike Price]] * 100) - SnapshotTable[[#This Row],[LP Max Value]],"")</f>
        <v>0</v>
      </c>
      <c r="CM150" s="31" t="str">
        <f>IF(SnapshotTable[[#This Row],[SP Actual Spend]]&lt;&gt;0, ((SnapshotTable[[#This Row],[SP Strike Price]]-SnapshotTable[[#This Row],[Last Price]]) *(SnapshotTable[[#This Row],[SP Qty]]*100) - SnapshotTable[[#This Row],[SP Premium]]) * - 1, "")</f>
        <v/>
      </c>
      <c r="CN150" s="76"/>
      <c r="CO150" s="339"/>
      <c r="CP150" s="4" t="str">
        <f>IF(SnapshotTable[[#This Row],[SP Is Filled]], btc_max_buyback_amount(SnapshotTable[[#This Row],[SP Fill Date]],SnapshotTable[[#This Row],[SP Exp Date]], SnapshotTable[[#This Row],[SP Book Price]]),"")</f>
        <v/>
      </c>
      <c r="CQ150" s="76"/>
      <c r="CR1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0" s="153" t="str">
        <f>IF(SnapshotTable[[#This Row],[SP Is Filled]], btc_next_cutoff_date(SnapshotTable[[#This Row],[SP Fill Date]],SnapshotTable[[#This Row],[SP Exp Date]]),"")</f>
        <v/>
      </c>
      <c r="CT150" s="220" t="str" cm="1">
        <f t="array" ref="CT150">IF(SnapshotTable[[#This Row],[SP Is Filled]], btc_should_buy_back(SnapshotTable[[#This Row],[SP Fill Date]], SnapshotTable[[#This Row],[SP Exp Date]], SnapshotTable[[#This Row],[SP Book Price]], SnapshotTable[[#This Row],[SP Current Ask]], MockToday, SnapshotTable[[#This Row],[SP Buyback Override]]),"")</f>
        <v/>
      </c>
      <c r="CU150" s="141"/>
      <c r="CV150" s="220"/>
      <c r="CW150" s="348" t="str">
        <f>IF(ISNUMBER( SnapshotTable[[#This Row],[SP Term]]), SnapshotTable[[#This Row],[SP Exp Date]] - MockToday,"")</f>
        <v/>
      </c>
      <c r="CX150" s="31" t="str">
        <f>IF(SnapshotTable[[#This Row],[SP Is Filled]],SnapshotTable[[#This Row],[SP Buyback Price to Use]] * 100 * SnapshotTable[[#This Row],[SP Qty]], "")</f>
        <v/>
      </c>
      <c r="CY150" s="4" t="str">
        <f>IF(ISNUMBER(SnapshotTable[[#This Row],[SP Strike Price]]), SnapshotTable[[#This Row],[SP Strike Price]] * (1 - SP_MaxLoss_StrikePct), "")</f>
        <v/>
      </c>
      <c r="CZ150" s="31" t="str">
        <f>IF(ISNUMBER(SnapshotTable[[#This Row],[SP Strike  Stop Per Share]]),SnapshotTable[[#This Row],[SP Premium]] - ((SnapshotTable[[#This Row],[SP Strike Price]]-SnapshotTable[[#This Row],[SP Strike  Stop Per Share]]) *(SnapshotTable[[#This Row],[SP Qty]] * 100)),"")</f>
        <v/>
      </c>
      <c r="DA150" s="4" t="str">
        <f>IF(AND(ISNUMBER(SnapshotTable[[#This Row],[SP Premium]]),SnapshotTable[[#This Row],[SP Premium]]&gt;0), SnapshotTable[[#This Row],[SP Book Price]] * (1 + SP_MaxLoss_OptionPct), "")</f>
        <v/>
      </c>
      <c r="DB150" s="31" t="str">
        <f>IF(ISNUMBER(SnapshotTable[[#This Row],[SP Option  Stop Contract]]),(SnapshotTable[[#This Row],[SP Option  Stop Contract]] *(SnapshotTable[[#This Row],[SP Qty]] * 100) - SnapshotTable[[#This Row],[SP Premium]]),"")</f>
        <v/>
      </c>
      <c r="DC150" s="4"/>
      <c r="DD150" s="4"/>
      <c r="DE150" s="4" t="str">
        <f>IF(AND(SnapshotTable[[#This Row],[SP Qty]]&gt;0, SnapshotTable[[#This Row],[SP Stop To Use]]&gt;0),SnapshotTable[[#This Row],[SP Premium]] - ( SnapshotTable[[#This Row],[SP Qty]] * SnapshotTable[[#This Row],[SP Stop To Use]] * 100), "")</f>
        <v/>
      </c>
      <c r="DF150" s="31" t="str">
        <f>IF(AND(SnapshotTable[[#This Row],[SP Qty]]&gt;0,SnapshotTable[[#This Row],[SP Current Ask]]&gt;0), SnapshotTable[[#This Row],[SP Qty]] * SnapshotTable[[#This Row],[SP Current Ask]] * -100, "")</f>
        <v/>
      </c>
      <c r="DG150" s="31" t="str">
        <f>IF(ISNUMBER((SnapshotTable[[#This Row],[SP Total Value]])), SnapshotTable[[#This Row],[SP Premium]] + SnapshotTable[[#This Row],[SP Total Value]], "")</f>
        <v/>
      </c>
      <c r="DH150" s="272" t="str">
        <f>IF(ISNUMBER((SnapshotTable[[#This Row],[SP Total Value]])), SnapshotTable[[#This Row],[SP Gain Loss]] / SnapshotTable[[#This Row],[SP Premium]], "")</f>
        <v/>
      </c>
      <c r="DI150" s="369"/>
      <c r="DJ150" s="136"/>
      <c r="DK150" s="146"/>
      <c r="DL150" s="13"/>
      <c r="DM150" s="13"/>
      <c r="DO150" s="31">
        <f>IF(SnapshotTable[[#This Row],[LC Symbol Count]]=1, SnapshotTable[[#This Row],[LC Qty]] * SnapshotTable[[#This Row],[LC Book Price]] * 100, 0)</f>
        <v>0</v>
      </c>
      <c r="DP150" s="161" t="str">
        <f>IF(AND(SnapshotTable[[#This Row],[LC Exp Date]]&gt;0, SnapshotTable[[#This Row],[LC Strike Price]]&gt;0,SnapshotTable[[#This Row],[LC Qty]]&gt;0,SnapshotTable[[#This Row],[LC Book Date]]&gt;0,SnapshotTable[[#This Row],[LC Book Price]]&gt;0,SnapshotTable[[#This Row],[LC Fill Date]]=0),"Y","")</f>
        <v/>
      </c>
      <c r="DQ150" s="356" t="str">
        <f>IF(SnapshotTable[[#This Row],[LC Premium]] &gt; 0,SnapshotTable[[#This Row],[LC Exp Date]]-MAX(SnapshotTable[[#This Row],[LC Book Date]], SnapshotTable[[#This Row],[LC Fill Date]]),"")</f>
        <v/>
      </c>
      <c r="DR150" s="356" t="str">
        <f>IF(ISNUMBER(SnapshotTable[[#This Row],[LC Term]]), SnapshotTable[[#This Row],[LC Exp Date]] - MockToday, "")</f>
        <v/>
      </c>
      <c r="DS150" s="219" t="str">
        <f>IF(SnapshotTable[[#This Row],[LC Premium]]&gt;0,SnapshotTable[[#This Row],[LC Strike Price]] + SnapshotTable[[#This Row],[LC Book Price]],"")</f>
        <v/>
      </c>
      <c r="DU150" s="9" t="str">
        <f>IF(AND(SnapshotTable[[#This Row],[LC Symbol Count]]&gt;0, SnapshotTable[[#This Row],[LC Contract Value]]&gt;0), SnapshotTable[[#This Row],[LC Contract Value]] * SnapshotTable[[#This Row],[LC Qty]] * 100, "")</f>
        <v/>
      </c>
      <c r="DV150" s="9" t="str">
        <f>IF(AND(ISNUMBER(SnapshotTable[[#This Row],[LC Total Value]]), SnapshotTable[[#This Row],[LC Not Filled]]&lt;&gt;"Y"), SnapshotTable[[#This Row],[LC Total Value]]-SnapshotTable[[#This Row],[LC Premium]],"")</f>
        <v/>
      </c>
      <c r="DW150" s="225" t="str">
        <f>IF(ISNUMBER(SnapshotTable[[#This Row],[LC Actual Gain Loss]]), SnapshotTable[[#This Row],[LC Actual Gain Loss]] / SnapshotTable[[#This Row],[LC Premium]],"")</f>
        <v/>
      </c>
      <c r="DX150" s="269" t="str">
        <f>IF(ISNUMBER(SnapshotTable[[#This Row],[LC Book Price]]),SnapshotTable[[#This Row],[LC Book Price]] * 1.5,"")</f>
        <v/>
      </c>
      <c r="DY150" s="250" t="str">
        <f>IF(SnapshotTable[[#This Row],[LC Premium]]&gt;0, SnapshotTable[[#This Row],[LC Next Target]] * SnapshotTable[[#This Row],[LC Qty]] * 100,"")</f>
        <v/>
      </c>
      <c r="DZ150" s="250" t="str">
        <f>IF(ISNUMBER(SnapshotTable[[#This Row],[LC Target Gross]]), SnapshotTable[[#This Row],[LC Target Gross]] - SnapshotTable[[#This Row],[LC Premium]], "")</f>
        <v/>
      </c>
      <c r="EA150" s="283" t="str">
        <f>IF(ISNUMBER(SnapshotTable[[#This Row],[LC Target Gain Loss]]), SnapshotTable[[#This Row],[LC Target Gain Loss]]/SnapshotTable[[#This Row],[LC Premium]], "")</f>
        <v/>
      </c>
      <c r="EB150" s="247"/>
      <c r="EC150" s="268" t="str">
        <f>IF(SnapshotTable[[#This Row],[LC Premium]]&gt;0, SnapshotTable[[#This Row],[LC Book Price]] * (1 - LC_StopLoss_Pct),"")</f>
        <v/>
      </c>
      <c r="ED150" s="269"/>
      <c r="EE150" s="268" t="str">
        <f>IF(ISNUMBER(SnapshotTable[[#This Row],[LC Contract Value]]),IF(ISNUMBER(SnapshotTable[[#This Row],[LC Stop Loss Override]]), SnapshotTable[[#This Row],[LC Stop Loss Override]],SnapshotTable[[#This Row],[LC Stop Loss Calc Target]]),"")</f>
        <v/>
      </c>
      <c r="EF150" s="31" t="str">
        <f>IF(ISNUMBER(SnapshotTable[[#This Row],[LC Stop  To Use]]), (SnapshotTable[[#This Row],[LC Stop  To Use]] * SnapshotTable[[#This Row],[LC Qty]] * 100),"")</f>
        <v/>
      </c>
      <c r="EG150" s="9" t="str">
        <f>IF(ISNUMBER(SnapshotTable[[#This Row],[LC Total Value]]),SnapshotTable[[#This Row],[LC Stop Loss Amount]] - SnapshotTable[[#This Row],[LC Premium]],"")</f>
        <v/>
      </c>
      <c r="EH150" s="9">
        <f>IF(ISNUMBER(SnapshotTable[[#This Row],[LC Premium]]), SnapshotTable[[#This Row],[LC Qty]] * 100 * SnapshotTable[[#This Row],[LC Strike Price]], "")</f>
        <v>0</v>
      </c>
      <c r="EI150" s="225" t="str">
        <f>IF(AND(ISNUMBER(SnapshotTable[[#This Row],[LC Total Value]]),SnapshotTable[[#This Row],[LC Total Value]]&gt;0),SnapshotTable[[#This Row],[LC Stop Gain Loss]]  / SnapshotTable[[#This Row],[LC Premium]],"")</f>
        <v/>
      </c>
      <c r="EJ150" s="35">
        <f>IF(ISNUMBER(SnapshotTable[[#This Row],[Equity Shares]]),TRUNC(SnapshotTable[[#This Row],[Equity Shares]] / 100),0) + SnapshotTable[[#This Row],[LC Qty]]</f>
        <v>0</v>
      </c>
      <c r="EK150" s="145"/>
      <c r="EL150" s="136"/>
      <c r="EM150" s="146"/>
      <c r="EN150" s="145"/>
      <c r="EO150" s="145"/>
      <c r="EP150" s="136"/>
      <c r="EQ150" s="382" t="b">
        <f>AND(ISNUMBER(SnapshotTable[[#This Row],[SC Exp Date]]), ISNUMBER(SnapshotTable[[#This Row],[SC Strike Price]]), ISNUMBER(SnapshotTable[[#This Row],[SC Qty]]), ISNUMBER(SnapshotTable[[#This Row],[SC Book Date]]), ISNUMBER(SnapshotTable[[#This Row],[SC Book Price]]))</f>
        <v>0</v>
      </c>
      <c r="ER150" s="382" t="b">
        <f>AND(SnapshotTable[[#This Row],[SC Is Booked]], NOT(ISBLANK(SnapshotTable[[#This Row],[SC Fill Date]])))</f>
        <v>0</v>
      </c>
      <c r="ES150" s="340"/>
      <c r="ET150" s="34" t="str">
        <f>IF(AND(ISNUMBER(SnapshotTable[[#This Row],[SC Exp Date]]), ISNUMBER(SnapshotTable[[#This Row],[SC Book Date]])), SnapshotTable[[#This Row],[SC Exp Date]] - MAX(SnapshotTable[[#This Row],[SC Book Date]], SnapshotTable[[#This Row],[SC Fill Date]]) + 1, "")</f>
        <v/>
      </c>
      <c r="EU150" s="34" t="str">
        <f>IF(ISNUMBER(SnapshotTable[[#This Row],[SC Term]]), SnapshotTable[[#This Row],[SC Exp Date]]- MockToday, "")</f>
        <v/>
      </c>
      <c r="EV150" s="31">
        <f>IF(SnapshotTable[[#This Row],[SC Is Booked]], SnapshotTable[[#This Row],[SC Qty]] * SnapshotTable[[#This Row],[SC Book Price]] * 100, 0)</f>
        <v>0</v>
      </c>
      <c r="EW150" s="4" t="str">
        <f>IF(AND(ISNUMBER(SnapshotTable[[#This Row],[Last Price]]), ISNUMBER( SnapshotTable[[#This Row],[SC Book Price]])), SnapshotTable[[#This Row],[Last Price]] - SnapshotTable[[#This Row],[SC Book Price]],"")</f>
        <v/>
      </c>
      <c r="EX150" s="219" t="str">
        <f>IF(SnapshotTable[[#This Row],[SC Is Booked]],IF(SnapshotTable[[#This Row],[SC Intrinsic Value]] &gt; 0, SnapshotTable[[#This Row],[SC Strike Price]], SnapshotTable[[#This Row],[Last Price]]), "")</f>
        <v/>
      </c>
      <c r="EY150" s="4">
        <f>IF(SnapshotTable[[#This Row],[SC Is Booked]], (MinimumPremiumRequired * SnapshotTable[[#This Row],[SC Basis]] * SnapshotTable[[#This Row],[SC Term]]), 0)</f>
        <v>0</v>
      </c>
      <c r="EZ150" s="268"/>
      <c r="FA150" s="204"/>
      <c r="FB150" s="340"/>
      <c r="FC150" s="4">
        <f>IF(SnapshotTable[[#This Row],[SC Is Filled]], btc_max_buyback_amount(SnapshotTable[[#This Row],[SC Fill Date]],SnapshotTable[[#This Row],[SC Exp Date]], SnapshotTable[[#This Row],[SC Book Price]]),0)</f>
        <v>0</v>
      </c>
      <c r="FD150" s="5"/>
      <c r="FE150" s="142" t="str">
        <f>IF(SnapshotTable[[#This Row],[SC Is Filled]], btc_next_cutoff_date(SnapshotTable[[#This Row],[SC Fill Date]],SnapshotTable[[#This Row],[SC Exp Date]]),"")</f>
        <v/>
      </c>
      <c r="FF150" s="4" t="str" cm="1">
        <f t="array" ref="FF150">IF(SnapshotTable[[#This Row],[SC Is Filled]], btc_should_buy_back(SnapshotTable[[#This Row],[SC Fill Date]], SnapshotTable[[#This Row],[SC Exp Date]], SnapshotTable[[#This Row],[SC Book Price]], SnapshotTable[[#This Row],[SC Current Ask]], MockToday, SnapshotTable[[#This Row],[SC Buyback Override]]),"")</f>
        <v/>
      </c>
      <c r="FG150" s="4">
        <f>IF(SnapshotTable[[#This Row],[SC Is Filled]], MAX(0,SnapshotTable[[#This Row],[Last Price]]  - SnapshotTable[[#This Row],[SC Strike Price]]), 0)</f>
        <v>0</v>
      </c>
      <c r="FH150" s="352">
        <f>IF(SnapshotTable[[#This Row],[SC Is Filled]], IF(ISNUMBER(SnapshotTable[[#This Row],[SC Current Ask]]), SnapshotTable[[#This Row],[SC Current Ask]], SnapshotTable[[#This Row],[SC Book Price]]) - SnapshotTable[[#This Row],[SC Intrinsic Value]], 0)</f>
        <v>0</v>
      </c>
      <c r="FI150" s="141"/>
      <c r="FJ150" s="32" t="str">
        <f>IF(SnapshotTable[[#This Row],[SC Is Filled]],100 * SnapshotTable[[#This Row],[SC Qty]] * IF(ISNUMBER(SnapshotTable[[#This Row],[SC Buyback Override]]), SnapshotTable[[#This Row],[SC Buyback Override]], SnapshotTable[[#This Row],[SC Current Ask]]), "")</f>
        <v/>
      </c>
      <c r="FK150" s="235" t="str">
        <f>IF(SnapshotTable[[#This Row],[SC Time Val]]&gt;0, SnapshotTable[[#This Row],[SC Time Val]] / SnapshotTable[[#This Row],[Last Price]],"")</f>
        <v/>
      </c>
      <c r="FL150" s="280" t="str">
        <f>IF(SnapshotTable[[#This Row],[SC Is Booked]], ((SnapshotTable[[#This Row],[Last Price]] -SnapshotTable[[#This Row],[SC Strike Price]]) / SnapshotTable[[#This Row],[Last Price]]) * -1, "")</f>
        <v/>
      </c>
      <c r="FM150" s="155" t="str">
        <f>IF(SnapshotTable[[#This Row],[SC Is Booked]],  (SnapshotTable[[#This Row],[SC Qty]] * 100 * SnapshotTable[[#This Row],[SC Strike Price]]) - SnapshotTable[[#This Row],[SC Current Ask]], "")</f>
        <v/>
      </c>
      <c r="FN1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0" s="31" t="str">
        <f>IF(AND(ISNUMBER(SnapshotTable[[#This Row],[SC Exercise Gross]]), ISNUMBER(SnapshotTable[[#This Row],[Equity Basis Per Share]] )), SnapshotTable[[#This Row],[SC Exercise Gross]] - SnapshotTable[[#This Row],[Equity Basis Total]] +  SnapshotTable[[#This Row],[SC Premium]], "")</f>
        <v/>
      </c>
      <c r="FP150" s="5" t="str">
        <f>IF(ISNUMBER(SnapshotTable[[#This Row],[SC Exercise Gross]]), (SnapshotTable[[#This Row],[SC Exercise Gross]]) / (SnapshotTable[[#This Row],[SC Qty]] * 100), "")</f>
        <v/>
      </c>
      <c r="FQ150" s="27" t="str">
        <f>IF(SnapshotTable[[#This Row],[SC Is Booked]],SnapshotTable[[#This Row],[SC Time Val]] /SnapshotTable[[#This Row],[SC Basis]], "")</f>
        <v/>
      </c>
      <c r="FR150" s="27" t="str" cm="1">
        <f t="array" ref="FR150">IF(AND(ISNUMBER(SnapshotTable[[#This Row],[SC Term]]),ISNUMBER(SnapshotTable[[#This Row],[SC Simple ROO]])), EllmanAnnualize(SnapshotTable[[#This Row],[SC DTE]], SnapshotTable[[#This Row],[SC Simple ROO]] ),"")</f>
        <v/>
      </c>
      <c r="FS150" s="4">
        <f>IF(SnapshotTable[[#This Row],[SC Strike Price]] &gt; SnapshotTable[[#This Row],[Last Price]], SnapshotTable[[#This Row],[SC Strike Price]] - SnapshotTable[[#This Row],[Last Price]],0)</f>
        <v>0</v>
      </c>
      <c r="FT150" s="27" t="str">
        <f>IF(AND(ISNUMBER(SnapshotTable[[#This Row],[SC Upside Potential]]), SnapshotTable[[#This Row],[SC Upside Potential]] &gt; 0),(SnapshotTable[[#This Row],[SC Upside Potential]]/ SnapshotTable[[#This Row],[ACB]]),"")</f>
        <v/>
      </c>
      <c r="FU150" s="304" t="str">
        <f>IF(SnapshotTable[[#This Row],[SC Intrinsic Value]] &gt; 0,SnapshotTable[[#This Row],[SC Intrinsic Value]],"")</f>
        <v/>
      </c>
      <c r="FV150" s="27" t="str">
        <f>IF(AND( ISNUMBER( SnapshotTable[[#This Row],[ACB]]),ISNUMBER(SnapshotTable[[#This Row],[SC Downside Protect]])),SnapshotTable[[#This Row],[SC Downside Protect]] / SnapshotTable[[#This Row],[ACB]],"")</f>
        <v/>
      </c>
      <c r="FW150" s="221" t="str">
        <f>IF(AND(ISNUMBER(SnapshotTable[[#This Row],[SC Simple ROO]]),SnapshotTable[[#This Row],[SC Simple ROO]] &gt; 0), SnapshotTable[[#This Row],[SC Premium]] + (SnapshotTable[[#This Row],[SC Qty]] * SnapshotTable[[#This Row],[SC Upside Potential]]), "")</f>
        <v/>
      </c>
      <c r="FX150" s="280" t="str" cm="1">
        <f t="array" ref="FX150">IF(ISNUMBER(SnapshotTable[[#This Row],[SC Max Dollars]]), annualize(SnapshotTable[[#This Row],[SC Term]],(SnapshotTable[[#This Row],[SC Max Dollars]]/SnapshotTable[[#This Row],[SC Basis]])),"")</f>
        <v/>
      </c>
      <c r="FY150" s="221" t="str">
        <f>IF(AND(SnapshotTable[[#This Row],[SC Qty]]&gt;0,SnapshotTable[[#This Row],[SC Current Ask]]&gt;0), SnapshotTable[[#This Row],[SC Qty]] * SnapshotTable[[#This Row],[SC Current Ask]] * -100, "")</f>
        <v/>
      </c>
      <c r="FZ150" s="31" t="str">
        <f>IF(ISNUMBER((SnapshotTable[[#This Row],[SC Current Value]])), SnapshotTable[[#This Row],[SC Premium]] + SnapshotTable[[#This Row],[SC Current Value]], "")</f>
        <v/>
      </c>
      <c r="GA150" s="272" t="str">
        <f>IFERROR( IF(ISNUMBER((SnapshotTable[[#This Row],[SC Current Value]])), SnapshotTable[[#This Row],[SC Gain Loss]] / SnapshotTable[[#This Row],[SC Premium]], ""), "")</f>
        <v/>
      </c>
      <c r="GB150" s="42">
        <f>SnapshotTable[[#This Row],[Equity Shares]] * SaleSharesToConsiderPercentage</f>
        <v>0</v>
      </c>
      <c r="GC150" s="40">
        <f>SnapshotTable[[#This Row],[Long Term Target]] * SellingPriceToConsiderBasedOnTargetPercentage</f>
        <v>68.647000000000006</v>
      </c>
      <c r="GD150" s="40">
        <f>SnapshotTable[[#This Row],[Last Price]] * (1+ SellingPriceToConsiderBasedOnTargetPercentage)</f>
        <v>272.27850000000001</v>
      </c>
      <c r="GE150" s="41"/>
      <c r="GF150" s="40"/>
      <c r="GG150" s="31">
        <f>SnapshotTable[[#This Row],[Booked Sale Shares]] * SnapshotTable[[#This Row],[Booked Sale Price]]</f>
        <v>0</v>
      </c>
      <c r="GH150" s="31" t="str">
        <f>IF(SnapshotTable[[#This Row],[Equity Basis Total]] &gt; 0, SnapshotTable[[#This Row],[Equity Basis Per Share]] * SnapshotTable[[#This Row],[Booked Sale Shares]], "")</f>
        <v/>
      </c>
      <c r="GI150" s="31">
        <f>IF(SnapshotTable[[#This Row],[Sale Proceeds]]&gt;0, SnapshotTable[[#This Row],[Sale Proceeds]] - SnapshotTable[[#This Row],[Sale Basis]], 0)</f>
        <v>0</v>
      </c>
      <c r="GJ150" s="27" t="str">
        <f>IF(SnapshotTable[[#This Row],[Sale G/L]]&gt;0, SnapshotTable[[#This Row],[Sale G/L]] / SnapshotTable[[#This Row],[Sale Basis]], IF(ISNUMBER(SnapshotTable[[#This Row],[SC Exercise P&amp;L (TAX)]]), SnapshotTable[[#This Row],[SC Exercise P&amp;L (TAX)]] / SnapshotTable[[#This Row],[SC Basis]], ""))</f>
        <v/>
      </c>
      <c r="GK150" s="27" t="s">
        <v>574</v>
      </c>
      <c r="GL150" s="43" t="str">
        <f>IF(AND(SnapshotTable[[#This Row],[LP Exp Date]]&gt;0,SnapshotTable[[#This Row],[LP Strike Price]]&gt;0), [1]!ToOptionSymbol(SnapshotTable[[#This Row],[Symbol]], SnapshotTable[[#This Row],[LP Strike Price]],SnapshotTable[[#This Row],[LP Exp Date]],1), "")</f>
        <v/>
      </c>
      <c r="GM150" s="30" t="str">
        <f>IF(LEN(SnapshotTable[[#This Row],[LP Symbol]])&gt;0, 1, "")</f>
        <v/>
      </c>
      <c r="GN150" s="43" t="str">
        <f>IF(AND(SnapshotTable[[#This Row],[SP Exp Date]]&gt;0,SnapshotTable[[#This Row],[SP Strike Price]]&gt;0), [1]!ToOptionSymbol(SnapshotTable[[#This Row],[Symbol]], SnapshotTable[[#This Row],[SP Strike Price]],SnapshotTable[[#This Row],[SP Exp Date]],1), "")</f>
        <v/>
      </c>
      <c r="GO150" s="30" t="str">
        <f>IF(LEN(SnapshotTable[[#This Row],[SP Symbol]])&gt;0, 1, "")</f>
        <v/>
      </c>
      <c r="GP150" s="43" t="str">
        <f>IF(AND(SnapshotTable[[#This Row],[LC Exp Date]]&gt;0,SnapshotTable[[#This Row],[LC Strike Price]]&gt;0), [1]!ToOptionSymbol(SnapshotTable[[#This Row],[Symbol]], SnapshotTable[[#This Row],[LC Strike Price]],SnapshotTable[[#This Row],[LC Exp Date]],0), "")</f>
        <v/>
      </c>
      <c r="GQ150" s="30" t="str">
        <f>IF(LEN(SnapshotTable[[#This Row],[LC Symbol]])&gt;0, 1, "")</f>
        <v/>
      </c>
      <c r="GR150" s="43" t="str">
        <f>IF(AND(SnapshotTable[[#This Row],[SC Exp Date]]&gt;0,SnapshotTable[[#This Row],[SC Strike Price]]&gt;0), [1]!ToOptionSymbol(SnapshotTable[[#This Row],[Symbol]], SnapshotTable[[#This Row],[SC Strike Price]],SnapshotTable[[#This Row],[SC Exp Date]],0), "")</f>
        <v/>
      </c>
      <c r="GS150" s="30" t="str">
        <f>IF(LEN(SnapshotTable[[#This Row],[SC Symbol]])&gt;0, 1, "")</f>
        <v/>
      </c>
      <c r="GT150" s="29" t="str">
        <f>IF(COUNT(SnapshotTable[[#This Row],[LP Symbol Count]],SnapshotTable[[#This Row],[SP Symbol Count]],SnapshotTable[[#This Row],[LC Symbol Count]],SnapshotTable[[#This Row],[SC Symbol Count]])&gt;0, "Y", "")</f>
        <v/>
      </c>
      <c r="GU1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0" s="216">
        <f>MAX(SnapshotTable[[#This Row],[Equity Basis Total]],SnapshotTable[[#This Row],[Equity Value]]) + (SnapshotTable[[#This Row],[SP Potential Spend]]- SnapshotTable[[#This Row],[SP Premium]] + SnapshotTable[[#This Row],[LP Premium]])+ (SnapshotTable[[#This Row],[LC Premium]] - SnapshotTable[[#This Row],[SC Premium]])</f>
        <v>0</v>
      </c>
      <c r="GW150" s="137" t="str">
        <f>IF(AND(SnapshotTable[[#This Row],[Exposure]] &lt;&gt; 0),SnapshotTable[[#This Row],[Exposure]] / SnapshotTable[[#Totals],[Exposure]], "")</f>
        <v/>
      </c>
      <c r="HE150" s="253"/>
      <c r="HF150" s="253"/>
      <c r="HK150" s="1"/>
      <c r="HL150" s="1"/>
      <c r="HM150" s="1"/>
      <c r="HN150" s="1"/>
      <c r="HO150" s="1"/>
      <c r="HP150" s="1"/>
    </row>
    <row r="151" spans="2:224" ht="12.75" hidden="1" customHeight="1" x14ac:dyDescent="0.25">
      <c r="B151" s="12" t="s">
        <v>472</v>
      </c>
      <c r="C151" s="385">
        <v>39.58</v>
      </c>
      <c r="D151" s="200"/>
      <c r="E151" s="39">
        <f>SnapshotTable[[#This Row],[Last Price]]*(1 -CrashDiscount)</f>
        <v>33.643000000000001</v>
      </c>
      <c r="F151" s="26" t="s">
        <v>168</v>
      </c>
      <c r="G151" s="26" t="s">
        <v>7</v>
      </c>
      <c r="H151" s="147"/>
      <c r="I151" s="186">
        <v>44950</v>
      </c>
      <c r="J151" s="187">
        <v>44950</v>
      </c>
      <c r="K151" s="188"/>
      <c r="L151" s="297"/>
      <c r="M151" s="138"/>
      <c r="N151" s="138"/>
      <c r="O151" s="138"/>
      <c r="P151" s="22"/>
      <c r="Q151" s="25"/>
      <c r="R151" s="4" t="str">
        <f>IF(SnapshotTable[[#This Row],[Equity Basis Total]] &gt; 0, SnapshotTable[[#This Row],[Equity Basis Total]] / SnapshotTable[[#This Row],[Equity Shares]], "")</f>
        <v/>
      </c>
      <c r="S151" s="254">
        <f>SnapshotTable[[#This Row],[Last Price]] * SnapshotTable[[#This Row],[Equity Shares]]</f>
        <v>0</v>
      </c>
      <c r="T151" s="254">
        <f>SnapshotTable[[#This Row],[Equity Value]] - SnapshotTable[[#This Row],[Equity Basis Total]]</f>
        <v>0</v>
      </c>
      <c r="U151" s="255" t="str">
        <f>IF(SnapshotTable[[#This Row],[Equity Basis Total]] &gt; 0, SnapshotTable[[#This Row],[Equity G/L]] / SnapshotTable[[#This Row],[Equity Basis Total]], "")</f>
        <v/>
      </c>
      <c r="V151" s="253"/>
      <c r="W151" s="253"/>
      <c r="X151" s="4" t="str">
        <f>IF(AND(ISNUMBER(SnapshotTable[[#This Row],[Equity Basis Per Share]]),ISNUMBER(SnapshotTable[[#This Row],[Equity Target]])),SnapshotTable[[#This Row],[Equity Target]]-SnapshotTable[[#This Row],[Equity Basis Per Share]],"")</f>
        <v/>
      </c>
      <c r="Y151" s="4" t="str">
        <f>IF(AND(ISNUMBER(SnapshotTable[[#This Row],[Equity Basis Per Share]]),ISNUMBER(SnapshotTable[[#This Row],[Equity Stop Loss]])),SnapshotTable[[#This Row],[Equity Stop Loss]]-SnapshotTable[[#This Row],[Equity Basis Per Share]],"")</f>
        <v/>
      </c>
      <c r="Z151" s="260" t="str">
        <f>IFERROR( TEXT(SnapshotTable[[#This Row],[Equity Max Gain Per Share]] /ABS( SnapshotTable[[#This Row],[Equity Max Loss Per Share]]),"0.0 " ) &amp; " : 1", "")</f>
        <v/>
      </c>
      <c r="AA151" s="31" t="str">
        <f>IF(ISNUMBER(SnapshotTable[[#This Row],[Equity Max Gain Per Share]]),SnapshotTable[[#This Row],[Equity Max Gain Per Share]] * SnapshotTable[[#This Row],[Equity Shares]],"")</f>
        <v/>
      </c>
      <c r="AB151" s="31" t="str">
        <f>IF(ISNUMBER(SnapshotTable[[#This Row],[Equity Max Loss Per Share]]),SnapshotTable[[#This Row],[Equity Max Loss Per Share]] * SnapshotTable[[#This Row],[Equity Shares]],"")</f>
        <v/>
      </c>
      <c r="AC151" s="148"/>
      <c r="AD151" s="149"/>
      <c r="AE151" s="31">
        <f>(SnapshotTable[[#This Row],[Annual Dividend Per Share]] / 4) * SnapshotTable[[#This Row],[Equity Shares]]</f>
        <v>0</v>
      </c>
      <c r="AF151" s="31">
        <f>SnapshotTable[[#This Row],[Quarterly Div $]] * 4</f>
        <v>0</v>
      </c>
      <c r="AG151" s="7">
        <f>IF(SnapshotTable[[#This Row],[Annual Dividend Per Share]]&gt;0, SnapshotTable[[#This Row],[Annual Dividend Per Share]]  / SnapshotTable[[#This Row],[Last Price]], 0)</f>
        <v>0</v>
      </c>
      <c r="AH151" s="149"/>
      <c r="AI151" s="5"/>
      <c r="AJ151" s="136">
        <v>36.67</v>
      </c>
      <c r="AK151" s="150" t="str">
        <f>IF(ISNUMBER( SnapshotTable[[#This Row],[EBF Target]]),(SnapshotTable[[#This Row],[EBF Target]] - SnapshotTable[[#This Row],[Last Price]]) / SnapshotTable[[#This Row],[Last Price]], "")</f>
        <v/>
      </c>
      <c r="AL151" s="150" t="str">
        <f>IF(AND(SnapshotTable[[#This Row],[Equity Basis Total]] &gt; 0,ISNUMBER( SnapshotTable[[#This Row],[Long Term Target]])), SnapshotTable[[#This Row],[From Basis $]] / SnapshotTable[[#This Row],[Equity Basis Total]], "")</f>
        <v/>
      </c>
      <c r="AM151" s="9">
        <f>IF( AND(SnapshotTable[[#This Row],[Equity Shares]] &gt;0,ISNUMBER( SnapshotTable[[#This Row],[Long Term Target]])),(SnapshotTable[[#This Row],[Equity Shares]] * SnapshotTable[[#This Row],[Long Term Target]]) - SnapshotTable[[#This Row],[Equity Basis Total]],0)</f>
        <v>0</v>
      </c>
      <c r="AN151" s="9">
        <f>IF( AND(SnapshotTable[[#This Row],[Equity Shares]] &gt;0,ISNUMBER( SnapshotTable[[#This Row],[Long Term Target]])),(SnapshotTable[[#This Row],[Equity Shares]]*SnapshotTable[[#This Row],[Long Term Target]]) - SnapshotTable[[#This Row],[Equity Value]],0)</f>
        <v>0</v>
      </c>
      <c r="AO151" s="150">
        <f>IF(AND(ISNUMBER( SnapshotTable[[#This Row],[Long Term Target]]), ISNUMBER(SnapshotTable[[#This Row],[Last Price]])),(SnapshotTable[[#This Row],[Long Term Target]] - SnapshotTable[[#This Row],[Last Price]]) / SnapshotTable[[#This Row],[Last Price]], "")</f>
        <v>-7.3521980798382944E-2</v>
      </c>
      <c r="AP151" s="5">
        <v>65</v>
      </c>
      <c r="AQ151" s="38" t="s">
        <v>77</v>
      </c>
      <c r="AR151" s="5">
        <v>60</v>
      </c>
      <c r="AS151" s="38" t="s">
        <v>22</v>
      </c>
      <c r="AT151" s="144" t="s">
        <v>444</v>
      </c>
      <c r="AU151" s="185" t="str">
        <f>IF(OR(SnapshotTable[[#This Row],[LP No Fill]]="Y",SnapshotTable[[#This Row],[SP Is Filled]],SnapshotTable[[#This Row],[LC Not Filled]]="Y",SnapshotTable[[#This Row],[SC Is Filled]]),"Y","")</f>
        <v/>
      </c>
      <c r="AV151" s="205"/>
      <c r="AW151" s="211"/>
      <c r="AX151" s="206"/>
      <c r="AY151" s="205" t="str">
        <f>IF(SnapshotTable[[#This Row],[Implied Move]]&gt;0, SnapshotTable[[#This Row],[Last Price]]-SnapshotTable[[#This Row],[Implied Move]],"")</f>
        <v/>
      </c>
      <c r="AZ151" s="205" t="str">
        <f>IF(SnapshotTable[[#This Row],[Implied Move]]&gt;0, SnapshotTable[[#This Row],[Last Price]] + SnapshotTable[[#This Row],[Implied Move]],"")</f>
        <v/>
      </c>
      <c r="BA151" s="302"/>
      <c r="BB151" s="318"/>
      <c r="BC15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1" s="321"/>
      <c r="BE151" s="190"/>
      <c r="BF151" s="191"/>
      <c r="BG151" s="192"/>
      <c r="BH151" s="192"/>
      <c r="BI151" s="5"/>
      <c r="BJ151" s="151">
        <f>IF(SnapshotTable[[#This Row],[LP Qty]] &gt; 0, SnapshotTable[[#This Row],[LP Qty]] * SnapshotTable[[#This Row],[LP Book Price]] * 100,0)</f>
        <v>0</v>
      </c>
      <c r="BK151" s="134">
        <f>IF(SnapshotTable[[#This Row],[LP Premium]] &gt; 0, SnapshotTable[[#This Row],[LP Qty]] * SnapshotTable[[#This Row],[LP Strike Price]] * 100,0)</f>
        <v>0</v>
      </c>
      <c r="BL151" s="152"/>
      <c r="BM151" s="355" t="str">
        <f>IF(SnapshotTable[[#This Row],[LP Premium]] &gt; 0,SnapshotTable[[#This Row],[LP Exp Date]]-MAX(SnapshotTable[[#This Row],[LP Book Date]], SnapshotTable[[#This Row],[LP Fill Date]]),"")</f>
        <v/>
      </c>
      <c r="BN151" s="355" t="str">
        <f>IF(ISNUMBER( SnapshotTable[[#This Row],[LP Term]]), SnapshotTable[[#This Row],[LP Exp Date]] - MockToday,"")</f>
        <v/>
      </c>
      <c r="BO151" s="161" t="str">
        <f>IF(AND(SnapshotTable[[#This Row],[LP Exp Date]]&gt;0, SnapshotTable[[#This Row],[LP Strike Price]]&gt;0,SnapshotTable[[#This Row],[LP Qty]]&gt;0,SnapshotTable[[#This Row],[LP Book Date]]&gt;0,SnapshotTable[[#This Row],[LP Book Price]]&gt;0,SnapshotTable[[#This Row],[LP Fill Date]]=0),"Y","")</f>
        <v/>
      </c>
      <c r="BP151" s="31" t="str">
        <f>IF(AND(SnapshotTable[[#This Row],[LP No Fill]]&lt;&gt;"Y",SnapshotTable[[#This Row],[LP Contract Value]]&gt;0, SnapshotTable[[#This Row],[LP Qty]]&gt;0), SnapshotTable[[#This Row],[LP Contract Value]]*SnapshotTable[[#This Row],[LP Qty]]*100,"")</f>
        <v/>
      </c>
      <c r="BQ151" s="13"/>
      <c r="BR151" s="5"/>
      <c r="BS151" s="36"/>
      <c r="BT151" s="145"/>
      <c r="BU151" s="13"/>
      <c r="BV151" s="5"/>
      <c r="BW151" s="382" t="b">
        <f>AND(ISNUMBER(SnapshotTable[[#This Row],[SP Exp Date]]), ISNUMBER(SnapshotTable[[#This Row],[SP Strike Price]]), ISNUMBER(SnapshotTable[[#This Row],[SP Qty]]), ISNUMBER(SnapshotTable[[#This Row],[SP Book Date]]), ISNUMBER(SnapshotTable[[#This Row],[SP Book Price]]))</f>
        <v>0</v>
      </c>
      <c r="BX151" s="382" t="b">
        <f>AND(SnapshotTable[[#This Row],[SP Is Booked]], NOT(ISBLANK(SnapshotTable[[#This Row],[SP Fill Date]])))</f>
        <v>0</v>
      </c>
      <c r="BY151" s="33">
        <f>IF(SnapshotTable[[#This Row],[SP Is Booked]], SnapshotTable[[#This Row],[SP Qty]] * SnapshotTable[[#This Row],[SP Book Price]] * 100, 0)</f>
        <v>0</v>
      </c>
      <c r="BZ151" s="339"/>
      <c r="CA151" s="338">
        <f>SnapshotTable[[#This Row],[LP Qty]]</f>
        <v>0</v>
      </c>
      <c r="CB151" s="4" t="str">
        <f>IF(SnapshotTable[[#This Row],[SP Is Booked]], SnapshotTable[[#This Row],[SP Strike Price]] - SnapshotTable[[#This Row],[SP Book Price]], "")</f>
        <v/>
      </c>
      <c r="CC151" s="19" t="str">
        <f>IF(SnapshotTable[[#This Row],[SP Is Booked]],SnapshotTable[[#This Row],[SP Exp Date]]-MAX(SnapshotTable[[#This Row],[SP Book Date]], SnapshotTable[[#This Row],[SP Fill Date]]),"")</f>
        <v/>
      </c>
      <c r="CD151" s="7" t="str">
        <f>IF(SnapshotTable[[#This Row],[SP Is Booked]], SnapshotTable[[#This Row],[SP Book Price]]/SnapshotTable[[#This Row],[SP Strike Price]], "")</f>
        <v/>
      </c>
      <c r="CE151" s="7" t="str">
        <f>IF(ISNUMBER(SnapshotTable[[#This Row],[SP ROO Term]]),SnapshotTable[[#This Row],[SP ROO Term]]*(365/SnapshotTable[[#This Row],[SP Term]]),"")</f>
        <v/>
      </c>
      <c r="CF151" s="221">
        <f>SnapshotTable[[#This Row],[LP Strike Price]] * SnapshotTable[[#This Row],[LP Qty]] * 100</f>
        <v>0</v>
      </c>
      <c r="CG151" s="31">
        <f>IF(ISNUMBER(SnapshotTable[[#This Row],[SP Premium]]), (SnapshotTable[[#This Row],[SP Qty]] * SnapshotTable[[#This Row],[SP Strike Price]]* 100) - SnapshotTable[[#This Row],[LP Protection]], 0)</f>
        <v>0</v>
      </c>
      <c r="CH151" s="7" t="str">
        <f>IF(ISNUMBER(SnapshotTable[[#This Row],[SP Break Even]]),-1 * (SnapshotTable[[#This Row],[SP Break Even]] - SnapshotTable[[#This Row],[Last Price]]) / SnapshotTable[[#This Row],[Last Price]], "")</f>
        <v/>
      </c>
      <c r="CI151" s="31">
        <f>IF(AND(ISNUMBER((SnapshotTable[[#This Row],[SP Potential Spend]])), SnapshotTable[[#This Row],[SP Strike Price]] &gt; SnapshotTable[[#This Row],[Last Price]], SnapshotTable[[#This Row],[SP Is Filled]]), SnapshotTable[[#This Row],[SP Potential Spend]] -  SnapshotTable[[#This Row],[LP Max Value]], 0)</f>
        <v>0</v>
      </c>
      <c r="CJ151" s="229"/>
      <c r="CK151" s="31">
        <f>IF(ISNUMBER(SnapshotTable[[#This Row],[SP Potential Spend]]),IF(ISNUMBER(SnapshotTable[[#This Row],[SP POW]]), SnapshotTable[[#This Row],[SP POW]] * SnapshotTable[[#This Row],[SP Potential Spend]], SnapshotTable[[#This Row],[SP Potential Spend]]), "")</f>
        <v>0</v>
      </c>
      <c r="CL151" s="162">
        <f>IF(NOT(SnapshotTable[[#This Row],[SP Is Filled]]),(SnapshotTable[[#This Row],[SP Qty]] * SnapshotTable[[#This Row],[SP Strike Price]] * 100) - SnapshotTable[[#This Row],[LP Max Value]],"")</f>
        <v>0</v>
      </c>
      <c r="CM151" s="31" t="str">
        <f>IF(SnapshotTable[[#This Row],[SP Actual Spend]]&lt;&gt;0, ((SnapshotTable[[#This Row],[SP Strike Price]]-SnapshotTable[[#This Row],[Last Price]]) *(SnapshotTable[[#This Row],[SP Qty]]*100) - SnapshotTable[[#This Row],[SP Premium]]) * - 1, "")</f>
        <v/>
      </c>
      <c r="CN151" s="152"/>
      <c r="CO151" s="339"/>
      <c r="CP151" s="4" t="str">
        <f>IF(SnapshotTable[[#This Row],[SP Is Filled]], btc_max_buyback_amount(SnapshotTable[[#This Row],[SP Fill Date]],SnapshotTable[[#This Row],[SP Exp Date]], SnapshotTable[[#This Row],[SP Book Price]]),"")</f>
        <v/>
      </c>
      <c r="CQ151" s="76"/>
      <c r="CR15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1" s="153" t="str">
        <f>IF(SnapshotTable[[#This Row],[SP Is Filled]], btc_next_cutoff_date(SnapshotTable[[#This Row],[SP Fill Date]],SnapshotTable[[#This Row],[SP Exp Date]]),"")</f>
        <v/>
      </c>
      <c r="CT151" s="220" t="str" cm="1">
        <f t="array" ref="CT151">IF(SnapshotTable[[#This Row],[SP Is Filled]], btc_should_buy_back(SnapshotTable[[#This Row],[SP Fill Date]], SnapshotTable[[#This Row],[SP Exp Date]], SnapshotTable[[#This Row],[SP Book Price]], SnapshotTable[[#This Row],[SP Current Ask]], MockToday, SnapshotTable[[#This Row],[SP Buyback Override]]),"")</f>
        <v/>
      </c>
      <c r="CU151" s="154"/>
      <c r="CV151" s="220"/>
      <c r="CW151" s="348" t="str">
        <f>IF(ISNUMBER( SnapshotTable[[#This Row],[SP Term]]), SnapshotTable[[#This Row],[SP Exp Date]] - MockToday,"")</f>
        <v/>
      </c>
      <c r="CX151" s="31" t="str">
        <f>IF(SnapshotTable[[#This Row],[SP Is Filled]],SnapshotTable[[#This Row],[SP Buyback Price to Use]] * 100 * SnapshotTable[[#This Row],[SP Qty]], "")</f>
        <v/>
      </c>
      <c r="CY151" s="4" t="str">
        <f>IF(ISNUMBER(SnapshotTable[[#This Row],[SP Strike Price]]), SnapshotTable[[#This Row],[SP Strike Price]] * (1 - SP_MaxLoss_StrikePct), "")</f>
        <v/>
      </c>
      <c r="CZ151" s="31" t="str">
        <f>IF(ISNUMBER(SnapshotTable[[#This Row],[SP Strike  Stop Per Share]]),SnapshotTable[[#This Row],[SP Premium]] - ((SnapshotTable[[#This Row],[SP Strike Price]]-SnapshotTable[[#This Row],[SP Strike  Stop Per Share]]) *(SnapshotTable[[#This Row],[SP Qty]] * 100)),"")</f>
        <v/>
      </c>
      <c r="DA151" s="4" t="str">
        <f>IF(AND(ISNUMBER(SnapshotTable[[#This Row],[SP Premium]]),SnapshotTable[[#This Row],[SP Premium]]&gt;0), SnapshotTable[[#This Row],[SP Book Price]] * (1 + SP_MaxLoss_OptionPct), "")</f>
        <v/>
      </c>
      <c r="DB151" s="31" t="str">
        <f>IF(ISNUMBER(SnapshotTable[[#This Row],[SP Option  Stop Contract]]),(SnapshotTable[[#This Row],[SP Option  Stop Contract]] *(SnapshotTable[[#This Row],[SP Qty]] * 100) - SnapshotTable[[#This Row],[SP Premium]]),"")</f>
        <v/>
      </c>
      <c r="DC151" s="4"/>
      <c r="DD151" s="4"/>
      <c r="DE151" s="4" t="str">
        <f>IF(AND(SnapshotTable[[#This Row],[SP Qty]]&gt;0, SnapshotTable[[#This Row],[SP Stop To Use]]&gt;0),SnapshotTable[[#This Row],[SP Premium]] - ( SnapshotTable[[#This Row],[SP Qty]] * SnapshotTable[[#This Row],[SP Stop To Use]] * 100), "")</f>
        <v/>
      </c>
      <c r="DF151" s="31" t="str">
        <f>IF(AND(SnapshotTable[[#This Row],[SP Qty]]&gt;0,SnapshotTable[[#This Row],[SP Current Ask]]&gt;0), SnapshotTable[[#This Row],[SP Qty]] * SnapshotTable[[#This Row],[SP Current Ask]] * -100, "")</f>
        <v/>
      </c>
      <c r="DG151" s="31" t="str">
        <f>IF(ISNUMBER((SnapshotTable[[#This Row],[SP Total Value]])), SnapshotTable[[#This Row],[SP Premium]] + SnapshotTable[[#This Row],[SP Total Value]], "")</f>
        <v/>
      </c>
      <c r="DH151" s="272" t="str">
        <f>IF(ISNUMBER((SnapshotTable[[#This Row],[SP Total Value]])), SnapshotTable[[#This Row],[SP Gain Loss]] / SnapshotTable[[#This Row],[SP Premium]], "")</f>
        <v/>
      </c>
      <c r="DI151" s="369"/>
      <c r="DJ151" s="136"/>
      <c r="DK151" s="146"/>
      <c r="DL151" s="145"/>
      <c r="DM151" s="145"/>
      <c r="DO151" s="31">
        <f>IF(SnapshotTable[[#This Row],[LC Symbol Count]]=1, SnapshotTable[[#This Row],[LC Qty]] * SnapshotTable[[#This Row],[LC Book Price]] * 100, 0)</f>
        <v>0</v>
      </c>
      <c r="DP151" s="161" t="str">
        <f>IF(AND(SnapshotTable[[#This Row],[LC Exp Date]]&gt;0, SnapshotTable[[#This Row],[LC Strike Price]]&gt;0,SnapshotTable[[#This Row],[LC Qty]]&gt;0,SnapshotTable[[#This Row],[LC Book Date]]&gt;0,SnapshotTable[[#This Row],[LC Book Price]]&gt;0,SnapshotTable[[#This Row],[LC Fill Date]]=0),"Y","")</f>
        <v/>
      </c>
      <c r="DQ151" s="356" t="str">
        <f>IF(SnapshotTable[[#This Row],[LC Premium]] &gt; 0,SnapshotTable[[#This Row],[LC Exp Date]]-MAX(SnapshotTable[[#This Row],[LC Book Date]], SnapshotTable[[#This Row],[LC Fill Date]]),"")</f>
        <v/>
      </c>
      <c r="DR151" s="356" t="str">
        <f>IF(ISNUMBER(SnapshotTable[[#This Row],[LC Term]]), SnapshotTable[[#This Row],[LC Exp Date]] - MockToday, "")</f>
        <v/>
      </c>
      <c r="DS151" s="219" t="str">
        <f>IF(SnapshotTable[[#This Row],[LC Premium]]&gt;0,SnapshotTable[[#This Row],[LC Strike Price]] + SnapshotTable[[#This Row],[LC Book Price]],"")</f>
        <v/>
      </c>
      <c r="DU151" s="9" t="str">
        <f>IF(AND(SnapshotTable[[#This Row],[LC Symbol Count]]&gt;0, SnapshotTable[[#This Row],[LC Contract Value]]&gt;0), SnapshotTable[[#This Row],[LC Contract Value]] * SnapshotTable[[#This Row],[LC Qty]] * 100, "")</f>
        <v/>
      </c>
      <c r="DV151" s="9" t="str">
        <f>IF(AND(ISNUMBER(SnapshotTable[[#This Row],[LC Total Value]]), SnapshotTable[[#This Row],[LC Not Filled]]&lt;&gt;"Y"), SnapshotTable[[#This Row],[LC Total Value]]-SnapshotTable[[#This Row],[LC Premium]],"")</f>
        <v/>
      </c>
      <c r="DW151" s="225" t="str">
        <f>IF(ISNUMBER(SnapshotTable[[#This Row],[LC Actual Gain Loss]]), SnapshotTable[[#This Row],[LC Actual Gain Loss]] / SnapshotTable[[#This Row],[LC Premium]],"")</f>
        <v/>
      </c>
      <c r="DX151" s="269" t="str">
        <f>IF(ISNUMBER(SnapshotTable[[#This Row],[LC Book Price]]),SnapshotTable[[#This Row],[LC Book Price]] * 1.5,"")</f>
        <v/>
      </c>
      <c r="DY151" s="250" t="str">
        <f>IF(SnapshotTable[[#This Row],[LC Premium]]&gt;0, SnapshotTable[[#This Row],[LC Next Target]] * SnapshotTable[[#This Row],[LC Qty]] * 100,"")</f>
        <v/>
      </c>
      <c r="DZ151" s="250" t="str">
        <f>IF(ISNUMBER(SnapshotTable[[#This Row],[LC Target Gross]]), SnapshotTable[[#This Row],[LC Target Gross]] - SnapshotTable[[#This Row],[LC Premium]], "")</f>
        <v/>
      </c>
      <c r="EA151" s="283" t="str">
        <f>IF(ISNUMBER(SnapshotTable[[#This Row],[LC Target Gain Loss]]), SnapshotTable[[#This Row],[LC Target Gain Loss]]/SnapshotTable[[#This Row],[LC Premium]], "")</f>
        <v/>
      </c>
      <c r="EB151" s="247"/>
      <c r="EC151" s="268" t="str">
        <f>IF(SnapshotTable[[#This Row],[LC Premium]]&gt;0, SnapshotTable[[#This Row],[LC Book Price]] * (1 - LC_StopLoss_Pct),"")</f>
        <v/>
      </c>
      <c r="ED151" s="269"/>
      <c r="EE151" s="268" t="str">
        <f>IF(ISNUMBER(SnapshotTable[[#This Row],[LC Contract Value]]),IF(ISNUMBER(SnapshotTable[[#This Row],[LC Stop Loss Override]]), SnapshotTable[[#This Row],[LC Stop Loss Override]],SnapshotTable[[#This Row],[LC Stop Loss Calc Target]]),"")</f>
        <v/>
      </c>
      <c r="EF151" s="31" t="str">
        <f>IF(ISNUMBER(SnapshotTable[[#This Row],[LC Stop  To Use]]), (SnapshotTable[[#This Row],[LC Stop  To Use]] * SnapshotTable[[#This Row],[LC Qty]] * 100),"")</f>
        <v/>
      </c>
      <c r="EG151" s="9" t="str">
        <f>IF(ISNUMBER(SnapshotTable[[#This Row],[LC Total Value]]),SnapshotTable[[#This Row],[LC Stop Loss Amount]] - SnapshotTable[[#This Row],[LC Premium]],"")</f>
        <v/>
      </c>
      <c r="EH151" s="9">
        <f>IF(ISNUMBER(SnapshotTable[[#This Row],[LC Premium]]), SnapshotTable[[#This Row],[LC Qty]] * 100 * SnapshotTable[[#This Row],[LC Strike Price]], "")</f>
        <v>0</v>
      </c>
      <c r="EI151" s="225" t="str">
        <f>IF(AND(ISNUMBER(SnapshotTable[[#This Row],[LC Total Value]]),SnapshotTable[[#This Row],[LC Total Value]]&gt;0),SnapshotTable[[#This Row],[LC Stop Gain Loss]]  / SnapshotTable[[#This Row],[LC Premium]],"")</f>
        <v/>
      </c>
      <c r="EJ151" s="35">
        <f>IF(ISNUMBER(SnapshotTable[[#This Row],[Equity Shares]]),TRUNC(SnapshotTable[[#This Row],[Equity Shares]] / 100),0) + SnapshotTable[[#This Row],[LC Qty]]</f>
        <v>0</v>
      </c>
      <c r="EK151" s="145"/>
      <c r="EL151" s="136"/>
      <c r="EM151" s="146"/>
      <c r="EN151" s="145"/>
      <c r="EO151" s="145"/>
      <c r="EP151" s="136"/>
      <c r="EQ151" s="382" t="b">
        <f>AND(ISNUMBER(SnapshotTable[[#This Row],[SC Exp Date]]), ISNUMBER(SnapshotTable[[#This Row],[SC Strike Price]]), ISNUMBER(SnapshotTable[[#This Row],[SC Qty]]), ISNUMBER(SnapshotTable[[#This Row],[SC Book Date]]), ISNUMBER(SnapshotTable[[#This Row],[SC Book Price]]))</f>
        <v>0</v>
      </c>
      <c r="ER151" s="382" t="b">
        <f>AND(SnapshotTable[[#This Row],[SC Is Booked]], NOT(ISBLANK(SnapshotTable[[#This Row],[SC Fill Date]])))</f>
        <v>0</v>
      </c>
      <c r="ES151" s="340"/>
      <c r="ET151" s="34" t="str">
        <f>IF(AND(ISNUMBER(SnapshotTable[[#This Row],[SC Exp Date]]), ISNUMBER(SnapshotTable[[#This Row],[SC Book Date]])), SnapshotTable[[#This Row],[SC Exp Date]] - MAX(SnapshotTable[[#This Row],[SC Book Date]], SnapshotTable[[#This Row],[SC Fill Date]]) + 1, "")</f>
        <v/>
      </c>
      <c r="EU151" s="34" t="str">
        <f>IF(ISNUMBER(SnapshotTable[[#This Row],[SC Term]]), SnapshotTable[[#This Row],[SC Exp Date]]- MockToday, "")</f>
        <v/>
      </c>
      <c r="EV151" s="31">
        <f>IF(SnapshotTable[[#This Row],[SC Is Booked]], SnapshotTable[[#This Row],[SC Qty]] * SnapshotTable[[#This Row],[SC Book Price]] * 100, 0)</f>
        <v>0</v>
      </c>
      <c r="EW151" s="4" t="str">
        <f>IF(AND(ISNUMBER(SnapshotTable[[#This Row],[Last Price]]), ISNUMBER( SnapshotTable[[#This Row],[SC Book Price]])), SnapshotTable[[#This Row],[Last Price]] - SnapshotTable[[#This Row],[SC Book Price]],"")</f>
        <v/>
      </c>
      <c r="EX151" s="219" t="str">
        <f>IF(SnapshotTable[[#This Row],[SC Is Booked]],IF(SnapshotTable[[#This Row],[SC Intrinsic Value]] &gt; 0, SnapshotTable[[#This Row],[SC Strike Price]], SnapshotTable[[#This Row],[Last Price]]), "")</f>
        <v/>
      </c>
      <c r="EY151" s="4">
        <f>IF(SnapshotTable[[#This Row],[SC Is Booked]], (MinimumPremiumRequired * SnapshotTable[[#This Row],[SC Basis]] * SnapshotTable[[#This Row],[SC Term]]), 0)</f>
        <v>0</v>
      </c>
      <c r="EZ151" s="268"/>
      <c r="FA151" s="204"/>
      <c r="FB151" s="340"/>
      <c r="FC151" s="4">
        <f>IF(SnapshotTable[[#This Row],[SC Is Filled]], btc_max_buyback_amount(SnapshotTable[[#This Row],[SC Fill Date]],SnapshotTable[[#This Row],[SC Exp Date]], SnapshotTable[[#This Row],[SC Book Price]]),0)</f>
        <v>0</v>
      </c>
      <c r="FD151" s="5"/>
      <c r="FE151" s="142" t="str">
        <f>IF(SnapshotTable[[#This Row],[SC Is Filled]], btc_next_cutoff_date(SnapshotTable[[#This Row],[SC Fill Date]],SnapshotTable[[#This Row],[SC Exp Date]]),"")</f>
        <v/>
      </c>
      <c r="FF151" s="4" t="str" cm="1">
        <f t="array" ref="FF151">IF(SnapshotTable[[#This Row],[SC Is Filled]], btc_should_buy_back(SnapshotTable[[#This Row],[SC Fill Date]], SnapshotTable[[#This Row],[SC Exp Date]], SnapshotTable[[#This Row],[SC Book Price]], SnapshotTable[[#This Row],[SC Current Ask]], MockToday, SnapshotTable[[#This Row],[SC Buyback Override]]),"")</f>
        <v/>
      </c>
      <c r="FG151" s="4">
        <f>IF(SnapshotTable[[#This Row],[SC Is Filled]], MAX(0,SnapshotTable[[#This Row],[Last Price]]  - SnapshotTable[[#This Row],[SC Strike Price]]), 0)</f>
        <v>0</v>
      </c>
      <c r="FH151" s="352">
        <f>IF(SnapshotTable[[#This Row],[SC Is Filled]], IF(ISNUMBER(SnapshotTable[[#This Row],[SC Current Ask]]), SnapshotTable[[#This Row],[SC Current Ask]], SnapshotTable[[#This Row],[SC Book Price]]) - SnapshotTable[[#This Row],[SC Intrinsic Value]], 0)</f>
        <v>0</v>
      </c>
      <c r="FI151" s="141"/>
      <c r="FJ151" s="32" t="str">
        <f>IF(SnapshotTable[[#This Row],[SC Is Filled]],100 * SnapshotTable[[#This Row],[SC Qty]] * IF(ISNUMBER(SnapshotTable[[#This Row],[SC Buyback Override]]), SnapshotTable[[#This Row],[SC Buyback Override]], SnapshotTable[[#This Row],[SC Current Ask]]), "")</f>
        <v/>
      </c>
      <c r="FK151" s="235" t="str">
        <f>IF(SnapshotTable[[#This Row],[SC Time Val]]&gt;0, SnapshotTable[[#This Row],[SC Time Val]] / SnapshotTable[[#This Row],[Last Price]],"")</f>
        <v/>
      </c>
      <c r="FL151" s="280" t="str">
        <f>IF(SnapshotTable[[#This Row],[SC Is Booked]], ((SnapshotTable[[#This Row],[Last Price]] -SnapshotTable[[#This Row],[SC Strike Price]]) / SnapshotTable[[#This Row],[Last Price]]) * -1, "")</f>
        <v/>
      </c>
      <c r="FM151" s="155" t="str">
        <f>IF(SnapshotTable[[#This Row],[SC Is Booked]],  (SnapshotTable[[#This Row],[SC Qty]] * 100 * SnapshotTable[[#This Row],[SC Strike Price]]) - SnapshotTable[[#This Row],[SC Current Ask]], "")</f>
        <v/>
      </c>
      <c r="FN151"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1" s="155" t="str">
        <f>IF(AND(ISNUMBER(SnapshotTable[[#This Row],[SC Exercise Gross]]), ISNUMBER(SnapshotTable[[#This Row],[Equity Basis Per Share]] )), SnapshotTable[[#This Row],[SC Exercise Gross]] - SnapshotTable[[#This Row],[Equity Basis Total]] +  SnapshotTable[[#This Row],[SC Premium]], "")</f>
        <v/>
      </c>
      <c r="FP151" s="5" t="str">
        <f>IF(ISNUMBER(SnapshotTable[[#This Row],[SC Exercise Gross]]), (SnapshotTable[[#This Row],[SC Exercise Gross]]) / (SnapshotTable[[#This Row],[SC Qty]] * 100), "")</f>
        <v/>
      </c>
      <c r="FQ151" s="27" t="str">
        <f>IF(SnapshotTable[[#This Row],[SC Is Booked]],SnapshotTable[[#This Row],[SC Time Val]] /SnapshotTable[[#This Row],[SC Basis]], "")</f>
        <v/>
      </c>
      <c r="FR151" s="27" t="str" cm="1">
        <f t="array" ref="FR151">IF(AND(ISNUMBER(SnapshotTable[[#This Row],[SC Term]]),ISNUMBER(SnapshotTable[[#This Row],[SC Simple ROO]])), EllmanAnnualize(SnapshotTable[[#This Row],[SC DTE]], SnapshotTable[[#This Row],[SC Simple ROO]] ),"")</f>
        <v/>
      </c>
      <c r="FS151" s="4">
        <f>IF(SnapshotTable[[#This Row],[SC Strike Price]] &gt; SnapshotTable[[#This Row],[Last Price]], SnapshotTable[[#This Row],[SC Strike Price]] - SnapshotTable[[#This Row],[Last Price]],0)</f>
        <v>0</v>
      </c>
      <c r="FT151" s="27" t="str">
        <f>IF(AND(ISNUMBER(SnapshotTable[[#This Row],[SC Upside Potential]]), SnapshotTable[[#This Row],[SC Upside Potential]] &gt; 0),(SnapshotTable[[#This Row],[SC Upside Potential]]/ SnapshotTable[[#This Row],[ACB]]),"")</f>
        <v/>
      </c>
      <c r="FU151" s="304" t="str">
        <f>IF(SnapshotTable[[#This Row],[SC Intrinsic Value]] &gt; 0,SnapshotTable[[#This Row],[SC Intrinsic Value]],"")</f>
        <v/>
      </c>
      <c r="FV151" s="27" t="str">
        <f>IF(AND( ISNUMBER( SnapshotTable[[#This Row],[ACB]]),ISNUMBER(SnapshotTable[[#This Row],[SC Downside Protect]])),SnapshotTable[[#This Row],[SC Downside Protect]] / SnapshotTable[[#This Row],[ACB]],"")</f>
        <v/>
      </c>
      <c r="FW151" s="221" t="str">
        <f>IF(AND(ISNUMBER(SnapshotTable[[#This Row],[SC Simple ROO]]),SnapshotTable[[#This Row],[SC Simple ROO]] &gt; 0), SnapshotTable[[#This Row],[SC Premium]] + (SnapshotTable[[#This Row],[SC Qty]] * SnapshotTable[[#This Row],[SC Upside Potential]]), "")</f>
        <v/>
      </c>
      <c r="FX151" s="280" t="str" cm="1">
        <f t="array" ref="FX151">IF(ISNUMBER(SnapshotTable[[#This Row],[SC Max Dollars]]), annualize(SnapshotTable[[#This Row],[SC Term]],(SnapshotTable[[#This Row],[SC Max Dollars]]/SnapshotTable[[#This Row],[SC Basis]])),"")</f>
        <v/>
      </c>
      <c r="FY151" s="221" t="str">
        <f>IF(AND(SnapshotTable[[#This Row],[SC Qty]]&gt;0,SnapshotTable[[#This Row],[SC Current Ask]]&gt;0), SnapshotTable[[#This Row],[SC Qty]] * SnapshotTable[[#This Row],[SC Current Ask]] * -100, "")</f>
        <v/>
      </c>
      <c r="FZ151" s="31" t="str">
        <f>IF(ISNUMBER((SnapshotTable[[#This Row],[SC Current Value]])), SnapshotTable[[#This Row],[SC Premium]] + SnapshotTable[[#This Row],[SC Current Value]], "")</f>
        <v/>
      </c>
      <c r="GA151" s="272" t="str">
        <f>IFERROR( IF(ISNUMBER((SnapshotTable[[#This Row],[SC Current Value]])), SnapshotTable[[#This Row],[SC Gain Loss]] / SnapshotTable[[#This Row],[SC Premium]], ""), "")</f>
        <v/>
      </c>
      <c r="GB151" s="193">
        <f>SnapshotTable[[#This Row],[Equity Shares]] * SaleSharesToConsiderPercentage</f>
        <v>0</v>
      </c>
      <c r="GC151" s="194">
        <f>SnapshotTable[[#This Row],[Long Term Target]] * SellingPriceToConsiderBasedOnTargetPercentage</f>
        <v>34.836500000000001</v>
      </c>
      <c r="GD151" s="194">
        <f>SnapshotTable[[#This Row],[Last Price]] * (1+ SellingPriceToConsiderBasedOnTargetPercentage)</f>
        <v>77.180999999999997</v>
      </c>
      <c r="GE151" s="195"/>
      <c r="GF151" s="194"/>
      <c r="GG151" s="31">
        <f>SnapshotTable[[#This Row],[Booked Sale Shares]] * SnapshotTable[[#This Row],[Booked Sale Price]]</f>
        <v>0</v>
      </c>
      <c r="GH151" s="31" t="str">
        <f>IF(SnapshotTable[[#This Row],[Equity Basis Total]] &gt; 0, SnapshotTable[[#This Row],[Equity Basis Per Share]] * SnapshotTable[[#This Row],[Booked Sale Shares]], "")</f>
        <v/>
      </c>
      <c r="GI151" s="31">
        <f>IF(SnapshotTable[[#This Row],[Sale Proceeds]]&gt;0, SnapshotTable[[#This Row],[Sale Proceeds]] - SnapshotTable[[#This Row],[Sale Basis]], 0)</f>
        <v>0</v>
      </c>
      <c r="GJ151" s="156" t="str">
        <f>IF(SnapshotTable[[#This Row],[Sale G/L]]&gt;0, SnapshotTable[[#This Row],[Sale G/L]] / SnapshotTable[[#This Row],[Sale Basis]], IF(ISNUMBER(SnapshotTable[[#This Row],[SC Exercise P&amp;L (TAX)]]), SnapshotTable[[#This Row],[SC Exercise P&amp;L (TAX)]] / SnapshotTable[[#This Row],[SC Basis]], ""))</f>
        <v/>
      </c>
      <c r="GK151" s="156" t="s">
        <v>575</v>
      </c>
      <c r="GL151" s="157" t="str">
        <f>IF(AND(SnapshotTable[[#This Row],[LP Exp Date]]&gt;0,SnapshotTable[[#This Row],[LP Strike Price]]&gt;0), [1]!ToOptionSymbol(SnapshotTable[[#This Row],[Symbol]], SnapshotTable[[#This Row],[LP Strike Price]],SnapshotTable[[#This Row],[LP Exp Date]],1), "")</f>
        <v/>
      </c>
      <c r="GM151" s="30" t="str">
        <f>IF(LEN(SnapshotTable[[#This Row],[LP Symbol]])&gt;0, 1, "")</f>
        <v/>
      </c>
      <c r="GN151" s="43" t="str">
        <f>IF(AND(SnapshotTable[[#This Row],[SP Exp Date]]&gt;0,SnapshotTable[[#This Row],[SP Strike Price]]&gt;0), [1]!ToOptionSymbol(SnapshotTable[[#This Row],[Symbol]], SnapshotTable[[#This Row],[SP Strike Price]],SnapshotTable[[#This Row],[SP Exp Date]],1), "")</f>
        <v/>
      </c>
      <c r="GO151" s="30" t="str">
        <f>IF(LEN(SnapshotTable[[#This Row],[SP Symbol]])&gt;0, 1, "")</f>
        <v/>
      </c>
      <c r="GP151" s="157" t="str">
        <f>IF(AND(SnapshotTable[[#This Row],[LC Exp Date]]&gt;0,SnapshotTable[[#This Row],[LC Strike Price]]&gt;0), [1]!ToOptionSymbol(SnapshotTable[[#This Row],[Symbol]], SnapshotTable[[#This Row],[LC Strike Price]],SnapshotTable[[#This Row],[LC Exp Date]],0), "")</f>
        <v/>
      </c>
      <c r="GQ151" s="158" t="str">
        <f>IF(LEN(SnapshotTable[[#This Row],[LC Symbol]])&gt;0, 1, "")</f>
        <v/>
      </c>
      <c r="GR151" s="157" t="str">
        <f>IF(AND(SnapshotTable[[#This Row],[SC Exp Date]]&gt;0,SnapshotTable[[#This Row],[SC Strike Price]]&gt;0), [1]!ToOptionSymbol(SnapshotTable[[#This Row],[Symbol]], SnapshotTable[[#This Row],[SC Strike Price]],SnapshotTable[[#This Row],[SC Exp Date]],0), "")</f>
        <v/>
      </c>
      <c r="GS151" s="158" t="str">
        <f>IF(LEN(SnapshotTable[[#This Row],[SC Symbol]])&gt;0, 1, "")</f>
        <v/>
      </c>
      <c r="GT151" s="159" t="str">
        <f>IF(COUNT(SnapshotTable[[#This Row],[LP Symbol Count]],SnapshotTable[[#This Row],[SP Symbol Count]],SnapshotTable[[#This Row],[LC Symbol Count]],SnapshotTable[[#This Row],[SC Symbol Count]])&gt;0, "Y", "")</f>
        <v/>
      </c>
      <c r="GU15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1" s="216">
        <f>MAX(SnapshotTable[[#This Row],[Equity Basis Total]],SnapshotTable[[#This Row],[Equity Value]]) + (SnapshotTable[[#This Row],[SP Potential Spend]]- SnapshotTable[[#This Row],[SP Premium]] + SnapshotTable[[#This Row],[LP Premium]])+ (SnapshotTable[[#This Row],[LC Premium]] - SnapshotTable[[#This Row],[SC Premium]])</f>
        <v>0</v>
      </c>
      <c r="GW151" s="137" t="str">
        <f>IF(AND(SnapshotTable[[#This Row],[Exposure]] &lt;&gt; 0),SnapshotTable[[#This Row],[Exposure]] / SnapshotTable[[#Totals],[Exposure]], "")</f>
        <v/>
      </c>
      <c r="HE151" s="253"/>
      <c r="HF151" s="253"/>
      <c r="HK151" s="1"/>
      <c r="HL151" s="1"/>
      <c r="HM151" s="1"/>
      <c r="HN151" s="1"/>
      <c r="HO151" s="1"/>
      <c r="HP151" s="1"/>
    </row>
    <row r="152" spans="2:224" ht="12.75" hidden="1" customHeight="1" x14ac:dyDescent="0.25">
      <c r="B152" s="12" t="s">
        <v>95</v>
      </c>
      <c r="C152" s="385">
        <v>144</v>
      </c>
      <c r="D152" s="200"/>
      <c r="E152" s="39">
        <f>SnapshotTable[[#This Row],[Last Price]]*(1 -CrashDiscount)</f>
        <v>122.39999999999999</v>
      </c>
      <c r="F152" s="26" t="s">
        <v>78</v>
      </c>
      <c r="G152" s="26" t="s">
        <v>24</v>
      </c>
      <c r="H152" s="147"/>
      <c r="I152" s="186">
        <v>44768.670138888891</v>
      </c>
      <c r="J152" s="187">
        <v>44768.670138888891</v>
      </c>
      <c r="K152" s="188"/>
      <c r="L152" s="297"/>
      <c r="M152" s="138"/>
      <c r="N152" s="138"/>
      <c r="O152" s="138">
        <v>3</v>
      </c>
      <c r="P152" s="22"/>
      <c r="Q152" s="25"/>
      <c r="R152" s="4" t="str">
        <f>IF(SnapshotTable[[#This Row],[Equity Basis Total]] &gt; 0, SnapshotTable[[#This Row],[Equity Basis Total]] / SnapshotTable[[#This Row],[Equity Shares]], "")</f>
        <v/>
      </c>
      <c r="S152" s="254">
        <f>SnapshotTable[[#This Row],[Last Price]] * SnapshotTable[[#This Row],[Equity Shares]]</f>
        <v>0</v>
      </c>
      <c r="T152" s="254">
        <f>SnapshotTable[[#This Row],[Equity Value]] - SnapshotTable[[#This Row],[Equity Basis Total]]</f>
        <v>0</v>
      </c>
      <c r="U152" s="255" t="str">
        <f>IF(SnapshotTable[[#This Row],[Equity Basis Total]] &gt; 0, SnapshotTable[[#This Row],[Equity G/L]] / SnapshotTable[[#This Row],[Equity Basis Total]], "")</f>
        <v/>
      </c>
      <c r="V152" s="253"/>
      <c r="W152" s="253"/>
      <c r="X152" s="4" t="str">
        <f>IF(AND(ISNUMBER(SnapshotTable[[#This Row],[Equity Basis Per Share]]),ISNUMBER(SnapshotTable[[#This Row],[Equity Target]])),SnapshotTable[[#This Row],[Equity Target]]-SnapshotTable[[#This Row],[Equity Basis Per Share]],"")</f>
        <v/>
      </c>
      <c r="Y152" s="4" t="str">
        <f>IF(AND(ISNUMBER(SnapshotTable[[#This Row],[Equity Basis Per Share]]),ISNUMBER(SnapshotTable[[#This Row],[Equity Stop Loss]])),SnapshotTable[[#This Row],[Equity Stop Loss]]-SnapshotTable[[#This Row],[Equity Basis Per Share]],"")</f>
        <v/>
      </c>
      <c r="Z152" s="260" t="str">
        <f>IFERROR( TEXT(SnapshotTable[[#This Row],[Equity Max Gain Per Share]] /ABS( SnapshotTable[[#This Row],[Equity Max Loss Per Share]]),"0.0 " ) &amp; " : 1", "")</f>
        <v/>
      </c>
      <c r="AA152" s="31" t="str">
        <f>IF(ISNUMBER(SnapshotTable[[#This Row],[Equity Max Gain Per Share]]),SnapshotTable[[#This Row],[Equity Max Gain Per Share]] * SnapshotTable[[#This Row],[Equity Shares]],"")</f>
        <v/>
      </c>
      <c r="AB152" s="31" t="str">
        <f>IF(ISNUMBER(SnapshotTable[[#This Row],[Equity Max Loss Per Share]]),SnapshotTable[[#This Row],[Equity Max Loss Per Share]] * SnapshotTable[[#This Row],[Equity Shares]],"")</f>
        <v/>
      </c>
      <c r="AC152" s="148">
        <v>0.67</v>
      </c>
      <c r="AD152" s="149">
        <v>42398</v>
      </c>
      <c r="AE152" s="31">
        <f>(SnapshotTable[[#This Row],[Annual Dividend Per Share]] / 4) * SnapshotTable[[#This Row],[Equity Shares]]</f>
        <v>0</v>
      </c>
      <c r="AF152" s="31">
        <f>SnapshotTable[[#This Row],[Quarterly Div $]] * 4</f>
        <v>0</v>
      </c>
      <c r="AG152" s="7">
        <f>IF(SnapshotTable[[#This Row],[Annual Dividend Per Share]]&gt;0, SnapshotTable[[#This Row],[Annual Dividend Per Share]]  / SnapshotTable[[#This Row],[Last Price]], 0)</f>
        <v>4.6527777777777782E-3</v>
      </c>
      <c r="AH152" s="149">
        <v>42380</v>
      </c>
      <c r="AI152" s="5"/>
      <c r="AJ152" s="136">
        <v>90</v>
      </c>
      <c r="AK152" s="150" t="str">
        <f>IF(ISNUMBER( SnapshotTable[[#This Row],[EBF Target]]),(SnapshotTable[[#This Row],[EBF Target]] - SnapshotTable[[#This Row],[Last Price]]) / SnapshotTable[[#This Row],[Last Price]], "")</f>
        <v/>
      </c>
      <c r="AL152" s="150" t="str">
        <f>IF(AND(SnapshotTable[[#This Row],[Equity Basis Total]] &gt; 0,ISNUMBER( SnapshotTable[[#This Row],[Long Term Target]])), SnapshotTable[[#This Row],[From Basis $]] / SnapshotTable[[#This Row],[Equity Basis Total]], "")</f>
        <v/>
      </c>
      <c r="AM152" s="9">
        <f>IF( AND(SnapshotTable[[#This Row],[Equity Shares]] &gt;0,ISNUMBER( SnapshotTable[[#This Row],[Long Term Target]])),(SnapshotTable[[#This Row],[Equity Shares]] * SnapshotTable[[#This Row],[Long Term Target]]) - SnapshotTable[[#This Row],[Equity Basis Total]],0)</f>
        <v>0</v>
      </c>
      <c r="AN152" s="9">
        <f>IF( AND(SnapshotTable[[#This Row],[Equity Shares]] &gt;0,ISNUMBER( SnapshotTable[[#This Row],[Long Term Target]])),(SnapshotTable[[#This Row],[Equity Shares]]*SnapshotTable[[#This Row],[Long Term Target]]) - SnapshotTable[[#This Row],[Equity Value]],0)</f>
        <v>0</v>
      </c>
      <c r="AO152" s="150">
        <f>IF(AND(ISNUMBER( SnapshotTable[[#This Row],[Long Term Target]]), ISNUMBER(SnapshotTable[[#This Row],[Last Price]])),(SnapshotTable[[#This Row],[Long Term Target]] - SnapshotTable[[#This Row],[Last Price]]) / SnapshotTable[[#This Row],[Last Price]], "")</f>
        <v>-0.375</v>
      </c>
      <c r="AP152" s="5"/>
      <c r="AQ152" s="38"/>
      <c r="AR152" s="5"/>
      <c r="AS152" s="38"/>
      <c r="AT152" s="144"/>
      <c r="AU152" s="185" t="str">
        <f>IF(OR(SnapshotTable[[#This Row],[LP No Fill]]="Y",SnapshotTable[[#This Row],[SP Is Filled]],SnapshotTable[[#This Row],[LC Not Filled]]="Y",SnapshotTable[[#This Row],[SC Is Filled]]),"Y","")</f>
        <v/>
      </c>
      <c r="AV152" s="205"/>
      <c r="AW152" s="211"/>
      <c r="AX152" s="206"/>
      <c r="AY152" s="205" t="str">
        <f>IF(SnapshotTable[[#This Row],[Implied Move]]&gt;0, SnapshotTable[[#This Row],[Last Price]]-SnapshotTable[[#This Row],[Implied Move]],"")</f>
        <v/>
      </c>
      <c r="AZ152" s="205" t="str">
        <f>IF(SnapshotTable[[#This Row],[Implied Move]]&gt;0, SnapshotTable[[#This Row],[Last Price]] + SnapshotTable[[#This Row],[Implied Move]],"")</f>
        <v/>
      </c>
      <c r="BA152" s="302"/>
      <c r="BB152" s="318"/>
      <c r="BC15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2" s="321"/>
      <c r="BE152" s="5"/>
      <c r="BF152" s="14"/>
      <c r="BG152" s="13"/>
      <c r="BH152" s="13"/>
      <c r="BI152" s="5"/>
      <c r="BJ152" s="134">
        <f>IF(SnapshotTable[[#This Row],[LP Qty]] &gt; 0, SnapshotTable[[#This Row],[LP Qty]] * SnapshotTable[[#This Row],[LP Book Price]] * 100,0)</f>
        <v>0</v>
      </c>
      <c r="BK152" s="134">
        <f>IF(SnapshotTable[[#This Row],[LP Premium]] &gt; 0, SnapshotTable[[#This Row],[LP Qty]] * SnapshotTable[[#This Row],[LP Strike Price]] * 100,0)</f>
        <v>0</v>
      </c>
      <c r="BL152" s="152"/>
      <c r="BM152" s="355" t="str">
        <f>IF(SnapshotTable[[#This Row],[LP Premium]] &gt; 0,SnapshotTable[[#This Row],[LP Exp Date]]-MAX(SnapshotTable[[#This Row],[LP Book Date]], SnapshotTable[[#This Row],[LP Fill Date]]),"")</f>
        <v/>
      </c>
      <c r="BN152" s="355" t="str">
        <f>IF(ISNUMBER( SnapshotTable[[#This Row],[LP Term]]), SnapshotTable[[#This Row],[LP Exp Date]] - MockToday,"")</f>
        <v/>
      </c>
      <c r="BO152" s="161" t="str">
        <f>IF(AND(SnapshotTable[[#This Row],[LP Exp Date]]&gt;0, SnapshotTable[[#This Row],[LP Strike Price]]&gt;0,SnapshotTable[[#This Row],[LP Qty]]&gt;0,SnapshotTable[[#This Row],[LP Book Date]]&gt;0,SnapshotTable[[#This Row],[LP Book Price]]&gt;0,SnapshotTable[[#This Row],[LP Fill Date]]=0),"Y","")</f>
        <v/>
      </c>
      <c r="BP152" s="31" t="str">
        <f>IF(AND(SnapshotTable[[#This Row],[LP No Fill]]&lt;&gt;"Y",SnapshotTable[[#This Row],[LP Contract Value]]&gt;0, SnapshotTable[[#This Row],[LP Qty]]&gt;0), SnapshotTable[[#This Row],[LP Contract Value]]*SnapshotTable[[#This Row],[LP Qty]]*100,"")</f>
        <v/>
      </c>
      <c r="BQ152" s="13"/>
      <c r="BR152" s="5"/>
      <c r="BS152" s="36"/>
      <c r="BT152" s="145"/>
      <c r="BU152" s="13"/>
      <c r="BV152" s="5"/>
      <c r="BW152" s="382" t="b">
        <f>AND(ISNUMBER(SnapshotTable[[#This Row],[SP Exp Date]]), ISNUMBER(SnapshotTable[[#This Row],[SP Strike Price]]), ISNUMBER(SnapshotTable[[#This Row],[SP Qty]]), ISNUMBER(SnapshotTable[[#This Row],[SP Book Date]]), ISNUMBER(SnapshotTable[[#This Row],[SP Book Price]]))</f>
        <v>0</v>
      </c>
      <c r="BX152" s="382" t="b">
        <f>AND(SnapshotTable[[#This Row],[SP Is Booked]], NOT(ISBLANK(SnapshotTable[[#This Row],[SP Fill Date]])))</f>
        <v>0</v>
      </c>
      <c r="BY152" s="33">
        <f>IF(SnapshotTable[[#This Row],[SP Is Booked]], SnapshotTable[[#This Row],[SP Qty]] * SnapshotTable[[#This Row],[SP Book Price]] * 100, 0)</f>
        <v>0</v>
      </c>
      <c r="BZ152" s="339"/>
      <c r="CA152" s="338">
        <f>SnapshotTable[[#This Row],[LP Qty]]</f>
        <v>0</v>
      </c>
      <c r="CB152" s="4" t="str">
        <f>IF(SnapshotTable[[#This Row],[SP Is Booked]], SnapshotTable[[#This Row],[SP Strike Price]] - SnapshotTable[[#This Row],[SP Book Price]], "")</f>
        <v/>
      </c>
      <c r="CC152" s="19" t="str">
        <f>IF(SnapshotTable[[#This Row],[SP Is Booked]],SnapshotTable[[#This Row],[SP Exp Date]]-MAX(SnapshotTable[[#This Row],[SP Book Date]], SnapshotTable[[#This Row],[SP Fill Date]]),"")</f>
        <v/>
      </c>
      <c r="CD152" s="7" t="str">
        <f>IF(SnapshotTable[[#This Row],[SP Is Booked]], SnapshotTable[[#This Row],[SP Book Price]]/SnapshotTable[[#This Row],[SP Strike Price]], "")</f>
        <v/>
      </c>
      <c r="CE152" s="7" t="str">
        <f>IF(ISNUMBER(SnapshotTable[[#This Row],[SP ROO Term]]),SnapshotTable[[#This Row],[SP ROO Term]]*(365/SnapshotTable[[#This Row],[SP Term]]),"")</f>
        <v/>
      </c>
      <c r="CF152" s="221">
        <f>SnapshotTable[[#This Row],[LP Strike Price]] * SnapshotTable[[#This Row],[LP Qty]] * 100</f>
        <v>0</v>
      </c>
      <c r="CG152" s="31">
        <f>IF(ISNUMBER(SnapshotTable[[#This Row],[SP Premium]]), (SnapshotTable[[#This Row],[SP Qty]] * SnapshotTable[[#This Row],[SP Strike Price]]* 100) - SnapshotTable[[#This Row],[LP Protection]], 0)</f>
        <v>0</v>
      </c>
      <c r="CH152" s="7" t="str">
        <f>IF(ISNUMBER(SnapshotTable[[#This Row],[SP Break Even]]),-1 * (SnapshotTable[[#This Row],[SP Break Even]] - SnapshotTable[[#This Row],[Last Price]]) / SnapshotTable[[#This Row],[Last Price]], "")</f>
        <v/>
      </c>
      <c r="CI152" s="31">
        <f>IF(AND(ISNUMBER((SnapshotTable[[#This Row],[SP Potential Spend]])), SnapshotTable[[#This Row],[SP Strike Price]] &gt; SnapshotTable[[#This Row],[Last Price]], SnapshotTable[[#This Row],[SP Is Filled]]), SnapshotTable[[#This Row],[SP Potential Spend]] -  SnapshotTable[[#This Row],[LP Max Value]], 0)</f>
        <v>0</v>
      </c>
      <c r="CJ152" s="229"/>
      <c r="CK152" s="31">
        <f>IF(ISNUMBER(SnapshotTable[[#This Row],[SP Potential Spend]]),IF(ISNUMBER(SnapshotTable[[#This Row],[SP POW]]), SnapshotTable[[#This Row],[SP POW]] * SnapshotTable[[#This Row],[SP Potential Spend]], SnapshotTable[[#This Row],[SP Potential Spend]]), "")</f>
        <v>0</v>
      </c>
      <c r="CL152" s="162">
        <f>IF(NOT(SnapshotTable[[#This Row],[SP Is Filled]]),(SnapshotTable[[#This Row],[SP Qty]] * SnapshotTable[[#This Row],[SP Strike Price]] * 100) - SnapshotTable[[#This Row],[LP Max Value]],"")</f>
        <v>0</v>
      </c>
      <c r="CM152" s="31" t="str">
        <f>IF(SnapshotTable[[#This Row],[SP Actual Spend]]&lt;&gt;0, ((SnapshotTable[[#This Row],[SP Strike Price]]-SnapshotTable[[#This Row],[Last Price]]) *(SnapshotTable[[#This Row],[SP Qty]]*100) - SnapshotTable[[#This Row],[SP Premium]]) * - 1, "")</f>
        <v/>
      </c>
      <c r="CN152" s="76"/>
      <c r="CO152" s="339"/>
      <c r="CP152" s="4" t="str">
        <f>IF(SnapshotTable[[#This Row],[SP Is Filled]], btc_max_buyback_amount(SnapshotTable[[#This Row],[SP Fill Date]],SnapshotTable[[#This Row],[SP Exp Date]], SnapshotTable[[#This Row],[SP Book Price]]),"")</f>
        <v/>
      </c>
      <c r="CQ152" s="76"/>
      <c r="CR15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2" s="153" t="str">
        <f>IF(SnapshotTable[[#This Row],[SP Is Filled]], btc_next_cutoff_date(SnapshotTable[[#This Row],[SP Fill Date]],SnapshotTable[[#This Row],[SP Exp Date]]),"")</f>
        <v/>
      </c>
      <c r="CT152" s="220" t="str" cm="1">
        <f t="array" ref="CT152">IF(SnapshotTable[[#This Row],[SP Is Filled]], btc_should_buy_back(SnapshotTable[[#This Row],[SP Fill Date]], SnapshotTable[[#This Row],[SP Exp Date]], SnapshotTable[[#This Row],[SP Book Price]], SnapshotTable[[#This Row],[SP Current Ask]], MockToday, SnapshotTable[[#This Row],[SP Buyback Override]]),"")</f>
        <v/>
      </c>
      <c r="CU152" s="141"/>
      <c r="CV152" s="220"/>
      <c r="CW152" s="348" t="str">
        <f>IF(ISNUMBER( SnapshotTable[[#This Row],[SP Term]]), SnapshotTable[[#This Row],[SP Exp Date]] - MockToday,"")</f>
        <v/>
      </c>
      <c r="CX152" s="31" t="str">
        <f>IF(SnapshotTable[[#This Row],[SP Is Filled]],SnapshotTable[[#This Row],[SP Buyback Price to Use]] * 100 * SnapshotTable[[#This Row],[SP Qty]], "")</f>
        <v/>
      </c>
      <c r="CY152" s="4" t="str">
        <f>IF(ISNUMBER(SnapshotTable[[#This Row],[SP Strike Price]]), SnapshotTable[[#This Row],[SP Strike Price]] * (1 - SP_MaxLoss_StrikePct), "")</f>
        <v/>
      </c>
      <c r="CZ152" s="31" t="str">
        <f>IF(ISNUMBER(SnapshotTable[[#This Row],[SP Strike  Stop Per Share]]),SnapshotTable[[#This Row],[SP Premium]] - ((SnapshotTable[[#This Row],[SP Strike Price]]-SnapshotTable[[#This Row],[SP Strike  Stop Per Share]]) *(SnapshotTable[[#This Row],[SP Qty]] * 100)),"")</f>
        <v/>
      </c>
      <c r="DA152" s="4" t="str">
        <f>IF(AND(ISNUMBER(SnapshotTable[[#This Row],[SP Premium]]),SnapshotTable[[#This Row],[SP Premium]]&gt;0), SnapshotTable[[#This Row],[SP Book Price]] * (1 + SP_MaxLoss_OptionPct), "")</f>
        <v/>
      </c>
      <c r="DB152" s="31" t="str">
        <f>IF(ISNUMBER(SnapshotTable[[#This Row],[SP Option  Stop Contract]]),(SnapshotTable[[#This Row],[SP Option  Stop Contract]] *(SnapshotTable[[#This Row],[SP Qty]] * 100) - SnapshotTable[[#This Row],[SP Premium]]),"")</f>
        <v/>
      </c>
      <c r="DC152" s="4"/>
      <c r="DD152" s="4"/>
      <c r="DE152" s="4" t="str">
        <f>IF(AND(SnapshotTable[[#This Row],[SP Qty]]&gt;0, SnapshotTable[[#This Row],[SP Stop To Use]]&gt;0),SnapshotTable[[#This Row],[SP Premium]] - ( SnapshotTable[[#This Row],[SP Qty]] * SnapshotTable[[#This Row],[SP Stop To Use]] * 100), "")</f>
        <v/>
      </c>
      <c r="DF152" s="31" t="str">
        <f>IF(AND(SnapshotTable[[#This Row],[SP Qty]]&gt;0,SnapshotTable[[#This Row],[SP Current Ask]]&gt;0), SnapshotTable[[#This Row],[SP Qty]] * SnapshotTable[[#This Row],[SP Current Ask]] * -100, "")</f>
        <v/>
      </c>
      <c r="DG152" s="31" t="str">
        <f>IF(ISNUMBER((SnapshotTable[[#This Row],[SP Total Value]])), SnapshotTable[[#This Row],[SP Premium]] + SnapshotTable[[#This Row],[SP Total Value]], "")</f>
        <v/>
      </c>
      <c r="DH152" s="272" t="str">
        <f>IF(ISNUMBER((SnapshotTable[[#This Row],[SP Total Value]])), SnapshotTable[[#This Row],[SP Gain Loss]] / SnapshotTable[[#This Row],[SP Premium]], "")</f>
        <v/>
      </c>
      <c r="DI152" s="369"/>
      <c r="DJ152" s="136"/>
      <c r="DK152" s="146"/>
      <c r="DL152" s="13"/>
      <c r="DM152" s="13"/>
      <c r="DO152" s="31">
        <f>IF(SnapshotTable[[#This Row],[LC Symbol Count]]=1, SnapshotTable[[#This Row],[LC Qty]] * SnapshotTable[[#This Row],[LC Book Price]] * 100, 0)</f>
        <v>0</v>
      </c>
      <c r="DP152" s="161" t="str">
        <f>IF(AND(SnapshotTable[[#This Row],[LC Exp Date]]&gt;0, SnapshotTable[[#This Row],[LC Strike Price]]&gt;0,SnapshotTable[[#This Row],[LC Qty]]&gt;0,SnapshotTable[[#This Row],[LC Book Date]]&gt;0,SnapshotTable[[#This Row],[LC Book Price]]&gt;0,SnapshotTable[[#This Row],[LC Fill Date]]=0),"Y","")</f>
        <v/>
      </c>
      <c r="DQ152" s="356" t="str">
        <f>IF(SnapshotTable[[#This Row],[LC Premium]] &gt; 0,SnapshotTable[[#This Row],[LC Exp Date]]-MAX(SnapshotTable[[#This Row],[LC Book Date]], SnapshotTable[[#This Row],[LC Fill Date]]),"")</f>
        <v/>
      </c>
      <c r="DR152" s="356" t="str">
        <f>IF(ISNUMBER(SnapshotTable[[#This Row],[LC Term]]), SnapshotTable[[#This Row],[LC Exp Date]] - MockToday, "")</f>
        <v/>
      </c>
      <c r="DS152" s="219" t="str">
        <f>IF(SnapshotTable[[#This Row],[LC Premium]]&gt;0,SnapshotTable[[#This Row],[LC Strike Price]] + SnapshotTable[[#This Row],[LC Book Price]],"")</f>
        <v/>
      </c>
      <c r="DU152" s="9" t="str">
        <f>IF(AND(SnapshotTable[[#This Row],[LC Symbol Count]]&gt;0, SnapshotTable[[#This Row],[LC Contract Value]]&gt;0), SnapshotTable[[#This Row],[LC Contract Value]] * SnapshotTable[[#This Row],[LC Qty]] * 100, "")</f>
        <v/>
      </c>
      <c r="DV152" s="9" t="str">
        <f>IF(AND(ISNUMBER(SnapshotTable[[#This Row],[LC Total Value]]), SnapshotTable[[#This Row],[LC Not Filled]]&lt;&gt;"Y"), SnapshotTable[[#This Row],[LC Total Value]]-SnapshotTable[[#This Row],[LC Premium]],"")</f>
        <v/>
      </c>
      <c r="DW152" s="225" t="str">
        <f>IF(ISNUMBER(SnapshotTable[[#This Row],[LC Actual Gain Loss]]), SnapshotTable[[#This Row],[LC Actual Gain Loss]] / SnapshotTable[[#This Row],[LC Premium]],"")</f>
        <v/>
      </c>
      <c r="DX152" s="269" t="str">
        <f>IF(ISNUMBER(SnapshotTable[[#This Row],[LC Book Price]]),SnapshotTable[[#This Row],[LC Book Price]] * 1.5,"")</f>
        <v/>
      </c>
      <c r="DY152" s="250" t="str">
        <f>IF(SnapshotTable[[#This Row],[LC Premium]]&gt;0, SnapshotTable[[#This Row],[LC Next Target]] * SnapshotTable[[#This Row],[LC Qty]] * 100,"")</f>
        <v/>
      </c>
      <c r="DZ152" s="250" t="str">
        <f>IF(ISNUMBER(SnapshotTable[[#This Row],[LC Target Gross]]), SnapshotTable[[#This Row],[LC Target Gross]] - SnapshotTable[[#This Row],[LC Premium]], "")</f>
        <v/>
      </c>
      <c r="EA152" s="283" t="str">
        <f>IF(ISNUMBER(SnapshotTable[[#This Row],[LC Target Gain Loss]]), SnapshotTable[[#This Row],[LC Target Gain Loss]]/SnapshotTable[[#This Row],[LC Premium]], "")</f>
        <v/>
      </c>
      <c r="EB152" s="247"/>
      <c r="EC152" s="268" t="str">
        <f>IF(SnapshotTable[[#This Row],[LC Premium]]&gt;0, SnapshotTable[[#This Row],[LC Book Price]] * (1 - LC_StopLoss_Pct),"")</f>
        <v/>
      </c>
      <c r="ED152" s="269"/>
      <c r="EE152" s="268" t="str">
        <f>IF(ISNUMBER(SnapshotTable[[#This Row],[LC Contract Value]]),IF(ISNUMBER(SnapshotTable[[#This Row],[LC Stop Loss Override]]), SnapshotTable[[#This Row],[LC Stop Loss Override]],SnapshotTable[[#This Row],[LC Stop Loss Calc Target]]),"")</f>
        <v/>
      </c>
      <c r="EF152" s="31" t="str">
        <f>IF(ISNUMBER(SnapshotTable[[#This Row],[LC Stop  To Use]]), (SnapshotTable[[#This Row],[LC Stop  To Use]] * SnapshotTable[[#This Row],[LC Qty]] * 100),"")</f>
        <v/>
      </c>
      <c r="EG152" s="9" t="str">
        <f>IF(ISNUMBER(SnapshotTable[[#This Row],[LC Total Value]]),SnapshotTable[[#This Row],[LC Stop Loss Amount]] - SnapshotTable[[#This Row],[LC Premium]],"")</f>
        <v/>
      </c>
      <c r="EH152" s="9">
        <f>IF(ISNUMBER(SnapshotTable[[#This Row],[LC Premium]]), SnapshotTable[[#This Row],[LC Qty]] * 100 * SnapshotTable[[#This Row],[LC Strike Price]], "")</f>
        <v>0</v>
      </c>
      <c r="EI152" s="225" t="str">
        <f>IF(AND(ISNUMBER(SnapshotTable[[#This Row],[LC Total Value]]),SnapshotTable[[#This Row],[LC Total Value]]&gt;0),SnapshotTable[[#This Row],[LC Stop Gain Loss]]  / SnapshotTable[[#This Row],[LC Premium]],"")</f>
        <v/>
      </c>
      <c r="EJ152" s="35">
        <f>IF(ISNUMBER(SnapshotTable[[#This Row],[Equity Shares]]),TRUNC(SnapshotTable[[#This Row],[Equity Shares]] / 100),0) + SnapshotTable[[#This Row],[LC Qty]]</f>
        <v>0</v>
      </c>
      <c r="EK152" s="145"/>
      <c r="EL152" s="136"/>
      <c r="EM152" s="146"/>
      <c r="EN152" s="145"/>
      <c r="EO152" s="145"/>
      <c r="EP152" s="136"/>
      <c r="EQ152" s="382" t="b">
        <f>AND(ISNUMBER(SnapshotTable[[#This Row],[SC Exp Date]]), ISNUMBER(SnapshotTable[[#This Row],[SC Strike Price]]), ISNUMBER(SnapshotTable[[#This Row],[SC Qty]]), ISNUMBER(SnapshotTable[[#This Row],[SC Book Date]]), ISNUMBER(SnapshotTable[[#This Row],[SC Book Price]]))</f>
        <v>0</v>
      </c>
      <c r="ER152" s="382" t="b">
        <f>AND(SnapshotTable[[#This Row],[SC Is Booked]], NOT(ISBLANK(SnapshotTable[[#This Row],[SC Fill Date]])))</f>
        <v>0</v>
      </c>
      <c r="ES152" s="340"/>
      <c r="ET152" s="34" t="str">
        <f>IF(AND(ISNUMBER(SnapshotTable[[#This Row],[SC Exp Date]]), ISNUMBER(SnapshotTable[[#This Row],[SC Book Date]])), SnapshotTable[[#This Row],[SC Exp Date]] - MAX(SnapshotTable[[#This Row],[SC Book Date]], SnapshotTable[[#This Row],[SC Fill Date]]) + 1, "")</f>
        <v/>
      </c>
      <c r="EU152" s="34" t="str">
        <f>IF(ISNUMBER(SnapshotTable[[#This Row],[SC Term]]), SnapshotTable[[#This Row],[SC Exp Date]]- MockToday, "")</f>
        <v/>
      </c>
      <c r="EV152" s="31">
        <f>IF(SnapshotTable[[#This Row],[SC Is Booked]], SnapshotTable[[#This Row],[SC Qty]] * SnapshotTable[[#This Row],[SC Book Price]] * 100, 0)</f>
        <v>0</v>
      </c>
      <c r="EW152" s="4" t="str">
        <f>IF(AND(ISNUMBER(SnapshotTable[[#This Row],[Last Price]]), ISNUMBER( SnapshotTable[[#This Row],[SC Book Price]])), SnapshotTable[[#This Row],[Last Price]] - SnapshotTable[[#This Row],[SC Book Price]],"")</f>
        <v/>
      </c>
      <c r="EX152" s="219" t="str">
        <f>IF(SnapshotTable[[#This Row],[SC Is Booked]],IF(SnapshotTable[[#This Row],[SC Intrinsic Value]] &gt; 0, SnapshotTable[[#This Row],[SC Strike Price]], SnapshotTable[[#This Row],[Last Price]]), "")</f>
        <v/>
      </c>
      <c r="EY152" s="4">
        <f>IF(SnapshotTable[[#This Row],[SC Is Booked]], (MinimumPremiumRequired * SnapshotTable[[#This Row],[SC Basis]] * SnapshotTable[[#This Row],[SC Term]]), 0)</f>
        <v>0</v>
      </c>
      <c r="EZ152" s="268"/>
      <c r="FA152" s="204"/>
      <c r="FB152" s="340"/>
      <c r="FC152" s="4">
        <f>IF(SnapshotTable[[#This Row],[SC Is Filled]], btc_max_buyback_amount(SnapshotTable[[#This Row],[SC Fill Date]],SnapshotTable[[#This Row],[SC Exp Date]], SnapshotTable[[#This Row],[SC Book Price]]),0)</f>
        <v>0</v>
      </c>
      <c r="FD152" s="5"/>
      <c r="FE152" s="142" t="str">
        <f>IF(SnapshotTable[[#This Row],[SC Is Filled]], btc_next_cutoff_date(SnapshotTable[[#This Row],[SC Fill Date]],SnapshotTable[[#This Row],[SC Exp Date]]),"")</f>
        <v/>
      </c>
      <c r="FF152" s="4" t="str" cm="1">
        <f t="array" ref="FF152">IF(SnapshotTable[[#This Row],[SC Is Filled]], btc_should_buy_back(SnapshotTable[[#This Row],[SC Fill Date]], SnapshotTable[[#This Row],[SC Exp Date]], SnapshotTable[[#This Row],[SC Book Price]], SnapshotTable[[#This Row],[SC Current Ask]], MockToday, SnapshotTable[[#This Row],[SC Buyback Override]]),"")</f>
        <v/>
      </c>
      <c r="FG152" s="4">
        <f>IF(SnapshotTable[[#This Row],[SC Is Filled]], MAX(0,SnapshotTable[[#This Row],[Last Price]]  - SnapshotTable[[#This Row],[SC Strike Price]]), 0)</f>
        <v>0</v>
      </c>
      <c r="FH152" s="352">
        <f>IF(SnapshotTable[[#This Row],[SC Is Filled]], IF(ISNUMBER(SnapshotTable[[#This Row],[SC Current Ask]]), SnapshotTable[[#This Row],[SC Current Ask]], SnapshotTable[[#This Row],[SC Book Price]]) - SnapshotTable[[#This Row],[SC Intrinsic Value]], 0)</f>
        <v>0</v>
      </c>
      <c r="FI152" s="141"/>
      <c r="FJ152" s="32" t="str">
        <f>IF(SnapshotTable[[#This Row],[SC Is Filled]],100 * SnapshotTable[[#This Row],[SC Qty]] * IF(ISNUMBER(SnapshotTable[[#This Row],[SC Buyback Override]]), SnapshotTable[[#This Row],[SC Buyback Override]], SnapshotTable[[#This Row],[SC Current Ask]]), "")</f>
        <v/>
      </c>
      <c r="FK152" s="235" t="str">
        <f>IF(SnapshotTable[[#This Row],[SC Time Val]]&gt;0, SnapshotTable[[#This Row],[SC Time Val]] / SnapshotTable[[#This Row],[Last Price]],"")</f>
        <v/>
      </c>
      <c r="FL152" s="280" t="str">
        <f>IF(SnapshotTable[[#This Row],[SC Is Booked]], ((SnapshotTable[[#This Row],[Last Price]] -SnapshotTable[[#This Row],[SC Strike Price]]) / SnapshotTable[[#This Row],[Last Price]]) * -1, "")</f>
        <v/>
      </c>
      <c r="FM152" s="155" t="str">
        <f>IF(SnapshotTable[[#This Row],[SC Is Booked]],  (SnapshotTable[[#This Row],[SC Qty]] * 100 * SnapshotTable[[#This Row],[SC Strike Price]]) - SnapshotTable[[#This Row],[SC Current Ask]], "")</f>
        <v/>
      </c>
      <c r="FN15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2" s="31" t="str">
        <f>IF(AND(ISNUMBER(SnapshotTable[[#This Row],[SC Exercise Gross]]), ISNUMBER(SnapshotTable[[#This Row],[Equity Basis Per Share]] )), SnapshotTable[[#This Row],[SC Exercise Gross]] - SnapshotTable[[#This Row],[Equity Basis Total]] +  SnapshotTable[[#This Row],[SC Premium]], "")</f>
        <v/>
      </c>
      <c r="FP152" s="5" t="str">
        <f>IF(ISNUMBER(SnapshotTable[[#This Row],[SC Exercise Gross]]), (SnapshotTable[[#This Row],[SC Exercise Gross]]) / (SnapshotTable[[#This Row],[SC Qty]] * 100), "")</f>
        <v/>
      </c>
      <c r="FQ152" s="27" t="str">
        <f>IF(SnapshotTable[[#This Row],[SC Is Booked]],SnapshotTable[[#This Row],[SC Time Val]] /SnapshotTable[[#This Row],[SC Basis]], "")</f>
        <v/>
      </c>
      <c r="FR152" s="27" t="str" cm="1">
        <f t="array" ref="FR152">IF(AND(ISNUMBER(SnapshotTable[[#This Row],[SC Term]]),ISNUMBER(SnapshotTable[[#This Row],[SC Simple ROO]])), EllmanAnnualize(SnapshotTable[[#This Row],[SC DTE]], SnapshotTable[[#This Row],[SC Simple ROO]] ),"")</f>
        <v/>
      </c>
      <c r="FS152" s="4">
        <f>IF(SnapshotTable[[#This Row],[SC Strike Price]] &gt; SnapshotTable[[#This Row],[Last Price]], SnapshotTable[[#This Row],[SC Strike Price]] - SnapshotTable[[#This Row],[Last Price]],0)</f>
        <v>0</v>
      </c>
      <c r="FT152" s="27" t="str">
        <f>IF(AND(ISNUMBER(SnapshotTable[[#This Row],[SC Upside Potential]]), SnapshotTable[[#This Row],[SC Upside Potential]] &gt; 0),(SnapshotTable[[#This Row],[SC Upside Potential]]/ SnapshotTable[[#This Row],[ACB]]),"")</f>
        <v/>
      </c>
      <c r="FU152" s="304" t="str">
        <f>IF(SnapshotTable[[#This Row],[SC Intrinsic Value]] &gt; 0,SnapshotTable[[#This Row],[SC Intrinsic Value]],"")</f>
        <v/>
      </c>
      <c r="FV152" s="27" t="str">
        <f>IF(AND( ISNUMBER( SnapshotTable[[#This Row],[ACB]]),ISNUMBER(SnapshotTable[[#This Row],[SC Downside Protect]])),SnapshotTable[[#This Row],[SC Downside Protect]] / SnapshotTable[[#This Row],[ACB]],"")</f>
        <v/>
      </c>
      <c r="FW152" s="221" t="str">
        <f>IF(AND(ISNUMBER(SnapshotTable[[#This Row],[SC Simple ROO]]),SnapshotTable[[#This Row],[SC Simple ROO]] &gt; 0), SnapshotTable[[#This Row],[SC Premium]] + (SnapshotTable[[#This Row],[SC Qty]] * SnapshotTable[[#This Row],[SC Upside Potential]]), "")</f>
        <v/>
      </c>
      <c r="FX152" s="280" t="str" cm="1">
        <f t="array" ref="FX152">IF(ISNUMBER(SnapshotTable[[#This Row],[SC Max Dollars]]), annualize(SnapshotTable[[#This Row],[SC Term]],(SnapshotTable[[#This Row],[SC Max Dollars]]/SnapshotTable[[#This Row],[SC Basis]])),"")</f>
        <v/>
      </c>
      <c r="FY152" s="221" t="str">
        <f>IF(AND(SnapshotTable[[#This Row],[SC Qty]]&gt;0,SnapshotTable[[#This Row],[SC Current Ask]]&gt;0), SnapshotTable[[#This Row],[SC Qty]] * SnapshotTable[[#This Row],[SC Current Ask]] * -100, "")</f>
        <v/>
      </c>
      <c r="FZ152" s="31" t="str">
        <f>IF(ISNUMBER((SnapshotTable[[#This Row],[SC Current Value]])), SnapshotTable[[#This Row],[SC Premium]] + SnapshotTable[[#This Row],[SC Current Value]], "")</f>
        <v/>
      </c>
      <c r="GA152" s="272" t="str">
        <f>IFERROR( IF(ISNUMBER((SnapshotTable[[#This Row],[SC Current Value]])), SnapshotTable[[#This Row],[SC Gain Loss]] / SnapshotTable[[#This Row],[SC Premium]], ""), "")</f>
        <v/>
      </c>
      <c r="GB152" s="42">
        <f>SnapshotTable[[#This Row],[Equity Shares]] * SaleSharesToConsiderPercentage</f>
        <v>0</v>
      </c>
      <c r="GC152" s="40">
        <f>SnapshotTable[[#This Row],[Long Term Target]] * SellingPriceToConsiderBasedOnTargetPercentage</f>
        <v>85.5</v>
      </c>
      <c r="GD152" s="40">
        <f>SnapshotTable[[#This Row],[Last Price]] * (1+ SellingPriceToConsiderBasedOnTargetPercentage)</f>
        <v>280.8</v>
      </c>
      <c r="GE152" s="41"/>
      <c r="GF152" s="40"/>
      <c r="GG152" s="31">
        <f>SnapshotTable[[#This Row],[Booked Sale Shares]] * SnapshotTable[[#This Row],[Booked Sale Price]]</f>
        <v>0</v>
      </c>
      <c r="GH152" s="31" t="str">
        <f>IF(SnapshotTable[[#This Row],[Equity Basis Total]] &gt; 0, SnapshotTable[[#This Row],[Equity Basis Per Share]] * SnapshotTable[[#This Row],[Booked Sale Shares]], "")</f>
        <v/>
      </c>
      <c r="GI152" s="31">
        <f>IF(SnapshotTable[[#This Row],[Sale Proceeds]]&gt;0, SnapshotTable[[#This Row],[Sale Proceeds]] - SnapshotTable[[#This Row],[Sale Basis]], 0)</f>
        <v>0</v>
      </c>
      <c r="GJ152" s="27" t="str">
        <f>IF(SnapshotTable[[#This Row],[Sale G/L]]&gt;0, SnapshotTable[[#This Row],[Sale G/L]] / SnapshotTable[[#This Row],[Sale Basis]], IF(ISNUMBER(SnapshotTable[[#This Row],[SC Exercise P&amp;L (TAX)]]), SnapshotTable[[#This Row],[SC Exercise P&amp;L (TAX)]] / SnapshotTable[[#This Row],[SC Basis]], ""))</f>
        <v/>
      </c>
      <c r="GK152" s="27" t="s">
        <v>576</v>
      </c>
      <c r="GL152" s="43" t="str">
        <f>IF(AND(SnapshotTable[[#This Row],[LP Exp Date]]&gt;0,SnapshotTable[[#This Row],[LP Strike Price]]&gt;0), [1]!ToOptionSymbol(SnapshotTable[[#This Row],[Symbol]], SnapshotTable[[#This Row],[LP Strike Price]],SnapshotTable[[#This Row],[LP Exp Date]],1), "")</f>
        <v/>
      </c>
      <c r="GM152" s="30" t="str">
        <f>IF(LEN(SnapshotTable[[#This Row],[LP Symbol]])&gt;0, 1, "")</f>
        <v/>
      </c>
      <c r="GN152" s="43" t="str">
        <f>IF(AND(SnapshotTable[[#This Row],[SP Exp Date]]&gt;0,SnapshotTable[[#This Row],[SP Strike Price]]&gt;0), [1]!ToOptionSymbol(SnapshotTable[[#This Row],[Symbol]], SnapshotTable[[#This Row],[SP Strike Price]],SnapshotTable[[#This Row],[SP Exp Date]],1), "")</f>
        <v/>
      </c>
      <c r="GO152" s="30" t="str">
        <f>IF(LEN(SnapshotTable[[#This Row],[SP Symbol]])&gt;0, 1, "")</f>
        <v/>
      </c>
      <c r="GP152" s="43" t="str">
        <f>IF(AND(SnapshotTable[[#This Row],[LC Exp Date]]&gt;0,SnapshotTable[[#This Row],[LC Strike Price]]&gt;0), [1]!ToOptionSymbol(SnapshotTable[[#This Row],[Symbol]], SnapshotTable[[#This Row],[LC Strike Price]],SnapshotTable[[#This Row],[LC Exp Date]],0), "")</f>
        <v/>
      </c>
      <c r="GQ152" s="30" t="str">
        <f>IF(LEN(SnapshotTable[[#This Row],[LC Symbol]])&gt;0, 1, "")</f>
        <v/>
      </c>
      <c r="GR152" s="43" t="str">
        <f>IF(AND(SnapshotTable[[#This Row],[SC Exp Date]]&gt;0,SnapshotTable[[#This Row],[SC Strike Price]]&gt;0), [1]!ToOptionSymbol(SnapshotTable[[#This Row],[Symbol]], SnapshotTable[[#This Row],[SC Strike Price]],SnapshotTable[[#This Row],[SC Exp Date]],0), "")</f>
        <v/>
      </c>
      <c r="GS152" s="30" t="str">
        <f>IF(LEN(SnapshotTable[[#This Row],[SC Symbol]])&gt;0, 1, "")</f>
        <v/>
      </c>
      <c r="GT152" s="29" t="str">
        <f>IF(COUNT(SnapshotTable[[#This Row],[LP Symbol Count]],SnapshotTable[[#This Row],[SP Symbol Count]],SnapshotTable[[#This Row],[LC Symbol Count]],SnapshotTable[[#This Row],[SC Symbol Count]])&gt;0, "Y", "")</f>
        <v/>
      </c>
      <c r="GU15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2" s="216">
        <f>MAX(SnapshotTable[[#This Row],[Equity Basis Total]],SnapshotTable[[#This Row],[Equity Value]]) + (SnapshotTable[[#This Row],[SP Potential Spend]]- SnapshotTable[[#This Row],[SP Premium]] + SnapshotTable[[#This Row],[LP Premium]])+ (SnapshotTable[[#This Row],[LC Premium]] - SnapshotTable[[#This Row],[SC Premium]])</f>
        <v>0</v>
      </c>
      <c r="GW152" s="137" t="str">
        <f>IF(AND(SnapshotTable[[#This Row],[Exposure]] &lt;&gt; 0),SnapshotTable[[#This Row],[Exposure]] / SnapshotTable[[#Totals],[Exposure]], "")</f>
        <v/>
      </c>
      <c r="HE152" s="253"/>
      <c r="HF152" s="253"/>
      <c r="HK152" s="1"/>
      <c r="HL152" s="1"/>
      <c r="HM152" s="1"/>
      <c r="HN152" s="1"/>
      <c r="HO152" s="1"/>
      <c r="HP152" s="1"/>
    </row>
    <row r="153" spans="2:224" ht="12.75" hidden="1" customHeight="1" x14ac:dyDescent="0.25">
      <c r="B153" s="12" t="s">
        <v>66</v>
      </c>
      <c r="C153" s="385">
        <v>8.19</v>
      </c>
      <c r="D153" s="200"/>
      <c r="E153" s="39">
        <f>SnapshotTable[[#This Row],[Last Price]]*(1 -CrashDiscount)</f>
        <v>6.9614999999999991</v>
      </c>
      <c r="F153" s="26" t="s">
        <v>65</v>
      </c>
      <c r="G153" s="26" t="s">
        <v>24</v>
      </c>
      <c r="H153" s="147"/>
      <c r="I153" s="186">
        <v>44768.670138888891</v>
      </c>
      <c r="J153" s="187">
        <v>44768.670138888891</v>
      </c>
      <c r="K153" s="188"/>
      <c r="L153" s="297"/>
      <c r="M153" s="138"/>
      <c r="N153" s="138"/>
      <c r="O153" s="138"/>
      <c r="P153" s="22"/>
      <c r="Q153" s="25"/>
      <c r="R153" s="4" t="str">
        <f>IF(SnapshotTable[[#This Row],[Equity Basis Total]] &gt; 0, SnapshotTable[[#This Row],[Equity Basis Total]] / SnapshotTable[[#This Row],[Equity Shares]], "")</f>
        <v/>
      </c>
      <c r="S153" s="254">
        <f>SnapshotTable[[#This Row],[Last Price]] * SnapshotTable[[#This Row],[Equity Shares]]</f>
        <v>0</v>
      </c>
      <c r="T153" s="254">
        <f>SnapshotTable[[#This Row],[Equity Value]] - SnapshotTable[[#This Row],[Equity Basis Total]]</f>
        <v>0</v>
      </c>
      <c r="U153" s="255" t="str">
        <f>IF(SnapshotTable[[#This Row],[Equity Basis Total]] &gt; 0, SnapshotTable[[#This Row],[Equity G/L]] / SnapshotTable[[#This Row],[Equity Basis Total]], "")</f>
        <v/>
      </c>
      <c r="V153" s="253"/>
      <c r="W153" s="253"/>
      <c r="X153" s="4" t="str">
        <f>IF(AND(ISNUMBER(SnapshotTable[[#This Row],[Equity Basis Per Share]]),ISNUMBER(SnapshotTable[[#This Row],[Equity Target]])),SnapshotTable[[#This Row],[Equity Target]]-SnapshotTable[[#This Row],[Equity Basis Per Share]],"")</f>
        <v/>
      </c>
      <c r="Y153" s="4" t="str">
        <f>IF(AND(ISNUMBER(SnapshotTable[[#This Row],[Equity Basis Per Share]]),ISNUMBER(SnapshotTable[[#This Row],[Equity Stop Loss]])),SnapshotTable[[#This Row],[Equity Stop Loss]]-SnapshotTable[[#This Row],[Equity Basis Per Share]],"")</f>
        <v/>
      </c>
      <c r="Z153" s="260" t="str">
        <f>IFERROR( TEXT(SnapshotTable[[#This Row],[Equity Max Gain Per Share]] /ABS( SnapshotTable[[#This Row],[Equity Max Loss Per Share]]),"0.0 " ) &amp; " : 1", "")</f>
        <v/>
      </c>
      <c r="AA153" s="31" t="str">
        <f>IF(ISNUMBER(SnapshotTable[[#This Row],[Equity Max Gain Per Share]]),SnapshotTable[[#This Row],[Equity Max Gain Per Share]] * SnapshotTable[[#This Row],[Equity Shares]],"")</f>
        <v/>
      </c>
      <c r="AB153" s="31" t="str">
        <f>IF(ISNUMBER(SnapshotTable[[#This Row],[Equity Max Loss Per Share]]),SnapshotTable[[#This Row],[Equity Max Loss Per Share]] * SnapshotTable[[#This Row],[Equity Shares]],"")</f>
        <v/>
      </c>
      <c r="AC153" s="148">
        <v>0.6</v>
      </c>
      <c r="AD153" s="149">
        <v>42356</v>
      </c>
      <c r="AE153" s="31">
        <f>(SnapshotTable[[#This Row],[Annual Dividend Per Share]] / 4) * SnapshotTable[[#This Row],[Equity Shares]]</f>
        <v>0</v>
      </c>
      <c r="AF153" s="31">
        <f>SnapshotTable[[#This Row],[Quarterly Div $]] * 4</f>
        <v>0</v>
      </c>
      <c r="AG153" s="7">
        <f>IF(SnapshotTable[[#This Row],[Annual Dividend Per Share]]&gt;0, SnapshotTable[[#This Row],[Annual Dividend Per Share]]  / SnapshotTable[[#This Row],[Last Price]], 0)</f>
        <v>7.3260073260073263E-2</v>
      </c>
      <c r="AH153" s="149">
        <v>42247</v>
      </c>
      <c r="AI153" s="5"/>
      <c r="AJ153" s="136">
        <v>20</v>
      </c>
      <c r="AK153" s="150" t="str">
        <f>IF(ISNUMBER( SnapshotTable[[#This Row],[EBF Target]]),(SnapshotTable[[#This Row],[EBF Target]] - SnapshotTable[[#This Row],[Last Price]]) / SnapshotTable[[#This Row],[Last Price]], "")</f>
        <v/>
      </c>
      <c r="AL153" s="150" t="str">
        <f>IF(AND(SnapshotTable[[#This Row],[Equity Basis Total]] &gt; 0,ISNUMBER( SnapshotTable[[#This Row],[Long Term Target]])), SnapshotTable[[#This Row],[From Basis $]] / SnapshotTable[[#This Row],[Equity Basis Total]], "")</f>
        <v/>
      </c>
      <c r="AM153" s="9">
        <f>IF( AND(SnapshotTable[[#This Row],[Equity Shares]] &gt;0,ISNUMBER( SnapshotTable[[#This Row],[Long Term Target]])),(SnapshotTable[[#This Row],[Equity Shares]] * SnapshotTable[[#This Row],[Long Term Target]]) - SnapshotTable[[#This Row],[Equity Basis Total]],0)</f>
        <v>0</v>
      </c>
      <c r="AN153" s="9">
        <f>IF( AND(SnapshotTable[[#This Row],[Equity Shares]] &gt;0,ISNUMBER( SnapshotTable[[#This Row],[Long Term Target]])),(SnapshotTable[[#This Row],[Equity Shares]]*SnapshotTable[[#This Row],[Long Term Target]]) - SnapshotTable[[#This Row],[Equity Value]],0)</f>
        <v>0</v>
      </c>
      <c r="AO153" s="150">
        <f>IF(AND(ISNUMBER( SnapshotTable[[#This Row],[Long Term Target]]), ISNUMBER(SnapshotTable[[#This Row],[Last Price]])),(SnapshotTable[[#This Row],[Long Term Target]] - SnapshotTable[[#This Row],[Last Price]]) / SnapshotTable[[#This Row],[Last Price]], "")</f>
        <v>1.4420024420024422</v>
      </c>
      <c r="AP153" s="5"/>
      <c r="AQ153" s="38"/>
      <c r="AR153" s="5"/>
      <c r="AS153" s="38"/>
      <c r="AT153" s="144"/>
      <c r="AU153" s="185" t="str">
        <f>IF(OR(SnapshotTable[[#This Row],[LP No Fill]]="Y",SnapshotTable[[#This Row],[SP Is Filled]],SnapshotTable[[#This Row],[LC Not Filled]]="Y",SnapshotTable[[#This Row],[SC Is Filled]]),"Y","")</f>
        <v/>
      </c>
      <c r="AV153" s="205"/>
      <c r="AW153" s="211"/>
      <c r="AX153" s="206"/>
      <c r="AY153" s="205" t="str">
        <f>IF(SnapshotTable[[#This Row],[Implied Move]]&gt;0, SnapshotTable[[#This Row],[Last Price]]-SnapshotTable[[#This Row],[Implied Move]],"")</f>
        <v/>
      </c>
      <c r="AZ153" s="205" t="str">
        <f>IF(SnapshotTable[[#This Row],[Implied Move]]&gt;0, SnapshotTable[[#This Row],[Last Price]] + SnapshotTable[[#This Row],[Implied Move]],"")</f>
        <v/>
      </c>
      <c r="BA153" s="302"/>
      <c r="BB153" s="318"/>
      <c r="BC15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3" s="321"/>
      <c r="BE153" s="5"/>
      <c r="BF153" s="14"/>
      <c r="BG153" s="13"/>
      <c r="BH153" s="13"/>
      <c r="BI153" s="5"/>
      <c r="BJ153" s="134">
        <f>IF(SnapshotTable[[#This Row],[LP Qty]] &gt; 0, SnapshotTable[[#This Row],[LP Qty]] * SnapshotTable[[#This Row],[LP Book Price]] * 100,0)</f>
        <v>0</v>
      </c>
      <c r="BK153" s="134">
        <f>IF(SnapshotTable[[#This Row],[LP Premium]] &gt; 0, SnapshotTable[[#This Row],[LP Qty]] * SnapshotTable[[#This Row],[LP Strike Price]] * 100,0)</f>
        <v>0</v>
      </c>
      <c r="BL153" s="152"/>
      <c r="BM153" s="355" t="str">
        <f>IF(SnapshotTable[[#This Row],[LP Premium]] &gt; 0,SnapshotTable[[#This Row],[LP Exp Date]]-MAX(SnapshotTable[[#This Row],[LP Book Date]], SnapshotTable[[#This Row],[LP Fill Date]]),"")</f>
        <v/>
      </c>
      <c r="BN153" s="355" t="str">
        <f>IF(ISNUMBER( SnapshotTable[[#This Row],[LP Term]]), SnapshotTable[[#This Row],[LP Exp Date]] - MockToday,"")</f>
        <v/>
      </c>
      <c r="BO153" s="161" t="str">
        <f>IF(AND(SnapshotTable[[#This Row],[LP Exp Date]]&gt;0, SnapshotTable[[#This Row],[LP Strike Price]]&gt;0,SnapshotTable[[#This Row],[LP Qty]]&gt;0,SnapshotTable[[#This Row],[LP Book Date]]&gt;0,SnapshotTable[[#This Row],[LP Book Price]]&gt;0,SnapshotTable[[#This Row],[LP Fill Date]]=0),"Y","")</f>
        <v/>
      </c>
      <c r="BP153" s="31" t="str">
        <f>IF(AND(SnapshotTable[[#This Row],[LP No Fill]]&lt;&gt;"Y",SnapshotTable[[#This Row],[LP Contract Value]]&gt;0, SnapshotTable[[#This Row],[LP Qty]]&gt;0), SnapshotTable[[#This Row],[LP Contract Value]]*SnapshotTable[[#This Row],[LP Qty]]*100,"")</f>
        <v/>
      </c>
      <c r="BQ153" s="13"/>
      <c r="BR153" s="5"/>
      <c r="BS153" s="36"/>
      <c r="BT153" s="145"/>
      <c r="BU153" s="13"/>
      <c r="BV153" s="5"/>
      <c r="BW153" s="382" t="b">
        <f>AND(ISNUMBER(SnapshotTable[[#This Row],[SP Exp Date]]), ISNUMBER(SnapshotTable[[#This Row],[SP Strike Price]]), ISNUMBER(SnapshotTable[[#This Row],[SP Qty]]), ISNUMBER(SnapshotTable[[#This Row],[SP Book Date]]), ISNUMBER(SnapshotTable[[#This Row],[SP Book Price]]))</f>
        <v>0</v>
      </c>
      <c r="BX153" s="382" t="b">
        <f>AND(SnapshotTable[[#This Row],[SP Is Booked]], NOT(ISBLANK(SnapshotTable[[#This Row],[SP Fill Date]])))</f>
        <v>0</v>
      </c>
      <c r="BY153" s="33">
        <f>IF(SnapshotTable[[#This Row],[SP Is Booked]], SnapshotTable[[#This Row],[SP Qty]] * SnapshotTable[[#This Row],[SP Book Price]] * 100, 0)</f>
        <v>0</v>
      </c>
      <c r="BZ153" s="339"/>
      <c r="CA153" s="338">
        <f>SnapshotTable[[#This Row],[LP Qty]]</f>
        <v>0</v>
      </c>
      <c r="CB153" s="4" t="str">
        <f>IF(SnapshotTable[[#This Row],[SP Is Booked]], SnapshotTable[[#This Row],[SP Strike Price]] - SnapshotTable[[#This Row],[SP Book Price]], "")</f>
        <v/>
      </c>
      <c r="CC153" s="19" t="str">
        <f>IF(SnapshotTable[[#This Row],[SP Is Booked]],SnapshotTable[[#This Row],[SP Exp Date]]-MAX(SnapshotTable[[#This Row],[SP Book Date]], SnapshotTable[[#This Row],[SP Fill Date]]),"")</f>
        <v/>
      </c>
      <c r="CD153" s="7" t="str">
        <f>IF(SnapshotTable[[#This Row],[SP Is Booked]], SnapshotTable[[#This Row],[SP Book Price]]/SnapshotTable[[#This Row],[SP Strike Price]], "")</f>
        <v/>
      </c>
      <c r="CE153" s="7" t="str">
        <f>IF(ISNUMBER(SnapshotTable[[#This Row],[SP ROO Term]]),SnapshotTable[[#This Row],[SP ROO Term]]*(365/SnapshotTable[[#This Row],[SP Term]]),"")</f>
        <v/>
      </c>
      <c r="CF153" s="221">
        <f>SnapshotTable[[#This Row],[LP Strike Price]] * SnapshotTable[[#This Row],[LP Qty]] * 100</f>
        <v>0</v>
      </c>
      <c r="CG153" s="31">
        <f>IF(ISNUMBER(SnapshotTable[[#This Row],[SP Premium]]), (SnapshotTable[[#This Row],[SP Qty]] * SnapshotTable[[#This Row],[SP Strike Price]]* 100) - SnapshotTable[[#This Row],[LP Protection]], 0)</f>
        <v>0</v>
      </c>
      <c r="CH153" s="7" t="str">
        <f>IF(ISNUMBER(SnapshotTable[[#This Row],[SP Break Even]]),-1 * (SnapshotTable[[#This Row],[SP Break Even]] - SnapshotTable[[#This Row],[Last Price]]) / SnapshotTable[[#This Row],[Last Price]], "")</f>
        <v/>
      </c>
      <c r="CI153" s="31">
        <f>IF(AND(ISNUMBER((SnapshotTable[[#This Row],[SP Potential Spend]])), SnapshotTable[[#This Row],[SP Strike Price]] &gt; SnapshotTable[[#This Row],[Last Price]], SnapshotTable[[#This Row],[SP Is Filled]]), SnapshotTable[[#This Row],[SP Potential Spend]] -  SnapshotTable[[#This Row],[LP Max Value]], 0)</f>
        <v>0</v>
      </c>
      <c r="CJ153" s="229"/>
      <c r="CK153" s="31">
        <f>IF(ISNUMBER(SnapshotTable[[#This Row],[SP Potential Spend]]),IF(ISNUMBER(SnapshotTable[[#This Row],[SP POW]]), SnapshotTable[[#This Row],[SP POW]] * SnapshotTable[[#This Row],[SP Potential Spend]], SnapshotTable[[#This Row],[SP Potential Spend]]), "")</f>
        <v>0</v>
      </c>
      <c r="CL153" s="162">
        <f>IF(NOT(SnapshotTable[[#This Row],[SP Is Filled]]),(SnapshotTable[[#This Row],[SP Qty]] * SnapshotTable[[#This Row],[SP Strike Price]] * 100) - SnapshotTable[[#This Row],[LP Max Value]],"")</f>
        <v>0</v>
      </c>
      <c r="CM153" s="31" t="str">
        <f>IF(SnapshotTable[[#This Row],[SP Actual Spend]]&lt;&gt;0, ((SnapshotTable[[#This Row],[SP Strike Price]]-SnapshotTable[[#This Row],[Last Price]]) *(SnapshotTable[[#This Row],[SP Qty]]*100) - SnapshotTable[[#This Row],[SP Premium]]) * - 1, "")</f>
        <v/>
      </c>
      <c r="CN153" s="76"/>
      <c r="CO153" s="339"/>
      <c r="CP153" s="4" t="str">
        <f>IF(SnapshotTable[[#This Row],[SP Is Filled]], btc_max_buyback_amount(SnapshotTable[[#This Row],[SP Fill Date]],SnapshotTable[[#This Row],[SP Exp Date]], SnapshotTable[[#This Row],[SP Book Price]]),"")</f>
        <v/>
      </c>
      <c r="CQ153" s="76"/>
      <c r="CR15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3" s="153" t="str">
        <f>IF(SnapshotTable[[#This Row],[SP Is Filled]], btc_next_cutoff_date(SnapshotTable[[#This Row],[SP Fill Date]],SnapshotTable[[#This Row],[SP Exp Date]]),"")</f>
        <v/>
      </c>
      <c r="CT153" s="220" t="str" cm="1">
        <f t="array" ref="CT153">IF(SnapshotTable[[#This Row],[SP Is Filled]], btc_should_buy_back(SnapshotTable[[#This Row],[SP Fill Date]], SnapshotTable[[#This Row],[SP Exp Date]], SnapshotTable[[#This Row],[SP Book Price]], SnapshotTable[[#This Row],[SP Current Ask]], MockToday, SnapshotTable[[#This Row],[SP Buyback Override]]),"")</f>
        <v/>
      </c>
      <c r="CU153" s="141"/>
      <c r="CV153" s="220"/>
      <c r="CW153" s="348" t="str">
        <f>IF(ISNUMBER( SnapshotTable[[#This Row],[SP Term]]), SnapshotTable[[#This Row],[SP Exp Date]] - MockToday,"")</f>
        <v/>
      </c>
      <c r="CX153" s="31" t="str">
        <f>IF(SnapshotTable[[#This Row],[SP Is Filled]],SnapshotTable[[#This Row],[SP Buyback Price to Use]] * 100 * SnapshotTable[[#This Row],[SP Qty]], "")</f>
        <v/>
      </c>
      <c r="CY153" s="4" t="str">
        <f>IF(ISNUMBER(SnapshotTable[[#This Row],[SP Strike Price]]), SnapshotTable[[#This Row],[SP Strike Price]] * (1 - SP_MaxLoss_StrikePct), "")</f>
        <v/>
      </c>
      <c r="CZ153" s="31" t="str">
        <f>IF(ISNUMBER(SnapshotTable[[#This Row],[SP Strike  Stop Per Share]]),SnapshotTable[[#This Row],[SP Premium]] - ((SnapshotTable[[#This Row],[SP Strike Price]]-SnapshotTable[[#This Row],[SP Strike  Stop Per Share]]) *(SnapshotTable[[#This Row],[SP Qty]] * 100)),"")</f>
        <v/>
      </c>
      <c r="DA153" s="4" t="str">
        <f>IF(AND(ISNUMBER(SnapshotTable[[#This Row],[SP Premium]]),SnapshotTable[[#This Row],[SP Premium]]&gt;0), SnapshotTable[[#This Row],[SP Book Price]] * (1 + SP_MaxLoss_OptionPct), "")</f>
        <v/>
      </c>
      <c r="DB153" s="31" t="str">
        <f>IF(ISNUMBER(SnapshotTable[[#This Row],[SP Option  Stop Contract]]),(SnapshotTable[[#This Row],[SP Option  Stop Contract]] *(SnapshotTable[[#This Row],[SP Qty]] * 100) - SnapshotTable[[#This Row],[SP Premium]]),"")</f>
        <v/>
      </c>
      <c r="DC153" s="4"/>
      <c r="DD153" s="4"/>
      <c r="DE153" s="4" t="str">
        <f>IF(AND(SnapshotTable[[#This Row],[SP Qty]]&gt;0, SnapshotTable[[#This Row],[SP Stop To Use]]&gt;0),SnapshotTable[[#This Row],[SP Premium]] - ( SnapshotTable[[#This Row],[SP Qty]] * SnapshotTable[[#This Row],[SP Stop To Use]] * 100), "")</f>
        <v/>
      </c>
      <c r="DF153" s="31" t="str">
        <f>IF(AND(SnapshotTable[[#This Row],[SP Qty]]&gt;0,SnapshotTable[[#This Row],[SP Current Ask]]&gt;0), SnapshotTable[[#This Row],[SP Qty]] * SnapshotTable[[#This Row],[SP Current Ask]] * -100, "")</f>
        <v/>
      </c>
      <c r="DG153" s="31" t="str">
        <f>IF(ISNUMBER((SnapshotTable[[#This Row],[SP Total Value]])), SnapshotTable[[#This Row],[SP Premium]] + SnapshotTable[[#This Row],[SP Total Value]], "")</f>
        <v/>
      </c>
      <c r="DH153" s="272" t="str">
        <f>IF(ISNUMBER((SnapshotTable[[#This Row],[SP Total Value]])), SnapshotTable[[#This Row],[SP Gain Loss]] / SnapshotTable[[#This Row],[SP Premium]], "")</f>
        <v/>
      </c>
      <c r="DI153" s="369"/>
      <c r="DJ153" s="136"/>
      <c r="DK153" s="146"/>
      <c r="DL153" s="13"/>
      <c r="DM153" s="13"/>
      <c r="DO153" s="31">
        <f>IF(SnapshotTable[[#This Row],[LC Symbol Count]]=1, SnapshotTable[[#This Row],[LC Qty]] * SnapshotTable[[#This Row],[LC Book Price]] * 100, 0)</f>
        <v>0</v>
      </c>
      <c r="DP153" s="161" t="str">
        <f>IF(AND(SnapshotTable[[#This Row],[LC Exp Date]]&gt;0, SnapshotTable[[#This Row],[LC Strike Price]]&gt;0,SnapshotTable[[#This Row],[LC Qty]]&gt;0,SnapshotTable[[#This Row],[LC Book Date]]&gt;0,SnapshotTable[[#This Row],[LC Book Price]]&gt;0,SnapshotTable[[#This Row],[LC Fill Date]]=0),"Y","")</f>
        <v/>
      </c>
      <c r="DQ153" s="356" t="str">
        <f>IF(SnapshotTable[[#This Row],[LC Premium]] &gt; 0,SnapshotTable[[#This Row],[LC Exp Date]]-MAX(SnapshotTable[[#This Row],[LC Book Date]], SnapshotTable[[#This Row],[LC Fill Date]]),"")</f>
        <v/>
      </c>
      <c r="DR153" s="356" t="str">
        <f>IF(ISNUMBER(SnapshotTable[[#This Row],[LC Term]]), SnapshotTable[[#This Row],[LC Exp Date]] - MockToday, "")</f>
        <v/>
      </c>
      <c r="DS153" s="219" t="str">
        <f>IF(SnapshotTable[[#This Row],[LC Premium]]&gt;0,SnapshotTable[[#This Row],[LC Strike Price]] + SnapshotTable[[#This Row],[LC Book Price]],"")</f>
        <v/>
      </c>
      <c r="DU153" s="9" t="str">
        <f>IF(AND(SnapshotTable[[#This Row],[LC Symbol Count]]&gt;0, SnapshotTable[[#This Row],[LC Contract Value]]&gt;0), SnapshotTable[[#This Row],[LC Contract Value]] * SnapshotTable[[#This Row],[LC Qty]] * 100, "")</f>
        <v/>
      </c>
      <c r="DV153" s="9" t="str">
        <f>IF(AND(ISNUMBER(SnapshotTable[[#This Row],[LC Total Value]]), SnapshotTable[[#This Row],[LC Not Filled]]&lt;&gt;"Y"), SnapshotTable[[#This Row],[LC Total Value]]-SnapshotTable[[#This Row],[LC Premium]],"")</f>
        <v/>
      </c>
      <c r="DW153" s="225" t="str">
        <f>IF(ISNUMBER(SnapshotTable[[#This Row],[LC Actual Gain Loss]]), SnapshotTable[[#This Row],[LC Actual Gain Loss]] / SnapshotTable[[#This Row],[LC Premium]],"")</f>
        <v/>
      </c>
      <c r="DX153" s="269" t="str">
        <f>IF(ISNUMBER(SnapshotTable[[#This Row],[LC Book Price]]),SnapshotTable[[#This Row],[LC Book Price]] * 1.5,"")</f>
        <v/>
      </c>
      <c r="DY153" s="250" t="str">
        <f>IF(SnapshotTable[[#This Row],[LC Premium]]&gt;0, SnapshotTable[[#This Row],[LC Next Target]] * SnapshotTable[[#This Row],[LC Qty]] * 100,"")</f>
        <v/>
      </c>
      <c r="DZ153" s="250" t="str">
        <f>IF(ISNUMBER(SnapshotTable[[#This Row],[LC Target Gross]]), SnapshotTable[[#This Row],[LC Target Gross]] - SnapshotTable[[#This Row],[LC Premium]], "")</f>
        <v/>
      </c>
      <c r="EA153" s="283" t="str">
        <f>IF(ISNUMBER(SnapshotTable[[#This Row],[LC Target Gain Loss]]), SnapshotTable[[#This Row],[LC Target Gain Loss]]/SnapshotTable[[#This Row],[LC Premium]], "")</f>
        <v/>
      </c>
      <c r="EB153" s="247"/>
      <c r="EC153" s="268" t="str">
        <f>IF(SnapshotTable[[#This Row],[LC Premium]]&gt;0, SnapshotTable[[#This Row],[LC Book Price]] * (1 - LC_StopLoss_Pct),"")</f>
        <v/>
      </c>
      <c r="ED153" s="269"/>
      <c r="EE153" s="268" t="str">
        <f>IF(ISNUMBER(SnapshotTable[[#This Row],[LC Contract Value]]),IF(ISNUMBER(SnapshotTable[[#This Row],[LC Stop Loss Override]]), SnapshotTable[[#This Row],[LC Stop Loss Override]],SnapshotTable[[#This Row],[LC Stop Loss Calc Target]]),"")</f>
        <v/>
      </c>
      <c r="EF153" s="31" t="str">
        <f>IF(ISNUMBER(SnapshotTable[[#This Row],[LC Stop  To Use]]), (SnapshotTable[[#This Row],[LC Stop  To Use]] * SnapshotTable[[#This Row],[LC Qty]] * 100),"")</f>
        <v/>
      </c>
      <c r="EG153" s="9" t="str">
        <f>IF(ISNUMBER(SnapshotTable[[#This Row],[LC Total Value]]),SnapshotTable[[#This Row],[LC Stop Loss Amount]] - SnapshotTable[[#This Row],[LC Premium]],"")</f>
        <v/>
      </c>
      <c r="EH153" s="9">
        <f>IF(ISNUMBER(SnapshotTable[[#This Row],[LC Premium]]), SnapshotTable[[#This Row],[LC Qty]] * 100 * SnapshotTable[[#This Row],[LC Strike Price]], "")</f>
        <v>0</v>
      </c>
      <c r="EI153" s="225" t="str">
        <f>IF(AND(ISNUMBER(SnapshotTable[[#This Row],[LC Total Value]]),SnapshotTable[[#This Row],[LC Total Value]]&gt;0),SnapshotTable[[#This Row],[LC Stop Gain Loss]]  / SnapshotTable[[#This Row],[LC Premium]],"")</f>
        <v/>
      </c>
      <c r="EJ153" s="35">
        <f>IF(ISNUMBER(SnapshotTable[[#This Row],[Equity Shares]]),TRUNC(SnapshotTable[[#This Row],[Equity Shares]] / 100),0) + SnapshotTable[[#This Row],[LC Qty]]</f>
        <v>0</v>
      </c>
      <c r="EK153" s="145"/>
      <c r="EL153" s="136"/>
      <c r="EM153" s="146"/>
      <c r="EN153" s="145"/>
      <c r="EO153" s="145"/>
      <c r="EP153" s="136"/>
      <c r="EQ153" s="382" t="b">
        <f>AND(ISNUMBER(SnapshotTable[[#This Row],[SC Exp Date]]), ISNUMBER(SnapshotTable[[#This Row],[SC Strike Price]]), ISNUMBER(SnapshotTable[[#This Row],[SC Qty]]), ISNUMBER(SnapshotTable[[#This Row],[SC Book Date]]), ISNUMBER(SnapshotTable[[#This Row],[SC Book Price]]))</f>
        <v>0</v>
      </c>
      <c r="ER153" s="382" t="b">
        <f>AND(SnapshotTable[[#This Row],[SC Is Booked]], NOT(ISBLANK(SnapshotTable[[#This Row],[SC Fill Date]])))</f>
        <v>0</v>
      </c>
      <c r="ES153" s="340"/>
      <c r="ET153" s="34" t="str">
        <f>IF(AND(ISNUMBER(SnapshotTable[[#This Row],[SC Exp Date]]), ISNUMBER(SnapshotTable[[#This Row],[SC Book Date]])), SnapshotTable[[#This Row],[SC Exp Date]] - MAX(SnapshotTable[[#This Row],[SC Book Date]], SnapshotTable[[#This Row],[SC Fill Date]]) + 1, "")</f>
        <v/>
      </c>
      <c r="EU153" s="34" t="str">
        <f>IF(ISNUMBER(SnapshotTable[[#This Row],[SC Term]]), SnapshotTable[[#This Row],[SC Exp Date]]- MockToday, "")</f>
        <v/>
      </c>
      <c r="EV153" s="31">
        <f>IF(SnapshotTable[[#This Row],[SC Is Booked]], SnapshotTable[[#This Row],[SC Qty]] * SnapshotTable[[#This Row],[SC Book Price]] * 100, 0)</f>
        <v>0</v>
      </c>
      <c r="EW153" s="4" t="str">
        <f>IF(AND(ISNUMBER(SnapshotTable[[#This Row],[Last Price]]), ISNUMBER( SnapshotTable[[#This Row],[SC Book Price]])), SnapshotTable[[#This Row],[Last Price]] - SnapshotTable[[#This Row],[SC Book Price]],"")</f>
        <v/>
      </c>
      <c r="EX153" s="219" t="str">
        <f>IF(SnapshotTable[[#This Row],[SC Is Booked]],IF(SnapshotTable[[#This Row],[SC Intrinsic Value]] &gt; 0, SnapshotTable[[#This Row],[SC Strike Price]], SnapshotTable[[#This Row],[Last Price]]), "")</f>
        <v/>
      </c>
      <c r="EY153" s="4">
        <f>IF(SnapshotTable[[#This Row],[SC Is Booked]], (MinimumPremiumRequired * SnapshotTable[[#This Row],[SC Basis]] * SnapshotTable[[#This Row],[SC Term]]), 0)</f>
        <v>0</v>
      </c>
      <c r="EZ153" s="268"/>
      <c r="FA153" s="204"/>
      <c r="FB153" s="340"/>
      <c r="FC153" s="4">
        <f>IF(SnapshotTable[[#This Row],[SC Is Filled]], btc_max_buyback_amount(SnapshotTable[[#This Row],[SC Fill Date]],SnapshotTable[[#This Row],[SC Exp Date]], SnapshotTable[[#This Row],[SC Book Price]]),0)</f>
        <v>0</v>
      </c>
      <c r="FD153" s="5"/>
      <c r="FE153" s="142" t="str">
        <f>IF(SnapshotTable[[#This Row],[SC Is Filled]], btc_next_cutoff_date(SnapshotTable[[#This Row],[SC Fill Date]],SnapshotTable[[#This Row],[SC Exp Date]]),"")</f>
        <v/>
      </c>
      <c r="FF153" s="4" t="str" cm="1">
        <f t="array" ref="FF153">IF(SnapshotTable[[#This Row],[SC Is Filled]], btc_should_buy_back(SnapshotTable[[#This Row],[SC Fill Date]], SnapshotTable[[#This Row],[SC Exp Date]], SnapshotTable[[#This Row],[SC Book Price]], SnapshotTable[[#This Row],[SC Current Ask]], MockToday, SnapshotTable[[#This Row],[SC Buyback Override]]),"")</f>
        <v/>
      </c>
      <c r="FG153" s="4">
        <f>IF(SnapshotTable[[#This Row],[SC Is Filled]], MAX(0,SnapshotTable[[#This Row],[Last Price]]  - SnapshotTable[[#This Row],[SC Strike Price]]), 0)</f>
        <v>0</v>
      </c>
      <c r="FH153" s="352">
        <f>IF(SnapshotTable[[#This Row],[SC Is Filled]], IF(ISNUMBER(SnapshotTable[[#This Row],[SC Current Ask]]), SnapshotTable[[#This Row],[SC Current Ask]], SnapshotTable[[#This Row],[SC Book Price]]) - SnapshotTable[[#This Row],[SC Intrinsic Value]], 0)</f>
        <v>0</v>
      </c>
      <c r="FI153" s="141"/>
      <c r="FJ153" s="32" t="str">
        <f>IF(SnapshotTable[[#This Row],[SC Is Filled]],100 * SnapshotTable[[#This Row],[SC Qty]] * IF(ISNUMBER(SnapshotTable[[#This Row],[SC Buyback Override]]), SnapshotTable[[#This Row],[SC Buyback Override]], SnapshotTable[[#This Row],[SC Current Ask]]), "")</f>
        <v/>
      </c>
      <c r="FK153" s="235" t="str">
        <f>IF(SnapshotTable[[#This Row],[SC Time Val]]&gt;0, SnapshotTable[[#This Row],[SC Time Val]] / SnapshotTable[[#This Row],[Last Price]],"")</f>
        <v/>
      </c>
      <c r="FL153" s="280" t="str">
        <f>IF(SnapshotTable[[#This Row],[SC Is Booked]], ((SnapshotTable[[#This Row],[Last Price]] -SnapshotTable[[#This Row],[SC Strike Price]]) / SnapshotTable[[#This Row],[Last Price]]) * -1, "")</f>
        <v/>
      </c>
      <c r="FM153" s="155" t="str">
        <f>IF(SnapshotTable[[#This Row],[SC Is Booked]],  (SnapshotTable[[#This Row],[SC Qty]] * 100 * SnapshotTable[[#This Row],[SC Strike Price]]) - SnapshotTable[[#This Row],[SC Current Ask]], "")</f>
        <v/>
      </c>
      <c r="FN15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3" s="31" t="str">
        <f>IF(AND(ISNUMBER(SnapshotTable[[#This Row],[SC Exercise Gross]]), ISNUMBER(SnapshotTable[[#This Row],[Equity Basis Per Share]] )), SnapshotTable[[#This Row],[SC Exercise Gross]] - SnapshotTable[[#This Row],[Equity Basis Total]] +  SnapshotTable[[#This Row],[SC Premium]], "")</f>
        <v/>
      </c>
      <c r="FP153" s="5" t="str">
        <f>IF(ISNUMBER(SnapshotTable[[#This Row],[SC Exercise Gross]]), (SnapshotTable[[#This Row],[SC Exercise Gross]]) / (SnapshotTable[[#This Row],[SC Qty]] * 100), "")</f>
        <v/>
      </c>
      <c r="FQ153" s="27" t="str">
        <f>IF(SnapshotTable[[#This Row],[SC Is Booked]],SnapshotTable[[#This Row],[SC Time Val]] /SnapshotTable[[#This Row],[SC Basis]], "")</f>
        <v/>
      </c>
      <c r="FR153" s="27" t="str" cm="1">
        <f t="array" ref="FR153">IF(AND(ISNUMBER(SnapshotTable[[#This Row],[SC Term]]),ISNUMBER(SnapshotTable[[#This Row],[SC Simple ROO]])), EllmanAnnualize(SnapshotTable[[#This Row],[SC DTE]], SnapshotTable[[#This Row],[SC Simple ROO]] ),"")</f>
        <v/>
      </c>
      <c r="FS153" s="4">
        <f>IF(SnapshotTable[[#This Row],[SC Strike Price]] &gt; SnapshotTable[[#This Row],[Last Price]], SnapshotTable[[#This Row],[SC Strike Price]] - SnapshotTable[[#This Row],[Last Price]],0)</f>
        <v>0</v>
      </c>
      <c r="FT153" s="27" t="str">
        <f>IF(AND(ISNUMBER(SnapshotTable[[#This Row],[SC Upside Potential]]), SnapshotTable[[#This Row],[SC Upside Potential]] &gt; 0),(SnapshotTable[[#This Row],[SC Upside Potential]]/ SnapshotTable[[#This Row],[ACB]]),"")</f>
        <v/>
      </c>
      <c r="FU153" s="304" t="str">
        <f>IF(SnapshotTable[[#This Row],[SC Intrinsic Value]] &gt; 0,SnapshotTable[[#This Row],[SC Intrinsic Value]],"")</f>
        <v/>
      </c>
      <c r="FV153" s="27" t="str">
        <f>IF(AND( ISNUMBER( SnapshotTable[[#This Row],[ACB]]),ISNUMBER(SnapshotTable[[#This Row],[SC Downside Protect]])),SnapshotTable[[#This Row],[SC Downside Protect]] / SnapshotTable[[#This Row],[ACB]],"")</f>
        <v/>
      </c>
      <c r="FW153" s="221" t="str">
        <f>IF(AND(ISNUMBER(SnapshotTable[[#This Row],[SC Simple ROO]]),SnapshotTable[[#This Row],[SC Simple ROO]] &gt; 0), SnapshotTable[[#This Row],[SC Premium]] + (SnapshotTable[[#This Row],[SC Qty]] * SnapshotTable[[#This Row],[SC Upside Potential]]), "")</f>
        <v/>
      </c>
      <c r="FX153" s="280" t="str" cm="1">
        <f t="array" ref="FX153">IF(ISNUMBER(SnapshotTable[[#This Row],[SC Max Dollars]]), annualize(SnapshotTable[[#This Row],[SC Term]],(SnapshotTable[[#This Row],[SC Max Dollars]]/SnapshotTable[[#This Row],[SC Basis]])),"")</f>
        <v/>
      </c>
      <c r="FY153" s="221" t="str">
        <f>IF(AND(SnapshotTable[[#This Row],[SC Qty]]&gt;0,SnapshotTable[[#This Row],[SC Current Ask]]&gt;0), SnapshotTable[[#This Row],[SC Qty]] * SnapshotTable[[#This Row],[SC Current Ask]] * -100, "")</f>
        <v/>
      </c>
      <c r="FZ153" s="31" t="str">
        <f>IF(ISNUMBER((SnapshotTable[[#This Row],[SC Current Value]])), SnapshotTable[[#This Row],[SC Premium]] + SnapshotTable[[#This Row],[SC Current Value]], "")</f>
        <v/>
      </c>
      <c r="GA153" s="272" t="str">
        <f>IFERROR( IF(ISNUMBER((SnapshotTable[[#This Row],[SC Current Value]])), SnapshotTable[[#This Row],[SC Gain Loss]] / SnapshotTable[[#This Row],[SC Premium]], ""), "")</f>
        <v/>
      </c>
      <c r="GB153" s="42">
        <f>SnapshotTable[[#This Row],[Equity Shares]] * SaleSharesToConsiderPercentage</f>
        <v>0</v>
      </c>
      <c r="GC153" s="40">
        <f>SnapshotTable[[#This Row],[Long Term Target]] * SellingPriceToConsiderBasedOnTargetPercentage</f>
        <v>19</v>
      </c>
      <c r="GD153" s="40">
        <f>SnapshotTable[[#This Row],[Last Price]] * (1+ SellingPriceToConsiderBasedOnTargetPercentage)</f>
        <v>15.970499999999999</v>
      </c>
      <c r="GE153" s="41"/>
      <c r="GF153" s="40">
        <v>57.88</v>
      </c>
      <c r="GG153" s="31">
        <f>SnapshotTable[[#This Row],[Booked Sale Shares]] * SnapshotTable[[#This Row],[Booked Sale Price]]</f>
        <v>0</v>
      </c>
      <c r="GH153" s="31" t="str">
        <f>IF(SnapshotTable[[#This Row],[Equity Basis Total]] &gt; 0, SnapshotTable[[#This Row],[Equity Basis Per Share]] * SnapshotTable[[#This Row],[Booked Sale Shares]], "")</f>
        <v/>
      </c>
      <c r="GI153" s="31">
        <f>IF(SnapshotTable[[#This Row],[Sale Proceeds]]&gt;0, SnapshotTable[[#This Row],[Sale Proceeds]] - SnapshotTable[[#This Row],[Sale Basis]], 0)</f>
        <v>0</v>
      </c>
      <c r="GJ153" s="27" t="str">
        <f>IF(SnapshotTable[[#This Row],[Sale G/L]]&gt;0, SnapshotTable[[#This Row],[Sale G/L]] / SnapshotTable[[#This Row],[Sale Basis]], IF(ISNUMBER(SnapshotTable[[#This Row],[SC Exercise P&amp;L (TAX)]]), SnapshotTable[[#This Row],[SC Exercise P&amp;L (TAX)]] / SnapshotTable[[#This Row],[SC Basis]], ""))</f>
        <v/>
      </c>
      <c r="GK153" s="27" t="s">
        <v>577</v>
      </c>
      <c r="GL153" s="43" t="str">
        <f>IF(AND(SnapshotTable[[#This Row],[LP Exp Date]]&gt;0,SnapshotTable[[#This Row],[LP Strike Price]]&gt;0), [1]!ToOptionSymbol(SnapshotTable[[#This Row],[Symbol]], SnapshotTable[[#This Row],[LP Strike Price]],SnapshotTable[[#This Row],[LP Exp Date]],1), "")</f>
        <v/>
      </c>
      <c r="GM153" s="30" t="str">
        <f>IF(LEN(SnapshotTable[[#This Row],[LP Symbol]])&gt;0, 1, "")</f>
        <v/>
      </c>
      <c r="GN153" s="43" t="str">
        <f>IF(AND(SnapshotTable[[#This Row],[SP Exp Date]]&gt;0,SnapshotTable[[#This Row],[SP Strike Price]]&gt;0), [1]!ToOptionSymbol(SnapshotTable[[#This Row],[Symbol]], SnapshotTable[[#This Row],[SP Strike Price]],SnapshotTable[[#This Row],[SP Exp Date]],1), "")</f>
        <v/>
      </c>
      <c r="GO153" s="30" t="str">
        <f>IF(LEN(SnapshotTable[[#This Row],[SP Symbol]])&gt;0, 1, "")</f>
        <v/>
      </c>
      <c r="GP153" s="43" t="str">
        <f>IF(AND(SnapshotTable[[#This Row],[LC Exp Date]]&gt;0,SnapshotTable[[#This Row],[LC Strike Price]]&gt;0), [1]!ToOptionSymbol(SnapshotTable[[#This Row],[Symbol]], SnapshotTable[[#This Row],[LC Strike Price]],SnapshotTable[[#This Row],[LC Exp Date]],0), "")</f>
        <v/>
      </c>
      <c r="GQ153" s="30" t="str">
        <f>IF(LEN(SnapshotTable[[#This Row],[LC Symbol]])&gt;0, 1, "")</f>
        <v/>
      </c>
      <c r="GR153" s="43" t="str">
        <f>IF(AND(SnapshotTable[[#This Row],[SC Exp Date]]&gt;0,SnapshotTable[[#This Row],[SC Strike Price]]&gt;0), [1]!ToOptionSymbol(SnapshotTable[[#This Row],[Symbol]], SnapshotTable[[#This Row],[SC Strike Price]],SnapshotTable[[#This Row],[SC Exp Date]],0), "")</f>
        <v/>
      </c>
      <c r="GS153" s="30" t="str">
        <f>IF(LEN(SnapshotTable[[#This Row],[SC Symbol]])&gt;0, 1, "")</f>
        <v/>
      </c>
      <c r="GT153" s="29" t="str">
        <f>IF(COUNT(SnapshotTable[[#This Row],[LP Symbol Count]],SnapshotTable[[#This Row],[SP Symbol Count]],SnapshotTable[[#This Row],[LC Symbol Count]],SnapshotTable[[#This Row],[SC Symbol Count]])&gt;0, "Y", "")</f>
        <v/>
      </c>
      <c r="GU15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3" s="216">
        <f>MAX(SnapshotTable[[#This Row],[Equity Basis Total]],SnapshotTable[[#This Row],[Equity Value]]) + (SnapshotTable[[#This Row],[SP Potential Spend]]- SnapshotTable[[#This Row],[SP Premium]] + SnapshotTable[[#This Row],[LP Premium]])+ (SnapshotTable[[#This Row],[LC Premium]] - SnapshotTable[[#This Row],[SC Premium]])</f>
        <v>0</v>
      </c>
      <c r="GW153" s="137" t="str">
        <f>IF(AND(SnapshotTable[[#This Row],[Exposure]] &lt;&gt; 0),SnapshotTable[[#This Row],[Exposure]] / SnapshotTable[[#Totals],[Exposure]], "")</f>
        <v/>
      </c>
      <c r="HE153" s="253"/>
      <c r="HF153" s="253"/>
      <c r="HK153" s="1"/>
      <c r="HL153" s="1"/>
      <c r="HM153" s="1"/>
      <c r="HN153" s="1"/>
      <c r="HO153" s="1"/>
      <c r="HP153" s="1"/>
    </row>
    <row r="154" spans="2:224" ht="12.75" hidden="1" customHeight="1" x14ac:dyDescent="0.25">
      <c r="B154" s="12" t="s">
        <v>773</v>
      </c>
      <c r="C154" s="385">
        <v>18.329999999999998</v>
      </c>
      <c r="D154" s="200" t="s">
        <v>467</v>
      </c>
      <c r="E154" s="39">
        <f>SnapshotTable[[#This Row],[Last Price]]*(1 -CrashDiscount)</f>
        <v>15.580499999999999</v>
      </c>
      <c r="F154" s="26" t="s">
        <v>774</v>
      </c>
      <c r="G154" s="26" t="s">
        <v>493</v>
      </c>
      <c r="H154" s="147"/>
      <c r="I154" s="186">
        <v>44768.670138888891</v>
      </c>
      <c r="J154" s="187">
        <v>44768.670138888891</v>
      </c>
      <c r="K154" s="188"/>
      <c r="L154" s="297"/>
      <c r="M154" s="138"/>
      <c r="N154" s="138"/>
      <c r="O154" s="138"/>
      <c r="P154" s="22"/>
      <c r="Q154" s="25"/>
      <c r="R154" s="4" t="str">
        <f>IF(SnapshotTable[[#This Row],[Equity Basis Total]] &gt; 0, SnapshotTable[[#This Row],[Equity Basis Total]] / SnapshotTable[[#This Row],[Equity Shares]], "")</f>
        <v/>
      </c>
      <c r="S154" s="254">
        <f>SnapshotTable[[#This Row],[Last Price]] * SnapshotTable[[#This Row],[Equity Shares]]</f>
        <v>0</v>
      </c>
      <c r="T154" s="254">
        <f>SnapshotTable[[#This Row],[Equity Value]] - SnapshotTable[[#This Row],[Equity Basis Total]]</f>
        <v>0</v>
      </c>
      <c r="U154" s="255" t="str">
        <f>IF(SnapshotTable[[#This Row],[Equity Basis Total]] &gt; 0, SnapshotTable[[#This Row],[Equity G/L]] / SnapshotTable[[#This Row],[Equity Basis Total]], "")</f>
        <v/>
      </c>
      <c r="V154" s="253">
        <v>28.44</v>
      </c>
      <c r="W154" s="253"/>
      <c r="X154" s="4" t="str">
        <f>IF(AND(ISNUMBER(SnapshotTable[[#This Row],[Equity Basis Per Share]]),ISNUMBER(SnapshotTable[[#This Row],[Equity Target]])),SnapshotTable[[#This Row],[Equity Target]]-SnapshotTable[[#This Row],[Equity Basis Per Share]],"")</f>
        <v/>
      </c>
      <c r="Y154" s="4" t="str">
        <f>IF(AND(ISNUMBER(SnapshotTable[[#This Row],[Equity Basis Per Share]]),ISNUMBER(SnapshotTable[[#This Row],[Equity Stop Loss]])),SnapshotTable[[#This Row],[Equity Stop Loss]]-SnapshotTable[[#This Row],[Equity Basis Per Share]],"")</f>
        <v/>
      </c>
      <c r="Z154" s="260" t="str">
        <f>IFERROR( TEXT(SnapshotTable[[#This Row],[Equity Max Gain Per Share]] /ABS( SnapshotTable[[#This Row],[Equity Max Loss Per Share]]),"0.0 " ) &amp; " : 1", "")</f>
        <v/>
      </c>
      <c r="AA154" s="31" t="str">
        <f>IF(ISNUMBER(SnapshotTable[[#This Row],[Equity Max Gain Per Share]]),SnapshotTable[[#This Row],[Equity Max Gain Per Share]] * SnapshotTable[[#This Row],[Equity Shares]],"")</f>
        <v/>
      </c>
      <c r="AB154" s="31" t="str">
        <f>IF(ISNUMBER(SnapshotTable[[#This Row],[Equity Max Loss Per Share]]),SnapshotTable[[#This Row],[Equity Max Loss Per Share]] * SnapshotTable[[#This Row],[Equity Shares]],"")</f>
        <v/>
      </c>
      <c r="AC154" s="148"/>
      <c r="AD154" s="149"/>
      <c r="AE154" s="31">
        <f>(SnapshotTable[[#This Row],[Annual Dividend Per Share]] / 4) * SnapshotTable[[#This Row],[Equity Shares]]</f>
        <v>0</v>
      </c>
      <c r="AF154" s="31">
        <f>SnapshotTable[[#This Row],[Quarterly Div $]] * 4</f>
        <v>0</v>
      </c>
      <c r="AG154" s="7">
        <f>IF(SnapshotTable[[#This Row],[Annual Dividend Per Share]]&gt;0, SnapshotTable[[#This Row],[Annual Dividend Per Share]]  / SnapshotTable[[#This Row],[Last Price]], 0)</f>
        <v>0</v>
      </c>
      <c r="AH154" s="149"/>
      <c r="AI154" s="5"/>
      <c r="AJ154" s="136">
        <v>34</v>
      </c>
      <c r="AK154" s="150" t="str">
        <f>IF(ISNUMBER( SnapshotTable[[#This Row],[EBF Target]]),(SnapshotTable[[#This Row],[EBF Target]] - SnapshotTable[[#This Row],[Last Price]]) / SnapshotTable[[#This Row],[Last Price]], "")</f>
        <v/>
      </c>
      <c r="AL154" s="150" t="str">
        <f>IF(AND(SnapshotTable[[#This Row],[Equity Basis Total]] &gt; 0,ISNUMBER( SnapshotTable[[#This Row],[Long Term Target]])), SnapshotTable[[#This Row],[From Basis $]] / SnapshotTable[[#This Row],[Equity Basis Total]], "")</f>
        <v/>
      </c>
      <c r="AM154" s="9">
        <f>IF( AND(SnapshotTable[[#This Row],[Equity Shares]] &gt;0,ISNUMBER( SnapshotTable[[#This Row],[Long Term Target]])),(SnapshotTable[[#This Row],[Equity Shares]] * SnapshotTable[[#This Row],[Long Term Target]]) - SnapshotTable[[#This Row],[Equity Basis Total]],0)</f>
        <v>0</v>
      </c>
      <c r="AN154" s="9">
        <f>IF( AND(SnapshotTable[[#This Row],[Equity Shares]] &gt;0,ISNUMBER( SnapshotTable[[#This Row],[Long Term Target]])),(SnapshotTable[[#This Row],[Equity Shares]]*SnapshotTable[[#This Row],[Long Term Target]]) - SnapshotTable[[#This Row],[Equity Value]],0)</f>
        <v>0</v>
      </c>
      <c r="AO154" s="150">
        <f>IF(AND(ISNUMBER( SnapshotTable[[#This Row],[Long Term Target]]), ISNUMBER(SnapshotTable[[#This Row],[Last Price]])),(SnapshotTable[[#This Row],[Long Term Target]] - SnapshotTable[[#This Row],[Last Price]]) / SnapshotTable[[#This Row],[Last Price]], "")</f>
        <v>0.85488270594653593</v>
      </c>
      <c r="AP154" s="5">
        <v>28.44</v>
      </c>
      <c r="AQ154" s="38" t="s">
        <v>59</v>
      </c>
      <c r="AR154" s="5">
        <v>26.88</v>
      </c>
      <c r="AS154" s="38" t="s">
        <v>19</v>
      </c>
      <c r="AT154" s="144"/>
      <c r="AU154" s="185" t="str">
        <f>IF(OR(SnapshotTable[[#This Row],[LP No Fill]]="Y",SnapshotTable[[#This Row],[SP Is Filled]],SnapshotTable[[#This Row],[LC Not Filled]]="Y",SnapshotTable[[#This Row],[SC Is Filled]]),"Y","")</f>
        <v/>
      </c>
      <c r="AV154" s="205"/>
      <c r="AW154" s="211"/>
      <c r="AX154" s="206"/>
      <c r="AY154" s="205" t="str">
        <f>IF(SnapshotTable[[#This Row],[Implied Move]]&gt;0, SnapshotTable[[#This Row],[Last Price]]-SnapshotTable[[#This Row],[Implied Move]],"")</f>
        <v/>
      </c>
      <c r="AZ154" s="205" t="str">
        <f>IF(SnapshotTable[[#This Row],[Implied Move]]&gt;0, SnapshotTable[[#This Row],[Last Price]] + SnapshotTable[[#This Row],[Implied Move]],"")</f>
        <v/>
      </c>
      <c r="BA154" s="302">
        <v>26.17</v>
      </c>
      <c r="BB154" s="318" t="s">
        <v>785</v>
      </c>
      <c r="BC154" s="37"/>
      <c r="BD154" s="321"/>
      <c r="BE154" s="5"/>
      <c r="BF154" s="14"/>
      <c r="BG154" s="13"/>
      <c r="BH154" s="13"/>
      <c r="BI154" s="5"/>
      <c r="BJ154" s="134">
        <f>IF(SnapshotTable[[#This Row],[LP Qty]] &gt; 0, SnapshotTable[[#This Row],[LP Qty]] * SnapshotTable[[#This Row],[LP Book Price]] * 100,0)</f>
        <v>0</v>
      </c>
      <c r="BK154" s="134">
        <f>IF(SnapshotTable[[#This Row],[LP Premium]] &gt; 0, SnapshotTable[[#This Row],[LP Qty]] * SnapshotTable[[#This Row],[LP Strike Price]] * 100,0)</f>
        <v>0</v>
      </c>
      <c r="BL154" s="152"/>
      <c r="BM154" s="355" t="str">
        <f>IF(SnapshotTable[[#This Row],[LP Premium]] &gt; 0,SnapshotTable[[#This Row],[LP Exp Date]]-MAX(SnapshotTable[[#This Row],[LP Book Date]], SnapshotTable[[#This Row],[LP Fill Date]]),"")</f>
        <v/>
      </c>
      <c r="BN154" s="355" t="str">
        <f>IF(ISNUMBER( SnapshotTable[[#This Row],[LP Term]]), SnapshotTable[[#This Row],[LP Exp Date]] - MockToday,"")</f>
        <v/>
      </c>
      <c r="BO154" s="161" t="str">
        <f>IF(AND(SnapshotTable[[#This Row],[LP Exp Date]]&gt;0, SnapshotTable[[#This Row],[LP Strike Price]]&gt;0,SnapshotTable[[#This Row],[LP Qty]]&gt;0,SnapshotTable[[#This Row],[LP Book Date]]&gt;0,SnapshotTable[[#This Row],[LP Book Price]]&gt;0,SnapshotTable[[#This Row],[LP Fill Date]]=0),"Y","")</f>
        <v/>
      </c>
      <c r="BP154" s="31"/>
      <c r="BQ154" s="13"/>
      <c r="BR154" s="5"/>
      <c r="BS154" s="36"/>
      <c r="BT154" s="145"/>
      <c r="BU154" s="13"/>
      <c r="BV154" s="5"/>
      <c r="BW154" s="382" t="b">
        <f>AND(ISNUMBER(SnapshotTable[[#This Row],[SP Exp Date]]), ISNUMBER(SnapshotTable[[#This Row],[SP Strike Price]]), ISNUMBER(SnapshotTable[[#This Row],[SP Qty]]), ISNUMBER(SnapshotTable[[#This Row],[SP Book Date]]), ISNUMBER(SnapshotTable[[#This Row],[SP Book Price]]))</f>
        <v>0</v>
      </c>
      <c r="BX154" s="382" t="b">
        <f>AND(SnapshotTable[[#This Row],[SP Is Booked]], NOT(ISBLANK(SnapshotTable[[#This Row],[SP Fill Date]])))</f>
        <v>0</v>
      </c>
      <c r="BY154" s="33">
        <f>IF(SnapshotTable[[#This Row],[SP Is Booked]], SnapshotTable[[#This Row],[SP Qty]] * SnapshotTable[[#This Row],[SP Book Price]] * 100, 0)</f>
        <v>0</v>
      </c>
      <c r="BZ154" s="339"/>
      <c r="CA154" s="338">
        <f>SnapshotTable[[#This Row],[LP Qty]]</f>
        <v>0</v>
      </c>
      <c r="CB154" s="4" t="str">
        <f>IF(SnapshotTable[[#This Row],[SP Is Booked]], SnapshotTable[[#This Row],[SP Strike Price]] - SnapshotTable[[#This Row],[SP Book Price]], "")</f>
        <v/>
      </c>
      <c r="CC154" s="19" t="str">
        <f>IF(SnapshotTable[[#This Row],[SP Is Booked]],SnapshotTable[[#This Row],[SP Exp Date]]-MAX(SnapshotTable[[#This Row],[SP Book Date]], SnapshotTable[[#This Row],[SP Fill Date]]),"")</f>
        <v/>
      </c>
      <c r="CD154" s="7" t="str">
        <f>IF(SnapshotTable[[#This Row],[SP Is Booked]], SnapshotTable[[#This Row],[SP Book Price]]/SnapshotTable[[#This Row],[SP Strike Price]], "")</f>
        <v/>
      </c>
      <c r="CE154" s="7" t="str">
        <f>IF(ISNUMBER(SnapshotTable[[#This Row],[SP ROO Term]]),SnapshotTable[[#This Row],[SP ROO Term]]*(365/SnapshotTable[[#This Row],[SP Term]]),"")</f>
        <v/>
      </c>
      <c r="CF154" s="221">
        <f>SnapshotTable[[#This Row],[LP Strike Price]] * SnapshotTable[[#This Row],[LP Qty]] * 100</f>
        <v>0</v>
      </c>
      <c r="CG154" s="31">
        <f>IF(ISNUMBER(SnapshotTable[[#This Row],[SP Premium]]), (SnapshotTable[[#This Row],[SP Qty]] * SnapshotTable[[#This Row],[SP Strike Price]]* 100) - SnapshotTable[[#This Row],[LP Protection]], 0)</f>
        <v>0</v>
      </c>
      <c r="CH154" s="7" t="str">
        <f>IF(ISNUMBER(SnapshotTable[[#This Row],[SP Break Even]]),-1 * (SnapshotTable[[#This Row],[SP Break Even]] - SnapshotTable[[#This Row],[Last Price]]) / SnapshotTable[[#This Row],[Last Price]], "")</f>
        <v/>
      </c>
      <c r="CI154" s="31">
        <f>IF(AND(ISNUMBER((SnapshotTable[[#This Row],[SP Potential Spend]])), SnapshotTable[[#This Row],[SP Strike Price]] &gt; SnapshotTable[[#This Row],[Last Price]], SnapshotTable[[#This Row],[SP Is Filled]]), SnapshotTable[[#This Row],[SP Potential Spend]] -  SnapshotTable[[#This Row],[LP Max Value]], 0)</f>
        <v>0</v>
      </c>
      <c r="CJ154" s="229"/>
      <c r="CK154" s="31">
        <f>IF(ISNUMBER(SnapshotTable[[#This Row],[SP Potential Spend]]),IF(ISNUMBER(SnapshotTable[[#This Row],[SP POW]]), SnapshotTable[[#This Row],[SP POW]] * SnapshotTable[[#This Row],[SP Potential Spend]], SnapshotTable[[#This Row],[SP Potential Spend]]), "")</f>
        <v>0</v>
      </c>
      <c r="CL154" s="162">
        <f>IF(NOT(SnapshotTable[[#This Row],[SP Is Filled]]),(SnapshotTable[[#This Row],[SP Qty]] * SnapshotTable[[#This Row],[SP Strike Price]] * 100) - SnapshotTable[[#This Row],[LP Max Value]],"")</f>
        <v>0</v>
      </c>
      <c r="CM154" s="31" t="str">
        <f>IF(SnapshotTable[[#This Row],[SP Actual Spend]]&lt;&gt;0, ((SnapshotTable[[#This Row],[SP Strike Price]]-SnapshotTable[[#This Row],[Last Price]]) *(SnapshotTable[[#This Row],[SP Qty]]*100) - SnapshotTable[[#This Row],[SP Premium]]) * - 1, "")</f>
        <v/>
      </c>
      <c r="CN154" s="76"/>
      <c r="CO154" s="339"/>
      <c r="CP154" s="4" t="str">
        <f>IF(SnapshotTable[[#This Row],[SP Is Filled]], btc_max_buyback_amount(SnapshotTable[[#This Row],[SP Fill Date]],SnapshotTable[[#This Row],[SP Exp Date]], SnapshotTable[[#This Row],[SP Book Price]]),"")</f>
        <v/>
      </c>
      <c r="CQ154" s="76"/>
      <c r="CR15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4" s="153" t="str">
        <f>IF(SnapshotTable[[#This Row],[SP Is Filled]], btc_next_cutoff_date(SnapshotTable[[#This Row],[SP Fill Date]],SnapshotTable[[#This Row],[SP Exp Date]]),"")</f>
        <v/>
      </c>
      <c r="CT154" s="220" t="str" cm="1">
        <f t="array" ref="CT154">IF(SnapshotTable[[#This Row],[SP Is Filled]], btc_should_buy_back(SnapshotTable[[#This Row],[SP Fill Date]], SnapshotTable[[#This Row],[SP Exp Date]], SnapshotTable[[#This Row],[SP Book Price]], SnapshotTable[[#This Row],[SP Current Ask]], MockToday, SnapshotTable[[#This Row],[SP Buyback Override]]),"")</f>
        <v/>
      </c>
      <c r="CU154" s="141"/>
      <c r="CV154" s="220"/>
      <c r="CW154" s="348" t="str">
        <f>IF(ISNUMBER( SnapshotTable[[#This Row],[SP Term]]), SnapshotTable[[#This Row],[SP Exp Date]] - MockToday,"")</f>
        <v/>
      </c>
      <c r="CX154" s="31" t="str">
        <f>IF(SnapshotTable[[#This Row],[SP Is Filled]],SnapshotTable[[#This Row],[SP Buyback Price to Use]] * 100 * SnapshotTable[[#This Row],[SP Qty]], "")</f>
        <v/>
      </c>
      <c r="CY154" s="4" t="str">
        <f>IF(ISNUMBER(SnapshotTable[[#This Row],[SP Strike Price]]), SnapshotTable[[#This Row],[SP Strike Price]] * (1 - SP_MaxLoss_StrikePct), "")</f>
        <v/>
      </c>
      <c r="CZ154" s="31" t="str">
        <f>IF(ISNUMBER(SnapshotTable[[#This Row],[SP Strike  Stop Per Share]]),SnapshotTable[[#This Row],[SP Premium]] - ((SnapshotTable[[#This Row],[SP Strike Price]]-SnapshotTable[[#This Row],[SP Strike  Stop Per Share]]) *(SnapshotTable[[#This Row],[SP Qty]] * 100)),"")</f>
        <v/>
      </c>
      <c r="DA154" s="4" t="str">
        <f>IF(AND(ISNUMBER(SnapshotTable[[#This Row],[SP Premium]]),SnapshotTable[[#This Row],[SP Premium]]&gt;0), SnapshotTable[[#This Row],[SP Book Price]] * (1 + SP_MaxLoss_OptionPct), "")</f>
        <v/>
      </c>
      <c r="DB154" s="31" t="str">
        <f>IF(ISNUMBER(SnapshotTable[[#This Row],[SP Option  Stop Contract]]),(SnapshotTable[[#This Row],[SP Option  Stop Contract]] *(SnapshotTable[[#This Row],[SP Qty]] * 100) - SnapshotTable[[#This Row],[SP Premium]]),"")</f>
        <v/>
      </c>
      <c r="DC154" s="4"/>
      <c r="DD154" s="4"/>
      <c r="DE154" s="4" t="str">
        <f>IF(AND(SnapshotTable[[#This Row],[SP Qty]]&gt;0, SnapshotTable[[#This Row],[SP Stop To Use]]&gt;0),SnapshotTable[[#This Row],[SP Premium]] - ( SnapshotTable[[#This Row],[SP Qty]] * SnapshotTable[[#This Row],[SP Stop To Use]] * 100), "")</f>
        <v/>
      </c>
      <c r="DF154" s="31" t="str">
        <f>IF(AND(SnapshotTable[[#This Row],[SP Qty]]&gt;0,SnapshotTable[[#This Row],[SP Current Ask]]&gt;0), SnapshotTable[[#This Row],[SP Qty]] * SnapshotTable[[#This Row],[SP Current Ask]] * -100, "")</f>
        <v/>
      </c>
      <c r="DG154" s="31" t="str">
        <f>IF(ISNUMBER((SnapshotTable[[#This Row],[SP Total Value]])), SnapshotTable[[#This Row],[SP Premium]] + SnapshotTable[[#This Row],[SP Total Value]], "")</f>
        <v/>
      </c>
      <c r="DH154" s="272"/>
      <c r="DI154" s="369"/>
      <c r="DJ154" s="136"/>
      <c r="DK154" s="146"/>
      <c r="DL154" s="13"/>
      <c r="DM154" s="13"/>
      <c r="DO154" s="31">
        <f>IF(SnapshotTable[[#This Row],[LC Symbol Count]]=1, SnapshotTable[[#This Row],[LC Qty]] * SnapshotTable[[#This Row],[LC Book Price]] * 100, 0)</f>
        <v>0</v>
      </c>
      <c r="DP154" s="161" t="str">
        <f>IF(AND(SnapshotTable[[#This Row],[LC Exp Date]]&gt;0, SnapshotTable[[#This Row],[LC Strike Price]]&gt;0,SnapshotTable[[#This Row],[LC Qty]]&gt;0,SnapshotTable[[#This Row],[LC Book Date]]&gt;0,SnapshotTable[[#This Row],[LC Book Price]]&gt;0,SnapshotTable[[#This Row],[LC Fill Date]]=0),"Y","")</f>
        <v/>
      </c>
      <c r="DQ154" s="356" t="str">
        <f>IF(SnapshotTable[[#This Row],[LC Premium]] &gt; 0,SnapshotTable[[#This Row],[LC Exp Date]]-MAX(SnapshotTable[[#This Row],[LC Book Date]], SnapshotTable[[#This Row],[LC Fill Date]]),"")</f>
        <v/>
      </c>
      <c r="DR154" s="356" t="str">
        <f>IF(ISNUMBER(SnapshotTable[[#This Row],[LC Term]]), SnapshotTable[[#This Row],[LC Exp Date]] - MockToday, "")</f>
        <v/>
      </c>
      <c r="DS154" s="219" t="str">
        <f>IF(SnapshotTable[[#This Row],[LC Premium]]&gt;0,SnapshotTable[[#This Row],[LC Strike Price]] + SnapshotTable[[#This Row],[LC Book Price]],"")</f>
        <v/>
      </c>
      <c r="DU154" s="9" t="str">
        <f>IF(AND(SnapshotTable[[#This Row],[LC Symbol Count]]&gt;0, SnapshotTable[[#This Row],[LC Contract Value]]&gt;0), SnapshotTable[[#This Row],[LC Contract Value]] * SnapshotTable[[#This Row],[LC Qty]] * 100, "")</f>
        <v/>
      </c>
      <c r="DV154" s="9" t="str">
        <f>IF(AND(ISNUMBER(SnapshotTable[[#This Row],[LC Total Value]]), SnapshotTable[[#This Row],[LC Not Filled]]&lt;&gt;"Y"), SnapshotTable[[#This Row],[LC Total Value]]-SnapshotTable[[#This Row],[LC Premium]],"")</f>
        <v/>
      </c>
      <c r="DW154" s="225" t="str">
        <f>IF(ISNUMBER(SnapshotTable[[#This Row],[LC Actual Gain Loss]]), SnapshotTable[[#This Row],[LC Actual Gain Loss]] / SnapshotTable[[#This Row],[LC Premium]],"")</f>
        <v/>
      </c>
      <c r="DX154" s="269" t="str">
        <f>IF(ISNUMBER(SnapshotTable[[#This Row],[LC Book Price]]),SnapshotTable[[#This Row],[LC Book Price]] * 1.5,"")</f>
        <v/>
      </c>
      <c r="DY154" s="250" t="str">
        <f>IF(SnapshotTable[[#This Row],[LC Premium]]&gt;0, SnapshotTable[[#This Row],[LC Next Target]] * SnapshotTable[[#This Row],[LC Qty]] * 100,"")</f>
        <v/>
      </c>
      <c r="DZ154" s="250" t="str">
        <f>IF(ISNUMBER(SnapshotTable[[#This Row],[LC Target Gross]]), SnapshotTable[[#This Row],[LC Target Gross]] - SnapshotTable[[#This Row],[LC Premium]], "")</f>
        <v/>
      </c>
      <c r="EA154" s="283" t="str">
        <f>IF(ISNUMBER(SnapshotTable[[#This Row],[LC Target Gain Loss]]), SnapshotTable[[#This Row],[LC Target Gain Loss]]/SnapshotTable[[#This Row],[LC Premium]], "")</f>
        <v/>
      </c>
      <c r="EB154" s="247"/>
      <c r="EC154" s="268" t="str">
        <f>IF(SnapshotTable[[#This Row],[LC Premium]]&gt;0, SnapshotTable[[#This Row],[LC Book Price]] * (1 - LC_StopLoss_Pct),"")</f>
        <v/>
      </c>
      <c r="ED154" s="269"/>
      <c r="EE154" s="268" t="str">
        <f>IF(ISNUMBER(SnapshotTable[[#This Row],[LC Contract Value]]),IF(ISNUMBER(SnapshotTable[[#This Row],[LC Stop Loss Override]]), SnapshotTable[[#This Row],[LC Stop Loss Override]],SnapshotTable[[#This Row],[LC Stop Loss Calc Target]]),"")</f>
        <v/>
      </c>
      <c r="EF154" s="31" t="str">
        <f>IF(ISNUMBER(SnapshotTable[[#This Row],[LC Stop  To Use]]), (SnapshotTable[[#This Row],[LC Stop  To Use]] * SnapshotTable[[#This Row],[LC Qty]] * 100),"")</f>
        <v/>
      </c>
      <c r="EG154" s="9" t="str">
        <f>IF(ISNUMBER(SnapshotTable[[#This Row],[LC Total Value]]),SnapshotTable[[#This Row],[LC Stop Loss Amount]] - SnapshotTable[[#This Row],[LC Premium]],"")</f>
        <v/>
      </c>
      <c r="EH154" s="9">
        <f>IF(ISNUMBER(SnapshotTable[[#This Row],[LC Premium]]), SnapshotTable[[#This Row],[LC Qty]] * 100 * SnapshotTable[[#This Row],[LC Strike Price]], "")</f>
        <v>0</v>
      </c>
      <c r="EI154" s="225"/>
      <c r="EJ154" s="35">
        <f>IF(ISNUMBER(SnapshotTable[[#This Row],[Equity Shares]]),TRUNC(SnapshotTable[[#This Row],[Equity Shares]] / 100),0) + SnapshotTable[[#This Row],[LC Qty]]</f>
        <v>0</v>
      </c>
      <c r="EK154" s="145"/>
      <c r="EL154" s="136"/>
      <c r="EM154" s="146"/>
      <c r="EN154" s="145"/>
      <c r="EO154" s="145"/>
      <c r="EP154" s="136"/>
      <c r="EQ154" s="382" t="b">
        <f>AND(ISNUMBER(SnapshotTable[[#This Row],[SC Exp Date]]), ISNUMBER(SnapshotTable[[#This Row],[SC Strike Price]]), ISNUMBER(SnapshotTable[[#This Row],[SC Qty]]), ISNUMBER(SnapshotTable[[#This Row],[SC Book Date]]), ISNUMBER(SnapshotTable[[#This Row],[SC Book Price]]))</f>
        <v>0</v>
      </c>
      <c r="ER154" s="382" t="b">
        <f>AND(SnapshotTable[[#This Row],[SC Is Booked]], NOT(ISBLANK(SnapshotTable[[#This Row],[SC Fill Date]])))</f>
        <v>0</v>
      </c>
      <c r="ES154" s="340"/>
      <c r="ET154" s="34" t="str">
        <f>IF(AND(ISNUMBER(SnapshotTable[[#This Row],[SC Exp Date]]), ISNUMBER(SnapshotTable[[#This Row],[SC Book Date]])), SnapshotTable[[#This Row],[SC Exp Date]] - MAX(SnapshotTable[[#This Row],[SC Book Date]], SnapshotTable[[#This Row],[SC Fill Date]]) + 1, "")</f>
        <v/>
      </c>
      <c r="EU154" s="34" t="str">
        <f>IF(ISNUMBER(SnapshotTable[[#This Row],[SC Term]]), SnapshotTable[[#This Row],[SC Exp Date]]- MockToday, "")</f>
        <v/>
      </c>
      <c r="EV154" s="31">
        <f>IF(SnapshotTable[[#This Row],[SC Is Booked]], SnapshotTable[[#This Row],[SC Qty]] * SnapshotTable[[#This Row],[SC Book Price]] * 100, 0)</f>
        <v>0</v>
      </c>
      <c r="EW154" s="4" t="str">
        <f>IF(AND(ISNUMBER(SnapshotTable[[#This Row],[Last Price]]), ISNUMBER( SnapshotTable[[#This Row],[SC Book Price]])), SnapshotTable[[#This Row],[Last Price]] - SnapshotTable[[#This Row],[SC Book Price]],"")</f>
        <v/>
      </c>
      <c r="EX154" s="219" t="str">
        <f>IF(SnapshotTable[[#This Row],[SC Is Booked]],IF(SnapshotTable[[#This Row],[SC Intrinsic Value]] &gt; 0, SnapshotTable[[#This Row],[SC Strike Price]], SnapshotTable[[#This Row],[Last Price]]), "")</f>
        <v/>
      </c>
      <c r="EY154" s="4">
        <f>IF(SnapshotTable[[#This Row],[SC Is Booked]], (MinimumPremiumRequired * SnapshotTable[[#This Row],[SC Basis]] * SnapshotTable[[#This Row],[SC Term]]), 0)</f>
        <v>0</v>
      </c>
      <c r="EZ154" s="268"/>
      <c r="FA154" s="204"/>
      <c r="FB154" s="340"/>
      <c r="FC154" s="4">
        <f>IF(SnapshotTable[[#This Row],[SC Is Filled]], btc_max_buyback_amount(SnapshotTable[[#This Row],[SC Fill Date]],SnapshotTable[[#This Row],[SC Exp Date]], SnapshotTable[[#This Row],[SC Book Price]]),0)</f>
        <v>0</v>
      </c>
      <c r="FD154" s="5"/>
      <c r="FE154" s="142" t="str">
        <f>IF(SnapshotTable[[#This Row],[SC Is Filled]], btc_next_cutoff_date(SnapshotTable[[#This Row],[SC Fill Date]],SnapshotTable[[#This Row],[SC Exp Date]]),"")</f>
        <v/>
      </c>
      <c r="FF154" s="4" t="str" cm="1">
        <f t="array" ref="FF154">IF(SnapshotTable[[#This Row],[SC Is Filled]], btc_should_buy_back(SnapshotTable[[#This Row],[SC Fill Date]], SnapshotTable[[#This Row],[SC Exp Date]], SnapshotTable[[#This Row],[SC Book Price]], SnapshotTable[[#This Row],[SC Current Ask]], MockToday, SnapshotTable[[#This Row],[SC Buyback Override]]),"")</f>
        <v/>
      </c>
      <c r="FG154" s="4">
        <f>IF(SnapshotTable[[#This Row],[SC Is Filled]], MAX(0,SnapshotTable[[#This Row],[Last Price]]  - SnapshotTable[[#This Row],[SC Strike Price]]), 0)</f>
        <v>0</v>
      </c>
      <c r="FH154" s="352">
        <f>IF(SnapshotTable[[#This Row],[SC Is Filled]], IF(ISNUMBER(SnapshotTable[[#This Row],[SC Current Ask]]), SnapshotTable[[#This Row],[SC Current Ask]], SnapshotTable[[#This Row],[SC Book Price]]) - SnapshotTable[[#This Row],[SC Intrinsic Value]], 0)</f>
        <v>0</v>
      </c>
      <c r="FI154" s="141"/>
      <c r="FJ154" s="32" t="str">
        <f>IF(SnapshotTable[[#This Row],[SC Is Filled]],100 * SnapshotTable[[#This Row],[SC Qty]] * IF(ISNUMBER(SnapshotTable[[#This Row],[SC Buyback Override]]), SnapshotTable[[#This Row],[SC Buyback Override]], SnapshotTable[[#This Row],[SC Current Ask]]), "")</f>
        <v/>
      </c>
      <c r="FK154" s="235" t="str">
        <f>IF(SnapshotTable[[#This Row],[SC Time Val]]&gt;0, SnapshotTable[[#This Row],[SC Time Val]] / SnapshotTable[[#This Row],[Last Price]],"")</f>
        <v/>
      </c>
      <c r="FL154" s="280" t="str">
        <f>IF(SnapshotTable[[#This Row],[SC Is Booked]], ((SnapshotTable[[#This Row],[Last Price]] -SnapshotTable[[#This Row],[SC Strike Price]]) / SnapshotTable[[#This Row],[Last Price]]) * -1, "")</f>
        <v/>
      </c>
      <c r="FM154" s="155" t="str">
        <f>IF(SnapshotTable[[#This Row],[SC Is Booked]],  (SnapshotTable[[#This Row],[SC Qty]] * 100 * SnapshotTable[[#This Row],[SC Strike Price]]) - SnapshotTable[[#This Row],[SC Current Ask]], "")</f>
        <v/>
      </c>
      <c r="FN15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4" s="31" t="str">
        <f>IF(AND(ISNUMBER(SnapshotTable[[#This Row],[SC Exercise Gross]]), ISNUMBER(SnapshotTable[[#This Row],[Equity Basis Per Share]] )), SnapshotTable[[#This Row],[SC Exercise Gross]] - SnapshotTable[[#This Row],[Equity Basis Total]] +  SnapshotTable[[#This Row],[SC Premium]], "")</f>
        <v/>
      </c>
      <c r="FP154" s="5" t="str">
        <f>IF(ISNUMBER(SnapshotTable[[#This Row],[SC Exercise Gross]]), (SnapshotTable[[#This Row],[SC Exercise Gross]]) / (SnapshotTable[[#This Row],[SC Qty]] * 100), "")</f>
        <v/>
      </c>
      <c r="FQ154" s="27" t="str">
        <f>IF(SnapshotTable[[#This Row],[SC Is Booked]],SnapshotTable[[#This Row],[SC Time Val]] /SnapshotTable[[#This Row],[SC Basis]], "")</f>
        <v/>
      </c>
      <c r="FR154" s="27" t="str" cm="1">
        <f t="array" ref="FR154">IF(AND(ISNUMBER(SnapshotTable[[#This Row],[SC Term]]),ISNUMBER(SnapshotTable[[#This Row],[SC Simple ROO]])), EllmanAnnualize(SnapshotTable[[#This Row],[SC DTE]], SnapshotTable[[#This Row],[SC Simple ROO]] ),"")</f>
        <v/>
      </c>
      <c r="FS154" s="4">
        <f>IF(SnapshotTable[[#This Row],[SC Strike Price]] &gt; SnapshotTable[[#This Row],[Last Price]], SnapshotTable[[#This Row],[SC Strike Price]] - SnapshotTable[[#This Row],[Last Price]],0)</f>
        <v>0</v>
      </c>
      <c r="FT154" s="27" t="str">
        <f>IF(AND(ISNUMBER(SnapshotTable[[#This Row],[SC Upside Potential]]), SnapshotTable[[#This Row],[SC Upside Potential]] &gt; 0),(SnapshotTable[[#This Row],[SC Upside Potential]]/ SnapshotTable[[#This Row],[ACB]]),"")</f>
        <v/>
      </c>
      <c r="FU154" s="304" t="str">
        <f>IF(SnapshotTable[[#This Row],[SC Intrinsic Value]] &gt; 0,SnapshotTable[[#This Row],[SC Intrinsic Value]],"")</f>
        <v/>
      </c>
      <c r="FV154" s="27" t="str">
        <f>IF(AND( ISNUMBER( SnapshotTable[[#This Row],[ACB]]),ISNUMBER(SnapshotTable[[#This Row],[SC Downside Protect]])),SnapshotTable[[#This Row],[SC Downside Protect]] / SnapshotTable[[#This Row],[ACB]],"")</f>
        <v/>
      </c>
      <c r="FW154" s="221" t="str">
        <f>IF(AND(ISNUMBER(SnapshotTable[[#This Row],[SC Simple ROO]]),SnapshotTable[[#This Row],[SC Simple ROO]] &gt; 0), SnapshotTable[[#This Row],[SC Premium]] + (SnapshotTable[[#This Row],[SC Qty]] * SnapshotTable[[#This Row],[SC Upside Potential]]), "")</f>
        <v/>
      </c>
      <c r="FX154" s="280" t="str" cm="1">
        <f t="array" ref="FX154">IF(ISNUMBER(SnapshotTable[[#This Row],[SC Max Dollars]]), annualize(SnapshotTable[[#This Row],[SC Term]],(SnapshotTable[[#This Row],[SC Max Dollars]]/SnapshotTable[[#This Row],[SC Basis]])),"")</f>
        <v/>
      </c>
      <c r="FY154" s="221" t="str">
        <f>IF(AND(SnapshotTable[[#This Row],[SC Qty]]&gt;0,SnapshotTable[[#This Row],[SC Current Ask]]&gt;0), SnapshotTable[[#This Row],[SC Qty]] * SnapshotTable[[#This Row],[SC Current Ask]] * -100, "")</f>
        <v/>
      </c>
      <c r="FZ154" s="31" t="str">
        <f>IF(ISNUMBER((SnapshotTable[[#This Row],[SC Current Value]])), SnapshotTable[[#This Row],[SC Premium]] + SnapshotTable[[#This Row],[SC Current Value]], "")</f>
        <v/>
      </c>
      <c r="GA154" s="272" t="str">
        <f>IFERROR( IF(ISNUMBER((SnapshotTable[[#This Row],[SC Current Value]])), SnapshotTable[[#This Row],[SC Gain Loss]] / SnapshotTable[[#This Row],[SC Premium]], ""), "")</f>
        <v/>
      </c>
      <c r="GB154" s="42">
        <f>SnapshotTable[[#This Row],[Equity Shares]] * SaleSharesToConsiderPercentage</f>
        <v>0</v>
      </c>
      <c r="GC154" s="40">
        <f>SnapshotTable[[#This Row],[Long Term Target]] * SellingPriceToConsiderBasedOnTargetPercentage</f>
        <v>32.299999999999997</v>
      </c>
      <c r="GD154" s="40">
        <f>SnapshotTable[[#This Row],[Last Price]] * (1+ SellingPriceToConsiderBasedOnTargetPercentage)</f>
        <v>35.743499999999997</v>
      </c>
      <c r="GE154" s="41"/>
      <c r="GF154" s="40"/>
      <c r="GG154" s="31">
        <f>SnapshotTable[[#This Row],[Booked Sale Shares]] * SnapshotTable[[#This Row],[Booked Sale Price]]</f>
        <v>0</v>
      </c>
      <c r="GH154" s="31" t="str">
        <f>IF(SnapshotTable[[#This Row],[Equity Basis Total]] &gt; 0, SnapshotTable[[#This Row],[Equity Basis Per Share]] * SnapshotTable[[#This Row],[Booked Sale Shares]], "")</f>
        <v/>
      </c>
      <c r="GI154" s="31">
        <f>IF(SnapshotTable[[#This Row],[Sale Proceeds]]&gt;0, SnapshotTable[[#This Row],[Sale Proceeds]] - SnapshotTable[[#This Row],[Sale Basis]], 0)</f>
        <v>0</v>
      </c>
      <c r="GJ154" s="27" t="str">
        <f>IF(SnapshotTable[[#This Row],[Sale G/L]]&gt;0, SnapshotTable[[#This Row],[Sale G/L]] / SnapshotTable[[#This Row],[Sale Basis]], IF(ISNUMBER(SnapshotTable[[#This Row],[SC Exercise P&amp;L (TAX)]]), SnapshotTable[[#This Row],[SC Exercise P&amp;L (TAX)]] / SnapshotTable[[#This Row],[SC Basis]], ""))</f>
        <v/>
      </c>
      <c r="GK154" s="27"/>
      <c r="GL154" s="43" t="str">
        <f>IF(AND(SnapshotTable[[#This Row],[LP Exp Date]]&gt;0,SnapshotTable[[#This Row],[LP Strike Price]]&gt;0), [1]!ToOptionSymbol(SnapshotTable[[#This Row],[Symbol]], SnapshotTable[[#This Row],[LP Strike Price]],SnapshotTable[[#This Row],[LP Exp Date]],1), "")</f>
        <v/>
      </c>
      <c r="GM154" s="30" t="str">
        <f>IF(LEN(SnapshotTable[[#This Row],[LP Symbol]])&gt;0, 1, "")</f>
        <v/>
      </c>
      <c r="GN154" s="43" t="str">
        <f>IF(AND(SnapshotTable[[#This Row],[SP Exp Date]]&gt;0,SnapshotTable[[#This Row],[SP Strike Price]]&gt;0), [1]!ToOptionSymbol(SnapshotTable[[#This Row],[Symbol]], SnapshotTable[[#This Row],[SP Strike Price]],SnapshotTable[[#This Row],[SP Exp Date]],1), "")</f>
        <v/>
      </c>
      <c r="GO154" s="30" t="str">
        <f>IF(LEN(SnapshotTable[[#This Row],[SP Symbol]])&gt;0, 1, "")</f>
        <v/>
      </c>
      <c r="GP154" s="43" t="str">
        <f>IF(AND(SnapshotTable[[#This Row],[LC Exp Date]]&gt;0,SnapshotTable[[#This Row],[LC Strike Price]]&gt;0), [1]!ToOptionSymbol(SnapshotTable[[#This Row],[Symbol]], SnapshotTable[[#This Row],[LC Strike Price]],SnapshotTable[[#This Row],[LC Exp Date]],0), "")</f>
        <v/>
      </c>
      <c r="GQ154" s="30" t="str">
        <f>IF(LEN(SnapshotTable[[#This Row],[LC Symbol]])&gt;0, 1, "")</f>
        <v/>
      </c>
      <c r="GR154" s="43" t="str">
        <f>IF(AND(SnapshotTable[[#This Row],[SC Exp Date]]&gt;0,SnapshotTable[[#This Row],[SC Strike Price]]&gt;0), [1]!ToOptionSymbol(SnapshotTable[[#This Row],[Symbol]], SnapshotTable[[#This Row],[SC Strike Price]],SnapshotTable[[#This Row],[SC Exp Date]],0), "")</f>
        <v/>
      </c>
      <c r="GS154" s="30" t="str">
        <f>IF(LEN(SnapshotTable[[#This Row],[SC Symbol]])&gt;0, 1, "")</f>
        <v/>
      </c>
      <c r="GT154" s="29" t="str">
        <f>IF(COUNT(SnapshotTable[[#This Row],[LP Symbol Count]],SnapshotTable[[#This Row],[SP Symbol Count]],SnapshotTable[[#This Row],[LC Symbol Count]],SnapshotTable[[#This Row],[SC Symbol Count]])&gt;0, "Y", "")</f>
        <v/>
      </c>
      <c r="GU15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4" s="216">
        <f>MAX(SnapshotTable[[#This Row],[Equity Basis Total]],SnapshotTable[[#This Row],[Equity Value]]) + (SnapshotTable[[#This Row],[SP Potential Spend]]- SnapshotTable[[#This Row],[SP Premium]] + SnapshotTable[[#This Row],[LP Premium]])+ (SnapshotTable[[#This Row],[LC Premium]] - SnapshotTable[[#This Row],[SC Premium]])</f>
        <v>0</v>
      </c>
      <c r="GW154" s="137" t="str">
        <f>IF(AND(SnapshotTable[[#This Row],[Exposure]] &lt;&gt; 0),SnapshotTable[[#This Row],[Exposure]] / SnapshotTable[[#Totals],[Exposure]], "")</f>
        <v/>
      </c>
      <c r="HE154" s="253"/>
      <c r="HF154" s="253"/>
      <c r="HK154" s="1"/>
      <c r="HL154" s="1"/>
      <c r="HM154" s="1"/>
      <c r="HN154" s="1"/>
      <c r="HO154" s="1"/>
      <c r="HP154" s="1"/>
    </row>
    <row r="155" spans="2:224" ht="12.75" hidden="1" customHeight="1" x14ac:dyDescent="0.25">
      <c r="B155" s="12" t="s">
        <v>961</v>
      </c>
      <c r="C155" s="385">
        <v>44.88</v>
      </c>
      <c r="D155" s="200">
        <v>8.1999999999999993</v>
      </c>
      <c r="E155" s="39">
        <f>SnapshotTable[[#This Row],[Last Price]]*(1 -CrashDiscount)</f>
        <v>38.148000000000003</v>
      </c>
      <c r="F155" s="26" t="s">
        <v>764</v>
      </c>
      <c r="G155" s="26" t="s">
        <v>630</v>
      </c>
      <c r="H155" s="147"/>
      <c r="I155" s="186"/>
      <c r="J155" s="187"/>
      <c r="K155" s="188"/>
      <c r="L155" s="297"/>
      <c r="M155" s="138"/>
      <c r="N155" s="138"/>
      <c r="O155" s="138"/>
      <c r="P155" s="22"/>
      <c r="Q155" s="25"/>
      <c r="R155" s="4" t="str">
        <f>IF(SnapshotTable[[#This Row],[Equity Basis Total]] &gt; 0, SnapshotTable[[#This Row],[Equity Basis Total]] / SnapshotTable[[#This Row],[Equity Shares]], "")</f>
        <v/>
      </c>
      <c r="S155" s="254">
        <f>SnapshotTable[[#This Row],[Last Price]] * SnapshotTable[[#This Row],[Equity Shares]]</f>
        <v>0</v>
      </c>
      <c r="T155" s="254">
        <f>SnapshotTable[[#This Row],[Equity Value]] - SnapshotTable[[#This Row],[Equity Basis Total]]</f>
        <v>0</v>
      </c>
      <c r="U155" s="255" t="str">
        <f>IF(SnapshotTable[[#This Row],[Equity Basis Total]] &gt; 0, SnapshotTable[[#This Row],[Equity G/L]] / SnapshotTable[[#This Row],[Equity Basis Total]], "")</f>
        <v/>
      </c>
      <c r="V155" s="253"/>
      <c r="W155" s="253"/>
      <c r="X155" s="4" t="str">
        <f>IF(AND(ISNUMBER(SnapshotTable[[#This Row],[Equity Basis Per Share]]),ISNUMBER(SnapshotTable[[#This Row],[Equity Target]])),SnapshotTable[[#This Row],[Equity Target]]-SnapshotTable[[#This Row],[Equity Basis Per Share]],"")</f>
        <v/>
      </c>
      <c r="Y155" s="4" t="str">
        <f>IF(AND(ISNUMBER(SnapshotTable[[#This Row],[Equity Basis Per Share]]),ISNUMBER(SnapshotTable[[#This Row],[Equity Stop Loss]])),SnapshotTable[[#This Row],[Equity Stop Loss]]-SnapshotTable[[#This Row],[Equity Basis Per Share]],"")</f>
        <v/>
      </c>
      <c r="Z155" s="260" t="str">
        <f>IFERROR( TEXT(SnapshotTable[[#This Row],[Equity Max Gain Per Share]] /ABS( SnapshotTable[[#This Row],[Equity Max Loss Per Share]]),"0.0 " ) &amp; " : 1", "")</f>
        <v/>
      </c>
      <c r="AA155" s="31" t="str">
        <f>IF(ISNUMBER(SnapshotTable[[#This Row],[Equity Max Gain Per Share]]),SnapshotTable[[#This Row],[Equity Max Gain Per Share]] * SnapshotTable[[#This Row],[Equity Shares]],"")</f>
        <v/>
      </c>
      <c r="AB155" s="31" t="str">
        <f>IF(ISNUMBER(SnapshotTable[[#This Row],[Equity Max Loss Per Share]]),SnapshotTable[[#This Row],[Equity Max Loss Per Share]] * SnapshotTable[[#This Row],[Equity Shares]],"")</f>
        <v/>
      </c>
      <c r="AC155" s="148"/>
      <c r="AD155" s="149"/>
      <c r="AE155" s="31">
        <f>(SnapshotTable[[#This Row],[Annual Dividend Per Share]] / 4) * SnapshotTable[[#This Row],[Equity Shares]]</f>
        <v>0</v>
      </c>
      <c r="AF155" s="31">
        <f>SnapshotTable[[#This Row],[Quarterly Div $]] * 4</f>
        <v>0</v>
      </c>
      <c r="AG155" s="7">
        <f>IF(SnapshotTable[[#This Row],[Annual Dividend Per Share]]&gt;0, SnapshotTable[[#This Row],[Annual Dividend Per Share]]  / SnapshotTable[[#This Row],[Last Price]], 0)</f>
        <v>0</v>
      </c>
      <c r="AH155" s="149"/>
      <c r="AI155" s="5"/>
      <c r="AJ155" s="136">
        <v>60.21</v>
      </c>
      <c r="AK155" s="150" t="str">
        <f>IF(ISNUMBER( SnapshotTable[[#This Row],[EBF Target]]),(SnapshotTable[[#This Row],[EBF Target]] - SnapshotTable[[#This Row],[Last Price]]) / SnapshotTable[[#This Row],[Last Price]], "")</f>
        <v/>
      </c>
      <c r="AL155" s="150" t="str">
        <f>IF(AND(SnapshotTable[[#This Row],[Equity Basis Total]] &gt; 0,ISNUMBER( SnapshotTable[[#This Row],[Long Term Target]])), SnapshotTable[[#This Row],[From Basis $]] / SnapshotTable[[#This Row],[Equity Basis Total]], "")</f>
        <v/>
      </c>
      <c r="AM155" s="9">
        <f>IF( AND(SnapshotTable[[#This Row],[Equity Shares]] &gt;0,ISNUMBER( SnapshotTable[[#This Row],[Long Term Target]])),(SnapshotTable[[#This Row],[Equity Shares]] * SnapshotTable[[#This Row],[Long Term Target]]) - SnapshotTable[[#This Row],[Equity Basis Total]],0)</f>
        <v>0</v>
      </c>
      <c r="AN155" s="9">
        <f>IF( AND(SnapshotTable[[#This Row],[Equity Shares]] &gt;0,ISNUMBER( SnapshotTable[[#This Row],[Long Term Target]])),(SnapshotTable[[#This Row],[Equity Shares]]*SnapshotTable[[#This Row],[Long Term Target]]) - SnapshotTable[[#This Row],[Equity Value]],0)</f>
        <v>0</v>
      </c>
      <c r="AO155" s="150">
        <f>IF(AND(ISNUMBER( SnapshotTable[[#This Row],[Long Term Target]]), ISNUMBER(SnapshotTable[[#This Row],[Last Price]])),(SnapshotTable[[#This Row],[Long Term Target]] - SnapshotTable[[#This Row],[Last Price]]) / SnapshotTable[[#This Row],[Last Price]], "")</f>
        <v>0.34157754010695179</v>
      </c>
      <c r="AP155" s="5">
        <v>55</v>
      </c>
      <c r="AQ155" s="38" t="s">
        <v>29</v>
      </c>
      <c r="AR155" s="5">
        <v>55</v>
      </c>
      <c r="AS155" s="38" t="s">
        <v>28</v>
      </c>
      <c r="AT155" s="144" t="s">
        <v>466</v>
      </c>
      <c r="AU155" s="185" t="str">
        <f>IF(OR(SnapshotTable[[#This Row],[LP No Fill]]="Y",SnapshotTable[[#This Row],[SP Is Filled]],SnapshotTable[[#This Row],[LC Not Filled]]="Y",SnapshotTable[[#This Row],[SC Is Filled]]),"Y","")</f>
        <v/>
      </c>
      <c r="AV155" s="205"/>
      <c r="AW155" s="211"/>
      <c r="AX155" s="206"/>
      <c r="AY155" s="205" t="str">
        <f>IF(SnapshotTable[[#This Row],[Implied Move]]&gt;0, SnapshotTable[[#This Row],[Last Price]]-SnapshotTable[[#This Row],[Implied Move]],"")</f>
        <v/>
      </c>
      <c r="AZ155" s="205" t="str">
        <f>IF(SnapshotTable[[#This Row],[Implied Move]]&gt;0, SnapshotTable[[#This Row],[Last Price]] + SnapshotTable[[#This Row],[Implied Move]],"")</f>
        <v/>
      </c>
      <c r="BA155" s="302">
        <v>31.45</v>
      </c>
      <c r="BB155" s="318"/>
      <c r="BC15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5" s="321"/>
      <c r="BE155" s="5"/>
      <c r="BF155" s="14"/>
      <c r="BG155" s="13"/>
      <c r="BH155" s="13"/>
      <c r="BI155" s="5"/>
      <c r="BJ155" s="134">
        <f>IF(SnapshotTable[[#This Row],[LP Qty]] &gt; 0, SnapshotTable[[#This Row],[LP Qty]] * SnapshotTable[[#This Row],[LP Book Price]] * 100,0)</f>
        <v>0</v>
      </c>
      <c r="BK155" s="134">
        <f>IF(SnapshotTable[[#This Row],[LP Premium]] &gt; 0, SnapshotTable[[#This Row],[LP Qty]] * SnapshotTable[[#This Row],[LP Strike Price]] * 100,0)</f>
        <v>0</v>
      </c>
      <c r="BL155" s="152"/>
      <c r="BM155" s="355" t="str">
        <f>IF(SnapshotTable[[#This Row],[LP Premium]] &gt; 0,SnapshotTable[[#This Row],[LP Exp Date]]-MAX(SnapshotTable[[#This Row],[LP Book Date]], SnapshotTable[[#This Row],[LP Fill Date]]),"")</f>
        <v/>
      </c>
      <c r="BN155" s="355" t="str">
        <f>IF(ISNUMBER( SnapshotTable[[#This Row],[LP Term]]), SnapshotTable[[#This Row],[LP Exp Date]] - MockToday,"")</f>
        <v/>
      </c>
      <c r="BO155" s="161" t="str">
        <f>IF(AND(SnapshotTable[[#This Row],[LP Exp Date]]&gt;0, SnapshotTable[[#This Row],[LP Strike Price]]&gt;0,SnapshotTable[[#This Row],[LP Qty]]&gt;0,SnapshotTable[[#This Row],[LP Book Date]]&gt;0,SnapshotTable[[#This Row],[LP Book Price]]&gt;0,SnapshotTable[[#This Row],[LP Fill Date]]=0),"Y","")</f>
        <v/>
      </c>
      <c r="BP155" s="31" t="str">
        <f>IF(AND(SnapshotTable[[#This Row],[LP No Fill]]&lt;&gt;"Y",SnapshotTable[[#This Row],[LP Contract Value]]&gt;0, SnapshotTable[[#This Row],[LP Qty]]&gt;0), SnapshotTable[[#This Row],[LP Contract Value]]*SnapshotTable[[#This Row],[LP Qty]]*100,"")</f>
        <v/>
      </c>
      <c r="BQ155" s="13"/>
      <c r="BR155" s="5"/>
      <c r="BS155" s="36"/>
      <c r="BT155" s="145"/>
      <c r="BU155" s="13"/>
      <c r="BV155" s="5"/>
      <c r="BW155" s="382" t="b">
        <f>AND(ISNUMBER(SnapshotTable[[#This Row],[SP Exp Date]]), ISNUMBER(SnapshotTable[[#This Row],[SP Strike Price]]), ISNUMBER(SnapshotTable[[#This Row],[SP Qty]]), ISNUMBER(SnapshotTable[[#This Row],[SP Book Date]]), ISNUMBER(SnapshotTable[[#This Row],[SP Book Price]]))</f>
        <v>0</v>
      </c>
      <c r="BX155" s="382" t="b">
        <f>AND(SnapshotTable[[#This Row],[SP Is Booked]], NOT(ISBLANK(SnapshotTable[[#This Row],[SP Fill Date]])))</f>
        <v>0</v>
      </c>
      <c r="BY155" s="33">
        <f>IF(SnapshotTable[[#This Row],[SP Is Booked]], SnapshotTable[[#This Row],[SP Qty]] * SnapshotTable[[#This Row],[SP Book Price]] * 100, 0)</f>
        <v>0</v>
      </c>
      <c r="BZ155" s="339"/>
      <c r="CA155" s="338">
        <f>SnapshotTable[[#This Row],[LP Qty]]</f>
        <v>0</v>
      </c>
      <c r="CB155" s="4" t="str">
        <f>IF(SnapshotTable[[#This Row],[SP Is Booked]], SnapshotTable[[#This Row],[SP Strike Price]] - SnapshotTable[[#This Row],[SP Book Price]], "")</f>
        <v/>
      </c>
      <c r="CC155" s="19" t="str">
        <f>IF(SnapshotTable[[#This Row],[SP Is Booked]],SnapshotTable[[#This Row],[SP Exp Date]]-MAX(SnapshotTable[[#This Row],[SP Book Date]], SnapshotTable[[#This Row],[SP Fill Date]]),"")</f>
        <v/>
      </c>
      <c r="CD155" s="7" t="str">
        <f>IF(SnapshotTable[[#This Row],[SP Is Booked]], SnapshotTable[[#This Row],[SP Book Price]]/SnapshotTable[[#This Row],[SP Strike Price]], "")</f>
        <v/>
      </c>
      <c r="CE155" s="7" t="str">
        <f>IF(ISNUMBER(SnapshotTable[[#This Row],[SP ROO Term]]),SnapshotTable[[#This Row],[SP ROO Term]]*(365/SnapshotTable[[#This Row],[SP Term]]),"")</f>
        <v/>
      </c>
      <c r="CF155" s="221">
        <f>SnapshotTable[[#This Row],[LP Strike Price]] * SnapshotTable[[#This Row],[LP Qty]] * 100</f>
        <v>0</v>
      </c>
      <c r="CG155" s="31">
        <f>IF(ISNUMBER(SnapshotTable[[#This Row],[SP Premium]]), (SnapshotTable[[#This Row],[SP Qty]] * SnapshotTable[[#This Row],[SP Strike Price]]* 100) - SnapshotTable[[#This Row],[LP Protection]], 0)</f>
        <v>0</v>
      </c>
      <c r="CH155" s="7" t="str">
        <f>IF(ISNUMBER(SnapshotTable[[#This Row],[SP Break Even]]),-1 * (SnapshotTable[[#This Row],[SP Break Even]] - SnapshotTable[[#This Row],[Last Price]]) / SnapshotTable[[#This Row],[Last Price]], "")</f>
        <v/>
      </c>
      <c r="CI155" s="31">
        <f>IF(AND(ISNUMBER((SnapshotTable[[#This Row],[SP Potential Spend]])), SnapshotTable[[#This Row],[SP Strike Price]] &gt; SnapshotTable[[#This Row],[Last Price]], SnapshotTable[[#This Row],[SP Is Filled]]), SnapshotTable[[#This Row],[SP Potential Spend]] -  SnapshotTable[[#This Row],[LP Max Value]], 0)</f>
        <v>0</v>
      </c>
      <c r="CJ155" s="229"/>
      <c r="CK155" s="31">
        <f>IF(ISNUMBER(SnapshotTable[[#This Row],[SP Potential Spend]]),IF(ISNUMBER(SnapshotTable[[#This Row],[SP POW]]), SnapshotTable[[#This Row],[SP POW]] * SnapshotTable[[#This Row],[SP Potential Spend]], SnapshotTable[[#This Row],[SP Potential Spend]]), "")</f>
        <v>0</v>
      </c>
      <c r="CL155" s="162">
        <f>IF(NOT(SnapshotTable[[#This Row],[SP Is Filled]]),(SnapshotTable[[#This Row],[SP Qty]] * SnapshotTable[[#This Row],[SP Strike Price]] * 100) - SnapshotTable[[#This Row],[LP Max Value]],"")</f>
        <v>0</v>
      </c>
      <c r="CM155" s="31" t="str">
        <f>IF(SnapshotTable[[#This Row],[SP Actual Spend]]&lt;&gt;0, ((SnapshotTable[[#This Row],[SP Strike Price]]-SnapshotTable[[#This Row],[Last Price]]) *(SnapshotTable[[#This Row],[SP Qty]]*100) - SnapshotTable[[#This Row],[SP Premium]]) * - 1, "")</f>
        <v/>
      </c>
      <c r="CN155" s="76"/>
      <c r="CO155" s="339"/>
      <c r="CP155" s="4" t="str">
        <f>IF(SnapshotTable[[#This Row],[SP Is Filled]], btc_max_buyback_amount(SnapshotTable[[#This Row],[SP Fill Date]],SnapshotTable[[#This Row],[SP Exp Date]], SnapshotTable[[#This Row],[SP Book Price]]),"")</f>
        <v/>
      </c>
      <c r="CQ155" s="76"/>
      <c r="CR15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5" s="153" t="str">
        <f>IF(SnapshotTable[[#This Row],[SP Is Filled]], btc_next_cutoff_date(SnapshotTable[[#This Row],[SP Fill Date]],SnapshotTable[[#This Row],[SP Exp Date]]),"")</f>
        <v/>
      </c>
      <c r="CT155" s="220" t="str" cm="1">
        <f t="array" ref="CT155">IF(SnapshotTable[[#This Row],[SP Is Filled]], btc_should_buy_back(SnapshotTable[[#This Row],[SP Fill Date]], SnapshotTable[[#This Row],[SP Exp Date]], SnapshotTable[[#This Row],[SP Book Price]], SnapshotTable[[#This Row],[SP Current Ask]], MockToday, SnapshotTable[[#This Row],[SP Buyback Override]]),"")</f>
        <v/>
      </c>
      <c r="CU155" s="141"/>
      <c r="CV155" s="220"/>
      <c r="CW155" s="348" t="str">
        <f>IF(ISNUMBER( SnapshotTable[[#This Row],[SP Term]]), SnapshotTable[[#This Row],[SP Exp Date]] - MockToday,"")</f>
        <v/>
      </c>
      <c r="CX155" s="31" t="str">
        <f>IF(SnapshotTable[[#This Row],[SP Is Filled]],SnapshotTable[[#This Row],[SP Buyback Price to Use]] * 100 * SnapshotTable[[#This Row],[SP Qty]], "")</f>
        <v/>
      </c>
      <c r="CY155" s="4" t="str">
        <f>IF(ISNUMBER(SnapshotTable[[#This Row],[SP Strike Price]]), SnapshotTable[[#This Row],[SP Strike Price]] * (1 - SP_MaxLoss_StrikePct), "")</f>
        <v/>
      </c>
      <c r="CZ155" s="31" t="str">
        <f>IF(ISNUMBER(SnapshotTable[[#This Row],[SP Strike  Stop Per Share]]),SnapshotTable[[#This Row],[SP Premium]] - ((SnapshotTable[[#This Row],[SP Strike Price]]-SnapshotTable[[#This Row],[SP Strike  Stop Per Share]]) *(SnapshotTable[[#This Row],[SP Qty]] * 100)),"")</f>
        <v/>
      </c>
      <c r="DA155" s="4" t="str">
        <f>IF(AND(ISNUMBER(SnapshotTable[[#This Row],[SP Premium]]),SnapshotTable[[#This Row],[SP Premium]]&gt;0), SnapshotTable[[#This Row],[SP Book Price]] * (1 + SP_MaxLoss_OptionPct), "")</f>
        <v/>
      </c>
      <c r="DB155" s="31" t="str">
        <f>IF(ISNUMBER(SnapshotTable[[#This Row],[SP Option  Stop Contract]]),(SnapshotTable[[#This Row],[SP Option  Stop Contract]] *(SnapshotTable[[#This Row],[SP Qty]] * 100) - SnapshotTable[[#This Row],[SP Premium]]),"")</f>
        <v/>
      </c>
      <c r="DC155" s="4"/>
      <c r="DD155" s="4"/>
      <c r="DE155" s="4" t="str">
        <f>IF(AND(SnapshotTable[[#This Row],[SP Qty]]&gt;0, SnapshotTable[[#This Row],[SP Stop To Use]]&gt;0),SnapshotTable[[#This Row],[SP Premium]] - ( SnapshotTable[[#This Row],[SP Qty]] * SnapshotTable[[#This Row],[SP Stop To Use]] * 100), "")</f>
        <v/>
      </c>
      <c r="DF155" s="31" t="str">
        <f>IF(AND(SnapshotTable[[#This Row],[SP Qty]]&gt;0,SnapshotTable[[#This Row],[SP Current Ask]]&gt;0), SnapshotTable[[#This Row],[SP Qty]] * SnapshotTable[[#This Row],[SP Current Ask]] * -100, "")</f>
        <v/>
      </c>
      <c r="DG155" s="31" t="str">
        <f>IF(ISNUMBER((SnapshotTable[[#This Row],[SP Total Value]])), SnapshotTable[[#This Row],[SP Premium]] + SnapshotTable[[#This Row],[SP Total Value]], "")</f>
        <v/>
      </c>
      <c r="DH155" s="272" t="str">
        <f>IF(ISNUMBER((SnapshotTable[[#This Row],[SP Total Value]])), SnapshotTable[[#This Row],[SP Gain Loss]] / SnapshotTable[[#This Row],[SP Premium]], "")</f>
        <v/>
      </c>
      <c r="DI155" s="369"/>
      <c r="DJ155" s="136"/>
      <c r="DK155" s="146"/>
      <c r="DL155" s="13"/>
      <c r="DM155" s="13"/>
      <c r="DO155" s="31">
        <f>IF(SnapshotTable[[#This Row],[LC Symbol Count]]=1, SnapshotTable[[#This Row],[LC Qty]] * SnapshotTable[[#This Row],[LC Book Price]] * 100, 0)</f>
        <v>0</v>
      </c>
      <c r="DP155" s="161" t="str">
        <f>IF(AND(SnapshotTable[[#This Row],[LC Exp Date]]&gt;0, SnapshotTable[[#This Row],[LC Strike Price]]&gt;0,SnapshotTable[[#This Row],[LC Qty]]&gt;0,SnapshotTable[[#This Row],[LC Book Date]]&gt;0,SnapshotTable[[#This Row],[LC Book Price]]&gt;0,SnapshotTable[[#This Row],[LC Fill Date]]=0),"Y","")</f>
        <v/>
      </c>
      <c r="DQ155" s="356" t="str">
        <f>IF(SnapshotTable[[#This Row],[LC Premium]] &gt; 0,SnapshotTable[[#This Row],[LC Exp Date]]-MAX(SnapshotTable[[#This Row],[LC Book Date]], SnapshotTable[[#This Row],[LC Fill Date]]),"")</f>
        <v/>
      </c>
      <c r="DR155" s="356" t="str">
        <f>IF(ISNUMBER(SnapshotTable[[#This Row],[LC Term]]), SnapshotTable[[#This Row],[LC Exp Date]] - MockToday, "")</f>
        <v/>
      </c>
      <c r="DS155" s="219" t="str">
        <f>IF(SnapshotTable[[#This Row],[LC Premium]]&gt;0,SnapshotTable[[#This Row],[LC Strike Price]] + SnapshotTable[[#This Row],[LC Book Price]],"")</f>
        <v/>
      </c>
      <c r="DT155" s="5">
        <v>7.15</v>
      </c>
      <c r="DU155" s="9">
        <f>IF(AND(SnapshotTable[[#This Row],[LC Symbol Count]]&gt;0, SnapshotTable[[#This Row],[LC Contract Value]]&gt;0), SnapshotTable[[#This Row],[LC Contract Value]] * SnapshotTable[[#This Row],[LC Qty]] * 100, "")</f>
        <v>0</v>
      </c>
      <c r="DV155" s="9">
        <f>IF(AND(ISNUMBER(SnapshotTable[[#This Row],[LC Total Value]]), SnapshotTable[[#This Row],[LC Not Filled]]&lt;&gt;"Y"), SnapshotTable[[#This Row],[LC Total Value]]-SnapshotTable[[#This Row],[LC Premium]],"")</f>
        <v>0</v>
      </c>
      <c r="DW155" s="225" t="e">
        <f>IF(ISNUMBER(SnapshotTable[[#This Row],[LC Actual Gain Loss]]), SnapshotTable[[#This Row],[LC Actual Gain Loss]] / SnapshotTable[[#This Row],[LC Premium]],"")</f>
        <v>#DIV/0!</v>
      </c>
      <c r="DX155" s="269" t="str">
        <f>IF(ISNUMBER(SnapshotTable[[#This Row],[LC Book Price]]),SnapshotTable[[#This Row],[LC Book Price]] * 1.5,"")</f>
        <v/>
      </c>
      <c r="DY155" s="250" t="str">
        <f>IF(SnapshotTable[[#This Row],[LC Premium]]&gt;0, SnapshotTable[[#This Row],[LC Next Target]] * SnapshotTable[[#This Row],[LC Qty]] * 100,"")</f>
        <v/>
      </c>
      <c r="DZ155" s="250" t="str">
        <f>IF(ISNUMBER(SnapshotTable[[#This Row],[LC Target Gross]]), SnapshotTable[[#This Row],[LC Target Gross]] - SnapshotTable[[#This Row],[LC Premium]], "")</f>
        <v/>
      </c>
      <c r="EA155" s="283" t="str">
        <f>IF(ISNUMBER(SnapshotTable[[#This Row],[LC Target Gain Loss]]), SnapshotTable[[#This Row],[LC Target Gain Loss]]/SnapshotTable[[#This Row],[LC Premium]], "")</f>
        <v/>
      </c>
      <c r="EB155" s="247"/>
      <c r="EC155" s="268" t="str">
        <f>IF(SnapshotTable[[#This Row],[LC Premium]]&gt;0, SnapshotTable[[#This Row],[LC Book Price]] * (1 - LC_StopLoss_Pct),"")</f>
        <v/>
      </c>
      <c r="ED155" s="269"/>
      <c r="EE155" s="268" t="str">
        <f>IF(ISNUMBER(SnapshotTable[[#This Row],[LC Contract Value]]),IF(ISNUMBER(SnapshotTable[[#This Row],[LC Stop Loss Override]]), SnapshotTable[[#This Row],[LC Stop Loss Override]],SnapshotTable[[#This Row],[LC Stop Loss Calc Target]]),"")</f>
        <v/>
      </c>
      <c r="EF155" s="31" t="str">
        <f>IF(ISNUMBER(SnapshotTable[[#This Row],[LC Stop  To Use]]), (SnapshotTable[[#This Row],[LC Stop  To Use]] * SnapshotTable[[#This Row],[LC Qty]] * 100),"")</f>
        <v/>
      </c>
      <c r="EG155" s="9" t="e">
        <f>IF(ISNUMBER(SnapshotTable[[#This Row],[LC Total Value]]),SnapshotTable[[#This Row],[LC Stop Loss Amount]] - SnapshotTable[[#This Row],[LC Premium]],"")</f>
        <v>#VALUE!</v>
      </c>
      <c r="EH155" s="9">
        <f>IF(ISNUMBER(SnapshotTable[[#This Row],[LC Premium]]), SnapshotTable[[#This Row],[LC Qty]] * 100 * SnapshotTable[[#This Row],[LC Strike Price]], "")</f>
        <v>0</v>
      </c>
      <c r="EI155" s="225" t="str">
        <f>IF(AND(ISNUMBER(SnapshotTable[[#This Row],[LC Total Value]]),SnapshotTable[[#This Row],[LC Total Value]]&gt;0),SnapshotTable[[#This Row],[LC Stop Gain Loss]]  / SnapshotTable[[#This Row],[LC Premium]],"")</f>
        <v/>
      </c>
      <c r="EJ155" s="35">
        <f>IF(ISNUMBER(SnapshotTable[[#This Row],[Equity Shares]]),TRUNC(SnapshotTable[[#This Row],[Equity Shares]] / 100),0) + SnapshotTable[[#This Row],[LC Qty]]</f>
        <v>0</v>
      </c>
      <c r="EK155" s="145"/>
      <c r="EL155" s="136"/>
      <c r="EM155" s="146"/>
      <c r="EN155" s="145"/>
      <c r="EO155" s="145"/>
      <c r="EP155" s="136"/>
      <c r="EQ155" s="382" t="b">
        <f>AND(ISNUMBER(SnapshotTable[[#This Row],[SC Exp Date]]), ISNUMBER(SnapshotTable[[#This Row],[SC Strike Price]]), ISNUMBER(SnapshotTable[[#This Row],[SC Qty]]), ISNUMBER(SnapshotTable[[#This Row],[SC Book Date]]), ISNUMBER(SnapshotTable[[#This Row],[SC Book Price]]))</f>
        <v>0</v>
      </c>
      <c r="ER155" s="382" t="b">
        <f>AND(SnapshotTable[[#This Row],[SC Is Booked]], NOT(ISBLANK(SnapshotTable[[#This Row],[SC Fill Date]])))</f>
        <v>0</v>
      </c>
      <c r="ES155" s="340"/>
      <c r="ET155" s="34" t="str">
        <f>IF(AND(ISNUMBER(SnapshotTable[[#This Row],[SC Exp Date]]), ISNUMBER(SnapshotTable[[#This Row],[SC Book Date]])), SnapshotTable[[#This Row],[SC Exp Date]] - MAX(SnapshotTable[[#This Row],[SC Book Date]], SnapshotTable[[#This Row],[SC Fill Date]]) + 1, "")</f>
        <v/>
      </c>
      <c r="EU155" s="34" t="str">
        <f>IF(ISNUMBER(SnapshotTable[[#This Row],[SC Term]]), SnapshotTable[[#This Row],[SC Exp Date]]- MockToday, "")</f>
        <v/>
      </c>
      <c r="EV155" s="31">
        <f>IF(SnapshotTable[[#This Row],[SC Is Booked]], SnapshotTable[[#This Row],[SC Qty]] * SnapshotTable[[#This Row],[SC Book Price]] * 100, 0)</f>
        <v>0</v>
      </c>
      <c r="EW155" s="4" t="str">
        <f>IF(AND(ISNUMBER(SnapshotTable[[#This Row],[Last Price]]), ISNUMBER( SnapshotTable[[#This Row],[SC Book Price]])), SnapshotTable[[#This Row],[Last Price]] - SnapshotTable[[#This Row],[SC Book Price]],"")</f>
        <v/>
      </c>
      <c r="EX155" s="219" t="str">
        <f>IF(SnapshotTable[[#This Row],[SC Is Booked]],IF(SnapshotTable[[#This Row],[SC Intrinsic Value]] &gt; 0, SnapshotTable[[#This Row],[SC Strike Price]], SnapshotTable[[#This Row],[Last Price]]), "")</f>
        <v/>
      </c>
      <c r="EY155" s="4">
        <f>IF(SnapshotTable[[#This Row],[SC Is Booked]], (MinimumPremiumRequired * SnapshotTable[[#This Row],[SC Basis]] * SnapshotTable[[#This Row],[SC Term]]), 0)</f>
        <v>0</v>
      </c>
      <c r="EZ155" s="268"/>
      <c r="FA155" s="204"/>
      <c r="FB155" s="340"/>
      <c r="FC155" s="4">
        <f>IF(SnapshotTable[[#This Row],[SC Is Filled]], btc_max_buyback_amount(SnapshotTable[[#This Row],[SC Fill Date]],SnapshotTable[[#This Row],[SC Exp Date]], SnapshotTable[[#This Row],[SC Book Price]]),0)</f>
        <v>0</v>
      </c>
      <c r="FD155" s="5"/>
      <c r="FE155" s="142" t="str">
        <f>IF(SnapshotTable[[#This Row],[SC Is Filled]], btc_next_cutoff_date(SnapshotTable[[#This Row],[SC Fill Date]],SnapshotTable[[#This Row],[SC Exp Date]]),"")</f>
        <v/>
      </c>
      <c r="FF155" s="4" t="str" cm="1">
        <f t="array" ref="FF155">IF(SnapshotTable[[#This Row],[SC Is Filled]], btc_should_buy_back(SnapshotTable[[#This Row],[SC Fill Date]], SnapshotTable[[#This Row],[SC Exp Date]], SnapshotTable[[#This Row],[SC Book Price]], SnapshotTable[[#This Row],[SC Current Ask]], MockToday, SnapshotTable[[#This Row],[SC Buyback Override]]),"")</f>
        <v/>
      </c>
      <c r="FG155" s="4">
        <f>IF(SnapshotTable[[#This Row],[SC Is Filled]], MAX(0,SnapshotTable[[#This Row],[Last Price]]  - SnapshotTable[[#This Row],[SC Strike Price]]), 0)</f>
        <v>0</v>
      </c>
      <c r="FH155" s="352">
        <f>IF(SnapshotTable[[#This Row],[SC Is Filled]], IF(ISNUMBER(SnapshotTable[[#This Row],[SC Current Ask]]), SnapshotTable[[#This Row],[SC Current Ask]], SnapshotTable[[#This Row],[SC Book Price]]) - SnapshotTable[[#This Row],[SC Intrinsic Value]], 0)</f>
        <v>0</v>
      </c>
      <c r="FI155" s="141"/>
      <c r="FJ155" s="32" t="str">
        <f>IF(SnapshotTable[[#This Row],[SC Is Filled]],100 * SnapshotTable[[#This Row],[SC Qty]] * IF(ISNUMBER(SnapshotTable[[#This Row],[SC Buyback Override]]), SnapshotTable[[#This Row],[SC Buyback Override]], SnapshotTable[[#This Row],[SC Current Ask]]), "")</f>
        <v/>
      </c>
      <c r="FK155" s="235" t="str">
        <f>IF(SnapshotTable[[#This Row],[SC Time Val]]&gt;0, SnapshotTable[[#This Row],[SC Time Val]] / SnapshotTable[[#This Row],[Last Price]],"")</f>
        <v/>
      </c>
      <c r="FL155" s="280" t="str">
        <f>IF(SnapshotTable[[#This Row],[SC Is Booked]], ((SnapshotTable[[#This Row],[Last Price]] -SnapshotTable[[#This Row],[SC Strike Price]]) / SnapshotTable[[#This Row],[Last Price]]) * -1, "")</f>
        <v/>
      </c>
      <c r="FM155" s="155" t="str">
        <f>IF(SnapshotTable[[#This Row],[SC Is Booked]],  (SnapshotTable[[#This Row],[SC Qty]] * 100 * SnapshotTable[[#This Row],[SC Strike Price]]) - SnapshotTable[[#This Row],[SC Current Ask]], "")</f>
        <v/>
      </c>
      <c r="FN15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5" s="31" t="str">
        <f>IF(AND(ISNUMBER(SnapshotTable[[#This Row],[SC Exercise Gross]]), ISNUMBER(SnapshotTable[[#This Row],[Equity Basis Per Share]] )), SnapshotTable[[#This Row],[SC Exercise Gross]] - SnapshotTable[[#This Row],[Equity Basis Total]] +  SnapshotTable[[#This Row],[SC Premium]], "")</f>
        <v/>
      </c>
      <c r="FP155" s="5" t="str">
        <f>IF(ISNUMBER(SnapshotTable[[#This Row],[SC Exercise Gross]]), (SnapshotTable[[#This Row],[SC Exercise Gross]]) / (SnapshotTable[[#This Row],[SC Qty]] * 100), "")</f>
        <v/>
      </c>
      <c r="FQ155" s="27" t="str">
        <f>IF(SnapshotTable[[#This Row],[SC Is Booked]],SnapshotTable[[#This Row],[SC Time Val]] /SnapshotTable[[#This Row],[SC Basis]], "")</f>
        <v/>
      </c>
      <c r="FR155" s="27" t="str" cm="1">
        <f t="array" ref="FR155">IF(AND(ISNUMBER(SnapshotTable[[#This Row],[SC Term]]),ISNUMBER(SnapshotTable[[#This Row],[SC Simple ROO]])), EllmanAnnualize(SnapshotTable[[#This Row],[SC DTE]], SnapshotTable[[#This Row],[SC Simple ROO]] ),"")</f>
        <v/>
      </c>
      <c r="FS155" s="4">
        <f>IF(SnapshotTable[[#This Row],[SC Strike Price]] &gt; SnapshotTable[[#This Row],[Last Price]], SnapshotTable[[#This Row],[SC Strike Price]] - SnapshotTable[[#This Row],[Last Price]],0)</f>
        <v>0</v>
      </c>
      <c r="FT155" s="27" t="str">
        <f>IF(AND(ISNUMBER(SnapshotTable[[#This Row],[SC Upside Potential]]), SnapshotTable[[#This Row],[SC Upside Potential]] &gt; 0),(SnapshotTable[[#This Row],[SC Upside Potential]]/ SnapshotTable[[#This Row],[ACB]]),"")</f>
        <v/>
      </c>
      <c r="FU155" s="304" t="str">
        <f>IF(SnapshotTable[[#This Row],[SC Intrinsic Value]] &gt; 0,SnapshotTable[[#This Row],[SC Intrinsic Value]],"")</f>
        <v/>
      </c>
      <c r="FV155" s="27" t="str">
        <f>IF(AND( ISNUMBER( SnapshotTable[[#This Row],[ACB]]),ISNUMBER(SnapshotTable[[#This Row],[SC Downside Protect]])),SnapshotTable[[#This Row],[SC Downside Protect]] / SnapshotTable[[#This Row],[ACB]],"")</f>
        <v/>
      </c>
      <c r="FW155" s="221" t="str">
        <f>IF(AND(ISNUMBER(SnapshotTable[[#This Row],[SC Simple ROO]]),SnapshotTable[[#This Row],[SC Simple ROO]] &gt; 0), SnapshotTable[[#This Row],[SC Premium]] + (SnapshotTable[[#This Row],[SC Qty]] * SnapshotTable[[#This Row],[SC Upside Potential]]), "")</f>
        <v/>
      </c>
      <c r="FX155" s="280" t="str" cm="1">
        <f t="array" ref="FX155">IF(ISNUMBER(SnapshotTable[[#This Row],[SC Max Dollars]]), annualize(SnapshotTable[[#This Row],[SC Term]],(SnapshotTable[[#This Row],[SC Max Dollars]]/SnapshotTable[[#This Row],[SC Basis]])),"")</f>
        <v/>
      </c>
      <c r="FY155" s="221" t="str">
        <f>IF(AND(SnapshotTable[[#This Row],[SC Qty]]&gt;0,SnapshotTable[[#This Row],[SC Current Ask]]&gt;0), SnapshotTable[[#This Row],[SC Qty]] * SnapshotTable[[#This Row],[SC Current Ask]] * -100, "")</f>
        <v/>
      </c>
      <c r="FZ155" s="31" t="str">
        <f>IF(ISNUMBER((SnapshotTable[[#This Row],[SC Current Value]])), SnapshotTable[[#This Row],[SC Premium]] + SnapshotTable[[#This Row],[SC Current Value]], "")</f>
        <v/>
      </c>
      <c r="GA155" s="272" t="str">
        <f>IFERROR( IF(ISNUMBER((SnapshotTable[[#This Row],[SC Current Value]])), SnapshotTable[[#This Row],[SC Gain Loss]] / SnapshotTable[[#This Row],[SC Premium]], ""), "")</f>
        <v/>
      </c>
      <c r="GB155" s="42">
        <f>SnapshotTable[[#This Row],[Equity Shares]] * SaleSharesToConsiderPercentage</f>
        <v>0</v>
      </c>
      <c r="GC155" s="40">
        <f>SnapshotTable[[#This Row],[Long Term Target]] * SellingPriceToConsiderBasedOnTargetPercentage</f>
        <v>57.1995</v>
      </c>
      <c r="GD155" s="40">
        <f>SnapshotTable[[#This Row],[Last Price]] * (1+ SellingPriceToConsiderBasedOnTargetPercentage)</f>
        <v>87.516000000000005</v>
      </c>
      <c r="GE155" s="41"/>
      <c r="GF155" s="40"/>
      <c r="GG155" s="31">
        <f>SnapshotTable[[#This Row],[Booked Sale Shares]] * SnapshotTable[[#This Row],[Booked Sale Price]]</f>
        <v>0</v>
      </c>
      <c r="GH155" s="31" t="str">
        <f>IF(SnapshotTable[[#This Row],[Equity Basis Total]] &gt; 0, SnapshotTable[[#This Row],[Equity Basis Per Share]] * SnapshotTable[[#This Row],[Booked Sale Shares]], "")</f>
        <v/>
      </c>
      <c r="GI155" s="31">
        <f>IF(SnapshotTable[[#This Row],[Sale Proceeds]]&gt;0, SnapshotTable[[#This Row],[Sale Proceeds]] - SnapshotTable[[#This Row],[Sale Basis]], 0)</f>
        <v>0</v>
      </c>
      <c r="GJ155" s="27" t="str">
        <f>IF(SnapshotTable[[#This Row],[Sale G/L]]&gt;0, SnapshotTable[[#This Row],[Sale G/L]] / SnapshotTable[[#This Row],[Sale Basis]], IF(ISNUMBER(SnapshotTable[[#This Row],[SC Exercise P&amp;L (TAX)]]), SnapshotTable[[#This Row],[SC Exercise P&amp;L (TAX)]] / SnapshotTable[[#This Row],[SC Basis]], ""))</f>
        <v/>
      </c>
      <c r="GK155" s="27" t="s">
        <v>896</v>
      </c>
      <c r="GL155" s="43" t="str">
        <f>IF(AND(SnapshotTable[[#This Row],[LP Exp Date]]&gt;0,SnapshotTable[[#This Row],[LP Strike Price]]&gt;0), [1]!ToOptionSymbol(SnapshotTable[[#This Row],[Symbol]], SnapshotTable[[#This Row],[LP Strike Price]],SnapshotTable[[#This Row],[LP Exp Date]],1), "")</f>
        <v/>
      </c>
      <c r="GM155" s="30" t="str">
        <f>IF(LEN(SnapshotTable[[#This Row],[LP Symbol]])&gt;0, 1, "")</f>
        <v/>
      </c>
      <c r="GN155" s="43" t="str">
        <f>IF(AND(SnapshotTable[[#This Row],[SP Exp Date]]&gt;0,SnapshotTable[[#This Row],[SP Strike Price]]&gt;0), [1]!ToOptionSymbol(SnapshotTable[[#This Row],[Symbol]], SnapshotTable[[#This Row],[SP Strike Price]],SnapshotTable[[#This Row],[SP Exp Date]],1), "")</f>
        <v/>
      </c>
      <c r="GO155" s="30" t="str">
        <f>IF(LEN(SnapshotTable[[#This Row],[SP Symbol]])&gt;0, 1, "")</f>
        <v/>
      </c>
      <c r="GP155" s="43" t="str">
        <f>IF(AND(SnapshotTable[[#This Row],[LC Exp Date]]&gt;0,SnapshotTable[[#This Row],[LC Strike Price]]&gt;0), [1]!ToOptionSymbol(SnapshotTable[[#This Row],[Symbol]], SnapshotTable[[#This Row],[LC Strike Price]],SnapshotTable[[#This Row],[LC Exp Date]],0), "")</f>
        <v/>
      </c>
      <c r="GQ155" s="30" t="str">
        <f>IF(LEN(SnapshotTable[[#This Row],[LC Symbol]])&gt;0, 1, "")</f>
        <v/>
      </c>
      <c r="GR155" s="43" t="str">
        <f>IF(AND(SnapshotTable[[#This Row],[SC Exp Date]]&gt;0,SnapshotTable[[#This Row],[SC Strike Price]]&gt;0), [1]!ToOptionSymbol(SnapshotTable[[#This Row],[Symbol]], SnapshotTable[[#This Row],[SC Strike Price]],SnapshotTable[[#This Row],[SC Exp Date]],0), "")</f>
        <v/>
      </c>
      <c r="GS155" s="30" t="str">
        <f>IF(LEN(SnapshotTable[[#This Row],[SC Symbol]])&gt;0, 1, "")</f>
        <v/>
      </c>
      <c r="GT155" s="29" t="str">
        <f>IF(COUNT(SnapshotTable[[#This Row],[LP Symbol Count]],SnapshotTable[[#This Row],[SP Symbol Count]],SnapshotTable[[#This Row],[LC Symbol Count]],SnapshotTable[[#This Row],[SC Symbol Count]])&gt;0, "Y", "")</f>
        <v/>
      </c>
      <c r="GU15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5" s="216">
        <f>MAX(SnapshotTable[[#This Row],[Equity Basis Total]],SnapshotTable[[#This Row],[Equity Value]]) + (SnapshotTable[[#This Row],[SP Potential Spend]]- SnapshotTable[[#This Row],[SP Premium]] + SnapshotTable[[#This Row],[LP Premium]])+ (SnapshotTable[[#This Row],[LC Premium]] - SnapshotTable[[#This Row],[SC Premium]])</f>
        <v>0</v>
      </c>
      <c r="GW155" s="137" t="str">
        <f>IF(AND(SnapshotTable[[#This Row],[Exposure]] &lt;&gt; 0),SnapshotTable[[#This Row],[Exposure]] / SnapshotTable[[#Totals],[Exposure]], "")</f>
        <v/>
      </c>
      <c r="HE155" s="253"/>
      <c r="HF155" s="253"/>
      <c r="HK155" s="1"/>
      <c r="HL155" s="1"/>
      <c r="HM155" s="1"/>
      <c r="HN155" s="1"/>
      <c r="HO155" s="1"/>
      <c r="HP155" s="1"/>
    </row>
    <row r="156" spans="2:224" ht="12.75" hidden="1" customHeight="1" x14ac:dyDescent="0.25">
      <c r="B156" s="12" t="s">
        <v>130</v>
      </c>
      <c r="C156" s="385">
        <v>406.91</v>
      </c>
      <c r="D156" s="200"/>
      <c r="E156" s="39">
        <f>SnapshotTable[[#This Row],[Last Price]]*(1 -CrashDiscount)</f>
        <v>345.87350000000004</v>
      </c>
      <c r="F156" s="26" t="s">
        <v>17</v>
      </c>
      <c r="G156" s="26" t="s">
        <v>13</v>
      </c>
      <c r="H156" s="147"/>
      <c r="I156" s="186">
        <v>44775.270833333336</v>
      </c>
      <c r="J156" s="187">
        <v>44775.270833333336</v>
      </c>
      <c r="K156" s="188"/>
      <c r="L156" s="297"/>
      <c r="M156" s="138"/>
      <c r="N156" s="138"/>
      <c r="O156" s="138"/>
      <c r="P156" s="22"/>
      <c r="Q156" s="25"/>
      <c r="R156" s="4" t="str">
        <f>IF(SnapshotTable[[#This Row],[Equity Basis Total]] &gt; 0, SnapshotTable[[#This Row],[Equity Basis Total]] / SnapshotTable[[#This Row],[Equity Shares]], "")</f>
        <v/>
      </c>
      <c r="S156" s="254">
        <f>SnapshotTable[[#This Row],[Last Price]] * SnapshotTable[[#This Row],[Equity Shares]]</f>
        <v>0</v>
      </c>
      <c r="T156" s="254">
        <f>SnapshotTable[[#This Row],[Equity Value]] - SnapshotTable[[#This Row],[Equity Basis Total]]</f>
        <v>0</v>
      </c>
      <c r="U156" s="255" t="str">
        <f>IF(SnapshotTable[[#This Row],[Equity Basis Total]] &gt; 0, SnapshotTable[[#This Row],[Equity G/L]] / SnapshotTable[[#This Row],[Equity Basis Total]], "")</f>
        <v/>
      </c>
      <c r="V156" s="253"/>
      <c r="W156" s="253"/>
      <c r="X156" s="4" t="str">
        <f>IF(AND(ISNUMBER(SnapshotTable[[#This Row],[Equity Basis Per Share]]),ISNUMBER(SnapshotTable[[#This Row],[Equity Target]])),SnapshotTable[[#This Row],[Equity Target]]-SnapshotTable[[#This Row],[Equity Basis Per Share]],"")</f>
        <v/>
      </c>
      <c r="Y156" s="4" t="str">
        <f>IF(AND(ISNUMBER(SnapshotTable[[#This Row],[Equity Basis Per Share]]),ISNUMBER(SnapshotTable[[#This Row],[Equity Stop Loss]])),SnapshotTable[[#This Row],[Equity Stop Loss]]-SnapshotTable[[#This Row],[Equity Basis Per Share]],"")</f>
        <v/>
      </c>
      <c r="Z156" s="260" t="str">
        <f>IFERROR( TEXT(SnapshotTable[[#This Row],[Equity Max Gain Per Share]] /ABS( SnapshotTable[[#This Row],[Equity Max Loss Per Share]]),"0.0 " ) &amp; " : 1", "")</f>
        <v/>
      </c>
      <c r="AA156" s="31" t="str">
        <f>IF(ISNUMBER(SnapshotTable[[#This Row],[Equity Max Gain Per Share]]),SnapshotTable[[#This Row],[Equity Max Gain Per Share]] * SnapshotTable[[#This Row],[Equity Shares]],"")</f>
        <v/>
      </c>
      <c r="AB156" s="31" t="str">
        <f>IF(ISNUMBER(SnapshotTable[[#This Row],[Equity Max Loss Per Share]]),SnapshotTable[[#This Row],[Equity Max Loss Per Share]] * SnapshotTable[[#This Row],[Equity Shares]],"")</f>
        <v/>
      </c>
      <c r="AC156" s="148">
        <v>2.2000000000000002</v>
      </c>
      <c r="AD156" s="149">
        <v>42329</v>
      </c>
      <c r="AE156" s="31">
        <f>(SnapshotTable[[#This Row],[Annual Dividend Per Share]] / 4) * SnapshotTable[[#This Row],[Equity Shares]]</f>
        <v>0</v>
      </c>
      <c r="AF156" s="31">
        <f>SnapshotTable[[#This Row],[Quarterly Div $]] * 4</f>
        <v>0</v>
      </c>
      <c r="AG156" s="7">
        <f>IF(SnapshotTable[[#This Row],[Annual Dividend Per Share]]&gt;0, SnapshotTable[[#This Row],[Annual Dividend Per Share]]  / SnapshotTable[[#This Row],[Last Price]], 0)</f>
        <v>5.4066009682730825E-3</v>
      </c>
      <c r="AH156" s="149">
        <v>42213</v>
      </c>
      <c r="AI156" s="5"/>
      <c r="AJ156" s="136">
        <v>74</v>
      </c>
      <c r="AK156" s="150" t="str">
        <f>IF(ISNUMBER( SnapshotTable[[#This Row],[EBF Target]]),(SnapshotTable[[#This Row],[EBF Target]] - SnapshotTable[[#This Row],[Last Price]]) / SnapshotTable[[#This Row],[Last Price]], "")</f>
        <v/>
      </c>
      <c r="AL156" s="150" t="str">
        <f>IF(AND(SnapshotTable[[#This Row],[Equity Basis Total]] &gt; 0,ISNUMBER( SnapshotTable[[#This Row],[Long Term Target]])), SnapshotTable[[#This Row],[From Basis $]] / SnapshotTable[[#This Row],[Equity Basis Total]], "")</f>
        <v/>
      </c>
      <c r="AM156" s="9">
        <f>IF( AND(SnapshotTable[[#This Row],[Equity Shares]] &gt;0,ISNUMBER( SnapshotTable[[#This Row],[Long Term Target]])),(SnapshotTable[[#This Row],[Equity Shares]] * SnapshotTable[[#This Row],[Long Term Target]]) - SnapshotTable[[#This Row],[Equity Basis Total]],0)</f>
        <v>0</v>
      </c>
      <c r="AN156" s="9">
        <f>IF( AND(SnapshotTable[[#This Row],[Equity Shares]] &gt;0,ISNUMBER( SnapshotTable[[#This Row],[Long Term Target]])),(SnapshotTable[[#This Row],[Equity Shares]]*SnapshotTable[[#This Row],[Long Term Target]]) - SnapshotTable[[#This Row],[Equity Value]],0)</f>
        <v>0</v>
      </c>
      <c r="AO156" s="150">
        <f>IF(AND(ISNUMBER( SnapshotTable[[#This Row],[Long Term Target]]), ISNUMBER(SnapshotTable[[#This Row],[Last Price]])),(SnapshotTable[[#This Row],[Long Term Target]] - SnapshotTable[[#This Row],[Last Price]]) / SnapshotTable[[#This Row],[Last Price]], "")</f>
        <v>-0.81814160379445089</v>
      </c>
      <c r="AP156" s="5"/>
      <c r="AQ156" s="38"/>
      <c r="AR156" s="5"/>
      <c r="AS156" s="38"/>
      <c r="AT156" s="144"/>
      <c r="AU156" s="185" t="str">
        <f>IF(OR(SnapshotTable[[#This Row],[LP No Fill]]="Y",SnapshotTable[[#This Row],[SP Is Filled]],SnapshotTable[[#This Row],[LC Not Filled]]="Y",SnapshotTable[[#This Row],[SC Is Filled]]),"Y","")</f>
        <v/>
      </c>
      <c r="AV156" s="205"/>
      <c r="AW156" s="211"/>
      <c r="AX156" s="206"/>
      <c r="AY156" s="205" t="str">
        <f>IF(SnapshotTable[[#This Row],[Implied Move]]&gt;0, SnapshotTable[[#This Row],[Last Price]]-SnapshotTable[[#This Row],[Implied Move]],"")</f>
        <v/>
      </c>
      <c r="AZ156" s="205" t="str">
        <f>IF(SnapshotTable[[#This Row],[Implied Move]]&gt;0, SnapshotTable[[#This Row],[Last Price]] + SnapshotTable[[#This Row],[Implied Move]],"")</f>
        <v/>
      </c>
      <c r="BA156" s="302"/>
      <c r="BB156" s="318"/>
      <c r="BC15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6" s="321"/>
      <c r="BE156" s="5"/>
      <c r="BF156" s="14"/>
      <c r="BG156" s="13"/>
      <c r="BH156" s="13"/>
      <c r="BI156" s="5"/>
      <c r="BJ156" s="134">
        <f>IF(SnapshotTable[[#This Row],[LP Qty]] &gt; 0, SnapshotTable[[#This Row],[LP Qty]] * SnapshotTable[[#This Row],[LP Book Price]] * 100,0)</f>
        <v>0</v>
      </c>
      <c r="BK156" s="134">
        <f>IF(SnapshotTable[[#This Row],[LP Premium]] &gt; 0, SnapshotTable[[#This Row],[LP Qty]] * SnapshotTable[[#This Row],[LP Strike Price]] * 100,0)</f>
        <v>0</v>
      </c>
      <c r="BL156" s="152"/>
      <c r="BM156" s="355" t="str">
        <f>IF(SnapshotTable[[#This Row],[LP Premium]] &gt; 0,SnapshotTable[[#This Row],[LP Exp Date]]-MAX(SnapshotTable[[#This Row],[LP Book Date]], SnapshotTable[[#This Row],[LP Fill Date]]),"")</f>
        <v/>
      </c>
      <c r="BN156" s="355" t="str">
        <f>IF(ISNUMBER( SnapshotTable[[#This Row],[LP Term]]), SnapshotTable[[#This Row],[LP Exp Date]] - MockToday,"")</f>
        <v/>
      </c>
      <c r="BO156" s="161" t="str">
        <f>IF(AND(SnapshotTable[[#This Row],[LP Exp Date]]&gt;0, SnapshotTable[[#This Row],[LP Strike Price]]&gt;0,SnapshotTable[[#This Row],[LP Qty]]&gt;0,SnapshotTable[[#This Row],[LP Book Date]]&gt;0,SnapshotTable[[#This Row],[LP Book Price]]&gt;0,SnapshotTable[[#This Row],[LP Fill Date]]=0),"Y","")</f>
        <v/>
      </c>
      <c r="BP156" s="31" t="str">
        <f>IF(AND(SnapshotTable[[#This Row],[LP No Fill]]&lt;&gt;"Y",SnapshotTable[[#This Row],[LP Contract Value]]&gt;0, SnapshotTable[[#This Row],[LP Qty]]&gt;0), SnapshotTable[[#This Row],[LP Contract Value]]*SnapshotTable[[#This Row],[LP Qty]]*100,"")</f>
        <v/>
      </c>
      <c r="BQ156" s="13"/>
      <c r="BR156" s="5"/>
      <c r="BS156" s="36"/>
      <c r="BT156" s="145"/>
      <c r="BU156" s="13"/>
      <c r="BV156" s="5"/>
      <c r="BW156" s="382" t="b">
        <f>AND(ISNUMBER(SnapshotTable[[#This Row],[SP Exp Date]]), ISNUMBER(SnapshotTable[[#This Row],[SP Strike Price]]), ISNUMBER(SnapshotTable[[#This Row],[SP Qty]]), ISNUMBER(SnapshotTable[[#This Row],[SP Book Date]]), ISNUMBER(SnapshotTable[[#This Row],[SP Book Price]]))</f>
        <v>0</v>
      </c>
      <c r="BX156" s="382" t="b">
        <f>AND(SnapshotTable[[#This Row],[SP Is Booked]], NOT(ISBLANK(SnapshotTable[[#This Row],[SP Fill Date]])))</f>
        <v>0</v>
      </c>
      <c r="BY156" s="33">
        <f>IF(SnapshotTable[[#This Row],[SP Is Booked]], SnapshotTable[[#This Row],[SP Qty]] * SnapshotTable[[#This Row],[SP Book Price]] * 100, 0)</f>
        <v>0</v>
      </c>
      <c r="BZ156" s="339"/>
      <c r="CA156" s="338">
        <f>SnapshotTable[[#This Row],[LP Qty]]</f>
        <v>0</v>
      </c>
      <c r="CB156" s="4" t="str">
        <f>IF(SnapshotTable[[#This Row],[SP Is Booked]], SnapshotTable[[#This Row],[SP Strike Price]] - SnapshotTable[[#This Row],[SP Book Price]], "")</f>
        <v/>
      </c>
      <c r="CC156" s="19" t="str">
        <f>IF(SnapshotTable[[#This Row],[SP Is Booked]],SnapshotTable[[#This Row],[SP Exp Date]]-MAX(SnapshotTable[[#This Row],[SP Book Date]], SnapshotTable[[#This Row],[SP Fill Date]]),"")</f>
        <v/>
      </c>
      <c r="CD156" s="7" t="str">
        <f>IF(SnapshotTable[[#This Row],[SP Is Booked]], SnapshotTable[[#This Row],[SP Book Price]]/SnapshotTable[[#This Row],[SP Strike Price]], "")</f>
        <v/>
      </c>
      <c r="CE156" s="7" t="str">
        <f>IF(ISNUMBER(SnapshotTable[[#This Row],[SP ROO Term]]),SnapshotTable[[#This Row],[SP ROO Term]]*(365/SnapshotTable[[#This Row],[SP Term]]),"")</f>
        <v/>
      </c>
      <c r="CF156" s="221">
        <f>SnapshotTable[[#This Row],[LP Strike Price]] * SnapshotTable[[#This Row],[LP Qty]] * 100</f>
        <v>0</v>
      </c>
      <c r="CG156" s="31">
        <f>IF(ISNUMBER(SnapshotTable[[#This Row],[SP Premium]]), (SnapshotTable[[#This Row],[SP Qty]] * SnapshotTable[[#This Row],[SP Strike Price]]* 100) - SnapshotTable[[#This Row],[LP Protection]], 0)</f>
        <v>0</v>
      </c>
      <c r="CH156" s="7" t="str">
        <f>IF(ISNUMBER(SnapshotTable[[#This Row],[SP Break Even]]),-1 * (SnapshotTable[[#This Row],[SP Break Even]] - SnapshotTable[[#This Row],[Last Price]]) / SnapshotTable[[#This Row],[Last Price]], "")</f>
        <v/>
      </c>
      <c r="CI156" s="31">
        <f>IF(AND(ISNUMBER((SnapshotTable[[#This Row],[SP Potential Spend]])), SnapshotTable[[#This Row],[SP Strike Price]] &gt; SnapshotTable[[#This Row],[Last Price]], SnapshotTable[[#This Row],[SP Is Filled]]), SnapshotTable[[#This Row],[SP Potential Spend]] -  SnapshotTable[[#This Row],[LP Max Value]], 0)</f>
        <v>0</v>
      </c>
      <c r="CJ156" s="229"/>
      <c r="CK156" s="31">
        <f>IF(ISNUMBER(SnapshotTable[[#This Row],[SP Potential Spend]]),IF(ISNUMBER(SnapshotTable[[#This Row],[SP POW]]), SnapshotTable[[#This Row],[SP POW]] * SnapshotTable[[#This Row],[SP Potential Spend]], SnapshotTable[[#This Row],[SP Potential Spend]]), "")</f>
        <v>0</v>
      </c>
      <c r="CL156" s="162">
        <f>IF(NOT(SnapshotTable[[#This Row],[SP Is Filled]]),(SnapshotTable[[#This Row],[SP Qty]] * SnapshotTable[[#This Row],[SP Strike Price]] * 100) - SnapshotTable[[#This Row],[LP Max Value]],"")</f>
        <v>0</v>
      </c>
      <c r="CM156" s="31" t="str">
        <f>IF(SnapshotTable[[#This Row],[SP Actual Spend]]&lt;&gt;0, ((SnapshotTable[[#This Row],[SP Strike Price]]-SnapshotTable[[#This Row],[Last Price]]) *(SnapshotTable[[#This Row],[SP Qty]]*100) - SnapshotTable[[#This Row],[SP Premium]]) * - 1, "")</f>
        <v/>
      </c>
      <c r="CN156" s="76"/>
      <c r="CO156" s="339"/>
      <c r="CP156" s="4" t="str">
        <f>IF(SnapshotTable[[#This Row],[SP Is Filled]], btc_max_buyback_amount(SnapshotTable[[#This Row],[SP Fill Date]],SnapshotTable[[#This Row],[SP Exp Date]], SnapshotTable[[#This Row],[SP Book Price]]),"")</f>
        <v/>
      </c>
      <c r="CQ156" s="76"/>
      <c r="CR15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6" s="153" t="str">
        <f>IF(SnapshotTable[[#This Row],[SP Is Filled]], btc_next_cutoff_date(SnapshotTable[[#This Row],[SP Fill Date]],SnapshotTable[[#This Row],[SP Exp Date]]),"")</f>
        <v/>
      </c>
      <c r="CT156" s="220" t="str" cm="1">
        <f t="array" ref="CT156">IF(SnapshotTable[[#This Row],[SP Is Filled]], btc_should_buy_back(SnapshotTable[[#This Row],[SP Fill Date]], SnapshotTable[[#This Row],[SP Exp Date]], SnapshotTable[[#This Row],[SP Book Price]], SnapshotTable[[#This Row],[SP Current Ask]], MockToday, SnapshotTable[[#This Row],[SP Buyback Override]]),"")</f>
        <v/>
      </c>
      <c r="CU156" s="141"/>
      <c r="CV156" s="220"/>
      <c r="CW156" s="348" t="str">
        <f>IF(ISNUMBER( SnapshotTable[[#This Row],[SP Term]]), SnapshotTable[[#This Row],[SP Exp Date]] - MockToday,"")</f>
        <v/>
      </c>
      <c r="CX156" s="31" t="str">
        <f>IF(SnapshotTable[[#This Row],[SP Is Filled]],SnapshotTable[[#This Row],[SP Buyback Price to Use]] * 100 * SnapshotTable[[#This Row],[SP Qty]], "")</f>
        <v/>
      </c>
      <c r="CY156" s="4" t="str">
        <f>IF(ISNUMBER(SnapshotTable[[#This Row],[SP Strike Price]]), SnapshotTable[[#This Row],[SP Strike Price]] * (1 - SP_MaxLoss_StrikePct), "")</f>
        <v/>
      </c>
      <c r="CZ156" s="31" t="str">
        <f>IF(ISNUMBER(SnapshotTable[[#This Row],[SP Strike  Stop Per Share]]),SnapshotTable[[#This Row],[SP Premium]] - ((SnapshotTable[[#This Row],[SP Strike Price]]-SnapshotTable[[#This Row],[SP Strike  Stop Per Share]]) *(SnapshotTable[[#This Row],[SP Qty]] * 100)),"")</f>
        <v/>
      </c>
      <c r="DA156" s="4" t="str">
        <f>IF(AND(ISNUMBER(SnapshotTable[[#This Row],[SP Premium]]),SnapshotTable[[#This Row],[SP Premium]]&gt;0), SnapshotTable[[#This Row],[SP Book Price]] * (1 + SP_MaxLoss_OptionPct), "")</f>
        <v/>
      </c>
      <c r="DB156" s="31" t="str">
        <f>IF(ISNUMBER(SnapshotTable[[#This Row],[SP Option  Stop Contract]]),(SnapshotTable[[#This Row],[SP Option  Stop Contract]] *(SnapshotTable[[#This Row],[SP Qty]] * 100) - SnapshotTable[[#This Row],[SP Premium]]),"")</f>
        <v/>
      </c>
      <c r="DC156" s="4"/>
      <c r="DD156" s="4"/>
      <c r="DE156" s="4" t="str">
        <f>IF(AND(SnapshotTable[[#This Row],[SP Qty]]&gt;0, SnapshotTable[[#This Row],[SP Stop To Use]]&gt;0),SnapshotTable[[#This Row],[SP Premium]] - ( SnapshotTable[[#This Row],[SP Qty]] * SnapshotTable[[#This Row],[SP Stop To Use]] * 100), "")</f>
        <v/>
      </c>
      <c r="DF156" s="31" t="str">
        <f>IF(AND(SnapshotTable[[#This Row],[SP Qty]]&gt;0,SnapshotTable[[#This Row],[SP Current Ask]]&gt;0), SnapshotTable[[#This Row],[SP Qty]] * SnapshotTable[[#This Row],[SP Current Ask]] * -100, "")</f>
        <v/>
      </c>
      <c r="DG156" s="31" t="str">
        <f>IF(ISNUMBER((SnapshotTable[[#This Row],[SP Total Value]])), SnapshotTable[[#This Row],[SP Premium]] + SnapshotTable[[#This Row],[SP Total Value]], "")</f>
        <v/>
      </c>
      <c r="DH156" s="272" t="str">
        <f>IF(ISNUMBER((SnapshotTable[[#This Row],[SP Total Value]])), SnapshotTable[[#This Row],[SP Gain Loss]] / SnapshotTable[[#This Row],[SP Premium]], "")</f>
        <v/>
      </c>
      <c r="DI156" s="369"/>
      <c r="DJ156" s="136"/>
      <c r="DK156" s="146"/>
      <c r="DL156" s="13"/>
      <c r="DM156" s="13"/>
      <c r="DO156" s="31">
        <f>IF(SnapshotTable[[#This Row],[LC Symbol Count]]=1, SnapshotTable[[#This Row],[LC Qty]] * SnapshotTable[[#This Row],[LC Book Price]] * 100, 0)</f>
        <v>0</v>
      </c>
      <c r="DP156" s="161" t="str">
        <f>IF(AND(SnapshotTable[[#This Row],[LC Exp Date]]&gt;0, SnapshotTable[[#This Row],[LC Strike Price]]&gt;0,SnapshotTable[[#This Row],[LC Qty]]&gt;0,SnapshotTable[[#This Row],[LC Book Date]]&gt;0,SnapshotTable[[#This Row],[LC Book Price]]&gt;0,SnapshotTable[[#This Row],[LC Fill Date]]=0),"Y","")</f>
        <v/>
      </c>
      <c r="DQ156" s="356" t="str">
        <f>IF(SnapshotTable[[#This Row],[LC Premium]] &gt; 0,SnapshotTable[[#This Row],[LC Exp Date]]-MAX(SnapshotTable[[#This Row],[LC Book Date]], SnapshotTable[[#This Row],[LC Fill Date]]),"")</f>
        <v/>
      </c>
      <c r="DR156" s="356" t="str">
        <f>IF(ISNUMBER(SnapshotTable[[#This Row],[LC Term]]), SnapshotTable[[#This Row],[LC Exp Date]] - MockToday, "")</f>
        <v/>
      </c>
      <c r="DS156" s="219" t="str">
        <f>IF(SnapshotTable[[#This Row],[LC Premium]]&gt;0,SnapshotTable[[#This Row],[LC Strike Price]] + SnapshotTable[[#This Row],[LC Book Price]],"")</f>
        <v/>
      </c>
      <c r="DU156" s="9" t="str">
        <f>IF(AND(SnapshotTable[[#This Row],[LC Symbol Count]]&gt;0, SnapshotTable[[#This Row],[LC Contract Value]]&gt;0), SnapshotTable[[#This Row],[LC Contract Value]] * SnapshotTable[[#This Row],[LC Qty]] * 100, "")</f>
        <v/>
      </c>
      <c r="DV156" s="9" t="str">
        <f>IF(AND(ISNUMBER(SnapshotTable[[#This Row],[LC Total Value]]), SnapshotTable[[#This Row],[LC Not Filled]]&lt;&gt;"Y"), SnapshotTable[[#This Row],[LC Total Value]]-SnapshotTable[[#This Row],[LC Premium]],"")</f>
        <v/>
      </c>
      <c r="DW156" s="225" t="str">
        <f>IF(ISNUMBER(SnapshotTable[[#This Row],[LC Actual Gain Loss]]), SnapshotTable[[#This Row],[LC Actual Gain Loss]] / SnapshotTable[[#This Row],[LC Premium]],"")</f>
        <v/>
      </c>
      <c r="DX156" s="269" t="str">
        <f>IF(ISNUMBER(SnapshotTable[[#This Row],[LC Book Price]]),SnapshotTable[[#This Row],[LC Book Price]] * 1.5,"")</f>
        <v/>
      </c>
      <c r="DY156" s="250" t="str">
        <f>IF(SnapshotTable[[#This Row],[LC Premium]]&gt;0, SnapshotTable[[#This Row],[LC Next Target]] * SnapshotTable[[#This Row],[LC Qty]] * 100,"")</f>
        <v/>
      </c>
      <c r="DZ156" s="250" t="str">
        <f>IF(ISNUMBER(SnapshotTable[[#This Row],[LC Target Gross]]), SnapshotTable[[#This Row],[LC Target Gross]] - SnapshotTable[[#This Row],[LC Premium]], "")</f>
        <v/>
      </c>
      <c r="EA156" s="283" t="str">
        <f>IF(ISNUMBER(SnapshotTable[[#This Row],[LC Target Gain Loss]]), SnapshotTable[[#This Row],[LC Target Gain Loss]]/SnapshotTable[[#This Row],[LC Premium]], "")</f>
        <v/>
      </c>
      <c r="EB156" s="247"/>
      <c r="EC156" s="268" t="str">
        <f>IF(SnapshotTable[[#This Row],[LC Premium]]&gt;0, SnapshotTable[[#This Row],[LC Book Price]] * (1 - LC_StopLoss_Pct),"")</f>
        <v/>
      </c>
      <c r="ED156" s="269"/>
      <c r="EE156" s="268" t="str">
        <f>IF(ISNUMBER(SnapshotTable[[#This Row],[LC Contract Value]]),IF(ISNUMBER(SnapshotTable[[#This Row],[LC Stop Loss Override]]), SnapshotTable[[#This Row],[LC Stop Loss Override]],SnapshotTable[[#This Row],[LC Stop Loss Calc Target]]),"")</f>
        <v/>
      </c>
      <c r="EF156" s="31" t="str">
        <f>IF(ISNUMBER(SnapshotTable[[#This Row],[LC Stop  To Use]]), (SnapshotTable[[#This Row],[LC Stop  To Use]] * SnapshotTable[[#This Row],[LC Qty]] * 100),"")</f>
        <v/>
      </c>
      <c r="EG156" s="9" t="str">
        <f>IF(ISNUMBER(SnapshotTable[[#This Row],[LC Total Value]]),SnapshotTable[[#This Row],[LC Stop Loss Amount]] - SnapshotTable[[#This Row],[LC Premium]],"")</f>
        <v/>
      </c>
      <c r="EH156" s="9">
        <f>IF(ISNUMBER(SnapshotTable[[#This Row],[LC Premium]]), SnapshotTable[[#This Row],[LC Qty]] * 100 * SnapshotTable[[#This Row],[LC Strike Price]], "")</f>
        <v>0</v>
      </c>
      <c r="EI156" s="225" t="str">
        <f>IF(AND(ISNUMBER(SnapshotTable[[#This Row],[LC Total Value]]),SnapshotTable[[#This Row],[LC Total Value]]&gt;0),SnapshotTable[[#This Row],[LC Stop Gain Loss]]  / SnapshotTable[[#This Row],[LC Premium]],"")</f>
        <v/>
      </c>
      <c r="EJ156" s="35">
        <f>IF(ISNUMBER(SnapshotTable[[#This Row],[Equity Shares]]),TRUNC(SnapshotTable[[#This Row],[Equity Shares]] / 100),0) + SnapshotTable[[#This Row],[LC Qty]]</f>
        <v>0</v>
      </c>
      <c r="EK156" s="145"/>
      <c r="EL156" s="136"/>
      <c r="EM156" s="146"/>
      <c r="EN156" s="145"/>
      <c r="EO156" s="145"/>
      <c r="EP156" s="136"/>
      <c r="EQ156" s="382" t="b">
        <f>AND(ISNUMBER(SnapshotTable[[#This Row],[SC Exp Date]]), ISNUMBER(SnapshotTable[[#This Row],[SC Strike Price]]), ISNUMBER(SnapshotTable[[#This Row],[SC Qty]]), ISNUMBER(SnapshotTable[[#This Row],[SC Book Date]]), ISNUMBER(SnapshotTable[[#This Row],[SC Book Price]]))</f>
        <v>0</v>
      </c>
      <c r="ER156" s="382" t="b">
        <f>AND(SnapshotTable[[#This Row],[SC Is Booked]], NOT(ISBLANK(SnapshotTable[[#This Row],[SC Fill Date]])))</f>
        <v>0</v>
      </c>
      <c r="ES156" s="340"/>
      <c r="ET156" s="34" t="str">
        <f>IF(AND(ISNUMBER(SnapshotTable[[#This Row],[SC Exp Date]]), ISNUMBER(SnapshotTable[[#This Row],[SC Book Date]])), SnapshotTable[[#This Row],[SC Exp Date]] - MAX(SnapshotTable[[#This Row],[SC Book Date]], SnapshotTable[[#This Row],[SC Fill Date]]) + 1, "")</f>
        <v/>
      </c>
      <c r="EU156" s="34" t="str">
        <f>IF(ISNUMBER(SnapshotTable[[#This Row],[SC Term]]), SnapshotTable[[#This Row],[SC Exp Date]]- MockToday, "")</f>
        <v/>
      </c>
      <c r="EV156" s="31">
        <f>IF(SnapshotTable[[#This Row],[SC Is Booked]], SnapshotTable[[#This Row],[SC Qty]] * SnapshotTable[[#This Row],[SC Book Price]] * 100, 0)</f>
        <v>0</v>
      </c>
      <c r="EW156" s="4" t="str">
        <f>IF(AND(ISNUMBER(SnapshotTable[[#This Row],[Last Price]]), ISNUMBER( SnapshotTable[[#This Row],[SC Book Price]])), SnapshotTable[[#This Row],[Last Price]] - SnapshotTable[[#This Row],[SC Book Price]],"")</f>
        <v/>
      </c>
      <c r="EX156" s="219" t="str">
        <f>IF(SnapshotTable[[#This Row],[SC Is Booked]],IF(SnapshotTable[[#This Row],[SC Intrinsic Value]] &gt; 0, SnapshotTable[[#This Row],[SC Strike Price]], SnapshotTable[[#This Row],[Last Price]]), "")</f>
        <v/>
      </c>
      <c r="EY156" s="4">
        <f>IF(SnapshotTable[[#This Row],[SC Is Booked]], (MinimumPremiumRequired * SnapshotTable[[#This Row],[SC Basis]] * SnapshotTable[[#This Row],[SC Term]]), 0)</f>
        <v>0</v>
      </c>
      <c r="EZ156" s="268"/>
      <c r="FA156" s="204"/>
      <c r="FB156" s="340"/>
      <c r="FC156" s="4">
        <f>IF(SnapshotTable[[#This Row],[SC Is Filled]], btc_max_buyback_amount(SnapshotTable[[#This Row],[SC Fill Date]],SnapshotTable[[#This Row],[SC Exp Date]], SnapshotTable[[#This Row],[SC Book Price]]),0)</f>
        <v>0</v>
      </c>
      <c r="FD156" s="5"/>
      <c r="FE156" s="142" t="str">
        <f>IF(SnapshotTable[[#This Row],[SC Is Filled]], btc_next_cutoff_date(SnapshotTable[[#This Row],[SC Fill Date]],SnapshotTable[[#This Row],[SC Exp Date]]),"")</f>
        <v/>
      </c>
      <c r="FF156" s="4" t="str" cm="1">
        <f t="array" ref="FF156">IF(SnapshotTable[[#This Row],[SC Is Filled]], btc_should_buy_back(SnapshotTable[[#This Row],[SC Fill Date]], SnapshotTable[[#This Row],[SC Exp Date]], SnapshotTable[[#This Row],[SC Book Price]], SnapshotTable[[#This Row],[SC Current Ask]], MockToday, SnapshotTable[[#This Row],[SC Buyback Override]]),"")</f>
        <v/>
      </c>
      <c r="FG156" s="4">
        <f>IF(SnapshotTable[[#This Row],[SC Is Filled]], MAX(0,SnapshotTable[[#This Row],[Last Price]]  - SnapshotTable[[#This Row],[SC Strike Price]]), 0)</f>
        <v>0</v>
      </c>
      <c r="FH156" s="352">
        <f>IF(SnapshotTable[[#This Row],[SC Is Filled]], IF(ISNUMBER(SnapshotTable[[#This Row],[SC Current Ask]]), SnapshotTable[[#This Row],[SC Current Ask]], SnapshotTable[[#This Row],[SC Book Price]]) - SnapshotTable[[#This Row],[SC Intrinsic Value]], 0)</f>
        <v>0</v>
      </c>
      <c r="FI156" s="141"/>
      <c r="FJ156" s="32" t="str">
        <f>IF(SnapshotTable[[#This Row],[SC Is Filled]],100 * SnapshotTable[[#This Row],[SC Qty]] * IF(ISNUMBER(SnapshotTable[[#This Row],[SC Buyback Override]]), SnapshotTable[[#This Row],[SC Buyback Override]], SnapshotTable[[#This Row],[SC Current Ask]]), "")</f>
        <v/>
      </c>
      <c r="FK156" s="235" t="str">
        <f>IF(SnapshotTable[[#This Row],[SC Time Val]]&gt;0, SnapshotTable[[#This Row],[SC Time Val]] / SnapshotTable[[#This Row],[Last Price]],"")</f>
        <v/>
      </c>
      <c r="FL156" s="280" t="str">
        <f>IF(SnapshotTable[[#This Row],[SC Is Booked]], ((SnapshotTable[[#This Row],[Last Price]] -SnapshotTable[[#This Row],[SC Strike Price]]) / SnapshotTable[[#This Row],[Last Price]]) * -1, "")</f>
        <v/>
      </c>
      <c r="FM156" s="155" t="str">
        <f>IF(SnapshotTable[[#This Row],[SC Is Booked]],  (SnapshotTable[[#This Row],[SC Qty]] * 100 * SnapshotTable[[#This Row],[SC Strike Price]]) - SnapshotTable[[#This Row],[SC Current Ask]], "")</f>
        <v/>
      </c>
      <c r="FN15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6" s="31" t="str">
        <f>IF(AND(ISNUMBER(SnapshotTable[[#This Row],[SC Exercise Gross]]), ISNUMBER(SnapshotTable[[#This Row],[Equity Basis Per Share]] )), SnapshotTable[[#This Row],[SC Exercise Gross]] - SnapshotTable[[#This Row],[Equity Basis Total]] +  SnapshotTable[[#This Row],[SC Premium]], "")</f>
        <v/>
      </c>
      <c r="FP156" s="5" t="str">
        <f>IF(ISNUMBER(SnapshotTable[[#This Row],[SC Exercise Gross]]), (SnapshotTable[[#This Row],[SC Exercise Gross]]) / (SnapshotTable[[#This Row],[SC Qty]] * 100), "")</f>
        <v/>
      </c>
      <c r="FQ156" s="27" t="str">
        <f>IF(SnapshotTable[[#This Row],[SC Is Booked]],SnapshotTable[[#This Row],[SC Time Val]] /SnapshotTable[[#This Row],[SC Basis]], "")</f>
        <v/>
      </c>
      <c r="FR156" s="27" t="str" cm="1">
        <f t="array" ref="FR156">IF(AND(ISNUMBER(SnapshotTable[[#This Row],[SC Term]]),ISNUMBER(SnapshotTable[[#This Row],[SC Simple ROO]])), EllmanAnnualize(SnapshotTable[[#This Row],[SC DTE]], SnapshotTable[[#This Row],[SC Simple ROO]] ),"")</f>
        <v/>
      </c>
      <c r="FS156" s="4">
        <f>IF(SnapshotTable[[#This Row],[SC Strike Price]] &gt; SnapshotTable[[#This Row],[Last Price]], SnapshotTable[[#This Row],[SC Strike Price]] - SnapshotTable[[#This Row],[Last Price]],0)</f>
        <v>0</v>
      </c>
      <c r="FT156" s="27" t="str">
        <f>IF(AND(ISNUMBER(SnapshotTable[[#This Row],[SC Upside Potential]]), SnapshotTable[[#This Row],[SC Upside Potential]] &gt; 0),(SnapshotTable[[#This Row],[SC Upside Potential]]/ SnapshotTable[[#This Row],[ACB]]),"")</f>
        <v/>
      </c>
      <c r="FU156" s="304" t="str">
        <f>IF(SnapshotTable[[#This Row],[SC Intrinsic Value]] &gt; 0,SnapshotTable[[#This Row],[SC Intrinsic Value]],"")</f>
        <v/>
      </c>
      <c r="FV156" s="27" t="str">
        <f>IF(AND( ISNUMBER( SnapshotTable[[#This Row],[ACB]]),ISNUMBER(SnapshotTable[[#This Row],[SC Downside Protect]])),SnapshotTable[[#This Row],[SC Downside Protect]] / SnapshotTable[[#This Row],[ACB]],"")</f>
        <v/>
      </c>
      <c r="FW156" s="221" t="str">
        <f>IF(AND(ISNUMBER(SnapshotTable[[#This Row],[SC Simple ROO]]),SnapshotTable[[#This Row],[SC Simple ROO]] &gt; 0), SnapshotTable[[#This Row],[SC Premium]] + (SnapshotTable[[#This Row],[SC Qty]] * SnapshotTable[[#This Row],[SC Upside Potential]]), "")</f>
        <v/>
      </c>
      <c r="FX156" s="280" t="str" cm="1">
        <f t="array" ref="FX156">IF(ISNUMBER(SnapshotTable[[#This Row],[SC Max Dollars]]), annualize(SnapshotTable[[#This Row],[SC Term]],(SnapshotTable[[#This Row],[SC Max Dollars]]/SnapshotTable[[#This Row],[SC Basis]])),"")</f>
        <v/>
      </c>
      <c r="FY156" s="221" t="str">
        <f>IF(AND(SnapshotTable[[#This Row],[SC Qty]]&gt;0,SnapshotTable[[#This Row],[SC Current Ask]]&gt;0), SnapshotTable[[#This Row],[SC Qty]] * SnapshotTable[[#This Row],[SC Current Ask]] * -100, "")</f>
        <v/>
      </c>
      <c r="FZ156" s="31" t="str">
        <f>IF(ISNUMBER((SnapshotTable[[#This Row],[SC Current Value]])), SnapshotTable[[#This Row],[SC Premium]] + SnapshotTable[[#This Row],[SC Current Value]], "")</f>
        <v/>
      </c>
      <c r="GA156" s="272" t="str">
        <f>IFERROR( IF(ISNUMBER((SnapshotTable[[#This Row],[SC Current Value]])), SnapshotTable[[#This Row],[SC Gain Loss]] / SnapshotTable[[#This Row],[SC Premium]], ""), "")</f>
        <v/>
      </c>
      <c r="GB156" s="42">
        <f>SnapshotTable[[#This Row],[Equity Shares]] * SaleSharesToConsiderPercentage</f>
        <v>0</v>
      </c>
      <c r="GC156" s="40">
        <f>SnapshotTable[[#This Row],[Long Term Target]] * SellingPriceToConsiderBasedOnTargetPercentage</f>
        <v>70.3</v>
      </c>
      <c r="GD156" s="40">
        <f>SnapshotTable[[#This Row],[Last Price]] * (1+ SellingPriceToConsiderBasedOnTargetPercentage)</f>
        <v>793.47450000000003</v>
      </c>
      <c r="GE156" s="41"/>
      <c r="GF156" s="40"/>
      <c r="GG156" s="31">
        <f>SnapshotTable[[#This Row],[Booked Sale Shares]] * SnapshotTable[[#This Row],[Booked Sale Price]]</f>
        <v>0</v>
      </c>
      <c r="GH156" s="31" t="str">
        <f>IF(SnapshotTable[[#This Row],[Equity Basis Total]] &gt; 0, SnapshotTable[[#This Row],[Equity Basis Per Share]] * SnapshotTable[[#This Row],[Booked Sale Shares]], "")</f>
        <v/>
      </c>
      <c r="GI156" s="31">
        <f>IF(SnapshotTable[[#This Row],[Sale Proceeds]]&gt;0, SnapshotTable[[#This Row],[Sale Proceeds]] - SnapshotTable[[#This Row],[Sale Basis]], 0)</f>
        <v>0</v>
      </c>
      <c r="GJ156" s="27" t="str">
        <f>IF(SnapshotTable[[#This Row],[Sale G/L]]&gt;0, SnapshotTable[[#This Row],[Sale G/L]] / SnapshotTable[[#This Row],[Sale Basis]], IF(ISNUMBER(SnapshotTable[[#This Row],[SC Exercise P&amp;L (TAX)]]), SnapshotTable[[#This Row],[SC Exercise P&amp;L (TAX)]] / SnapshotTable[[#This Row],[SC Basis]], ""))</f>
        <v/>
      </c>
      <c r="GK156" s="27" t="s">
        <v>578</v>
      </c>
      <c r="GL156" s="43" t="str">
        <f>IF(AND(SnapshotTable[[#This Row],[LP Exp Date]]&gt;0,SnapshotTable[[#This Row],[LP Strike Price]]&gt;0), [1]!ToOptionSymbol(SnapshotTable[[#This Row],[Symbol]], SnapshotTable[[#This Row],[LP Strike Price]],SnapshotTable[[#This Row],[LP Exp Date]],1), "")</f>
        <v/>
      </c>
      <c r="GM156" s="30" t="str">
        <f>IF(LEN(SnapshotTable[[#This Row],[LP Symbol]])&gt;0, 1, "")</f>
        <v/>
      </c>
      <c r="GN156" s="43" t="str">
        <f>IF(AND(SnapshotTable[[#This Row],[SP Exp Date]]&gt;0,SnapshotTable[[#This Row],[SP Strike Price]]&gt;0), [1]!ToOptionSymbol(SnapshotTable[[#This Row],[Symbol]], SnapshotTable[[#This Row],[SP Strike Price]],SnapshotTable[[#This Row],[SP Exp Date]],1), "")</f>
        <v/>
      </c>
      <c r="GO156" s="30" t="str">
        <f>IF(LEN(SnapshotTable[[#This Row],[SP Symbol]])&gt;0, 1, "")</f>
        <v/>
      </c>
      <c r="GP156" s="43" t="str">
        <f>IF(AND(SnapshotTable[[#This Row],[LC Exp Date]]&gt;0,SnapshotTable[[#This Row],[LC Strike Price]]&gt;0), [1]!ToOptionSymbol(SnapshotTable[[#This Row],[Symbol]], SnapshotTable[[#This Row],[LC Strike Price]],SnapshotTable[[#This Row],[LC Exp Date]],0), "")</f>
        <v/>
      </c>
      <c r="GQ156" s="30" t="str">
        <f>IF(LEN(SnapshotTable[[#This Row],[LC Symbol]])&gt;0, 1, "")</f>
        <v/>
      </c>
      <c r="GR156" s="43" t="str">
        <f>IF(AND(SnapshotTable[[#This Row],[SC Exp Date]]&gt;0,SnapshotTable[[#This Row],[SC Strike Price]]&gt;0), [1]!ToOptionSymbol(SnapshotTable[[#This Row],[Symbol]], SnapshotTable[[#This Row],[SC Strike Price]],SnapshotTable[[#This Row],[SC Exp Date]],0), "")</f>
        <v/>
      </c>
      <c r="GS156" s="30" t="str">
        <f>IF(LEN(SnapshotTable[[#This Row],[SC Symbol]])&gt;0, 1, "")</f>
        <v/>
      </c>
      <c r="GT156" s="29" t="str">
        <f>IF(COUNT(SnapshotTable[[#This Row],[LP Symbol Count]],SnapshotTable[[#This Row],[SP Symbol Count]],SnapshotTable[[#This Row],[LC Symbol Count]],SnapshotTable[[#This Row],[SC Symbol Count]])&gt;0, "Y", "")</f>
        <v/>
      </c>
      <c r="GU15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6" s="216">
        <f>MAX(SnapshotTable[[#This Row],[Equity Basis Total]],SnapshotTable[[#This Row],[Equity Value]]) + (SnapshotTable[[#This Row],[SP Potential Spend]]- SnapshotTable[[#This Row],[SP Premium]] + SnapshotTable[[#This Row],[LP Premium]])+ (SnapshotTable[[#This Row],[LC Premium]] - SnapshotTable[[#This Row],[SC Premium]])</f>
        <v>0</v>
      </c>
      <c r="GW156" s="137" t="str">
        <f>IF(AND(SnapshotTable[[#This Row],[Exposure]] &lt;&gt; 0),SnapshotTable[[#This Row],[Exposure]] / SnapshotTable[[#Totals],[Exposure]], "")</f>
        <v/>
      </c>
      <c r="HE156" s="253"/>
      <c r="HF156" s="253"/>
      <c r="HK156" s="1"/>
      <c r="HL156" s="1"/>
      <c r="HM156" s="1"/>
      <c r="HN156" s="1"/>
      <c r="HO156" s="1"/>
      <c r="HP156" s="1"/>
    </row>
    <row r="157" spans="2:224" ht="12.75" hidden="1" customHeight="1" x14ac:dyDescent="0.25">
      <c r="B157" s="12" t="s">
        <v>461</v>
      </c>
      <c r="C157" s="385">
        <v>36.619999999999997</v>
      </c>
      <c r="D157" s="200"/>
      <c r="E157" s="39">
        <f>SnapshotTable[[#This Row],[Last Price]]*(1 -CrashDiscount)</f>
        <v>31.126999999999995</v>
      </c>
      <c r="F157" s="26" t="s">
        <v>5</v>
      </c>
      <c r="G157" s="26" t="s">
        <v>4</v>
      </c>
      <c r="H157" s="147"/>
      <c r="I157" s="186">
        <v>44775.270833333336</v>
      </c>
      <c r="J157" s="187">
        <v>44775.270833333336</v>
      </c>
      <c r="K157" s="188"/>
      <c r="L157" s="297"/>
      <c r="M157" s="138"/>
      <c r="N157" s="138"/>
      <c r="O157" s="138"/>
      <c r="P157" s="22"/>
      <c r="Q157" s="25"/>
      <c r="R157" s="4" t="str">
        <f>IF(SnapshotTable[[#This Row],[Equity Basis Total]] &gt; 0, SnapshotTable[[#This Row],[Equity Basis Total]] / SnapshotTable[[#This Row],[Equity Shares]], "")</f>
        <v/>
      </c>
      <c r="S157" s="254">
        <f>SnapshotTable[[#This Row],[Last Price]] * SnapshotTable[[#This Row],[Equity Shares]]</f>
        <v>0</v>
      </c>
      <c r="T157" s="254">
        <f>SnapshotTable[[#This Row],[Equity Value]] - SnapshotTable[[#This Row],[Equity Basis Total]]</f>
        <v>0</v>
      </c>
      <c r="U157" s="255" t="str">
        <f>IF(SnapshotTable[[#This Row],[Equity Basis Total]] &gt; 0, SnapshotTable[[#This Row],[Equity G/L]] / SnapshotTable[[#This Row],[Equity Basis Total]], "")</f>
        <v/>
      </c>
      <c r="V157" s="253"/>
      <c r="W157" s="253"/>
      <c r="X157" s="4" t="str">
        <f>IF(AND(ISNUMBER(SnapshotTable[[#This Row],[Equity Basis Per Share]]),ISNUMBER(SnapshotTable[[#This Row],[Equity Target]])),SnapshotTable[[#This Row],[Equity Target]]-SnapshotTable[[#This Row],[Equity Basis Per Share]],"")</f>
        <v/>
      </c>
      <c r="Y157" s="4" t="str">
        <f>IF(AND(ISNUMBER(SnapshotTable[[#This Row],[Equity Basis Per Share]]),ISNUMBER(SnapshotTable[[#This Row],[Equity Stop Loss]])),SnapshotTable[[#This Row],[Equity Stop Loss]]-SnapshotTable[[#This Row],[Equity Basis Per Share]],"")</f>
        <v/>
      </c>
      <c r="Z157" s="260" t="str">
        <f>IFERROR( TEXT(SnapshotTable[[#This Row],[Equity Max Gain Per Share]] /ABS( SnapshotTable[[#This Row],[Equity Max Loss Per Share]]),"0.0 " ) &amp; " : 1", "")</f>
        <v/>
      </c>
      <c r="AA157" s="31" t="str">
        <f>IF(ISNUMBER(SnapshotTable[[#This Row],[Equity Max Gain Per Share]]),SnapshotTable[[#This Row],[Equity Max Gain Per Share]] * SnapshotTable[[#This Row],[Equity Shares]],"")</f>
        <v/>
      </c>
      <c r="AB157" s="31" t="str">
        <f>IF(ISNUMBER(SnapshotTable[[#This Row],[Equity Max Loss Per Share]]),SnapshotTable[[#This Row],[Equity Max Loss Per Share]] * SnapshotTable[[#This Row],[Equity Shares]],"")</f>
        <v/>
      </c>
      <c r="AC157" s="148"/>
      <c r="AD157" s="149"/>
      <c r="AE157" s="31">
        <f>(SnapshotTable[[#This Row],[Annual Dividend Per Share]] / 4) * SnapshotTable[[#This Row],[Equity Shares]]</f>
        <v>0</v>
      </c>
      <c r="AF157" s="31">
        <f>SnapshotTable[[#This Row],[Quarterly Div $]] * 4</f>
        <v>0</v>
      </c>
      <c r="AG157" s="7">
        <f>IF(SnapshotTable[[#This Row],[Annual Dividend Per Share]]&gt;0, SnapshotTable[[#This Row],[Annual Dividend Per Share]]  / SnapshotTable[[#This Row],[Last Price]], 0)</f>
        <v>0</v>
      </c>
      <c r="AH157" s="149"/>
      <c r="AI157" s="5"/>
      <c r="AJ157" s="136" t="s">
        <v>111</v>
      </c>
      <c r="AK157" s="150" t="str">
        <f>IF(ISNUMBER( SnapshotTable[[#This Row],[EBF Target]]),(SnapshotTable[[#This Row],[EBF Target]] - SnapshotTable[[#This Row],[Last Price]]) / SnapshotTable[[#This Row],[Last Price]], "")</f>
        <v/>
      </c>
      <c r="AL157" s="150" t="str">
        <f>IF(AND(SnapshotTable[[#This Row],[Equity Basis Total]] &gt; 0,ISNUMBER( SnapshotTable[[#This Row],[Long Term Target]])), SnapshotTable[[#This Row],[From Basis $]] / SnapshotTable[[#This Row],[Equity Basis Total]], "")</f>
        <v/>
      </c>
      <c r="AM157" s="9">
        <f>IF( AND(SnapshotTable[[#This Row],[Equity Shares]] &gt;0,ISNUMBER( SnapshotTable[[#This Row],[Long Term Target]])),(SnapshotTable[[#This Row],[Equity Shares]] * SnapshotTable[[#This Row],[Long Term Target]]) - SnapshotTable[[#This Row],[Equity Basis Total]],0)</f>
        <v>0</v>
      </c>
      <c r="AN157" s="9">
        <f>IF( AND(SnapshotTable[[#This Row],[Equity Shares]] &gt;0,ISNUMBER( SnapshotTable[[#This Row],[Long Term Target]])),(SnapshotTable[[#This Row],[Equity Shares]]*SnapshotTable[[#This Row],[Long Term Target]]) - SnapshotTable[[#This Row],[Equity Value]],0)</f>
        <v>0</v>
      </c>
      <c r="AO157" s="150" t="str">
        <f>IF(AND(ISNUMBER( SnapshotTable[[#This Row],[Long Term Target]]), ISNUMBER(SnapshotTable[[#This Row],[Last Price]])),(SnapshotTable[[#This Row],[Long Term Target]] - SnapshotTable[[#This Row],[Last Price]]) / SnapshotTable[[#This Row],[Last Price]], "")</f>
        <v/>
      </c>
      <c r="AP157" s="5">
        <v>40.5</v>
      </c>
      <c r="AQ157" s="38" t="s">
        <v>22</v>
      </c>
      <c r="AR157" s="5">
        <v>40.5</v>
      </c>
      <c r="AS157" s="38" t="s">
        <v>15</v>
      </c>
      <c r="AT157" s="144" t="s">
        <v>438</v>
      </c>
      <c r="AU157" s="185" t="str">
        <f>IF(OR(SnapshotTable[[#This Row],[LP No Fill]]="Y",SnapshotTable[[#This Row],[SP Is Filled]],SnapshotTable[[#This Row],[LC Not Filled]]="Y",SnapshotTable[[#This Row],[SC Is Filled]]),"Y","")</f>
        <v/>
      </c>
      <c r="AV157" s="205"/>
      <c r="AW157" s="211"/>
      <c r="AX157" s="206"/>
      <c r="AY157" s="205" t="str">
        <f>IF(SnapshotTable[[#This Row],[Implied Move]]&gt;0, SnapshotTable[[#This Row],[Last Price]]-SnapshotTable[[#This Row],[Implied Move]],"")</f>
        <v/>
      </c>
      <c r="AZ157" s="205" t="str">
        <f>IF(SnapshotTable[[#This Row],[Implied Move]]&gt;0, SnapshotTable[[#This Row],[Last Price]] + SnapshotTable[[#This Row],[Implied Move]],"")</f>
        <v/>
      </c>
      <c r="BA157" s="302"/>
      <c r="BB157" s="318"/>
      <c r="BC15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7" s="321"/>
      <c r="BE157" s="166"/>
      <c r="BF157" s="167"/>
      <c r="BG157" s="168"/>
      <c r="BH157" s="168"/>
      <c r="BI157" s="5"/>
      <c r="BJ157" s="151">
        <f>IF(SnapshotTable[[#This Row],[LP Qty]] &gt; 0, SnapshotTable[[#This Row],[LP Qty]] * SnapshotTable[[#This Row],[LP Book Price]] * 100,0)</f>
        <v>0</v>
      </c>
      <c r="BK157" s="134">
        <f>IF(SnapshotTable[[#This Row],[LP Premium]] &gt; 0, SnapshotTable[[#This Row],[LP Qty]] * SnapshotTable[[#This Row],[LP Strike Price]] * 100,0)</f>
        <v>0</v>
      </c>
      <c r="BL157" s="152"/>
      <c r="BM157" s="355" t="str">
        <f>IF(SnapshotTable[[#This Row],[LP Premium]] &gt; 0,SnapshotTable[[#This Row],[LP Exp Date]]-MAX(SnapshotTable[[#This Row],[LP Book Date]], SnapshotTable[[#This Row],[LP Fill Date]]),"")</f>
        <v/>
      </c>
      <c r="BN157" s="355" t="str">
        <f>IF(ISNUMBER( SnapshotTable[[#This Row],[LP Term]]), SnapshotTable[[#This Row],[LP Exp Date]] - MockToday,"")</f>
        <v/>
      </c>
      <c r="BO157" s="161" t="str">
        <f>IF(AND(SnapshotTable[[#This Row],[LP Exp Date]]&gt;0, SnapshotTable[[#This Row],[LP Strike Price]]&gt;0,SnapshotTable[[#This Row],[LP Qty]]&gt;0,SnapshotTable[[#This Row],[LP Book Date]]&gt;0,SnapshotTable[[#This Row],[LP Book Price]]&gt;0,SnapshotTable[[#This Row],[LP Fill Date]]=0),"Y","")</f>
        <v/>
      </c>
      <c r="BP157" s="31" t="str">
        <f>IF(AND(SnapshotTable[[#This Row],[LP No Fill]]&lt;&gt;"Y",SnapshotTable[[#This Row],[LP Contract Value]]&gt;0, SnapshotTable[[#This Row],[LP Qty]]&gt;0), SnapshotTable[[#This Row],[LP Contract Value]]*SnapshotTable[[#This Row],[LP Qty]]*100,"")</f>
        <v/>
      </c>
      <c r="BQ157" s="13"/>
      <c r="BR157" s="5"/>
      <c r="BS157" s="36"/>
      <c r="BT157" s="145"/>
      <c r="BU157" s="13"/>
      <c r="BV157" s="5"/>
      <c r="BW157" s="382" t="b">
        <f>AND(ISNUMBER(SnapshotTable[[#This Row],[SP Exp Date]]), ISNUMBER(SnapshotTable[[#This Row],[SP Strike Price]]), ISNUMBER(SnapshotTable[[#This Row],[SP Qty]]), ISNUMBER(SnapshotTable[[#This Row],[SP Book Date]]), ISNUMBER(SnapshotTable[[#This Row],[SP Book Price]]))</f>
        <v>0</v>
      </c>
      <c r="BX157" s="382" t="b">
        <f>AND(SnapshotTable[[#This Row],[SP Is Booked]], NOT(ISBLANK(SnapshotTable[[#This Row],[SP Fill Date]])))</f>
        <v>0</v>
      </c>
      <c r="BY157" s="33">
        <f>IF(SnapshotTable[[#This Row],[SP Is Booked]], SnapshotTable[[#This Row],[SP Qty]] * SnapshotTable[[#This Row],[SP Book Price]] * 100, 0)</f>
        <v>0</v>
      </c>
      <c r="BZ157" s="339"/>
      <c r="CA157" s="338">
        <f>SnapshotTable[[#This Row],[LP Qty]]</f>
        <v>0</v>
      </c>
      <c r="CB157" s="4" t="str">
        <f>IF(SnapshotTable[[#This Row],[SP Is Booked]], SnapshotTable[[#This Row],[SP Strike Price]] - SnapshotTable[[#This Row],[SP Book Price]], "")</f>
        <v/>
      </c>
      <c r="CC157" s="19" t="str">
        <f>IF(SnapshotTable[[#This Row],[SP Is Booked]],SnapshotTable[[#This Row],[SP Exp Date]]-MAX(SnapshotTable[[#This Row],[SP Book Date]], SnapshotTable[[#This Row],[SP Fill Date]]),"")</f>
        <v/>
      </c>
      <c r="CD157" s="7" t="str">
        <f>IF(SnapshotTable[[#This Row],[SP Is Booked]], SnapshotTable[[#This Row],[SP Book Price]]/SnapshotTable[[#This Row],[SP Strike Price]], "")</f>
        <v/>
      </c>
      <c r="CE157" s="7" t="str">
        <f>IF(ISNUMBER(SnapshotTable[[#This Row],[SP ROO Term]]),SnapshotTable[[#This Row],[SP ROO Term]]*(365/SnapshotTable[[#This Row],[SP Term]]),"")</f>
        <v/>
      </c>
      <c r="CF157" s="221">
        <f>SnapshotTable[[#This Row],[LP Strike Price]] * SnapshotTable[[#This Row],[LP Qty]] * 100</f>
        <v>0</v>
      </c>
      <c r="CG157" s="31">
        <f>IF(ISNUMBER(SnapshotTable[[#This Row],[SP Premium]]), (SnapshotTable[[#This Row],[SP Qty]] * SnapshotTable[[#This Row],[SP Strike Price]]* 100) - SnapshotTable[[#This Row],[LP Protection]], 0)</f>
        <v>0</v>
      </c>
      <c r="CH157" s="7" t="str">
        <f>IF(ISNUMBER(SnapshotTable[[#This Row],[SP Break Even]]),-1 * (SnapshotTable[[#This Row],[SP Break Even]] - SnapshotTable[[#This Row],[Last Price]]) / SnapshotTable[[#This Row],[Last Price]], "")</f>
        <v/>
      </c>
      <c r="CI157" s="31">
        <f>IF(AND(ISNUMBER((SnapshotTable[[#This Row],[SP Potential Spend]])), SnapshotTable[[#This Row],[SP Strike Price]] &gt; SnapshotTable[[#This Row],[Last Price]], SnapshotTable[[#This Row],[SP Is Filled]]), SnapshotTable[[#This Row],[SP Potential Spend]] -  SnapshotTable[[#This Row],[LP Max Value]], 0)</f>
        <v>0</v>
      </c>
      <c r="CJ157" s="229"/>
      <c r="CK157" s="31">
        <f>IF(ISNUMBER(SnapshotTable[[#This Row],[SP Potential Spend]]),IF(ISNUMBER(SnapshotTable[[#This Row],[SP POW]]), SnapshotTable[[#This Row],[SP POW]] * SnapshotTable[[#This Row],[SP Potential Spend]], SnapshotTable[[#This Row],[SP Potential Spend]]), "")</f>
        <v>0</v>
      </c>
      <c r="CL157" s="162">
        <f>IF(NOT(SnapshotTable[[#This Row],[SP Is Filled]]),(SnapshotTable[[#This Row],[SP Qty]] * SnapshotTable[[#This Row],[SP Strike Price]] * 100) - SnapshotTable[[#This Row],[LP Max Value]],"")</f>
        <v>0</v>
      </c>
      <c r="CM157" s="31" t="str">
        <f>IF(SnapshotTable[[#This Row],[SP Actual Spend]]&lt;&gt;0, ((SnapshotTable[[#This Row],[SP Strike Price]]-SnapshotTable[[#This Row],[Last Price]]) *(SnapshotTable[[#This Row],[SP Qty]]*100) - SnapshotTable[[#This Row],[SP Premium]]) * - 1, "")</f>
        <v/>
      </c>
      <c r="CN157" s="152"/>
      <c r="CO157" s="339"/>
      <c r="CP157" s="4" t="str">
        <f>IF(SnapshotTable[[#This Row],[SP Is Filled]], btc_max_buyback_amount(SnapshotTable[[#This Row],[SP Fill Date]],SnapshotTable[[#This Row],[SP Exp Date]], SnapshotTable[[#This Row],[SP Book Price]]),"")</f>
        <v/>
      </c>
      <c r="CQ157" s="76"/>
      <c r="CR15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7" s="153" t="str">
        <f>IF(SnapshotTable[[#This Row],[SP Is Filled]], btc_next_cutoff_date(SnapshotTable[[#This Row],[SP Fill Date]],SnapshotTable[[#This Row],[SP Exp Date]]),"")</f>
        <v/>
      </c>
      <c r="CT157" s="220" t="str" cm="1">
        <f t="array" ref="CT157">IF(SnapshotTable[[#This Row],[SP Is Filled]], btc_should_buy_back(SnapshotTable[[#This Row],[SP Fill Date]], SnapshotTable[[#This Row],[SP Exp Date]], SnapshotTable[[#This Row],[SP Book Price]], SnapshotTable[[#This Row],[SP Current Ask]], MockToday, SnapshotTable[[#This Row],[SP Buyback Override]]),"")</f>
        <v/>
      </c>
      <c r="CU157" s="154"/>
      <c r="CV157" s="220"/>
      <c r="CW157" s="348" t="str">
        <f>IF(ISNUMBER( SnapshotTable[[#This Row],[SP Term]]), SnapshotTable[[#This Row],[SP Exp Date]] - MockToday,"")</f>
        <v/>
      </c>
      <c r="CX157" s="31" t="str">
        <f>IF(SnapshotTable[[#This Row],[SP Is Filled]],SnapshotTable[[#This Row],[SP Buyback Price to Use]] * 100 * SnapshotTable[[#This Row],[SP Qty]], "")</f>
        <v/>
      </c>
      <c r="CY157" s="4" t="str">
        <f>IF(ISNUMBER(SnapshotTable[[#This Row],[SP Strike Price]]), SnapshotTable[[#This Row],[SP Strike Price]] * (1 - SP_MaxLoss_StrikePct), "")</f>
        <v/>
      </c>
      <c r="CZ157" s="31" t="str">
        <f>IF(ISNUMBER(SnapshotTable[[#This Row],[SP Strike  Stop Per Share]]),SnapshotTable[[#This Row],[SP Premium]] - ((SnapshotTable[[#This Row],[SP Strike Price]]-SnapshotTable[[#This Row],[SP Strike  Stop Per Share]]) *(SnapshotTable[[#This Row],[SP Qty]] * 100)),"")</f>
        <v/>
      </c>
      <c r="DA157" s="4" t="str">
        <f>IF(AND(ISNUMBER(SnapshotTable[[#This Row],[SP Premium]]),SnapshotTable[[#This Row],[SP Premium]]&gt;0), SnapshotTable[[#This Row],[SP Book Price]] * (1 + SP_MaxLoss_OptionPct), "")</f>
        <v/>
      </c>
      <c r="DB157" s="31" t="str">
        <f>IF(ISNUMBER(SnapshotTable[[#This Row],[SP Option  Stop Contract]]),(SnapshotTable[[#This Row],[SP Option  Stop Contract]] *(SnapshotTable[[#This Row],[SP Qty]] * 100) - SnapshotTable[[#This Row],[SP Premium]]),"")</f>
        <v/>
      </c>
      <c r="DC157" s="4"/>
      <c r="DD157" s="4"/>
      <c r="DE157" s="4" t="str">
        <f>IF(AND(SnapshotTable[[#This Row],[SP Qty]]&gt;0, SnapshotTable[[#This Row],[SP Stop To Use]]&gt;0),SnapshotTable[[#This Row],[SP Premium]] - ( SnapshotTable[[#This Row],[SP Qty]] * SnapshotTable[[#This Row],[SP Stop To Use]] * 100), "")</f>
        <v/>
      </c>
      <c r="DF157" s="31" t="str">
        <f>IF(AND(SnapshotTable[[#This Row],[SP Qty]]&gt;0,SnapshotTable[[#This Row],[SP Current Ask]]&gt;0), SnapshotTable[[#This Row],[SP Qty]] * SnapshotTable[[#This Row],[SP Current Ask]] * -100, "")</f>
        <v/>
      </c>
      <c r="DG157" s="31" t="str">
        <f>IF(ISNUMBER((SnapshotTable[[#This Row],[SP Total Value]])), SnapshotTable[[#This Row],[SP Premium]] + SnapshotTable[[#This Row],[SP Total Value]], "")</f>
        <v/>
      </c>
      <c r="DH157" s="272" t="str">
        <f>IF(ISNUMBER((SnapshotTable[[#This Row],[SP Total Value]])), SnapshotTable[[#This Row],[SP Gain Loss]] / SnapshotTable[[#This Row],[SP Premium]], "")</f>
        <v/>
      </c>
      <c r="DI157" s="369"/>
      <c r="DJ157" s="136"/>
      <c r="DK157" s="146"/>
      <c r="DL157" s="13"/>
      <c r="DM157" s="13"/>
      <c r="DO157" s="31">
        <f>IF(SnapshotTable[[#This Row],[LC Symbol Count]]=1, SnapshotTable[[#This Row],[LC Qty]] * SnapshotTable[[#This Row],[LC Book Price]] * 100, 0)</f>
        <v>0</v>
      </c>
      <c r="DP157" s="161" t="str">
        <f>IF(AND(SnapshotTable[[#This Row],[LC Exp Date]]&gt;0, SnapshotTable[[#This Row],[LC Strike Price]]&gt;0,SnapshotTable[[#This Row],[LC Qty]]&gt;0,SnapshotTable[[#This Row],[LC Book Date]]&gt;0,SnapshotTable[[#This Row],[LC Book Price]]&gt;0,SnapshotTable[[#This Row],[LC Fill Date]]=0),"Y","")</f>
        <v/>
      </c>
      <c r="DQ157" s="356" t="str">
        <f>IF(SnapshotTable[[#This Row],[LC Premium]] &gt; 0,SnapshotTable[[#This Row],[LC Exp Date]]-MAX(SnapshotTable[[#This Row],[LC Book Date]], SnapshotTable[[#This Row],[LC Fill Date]]),"")</f>
        <v/>
      </c>
      <c r="DR157" s="356" t="str">
        <f>IF(ISNUMBER(SnapshotTable[[#This Row],[LC Term]]), SnapshotTable[[#This Row],[LC Exp Date]] - MockToday, "")</f>
        <v/>
      </c>
      <c r="DS157" s="219" t="str">
        <f>IF(SnapshotTable[[#This Row],[LC Premium]]&gt;0,SnapshotTable[[#This Row],[LC Strike Price]] + SnapshotTable[[#This Row],[LC Book Price]],"")</f>
        <v/>
      </c>
      <c r="DU157" s="9" t="str">
        <f>IF(AND(SnapshotTable[[#This Row],[LC Symbol Count]]&gt;0, SnapshotTable[[#This Row],[LC Contract Value]]&gt;0), SnapshotTable[[#This Row],[LC Contract Value]] * SnapshotTable[[#This Row],[LC Qty]] * 100, "")</f>
        <v/>
      </c>
      <c r="DV157" s="9" t="str">
        <f>IF(AND(ISNUMBER(SnapshotTable[[#This Row],[LC Total Value]]), SnapshotTable[[#This Row],[LC Not Filled]]&lt;&gt;"Y"), SnapshotTable[[#This Row],[LC Total Value]]-SnapshotTable[[#This Row],[LC Premium]],"")</f>
        <v/>
      </c>
      <c r="DW157" s="225" t="str">
        <f>IF(ISNUMBER(SnapshotTable[[#This Row],[LC Actual Gain Loss]]), SnapshotTable[[#This Row],[LC Actual Gain Loss]] / SnapshotTable[[#This Row],[LC Premium]],"")</f>
        <v/>
      </c>
      <c r="DX157" s="269" t="str">
        <f>IF(ISNUMBER(SnapshotTable[[#This Row],[LC Book Price]]),SnapshotTable[[#This Row],[LC Book Price]] * 1.5,"")</f>
        <v/>
      </c>
      <c r="DY157" s="250" t="str">
        <f>IF(SnapshotTable[[#This Row],[LC Premium]]&gt;0, SnapshotTable[[#This Row],[LC Next Target]] * SnapshotTable[[#This Row],[LC Qty]] * 100,"")</f>
        <v/>
      </c>
      <c r="DZ157" s="250" t="str">
        <f>IF(ISNUMBER(SnapshotTable[[#This Row],[LC Target Gross]]), SnapshotTable[[#This Row],[LC Target Gross]] - SnapshotTable[[#This Row],[LC Premium]], "")</f>
        <v/>
      </c>
      <c r="EA157" s="283" t="str">
        <f>IF(ISNUMBER(SnapshotTable[[#This Row],[LC Target Gain Loss]]), SnapshotTable[[#This Row],[LC Target Gain Loss]]/SnapshotTable[[#This Row],[LC Premium]], "")</f>
        <v/>
      </c>
      <c r="EB157" s="247"/>
      <c r="EC157" s="268" t="str">
        <f>IF(SnapshotTable[[#This Row],[LC Premium]]&gt;0, SnapshotTable[[#This Row],[LC Book Price]] * (1 - LC_StopLoss_Pct),"")</f>
        <v/>
      </c>
      <c r="ED157" s="269"/>
      <c r="EE157" s="268" t="str">
        <f>IF(ISNUMBER(SnapshotTable[[#This Row],[LC Contract Value]]),IF(ISNUMBER(SnapshotTable[[#This Row],[LC Stop Loss Override]]), SnapshotTable[[#This Row],[LC Stop Loss Override]],SnapshotTable[[#This Row],[LC Stop Loss Calc Target]]),"")</f>
        <v/>
      </c>
      <c r="EF157" s="31" t="str">
        <f>IF(ISNUMBER(SnapshotTable[[#This Row],[LC Stop  To Use]]), (SnapshotTable[[#This Row],[LC Stop  To Use]] * SnapshotTable[[#This Row],[LC Qty]] * 100),"")</f>
        <v/>
      </c>
      <c r="EG157" s="9" t="str">
        <f>IF(ISNUMBER(SnapshotTable[[#This Row],[LC Total Value]]),SnapshotTable[[#This Row],[LC Stop Loss Amount]] - SnapshotTable[[#This Row],[LC Premium]],"")</f>
        <v/>
      </c>
      <c r="EH157" s="9">
        <f>IF(ISNUMBER(SnapshotTable[[#This Row],[LC Premium]]), SnapshotTable[[#This Row],[LC Qty]] * 100 * SnapshotTable[[#This Row],[LC Strike Price]], "")</f>
        <v>0</v>
      </c>
      <c r="EI157" s="225" t="str">
        <f>IF(AND(ISNUMBER(SnapshotTable[[#This Row],[LC Total Value]]),SnapshotTable[[#This Row],[LC Total Value]]&gt;0),SnapshotTable[[#This Row],[LC Stop Gain Loss]]  / SnapshotTable[[#This Row],[LC Premium]],"")</f>
        <v/>
      </c>
      <c r="EJ157" s="35">
        <f>IF(ISNUMBER(SnapshotTable[[#This Row],[Equity Shares]]),TRUNC(SnapshotTable[[#This Row],[Equity Shares]] / 100),0) + SnapshotTable[[#This Row],[LC Qty]]</f>
        <v>0</v>
      </c>
      <c r="EK157" s="145"/>
      <c r="EL157" s="136"/>
      <c r="EM157" s="146"/>
      <c r="EN157" s="145"/>
      <c r="EO157" s="145"/>
      <c r="EP157" s="136"/>
      <c r="EQ157" s="382" t="b">
        <f>AND(ISNUMBER(SnapshotTable[[#This Row],[SC Exp Date]]), ISNUMBER(SnapshotTable[[#This Row],[SC Strike Price]]), ISNUMBER(SnapshotTable[[#This Row],[SC Qty]]), ISNUMBER(SnapshotTable[[#This Row],[SC Book Date]]), ISNUMBER(SnapshotTable[[#This Row],[SC Book Price]]))</f>
        <v>0</v>
      </c>
      <c r="ER157" s="382" t="b">
        <f>AND(SnapshotTable[[#This Row],[SC Is Booked]], NOT(ISBLANK(SnapshotTable[[#This Row],[SC Fill Date]])))</f>
        <v>0</v>
      </c>
      <c r="ES157" s="340"/>
      <c r="ET157" s="34" t="str">
        <f>IF(AND(ISNUMBER(SnapshotTable[[#This Row],[SC Exp Date]]), ISNUMBER(SnapshotTable[[#This Row],[SC Book Date]])), SnapshotTable[[#This Row],[SC Exp Date]] - MAX(SnapshotTable[[#This Row],[SC Book Date]], SnapshotTable[[#This Row],[SC Fill Date]]) + 1, "")</f>
        <v/>
      </c>
      <c r="EU157" s="34" t="str">
        <f>IF(ISNUMBER(SnapshotTable[[#This Row],[SC Term]]), SnapshotTable[[#This Row],[SC Exp Date]]- MockToday, "")</f>
        <v/>
      </c>
      <c r="EV157" s="31">
        <f>IF(SnapshotTable[[#This Row],[SC Is Booked]], SnapshotTable[[#This Row],[SC Qty]] * SnapshotTable[[#This Row],[SC Book Price]] * 100, 0)</f>
        <v>0</v>
      </c>
      <c r="EW157" s="4" t="str">
        <f>IF(AND(ISNUMBER(SnapshotTable[[#This Row],[Last Price]]), ISNUMBER( SnapshotTable[[#This Row],[SC Book Price]])), SnapshotTable[[#This Row],[Last Price]] - SnapshotTable[[#This Row],[SC Book Price]],"")</f>
        <v/>
      </c>
      <c r="EX157" s="219" t="str">
        <f>IF(SnapshotTable[[#This Row],[SC Is Booked]],IF(SnapshotTable[[#This Row],[SC Intrinsic Value]] &gt; 0, SnapshotTable[[#This Row],[SC Strike Price]], SnapshotTable[[#This Row],[Last Price]]), "")</f>
        <v/>
      </c>
      <c r="EY157" s="4">
        <f>IF(SnapshotTable[[#This Row],[SC Is Booked]], (MinimumPremiumRequired * SnapshotTable[[#This Row],[SC Basis]] * SnapshotTable[[#This Row],[SC Term]]), 0)</f>
        <v>0</v>
      </c>
      <c r="EZ157" s="268"/>
      <c r="FA157" s="204"/>
      <c r="FB157" s="340"/>
      <c r="FC157" s="4">
        <f>IF(SnapshotTable[[#This Row],[SC Is Filled]], btc_max_buyback_amount(SnapshotTable[[#This Row],[SC Fill Date]],SnapshotTable[[#This Row],[SC Exp Date]], SnapshotTable[[#This Row],[SC Book Price]]),0)</f>
        <v>0</v>
      </c>
      <c r="FD157" s="5"/>
      <c r="FE157" s="142" t="str">
        <f>IF(SnapshotTable[[#This Row],[SC Is Filled]], btc_next_cutoff_date(SnapshotTable[[#This Row],[SC Fill Date]],SnapshotTable[[#This Row],[SC Exp Date]]),"")</f>
        <v/>
      </c>
      <c r="FF157" s="4" t="str" cm="1">
        <f t="array" ref="FF157">IF(SnapshotTable[[#This Row],[SC Is Filled]], btc_should_buy_back(SnapshotTable[[#This Row],[SC Fill Date]], SnapshotTable[[#This Row],[SC Exp Date]], SnapshotTable[[#This Row],[SC Book Price]], SnapshotTable[[#This Row],[SC Current Ask]], MockToday, SnapshotTable[[#This Row],[SC Buyback Override]]),"")</f>
        <v/>
      </c>
      <c r="FG157" s="4">
        <f>IF(SnapshotTable[[#This Row],[SC Is Filled]], MAX(0,SnapshotTable[[#This Row],[Last Price]]  - SnapshotTable[[#This Row],[SC Strike Price]]), 0)</f>
        <v>0</v>
      </c>
      <c r="FH157" s="352">
        <f>IF(SnapshotTable[[#This Row],[SC Is Filled]], IF(ISNUMBER(SnapshotTable[[#This Row],[SC Current Ask]]), SnapshotTable[[#This Row],[SC Current Ask]], SnapshotTable[[#This Row],[SC Book Price]]) - SnapshotTable[[#This Row],[SC Intrinsic Value]], 0)</f>
        <v>0</v>
      </c>
      <c r="FI157" s="141"/>
      <c r="FJ157" s="32" t="str">
        <f>IF(SnapshotTable[[#This Row],[SC Is Filled]],100 * SnapshotTable[[#This Row],[SC Qty]] * IF(ISNUMBER(SnapshotTable[[#This Row],[SC Buyback Override]]), SnapshotTable[[#This Row],[SC Buyback Override]], SnapshotTable[[#This Row],[SC Current Ask]]), "")</f>
        <v/>
      </c>
      <c r="FK157" s="235" t="str">
        <f>IF(SnapshotTable[[#This Row],[SC Time Val]]&gt;0, SnapshotTable[[#This Row],[SC Time Val]] / SnapshotTable[[#This Row],[Last Price]],"")</f>
        <v/>
      </c>
      <c r="FL157" s="280" t="str">
        <f>IF(SnapshotTable[[#This Row],[SC Is Booked]], ((SnapshotTable[[#This Row],[Last Price]] -SnapshotTable[[#This Row],[SC Strike Price]]) / SnapshotTable[[#This Row],[Last Price]]) * -1, "")</f>
        <v/>
      </c>
      <c r="FM157" s="155" t="str">
        <f>IF(SnapshotTable[[#This Row],[SC Is Booked]],  (SnapshotTable[[#This Row],[SC Qty]] * 100 * SnapshotTable[[#This Row],[SC Strike Price]]) - SnapshotTable[[#This Row],[SC Current Ask]], "")</f>
        <v/>
      </c>
      <c r="FN15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7" s="155" t="str">
        <f>IF(AND(ISNUMBER(SnapshotTable[[#This Row],[SC Exercise Gross]]), ISNUMBER(SnapshotTable[[#This Row],[Equity Basis Per Share]] )), SnapshotTable[[#This Row],[SC Exercise Gross]] - SnapshotTable[[#This Row],[Equity Basis Total]] +  SnapshotTable[[#This Row],[SC Premium]], "")</f>
        <v/>
      </c>
      <c r="FP157" s="5" t="str">
        <f>IF(ISNUMBER(SnapshotTable[[#This Row],[SC Exercise Gross]]), (SnapshotTable[[#This Row],[SC Exercise Gross]]) / (SnapshotTable[[#This Row],[SC Qty]] * 100), "")</f>
        <v/>
      </c>
      <c r="FQ157" s="27" t="str">
        <f>IF(SnapshotTable[[#This Row],[SC Is Booked]],SnapshotTable[[#This Row],[SC Time Val]] /SnapshotTable[[#This Row],[SC Basis]], "")</f>
        <v/>
      </c>
      <c r="FR157" s="27" t="str" cm="1">
        <f t="array" ref="FR157">IF(AND(ISNUMBER(SnapshotTable[[#This Row],[SC Term]]),ISNUMBER(SnapshotTable[[#This Row],[SC Simple ROO]])), EllmanAnnualize(SnapshotTable[[#This Row],[SC DTE]], SnapshotTable[[#This Row],[SC Simple ROO]] ),"")</f>
        <v/>
      </c>
      <c r="FS157" s="4">
        <f>IF(SnapshotTable[[#This Row],[SC Strike Price]] &gt; SnapshotTable[[#This Row],[Last Price]], SnapshotTable[[#This Row],[SC Strike Price]] - SnapshotTable[[#This Row],[Last Price]],0)</f>
        <v>0</v>
      </c>
      <c r="FT157" s="27" t="str">
        <f>IF(AND(ISNUMBER(SnapshotTable[[#This Row],[SC Upside Potential]]), SnapshotTable[[#This Row],[SC Upside Potential]] &gt; 0),(SnapshotTable[[#This Row],[SC Upside Potential]]/ SnapshotTable[[#This Row],[ACB]]),"")</f>
        <v/>
      </c>
      <c r="FU157" s="304" t="str">
        <f>IF(SnapshotTable[[#This Row],[SC Intrinsic Value]] &gt; 0,SnapshotTable[[#This Row],[SC Intrinsic Value]],"")</f>
        <v/>
      </c>
      <c r="FV157" s="27" t="str">
        <f>IF(AND( ISNUMBER( SnapshotTable[[#This Row],[ACB]]),ISNUMBER(SnapshotTable[[#This Row],[SC Downside Protect]])),SnapshotTable[[#This Row],[SC Downside Protect]] / SnapshotTable[[#This Row],[ACB]],"")</f>
        <v/>
      </c>
      <c r="FW157" s="221" t="str">
        <f>IF(AND(ISNUMBER(SnapshotTable[[#This Row],[SC Simple ROO]]),SnapshotTable[[#This Row],[SC Simple ROO]] &gt; 0), SnapshotTable[[#This Row],[SC Premium]] + (SnapshotTable[[#This Row],[SC Qty]] * SnapshotTable[[#This Row],[SC Upside Potential]]), "")</f>
        <v/>
      </c>
      <c r="FX157" s="280" t="str" cm="1">
        <f t="array" ref="FX157">IF(ISNUMBER(SnapshotTable[[#This Row],[SC Max Dollars]]), annualize(SnapshotTable[[#This Row],[SC Term]],(SnapshotTable[[#This Row],[SC Max Dollars]]/SnapshotTable[[#This Row],[SC Basis]])),"")</f>
        <v/>
      </c>
      <c r="FY157" s="221" t="str">
        <f>IF(AND(SnapshotTable[[#This Row],[SC Qty]]&gt;0,SnapshotTable[[#This Row],[SC Current Ask]]&gt;0), SnapshotTable[[#This Row],[SC Qty]] * SnapshotTable[[#This Row],[SC Current Ask]] * -100, "")</f>
        <v/>
      </c>
      <c r="FZ157" s="31" t="str">
        <f>IF(ISNUMBER((SnapshotTable[[#This Row],[SC Current Value]])), SnapshotTable[[#This Row],[SC Premium]] + SnapshotTable[[#This Row],[SC Current Value]], "")</f>
        <v/>
      </c>
      <c r="GA157" s="272" t="str">
        <f>IFERROR( IF(ISNUMBER((SnapshotTable[[#This Row],[SC Current Value]])), SnapshotTable[[#This Row],[SC Gain Loss]] / SnapshotTable[[#This Row],[SC Premium]], ""), "")</f>
        <v/>
      </c>
      <c r="GB157" s="169">
        <f>SnapshotTable[[#This Row],[Equity Shares]] * SaleSharesToConsiderPercentage</f>
        <v>0</v>
      </c>
      <c r="GC157" s="170" t="e">
        <f>SnapshotTable[[#This Row],[Long Term Target]] * SellingPriceToConsiderBasedOnTargetPercentage</f>
        <v>#VALUE!</v>
      </c>
      <c r="GD157" s="170">
        <f>SnapshotTable[[#This Row],[Last Price]] * (1+ SellingPriceToConsiderBasedOnTargetPercentage)</f>
        <v>71.408999999999992</v>
      </c>
      <c r="GE157" s="171"/>
      <c r="GF157" s="170"/>
      <c r="GG157" s="31">
        <f>SnapshotTable[[#This Row],[Booked Sale Shares]] * SnapshotTable[[#This Row],[Booked Sale Price]]</f>
        <v>0</v>
      </c>
      <c r="GH157" s="31" t="str">
        <f>IF(SnapshotTable[[#This Row],[Equity Basis Total]] &gt; 0, SnapshotTable[[#This Row],[Equity Basis Per Share]] * SnapshotTable[[#This Row],[Booked Sale Shares]], "")</f>
        <v/>
      </c>
      <c r="GI157" s="31">
        <f>IF(SnapshotTable[[#This Row],[Sale Proceeds]]&gt;0, SnapshotTable[[#This Row],[Sale Proceeds]] - SnapshotTable[[#This Row],[Sale Basis]], 0)</f>
        <v>0</v>
      </c>
      <c r="GJ157" s="156" t="str">
        <f>IF(SnapshotTable[[#This Row],[Sale G/L]]&gt;0, SnapshotTable[[#This Row],[Sale G/L]] / SnapshotTable[[#This Row],[Sale Basis]], IF(ISNUMBER(SnapshotTable[[#This Row],[SC Exercise P&amp;L (TAX)]]), SnapshotTable[[#This Row],[SC Exercise P&amp;L (TAX)]] / SnapshotTable[[#This Row],[SC Basis]], ""))</f>
        <v/>
      </c>
      <c r="GK157" s="156" t="s">
        <v>579</v>
      </c>
      <c r="GL157" s="157" t="str">
        <f>IF(AND(SnapshotTable[[#This Row],[LP Exp Date]]&gt;0,SnapshotTable[[#This Row],[LP Strike Price]]&gt;0), [1]!ToOptionSymbol(SnapshotTable[[#This Row],[Symbol]], SnapshotTable[[#This Row],[LP Strike Price]],SnapshotTable[[#This Row],[LP Exp Date]],1), "")</f>
        <v/>
      </c>
      <c r="GM157" s="30" t="str">
        <f>IF(LEN(SnapshotTable[[#This Row],[LP Symbol]])&gt;0, 1, "")</f>
        <v/>
      </c>
      <c r="GN157" s="43" t="str">
        <f>IF(AND(SnapshotTable[[#This Row],[SP Exp Date]]&gt;0,SnapshotTable[[#This Row],[SP Strike Price]]&gt;0), [1]!ToOptionSymbol(SnapshotTable[[#This Row],[Symbol]], SnapshotTable[[#This Row],[SP Strike Price]],SnapshotTable[[#This Row],[SP Exp Date]],1), "")</f>
        <v/>
      </c>
      <c r="GO157" s="30" t="str">
        <f>IF(LEN(SnapshotTable[[#This Row],[SP Symbol]])&gt;0, 1, "")</f>
        <v/>
      </c>
      <c r="GP157" s="157" t="str">
        <f>IF(AND(SnapshotTable[[#This Row],[LC Exp Date]]&gt;0,SnapshotTable[[#This Row],[LC Strike Price]]&gt;0), [1]!ToOptionSymbol(SnapshotTable[[#This Row],[Symbol]], SnapshotTable[[#This Row],[LC Strike Price]],SnapshotTable[[#This Row],[LC Exp Date]],0), "")</f>
        <v/>
      </c>
      <c r="GQ157" s="158" t="str">
        <f>IF(LEN(SnapshotTable[[#This Row],[LC Symbol]])&gt;0, 1, "")</f>
        <v/>
      </c>
      <c r="GR157" s="157" t="str">
        <f>IF(AND(SnapshotTable[[#This Row],[SC Exp Date]]&gt;0,SnapshotTable[[#This Row],[SC Strike Price]]&gt;0), [1]!ToOptionSymbol(SnapshotTable[[#This Row],[Symbol]], SnapshotTable[[#This Row],[SC Strike Price]],SnapshotTable[[#This Row],[SC Exp Date]],0), "")</f>
        <v/>
      </c>
      <c r="GS157" s="158" t="str">
        <f>IF(LEN(SnapshotTable[[#This Row],[SC Symbol]])&gt;0, 1, "")</f>
        <v/>
      </c>
      <c r="GT157" s="159" t="str">
        <f>IF(COUNT(SnapshotTable[[#This Row],[LP Symbol Count]],SnapshotTable[[#This Row],[SP Symbol Count]],SnapshotTable[[#This Row],[LC Symbol Count]],SnapshotTable[[#This Row],[SC Symbol Count]])&gt;0, "Y", "")</f>
        <v/>
      </c>
      <c r="GU15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7" s="216">
        <f>MAX(SnapshotTable[[#This Row],[Equity Basis Total]],SnapshotTable[[#This Row],[Equity Value]]) + (SnapshotTable[[#This Row],[SP Potential Spend]]- SnapshotTable[[#This Row],[SP Premium]] + SnapshotTable[[#This Row],[LP Premium]])+ (SnapshotTable[[#This Row],[LC Premium]] - SnapshotTable[[#This Row],[SC Premium]])</f>
        <v>0</v>
      </c>
      <c r="GW157" s="137" t="str">
        <f>IF(AND(SnapshotTable[[#This Row],[Exposure]] &lt;&gt; 0),SnapshotTable[[#This Row],[Exposure]] / SnapshotTable[[#Totals],[Exposure]], "")</f>
        <v/>
      </c>
      <c r="HE157" s="253"/>
      <c r="HF157" s="253"/>
      <c r="HK157" s="1"/>
      <c r="HL157" s="1"/>
      <c r="HM157" s="1"/>
      <c r="HN157" s="1"/>
      <c r="HO157" s="1"/>
      <c r="HP157" s="1"/>
    </row>
    <row r="158" spans="2:224" ht="12.75" hidden="1" customHeight="1" x14ac:dyDescent="0.25">
      <c r="B158" s="12" t="s">
        <v>919</v>
      </c>
      <c r="C158" s="385">
        <v>54.98</v>
      </c>
      <c r="D158" s="200" t="s">
        <v>467</v>
      </c>
      <c r="E158" s="39">
        <f>SnapshotTable[[#This Row],[Last Price]]*(1 -CrashDiscount)</f>
        <v>46.732999999999997</v>
      </c>
      <c r="F158" s="296" t="s">
        <v>149</v>
      </c>
      <c r="G158" s="296" t="s">
        <v>32</v>
      </c>
      <c r="H158" s="147"/>
      <c r="I158" s="186"/>
      <c r="J158" s="187"/>
      <c r="K158" s="188"/>
      <c r="L158" s="297"/>
      <c r="M158" s="138"/>
      <c r="N158" s="138"/>
      <c r="O158" s="138"/>
      <c r="P158" s="22"/>
      <c r="Q158" s="25"/>
      <c r="R158" s="4" t="str">
        <f>IF(SnapshotTable[[#This Row],[Equity Basis Total]] &gt; 0, SnapshotTable[[#This Row],[Equity Basis Total]] / SnapshotTable[[#This Row],[Equity Shares]], "")</f>
        <v/>
      </c>
      <c r="S158" s="254">
        <f>SnapshotTable[[#This Row],[Last Price]] * SnapshotTable[[#This Row],[Equity Shares]]</f>
        <v>0</v>
      </c>
      <c r="T158" s="254">
        <f>SnapshotTable[[#This Row],[Equity Value]] - SnapshotTable[[#This Row],[Equity Basis Total]]</f>
        <v>0</v>
      </c>
      <c r="U158" s="255" t="str">
        <f>IF(SnapshotTable[[#This Row],[Equity Basis Total]] &gt; 0, SnapshotTable[[#This Row],[Equity G/L]] / SnapshotTable[[#This Row],[Equity Basis Total]], "")</f>
        <v/>
      </c>
      <c r="V158" s="253">
        <v>32</v>
      </c>
      <c r="W158" s="253"/>
      <c r="X158" s="4" t="str">
        <f>IF(AND(ISNUMBER(SnapshotTable[[#This Row],[Equity Basis Per Share]]),ISNUMBER(SnapshotTable[[#This Row],[Equity Target]])),SnapshotTable[[#This Row],[Equity Target]]-SnapshotTable[[#This Row],[Equity Basis Per Share]],"")</f>
        <v/>
      </c>
      <c r="Y158" s="4" t="str">
        <f>IF(AND(ISNUMBER(SnapshotTable[[#This Row],[Equity Basis Per Share]]),ISNUMBER(SnapshotTable[[#This Row],[Equity Stop Loss]])),SnapshotTable[[#This Row],[Equity Stop Loss]]-SnapshotTable[[#This Row],[Equity Basis Per Share]],"")</f>
        <v/>
      </c>
      <c r="Z158" s="260" t="str">
        <f>IFERROR( TEXT(SnapshotTable[[#This Row],[Equity Max Gain Per Share]] /ABS( SnapshotTable[[#This Row],[Equity Max Loss Per Share]]),"0.0 " ) &amp; " : 1", "")</f>
        <v/>
      </c>
      <c r="AA158" s="31" t="str">
        <f>IF(ISNUMBER(SnapshotTable[[#This Row],[Equity Max Gain Per Share]]),SnapshotTable[[#This Row],[Equity Max Gain Per Share]] * SnapshotTable[[#This Row],[Equity Shares]],"")</f>
        <v/>
      </c>
      <c r="AB158" s="31" t="str">
        <f>IF(ISNUMBER(SnapshotTable[[#This Row],[Equity Max Loss Per Share]]),SnapshotTable[[#This Row],[Equity Max Loss Per Share]] * SnapshotTable[[#This Row],[Equity Shares]],"")</f>
        <v/>
      </c>
      <c r="AC158" s="148"/>
      <c r="AD158" s="149"/>
      <c r="AE158" s="31">
        <f>(SnapshotTable[[#This Row],[Annual Dividend Per Share]] / 4) * SnapshotTable[[#This Row],[Equity Shares]]</f>
        <v>0</v>
      </c>
      <c r="AF158" s="31">
        <f>SnapshotTable[[#This Row],[Quarterly Div $]] * 4</f>
        <v>0</v>
      </c>
      <c r="AG158" s="7">
        <f>IF(SnapshotTable[[#This Row],[Annual Dividend Per Share]]&gt;0, SnapshotTable[[#This Row],[Annual Dividend Per Share]]  / SnapshotTable[[#This Row],[Last Price]], 0)</f>
        <v>0</v>
      </c>
      <c r="AH158" s="149"/>
      <c r="AI158" s="5"/>
      <c r="AJ158" s="136"/>
      <c r="AK158" s="150" t="str">
        <f>IF(ISNUMBER( SnapshotTable[[#This Row],[EBF Target]]),(SnapshotTable[[#This Row],[EBF Target]] - SnapshotTable[[#This Row],[Last Price]]) / SnapshotTable[[#This Row],[Last Price]], "")</f>
        <v/>
      </c>
      <c r="AL158" s="150" t="str">
        <f>IF(AND(SnapshotTable[[#This Row],[Equity Basis Total]] &gt; 0,ISNUMBER( SnapshotTable[[#This Row],[Long Term Target]])), SnapshotTable[[#This Row],[From Basis $]] / SnapshotTable[[#This Row],[Equity Basis Total]], "")</f>
        <v/>
      </c>
      <c r="AM158" s="9">
        <f>IF( AND(SnapshotTable[[#This Row],[Equity Shares]] &gt;0,ISNUMBER( SnapshotTable[[#This Row],[Long Term Target]])),(SnapshotTable[[#This Row],[Equity Shares]] * SnapshotTable[[#This Row],[Long Term Target]]) - SnapshotTable[[#This Row],[Equity Basis Total]],0)</f>
        <v>0</v>
      </c>
      <c r="AN158" s="9">
        <f>IF( AND(SnapshotTable[[#This Row],[Equity Shares]] &gt;0,ISNUMBER( SnapshotTable[[#This Row],[Long Term Target]])),(SnapshotTable[[#This Row],[Equity Shares]]*SnapshotTable[[#This Row],[Long Term Target]]) - SnapshotTable[[#This Row],[Equity Value]],0)</f>
        <v>0</v>
      </c>
      <c r="AO158" s="150" t="str">
        <f>IF(AND(ISNUMBER( SnapshotTable[[#This Row],[Long Term Target]]), ISNUMBER(SnapshotTable[[#This Row],[Last Price]])),(SnapshotTable[[#This Row],[Long Term Target]] - SnapshotTable[[#This Row],[Last Price]]) / SnapshotTable[[#This Row],[Last Price]], "")</f>
        <v/>
      </c>
      <c r="AP158" s="5"/>
      <c r="AQ158" s="38"/>
      <c r="AR158" s="5"/>
      <c r="AS158" s="38"/>
      <c r="AT158" s="144"/>
      <c r="AU158" s="185" t="str">
        <f>IF(OR(SnapshotTable[[#This Row],[LP No Fill]]="Y",SnapshotTable[[#This Row],[SP Is Filled]],SnapshotTable[[#This Row],[LC Not Filled]]="Y",SnapshotTable[[#This Row],[SC Is Filled]]),"Y","")</f>
        <v/>
      </c>
      <c r="AV158" s="205"/>
      <c r="AW158" s="211"/>
      <c r="AX158" s="206"/>
      <c r="AY158" s="205" t="str">
        <f>IF(SnapshotTable[[#This Row],[Implied Move]]&gt;0, SnapshotTable[[#This Row],[Last Price]]-SnapshotTable[[#This Row],[Implied Move]],"")</f>
        <v/>
      </c>
      <c r="AZ158" s="205" t="str">
        <f>IF(SnapshotTable[[#This Row],[Implied Move]]&gt;0, SnapshotTable[[#This Row],[Last Price]] + SnapshotTable[[#This Row],[Implied Move]],"")</f>
        <v/>
      </c>
      <c r="BA158" s="302"/>
      <c r="BB158" s="318"/>
      <c r="BC15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8" s="321"/>
      <c r="BE158" s="5"/>
      <c r="BF158" s="14"/>
      <c r="BG158" s="13"/>
      <c r="BH158" s="13"/>
      <c r="BI158" s="5"/>
      <c r="BJ158" s="134">
        <f>IF(SnapshotTable[[#This Row],[LP Qty]] &gt; 0, SnapshotTable[[#This Row],[LP Qty]] * SnapshotTable[[#This Row],[LP Book Price]] * 100,0)</f>
        <v>0</v>
      </c>
      <c r="BK158" s="134">
        <f>IF(SnapshotTable[[#This Row],[LP Premium]] &gt; 0, SnapshotTable[[#This Row],[LP Qty]] * SnapshotTable[[#This Row],[LP Strike Price]] * 100,0)</f>
        <v>0</v>
      </c>
      <c r="BL158" s="152"/>
      <c r="BM158" s="355" t="str">
        <f>IF(SnapshotTable[[#This Row],[LP Premium]] &gt; 0,SnapshotTable[[#This Row],[LP Exp Date]]-MAX(SnapshotTable[[#This Row],[LP Book Date]], SnapshotTable[[#This Row],[LP Fill Date]]),"")</f>
        <v/>
      </c>
      <c r="BN158" s="355" t="str">
        <f>IF(ISNUMBER( SnapshotTable[[#This Row],[LP Term]]), SnapshotTable[[#This Row],[LP Exp Date]] - MockToday,"")</f>
        <v/>
      </c>
      <c r="BO158" s="161" t="str">
        <f>IF(AND(SnapshotTable[[#This Row],[LP Exp Date]]&gt;0, SnapshotTable[[#This Row],[LP Strike Price]]&gt;0,SnapshotTable[[#This Row],[LP Qty]]&gt;0,SnapshotTable[[#This Row],[LP Book Date]]&gt;0,SnapshotTable[[#This Row],[LP Book Price]]&gt;0,SnapshotTable[[#This Row],[LP Fill Date]]=0),"Y","")</f>
        <v/>
      </c>
      <c r="BP158" s="31" t="str">
        <f>IF(AND(SnapshotTable[[#This Row],[LP No Fill]]&lt;&gt;"Y",SnapshotTable[[#This Row],[LP Contract Value]]&gt;0, SnapshotTable[[#This Row],[LP Qty]]&gt;0), SnapshotTable[[#This Row],[LP Contract Value]]*SnapshotTable[[#This Row],[LP Qty]]*100,"")</f>
        <v/>
      </c>
      <c r="BQ158" s="13"/>
      <c r="BR158" s="5"/>
      <c r="BS158" s="36"/>
      <c r="BT158" s="145"/>
      <c r="BU158" s="13"/>
      <c r="BV158" s="5"/>
      <c r="BW158" s="382" t="b">
        <f>AND(ISNUMBER(SnapshotTable[[#This Row],[SP Exp Date]]), ISNUMBER(SnapshotTable[[#This Row],[SP Strike Price]]), ISNUMBER(SnapshotTable[[#This Row],[SP Qty]]), ISNUMBER(SnapshotTable[[#This Row],[SP Book Date]]), ISNUMBER(SnapshotTable[[#This Row],[SP Book Price]]))</f>
        <v>0</v>
      </c>
      <c r="BX158" s="382" t="b">
        <f>AND(SnapshotTable[[#This Row],[SP Is Booked]], NOT(ISBLANK(SnapshotTable[[#This Row],[SP Fill Date]])))</f>
        <v>0</v>
      </c>
      <c r="BY158" s="33">
        <f>IF(SnapshotTable[[#This Row],[SP Is Booked]], SnapshotTable[[#This Row],[SP Qty]] * SnapshotTable[[#This Row],[SP Book Price]] * 100, 0)</f>
        <v>0</v>
      </c>
      <c r="BZ158" s="339"/>
      <c r="CA158" s="338">
        <f>SnapshotTable[[#This Row],[LP Qty]]</f>
        <v>0</v>
      </c>
      <c r="CB158" s="4" t="str">
        <f>IF(SnapshotTable[[#This Row],[SP Is Booked]], SnapshotTable[[#This Row],[SP Strike Price]] - SnapshotTable[[#This Row],[SP Book Price]], "")</f>
        <v/>
      </c>
      <c r="CC158" s="19" t="str">
        <f>IF(SnapshotTable[[#This Row],[SP Is Booked]],SnapshotTable[[#This Row],[SP Exp Date]]-MAX(SnapshotTable[[#This Row],[SP Book Date]], SnapshotTable[[#This Row],[SP Fill Date]]),"")</f>
        <v/>
      </c>
      <c r="CD158" s="7" t="str">
        <f>IF(SnapshotTable[[#This Row],[SP Is Booked]], SnapshotTable[[#This Row],[SP Book Price]]/SnapshotTable[[#This Row],[SP Strike Price]], "")</f>
        <v/>
      </c>
      <c r="CE158" s="7" t="str">
        <f>IF(ISNUMBER(SnapshotTable[[#This Row],[SP ROO Term]]),SnapshotTable[[#This Row],[SP ROO Term]]*(365/SnapshotTable[[#This Row],[SP Term]]),"")</f>
        <v/>
      </c>
      <c r="CF158" s="221">
        <f>SnapshotTable[[#This Row],[LP Strike Price]] * SnapshotTable[[#This Row],[LP Qty]] * 100</f>
        <v>0</v>
      </c>
      <c r="CG158" s="31">
        <f>IF(ISNUMBER(SnapshotTable[[#This Row],[SP Premium]]), (SnapshotTable[[#This Row],[SP Qty]] * SnapshotTable[[#This Row],[SP Strike Price]]* 100) - SnapshotTable[[#This Row],[LP Protection]], 0)</f>
        <v>0</v>
      </c>
      <c r="CH158" s="7" t="str">
        <f>IF(ISNUMBER(SnapshotTable[[#This Row],[SP Break Even]]),-1 * (SnapshotTable[[#This Row],[SP Break Even]] - SnapshotTable[[#This Row],[Last Price]]) / SnapshotTable[[#This Row],[Last Price]], "")</f>
        <v/>
      </c>
      <c r="CI158" s="31">
        <f>IF(AND(ISNUMBER((SnapshotTable[[#This Row],[SP Potential Spend]])), SnapshotTable[[#This Row],[SP Strike Price]] &gt; SnapshotTable[[#This Row],[Last Price]], SnapshotTable[[#This Row],[SP Is Filled]]), SnapshotTable[[#This Row],[SP Potential Spend]] -  SnapshotTable[[#This Row],[LP Max Value]], 0)</f>
        <v>0</v>
      </c>
      <c r="CJ158" s="229"/>
      <c r="CK158" s="31">
        <f>IF(ISNUMBER(SnapshotTable[[#This Row],[SP Potential Spend]]),IF(ISNUMBER(SnapshotTable[[#This Row],[SP POW]]), SnapshotTable[[#This Row],[SP POW]] * SnapshotTable[[#This Row],[SP Potential Spend]], SnapshotTable[[#This Row],[SP Potential Spend]]), "")</f>
        <v>0</v>
      </c>
      <c r="CL158" s="162">
        <f>IF(NOT(SnapshotTable[[#This Row],[SP Is Filled]]),(SnapshotTable[[#This Row],[SP Qty]] * SnapshotTable[[#This Row],[SP Strike Price]] * 100) - SnapshotTable[[#This Row],[LP Max Value]],"")</f>
        <v>0</v>
      </c>
      <c r="CM158" s="31" t="str">
        <f>IF(SnapshotTable[[#This Row],[SP Actual Spend]]&lt;&gt;0, ((SnapshotTable[[#This Row],[SP Strike Price]]-SnapshotTable[[#This Row],[Last Price]]) *(SnapshotTable[[#This Row],[SP Qty]]*100) - SnapshotTable[[#This Row],[SP Premium]]) * - 1, "")</f>
        <v/>
      </c>
      <c r="CN158" s="76"/>
      <c r="CO158" s="339"/>
      <c r="CP158" s="4" t="str">
        <f>IF(SnapshotTable[[#This Row],[SP Is Filled]], btc_max_buyback_amount(SnapshotTable[[#This Row],[SP Fill Date]],SnapshotTable[[#This Row],[SP Exp Date]], SnapshotTable[[#This Row],[SP Book Price]]),"")</f>
        <v/>
      </c>
      <c r="CQ158" s="76"/>
      <c r="CR15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8" s="153" t="str">
        <f>IF(SnapshotTable[[#This Row],[SP Is Filled]], btc_next_cutoff_date(SnapshotTable[[#This Row],[SP Fill Date]],SnapshotTable[[#This Row],[SP Exp Date]]),"")</f>
        <v/>
      </c>
      <c r="CT158" s="220" t="str" cm="1">
        <f t="array" ref="CT158">IF(SnapshotTable[[#This Row],[SP Is Filled]], btc_should_buy_back(SnapshotTable[[#This Row],[SP Fill Date]], SnapshotTable[[#This Row],[SP Exp Date]], SnapshotTable[[#This Row],[SP Book Price]], SnapshotTable[[#This Row],[SP Current Ask]], MockToday, SnapshotTable[[#This Row],[SP Buyback Override]]),"")</f>
        <v/>
      </c>
      <c r="CU158" s="154"/>
      <c r="CV158" s="220"/>
      <c r="CW158" s="348" t="str">
        <f>IF(ISNUMBER( SnapshotTable[[#This Row],[SP Term]]), SnapshotTable[[#This Row],[SP Exp Date]] - MockToday,"")</f>
        <v/>
      </c>
      <c r="CX158" s="31" t="str">
        <f>IF(SnapshotTable[[#This Row],[SP Is Filled]],SnapshotTable[[#This Row],[SP Buyback Price to Use]] * 100 * SnapshotTable[[#This Row],[SP Qty]], "")</f>
        <v/>
      </c>
      <c r="CY158" s="4" t="str">
        <f>IF(ISNUMBER(SnapshotTable[[#This Row],[SP Strike Price]]), SnapshotTable[[#This Row],[SP Strike Price]] * (1 - SP_MaxLoss_StrikePct), "")</f>
        <v/>
      </c>
      <c r="CZ158" s="31" t="str">
        <f>IF(ISNUMBER(SnapshotTable[[#This Row],[SP Strike  Stop Per Share]]),SnapshotTable[[#This Row],[SP Premium]] - ((SnapshotTable[[#This Row],[SP Strike Price]]-SnapshotTable[[#This Row],[SP Strike  Stop Per Share]]) *(SnapshotTable[[#This Row],[SP Qty]] * 100)),"")</f>
        <v/>
      </c>
      <c r="DA158" s="4" t="str">
        <f>IF(AND(ISNUMBER(SnapshotTable[[#This Row],[SP Premium]]),SnapshotTable[[#This Row],[SP Premium]]&gt;0), SnapshotTable[[#This Row],[SP Book Price]] * (1 + SP_MaxLoss_OptionPct), "")</f>
        <v/>
      </c>
      <c r="DB158" s="31" t="str">
        <f>IF(ISNUMBER(SnapshotTable[[#This Row],[SP Option  Stop Contract]]),(SnapshotTable[[#This Row],[SP Option  Stop Contract]] *(SnapshotTable[[#This Row],[SP Qty]] * 100) - SnapshotTable[[#This Row],[SP Premium]]),"")</f>
        <v/>
      </c>
      <c r="DC158" s="4"/>
      <c r="DD158" s="4"/>
      <c r="DE158" s="4" t="str">
        <f>IF(AND(SnapshotTable[[#This Row],[SP Qty]]&gt;0, SnapshotTable[[#This Row],[SP Stop To Use]]&gt;0),SnapshotTable[[#This Row],[SP Premium]] - ( SnapshotTable[[#This Row],[SP Qty]] * SnapshotTable[[#This Row],[SP Stop To Use]] * 100), "")</f>
        <v/>
      </c>
      <c r="DF158" s="31" t="str">
        <f>IF(AND(SnapshotTable[[#This Row],[SP Qty]]&gt;0,SnapshotTable[[#This Row],[SP Current Ask]]&gt;0), SnapshotTable[[#This Row],[SP Qty]] * SnapshotTable[[#This Row],[SP Current Ask]] * -100, "")</f>
        <v/>
      </c>
      <c r="DG158" s="31" t="str">
        <f>IF(ISNUMBER((SnapshotTable[[#This Row],[SP Total Value]])), SnapshotTable[[#This Row],[SP Premium]] + SnapshotTable[[#This Row],[SP Total Value]], "")</f>
        <v/>
      </c>
      <c r="DH158" s="272" t="str">
        <f>IF(ISNUMBER((SnapshotTable[[#This Row],[SP Total Value]])), SnapshotTable[[#This Row],[SP Gain Loss]] / SnapshotTable[[#This Row],[SP Premium]], "")</f>
        <v/>
      </c>
      <c r="DI158" s="369"/>
      <c r="DJ158" s="136"/>
      <c r="DK158" s="146"/>
      <c r="DL158" s="13"/>
      <c r="DM158" s="13"/>
      <c r="DO158" s="31">
        <f>IF(SnapshotTable[[#This Row],[LC Symbol Count]]=1, SnapshotTable[[#This Row],[LC Qty]] * SnapshotTable[[#This Row],[LC Book Price]] * 100, 0)</f>
        <v>0</v>
      </c>
      <c r="DP158" s="161" t="str">
        <f>IF(AND(SnapshotTable[[#This Row],[LC Exp Date]]&gt;0, SnapshotTable[[#This Row],[LC Strike Price]]&gt;0,SnapshotTable[[#This Row],[LC Qty]]&gt;0,SnapshotTable[[#This Row],[LC Book Date]]&gt;0,SnapshotTable[[#This Row],[LC Book Price]]&gt;0,SnapshotTable[[#This Row],[LC Fill Date]]=0),"Y","")</f>
        <v/>
      </c>
      <c r="DQ158" s="356" t="str">
        <f>IF(SnapshotTable[[#This Row],[LC Premium]] &gt; 0,SnapshotTable[[#This Row],[LC Exp Date]]-MAX(SnapshotTable[[#This Row],[LC Book Date]], SnapshotTable[[#This Row],[LC Fill Date]]),"")</f>
        <v/>
      </c>
      <c r="DR158" s="356" t="str">
        <f>IF(ISNUMBER(SnapshotTable[[#This Row],[LC Term]]), SnapshotTable[[#This Row],[LC Exp Date]] - MockToday, "")</f>
        <v/>
      </c>
      <c r="DS158" s="219" t="str">
        <f>IF(SnapshotTable[[#This Row],[LC Premium]]&gt;0,SnapshotTable[[#This Row],[LC Strike Price]] + SnapshotTable[[#This Row],[LC Book Price]],"")</f>
        <v/>
      </c>
      <c r="DU158" s="9" t="str">
        <f>IF(AND(SnapshotTable[[#This Row],[LC Symbol Count]]&gt;0, SnapshotTable[[#This Row],[LC Contract Value]]&gt;0), SnapshotTable[[#This Row],[LC Contract Value]] * SnapshotTable[[#This Row],[LC Qty]] * 100, "")</f>
        <v/>
      </c>
      <c r="DV158" s="9" t="str">
        <f>IF(AND(ISNUMBER(SnapshotTable[[#This Row],[LC Total Value]]), SnapshotTable[[#This Row],[LC Not Filled]]&lt;&gt;"Y"), SnapshotTable[[#This Row],[LC Total Value]]-SnapshotTable[[#This Row],[LC Premium]],"")</f>
        <v/>
      </c>
      <c r="DW158" s="225" t="str">
        <f>IF(ISNUMBER(SnapshotTable[[#This Row],[LC Actual Gain Loss]]), SnapshotTable[[#This Row],[LC Actual Gain Loss]] / SnapshotTable[[#This Row],[LC Premium]],"")</f>
        <v/>
      </c>
      <c r="DX158" s="269" t="str">
        <f>IF(ISNUMBER(SnapshotTable[[#This Row],[LC Book Price]]),SnapshotTable[[#This Row],[LC Book Price]] * 1.5,"")</f>
        <v/>
      </c>
      <c r="DY158" s="250" t="str">
        <f>IF(SnapshotTable[[#This Row],[LC Premium]]&gt;0, SnapshotTable[[#This Row],[LC Next Target]] * SnapshotTable[[#This Row],[LC Qty]] * 100,"")</f>
        <v/>
      </c>
      <c r="DZ158" s="250" t="str">
        <f>IF(ISNUMBER(SnapshotTable[[#This Row],[LC Target Gross]]), SnapshotTable[[#This Row],[LC Target Gross]] - SnapshotTable[[#This Row],[LC Premium]], "")</f>
        <v/>
      </c>
      <c r="EA158" s="283" t="str">
        <f>IF(ISNUMBER(SnapshotTable[[#This Row],[LC Target Gain Loss]]), SnapshotTable[[#This Row],[LC Target Gain Loss]]/SnapshotTable[[#This Row],[LC Premium]], "")</f>
        <v/>
      </c>
      <c r="EB158" s="247"/>
      <c r="EC158" s="268" t="str">
        <f>IF(SnapshotTable[[#This Row],[LC Premium]]&gt;0, SnapshotTable[[#This Row],[LC Book Price]] * (1 - LC_StopLoss_Pct),"")</f>
        <v/>
      </c>
      <c r="ED158" s="269"/>
      <c r="EE158" s="268" t="str">
        <f>IF(ISNUMBER(SnapshotTable[[#This Row],[LC Contract Value]]),IF(ISNUMBER(SnapshotTable[[#This Row],[LC Stop Loss Override]]), SnapshotTable[[#This Row],[LC Stop Loss Override]],SnapshotTable[[#This Row],[LC Stop Loss Calc Target]]),"")</f>
        <v/>
      </c>
      <c r="EF158" s="31" t="str">
        <f>IF(ISNUMBER(SnapshotTable[[#This Row],[LC Stop  To Use]]), (SnapshotTable[[#This Row],[LC Stop  To Use]] * SnapshotTable[[#This Row],[LC Qty]] * 100),"")</f>
        <v/>
      </c>
      <c r="EG158" s="9" t="str">
        <f>IF(ISNUMBER(SnapshotTable[[#This Row],[LC Total Value]]),SnapshotTable[[#This Row],[LC Stop Loss Amount]] - SnapshotTable[[#This Row],[LC Premium]],"")</f>
        <v/>
      </c>
      <c r="EH158" s="9">
        <f>IF(ISNUMBER(SnapshotTable[[#This Row],[LC Premium]]), SnapshotTable[[#This Row],[LC Qty]] * 100 * SnapshotTable[[#This Row],[LC Strike Price]], "")</f>
        <v>0</v>
      </c>
      <c r="EI158" s="225" t="str">
        <f>IF(AND(ISNUMBER(SnapshotTable[[#This Row],[LC Total Value]]),SnapshotTable[[#This Row],[LC Total Value]]&gt;0),SnapshotTable[[#This Row],[LC Stop Gain Loss]]  / SnapshotTable[[#This Row],[LC Premium]],"")</f>
        <v/>
      </c>
      <c r="EJ158" s="35">
        <f>IF(ISNUMBER(SnapshotTable[[#This Row],[Equity Shares]]),TRUNC(SnapshotTable[[#This Row],[Equity Shares]] / 100),0) + SnapshotTable[[#This Row],[LC Qty]]</f>
        <v>0</v>
      </c>
      <c r="EK158" s="145"/>
      <c r="EL158" s="136"/>
      <c r="EM158" s="146"/>
      <c r="EN158" s="145"/>
      <c r="EO158" s="145"/>
      <c r="EP158" s="136"/>
      <c r="EQ158" s="382" t="b">
        <f>AND(ISNUMBER(SnapshotTable[[#This Row],[SC Exp Date]]), ISNUMBER(SnapshotTable[[#This Row],[SC Strike Price]]), ISNUMBER(SnapshotTable[[#This Row],[SC Qty]]), ISNUMBER(SnapshotTable[[#This Row],[SC Book Date]]), ISNUMBER(SnapshotTable[[#This Row],[SC Book Price]]))</f>
        <v>0</v>
      </c>
      <c r="ER158" s="382" t="b">
        <f>AND(SnapshotTable[[#This Row],[SC Is Booked]], NOT(ISBLANK(SnapshotTable[[#This Row],[SC Fill Date]])))</f>
        <v>0</v>
      </c>
      <c r="ES158" s="340"/>
      <c r="ET158" s="34" t="str">
        <f>IF(AND(ISNUMBER(SnapshotTable[[#This Row],[SC Exp Date]]), ISNUMBER(SnapshotTable[[#This Row],[SC Book Date]])), SnapshotTable[[#This Row],[SC Exp Date]] - MAX(SnapshotTable[[#This Row],[SC Book Date]], SnapshotTable[[#This Row],[SC Fill Date]]) + 1, "")</f>
        <v/>
      </c>
      <c r="EU158" s="34" t="str">
        <f>IF(ISNUMBER(SnapshotTable[[#This Row],[SC Term]]), SnapshotTable[[#This Row],[SC Exp Date]]- MockToday, "")</f>
        <v/>
      </c>
      <c r="EV158" s="31">
        <f>IF(SnapshotTable[[#This Row],[SC Is Booked]], SnapshotTable[[#This Row],[SC Qty]] * SnapshotTable[[#This Row],[SC Book Price]] * 100, 0)</f>
        <v>0</v>
      </c>
      <c r="EW158" s="4" t="str">
        <f>IF(AND(ISNUMBER(SnapshotTable[[#This Row],[Last Price]]), ISNUMBER( SnapshotTable[[#This Row],[SC Book Price]])), SnapshotTable[[#This Row],[Last Price]] - SnapshotTable[[#This Row],[SC Book Price]],"")</f>
        <v/>
      </c>
      <c r="EX158" s="219" t="str">
        <f>IF(SnapshotTable[[#This Row],[SC Is Booked]],IF(SnapshotTable[[#This Row],[SC Intrinsic Value]] &gt; 0, SnapshotTable[[#This Row],[SC Strike Price]], SnapshotTable[[#This Row],[Last Price]]), "")</f>
        <v/>
      </c>
      <c r="EY158" s="4">
        <f>IF(SnapshotTable[[#This Row],[SC Is Booked]], (MinimumPremiumRequired * SnapshotTable[[#This Row],[SC Basis]] * SnapshotTable[[#This Row],[SC Term]]), 0)</f>
        <v>0</v>
      </c>
      <c r="EZ158" s="268"/>
      <c r="FA158" s="204"/>
      <c r="FB158" s="340"/>
      <c r="FC158" s="4">
        <f>IF(SnapshotTable[[#This Row],[SC Is Filled]], btc_max_buyback_amount(SnapshotTable[[#This Row],[SC Fill Date]],SnapshotTable[[#This Row],[SC Exp Date]], SnapshotTable[[#This Row],[SC Book Price]]),0)</f>
        <v>0</v>
      </c>
      <c r="FD158" s="5"/>
      <c r="FE158" s="142" t="str">
        <f>IF(SnapshotTable[[#This Row],[SC Is Filled]], btc_next_cutoff_date(SnapshotTable[[#This Row],[SC Fill Date]],SnapshotTable[[#This Row],[SC Exp Date]]),"")</f>
        <v/>
      </c>
      <c r="FF158" s="4" t="str" cm="1">
        <f t="array" ref="FF158">IF(SnapshotTable[[#This Row],[SC Is Filled]], btc_should_buy_back(SnapshotTable[[#This Row],[SC Fill Date]], SnapshotTable[[#This Row],[SC Exp Date]], SnapshotTable[[#This Row],[SC Book Price]], SnapshotTable[[#This Row],[SC Current Ask]], MockToday, SnapshotTable[[#This Row],[SC Buyback Override]]),"")</f>
        <v/>
      </c>
      <c r="FG158" s="4">
        <f>IF(SnapshotTable[[#This Row],[SC Is Filled]], MAX(0,SnapshotTable[[#This Row],[Last Price]]  - SnapshotTable[[#This Row],[SC Strike Price]]), 0)</f>
        <v>0</v>
      </c>
      <c r="FH158" s="352">
        <f>IF(SnapshotTable[[#This Row],[SC Is Filled]], IF(ISNUMBER(SnapshotTable[[#This Row],[SC Current Ask]]), SnapshotTable[[#This Row],[SC Current Ask]], SnapshotTable[[#This Row],[SC Book Price]]) - SnapshotTable[[#This Row],[SC Intrinsic Value]], 0)</f>
        <v>0</v>
      </c>
      <c r="FI158" s="141">
        <v>45786</v>
      </c>
      <c r="FJ158" s="32" t="str">
        <f>IF(SnapshotTable[[#This Row],[SC Is Filled]],100 * SnapshotTable[[#This Row],[SC Qty]] * IF(ISNUMBER(SnapshotTable[[#This Row],[SC Buyback Override]]), SnapshotTable[[#This Row],[SC Buyback Override]], SnapshotTable[[#This Row],[SC Current Ask]]), "")</f>
        <v/>
      </c>
      <c r="FK158" s="235" t="str">
        <f>IF(SnapshotTable[[#This Row],[SC Time Val]]&gt;0, SnapshotTable[[#This Row],[SC Time Val]] / SnapshotTable[[#This Row],[Last Price]],"")</f>
        <v/>
      </c>
      <c r="FL158" s="280" t="str">
        <f>IF(SnapshotTable[[#This Row],[SC Is Booked]], ((SnapshotTable[[#This Row],[Last Price]] -SnapshotTable[[#This Row],[SC Strike Price]]) / SnapshotTable[[#This Row],[Last Price]]) * -1, "")</f>
        <v/>
      </c>
      <c r="FM158" s="155" t="str">
        <f>IF(SnapshotTable[[#This Row],[SC Is Booked]],  (SnapshotTable[[#This Row],[SC Qty]] * 100 * SnapshotTable[[#This Row],[SC Strike Price]]) - SnapshotTable[[#This Row],[SC Current Ask]], "")</f>
        <v/>
      </c>
      <c r="FN15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8" s="31" t="str">
        <f>IF(AND(ISNUMBER(SnapshotTable[[#This Row],[SC Exercise Gross]]), ISNUMBER(SnapshotTable[[#This Row],[Equity Basis Per Share]] )), SnapshotTable[[#This Row],[SC Exercise Gross]] - SnapshotTable[[#This Row],[Equity Basis Total]] +  SnapshotTable[[#This Row],[SC Premium]], "")</f>
        <v/>
      </c>
      <c r="FP158" s="5" t="str">
        <f>IF(ISNUMBER(SnapshotTable[[#This Row],[SC Exercise Gross]]), (SnapshotTable[[#This Row],[SC Exercise Gross]]) / (SnapshotTable[[#This Row],[SC Qty]] * 100), "")</f>
        <v/>
      </c>
      <c r="FQ158" s="27" t="str">
        <f>IF(SnapshotTable[[#This Row],[SC Is Booked]],SnapshotTable[[#This Row],[SC Time Val]] /SnapshotTable[[#This Row],[SC Basis]], "")</f>
        <v/>
      </c>
      <c r="FR158" s="27" t="str" cm="1">
        <f t="array" ref="FR158">IF(AND(ISNUMBER(SnapshotTable[[#This Row],[SC Term]]),ISNUMBER(SnapshotTable[[#This Row],[SC Simple ROO]])), EllmanAnnualize(SnapshotTable[[#This Row],[SC DTE]], SnapshotTable[[#This Row],[SC Simple ROO]] ),"")</f>
        <v/>
      </c>
      <c r="FS158" s="4">
        <f>IF(SnapshotTable[[#This Row],[SC Strike Price]] &gt; SnapshotTable[[#This Row],[Last Price]], SnapshotTable[[#This Row],[SC Strike Price]] - SnapshotTable[[#This Row],[Last Price]],0)</f>
        <v>0</v>
      </c>
      <c r="FT158" s="27" t="str">
        <f>IF(AND(ISNUMBER(SnapshotTable[[#This Row],[SC Upside Potential]]), SnapshotTable[[#This Row],[SC Upside Potential]] &gt; 0),(SnapshotTable[[#This Row],[SC Upside Potential]]/ SnapshotTable[[#This Row],[ACB]]),"")</f>
        <v/>
      </c>
      <c r="FU158" s="304" t="str">
        <f>IF(SnapshotTable[[#This Row],[SC Intrinsic Value]] &gt; 0,SnapshotTable[[#This Row],[SC Intrinsic Value]],"")</f>
        <v/>
      </c>
      <c r="FV158" s="27" t="str">
        <f>IF(AND( ISNUMBER( SnapshotTable[[#This Row],[ACB]]),ISNUMBER(SnapshotTable[[#This Row],[SC Downside Protect]])),SnapshotTable[[#This Row],[SC Downside Protect]] / SnapshotTable[[#This Row],[ACB]],"")</f>
        <v/>
      </c>
      <c r="FW158" s="221" t="str">
        <f>IF(AND(ISNUMBER(SnapshotTable[[#This Row],[SC Simple ROO]]),SnapshotTable[[#This Row],[SC Simple ROO]] &gt; 0), SnapshotTable[[#This Row],[SC Premium]] + (SnapshotTable[[#This Row],[SC Qty]] * SnapshotTable[[#This Row],[SC Upside Potential]]), "")</f>
        <v/>
      </c>
      <c r="FX158" s="280" t="str" cm="1">
        <f t="array" ref="FX158">IF(ISNUMBER(SnapshotTable[[#This Row],[SC Max Dollars]]), annualize(SnapshotTable[[#This Row],[SC Term]],(SnapshotTable[[#This Row],[SC Max Dollars]]/SnapshotTable[[#This Row],[SC Basis]])),"")</f>
        <v/>
      </c>
      <c r="FY158" s="221" t="str">
        <f>IF(AND(SnapshotTable[[#This Row],[SC Qty]]&gt;0,SnapshotTable[[#This Row],[SC Current Ask]]&gt;0), SnapshotTable[[#This Row],[SC Qty]] * SnapshotTable[[#This Row],[SC Current Ask]] * -100, "")</f>
        <v/>
      </c>
      <c r="FZ158" s="31" t="str">
        <f>IF(ISNUMBER((SnapshotTable[[#This Row],[SC Current Value]])), SnapshotTable[[#This Row],[SC Premium]] + SnapshotTable[[#This Row],[SC Current Value]], "")</f>
        <v/>
      </c>
      <c r="GA158" s="272" t="str">
        <f>IFERROR( IF(ISNUMBER((SnapshotTable[[#This Row],[SC Current Value]])), SnapshotTable[[#This Row],[SC Gain Loss]] / SnapshotTable[[#This Row],[SC Premium]], ""), "")</f>
        <v/>
      </c>
      <c r="GB158" s="42">
        <f>SnapshotTable[[#This Row],[Equity Shares]] * SaleSharesToConsiderPercentage</f>
        <v>0</v>
      </c>
      <c r="GC158" s="40">
        <f>SnapshotTable[[#This Row],[Long Term Target]] * SellingPriceToConsiderBasedOnTargetPercentage</f>
        <v>0</v>
      </c>
      <c r="GD158" s="40">
        <f>SnapshotTable[[#This Row],[Last Price]] * (1+ SellingPriceToConsiderBasedOnTargetPercentage)</f>
        <v>107.211</v>
      </c>
      <c r="GE158" s="41"/>
      <c r="GF158" s="40"/>
      <c r="GG158" s="31">
        <f>SnapshotTable[[#This Row],[Booked Sale Shares]] * SnapshotTable[[#This Row],[Booked Sale Price]]</f>
        <v>0</v>
      </c>
      <c r="GH158" s="31" t="str">
        <f>IF(SnapshotTable[[#This Row],[Equity Basis Total]] &gt; 0, SnapshotTable[[#This Row],[Equity Basis Per Share]] * SnapshotTable[[#This Row],[Booked Sale Shares]], "")</f>
        <v/>
      </c>
      <c r="GI158" s="31">
        <f>IF(SnapshotTable[[#This Row],[Sale Proceeds]]&gt;0, SnapshotTable[[#This Row],[Sale Proceeds]] - SnapshotTable[[#This Row],[Sale Basis]], 0)</f>
        <v>0</v>
      </c>
      <c r="GJ158" s="27" t="str">
        <f>IF(SnapshotTable[[#This Row],[Sale G/L]]&gt;0, SnapshotTable[[#This Row],[Sale G/L]] / SnapshotTable[[#This Row],[Sale Basis]], IF(ISNUMBER(SnapshotTable[[#This Row],[SC Exercise P&amp;L (TAX)]]), SnapshotTable[[#This Row],[SC Exercise P&amp;L (TAX)]] / SnapshotTable[[#This Row],[SC Basis]], ""))</f>
        <v/>
      </c>
      <c r="GK158" s="27"/>
      <c r="GL158" s="43" t="str">
        <f>IF(AND(SnapshotTable[[#This Row],[LP Exp Date]]&gt;0,SnapshotTable[[#This Row],[LP Strike Price]]&gt;0), [1]!ToOptionSymbol(SnapshotTable[[#This Row],[Symbol]], SnapshotTable[[#This Row],[LP Strike Price]],SnapshotTable[[#This Row],[LP Exp Date]],1), "")</f>
        <v/>
      </c>
      <c r="GM158" s="30" t="str">
        <f>IF(LEN(SnapshotTable[[#This Row],[LP Symbol]])&gt;0, 1, "")</f>
        <v/>
      </c>
      <c r="GN158" s="43" t="str">
        <f>IF(AND(SnapshotTable[[#This Row],[SP Exp Date]]&gt;0,SnapshotTable[[#This Row],[SP Strike Price]]&gt;0), [1]!ToOptionSymbol(SnapshotTable[[#This Row],[Symbol]], SnapshotTable[[#This Row],[SP Strike Price]],SnapshotTable[[#This Row],[SP Exp Date]],1), "")</f>
        <v/>
      </c>
      <c r="GO158" s="30" t="str">
        <f>IF(LEN(SnapshotTable[[#This Row],[SP Symbol]])&gt;0, 1, "")</f>
        <v/>
      </c>
      <c r="GP158" s="43" t="str">
        <f>IF(AND(SnapshotTable[[#This Row],[LC Exp Date]]&gt;0,SnapshotTable[[#This Row],[LC Strike Price]]&gt;0), [1]!ToOptionSymbol(SnapshotTable[[#This Row],[Symbol]], SnapshotTable[[#This Row],[LC Strike Price]],SnapshotTable[[#This Row],[LC Exp Date]],0), "")</f>
        <v/>
      </c>
      <c r="GQ158" s="30" t="str">
        <f>IF(LEN(SnapshotTable[[#This Row],[LC Symbol]])&gt;0, 1, "")</f>
        <v/>
      </c>
      <c r="GR158" s="43" t="str">
        <f>IF(AND(SnapshotTable[[#This Row],[SC Exp Date]]&gt;0,SnapshotTable[[#This Row],[SC Strike Price]]&gt;0), [1]!ToOptionSymbol(SnapshotTable[[#This Row],[Symbol]], SnapshotTable[[#This Row],[SC Strike Price]],SnapshotTable[[#This Row],[SC Exp Date]],0), "")</f>
        <v/>
      </c>
      <c r="GS158" s="30" t="str">
        <f>IF(LEN(SnapshotTable[[#This Row],[SC Symbol]])&gt;0, 1, "")</f>
        <v/>
      </c>
      <c r="GT158" s="29" t="str">
        <f>IF(COUNT(SnapshotTable[[#This Row],[LP Symbol Count]],SnapshotTable[[#This Row],[SP Symbol Count]],SnapshotTable[[#This Row],[LC Symbol Count]],SnapshotTable[[#This Row],[SC Symbol Count]])&gt;0, "Y", "")</f>
        <v/>
      </c>
      <c r="GU15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8" s="216">
        <f>MAX(SnapshotTable[[#This Row],[Equity Basis Total]],SnapshotTable[[#This Row],[Equity Value]]) + (SnapshotTable[[#This Row],[SP Potential Spend]]- SnapshotTable[[#This Row],[SP Premium]] + SnapshotTable[[#This Row],[LP Premium]])+ (SnapshotTable[[#This Row],[LC Premium]] - SnapshotTable[[#This Row],[SC Premium]])</f>
        <v>0</v>
      </c>
      <c r="GW158" s="137" t="str">
        <f>IF(AND(SnapshotTable[[#This Row],[Exposure]] &lt;&gt; 0),SnapshotTable[[#This Row],[Exposure]] / SnapshotTable[[#Totals],[Exposure]], "")</f>
        <v/>
      </c>
      <c r="HE158" s="253"/>
      <c r="HF158" s="253"/>
      <c r="HK158" s="1"/>
      <c r="HL158" s="1"/>
      <c r="HM158" s="1"/>
      <c r="HN158" s="1"/>
      <c r="HO158" s="1"/>
      <c r="HP158" s="1"/>
    </row>
    <row r="159" spans="2:224" ht="12.75" hidden="1" customHeight="1" x14ac:dyDescent="0.25">
      <c r="B159" s="12" t="s">
        <v>116</v>
      </c>
      <c r="C159" s="385">
        <v>68.819999999999993</v>
      </c>
      <c r="D159" s="200"/>
      <c r="E159" s="39">
        <f>SnapshotTable[[#This Row],[Last Price]]*(1 -CrashDiscount)</f>
        <v>58.496999999999993</v>
      </c>
      <c r="F159" s="26" t="s">
        <v>5</v>
      </c>
      <c r="G159" s="26" t="s">
        <v>4</v>
      </c>
      <c r="H159" s="147"/>
      <c r="I159" s="186">
        <v>44775.270833333336</v>
      </c>
      <c r="J159" s="187">
        <v>44775.270833333336</v>
      </c>
      <c r="K159" s="188"/>
      <c r="L159" s="297"/>
      <c r="M159" s="138"/>
      <c r="N159" s="138"/>
      <c r="O159" s="138"/>
      <c r="P159" s="22"/>
      <c r="Q159" s="25"/>
      <c r="R159" s="4" t="str">
        <f>IF(SnapshotTable[[#This Row],[Equity Basis Total]] &gt; 0, SnapshotTable[[#This Row],[Equity Basis Total]] / SnapshotTable[[#This Row],[Equity Shares]], "")</f>
        <v/>
      </c>
      <c r="S159" s="254">
        <f>SnapshotTable[[#This Row],[Last Price]] * SnapshotTable[[#This Row],[Equity Shares]]</f>
        <v>0</v>
      </c>
      <c r="T159" s="254">
        <f>SnapshotTable[[#This Row],[Equity Value]] - SnapshotTable[[#This Row],[Equity Basis Total]]</f>
        <v>0</v>
      </c>
      <c r="U159" s="255" t="str">
        <f>IF(SnapshotTable[[#This Row],[Equity Basis Total]] &gt; 0, SnapshotTable[[#This Row],[Equity G/L]] / SnapshotTable[[#This Row],[Equity Basis Total]], "")</f>
        <v/>
      </c>
      <c r="V159" s="253"/>
      <c r="W159" s="253"/>
      <c r="X159" s="4" t="str">
        <f>IF(AND(ISNUMBER(SnapshotTable[[#This Row],[Equity Basis Per Share]]),ISNUMBER(SnapshotTable[[#This Row],[Equity Target]])),SnapshotTable[[#This Row],[Equity Target]]-SnapshotTable[[#This Row],[Equity Basis Per Share]],"")</f>
        <v/>
      </c>
      <c r="Y159" s="4" t="str">
        <f>IF(AND(ISNUMBER(SnapshotTable[[#This Row],[Equity Basis Per Share]]),ISNUMBER(SnapshotTable[[#This Row],[Equity Stop Loss]])),SnapshotTable[[#This Row],[Equity Stop Loss]]-SnapshotTable[[#This Row],[Equity Basis Per Share]],"")</f>
        <v/>
      </c>
      <c r="Z159" s="260" t="str">
        <f>IFERROR( TEXT(SnapshotTable[[#This Row],[Equity Max Gain Per Share]] /ABS( SnapshotTable[[#This Row],[Equity Max Loss Per Share]]),"0.0 " ) &amp; " : 1", "")</f>
        <v/>
      </c>
      <c r="AA159" s="31" t="str">
        <f>IF(ISNUMBER(SnapshotTable[[#This Row],[Equity Max Gain Per Share]]),SnapshotTable[[#This Row],[Equity Max Gain Per Share]] * SnapshotTable[[#This Row],[Equity Shares]],"")</f>
        <v/>
      </c>
      <c r="AB159" s="31" t="str">
        <f>IF(ISNUMBER(SnapshotTable[[#This Row],[Equity Max Loss Per Share]]),SnapshotTable[[#This Row],[Equity Max Loss Per Share]] * SnapshotTable[[#This Row],[Equity Shares]],"")</f>
        <v/>
      </c>
      <c r="AC159" s="148"/>
      <c r="AD159" s="149" t="s">
        <v>2</v>
      </c>
      <c r="AE159" s="31">
        <f>(SnapshotTable[[#This Row],[Annual Dividend Per Share]] / 4) * SnapshotTable[[#This Row],[Equity Shares]]</f>
        <v>0</v>
      </c>
      <c r="AF159" s="31">
        <f>SnapshotTable[[#This Row],[Quarterly Div $]] * 4</f>
        <v>0</v>
      </c>
      <c r="AG159" s="7">
        <f>IF(SnapshotTable[[#This Row],[Annual Dividend Per Share]]&gt;0, SnapshotTable[[#This Row],[Annual Dividend Per Share]]  / SnapshotTable[[#This Row],[Last Price]], 0)</f>
        <v>0</v>
      </c>
      <c r="AH159" s="149"/>
      <c r="AI159" s="5"/>
      <c r="AJ159" s="136" t="s">
        <v>111</v>
      </c>
      <c r="AK159" s="150" t="str">
        <f>IF(ISNUMBER( SnapshotTable[[#This Row],[EBF Target]]),(SnapshotTable[[#This Row],[EBF Target]] - SnapshotTable[[#This Row],[Last Price]]) / SnapshotTable[[#This Row],[Last Price]], "")</f>
        <v/>
      </c>
      <c r="AL159" s="150" t="str">
        <f>IF(AND(SnapshotTable[[#This Row],[Equity Basis Total]] &gt; 0,ISNUMBER( SnapshotTable[[#This Row],[Long Term Target]])), SnapshotTable[[#This Row],[From Basis $]] / SnapshotTable[[#This Row],[Equity Basis Total]], "")</f>
        <v/>
      </c>
      <c r="AM159" s="9">
        <f>IF( AND(SnapshotTable[[#This Row],[Equity Shares]] &gt;0,ISNUMBER( SnapshotTable[[#This Row],[Long Term Target]])),(SnapshotTable[[#This Row],[Equity Shares]] * SnapshotTable[[#This Row],[Long Term Target]]) - SnapshotTable[[#This Row],[Equity Basis Total]],0)</f>
        <v>0</v>
      </c>
      <c r="AN159" s="9">
        <f>IF( AND(SnapshotTable[[#This Row],[Equity Shares]] &gt;0,ISNUMBER( SnapshotTable[[#This Row],[Long Term Target]])),(SnapshotTable[[#This Row],[Equity Shares]]*SnapshotTable[[#This Row],[Long Term Target]]) - SnapshotTable[[#This Row],[Equity Value]],0)</f>
        <v>0</v>
      </c>
      <c r="AO159" s="150" t="str">
        <f>IF(AND(ISNUMBER( SnapshotTable[[#This Row],[Long Term Target]]), ISNUMBER(SnapshotTable[[#This Row],[Last Price]])),(SnapshotTable[[#This Row],[Long Term Target]] - SnapshotTable[[#This Row],[Last Price]]) / SnapshotTable[[#This Row],[Last Price]], "")</f>
        <v/>
      </c>
      <c r="AP159" s="5"/>
      <c r="AQ159" s="38"/>
      <c r="AR159" s="5"/>
      <c r="AS159" s="38"/>
      <c r="AT159" s="144"/>
      <c r="AU159" s="185" t="str">
        <f>IF(OR(SnapshotTable[[#This Row],[LP No Fill]]="Y",SnapshotTable[[#This Row],[SP Is Filled]],SnapshotTable[[#This Row],[LC Not Filled]]="Y",SnapshotTable[[#This Row],[SC Is Filled]]),"Y","")</f>
        <v/>
      </c>
      <c r="AV159" s="205"/>
      <c r="AW159" s="211"/>
      <c r="AX159" s="206"/>
      <c r="AY159" s="205" t="str">
        <f>IF(SnapshotTable[[#This Row],[Implied Move]]&gt;0, SnapshotTable[[#This Row],[Last Price]]-SnapshotTable[[#This Row],[Implied Move]],"")</f>
        <v/>
      </c>
      <c r="AZ159" s="205" t="str">
        <f>IF(SnapshotTable[[#This Row],[Implied Move]]&gt;0, SnapshotTable[[#This Row],[Last Price]] + SnapshotTable[[#This Row],[Implied Move]],"")</f>
        <v/>
      </c>
      <c r="BA159" s="302"/>
      <c r="BB159" s="318"/>
      <c r="BC15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59" s="321"/>
      <c r="BE159" s="5"/>
      <c r="BF159" s="14"/>
      <c r="BG159" s="13"/>
      <c r="BH159" s="13"/>
      <c r="BI159" s="5"/>
      <c r="BJ159" s="134">
        <f>IF(SnapshotTable[[#This Row],[LP Qty]] &gt; 0, SnapshotTable[[#This Row],[LP Qty]] * SnapshotTable[[#This Row],[LP Book Price]] * 100,0)</f>
        <v>0</v>
      </c>
      <c r="BK159" s="134">
        <f>IF(SnapshotTable[[#This Row],[LP Premium]] &gt; 0, SnapshotTable[[#This Row],[LP Qty]] * SnapshotTable[[#This Row],[LP Strike Price]] * 100,0)</f>
        <v>0</v>
      </c>
      <c r="BL159" s="152"/>
      <c r="BM159" s="355" t="str">
        <f>IF(SnapshotTable[[#This Row],[LP Premium]] &gt; 0,SnapshotTable[[#This Row],[LP Exp Date]]-MAX(SnapshotTable[[#This Row],[LP Book Date]], SnapshotTable[[#This Row],[LP Fill Date]]),"")</f>
        <v/>
      </c>
      <c r="BN159" s="355" t="str">
        <f>IF(ISNUMBER( SnapshotTable[[#This Row],[LP Term]]), SnapshotTable[[#This Row],[LP Exp Date]] - MockToday,"")</f>
        <v/>
      </c>
      <c r="BO159" s="161" t="str">
        <f>IF(AND(SnapshotTable[[#This Row],[LP Exp Date]]&gt;0, SnapshotTable[[#This Row],[LP Strike Price]]&gt;0,SnapshotTable[[#This Row],[LP Qty]]&gt;0,SnapshotTable[[#This Row],[LP Book Date]]&gt;0,SnapshotTable[[#This Row],[LP Book Price]]&gt;0,SnapshotTable[[#This Row],[LP Fill Date]]=0),"Y","")</f>
        <v/>
      </c>
      <c r="BP159" s="31" t="str">
        <f>IF(AND(SnapshotTable[[#This Row],[LP No Fill]]&lt;&gt;"Y",SnapshotTable[[#This Row],[LP Contract Value]]&gt;0, SnapshotTable[[#This Row],[LP Qty]]&gt;0), SnapshotTable[[#This Row],[LP Contract Value]]*SnapshotTable[[#This Row],[LP Qty]]*100,"")</f>
        <v/>
      </c>
      <c r="BQ159" s="13"/>
      <c r="BR159" s="5"/>
      <c r="BS159" s="36"/>
      <c r="BT159" s="145"/>
      <c r="BU159" s="13"/>
      <c r="BV159" s="5"/>
      <c r="BW159" s="382" t="b">
        <f>AND(ISNUMBER(SnapshotTable[[#This Row],[SP Exp Date]]), ISNUMBER(SnapshotTable[[#This Row],[SP Strike Price]]), ISNUMBER(SnapshotTable[[#This Row],[SP Qty]]), ISNUMBER(SnapshotTable[[#This Row],[SP Book Date]]), ISNUMBER(SnapshotTable[[#This Row],[SP Book Price]]))</f>
        <v>0</v>
      </c>
      <c r="BX159" s="382" t="b">
        <f>AND(SnapshotTable[[#This Row],[SP Is Booked]], NOT(ISBLANK(SnapshotTable[[#This Row],[SP Fill Date]])))</f>
        <v>0</v>
      </c>
      <c r="BY159" s="33">
        <f>IF(SnapshotTable[[#This Row],[SP Is Booked]], SnapshotTable[[#This Row],[SP Qty]] * SnapshotTable[[#This Row],[SP Book Price]] * 100, 0)</f>
        <v>0</v>
      </c>
      <c r="BZ159" s="339"/>
      <c r="CA159" s="338">
        <f>SnapshotTable[[#This Row],[LP Qty]]</f>
        <v>0</v>
      </c>
      <c r="CB159" s="4" t="str">
        <f>IF(SnapshotTable[[#This Row],[SP Is Booked]], SnapshotTable[[#This Row],[SP Strike Price]] - SnapshotTable[[#This Row],[SP Book Price]], "")</f>
        <v/>
      </c>
      <c r="CC159" s="19" t="str">
        <f>IF(SnapshotTable[[#This Row],[SP Is Booked]],SnapshotTable[[#This Row],[SP Exp Date]]-MAX(SnapshotTable[[#This Row],[SP Book Date]], SnapshotTable[[#This Row],[SP Fill Date]]),"")</f>
        <v/>
      </c>
      <c r="CD159" s="7" t="str">
        <f>IF(SnapshotTable[[#This Row],[SP Is Booked]], SnapshotTable[[#This Row],[SP Book Price]]/SnapshotTable[[#This Row],[SP Strike Price]], "")</f>
        <v/>
      </c>
      <c r="CE159" s="7" t="str">
        <f>IF(ISNUMBER(SnapshotTable[[#This Row],[SP ROO Term]]),SnapshotTable[[#This Row],[SP ROO Term]]*(365/SnapshotTable[[#This Row],[SP Term]]),"")</f>
        <v/>
      </c>
      <c r="CF159" s="221">
        <f>SnapshotTable[[#This Row],[LP Strike Price]] * SnapshotTable[[#This Row],[LP Qty]] * 100</f>
        <v>0</v>
      </c>
      <c r="CG159" s="31">
        <f>IF(ISNUMBER(SnapshotTable[[#This Row],[SP Premium]]), (SnapshotTable[[#This Row],[SP Qty]] * SnapshotTable[[#This Row],[SP Strike Price]]* 100) - SnapshotTable[[#This Row],[LP Protection]], 0)</f>
        <v>0</v>
      </c>
      <c r="CH159" s="7" t="str">
        <f>IF(ISNUMBER(SnapshotTable[[#This Row],[SP Break Even]]),-1 * (SnapshotTable[[#This Row],[SP Break Even]] - SnapshotTable[[#This Row],[Last Price]]) / SnapshotTable[[#This Row],[Last Price]], "")</f>
        <v/>
      </c>
      <c r="CI159" s="31">
        <f>IF(AND(ISNUMBER((SnapshotTable[[#This Row],[SP Potential Spend]])), SnapshotTable[[#This Row],[SP Strike Price]] &gt; SnapshotTable[[#This Row],[Last Price]], SnapshotTable[[#This Row],[SP Is Filled]]), SnapshotTable[[#This Row],[SP Potential Spend]] -  SnapshotTable[[#This Row],[LP Max Value]], 0)</f>
        <v>0</v>
      </c>
      <c r="CJ159" s="229"/>
      <c r="CK159" s="31">
        <f>IF(ISNUMBER(SnapshotTable[[#This Row],[SP Potential Spend]]),IF(ISNUMBER(SnapshotTable[[#This Row],[SP POW]]), SnapshotTable[[#This Row],[SP POW]] * SnapshotTable[[#This Row],[SP Potential Spend]], SnapshotTable[[#This Row],[SP Potential Spend]]), "")</f>
        <v>0</v>
      </c>
      <c r="CL159" s="162">
        <f>IF(NOT(SnapshotTable[[#This Row],[SP Is Filled]]),(SnapshotTable[[#This Row],[SP Qty]] * SnapshotTable[[#This Row],[SP Strike Price]] * 100) - SnapshotTable[[#This Row],[LP Max Value]],"")</f>
        <v>0</v>
      </c>
      <c r="CM159" s="31" t="str">
        <f>IF(SnapshotTable[[#This Row],[SP Actual Spend]]&lt;&gt;0, ((SnapshotTable[[#This Row],[SP Strike Price]]-SnapshotTable[[#This Row],[Last Price]]) *(SnapshotTable[[#This Row],[SP Qty]]*100) - SnapshotTable[[#This Row],[SP Premium]]) * - 1, "")</f>
        <v/>
      </c>
      <c r="CN159" s="76"/>
      <c r="CO159" s="339"/>
      <c r="CP159" s="4" t="str">
        <f>IF(SnapshotTable[[#This Row],[SP Is Filled]], btc_max_buyback_amount(SnapshotTable[[#This Row],[SP Fill Date]],SnapshotTable[[#This Row],[SP Exp Date]], SnapshotTable[[#This Row],[SP Book Price]]),"")</f>
        <v/>
      </c>
      <c r="CQ159" s="76"/>
      <c r="CR15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59" s="153" t="str">
        <f>IF(SnapshotTable[[#This Row],[SP Is Filled]], btc_next_cutoff_date(SnapshotTable[[#This Row],[SP Fill Date]],SnapshotTable[[#This Row],[SP Exp Date]]),"")</f>
        <v/>
      </c>
      <c r="CT159" s="220" t="str" cm="1">
        <f t="array" ref="CT159">IF(SnapshotTable[[#This Row],[SP Is Filled]], btc_should_buy_back(SnapshotTable[[#This Row],[SP Fill Date]], SnapshotTable[[#This Row],[SP Exp Date]], SnapshotTable[[#This Row],[SP Book Price]], SnapshotTable[[#This Row],[SP Current Ask]], MockToday, SnapshotTable[[#This Row],[SP Buyback Override]]),"")</f>
        <v/>
      </c>
      <c r="CU159" s="141"/>
      <c r="CV159" s="220"/>
      <c r="CW159" s="348" t="str">
        <f>IF(ISNUMBER( SnapshotTable[[#This Row],[SP Term]]), SnapshotTable[[#This Row],[SP Exp Date]] - MockToday,"")</f>
        <v/>
      </c>
      <c r="CX159" s="31" t="str">
        <f>IF(SnapshotTable[[#This Row],[SP Is Filled]],SnapshotTable[[#This Row],[SP Buyback Price to Use]] * 100 * SnapshotTable[[#This Row],[SP Qty]], "")</f>
        <v/>
      </c>
      <c r="CY159" s="4" t="str">
        <f>IF(ISNUMBER(SnapshotTable[[#This Row],[SP Strike Price]]), SnapshotTable[[#This Row],[SP Strike Price]] * (1 - SP_MaxLoss_StrikePct), "")</f>
        <v/>
      </c>
      <c r="CZ159" s="31" t="str">
        <f>IF(ISNUMBER(SnapshotTable[[#This Row],[SP Strike  Stop Per Share]]),SnapshotTable[[#This Row],[SP Premium]] - ((SnapshotTable[[#This Row],[SP Strike Price]]-SnapshotTable[[#This Row],[SP Strike  Stop Per Share]]) *(SnapshotTable[[#This Row],[SP Qty]] * 100)),"")</f>
        <v/>
      </c>
      <c r="DA159" s="4" t="str">
        <f>IF(AND(ISNUMBER(SnapshotTable[[#This Row],[SP Premium]]),SnapshotTable[[#This Row],[SP Premium]]&gt;0), SnapshotTable[[#This Row],[SP Book Price]] * (1 + SP_MaxLoss_OptionPct), "")</f>
        <v/>
      </c>
      <c r="DB159" s="31" t="str">
        <f>IF(ISNUMBER(SnapshotTable[[#This Row],[SP Option  Stop Contract]]),(SnapshotTable[[#This Row],[SP Option  Stop Contract]] *(SnapshotTable[[#This Row],[SP Qty]] * 100) - SnapshotTable[[#This Row],[SP Premium]]),"")</f>
        <v/>
      </c>
      <c r="DC159" s="4"/>
      <c r="DD159" s="4"/>
      <c r="DE159" s="4" t="str">
        <f>IF(AND(SnapshotTable[[#This Row],[SP Qty]]&gt;0, SnapshotTable[[#This Row],[SP Stop To Use]]&gt;0),SnapshotTable[[#This Row],[SP Premium]] - ( SnapshotTable[[#This Row],[SP Qty]] * SnapshotTable[[#This Row],[SP Stop To Use]] * 100), "")</f>
        <v/>
      </c>
      <c r="DF159" s="31" t="str">
        <f>IF(AND(SnapshotTable[[#This Row],[SP Qty]]&gt;0,SnapshotTable[[#This Row],[SP Current Ask]]&gt;0), SnapshotTable[[#This Row],[SP Qty]] * SnapshotTable[[#This Row],[SP Current Ask]] * -100, "")</f>
        <v/>
      </c>
      <c r="DG159" s="31" t="str">
        <f>IF(ISNUMBER((SnapshotTable[[#This Row],[SP Total Value]])), SnapshotTable[[#This Row],[SP Premium]] + SnapshotTable[[#This Row],[SP Total Value]], "")</f>
        <v/>
      </c>
      <c r="DH159" s="272" t="str">
        <f>IF(ISNUMBER((SnapshotTable[[#This Row],[SP Total Value]])), SnapshotTable[[#This Row],[SP Gain Loss]] / SnapshotTable[[#This Row],[SP Premium]], "")</f>
        <v/>
      </c>
      <c r="DI159" s="369"/>
      <c r="DJ159" s="136"/>
      <c r="DK159" s="146"/>
      <c r="DL159" s="13"/>
      <c r="DM159" s="13"/>
      <c r="DO159" s="31">
        <f>IF(SnapshotTable[[#This Row],[LC Symbol Count]]=1, SnapshotTable[[#This Row],[LC Qty]] * SnapshotTable[[#This Row],[LC Book Price]] * 100, 0)</f>
        <v>0</v>
      </c>
      <c r="DP159" s="161" t="str">
        <f>IF(AND(SnapshotTable[[#This Row],[LC Exp Date]]&gt;0, SnapshotTable[[#This Row],[LC Strike Price]]&gt;0,SnapshotTable[[#This Row],[LC Qty]]&gt;0,SnapshotTable[[#This Row],[LC Book Date]]&gt;0,SnapshotTable[[#This Row],[LC Book Price]]&gt;0,SnapshotTable[[#This Row],[LC Fill Date]]=0),"Y","")</f>
        <v/>
      </c>
      <c r="DQ159" s="356" t="str">
        <f>IF(SnapshotTable[[#This Row],[LC Premium]] &gt; 0,SnapshotTable[[#This Row],[LC Exp Date]]-MAX(SnapshotTable[[#This Row],[LC Book Date]], SnapshotTable[[#This Row],[LC Fill Date]]),"")</f>
        <v/>
      </c>
      <c r="DR159" s="356" t="str">
        <f>IF(ISNUMBER(SnapshotTable[[#This Row],[LC Term]]), SnapshotTable[[#This Row],[LC Exp Date]] - MockToday, "")</f>
        <v/>
      </c>
      <c r="DS159" s="219" t="str">
        <f>IF(SnapshotTable[[#This Row],[LC Premium]]&gt;0,SnapshotTable[[#This Row],[LC Strike Price]] + SnapshotTable[[#This Row],[LC Book Price]],"")</f>
        <v/>
      </c>
      <c r="DU159" s="9" t="str">
        <f>IF(AND(SnapshotTable[[#This Row],[LC Symbol Count]]&gt;0, SnapshotTable[[#This Row],[LC Contract Value]]&gt;0), SnapshotTable[[#This Row],[LC Contract Value]] * SnapshotTable[[#This Row],[LC Qty]] * 100, "")</f>
        <v/>
      </c>
      <c r="DV159" s="9" t="str">
        <f>IF(AND(ISNUMBER(SnapshotTable[[#This Row],[LC Total Value]]), SnapshotTable[[#This Row],[LC Not Filled]]&lt;&gt;"Y"), SnapshotTable[[#This Row],[LC Total Value]]-SnapshotTable[[#This Row],[LC Premium]],"")</f>
        <v/>
      </c>
      <c r="DW159" s="225" t="str">
        <f>IF(ISNUMBER(SnapshotTable[[#This Row],[LC Actual Gain Loss]]), SnapshotTable[[#This Row],[LC Actual Gain Loss]] / SnapshotTable[[#This Row],[LC Premium]],"")</f>
        <v/>
      </c>
      <c r="DX159" s="269" t="str">
        <f>IF(ISNUMBER(SnapshotTable[[#This Row],[LC Book Price]]),SnapshotTable[[#This Row],[LC Book Price]] * 1.5,"")</f>
        <v/>
      </c>
      <c r="DY159" s="250" t="str">
        <f>IF(SnapshotTable[[#This Row],[LC Premium]]&gt;0, SnapshotTable[[#This Row],[LC Next Target]] * SnapshotTable[[#This Row],[LC Qty]] * 100,"")</f>
        <v/>
      </c>
      <c r="DZ159" s="250" t="str">
        <f>IF(ISNUMBER(SnapshotTable[[#This Row],[LC Target Gross]]), SnapshotTable[[#This Row],[LC Target Gross]] - SnapshotTable[[#This Row],[LC Premium]], "")</f>
        <v/>
      </c>
      <c r="EA159" s="283" t="str">
        <f>IF(ISNUMBER(SnapshotTable[[#This Row],[LC Target Gain Loss]]), SnapshotTable[[#This Row],[LC Target Gain Loss]]/SnapshotTable[[#This Row],[LC Premium]], "")</f>
        <v/>
      </c>
      <c r="EB159" s="247"/>
      <c r="EC159" s="268" t="str">
        <f>IF(SnapshotTable[[#This Row],[LC Premium]]&gt;0, SnapshotTable[[#This Row],[LC Book Price]] * (1 - LC_StopLoss_Pct),"")</f>
        <v/>
      </c>
      <c r="ED159" s="269"/>
      <c r="EE159" s="268" t="str">
        <f>IF(ISNUMBER(SnapshotTable[[#This Row],[LC Contract Value]]),IF(ISNUMBER(SnapshotTable[[#This Row],[LC Stop Loss Override]]), SnapshotTable[[#This Row],[LC Stop Loss Override]],SnapshotTable[[#This Row],[LC Stop Loss Calc Target]]),"")</f>
        <v/>
      </c>
      <c r="EF159" s="31" t="str">
        <f>IF(ISNUMBER(SnapshotTable[[#This Row],[LC Stop  To Use]]), (SnapshotTable[[#This Row],[LC Stop  To Use]] * SnapshotTable[[#This Row],[LC Qty]] * 100),"")</f>
        <v/>
      </c>
      <c r="EG159" s="9" t="str">
        <f>IF(ISNUMBER(SnapshotTable[[#This Row],[LC Total Value]]),SnapshotTable[[#This Row],[LC Stop Loss Amount]] - SnapshotTable[[#This Row],[LC Premium]],"")</f>
        <v/>
      </c>
      <c r="EH159" s="9">
        <f>IF(ISNUMBER(SnapshotTable[[#This Row],[LC Premium]]), SnapshotTable[[#This Row],[LC Qty]] * 100 * SnapshotTable[[#This Row],[LC Strike Price]], "")</f>
        <v>0</v>
      </c>
      <c r="EI159" s="225" t="str">
        <f>IF(AND(ISNUMBER(SnapshotTable[[#This Row],[LC Total Value]]),SnapshotTable[[#This Row],[LC Total Value]]&gt;0),SnapshotTable[[#This Row],[LC Stop Gain Loss]]  / SnapshotTable[[#This Row],[LC Premium]],"")</f>
        <v/>
      </c>
      <c r="EJ159" s="35">
        <f>IF(ISNUMBER(SnapshotTable[[#This Row],[Equity Shares]]),TRUNC(SnapshotTable[[#This Row],[Equity Shares]] / 100),0) + SnapshotTable[[#This Row],[LC Qty]]</f>
        <v>0</v>
      </c>
      <c r="EK159" s="145"/>
      <c r="EL159" s="136"/>
      <c r="EM159" s="146"/>
      <c r="EN159" s="145"/>
      <c r="EO159" s="145"/>
      <c r="EP159" s="136"/>
      <c r="EQ159" s="382" t="b">
        <f>AND(ISNUMBER(SnapshotTable[[#This Row],[SC Exp Date]]), ISNUMBER(SnapshotTable[[#This Row],[SC Strike Price]]), ISNUMBER(SnapshotTable[[#This Row],[SC Qty]]), ISNUMBER(SnapshotTable[[#This Row],[SC Book Date]]), ISNUMBER(SnapshotTable[[#This Row],[SC Book Price]]))</f>
        <v>0</v>
      </c>
      <c r="ER159" s="382" t="b">
        <f>AND(SnapshotTable[[#This Row],[SC Is Booked]], NOT(ISBLANK(SnapshotTable[[#This Row],[SC Fill Date]])))</f>
        <v>0</v>
      </c>
      <c r="ES159" s="340"/>
      <c r="ET159" s="34" t="str">
        <f>IF(AND(ISNUMBER(SnapshotTable[[#This Row],[SC Exp Date]]), ISNUMBER(SnapshotTable[[#This Row],[SC Book Date]])), SnapshotTable[[#This Row],[SC Exp Date]] - MAX(SnapshotTable[[#This Row],[SC Book Date]], SnapshotTable[[#This Row],[SC Fill Date]]) + 1, "")</f>
        <v/>
      </c>
      <c r="EU159" s="34" t="str">
        <f>IF(ISNUMBER(SnapshotTable[[#This Row],[SC Term]]), SnapshotTable[[#This Row],[SC Exp Date]]- MockToday, "")</f>
        <v/>
      </c>
      <c r="EV159" s="31">
        <f>IF(SnapshotTable[[#This Row],[SC Is Booked]], SnapshotTable[[#This Row],[SC Qty]] * SnapshotTable[[#This Row],[SC Book Price]] * 100, 0)</f>
        <v>0</v>
      </c>
      <c r="EW159" s="4" t="str">
        <f>IF(AND(ISNUMBER(SnapshotTable[[#This Row],[Last Price]]), ISNUMBER( SnapshotTable[[#This Row],[SC Book Price]])), SnapshotTable[[#This Row],[Last Price]] - SnapshotTable[[#This Row],[SC Book Price]],"")</f>
        <v/>
      </c>
      <c r="EX159" s="219" t="str">
        <f>IF(SnapshotTable[[#This Row],[SC Is Booked]],IF(SnapshotTable[[#This Row],[SC Intrinsic Value]] &gt; 0, SnapshotTable[[#This Row],[SC Strike Price]], SnapshotTable[[#This Row],[Last Price]]), "")</f>
        <v/>
      </c>
      <c r="EY159" s="4">
        <f>IF(SnapshotTable[[#This Row],[SC Is Booked]], (MinimumPremiumRequired * SnapshotTable[[#This Row],[SC Basis]] * SnapshotTable[[#This Row],[SC Term]]), 0)</f>
        <v>0</v>
      </c>
      <c r="EZ159" s="268"/>
      <c r="FA159" s="204"/>
      <c r="FB159" s="340"/>
      <c r="FC159" s="4">
        <f>IF(SnapshotTable[[#This Row],[SC Is Filled]], btc_max_buyback_amount(SnapshotTable[[#This Row],[SC Fill Date]],SnapshotTable[[#This Row],[SC Exp Date]], SnapshotTable[[#This Row],[SC Book Price]]),0)</f>
        <v>0</v>
      </c>
      <c r="FD159" s="5"/>
      <c r="FE159" s="142" t="str">
        <f>IF(SnapshotTable[[#This Row],[SC Is Filled]], btc_next_cutoff_date(SnapshotTable[[#This Row],[SC Fill Date]],SnapshotTable[[#This Row],[SC Exp Date]]),"")</f>
        <v/>
      </c>
      <c r="FF159" s="4" t="str" cm="1">
        <f t="array" ref="FF159">IF(SnapshotTable[[#This Row],[SC Is Filled]], btc_should_buy_back(SnapshotTable[[#This Row],[SC Fill Date]], SnapshotTable[[#This Row],[SC Exp Date]], SnapshotTable[[#This Row],[SC Book Price]], SnapshotTable[[#This Row],[SC Current Ask]], MockToday, SnapshotTable[[#This Row],[SC Buyback Override]]),"")</f>
        <v/>
      </c>
      <c r="FG159" s="4">
        <f>IF(SnapshotTable[[#This Row],[SC Is Filled]], MAX(0,SnapshotTable[[#This Row],[Last Price]]  - SnapshotTable[[#This Row],[SC Strike Price]]), 0)</f>
        <v>0</v>
      </c>
      <c r="FH159" s="352">
        <f>IF(SnapshotTable[[#This Row],[SC Is Filled]], IF(ISNUMBER(SnapshotTable[[#This Row],[SC Current Ask]]), SnapshotTable[[#This Row],[SC Current Ask]], SnapshotTable[[#This Row],[SC Book Price]]) - SnapshotTable[[#This Row],[SC Intrinsic Value]], 0)</f>
        <v>0</v>
      </c>
      <c r="FI159" s="141"/>
      <c r="FJ159" s="32" t="str">
        <f>IF(SnapshotTable[[#This Row],[SC Is Filled]],100 * SnapshotTable[[#This Row],[SC Qty]] * IF(ISNUMBER(SnapshotTable[[#This Row],[SC Buyback Override]]), SnapshotTable[[#This Row],[SC Buyback Override]], SnapshotTable[[#This Row],[SC Current Ask]]), "")</f>
        <v/>
      </c>
      <c r="FK159" s="235" t="str">
        <f>IF(SnapshotTable[[#This Row],[SC Time Val]]&gt;0, SnapshotTable[[#This Row],[SC Time Val]] / SnapshotTable[[#This Row],[Last Price]],"")</f>
        <v/>
      </c>
      <c r="FL159" s="280" t="str">
        <f>IF(SnapshotTable[[#This Row],[SC Is Booked]], ((SnapshotTable[[#This Row],[Last Price]] -SnapshotTable[[#This Row],[SC Strike Price]]) / SnapshotTable[[#This Row],[Last Price]]) * -1, "")</f>
        <v/>
      </c>
      <c r="FM159" s="155" t="str">
        <f>IF(SnapshotTable[[#This Row],[SC Is Booked]],  (SnapshotTable[[#This Row],[SC Qty]] * 100 * SnapshotTable[[#This Row],[SC Strike Price]]) - SnapshotTable[[#This Row],[SC Current Ask]], "")</f>
        <v/>
      </c>
      <c r="FN15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59" s="31" t="str">
        <f>IF(AND(ISNUMBER(SnapshotTable[[#This Row],[SC Exercise Gross]]), ISNUMBER(SnapshotTable[[#This Row],[Equity Basis Per Share]] )), SnapshotTable[[#This Row],[SC Exercise Gross]] - SnapshotTable[[#This Row],[Equity Basis Total]] +  SnapshotTable[[#This Row],[SC Premium]], "")</f>
        <v/>
      </c>
      <c r="FP159" s="5" t="str">
        <f>IF(ISNUMBER(SnapshotTable[[#This Row],[SC Exercise Gross]]), (SnapshotTable[[#This Row],[SC Exercise Gross]]) / (SnapshotTable[[#This Row],[SC Qty]] * 100), "")</f>
        <v/>
      </c>
      <c r="FQ159" s="27" t="str">
        <f>IF(SnapshotTable[[#This Row],[SC Is Booked]],SnapshotTable[[#This Row],[SC Time Val]] /SnapshotTable[[#This Row],[SC Basis]], "")</f>
        <v/>
      </c>
      <c r="FR159" s="27" t="str" cm="1">
        <f t="array" ref="FR159">IF(AND(ISNUMBER(SnapshotTable[[#This Row],[SC Term]]),ISNUMBER(SnapshotTable[[#This Row],[SC Simple ROO]])), EllmanAnnualize(SnapshotTable[[#This Row],[SC DTE]], SnapshotTable[[#This Row],[SC Simple ROO]] ),"")</f>
        <v/>
      </c>
      <c r="FS159" s="4">
        <f>IF(SnapshotTable[[#This Row],[SC Strike Price]] &gt; SnapshotTable[[#This Row],[Last Price]], SnapshotTable[[#This Row],[SC Strike Price]] - SnapshotTable[[#This Row],[Last Price]],0)</f>
        <v>0</v>
      </c>
      <c r="FT159" s="27" t="str">
        <f>IF(AND(ISNUMBER(SnapshotTable[[#This Row],[SC Upside Potential]]), SnapshotTable[[#This Row],[SC Upside Potential]] &gt; 0),(SnapshotTable[[#This Row],[SC Upside Potential]]/ SnapshotTable[[#This Row],[ACB]]),"")</f>
        <v/>
      </c>
      <c r="FU159" s="304" t="str">
        <f>IF(SnapshotTable[[#This Row],[SC Intrinsic Value]] &gt; 0,SnapshotTable[[#This Row],[SC Intrinsic Value]],"")</f>
        <v/>
      </c>
      <c r="FV159" s="27" t="str">
        <f>IF(AND( ISNUMBER( SnapshotTable[[#This Row],[ACB]]),ISNUMBER(SnapshotTable[[#This Row],[SC Downside Protect]])),SnapshotTable[[#This Row],[SC Downside Protect]] / SnapshotTable[[#This Row],[ACB]],"")</f>
        <v/>
      </c>
      <c r="FW159" s="221" t="str">
        <f>IF(AND(ISNUMBER(SnapshotTable[[#This Row],[SC Simple ROO]]),SnapshotTable[[#This Row],[SC Simple ROO]] &gt; 0), SnapshotTable[[#This Row],[SC Premium]] + (SnapshotTable[[#This Row],[SC Qty]] * SnapshotTable[[#This Row],[SC Upside Potential]]), "")</f>
        <v/>
      </c>
      <c r="FX159" s="280" t="str" cm="1">
        <f t="array" ref="FX159">IF(ISNUMBER(SnapshotTable[[#This Row],[SC Max Dollars]]), annualize(SnapshotTable[[#This Row],[SC Term]],(SnapshotTable[[#This Row],[SC Max Dollars]]/SnapshotTable[[#This Row],[SC Basis]])),"")</f>
        <v/>
      </c>
      <c r="FY159" s="221" t="str">
        <f>IF(AND(SnapshotTable[[#This Row],[SC Qty]]&gt;0,SnapshotTable[[#This Row],[SC Current Ask]]&gt;0), SnapshotTable[[#This Row],[SC Qty]] * SnapshotTable[[#This Row],[SC Current Ask]] * -100, "")</f>
        <v/>
      </c>
      <c r="FZ159" s="31" t="str">
        <f>IF(ISNUMBER((SnapshotTable[[#This Row],[SC Current Value]])), SnapshotTable[[#This Row],[SC Premium]] + SnapshotTable[[#This Row],[SC Current Value]], "")</f>
        <v/>
      </c>
      <c r="GA159" s="272" t="str">
        <f>IFERROR( IF(ISNUMBER((SnapshotTable[[#This Row],[SC Current Value]])), SnapshotTable[[#This Row],[SC Gain Loss]] / SnapshotTable[[#This Row],[SC Premium]], ""), "")</f>
        <v/>
      </c>
      <c r="GB159" s="42">
        <f>SnapshotTable[[#This Row],[Equity Shares]] * SaleSharesToConsiderPercentage</f>
        <v>0</v>
      </c>
      <c r="GC159" s="40" t="e">
        <f>SnapshotTable[[#This Row],[Long Term Target]] * SellingPriceToConsiderBasedOnTargetPercentage</f>
        <v>#VALUE!</v>
      </c>
      <c r="GD159" s="40">
        <f>SnapshotTable[[#This Row],[Last Price]] * (1+ SellingPriceToConsiderBasedOnTargetPercentage)</f>
        <v>134.19899999999998</v>
      </c>
      <c r="GE159" s="41"/>
      <c r="GF159" s="40"/>
      <c r="GG159" s="31">
        <f>SnapshotTable[[#This Row],[Booked Sale Shares]] * SnapshotTable[[#This Row],[Booked Sale Price]]</f>
        <v>0</v>
      </c>
      <c r="GH159" s="31" t="str">
        <f>IF(SnapshotTable[[#This Row],[Equity Basis Total]] &gt; 0, SnapshotTable[[#This Row],[Equity Basis Per Share]] * SnapshotTable[[#This Row],[Booked Sale Shares]], "")</f>
        <v/>
      </c>
      <c r="GI159" s="31">
        <f>IF(SnapshotTable[[#This Row],[Sale Proceeds]]&gt;0, SnapshotTable[[#This Row],[Sale Proceeds]] - SnapshotTable[[#This Row],[Sale Basis]], 0)</f>
        <v>0</v>
      </c>
      <c r="GJ159" s="27" t="str">
        <f>IF(SnapshotTable[[#This Row],[Sale G/L]]&gt;0, SnapshotTable[[#This Row],[Sale G/L]] / SnapshotTable[[#This Row],[Sale Basis]], IF(ISNUMBER(SnapshotTable[[#This Row],[SC Exercise P&amp;L (TAX)]]), SnapshotTable[[#This Row],[SC Exercise P&amp;L (TAX)]] / SnapshotTable[[#This Row],[SC Basis]], ""))</f>
        <v/>
      </c>
      <c r="GK159" s="27" t="s">
        <v>580</v>
      </c>
      <c r="GL159" s="43" t="str">
        <f>IF(AND(SnapshotTable[[#This Row],[LP Exp Date]]&gt;0,SnapshotTable[[#This Row],[LP Strike Price]]&gt;0), [1]!ToOptionSymbol(SnapshotTable[[#This Row],[Symbol]], SnapshotTable[[#This Row],[LP Strike Price]],SnapshotTable[[#This Row],[LP Exp Date]],1), "")</f>
        <v/>
      </c>
      <c r="GM159" s="30" t="str">
        <f>IF(LEN(SnapshotTable[[#This Row],[LP Symbol]])&gt;0, 1, "")</f>
        <v/>
      </c>
      <c r="GN159" s="43" t="str">
        <f>IF(AND(SnapshotTable[[#This Row],[SP Exp Date]]&gt;0,SnapshotTable[[#This Row],[SP Strike Price]]&gt;0), [1]!ToOptionSymbol(SnapshotTable[[#This Row],[Symbol]], SnapshotTable[[#This Row],[SP Strike Price]],SnapshotTable[[#This Row],[SP Exp Date]],1), "")</f>
        <v/>
      </c>
      <c r="GO159" s="30" t="str">
        <f>IF(LEN(SnapshotTable[[#This Row],[SP Symbol]])&gt;0, 1, "")</f>
        <v/>
      </c>
      <c r="GP159" s="43" t="str">
        <f>IF(AND(SnapshotTable[[#This Row],[LC Exp Date]]&gt;0,SnapshotTable[[#This Row],[LC Strike Price]]&gt;0), [1]!ToOptionSymbol(SnapshotTable[[#This Row],[Symbol]], SnapshotTable[[#This Row],[LC Strike Price]],SnapshotTable[[#This Row],[LC Exp Date]],0), "")</f>
        <v/>
      </c>
      <c r="GQ159" s="30" t="str">
        <f>IF(LEN(SnapshotTable[[#This Row],[LC Symbol]])&gt;0, 1, "")</f>
        <v/>
      </c>
      <c r="GR159" s="43" t="str">
        <f>IF(AND(SnapshotTable[[#This Row],[SC Exp Date]]&gt;0,SnapshotTable[[#This Row],[SC Strike Price]]&gt;0), [1]!ToOptionSymbol(SnapshotTable[[#This Row],[Symbol]], SnapshotTable[[#This Row],[SC Strike Price]],SnapshotTable[[#This Row],[SC Exp Date]],0), "")</f>
        <v/>
      </c>
      <c r="GS159" s="30" t="str">
        <f>IF(LEN(SnapshotTable[[#This Row],[SC Symbol]])&gt;0, 1, "")</f>
        <v/>
      </c>
      <c r="GT159" s="29" t="str">
        <f>IF(COUNT(SnapshotTable[[#This Row],[LP Symbol Count]],SnapshotTable[[#This Row],[SP Symbol Count]],SnapshotTable[[#This Row],[LC Symbol Count]],SnapshotTable[[#This Row],[SC Symbol Count]])&gt;0, "Y", "")</f>
        <v/>
      </c>
      <c r="GU15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59" s="216">
        <f>MAX(SnapshotTable[[#This Row],[Equity Basis Total]],SnapshotTable[[#This Row],[Equity Value]]) + (SnapshotTable[[#This Row],[SP Potential Spend]]- SnapshotTable[[#This Row],[SP Premium]] + SnapshotTable[[#This Row],[LP Premium]])+ (SnapshotTable[[#This Row],[LC Premium]] - SnapshotTable[[#This Row],[SC Premium]])</f>
        <v>0</v>
      </c>
      <c r="GW159" s="137" t="str">
        <f>IF(AND(SnapshotTable[[#This Row],[Exposure]] &lt;&gt; 0),SnapshotTable[[#This Row],[Exposure]] / SnapshotTable[[#Totals],[Exposure]], "")</f>
        <v/>
      </c>
      <c r="HE159" s="253"/>
      <c r="HF159" s="253"/>
      <c r="HK159" s="1"/>
      <c r="HL159" s="1"/>
      <c r="HM159" s="1"/>
      <c r="HN159" s="1"/>
      <c r="HO159" s="1"/>
      <c r="HP159" s="1"/>
    </row>
    <row r="160" spans="2:224" ht="12.75" hidden="1" customHeight="1" x14ac:dyDescent="0.25">
      <c r="B160" s="12" t="s">
        <v>92</v>
      </c>
      <c r="C160" s="385">
        <v>45.33</v>
      </c>
      <c r="D160" s="200"/>
      <c r="E160" s="39">
        <f>SnapshotTable[[#This Row],[Last Price]]*(1 -CrashDiscount)</f>
        <v>38.530499999999996</v>
      </c>
      <c r="F160" s="26" t="s">
        <v>91</v>
      </c>
      <c r="G160" s="26" t="s">
        <v>10</v>
      </c>
      <c r="H160" s="147"/>
      <c r="I160" s="186">
        <v>44755.284722222219</v>
      </c>
      <c r="J160" s="187">
        <v>44755.284722222219</v>
      </c>
      <c r="K160" s="188"/>
      <c r="L160" s="297"/>
      <c r="M160" s="138"/>
      <c r="N160" s="138"/>
      <c r="O160" s="138"/>
      <c r="P160" s="22"/>
      <c r="Q160" s="25"/>
      <c r="R160" s="4" t="str">
        <f>IF(SnapshotTable[[#This Row],[Equity Basis Total]] &gt; 0, SnapshotTable[[#This Row],[Equity Basis Total]] / SnapshotTable[[#This Row],[Equity Shares]], "")</f>
        <v/>
      </c>
      <c r="S160" s="254">
        <f>SnapshotTable[[#This Row],[Last Price]] * SnapshotTable[[#This Row],[Equity Shares]]</f>
        <v>0</v>
      </c>
      <c r="T160" s="254">
        <f>SnapshotTable[[#This Row],[Equity Value]] - SnapshotTable[[#This Row],[Equity Basis Total]]</f>
        <v>0</v>
      </c>
      <c r="U160" s="255" t="str">
        <f>IF(SnapshotTable[[#This Row],[Equity Basis Total]] &gt; 0, SnapshotTable[[#This Row],[Equity G/L]] / SnapshotTable[[#This Row],[Equity Basis Total]], "")</f>
        <v/>
      </c>
      <c r="V160" s="253"/>
      <c r="W160" s="253"/>
      <c r="X160" s="4" t="str">
        <f>IF(AND(ISNUMBER(SnapshotTable[[#This Row],[Equity Basis Per Share]]),ISNUMBER(SnapshotTable[[#This Row],[Equity Target]])),SnapshotTable[[#This Row],[Equity Target]]-SnapshotTable[[#This Row],[Equity Basis Per Share]],"")</f>
        <v/>
      </c>
      <c r="Y160" s="4" t="str">
        <f>IF(AND(ISNUMBER(SnapshotTable[[#This Row],[Equity Basis Per Share]]),ISNUMBER(SnapshotTable[[#This Row],[Equity Stop Loss]])),SnapshotTable[[#This Row],[Equity Stop Loss]]-SnapshotTable[[#This Row],[Equity Basis Per Share]],"")</f>
        <v/>
      </c>
      <c r="Z160" s="260" t="str">
        <f>IFERROR( TEXT(SnapshotTable[[#This Row],[Equity Max Gain Per Share]] /ABS( SnapshotTable[[#This Row],[Equity Max Loss Per Share]]),"0.0 " ) &amp; " : 1", "")</f>
        <v/>
      </c>
      <c r="AA160" s="31" t="str">
        <f>IF(ISNUMBER(SnapshotTable[[#This Row],[Equity Max Gain Per Share]]),SnapshotTable[[#This Row],[Equity Max Gain Per Share]] * SnapshotTable[[#This Row],[Equity Shares]],"")</f>
        <v/>
      </c>
      <c r="AB160" s="31" t="str">
        <f>IF(ISNUMBER(SnapshotTable[[#This Row],[Equity Max Loss Per Share]]),SnapshotTable[[#This Row],[Equity Max Loss Per Share]] * SnapshotTable[[#This Row],[Equity Shares]],"")</f>
        <v/>
      </c>
      <c r="AC160" s="148">
        <v>1.28</v>
      </c>
      <c r="AD160" s="149">
        <v>42883</v>
      </c>
      <c r="AE160" s="31">
        <f>(SnapshotTable[[#This Row],[Annual Dividend Per Share]] / 4) * SnapshotTable[[#This Row],[Equity Shares]]</f>
        <v>0</v>
      </c>
      <c r="AF160" s="31">
        <f>SnapshotTable[[#This Row],[Quarterly Div $]] * 4</f>
        <v>0</v>
      </c>
      <c r="AG160" s="7">
        <f>IF(SnapshotTable[[#This Row],[Annual Dividend Per Share]]&gt;0, SnapshotTable[[#This Row],[Annual Dividend Per Share]]  / SnapshotTable[[#This Row],[Last Price]], 0)</f>
        <v>2.8237370394881979E-2</v>
      </c>
      <c r="AH160" s="149">
        <v>42852</v>
      </c>
      <c r="AI160" s="5"/>
      <c r="AJ160" s="136">
        <v>50.4</v>
      </c>
      <c r="AK160" s="150" t="str">
        <f>IF(ISNUMBER( SnapshotTable[[#This Row],[EBF Target]]),(SnapshotTable[[#This Row],[EBF Target]] - SnapshotTable[[#This Row],[Last Price]]) / SnapshotTable[[#This Row],[Last Price]], "")</f>
        <v/>
      </c>
      <c r="AL160" s="150" t="str">
        <f>IF(AND(SnapshotTable[[#This Row],[Equity Basis Total]] &gt; 0,ISNUMBER( SnapshotTable[[#This Row],[Long Term Target]])), SnapshotTable[[#This Row],[From Basis $]] / SnapshotTable[[#This Row],[Equity Basis Total]], "")</f>
        <v/>
      </c>
      <c r="AM160" s="9">
        <f>IF( AND(SnapshotTable[[#This Row],[Equity Shares]] &gt;0,ISNUMBER( SnapshotTable[[#This Row],[Long Term Target]])),(SnapshotTable[[#This Row],[Equity Shares]] * SnapshotTable[[#This Row],[Long Term Target]]) - SnapshotTable[[#This Row],[Equity Basis Total]],0)</f>
        <v>0</v>
      </c>
      <c r="AN160" s="9">
        <f>IF( AND(SnapshotTable[[#This Row],[Equity Shares]] &gt;0,ISNUMBER( SnapshotTable[[#This Row],[Long Term Target]])),(SnapshotTable[[#This Row],[Equity Shares]]*SnapshotTable[[#This Row],[Long Term Target]]) - SnapshotTable[[#This Row],[Equity Value]],0)</f>
        <v>0</v>
      </c>
      <c r="AO160" s="150">
        <f>IF(AND(ISNUMBER( SnapshotTable[[#This Row],[Long Term Target]]), ISNUMBER(SnapshotTable[[#This Row],[Last Price]])),(SnapshotTable[[#This Row],[Long Term Target]] - SnapshotTable[[#This Row],[Last Price]]) / SnapshotTable[[#This Row],[Last Price]], "")</f>
        <v>0.11184645929847783</v>
      </c>
      <c r="AP160" s="5">
        <v>51.58</v>
      </c>
      <c r="AQ160" s="38" t="s">
        <v>29</v>
      </c>
      <c r="AR160" s="5">
        <v>51.58</v>
      </c>
      <c r="AS160" s="38" t="s">
        <v>28</v>
      </c>
      <c r="AT160" s="144"/>
      <c r="AU160" s="185" t="str">
        <f>IF(OR(SnapshotTable[[#This Row],[LP No Fill]]="Y",SnapshotTable[[#This Row],[SP Is Filled]],SnapshotTable[[#This Row],[LC Not Filled]]="Y",SnapshotTable[[#This Row],[SC Is Filled]]),"Y","")</f>
        <v/>
      </c>
      <c r="AV160" s="205"/>
      <c r="AW160" s="211"/>
      <c r="AX160" s="206"/>
      <c r="AY160" s="205" t="str">
        <f>IF(SnapshotTable[[#This Row],[Implied Move]]&gt;0, SnapshotTable[[#This Row],[Last Price]]-SnapshotTable[[#This Row],[Implied Move]],"")</f>
        <v/>
      </c>
      <c r="AZ160" s="205" t="str">
        <f>IF(SnapshotTable[[#This Row],[Implied Move]]&gt;0, SnapshotTable[[#This Row],[Last Price]] + SnapshotTable[[#This Row],[Implied Move]],"")</f>
        <v/>
      </c>
      <c r="BA160" s="302"/>
      <c r="BB160" s="318"/>
      <c r="BC16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0" s="321"/>
      <c r="BE160" s="5"/>
      <c r="BF160" s="14"/>
      <c r="BG160" s="13"/>
      <c r="BH160" s="13"/>
      <c r="BI160" s="5"/>
      <c r="BJ160" s="134">
        <f>IF(SnapshotTable[[#This Row],[LP Qty]] &gt; 0, SnapshotTable[[#This Row],[LP Qty]] * SnapshotTable[[#This Row],[LP Book Price]] * 100,0)</f>
        <v>0</v>
      </c>
      <c r="BK160" s="134">
        <f>IF(SnapshotTable[[#This Row],[LP Premium]] &gt; 0, SnapshotTable[[#This Row],[LP Qty]] * SnapshotTable[[#This Row],[LP Strike Price]] * 100,0)</f>
        <v>0</v>
      </c>
      <c r="BL160" s="152"/>
      <c r="BM160" s="355" t="str">
        <f>IF(SnapshotTable[[#This Row],[LP Premium]] &gt; 0,SnapshotTable[[#This Row],[LP Exp Date]]-MAX(SnapshotTable[[#This Row],[LP Book Date]], SnapshotTable[[#This Row],[LP Fill Date]]),"")</f>
        <v/>
      </c>
      <c r="BN160" s="355" t="str">
        <f>IF(ISNUMBER( SnapshotTable[[#This Row],[LP Term]]), SnapshotTable[[#This Row],[LP Exp Date]] - MockToday,"")</f>
        <v/>
      </c>
      <c r="BO160" s="161" t="str">
        <f>IF(AND(SnapshotTable[[#This Row],[LP Exp Date]]&gt;0, SnapshotTable[[#This Row],[LP Strike Price]]&gt;0,SnapshotTable[[#This Row],[LP Qty]]&gt;0,SnapshotTable[[#This Row],[LP Book Date]]&gt;0,SnapshotTable[[#This Row],[LP Book Price]]&gt;0,SnapshotTable[[#This Row],[LP Fill Date]]=0),"Y","")</f>
        <v/>
      </c>
      <c r="BP160" s="31" t="str">
        <f>IF(AND(SnapshotTable[[#This Row],[LP No Fill]]&lt;&gt;"Y",SnapshotTable[[#This Row],[LP Contract Value]]&gt;0, SnapshotTable[[#This Row],[LP Qty]]&gt;0), SnapshotTable[[#This Row],[LP Contract Value]]*SnapshotTable[[#This Row],[LP Qty]]*100,"")</f>
        <v/>
      </c>
      <c r="BQ160" s="13"/>
      <c r="BR160" s="5"/>
      <c r="BS160" s="36"/>
      <c r="BT160" s="145"/>
      <c r="BU160" s="13"/>
      <c r="BV160" s="5"/>
      <c r="BW160" s="382" t="b">
        <f>AND(ISNUMBER(SnapshotTable[[#This Row],[SP Exp Date]]), ISNUMBER(SnapshotTable[[#This Row],[SP Strike Price]]), ISNUMBER(SnapshotTable[[#This Row],[SP Qty]]), ISNUMBER(SnapshotTable[[#This Row],[SP Book Date]]), ISNUMBER(SnapshotTable[[#This Row],[SP Book Price]]))</f>
        <v>0</v>
      </c>
      <c r="BX160" s="382" t="b">
        <f>AND(SnapshotTable[[#This Row],[SP Is Booked]], NOT(ISBLANK(SnapshotTable[[#This Row],[SP Fill Date]])))</f>
        <v>0</v>
      </c>
      <c r="BY160" s="33">
        <f>IF(SnapshotTable[[#This Row],[SP Is Booked]], SnapshotTable[[#This Row],[SP Qty]] * SnapshotTable[[#This Row],[SP Book Price]] * 100, 0)</f>
        <v>0</v>
      </c>
      <c r="BZ160" s="339"/>
      <c r="CA160" s="338">
        <f>SnapshotTable[[#This Row],[LP Qty]]</f>
        <v>0</v>
      </c>
      <c r="CB160" s="4" t="str">
        <f>IF(SnapshotTable[[#This Row],[SP Is Booked]], SnapshotTable[[#This Row],[SP Strike Price]] - SnapshotTable[[#This Row],[SP Book Price]], "")</f>
        <v/>
      </c>
      <c r="CC160" s="19" t="str">
        <f>IF(SnapshotTable[[#This Row],[SP Is Booked]],SnapshotTable[[#This Row],[SP Exp Date]]-MAX(SnapshotTable[[#This Row],[SP Book Date]], SnapshotTable[[#This Row],[SP Fill Date]]),"")</f>
        <v/>
      </c>
      <c r="CD160" s="7" t="str">
        <f>IF(SnapshotTable[[#This Row],[SP Is Booked]], SnapshotTable[[#This Row],[SP Book Price]]/SnapshotTable[[#This Row],[SP Strike Price]], "")</f>
        <v/>
      </c>
      <c r="CE160" s="7" t="str">
        <f>IF(ISNUMBER(SnapshotTable[[#This Row],[SP ROO Term]]),SnapshotTable[[#This Row],[SP ROO Term]]*(365/SnapshotTable[[#This Row],[SP Term]]),"")</f>
        <v/>
      </c>
      <c r="CF160" s="221">
        <f>SnapshotTable[[#This Row],[LP Strike Price]] * SnapshotTable[[#This Row],[LP Qty]] * 100</f>
        <v>0</v>
      </c>
      <c r="CG160" s="31">
        <f>IF(ISNUMBER(SnapshotTable[[#This Row],[SP Premium]]), (SnapshotTable[[#This Row],[SP Qty]] * SnapshotTable[[#This Row],[SP Strike Price]]* 100) - SnapshotTable[[#This Row],[LP Protection]], 0)</f>
        <v>0</v>
      </c>
      <c r="CH160" s="7" t="str">
        <f>IF(ISNUMBER(SnapshotTable[[#This Row],[SP Break Even]]),-1 * (SnapshotTable[[#This Row],[SP Break Even]] - SnapshotTable[[#This Row],[Last Price]]) / SnapshotTable[[#This Row],[Last Price]], "")</f>
        <v/>
      </c>
      <c r="CI160" s="31">
        <f>IF(AND(ISNUMBER((SnapshotTable[[#This Row],[SP Potential Spend]])), SnapshotTable[[#This Row],[SP Strike Price]] &gt; SnapshotTable[[#This Row],[Last Price]], SnapshotTable[[#This Row],[SP Is Filled]]), SnapshotTable[[#This Row],[SP Potential Spend]] -  SnapshotTable[[#This Row],[LP Max Value]], 0)</f>
        <v>0</v>
      </c>
      <c r="CJ160" s="229"/>
      <c r="CK160" s="31">
        <f>IF(ISNUMBER(SnapshotTable[[#This Row],[SP Potential Spend]]),IF(ISNUMBER(SnapshotTable[[#This Row],[SP POW]]), SnapshotTable[[#This Row],[SP POW]] * SnapshotTable[[#This Row],[SP Potential Spend]], SnapshotTable[[#This Row],[SP Potential Spend]]), "")</f>
        <v>0</v>
      </c>
      <c r="CL160" s="162">
        <f>IF(NOT(SnapshotTable[[#This Row],[SP Is Filled]]),(SnapshotTable[[#This Row],[SP Qty]] * SnapshotTable[[#This Row],[SP Strike Price]] * 100) - SnapshotTable[[#This Row],[LP Max Value]],"")</f>
        <v>0</v>
      </c>
      <c r="CM160" s="31" t="str">
        <f>IF(SnapshotTable[[#This Row],[SP Actual Spend]]&lt;&gt;0, ((SnapshotTable[[#This Row],[SP Strike Price]]-SnapshotTable[[#This Row],[Last Price]]) *(SnapshotTable[[#This Row],[SP Qty]]*100) - SnapshotTable[[#This Row],[SP Premium]]) * - 1, "")</f>
        <v/>
      </c>
      <c r="CN160" s="76"/>
      <c r="CO160" s="339"/>
      <c r="CP160" s="4" t="str">
        <f>IF(SnapshotTable[[#This Row],[SP Is Filled]], btc_max_buyback_amount(SnapshotTable[[#This Row],[SP Fill Date]],SnapshotTable[[#This Row],[SP Exp Date]], SnapshotTable[[#This Row],[SP Book Price]]),"")</f>
        <v/>
      </c>
      <c r="CQ160" s="76"/>
      <c r="CR16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0" s="153" t="str">
        <f>IF(SnapshotTable[[#This Row],[SP Is Filled]], btc_next_cutoff_date(SnapshotTable[[#This Row],[SP Fill Date]],SnapshotTable[[#This Row],[SP Exp Date]]),"")</f>
        <v/>
      </c>
      <c r="CT160" s="220" t="str" cm="1">
        <f t="array" ref="CT160">IF(SnapshotTable[[#This Row],[SP Is Filled]], btc_should_buy_back(SnapshotTable[[#This Row],[SP Fill Date]], SnapshotTable[[#This Row],[SP Exp Date]], SnapshotTable[[#This Row],[SP Book Price]], SnapshotTable[[#This Row],[SP Current Ask]], MockToday, SnapshotTable[[#This Row],[SP Buyback Override]]),"")</f>
        <v/>
      </c>
      <c r="CU160" s="141"/>
      <c r="CV160" s="220"/>
      <c r="CW160" s="348" t="str">
        <f>IF(ISNUMBER( SnapshotTable[[#This Row],[SP Term]]), SnapshotTable[[#This Row],[SP Exp Date]] - MockToday,"")</f>
        <v/>
      </c>
      <c r="CX160" s="31" t="str">
        <f>IF(SnapshotTable[[#This Row],[SP Is Filled]],SnapshotTable[[#This Row],[SP Buyback Price to Use]] * 100 * SnapshotTable[[#This Row],[SP Qty]], "")</f>
        <v/>
      </c>
      <c r="CY160" s="4" t="str">
        <f>IF(ISNUMBER(SnapshotTable[[#This Row],[SP Strike Price]]), SnapshotTable[[#This Row],[SP Strike Price]] * (1 - SP_MaxLoss_StrikePct), "")</f>
        <v/>
      </c>
      <c r="CZ160" s="31" t="str">
        <f>IF(ISNUMBER(SnapshotTable[[#This Row],[SP Strike  Stop Per Share]]),SnapshotTable[[#This Row],[SP Premium]] - ((SnapshotTable[[#This Row],[SP Strike Price]]-SnapshotTable[[#This Row],[SP Strike  Stop Per Share]]) *(SnapshotTable[[#This Row],[SP Qty]] * 100)),"")</f>
        <v/>
      </c>
      <c r="DA160" s="4" t="str">
        <f>IF(AND(ISNUMBER(SnapshotTable[[#This Row],[SP Premium]]),SnapshotTable[[#This Row],[SP Premium]]&gt;0), SnapshotTable[[#This Row],[SP Book Price]] * (1 + SP_MaxLoss_OptionPct), "")</f>
        <v/>
      </c>
      <c r="DB160" s="31" t="str">
        <f>IF(ISNUMBER(SnapshotTable[[#This Row],[SP Option  Stop Contract]]),(SnapshotTable[[#This Row],[SP Option  Stop Contract]] *(SnapshotTable[[#This Row],[SP Qty]] * 100) - SnapshotTable[[#This Row],[SP Premium]]),"")</f>
        <v/>
      </c>
      <c r="DC160" s="4"/>
      <c r="DD160" s="4"/>
      <c r="DE160" s="4" t="str">
        <f>IF(AND(SnapshotTable[[#This Row],[SP Qty]]&gt;0, SnapshotTable[[#This Row],[SP Stop To Use]]&gt;0),SnapshotTable[[#This Row],[SP Premium]] - ( SnapshotTable[[#This Row],[SP Qty]] * SnapshotTable[[#This Row],[SP Stop To Use]] * 100), "")</f>
        <v/>
      </c>
      <c r="DF160" s="31" t="str">
        <f>IF(AND(SnapshotTable[[#This Row],[SP Qty]]&gt;0,SnapshotTable[[#This Row],[SP Current Ask]]&gt;0), SnapshotTable[[#This Row],[SP Qty]] * SnapshotTable[[#This Row],[SP Current Ask]] * -100, "")</f>
        <v/>
      </c>
      <c r="DG160" s="31" t="str">
        <f>IF(ISNUMBER((SnapshotTable[[#This Row],[SP Total Value]])), SnapshotTable[[#This Row],[SP Premium]] + SnapshotTable[[#This Row],[SP Total Value]], "")</f>
        <v/>
      </c>
      <c r="DH160" s="272" t="str">
        <f>IF(ISNUMBER((SnapshotTable[[#This Row],[SP Total Value]])), SnapshotTable[[#This Row],[SP Gain Loss]] / SnapshotTable[[#This Row],[SP Premium]], "")</f>
        <v/>
      </c>
      <c r="DI160" s="369"/>
      <c r="DJ160" s="136"/>
      <c r="DK160" s="146"/>
      <c r="DL160" s="13"/>
      <c r="DM160" s="13"/>
      <c r="DO160" s="31">
        <f>IF(SnapshotTable[[#This Row],[LC Symbol Count]]=1, SnapshotTable[[#This Row],[LC Qty]] * SnapshotTable[[#This Row],[LC Book Price]] * 100, 0)</f>
        <v>0</v>
      </c>
      <c r="DP160" s="161" t="str">
        <f>IF(AND(SnapshotTable[[#This Row],[LC Exp Date]]&gt;0, SnapshotTable[[#This Row],[LC Strike Price]]&gt;0,SnapshotTable[[#This Row],[LC Qty]]&gt;0,SnapshotTable[[#This Row],[LC Book Date]]&gt;0,SnapshotTable[[#This Row],[LC Book Price]]&gt;0,SnapshotTable[[#This Row],[LC Fill Date]]=0),"Y","")</f>
        <v/>
      </c>
      <c r="DQ160" s="356" t="str">
        <f>IF(SnapshotTable[[#This Row],[LC Premium]] &gt; 0,SnapshotTable[[#This Row],[LC Exp Date]]-MAX(SnapshotTable[[#This Row],[LC Book Date]], SnapshotTable[[#This Row],[LC Fill Date]]),"")</f>
        <v/>
      </c>
      <c r="DR160" s="356" t="str">
        <f>IF(ISNUMBER(SnapshotTable[[#This Row],[LC Term]]), SnapshotTable[[#This Row],[LC Exp Date]] - MockToday, "")</f>
        <v/>
      </c>
      <c r="DS160" s="219" t="str">
        <f>IF(SnapshotTable[[#This Row],[LC Premium]]&gt;0,SnapshotTable[[#This Row],[LC Strike Price]] + SnapshotTable[[#This Row],[LC Book Price]],"")</f>
        <v/>
      </c>
      <c r="DU160" s="9" t="str">
        <f>IF(AND(SnapshotTable[[#This Row],[LC Symbol Count]]&gt;0, SnapshotTable[[#This Row],[LC Contract Value]]&gt;0), SnapshotTable[[#This Row],[LC Contract Value]] * SnapshotTable[[#This Row],[LC Qty]] * 100, "")</f>
        <v/>
      </c>
      <c r="DV160" s="9" t="str">
        <f>IF(AND(ISNUMBER(SnapshotTable[[#This Row],[LC Total Value]]), SnapshotTable[[#This Row],[LC Not Filled]]&lt;&gt;"Y"), SnapshotTable[[#This Row],[LC Total Value]]-SnapshotTable[[#This Row],[LC Premium]],"")</f>
        <v/>
      </c>
      <c r="DW160" s="225" t="str">
        <f>IF(ISNUMBER(SnapshotTable[[#This Row],[LC Actual Gain Loss]]), SnapshotTable[[#This Row],[LC Actual Gain Loss]] / SnapshotTable[[#This Row],[LC Premium]],"")</f>
        <v/>
      </c>
      <c r="DX160" s="269" t="str">
        <f>IF(ISNUMBER(SnapshotTable[[#This Row],[LC Book Price]]),SnapshotTable[[#This Row],[LC Book Price]] * 1.5,"")</f>
        <v/>
      </c>
      <c r="DY160" s="250" t="str">
        <f>IF(SnapshotTable[[#This Row],[LC Premium]]&gt;0, SnapshotTable[[#This Row],[LC Next Target]] * SnapshotTable[[#This Row],[LC Qty]] * 100,"")</f>
        <v/>
      </c>
      <c r="DZ160" s="250" t="str">
        <f>IF(ISNUMBER(SnapshotTable[[#This Row],[LC Target Gross]]), SnapshotTable[[#This Row],[LC Target Gross]] - SnapshotTable[[#This Row],[LC Premium]], "")</f>
        <v/>
      </c>
      <c r="EA160" s="283" t="str">
        <f>IF(ISNUMBER(SnapshotTable[[#This Row],[LC Target Gain Loss]]), SnapshotTable[[#This Row],[LC Target Gain Loss]]/SnapshotTable[[#This Row],[LC Premium]], "")</f>
        <v/>
      </c>
      <c r="EB160" s="247"/>
      <c r="EC160" s="268" t="str">
        <f>IF(SnapshotTable[[#This Row],[LC Premium]]&gt;0, SnapshotTable[[#This Row],[LC Book Price]] * (1 - LC_StopLoss_Pct),"")</f>
        <v/>
      </c>
      <c r="ED160" s="269"/>
      <c r="EE160" s="268" t="str">
        <f>IF(ISNUMBER(SnapshotTable[[#This Row],[LC Contract Value]]),IF(ISNUMBER(SnapshotTable[[#This Row],[LC Stop Loss Override]]), SnapshotTable[[#This Row],[LC Stop Loss Override]],SnapshotTable[[#This Row],[LC Stop Loss Calc Target]]),"")</f>
        <v/>
      </c>
      <c r="EF160" s="31" t="str">
        <f>IF(ISNUMBER(SnapshotTable[[#This Row],[LC Stop  To Use]]), (SnapshotTable[[#This Row],[LC Stop  To Use]] * SnapshotTable[[#This Row],[LC Qty]] * 100),"")</f>
        <v/>
      </c>
      <c r="EG160" s="9" t="str">
        <f>IF(ISNUMBER(SnapshotTable[[#This Row],[LC Total Value]]),SnapshotTable[[#This Row],[LC Stop Loss Amount]] - SnapshotTable[[#This Row],[LC Premium]],"")</f>
        <v/>
      </c>
      <c r="EH160" s="9">
        <f>IF(ISNUMBER(SnapshotTable[[#This Row],[LC Premium]]), SnapshotTable[[#This Row],[LC Qty]] * 100 * SnapshotTable[[#This Row],[LC Strike Price]], "")</f>
        <v>0</v>
      </c>
      <c r="EI160" s="225" t="str">
        <f>IF(AND(ISNUMBER(SnapshotTable[[#This Row],[LC Total Value]]),SnapshotTable[[#This Row],[LC Total Value]]&gt;0),SnapshotTable[[#This Row],[LC Stop Gain Loss]]  / SnapshotTable[[#This Row],[LC Premium]],"")</f>
        <v/>
      </c>
      <c r="EJ160" s="35">
        <f>IF(ISNUMBER(SnapshotTable[[#This Row],[Equity Shares]]),TRUNC(SnapshotTable[[#This Row],[Equity Shares]] / 100),0) + SnapshotTable[[#This Row],[LC Qty]]</f>
        <v>0</v>
      </c>
      <c r="EK160" s="145"/>
      <c r="EL160" s="136"/>
      <c r="EM160" s="146"/>
      <c r="EN160" s="145"/>
      <c r="EO160" s="145"/>
      <c r="EP160" s="136"/>
      <c r="EQ160" s="382" t="b">
        <f>AND(ISNUMBER(SnapshotTable[[#This Row],[SC Exp Date]]), ISNUMBER(SnapshotTable[[#This Row],[SC Strike Price]]), ISNUMBER(SnapshotTable[[#This Row],[SC Qty]]), ISNUMBER(SnapshotTable[[#This Row],[SC Book Date]]), ISNUMBER(SnapshotTable[[#This Row],[SC Book Price]]))</f>
        <v>0</v>
      </c>
      <c r="ER160" s="382" t="b">
        <f>AND(SnapshotTable[[#This Row],[SC Is Booked]], NOT(ISBLANK(SnapshotTable[[#This Row],[SC Fill Date]])))</f>
        <v>0</v>
      </c>
      <c r="ES160" s="340"/>
      <c r="ET160" s="34" t="str">
        <f>IF(AND(ISNUMBER(SnapshotTable[[#This Row],[SC Exp Date]]), ISNUMBER(SnapshotTable[[#This Row],[SC Book Date]])), SnapshotTable[[#This Row],[SC Exp Date]] - MAX(SnapshotTable[[#This Row],[SC Book Date]], SnapshotTable[[#This Row],[SC Fill Date]]) + 1, "")</f>
        <v/>
      </c>
      <c r="EU160" s="34" t="str">
        <f>IF(ISNUMBER(SnapshotTable[[#This Row],[SC Term]]), SnapshotTable[[#This Row],[SC Exp Date]]- MockToday, "")</f>
        <v/>
      </c>
      <c r="EV160" s="31">
        <f>IF(SnapshotTable[[#This Row],[SC Is Booked]], SnapshotTable[[#This Row],[SC Qty]] * SnapshotTable[[#This Row],[SC Book Price]] * 100, 0)</f>
        <v>0</v>
      </c>
      <c r="EW160" s="4" t="str">
        <f>IF(AND(ISNUMBER(SnapshotTable[[#This Row],[Last Price]]), ISNUMBER( SnapshotTable[[#This Row],[SC Book Price]])), SnapshotTable[[#This Row],[Last Price]] - SnapshotTable[[#This Row],[SC Book Price]],"")</f>
        <v/>
      </c>
      <c r="EX160" s="219" t="str">
        <f>IF(SnapshotTable[[#This Row],[SC Is Booked]],IF(SnapshotTable[[#This Row],[SC Intrinsic Value]] &gt; 0, SnapshotTable[[#This Row],[SC Strike Price]], SnapshotTable[[#This Row],[Last Price]]), "")</f>
        <v/>
      </c>
      <c r="EY160" s="4">
        <f>IF(SnapshotTable[[#This Row],[SC Is Booked]], (MinimumPremiumRequired * SnapshotTable[[#This Row],[SC Basis]] * SnapshotTable[[#This Row],[SC Term]]), 0)</f>
        <v>0</v>
      </c>
      <c r="EZ160" s="268"/>
      <c r="FA160" s="204"/>
      <c r="FB160" s="340"/>
      <c r="FC160" s="4">
        <f>IF(SnapshotTable[[#This Row],[SC Is Filled]], btc_max_buyback_amount(SnapshotTable[[#This Row],[SC Fill Date]],SnapshotTable[[#This Row],[SC Exp Date]], SnapshotTable[[#This Row],[SC Book Price]]),0)</f>
        <v>0</v>
      </c>
      <c r="FD160" s="5"/>
      <c r="FE160" s="142" t="str">
        <f>IF(SnapshotTable[[#This Row],[SC Is Filled]], btc_next_cutoff_date(SnapshotTable[[#This Row],[SC Fill Date]],SnapshotTable[[#This Row],[SC Exp Date]]),"")</f>
        <v/>
      </c>
      <c r="FF160" s="4" t="str" cm="1">
        <f t="array" ref="FF160">IF(SnapshotTable[[#This Row],[SC Is Filled]], btc_should_buy_back(SnapshotTable[[#This Row],[SC Fill Date]], SnapshotTable[[#This Row],[SC Exp Date]], SnapshotTable[[#This Row],[SC Book Price]], SnapshotTable[[#This Row],[SC Current Ask]], MockToday, SnapshotTable[[#This Row],[SC Buyback Override]]),"")</f>
        <v/>
      </c>
      <c r="FG160" s="4">
        <f>IF(SnapshotTable[[#This Row],[SC Is Filled]], MAX(0,SnapshotTable[[#This Row],[Last Price]]  - SnapshotTable[[#This Row],[SC Strike Price]]), 0)</f>
        <v>0</v>
      </c>
      <c r="FH160" s="352">
        <f>IF(SnapshotTable[[#This Row],[SC Is Filled]], IF(ISNUMBER(SnapshotTable[[#This Row],[SC Current Ask]]), SnapshotTable[[#This Row],[SC Current Ask]], SnapshotTable[[#This Row],[SC Book Price]]) - SnapshotTable[[#This Row],[SC Intrinsic Value]], 0)</f>
        <v>0</v>
      </c>
      <c r="FI160" s="141"/>
      <c r="FJ160" s="32" t="str">
        <f>IF(SnapshotTable[[#This Row],[SC Is Filled]],100 * SnapshotTable[[#This Row],[SC Qty]] * IF(ISNUMBER(SnapshotTable[[#This Row],[SC Buyback Override]]), SnapshotTable[[#This Row],[SC Buyback Override]], SnapshotTable[[#This Row],[SC Current Ask]]), "")</f>
        <v/>
      </c>
      <c r="FK160" s="235" t="str">
        <f>IF(SnapshotTable[[#This Row],[SC Time Val]]&gt;0, SnapshotTable[[#This Row],[SC Time Val]] / SnapshotTable[[#This Row],[Last Price]],"")</f>
        <v/>
      </c>
      <c r="FL160" s="280" t="str">
        <f>IF(SnapshotTable[[#This Row],[SC Is Booked]], ((SnapshotTable[[#This Row],[Last Price]] -SnapshotTable[[#This Row],[SC Strike Price]]) / SnapshotTable[[#This Row],[Last Price]]) * -1, "")</f>
        <v/>
      </c>
      <c r="FM160" s="155" t="str">
        <f>IF(SnapshotTable[[#This Row],[SC Is Booked]],  (SnapshotTable[[#This Row],[SC Qty]] * 100 * SnapshotTable[[#This Row],[SC Strike Price]]) - SnapshotTable[[#This Row],[SC Current Ask]], "")</f>
        <v/>
      </c>
      <c r="FN16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0" s="31" t="str">
        <f>IF(AND(ISNUMBER(SnapshotTable[[#This Row],[SC Exercise Gross]]), ISNUMBER(SnapshotTable[[#This Row],[Equity Basis Per Share]] )), SnapshotTable[[#This Row],[SC Exercise Gross]] - SnapshotTable[[#This Row],[Equity Basis Total]] +  SnapshotTable[[#This Row],[SC Premium]], "")</f>
        <v/>
      </c>
      <c r="FP160" s="5" t="str">
        <f>IF(ISNUMBER(SnapshotTable[[#This Row],[SC Exercise Gross]]), (SnapshotTable[[#This Row],[SC Exercise Gross]]) / (SnapshotTable[[#This Row],[SC Qty]] * 100), "")</f>
        <v/>
      </c>
      <c r="FQ160" s="27" t="str">
        <f>IF(SnapshotTable[[#This Row],[SC Is Booked]],SnapshotTable[[#This Row],[SC Time Val]] /SnapshotTable[[#This Row],[SC Basis]], "")</f>
        <v/>
      </c>
      <c r="FR160" s="27" t="str" cm="1">
        <f t="array" ref="FR160">IF(AND(ISNUMBER(SnapshotTable[[#This Row],[SC Term]]),ISNUMBER(SnapshotTable[[#This Row],[SC Simple ROO]])), EllmanAnnualize(SnapshotTable[[#This Row],[SC DTE]], SnapshotTable[[#This Row],[SC Simple ROO]] ),"")</f>
        <v/>
      </c>
      <c r="FS160" s="4">
        <f>IF(SnapshotTable[[#This Row],[SC Strike Price]] &gt; SnapshotTable[[#This Row],[Last Price]], SnapshotTable[[#This Row],[SC Strike Price]] - SnapshotTable[[#This Row],[Last Price]],0)</f>
        <v>0</v>
      </c>
      <c r="FT160" s="27" t="str">
        <f>IF(AND(ISNUMBER(SnapshotTable[[#This Row],[SC Upside Potential]]), SnapshotTable[[#This Row],[SC Upside Potential]] &gt; 0),(SnapshotTable[[#This Row],[SC Upside Potential]]/ SnapshotTable[[#This Row],[ACB]]),"")</f>
        <v/>
      </c>
      <c r="FU160" s="304" t="str">
        <f>IF(SnapshotTable[[#This Row],[SC Intrinsic Value]] &gt; 0,SnapshotTable[[#This Row],[SC Intrinsic Value]],"")</f>
        <v/>
      </c>
      <c r="FV160" s="27" t="str">
        <f>IF(AND( ISNUMBER( SnapshotTable[[#This Row],[ACB]]),ISNUMBER(SnapshotTable[[#This Row],[SC Downside Protect]])),SnapshotTable[[#This Row],[SC Downside Protect]] / SnapshotTable[[#This Row],[ACB]],"")</f>
        <v/>
      </c>
      <c r="FW160" s="221" t="str">
        <f>IF(AND(ISNUMBER(SnapshotTable[[#This Row],[SC Simple ROO]]),SnapshotTable[[#This Row],[SC Simple ROO]] &gt; 0), SnapshotTable[[#This Row],[SC Premium]] + (SnapshotTable[[#This Row],[SC Qty]] * SnapshotTable[[#This Row],[SC Upside Potential]]), "")</f>
        <v/>
      </c>
      <c r="FX160" s="280" t="str" cm="1">
        <f t="array" ref="FX160">IF(ISNUMBER(SnapshotTable[[#This Row],[SC Max Dollars]]), annualize(SnapshotTable[[#This Row],[SC Term]],(SnapshotTable[[#This Row],[SC Max Dollars]]/SnapshotTable[[#This Row],[SC Basis]])),"")</f>
        <v/>
      </c>
      <c r="FY160" s="221" t="str">
        <f>IF(AND(SnapshotTable[[#This Row],[SC Qty]]&gt;0,SnapshotTable[[#This Row],[SC Current Ask]]&gt;0), SnapshotTable[[#This Row],[SC Qty]] * SnapshotTable[[#This Row],[SC Current Ask]] * -100, "")</f>
        <v/>
      </c>
      <c r="FZ160" s="31" t="str">
        <f>IF(ISNUMBER((SnapshotTable[[#This Row],[SC Current Value]])), SnapshotTable[[#This Row],[SC Premium]] + SnapshotTable[[#This Row],[SC Current Value]], "")</f>
        <v/>
      </c>
      <c r="GA160" s="272" t="str">
        <f>IFERROR( IF(ISNUMBER((SnapshotTable[[#This Row],[SC Current Value]])), SnapshotTable[[#This Row],[SC Gain Loss]] / SnapshotTable[[#This Row],[SC Premium]], ""), "")</f>
        <v/>
      </c>
      <c r="GB160" s="42">
        <f>SnapshotTable[[#This Row],[Equity Shares]] * SaleSharesToConsiderPercentage</f>
        <v>0</v>
      </c>
      <c r="GC160" s="40">
        <f>SnapshotTable[[#This Row],[Long Term Target]] * SellingPriceToConsiderBasedOnTargetPercentage</f>
        <v>47.879999999999995</v>
      </c>
      <c r="GD160" s="40">
        <f>SnapshotTable[[#This Row],[Last Price]] * (1+ SellingPriceToConsiderBasedOnTargetPercentage)</f>
        <v>88.393499999999989</v>
      </c>
      <c r="GE160" s="41"/>
      <c r="GF160" s="40"/>
      <c r="GG160" s="31">
        <f>SnapshotTable[[#This Row],[Booked Sale Shares]] * SnapshotTable[[#This Row],[Booked Sale Price]]</f>
        <v>0</v>
      </c>
      <c r="GH160" s="31" t="str">
        <f>IF(SnapshotTable[[#This Row],[Equity Basis Total]] &gt; 0, SnapshotTable[[#This Row],[Equity Basis Per Share]] * SnapshotTable[[#This Row],[Booked Sale Shares]], "")</f>
        <v/>
      </c>
      <c r="GI160" s="31">
        <f>IF(SnapshotTable[[#This Row],[Sale Proceeds]]&gt;0, SnapshotTable[[#This Row],[Sale Proceeds]] - SnapshotTable[[#This Row],[Sale Basis]], 0)</f>
        <v>0</v>
      </c>
      <c r="GJ160" s="27" t="str">
        <f>IF(SnapshotTable[[#This Row],[Sale G/L]]&gt;0, SnapshotTable[[#This Row],[Sale G/L]] / SnapshotTable[[#This Row],[Sale Basis]], IF(ISNUMBER(SnapshotTable[[#This Row],[SC Exercise P&amp;L (TAX)]]), SnapshotTable[[#This Row],[SC Exercise P&amp;L (TAX)]] / SnapshotTable[[#This Row],[SC Basis]], ""))</f>
        <v/>
      </c>
      <c r="GK160" s="27" t="s">
        <v>581</v>
      </c>
      <c r="GL160" s="43" t="str">
        <f>IF(AND(SnapshotTable[[#This Row],[LP Exp Date]]&gt;0,SnapshotTable[[#This Row],[LP Strike Price]]&gt;0), [1]!ToOptionSymbol(SnapshotTable[[#This Row],[Symbol]], SnapshotTable[[#This Row],[LP Strike Price]],SnapshotTable[[#This Row],[LP Exp Date]],1), "")</f>
        <v/>
      </c>
      <c r="GM160" s="30" t="str">
        <f>IF(LEN(SnapshotTable[[#This Row],[LP Symbol]])&gt;0, 1, "")</f>
        <v/>
      </c>
      <c r="GN160" s="43" t="str">
        <f>IF(AND(SnapshotTable[[#This Row],[SP Exp Date]]&gt;0,SnapshotTable[[#This Row],[SP Strike Price]]&gt;0), [1]!ToOptionSymbol(SnapshotTable[[#This Row],[Symbol]], SnapshotTable[[#This Row],[SP Strike Price]],SnapshotTable[[#This Row],[SP Exp Date]],1), "")</f>
        <v/>
      </c>
      <c r="GO160" s="30" t="str">
        <f>IF(LEN(SnapshotTable[[#This Row],[SP Symbol]])&gt;0, 1, "")</f>
        <v/>
      </c>
      <c r="GP160" s="43" t="str">
        <f>IF(AND(SnapshotTable[[#This Row],[LC Exp Date]]&gt;0,SnapshotTable[[#This Row],[LC Strike Price]]&gt;0), [1]!ToOptionSymbol(SnapshotTable[[#This Row],[Symbol]], SnapshotTable[[#This Row],[LC Strike Price]],SnapshotTable[[#This Row],[LC Exp Date]],0), "")</f>
        <v/>
      </c>
      <c r="GQ160" s="30" t="str">
        <f>IF(LEN(SnapshotTable[[#This Row],[LC Symbol]])&gt;0, 1, "")</f>
        <v/>
      </c>
      <c r="GR160" s="43" t="str">
        <f>IF(AND(SnapshotTable[[#This Row],[SC Exp Date]]&gt;0,SnapshotTable[[#This Row],[SC Strike Price]]&gt;0), [1]!ToOptionSymbol(SnapshotTable[[#This Row],[Symbol]], SnapshotTable[[#This Row],[SC Strike Price]],SnapshotTable[[#This Row],[SC Exp Date]],0), "")</f>
        <v/>
      </c>
      <c r="GS160" s="30" t="str">
        <f>IF(LEN(SnapshotTable[[#This Row],[SC Symbol]])&gt;0, 1, "")</f>
        <v/>
      </c>
      <c r="GT160" s="29" t="str">
        <f>IF(COUNT(SnapshotTable[[#This Row],[LP Symbol Count]],SnapshotTable[[#This Row],[SP Symbol Count]],SnapshotTable[[#This Row],[LC Symbol Count]],SnapshotTable[[#This Row],[SC Symbol Count]])&gt;0, "Y", "")</f>
        <v/>
      </c>
      <c r="GU16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0" s="216">
        <f>MAX(SnapshotTable[[#This Row],[Equity Basis Total]],SnapshotTable[[#This Row],[Equity Value]]) + (SnapshotTable[[#This Row],[SP Potential Spend]]- SnapshotTable[[#This Row],[SP Premium]] + SnapshotTable[[#This Row],[LP Premium]])+ (SnapshotTable[[#This Row],[LC Premium]] - SnapshotTable[[#This Row],[SC Premium]])</f>
        <v>0</v>
      </c>
      <c r="GW160" s="137" t="str">
        <f>IF(AND(SnapshotTable[[#This Row],[Exposure]] &lt;&gt; 0),SnapshotTable[[#This Row],[Exposure]] / SnapshotTable[[#Totals],[Exposure]], "")</f>
        <v/>
      </c>
      <c r="HE160" s="253"/>
      <c r="HF160" s="253"/>
      <c r="HK160" s="1"/>
      <c r="HL160" s="1"/>
      <c r="HM160" s="1"/>
      <c r="HN160" s="1"/>
      <c r="HO160" s="1"/>
      <c r="HP160" s="1"/>
    </row>
    <row r="161" spans="2:224" ht="12.75" hidden="1" customHeight="1" x14ac:dyDescent="0.25">
      <c r="B161" s="12" t="s">
        <v>176</v>
      </c>
      <c r="C161" s="357">
        <v>209.52</v>
      </c>
      <c r="D161" s="200" t="s">
        <v>690</v>
      </c>
      <c r="E161" s="39">
        <f>SnapshotTable[[#This Row],[Last Price]]*(1 -CrashDiscount)</f>
        <v>178.09200000000001</v>
      </c>
      <c r="F161" s="26" t="s">
        <v>761</v>
      </c>
      <c r="G161" s="26" t="s">
        <v>678</v>
      </c>
      <c r="H161" s="147"/>
      <c r="I161" s="186">
        <v>44951</v>
      </c>
      <c r="J161" s="187">
        <v>44951</v>
      </c>
      <c r="K161" s="188"/>
      <c r="L161" s="297"/>
      <c r="M161" s="138"/>
      <c r="N161" s="138"/>
      <c r="O161" s="138"/>
      <c r="P161" s="22">
        <v>100</v>
      </c>
      <c r="Q161" s="25">
        <v>22261.360000000001</v>
      </c>
      <c r="R161" s="4">
        <f>IF(SnapshotTable[[#This Row],[Equity Basis Total]] &gt; 0, SnapshotTable[[#This Row],[Equity Basis Total]] / SnapshotTable[[#This Row],[Equity Shares]], "")</f>
        <v>222.61360000000002</v>
      </c>
      <c r="S161" s="254">
        <f>SnapshotTable[[#This Row],[Last Price]] * SnapshotTable[[#This Row],[Equity Shares]]</f>
        <v>20952</v>
      </c>
      <c r="T161" s="254">
        <f>SnapshotTable[[#This Row],[Equity Value]] - SnapshotTable[[#This Row],[Equity Basis Total]]</f>
        <v>-1309.3600000000006</v>
      </c>
      <c r="U161" s="255">
        <f>IF(SnapshotTable[[#This Row],[Equity Basis Total]] &gt; 0, SnapshotTable[[#This Row],[Equity G/L]] / SnapshotTable[[#This Row],[Equity Basis Total]], "")</f>
        <v>-5.8817610424520363E-2</v>
      </c>
      <c r="V161" s="253">
        <v>270</v>
      </c>
      <c r="W161" s="253">
        <v>207</v>
      </c>
      <c r="X161" s="4">
        <f>IF(AND(ISNUMBER(SnapshotTable[[#This Row],[Equity Basis Per Share]]),ISNUMBER(SnapshotTable[[#This Row],[Equity Target]])),SnapshotTable[[#This Row],[Equity Target]]-SnapshotTable[[#This Row],[Equity Basis Per Share]],"")</f>
        <v>47.386399999999981</v>
      </c>
      <c r="Y161" s="4">
        <f>IF(AND(ISNUMBER(SnapshotTable[[#This Row],[Equity Basis Per Share]]),ISNUMBER(SnapshotTable[[#This Row],[Equity Stop Loss]])),SnapshotTable[[#This Row],[Equity Stop Loss]]-SnapshotTable[[#This Row],[Equity Basis Per Share]],"")</f>
        <v>-15.613600000000019</v>
      </c>
      <c r="Z161" s="260" t="str">
        <f>IFERROR( TEXT(SnapshotTable[[#This Row],[Equity Max Gain Per Share]] /ABS( SnapshotTable[[#This Row],[Equity Max Loss Per Share]]),"0.0 " ) &amp; " : 1", "")</f>
        <v>3.0  : 1</v>
      </c>
      <c r="AA161" s="31">
        <f>IF(ISNUMBER(SnapshotTable[[#This Row],[Equity Max Gain Per Share]]),SnapshotTable[[#This Row],[Equity Max Gain Per Share]] * SnapshotTable[[#This Row],[Equity Shares]],"")</f>
        <v>4738.6399999999976</v>
      </c>
      <c r="AB161" s="31">
        <f>IF(ISNUMBER(SnapshotTable[[#This Row],[Equity Max Loss Per Share]]),SnapshotTable[[#This Row],[Equity Max Loss Per Share]] * SnapshotTable[[#This Row],[Equity Shares]],"")</f>
        <v>-1561.3600000000019</v>
      </c>
      <c r="AC161" s="148">
        <v>4.3600000000000003</v>
      </c>
      <c r="AD161" s="149">
        <v>42433</v>
      </c>
      <c r="AE161" s="31">
        <f>(SnapshotTable[[#This Row],[Annual Dividend Per Share]] / 4) * SnapshotTable[[#This Row],[Equity Shares]]</f>
        <v>109.00000000000001</v>
      </c>
      <c r="AF161" s="31">
        <f>SnapshotTable[[#This Row],[Quarterly Div $]] * 4</f>
        <v>436.00000000000006</v>
      </c>
      <c r="AG161" s="7">
        <f>IF(SnapshotTable[[#This Row],[Annual Dividend Per Share]]&gt;0, SnapshotTable[[#This Row],[Annual Dividend Per Share]]  / SnapshotTable[[#This Row],[Last Price]], 0)</f>
        <v>2.0809469263077512E-2</v>
      </c>
      <c r="AH161" s="149">
        <v>43228</v>
      </c>
      <c r="AI161" s="5">
        <f>SnapshotTable[[#This Row],[Equity Target]]</f>
        <v>270</v>
      </c>
      <c r="AJ161" s="136">
        <v>191.12</v>
      </c>
      <c r="AK161" s="150">
        <f>IF(ISNUMBER( SnapshotTable[[#This Row],[EBF Target]]),(SnapshotTable[[#This Row],[EBF Target]] - SnapshotTable[[#This Row],[Last Price]]) / SnapshotTable[[#This Row],[Last Price]], "")</f>
        <v>0.28865979381443291</v>
      </c>
      <c r="AL161" s="150">
        <f>IF(AND(SnapshotTable[[#This Row],[Equity Basis Total]] &gt; 0,ISNUMBER( SnapshotTable[[#This Row],[Long Term Target]])), SnapshotTable[[#This Row],[From Basis $]] / SnapshotTable[[#This Row],[Equity Basis Total]], "")</f>
        <v>-0.14147203944413103</v>
      </c>
      <c r="AM161" s="9">
        <f>IF( AND(SnapshotTable[[#This Row],[Equity Shares]] &gt;0,ISNUMBER( SnapshotTable[[#This Row],[Long Term Target]])),(SnapshotTable[[#This Row],[Equity Shares]] * SnapshotTable[[#This Row],[Long Term Target]]) - SnapshotTable[[#This Row],[Equity Basis Total]],0)</f>
        <v>-3149.3600000000006</v>
      </c>
      <c r="AN161" s="9">
        <f>IF( AND(SnapshotTable[[#This Row],[Equity Shares]] &gt;0,ISNUMBER( SnapshotTable[[#This Row],[Long Term Target]])),(SnapshotTable[[#This Row],[Equity Shares]]*SnapshotTable[[#This Row],[Long Term Target]]) - SnapshotTable[[#This Row],[Equity Value]],0)</f>
        <v>-1840</v>
      </c>
      <c r="AO161" s="150">
        <f>IF(AND(ISNUMBER( SnapshotTable[[#This Row],[Long Term Target]]), ISNUMBER(SnapshotTable[[#This Row],[Last Price]])),(SnapshotTable[[#This Row],[Long Term Target]] - SnapshotTable[[#This Row],[Last Price]]) / SnapshotTable[[#This Row],[Last Price]], "")</f>
        <v>-8.7819778541428042E-2</v>
      </c>
      <c r="AP161" s="5">
        <v>180</v>
      </c>
      <c r="AQ161" s="38" t="s">
        <v>22</v>
      </c>
      <c r="AR161" s="5">
        <v>180</v>
      </c>
      <c r="AS161" s="38" t="s">
        <v>15</v>
      </c>
      <c r="AT161" s="144" t="s">
        <v>438</v>
      </c>
      <c r="AU161" s="185" t="str">
        <f ca="1">IF(OR(SnapshotTable[[#This Row],[LP No Fill]]="Y",SnapshotTable[[#This Row],[SP Is Filled]],SnapshotTable[[#This Row],[LC Not Filled]]="Y",SnapshotTable[[#This Row],[SC Is Filled]]),"Y","")</f>
        <v>Y</v>
      </c>
      <c r="AV161" s="205"/>
      <c r="AW161" s="211"/>
      <c r="AX161" s="206"/>
      <c r="AY161" s="205" t="str">
        <f>IF(SnapshotTable[[#This Row],[Implied Move]]&gt;0, SnapshotTable[[#This Row],[Last Price]]-SnapshotTable[[#This Row],[Implied Move]],"")</f>
        <v/>
      </c>
      <c r="AZ161" s="205" t="str">
        <f>IF(SnapshotTable[[#This Row],[Implied Move]]&gt;0, SnapshotTable[[#This Row],[Last Price]] + SnapshotTable[[#This Row],[Implied Move]],"")</f>
        <v/>
      </c>
      <c r="BA161" s="302">
        <v>218.03</v>
      </c>
      <c r="BB161" s="318"/>
      <c r="BC16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161" s="321"/>
      <c r="BE161" s="5"/>
      <c r="BF161" s="14"/>
      <c r="BG161" s="13"/>
      <c r="BH161" s="13"/>
      <c r="BI161" s="5"/>
      <c r="BJ161" s="134">
        <f>IF(SnapshotTable[[#This Row],[LP Qty]] &gt; 0, SnapshotTable[[#This Row],[LP Qty]] * SnapshotTable[[#This Row],[LP Book Price]] * 100,0)</f>
        <v>0</v>
      </c>
      <c r="BK161" s="134">
        <f>IF(SnapshotTable[[#This Row],[LP Premium]] &gt; 0, SnapshotTable[[#This Row],[LP Qty]] * SnapshotTable[[#This Row],[LP Strike Price]] * 100,0)</f>
        <v>0</v>
      </c>
      <c r="BL161" s="265"/>
      <c r="BM161" s="355" t="str">
        <f>IF(SnapshotTable[[#This Row],[LP Premium]] &gt; 0,SnapshotTable[[#This Row],[LP Exp Date]]-MAX(SnapshotTable[[#This Row],[LP Book Date]], SnapshotTable[[#This Row],[LP Fill Date]]),"")</f>
        <v/>
      </c>
      <c r="BN161" s="355" t="str">
        <f>IF(ISNUMBER( SnapshotTable[[#This Row],[LP Term]]), SnapshotTable[[#This Row],[LP Exp Date]] - MockToday,"")</f>
        <v/>
      </c>
      <c r="BO161" s="161" t="str">
        <f>IF(AND(SnapshotTable[[#This Row],[LP Exp Date]]&gt;0, SnapshotTable[[#This Row],[LP Strike Price]]&gt;0,SnapshotTable[[#This Row],[LP Qty]]&gt;0,SnapshotTable[[#This Row],[LP Book Date]]&gt;0,SnapshotTable[[#This Row],[LP Book Price]]&gt;0,SnapshotTable[[#This Row],[LP Fill Date]]=0),"Y","")</f>
        <v/>
      </c>
      <c r="BP161" s="31" t="str">
        <f>IF(AND(SnapshotTable[[#This Row],[LP No Fill]]&lt;&gt;"Y",SnapshotTable[[#This Row],[LP Contract Value]]&gt;0, SnapshotTable[[#This Row],[LP Qty]]&gt;0), SnapshotTable[[#This Row],[LP Contract Value]]*SnapshotTable[[#This Row],[LP Qty]]*100,"")</f>
        <v/>
      </c>
      <c r="BQ161" s="13"/>
      <c r="BR161" s="5"/>
      <c r="BS161" s="36"/>
      <c r="BT161" s="145"/>
      <c r="BU161" s="13"/>
      <c r="BV161" s="5"/>
      <c r="BW161" s="382" t="b">
        <f>AND(ISNUMBER(SnapshotTable[[#This Row],[SP Exp Date]]), ISNUMBER(SnapshotTable[[#This Row],[SP Strike Price]]), ISNUMBER(SnapshotTable[[#This Row],[SP Qty]]), ISNUMBER(SnapshotTable[[#This Row],[SP Book Date]]), ISNUMBER(SnapshotTable[[#This Row],[SP Book Price]]))</f>
        <v>0</v>
      </c>
      <c r="BX161" s="382" t="b">
        <f>AND(SnapshotTable[[#This Row],[SP Is Booked]], NOT(ISBLANK(SnapshotTable[[#This Row],[SP Fill Date]])))</f>
        <v>0</v>
      </c>
      <c r="BY161" s="33">
        <f>IF(SnapshotTable[[#This Row],[SP Is Booked]], SnapshotTable[[#This Row],[SP Qty]] * SnapshotTable[[#This Row],[SP Book Price]] * 100, 0)</f>
        <v>0</v>
      </c>
      <c r="BZ161" s="339">
        <v>0.65</v>
      </c>
      <c r="CA161" s="338">
        <f>SnapshotTable[[#This Row],[LP Qty]]</f>
        <v>0</v>
      </c>
      <c r="CB161" s="4" t="str">
        <f>IF(SnapshotTable[[#This Row],[SP Is Booked]], SnapshotTable[[#This Row],[SP Strike Price]] - SnapshotTable[[#This Row],[SP Book Price]], "")</f>
        <v/>
      </c>
      <c r="CC161" s="19" t="str">
        <f>IF(SnapshotTable[[#This Row],[SP Is Booked]],SnapshotTable[[#This Row],[SP Exp Date]]-MAX(SnapshotTable[[#This Row],[SP Book Date]], SnapshotTable[[#This Row],[SP Fill Date]]),"")</f>
        <v/>
      </c>
      <c r="CD161" s="7" t="str">
        <f>IF(SnapshotTable[[#This Row],[SP Is Booked]], SnapshotTable[[#This Row],[SP Book Price]]/SnapshotTable[[#This Row],[SP Strike Price]], "")</f>
        <v/>
      </c>
      <c r="CE161" s="7" t="str">
        <f>IF(ISNUMBER(SnapshotTable[[#This Row],[SP ROO Term]]),SnapshotTable[[#This Row],[SP ROO Term]]*(365/SnapshotTable[[#This Row],[SP Term]]),"")</f>
        <v/>
      </c>
      <c r="CF161" s="221">
        <f>SnapshotTable[[#This Row],[LP Strike Price]] * SnapshotTable[[#This Row],[LP Qty]] * 100</f>
        <v>0</v>
      </c>
      <c r="CG161" s="31">
        <f>IF(ISNUMBER(SnapshotTable[[#This Row],[SP Premium]]), (SnapshotTable[[#This Row],[SP Qty]] * SnapshotTable[[#This Row],[SP Strike Price]]* 100) - SnapshotTable[[#This Row],[LP Protection]], 0)</f>
        <v>0</v>
      </c>
      <c r="CH161" s="7" t="str">
        <f>IF(ISNUMBER(SnapshotTable[[#This Row],[SP Break Even]]),-1 * (SnapshotTable[[#This Row],[SP Break Even]] - SnapshotTable[[#This Row],[Last Price]]) / SnapshotTable[[#This Row],[Last Price]], "")</f>
        <v/>
      </c>
      <c r="CI161" s="31">
        <f>IF(AND(ISNUMBER((SnapshotTable[[#This Row],[SP Potential Spend]])), SnapshotTable[[#This Row],[SP Strike Price]] &gt; SnapshotTable[[#This Row],[Last Price]], SnapshotTable[[#This Row],[SP Is Filled]]), SnapshotTable[[#This Row],[SP Potential Spend]] -  SnapshotTable[[#This Row],[LP Max Value]], 0)</f>
        <v>0</v>
      </c>
      <c r="CJ161" s="229"/>
      <c r="CK161" s="31">
        <f>IF(ISNUMBER(SnapshotTable[[#This Row],[SP Potential Spend]]),IF(ISNUMBER(SnapshotTable[[#This Row],[SP POW]]), SnapshotTable[[#This Row],[SP POW]] * SnapshotTable[[#This Row],[SP Potential Spend]], SnapshotTable[[#This Row],[SP Potential Spend]]), "")</f>
        <v>0</v>
      </c>
      <c r="CL161" s="162">
        <f>IF(NOT(SnapshotTable[[#This Row],[SP Is Filled]]),(SnapshotTable[[#This Row],[SP Qty]] * SnapshotTable[[#This Row],[SP Strike Price]] * 100) - SnapshotTable[[#This Row],[LP Max Value]],"")</f>
        <v>0</v>
      </c>
      <c r="CM161" s="31" t="str">
        <f>IF(SnapshotTable[[#This Row],[SP Actual Spend]]&lt;&gt;0, ((SnapshotTable[[#This Row],[SP Strike Price]]-SnapshotTable[[#This Row],[Last Price]]) *(SnapshotTable[[#This Row],[SP Qty]]*100) - SnapshotTable[[#This Row],[SP Premium]]) * - 1, "")</f>
        <v/>
      </c>
      <c r="CN161" s="76"/>
      <c r="CO161" s="339"/>
      <c r="CP161" s="4" t="str">
        <f>IF(SnapshotTable[[#This Row],[SP Is Filled]], btc_max_buyback_amount(SnapshotTable[[#This Row],[SP Fill Date]],SnapshotTable[[#This Row],[SP Exp Date]], SnapshotTable[[#This Row],[SP Book Price]]),"")</f>
        <v/>
      </c>
      <c r="CQ161" s="76"/>
      <c r="CR16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1" s="153" t="str">
        <f>IF(SnapshotTable[[#This Row],[SP Is Filled]], btc_next_cutoff_date(SnapshotTable[[#This Row],[SP Fill Date]],SnapshotTable[[#This Row],[SP Exp Date]]),"")</f>
        <v/>
      </c>
      <c r="CT161" s="220" t="str" cm="1">
        <f t="array" ref="CT161">IF(SnapshotTable[[#This Row],[SP Is Filled]], btc_should_buy_back(SnapshotTable[[#This Row],[SP Fill Date]], SnapshotTable[[#This Row],[SP Exp Date]], SnapshotTable[[#This Row],[SP Book Price]], SnapshotTable[[#This Row],[SP Current Ask]], MockToday, SnapshotTable[[#This Row],[SP Buyback Override]]),"")</f>
        <v/>
      </c>
      <c r="CU161" s="141"/>
      <c r="CV161" s="220"/>
      <c r="CW161" s="348" t="str">
        <f>IF(ISNUMBER( SnapshotTable[[#This Row],[SP Term]]), SnapshotTable[[#This Row],[SP Exp Date]] - MockToday,"")</f>
        <v/>
      </c>
      <c r="CX161" s="31" t="str">
        <f>IF(SnapshotTable[[#This Row],[SP Is Filled]],SnapshotTable[[#This Row],[SP Buyback Price to Use]] * 100 * SnapshotTable[[#This Row],[SP Qty]], "")</f>
        <v/>
      </c>
      <c r="CY161" s="4" t="str">
        <f>IF(ISNUMBER(SnapshotTable[[#This Row],[SP Strike Price]]), SnapshotTable[[#This Row],[SP Strike Price]] * (1 - SP_MaxLoss_StrikePct), "")</f>
        <v/>
      </c>
      <c r="CZ161" s="31" t="str">
        <f>IF(ISNUMBER(SnapshotTable[[#This Row],[SP Strike  Stop Per Share]]),SnapshotTable[[#This Row],[SP Premium]] - ((SnapshotTable[[#This Row],[SP Strike Price]]-SnapshotTable[[#This Row],[SP Strike  Stop Per Share]]) *(SnapshotTable[[#This Row],[SP Qty]] * 100)),"")</f>
        <v/>
      </c>
      <c r="DA161" s="4" t="str">
        <f>IF(AND(ISNUMBER(SnapshotTable[[#This Row],[SP Premium]]),SnapshotTable[[#This Row],[SP Premium]]&gt;0), SnapshotTable[[#This Row],[SP Book Price]] * (1 + SP_MaxLoss_OptionPct), "")</f>
        <v/>
      </c>
      <c r="DB161" s="31" t="str">
        <f>IF(ISNUMBER(SnapshotTable[[#This Row],[SP Option  Stop Contract]]),(SnapshotTable[[#This Row],[SP Option  Stop Contract]] *(SnapshotTable[[#This Row],[SP Qty]] * 100) - SnapshotTable[[#This Row],[SP Premium]]),"")</f>
        <v/>
      </c>
      <c r="DC161" s="4"/>
      <c r="DD161" s="4"/>
      <c r="DE161" s="4" t="str">
        <f>IF(AND(SnapshotTable[[#This Row],[SP Qty]]&gt;0, SnapshotTable[[#This Row],[SP Stop To Use]]&gt;0),SnapshotTable[[#This Row],[SP Premium]] - ( SnapshotTable[[#This Row],[SP Qty]] * SnapshotTable[[#This Row],[SP Stop To Use]] * 100), "")</f>
        <v/>
      </c>
      <c r="DF161" s="31" t="str">
        <f>IF(AND(SnapshotTable[[#This Row],[SP Qty]]&gt;0,SnapshotTable[[#This Row],[SP Current Ask]]&gt;0), SnapshotTable[[#This Row],[SP Qty]] * SnapshotTable[[#This Row],[SP Current Ask]] * -100, "")</f>
        <v/>
      </c>
      <c r="DG161" s="31" t="str">
        <f>IF(ISNUMBER((SnapshotTable[[#This Row],[SP Total Value]])), SnapshotTable[[#This Row],[SP Premium]] + SnapshotTable[[#This Row],[SP Total Value]], "")</f>
        <v/>
      </c>
      <c r="DH161" s="272" t="str">
        <f>IF(ISNUMBER((SnapshotTable[[#This Row],[SP Total Value]])), SnapshotTable[[#This Row],[SP Gain Loss]] / SnapshotTable[[#This Row],[SP Premium]], "")</f>
        <v/>
      </c>
      <c r="DI161" s="369"/>
      <c r="DJ161" s="136"/>
      <c r="DK161" s="146"/>
      <c r="DL161" s="13"/>
      <c r="DM161" s="13"/>
      <c r="DO161" s="31">
        <f>IF(SnapshotTable[[#This Row],[LC Symbol Count]]=1, SnapshotTable[[#This Row],[LC Qty]] * SnapshotTable[[#This Row],[LC Book Price]] * 100, 0)</f>
        <v>0</v>
      </c>
      <c r="DP161" s="161" t="str">
        <f>IF(AND(SnapshotTable[[#This Row],[LC Exp Date]]&gt;0, SnapshotTable[[#This Row],[LC Strike Price]]&gt;0,SnapshotTable[[#This Row],[LC Qty]]&gt;0,SnapshotTable[[#This Row],[LC Book Date]]&gt;0,SnapshotTable[[#This Row],[LC Book Price]]&gt;0,SnapshotTable[[#This Row],[LC Fill Date]]=0),"Y","")</f>
        <v/>
      </c>
      <c r="DQ161" s="356" t="str">
        <f>IF(SnapshotTable[[#This Row],[LC Premium]] &gt; 0,SnapshotTable[[#This Row],[LC Exp Date]]-MAX(SnapshotTable[[#This Row],[LC Book Date]], SnapshotTable[[#This Row],[LC Fill Date]]),"")</f>
        <v/>
      </c>
      <c r="DR161" s="356" t="str">
        <f>IF(ISNUMBER(SnapshotTable[[#This Row],[LC Term]]), SnapshotTable[[#This Row],[LC Exp Date]] - MockToday, "")</f>
        <v/>
      </c>
      <c r="DS161" s="219" t="str">
        <f>IF(SnapshotTable[[#This Row],[LC Premium]]&gt;0,SnapshotTable[[#This Row],[LC Strike Price]] + SnapshotTable[[#This Row],[LC Book Price]],"")</f>
        <v/>
      </c>
      <c r="DU161" s="9" t="str">
        <f>IF(AND(SnapshotTable[[#This Row],[LC Symbol Count]]&gt;0, SnapshotTable[[#This Row],[LC Contract Value]]&gt;0), SnapshotTable[[#This Row],[LC Contract Value]] * SnapshotTable[[#This Row],[LC Qty]] * 100, "")</f>
        <v/>
      </c>
      <c r="DV161" s="9" t="str">
        <f>IF(AND(ISNUMBER(SnapshotTable[[#This Row],[LC Total Value]]), SnapshotTable[[#This Row],[LC Not Filled]]&lt;&gt;"Y"), SnapshotTable[[#This Row],[LC Total Value]]-SnapshotTable[[#This Row],[LC Premium]],"")</f>
        <v/>
      </c>
      <c r="DW161" s="225" t="str">
        <f>IF(ISNUMBER(SnapshotTable[[#This Row],[LC Actual Gain Loss]]), SnapshotTable[[#This Row],[LC Actual Gain Loss]] / SnapshotTable[[#This Row],[LC Premium]],"")</f>
        <v/>
      </c>
      <c r="DX161" s="269"/>
      <c r="DY161" s="250" t="str">
        <f>IF(SnapshotTable[[#This Row],[LC Premium]]&gt;0, SnapshotTable[[#This Row],[LC Next Target]] * SnapshotTable[[#This Row],[LC Qty]] * 100,"")</f>
        <v/>
      </c>
      <c r="DZ161" s="250" t="str">
        <f>IF(ISNUMBER(SnapshotTable[[#This Row],[LC Target Gross]]), SnapshotTable[[#This Row],[LC Target Gross]] - SnapshotTable[[#This Row],[LC Premium]], "")</f>
        <v/>
      </c>
      <c r="EA161" s="283" t="str">
        <f>IF(ISNUMBER(SnapshotTable[[#This Row],[LC Target Gain Loss]]), SnapshotTable[[#This Row],[LC Target Gain Loss]]/SnapshotTable[[#This Row],[LC Premium]], "")</f>
        <v/>
      </c>
      <c r="EB161" s="247"/>
      <c r="EC161" s="268" t="str">
        <f>IF(SnapshotTable[[#This Row],[LC Premium]]&gt;0, SnapshotTable[[#This Row],[LC Book Price]] * (1 - LC_StopLoss_Pct),"")</f>
        <v/>
      </c>
      <c r="ED161" s="269"/>
      <c r="EE161" s="268" t="str">
        <f>IF(ISNUMBER(SnapshotTable[[#This Row],[LC Contract Value]]),IF(ISNUMBER(SnapshotTable[[#This Row],[LC Stop Loss Override]]), SnapshotTable[[#This Row],[LC Stop Loss Override]],SnapshotTable[[#This Row],[LC Stop Loss Calc Target]]),"")</f>
        <v/>
      </c>
      <c r="EF161" s="31" t="str">
        <f>IF(ISNUMBER(SnapshotTable[[#This Row],[LC Stop  To Use]]), (SnapshotTable[[#This Row],[LC Stop  To Use]] * SnapshotTable[[#This Row],[LC Qty]] * 100),"")</f>
        <v/>
      </c>
      <c r="EG161" s="9" t="str">
        <f>IF(ISNUMBER(SnapshotTable[[#This Row],[LC Total Value]]),SnapshotTable[[#This Row],[LC Stop Loss Amount]] - SnapshotTable[[#This Row],[LC Premium]],"")</f>
        <v/>
      </c>
      <c r="EH161" s="9">
        <f>IF(ISNUMBER(SnapshotTable[[#This Row],[LC Premium]]), SnapshotTable[[#This Row],[LC Qty]] * 100 * SnapshotTable[[#This Row],[LC Strike Price]], "")</f>
        <v>0</v>
      </c>
      <c r="EI161" s="225" t="str">
        <f>IF(AND(ISNUMBER(SnapshotTable[[#This Row],[LC Total Value]]),SnapshotTable[[#This Row],[LC Total Value]]&gt;0),SnapshotTable[[#This Row],[LC Stop Gain Loss]]  / SnapshotTable[[#This Row],[LC Premium]],"")</f>
        <v/>
      </c>
      <c r="EJ161" s="35">
        <f>IF(ISNUMBER(SnapshotTable[[#This Row],[Equity Shares]]),TRUNC(SnapshotTable[[#This Row],[Equity Shares]] / 100),0) + SnapshotTable[[#This Row],[LC Qty]]</f>
        <v>1</v>
      </c>
      <c r="EK161" s="145">
        <f ca="1">NextFridayOpex</f>
        <v>46234</v>
      </c>
      <c r="EL161" s="136">
        <v>220</v>
      </c>
      <c r="EM161" s="146">
        <v>1</v>
      </c>
      <c r="EN161" s="145">
        <f ca="1">WORKDAY(MockToday, 0)</f>
        <v>46229</v>
      </c>
      <c r="EO161" s="145">
        <f ca="1">SnapshotTable[[#This Row],[SC Book Date]]</f>
        <v>46229</v>
      </c>
      <c r="EP161" s="136">
        <v>1.41</v>
      </c>
      <c r="EQ161" s="382" t="b">
        <f ca="1">AND(ISNUMBER(SnapshotTable[[#This Row],[SC Exp Date]]), ISNUMBER(SnapshotTable[[#This Row],[SC Strike Price]]), ISNUMBER(SnapshotTable[[#This Row],[SC Qty]]), ISNUMBER(SnapshotTable[[#This Row],[SC Book Date]]), ISNUMBER(SnapshotTable[[#This Row],[SC Book Price]]))</f>
        <v>1</v>
      </c>
      <c r="ER161" s="382" t="b">
        <f ca="1">AND(SnapshotTable[[#This Row],[SC Is Booked]], NOT(ISBLANK(SnapshotTable[[#This Row],[SC Fill Date]])))</f>
        <v>1</v>
      </c>
      <c r="ES161" s="340">
        <v>0.38</v>
      </c>
      <c r="ET161" s="34">
        <f ca="1">IF(AND(ISNUMBER(SnapshotTable[[#This Row],[SC Exp Date]]), ISNUMBER(SnapshotTable[[#This Row],[SC Book Date]])), SnapshotTable[[#This Row],[SC Exp Date]] - MAX(SnapshotTable[[#This Row],[SC Book Date]], SnapshotTable[[#This Row],[SC Fill Date]]) + 1, "")</f>
        <v>6</v>
      </c>
      <c r="EU161" s="34">
        <f ca="1">IF(ISNUMBER(SnapshotTable[[#This Row],[SC Term]]), SnapshotTable[[#This Row],[SC Exp Date]]- MockToday, "")</f>
        <v>5</v>
      </c>
      <c r="EV161" s="31">
        <f ca="1">IF(SnapshotTable[[#This Row],[SC Is Booked]], SnapshotTable[[#This Row],[SC Qty]] * SnapshotTable[[#This Row],[SC Book Price]] * 100, 0)</f>
        <v>141</v>
      </c>
      <c r="EW161" s="4">
        <f>IF(AND(ISNUMBER(SnapshotTable[[#This Row],[Last Price]]), ISNUMBER( SnapshotTable[[#This Row],[SC Book Price]])), SnapshotTable[[#This Row],[Last Price]] - SnapshotTable[[#This Row],[SC Book Price]],"")</f>
        <v>208.11</v>
      </c>
      <c r="EX161" s="219">
        <f ca="1">IF(SnapshotTable[[#This Row],[SC Is Booked]],IF(SnapshotTable[[#This Row],[SC Intrinsic Value]] &gt; 0, SnapshotTable[[#This Row],[SC Strike Price]], SnapshotTable[[#This Row],[Last Price]]), "")</f>
        <v>209.52</v>
      </c>
      <c r="EY161" s="4">
        <f ca="1">IF(SnapshotTable[[#This Row],[SC Is Booked]], (MinimumPremiumRequired * SnapshotTable[[#This Row],[SC Basis]] * SnapshotTable[[#This Row],[SC Term]]), 0)</f>
        <v>1.25712</v>
      </c>
      <c r="EZ161" s="268"/>
      <c r="FA161" s="204">
        <v>2.71</v>
      </c>
      <c r="FB161" s="340">
        <v>0.09</v>
      </c>
      <c r="FC161" s="4" t="e">
        <f ca="1">IF(SnapshotTable[[#This Row],[SC Is Filled]], btc_max_buyback_amount(SnapshotTable[[#This Row],[SC Fill Date]],SnapshotTable[[#This Row],[SC Exp Date]], SnapshotTable[[#This Row],[SC Book Price]]),0)</f>
        <v>#NAME?</v>
      </c>
      <c r="FD161" s="5"/>
      <c r="FE161" s="142" t="e">
        <f ca="1">IF(SnapshotTable[[#This Row],[SC Is Filled]], btc_next_cutoff_date(SnapshotTable[[#This Row],[SC Fill Date]],SnapshotTable[[#This Row],[SC Exp Date]]),"")</f>
        <v>#NAME?</v>
      </c>
      <c r="FF161" s="4" t="e" cm="1">
        <f t="array" aca="1" ref="FF161" ca="1">IF(SnapshotTable[[#This Row],[SC Is Filled]], btc_should_buy_back(SnapshotTable[[#This Row],[SC Fill Date]], SnapshotTable[[#This Row],[SC Exp Date]], SnapshotTable[[#This Row],[SC Book Price]], SnapshotTable[[#This Row],[SC Current Ask]], MockToday, SnapshotTable[[#This Row],[SC Buyback Override]]),"")</f>
        <v>#NAME?</v>
      </c>
      <c r="FG161" s="4">
        <f ca="1">IF(SnapshotTable[[#This Row],[SC Is Filled]], MAX(0,SnapshotTable[[#This Row],[Last Price]]  - SnapshotTable[[#This Row],[SC Strike Price]]), 0)</f>
        <v>0</v>
      </c>
      <c r="FH161" s="352">
        <f ca="1">IF(SnapshotTable[[#This Row],[SC Is Filled]], IF(ISNUMBER(SnapshotTable[[#This Row],[SC Current Ask]]), SnapshotTable[[#This Row],[SC Current Ask]], SnapshotTable[[#This Row],[SC Book Price]]) - SnapshotTable[[#This Row],[SC Intrinsic Value]], 0)</f>
        <v>2.71</v>
      </c>
      <c r="FI161" s="141">
        <v>46211</v>
      </c>
      <c r="FJ161" s="32">
        <f ca="1">IF(SnapshotTable[[#This Row],[SC Is Filled]],100 * SnapshotTable[[#This Row],[SC Qty]] * IF(ISNUMBER(SnapshotTable[[#This Row],[SC Buyback Override]]), SnapshotTable[[#This Row],[SC Buyback Override]], SnapshotTable[[#This Row],[SC Current Ask]]), "")</f>
        <v>271</v>
      </c>
      <c r="FK161" s="235">
        <f ca="1">IF(SnapshotTable[[#This Row],[SC Time Val]]&gt;0, SnapshotTable[[#This Row],[SC Time Val]] / SnapshotTable[[#This Row],[Last Price]],"")</f>
        <v>1.2934326078655975E-2</v>
      </c>
      <c r="FL161" s="280">
        <f ca="1">IF(SnapshotTable[[#This Row],[SC Is Booked]], ((SnapshotTable[[#This Row],[Last Price]] -SnapshotTable[[#This Row],[SC Strike Price]]) / SnapshotTable[[#This Row],[Last Price]]) * -1, "")</f>
        <v>5.0019091256204608E-2</v>
      </c>
      <c r="FM161" s="155">
        <f ca="1">IF(SnapshotTable[[#This Row],[SC Is Booked]],  (SnapshotTable[[#This Row],[SC Qty]] * 100 * SnapshotTable[[#This Row],[SC Strike Price]]) - SnapshotTable[[#This Row],[SC Current Ask]], "")</f>
        <v>21997.29</v>
      </c>
      <c r="FN161" s="31"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161" s="31">
        <f ca="1">IF(AND(ISNUMBER(SnapshotTable[[#This Row],[SC Exercise Gross]]), ISNUMBER(SnapshotTable[[#This Row],[Equity Basis Per Share]] )), SnapshotTable[[#This Row],[SC Exercise Gross]] - SnapshotTable[[#This Row],[Equity Basis Total]] +  SnapshotTable[[#This Row],[SC Premium]], "")</f>
        <v>-123.06999999999971</v>
      </c>
      <c r="FP161" s="5">
        <f ca="1">IF(ISNUMBER(SnapshotTable[[#This Row],[SC Exercise Gross]]), (SnapshotTable[[#This Row],[SC Exercise Gross]]) / (SnapshotTable[[#This Row],[SC Qty]] * 100), "")</f>
        <v>219.97290000000001</v>
      </c>
      <c r="FQ161" s="27">
        <f ca="1">IF(SnapshotTable[[#This Row],[SC Is Booked]],SnapshotTable[[#This Row],[SC Time Val]] /SnapshotTable[[#This Row],[SC Basis]], "")</f>
        <v>1.2934326078655975E-2</v>
      </c>
      <c r="FR161" s="27" t="e" cm="1">
        <f t="array" aca="1" ref="FR161" ca="1">IF(AND(ISNUMBER(SnapshotTable[[#This Row],[SC Term]]),ISNUMBER(SnapshotTable[[#This Row],[SC Simple ROO]])), EllmanAnnualize(SnapshotTable[[#This Row],[SC DTE]], SnapshotTable[[#This Row],[SC Simple ROO]] ),"")</f>
        <v>#NAME?</v>
      </c>
      <c r="FS161" s="4">
        <f>IF(SnapshotTable[[#This Row],[SC Strike Price]] &gt; SnapshotTable[[#This Row],[Last Price]], SnapshotTable[[#This Row],[SC Strike Price]] - SnapshotTable[[#This Row],[Last Price]],0)</f>
        <v>10.47999999999999</v>
      </c>
      <c r="FT161" s="27">
        <f>IF(AND(ISNUMBER(SnapshotTable[[#This Row],[SC Upside Potential]]), SnapshotTable[[#This Row],[SC Upside Potential]] &gt; 0),(SnapshotTable[[#This Row],[SC Upside Potential]]/ SnapshotTable[[#This Row],[ACB]]),"")</f>
        <v>4.806677980094478E-2</v>
      </c>
      <c r="FU161" s="304" t="str">
        <f ca="1">IF(SnapshotTable[[#This Row],[SC Intrinsic Value]] &gt; 0,SnapshotTable[[#This Row],[SC Intrinsic Value]],"")</f>
        <v/>
      </c>
      <c r="FV161" s="27" t="str">
        <f ca="1">IF(AND( ISNUMBER( SnapshotTable[[#This Row],[ACB]]),ISNUMBER(SnapshotTable[[#This Row],[SC Downside Protect]])),SnapshotTable[[#This Row],[SC Downside Protect]] / SnapshotTable[[#This Row],[ACB]],"")</f>
        <v/>
      </c>
      <c r="FW161" s="221">
        <f ca="1">IF(AND(ISNUMBER(SnapshotTable[[#This Row],[SC Simple ROO]]),SnapshotTable[[#This Row],[SC Simple ROO]] &gt; 0), SnapshotTable[[#This Row],[SC Premium]] + (SnapshotTable[[#This Row],[SC Qty]] * SnapshotTable[[#This Row],[SC Upside Potential]]), "")</f>
        <v>151.47999999999999</v>
      </c>
      <c r="FX161" s="280" t="e" cm="1">
        <f t="array" aca="1" ref="FX161" ca="1">IF(ISNUMBER(SnapshotTable[[#This Row],[SC Max Dollars]]), annualize(SnapshotTable[[#This Row],[SC Term]],(SnapshotTable[[#This Row],[SC Max Dollars]]/SnapshotTable[[#This Row],[SC Basis]])),"")</f>
        <v>#NAME?</v>
      </c>
      <c r="FY161" s="221">
        <f>IF(AND(SnapshotTable[[#This Row],[SC Qty]]&gt;0,SnapshotTable[[#This Row],[SC Current Ask]]&gt;0), SnapshotTable[[#This Row],[SC Qty]] * SnapshotTable[[#This Row],[SC Current Ask]] * -100, "")</f>
        <v>-271</v>
      </c>
      <c r="FZ161" s="31">
        <f ca="1">IF(ISNUMBER((SnapshotTable[[#This Row],[SC Current Value]])), SnapshotTable[[#This Row],[SC Premium]] + SnapshotTable[[#This Row],[SC Current Value]], "")</f>
        <v>-130</v>
      </c>
      <c r="GA161" s="272">
        <f ca="1">IFERROR( IF(ISNUMBER((SnapshotTable[[#This Row],[SC Current Value]])), SnapshotTable[[#This Row],[SC Gain Loss]] / SnapshotTable[[#This Row],[SC Premium]], ""), "")</f>
        <v>-0.92198581560283688</v>
      </c>
      <c r="GB161" s="42">
        <f>SnapshotTable[[#This Row],[Equity Shares]] * SaleSharesToConsiderPercentage</f>
        <v>20</v>
      </c>
      <c r="GC161" s="40">
        <f>SnapshotTable[[#This Row],[Long Term Target]] * SellingPriceToConsiderBasedOnTargetPercentage</f>
        <v>181.56399999999999</v>
      </c>
      <c r="GD161" s="40">
        <f>SnapshotTable[[#This Row],[Last Price]] * (1+ SellingPriceToConsiderBasedOnTargetPercentage)</f>
        <v>408.56400000000002</v>
      </c>
      <c r="GE161" s="41"/>
      <c r="GF161" s="40"/>
      <c r="GG161" s="31">
        <f>SnapshotTable[[#This Row],[Booked Sale Shares]] * SnapshotTable[[#This Row],[Booked Sale Price]]</f>
        <v>0</v>
      </c>
      <c r="GH161" s="31">
        <f>IF(SnapshotTable[[#This Row],[Equity Basis Total]] &gt; 0, SnapshotTable[[#This Row],[Equity Basis Per Share]] * SnapshotTable[[#This Row],[Booked Sale Shares]], "")</f>
        <v>0</v>
      </c>
      <c r="GI161" s="31">
        <f>IF(SnapshotTable[[#This Row],[Sale Proceeds]]&gt;0, SnapshotTable[[#This Row],[Sale Proceeds]] - SnapshotTable[[#This Row],[Sale Basis]], 0)</f>
        <v>0</v>
      </c>
      <c r="GJ161" s="27">
        <f ca="1">IF(SnapshotTable[[#This Row],[Sale G/L]]&gt;0, SnapshotTable[[#This Row],[Sale G/L]] / SnapshotTable[[#This Row],[Sale Basis]], IF(ISNUMBER(SnapshotTable[[#This Row],[SC Exercise P&amp;L (TAX)]]), SnapshotTable[[#This Row],[SC Exercise P&amp;L (TAX)]] / SnapshotTable[[#This Row],[SC Basis]], ""))</f>
        <v>-0.58739022527682183</v>
      </c>
      <c r="GK161" s="27" t="s">
        <v>801</v>
      </c>
      <c r="GL161" s="43" t="str">
        <f>IF(AND(SnapshotTable[[#This Row],[LP Exp Date]]&gt;0,SnapshotTable[[#This Row],[LP Strike Price]]&gt;0), [1]!ToOptionSymbol(SnapshotTable[[#This Row],[Symbol]], SnapshotTable[[#This Row],[LP Strike Price]],SnapshotTable[[#This Row],[LP Exp Date]],1), "")</f>
        <v/>
      </c>
      <c r="GM161" s="30" t="str">
        <f>IF(LEN(SnapshotTable[[#This Row],[LP Symbol]])&gt;0, 1, "")</f>
        <v/>
      </c>
      <c r="GN161" s="43" t="str">
        <f>IF(AND(SnapshotTable[[#This Row],[SP Exp Date]]&gt;0,SnapshotTable[[#This Row],[SP Strike Price]]&gt;0), [1]!ToOptionSymbol(SnapshotTable[[#This Row],[Symbol]], SnapshotTable[[#This Row],[SP Strike Price]],SnapshotTable[[#This Row],[SP Exp Date]],1), "")</f>
        <v/>
      </c>
      <c r="GO161" s="30" t="str">
        <f>IF(LEN(SnapshotTable[[#This Row],[SP Symbol]])&gt;0, 1, "")</f>
        <v/>
      </c>
      <c r="GP161" s="43" t="str">
        <f>IF(AND(SnapshotTable[[#This Row],[LC Exp Date]]&gt;0,SnapshotTable[[#This Row],[LC Strike Price]]&gt;0), [1]!ToOptionSymbol(SnapshotTable[[#This Row],[Symbol]], SnapshotTable[[#This Row],[LC Strike Price]],SnapshotTable[[#This Row],[LC Exp Date]],0), "")</f>
        <v/>
      </c>
      <c r="GQ161" s="30" t="str">
        <f>IF(LEN(SnapshotTable[[#This Row],[LC Symbol]])&gt;0, 1, "")</f>
        <v/>
      </c>
      <c r="GR161" s="43" t="str">
        <f ca="1">IF(AND(SnapshotTable[[#This Row],[SC Exp Date]]&gt;0,SnapshotTable[[#This Row],[SC Strike Price]]&gt;0), [1]!ToOptionSymbol(SnapshotTable[[#This Row],[Symbol]], SnapshotTable[[#This Row],[SC Strike Price]],SnapshotTable[[#This Row],[SC Exp Date]],0), "")</f>
        <v>BA260731C00220000</v>
      </c>
      <c r="GS161" s="30">
        <f ca="1">IF(LEN(SnapshotTable[[#This Row],[SC Symbol]])&gt;0, 1, "")</f>
        <v>1</v>
      </c>
      <c r="GT161" s="29" t="str">
        <f ca="1">IF(COUNT(SnapshotTable[[#This Row],[LP Symbol Count]],SnapshotTable[[#This Row],[SP Symbol Count]],SnapshotTable[[#This Row],[LC Symbol Count]],SnapshotTable[[#This Row],[SC Symbol Count]])&gt;0, "Y", "")</f>
        <v>Y</v>
      </c>
      <c r="GU16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161" s="216">
        <f ca="1">MAX(SnapshotTable[[#This Row],[Equity Basis Total]],SnapshotTable[[#This Row],[Equity Value]]) + (SnapshotTable[[#This Row],[SP Potential Spend]]- SnapshotTable[[#This Row],[SP Premium]] + SnapshotTable[[#This Row],[LP Premium]])+ (SnapshotTable[[#This Row],[LC Premium]] - SnapshotTable[[#This Row],[SC Premium]])</f>
        <v>22120.36</v>
      </c>
      <c r="GW161" s="137">
        <f ca="1">IF(AND(SnapshotTable[[#This Row],[Exposure]] &lt;&gt; 0),SnapshotTable[[#This Row],[Exposure]] / SnapshotTable[[#Totals],[Exposure]], "")</f>
        <v>0.12282197211564623</v>
      </c>
      <c r="HE161" s="253"/>
      <c r="HF161" s="253"/>
      <c r="HK161" s="1"/>
      <c r="HL161" s="1"/>
      <c r="HM161" s="1"/>
      <c r="HN161" s="1"/>
      <c r="HO161" s="1"/>
      <c r="HP161" s="1"/>
    </row>
    <row r="162" spans="2:224" ht="12.75" hidden="1" customHeight="1" x14ac:dyDescent="0.25">
      <c r="B162" s="12" t="s">
        <v>972</v>
      </c>
      <c r="C162" s="385">
        <v>31.49</v>
      </c>
      <c r="D162" s="200"/>
      <c r="E162" s="39">
        <f>SnapshotTable[[#This Row],[Last Price]]*(1 -CrashDiscount)</f>
        <v>26.766499999999997</v>
      </c>
      <c r="F162" s="296" t="s">
        <v>149</v>
      </c>
      <c r="G162" s="296" t="s">
        <v>32</v>
      </c>
      <c r="H162" s="147"/>
      <c r="I162" s="186"/>
      <c r="J162" s="187"/>
      <c r="K162" s="188"/>
      <c r="L162" s="297"/>
      <c r="M162" s="138"/>
      <c r="N162" s="138"/>
      <c r="O162" s="138"/>
      <c r="P162" s="22"/>
      <c r="Q162" s="25"/>
      <c r="R162" s="4" t="str">
        <f>IF(SnapshotTable[[#This Row],[Equity Basis Total]] &gt; 0, SnapshotTable[[#This Row],[Equity Basis Total]] / SnapshotTable[[#This Row],[Equity Shares]], "")</f>
        <v/>
      </c>
      <c r="S162" s="254">
        <f>SnapshotTable[[#This Row],[Last Price]] * SnapshotTable[[#This Row],[Equity Shares]]</f>
        <v>0</v>
      </c>
      <c r="T162" s="254">
        <f>SnapshotTable[[#This Row],[Equity Value]] - SnapshotTable[[#This Row],[Equity Basis Total]]</f>
        <v>0</v>
      </c>
      <c r="U162" s="255" t="str">
        <f>IF(SnapshotTable[[#This Row],[Equity Basis Total]] &gt; 0, SnapshotTable[[#This Row],[Equity G/L]] / SnapshotTable[[#This Row],[Equity Basis Total]], "")</f>
        <v/>
      </c>
      <c r="V162" s="253"/>
      <c r="W162" s="253"/>
      <c r="X162" s="4" t="str">
        <f>IF(AND(ISNUMBER(SnapshotTable[[#This Row],[Equity Basis Per Share]]),ISNUMBER(SnapshotTable[[#This Row],[Equity Target]])),SnapshotTable[[#This Row],[Equity Target]]-SnapshotTable[[#This Row],[Equity Basis Per Share]],"")</f>
        <v/>
      </c>
      <c r="Y162" s="4" t="str">
        <f>IF(AND(ISNUMBER(SnapshotTable[[#This Row],[Equity Basis Per Share]]),ISNUMBER(SnapshotTable[[#This Row],[Equity Stop Loss]])),SnapshotTable[[#This Row],[Equity Stop Loss]]-SnapshotTable[[#This Row],[Equity Basis Per Share]],"")</f>
        <v/>
      </c>
      <c r="Z162" s="260" t="str">
        <f>IFERROR( TEXT(SnapshotTable[[#This Row],[Equity Max Gain Per Share]] /ABS( SnapshotTable[[#This Row],[Equity Max Loss Per Share]]),"0.0 " ) &amp; " : 1", "")</f>
        <v/>
      </c>
      <c r="AA162" s="31" t="str">
        <f>IF(ISNUMBER(SnapshotTable[[#This Row],[Equity Max Gain Per Share]]),SnapshotTable[[#This Row],[Equity Max Gain Per Share]] * SnapshotTable[[#This Row],[Equity Shares]],"")</f>
        <v/>
      </c>
      <c r="AB162" s="31" t="str">
        <f>IF(ISNUMBER(SnapshotTable[[#This Row],[Equity Max Loss Per Share]]),SnapshotTable[[#This Row],[Equity Max Loss Per Share]] * SnapshotTable[[#This Row],[Equity Shares]],"")</f>
        <v/>
      </c>
      <c r="AC162" s="148"/>
      <c r="AD162" s="149"/>
      <c r="AE162" s="31">
        <f>(SnapshotTable[[#This Row],[Annual Dividend Per Share]] / 4) * SnapshotTable[[#This Row],[Equity Shares]]</f>
        <v>0</v>
      </c>
      <c r="AF162" s="31">
        <f>SnapshotTable[[#This Row],[Quarterly Div $]] * 4</f>
        <v>0</v>
      </c>
      <c r="AG162" s="7">
        <f>IF(SnapshotTable[[#This Row],[Annual Dividend Per Share]]&gt;0, SnapshotTable[[#This Row],[Annual Dividend Per Share]]  / SnapshotTable[[#This Row],[Last Price]], 0)</f>
        <v>0</v>
      </c>
      <c r="AH162" s="149"/>
      <c r="AI162" s="5"/>
      <c r="AJ162" s="136"/>
      <c r="AK162" s="150" t="str">
        <f>IF(ISNUMBER( SnapshotTable[[#This Row],[EBF Target]]),(SnapshotTable[[#This Row],[EBF Target]] - SnapshotTable[[#This Row],[Last Price]]) / SnapshotTable[[#This Row],[Last Price]], "")</f>
        <v/>
      </c>
      <c r="AL162" s="150" t="str">
        <f>IF(AND(SnapshotTable[[#This Row],[Equity Basis Total]] &gt; 0,ISNUMBER( SnapshotTable[[#This Row],[Long Term Target]])), SnapshotTable[[#This Row],[From Basis $]] / SnapshotTable[[#This Row],[Equity Basis Total]], "")</f>
        <v/>
      </c>
      <c r="AM162" s="9">
        <f>IF( AND(SnapshotTable[[#This Row],[Equity Shares]] &gt;0,ISNUMBER( SnapshotTable[[#This Row],[Long Term Target]])),(SnapshotTable[[#This Row],[Equity Shares]] * SnapshotTable[[#This Row],[Long Term Target]]) - SnapshotTable[[#This Row],[Equity Basis Total]],0)</f>
        <v>0</v>
      </c>
      <c r="AN162" s="9">
        <f>IF( AND(SnapshotTable[[#This Row],[Equity Shares]] &gt;0,ISNUMBER( SnapshotTable[[#This Row],[Long Term Target]])),(SnapshotTable[[#This Row],[Equity Shares]]*SnapshotTable[[#This Row],[Long Term Target]]) - SnapshotTable[[#This Row],[Equity Value]],0)</f>
        <v>0</v>
      </c>
      <c r="AO162" s="150" t="str">
        <f>IF(AND(ISNUMBER( SnapshotTable[[#This Row],[Long Term Target]]), ISNUMBER(SnapshotTable[[#This Row],[Last Price]])),(SnapshotTable[[#This Row],[Long Term Target]] - SnapshotTable[[#This Row],[Last Price]]) / SnapshotTable[[#This Row],[Last Price]], "")</f>
        <v/>
      </c>
      <c r="AP162" s="5"/>
      <c r="AQ162" s="38"/>
      <c r="AR162" s="5"/>
      <c r="AS162" s="38"/>
      <c r="AT162" s="144"/>
      <c r="AU162" s="185" t="str">
        <f>IF(OR(SnapshotTable[[#This Row],[LP No Fill]]="Y",SnapshotTable[[#This Row],[SP Is Filled]],SnapshotTable[[#This Row],[LC Not Filled]]="Y",SnapshotTable[[#This Row],[SC Is Filled]]),"Y","")</f>
        <v/>
      </c>
      <c r="AV162" s="205"/>
      <c r="AW162" s="211"/>
      <c r="AX162" s="206"/>
      <c r="AY162" s="205" t="str">
        <f>IF(SnapshotTable[[#This Row],[Implied Move]]&gt;0, SnapshotTable[[#This Row],[Last Price]]-SnapshotTable[[#This Row],[Implied Move]],"")</f>
        <v/>
      </c>
      <c r="AZ162" s="205" t="str">
        <f>IF(SnapshotTable[[#This Row],[Implied Move]]&gt;0, SnapshotTable[[#This Row],[Last Price]] + SnapshotTable[[#This Row],[Implied Move]],"")</f>
        <v/>
      </c>
      <c r="BA162" s="302">
        <v>24.29</v>
      </c>
      <c r="BB162" s="318"/>
      <c r="BC16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2" s="321"/>
      <c r="BE162" s="5"/>
      <c r="BF162" s="14"/>
      <c r="BG162" s="13"/>
      <c r="BH162" s="13"/>
      <c r="BI162" s="5"/>
      <c r="BJ162" s="134">
        <f>IF(SnapshotTable[[#This Row],[LP Qty]] &gt; 0, SnapshotTable[[#This Row],[LP Qty]] * SnapshotTable[[#This Row],[LP Book Price]] * 100,0)</f>
        <v>0</v>
      </c>
      <c r="BK162" s="134">
        <f>IF(SnapshotTable[[#This Row],[LP Premium]] &gt; 0, SnapshotTable[[#This Row],[LP Qty]] * SnapshotTable[[#This Row],[LP Strike Price]] * 100,0)</f>
        <v>0</v>
      </c>
      <c r="BL162" s="152"/>
      <c r="BM162" s="355" t="str">
        <f>IF(SnapshotTable[[#This Row],[LP Premium]] &gt; 0,SnapshotTable[[#This Row],[LP Exp Date]]-MAX(SnapshotTable[[#This Row],[LP Book Date]], SnapshotTable[[#This Row],[LP Fill Date]]),"")</f>
        <v/>
      </c>
      <c r="BN162" s="355" t="str">
        <f>IF(ISNUMBER( SnapshotTable[[#This Row],[LP Term]]), SnapshotTable[[#This Row],[LP Exp Date]] - MockToday,"")</f>
        <v/>
      </c>
      <c r="BO162" s="161" t="str">
        <f>IF(AND(SnapshotTable[[#This Row],[LP Exp Date]]&gt;0, SnapshotTable[[#This Row],[LP Strike Price]]&gt;0,SnapshotTable[[#This Row],[LP Qty]]&gt;0,SnapshotTable[[#This Row],[LP Book Date]]&gt;0,SnapshotTable[[#This Row],[LP Book Price]]&gt;0,SnapshotTable[[#This Row],[LP Fill Date]]=0),"Y","")</f>
        <v/>
      </c>
      <c r="BP162" s="31" t="str">
        <f>IF(AND(SnapshotTable[[#This Row],[LP No Fill]]&lt;&gt;"Y",SnapshotTable[[#This Row],[LP Contract Value]]&gt;0, SnapshotTable[[#This Row],[LP Qty]]&gt;0), SnapshotTable[[#This Row],[LP Contract Value]]*SnapshotTable[[#This Row],[LP Qty]]*100,"")</f>
        <v/>
      </c>
      <c r="BQ162" s="13"/>
      <c r="BR162" s="5"/>
      <c r="BS162" s="36"/>
      <c r="BT162" s="145"/>
      <c r="BU162" s="13"/>
      <c r="BV162" s="5"/>
      <c r="BW162" s="382" t="b">
        <f>AND(ISNUMBER(SnapshotTable[[#This Row],[SP Exp Date]]), ISNUMBER(SnapshotTable[[#This Row],[SP Strike Price]]), ISNUMBER(SnapshotTable[[#This Row],[SP Qty]]), ISNUMBER(SnapshotTable[[#This Row],[SP Book Date]]), ISNUMBER(SnapshotTable[[#This Row],[SP Book Price]]))</f>
        <v>0</v>
      </c>
      <c r="BX162" s="382" t="b">
        <f>AND(SnapshotTable[[#This Row],[SP Is Booked]], NOT(ISBLANK(SnapshotTable[[#This Row],[SP Fill Date]])))</f>
        <v>0</v>
      </c>
      <c r="BY162" s="33">
        <f>IF(SnapshotTable[[#This Row],[SP Is Booked]], SnapshotTable[[#This Row],[SP Qty]] * SnapshotTable[[#This Row],[SP Book Price]] * 100, 0)</f>
        <v>0</v>
      </c>
      <c r="BZ162" s="339"/>
      <c r="CA162" s="338">
        <f>SnapshotTable[[#This Row],[LP Qty]]</f>
        <v>0</v>
      </c>
      <c r="CB162" s="4" t="str">
        <f>IF(SnapshotTable[[#This Row],[SP Is Booked]], SnapshotTable[[#This Row],[SP Strike Price]] - SnapshotTable[[#This Row],[SP Book Price]], "")</f>
        <v/>
      </c>
      <c r="CC162" s="19" t="str">
        <f>IF(SnapshotTable[[#This Row],[SP Is Booked]],SnapshotTable[[#This Row],[SP Exp Date]]-MAX(SnapshotTable[[#This Row],[SP Book Date]], SnapshotTable[[#This Row],[SP Fill Date]]),"")</f>
        <v/>
      </c>
      <c r="CD162" s="7" t="str">
        <f>IF(SnapshotTable[[#This Row],[SP Is Booked]], SnapshotTable[[#This Row],[SP Book Price]]/SnapshotTable[[#This Row],[SP Strike Price]], "")</f>
        <v/>
      </c>
      <c r="CE162" s="7" t="str">
        <f>IF(ISNUMBER(SnapshotTable[[#This Row],[SP ROO Term]]),SnapshotTable[[#This Row],[SP ROO Term]]*(365/SnapshotTable[[#This Row],[SP Term]]),"")</f>
        <v/>
      </c>
      <c r="CF162" s="221">
        <f>SnapshotTable[[#This Row],[LP Strike Price]] * SnapshotTable[[#This Row],[LP Qty]] * 100</f>
        <v>0</v>
      </c>
      <c r="CG162" s="31">
        <f>IF(ISNUMBER(SnapshotTable[[#This Row],[SP Premium]]), (SnapshotTable[[#This Row],[SP Qty]] * SnapshotTable[[#This Row],[SP Strike Price]]* 100) - SnapshotTable[[#This Row],[LP Protection]], 0)</f>
        <v>0</v>
      </c>
      <c r="CH162" s="7" t="str">
        <f>IF(ISNUMBER(SnapshotTable[[#This Row],[SP Break Even]]),-1 * (SnapshotTable[[#This Row],[SP Break Even]] - SnapshotTable[[#This Row],[Last Price]]) / SnapshotTable[[#This Row],[Last Price]], "")</f>
        <v/>
      </c>
      <c r="CI162" s="31">
        <f>IF(AND(ISNUMBER((SnapshotTable[[#This Row],[SP Potential Spend]])), SnapshotTable[[#This Row],[SP Strike Price]] &gt; SnapshotTable[[#This Row],[Last Price]], SnapshotTable[[#This Row],[SP Is Filled]]), SnapshotTable[[#This Row],[SP Potential Spend]] -  SnapshotTable[[#This Row],[LP Max Value]], 0)</f>
        <v>0</v>
      </c>
      <c r="CJ162" s="229"/>
      <c r="CK162" s="31">
        <f>IF(ISNUMBER(SnapshotTable[[#This Row],[SP Potential Spend]]),IF(ISNUMBER(SnapshotTable[[#This Row],[SP POW]]), SnapshotTable[[#This Row],[SP POW]] * SnapshotTable[[#This Row],[SP Potential Spend]], SnapshotTable[[#This Row],[SP Potential Spend]]), "")</f>
        <v>0</v>
      </c>
      <c r="CL162" s="162">
        <f>IF(NOT(SnapshotTable[[#This Row],[SP Is Filled]]),(SnapshotTable[[#This Row],[SP Qty]] * SnapshotTable[[#This Row],[SP Strike Price]] * 100) - SnapshotTable[[#This Row],[LP Max Value]],"")</f>
        <v>0</v>
      </c>
      <c r="CM162" s="31" t="str">
        <f>IF(SnapshotTable[[#This Row],[SP Actual Spend]]&lt;&gt;0, ((SnapshotTable[[#This Row],[SP Strike Price]]-SnapshotTable[[#This Row],[Last Price]]) *(SnapshotTable[[#This Row],[SP Qty]]*100) - SnapshotTable[[#This Row],[SP Premium]]) * - 1, "")</f>
        <v/>
      </c>
      <c r="CN162" s="76"/>
      <c r="CO162" s="339"/>
      <c r="CP162" s="4" t="str">
        <f>IF(SnapshotTable[[#This Row],[SP Is Filled]], btc_max_buyback_amount(SnapshotTable[[#This Row],[SP Fill Date]],SnapshotTable[[#This Row],[SP Exp Date]], SnapshotTable[[#This Row],[SP Book Price]]),"")</f>
        <v/>
      </c>
      <c r="CQ162" s="76"/>
      <c r="CR16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2" s="153" t="str">
        <f>IF(SnapshotTable[[#This Row],[SP Is Filled]], btc_next_cutoff_date(SnapshotTable[[#This Row],[SP Fill Date]],SnapshotTable[[#This Row],[SP Exp Date]]),"")</f>
        <v/>
      </c>
      <c r="CT162" s="220" t="str" cm="1">
        <f t="array" ref="CT162">IF(SnapshotTable[[#This Row],[SP Is Filled]], btc_should_buy_back(SnapshotTable[[#This Row],[SP Fill Date]], SnapshotTable[[#This Row],[SP Exp Date]], SnapshotTable[[#This Row],[SP Book Price]], SnapshotTable[[#This Row],[SP Current Ask]], MockToday, SnapshotTable[[#This Row],[SP Buyback Override]]),"")</f>
        <v/>
      </c>
      <c r="CU162" s="154"/>
      <c r="CV162" s="220"/>
      <c r="CW162" s="348" t="str">
        <f>IF(ISNUMBER( SnapshotTable[[#This Row],[SP Term]]), SnapshotTable[[#This Row],[SP Exp Date]] - MockToday,"")</f>
        <v/>
      </c>
      <c r="CX162" s="31" t="str">
        <f>IF(SnapshotTable[[#This Row],[SP Is Filled]],SnapshotTable[[#This Row],[SP Buyback Price to Use]] * 100 * SnapshotTable[[#This Row],[SP Qty]], "")</f>
        <v/>
      </c>
      <c r="CY162" s="4" t="str">
        <f>IF(ISNUMBER(SnapshotTable[[#This Row],[SP Strike Price]]), SnapshotTable[[#This Row],[SP Strike Price]] * (1 - SP_MaxLoss_StrikePct), "")</f>
        <v/>
      </c>
      <c r="CZ162" s="31" t="str">
        <f>IF(ISNUMBER(SnapshotTable[[#This Row],[SP Strike  Stop Per Share]]),SnapshotTable[[#This Row],[SP Premium]] - ((SnapshotTable[[#This Row],[SP Strike Price]]-SnapshotTable[[#This Row],[SP Strike  Stop Per Share]]) *(SnapshotTable[[#This Row],[SP Qty]] * 100)),"")</f>
        <v/>
      </c>
      <c r="DA162" s="4" t="str">
        <f>IF(AND(ISNUMBER(SnapshotTable[[#This Row],[SP Premium]]),SnapshotTable[[#This Row],[SP Premium]]&gt;0), SnapshotTable[[#This Row],[SP Book Price]] * (1 + SP_MaxLoss_OptionPct), "")</f>
        <v/>
      </c>
      <c r="DB162" s="31" t="str">
        <f>IF(ISNUMBER(SnapshotTable[[#This Row],[SP Option  Stop Contract]]),(SnapshotTable[[#This Row],[SP Option  Stop Contract]] *(SnapshotTable[[#This Row],[SP Qty]] * 100) - SnapshotTable[[#This Row],[SP Premium]]),"")</f>
        <v/>
      </c>
      <c r="DC162" s="4"/>
      <c r="DD162" s="4"/>
      <c r="DE162" s="4" t="str">
        <f>IF(AND(SnapshotTable[[#This Row],[SP Qty]]&gt;0, SnapshotTable[[#This Row],[SP Stop To Use]]&gt;0),SnapshotTable[[#This Row],[SP Premium]] - ( SnapshotTable[[#This Row],[SP Qty]] * SnapshotTable[[#This Row],[SP Stop To Use]] * 100), "")</f>
        <v/>
      </c>
      <c r="DF162" s="31" t="str">
        <f>IF(AND(SnapshotTable[[#This Row],[SP Qty]]&gt;0,SnapshotTable[[#This Row],[SP Current Ask]]&gt;0), SnapshotTable[[#This Row],[SP Qty]] * SnapshotTable[[#This Row],[SP Current Ask]] * -100, "")</f>
        <v/>
      </c>
      <c r="DG162" s="31" t="str">
        <f>IF(ISNUMBER((SnapshotTable[[#This Row],[SP Total Value]])), SnapshotTable[[#This Row],[SP Premium]] + SnapshotTable[[#This Row],[SP Total Value]], "")</f>
        <v/>
      </c>
      <c r="DH162" s="272" t="str">
        <f>IF(ISNUMBER((SnapshotTable[[#This Row],[SP Total Value]])), SnapshotTable[[#This Row],[SP Gain Loss]] / SnapshotTable[[#This Row],[SP Premium]], "")</f>
        <v/>
      </c>
      <c r="DI162" s="369"/>
      <c r="DJ162" s="136"/>
      <c r="DK162" s="146"/>
      <c r="DL162" s="13"/>
      <c r="DM162" s="13"/>
      <c r="DO162" s="31">
        <f>IF(SnapshotTable[[#This Row],[LC Symbol Count]]=1, SnapshotTable[[#This Row],[LC Qty]] * SnapshotTable[[#This Row],[LC Book Price]] * 100, 0)</f>
        <v>0</v>
      </c>
      <c r="DP162" s="161" t="str">
        <f>IF(AND(SnapshotTable[[#This Row],[LC Exp Date]]&gt;0, SnapshotTable[[#This Row],[LC Strike Price]]&gt;0,SnapshotTable[[#This Row],[LC Qty]]&gt;0,SnapshotTable[[#This Row],[LC Book Date]]&gt;0,SnapshotTable[[#This Row],[LC Book Price]]&gt;0,SnapshotTable[[#This Row],[LC Fill Date]]=0),"Y","")</f>
        <v/>
      </c>
      <c r="DQ162" s="356" t="str">
        <f>IF(SnapshotTable[[#This Row],[LC Premium]] &gt; 0,SnapshotTable[[#This Row],[LC Exp Date]]-MAX(SnapshotTable[[#This Row],[LC Book Date]], SnapshotTable[[#This Row],[LC Fill Date]]),"")</f>
        <v/>
      </c>
      <c r="DR162" s="356" t="str">
        <f>IF(ISNUMBER(SnapshotTable[[#This Row],[LC Term]]), SnapshotTable[[#This Row],[LC Exp Date]] - MockToday, "")</f>
        <v/>
      </c>
      <c r="DS162" s="219" t="str">
        <f>IF(SnapshotTable[[#This Row],[LC Premium]]&gt;0,SnapshotTable[[#This Row],[LC Strike Price]] + SnapshotTable[[#This Row],[LC Book Price]],"")</f>
        <v/>
      </c>
      <c r="DU162" s="9" t="str">
        <f>IF(AND(SnapshotTable[[#This Row],[LC Symbol Count]]&gt;0, SnapshotTable[[#This Row],[LC Contract Value]]&gt;0), SnapshotTable[[#This Row],[LC Contract Value]] * SnapshotTable[[#This Row],[LC Qty]] * 100, "")</f>
        <v/>
      </c>
      <c r="DV162" s="9" t="str">
        <f>IF(AND(ISNUMBER(SnapshotTable[[#This Row],[LC Total Value]]), SnapshotTable[[#This Row],[LC Not Filled]]&lt;&gt;"Y"), SnapshotTable[[#This Row],[LC Total Value]]-SnapshotTable[[#This Row],[LC Premium]],"")</f>
        <v/>
      </c>
      <c r="DW162" s="225" t="str">
        <f>IF(ISNUMBER(SnapshotTable[[#This Row],[LC Actual Gain Loss]]), SnapshotTable[[#This Row],[LC Actual Gain Loss]] / SnapshotTable[[#This Row],[LC Premium]],"")</f>
        <v/>
      </c>
      <c r="DX162" s="269" t="str">
        <f>IF(ISNUMBER(SnapshotTable[[#This Row],[LC Book Price]]),SnapshotTable[[#This Row],[LC Book Price]] * 1.5,"")</f>
        <v/>
      </c>
      <c r="DY162" s="250" t="str">
        <f>IF(SnapshotTable[[#This Row],[LC Premium]]&gt;0, SnapshotTable[[#This Row],[LC Next Target]] * SnapshotTable[[#This Row],[LC Qty]] * 100,"")</f>
        <v/>
      </c>
      <c r="DZ162" s="250" t="str">
        <f>IF(ISNUMBER(SnapshotTable[[#This Row],[LC Target Gross]]), SnapshotTable[[#This Row],[LC Target Gross]] - SnapshotTable[[#This Row],[LC Premium]], "")</f>
        <v/>
      </c>
      <c r="EA162" s="283" t="str">
        <f>IF(ISNUMBER(SnapshotTable[[#This Row],[LC Target Gain Loss]]), SnapshotTable[[#This Row],[LC Target Gain Loss]]/SnapshotTable[[#This Row],[LC Premium]], "")</f>
        <v/>
      </c>
      <c r="EB162" s="247"/>
      <c r="EC162" s="268" t="str">
        <f>IF(SnapshotTable[[#This Row],[LC Premium]]&gt;0, SnapshotTable[[#This Row],[LC Book Price]] * (1 - LC_StopLoss_Pct),"")</f>
        <v/>
      </c>
      <c r="ED162" s="269"/>
      <c r="EE162" s="268" t="str">
        <f>IF(ISNUMBER(SnapshotTable[[#This Row],[LC Contract Value]]),IF(ISNUMBER(SnapshotTable[[#This Row],[LC Stop Loss Override]]), SnapshotTable[[#This Row],[LC Stop Loss Override]],SnapshotTable[[#This Row],[LC Stop Loss Calc Target]]),"")</f>
        <v/>
      </c>
      <c r="EF162" s="31" t="str">
        <f>IF(ISNUMBER(SnapshotTable[[#This Row],[LC Stop  To Use]]), (SnapshotTable[[#This Row],[LC Stop  To Use]] * SnapshotTable[[#This Row],[LC Qty]] * 100),"")</f>
        <v/>
      </c>
      <c r="EG162" s="9" t="str">
        <f>IF(ISNUMBER(SnapshotTable[[#This Row],[LC Total Value]]),SnapshotTable[[#This Row],[LC Stop Loss Amount]] - SnapshotTable[[#This Row],[LC Premium]],"")</f>
        <v/>
      </c>
      <c r="EH162" s="9">
        <f>IF(ISNUMBER(SnapshotTable[[#This Row],[LC Premium]]), SnapshotTable[[#This Row],[LC Qty]] * 100 * SnapshotTable[[#This Row],[LC Strike Price]], "")</f>
        <v>0</v>
      </c>
      <c r="EI162" s="225" t="str">
        <f>IF(AND(ISNUMBER(SnapshotTable[[#This Row],[LC Total Value]]),SnapshotTable[[#This Row],[LC Total Value]]&gt;0),SnapshotTable[[#This Row],[LC Stop Gain Loss]]  / SnapshotTable[[#This Row],[LC Premium]],"")</f>
        <v/>
      </c>
      <c r="EJ162" s="35">
        <f>IF(ISNUMBER(SnapshotTable[[#This Row],[Equity Shares]]),TRUNC(SnapshotTable[[#This Row],[Equity Shares]] / 100),0) + SnapshotTable[[#This Row],[LC Qty]]</f>
        <v>0</v>
      </c>
      <c r="EK162" s="145"/>
      <c r="EL162" s="136"/>
      <c r="EM162" s="146"/>
      <c r="EN162" s="145"/>
      <c r="EO162" s="145"/>
      <c r="EP162" s="136"/>
      <c r="EQ162" s="382" t="b">
        <f>AND(ISNUMBER(SnapshotTable[[#This Row],[SC Exp Date]]), ISNUMBER(SnapshotTable[[#This Row],[SC Strike Price]]), ISNUMBER(SnapshotTable[[#This Row],[SC Qty]]), ISNUMBER(SnapshotTable[[#This Row],[SC Book Date]]), ISNUMBER(SnapshotTable[[#This Row],[SC Book Price]]))</f>
        <v>0</v>
      </c>
      <c r="ER162" s="382" t="b">
        <f>AND(SnapshotTable[[#This Row],[SC Is Booked]], NOT(ISBLANK(SnapshotTable[[#This Row],[SC Fill Date]])))</f>
        <v>0</v>
      </c>
      <c r="ES162" s="340"/>
      <c r="ET162" s="34" t="str">
        <f>IF(AND(ISNUMBER(SnapshotTable[[#This Row],[SC Exp Date]]), ISNUMBER(SnapshotTable[[#This Row],[SC Book Date]])), SnapshotTable[[#This Row],[SC Exp Date]] - MAX(SnapshotTable[[#This Row],[SC Book Date]], SnapshotTable[[#This Row],[SC Fill Date]]) + 1, "")</f>
        <v/>
      </c>
      <c r="EU162" s="34" t="str">
        <f>IF(ISNUMBER(SnapshotTable[[#This Row],[SC Term]]), SnapshotTable[[#This Row],[SC Exp Date]]- MockToday, "")</f>
        <v/>
      </c>
      <c r="EV162" s="31">
        <f>IF(SnapshotTable[[#This Row],[SC Is Booked]], SnapshotTable[[#This Row],[SC Qty]] * SnapshotTable[[#This Row],[SC Book Price]] * 100, 0)</f>
        <v>0</v>
      </c>
      <c r="EW162" s="4" t="str">
        <f>IF(AND(ISNUMBER(SnapshotTable[[#This Row],[Last Price]]), ISNUMBER( SnapshotTable[[#This Row],[SC Book Price]])), SnapshotTable[[#This Row],[Last Price]] - SnapshotTable[[#This Row],[SC Book Price]],"")</f>
        <v/>
      </c>
      <c r="EX162" s="219" t="str">
        <f>IF(SnapshotTable[[#This Row],[SC Is Booked]],IF(SnapshotTable[[#This Row],[SC Intrinsic Value]] &gt; 0, SnapshotTable[[#This Row],[SC Strike Price]], SnapshotTable[[#This Row],[Last Price]]), "")</f>
        <v/>
      </c>
      <c r="EY162" s="4">
        <f>IF(SnapshotTable[[#This Row],[SC Is Booked]], (MinimumPremiumRequired * SnapshotTable[[#This Row],[SC Basis]] * SnapshotTable[[#This Row],[SC Term]]), 0)</f>
        <v>0</v>
      </c>
      <c r="EZ162" s="268"/>
      <c r="FA162" s="204"/>
      <c r="FB162" s="340"/>
      <c r="FC162" s="4">
        <f>IF(SnapshotTable[[#This Row],[SC Is Filled]], btc_max_buyback_amount(SnapshotTable[[#This Row],[SC Fill Date]],SnapshotTable[[#This Row],[SC Exp Date]], SnapshotTable[[#This Row],[SC Book Price]]),0)</f>
        <v>0</v>
      </c>
      <c r="FD162" s="5"/>
      <c r="FE162" s="142" t="str">
        <f>IF(SnapshotTable[[#This Row],[SC Is Filled]], btc_next_cutoff_date(SnapshotTable[[#This Row],[SC Fill Date]],SnapshotTable[[#This Row],[SC Exp Date]]),"")</f>
        <v/>
      </c>
      <c r="FF162" s="4" t="str" cm="1">
        <f t="array" ref="FF162">IF(SnapshotTable[[#This Row],[SC Is Filled]], btc_should_buy_back(SnapshotTable[[#This Row],[SC Fill Date]], SnapshotTable[[#This Row],[SC Exp Date]], SnapshotTable[[#This Row],[SC Book Price]], SnapshotTable[[#This Row],[SC Current Ask]], MockToday, SnapshotTable[[#This Row],[SC Buyback Override]]),"")</f>
        <v/>
      </c>
      <c r="FG162" s="4">
        <f>IF(SnapshotTable[[#This Row],[SC Is Filled]], MAX(0,SnapshotTable[[#This Row],[Last Price]]  - SnapshotTable[[#This Row],[SC Strike Price]]), 0)</f>
        <v>0</v>
      </c>
      <c r="FH162" s="352">
        <f>IF(SnapshotTable[[#This Row],[SC Is Filled]], IF(ISNUMBER(SnapshotTable[[#This Row],[SC Current Ask]]), SnapshotTable[[#This Row],[SC Current Ask]], SnapshotTable[[#This Row],[SC Book Price]]) - SnapshotTable[[#This Row],[SC Intrinsic Value]], 0)</f>
        <v>0</v>
      </c>
      <c r="FI162" s="141"/>
      <c r="FJ162" s="32" t="str">
        <f>IF(SnapshotTable[[#This Row],[SC Is Filled]],100 * SnapshotTable[[#This Row],[SC Qty]] * IF(ISNUMBER(SnapshotTable[[#This Row],[SC Buyback Override]]), SnapshotTable[[#This Row],[SC Buyback Override]], SnapshotTable[[#This Row],[SC Current Ask]]), "")</f>
        <v/>
      </c>
      <c r="FK162" s="235" t="str">
        <f>IF(SnapshotTable[[#This Row],[SC Time Val]]&gt;0, SnapshotTable[[#This Row],[SC Time Val]] / SnapshotTable[[#This Row],[Last Price]],"")</f>
        <v/>
      </c>
      <c r="FL162" s="280" t="str">
        <f>IF(SnapshotTable[[#This Row],[SC Is Booked]], ((SnapshotTable[[#This Row],[Last Price]] -SnapshotTable[[#This Row],[SC Strike Price]]) / SnapshotTable[[#This Row],[Last Price]]) * -1, "")</f>
        <v/>
      </c>
      <c r="FM162" s="155" t="str">
        <f>IF(SnapshotTable[[#This Row],[SC Is Booked]],  (SnapshotTable[[#This Row],[SC Qty]] * 100 * SnapshotTable[[#This Row],[SC Strike Price]]) - SnapshotTable[[#This Row],[SC Current Ask]], "")</f>
        <v/>
      </c>
      <c r="FN16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2" s="31" t="str">
        <f>IF(AND(ISNUMBER(SnapshotTable[[#This Row],[SC Exercise Gross]]), ISNUMBER(SnapshotTable[[#This Row],[Equity Basis Per Share]] )), SnapshotTable[[#This Row],[SC Exercise Gross]] - SnapshotTable[[#This Row],[Equity Basis Total]] +  SnapshotTable[[#This Row],[SC Premium]], "")</f>
        <v/>
      </c>
      <c r="FP162" s="5" t="str">
        <f>IF(ISNUMBER(SnapshotTable[[#This Row],[SC Exercise Gross]]), (SnapshotTable[[#This Row],[SC Exercise Gross]]) / (SnapshotTable[[#This Row],[SC Qty]] * 100), "")</f>
        <v/>
      </c>
      <c r="FQ162" s="27" t="str">
        <f>IF(SnapshotTable[[#This Row],[SC Is Booked]],SnapshotTable[[#This Row],[SC Time Val]] /SnapshotTable[[#This Row],[SC Basis]], "")</f>
        <v/>
      </c>
      <c r="FR162" s="27" t="str" cm="1">
        <f t="array" ref="FR162">IF(AND(ISNUMBER(SnapshotTable[[#This Row],[SC Term]]),ISNUMBER(SnapshotTable[[#This Row],[SC Simple ROO]])), EllmanAnnualize(SnapshotTable[[#This Row],[SC DTE]], SnapshotTable[[#This Row],[SC Simple ROO]] ),"")</f>
        <v/>
      </c>
      <c r="FS162" s="4">
        <f>IF(SnapshotTable[[#This Row],[SC Strike Price]] &gt; SnapshotTable[[#This Row],[Last Price]], SnapshotTable[[#This Row],[SC Strike Price]] - SnapshotTable[[#This Row],[Last Price]],0)</f>
        <v>0</v>
      </c>
      <c r="FT162" s="27" t="str">
        <f>IF(AND(ISNUMBER(SnapshotTable[[#This Row],[SC Upside Potential]]), SnapshotTable[[#This Row],[SC Upside Potential]] &gt; 0),(SnapshotTable[[#This Row],[SC Upside Potential]]/ SnapshotTable[[#This Row],[ACB]]),"")</f>
        <v/>
      </c>
      <c r="FU162" s="304" t="str">
        <f>IF(SnapshotTable[[#This Row],[SC Intrinsic Value]] &gt; 0,SnapshotTable[[#This Row],[SC Intrinsic Value]],"")</f>
        <v/>
      </c>
      <c r="FV162" s="27" t="str">
        <f>IF(AND( ISNUMBER( SnapshotTable[[#This Row],[ACB]]),ISNUMBER(SnapshotTable[[#This Row],[SC Downside Protect]])),SnapshotTable[[#This Row],[SC Downside Protect]] / SnapshotTable[[#This Row],[ACB]],"")</f>
        <v/>
      </c>
      <c r="FW162" s="221" t="str">
        <f>IF(AND(ISNUMBER(SnapshotTable[[#This Row],[SC Simple ROO]]),SnapshotTable[[#This Row],[SC Simple ROO]] &gt; 0), SnapshotTable[[#This Row],[SC Premium]] + (SnapshotTable[[#This Row],[SC Qty]] * SnapshotTable[[#This Row],[SC Upside Potential]]), "")</f>
        <v/>
      </c>
      <c r="FX162" s="280" t="str" cm="1">
        <f t="array" ref="FX162">IF(ISNUMBER(SnapshotTable[[#This Row],[SC Max Dollars]]), annualize(SnapshotTable[[#This Row],[SC Term]],(SnapshotTable[[#This Row],[SC Max Dollars]]/SnapshotTable[[#This Row],[SC Basis]])),"")</f>
        <v/>
      </c>
      <c r="FY162" s="221" t="str">
        <f>IF(AND(SnapshotTable[[#This Row],[SC Qty]]&gt;0,SnapshotTable[[#This Row],[SC Current Ask]]&gt;0), SnapshotTable[[#This Row],[SC Qty]] * SnapshotTable[[#This Row],[SC Current Ask]] * -100, "")</f>
        <v/>
      </c>
      <c r="FZ162" s="31" t="str">
        <f>IF(ISNUMBER((SnapshotTable[[#This Row],[SC Current Value]])), SnapshotTable[[#This Row],[SC Premium]] + SnapshotTable[[#This Row],[SC Current Value]], "")</f>
        <v/>
      </c>
      <c r="GA162" s="272" t="str">
        <f>IFERROR( IF(ISNUMBER((SnapshotTable[[#This Row],[SC Current Value]])), SnapshotTable[[#This Row],[SC Gain Loss]] / SnapshotTable[[#This Row],[SC Premium]], ""), "")</f>
        <v/>
      </c>
      <c r="GB162" s="42">
        <f>SnapshotTable[[#This Row],[Equity Shares]] * SaleSharesToConsiderPercentage</f>
        <v>0</v>
      </c>
      <c r="GC162" s="40">
        <f>SnapshotTable[[#This Row],[Long Term Target]] * SellingPriceToConsiderBasedOnTargetPercentage</f>
        <v>0</v>
      </c>
      <c r="GD162" s="40">
        <f>SnapshotTable[[#This Row],[Last Price]] * (1+ SellingPriceToConsiderBasedOnTargetPercentage)</f>
        <v>61.405499999999996</v>
      </c>
      <c r="GE162" s="41"/>
      <c r="GF162" s="40"/>
      <c r="GG162" s="31">
        <f>SnapshotTable[[#This Row],[Booked Sale Shares]] * SnapshotTable[[#This Row],[Booked Sale Price]]</f>
        <v>0</v>
      </c>
      <c r="GH162" s="31" t="str">
        <f>IF(SnapshotTable[[#This Row],[Equity Basis Total]] &gt; 0, SnapshotTable[[#This Row],[Equity Basis Per Share]] * SnapshotTable[[#This Row],[Booked Sale Shares]], "")</f>
        <v/>
      </c>
      <c r="GI162" s="31">
        <f>IF(SnapshotTable[[#This Row],[Sale Proceeds]]&gt;0, SnapshotTable[[#This Row],[Sale Proceeds]] - SnapshotTable[[#This Row],[Sale Basis]], 0)</f>
        <v>0</v>
      </c>
      <c r="GJ162" s="27" t="str">
        <f>IF(SnapshotTable[[#This Row],[Sale G/L]]&gt;0, SnapshotTable[[#This Row],[Sale G/L]] / SnapshotTable[[#This Row],[Sale Basis]], IF(ISNUMBER(SnapshotTable[[#This Row],[SC Exercise P&amp;L (TAX)]]), SnapshotTable[[#This Row],[SC Exercise P&amp;L (TAX)]] / SnapshotTable[[#This Row],[SC Basis]], ""))</f>
        <v/>
      </c>
      <c r="GK162" s="27"/>
      <c r="GL162" s="43" t="str">
        <f>IF(AND(SnapshotTable[[#This Row],[LP Exp Date]]&gt;0,SnapshotTable[[#This Row],[LP Strike Price]]&gt;0), [1]!ToOptionSymbol(SnapshotTable[[#This Row],[Symbol]], SnapshotTable[[#This Row],[LP Strike Price]],SnapshotTable[[#This Row],[LP Exp Date]],1), "")</f>
        <v/>
      </c>
      <c r="GM162" s="30" t="str">
        <f>IF(LEN(SnapshotTable[[#This Row],[LP Symbol]])&gt;0, 1, "")</f>
        <v/>
      </c>
      <c r="GN162" s="43" t="str">
        <f>IF(AND(SnapshotTable[[#This Row],[SP Exp Date]]&gt;0,SnapshotTable[[#This Row],[SP Strike Price]]&gt;0), [1]!ToOptionSymbol(SnapshotTable[[#This Row],[Symbol]], SnapshotTable[[#This Row],[SP Strike Price]],SnapshotTable[[#This Row],[SP Exp Date]],1), "")</f>
        <v/>
      </c>
      <c r="GO162" s="30" t="str">
        <f>IF(LEN(SnapshotTable[[#This Row],[SP Symbol]])&gt;0, 1, "")</f>
        <v/>
      </c>
      <c r="GP162" s="43" t="str">
        <f>IF(AND(SnapshotTable[[#This Row],[LC Exp Date]]&gt;0,SnapshotTable[[#This Row],[LC Strike Price]]&gt;0), [1]!ToOptionSymbol(SnapshotTable[[#This Row],[Symbol]], SnapshotTable[[#This Row],[LC Strike Price]],SnapshotTable[[#This Row],[LC Exp Date]],0), "")</f>
        <v/>
      </c>
      <c r="GQ162" s="30" t="str">
        <f>IF(LEN(SnapshotTable[[#This Row],[LC Symbol]])&gt;0, 1, "")</f>
        <v/>
      </c>
      <c r="GR162" s="43" t="str">
        <f>IF(AND(SnapshotTable[[#This Row],[SC Exp Date]]&gt;0,SnapshotTable[[#This Row],[SC Strike Price]]&gt;0), [1]!ToOptionSymbol(SnapshotTable[[#This Row],[Symbol]], SnapshotTable[[#This Row],[SC Strike Price]],SnapshotTable[[#This Row],[SC Exp Date]],0), "")</f>
        <v/>
      </c>
      <c r="GS162" s="30" t="str">
        <f>IF(LEN(SnapshotTable[[#This Row],[SC Symbol]])&gt;0, 1, "")</f>
        <v/>
      </c>
      <c r="GT162" s="29" t="str">
        <f>IF(COUNT(SnapshotTable[[#This Row],[LP Symbol Count]],SnapshotTable[[#This Row],[SP Symbol Count]],SnapshotTable[[#This Row],[LC Symbol Count]],SnapshotTable[[#This Row],[SC Symbol Count]])&gt;0, "Y", "")</f>
        <v/>
      </c>
      <c r="GU16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2" s="216">
        <f>MAX(SnapshotTable[[#This Row],[Equity Basis Total]],SnapshotTable[[#This Row],[Equity Value]]) + (SnapshotTable[[#This Row],[SP Potential Spend]]- SnapshotTable[[#This Row],[SP Premium]] + SnapshotTable[[#This Row],[LP Premium]])+ (SnapshotTable[[#This Row],[LC Premium]] - SnapshotTable[[#This Row],[SC Premium]])</f>
        <v>0</v>
      </c>
      <c r="GW162" s="137" t="str">
        <f>IF(AND(SnapshotTable[[#This Row],[Exposure]] &lt;&gt; 0),SnapshotTable[[#This Row],[Exposure]] / SnapshotTable[[#Totals],[Exposure]], "")</f>
        <v/>
      </c>
      <c r="HE162" s="253"/>
      <c r="HF162" s="253"/>
      <c r="HK162" s="1"/>
      <c r="HL162" s="1"/>
      <c r="HM162" s="1"/>
      <c r="HN162" s="1"/>
      <c r="HO162" s="1"/>
      <c r="HP162" s="1"/>
    </row>
    <row r="163" spans="2:224" ht="12.75" hidden="1" customHeight="1" x14ac:dyDescent="0.25">
      <c r="B163" s="12" t="s">
        <v>981</v>
      </c>
      <c r="C163" s="385">
        <v>10.17</v>
      </c>
      <c r="D163" s="200"/>
      <c r="E163" s="39">
        <f>SnapshotTable[[#This Row],[Last Price]]*(1 -CrashDiscount)</f>
        <v>8.644499999999999</v>
      </c>
      <c r="F163" s="296" t="s">
        <v>712</v>
      </c>
      <c r="G163" s="296" t="s">
        <v>678</v>
      </c>
      <c r="H163" s="147"/>
      <c r="I163" s="186"/>
      <c r="J163" s="187"/>
      <c r="K163" s="188"/>
      <c r="L163" s="297"/>
      <c r="M163" s="138"/>
      <c r="N163" s="138"/>
      <c r="O163" s="138"/>
      <c r="P163" s="22"/>
      <c r="Q163" s="25"/>
      <c r="R163" s="4" t="str">
        <f>IF(SnapshotTable[[#This Row],[Equity Basis Total]] &gt; 0, SnapshotTable[[#This Row],[Equity Basis Total]] / SnapshotTable[[#This Row],[Equity Shares]], "")</f>
        <v/>
      </c>
      <c r="S163" s="254">
        <f>SnapshotTable[[#This Row],[Last Price]] * SnapshotTable[[#This Row],[Equity Shares]]</f>
        <v>0</v>
      </c>
      <c r="T163" s="254">
        <f>SnapshotTable[[#This Row],[Equity Value]] - SnapshotTable[[#This Row],[Equity Basis Total]]</f>
        <v>0</v>
      </c>
      <c r="U163" s="255" t="str">
        <f>IF(SnapshotTable[[#This Row],[Equity Basis Total]] &gt; 0, SnapshotTable[[#This Row],[Equity G/L]] / SnapshotTable[[#This Row],[Equity Basis Total]], "")</f>
        <v/>
      </c>
      <c r="V163" s="253">
        <v>24.5</v>
      </c>
      <c r="W163" s="253">
        <v>18.95</v>
      </c>
      <c r="X163" s="4" t="str">
        <f>IF(AND(ISNUMBER(SnapshotTable[[#This Row],[Equity Basis Per Share]]),ISNUMBER(SnapshotTable[[#This Row],[Equity Target]])),SnapshotTable[[#This Row],[Equity Target]]-SnapshotTable[[#This Row],[Equity Basis Per Share]],"")</f>
        <v/>
      </c>
      <c r="Y163" s="4" t="str">
        <f>IF(AND(ISNUMBER(SnapshotTable[[#This Row],[Equity Basis Per Share]]),ISNUMBER(SnapshotTable[[#This Row],[Equity Stop Loss]])),SnapshotTable[[#This Row],[Equity Stop Loss]]-SnapshotTable[[#This Row],[Equity Basis Per Share]],"")</f>
        <v/>
      </c>
      <c r="Z163" s="260" t="str">
        <f>IFERROR( TEXT(SnapshotTable[[#This Row],[Equity Max Gain Per Share]] /ABS( SnapshotTable[[#This Row],[Equity Max Loss Per Share]]),"0.0 " ) &amp; " : 1", "")</f>
        <v/>
      </c>
      <c r="AA163" s="31" t="str">
        <f>IF(ISNUMBER(SnapshotTable[[#This Row],[Equity Max Gain Per Share]]),SnapshotTable[[#This Row],[Equity Max Gain Per Share]] * SnapshotTable[[#This Row],[Equity Shares]],"")</f>
        <v/>
      </c>
      <c r="AB163" s="31" t="str">
        <f>IF(ISNUMBER(SnapshotTable[[#This Row],[Equity Max Loss Per Share]]),SnapshotTable[[#This Row],[Equity Max Loss Per Share]] * SnapshotTable[[#This Row],[Equity Shares]],"")</f>
        <v/>
      </c>
      <c r="AC163" s="148"/>
      <c r="AD163" s="149"/>
      <c r="AE163" s="31">
        <f>(SnapshotTable[[#This Row],[Annual Dividend Per Share]] / 4) * SnapshotTable[[#This Row],[Equity Shares]]</f>
        <v>0</v>
      </c>
      <c r="AF163" s="31">
        <f>SnapshotTable[[#This Row],[Quarterly Div $]] * 4</f>
        <v>0</v>
      </c>
      <c r="AG163" s="7">
        <f>IF(SnapshotTable[[#This Row],[Annual Dividend Per Share]]&gt;0, SnapshotTable[[#This Row],[Annual Dividend Per Share]]  / SnapshotTable[[#This Row],[Last Price]], 0)</f>
        <v>0</v>
      </c>
      <c r="AH163" s="149"/>
      <c r="AI163" s="5"/>
      <c r="AJ163" s="136"/>
      <c r="AK163" s="150" t="str">
        <f>IF(ISNUMBER( SnapshotTable[[#This Row],[EBF Target]]),(SnapshotTable[[#This Row],[EBF Target]] - SnapshotTable[[#This Row],[Last Price]]) / SnapshotTable[[#This Row],[Last Price]], "")</f>
        <v/>
      </c>
      <c r="AL163" s="150" t="str">
        <f>IF(AND(SnapshotTable[[#This Row],[Equity Basis Total]] &gt; 0,ISNUMBER( SnapshotTable[[#This Row],[Long Term Target]])), SnapshotTable[[#This Row],[From Basis $]] / SnapshotTable[[#This Row],[Equity Basis Total]], "")</f>
        <v/>
      </c>
      <c r="AM163" s="9">
        <f>IF( AND(SnapshotTable[[#This Row],[Equity Shares]] &gt;0,ISNUMBER( SnapshotTable[[#This Row],[Long Term Target]])),(SnapshotTable[[#This Row],[Equity Shares]] * SnapshotTable[[#This Row],[Long Term Target]]) - SnapshotTable[[#This Row],[Equity Basis Total]],0)</f>
        <v>0</v>
      </c>
      <c r="AN163" s="9">
        <f>IF( AND(SnapshotTable[[#This Row],[Equity Shares]] &gt;0,ISNUMBER( SnapshotTable[[#This Row],[Long Term Target]])),(SnapshotTable[[#This Row],[Equity Shares]]*SnapshotTable[[#This Row],[Long Term Target]]) - SnapshotTable[[#This Row],[Equity Value]],0)</f>
        <v>0</v>
      </c>
      <c r="AO163" s="150" t="str">
        <f>IF(AND(ISNUMBER( SnapshotTable[[#This Row],[Long Term Target]]), ISNUMBER(SnapshotTable[[#This Row],[Last Price]])),(SnapshotTable[[#This Row],[Long Term Target]] - SnapshotTable[[#This Row],[Last Price]]) / SnapshotTable[[#This Row],[Last Price]], "")</f>
        <v/>
      </c>
      <c r="AP163" s="5"/>
      <c r="AQ163" s="38"/>
      <c r="AR163" s="5"/>
      <c r="AS163" s="38"/>
      <c r="AT163" s="144"/>
      <c r="AU163" s="185" t="str">
        <f>IF(OR(SnapshotTable[[#This Row],[LP No Fill]]="Y",SnapshotTable[[#This Row],[SP Is Filled]],SnapshotTable[[#This Row],[LC Not Filled]]="Y",SnapshotTable[[#This Row],[SC Is Filled]]),"Y","")</f>
        <v/>
      </c>
      <c r="AV163" s="205"/>
      <c r="AW163" s="211"/>
      <c r="AX163" s="206"/>
      <c r="AY163" s="205" t="str">
        <f>IF(SnapshotTable[[#This Row],[Implied Move]]&gt;0, SnapshotTable[[#This Row],[Last Price]]-SnapshotTable[[#This Row],[Implied Move]],"")</f>
        <v/>
      </c>
      <c r="AZ163" s="205" t="str">
        <f>IF(SnapshotTable[[#This Row],[Implied Move]]&gt;0, SnapshotTable[[#This Row],[Last Price]] + SnapshotTable[[#This Row],[Implied Move]],"")</f>
        <v/>
      </c>
      <c r="BA163" s="302">
        <v>20.85</v>
      </c>
      <c r="BB163" s="367"/>
      <c r="BC16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3" s="321"/>
      <c r="BE163" s="5"/>
      <c r="BF163" s="14"/>
      <c r="BG163" s="13"/>
      <c r="BH163" s="13"/>
      <c r="BI163" s="5"/>
      <c r="BJ163" s="134">
        <f>IF(SnapshotTable[[#This Row],[LP Qty]] &gt; 0, SnapshotTable[[#This Row],[LP Qty]] * SnapshotTable[[#This Row],[LP Book Price]] * 100,0)</f>
        <v>0</v>
      </c>
      <c r="BK163" s="134">
        <f>IF(SnapshotTable[[#This Row],[LP Premium]] &gt; 0, SnapshotTable[[#This Row],[LP Qty]] * SnapshotTable[[#This Row],[LP Strike Price]] * 100,0)</f>
        <v>0</v>
      </c>
      <c r="BL163" s="152"/>
      <c r="BM163" s="355" t="str">
        <f>IF(SnapshotTable[[#This Row],[LP Premium]] &gt; 0,SnapshotTable[[#This Row],[LP Exp Date]]-MAX(SnapshotTable[[#This Row],[LP Book Date]], SnapshotTable[[#This Row],[LP Fill Date]]),"")</f>
        <v/>
      </c>
      <c r="BN163" s="355" t="str">
        <f>IF(ISNUMBER( SnapshotTable[[#This Row],[LP Term]]), SnapshotTable[[#This Row],[LP Exp Date]] - MockToday,"")</f>
        <v/>
      </c>
      <c r="BO163" s="161" t="str">
        <f>IF(AND(SnapshotTable[[#This Row],[LP Exp Date]]&gt;0, SnapshotTable[[#This Row],[LP Strike Price]]&gt;0,SnapshotTable[[#This Row],[LP Qty]]&gt;0,SnapshotTable[[#This Row],[LP Book Date]]&gt;0,SnapshotTable[[#This Row],[LP Book Price]]&gt;0,SnapshotTable[[#This Row],[LP Fill Date]]=0),"Y","")</f>
        <v/>
      </c>
      <c r="BP163" s="31" t="str">
        <f>IF(AND(SnapshotTable[[#This Row],[LP No Fill]]&lt;&gt;"Y",SnapshotTable[[#This Row],[LP Contract Value]]&gt;0, SnapshotTable[[#This Row],[LP Qty]]&gt;0), SnapshotTable[[#This Row],[LP Contract Value]]*SnapshotTable[[#This Row],[LP Qty]]*100,"")</f>
        <v/>
      </c>
      <c r="BQ163" s="13"/>
      <c r="BR163" s="5"/>
      <c r="BS163" s="36"/>
      <c r="BT163" s="145"/>
      <c r="BU163" s="13"/>
      <c r="BV163" s="5"/>
      <c r="BW163" s="382" t="b">
        <f>AND(ISNUMBER(SnapshotTable[[#This Row],[SP Exp Date]]), ISNUMBER(SnapshotTable[[#This Row],[SP Strike Price]]), ISNUMBER(SnapshotTable[[#This Row],[SP Qty]]), ISNUMBER(SnapshotTable[[#This Row],[SP Book Date]]), ISNUMBER(SnapshotTable[[#This Row],[SP Book Price]]))</f>
        <v>0</v>
      </c>
      <c r="BX163" s="382" t="b">
        <f>AND(SnapshotTable[[#This Row],[SP Is Booked]], NOT(ISBLANK(SnapshotTable[[#This Row],[SP Fill Date]])))</f>
        <v>0</v>
      </c>
      <c r="BY163" s="33">
        <f>IF(SnapshotTable[[#This Row],[SP Is Booked]], SnapshotTable[[#This Row],[SP Qty]] * SnapshotTable[[#This Row],[SP Book Price]] * 100, 0)</f>
        <v>0</v>
      </c>
      <c r="BZ163" s="339"/>
      <c r="CA163" s="338">
        <f>SnapshotTable[[#This Row],[LP Qty]]</f>
        <v>0</v>
      </c>
      <c r="CB163" s="4" t="str">
        <f>IF(SnapshotTable[[#This Row],[SP Is Booked]], SnapshotTable[[#This Row],[SP Strike Price]] - SnapshotTable[[#This Row],[SP Book Price]], "")</f>
        <v/>
      </c>
      <c r="CC163" s="19" t="str">
        <f>IF(SnapshotTable[[#This Row],[SP Is Booked]],SnapshotTable[[#This Row],[SP Exp Date]]-MAX(SnapshotTable[[#This Row],[SP Book Date]], SnapshotTable[[#This Row],[SP Fill Date]]),"")</f>
        <v/>
      </c>
      <c r="CD163" s="7" t="str">
        <f>IF(SnapshotTable[[#This Row],[SP Is Booked]], SnapshotTable[[#This Row],[SP Book Price]]/SnapshotTable[[#This Row],[SP Strike Price]], "")</f>
        <v/>
      </c>
      <c r="CE163" s="7" t="str">
        <f>IF(ISNUMBER(SnapshotTable[[#This Row],[SP ROO Term]]),SnapshotTable[[#This Row],[SP ROO Term]]*(365/SnapshotTable[[#This Row],[SP Term]]),"")</f>
        <v/>
      </c>
      <c r="CF163" s="221">
        <f>SnapshotTable[[#This Row],[LP Strike Price]] * SnapshotTable[[#This Row],[LP Qty]] * 100</f>
        <v>0</v>
      </c>
      <c r="CG163" s="31">
        <f>IF(ISNUMBER(SnapshotTable[[#This Row],[SP Premium]]), (SnapshotTable[[#This Row],[SP Qty]] * SnapshotTable[[#This Row],[SP Strike Price]]* 100) - SnapshotTable[[#This Row],[LP Protection]], 0)</f>
        <v>0</v>
      </c>
      <c r="CH163" s="7" t="str">
        <f>IF(ISNUMBER(SnapshotTable[[#This Row],[SP Break Even]]),-1 * (SnapshotTable[[#This Row],[SP Break Even]] - SnapshotTable[[#This Row],[Last Price]]) / SnapshotTable[[#This Row],[Last Price]], "")</f>
        <v/>
      </c>
      <c r="CI163" s="31">
        <f>IF(AND(ISNUMBER((SnapshotTable[[#This Row],[SP Potential Spend]])), SnapshotTable[[#This Row],[SP Strike Price]] &gt; SnapshotTable[[#This Row],[Last Price]], SnapshotTable[[#This Row],[SP Is Filled]]), SnapshotTable[[#This Row],[SP Potential Spend]] -  SnapshotTable[[#This Row],[LP Max Value]], 0)</f>
        <v>0</v>
      </c>
      <c r="CJ163" s="229"/>
      <c r="CK163" s="31">
        <f>IF(ISNUMBER(SnapshotTable[[#This Row],[SP Potential Spend]]),IF(ISNUMBER(SnapshotTable[[#This Row],[SP POW]]), SnapshotTable[[#This Row],[SP POW]] * SnapshotTable[[#This Row],[SP Potential Spend]], SnapshotTable[[#This Row],[SP Potential Spend]]), "")</f>
        <v>0</v>
      </c>
      <c r="CL163" s="162">
        <f>IF(NOT(SnapshotTable[[#This Row],[SP Is Filled]]),(SnapshotTable[[#This Row],[SP Qty]] * SnapshotTable[[#This Row],[SP Strike Price]] * 100) - SnapshotTable[[#This Row],[LP Max Value]],"")</f>
        <v>0</v>
      </c>
      <c r="CM163" s="31" t="str">
        <f>IF(SnapshotTable[[#This Row],[SP Actual Spend]]&lt;&gt;0, ((SnapshotTable[[#This Row],[SP Strike Price]]-SnapshotTable[[#This Row],[Last Price]]) *(SnapshotTable[[#This Row],[SP Qty]]*100) - SnapshotTable[[#This Row],[SP Premium]]) * - 1, "")</f>
        <v/>
      </c>
      <c r="CN163" s="76"/>
      <c r="CO163" s="339"/>
      <c r="CP163" s="4" t="str">
        <f>IF(SnapshotTable[[#This Row],[SP Is Filled]], btc_max_buyback_amount(SnapshotTable[[#This Row],[SP Fill Date]],SnapshotTable[[#This Row],[SP Exp Date]], SnapshotTable[[#This Row],[SP Book Price]]),"")</f>
        <v/>
      </c>
      <c r="CQ163" s="76"/>
      <c r="CR16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3" s="153" t="str">
        <f>IF(SnapshotTable[[#This Row],[SP Is Filled]], btc_next_cutoff_date(SnapshotTable[[#This Row],[SP Fill Date]],SnapshotTable[[#This Row],[SP Exp Date]]),"")</f>
        <v/>
      </c>
      <c r="CT163" s="220" t="str" cm="1">
        <f t="array" ref="CT163">IF(SnapshotTable[[#This Row],[SP Is Filled]], btc_should_buy_back(SnapshotTable[[#This Row],[SP Fill Date]], SnapshotTable[[#This Row],[SP Exp Date]], SnapshotTable[[#This Row],[SP Book Price]], SnapshotTable[[#This Row],[SP Current Ask]], MockToday, SnapshotTable[[#This Row],[SP Buyback Override]]),"")</f>
        <v/>
      </c>
      <c r="CU163" s="141"/>
      <c r="CV163" s="220"/>
      <c r="CW163" s="348" t="str">
        <f>IF(ISNUMBER( SnapshotTable[[#This Row],[SP Term]]), SnapshotTable[[#This Row],[SP Exp Date]] - MockToday,"")</f>
        <v/>
      </c>
      <c r="CX163" s="31" t="str">
        <f>IF(SnapshotTable[[#This Row],[SP Is Filled]],SnapshotTable[[#This Row],[SP Buyback Price to Use]] * 100 * SnapshotTable[[#This Row],[SP Qty]], "")</f>
        <v/>
      </c>
      <c r="CY163" s="4" t="str">
        <f>IF(ISNUMBER(SnapshotTable[[#This Row],[SP Strike Price]]), SnapshotTable[[#This Row],[SP Strike Price]] * (1 - SP_MaxLoss_StrikePct), "")</f>
        <v/>
      </c>
      <c r="CZ163" s="31" t="str">
        <f>IF(ISNUMBER(SnapshotTable[[#This Row],[SP Strike  Stop Per Share]]),SnapshotTable[[#This Row],[SP Premium]] - ((SnapshotTable[[#This Row],[SP Strike Price]]-SnapshotTable[[#This Row],[SP Strike  Stop Per Share]]) *(SnapshotTable[[#This Row],[SP Qty]] * 100)),"")</f>
        <v/>
      </c>
      <c r="DA163" s="4" t="str">
        <f>IF(AND(ISNUMBER(SnapshotTable[[#This Row],[SP Premium]]),SnapshotTable[[#This Row],[SP Premium]]&gt;0), SnapshotTable[[#This Row],[SP Book Price]] * (1 + SP_MaxLoss_OptionPct), "")</f>
        <v/>
      </c>
      <c r="DB163" s="31" t="str">
        <f>IF(ISNUMBER(SnapshotTable[[#This Row],[SP Option  Stop Contract]]),(SnapshotTable[[#This Row],[SP Option  Stop Contract]] *(SnapshotTable[[#This Row],[SP Qty]] * 100) - SnapshotTable[[#This Row],[SP Premium]]),"")</f>
        <v/>
      </c>
      <c r="DC163" s="4"/>
      <c r="DD163" s="4"/>
      <c r="DE163" s="4" t="str">
        <f>IF(AND(SnapshotTable[[#This Row],[SP Qty]]&gt;0, SnapshotTable[[#This Row],[SP Stop To Use]]&gt;0),SnapshotTable[[#This Row],[SP Premium]] - ( SnapshotTable[[#This Row],[SP Qty]] * SnapshotTable[[#This Row],[SP Stop To Use]] * 100), "")</f>
        <v/>
      </c>
      <c r="DF163" s="31" t="str">
        <f>IF(AND(SnapshotTable[[#This Row],[SP Qty]]&gt;0,SnapshotTable[[#This Row],[SP Current Ask]]&gt;0), SnapshotTable[[#This Row],[SP Qty]] * SnapshotTable[[#This Row],[SP Current Ask]] * -100, "")</f>
        <v/>
      </c>
      <c r="DG163" s="31" t="str">
        <f>IF(ISNUMBER((SnapshotTable[[#This Row],[SP Total Value]])), SnapshotTable[[#This Row],[SP Premium]] + SnapshotTable[[#This Row],[SP Total Value]], "")</f>
        <v/>
      </c>
      <c r="DH163" s="272" t="str">
        <f>IF(ISNUMBER((SnapshotTable[[#This Row],[SP Total Value]])), SnapshotTable[[#This Row],[SP Gain Loss]] / SnapshotTable[[#This Row],[SP Premium]], "")</f>
        <v/>
      </c>
      <c r="DI163" s="369"/>
      <c r="DJ163" s="136"/>
      <c r="DK163" s="146"/>
      <c r="DL163" s="13"/>
      <c r="DM163" s="13"/>
      <c r="DO163" s="31">
        <f>IF(SnapshotTable[[#This Row],[LC Symbol Count]]=1, SnapshotTable[[#This Row],[LC Qty]] * SnapshotTable[[#This Row],[LC Book Price]] * 100, 0)</f>
        <v>0</v>
      </c>
      <c r="DP163" s="161" t="str">
        <f>IF(AND(SnapshotTable[[#This Row],[LC Exp Date]]&gt;0, SnapshotTable[[#This Row],[LC Strike Price]]&gt;0,SnapshotTable[[#This Row],[LC Qty]]&gt;0,SnapshotTable[[#This Row],[LC Book Date]]&gt;0,SnapshotTable[[#This Row],[LC Book Price]]&gt;0,SnapshotTable[[#This Row],[LC Fill Date]]=0),"Y","")</f>
        <v/>
      </c>
      <c r="DQ163" s="356" t="str">
        <f>IF(SnapshotTable[[#This Row],[LC Premium]] &gt; 0,SnapshotTable[[#This Row],[LC Exp Date]]-MAX(SnapshotTable[[#This Row],[LC Book Date]], SnapshotTable[[#This Row],[LC Fill Date]]),"")</f>
        <v/>
      </c>
      <c r="DR163" s="356" t="str">
        <f>IF(ISNUMBER(SnapshotTable[[#This Row],[LC Term]]), SnapshotTable[[#This Row],[LC Exp Date]] - MockToday, "")</f>
        <v/>
      </c>
      <c r="DS163" s="219" t="str">
        <f>IF(SnapshotTable[[#This Row],[LC Premium]]&gt;0,SnapshotTable[[#This Row],[LC Strike Price]] + SnapshotTable[[#This Row],[LC Book Price]],"")</f>
        <v/>
      </c>
      <c r="DU163" s="9" t="str">
        <f>IF(AND(SnapshotTable[[#This Row],[LC Symbol Count]]&gt;0, SnapshotTable[[#This Row],[LC Contract Value]]&gt;0), SnapshotTable[[#This Row],[LC Contract Value]] * SnapshotTable[[#This Row],[LC Qty]] * 100, "")</f>
        <v/>
      </c>
      <c r="DV163" s="9" t="str">
        <f>IF(AND(ISNUMBER(SnapshotTable[[#This Row],[LC Total Value]]), SnapshotTable[[#This Row],[LC Not Filled]]&lt;&gt;"Y"), SnapshotTable[[#This Row],[LC Total Value]]-SnapshotTable[[#This Row],[LC Premium]],"")</f>
        <v/>
      </c>
      <c r="DW163" s="225" t="str">
        <f>IF(ISNUMBER(SnapshotTable[[#This Row],[LC Actual Gain Loss]]), SnapshotTable[[#This Row],[LC Actual Gain Loss]] / SnapshotTable[[#This Row],[LC Premium]],"")</f>
        <v/>
      </c>
      <c r="DX163" s="269" t="str">
        <f>IF(ISNUMBER(SnapshotTable[[#This Row],[LC Book Price]]),SnapshotTable[[#This Row],[LC Book Price]] * 1.5,"")</f>
        <v/>
      </c>
      <c r="DY163" s="250" t="str">
        <f>IF(SnapshotTable[[#This Row],[LC Premium]]&gt;0, SnapshotTable[[#This Row],[LC Next Target]] * SnapshotTable[[#This Row],[LC Qty]] * 100,"")</f>
        <v/>
      </c>
      <c r="DZ163" s="250" t="str">
        <f>IF(ISNUMBER(SnapshotTable[[#This Row],[LC Target Gross]]), SnapshotTable[[#This Row],[LC Target Gross]] - SnapshotTable[[#This Row],[LC Premium]], "")</f>
        <v/>
      </c>
      <c r="EA163" s="283" t="str">
        <f>IF(ISNUMBER(SnapshotTable[[#This Row],[LC Target Gain Loss]]), SnapshotTable[[#This Row],[LC Target Gain Loss]]/SnapshotTable[[#This Row],[LC Premium]], "")</f>
        <v/>
      </c>
      <c r="EB163" s="247"/>
      <c r="EC163" s="268" t="str">
        <f>IF(SnapshotTable[[#This Row],[LC Premium]]&gt;0, SnapshotTable[[#This Row],[LC Book Price]] * (1 - LC_StopLoss_Pct),"")</f>
        <v/>
      </c>
      <c r="ED163" s="269"/>
      <c r="EE163" s="268" t="str">
        <f>IF(ISNUMBER(SnapshotTable[[#This Row],[LC Contract Value]]),IF(ISNUMBER(SnapshotTable[[#This Row],[LC Stop Loss Override]]), SnapshotTable[[#This Row],[LC Stop Loss Override]],SnapshotTable[[#This Row],[LC Stop Loss Calc Target]]),"")</f>
        <v/>
      </c>
      <c r="EF163" s="31" t="str">
        <f>IF(ISNUMBER(SnapshotTable[[#This Row],[LC Stop  To Use]]), (SnapshotTable[[#This Row],[LC Stop  To Use]] * SnapshotTable[[#This Row],[LC Qty]] * 100),"")</f>
        <v/>
      </c>
      <c r="EG163" s="9" t="str">
        <f>IF(ISNUMBER(SnapshotTable[[#This Row],[LC Total Value]]),SnapshotTable[[#This Row],[LC Stop Loss Amount]] - SnapshotTable[[#This Row],[LC Premium]],"")</f>
        <v/>
      </c>
      <c r="EH163" s="9">
        <f>IF(ISNUMBER(SnapshotTable[[#This Row],[LC Premium]]), SnapshotTable[[#This Row],[LC Qty]] * 100 * SnapshotTable[[#This Row],[LC Strike Price]], "")</f>
        <v>0</v>
      </c>
      <c r="EI163" s="225" t="str">
        <f>IF(AND(ISNUMBER(SnapshotTable[[#This Row],[LC Total Value]]),SnapshotTable[[#This Row],[LC Total Value]]&gt;0),SnapshotTable[[#This Row],[LC Stop Gain Loss]]  / SnapshotTable[[#This Row],[LC Premium]],"")</f>
        <v/>
      </c>
      <c r="EJ163" s="35">
        <f>IF(ISNUMBER(SnapshotTable[[#This Row],[Equity Shares]]),TRUNC(SnapshotTable[[#This Row],[Equity Shares]] / 100),0) + SnapshotTable[[#This Row],[LC Qty]]</f>
        <v>0</v>
      </c>
      <c r="EK163" s="145"/>
      <c r="EL163" s="136"/>
      <c r="EM163" s="146"/>
      <c r="EN163" s="145"/>
      <c r="EO163" s="145"/>
      <c r="EP163" s="136"/>
      <c r="EQ163" s="382" t="b">
        <f>AND(ISNUMBER(SnapshotTable[[#This Row],[SC Exp Date]]), ISNUMBER(SnapshotTable[[#This Row],[SC Strike Price]]), ISNUMBER(SnapshotTable[[#This Row],[SC Qty]]), ISNUMBER(SnapshotTable[[#This Row],[SC Book Date]]), ISNUMBER(SnapshotTable[[#This Row],[SC Book Price]]))</f>
        <v>0</v>
      </c>
      <c r="ER163" s="382" t="b">
        <f>AND(SnapshotTable[[#This Row],[SC Is Booked]], NOT(ISBLANK(SnapshotTable[[#This Row],[SC Fill Date]])))</f>
        <v>0</v>
      </c>
      <c r="ES163" s="340"/>
      <c r="ET163" s="34" t="str">
        <f>IF(AND(ISNUMBER(SnapshotTable[[#This Row],[SC Exp Date]]), ISNUMBER(SnapshotTable[[#This Row],[SC Book Date]])), SnapshotTable[[#This Row],[SC Exp Date]] - MAX(SnapshotTable[[#This Row],[SC Book Date]], SnapshotTable[[#This Row],[SC Fill Date]]) + 1, "")</f>
        <v/>
      </c>
      <c r="EU163" s="34" t="str">
        <f>IF(ISNUMBER(SnapshotTable[[#This Row],[SC Term]]), SnapshotTable[[#This Row],[SC Exp Date]]- MockToday, "")</f>
        <v/>
      </c>
      <c r="EV163" s="31">
        <f>IF(SnapshotTable[[#This Row],[SC Is Booked]], SnapshotTable[[#This Row],[SC Qty]] * SnapshotTable[[#This Row],[SC Book Price]] * 100, 0)</f>
        <v>0</v>
      </c>
      <c r="EW163" s="4" t="str">
        <f>IF(AND(ISNUMBER(SnapshotTable[[#This Row],[Last Price]]), ISNUMBER( SnapshotTable[[#This Row],[SC Book Price]])), SnapshotTable[[#This Row],[Last Price]] - SnapshotTable[[#This Row],[SC Book Price]],"")</f>
        <v/>
      </c>
      <c r="EX163" s="219" t="str">
        <f>IF(SnapshotTable[[#This Row],[SC Is Booked]],IF(SnapshotTable[[#This Row],[SC Intrinsic Value]] &gt; 0, SnapshotTable[[#This Row],[SC Strike Price]], SnapshotTable[[#This Row],[Last Price]]), "")</f>
        <v/>
      </c>
      <c r="EY163" s="4">
        <f>IF(SnapshotTable[[#This Row],[SC Is Booked]], (MinimumPremiumRequired * SnapshotTable[[#This Row],[SC Basis]] * SnapshotTable[[#This Row],[SC Term]]), 0)</f>
        <v>0</v>
      </c>
      <c r="EZ163" s="268"/>
      <c r="FA163" s="204"/>
      <c r="FB163" s="340"/>
      <c r="FC163" s="4">
        <f>IF(SnapshotTable[[#This Row],[SC Is Filled]], btc_max_buyback_amount(SnapshotTable[[#This Row],[SC Fill Date]],SnapshotTable[[#This Row],[SC Exp Date]], SnapshotTable[[#This Row],[SC Book Price]]),0)</f>
        <v>0</v>
      </c>
      <c r="FD163" s="5"/>
      <c r="FE163" s="142" t="str">
        <f>IF(SnapshotTable[[#This Row],[SC Is Filled]], btc_next_cutoff_date(SnapshotTable[[#This Row],[SC Fill Date]],SnapshotTable[[#This Row],[SC Exp Date]]),"")</f>
        <v/>
      </c>
      <c r="FF163" s="4" t="str" cm="1">
        <f t="array" ref="FF163">IF(SnapshotTable[[#This Row],[SC Is Filled]], btc_should_buy_back(SnapshotTable[[#This Row],[SC Fill Date]], SnapshotTable[[#This Row],[SC Exp Date]], SnapshotTable[[#This Row],[SC Book Price]], SnapshotTable[[#This Row],[SC Current Ask]], MockToday, SnapshotTable[[#This Row],[SC Buyback Override]]),"")</f>
        <v/>
      </c>
      <c r="FG163" s="4">
        <f>IF(SnapshotTable[[#This Row],[SC Is Filled]], MAX(0,SnapshotTable[[#This Row],[Last Price]]  - SnapshotTable[[#This Row],[SC Strike Price]]), 0)</f>
        <v>0</v>
      </c>
      <c r="FH163" s="352">
        <f>IF(SnapshotTable[[#This Row],[SC Is Filled]], IF(ISNUMBER(SnapshotTable[[#This Row],[SC Current Ask]]), SnapshotTable[[#This Row],[SC Current Ask]], SnapshotTable[[#This Row],[SC Book Price]]) - SnapshotTable[[#This Row],[SC Intrinsic Value]], 0)</f>
        <v>0</v>
      </c>
      <c r="FI163" s="141"/>
      <c r="FJ163" s="32" t="str">
        <f>IF(SnapshotTable[[#This Row],[SC Is Filled]],100 * SnapshotTable[[#This Row],[SC Qty]] * IF(ISNUMBER(SnapshotTable[[#This Row],[SC Buyback Override]]), SnapshotTable[[#This Row],[SC Buyback Override]], SnapshotTable[[#This Row],[SC Current Ask]]), "")</f>
        <v/>
      </c>
      <c r="FK163" s="235" t="str">
        <f>IF(SnapshotTable[[#This Row],[SC Time Val]]&gt;0, SnapshotTable[[#This Row],[SC Time Val]] / SnapshotTable[[#This Row],[Last Price]],"")</f>
        <v/>
      </c>
      <c r="FL163" s="280" t="str">
        <f>IF(SnapshotTable[[#This Row],[SC Is Booked]], ((SnapshotTable[[#This Row],[Last Price]] -SnapshotTable[[#This Row],[SC Strike Price]]) / SnapshotTable[[#This Row],[Last Price]]) * -1, "")</f>
        <v/>
      </c>
      <c r="FM163" s="155" t="str">
        <f>IF(SnapshotTable[[#This Row],[SC Is Booked]],  (SnapshotTable[[#This Row],[SC Qty]] * 100 * SnapshotTable[[#This Row],[SC Strike Price]]) - SnapshotTable[[#This Row],[SC Current Ask]], "")</f>
        <v/>
      </c>
      <c r="FN16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3" s="31" t="str">
        <f>IF(AND(ISNUMBER(SnapshotTable[[#This Row],[SC Exercise Gross]]), ISNUMBER(SnapshotTable[[#This Row],[Equity Basis Per Share]] )), SnapshotTable[[#This Row],[SC Exercise Gross]] - SnapshotTable[[#This Row],[Equity Basis Total]] +  SnapshotTable[[#This Row],[SC Premium]], "")</f>
        <v/>
      </c>
      <c r="FP163" s="5" t="str">
        <f>IF(ISNUMBER(SnapshotTable[[#This Row],[SC Exercise Gross]]), (SnapshotTable[[#This Row],[SC Exercise Gross]]) / (SnapshotTable[[#This Row],[SC Qty]] * 100), "")</f>
        <v/>
      </c>
      <c r="FQ163" s="27" t="str">
        <f>IF(SnapshotTable[[#This Row],[SC Is Booked]],SnapshotTable[[#This Row],[SC Time Val]] /SnapshotTable[[#This Row],[SC Basis]], "")</f>
        <v/>
      </c>
      <c r="FR163" s="27" t="str" cm="1">
        <f t="array" ref="FR163">IF(AND(ISNUMBER(SnapshotTable[[#This Row],[SC Term]]),ISNUMBER(SnapshotTable[[#This Row],[SC Simple ROO]])), EllmanAnnualize(SnapshotTable[[#This Row],[SC DTE]], SnapshotTable[[#This Row],[SC Simple ROO]] ),"")</f>
        <v/>
      </c>
      <c r="FS163" s="4">
        <f>IF(SnapshotTable[[#This Row],[SC Strike Price]] &gt; SnapshotTable[[#This Row],[Last Price]], SnapshotTable[[#This Row],[SC Strike Price]] - SnapshotTable[[#This Row],[Last Price]],0)</f>
        <v>0</v>
      </c>
      <c r="FT163" s="27" t="str">
        <f>IF(AND(ISNUMBER(SnapshotTable[[#This Row],[SC Upside Potential]]), SnapshotTable[[#This Row],[SC Upside Potential]] &gt; 0),(SnapshotTable[[#This Row],[SC Upside Potential]]/ SnapshotTable[[#This Row],[ACB]]),"")</f>
        <v/>
      </c>
      <c r="FU163" s="304" t="str">
        <f>IF(SnapshotTable[[#This Row],[SC Intrinsic Value]] &gt; 0,SnapshotTable[[#This Row],[SC Intrinsic Value]],"")</f>
        <v/>
      </c>
      <c r="FV163" s="27" t="str">
        <f>IF(AND( ISNUMBER( SnapshotTable[[#This Row],[ACB]]),ISNUMBER(SnapshotTable[[#This Row],[SC Downside Protect]])),SnapshotTable[[#This Row],[SC Downside Protect]] / SnapshotTable[[#This Row],[ACB]],"")</f>
        <v/>
      </c>
      <c r="FW163" s="221" t="str">
        <f>IF(AND(ISNUMBER(SnapshotTable[[#This Row],[SC Simple ROO]]),SnapshotTable[[#This Row],[SC Simple ROO]] &gt; 0), SnapshotTable[[#This Row],[SC Premium]] + (SnapshotTable[[#This Row],[SC Qty]] * SnapshotTable[[#This Row],[SC Upside Potential]]), "")</f>
        <v/>
      </c>
      <c r="FX163" s="280" t="str" cm="1">
        <f t="array" ref="FX163">IF(ISNUMBER(SnapshotTable[[#This Row],[SC Max Dollars]]), annualize(SnapshotTable[[#This Row],[SC Term]],(SnapshotTable[[#This Row],[SC Max Dollars]]/SnapshotTable[[#This Row],[SC Basis]])),"")</f>
        <v/>
      </c>
      <c r="FY163" s="221" t="str">
        <f>IF(AND(SnapshotTable[[#This Row],[SC Qty]]&gt;0,SnapshotTable[[#This Row],[SC Current Ask]]&gt;0), SnapshotTable[[#This Row],[SC Qty]] * SnapshotTable[[#This Row],[SC Current Ask]] * -100, "")</f>
        <v/>
      </c>
      <c r="FZ163" s="31" t="str">
        <f>IF(ISNUMBER((SnapshotTable[[#This Row],[SC Current Value]])), SnapshotTable[[#This Row],[SC Premium]] + SnapshotTable[[#This Row],[SC Current Value]], "")</f>
        <v/>
      </c>
      <c r="GA163" s="272" t="str">
        <f>IFERROR( IF(ISNUMBER((SnapshotTable[[#This Row],[SC Current Value]])), SnapshotTable[[#This Row],[SC Gain Loss]] / SnapshotTable[[#This Row],[SC Premium]], ""), "")</f>
        <v/>
      </c>
      <c r="GB163" s="42">
        <f>SnapshotTable[[#This Row],[Equity Shares]] * SaleSharesToConsiderPercentage</f>
        <v>0</v>
      </c>
      <c r="GC163" s="40">
        <f>SnapshotTable[[#This Row],[Long Term Target]] * SellingPriceToConsiderBasedOnTargetPercentage</f>
        <v>0</v>
      </c>
      <c r="GD163" s="40">
        <f>SnapshotTable[[#This Row],[Last Price]] * (1+ SellingPriceToConsiderBasedOnTargetPercentage)</f>
        <v>19.831499999999998</v>
      </c>
      <c r="GE163" s="41"/>
      <c r="GF163" s="40"/>
      <c r="GG163" s="31">
        <f>SnapshotTable[[#This Row],[Booked Sale Shares]] * SnapshotTable[[#This Row],[Booked Sale Price]]</f>
        <v>0</v>
      </c>
      <c r="GH163" s="31" t="str">
        <f>IF(SnapshotTable[[#This Row],[Equity Basis Total]] &gt; 0, SnapshotTable[[#This Row],[Equity Basis Per Share]] * SnapshotTable[[#This Row],[Booked Sale Shares]], "")</f>
        <v/>
      </c>
      <c r="GI163" s="31">
        <f>IF(SnapshotTable[[#This Row],[Sale Proceeds]]&gt;0, SnapshotTable[[#This Row],[Sale Proceeds]] - SnapshotTable[[#This Row],[Sale Basis]], 0)</f>
        <v>0</v>
      </c>
      <c r="GJ163" s="27" t="str">
        <f>IF(SnapshotTable[[#This Row],[Sale G/L]]&gt;0, SnapshotTable[[#This Row],[Sale G/L]] / SnapshotTable[[#This Row],[Sale Basis]], IF(ISNUMBER(SnapshotTable[[#This Row],[SC Exercise P&amp;L (TAX)]]), SnapshotTable[[#This Row],[SC Exercise P&amp;L (TAX)]] / SnapshotTable[[#This Row],[SC Basis]], ""))</f>
        <v/>
      </c>
      <c r="GK163" s="27"/>
      <c r="GL163" s="43" t="str">
        <f>IF(AND(SnapshotTable[[#This Row],[LP Exp Date]]&gt;0,SnapshotTable[[#This Row],[LP Strike Price]]&gt;0), [1]!ToOptionSymbol(SnapshotTable[[#This Row],[Symbol]], SnapshotTable[[#This Row],[LP Strike Price]],SnapshotTable[[#This Row],[LP Exp Date]],1), "")</f>
        <v/>
      </c>
      <c r="GM163" s="30" t="str">
        <f>IF(LEN(SnapshotTable[[#This Row],[LP Symbol]])&gt;0, 1, "")</f>
        <v/>
      </c>
      <c r="GN163" s="43" t="str">
        <f>IF(AND(SnapshotTable[[#This Row],[SP Exp Date]]&gt;0,SnapshotTable[[#This Row],[SP Strike Price]]&gt;0), [1]!ToOptionSymbol(SnapshotTable[[#This Row],[Symbol]], SnapshotTable[[#This Row],[SP Strike Price]],SnapshotTable[[#This Row],[SP Exp Date]],1), "")</f>
        <v/>
      </c>
      <c r="GO163" s="30" t="str">
        <f>IF(LEN(SnapshotTable[[#This Row],[SP Symbol]])&gt;0, 1, "")</f>
        <v/>
      </c>
      <c r="GP163" s="43" t="str">
        <f>IF(AND(SnapshotTable[[#This Row],[LC Exp Date]]&gt;0,SnapshotTable[[#This Row],[LC Strike Price]]&gt;0), [1]!ToOptionSymbol(SnapshotTable[[#This Row],[Symbol]], SnapshotTable[[#This Row],[LC Strike Price]],SnapshotTable[[#This Row],[LC Exp Date]],0), "")</f>
        <v/>
      </c>
      <c r="GQ163" s="30" t="str">
        <f>IF(LEN(SnapshotTable[[#This Row],[LC Symbol]])&gt;0, 1, "")</f>
        <v/>
      </c>
      <c r="GR163" s="43" t="str">
        <f>IF(AND(SnapshotTable[[#This Row],[SC Exp Date]]&gt;0,SnapshotTable[[#This Row],[SC Strike Price]]&gt;0), [1]!ToOptionSymbol(SnapshotTable[[#This Row],[Symbol]], SnapshotTable[[#This Row],[SC Strike Price]],SnapshotTable[[#This Row],[SC Exp Date]],0), "")</f>
        <v/>
      </c>
      <c r="GS163" s="30" t="str">
        <f>IF(LEN(SnapshotTable[[#This Row],[SC Symbol]])&gt;0, 1, "")</f>
        <v/>
      </c>
      <c r="GT163" s="29" t="str">
        <f>IF(COUNT(SnapshotTable[[#This Row],[LP Symbol Count]],SnapshotTable[[#This Row],[SP Symbol Count]],SnapshotTable[[#This Row],[LC Symbol Count]],SnapshotTable[[#This Row],[SC Symbol Count]])&gt;0, "Y", "")</f>
        <v/>
      </c>
      <c r="GU16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3" s="216">
        <f>MAX(SnapshotTable[[#This Row],[Equity Basis Total]],SnapshotTable[[#This Row],[Equity Value]]) + (SnapshotTable[[#This Row],[SP Potential Spend]]- SnapshotTable[[#This Row],[SP Premium]] + SnapshotTable[[#This Row],[LP Premium]])+ (SnapshotTable[[#This Row],[LC Premium]] - SnapshotTable[[#This Row],[SC Premium]])</f>
        <v>0</v>
      </c>
      <c r="GW163" s="137" t="str">
        <f>IF(AND(SnapshotTable[[#This Row],[Exposure]] &lt;&gt; 0),SnapshotTable[[#This Row],[Exposure]] / SnapshotTable[[#Totals],[Exposure]], "")</f>
        <v/>
      </c>
      <c r="HE163" s="253"/>
      <c r="HF163" s="253"/>
      <c r="HK163" s="1"/>
      <c r="HL163" s="1"/>
      <c r="HM163" s="1"/>
      <c r="HN163" s="1"/>
      <c r="HO163" s="1"/>
      <c r="HP163" s="1"/>
    </row>
    <row r="164" spans="2:224" ht="12.75" hidden="1" customHeight="1" x14ac:dyDescent="0.25">
      <c r="B164" s="12" t="s">
        <v>984</v>
      </c>
      <c r="C164" s="385">
        <v>113.37</v>
      </c>
      <c r="D164" s="200" t="s">
        <v>467</v>
      </c>
      <c r="E164" s="39">
        <f>SnapshotTable[[#This Row],[Last Price]]*(1 -CrashDiscount)</f>
        <v>96.364500000000007</v>
      </c>
      <c r="F164" s="26" t="s">
        <v>21</v>
      </c>
      <c r="G164" s="26" t="s">
        <v>12</v>
      </c>
      <c r="H164" s="147"/>
      <c r="I164" s="186">
        <v>44805.670138888891</v>
      </c>
      <c r="J164" s="187">
        <v>44805.670138888891</v>
      </c>
      <c r="K164" s="188"/>
      <c r="L164" s="297"/>
      <c r="M164" s="138"/>
      <c r="N164" s="138"/>
      <c r="O164" s="138"/>
      <c r="P164" s="22"/>
      <c r="Q164" s="25"/>
      <c r="R164" s="4" t="str">
        <f>IF(SnapshotTable[[#This Row],[Equity Basis Total]] &gt; 0, SnapshotTable[[#This Row],[Equity Basis Total]] / SnapshotTable[[#This Row],[Equity Shares]], "")</f>
        <v/>
      </c>
      <c r="S164" s="254">
        <f>SnapshotTable[[#This Row],[Last Price]] * SnapshotTable[[#This Row],[Equity Shares]]</f>
        <v>0</v>
      </c>
      <c r="T164" s="254">
        <f>SnapshotTable[[#This Row],[Equity Value]] - SnapshotTable[[#This Row],[Equity Basis Total]]</f>
        <v>0</v>
      </c>
      <c r="U164" s="255" t="str">
        <f>IF(SnapshotTable[[#This Row],[Equity Basis Total]] &gt; 0, SnapshotTable[[#This Row],[Equity G/L]] / SnapshotTable[[#This Row],[Equity Basis Total]], "")</f>
        <v/>
      </c>
      <c r="V164" s="253">
        <v>350</v>
      </c>
      <c r="W164" s="253">
        <v>299.88</v>
      </c>
      <c r="X164" s="4" t="str">
        <f>IF(AND(ISNUMBER(SnapshotTable[[#This Row],[Equity Basis Per Share]]),ISNUMBER(SnapshotTable[[#This Row],[Equity Target]])),SnapshotTable[[#This Row],[Equity Target]]-SnapshotTable[[#This Row],[Equity Basis Per Share]],"")</f>
        <v/>
      </c>
      <c r="Y164" s="4" t="str">
        <f>IF(AND(ISNUMBER(SnapshotTable[[#This Row],[Equity Basis Per Share]]),ISNUMBER(SnapshotTable[[#This Row],[Equity Stop Loss]])),SnapshotTable[[#This Row],[Equity Stop Loss]]-SnapshotTable[[#This Row],[Equity Basis Per Share]],"")</f>
        <v/>
      </c>
      <c r="Z164" s="260" t="str">
        <f>IFERROR( TEXT(SnapshotTable[[#This Row],[Equity Max Gain Per Share]] /ABS( SnapshotTable[[#This Row],[Equity Max Loss Per Share]]),"0.0 " ) &amp; " : 1", "")</f>
        <v/>
      </c>
      <c r="AA164" s="31" t="str">
        <f>IF(ISNUMBER(SnapshotTable[[#This Row],[Equity Max Gain Per Share]]),SnapshotTable[[#This Row],[Equity Max Gain Per Share]] * SnapshotTable[[#This Row],[Equity Shares]],"")</f>
        <v/>
      </c>
      <c r="AB164" s="31" t="str">
        <f>IF(ISNUMBER(SnapshotTable[[#This Row],[Equity Max Loss Per Share]]),SnapshotTable[[#This Row],[Equity Max Loss Per Share]] * SnapshotTable[[#This Row],[Equity Shares]],"")</f>
        <v/>
      </c>
      <c r="AC164" s="148"/>
      <c r="AD164" s="149"/>
      <c r="AE164" s="31">
        <f>(SnapshotTable[[#This Row],[Annual Dividend Per Share]] / 4) * SnapshotTable[[#This Row],[Equity Shares]]</f>
        <v>0</v>
      </c>
      <c r="AF164" s="31">
        <f>SnapshotTable[[#This Row],[Quarterly Div $]] * 4</f>
        <v>0</v>
      </c>
      <c r="AG164" s="7">
        <f>IF(SnapshotTable[[#This Row],[Annual Dividend Per Share]]&gt;0, SnapshotTable[[#This Row],[Annual Dividend Per Share]]  / SnapshotTable[[#This Row],[Last Price]], 0)</f>
        <v>0</v>
      </c>
      <c r="AH164" s="149" t="s">
        <v>2</v>
      </c>
      <c r="AI164" s="5"/>
      <c r="AJ164" s="136">
        <v>320.74</v>
      </c>
      <c r="AK164" s="150" t="str">
        <f>IF(ISNUMBER( SnapshotTable[[#This Row],[EBF Target]]),(SnapshotTable[[#This Row],[EBF Target]] - SnapshotTable[[#This Row],[Last Price]]) / SnapshotTable[[#This Row],[Last Price]], "")</f>
        <v/>
      </c>
      <c r="AL164" s="150" t="str">
        <f>IF(AND(SnapshotTable[[#This Row],[Equity Basis Total]] &gt; 0,ISNUMBER( SnapshotTable[[#This Row],[Long Term Target]])), SnapshotTable[[#This Row],[From Basis $]] / SnapshotTable[[#This Row],[Equity Basis Total]], "")</f>
        <v/>
      </c>
      <c r="AM164" s="9">
        <f>IF( AND(SnapshotTable[[#This Row],[Equity Shares]] &gt;0,ISNUMBER( SnapshotTable[[#This Row],[Long Term Target]])),(SnapshotTable[[#This Row],[Equity Shares]] * SnapshotTable[[#This Row],[Long Term Target]]) - SnapshotTable[[#This Row],[Equity Basis Total]],0)</f>
        <v>0</v>
      </c>
      <c r="AN164" s="9">
        <f>IF( AND(SnapshotTable[[#This Row],[Equity Shares]] &gt;0,ISNUMBER( SnapshotTable[[#This Row],[Long Term Target]])),(SnapshotTable[[#This Row],[Equity Shares]]*SnapshotTable[[#This Row],[Long Term Target]]) - SnapshotTable[[#This Row],[Equity Value]],0)</f>
        <v>0</v>
      </c>
      <c r="AO164" s="150">
        <f>IF(AND(ISNUMBER( SnapshotTable[[#This Row],[Long Term Target]]), ISNUMBER(SnapshotTable[[#This Row],[Last Price]])),(SnapshotTable[[#This Row],[Long Term Target]] - SnapshotTable[[#This Row],[Last Price]]) / SnapshotTable[[#This Row],[Last Price]], "")</f>
        <v>1.8291435123930493</v>
      </c>
      <c r="AP164" s="5">
        <v>350</v>
      </c>
      <c r="AQ164" s="38" t="s">
        <v>16</v>
      </c>
      <c r="AR164" s="5">
        <v>350</v>
      </c>
      <c r="AS164" s="38" t="s">
        <v>22</v>
      </c>
      <c r="AT164" s="144" t="s">
        <v>442</v>
      </c>
      <c r="AU164" s="185" t="str">
        <f>IF(OR(SnapshotTable[[#This Row],[LP No Fill]]="Y",SnapshotTable[[#This Row],[SP Is Filled]],SnapshotTable[[#This Row],[LC Not Filled]]="Y",SnapshotTable[[#This Row],[SC Is Filled]]),"Y","")</f>
        <v/>
      </c>
      <c r="AV164" s="205"/>
      <c r="AW164" s="211"/>
      <c r="AX164" s="206"/>
      <c r="AY164" s="205" t="str">
        <f>IF(SnapshotTable[[#This Row],[Implied Move]]&gt;0, SnapshotTable[[#This Row],[Last Price]]-SnapshotTable[[#This Row],[Implied Move]],"")</f>
        <v/>
      </c>
      <c r="AZ164" s="205" t="str">
        <f>IF(SnapshotTable[[#This Row],[Implied Move]]&gt;0, SnapshotTable[[#This Row],[Last Price]] + SnapshotTable[[#This Row],[Implied Move]],"")</f>
        <v/>
      </c>
      <c r="BA164" s="302">
        <v>159.34</v>
      </c>
      <c r="BB164" s="318"/>
      <c r="BC16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4" s="321"/>
      <c r="BE164" s="5"/>
      <c r="BF164" s="14"/>
      <c r="BG164" s="13"/>
      <c r="BH164" s="13"/>
      <c r="BI164" s="5"/>
      <c r="BJ164" s="134">
        <f>IF(SnapshotTable[[#This Row],[LP Qty]] &gt; 0, SnapshotTable[[#This Row],[LP Qty]] * SnapshotTable[[#This Row],[LP Book Price]] * 100,0)</f>
        <v>0</v>
      </c>
      <c r="BK164" s="134">
        <f>IF(SnapshotTable[[#This Row],[LP Premium]] &gt; 0, SnapshotTable[[#This Row],[LP Qty]] * SnapshotTable[[#This Row],[LP Strike Price]] * 100,0)</f>
        <v>0</v>
      </c>
      <c r="BL164" s="152"/>
      <c r="BM164" s="355" t="str">
        <f>IF(SnapshotTable[[#This Row],[LP Premium]] &gt; 0,SnapshotTable[[#This Row],[LP Exp Date]]-MAX(SnapshotTable[[#This Row],[LP Book Date]], SnapshotTable[[#This Row],[LP Fill Date]]),"")</f>
        <v/>
      </c>
      <c r="BN164" s="355" t="str">
        <f>IF(ISNUMBER( SnapshotTable[[#This Row],[LP Term]]), SnapshotTable[[#This Row],[LP Exp Date]] - MockToday,"")</f>
        <v/>
      </c>
      <c r="BO164" s="161" t="str">
        <f>IF(AND(SnapshotTable[[#This Row],[LP Exp Date]]&gt;0, SnapshotTable[[#This Row],[LP Strike Price]]&gt;0,SnapshotTable[[#This Row],[LP Qty]]&gt;0,SnapshotTable[[#This Row],[LP Book Date]]&gt;0,SnapshotTable[[#This Row],[LP Book Price]]&gt;0,SnapshotTable[[#This Row],[LP Fill Date]]=0),"Y","")</f>
        <v/>
      </c>
      <c r="BP164" s="31" t="str">
        <f>IF(AND(SnapshotTable[[#This Row],[LP No Fill]]&lt;&gt;"Y",SnapshotTable[[#This Row],[LP Contract Value]]&gt;0, SnapshotTable[[#This Row],[LP Qty]]&gt;0), SnapshotTable[[#This Row],[LP Contract Value]]*SnapshotTable[[#This Row],[LP Qty]]*100,"")</f>
        <v/>
      </c>
      <c r="BQ164" s="13"/>
      <c r="BR164" s="5"/>
      <c r="BS164" s="36"/>
      <c r="BT164" s="145"/>
      <c r="BU164" s="13"/>
      <c r="BV164" s="5"/>
      <c r="BW164" s="382" t="b">
        <f>AND(ISNUMBER(SnapshotTable[[#This Row],[SP Exp Date]]), ISNUMBER(SnapshotTable[[#This Row],[SP Strike Price]]), ISNUMBER(SnapshotTable[[#This Row],[SP Qty]]), ISNUMBER(SnapshotTable[[#This Row],[SP Book Date]]), ISNUMBER(SnapshotTable[[#This Row],[SP Book Price]]))</f>
        <v>0</v>
      </c>
      <c r="BX164" s="382" t="b">
        <f>AND(SnapshotTable[[#This Row],[SP Is Booked]], NOT(ISBLANK(SnapshotTable[[#This Row],[SP Fill Date]])))</f>
        <v>0</v>
      </c>
      <c r="BY164" s="33">
        <f>IF(SnapshotTable[[#This Row],[SP Is Booked]], SnapshotTable[[#This Row],[SP Qty]] * SnapshotTable[[#This Row],[SP Book Price]] * 100, 0)</f>
        <v>0</v>
      </c>
      <c r="BZ164" s="339"/>
      <c r="CA164" s="338">
        <f>SnapshotTable[[#This Row],[LP Qty]]</f>
        <v>0</v>
      </c>
      <c r="CB164" s="4" t="str">
        <f>IF(SnapshotTable[[#This Row],[SP Is Booked]], SnapshotTable[[#This Row],[SP Strike Price]] - SnapshotTable[[#This Row],[SP Book Price]], "")</f>
        <v/>
      </c>
      <c r="CC164" s="19" t="str">
        <f>IF(SnapshotTable[[#This Row],[SP Is Booked]],SnapshotTable[[#This Row],[SP Exp Date]]-MAX(SnapshotTable[[#This Row],[SP Book Date]], SnapshotTable[[#This Row],[SP Fill Date]]),"")</f>
        <v/>
      </c>
      <c r="CD164" s="7" t="str">
        <f>IF(SnapshotTable[[#This Row],[SP Is Booked]], SnapshotTable[[#This Row],[SP Book Price]]/SnapshotTable[[#This Row],[SP Strike Price]], "")</f>
        <v/>
      </c>
      <c r="CE164" s="7" t="str">
        <f>IF(ISNUMBER(SnapshotTable[[#This Row],[SP ROO Term]]),SnapshotTable[[#This Row],[SP ROO Term]]*(365/SnapshotTable[[#This Row],[SP Term]]),"")</f>
        <v/>
      </c>
      <c r="CF164" s="221">
        <f>SnapshotTable[[#This Row],[LP Strike Price]] * SnapshotTable[[#This Row],[LP Qty]] * 100</f>
        <v>0</v>
      </c>
      <c r="CG164" s="31">
        <f>IF(ISNUMBER(SnapshotTable[[#This Row],[SP Premium]]), (SnapshotTable[[#This Row],[SP Qty]] * SnapshotTable[[#This Row],[SP Strike Price]]* 100) - SnapshotTable[[#This Row],[LP Protection]], 0)</f>
        <v>0</v>
      </c>
      <c r="CH164" s="7" t="str">
        <f>IF(ISNUMBER(SnapshotTable[[#This Row],[SP Break Even]]),-1 * (SnapshotTable[[#This Row],[SP Break Even]] - SnapshotTable[[#This Row],[Last Price]]) / SnapshotTable[[#This Row],[Last Price]], "")</f>
        <v/>
      </c>
      <c r="CI164" s="31">
        <f>IF(AND(ISNUMBER((SnapshotTable[[#This Row],[SP Potential Spend]])), SnapshotTable[[#This Row],[SP Strike Price]] &gt; SnapshotTable[[#This Row],[Last Price]], SnapshotTable[[#This Row],[SP Is Filled]]), SnapshotTable[[#This Row],[SP Potential Spend]] -  SnapshotTable[[#This Row],[LP Max Value]], 0)</f>
        <v>0</v>
      </c>
      <c r="CJ164" s="229"/>
      <c r="CK164" s="31">
        <f>IF(ISNUMBER(SnapshotTable[[#This Row],[SP Potential Spend]]),IF(ISNUMBER(SnapshotTable[[#This Row],[SP POW]]), SnapshotTable[[#This Row],[SP POW]] * SnapshotTable[[#This Row],[SP Potential Spend]], SnapshotTable[[#This Row],[SP Potential Spend]]), "")</f>
        <v>0</v>
      </c>
      <c r="CL164" s="162">
        <f>IF(NOT(SnapshotTable[[#This Row],[SP Is Filled]]),(SnapshotTable[[#This Row],[SP Qty]] * SnapshotTable[[#This Row],[SP Strike Price]] * 100) - SnapshotTable[[#This Row],[LP Max Value]],"")</f>
        <v>0</v>
      </c>
      <c r="CM164" s="31" t="str">
        <f>IF(SnapshotTable[[#This Row],[SP Actual Spend]]&lt;&gt;0, ((SnapshotTable[[#This Row],[SP Strike Price]]-SnapshotTable[[#This Row],[Last Price]]) *(SnapshotTable[[#This Row],[SP Qty]]*100) - SnapshotTable[[#This Row],[SP Premium]]) * - 1, "")</f>
        <v/>
      </c>
      <c r="CN164" s="76"/>
      <c r="CO164" s="339"/>
      <c r="CP164" s="4" t="str">
        <f>IF(SnapshotTable[[#This Row],[SP Is Filled]], btc_max_buyback_amount(SnapshotTable[[#This Row],[SP Fill Date]],SnapshotTable[[#This Row],[SP Exp Date]], SnapshotTable[[#This Row],[SP Book Price]]),"")</f>
        <v/>
      </c>
      <c r="CQ164" s="76"/>
      <c r="CR16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4" s="153" t="str">
        <f>IF(SnapshotTable[[#This Row],[SP Is Filled]], btc_next_cutoff_date(SnapshotTable[[#This Row],[SP Fill Date]],SnapshotTable[[#This Row],[SP Exp Date]]),"")</f>
        <v/>
      </c>
      <c r="CT164" s="220" t="str" cm="1">
        <f t="array" ref="CT164">IF(SnapshotTable[[#This Row],[SP Is Filled]], btc_should_buy_back(SnapshotTable[[#This Row],[SP Fill Date]], SnapshotTable[[#This Row],[SP Exp Date]], SnapshotTable[[#This Row],[SP Book Price]], SnapshotTable[[#This Row],[SP Current Ask]], MockToday, SnapshotTable[[#This Row],[SP Buyback Override]]),"")</f>
        <v/>
      </c>
      <c r="CU164" s="141"/>
      <c r="CV164" s="220"/>
      <c r="CW164" s="348" t="str">
        <f>IF(ISNUMBER( SnapshotTable[[#This Row],[SP Term]]), SnapshotTable[[#This Row],[SP Exp Date]] - MockToday,"")</f>
        <v/>
      </c>
      <c r="CX164" s="31" t="str">
        <f>IF(SnapshotTable[[#This Row],[SP Is Filled]],SnapshotTable[[#This Row],[SP Buyback Price to Use]] * 100 * SnapshotTable[[#This Row],[SP Qty]], "")</f>
        <v/>
      </c>
      <c r="CY164" s="4" t="str">
        <f>IF(ISNUMBER(SnapshotTable[[#This Row],[SP Strike Price]]), SnapshotTable[[#This Row],[SP Strike Price]] * (1 - SP_MaxLoss_StrikePct), "")</f>
        <v/>
      </c>
      <c r="CZ164" s="31" t="str">
        <f>IF(ISNUMBER(SnapshotTable[[#This Row],[SP Strike  Stop Per Share]]),SnapshotTable[[#This Row],[SP Premium]] - ((SnapshotTable[[#This Row],[SP Strike Price]]-SnapshotTable[[#This Row],[SP Strike  Stop Per Share]]) *(SnapshotTable[[#This Row],[SP Qty]] * 100)),"")</f>
        <v/>
      </c>
      <c r="DA164" s="4" t="str">
        <f>IF(AND(ISNUMBER(SnapshotTable[[#This Row],[SP Premium]]),SnapshotTable[[#This Row],[SP Premium]]&gt;0), SnapshotTable[[#This Row],[SP Book Price]] * (1 + SP_MaxLoss_OptionPct), "")</f>
        <v/>
      </c>
      <c r="DB164" s="31" t="str">
        <f>IF(ISNUMBER(SnapshotTable[[#This Row],[SP Option  Stop Contract]]),(SnapshotTable[[#This Row],[SP Option  Stop Contract]] *(SnapshotTable[[#This Row],[SP Qty]] * 100) - SnapshotTable[[#This Row],[SP Premium]]),"")</f>
        <v/>
      </c>
      <c r="DC164" s="4"/>
      <c r="DD164" s="4"/>
      <c r="DE164" s="4" t="str">
        <f>IF(AND(SnapshotTable[[#This Row],[SP Qty]]&gt;0, SnapshotTable[[#This Row],[SP Stop To Use]]&gt;0),SnapshotTable[[#This Row],[SP Premium]] - ( SnapshotTable[[#This Row],[SP Qty]] * SnapshotTable[[#This Row],[SP Stop To Use]] * 100), "")</f>
        <v/>
      </c>
      <c r="DF164" s="31" t="str">
        <f>IF(AND(SnapshotTable[[#This Row],[SP Qty]]&gt;0,SnapshotTable[[#This Row],[SP Current Ask]]&gt;0), SnapshotTable[[#This Row],[SP Qty]] * SnapshotTable[[#This Row],[SP Current Ask]] * -100, "")</f>
        <v/>
      </c>
      <c r="DG164" s="31" t="str">
        <f>IF(ISNUMBER((SnapshotTable[[#This Row],[SP Total Value]])), SnapshotTable[[#This Row],[SP Premium]] + SnapshotTable[[#This Row],[SP Total Value]], "")</f>
        <v/>
      </c>
      <c r="DH164" s="272" t="str">
        <f>IF(ISNUMBER((SnapshotTable[[#This Row],[SP Total Value]])), SnapshotTable[[#This Row],[SP Gain Loss]] / SnapshotTable[[#This Row],[SP Premium]], "")</f>
        <v/>
      </c>
      <c r="DI164" s="369"/>
      <c r="DJ164" s="136"/>
      <c r="DK164" s="146"/>
      <c r="DL164" s="13"/>
      <c r="DM164" s="13"/>
      <c r="DO164" s="31">
        <f>IF(SnapshotTable[[#This Row],[LC Symbol Count]]=1, SnapshotTable[[#This Row],[LC Qty]] * SnapshotTable[[#This Row],[LC Book Price]] * 100, 0)</f>
        <v>0</v>
      </c>
      <c r="DP164" s="161" t="str">
        <f>IF(AND(SnapshotTable[[#This Row],[LC Exp Date]]&gt;0, SnapshotTable[[#This Row],[LC Strike Price]]&gt;0,SnapshotTable[[#This Row],[LC Qty]]&gt;0,SnapshotTable[[#This Row],[LC Book Date]]&gt;0,SnapshotTable[[#This Row],[LC Book Price]]&gt;0,SnapshotTable[[#This Row],[LC Fill Date]]=0),"Y","")</f>
        <v/>
      </c>
      <c r="DQ164" s="356" t="str">
        <f>IF(SnapshotTable[[#This Row],[LC Premium]] &gt; 0,SnapshotTable[[#This Row],[LC Exp Date]]-MAX(SnapshotTable[[#This Row],[LC Book Date]], SnapshotTable[[#This Row],[LC Fill Date]]),"")</f>
        <v/>
      </c>
      <c r="DR164" s="356" t="str">
        <f>IF(ISNUMBER(SnapshotTable[[#This Row],[LC Term]]), SnapshotTable[[#This Row],[LC Exp Date]] - MockToday, "")</f>
        <v/>
      </c>
      <c r="DS164" s="219" t="str">
        <f>IF(SnapshotTable[[#This Row],[LC Premium]]&gt;0,SnapshotTable[[#This Row],[LC Strike Price]] + SnapshotTable[[#This Row],[LC Book Price]],"")</f>
        <v/>
      </c>
      <c r="DU164" s="9" t="str">
        <f>IF(AND(SnapshotTable[[#This Row],[LC Symbol Count]]&gt;0, SnapshotTable[[#This Row],[LC Contract Value]]&gt;0), SnapshotTable[[#This Row],[LC Contract Value]] * SnapshotTable[[#This Row],[LC Qty]] * 100, "")</f>
        <v/>
      </c>
      <c r="DV164" s="9" t="str">
        <f>IF(AND(ISNUMBER(SnapshotTable[[#This Row],[LC Total Value]]), SnapshotTable[[#This Row],[LC Not Filled]]&lt;&gt;"Y"), SnapshotTable[[#This Row],[LC Total Value]]-SnapshotTable[[#This Row],[LC Premium]],"")</f>
        <v/>
      </c>
      <c r="DW164" s="225" t="str">
        <f>IF(ISNUMBER(SnapshotTable[[#This Row],[LC Actual Gain Loss]]), SnapshotTable[[#This Row],[LC Actual Gain Loss]] / SnapshotTable[[#This Row],[LC Premium]],"")</f>
        <v/>
      </c>
      <c r="DX164" s="269" t="str">
        <f>IF(ISNUMBER(SnapshotTable[[#This Row],[LC Book Price]]),SnapshotTable[[#This Row],[LC Book Price]] * 1.5,"")</f>
        <v/>
      </c>
      <c r="DY164" s="250" t="str">
        <f>IF(SnapshotTable[[#This Row],[LC Premium]]&gt;0, SnapshotTable[[#This Row],[LC Next Target]] * SnapshotTable[[#This Row],[LC Qty]] * 100,"")</f>
        <v/>
      </c>
      <c r="DZ164" s="250" t="str">
        <f>IF(ISNUMBER(SnapshotTable[[#This Row],[LC Target Gross]]), SnapshotTable[[#This Row],[LC Target Gross]] - SnapshotTable[[#This Row],[LC Premium]], "")</f>
        <v/>
      </c>
      <c r="EA164" s="283" t="str">
        <f>IF(ISNUMBER(SnapshotTable[[#This Row],[LC Target Gain Loss]]), SnapshotTable[[#This Row],[LC Target Gain Loss]]/SnapshotTable[[#This Row],[LC Premium]], "")</f>
        <v/>
      </c>
      <c r="EB164" s="247"/>
      <c r="EC164" s="268" t="str">
        <f>IF(SnapshotTable[[#This Row],[LC Premium]]&gt;0, SnapshotTable[[#This Row],[LC Book Price]] * (1 - LC_StopLoss_Pct),"")</f>
        <v/>
      </c>
      <c r="ED164" s="269"/>
      <c r="EE164" s="268" t="str">
        <f>IF(ISNUMBER(SnapshotTable[[#This Row],[LC Contract Value]]),IF(ISNUMBER(SnapshotTable[[#This Row],[LC Stop Loss Override]]), SnapshotTable[[#This Row],[LC Stop Loss Override]],SnapshotTable[[#This Row],[LC Stop Loss Calc Target]]),"")</f>
        <v/>
      </c>
      <c r="EF164" s="31" t="str">
        <f>IF(ISNUMBER(SnapshotTable[[#This Row],[LC Stop  To Use]]), (SnapshotTable[[#This Row],[LC Stop  To Use]] * SnapshotTable[[#This Row],[LC Qty]] * 100),"")</f>
        <v/>
      </c>
      <c r="EG164" s="9" t="str">
        <f>IF(ISNUMBER(SnapshotTable[[#This Row],[LC Total Value]]),SnapshotTable[[#This Row],[LC Stop Loss Amount]] - SnapshotTable[[#This Row],[LC Premium]],"")</f>
        <v/>
      </c>
      <c r="EH164" s="9">
        <f>IF(ISNUMBER(SnapshotTable[[#This Row],[LC Premium]]), SnapshotTable[[#This Row],[LC Qty]] * 100 * SnapshotTable[[#This Row],[LC Strike Price]], "")</f>
        <v>0</v>
      </c>
      <c r="EI164" s="225" t="str">
        <f>IF(AND(ISNUMBER(SnapshotTable[[#This Row],[LC Total Value]]),SnapshotTable[[#This Row],[LC Total Value]]&gt;0),SnapshotTable[[#This Row],[LC Stop Gain Loss]]  / SnapshotTable[[#This Row],[LC Premium]],"")</f>
        <v/>
      </c>
      <c r="EJ164" s="35">
        <f>IF(ISNUMBER(SnapshotTable[[#This Row],[Equity Shares]]),TRUNC(SnapshotTable[[#This Row],[Equity Shares]] / 100),0) + SnapshotTable[[#This Row],[LC Qty]]</f>
        <v>0</v>
      </c>
      <c r="EK164" s="145"/>
      <c r="EL164" s="136"/>
      <c r="EM164" s="146"/>
      <c r="EN164" s="145"/>
      <c r="EO164" s="145"/>
      <c r="EP164" s="136"/>
      <c r="EQ164" s="382" t="b">
        <f>AND(ISNUMBER(SnapshotTable[[#This Row],[SC Exp Date]]), ISNUMBER(SnapshotTable[[#This Row],[SC Strike Price]]), ISNUMBER(SnapshotTable[[#This Row],[SC Qty]]), ISNUMBER(SnapshotTable[[#This Row],[SC Book Date]]), ISNUMBER(SnapshotTable[[#This Row],[SC Book Price]]))</f>
        <v>0</v>
      </c>
      <c r="ER164" s="382" t="b">
        <f>AND(SnapshotTable[[#This Row],[SC Is Booked]], NOT(ISBLANK(SnapshotTable[[#This Row],[SC Fill Date]])))</f>
        <v>0</v>
      </c>
      <c r="ES164" s="340"/>
      <c r="ET164" s="34" t="str">
        <f>IF(AND(ISNUMBER(SnapshotTable[[#This Row],[SC Exp Date]]), ISNUMBER(SnapshotTable[[#This Row],[SC Book Date]])), SnapshotTable[[#This Row],[SC Exp Date]] - MAX(SnapshotTable[[#This Row],[SC Book Date]], SnapshotTable[[#This Row],[SC Fill Date]]) + 1, "")</f>
        <v/>
      </c>
      <c r="EU164" s="34" t="str">
        <f>IF(ISNUMBER(SnapshotTable[[#This Row],[SC Term]]), SnapshotTable[[#This Row],[SC Exp Date]]- MockToday, "")</f>
        <v/>
      </c>
      <c r="EV164" s="31">
        <f>IF(SnapshotTable[[#This Row],[SC Is Booked]], SnapshotTable[[#This Row],[SC Qty]] * SnapshotTable[[#This Row],[SC Book Price]] * 100, 0)</f>
        <v>0</v>
      </c>
      <c r="EW164" s="4" t="str">
        <f>IF(AND(ISNUMBER(SnapshotTable[[#This Row],[Last Price]]), ISNUMBER( SnapshotTable[[#This Row],[SC Book Price]])), SnapshotTable[[#This Row],[Last Price]] - SnapshotTable[[#This Row],[SC Book Price]],"")</f>
        <v/>
      </c>
      <c r="EX164" s="219" t="str">
        <f>IF(SnapshotTable[[#This Row],[SC Is Booked]],IF(SnapshotTable[[#This Row],[SC Intrinsic Value]] &gt; 0, SnapshotTable[[#This Row],[SC Strike Price]], SnapshotTable[[#This Row],[Last Price]]), "")</f>
        <v/>
      </c>
      <c r="EY164" s="4">
        <f>IF(SnapshotTable[[#This Row],[SC Is Booked]], (MinimumPremiumRequired * SnapshotTable[[#This Row],[SC Basis]] * SnapshotTable[[#This Row],[SC Term]]), 0)</f>
        <v>0</v>
      </c>
      <c r="EZ164" s="268"/>
      <c r="FA164" s="204"/>
      <c r="FB164" s="340"/>
      <c r="FC164" s="4">
        <f>IF(SnapshotTable[[#This Row],[SC Is Filled]], btc_max_buyback_amount(SnapshotTable[[#This Row],[SC Fill Date]],SnapshotTable[[#This Row],[SC Exp Date]], SnapshotTable[[#This Row],[SC Book Price]]),0)</f>
        <v>0</v>
      </c>
      <c r="FD164" s="5"/>
      <c r="FE164" s="142" t="str">
        <f>IF(SnapshotTable[[#This Row],[SC Is Filled]], btc_next_cutoff_date(SnapshotTable[[#This Row],[SC Fill Date]],SnapshotTable[[#This Row],[SC Exp Date]]),"")</f>
        <v/>
      </c>
      <c r="FF164" s="4" t="str" cm="1">
        <f t="array" ref="FF164">IF(SnapshotTable[[#This Row],[SC Is Filled]], btc_should_buy_back(SnapshotTable[[#This Row],[SC Fill Date]], SnapshotTable[[#This Row],[SC Exp Date]], SnapshotTable[[#This Row],[SC Book Price]], SnapshotTable[[#This Row],[SC Current Ask]], MockToday, SnapshotTable[[#This Row],[SC Buyback Override]]),"")</f>
        <v/>
      </c>
      <c r="FG164" s="4">
        <f>IF(SnapshotTable[[#This Row],[SC Is Filled]], MAX(0,SnapshotTable[[#This Row],[Last Price]]  - SnapshotTable[[#This Row],[SC Strike Price]]), 0)</f>
        <v>0</v>
      </c>
      <c r="FH164" s="352">
        <f>IF(SnapshotTable[[#This Row],[SC Is Filled]], IF(ISNUMBER(SnapshotTable[[#This Row],[SC Current Ask]]), SnapshotTable[[#This Row],[SC Current Ask]], SnapshotTable[[#This Row],[SC Book Price]]) - SnapshotTable[[#This Row],[SC Intrinsic Value]], 0)</f>
        <v>0</v>
      </c>
      <c r="FI164" s="141"/>
      <c r="FJ164" s="32" t="str">
        <f>IF(SnapshotTable[[#This Row],[SC Is Filled]],100 * SnapshotTable[[#This Row],[SC Qty]] * IF(ISNUMBER(SnapshotTable[[#This Row],[SC Buyback Override]]), SnapshotTable[[#This Row],[SC Buyback Override]], SnapshotTable[[#This Row],[SC Current Ask]]), "")</f>
        <v/>
      </c>
      <c r="FK164" s="235" t="str">
        <f>IF(SnapshotTable[[#This Row],[SC Time Val]]&gt;0, SnapshotTable[[#This Row],[SC Time Val]] / SnapshotTable[[#This Row],[Last Price]],"")</f>
        <v/>
      </c>
      <c r="FL164" s="280" t="str">
        <f>IF(SnapshotTable[[#This Row],[SC Is Booked]], ((SnapshotTable[[#This Row],[Last Price]] -SnapshotTable[[#This Row],[SC Strike Price]]) / SnapshotTable[[#This Row],[Last Price]]) * -1, "")</f>
        <v/>
      </c>
      <c r="FM164" s="155" t="str">
        <f>IF(SnapshotTable[[#This Row],[SC Is Booked]],  (SnapshotTable[[#This Row],[SC Qty]] * 100 * SnapshotTable[[#This Row],[SC Strike Price]]) - SnapshotTable[[#This Row],[SC Current Ask]], "")</f>
        <v/>
      </c>
      <c r="FN16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4" s="31" t="str">
        <f>IF(AND(ISNUMBER(SnapshotTable[[#This Row],[SC Exercise Gross]]), ISNUMBER(SnapshotTable[[#This Row],[Equity Basis Per Share]] )), SnapshotTable[[#This Row],[SC Exercise Gross]] - SnapshotTable[[#This Row],[Equity Basis Total]] +  SnapshotTable[[#This Row],[SC Premium]], "")</f>
        <v/>
      </c>
      <c r="FP164" s="5" t="str">
        <f>IF(ISNUMBER(SnapshotTable[[#This Row],[SC Exercise Gross]]), (SnapshotTable[[#This Row],[SC Exercise Gross]]) / (SnapshotTable[[#This Row],[SC Qty]] * 100), "")</f>
        <v/>
      </c>
      <c r="FQ164" s="27" t="str">
        <f>IF(SnapshotTable[[#This Row],[SC Is Booked]],SnapshotTable[[#This Row],[SC Time Val]] /SnapshotTable[[#This Row],[SC Basis]], "")</f>
        <v/>
      </c>
      <c r="FR164" s="27" t="str" cm="1">
        <f t="array" ref="FR164">IF(AND(ISNUMBER(SnapshotTable[[#This Row],[SC Term]]),ISNUMBER(SnapshotTable[[#This Row],[SC Simple ROO]])), EllmanAnnualize(SnapshotTable[[#This Row],[SC DTE]], SnapshotTable[[#This Row],[SC Simple ROO]] ),"")</f>
        <v/>
      </c>
      <c r="FS164" s="4">
        <f>IF(SnapshotTable[[#This Row],[SC Strike Price]] &gt; SnapshotTable[[#This Row],[Last Price]], SnapshotTable[[#This Row],[SC Strike Price]] - SnapshotTable[[#This Row],[Last Price]],0)</f>
        <v>0</v>
      </c>
      <c r="FT164" s="27" t="str">
        <f>IF(AND(ISNUMBER(SnapshotTable[[#This Row],[SC Upside Potential]]), SnapshotTable[[#This Row],[SC Upside Potential]] &gt; 0),(SnapshotTable[[#This Row],[SC Upside Potential]]/ SnapshotTable[[#This Row],[ACB]]),"")</f>
        <v/>
      </c>
      <c r="FU164" s="304" t="str">
        <f>IF(SnapshotTable[[#This Row],[SC Intrinsic Value]] &gt; 0,SnapshotTable[[#This Row],[SC Intrinsic Value]],"")</f>
        <v/>
      </c>
      <c r="FV164" s="27" t="str">
        <f>IF(AND( ISNUMBER( SnapshotTable[[#This Row],[ACB]]),ISNUMBER(SnapshotTable[[#This Row],[SC Downside Protect]])),SnapshotTable[[#This Row],[SC Downside Protect]] / SnapshotTable[[#This Row],[ACB]],"")</f>
        <v/>
      </c>
      <c r="FW164" s="221" t="str">
        <f>IF(AND(ISNUMBER(SnapshotTable[[#This Row],[SC Simple ROO]]),SnapshotTable[[#This Row],[SC Simple ROO]] &gt; 0), SnapshotTable[[#This Row],[SC Premium]] + (SnapshotTable[[#This Row],[SC Qty]] * SnapshotTable[[#This Row],[SC Upside Potential]]), "")</f>
        <v/>
      </c>
      <c r="FX164" s="280" t="str" cm="1">
        <f t="array" ref="FX164">IF(ISNUMBER(SnapshotTable[[#This Row],[SC Max Dollars]]), annualize(SnapshotTable[[#This Row],[SC Term]],(SnapshotTable[[#This Row],[SC Max Dollars]]/SnapshotTable[[#This Row],[SC Basis]])),"")</f>
        <v/>
      </c>
      <c r="FY164" s="221" t="str">
        <f>IF(AND(SnapshotTable[[#This Row],[SC Qty]]&gt;0,SnapshotTable[[#This Row],[SC Current Ask]]&gt;0), SnapshotTable[[#This Row],[SC Qty]] * SnapshotTable[[#This Row],[SC Current Ask]] * -100, "")</f>
        <v/>
      </c>
      <c r="FZ164" s="31" t="str">
        <f>IF(ISNUMBER((SnapshotTable[[#This Row],[SC Current Value]])), SnapshotTable[[#This Row],[SC Premium]] + SnapshotTable[[#This Row],[SC Current Value]], "")</f>
        <v/>
      </c>
      <c r="GA164" s="272" t="str">
        <f>IFERROR( IF(ISNUMBER((SnapshotTable[[#This Row],[SC Current Value]])), SnapshotTable[[#This Row],[SC Gain Loss]] / SnapshotTable[[#This Row],[SC Premium]], ""), "")</f>
        <v/>
      </c>
      <c r="GB164" s="42">
        <f>SnapshotTable[[#This Row],[Equity Shares]] * SaleSharesToConsiderPercentage</f>
        <v>0</v>
      </c>
      <c r="GC164" s="40">
        <f>SnapshotTable[[#This Row],[Long Term Target]] * SellingPriceToConsiderBasedOnTargetPercentage</f>
        <v>304.70299999999997</v>
      </c>
      <c r="GD164" s="40">
        <f>SnapshotTable[[#This Row],[Last Price]] * (1+ SellingPriceToConsiderBasedOnTargetPercentage)</f>
        <v>221.07150000000001</v>
      </c>
      <c r="GE164" s="41"/>
      <c r="GF164" s="40"/>
      <c r="GG164" s="31">
        <f>SnapshotTable[[#This Row],[Booked Sale Shares]] * SnapshotTable[[#This Row],[Booked Sale Price]]</f>
        <v>0</v>
      </c>
      <c r="GH164" s="31" t="str">
        <f>IF(SnapshotTable[[#This Row],[Equity Basis Total]] &gt; 0, SnapshotTable[[#This Row],[Equity Basis Per Share]] * SnapshotTable[[#This Row],[Booked Sale Shares]], "")</f>
        <v/>
      </c>
      <c r="GI164" s="31">
        <f>IF(SnapshotTable[[#This Row],[Sale Proceeds]]&gt;0, SnapshotTable[[#This Row],[Sale Proceeds]] - SnapshotTable[[#This Row],[Sale Basis]], 0)</f>
        <v>0</v>
      </c>
      <c r="GJ164" s="27" t="str">
        <f>IF(SnapshotTable[[#This Row],[Sale G/L]]&gt;0, SnapshotTable[[#This Row],[Sale G/L]] / SnapshotTable[[#This Row],[Sale Basis]], IF(ISNUMBER(SnapshotTable[[#This Row],[SC Exercise P&amp;L (TAX)]]), SnapshotTable[[#This Row],[SC Exercise P&amp;L (TAX)]] / SnapshotTable[[#This Row],[SC Basis]], ""))</f>
        <v/>
      </c>
      <c r="GK164" s="27" t="s">
        <v>602</v>
      </c>
      <c r="GL164" s="43" t="str">
        <f>IF(AND(SnapshotTable[[#This Row],[LP Exp Date]]&gt;0,SnapshotTable[[#This Row],[LP Strike Price]]&gt;0), [1]!ToOptionSymbol(SnapshotTable[[#This Row],[Symbol]], SnapshotTable[[#This Row],[LP Strike Price]],SnapshotTable[[#This Row],[LP Exp Date]],1), "")</f>
        <v/>
      </c>
      <c r="GM164" s="30" t="str">
        <f>IF(LEN(SnapshotTable[[#This Row],[LP Symbol]])&gt;0, 1, "")</f>
        <v/>
      </c>
      <c r="GN164" s="43" t="str">
        <f>IF(AND(SnapshotTable[[#This Row],[SP Exp Date]]&gt;0,SnapshotTable[[#This Row],[SP Strike Price]]&gt;0), [1]!ToOptionSymbol(SnapshotTable[[#This Row],[Symbol]], SnapshotTable[[#This Row],[SP Strike Price]],SnapshotTable[[#This Row],[SP Exp Date]],1), "")</f>
        <v/>
      </c>
      <c r="GO164" s="30" t="str">
        <f>IF(LEN(SnapshotTable[[#This Row],[SP Symbol]])&gt;0, 1, "")</f>
        <v/>
      </c>
      <c r="GP164" s="43" t="str">
        <f>IF(AND(SnapshotTable[[#This Row],[LC Exp Date]]&gt;0,SnapshotTable[[#This Row],[LC Strike Price]]&gt;0), [1]!ToOptionSymbol(SnapshotTable[[#This Row],[Symbol]], SnapshotTable[[#This Row],[LC Strike Price]],SnapshotTable[[#This Row],[LC Exp Date]],0), "")</f>
        <v/>
      </c>
      <c r="GQ164" s="30" t="str">
        <f>IF(LEN(SnapshotTable[[#This Row],[LC Symbol]])&gt;0, 1, "")</f>
        <v/>
      </c>
      <c r="GR164" s="43" t="str">
        <f>IF(AND(SnapshotTable[[#This Row],[SC Exp Date]]&gt;0,SnapshotTable[[#This Row],[SC Strike Price]]&gt;0), [1]!ToOptionSymbol(SnapshotTable[[#This Row],[Symbol]], SnapshotTable[[#This Row],[SC Strike Price]],SnapshotTable[[#This Row],[SC Exp Date]],0), "")</f>
        <v/>
      </c>
      <c r="GS164" s="30" t="str">
        <f>IF(LEN(SnapshotTable[[#This Row],[SC Symbol]])&gt;0, 1, "")</f>
        <v/>
      </c>
      <c r="GT164" s="29" t="str">
        <f>IF(COUNT(SnapshotTable[[#This Row],[LP Symbol Count]],SnapshotTable[[#This Row],[SP Symbol Count]],SnapshotTable[[#This Row],[LC Symbol Count]],SnapshotTable[[#This Row],[SC Symbol Count]])&gt;0, "Y", "")</f>
        <v/>
      </c>
      <c r="GU16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4" s="216">
        <f>MAX(SnapshotTable[[#This Row],[Equity Basis Total]],SnapshotTable[[#This Row],[Equity Value]]) + (SnapshotTable[[#This Row],[SP Potential Spend]]- SnapshotTable[[#This Row],[SP Premium]] + SnapshotTable[[#This Row],[LP Premium]])+ (SnapshotTable[[#This Row],[LC Premium]] - SnapshotTable[[#This Row],[SC Premium]])</f>
        <v>0</v>
      </c>
      <c r="GW164" s="137" t="str">
        <f>IF(AND(SnapshotTable[[#This Row],[Exposure]] &lt;&gt; 0),SnapshotTable[[#This Row],[Exposure]] / SnapshotTable[[#Totals],[Exposure]], "")</f>
        <v/>
      </c>
      <c r="HE164" s="253"/>
      <c r="HF164" s="253"/>
      <c r="HK164" s="1"/>
      <c r="HL164" s="1"/>
      <c r="HM164" s="1"/>
      <c r="HN164" s="1"/>
      <c r="HO164" s="1"/>
      <c r="HP164" s="1"/>
    </row>
    <row r="165" spans="2:224" ht="12.75" hidden="1" customHeight="1" x14ac:dyDescent="0.25">
      <c r="B165" s="12" t="s">
        <v>985</v>
      </c>
      <c r="C165" s="385">
        <v>421.21</v>
      </c>
      <c r="D165" s="200"/>
      <c r="E165" s="39">
        <f>SnapshotTable[[#This Row],[Last Price]]*(1 -CrashDiscount)</f>
        <v>358.02849999999995</v>
      </c>
      <c r="F165" s="371"/>
      <c r="G165" s="296"/>
      <c r="H165" s="147"/>
      <c r="I165" s="342"/>
      <c r="J165" s="322"/>
      <c r="K165" s="323"/>
      <c r="L165" s="298"/>
      <c r="M165" s="138"/>
      <c r="N165" s="138"/>
      <c r="O165" s="138"/>
      <c r="P165" s="299"/>
      <c r="Q165" s="324"/>
      <c r="R165" s="4" t="str">
        <f>IF(SnapshotTable[[#This Row],[Equity Basis Total]] &gt; 0, SnapshotTable[[#This Row],[Equity Basis Total]] / SnapshotTable[[#This Row],[Equity Shares]], "")</f>
        <v/>
      </c>
      <c r="S165" s="300">
        <f>SnapshotTable[[#This Row],[Last Price]] * SnapshotTable[[#This Row],[Equity Shares]]</f>
        <v>0</v>
      </c>
      <c r="T165" s="254">
        <f>SnapshotTable[[#This Row],[Equity Value]] - SnapshotTable[[#This Row],[Equity Basis Total]]</f>
        <v>0</v>
      </c>
      <c r="U165" s="255" t="str">
        <f>IF(SnapshotTable[[#This Row],[Equity Basis Total]] &gt; 0, SnapshotTable[[#This Row],[Equity G/L]] / SnapshotTable[[#This Row],[Equity Basis Total]], "")</f>
        <v/>
      </c>
      <c r="V165" s="253"/>
      <c r="W165" s="253"/>
      <c r="X165" s="4" t="str">
        <f>IF(AND(ISNUMBER(SnapshotTable[[#This Row],[Equity Basis Per Share]]),ISNUMBER(SnapshotTable[[#This Row],[Equity Target]])),SnapshotTable[[#This Row],[Equity Target]]-SnapshotTable[[#This Row],[Equity Basis Per Share]],"")</f>
        <v/>
      </c>
      <c r="Y165" s="4" t="str">
        <f>IF(AND(ISNUMBER(SnapshotTable[[#This Row],[Equity Basis Per Share]]),ISNUMBER(SnapshotTable[[#This Row],[Equity Stop Loss]])),SnapshotTable[[#This Row],[Equity Stop Loss]]-SnapshotTable[[#This Row],[Equity Basis Per Share]],"")</f>
        <v/>
      </c>
      <c r="Z165" s="260" t="str">
        <f>IFERROR( TEXT(SnapshotTable[[#This Row],[Equity Max Gain Per Share]] /ABS( SnapshotTable[[#This Row],[Equity Max Loss Per Share]]),"0.0 " ) &amp; " : 1", "")</f>
        <v/>
      </c>
      <c r="AA165" s="31" t="str">
        <f>IF(ISNUMBER(SnapshotTable[[#This Row],[Equity Max Gain Per Share]]),SnapshotTable[[#This Row],[Equity Max Gain Per Share]] * SnapshotTable[[#This Row],[Equity Shares]],"")</f>
        <v/>
      </c>
      <c r="AB165" s="31" t="str">
        <f>IF(ISNUMBER(SnapshotTable[[#This Row],[Equity Max Loss Per Share]]),SnapshotTable[[#This Row],[Equity Max Loss Per Share]] * SnapshotTable[[#This Row],[Equity Shares]],"")</f>
        <v/>
      </c>
      <c r="AC165" s="148"/>
      <c r="AD165" s="320"/>
      <c r="AE165" s="31">
        <f>(SnapshotTable[[#This Row],[Annual Dividend Per Share]] / 4) * SnapshotTable[[#This Row],[Equity Shares]]</f>
        <v>0</v>
      </c>
      <c r="AF165" s="31">
        <f>SnapshotTable[[#This Row],[Quarterly Div $]] * 4</f>
        <v>0</v>
      </c>
      <c r="AG165" s="7">
        <f>IF(SnapshotTable[[#This Row],[Annual Dividend Per Share]]&gt;0, SnapshotTable[[#This Row],[Annual Dividend Per Share]]  / SnapshotTable[[#This Row],[Last Price]], 0)</f>
        <v>0</v>
      </c>
      <c r="AH165" s="320"/>
      <c r="AI165" s="301"/>
      <c r="AJ165" s="136"/>
      <c r="AK165" s="150" t="str">
        <f>IF(ISNUMBER( SnapshotTable[[#This Row],[EBF Target]]),(SnapshotTable[[#This Row],[EBF Target]] - SnapshotTable[[#This Row],[Last Price]]) / SnapshotTable[[#This Row],[Last Price]], "")</f>
        <v/>
      </c>
      <c r="AL165" s="150" t="str">
        <f>IF(AND(SnapshotTable[[#This Row],[Equity Basis Total]] &gt; 0,ISNUMBER( SnapshotTable[[#This Row],[Long Term Target]])), SnapshotTable[[#This Row],[From Basis $]] / SnapshotTable[[#This Row],[Equity Basis Total]], "")</f>
        <v/>
      </c>
      <c r="AM165" s="9">
        <f>IF( AND(SnapshotTable[[#This Row],[Equity Shares]] &gt;0,ISNUMBER( SnapshotTable[[#This Row],[Long Term Target]])),(SnapshotTable[[#This Row],[Equity Shares]] * SnapshotTable[[#This Row],[Long Term Target]]) - SnapshotTable[[#This Row],[Equity Basis Total]],0)</f>
        <v>0</v>
      </c>
      <c r="AN165" s="9">
        <f>IF( AND(SnapshotTable[[#This Row],[Equity Shares]] &gt;0,ISNUMBER( SnapshotTable[[#This Row],[Long Term Target]])),(SnapshotTable[[#This Row],[Equity Shares]]*SnapshotTable[[#This Row],[Long Term Target]]) - SnapshotTable[[#This Row],[Equity Value]],0)</f>
        <v>0</v>
      </c>
      <c r="AO165" s="150" t="str">
        <f>IF(AND(ISNUMBER( SnapshotTable[[#This Row],[Long Term Target]]), ISNUMBER(SnapshotTable[[#This Row],[Last Price]])),(SnapshotTable[[#This Row],[Long Term Target]] - SnapshotTable[[#This Row],[Last Price]]) / SnapshotTable[[#This Row],[Last Price]], "")</f>
        <v/>
      </c>
      <c r="AP165" s="301"/>
      <c r="AQ165" s="358"/>
      <c r="AR165" s="301"/>
      <c r="AS165" s="358"/>
      <c r="AT165" s="359"/>
      <c r="AU165" s="185" t="str">
        <f>IF(OR(SnapshotTable[[#This Row],[LP No Fill]]="Y",SnapshotTable[[#This Row],[SP Is Filled]],SnapshotTable[[#This Row],[LC Not Filled]]="Y",SnapshotTable[[#This Row],[SC Is Filled]]),"Y","")</f>
        <v/>
      </c>
      <c r="AV165" s="309"/>
      <c r="AW165" s="310"/>
      <c r="AX165" s="206"/>
      <c r="AY165" s="205" t="str">
        <f>IF(SnapshotTable[[#This Row],[Implied Move]]&gt;0, SnapshotTable[[#This Row],[Last Price]]-SnapshotTable[[#This Row],[Implied Move]],"")</f>
        <v/>
      </c>
      <c r="AZ165" s="205" t="str">
        <f>IF(SnapshotTable[[#This Row],[Implied Move]]&gt;0, SnapshotTable[[#This Row],[Last Price]] + SnapshotTable[[#This Row],[Implied Move]],"")</f>
        <v/>
      </c>
      <c r="BA165" s="302">
        <v>323.20999999999998</v>
      </c>
      <c r="BB165" s="318"/>
      <c r="BC16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5" s="321"/>
      <c r="BE165" s="372"/>
      <c r="BF165" s="373"/>
      <c r="BG165" s="374"/>
      <c r="BH165" s="374"/>
      <c r="BI165" s="375"/>
      <c r="BJ165" s="151">
        <f>IF(SnapshotTable[[#This Row],[LP Qty]] &gt; 0, SnapshotTable[[#This Row],[LP Qty]] * SnapshotTable[[#This Row],[LP Book Price]] * 100,0)</f>
        <v>0</v>
      </c>
      <c r="BK165" s="134">
        <f>IF(SnapshotTable[[#This Row],[LP Premium]] &gt; 0, SnapshotTable[[#This Row],[LP Qty]] * SnapshotTable[[#This Row],[LP Strike Price]] * 100,0)</f>
        <v>0</v>
      </c>
      <c r="BL165" s="152"/>
      <c r="BM165" s="355" t="str">
        <f>IF(SnapshotTable[[#This Row],[LP Premium]] &gt; 0,SnapshotTable[[#This Row],[LP Exp Date]]-MAX(SnapshotTable[[#This Row],[LP Book Date]], SnapshotTable[[#This Row],[LP Fill Date]]),"")</f>
        <v/>
      </c>
      <c r="BN165" s="355" t="str">
        <f>IF(ISNUMBER( SnapshotTable[[#This Row],[LP Term]]), SnapshotTable[[#This Row],[LP Exp Date]] - MockToday,"")</f>
        <v/>
      </c>
      <c r="BO165" s="161" t="str">
        <f>IF(AND(SnapshotTable[[#This Row],[LP Exp Date]]&gt;0, SnapshotTable[[#This Row],[LP Strike Price]]&gt;0,SnapshotTable[[#This Row],[LP Qty]]&gt;0,SnapshotTable[[#This Row],[LP Book Date]]&gt;0,SnapshotTable[[#This Row],[LP Book Price]]&gt;0,SnapshotTable[[#This Row],[LP Fill Date]]=0),"Y","")</f>
        <v/>
      </c>
      <c r="BP165" s="31" t="str">
        <f>IF(AND(SnapshotTable[[#This Row],[LP No Fill]]&lt;&gt;"Y",SnapshotTable[[#This Row],[LP Contract Value]]&gt;0, SnapshotTable[[#This Row],[LP Qty]]&gt;0), SnapshotTable[[#This Row],[LP Contract Value]]*SnapshotTable[[#This Row],[LP Qty]]*100,"")</f>
        <v/>
      </c>
      <c r="BQ165" s="145"/>
      <c r="BR165" s="136"/>
      <c r="BS165" s="376"/>
      <c r="BT165" s="145"/>
      <c r="BU165" s="145"/>
      <c r="BV165" s="136"/>
      <c r="BW165" s="382" t="b">
        <f>AND(ISNUMBER(SnapshotTable[[#This Row],[SP Exp Date]]), ISNUMBER(SnapshotTable[[#This Row],[SP Strike Price]]), ISNUMBER(SnapshotTable[[#This Row],[SP Qty]]), ISNUMBER(SnapshotTable[[#This Row],[SP Book Date]]), ISNUMBER(SnapshotTable[[#This Row],[SP Book Price]]))</f>
        <v>0</v>
      </c>
      <c r="BX165" s="382" t="b">
        <f>AND(SnapshotTable[[#This Row],[SP Is Booked]], NOT(ISBLANK(SnapshotTable[[#This Row],[SP Fill Date]])))</f>
        <v>0</v>
      </c>
      <c r="BY165" s="33">
        <f>IF(SnapshotTable[[#This Row],[SP Is Booked]], SnapshotTable[[#This Row],[SP Qty]] * SnapshotTable[[#This Row],[SP Book Price]] * 100, 0)</f>
        <v>0</v>
      </c>
      <c r="BZ165" s="339"/>
      <c r="CA165" s="338">
        <f>SnapshotTable[[#This Row],[LP Qty]]</f>
        <v>0</v>
      </c>
      <c r="CB165" s="4" t="str">
        <f>IF(SnapshotTable[[#This Row],[SP Is Booked]], SnapshotTable[[#This Row],[SP Strike Price]] - SnapshotTable[[#This Row],[SP Book Price]], "")</f>
        <v/>
      </c>
      <c r="CC165" s="19" t="str">
        <f>IF(SnapshotTable[[#This Row],[SP Is Booked]],SnapshotTable[[#This Row],[SP Exp Date]]-MAX(SnapshotTable[[#This Row],[SP Book Date]], SnapshotTable[[#This Row],[SP Fill Date]]),"")</f>
        <v/>
      </c>
      <c r="CD165" s="7" t="str">
        <f>IF(SnapshotTable[[#This Row],[SP Is Booked]], SnapshotTable[[#This Row],[SP Book Price]]/SnapshotTable[[#This Row],[SP Strike Price]], "")</f>
        <v/>
      </c>
      <c r="CE165" s="7" t="str">
        <f>IF(ISNUMBER(SnapshotTable[[#This Row],[SP ROO Term]]),SnapshotTable[[#This Row],[SP ROO Term]]*(365/SnapshotTable[[#This Row],[SP Term]]),"")</f>
        <v/>
      </c>
      <c r="CF165" s="221">
        <f>SnapshotTable[[#This Row],[LP Strike Price]] * SnapshotTable[[#This Row],[LP Qty]] * 100</f>
        <v>0</v>
      </c>
      <c r="CG165" s="31">
        <f>IF(ISNUMBER(SnapshotTable[[#This Row],[SP Premium]]), (SnapshotTable[[#This Row],[SP Qty]] * SnapshotTable[[#This Row],[SP Strike Price]]* 100) - SnapshotTable[[#This Row],[LP Protection]], 0)</f>
        <v>0</v>
      </c>
      <c r="CH165" s="7" t="str">
        <f>IF(ISNUMBER(SnapshotTable[[#This Row],[SP Break Even]]),-1 * (SnapshotTable[[#This Row],[SP Break Even]] - SnapshotTable[[#This Row],[Last Price]]) / SnapshotTable[[#This Row],[Last Price]], "")</f>
        <v/>
      </c>
      <c r="CI165" s="31">
        <f>IF(AND(ISNUMBER((SnapshotTable[[#This Row],[SP Potential Spend]])), SnapshotTable[[#This Row],[SP Strike Price]] &gt; SnapshotTable[[#This Row],[Last Price]], SnapshotTable[[#This Row],[SP Is Filled]]), SnapshotTable[[#This Row],[SP Potential Spend]] -  SnapshotTable[[#This Row],[LP Max Value]], 0)</f>
        <v>0</v>
      </c>
      <c r="CJ165" s="229"/>
      <c r="CK165" s="31">
        <f>IF(ISNUMBER(SnapshotTable[[#This Row],[SP Potential Spend]]),IF(ISNUMBER(SnapshotTable[[#This Row],[SP POW]]), SnapshotTable[[#This Row],[SP POW]] * SnapshotTable[[#This Row],[SP Potential Spend]], SnapshotTable[[#This Row],[SP Potential Spend]]), "")</f>
        <v>0</v>
      </c>
      <c r="CL165" s="162">
        <f>IF(NOT(SnapshotTable[[#This Row],[SP Is Filled]]),(SnapshotTable[[#This Row],[SP Qty]] * SnapshotTable[[#This Row],[SP Strike Price]] * 100) - SnapshotTable[[#This Row],[LP Max Value]],"")</f>
        <v>0</v>
      </c>
      <c r="CM165" s="31" t="str">
        <f>IF(SnapshotTable[[#This Row],[SP Actual Spend]]&lt;&gt;0, ((SnapshotTable[[#This Row],[SP Strike Price]]-SnapshotTable[[#This Row],[Last Price]]) *(SnapshotTable[[#This Row],[SP Qty]]*100) - SnapshotTable[[#This Row],[SP Premium]]) * - 1, "")</f>
        <v/>
      </c>
      <c r="CN165" s="152"/>
      <c r="CO165" s="339"/>
      <c r="CP165" s="291" t="str">
        <f>IF(SnapshotTable[[#This Row],[SP Is Filled]], btc_max_buyback_amount(SnapshotTable[[#This Row],[SP Fill Date]],SnapshotTable[[#This Row],[SP Exp Date]], SnapshotTable[[#This Row],[SP Book Price]]),"")</f>
        <v/>
      </c>
      <c r="CQ165" s="76"/>
      <c r="CR165"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5" s="153" t="str">
        <f>IF(SnapshotTable[[#This Row],[SP Is Filled]], btc_next_cutoff_date(SnapshotTable[[#This Row],[SP Fill Date]],SnapshotTable[[#This Row],[SP Exp Date]]),"")</f>
        <v/>
      </c>
      <c r="CT165" s="220" t="str" cm="1">
        <f t="array" ref="CT165">IF(SnapshotTable[[#This Row],[SP Is Filled]], btc_should_buy_back(SnapshotTable[[#This Row],[SP Fill Date]], SnapshotTable[[#This Row],[SP Exp Date]], SnapshotTable[[#This Row],[SP Book Price]], SnapshotTable[[#This Row],[SP Current Ask]], MockToday, SnapshotTable[[#This Row],[SP Buyback Override]]),"")</f>
        <v/>
      </c>
      <c r="CU165" s="154"/>
      <c r="CV165" s="360"/>
      <c r="CW165" s="348" t="str">
        <f>IF(ISNUMBER( SnapshotTable[[#This Row],[SP Term]]), SnapshotTable[[#This Row],[SP Exp Date]] - MockToday,"")</f>
        <v/>
      </c>
      <c r="CX165" s="31" t="str">
        <f>IF(SnapshotTable[[#This Row],[SP Is Filled]],SnapshotTable[[#This Row],[SP Buyback Price to Use]] * 100 * SnapshotTable[[#This Row],[SP Qty]], "")</f>
        <v/>
      </c>
      <c r="CY165" s="4" t="str">
        <f>IF(ISNUMBER(SnapshotTable[[#This Row],[SP Strike Price]]), SnapshotTable[[#This Row],[SP Strike Price]] * (1 - SP_MaxLoss_StrikePct), "")</f>
        <v/>
      </c>
      <c r="CZ165" s="31" t="str">
        <f>IF(ISNUMBER(SnapshotTable[[#This Row],[SP Strike  Stop Per Share]]),SnapshotTable[[#This Row],[SP Premium]] - ((SnapshotTable[[#This Row],[SP Strike Price]]-SnapshotTable[[#This Row],[SP Strike  Stop Per Share]]) *(SnapshotTable[[#This Row],[SP Qty]] * 100)),"")</f>
        <v/>
      </c>
      <c r="DA165" s="4" t="str">
        <f>IF(AND(ISNUMBER(SnapshotTable[[#This Row],[SP Premium]]),SnapshotTable[[#This Row],[SP Premium]]&gt;0), SnapshotTable[[#This Row],[SP Book Price]] * (1 + SP_MaxLoss_OptionPct), "")</f>
        <v/>
      </c>
      <c r="DB165" s="31" t="str">
        <f>IF(ISNUMBER(SnapshotTable[[#This Row],[SP Option  Stop Contract]]),(SnapshotTable[[#This Row],[SP Option  Stop Contract]] *(SnapshotTable[[#This Row],[SP Qty]] * 100) - SnapshotTable[[#This Row],[SP Premium]]),"")</f>
        <v/>
      </c>
      <c r="DC165" s="4"/>
      <c r="DD165" s="4"/>
      <c r="DE165" s="4" t="str">
        <f>IF(AND(SnapshotTable[[#This Row],[SP Qty]]&gt;0, SnapshotTable[[#This Row],[SP Stop To Use]]&gt;0),SnapshotTable[[#This Row],[SP Premium]] - ( SnapshotTable[[#This Row],[SP Qty]] * SnapshotTable[[#This Row],[SP Stop To Use]] * 100), "")</f>
        <v/>
      </c>
      <c r="DF165" s="31" t="str">
        <f>IF(AND(SnapshotTable[[#This Row],[SP Qty]]&gt;0,SnapshotTable[[#This Row],[SP Current Ask]]&gt;0), SnapshotTable[[#This Row],[SP Qty]] * SnapshotTable[[#This Row],[SP Current Ask]] * -100, "")</f>
        <v/>
      </c>
      <c r="DG165" s="31" t="str">
        <f>IF(ISNUMBER((SnapshotTable[[#This Row],[SP Total Value]])), SnapshotTable[[#This Row],[SP Premium]] + SnapshotTable[[#This Row],[SP Total Value]], "")</f>
        <v/>
      </c>
      <c r="DH165" s="272" t="str">
        <f>IF(ISNUMBER((SnapshotTable[[#This Row],[SP Total Value]])), SnapshotTable[[#This Row],[SP Gain Loss]] / SnapshotTable[[#This Row],[SP Premium]], "")</f>
        <v/>
      </c>
      <c r="DI165" s="369"/>
      <c r="DJ165" s="145"/>
      <c r="DK165" s="146"/>
      <c r="DL165" s="145"/>
      <c r="DM165" s="145"/>
      <c r="DN165" s="145"/>
      <c r="DO165" s="31">
        <f>IF(SnapshotTable[[#This Row],[LC Symbol Count]]=1, SnapshotTable[[#This Row],[LC Qty]] * SnapshotTable[[#This Row],[LC Book Price]] * 100, 0)</f>
        <v>0</v>
      </c>
      <c r="DP165" s="270" t="str">
        <f>IF(AND(SnapshotTable[[#This Row],[LC Exp Date]]&gt;0, SnapshotTable[[#This Row],[LC Strike Price]]&gt;0,SnapshotTable[[#This Row],[LC Qty]]&gt;0,SnapshotTable[[#This Row],[LC Book Date]]&gt;0,SnapshotTable[[#This Row],[LC Book Price]]&gt;0,SnapshotTable[[#This Row],[LC Fill Date]]=0),"Y","")</f>
        <v/>
      </c>
      <c r="DQ165" s="356" t="str">
        <f>IF(SnapshotTable[[#This Row],[LC Premium]] &gt; 0,SnapshotTable[[#This Row],[LC Exp Date]]-MAX(SnapshotTable[[#This Row],[LC Book Date]], SnapshotTable[[#This Row],[LC Fill Date]]),"")</f>
        <v/>
      </c>
      <c r="DR165" s="356" t="str">
        <f>IF(ISNUMBER(SnapshotTable[[#This Row],[LC Term]]), SnapshotTable[[#This Row],[LC Exp Date]] - MockToday, "")</f>
        <v/>
      </c>
      <c r="DS165" s="325" t="str">
        <f>IF(SnapshotTable[[#This Row],[LC Premium]]&gt;0,SnapshotTable[[#This Row],[LC Strike Price]] + SnapshotTable[[#This Row],[LC Book Price]],"")</f>
        <v/>
      </c>
      <c r="DT165" s="161"/>
      <c r="DU165" s="9" t="str">
        <f>IF(AND(SnapshotTable[[#This Row],[LC Symbol Count]]&gt;0, SnapshotTable[[#This Row],[LC Contract Value]]&gt;0), SnapshotTable[[#This Row],[LC Contract Value]] * SnapshotTable[[#This Row],[LC Qty]] * 100, "")</f>
        <v/>
      </c>
      <c r="DV165" s="9" t="str">
        <f>IF(AND(ISNUMBER(SnapshotTable[[#This Row],[LC Total Value]]), SnapshotTable[[#This Row],[LC Not Filled]]&lt;&gt;"Y"), SnapshotTable[[#This Row],[LC Total Value]]-SnapshotTable[[#This Row],[LC Premium]],"")</f>
        <v/>
      </c>
      <c r="DW165" s="225" t="str">
        <f>IF(ISNUMBER(SnapshotTable[[#This Row],[LC Actual Gain Loss]]), SnapshotTable[[#This Row],[LC Actual Gain Loss]] / SnapshotTable[[#This Row],[LC Premium]],"")</f>
        <v/>
      </c>
      <c r="DX165" s="269" t="str">
        <f>IF(ISNUMBER(SnapshotTable[[#This Row],[LC Book Price]]),SnapshotTable[[#This Row],[LC Book Price]] * 1.5,"")</f>
        <v/>
      </c>
      <c r="DY165" s="250" t="str">
        <f>IF(SnapshotTable[[#This Row],[LC Premium]]&gt;0, SnapshotTable[[#This Row],[LC Next Target]] * SnapshotTable[[#This Row],[LC Qty]] * 100,"")</f>
        <v/>
      </c>
      <c r="DZ165" s="250" t="str">
        <f>IF(ISNUMBER(SnapshotTable[[#This Row],[LC Target Gross]]), SnapshotTable[[#This Row],[LC Target Gross]] - SnapshotTable[[#This Row],[LC Premium]], "")</f>
        <v/>
      </c>
      <c r="EA165" s="283" t="str">
        <f>IF(ISNUMBER(SnapshotTable[[#This Row],[LC Target Gain Loss]]), SnapshotTable[[#This Row],[LC Target Gain Loss]]/SnapshotTable[[#This Row],[LC Premium]], "")</f>
        <v/>
      </c>
      <c r="EB165" s="247"/>
      <c r="EC165" s="271" t="str">
        <f>IF(SnapshotTable[[#This Row],[LC Premium]]&gt;0, SnapshotTable[[#This Row],[LC Book Price]] * (1 - LC_StopLoss_Pct),"")</f>
        <v/>
      </c>
      <c r="ED165" s="269"/>
      <c r="EE165" s="271" t="str">
        <f>IF(ISNUMBER(SnapshotTable[[#This Row],[LC Contract Value]]),IF(ISNUMBER(SnapshotTable[[#This Row],[LC Stop Loss Override]]), SnapshotTable[[#This Row],[LC Stop Loss Override]],SnapshotTable[[#This Row],[LC Stop Loss Calc Target]]),"")</f>
        <v/>
      </c>
      <c r="EF165" s="292" t="str">
        <f>IF(ISNUMBER(SnapshotTable[[#This Row],[LC Stop  To Use]]), (SnapshotTable[[#This Row],[LC Stop  To Use]] * SnapshotTable[[#This Row],[LC Qty]] * 100),"")</f>
        <v/>
      </c>
      <c r="EG165" s="9" t="str">
        <f>IF(ISNUMBER(SnapshotTable[[#This Row],[LC Total Value]]),SnapshotTable[[#This Row],[LC Stop Loss Amount]] - SnapshotTable[[#This Row],[LC Premium]],"")</f>
        <v/>
      </c>
      <c r="EH165" s="9">
        <f>IF(ISNUMBER(SnapshotTable[[#This Row],[LC Premium]]), SnapshotTable[[#This Row],[LC Qty]] * 100 * SnapshotTable[[#This Row],[LC Strike Price]], "")</f>
        <v>0</v>
      </c>
      <c r="EI165" s="225" t="str">
        <f>IF(AND(ISNUMBER(SnapshotTable[[#This Row],[LC Total Value]]),SnapshotTable[[#This Row],[LC Total Value]]&gt;0),SnapshotTable[[#This Row],[LC Stop Gain Loss]]  / SnapshotTable[[#This Row],[LC Premium]],"")</f>
        <v/>
      </c>
      <c r="EJ165" s="35">
        <f>IF(ISNUMBER(SnapshotTable[[#This Row],[Equity Shares]]),TRUNC(SnapshotTable[[#This Row],[Equity Shares]] / 100),0) + SnapshotTable[[#This Row],[LC Qty]]</f>
        <v>0</v>
      </c>
      <c r="EK165" s="145"/>
      <c r="EL165" s="136"/>
      <c r="EM165" s="146"/>
      <c r="EN165" s="145"/>
      <c r="EO165" s="145"/>
      <c r="EP165" s="136"/>
      <c r="EQ165" s="382" t="b">
        <f>AND(ISNUMBER(SnapshotTable[[#This Row],[SC Exp Date]]), ISNUMBER(SnapshotTable[[#This Row],[SC Strike Price]]), ISNUMBER(SnapshotTable[[#This Row],[SC Qty]]), ISNUMBER(SnapshotTable[[#This Row],[SC Book Date]]), ISNUMBER(SnapshotTable[[#This Row],[SC Book Price]]))</f>
        <v>0</v>
      </c>
      <c r="ER165" s="382" t="b">
        <f>AND(SnapshotTable[[#This Row],[SC Is Booked]], NOT(ISBLANK(SnapshotTable[[#This Row],[SC Fill Date]])))</f>
        <v>0</v>
      </c>
      <c r="ES165" s="340"/>
      <c r="ET165" s="34" t="str">
        <f>IF(AND(ISNUMBER(SnapshotTable[[#This Row],[SC Exp Date]]), ISNUMBER(SnapshotTable[[#This Row],[SC Book Date]])), SnapshotTable[[#This Row],[SC Exp Date]] - MAX(SnapshotTable[[#This Row],[SC Book Date]], SnapshotTable[[#This Row],[SC Fill Date]]) + 1, "")</f>
        <v/>
      </c>
      <c r="EU165" s="34" t="str">
        <f>IF(ISNUMBER(SnapshotTable[[#This Row],[SC Term]]), SnapshotTable[[#This Row],[SC Exp Date]]- MockToday, "")</f>
        <v/>
      </c>
      <c r="EV165" s="31">
        <f>IF(SnapshotTable[[#This Row],[SC Is Booked]], SnapshotTable[[#This Row],[SC Qty]] * SnapshotTable[[#This Row],[SC Book Price]] * 100, 0)</f>
        <v>0</v>
      </c>
      <c r="EW165" s="4" t="str">
        <f>IF(AND(ISNUMBER(SnapshotTable[[#This Row],[Last Price]]), ISNUMBER( SnapshotTable[[#This Row],[SC Book Price]])), SnapshotTable[[#This Row],[Last Price]] - SnapshotTable[[#This Row],[SC Book Price]],"")</f>
        <v/>
      </c>
      <c r="EX165" s="344" t="str">
        <f>IF(SnapshotTable[[#This Row],[SC Is Booked]],IF(SnapshotTable[[#This Row],[SC Intrinsic Value]] &gt; 0, SnapshotTable[[#This Row],[SC Strike Price]], SnapshotTable[[#This Row],[Last Price]]), "")</f>
        <v/>
      </c>
      <c r="EY165" s="4">
        <f>IF(SnapshotTable[[#This Row],[SC Is Booked]], (MinimumPremiumRequired * SnapshotTable[[#This Row],[SC Basis]] * SnapshotTable[[#This Row],[SC Term]]), 0)</f>
        <v>0</v>
      </c>
      <c r="EZ165" s="377"/>
      <c r="FA165" s="361"/>
      <c r="FB165" s="362"/>
      <c r="FC165" s="4">
        <f>IF(SnapshotTable[[#This Row],[SC Is Filled]], btc_max_buyback_amount(SnapshotTable[[#This Row],[SC Fill Date]],SnapshotTable[[#This Row],[SC Exp Date]], SnapshotTable[[#This Row],[SC Book Price]]),0)</f>
        <v>0</v>
      </c>
      <c r="FD165" s="5"/>
      <c r="FE165" s="142" t="str">
        <f>IF(SnapshotTable[[#This Row],[SC Is Filled]], btc_next_cutoff_date(SnapshotTable[[#This Row],[SC Fill Date]],SnapshotTable[[#This Row],[SC Exp Date]]),"")</f>
        <v/>
      </c>
      <c r="FF165" s="4" t="str" cm="1">
        <f t="array" ref="FF165">IF(SnapshotTable[[#This Row],[SC Is Filled]], btc_should_buy_back(SnapshotTable[[#This Row],[SC Fill Date]], SnapshotTable[[#This Row],[SC Exp Date]], SnapshotTable[[#This Row],[SC Book Price]], SnapshotTable[[#This Row],[SC Current Ask]], MockToday, SnapshotTable[[#This Row],[SC Buyback Override]]),"")</f>
        <v/>
      </c>
      <c r="FG165" s="4">
        <f>IF(SnapshotTable[[#This Row],[SC Is Filled]], MAX(0,SnapshotTable[[#This Row],[Last Price]]  - SnapshotTable[[#This Row],[SC Strike Price]]), 0)</f>
        <v>0</v>
      </c>
      <c r="FH165" s="352">
        <f>IF(SnapshotTable[[#This Row],[SC Is Filled]], IF(ISNUMBER(SnapshotTable[[#This Row],[SC Current Ask]]), SnapshotTable[[#This Row],[SC Current Ask]], SnapshotTable[[#This Row],[SC Book Price]]) - SnapshotTable[[#This Row],[SC Intrinsic Value]], 0)</f>
        <v>0</v>
      </c>
      <c r="FI165" s="154"/>
      <c r="FJ165" s="32" t="str">
        <f>IF(SnapshotTable[[#This Row],[SC Is Filled]],100 * SnapshotTable[[#This Row],[SC Qty]] * IF(ISNUMBER(SnapshotTable[[#This Row],[SC Buyback Override]]), SnapshotTable[[#This Row],[SC Buyback Override]], SnapshotTable[[#This Row],[SC Current Ask]]), "")</f>
        <v/>
      </c>
      <c r="FK165" s="235" t="str">
        <f>IF(SnapshotTable[[#This Row],[SC Time Val]]&gt;0, SnapshotTable[[#This Row],[SC Time Val]] / SnapshotTable[[#This Row],[Last Price]],"")</f>
        <v/>
      </c>
      <c r="FL165" s="280" t="str">
        <f>IF(SnapshotTable[[#This Row],[SC Is Booked]], ((SnapshotTable[[#This Row],[Last Price]] -SnapshotTable[[#This Row],[SC Strike Price]]) / SnapshotTable[[#This Row],[Last Price]]) * -1, "")</f>
        <v/>
      </c>
      <c r="FM165" s="155" t="str">
        <f>IF(SnapshotTable[[#This Row],[SC Is Booked]],  (SnapshotTable[[#This Row],[SC Qty]] * 100 * SnapshotTable[[#This Row],[SC Strike Price]]) - SnapshotTable[[#This Row],[SC Current Ask]], "")</f>
        <v/>
      </c>
      <c r="FN165"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5" s="155" t="str">
        <f>IF(AND(ISNUMBER(SnapshotTable[[#This Row],[SC Exercise Gross]]), ISNUMBER(SnapshotTable[[#This Row],[Equity Basis Per Share]] )), SnapshotTable[[#This Row],[SC Exercise Gross]] - SnapshotTable[[#This Row],[Equity Basis Total]] +  SnapshotTable[[#This Row],[SC Premium]], "")</f>
        <v/>
      </c>
      <c r="FP165" s="5" t="str">
        <f>IF(ISNUMBER(SnapshotTable[[#This Row],[SC Exercise Gross]]), (SnapshotTable[[#This Row],[SC Exercise Gross]]) / (SnapshotTable[[#This Row],[SC Qty]] * 100), "")</f>
        <v/>
      </c>
      <c r="FQ165" s="27" t="str">
        <f>IF(SnapshotTable[[#This Row],[SC Is Booked]],SnapshotTable[[#This Row],[SC Time Val]] /SnapshotTable[[#This Row],[SC Basis]], "")</f>
        <v/>
      </c>
      <c r="FR165" s="27" t="str" cm="1">
        <f t="array" ref="FR165">IF(AND(ISNUMBER(SnapshotTable[[#This Row],[SC Term]]),ISNUMBER(SnapshotTable[[#This Row],[SC Simple ROO]])), EllmanAnnualize(SnapshotTable[[#This Row],[SC DTE]], SnapshotTable[[#This Row],[SC Simple ROO]] ),"")</f>
        <v/>
      </c>
      <c r="FS165" s="4">
        <f>IF(SnapshotTable[[#This Row],[SC Strike Price]] &gt; SnapshotTable[[#This Row],[Last Price]], SnapshotTable[[#This Row],[SC Strike Price]] - SnapshotTable[[#This Row],[Last Price]],0)</f>
        <v>0</v>
      </c>
      <c r="FT165" s="27" t="str">
        <f>IF(AND(ISNUMBER(SnapshotTable[[#This Row],[SC Upside Potential]]), SnapshotTable[[#This Row],[SC Upside Potential]] &gt; 0),(SnapshotTable[[#This Row],[SC Upside Potential]]/ SnapshotTable[[#This Row],[ACB]]),"")</f>
        <v/>
      </c>
      <c r="FU165" s="304" t="str">
        <f>IF(SnapshotTable[[#This Row],[SC Intrinsic Value]] &gt; 0,SnapshotTable[[#This Row],[SC Intrinsic Value]],"")</f>
        <v/>
      </c>
      <c r="FV165" s="27" t="str">
        <f>IF(AND( ISNUMBER( SnapshotTable[[#This Row],[ACB]]),ISNUMBER(SnapshotTable[[#This Row],[SC Downside Protect]])),SnapshotTable[[#This Row],[SC Downside Protect]] / SnapshotTable[[#This Row],[ACB]],"")</f>
        <v/>
      </c>
      <c r="FW165" s="221" t="str">
        <f>IF(AND(ISNUMBER(SnapshotTable[[#This Row],[SC Simple ROO]]),SnapshotTable[[#This Row],[SC Simple ROO]] &gt; 0), SnapshotTable[[#This Row],[SC Premium]] + (SnapshotTable[[#This Row],[SC Qty]] * SnapshotTable[[#This Row],[SC Upside Potential]]), "")</f>
        <v/>
      </c>
      <c r="FX165" s="280" t="str" cm="1">
        <f t="array" ref="FX165">IF(ISNUMBER(SnapshotTable[[#This Row],[SC Max Dollars]]), annualize(SnapshotTable[[#This Row],[SC Term]],(SnapshotTable[[#This Row],[SC Max Dollars]]/SnapshotTable[[#This Row],[SC Basis]])),"")</f>
        <v/>
      </c>
      <c r="FY165" s="221" t="str">
        <f>IF(AND(SnapshotTable[[#This Row],[SC Qty]]&gt;0,SnapshotTable[[#This Row],[SC Current Ask]]&gt;0), SnapshotTable[[#This Row],[SC Qty]] * SnapshotTable[[#This Row],[SC Current Ask]] * -100, "")</f>
        <v/>
      </c>
      <c r="FZ165" s="220" t="str">
        <f>IF(ISNUMBER((SnapshotTable[[#This Row],[SC Current Value]])), SnapshotTable[[#This Row],[SC Premium]] + SnapshotTable[[#This Row],[SC Current Value]], "")</f>
        <v/>
      </c>
      <c r="GA165" s="272" t="str">
        <f>IFERROR( IF(ISNUMBER((SnapshotTable[[#This Row],[SC Current Value]])), SnapshotTable[[#This Row],[SC Gain Loss]] / SnapshotTable[[#This Row],[SC Premium]], ""), "")</f>
        <v/>
      </c>
      <c r="GB165" s="378">
        <f>SnapshotTable[[#This Row],[Equity Shares]] * SaleSharesToConsiderPercentage</f>
        <v>0</v>
      </c>
      <c r="GC165" s="379">
        <f>SnapshotTable[[#This Row],[Long Term Target]] * SellingPriceToConsiderBasedOnTargetPercentage</f>
        <v>0</v>
      </c>
      <c r="GD165" s="379">
        <f>SnapshotTable[[#This Row],[Last Price]] * (1+ SellingPriceToConsiderBasedOnTargetPercentage)</f>
        <v>821.35949999999991</v>
      </c>
      <c r="GE165" s="380"/>
      <c r="GF165" s="379"/>
      <c r="GG165" s="31">
        <f>SnapshotTable[[#This Row],[Booked Sale Shares]] * SnapshotTable[[#This Row],[Booked Sale Price]]</f>
        <v>0</v>
      </c>
      <c r="GH165" s="31" t="str">
        <f>IF(SnapshotTable[[#This Row],[Equity Basis Total]] &gt; 0, SnapshotTable[[#This Row],[Equity Basis Per Share]] * SnapshotTable[[#This Row],[Booked Sale Shares]], "")</f>
        <v/>
      </c>
      <c r="GI165" s="31">
        <f>IF(SnapshotTable[[#This Row],[Sale Proceeds]]&gt;0, SnapshotTable[[#This Row],[Sale Proceeds]] - SnapshotTable[[#This Row],[Sale Basis]], 0)</f>
        <v>0</v>
      </c>
      <c r="GJ165" s="156" t="str">
        <f>IF(SnapshotTable[[#This Row],[Sale G/L]]&gt;0, SnapshotTable[[#This Row],[Sale G/L]] / SnapshotTable[[#This Row],[Sale Basis]], IF(ISNUMBER(SnapshotTable[[#This Row],[SC Exercise P&amp;L (TAX)]]), SnapshotTable[[#This Row],[SC Exercise P&amp;L (TAX)]] / SnapshotTable[[#This Row],[SC Basis]], ""))</f>
        <v/>
      </c>
      <c r="GK165" s="27"/>
      <c r="GL165" s="157" t="str">
        <f>IF(AND(SnapshotTable[[#This Row],[LP Exp Date]]&gt;0,SnapshotTable[[#This Row],[LP Strike Price]]&gt;0), [1]!ToOptionSymbol(SnapshotTable[[#This Row],[Symbol]], SnapshotTable[[#This Row],[LP Strike Price]],SnapshotTable[[#This Row],[LP Exp Date]],1), "")</f>
        <v/>
      </c>
      <c r="GM165" s="30" t="str">
        <f>IF(LEN(SnapshotTable[[#This Row],[LP Symbol]])&gt;0, 1, "")</f>
        <v/>
      </c>
      <c r="GN165" s="43" t="str">
        <f>IF(AND(SnapshotTable[[#This Row],[SP Exp Date]]&gt;0,SnapshotTable[[#This Row],[SP Strike Price]]&gt;0), [1]!ToOptionSymbol(SnapshotTable[[#This Row],[Symbol]], SnapshotTable[[#This Row],[SP Strike Price]],SnapshotTable[[#This Row],[SP Exp Date]],1), "")</f>
        <v/>
      </c>
      <c r="GO165" s="30" t="str">
        <f>IF(LEN(SnapshotTable[[#This Row],[SP Symbol]])&gt;0, 1, "")</f>
        <v/>
      </c>
      <c r="GP165" s="157" t="str">
        <f>IF(AND(SnapshotTable[[#This Row],[LC Exp Date]]&gt;0,SnapshotTable[[#This Row],[LC Strike Price]]&gt;0), [1]!ToOptionSymbol(SnapshotTable[[#This Row],[Symbol]], SnapshotTable[[#This Row],[LC Strike Price]],SnapshotTable[[#This Row],[LC Exp Date]],0), "")</f>
        <v/>
      </c>
      <c r="GQ165" s="158" t="str">
        <f>IF(LEN(SnapshotTable[[#This Row],[LC Symbol]])&gt;0, 1, "")</f>
        <v/>
      </c>
      <c r="GR165" s="157" t="str">
        <f>IF(AND(SnapshotTable[[#This Row],[SC Exp Date]]&gt;0,SnapshotTable[[#This Row],[SC Strike Price]]&gt;0), [1]!ToOptionSymbol(SnapshotTable[[#This Row],[Symbol]], SnapshotTable[[#This Row],[SC Strike Price]],SnapshotTable[[#This Row],[SC Exp Date]],0), "")</f>
        <v/>
      </c>
      <c r="GS165" s="158" t="str">
        <f>IF(LEN(SnapshotTable[[#This Row],[SC Symbol]])&gt;0, 1, "")</f>
        <v/>
      </c>
      <c r="GT165" s="159" t="str">
        <f>IF(COUNT(SnapshotTable[[#This Row],[LP Symbol Count]],SnapshotTable[[#This Row],[SP Symbol Count]],SnapshotTable[[#This Row],[LC Symbol Count]],SnapshotTable[[#This Row],[SC Symbol Count]])&gt;0, "Y", "")</f>
        <v/>
      </c>
      <c r="GU16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5" s="216">
        <f>MAX(SnapshotTable[[#This Row],[Equity Basis Total]],SnapshotTable[[#This Row],[Equity Value]]) + (SnapshotTable[[#This Row],[SP Potential Spend]]- SnapshotTable[[#This Row],[SP Premium]] + SnapshotTable[[#This Row],[LP Premium]])+ (SnapshotTable[[#This Row],[LC Premium]] - SnapshotTable[[#This Row],[SC Premium]])</f>
        <v>0</v>
      </c>
      <c r="GW165" s="137" t="str">
        <f>IF(AND(SnapshotTable[[#This Row],[Exposure]] &lt;&gt; 0),SnapshotTable[[#This Row],[Exposure]] / SnapshotTable[[#Totals],[Exposure]], "")</f>
        <v/>
      </c>
      <c r="HE165" s="253"/>
      <c r="HF165" s="253"/>
      <c r="HK165" s="1"/>
      <c r="HL165" s="1"/>
      <c r="HM165" s="1"/>
      <c r="HN165" s="1"/>
      <c r="HO165" s="1"/>
      <c r="HP165" s="1"/>
    </row>
    <row r="166" spans="2:224" ht="12.75" hidden="1" customHeight="1" x14ac:dyDescent="0.25">
      <c r="B166" s="12" t="s">
        <v>646</v>
      </c>
      <c r="C166" s="385">
        <v>91.63</v>
      </c>
      <c r="D166" s="200"/>
      <c r="E166" s="39">
        <f>SnapshotTable[[#This Row],[Last Price]]*(1 -CrashDiscount)</f>
        <v>77.885499999999993</v>
      </c>
      <c r="F166" s="26" t="s">
        <v>647</v>
      </c>
      <c r="G166" s="26" t="s">
        <v>629</v>
      </c>
      <c r="H166" s="147"/>
      <c r="I166" s="186">
        <v>44762.288194444445</v>
      </c>
      <c r="J166" s="187">
        <v>44762.288194444445</v>
      </c>
      <c r="K166" s="188" t="s">
        <v>3</v>
      </c>
      <c r="L166" s="297"/>
      <c r="M166" s="138">
        <v>1</v>
      </c>
      <c r="N166" s="138"/>
      <c r="O166" s="138"/>
      <c r="P166" s="22"/>
      <c r="Q166" s="25"/>
      <c r="R166" s="4" t="str">
        <f>IF(SnapshotTable[[#This Row],[Equity Basis Total]] &gt; 0, SnapshotTable[[#This Row],[Equity Basis Total]] / SnapshotTable[[#This Row],[Equity Shares]], "")</f>
        <v/>
      </c>
      <c r="S166" s="254">
        <f>SnapshotTable[[#This Row],[Last Price]] * SnapshotTable[[#This Row],[Equity Shares]]</f>
        <v>0</v>
      </c>
      <c r="T166" s="254">
        <f>SnapshotTable[[#This Row],[Equity Value]] - SnapshotTable[[#This Row],[Equity Basis Total]]</f>
        <v>0</v>
      </c>
      <c r="U166" s="255" t="str">
        <f>IF(SnapshotTable[[#This Row],[Equity Basis Total]] &gt; 0, SnapshotTable[[#This Row],[Equity G/L]] / SnapshotTable[[#This Row],[Equity Basis Total]], "")</f>
        <v/>
      </c>
      <c r="V166" s="253"/>
      <c r="W166" s="253"/>
      <c r="X166" s="4" t="str">
        <f>IF(AND(ISNUMBER(SnapshotTable[[#This Row],[Equity Basis Per Share]]),ISNUMBER(SnapshotTable[[#This Row],[Equity Target]])),SnapshotTable[[#This Row],[Equity Target]]-SnapshotTable[[#This Row],[Equity Basis Per Share]],"")</f>
        <v/>
      </c>
      <c r="Y166" s="4" t="str">
        <f>IF(AND(ISNUMBER(SnapshotTable[[#This Row],[Equity Basis Per Share]]),ISNUMBER(SnapshotTable[[#This Row],[Equity Stop Loss]])),SnapshotTable[[#This Row],[Equity Stop Loss]]-SnapshotTable[[#This Row],[Equity Basis Per Share]],"")</f>
        <v/>
      </c>
      <c r="Z166" s="260" t="str">
        <f>IFERROR( TEXT(SnapshotTable[[#This Row],[Equity Max Gain Per Share]] /ABS( SnapshotTable[[#This Row],[Equity Max Loss Per Share]]),"0.0 " ) &amp; " : 1", "")</f>
        <v/>
      </c>
      <c r="AA166" s="31" t="str">
        <f>IF(ISNUMBER(SnapshotTable[[#This Row],[Equity Max Gain Per Share]]),SnapshotTable[[#This Row],[Equity Max Gain Per Share]] * SnapshotTable[[#This Row],[Equity Shares]],"")</f>
        <v/>
      </c>
      <c r="AB166" s="31" t="str">
        <f>IF(ISNUMBER(SnapshotTable[[#This Row],[Equity Max Loss Per Share]]),SnapshotTable[[#This Row],[Equity Max Loss Per Share]] * SnapshotTable[[#This Row],[Equity Shares]],"")</f>
        <v/>
      </c>
      <c r="AC166" s="148"/>
      <c r="AD166" s="149"/>
      <c r="AE166" s="31">
        <f>(SnapshotTable[[#This Row],[Annual Dividend Per Share]] / 4) * SnapshotTable[[#This Row],[Equity Shares]]</f>
        <v>0</v>
      </c>
      <c r="AF166" s="31">
        <f>SnapshotTable[[#This Row],[Quarterly Div $]] * 4</f>
        <v>0</v>
      </c>
      <c r="AG166" s="7">
        <f>IF(SnapshotTable[[#This Row],[Annual Dividend Per Share]]&gt;0, SnapshotTable[[#This Row],[Annual Dividend Per Share]]  / SnapshotTable[[#This Row],[Last Price]], 0)</f>
        <v>0</v>
      </c>
      <c r="AH166" s="149"/>
      <c r="AI166" s="5">
        <v>77</v>
      </c>
      <c r="AJ166" s="136">
        <v>75.69</v>
      </c>
      <c r="AK166" s="150">
        <f>IF(ISNUMBER( SnapshotTable[[#This Row],[EBF Target]]),(SnapshotTable[[#This Row],[EBF Target]] - SnapshotTable[[#This Row],[Last Price]]) / SnapshotTable[[#This Row],[Last Price]], "")</f>
        <v>-0.15966386554621845</v>
      </c>
      <c r="AL166" s="150" t="str">
        <f>IF(AND(SnapshotTable[[#This Row],[Equity Basis Total]] &gt; 0,ISNUMBER( SnapshotTable[[#This Row],[Long Term Target]])), SnapshotTable[[#This Row],[From Basis $]] / SnapshotTable[[#This Row],[Equity Basis Total]], "")</f>
        <v/>
      </c>
      <c r="AM166" s="9">
        <f>IF( AND(SnapshotTable[[#This Row],[Equity Shares]] &gt;0,ISNUMBER( SnapshotTable[[#This Row],[Long Term Target]])),(SnapshotTable[[#This Row],[Equity Shares]] * SnapshotTable[[#This Row],[Long Term Target]]) - SnapshotTable[[#This Row],[Equity Basis Total]],0)</f>
        <v>0</v>
      </c>
      <c r="AN166" s="9">
        <f>IF( AND(SnapshotTable[[#This Row],[Equity Shares]] &gt;0,ISNUMBER( SnapshotTable[[#This Row],[Long Term Target]])),(SnapshotTable[[#This Row],[Equity Shares]]*SnapshotTable[[#This Row],[Long Term Target]]) - SnapshotTable[[#This Row],[Equity Value]],0)</f>
        <v>0</v>
      </c>
      <c r="AO166" s="150">
        <f>IF(AND(ISNUMBER( SnapshotTable[[#This Row],[Long Term Target]]), ISNUMBER(SnapshotTable[[#This Row],[Last Price]])),(SnapshotTable[[#This Row],[Long Term Target]] - SnapshotTable[[#This Row],[Last Price]]) / SnapshotTable[[#This Row],[Last Price]], "")</f>
        <v>-0.17396049328822435</v>
      </c>
      <c r="AP166" s="5"/>
      <c r="AQ166" s="38"/>
      <c r="AR166" s="5"/>
      <c r="AS166" s="38"/>
      <c r="AT166" s="144"/>
      <c r="AU166" s="185" t="str">
        <f>IF(OR(SnapshotTable[[#This Row],[LP No Fill]]="Y",SnapshotTable[[#This Row],[SP Is Filled]],SnapshotTable[[#This Row],[LC Not Filled]]="Y",SnapshotTable[[#This Row],[SC Is Filled]]),"Y","")</f>
        <v/>
      </c>
      <c r="AV166" s="205"/>
      <c r="AW166" s="211"/>
      <c r="AX166" s="206"/>
      <c r="AY166" s="205" t="str">
        <f>IF(SnapshotTable[[#This Row],[Implied Move]]&gt;0, SnapshotTable[[#This Row],[Last Price]]-SnapshotTable[[#This Row],[Implied Move]],"")</f>
        <v/>
      </c>
      <c r="AZ166" s="205" t="str">
        <f>IF(SnapshotTable[[#This Row],[Implied Move]]&gt;0, SnapshotTable[[#This Row],[Last Price]] + SnapshotTable[[#This Row],[Implied Move]],"")</f>
        <v/>
      </c>
      <c r="BA166" s="302"/>
      <c r="BB166" s="318"/>
      <c r="BC16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6" s="321"/>
      <c r="BE166" s="136"/>
      <c r="BF166" s="164"/>
      <c r="BG166" s="165"/>
      <c r="BH166" s="165"/>
      <c r="BI166" s="207"/>
      <c r="BJ166" s="151">
        <f>IF(SnapshotTable[[#This Row],[LP Qty]] &gt; 0, SnapshotTable[[#This Row],[LP Qty]] * SnapshotTable[[#This Row],[LP Book Price]] * 100,0)</f>
        <v>0</v>
      </c>
      <c r="BK166" s="134">
        <f>IF(SnapshotTable[[#This Row],[LP Premium]] &gt; 0, SnapshotTable[[#This Row],[LP Qty]] * SnapshotTable[[#This Row],[LP Strike Price]] * 100,0)</f>
        <v>0</v>
      </c>
      <c r="BL166" s="152"/>
      <c r="BM166" s="355" t="str">
        <f>IF(SnapshotTable[[#This Row],[LP Premium]] &gt; 0,SnapshotTable[[#This Row],[LP Exp Date]]-MAX(SnapshotTable[[#This Row],[LP Book Date]], SnapshotTable[[#This Row],[LP Fill Date]]),"")</f>
        <v/>
      </c>
      <c r="BN166" s="355" t="str">
        <f>IF(ISNUMBER( SnapshotTable[[#This Row],[LP Term]]), SnapshotTable[[#This Row],[LP Exp Date]] - MockToday,"")</f>
        <v/>
      </c>
      <c r="BO166" s="161" t="str">
        <f>IF(AND(SnapshotTable[[#This Row],[LP Exp Date]]&gt;0, SnapshotTable[[#This Row],[LP Strike Price]]&gt;0,SnapshotTable[[#This Row],[LP Qty]]&gt;0,SnapshotTable[[#This Row],[LP Book Date]]&gt;0,SnapshotTable[[#This Row],[LP Book Price]]&gt;0,SnapshotTable[[#This Row],[LP Fill Date]]=0),"Y","")</f>
        <v/>
      </c>
      <c r="BP166" s="31" t="str">
        <f>IF(AND(SnapshotTable[[#This Row],[LP No Fill]]&lt;&gt;"Y",SnapshotTable[[#This Row],[LP Contract Value]]&gt;0, SnapshotTable[[#This Row],[LP Qty]]&gt;0), SnapshotTable[[#This Row],[LP Contract Value]]*SnapshotTable[[#This Row],[LP Qty]]*100,"")</f>
        <v/>
      </c>
      <c r="BQ166" s="13"/>
      <c r="BR166" s="5"/>
      <c r="BS166" s="36"/>
      <c r="BT166" s="145"/>
      <c r="BU166" s="13"/>
      <c r="BV166" s="5"/>
      <c r="BW166" s="382" t="b">
        <f>AND(ISNUMBER(SnapshotTable[[#This Row],[SP Exp Date]]), ISNUMBER(SnapshotTable[[#This Row],[SP Strike Price]]), ISNUMBER(SnapshotTable[[#This Row],[SP Qty]]), ISNUMBER(SnapshotTable[[#This Row],[SP Book Date]]), ISNUMBER(SnapshotTable[[#This Row],[SP Book Price]]))</f>
        <v>0</v>
      </c>
      <c r="BX166" s="382" t="b">
        <f>AND(SnapshotTable[[#This Row],[SP Is Booked]], NOT(ISBLANK(SnapshotTable[[#This Row],[SP Fill Date]])))</f>
        <v>0</v>
      </c>
      <c r="BY166" s="33">
        <f>IF(SnapshotTable[[#This Row],[SP Is Booked]], SnapshotTable[[#This Row],[SP Qty]] * SnapshotTable[[#This Row],[SP Book Price]] * 100, 0)</f>
        <v>0</v>
      </c>
      <c r="BZ166" s="339"/>
      <c r="CA166" s="338">
        <f>SnapshotTable[[#This Row],[LP Qty]]</f>
        <v>0</v>
      </c>
      <c r="CB166" s="4" t="str">
        <f>IF(SnapshotTable[[#This Row],[SP Is Booked]], SnapshotTable[[#This Row],[SP Strike Price]] - SnapshotTable[[#This Row],[SP Book Price]], "")</f>
        <v/>
      </c>
      <c r="CC166" s="19" t="str">
        <f>IF(SnapshotTable[[#This Row],[SP Is Booked]],SnapshotTable[[#This Row],[SP Exp Date]]-MAX(SnapshotTable[[#This Row],[SP Book Date]], SnapshotTable[[#This Row],[SP Fill Date]]),"")</f>
        <v/>
      </c>
      <c r="CD166" s="7" t="str">
        <f>IF(SnapshotTable[[#This Row],[SP Is Booked]], SnapshotTable[[#This Row],[SP Book Price]]/SnapshotTable[[#This Row],[SP Strike Price]], "")</f>
        <v/>
      </c>
      <c r="CE166" s="7" t="str">
        <f>IF(ISNUMBER(SnapshotTable[[#This Row],[SP ROO Term]]),SnapshotTable[[#This Row],[SP ROO Term]]*(365/SnapshotTable[[#This Row],[SP Term]]),"")</f>
        <v/>
      </c>
      <c r="CF166" s="221">
        <f>SnapshotTable[[#This Row],[LP Strike Price]] * SnapshotTable[[#This Row],[LP Qty]] * 100</f>
        <v>0</v>
      </c>
      <c r="CG166" s="31">
        <f>IF(ISNUMBER(SnapshotTable[[#This Row],[SP Premium]]), (SnapshotTable[[#This Row],[SP Qty]] * SnapshotTable[[#This Row],[SP Strike Price]]* 100) - SnapshotTable[[#This Row],[LP Protection]], 0)</f>
        <v>0</v>
      </c>
      <c r="CH166" s="7" t="str">
        <f>IF(ISNUMBER(SnapshotTable[[#This Row],[SP Break Even]]),-1 * (SnapshotTable[[#This Row],[SP Break Even]] - SnapshotTable[[#This Row],[Last Price]]) / SnapshotTable[[#This Row],[Last Price]], "")</f>
        <v/>
      </c>
      <c r="CI166" s="31">
        <f>IF(AND(ISNUMBER((SnapshotTable[[#This Row],[SP Potential Spend]])), SnapshotTable[[#This Row],[SP Strike Price]] &gt; SnapshotTable[[#This Row],[Last Price]], SnapshotTable[[#This Row],[SP Is Filled]]), SnapshotTable[[#This Row],[SP Potential Spend]] -  SnapshotTable[[#This Row],[LP Max Value]], 0)</f>
        <v>0</v>
      </c>
      <c r="CJ166" s="229"/>
      <c r="CK166" s="31">
        <f>IF(ISNUMBER(SnapshotTable[[#This Row],[SP Potential Spend]]),IF(ISNUMBER(SnapshotTable[[#This Row],[SP POW]]), SnapshotTable[[#This Row],[SP POW]] * SnapshotTable[[#This Row],[SP Potential Spend]], SnapshotTable[[#This Row],[SP Potential Spend]]), "")</f>
        <v>0</v>
      </c>
      <c r="CL166" s="162">
        <f>IF(NOT(SnapshotTable[[#This Row],[SP Is Filled]]),(SnapshotTable[[#This Row],[SP Qty]] * SnapshotTable[[#This Row],[SP Strike Price]] * 100) - SnapshotTable[[#This Row],[LP Max Value]],"")</f>
        <v>0</v>
      </c>
      <c r="CM166" s="31" t="str">
        <f>IF(SnapshotTable[[#This Row],[SP Actual Spend]]&lt;&gt;0, ((SnapshotTable[[#This Row],[SP Strike Price]]-SnapshotTable[[#This Row],[Last Price]]) *(SnapshotTable[[#This Row],[SP Qty]]*100) - SnapshotTable[[#This Row],[SP Premium]]) * - 1, "")</f>
        <v/>
      </c>
      <c r="CN166" s="152"/>
      <c r="CO166" s="339"/>
      <c r="CP166" s="4" t="str">
        <f>IF(SnapshotTable[[#This Row],[SP Is Filled]], btc_max_buyback_amount(SnapshotTable[[#This Row],[SP Fill Date]],SnapshotTable[[#This Row],[SP Exp Date]], SnapshotTable[[#This Row],[SP Book Price]]),"")</f>
        <v/>
      </c>
      <c r="CQ166" s="76"/>
      <c r="CR16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6" s="153" t="str">
        <f>IF(SnapshotTable[[#This Row],[SP Is Filled]], btc_next_cutoff_date(SnapshotTable[[#This Row],[SP Fill Date]],SnapshotTable[[#This Row],[SP Exp Date]]),"")</f>
        <v/>
      </c>
      <c r="CT166" s="220" t="str" cm="1">
        <f t="array" ref="CT166">IF(SnapshotTable[[#This Row],[SP Is Filled]], btc_should_buy_back(SnapshotTable[[#This Row],[SP Fill Date]], SnapshotTable[[#This Row],[SP Exp Date]], SnapshotTable[[#This Row],[SP Book Price]], SnapshotTable[[#This Row],[SP Current Ask]], MockToday, SnapshotTable[[#This Row],[SP Buyback Override]]),"")</f>
        <v/>
      </c>
      <c r="CU166" s="154"/>
      <c r="CV166" s="220"/>
      <c r="CW166" s="348" t="str">
        <f>IF(ISNUMBER( SnapshotTable[[#This Row],[SP Term]]), SnapshotTable[[#This Row],[SP Exp Date]] - MockToday,"")</f>
        <v/>
      </c>
      <c r="CX166" s="31" t="str">
        <f>IF(SnapshotTable[[#This Row],[SP Is Filled]],SnapshotTable[[#This Row],[SP Buyback Price to Use]] * 100 * SnapshotTable[[#This Row],[SP Qty]], "")</f>
        <v/>
      </c>
      <c r="CY166" s="4" t="str">
        <f>IF(ISNUMBER(SnapshotTable[[#This Row],[SP Strike Price]]), SnapshotTable[[#This Row],[SP Strike Price]] * (1 - SP_MaxLoss_StrikePct), "")</f>
        <v/>
      </c>
      <c r="CZ166" s="31" t="str">
        <f>IF(ISNUMBER(SnapshotTable[[#This Row],[SP Strike  Stop Per Share]]),SnapshotTable[[#This Row],[SP Premium]] - ((SnapshotTable[[#This Row],[SP Strike Price]]-SnapshotTable[[#This Row],[SP Strike  Stop Per Share]]) *(SnapshotTable[[#This Row],[SP Qty]] * 100)),"")</f>
        <v/>
      </c>
      <c r="DA166" s="4" t="str">
        <f>IF(AND(ISNUMBER(SnapshotTable[[#This Row],[SP Premium]]),SnapshotTable[[#This Row],[SP Premium]]&gt;0), SnapshotTable[[#This Row],[SP Book Price]] * (1 + SP_MaxLoss_OptionPct), "")</f>
        <v/>
      </c>
      <c r="DB166" s="31" t="str">
        <f>IF(ISNUMBER(SnapshotTable[[#This Row],[SP Option  Stop Contract]]),(SnapshotTable[[#This Row],[SP Option  Stop Contract]] *(SnapshotTable[[#This Row],[SP Qty]] * 100) - SnapshotTable[[#This Row],[SP Premium]]),"")</f>
        <v/>
      </c>
      <c r="DC166" s="4"/>
      <c r="DD166" s="4"/>
      <c r="DE166" s="4" t="str">
        <f>IF(AND(SnapshotTable[[#This Row],[SP Qty]]&gt;0, SnapshotTable[[#This Row],[SP Stop To Use]]&gt;0),SnapshotTable[[#This Row],[SP Premium]] - ( SnapshotTable[[#This Row],[SP Qty]] * SnapshotTable[[#This Row],[SP Stop To Use]] * 100), "")</f>
        <v/>
      </c>
      <c r="DF166" s="31" t="str">
        <f>IF(AND(SnapshotTable[[#This Row],[SP Qty]]&gt;0,SnapshotTable[[#This Row],[SP Current Ask]]&gt;0), SnapshotTable[[#This Row],[SP Qty]] * SnapshotTable[[#This Row],[SP Current Ask]] * -100, "")</f>
        <v/>
      </c>
      <c r="DG166" s="31" t="str">
        <f>IF(ISNUMBER((SnapshotTable[[#This Row],[SP Total Value]])), SnapshotTable[[#This Row],[SP Premium]] + SnapshotTable[[#This Row],[SP Total Value]], "")</f>
        <v/>
      </c>
      <c r="DH166" s="272" t="str">
        <f>IF(ISNUMBER((SnapshotTable[[#This Row],[SP Total Value]])), SnapshotTable[[#This Row],[SP Gain Loss]] / SnapshotTable[[#This Row],[SP Premium]], "")</f>
        <v/>
      </c>
      <c r="DI166" s="369"/>
      <c r="DJ166" s="136"/>
      <c r="DK166" s="146"/>
      <c r="DL166" s="145"/>
      <c r="DM166" s="145"/>
      <c r="DO166" s="31">
        <f>IF(SnapshotTable[[#This Row],[LC Symbol Count]]=1, SnapshotTable[[#This Row],[LC Qty]] * SnapshotTable[[#This Row],[LC Book Price]] * 100, 0)</f>
        <v>0</v>
      </c>
      <c r="DP166" s="161" t="str">
        <f>IF(AND(SnapshotTable[[#This Row],[LC Exp Date]]&gt;0, SnapshotTable[[#This Row],[LC Strike Price]]&gt;0,SnapshotTable[[#This Row],[LC Qty]]&gt;0,SnapshotTable[[#This Row],[LC Book Date]]&gt;0,SnapshotTable[[#This Row],[LC Book Price]]&gt;0,SnapshotTable[[#This Row],[LC Fill Date]]=0),"Y","")</f>
        <v/>
      </c>
      <c r="DQ166" s="356" t="str">
        <f>IF(SnapshotTable[[#This Row],[LC Premium]] &gt; 0,SnapshotTable[[#This Row],[LC Exp Date]]-MAX(SnapshotTable[[#This Row],[LC Book Date]], SnapshotTable[[#This Row],[LC Fill Date]]),"")</f>
        <v/>
      </c>
      <c r="DR166" s="356" t="str">
        <f>IF(ISNUMBER(SnapshotTable[[#This Row],[LC Term]]), SnapshotTable[[#This Row],[LC Exp Date]] - MockToday, "")</f>
        <v/>
      </c>
      <c r="DS166" s="219" t="str">
        <f>IF(SnapshotTable[[#This Row],[LC Premium]]&gt;0,SnapshotTable[[#This Row],[LC Strike Price]] + SnapshotTable[[#This Row],[LC Book Price]],"")</f>
        <v/>
      </c>
      <c r="DU166" s="9" t="str">
        <f>IF(AND(SnapshotTable[[#This Row],[LC Symbol Count]]&gt;0, SnapshotTable[[#This Row],[LC Contract Value]]&gt;0), SnapshotTable[[#This Row],[LC Contract Value]] * SnapshotTable[[#This Row],[LC Qty]] * 100, "")</f>
        <v/>
      </c>
      <c r="DV166" s="9" t="str">
        <f>IF(AND(ISNUMBER(SnapshotTable[[#This Row],[LC Total Value]]), SnapshotTable[[#This Row],[LC Not Filled]]&lt;&gt;"Y"), SnapshotTable[[#This Row],[LC Total Value]]-SnapshotTable[[#This Row],[LC Premium]],"")</f>
        <v/>
      </c>
      <c r="DW166" s="225" t="str">
        <f>IF(ISNUMBER(SnapshotTable[[#This Row],[LC Actual Gain Loss]]), SnapshotTable[[#This Row],[LC Actual Gain Loss]] / SnapshotTable[[#This Row],[LC Premium]],"")</f>
        <v/>
      </c>
      <c r="DX166" s="269" t="str">
        <f>IF(ISNUMBER(SnapshotTable[[#This Row],[LC Book Price]]),SnapshotTable[[#This Row],[LC Book Price]] * 1.5,"")</f>
        <v/>
      </c>
      <c r="DY166" s="250" t="str">
        <f>IF(SnapshotTable[[#This Row],[LC Premium]]&gt;0, SnapshotTable[[#This Row],[LC Next Target]] * SnapshotTable[[#This Row],[LC Qty]] * 100,"")</f>
        <v/>
      </c>
      <c r="DZ166" s="250" t="str">
        <f>IF(ISNUMBER(SnapshotTable[[#This Row],[LC Target Gross]]), SnapshotTable[[#This Row],[LC Target Gross]] - SnapshotTable[[#This Row],[LC Premium]], "")</f>
        <v/>
      </c>
      <c r="EA166" s="283" t="str">
        <f>IF(ISNUMBER(SnapshotTable[[#This Row],[LC Target Gain Loss]]), SnapshotTable[[#This Row],[LC Target Gain Loss]]/SnapshotTable[[#This Row],[LC Premium]], "")</f>
        <v/>
      </c>
      <c r="EB166" s="247"/>
      <c r="EC166" s="268" t="str">
        <f>IF(SnapshotTable[[#This Row],[LC Premium]]&gt;0, SnapshotTable[[#This Row],[LC Book Price]] * (1 - LC_StopLoss_Pct),"")</f>
        <v/>
      </c>
      <c r="ED166" s="269"/>
      <c r="EE166" s="268" t="str">
        <f>IF(ISNUMBER(SnapshotTable[[#This Row],[LC Contract Value]]),IF(ISNUMBER(SnapshotTable[[#This Row],[LC Stop Loss Override]]), SnapshotTable[[#This Row],[LC Stop Loss Override]],SnapshotTable[[#This Row],[LC Stop Loss Calc Target]]),"")</f>
        <v/>
      </c>
      <c r="EF166" s="31" t="str">
        <f>IF(ISNUMBER(SnapshotTable[[#This Row],[LC Stop  To Use]]), (SnapshotTable[[#This Row],[LC Stop  To Use]] * SnapshotTable[[#This Row],[LC Qty]] * 100),"")</f>
        <v/>
      </c>
      <c r="EG166" s="9" t="str">
        <f>IF(ISNUMBER(SnapshotTable[[#This Row],[LC Total Value]]),SnapshotTable[[#This Row],[LC Stop Loss Amount]] - SnapshotTable[[#This Row],[LC Premium]],"")</f>
        <v/>
      </c>
      <c r="EH166" s="9">
        <f>IF(ISNUMBER(SnapshotTable[[#This Row],[LC Premium]]), SnapshotTable[[#This Row],[LC Qty]] * 100 * SnapshotTable[[#This Row],[LC Strike Price]], "")</f>
        <v>0</v>
      </c>
      <c r="EI166" s="225" t="str">
        <f>IF(AND(ISNUMBER(SnapshotTable[[#This Row],[LC Total Value]]),SnapshotTable[[#This Row],[LC Total Value]]&gt;0),SnapshotTable[[#This Row],[LC Stop Gain Loss]]  / SnapshotTable[[#This Row],[LC Premium]],"")</f>
        <v/>
      </c>
      <c r="EJ166" s="35">
        <f>IF(ISNUMBER(SnapshotTable[[#This Row],[Equity Shares]]),TRUNC(SnapshotTable[[#This Row],[Equity Shares]] / 100),0) + SnapshotTable[[#This Row],[LC Qty]]</f>
        <v>0</v>
      </c>
      <c r="EK166" s="145"/>
      <c r="EL166" s="136"/>
      <c r="EM166" s="146"/>
      <c r="EN166" s="145"/>
      <c r="EO166" s="145"/>
      <c r="EP166" s="136"/>
      <c r="EQ166" s="382" t="b">
        <f>AND(ISNUMBER(SnapshotTable[[#This Row],[SC Exp Date]]), ISNUMBER(SnapshotTable[[#This Row],[SC Strike Price]]), ISNUMBER(SnapshotTable[[#This Row],[SC Qty]]), ISNUMBER(SnapshotTable[[#This Row],[SC Book Date]]), ISNUMBER(SnapshotTable[[#This Row],[SC Book Price]]))</f>
        <v>0</v>
      </c>
      <c r="ER166" s="382" t="b">
        <f>AND(SnapshotTable[[#This Row],[SC Is Booked]], NOT(ISBLANK(SnapshotTable[[#This Row],[SC Fill Date]])))</f>
        <v>0</v>
      </c>
      <c r="ES166" s="340"/>
      <c r="ET166" s="34" t="str">
        <f>IF(AND(ISNUMBER(SnapshotTable[[#This Row],[SC Exp Date]]), ISNUMBER(SnapshotTable[[#This Row],[SC Book Date]])), SnapshotTable[[#This Row],[SC Exp Date]] - MAX(SnapshotTable[[#This Row],[SC Book Date]], SnapshotTable[[#This Row],[SC Fill Date]]) + 1, "")</f>
        <v/>
      </c>
      <c r="EU166" s="34" t="str">
        <f>IF(ISNUMBER(SnapshotTable[[#This Row],[SC Term]]), SnapshotTable[[#This Row],[SC Exp Date]]- MockToday, "")</f>
        <v/>
      </c>
      <c r="EV166" s="31">
        <f>IF(SnapshotTable[[#This Row],[SC Is Booked]], SnapshotTable[[#This Row],[SC Qty]] * SnapshotTable[[#This Row],[SC Book Price]] * 100, 0)</f>
        <v>0</v>
      </c>
      <c r="EW166" s="4" t="str">
        <f>IF(AND(ISNUMBER(SnapshotTable[[#This Row],[Last Price]]), ISNUMBER( SnapshotTable[[#This Row],[SC Book Price]])), SnapshotTable[[#This Row],[Last Price]] - SnapshotTable[[#This Row],[SC Book Price]],"")</f>
        <v/>
      </c>
      <c r="EX166" s="219" t="str">
        <f>IF(SnapshotTable[[#This Row],[SC Is Booked]],IF(SnapshotTable[[#This Row],[SC Intrinsic Value]] &gt; 0, SnapshotTable[[#This Row],[SC Strike Price]], SnapshotTable[[#This Row],[Last Price]]), "")</f>
        <v/>
      </c>
      <c r="EY166" s="4">
        <f>IF(SnapshotTable[[#This Row],[SC Is Booked]], (MinimumPremiumRequired * SnapshotTable[[#This Row],[SC Basis]] * SnapshotTable[[#This Row],[SC Term]]), 0)</f>
        <v>0</v>
      </c>
      <c r="EZ166" s="268"/>
      <c r="FA166" s="204"/>
      <c r="FB166" s="340"/>
      <c r="FC166" s="4">
        <f>IF(SnapshotTable[[#This Row],[SC Is Filled]], btc_max_buyback_amount(SnapshotTable[[#This Row],[SC Fill Date]],SnapshotTable[[#This Row],[SC Exp Date]], SnapshotTable[[#This Row],[SC Book Price]]),0)</f>
        <v>0</v>
      </c>
      <c r="FD166" s="5"/>
      <c r="FE166" s="142" t="str">
        <f>IF(SnapshotTable[[#This Row],[SC Is Filled]], btc_next_cutoff_date(SnapshotTable[[#This Row],[SC Fill Date]],SnapshotTable[[#This Row],[SC Exp Date]]),"")</f>
        <v/>
      </c>
      <c r="FF166" s="4" t="str" cm="1">
        <f t="array" ref="FF166">IF(SnapshotTable[[#This Row],[SC Is Filled]], btc_should_buy_back(SnapshotTable[[#This Row],[SC Fill Date]], SnapshotTable[[#This Row],[SC Exp Date]], SnapshotTable[[#This Row],[SC Book Price]], SnapshotTable[[#This Row],[SC Current Ask]], MockToday, SnapshotTable[[#This Row],[SC Buyback Override]]),"")</f>
        <v/>
      </c>
      <c r="FG166" s="4">
        <f>IF(SnapshotTable[[#This Row],[SC Is Filled]], MAX(0,SnapshotTable[[#This Row],[Last Price]]  - SnapshotTable[[#This Row],[SC Strike Price]]), 0)</f>
        <v>0</v>
      </c>
      <c r="FH166" s="352">
        <f>IF(SnapshotTable[[#This Row],[SC Is Filled]], IF(ISNUMBER(SnapshotTable[[#This Row],[SC Current Ask]]), SnapshotTable[[#This Row],[SC Current Ask]], SnapshotTable[[#This Row],[SC Book Price]]) - SnapshotTable[[#This Row],[SC Intrinsic Value]], 0)</f>
        <v>0</v>
      </c>
      <c r="FI166" s="141"/>
      <c r="FJ166" s="32" t="str">
        <f>IF(SnapshotTable[[#This Row],[SC Is Filled]],100 * SnapshotTable[[#This Row],[SC Qty]] * IF(ISNUMBER(SnapshotTable[[#This Row],[SC Buyback Override]]), SnapshotTable[[#This Row],[SC Buyback Override]], SnapshotTable[[#This Row],[SC Current Ask]]), "")</f>
        <v/>
      </c>
      <c r="FK166" s="235" t="str">
        <f>IF(SnapshotTable[[#This Row],[SC Time Val]]&gt;0, SnapshotTable[[#This Row],[SC Time Val]] / SnapshotTable[[#This Row],[Last Price]],"")</f>
        <v/>
      </c>
      <c r="FL166" s="280" t="str">
        <f>IF(SnapshotTable[[#This Row],[SC Is Booked]], ((SnapshotTable[[#This Row],[Last Price]] -SnapshotTable[[#This Row],[SC Strike Price]]) / SnapshotTable[[#This Row],[Last Price]]) * -1, "")</f>
        <v/>
      </c>
      <c r="FM166" s="155" t="str">
        <f>IF(SnapshotTable[[#This Row],[SC Is Booked]],  (SnapshotTable[[#This Row],[SC Qty]] * 100 * SnapshotTable[[#This Row],[SC Strike Price]]) - SnapshotTable[[#This Row],[SC Current Ask]], "")</f>
        <v/>
      </c>
      <c r="FN166"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6" s="155" t="str">
        <f>IF(AND(ISNUMBER(SnapshotTable[[#This Row],[SC Exercise Gross]]), ISNUMBER(SnapshotTable[[#This Row],[Equity Basis Per Share]] )), SnapshotTable[[#This Row],[SC Exercise Gross]] - SnapshotTable[[#This Row],[Equity Basis Total]] +  SnapshotTable[[#This Row],[SC Premium]], "")</f>
        <v/>
      </c>
      <c r="FP166" s="5" t="str">
        <f>IF(ISNUMBER(SnapshotTable[[#This Row],[SC Exercise Gross]]), (SnapshotTable[[#This Row],[SC Exercise Gross]]) / (SnapshotTable[[#This Row],[SC Qty]] * 100), "")</f>
        <v/>
      </c>
      <c r="FQ166" s="27" t="str">
        <f>IF(SnapshotTable[[#This Row],[SC Is Booked]],SnapshotTable[[#This Row],[SC Time Val]] /SnapshotTable[[#This Row],[SC Basis]], "")</f>
        <v/>
      </c>
      <c r="FR166" s="27" t="str" cm="1">
        <f t="array" ref="FR166">IF(AND(ISNUMBER(SnapshotTable[[#This Row],[SC Term]]),ISNUMBER(SnapshotTable[[#This Row],[SC Simple ROO]])), EllmanAnnualize(SnapshotTable[[#This Row],[SC DTE]], SnapshotTable[[#This Row],[SC Simple ROO]] ),"")</f>
        <v/>
      </c>
      <c r="FS166" s="4">
        <f>IF(SnapshotTable[[#This Row],[SC Strike Price]] &gt; SnapshotTable[[#This Row],[Last Price]], SnapshotTable[[#This Row],[SC Strike Price]] - SnapshotTable[[#This Row],[Last Price]],0)</f>
        <v>0</v>
      </c>
      <c r="FT166" s="27" t="str">
        <f>IF(AND(ISNUMBER(SnapshotTable[[#This Row],[SC Upside Potential]]), SnapshotTable[[#This Row],[SC Upside Potential]] &gt; 0),(SnapshotTable[[#This Row],[SC Upside Potential]]/ SnapshotTable[[#This Row],[ACB]]),"")</f>
        <v/>
      </c>
      <c r="FU166" s="304" t="str">
        <f>IF(SnapshotTable[[#This Row],[SC Intrinsic Value]] &gt; 0,SnapshotTable[[#This Row],[SC Intrinsic Value]],"")</f>
        <v/>
      </c>
      <c r="FV166" s="27" t="str">
        <f>IF(AND( ISNUMBER( SnapshotTable[[#This Row],[ACB]]),ISNUMBER(SnapshotTable[[#This Row],[SC Downside Protect]])),SnapshotTable[[#This Row],[SC Downside Protect]] / SnapshotTable[[#This Row],[ACB]],"")</f>
        <v/>
      </c>
      <c r="FW166" s="221" t="str">
        <f>IF(AND(ISNUMBER(SnapshotTable[[#This Row],[SC Simple ROO]]),SnapshotTable[[#This Row],[SC Simple ROO]] &gt; 0), SnapshotTable[[#This Row],[SC Premium]] + (SnapshotTable[[#This Row],[SC Qty]] * SnapshotTable[[#This Row],[SC Upside Potential]]), "")</f>
        <v/>
      </c>
      <c r="FX166" s="280" t="str" cm="1">
        <f t="array" ref="FX166">IF(ISNUMBER(SnapshotTable[[#This Row],[SC Max Dollars]]), annualize(SnapshotTable[[#This Row],[SC Term]],(SnapshotTable[[#This Row],[SC Max Dollars]]/SnapshotTable[[#This Row],[SC Basis]])),"")</f>
        <v/>
      </c>
      <c r="FY166" s="221" t="str">
        <f>IF(AND(SnapshotTable[[#This Row],[SC Qty]]&gt;0,SnapshotTable[[#This Row],[SC Current Ask]]&gt;0), SnapshotTable[[#This Row],[SC Qty]] * SnapshotTable[[#This Row],[SC Current Ask]] * -100, "")</f>
        <v/>
      </c>
      <c r="FZ166" s="31" t="str">
        <f>IF(ISNUMBER((SnapshotTable[[#This Row],[SC Current Value]])), SnapshotTable[[#This Row],[SC Premium]] + SnapshotTable[[#This Row],[SC Current Value]], "")</f>
        <v/>
      </c>
      <c r="GA166" s="272" t="str">
        <f>IFERROR( IF(ISNUMBER((SnapshotTable[[#This Row],[SC Current Value]])), SnapshotTable[[#This Row],[SC Gain Loss]] / SnapshotTable[[#This Row],[SC Premium]], ""), "")</f>
        <v/>
      </c>
      <c r="GB166" s="42">
        <f>SnapshotTable[[#This Row],[Equity Shares]] * SaleSharesToConsiderPercentage</f>
        <v>0</v>
      </c>
      <c r="GC166" s="40">
        <f>SnapshotTable[[#This Row],[Long Term Target]] * SellingPriceToConsiderBasedOnTargetPercentage</f>
        <v>71.905499999999989</v>
      </c>
      <c r="GD166" s="40">
        <f>SnapshotTable[[#This Row],[Last Price]] * (1+ SellingPriceToConsiderBasedOnTargetPercentage)</f>
        <v>178.67849999999999</v>
      </c>
      <c r="GE166" s="41"/>
      <c r="GF166" s="40"/>
      <c r="GG166" s="31">
        <f>SnapshotTable[[#This Row],[Booked Sale Shares]] * SnapshotTable[[#This Row],[Booked Sale Price]]</f>
        <v>0</v>
      </c>
      <c r="GH166" s="31" t="str">
        <f>IF(SnapshotTable[[#This Row],[Equity Basis Total]] &gt; 0, SnapshotTable[[#This Row],[Equity Basis Per Share]] * SnapshotTable[[#This Row],[Booked Sale Shares]], "")</f>
        <v/>
      </c>
      <c r="GI166" s="31">
        <f>IF(SnapshotTable[[#This Row],[Sale Proceeds]]&gt;0, SnapshotTable[[#This Row],[Sale Proceeds]] - SnapshotTable[[#This Row],[Sale Basis]], 0)</f>
        <v>0</v>
      </c>
      <c r="GJ166" s="156" t="str">
        <f>IF(SnapshotTable[[#This Row],[Sale G/L]]&gt;0, SnapshotTable[[#This Row],[Sale G/L]] / SnapshotTable[[#This Row],[Sale Basis]], IF(ISNUMBER(SnapshotTable[[#This Row],[SC Exercise P&amp;L (TAX)]]), SnapshotTable[[#This Row],[SC Exercise P&amp;L (TAX)]] / SnapshotTable[[#This Row],[SC Basis]], ""))</f>
        <v/>
      </c>
      <c r="GK166" s="27"/>
      <c r="GL166" s="157" t="str">
        <f>IF(AND(SnapshotTable[[#This Row],[LP Exp Date]]&gt;0,SnapshotTable[[#This Row],[LP Strike Price]]&gt;0), [1]!ToOptionSymbol(SnapshotTable[[#This Row],[Symbol]], SnapshotTable[[#This Row],[LP Strike Price]],SnapshotTable[[#This Row],[LP Exp Date]],1), "")</f>
        <v/>
      </c>
      <c r="GM166" s="30" t="str">
        <f>IF(LEN(SnapshotTable[[#This Row],[LP Symbol]])&gt;0, 1, "")</f>
        <v/>
      </c>
      <c r="GN166" s="43" t="str">
        <f>IF(AND(SnapshotTable[[#This Row],[SP Exp Date]]&gt;0,SnapshotTable[[#This Row],[SP Strike Price]]&gt;0), [1]!ToOptionSymbol(SnapshotTable[[#This Row],[Symbol]], SnapshotTable[[#This Row],[SP Strike Price]],SnapshotTable[[#This Row],[SP Exp Date]],1), "")</f>
        <v/>
      </c>
      <c r="GO166" s="30" t="str">
        <f>IF(LEN(SnapshotTable[[#This Row],[SP Symbol]])&gt;0, 1, "")</f>
        <v/>
      </c>
      <c r="GP166" s="157" t="str">
        <f>IF(AND(SnapshotTable[[#This Row],[LC Exp Date]]&gt;0,SnapshotTable[[#This Row],[LC Strike Price]]&gt;0), [1]!ToOptionSymbol(SnapshotTable[[#This Row],[Symbol]], SnapshotTable[[#This Row],[LC Strike Price]],SnapshotTable[[#This Row],[LC Exp Date]],0), "")</f>
        <v/>
      </c>
      <c r="GQ166" s="158" t="str">
        <f>IF(LEN(SnapshotTable[[#This Row],[LC Symbol]])&gt;0, 1, "")</f>
        <v/>
      </c>
      <c r="GR166" s="157" t="str">
        <f>IF(AND(SnapshotTable[[#This Row],[SC Exp Date]]&gt;0,SnapshotTable[[#This Row],[SC Strike Price]]&gt;0), [1]!ToOptionSymbol(SnapshotTable[[#This Row],[Symbol]], SnapshotTable[[#This Row],[SC Strike Price]],SnapshotTable[[#This Row],[SC Exp Date]],0), "")</f>
        <v/>
      </c>
      <c r="GS166" s="158" t="str">
        <f>IF(LEN(SnapshotTable[[#This Row],[SC Symbol]])&gt;0, 1, "")</f>
        <v/>
      </c>
      <c r="GT166" s="159" t="str">
        <f>IF(COUNT(SnapshotTable[[#This Row],[LP Symbol Count]],SnapshotTable[[#This Row],[SP Symbol Count]],SnapshotTable[[#This Row],[LC Symbol Count]],SnapshotTable[[#This Row],[SC Symbol Count]])&gt;0, "Y", "")</f>
        <v/>
      </c>
      <c r="GU16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6" s="216">
        <f>MAX(SnapshotTable[[#This Row],[Equity Basis Total]],SnapshotTable[[#This Row],[Equity Value]]) + (SnapshotTable[[#This Row],[SP Potential Spend]]- SnapshotTable[[#This Row],[SP Premium]] + SnapshotTable[[#This Row],[LP Premium]])+ (SnapshotTable[[#This Row],[LC Premium]] - SnapshotTable[[#This Row],[SC Premium]])</f>
        <v>0</v>
      </c>
      <c r="GW166" s="137" t="str">
        <f>IF(AND(SnapshotTable[[#This Row],[Exposure]] &lt;&gt; 0),SnapshotTable[[#This Row],[Exposure]] / SnapshotTable[[#Totals],[Exposure]], "")</f>
        <v/>
      </c>
      <c r="HE166" s="253"/>
      <c r="HF166" s="253"/>
      <c r="HK166" s="1"/>
      <c r="HL166" s="1"/>
      <c r="HM166" s="1"/>
      <c r="HN166" s="1"/>
      <c r="HO166" s="1"/>
      <c r="HP166" s="1"/>
    </row>
    <row r="167" spans="2:224" ht="12.75" customHeight="1" x14ac:dyDescent="0.25">
      <c r="B167" s="12" t="s">
        <v>980</v>
      </c>
      <c r="C167" s="385">
        <v>8.09</v>
      </c>
      <c r="D167" s="200"/>
      <c r="E167" s="39">
        <f>SnapshotTable[[#This Row],[Last Price]]*(1 -CrashDiscount)</f>
        <v>6.8765000000000001</v>
      </c>
      <c r="F167" s="296" t="s">
        <v>947</v>
      </c>
      <c r="G167" s="296" t="s">
        <v>678</v>
      </c>
      <c r="H167" s="147"/>
      <c r="I167" s="186"/>
      <c r="J167" s="187"/>
      <c r="K167" s="188"/>
      <c r="L167" s="297"/>
      <c r="M167" s="138"/>
      <c r="N167" s="138"/>
      <c r="O167" s="138"/>
      <c r="P167" s="22">
        <v>800</v>
      </c>
      <c r="Q167" s="25">
        <v>13600</v>
      </c>
      <c r="R167" s="4">
        <f>IF(SnapshotTable[[#This Row],[Equity Basis Total]] &gt; 0, SnapshotTable[[#This Row],[Equity Basis Total]] / SnapshotTable[[#This Row],[Equity Shares]], "")</f>
        <v>17</v>
      </c>
      <c r="S167" s="254">
        <f>SnapshotTable[[#This Row],[Last Price]] * SnapshotTable[[#This Row],[Equity Shares]]</f>
        <v>6472</v>
      </c>
      <c r="T167" s="254">
        <f>SnapshotTable[[#This Row],[Equity Value]] - SnapshotTable[[#This Row],[Equity Basis Total]]</f>
        <v>-7128</v>
      </c>
      <c r="U167" s="255">
        <f>IF(SnapshotTable[[#This Row],[Equity Basis Total]] &gt; 0, SnapshotTable[[#This Row],[Equity G/L]] / SnapshotTable[[#This Row],[Equity Basis Total]], "")</f>
        <v>-0.52411764705882358</v>
      </c>
      <c r="V167" s="253">
        <v>25</v>
      </c>
      <c r="W167" s="253">
        <v>17.66</v>
      </c>
      <c r="X167" s="4">
        <f>IF(AND(ISNUMBER(SnapshotTable[[#This Row],[Equity Basis Per Share]]),ISNUMBER(SnapshotTable[[#This Row],[Equity Target]])),SnapshotTable[[#This Row],[Equity Target]]-SnapshotTable[[#This Row],[Equity Basis Per Share]],"")</f>
        <v>8</v>
      </c>
      <c r="Y167" s="4">
        <f>IF(AND(ISNUMBER(SnapshotTable[[#This Row],[Equity Basis Per Share]]),ISNUMBER(SnapshotTable[[#This Row],[Equity Stop Loss]])),SnapshotTable[[#This Row],[Equity Stop Loss]]-SnapshotTable[[#This Row],[Equity Basis Per Share]],"")</f>
        <v>0.66000000000000014</v>
      </c>
      <c r="Z167" s="260" t="str">
        <f>IFERROR( TEXT(SnapshotTable[[#This Row],[Equity Max Gain Per Share]] /ABS( SnapshotTable[[#This Row],[Equity Max Loss Per Share]]),"0.0 " ) &amp; " : 1", "")</f>
        <v>12.1  : 1</v>
      </c>
      <c r="AA167" s="31">
        <f>IF(ISNUMBER(SnapshotTable[[#This Row],[Equity Max Gain Per Share]]),SnapshotTable[[#This Row],[Equity Max Gain Per Share]] * SnapshotTable[[#This Row],[Equity Shares]],"")</f>
        <v>6400</v>
      </c>
      <c r="AB167" s="31">
        <f>IF(ISNUMBER(SnapshotTable[[#This Row],[Equity Max Loss Per Share]]),SnapshotTable[[#This Row],[Equity Max Loss Per Share]] * SnapshotTable[[#This Row],[Equity Shares]],"")</f>
        <v>528.00000000000011</v>
      </c>
      <c r="AC167" s="148"/>
      <c r="AD167" s="149"/>
      <c r="AE167" s="31">
        <f>(SnapshotTable[[#This Row],[Annual Dividend Per Share]] / 4) * SnapshotTable[[#This Row],[Equity Shares]]</f>
        <v>0</v>
      </c>
      <c r="AF167" s="31">
        <f>SnapshotTable[[#This Row],[Quarterly Div $]] * 4</f>
        <v>0</v>
      </c>
      <c r="AG167" s="7">
        <f>IF(SnapshotTable[[#This Row],[Annual Dividend Per Share]]&gt;0, SnapshotTable[[#This Row],[Annual Dividend Per Share]]  / SnapshotTable[[#This Row],[Last Price]], 0)</f>
        <v>0</v>
      </c>
      <c r="AH167" s="149"/>
      <c r="AI167" s="5"/>
      <c r="AJ167" s="136"/>
      <c r="AK167" s="150" t="str">
        <f>IF(ISNUMBER( SnapshotTable[[#This Row],[EBF Target]]),(SnapshotTable[[#This Row],[EBF Target]] - SnapshotTable[[#This Row],[Last Price]]) / SnapshotTable[[#This Row],[Last Price]], "")</f>
        <v/>
      </c>
      <c r="AL167" s="150" t="str">
        <f>IF(AND(SnapshotTable[[#This Row],[Equity Basis Total]] &gt; 0,ISNUMBER( SnapshotTable[[#This Row],[Long Term Target]])), SnapshotTable[[#This Row],[From Basis $]] / SnapshotTable[[#This Row],[Equity Basis Total]], "")</f>
        <v/>
      </c>
      <c r="AM167" s="9">
        <f>IF( AND(SnapshotTable[[#This Row],[Equity Shares]] &gt;0,ISNUMBER( SnapshotTable[[#This Row],[Long Term Target]])),(SnapshotTable[[#This Row],[Equity Shares]] * SnapshotTable[[#This Row],[Long Term Target]]) - SnapshotTable[[#This Row],[Equity Basis Total]],0)</f>
        <v>0</v>
      </c>
      <c r="AN167" s="9">
        <f>IF( AND(SnapshotTable[[#This Row],[Equity Shares]] &gt;0,ISNUMBER( SnapshotTable[[#This Row],[Long Term Target]])),(SnapshotTable[[#This Row],[Equity Shares]]*SnapshotTable[[#This Row],[Long Term Target]]) - SnapshotTable[[#This Row],[Equity Value]],0)</f>
        <v>0</v>
      </c>
      <c r="AO167" s="150" t="str">
        <f>IF(AND(ISNUMBER( SnapshotTable[[#This Row],[Long Term Target]]), ISNUMBER(SnapshotTable[[#This Row],[Last Price]])),(SnapshotTable[[#This Row],[Long Term Target]] - SnapshotTable[[#This Row],[Last Price]]) / SnapshotTable[[#This Row],[Last Price]], "")</f>
        <v/>
      </c>
      <c r="AP167" s="5"/>
      <c r="AQ167" s="38"/>
      <c r="AR167" s="5"/>
      <c r="AS167" s="38"/>
      <c r="AT167" s="144"/>
      <c r="AU167" s="185" t="str">
        <f ca="1">IF(OR(SnapshotTable[[#This Row],[LP No Fill]]="Y",SnapshotTable[[#This Row],[SP Is Filled]],SnapshotTable[[#This Row],[LC Not Filled]]="Y",SnapshotTable[[#This Row],[SC Is Filled]]),"Y","")</f>
        <v>Y</v>
      </c>
      <c r="AV167" s="205"/>
      <c r="AW167" s="211"/>
      <c r="AX167" s="206"/>
      <c r="AY167" s="205" t="str">
        <f>IF(SnapshotTable[[#This Row],[Implied Move]]&gt;0, SnapshotTable[[#This Row],[Last Price]]-SnapshotTable[[#This Row],[Implied Move]],"")</f>
        <v/>
      </c>
      <c r="AZ167" s="205" t="str">
        <f>IF(SnapshotTable[[#This Row],[Implied Move]]&gt;0, SnapshotTable[[#This Row],[Last Price]] + SnapshotTable[[#This Row],[Implied Move]],"")</f>
        <v/>
      </c>
      <c r="BA167" s="302">
        <v>13.36</v>
      </c>
      <c r="BB167" s="318"/>
      <c r="BC167"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46234</v>
      </c>
      <c r="BD167" s="321"/>
      <c r="BE167" s="5"/>
      <c r="BF167" s="14"/>
      <c r="BG167" s="13"/>
      <c r="BH167" s="13"/>
      <c r="BI167" s="5"/>
      <c r="BJ167" s="134">
        <f>IF(SnapshotTable[[#This Row],[LP Qty]] &gt; 0, SnapshotTable[[#This Row],[LP Qty]] * SnapshotTable[[#This Row],[LP Book Price]] * 100,0)</f>
        <v>0</v>
      </c>
      <c r="BK167" s="134">
        <f>IF(SnapshotTable[[#This Row],[LP Premium]] &gt; 0, SnapshotTable[[#This Row],[LP Qty]] * SnapshotTable[[#This Row],[LP Strike Price]] * 100,0)</f>
        <v>0</v>
      </c>
      <c r="BL167" s="152"/>
      <c r="BM167" s="355" t="str">
        <f>IF(SnapshotTable[[#This Row],[LP Premium]] &gt; 0,SnapshotTable[[#This Row],[LP Exp Date]]-MAX(SnapshotTable[[#This Row],[LP Book Date]], SnapshotTable[[#This Row],[LP Fill Date]]),"")</f>
        <v/>
      </c>
      <c r="BN167" s="355" t="str">
        <f>IF(ISNUMBER( SnapshotTable[[#This Row],[LP Term]]), SnapshotTable[[#This Row],[LP Exp Date]] - MockToday,"")</f>
        <v/>
      </c>
      <c r="BO167" s="161" t="str">
        <f>IF(AND(SnapshotTable[[#This Row],[LP Exp Date]]&gt;0, SnapshotTable[[#This Row],[LP Strike Price]]&gt;0,SnapshotTable[[#This Row],[LP Qty]]&gt;0,SnapshotTable[[#This Row],[LP Book Date]]&gt;0,SnapshotTable[[#This Row],[LP Book Price]]&gt;0,SnapshotTable[[#This Row],[LP Fill Date]]=0),"Y","")</f>
        <v/>
      </c>
      <c r="BP167" s="31" t="str">
        <f>IF(AND(SnapshotTable[[#This Row],[LP No Fill]]&lt;&gt;"Y",SnapshotTable[[#This Row],[LP Contract Value]]&gt;0, SnapshotTable[[#This Row],[LP Qty]]&gt;0), SnapshotTable[[#This Row],[LP Contract Value]]*SnapshotTable[[#This Row],[LP Qty]]*100,"")</f>
        <v/>
      </c>
      <c r="BQ167" s="13">
        <f ca="1">NextFridayOpex</f>
        <v>46234</v>
      </c>
      <c r="BR167" s="5">
        <v>8</v>
      </c>
      <c r="BS167" s="36">
        <v>8</v>
      </c>
      <c r="BT167" s="145">
        <f ca="1">WORKDAY(MockToday, 0)</f>
        <v>46229</v>
      </c>
      <c r="BU167" s="13">
        <f ca="1">WORKDAY(MockToday, 0)</f>
        <v>46229</v>
      </c>
      <c r="BV167" s="5">
        <v>0.5</v>
      </c>
      <c r="BW167" s="382" t="b">
        <f ca="1">AND(ISNUMBER(SnapshotTable[[#This Row],[SP Exp Date]]), ISNUMBER(SnapshotTable[[#This Row],[SP Strike Price]]), ISNUMBER(SnapshotTable[[#This Row],[SP Qty]]), ISNUMBER(SnapshotTable[[#This Row],[SP Book Date]]), ISNUMBER(SnapshotTable[[#This Row],[SP Book Price]]))</f>
        <v>1</v>
      </c>
      <c r="BX167" s="382" t="b">
        <f ca="1">AND(SnapshotTable[[#This Row],[SP Is Booked]], NOT(ISBLANK(SnapshotTable[[#This Row],[SP Fill Date]])))</f>
        <v>1</v>
      </c>
      <c r="BY167" s="33">
        <f ca="1">IF(SnapshotTable[[#This Row],[SP Is Booked]], SnapshotTable[[#This Row],[SP Qty]] * SnapshotTable[[#This Row],[SP Book Price]] * 100, 0)</f>
        <v>400</v>
      </c>
      <c r="BZ167" s="339">
        <v>0.55000000000000004</v>
      </c>
      <c r="CA167" s="338">
        <f>SnapshotTable[[#This Row],[LP Qty]]</f>
        <v>0</v>
      </c>
      <c r="CB167" s="4">
        <f ca="1">IF(SnapshotTable[[#This Row],[SP Is Booked]], SnapshotTable[[#This Row],[SP Strike Price]] - SnapshotTable[[#This Row],[SP Book Price]], "")</f>
        <v>7.5</v>
      </c>
      <c r="CC167" s="19">
        <f ca="1">IF(SnapshotTable[[#This Row],[SP Is Booked]],SnapshotTable[[#This Row],[SP Exp Date]]-MAX(SnapshotTable[[#This Row],[SP Book Date]], SnapshotTable[[#This Row],[SP Fill Date]]),"")</f>
        <v>5</v>
      </c>
      <c r="CD167" s="7">
        <f ca="1">IF(SnapshotTable[[#This Row],[SP Is Booked]], SnapshotTable[[#This Row],[SP Book Price]]/SnapshotTable[[#This Row],[SP Strike Price]], "")</f>
        <v>6.25E-2</v>
      </c>
      <c r="CE167" s="7">
        <f ca="1">IF(ISNUMBER(SnapshotTable[[#This Row],[SP ROO Term]]),SnapshotTable[[#This Row],[SP ROO Term]]*(365/SnapshotTable[[#This Row],[SP Term]]),"")</f>
        <v>4.5625</v>
      </c>
      <c r="CF167" s="221">
        <f>SnapshotTable[[#This Row],[LP Strike Price]] * SnapshotTable[[#This Row],[LP Qty]] * 100</f>
        <v>0</v>
      </c>
      <c r="CG167" s="31">
        <f ca="1">IF(ISNUMBER(SnapshotTable[[#This Row],[SP Premium]]), (SnapshotTable[[#This Row],[SP Qty]] * SnapshotTable[[#This Row],[SP Strike Price]]* 100) - SnapshotTable[[#This Row],[LP Protection]], 0)</f>
        <v>6400</v>
      </c>
      <c r="CH167" s="7">
        <f ca="1">IF(ISNUMBER(SnapshotTable[[#This Row],[SP Break Even]]),-1 * (SnapshotTable[[#This Row],[SP Break Even]] - SnapshotTable[[#This Row],[Last Price]]) / SnapshotTable[[#This Row],[Last Price]], "")</f>
        <v>7.2929542645241027E-2</v>
      </c>
      <c r="CI167" s="31">
        <f ca="1">IF(AND(ISNUMBER((SnapshotTable[[#This Row],[SP Potential Spend]])), SnapshotTable[[#This Row],[SP Strike Price]] &gt; SnapshotTable[[#This Row],[Last Price]], SnapshotTable[[#This Row],[SP Is Filled]]), SnapshotTable[[#This Row],[SP Potential Spend]] -  SnapshotTable[[#This Row],[LP Max Value]], 0)</f>
        <v>0</v>
      </c>
      <c r="CJ167" s="229"/>
      <c r="CK167" s="31">
        <f ca="1">IF(ISNUMBER(SnapshotTable[[#This Row],[SP Potential Spend]]),IF(ISNUMBER(SnapshotTable[[#This Row],[SP POW]]), SnapshotTable[[#This Row],[SP POW]] * SnapshotTable[[#This Row],[SP Potential Spend]], SnapshotTable[[#This Row],[SP Potential Spend]]), "")</f>
        <v>6400</v>
      </c>
      <c r="CL167" s="162" t="str">
        <f ca="1">IF(NOT(SnapshotTable[[#This Row],[SP Is Filled]]),(SnapshotTable[[#This Row],[SP Qty]] * SnapshotTable[[#This Row],[SP Strike Price]] * 100) - SnapshotTable[[#This Row],[LP Max Value]],"")</f>
        <v/>
      </c>
      <c r="CM167" s="31" t="str">
        <f ca="1">IF(SnapshotTable[[#This Row],[SP Actual Spend]]&lt;&gt;0, ((SnapshotTable[[#This Row],[SP Strike Price]]-SnapshotTable[[#This Row],[Last Price]]) *(SnapshotTable[[#This Row],[SP Qty]]*100) - SnapshotTable[[#This Row],[SP Premium]]) * - 1, "")</f>
        <v/>
      </c>
      <c r="CN167" s="76">
        <v>0.35</v>
      </c>
      <c r="CO167" s="339">
        <v>0.55000000000000004</v>
      </c>
      <c r="CP167" s="4" t="e">
        <f ca="1">IF(SnapshotTable[[#This Row],[SP Is Filled]], btc_max_buyback_amount(SnapshotTable[[#This Row],[SP Fill Date]],SnapshotTable[[#This Row],[SP Exp Date]], SnapshotTable[[#This Row],[SP Book Price]]),"")</f>
        <v>#NAME?</v>
      </c>
      <c r="CQ167" s="76"/>
      <c r="CR167"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67" s="153" t="e">
        <f ca="1">IF(SnapshotTable[[#This Row],[SP Is Filled]], btc_next_cutoff_date(SnapshotTable[[#This Row],[SP Fill Date]],SnapshotTable[[#This Row],[SP Exp Date]]),"")</f>
        <v>#NAME?</v>
      </c>
      <c r="CT167" s="220" t="e" cm="1">
        <f t="array" aca="1" ref="CT167" ca="1">IF(SnapshotTable[[#This Row],[SP Is Filled]], btc_should_buy_back(SnapshotTable[[#This Row],[SP Fill Date]], SnapshotTable[[#This Row],[SP Exp Date]], SnapshotTable[[#This Row],[SP Book Price]], SnapshotTable[[#This Row],[SP Current Ask]], MockToday, SnapshotTable[[#This Row],[SP Buyback Override]]),"")</f>
        <v>#NAME?</v>
      </c>
      <c r="CU167" s="141">
        <v>46213</v>
      </c>
      <c r="CV167" s="220"/>
      <c r="CW167" s="348">
        <f ca="1">IF(ISNUMBER( SnapshotTable[[#This Row],[SP Term]]), SnapshotTable[[#This Row],[SP Exp Date]] - MockToday,"")</f>
        <v>5</v>
      </c>
      <c r="CX167" s="31" t="e">
        <f ca="1">IF(SnapshotTable[[#This Row],[SP Is Filled]],SnapshotTable[[#This Row],[SP Buyback Price to Use]] * 100 * SnapshotTable[[#This Row],[SP Qty]], "")</f>
        <v>#NAME?</v>
      </c>
      <c r="CY167" s="4">
        <f>IF(ISNUMBER(SnapshotTable[[#This Row],[SP Strike Price]]), SnapshotTable[[#This Row],[SP Strike Price]] * (1 - SP_MaxLoss_StrikePct), "")</f>
        <v>7.76</v>
      </c>
      <c r="CZ167" s="31">
        <f ca="1">IF(ISNUMBER(SnapshotTable[[#This Row],[SP Strike  Stop Per Share]]),SnapshotTable[[#This Row],[SP Premium]] - ((SnapshotTable[[#This Row],[SP Strike Price]]-SnapshotTable[[#This Row],[SP Strike  Stop Per Share]]) *(SnapshotTable[[#This Row],[SP Qty]] * 100)),"")</f>
        <v>207.99999999999983</v>
      </c>
      <c r="DA167" s="4">
        <f ca="1">IF(AND(ISNUMBER(SnapshotTable[[#This Row],[SP Premium]]),SnapshotTable[[#This Row],[SP Premium]]&gt;0), SnapshotTable[[#This Row],[SP Book Price]] * (1 + SP_MaxLoss_OptionPct), "")</f>
        <v>0.75</v>
      </c>
      <c r="DB167" s="31">
        <f ca="1">IF(ISNUMBER(SnapshotTable[[#This Row],[SP Option  Stop Contract]]),(SnapshotTable[[#This Row],[SP Option  Stop Contract]] *(SnapshotTable[[#This Row],[SP Qty]] * 100) - SnapshotTable[[#This Row],[SP Premium]]),"")</f>
        <v>200</v>
      </c>
      <c r="DC167" s="4"/>
      <c r="DD167" s="4"/>
      <c r="DE167" s="4" t="str">
        <f>IF(AND(SnapshotTable[[#This Row],[SP Qty]]&gt;0, SnapshotTable[[#This Row],[SP Stop To Use]]&gt;0),SnapshotTable[[#This Row],[SP Premium]] - ( SnapshotTable[[#This Row],[SP Qty]] * SnapshotTable[[#This Row],[SP Stop To Use]] * 100), "")</f>
        <v/>
      </c>
      <c r="DF167" s="31">
        <f>IF(AND(SnapshotTable[[#This Row],[SP Qty]]&gt;0,SnapshotTable[[#This Row],[SP Current Ask]]&gt;0), SnapshotTable[[#This Row],[SP Qty]] * SnapshotTable[[#This Row],[SP Current Ask]] * -100, "")</f>
        <v>-280</v>
      </c>
      <c r="DG167" s="31">
        <f ca="1">IF(ISNUMBER((SnapshotTable[[#This Row],[SP Total Value]])), SnapshotTable[[#This Row],[SP Premium]] + SnapshotTable[[#This Row],[SP Total Value]], "")</f>
        <v>120</v>
      </c>
      <c r="DH167" s="272">
        <f ca="1">IF(ISNUMBER((SnapshotTable[[#This Row],[SP Total Value]])), SnapshotTable[[#This Row],[SP Gain Loss]] / SnapshotTable[[#This Row],[SP Premium]], "")</f>
        <v>0.3</v>
      </c>
      <c r="DI167" s="369"/>
      <c r="DJ167" s="136"/>
      <c r="DK167" s="146"/>
      <c r="DL167" s="13"/>
      <c r="DM167" s="13"/>
      <c r="DO167" s="31">
        <f>IF(SnapshotTable[[#This Row],[LC Symbol Count]]=1, SnapshotTable[[#This Row],[LC Qty]] * SnapshotTable[[#This Row],[LC Book Price]] * 100, 0)</f>
        <v>0</v>
      </c>
      <c r="DP167" s="161" t="str">
        <f>IF(AND(SnapshotTable[[#This Row],[LC Exp Date]]&gt;0, SnapshotTable[[#This Row],[LC Strike Price]]&gt;0,SnapshotTable[[#This Row],[LC Qty]]&gt;0,SnapshotTable[[#This Row],[LC Book Date]]&gt;0,SnapshotTable[[#This Row],[LC Book Price]]&gt;0,SnapshotTable[[#This Row],[LC Fill Date]]=0),"Y","")</f>
        <v/>
      </c>
      <c r="DQ167" s="356" t="str">
        <f>IF(SnapshotTable[[#This Row],[LC Premium]] &gt; 0,SnapshotTable[[#This Row],[LC Exp Date]]-MAX(SnapshotTable[[#This Row],[LC Book Date]], SnapshotTable[[#This Row],[LC Fill Date]]),"")</f>
        <v/>
      </c>
      <c r="DR167" s="356" t="str">
        <f>IF(ISNUMBER(SnapshotTable[[#This Row],[LC Term]]), SnapshotTable[[#This Row],[LC Exp Date]] - MockToday, "")</f>
        <v/>
      </c>
      <c r="DS167" s="219" t="str">
        <f>IF(SnapshotTable[[#This Row],[LC Premium]]&gt;0,SnapshotTable[[#This Row],[LC Strike Price]] + SnapshotTable[[#This Row],[LC Book Price]],"")</f>
        <v/>
      </c>
      <c r="DU167" s="9" t="str">
        <f>IF(AND(SnapshotTable[[#This Row],[LC Symbol Count]]&gt;0, SnapshotTable[[#This Row],[LC Contract Value]]&gt;0), SnapshotTable[[#This Row],[LC Contract Value]] * SnapshotTable[[#This Row],[LC Qty]] * 100, "")</f>
        <v/>
      </c>
      <c r="DV167" s="9" t="str">
        <f>IF(AND(ISNUMBER(SnapshotTable[[#This Row],[LC Total Value]]), SnapshotTable[[#This Row],[LC Not Filled]]&lt;&gt;"Y"), SnapshotTable[[#This Row],[LC Total Value]]-SnapshotTable[[#This Row],[LC Premium]],"")</f>
        <v/>
      </c>
      <c r="DW167" s="225" t="str">
        <f>IF(ISNUMBER(SnapshotTable[[#This Row],[LC Actual Gain Loss]]), SnapshotTable[[#This Row],[LC Actual Gain Loss]] / SnapshotTable[[#This Row],[LC Premium]],"")</f>
        <v/>
      </c>
      <c r="DX167" s="269" t="str">
        <f>IF(ISNUMBER(SnapshotTable[[#This Row],[LC Book Price]]),SnapshotTable[[#This Row],[LC Book Price]] * 1.5,"")</f>
        <v/>
      </c>
      <c r="DY167" s="250" t="str">
        <f>IF(SnapshotTable[[#This Row],[LC Premium]]&gt;0, SnapshotTable[[#This Row],[LC Next Target]] * SnapshotTable[[#This Row],[LC Qty]] * 100,"")</f>
        <v/>
      </c>
      <c r="DZ167" s="250" t="str">
        <f>IF(ISNUMBER(SnapshotTable[[#This Row],[LC Target Gross]]), SnapshotTable[[#This Row],[LC Target Gross]] - SnapshotTable[[#This Row],[LC Premium]], "")</f>
        <v/>
      </c>
      <c r="EA167" s="283" t="str">
        <f>IF(ISNUMBER(SnapshotTable[[#This Row],[LC Target Gain Loss]]), SnapshotTable[[#This Row],[LC Target Gain Loss]]/SnapshotTable[[#This Row],[LC Premium]], "")</f>
        <v/>
      </c>
      <c r="EB167" s="247"/>
      <c r="EC167" s="268" t="str">
        <f>IF(SnapshotTable[[#This Row],[LC Premium]]&gt;0, SnapshotTable[[#This Row],[LC Book Price]] * (1 - LC_StopLoss_Pct),"")</f>
        <v/>
      </c>
      <c r="ED167" s="269"/>
      <c r="EE167" s="268" t="str">
        <f>IF(ISNUMBER(SnapshotTable[[#This Row],[LC Contract Value]]),IF(ISNUMBER(SnapshotTable[[#This Row],[LC Stop Loss Override]]), SnapshotTable[[#This Row],[LC Stop Loss Override]],SnapshotTable[[#This Row],[LC Stop Loss Calc Target]]),"")</f>
        <v/>
      </c>
      <c r="EF167" s="31" t="str">
        <f>IF(ISNUMBER(SnapshotTable[[#This Row],[LC Stop  To Use]]), (SnapshotTable[[#This Row],[LC Stop  To Use]] * SnapshotTable[[#This Row],[LC Qty]] * 100),"")</f>
        <v/>
      </c>
      <c r="EG167" s="9" t="str">
        <f>IF(ISNUMBER(SnapshotTable[[#This Row],[LC Total Value]]),SnapshotTable[[#This Row],[LC Stop Loss Amount]] - SnapshotTable[[#This Row],[LC Premium]],"")</f>
        <v/>
      </c>
      <c r="EH167" s="9">
        <f>IF(ISNUMBER(SnapshotTable[[#This Row],[LC Premium]]), SnapshotTable[[#This Row],[LC Qty]] * 100 * SnapshotTable[[#This Row],[LC Strike Price]], "")</f>
        <v>0</v>
      </c>
      <c r="EI167" s="225" t="str">
        <f>IF(AND(ISNUMBER(SnapshotTable[[#This Row],[LC Total Value]]),SnapshotTable[[#This Row],[LC Total Value]]&gt;0),SnapshotTable[[#This Row],[LC Stop Gain Loss]]  / SnapshotTable[[#This Row],[LC Premium]],"")</f>
        <v/>
      </c>
      <c r="EJ167" s="35">
        <f>IF(ISNUMBER(SnapshotTable[[#This Row],[Equity Shares]]),TRUNC(SnapshotTable[[#This Row],[Equity Shares]] / 100),0) + SnapshotTable[[#This Row],[LC Qty]]</f>
        <v>8</v>
      </c>
      <c r="EK167" s="145"/>
      <c r="EL167" s="136"/>
      <c r="EM167" s="146"/>
      <c r="EN167" s="145"/>
      <c r="EO167" s="145"/>
      <c r="EP167" s="136"/>
      <c r="EQ167" s="382" t="b">
        <f>AND(ISNUMBER(SnapshotTable[[#This Row],[SC Exp Date]]), ISNUMBER(SnapshotTable[[#This Row],[SC Strike Price]]), ISNUMBER(SnapshotTable[[#This Row],[SC Qty]]), ISNUMBER(SnapshotTable[[#This Row],[SC Book Date]]), ISNUMBER(SnapshotTable[[#This Row],[SC Book Price]]))</f>
        <v>0</v>
      </c>
      <c r="ER167" s="382" t="b">
        <f>AND(SnapshotTable[[#This Row],[SC Is Booked]], NOT(ISBLANK(SnapshotTable[[#This Row],[SC Fill Date]])))</f>
        <v>0</v>
      </c>
      <c r="ES167" s="340"/>
      <c r="ET167" s="34" t="str">
        <f>IF(AND(ISNUMBER(SnapshotTable[[#This Row],[SC Exp Date]]), ISNUMBER(SnapshotTable[[#This Row],[SC Book Date]])), SnapshotTable[[#This Row],[SC Exp Date]] - MAX(SnapshotTable[[#This Row],[SC Book Date]], SnapshotTable[[#This Row],[SC Fill Date]]) + 1, "")</f>
        <v/>
      </c>
      <c r="EU167" s="34" t="str">
        <f>IF(ISNUMBER(SnapshotTable[[#This Row],[SC Term]]), SnapshotTable[[#This Row],[SC Exp Date]]- MockToday, "")</f>
        <v/>
      </c>
      <c r="EV167" s="31">
        <f>IF(SnapshotTable[[#This Row],[SC Is Booked]], SnapshotTable[[#This Row],[SC Qty]] * SnapshotTable[[#This Row],[SC Book Price]] * 100, 0)</f>
        <v>0</v>
      </c>
      <c r="EW167" s="4" t="str">
        <f>IF(AND(ISNUMBER(SnapshotTable[[#This Row],[Last Price]]), ISNUMBER( SnapshotTable[[#This Row],[SC Book Price]])), SnapshotTable[[#This Row],[Last Price]] - SnapshotTable[[#This Row],[SC Book Price]],"")</f>
        <v/>
      </c>
      <c r="EX167" s="219" t="str">
        <f>IF(SnapshotTable[[#This Row],[SC Is Booked]],IF(SnapshotTable[[#This Row],[SC Intrinsic Value]] &gt; 0, SnapshotTable[[#This Row],[SC Strike Price]], SnapshotTable[[#This Row],[Last Price]]), "")</f>
        <v/>
      </c>
      <c r="EY167" s="4">
        <f>IF(SnapshotTable[[#This Row],[SC Is Booked]], (MinimumPremiumRequired * SnapshotTable[[#This Row],[SC Basis]] * SnapshotTable[[#This Row],[SC Term]]), 0)</f>
        <v>0</v>
      </c>
      <c r="EZ167" s="268"/>
      <c r="FA167" s="204"/>
      <c r="FB167" s="340"/>
      <c r="FC167" s="4">
        <f>IF(SnapshotTable[[#This Row],[SC Is Filled]], btc_max_buyback_amount(SnapshotTable[[#This Row],[SC Fill Date]],SnapshotTable[[#This Row],[SC Exp Date]], SnapshotTable[[#This Row],[SC Book Price]]),0)</f>
        <v>0</v>
      </c>
      <c r="FD167" s="5"/>
      <c r="FE167" s="142" t="str">
        <f>IF(SnapshotTable[[#This Row],[SC Is Filled]], btc_next_cutoff_date(SnapshotTable[[#This Row],[SC Fill Date]],SnapshotTable[[#This Row],[SC Exp Date]]),"")</f>
        <v/>
      </c>
      <c r="FF167" s="4" t="str" cm="1">
        <f t="array" ref="FF167">IF(SnapshotTable[[#This Row],[SC Is Filled]], btc_should_buy_back(SnapshotTable[[#This Row],[SC Fill Date]], SnapshotTable[[#This Row],[SC Exp Date]], SnapshotTable[[#This Row],[SC Book Price]], SnapshotTable[[#This Row],[SC Current Ask]], MockToday, SnapshotTable[[#This Row],[SC Buyback Override]]),"")</f>
        <v/>
      </c>
      <c r="FG167" s="4">
        <f>IF(SnapshotTable[[#This Row],[SC Is Filled]], MAX(0,SnapshotTable[[#This Row],[Last Price]]  - SnapshotTable[[#This Row],[SC Strike Price]]), 0)</f>
        <v>0</v>
      </c>
      <c r="FH167" s="352">
        <f>IF(SnapshotTable[[#This Row],[SC Is Filled]], IF(ISNUMBER(SnapshotTable[[#This Row],[SC Current Ask]]), SnapshotTable[[#This Row],[SC Current Ask]], SnapshotTable[[#This Row],[SC Book Price]]) - SnapshotTable[[#This Row],[SC Intrinsic Value]], 0)</f>
        <v>0</v>
      </c>
      <c r="FI167" s="141"/>
      <c r="FJ167" s="32" t="str">
        <f>IF(SnapshotTable[[#This Row],[SC Is Filled]],100 * SnapshotTable[[#This Row],[SC Qty]] * IF(ISNUMBER(SnapshotTable[[#This Row],[SC Buyback Override]]), SnapshotTable[[#This Row],[SC Buyback Override]], SnapshotTable[[#This Row],[SC Current Ask]]), "")</f>
        <v/>
      </c>
      <c r="FK167" s="235" t="str">
        <f>IF(SnapshotTable[[#This Row],[SC Time Val]]&gt;0, SnapshotTable[[#This Row],[SC Time Val]] / SnapshotTable[[#This Row],[Last Price]],"")</f>
        <v/>
      </c>
      <c r="FL167" s="280" t="str">
        <f>IF(SnapshotTable[[#This Row],[SC Is Booked]], ((SnapshotTable[[#This Row],[Last Price]] -SnapshotTable[[#This Row],[SC Strike Price]]) / SnapshotTable[[#This Row],[Last Price]]) * -1, "")</f>
        <v/>
      </c>
      <c r="FM167" s="155" t="str">
        <f>IF(SnapshotTable[[#This Row],[SC Is Booked]],  (SnapshotTable[[#This Row],[SC Qty]] * 100 * SnapshotTable[[#This Row],[SC Strike Price]]) - SnapshotTable[[#This Row],[SC Current Ask]], "")</f>
        <v/>
      </c>
      <c r="FN16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7" s="31" t="str">
        <f>IF(AND(ISNUMBER(SnapshotTable[[#This Row],[SC Exercise Gross]]), ISNUMBER(SnapshotTable[[#This Row],[Equity Basis Per Share]] )), SnapshotTable[[#This Row],[SC Exercise Gross]] - SnapshotTable[[#This Row],[Equity Basis Total]] +  SnapshotTable[[#This Row],[SC Premium]], "")</f>
        <v/>
      </c>
      <c r="FP167" s="5" t="str">
        <f>IF(ISNUMBER(SnapshotTable[[#This Row],[SC Exercise Gross]]), (SnapshotTable[[#This Row],[SC Exercise Gross]]) / (SnapshotTable[[#This Row],[SC Qty]] * 100), "")</f>
        <v/>
      </c>
      <c r="FQ167" s="27" t="str">
        <f>IF(SnapshotTable[[#This Row],[SC Is Booked]],SnapshotTable[[#This Row],[SC Time Val]] /SnapshotTable[[#This Row],[SC Basis]], "")</f>
        <v/>
      </c>
      <c r="FR167" s="27" t="str" cm="1">
        <f t="array" ref="FR167">IF(AND(ISNUMBER(SnapshotTable[[#This Row],[SC Term]]),ISNUMBER(SnapshotTable[[#This Row],[SC Simple ROO]])), EllmanAnnualize(SnapshotTable[[#This Row],[SC DTE]], SnapshotTable[[#This Row],[SC Simple ROO]] ),"")</f>
        <v/>
      </c>
      <c r="FS167" s="4">
        <f>IF(SnapshotTable[[#This Row],[SC Strike Price]] &gt; SnapshotTable[[#This Row],[Last Price]], SnapshotTable[[#This Row],[SC Strike Price]] - SnapshotTable[[#This Row],[Last Price]],0)</f>
        <v>0</v>
      </c>
      <c r="FT167" s="27" t="str">
        <f>IF(AND(ISNUMBER(SnapshotTable[[#This Row],[SC Upside Potential]]), SnapshotTable[[#This Row],[SC Upside Potential]] &gt; 0),(SnapshotTable[[#This Row],[SC Upside Potential]]/ SnapshotTable[[#This Row],[ACB]]),"")</f>
        <v/>
      </c>
      <c r="FU167" s="304" t="str">
        <f>IF(SnapshotTable[[#This Row],[SC Intrinsic Value]] &gt; 0,SnapshotTable[[#This Row],[SC Intrinsic Value]],"")</f>
        <v/>
      </c>
      <c r="FV167" s="27" t="str">
        <f>IF(AND( ISNUMBER( SnapshotTable[[#This Row],[ACB]]),ISNUMBER(SnapshotTable[[#This Row],[SC Downside Protect]])),SnapshotTable[[#This Row],[SC Downside Protect]] / SnapshotTable[[#This Row],[ACB]],"")</f>
        <v/>
      </c>
      <c r="FW167" s="221" t="str">
        <f>IF(AND(ISNUMBER(SnapshotTable[[#This Row],[SC Simple ROO]]),SnapshotTable[[#This Row],[SC Simple ROO]] &gt; 0), SnapshotTable[[#This Row],[SC Premium]] + (SnapshotTable[[#This Row],[SC Qty]] * SnapshotTable[[#This Row],[SC Upside Potential]]), "")</f>
        <v/>
      </c>
      <c r="FX167" s="280" t="str" cm="1">
        <f t="array" ref="FX167">IF(ISNUMBER(SnapshotTable[[#This Row],[SC Max Dollars]]), annualize(SnapshotTable[[#This Row],[SC Term]],(SnapshotTable[[#This Row],[SC Max Dollars]]/SnapshotTable[[#This Row],[SC Basis]])),"")</f>
        <v/>
      </c>
      <c r="FY167" s="221" t="str">
        <f>IF(AND(SnapshotTable[[#This Row],[SC Qty]]&gt;0,SnapshotTable[[#This Row],[SC Current Ask]]&gt;0), SnapshotTable[[#This Row],[SC Qty]] * SnapshotTable[[#This Row],[SC Current Ask]] * -100, "")</f>
        <v/>
      </c>
      <c r="FZ167" s="31" t="str">
        <f>IF(ISNUMBER((SnapshotTable[[#This Row],[SC Current Value]])), SnapshotTable[[#This Row],[SC Premium]] + SnapshotTable[[#This Row],[SC Current Value]], "")</f>
        <v/>
      </c>
      <c r="GA167" s="272" t="str">
        <f>IFERROR( IF(ISNUMBER((SnapshotTable[[#This Row],[SC Current Value]])), SnapshotTable[[#This Row],[SC Gain Loss]] / SnapshotTable[[#This Row],[SC Premium]], ""), "")</f>
        <v/>
      </c>
      <c r="GB167" s="42">
        <f>SnapshotTable[[#This Row],[Equity Shares]] * SaleSharesToConsiderPercentage</f>
        <v>160</v>
      </c>
      <c r="GC167" s="40">
        <f>SnapshotTable[[#This Row],[Long Term Target]] * SellingPriceToConsiderBasedOnTargetPercentage</f>
        <v>0</v>
      </c>
      <c r="GD167" s="40">
        <f>SnapshotTable[[#This Row],[Last Price]] * (1+ SellingPriceToConsiderBasedOnTargetPercentage)</f>
        <v>15.775499999999999</v>
      </c>
      <c r="GE167" s="41"/>
      <c r="GF167" s="40"/>
      <c r="GG167" s="31">
        <f>SnapshotTable[[#This Row],[Booked Sale Shares]] * SnapshotTable[[#This Row],[Booked Sale Price]]</f>
        <v>0</v>
      </c>
      <c r="GH167" s="31">
        <f>IF(SnapshotTable[[#This Row],[Equity Basis Total]] &gt; 0, SnapshotTable[[#This Row],[Equity Basis Per Share]] * SnapshotTable[[#This Row],[Booked Sale Shares]], "")</f>
        <v>0</v>
      </c>
      <c r="GI167" s="31">
        <f>IF(SnapshotTable[[#This Row],[Sale Proceeds]]&gt;0, SnapshotTable[[#This Row],[Sale Proceeds]] - SnapshotTable[[#This Row],[Sale Basis]], 0)</f>
        <v>0</v>
      </c>
      <c r="GJ167" s="27" t="str">
        <f>IF(SnapshotTable[[#This Row],[Sale G/L]]&gt;0, SnapshotTable[[#This Row],[Sale G/L]] / SnapshotTable[[#This Row],[Sale Basis]], IF(ISNUMBER(SnapshotTable[[#This Row],[SC Exercise P&amp;L (TAX)]]), SnapshotTable[[#This Row],[SC Exercise P&amp;L (TAX)]] / SnapshotTable[[#This Row],[SC Basis]], ""))</f>
        <v/>
      </c>
      <c r="GK167" s="27"/>
      <c r="GL167" s="43" t="str">
        <f>IF(AND(SnapshotTable[[#This Row],[LP Exp Date]]&gt;0,SnapshotTable[[#This Row],[LP Strike Price]]&gt;0), [1]!ToOptionSymbol(SnapshotTable[[#This Row],[Symbol]], SnapshotTable[[#This Row],[LP Strike Price]],SnapshotTable[[#This Row],[LP Exp Date]],1), "")</f>
        <v/>
      </c>
      <c r="GM167" s="30" t="str">
        <f>IF(LEN(SnapshotTable[[#This Row],[LP Symbol]])&gt;0, 1, "")</f>
        <v/>
      </c>
      <c r="GN167" s="43" t="str">
        <f ca="1">IF(AND(SnapshotTable[[#This Row],[SP Exp Date]]&gt;0,SnapshotTable[[#This Row],[SP Strike Price]]&gt;0), [1]!ToOptionSymbol(SnapshotTable[[#This Row],[Symbol]], SnapshotTable[[#This Row],[SP Strike Price]],SnapshotTable[[#This Row],[SP Exp Date]],1), "")</f>
        <v>SMR260731P00008000</v>
      </c>
      <c r="GO167" s="30">
        <f ca="1">IF(LEN(SnapshotTable[[#This Row],[SP Symbol]])&gt;0, 1, "")</f>
        <v>1</v>
      </c>
      <c r="GP167" s="43" t="str">
        <f>IF(AND(SnapshotTable[[#This Row],[LC Exp Date]]&gt;0,SnapshotTable[[#This Row],[LC Strike Price]]&gt;0), [1]!ToOptionSymbol(SnapshotTable[[#This Row],[Symbol]], SnapshotTable[[#This Row],[LC Strike Price]],SnapshotTable[[#This Row],[LC Exp Date]],0), "")</f>
        <v/>
      </c>
      <c r="GQ167" s="30" t="str">
        <f>IF(LEN(SnapshotTable[[#This Row],[LC Symbol]])&gt;0, 1, "")</f>
        <v/>
      </c>
      <c r="GR167" s="43" t="str">
        <f>IF(AND(SnapshotTable[[#This Row],[SC Exp Date]]&gt;0,SnapshotTable[[#This Row],[SC Strike Price]]&gt;0), [1]!ToOptionSymbol(SnapshotTable[[#This Row],[Symbol]], SnapshotTable[[#This Row],[SC Strike Price]],SnapshotTable[[#This Row],[SC Exp Date]],0), "")</f>
        <v/>
      </c>
      <c r="GS167" s="30" t="str">
        <f>IF(LEN(SnapshotTable[[#This Row],[SC Symbol]])&gt;0, 1, "")</f>
        <v/>
      </c>
      <c r="GT167" s="29" t="str">
        <f ca="1">IF(COUNT(SnapshotTable[[#This Row],[LP Symbol Count]],SnapshotTable[[#This Row],[SP Symbol Count]],SnapshotTable[[#This Row],[LC Symbol Count]],SnapshotTable[[#This Row],[SC Symbol Count]])&gt;0, "Y", "")</f>
        <v>Y</v>
      </c>
      <c r="GU167"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SP </v>
      </c>
      <c r="GV167" s="216">
        <f ca="1">MAX(SnapshotTable[[#This Row],[Equity Basis Total]],SnapshotTable[[#This Row],[Equity Value]]) + (SnapshotTable[[#This Row],[SP Potential Spend]]- SnapshotTable[[#This Row],[SP Premium]] + SnapshotTable[[#This Row],[LP Premium]])+ (SnapshotTable[[#This Row],[LC Premium]] - SnapshotTable[[#This Row],[SC Premium]])</f>
        <v>19600</v>
      </c>
      <c r="GW167" s="137">
        <f ca="1">IF(AND(SnapshotTable[[#This Row],[Exposure]] &lt;&gt; 0),SnapshotTable[[#This Row],[Exposure]] / SnapshotTable[[#Totals],[Exposure]], "")</f>
        <v>0.10882782438742705</v>
      </c>
      <c r="HE167" s="253"/>
      <c r="HF167" s="253"/>
      <c r="HK167" s="1"/>
      <c r="HL167" s="1"/>
      <c r="HM167" s="1"/>
      <c r="HN167" s="1"/>
      <c r="HO167" s="1"/>
      <c r="HP167" s="1"/>
    </row>
    <row r="168" spans="2:224" ht="12.75" hidden="1" customHeight="1" x14ac:dyDescent="0.25">
      <c r="B168" s="12" t="s">
        <v>148</v>
      </c>
      <c r="C168" s="385">
        <v>31.69</v>
      </c>
      <c r="D168" s="200"/>
      <c r="E168" s="39">
        <f>SnapshotTable[[#This Row],[Last Price]]*(1 -CrashDiscount)</f>
        <v>26.936499999999999</v>
      </c>
      <c r="F168" s="26" t="s">
        <v>147</v>
      </c>
      <c r="G168" s="26" t="s">
        <v>10</v>
      </c>
      <c r="H168" s="147"/>
      <c r="I168" s="186">
        <v>44763.322916666664</v>
      </c>
      <c r="J168" s="187">
        <v>44763.322916666664</v>
      </c>
      <c r="K168" s="188"/>
      <c r="L168" s="297"/>
      <c r="M168" s="138"/>
      <c r="N168" s="138"/>
      <c r="O168" s="138"/>
      <c r="P168" s="22"/>
      <c r="Q168" s="25"/>
      <c r="R168" s="4" t="str">
        <f>IF(SnapshotTable[[#This Row],[Equity Basis Total]] &gt; 0, SnapshotTable[[#This Row],[Equity Basis Total]] / SnapshotTable[[#This Row],[Equity Shares]], "")</f>
        <v/>
      </c>
      <c r="S168" s="254">
        <f>SnapshotTable[[#This Row],[Last Price]] * SnapshotTable[[#This Row],[Equity Shares]]</f>
        <v>0</v>
      </c>
      <c r="T168" s="254">
        <f>SnapshotTable[[#This Row],[Equity Value]] - SnapshotTable[[#This Row],[Equity Basis Total]]</f>
        <v>0</v>
      </c>
      <c r="U168" s="255" t="str">
        <f>IF(SnapshotTable[[#This Row],[Equity Basis Total]] &gt; 0, SnapshotTable[[#This Row],[Equity G/L]] / SnapshotTable[[#This Row],[Equity Basis Total]], "")</f>
        <v/>
      </c>
      <c r="V168" s="253"/>
      <c r="W168" s="253"/>
      <c r="X168" s="4" t="str">
        <f>IF(AND(ISNUMBER(SnapshotTable[[#This Row],[Equity Basis Per Share]]),ISNUMBER(SnapshotTable[[#This Row],[Equity Target]])),SnapshotTable[[#This Row],[Equity Target]]-SnapshotTable[[#This Row],[Equity Basis Per Share]],"")</f>
        <v/>
      </c>
      <c r="Y168" s="4" t="str">
        <f>IF(AND(ISNUMBER(SnapshotTable[[#This Row],[Equity Basis Per Share]]),ISNUMBER(SnapshotTable[[#This Row],[Equity Stop Loss]])),SnapshotTable[[#This Row],[Equity Stop Loss]]-SnapshotTable[[#This Row],[Equity Basis Per Share]],"")</f>
        <v/>
      </c>
      <c r="Z168" s="260" t="str">
        <f>IFERROR( TEXT(SnapshotTable[[#This Row],[Equity Max Gain Per Share]] /ABS( SnapshotTable[[#This Row],[Equity Max Loss Per Share]]),"0.0 " ) &amp; " : 1", "")</f>
        <v/>
      </c>
      <c r="AA168" s="31" t="str">
        <f>IF(ISNUMBER(SnapshotTable[[#This Row],[Equity Max Gain Per Share]]),SnapshotTable[[#This Row],[Equity Max Gain Per Share]] * SnapshotTable[[#This Row],[Equity Shares]],"")</f>
        <v/>
      </c>
      <c r="AB168" s="31" t="str">
        <f>IF(ISNUMBER(SnapshotTable[[#This Row],[Equity Max Loss Per Share]]),SnapshotTable[[#This Row],[Equity Max Loss Per Share]] * SnapshotTable[[#This Row],[Equity Shares]],"")</f>
        <v/>
      </c>
      <c r="AC168" s="148"/>
      <c r="AD168" s="149"/>
      <c r="AE168" s="31">
        <f>(SnapshotTable[[#This Row],[Annual Dividend Per Share]] / 4) * SnapshotTable[[#This Row],[Equity Shares]]</f>
        <v>0</v>
      </c>
      <c r="AF168" s="31">
        <f>SnapshotTable[[#This Row],[Quarterly Div $]] * 4</f>
        <v>0</v>
      </c>
      <c r="AG168" s="7">
        <f>IF(SnapshotTable[[#This Row],[Annual Dividend Per Share]]&gt;0, SnapshotTable[[#This Row],[Annual Dividend Per Share]]  / SnapshotTable[[#This Row],[Last Price]], 0)</f>
        <v>0</v>
      </c>
      <c r="AH168" s="149"/>
      <c r="AI168" s="5">
        <v>21</v>
      </c>
      <c r="AJ168" s="136">
        <v>21.22</v>
      </c>
      <c r="AK168" s="150">
        <f>IF(ISNUMBER( SnapshotTable[[#This Row],[EBF Target]]),(SnapshotTable[[#This Row],[EBF Target]] - SnapshotTable[[#This Row],[Last Price]]) / SnapshotTable[[#This Row],[Last Price]], "")</f>
        <v>-0.33733038813505839</v>
      </c>
      <c r="AL168" s="150" t="str">
        <f>IF(AND(SnapshotTable[[#This Row],[Equity Basis Total]] &gt; 0,ISNUMBER( SnapshotTable[[#This Row],[Long Term Target]])), SnapshotTable[[#This Row],[From Basis $]] / SnapshotTable[[#This Row],[Equity Basis Total]], "")</f>
        <v/>
      </c>
      <c r="AM168" s="9">
        <f>IF( AND(SnapshotTable[[#This Row],[Equity Shares]] &gt;0,ISNUMBER( SnapshotTable[[#This Row],[Long Term Target]])),(SnapshotTable[[#This Row],[Equity Shares]] * SnapshotTable[[#This Row],[Long Term Target]]) - SnapshotTable[[#This Row],[Equity Basis Total]],0)</f>
        <v>0</v>
      </c>
      <c r="AN168" s="9">
        <f>IF( AND(SnapshotTable[[#This Row],[Equity Shares]] &gt;0,ISNUMBER( SnapshotTable[[#This Row],[Long Term Target]])),(SnapshotTable[[#This Row],[Equity Shares]]*SnapshotTable[[#This Row],[Long Term Target]]) - SnapshotTable[[#This Row],[Equity Value]],0)</f>
        <v>0</v>
      </c>
      <c r="AO168" s="150">
        <f>IF(AND(ISNUMBER( SnapshotTable[[#This Row],[Long Term Target]]), ISNUMBER(SnapshotTable[[#This Row],[Last Price]])),(SnapshotTable[[#This Row],[Long Term Target]] - SnapshotTable[[#This Row],[Last Price]]) / SnapshotTable[[#This Row],[Last Price]], "")</f>
        <v>-0.33038813505837811</v>
      </c>
      <c r="AP168" s="5"/>
      <c r="AQ168" s="38"/>
      <c r="AR168" s="5"/>
      <c r="AS168" s="38"/>
      <c r="AT168" s="144"/>
      <c r="AU168" s="185" t="str">
        <f>IF(OR(SnapshotTable[[#This Row],[LP No Fill]]="Y",SnapshotTable[[#This Row],[SP Is Filled]],SnapshotTable[[#This Row],[LC Not Filled]]="Y",SnapshotTable[[#This Row],[SC Is Filled]]),"Y","")</f>
        <v/>
      </c>
      <c r="AV168" s="205"/>
      <c r="AW168" s="211"/>
      <c r="AX168" s="206"/>
      <c r="AY168" s="205" t="str">
        <f>IF(SnapshotTable[[#This Row],[Implied Move]]&gt;0, SnapshotTable[[#This Row],[Last Price]]-SnapshotTable[[#This Row],[Implied Move]],"")</f>
        <v/>
      </c>
      <c r="AZ168" s="205" t="str">
        <f>IF(SnapshotTable[[#This Row],[Implied Move]]&gt;0, SnapshotTable[[#This Row],[Last Price]] + SnapshotTable[[#This Row],[Implied Move]],"")</f>
        <v/>
      </c>
      <c r="BA168" s="302"/>
      <c r="BB168" s="318"/>
      <c r="BC16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8" s="321"/>
      <c r="BE168" s="5"/>
      <c r="BF168" s="14"/>
      <c r="BG168" s="13"/>
      <c r="BH168" s="13"/>
      <c r="BI168" s="5"/>
      <c r="BJ168" s="134">
        <f>IF(SnapshotTable[[#This Row],[LP Qty]] &gt; 0, SnapshotTable[[#This Row],[LP Qty]] * SnapshotTable[[#This Row],[LP Book Price]] * 100,0)</f>
        <v>0</v>
      </c>
      <c r="BK168" s="134">
        <f>IF(SnapshotTable[[#This Row],[LP Premium]] &gt; 0, SnapshotTable[[#This Row],[LP Qty]] * SnapshotTable[[#This Row],[LP Strike Price]] * 100,0)</f>
        <v>0</v>
      </c>
      <c r="BL168" s="152"/>
      <c r="BM168" s="355" t="str">
        <f>IF(SnapshotTable[[#This Row],[LP Premium]] &gt; 0,SnapshotTable[[#This Row],[LP Exp Date]]-MAX(SnapshotTable[[#This Row],[LP Book Date]], SnapshotTable[[#This Row],[LP Fill Date]]),"")</f>
        <v/>
      </c>
      <c r="BN168" s="355" t="str">
        <f>IF(ISNUMBER( SnapshotTable[[#This Row],[LP Term]]), SnapshotTable[[#This Row],[LP Exp Date]] - MockToday,"")</f>
        <v/>
      </c>
      <c r="BO168" s="161" t="str">
        <f>IF(AND(SnapshotTable[[#This Row],[LP Exp Date]]&gt;0, SnapshotTable[[#This Row],[LP Strike Price]]&gt;0,SnapshotTable[[#This Row],[LP Qty]]&gt;0,SnapshotTable[[#This Row],[LP Book Date]]&gt;0,SnapshotTable[[#This Row],[LP Book Price]]&gt;0,SnapshotTable[[#This Row],[LP Fill Date]]=0),"Y","")</f>
        <v/>
      </c>
      <c r="BP168" s="31" t="str">
        <f>IF(AND(SnapshotTable[[#This Row],[LP No Fill]]&lt;&gt;"Y",SnapshotTable[[#This Row],[LP Contract Value]]&gt;0, SnapshotTable[[#This Row],[LP Qty]]&gt;0), SnapshotTable[[#This Row],[LP Contract Value]]*SnapshotTable[[#This Row],[LP Qty]]*100,"")</f>
        <v/>
      </c>
      <c r="BQ168" s="13"/>
      <c r="BR168" s="5"/>
      <c r="BS168" s="36"/>
      <c r="BT168" s="145"/>
      <c r="BU168" s="13"/>
      <c r="BV168" s="5"/>
      <c r="BW168" s="382" t="b">
        <f>AND(ISNUMBER(SnapshotTable[[#This Row],[SP Exp Date]]), ISNUMBER(SnapshotTable[[#This Row],[SP Strike Price]]), ISNUMBER(SnapshotTable[[#This Row],[SP Qty]]), ISNUMBER(SnapshotTable[[#This Row],[SP Book Date]]), ISNUMBER(SnapshotTable[[#This Row],[SP Book Price]]))</f>
        <v>0</v>
      </c>
      <c r="BX168" s="382" t="b">
        <f>AND(SnapshotTable[[#This Row],[SP Is Booked]], NOT(ISBLANK(SnapshotTable[[#This Row],[SP Fill Date]])))</f>
        <v>0</v>
      </c>
      <c r="BY168" s="33">
        <f>IF(SnapshotTable[[#This Row],[SP Is Booked]], SnapshotTable[[#This Row],[SP Qty]] * SnapshotTable[[#This Row],[SP Book Price]] * 100, 0)</f>
        <v>0</v>
      </c>
      <c r="BZ168" s="339"/>
      <c r="CA168" s="338">
        <f>SnapshotTable[[#This Row],[LP Qty]]</f>
        <v>0</v>
      </c>
      <c r="CB168" s="4" t="str">
        <f>IF(SnapshotTable[[#This Row],[SP Is Booked]], SnapshotTable[[#This Row],[SP Strike Price]] - SnapshotTable[[#This Row],[SP Book Price]], "")</f>
        <v/>
      </c>
      <c r="CC168" s="19" t="str">
        <f>IF(SnapshotTable[[#This Row],[SP Is Booked]],SnapshotTable[[#This Row],[SP Exp Date]]-MAX(SnapshotTable[[#This Row],[SP Book Date]], SnapshotTable[[#This Row],[SP Fill Date]]),"")</f>
        <v/>
      </c>
      <c r="CD168" s="7" t="str">
        <f>IF(SnapshotTable[[#This Row],[SP Is Booked]], SnapshotTable[[#This Row],[SP Book Price]]/SnapshotTable[[#This Row],[SP Strike Price]], "")</f>
        <v/>
      </c>
      <c r="CE168" s="7" t="str">
        <f>IF(ISNUMBER(SnapshotTable[[#This Row],[SP ROO Term]]),SnapshotTable[[#This Row],[SP ROO Term]]*(365/SnapshotTable[[#This Row],[SP Term]]),"")</f>
        <v/>
      </c>
      <c r="CF168" s="221">
        <f>SnapshotTable[[#This Row],[LP Strike Price]] * SnapshotTable[[#This Row],[LP Qty]] * 100</f>
        <v>0</v>
      </c>
      <c r="CG168" s="31">
        <f>IF(ISNUMBER(SnapshotTable[[#This Row],[SP Premium]]), (SnapshotTable[[#This Row],[SP Qty]] * SnapshotTable[[#This Row],[SP Strike Price]]* 100) - SnapshotTable[[#This Row],[LP Protection]], 0)</f>
        <v>0</v>
      </c>
      <c r="CH168" s="7" t="str">
        <f>IF(ISNUMBER(SnapshotTable[[#This Row],[SP Break Even]]),-1 * (SnapshotTable[[#This Row],[SP Break Even]] - SnapshotTable[[#This Row],[Last Price]]) / SnapshotTable[[#This Row],[Last Price]], "")</f>
        <v/>
      </c>
      <c r="CI168" s="31">
        <f>IF(AND(ISNUMBER((SnapshotTable[[#This Row],[SP Potential Spend]])), SnapshotTable[[#This Row],[SP Strike Price]] &gt; SnapshotTable[[#This Row],[Last Price]], SnapshotTable[[#This Row],[SP Is Filled]]), SnapshotTable[[#This Row],[SP Potential Spend]] -  SnapshotTable[[#This Row],[LP Max Value]], 0)</f>
        <v>0</v>
      </c>
      <c r="CJ168" s="229"/>
      <c r="CK168" s="31">
        <f>IF(ISNUMBER(SnapshotTable[[#This Row],[SP Potential Spend]]),IF(ISNUMBER(SnapshotTable[[#This Row],[SP POW]]), SnapshotTable[[#This Row],[SP POW]] * SnapshotTable[[#This Row],[SP Potential Spend]], SnapshotTable[[#This Row],[SP Potential Spend]]), "")</f>
        <v>0</v>
      </c>
      <c r="CL168" s="162">
        <f>IF(NOT(SnapshotTable[[#This Row],[SP Is Filled]]),(SnapshotTable[[#This Row],[SP Qty]] * SnapshotTable[[#This Row],[SP Strike Price]] * 100) - SnapshotTable[[#This Row],[LP Max Value]],"")</f>
        <v>0</v>
      </c>
      <c r="CM168" s="31" t="str">
        <f>IF(SnapshotTable[[#This Row],[SP Actual Spend]]&lt;&gt;0, ((SnapshotTable[[#This Row],[SP Strike Price]]-SnapshotTable[[#This Row],[Last Price]]) *(SnapshotTable[[#This Row],[SP Qty]]*100) - SnapshotTable[[#This Row],[SP Premium]]) * - 1, "")</f>
        <v/>
      </c>
      <c r="CN168" s="76"/>
      <c r="CO168" s="339"/>
      <c r="CP168" s="4" t="str">
        <f>IF(SnapshotTable[[#This Row],[SP Is Filled]], btc_max_buyback_amount(SnapshotTable[[#This Row],[SP Fill Date]],SnapshotTable[[#This Row],[SP Exp Date]], SnapshotTable[[#This Row],[SP Book Price]]),"")</f>
        <v/>
      </c>
      <c r="CQ168" s="76"/>
      <c r="CR16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8" s="153" t="str">
        <f>IF(SnapshotTable[[#This Row],[SP Is Filled]], btc_next_cutoff_date(SnapshotTable[[#This Row],[SP Fill Date]],SnapshotTable[[#This Row],[SP Exp Date]]),"")</f>
        <v/>
      </c>
      <c r="CT168" s="220" t="str" cm="1">
        <f t="array" ref="CT168">IF(SnapshotTable[[#This Row],[SP Is Filled]], btc_should_buy_back(SnapshotTable[[#This Row],[SP Fill Date]], SnapshotTable[[#This Row],[SP Exp Date]], SnapshotTable[[#This Row],[SP Book Price]], SnapshotTable[[#This Row],[SP Current Ask]], MockToday, SnapshotTable[[#This Row],[SP Buyback Override]]),"")</f>
        <v/>
      </c>
      <c r="CU168" s="141"/>
      <c r="CV168" s="220"/>
      <c r="CW168" s="348" t="str">
        <f>IF(ISNUMBER( SnapshotTable[[#This Row],[SP Term]]), SnapshotTable[[#This Row],[SP Exp Date]] - MockToday,"")</f>
        <v/>
      </c>
      <c r="CX168" s="31" t="str">
        <f>IF(SnapshotTable[[#This Row],[SP Is Filled]],SnapshotTable[[#This Row],[SP Buyback Price to Use]] * 100 * SnapshotTable[[#This Row],[SP Qty]], "")</f>
        <v/>
      </c>
      <c r="CY168" s="4" t="str">
        <f>IF(ISNUMBER(SnapshotTable[[#This Row],[SP Strike Price]]), SnapshotTable[[#This Row],[SP Strike Price]] * (1 - SP_MaxLoss_StrikePct), "")</f>
        <v/>
      </c>
      <c r="CZ168" s="31" t="str">
        <f>IF(ISNUMBER(SnapshotTable[[#This Row],[SP Strike  Stop Per Share]]),SnapshotTable[[#This Row],[SP Premium]] - ((SnapshotTable[[#This Row],[SP Strike Price]]-SnapshotTable[[#This Row],[SP Strike  Stop Per Share]]) *(SnapshotTable[[#This Row],[SP Qty]] * 100)),"")</f>
        <v/>
      </c>
      <c r="DA168" s="4" t="str">
        <f>IF(AND(ISNUMBER(SnapshotTable[[#This Row],[SP Premium]]),SnapshotTable[[#This Row],[SP Premium]]&gt;0), SnapshotTable[[#This Row],[SP Book Price]] * (1 + SP_MaxLoss_OptionPct), "")</f>
        <v/>
      </c>
      <c r="DB168" s="31" t="str">
        <f>IF(ISNUMBER(SnapshotTable[[#This Row],[SP Option  Stop Contract]]),(SnapshotTable[[#This Row],[SP Option  Stop Contract]] *(SnapshotTable[[#This Row],[SP Qty]] * 100) - SnapshotTable[[#This Row],[SP Premium]]),"")</f>
        <v/>
      </c>
      <c r="DC168" s="4"/>
      <c r="DD168" s="4"/>
      <c r="DE168" s="4" t="str">
        <f>IF(AND(SnapshotTable[[#This Row],[SP Qty]]&gt;0, SnapshotTable[[#This Row],[SP Stop To Use]]&gt;0),SnapshotTable[[#This Row],[SP Premium]] - ( SnapshotTable[[#This Row],[SP Qty]] * SnapshotTable[[#This Row],[SP Stop To Use]] * 100), "")</f>
        <v/>
      </c>
      <c r="DF168" s="31" t="str">
        <f>IF(AND(SnapshotTable[[#This Row],[SP Qty]]&gt;0,SnapshotTable[[#This Row],[SP Current Ask]]&gt;0), SnapshotTable[[#This Row],[SP Qty]] * SnapshotTable[[#This Row],[SP Current Ask]] * -100, "")</f>
        <v/>
      </c>
      <c r="DG168" s="31" t="str">
        <f>IF(ISNUMBER((SnapshotTable[[#This Row],[SP Total Value]])), SnapshotTable[[#This Row],[SP Premium]] + SnapshotTable[[#This Row],[SP Total Value]], "")</f>
        <v/>
      </c>
      <c r="DH168" s="272" t="str">
        <f>IF(ISNUMBER((SnapshotTable[[#This Row],[SP Total Value]])), SnapshotTable[[#This Row],[SP Gain Loss]] / SnapshotTable[[#This Row],[SP Premium]], "")</f>
        <v/>
      </c>
      <c r="DI168" s="369"/>
      <c r="DJ168" s="136"/>
      <c r="DK168" s="146"/>
      <c r="DL168" s="13"/>
      <c r="DM168" s="13"/>
      <c r="DO168" s="31">
        <f>IF(SnapshotTable[[#This Row],[LC Symbol Count]]=1, SnapshotTable[[#This Row],[LC Qty]] * SnapshotTable[[#This Row],[LC Book Price]] * 100, 0)</f>
        <v>0</v>
      </c>
      <c r="DP168" s="161" t="str">
        <f>IF(AND(SnapshotTable[[#This Row],[LC Exp Date]]&gt;0, SnapshotTable[[#This Row],[LC Strike Price]]&gt;0,SnapshotTable[[#This Row],[LC Qty]]&gt;0,SnapshotTable[[#This Row],[LC Book Date]]&gt;0,SnapshotTable[[#This Row],[LC Book Price]]&gt;0,SnapshotTable[[#This Row],[LC Fill Date]]=0),"Y","")</f>
        <v/>
      </c>
      <c r="DQ168" s="356" t="str">
        <f>IF(SnapshotTable[[#This Row],[LC Premium]] &gt; 0,SnapshotTable[[#This Row],[LC Exp Date]]-MAX(SnapshotTable[[#This Row],[LC Book Date]], SnapshotTable[[#This Row],[LC Fill Date]]),"")</f>
        <v/>
      </c>
      <c r="DR168" s="356" t="str">
        <f>IF(ISNUMBER(SnapshotTable[[#This Row],[LC Term]]), SnapshotTable[[#This Row],[LC Exp Date]] - MockToday, "")</f>
        <v/>
      </c>
      <c r="DS168" s="219" t="str">
        <f>IF(SnapshotTable[[#This Row],[LC Premium]]&gt;0,SnapshotTable[[#This Row],[LC Strike Price]] + SnapshotTable[[#This Row],[LC Book Price]],"")</f>
        <v/>
      </c>
      <c r="DU168" s="9" t="str">
        <f>IF(AND(SnapshotTable[[#This Row],[LC Symbol Count]]&gt;0, SnapshotTable[[#This Row],[LC Contract Value]]&gt;0), SnapshotTable[[#This Row],[LC Contract Value]] * SnapshotTable[[#This Row],[LC Qty]] * 100, "")</f>
        <v/>
      </c>
      <c r="DV168" s="9" t="str">
        <f>IF(AND(ISNUMBER(SnapshotTable[[#This Row],[LC Total Value]]), SnapshotTable[[#This Row],[LC Not Filled]]&lt;&gt;"Y"), SnapshotTable[[#This Row],[LC Total Value]]-SnapshotTable[[#This Row],[LC Premium]],"")</f>
        <v/>
      </c>
      <c r="DW168" s="225" t="str">
        <f>IF(ISNUMBER(SnapshotTable[[#This Row],[LC Actual Gain Loss]]), SnapshotTable[[#This Row],[LC Actual Gain Loss]] / SnapshotTable[[#This Row],[LC Premium]],"")</f>
        <v/>
      </c>
      <c r="DX168" s="269" t="str">
        <f>IF(ISNUMBER(SnapshotTable[[#This Row],[LC Book Price]]),SnapshotTable[[#This Row],[LC Book Price]] * 1.5,"")</f>
        <v/>
      </c>
      <c r="DY168" s="250" t="str">
        <f>IF(SnapshotTable[[#This Row],[LC Premium]]&gt;0, SnapshotTable[[#This Row],[LC Next Target]] * SnapshotTable[[#This Row],[LC Qty]] * 100,"")</f>
        <v/>
      </c>
      <c r="DZ168" s="250" t="str">
        <f>IF(ISNUMBER(SnapshotTable[[#This Row],[LC Target Gross]]), SnapshotTable[[#This Row],[LC Target Gross]] - SnapshotTable[[#This Row],[LC Premium]], "")</f>
        <v/>
      </c>
      <c r="EA168" s="283" t="str">
        <f>IF(ISNUMBER(SnapshotTable[[#This Row],[LC Target Gain Loss]]), SnapshotTable[[#This Row],[LC Target Gain Loss]]/SnapshotTable[[#This Row],[LC Premium]], "")</f>
        <v/>
      </c>
      <c r="EB168" s="247"/>
      <c r="EC168" s="268" t="str">
        <f>IF(SnapshotTable[[#This Row],[LC Premium]]&gt;0, SnapshotTable[[#This Row],[LC Book Price]] * (1 - LC_StopLoss_Pct),"")</f>
        <v/>
      </c>
      <c r="ED168" s="269"/>
      <c r="EE168" s="268" t="str">
        <f>IF(ISNUMBER(SnapshotTable[[#This Row],[LC Contract Value]]),IF(ISNUMBER(SnapshotTable[[#This Row],[LC Stop Loss Override]]), SnapshotTable[[#This Row],[LC Stop Loss Override]],SnapshotTable[[#This Row],[LC Stop Loss Calc Target]]),"")</f>
        <v/>
      </c>
      <c r="EF168" s="31" t="str">
        <f>IF(ISNUMBER(SnapshotTable[[#This Row],[LC Stop  To Use]]), (SnapshotTable[[#This Row],[LC Stop  To Use]] * SnapshotTable[[#This Row],[LC Qty]] * 100),"")</f>
        <v/>
      </c>
      <c r="EG168" s="9" t="str">
        <f>IF(ISNUMBER(SnapshotTable[[#This Row],[LC Total Value]]),SnapshotTable[[#This Row],[LC Stop Loss Amount]] - SnapshotTable[[#This Row],[LC Premium]],"")</f>
        <v/>
      </c>
      <c r="EH168" s="9">
        <f>IF(ISNUMBER(SnapshotTable[[#This Row],[LC Premium]]), SnapshotTable[[#This Row],[LC Qty]] * 100 * SnapshotTable[[#This Row],[LC Strike Price]], "")</f>
        <v>0</v>
      </c>
      <c r="EI168" s="225" t="str">
        <f>IF(AND(ISNUMBER(SnapshotTable[[#This Row],[LC Total Value]]),SnapshotTable[[#This Row],[LC Total Value]]&gt;0),SnapshotTable[[#This Row],[LC Stop Gain Loss]]  / SnapshotTable[[#This Row],[LC Premium]],"")</f>
        <v/>
      </c>
      <c r="EJ168" s="35">
        <f>IF(ISNUMBER(SnapshotTable[[#This Row],[Equity Shares]]),TRUNC(SnapshotTable[[#This Row],[Equity Shares]] / 100),0) + SnapshotTable[[#This Row],[LC Qty]]</f>
        <v>0</v>
      </c>
      <c r="EK168" s="145"/>
      <c r="EL168" s="136"/>
      <c r="EM168" s="146"/>
      <c r="EN168" s="145"/>
      <c r="EO168" s="145"/>
      <c r="EP168" s="136"/>
      <c r="EQ168" s="382" t="b">
        <f>AND(ISNUMBER(SnapshotTable[[#This Row],[SC Exp Date]]), ISNUMBER(SnapshotTable[[#This Row],[SC Strike Price]]), ISNUMBER(SnapshotTable[[#This Row],[SC Qty]]), ISNUMBER(SnapshotTable[[#This Row],[SC Book Date]]), ISNUMBER(SnapshotTable[[#This Row],[SC Book Price]]))</f>
        <v>0</v>
      </c>
      <c r="ER168" s="382" t="b">
        <f>AND(SnapshotTable[[#This Row],[SC Is Booked]], NOT(ISBLANK(SnapshotTable[[#This Row],[SC Fill Date]])))</f>
        <v>0</v>
      </c>
      <c r="ES168" s="340"/>
      <c r="ET168" s="34" t="str">
        <f>IF(AND(ISNUMBER(SnapshotTable[[#This Row],[SC Exp Date]]), ISNUMBER(SnapshotTable[[#This Row],[SC Book Date]])), SnapshotTable[[#This Row],[SC Exp Date]] - MAX(SnapshotTable[[#This Row],[SC Book Date]], SnapshotTable[[#This Row],[SC Fill Date]]) + 1, "")</f>
        <v/>
      </c>
      <c r="EU168" s="34" t="str">
        <f>IF(ISNUMBER(SnapshotTable[[#This Row],[SC Term]]), SnapshotTable[[#This Row],[SC Exp Date]]- MockToday, "")</f>
        <v/>
      </c>
      <c r="EV168" s="31">
        <f>IF(SnapshotTable[[#This Row],[SC Is Booked]], SnapshotTable[[#This Row],[SC Qty]] * SnapshotTable[[#This Row],[SC Book Price]] * 100, 0)</f>
        <v>0</v>
      </c>
      <c r="EW168" s="4" t="str">
        <f>IF(AND(ISNUMBER(SnapshotTable[[#This Row],[Last Price]]), ISNUMBER( SnapshotTable[[#This Row],[SC Book Price]])), SnapshotTable[[#This Row],[Last Price]] - SnapshotTable[[#This Row],[SC Book Price]],"")</f>
        <v/>
      </c>
      <c r="EX168" s="219" t="str">
        <f>IF(SnapshotTable[[#This Row],[SC Is Booked]],IF(SnapshotTable[[#This Row],[SC Intrinsic Value]] &gt; 0, SnapshotTable[[#This Row],[SC Strike Price]], SnapshotTable[[#This Row],[Last Price]]), "")</f>
        <v/>
      </c>
      <c r="EY168" s="4">
        <f>IF(SnapshotTable[[#This Row],[SC Is Booked]], (MinimumPremiumRequired * SnapshotTable[[#This Row],[SC Basis]] * SnapshotTable[[#This Row],[SC Term]]), 0)</f>
        <v>0</v>
      </c>
      <c r="EZ168" s="268"/>
      <c r="FA168" s="204"/>
      <c r="FB168" s="340"/>
      <c r="FC168" s="4">
        <f>IF(SnapshotTable[[#This Row],[SC Is Filled]], btc_max_buyback_amount(SnapshotTable[[#This Row],[SC Fill Date]],SnapshotTable[[#This Row],[SC Exp Date]], SnapshotTable[[#This Row],[SC Book Price]]),0)</f>
        <v>0</v>
      </c>
      <c r="FD168" s="5"/>
      <c r="FE168" s="142" t="str">
        <f>IF(SnapshotTable[[#This Row],[SC Is Filled]], btc_next_cutoff_date(SnapshotTable[[#This Row],[SC Fill Date]],SnapshotTable[[#This Row],[SC Exp Date]]),"")</f>
        <v/>
      </c>
      <c r="FF168" s="4" t="str" cm="1">
        <f t="array" ref="FF168">IF(SnapshotTable[[#This Row],[SC Is Filled]], btc_should_buy_back(SnapshotTable[[#This Row],[SC Fill Date]], SnapshotTable[[#This Row],[SC Exp Date]], SnapshotTable[[#This Row],[SC Book Price]], SnapshotTable[[#This Row],[SC Current Ask]], MockToday, SnapshotTable[[#This Row],[SC Buyback Override]]),"")</f>
        <v/>
      </c>
      <c r="FG168" s="4">
        <f>IF(SnapshotTable[[#This Row],[SC Is Filled]], MAX(0,SnapshotTable[[#This Row],[Last Price]]  - SnapshotTable[[#This Row],[SC Strike Price]]), 0)</f>
        <v>0</v>
      </c>
      <c r="FH168" s="352">
        <f>IF(SnapshotTable[[#This Row],[SC Is Filled]], IF(ISNUMBER(SnapshotTable[[#This Row],[SC Current Ask]]), SnapshotTable[[#This Row],[SC Current Ask]], SnapshotTable[[#This Row],[SC Book Price]]) - SnapshotTable[[#This Row],[SC Intrinsic Value]], 0)</f>
        <v>0</v>
      </c>
      <c r="FI168" s="141"/>
      <c r="FJ168" s="32" t="str">
        <f>IF(SnapshotTable[[#This Row],[SC Is Filled]],100 * SnapshotTable[[#This Row],[SC Qty]] * IF(ISNUMBER(SnapshotTable[[#This Row],[SC Buyback Override]]), SnapshotTable[[#This Row],[SC Buyback Override]], SnapshotTable[[#This Row],[SC Current Ask]]), "")</f>
        <v/>
      </c>
      <c r="FK168" s="235" t="str">
        <f>IF(SnapshotTable[[#This Row],[SC Time Val]]&gt;0, SnapshotTable[[#This Row],[SC Time Val]] / SnapshotTable[[#This Row],[Last Price]],"")</f>
        <v/>
      </c>
      <c r="FL168" s="280" t="str">
        <f>IF(SnapshotTable[[#This Row],[SC Is Booked]], ((SnapshotTable[[#This Row],[Last Price]] -SnapshotTable[[#This Row],[SC Strike Price]]) / SnapshotTable[[#This Row],[Last Price]]) * -1, "")</f>
        <v/>
      </c>
      <c r="FM168" s="155" t="str">
        <f>IF(SnapshotTable[[#This Row],[SC Is Booked]],  (SnapshotTable[[#This Row],[SC Qty]] * 100 * SnapshotTable[[#This Row],[SC Strike Price]]) - SnapshotTable[[#This Row],[SC Current Ask]], "")</f>
        <v/>
      </c>
      <c r="FN16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8" s="31" t="str">
        <f>IF(AND(ISNUMBER(SnapshotTable[[#This Row],[SC Exercise Gross]]), ISNUMBER(SnapshotTable[[#This Row],[Equity Basis Per Share]] )), SnapshotTable[[#This Row],[SC Exercise Gross]] - SnapshotTable[[#This Row],[Equity Basis Total]] +  SnapshotTable[[#This Row],[SC Premium]], "")</f>
        <v/>
      </c>
      <c r="FP168" s="5" t="str">
        <f>IF(ISNUMBER(SnapshotTable[[#This Row],[SC Exercise Gross]]), (SnapshotTable[[#This Row],[SC Exercise Gross]]) / (SnapshotTable[[#This Row],[SC Qty]] * 100), "")</f>
        <v/>
      </c>
      <c r="FQ168" s="27" t="str">
        <f>IF(SnapshotTable[[#This Row],[SC Is Booked]],SnapshotTable[[#This Row],[SC Time Val]] /SnapshotTable[[#This Row],[SC Basis]], "")</f>
        <v/>
      </c>
      <c r="FR168" s="27" t="str" cm="1">
        <f t="array" ref="FR168">IF(AND(ISNUMBER(SnapshotTable[[#This Row],[SC Term]]),ISNUMBER(SnapshotTable[[#This Row],[SC Simple ROO]])), EllmanAnnualize(SnapshotTable[[#This Row],[SC DTE]], SnapshotTable[[#This Row],[SC Simple ROO]] ),"")</f>
        <v/>
      </c>
      <c r="FS168" s="4">
        <f>IF(SnapshotTable[[#This Row],[SC Strike Price]] &gt; SnapshotTable[[#This Row],[Last Price]], SnapshotTable[[#This Row],[SC Strike Price]] - SnapshotTable[[#This Row],[Last Price]],0)</f>
        <v>0</v>
      </c>
      <c r="FT168" s="27" t="str">
        <f>IF(AND(ISNUMBER(SnapshotTable[[#This Row],[SC Upside Potential]]), SnapshotTable[[#This Row],[SC Upside Potential]] &gt; 0),(SnapshotTable[[#This Row],[SC Upside Potential]]/ SnapshotTable[[#This Row],[ACB]]),"")</f>
        <v/>
      </c>
      <c r="FU168" s="304" t="str">
        <f>IF(SnapshotTable[[#This Row],[SC Intrinsic Value]] &gt; 0,SnapshotTable[[#This Row],[SC Intrinsic Value]],"")</f>
        <v/>
      </c>
      <c r="FV168" s="27" t="str">
        <f>IF(AND( ISNUMBER( SnapshotTable[[#This Row],[ACB]]),ISNUMBER(SnapshotTable[[#This Row],[SC Downside Protect]])),SnapshotTable[[#This Row],[SC Downside Protect]] / SnapshotTable[[#This Row],[ACB]],"")</f>
        <v/>
      </c>
      <c r="FW168" s="221" t="str">
        <f>IF(AND(ISNUMBER(SnapshotTable[[#This Row],[SC Simple ROO]]),SnapshotTable[[#This Row],[SC Simple ROO]] &gt; 0), SnapshotTable[[#This Row],[SC Premium]] + (SnapshotTable[[#This Row],[SC Qty]] * SnapshotTable[[#This Row],[SC Upside Potential]]), "")</f>
        <v/>
      </c>
      <c r="FX168" s="280" t="str" cm="1">
        <f t="array" ref="FX168">IF(ISNUMBER(SnapshotTable[[#This Row],[SC Max Dollars]]), annualize(SnapshotTable[[#This Row],[SC Term]],(SnapshotTable[[#This Row],[SC Max Dollars]]/SnapshotTable[[#This Row],[SC Basis]])),"")</f>
        <v/>
      </c>
      <c r="FY168" s="221" t="str">
        <f>IF(AND(SnapshotTable[[#This Row],[SC Qty]]&gt;0,SnapshotTable[[#This Row],[SC Current Ask]]&gt;0), SnapshotTable[[#This Row],[SC Qty]] * SnapshotTable[[#This Row],[SC Current Ask]] * -100, "")</f>
        <v/>
      </c>
      <c r="FZ168" s="31" t="str">
        <f>IF(ISNUMBER((SnapshotTable[[#This Row],[SC Current Value]])), SnapshotTable[[#This Row],[SC Premium]] + SnapshotTable[[#This Row],[SC Current Value]], "")</f>
        <v/>
      </c>
      <c r="GA168" s="272" t="str">
        <f>IFERROR( IF(ISNUMBER((SnapshotTable[[#This Row],[SC Current Value]])), SnapshotTable[[#This Row],[SC Gain Loss]] / SnapshotTable[[#This Row],[SC Premium]], ""), "")</f>
        <v/>
      </c>
      <c r="GB168" s="42">
        <f>SnapshotTable[[#This Row],[Equity Shares]] * SaleSharesToConsiderPercentage</f>
        <v>0</v>
      </c>
      <c r="GC168" s="40">
        <f>SnapshotTable[[#This Row],[Long Term Target]] * SellingPriceToConsiderBasedOnTargetPercentage</f>
        <v>20.158999999999999</v>
      </c>
      <c r="GD168" s="40">
        <f>SnapshotTable[[#This Row],[Last Price]] * (1+ SellingPriceToConsiderBasedOnTargetPercentage)</f>
        <v>61.795500000000004</v>
      </c>
      <c r="GE168" s="41"/>
      <c r="GF168" s="40"/>
      <c r="GG168" s="31">
        <f>SnapshotTable[[#This Row],[Booked Sale Shares]] * SnapshotTable[[#This Row],[Booked Sale Price]]</f>
        <v>0</v>
      </c>
      <c r="GH168" s="31" t="str">
        <f>IF(SnapshotTable[[#This Row],[Equity Basis Total]] &gt; 0, SnapshotTable[[#This Row],[Equity Basis Per Share]] * SnapshotTable[[#This Row],[Booked Sale Shares]], "")</f>
        <v/>
      </c>
      <c r="GI168" s="31">
        <f>IF(SnapshotTable[[#This Row],[Sale Proceeds]]&gt;0, SnapshotTable[[#This Row],[Sale Proceeds]] - SnapshotTable[[#This Row],[Sale Basis]], 0)</f>
        <v>0</v>
      </c>
      <c r="GJ168" s="27" t="str">
        <f>IF(SnapshotTable[[#This Row],[Sale G/L]]&gt;0, SnapshotTable[[#This Row],[Sale G/L]] / SnapshotTable[[#This Row],[Sale Basis]], IF(ISNUMBER(SnapshotTable[[#This Row],[SC Exercise P&amp;L (TAX)]]), SnapshotTable[[#This Row],[SC Exercise P&amp;L (TAX)]] / SnapshotTable[[#This Row],[SC Basis]], ""))</f>
        <v/>
      </c>
      <c r="GK168" s="27" t="s">
        <v>582</v>
      </c>
      <c r="GL168" s="43" t="str">
        <f>IF(AND(SnapshotTable[[#This Row],[LP Exp Date]]&gt;0,SnapshotTable[[#This Row],[LP Strike Price]]&gt;0), [1]!ToOptionSymbol(SnapshotTable[[#This Row],[Symbol]], SnapshotTable[[#This Row],[LP Strike Price]],SnapshotTable[[#This Row],[LP Exp Date]],1), "")</f>
        <v/>
      </c>
      <c r="GM168" s="30" t="str">
        <f>IF(LEN(SnapshotTable[[#This Row],[LP Symbol]])&gt;0, 1, "")</f>
        <v/>
      </c>
      <c r="GN168" s="43" t="str">
        <f>IF(AND(SnapshotTable[[#This Row],[SP Exp Date]]&gt;0,SnapshotTable[[#This Row],[SP Strike Price]]&gt;0), [1]!ToOptionSymbol(SnapshotTable[[#This Row],[Symbol]], SnapshotTable[[#This Row],[SP Strike Price]],SnapshotTable[[#This Row],[SP Exp Date]],1), "")</f>
        <v/>
      </c>
      <c r="GO168" s="30" t="str">
        <f>IF(LEN(SnapshotTable[[#This Row],[SP Symbol]])&gt;0, 1, "")</f>
        <v/>
      </c>
      <c r="GP168" s="43" t="str">
        <f>IF(AND(SnapshotTable[[#This Row],[LC Exp Date]]&gt;0,SnapshotTable[[#This Row],[LC Strike Price]]&gt;0), [1]!ToOptionSymbol(SnapshotTable[[#This Row],[Symbol]], SnapshotTable[[#This Row],[LC Strike Price]],SnapshotTable[[#This Row],[LC Exp Date]],0), "")</f>
        <v/>
      </c>
      <c r="GQ168" s="30" t="str">
        <f>IF(LEN(SnapshotTable[[#This Row],[LC Symbol]])&gt;0, 1, "")</f>
        <v/>
      </c>
      <c r="GR168" s="43" t="str">
        <f>IF(AND(SnapshotTable[[#This Row],[SC Exp Date]]&gt;0,SnapshotTable[[#This Row],[SC Strike Price]]&gt;0), [1]!ToOptionSymbol(SnapshotTable[[#This Row],[Symbol]], SnapshotTable[[#This Row],[SC Strike Price]],SnapshotTable[[#This Row],[SC Exp Date]],0), "")</f>
        <v/>
      </c>
      <c r="GS168" s="30" t="str">
        <f>IF(LEN(SnapshotTable[[#This Row],[SC Symbol]])&gt;0, 1, "")</f>
        <v/>
      </c>
      <c r="GT168" s="29" t="str">
        <f>IF(COUNT(SnapshotTable[[#This Row],[LP Symbol Count]],SnapshotTable[[#This Row],[SP Symbol Count]],SnapshotTable[[#This Row],[LC Symbol Count]],SnapshotTable[[#This Row],[SC Symbol Count]])&gt;0, "Y", "")</f>
        <v/>
      </c>
      <c r="GU16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8" s="216">
        <f>MAX(SnapshotTable[[#This Row],[Equity Basis Total]],SnapshotTable[[#This Row],[Equity Value]]) + (SnapshotTable[[#This Row],[SP Potential Spend]]- SnapshotTable[[#This Row],[SP Premium]] + SnapshotTable[[#This Row],[LP Premium]])+ (SnapshotTable[[#This Row],[LC Premium]] - SnapshotTable[[#This Row],[SC Premium]])</f>
        <v>0</v>
      </c>
      <c r="GW168" s="137" t="str">
        <f>IF(AND(SnapshotTable[[#This Row],[Exposure]] &lt;&gt; 0),SnapshotTable[[#This Row],[Exposure]] / SnapshotTable[[#Totals],[Exposure]], "")</f>
        <v/>
      </c>
      <c r="HE168" s="253"/>
      <c r="HF168" s="253"/>
      <c r="HK168" s="1"/>
      <c r="HL168" s="1"/>
      <c r="HM168" s="1"/>
      <c r="HN168" s="1"/>
      <c r="HO168" s="1"/>
      <c r="HP168" s="1"/>
    </row>
    <row r="169" spans="2:224" ht="12.75" hidden="1" customHeight="1" x14ac:dyDescent="0.25">
      <c r="B169" s="12" t="s">
        <v>175</v>
      </c>
      <c r="C169" s="385">
        <v>321.02</v>
      </c>
      <c r="D169" s="200" t="s">
        <v>467</v>
      </c>
      <c r="E169" s="39">
        <f>SnapshotTable[[#This Row],[Last Price]]*(1 -CrashDiscount)</f>
        <v>272.86699999999996</v>
      </c>
      <c r="F169" s="26" t="s">
        <v>11</v>
      </c>
      <c r="G169" s="26" t="s">
        <v>10</v>
      </c>
      <c r="H169" s="147"/>
      <c r="I169" s="186">
        <v>44735.666666666664</v>
      </c>
      <c r="J169" s="187">
        <v>44735.666666666664</v>
      </c>
      <c r="K169" s="188" t="s">
        <v>3</v>
      </c>
      <c r="L169" s="297"/>
      <c r="M169" s="138"/>
      <c r="N169" s="138"/>
      <c r="O169" s="138"/>
      <c r="P169" s="22"/>
      <c r="Q169" s="25"/>
      <c r="R169" s="4" t="str">
        <f>IF(SnapshotTable[[#This Row],[Equity Basis Total]] &gt; 0, SnapshotTable[[#This Row],[Equity Basis Total]] / SnapshotTable[[#This Row],[Equity Shares]], "")</f>
        <v/>
      </c>
      <c r="S169" s="254">
        <f>SnapshotTable[[#This Row],[Last Price]] * SnapshotTable[[#This Row],[Equity Shares]]</f>
        <v>0</v>
      </c>
      <c r="T169" s="254">
        <f>SnapshotTable[[#This Row],[Equity Value]] - SnapshotTable[[#This Row],[Equity Basis Total]]</f>
        <v>0</v>
      </c>
      <c r="U169" s="255" t="str">
        <f>IF(SnapshotTable[[#This Row],[Equity Basis Total]] &gt; 0, SnapshotTable[[#This Row],[Equity G/L]] / SnapshotTable[[#This Row],[Equity Basis Total]], "")</f>
        <v/>
      </c>
      <c r="V169" s="253"/>
      <c r="W169" s="253"/>
      <c r="X169" s="4" t="str">
        <f>IF(AND(ISNUMBER(SnapshotTable[[#This Row],[Equity Basis Per Share]]),ISNUMBER(SnapshotTable[[#This Row],[Equity Target]])),SnapshotTable[[#This Row],[Equity Target]]-SnapshotTable[[#This Row],[Equity Basis Per Share]],"")</f>
        <v/>
      </c>
      <c r="Y169" s="4" t="str">
        <f>IF(AND(ISNUMBER(SnapshotTable[[#This Row],[Equity Basis Per Share]]),ISNUMBER(SnapshotTable[[#This Row],[Equity Stop Loss]])),SnapshotTable[[#This Row],[Equity Stop Loss]]-SnapshotTable[[#This Row],[Equity Basis Per Share]],"")</f>
        <v/>
      </c>
      <c r="Z169" s="260" t="str">
        <f>IFERROR( TEXT(SnapshotTable[[#This Row],[Equity Max Gain Per Share]] /ABS( SnapshotTable[[#This Row],[Equity Max Loss Per Share]]),"0.0 " ) &amp; " : 1", "")</f>
        <v/>
      </c>
      <c r="AA169" s="31" t="str">
        <f>IF(ISNUMBER(SnapshotTable[[#This Row],[Equity Max Gain Per Share]]),SnapshotTable[[#This Row],[Equity Max Gain Per Share]] * SnapshotTable[[#This Row],[Equity Shares]],"")</f>
        <v/>
      </c>
      <c r="AB169" s="31" t="str">
        <f>IF(ISNUMBER(SnapshotTable[[#This Row],[Equity Max Loss Per Share]]),SnapshotTable[[#This Row],[Equity Max Loss Per Share]] * SnapshotTable[[#This Row],[Equity Shares]],"")</f>
        <v/>
      </c>
      <c r="AC169" s="148"/>
      <c r="AD169" s="149"/>
      <c r="AE169" s="31">
        <f>(SnapshotTable[[#This Row],[Annual Dividend Per Share]] / 4) * SnapshotTable[[#This Row],[Equity Shares]]</f>
        <v>0</v>
      </c>
      <c r="AF169" s="31">
        <f>SnapshotTable[[#This Row],[Quarterly Div $]] * 4</f>
        <v>0</v>
      </c>
      <c r="AG169" s="7">
        <f>IF(SnapshotTable[[#This Row],[Annual Dividend Per Share]]&gt;0, SnapshotTable[[#This Row],[Annual Dividend Per Share]]  / SnapshotTable[[#This Row],[Last Price]], 0)</f>
        <v>0</v>
      </c>
      <c r="AH169" s="149"/>
      <c r="AI169" s="5"/>
      <c r="AJ169" s="136">
        <v>336.19</v>
      </c>
      <c r="AK169" s="150" t="str">
        <f>IF(ISNUMBER( SnapshotTable[[#This Row],[EBF Target]]),(SnapshotTable[[#This Row],[EBF Target]] - SnapshotTable[[#This Row],[Last Price]]) / SnapshotTable[[#This Row],[Last Price]], "")</f>
        <v/>
      </c>
      <c r="AL169" s="150" t="str">
        <f>IF(AND(SnapshotTable[[#This Row],[Equity Basis Total]] &gt; 0,ISNUMBER( SnapshotTable[[#This Row],[Long Term Target]])), SnapshotTable[[#This Row],[From Basis $]] / SnapshotTable[[#This Row],[Equity Basis Total]], "")</f>
        <v/>
      </c>
      <c r="AM169" s="9">
        <f>IF( AND(SnapshotTable[[#This Row],[Equity Shares]] &gt;0,ISNUMBER( SnapshotTable[[#This Row],[Long Term Target]])),(SnapshotTable[[#This Row],[Equity Shares]] * SnapshotTable[[#This Row],[Long Term Target]]) - SnapshotTable[[#This Row],[Equity Basis Total]],0)</f>
        <v>0</v>
      </c>
      <c r="AN169" s="9">
        <f>IF( AND(SnapshotTable[[#This Row],[Equity Shares]] &gt;0,ISNUMBER( SnapshotTable[[#This Row],[Long Term Target]])),(SnapshotTable[[#This Row],[Equity Shares]]*SnapshotTable[[#This Row],[Long Term Target]]) - SnapshotTable[[#This Row],[Equity Value]],0)</f>
        <v>0</v>
      </c>
      <c r="AO169" s="150">
        <f>IF(AND(ISNUMBER( SnapshotTable[[#This Row],[Long Term Target]]), ISNUMBER(SnapshotTable[[#This Row],[Last Price]])),(SnapshotTable[[#This Row],[Long Term Target]] - SnapshotTable[[#This Row],[Last Price]]) / SnapshotTable[[#This Row],[Last Price]], "")</f>
        <v>4.7255622702635405E-2</v>
      </c>
      <c r="AP169" s="5">
        <v>320</v>
      </c>
      <c r="AQ169" s="38" t="s">
        <v>16</v>
      </c>
      <c r="AR169" s="5">
        <v>300</v>
      </c>
      <c r="AS169" s="38" t="s">
        <v>28</v>
      </c>
      <c r="AT169" s="144" t="s">
        <v>634</v>
      </c>
      <c r="AU169" s="185" t="str">
        <f>IF(OR(SnapshotTable[[#This Row],[LP No Fill]]="Y",SnapshotTable[[#This Row],[SP Is Filled]],SnapshotTable[[#This Row],[LC Not Filled]]="Y",SnapshotTable[[#This Row],[SC Is Filled]]),"Y","")</f>
        <v/>
      </c>
      <c r="AV169" s="205" t="s">
        <v>778</v>
      </c>
      <c r="AW169" s="211"/>
      <c r="AX169" s="206"/>
      <c r="AY169" s="205" t="str">
        <f>IF(SnapshotTable[[#This Row],[Implied Move]]&gt;0, SnapshotTable[[#This Row],[Last Price]]-SnapshotTable[[#This Row],[Implied Move]],"")</f>
        <v/>
      </c>
      <c r="AZ169" s="205" t="str">
        <f>IF(SnapshotTable[[#This Row],[Implied Move]]&gt;0, SnapshotTable[[#This Row],[Last Price]] + SnapshotTable[[#This Row],[Implied Move]],"")</f>
        <v/>
      </c>
      <c r="BA169" s="302">
        <v>11.67</v>
      </c>
      <c r="BB169" s="318"/>
      <c r="BC16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69" s="321"/>
      <c r="BE169" s="5"/>
      <c r="BF169" s="14"/>
      <c r="BG169" s="13"/>
      <c r="BH169" s="13"/>
      <c r="BI169" s="5"/>
      <c r="BJ169" s="134">
        <f>IF(SnapshotTable[[#This Row],[LP Qty]] &gt; 0, SnapshotTable[[#This Row],[LP Qty]] * SnapshotTable[[#This Row],[LP Book Price]] * 100,0)</f>
        <v>0</v>
      </c>
      <c r="BK169" s="134">
        <f>IF(SnapshotTable[[#This Row],[LP Premium]] &gt; 0, SnapshotTable[[#This Row],[LP Qty]] * SnapshotTable[[#This Row],[LP Strike Price]] * 100,0)</f>
        <v>0</v>
      </c>
      <c r="BL169" s="152"/>
      <c r="BM169" s="355" t="str">
        <f>IF(SnapshotTable[[#This Row],[LP Premium]] &gt; 0,SnapshotTable[[#This Row],[LP Exp Date]]-MAX(SnapshotTable[[#This Row],[LP Book Date]], SnapshotTable[[#This Row],[LP Fill Date]]),"")</f>
        <v/>
      </c>
      <c r="BN169" s="355" t="str">
        <f>IF(ISNUMBER( SnapshotTable[[#This Row],[LP Term]]), SnapshotTable[[#This Row],[LP Exp Date]] - MockToday,"")</f>
        <v/>
      </c>
      <c r="BO169" s="161" t="str">
        <f>IF(AND(SnapshotTable[[#This Row],[LP Exp Date]]&gt;0, SnapshotTable[[#This Row],[LP Strike Price]]&gt;0,SnapshotTable[[#This Row],[LP Qty]]&gt;0,SnapshotTable[[#This Row],[LP Book Date]]&gt;0,SnapshotTable[[#This Row],[LP Book Price]]&gt;0,SnapshotTable[[#This Row],[LP Fill Date]]=0),"Y","")</f>
        <v/>
      </c>
      <c r="BP169" s="31" t="str">
        <f>IF(AND(SnapshotTable[[#This Row],[LP No Fill]]&lt;&gt;"Y",SnapshotTable[[#This Row],[LP Contract Value]]&gt;0, SnapshotTable[[#This Row],[LP Qty]]&gt;0), SnapshotTable[[#This Row],[LP Contract Value]]*SnapshotTable[[#This Row],[LP Qty]]*100,"")</f>
        <v/>
      </c>
      <c r="BQ169" s="13"/>
      <c r="BR169" s="5"/>
      <c r="BS169" s="36"/>
      <c r="BT169" s="145"/>
      <c r="BU169" s="13"/>
      <c r="BV169" s="5"/>
      <c r="BW169" s="382" t="b">
        <f>AND(ISNUMBER(SnapshotTable[[#This Row],[SP Exp Date]]), ISNUMBER(SnapshotTable[[#This Row],[SP Strike Price]]), ISNUMBER(SnapshotTable[[#This Row],[SP Qty]]), ISNUMBER(SnapshotTable[[#This Row],[SP Book Date]]), ISNUMBER(SnapshotTable[[#This Row],[SP Book Price]]))</f>
        <v>0</v>
      </c>
      <c r="BX169" s="382" t="b">
        <f>AND(SnapshotTable[[#This Row],[SP Is Booked]], NOT(ISBLANK(SnapshotTable[[#This Row],[SP Fill Date]])))</f>
        <v>0</v>
      </c>
      <c r="BY169" s="33">
        <f>IF(SnapshotTable[[#This Row],[SP Is Booked]], SnapshotTable[[#This Row],[SP Qty]] * SnapshotTable[[#This Row],[SP Book Price]] * 100, 0)</f>
        <v>0</v>
      </c>
      <c r="BZ169" s="339"/>
      <c r="CA169" s="338">
        <f>SnapshotTable[[#This Row],[LP Qty]]</f>
        <v>0</v>
      </c>
      <c r="CB169" s="4" t="str">
        <f>IF(SnapshotTable[[#This Row],[SP Is Booked]], SnapshotTable[[#This Row],[SP Strike Price]] - SnapshotTable[[#This Row],[SP Book Price]], "")</f>
        <v/>
      </c>
      <c r="CC169" s="19" t="str">
        <f>IF(SnapshotTable[[#This Row],[SP Is Booked]],SnapshotTable[[#This Row],[SP Exp Date]]-MAX(SnapshotTable[[#This Row],[SP Book Date]], SnapshotTable[[#This Row],[SP Fill Date]]),"")</f>
        <v/>
      </c>
      <c r="CD169" s="7" t="str">
        <f>IF(SnapshotTable[[#This Row],[SP Is Booked]], SnapshotTable[[#This Row],[SP Book Price]]/SnapshotTable[[#This Row],[SP Strike Price]], "")</f>
        <v/>
      </c>
      <c r="CE169" s="7" t="str">
        <f>IF(ISNUMBER(SnapshotTable[[#This Row],[SP ROO Term]]),SnapshotTable[[#This Row],[SP ROO Term]]*(365/SnapshotTable[[#This Row],[SP Term]]),"")</f>
        <v/>
      </c>
      <c r="CF169" s="221">
        <f>SnapshotTable[[#This Row],[LP Strike Price]] * SnapshotTable[[#This Row],[LP Qty]] * 100</f>
        <v>0</v>
      </c>
      <c r="CG169" s="31">
        <f>IF(ISNUMBER(SnapshotTable[[#This Row],[SP Premium]]), (SnapshotTable[[#This Row],[SP Qty]] * SnapshotTable[[#This Row],[SP Strike Price]]* 100) - SnapshotTable[[#This Row],[LP Protection]], 0)</f>
        <v>0</v>
      </c>
      <c r="CH169" s="7" t="str">
        <f>IF(ISNUMBER(SnapshotTable[[#This Row],[SP Break Even]]),-1 * (SnapshotTable[[#This Row],[SP Break Even]] - SnapshotTable[[#This Row],[Last Price]]) / SnapshotTable[[#This Row],[Last Price]], "")</f>
        <v/>
      </c>
      <c r="CI169" s="31">
        <f>IF(AND(ISNUMBER((SnapshotTable[[#This Row],[SP Potential Spend]])), SnapshotTable[[#This Row],[SP Strike Price]] &gt; SnapshotTable[[#This Row],[Last Price]], SnapshotTable[[#This Row],[SP Is Filled]]), SnapshotTable[[#This Row],[SP Potential Spend]] -  SnapshotTable[[#This Row],[LP Max Value]], 0)</f>
        <v>0</v>
      </c>
      <c r="CJ169" s="229"/>
      <c r="CK169" s="31">
        <f>IF(ISNUMBER(SnapshotTable[[#This Row],[SP Potential Spend]]),IF(ISNUMBER(SnapshotTable[[#This Row],[SP POW]]), SnapshotTable[[#This Row],[SP POW]] * SnapshotTable[[#This Row],[SP Potential Spend]], SnapshotTable[[#This Row],[SP Potential Spend]]), "")</f>
        <v>0</v>
      </c>
      <c r="CL169" s="162">
        <f>IF(NOT(SnapshotTable[[#This Row],[SP Is Filled]]),(SnapshotTable[[#This Row],[SP Qty]] * SnapshotTable[[#This Row],[SP Strike Price]] * 100) - SnapshotTable[[#This Row],[LP Max Value]],"")</f>
        <v>0</v>
      </c>
      <c r="CM169" s="31" t="str">
        <f>IF(SnapshotTable[[#This Row],[SP Actual Spend]]&lt;&gt;0, ((SnapshotTable[[#This Row],[SP Strike Price]]-SnapshotTable[[#This Row],[Last Price]]) *(SnapshotTable[[#This Row],[SP Qty]]*100) - SnapshotTable[[#This Row],[SP Premium]]) * - 1, "")</f>
        <v/>
      </c>
      <c r="CN169" s="76"/>
      <c r="CO169" s="339"/>
      <c r="CP169" s="4" t="str">
        <f>IF(SnapshotTable[[#This Row],[SP Is Filled]], btc_max_buyback_amount(SnapshotTable[[#This Row],[SP Fill Date]],SnapshotTable[[#This Row],[SP Exp Date]], SnapshotTable[[#This Row],[SP Book Price]]),"")</f>
        <v/>
      </c>
      <c r="CQ169" s="76"/>
      <c r="CR16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69" s="153" t="str">
        <f>IF(SnapshotTable[[#This Row],[SP Is Filled]], btc_next_cutoff_date(SnapshotTable[[#This Row],[SP Fill Date]],SnapshotTable[[#This Row],[SP Exp Date]]),"")</f>
        <v/>
      </c>
      <c r="CT169" s="220" t="str" cm="1">
        <f t="array" ref="CT169">IF(SnapshotTable[[#This Row],[SP Is Filled]], btc_should_buy_back(SnapshotTable[[#This Row],[SP Fill Date]], SnapshotTable[[#This Row],[SP Exp Date]], SnapshotTable[[#This Row],[SP Book Price]], SnapshotTable[[#This Row],[SP Current Ask]], MockToday, SnapshotTable[[#This Row],[SP Buyback Override]]),"")</f>
        <v/>
      </c>
      <c r="CU169" s="141"/>
      <c r="CV169" s="220"/>
      <c r="CW169" s="348" t="str">
        <f>IF(ISNUMBER( SnapshotTable[[#This Row],[SP Term]]), SnapshotTable[[#This Row],[SP Exp Date]] - MockToday,"")</f>
        <v/>
      </c>
      <c r="CX169" s="31" t="str">
        <f>IF(SnapshotTable[[#This Row],[SP Is Filled]],SnapshotTable[[#This Row],[SP Buyback Price to Use]] * 100 * SnapshotTable[[#This Row],[SP Qty]], "")</f>
        <v/>
      </c>
      <c r="CY169" s="4" t="str">
        <f>IF(ISNUMBER(SnapshotTable[[#This Row],[SP Strike Price]]), SnapshotTable[[#This Row],[SP Strike Price]] * (1 - SP_MaxLoss_StrikePct), "")</f>
        <v/>
      </c>
      <c r="CZ169" s="31" t="str">
        <f>IF(ISNUMBER(SnapshotTable[[#This Row],[SP Strike  Stop Per Share]]),SnapshotTable[[#This Row],[SP Premium]] - ((SnapshotTable[[#This Row],[SP Strike Price]]-SnapshotTable[[#This Row],[SP Strike  Stop Per Share]]) *(SnapshotTable[[#This Row],[SP Qty]] * 100)),"")</f>
        <v/>
      </c>
      <c r="DA169" s="4" t="str">
        <f>IF(AND(ISNUMBER(SnapshotTable[[#This Row],[SP Premium]]),SnapshotTable[[#This Row],[SP Premium]]&gt;0), SnapshotTable[[#This Row],[SP Book Price]] * (1 + SP_MaxLoss_OptionPct), "")</f>
        <v/>
      </c>
      <c r="DB169" s="31" t="str">
        <f>IF(ISNUMBER(SnapshotTable[[#This Row],[SP Option  Stop Contract]]),(SnapshotTable[[#This Row],[SP Option  Stop Contract]] *(SnapshotTable[[#This Row],[SP Qty]] * 100) - SnapshotTable[[#This Row],[SP Premium]]),"")</f>
        <v/>
      </c>
      <c r="DC169" s="4"/>
      <c r="DD169" s="4"/>
      <c r="DE169" s="4" t="str">
        <f>IF(AND(SnapshotTable[[#This Row],[SP Qty]]&gt;0, SnapshotTable[[#This Row],[SP Stop To Use]]&gt;0),SnapshotTable[[#This Row],[SP Premium]] - ( SnapshotTable[[#This Row],[SP Qty]] * SnapshotTable[[#This Row],[SP Stop To Use]] * 100), "")</f>
        <v/>
      </c>
      <c r="DF169" s="31" t="str">
        <f>IF(AND(SnapshotTable[[#This Row],[SP Qty]]&gt;0,SnapshotTable[[#This Row],[SP Current Ask]]&gt;0), SnapshotTable[[#This Row],[SP Qty]] * SnapshotTable[[#This Row],[SP Current Ask]] * -100, "")</f>
        <v/>
      </c>
      <c r="DG169" s="31" t="str">
        <f>IF(ISNUMBER((SnapshotTable[[#This Row],[SP Total Value]])), SnapshotTable[[#This Row],[SP Premium]] + SnapshotTable[[#This Row],[SP Total Value]], "")</f>
        <v/>
      </c>
      <c r="DH169" s="272" t="str">
        <f>IF(ISNUMBER((SnapshotTable[[#This Row],[SP Total Value]])), SnapshotTable[[#This Row],[SP Gain Loss]] / SnapshotTable[[#This Row],[SP Premium]], "")</f>
        <v/>
      </c>
      <c r="DI169" s="369"/>
      <c r="DJ169" s="136"/>
      <c r="DK169" s="146"/>
      <c r="DL169" s="13"/>
      <c r="DM169" s="13"/>
      <c r="DO169" s="31">
        <f>IF(SnapshotTable[[#This Row],[LC Symbol Count]]=1, SnapshotTable[[#This Row],[LC Qty]] * SnapshotTable[[#This Row],[LC Book Price]] * 100, 0)</f>
        <v>0</v>
      </c>
      <c r="DP169" s="161" t="str">
        <f>IF(AND(SnapshotTable[[#This Row],[LC Exp Date]]&gt;0, SnapshotTable[[#This Row],[LC Strike Price]]&gt;0,SnapshotTable[[#This Row],[LC Qty]]&gt;0,SnapshotTable[[#This Row],[LC Book Date]]&gt;0,SnapshotTable[[#This Row],[LC Book Price]]&gt;0,SnapshotTable[[#This Row],[LC Fill Date]]=0),"Y","")</f>
        <v/>
      </c>
      <c r="DQ169" s="356" t="str">
        <f>IF(SnapshotTable[[#This Row],[LC Premium]] &gt; 0,SnapshotTable[[#This Row],[LC Exp Date]]-MAX(SnapshotTable[[#This Row],[LC Book Date]], SnapshotTable[[#This Row],[LC Fill Date]]),"")</f>
        <v/>
      </c>
      <c r="DR169" s="356" t="str">
        <f>IF(ISNUMBER(SnapshotTable[[#This Row],[LC Term]]), SnapshotTable[[#This Row],[LC Exp Date]] - MockToday, "")</f>
        <v/>
      </c>
      <c r="DS169" s="219" t="str">
        <f>IF(SnapshotTable[[#This Row],[LC Premium]]&gt;0,SnapshotTable[[#This Row],[LC Strike Price]] + SnapshotTable[[#This Row],[LC Book Price]],"")</f>
        <v/>
      </c>
      <c r="DU169" s="9" t="str">
        <f>IF(AND(SnapshotTable[[#This Row],[LC Symbol Count]]&gt;0, SnapshotTable[[#This Row],[LC Contract Value]]&gt;0), SnapshotTable[[#This Row],[LC Contract Value]] * SnapshotTable[[#This Row],[LC Qty]] * 100, "")</f>
        <v/>
      </c>
      <c r="DV169" s="9" t="str">
        <f>IF(AND(ISNUMBER(SnapshotTable[[#This Row],[LC Total Value]]), SnapshotTable[[#This Row],[LC Not Filled]]&lt;&gt;"Y"), SnapshotTable[[#This Row],[LC Total Value]]-SnapshotTable[[#This Row],[LC Premium]],"")</f>
        <v/>
      </c>
      <c r="DW169" s="225" t="str">
        <f>IF(ISNUMBER(SnapshotTable[[#This Row],[LC Actual Gain Loss]]), SnapshotTable[[#This Row],[LC Actual Gain Loss]] / SnapshotTable[[#This Row],[LC Premium]],"")</f>
        <v/>
      </c>
      <c r="DX169" s="269" t="str">
        <f>IF(ISNUMBER(SnapshotTable[[#This Row],[LC Book Price]]),SnapshotTable[[#This Row],[LC Book Price]] * 1.5,"")</f>
        <v/>
      </c>
      <c r="DY169" s="250" t="str">
        <f>IF(SnapshotTable[[#This Row],[LC Premium]]&gt;0, SnapshotTable[[#This Row],[LC Next Target]] * SnapshotTable[[#This Row],[LC Qty]] * 100,"")</f>
        <v/>
      </c>
      <c r="DZ169" s="250" t="str">
        <f>IF(ISNUMBER(SnapshotTable[[#This Row],[LC Target Gross]]), SnapshotTable[[#This Row],[LC Target Gross]] - SnapshotTable[[#This Row],[LC Premium]], "")</f>
        <v/>
      </c>
      <c r="EA169" s="283" t="str">
        <f>IF(ISNUMBER(SnapshotTable[[#This Row],[LC Target Gain Loss]]), SnapshotTable[[#This Row],[LC Target Gain Loss]]/SnapshotTable[[#This Row],[LC Premium]], "")</f>
        <v/>
      </c>
      <c r="EB169" s="247"/>
      <c r="EC169" s="268" t="str">
        <f>IF(SnapshotTable[[#This Row],[LC Premium]]&gt;0, SnapshotTable[[#This Row],[LC Book Price]] * (1 - LC_StopLoss_Pct),"")</f>
        <v/>
      </c>
      <c r="ED169" s="269"/>
      <c r="EE169" s="268" t="str">
        <f>IF(ISNUMBER(SnapshotTable[[#This Row],[LC Contract Value]]),IF(ISNUMBER(SnapshotTable[[#This Row],[LC Stop Loss Override]]), SnapshotTable[[#This Row],[LC Stop Loss Override]],SnapshotTable[[#This Row],[LC Stop Loss Calc Target]]),"")</f>
        <v/>
      </c>
      <c r="EF169" s="31" t="str">
        <f>IF(ISNUMBER(SnapshotTable[[#This Row],[LC Stop  To Use]]), (SnapshotTable[[#This Row],[LC Stop  To Use]] * SnapshotTable[[#This Row],[LC Qty]] * 100),"")</f>
        <v/>
      </c>
      <c r="EG169" s="9" t="str">
        <f>IF(ISNUMBER(SnapshotTable[[#This Row],[LC Total Value]]),SnapshotTable[[#This Row],[LC Stop Loss Amount]] - SnapshotTable[[#This Row],[LC Premium]],"")</f>
        <v/>
      </c>
      <c r="EH169" s="9">
        <f>IF(ISNUMBER(SnapshotTable[[#This Row],[LC Premium]]), SnapshotTable[[#This Row],[LC Qty]] * 100 * SnapshotTable[[#This Row],[LC Strike Price]], "")</f>
        <v>0</v>
      </c>
      <c r="EI169" s="225" t="str">
        <f>IF(AND(ISNUMBER(SnapshotTable[[#This Row],[LC Total Value]]),SnapshotTable[[#This Row],[LC Total Value]]&gt;0),SnapshotTable[[#This Row],[LC Stop Gain Loss]]  / SnapshotTable[[#This Row],[LC Premium]],"")</f>
        <v/>
      </c>
      <c r="EJ169" s="35">
        <f>IF(ISNUMBER(SnapshotTable[[#This Row],[Equity Shares]]),TRUNC(SnapshotTable[[#This Row],[Equity Shares]] / 100),0) + SnapshotTable[[#This Row],[LC Qty]]</f>
        <v>0</v>
      </c>
      <c r="EK169" s="145"/>
      <c r="EL169" s="136"/>
      <c r="EM169" s="146"/>
      <c r="EN169" s="145"/>
      <c r="EO169" s="145"/>
      <c r="EP169" s="136"/>
      <c r="EQ169" s="382" t="b">
        <f>AND(ISNUMBER(SnapshotTable[[#This Row],[SC Exp Date]]), ISNUMBER(SnapshotTable[[#This Row],[SC Strike Price]]), ISNUMBER(SnapshotTable[[#This Row],[SC Qty]]), ISNUMBER(SnapshotTable[[#This Row],[SC Book Date]]), ISNUMBER(SnapshotTable[[#This Row],[SC Book Price]]))</f>
        <v>0</v>
      </c>
      <c r="ER169" s="382" t="b">
        <f>AND(SnapshotTable[[#This Row],[SC Is Booked]], NOT(ISBLANK(SnapshotTable[[#This Row],[SC Fill Date]])))</f>
        <v>0</v>
      </c>
      <c r="ES169" s="340"/>
      <c r="ET169" s="34" t="str">
        <f>IF(AND(ISNUMBER(SnapshotTable[[#This Row],[SC Exp Date]]), ISNUMBER(SnapshotTable[[#This Row],[SC Book Date]])), SnapshotTable[[#This Row],[SC Exp Date]] - MAX(SnapshotTable[[#This Row],[SC Book Date]], SnapshotTable[[#This Row],[SC Fill Date]]) + 1, "")</f>
        <v/>
      </c>
      <c r="EU169" s="34" t="str">
        <f>IF(ISNUMBER(SnapshotTable[[#This Row],[SC Term]]), SnapshotTable[[#This Row],[SC Exp Date]]- MockToday, "")</f>
        <v/>
      </c>
      <c r="EV169" s="31">
        <f>IF(SnapshotTable[[#This Row],[SC Is Booked]], SnapshotTable[[#This Row],[SC Qty]] * SnapshotTable[[#This Row],[SC Book Price]] * 100, 0)</f>
        <v>0</v>
      </c>
      <c r="EW169" s="4" t="str">
        <f>IF(AND(ISNUMBER(SnapshotTable[[#This Row],[Last Price]]), ISNUMBER( SnapshotTable[[#This Row],[SC Book Price]])), SnapshotTable[[#This Row],[Last Price]] - SnapshotTable[[#This Row],[SC Book Price]],"")</f>
        <v/>
      </c>
      <c r="EX169" s="219" t="str">
        <f>IF(SnapshotTable[[#This Row],[SC Is Booked]],IF(SnapshotTable[[#This Row],[SC Intrinsic Value]] &gt; 0, SnapshotTable[[#This Row],[SC Strike Price]], SnapshotTable[[#This Row],[Last Price]]), "")</f>
        <v/>
      </c>
      <c r="EY169" s="4">
        <f>IF(SnapshotTable[[#This Row],[SC Is Booked]], (MinimumPremiumRequired * SnapshotTable[[#This Row],[SC Basis]] * SnapshotTable[[#This Row],[SC Term]]), 0)</f>
        <v>0</v>
      </c>
      <c r="EZ169" s="268"/>
      <c r="FA169" s="204"/>
      <c r="FB169" s="340"/>
      <c r="FC169" s="4">
        <f>IF(SnapshotTable[[#This Row],[SC Is Filled]], btc_max_buyback_amount(SnapshotTable[[#This Row],[SC Fill Date]],SnapshotTable[[#This Row],[SC Exp Date]], SnapshotTable[[#This Row],[SC Book Price]]),0)</f>
        <v>0</v>
      </c>
      <c r="FD169" s="5"/>
      <c r="FE169" s="142" t="str">
        <f>IF(SnapshotTable[[#This Row],[SC Is Filled]], btc_next_cutoff_date(SnapshotTable[[#This Row],[SC Fill Date]],SnapshotTable[[#This Row],[SC Exp Date]]),"")</f>
        <v/>
      </c>
      <c r="FF169" s="4" t="str" cm="1">
        <f t="array" ref="FF169">IF(SnapshotTable[[#This Row],[SC Is Filled]], btc_should_buy_back(SnapshotTable[[#This Row],[SC Fill Date]], SnapshotTable[[#This Row],[SC Exp Date]], SnapshotTable[[#This Row],[SC Book Price]], SnapshotTable[[#This Row],[SC Current Ask]], MockToday, SnapshotTable[[#This Row],[SC Buyback Override]]),"")</f>
        <v/>
      </c>
      <c r="FG169" s="4">
        <f>IF(SnapshotTable[[#This Row],[SC Is Filled]], MAX(0,SnapshotTable[[#This Row],[Last Price]]  - SnapshotTable[[#This Row],[SC Strike Price]]), 0)</f>
        <v>0</v>
      </c>
      <c r="FH169" s="352">
        <f>IF(SnapshotTable[[#This Row],[SC Is Filled]], IF(ISNUMBER(SnapshotTable[[#This Row],[SC Current Ask]]), SnapshotTable[[#This Row],[SC Current Ask]], SnapshotTable[[#This Row],[SC Book Price]]) - SnapshotTable[[#This Row],[SC Intrinsic Value]], 0)</f>
        <v>0</v>
      </c>
      <c r="FI169" s="141"/>
      <c r="FJ169" s="32" t="str">
        <f>IF(SnapshotTable[[#This Row],[SC Is Filled]],100 * SnapshotTable[[#This Row],[SC Qty]] * IF(ISNUMBER(SnapshotTable[[#This Row],[SC Buyback Override]]), SnapshotTable[[#This Row],[SC Buyback Override]], SnapshotTable[[#This Row],[SC Current Ask]]), "")</f>
        <v/>
      </c>
      <c r="FK169" s="235" t="str">
        <f>IF(SnapshotTable[[#This Row],[SC Time Val]]&gt;0, SnapshotTable[[#This Row],[SC Time Val]] / SnapshotTable[[#This Row],[Last Price]],"")</f>
        <v/>
      </c>
      <c r="FL169" s="280" t="str">
        <f>IF(SnapshotTable[[#This Row],[SC Is Booked]], ((SnapshotTable[[#This Row],[Last Price]] -SnapshotTable[[#This Row],[SC Strike Price]]) / SnapshotTable[[#This Row],[Last Price]]) * -1, "")</f>
        <v/>
      </c>
      <c r="FM169" s="155" t="str">
        <f>IF(SnapshotTable[[#This Row],[SC Is Booked]],  (SnapshotTable[[#This Row],[SC Qty]] * 100 * SnapshotTable[[#This Row],[SC Strike Price]]) - SnapshotTable[[#This Row],[SC Current Ask]], "")</f>
        <v/>
      </c>
      <c r="FN16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69" s="31" t="str">
        <f>IF(AND(ISNUMBER(SnapshotTable[[#This Row],[SC Exercise Gross]]), ISNUMBER(SnapshotTable[[#This Row],[Equity Basis Per Share]] )), SnapshotTable[[#This Row],[SC Exercise Gross]] - SnapshotTable[[#This Row],[Equity Basis Total]] +  SnapshotTable[[#This Row],[SC Premium]], "")</f>
        <v/>
      </c>
      <c r="FP169" s="5" t="str">
        <f>IF(ISNUMBER(SnapshotTable[[#This Row],[SC Exercise Gross]]), (SnapshotTable[[#This Row],[SC Exercise Gross]]) / (SnapshotTable[[#This Row],[SC Qty]] * 100), "")</f>
        <v/>
      </c>
      <c r="FQ169" s="27" t="str">
        <f>IF(SnapshotTable[[#This Row],[SC Is Booked]],SnapshotTable[[#This Row],[SC Time Val]] /SnapshotTable[[#This Row],[SC Basis]], "")</f>
        <v/>
      </c>
      <c r="FR169" s="27" t="str" cm="1">
        <f t="array" ref="FR169">IF(AND(ISNUMBER(SnapshotTable[[#This Row],[SC Term]]),ISNUMBER(SnapshotTable[[#This Row],[SC Simple ROO]])), EllmanAnnualize(SnapshotTable[[#This Row],[SC DTE]], SnapshotTable[[#This Row],[SC Simple ROO]] ),"")</f>
        <v/>
      </c>
      <c r="FS169" s="4">
        <f>IF(SnapshotTable[[#This Row],[SC Strike Price]] &gt; SnapshotTable[[#This Row],[Last Price]], SnapshotTable[[#This Row],[SC Strike Price]] - SnapshotTable[[#This Row],[Last Price]],0)</f>
        <v>0</v>
      </c>
      <c r="FT169" s="27" t="str">
        <f>IF(AND(ISNUMBER(SnapshotTable[[#This Row],[SC Upside Potential]]), SnapshotTable[[#This Row],[SC Upside Potential]] &gt; 0),(SnapshotTable[[#This Row],[SC Upside Potential]]/ SnapshotTable[[#This Row],[ACB]]),"")</f>
        <v/>
      </c>
      <c r="FU169" s="304" t="str">
        <f>IF(SnapshotTable[[#This Row],[SC Intrinsic Value]] &gt; 0,SnapshotTable[[#This Row],[SC Intrinsic Value]],"")</f>
        <v/>
      </c>
      <c r="FV169" s="27" t="str">
        <f>IF(AND( ISNUMBER( SnapshotTable[[#This Row],[ACB]]),ISNUMBER(SnapshotTable[[#This Row],[SC Downside Protect]])),SnapshotTable[[#This Row],[SC Downside Protect]] / SnapshotTable[[#This Row],[ACB]],"")</f>
        <v/>
      </c>
      <c r="FW169" s="221" t="str">
        <f>IF(AND(ISNUMBER(SnapshotTable[[#This Row],[SC Simple ROO]]),SnapshotTable[[#This Row],[SC Simple ROO]] &gt; 0), SnapshotTable[[#This Row],[SC Premium]] + (SnapshotTable[[#This Row],[SC Qty]] * SnapshotTable[[#This Row],[SC Upside Potential]]), "")</f>
        <v/>
      </c>
      <c r="FX169" s="280" t="str" cm="1">
        <f t="array" ref="FX169">IF(ISNUMBER(SnapshotTable[[#This Row],[SC Max Dollars]]), annualize(SnapshotTable[[#This Row],[SC Term]],(SnapshotTable[[#This Row],[SC Max Dollars]]/SnapshotTable[[#This Row],[SC Basis]])),"")</f>
        <v/>
      </c>
      <c r="FY169" s="221" t="str">
        <f>IF(AND(SnapshotTable[[#This Row],[SC Qty]]&gt;0,SnapshotTable[[#This Row],[SC Current Ask]]&gt;0), SnapshotTable[[#This Row],[SC Qty]] * SnapshotTable[[#This Row],[SC Current Ask]] * -100, "")</f>
        <v/>
      </c>
      <c r="FZ169" s="31" t="str">
        <f>IF(ISNUMBER((SnapshotTable[[#This Row],[SC Current Value]])), SnapshotTable[[#This Row],[SC Premium]] + SnapshotTable[[#This Row],[SC Current Value]], "")</f>
        <v/>
      </c>
      <c r="GA169" s="272" t="str">
        <f>IFERROR( IF(ISNUMBER((SnapshotTable[[#This Row],[SC Current Value]])), SnapshotTable[[#This Row],[SC Gain Loss]] / SnapshotTable[[#This Row],[SC Premium]], ""), "")</f>
        <v/>
      </c>
      <c r="GB169" s="42">
        <f>SnapshotTable[[#This Row],[Equity Shares]] * SaleSharesToConsiderPercentage</f>
        <v>0</v>
      </c>
      <c r="GC169" s="40">
        <f>SnapshotTable[[#This Row],[Long Term Target]] * SellingPriceToConsiderBasedOnTargetPercentage</f>
        <v>319.38049999999998</v>
      </c>
      <c r="GD169" s="40">
        <f>SnapshotTable[[#This Row],[Last Price]] * (1+ SellingPriceToConsiderBasedOnTargetPercentage)</f>
        <v>625.98899999999992</v>
      </c>
      <c r="GE169" s="41"/>
      <c r="GF169" s="40"/>
      <c r="GG169" s="31">
        <f>SnapshotTable[[#This Row],[Booked Sale Shares]] * SnapshotTable[[#This Row],[Booked Sale Price]]</f>
        <v>0</v>
      </c>
      <c r="GH169" s="31" t="str">
        <f>IF(SnapshotTable[[#This Row],[Equity Basis Total]] &gt; 0, SnapshotTable[[#This Row],[Equity Basis Per Share]] * SnapshotTable[[#This Row],[Booked Sale Shares]], "")</f>
        <v/>
      </c>
      <c r="GI169" s="31">
        <f>IF(SnapshotTable[[#This Row],[Sale Proceeds]]&gt;0, SnapshotTable[[#This Row],[Sale Proceeds]] - SnapshotTable[[#This Row],[Sale Basis]], 0)</f>
        <v>0</v>
      </c>
      <c r="GJ169" s="27" t="str">
        <f>IF(SnapshotTable[[#This Row],[Sale G/L]]&gt;0, SnapshotTable[[#This Row],[Sale G/L]] / SnapshotTable[[#This Row],[Sale Basis]], IF(ISNUMBER(SnapshotTable[[#This Row],[SC Exercise P&amp;L (TAX)]]), SnapshotTable[[#This Row],[SC Exercise P&amp;L (TAX)]] / SnapshotTable[[#This Row],[SC Basis]], ""))</f>
        <v/>
      </c>
      <c r="GK169" s="27" t="s">
        <v>583</v>
      </c>
      <c r="GL169" s="43" t="str">
        <f>IF(AND(SnapshotTable[[#This Row],[LP Exp Date]]&gt;0,SnapshotTable[[#This Row],[LP Strike Price]]&gt;0), [1]!ToOptionSymbol(SnapshotTable[[#This Row],[Symbol]], SnapshotTable[[#This Row],[LP Strike Price]],SnapshotTable[[#This Row],[LP Exp Date]],1), "")</f>
        <v/>
      </c>
      <c r="GM169" s="30" t="str">
        <f>IF(LEN(SnapshotTable[[#This Row],[LP Symbol]])&gt;0, 1, "")</f>
        <v/>
      </c>
      <c r="GN169" s="43" t="str">
        <f>IF(AND(SnapshotTable[[#This Row],[SP Exp Date]]&gt;0,SnapshotTable[[#This Row],[SP Strike Price]]&gt;0), [1]!ToOptionSymbol(SnapshotTable[[#This Row],[Symbol]], SnapshotTable[[#This Row],[SP Strike Price]],SnapshotTable[[#This Row],[SP Exp Date]],1), "")</f>
        <v/>
      </c>
      <c r="GO169" s="30" t="str">
        <f>IF(LEN(SnapshotTable[[#This Row],[SP Symbol]])&gt;0, 1, "")</f>
        <v/>
      </c>
      <c r="GP169" s="43" t="str">
        <f>IF(AND(SnapshotTable[[#This Row],[LC Exp Date]]&gt;0,SnapshotTable[[#This Row],[LC Strike Price]]&gt;0), [1]!ToOptionSymbol(SnapshotTable[[#This Row],[Symbol]], SnapshotTable[[#This Row],[LC Strike Price]],SnapshotTable[[#This Row],[LC Exp Date]],0), "")</f>
        <v/>
      </c>
      <c r="GQ169" s="30" t="str">
        <f>IF(LEN(SnapshotTable[[#This Row],[LC Symbol]])&gt;0, 1, "")</f>
        <v/>
      </c>
      <c r="GR169" s="43" t="str">
        <f>IF(AND(SnapshotTable[[#This Row],[SC Exp Date]]&gt;0,SnapshotTable[[#This Row],[SC Strike Price]]&gt;0), [1]!ToOptionSymbol(SnapshotTable[[#This Row],[Symbol]], SnapshotTable[[#This Row],[SC Strike Price]],SnapshotTable[[#This Row],[SC Exp Date]],0), "")</f>
        <v/>
      </c>
      <c r="GS169" s="30" t="str">
        <f>IF(LEN(SnapshotTable[[#This Row],[SC Symbol]])&gt;0, 1, "")</f>
        <v/>
      </c>
      <c r="GT169" s="29" t="str">
        <f>IF(COUNT(SnapshotTable[[#This Row],[LP Symbol Count]],SnapshotTable[[#This Row],[SP Symbol Count]],SnapshotTable[[#This Row],[LC Symbol Count]],SnapshotTable[[#This Row],[SC Symbol Count]])&gt;0, "Y", "")</f>
        <v/>
      </c>
      <c r="GU16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69" s="216">
        <f>MAX(SnapshotTable[[#This Row],[Equity Basis Total]],SnapshotTable[[#This Row],[Equity Value]]) + (SnapshotTable[[#This Row],[SP Potential Spend]]- SnapshotTable[[#This Row],[SP Premium]] + SnapshotTable[[#This Row],[LP Premium]])+ (SnapshotTable[[#This Row],[LC Premium]] - SnapshotTable[[#This Row],[SC Premium]])</f>
        <v>0</v>
      </c>
      <c r="GW169" s="137" t="str">
        <f>IF(AND(SnapshotTable[[#This Row],[Exposure]] &lt;&gt; 0),SnapshotTable[[#This Row],[Exposure]] / SnapshotTable[[#Totals],[Exposure]], "")</f>
        <v/>
      </c>
      <c r="HE169" s="253"/>
      <c r="HF169" s="253"/>
      <c r="HK169" s="1"/>
      <c r="HL169" s="1"/>
      <c r="HM169" s="1"/>
      <c r="HN169" s="1"/>
      <c r="HO169" s="1"/>
      <c r="HP169" s="1"/>
    </row>
    <row r="170" spans="2:224" ht="12.75" hidden="1" customHeight="1" x14ac:dyDescent="0.25">
      <c r="B170" s="12" t="s">
        <v>146</v>
      </c>
      <c r="C170" s="385">
        <v>400.61</v>
      </c>
      <c r="D170" s="200"/>
      <c r="E170" s="39">
        <f>SnapshotTable[[#This Row],[Last Price]]*(1 -CrashDiscount)</f>
        <v>340.51850000000002</v>
      </c>
      <c r="F170" s="26" t="s">
        <v>37</v>
      </c>
      <c r="G170" s="26" t="s">
        <v>7</v>
      </c>
      <c r="H170" s="147"/>
      <c r="I170" s="186">
        <v>44768.670138888891</v>
      </c>
      <c r="J170" s="187">
        <v>44768.670138888891</v>
      </c>
      <c r="K170" s="188"/>
      <c r="L170" s="297" t="s">
        <v>104</v>
      </c>
      <c r="M170" s="138"/>
      <c r="N170" s="138"/>
      <c r="O170" s="138"/>
      <c r="P170" s="22"/>
      <c r="Q170" s="25"/>
      <c r="R170" s="4" t="str">
        <f>IF(SnapshotTable[[#This Row],[Equity Basis Total]] &gt; 0, SnapshotTable[[#This Row],[Equity Basis Total]] / SnapshotTable[[#This Row],[Equity Shares]], "")</f>
        <v/>
      </c>
      <c r="S170" s="254">
        <f>SnapshotTable[[#This Row],[Last Price]] * SnapshotTable[[#This Row],[Equity Shares]]</f>
        <v>0</v>
      </c>
      <c r="T170" s="254">
        <f>SnapshotTable[[#This Row],[Equity Value]] - SnapshotTable[[#This Row],[Equity Basis Total]]</f>
        <v>0</v>
      </c>
      <c r="U170" s="255" t="str">
        <f>IF(SnapshotTable[[#This Row],[Equity Basis Total]] &gt; 0, SnapshotTable[[#This Row],[Equity G/L]] / SnapshotTable[[#This Row],[Equity Basis Total]], "")</f>
        <v/>
      </c>
      <c r="V170" s="253"/>
      <c r="W170" s="253"/>
      <c r="X170" s="4" t="str">
        <f>IF(AND(ISNUMBER(SnapshotTable[[#This Row],[Equity Basis Per Share]]),ISNUMBER(SnapshotTable[[#This Row],[Equity Target]])),SnapshotTable[[#This Row],[Equity Target]]-SnapshotTable[[#This Row],[Equity Basis Per Share]],"")</f>
        <v/>
      </c>
      <c r="Y170" s="4" t="str">
        <f>IF(AND(ISNUMBER(SnapshotTable[[#This Row],[Equity Basis Per Share]]),ISNUMBER(SnapshotTable[[#This Row],[Equity Stop Loss]])),SnapshotTable[[#This Row],[Equity Stop Loss]]-SnapshotTable[[#This Row],[Equity Basis Per Share]],"")</f>
        <v/>
      </c>
      <c r="Z170" s="260" t="str">
        <f>IFERROR( TEXT(SnapshotTable[[#This Row],[Equity Max Gain Per Share]] /ABS( SnapshotTable[[#This Row],[Equity Max Loss Per Share]]),"0.0 " ) &amp; " : 1", "")</f>
        <v/>
      </c>
      <c r="AA170" s="31" t="str">
        <f>IF(ISNUMBER(SnapshotTable[[#This Row],[Equity Max Gain Per Share]]),SnapshotTable[[#This Row],[Equity Max Gain Per Share]] * SnapshotTable[[#This Row],[Equity Shares]],"")</f>
        <v/>
      </c>
      <c r="AB170" s="31" t="str">
        <f>IF(ISNUMBER(SnapshotTable[[#This Row],[Equity Max Loss Per Share]]),SnapshotTable[[#This Row],[Equity Max Loss Per Share]] * SnapshotTable[[#This Row],[Equity Shares]],"")</f>
        <v/>
      </c>
      <c r="AC170" s="148">
        <v>0</v>
      </c>
      <c r="AD170" s="149" t="s">
        <v>2</v>
      </c>
      <c r="AE170" s="31">
        <f>(SnapshotTable[[#This Row],[Annual Dividend Per Share]] / 4) * SnapshotTable[[#This Row],[Equity Shares]]</f>
        <v>0</v>
      </c>
      <c r="AF170" s="31">
        <f>SnapshotTable[[#This Row],[Quarterly Div $]] * 4</f>
        <v>0</v>
      </c>
      <c r="AG170" s="7">
        <f>IF(SnapshotTable[[#This Row],[Annual Dividend Per Share]]&gt;0, SnapshotTable[[#This Row],[Annual Dividend Per Share]]  / SnapshotTable[[#This Row],[Last Price]], 0)</f>
        <v>0</v>
      </c>
      <c r="AH170" s="149" t="s">
        <v>2</v>
      </c>
      <c r="AI170" s="5">
        <v>125</v>
      </c>
      <c r="AJ170" s="136">
        <v>134.13999999999999</v>
      </c>
      <c r="AK170" s="150">
        <f>IF(ISNUMBER( SnapshotTable[[#This Row],[EBF Target]]),(SnapshotTable[[#This Row],[EBF Target]] - SnapshotTable[[#This Row],[Last Price]]) / SnapshotTable[[#This Row],[Last Price]], "")</f>
        <v>-0.68797583684880559</v>
      </c>
      <c r="AL170" s="150" t="str">
        <f>IF(AND(SnapshotTable[[#This Row],[Equity Basis Total]] &gt; 0,ISNUMBER( SnapshotTable[[#This Row],[Long Term Target]])), SnapshotTable[[#This Row],[From Basis $]] / SnapshotTable[[#This Row],[Equity Basis Total]], "")</f>
        <v/>
      </c>
      <c r="AM170" s="9">
        <f>IF( AND(SnapshotTable[[#This Row],[Equity Shares]] &gt;0,ISNUMBER( SnapshotTable[[#This Row],[Long Term Target]])),(SnapshotTable[[#This Row],[Equity Shares]] * SnapshotTable[[#This Row],[Long Term Target]]) - SnapshotTable[[#This Row],[Equity Basis Total]],0)</f>
        <v>0</v>
      </c>
      <c r="AN170" s="9">
        <f>IF( AND(SnapshotTable[[#This Row],[Equity Shares]] &gt;0,ISNUMBER( SnapshotTable[[#This Row],[Long Term Target]])),(SnapshotTable[[#This Row],[Equity Shares]]*SnapshotTable[[#This Row],[Long Term Target]]) - SnapshotTable[[#This Row],[Equity Value]],0)</f>
        <v>0</v>
      </c>
      <c r="AO170" s="150">
        <f>IF(AND(ISNUMBER( SnapshotTable[[#This Row],[Long Term Target]]), ISNUMBER(SnapshotTable[[#This Row],[Last Price]])),(SnapshotTable[[#This Row],[Long Term Target]] - SnapshotTable[[#This Row],[Last Price]]) / SnapshotTable[[#This Row],[Last Price]], "")</f>
        <v>-0.66516063003919024</v>
      </c>
      <c r="AP170" s="5"/>
      <c r="AQ170" s="38"/>
      <c r="AR170" s="5"/>
      <c r="AS170" s="38"/>
      <c r="AT170" s="144"/>
      <c r="AU170" s="185" t="str">
        <f>IF(OR(SnapshotTable[[#This Row],[LP No Fill]]="Y",SnapshotTable[[#This Row],[SP Is Filled]],SnapshotTable[[#This Row],[LC Not Filled]]="Y",SnapshotTable[[#This Row],[SC Is Filled]]),"Y","")</f>
        <v/>
      </c>
      <c r="AV170" s="205"/>
      <c r="AW170" s="211"/>
      <c r="AX170" s="206"/>
      <c r="AY170" s="205" t="str">
        <f>IF(SnapshotTable[[#This Row],[Implied Move]]&gt;0, SnapshotTable[[#This Row],[Last Price]]-SnapshotTable[[#This Row],[Implied Move]],"")</f>
        <v/>
      </c>
      <c r="AZ170" s="205" t="str">
        <f>IF(SnapshotTable[[#This Row],[Implied Move]]&gt;0, SnapshotTable[[#This Row],[Last Price]] + SnapshotTable[[#This Row],[Implied Move]],"")</f>
        <v/>
      </c>
      <c r="BA170" s="302"/>
      <c r="BB170" s="318"/>
      <c r="BC17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0" s="321"/>
      <c r="BE170" s="5"/>
      <c r="BF170" s="14"/>
      <c r="BG170" s="13"/>
      <c r="BH170" s="13"/>
      <c r="BI170" s="5"/>
      <c r="BJ170" s="134">
        <f>IF(SnapshotTable[[#This Row],[LP Qty]] &gt; 0, SnapshotTable[[#This Row],[LP Qty]] * SnapshotTable[[#This Row],[LP Book Price]] * 100,0)</f>
        <v>0</v>
      </c>
      <c r="BK170" s="134">
        <f>IF(SnapshotTable[[#This Row],[LP Premium]] &gt; 0, SnapshotTable[[#This Row],[LP Qty]] * SnapshotTable[[#This Row],[LP Strike Price]] * 100,0)</f>
        <v>0</v>
      </c>
      <c r="BL170" s="152"/>
      <c r="BM170" s="355" t="str">
        <f>IF(SnapshotTable[[#This Row],[LP Premium]] &gt; 0,SnapshotTable[[#This Row],[LP Exp Date]]-MAX(SnapshotTable[[#This Row],[LP Book Date]], SnapshotTable[[#This Row],[LP Fill Date]]),"")</f>
        <v/>
      </c>
      <c r="BN170" s="355" t="str">
        <f>IF(ISNUMBER( SnapshotTable[[#This Row],[LP Term]]), SnapshotTable[[#This Row],[LP Exp Date]] - MockToday,"")</f>
        <v/>
      </c>
      <c r="BO170" s="161" t="str">
        <f>IF(AND(SnapshotTable[[#This Row],[LP Exp Date]]&gt;0, SnapshotTable[[#This Row],[LP Strike Price]]&gt;0,SnapshotTable[[#This Row],[LP Qty]]&gt;0,SnapshotTable[[#This Row],[LP Book Date]]&gt;0,SnapshotTable[[#This Row],[LP Book Price]]&gt;0,SnapshotTable[[#This Row],[LP Fill Date]]=0),"Y","")</f>
        <v/>
      </c>
      <c r="BP170" s="31" t="str">
        <f>IF(AND(SnapshotTable[[#This Row],[LP No Fill]]&lt;&gt;"Y",SnapshotTable[[#This Row],[LP Contract Value]]&gt;0, SnapshotTable[[#This Row],[LP Qty]]&gt;0), SnapshotTable[[#This Row],[LP Contract Value]]*SnapshotTable[[#This Row],[LP Qty]]*100,"")</f>
        <v/>
      </c>
      <c r="BQ170" s="13"/>
      <c r="BR170" s="5"/>
      <c r="BS170" s="36"/>
      <c r="BT170" s="145"/>
      <c r="BU170" s="13"/>
      <c r="BV170" s="5"/>
      <c r="BW170" s="382" t="b">
        <f>AND(ISNUMBER(SnapshotTable[[#This Row],[SP Exp Date]]), ISNUMBER(SnapshotTable[[#This Row],[SP Strike Price]]), ISNUMBER(SnapshotTable[[#This Row],[SP Qty]]), ISNUMBER(SnapshotTable[[#This Row],[SP Book Date]]), ISNUMBER(SnapshotTable[[#This Row],[SP Book Price]]))</f>
        <v>0</v>
      </c>
      <c r="BX170" s="382" t="b">
        <f>AND(SnapshotTable[[#This Row],[SP Is Booked]], NOT(ISBLANK(SnapshotTable[[#This Row],[SP Fill Date]])))</f>
        <v>0</v>
      </c>
      <c r="BY170" s="33">
        <f>IF(SnapshotTable[[#This Row],[SP Is Booked]], SnapshotTable[[#This Row],[SP Qty]] * SnapshotTable[[#This Row],[SP Book Price]] * 100, 0)</f>
        <v>0</v>
      </c>
      <c r="BZ170" s="339"/>
      <c r="CA170" s="338">
        <f>SnapshotTable[[#This Row],[LP Qty]]</f>
        <v>0</v>
      </c>
      <c r="CB170" s="4" t="str">
        <f>IF(SnapshotTable[[#This Row],[SP Is Booked]], SnapshotTable[[#This Row],[SP Strike Price]] - SnapshotTable[[#This Row],[SP Book Price]], "")</f>
        <v/>
      </c>
      <c r="CC170" s="19" t="str">
        <f>IF(SnapshotTable[[#This Row],[SP Is Booked]],SnapshotTable[[#This Row],[SP Exp Date]]-MAX(SnapshotTable[[#This Row],[SP Book Date]], SnapshotTable[[#This Row],[SP Fill Date]]),"")</f>
        <v/>
      </c>
      <c r="CD170" s="7" t="str">
        <f>IF(SnapshotTable[[#This Row],[SP Is Booked]], SnapshotTable[[#This Row],[SP Book Price]]/SnapshotTable[[#This Row],[SP Strike Price]], "")</f>
        <v/>
      </c>
      <c r="CE170" s="7" t="str">
        <f>IF(ISNUMBER(SnapshotTable[[#This Row],[SP ROO Term]]),SnapshotTable[[#This Row],[SP ROO Term]]*(365/SnapshotTable[[#This Row],[SP Term]]),"")</f>
        <v/>
      </c>
      <c r="CF170" s="221">
        <f>SnapshotTable[[#This Row],[LP Strike Price]] * SnapshotTable[[#This Row],[LP Qty]] * 100</f>
        <v>0</v>
      </c>
      <c r="CG170" s="31">
        <f>IF(ISNUMBER(SnapshotTable[[#This Row],[SP Premium]]), (SnapshotTable[[#This Row],[SP Qty]] * SnapshotTable[[#This Row],[SP Strike Price]]* 100) - SnapshotTable[[#This Row],[LP Protection]], 0)</f>
        <v>0</v>
      </c>
      <c r="CH170" s="7" t="str">
        <f>IF(ISNUMBER(SnapshotTable[[#This Row],[SP Break Even]]),-1 * (SnapshotTable[[#This Row],[SP Break Even]] - SnapshotTable[[#This Row],[Last Price]]) / SnapshotTable[[#This Row],[Last Price]], "")</f>
        <v/>
      </c>
      <c r="CI170" s="31">
        <f>IF(AND(ISNUMBER((SnapshotTable[[#This Row],[SP Potential Spend]])), SnapshotTable[[#This Row],[SP Strike Price]] &gt; SnapshotTable[[#This Row],[Last Price]], SnapshotTable[[#This Row],[SP Is Filled]]), SnapshotTable[[#This Row],[SP Potential Spend]] -  SnapshotTable[[#This Row],[LP Max Value]], 0)</f>
        <v>0</v>
      </c>
      <c r="CJ170" s="229"/>
      <c r="CK170" s="31">
        <f>IF(ISNUMBER(SnapshotTable[[#This Row],[SP Potential Spend]]),IF(ISNUMBER(SnapshotTable[[#This Row],[SP POW]]), SnapshotTable[[#This Row],[SP POW]] * SnapshotTable[[#This Row],[SP Potential Spend]], SnapshotTable[[#This Row],[SP Potential Spend]]), "")</f>
        <v>0</v>
      </c>
      <c r="CL170" s="162">
        <f>IF(NOT(SnapshotTable[[#This Row],[SP Is Filled]]),(SnapshotTable[[#This Row],[SP Qty]] * SnapshotTable[[#This Row],[SP Strike Price]] * 100) - SnapshotTable[[#This Row],[LP Max Value]],"")</f>
        <v>0</v>
      </c>
      <c r="CM170" s="31" t="str">
        <f>IF(SnapshotTable[[#This Row],[SP Actual Spend]]&lt;&gt;0, ((SnapshotTable[[#This Row],[SP Strike Price]]-SnapshotTable[[#This Row],[Last Price]]) *(SnapshotTable[[#This Row],[SP Qty]]*100) - SnapshotTable[[#This Row],[SP Premium]]) * - 1, "")</f>
        <v/>
      </c>
      <c r="CN170" s="76"/>
      <c r="CO170" s="339"/>
      <c r="CP170" s="4" t="str">
        <f>IF(SnapshotTable[[#This Row],[SP Is Filled]], btc_max_buyback_amount(SnapshotTable[[#This Row],[SP Fill Date]],SnapshotTable[[#This Row],[SP Exp Date]], SnapshotTable[[#This Row],[SP Book Price]]),"")</f>
        <v/>
      </c>
      <c r="CQ170" s="76"/>
      <c r="CR17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0" s="153" t="str">
        <f>IF(SnapshotTable[[#This Row],[SP Is Filled]], btc_next_cutoff_date(SnapshotTable[[#This Row],[SP Fill Date]],SnapshotTable[[#This Row],[SP Exp Date]]),"")</f>
        <v/>
      </c>
      <c r="CT170" s="220" t="str" cm="1">
        <f t="array" ref="CT170">IF(SnapshotTable[[#This Row],[SP Is Filled]], btc_should_buy_back(SnapshotTable[[#This Row],[SP Fill Date]], SnapshotTable[[#This Row],[SP Exp Date]], SnapshotTable[[#This Row],[SP Book Price]], SnapshotTable[[#This Row],[SP Current Ask]], MockToday, SnapshotTable[[#This Row],[SP Buyback Override]]),"")</f>
        <v/>
      </c>
      <c r="CU170" s="141"/>
      <c r="CV170" s="220"/>
      <c r="CW170" s="348" t="str">
        <f>IF(ISNUMBER( SnapshotTable[[#This Row],[SP Term]]), SnapshotTable[[#This Row],[SP Exp Date]] - MockToday,"")</f>
        <v/>
      </c>
      <c r="CX170" s="31" t="str">
        <f>IF(SnapshotTable[[#This Row],[SP Is Filled]],SnapshotTable[[#This Row],[SP Buyback Price to Use]] * 100 * SnapshotTable[[#This Row],[SP Qty]], "")</f>
        <v/>
      </c>
      <c r="CY170" s="4" t="str">
        <f>IF(ISNUMBER(SnapshotTable[[#This Row],[SP Strike Price]]), SnapshotTable[[#This Row],[SP Strike Price]] * (1 - SP_MaxLoss_StrikePct), "")</f>
        <v/>
      </c>
      <c r="CZ170" s="31" t="str">
        <f>IF(ISNUMBER(SnapshotTable[[#This Row],[SP Strike  Stop Per Share]]),SnapshotTable[[#This Row],[SP Premium]] - ((SnapshotTable[[#This Row],[SP Strike Price]]-SnapshotTable[[#This Row],[SP Strike  Stop Per Share]]) *(SnapshotTable[[#This Row],[SP Qty]] * 100)),"")</f>
        <v/>
      </c>
      <c r="DA170" s="4" t="str">
        <f>IF(AND(ISNUMBER(SnapshotTable[[#This Row],[SP Premium]]),SnapshotTable[[#This Row],[SP Premium]]&gt;0), SnapshotTable[[#This Row],[SP Book Price]] * (1 + SP_MaxLoss_OptionPct), "")</f>
        <v/>
      </c>
      <c r="DB170" s="31" t="str">
        <f>IF(ISNUMBER(SnapshotTable[[#This Row],[SP Option  Stop Contract]]),(SnapshotTable[[#This Row],[SP Option  Stop Contract]] *(SnapshotTable[[#This Row],[SP Qty]] * 100) - SnapshotTable[[#This Row],[SP Premium]]),"")</f>
        <v/>
      </c>
      <c r="DC170" s="4"/>
      <c r="DD170" s="4"/>
      <c r="DE170" s="4" t="str">
        <f>IF(AND(SnapshotTable[[#This Row],[SP Qty]]&gt;0, SnapshotTable[[#This Row],[SP Stop To Use]]&gt;0),SnapshotTable[[#This Row],[SP Premium]] - ( SnapshotTable[[#This Row],[SP Qty]] * SnapshotTable[[#This Row],[SP Stop To Use]] * 100), "")</f>
        <v/>
      </c>
      <c r="DF170" s="31" t="str">
        <f>IF(AND(SnapshotTable[[#This Row],[SP Qty]]&gt;0,SnapshotTable[[#This Row],[SP Current Ask]]&gt;0), SnapshotTable[[#This Row],[SP Qty]] * SnapshotTable[[#This Row],[SP Current Ask]] * -100, "")</f>
        <v/>
      </c>
      <c r="DG170" s="31" t="str">
        <f>IF(ISNUMBER((SnapshotTable[[#This Row],[SP Total Value]])), SnapshotTable[[#This Row],[SP Premium]] + SnapshotTable[[#This Row],[SP Total Value]], "")</f>
        <v/>
      </c>
      <c r="DH170" s="272" t="str">
        <f>IF(ISNUMBER((SnapshotTable[[#This Row],[SP Total Value]])), SnapshotTable[[#This Row],[SP Gain Loss]] / SnapshotTable[[#This Row],[SP Premium]], "")</f>
        <v/>
      </c>
      <c r="DI170" s="369"/>
      <c r="DJ170" s="136"/>
      <c r="DK170" s="146"/>
      <c r="DL170" s="13"/>
      <c r="DM170" s="13"/>
      <c r="DO170" s="31">
        <f>IF(SnapshotTable[[#This Row],[LC Symbol Count]]=1, SnapshotTable[[#This Row],[LC Qty]] * SnapshotTable[[#This Row],[LC Book Price]] * 100, 0)</f>
        <v>0</v>
      </c>
      <c r="DP170" s="161" t="str">
        <f>IF(AND(SnapshotTable[[#This Row],[LC Exp Date]]&gt;0, SnapshotTable[[#This Row],[LC Strike Price]]&gt;0,SnapshotTable[[#This Row],[LC Qty]]&gt;0,SnapshotTable[[#This Row],[LC Book Date]]&gt;0,SnapshotTable[[#This Row],[LC Book Price]]&gt;0,SnapshotTable[[#This Row],[LC Fill Date]]=0),"Y","")</f>
        <v/>
      </c>
      <c r="DQ170" s="356" t="str">
        <f>IF(SnapshotTable[[#This Row],[LC Premium]] &gt; 0,SnapshotTable[[#This Row],[LC Exp Date]]-MAX(SnapshotTable[[#This Row],[LC Book Date]], SnapshotTable[[#This Row],[LC Fill Date]]),"")</f>
        <v/>
      </c>
      <c r="DR170" s="356" t="str">
        <f>IF(ISNUMBER(SnapshotTable[[#This Row],[LC Term]]), SnapshotTable[[#This Row],[LC Exp Date]] - MockToday, "")</f>
        <v/>
      </c>
      <c r="DS170" s="219" t="str">
        <f>IF(SnapshotTable[[#This Row],[LC Premium]]&gt;0,SnapshotTable[[#This Row],[LC Strike Price]] + SnapshotTable[[#This Row],[LC Book Price]],"")</f>
        <v/>
      </c>
      <c r="DU170" s="9" t="str">
        <f>IF(AND(SnapshotTable[[#This Row],[LC Symbol Count]]&gt;0, SnapshotTable[[#This Row],[LC Contract Value]]&gt;0), SnapshotTable[[#This Row],[LC Contract Value]] * SnapshotTable[[#This Row],[LC Qty]] * 100, "")</f>
        <v/>
      </c>
      <c r="DV170" s="9" t="str">
        <f>IF(AND(ISNUMBER(SnapshotTable[[#This Row],[LC Total Value]]), SnapshotTable[[#This Row],[LC Not Filled]]&lt;&gt;"Y"), SnapshotTable[[#This Row],[LC Total Value]]-SnapshotTable[[#This Row],[LC Premium]],"")</f>
        <v/>
      </c>
      <c r="DW170" s="225" t="str">
        <f>IF(ISNUMBER(SnapshotTable[[#This Row],[LC Actual Gain Loss]]), SnapshotTable[[#This Row],[LC Actual Gain Loss]] / SnapshotTable[[#This Row],[LC Premium]],"")</f>
        <v/>
      </c>
      <c r="DX170" s="269" t="str">
        <f>IF(ISNUMBER(SnapshotTable[[#This Row],[LC Book Price]]),SnapshotTable[[#This Row],[LC Book Price]] * 1.5,"")</f>
        <v/>
      </c>
      <c r="DY170" s="250" t="str">
        <f>IF(SnapshotTable[[#This Row],[LC Premium]]&gt;0, SnapshotTable[[#This Row],[LC Next Target]] * SnapshotTable[[#This Row],[LC Qty]] * 100,"")</f>
        <v/>
      </c>
      <c r="DZ170" s="250" t="str">
        <f>IF(ISNUMBER(SnapshotTable[[#This Row],[LC Target Gross]]), SnapshotTable[[#This Row],[LC Target Gross]] - SnapshotTable[[#This Row],[LC Premium]], "")</f>
        <v/>
      </c>
      <c r="EA170" s="283" t="str">
        <f>IF(ISNUMBER(SnapshotTable[[#This Row],[LC Target Gain Loss]]), SnapshotTable[[#This Row],[LC Target Gain Loss]]/SnapshotTable[[#This Row],[LC Premium]], "")</f>
        <v/>
      </c>
      <c r="EB170" s="247"/>
      <c r="EC170" s="268" t="str">
        <f>IF(SnapshotTable[[#This Row],[LC Premium]]&gt;0, SnapshotTable[[#This Row],[LC Book Price]] * (1 - LC_StopLoss_Pct),"")</f>
        <v/>
      </c>
      <c r="ED170" s="269"/>
      <c r="EE170" s="268" t="str">
        <f>IF(ISNUMBER(SnapshotTable[[#This Row],[LC Contract Value]]),IF(ISNUMBER(SnapshotTable[[#This Row],[LC Stop Loss Override]]), SnapshotTable[[#This Row],[LC Stop Loss Override]],SnapshotTable[[#This Row],[LC Stop Loss Calc Target]]),"")</f>
        <v/>
      </c>
      <c r="EF170" s="31" t="str">
        <f>IF(ISNUMBER(SnapshotTable[[#This Row],[LC Stop  To Use]]), (SnapshotTable[[#This Row],[LC Stop  To Use]] * SnapshotTable[[#This Row],[LC Qty]] * 100),"")</f>
        <v/>
      </c>
      <c r="EG170" s="9" t="str">
        <f>IF(ISNUMBER(SnapshotTable[[#This Row],[LC Total Value]]),SnapshotTable[[#This Row],[LC Stop Loss Amount]] - SnapshotTable[[#This Row],[LC Premium]],"")</f>
        <v/>
      </c>
      <c r="EH170" s="9">
        <f>IF(ISNUMBER(SnapshotTable[[#This Row],[LC Premium]]), SnapshotTable[[#This Row],[LC Qty]] * 100 * SnapshotTable[[#This Row],[LC Strike Price]], "")</f>
        <v>0</v>
      </c>
      <c r="EI170" s="225" t="str">
        <f>IF(AND(ISNUMBER(SnapshotTable[[#This Row],[LC Total Value]]),SnapshotTable[[#This Row],[LC Total Value]]&gt;0),SnapshotTable[[#This Row],[LC Stop Gain Loss]]  / SnapshotTable[[#This Row],[LC Premium]],"")</f>
        <v/>
      </c>
      <c r="EJ170" s="35">
        <f>IF(ISNUMBER(SnapshotTable[[#This Row],[Equity Shares]]),TRUNC(SnapshotTable[[#This Row],[Equity Shares]] / 100),0) + SnapshotTable[[#This Row],[LC Qty]]</f>
        <v>0</v>
      </c>
      <c r="EK170" s="145"/>
      <c r="EL170" s="136"/>
      <c r="EM170" s="146"/>
      <c r="EN170" s="145"/>
      <c r="EO170" s="145"/>
      <c r="EP170" s="136"/>
      <c r="EQ170" s="382" t="b">
        <f>AND(ISNUMBER(SnapshotTable[[#This Row],[SC Exp Date]]), ISNUMBER(SnapshotTable[[#This Row],[SC Strike Price]]), ISNUMBER(SnapshotTable[[#This Row],[SC Qty]]), ISNUMBER(SnapshotTable[[#This Row],[SC Book Date]]), ISNUMBER(SnapshotTable[[#This Row],[SC Book Price]]))</f>
        <v>0</v>
      </c>
      <c r="ER170" s="382" t="b">
        <f>AND(SnapshotTable[[#This Row],[SC Is Booked]], NOT(ISBLANK(SnapshotTable[[#This Row],[SC Fill Date]])))</f>
        <v>0</v>
      </c>
      <c r="ES170" s="340"/>
      <c r="ET170" s="34" t="str">
        <f>IF(AND(ISNUMBER(SnapshotTable[[#This Row],[SC Exp Date]]), ISNUMBER(SnapshotTable[[#This Row],[SC Book Date]])), SnapshotTable[[#This Row],[SC Exp Date]] - MAX(SnapshotTable[[#This Row],[SC Book Date]], SnapshotTable[[#This Row],[SC Fill Date]]) + 1, "")</f>
        <v/>
      </c>
      <c r="EU170" s="34" t="str">
        <f>IF(ISNUMBER(SnapshotTable[[#This Row],[SC Term]]), SnapshotTable[[#This Row],[SC Exp Date]]- MockToday, "")</f>
        <v/>
      </c>
      <c r="EV170" s="31">
        <f>IF(SnapshotTable[[#This Row],[SC Is Booked]], SnapshotTable[[#This Row],[SC Qty]] * SnapshotTable[[#This Row],[SC Book Price]] * 100, 0)</f>
        <v>0</v>
      </c>
      <c r="EW170" s="4" t="str">
        <f>IF(AND(ISNUMBER(SnapshotTable[[#This Row],[Last Price]]), ISNUMBER( SnapshotTable[[#This Row],[SC Book Price]])), SnapshotTable[[#This Row],[Last Price]] - SnapshotTable[[#This Row],[SC Book Price]],"")</f>
        <v/>
      </c>
      <c r="EX170" s="219" t="str">
        <f>IF(SnapshotTable[[#This Row],[SC Is Booked]],IF(SnapshotTable[[#This Row],[SC Intrinsic Value]] &gt; 0, SnapshotTable[[#This Row],[SC Strike Price]], SnapshotTable[[#This Row],[Last Price]]), "")</f>
        <v/>
      </c>
      <c r="EY170" s="4">
        <f>IF(SnapshotTable[[#This Row],[SC Is Booked]], (MinimumPremiumRequired * SnapshotTable[[#This Row],[SC Basis]] * SnapshotTable[[#This Row],[SC Term]]), 0)</f>
        <v>0</v>
      </c>
      <c r="EZ170" s="268"/>
      <c r="FA170" s="204"/>
      <c r="FB170" s="340"/>
      <c r="FC170" s="4">
        <f>IF(SnapshotTable[[#This Row],[SC Is Filled]], btc_max_buyback_amount(SnapshotTable[[#This Row],[SC Fill Date]],SnapshotTable[[#This Row],[SC Exp Date]], SnapshotTable[[#This Row],[SC Book Price]]),0)</f>
        <v>0</v>
      </c>
      <c r="FD170" s="5"/>
      <c r="FE170" s="142" t="str">
        <f>IF(SnapshotTable[[#This Row],[SC Is Filled]], btc_next_cutoff_date(SnapshotTable[[#This Row],[SC Fill Date]],SnapshotTable[[#This Row],[SC Exp Date]]),"")</f>
        <v/>
      </c>
      <c r="FF170" s="4" t="str" cm="1">
        <f t="array" ref="FF170">IF(SnapshotTable[[#This Row],[SC Is Filled]], btc_should_buy_back(SnapshotTable[[#This Row],[SC Fill Date]], SnapshotTable[[#This Row],[SC Exp Date]], SnapshotTable[[#This Row],[SC Book Price]], SnapshotTable[[#This Row],[SC Current Ask]], MockToday, SnapshotTable[[#This Row],[SC Buyback Override]]),"")</f>
        <v/>
      </c>
      <c r="FG170" s="4">
        <f>IF(SnapshotTable[[#This Row],[SC Is Filled]], MAX(0,SnapshotTable[[#This Row],[Last Price]]  - SnapshotTable[[#This Row],[SC Strike Price]]), 0)</f>
        <v>0</v>
      </c>
      <c r="FH170" s="352">
        <f>IF(SnapshotTable[[#This Row],[SC Is Filled]], IF(ISNUMBER(SnapshotTable[[#This Row],[SC Current Ask]]), SnapshotTable[[#This Row],[SC Current Ask]], SnapshotTable[[#This Row],[SC Book Price]]) - SnapshotTable[[#This Row],[SC Intrinsic Value]], 0)</f>
        <v>0</v>
      </c>
      <c r="FI170" s="141"/>
      <c r="FJ170" s="32" t="str">
        <f>IF(SnapshotTable[[#This Row],[SC Is Filled]],100 * SnapshotTable[[#This Row],[SC Qty]] * IF(ISNUMBER(SnapshotTable[[#This Row],[SC Buyback Override]]), SnapshotTable[[#This Row],[SC Buyback Override]], SnapshotTable[[#This Row],[SC Current Ask]]), "")</f>
        <v/>
      </c>
      <c r="FK170" s="235" t="str">
        <f>IF(SnapshotTable[[#This Row],[SC Time Val]]&gt;0, SnapshotTable[[#This Row],[SC Time Val]] / SnapshotTable[[#This Row],[Last Price]],"")</f>
        <v/>
      </c>
      <c r="FL170" s="280" t="str">
        <f>IF(SnapshotTable[[#This Row],[SC Is Booked]], ((SnapshotTable[[#This Row],[Last Price]] -SnapshotTable[[#This Row],[SC Strike Price]]) / SnapshotTable[[#This Row],[Last Price]]) * -1, "")</f>
        <v/>
      </c>
      <c r="FM170" s="155" t="str">
        <f>IF(SnapshotTable[[#This Row],[SC Is Booked]],  (SnapshotTable[[#This Row],[SC Qty]] * 100 * SnapshotTable[[#This Row],[SC Strike Price]]) - SnapshotTable[[#This Row],[SC Current Ask]], "")</f>
        <v/>
      </c>
      <c r="FN17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0" s="31" t="str">
        <f>IF(AND(ISNUMBER(SnapshotTable[[#This Row],[SC Exercise Gross]]), ISNUMBER(SnapshotTable[[#This Row],[Equity Basis Per Share]] )), SnapshotTable[[#This Row],[SC Exercise Gross]] - SnapshotTable[[#This Row],[Equity Basis Total]] +  SnapshotTable[[#This Row],[SC Premium]], "")</f>
        <v/>
      </c>
      <c r="FP170" s="5" t="str">
        <f>IF(ISNUMBER(SnapshotTable[[#This Row],[SC Exercise Gross]]), (SnapshotTable[[#This Row],[SC Exercise Gross]]) / (SnapshotTable[[#This Row],[SC Qty]] * 100), "")</f>
        <v/>
      </c>
      <c r="FQ170" s="27" t="str">
        <f>IF(SnapshotTable[[#This Row],[SC Is Booked]],SnapshotTable[[#This Row],[SC Time Val]] /SnapshotTable[[#This Row],[SC Basis]], "")</f>
        <v/>
      </c>
      <c r="FR170" s="27" t="str" cm="1">
        <f t="array" ref="FR170">IF(AND(ISNUMBER(SnapshotTable[[#This Row],[SC Term]]),ISNUMBER(SnapshotTable[[#This Row],[SC Simple ROO]])), EllmanAnnualize(SnapshotTable[[#This Row],[SC DTE]], SnapshotTable[[#This Row],[SC Simple ROO]] ),"")</f>
        <v/>
      </c>
      <c r="FS170" s="4">
        <f>IF(SnapshotTable[[#This Row],[SC Strike Price]] &gt; SnapshotTable[[#This Row],[Last Price]], SnapshotTable[[#This Row],[SC Strike Price]] - SnapshotTable[[#This Row],[Last Price]],0)</f>
        <v>0</v>
      </c>
      <c r="FT170" s="27" t="str">
        <f>IF(AND(ISNUMBER(SnapshotTable[[#This Row],[SC Upside Potential]]), SnapshotTable[[#This Row],[SC Upside Potential]] &gt; 0),(SnapshotTable[[#This Row],[SC Upside Potential]]/ SnapshotTable[[#This Row],[ACB]]),"")</f>
        <v/>
      </c>
      <c r="FU170" s="304" t="str">
        <f>IF(SnapshotTable[[#This Row],[SC Intrinsic Value]] &gt; 0,SnapshotTable[[#This Row],[SC Intrinsic Value]],"")</f>
        <v/>
      </c>
      <c r="FV170" s="27" t="str">
        <f>IF(AND( ISNUMBER( SnapshotTable[[#This Row],[ACB]]),ISNUMBER(SnapshotTable[[#This Row],[SC Downside Protect]])),SnapshotTable[[#This Row],[SC Downside Protect]] / SnapshotTable[[#This Row],[ACB]],"")</f>
        <v/>
      </c>
      <c r="FW170" s="221" t="str">
        <f>IF(AND(ISNUMBER(SnapshotTable[[#This Row],[SC Simple ROO]]),SnapshotTable[[#This Row],[SC Simple ROO]] &gt; 0), SnapshotTable[[#This Row],[SC Premium]] + (SnapshotTable[[#This Row],[SC Qty]] * SnapshotTable[[#This Row],[SC Upside Potential]]), "")</f>
        <v/>
      </c>
      <c r="FX170" s="280" t="str" cm="1">
        <f t="array" ref="FX170">IF(ISNUMBER(SnapshotTable[[#This Row],[SC Max Dollars]]), annualize(SnapshotTable[[#This Row],[SC Term]],(SnapshotTable[[#This Row],[SC Max Dollars]]/SnapshotTable[[#This Row],[SC Basis]])),"")</f>
        <v/>
      </c>
      <c r="FY170" s="221" t="str">
        <f>IF(AND(SnapshotTable[[#This Row],[SC Qty]]&gt;0,SnapshotTable[[#This Row],[SC Current Ask]]&gt;0), SnapshotTable[[#This Row],[SC Qty]] * SnapshotTable[[#This Row],[SC Current Ask]] * -100, "")</f>
        <v/>
      </c>
      <c r="FZ170" s="31" t="str">
        <f>IF(ISNUMBER((SnapshotTable[[#This Row],[SC Current Value]])), SnapshotTable[[#This Row],[SC Premium]] + SnapshotTable[[#This Row],[SC Current Value]], "")</f>
        <v/>
      </c>
      <c r="GA170" s="272" t="str">
        <f>IFERROR( IF(ISNUMBER((SnapshotTable[[#This Row],[SC Current Value]])), SnapshotTable[[#This Row],[SC Gain Loss]] / SnapshotTable[[#This Row],[SC Premium]], ""), "")</f>
        <v/>
      </c>
      <c r="GB170" s="42">
        <f>SnapshotTable[[#This Row],[Equity Shares]] * SaleSharesToConsiderPercentage</f>
        <v>0</v>
      </c>
      <c r="GC170" s="40">
        <f>SnapshotTable[[#This Row],[Long Term Target]] * SellingPriceToConsiderBasedOnTargetPercentage</f>
        <v>127.43299999999998</v>
      </c>
      <c r="GD170" s="40">
        <f>SnapshotTable[[#This Row],[Last Price]] * (1+ SellingPriceToConsiderBasedOnTargetPercentage)</f>
        <v>781.18949999999995</v>
      </c>
      <c r="GE170" s="41"/>
      <c r="GF170" s="40">
        <v>121.18</v>
      </c>
      <c r="GG170" s="31">
        <f>SnapshotTable[[#This Row],[Booked Sale Shares]] * SnapshotTable[[#This Row],[Booked Sale Price]]</f>
        <v>0</v>
      </c>
      <c r="GH170" s="31" t="str">
        <f>IF(SnapshotTable[[#This Row],[Equity Basis Total]] &gt; 0, SnapshotTable[[#This Row],[Equity Basis Per Share]] * SnapshotTable[[#This Row],[Booked Sale Shares]], "")</f>
        <v/>
      </c>
      <c r="GI170" s="31">
        <f>IF(SnapshotTable[[#This Row],[Sale Proceeds]]&gt;0, SnapshotTable[[#This Row],[Sale Proceeds]] - SnapshotTable[[#This Row],[Sale Basis]], 0)</f>
        <v>0</v>
      </c>
      <c r="GJ170" s="27" t="str">
        <f>IF(SnapshotTable[[#This Row],[Sale G/L]]&gt;0, SnapshotTable[[#This Row],[Sale G/L]] / SnapshotTable[[#This Row],[Sale Basis]], IF(ISNUMBER(SnapshotTable[[#This Row],[SC Exercise P&amp;L (TAX)]]), SnapshotTable[[#This Row],[SC Exercise P&amp;L (TAX)]] / SnapshotTable[[#This Row],[SC Basis]], ""))</f>
        <v/>
      </c>
      <c r="GK170" s="27" t="s">
        <v>584</v>
      </c>
      <c r="GL170" s="43" t="str">
        <f>IF(AND(SnapshotTable[[#This Row],[LP Exp Date]]&gt;0,SnapshotTable[[#This Row],[LP Strike Price]]&gt;0), [1]!ToOptionSymbol(SnapshotTable[[#This Row],[Symbol]], SnapshotTable[[#This Row],[LP Strike Price]],SnapshotTable[[#This Row],[LP Exp Date]],1), "")</f>
        <v/>
      </c>
      <c r="GM170" s="30" t="str">
        <f>IF(LEN(SnapshotTable[[#This Row],[LP Symbol]])&gt;0, 1, "")</f>
        <v/>
      </c>
      <c r="GN170" s="43" t="str">
        <f>IF(AND(SnapshotTable[[#This Row],[SP Exp Date]]&gt;0,SnapshotTable[[#This Row],[SP Strike Price]]&gt;0), [1]!ToOptionSymbol(SnapshotTable[[#This Row],[Symbol]], SnapshotTable[[#This Row],[SP Strike Price]],SnapshotTable[[#This Row],[SP Exp Date]],1), "")</f>
        <v/>
      </c>
      <c r="GO170" s="30" t="str">
        <f>IF(LEN(SnapshotTable[[#This Row],[SP Symbol]])&gt;0, 1, "")</f>
        <v/>
      </c>
      <c r="GP170" s="43" t="str">
        <f>IF(AND(SnapshotTable[[#This Row],[LC Exp Date]]&gt;0,SnapshotTable[[#This Row],[LC Strike Price]]&gt;0), [1]!ToOptionSymbol(SnapshotTable[[#This Row],[Symbol]], SnapshotTable[[#This Row],[LC Strike Price]],SnapshotTable[[#This Row],[LC Exp Date]],0), "")</f>
        <v/>
      </c>
      <c r="GQ170" s="30" t="str">
        <f>IF(LEN(SnapshotTable[[#This Row],[LC Symbol]])&gt;0, 1, "")</f>
        <v/>
      </c>
      <c r="GR170" s="43" t="str">
        <f>IF(AND(SnapshotTable[[#This Row],[SC Exp Date]]&gt;0,SnapshotTable[[#This Row],[SC Strike Price]]&gt;0), [1]!ToOptionSymbol(SnapshotTable[[#This Row],[Symbol]], SnapshotTable[[#This Row],[SC Strike Price]],SnapshotTable[[#This Row],[SC Exp Date]],0), "")</f>
        <v/>
      </c>
      <c r="GS170" s="30" t="str">
        <f>IF(LEN(SnapshotTable[[#This Row],[SC Symbol]])&gt;0, 1, "")</f>
        <v/>
      </c>
      <c r="GT170" s="29" t="str">
        <f>IF(COUNT(SnapshotTable[[#This Row],[LP Symbol Count]],SnapshotTable[[#This Row],[SP Symbol Count]],SnapshotTable[[#This Row],[LC Symbol Count]],SnapshotTable[[#This Row],[SC Symbol Count]])&gt;0, "Y", "")</f>
        <v/>
      </c>
      <c r="GU17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0" s="216">
        <f>MAX(SnapshotTable[[#This Row],[Equity Basis Total]],SnapshotTable[[#This Row],[Equity Value]]) + (SnapshotTable[[#This Row],[SP Potential Spend]]- SnapshotTable[[#This Row],[SP Premium]] + SnapshotTable[[#This Row],[LP Premium]])+ (SnapshotTable[[#This Row],[LC Premium]] - SnapshotTable[[#This Row],[SC Premium]])</f>
        <v>0</v>
      </c>
      <c r="GW170" s="137" t="str">
        <f>IF(AND(SnapshotTable[[#This Row],[Exposure]] &lt;&gt; 0),SnapshotTable[[#This Row],[Exposure]] / SnapshotTable[[#Totals],[Exposure]], "")</f>
        <v/>
      </c>
      <c r="HE170" s="253"/>
      <c r="HF170" s="253"/>
      <c r="HK170" s="1"/>
      <c r="HL170" s="1"/>
      <c r="HM170" s="1"/>
      <c r="HN170" s="1"/>
      <c r="HO170" s="1"/>
      <c r="HP170" s="1"/>
    </row>
    <row r="171" spans="2:224" ht="12.75" hidden="1" customHeight="1" x14ac:dyDescent="0.25">
      <c r="B171" s="12" t="s">
        <v>155</v>
      </c>
      <c r="C171" s="385">
        <v>204.87</v>
      </c>
      <c r="D171" s="200"/>
      <c r="E171" s="39">
        <f>SnapshotTable[[#This Row],[Last Price]]*(1 -CrashDiscount)</f>
        <v>174.1395</v>
      </c>
      <c r="F171" s="26" t="s">
        <v>30</v>
      </c>
      <c r="G171" s="26" t="s">
        <v>10</v>
      </c>
      <c r="H171" s="147"/>
      <c r="I171" s="186">
        <v>44720.666666666664</v>
      </c>
      <c r="J171" s="187">
        <v>44720.666666666664</v>
      </c>
      <c r="K171" s="188" t="s">
        <v>3</v>
      </c>
      <c r="L171" s="297"/>
      <c r="M171" s="138"/>
      <c r="N171" s="138"/>
      <c r="O171" s="138"/>
      <c r="P171" s="22"/>
      <c r="Q171" s="25"/>
      <c r="R171" s="4" t="str">
        <f>IF(SnapshotTable[[#This Row],[Equity Basis Total]] &gt; 0, SnapshotTable[[#This Row],[Equity Basis Total]] / SnapshotTable[[#This Row],[Equity Shares]], "")</f>
        <v/>
      </c>
      <c r="S171" s="254">
        <f>SnapshotTable[[#This Row],[Last Price]] * SnapshotTable[[#This Row],[Equity Shares]]</f>
        <v>0</v>
      </c>
      <c r="T171" s="254">
        <f>SnapshotTable[[#This Row],[Equity Value]] - SnapshotTable[[#This Row],[Equity Basis Total]]</f>
        <v>0</v>
      </c>
      <c r="U171" s="255" t="str">
        <f>IF(SnapshotTable[[#This Row],[Equity Basis Total]] &gt; 0, SnapshotTable[[#This Row],[Equity G/L]] / SnapshotTable[[#This Row],[Equity Basis Total]], "")</f>
        <v/>
      </c>
      <c r="V171" s="253"/>
      <c r="W171" s="253"/>
      <c r="X171" s="4" t="str">
        <f>IF(AND(ISNUMBER(SnapshotTable[[#This Row],[Equity Basis Per Share]]),ISNUMBER(SnapshotTable[[#This Row],[Equity Target]])),SnapshotTable[[#This Row],[Equity Target]]-SnapshotTable[[#This Row],[Equity Basis Per Share]],"")</f>
        <v/>
      </c>
      <c r="Y171" s="4" t="str">
        <f>IF(AND(ISNUMBER(SnapshotTable[[#This Row],[Equity Basis Per Share]]),ISNUMBER(SnapshotTable[[#This Row],[Equity Stop Loss]])),SnapshotTable[[#This Row],[Equity Stop Loss]]-SnapshotTable[[#This Row],[Equity Basis Per Share]],"")</f>
        <v/>
      </c>
      <c r="Z171" s="260" t="str">
        <f>IFERROR( TEXT(SnapshotTable[[#This Row],[Equity Max Gain Per Share]] /ABS( SnapshotTable[[#This Row],[Equity Max Loss Per Share]]),"0.0 " ) &amp; " : 1", "")</f>
        <v/>
      </c>
      <c r="AA171" s="31" t="str">
        <f>IF(ISNUMBER(SnapshotTable[[#This Row],[Equity Max Gain Per Share]]),SnapshotTable[[#This Row],[Equity Max Gain Per Share]] * SnapshotTable[[#This Row],[Equity Shares]],"")</f>
        <v/>
      </c>
      <c r="AB171" s="31" t="str">
        <f>IF(ISNUMBER(SnapshotTable[[#This Row],[Equity Max Loss Per Share]]),SnapshotTable[[#This Row],[Equity Max Loss Per Share]] * SnapshotTable[[#This Row],[Equity Shares]],"")</f>
        <v/>
      </c>
      <c r="AC171" s="148"/>
      <c r="AD171" s="149"/>
      <c r="AE171" s="31">
        <f>(SnapshotTable[[#This Row],[Annual Dividend Per Share]] / 4) * SnapshotTable[[#This Row],[Equity Shares]]</f>
        <v>0</v>
      </c>
      <c r="AF171" s="31">
        <f>SnapshotTable[[#This Row],[Quarterly Div $]] * 4</f>
        <v>0</v>
      </c>
      <c r="AG171" s="7">
        <f>IF(SnapshotTable[[#This Row],[Annual Dividend Per Share]]&gt;0, SnapshotTable[[#This Row],[Annual Dividend Per Share]]  / SnapshotTable[[#This Row],[Last Price]], 0)</f>
        <v>0</v>
      </c>
      <c r="AH171" s="149"/>
      <c r="AI171" s="5"/>
      <c r="AJ171" s="136">
        <v>85.19</v>
      </c>
      <c r="AK171" s="150" t="str">
        <f>IF(ISNUMBER( SnapshotTable[[#This Row],[EBF Target]]),(SnapshotTable[[#This Row],[EBF Target]] - SnapshotTable[[#This Row],[Last Price]]) / SnapshotTable[[#This Row],[Last Price]], "")</f>
        <v/>
      </c>
      <c r="AL171" s="150" t="str">
        <f>IF(AND(SnapshotTable[[#This Row],[Equity Basis Total]] &gt; 0,ISNUMBER( SnapshotTable[[#This Row],[Long Term Target]])), SnapshotTable[[#This Row],[From Basis $]] / SnapshotTable[[#This Row],[Equity Basis Total]], "")</f>
        <v/>
      </c>
      <c r="AM171" s="9">
        <f>IF( AND(SnapshotTable[[#This Row],[Equity Shares]] &gt;0,ISNUMBER( SnapshotTable[[#This Row],[Long Term Target]])),(SnapshotTable[[#This Row],[Equity Shares]] * SnapshotTable[[#This Row],[Long Term Target]]) - SnapshotTable[[#This Row],[Equity Basis Total]],0)</f>
        <v>0</v>
      </c>
      <c r="AN171" s="9">
        <f>IF( AND(SnapshotTable[[#This Row],[Equity Shares]] &gt;0,ISNUMBER( SnapshotTable[[#This Row],[Long Term Target]])),(SnapshotTable[[#This Row],[Equity Shares]]*SnapshotTable[[#This Row],[Long Term Target]]) - SnapshotTable[[#This Row],[Equity Value]],0)</f>
        <v>0</v>
      </c>
      <c r="AO171" s="150">
        <f>IF(AND(ISNUMBER( SnapshotTable[[#This Row],[Long Term Target]]), ISNUMBER(SnapshotTable[[#This Row],[Last Price]])),(SnapshotTable[[#This Row],[Long Term Target]] - SnapshotTable[[#This Row],[Last Price]]) / SnapshotTable[[#This Row],[Last Price]], "")</f>
        <v>-0.58417533069751548</v>
      </c>
      <c r="AP171" s="5">
        <v>120</v>
      </c>
      <c r="AQ171" s="38" t="s">
        <v>29</v>
      </c>
      <c r="AR171" s="5">
        <v>115</v>
      </c>
      <c r="AS171" s="38" t="s">
        <v>15</v>
      </c>
      <c r="AT171" s="144"/>
      <c r="AU171" s="185" t="str">
        <f>IF(OR(SnapshotTable[[#This Row],[LP No Fill]]="Y",SnapshotTable[[#This Row],[SP Is Filled]],SnapshotTable[[#This Row],[LC Not Filled]]="Y",SnapshotTable[[#This Row],[SC Is Filled]]),"Y","")</f>
        <v/>
      </c>
      <c r="AV171" s="205"/>
      <c r="AW171" s="211"/>
      <c r="AX171" s="206"/>
      <c r="AY171" s="205" t="str">
        <f>IF(SnapshotTable[[#This Row],[Implied Move]]&gt;0, SnapshotTable[[#This Row],[Last Price]]-SnapshotTable[[#This Row],[Implied Move]],"")</f>
        <v/>
      </c>
      <c r="AZ171" s="205" t="str">
        <f>IF(SnapshotTable[[#This Row],[Implied Move]]&gt;0, SnapshotTable[[#This Row],[Last Price]] + SnapshotTable[[#This Row],[Implied Move]],"")</f>
        <v/>
      </c>
      <c r="BA171" s="302"/>
      <c r="BB171" s="318"/>
      <c r="BC17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1" s="321"/>
      <c r="BE171" s="5"/>
      <c r="BF171" s="14"/>
      <c r="BG171" s="13"/>
      <c r="BH171" s="13"/>
      <c r="BI171" s="5"/>
      <c r="BJ171" s="134">
        <f>IF(SnapshotTable[[#This Row],[LP Qty]] &gt; 0, SnapshotTable[[#This Row],[LP Qty]] * SnapshotTable[[#This Row],[LP Book Price]] * 100,0)</f>
        <v>0</v>
      </c>
      <c r="BK171" s="134">
        <f>IF(SnapshotTable[[#This Row],[LP Premium]] &gt; 0, SnapshotTable[[#This Row],[LP Qty]] * SnapshotTable[[#This Row],[LP Strike Price]] * 100,0)</f>
        <v>0</v>
      </c>
      <c r="BL171" s="152"/>
      <c r="BM171" s="355" t="str">
        <f>IF(SnapshotTable[[#This Row],[LP Premium]] &gt; 0,SnapshotTable[[#This Row],[LP Exp Date]]-MAX(SnapshotTable[[#This Row],[LP Book Date]], SnapshotTable[[#This Row],[LP Fill Date]]),"")</f>
        <v/>
      </c>
      <c r="BN171" s="355" t="str">
        <f>IF(ISNUMBER( SnapshotTable[[#This Row],[LP Term]]), SnapshotTable[[#This Row],[LP Exp Date]] - MockToday,"")</f>
        <v/>
      </c>
      <c r="BO171" s="161" t="str">
        <f>IF(AND(SnapshotTable[[#This Row],[LP Exp Date]]&gt;0, SnapshotTable[[#This Row],[LP Strike Price]]&gt;0,SnapshotTable[[#This Row],[LP Qty]]&gt;0,SnapshotTable[[#This Row],[LP Book Date]]&gt;0,SnapshotTable[[#This Row],[LP Book Price]]&gt;0,SnapshotTable[[#This Row],[LP Fill Date]]=0),"Y","")</f>
        <v/>
      </c>
      <c r="BP171" s="31" t="str">
        <f>IF(AND(SnapshotTable[[#This Row],[LP No Fill]]&lt;&gt;"Y",SnapshotTable[[#This Row],[LP Contract Value]]&gt;0, SnapshotTable[[#This Row],[LP Qty]]&gt;0), SnapshotTable[[#This Row],[LP Contract Value]]*SnapshotTable[[#This Row],[LP Qty]]*100,"")</f>
        <v/>
      </c>
      <c r="BQ171" s="13"/>
      <c r="BR171" s="5"/>
      <c r="BS171" s="36"/>
      <c r="BT171" s="145"/>
      <c r="BU171" s="13"/>
      <c r="BV171" s="5"/>
      <c r="BW171" s="382" t="b">
        <f>AND(ISNUMBER(SnapshotTable[[#This Row],[SP Exp Date]]), ISNUMBER(SnapshotTable[[#This Row],[SP Strike Price]]), ISNUMBER(SnapshotTable[[#This Row],[SP Qty]]), ISNUMBER(SnapshotTable[[#This Row],[SP Book Date]]), ISNUMBER(SnapshotTable[[#This Row],[SP Book Price]]))</f>
        <v>0</v>
      </c>
      <c r="BX171" s="382" t="b">
        <f>AND(SnapshotTable[[#This Row],[SP Is Booked]], NOT(ISBLANK(SnapshotTable[[#This Row],[SP Fill Date]])))</f>
        <v>0</v>
      </c>
      <c r="BY171" s="33">
        <f>IF(SnapshotTable[[#This Row],[SP Is Booked]], SnapshotTable[[#This Row],[SP Qty]] * SnapshotTable[[#This Row],[SP Book Price]] * 100, 0)</f>
        <v>0</v>
      </c>
      <c r="BZ171" s="339"/>
      <c r="CA171" s="338">
        <f>SnapshotTable[[#This Row],[LP Qty]]</f>
        <v>0</v>
      </c>
      <c r="CB171" s="4" t="str">
        <f>IF(SnapshotTable[[#This Row],[SP Is Booked]], SnapshotTable[[#This Row],[SP Strike Price]] - SnapshotTable[[#This Row],[SP Book Price]], "")</f>
        <v/>
      </c>
      <c r="CC171" s="19" t="str">
        <f>IF(SnapshotTable[[#This Row],[SP Is Booked]],SnapshotTable[[#This Row],[SP Exp Date]]-MAX(SnapshotTable[[#This Row],[SP Book Date]], SnapshotTable[[#This Row],[SP Fill Date]]),"")</f>
        <v/>
      </c>
      <c r="CD171" s="7" t="str">
        <f>IF(SnapshotTable[[#This Row],[SP Is Booked]], SnapshotTable[[#This Row],[SP Book Price]]/SnapshotTable[[#This Row],[SP Strike Price]], "")</f>
        <v/>
      </c>
      <c r="CE171" s="7" t="str">
        <f>IF(ISNUMBER(SnapshotTable[[#This Row],[SP ROO Term]]),SnapshotTable[[#This Row],[SP ROO Term]]*(365/SnapshotTable[[#This Row],[SP Term]]),"")</f>
        <v/>
      </c>
      <c r="CF171" s="221">
        <f>SnapshotTable[[#This Row],[LP Strike Price]] * SnapshotTable[[#This Row],[LP Qty]] * 100</f>
        <v>0</v>
      </c>
      <c r="CG171" s="31">
        <f>IF(ISNUMBER(SnapshotTable[[#This Row],[SP Premium]]), (SnapshotTable[[#This Row],[SP Qty]] * SnapshotTable[[#This Row],[SP Strike Price]]* 100) - SnapshotTable[[#This Row],[LP Protection]], 0)</f>
        <v>0</v>
      </c>
      <c r="CH171" s="7" t="str">
        <f>IF(ISNUMBER(SnapshotTable[[#This Row],[SP Break Even]]),-1 * (SnapshotTable[[#This Row],[SP Break Even]] - SnapshotTable[[#This Row],[Last Price]]) / SnapshotTable[[#This Row],[Last Price]], "")</f>
        <v/>
      </c>
      <c r="CI171" s="31">
        <f>IF(AND(ISNUMBER((SnapshotTable[[#This Row],[SP Potential Spend]])), SnapshotTable[[#This Row],[SP Strike Price]] &gt; SnapshotTable[[#This Row],[Last Price]], SnapshotTable[[#This Row],[SP Is Filled]]), SnapshotTable[[#This Row],[SP Potential Spend]] -  SnapshotTable[[#This Row],[LP Max Value]], 0)</f>
        <v>0</v>
      </c>
      <c r="CJ171" s="229"/>
      <c r="CK171" s="31">
        <f>IF(ISNUMBER(SnapshotTable[[#This Row],[SP Potential Spend]]),IF(ISNUMBER(SnapshotTable[[#This Row],[SP POW]]), SnapshotTable[[#This Row],[SP POW]] * SnapshotTable[[#This Row],[SP Potential Spend]], SnapshotTable[[#This Row],[SP Potential Spend]]), "")</f>
        <v>0</v>
      </c>
      <c r="CL171" s="162">
        <f>IF(NOT(SnapshotTable[[#This Row],[SP Is Filled]]),(SnapshotTable[[#This Row],[SP Qty]] * SnapshotTable[[#This Row],[SP Strike Price]] * 100) - SnapshotTable[[#This Row],[LP Max Value]],"")</f>
        <v>0</v>
      </c>
      <c r="CM171" s="31" t="str">
        <f>IF(SnapshotTable[[#This Row],[SP Actual Spend]]&lt;&gt;0, ((SnapshotTable[[#This Row],[SP Strike Price]]-SnapshotTable[[#This Row],[Last Price]]) *(SnapshotTable[[#This Row],[SP Qty]]*100) - SnapshotTable[[#This Row],[SP Premium]]) * - 1, "")</f>
        <v/>
      </c>
      <c r="CN171" s="76"/>
      <c r="CO171" s="339"/>
      <c r="CP171" s="4" t="str">
        <f>IF(SnapshotTable[[#This Row],[SP Is Filled]], btc_max_buyback_amount(SnapshotTable[[#This Row],[SP Fill Date]],SnapshotTable[[#This Row],[SP Exp Date]], SnapshotTable[[#This Row],[SP Book Price]]),"")</f>
        <v/>
      </c>
      <c r="CQ171" s="76"/>
      <c r="CR17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1" s="153" t="str">
        <f>IF(SnapshotTable[[#This Row],[SP Is Filled]], btc_next_cutoff_date(SnapshotTable[[#This Row],[SP Fill Date]],SnapshotTable[[#This Row],[SP Exp Date]]),"")</f>
        <v/>
      </c>
      <c r="CT171" s="220" t="str" cm="1">
        <f t="array" ref="CT171">IF(SnapshotTable[[#This Row],[SP Is Filled]], btc_should_buy_back(SnapshotTable[[#This Row],[SP Fill Date]], SnapshotTable[[#This Row],[SP Exp Date]], SnapshotTable[[#This Row],[SP Book Price]], SnapshotTable[[#This Row],[SP Current Ask]], MockToday, SnapshotTable[[#This Row],[SP Buyback Override]]),"")</f>
        <v/>
      </c>
      <c r="CU171" s="141"/>
      <c r="CV171" s="220"/>
      <c r="CW171" s="348" t="str">
        <f>IF(ISNUMBER( SnapshotTable[[#This Row],[SP Term]]), SnapshotTable[[#This Row],[SP Exp Date]] - MockToday,"")</f>
        <v/>
      </c>
      <c r="CX171" s="31" t="str">
        <f>IF(SnapshotTable[[#This Row],[SP Is Filled]],SnapshotTable[[#This Row],[SP Buyback Price to Use]] * 100 * SnapshotTable[[#This Row],[SP Qty]], "")</f>
        <v/>
      </c>
      <c r="CY171" s="4" t="str">
        <f>IF(ISNUMBER(SnapshotTable[[#This Row],[SP Strike Price]]), SnapshotTable[[#This Row],[SP Strike Price]] * (1 - SP_MaxLoss_StrikePct), "")</f>
        <v/>
      </c>
      <c r="CZ171" s="31" t="str">
        <f>IF(ISNUMBER(SnapshotTable[[#This Row],[SP Strike  Stop Per Share]]),SnapshotTable[[#This Row],[SP Premium]] - ((SnapshotTable[[#This Row],[SP Strike Price]]-SnapshotTable[[#This Row],[SP Strike  Stop Per Share]]) *(SnapshotTable[[#This Row],[SP Qty]] * 100)),"")</f>
        <v/>
      </c>
      <c r="DA171" s="4" t="str">
        <f>IF(AND(ISNUMBER(SnapshotTable[[#This Row],[SP Premium]]),SnapshotTable[[#This Row],[SP Premium]]&gt;0), SnapshotTable[[#This Row],[SP Book Price]] * (1 + SP_MaxLoss_OptionPct), "")</f>
        <v/>
      </c>
      <c r="DB171" s="31" t="str">
        <f>IF(ISNUMBER(SnapshotTable[[#This Row],[SP Option  Stop Contract]]),(SnapshotTable[[#This Row],[SP Option  Stop Contract]] *(SnapshotTable[[#This Row],[SP Qty]] * 100) - SnapshotTable[[#This Row],[SP Premium]]),"")</f>
        <v/>
      </c>
      <c r="DC171" s="4"/>
      <c r="DD171" s="4"/>
      <c r="DE171" s="4" t="str">
        <f>IF(AND(SnapshotTable[[#This Row],[SP Qty]]&gt;0, SnapshotTable[[#This Row],[SP Stop To Use]]&gt;0),SnapshotTable[[#This Row],[SP Premium]] - ( SnapshotTable[[#This Row],[SP Qty]] * SnapshotTable[[#This Row],[SP Stop To Use]] * 100), "")</f>
        <v/>
      </c>
      <c r="DF171" s="31" t="str">
        <f>IF(AND(SnapshotTable[[#This Row],[SP Qty]]&gt;0,SnapshotTable[[#This Row],[SP Current Ask]]&gt;0), SnapshotTable[[#This Row],[SP Qty]] * SnapshotTable[[#This Row],[SP Current Ask]] * -100, "")</f>
        <v/>
      </c>
      <c r="DG171" s="31" t="str">
        <f>IF(ISNUMBER((SnapshotTable[[#This Row],[SP Total Value]])), SnapshotTable[[#This Row],[SP Premium]] + SnapshotTable[[#This Row],[SP Total Value]], "")</f>
        <v/>
      </c>
      <c r="DH171" s="272" t="str">
        <f>IF(ISNUMBER((SnapshotTable[[#This Row],[SP Total Value]])), SnapshotTable[[#This Row],[SP Gain Loss]] / SnapshotTable[[#This Row],[SP Premium]], "")</f>
        <v/>
      </c>
      <c r="DI171" s="369"/>
      <c r="DJ171" s="136"/>
      <c r="DK171" s="146"/>
      <c r="DL171" s="13"/>
      <c r="DM171" s="13"/>
      <c r="DO171" s="31">
        <f>IF(SnapshotTable[[#This Row],[LC Symbol Count]]=1, SnapshotTable[[#This Row],[LC Qty]] * SnapshotTable[[#This Row],[LC Book Price]] * 100, 0)</f>
        <v>0</v>
      </c>
      <c r="DP171" s="161" t="str">
        <f>IF(AND(SnapshotTable[[#This Row],[LC Exp Date]]&gt;0, SnapshotTable[[#This Row],[LC Strike Price]]&gt;0,SnapshotTable[[#This Row],[LC Qty]]&gt;0,SnapshotTable[[#This Row],[LC Book Date]]&gt;0,SnapshotTable[[#This Row],[LC Book Price]]&gt;0,SnapshotTable[[#This Row],[LC Fill Date]]=0),"Y","")</f>
        <v/>
      </c>
      <c r="DQ171" s="356" t="str">
        <f>IF(SnapshotTable[[#This Row],[LC Premium]] &gt; 0,SnapshotTable[[#This Row],[LC Exp Date]]-MAX(SnapshotTable[[#This Row],[LC Book Date]], SnapshotTable[[#This Row],[LC Fill Date]]),"")</f>
        <v/>
      </c>
      <c r="DR171" s="356" t="str">
        <f>IF(ISNUMBER(SnapshotTable[[#This Row],[LC Term]]), SnapshotTable[[#This Row],[LC Exp Date]] - MockToday, "")</f>
        <v/>
      </c>
      <c r="DS171" s="219" t="str">
        <f>IF(SnapshotTable[[#This Row],[LC Premium]]&gt;0,SnapshotTable[[#This Row],[LC Strike Price]] + SnapshotTable[[#This Row],[LC Book Price]],"")</f>
        <v/>
      </c>
      <c r="DU171" s="9" t="str">
        <f>IF(AND(SnapshotTable[[#This Row],[LC Symbol Count]]&gt;0, SnapshotTable[[#This Row],[LC Contract Value]]&gt;0), SnapshotTable[[#This Row],[LC Contract Value]] * SnapshotTable[[#This Row],[LC Qty]] * 100, "")</f>
        <v/>
      </c>
      <c r="DV171" s="9" t="str">
        <f>IF(AND(ISNUMBER(SnapshotTable[[#This Row],[LC Total Value]]), SnapshotTable[[#This Row],[LC Not Filled]]&lt;&gt;"Y"), SnapshotTable[[#This Row],[LC Total Value]]-SnapshotTable[[#This Row],[LC Premium]],"")</f>
        <v/>
      </c>
      <c r="DW171" s="225" t="str">
        <f>IF(ISNUMBER(SnapshotTable[[#This Row],[LC Actual Gain Loss]]), SnapshotTable[[#This Row],[LC Actual Gain Loss]] / SnapshotTable[[#This Row],[LC Premium]],"")</f>
        <v/>
      </c>
      <c r="DX171" s="269" t="str">
        <f>IF(ISNUMBER(SnapshotTable[[#This Row],[LC Book Price]]),SnapshotTable[[#This Row],[LC Book Price]] * 1.5,"")</f>
        <v/>
      </c>
      <c r="DY171" s="250" t="str">
        <f>IF(SnapshotTable[[#This Row],[LC Premium]]&gt;0, SnapshotTable[[#This Row],[LC Next Target]] * SnapshotTable[[#This Row],[LC Qty]] * 100,"")</f>
        <v/>
      </c>
      <c r="DZ171" s="250" t="str">
        <f>IF(ISNUMBER(SnapshotTable[[#This Row],[LC Target Gross]]), SnapshotTable[[#This Row],[LC Target Gross]] - SnapshotTable[[#This Row],[LC Premium]], "")</f>
        <v/>
      </c>
      <c r="EA171" s="283" t="str">
        <f>IF(ISNUMBER(SnapshotTable[[#This Row],[LC Target Gain Loss]]), SnapshotTable[[#This Row],[LC Target Gain Loss]]/SnapshotTable[[#This Row],[LC Premium]], "")</f>
        <v/>
      </c>
      <c r="EB171" s="247"/>
      <c r="EC171" s="268" t="str">
        <f>IF(SnapshotTable[[#This Row],[LC Premium]]&gt;0, SnapshotTable[[#This Row],[LC Book Price]] * (1 - LC_StopLoss_Pct),"")</f>
        <v/>
      </c>
      <c r="ED171" s="269"/>
      <c r="EE171" s="268" t="str">
        <f>IF(ISNUMBER(SnapshotTable[[#This Row],[LC Contract Value]]),IF(ISNUMBER(SnapshotTable[[#This Row],[LC Stop Loss Override]]), SnapshotTable[[#This Row],[LC Stop Loss Override]],SnapshotTable[[#This Row],[LC Stop Loss Calc Target]]),"")</f>
        <v/>
      </c>
      <c r="EF171" s="31" t="str">
        <f>IF(ISNUMBER(SnapshotTable[[#This Row],[LC Stop  To Use]]), (SnapshotTable[[#This Row],[LC Stop  To Use]] * SnapshotTable[[#This Row],[LC Qty]] * 100),"")</f>
        <v/>
      </c>
      <c r="EG171" s="9" t="str">
        <f>IF(ISNUMBER(SnapshotTable[[#This Row],[LC Total Value]]),SnapshotTable[[#This Row],[LC Stop Loss Amount]] - SnapshotTable[[#This Row],[LC Premium]],"")</f>
        <v/>
      </c>
      <c r="EH171" s="9">
        <f>IF(ISNUMBER(SnapshotTable[[#This Row],[LC Premium]]), SnapshotTable[[#This Row],[LC Qty]] * 100 * SnapshotTable[[#This Row],[LC Strike Price]], "")</f>
        <v>0</v>
      </c>
      <c r="EI171" s="225" t="str">
        <f>IF(AND(ISNUMBER(SnapshotTable[[#This Row],[LC Total Value]]),SnapshotTable[[#This Row],[LC Total Value]]&gt;0),SnapshotTable[[#This Row],[LC Stop Gain Loss]]  / SnapshotTable[[#This Row],[LC Premium]],"")</f>
        <v/>
      </c>
      <c r="EJ171" s="35">
        <f>IF(ISNUMBER(SnapshotTable[[#This Row],[Equity Shares]]),TRUNC(SnapshotTable[[#This Row],[Equity Shares]] / 100),0) + SnapshotTable[[#This Row],[LC Qty]]</f>
        <v>0</v>
      </c>
      <c r="EK171" s="145"/>
      <c r="EL171" s="136"/>
      <c r="EM171" s="146"/>
      <c r="EN171" s="145"/>
      <c r="EO171" s="145"/>
      <c r="EP171" s="136"/>
      <c r="EQ171" s="382" t="b">
        <f>AND(ISNUMBER(SnapshotTable[[#This Row],[SC Exp Date]]), ISNUMBER(SnapshotTable[[#This Row],[SC Strike Price]]), ISNUMBER(SnapshotTable[[#This Row],[SC Qty]]), ISNUMBER(SnapshotTable[[#This Row],[SC Book Date]]), ISNUMBER(SnapshotTable[[#This Row],[SC Book Price]]))</f>
        <v>0</v>
      </c>
      <c r="ER171" s="382" t="b">
        <f>AND(SnapshotTable[[#This Row],[SC Is Booked]], NOT(ISBLANK(SnapshotTable[[#This Row],[SC Fill Date]])))</f>
        <v>0</v>
      </c>
      <c r="ES171" s="340"/>
      <c r="ET171" s="34" t="str">
        <f>IF(AND(ISNUMBER(SnapshotTable[[#This Row],[SC Exp Date]]), ISNUMBER(SnapshotTable[[#This Row],[SC Book Date]])), SnapshotTable[[#This Row],[SC Exp Date]] - MAX(SnapshotTable[[#This Row],[SC Book Date]], SnapshotTable[[#This Row],[SC Fill Date]]) + 1, "")</f>
        <v/>
      </c>
      <c r="EU171" s="34" t="str">
        <f>IF(ISNUMBER(SnapshotTable[[#This Row],[SC Term]]), SnapshotTable[[#This Row],[SC Exp Date]]- MockToday, "")</f>
        <v/>
      </c>
      <c r="EV171" s="31">
        <f>IF(SnapshotTable[[#This Row],[SC Is Booked]], SnapshotTable[[#This Row],[SC Qty]] * SnapshotTable[[#This Row],[SC Book Price]] * 100, 0)</f>
        <v>0</v>
      </c>
      <c r="EW171" s="4" t="str">
        <f>IF(AND(ISNUMBER(SnapshotTable[[#This Row],[Last Price]]), ISNUMBER( SnapshotTable[[#This Row],[SC Book Price]])), SnapshotTable[[#This Row],[Last Price]] - SnapshotTable[[#This Row],[SC Book Price]],"")</f>
        <v/>
      </c>
      <c r="EX171" s="219" t="str">
        <f>IF(SnapshotTable[[#This Row],[SC Is Booked]],IF(SnapshotTable[[#This Row],[SC Intrinsic Value]] &gt; 0, SnapshotTable[[#This Row],[SC Strike Price]], SnapshotTable[[#This Row],[Last Price]]), "")</f>
        <v/>
      </c>
      <c r="EY171" s="4">
        <f>IF(SnapshotTable[[#This Row],[SC Is Booked]], (MinimumPremiumRequired * SnapshotTable[[#This Row],[SC Basis]] * SnapshotTable[[#This Row],[SC Term]]), 0)</f>
        <v>0</v>
      </c>
      <c r="EZ171" s="268"/>
      <c r="FA171" s="204"/>
      <c r="FB171" s="340"/>
      <c r="FC171" s="4">
        <f>IF(SnapshotTable[[#This Row],[SC Is Filled]], btc_max_buyback_amount(SnapshotTable[[#This Row],[SC Fill Date]],SnapshotTable[[#This Row],[SC Exp Date]], SnapshotTable[[#This Row],[SC Book Price]]),0)</f>
        <v>0</v>
      </c>
      <c r="FD171" s="5"/>
      <c r="FE171" s="142" t="str">
        <f>IF(SnapshotTable[[#This Row],[SC Is Filled]], btc_next_cutoff_date(SnapshotTable[[#This Row],[SC Fill Date]],SnapshotTable[[#This Row],[SC Exp Date]]),"")</f>
        <v/>
      </c>
      <c r="FF171" s="4" t="str" cm="1">
        <f t="array" ref="FF171">IF(SnapshotTable[[#This Row],[SC Is Filled]], btc_should_buy_back(SnapshotTable[[#This Row],[SC Fill Date]], SnapshotTable[[#This Row],[SC Exp Date]], SnapshotTable[[#This Row],[SC Book Price]], SnapshotTable[[#This Row],[SC Current Ask]], MockToday, SnapshotTable[[#This Row],[SC Buyback Override]]),"")</f>
        <v/>
      </c>
      <c r="FG171" s="4">
        <f>IF(SnapshotTable[[#This Row],[SC Is Filled]], MAX(0,SnapshotTable[[#This Row],[Last Price]]  - SnapshotTable[[#This Row],[SC Strike Price]]), 0)</f>
        <v>0</v>
      </c>
      <c r="FH171" s="352">
        <f>IF(SnapshotTable[[#This Row],[SC Is Filled]], IF(ISNUMBER(SnapshotTable[[#This Row],[SC Current Ask]]), SnapshotTable[[#This Row],[SC Current Ask]], SnapshotTable[[#This Row],[SC Book Price]]) - SnapshotTable[[#This Row],[SC Intrinsic Value]], 0)</f>
        <v>0</v>
      </c>
      <c r="FI171" s="141"/>
      <c r="FJ171" s="32" t="str">
        <f>IF(SnapshotTable[[#This Row],[SC Is Filled]],100 * SnapshotTable[[#This Row],[SC Qty]] * IF(ISNUMBER(SnapshotTable[[#This Row],[SC Buyback Override]]), SnapshotTable[[#This Row],[SC Buyback Override]], SnapshotTable[[#This Row],[SC Current Ask]]), "")</f>
        <v/>
      </c>
      <c r="FK171" s="235" t="str">
        <f>IF(SnapshotTable[[#This Row],[SC Time Val]]&gt;0, SnapshotTable[[#This Row],[SC Time Val]] / SnapshotTable[[#This Row],[Last Price]],"")</f>
        <v/>
      </c>
      <c r="FL171" s="280" t="str">
        <f>IF(SnapshotTable[[#This Row],[SC Is Booked]], ((SnapshotTable[[#This Row],[Last Price]] -SnapshotTable[[#This Row],[SC Strike Price]]) / SnapshotTable[[#This Row],[Last Price]]) * -1, "")</f>
        <v/>
      </c>
      <c r="FM171" s="155" t="str">
        <f>IF(SnapshotTable[[#This Row],[SC Is Booked]],  (SnapshotTable[[#This Row],[SC Qty]] * 100 * SnapshotTable[[#This Row],[SC Strike Price]]) - SnapshotTable[[#This Row],[SC Current Ask]], "")</f>
        <v/>
      </c>
      <c r="FN17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1" s="31" t="str">
        <f>IF(AND(ISNUMBER(SnapshotTable[[#This Row],[SC Exercise Gross]]), ISNUMBER(SnapshotTable[[#This Row],[Equity Basis Per Share]] )), SnapshotTable[[#This Row],[SC Exercise Gross]] - SnapshotTable[[#This Row],[Equity Basis Total]] +  SnapshotTable[[#This Row],[SC Premium]], "")</f>
        <v/>
      </c>
      <c r="FP171" s="5" t="str">
        <f>IF(ISNUMBER(SnapshotTable[[#This Row],[SC Exercise Gross]]), (SnapshotTable[[#This Row],[SC Exercise Gross]]) / (SnapshotTable[[#This Row],[SC Qty]] * 100), "")</f>
        <v/>
      </c>
      <c r="FQ171" s="27" t="str">
        <f>IF(SnapshotTable[[#This Row],[SC Is Booked]],SnapshotTable[[#This Row],[SC Time Val]] /SnapshotTable[[#This Row],[SC Basis]], "")</f>
        <v/>
      </c>
      <c r="FR171" s="27" t="str" cm="1">
        <f t="array" ref="FR171">IF(AND(ISNUMBER(SnapshotTable[[#This Row],[SC Term]]),ISNUMBER(SnapshotTable[[#This Row],[SC Simple ROO]])), EllmanAnnualize(SnapshotTable[[#This Row],[SC DTE]], SnapshotTable[[#This Row],[SC Simple ROO]] ),"")</f>
        <v/>
      </c>
      <c r="FS171" s="4">
        <f>IF(SnapshotTable[[#This Row],[SC Strike Price]] &gt; SnapshotTable[[#This Row],[Last Price]], SnapshotTable[[#This Row],[SC Strike Price]] - SnapshotTable[[#This Row],[Last Price]],0)</f>
        <v>0</v>
      </c>
      <c r="FT171" s="27" t="str">
        <f>IF(AND(ISNUMBER(SnapshotTable[[#This Row],[SC Upside Potential]]), SnapshotTable[[#This Row],[SC Upside Potential]] &gt; 0),(SnapshotTable[[#This Row],[SC Upside Potential]]/ SnapshotTable[[#This Row],[ACB]]),"")</f>
        <v/>
      </c>
      <c r="FU171" s="304" t="str">
        <f>IF(SnapshotTable[[#This Row],[SC Intrinsic Value]] &gt; 0,SnapshotTable[[#This Row],[SC Intrinsic Value]],"")</f>
        <v/>
      </c>
      <c r="FV171" s="27" t="str">
        <f>IF(AND( ISNUMBER( SnapshotTable[[#This Row],[ACB]]),ISNUMBER(SnapshotTable[[#This Row],[SC Downside Protect]])),SnapshotTable[[#This Row],[SC Downside Protect]] / SnapshotTable[[#This Row],[ACB]],"")</f>
        <v/>
      </c>
      <c r="FW171" s="221" t="str">
        <f>IF(AND(ISNUMBER(SnapshotTable[[#This Row],[SC Simple ROO]]),SnapshotTable[[#This Row],[SC Simple ROO]] &gt; 0), SnapshotTable[[#This Row],[SC Premium]] + (SnapshotTable[[#This Row],[SC Qty]] * SnapshotTable[[#This Row],[SC Upside Potential]]), "")</f>
        <v/>
      </c>
      <c r="FX171" s="280" t="str" cm="1">
        <f t="array" ref="FX171">IF(ISNUMBER(SnapshotTable[[#This Row],[SC Max Dollars]]), annualize(SnapshotTable[[#This Row],[SC Term]],(SnapshotTable[[#This Row],[SC Max Dollars]]/SnapshotTable[[#This Row],[SC Basis]])),"")</f>
        <v/>
      </c>
      <c r="FY171" s="221" t="str">
        <f>IF(AND(SnapshotTable[[#This Row],[SC Qty]]&gt;0,SnapshotTable[[#This Row],[SC Current Ask]]&gt;0), SnapshotTable[[#This Row],[SC Qty]] * SnapshotTable[[#This Row],[SC Current Ask]] * -100, "")</f>
        <v/>
      </c>
      <c r="FZ171" s="31" t="str">
        <f>IF(ISNUMBER((SnapshotTable[[#This Row],[SC Current Value]])), SnapshotTable[[#This Row],[SC Premium]] + SnapshotTable[[#This Row],[SC Current Value]], "")</f>
        <v/>
      </c>
      <c r="GA171" s="272" t="str">
        <f>IFERROR( IF(ISNUMBER((SnapshotTable[[#This Row],[SC Current Value]])), SnapshotTable[[#This Row],[SC Gain Loss]] / SnapshotTable[[#This Row],[SC Premium]], ""), "")</f>
        <v/>
      </c>
      <c r="GB171" s="42">
        <f>SnapshotTable[[#This Row],[Equity Shares]] * SaleSharesToConsiderPercentage</f>
        <v>0</v>
      </c>
      <c r="GC171" s="40">
        <f>SnapshotTable[[#This Row],[Long Term Target]] * SellingPriceToConsiderBasedOnTargetPercentage</f>
        <v>80.930499999999995</v>
      </c>
      <c r="GD171" s="40">
        <f>SnapshotTable[[#This Row],[Last Price]] * (1+ SellingPriceToConsiderBasedOnTargetPercentage)</f>
        <v>399.49650000000003</v>
      </c>
      <c r="GE171" s="41"/>
      <c r="GF171" s="40"/>
      <c r="GG171" s="31">
        <f>SnapshotTable[[#This Row],[Booked Sale Shares]] * SnapshotTable[[#This Row],[Booked Sale Price]]</f>
        <v>0</v>
      </c>
      <c r="GH171" s="31" t="str">
        <f>IF(SnapshotTable[[#This Row],[Equity Basis Total]] &gt; 0, SnapshotTable[[#This Row],[Equity Basis Per Share]] * SnapshotTable[[#This Row],[Booked Sale Shares]], "")</f>
        <v/>
      </c>
      <c r="GI171" s="31">
        <f>IF(SnapshotTable[[#This Row],[Sale Proceeds]]&gt;0, SnapshotTable[[#This Row],[Sale Proceeds]] - SnapshotTable[[#This Row],[Sale Basis]], 0)</f>
        <v>0</v>
      </c>
      <c r="GJ171" s="27" t="str">
        <f>IF(SnapshotTable[[#This Row],[Sale G/L]]&gt;0, SnapshotTable[[#This Row],[Sale G/L]] / SnapshotTable[[#This Row],[Sale Basis]], IF(ISNUMBER(SnapshotTable[[#This Row],[SC Exercise P&amp;L (TAX)]]), SnapshotTable[[#This Row],[SC Exercise P&amp;L (TAX)]] / SnapshotTable[[#This Row],[SC Basis]], ""))</f>
        <v/>
      </c>
      <c r="GK171" s="27" t="s">
        <v>585</v>
      </c>
      <c r="GL171" s="43" t="str">
        <f>IF(AND(SnapshotTable[[#This Row],[LP Exp Date]]&gt;0,SnapshotTable[[#This Row],[LP Strike Price]]&gt;0), [1]!ToOptionSymbol(SnapshotTable[[#This Row],[Symbol]], SnapshotTable[[#This Row],[LP Strike Price]],SnapshotTable[[#This Row],[LP Exp Date]],1), "")</f>
        <v/>
      </c>
      <c r="GM171" s="30" t="str">
        <f>IF(LEN(SnapshotTable[[#This Row],[LP Symbol]])&gt;0, 1, "")</f>
        <v/>
      </c>
      <c r="GN171" s="43" t="str">
        <f>IF(AND(SnapshotTable[[#This Row],[SP Exp Date]]&gt;0,SnapshotTable[[#This Row],[SP Strike Price]]&gt;0), [1]!ToOptionSymbol(SnapshotTable[[#This Row],[Symbol]], SnapshotTable[[#This Row],[SP Strike Price]],SnapshotTable[[#This Row],[SP Exp Date]],1), "")</f>
        <v/>
      </c>
      <c r="GO171" s="30" t="str">
        <f>IF(LEN(SnapshotTable[[#This Row],[SP Symbol]])&gt;0, 1, "")</f>
        <v/>
      </c>
      <c r="GP171" s="43" t="str">
        <f>IF(AND(SnapshotTable[[#This Row],[LC Exp Date]]&gt;0,SnapshotTable[[#This Row],[LC Strike Price]]&gt;0), [1]!ToOptionSymbol(SnapshotTable[[#This Row],[Symbol]], SnapshotTable[[#This Row],[LC Strike Price]],SnapshotTable[[#This Row],[LC Exp Date]],0), "")</f>
        <v/>
      </c>
      <c r="GQ171" s="30" t="str">
        <f>IF(LEN(SnapshotTable[[#This Row],[LC Symbol]])&gt;0, 1, "")</f>
        <v/>
      </c>
      <c r="GR171" s="43" t="str">
        <f>IF(AND(SnapshotTable[[#This Row],[SC Exp Date]]&gt;0,SnapshotTable[[#This Row],[SC Strike Price]]&gt;0), [1]!ToOptionSymbol(SnapshotTable[[#This Row],[Symbol]], SnapshotTable[[#This Row],[SC Strike Price]],SnapshotTable[[#This Row],[SC Exp Date]],0), "")</f>
        <v/>
      </c>
      <c r="GS171" s="30" t="str">
        <f>IF(LEN(SnapshotTable[[#This Row],[SC Symbol]])&gt;0, 1, "")</f>
        <v/>
      </c>
      <c r="GT171" s="29" t="str">
        <f>IF(COUNT(SnapshotTable[[#This Row],[LP Symbol Count]],SnapshotTable[[#This Row],[SP Symbol Count]],SnapshotTable[[#This Row],[LC Symbol Count]],SnapshotTable[[#This Row],[SC Symbol Count]])&gt;0, "Y", "")</f>
        <v/>
      </c>
      <c r="GU17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1" s="216">
        <f>MAX(SnapshotTable[[#This Row],[Equity Basis Total]],SnapshotTable[[#This Row],[Equity Value]]) + (SnapshotTable[[#This Row],[SP Potential Spend]]- SnapshotTable[[#This Row],[SP Premium]] + SnapshotTable[[#This Row],[LP Premium]])+ (SnapshotTable[[#This Row],[LC Premium]] - SnapshotTable[[#This Row],[SC Premium]])</f>
        <v>0</v>
      </c>
      <c r="GW171" s="137" t="str">
        <f>IF(AND(SnapshotTable[[#This Row],[Exposure]] &lt;&gt; 0),SnapshotTable[[#This Row],[Exposure]] / SnapshotTable[[#Totals],[Exposure]], "")</f>
        <v/>
      </c>
      <c r="HE171" s="253"/>
      <c r="HF171" s="253"/>
      <c r="HK171" s="1"/>
      <c r="HL171" s="1"/>
      <c r="HM171" s="1"/>
      <c r="HN171" s="1"/>
      <c r="HO171" s="1"/>
      <c r="HP171" s="1"/>
    </row>
    <row r="172" spans="2:224" ht="12.75" hidden="1" customHeight="1" x14ac:dyDescent="0.25">
      <c r="B172" s="12" t="s">
        <v>20</v>
      </c>
      <c r="C172" s="385">
        <v>40.92</v>
      </c>
      <c r="D172" s="200"/>
      <c r="E172" s="39">
        <f>SnapshotTable[[#This Row],[Last Price]]*(1 -CrashDiscount)</f>
        <v>34.782000000000004</v>
      </c>
      <c r="F172" s="26" t="s">
        <v>18</v>
      </c>
      <c r="G172" s="26" t="s">
        <v>12</v>
      </c>
      <c r="H172" s="147"/>
      <c r="I172" s="186">
        <v>44792.28125</v>
      </c>
      <c r="J172" s="187">
        <v>44792.28125</v>
      </c>
      <c r="K172" s="188"/>
      <c r="L172" s="297"/>
      <c r="M172" s="138"/>
      <c r="N172" s="138"/>
      <c r="O172" s="138">
        <v>2</v>
      </c>
      <c r="P172" s="22"/>
      <c r="Q172" s="25"/>
      <c r="R172" s="4" t="str">
        <f>IF(SnapshotTable[[#This Row],[Equity Basis Total]] &gt; 0, SnapshotTable[[#This Row],[Equity Basis Total]] / SnapshotTable[[#This Row],[Equity Shares]], "")</f>
        <v/>
      </c>
      <c r="S172" s="254">
        <f>SnapshotTable[[#This Row],[Last Price]] * SnapshotTable[[#This Row],[Equity Shares]]</f>
        <v>0</v>
      </c>
      <c r="T172" s="254">
        <f>SnapshotTable[[#This Row],[Equity Value]] - SnapshotTable[[#This Row],[Equity Basis Total]]</f>
        <v>0</v>
      </c>
      <c r="U172" s="255" t="str">
        <f>IF(SnapshotTable[[#This Row],[Equity Basis Total]] &gt; 0, SnapshotTable[[#This Row],[Equity G/L]] / SnapshotTable[[#This Row],[Equity Basis Total]], "")</f>
        <v/>
      </c>
      <c r="V172" s="253"/>
      <c r="W172" s="253"/>
      <c r="X172" s="4" t="str">
        <f>IF(AND(ISNUMBER(SnapshotTable[[#This Row],[Equity Basis Per Share]]),ISNUMBER(SnapshotTable[[#This Row],[Equity Target]])),SnapshotTable[[#This Row],[Equity Target]]-SnapshotTable[[#This Row],[Equity Basis Per Share]],"")</f>
        <v/>
      </c>
      <c r="Y172" s="4" t="str">
        <f>IF(AND(ISNUMBER(SnapshotTable[[#This Row],[Equity Basis Per Share]]),ISNUMBER(SnapshotTable[[#This Row],[Equity Stop Loss]])),SnapshotTable[[#This Row],[Equity Stop Loss]]-SnapshotTable[[#This Row],[Equity Basis Per Share]],"")</f>
        <v/>
      </c>
      <c r="Z172" s="260" t="str">
        <f>IFERROR( TEXT(SnapshotTable[[#This Row],[Equity Max Gain Per Share]] /ABS( SnapshotTable[[#This Row],[Equity Max Loss Per Share]]),"0.0 " ) &amp; " : 1", "")</f>
        <v/>
      </c>
      <c r="AA172" s="31" t="str">
        <f>IF(ISNUMBER(SnapshotTable[[#This Row],[Equity Max Gain Per Share]]),SnapshotTable[[#This Row],[Equity Max Gain Per Share]] * SnapshotTable[[#This Row],[Equity Shares]],"")</f>
        <v/>
      </c>
      <c r="AB172" s="31" t="str">
        <f>IF(ISNUMBER(SnapshotTable[[#This Row],[Equity Max Loss Per Share]]),SnapshotTable[[#This Row],[Equity Max Loss Per Share]] * SnapshotTable[[#This Row],[Equity Shares]],"")</f>
        <v/>
      </c>
      <c r="AC172" s="148">
        <v>1.24</v>
      </c>
      <c r="AD172" s="149">
        <v>42853</v>
      </c>
      <c r="AE172" s="31">
        <f>(SnapshotTable[[#This Row],[Annual Dividend Per Share]] / 4) * SnapshotTable[[#This Row],[Equity Shares]]</f>
        <v>0</v>
      </c>
      <c r="AF172" s="31">
        <f>SnapshotTable[[#This Row],[Quarterly Div $]] * 4</f>
        <v>0</v>
      </c>
      <c r="AG172" s="7">
        <f>IF(SnapshotTable[[#This Row],[Annual Dividend Per Share]]&gt;0, SnapshotTable[[#This Row],[Annual Dividend Per Share]]  / SnapshotTable[[#This Row],[Last Price]], 0)</f>
        <v>3.03030303030303E-2</v>
      </c>
      <c r="AH172" s="149">
        <v>43663</v>
      </c>
      <c r="AI172" s="5"/>
      <c r="AJ172" s="136">
        <v>33.520000000000003</v>
      </c>
      <c r="AK172" s="150" t="str">
        <f>IF(ISNUMBER( SnapshotTable[[#This Row],[EBF Target]]),(SnapshotTable[[#This Row],[EBF Target]] - SnapshotTable[[#This Row],[Last Price]]) / SnapshotTable[[#This Row],[Last Price]], "")</f>
        <v/>
      </c>
      <c r="AL172" s="150" t="str">
        <f>IF(AND(SnapshotTable[[#This Row],[Equity Basis Total]] &gt; 0,ISNUMBER( SnapshotTable[[#This Row],[Long Term Target]])), SnapshotTable[[#This Row],[From Basis $]] / SnapshotTable[[#This Row],[Equity Basis Total]], "")</f>
        <v/>
      </c>
      <c r="AM172" s="9">
        <f>IF( AND(SnapshotTable[[#This Row],[Equity Shares]] &gt;0,ISNUMBER( SnapshotTable[[#This Row],[Long Term Target]])),(SnapshotTable[[#This Row],[Equity Shares]] * SnapshotTable[[#This Row],[Long Term Target]]) - SnapshotTable[[#This Row],[Equity Basis Total]],0)</f>
        <v>0</v>
      </c>
      <c r="AN172" s="9">
        <f>IF( AND(SnapshotTable[[#This Row],[Equity Shares]] &gt;0,ISNUMBER( SnapshotTable[[#This Row],[Long Term Target]])),(SnapshotTable[[#This Row],[Equity Shares]]*SnapshotTable[[#This Row],[Long Term Target]]) - SnapshotTable[[#This Row],[Equity Value]],0)</f>
        <v>0</v>
      </c>
      <c r="AO172" s="150">
        <f>IF(AND(ISNUMBER( SnapshotTable[[#This Row],[Long Term Target]]), ISNUMBER(SnapshotTable[[#This Row],[Last Price]])),(SnapshotTable[[#This Row],[Long Term Target]] - SnapshotTable[[#This Row],[Last Price]]) / SnapshotTable[[#This Row],[Last Price]], "")</f>
        <v>-0.1808406647116324</v>
      </c>
      <c r="AP172" s="5">
        <v>25</v>
      </c>
      <c r="AQ172" s="38" t="s">
        <v>76</v>
      </c>
      <c r="AR172" s="5">
        <v>20</v>
      </c>
      <c r="AS172" s="38" t="s">
        <v>77</v>
      </c>
      <c r="AT172" s="144" t="s">
        <v>898</v>
      </c>
      <c r="AU172" s="185" t="str">
        <f>IF(OR(SnapshotTable[[#This Row],[LP No Fill]]="Y",SnapshotTable[[#This Row],[SP Is Filled]],SnapshotTable[[#This Row],[LC Not Filled]]="Y",SnapshotTable[[#This Row],[SC Is Filled]]),"Y","")</f>
        <v/>
      </c>
      <c r="AV172" s="205"/>
      <c r="AW172" s="211"/>
      <c r="AX172" s="206"/>
      <c r="AY172" s="205" t="str">
        <f>IF(SnapshotTable[[#This Row],[Implied Move]]&gt;0, SnapshotTable[[#This Row],[Last Price]]-SnapshotTable[[#This Row],[Implied Move]],"")</f>
        <v/>
      </c>
      <c r="AZ172" s="205" t="str">
        <f>IF(SnapshotTable[[#This Row],[Implied Move]]&gt;0, SnapshotTable[[#This Row],[Last Price]] + SnapshotTable[[#This Row],[Implied Move]],"")</f>
        <v/>
      </c>
      <c r="BA172" s="302">
        <v>1.6</v>
      </c>
      <c r="BB172" s="318"/>
      <c r="BC17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2" s="321"/>
      <c r="BE172" s="5"/>
      <c r="BF172" s="14"/>
      <c r="BG172" s="13"/>
      <c r="BH172" s="13"/>
      <c r="BI172" s="5"/>
      <c r="BJ172" s="134">
        <f>IF(SnapshotTable[[#This Row],[LP Qty]] &gt; 0, SnapshotTable[[#This Row],[LP Qty]] * SnapshotTable[[#This Row],[LP Book Price]] * 100,0)</f>
        <v>0</v>
      </c>
      <c r="BK172" s="134">
        <f>IF(SnapshotTable[[#This Row],[LP Premium]] &gt; 0, SnapshotTable[[#This Row],[LP Qty]] * SnapshotTable[[#This Row],[LP Strike Price]] * 100,0)</f>
        <v>0</v>
      </c>
      <c r="BL172" s="152"/>
      <c r="BM172" s="355" t="str">
        <f>IF(SnapshotTable[[#This Row],[LP Premium]] &gt; 0,SnapshotTable[[#This Row],[LP Exp Date]]-MAX(SnapshotTable[[#This Row],[LP Book Date]], SnapshotTable[[#This Row],[LP Fill Date]]),"")</f>
        <v/>
      </c>
      <c r="BN172" s="355" t="str">
        <f>IF(ISNUMBER( SnapshotTable[[#This Row],[LP Term]]), SnapshotTable[[#This Row],[LP Exp Date]] - MockToday,"")</f>
        <v/>
      </c>
      <c r="BO172" s="161" t="str">
        <f>IF(AND(SnapshotTable[[#This Row],[LP Exp Date]]&gt;0, SnapshotTable[[#This Row],[LP Strike Price]]&gt;0,SnapshotTable[[#This Row],[LP Qty]]&gt;0,SnapshotTable[[#This Row],[LP Book Date]]&gt;0,SnapshotTable[[#This Row],[LP Book Price]]&gt;0,SnapshotTable[[#This Row],[LP Fill Date]]=0),"Y","")</f>
        <v/>
      </c>
      <c r="BP172" s="31" t="str">
        <f>IF(AND(SnapshotTable[[#This Row],[LP No Fill]]&lt;&gt;"Y",SnapshotTable[[#This Row],[LP Contract Value]]&gt;0, SnapshotTable[[#This Row],[LP Qty]]&gt;0), SnapshotTable[[#This Row],[LP Contract Value]]*SnapshotTable[[#This Row],[LP Qty]]*100,"")</f>
        <v/>
      </c>
      <c r="BQ172" s="13"/>
      <c r="BR172" s="5"/>
      <c r="BS172" s="36"/>
      <c r="BT172" s="145"/>
      <c r="BU172" s="13"/>
      <c r="BV172" s="5"/>
      <c r="BW172" s="382" t="b">
        <f>AND(ISNUMBER(SnapshotTable[[#This Row],[SP Exp Date]]), ISNUMBER(SnapshotTable[[#This Row],[SP Strike Price]]), ISNUMBER(SnapshotTable[[#This Row],[SP Qty]]), ISNUMBER(SnapshotTable[[#This Row],[SP Book Date]]), ISNUMBER(SnapshotTable[[#This Row],[SP Book Price]]))</f>
        <v>0</v>
      </c>
      <c r="BX172" s="382" t="b">
        <f>AND(SnapshotTable[[#This Row],[SP Is Booked]], NOT(ISBLANK(SnapshotTable[[#This Row],[SP Fill Date]])))</f>
        <v>0</v>
      </c>
      <c r="BY172" s="33">
        <f>IF(SnapshotTable[[#This Row],[SP Is Booked]], SnapshotTable[[#This Row],[SP Qty]] * SnapshotTable[[#This Row],[SP Book Price]] * 100, 0)</f>
        <v>0</v>
      </c>
      <c r="BZ172" s="339"/>
      <c r="CA172" s="338">
        <f>SnapshotTable[[#This Row],[LP Qty]]</f>
        <v>0</v>
      </c>
      <c r="CB172" s="4" t="str">
        <f>IF(SnapshotTable[[#This Row],[SP Is Booked]], SnapshotTable[[#This Row],[SP Strike Price]] - SnapshotTable[[#This Row],[SP Book Price]], "")</f>
        <v/>
      </c>
      <c r="CC172" s="19" t="str">
        <f>IF(SnapshotTable[[#This Row],[SP Is Booked]],SnapshotTable[[#This Row],[SP Exp Date]]-MAX(SnapshotTable[[#This Row],[SP Book Date]], SnapshotTable[[#This Row],[SP Fill Date]]),"")</f>
        <v/>
      </c>
      <c r="CD172" s="7" t="str">
        <f>IF(SnapshotTable[[#This Row],[SP Is Booked]], SnapshotTable[[#This Row],[SP Book Price]]/SnapshotTable[[#This Row],[SP Strike Price]], "")</f>
        <v/>
      </c>
      <c r="CE172" s="7" t="str">
        <f>IF(ISNUMBER(SnapshotTable[[#This Row],[SP ROO Term]]),SnapshotTable[[#This Row],[SP ROO Term]]*(365/SnapshotTable[[#This Row],[SP Term]]),"")</f>
        <v/>
      </c>
      <c r="CF172" s="221">
        <f>SnapshotTable[[#This Row],[LP Strike Price]] * SnapshotTable[[#This Row],[LP Qty]] * 100</f>
        <v>0</v>
      </c>
      <c r="CG172" s="31">
        <f>IF(ISNUMBER(SnapshotTable[[#This Row],[SP Premium]]), (SnapshotTable[[#This Row],[SP Qty]] * SnapshotTable[[#This Row],[SP Strike Price]]* 100) - SnapshotTable[[#This Row],[LP Protection]], 0)</f>
        <v>0</v>
      </c>
      <c r="CH172" s="7" t="str">
        <f>IF(ISNUMBER(SnapshotTable[[#This Row],[SP Break Even]]),-1 * (SnapshotTable[[#This Row],[SP Break Even]] - SnapshotTable[[#This Row],[Last Price]]) / SnapshotTable[[#This Row],[Last Price]], "")</f>
        <v/>
      </c>
      <c r="CI172" s="31">
        <f>IF(AND(ISNUMBER((SnapshotTable[[#This Row],[SP Potential Spend]])), SnapshotTable[[#This Row],[SP Strike Price]] &gt; SnapshotTable[[#This Row],[Last Price]], SnapshotTable[[#This Row],[SP Is Filled]]), SnapshotTable[[#This Row],[SP Potential Spend]] -  SnapshotTable[[#This Row],[LP Max Value]], 0)</f>
        <v>0</v>
      </c>
      <c r="CJ172" s="229"/>
      <c r="CK172" s="31">
        <f>IF(ISNUMBER(SnapshotTable[[#This Row],[SP Potential Spend]]),IF(ISNUMBER(SnapshotTable[[#This Row],[SP POW]]), SnapshotTable[[#This Row],[SP POW]] * SnapshotTable[[#This Row],[SP Potential Spend]], SnapshotTable[[#This Row],[SP Potential Spend]]), "")</f>
        <v>0</v>
      </c>
      <c r="CL172" s="162">
        <f>IF(NOT(SnapshotTable[[#This Row],[SP Is Filled]]),(SnapshotTable[[#This Row],[SP Qty]] * SnapshotTable[[#This Row],[SP Strike Price]] * 100) - SnapshotTable[[#This Row],[LP Max Value]],"")</f>
        <v>0</v>
      </c>
      <c r="CM172" s="31" t="str">
        <f>IF(SnapshotTable[[#This Row],[SP Actual Spend]]&lt;&gt;0, ((SnapshotTable[[#This Row],[SP Strike Price]]-SnapshotTable[[#This Row],[Last Price]]) *(SnapshotTable[[#This Row],[SP Qty]]*100) - SnapshotTable[[#This Row],[SP Premium]]) * - 1, "")</f>
        <v/>
      </c>
      <c r="CN172" s="76"/>
      <c r="CO172" s="339"/>
      <c r="CP172" s="4" t="str">
        <f>IF(SnapshotTable[[#This Row],[SP Is Filled]], btc_max_buyback_amount(SnapshotTable[[#This Row],[SP Fill Date]],SnapshotTable[[#This Row],[SP Exp Date]], SnapshotTable[[#This Row],[SP Book Price]]),"")</f>
        <v/>
      </c>
      <c r="CQ172" s="76"/>
      <c r="CR17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2" s="153" t="str">
        <f>IF(SnapshotTable[[#This Row],[SP Is Filled]], btc_next_cutoff_date(SnapshotTable[[#This Row],[SP Fill Date]],SnapshotTable[[#This Row],[SP Exp Date]]),"")</f>
        <v/>
      </c>
      <c r="CT172" s="220" t="str" cm="1">
        <f t="array" ref="CT172">IF(SnapshotTable[[#This Row],[SP Is Filled]], btc_should_buy_back(SnapshotTable[[#This Row],[SP Fill Date]], SnapshotTable[[#This Row],[SP Exp Date]], SnapshotTable[[#This Row],[SP Book Price]], SnapshotTable[[#This Row],[SP Current Ask]], MockToday, SnapshotTable[[#This Row],[SP Buyback Override]]),"")</f>
        <v/>
      </c>
      <c r="CU172" s="141"/>
      <c r="CV172" s="220"/>
      <c r="CW172" s="348" t="str">
        <f>IF(ISNUMBER( SnapshotTable[[#This Row],[SP Term]]), SnapshotTable[[#This Row],[SP Exp Date]] - MockToday,"")</f>
        <v/>
      </c>
      <c r="CX172" s="31" t="str">
        <f>IF(SnapshotTable[[#This Row],[SP Is Filled]],SnapshotTable[[#This Row],[SP Buyback Price to Use]] * 100 * SnapshotTable[[#This Row],[SP Qty]], "")</f>
        <v/>
      </c>
      <c r="CY172" s="4" t="str">
        <f>IF(ISNUMBER(SnapshotTable[[#This Row],[SP Strike Price]]), SnapshotTable[[#This Row],[SP Strike Price]] * (1 - SP_MaxLoss_StrikePct), "")</f>
        <v/>
      </c>
      <c r="CZ172" s="31" t="str">
        <f>IF(ISNUMBER(SnapshotTable[[#This Row],[SP Strike  Stop Per Share]]),SnapshotTable[[#This Row],[SP Premium]] - ((SnapshotTable[[#This Row],[SP Strike Price]]-SnapshotTable[[#This Row],[SP Strike  Stop Per Share]]) *(SnapshotTable[[#This Row],[SP Qty]] * 100)),"")</f>
        <v/>
      </c>
      <c r="DA172" s="4" t="str">
        <f>IF(AND(ISNUMBER(SnapshotTable[[#This Row],[SP Premium]]),SnapshotTable[[#This Row],[SP Premium]]&gt;0), SnapshotTable[[#This Row],[SP Book Price]] * (1 + SP_MaxLoss_OptionPct), "")</f>
        <v/>
      </c>
      <c r="DB172" s="31" t="str">
        <f>IF(ISNUMBER(SnapshotTable[[#This Row],[SP Option  Stop Contract]]),(SnapshotTable[[#This Row],[SP Option  Stop Contract]] *(SnapshotTable[[#This Row],[SP Qty]] * 100) - SnapshotTable[[#This Row],[SP Premium]]),"")</f>
        <v/>
      </c>
      <c r="DC172" s="4"/>
      <c r="DD172" s="4"/>
      <c r="DE172" s="4" t="str">
        <f>IF(AND(SnapshotTable[[#This Row],[SP Qty]]&gt;0, SnapshotTable[[#This Row],[SP Stop To Use]]&gt;0),SnapshotTable[[#This Row],[SP Premium]] - ( SnapshotTable[[#This Row],[SP Qty]] * SnapshotTable[[#This Row],[SP Stop To Use]] * 100), "")</f>
        <v/>
      </c>
      <c r="DF172" s="31" t="str">
        <f>IF(AND(SnapshotTable[[#This Row],[SP Qty]]&gt;0,SnapshotTable[[#This Row],[SP Current Ask]]&gt;0), SnapshotTable[[#This Row],[SP Qty]] * SnapshotTable[[#This Row],[SP Current Ask]] * -100, "")</f>
        <v/>
      </c>
      <c r="DG172" s="31" t="str">
        <f>IF(ISNUMBER((SnapshotTable[[#This Row],[SP Total Value]])), SnapshotTable[[#This Row],[SP Premium]] + SnapshotTable[[#This Row],[SP Total Value]], "")</f>
        <v/>
      </c>
      <c r="DH172" s="272" t="str">
        <f>IF(ISNUMBER((SnapshotTable[[#This Row],[SP Total Value]])), SnapshotTable[[#This Row],[SP Gain Loss]] / SnapshotTable[[#This Row],[SP Premium]], "")</f>
        <v/>
      </c>
      <c r="DI172" s="369"/>
      <c r="DJ172" s="136"/>
      <c r="DK172" s="146"/>
      <c r="DL172" s="13"/>
      <c r="DM172" s="13"/>
      <c r="DO172" s="31">
        <f>IF(SnapshotTable[[#This Row],[LC Symbol Count]]=1, SnapshotTable[[#This Row],[LC Qty]] * SnapshotTable[[#This Row],[LC Book Price]] * 100, 0)</f>
        <v>0</v>
      </c>
      <c r="DP172" s="161" t="str">
        <f>IF(AND(SnapshotTable[[#This Row],[LC Exp Date]]&gt;0, SnapshotTable[[#This Row],[LC Strike Price]]&gt;0,SnapshotTable[[#This Row],[LC Qty]]&gt;0,SnapshotTable[[#This Row],[LC Book Date]]&gt;0,SnapshotTable[[#This Row],[LC Book Price]]&gt;0,SnapshotTable[[#This Row],[LC Fill Date]]=0),"Y","")</f>
        <v/>
      </c>
      <c r="DQ172" s="356" t="str">
        <f>IF(SnapshotTable[[#This Row],[LC Premium]] &gt; 0,SnapshotTable[[#This Row],[LC Exp Date]]-MAX(SnapshotTable[[#This Row],[LC Book Date]], SnapshotTable[[#This Row],[LC Fill Date]]),"")</f>
        <v/>
      </c>
      <c r="DR172" s="356" t="str">
        <f>IF(ISNUMBER(SnapshotTable[[#This Row],[LC Term]]), SnapshotTable[[#This Row],[LC Exp Date]] - MockToday, "")</f>
        <v/>
      </c>
      <c r="DS172" s="219" t="str">
        <f>IF(SnapshotTable[[#This Row],[LC Premium]]&gt;0,SnapshotTable[[#This Row],[LC Strike Price]] + SnapshotTable[[#This Row],[LC Book Price]],"")</f>
        <v/>
      </c>
      <c r="DU172" s="9" t="str">
        <f>IF(AND(SnapshotTable[[#This Row],[LC Symbol Count]]&gt;0, SnapshotTable[[#This Row],[LC Contract Value]]&gt;0), SnapshotTable[[#This Row],[LC Contract Value]] * SnapshotTable[[#This Row],[LC Qty]] * 100, "")</f>
        <v/>
      </c>
      <c r="DV172" s="9" t="str">
        <f>IF(AND(ISNUMBER(SnapshotTable[[#This Row],[LC Total Value]]), SnapshotTable[[#This Row],[LC Not Filled]]&lt;&gt;"Y"), SnapshotTable[[#This Row],[LC Total Value]]-SnapshotTable[[#This Row],[LC Premium]],"")</f>
        <v/>
      </c>
      <c r="DW172" s="225" t="str">
        <f>IF(ISNUMBER(SnapshotTable[[#This Row],[LC Actual Gain Loss]]), SnapshotTable[[#This Row],[LC Actual Gain Loss]] / SnapshotTable[[#This Row],[LC Premium]],"")</f>
        <v/>
      </c>
      <c r="DX172" s="269" t="str">
        <f>IF(ISNUMBER(SnapshotTable[[#This Row],[LC Book Price]]),SnapshotTable[[#This Row],[LC Book Price]] * 1.5,"")</f>
        <v/>
      </c>
      <c r="DY172" s="250" t="str">
        <f>IF(SnapshotTable[[#This Row],[LC Premium]]&gt;0, SnapshotTable[[#This Row],[LC Next Target]] * SnapshotTable[[#This Row],[LC Qty]] * 100,"")</f>
        <v/>
      </c>
      <c r="DZ172" s="250" t="str">
        <f>IF(ISNUMBER(SnapshotTable[[#This Row],[LC Target Gross]]), SnapshotTable[[#This Row],[LC Target Gross]] - SnapshotTable[[#This Row],[LC Premium]], "")</f>
        <v/>
      </c>
      <c r="EA172" s="283" t="str">
        <f>IF(ISNUMBER(SnapshotTable[[#This Row],[LC Target Gain Loss]]), SnapshotTable[[#This Row],[LC Target Gain Loss]]/SnapshotTable[[#This Row],[LC Premium]], "")</f>
        <v/>
      </c>
      <c r="EB172" s="247"/>
      <c r="EC172" s="268" t="str">
        <f>IF(SnapshotTable[[#This Row],[LC Premium]]&gt;0, SnapshotTable[[#This Row],[LC Book Price]] * (1 - LC_StopLoss_Pct),"")</f>
        <v/>
      </c>
      <c r="ED172" s="269"/>
      <c r="EE172" s="268" t="str">
        <f>IF(ISNUMBER(SnapshotTable[[#This Row],[LC Contract Value]]),IF(ISNUMBER(SnapshotTable[[#This Row],[LC Stop Loss Override]]), SnapshotTable[[#This Row],[LC Stop Loss Override]],SnapshotTable[[#This Row],[LC Stop Loss Calc Target]]),"")</f>
        <v/>
      </c>
      <c r="EF172" s="31" t="str">
        <f>IF(ISNUMBER(SnapshotTable[[#This Row],[LC Stop  To Use]]), (SnapshotTable[[#This Row],[LC Stop  To Use]] * SnapshotTable[[#This Row],[LC Qty]] * 100),"")</f>
        <v/>
      </c>
      <c r="EG172" s="9" t="str">
        <f>IF(ISNUMBER(SnapshotTable[[#This Row],[LC Total Value]]),SnapshotTable[[#This Row],[LC Stop Loss Amount]] - SnapshotTable[[#This Row],[LC Premium]],"")</f>
        <v/>
      </c>
      <c r="EH172" s="9">
        <f>IF(ISNUMBER(SnapshotTable[[#This Row],[LC Premium]]), SnapshotTable[[#This Row],[LC Qty]] * 100 * SnapshotTable[[#This Row],[LC Strike Price]], "")</f>
        <v>0</v>
      </c>
      <c r="EI172" s="225" t="str">
        <f>IF(AND(ISNUMBER(SnapshotTable[[#This Row],[LC Total Value]]),SnapshotTable[[#This Row],[LC Total Value]]&gt;0),SnapshotTable[[#This Row],[LC Stop Gain Loss]]  / SnapshotTable[[#This Row],[LC Premium]],"")</f>
        <v/>
      </c>
      <c r="EJ172" s="35">
        <f>IF(ISNUMBER(SnapshotTable[[#This Row],[Equity Shares]]),TRUNC(SnapshotTable[[#This Row],[Equity Shares]] / 100),0) + SnapshotTable[[#This Row],[LC Qty]]</f>
        <v>0</v>
      </c>
      <c r="EK172" s="145"/>
      <c r="EL172" s="136"/>
      <c r="EM172" s="146"/>
      <c r="EN172" s="145"/>
      <c r="EO172" s="145"/>
      <c r="EP172" s="136"/>
      <c r="EQ172" s="382" t="b">
        <f>AND(ISNUMBER(SnapshotTable[[#This Row],[SC Exp Date]]), ISNUMBER(SnapshotTable[[#This Row],[SC Strike Price]]), ISNUMBER(SnapshotTable[[#This Row],[SC Qty]]), ISNUMBER(SnapshotTable[[#This Row],[SC Book Date]]), ISNUMBER(SnapshotTable[[#This Row],[SC Book Price]]))</f>
        <v>0</v>
      </c>
      <c r="ER172" s="382" t="b">
        <f>AND(SnapshotTable[[#This Row],[SC Is Booked]], NOT(ISBLANK(SnapshotTable[[#This Row],[SC Fill Date]])))</f>
        <v>0</v>
      </c>
      <c r="ES172" s="340"/>
      <c r="ET172" s="34" t="str">
        <f>IF(AND(ISNUMBER(SnapshotTable[[#This Row],[SC Exp Date]]), ISNUMBER(SnapshotTable[[#This Row],[SC Book Date]])), SnapshotTable[[#This Row],[SC Exp Date]] - MAX(SnapshotTable[[#This Row],[SC Book Date]], SnapshotTable[[#This Row],[SC Fill Date]]) + 1, "")</f>
        <v/>
      </c>
      <c r="EU172" s="34" t="str">
        <f>IF(ISNUMBER(SnapshotTable[[#This Row],[SC Term]]), SnapshotTable[[#This Row],[SC Exp Date]]- MockToday, "")</f>
        <v/>
      </c>
      <c r="EV172" s="31">
        <f>IF(SnapshotTable[[#This Row],[SC Is Booked]], SnapshotTable[[#This Row],[SC Qty]] * SnapshotTable[[#This Row],[SC Book Price]] * 100, 0)</f>
        <v>0</v>
      </c>
      <c r="EW172" s="4" t="str">
        <f>IF(AND(ISNUMBER(SnapshotTable[[#This Row],[Last Price]]), ISNUMBER( SnapshotTable[[#This Row],[SC Book Price]])), SnapshotTable[[#This Row],[Last Price]] - SnapshotTable[[#This Row],[SC Book Price]],"")</f>
        <v/>
      </c>
      <c r="EX172" s="219" t="str">
        <f>IF(SnapshotTable[[#This Row],[SC Is Booked]],IF(SnapshotTable[[#This Row],[SC Intrinsic Value]] &gt; 0, SnapshotTable[[#This Row],[SC Strike Price]], SnapshotTable[[#This Row],[Last Price]]), "")</f>
        <v/>
      </c>
      <c r="EY172" s="4">
        <f>IF(SnapshotTable[[#This Row],[SC Is Booked]], (MinimumPremiumRequired * SnapshotTable[[#This Row],[SC Basis]] * SnapshotTable[[#This Row],[SC Term]]), 0)</f>
        <v>0</v>
      </c>
      <c r="EZ172" s="268"/>
      <c r="FA172" s="204"/>
      <c r="FB172" s="340"/>
      <c r="FC172" s="4">
        <f>IF(SnapshotTable[[#This Row],[SC Is Filled]], btc_max_buyback_amount(SnapshotTable[[#This Row],[SC Fill Date]],SnapshotTable[[#This Row],[SC Exp Date]], SnapshotTable[[#This Row],[SC Book Price]]),0)</f>
        <v>0</v>
      </c>
      <c r="FD172" s="5"/>
      <c r="FE172" s="142" t="str">
        <f>IF(SnapshotTable[[#This Row],[SC Is Filled]], btc_next_cutoff_date(SnapshotTable[[#This Row],[SC Fill Date]],SnapshotTable[[#This Row],[SC Exp Date]]),"")</f>
        <v/>
      </c>
      <c r="FF172" s="4" t="str" cm="1">
        <f t="array" ref="FF172">IF(SnapshotTable[[#This Row],[SC Is Filled]], btc_should_buy_back(SnapshotTable[[#This Row],[SC Fill Date]], SnapshotTable[[#This Row],[SC Exp Date]], SnapshotTable[[#This Row],[SC Book Price]], SnapshotTable[[#This Row],[SC Current Ask]], MockToday, SnapshotTable[[#This Row],[SC Buyback Override]]),"")</f>
        <v/>
      </c>
      <c r="FG172" s="4">
        <f>IF(SnapshotTable[[#This Row],[SC Is Filled]], MAX(0,SnapshotTable[[#This Row],[Last Price]]  - SnapshotTable[[#This Row],[SC Strike Price]]), 0)</f>
        <v>0</v>
      </c>
      <c r="FH172" s="352">
        <f>IF(SnapshotTable[[#This Row],[SC Is Filled]], IF(ISNUMBER(SnapshotTable[[#This Row],[SC Current Ask]]), SnapshotTable[[#This Row],[SC Current Ask]], SnapshotTable[[#This Row],[SC Book Price]]) - SnapshotTable[[#This Row],[SC Intrinsic Value]], 0)</f>
        <v>0</v>
      </c>
      <c r="FI172" s="141"/>
      <c r="FJ172" s="32" t="str">
        <f>IF(SnapshotTable[[#This Row],[SC Is Filled]],100 * SnapshotTable[[#This Row],[SC Qty]] * IF(ISNUMBER(SnapshotTable[[#This Row],[SC Buyback Override]]), SnapshotTable[[#This Row],[SC Buyback Override]], SnapshotTable[[#This Row],[SC Current Ask]]), "")</f>
        <v/>
      </c>
      <c r="FK172" s="235" t="str">
        <f>IF(SnapshotTable[[#This Row],[SC Time Val]]&gt;0, SnapshotTable[[#This Row],[SC Time Val]] / SnapshotTable[[#This Row],[Last Price]],"")</f>
        <v/>
      </c>
      <c r="FL172" s="280" t="str">
        <f>IF(SnapshotTable[[#This Row],[SC Is Booked]], ((SnapshotTable[[#This Row],[Last Price]] -SnapshotTable[[#This Row],[SC Strike Price]]) / SnapshotTable[[#This Row],[Last Price]]) * -1, "")</f>
        <v/>
      </c>
      <c r="FM172" s="155" t="str">
        <f>IF(SnapshotTable[[#This Row],[SC Is Booked]],  (SnapshotTable[[#This Row],[SC Qty]] * 100 * SnapshotTable[[#This Row],[SC Strike Price]]) - SnapshotTable[[#This Row],[SC Current Ask]], "")</f>
        <v/>
      </c>
      <c r="FN17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2" s="31" t="str">
        <f>IF(AND(ISNUMBER(SnapshotTable[[#This Row],[SC Exercise Gross]]), ISNUMBER(SnapshotTable[[#This Row],[Equity Basis Per Share]] )), SnapshotTable[[#This Row],[SC Exercise Gross]] - SnapshotTable[[#This Row],[Equity Basis Total]] +  SnapshotTable[[#This Row],[SC Premium]], "")</f>
        <v/>
      </c>
      <c r="FP172" s="5" t="str">
        <f>IF(ISNUMBER(SnapshotTable[[#This Row],[SC Exercise Gross]]), (SnapshotTable[[#This Row],[SC Exercise Gross]]) / (SnapshotTable[[#This Row],[SC Qty]] * 100), "")</f>
        <v/>
      </c>
      <c r="FQ172" s="27" t="str">
        <f>IF(SnapshotTable[[#This Row],[SC Is Booked]],SnapshotTable[[#This Row],[SC Time Val]] /SnapshotTable[[#This Row],[SC Basis]], "")</f>
        <v/>
      </c>
      <c r="FR172" s="27" t="str" cm="1">
        <f t="array" ref="FR172">IF(AND(ISNUMBER(SnapshotTable[[#This Row],[SC Term]]),ISNUMBER(SnapshotTable[[#This Row],[SC Simple ROO]])), EllmanAnnualize(SnapshotTable[[#This Row],[SC DTE]], SnapshotTable[[#This Row],[SC Simple ROO]] ),"")</f>
        <v/>
      </c>
      <c r="FS172" s="4">
        <f>IF(SnapshotTable[[#This Row],[SC Strike Price]] &gt; SnapshotTable[[#This Row],[Last Price]], SnapshotTable[[#This Row],[SC Strike Price]] - SnapshotTable[[#This Row],[Last Price]],0)</f>
        <v>0</v>
      </c>
      <c r="FT172" s="27" t="str">
        <f>IF(AND(ISNUMBER(SnapshotTable[[#This Row],[SC Upside Potential]]), SnapshotTable[[#This Row],[SC Upside Potential]] &gt; 0),(SnapshotTable[[#This Row],[SC Upside Potential]]/ SnapshotTable[[#This Row],[ACB]]),"")</f>
        <v/>
      </c>
      <c r="FU172" s="304" t="str">
        <f>IF(SnapshotTable[[#This Row],[SC Intrinsic Value]] &gt; 0,SnapshotTable[[#This Row],[SC Intrinsic Value]],"")</f>
        <v/>
      </c>
      <c r="FV172" s="27" t="str">
        <f>IF(AND( ISNUMBER( SnapshotTable[[#This Row],[ACB]]),ISNUMBER(SnapshotTable[[#This Row],[SC Downside Protect]])),SnapshotTable[[#This Row],[SC Downside Protect]] / SnapshotTable[[#This Row],[ACB]],"")</f>
        <v/>
      </c>
      <c r="FW172" s="221" t="str">
        <f>IF(AND(ISNUMBER(SnapshotTable[[#This Row],[SC Simple ROO]]),SnapshotTable[[#This Row],[SC Simple ROO]] &gt; 0), SnapshotTable[[#This Row],[SC Premium]] + (SnapshotTable[[#This Row],[SC Qty]] * SnapshotTable[[#This Row],[SC Upside Potential]]), "")</f>
        <v/>
      </c>
      <c r="FX172" s="280" t="str" cm="1">
        <f t="array" ref="FX172">IF(ISNUMBER(SnapshotTable[[#This Row],[SC Max Dollars]]), annualize(SnapshotTable[[#This Row],[SC Term]],(SnapshotTable[[#This Row],[SC Max Dollars]]/SnapshotTable[[#This Row],[SC Basis]])),"")</f>
        <v/>
      </c>
      <c r="FY172" s="221" t="str">
        <f>IF(AND(SnapshotTable[[#This Row],[SC Qty]]&gt;0,SnapshotTable[[#This Row],[SC Current Ask]]&gt;0), SnapshotTable[[#This Row],[SC Qty]] * SnapshotTable[[#This Row],[SC Current Ask]] * -100, "")</f>
        <v/>
      </c>
      <c r="FZ172" s="31" t="str">
        <f>IF(ISNUMBER((SnapshotTable[[#This Row],[SC Current Value]])), SnapshotTable[[#This Row],[SC Premium]] + SnapshotTable[[#This Row],[SC Current Value]], "")</f>
        <v/>
      </c>
      <c r="GA172" s="272" t="str">
        <f>IFERROR( IF(ISNUMBER((SnapshotTable[[#This Row],[SC Current Value]])), SnapshotTable[[#This Row],[SC Gain Loss]] / SnapshotTable[[#This Row],[SC Premium]], ""), "")</f>
        <v/>
      </c>
      <c r="GB172" s="42">
        <f>SnapshotTable[[#This Row],[Equity Shares]] * SaleSharesToConsiderPercentage</f>
        <v>0</v>
      </c>
      <c r="GC172" s="40">
        <f>SnapshotTable[[#This Row],[Long Term Target]] * SellingPriceToConsiderBasedOnTargetPercentage</f>
        <v>31.844000000000001</v>
      </c>
      <c r="GD172" s="40">
        <f>SnapshotTable[[#This Row],[Last Price]] * (1+ SellingPriceToConsiderBasedOnTargetPercentage)</f>
        <v>79.793999999999997</v>
      </c>
      <c r="GE172" s="41"/>
      <c r="GF172" s="40"/>
      <c r="GG172" s="31">
        <f>SnapshotTable[[#This Row],[Booked Sale Shares]] * SnapshotTable[[#This Row],[Booked Sale Price]]</f>
        <v>0</v>
      </c>
      <c r="GH172" s="31" t="str">
        <f>IF(SnapshotTable[[#This Row],[Equity Basis Total]] &gt; 0, SnapshotTable[[#This Row],[Equity Basis Per Share]] * SnapshotTable[[#This Row],[Booked Sale Shares]], "")</f>
        <v/>
      </c>
      <c r="GI172" s="31">
        <f>IF(SnapshotTable[[#This Row],[Sale Proceeds]]&gt;0, SnapshotTable[[#This Row],[Sale Proceeds]] - SnapshotTable[[#This Row],[Sale Basis]], 0)</f>
        <v>0</v>
      </c>
      <c r="GJ172" s="27" t="str">
        <f>IF(SnapshotTable[[#This Row],[Sale G/L]]&gt;0, SnapshotTable[[#This Row],[Sale G/L]] / SnapshotTable[[#This Row],[Sale Basis]], IF(ISNUMBER(SnapshotTable[[#This Row],[SC Exercise P&amp;L (TAX)]]), SnapshotTable[[#This Row],[SC Exercise P&amp;L (TAX)]] / SnapshotTable[[#This Row],[SC Basis]], ""))</f>
        <v/>
      </c>
      <c r="GK172" s="27" t="s">
        <v>586</v>
      </c>
      <c r="GL172" s="43" t="str">
        <f>IF(AND(SnapshotTable[[#This Row],[LP Exp Date]]&gt;0,SnapshotTable[[#This Row],[LP Strike Price]]&gt;0), [1]!ToOptionSymbol(SnapshotTable[[#This Row],[Symbol]], SnapshotTable[[#This Row],[LP Strike Price]],SnapshotTable[[#This Row],[LP Exp Date]],1), "")</f>
        <v/>
      </c>
      <c r="GM172" s="30" t="str">
        <f>IF(LEN(SnapshotTable[[#This Row],[LP Symbol]])&gt;0, 1, "")</f>
        <v/>
      </c>
      <c r="GN172" s="43" t="str">
        <f>IF(AND(SnapshotTable[[#This Row],[SP Exp Date]]&gt;0,SnapshotTable[[#This Row],[SP Strike Price]]&gt;0), [1]!ToOptionSymbol(SnapshotTable[[#This Row],[Symbol]], SnapshotTable[[#This Row],[SP Strike Price]],SnapshotTable[[#This Row],[SP Exp Date]],1), "")</f>
        <v/>
      </c>
      <c r="GO172" s="30" t="str">
        <f>IF(LEN(SnapshotTable[[#This Row],[SP Symbol]])&gt;0, 1, "")</f>
        <v/>
      </c>
      <c r="GP172" s="43" t="str">
        <f>IF(AND(SnapshotTable[[#This Row],[LC Exp Date]]&gt;0,SnapshotTable[[#This Row],[LC Strike Price]]&gt;0), [1]!ToOptionSymbol(SnapshotTable[[#This Row],[Symbol]], SnapshotTable[[#This Row],[LC Strike Price]],SnapshotTable[[#This Row],[LC Exp Date]],0), "")</f>
        <v/>
      </c>
      <c r="GQ172" s="30" t="str">
        <f>IF(LEN(SnapshotTable[[#This Row],[LC Symbol]])&gt;0, 1, "")</f>
        <v/>
      </c>
      <c r="GR172" s="43" t="str">
        <f>IF(AND(SnapshotTable[[#This Row],[SC Exp Date]]&gt;0,SnapshotTable[[#This Row],[SC Strike Price]]&gt;0), [1]!ToOptionSymbol(SnapshotTable[[#This Row],[Symbol]], SnapshotTable[[#This Row],[SC Strike Price]],SnapshotTable[[#This Row],[SC Exp Date]],0), "")</f>
        <v/>
      </c>
      <c r="GS172" s="30" t="str">
        <f>IF(LEN(SnapshotTable[[#This Row],[SC Symbol]])&gt;0, 1, "")</f>
        <v/>
      </c>
      <c r="GT172" s="29" t="str">
        <f>IF(COUNT(SnapshotTable[[#This Row],[LP Symbol Count]],SnapshotTable[[#This Row],[SP Symbol Count]],SnapshotTable[[#This Row],[LC Symbol Count]],SnapshotTable[[#This Row],[SC Symbol Count]])&gt;0, "Y", "")</f>
        <v/>
      </c>
      <c r="GU17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2" s="216">
        <f>MAX(SnapshotTable[[#This Row],[Equity Basis Total]],SnapshotTable[[#This Row],[Equity Value]]) + (SnapshotTable[[#This Row],[SP Potential Spend]]- SnapshotTable[[#This Row],[SP Premium]] + SnapshotTable[[#This Row],[LP Premium]])+ (SnapshotTable[[#This Row],[LC Premium]] - SnapshotTable[[#This Row],[SC Premium]])</f>
        <v>0</v>
      </c>
      <c r="GW172" s="137" t="str">
        <f>IF(AND(SnapshotTable[[#This Row],[Exposure]] &lt;&gt; 0),SnapshotTable[[#This Row],[Exposure]] / SnapshotTable[[#Totals],[Exposure]], "")</f>
        <v/>
      </c>
      <c r="HE172" s="253"/>
      <c r="HF172" s="253"/>
      <c r="HK172" s="1"/>
      <c r="HL172" s="1"/>
      <c r="HM172" s="1"/>
      <c r="HN172" s="1"/>
      <c r="HO172" s="1"/>
      <c r="HP172" s="1"/>
    </row>
    <row r="173" spans="2:224" ht="12.75" hidden="1" customHeight="1" x14ac:dyDescent="0.25">
      <c r="B173" s="12" t="s">
        <v>55</v>
      </c>
      <c r="C173" s="385">
        <v>127</v>
      </c>
      <c r="D173" s="200"/>
      <c r="E173" s="39">
        <f>SnapshotTable[[#This Row],[Last Price]]*(1 -CrashDiscount)</f>
        <v>107.95</v>
      </c>
      <c r="F173" s="26" t="s">
        <v>54</v>
      </c>
      <c r="G173" s="26" t="s">
        <v>7</v>
      </c>
      <c r="H173" s="147"/>
      <c r="I173" s="186">
        <v>44776.666666666664</v>
      </c>
      <c r="J173" s="187">
        <v>44776.666666666664</v>
      </c>
      <c r="K173" s="188"/>
      <c r="L173" s="297"/>
      <c r="M173" s="138"/>
      <c r="N173" s="138"/>
      <c r="O173" s="138"/>
      <c r="P173" s="22"/>
      <c r="Q173" s="25"/>
      <c r="R173" s="4" t="str">
        <f>IF(SnapshotTable[[#This Row],[Equity Basis Total]] &gt; 0, SnapshotTable[[#This Row],[Equity Basis Total]] / SnapshotTable[[#This Row],[Equity Shares]], "")</f>
        <v/>
      </c>
      <c r="S173" s="254">
        <f>SnapshotTable[[#This Row],[Last Price]] * SnapshotTable[[#This Row],[Equity Shares]]</f>
        <v>0</v>
      </c>
      <c r="T173" s="254">
        <f>SnapshotTable[[#This Row],[Equity Value]] - SnapshotTable[[#This Row],[Equity Basis Total]]</f>
        <v>0</v>
      </c>
      <c r="U173" s="255" t="str">
        <f>IF(SnapshotTable[[#This Row],[Equity Basis Total]] &gt; 0, SnapshotTable[[#This Row],[Equity G/L]] / SnapshotTable[[#This Row],[Equity Basis Total]], "")</f>
        <v/>
      </c>
      <c r="V173" s="253"/>
      <c r="W173" s="253"/>
      <c r="X173" s="4" t="str">
        <f>IF(AND(ISNUMBER(SnapshotTable[[#This Row],[Equity Basis Per Share]]),ISNUMBER(SnapshotTable[[#This Row],[Equity Target]])),SnapshotTable[[#This Row],[Equity Target]]-SnapshotTable[[#This Row],[Equity Basis Per Share]],"")</f>
        <v/>
      </c>
      <c r="Y173" s="4" t="str">
        <f>IF(AND(ISNUMBER(SnapshotTable[[#This Row],[Equity Basis Per Share]]),ISNUMBER(SnapshotTable[[#This Row],[Equity Stop Loss]])),SnapshotTable[[#This Row],[Equity Stop Loss]]-SnapshotTable[[#This Row],[Equity Basis Per Share]],"")</f>
        <v/>
      </c>
      <c r="Z173" s="260" t="str">
        <f>IFERROR( TEXT(SnapshotTable[[#This Row],[Equity Max Gain Per Share]] /ABS( SnapshotTable[[#This Row],[Equity Max Loss Per Share]]),"0.0 " ) &amp; " : 1", "")</f>
        <v/>
      </c>
      <c r="AA173" s="31" t="str">
        <f>IF(ISNUMBER(SnapshotTable[[#This Row],[Equity Max Gain Per Share]]),SnapshotTable[[#This Row],[Equity Max Gain Per Share]] * SnapshotTable[[#This Row],[Equity Shares]],"")</f>
        <v/>
      </c>
      <c r="AB173" s="31" t="str">
        <f>IF(ISNUMBER(SnapshotTable[[#This Row],[Equity Max Loss Per Share]]),SnapshotTable[[#This Row],[Equity Max Loss Per Share]] * SnapshotTable[[#This Row],[Equity Shares]],"")</f>
        <v/>
      </c>
      <c r="AC173" s="148"/>
      <c r="AD173" s="149"/>
      <c r="AE173" s="31">
        <f>(SnapshotTable[[#This Row],[Annual Dividend Per Share]] / 4) * SnapshotTable[[#This Row],[Equity Shares]]</f>
        <v>0</v>
      </c>
      <c r="AF173" s="31">
        <f>SnapshotTable[[#This Row],[Quarterly Div $]] * 4</f>
        <v>0</v>
      </c>
      <c r="AG173" s="7">
        <f>IF(SnapshotTable[[#This Row],[Annual Dividend Per Share]]&gt;0, SnapshotTable[[#This Row],[Annual Dividend Per Share]]  / SnapshotTable[[#This Row],[Last Price]], 0)</f>
        <v>0</v>
      </c>
      <c r="AH173" s="149"/>
      <c r="AI173" s="5"/>
      <c r="AJ173" s="136">
        <v>13.6</v>
      </c>
      <c r="AK173" s="150" t="str">
        <f>IF(ISNUMBER( SnapshotTable[[#This Row],[EBF Target]]),(SnapshotTable[[#This Row],[EBF Target]] - SnapshotTable[[#This Row],[Last Price]]) / SnapshotTable[[#This Row],[Last Price]], "")</f>
        <v/>
      </c>
      <c r="AL173" s="150" t="str">
        <f>IF(AND(SnapshotTable[[#This Row],[Equity Basis Total]] &gt; 0,ISNUMBER( SnapshotTable[[#This Row],[Long Term Target]])), SnapshotTable[[#This Row],[From Basis $]] / SnapshotTable[[#This Row],[Equity Basis Total]], "")</f>
        <v/>
      </c>
      <c r="AM173" s="9">
        <f>IF( AND(SnapshotTable[[#This Row],[Equity Shares]] &gt;0,ISNUMBER( SnapshotTable[[#This Row],[Long Term Target]])),(SnapshotTable[[#This Row],[Equity Shares]] * SnapshotTable[[#This Row],[Long Term Target]]) - SnapshotTable[[#This Row],[Equity Basis Total]],0)</f>
        <v>0</v>
      </c>
      <c r="AN173" s="9">
        <f>IF( AND(SnapshotTable[[#This Row],[Equity Shares]] &gt;0,ISNUMBER( SnapshotTable[[#This Row],[Long Term Target]])),(SnapshotTable[[#This Row],[Equity Shares]]*SnapshotTable[[#This Row],[Long Term Target]]) - SnapshotTable[[#This Row],[Equity Value]],0)</f>
        <v>0</v>
      </c>
      <c r="AO173" s="150">
        <f>IF(AND(ISNUMBER( SnapshotTable[[#This Row],[Long Term Target]]), ISNUMBER(SnapshotTable[[#This Row],[Last Price]])),(SnapshotTable[[#This Row],[Long Term Target]] - SnapshotTable[[#This Row],[Last Price]]) / SnapshotTable[[#This Row],[Last Price]], "")</f>
        <v>-0.89291338582677171</v>
      </c>
      <c r="AP173" s="5"/>
      <c r="AQ173" s="38"/>
      <c r="AR173" s="5"/>
      <c r="AS173" s="38"/>
      <c r="AT173" s="144"/>
      <c r="AU173" s="185" t="str">
        <f>IF(OR(SnapshotTable[[#This Row],[LP No Fill]]="Y",SnapshotTable[[#This Row],[SP Is Filled]],SnapshotTable[[#This Row],[LC Not Filled]]="Y",SnapshotTable[[#This Row],[SC Is Filled]]),"Y","")</f>
        <v/>
      </c>
      <c r="AV173" s="205"/>
      <c r="AW173" s="211"/>
      <c r="AX173" s="206"/>
      <c r="AY173" s="205" t="str">
        <f>IF(SnapshotTable[[#This Row],[Implied Move]]&gt;0, SnapshotTable[[#This Row],[Last Price]]-SnapshotTable[[#This Row],[Implied Move]],"")</f>
        <v/>
      </c>
      <c r="AZ173" s="205" t="str">
        <f>IF(SnapshotTable[[#This Row],[Implied Move]]&gt;0, SnapshotTable[[#This Row],[Last Price]] + SnapshotTable[[#This Row],[Implied Move]],"")</f>
        <v/>
      </c>
      <c r="BA173" s="302">
        <v>12.7</v>
      </c>
      <c r="BB173" s="318"/>
      <c r="BC17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3" s="321"/>
      <c r="BE173" s="5"/>
      <c r="BF173" s="14"/>
      <c r="BG173" s="13"/>
      <c r="BH173" s="13"/>
      <c r="BI173" s="5"/>
      <c r="BJ173" s="134">
        <f>IF(SnapshotTable[[#This Row],[LP Qty]] &gt; 0, SnapshotTable[[#This Row],[LP Qty]] * SnapshotTable[[#This Row],[LP Book Price]] * 100,0)</f>
        <v>0</v>
      </c>
      <c r="BK173" s="134">
        <f>IF(SnapshotTable[[#This Row],[LP Premium]] &gt; 0, SnapshotTable[[#This Row],[LP Qty]] * SnapshotTable[[#This Row],[LP Strike Price]] * 100,0)</f>
        <v>0</v>
      </c>
      <c r="BL173" s="152"/>
      <c r="BM173" s="355" t="str">
        <f>IF(SnapshotTable[[#This Row],[LP Premium]] &gt; 0,SnapshotTable[[#This Row],[LP Exp Date]]-MAX(SnapshotTable[[#This Row],[LP Book Date]], SnapshotTable[[#This Row],[LP Fill Date]]),"")</f>
        <v/>
      </c>
      <c r="BN173" s="355" t="str">
        <f>IF(ISNUMBER( SnapshotTable[[#This Row],[LP Term]]), SnapshotTable[[#This Row],[LP Exp Date]] - MockToday,"")</f>
        <v/>
      </c>
      <c r="BO173" s="161" t="str">
        <f>IF(AND(SnapshotTable[[#This Row],[LP Exp Date]]&gt;0, SnapshotTable[[#This Row],[LP Strike Price]]&gt;0,SnapshotTable[[#This Row],[LP Qty]]&gt;0,SnapshotTable[[#This Row],[LP Book Date]]&gt;0,SnapshotTable[[#This Row],[LP Book Price]]&gt;0,SnapshotTable[[#This Row],[LP Fill Date]]=0),"Y","")</f>
        <v/>
      </c>
      <c r="BP173" s="31" t="str">
        <f>IF(AND(SnapshotTable[[#This Row],[LP No Fill]]&lt;&gt;"Y",SnapshotTable[[#This Row],[LP Contract Value]]&gt;0, SnapshotTable[[#This Row],[LP Qty]]&gt;0), SnapshotTable[[#This Row],[LP Contract Value]]*SnapshotTable[[#This Row],[LP Qty]]*100,"")</f>
        <v/>
      </c>
      <c r="BQ173" s="13"/>
      <c r="BR173" s="5"/>
      <c r="BS173" s="36"/>
      <c r="BT173" s="145"/>
      <c r="BU173" s="13"/>
      <c r="BV173" s="5"/>
      <c r="BW173" s="382" t="b">
        <f>AND(ISNUMBER(SnapshotTable[[#This Row],[SP Exp Date]]), ISNUMBER(SnapshotTable[[#This Row],[SP Strike Price]]), ISNUMBER(SnapshotTable[[#This Row],[SP Qty]]), ISNUMBER(SnapshotTable[[#This Row],[SP Book Date]]), ISNUMBER(SnapshotTable[[#This Row],[SP Book Price]]))</f>
        <v>0</v>
      </c>
      <c r="BX173" s="382" t="b">
        <f>AND(SnapshotTable[[#This Row],[SP Is Booked]], NOT(ISBLANK(SnapshotTable[[#This Row],[SP Fill Date]])))</f>
        <v>0</v>
      </c>
      <c r="BY173" s="33">
        <f>IF(SnapshotTable[[#This Row],[SP Is Booked]], SnapshotTable[[#This Row],[SP Qty]] * SnapshotTable[[#This Row],[SP Book Price]] * 100, 0)</f>
        <v>0</v>
      </c>
      <c r="BZ173" s="339"/>
      <c r="CA173" s="338">
        <f>SnapshotTable[[#This Row],[LP Qty]]</f>
        <v>0</v>
      </c>
      <c r="CB173" s="4" t="str">
        <f>IF(SnapshotTable[[#This Row],[SP Is Booked]], SnapshotTable[[#This Row],[SP Strike Price]] - SnapshotTable[[#This Row],[SP Book Price]], "")</f>
        <v/>
      </c>
      <c r="CC173" s="19" t="str">
        <f>IF(SnapshotTable[[#This Row],[SP Is Booked]],SnapshotTable[[#This Row],[SP Exp Date]]-MAX(SnapshotTable[[#This Row],[SP Book Date]], SnapshotTable[[#This Row],[SP Fill Date]]),"")</f>
        <v/>
      </c>
      <c r="CD173" s="7" t="str">
        <f>IF(SnapshotTable[[#This Row],[SP Is Booked]], SnapshotTable[[#This Row],[SP Book Price]]/SnapshotTable[[#This Row],[SP Strike Price]], "")</f>
        <v/>
      </c>
      <c r="CE173" s="7" t="str">
        <f>IF(ISNUMBER(SnapshotTable[[#This Row],[SP ROO Term]]),SnapshotTable[[#This Row],[SP ROO Term]]*(365/SnapshotTable[[#This Row],[SP Term]]),"")</f>
        <v/>
      </c>
      <c r="CF173" s="221">
        <f>SnapshotTable[[#This Row],[LP Strike Price]] * SnapshotTable[[#This Row],[LP Qty]] * 100</f>
        <v>0</v>
      </c>
      <c r="CG173" s="31">
        <f>IF(ISNUMBER(SnapshotTable[[#This Row],[SP Premium]]), (SnapshotTable[[#This Row],[SP Qty]] * SnapshotTable[[#This Row],[SP Strike Price]]* 100) - SnapshotTable[[#This Row],[LP Protection]], 0)</f>
        <v>0</v>
      </c>
      <c r="CH173" s="7" t="str">
        <f>IF(ISNUMBER(SnapshotTable[[#This Row],[SP Break Even]]),-1 * (SnapshotTable[[#This Row],[SP Break Even]] - SnapshotTable[[#This Row],[Last Price]]) / SnapshotTable[[#This Row],[Last Price]], "")</f>
        <v/>
      </c>
      <c r="CI173" s="31">
        <f>IF(AND(ISNUMBER((SnapshotTable[[#This Row],[SP Potential Spend]])), SnapshotTable[[#This Row],[SP Strike Price]] &gt; SnapshotTable[[#This Row],[Last Price]], SnapshotTable[[#This Row],[SP Is Filled]]), SnapshotTable[[#This Row],[SP Potential Spend]] -  SnapshotTable[[#This Row],[LP Max Value]], 0)</f>
        <v>0</v>
      </c>
      <c r="CJ173" s="229"/>
      <c r="CK173" s="31">
        <f>IF(ISNUMBER(SnapshotTable[[#This Row],[SP Potential Spend]]),IF(ISNUMBER(SnapshotTable[[#This Row],[SP POW]]), SnapshotTable[[#This Row],[SP POW]] * SnapshotTable[[#This Row],[SP Potential Spend]], SnapshotTable[[#This Row],[SP Potential Spend]]), "")</f>
        <v>0</v>
      </c>
      <c r="CL173" s="162">
        <f>IF(NOT(SnapshotTable[[#This Row],[SP Is Filled]]),(SnapshotTable[[#This Row],[SP Qty]] * SnapshotTable[[#This Row],[SP Strike Price]] * 100) - SnapshotTable[[#This Row],[LP Max Value]],"")</f>
        <v>0</v>
      </c>
      <c r="CM173" s="31" t="str">
        <f>IF(SnapshotTable[[#This Row],[SP Actual Spend]]&lt;&gt;0, ((SnapshotTable[[#This Row],[SP Strike Price]]-SnapshotTable[[#This Row],[Last Price]]) *(SnapshotTable[[#This Row],[SP Qty]]*100) - SnapshotTable[[#This Row],[SP Premium]]) * - 1, "")</f>
        <v/>
      </c>
      <c r="CN173" s="76"/>
      <c r="CO173" s="339"/>
      <c r="CP173" s="4" t="str">
        <f>IF(SnapshotTable[[#This Row],[SP Is Filled]], btc_max_buyback_amount(SnapshotTable[[#This Row],[SP Fill Date]],SnapshotTable[[#This Row],[SP Exp Date]], SnapshotTable[[#This Row],[SP Book Price]]),"")</f>
        <v/>
      </c>
      <c r="CQ173" s="76"/>
      <c r="CR17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3" s="153" t="str">
        <f>IF(SnapshotTable[[#This Row],[SP Is Filled]], btc_next_cutoff_date(SnapshotTable[[#This Row],[SP Fill Date]],SnapshotTable[[#This Row],[SP Exp Date]]),"")</f>
        <v/>
      </c>
      <c r="CT173" s="220" t="str" cm="1">
        <f t="array" ref="CT173">IF(SnapshotTable[[#This Row],[SP Is Filled]], btc_should_buy_back(SnapshotTable[[#This Row],[SP Fill Date]], SnapshotTable[[#This Row],[SP Exp Date]], SnapshotTable[[#This Row],[SP Book Price]], SnapshotTable[[#This Row],[SP Current Ask]], MockToday, SnapshotTable[[#This Row],[SP Buyback Override]]),"")</f>
        <v/>
      </c>
      <c r="CU173" s="141"/>
      <c r="CV173" s="220"/>
      <c r="CW173" s="348" t="str">
        <f>IF(ISNUMBER( SnapshotTable[[#This Row],[SP Term]]), SnapshotTable[[#This Row],[SP Exp Date]] - MockToday,"")</f>
        <v/>
      </c>
      <c r="CX173" s="31" t="str">
        <f>IF(SnapshotTable[[#This Row],[SP Is Filled]],SnapshotTable[[#This Row],[SP Buyback Price to Use]] * 100 * SnapshotTable[[#This Row],[SP Qty]], "")</f>
        <v/>
      </c>
      <c r="CY173" s="4" t="str">
        <f>IF(ISNUMBER(SnapshotTable[[#This Row],[SP Strike Price]]), SnapshotTable[[#This Row],[SP Strike Price]] * (1 - SP_MaxLoss_StrikePct), "")</f>
        <v/>
      </c>
      <c r="CZ173" s="31" t="str">
        <f>IF(ISNUMBER(SnapshotTable[[#This Row],[SP Strike  Stop Per Share]]),SnapshotTable[[#This Row],[SP Premium]] - ((SnapshotTable[[#This Row],[SP Strike Price]]-SnapshotTable[[#This Row],[SP Strike  Stop Per Share]]) *(SnapshotTable[[#This Row],[SP Qty]] * 100)),"")</f>
        <v/>
      </c>
      <c r="DA173" s="4" t="str">
        <f>IF(AND(ISNUMBER(SnapshotTable[[#This Row],[SP Premium]]),SnapshotTable[[#This Row],[SP Premium]]&gt;0), SnapshotTable[[#This Row],[SP Book Price]] * (1 + SP_MaxLoss_OptionPct), "")</f>
        <v/>
      </c>
      <c r="DB173" s="31" t="str">
        <f>IF(ISNUMBER(SnapshotTable[[#This Row],[SP Option  Stop Contract]]),(SnapshotTable[[#This Row],[SP Option  Stop Contract]] *(SnapshotTable[[#This Row],[SP Qty]] * 100) - SnapshotTable[[#This Row],[SP Premium]]),"")</f>
        <v/>
      </c>
      <c r="DC173" s="4"/>
      <c r="DD173" s="4"/>
      <c r="DE173" s="4" t="str">
        <f>IF(AND(SnapshotTable[[#This Row],[SP Qty]]&gt;0, SnapshotTable[[#This Row],[SP Stop To Use]]&gt;0),SnapshotTable[[#This Row],[SP Premium]] - ( SnapshotTable[[#This Row],[SP Qty]] * SnapshotTable[[#This Row],[SP Stop To Use]] * 100), "")</f>
        <v/>
      </c>
      <c r="DF173" s="31" t="str">
        <f>IF(AND(SnapshotTable[[#This Row],[SP Qty]]&gt;0,SnapshotTable[[#This Row],[SP Current Ask]]&gt;0), SnapshotTable[[#This Row],[SP Qty]] * SnapshotTable[[#This Row],[SP Current Ask]] * -100, "")</f>
        <v/>
      </c>
      <c r="DG173" s="31" t="str">
        <f>IF(ISNUMBER((SnapshotTable[[#This Row],[SP Total Value]])), SnapshotTable[[#This Row],[SP Premium]] + SnapshotTable[[#This Row],[SP Total Value]], "")</f>
        <v/>
      </c>
      <c r="DH173" s="272" t="str">
        <f>IF(ISNUMBER((SnapshotTable[[#This Row],[SP Total Value]])), SnapshotTable[[#This Row],[SP Gain Loss]] / SnapshotTable[[#This Row],[SP Premium]], "")</f>
        <v/>
      </c>
      <c r="DI173" s="369"/>
      <c r="DJ173" s="136"/>
      <c r="DK173" s="146"/>
      <c r="DL173" s="13"/>
      <c r="DM173" s="13"/>
      <c r="DO173" s="31">
        <f>IF(SnapshotTable[[#This Row],[LC Symbol Count]]=1, SnapshotTable[[#This Row],[LC Qty]] * SnapshotTable[[#This Row],[LC Book Price]] * 100, 0)</f>
        <v>0</v>
      </c>
      <c r="DP173" s="161" t="str">
        <f>IF(AND(SnapshotTable[[#This Row],[LC Exp Date]]&gt;0, SnapshotTable[[#This Row],[LC Strike Price]]&gt;0,SnapshotTable[[#This Row],[LC Qty]]&gt;0,SnapshotTable[[#This Row],[LC Book Date]]&gt;0,SnapshotTable[[#This Row],[LC Book Price]]&gt;0,SnapshotTable[[#This Row],[LC Fill Date]]=0),"Y","")</f>
        <v/>
      </c>
      <c r="DQ173" s="356" t="str">
        <f>IF(SnapshotTable[[#This Row],[LC Premium]] &gt; 0,SnapshotTable[[#This Row],[LC Exp Date]]-MAX(SnapshotTable[[#This Row],[LC Book Date]], SnapshotTable[[#This Row],[LC Fill Date]]),"")</f>
        <v/>
      </c>
      <c r="DR173" s="356" t="str">
        <f>IF(ISNUMBER(SnapshotTable[[#This Row],[LC Term]]), SnapshotTable[[#This Row],[LC Exp Date]] - MockToday, "")</f>
        <v/>
      </c>
      <c r="DS173" s="219" t="str">
        <f>IF(SnapshotTable[[#This Row],[LC Premium]]&gt;0,SnapshotTable[[#This Row],[LC Strike Price]] + SnapshotTable[[#This Row],[LC Book Price]],"")</f>
        <v/>
      </c>
      <c r="DU173" s="9" t="str">
        <f>IF(AND(SnapshotTable[[#This Row],[LC Symbol Count]]&gt;0, SnapshotTable[[#This Row],[LC Contract Value]]&gt;0), SnapshotTable[[#This Row],[LC Contract Value]] * SnapshotTable[[#This Row],[LC Qty]] * 100, "")</f>
        <v/>
      </c>
      <c r="DV173" s="9" t="str">
        <f>IF(AND(ISNUMBER(SnapshotTable[[#This Row],[LC Total Value]]), SnapshotTable[[#This Row],[LC Not Filled]]&lt;&gt;"Y"), SnapshotTable[[#This Row],[LC Total Value]]-SnapshotTable[[#This Row],[LC Premium]],"")</f>
        <v/>
      </c>
      <c r="DW173" s="225" t="str">
        <f>IF(ISNUMBER(SnapshotTable[[#This Row],[LC Actual Gain Loss]]), SnapshotTable[[#This Row],[LC Actual Gain Loss]] / SnapshotTable[[#This Row],[LC Premium]],"")</f>
        <v/>
      </c>
      <c r="DX173" s="269" t="str">
        <f>IF(ISNUMBER(SnapshotTable[[#This Row],[LC Book Price]]),SnapshotTable[[#This Row],[LC Book Price]] * 1.5,"")</f>
        <v/>
      </c>
      <c r="DY173" s="250" t="str">
        <f>IF(SnapshotTable[[#This Row],[LC Premium]]&gt;0, SnapshotTable[[#This Row],[LC Next Target]] * SnapshotTable[[#This Row],[LC Qty]] * 100,"")</f>
        <v/>
      </c>
      <c r="DZ173" s="250" t="str">
        <f>IF(ISNUMBER(SnapshotTable[[#This Row],[LC Target Gross]]), SnapshotTable[[#This Row],[LC Target Gross]] - SnapshotTable[[#This Row],[LC Premium]], "")</f>
        <v/>
      </c>
      <c r="EA173" s="283" t="str">
        <f>IF(ISNUMBER(SnapshotTable[[#This Row],[LC Target Gain Loss]]), SnapshotTable[[#This Row],[LC Target Gain Loss]]/SnapshotTable[[#This Row],[LC Premium]], "")</f>
        <v/>
      </c>
      <c r="EB173" s="247"/>
      <c r="EC173" s="268" t="str">
        <f>IF(SnapshotTable[[#This Row],[LC Premium]]&gt;0, SnapshotTable[[#This Row],[LC Book Price]] * (1 - LC_StopLoss_Pct),"")</f>
        <v/>
      </c>
      <c r="ED173" s="269"/>
      <c r="EE173" s="268" t="str">
        <f>IF(ISNUMBER(SnapshotTable[[#This Row],[LC Contract Value]]),IF(ISNUMBER(SnapshotTable[[#This Row],[LC Stop Loss Override]]), SnapshotTable[[#This Row],[LC Stop Loss Override]],SnapshotTable[[#This Row],[LC Stop Loss Calc Target]]),"")</f>
        <v/>
      </c>
      <c r="EF173" s="31" t="str">
        <f>IF(ISNUMBER(SnapshotTable[[#This Row],[LC Stop  To Use]]), (SnapshotTable[[#This Row],[LC Stop  To Use]] * SnapshotTable[[#This Row],[LC Qty]] * 100),"")</f>
        <v/>
      </c>
      <c r="EG173" s="9" t="str">
        <f>IF(ISNUMBER(SnapshotTable[[#This Row],[LC Total Value]]),SnapshotTable[[#This Row],[LC Stop Loss Amount]] - SnapshotTable[[#This Row],[LC Premium]],"")</f>
        <v/>
      </c>
      <c r="EH173" s="9">
        <f>IF(ISNUMBER(SnapshotTable[[#This Row],[LC Premium]]), SnapshotTable[[#This Row],[LC Qty]] * 100 * SnapshotTable[[#This Row],[LC Strike Price]], "")</f>
        <v>0</v>
      </c>
      <c r="EI173" s="225" t="str">
        <f>IF(AND(ISNUMBER(SnapshotTable[[#This Row],[LC Total Value]]),SnapshotTable[[#This Row],[LC Total Value]]&gt;0),SnapshotTable[[#This Row],[LC Stop Gain Loss]]  / SnapshotTable[[#This Row],[LC Premium]],"")</f>
        <v/>
      </c>
      <c r="EJ173" s="35">
        <f>IF(ISNUMBER(SnapshotTable[[#This Row],[Equity Shares]]),TRUNC(SnapshotTable[[#This Row],[Equity Shares]] / 100),0) + SnapshotTable[[#This Row],[LC Qty]]</f>
        <v>0</v>
      </c>
      <c r="EK173" s="145"/>
      <c r="EL173" s="136"/>
      <c r="EM173" s="146"/>
      <c r="EN173" s="145"/>
      <c r="EO173" s="145"/>
      <c r="EP173" s="136"/>
      <c r="EQ173" s="382" t="b">
        <f>AND(ISNUMBER(SnapshotTable[[#This Row],[SC Exp Date]]), ISNUMBER(SnapshotTable[[#This Row],[SC Strike Price]]), ISNUMBER(SnapshotTable[[#This Row],[SC Qty]]), ISNUMBER(SnapshotTable[[#This Row],[SC Book Date]]), ISNUMBER(SnapshotTable[[#This Row],[SC Book Price]]))</f>
        <v>0</v>
      </c>
      <c r="ER173" s="382" t="b">
        <f>AND(SnapshotTable[[#This Row],[SC Is Booked]], NOT(ISBLANK(SnapshotTable[[#This Row],[SC Fill Date]])))</f>
        <v>0</v>
      </c>
      <c r="ES173" s="340"/>
      <c r="ET173" s="34" t="str">
        <f>IF(AND(ISNUMBER(SnapshotTable[[#This Row],[SC Exp Date]]), ISNUMBER(SnapshotTable[[#This Row],[SC Book Date]])), SnapshotTable[[#This Row],[SC Exp Date]] - MAX(SnapshotTable[[#This Row],[SC Book Date]], SnapshotTable[[#This Row],[SC Fill Date]]) + 1, "")</f>
        <v/>
      </c>
      <c r="EU173" s="34" t="str">
        <f>IF(ISNUMBER(SnapshotTable[[#This Row],[SC Term]]), SnapshotTable[[#This Row],[SC Exp Date]]- MockToday, "")</f>
        <v/>
      </c>
      <c r="EV173" s="31">
        <f>IF(SnapshotTable[[#This Row],[SC Is Booked]], SnapshotTable[[#This Row],[SC Qty]] * SnapshotTable[[#This Row],[SC Book Price]] * 100, 0)</f>
        <v>0</v>
      </c>
      <c r="EW173" s="4" t="str">
        <f>IF(AND(ISNUMBER(SnapshotTable[[#This Row],[Last Price]]), ISNUMBER( SnapshotTable[[#This Row],[SC Book Price]])), SnapshotTable[[#This Row],[Last Price]] - SnapshotTable[[#This Row],[SC Book Price]],"")</f>
        <v/>
      </c>
      <c r="EX173" s="219" t="str">
        <f>IF(SnapshotTable[[#This Row],[SC Is Booked]],IF(SnapshotTable[[#This Row],[SC Intrinsic Value]] &gt; 0, SnapshotTable[[#This Row],[SC Strike Price]], SnapshotTable[[#This Row],[Last Price]]), "")</f>
        <v/>
      </c>
      <c r="EY173" s="4">
        <f>IF(SnapshotTable[[#This Row],[SC Is Booked]], (MinimumPremiumRequired * SnapshotTable[[#This Row],[SC Basis]] * SnapshotTable[[#This Row],[SC Term]]), 0)</f>
        <v>0</v>
      </c>
      <c r="EZ173" s="268"/>
      <c r="FA173" s="204"/>
      <c r="FB173" s="340"/>
      <c r="FC173" s="4">
        <f>IF(SnapshotTable[[#This Row],[SC Is Filled]], btc_max_buyback_amount(SnapshotTable[[#This Row],[SC Fill Date]],SnapshotTable[[#This Row],[SC Exp Date]], SnapshotTable[[#This Row],[SC Book Price]]),0)</f>
        <v>0</v>
      </c>
      <c r="FD173" s="5"/>
      <c r="FE173" s="142" t="str">
        <f>IF(SnapshotTable[[#This Row],[SC Is Filled]], btc_next_cutoff_date(SnapshotTable[[#This Row],[SC Fill Date]],SnapshotTable[[#This Row],[SC Exp Date]]),"")</f>
        <v/>
      </c>
      <c r="FF173" s="4" t="str" cm="1">
        <f t="array" ref="FF173">IF(SnapshotTable[[#This Row],[SC Is Filled]], btc_should_buy_back(SnapshotTable[[#This Row],[SC Fill Date]], SnapshotTable[[#This Row],[SC Exp Date]], SnapshotTable[[#This Row],[SC Book Price]], SnapshotTable[[#This Row],[SC Current Ask]], MockToday, SnapshotTable[[#This Row],[SC Buyback Override]]),"")</f>
        <v/>
      </c>
      <c r="FG173" s="4">
        <f>IF(SnapshotTable[[#This Row],[SC Is Filled]], MAX(0,SnapshotTable[[#This Row],[Last Price]]  - SnapshotTable[[#This Row],[SC Strike Price]]), 0)</f>
        <v>0</v>
      </c>
      <c r="FH173" s="352">
        <f>IF(SnapshotTable[[#This Row],[SC Is Filled]], IF(ISNUMBER(SnapshotTable[[#This Row],[SC Current Ask]]), SnapshotTable[[#This Row],[SC Current Ask]], SnapshotTable[[#This Row],[SC Book Price]]) - SnapshotTable[[#This Row],[SC Intrinsic Value]], 0)</f>
        <v>0</v>
      </c>
      <c r="FI173" s="141"/>
      <c r="FJ173" s="32" t="str">
        <f>IF(SnapshotTable[[#This Row],[SC Is Filled]],100 * SnapshotTable[[#This Row],[SC Qty]] * IF(ISNUMBER(SnapshotTable[[#This Row],[SC Buyback Override]]), SnapshotTable[[#This Row],[SC Buyback Override]], SnapshotTable[[#This Row],[SC Current Ask]]), "")</f>
        <v/>
      </c>
      <c r="FK173" s="235" t="str">
        <f>IF(SnapshotTable[[#This Row],[SC Time Val]]&gt;0, SnapshotTable[[#This Row],[SC Time Val]] / SnapshotTable[[#This Row],[Last Price]],"")</f>
        <v/>
      </c>
      <c r="FL173" s="280" t="str">
        <f>IF(SnapshotTable[[#This Row],[SC Is Booked]], ((SnapshotTable[[#This Row],[Last Price]] -SnapshotTable[[#This Row],[SC Strike Price]]) / SnapshotTable[[#This Row],[Last Price]]) * -1, "")</f>
        <v/>
      </c>
      <c r="FM173" s="155" t="str">
        <f>IF(SnapshotTable[[#This Row],[SC Is Booked]],  (SnapshotTable[[#This Row],[SC Qty]] * 100 * SnapshotTable[[#This Row],[SC Strike Price]]) - SnapshotTable[[#This Row],[SC Current Ask]], "")</f>
        <v/>
      </c>
      <c r="FN17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3" s="31" t="str">
        <f>IF(AND(ISNUMBER(SnapshotTable[[#This Row],[SC Exercise Gross]]), ISNUMBER(SnapshotTable[[#This Row],[Equity Basis Per Share]] )), SnapshotTable[[#This Row],[SC Exercise Gross]] - SnapshotTable[[#This Row],[Equity Basis Total]] +  SnapshotTable[[#This Row],[SC Premium]], "")</f>
        <v/>
      </c>
      <c r="FP173" s="5" t="str">
        <f>IF(ISNUMBER(SnapshotTable[[#This Row],[SC Exercise Gross]]), (SnapshotTable[[#This Row],[SC Exercise Gross]]) / (SnapshotTable[[#This Row],[SC Qty]] * 100), "")</f>
        <v/>
      </c>
      <c r="FQ173" s="27" t="str">
        <f>IF(SnapshotTable[[#This Row],[SC Is Booked]],SnapshotTable[[#This Row],[SC Time Val]] /SnapshotTable[[#This Row],[SC Basis]], "")</f>
        <v/>
      </c>
      <c r="FR173" s="27" t="str" cm="1">
        <f t="array" ref="FR173">IF(AND(ISNUMBER(SnapshotTable[[#This Row],[SC Term]]),ISNUMBER(SnapshotTable[[#This Row],[SC Simple ROO]])), EllmanAnnualize(SnapshotTable[[#This Row],[SC DTE]], SnapshotTable[[#This Row],[SC Simple ROO]] ),"")</f>
        <v/>
      </c>
      <c r="FS173" s="4">
        <f>IF(SnapshotTable[[#This Row],[SC Strike Price]] &gt; SnapshotTable[[#This Row],[Last Price]], SnapshotTable[[#This Row],[SC Strike Price]] - SnapshotTable[[#This Row],[Last Price]],0)</f>
        <v>0</v>
      </c>
      <c r="FT173" s="27" t="str">
        <f>IF(AND(ISNUMBER(SnapshotTable[[#This Row],[SC Upside Potential]]), SnapshotTable[[#This Row],[SC Upside Potential]] &gt; 0),(SnapshotTable[[#This Row],[SC Upside Potential]]/ SnapshotTable[[#This Row],[ACB]]),"")</f>
        <v/>
      </c>
      <c r="FU173" s="304" t="str">
        <f>IF(SnapshotTable[[#This Row],[SC Intrinsic Value]] &gt; 0,SnapshotTable[[#This Row],[SC Intrinsic Value]],"")</f>
        <v/>
      </c>
      <c r="FV173" s="27" t="str">
        <f>IF(AND( ISNUMBER( SnapshotTable[[#This Row],[ACB]]),ISNUMBER(SnapshotTable[[#This Row],[SC Downside Protect]])),SnapshotTable[[#This Row],[SC Downside Protect]] / SnapshotTable[[#This Row],[ACB]],"")</f>
        <v/>
      </c>
      <c r="FW173" s="221" t="str">
        <f>IF(AND(ISNUMBER(SnapshotTable[[#This Row],[SC Simple ROO]]),SnapshotTable[[#This Row],[SC Simple ROO]] &gt; 0), SnapshotTable[[#This Row],[SC Premium]] + (SnapshotTable[[#This Row],[SC Qty]] * SnapshotTable[[#This Row],[SC Upside Potential]]), "")</f>
        <v/>
      </c>
      <c r="FX173" s="280" t="str" cm="1">
        <f t="array" ref="FX173">IF(ISNUMBER(SnapshotTable[[#This Row],[SC Max Dollars]]), annualize(SnapshotTable[[#This Row],[SC Term]],(SnapshotTable[[#This Row],[SC Max Dollars]]/SnapshotTable[[#This Row],[SC Basis]])),"")</f>
        <v/>
      </c>
      <c r="FY173" s="221" t="str">
        <f>IF(AND(SnapshotTable[[#This Row],[SC Qty]]&gt;0,SnapshotTable[[#This Row],[SC Current Ask]]&gt;0), SnapshotTable[[#This Row],[SC Qty]] * SnapshotTable[[#This Row],[SC Current Ask]] * -100, "")</f>
        <v/>
      </c>
      <c r="FZ173" s="31" t="str">
        <f>IF(ISNUMBER((SnapshotTable[[#This Row],[SC Current Value]])), SnapshotTable[[#This Row],[SC Premium]] + SnapshotTable[[#This Row],[SC Current Value]], "")</f>
        <v/>
      </c>
      <c r="GA173" s="272" t="str">
        <f>IFERROR( IF(ISNUMBER((SnapshotTable[[#This Row],[SC Current Value]])), SnapshotTable[[#This Row],[SC Gain Loss]] / SnapshotTable[[#This Row],[SC Premium]], ""), "")</f>
        <v/>
      </c>
      <c r="GB173" s="42">
        <f>SnapshotTable[[#This Row],[Equity Shares]] * SaleSharesToConsiderPercentage</f>
        <v>0</v>
      </c>
      <c r="GC173" s="40">
        <f>SnapshotTable[[#This Row],[Long Term Target]] * SellingPriceToConsiderBasedOnTargetPercentage</f>
        <v>12.92</v>
      </c>
      <c r="GD173" s="40">
        <f>SnapshotTable[[#This Row],[Last Price]] * (1+ SellingPriceToConsiderBasedOnTargetPercentage)</f>
        <v>247.65</v>
      </c>
      <c r="GE173" s="41"/>
      <c r="GF173" s="40"/>
      <c r="GG173" s="31">
        <f>SnapshotTable[[#This Row],[Booked Sale Shares]] * SnapshotTable[[#This Row],[Booked Sale Price]]</f>
        <v>0</v>
      </c>
      <c r="GH173" s="31" t="str">
        <f>IF(SnapshotTable[[#This Row],[Equity Basis Total]] &gt; 0, SnapshotTable[[#This Row],[Equity Basis Per Share]] * SnapshotTable[[#This Row],[Booked Sale Shares]], "")</f>
        <v/>
      </c>
      <c r="GI173" s="31">
        <f>IF(SnapshotTable[[#This Row],[Sale Proceeds]]&gt;0, SnapshotTable[[#This Row],[Sale Proceeds]] - SnapshotTable[[#This Row],[Sale Basis]], 0)</f>
        <v>0</v>
      </c>
      <c r="GJ173" s="27" t="str">
        <f>IF(SnapshotTable[[#This Row],[Sale G/L]]&gt;0, SnapshotTable[[#This Row],[Sale G/L]] / SnapshotTable[[#This Row],[Sale Basis]], IF(ISNUMBER(SnapshotTable[[#This Row],[SC Exercise P&amp;L (TAX)]]), SnapshotTable[[#This Row],[SC Exercise P&amp;L (TAX)]] / SnapshotTable[[#This Row],[SC Basis]], ""))</f>
        <v/>
      </c>
      <c r="GK173" s="27" t="s">
        <v>587</v>
      </c>
      <c r="GL173" s="43" t="str">
        <f>IF(AND(SnapshotTable[[#This Row],[LP Exp Date]]&gt;0,SnapshotTable[[#This Row],[LP Strike Price]]&gt;0), [1]!ToOptionSymbol(SnapshotTable[[#This Row],[Symbol]], SnapshotTable[[#This Row],[LP Strike Price]],SnapshotTable[[#This Row],[LP Exp Date]],1), "")</f>
        <v/>
      </c>
      <c r="GM173" s="30" t="str">
        <f>IF(LEN(SnapshotTable[[#This Row],[LP Symbol]])&gt;0, 1, "")</f>
        <v/>
      </c>
      <c r="GN173" s="43" t="str">
        <f>IF(AND(SnapshotTable[[#This Row],[SP Exp Date]]&gt;0,SnapshotTable[[#This Row],[SP Strike Price]]&gt;0), [1]!ToOptionSymbol(SnapshotTable[[#This Row],[Symbol]], SnapshotTable[[#This Row],[SP Strike Price]],SnapshotTable[[#This Row],[SP Exp Date]],1), "")</f>
        <v/>
      </c>
      <c r="GO173" s="30" t="str">
        <f>IF(LEN(SnapshotTable[[#This Row],[SP Symbol]])&gt;0, 1, "")</f>
        <v/>
      </c>
      <c r="GP173" s="43" t="str">
        <f>IF(AND(SnapshotTable[[#This Row],[LC Exp Date]]&gt;0,SnapshotTable[[#This Row],[LC Strike Price]]&gt;0), [1]!ToOptionSymbol(SnapshotTable[[#This Row],[Symbol]], SnapshotTable[[#This Row],[LC Strike Price]],SnapshotTable[[#This Row],[LC Exp Date]],0), "")</f>
        <v/>
      </c>
      <c r="GQ173" s="30" t="str">
        <f>IF(LEN(SnapshotTable[[#This Row],[LC Symbol]])&gt;0, 1, "")</f>
        <v/>
      </c>
      <c r="GR173" s="43" t="str">
        <f>IF(AND(SnapshotTable[[#This Row],[SC Exp Date]]&gt;0,SnapshotTable[[#This Row],[SC Strike Price]]&gt;0), [1]!ToOptionSymbol(SnapshotTable[[#This Row],[Symbol]], SnapshotTable[[#This Row],[SC Strike Price]],SnapshotTable[[#This Row],[SC Exp Date]],0), "")</f>
        <v/>
      </c>
      <c r="GS173" s="30" t="str">
        <f>IF(LEN(SnapshotTable[[#This Row],[SC Symbol]])&gt;0, 1, "")</f>
        <v/>
      </c>
      <c r="GT173" s="29" t="str">
        <f>IF(COUNT(SnapshotTable[[#This Row],[LP Symbol Count]],SnapshotTable[[#This Row],[SP Symbol Count]],SnapshotTable[[#This Row],[LC Symbol Count]],SnapshotTable[[#This Row],[SC Symbol Count]])&gt;0, "Y", "")</f>
        <v/>
      </c>
      <c r="GU17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3" s="216">
        <f>MAX(SnapshotTable[[#This Row],[Equity Basis Total]],SnapshotTable[[#This Row],[Equity Value]]) + (SnapshotTable[[#This Row],[SP Potential Spend]]- SnapshotTable[[#This Row],[SP Premium]] + SnapshotTable[[#This Row],[LP Premium]])+ (SnapshotTable[[#This Row],[LC Premium]] - SnapshotTable[[#This Row],[SC Premium]])</f>
        <v>0</v>
      </c>
      <c r="GW173" s="137" t="str">
        <f>IF(AND(SnapshotTable[[#This Row],[Exposure]] &lt;&gt; 0),SnapshotTable[[#This Row],[Exposure]] / SnapshotTable[[#Totals],[Exposure]], "")</f>
        <v/>
      </c>
      <c r="HE173" s="253"/>
      <c r="HF173" s="253"/>
      <c r="HK173" s="1"/>
      <c r="HL173" s="1"/>
      <c r="HM173" s="1"/>
      <c r="HN173" s="1"/>
      <c r="HO173" s="1"/>
      <c r="HP173" s="1"/>
    </row>
    <row r="174" spans="2:224" ht="12.75" hidden="1" customHeight="1" x14ac:dyDescent="0.25">
      <c r="B174" s="12" t="s">
        <v>464</v>
      </c>
      <c r="C174" s="385">
        <v>303.79000000000002</v>
      </c>
      <c r="D174" s="200"/>
      <c r="E174" s="39">
        <f>SnapshotTable[[#This Row],[Last Price]]*(1 -CrashDiscount)</f>
        <v>258.22149999999999</v>
      </c>
      <c r="F174" s="26" t="s">
        <v>147</v>
      </c>
      <c r="G174" s="26" t="s">
        <v>10</v>
      </c>
      <c r="H174" s="147"/>
      <c r="I174" s="186">
        <v>44777.670138888891</v>
      </c>
      <c r="J174" s="187">
        <v>44777.670138888891</v>
      </c>
      <c r="K174" s="188"/>
      <c r="L174" s="297"/>
      <c r="M174" s="138"/>
      <c r="N174" s="138"/>
      <c r="O174" s="138"/>
      <c r="P174" s="22"/>
      <c r="Q174" s="25"/>
      <c r="R174" s="4" t="str">
        <f>IF(SnapshotTable[[#This Row],[Equity Basis Total]] &gt; 0, SnapshotTable[[#This Row],[Equity Basis Total]] / SnapshotTable[[#This Row],[Equity Shares]], "")</f>
        <v/>
      </c>
      <c r="S174" s="254">
        <f>SnapshotTable[[#This Row],[Last Price]] * SnapshotTable[[#This Row],[Equity Shares]]</f>
        <v>0</v>
      </c>
      <c r="T174" s="254">
        <f>SnapshotTable[[#This Row],[Equity Value]] - SnapshotTable[[#This Row],[Equity Basis Total]]</f>
        <v>0</v>
      </c>
      <c r="U174" s="255" t="str">
        <f>IF(SnapshotTable[[#This Row],[Equity Basis Total]] &gt; 0, SnapshotTable[[#This Row],[Equity G/L]] / SnapshotTable[[#This Row],[Equity Basis Total]], "")</f>
        <v/>
      </c>
      <c r="V174" s="253"/>
      <c r="W174" s="253"/>
      <c r="X174" s="4" t="str">
        <f>IF(AND(ISNUMBER(SnapshotTable[[#This Row],[Equity Basis Per Share]]),ISNUMBER(SnapshotTable[[#This Row],[Equity Target]])),SnapshotTable[[#This Row],[Equity Target]]-SnapshotTable[[#This Row],[Equity Basis Per Share]],"")</f>
        <v/>
      </c>
      <c r="Y174" s="4" t="str">
        <f>IF(AND(ISNUMBER(SnapshotTable[[#This Row],[Equity Basis Per Share]]),ISNUMBER(SnapshotTable[[#This Row],[Equity Stop Loss]])),SnapshotTable[[#This Row],[Equity Stop Loss]]-SnapshotTable[[#This Row],[Equity Basis Per Share]],"")</f>
        <v/>
      </c>
      <c r="Z174" s="260" t="str">
        <f>IFERROR( TEXT(SnapshotTable[[#This Row],[Equity Max Gain Per Share]] /ABS( SnapshotTable[[#This Row],[Equity Max Loss Per Share]]),"0.0 " ) &amp; " : 1", "")</f>
        <v/>
      </c>
      <c r="AA174" s="31" t="str">
        <f>IF(ISNUMBER(SnapshotTable[[#This Row],[Equity Max Gain Per Share]]),SnapshotTable[[#This Row],[Equity Max Gain Per Share]] * SnapshotTable[[#This Row],[Equity Shares]],"")</f>
        <v/>
      </c>
      <c r="AB174" s="31" t="str">
        <f>IF(ISNUMBER(SnapshotTable[[#This Row],[Equity Max Loss Per Share]]),SnapshotTable[[#This Row],[Equity Max Loss Per Share]] * SnapshotTable[[#This Row],[Equity Shares]],"")</f>
        <v/>
      </c>
      <c r="AC174" s="148"/>
      <c r="AD174" s="149"/>
      <c r="AE174" s="31">
        <f>(SnapshotTable[[#This Row],[Annual Dividend Per Share]] / 4) * SnapshotTable[[#This Row],[Equity Shares]]</f>
        <v>0</v>
      </c>
      <c r="AF174" s="31">
        <f>SnapshotTable[[#This Row],[Quarterly Div $]] * 4</f>
        <v>0</v>
      </c>
      <c r="AG174" s="7">
        <f>IF(SnapshotTable[[#This Row],[Annual Dividend Per Share]]&gt;0, SnapshotTable[[#This Row],[Annual Dividend Per Share]]  / SnapshotTable[[#This Row],[Last Price]], 0)</f>
        <v>0</v>
      </c>
      <c r="AH174" s="149"/>
      <c r="AI174" s="5"/>
      <c r="AJ174" s="136">
        <v>267.76</v>
      </c>
      <c r="AK174" s="150" t="str">
        <f>IF(ISNUMBER( SnapshotTable[[#This Row],[EBF Target]]),(SnapshotTable[[#This Row],[EBF Target]] - SnapshotTable[[#This Row],[Last Price]]) / SnapshotTable[[#This Row],[Last Price]], "")</f>
        <v/>
      </c>
      <c r="AL174" s="150" t="str">
        <f>IF(AND(SnapshotTable[[#This Row],[Equity Basis Total]] &gt; 0,ISNUMBER( SnapshotTable[[#This Row],[Long Term Target]])), SnapshotTable[[#This Row],[From Basis $]] / SnapshotTable[[#This Row],[Equity Basis Total]], "")</f>
        <v/>
      </c>
      <c r="AM174" s="9">
        <f>IF( AND(SnapshotTable[[#This Row],[Equity Shares]] &gt;0,ISNUMBER( SnapshotTable[[#This Row],[Long Term Target]])),(SnapshotTable[[#This Row],[Equity Shares]] * SnapshotTable[[#This Row],[Long Term Target]]) - SnapshotTable[[#This Row],[Equity Basis Total]],0)</f>
        <v>0</v>
      </c>
      <c r="AN174" s="9">
        <f>IF( AND(SnapshotTable[[#This Row],[Equity Shares]] &gt;0,ISNUMBER( SnapshotTable[[#This Row],[Long Term Target]])),(SnapshotTable[[#This Row],[Equity Shares]]*SnapshotTable[[#This Row],[Long Term Target]]) - SnapshotTable[[#This Row],[Equity Value]],0)</f>
        <v>0</v>
      </c>
      <c r="AO174" s="150">
        <f>IF(AND(ISNUMBER( SnapshotTable[[#This Row],[Long Term Target]]), ISNUMBER(SnapshotTable[[#This Row],[Last Price]])),(SnapshotTable[[#This Row],[Long Term Target]] - SnapshotTable[[#This Row],[Last Price]]) / SnapshotTable[[#This Row],[Last Price]], "")</f>
        <v>-0.11860166562428003</v>
      </c>
      <c r="AP174" s="5"/>
      <c r="AQ174" s="38"/>
      <c r="AR174" s="5"/>
      <c r="AS174" s="38"/>
      <c r="AT174" s="144"/>
      <c r="AU174" s="185" t="str">
        <f>IF(OR(SnapshotTable[[#This Row],[LP No Fill]]="Y",SnapshotTable[[#This Row],[SP Is Filled]],SnapshotTable[[#This Row],[LC Not Filled]]="Y",SnapshotTable[[#This Row],[SC Is Filled]]),"Y","")</f>
        <v/>
      </c>
      <c r="AV174" s="205"/>
      <c r="AW174" s="211"/>
      <c r="AX174" s="206"/>
      <c r="AY174" s="205" t="str">
        <f>IF(SnapshotTable[[#This Row],[Implied Move]]&gt;0, SnapshotTable[[#This Row],[Last Price]]-SnapshotTable[[#This Row],[Implied Move]],"")</f>
        <v/>
      </c>
      <c r="AZ174" s="205" t="str">
        <f>IF(SnapshotTable[[#This Row],[Implied Move]]&gt;0, SnapshotTable[[#This Row],[Last Price]] + SnapshotTable[[#This Row],[Implied Move]],"")</f>
        <v/>
      </c>
      <c r="BA174" s="302"/>
      <c r="BB174" s="318"/>
      <c r="BC17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4" s="321"/>
      <c r="BE174" s="5"/>
      <c r="BF174" s="14"/>
      <c r="BG174" s="13"/>
      <c r="BH174" s="13"/>
      <c r="BI174" s="5"/>
      <c r="BJ174" s="134">
        <f>IF(SnapshotTable[[#This Row],[LP Qty]] &gt; 0, SnapshotTable[[#This Row],[LP Qty]] * SnapshotTable[[#This Row],[LP Book Price]] * 100,0)</f>
        <v>0</v>
      </c>
      <c r="BK174" s="134">
        <f>IF(SnapshotTable[[#This Row],[LP Premium]] &gt; 0, SnapshotTable[[#This Row],[LP Qty]] * SnapshotTable[[#This Row],[LP Strike Price]] * 100,0)</f>
        <v>0</v>
      </c>
      <c r="BL174" s="152"/>
      <c r="BM174" s="355" t="str">
        <f>IF(SnapshotTable[[#This Row],[LP Premium]] &gt; 0,SnapshotTable[[#This Row],[LP Exp Date]]-MAX(SnapshotTable[[#This Row],[LP Book Date]], SnapshotTable[[#This Row],[LP Fill Date]]),"")</f>
        <v/>
      </c>
      <c r="BN174" s="355" t="str">
        <f>IF(ISNUMBER( SnapshotTable[[#This Row],[LP Term]]), SnapshotTable[[#This Row],[LP Exp Date]] - MockToday,"")</f>
        <v/>
      </c>
      <c r="BO174" s="161" t="str">
        <f>IF(AND(SnapshotTable[[#This Row],[LP Exp Date]]&gt;0, SnapshotTable[[#This Row],[LP Strike Price]]&gt;0,SnapshotTable[[#This Row],[LP Qty]]&gt;0,SnapshotTable[[#This Row],[LP Book Date]]&gt;0,SnapshotTable[[#This Row],[LP Book Price]]&gt;0,SnapshotTable[[#This Row],[LP Fill Date]]=0),"Y","")</f>
        <v/>
      </c>
      <c r="BP174" s="31" t="str">
        <f>IF(AND(SnapshotTable[[#This Row],[LP No Fill]]&lt;&gt;"Y",SnapshotTable[[#This Row],[LP Contract Value]]&gt;0, SnapshotTable[[#This Row],[LP Qty]]&gt;0), SnapshotTable[[#This Row],[LP Contract Value]]*SnapshotTable[[#This Row],[LP Qty]]*100,"")</f>
        <v/>
      </c>
      <c r="BQ174" s="13"/>
      <c r="BR174" s="5"/>
      <c r="BS174" s="36"/>
      <c r="BT174" s="145"/>
      <c r="BU174" s="13"/>
      <c r="BV174" s="5"/>
      <c r="BW174" s="382" t="b">
        <f>AND(ISNUMBER(SnapshotTable[[#This Row],[SP Exp Date]]), ISNUMBER(SnapshotTable[[#This Row],[SP Strike Price]]), ISNUMBER(SnapshotTable[[#This Row],[SP Qty]]), ISNUMBER(SnapshotTable[[#This Row],[SP Book Date]]), ISNUMBER(SnapshotTable[[#This Row],[SP Book Price]]))</f>
        <v>0</v>
      </c>
      <c r="BX174" s="382" t="b">
        <f>AND(SnapshotTable[[#This Row],[SP Is Booked]], NOT(ISBLANK(SnapshotTable[[#This Row],[SP Fill Date]])))</f>
        <v>0</v>
      </c>
      <c r="BY174" s="33">
        <f>IF(SnapshotTable[[#This Row],[SP Is Booked]], SnapshotTable[[#This Row],[SP Qty]] * SnapshotTable[[#This Row],[SP Book Price]] * 100, 0)</f>
        <v>0</v>
      </c>
      <c r="BZ174" s="339"/>
      <c r="CA174" s="338">
        <f>SnapshotTable[[#This Row],[LP Qty]]</f>
        <v>0</v>
      </c>
      <c r="CB174" s="4" t="str">
        <f>IF(SnapshotTable[[#This Row],[SP Is Booked]], SnapshotTable[[#This Row],[SP Strike Price]] - SnapshotTable[[#This Row],[SP Book Price]], "")</f>
        <v/>
      </c>
      <c r="CC174" s="19" t="str">
        <f>IF(SnapshotTable[[#This Row],[SP Is Booked]],SnapshotTable[[#This Row],[SP Exp Date]]-MAX(SnapshotTable[[#This Row],[SP Book Date]], SnapshotTable[[#This Row],[SP Fill Date]]),"")</f>
        <v/>
      </c>
      <c r="CD174" s="7" t="str">
        <f>IF(SnapshotTable[[#This Row],[SP Is Booked]], SnapshotTable[[#This Row],[SP Book Price]]/SnapshotTable[[#This Row],[SP Strike Price]], "")</f>
        <v/>
      </c>
      <c r="CE174" s="7" t="str">
        <f>IF(ISNUMBER(SnapshotTable[[#This Row],[SP ROO Term]]),SnapshotTable[[#This Row],[SP ROO Term]]*(365/SnapshotTable[[#This Row],[SP Term]]),"")</f>
        <v/>
      </c>
      <c r="CF174" s="221">
        <f>SnapshotTable[[#This Row],[LP Strike Price]] * SnapshotTable[[#This Row],[LP Qty]] * 100</f>
        <v>0</v>
      </c>
      <c r="CG174" s="31">
        <f>IF(ISNUMBER(SnapshotTable[[#This Row],[SP Premium]]), (SnapshotTable[[#This Row],[SP Qty]] * SnapshotTable[[#This Row],[SP Strike Price]]* 100) - SnapshotTable[[#This Row],[LP Protection]], 0)</f>
        <v>0</v>
      </c>
      <c r="CH174" s="7" t="str">
        <f>IF(ISNUMBER(SnapshotTable[[#This Row],[SP Break Even]]),-1 * (SnapshotTable[[#This Row],[SP Break Even]] - SnapshotTable[[#This Row],[Last Price]]) / SnapshotTable[[#This Row],[Last Price]], "")</f>
        <v/>
      </c>
      <c r="CI174" s="31">
        <f>IF(AND(ISNUMBER((SnapshotTable[[#This Row],[SP Potential Spend]])), SnapshotTable[[#This Row],[SP Strike Price]] &gt; SnapshotTable[[#This Row],[Last Price]], SnapshotTable[[#This Row],[SP Is Filled]]), SnapshotTable[[#This Row],[SP Potential Spend]] -  SnapshotTable[[#This Row],[LP Max Value]], 0)</f>
        <v>0</v>
      </c>
      <c r="CJ174" s="229"/>
      <c r="CK174" s="31">
        <f>IF(ISNUMBER(SnapshotTable[[#This Row],[SP Potential Spend]]),IF(ISNUMBER(SnapshotTable[[#This Row],[SP POW]]), SnapshotTable[[#This Row],[SP POW]] * SnapshotTable[[#This Row],[SP Potential Spend]], SnapshotTable[[#This Row],[SP Potential Spend]]), "")</f>
        <v>0</v>
      </c>
      <c r="CL174" s="162">
        <f>IF(NOT(SnapshotTable[[#This Row],[SP Is Filled]]),(SnapshotTable[[#This Row],[SP Qty]] * SnapshotTable[[#This Row],[SP Strike Price]] * 100) - SnapshotTable[[#This Row],[LP Max Value]],"")</f>
        <v>0</v>
      </c>
      <c r="CM174" s="31" t="str">
        <f>IF(SnapshotTable[[#This Row],[SP Actual Spend]]&lt;&gt;0, ((SnapshotTable[[#This Row],[SP Strike Price]]-SnapshotTable[[#This Row],[Last Price]]) *(SnapshotTable[[#This Row],[SP Qty]]*100) - SnapshotTable[[#This Row],[SP Premium]]) * - 1, "")</f>
        <v/>
      </c>
      <c r="CN174" s="76"/>
      <c r="CO174" s="339"/>
      <c r="CP174" s="4" t="str">
        <f>IF(SnapshotTable[[#This Row],[SP Is Filled]], btc_max_buyback_amount(SnapshotTable[[#This Row],[SP Fill Date]],SnapshotTable[[#This Row],[SP Exp Date]], SnapshotTable[[#This Row],[SP Book Price]]),"")</f>
        <v/>
      </c>
      <c r="CQ174" s="76"/>
      <c r="CR17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4" s="153" t="str">
        <f>IF(SnapshotTable[[#This Row],[SP Is Filled]], btc_next_cutoff_date(SnapshotTable[[#This Row],[SP Fill Date]],SnapshotTable[[#This Row],[SP Exp Date]]),"")</f>
        <v/>
      </c>
      <c r="CT174" s="220" t="str" cm="1">
        <f t="array" ref="CT174">IF(SnapshotTable[[#This Row],[SP Is Filled]], btc_should_buy_back(SnapshotTable[[#This Row],[SP Fill Date]], SnapshotTable[[#This Row],[SP Exp Date]], SnapshotTable[[#This Row],[SP Book Price]], SnapshotTable[[#This Row],[SP Current Ask]], MockToday, SnapshotTable[[#This Row],[SP Buyback Override]]),"")</f>
        <v/>
      </c>
      <c r="CU174" s="141"/>
      <c r="CV174" s="220"/>
      <c r="CW174" s="348" t="str">
        <f>IF(ISNUMBER( SnapshotTable[[#This Row],[SP Term]]), SnapshotTable[[#This Row],[SP Exp Date]] - MockToday,"")</f>
        <v/>
      </c>
      <c r="CX174" s="31" t="str">
        <f>IF(SnapshotTable[[#This Row],[SP Is Filled]],SnapshotTable[[#This Row],[SP Buyback Price to Use]] * 100 * SnapshotTable[[#This Row],[SP Qty]], "")</f>
        <v/>
      </c>
      <c r="CY174" s="4" t="str">
        <f>IF(ISNUMBER(SnapshotTable[[#This Row],[SP Strike Price]]), SnapshotTable[[#This Row],[SP Strike Price]] * (1 - SP_MaxLoss_StrikePct), "")</f>
        <v/>
      </c>
      <c r="CZ174" s="31" t="str">
        <f>IF(ISNUMBER(SnapshotTable[[#This Row],[SP Strike  Stop Per Share]]),SnapshotTable[[#This Row],[SP Premium]] - ((SnapshotTable[[#This Row],[SP Strike Price]]-SnapshotTable[[#This Row],[SP Strike  Stop Per Share]]) *(SnapshotTable[[#This Row],[SP Qty]] * 100)),"")</f>
        <v/>
      </c>
      <c r="DA174" s="4" t="str">
        <f>IF(AND(ISNUMBER(SnapshotTable[[#This Row],[SP Premium]]),SnapshotTable[[#This Row],[SP Premium]]&gt;0), SnapshotTable[[#This Row],[SP Book Price]] * (1 + SP_MaxLoss_OptionPct), "")</f>
        <v/>
      </c>
      <c r="DB174" s="31" t="str">
        <f>IF(ISNUMBER(SnapshotTable[[#This Row],[SP Option  Stop Contract]]),(SnapshotTable[[#This Row],[SP Option  Stop Contract]] *(SnapshotTable[[#This Row],[SP Qty]] * 100) - SnapshotTable[[#This Row],[SP Premium]]),"")</f>
        <v/>
      </c>
      <c r="DC174" s="4"/>
      <c r="DD174" s="4"/>
      <c r="DE174" s="4" t="str">
        <f>IF(AND(SnapshotTable[[#This Row],[SP Qty]]&gt;0, SnapshotTable[[#This Row],[SP Stop To Use]]&gt;0),SnapshotTable[[#This Row],[SP Premium]] - ( SnapshotTable[[#This Row],[SP Qty]] * SnapshotTable[[#This Row],[SP Stop To Use]] * 100), "")</f>
        <v/>
      </c>
      <c r="DF174" s="31" t="str">
        <f>IF(AND(SnapshotTable[[#This Row],[SP Qty]]&gt;0,SnapshotTable[[#This Row],[SP Current Ask]]&gt;0), SnapshotTable[[#This Row],[SP Qty]] * SnapshotTable[[#This Row],[SP Current Ask]] * -100, "")</f>
        <v/>
      </c>
      <c r="DG174" s="31" t="str">
        <f>IF(ISNUMBER((SnapshotTable[[#This Row],[SP Total Value]])), SnapshotTable[[#This Row],[SP Premium]] + SnapshotTable[[#This Row],[SP Total Value]], "")</f>
        <v/>
      </c>
      <c r="DH174" s="272" t="str">
        <f>IF(ISNUMBER((SnapshotTable[[#This Row],[SP Total Value]])), SnapshotTable[[#This Row],[SP Gain Loss]] / SnapshotTable[[#This Row],[SP Premium]], "")</f>
        <v/>
      </c>
      <c r="DI174" s="369"/>
      <c r="DJ174" s="136"/>
      <c r="DK174" s="146"/>
      <c r="DL174" s="13"/>
      <c r="DM174" s="13"/>
      <c r="DO174" s="31">
        <f>IF(SnapshotTable[[#This Row],[LC Symbol Count]]=1, SnapshotTable[[#This Row],[LC Qty]] * SnapshotTable[[#This Row],[LC Book Price]] * 100, 0)</f>
        <v>0</v>
      </c>
      <c r="DP174" s="161" t="str">
        <f>IF(AND(SnapshotTable[[#This Row],[LC Exp Date]]&gt;0, SnapshotTable[[#This Row],[LC Strike Price]]&gt;0,SnapshotTable[[#This Row],[LC Qty]]&gt;0,SnapshotTable[[#This Row],[LC Book Date]]&gt;0,SnapshotTable[[#This Row],[LC Book Price]]&gt;0,SnapshotTable[[#This Row],[LC Fill Date]]=0),"Y","")</f>
        <v/>
      </c>
      <c r="DQ174" s="356" t="str">
        <f>IF(SnapshotTable[[#This Row],[LC Premium]] &gt; 0,SnapshotTable[[#This Row],[LC Exp Date]]-MAX(SnapshotTable[[#This Row],[LC Book Date]], SnapshotTable[[#This Row],[LC Fill Date]]),"")</f>
        <v/>
      </c>
      <c r="DR174" s="356" t="str">
        <f>IF(ISNUMBER(SnapshotTable[[#This Row],[LC Term]]), SnapshotTable[[#This Row],[LC Exp Date]] - MockToday, "")</f>
        <v/>
      </c>
      <c r="DS174" s="219" t="str">
        <f>IF(SnapshotTable[[#This Row],[LC Premium]]&gt;0,SnapshotTable[[#This Row],[LC Strike Price]] + SnapshotTable[[#This Row],[LC Book Price]],"")</f>
        <v/>
      </c>
      <c r="DU174" s="9" t="str">
        <f>IF(AND(SnapshotTable[[#This Row],[LC Symbol Count]]&gt;0, SnapshotTable[[#This Row],[LC Contract Value]]&gt;0), SnapshotTable[[#This Row],[LC Contract Value]] * SnapshotTable[[#This Row],[LC Qty]] * 100, "")</f>
        <v/>
      </c>
      <c r="DV174" s="9" t="str">
        <f>IF(AND(ISNUMBER(SnapshotTable[[#This Row],[LC Total Value]]), SnapshotTable[[#This Row],[LC Not Filled]]&lt;&gt;"Y"), SnapshotTable[[#This Row],[LC Total Value]]-SnapshotTable[[#This Row],[LC Premium]],"")</f>
        <v/>
      </c>
      <c r="DW174" s="225" t="str">
        <f>IF(ISNUMBER(SnapshotTable[[#This Row],[LC Actual Gain Loss]]), SnapshotTable[[#This Row],[LC Actual Gain Loss]] / SnapshotTable[[#This Row],[LC Premium]],"")</f>
        <v/>
      </c>
      <c r="DX174" s="269" t="str">
        <f>IF(ISNUMBER(SnapshotTable[[#This Row],[LC Book Price]]),SnapshotTable[[#This Row],[LC Book Price]] * 1.5,"")</f>
        <v/>
      </c>
      <c r="DY174" s="250" t="str">
        <f>IF(SnapshotTable[[#This Row],[LC Premium]]&gt;0, SnapshotTable[[#This Row],[LC Next Target]] * SnapshotTable[[#This Row],[LC Qty]] * 100,"")</f>
        <v/>
      </c>
      <c r="DZ174" s="250" t="str">
        <f>IF(ISNUMBER(SnapshotTable[[#This Row],[LC Target Gross]]), SnapshotTable[[#This Row],[LC Target Gross]] - SnapshotTable[[#This Row],[LC Premium]], "")</f>
        <v/>
      </c>
      <c r="EA174" s="283" t="str">
        <f>IF(ISNUMBER(SnapshotTable[[#This Row],[LC Target Gain Loss]]), SnapshotTable[[#This Row],[LC Target Gain Loss]]/SnapshotTable[[#This Row],[LC Premium]], "")</f>
        <v/>
      </c>
      <c r="EB174" s="247"/>
      <c r="EC174" s="268" t="str">
        <f>IF(SnapshotTable[[#This Row],[LC Premium]]&gt;0, SnapshotTable[[#This Row],[LC Book Price]] * (1 - LC_StopLoss_Pct),"")</f>
        <v/>
      </c>
      <c r="ED174" s="269"/>
      <c r="EE174" s="268" t="str">
        <f>IF(ISNUMBER(SnapshotTable[[#This Row],[LC Contract Value]]),IF(ISNUMBER(SnapshotTable[[#This Row],[LC Stop Loss Override]]), SnapshotTable[[#This Row],[LC Stop Loss Override]],SnapshotTable[[#This Row],[LC Stop Loss Calc Target]]),"")</f>
        <v/>
      </c>
      <c r="EF174" s="31" t="str">
        <f>IF(ISNUMBER(SnapshotTable[[#This Row],[LC Stop  To Use]]), (SnapshotTable[[#This Row],[LC Stop  To Use]] * SnapshotTable[[#This Row],[LC Qty]] * 100),"")</f>
        <v/>
      </c>
      <c r="EG174" s="9" t="str">
        <f>IF(ISNUMBER(SnapshotTable[[#This Row],[LC Total Value]]),SnapshotTable[[#This Row],[LC Stop Loss Amount]] - SnapshotTable[[#This Row],[LC Premium]],"")</f>
        <v/>
      </c>
      <c r="EH174" s="9">
        <f>IF(ISNUMBER(SnapshotTable[[#This Row],[LC Premium]]), SnapshotTable[[#This Row],[LC Qty]] * 100 * SnapshotTable[[#This Row],[LC Strike Price]], "")</f>
        <v>0</v>
      </c>
      <c r="EI174" s="225" t="str">
        <f>IF(AND(ISNUMBER(SnapshotTable[[#This Row],[LC Total Value]]),SnapshotTable[[#This Row],[LC Total Value]]&gt;0),SnapshotTable[[#This Row],[LC Stop Gain Loss]]  / SnapshotTable[[#This Row],[LC Premium]],"")</f>
        <v/>
      </c>
      <c r="EJ174" s="35">
        <f>IF(ISNUMBER(SnapshotTable[[#This Row],[Equity Shares]]),TRUNC(SnapshotTable[[#This Row],[Equity Shares]] / 100),0) + SnapshotTable[[#This Row],[LC Qty]]</f>
        <v>0</v>
      </c>
      <c r="EK174" s="145"/>
      <c r="EL174" s="136"/>
      <c r="EM174" s="146"/>
      <c r="EN174" s="145"/>
      <c r="EO174" s="145"/>
      <c r="EP174" s="136"/>
      <c r="EQ174" s="382" t="b">
        <f>AND(ISNUMBER(SnapshotTable[[#This Row],[SC Exp Date]]), ISNUMBER(SnapshotTable[[#This Row],[SC Strike Price]]), ISNUMBER(SnapshotTable[[#This Row],[SC Qty]]), ISNUMBER(SnapshotTable[[#This Row],[SC Book Date]]), ISNUMBER(SnapshotTable[[#This Row],[SC Book Price]]))</f>
        <v>0</v>
      </c>
      <c r="ER174" s="382" t="b">
        <f>AND(SnapshotTable[[#This Row],[SC Is Booked]], NOT(ISBLANK(SnapshotTable[[#This Row],[SC Fill Date]])))</f>
        <v>0</v>
      </c>
      <c r="ES174" s="340"/>
      <c r="ET174" s="34" t="str">
        <f>IF(AND(ISNUMBER(SnapshotTable[[#This Row],[SC Exp Date]]), ISNUMBER(SnapshotTable[[#This Row],[SC Book Date]])), SnapshotTable[[#This Row],[SC Exp Date]] - MAX(SnapshotTable[[#This Row],[SC Book Date]], SnapshotTable[[#This Row],[SC Fill Date]]) + 1, "")</f>
        <v/>
      </c>
      <c r="EU174" s="34" t="str">
        <f>IF(ISNUMBER(SnapshotTable[[#This Row],[SC Term]]), SnapshotTable[[#This Row],[SC Exp Date]]- MockToday, "")</f>
        <v/>
      </c>
      <c r="EV174" s="31">
        <f>IF(SnapshotTable[[#This Row],[SC Is Booked]], SnapshotTable[[#This Row],[SC Qty]] * SnapshotTable[[#This Row],[SC Book Price]] * 100, 0)</f>
        <v>0</v>
      </c>
      <c r="EW174" s="4" t="str">
        <f>IF(AND(ISNUMBER(SnapshotTable[[#This Row],[Last Price]]), ISNUMBER( SnapshotTable[[#This Row],[SC Book Price]])), SnapshotTable[[#This Row],[Last Price]] - SnapshotTable[[#This Row],[SC Book Price]],"")</f>
        <v/>
      </c>
      <c r="EX174" s="219" t="str">
        <f>IF(SnapshotTable[[#This Row],[SC Is Booked]],IF(SnapshotTable[[#This Row],[SC Intrinsic Value]] &gt; 0, SnapshotTable[[#This Row],[SC Strike Price]], SnapshotTable[[#This Row],[Last Price]]), "")</f>
        <v/>
      </c>
      <c r="EY174" s="4">
        <f>IF(SnapshotTable[[#This Row],[SC Is Booked]], (MinimumPremiumRequired * SnapshotTable[[#This Row],[SC Basis]] * SnapshotTable[[#This Row],[SC Term]]), 0)</f>
        <v>0</v>
      </c>
      <c r="EZ174" s="268"/>
      <c r="FA174" s="204"/>
      <c r="FB174" s="340"/>
      <c r="FC174" s="4">
        <f>IF(SnapshotTable[[#This Row],[SC Is Filled]], btc_max_buyback_amount(SnapshotTable[[#This Row],[SC Fill Date]],SnapshotTable[[#This Row],[SC Exp Date]], SnapshotTable[[#This Row],[SC Book Price]]),0)</f>
        <v>0</v>
      </c>
      <c r="FD174" s="5"/>
      <c r="FE174" s="142" t="str">
        <f>IF(SnapshotTable[[#This Row],[SC Is Filled]], btc_next_cutoff_date(SnapshotTable[[#This Row],[SC Fill Date]],SnapshotTable[[#This Row],[SC Exp Date]]),"")</f>
        <v/>
      </c>
      <c r="FF174" s="4" t="str" cm="1">
        <f t="array" ref="FF174">IF(SnapshotTable[[#This Row],[SC Is Filled]], btc_should_buy_back(SnapshotTable[[#This Row],[SC Fill Date]], SnapshotTable[[#This Row],[SC Exp Date]], SnapshotTable[[#This Row],[SC Book Price]], SnapshotTable[[#This Row],[SC Current Ask]], MockToday, SnapshotTable[[#This Row],[SC Buyback Override]]),"")</f>
        <v/>
      </c>
      <c r="FG174" s="4">
        <f>IF(SnapshotTable[[#This Row],[SC Is Filled]], MAX(0,SnapshotTable[[#This Row],[Last Price]]  - SnapshotTable[[#This Row],[SC Strike Price]]), 0)</f>
        <v>0</v>
      </c>
      <c r="FH174" s="352">
        <f>IF(SnapshotTable[[#This Row],[SC Is Filled]], IF(ISNUMBER(SnapshotTable[[#This Row],[SC Current Ask]]), SnapshotTable[[#This Row],[SC Current Ask]], SnapshotTable[[#This Row],[SC Book Price]]) - SnapshotTable[[#This Row],[SC Intrinsic Value]], 0)</f>
        <v>0</v>
      </c>
      <c r="FI174" s="141"/>
      <c r="FJ174" s="32" t="str">
        <f>IF(SnapshotTable[[#This Row],[SC Is Filled]],100 * SnapshotTable[[#This Row],[SC Qty]] * IF(ISNUMBER(SnapshotTable[[#This Row],[SC Buyback Override]]), SnapshotTable[[#This Row],[SC Buyback Override]], SnapshotTable[[#This Row],[SC Current Ask]]), "")</f>
        <v/>
      </c>
      <c r="FK174" s="235" t="str">
        <f>IF(SnapshotTable[[#This Row],[SC Time Val]]&gt;0, SnapshotTable[[#This Row],[SC Time Val]] / SnapshotTable[[#This Row],[Last Price]],"")</f>
        <v/>
      </c>
      <c r="FL174" s="280" t="str">
        <f>IF(SnapshotTable[[#This Row],[SC Is Booked]], ((SnapshotTable[[#This Row],[Last Price]] -SnapshotTable[[#This Row],[SC Strike Price]]) / SnapshotTable[[#This Row],[Last Price]]) * -1, "")</f>
        <v/>
      </c>
      <c r="FM174" s="155" t="str">
        <f>IF(SnapshotTable[[#This Row],[SC Is Booked]],  (SnapshotTable[[#This Row],[SC Qty]] * 100 * SnapshotTable[[#This Row],[SC Strike Price]]) - SnapshotTable[[#This Row],[SC Current Ask]], "")</f>
        <v/>
      </c>
      <c r="FN17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4" s="31" t="str">
        <f>IF(AND(ISNUMBER(SnapshotTable[[#This Row],[SC Exercise Gross]]), ISNUMBER(SnapshotTable[[#This Row],[Equity Basis Per Share]] )), SnapshotTable[[#This Row],[SC Exercise Gross]] - SnapshotTable[[#This Row],[Equity Basis Total]] +  SnapshotTable[[#This Row],[SC Premium]], "")</f>
        <v/>
      </c>
      <c r="FP174" s="5" t="str">
        <f>IF(ISNUMBER(SnapshotTable[[#This Row],[SC Exercise Gross]]), (SnapshotTable[[#This Row],[SC Exercise Gross]]) / (SnapshotTable[[#This Row],[SC Qty]] * 100), "")</f>
        <v/>
      </c>
      <c r="FQ174" s="27" t="str">
        <f>IF(SnapshotTable[[#This Row],[SC Is Booked]],SnapshotTable[[#This Row],[SC Time Val]] /SnapshotTable[[#This Row],[SC Basis]], "")</f>
        <v/>
      </c>
      <c r="FR174" s="27" t="str" cm="1">
        <f t="array" ref="FR174">IF(AND(ISNUMBER(SnapshotTable[[#This Row],[SC Term]]),ISNUMBER(SnapshotTable[[#This Row],[SC Simple ROO]])), EllmanAnnualize(SnapshotTable[[#This Row],[SC DTE]], SnapshotTable[[#This Row],[SC Simple ROO]] ),"")</f>
        <v/>
      </c>
      <c r="FS174" s="4">
        <f>IF(SnapshotTable[[#This Row],[SC Strike Price]] &gt; SnapshotTable[[#This Row],[Last Price]], SnapshotTable[[#This Row],[SC Strike Price]] - SnapshotTable[[#This Row],[Last Price]],0)</f>
        <v>0</v>
      </c>
      <c r="FT174" s="27" t="str">
        <f>IF(AND(ISNUMBER(SnapshotTable[[#This Row],[SC Upside Potential]]), SnapshotTable[[#This Row],[SC Upside Potential]] &gt; 0),(SnapshotTable[[#This Row],[SC Upside Potential]]/ SnapshotTable[[#This Row],[ACB]]),"")</f>
        <v/>
      </c>
      <c r="FU174" s="304" t="str">
        <f>IF(SnapshotTable[[#This Row],[SC Intrinsic Value]] &gt; 0,SnapshotTable[[#This Row],[SC Intrinsic Value]],"")</f>
        <v/>
      </c>
      <c r="FV174" s="27" t="str">
        <f>IF(AND( ISNUMBER( SnapshotTable[[#This Row],[ACB]]),ISNUMBER(SnapshotTable[[#This Row],[SC Downside Protect]])),SnapshotTable[[#This Row],[SC Downside Protect]] / SnapshotTable[[#This Row],[ACB]],"")</f>
        <v/>
      </c>
      <c r="FW174" s="221" t="str">
        <f>IF(AND(ISNUMBER(SnapshotTable[[#This Row],[SC Simple ROO]]),SnapshotTable[[#This Row],[SC Simple ROO]] &gt; 0), SnapshotTable[[#This Row],[SC Premium]] + (SnapshotTable[[#This Row],[SC Qty]] * SnapshotTable[[#This Row],[SC Upside Potential]]), "")</f>
        <v/>
      </c>
      <c r="FX174" s="280" t="str" cm="1">
        <f t="array" ref="FX174">IF(ISNUMBER(SnapshotTable[[#This Row],[SC Max Dollars]]), annualize(SnapshotTable[[#This Row],[SC Term]],(SnapshotTable[[#This Row],[SC Max Dollars]]/SnapshotTable[[#This Row],[SC Basis]])),"")</f>
        <v/>
      </c>
      <c r="FY174" s="221" t="str">
        <f>IF(AND(SnapshotTable[[#This Row],[SC Qty]]&gt;0,SnapshotTable[[#This Row],[SC Current Ask]]&gt;0), SnapshotTable[[#This Row],[SC Qty]] * SnapshotTable[[#This Row],[SC Current Ask]] * -100, "")</f>
        <v/>
      </c>
      <c r="FZ174" s="31" t="str">
        <f>IF(ISNUMBER((SnapshotTable[[#This Row],[SC Current Value]])), SnapshotTable[[#This Row],[SC Premium]] + SnapshotTable[[#This Row],[SC Current Value]], "")</f>
        <v/>
      </c>
      <c r="GA174" s="272" t="str">
        <f>IFERROR( IF(ISNUMBER((SnapshotTable[[#This Row],[SC Current Value]])), SnapshotTable[[#This Row],[SC Gain Loss]] / SnapshotTable[[#This Row],[SC Premium]], ""), "")</f>
        <v/>
      </c>
      <c r="GB174" s="42">
        <f>SnapshotTable[[#This Row],[Equity Shares]] * SaleSharesToConsiderPercentage</f>
        <v>0</v>
      </c>
      <c r="GC174" s="40">
        <f>SnapshotTable[[#This Row],[Long Term Target]] * SellingPriceToConsiderBasedOnTargetPercentage</f>
        <v>254.37199999999999</v>
      </c>
      <c r="GD174" s="40">
        <f>SnapshotTable[[#This Row],[Last Price]] * (1+ SellingPriceToConsiderBasedOnTargetPercentage)</f>
        <v>592.39049999999997</v>
      </c>
      <c r="GE174" s="41"/>
      <c r="GF174" s="40"/>
      <c r="GG174" s="31">
        <f>SnapshotTable[[#This Row],[Booked Sale Shares]] * SnapshotTable[[#This Row],[Booked Sale Price]]</f>
        <v>0</v>
      </c>
      <c r="GH174" s="31" t="str">
        <f>IF(SnapshotTable[[#This Row],[Equity Basis Total]] &gt; 0, SnapshotTable[[#This Row],[Equity Basis Per Share]] * SnapshotTable[[#This Row],[Booked Sale Shares]], "")</f>
        <v/>
      </c>
      <c r="GI174" s="31">
        <f>IF(SnapshotTable[[#This Row],[Sale Proceeds]]&gt;0, SnapshotTable[[#This Row],[Sale Proceeds]] - SnapshotTable[[#This Row],[Sale Basis]], 0)</f>
        <v>0</v>
      </c>
      <c r="GJ174" s="27" t="str">
        <f>IF(SnapshotTable[[#This Row],[Sale G/L]]&gt;0, SnapshotTable[[#This Row],[Sale G/L]] / SnapshotTable[[#This Row],[Sale Basis]], IF(ISNUMBER(SnapshotTable[[#This Row],[SC Exercise P&amp;L (TAX)]]), SnapshotTable[[#This Row],[SC Exercise P&amp;L (TAX)]] / SnapshotTable[[#This Row],[SC Basis]], ""))</f>
        <v/>
      </c>
      <c r="GK174" s="27" t="s">
        <v>588</v>
      </c>
      <c r="GL174" s="43" t="str">
        <f>IF(AND(SnapshotTable[[#This Row],[LP Exp Date]]&gt;0,SnapshotTable[[#This Row],[LP Strike Price]]&gt;0), [1]!ToOptionSymbol(SnapshotTable[[#This Row],[Symbol]], SnapshotTable[[#This Row],[LP Strike Price]],SnapshotTable[[#This Row],[LP Exp Date]],1), "")</f>
        <v/>
      </c>
      <c r="GM174" s="30" t="str">
        <f>IF(LEN(SnapshotTable[[#This Row],[LP Symbol]])&gt;0, 1, "")</f>
        <v/>
      </c>
      <c r="GN174" s="43" t="str">
        <f>IF(AND(SnapshotTable[[#This Row],[SP Exp Date]]&gt;0,SnapshotTable[[#This Row],[SP Strike Price]]&gt;0), [1]!ToOptionSymbol(SnapshotTable[[#This Row],[Symbol]], SnapshotTable[[#This Row],[SP Strike Price]],SnapshotTable[[#This Row],[SP Exp Date]],1), "")</f>
        <v/>
      </c>
      <c r="GO174" s="30" t="str">
        <f>IF(LEN(SnapshotTable[[#This Row],[SP Symbol]])&gt;0, 1, "")</f>
        <v/>
      </c>
      <c r="GP174" s="43" t="str">
        <f>IF(AND(SnapshotTable[[#This Row],[LC Exp Date]]&gt;0,SnapshotTable[[#This Row],[LC Strike Price]]&gt;0), [1]!ToOptionSymbol(SnapshotTable[[#This Row],[Symbol]], SnapshotTable[[#This Row],[LC Strike Price]],SnapshotTable[[#This Row],[LC Exp Date]],0), "")</f>
        <v/>
      </c>
      <c r="GQ174" s="30" t="str">
        <f>IF(LEN(SnapshotTable[[#This Row],[LC Symbol]])&gt;0, 1, "")</f>
        <v/>
      </c>
      <c r="GR174" s="43" t="str">
        <f>IF(AND(SnapshotTable[[#This Row],[SC Exp Date]]&gt;0,SnapshotTable[[#This Row],[SC Strike Price]]&gt;0), [1]!ToOptionSymbol(SnapshotTable[[#This Row],[Symbol]], SnapshotTable[[#This Row],[SC Strike Price]],SnapshotTable[[#This Row],[SC Exp Date]],0), "")</f>
        <v/>
      </c>
      <c r="GS174" s="30" t="str">
        <f>IF(LEN(SnapshotTable[[#This Row],[SC Symbol]])&gt;0, 1, "")</f>
        <v/>
      </c>
      <c r="GT174" s="29" t="str">
        <f>IF(COUNT(SnapshotTable[[#This Row],[LP Symbol Count]],SnapshotTable[[#This Row],[SP Symbol Count]],SnapshotTable[[#This Row],[LC Symbol Count]],SnapshotTable[[#This Row],[SC Symbol Count]])&gt;0, "Y", "")</f>
        <v/>
      </c>
      <c r="GU17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4" s="216">
        <f>MAX(SnapshotTable[[#This Row],[Equity Basis Total]],SnapshotTable[[#This Row],[Equity Value]]) + (SnapshotTable[[#This Row],[SP Potential Spend]]- SnapshotTable[[#This Row],[SP Premium]] + SnapshotTable[[#This Row],[LP Premium]])+ (SnapshotTable[[#This Row],[LC Premium]] - SnapshotTable[[#This Row],[SC Premium]])</f>
        <v>0</v>
      </c>
      <c r="GW174" s="137" t="str">
        <f>IF(AND(SnapshotTable[[#This Row],[Exposure]] &lt;&gt; 0),SnapshotTable[[#This Row],[Exposure]] / SnapshotTable[[#Totals],[Exposure]], "")</f>
        <v/>
      </c>
      <c r="HE174" s="253"/>
      <c r="HF174" s="253"/>
      <c r="HK174" s="1"/>
      <c r="HL174" s="1"/>
      <c r="HM174" s="1"/>
      <c r="HN174" s="1"/>
      <c r="HO174" s="1"/>
      <c r="HP174" s="1"/>
    </row>
    <row r="175" spans="2:224" ht="12.75" customHeight="1" x14ac:dyDescent="0.25">
      <c r="B175" s="12" t="s">
        <v>745</v>
      </c>
      <c r="C175" s="385">
        <v>21.26</v>
      </c>
      <c r="D175" s="200" t="s">
        <v>810</v>
      </c>
      <c r="E175" s="39">
        <f>SnapshotTable[[#This Row],[Last Price]]*(1 -CrashDiscount)</f>
        <v>18.071000000000002</v>
      </c>
      <c r="F175" s="26" t="s">
        <v>712</v>
      </c>
      <c r="G175" s="26" t="s">
        <v>678</v>
      </c>
      <c r="H175" s="147"/>
      <c r="I175" s="186">
        <v>44721.3125</v>
      </c>
      <c r="J175" s="187">
        <v>44721.3125</v>
      </c>
      <c r="K175" s="188" t="s">
        <v>3</v>
      </c>
      <c r="L175" s="297"/>
      <c r="M175" s="138"/>
      <c r="N175" s="138"/>
      <c r="O175" s="138"/>
      <c r="P175" s="22"/>
      <c r="Q175" s="25"/>
      <c r="R175" s="4" t="str">
        <f>IF(SnapshotTable[[#This Row],[Equity Basis Total]] &gt; 0, SnapshotTable[[#This Row],[Equity Basis Total]] / SnapshotTable[[#This Row],[Equity Shares]], "")</f>
        <v/>
      </c>
      <c r="S175" s="254">
        <f>SnapshotTable[[#This Row],[Last Price]] * SnapshotTable[[#This Row],[Equity Shares]]</f>
        <v>0</v>
      </c>
      <c r="T175" s="254">
        <f>SnapshotTable[[#This Row],[Equity Value]] - SnapshotTable[[#This Row],[Equity Basis Total]]</f>
        <v>0</v>
      </c>
      <c r="U175" s="255" t="str">
        <f>IF(SnapshotTable[[#This Row],[Equity Basis Total]] &gt; 0, SnapshotTable[[#This Row],[Equity G/L]] / SnapshotTable[[#This Row],[Equity Basis Total]], "")</f>
        <v/>
      </c>
      <c r="V175" s="253">
        <v>20</v>
      </c>
      <c r="W175" s="253">
        <v>15</v>
      </c>
      <c r="X175" s="4" t="str">
        <f>IF(AND(ISNUMBER(SnapshotTable[[#This Row],[Equity Basis Per Share]]),ISNUMBER(SnapshotTable[[#This Row],[Equity Target]])),SnapshotTable[[#This Row],[Equity Target]]-SnapshotTable[[#This Row],[Equity Basis Per Share]],"")</f>
        <v/>
      </c>
      <c r="Y175" s="4" t="str">
        <f>IF(AND(ISNUMBER(SnapshotTable[[#This Row],[Equity Basis Per Share]]),ISNUMBER(SnapshotTable[[#This Row],[Equity Stop Loss]])),SnapshotTable[[#This Row],[Equity Stop Loss]]-SnapshotTable[[#This Row],[Equity Basis Per Share]],"")</f>
        <v/>
      </c>
      <c r="Z175" s="260" t="str">
        <f>IFERROR( TEXT(SnapshotTable[[#This Row],[Equity Max Gain Per Share]] /ABS( SnapshotTable[[#This Row],[Equity Max Loss Per Share]]),"0.0 " ) &amp; " : 1", "")</f>
        <v/>
      </c>
      <c r="AA175" s="31" t="str">
        <f>IF(ISNUMBER(SnapshotTable[[#This Row],[Equity Max Gain Per Share]]),SnapshotTable[[#This Row],[Equity Max Gain Per Share]] * SnapshotTable[[#This Row],[Equity Shares]],"")</f>
        <v/>
      </c>
      <c r="AB175" s="31" t="str">
        <f>IF(ISNUMBER(SnapshotTable[[#This Row],[Equity Max Loss Per Share]]),SnapshotTable[[#This Row],[Equity Max Loss Per Share]] * SnapshotTable[[#This Row],[Equity Shares]],"")</f>
        <v/>
      </c>
      <c r="AC175" s="148"/>
      <c r="AD175" s="149"/>
      <c r="AE175" s="31">
        <f>(SnapshotTable[[#This Row],[Annual Dividend Per Share]] / 4) * SnapshotTable[[#This Row],[Equity Shares]]</f>
        <v>0</v>
      </c>
      <c r="AF175" s="31">
        <f>SnapshotTable[[#This Row],[Quarterly Div $]] * 4</f>
        <v>0</v>
      </c>
      <c r="AG175" s="7">
        <f>IF(SnapshotTable[[#This Row],[Annual Dividend Per Share]]&gt;0, SnapshotTable[[#This Row],[Annual Dividend Per Share]]  / SnapshotTable[[#This Row],[Last Price]], 0)</f>
        <v>0</v>
      </c>
      <c r="AH175" s="149"/>
      <c r="AI175" s="5">
        <f>SnapshotTable[[#This Row],[Equity Target]]</f>
        <v>20</v>
      </c>
      <c r="AJ175" s="136">
        <v>5.61</v>
      </c>
      <c r="AK175" s="150">
        <f>IF(ISNUMBER( SnapshotTable[[#This Row],[EBF Target]]),(SnapshotTable[[#This Row],[EBF Target]] - SnapshotTable[[#This Row],[Last Price]]) / SnapshotTable[[#This Row],[Last Price]], "")</f>
        <v>-5.9266227657572973E-2</v>
      </c>
      <c r="AL175" s="150" t="str">
        <f>IF(AND(SnapshotTable[[#This Row],[Equity Basis Total]] &gt; 0,ISNUMBER( SnapshotTable[[#This Row],[Long Term Target]])), SnapshotTable[[#This Row],[From Basis $]] / SnapshotTable[[#This Row],[Equity Basis Total]], "")</f>
        <v/>
      </c>
      <c r="AM175" s="9">
        <f>IF( AND(SnapshotTable[[#This Row],[Equity Shares]] &gt;0,ISNUMBER( SnapshotTable[[#This Row],[Long Term Target]])),(SnapshotTable[[#This Row],[Equity Shares]] * SnapshotTable[[#This Row],[Long Term Target]]) - SnapshotTable[[#This Row],[Equity Basis Total]],0)</f>
        <v>0</v>
      </c>
      <c r="AN175" s="9">
        <f>IF( AND(SnapshotTable[[#This Row],[Equity Shares]] &gt;0,ISNUMBER( SnapshotTable[[#This Row],[Long Term Target]])),(SnapshotTable[[#This Row],[Equity Shares]]*SnapshotTable[[#This Row],[Long Term Target]]) - SnapshotTable[[#This Row],[Equity Value]],0)</f>
        <v>0</v>
      </c>
      <c r="AO175" s="150">
        <f>IF(AND(ISNUMBER( SnapshotTable[[#This Row],[Long Term Target]]), ISNUMBER(SnapshotTable[[#This Row],[Last Price]])),(SnapshotTable[[#This Row],[Long Term Target]] - SnapshotTable[[#This Row],[Last Price]]) / SnapshotTable[[#This Row],[Last Price]], "")</f>
        <v>-0.73612417685794929</v>
      </c>
      <c r="AP175" s="5"/>
      <c r="AQ175" s="38"/>
      <c r="AR175" s="5"/>
      <c r="AS175" s="38"/>
      <c r="AT175" s="144"/>
      <c r="AU175" s="185" t="str">
        <f ca="1">IF(OR(SnapshotTable[[#This Row],[LP No Fill]]="Y",SnapshotTable[[#This Row],[SP Is Filled]],SnapshotTable[[#This Row],[LC Not Filled]]="Y",SnapshotTable[[#This Row],[SC Is Filled]]),"Y","")</f>
        <v>Y</v>
      </c>
      <c r="AV175" s="205"/>
      <c r="AW175" s="211"/>
      <c r="AX175" s="206"/>
      <c r="AY175" s="205" t="str">
        <f>IF(SnapshotTable[[#This Row],[Implied Move]]&gt;0, SnapshotTable[[#This Row],[Last Price]]-SnapshotTable[[#This Row],[Implied Move]],"")</f>
        <v/>
      </c>
      <c r="AZ175" s="205" t="str">
        <f>IF(SnapshotTable[[#This Row],[Implied Move]]&gt;0, SnapshotTable[[#This Row],[Last Price]] + SnapshotTable[[#This Row],[Implied Move]],"")</f>
        <v/>
      </c>
      <c r="BA175" s="302">
        <v>28.52</v>
      </c>
      <c r="BB175" s="318"/>
      <c r="BC175"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175" s="321"/>
      <c r="BE175" s="5"/>
      <c r="BF175" s="14"/>
      <c r="BG175" s="13"/>
      <c r="BH175" s="13"/>
      <c r="BI175" s="5"/>
      <c r="BJ175" s="134">
        <f>IF(SnapshotTable[[#This Row],[LP Qty]] &gt; 0, SnapshotTable[[#This Row],[LP Qty]] * SnapshotTable[[#This Row],[LP Book Price]] * 100,0)</f>
        <v>0</v>
      </c>
      <c r="BK175" s="134">
        <f>IF(SnapshotTable[[#This Row],[LP Premium]] &gt; 0, SnapshotTable[[#This Row],[LP Qty]] * SnapshotTable[[#This Row],[LP Strike Price]] * 100,0)</f>
        <v>0</v>
      </c>
      <c r="BL175" s="152"/>
      <c r="BM175" s="355" t="str">
        <f>IF(SnapshotTable[[#This Row],[LP Premium]] &gt; 0,SnapshotTable[[#This Row],[LP Exp Date]]-MAX(SnapshotTable[[#This Row],[LP Book Date]], SnapshotTable[[#This Row],[LP Fill Date]]),"")</f>
        <v/>
      </c>
      <c r="BN175" s="355" t="str">
        <f>IF(ISNUMBER( SnapshotTable[[#This Row],[LP Term]]), SnapshotTable[[#This Row],[LP Exp Date]] - MockToday,"")</f>
        <v/>
      </c>
      <c r="BO175" s="161" t="str">
        <f>IF(AND(SnapshotTable[[#This Row],[LP Exp Date]]&gt;0, SnapshotTable[[#This Row],[LP Strike Price]]&gt;0,SnapshotTable[[#This Row],[LP Qty]]&gt;0,SnapshotTable[[#This Row],[LP Book Date]]&gt;0,SnapshotTable[[#This Row],[LP Book Price]]&gt;0,SnapshotTable[[#This Row],[LP Fill Date]]=0),"Y","")</f>
        <v/>
      </c>
      <c r="BP175" s="31" t="str">
        <f>IF(AND(SnapshotTable[[#This Row],[LP No Fill]]&lt;&gt;"Y",SnapshotTable[[#This Row],[LP Contract Value]]&gt;0, SnapshotTable[[#This Row],[LP Qty]]&gt;0), SnapshotTable[[#This Row],[LP Contract Value]]*SnapshotTable[[#This Row],[LP Qty]]*100,"")</f>
        <v/>
      </c>
      <c r="BQ175" s="13">
        <f ca="1">NextMonthlyOpex</f>
        <v>46255</v>
      </c>
      <c r="BR175" s="5">
        <v>25</v>
      </c>
      <c r="BS175" s="36">
        <v>10</v>
      </c>
      <c r="BT175" s="145">
        <f ca="1">WORKDAY(MockToday, 0)</f>
        <v>46229</v>
      </c>
      <c r="BU175" s="13">
        <f ca="1">WORKDAY(MockToday, 0)</f>
        <v>46229</v>
      </c>
      <c r="BV175" s="5">
        <v>1.49</v>
      </c>
      <c r="BW175" s="382" t="b">
        <f ca="1">AND(ISNUMBER(SnapshotTable[[#This Row],[SP Exp Date]]), ISNUMBER(SnapshotTable[[#This Row],[SP Strike Price]]), ISNUMBER(SnapshotTable[[#This Row],[SP Qty]]), ISNUMBER(SnapshotTable[[#This Row],[SP Book Date]]), ISNUMBER(SnapshotTable[[#This Row],[SP Book Price]]))</f>
        <v>1</v>
      </c>
      <c r="BX175" s="382" t="b">
        <f ca="1">AND(SnapshotTable[[#This Row],[SP Is Booked]], NOT(ISBLANK(SnapshotTable[[#This Row],[SP Fill Date]])))</f>
        <v>1</v>
      </c>
      <c r="BY175" s="33">
        <f ca="1">IF(SnapshotTable[[#This Row],[SP Is Booked]], SnapshotTable[[#This Row],[SP Qty]] * SnapshotTable[[#This Row],[SP Book Price]] * 100, 0)</f>
        <v>1490</v>
      </c>
      <c r="BZ175" s="339">
        <v>0.19</v>
      </c>
      <c r="CA175" s="338">
        <f>SnapshotTable[[#This Row],[LP Qty]]</f>
        <v>0</v>
      </c>
      <c r="CB175" s="4">
        <f ca="1">IF(SnapshotTable[[#This Row],[SP Is Booked]], SnapshotTable[[#This Row],[SP Strike Price]] - SnapshotTable[[#This Row],[SP Book Price]], "")</f>
        <v>23.51</v>
      </c>
      <c r="CC175" s="19">
        <f ca="1">IF(SnapshotTable[[#This Row],[SP Is Booked]],SnapshotTable[[#This Row],[SP Exp Date]]-MAX(SnapshotTable[[#This Row],[SP Book Date]], SnapshotTable[[#This Row],[SP Fill Date]]),"")</f>
        <v>26</v>
      </c>
      <c r="CD175" s="7">
        <f ca="1">IF(SnapshotTable[[#This Row],[SP Is Booked]], SnapshotTable[[#This Row],[SP Book Price]]/SnapshotTable[[#This Row],[SP Strike Price]], "")</f>
        <v>5.96E-2</v>
      </c>
      <c r="CE175" s="7">
        <f ca="1">IF(ISNUMBER(SnapshotTable[[#This Row],[SP ROO Term]]),SnapshotTable[[#This Row],[SP ROO Term]]*(365/SnapshotTable[[#This Row],[SP Term]]),"")</f>
        <v>0.83669230769230774</v>
      </c>
      <c r="CF175" s="221">
        <f>SnapshotTable[[#This Row],[LP Strike Price]] * SnapshotTable[[#This Row],[LP Qty]] * 100</f>
        <v>0</v>
      </c>
      <c r="CG175" s="31">
        <f ca="1">IF(ISNUMBER(SnapshotTable[[#This Row],[SP Premium]]), (SnapshotTable[[#This Row],[SP Qty]] * SnapshotTable[[#This Row],[SP Strike Price]]* 100) - SnapshotTable[[#This Row],[LP Protection]], 0)</f>
        <v>25000</v>
      </c>
      <c r="CH175" s="7">
        <f ca="1">IF(ISNUMBER(SnapshotTable[[#This Row],[SP Break Even]]),-1 * (SnapshotTable[[#This Row],[SP Break Even]] - SnapshotTable[[#This Row],[Last Price]]) / SnapshotTable[[#This Row],[Last Price]], "")</f>
        <v>-0.10583254938852305</v>
      </c>
      <c r="CI175" s="31">
        <f ca="1">IF(AND(ISNUMBER((SnapshotTable[[#This Row],[SP Potential Spend]])), SnapshotTable[[#This Row],[SP Strike Price]] &gt; SnapshotTable[[#This Row],[Last Price]], SnapshotTable[[#This Row],[SP Is Filled]]), SnapshotTable[[#This Row],[SP Potential Spend]] -  SnapshotTable[[#This Row],[LP Max Value]], 0)</f>
        <v>25000</v>
      </c>
      <c r="CJ175" s="229"/>
      <c r="CK175" s="31">
        <f ca="1">IF(ISNUMBER(SnapshotTable[[#This Row],[SP Potential Spend]]),IF(ISNUMBER(SnapshotTable[[#This Row],[SP POW]]), SnapshotTable[[#This Row],[SP POW]] * SnapshotTable[[#This Row],[SP Potential Spend]], SnapshotTable[[#This Row],[SP Potential Spend]]), "")</f>
        <v>25000</v>
      </c>
      <c r="CL175" s="162" t="str">
        <f ca="1">IF(NOT(SnapshotTable[[#This Row],[SP Is Filled]]),(SnapshotTable[[#This Row],[SP Qty]] * SnapshotTable[[#This Row],[SP Strike Price]] * 100) - SnapshotTable[[#This Row],[LP Max Value]],"")</f>
        <v/>
      </c>
      <c r="CM175" s="31">
        <f ca="1">IF(SnapshotTable[[#This Row],[SP Actual Spend]]&lt;&gt;0, ((SnapshotTable[[#This Row],[SP Strike Price]]-SnapshotTable[[#This Row],[Last Price]]) *(SnapshotTable[[#This Row],[SP Qty]]*100) - SnapshotTable[[#This Row],[SP Premium]]) * - 1, "")</f>
        <v>-2249.9999999999986</v>
      </c>
      <c r="CN175" s="204">
        <v>6.4</v>
      </c>
      <c r="CO175" s="339">
        <v>0.19</v>
      </c>
      <c r="CP175" s="4" t="e">
        <f ca="1">IF(SnapshotTable[[#This Row],[SP Is Filled]], btc_max_buyback_amount(SnapshotTable[[#This Row],[SP Fill Date]],SnapshotTable[[#This Row],[SP Exp Date]], SnapshotTable[[#This Row],[SP Book Price]]),"")</f>
        <v>#NAME?</v>
      </c>
      <c r="CQ175" s="76"/>
      <c r="CR175"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175" s="153" t="e">
        <f ca="1">IF(SnapshotTable[[#This Row],[SP Is Filled]], btc_next_cutoff_date(SnapshotTable[[#This Row],[SP Fill Date]],SnapshotTable[[#This Row],[SP Exp Date]]),"")</f>
        <v>#NAME?</v>
      </c>
      <c r="CT175" s="220" t="e" cm="1">
        <f t="array" aca="1" ref="CT175" ca="1">IF(SnapshotTable[[#This Row],[SP Is Filled]], btc_should_buy_back(SnapshotTable[[#This Row],[SP Fill Date]], SnapshotTable[[#This Row],[SP Exp Date]], SnapshotTable[[#This Row],[SP Book Price]], SnapshotTable[[#This Row],[SP Current Ask]], MockToday, SnapshotTable[[#This Row],[SP Buyback Override]]),"")</f>
        <v>#NAME?</v>
      </c>
      <c r="CU175" s="141">
        <v>46210</v>
      </c>
      <c r="CV175" s="220"/>
      <c r="CW175" s="348">
        <f ca="1">IF(ISNUMBER( SnapshotTable[[#This Row],[SP Term]]), SnapshotTable[[#This Row],[SP Exp Date]] - MockToday,"")</f>
        <v>26</v>
      </c>
      <c r="CX175" s="31" t="e">
        <f ca="1">IF(SnapshotTable[[#This Row],[SP Is Filled]],SnapshotTable[[#This Row],[SP Buyback Price to Use]] * 100 * SnapshotTable[[#This Row],[SP Qty]], "")</f>
        <v>#NAME?</v>
      </c>
      <c r="CY175" s="4">
        <f>IF(ISNUMBER(SnapshotTable[[#This Row],[SP Strike Price]]), SnapshotTable[[#This Row],[SP Strike Price]] * (1 - SP_MaxLoss_StrikePct), "")</f>
        <v>24.25</v>
      </c>
      <c r="CZ175" s="31">
        <f ca="1">IF(ISNUMBER(SnapshotTable[[#This Row],[SP Strike  Stop Per Share]]),SnapshotTable[[#This Row],[SP Premium]] - ((SnapshotTable[[#This Row],[SP Strike Price]]-SnapshotTable[[#This Row],[SP Strike  Stop Per Share]]) *(SnapshotTable[[#This Row],[SP Qty]] * 100)),"")</f>
        <v>740</v>
      </c>
      <c r="DA175" s="4">
        <f ca="1">IF(AND(ISNUMBER(SnapshotTable[[#This Row],[SP Premium]]),SnapshotTable[[#This Row],[SP Premium]]&gt;0), SnapshotTable[[#This Row],[SP Book Price]] * (1 + SP_MaxLoss_OptionPct), "")</f>
        <v>2.2349999999999999</v>
      </c>
      <c r="DB175" s="31">
        <f ca="1">IF(ISNUMBER(SnapshotTable[[#This Row],[SP Option  Stop Contract]]),(SnapshotTable[[#This Row],[SP Option  Stop Contract]] *(SnapshotTable[[#This Row],[SP Qty]] * 100) - SnapshotTable[[#This Row],[SP Premium]]),"")</f>
        <v>745</v>
      </c>
      <c r="DC175" s="4"/>
      <c r="DD175" s="4"/>
      <c r="DE175" s="4" t="str">
        <f>IF(AND(SnapshotTable[[#This Row],[SP Qty]]&gt;0, SnapshotTable[[#This Row],[SP Stop To Use]]&gt;0),SnapshotTable[[#This Row],[SP Premium]] - ( SnapshotTable[[#This Row],[SP Qty]] * SnapshotTable[[#This Row],[SP Stop To Use]] * 100), "")</f>
        <v/>
      </c>
      <c r="DF175" s="31">
        <f>IF(AND(SnapshotTable[[#This Row],[SP Qty]]&gt;0,SnapshotTable[[#This Row],[SP Current Ask]]&gt;0), SnapshotTable[[#This Row],[SP Qty]] * SnapshotTable[[#This Row],[SP Current Ask]] * -100, "")</f>
        <v>-6400</v>
      </c>
      <c r="DG175" s="31">
        <f ca="1">IF(ISNUMBER((SnapshotTable[[#This Row],[SP Total Value]])), SnapshotTable[[#This Row],[SP Premium]] + SnapshotTable[[#This Row],[SP Total Value]], "")</f>
        <v>-4910</v>
      </c>
      <c r="DH175" s="272">
        <f ca="1">IF(ISNUMBER((SnapshotTable[[#This Row],[SP Total Value]])), SnapshotTable[[#This Row],[SP Gain Loss]] / SnapshotTable[[#This Row],[SP Premium]], "")</f>
        <v>-3.2953020134228188</v>
      </c>
      <c r="DI175" s="369"/>
      <c r="DJ175" s="136"/>
      <c r="DK175" s="146"/>
      <c r="DL175" s="13"/>
      <c r="DM175" s="13"/>
      <c r="DO175" s="31">
        <f>IF(SnapshotTable[[#This Row],[LC Symbol Count]]=1, SnapshotTable[[#This Row],[LC Qty]] * SnapshotTable[[#This Row],[LC Book Price]] * 100, 0)</f>
        <v>0</v>
      </c>
      <c r="DP175" s="161" t="str">
        <f>IF(AND(SnapshotTable[[#This Row],[LC Exp Date]]&gt;0, SnapshotTable[[#This Row],[LC Strike Price]]&gt;0,SnapshotTable[[#This Row],[LC Qty]]&gt;0,SnapshotTable[[#This Row],[LC Book Date]]&gt;0,SnapshotTable[[#This Row],[LC Book Price]]&gt;0,SnapshotTable[[#This Row],[LC Fill Date]]=0),"Y","")</f>
        <v/>
      </c>
      <c r="DQ175" s="356" t="str">
        <f>IF(SnapshotTable[[#This Row],[LC Premium]] &gt; 0,SnapshotTable[[#This Row],[LC Exp Date]]-MAX(SnapshotTable[[#This Row],[LC Book Date]], SnapshotTable[[#This Row],[LC Fill Date]]),"")</f>
        <v/>
      </c>
      <c r="DR175" s="356" t="str">
        <f>IF(ISNUMBER(SnapshotTable[[#This Row],[LC Term]]), SnapshotTable[[#This Row],[LC Exp Date]] - MockToday, "")</f>
        <v/>
      </c>
      <c r="DS175" s="219" t="str">
        <f>IF(SnapshotTable[[#This Row],[LC Premium]]&gt;0,SnapshotTable[[#This Row],[LC Strike Price]] + SnapshotTable[[#This Row],[LC Book Price]],"")</f>
        <v/>
      </c>
      <c r="DU175" s="9" t="str">
        <f>IF(AND(SnapshotTable[[#This Row],[LC Symbol Count]]&gt;0, SnapshotTable[[#This Row],[LC Contract Value]]&gt;0), SnapshotTable[[#This Row],[LC Contract Value]] * SnapshotTable[[#This Row],[LC Qty]] * 100, "")</f>
        <v/>
      </c>
      <c r="DV175" s="9" t="str">
        <f>IF(AND(ISNUMBER(SnapshotTable[[#This Row],[LC Total Value]]), SnapshotTable[[#This Row],[LC Not Filled]]&lt;&gt;"Y"), SnapshotTable[[#This Row],[LC Total Value]]-SnapshotTable[[#This Row],[LC Premium]],"")</f>
        <v/>
      </c>
      <c r="DW175" s="225" t="str">
        <f>IF(ISNUMBER(SnapshotTable[[#This Row],[LC Actual Gain Loss]]), SnapshotTable[[#This Row],[LC Actual Gain Loss]] / SnapshotTable[[#This Row],[LC Premium]],"")</f>
        <v/>
      </c>
      <c r="DX175" s="269" t="str">
        <f>IF(ISNUMBER(SnapshotTable[[#This Row],[LC Book Price]]),SnapshotTable[[#This Row],[LC Book Price]] * 1.5,"")</f>
        <v/>
      </c>
      <c r="DY175" s="250" t="str">
        <f>IF(SnapshotTable[[#This Row],[LC Premium]]&gt;0, SnapshotTable[[#This Row],[LC Next Target]] * SnapshotTable[[#This Row],[LC Qty]] * 100,"")</f>
        <v/>
      </c>
      <c r="DZ175" s="250" t="str">
        <f>IF(ISNUMBER(SnapshotTable[[#This Row],[LC Target Gross]]), SnapshotTable[[#This Row],[LC Target Gross]] - SnapshotTable[[#This Row],[LC Premium]], "")</f>
        <v/>
      </c>
      <c r="EA175" s="283" t="str">
        <f>IF(ISNUMBER(SnapshotTable[[#This Row],[LC Target Gain Loss]]), SnapshotTable[[#This Row],[LC Target Gain Loss]]/SnapshotTable[[#This Row],[LC Premium]], "")</f>
        <v/>
      </c>
      <c r="EB175" s="247"/>
      <c r="EC175" s="268" t="str">
        <f>IF(SnapshotTable[[#This Row],[LC Premium]]&gt;0, SnapshotTable[[#This Row],[LC Book Price]] * (1 - LC_StopLoss_Pct),"")</f>
        <v/>
      </c>
      <c r="ED175" s="269"/>
      <c r="EE175" s="268" t="str">
        <f>IF(ISNUMBER(SnapshotTable[[#This Row],[LC Contract Value]]),IF(ISNUMBER(SnapshotTable[[#This Row],[LC Stop Loss Override]]), SnapshotTable[[#This Row],[LC Stop Loss Override]],SnapshotTable[[#This Row],[LC Stop Loss Calc Target]]),"")</f>
        <v/>
      </c>
      <c r="EF175" s="31" t="str">
        <f>IF(ISNUMBER(SnapshotTable[[#This Row],[LC Stop  To Use]]), (SnapshotTable[[#This Row],[LC Stop  To Use]] * SnapshotTable[[#This Row],[LC Qty]] * 100),"")</f>
        <v/>
      </c>
      <c r="EG175" s="9" t="str">
        <f>IF(ISNUMBER(SnapshotTable[[#This Row],[LC Total Value]]),SnapshotTable[[#This Row],[LC Stop Loss Amount]] - SnapshotTable[[#This Row],[LC Premium]],"")</f>
        <v/>
      </c>
      <c r="EH175" s="9">
        <f>IF(ISNUMBER(SnapshotTable[[#This Row],[LC Premium]]), SnapshotTable[[#This Row],[LC Qty]] * 100 * SnapshotTable[[#This Row],[LC Strike Price]], "")</f>
        <v>0</v>
      </c>
      <c r="EI175" s="225" t="str">
        <f>IF(AND(ISNUMBER(SnapshotTable[[#This Row],[LC Total Value]]),SnapshotTable[[#This Row],[LC Total Value]]&gt;0),SnapshotTable[[#This Row],[LC Stop Gain Loss]]  / SnapshotTable[[#This Row],[LC Premium]],"")</f>
        <v/>
      </c>
      <c r="EJ175" s="35">
        <f>IF(ISNUMBER(SnapshotTable[[#This Row],[Equity Shares]]),TRUNC(SnapshotTable[[#This Row],[Equity Shares]] / 100),0) + SnapshotTable[[#This Row],[LC Qty]]</f>
        <v>0</v>
      </c>
      <c r="EK175" s="145"/>
      <c r="EL175" s="136"/>
      <c r="EM175" s="146"/>
      <c r="EN175" s="145"/>
      <c r="EO175" s="145"/>
      <c r="EP175" s="136"/>
      <c r="EQ175" s="382" t="b">
        <f>AND(ISNUMBER(SnapshotTable[[#This Row],[SC Exp Date]]), ISNUMBER(SnapshotTable[[#This Row],[SC Strike Price]]), ISNUMBER(SnapshotTable[[#This Row],[SC Qty]]), ISNUMBER(SnapshotTable[[#This Row],[SC Book Date]]), ISNUMBER(SnapshotTable[[#This Row],[SC Book Price]]))</f>
        <v>0</v>
      </c>
      <c r="ER175" s="382" t="b">
        <f>AND(SnapshotTable[[#This Row],[SC Is Booked]], NOT(ISBLANK(SnapshotTable[[#This Row],[SC Fill Date]])))</f>
        <v>0</v>
      </c>
      <c r="ES175" s="340"/>
      <c r="ET175" s="34" t="str">
        <f>IF(AND(ISNUMBER(SnapshotTable[[#This Row],[SC Exp Date]]), ISNUMBER(SnapshotTable[[#This Row],[SC Book Date]])), SnapshotTable[[#This Row],[SC Exp Date]] - MAX(SnapshotTable[[#This Row],[SC Book Date]], SnapshotTable[[#This Row],[SC Fill Date]]) + 1, "")</f>
        <v/>
      </c>
      <c r="EU175" s="34" t="str">
        <f>IF(ISNUMBER(SnapshotTable[[#This Row],[SC Term]]), SnapshotTable[[#This Row],[SC Exp Date]]- MockToday, "")</f>
        <v/>
      </c>
      <c r="EV175" s="31">
        <f>IF(SnapshotTable[[#This Row],[SC Is Booked]], SnapshotTable[[#This Row],[SC Qty]] * SnapshotTable[[#This Row],[SC Book Price]] * 100, 0)</f>
        <v>0</v>
      </c>
      <c r="EW175" s="4" t="str">
        <f>IF(AND(ISNUMBER(SnapshotTable[[#This Row],[Last Price]]), ISNUMBER( SnapshotTable[[#This Row],[SC Book Price]])), SnapshotTable[[#This Row],[Last Price]] - SnapshotTable[[#This Row],[SC Book Price]],"")</f>
        <v/>
      </c>
      <c r="EX175" s="219" t="str">
        <f>IF(SnapshotTable[[#This Row],[SC Is Booked]],IF(SnapshotTable[[#This Row],[SC Intrinsic Value]] &gt; 0, SnapshotTable[[#This Row],[SC Strike Price]], SnapshotTable[[#This Row],[Last Price]]), "")</f>
        <v/>
      </c>
      <c r="EY175" s="4">
        <f>IF(SnapshotTable[[#This Row],[SC Is Booked]], (MinimumPremiumRequired * SnapshotTable[[#This Row],[SC Basis]] * SnapshotTable[[#This Row],[SC Term]]), 0)</f>
        <v>0</v>
      </c>
      <c r="EZ175" s="268"/>
      <c r="FA175" s="204"/>
      <c r="FB175" s="340"/>
      <c r="FC175" s="4">
        <f>IF(SnapshotTable[[#This Row],[SC Is Filled]], btc_max_buyback_amount(SnapshotTable[[#This Row],[SC Fill Date]],SnapshotTable[[#This Row],[SC Exp Date]], SnapshotTable[[#This Row],[SC Book Price]]),0)</f>
        <v>0</v>
      </c>
      <c r="FD175" s="5"/>
      <c r="FE175" s="142" t="str">
        <f>IF(SnapshotTable[[#This Row],[SC Is Filled]], btc_next_cutoff_date(SnapshotTable[[#This Row],[SC Fill Date]],SnapshotTable[[#This Row],[SC Exp Date]]),"")</f>
        <v/>
      </c>
      <c r="FF175" s="4" t="str" cm="1">
        <f t="array" ref="FF175">IF(SnapshotTable[[#This Row],[SC Is Filled]], btc_should_buy_back(SnapshotTable[[#This Row],[SC Fill Date]], SnapshotTable[[#This Row],[SC Exp Date]], SnapshotTable[[#This Row],[SC Book Price]], SnapshotTable[[#This Row],[SC Current Ask]], MockToday, SnapshotTable[[#This Row],[SC Buyback Override]]),"")</f>
        <v/>
      </c>
      <c r="FG175" s="4">
        <f>IF(SnapshotTable[[#This Row],[SC Is Filled]], MAX(0,SnapshotTable[[#This Row],[Last Price]]  - SnapshotTable[[#This Row],[SC Strike Price]]), 0)</f>
        <v>0</v>
      </c>
      <c r="FH175" s="352">
        <f>IF(SnapshotTable[[#This Row],[SC Is Filled]], IF(ISNUMBER(SnapshotTable[[#This Row],[SC Current Ask]]), SnapshotTable[[#This Row],[SC Current Ask]], SnapshotTable[[#This Row],[SC Book Price]]) - SnapshotTable[[#This Row],[SC Intrinsic Value]], 0)</f>
        <v>0</v>
      </c>
      <c r="FI175" s="141"/>
      <c r="FJ175" s="32" t="str">
        <f>IF(SnapshotTable[[#This Row],[SC Is Filled]],100 * SnapshotTable[[#This Row],[SC Qty]] * IF(ISNUMBER(SnapshotTable[[#This Row],[SC Buyback Override]]), SnapshotTable[[#This Row],[SC Buyback Override]], SnapshotTable[[#This Row],[SC Current Ask]]), "")</f>
        <v/>
      </c>
      <c r="FK175" s="235" t="str">
        <f>IF(SnapshotTable[[#This Row],[SC Time Val]]&gt;0, SnapshotTable[[#This Row],[SC Time Val]] / SnapshotTable[[#This Row],[Last Price]],"")</f>
        <v/>
      </c>
      <c r="FL175" s="280" t="str">
        <f>IF(SnapshotTable[[#This Row],[SC Is Booked]], ((SnapshotTable[[#This Row],[Last Price]] -SnapshotTable[[#This Row],[SC Strike Price]]) / SnapshotTable[[#This Row],[Last Price]]) * -1, "")</f>
        <v/>
      </c>
      <c r="FM175" s="155" t="str">
        <f>IF(SnapshotTable[[#This Row],[SC Is Booked]],  (SnapshotTable[[#This Row],[SC Qty]] * 100 * SnapshotTable[[#This Row],[SC Strike Price]]) - SnapshotTable[[#This Row],[SC Current Ask]], "")</f>
        <v/>
      </c>
      <c r="FN17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5" s="31" t="str">
        <f>IF(AND(ISNUMBER(SnapshotTable[[#This Row],[SC Exercise Gross]]), ISNUMBER(SnapshotTable[[#This Row],[Equity Basis Per Share]] )), SnapshotTable[[#This Row],[SC Exercise Gross]] - SnapshotTable[[#This Row],[Equity Basis Total]] +  SnapshotTable[[#This Row],[SC Premium]], "")</f>
        <v/>
      </c>
      <c r="FP175" s="5" t="str">
        <f>IF(ISNUMBER(SnapshotTable[[#This Row],[SC Exercise Gross]]), (SnapshotTable[[#This Row],[SC Exercise Gross]]) / (SnapshotTable[[#This Row],[SC Qty]] * 100), "")</f>
        <v/>
      </c>
      <c r="FQ175" s="27" t="str">
        <f>IF(SnapshotTable[[#This Row],[SC Is Booked]],SnapshotTable[[#This Row],[SC Time Val]] /SnapshotTable[[#This Row],[SC Basis]], "")</f>
        <v/>
      </c>
      <c r="FR175" s="27" t="str" cm="1">
        <f t="array" ref="FR175">IF(AND(ISNUMBER(SnapshotTable[[#This Row],[SC Term]]),ISNUMBER(SnapshotTable[[#This Row],[SC Simple ROO]])), EllmanAnnualize(SnapshotTable[[#This Row],[SC DTE]], SnapshotTable[[#This Row],[SC Simple ROO]] ),"")</f>
        <v/>
      </c>
      <c r="FS175" s="4">
        <f>IF(SnapshotTable[[#This Row],[SC Strike Price]] &gt; SnapshotTable[[#This Row],[Last Price]], SnapshotTable[[#This Row],[SC Strike Price]] - SnapshotTable[[#This Row],[Last Price]],0)</f>
        <v>0</v>
      </c>
      <c r="FT175" s="27" t="str">
        <f>IF(AND(ISNUMBER(SnapshotTable[[#This Row],[SC Upside Potential]]), SnapshotTable[[#This Row],[SC Upside Potential]] &gt; 0),(SnapshotTable[[#This Row],[SC Upside Potential]]/ SnapshotTable[[#This Row],[ACB]]),"")</f>
        <v/>
      </c>
      <c r="FU175" s="304" t="str">
        <f>IF(SnapshotTable[[#This Row],[SC Intrinsic Value]] &gt; 0,SnapshotTable[[#This Row],[SC Intrinsic Value]],"")</f>
        <v/>
      </c>
      <c r="FV175" s="27" t="str">
        <f>IF(AND( ISNUMBER( SnapshotTable[[#This Row],[ACB]]),ISNUMBER(SnapshotTable[[#This Row],[SC Downside Protect]])),SnapshotTable[[#This Row],[SC Downside Protect]] / SnapshotTable[[#This Row],[ACB]],"")</f>
        <v/>
      </c>
      <c r="FW175" s="221" t="str">
        <f>IF(AND(ISNUMBER(SnapshotTable[[#This Row],[SC Simple ROO]]),SnapshotTable[[#This Row],[SC Simple ROO]] &gt; 0), SnapshotTable[[#This Row],[SC Premium]] + (SnapshotTable[[#This Row],[SC Qty]] * SnapshotTable[[#This Row],[SC Upside Potential]]), "")</f>
        <v/>
      </c>
      <c r="FX175" s="280" t="str" cm="1">
        <f t="array" ref="FX175">IF(ISNUMBER(SnapshotTable[[#This Row],[SC Max Dollars]]), annualize(SnapshotTable[[#This Row],[SC Term]],(SnapshotTable[[#This Row],[SC Max Dollars]]/SnapshotTable[[#This Row],[SC Basis]])),"")</f>
        <v/>
      </c>
      <c r="FY175" s="221" t="str">
        <f>IF(AND(SnapshotTable[[#This Row],[SC Qty]]&gt;0,SnapshotTable[[#This Row],[SC Current Ask]]&gt;0), SnapshotTable[[#This Row],[SC Qty]] * SnapshotTable[[#This Row],[SC Current Ask]] * -100, "")</f>
        <v/>
      </c>
      <c r="FZ175" s="31" t="str">
        <f>IF(ISNUMBER((SnapshotTable[[#This Row],[SC Current Value]])), SnapshotTable[[#This Row],[SC Premium]] + SnapshotTable[[#This Row],[SC Current Value]], "")</f>
        <v/>
      </c>
      <c r="GA175" s="272" t="str">
        <f>IFERROR( IF(ISNUMBER((SnapshotTable[[#This Row],[SC Current Value]])), SnapshotTable[[#This Row],[SC Gain Loss]] / SnapshotTable[[#This Row],[SC Premium]], ""), "")</f>
        <v/>
      </c>
      <c r="GB175" s="42">
        <f>SnapshotTable[[#This Row],[Equity Shares]] * SaleSharesToConsiderPercentage</f>
        <v>0</v>
      </c>
      <c r="GC175" s="40">
        <f>SnapshotTable[[#This Row],[Long Term Target]] * SellingPriceToConsiderBasedOnTargetPercentage</f>
        <v>5.3295000000000003</v>
      </c>
      <c r="GD175" s="40">
        <f>SnapshotTable[[#This Row],[Last Price]] * (1+ SellingPriceToConsiderBasedOnTargetPercentage)</f>
        <v>41.457000000000001</v>
      </c>
      <c r="GE175" s="41"/>
      <c r="GF175" s="40"/>
      <c r="GG175" s="31">
        <f>SnapshotTable[[#This Row],[Booked Sale Shares]] * SnapshotTable[[#This Row],[Booked Sale Price]]</f>
        <v>0</v>
      </c>
      <c r="GH175" s="31" t="str">
        <f>IF(SnapshotTable[[#This Row],[Equity Basis Total]] &gt; 0, SnapshotTable[[#This Row],[Equity Basis Per Share]] * SnapshotTable[[#This Row],[Booked Sale Shares]], "")</f>
        <v/>
      </c>
      <c r="GI175" s="31">
        <f>IF(SnapshotTable[[#This Row],[Sale Proceeds]]&gt;0, SnapshotTable[[#This Row],[Sale Proceeds]] - SnapshotTable[[#This Row],[Sale Basis]], 0)</f>
        <v>0</v>
      </c>
      <c r="GJ175" s="27" t="str">
        <f>IF(SnapshotTable[[#This Row],[Sale G/L]]&gt;0, SnapshotTable[[#This Row],[Sale G/L]] / SnapshotTable[[#This Row],[Sale Basis]], IF(ISNUMBER(SnapshotTable[[#This Row],[SC Exercise P&amp;L (TAX)]]), SnapshotTable[[#This Row],[SC Exercise P&amp;L (TAX)]] / SnapshotTable[[#This Row],[SC Basis]], ""))</f>
        <v/>
      </c>
      <c r="GK175" s="27" t="s">
        <v>803</v>
      </c>
      <c r="GL175" s="43" t="str">
        <f>IF(AND(SnapshotTable[[#This Row],[LP Exp Date]]&gt;0,SnapshotTable[[#This Row],[LP Strike Price]]&gt;0), [1]!ToOptionSymbol(SnapshotTable[[#This Row],[Symbol]], SnapshotTable[[#This Row],[LP Strike Price]],SnapshotTable[[#This Row],[LP Exp Date]],1), "")</f>
        <v/>
      </c>
      <c r="GM175" s="30" t="str">
        <f>IF(LEN(SnapshotTable[[#This Row],[LP Symbol]])&gt;0, 1, "")</f>
        <v/>
      </c>
      <c r="GN175" s="43" t="str">
        <f ca="1">IF(AND(SnapshotTable[[#This Row],[SP Exp Date]]&gt;0,SnapshotTable[[#This Row],[SP Strike Price]]&gt;0), [1]!ToOptionSymbol(SnapshotTable[[#This Row],[Symbol]], SnapshotTable[[#This Row],[SP Strike Price]],SnapshotTable[[#This Row],[SP Exp Date]],1), "")</f>
        <v>FCEL260821P00025000</v>
      </c>
      <c r="GO175" s="30">
        <f ca="1">IF(LEN(SnapshotTable[[#This Row],[SP Symbol]])&gt;0, 1, "")</f>
        <v>1</v>
      </c>
      <c r="GP175" s="43" t="str">
        <f>IF(AND(SnapshotTable[[#This Row],[LC Exp Date]]&gt;0,SnapshotTable[[#This Row],[LC Strike Price]]&gt;0), [1]!ToOptionSymbol(SnapshotTable[[#This Row],[Symbol]], SnapshotTable[[#This Row],[LC Strike Price]],SnapshotTable[[#This Row],[LC Exp Date]],0), "")</f>
        <v/>
      </c>
      <c r="GQ175" s="30" t="str">
        <f>IF(LEN(SnapshotTable[[#This Row],[LC Symbol]])&gt;0, 1, "")</f>
        <v/>
      </c>
      <c r="GR175" s="43" t="str">
        <f>IF(AND(SnapshotTable[[#This Row],[SC Exp Date]]&gt;0,SnapshotTable[[#This Row],[SC Strike Price]]&gt;0), [1]!ToOptionSymbol(SnapshotTable[[#This Row],[Symbol]], SnapshotTable[[#This Row],[SC Strike Price]],SnapshotTable[[#This Row],[SC Exp Date]],0), "")</f>
        <v/>
      </c>
      <c r="GS175" s="30" t="str">
        <f>IF(LEN(SnapshotTable[[#This Row],[SC Symbol]])&gt;0, 1, "")</f>
        <v/>
      </c>
      <c r="GT175" s="29" t="str">
        <f ca="1">IF(COUNT(SnapshotTable[[#This Row],[LP Symbol Count]],SnapshotTable[[#This Row],[SP Symbol Count]],SnapshotTable[[#This Row],[LC Symbol Count]],SnapshotTable[[#This Row],[SC Symbol Count]])&gt;0, "Y", "")</f>
        <v>Y</v>
      </c>
      <c r="GU175"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175" s="216">
        <f ca="1">MAX(SnapshotTable[[#This Row],[Equity Basis Total]],SnapshotTable[[#This Row],[Equity Value]]) + (SnapshotTable[[#This Row],[SP Potential Spend]]- SnapshotTable[[#This Row],[SP Premium]] + SnapshotTable[[#This Row],[LP Premium]])+ (SnapshotTable[[#This Row],[LC Premium]] - SnapshotTable[[#This Row],[SC Premium]])</f>
        <v>23510</v>
      </c>
      <c r="GW175" s="137">
        <f ca="1">IF(AND(SnapshotTable[[#This Row],[Exposure]] &lt;&gt; 0),SnapshotTable[[#This Row],[Exposure]] / SnapshotTable[[#Totals],[Exposure]], "")</f>
        <v>0.1305378648647148</v>
      </c>
      <c r="HE175" s="253"/>
      <c r="HF175" s="253"/>
      <c r="HK175" s="1"/>
      <c r="HL175" s="1"/>
      <c r="HM175" s="1"/>
      <c r="HN175" s="1"/>
      <c r="HO175" s="1"/>
      <c r="HP175" s="1"/>
    </row>
    <row r="176" spans="2:224" ht="12.75" hidden="1" customHeight="1" x14ac:dyDescent="0.25">
      <c r="B176" s="12" t="s">
        <v>730</v>
      </c>
      <c r="C176" s="385">
        <v>46.17</v>
      </c>
      <c r="D176" s="200"/>
      <c r="E176" s="39">
        <f>SnapshotTable[[#This Row],[Last Price]]*(1 -CrashDiscount)</f>
        <v>39.244500000000002</v>
      </c>
      <c r="F176" s="26" t="s">
        <v>731</v>
      </c>
      <c r="G176" s="26" t="s">
        <v>4</v>
      </c>
      <c r="H176" s="147"/>
      <c r="I176" s="186">
        <v>44777.329861111109</v>
      </c>
      <c r="J176" s="187">
        <v>44777.329861111109</v>
      </c>
      <c r="K176" s="188"/>
      <c r="L176" s="297"/>
      <c r="M176" s="138"/>
      <c r="N176" s="138"/>
      <c r="O176" s="138"/>
      <c r="P176" s="22"/>
      <c r="Q176" s="25"/>
      <c r="R176" s="4" t="str">
        <f>IF(SnapshotTable[[#This Row],[Equity Basis Total]] &gt; 0, SnapshotTable[[#This Row],[Equity Basis Total]] / SnapshotTable[[#This Row],[Equity Shares]], "")</f>
        <v/>
      </c>
      <c r="S176" s="254">
        <f>SnapshotTable[[#This Row],[Last Price]] * SnapshotTable[[#This Row],[Equity Shares]]</f>
        <v>0</v>
      </c>
      <c r="T176" s="254">
        <f>SnapshotTable[[#This Row],[Equity Value]] - SnapshotTable[[#This Row],[Equity Basis Total]]</f>
        <v>0</v>
      </c>
      <c r="U176" s="255" t="str">
        <f>IF(SnapshotTable[[#This Row],[Equity Basis Total]] &gt; 0, SnapshotTable[[#This Row],[Equity G/L]] / SnapshotTable[[#This Row],[Equity Basis Total]], "")</f>
        <v/>
      </c>
      <c r="V176" s="253"/>
      <c r="W176" s="253"/>
      <c r="X176" s="4" t="str">
        <f>IF(AND(ISNUMBER(SnapshotTable[[#This Row],[Equity Basis Per Share]]),ISNUMBER(SnapshotTable[[#This Row],[Equity Target]])),SnapshotTable[[#This Row],[Equity Target]]-SnapshotTable[[#This Row],[Equity Basis Per Share]],"")</f>
        <v/>
      </c>
      <c r="Y176" s="4" t="str">
        <f>IF(AND(ISNUMBER(SnapshotTable[[#This Row],[Equity Basis Per Share]]),ISNUMBER(SnapshotTable[[#This Row],[Equity Stop Loss]])),SnapshotTable[[#This Row],[Equity Stop Loss]]-SnapshotTable[[#This Row],[Equity Basis Per Share]],"")</f>
        <v/>
      </c>
      <c r="Z176" s="260" t="str">
        <f>IFERROR( TEXT(SnapshotTable[[#This Row],[Equity Max Gain Per Share]] /ABS( SnapshotTable[[#This Row],[Equity Max Loss Per Share]]),"0.0 " ) &amp; " : 1", "")</f>
        <v/>
      </c>
      <c r="AA176" s="31" t="str">
        <f>IF(ISNUMBER(SnapshotTable[[#This Row],[Equity Max Gain Per Share]]),SnapshotTable[[#This Row],[Equity Max Gain Per Share]] * SnapshotTable[[#This Row],[Equity Shares]],"")</f>
        <v/>
      </c>
      <c r="AB176" s="31" t="str">
        <f>IF(ISNUMBER(SnapshotTable[[#This Row],[Equity Max Loss Per Share]]),SnapshotTable[[#This Row],[Equity Max Loss Per Share]] * SnapshotTable[[#This Row],[Equity Shares]],"")</f>
        <v/>
      </c>
      <c r="AC176" s="148"/>
      <c r="AD176" s="149"/>
      <c r="AE176" s="31">
        <f>(SnapshotTable[[#This Row],[Annual Dividend Per Share]] / 4) * SnapshotTable[[#This Row],[Equity Shares]]</f>
        <v>0</v>
      </c>
      <c r="AF176" s="31">
        <f>SnapshotTable[[#This Row],[Quarterly Div $]] * 4</f>
        <v>0</v>
      </c>
      <c r="AG176" s="7">
        <f>IF(SnapshotTable[[#This Row],[Annual Dividend Per Share]]&gt;0, SnapshotTable[[#This Row],[Annual Dividend Per Share]]  / SnapshotTable[[#This Row],[Last Price]], 0)</f>
        <v>0</v>
      </c>
      <c r="AH176" s="149"/>
      <c r="AI176" s="5"/>
      <c r="AJ176" s="136">
        <v>46.55</v>
      </c>
      <c r="AK176" s="150" t="str">
        <f>IF(ISNUMBER( SnapshotTable[[#This Row],[EBF Target]]),(SnapshotTable[[#This Row],[EBF Target]] - SnapshotTable[[#This Row],[Last Price]]) / SnapshotTable[[#This Row],[Last Price]], "")</f>
        <v/>
      </c>
      <c r="AL176" s="150" t="str">
        <f>IF(AND(SnapshotTable[[#This Row],[Equity Basis Total]] &gt; 0,ISNUMBER( SnapshotTable[[#This Row],[Long Term Target]])), SnapshotTable[[#This Row],[From Basis $]] / SnapshotTable[[#This Row],[Equity Basis Total]], "")</f>
        <v/>
      </c>
      <c r="AM176" s="9">
        <f>IF( AND(SnapshotTable[[#This Row],[Equity Shares]] &gt;0,ISNUMBER( SnapshotTable[[#This Row],[Long Term Target]])),(SnapshotTable[[#This Row],[Equity Shares]] * SnapshotTable[[#This Row],[Long Term Target]]) - SnapshotTable[[#This Row],[Equity Basis Total]],0)</f>
        <v>0</v>
      </c>
      <c r="AN176" s="9">
        <f>IF( AND(SnapshotTable[[#This Row],[Equity Shares]] &gt;0,ISNUMBER( SnapshotTable[[#This Row],[Long Term Target]])),(SnapshotTable[[#This Row],[Equity Shares]]*SnapshotTable[[#This Row],[Long Term Target]]) - SnapshotTable[[#This Row],[Equity Value]],0)</f>
        <v>0</v>
      </c>
      <c r="AO176" s="150">
        <f>IF(AND(ISNUMBER( SnapshotTable[[#This Row],[Long Term Target]]), ISNUMBER(SnapshotTable[[#This Row],[Last Price]])),(SnapshotTable[[#This Row],[Long Term Target]] - SnapshotTable[[#This Row],[Last Price]]) / SnapshotTable[[#This Row],[Last Price]], "")</f>
        <v>8.2304526748970212E-3</v>
      </c>
      <c r="AP176" s="5"/>
      <c r="AQ176" s="38"/>
      <c r="AR176" s="5">
        <v>39.9</v>
      </c>
      <c r="AS176" s="38" t="s">
        <v>19</v>
      </c>
      <c r="AT176" s="144"/>
      <c r="AU176" s="185" t="str">
        <f>IF(OR(SnapshotTable[[#This Row],[LP No Fill]]="Y",SnapshotTable[[#This Row],[SP Is Filled]],SnapshotTable[[#This Row],[LC Not Filled]]="Y",SnapshotTable[[#This Row],[SC Is Filled]]),"Y","")</f>
        <v/>
      </c>
      <c r="AV176" s="205"/>
      <c r="AW176" s="211"/>
      <c r="AX176" s="206"/>
      <c r="AY176" s="205" t="str">
        <f>IF(SnapshotTable[[#This Row],[Implied Move]]&gt;0, SnapshotTable[[#This Row],[Last Price]]-SnapshotTable[[#This Row],[Implied Move]],"")</f>
        <v/>
      </c>
      <c r="AZ176" s="205" t="str">
        <f>IF(SnapshotTable[[#This Row],[Implied Move]]&gt;0, SnapshotTable[[#This Row],[Last Price]] + SnapshotTable[[#This Row],[Implied Move]],"")</f>
        <v/>
      </c>
      <c r="BA176" s="302"/>
      <c r="BB176" s="318"/>
      <c r="BC17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6" s="321"/>
      <c r="BE176" s="136"/>
      <c r="BF176" s="164"/>
      <c r="BG176" s="165"/>
      <c r="BH176" s="165"/>
      <c r="BI176" s="207"/>
      <c r="BJ176" s="151">
        <f>IF(SnapshotTable[[#This Row],[LP Qty]] &gt; 0, SnapshotTable[[#This Row],[LP Qty]] * SnapshotTable[[#This Row],[LP Book Price]] * 100,0)</f>
        <v>0</v>
      </c>
      <c r="BK176" s="134">
        <f>IF(SnapshotTable[[#This Row],[LP Premium]] &gt; 0, SnapshotTable[[#This Row],[LP Qty]] * SnapshotTable[[#This Row],[LP Strike Price]] * 100,0)</f>
        <v>0</v>
      </c>
      <c r="BL176" s="152"/>
      <c r="BM176" s="355" t="str">
        <f>IF(SnapshotTable[[#This Row],[LP Premium]] &gt; 0,SnapshotTable[[#This Row],[LP Exp Date]]-MAX(SnapshotTable[[#This Row],[LP Book Date]], SnapshotTable[[#This Row],[LP Fill Date]]),"")</f>
        <v/>
      </c>
      <c r="BN176" s="355" t="str">
        <f>IF(ISNUMBER( SnapshotTable[[#This Row],[LP Term]]), SnapshotTable[[#This Row],[LP Exp Date]] - MockToday,"")</f>
        <v/>
      </c>
      <c r="BO176" s="161" t="str">
        <f>IF(AND(SnapshotTable[[#This Row],[LP Exp Date]]&gt;0, SnapshotTable[[#This Row],[LP Strike Price]]&gt;0,SnapshotTable[[#This Row],[LP Qty]]&gt;0,SnapshotTable[[#This Row],[LP Book Date]]&gt;0,SnapshotTable[[#This Row],[LP Book Price]]&gt;0,SnapshotTable[[#This Row],[LP Fill Date]]=0),"Y","")</f>
        <v/>
      </c>
      <c r="BP176" s="31" t="str">
        <f>IF(AND(SnapshotTable[[#This Row],[LP No Fill]]&lt;&gt;"Y",SnapshotTable[[#This Row],[LP Contract Value]]&gt;0, SnapshotTable[[#This Row],[LP Qty]]&gt;0), SnapshotTable[[#This Row],[LP Contract Value]]*SnapshotTable[[#This Row],[LP Qty]]*100,"")</f>
        <v/>
      </c>
      <c r="BQ176" s="13"/>
      <c r="BR176" s="5"/>
      <c r="BS176" s="36"/>
      <c r="BT176" s="145"/>
      <c r="BU176" s="13"/>
      <c r="BV176" s="5"/>
      <c r="BW176" s="382" t="b">
        <f>AND(ISNUMBER(SnapshotTable[[#This Row],[SP Exp Date]]), ISNUMBER(SnapshotTable[[#This Row],[SP Strike Price]]), ISNUMBER(SnapshotTable[[#This Row],[SP Qty]]), ISNUMBER(SnapshotTable[[#This Row],[SP Book Date]]), ISNUMBER(SnapshotTable[[#This Row],[SP Book Price]]))</f>
        <v>0</v>
      </c>
      <c r="BX176" s="382" t="b">
        <f>AND(SnapshotTable[[#This Row],[SP Is Booked]], NOT(ISBLANK(SnapshotTable[[#This Row],[SP Fill Date]])))</f>
        <v>0</v>
      </c>
      <c r="BY176" s="33">
        <f>IF(SnapshotTable[[#This Row],[SP Is Booked]], SnapshotTable[[#This Row],[SP Qty]] * SnapshotTable[[#This Row],[SP Book Price]] * 100, 0)</f>
        <v>0</v>
      </c>
      <c r="BZ176" s="339"/>
      <c r="CA176" s="338">
        <f>SnapshotTable[[#This Row],[LP Qty]]</f>
        <v>0</v>
      </c>
      <c r="CB176" s="4" t="str">
        <f>IF(SnapshotTable[[#This Row],[SP Is Booked]], SnapshotTable[[#This Row],[SP Strike Price]] - SnapshotTable[[#This Row],[SP Book Price]], "")</f>
        <v/>
      </c>
      <c r="CC176" s="19" t="str">
        <f>IF(SnapshotTable[[#This Row],[SP Is Booked]],SnapshotTable[[#This Row],[SP Exp Date]]-MAX(SnapshotTable[[#This Row],[SP Book Date]], SnapshotTable[[#This Row],[SP Fill Date]]),"")</f>
        <v/>
      </c>
      <c r="CD176" s="7" t="str">
        <f>IF(SnapshotTable[[#This Row],[SP Is Booked]], SnapshotTable[[#This Row],[SP Book Price]]/SnapshotTable[[#This Row],[SP Strike Price]], "")</f>
        <v/>
      </c>
      <c r="CE176" s="7" t="str">
        <f>IF(ISNUMBER(SnapshotTable[[#This Row],[SP ROO Term]]),SnapshotTable[[#This Row],[SP ROO Term]]*(365/SnapshotTable[[#This Row],[SP Term]]),"")</f>
        <v/>
      </c>
      <c r="CF176" s="221">
        <f>SnapshotTable[[#This Row],[LP Strike Price]] * SnapshotTable[[#This Row],[LP Qty]] * 100</f>
        <v>0</v>
      </c>
      <c r="CG176" s="31">
        <f>IF(ISNUMBER(SnapshotTable[[#This Row],[SP Premium]]), (SnapshotTable[[#This Row],[SP Qty]] * SnapshotTable[[#This Row],[SP Strike Price]]* 100) - SnapshotTable[[#This Row],[LP Protection]], 0)</f>
        <v>0</v>
      </c>
      <c r="CH176" s="7" t="str">
        <f>IF(ISNUMBER(SnapshotTable[[#This Row],[SP Break Even]]),-1 * (SnapshotTable[[#This Row],[SP Break Even]] - SnapshotTable[[#This Row],[Last Price]]) / SnapshotTable[[#This Row],[Last Price]], "")</f>
        <v/>
      </c>
      <c r="CI176" s="31">
        <f>IF(AND(ISNUMBER((SnapshotTable[[#This Row],[SP Potential Spend]])), SnapshotTable[[#This Row],[SP Strike Price]] &gt; SnapshotTable[[#This Row],[Last Price]], SnapshotTable[[#This Row],[SP Is Filled]]), SnapshotTable[[#This Row],[SP Potential Spend]] -  SnapshotTable[[#This Row],[LP Max Value]], 0)</f>
        <v>0</v>
      </c>
      <c r="CJ176" s="229"/>
      <c r="CK176" s="31">
        <f>IF(ISNUMBER(SnapshotTable[[#This Row],[SP Potential Spend]]),IF(ISNUMBER(SnapshotTable[[#This Row],[SP POW]]), SnapshotTable[[#This Row],[SP POW]] * SnapshotTable[[#This Row],[SP Potential Spend]], SnapshotTable[[#This Row],[SP Potential Spend]]), "")</f>
        <v>0</v>
      </c>
      <c r="CL176" s="162">
        <f>IF(NOT(SnapshotTable[[#This Row],[SP Is Filled]]),(SnapshotTable[[#This Row],[SP Qty]] * SnapshotTable[[#This Row],[SP Strike Price]] * 100) - SnapshotTable[[#This Row],[LP Max Value]],"")</f>
        <v>0</v>
      </c>
      <c r="CM176" s="31" t="str">
        <f>IF(SnapshotTable[[#This Row],[SP Actual Spend]]&lt;&gt;0, ((SnapshotTable[[#This Row],[SP Strike Price]]-SnapshotTable[[#This Row],[Last Price]]) *(SnapshotTable[[#This Row],[SP Qty]]*100) - SnapshotTable[[#This Row],[SP Premium]]) * - 1, "")</f>
        <v/>
      </c>
      <c r="CN176" s="152"/>
      <c r="CO176" s="339"/>
      <c r="CP176" s="291" t="str">
        <f>IF(SnapshotTable[[#This Row],[SP Is Filled]], btc_max_buyback_amount(SnapshotTable[[#This Row],[SP Fill Date]],SnapshotTable[[#This Row],[SP Exp Date]], SnapshotTable[[#This Row],[SP Book Price]]),"")</f>
        <v/>
      </c>
      <c r="CQ176" s="76"/>
      <c r="CR176"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6" s="153" t="str">
        <f>IF(SnapshotTable[[#This Row],[SP Is Filled]], btc_next_cutoff_date(SnapshotTable[[#This Row],[SP Fill Date]],SnapshotTable[[#This Row],[SP Exp Date]]),"")</f>
        <v/>
      </c>
      <c r="CT176" s="220" t="str" cm="1">
        <f t="array" ref="CT176">IF(SnapshotTable[[#This Row],[SP Is Filled]], btc_should_buy_back(SnapshotTable[[#This Row],[SP Fill Date]], SnapshotTable[[#This Row],[SP Exp Date]], SnapshotTable[[#This Row],[SP Book Price]], SnapshotTable[[#This Row],[SP Current Ask]], MockToday, SnapshotTable[[#This Row],[SP Buyback Override]]),"")</f>
        <v/>
      </c>
      <c r="CU176" s="154"/>
      <c r="CV176" s="220"/>
      <c r="CW176" s="348" t="str">
        <f>IF(ISNUMBER( SnapshotTable[[#This Row],[SP Term]]), SnapshotTable[[#This Row],[SP Exp Date]] - MockToday,"")</f>
        <v/>
      </c>
      <c r="CX176" s="31" t="str">
        <f>IF(SnapshotTable[[#This Row],[SP Is Filled]],SnapshotTable[[#This Row],[SP Buyback Price to Use]] * 100 * SnapshotTable[[#This Row],[SP Qty]], "")</f>
        <v/>
      </c>
      <c r="CY176" s="4" t="str">
        <f>IF(ISNUMBER(SnapshotTable[[#This Row],[SP Strike Price]]), SnapshotTable[[#This Row],[SP Strike Price]] * (1 - SP_MaxLoss_StrikePct), "")</f>
        <v/>
      </c>
      <c r="CZ176" s="31" t="str">
        <f>IF(ISNUMBER(SnapshotTable[[#This Row],[SP Strike  Stop Per Share]]),SnapshotTable[[#This Row],[SP Premium]] - ((SnapshotTable[[#This Row],[SP Strike Price]]-SnapshotTable[[#This Row],[SP Strike  Stop Per Share]]) *(SnapshotTable[[#This Row],[SP Qty]] * 100)),"")</f>
        <v/>
      </c>
      <c r="DA176" s="4" t="str">
        <f>IF(AND(ISNUMBER(SnapshotTable[[#This Row],[SP Premium]]),SnapshotTable[[#This Row],[SP Premium]]&gt;0), SnapshotTable[[#This Row],[SP Book Price]] * (1 + SP_MaxLoss_OptionPct), "")</f>
        <v/>
      </c>
      <c r="DB176" s="31" t="str">
        <f>IF(ISNUMBER(SnapshotTable[[#This Row],[SP Option  Stop Contract]]),(SnapshotTable[[#This Row],[SP Option  Stop Contract]] *(SnapshotTable[[#This Row],[SP Qty]] * 100) - SnapshotTable[[#This Row],[SP Premium]]),"")</f>
        <v/>
      </c>
      <c r="DC176" s="4"/>
      <c r="DD176" s="4"/>
      <c r="DE176" s="4" t="str">
        <f>IF(AND(SnapshotTable[[#This Row],[SP Qty]]&gt;0, SnapshotTable[[#This Row],[SP Stop To Use]]&gt;0),SnapshotTable[[#This Row],[SP Premium]] - ( SnapshotTable[[#This Row],[SP Qty]] * SnapshotTable[[#This Row],[SP Stop To Use]] * 100), "")</f>
        <v/>
      </c>
      <c r="DF176" s="31" t="str">
        <f>IF(AND(SnapshotTable[[#This Row],[SP Qty]]&gt;0,SnapshotTable[[#This Row],[SP Current Ask]]&gt;0), SnapshotTable[[#This Row],[SP Qty]] * SnapshotTable[[#This Row],[SP Current Ask]] * -100, "")</f>
        <v/>
      </c>
      <c r="DG176" s="31" t="str">
        <f>IF(ISNUMBER((SnapshotTable[[#This Row],[SP Total Value]])), SnapshotTable[[#This Row],[SP Premium]] + SnapshotTable[[#This Row],[SP Total Value]], "")</f>
        <v/>
      </c>
      <c r="DH176" s="272" t="str">
        <f>IF(ISNUMBER((SnapshotTable[[#This Row],[SP Total Value]])), SnapshotTable[[#This Row],[SP Gain Loss]] / SnapshotTable[[#This Row],[SP Premium]], "")</f>
        <v/>
      </c>
      <c r="DI176" s="369"/>
      <c r="DJ176" s="136"/>
      <c r="DK176" s="146"/>
      <c r="DL176" s="145"/>
      <c r="DM176" s="145"/>
      <c r="DO176" s="31">
        <f>IF(SnapshotTable[[#This Row],[LC Symbol Count]]=1, SnapshotTable[[#This Row],[LC Qty]] * SnapshotTable[[#This Row],[LC Book Price]] * 100, 0)</f>
        <v>0</v>
      </c>
      <c r="DP176" s="270" t="str">
        <f>IF(AND(SnapshotTable[[#This Row],[LC Exp Date]]&gt;0, SnapshotTable[[#This Row],[LC Strike Price]]&gt;0,SnapshotTable[[#This Row],[LC Qty]]&gt;0,SnapshotTable[[#This Row],[LC Book Date]]&gt;0,SnapshotTable[[#This Row],[LC Book Price]]&gt;0,SnapshotTable[[#This Row],[LC Fill Date]]=0),"Y","")</f>
        <v/>
      </c>
      <c r="DQ176" s="356" t="str">
        <f>IF(SnapshotTable[[#This Row],[LC Premium]] &gt; 0,SnapshotTable[[#This Row],[LC Exp Date]]-MAX(SnapshotTable[[#This Row],[LC Book Date]], SnapshotTable[[#This Row],[LC Fill Date]]),"")</f>
        <v/>
      </c>
      <c r="DR176" s="356" t="str">
        <f>IF(ISNUMBER(SnapshotTable[[#This Row],[LC Term]]), SnapshotTable[[#This Row],[LC Exp Date]] - MockToday, "")</f>
        <v/>
      </c>
      <c r="DS176" s="219" t="str">
        <f>IF(SnapshotTable[[#This Row],[LC Premium]]&gt;0,SnapshotTable[[#This Row],[LC Strike Price]] + SnapshotTable[[#This Row],[LC Book Price]],"")</f>
        <v/>
      </c>
      <c r="DU176" s="9" t="str">
        <f>IF(AND(SnapshotTable[[#This Row],[LC Symbol Count]]&gt;0, SnapshotTable[[#This Row],[LC Contract Value]]&gt;0), SnapshotTable[[#This Row],[LC Contract Value]] * SnapshotTable[[#This Row],[LC Qty]] * 100, "")</f>
        <v/>
      </c>
      <c r="DV176" s="9" t="str">
        <f>IF(AND(ISNUMBER(SnapshotTable[[#This Row],[LC Total Value]]), SnapshotTable[[#This Row],[LC Not Filled]]&lt;&gt;"Y"), SnapshotTable[[#This Row],[LC Total Value]]-SnapshotTable[[#This Row],[LC Premium]],"")</f>
        <v/>
      </c>
      <c r="DW176" s="225" t="str">
        <f>IF(ISNUMBER(SnapshotTable[[#This Row],[LC Actual Gain Loss]]), SnapshotTable[[#This Row],[LC Actual Gain Loss]] / SnapshotTable[[#This Row],[LC Premium]],"")</f>
        <v/>
      </c>
      <c r="DX176" s="269" t="str">
        <f>IF(ISNUMBER(SnapshotTable[[#This Row],[LC Book Price]]),SnapshotTable[[#This Row],[LC Book Price]] * 1.5,"")</f>
        <v/>
      </c>
      <c r="DY176" s="250" t="str">
        <f>IF(SnapshotTable[[#This Row],[LC Premium]]&gt;0, SnapshotTable[[#This Row],[LC Next Target]] * SnapshotTable[[#This Row],[LC Qty]] * 100,"")</f>
        <v/>
      </c>
      <c r="DZ176" s="250" t="str">
        <f>IF(ISNUMBER(SnapshotTable[[#This Row],[LC Target Gross]]), SnapshotTable[[#This Row],[LC Target Gross]] - SnapshotTable[[#This Row],[LC Premium]], "")</f>
        <v/>
      </c>
      <c r="EA176" s="283" t="str">
        <f>IF(ISNUMBER(SnapshotTable[[#This Row],[LC Target Gain Loss]]), SnapshotTable[[#This Row],[LC Target Gain Loss]]/SnapshotTable[[#This Row],[LC Premium]], "")</f>
        <v/>
      </c>
      <c r="EB176" s="247"/>
      <c r="EC176" s="271" t="str">
        <f>IF(SnapshotTable[[#This Row],[LC Premium]]&gt;0, SnapshotTable[[#This Row],[LC Book Price]] * (1 - LC_StopLoss_Pct),"")</f>
        <v/>
      </c>
      <c r="ED176" s="269"/>
      <c r="EE176" s="271" t="str">
        <f>IF(ISNUMBER(SnapshotTable[[#This Row],[LC Contract Value]]),IF(ISNUMBER(SnapshotTable[[#This Row],[LC Stop Loss Override]]), SnapshotTable[[#This Row],[LC Stop Loss Override]],SnapshotTable[[#This Row],[LC Stop Loss Calc Target]]),"")</f>
        <v/>
      </c>
      <c r="EF176" s="292" t="str">
        <f>IF(ISNUMBER(SnapshotTable[[#This Row],[LC Stop  To Use]]), (SnapshotTable[[#This Row],[LC Stop  To Use]] * SnapshotTable[[#This Row],[LC Qty]] * 100),"")</f>
        <v/>
      </c>
      <c r="EG176" s="9" t="str">
        <f>IF(ISNUMBER(SnapshotTable[[#This Row],[LC Total Value]]),SnapshotTable[[#This Row],[LC Stop Loss Amount]] - SnapshotTable[[#This Row],[LC Premium]],"")</f>
        <v/>
      </c>
      <c r="EH176" s="9">
        <f>IF(ISNUMBER(SnapshotTable[[#This Row],[LC Premium]]), SnapshotTable[[#This Row],[LC Qty]] * 100 * SnapshotTable[[#This Row],[LC Strike Price]], "")</f>
        <v>0</v>
      </c>
      <c r="EI176" s="225" t="str">
        <f>IF(AND(ISNUMBER(SnapshotTable[[#This Row],[LC Total Value]]),SnapshotTable[[#This Row],[LC Total Value]]&gt;0),SnapshotTable[[#This Row],[LC Stop Gain Loss]]  / SnapshotTable[[#This Row],[LC Premium]],"")</f>
        <v/>
      </c>
      <c r="EJ176" s="35">
        <f>IF(ISNUMBER(SnapshotTable[[#This Row],[Equity Shares]]),TRUNC(SnapshotTable[[#This Row],[Equity Shares]] / 100),0) + SnapshotTable[[#This Row],[LC Qty]]</f>
        <v>0</v>
      </c>
      <c r="EK176" s="145"/>
      <c r="EL176" s="136"/>
      <c r="EM176" s="146"/>
      <c r="EN176" s="145"/>
      <c r="EO176" s="145"/>
      <c r="EP176" s="136"/>
      <c r="EQ176" s="382" t="b">
        <f>AND(ISNUMBER(SnapshotTable[[#This Row],[SC Exp Date]]), ISNUMBER(SnapshotTable[[#This Row],[SC Strike Price]]), ISNUMBER(SnapshotTable[[#This Row],[SC Qty]]), ISNUMBER(SnapshotTable[[#This Row],[SC Book Date]]), ISNUMBER(SnapshotTable[[#This Row],[SC Book Price]]))</f>
        <v>0</v>
      </c>
      <c r="ER176" s="382" t="b">
        <f>AND(SnapshotTable[[#This Row],[SC Is Booked]], NOT(ISBLANK(SnapshotTable[[#This Row],[SC Fill Date]])))</f>
        <v>0</v>
      </c>
      <c r="ES176" s="340"/>
      <c r="ET176" s="34" t="str">
        <f>IF(AND(ISNUMBER(SnapshotTable[[#This Row],[SC Exp Date]]), ISNUMBER(SnapshotTable[[#This Row],[SC Book Date]])), SnapshotTable[[#This Row],[SC Exp Date]] - MAX(SnapshotTable[[#This Row],[SC Book Date]], SnapshotTable[[#This Row],[SC Fill Date]]) + 1, "")</f>
        <v/>
      </c>
      <c r="EU176" s="34" t="str">
        <f>IF(ISNUMBER(SnapshotTable[[#This Row],[SC Term]]), SnapshotTable[[#This Row],[SC Exp Date]]- MockToday, "")</f>
        <v/>
      </c>
      <c r="EV176" s="31">
        <f>IF(SnapshotTable[[#This Row],[SC Is Booked]], SnapshotTable[[#This Row],[SC Qty]] * SnapshotTable[[#This Row],[SC Book Price]] * 100, 0)</f>
        <v>0</v>
      </c>
      <c r="EW176" s="4" t="str">
        <f>IF(AND(ISNUMBER(SnapshotTable[[#This Row],[Last Price]]), ISNUMBER( SnapshotTable[[#This Row],[SC Book Price]])), SnapshotTable[[#This Row],[Last Price]] - SnapshotTable[[#This Row],[SC Book Price]],"")</f>
        <v/>
      </c>
      <c r="EX176" s="219" t="str">
        <f>IF(SnapshotTable[[#This Row],[SC Is Booked]],IF(SnapshotTable[[#This Row],[SC Intrinsic Value]] &gt; 0, SnapshotTable[[#This Row],[SC Strike Price]], SnapshotTable[[#This Row],[Last Price]]), "")</f>
        <v/>
      </c>
      <c r="EY176" s="4">
        <f>IF(SnapshotTable[[#This Row],[SC Is Booked]], (MinimumPremiumRequired * SnapshotTable[[#This Row],[SC Basis]] * SnapshotTable[[#This Row],[SC Term]]), 0)</f>
        <v>0</v>
      </c>
      <c r="EZ176" s="268"/>
      <c r="FA176" s="204"/>
      <c r="FB176" s="340"/>
      <c r="FC176" s="4">
        <f>IF(SnapshotTable[[#This Row],[SC Is Filled]], btc_max_buyback_amount(SnapshotTable[[#This Row],[SC Fill Date]],SnapshotTable[[#This Row],[SC Exp Date]], SnapshotTable[[#This Row],[SC Book Price]]),0)</f>
        <v>0</v>
      </c>
      <c r="FD176" s="5"/>
      <c r="FE176" s="142" t="str">
        <f>IF(SnapshotTable[[#This Row],[SC Is Filled]], btc_next_cutoff_date(SnapshotTable[[#This Row],[SC Fill Date]],SnapshotTable[[#This Row],[SC Exp Date]]),"")</f>
        <v/>
      </c>
      <c r="FF176" s="4" t="str" cm="1">
        <f t="array" ref="FF176">IF(SnapshotTable[[#This Row],[SC Is Filled]], btc_should_buy_back(SnapshotTable[[#This Row],[SC Fill Date]], SnapshotTable[[#This Row],[SC Exp Date]], SnapshotTable[[#This Row],[SC Book Price]], SnapshotTable[[#This Row],[SC Current Ask]], MockToday, SnapshotTable[[#This Row],[SC Buyback Override]]),"")</f>
        <v/>
      </c>
      <c r="FG176" s="4">
        <f>IF(SnapshotTable[[#This Row],[SC Is Filled]], MAX(0,SnapshotTable[[#This Row],[Last Price]]  - SnapshotTable[[#This Row],[SC Strike Price]]), 0)</f>
        <v>0</v>
      </c>
      <c r="FH176" s="352">
        <f>IF(SnapshotTable[[#This Row],[SC Is Filled]], IF(ISNUMBER(SnapshotTable[[#This Row],[SC Current Ask]]), SnapshotTable[[#This Row],[SC Current Ask]], SnapshotTable[[#This Row],[SC Book Price]]) - SnapshotTable[[#This Row],[SC Intrinsic Value]], 0)</f>
        <v>0</v>
      </c>
      <c r="FI176" s="141"/>
      <c r="FJ176" s="32" t="str">
        <f>IF(SnapshotTable[[#This Row],[SC Is Filled]],100 * SnapshotTable[[#This Row],[SC Qty]] * IF(ISNUMBER(SnapshotTable[[#This Row],[SC Buyback Override]]), SnapshotTable[[#This Row],[SC Buyback Override]], SnapshotTable[[#This Row],[SC Current Ask]]), "")</f>
        <v/>
      </c>
      <c r="FK176" s="235" t="str">
        <f>IF(SnapshotTable[[#This Row],[SC Time Val]]&gt;0, SnapshotTable[[#This Row],[SC Time Val]] / SnapshotTable[[#This Row],[Last Price]],"")</f>
        <v/>
      </c>
      <c r="FL176" s="280" t="str">
        <f>IF(SnapshotTable[[#This Row],[SC Is Booked]], ((SnapshotTable[[#This Row],[Last Price]] -SnapshotTable[[#This Row],[SC Strike Price]]) / SnapshotTable[[#This Row],[Last Price]]) * -1, "")</f>
        <v/>
      </c>
      <c r="FM176" s="155" t="str">
        <f>IF(SnapshotTable[[#This Row],[SC Is Booked]],  (SnapshotTable[[#This Row],[SC Qty]] * 100 * SnapshotTable[[#This Row],[SC Strike Price]]) - SnapshotTable[[#This Row],[SC Current Ask]], "")</f>
        <v/>
      </c>
      <c r="FN176"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6" s="155" t="str">
        <f>IF(AND(ISNUMBER(SnapshotTable[[#This Row],[SC Exercise Gross]]), ISNUMBER(SnapshotTable[[#This Row],[Equity Basis Per Share]] )), SnapshotTable[[#This Row],[SC Exercise Gross]] - SnapshotTable[[#This Row],[Equity Basis Total]] +  SnapshotTable[[#This Row],[SC Premium]], "")</f>
        <v/>
      </c>
      <c r="FP176" s="5" t="str">
        <f>IF(ISNUMBER(SnapshotTable[[#This Row],[SC Exercise Gross]]), (SnapshotTable[[#This Row],[SC Exercise Gross]]) / (SnapshotTable[[#This Row],[SC Qty]] * 100), "")</f>
        <v/>
      </c>
      <c r="FQ176" s="27" t="str">
        <f>IF(SnapshotTable[[#This Row],[SC Is Booked]],SnapshotTable[[#This Row],[SC Time Val]] /SnapshotTable[[#This Row],[SC Basis]], "")</f>
        <v/>
      </c>
      <c r="FR176" s="27" t="str" cm="1">
        <f t="array" ref="FR176">IF(AND(ISNUMBER(SnapshotTable[[#This Row],[SC Term]]),ISNUMBER(SnapshotTable[[#This Row],[SC Simple ROO]])), EllmanAnnualize(SnapshotTable[[#This Row],[SC DTE]], SnapshotTable[[#This Row],[SC Simple ROO]] ),"")</f>
        <v/>
      </c>
      <c r="FS176" s="4">
        <f>IF(SnapshotTable[[#This Row],[SC Strike Price]] &gt; SnapshotTable[[#This Row],[Last Price]], SnapshotTable[[#This Row],[SC Strike Price]] - SnapshotTable[[#This Row],[Last Price]],0)</f>
        <v>0</v>
      </c>
      <c r="FT176" s="27" t="str">
        <f>IF(AND(ISNUMBER(SnapshotTable[[#This Row],[SC Upside Potential]]), SnapshotTable[[#This Row],[SC Upside Potential]] &gt; 0),(SnapshotTable[[#This Row],[SC Upside Potential]]/ SnapshotTable[[#This Row],[ACB]]),"")</f>
        <v/>
      </c>
      <c r="FU176" s="304" t="str">
        <f>IF(SnapshotTable[[#This Row],[SC Intrinsic Value]] &gt; 0,SnapshotTable[[#This Row],[SC Intrinsic Value]],"")</f>
        <v/>
      </c>
      <c r="FV176" s="27" t="str">
        <f>IF(AND( ISNUMBER( SnapshotTable[[#This Row],[ACB]]),ISNUMBER(SnapshotTable[[#This Row],[SC Downside Protect]])),SnapshotTable[[#This Row],[SC Downside Protect]] / SnapshotTable[[#This Row],[ACB]],"")</f>
        <v/>
      </c>
      <c r="FW176" s="221" t="str">
        <f>IF(AND(ISNUMBER(SnapshotTable[[#This Row],[SC Simple ROO]]),SnapshotTable[[#This Row],[SC Simple ROO]] &gt; 0), SnapshotTable[[#This Row],[SC Premium]] + (SnapshotTable[[#This Row],[SC Qty]] * SnapshotTable[[#This Row],[SC Upside Potential]]), "")</f>
        <v/>
      </c>
      <c r="FX176" s="280" t="str" cm="1">
        <f t="array" ref="FX176">IF(ISNUMBER(SnapshotTable[[#This Row],[SC Max Dollars]]), annualize(SnapshotTable[[#This Row],[SC Term]],(SnapshotTable[[#This Row],[SC Max Dollars]]/SnapshotTable[[#This Row],[SC Basis]])),"")</f>
        <v/>
      </c>
      <c r="FY176" s="221" t="str">
        <f>IF(AND(SnapshotTable[[#This Row],[SC Qty]]&gt;0,SnapshotTable[[#This Row],[SC Current Ask]]&gt;0), SnapshotTable[[#This Row],[SC Qty]] * SnapshotTable[[#This Row],[SC Current Ask]] * -100, "")</f>
        <v/>
      </c>
      <c r="FZ176" s="220" t="str">
        <f>IF(ISNUMBER((SnapshotTable[[#This Row],[SC Current Value]])), SnapshotTable[[#This Row],[SC Premium]] + SnapshotTable[[#This Row],[SC Current Value]], "")</f>
        <v/>
      </c>
      <c r="GA176" s="272" t="str">
        <f>IFERROR( IF(ISNUMBER((SnapshotTable[[#This Row],[SC Current Value]])), SnapshotTable[[#This Row],[SC Gain Loss]] / SnapshotTable[[#This Row],[SC Premium]], ""), "")</f>
        <v/>
      </c>
      <c r="GB176" s="42">
        <f>SnapshotTable[[#This Row],[Equity Shares]] * SaleSharesToConsiderPercentage</f>
        <v>0</v>
      </c>
      <c r="GC176" s="40">
        <f>SnapshotTable[[#This Row],[Long Term Target]] * SellingPriceToConsiderBasedOnTargetPercentage</f>
        <v>44.222499999999997</v>
      </c>
      <c r="GD176" s="40">
        <f>SnapshotTable[[#This Row],[Last Price]] * (1+ SellingPriceToConsiderBasedOnTargetPercentage)</f>
        <v>90.031500000000008</v>
      </c>
      <c r="GE176" s="41"/>
      <c r="GF176" s="40"/>
      <c r="GG176" s="31">
        <f>SnapshotTable[[#This Row],[Booked Sale Shares]] * SnapshotTable[[#This Row],[Booked Sale Price]]</f>
        <v>0</v>
      </c>
      <c r="GH176" s="31" t="str">
        <f>IF(SnapshotTable[[#This Row],[Equity Basis Total]] &gt; 0, SnapshotTable[[#This Row],[Equity Basis Per Share]] * SnapshotTable[[#This Row],[Booked Sale Shares]], "")</f>
        <v/>
      </c>
      <c r="GI176" s="31">
        <f>IF(SnapshotTable[[#This Row],[Sale Proceeds]]&gt;0, SnapshotTable[[#This Row],[Sale Proceeds]] - SnapshotTable[[#This Row],[Sale Basis]], 0)</f>
        <v>0</v>
      </c>
      <c r="GJ176" s="156" t="str">
        <f>IF(SnapshotTable[[#This Row],[Sale G/L]]&gt;0, SnapshotTable[[#This Row],[Sale G/L]] / SnapshotTable[[#This Row],[Sale Basis]], IF(ISNUMBER(SnapshotTable[[#This Row],[SC Exercise P&amp;L (TAX)]]), SnapshotTable[[#This Row],[SC Exercise P&amp;L (TAX)]] / SnapshotTable[[#This Row],[SC Basis]], ""))</f>
        <v/>
      </c>
      <c r="GK176" s="27"/>
      <c r="GL176" s="157" t="str">
        <f>IF(AND(SnapshotTable[[#This Row],[LP Exp Date]]&gt;0,SnapshotTable[[#This Row],[LP Strike Price]]&gt;0), [1]!ToOptionSymbol(SnapshotTable[[#This Row],[Symbol]], SnapshotTable[[#This Row],[LP Strike Price]],SnapshotTable[[#This Row],[LP Exp Date]],1), "")</f>
        <v/>
      </c>
      <c r="GM176" s="30" t="str">
        <f>IF(LEN(SnapshotTable[[#This Row],[LP Symbol]])&gt;0, 1, "")</f>
        <v/>
      </c>
      <c r="GN176" s="43" t="str">
        <f>IF(AND(SnapshotTable[[#This Row],[SP Exp Date]]&gt;0,SnapshotTable[[#This Row],[SP Strike Price]]&gt;0), [1]!ToOptionSymbol(SnapshotTable[[#This Row],[Symbol]], SnapshotTable[[#This Row],[SP Strike Price]],SnapshotTable[[#This Row],[SP Exp Date]],1), "")</f>
        <v/>
      </c>
      <c r="GO176" s="30" t="str">
        <f>IF(LEN(SnapshotTable[[#This Row],[SP Symbol]])&gt;0, 1, "")</f>
        <v/>
      </c>
      <c r="GP176" s="157" t="str">
        <f>IF(AND(SnapshotTable[[#This Row],[LC Exp Date]]&gt;0,SnapshotTable[[#This Row],[LC Strike Price]]&gt;0), [1]!ToOptionSymbol(SnapshotTable[[#This Row],[Symbol]], SnapshotTable[[#This Row],[LC Strike Price]],SnapshotTable[[#This Row],[LC Exp Date]],0), "")</f>
        <v/>
      </c>
      <c r="GQ176" s="158" t="str">
        <f>IF(LEN(SnapshotTable[[#This Row],[LC Symbol]])&gt;0, 1, "")</f>
        <v/>
      </c>
      <c r="GR176" s="157" t="str">
        <f>IF(AND(SnapshotTable[[#This Row],[SC Exp Date]]&gt;0,SnapshotTable[[#This Row],[SC Strike Price]]&gt;0), [1]!ToOptionSymbol(SnapshotTable[[#This Row],[Symbol]], SnapshotTable[[#This Row],[SC Strike Price]],SnapshotTable[[#This Row],[SC Exp Date]],0), "")</f>
        <v/>
      </c>
      <c r="GS176" s="158" t="str">
        <f>IF(LEN(SnapshotTable[[#This Row],[SC Symbol]])&gt;0, 1, "")</f>
        <v/>
      </c>
      <c r="GT176" s="159" t="str">
        <f>IF(COUNT(SnapshotTable[[#This Row],[LP Symbol Count]],SnapshotTable[[#This Row],[SP Symbol Count]],SnapshotTable[[#This Row],[LC Symbol Count]],SnapshotTable[[#This Row],[SC Symbol Count]])&gt;0, "Y", "")</f>
        <v/>
      </c>
      <c r="GU17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6" s="216">
        <f>MAX(SnapshotTable[[#This Row],[Equity Basis Total]],SnapshotTable[[#This Row],[Equity Value]]) + (SnapshotTable[[#This Row],[SP Potential Spend]]- SnapshotTable[[#This Row],[SP Premium]] + SnapshotTable[[#This Row],[LP Premium]])+ (SnapshotTable[[#This Row],[LC Premium]] - SnapshotTable[[#This Row],[SC Premium]])</f>
        <v>0</v>
      </c>
      <c r="GW176" s="137" t="str">
        <f>IF(AND(SnapshotTable[[#This Row],[Exposure]] &lt;&gt; 0),SnapshotTable[[#This Row],[Exposure]] / SnapshotTable[[#Totals],[Exposure]], "")</f>
        <v/>
      </c>
      <c r="HE176" s="253"/>
      <c r="HF176" s="253"/>
      <c r="HK176" s="1"/>
      <c r="HL176" s="1"/>
      <c r="HM176" s="1"/>
      <c r="HN176" s="1"/>
      <c r="HO176" s="1"/>
      <c r="HP176" s="1"/>
    </row>
    <row r="177" spans="2:224" ht="12.75" hidden="1" customHeight="1" x14ac:dyDescent="0.25">
      <c r="B177" s="12" t="s">
        <v>117</v>
      </c>
      <c r="C177" s="385">
        <v>56.45</v>
      </c>
      <c r="D177" s="200"/>
      <c r="E177" s="39">
        <f>SnapshotTable[[#This Row],[Last Price]]*(1 -CrashDiscount)</f>
        <v>47.982500000000002</v>
      </c>
      <c r="F177" s="26" t="s">
        <v>73</v>
      </c>
      <c r="G177" s="26" t="s">
        <v>10</v>
      </c>
      <c r="H177" s="147"/>
      <c r="I177" s="186">
        <v>44782</v>
      </c>
      <c r="J177" s="187">
        <v>44782</v>
      </c>
      <c r="K177" s="188"/>
      <c r="L177" s="297"/>
      <c r="M177" s="138"/>
      <c r="N177" s="138"/>
      <c r="O177" s="138"/>
      <c r="P177" s="22"/>
      <c r="Q177" s="25"/>
      <c r="R177" s="4" t="str">
        <f>IF(SnapshotTable[[#This Row],[Equity Basis Total]] &gt; 0, SnapshotTable[[#This Row],[Equity Basis Total]] / SnapshotTable[[#This Row],[Equity Shares]], "")</f>
        <v/>
      </c>
      <c r="S177" s="254">
        <f>SnapshotTable[[#This Row],[Last Price]] * SnapshotTable[[#This Row],[Equity Shares]]</f>
        <v>0</v>
      </c>
      <c r="T177" s="254">
        <f>SnapshotTable[[#This Row],[Equity Value]] - SnapshotTable[[#This Row],[Equity Basis Total]]</f>
        <v>0</v>
      </c>
      <c r="U177" s="255" t="str">
        <f>IF(SnapshotTable[[#This Row],[Equity Basis Total]] &gt; 0, SnapshotTable[[#This Row],[Equity G/L]] / SnapshotTable[[#This Row],[Equity Basis Total]], "")</f>
        <v/>
      </c>
      <c r="V177" s="253"/>
      <c r="W177" s="253"/>
      <c r="X177" s="4" t="str">
        <f>IF(AND(ISNUMBER(SnapshotTable[[#This Row],[Equity Basis Per Share]]),ISNUMBER(SnapshotTable[[#This Row],[Equity Target]])),SnapshotTable[[#This Row],[Equity Target]]-SnapshotTable[[#This Row],[Equity Basis Per Share]],"")</f>
        <v/>
      </c>
      <c r="Y177" s="4" t="str">
        <f>IF(AND(ISNUMBER(SnapshotTable[[#This Row],[Equity Basis Per Share]]),ISNUMBER(SnapshotTable[[#This Row],[Equity Stop Loss]])),SnapshotTable[[#This Row],[Equity Stop Loss]]-SnapshotTable[[#This Row],[Equity Basis Per Share]],"")</f>
        <v/>
      </c>
      <c r="Z177" s="260" t="str">
        <f>IFERROR( TEXT(SnapshotTable[[#This Row],[Equity Max Gain Per Share]] /ABS( SnapshotTable[[#This Row],[Equity Max Loss Per Share]]),"0.0 " ) &amp; " : 1", "")</f>
        <v/>
      </c>
      <c r="AA177" s="31" t="str">
        <f>IF(ISNUMBER(SnapshotTable[[#This Row],[Equity Max Gain Per Share]]),SnapshotTable[[#This Row],[Equity Max Gain Per Share]] * SnapshotTable[[#This Row],[Equity Shares]],"")</f>
        <v/>
      </c>
      <c r="AB177" s="31" t="str">
        <f>IF(ISNUMBER(SnapshotTable[[#This Row],[Equity Max Loss Per Share]]),SnapshotTable[[#This Row],[Equity Max Loss Per Share]] * SnapshotTable[[#This Row],[Equity Shares]],"")</f>
        <v/>
      </c>
      <c r="AC177" s="148">
        <v>0.3</v>
      </c>
      <c r="AD177" s="149">
        <v>42291</v>
      </c>
      <c r="AE177" s="31">
        <f>(SnapshotTable[[#This Row],[Annual Dividend Per Share]] / 4) * SnapshotTable[[#This Row],[Equity Shares]]</f>
        <v>0</v>
      </c>
      <c r="AF177" s="31">
        <f>SnapshotTable[[#This Row],[Quarterly Div $]] * 4</f>
        <v>0</v>
      </c>
      <c r="AG177" s="7">
        <f>IF(SnapshotTable[[#This Row],[Annual Dividend Per Share]]&gt;0, SnapshotTable[[#This Row],[Annual Dividend Per Share]]  / SnapshotTable[[#This Row],[Last Price]], 0)</f>
        <v>5.3144375553587243E-3</v>
      </c>
      <c r="AH177" s="149">
        <v>42249</v>
      </c>
      <c r="AI177" s="5"/>
      <c r="AJ177" s="136">
        <v>34.270000000000003</v>
      </c>
      <c r="AK177" s="150" t="str">
        <f>IF(ISNUMBER( SnapshotTable[[#This Row],[EBF Target]]),(SnapshotTable[[#This Row],[EBF Target]] - SnapshotTable[[#This Row],[Last Price]]) / SnapshotTable[[#This Row],[Last Price]], "")</f>
        <v/>
      </c>
      <c r="AL177" s="150" t="str">
        <f>IF(AND(SnapshotTable[[#This Row],[Equity Basis Total]] &gt; 0,ISNUMBER( SnapshotTable[[#This Row],[Long Term Target]])), SnapshotTable[[#This Row],[From Basis $]] / SnapshotTable[[#This Row],[Equity Basis Total]], "")</f>
        <v/>
      </c>
      <c r="AM177" s="9">
        <f>IF( AND(SnapshotTable[[#This Row],[Equity Shares]] &gt;0,ISNUMBER( SnapshotTable[[#This Row],[Long Term Target]])),(SnapshotTable[[#This Row],[Equity Shares]] * SnapshotTable[[#This Row],[Long Term Target]]) - SnapshotTable[[#This Row],[Equity Basis Total]],0)</f>
        <v>0</v>
      </c>
      <c r="AN177" s="9">
        <f>IF( AND(SnapshotTable[[#This Row],[Equity Shares]] &gt;0,ISNUMBER( SnapshotTable[[#This Row],[Long Term Target]])),(SnapshotTable[[#This Row],[Equity Shares]]*SnapshotTable[[#This Row],[Long Term Target]]) - SnapshotTable[[#This Row],[Equity Value]],0)</f>
        <v>0</v>
      </c>
      <c r="AO177" s="150">
        <f>IF(AND(ISNUMBER( SnapshotTable[[#This Row],[Long Term Target]]), ISNUMBER(SnapshotTable[[#This Row],[Last Price]])),(SnapshotTable[[#This Row],[Long Term Target]] - SnapshotTable[[#This Row],[Last Price]]) / SnapshotTable[[#This Row],[Last Price]], "")</f>
        <v>-0.39291408325952165</v>
      </c>
      <c r="AP177" s="5"/>
      <c r="AQ177" s="38"/>
      <c r="AR177" s="5"/>
      <c r="AS177" s="38"/>
      <c r="AT177" s="144"/>
      <c r="AU177" s="185" t="str">
        <f>IF(OR(SnapshotTable[[#This Row],[LP No Fill]]="Y",SnapshotTable[[#This Row],[SP Is Filled]],SnapshotTable[[#This Row],[LC Not Filled]]="Y",SnapshotTable[[#This Row],[SC Is Filled]]),"Y","")</f>
        <v/>
      </c>
      <c r="AV177" s="205"/>
      <c r="AW177" s="211"/>
      <c r="AX177" s="206"/>
      <c r="AY177" s="205" t="str">
        <f>IF(SnapshotTable[[#This Row],[Implied Move]]&gt;0, SnapshotTable[[#This Row],[Last Price]]-SnapshotTable[[#This Row],[Implied Move]],"")</f>
        <v/>
      </c>
      <c r="AZ177" s="205" t="str">
        <f>IF(SnapshotTable[[#This Row],[Implied Move]]&gt;0, SnapshotTable[[#This Row],[Last Price]] + SnapshotTable[[#This Row],[Implied Move]],"")</f>
        <v/>
      </c>
      <c r="BA177" s="302"/>
      <c r="BB177" s="318"/>
      <c r="BC17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7" s="321"/>
      <c r="BE177" s="5"/>
      <c r="BF177" s="14"/>
      <c r="BG177" s="13"/>
      <c r="BH177" s="13"/>
      <c r="BI177" s="5"/>
      <c r="BJ177" s="134">
        <f>IF(SnapshotTable[[#This Row],[LP Qty]] &gt; 0, SnapshotTable[[#This Row],[LP Qty]] * SnapshotTable[[#This Row],[LP Book Price]] * 100,0)</f>
        <v>0</v>
      </c>
      <c r="BK177" s="134">
        <f>IF(SnapshotTable[[#This Row],[LP Premium]] &gt; 0, SnapshotTable[[#This Row],[LP Qty]] * SnapshotTable[[#This Row],[LP Strike Price]] * 100,0)</f>
        <v>0</v>
      </c>
      <c r="BL177" s="152"/>
      <c r="BM177" s="355" t="str">
        <f>IF(SnapshotTable[[#This Row],[LP Premium]] &gt; 0,SnapshotTable[[#This Row],[LP Exp Date]]-MAX(SnapshotTable[[#This Row],[LP Book Date]], SnapshotTable[[#This Row],[LP Fill Date]]),"")</f>
        <v/>
      </c>
      <c r="BN177" s="355" t="str">
        <f>IF(ISNUMBER( SnapshotTable[[#This Row],[LP Term]]), SnapshotTable[[#This Row],[LP Exp Date]] - MockToday,"")</f>
        <v/>
      </c>
      <c r="BO177" s="161" t="str">
        <f>IF(AND(SnapshotTable[[#This Row],[LP Exp Date]]&gt;0, SnapshotTable[[#This Row],[LP Strike Price]]&gt;0,SnapshotTable[[#This Row],[LP Qty]]&gt;0,SnapshotTable[[#This Row],[LP Book Date]]&gt;0,SnapshotTable[[#This Row],[LP Book Price]]&gt;0,SnapshotTable[[#This Row],[LP Fill Date]]=0),"Y","")</f>
        <v/>
      </c>
      <c r="BP177" s="31" t="str">
        <f>IF(AND(SnapshotTable[[#This Row],[LP No Fill]]&lt;&gt;"Y",SnapshotTable[[#This Row],[LP Contract Value]]&gt;0, SnapshotTable[[#This Row],[LP Qty]]&gt;0), SnapshotTable[[#This Row],[LP Contract Value]]*SnapshotTable[[#This Row],[LP Qty]]*100,"")</f>
        <v/>
      </c>
      <c r="BQ177" s="13"/>
      <c r="BR177" s="5"/>
      <c r="BS177" s="36"/>
      <c r="BT177" s="145"/>
      <c r="BU177" s="13"/>
      <c r="BV177" s="5"/>
      <c r="BW177" s="382" t="b">
        <f>AND(ISNUMBER(SnapshotTable[[#This Row],[SP Exp Date]]), ISNUMBER(SnapshotTable[[#This Row],[SP Strike Price]]), ISNUMBER(SnapshotTable[[#This Row],[SP Qty]]), ISNUMBER(SnapshotTable[[#This Row],[SP Book Date]]), ISNUMBER(SnapshotTable[[#This Row],[SP Book Price]]))</f>
        <v>0</v>
      </c>
      <c r="BX177" s="382" t="b">
        <f>AND(SnapshotTable[[#This Row],[SP Is Booked]], NOT(ISBLANK(SnapshotTable[[#This Row],[SP Fill Date]])))</f>
        <v>0</v>
      </c>
      <c r="BY177" s="33">
        <f>IF(SnapshotTable[[#This Row],[SP Is Booked]], SnapshotTable[[#This Row],[SP Qty]] * SnapshotTable[[#This Row],[SP Book Price]] * 100, 0)</f>
        <v>0</v>
      </c>
      <c r="BZ177" s="339"/>
      <c r="CA177" s="338">
        <f>SnapshotTable[[#This Row],[LP Qty]]</f>
        <v>0</v>
      </c>
      <c r="CB177" s="4" t="str">
        <f>IF(SnapshotTable[[#This Row],[SP Is Booked]], SnapshotTable[[#This Row],[SP Strike Price]] - SnapshotTable[[#This Row],[SP Book Price]], "")</f>
        <v/>
      </c>
      <c r="CC177" s="19" t="str">
        <f>IF(SnapshotTable[[#This Row],[SP Is Booked]],SnapshotTable[[#This Row],[SP Exp Date]]-MAX(SnapshotTable[[#This Row],[SP Book Date]], SnapshotTable[[#This Row],[SP Fill Date]]),"")</f>
        <v/>
      </c>
      <c r="CD177" s="7" t="str">
        <f>IF(SnapshotTable[[#This Row],[SP Is Booked]], SnapshotTable[[#This Row],[SP Book Price]]/SnapshotTable[[#This Row],[SP Strike Price]], "")</f>
        <v/>
      </c>
      <c r="CE177" s="7" t="str">
        <f>IF(ISNUMBER(SnapshotTable[[#This Row],[SP ROO Term]]),SnapshotTable[[#This Row],[SP ROO Term]]*(365/SnapshotTable[[#This Row],[SP Term]]),"")</f>
        <v/>
      </c>
      <c r="CF177" s="221">
        <f>SnapshotTable[[#This Row],[LP Strike Price]] * SnapshotTable[[#This Row],[LP Qty]] * 100</f>
        <v>0</v>
      </c>
      <c r="CG177" s="31">
        <f>IF(ISNUMBER(SnapshotTable[[#This Row],[SP Premium]]), (SnapshotTable[[#This Row],[SP Qty]] * SnapshotTable[[#This Row],[SP Strike Price]]* 100) - SnapshotTable[[#This Row],[LP Protection]], 0)</f>
        <v>0</v>
      </c>
      <c r="CH177" s="7" t="str">
        <f>IF(ISNUMBER(SnapshotTable[[#This Row],[SP Break Even]]),-1 * (SnapshotTable[[#This Row],[SP Break Even]] - SnapshotTable[[#This Row],[Last Price]]) / SnapshotTable[[#This Row],[Last Price]], "")</f>
        <v/>
      </c>
      <c r="CI177" s="31">
        <f>IF(AND(ISNUMBER((SnapshotTable[[#This Row],[SP Potential Spend]])), SnapshotTable[[#This Row],[SP Strike Price]] &gt; SnapshotTable[[#This Row],[Last Price]], SnapshotTable[[#This Row],[SP Is Filled]]), SnapshotTable[[#This Row],[SP Potential Spend]] -  SnapshotTable[[#This Row],[LP Max Value]], 0)</f>
        <v>0</v>
      </c>
      <c r="CJ177" s="229"/>
      <c r="CK177" s="31">
        <f>IF(ISNUMBER(SnapshotTable[[#This Row],[SP Potential Spend]]),IF(ISNUMBER(SnapshotTable[[#This Row],[SP POW]]), SnapshotTable[[#This Row],[SP POW]] * SnapshotTable[[#This Row],[SP Potential Spend]], SnapshotTable[[#This Row],[SP Potential Spend]]), "")</f>
        <v>0</v>
      </c>
      <c r="CL177" s="162">
        <f>IF(NOT(SnapshotTable[[#This Row],[SP Is Filled]]),(SnapshotTable[[#This Row],[SP Qty]] * SnapshotTable[[#This Row],[SP Strike Price]] * 100) - SnapshotTable[[#This Row],[LP Max Value]],"")</f>
        <v>0</v>
      </c>
      <c r="CM177" s="31" t="str">
        <f>IF(SnapshotTable[[#This Row],[SP Actual Spend]]&lt;&gt;0, ((SnapshotTable[[#This Row],[SP Strike Price]]-SnapshotTable[[#This Row],[Last Price]]) *(SnapshotTable[[#This Row],[SP Qty]]*100) - SnapshotTable[[#This Row],[SP Premium]]) * - 1, "")</f>
        <v/>
      </c>
      <c r="CN177" s="76"/>
      <c r="CO177" s="339"/>
      <c r="CP177" s="4" t="str">
        <f>IF(SnapshotTable[[#This Row],[SP Is Filled]], btc_max_buyback_amount(SnapshotTable[[#This Row],[SP Fill Date]],SnapshotTable[[#This Row],[SP Exp Date]], SnapshotTable[[#This Row],[SP Book Price]]),"")</f>
        <v/>
      </c>
      <c r="CQ177" s="76"/>
      <c r="CR17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7" s="153" t="str">
        <f>IF(SnapshotTable[[#This Row],[SP Is Filled]], btc_next_cutoff_date(SnapshotTable[[#This Row],[SP Fill Date]],SnapshotTable[[#This Row],[SP Exp Date]]),"")</f>
        <v/>
      </c>
      <c r="CT177" s="220" t="str" cm="1">
        <f t="array" ref="CT177">IF(SnapshotTable[[#This Row],[SP Is Filled]], btc_should_buy_back(SnapshotTable[[#This Row],[SP Fill Date]], SnapshotTable[[#This Row],[SP Exp Date]], SnapshotTable[[#This Row],[SP Book Price]], SnapshotTable[[#This Row],[SP Current Ask]], MockToday, SnapshotTable[[#This Row],[SP Buyback Override]]),"")</f>
        <v/>
      </c>
      <c r="CU177" s="141"/>
      <c r="CV177" s="220"/>
      <c r="CW177" s="348" t="str">
        <f>IF(ISNUMBER( SnapshotTable[[#This Row],[SP Term]]), SnapshotTable[[#This Row],[SP Exp Date]] - MockToday,"")</f>
        <v/>
      </c>
      <c r="CX177" s="31" t="str">
        <f>IF(SnapshotTable[[#This Row],[SP Is Filled]],SnapshotTable[[#This Row],[SP Buyback Price to Use]] * 100 * SnapshotTable[[#This Row],[SP Qty]], "")</f>
        <v/>
      </c>
      <c r="CY177" s="4" t="str">
        <f>IF(ISNUMBER(SnapshotTable[[#This Row],[SP Strike Price]]), SnapshotTable[[#This Row],[SP Strike Price]] * (1 - SP_MaxLoss_StrikePct), "")</f>
        <v/>
      </c>
      <c r="CZ177" s="31" t="str">
        <f>IF(ISNUMBER(SnapshotTable[[#This Row],[SP Strike  Stop Per Share]]),SnapshotTable[[#This Row],[SP Premium]] - ((SnapshotTable[[#This Row],[SP Strike Price]]-SnapshotTable[[#This Row],[SP Strike  Stop Per Share]]) *(SnapshotTable[[#This Row],[SP Qty]] * 100)),"")</f>
        <v/>
      </c>
      <c r="DA177" s="4" t="str">
        <f>IF(AND(ISNUMBER(SnapshotTable[[#This Row],[SP Premium]]),SnapshotTable[[#This Row],[SP Premium]]&gt;0), SnapshotTable[[#This Row],[SP Book Price]] * (1 + SP_MaxLoss_OptionPct), "")</f>
        <v/>
      </c>
      <c r="DB177" s="31" t="str">
        <f>IF(ISNUMBER(SnapshotTable[[#This Row],[SP Option  Stop Contract]]),(SnapshotTable[[#This Row],[SP Option  Stop Contract]] *(SnapshotTable[[#This Row],[SP Qty]] * 100) - SnapshotTable[[#This Row],[SP Premium]]),"")</f>
        <v/>
      </c>
      <c r="DC177" s="4"/>
      <c r="DD177" s="4"/>
      <c r="DE177" s="4" t="str">
        <f>IF(AND(SnapshotTable[[#This Row],[SP Qty]]&gt;0, SnapshotTable[[#This Row],[SP Stop To Use]]&gt;0),SnapshotTable[[#This Row],[SP Premium]] - ( SnapshotTable[[#This Row],[SP Qty]] * SnapshotTable[[#This Row],[SP Stop To Use]] * 100), "")</f>
        <v/>
      </c>
      <c r="DF177" s="31" t="str">
        <f>IF(AND(SnapshotTable[[#This Row],[SP Qty]]&gt;0,SnapshotTable[[#This Row],[SP Current Ask]]&gt;0), SnapshotTable[[#This Row],[SP Qty]] * SnapshotTable[[#This Row],[SP Current Ask]] * -100, "")</f>
        <v/>
      </c>
      <c r="DG177" s="31" t="str">
        <f>IF(ISNUMBER((SnapshotTable[[#This Row],[SP Total Value]])), SnapshotTable[[#This Row],[SP Premium]] + SnapshotTable[[#This Row],[SP Total Value]], "")</f>
        <v/>
      </c>
      <c r="DH177" s="272" t="str">
        <f>IF(ISNUMBER((SnapshotTable[[#This Row],[SP Total Value]])), SnapshotTable[[#This Row],[SP Gain Loss]] / SnapshotTable[[#This Row],[SP Premium]], "")</f>
        <v/>
      </c>
      <c r="DI177" s="369"/>
      <c r="DJ177" s="136"/>
      <c r="DK177" s="146"/>
      <c r="DL177" s="13"/>
      <c r="DM177" s="13"/>
      <c r="DO177" s="31">
        <f>IF(SnapshotTable[[#This Row],[LC Symbol Count]]=1, SnapshotTable[[#This Row],[LC Qty]] * SnapshotTable[[#This Row],[LC Book Price]] * 100, 0)</f>
        <v>0</v>
      </c>
      <c r="DP177" s="161" t="str">
        <f>IF(AND(SnapshotTable[[#This Row],[LC Exp Date]]&gt;0, SnapshotTable[[#This Row],[LC Strike Price]]&gt;0,SnapshotTable[[#This Row],[LC Qty]]&gt;0,SnapshotTable[[#This Row],[LC Book Date]]&gt;0,SnapshotTable[[#This Row],[LC Book Price]]&gt;0,SnapshotTable[[#This Row],[LC Fill Date]]=0),"Y","")</f>
        <v/>
      </c>
      <c r="DQ177" s="356" t="str">
        <f>IF(SnapshotTable[[#This Row],[LC Premium]] &gt; 0,SnapshotTable[[#This Row],[LC Exp Date]]-MAX(SnapshotTable[[#This Row],[LC Book Date]], SnapshotTable[[#This Row],[LC Fill Date]]),"")</f>
        <v/>
      </c>
      <c r="DR177" s="356" t="str">
        <f>IF(ISNUMBER(SnapshotTable[[#This Row],[LC Term]]), SnapshotTable[[#This Row],[LC Exp Date]] - MockToday, "")</f>
        <v/>
      </c>
      <c r="DS177" s="219" t="str">
        <f>IF(SnapshotTable[[#This Row],[LC Premium]]&gt;0,SnapshotTable[[#This Row],[LC Strike Price]] + SnapshotTable[[#This Row],[LC Book Price]],"")</f>
        <v/>
      </c>
      <c r="DU177" s="9" t="str">
        <f>IF(AND(SnapshotTable[[#This Row],[LC Symbol Count]]&gt;0, SnapshotTable[[#This Row],[LC Contract Value]]&gt;0), SnapshotTable[[#This Row],[LC Contract Value]] * SnapshotTable[[#This Row],[LC Qty]] * 100, "")</f>
        <v/>
      </c>
      <c r="DV177" s="9" t="str">
        <f>IF(AND(ISNUMBER(SnapshotTable[[#This Row],[LC Total Value]]), SnapshotTable[[#This Row],[LC Not Filled]]&lt;&gt;"Y"), SnapshotTable[[#This Row],[LC Total Value]]-SnapshotTable[[#This Row],[LC Premium]],"")</f>
        <v/>
      </c>
      <c r="DW177" s="225" t="str">
        <f>IF(ISNUMBER(SnapshotTable[[#This Row],[LC Actual Gain Loss]]), SnapshotTable[[#This Row],[LC Actual Gain Loss]] / SnapshotTable[[#This Row],[LC Premium]],"")</f>
        <v/>
      </c>
      <c r="DX177" s="269" t="str">
        <f>IF(ISNUMBER(SnapshotTable[[#This Row],[LC Book Price]]),SnapshotTable[[#This Row],[LC Book Price]] * 1.5,"")</f>
        <v/>
      </c>
      <c r="DY177" s="250" t="str">
        <f>IF(SnapshotTable[[#This Row],[LC Premium]]&gt;0, SnapshotTable[[#This Row],[LC Next Target]] * SnapshotTable[[#This Row],[LC Qty]] * 100,"")</f>
        <v/>
      </c>
      <c r="DZ177" s="250" t="str">
        <f>IF(ISNUMBER(SnapshotTable[[#This Row],[LC Target Gross]]), SnapshotTable[[#This Row],[LC Target Gross]] - SnapshotTable[[#This Row],[LC Premium]], "")</f>
        <v/>
      </c>
      <c r="EA177" s="283" t="str">
        <f>IF(ISNUMBER(SnapshotTable[[#This Row],[LC Target Gain Loss]]), SnapshotTable[[#This Row],[LC Target Gain Loss]]/SnapshotTable[[#This Row],[LC Premium]], "")</f>
        <v/>
      </c>
      <c r="EB177" s="247"/>
      <c r="EC177" s="268" t="str">
        <f>IF(SnapshotTable[[#This Row],[LC Premium]]&gt;0, SnapshotTable[[#This Row],[LC Book Price]] * (1 - LC_StopLoss_Pct),"")</f>
        <v/>
      </c>
      <c r="ED177" s="269"/>
      <c r="EE177" s="268" t="str">
        <f>IF(ISNUMBER(SnapshotTable[[#This Row],[LC Contract Value]]),IF(ISNUMBER(SnapshotTable[[#This Row],[LC Stop Loss Override]]), SnapshotTable[[#This Row],[LC Stop Loss Override]],SnapshotTable[[#This Row],[LC Stop Loss Calc Target]]),"")</f>
        <v/>
      </c>
      <c r="EF177" s="31" t="str">
        <f>IF(ISNUMBER(SnapshotTable[[#This Row],[LC Stop  To Use]]), (SnapshotTable[[#This Row],[LC Stop  To Use]] * SnapshotTable[[#This Row],[LC Qty]] * 100),"")</f>
        <v/>
      </c>
      <c r="EG177" s="9" t="str">
        <f>IF(ISNUMBER(SnapshotTable[[#This Row],[LC Total Value]]),SnapshotTable[[#This Row],[LC Stop Loss Amount]] - SnapshotTable[[#This Row],[LC Premium]],"")</f>
        <v/>
      </c>
      <c r="EH177" s="9">
        <f>IF(ISNUMBER(SnapshotTable[[#This Row],[LC Premium]]), SnapshotTable[[#This Row],[LC Qty]] * 100 * SnapshotTable[[#This Row],[LC Strike Price]], "")</f>
        <v>0</v>
      </c>
      <c r="EI177" s="225" t="str">
        <f>IF(AND(ISNUMBER(SnapshotTable[[#This Row],[LC Total Value]]),SnapshotTable[[#This Row],[LC Total Value]]&gt;0),SnapshotTable[[#This Row],[LC Stop Gain Loss]]  / SnapshotTable[[#This Row],[LC Premium]],"")</f>
        <v/>
      </c>
      <c r="EJ177" s="35">
        <f>IF(ISNUMBER(SnapshotTable[[#This Row],[Equity Shares]]),TRUNC(SnapshotTable[[#This Row],[Equity Shares]] / 100),0) + SnapshotTable[[#This Row],[LC Qty]]</f>
        <v>0</v>
      </c>
      <c r="EK177" s="145"/>
      <c r="EL177" s="136"/>
      <c r="EM177" s="146"/>
      <c r="EN177" s="145"/>
      <c r="EO177" s="145"/>
      <c r="EP177" s="136"/>
      <c r="EQ177" s="382" t="b">
        <f>AND(ISNUMBER(SnapshotTable[[#This Row],[SC Exp Date]]), ISNUMBER(SnapshotTable[[#This Row],[SC Strike Price]]), ISNUMBER(SnapshotTable[[#This Row],[SC Qty]]), ISNUMBER(SnapshotTable[[#This Row],[SC Book Date]]), ISNUMBER(SnapshotTable[[#This Row],[SC Book Price]]))</f>
        <v>0</v>
      </c>
      <c r="ER177" s="382" t="b">
        <f>AND(SnapshotTable[[#This Row],[SC Is Booked]], NOT(ISBLANK(SnapshotTable[[#This Row],[SC Fill Date]])))</f>
        <v>0</v>
      </c>
      <c r="ES177" s="340"/>
      <c r="ET177" s="34" t="str">
        <f>IF(AND(ISNUMBER(SnapshotTable[[#This Row],[SC Exp Date]]), ISNUMBER(SnapshotTable[[#This Row],[SC Book Date]])), SnapshotTable[[#This Row],[SC Exp Date]] - MAX(SnapshotTable[[#This Row],[SC Book Date]], SnapshotTable[[#This Row],[SC Fill Date]]) + 1, "")</f>
        <v/>
      </c>
      <c r="EU177" s="34" t="str">
        <f>IF(ISNUMBER(SnapshotTable[[#This Row],[SC Term]]), SnapshotTable[[#This Row],[SC Exp Date]]- MockToday, "")</f>
        <v/>
      </c>
      <c r="EV177" s="31">
        <f>IF(SnapshotTable[[#This Row],[SC Is Booked]], SnapshotTable[[#This Row],[SC Qty]] * SnapshotTable[[#This Row],[SC Book Price]] * 100, 0)</f>
        <v>0</v>
      </c>
      <c r="EW177" s="4" t="str">
        <f>IF(AND(ISNUMBER(SnapshotTable[[#This Row],[Last Price]]), ISNUMBER( SnapshotTable[[#This Row],[SC Book Price]])), SnapshotTable[[#This Row],[Last Price]] - SnapshotTable[[#This Row],[SC Book Price]],"")</f>
        <v/>
      </c>
      <c r="EX177" s="219" t="str">
        <f>IF(SnapshotTable[[#This Row],[SC Is Booked]],IF(SnapshotTable[[#This Row],[SC Intrinsic Value]] &gt; 0, SnapshotTable[[#This Row],[SC Strike Price]], SnapshotTable[[#This Row],[Last Price]]), "")</f>
        <v/>
      </c>
      <c r="EY177" s="4">
        <f>IF(SnapshotTable[[#This Row],[SC Is Booked]], (MinimumPremiumRequired * SnapshotTable[[#This Row],[SC Basis]] * SnapshotTable[[#This Row],[SC Term]]), 0)</f>
        <v>0</v>
      </c>
      <c r="EZ177" s="268"/>
      <c r="FA177" s="204"/>
      <c r="FB177" s="340"/>
      <c r="FC177" s="4">
        <f>IF(SnapshotTable[[#This Row],[SC Is Filled]], btc_max_buyback_amount(SnapshotTable[[#This Row],[SC Fill Date]],SnapshotTable[[#This Row],[SC Exp Date]], SnapshotTable[[#This Row],[SC Book Price]]),0)</f>
        <v>0</v>
      </c>
      <c r="FD177" s="5"/>
      <c r="FE177" s="142" t="str">
        <f>IF(SnapshotTable[[#This Row],[SC Is Filled]], btc_next_cutoff_date(SnapshotTable[[#This Row],[SC Fill Date]],SnapshotTable[[#This Row],[SC Exp Date]]),"")</f>
        <v/>
      </c>
      <c r="FF177" s="4" t="str" cm="1">
        <f t="array" ref="FF177">IF(SnapshotTable[[#This Row],[SC Is Filled]], btc_should_buy_back(SnapshotTable[[#This Row],[SC Fill Date]], SnapshotTable[[#This Row],[SC Exp Date]], SnapshotTable[[#This Row],[SC Book Price]], SnapshotTable[[#This Row],[SC Current Ask]], MockToday, SnapshotTable[[#This Row],[SC Buyback Override]]),"")</f>
        <v/>
      </c>
      <c r="FG177" s="4">
        <f>IF(SnapshotTable[[#This Row],[SC Is Filled]], MAX(0,SnapshotTable[[#This Row],[Last Price]]  - SnapshotTable[[#This Row],[SC Strike Price]]), 0)</f>
        <v>0</v>
      </c>
      <c r="FH177" s="352">
        <f>IF(SnapshotTable[[#This Row],[SC Is Filled]], IF(ISNUMBER(SnapshotTable[[#This Row],[SC Current Ask]]), SnapshotTable[[#This Row],[SC Current Ask]], SnapshotTable[[#This Row],[SC Book Price]]) - SnapshotTable[[#This Row],[SC Intrinsic Value]], 0)</f>
        <v>0</v>
      </c>
      <c r="FI177" s="141"/>
      <c r="FJ177" s="32" t="str">
        <f>IF(SnapshotTable[[#This Row],[SC Is Filled]],100 * SnapshotTable[[#This Row],[SC Qty]] * IF(ISNUMBER(SnapshotTable[[#This Row],[SC Buyback Override]]), SnapshotTable[[#This Row],[SC Buyback Override]], SnapshotTable[[#This Row],[SC Current Ask]]), "")</f>
        <v/>
      </c>
      <c r="FK177" s="235" t="str">
        <f>IF(SnapshotTable[[#This Row],[SC Time Val]]&gt;0, SnapshotTable[[#This Row],[SC Time Val]] / SnapshotTable[[#This Row],[Last Price]],"")</f>
        <v/>
      </c>
      <c r="FL177" s="280" t="str">
        <f>IF(SnapshotTable[[#This Row],[SC Is Booked]], ((SnapshotTable[[#This Row],[Last Price]] -SnapshotTable[[#This Row],[SC Strike Price]]) / SnapshotTable[[#This Row],[Last Price]]) * -1, "")</f>
        <v/>
      </c>
      <c r="FM177" s="155" t="str">
        <f>IF(SnapshotTable[[#This Row],[SC Is Booked]],  (SnapshotTable[[#This Row],[SC Qty]] * 100 * SnapshotTable[[#This Row],[SC Strike Price]]) - SnapshotTable[[#This Row],[SC Current Ask]], "")</f>
        <v/>
      </c>
      <c r="FN17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7" s="31" t="str">
        <f>IF(AND(ISNUMBER(SnapshotTable[[#This Row],[SC Exercise Gross]]), ISNUMBER(SnapshotTable[[#This Row],[Equity Basis Per Share]] )), SnapshotTable[[#This Row],[SC Exercise Gross]] - SnapshotTable[[#This Row],[Equity Basis Total]] +  SnapshotTable[[#This Row],[SC Premium]], "")</f>
        <v/>
      </c>
      <c r="FP177" s="5" t="str">
        <f>IF(ISNUMBER(SnapshotTable[[#This Row],[SC Exercise Gross]]), (SnapshotTable[[#This Row],[SC Exercise Gross]]) / (SnapshotTable[[#This Row],[SC Qty]] * 100), "")</f>
        <v/>
      </c>
      <c r="FQ177" s="27" t="str">
        <f>IF(SnapshotTable[[#This Row],[SC Is Booked]],SnapshotTable[[#This Row],[SC Time Val]] /SnapshotTable[[#This Row],[SC Basis]], "")</f>
        <v/>
      </c>
      <c r="FR177" s="27" t="str" cm="1">
        <f t="array" ref="FR177">IF(AND(ISNUMBER(SnapshotTable[[#This Row],[SC Term]]),ISNUMBER(SnapshotTable[[#This Row],[SC Simple ROO]])), EllmanAnnualize(SnapshotTable[[#This Row],[SC DTE]], SnapshotTable[[#This Row],[SC Simple ROO]] ),"")</f>
        <v/>
      </c>
      <c r="FS177" s="4">
        <f>IF(SnapshotTable[[#This Row],[SC Strike Price]] &gt; SnapshotTable[[#This Row],[Last Price]], SnapshotTable[[#This Row],[SC Strike Price]] - SnapshotTable[[#This Row],[Last Price]],0)</f>
        <v>0</v>
      </c>
      <c r="FT177" s="27" t="str">
        <f>IF(AND(ISNUMBER(SnapshotTable[[#This Row],[SC Upside Potential]]), SnapshotTable[[#This Row],[SC Upside Potential]] &gt; 0),(SnapshotTable[[#This Row],[SC Upside Potential]]/ SnapshotTable[[#This Row],[ACB]]),"")</f>
        <v/>
      </c>
      <c r="FU177" s="304" t="str">
        <f>IF(SnapshotTable[[#This Row],[SC Intrinsic Value]] &gt; 0,SnapshotTable[[#This Row],[SC Intrinsic Value]],"")</f>
        <v/>
      </c>
      <c r="FV177" s="27" t="str">
        <f>IF(AND( ISNUMBER( SnapshotTable[[#This Row],[ACB]]),ISNUMBER(SnapshotTable[[#This Row],[SC Downside Protect]])),SnapshotTable[[#This Row],[SC Downside Protect]] / SnapshotTable[[#This Row],[ACB]],"")</f>
        <v/>
      </c>
      <c r="FW177" s="221" t="str">
        <f>IF(AND(ISNUMBER(SnapshotTable[[#This Row],[SC Simple ROO]]),SnapshotTable[[#This Row],[SC Simple ROO]] &gt; 0), SnapshotTable[[#This Row],[SC Premium]] + (SnapshotTable[[#This Row],[SC Qty]] * SnapshotTable[[#This Row],[SC Upside Potential]]), "")</f>
        <v/>
      </c>
      <c r="FX177" s="280" t="str" cm="1">
        <f t="array" ref="FX177">IF(ISNUMBER(SnapshotTable[[#This Row],[SC Max Dollars]]), annualize(SnapshotTable[[#This Row],[SC Term]],(SnapshotTable[[#This Row],[SC Max Dollars]]/SnapshotTable[[#This Row],[SC Basis]])),"")</f>
        <v/>
      </c>
      <c r="FY177" s="221" t="str">
        <f>IF(AND(SnapshotTable[[#This Row],[SC Qty]]&gt;0,SnapshotTable[[#This Row],[SC Current Ask]]&gt;0), SnapshotTable[[#This Row],[SC Qty]] * SnapshotTable[[#This Row],[SC Current Ask]] * -100, "")</f>
        <v/>
      </c>
      <c r="FZ177" s="31" t="str">
        <f>IF(ISNUMBER((SnapshotTable[[#This Row],[SC Current Value]])), SnapshotTable[[#This Row],[SC Premium]] + SnapshotTable[[#This Row],[SC Current Value]], "")</f>
        <v/>
      </c>
      <c r="GA177" s="272" t="str">
        <f>IFERROR( IF(ISNUMBER((SnapshotTable[[#This Row],[SC Current Value]])), SnapshotTable[[#This Row],[SC Gain Loss]] / SnapshotTable[[#This Row],[SC Premium]], ""), "")</f>
        <v/>
      </c>
      <c r="GB177" s="42">
        <f>SnapshotTable[[#This Row],[Equity Shares]] * SaleSharesToConsiderPercentage</f>
        <v>0</v>
      </c>
      <c r="GC177" s="40">
        <f>SnapshotTable[[#This Row],[Long Term Target]] * SellingPriceToConsiderBasedOnTargetPercentage</f>
        <v>32.5565</v>
      </c>
      <c r="GD177" s="40">
        <f>SnapshotTable[[#This Row],[Last Price]] * (1+ SellingPriceToConsiderBasedOnTargetPercentage)</f>
        <v>110.0775</v>
      </c>
      <c r="GE177" s="41"/>
      <c r="GF177" s="40"/>
      <c r="GG177" s="31">
        <f>SnapshotTable[[#This Row],[Booked Sale Shares]] * SnapshotTable[[#This Row],[Booked Sale Price]]</f>
        <v>0</v>
      </c>
      <c r="GH177" s="31" t="str">
        <f>IF(SnapshotTable[[#This Row],[Equity Basis Total]] &gt; 0, SnapshotTable[[#This Row],[Equity Basis Per Share]] * SnapshotTable[[#This Row],[Booked Sale Shares]], "")</f>
        <v/>
      </c>
      <c r="GI177" s="31">
        <f>IF(SnapshotTable[[#This Row],[Sale Proceeds]]&gt;0, SnapshotTable[[#This Row],[Sale Proceeds]] - SnapshotTable[[#This Row],[Sale Basis]], 0)</f>
        <v>0</v>
      </c>
      <c r="GJ177" s="27" t="str">
        <f>IF(SnapshotTable[[#This Row],[Sale G/L]]&gt;0, SnapshotTable[[#This Row],[Sale G/L]] / SnapshotTable[[#This Row],[Sale Basis]], IF(ISNUMBER(SnapshotTable[[#This Row],[SC Exercise P&amp;L (TAX)]]), SnapshotTable[[#This Row],[SC Exercise P&amp;L (TAX)]] / SnapshotTable[[#This Row],[SC Basis]], ""))</f>
        <v/>
      </c>
      <c r="GK177" s="27" t="s">
        <v>589</v>
      </c>
      <c r="GL177" s="43" t="str">
        <f>IF(AND(SnapshotTable[[#This Row],[LP Exp Date]]&gt;0,SnapshotTable[[#This Row],[LP Strike Price]]&gt;0), [1]!ToOptionSymbol(SnapshotTable[[#This Row],[Symbol]], SnapshotTable[[#This Row],[LP Strike Price]],SnapshotTable[[#This Row],[LP Exp Date]],1), "")</f>
        <v/>
      </c>
      <c r="GM177" s="30" t="str">
        <f>IF(LEN(SnapshotTable[[#This Row],[LP Symbol]])&gt;0, 1, "")</f>
        <v/>
      </c>
      <c r="GN177" s="43" t="str">
        <f>IF(AND(SnapshotTable[[#This Row],[SP Exp Date]]&gt;0,SnapshotTable[[#This Row],[SP Strike Price]]&gt;0), [1]!ToOptionSymbol(SnapshotTable[[#This Row],[Symbol]], SnapshotTable[[#This Row],[SP Strike Price]],SnapshotTable[[#This Row],[SP Exp Date]],1), "")</f>
        <v/>
      </c>
      <c r="GO177" s="30" t="str">
        <f>IF(LEN(SnapshotTable[[#This Row],[SP Symbol]])&gt;0, 1, "")</f>
        <v/>
      </c>
      <c r="GP177" s="43" t="str">
        <f>IF(AND(SnapshotTable[[#This Row],[LC Exp Date]]&gt;0,SnapshotTable[[#This Row],[LC Strike Price]]&gt;0), [1]!ToOptionSymbol(SnapshotTable[[#This Row],[Symbol]], SnapshotTable[[#This Row],[LC Strike Price]],SnapshotTable[[#This Row],[LC Exp Date]],0), "")</f>
        <v/>
      </c>
      <c r="GQ177" s="30" t="str">
        <f>IF(LEN(SnapshotTable[[#This Row],[LC Symbol]])&gt;0, 1, "")</f>
        <v/>
      </c>
      <c r="GR177" s="43" t="str">
        <f>IF(AND(SnapshotTable[[#This Row],[SC Exp Date]]&gt;0,SnapshotTable[[#This Row],[SC Strike Price]]&gt;0), [1]!ToOptionSymbol(SnapshotTable[[#This Row],[Symbol]], SnapshotTable[[#This Row],[SC Strike Price]],SnapshotTable[[#This Row],[SC Exp Date]],0), "")</f>
        <v/>
      </c>
      <c r="GS177" s="30" t="str">
        <f>IF(LEN(SnapshotTable[[#This Row],[SC Symbol]])&gt;0, 1, "")</f>
        <v/>
      </c>
      <c r="GT177" s="29" t="str">
        <f>IF(COUNT(SnapshotTable[[#This Row],[LP Symbol Count]],SnapshotTable[[#This Row],[SP Symbol Count]],SnapshotTable[[#This Row],[LC Symbol Count]],SnapshotTable[[#This Row],[SC Symbol Count]])&gt;0, "Y", "")</f>
        <v/>
      </c>
      <c r="GU17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7" s="216">
        <f>MAX(SnapshotTable[[#This Row],[Equity Basis Total]],SnapshotTable[[#This Row],[Equity Value]]) + (SnapshotTable[[#This Row],[SP Potential Spend]]- SnapshotTable[[#This Row],[SP Premium]] + SnapshotTable[[#This Row],[LP Premium]])+ (SnapshotTable[[#This Row],[LC Premium]] - SnapshotTable[[#This Row],[SC Premium]])</f>
        <v>0</v>
      </c>
      <c r="GW177" s="137" t="str">
        <f>IF(AND(SnapshotTable[[#This Row],[Exposure]] &lt;&gt; 0),SnapshotTable[[#This Row],[Exposure]] / SnapshotTable[[#Totals],[Exposure]], "")</f>
        <v/>
      </c>
      <c r="HE177" s="253"/>
      <c r="HF177" s="253"/>
      <c r="HK177" s="1"/>
      <c r="HL177" s="1"/>
      <c r="HM177" s="1"/>
      <c r="HN177" s="1"/>
      <c r="HO177" s="1"/>
      <c r="HP177" s="1"/>
    </row>
    <row r="178" spans="2:224" ht="12.75" hidden="1" customHeight="1" x14ac:dyDescent="0.25">
      <c r="B178" s="12" t="s">
        <v>755</v>
      </c>
      <c r="C178" s="385">
        <v>79.680000000000007</v>
      </c>
      <c r="D178" s="200" t="s">
        <v>467</v>
      </c>
      <c r="E178" s="39">
        <f>SnapshotTable[[#This Row],[Last Price]]*(1 -CrashDiscount)</f>
        <v>67.728000000000009</v>
      </c>
      <c r="F178" s="26" t="s">
        <v>496</v>
      </c>
      <c r="G178" s="26" t="s">
        <v>7</v>
      </c>
      <c r="H178" s="147"/>
      <c r="I178" s="186">
        <v>44781.670138888891</v>
      </c>
      <c r="J178" s="187">
        <v>44781.670138888891</v>
      </c>
      <c r="K178" s="188"/>
      <c r="L178" s="297"/>
      <c r="M178" s="138"/>
      <c r="N178" s="138"/>
      <c r="O178" s="138"/>
      <c r="P178" s="22"/>
      <c r="Q178" s="25"/>
      <c r="R178" s="4" t="str">
        <f>IF(SnapshotTable[[#This Row],[Equity Basis Total]] &gt; 0, SnapshotTable[[#This Row],[Equity Basis Total]] / SnapshotTable[[#This Row],[Equity Shares]], "")</f>
        <v/>
      </c>
      <c r="S178" s="254">
        <f>SnapshotTable[[#This Row],[Last Price]] * SnapshotTable[[#This Row],[Equity Shares]]</f>
        <v>0</v>
      </c>
      <c r="T178" s="254">
        <f>SnapshotTable[[#This Row],[Equity Value]] - SnapshotTable[[#This Row],[Equity Basis Total]]</f>
        <v>0</v>
      </c>
      <c r="U178" s="255" t="str">
        <f>IF(SnapshotTable[[#This Row],[Equity Basis Total]] &gt; 0, SnapshotTable[[#This Row],[Equity G/L]] / SnapshotTable[[#This Row],[Equity Basis Total]], "")</f>
        <v/>
      </c>
      <c r="V178" s="253"/>
      <c r="W178" s="253"/>
      <c r="X178" s="4" t="str">
        <f>IF(AND(ISNUMBER(SnapshotTable[[#This Row],[Equity Basis Per Share]]),ISNUMBER(SnapshotTable[[#This Row],[Equity Target]])),SnapshotTable[[#This Row],[Equity Target]]-SnapshotTable[[#This Row],[Equity Basis Per Share]],"")</f>
        <v/>
      </c>
      <c r="Y178" s="4" t="str">
        <f>IF(AND(ISNUMBER(SnapshotTable[[#This Row],[Equity Basis Per Share]]),ISNUMBER(SnapshotTable[[#This Row],[Equity Stop Loss]])),SnapshotTable[[#This Row],[Equity Stop Loss]]-SnapshotTable[[#This Row],[Equity Basis Per Share]],"")</f>
        <v/>
      </c>
      <c r="Z178" s="260" t="str">
        <f>IFERROR( TEXT(SnapshotTable[[#This Row],[Equity Max Gain Per Share]] /ABS( SnapshotTable[[#This Row],[Equity Max Loss Per Share]]),"0.0 " ) &amp; " : 1", "")</f>
        <v/>
      </c>
      <c r="AA178" s="31" t="str">
        <f>IF(ISNUMBER(SnapshotTable[[#This Row],[Equity Max Gain Per Share]]),SnapshotTable[[#This Row],[Equity Max Gain Per Share]] * SnapshotTable[[#This Row],[Equity Shares]],"")</f>
        <v/>
      </c>
      <c r="AB178" s="31" t="str">
        <f>IF(ISNUMBER(SnapshotTable[[#This Row],[Equity Max Loss Per Share]]),SnapshotTable[[#This Row],[Equity Max Loss Per Share]] * SnapshotTable[[#This Row],[Equity Shares]],"")</f>
        <v/>
      </c>
      <c r="AC178" s="148"/>
      <c r="AD178" s="149"/>
      <c r="AE178" s="31">
        <f>(SnapshotTable[[#This Row],[Annual Dividend Per Share]] / 4) * SnapshotTable[[#This Row],[Equity Shares]]</f>
        <v>0</v>
      </c>
      <c r="AF178" s="31">
        <f>SnapshotTable[[#This Row],[Quarterly Div $]] * 4</f>
        <v>0</v>
      </c>
      <c r="AG178" s="7">
        <f>IF(SnapshotTable[[#This Row],[Annual Dividend Per Share]]&gt;0, SnapshotTable[[#This Row],[Annual Dividend Per Share]]  / SnapshotTable[[#This Row],[Last Price]], 0)</f>
        <v>0</v>
      </c>
      <c r="AH178" s="149"/>
      <c r="AI178" s="5"/>
      <c r="AJ178" s="136">
        <v>76.78</v>
      </c>
      <c r="AK178" s="150" t="str">
        <f>IF(ISNUMBER( SnapshotTable[[#This Row],[EBF Target]]),(SnapshotTable[[#This Row],[EBF Target]] - SnapshotTable[[#This Row],[Last Price]]) / SnapshotTable[[#This Row],[Last Price]], "")</f>
        <v/>
      </c>
      <c r="AL178" s="150" t="str">
        <f>IF(AND(SnapshotTable[[#This Row],[Equity Basis Total]] &gt; 0,ISNUMBER( SnapshotTable[[#This Row],[Long Term Target]])), SnapshotTable[[#This Row],[From Basis $]] / SnapshotTable[[#This Row],[Equity Basis Total]], "")</f>
        <v/>
      </c>
      <c r="AM178" s="9">
        <f>IF( AND(SnapshotTable[[#This Row],[Equity Shares]] &gt;0,ISNUMBER( SnapshotTable[[#This Row],[Long Term Target]])),(SnapshotTable[[#This Row],[Equity Shares]] * SnapshotTable[[#This Row],[Long Term Target]]) - SnapshotTable[[#This Row],[Equity Basis Total]],0)</f>
        <v>0</v>
      </c>
      <c r="AN178" s="9">
        <f>IF( AND(SnapshotTable[[#This Row],[Equity Shares]] &gt;0,ISNUMBER( SnapshotTable[[#This Row],[Long Term Target]])),(SnapshotTable[[#This Row],[Equity Shares]]*SnapshotTable[[#This Row],[Long Term Target]]) - SnapshotTable[[#This Row],[Equity Value]],0)</f>
        <v>0</v>
      </c>
      <c r="AO178" s="150">
        <f>IF(AND(ISNUMBER( SnapshotTable[[#This Row],[Long Term Target]]), ISNUMBER(SnapshotTable[[#This Row],[Last Price]])),(SnapshotTable[[#This Row],[Long Term Target]] - SnapshotTable[[#This Row],[Last Price]]) / SnapshotTable[[#This Row],[Last Price]], "")</f>
        <v>-3.639558232931734E-2</v>
      </c>
      <c r="AP178" s="5"/>
      <c r="AQ178" s="38"/>
      <c r="AR178" s="5"/>
      <c r="AS178" s="38"/>
      <c r="AT178" s="144"/>
      <c r="AU178" s="185" t="str">
        <f>IF(OR(SnapshotTable[[#This Row],[LP No Fill]]="Y",SnapshotTable[[#This Row],[SP Is Filled]],SnapshotTable[[#This Row],[LC Not Filled]]="Y",SnapshotTable[[#This Row],[SC Is Filled]]),"Y","")</f>
        <v/>
      </c>
      <c r="AV178" s="205"/>
      <c r="AW178" s="211"/>
      <c r="AX178" s="206"/>
      <c r="AY178" s="205" t="str">
        <f>IF(SnapshotTable[[#This Row],[Implied Move]]&gt;0, SnapshotTable[[#This Row],[Last Price]]-SnapshotTable[[#This Row],[Implied Move]],"")</f>
        <v/>
      </c>
      <c r="AZ178" s="205" t="str">
        <f>IF(SnapshotTable[[#This Row],[Implied Move]]&gt;0, SnapshotTable[[#This Row],[Last Price]] + SnapshotTable[[#This Row],[Implied Move]],"")</f>
        <v/>
      </c>
      <c r="BA178" s="302"/>
      <c r="BB178" s="318" t="s">
        <v>759</v>
      </c>
      <c r="BC17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8" s="321"/>
      <c r="BE178" s="136"/>
      <c r="BF178" s="164"/>
      <c r="BG178" s="165"/>
      <c r="BH178" s="165"/>
      <c r="BI178" s="207"/>
      <c r="BJ178" s="151">
        <f>IF(SnapshotTable[[#This Row],[LP Qty]] &gt; 0, SnapshotTable[[#This Row],[LP Qty]] * SnapshotTable[[#This Row],[LP Book Price]] * 100,0)</f>
        <v>0</v>
      </c>
      <c r="BK178" s="134">
        <f>IF(SnapshotTable[[#This Row],[LP Premium]] &gt; 0, SnapshotTable[[#This Row],[LP Qty]] * SnapshotTable[[#This Row],[LP Strike Price]] * 100,0)</f>
        <v>0</v>
      </c>
      <c r="BL178" s="152"/>
      <c r="BM178" s="355" t="str">
        <f>IF(SnapshotTable[[#This Row],[LP Premium]] &gt; 0,SnapshotTable[[#This Row],[LP Exp Date]]-MAX(SnapshotTable[[#This Row],[LP Book Date]], SnapshotTable[[#This Row],[LP Fill Date]]),"")</f>
        <v/>
      </c>
      <c r="BN178" s="355" t="str">
        <f>IF(ISNUMBER( SnapshotTable[[#This Row],[LP Term]]), SnapshotTable[[#This Row],[LP Exp Date]] - MockToday,"")</f>
        <v/>
      </c>
      <c r="BO178" s="161" t="str">
        <f>IF(AND(SnapshotTable[[#This Row],[LP Exp Date]]&gt;0, SnapshotTable[[#This Row],[LP Strike Price]]&gt;0,SnapshotTable[[#This Row],[LP Qty]]&gt;0,SnapshotTable[[#This Row],[LP Book Date]]&gt;0,SnapshotTable[[#This Row],[LP Book Price]]&gt;0,SnapshotTable[[#This Row],[LP Fill Date]]=0),"Y","")</f>
        <v/>
      </c>
      <c r="BP178" s="31" t="str">
        <f>IF(AND(SnapshotTable[[#This Row],[LP No Fill]]&lt;&gt;"Y",SnapshotTable[[#This Row],[LP Contract Value]]&gt;0, SnapshotTable[[#This Row],[LP Qty]]&gt;0), SnapshotTable[[#This Row],[LP Contract Value]]*SnapshotTable[[#This Row],[LP Qty]]*100,"")</f>
        <v/>
      </c>
      <c r="BQ178" s="13"/>
      <c r="BR178" s="5"/>
      <c r="BS178" s="36"/>
      <c r="BT178" s="145"/>
      <c r="BU178" s="13"/>
      <c r="BV178" s="5"/>
      <c r="BW178" s="382" t="b">
        <f>AND(ISNUMBER(SnapshotTable[[#This Row],[SP Exp Date]]), ISNUMBER(SnapshotTable[[#This Row],[SP Strike Price]]), ISNUMBER(SnapshotTable[[#This Row],[SP Qty]]), ISNUMBER(SnapshotTable[[#This Row],[SP Book Date]]), ISNUMBER(SnapshotTable[[#This Row],[SP Book Price]]))</f>
        <v>0</v>
      </c>
      <c r="BX178" s="382" t="b">
        <f>AND(SnapshotTable[[#This Row],[SP Is Booked]], NOT(ISBLANK(SnapshotTable[[#This Row],[SP Fill Date]])))</f>
        <v>0</v>
      </c>
      <c r="BY178" s="33">
        <f>IF(SnapshotTable[[#This Row],[SP Is Booked]], SnapshotTable[[#This Row],[SP Qty]] * SnapshotTable[[#This Row],[SP Book Price]] * 100, 0)</f>
        <v>0</v>
      </c>
      <c r="BZ178" s="339"/>
      <c r="CA178" s="338">
        <f>SnapshotTable[[#This Row],[LP Qty]]</f>
        <v>0</v>
      </c>
      <c r="CB178" s="4" t="str">
        <f>IF(SnapshotTable[[#This Row],[SP Is Booked]], SnapshotTable[[#This Row],[SP Strike Price]] - SnapshotTable[[#This Row],[SP Book Price]], "")</f>
        <v/>
      </c>
      <c r="CC178" s="19" t="str">
        <f>IF(SnapshotTable[[#This Row],[SP Is Booked]],SnapshotTable[[#This Row],[SP Exp Date]]-MAX(SnapshotTable[[#This Row],[SP Book Date]], SnapshotTable[[#This Row],[SP Fill Date]]),"")</f>
        <v/>
      </c>
      <c r="CD178" s="7" t="str">
        <f>IF(SnapshotTable[[#This Row],[SP Is Booked]], SnapshotTable[[#This Row],[SP Book Price]]/SnapshotTable[[#This Row],[SP Strike Price]], "")</f>
        <v/>
      </c>
      <c r="CE178" s="7" t="str">
        <f>IF(ISNUMBER(SnapshotTable[[#This Row],[SP ROO Term]]),SnapshotTable[[#This Row],[SP ROO Term]]*(365/SnapshotTable[[#This Row],[SP Term]]),"")</f>
        <v/>
      </c>
      <c r="CF178" s="221">
        <f>SnapshotTable[[#This Row],[LP Strike Price]] * SnapshotTable[[#This Row],[LP Qty]] * 100</f>
        <v>0</v>
      </c>
      <c r="CG178" s="31">
        <f>IF(ISNUMBER(SnapshotTable[[#This Row],[SP Premium]]), (SnapshotTable[[#This Row],[SP Qty]] * SnapshotTable[[#This Row],[SP Strike Price]]* 100) - SnapshotTable[[#This Row],[LP Protection]], 0)</f>
        <v>0</v>
      </c>
      <c r="CH178" s="7" t="str">
        <f>IF(ISNUMBER(SnapshotTable[[#This Row],[SP Break Even]]),-1 * (SnapshotTable[[#This Row],[SP Break Even]] - SnapshotTable[[#This Row],[Last Price]]) / SnapshotTable[[#This Row],[Last Price]], "")</f>
        <v/>
      </c>
      <c r="CI178" s="31">
        <f>IF(AND(ISNUMBER((SnapshotTable[[#This Row],[SP Potential Spend]])), SnapshotTable[[#This Row],[SP Strike Price]] &gt; SnapshotTable[[#This Row],[Last Price]], SnapshotTable[[#This Row],[SP Is Filled]]), SnapshotTable[[#This Row],[SP Potential Spend]] -  SnapshotTable[[#This Row],[LP Max Value]], 0)</f>
        <v>0</v>
      </c>
      <c r="CJ178" s="229"/>
      <c r="CK178" s="31">
        <f>IF(ISNUMBER(SnapshotTable[[#This Row],[SP Potential Spend]]),IF(ISNUMBER(SnapshotTable[[#This Row],[SP POW]]), SnapshotTable[[#This Row],[SP POW]] * SnapshotTable[[#This Row],[SP Potential Spend]], SnapshotTable[[#This Row],[SP Potential Spend]]), "")</f>
        <v>0</v>
      </c>
      <c r="CL178" s="162">
        <f>IF(NOT(SnapshotTable[[#This Row],[SP Is Filled]]),(SnapshotTable[[#This Row],[SP Qty]] * SnapshotTable[[#This Row],[SP Strike Price]] * 100) - SnapshotTable[[#This Row],[LP Max Value]],"")</f>
        <v>0</v>
      </c>
      <c r="CM178" s="31" t="str">
        <f>IF(SnapshotTable[[#This Row],[SP Actual Spend]]&lt;&gt;0, ((SnapshotTable[[#This Row],[SP Strike Price]]-SnapshotTable[[#This Row],[Last Price]]) *(SnapshotTable[[#This Row],[SP Qty]]*100) - SnapshotTable[[#This Row],[SP Premium]]) * - 1, "")</f>
        <v/>
      </c>
      <c r="CN178" s="152"/>
      <c r="CO178" s="339"/>
      <c r="CP178" s="4" t="str">
        <f>IF(SnapshotTable[[#This Row],[SP Is Filled]], btc_max_buyback_amount(SnapshotTable[[#This Row],[SP Fill Date]],SnapshotTable[[#This Row],[SP Exp Date]], SnapshotTable[[#This Row],[SP Book Price]]),"")</f>
        <v/>
      </c>
      <c r="CQ178" s="76"/>
      <c r="CR17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8" s="153" t="str">
        <f>IF(SnapshotTable[[#This Row],[SP Is Filled]], btc_next_cutoff_date(SnapshotTable[[#This Row],[SP Fill Date]],SnapshotTable[[#This Row],[SP Exp Date]]),"")</f>
        <v/>
      </c>
      <c r="CT178" s="220" t="str" cm="1">
        <f t="array" ref="CT178">IF(SnapshotTable[[#This Row],[SP Is Filled]], btc_should_buy_back(SnapshotTable[[#This Row],[SP Fill Date]], SnapshotTable[[#This Row],[SP Exp Date]], SnapshotTable[[#This Row],[SP Book Price]], SnapshotTable[[#This Row],[SP Current Ask]], MockToday, SnapshotTable[[#This Row],[SP Buyback Override]]),"")</f>
        <v/>
      </c>
      <c r="CU178" s="154"/>
      <c r="CV178" s="220"/>
      <c r="CW178" s="348" t="str">
        <f>IF(ISNUMBER( SnapshotTable[[#This Row],[SP Term]]), SnapshotTable[[#This Row],[SP Exp Date]] - MockToday,"")</f>
        <v/>
      </c>
      <c r="CX178" s="31" t="str">
        <f>IF(SnapshotTable[[#This Row],[SP Is Filled]],SnapshotTable[[#This Row],[SP Buyback Price to Use]] * 100 * SnapshotTable[[#This Row],[SP Qty]], "")</f>
        <v/>
      </c>
      <c r="CY178" s="4" t="str">
        <f>IF(ISNUMBER(SnapshotTable[[#This Row],[SP Strike Price]]), SnapshotTable[[#This Row],[SP Strike Price]] * (1 - SP_MaxLoss_StrikePct), "")</f>
        <v/>
      </c>
      <c r="CZ178" s="31" t="str">
        <f>IF(ISNUMBER(SnapshotTable[[#This Row],[SP Strike  Stop Per Share]]),SnapshotTable[[#This Row],[SP Premium]] - ((SnapshotTable[[#This Row],[SP Strike Price]]-SnapshotTable[[#This Row],[SP Strike  Stop Per Share]]) *(SnapshotTable[[#This Row],[SP Qty]] * 100)),"")</f>
        <v/>
      </c>
      <c r="DA178" s="4" t="str">
        <f>IF(AND(ISNUMBER(SnapshotTable[[#This Row],[SP Premium]]),SnapshotTable[[#This Row],[SP Premium]]&gt;0), SnapshotTable[[#This Row],[SP Book Price]] * (1 + SP_MaxLoss_OptionPct), "")</f>
        <v/>
      </c>
      <c r="DB178" s="31" t="str">
        <f>IF(ISNUMBER(SnapshotTable[[#This Row],[SP Option  Stop Contract]]),(SnapshotTable[[#This Row],[SP Option  Stop Contract]] *(SnapshotTable[[#This Row],[SP Qty]] * 100) - SnapshotTable[[#This Row],[SP Premium]]),"")</f>
        <v/>
      </c>
      <c r="DC178" s="4"/>
      <c r="DD178" s="4"/>
      <c r="DE178" s="4" t="str">
        <f>IF(AND(SnapshotTable[[#This Row],[SP Qty]]&gt;0, SnapshotTable[[#This Row],[SP Stop To Use]]&gt;0),SnapshotTable[[#This Row],[SP Premium]] - ( SnapshotTable[[#This Row],[SP Qty]] * SnapshotTable[[#This Row],[SP Stop To Use]] * 100), "")</f>
        <v/>
      </c>
      <c r="DF178" s="31" t="str">
        <f>IF(AND(SnapshotTable[[#This Row],[SP Qty]]&gt;0,SnapshotTable[[#This Row],[SP Current Ask]]&gt;0), SnapshotTable[[#This Row],[SP Qty]] * SnapshotTable[[#This Row],[SP Current Ask]] * -100, "")</f>
        <v/>
      </c>
      <c r="DG178" s="31" t="str">
        <f>IF(ISNUMBER((SnapshotTable[[#This Row],[SP Total Value]])), SnapshotTable[[#This Row],[SP Premium]] + SnapshotTable[[#This Row],[SP Total Value]], "")</f>
        <v/>
      </c>
      <c r="DH178" s="272" t="str">
        <f>IF(ISNUMBER((SnapshotTable[[#This Row],[SP Total Value]])), SnapshotTable[[#This Row],[SP Gain Loss]] / SnapshotTable[[#This Row],[SP Premium]], "")</f>
        <v/>
      </c>
      <c r="DI178" s="369"/>
      <c r="DJ178" s="136"/>
      <c r="DK178" s="146"/>
      <c r="DL178" s="145"/>
      <c r="DM178" s="145"/>
      <c r="DO178" s="31">
        <f>IF(SnapshotTable[[#This Row],[LC Symbol Count]]=1, SnapshotTable[[#This Row],[LC Qty]] * SnapshotTable[[#This Row],[LC Book Price]] * 100, 0)</f>
        <v>0</v>
      </c>
      <c r="DP178" s="270" t="str">
        <f>IF(AND(SnapshotTable[[#This Row],[LC Exp Date]]&gt;0, SnapshotTable[[#This Row],[LC Strike Price]]&gt;0,SnapshotTable[[#This Row],[LC Qty]]&gt;0,SnapshotTable[[#This Row],[LC Book Date]]&gt;0,SnapshotTable[[#This Row],[LC Book Price]]&gt;0,SnapshotTable[[#This Row],[LC Fill Date]]=0),"Y","")</f>
        <v/>
      </c>
      <c r="DQ178" s="356" t="str">
        <f>IF(SnapshotTable[[#This Row],[LC Premium]] &gt; 0,SnapshotTable[[#This Row],[LC Exp Date]]-MAX(SnapshotTable[[#This Row],[LC Book Date]], SnapshotTable[[#This Row],[LC Fill Date]]),"")</f>
        <v/>
      </c>
      <c r="DR178" s="356" t="str">
        <f>IF(ISNUMBER(SnapshotTable[[#This Row],[LC Term]]), SnapshotTable[[#This Row],[LC Exp Date]] - MockToday, "")</f>
        <v/>
      </c>
      <c r="DS178" s="219" t="str">
        <f>IF(SnapshotTable[[#This Row],[LC Premium]]&gt;0,SnapshotTable[[#This Row],[LC Strike Price]] + SnapshotTable[[#This Row],[LC Book Price]],"")</f>
        <v/>
      </c>
      <c r="DU178" s="9" t="str">
        <f>IF(AND(SnapshotTable[[#This Row],[LC Symbol Count]]&gt;0, SnapshotTable[[#This Row],[LC Contract Value]]&gt;0), SnapshotTable[[#This Row],[LC Contract Value]] * SnapshotTable[[#This Row],[LC Qty]] * 100, "")</f>
        <v/>
      </c>
      <c r="DV178" s="9" t="str">
        <f>IF(AND(ISNUMBER(SnapshotTable[[#This Row],[LC Total Value]]), SnapshotTable[[#This Row],[LC Not Filled]]&lt;&gt;"Y"), SnapshotTable[[#This Row],[LC Total Value]]-SnapshotTable[[#This Row],[LC Premium]],"")</f>
        <v/>
      </c>
      <c r="DW178" s="225" t="str">
        <f>IF(ISNUMBER(SnapshotTable[[#This Row],[LC Actual Gain Loss]]), SnapshotTable[[#This Row],[LC Actual Gain Loss]] / SnapshotTable[[#This Row],[LC Premium]],"")</f>
        <v/>
      </c>
      <c r="DX178" s="269" t="str">
        <f>IF(ISNUMBER(SnapshotTable[[#This Row],[LC Book Price]]),SnapshotTable[[#This Row],[LC Book Price]] * 1.5,"")</f>
        <v/>
      </c>
      <c r="DY178" s="250" t="str">
        <f>IF(SnapshotTable[[#This Row],[LC Premium]]&gt;0, SnapshotTable[[#This Row],[LC Next Target]] * SnapshotTable[[#This Row],[LC Qty]] * 100,"")</f>
        <v/>
      </c>
      <c r="DZ178" s="250" t="str">
        <f>IF(ISNUMBER(SnapshotTable[[#This Row],[LC Target Gross]]), SnapshotTable[[#This Row],[LC Target Gross]] - SnapshotTable[[#This Row],[LC Premium]], "")</f>
        <v/>
      </c>
      <c r="EA178" s="283" t="str">
        <f>IF(ISNUMBER(SnapshotTable[[#This Row],[LC Target Gain Loss]]), SnapshotTable[[#This Row],[LC Target Gain Loss]]/SnapshotTable[[#This Row],[LC Premium]], "")</f>
        <v/>
      </c>
      <c r="EB178" s="247"/>
      <c r="EC178" s="268" t="str">
        <f>IF(SnapshotTable[[#This Row],[LC Premium]]&gt;0, SnapshotTable[[#This Row],[LC Book Price]] * (1 - LC_StopLoss_Pct),"")</f>
        <v/>
      </c>
      <c r="ED178" s="269"/>
      <c r="EE178" s="268" t="str">
        <f>IF(ISNUMBER(SnapshotTable[[#This Row],[LC Contract Value]]),IF(ISNUMBER(SnapshotTable[[#This Row],[LC Stop Loss Override]]), SnapshotTable[[#This Row],[LC Stop Loss Override]],SnapshotTable[[#This Row],[LC Stop Loss Calc Target]]),"")</f>
        <v/>
      </c>
      <c r="EF178" s="31" t="str">
        <f>IF(ISNUMBER(SnapshotTable[[#This Row],[LC Stop  To Use]]), (SnapshotTable[[#This Row],[LC Stop  To Use]] * SnapshotTable[[#This Row],[LC Qty]] * 100),"")</f>
        <v/>
      </c>
      <c r="EG178" s="9" t="str">
        <f>IF(ISNUMBER(SnapshotTable[[#This Row],[LC Total Value]]),SnapshotTable[[#This Row],[LC Stop Loss Amount]] - SnapshotTable[[#This Row],[LC Premium]],"")</f>
        <v/>
      </c>
      <c r="EH178" s="9">
        <f>IF(ISNUMBER(SnapshotTable[[#This Row],[LC Premium]]), SnapshotTable[[#This Row],[LC Qty]] * 100 * SnapshotTable[[#This Row],[LC Strike Price]], "")</f>
        <v>0</v>
      </c>
      <c r="EI178" s="225" t="str">
        <f>IF(AND(ISNUMBER(SnapshotTable[[#This Row],[LC Total Value]]),SnapshotTable[[#This Row],[LC Total Value]]&gt;0),SnapshotTable[[#This Row],[LC Stop Gain Loss]]  / SnapshotTable[[#This Row],[LC Premium]],"")</f>
        <v/>
      </c>
      <c r="EJ178" s="35">
        <f>IF(ISNUMBER(SnapshotTable[[#This Row],[Equity Shares]]),TRUNC(SnapshotTable[[#This Row],[Equity Shares]] / 100),0) + SnapshotTable[[#This Row],[LC Qty]]</f>
        <v>0</v>
      </c>
      <c r="EK178" s="145"/>
      <c r="EL178" s="136"/>
      <c r="EM178" s="146"/>
      <c r="EN178" s="145"/>
      <c r="EO178" s="145"/>
      <c r="EP178" s="136"/>
      <c r="EQ178" s="382" t="b">
        <f>AND(ISNUMBER(SnapshotTable[[#This Row],[SC Exp Date]]), ISNUMBER(SnapshotTable[[#This Row],[SC Strike Price]]), ISNUMBER(SnapshotTable[[#This Row],[SC Qty]]), ISNUMBER(SnapshotTable[[#This Row],[SC Book Date]]), ISNUMBER(SnapshotTable[[#This Row],[SC Book Price]]))</f>
        <v>0</v>
      </c>
      <c r="ER178" s="382" t="b">
        <f>AND(SnapshotTable[[#This Row],[SC Is Booked]], NOT(ISBLANK(SnapshotTable[[#This Row],[SC Fill Date]])))</f>
        <v>0</v>
      </c>
      <c r="ES178" s="340"/>
      <c r="ET178" s="34" t="str">
        <f>IF(AND(ISNUMBER(SnapshotTable[[#This Row],[SC Exp Date]]), ISNUMBER(SnapshotTable[[#This Row],[SC Book Date]])), SnapshotTable[[#This Row],[SC Exp Date]] - MAX(SnapshotTable[[#This Row],[SC Book Date]], SnapshotTable[[#This Row],[SC Fill Date]]) + 1, "")</f>
        <v/>
      </c>
      <c r="EU178" s="34" t="str">
        <f>IF(ISNUMBER(SnapshotTable[[#This Row],[SC Term]]), SnapshotTable[[#This Row],[SC Exp Date]]- MockToday, "")</f>
        <v/>
      </c>
      <c r="EV178" s="31">
        <f>IF(SnapshotTable[[#This Row],[SC Is Booked]], SnapshotTable[[#This Row],[SC Qty]] * SnapshotTable[[#This Row],[SC Book Price]] * 100, 0)</f>
        <v>0</v>
      </c>
      <c r="EW178" s="4" t="str">
        <f>IF(AND(ISNUMBER(SnapshotTable[[#This Row],[Last Price]]), ISNUMBER( SnapshotTable[[#This Row],[SC Book Price]])), SnapshotTable[[#This Row],[Last Price]] - SnapshotTable[[#This Row],[SC Book Price]],"")</f>
        <v/>
      </c>
      <c r="EX178" s="219" t="str">
        <f>IF(SnapshotTable[[#This Row],[SC Is Booked]],IF(SnapshotTable[[#This Row],[SC Intrinsic Value]] &gt; 0, SnapshotTable[[#This Row],[SC Strike Price]], SnapshotTable[[#This Row],[Last Price]]), "")</f>
        <v/>
      </c>
      <c r="EY178" s="4">
        <f>IF(SnapshotTable[[#This Row],[SC Is Booked]], (MinimumPremiumRequired * SnapshotTable[[#This Row],[SC Basis]] * SnapshotTable[[#This Row],[SC Term]]), 0)</f>
        <v>0</v>
      </c>
      <c r="EZ178" s="268"/>
      <c r="FA178" s="204"/>
      <c r="FB178" s="340"/>
      <c r="FC178" s="4">
        <f>IF(SnapshotTable[[#This Row],[SC Is Filled]], btc_max_buyback_amount(SnapshotTable[[#This Row],[SC Fill Date]],SnapshotTable[[#This Row],[SC Exp Date]], SnapshotTable[[#This Row],[SC Book Price]]),0)</f>
        <v>0</v>
      </c>
      <c r="FD178" s="5"/>
      <c r="FE178" s="142" t="str">
        <f>IF(SnapshotTable[[#This Row],[SC Is Filled]], btc_next_cutoff_date(SnapshotTable[[#This Row],[SC Fill Date]],SnapshotTable[[#This Row],[SC Exp Date]]),"")</f>
        <v/>
      </c>
      <c r="FF178" s="4" t="str" cm="1">
        <f t="array" ref="FF178">IF(SnapshotTable[[#This Row],[SC Is Filled]], btc_should_buy_back(SnapshotTable[[#This Row],[SC Fill Date]], SnapshotTable[[#This Row],[SC Exp Date]], SnapshotTable[[#This Row],[SC Book Price]], SnapshotTable[[#This Row],[SC Current Ask]], MockToday, SnapshotTable[[#This Row],[SC Buyback Override]]),"")</f>
        <v/>
      </c>
      <c r="FG178" s="4">
        <f>IF(SnapshotTable[[#This Row],[SC Is Filled]], MAX(0,SnapshotTable[[#This Row],[Last Price]]  - SnapshotTable[[#This Row],[SC Strike Price]]), 0)</f>
        <v>0</v>
      </c>
      <c r="FH178" s="352">
        <f>IF(SnapshotTable[[#This Row],[SC Is Filled]], IF(ISNUMBER(SnapshotTable[[#This Row],[SC Current Ask]]), SnapshotTable[[#This Row],[SC Current Ask]], SnapshotTable[[#This Row],[SC Book Price]]) - SnapshotTable[[#This Row],[SC Intrinsic Value]], 0)</f>
        <v>0</v>
      </c>
      <c r="FI178" s="141"/>
      <c r="FJ178" s="32" t="str">
        <f>IF(SnapshotTable[[#This Row],[SC Is Filled]],100 * SnapshotTable[[#This Row],[SC Qty]] * IF(ISNUMBER(SnapshotTable[[#This Row],[SC Buyback Override]]), SnapshotTable[[#This Row],[SC Buyback Override]], SnapshotTable[[#This Row],[SC Current Ask]]), "")</f>
        <v/>
      </c>
      <c r="FK178" s="235" t="str">
        <f>IF(SnapshotTable[[#This Row],[SC Time Val]]&gt;0, SnapshotTable[[#This Row],[SC Time Val]] / SnapshotTable[[#This Row],[Last Price]],"")</f>
        <v/>
      </c>
      <c r="FL178" s="280" t="str">
        <f>IF(SnapshotTable[[#This Row],[SC Is Booked]], ((SnapshotTable[[#This Row],[Last Price]] -SnapshotTable[[#This Row],[SC Strike Price]]) / SnapshotTable[[#This Row],[Last Price]]) * -1, "")</f>
        <v/>
      </c>
      <c r="FM178" s="155" t="str">
        <f>IF(SnapshotTable[[#This Row],[SC Is Booked]],  (SnapshotTable[[#This Row],[SC Qty]] * 100 * SnapshotTable[[#This Row],[SC Strike Price]]) - SnapshotTable[[#This Row],[SC Current Ask]], "")</f>
        <v/>
      </c>
      <c r="FN17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8" s="155" t="str">
        <f>IF(AND(ISNUMBER(SnapshotTable[[#This Row],[SC Exercise Gross]]), ISNUMBER(SnapshotTable[[#This Row],[Equity Basis Per Share]] )), SnapshotTable[[#This Row],[SC Exercise Gross]] - SnapshotTable[[#This Row],[Equity Basis Total]] +  SnapshotTable[[#This Row],[SC Premium]], "")</f>
        <v/>
      </c>
      <c r="FP178" s="5" t="str">
        <f>IF(ISNUMBER(SnapshotTable[[#This Row],[SC Exercise Gross]]), (SnapshotTable[[#This Row],[SC Exercise Gross]]) / (SnapshotTable[[#This Row],[SC Qty]] * 100), "")</f>
        <v/>
      </c>
      <c r="FQ178" s="27" t="str">
        <f>IF(SnapshotTable[[#This Row],[SC Is Booked]],SnapshotTable[[#This Row],[SC Time Val]] /SnapshotTable[[#This Row],[SC Basis]], "")</f>
        <v/>
      </c>
      <c r="FR178" s="27" t="str" cm="1">
        <f t="array" ref="FR178">IF(AND(ISNUMBER(SnapshotTable[[#This Row],[SC Term]]),ISNUMBER(SnapshotTable[[#This Row],[SC Simple ROO]])), EllmanAnnualize(SnapshotTable[[#This Row],[SC DTE]], SnapshotTable[[#This Row],[SC Simple ROO]] ),"")</f>
        <v/>
      </c>
      <c r="FS178" s="4">
        <f>IF(SnapshotTable[[#This Row],[SC Strike Price]] &gt; SnapshotTable[[#This Row],[Last Price]], SnapshotTable[[#This Row],[SC Strike Price]] - SnapshotTable[[#This Row],[Last Price]],0)</f>
        <v>0</v>
      </c>
      <c r="FT178" s="27" t="str">
        <f>IF(AND(ISNUMBER(SnapshotTable[[#This Row],[SC Upside Potential]]), SnapshotTable[[#This Row],[SC Upside Potential]] &gt; 0),(SnapshotTable[[#This Row],[SC Upside Potential]]/ SnapshotTable[[#This Row],[ACB]]),"")</f>
        <v/>
      </c>
      <c r="FU178" s="304" t="str">
        <f>IF(SnapshotTable[[#This Row],[SC Intrinsic Value]] &gt; 0,SnapshotTable[[#This Row],[SC Intrinsic Value]],"")</f>
        <v/>
      </c>
      <c r="FV178" s="27" t="str">
        <f>IF(AND( ISNUMBER( SnapshotTable[[#This Row],[ACB]]),ISNUMBER(SnapshotTable[[#This Row],[SC Downside Protect]])),SnapshotTable[[#This Row],[SC Downside Protect]] / SnapshotTable[[#This Row],[ACB]],"")</f>
        <v/>
      </c>
      <c r="FW178" s="221" t="str">
        <f>IF(AND(ISNUMBER(SnapshotTable[[#This Row],[SC Simple ROO]]),SnapshotTable[[#This Row],[SC Simple ROO]] &gt; 0), SnapshotTable[[#This Row],[SC Premium]] + (SnapshotTable[[#This Row],[SC Qty]] * SnapshotTable[[#This Row],[SC Upside Potential]]), "")</f>
        <v/>
      </c>
      <c r="FX178" s="280" t="str" cm="1">
        <f t="array" ref="FX178">IF(ISNUMBER(SnapshotTable[[#This Row],[SC Max Dollars]]), annualize(SnapshotTable[[#This Row],[SC Term]],(SnapshotTable[[#This Row],[SC Max Dollars]]/SnapshotTable[[#This Row],[SC Basis]])),"")</f>
        <v/>
      </c>
      <c r="FY178" s="221" t="str">
        <f>IF(AND(SnapshotTable[[#This Row],[SC Qty]]&gt;0,SnapshotTable[[#This Row],[SC Current Ask]]&gt;0), SnapshotTable[[#This Row],[SC Qty]] * SnapshotTable[[#This Row],[SC Current Ask]] * -100, "")</f>
        <v/>
      </c>
      <c r="FZ178" s="220" t="str">
        <f>IF(ISNUMBER((SnapshotTable[[#This Row],[SC Current Value]])), SnapshotTable[[#This Row],[SC Premium]] + SnapshotTable[[#This Row],[SC Current Value]], "")</f>
        <v/>
      </c>
      <c r="GA178" s="272" t="str">
        <f>IFERROR( IF(ISNUMBER((SnapshotTable[[#This Row],[SC Current Value]])), SnapshotTable[[#This Row],[SC Gain Loss]] / SnapshotTable[[#This Row],[SC Premium]], ""), "")</f>
        <v/>
      </c>
      <c r="GB178" s="42">
        <f>SnapshotTable[[#This Row],[Equity Shares]] * SaleSharesToConsiderPercentage</f>
        <v>0</v>
      </c>
      <c r="GC178" s="40">
        <f>SnapshotTable[[#This Row],[Long Term Target]] * SellingPriceToConsiderBasedOnTargetPercentage</f>
        <v>72.941000000000003</v>
      </c>
      <c r="GD178" s="40">
        <f>SnapshotTable[[#This Row],[Last Price]] * (1+ SellingPriceToConsiderBasedOnTargetPercentage)</f>
        <v>155.376</v>
      </c>
      <c r="GE178" s="41"/>
      <c r="GF178" s="40"/>
      <c r="GG178" s="31">
        <f>SnapshotTable[[#This Row],[Booked Sale Shares]] * SnapshotTable[[#This Row],[Booked Sale Price]]</f>
        <v>0</v>
      </c>
      <c r="GH178" s="31" t="str">
        <f>IF(SnapshotTable[[#This Row],[Equity Basis Total]] &gt; 0, SnapshotTable[[#This Row],[Equity Basis Per Share]] * SnapshotTable[[#This Row],[Booked Sale Shares]], "")</f>
        <v/>
      </c>
      <c r="GI178" s="31">
        <f>IF(SnapshotTable[[#This Row],[Sale Proceeds]]&gt;0, SnapshotTable[[#This Row],[Sale Proceeds]] - SnapshotTable[[#This Row],[Sale Basis]], 0)</f>
        <v>0</v>
      </c>
      <c r="GJ178" s="156" t="str">
        <f>IF(SnapshotTable[[#This Row],[Sale G/L]]&gt;0, SnapshotTable[[#This Row],[Sale G/L]] / SnapshotTable[[#This Row],[Sale Basis]], IF(ISNUMBER(SnapshotTable[[#This Row],[SC Exercise P&amp;L (TAX)]]), SnapshotTable[[#This Row],[SC Exercise P&amp;L (TAX)]] / SnapshotTable[[#This Row],[SC Basis]], ""))</f>
        <v/>
      </c>
      <c r="GK178" s="27"/>
      <c r="GL178" s="157" t="str">
        <f>IF(AND(SnapshotTable[[#This Row],[LP Exp Date]]&gt;0,SnapshotTable[[#This Row],[LP Strike Price]]&gt;0), [1]!ToOptionSymbol(SnapshotTable[[#This Row],[Symbol]], SnapshotTable[[#This Row],[LP Strike Price]],SnapshotTable[[#This Row],[LP Exp Date]],1), "")</f>
        <v/>
      </c>
      <c r="GM178" s="30" t="str">
        <f>IF(LEN(SnapshotTable[[#This Row],[LP Symbol]])&gt;0, 1, "")</f>
        <v/>
      </c>
      <c r="GN178" s="43" t="str">
        <f>IF(AND(SnapshotTable[[#This Row],[SP Exp Date]]&gt;0,SnapshotTable[[#This Row],[SP Strike Price]]&gt;0), [1]!ToOptionSymbol(SnapshotTable[[#This Row],[Symbol]], SnapshotTable[[#This Row],[SP Strike Price]],SnapshotTable[[#This Row],[SP Exp Date]],1), "")</f>
        <v/>
      </c>
      <c r="GO178" s="30" t="str">
        <f>IF(LEN(SnapshotTable[[#This Row],[SP Symbol]])&gt;0, 1, "")</f>
        <v/>
      </c>
      <c r="GP178" s="157" t="str">
        <f>IF(AND(SnapshotTable[[#This Row],[LC Exp Date]]&gt;0,SnapshotTable[[#This Row],[LC Strike Price]]&gt;0), [1]!ToOptionSymbol(SnapshotTable[[#This Row],[Symbol]], SnapshotTable[[#This Row],[LC Strike Price]],SnapshotTable[[#This Row],[LC Exp Date]],0), "")</f>
        <v/>
      </c>
      <c r="GQ178" s="158" t="str">
        <f>IF(LEN(SnapshotTable[[#This Row],[LC Symbol]])&gt;0, 1, "")</f>
        <v/>
      </c>
      <c r="GR178" s="157" t="str">
        <f>IF(AND(SnapshotTable[[#This Row],[SC Exp Date]]&gt;0,SnapshotTable[[#This Row],[SC Strike Price]]&gt;0), [1]!ToOptionSymbol(SnapshotTable[[#This Row],[Symbol]], SnapshotTable[[#This Row],[SC Strike Price]],SnapshotTable[[#This Row],[SC Exp Date]],0), "")</f>
        <v/>
      </c>
      <c r="GS178" s="158" t="str">
        <f>IF(LEN(SnapshotTable[[#This Row],[SC Symbol]])&gt;0, 1, "")</f>
        <v/>
      </c>
      <c r="GT178" s="159" t="str">
        <f>IF(COUNT(SnapshotTable[[#This Row],[LP Symbol Count]],SnapshotTable[[#This Row],[SP Symbol Count]],SnapshotTable[[#This Row],[LC Symbol Count]],SnapshotTable[[#This Row],[SC Symbol Count]])&gt;0, "Y", "")</f>
        <v/>
      </c>
      <c r="GU17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8" s="216">
        <f>MAX(SnapshotTable[[#This Row],[Equity Basis Total]],SnapshotTable[[#This Row],[Equity Value]]) + (SnapshotTable[[#This Row],[SP Potential Spend]]- SnapshotTable[[#This Row],[SP Premium]] + SnapshotTable[[#This Row],[LP Premium]])+ (SnapshotTable[[#This Row],[LC Premium]] - SnapshotTable[[#This Row],[SC Premium]])</f>
        <v>0</v>
      </c>
      <c r="GW178" s="137" t="str">
        <f>IF(AND(SnapshotTable[[#This Row],[Exposure]] &lt;&gt; 0),SnapshotTable[[#This Row],[Exposure]] / SnapshotTable[[#Totals],[Exposure]], "")</f>
        <v/>
      </c>
      <c r="HE178" s="253"/>
      <c r="HF178" s="253"/>
      <c r="HK178" s="1"/>
      <c r="HL178" s="1"/>
      <c r="HM178" s="1"/>
      <c r="HN178" s="1"/>
      <c r="HO178" s="1"/>
      <c r="HP178" s="1"/>
    </row>
    <row r="179" spans="2:224" ht="12.75" hidden="1" customHeight="1" x14ac:dyDescent="0.25">
      <c r="B179" s="12" t="s">
        <v>882</v>
      </c>
      <c r="C179" s="385">
        <v>20.46</v>
      </c>
      <c r="D179" s="200"/>
      <c r="E179" s="39">
        <f>SnapshotTable[[#This Row],[Last Price]]*(1 -CrashDiscount)</f>
        <v>17.391000000000002</v>
      </c>
      <c r="F179" s="26" t="s">
        <v>496</v>
      </c>
      <c r="G179" s="26" t="s">
        <v>7</v>
      </c>
      <c r="H179" s="147"/>
      <c r="I179" s="186">
        <v>45231</v>
      </c>
      <c r="J179" s="187"/>
      <c r="K179" s="188"/>
      <c r="L179" s="297"/>
      <c r="M179" s="138"/>
      <c r="N179" s="138"/>
      <c r="O179" s="138"/>
      <c r="P179" s="22"/>
      <c r="Q179" s="25"/>
      <c r="R179" s="4" t="str">
        <f>IF(SnapshotTable[[#This Row],[Equity Basis Total]] &gt; 0, SnapshotTable[[#This Row],[Equity Basis Total]] / SnapshotTable[[#This Row],[Equity Shares]], "")</f>
        <v/>
      </c>
      <c r="S179" s="254">
        <f>SnapshotTable[[#This Row],[Last Price]] * SnapshotTable[[#This Row],[Equity Shares]]</f>
        <v>0</v>
      </c>
      <c r="T179" s="254">
        <f>SnapshotTable[[#This Row],[Equity Value]] - SnapshotTable[[#This Row],[Equity Basis Total]]</f>
        <v>0</v>
      </c>
      <c r="U179" s="255" t="str">
        <f>IF(SnapshotTable[[#This Row],[Equity Basis Total]] &gt; 0, SnapshotTable[[#This Row],[Equity G/L]] / SnapshotTable[[#This Row],[Equity Basis Total]], "")</f>
        <v/>
      </c>
      <c r="V179" s="253"/>
      <c r="W179" s="253"/>
      <c r="X179" s="4" t="str">
        <f>IF(AND(ISNUMBER(SnapshotTable[[#This Row],[Equity Basis Per Share]]),ISNUMBER(SnapshotTable[[#This Row],[Equity Target]])),SnapshotTable[[#This Row],[Equity Target]]-SnapshotTable[[#This Row],[Equity Basis Per Share]],"")</f>
        <v/>
      </c>
      <c r="Y179" s="4" t="str">
        <f>IF(AND(ISNUMBER(SnapshotTable[[#This Row],[Equity Basis Per Share]]),ISNUMBER(SnapshotTable[[#This Row],[Equity Stop Loss]])),SnapshotTable[[#This Row],[Equity Stop Loss]]-SnapshotTable[[#This Row],[Equity Basis Per Share]],"")</f>
        <v/>
      </c>
      <c r="Z179" s="260" t="str">
        <f>IFERROR( TEXT(SnapshotTable[[#This Row],[Equity Max Gain Per Share]] /ABS( SnapshotTable[[#This Row],[Equity Max Loss Per Share]]),"0.0 " ) &amp; " : 1", "")</f>
        <v/>
      </c>
      <c r="AA179" s="31" t="str">
        <f>IF(ISNUMBER(SnapshotTable[[#This Row],[Equity Max Gain Per Share]]),SnapshotTable[[#This Row],[Equity Max Gain Per Share]] * SnapshotTable[[#This Row],[Equity Shares]],"")</f>
        <v/>
      </c>
      <c r="AB179" s="31" t="str">
        <f>IF(ISNUMBER(SnapshotTable[[#This Row],[Equity Max Loss Per Share]]),SnapshotTable[[#This Row],[Equity Max Loss Per Share]] * SnapshotTable[[#This Row],[Equity Shares]],"")</f>
        <v/>
      </c>
      <c r="AC179" s="148"/>
      <c r="AD179" s="149"/>
      <c r="AE179" s="31">
        <f>(SnapshotTable[[#This Row],[Annual Dividend Per Share]] / 4) * SnapshotTable[[#This Row],[Equity Shares]]</f>
        <v>0</v>
      </c>
      <c r="AF179" s="31">
        <f>SnapshotTable[[#This Row],[Quarterly Div $]] * 4</f>
        <v>0</v>
      </c>
      <c r="AG179" s="7">
        <f>IF(SnapshotTable[[#This Row],[Annual Dividend Per Share]]&gt;0, SnapshotTable[[#This Row],[Annual Dividend Per Share]]  / SnapshotTable[[#This Row],[Last Price]], 0)</f>
        <v>0</v>
      </c>
      <c r="AH179" s="149"/>
      <c r="AI179" s="5"/>
      <c r="AJ179" s="136">
        <v>18.75</v>
      </c>
      <c r="AK179" s="150" t="str">
        <f>IF(ISNUMBER( SnapshotTable[[#This Row],[EBF Target]]),(SnapshotTable[[#This Row],[EBF Target]] - SnapshotTable[[#This Row],[Last Price]]) / SnapshotTable[[#This Row],[Last Price]], "")</f>
        <v/>
      </c>
      <c r="AL179" s="150" t="str">
        <f>IF(AND(SnapshotTable[[#This Row],[Equity Basis Total]] &gt; 0,ISNUMBER( SnapshotTable[[#This Row],[Long Term Target]])), SnapshotTable[[#This Row],[From Basis $]] / SnapshotTable[[#This Row],[Equity Basis Total]], "")</f>
        <v/>
      </c>
      <c r="AM179" s="9">
        <f>IF( AND(SnapshotTable[[#This Row],[Equity Shares]] &gt;0,ISNUMBER( SnapshotTable[[#This Row],[Long Term Target]])),(SnapshotTable[[#This Row],[Equity Shares]] * SnapshotTable[[#This Row],[Long Term Target]]) - SnapshotTable[[#This Row],[Equity Basis Total]],0)</f>
        <v>0</v>
      </c>
      <c r="AN179" s="9">
        <f>IF( AND(SnapshotTable[[#This Row],[Equity Shares]] &gt;0,ISNUMBER( SnapshotTable[[#This Row],[Long Term Target]])),(SnapshotTable[[#This Row],[Equity Shares]]*SnapshotTable[[#This Row],[Long Term Target]]) - SnapshotTable[[#This Row],[Equity Value]],0)</f>
        <v>0</v>
      </c>
      <c r="AO179" s="150">
        <f>IF(AND(ISNUMBER( SnapshotTable[[#This Row],[Long Term Target]]), ISNUMBER(SnapshotTable[[#This Row],[Last Price]])),(SnapshotTable[[#This Row],[Long Term Target]] - SnapshotTable[[#This Row],[Last Price]]) / SnapshotTable[[#This Row],[Last Price]], "")</f>
        <v>-8.3577712609970711E-2</v>
      </c>
      <c r="AP179" s="5">
        <v>24</v>
      </c>
      <c r="AQ179" s="38" t="s">
        <v>59</v>
      </c>
      <c r="AR179" s="5"/>
      <c r="AS179" s="38"/>
      <c r="AT179" s="144"/>
      <c r="AU179" s="185" t="str">
        <f>IF(OR(SnapshotTable[[#This Row],[LP No Fill]]="Y",SnapshotTable[[#This Row],[SP Is Filled]],SnapshotTable[[#This Row],[LC Not Filled]]="Y",SnapshotTable[[#This Row],[SC Is Filled]]),"Y","")</f>
        <v/>
      </c>
      <c r="AV179" s="205"/>
      <c r="AW179" s="211"/>
      <c r="AX179" s="206"/>
      <c r="AY179" s="205" t="str">
        <f>IF(SnapshotTable[[#This Row],[Implied Move]]&gt;0, SnapshotTable[[#This Row],[Last Price]]-SnapshotTable[[#This Row],[Implied Move]],"")</f>
        <v/>
      </c>
      <c r="AZ179" s="205" t="str">
        <f>IF(SnapshotTable[[#This Row],[Implied Move]]&gt;0, SnapshotTable[[#This Row],[Last Price]] + SnapshotTable[[#This Row],[Implied Move]],"")</f>
        <v/>
      </c>
      <c r="BA179" s="302">
        <v>1.37</v>
      </c>
      <c r="BB179" s="318"/>
      <c r="BC17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79" s="321"/>
      <c r="BE179" s="5"/>
      <c r="BF179" s="14"/>
      <c r="BG179" s="13"/>
      <c r="BH179" s="13"/>
      <c r="BI179" s="5"/>
      <c r="BJ179" s="134">
        <f>IF(SnapshotTable[[#This Row],[LP Qty]] &gt; 0, SnapshotTable[[#This Row],[LP Qty]] * SnapshotTable[[#This Row],[LP Book Price]] * 100,0)</f>
        <v>0</v>
      </c>
      <c r="BK179" s="134">
        <f>IF(SnapshotTable[[#This Row],[LP Premium]] &gt; 0, SnapshotTable[[#This Row],[LP Qty]] * SnapshotTable[[#This Row],[LP Strike Price]] * 100,0)</f>
        <v>0</v>
      </c>
      <c r="BL179" s="152"/>
      <c r="BM179" s="355" t="str">
        <f>IF(SnapshotTable[[#This Row],[LP Premium]] &gt; 0,SnapshotTable[[#This Row],[LP Exp Date]]-MAX(SnapshotTable[[#This Row],[LP Book Date]], SnapshotTable[[#This Row],[LP Fill Date]]),"")</f>
        <v/>
      </c>
      <c r="BN179" s="355" t="str">
        <f>IF(ISNUMBER( SnapshotTable[[#This Row],[LP Term]]), SnapshotTable[[#This Row],[LP Exp Date]] - MockToday,"")</f>
        <v/>
      </c>
      <c r="BO179" s="161" t="str">
        <f>IF(AND(SnapshotTable[[#This Row],[LP Exp Date]]&gt;0, SnapshotTable[[#This Row],[LP Strike Price]]&gt;0,SnapshotTable[[#This Row],[LP Qty]]&gt;0,SnapshotTable[[#This Row],[LP Book Date]]&gt;0,SnapshotTable[[#This Row],[LP Book Price]]&gt;0,SnapshotTable[[#This Row],[LP Fill Date]]=0),"Y","")</f>
        <v/>
      </c>
      <c r="BP179" s="31" t="str">
        <f>IF(AND(SnapshotTable[[#This Row],[LP No Fill]]&lt;&gt;"Y",SnapshotTable[[#This Row],[LP Contract Value]]&gt;0, SnapshotTable[[#This Row],[LP Qty]]&gt;0), SnapshotTable[[#This Row],[LP Contract Value]]*SnapshotTable[[#This Row],[LP Qty]]*100,"")</f>
        <v/>
      </c>
      <c r="BQ179" s="13"/>
      <c r="BR179" s="5"/>
      <c r="BS179" s="36"/>
      <c r="BT179" s="145"/>
      <c r="BU179" s="13"/>
      <c r="BV179" s="5"/>
      <c r="BW179" s="382" t="b">
        <f>AND(ISNUMBER(SnapshotTable[[#This Row],[SP Exp Date]]), ISNUMBER(SnapshotTable[[#This Row],[SP Strike Price]]), ISNUMBER(SnapshotTable[[#This Row],[SP Qty]]), ISNUMBER(SnapshotTable[[#This Row],[SP Book Date]]), ISNUMBER(SnapshotTable[[#This Row],[SP Book Price]]))</f>
        <v>0</v>
      </c>
      <c r="BX179" s="382" t="b">
        <f>AND(SnapshotTable[[#This Row],[SP Is Booked]], NOT(ISBLANK(SnapshotTable[[#This Row],[SP Fill Date]])))</f>
        <v>0</v>
      </c>
      <c r="BY179" s="33">
        <f>IF(SnapshotTable[[#This Row],[SP Is Booked]], SnapshotTable[[#This Row],[SP Qty]] * SnapshotTable[[#This Row],[SP Book Price]] * 100, 0)</f>
        <v>0</v>
      </c>
      <c r="BZ179" s="339"/>
      <c r="CA179" s="338">
        <f>SnapshotTable[[#This Row],[LP Qty]]</f>
        <v>0</v>
      </c>
      <c r="CB179" s="4" t="str">
        <f>IF(SnapshotTable[[#This Row],[SP Is Booked]], SnapshotTable[[#This Row],[SP Strike Price]] - SnapshotTable[[#This Row],[SP Book Price]], "")</f>
        <v/>
      </c>
      <c r="CC179" s="19" t="str">
        <f>IF(SnapshotTable[[#This Row],[SP Is Booked]],SnapshotTable[[#This Row],[SP Exp Date]]-MAX(SnapshotTable[[#This Row],[SP Book Date]], SnapshotTable[[#This Row],[SP Fill Date]]),"")</f>
        <v/>
      </c>
      <c r="CD179" s="7" t="str">
        <f>IF(SnapshotTable[[#This Row],[SP Is Booked]], SnapshotTable[[#This Row],[SP Book Price]]/SnapshotTable[[#This Row],[SP Strike Price]], "")</f>
        <v/>
      </c>
      <c r="CE179" s="7" t="str">
        <f>IF(ISNUMBER(SnapshotTable[[#This Row],[SP ROO Term]]),SnapshotTable[[#This Row],[SP ROO Term]]*(365/SnapshotTable[[#This Row],[SP Term]]),"")</f>
        <v/>
      </c>
      <c r="CF179" s="221">
        <f>SnapshotTable[[#This Row],[LP Strike Price]] * SnapshotTable[[#This Row],[LP Qty]] * 100</f>
        <v>0</v>
      </c>
      <c r="CG179" s="31">
        <f>IF(ISNUMBER(SnapshotTable[[#This Row],[SP Premium]]), (SnapshotTable[[#This Row],[SP Qty]] * SnapshotTable[[#This Row],[SP Strike Price]]* 100) - SnapshotTable[[#This Row],[LP Protection]], 0)</f>
        <v>0</v>
      </c>
      <c r="CH179" s="7" t="str">
        <f>IF(ISNUMBER(SnapshotTable[[#This Row],[SP Break Even]]),-1 * (SnapshotTable[[#This Row],[SP Break Even]] - SnapshotTable[[#This Row],[Last Price]]) / SnapshotTable[[#This Row],[Last Price]], "")</f>
        <v/>
      </c>
      <c r="CI179" s="31">
        <f>IF(AND(ISNUMBER((SnapshotTable[[#This Row],[SP Potential Spend]])), SnapshotTable[[#This Row],[SP Strike Price]] &gt; SnapshotTable[[#This Row],[Last Price]], SnapshotTable[[#This Row],[SP Is Filled]]), SnapshotTable[[#This Row],[SP Potential Spend]] -  SnapshotTable[[#This Row],[LP Max Value]], 0)</f>
        <v>0</v>
      </c>
      <c r="CJ179" s="229"/>
      <c r="CK179" s="31">
        <f>IF(ISNUMBER(SnapshotTable[[#This Row],[SP Potential Spend]]),IF(ISNUMBER(SnapshotTable[[#This Row],[SP POW]]), SnapshotTable[[#This Row],[SP POW]] * SnapshotTable[[#This Row],[SP Potential Spend]], SnapshotTable[[#This Row],[SP Potential Spend]]), "")</f>
        <v>0</v>
      </c>
      <c r="CL179" s="162">
        <f>IF(NOT(SnapshotTable[[#This Row],[SP Is Filled]]),(SnapshotTable[[#This Row],[SP Qty]] * SnapshotTable[[#This Row],[SP Strike Price]] * 100) - SnapshotTable[[#This Row],[LP Max Value]],"")</f>
        <v>0</v>
      </c>
      <c r="CM179" s="31" t="str">
        <f>IF(SnapshotTable[[#This Row],[SP Actual Spend]]&lt;&gt;0, ((SnapshotTable[[#This Row],[SP Strike Price]]-SnapshotTable[[#This Row],[Last Price]]) *(SnapshotTable[[#This Row],[SP Qty]]*100) - SnapshotTable[[#This Row],[SP Premium]]) * - 1, "")</f>
        <v/>
      </c>
      <c r="CN179" s="76"/>
      <c r="CO179" s="339"/>
      <c r="CP179" s="4" t="str">
        <f>IF(SnapshotTable[[#This Row],[SP Is Filled]], btc_max_buyback_amount(SnapshotTable[[#This Row],[SP Fill Date]],SnapshotTable[[#This Row],[SP Exp Date]], SnapshotTable[[#This Row],[SP Book Price]]),"")</f>
        <v/>
      </c>
      <c r="CQ179" s="76"/>
      <c r="CR17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79" s="153" t="str">
        <f>IF(SnapshotTable[[#This Row],[SP Is Filled]], btc_next_cutoff_date(SnapshotTable[[#This Row],[SP Fill Date]],SnapshotTable[[#This Row],[SP Exp Date]]),"")</f>
        <v/>
      </c>
      <c r="CT179" s="220" t="str" cm="1">
        <f t="array" ref="CT179">IF(SnapshotTable[[#This Row],[SP Is Filled]], btc_should_buy_back(SnapshotTable[[#This Row],[SP Fill Date]], SnapshotTable[[#This Row],[SP Exp Date]], SnapshotTable[[#This Row],[SP Book Price]], SnapshotTable[[#This Row],[SP Current Ask]], MockToday, SnapshotTable[[#This Row],[SP Buyback Override]]),"")</f>
        <v/>
      </c>
      <c r="CU179" s="141"/>
      <c r="CV179" s="220"/>
      <c r="CW179" s="348" t="str">
        <f>IF(ISNUMBER( SnapshotTable[[#This Row],[SP Term]]), SnapshotTable[[#This Row],[SP Exp Date]] - MockToday,"")</f>
        <v/>
      </c>
      <c r="CX179" s="31" t="str">
        <f>IF(SnapshotTable[[#This Row],[SP Is Filled]],SnapshotTable[[#This Row],[SP Buyback Price to Use]] * 100 * SnapshotTable[[#This Row],[SP Qty]], "")</f>
        <v/>
      </c>
      <c r="CY179" s="4" t="str">
        <f>IF(ISNUMBER(SnapshotTable[[#This Row],[SP Strike Price]]), SnapshotTable[[#This Row],[SP Strike Price]] * (1 - SP_MaxLoss_StrikePct), "")</f>
        <v/>
      </c>
      <c r="CZ179" s="31" t="str">
        <f>IF(ISNUMBER(SnapshotTable[[#This Row],[SP Strike  Stop Per Share]]),SnapshotTable[[#This Row],[SP Premium]] - ((SnapshotTable[[#This Row],[SP Strike Price]]-SnapshotTable[[#This Row],[SP Strike  Stop Per Share]]) *(SnapshotTable[[#This Row],[SP Qty]] * 100)),"")</f>
        <v/>
      </c>
      <c r="DA179" s="4" t="str">
        <f>IF(AND(ISNUMBER(SnapshotTable[[#This Row],[SP Premium]]),SnapshotTable[[#This Row],[SP Premium]]&gt;0), SnapshotTable[[#This Row],[SP Book Price]] * (1 + SP_MaxLoss_OptionPct), "")</f>
        <v/>
      </c>
      <c r="DB179" s="31" t="str">
        <f>IF(ISNUMBER(SnapshotTable[[#This Row],[SP Option  Stop Contract]]),(SnapshotTable[[#This Row],[SP Option  Stop Contract]] *(SnapshotTable[[#This Row],[SP Qty]] * 100) - SnapshotTable[[#This Row],[SP Premium]]),"")</f>
        <v/>
      </c>
      <c r="DC179" s="4"/>
      <c r="DD179" s="4"/>
      <c r="DE179" s="4" t="str">
        <f>IF(AND(SnapshotTable[[#This Row],[SP Qty]]&gt;0, SnapshotTable[[#This Row],[SP Stop To Use]]&gt;0),SnapshotTable[[#This Row],[SP Premium]] - ( SnapshotTable[[#This Row],[SP Qty]] * SnapshotTable[[#This Row],[SP Stop To Use]] * 100), "")</f>
        <v/>
      </c>
      <c r="DF179" s="31" t="str">
        <f>IF(AND(SnapshotTable[[#This Row],[SP Qty]]&gt;0,SnapshotTable[[#This Row],[SP Current Ask]]&gt;0), SnapshotTable[[#This Row],[SP Qty]] * SnapshotTable[[#This Row],[SP Current Ask]] * -100, "")</f>
        <v/>
      </c>
      <c r="DG179" s="31" t="str">
        <f>IF(ISNUMBER((SnapshotTable[[#This Row],[SP Total Value]])), SnapshotTable[[#This Row],[SP Premium]] + SnapshotTable[[#This Row],[SP Total Value]], "")</f>
        <v/>
      </c>
      <c r="DH179" s="272" t="str">
        <f>IF(ISNUMBER((SnapshotTable[[#This Row],[SP Total Value]])), SnapshotTable[[#This Row],[SP Gain Loss]] / SnapshotTable[[#This Row],[SP Premium]], "")</f>
        <v/>
      </c>
      <c r="DI179" s="369"/>
      <c r="DJ179" s="136"/>
      <c r="DK179" s="146"/>
      <c r="DL179" s="13"/>
      <c r="DM179" s="13"/>
      <c r="DO179" s="31">
        <f>IF(SnapshotTable[[#This Row],[LC Symbol Count]]=1, SnapshotTable[[#This Row],[LC Qty]] * SnapshotTable[[#This Row],[LC Book Price]] * 100, 0)</f>
        <v>0</v>
      </c>
      <c r="DP179" s="161" t="str">
        <f>IF(AND(SnapshotTable[[#This Row],[LC Exp Date]]&gt;0, SnapshotTable[[#This Row],[LC Strike Price]]&gt;0,SnapshotTable[[#This Row],[LC Qty]]&gt;0,SnapshotTable[[#This Row],[LC Book Date]]&gt;0,SnapshotTable[[#This Row],[LC Book Price]]&gt;0,SnapshotTable[[#This Row],[LC Fill Date]]=0),"Y","")</f>
        <v/>
      </c>
      <c r="DQ179" s="356" t="str">
        <f>IF(SnapshotTable[[#This Row],[LC Premium]] &gt; 0,SnapshotTable[[#This Row],[LC Exp Date]]-MAX(SnapshotTable[[#This Row],[LC Book Date]], SnapshotTable[[#This Row],[LC Fill Date]]),"")</f>
        <v/>
      </c>
      <c r="DR179" s="356" t="str">
        <f>IF(ISNUMBER(SnapshotTable[[#This Row],[LC Term]]), SnapshotTable[[#This Row],[LC Exp Date]] - MockToday, "")</f>
        <v/>
      </c>
      <c r="DS179" s="219" t="str">
        <f>IF(SnapshotTable[[#This Row],[LC Premium]]&gt;0,SnapshotTable[[#This Row],[LC Strike Price]] + SnapshotTable[[#This Row],[LC Book Price]],"")</f>
        <v/>
      </c>
      <c r="DU179" s="9" t="str">
        <f>IF(AND(SnapshotTable[[#This Row],[LC Symbol Count]]&gt;0, SnapshotTable[[#This Row],[LC Contract Value]]&gt;0), SnapshotTable[[#This Row],[LC Contract Value]] * SnapshotTable[[#This Row],[LC Qty]] * 100, "")</f>
        <v/>
      </c>
      <c r="DV179" s="9" t="str">
        <f>IF(AND(ISNUMBER(SnapshotTable[[#This Row],[LC Total Value]]), SnapshotTable[[#This Row],[LC Not Filled]]&lt;&gt;"Y"), SnapshotTable[[#This Row],[LC Total Value]]-SnapshotTable[[#This Row],[LC Premium]],"")</f>
        <v/>
      </c>
      <c r="DW179" s="225" t="str">
        <f>IF(ISNUMBER(SnapshotTable[[#This Row],[LC Actual Gain Loss]]), SnapshotTable[[#This Row],[LC Actual Gain Loss]] / SnapshotTable[[#This Row],[LC Premium]],"")</f>
        <v/>
      </c>
      <c r="DX179" s="269" t="str">
        <f>IF(ISNUMBER(SnapshotTable[[#This Row],[LC Book Price]]),SnapshotTable[[#This Row],[LC Book Price]] * 1.5,"")</f>
        <v/>
      </c>
      <c r="DY179" s="250" t="str">
        <f>IF(SnapshotTable[[#This Row],[LC Premium]]&gt;0, SnapshotTable[[#This Row],[LC Next Target]] * SnapshotTable[[#This Row],[LC Qty]] * 100,"")</f>
        <v/>
      </c>
      <c r="DZ179" s="250" t="str">
        <f>IF(ISNUMBER(SnapshotTable[[#This Row],[LC Target Gross]]), SnapshotTable[[#This Row],[LC Target Gross]] - SnapshotTable[[#This Row],[LC Premium]], "")</f>
        <v/>
      </c>
      <c r="EA179" s="283" t="str">
        <f>IF(ISNUMBER(SnapshotTable[[#This Row],[LC Target Gain Loss]]), SnapshotTable[[#This Row],[LC Target Gain Loss]]/SnapshotTable[[#This Row],[LC Premium]], "")</f>
        <v/>
      </c>
      <c r="EB179" s="247"/>
      <c r="EC179" s="268" t="str">
        <f>IF(SnapshotTable[[#This Row],[LC Premium]]&gt;0, SnapshotTable[[#This Row],[LC Book Price]] * (1 - LC_StopLoss_Pct),"")</f>
        <v/>
      </c>
      <c r="ED179" s="269"/>
      <c r="EE179" s="268" t="str">
        <f>IF(ISNUMBER(SnapshotTable[[#This Row],[LC Contract Value]]),IF(ISNUMBER(SnapshotTable[[#This Row],[LC Stop Loss Override]]), SnapshotTable[[#This Row],[LC Stop Loss Override]],SnapshotTable[[#This Row],[LC Stop Loss Calc Target]]),"")</f>
        <v/>
      </c>
      <c r="EF179" s="31" t="str">
        <f>IF(ISNUMBER(SnapshotTable[[#This Row],[LC Stop  To Use]]), (SnapshotTable[[#This Row],[LC Stop  To Use]] * SnapshotTable[[#This Row],[LC Qty]] * 100),"")</f>
        <v/>
      </c>
      <c r="EG179" s="9" t="str">
        <f>IF(ISNUMBER(SnapshotTable[[#This Row],[LC Total Value]]),SnapshotTable[[#This Row],[LC Stop Loss Amount]] - SnapshotTable[[#This Row],[LC Premium]],"")</f>
        <v/>
      </c>
      <c r="EH179" s="9">
        <f>IF(ISNUMBER(SnapshotTable[[#This Row],[LC Premium]]), SnapshotTable[[#This Row],[LC Qty]] * 100 * SnapshotTable[[#This Row],[LC Strike Price]], "")</f>
        <v>0</v>
      </c>
      <c r="EI179" s="225" t="str">
        <f>IF(AND(ISNUMBER(SnapshotTable[[#This Row],[LC Total Value]]),SnapshotTable[[#This Row],[LC Total Value]]&gt;0),SnapshotTable[[#This Row],[LC Stop Gain Loss]]  / SnapshotTable[[#This Row],[LC Premium]],"")</f>
        <v/>
      </c>
      <c r="EJ179" s="35">
        <f>IF(ISNUMBER(SnapshotTable[[#This Row],[Equity Shares]]),TRUNC(SnapshotTable[[#This Row],[Equity Shares]] / 100),0) + SnapshotTable[[#This Row],[LC Qty]]</f>
        <v>0</v>
      </c>
      <c r="EK179" s="145"/>
      <c r="EL179" s="136"/>
      <c r="EM179" s="146"/>
      <c r="EN179" s="145"/>
      <c r="EO179" s="145"/>
      <c r="EP179" s="136"/>
      <c r="EQ179" s="382" t="b">
        <f>AND(ISNUMBER(SnapshotTable[[#This Row],[SC Exp Date]]), ISNUMBER(SnapshotTable[[#This Row],[SC Strike Price]]), ISNUMBER(SnapshotTable[[#This Row],[SC Qty]]), ISNUMBER(SnapshotTable[[#This Row],[SC Book Date]]), ISNUMBER(SnapshotTable[[#This Row],[SC Book Price]]))</f>
        <v>0</v>
      </c>
      <c r="ER179" s="382" t="b">
        <f>AND(SnapshotTable[[#This Row],[SC Is Booked]], NOT(ISBLANK(SnapshotTable[[#This Row],[SC Fill Date]])))</f>
        <v>0</v>
      </c>
      <c r="ES179" s="340"/>
      <c r="ET179" s="34" t="str">
        <f>IF(AND(ISNUMBER(SnapshotTable[[#This Row],[SC Exp Date]]), ISNUMBER(SnapshotTable[[#This Row],[SC Book Date]])), SnapshotTable[[#This Row],[SC Exp Date]] - MAX(SnapshotTable[[#This Row],[SC Book Date]], SnapshotTable[[#This Row],[SC Fill Date]]) + 1, "")</f>
        <v/>
      </c>
      <c r="EU179" s="34" t="str">
        <f>IF(ISNUMBER(SnapshotTable[[#This Row],[SC Term]]), SnapshotTable[[#This Row],[SC Exp Date]]- MockToday, "")</f>
        <v/>
      </c>
      <c r="EV179" s="31">
        <f>IF(SnapshotTable[[#This Row],[SC Is Booked]], SnapshotTable[[#This Row],[SC Qty]] * SnapshotTable[[#This Row],[SC Book Price]] * 100, 0)</f>
        <v>0</v>
      </c>
      <c r="EW179" s="4" t="str">
        <f>IF(AND(ISNUMBER(SnapshotTable[[#This Row],[Last Price]]), ISNUMBER( SnapshotTable[[#This Row],[SC Book Price]])), SnapshotTable[[#This Row],[Last Price]] - SnapshotTable[[#This Row],[SC Book Price]],"")</f>
        <v/>
      </c>
      <c r="EX179" s="219" t="str">
        <f>IF(SnapshotTable[[#This Row],[SC Is Booked]],IF(SnapshotTable[[#This Row],[SC Intrinsic Value]] &gt; 0, SnapshotTable[[#This Row],[SC Strike Price]], SnapshotTable[[#This Row],[Last Price]]), "")</f>
        <v/>
      </c>
      <c r="EY179" s="4">
        <f>IF(SnapshotTable[[#This Row],[SC Is Booked]], (MinimumPremiumRequired * SnapshotTable[[#This Row],[SC Basis]] * SnapshotTable[[#This Row],[SC Term]]), 0)</f>
        <v>0</v>
      </c>
      <c r="EZ179" s="268"/>
      <c r="FA179" s="204"/>
      <c r="FB179" s="340"/>
      <c r="FC179" s="4">
        <f>IF(SnapshotTable[[#This Row],[SC Is Filled]], btc_max_buyback_amount(SnapshotTable[[#This Row],[SC Fill Date]],SnapshotTable[[#This Row],[SC Exp Date]], SnapshotTable[[#This Row],[SC Book Price]]),0)</f>
        <v>0</v>
      </c>
      <c r="FD179" s="5"/>
      <c r="FE179" s="142" t="str">
        <f>IF(SnapshotTable[[#This Row],[SC Is Filled]], btc_next_cutoff_date(SnapshotTable[[#This Row],[SC Fill Date]],SnapshotTable[[#This Row],[SC Exp Date]]),"")</f>
        <v/>
      </c>
      <c r="FF179" s="4" t="str" cm="1">
        <f t="array" ref="FF179">IF(SnapshotTable[[#This Row],[SC Is Filled]], btc_should_buy_back(SnapshotTable[[#This Row],[SC Fill Date]], SnapshotTable[[#This Row],[SC Exp Date]], SnapshotTable[[#This Row],[SC Book Price]], SnapshotTable[[#This Row],[SC Current Ask]], MockToday, SnapshotTable[[#This Row],[SC Buyback Override]]),"")</f>
        <v/>
      </c>
      <c r="FG179" s="4">
        <f>IF(SnapshotTable[[#This Row],[SC Is Filled]], MAX(0,SnapshotTable[[#This Row],[Last Price]]  - SnapshotTable[[#This Row],[SC Strike Price]]), 0)</f>
        <v>0</v>
      </c>
      <c r="FH179" s="352">
        <f>IF(SnapshotTable[[#This Row],[SC Is Filled]], IF(ISNUMBER(SnapshotTable[[#This Row],[SC Current Ask]]), SnapshotTable[[#This Row],[SC Current Ask]], SnapshotTable[[#This Row],[SC Book Price]]) - SnapshotTable[[#This Row],[SC Intrinsic Value]], 0)</f>
        <v>0</v>
      </c>
      <c r="FI179" s="141"/>
      <c r="FJ179" s="32" t="str">
        <f>IF(SnapshotTable[[#This Row],[SC Is Filled]],100 * SnapshotTable[[#This Row],[SC Qty]] * IF(ISNUMBER(SnapshotTable[[#This Row],[SC Buyback Override]]), SnapshotTable[[#This Row],[SC Buyback Override]], SnapshotTable[[#This Row],[SC Current Ask]]), "")</f>
        <v/>
      </c>
      <c r="FK179" s="235" t="str">
        <f>IF(SnapshotTable[[#This Row],[SC Time Val]]&gt;0, SnapshotTable[[#This Row],[SC Time Val]] / SnapshotTable[[#This Row],[Last Price]],"")</f>
        <v/>
      </c>
      <c r="FL179" s="280" t="str">
        <f>IF(SnapshotTable[[#This Row],[SC Is Booked]], ((SnapshotTable[[#This Row],[Last Price]] -SnapshotTable[[#This Row],[SC Strike Price]]) / SnapshotTable[[#This Row],[Last Price]]) * -1, "")</f>
        <v/>
      </c>
      <c r="FM179" s="155" t="str">
        <f>IF(SnapshotTable[[#This Row],[SC Is Booked]],  (SnapshotTable[[#This Row],[SC Qty]] * 100 * SnapshotTable[[#This Row],[SC Strike Price]]) - SnapshotTable[[#This Row],[SC Current Ask]], "")</f>
        <v/>
      </c>
      <c r="FN17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79" s="31" t="str">
        <f>IF(AND(ISNUMBER(SnapshotTable[[#This Row],[SC Exercise Gross]]), ISNUMBER(SnapshotTable[[#This Row],[Equity Basis Per Share]] )), SnapshotTable[[#This Row],[SC Exercise Gross]] - SnapshotTable[[#This Row],[Equity Basis Total]] +  SnapshotTable[[#This Row],[SC Premium]], "")</f>
        <v/>
      </c>
      <c r="FP179" s="5" t="str">
        <f>IF(ISNUMBER(SnapshotTable[[#This Row],[SC Exercise Gross]]), (SnapshotTable[[#This Row],[SC Exercise Gross]]) / (SnapshotTable[[#This Row],[SC Qty]] * 100), "")</f>
        <v/>
      </c>
      <c r="FQ179" s="27" t="str">
        <f>IF(SnapshotTable[[#This Row],[SC Is Booked]],SnapshotTable[[#This Row],[SC Time Val]] /SnapshotTable[[#This Row],[SC Basis]], "")</f>
        <v/>
      </c>
      <c r="FR179" s="27" t="str" cm="1">
        <f t="array" ref="FR179">IF(AND(ISNUMBER(SnapshotTable[[#This Row],[SC Term]]),ISNUMBER(SnapshotTable[[#This Row],[SC Simple ROO]])), EllmanAnnualize(SnapshotTable[[#This Row],[SC DTE]], SnapshotTable[[#This Row],[SC Simple ROO]] ),"")</f>
        <v/>
      </c>
      <c r="FS179" s="4">
        <f>IF(SnapshotTable[[#This Row],[SC Strike Price]] &gt; SnapshotTable[[#This Row],[Last Price]], SnapshotTable[[#This Row],[SC Strike Price]] - SnapshotTable[[#This Row],[Last Price]],0)</f>
        <v>0</v>
      </c>
      <c r="FT179" s="27" t="str">
        <f>IF(AND(ISNUMBER(SnapshotTable[[#This Row],[SC Upside Potential]]), SnapshotTable[[#This Row],[SC Upside Potential]] &gt; 0),(SnapshotTable[[#This Row],[SC Upside Potential]]/ SnapshotTable[[#This Row],[ACB]]),"")</f>
        <v/>
      </c>
      <c r="FU179" s="304" t="str">
        <f>IF(SnapshotTable[[#This Row],[SC Intrinsic Value]] &gt; 0,SnapshotTable[[#This Row],[SC Intrinsic Value]],"")</f>
        <v/>
      </c>
      <c r="FV179" s="27" t="str">
        <f>IF(AND( ISNUMBER( SnapshotTable[[#This Row],[ACB]]),ISNUMBER(SnapshotTable[[#This Row],[SC Downside Protect]])),SnapshotTable[[#This Row],[SC Downside Protect]] / SnapshotTable[[#This Row],[ACB]],"")</f>
        <v/>
      </c>
      <c r="FW179" s="221" t="str">
        <f>IF(AND(ISNUMBER(SnapshotTable[[#This Row],[SC Simple ROO]]),SnapshotTable[[#This Row],[SC Simple ROO]] &gt; 0), SnapshotTable[[#This Row],[SC Premium]] + (SnapshotTable[[#This Row],[SC Qty]] * SnapshotTable[[#This Row],[SC Upside Potential]]), "")</f>
        <v/>
      </c>
      <c r="FX179" s="280" t="str" cm="1">
        <f t="array" ref="FX179">IF(ISNUMBER(SnapshotTable[[#This Row],[SC Max Dollars]]), annualize(SnapshotTable[[#This Row],[SC Term]],(SnapshotTable[[#This Row],[SC Max Dollars]]/SnapshotTable[[#This Row],[SC Basis]])),"")</f>
        <v/>
      </c>
      <c r="FY179" s="221" t="str">
        <f>IF(AND(SnapshotTable[[#This Row],[SC Qty]]&gt;0,SnapshotTable[[#This Row],[SC Current Ask]]&gt;0), SnapshotTable[[#This Row],[SC Qty]] * SnapshotTable[[#This Row],[SC Current Ask]] * -100, "")</f>
        <v/>
      </c>
      <c r="FZ179" s="31" t="str">
        <f>IF(ISNUMBER((SnapshotTable[[#This Row],[SC Current Value]])), SnapshotTable[[#This Row],[SC Premium]] + SnapshotTable[[#This Row],[SC Current Value]], "")</f>
        <v/>
      </c>
      <c r="GA179" s="272" t="str">
        <f>IFERROR( IF(ISNUMBER((SnapshotTable[[#This Row],[SC Current Value]])), SnapshotTable[[#This Row],[SC Gain Loss]] / SnapshotTable[[#This Row],[SC Premium]], ""), "")</f>
        <v/>
      </c>
      <c r="GB179" s="42">
        <f>SnapshotTable[[#This Row],[Equity Shares]] * SaleSharesToConsiderPercentage</f>
        <v>0</v>
      </c>
      <c r="GC179" s="40">
        <f>SnapshotTable[[#This Row],[Long Term Target]] * SellingPriceToConsiderBasedOnTargetPercentage</f>
        <v>17.8125</v>
      </c>
      <c r="GD179" s="40">
        <f>SnapshotTable[[#This Row],[Last Price]] * (1+ SellingPriceToConsiderBasedOnTargetPercentage)</f>
        <v>39.896999999999998</v>
      </c>
      <c r="GE179" s="41"/>
      <c r="GF179" s="40"/>
      <c r="GG179" s="31">
        <f>SnapshotTable[[#This Row],[Booked Sale Shares]] * SnapshotTable[[#This Row],[Booked Sale Price]]</f>
        <v>0</v>
      </c>
      <c r="GH179" s="31" t="str">
        <f>IF(SnapshotTable[[#This Row],[Equity Basis Total]] &gt; 0, SnapshotTable[[#This Row],[Equity Basis Per Share]] * SnapshotTable[[#This Row],[Booked Sale Shares]], "")</f>
        <v/>
      </c>
      <c r="GI179" s="31">
        <f>IF(SnapshotTable[[#This Row],[Sale Proceeds]]&gt;0, SnapshotTable[[#This Row],[Sale Proceeds]] - SnapshotTable[[#This Row],[Sale Basis]], 0)</f>
        <v>0</v>
      </c>
      <c r="GJ179" s="27" t="str">
        <f>IF(SnapshotTable[[#This Row],[Sale G/L]]&gt;0, SnapshotTable[[#This Row],[Sale G/L]] / SnapshotTable[[#This Row],[Sale Basis]], IF(ISNUMBER(SnapshotTable[[#This Row],[SC Exercise P&amp;L (TAX)]]), SnapshotTable[[#This Row],[SC Exercise P&amp;L (TAX)]] / SnapshotTable[[#This Row],[SC Basis]], ""))</f>
        <v/>
      </c>
      <c r="GK179" s="27"/>
      <c r="GL179" s="43" t="str">
        <f>IF(AND(SnapshotTable[[#This Row],[LP Exp Date]]&gt;0,SnapshotTable[[#This Row],[LP Strike Price]]&gt;0), [1]!ToOptionSymbol(SnapshotTable[[#This Row],[Symbol]], SnapshotTable[[#This Row],[LP Strike Price]],SnapshotTable[[#This Row],[LP Exp Date]],1), "")</f>
        <v/>
      </c>
      <c r="GM179" s="30" t="str">
        <f>IF(LEN(SnapshotTable[[#This Row],[LP Symbol]])&gt;0, 1, "")</f>
        <v/>
      </c>
      <c r="GN179" s="43" t="str">
        <f>IF(AND(SnapshotTable[[#This Row],[SP Exp Date]]&gt;0,SnapshotTable[[#This Row],[SP Strike Price]]&gt;0), [1]!ToOptionSymbol(SnapshotTable[[#This Row],[Symbol]], SnapshotTable[[#This Row],[SP Strike Price]],SnapshotTable[[#This Row],[SP Exp Date]],1), "")</f>
        <v/>
      </c>
      <c r="GO179" s="30" t="str">
        <f>IF(LEN(SnapshotTable[[#This Row],[SP Symbol]])&gt;0, 1, "")</f>
        <v/>
      </c>
      <c r="GP179" s="43" t="str">
        <f>IF(AND(SnapshotTable[[#This Row],[LC Exp Date]]&gt;0,SnapshotTable[[#This Row],[LC Strike Price]]&gt;0), [1]!ToOptionSymbol(SnapshotTable[[#This Row],[Symbol]], SnapshotTable[[#This Row],[LC Strike Price]],SnapshotTable[[#This Row],[LC Exp Date]],0), "")</f>
        <v/>
      </c>
      <c r="GQ179" s="30" t="str">
        <f>IF(LEN(SnapshotTable[[#This Row],[LC Symbol]])&gt;0, 1, "")</f>
        <v/>
      </c>
      <c r="GR179" s="43" t="str">
        <f>IF(AND(SnapshotTable[[#This Row],[SC Exp Date]]&gt;0,SnapshotTable[[#This Row],[SC Strike Price]]&gt;0), [1]!ToOptionSymbol(SnapshotTable[[#This Row],[Symbol]], SnapshotTable[[#This Row],[SC Strike Price]],SnapshotTable[[#This Row],[SC Exp Date]],0), "")</f>
        <v/>
      </c>
      <c r="GS179" s="30" t="str">
        <f>IF(LEN(SnapshotTable[[#This Row],[SC Symbol]])&gt;0, 1, "")</f>
        <v/>
      </c>
      <c r="GT179" s="29" t="str">
        <f>IF(COUNT(SnapshotTable[[#This Row],[LP Symbol Count]],SnapshotTable[[#This Row],[SP Symbol Count]],SnapshotTable[[#This Row],[LC Symbol Count]],SnapshotTable[[#This Row],[SC Symbol Count]])&gt;0, "Y", "")</f>
        <v/>
      </c>
      <c r="GU17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79" s="216">
        <f>MAX(SnapshotTable[[#This Row],[Equity Basis Total]],SnapshotTable[[#This Row],[Equity Value]]) + (SnapshotTable[[#This Row],[SP Potential Spend]]- SnapshotTable[[#This Row],[SP Premium]] + SnapshotTable[[#This Row],[LP Premium]])+ (SnapshotTable[[#This Row],[LC Premium]] - SnapshotTable[[#This Row],[SC Premium]])</f>
        <v>0</v>
      </c>
      <c r="GW179" s="137" t="str">
        <f>IF(AND(SnapshotTable[[#This Row],[Exposure]] &lt;&gt; 0),SnapshotTable[[#This Row],[Exposure]] / SnapshotTable[[#Totals],[Exposure]], "")</f>
        <v/>
      </c>
      <c r="HE179" s="253"/>
      <c r="HF179" s="253"/>
      <c r="HK179" s="1"/>
      <c r="HL179" s="1"/>
      <c r="HM179" s="1"/>
      <c r="HN179" s="1"/>
      <c r="HO179" s="1"/>
      <c r="HP179" s="1"/>
    </row>
    <row r="180" spans="2:224" ht="12.75" hidden="1" customHeight="1" x14ac:dyDescent="0.25">
      <c r="B180" s="12" t="s">
        <v>725</v>
      </c>
      <c r="C180" s="385">
        <v>35.049999999999997</v>
      </c>
      <c r="D180" s="200"/>
      <c r="E180" s="39">
        <f>SnapshotTable[[#This Row],[Last Price]]*(1 -CrashDiscount)</f>
        <v>29.792499999999997</v>
      </c>
      <c r="F180" s="26" t="s">
        <v>700</v>
      </c>
      <c r="G180" s="26" t="s">
        <v>493</v>
      </c>
      <c r="H180" s="147"/>
      <c r="I180" s="186">
        <v>44798.670138888891</v>
      </c>
      <c r="J180" s="187">
        <v>44798.670138888891</v>
      </c>
      <c r="K180" s="188"/>
      <c r="L180" s="297"/>
      <c r="M180" s="138"/>
      <c r="N180" s="138"/>
      <c r="O180" s="138"/>
      <c r="P180" s="22"/>
      <c r="Q180" s="25"/>
      <c r="R180" s="4" t="str">
        <f>IF(SnapshotTable[[#This Row],[Equity Basis Total]] &gt; 0, SnapshotTable[[#This Row],[Equity Basis Total]] / SnapshotTable[[#This Row],[Equity Shares]], "")</f>
        <v/>
      </c>
      <c r="S180" s="254">
        <f>SnapshotTable[[#This Row],[Last Price]] * SnapshotTable[[#This Row],[Equity Shares]]</f>
        <v>0</v>
      </c>
      <c r="T180" s="254">
        <f>SnapshotTable[[#This Row],[Equity Value]] - SnapshotTable[[#This Row],[Equity Basis Total]]</f>
        <v>0</v>
      </c>
      <c r="U180" s="255" t="str">
        <f>IF(SnapshotTable[[#This Row],[Equity Basis Total]] &gt; 0, SnapshotTable[[#This Row],[Equity G/L]] / SnapshotTable[[#This Row],[Equity Basis Total]], "")</f>
        <v/>
      </c>
      <c r="V180" s="253"/>
      <c r="W180" s="253"/>
      <c r="X180" s="4" t="str">
        <f>IF(AND(ISNUMBER(SnapshotTable[[#This Row],[Equity Basis Per Share]]),ISNUMBER(SnapshotTable[[#This Row],[Equity Target]])),SnapshotTable[[#This Row],[Equity Target]]-SnapshotTable[[#This Row],[Equity Basis Per Share]],"")</f>
        <v/>
      </c>
      <c r="Y180" s="4" t="str">
        <f>IF(AND(ISNUMBER(SnapshotTable[[#This Row],[Equity Basis Per Share]]),ISNUMBER(SnapshotTable[[#This Row],[Equity Stop Loss]])),SnapshotTable[[#This Row],[Equity Stop Loss]]-SnapshotTable[[#This Row],[Equity Basis Per Share]],"")</f>
        <v/>
      </c>
      <c r="Z180" s="260" t="str">
        <f>IFERROR( TEXT(SnapshotTable[[#This Row],[Equity Max Gain Per Share]] /ABS( SnapshotTable[[#This Row],[Equity Max Loss Per Share]]),"0.0 " ) &amp; " : 1", "")</f>
        <v/>
      </c>
      <c r="AA180" s="31" t="str">
        <f>IF(ISNUMBER(SnapshotTable[[#This Row],[Equity Max Gain Per Share]]),SnapshotTable[[#This Row],[Equity Max Gain Per Share]] * SnapshotTable[[#This Row],[Equity Shares]],"")</f>
        <v/>
      </c>
      <c r="AB180" s="31" t="str">
        <f>IF(ISNUMBER(SnapshotTable[[#This Row],[Equity Max Loss Per Share]]),SnapshotTable[[#This Row],[Equity Max Loss Per Share]] * SnapshotTable[[#This Row],[Equity Shares]],"")</f>
        <v/>
      </c>
      <c r="AC180" s="148"/>
      <c r="AD180" s="149"/>
      <c r="AE180" s="31">
        <f>(SnapshotTable[[#This Row],[Annual Dividend Per Share]] / 4) * SnapshotTable[[#This Row],[Equity Shares]]</f>
        <v>0</v>
      </c>
      <c r="AF180" s="31">
        <f>SnapshotTable[[#This Row],[Quarterly Div $]] * 4</f>
        <v>0</v>
      </c>
      <c r="AG180" s="7">
        <f>IF(SnapshotTable[[#This Row],[Annual Dividend Per Share]]&gt;0, SnapshotTable[[#This Row],[Annual Dividend Per Share]]  / SnapshotTable[[#This Row],[Last Price]], 0)</f>
        <v>0</v>
      </c>
      <c r="AH180" s="149"/>
      <c r="AI180" s="5"/>
      <c r="AJ180" s="136">
        <v>30.67</v>
      </c>
      <c r="AK180" s="150" t="str">
        <f>IF(ISNUMBER( SnapshotTable[[#This Row],[EBF Target]]),(SnapshotTable[[#This Row],[EBF Target]] - SnapshotTable[[#This Row],[Last Price]]) / SnapshotTable[[#This Row],[Last Price]], "")</f>
        <v/>
      </c>
      <c r="AL180" s="150" t="str">
        <f>IF(AND(SnapshotTable[[#This Row],[Equity Basis Total]] &gt; 0,ISNUMBER( SnapshotTable[[#This Row],[Long Term Target]])), SnapshotTable[[#This Row],[From Basis $]] / SnapshotTable[[#This Row],[Equity Basis Total]], "")</f>
        <v/>
      </c>
      <c r="AM180" s="9">
        <f>IF( AND(SnapshotTable[[#This Row],[Equity Shares]] &gt;0,ISNUMBER( SnapshotTable[[#This Row],[Long Term Target]])),(SnapshotTable[[#This Row],[Equity Shares]] * SnapshotTable[[#This Row],[Long Term Target]]) - SnapshotTable[[#This Row],[Equity Basis Total]],0)</f>
        <v>0</v>
      </c>
      <c r="AN180" s="9">
        <f>IF( AND(SnapshotTable[[#This Row],[Equity Shares]] &gt;0,ISNUMBER( SnapshotTable[[#This Row],[Long Term Target]])),(SnapshotTable[[#This Row],[Equity Shares]]*SnapshotTable[[#This Row],[Long Term Target]]) - SnapshotTable[[#This Row],[Equity Value]],0)</f>
        <v>0</v>
      </c>
      <c r="AO180" s="150">
        <f>IF(AND(ISNUMBER( SnapshotTable[[#This Row],[Long Term Target]]), ISNUMBER(SnapshotTable[[#This Row],[Last Price]])),(SnapshotTable[[#This Row],[Long Term Target]] - SnapshotTable[[#This Row],[Last Price]]) / SnapshotTable[[#This Row],[Last Price]], "")</f>
        <v>-0.12496433666191144</v>
      </c>
      <c r="AP180" s="5"/>
      <c r="AQ180" s="38"/>
      <c r="AR180" s="5"/>
      <c r="AS180" s="38"/>
      <c r="AT180" s="144"/>
      <c r="AU180" s="185" t="str">
        <f>IF(OR(SnapshotTable[[#This Row],[LP No Fill]]="Y",SnapshotTable[[#This Row],[SP Is Filled]],SnapshotTable[[#This Row],[LC Not Filled]]="Y",SnapshotTable[[#This Row],[SC Is Filled]]),"Y","")</f>
        <v/>
      </c>
      <c r="AV180" s="205"/>
      <c r="AW180" s="211"/>
      <c r="AX180" s="206"/>
      <c r="AY180" s="205" t="str">
        <f>IF(SnapshotTable[[#This Row],[Implied Move]]&gt;0, SnapshotTable[[#This Row],[Last Price]]-SnapshotTable[[#This Row],[Implied Move]],"")</f>
        <v/>
      </c>
      <c r="AZ180" s="205" t="str">
        <f>IF(SnapshotTable[[#This Row],[Implied Move]]&gt;0, SnapshotTable[[#This Row],[Last Price]] + SnapshotTable[[#This Row],[Implied Move]],"")</f>
        <v/>
      </c>
      <c r="BA180" s="302"/>
      <c r="BB180" s="318"/>
      <c r="BC18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0" s="321"/>
      <c r="BE180" s="136"/>
      <c r="BF180" s="164"/>
      <c r="BG180" s="165"/>
      <c r="BH180" s="165"/>
      <c r="BI180" s="207"/>
      <c r="BJ180" s="151">
        <f>IF(SnapshotTable[[#This Row],[LP Qty]] &gt; 0, SnapshotTable[[#This Row],[LP Qty]] * SnapshotTable[[#This Row],[LP Book Price]] * 100,0)</f>
        <v>0</v>
      </c>
      <c r="BK180" s="134">
        <f>IF(SnapshotTable[[#This Row],[LP Premium]] &gt; 0, SnapshotTable[[#This Row],[LP Qty]] * SnapshotTable[[#This Row],[LP Strike Price]] * 100,0)</f>
        <v>0</v>
      </c>
      <c r="BL180" s="152"/>
      <c r="BM180" s="355" t="str">
        <f>IF(SnapshotTable[[#This Row],[LP Premium]] &gt; 0,SnapshotTable[[#This Row],[LP Exp Date]]-MAX(SnapshotTable[[#This Row],[LP Book Date]], SnapshotTable[[#This Row],[LP Fill Date]]),"")</f>
        <v/>
      </c>
      <c r="BN180" s="355" t="str">
        <f>IF(ISNUMBER( SnapshotTable[[#This Row],[LP Term]]), SnapshotTable[[#This Row],[LP Exp Date]] - MockToday,"")</f>
        <v/>
      </c>
      <c r="BO180" s="161" t="str">
        <f>IF(AND(SnapshotTable[[#This Row],[LP Exp Date]]&gt;0, SnapshotTable[[#This Row],[LP Strike Price]]&gt;0,SnapshotTable[[#This Row],[LP Qty]]&gt;0,SnapshotTable[[#This Row],[LP Book Date]]&gt;0,SnapshotTable[[#This Row],[LP Book Price]]&gt;0,SnapshotTable[[#This Row],[LP Fill Date]]=0),"Y","")</f>
        <v/>
      </c>
      <c r="BP180" s="31" t="str">
        <f>IF(AND(SnapshotTable[[#This Row],[LP No Fill]]&lt;&gt;"Y",SnapshotTable[[#This Row],[LP Contract Value]]&gt;0, SnapshotTable[[#This Row],[LP Qty]]&gt;0), SnapshotTable[[#This Row],[LP Contract Value]]*SnapshotTable[[#This Row],[LP Qty]]*100,"")</f>
        <v/>
      </c>
      <c r="BQ180" s="13"/>
      <c r="BR180" s="5"/>
      <c r="BS180" s="36"/>
      <c r="BT180" s="145"/>
      <c r="BU180" s="13"/>
      <c r="BV180" s="5"/>
      <c r="BW180" s="382" t="b">
        <f>AND(ISNUMBER(SnapshotTable[[#This Row],[SP Exp Date]]), ISNUMBER(SnapshotTable[[#This Row],[SP Strike Price]]), ISNUMBER(SnapshotTable[[#This Row],[SP Qty]]), ISNUMBER(SnapshotTable[[#This Row],[SP Book Date]]), ISNUMBER(SnapshotTable[[#This Row],[SP Book Price]]))</f>
        <v>0</v>
      </c>
      <c r="BX180" s="382" t="b">
        <f>AND(SnapshotTable[[#This Row],[SP Is Booked]], NOT(ISBLANK(SnapshotTable[[#This Row],[SP Fill Date]])))</f>
        <v>0</v>
      </c>
      <c r="BY180" s="33">
        <f>IF(SnapshotTable[[#This Row],[SP Is Booked]], SnapshotTable[[#This Row],[SP Qty]] * SnapshotTable[[#This Row],[SP Book Price]] * 100, 0)</f>
        <v>0</v>
      </c>
      <c r="BZ180" s="339"/>
      <c r="CA180" s="338">
        <f>SnapshotTable[[#This Row],[LP Qty]]</f>
        <v>0</v>
      </c>
      <c r="CB180" s="4" t="str">
        <f>IF(SnapshotTable[[#This Row],[SP Is Booked]], SnapshotTable[[#This Row],[SP Strike Price]] - SnapshotTable[[#This Row],[SP Book Price]], "")</f>
        <v/>
      </c>
      <c r="CC180" s="19" t="str">
        <f>IF(SnapshotTable[[#This Row],[SP Is Booked]],SnapshotTable[[#This Row],[SP Exp Date]]-MAX(SnapshotTable[[#This Row],[SP Book Date]], SnapshotTable[[#This Row],[SP Fill Date]]),"")</f>
        <v/>
      </c>
      <c r="CD180" s="7" t="str">
        <f>IF(SnapshotTable[[#This Row],[SP Is Booked]], SnapshotTable[[#This Row],[SP Book Price]]/SnapshotTable[[#This Row],[SP Strike Price]], "")</f>
        <v/>
      </c>
      <c r="CE180" s="7" t="str">
        <f>IF(ISNUMBER(SnapshotTable[[#This Row],[SP ROO Term]]),SnapshotTable[[#This Row],[SP ROO Term]]*(365/SnapshotTable[[#This Row],[SP Term]]),"")</f>
        <v/>
      </c>
      <c r="CF180" s="221">
        <f>SnapshotTable[[#This Row],[LP Strike Price]] * SnapshotTable[[#This Row],[LP Qty]] * 100</f>
        <v>0</v>
      </c>
      <c r="CG180" s="31">
        <f>IF(ISNUMBER(SnapshotTable[[#This Row],[SP Premium]]), (SnapshotTable[[#This Row],[SP Qty]] * SnapshotTable[[#This Row],[SP Strike Price]]* 100) - SnapshotTable[[#This Row],[LP Protection]], 0)</f>
        <v>0</v>
      </c>
      <c r="CH180" s="7" t="str">
        <f>IF(ISNUMBER(SnapshotTable[[#This Row],[SP Break Even]]),-1 * (SnapshotTable[[#This Row],[SP Break Even]] - SnapshotTable[[#This Row],[Last Price]]) / SnapshotTable[[#This Row],[Last Price]], "")</f>
        <v/>
      </c>
      <c r="CI180" s="31">
        <f>IF(AND(ISNUMBER((SnapshotTable[[#This Row],[SP Potential Spend]])), SnapshotTable[[#This Row],[SP Strike Price]] &gt; SnapshotTable[[#This Row],[Last Price]], SnapshotTable[[#This Row],[SP Is Filled]]), SnapshotTable[[#This Row],[SP Potential Spend]] -  SnapshotTable[[#This Row],[LP Max Value]], 0)</f>
        <v>0</v>
      </c>
      <c r="CJ180" s="229"/>
      <c r="CK180" s="31">
        <f>IF(ISNUMBER(SnapshotTable[[#This Row],[SP Potential Spend]]),IF(ISNUMBER(SnapshotTable[[#This Row],[SP POW]]), SnapshotTable[[#This Row],[SP POW]] * SnapshotTable[[#This Row],[SP Potential Spend]], SnapshotTable[[#This Row],[SP Potential Spend]]), "")</f>
        <v>0</v>
      </c>
      <c r="CL180" s="162">
        <f>IF(NOT(SnapshotTable[[#This Row],[SP Is Filled]]),(SnapshotTable[[#This Row],[SP Qty]] * SnapshotTable[[#This Row],[SP Strike Price]] * 100) - SnapshotTable[[#This Row],[LP Max Value]],"")</f>
        <v>0</v>
      </c>
      <c r="CM180" s="31" t="str">
        <f>IF(SnapshotTable[[#This Row],[SP Actual Spend]]&lt;&gt;0, ((SnapshotTable[[#This Row],[SP Strike Price]]-SnapshotTable[[#This Row],[Last Price]]) *(SnapshotTable[[#This Row],[SP Qty]]*100) - SnapshotTable[[#This Row],[SP Premium]]) * - 1, "")</f>
        <v/>
      </c>
      <c r="CN180" s="152"/>
      <c r="CO180" s="339"/>
      <c r="CP180" s="291" t="str">
        <f>IF(SnapshotTable[[#This Row],[SP Is Filled]], btc_max_buyback_amount(SnapshotTable[[#This Row],[SP Fill Date]],SnapshotTable[[#This Row],[SP Exp Date]], SnapshotTable[[#This Row],[SP Book Price]]),"")</f>
        <v/>
      </c>
      <c r="CQ180" s="76"/>
      <c r="CR180"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0" s="153" t="str">
        <f>IF(SnapshotTable[[#This Row],[SP Is Filled]], btc_next_cutoff_date(SnapshotTable[[#This Row],[SP Fill Date]],SnapshotTable[[#This Row],[SP Exp Date]]),"")</f>
        <v/>
      </c>
      <c r="CT180" s="220" t="str" cm="1">
        <f t="array" ref="CT180">IF(SnapshotTable[[#This Row],[SP Is Filled]], btc_should_buy_back(SnapshotTable[[#This Row],[SP Fill Date]], SnapshotTable[[#This Row],[SP Exp Date]], SnapshotTable[[#This Row],[SP Book Price]], SnapshotTable[[#This Row],[SP Current Ask]], MockToday, SnapshotTable[[#This Row],[SP Buyback Override]]),"")</f>
        <v/>
      </c>
      <c r="CU180" s="154"/>
      <c r="CV180" s="220"/>
      <c r="CW180" s="348" t="str">
        <f>IF(ISNUMBER( SnapshotTable[[#This Row],[SP Term]]), SnapshotTable[[#This Row],[SP Exp Date]] - MockToday,"")</f>
        <v/>
      </c>
      <c r="CX180" s="31" t="str">
        <f>IF(SnapshotTable[[#This Row],[SP Is Filled]],SnapshotTable[[#This Row],[SP Buyback Price to Use]] * 100 * SnapshotTable[[#This Row],[SP Qty]], "")</f>
        <v/>
      </c>
      <c r="CY180" s="4" t="str">
        <f>IF(ISNUMBER(SnapshotTable[[#This Row],[SP Strike Price]]), SnapshotTable[[#This Row],[SP Strike Price]] * (1 - SP_MaxLoss_StrikePct), "")</f>
        <v/>
      </c>
      <c r="CZ180" s="31" t="str">
        <f>IF(ISNUMBER(SnapshotTable[[#This Row],[SP Strike  Stop Per Share]]),SnapshotTable[[#This Row],[SP Premium]] - ((SnapshotTable[[#This Row],[SP Strike Price]]-SnapshotTable[[#This Row],[SP Strike  Stop Per Share]]) *(SnapshotTable[[#This Row],[SP Qty]] * 100)),"")</f>
        <v/>
      </c>
      <c r="DA180" s="4" t="str">
        <f>IF(AND(ISNUMBER(SnapshotTable[[#This Row],[SP Premium]]),SnapshotTable[[#This Row],[SP Premium]]&gt;0), SnapshotTable[[#This Row],[SP Book Price]] * (1 + SP_MaxLoss_OptionPct), "")</f>
        <v/>
      </c>
      <c r="DB180" s="31" t="str">
        <f>IF(ISNUMBER(SnapshotTable[[#This Row],[SP Option  Stop Contract]]),(SnapshotTable[[#This Row],[SP Option  Stop Contract]] *(SnapshotTable[[#This Row],[SP Qty]] * 100) - SnapshotTable[[#This Row],[SP Premium]]),"")</f>
        <v/>
      </c>
      <c r="DC180" s="4"/>
      <c r="DD180" s="4"/>
      <c r="DE180" s="4" t="str">
        <f>IF(AND(SnapshotTable[[#This Row],[SP Qty]]&gt;0, SnapshotTable[[#This Row],[SP Stop To Use]]&gt;0),SnapshotTable[[#This Row],[SP Premium]] - ( SnapshotTable[[#This Row],[SP Qty]] * SnapshotTable[[#This Row],[SP Stop To Use]] * 100), "")</f>
        <v/>
      </c>
      <c r="DF180" s="31" t="str">
        <f>IF(AND(SnapshotTable[[#This Row],[SP Qty]]&gt;0,SnapshotTable[[#This Row],[SP Current Ask]]&gt;0), SnapshotTable[[#This Row],[SP Qty]] * SnapshotTable[[#This Row],[SP Current Ask]] * -100, "")</f>
        <v/>
      </c>
      <c r="DG180" s="31" t="str">
        <f>IF(ISNUMBER((SnapshotTable[[#This Row],[SP Total Value]])), SnapshotTable[[#This Row],[SP Premium]] + SnapshotTable[[#This Row],[SP Total Value]], "")</f>
        <v/>
      </c>
      <c r="DH180" s="272" t="str">
        <f>IF(ISNUMBER((SnapshotTable[[#This Row],[SP Total Value]])), SnapshotTable[[#This Row],[SP Gain Loss]] / SnapshotTable[[#This Row],[SP Premium]], "")</f>
        <v/>
      </c>
      <c r="DI180" s="369"/>
      <c r="DJ180" s="136"/>
      <c r="DK180" s="146"/>
      <c r="DL180" s="145"/>
      <c r="DM180" s="145"/>
      <c r="DO180" s="31">
        <f>IF(SnapshotTable[[#This Row],[LC Symbol Count]]=1, SnapshotTable[[#This Row],[LC Qty]] * SnapshotTable[[#This Row],[LC Book Price]] * 100, 0)</f>
        <v>0</v>
      </c>
      <c r="DP180" s="270" t="str">
        <f>IF(AND(SnapshotTable[[#This Row],[LC Exp Date]]&gt;0, SnapshotTable[[#This Row],[LC Strike Price]]&gt;0,SnapshotTable[[#This Row],[LC Qty]]&gt;0,SnapshotTable[[#This Row],[LC Book Date]]&gt;0,SnapshotTable[[#This Row],[LC Book Price]]&gt;0,SnapshotTable[[#This Row],[LC Fill Date]]=0),"Y","")</f>
        <v/>
      </c>
      <c r="DQ180" s="356" t="str">
        <f>IF(SnapshotTable[[#This Row],[LC Premium]] &gt; 0,SnapshotTable[[#This Row],[LC Exp Date]]-MAX(SnapshotTable[[#This Row],[LC Book Date]], SnapshotTable[[#This Row],[LC Fill Date]]),"")</f>
        <v/>
      </c>
      <c r="DR180" s="356" t="str">
        <f>IF(ISNUMBER(SnapshotTable[[#This Row],[LC Term]]), SnapshotTable[[#This Row],[LC Exp Date]] - MockToday, "")</f>
        <v/>
      </c>
      <c r="DS180" s="219" t="str">
        <f>IF(SnapshotTable[[#This Row],[LC Premium]]&gt;0,SnapshotTable[[#This Row],[LC Strike Price]] + SnapshotTable[[#This Row],[LC Book Price]],"")</f>
        <v/>
      </c>
      <c r="DU180" s="9" t="str">
        <f>IF(AND(SnapshotTable[[#This Row],[LC Symbol Count]]&gt;0, SnapshotTable[[#This Row],[LC Contract Value]]&gt;0), SnapshotTable[[#This Row],[LC Contract Value]] * SnapshotTable[[#This Row],[LC Qty]] * 100, "")</f>
        <v/>
      </c>
      <c r="DV180" s="9" t="str">
        <f>IF(AND(ISNUMBER(SnapshotTable[[#This Row],[LC Total Value]]), SnapshotTable[[#This Row],[LC Not Filled]]&lt;&gt;"Y"), SnapshotTable[[#This Row],[LC Total Value]]-SnapshotTable[[#This Row],[LC Premium]],"")</f>
        <v/>
      </c>
      <c r="DW180" s="225" t="str">
        <f>IF(ISNUMBER(SnapshotTable[[#This Row],[LC Actual Gain Loss]]), SnapshotTable[[#This Row],[LC Actual Gain Loss]] / SnapshotTable[[#This Row],[LC Premium]],"")</f>
        <v/>
      </c>
      <c r="DX180" s="269" t="str">
        <f>IF(ISNUMBER(SnapshotTable[[#This Row],[LC Book Price]]),SnapshotTable[[#This Row],[LC Book Price]] * 1.5,"")</f>
        <v/>
      </c>
      <c r="DY180" s="250" t="str">
        <f>IF(SnapshotTable[[#This Row],[LC Premium]]&gt;0, SnapshotTable[[#This Row],[LC Next Target]] * SnapshotTable[[#This Row],[LC Qty]] * 100,"")</f>
        <v/>
      </c>
      <c r="DZ180" s="250" t="str">
        <f>IF(ISNUMBER(SnapshotTable[[#This Row],[LC Target Gross]]), SnapshotTable[[#This Row],[LC Target Gross]] - SnapshotTable[[#This Row],[LC Premium]], "")</f>
        <v/>
      </c>
      <c r="EA180" s="283" t="str">
        <f>IF(ISNUMBER(SnapshotTable[[#This Row],[LC Target Gain Loss]]), SnapshotTable[[#This Row],[LC Target Gain Loss]]/SnapshotTable[[#This Row],[LC Premium]], "")</f>
        <v/>
      </c>
      <c r="EB180" s="247"/>
      <c r="EC180" s="271" t="str">
        <f>IF(SnapshotTable[[#This Row],[LC Premium]]&gt;0, SnapshotTable[[#This Row],[LC Book Price]] * (1 - LC_StopLoss_Pct),"")</f>
        <v/>
      </c>
      <c r="ED180" s="269"/>
      <c r="EE180" s="268" t="str">
        <f>IF(ISNUMBER(SnapshotTable[[#This Row],[LC Contract Value]]),IF(ISNUMBER(SnapshotTable[[#This Row],[LC Stop Loss Override]]), SnapshotTable[[#This Row],[LC Stop Loss Override]],SnapshotTable[[#This Row],[LC Stop Loss Calc Target]]),"")</f>
        <v/>
      </c>
      <c r="EF180" s="31" t="str">
        <f>IF(ISNUMBER(SnapshotTable[[#This Row],[LC Stop  To Use]]), (SnapshotTable[[#This Row],[LC Stop  To Use]] * SnapshotTable[[#This Row],[LC Qty]] * 100),"")</f>
        <v/>
      </c>
      <c r="EG180" s="9" t="str">
        <f>IF(ISNUMBER(SnapshotTable[[#This Row],[LC Total Value]]),SnapshotTable[[#This Row],[LC Stop Loss Amount]] - SnapshotTable[[#This Row],[LC Premium]],"")</f>
        <v/>
      </c>
      <c r="EH180" s="9">
        <f>IF(ISNUMBER(SnapshotTable[[#This Row],[LC Premium]]), SnapshotTable[[#This Row],[LC Qty]] * 100 * SnapshotTable[[#This Row],[LC Strike Price]], "")</f>
        <v>0</v>
      </c>
      <c r="EI180" s="225" t="str">
        <f>IF(AND(ISNUMBER(SnapshotTable[[#This Row],[LC Total Value]]),SnapshotTable[[#This Row],[LC Total Value]]&gt;0),SnapshotTable[[#This Row],[LC Stop Gain Loss]]  / SnapshotTable[[#This Row],[LC Premium]],"")</f>
        <v/>
      </c>
      <c r="EJ180" s="35">
        <f>IF(ISNUMBER(SnapshotTable[[#This Row],[Equity Shares]]),TRUNC(SnapshotTable[[#This Row],[Equity Shares]] / 100),0) + SnapshotTable[[#This Row],[LC Qty]]</f>
        <v>0</v>
      </c>
      <c r="EK180" s="145"/>
      <c r="EL180" s="136"/>
      <c r="EM180" s="146"/>
      <c r="EN180" s="145"/>
      <c r="EO180" s="145"/>
      <c r="EP180" s="136"/>
      <c r="EQ180" s="382" t="b">
        <f>AND(ISNUMBER(SnapshotTable[[#This Row],[SC Exp Date]]), ISNUMBER(SnapshotTable[[#This Row],[SC Strike Price]]), ISNUMBER(SnapshotTable[[#This Row],[SC Qty]]), ISNUMBER(SnapshotTable[[#This Row],[SC Book Date]]), ISNUMBER(SnapshotTable[[#This Row],[SC Book Price]]))</f>
        <v>0</v>
      </c>
      <c r="ER180" s="382" t="b">
        <f>AND(SnapshotTable[[#This Row],[SC Is Booked]], NOT(ISBLANK(SnapshotTable[[#This Row],[SC Fill Date]])))</f>
        <v>0</v>
      </c>
      <c r="ES180" s="340"/>
      <c r="ET180" s="34" t="str">
        <f>IF(AND(ISNUMBER(SnapshotTable[[#This Row],[SC Exp Date]]), ISNUMBER(SnapshotTable[[#This Row],[SC Book Date]])), SnapshotTable[[#This Row],[SC Exp Date]] - MAX(SnapshotTable[[#This Row],[SC Book Date]], SnapshotTable[[#This Row],[SC Fill Date]]) + 1, "")</f>
        <v/>
      </c>
      <c r="EU180" s="34" t="str">
        <f>IF(ISNUMBER(SnapshotTable[[#This Row],[SC Term]]), SnapshotTable[[#This Row],[SC Exp Date]]- MockToday, "")</f>
        <v/>
      </c>
      <c r="EV180" s="31">
        <f>IF(SnapshotTable[[#This Row],[SC Is Booked]], SnapshotTable[[#This Row],[SC Qty]] * SnapshotTable[[#This Row],[SC Book Price]] * 100, 0)</f>
        <v>0</v>
      </c>
      <c r="EW180" s="4" t="str">
        <f>IF(AND(ISNUMBER(SnapshotTable[[#This Row],[Last Price]]), ISNUMBER( SnapshotTable[[#This Row],[SC Book Price]])), SnapshotTable[[#This Row],[Last Price]] - SnapshotTable[[#This Row],[SC Book Price]],"")</f>
        <v/>
      </c>
      <c r="EX180" s="219" t="str">
        <f>IF(SnapshotTable[[#This Row],[SC Is Booked]],IF(SnapshotTable[[#This Row],[SC Intrinsic Value]] &gt; 0, SnapshotTable[[#This Row],[SC Strike Price]], SnapshotTable[[#This Row],[Last Price]]), "")</f>
        <v/>
      </c>
      <c r="EY180" s="4">
        <f>IF(SnapshotTable[[#This Row],[SC Is Booked]], (MinimumPremiumRequired * SnapshotTable[[#This Row],[SC Basis]] * SnapshotTable[[#This Row],[SC Term]]), 0)</f>
        <v>0</v>
      </c>
      <c r="EZ180" s="268"/>
      <c r="FA180" s="204"/>
      <c r="FB180" s="340"/>
      <c r="FC180" s="4">
        <f>IF(SnapshotTable[[#This Row],[SC Is Filled]], btc_max_buyback_amount(SnapshotTable[[#This Row],[SC Fill Date]],SnapshotTable[[#This Row],[SC Exp Date]], SnapshotTable[[#This Row],[SC Book Price]]),0)</f>
        <v>0</v>
      </c>
      <c r="FD180" s="5"/>
      <c r="FE180" s="142" t="str">
        <f>IF(SnapshotTable[[#This Row],[SC Is Filled]], btc_next_cutoff_date(SnapshotTable[[#This Row],[SC Fill Date]],SnapshotTable[[#This Row],[SC Exp Date]]),"")</f>
        <v/>
      </c>
      <c r="FF180" s="4" t="str" cm="1">
        <f t="array" ref="FF180">IF(SnapshotTable[[#This Row],[SC Is Filled]], btc_should_buy_back(SnapshotTable[[#This Row],[SC Fill Date]], SnapshotTable[[#This Row],[SC Exp Date]], SnapshotTable[[#This Row],[SC Book Price]], SnapshotTable[[#This Row],[SC Current Ask]], MockToday, SnapshotTable[[#This Row],[SC Buyback Override]]),"")</f>
        <v/>
      </c>
      <c r="FG180" s="4">
        <f>IF(SnapshotTable[[#This Row],[SC Is Filled]], MAX(0,SnapshotTable[[#This Row],[Last Price]]  - SnapshotTable[[#This Row],[SC Strike Price]]), 0)</f>
        <v>0</v>
      </c>
      <c r="FH180" s="352">
        <f>IF(SnapshotTable[[#This Row],[SC Is Filled]], IF(ISNUMBER(SnapshotTable[[#This Row],[SC Current Ask]]), SnapshotTable[[#This Row],[SC Current Ask]], SnapshotTable[[#This Row],[SC Book Price]]) - SnapshotTable[[#This Row],[SC Intrinsic Value]], 0)</f>
        <v>0</v>
      </c>
      <c r="FI180" s="141"/>
      <c r="FJ180" s="32" t="str">
        <f>IF(SnapshotTable[[#This Row],[SC Is Filled]],100 * SnapshotTable[[#This Row],[SC Qty]] * IF(ISNUMBER(SnapshotTable[[#This Row],[SC Buyback Override]]), SnapshotTable[[#This Row],[SC Buyback Override]], SnapshotTable[[#This Row],[SC Current Ask]]), "")</f>
        <v/>
      </c>
      <c r="FK180" s="235" t="str">
        <f>IF(SnapshotTable[[#This Row],[SC Time Val]]&gt;0, SnapshotTable[[#This Row],[SC Time Val]] / SnapshotTable[[#This Row],[Last Price]],"")</f>
        <v/>
      </c>
      <c r="FL180" s="280" t="str">
        <f>IF(SnapshotTable[[#This Row],[SC Is Booked]], ((SnapshotTable[[#This Row],[Last Price]] -SnapshotTable[[#This Row],[SC Strike Price]]) / SnapshotTable[[#This Row],[Last Price]]) * -1, "")</f>
        <v/>
      </c>
      <c r="FM180" s="155" t="str">
        <f>IF(SnapshotTable[[#This Row],[SC Is Booked]],  (SnapshotTable[[#This Row],[SC Qty]] * 100 * SnapshotTable[[#This Row],[SC Strike Price]]) - SnapshotTable[[#This Row],[SC Current Ask]], "")</f>
        <v/>
      </c>
      <c r="FN18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0" s="155" t="str">
        <f>IF(AND(ISNUMBER(SnapshotTable[[#This Row],[SC Exercise Gross]]), ISNUMBER(SnapshotTable[[#This Row],[Equity Basis Per Share]] )), SnapshotTable[[#This Row],[SC Exercise Gross]] - SnapshotTable[[#This Row],[Equity Basis Total]] +  SnapshotTable[[#This Row],[SC Premium]], "")</f>
        <v/>
      </c>
      <c r="FP180" s="5" t="str">
        <f>IF(ISNUMBER(SnapshotTable[[#This Row],[SC Exercise Gross]]), (SnapshotTable[[#This Row],[SC Exercise Gross]]) / (SnapshotTable[[#This Row],[SC Qty]] * 100), "")</f>
        <v/>
      </c>
      <c r="FQ180" s="27" t="str">
        <f>IF(SnapshotTable[[#This Row],[SC Is Booked]],SnapshotTable[[#This Row],[SC Time Val]] /SnapshotTable[[#This Row],[SC Basis]], "")</f>
        <v/>
      </c>
      <c r="FR180" s="27" t="str" cm="1">
        <f t="array" ref="FR180">IF(AND(ISNUMBER(SnapshotTable[[#This Row],[SC Term]]),ISNUMBER(SnapshotTable[[#This Row],[SC Simple ROO]])), EllmanAnnualize(SnapshotTable[[#This Row],[SC DTE]], SnapshotTable[[#This Row],[SC Simple ROO]] ),"")</f>
        <v/>
      </c>
      <c r="FS180" s="4">
        <f>IF(SnapshotTable[[#This Row],[SC Strike Price]] &gt; SnapshotTable[[#This Row],[Last Price]], SnapshotTable[[#This Row],[SC Strike Price]] - SnapshotTable[[#This Row],[Last Price]],0)</f>
        <v>0</v>
      </c>
      <c r="FT180" s="27" t="str">
        <f>IF(AND(ISNUMBER(SnapshotTable[[#This Row],[SC Upside Potential]]), SnapshotTable[[#This Row],[SC Upside Potential]] &gt; 0),(SnapshotTable[[#This Row],[SC Upside Potential]]/ SnapshotTable[[#This Row],[ACB]]),"")</f>
        <v/>
      </c>
      <c r="FU180" s="304" t="str">
        <f>IF(SnapshotTable[[#This Row],[SC Intrinsic Value]] &gt; 0,SnapshotTable[[#This Row],[SC Intrinsic Value]],"")</f>
        <v/>
      </c>
      <c r="FV180" s="27" t="str">
        <f>IF(AND( ISNUMBER( SnapshotTable[[#This Row],[ACB]]),ISNUMBER(SnapshotTable[[#This Row],[SC Downside Protect]])),SnapshotTable[[#This Row],[SC Downside Protect]] / SnapshotTable[[#This Row],[ACB]],"")</f>
        <v/>
      </c>
      <c r="FW180" s="221" t="str">
        <f>IF(AND(ISNUMBER(SnapshotTable[[#This Row],[SC Simple ROO]]),SnapshotTable[[#This Row],[SC Simple ROO]] &gt; 0), SnapshotTable[[#This Row],[SC Premium]] + (SnapshotTable[[#This Row],[SC Qty]] * SnapshotTable[[#This Row],[SC Upside Potential]]), "")</f>
        <v/>
      </c>
      <c r="FX180" s="280" t="str" cm="1">
        <f t="array" ref="FX180">IF(ISNUMBER(SnapshotTable[[#This Row],[SC Max Dollars]]), annualize(SnapshotTable[[#This Row],[SC Term]],(SnapshotTable[[#This Row],[SC Max Dollars]]/SnapshotTable[[#This Row],[SC Basis]])),"")</f>
        <v/>
      </c>
      <c r="FY180" s="221" t="str">
        <f>IF(AND(SnapshotTable[[#This Row],[SC Qty]]&gt;0,SnapshotTable[[#This Row],[SC Current Ask]]&gt;0), SnapshotTable[[#This Row],[SC Qty]] * SnapshotTable[[#This Row],[SC Current Ask]] * -100, "")</f>
        <v/>
      </c>
      <c r="FZ180" s="220" t="str">
        <f>IF(ISNUMBER((SnapshotTable[[#This Row],[SC Current Value]])), SnapshotTable[[#This Row],[SC Premium]] + SnapshotTable[[#This Row],[SC Current Value]], "")</f>
        <v/>
      </c>
      <c r="GA180" s="272" t="str">
        <f>IFERROR( IF(ISNUMBER((SnapshotTable[[#This Row],[SC Current Value]])), SnapshotTable[[#This Row],[SC Gain Loss]] / SnapshotTable[[#This Row],[SC Premium]], ""), "")</f>
        <v/>
      </c>
      <c r="GB180" s="42">
        <f>SnapshotTable[[#This Row],[Equity Shares]] * SaleSharesToConsiderPercentage</f>
        <v>0</v>
      </c>
      <c r="GC180" s="40">
        <f>SnapshotTable[[#This Row],[Long Term Target]] * SellingPriceToConsiderBasedOnTargetPercentage</f>
        <v>29.136500000000002</v>
      </c>
      <c r="GD180" s="40">
        <f>SnapshotTable[[#This Row],[Last Price]] * (1+ SellingPriceToConsiderBasedOnTargetPercentage)</f>
        <v>68.347499999999997</v>
      </c>
      <c r="GE180" s="41"/>
      <c r="GF180" s="40"/>
      <c r="GG180" s="31">
        <f>SnapshotTable[[#This Row],[Booked Sale Shares]] * SnapshotTable[[#This Row],[Booked Sale Price]]</f>
        <v>0</v>
      </c>
      <c r="GH180" s="31" t="str">
        <f>IF(SnapshotTable[[#This Row],[Equity Basis Total]] &gt; 0, SnapshotTable[[#This Row],[Equity Basis Per Share]] * SnapshotTable[[#This Row],[Booked Sale Shares]], "")</f>
        <v/>
      </c>
      <c r="GI180" s="31">
        <f>IF(SnapshotTable[[#This Row],[Sale Proceeds]]&gt;0, SnapshotTable[[#This Row],[Sale Proceeds]] - SnapshotTable[[#This Row],[Sale Basis]], 0)</f>
        <v>0</v>
      </c>
      <c r="GJ180" s="156" t="str">
        <f>IF(SnapshotTable[[#This Row],[Sale G/L]]&gt;0, SnapshotTable[[#This Row],[Sale G/L]] / SnapshotTable[[#This Row],[Sale Basis]], IF(ISNUMBER(SnapshotTable[[#This Row],[SC Exercise P&amp;L (TAX)]]), SnapshotTable[[#This Row],[SC Exercise P&amp;L (TAX)]] / SnapshotTable[[#This Row],[SC Basis]], ""))</f>
        <v/>
      </c>
      <c r="GK180" s="27"/>
      <c r="GL180" s="157" t="str">
        <f>IF(AND(SnapshotTable[[#This Row],[LP Exp Date]]&gt;0,SnapshotTable[[#This Row],[LP Strike Price]]&gt;0), [1]!ToOptionSymbol(SnapshotTable[[#This Row],[Symbol]], SnapshotTable[[#This Row],[LP Strike Price]],SnapshotTable[[#This Row],[LP Exp Date]],1), "")</f>
        <v/>
      </c>
      <c r="GM180" s="30" t="str">
        <f>IF(LEN(SnapshotTable[[#This Row],[LP Symbol]])&gt;0, 1, "")</f>
        <v/>
      </c>
      <c r="GN180" s="43" t="str">
        <f>IF(AND(SnapshotTable[[#This Row],[SP Exp Date]]&gt;0,SnapshotTable[[#This Row],[SP Strike Price]]&gt;0), [1]!ToOptionSymbol(SnapshotTable[[#This Row],[Symbol]], SnapshotTable[[#This Row],[SP Strike Price]],SnapshotTable[[#This Row],[SP Exp Date]],1), "")</f>
        <v/>
      </c>
      <c r="GO180" s="30" t="str">
        <f>IF(LEN(SnapshotTable[[#This Row],[SP Symbol]])&gt;0, 1, "")</f>
        <v/>
      </c>
      <c r="GP180" s="157" t="str">
        <f>IF(AND(SnapshotTable[[#This Row],[LC Exp Date]]&gt;0,SnapshotTable[[#This Row],[LC Strike Price]]&gt;0), [1]!ToOptionSymbol(SnapshotTable[[#This Row],[Symbol]], SnapshotTable[[#This Row],[LC Strike Price]],SnapshotTable[[#This Row],[LC Exp Date]],0), "")</f>
        <v/>
      </c>
      <c r="GQ180" s="158" t="str">
        <f>IF(LEN(SnapshotTable[[#This Row],[LC Symbol]])&gt;0, 1, "")</f>
        <v/>
      </c>
      <c r="GR180" s="157" t="str">
        <f>IF(AND(SnapshotTable[[#This Row],[SC Exp Date]]&gt;0,SnapshotTable[[#This Row],[SC Strike Price]]&gt;0), [1]!ToOptionSymbol(SnapshotTable[[#This Row],[Symbol]], SnapshotTable[[#This Row],[SC Strike Price]],SnapshotTable[[#This Row],[SC Exp Date]],0), "")</f>
        <v/>
      </c>
      <c r="GS180" s="158" t="str">
        <f>IF(LEN(SnapshotTable[[#This Row],[SC Symbol]])&gt;0, 1, "")</f>
        <v/>
      </c>
      <c r="GT180" s="159" t="str">
        <f>IF(COUNT(SnapshotTable[[#This Row],[LP Symbol Count]],SnapshotTable[[#This Row],[SP Symbol Count]],SnapshotTable[[#This Row],[LC Symbol Count]],SnapshotTable[[#This Row],[SC Symbol Count]])&gt;0, "Y", "")</f>
        <v/>
      </c>
      <c r="GU18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0" s="216">
        <f>MAX(SnapshotTable[[#This Row],[Equity Basis Total]],SnapshotTable[[#This Row],[Equity Value]]) + (SnapshotTable[[#This Row],[SP Potential Spend]]- SnapshotTable[[#This Row],[SP Premium]] + SnapshotTable[[#This Row],[LP Premium]])+ (SnapshotTable[[#This Row],[LC Premium]] - SnapshotTable[[#This Row],[SC Premium]])</f>
        <v>0</v>
      </c>
      <c r="GW180" s="137" t="str">
        <f>IF(AND(SnapshotTable[[#This Row],[Exposure]] &lt;&gt; 0),SnapshotTable[[#This Row],[Exposure]] / SnapshotTable[[#Totals],[Exposure]], "")</f>
        <v/>
      </c>
      <c r="HE180" s="253"/>
      <c r="HF180" s="253"/>
      <c r="HK180" s="1"/>
      <c r="HL180" s="1"/>
      <c r="HM180" s="1"/>
      <c r="HN180" s="1"/>
      <c r="HO180" s="1"/>
      <c r="HP180" s="1"/>
    </row>
    <row r="181" spans="2:224" ht="12.75" hidden="1" customHeight="1" x14ac:dyDescent="0.25">
      <c r="B181" s="12" t="s">
        <v>797</v>
      </c>
      <c r="C181" s="385">
        <v>8.99</v>
      </c>
      <c r="D181" s="200" t="s">
        <v>467</v>
      </c>
      <c r="E181" s="39">
        <f>SnapshotTable[[#This Row],[Last Price]]*(1 -CrashDiscount)</f>
        <v>7.6414999999999997</v>
      </c>
      <c r="F181" s="26" t="s">
        <v>798</v>
      </c>
      <c r="G181" s="26" t="s">
        <v>490</v>
      </c>
      <c r="H181" s="147"/>
      <c r="I181" s="186">
        <v>44770.708333333336</v>
      </c>
      <c r="J181" s="187">
        <v>44770.708333333336</v>
      </c>
      <c r="K181" s="188"/>
      <c r="L181" s="297"/>
      <c r="M181" s="138"/>
      <c r="N181" s="138"/>
      <c r="O181" s="138"/>
      <c r="P181" s="22"/>
      <c r="Q181" s="25"/>
      <c r="R181" s="4" t="str">
        <f>IF(SnapshotTable[[#This Row],[Equity Basis Total]] &gt; 0, SnapshotTable[[#This Row],[Equity Basis Total]] / SnapshotTable[[#This Row],[Equity Shares]], "")</f>
        <v/>
      </c>
      <c r="S181" s="254">
        <f>SnapshotTable[[#This Row],[Last Price]] * SnapshotTable[[#This Row],[Equity Shares]]</f>
        <v>0</v>
      </c>
      <c r="T181" s="254">
        <f>SnapshotTable[[#This Row],[Equity Value]] - SnapshotTable[[#This Row],[Equity Basis Total]]</f>
        <v>0</v>
      </c>
      <c r="U181" s="255" t="str">
        <f>IF(SnapshotTable[[#This Row],[Equity Basis Total]] &gt; 0, SnapshotTable[[#This Row],[Equity G/L]] / SnapshotTable[[#This Row],[Equity Basis Total]], "")</f>
        <v/>
      </c>
      <c r="V181" s="253"/>
      <c r="W181" s="253"/>
      <c r="X181" s="4" t="str">
        <f>IF(AND(ISNUMBER(SnapshotTable[[#This Row],[Equity Basis Per Share]]),ISNUMBER(SnapshotTable[[#This Row],[Equity Target]])),SnapshotTable[[#This Row],[Equity Target]]-SnapshotTable[[#This Row],[Equity Basis Per Share]],"")</f>
        <v/>
      </c>
      <c r="Y181" s="4" t="str">
        <f>IF(AND(ISNUMBER(SnapshotTable[[#This Row],[Equity Basis Per Share]]),ISNUMBER(SnapshotTable[[#This Row],[Equity Stop Loss]])),SnapshotTable[[#This Row],[Equity Stop Loss]]-SnapshotTable[[#This Row],[Equity Basis Per Share]],"")</f>
        <v/>
      </c>
      <c r="Z181" s="260" t="str">
        <f>IFERROR( TEXT(SnapshotTable[[#This Row],[Equity Max Gain Per Share]] /ABS( SnapshotTable[[#This Row],[Equity Max Loss Per Share]]),"0.0 " ) &amp; " : 1", "")</f>
        <v/>
      </c>
      <c r="AA181" s="31" t="str">
        <f>IF(ISNUMBER(SnapshotTable[[#This Row],[Equity Max Gain Per Share]]),SnapshotTable[[#This Row],[Equity Max Gain Per Share]] * SnapshotTable[[#This Row],[Equity Shares]],"")</f>
        <v/>
      </c>
      <c r="AB181" s="31" t="str">
        <f>IF(ISNUMBER(SnapshotTable[[#This Row],[Equity Max Loss Per Share]]),SnapshotTable[[#This Row],[Equity Max Loss Per Share]] * SnapshotTable[[#This Row],[Equity Shares]],"")</f>
        <v/>
      </c>
      <c r="AC181" s="148"/>
      <c r="AD181" s="149"/>
      <c r="AE181" s="31">
        <f>(SnapshotTable[[#This Row],[Annual Dividend Per Share]] / 4) * SnapshotTable[[#This Row],[Equity Shares]]</f>
        <v>0</v>
      </c>
      <c r="AF181" s="31">
        <f>SnapshotTable[[#This Row],[Quarterly Div $]] * 4</f>
        <v>0</v>
      </c>
      <c r="AG181" s="7">
        <f>IF(SnapshotTable[[#This Row],[Annual Dividend Per Share]]&gt;0, SnapshotTable[[#This Row],[Annual Dividend Per Share]]  / SnapshotTable[[#This Row],[Last Price]], 0)</f>
        <v>0</v>
      </c>
      <c r="AH181" s="149"/>
      <c r="AI181" s="5">
        <f>SnapshotTable[[#This Row],[Equity Target]]</f>
        <v>0</v>
      </c>
      <c r="AJ181" s="136">
        <v>16.11</v>
      </c>
      <c r="AK181" s="150">
        <f>IF(ISNUMBER( SnapshotTable[[#This Row],[EBF Target]]),(SnapshotTable[[#This Row],[EBF Target]] - SnapshotTable[[#This Row],[Last Price]]) / SnapshotTable[[#This Row],[Last Price]], "")</f>
        <v>-1</v>
      </c>
      <c r="AL181" s="150" t="str">
        <f>IF(AND(SnapshotTable[[#This Row],[Equity Basis Total]] &gt; 0,ISNUMBER( SnapshotTable[[#This Row],[Long Term Target]])), SnapshotTable[[#This Row],[From Basis $]] / SnapshotTable[[#This Row],[Equity Basis Total]], "")</f>
        <v/>
      </c>
      <c r="AM181" s="9">
        <f>IF( AND(SnapshotTable[[#This Row],[Equity Shares]] &gt;0,ISNUMBER( SnapshotTable[[#This Row],[Long Term Target]])),(SnapshotTable[[#This Row],[Equity Shares]] * SnapshotTable[[#This Row],[Long Term Target]]) - SnapshotTable[[#This Row],[Equity Basis Total]],0)</f>
        <v>0</v>
      </c>
      <c r="AN181" s="9">
        <f>IF( AND(SnapshotTable[[#This Row],[Equity Shares]] &gt;0,ISNUMBER( SnapshotTable[[#This Row],[Long Term Target]])),(SnapshotTable[[#This Row],[Equity Shares]]*SnapshotTable[[#This Row],[Long Term Target]]) - SnapshotTable[[#This Row],[Equity Value]],0)</f>
        <v>0</v>
      </c>
      <c r="AO181" s="150">
        <f>IF(AND(ISNUMBER( SnapshotTable[[#This Row],[Long Term Target]]), ISNUMBER(SnapshotTable[[#This Row],[Last Price]])),(SnapshotTable[[#This Row],[Long Term Target]] - SnapshotTable[[#This Row],[Last Price]]) / SnapshotTable[[#This Row],[Last Price]], "")</f>
        <v>0.79199110122358163</v>
      </c>
      <c r="AP181" s="5">
        <v>8</v>
      </c>
      <c r="AQ181" s="38" t="s">
        <v>16</v>
      </c>
      <c r="AR181" s="5">
        <v>8</v>
      </c>
      <c r="AS181" s="38" t="s">
        <v>22</v>
      </c>
      <c r="AT181" s="144" t="s">
        <v>442</v>
      </c>
      <c r="AU181" s="185" t="str">
        <f>IF(OR(SnapshotTable[[#This Row],[LP No Fill]]="Y",SnapshotTable[[#This Row],[SP Is Filled]],SnapshotTable[[#This Row],[LC Not Filled]]="Y",SnapshotTable[[#This Row],[SC Is Filled]]),"Y","")</f>
        <v/>
      </c>
      <c r="AV181" s="205"/>
      <c r="AW181" s="211"/>
      <c r="AX181" s="206"/>
      <c r="AY181" s="205" t="str">
        <f>IF(SnapshotTable[[#This Row],[Implied Move]]&gt;0, SnapshotTable[[#This Row],[Last Price]]-SnapshotTable[[#This Row],[Implied Move]],"")</f>
        <v/>
      </c>
      <c r="AZ181" s="205" t="str">
        <f>IF(SnapshotTable[[#This Row],[Implied Move]]&gt;0, SnapshotTable[[#This Row],[Last Price]] + SnapshotTable[[#This Row],[Implied Move]],"")</f>
        <v/>
      </c>
      <c r="BA181" s="302">
        <v>22.45</v>
      </c>
      <c r="BB181" s="318"/>
      <c r="BC18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1" s="321"/>
      <c r="BE181" s="5"/>
      <c r="BF181" s="14"/>
      <c r="BG181" s="13"/>
      <c r="BH181" s="13"/>
      <c r="BI181" s="5"/>
      <c r="BJ181" s="134">
        <f>IF(SnapshotTable[[#This Row],[LP Qty]] &gt; 0, SnapshotTable[[#This Row],[LP Qty]] * SnapshotTable[[#This Row],[LP Book Price]] * 100,0)</f>
        <v>0</v>
      </c>
      <c r="BK181" s="134">
        <f>IF(SnapshotTable[[#This Row],[LP Premium]] &gt; 0, SnapshotTable[[#This Row],[LP Qty]] * SnapshotTable[[#This Row],[LP Strike Price]] * 100,0)</f>
        <v>0</v>
      </c>
      <c r="BL181" s="152"/>
      <c r="BM181" s="355" t="str">
        <f>IF(SnapshotTable[[#This Row],[LP Premium]] &gt; 0,SnapshotTable[[#This Row],[LP Exp Date]]-MAX(SnapshotTable[[#This Row],[LP Book Date]], SnapshotTable[[#This Row],[LP Fill Date]]),"")</f>
        <v/>
      </c>
      <c r="BN181" s="355" t="str">
        <f>IF(ISNUMBER( SnapshotTable[[#This Row],[LP Term]]), SnapshotTable[[#This Row],[LP Exp Date]] - MockToday,"")</f>
        <v/>
      </c>
      <c r="BO181" s="161" t="str">
        <f>IF(AND(SnapshotTable[[#This Row],[LP Exp Date]]&gt;0, SnapshotTable[[#This Row],[LP Strike Price]]&gt;0,SnapshotTable[[#This Row],[LP Qty]]&gt;0,SnapshotTable[[#This Row],[LP Book Date]]&gt;0,SnapshotTable[[#This Row],[LP Book Price]]&gt;0,SnapshotTable[[#This Row],[LP Fill Date]]=0),"Y","")</f>
        <v/>
      </c>
      <c r="BP181" s="31" t="str">
        <f>IF(AND(SnapshotTable[[#This Row],[LP No Fill]]&lt;&gt;"Y",SnapshotTable[[#This Row],[LP Contract Value]]&gt;0, SnapshotTable[[#This Row],[LP Qty]]&gt;0), SnapshotTable[[#This Row],[LP Contract Value]]*SnapshotTable[[#This Row],[LP Qty]]*100,"")</f>
        <v/>
      </c>
      <c r="BQ181" s="13"/>
      <c r="BR181" s="5"/>
      <c r="BS181" s="36"/>
      <c r="BT181" s="145"/>
      <c r="BU181" s="13"/>
      <c r="BV181" s="5"/>
      <c r="BW181" s="382" t="b">
        <f>AND(ISNUMBER(SnapshotTable[[#This Row],[SP Exp Date]]), ISNUMBER(SnapshotTable[[#This Row],[SP Strike Price]]), ISNUMBER(SnapshotTable[[#This Row],[SP Qty]]), ISNUMBER(SnapshotTable[[#This Row],[SP Book Date]]), ISNUMBER(SnapshotTable[[#This Row],[SP Book Price]]))</f>
        <v>0</v>
      </c>
      <c r="BX181" s="382" t="b">
        <f>AND(SnapshotTable[[#This Row],[SP Is Booked]], NOT(ISBLANK(SnapshotTable[[#This Row],[SP Fill Date]])))</f>
        <v>0</v>
      </c>
      <c r="BY181" s="33">
        <f>IF(SnapshotTable[[#This Row],[SP Is Booked]], SnapshotTable[[#This Row],[SP Qty]] * SnapshotTable[[#This Row],[SP Book Price]] * 100, 0)</f>
        <v>0</v>
      </c>
      <c r="BZ181" s="339"/>
      <c r="CA181" s="338">
        <f>SnapshotTable[[#This Row],[LP Qty]]</f>
        <v>0</v>
      </c>
      <c r="CB181" s="4" t="str">
        <f>IF(SnapshotTable[[#This Row],[SP Is Booked]], SnapshotTable[[#This Row],[SP Strike Price]] - SnapshotTable[[#This Row],[SP Book Price]], "")</f>
        <v/>
      </c>
      <c r="CC181" s="19" t="str">
        <f>IF(SnapshotTable[[#This Row],[SP Is Booked]],SnapshotTable[[#This Row],[SP Exp Date]]-MAX(SnapshotTable[[#This Row],[SP Book Date]], SnapshotTable[[#This Row],[SP Fill Date]]),"")</f>
        <v/>
      </c>
      <c r="CD181" s="7" t="str">
        <f>IF(SnapshotTable[[#This Row],[SP Is Booked]], SnapshotTable[[#This Row],[SP Book Price]]/SnapshotTable[[#This Row],[SP Strike Price]], "")</f>
        <v/>
      </c>
      <c r="CE181" s="7" t="str">
        <f>IF(ISNUMBER(SnapshotTable[[#This Row],[SP ROO Term]]),SnapshotTable[[#This Row],[SP ROO Term]]*(365/SnapshotTable[[#This Row],[SP Term]]),"")</f>
        <v/>
      </c>
      <c r="CF181" s="221">
        <f>SnapshotTable[[#This Row],[LP Strike Price]] * SnapshotTable[[#This Row],[LP Qty]] * 100</f>
        <v>0</v>
      </c>
      <c r="CG181" s="31">
        <f>IF(ISNUMBER(SnapshotTable[[#This Row],[SP Premium]]), (SnapshotTable[[#This Row],[SP Qty]] * SnapshotTable[[#This Row],[SP Strike Price]]* 100) - SnapshotTable[[#This Row],[LP Protection]], 0)</f>
        <v>0</v>
      </c>
      <c r="CH181" s="7" t="str">
        <f>IF(ISNUMBER(SnapshotTable[[#This Row],[SP Break Even]]),-1 * (SnapshotTable[[#This Row],[SP Break Even]] - SnapshotTable[[#This Row],[Last Price]]) / SnapshotTable[[#This Row],[Last Price]], "")</f>
        <v/>
      </c>
      <c r="CI181" s="31">
        <f>IF(AND(ISNUMBER((SnapshotTable[[#This Row],[SP Potential Spend]])), SnapshotTable[[#This Row],[SP Strike Price]] &gt; SnapshotTable[[#This Row],[Last Price]], SnapshotTable[[#This Row],[SP Is Filled]]), SnapshotTable[[#This Row],[SP Potential Spend]] -  SnapshotTable[[#This Row],[LP Max Value]], 0)</f>
        <v>0</v>
      </c>
      <c r="CJ181" s="229"/>
      <c r="CK181" s="31">
        <f>IF(ISNUMBER(SnapshotTable[[#This Row],[SP Potential Spend]]),IF(ISNUMBER(SnapshotTable[[#This Row],[SP POW]]), SnapshotTable[[#This Row],[SP POW]] * SnapshotTable[[#This Row],[SP Potential Spend]], SnapshotTable[[#This Row],[SP Potential Spend]]), "")</f>
        <v>0</v>
      </c>
      <c r="CL181" s="162">
        <f>IF(NOT(SnapshotTable[[#This Row],[SP Is Filled]]),(SnapshotTable[[#This Row],[SP Qty]] * SnapshotTable[[#This Row],[SP Strike Price]] * 100) - SnapshotTable[[#This Row],[LP Max Value]],"")</f>
        <v>0</v>
      </c>
      <c r="CM181" s="31" t="str">
        <f>IF(SnapshotTable[[#This Row],[SP Actual Spend]]&lt;&gt;0, ((SnapshotTable[[#This Row],[SP Strike Price]]-SnapshotTable[[#This Row],[Last Price]]) *(SnapshotTable[[#This Row],[SP Qty]]*100) - SnapshotTable[[#This Row],[SP Premium]]) * - 1, "")</f>
        <v/>
      </c>
      <c r="CN181" s="76"/>
      <c r="CO181" s="339"/>
      <c r="CP181" s="4" t="str">
        <f>IF(SnapshotTable[[#This Row],[SP Is Filled]], btc_max_buyback_amount(SnapshotTable[[#This Row],[SP Fill Date]],SnapshotTable[[#This Row],[SP Exp Date]], SnapshotTable[[#This Row],[SP Book Price]]),"")</f>
        <v/>
      </c>
      <c r="CQ181" s="76"/>
      <c r="CR18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1" s="153" t="str">
        <f>IF(SnapshotTable[[#This Row],[SP Is Filled]], btc_next_cutoff_date(SnapshotTable[[#This Row],[SP Fill Date]],SnapshotTable[[#This Row],[SP Exp Date]]),"")</f>
        <v/>
      </c>
      <c r="CT181" s="220" t="str" cm="1">
        <f t="array" ref="CT181">IF(SnapshotTable[[#This Row],[SP Is Filled]], btc_should_buy_back(SnapshotTable[[#This Row],[SP Fill Date]], SnapshotTable[[#This Row],[SP Exp Date]], SnapshotTable[[#This Row],[SP Book Price]], SnapshotTable[[#This Row],[SP Current Ask]], MockToday, SnapshotTable[[#This Row],[SP Buyback Override]]),"")</f>
        <v/>
      </c>
      <c r="CU181" s="141"/>
      <c r="CV181" s="220"/>
      <c r="CW181" s="348" t="str">
        <f>IF(ISNUMBER( SnapshotTable[[#This Row],[SP Term]]), SnapshotTable[[#This Row],[SP Exp Date]] - MockToday,"")</f>
        <v/>
      </c>
      <c r="CX181" s="31" t="str">
        <f>IF(SnapshotTable[[#This Row],[SP Is Filled]],SnapshotTable[[#This Row],[SP Buyback Price to Use]] * 100 * SnapshotTable[[#This Row],[SP Qty]], "")</f>
        <v/>
      </c>
      <c r="CY181" s="4" t="str">
        <f>IF(ISNUMBER(SnapshotTable[[#This Row],[SP Strike Price]]), SnapshotTable[[#This Row],[SP Strike Price]] * (1 - SP_MaxLoss_StrikePct), "")</f>
        <v/>
      </c>
      <c r="CZ181" s="31" t="str">
        <f>IF(ISNUMBER(SnapshotTable[[#This Row],[SP Strike  Stop Per Share]]),SnapshotTable[[#This Row],[SP Premium]] - ((SnapshotTable[[#This Row],[SP Strike Price]]-SnapshotTable[[#This Row],[SP Strike  Stop Per Share]]) *(SnapshotTable[[#This Row],[SP Qty]] * 100)),"")</f>
        <v/>
      </c>
      <c r="DA181" s="4" t="str">
        <f>IF(AND(ISNUMBER(SnapshotTable[[#This Row],[SP Premium]]),SnapshotTable[[#This Row],[SP Premium]]&gt;0), SnapshotTable[[#This Row],[SP Book Price]] * (1 + SP_MaxLoss_OptionPct), "")</f>
        <v/>
      </c>
      <c r="DB181" s="31" t="str">
        <f>IF(ISNUMBER(SnapshotTable[[#This Row],[SP Option  Stop Contract]]),(SnapshotTable[[#This Row],[SP Option  Stop Contract]] *(SnapshotTable[[#This Row],[SP Qty]] * 100) - SnapshotTable[[#This Row],[SP Premium]]),"")</f>
        <v/>
      </c>
      <c r="DC181" s="4"/>
      <c r="DD181" s="4"/>
      <c r="DE181" s="4" t="str">
        <f>IF(AND(SnapshotTable[[#This Row],[SP Qty]]&gt;0, SnapshotTable[[#This Row],[SP Stop To Use]]&gt;0),SnapshotTable[[#This Row],[SP Premium]] - ( SnapshotTable[[#This Row],[SP Qty]] * SnapshotTable[[#This Row],[SP Stop To Use]] * 100), "")</f>
        <v/>
      </c>
      <c r="DF181" s="31" t="str">
        <f>IF(AND(SnapshotTable[[#This Row],[SP Qty]]&gt;0,SnapshotTable[[#This Row],[SP Current Ask]]&gt;0), SnapshotTable[[#This Row],[SP Qty]] * SnapshotTable[[#This Row],[SP Current Ask]] * -100, "")</f>
        <v/>
      </c>
      <c r="DG181" s="31" t="str">
        <f>IF(ISNUMBER((SnapshotTable[[#This Row],[SP Total Value]])), SnapshotTable[[#This Row],[SP Premium]] + SnapshotTable[[#This Row],[SP Total Value]], "")</f>
        <v/>
      </c>
      <c r="DH181" s="272" t="str">
        <f>IF(ISNUMBER((SnapshotTable[[#This Row],[SP Total Value]])), SnapshotTable[[#This Row],[SP Gain Loss]] / SnapshotTable[[#This Row],[SP Premium]], "")</f>
        <v/>
      </c>
      <c r="DI181" s="369"/>
      <c r="DJ181" s="136"/>
      <c r="DK181" s="146"/>
      <c r="DL181" s="13"/>
      <c r="DM181" s="13"/>
      <c r="DO181" s="31">
        <f>IF(SnapshotTable[[#This Row],[LC Symbol Count]]=1, SnapshotTable[[#This Row],[LC Qty]] * SnapshotTable[[#This Row],[LC Book Price]] * 100, 0)</f>
        <v>0</v>
      </c>
      <c r="DP181" s="161" t="str">
        <f>IF(AND(SnapshotTable[[#This Row],[LC Exp Date]]&gt;0, SnapshotTable[[#This Row],[LC Strike Price]]&gt;0,SnapshotTable[[#This Row],[LC Qty]]&gt;0,SnapshotTable[[#This Row],[LC Book Date]]&gt;0,SnapshotTable[[#This Row],[LC Book Price]]&gt;0,SnapshotTable[[#This Row],[LC Fill Date]]=0),"Y","")</f>
        <v/>
      </c>
      <c r="DQ181" s="356" t="str">
        <f>IF(SnapshotTable[[#This Row],[LC Premium]] &gt; 0,SnapshotTable[[#This Row],[LC Exp Date]]-MAX(SnapshotTable[[#This Row],[LC Book Date]], SnapshotTable[[#This Row],[LC Fill Date]]),"")</f>
        <v/>
      </c>
      <c r="DR181" s="356" t="str">
        <f>IF(ISNUMBER(SnapshotTable[[#This Row],[LC Term]]), SnapshotTable[[#This Row],[LC Exp Date]] - MockToday, "")</f>
        <v/>
      </c>
      <c r="DS181" s="219" t="str">
        <f>IF(SnapshotTable[[#This Row],[LC Premium]]&gt;0,SnapshotTable[[#This Row],[LC Strike Price]] + SnapshotTable[[#This Row],[LC Book Price]],"")</f>
        <v/>
      </c>
      <c r="DU181" s="9" t="str">
        <f>IF(AND(SnapshotTable[[#This Row],[LC Symbol Count]]&gt;0, SnapshotTable[[#This Row],[LC Contract Value]]&gt;0), SnapshotTable[[#This Row],[LC Contract Value]] * SnapshotTable[[#This Row],[LC Qty]] * 100, "")</f>
        <v/>
      </c>
      <c r="DV181" s="9" t="str">
        <f>IF(AND(ISNUMBER(SnapshotTable[[#This Row],[LC Total Value]]), SnapshotTable[[#This Row],[LC Not Filled]]&lt;&gt;"Y"), SnapshotTable[[#This Row],[LC Total Value]]-SnapshotTable[[#This Row],[LC Premium]],"")</f>
        <v/>
      </c>
      <c r="DW181" s="225" t="str">
        <f>IF(ISNUMBER(SnapshotTable[[#This Row],[LC Actual Gain Loss]]), SnapshotTable[[#This Row],[LC Actual Gain Loss]] / SnapshotTable[[#This Row],[LC Premium]],"")</f>
        <v/>
      </c>
      <c r="DX181" s="269" t="str">
        <f>IF(ISNUMBER(SnapshotTable[[#This Row],[LC Book Price]]),SnapshotTable[[#This Row],[LC Book Price]] * 1.5,"")</f>
        <v/>
      </c>
      <c r="DY181" s="250" t="str">
        <f>IF(SnapshotTable[[#This Row],[LC Premium]]&gt;0, SnapshotTable[[#This Row],[LC Next Target]] * SnapshotTable[[#This Row],[LC Qty]] * 100,"")</f>
        <v/>
      </c>
      <c r="DZ181" s="250" t="str">
        <f>IF(ISNUMBER(SnapshotTable[[#This Row],[LC Target Gross]]), SnapshotTable[[#This Row],[LC Target Gross]] - SnapshotTable[[#This Row],[LC Premium]], "")</f>
        <v/>
      </c>
      <c r="EA181" s="283" t="str">
        <f>IF(ISNUMBER(SnapshotTable[[#This Row],[LC Target Gain Loss]]), SnapshotTable[[#This Row],[LC Target Gain Loss]]/SnapshotTable[[#This Row],[LC Premium]], "")</f>
        <v/>
      </c>
      <c r="EB181" s="247"/>
      <c r="EC181" s="268" t="str">
        <f>IF(SnapshotTable[[#This Row],[LC Premium]]&gt;0, SnapshotTable[[#This Row],[LC Book Price]] * (1 - LC_StopLoss_Pct),"")</f>
        <v/>
      </c>
      <c r="ED181" s="269"/>
      <c r="EE181" s="268" t="str">
        <f>IF(ISNUMBER(SnapshotTable[[#This Row],[LC Contract Value]]),IF(ISNUMBER(SnapshotTable[[#This Row],[LC Stop Loss Override]]), SnapshotTable[[#This Row],[LC Stop Loss Override]],SnapshotTable[[#This Row],[LC Stop Loss Calc Target]]),"")</f>
        <v/>
      </c>
      <c r="EF181" s="31" t="str">
        <f>IF(ISNUMBER(SnapshotTable[[#This Row],[LC Stop  To Use]]), (SnapshotTable[[#This Row],[LC Stop  To Use]] * SnapshotTable[[#This Row],[LC Qty]] * 100),"")</f>
        <v/>
      </c>
      <c r="EG181" s="9" t="str">
        <f>IF(ISNUMBER(SnapshotTable[[#This Row],[LC Total Value]]),SnapshotTable[[#This Row],[LC Stop Loss Amount]] - SnapshotTable[[#This Row],[LC Premium]],"")</f>
        <v/>
      </c>
      <c r="EH181" s="9">
        <f>IF(ISNUMBER(SnapshotTable[[#This Row],[LC Premium]]), SnapshotTable[[#This Row],[LC Qty]] * 100 * SnapshotTable[[#This Row],[LC Strike Price]], "")</f>
        <v>0</v>
      </c>
      <c r="EI181" s="225" t="str">
        <f>IF(AND(ISNUMBER(SnapshotTable[[#This Row],[LC Total Value]]),SnapshotTable[[#This Row],[LC Total Value]]&gt;0),SnapshotTable[[#This Row],[LC Stop Gain Loss]]  / SnapshotTable[[#This Row],[LC Premium]],"")</f>
        <v/>
      </c>
      <c r="EJ181" s="35">
        <f>IF(ISNUMBER(SnapshotTable[[#This Row],[Equity Shares]]),TRUNC(SnapshotTable[[#This Row],[Equity Shares]] / 100),0) + SnapshotTable[[#This Row],[LC Qty]]</f>
        <v>0</v>
      </c>
      <c r="EK181" s="145"/>
      <c r="EL181" s="136"/>
      <c r="EM181" s="146"/>
      <c r="EN181" s="145"/>
      <c r="EO181" s="145"/>
      <c r="EP181" s="136"/>
      <c r="EQ181" s="382" t="b">
        <f>AND(ISNUMBER(SnapshotTable[[#This Row],[SC Exp Date]]), ISNUMBER(SnapshotTable[[#This Row],[SC Strike Price]]), ISNUMBER(SnapshotTable[[#This Row],[SC Qty]]), ISNUMBER(SnapshotTable[[#This Row],[SC Book Date]]), ISNUMBER(SnapshotTable[[#This Row],[SC Book Price]]))</f>
        <v>0</v>
      </c>
      <c r="ER181" s="382" t="b">
        <f>AND(SnapshotTable[[#This Row],[SC Is Booked]], NOT(ISBLANK(SnapshotTable[[#This Row],[SC Fill Date]])))</f>
        <v>0</v>
      </c>
      <c r="ES181" s="340"/>
      <c r="ET181" s="34" t="str">
        <f>IF(AND(ISNUMBER(SnapshotTable[[#This Row],[SC Exp Date]]), ISNUMBER(SnapshotTable[[#This Row],[SC Book Date]])), SnapshotTable[[#This Row],[SC Exp Date]] - MAX(SnapshotTable[[#This Row],[SC Book Date]], SnapshotTable[[#This Row],[SC Fill Date]]) + 1, "")</f>
        <v/>
      </c>
      <c r="EU181" s="34" t="str">
        <f>IF(ISNUMBER(SnapshotTable[[#This Row],[SC Term]]), SnapshotTable[[#This Row],[SC Exp Date]]- MockToday, "")</f>
        <v/>
      </c>
      <c r="EV181" s="31">
        <f>IF(SnapshotTable[[#This Row],[SC Is Booked]], SnapshotTable[[#This Row],[SC Qty]] * SnapshotTable[[#This Row],[SC Book Price]] * 100, 0)</f>
        <v>0</v>
      </c>
      <c r="EW181" s="4" t="str">
        <f>IF(AND(ISNUMBER(SnapshotTable[[#This Row],[Last Price]]), ISNUMBER( SnapshotTable[[#This Row],[SC Book Price]])), SnapshotTable[[#This Row],[Last Price]] - SnapshotTable[[#This Row],[SC Book Price]],"")</f>
        <v/>
      </c>
      <c r="EX181" s="219" t="str">
        <f>IF(SnapshotTable[[#This Row],[SC Is Booked]],IF(SnapshotTable[[#This Row],[SC Intrinsic Value]] &gt; 0, SnapshotTable[[#This Row],[SC Strike Price]], SnapshotTable[[#This Row],[Last Price]]), "")</f>
        <v/>
      </c>
      <c r="EY181" s="4">
        <f>IF(SnapshotTable[[#This Row],[SC Is Booked]], (MinimumPremiumRequired * SnapshotTable[[#This Row],[SC Basis]] * SnapshotTable[[#This Row],[SC Term]]), 0)</f>
        <v>0</v>
      </c>
      <c r="EZ181" s="268"/>
      <c r="FA181" s="204"/>
      <c r="FB181" s="340"/>
      <c r="FC181" s="4">
        <f>IF(SnapshotTable[[#This Row],[SC Is Filled]], btc_max_buyback_amount(SnapshotTable[[#This Row],[SC Fill Date]],SnapshotTable[[#This Row],[SC Exp Date]], SnapshotTable[[#This Row],[SC Book Price]]),0)</f>
        <v>0</v>
      </c>
      <c r="FD181" s="5"/>
      <c r="FE181" s="142" t="str">
        <f>IF(SnapshotTable[[#This Row],[SC Is Filled]], btc_next_cutoff_date(SnapshotTable[[#This Row],[SC Fill Date]],SnapshotTable[[#This Row],[SC Exp Date]]),"")</f>
        <v/>
      </c>
      <c r="FF181" s="4" t="str" cm="1">
        <f t="array" ref="FF181">IF(SnapshotTable[[#This Row],[SC Is Filled]], btc_should_buy_back(SnapshotTable[[#This Row],[SC Fill Date]], SnapshotTable[[#This Row],[SC Exp Date]], SnapshotTable[[#This Row],[SC Book Price]], SnapshotTable[[#This Row],[SC Current Ask]], MockToday, SnapshotTable[[#This Row],[SC Buyback Override]]),"")</f>
        <v/>
      </c>
      <c r="FG181" s="4">
        <f>IF(SnapshotTable[[#This Row],[SC Is Filled]], MAX(0,SnapshotTable[[#This Row],[Last Price]]  - SnapshotTable[[#This Row],[SC Strike Price]]), 0)</f>
        <v>0</v>
      </c>
      <c r="FH181" s="352">
        <f>IF(SnapshotTable[[#This Row],[SC Is Filled]], IF(ISNUMBER(SnapshotTable[[#This Row],[SC Current Ask]]), SnapshotTable[[#This Row],[SC Current Ask]], SnapshotTable[[#This Row],[SC Book Price]]) - SnapshotTable[[#This Row],[SC Intrinsic Value]], 0)</f>
        <v>0</v>
      </c>
      <c r="FI181" s="141"/>
      <c r="FJ181" s="32" t="str">
        <f>IF(SnapshotTable[[#This Row],[SC Is Filled]],100 * SnapshotTable[[#This Row],[SC Qty]] * IF(ISNUMBER(SnapshotTable[[#This Row],[SC Buyback Override]]), SnapshotTable[[#This Row],[SC Buyback Override]], SnapshotTable[[#This Row],[SC Current Ask]]), "")</f>
        <v/>
      </c>
      <c r="FK181" s="235" t="str">
        <f>IF(SnapshotTable[[#This Row],[SC Time Val]]&gt;0, SnapshotTable[[#This Row],[SC Time Val]] / SnapshotTable[[#This Row],[Last Price]],"")</f>
        <v/>
      </c>
      <c r="FL181" s="280" t="str">
        <f>IF(SnapshotTable[[#This Row],[SC Is Booked]], ((SnapshotTable[[#This Row],[Last Price]] -SnapshotTable[[#This Row],[SC Strike Price]]) / SnapshotTable[[#This Row],[Last Price]]) * -1, "")</f>
        <v/>
      </c>
      <c r="FM181" s="155" t="str">
        <f>IF(SnapshotTable[[#This Row],[SC Is Booked]],  (SnapshotTable[[#This Row],[SC Qty]] * 100 * SnapshotTable[[#This Row],[SC Strike Price]]) - SnapshotTable[[#This Row],[SC Current Ask]], "")</f>
        <v/>
      </c>
      <c r="FN18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1" s="31" t="str">
        <f>IF(AND(ISNUMBER(SnapshotTable[[#This Row],[SC Exercise Gross]]), ISNUMBER(SnapshotTable[[#This Row],[Equity Basis Per Share]] )), SnapshotTable[[#This Row],[SC Exercise Gross]] - SnapshotTable[[#This Row],[Equity Basis Total]] +  SnapshotTable[[#This Row],[SC Premium]], "")</f>
        <v/>
      </c>
      <c r="FP181" s="5" t="str">
        <f>IF(ISNUMBER(SnapshotTable[[#This Row],[SC Exercise Gross]]), (SnapshotTable[[#This Row],[SC Exercise Gross]]) / (SnapshotTable[[#This Row],[SC Qty]] * 100), "")</f>
        <v/>
      </c>
      <c r="FQ181" s="27" t="str">
        <f>IF(SnapshotTable[[#This Row],[SC Is Booked]],SnapshotTable[[#This Row],[SC Time Val]] /SnapshotTable[[#This Row],[SC Basis]], "")</f>
        <v/>
      </c>
      <c r="FR181" s="27" t="str" cm="1">
        <f t="array" ref="FR181">IF(AND(ISNUMBER(SnapshotTable[[#This Row],[SC Term]]),ISNUMBER(SnapshotTable[[#This Row],[SC Simple ROO]])), EllmanAnnualize(SnapshotTable[[#This Row],[SC DTE]], SnapshotTable[[#This Row],[SC Simple ROO]] ),"")</f>
        <v/>
      </c>
      <c r="FS181" s="4">
        <f>IF(SnapshotTable[[#This Row],[SC Strike Price]] &gt; SnapshotTable[[#This Row],[Last Price]], SnapshotTable[[#This Row],[SC Strike Price]] - SnapshotTable[[#This Row],[Last Price]],0)</f>
        <v>0</v>
      </c>
      <c r="FT181" s="27" t="str">
        <f>IF(AND(ISNUMBER(SnapshotTable[[#This Row],[SC Upside Potential]]), SnapshotTable[[#This Row],[SC Upside Potential]] &gt; 0),(SnapshotTable[[#This Row],[SC Upside Potential]]/ SnapshotTable[[#This Row],[ACB]]),"")</f>
        <v/>
      </c>
      <c r="FU181" s="304" t="str">
        <f>IF(SnapshotTable[[#This Row],[SC Intrinsic Value]] &gt; 0,SnapshotTable[[#This Row],[SC Intrinsic Value]],"")</f>
        <v/>
      </c>
      <c r="FV181" s="27" t="str">
        <f>IF(AND( ISNUMBER( SnapshotTable[[#This Row],[ACB]]),ISNUMBER(SnapshotTable[[#This Row],[SC Downside Protect]])),SnapshotTable[[#This Row],[SC Downside Protect]] / SnapshotTable[[#This Row],[ACB]],"")</f>
        <v/>
      </c>
      <c r="FW181" s="221" t="str">
        <f>IF(AND(ISNUMBER(SnapshotTable[[#This Row],[SC Simple ROO]]),SnapshotTable[[#This Row],[SC Simple ROO]] &gt; 0), SnapshotTable[[#This Row],[SC Premium]] + (SnapshotTable[[#This Row],[SC Qty]] * SnapshotTable[[#This Row],[SC Upside Potential]]), "")</f>
        <v/>
      </c>
      <c r="FX181" s="280" t="str" cm="1">
        <f t="array" ref="FX181">IF(ISNUMBER(SnapshotTable[[#This Row],[SC Max Dollars]]), annualize(SnapshotTable[[#This Row],[SC Term]],(SnapshotTable[[#This Row],[SC Max Dollars]]/SnapshotTable[[#This Row],[SC Basis]])),"")</f>
        <v/>
      </c>
      <c r="FY181" s="221" t="str">
        <f>IF(AND(SnapshotTable[[#This Row],[SC Qty]]&gt;0,SnapshotTable[[#This Row],[SC Current Ask]]&gt;0), SnapshotTable[[#This Row],[SC Qty]] * SnapshotTable[[#This Row],[SC Current Ask]] * -100, "")</f>
        <v/>
      </c>
      <c r="FZ181" s="31" t="str">
        <f>IF(ISNUMBER((SnapshotTable[[#This Row],[SC Current Value]])), SnapshotTable[[#This Row],[SC Premium]] + SnapshotTable[[#This Row],[SC Current Value]], "")</f>
        <v/>
      </c>
      <c r="GA181" s="272" t="str">
        <f>IFERROR( IF(ISNUMBER((SnapshotTable[[#This Row],[SC Current Value]])), SnapshotTable[[#This Row],[SC Gain Loss]] / SnapshotTable[[#This Row],[SC Premium]], ""), "")</f>
        <v/>
      </c>
      <c r="GB181" s="42">
        <f>SnapshotTable[[#This Row],[Equity Shares]] * SaleSharesToConsiderPercentage</f>
        <v>0</v>
      </c>
      <c r="GC181" s="40">
        <f>SnapshotTable[[#This Row],[Long Term Target]] * SellingPriceToConsiderBasedOnTargetPercentage</f>
        <v>15.304499999999999</v>
      </c>
      <c r="GD181" s="40">
        <f>SnapshotTable[[#This Row],[Last Price]] * (1+ SellingPriceToConsiderBasedOnTargetPercentage)</f>
        <v>17.5305</v>
      </c>
      <c r="GE181" s="41"/>
      <c r="GF181" s="40"/>
      <c r="GG181" s="31">
        <f>SnapshotTable[[#This Row],[Booked Sale Shares]] * SnapshotTable[[#This Row],[Booked Sale Price]]</f>
        <v>0</v>
      </c>
      <c r="GH181" s="31" t="str">
        <f>IF(SnapshotTable[[#This Row],[Equity Basis Total]] &gt; 0, SnapshotTable[[#This Row],[Equity Basis Per Share]] * SnapshotTable[[#This Row],[Booked Sale Shares]], "")</f>
        <v/>
      </c>
      <c r="GI181" s="31">
        <f>IF(SnapshotTable[[#This Row],[Sale Proceeds]]&gt;0, SnapshotTable[[#This Row],[Sale Proceeds]] - SnapshotTable[[#This Row],[Sale Basis]], 0)</f>
        <v>0</v>
      </c>
      <c r="GJ181" s="27" t="str">
        <f>IF(SnapshotTable[[#This Row],[Sale G/L]]&gt;0, SnapshotTable[[#This Row],[Sale G/L]] / SnapshotTable[[#This Row],[Sale Basis]], IF(ISNUMBER(SnapshotTable[[#This Row],[SC Exercise P&amp;L (TAX)]]), SnapshotTable[[#This Row],[SC Exercise P&amp;L (TAX)]] / SnapshotTable[[#This Row],[SC Basis]], ""))</f>
        <v/>
      </c>
      <c r="GK181" s="27" t="s">
        <v>804</v>
      </c>
      <c r="GL181" s="43" t="str">
        <f>IF(AND(SnapshotTable[[#This Row],[LP Exp Date]]&gt;0,SnapshotTable[[#This Row],[LP Strike Price]]&gt;0), [1]!ToOptionSymbol(SnapshotTable[[#This Row],[Symbol]], SnapshotTable[[#This Row],[LP Strike Price]],SnapshotTable[[#This Row],[LP Exp Date]],1), "")</f>
        <v/>
      </c>
      <c r="GM181" s="30" t="str">
        <f>IF(LEN(SnapshotTable[[#This Row],[LP Symbol]])&gt;0, 1, "")</f>
        <v/>
      </c>
      <c r="GN181" s="43" t="str">
        <f>IF(AND(SnapshotTable[[#This Row],[SP Exp Date]]&gt;0,SnapshotTable[[#This Row],[SP Strike Price]]&gt;0), [1]!ToOptionSymbol(SnapshotTable[[#This Row],[Symbol]], SnapshotTable[[#This Row],[SP Strike Price]],SnapshotTable[[#This Row],[SP Exp Date]],1), "")</f>
        <v/>
      </c>
      <c r="GO181" s="30" t="str">
        <f>IF(LEN(SnapshotTable[[#This Row],[SP Symbol]])&gt;0, 1, "")</f>
        <v/>
      </c>
      <c r="GP181" s="43" t="str">
        <f>IF(AND(SnapshotTable[[#This Row],[LC Exp Date]]&gt;0,SnapshotTable[[#This Row],[LC Strike Price]]&gt;0), [1]!ToOptionSymbol(SnapshotTable[[#This Row],[Symbol]], SnapshotTable[[#This Row],[LC Strike Price]],SnapshotTable[[#This Row],[LC Exp Date]],0), "")</f>
        <v/>
      </c>
      <c r="GQ181" s="30" t="str">
        <f>IF(LEN(SnapshotTable[[#This Row],[LC Symbol]])&gt;0, 1, "")</f>
        <v/>
      </c>
      <c r="GR181" s="43" t="str">
        <f>IF(AND(SnapshotTable[[#This Row],[SC Exp Date]]&gt;0,SnapshotTable[[#This Row],[SC Strike Price]]&gt;0), [1]!ToOptionSymbol(SnapshotTable[[#This Row],[Symbol]], SnapshotTable[[#This Row],[SC Strike Price]],SnapshotTable[[#This Row],[SC Exp Date]],0), "")</f>
        <v/>
      </c>
      <c r="GS181" s="30" t="str">
        <f>IF(LEN(SnapshotTable[[#This Row],[SC Symbol]])&gt;0, 1, "")</f>
        <v/>
      </c>
      <c r="GT181" s="29" t="str">
        <f>IF(COUNT(SnapshotTable[[#This Row],[LP Symbol Count]],SnapshotTable[[#This Row],[SP Symbol Count]],SnapshotTable[[#This Row],[LC Symbol Count]],SnapshotTable[[#This Row],[SC Symbol Count]])&gt;0, "Y", "")</f>
        <v/>
      </c>
      <c r="GU18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1" s="216">
        <f>MAX(SnapshotTable[[#This Row],[Equity Basis Total]],SnapshotTable[[#This Row],[Equity Value]]) + (SnapshotTable[[#This Row],[SP Potential Spend]]- SnapshotTable[[#This Row],[SP Premium]] + SnapshotTable[[#This Row],[LP Premium]])+ (SnapshotTable[[#This Row],[LC Premium]] - SnapshotTable[[#This Row],[SC Premium]])</f>
        <v>0</v>
      </c>
      <c r="GW181" s="137" t="str">
        <f>IF(AND(SnapshotTable[[#This Row],[Exposure]] &lt;&gt; 0),SnapshotTable[[#This Row],[Exposure]] / SnapshotTable[[#Totals],[Exposure]], "")</f>
        <v/>
      </c>
      <c r="HE181" s="253"/>
      <c r="HF181" s="253"/>
      <c r="HK181" s="1"/>
      <c r="HL181" s="1"/>
      <c r="HM181" s="1"/>
      <c r="HN181" s="1"/>
      <c r="HO181" s="1"/>
      <c r="HP181" s="1"/>
    </row>
    <row r="182" spans="2:224" ht="12.75" hidden="1" customHeight="1" x14ac:dyDescent="0.25">
      <c r="B182" s="12" t="s">
        <v>743</v>
      </c>
      <c r="C182" s="385">
        <v>51.08</v>
      </c>
      <c r="D182" s="200" t="s">
        <v>658</v>
      </c>
      <c r="E182" s="39">
        <f>SnapshotTable[[#This Row],[Last Price]]*(1 -CrashDiscount)</f>
        <v>43.417999999999999</v>
      </c>
      <c r="F182" s="26" t="s">
        <v>5</v>
      </c>
      <c r="G182" s="296" t="s">
        <v>744</v>
      </c>
      <c r="H182" s="147"/>
      <c r="I182" s="186">
        <v>44763.28125</v>
      </c>
      <c r="J182" s="187">
        <v>44763.28125</v>
      </c>
      <c r="K182" s="188"/>
      <c r="L182" s="297"/>
      <c r="M182" s="138"/>
      <c r="N182" s="138"/>
      <c r="O182" s="138"/>
      <c r="P182" s="22"/>
      <c r="Q182" s="25"/>
      <c r="R182" s="4" t="str">
        <f>IF(SnapshotTable[[#This Row],[Equity Basis Total]] &gt; 0, SnapshotTable[[#This Row],[Equity Basis Total]] / SnapshotTable[[#This Row],[Equity Shares]], "")</f>
        <v/>
      </c>
      <c r="S182" s="254">
        <f>SnapshotTable[[#This Row],[Last Price]] * SnapshotTable[[#This Row],[Equity Shares]]</f>
        <v>0</v>
      </c>
      <c r="T182" s="254">
        <f>SnapshotTable[[#This Row],[Equity Value]] - SnapshotTable[[#This Row],[Equity Basis Total]]</f>
        <v>0</v>
      </c>
      <c r="U182" s="255" t="str">
        <f>IF(SnapshotTable[[#This Row],[Equity Basis Total]] &gt; 0, SnapshotTable[[#This Row],[Equity G/L]] / SnapshotTable[[#This Row],[Equity Basis Total]], "")</f>
        <v/>
      </c>
      <c r="V182" s="253"/>
      <c r="W182" s="253"/>
      <c r="X182" s="4" t="str">
        <f>IF(AND(ISNUMBER(SnapshotTable[[#This Row],[Equity Basis Per Share]]),ISNUMBER(SnapshotTable[[#This Row],[Equity Target]])),SnapshotTable[[#This Row],[Equity Target]]-SnapshotTable[[#This Row],[Equity Basis Per Share]],"")</f>
        <v/>
      </c>
      <c r="Y182" s="4" t="str">
        <f>IF(AND(ISNUMBER(SnapshotTable[[#This Row],[Equity Basis Per Share]]),ISNUMBER(SnapshotTable[[#This Row],[Equity Stop Loss]])),SnapshotTable[[#This Row],[Equity Stop Loss]]-SnapshotTable[[#This Row],[Equity Basis Per Share]],"")</f>
        <v/>
      </c>
      <c r="Z182" s="260" t="str">
        <f>IFERROR( TEXT(SnapshotTable[[#This Row],[Equity Max Gain Per Share]] /ABS( SnapshotTable[[#This Row],[Equity Max Loss Per Share]]),"0.0 " ) &amp; " : 1", "")</f>
        <v/>
      </c>
      <c r="AA182" s="31" t="str">
        <f>IF(ISNUMBER(SnapshotTable[[#This Row],[Equity Max Gain Per Share]]),SnapshotTable[[#This Row],[Equity Max Gain Per Share]] * SnapshotTable[[#This Row],[Equity Shares]],"")</f>
        <v/>
      </c>
      <c r="AB182" s="31" t="str">
        <f>IF(ISNUMBER(SnapshotTable[[#This Row],[Equity Max Loss Per Share]]),SnapshotTable[[#This Row],[Equity Max Loss Per Share]] * SnapshotTable[[#This Row],[Equity Shares]],"")</f>
        <v/>
      </c>
      <c r="AC182" s="148"/>
      <c r="AD182" s="149"/>
      <c r="AE182" s="31">
        <f>(SnapshotTable[[#This Row],[Annual Dividend Per Share]] / 4) * SnapshotTable[[#This Row],[Equity Shares]]</f>
        <v>0</v>
      </c>
      <c r="AF182" s="31">
        <f>SnapshotTable[[#This Row],[Quarterly Div $]] * 4</f>
        <v>0</v>
      </c>
      <c r="AG182" s="7">
        <f>IF(SnapshotTable[[#This Row],[Annual Dividend Per Share]]&gt;0, SnapshotTable[[#This Row],[Annual Dividend Per Share]]  / SnapshotTable[[#This Row],[Last Price]], 0)</f>
        <v>0</v>
      </c>
      <c r="AH182" s="149"/>
      <c r="AI182" s="5"/>
      <c r="AJ182" s="136">
        <v>40</v>
      </c>
      <c r="AK182" s="150" t="str">
        <f>IF(ISNUMBER( SnapshotTable[[#This Row],[EBF Target]]),(SnapshotTable[[#This Row],[EBF Target]] - SnapshotTable[[#This Row],[Last Price]]) / SnapshotTable[[#This Row],[Last Price]], "")</f>
        <v/>
      </c>
      <c r="AL182" s="150" t="str">
        <f>IF(AND(SnapshotTable[[#This Row],[Equity Basis Total]] &gt; 0,ISNUMBER( SnapshotTable[[#This Row],[Long Term Target]])), SnapshotTable[[#This Row],[From Basis $]] / SnapshotTable[[#This Row],[Equity Basis Total]], "")</f>
        <v/>
      </c>
      <c r="AM182" s="9">
        <f>IF( AND(SnapshotTable[[#This Row],[Equity Shares]] &gt;0,ISNUMBER( SnapshotTable[[#This Row],[Long Term Target]])),(SnapshotTable[[#This Row],[Equity Shares]] * SnapshotTable[[#This Row],[Long Term Target]]) - SnapshotTable[[#This Row],[Equity Basis Total]],0)</f>
        <v>0</v>
      </c>
      <c r="AN182" s="9">
        <f>IF( AND(SnapshotTable[[#This Row],[Equity Shares]] &gt;0,ISNUMBER( SnapshotTable[[#This Row],[Long Term Target]])),(SnapshotTable[[#This Row],[Equity Shares]]*SnapshotTable[[#This Row],[Long Term Target]]) - SnapshotTable[[#This Row],[Equity Value]],0)</f>
        <v>0</v>
      </c>
      <c r="AO182" s="150">
        <f>IF(AND(ISNUMBER( SnapshotTable[[#This Row],[Long Term Target]]), ISNUMBER(SnapshotTable[[#This Row],[Last Price]])),(SnapshotTable[[#This Row],[Long Term Target]] - SnapshotTable[[#This Row],[Last Price]]) / SnapshotTable[[#This Row],[Last Price]], "")</f>
        <v>-0.21691464369616287</v>
      </c>
      <c r="AP182" s="5"/>
      <c r="AQ182" s="38"/>
      <c r="AR182" s="5"/>
      <c r="AS182" s="38"/>
      <c r="AT182" s="144"/>
      <c r="AU182" s="185" t="str">
        <f>IF(OR(SnapshotTable[[#This Row],[LP No Fill]]="Y",SnapshotTable[[#This Row],[SP Is Filled]],SnapshotTable[[#This Row],[LC Not Filled]]="Y",SnapshotTable[[#This Row],[SC Is Filled]]),"Y","")</f>
        <v/>
      </c>
      <c r="AV182" s="205"/>
      <c r="AW182" s="211"/>
      <c r="AX182" s="206"/>
      <c r="AY182" s="205" t="str">
        <f>IF(SnapshotTable[[#This Row],[Implied Move]]&gt;0, SnapshotTable[[#This Row],[Last Price]]-SnapshotTable[[#This Row],[Implied Move]],"")</f>
        <v/>
      </c>
      <c r="AZ182" s="205" t="str">
        <f>IF(SnapshotTable[[#This Row],[Implied Move]]&gt;0, SnapshotTable[[#This Row],[Last Price]] + SnapshotTable[[#This Row],[Implied Move]],"")</f>
        <v/>
      </c>
      <c r="BA182" s="302"/>
      <c r="BB182" s="318"/>
      <c r="BC18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2" s="321"/>
      <c r="BE182" s="5"/>
      <c r="BF182" s="14"/>
      <c r="BG182" s="13"/>
      <c r="BH182" s="13"/>
      <c r="BI182" s="5"/>
      <c r="BJ182" s="134">
        <f>IF(SnapshotTable[[#This Row],[LP Qty]] &gt; 0, SnapshotTable[[#This Row],[LP Qty]] * SnapshotTable[[#This Row],[LP Book Price]] * 100,0)</f>
        <v>0</v>
      </c>
      <c r="BK182" s="134">
        <f>IF(SnapshotTable[[#This Row],[LP Premium]] &gt; 0, SnapshotTable[[#This Row],[LP Qty]] * SnapshotTable[[#This Row],[LP Strike Price]] * 100,0)</f>
        <v>0</v>
      </c>
      <c r="BL182" s="152"/>
      <c r="BM182" s="355" t="str">
        <f>IF(SnapshotTable[[#This Row],[LP Premium]] &gt; 0,SnapshotTable[[#This Row],[LP Exp Date]]-MAX(SnapshotTable[[#This Row],[LP Book Date]], SnapshotTable[[#This Row],[LP Fill Date]]),"")</f>
        <v/>
      </c>
      <c r="BN182" s="355" t="str">
        <f>IF(ISNUMBER( SnapshotTable[[#This Row],[LP Term]]), SnapshotTable[[#This Row],[LP Exp Date]] - MockToday,"")</f>
        <v/>
      </c>
      <c r="BO182" s="161" t="str">
        <f>IF(AND(SnapshotTable[[#This Row],[LP Exp Date]]&gt;0, SnapshotTable[[#This Row],[LP Strike Price]]&gt;0,SnapshotTable[[#This Row],[LP Qty]]&gt;0,SnapshotTable[[#This Row],[LP Book Date]]&gt;0,SnapshotTable[[#This Row],[LP Book Price]]&gt;0,SnapshotTable[[#This Row],[LP Fill Date]]=0),"Y","")</f>
        <v/>
      </c>
      <c r="BP182" s="31" t="str">
        <f>IF(AND(SnapshotTable[[#This Row],[LP No Fill]]&lt;&gt;"Y",SnapshotTable[[#This Row],[LP Contract Value]]&gt;0, SnapshotTable[[#This Row],[LP Qty]]&gt;0), SnapshotTable[[#This Row],[LP Contract Value]]*SnapshotTable[[#This Row],[LP Qty]]*100,"")</f>
        <v/>
      </c>
      <c r="BQ182" s="13"/>
      <c r="BR182" s="5"/>
      <c r="BS182" s="36"/>
      <c r="BT182" s="145"/>
      <c r="BU182" s="13"/>
      <c r="BV182" s="5"/>
      <c r="BW182" s="382" t="b">
        <f>AND(ISNUMBER(SnapshotTable[[#This Row],[SP Exp Date]]), ISNUMBER(SnapshotTable[[#This Row],[SP Strike Price]]), ISNUMBER(SnapshotTable[[#This Row],[SP Qty]]), ISNUMBER(SnapshotTable[[#This Row],[SP Book Date]]), ISNUMBER(SnapshotTable[[#This Row],[SP Book Price]]))</f>
        <v>0</v>
      </c>
      <c r="BX182" s="382" t="b">
        <f>AND(SnapshotTable[[#This Row],[SP Is Booked]], NOT(ISBLANK(SnapshotTable[[#This Row],[SP Fill Date]])))</f>
        <v>0</v>
      </c>
      <c r="BY182" s="33">
        <f>IF(SnapshotTable[[#This Row],[SP Is Booked]], SnapshotTable[[#This Row],[SP Qty]] * SnapshotTable[[#This Row],[SP Book Price]] * 100, 0)</f>
        <v>0</v>
      </c>
      <c r="BZ182" s="339"/>
      <c r="CA182" s="338">
        <f>SnapshotTable[[#This Row],[LP Qty]]</f>
        <v>0</v>
      </c>
      <c r="CB182" s="4" t="str">
        <f>IF(SnapshotTable[[#This Row],[SP Is Booked]], SnapshotTable[[#This Row],[SP Strike Price]] - SnapshotTable[[#This Row],[SP Book Price]], "")</f>
        <v/>
      </c>
      <c r="CC182" s="19" t="str">
        <f>IF(SnapshotTable[[#This Row],[SP Is Booked]],SnapshotTable[[#This Row],[SP Exp Date]]-MAX(SnapshotTable[[#This Row],[SP Book Date]], SnapshotTable[[#This Row],[SP Fill Date]]),"")</f>
        <v/>
      </c>
      <c r="CD182" s="7" t="str">
        <f>IF(SnapshotTable[[#This Row],[SP Is Booked]], SnapshotTable[[#This Row],[SP Book Price]]/SnapshotTable[[#This Row],[SP Strike Price]], "")</f>
        <v/>
      </c>
      <c r="CE182" s="7" t="str">
        <f>IF(ISNUMBER(SnapshotTable[[#This Row],[SP ROO Term]]),SnapshotTable[[#This Row],[SP ROO Term]]*(365/SnapshotTable[[#This Row],[SP Term]]),"")</f>
        <v/>
      </c>
      <c r="CF182" s="221">
        <f>SnapshotTable[[#This Row],[LP Strike Price]] * SnapshotTable[[#This Row],[LP Qty]] * 100</f>
        <v>0</v>
      </c>
      <c r="CG182" s="31">
        <f>IF(ISNUMBER(SnapshotTable[[#This Row],[SP Premium]]), (SnapshotTable[[#This Row],[SP Qty]] * SnapshotTable[[#This Row],[SP Strike Price]]* 100) - SnapshotTable[[#This Row],[LP Protection]], 0)</f>
        <v>0</v>
      </c>
      <c r="CH182" s="7" t="str">
        <f>IF(ISNUMBER(SnapshotTable[[#This Row],[SP Break Even]]),-1 * (SnapshotTable[[#This Row],[SP Break Even]] - SnapshotTable[[#This Row],[Last Price]]) / SnapshotTable[[#This Row],[Last Price]], "")</f>
        <v/>
      </c>
      <c r="CI182" s="31">
        <f>IF(AND(ISNUMBER((SnapshotTable[[#This Row],[SP Potential Spend]])), SnapshotTable[[#This Row],[SP Strike Price]] &gt; SnapshotTable[[#This Row],[Last Price]], SnapshotTable[[#This Row],[SP Is Filled]]), SnapshotTable[[#This Row],[SP Potential Spend]] -  SnapshotTable[[#This Row],[LP Max Value]], 0)</f>
        <v>0</v>
      </c>
      <c r="CJ182" s="229"/>
      <c r="CK182" s="31">
        <f>IF(ISNUMBER(SnapshotTable[[#This Row],[SP Potential Spend]]),IF(ISNUMBER(SnapshotTable[[#This Row],[SP POW]]), SnapshotTable[[#This Row],[SP POW]] * SnapshotTable[[#This Row],[SP Potential Spend]], SnapshotTable[[#This Row],[SP Potential Spend]]), "")</f>
        <v>0</v>
      </c>
      <c r="CL182" s="162">
        <f>IF(NOT(SnapshotTable[[#This Row],[SP Is Filled]]),(SnapshotTable[[#This Row],[SP Qty]] * SnapshotTable[[#This Row],[SP Strike Price]] * 100) - SnapshotTable[[#This Row],[LP Max Value]],"")</f>
        <v>0</v>
      </c>
      <c r="CM182" s="31" t="str">
        <f>IF(SnapshotTable[[#This Row],[SP Actual Spend]]&lt;&gt;0, ((SnapshotTable[[#This Row],[SP Strike Price]]-SnapshotTable[[#This Row],[Last Price]]) *(SnapshotTable[[#This Row],[SP Qty]]*100) - SnapshotTable[[#This Row],[SP Premium]]) * - 1, "")</f>
        <v/>
      </c>
      <c r="CN182" s="204"/>
      <c r="CO182" s="339"/>
      <c r="CP182" s="4" t="str">
        <f>IF(SnapshotTable[[#This Row],[SP Is Filled]], btc_max_buyback_amount(SnapshotTable[[#This Row],[SP Fill Date]],SnapshotTable[[#This Row],[SP Exp Date]], SnapshotTable[[#This Row],[SP Book Price]]),"")</f>
        <v/>
      </c>
      <c r="CQ182" s="76"/>
      <c r="CR18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2" s="153" t="str">
        <f>IF(SnapshotTable[[#This Row],[SP Is Filled]], btc_next_cutoff_date(SnapshotTable[[#This Row],[SP Fill Date]],SnapshotTable[[#This Row],[SP Exp Date]]),"")</f>
        <v/>
      </c>
      <c r="CT182" s="220" t="str" cm="1">
        <f t="array" ref="CT182">IF(SnapshotTable[[#This Row],[SP Is Filled]], btc_should_buy_back(SnapshotTable[[#This Row],[SP Fill Date]], SnapshotTable[[#This Row],[SP Exp Date]], SnapshotTable[[#This Row],[SP Book Price]], SnapshotTable[[#This Row],[SP Current Ask]], MockToday, SnapshotTable[[#This Row],[SP Buyback Override]]),"")</f>
        <v/>
      </c>
      <c r="CU182" s="141"/>
      <c r="CV182" s="220"/>
      <c r="CW182" s="348" t="str">
        <f>IF(ISNUMBER( SnapshotTable[[#This Row],[SP Term]]), SnapshotTable[[#This Row],[SP Exp Date]] - MockToday,"")</f>
        <v/>
      </c>
      <c r="CX182" s="31" t="str">
        <f>IF(SnapshotTable[[#This Row],[SP Is Filled]],SnapshotTable[[#This Row],[SP Buyback Price to Use]] * 100 * SnapshotTable[[#This Row],[SP Qty]], "")</f>
        <v/>
      </c>
      <c r="CY182" s="4" t="str">
        <f>IF(ISNUMBER(SnapshotTable[[#This Row],[SP Strike Price]]), SnapshotTable[[#This Row],[SP Strike Price]] * (1 - SP_MaxLoss_StrikePct), "")</f>
        <v/>
      </c>
      <c r="CZ182" s="31" t="str">
        <f>IF(ISNUMBER(SnapshotTable[[#This Row],[SP Strike  Stop Per Share]]),SnapshotTable[[#This Row],[SP Premium]] - ((SnapshotTable[[#This Row],[SP Strike Price]]-SnapshotTable[[#This Row],[SP Strike  Stop Per Share]]) *(SnapshotTable[[#This Row],[SP Qty]] * 100)),"")</f>
        <v/>
      </c>
      <c r="DA182" s="4" t="str">
        <f>IF(AND(ISNUMBER(SnapshotTable[[#This Row],[SP Premium]]),SnapshotTable[[#This Row],[SP Premium]]&gt;0), SnapshotTable[[#This Row],[SP Book Price]] * (1 + SP_MaxLoss_OptionPct), "")</f>
        <v/>
      </c>
      <c r="DB182" s="31" t="str">
        <f>IF(ISNUMBER(SnapshotTable[[#This Row],[SP Option  Stop Contract]]),(SnapshotTable[[#This Row],[SP Option  Stop Contract]] *(SnapshotTable[[#This Row],[SP Qty]] * 100) - SnapshotTable[[#This Row],[SP Premium]]),"")</f>
        <v/>
      </c>
      <c r="DC182" s="4"/>
      <c r="DD182" s="4"/>
      <c r="DE182" s="4" t="str">
        <f>IF(AND(SnapshotTable[[#This Row],[SP Qty]]&gt;0, SnapshotTable[[#This Row],[SP Stop To Use]]&gt;0),SnapshotTable[[#This Row],[SP Premium]] - ( SnapshotTable[[#This Row],[SP Qty]] * SnapshotTable[[#This Row],[SP Stop To Use]] * 100), "")</f>
        <v/>
      </c>
      <c r="DF182" s="31" t="str">
        <f>IF(AND(SnapshotTable[[#This Row],[SP Qty]]&gt;0,SnapshotTable[[#This Row],[SP Current Ask]]&gt;0), SnapshotTable[[#This Row],[SP Qty]] * SnapshotTable[[#This Row],[SP Current Ask]] * -100, "")</f>
        <v/>
      </c>
      <c r="DG182" s="31" t="str">
        <f>IF(ISNUMBER((SnapshotTable[[#This Row],[SP Total Value]])), SnapshotTable[[#This Row],[SP Premium]] + SnapshotTable[[#This Row],[SP Total Value]], "")</f>
        <v/>
      </c>
      <c r="DH182" s="272" t="str">
        <f>IF(ISNUMBER((SnapshotTable[[#This Row],[SP Total Value]])), SnapshotTable[[#This Row],[SP Gain Loss]] / SnapshotTable[[#This Row],[SP Premium]], "")</f>
        <v/>
      </c>
      <c r="DI182" s="369"/>
      <c r="DJ182" s="136"/>
      <c r="DK182" s="146"/>
      <c r="DL182" s="13"/>
      <c r="DM182" s="13"/>
      <c r="DO182" s="31">
        <f>IF(SnapshotTable[[#This Row],[LC Symbol Count]]=1, SnapshotTable[[#This Row],[LC Qty]] * SnapshotTable[[#This Row],[LC Book Price]] * 100, 0)</f>
        <v>0</v>
      </c>
      <c r="DP182" s="161" t="str">
        <f>IF(AND(SnapshotTable[[#This Row],[LC Exp Date]]&gt;0, SnapshotTable[[#This Row],[LC Strike Price]]&gt;0,SnapshotTable[[#This Row],[LC Qty]]&gt;0,SnapshotTable[[#This Row],[LC Book Date]]&gt;0,SnapshotTable[[#This Row],[LC Book Price]]&gt;0,SnapshotTable[[#This Row],[LC Fill Date]]=0),"Y","")</f>
        <v/>
      </c>
      <c r="DQ182" s="356" t="str">
        <f>IF(SnapshotTable[[#This Row],[LC Premium]] &gt; 0,SnapshotTable[[#This Row],[LC Exp Date]]-MAX(SnapshotTable[[#This Row],[LC Book Date]], SnapshotTable[[#This Row],[LC Fill Date]]),"")</f>
        <v/>
      </c>
      <c r="DR182" s="356" t="str">
        <f>IF(ISNUMBER(SnapshotTable[[#This Row],[LC Term]]), SnapshotTable[[#This Row],[LC Exp Date]] - MockToday, "")</f>
        <v/>
      </c>
      <c r="DS182" s="219" t="str">
        <f>IF(SnapshotTable[[#This Row],[LC Premium]]&gt;0,SnapshotTable[[#This Row],[LC Strike Price]] + SnapshotTable[[#This Row],[LC Book Price]],"")</f>
        <v/>
      </c>
      <c r="DU182" s="9" t="str">
        <f>IF(AND(SnapshotTable[[#This Row],[LC Symbol Count]]&gt;0, SnapshotTable[[#This Row],[LC Contract Value]]&gt;0), SnapshotTable[[#This Row],[LC Contract Value]] * SnapshotTable[[#This Row],[LC Qty]] * 100, "")</f>
        <v/>
      </c>
      <c r="DV182" s="9" t="str">
        <f>IF(AND(ISNUMBER(SnapshotTable[[#This Row],[LC Total Value]]), SnapshotTable[[#This Row],[LC Not Filled]]&lt;&gt;"Y"), SnapshotTable[[#This Row],[LC Total Value]]-SnapshotTable[[#This Row],[LC Premium]],"")</f>
        <v/>
      </c>
      <c r="DW182" s="225" t="str">
        <f>IF(ISNUMBER(SnapshotTable[[#This Row],[LC Actual Gain Loss]]), SnapshotTable[[#This Row],[LC Actual Gain Loss]] / SnapshotTable[[#This Row],[LC Premium]],"")</f>
        <v/>
      </c>
      <c r="DX182" s="269" t="str">
        <f>IF(ISNUMBER(SnapshotTable[[#This Row],[LC Book Price]]),SnapshotTable[[#This Row],[LC Book Price]] * 1.5,"")</f>
        <v/>
      </c>
      <c r="DY182" s="250" t="str">
        <f>IF(SnapshotTable[[#This Row],[LC Premium]]&gt;0, SnapshotTable[[#This Row],[LC Next Target]] * SnapshotTable[[#This Row],[LC Qty]] * 100,"")</f>
        <v/>
      </c>
      <c r="DZ182" s="250" t="str">
        <f>IF(ISNUMBER(SnapshotTable[[#This Row],[LC Target Gross]]), SnapshotTable[[#This Row],[LC Target Gross]] - SnapshotTable[[#This Row],[LC Premium]], "")</f>
        <v/>
      </c>
      <c r="EA182" s="283" t="str">
        <f>IF(ISNUMBER(SnapshotTable[[#This Row],[LC Target Gain Loss]]), SnapshotTable[[#This Row],[LC Target Gain Loss]]/SnapshotTable[[#This Row],[LC Premium]], "")</f>
        <v/>
      </c>
      <c r="EB182" s="247"/>
      <c r="EC182" s="268" t="str">
        <f>IF(SnapshotTable[[#This Row],[LC Premium]]&gt;0, SnapshotTable[[#This Row],[LC Book Price]] * (1 - LC_StopLoss_Pct),"")</f>
        <v/>
      </c>
      <c r="ED182" s="269"/>
      <c r="EE182" s="268" t="str">
        <f>IF(ISNUMBER(SnapshotTable[[#This Row],[LC Contract Value]]),IF(ISNUMBER(SnapshotTable[[#This Row],[LC Stop Loss Override]]), SnapshotTable[[#This Row],[LC Stop Loss Override]],SnapshotTable[[#This Row],[LC Stop Loss Calc Target]]),"")</f>
        <v/>
      </c>
      <c r="EF182" s="31" t="str">
        <f>IF(ISNUMBER(SnapshotTable[[#This Row],[LC Stop  To Use]]), (SnapshotTable[[#This Row],[LC Stop  To Use]] * SnapshotTable[[#This Row],[LC Qty]] * 100),"")</f>
        <v/>
      </c>
      <c r="EG182" s="9" t="str">
        <f>IF(ISNUMBER(SnapshotTable[[#This Row],[LC Total Value]]),SnapshotTable[[#This Row],[LC Stop Loss Amount]] - SnapshotTable[[#This Row],[LC Premium]],"")</f>
        <v/>
      </c>
      <c r="EH182" s="9">
        <f>IF(ISNUMBER(SnapshotTable[[#This Row],[LC Premium]]), SnapshotTable[[#This Row],[LC Qty]] * 100 * SnapshotTable[[#This Row],[LC Strike Price]], "")</f>
        <v>0</v>
      </c>
      <c r="EI182" s="225" t="str">
        <f>IF(AND(ISNUMBER(SnapshotTable[[#This Row],[LC Total Value]]),SnapshotTable[[#This Row],[LC Total Value]]&gt;0),SnapshotTable[[#This Row],[LC Stop Gain Loss]]  / SnapshotTable[[#This Row],[LC Premium]],"")</f>
        <v/>
      </c>
      <c r="EJ182" s="35">
        <f>IF(ISNUMBER(SnapshotTable[[#This Row],[Equity Shares]]),TRUNC(SnapshotTable[[#This Row],[Equity Shares]] / 100),0) + SnapshotTable[[#This Row],[LC Qty]]</f>
        <v>0</v>
      </c>
      <c r="EK182" s="145"/>
      <c r="EL182" s="136"/>
      <c r="EM182" s="146"/>
      <c r="EN182" s="145"/>
      <c r="EO182" s="145"/>
      <c r="EP182" s="136"/>
      <c r="EQ182" s="382" t="b">
        <f>AND(ISNUMBER(SnapshotTable[[#This Row],[SC Exp Date]]), ISNUMBER(SnapshotTable[[#This Row],[SC Strike Price]]), ISNUMBER(SnapshotTable[[#This Row],[SC Qty]]), ISNUMBER(SnapshotTable[[#This Row],[SC Book Date]]), ISNUMBER(SnapshotTable[[#This Row],[SC Book Price]]))</f>
        <v>0</v>
      </c>
      <c r="ER182" s="382" t="b">
        <f>AND(SnapshotTable[[#This Row],[SC Is Booked]], NOT(ISBLANK(SnapshotTable[[#This Row],[SC Fill Date]])))</f>
        <v>0</v>
      </c>
      <c r="ES182" s="340"/>
      <c r="ET182" s="34" t="str">
        <f>IF(AND(ISNUMBER(SnapshotTable[[#This Row],[SC Exp Date]]), ISNUMBER(SnapshotTable[[#This Row],[SC Book Date]])), SnapshotTable[[#This Row],[SC Exp Date]] - MAX(SnapshotTable[[#This Row],[SC Book Date]], SnapshotTable[[#This Row],[SC Fill Date]]) + 1, "")</f>
        <v/>
      </c>
      <c r="EU182" s="34" t="str">
        <f>IF(ISNUMBER(SnapshotTable[[#This Row],[SC Term]]), SnapshotTable[[#This Row],[SC Exp Date]]- MockToday, "")</f>
        <v/>
      </c>
      <c r="EV182" s="31">
        <f>IF(SnapshotTable[[#This Row],[SC Is Booked]], SnapshotTable[[#This Row],[SC Qty]] * SnapshotTable[[#This Row],[SC Book Price]] * 100, 0)</f>
        <v>0</v>
      </c>
      <c r="EW182" s="4" t="str">
        <f>IF(AND(ISNUMBER(SnapshotTable[[#This Row],[Last Price]]), ISNUMBER( SnapshotTable[[#This Row],[SC Book Price]])), SnapshotTable[[#This Row],[Last Price]] - SnapshotTable[[#This Row],[SC Book Price]],"")</f>
        <v/>
      </c>
      <c r="EX182" s="219" t="str">
        <f>IF(SnapshotTable[[#This Row],[SC Is Booked]],IF(SnapshotTable[[#This Row],[SC Intrinsic Value]] &gt; 0, SnapshotTable[[#This Row],[SC Strike Price]], SnapshotTable[[#This Row],[Last Price]]), "")</f>
        <v/>
      </c>
      <c r="EY182" s="4">
        <f>IF(SnapshotTable[[#This Row],[SC Is Booked]], (MinimumPremiumRequired * SnapshotTable[[#This Row],[SC Basis]] * SnapshotTable[[#This Row],[SC Term]]), 0)</f>
        <v>0</v>
      </c>
      <c r="EZ182" s="268"/>
      <c r="FA182" s="204"/>
      <c r="FB182" s="340"/>
      <c r="FC182" s="4">
        <f>IF(SnapshotTable[[#This Row],[SC Is Filled]], btc_max_buyback_amount(SnapshotTable[[#This Row],[SC Fill Date]],SnapshotTable[[#This Row],[SC Exp Date]], SnapshotTable[[#This Row],[SC Book Price]]),0)</f>
        <v>0</v>
      </c>
      <c r="FD182" s="5"/>
      <c r="FE182" s="142" t="str">
        <f>IF(SnapshotTable[[#This Row],[SC Is Filled]], btc_next_cutoff_date(SnapshotTable[[#This Row],[SC Fill Date]],SnapshotTable[[#This Row],[SC Exp Date]]),"")</f>
        <v/>
      </c>
      <c r="FF182" s="4" t="str" cm="1">
        <f t="array" ref="FF182">IF(SnapshotTable[[#This Row],[SC Is Filled]], btc_should_buy_back(SnapshotTable[[#This Row],[SC Fill Date]], SnapshotTable[[#This Row],[SC Exp Date]], SnapshotTable[[#This Row],[SC Book Price]], SnapshotTable[[#This Row],[SC Current Ask]], MockToday, SnapshotTable[[#This Row],[SC Buyback Override]]),"")</f>
        <v/>
      </c>
      <c r="FG182" s="4">
        <f>IF(SnapshotTable[[#This Row],[SC Is Filled]], MAX(0,SnapshotTable[[#This Row],[Last Price]]  - SnapshotTable[[#This Row],[SC Strike Price]]), 0)</f>
        <v>0</v>
      </c>
      <c r="FH182" s="352">
        <f>IF(SnapshotTable[[#This Row],[SC Is Filled]], IF(ISNUMBER(SnapshotTable[[#This Row],[SC Current Ask]]), SnapshotTable[[#This Row],[SC Current Ask]], SnapshotTable[[#This Row],[SC Book Price]]) - SnapshotTable[[#This Row],[SC Intrinsic Value]], 0)</f>
        <v>0</v>
      </c>
      <c r="FI182" s="141"/>
      <c r="FJ182" s="32" t="str">
        <f>IF(SnapshotTable[[#This Row],[SC Is Filled]],100 * SnapshotTable[[#This Row],[SC Qty]] * IF(ISNUMBER(SnapshotTable[[#This Row],[SC Buyback Override]]), SnapshotTable[[#This Row],[SC Buyback Override]], SnapshotTable[[#This Row],[SC Current Ask]]), "")</f>
        <v/>
      </c>
      <c r="FK182" s="235" t="str">
        <f>IF(SnapshotTable[[#This Row],[SC Time Val]]&gt;0, SnapshotTable[[#This Row],[SC Time Val]] / SnapshotTable[[#This Row],[Last Price]],"")</f>
        <v/>
      </c>
      <c r="FL182" s="280" t="str">
        <f>IF(SnapshotTable[[#This Row],[SC Is Booked]], ((SnapshotTable[[#This Row],[Last Price]] -SnapshotTable[[#This Row],[SC Strike Price]]) / SnapshotTable[[#This Row],[Last Price]]) * -1, "")</f>
        <v/>
      </c>
      <c r="FM182" s="155" t="str">
        <f>IF(SnapshotTable[[#This Row],[SC Is Booked]],  (SnapshotTable[[#This Row],[SC Qty]] * 100 * SnapshotTable[[#This Row],[SC Strike Price]]) - SnapshotTable[[#This Row],[SC Current Ask]], "")</f>
        <v/>
      </c>
      <c r="FN18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2" s="31" t="str">
        <f>IF(AND(ISNUMBER(SnapshotTable[[#This Row],[SC Exercise Gross]]), ISNUMBER(SnapshotTable[[#This Row],[Equity Basis Per Share]] )), SnapshotTable[[#This Row],[SC Exercise Gross]] - SnapshotTable[[#This Row],[Equity Basis Total]] +  SnapshotTable[[#This Row],[SC Premium]], "")</f>
        <v/>
      </c>
      <c r="FP182" s="5" t="str">
        <f>IF(ISNUMBER(SnapshotTable[[#This Row],[SC Exercise Gross]]), (SnapshotTable[[#This Row],[SC Exercise Gross]]) / (SnapshotTable[[#This Row],[SC Qty]] * 100), "")</f>
        <v/>
      </c>
      <c r="FQ182" s="27" t="str">
        <f>IF(SnapshotTable[[#This Row],[SC Is Booked]],SnapshotTable[[#This Row],[SC Time Val]] /SnapshotTable[[#This Row],[SC Basis]], "")</f>
        <v/>
      </c>
      <c r="FR182" s="27" t="str" cm="1">
        <f t="array" ref="FR182">IF(AND(ISNUMBER(SnapshotTable[[#This Row],[SC Term]]),ISNUMBER(SnapshotTable[[#This Row],[SC Simple ROO]])), EllmanAnnualize(SnapshotTable[[#This Row],[SC DTE]], SnapshotTable[[#This Row],[SC Simple ROO]] ),"")</f>
        <v/>
      </c>
      <c r="FS182" s="4">
        <f>IF(SnapshotTable[[#This Row],[SC Strike Price]] &gt; SnapshotTable[[#This Row],[Last Price]], SnapshotTable[[#This Row],[SC Strike Price]] - SnapshotTable[[#This Row],[Last Price]],0)</f>
        <v>0</v>
      </c>
      <c r="FT182" s="27" t="str">
        <f>IF(AND(ISNUMBER(SnapshotTable[[#This Row],[SC Upside Potential]]), SnapshotTable[[#This Row],[SC Upside Potential]] &gt; 0),(SnapshotTable[[#This Row],[SC Upside Potential]]/ SnapshotTable[[#This Row],[ACB]]),"")</f>
        <v/>
      </c>
      <c r="FU182" s="304" t="str">
        <f>IF(SnapshotTable[[#This Row],[SC Intrinsic Value]] &gt; 0,SnapshotTable[[#This Row],[SC Intrinsic Value]],"")</f>
        <v/>
      </c>
      <c r="FV182" s="27" t="str">
        <f>IF(AND( ISNUMBER( SnapshotTable[[#This Row],[ACB]]),ISNUMBER(SnapshotTable[[#This Row],[SC Downside Protect]])),SnapshotTable[[#This Row],[SC Downside Protect]] / SnapshotTable[[#This Row],[ACB]],"")</f>
        <v/>
      </c>
      <c r="FW182" s="221" t="str">
        <f>IF(AND(ISNUMBER(SnapshotTable[[#This Row],[SC Simple ROO]]),SnapshotTable[[#This Row],[SC Simple ROO]] &gt; 0), SnapshotTable[[#This Row],[SC Premium]] + (SnapshotTable[[#This Row],[SC Qty]] * SnapshotTable[[#This Row],[SC Upside Potential]]), "")</f>
        <v/>
      </c>
      <c r="FX182" s="280" t="str" cm="1">
        <f t="array" ref="FX182">IF(ISNUMBER(SnapshotTable[[#This Row],[SC Max Dollars]]), annualize(SnapshotTable[[#This Row],[SC Term]],(SnapshotTable[[#This Row],[SC Max Dollars]]/SnapshotTable[[#This Row],[SC Basis]])),"")</f>
        <v/>
      </c>
      <c r="FY182" s="221" t="str">
        <f>IF(AND(SnapshotTable[[#This Row],[SC Qty]]&gt;0,SnapshotTable[[#This Row],[SC Current Ask]]&gt;0), SnapshotTable[[#This Row],[SC Qty]] * SnapshotTable[[#This Row],[SC Current Ask]] * -100, "")</f>
        <v/>
      </c>
      <c r="FZ182" s="31" t="str">
        <f>IF(ISNUMBER((SnapshotTable[[#This Row],[SC Current Value]])), SnapshotTable[[#This Row],[SC Premium]] + SnapshotTable[[#This Row],[SC Current Value]], "")</f>
        <v/>
      </c>
      <c r="GA182" s="272" t="str">
        <f>IFERROR( IF(ISNUMBER((SnapshotTable[[#This Row],[SC Current Value]])), SnapshotTable[[#This Row],[SC Gain Loss]] / SnapshotTable[[#This Row],[SC Premium]], ""), "")</f>
        <v/>
      </c>
      <c r="GB182" s="42">
        <f>SnapshotTable[[#This Row],[Equity Shares]] * SaleSharesToConsiderPercentage</f>
        <v>0</v>
      </c>
      <c r="GC182" s="40">
        <f>SnapshotTable[[#This Row],[Long Term Target]] * SellingPriceToConsiderBasedOnTargetPercentage</f>
        <v>38</v>
      </c>
      <c r="GD182" s="40">
        <f>SnapshotTable[[#This Row],[Last Price]] * (1+ SellingPriceToConsiderBasedOnTargetPercentage)</f>
        <v>99.605999999999995</v>
      </c>
      <c r="GE182" s="41"/>
      <c r="GF182" s="40"/>
      <c r="GG182" s="31">
        <f>SnapshotTable[[#This Row],[Booked Sale Shares]] * SnapshotTable[[#This Row],[Booked Sale Price]]</f>
        <v>0</v>
      </c>
      <c r="GH182" s="31" t="str">
        <f>IF(SnapshotTable[[#This Row],[Equity Basis Total]] &gt; 0, SnapshotTable[[#This Row],[Equity Basis Per Share]] * SnapshotTable[[#This Row],[Booked Sale Shares]], "")</f>
        <v/>
      </c>
      <c r="GI182" s="31">
        <f>IF(SnapshotTable[[#This Row],[Sale Proceeds]]&gt;0, SnapshotTable[[#This Row],[Sale Proceeds]] - SnapshotTable[[#This Row],[Sale Basis]], 0)</f>
        <v>0</v>
      </c>
      <c r="GJ182" s="27" t="str">
        <f>IF(SnapshotTable[[#This Row],[Sale G/L]]&gt;0, SnapshotTable[[#This Row],[Sale G/L]] / SnapshotTable[[#This Row],[Sale Basis]], IF(ISNUMBER(SnapshotTable[[#This Row],[SC Exercise P&amp;L (TAX)]]), SnapshotTable[[#This Row],[SC Exercise P&amp;L (TAX)]] / SnapshotTable[[#This Row],[SC Basis]], ""))</f>
        <v/>
      </c>
      <c r="GK182" s="27"/>
      <c r="GL182" s="43" t="str">
        <f>IF(AND(SnapshotTable[[#This Row],[LP Exp Date]]&gt;0,SnapshotTable[[#This Row],[LP Strike Price]]&gt;0), [1]!ToOptionSymbol(SnapshotTable[[#This Row],[Symbol]], SnapshotTable[[#This Row],[LP Strike Price]],SnapshotTable[[#This Row],[LP Exp Date]],1), "")</f>
        <v/>
      </c>
      <c r="GM182" s="30" t="str">
        <f>IF(LEN(SnapshotTable[[#This Row],[LP Symbol]])&gt;0, 1, "")</f>
        <v/>
      </c>
      <c r="GN182" s="43" t="str">
        <f>IF(AND(SnapshotTable[[#This Row],[SP Exp Date]]&gt;0,SnapshotTable[[#This Row],[SP Strike Price]]&gt;0), [1]!ToOptionSymbol(SnapshotTable[[#This Row],[Symbol]], SnapshotTable[[#This Row],[SP Strike Price]],SnapshotTable[[#This Row],[SP Exp Date]],1), "")</f>
        <v/>
      </c>
      <c r="GO182" s="30" t="str">
        <f>IF(LEN(SnapshotTable[[#This Row],[SP Symbol]])&gt;0, 1, "")</f>
        <v/>
      </c>
      <c r="GP182" s="43" t="str">
        <f>IF(AND(SnapshotTable[[#This Row],[LC Exp Date]]&gt;0,SnapshotTable[[#This Row],[LC Strike Price]]&gt;0), [1]!ToOptionSymbol(SnapshotTable[[#This Row],[Symbol]], SnapshotTable[[#This Row],[LC Strike Price]],SnapshotTable[[#This Row],[LC Exp Date]],0), "")</f>
        <v/>
      </c>
      <c r="GQ182" s="30" t="str">
        <f>IF(LEN(SnapshotTable[[#This Row],[LC Symbol]])&gt;0, 1, "")</f>
        <v/>
      </c>
      <c r="GR182" s="43" t="str">
        <f>IF(AND(SnapshotTable[[#This Row],[SC Exp Date]]&gt;0,SnapshotTable[[#This Row],[SC Strike Price]]&gt;0), [1]!ToOptionSymbol(SnapshotTable[[#This Row],[Symbol]], SnapshotTable[[#This Row],[SC Strike Price]],SnapshotTable[[#This Row],[SC Exp Date]],0), "")</f>
        <v/>
      </c>
      <c r="GS182" s="30" t="str">
        <f>IF(LEN(SnapshotTable[[#This Row],[SC Symbol]])&gt;0, 1, "")</f>
        <v/>
      </c>
      <c r="GT182" s="29" t="str">
        <f>IF(COUNT(SnapshotTable[[#This Row],[LP Symbol Count]],SnapshotTable[[#This Row],[SP Symbol Count]],SnapshotTable[[#This Row],[LC Symbol Count]],SnapshotTable[[#This Row],[SC Symbol Count]])&gt;0, "Y", "")</f>
        <v/>
      </c>
      <c r="GU18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2" s="216">
        <f>MAX(SnapshotTable[[#This Row],[Equity Basis Total]],SnapshotTable[[#This Row],[Equity Value]]) + (SnapshotTable[[#This Row],[SP Potential Spend]]- SnapshotTable[[#This Row],[SP Premium]] + SnapshotTable[[#This Row],[LP Premium]])+ (SnapshotTable[[#This Row],[LC Premium]] - SnapshotTable[[#This Row],[SC Premium]])</f>
        <v>0</v>
      </c>
      <c r="GW182" s="137" t="str">
        <f>IF(AND(SnapshotTable[[#This Row],[Exposure]] &lt;&gt; 0),SnapshotTable[[#This Row],[Exposure]] / SnapshotTable[[#Totals],[Exposure]], "")</f>
        <v/>
      </c>
      <c r="HE182" s="253"/>
      <c r="HF182" s="253"/>
      <c r="HK182" s="1"/>
      <c r="HL182" s="1"/>
      <c r="HM182" s="1"/>
      <c r="HN182" s="1"/>
      <c r="HO182" s="1"/>
      <c r="HP182" s="1"/>
    </row>
    <row r="183" spans="2:224" ht="12.75" hidden="1" customHeight="1" x14ac:dyDescent="0.25">
      <c r="B183" s="12" t="s">
        <v>86</v>
      </c>
      <c r="C183" s="385">
        <v>89.4</v>
      </c>
      <c r="D183" s="200"/>
      <c r="E183" s="39">
        <f>SnapshotTable[[#This Row],[Last Price]]*(1 -CrashDiscount)</f>
        <v>75.990000000000009</v>
      </c>
      <c r="F183" s="26" t="s">
        <v>23</v>
      </c>
      <c r="G183" s="26" t="s">
        <v>7</v>
      </c>
      <c r="H183" s="147"/>
      <c r="I183" s="186">
        <v>44776.670138888891</v>
      </c>
      <c r="J183" s="187">
        <v>44776.670138888891</v>
      </c>
      <c r="K183" s="188"/>
      <c r="L183" s="297"/>
      <c r="M183" s="138"/>
      <c r="N183" s="138"/>
      <c r="O183" s="138">
        <v>4</v>
      </c>
      <c r="P183" s="22"/>
      <c r="Q183" s="25"/>
      <c r="R183" s="4" t="str">
        <f>IF(SnapshotTable[[#This Row],[Equity Basis Total]] &gt; 0, SnapshotTable[[#This Row],[Equity Basis Total]] / SnapshotTable[[#This Row],[Equity Shares]], "")</f>
        <v/>
      </c>
      <c r="S183" s="254">
        <f>SnapshotTable[[#This Row],[Last Price]] * SnapshotTable[[#This Row],[Equity Shares]]</f>
        <v>0</v>
      </c>
      <c r="T183" s="254">
        <f>SnapshotTable[[#This Row],[Equity Value]] - SnapshotTable[[#This Row],[Equity Basis Total]]</f>
        <v>0</v>
      </c>
      <c r="U183" s="255" t="str">
        <f>IF(SnapshotTable[[#This Row],[Equity Basis Total]] &gt; 0, SnapshotTable[[#This Row],[Equity G/L]] / SnapshotTable[[#This Row],[Equity Basis Total]], "")</f>
        <v/>
      </c>
      <c r="V183" s="253"/>
      <c r="W183" s="253"/>
      <c r="X183" s="4" t="str">
        <f>IF(AND(ISNUMBER(SnapshotTable[[#This Row],[Equity Basis Per Share]]),ISNUMBER(SnapshotTable[[#This Row],[Equity Target]])),SnapshotTable[[#This Row],[Equity Target]]-SnapshotTable[[#This Row],[Equity Basis Per Share]],"")</f>
        <v/>
      </c>
      <c r="Y183" s="4" t="str">
        <f>IF(AND(ISNUMBER(SnapshotTable[[#This Row],[Equity Basis Per Share]]),ISNUMBER(SnapshotTable[[#This Row],[Equity Stop Loss]])),SnapshotTable[[#This Row],[Equity Stop Loss]]-SnapshotTable[[#This Row],[Equity Basis Per Share]],"")</f>
        <v/>
      </c>
      <c r="Z183" s="260" t="str">
        <f>IFERROR( TEXT(SnapshotTable[[#This Row],[Equity Max Gain Per Share]] /ABS( SnapshotTable[[#This Row],[Equity Max Loss Per Share]]),"0.0 " ) &amp; " : 1", "")</f>
        <v/>
      </c>
      <c r="AA183" s="31" t="str">
        <f>IF(ISNUMBER(SnapshotTable[[#This Row],[Equity Max Gain Per Share]]),SnapshotTable[[#This Row],[Equity Max Gain Per Share]] * SnapshotTable[[#This Row],[Equity Shares]],"")</f>
        <v/>
      </c>
      <c r="AB183" s="31" t="str">
        <f>IF(ISNUMBER(SnapshotTable[[#This Row],[Equity Max Loss Per Share]]),SnapshotTable[[#This Row],[Equity Max Loss Per Share]] * SnapshotTable[[#This Row],[Equity Shares]],"")</f>
        <v/>
      </c>
      <c r="AC183" s="148">
        <v>0</v>
      </c>
      <c r="AD183" s="149" t="s">
        <v>2</v>
      </c>
      <c r="AE183" s="31">
        <f>(SnapshotTable[[#This Row],[Annual Dividend Per Share]] / 4) * SnapshotTable[[#This Row],[Equity Shares]]</f>
        <v>0</v>
      </c>
      <c r="AF183" s="31">
        <f>SnapshotTable[[#This Row],[Quarterly Div $]] * 4</f>
        <v>0</v>
      </c>
      <c r="AG183" s="7">
        <f>IF(SnapshotTable[[#This Row],[Annual Dividend Per Share]]&gt;0, SnapshotTable[[#This Row],[Annual Dividend Per Share]]  / SnapshotTable[[#This Row],[Last Price]], 0)</f>
        <v>0</v>
      </c>
      <c r="AH183" s="149" t="s">
        <v>2</v>
      </c>
      <c r="AI183" s="5"/>
      <c r="AJ183" s="136">
        <v>79.540000000000006</v>
      </c>
      <c r="AK183" s="150" t="str">
        <f>IF(ISNUMBER( SnapshotTable[[#This Row],[EBF Target]]),(SnapshotTable[[#This Row],[EBF Target]] - SnapshotTable[[#This Row],[Last Price]]) / SnapshotTable[[#This Row],[Last Price]], "")</f>
        <v/>
      </c>
      <c r="AL183" s="150" t="str">
        <f>IF(AND(SnapshotTable[[#This Row],[Equity Basis Total]] &gt; 0,ISNUMBER( SnapshotTable[[#This Row],[Long Term Target]])), SnapshotTable[[#This Row],[From Basis $]] / SnapshotTable[[#This Row],[Equity Basis Total]], "")</f>
        <v/>
      </c>
      <c r="AM183" s="9">
        <f>IF( AND(SnapshotTable[[#This Row],[Equity Shares]] &gt;0,ISNUMBER( SnapshotTable[[#This Row],[Long Term Target]])),(SnapshotTable[[#This Row],[Equity Shares]] * SnapshotTable[[#This Row],[Long Term Target]]) - SnapshotTable[[#This Row],[Equity Basis Total]],0)</f>
        <v>0</v>
      </c>
      <c r="AN183" s="9">
        <f>IF( AND(SnapshotTable[[#This Row],[Equity Shares]] &gt;0,ISNUMBER( SnapshotTable[[#This Row],[Long Term Target]])),(SnapshotTable[[#This Row],[Equity Shares]]*SnapshotTable[[#This Row],[Long Term Target]]) - SnapshotTable[[#This Row],[Equity Value]],0)</f>
        <v>0</v>
      </c>
      <c r="AO183" s="150">
        <f>IF(AND(ISNUMBER( SnapshotTable[[#This Row],[Long Term Target]]), ISNUMBER(SnapshotTable[[#This Row],[Last Price]])),(SnapshotTable[[#This Row],[Long Term Target]] - SnapshotTable[[#This Row],[Last Price]]) / SnapshotTable[[#This Row],[Last Price]], "")</f>
        <v>-0.11029082774049216</v>
      </c>
      <c r="AP183" s="5">
        <v>35</v>
      </c>
      <c r="AQ183" s="38" t="s">
        <v>28</v>
      </c>
      <c r="AR183" s="5">
        <v>30</v>
      </c>
      <c r="AS183" s="38" t="s">
        <v>29</v>
      </c>
      <c r="AT183" s="144"/>
      <c r="AU183" s="185" t="str">
        <f>IF(OR(SnapshotTable[[#This Row],[LP No Fill]]="Y",SnapshotTable[[#This Row],[SP Is Filled]],SnapshotTable[[#This Row],[LC Not Filled]]="Y",SnapshotTable[[#This Row],[SC Is Filled]]),"Y","")</f>
        <v/>
      </c>
      <c r="AV183" s="205"/>
      <c r="AW183" s="211"/>
      <c r="AX183" s="206"/>
      <c r="AY183" s="205" t="str">
        <f>IF(SnapshotTable[[#This Row],[Implied Move]]&gt;0, SnapshotTable[[#This Row],[Last Price]]-SnapshotTable[[#This Row],[Implied Move]],"")</f>
        <v/>
      </c>
      <c r="AZ183" s="205" t="str">
        <f>IF(SnapshotTable[[#This Row],[Implied Move]]&gt;0, SnapshotTable[[#This Row],[Last Price]] + SnapshotTable[[#This Row],[Implied Move]],"")</f>
        <v/>
      </c>
      <c r="BA183" s="302"/>
      <c r="BB183" s="318"/>
      <c r="BC18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3" s="321"/>
      <c r="BE183" s="5"/>
      <c r="BF183" s="14"/>
      <c r="BG183" s="13"/>
      <c r="BH183" s="13"/>
      <c r="BI183" s="5"/>
      <c r="BJ183" s="134">
        <f>IF(SnapshotTable[[#This Row],[LP Qty]] &gt; 0, SnapshotTable[[#This Row],[LP Qty]] * SnapshotTable[[#This Row],[LP Book Price]] * 100,0)</f>
        <v>0</v>
      </c>
      <c r="BK183" s="134">
        <f>IF(SnapshotTable[[#This Row],[LP Premium]] &gt; 0, SnapshotTable[[#This Row],[LP Qty]] * SnapshotTable[[#This Row],[LP Strike Price]] * 100,0)</f>
        <v>0</v>
      </c>
      <c r="BL183" s="152"/>
      <c r="BM183" s="355" t="str">
        <f>IF(SnapshotTable[[#This Row],[LP Premium]] &gt; 0,SnapshotTable[[#This Row],[LP Exp Date]]-MAX(SnapshotTable[[#This Row],[LP Book Date]], SnapshotTable[[#This Row],[LP Fill Date]]),"")</f>
        <v/>
      </c>
      <c r="BN183" s="355" t="str">
        <f>IF(ISNUMBER( SnapshotTable[[#This Row],[LP Term]]), SnapshotTable[[#This Row],[LP Exp Date]] - MockToday,"")</f>
        <v/>
      </c>
      <c r="BO183" s="161" t="str">
        <f>IF(AND(SnapshotTable[[#This Row],[LP Exp Date]]&gt;0, SnapshotTable[[#This Row],[LP Strike Price]]&gt;0,SnapshotTable[[#This Row],[LP Qty]]&gt;0,SnapshotTable[[#This Row],[LP Book Date]]&gt;0,SnapshotTable[[#This Row],[LP Book Price]]&gt;0,SnapshotTable[[#This Row],[LP Fill Date]]=0),"Y","")</f>
        <v/>
      </c>
      <c r="BP183" s="31" t="str">
        <f>IF(AND(SnapshotTable[[#This Row],[LP No Fill]]&lt;&gt;"Y",SnapshotTable[[#This Row],[LP Contract Value]]&gt;0, SnapshotTable[[#This Row],[LP Qty]]&gt;0), SnapshotTable[[#This Row],[LP Contract Value]]*SnapshotTable[[#This Row],[LP Qty]]*100,"")</f>
        <v/>
      </c>
      <c r="BQ183" s="13"/>
      <c r="BR183" s="5"/>
      <c r="BS183" s="36"/>
      <c r="BT183" s="145"/>
      <c r="BU183" s="13"/>
      <c r="BV183" s="5"/>
      <c r="BW183" s="382" t="b">
        <f>AND(ISNUMBER(SnapshotTable[[#This Row],[SP Exp Date]]), ISNUMBER(SnapshotTable[[#This Row],[SP Strike Price]]), ISNUMBER(SnapshotTable[[#This Row],[SP Qty]]), ISNUMBER(SnapshotTable[[#This Row],[SP Book Date]]), ISNUMBER(SnapshotTable[[#This Row],[SP Book Price]]))</f>
        <v>0</v>
      </c>
      <c r="BX183" s="382" t="b">
        <f>AND(SnapshotTable[[#This Row],[SP Is Booked]], NOT(ISBLANK(SnapshotTable[[#This Row],[SP Fill Date]])))</f>
        <v>0</v>
      </c>
      <c r="BY183" s="33">
        <f>IF(SnapshotTable[[#This Row],[SP Is Booked]], SnapshotTable[[#This Row],[SP Qty]] * SnapshotTable[[#This Row],[SP Book Price]] * 100, 0)</f>
        <v>0</v>
      </c>
      <c r="BZ183" s="339"/>
      <c r="CA183" s="338">
        <f>SnapshotTable[[#This Row],[LP Qty]]</f>
        <v>0</v>
      </c>
      <c r="CB183" s="4" t="str">
        <f>IF(SnapshotTable[[#This Row],[SP Is Booked]], SnapshotTable[[#This Row],[SP Strike Price]] - SnapshotTable[[#This Row],[SP Book Price]], "")</f>
        <v/>
      </c>
      <c r="CC183" s="19" t="str">
        <f>IF(SnapshotTable[[#This Row],[SP Is Booked]],SnapshotTable[[#This Row],[SP Exp Date]]-MAX(SnapshotTable[[#This Row],[SP Book Date]], SnapshotTable[[#This Row],[SP Fill Date]]),"")</f>
        <v/>
      </c>
      <c r="CD183" s="7" t="str">
        <f>IF(SnapshotTable[[#This Row],[SP Is Booked]], SnapshotTable[[#This Row],[SP Book Price]]/SnapshotTable[[#This Row],[SP Strike Price]], "")</f>
        <v/>
      </c>
      <c r="CE183" s="7" t="str">
        <f>IF(ISNUMBER(SnapshotTable[[#This Row],[SP ROO Term]]),SnapshotTable[[#This Row],[SP ROO Term]]*(365/SnapshotTable[[#This Row],[SP Term]]),"")</f>
        <v/>
      </c>
      <c r="CF183" s="221">
        <f>SnapshotTable[[#This Row],[LP Strike Price]] * SnapshotTable[[#This Row],[LP Qty]] * 100</f>
        <v>0</v>
      </c>
      <c r="CG183" s="31">
        <f>IF(ISNUMBER(SnapshotTable[[#This Row],[SP Premium]]), (SnapshotTable[[#This Row],[SP Qty]] * SnapshotTable[[#This Row],[SP Strike Price]]* 100) - SnapshotTable[[#This Row],[LP Protection]], 0)</f>
        <v>0</v>
      </c>
      <c r="CH183" s="7" t="str">
        <f>IF(ISNUMBER(SnapshotTable[[#This Row],[SP Break Even]]),-1 * (SnapshotTable[[#This Row],[SP Break Even]] - SnapshotTable[[#This Row],[Last Price]]) / SnapshotTable[[#This Row],[Last Price]], "")</f>
        <v/>
      </c>
      <c r="CI183" s="31">
        <f>IF(AND(ISNUMBER((SnapshotTable[[#This Row],[SP Potential Spend]])), SnapshotTable[[#This Row],[SP Strike Price]] &gt; SnapshotTable[[#This Row],[Last Price]], SnapshotTable[[#This Row],[SP Is Filled]]), SnapshotTable[[#This Row],[SP Potential Spend]] -  SnapshotTable[[#This Row],[LP Max Value]], 0)</f>
        <v>0</v>
      </c>
      <c r="CJ183" s="229"/>
      <c r="CK183" s="31">
        <f>IF(ISNUMBER(SnapshotTable[[#This Row],[SP Potential Spend]]),IF(ISNUMBER(SnapshotTable[[#This Row],[SP POW]]), SnapshotTable[[#This Row],[SP POW]] * SnapshotTable[[#This Row],[SP Potential Spend]], SnapshotTable[[#This Row],[SP Potential Spend]]), "")</f>
        <v>0</v>
      </c>
      <c r="CL183" s="162">
        <f>IF(NOT(SnapshotTable[[#This Row],[SP Is Filled]]),(SnapshotTable[[#This Row],[SP Qty]] * SnapshotTable[[#This Row],[SP Strike Price]] * 100) - SnapshotTable[[#This Row],[LP Max Value]],"")</f>
        <v>0</v>
      </c>
      <c r="CM183" s="31" t="str">
        <f>IF(SnapshotTable[[#This Row],[SP Actual Spend]]&lt;&gt;0, ((SnapshotTable[[#This Row],[SP Strike Price]]-SnapshotTable[[#This Row],[Last Price]]) *(SnapshotTable[[#This Row],[SP Qty]]*100) - SnapshotTable[[#This Row],[SP Premium]]) * - 1, "")</f>
        <v/>
      </c>
      <c r="CN183" s="76"/>
      <c r="CO183" s="339"/>
      <c r="CP183" s="4" t="str">
        <f>IF(SnapshotTable[[#This Row],[SP Is Filled]], btc_max_buyback_amount(SnapshotTable[[#This Row],[SP Fill Date]],SnapshotTable[[#This Row],[SP Exp Date]], SnapshotTable[[#This Row],[SP Book Price]]),"")</f>
        <v/>
      </c>
      <c r="CQ183" s="76"/>
      <c r="CR18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3" s="153" t="str">
        <f>IF(SnapshotTable[[#This Row],[SP Is Filled]], btc_next_cutoff_date(SnapshotTable[[#This Row],[SP Fill Date]],SnapshotTable[[#This Row],[SP Exp Date]]),"")</f>
        <v/>
      </c>
      <c r="CT183" s="220" t="str" cm="1">
        <f t="array" ref="CT183">IF(SnapshotTable[[#This Row],[SP Is Filled]], btc_should_buy_back(SnapshotTable[[#This Row],[SP Fill Date]], SnapshotTable[[#This Row],[SP Exp Date]], SnapshotTable[[#This Row],[SP Book Price]], SnapshotTable[[#This Row],[SP Current Ask]], MockToday, SnapshotTable[[#This Row],[SP Buyback Override]]),"")</f>
        <v/>
      </c>
      <c r="CU183" s="141"/>
      <c r="CV183" s="220"/>
      <c r="CW183" s="348" t="str">
        <f>IF(ISNUMBER( SnapshotTable[[#This Row],[SP Term]]), SnapshotTable[[#This Row],[SP Exp Date]] - MockToday,"")</f>
        <v/>
      </c>
      <c r="CX183" s="31" t="str">
        <f>IF(SnapshotTable[[#This Row],[SP Is Filled]],SnapshotTable[[#This Row],[SP Buyback Price to Use]] * 100 * SnapshotTable[[#This Row],[SP Qty]], "")</f>
        <v/>
      </c>
      <c r="CY183" s="4" t="str">
        <f>IF(ISNUMBER(SnapshotTable[[#This Row],[SP Strike Price]]), SnapshotTable[[#This Row],[SP Strike Price]] * (1 - SP_MaxLoss_StrikePct), "")</f>
        <v/>
      </c>
      <c r="CZ183" s="31" t="str">
        <f>IF(ISNUMBER(SnapshotTable[[#This Row],[SP Strike  Stop Per Share]]),SnapshotTable[[#This Row],[SP Premium]] - ((SnapshotTable[[#This Row],[SP Strike Price]]-SnapshotTable[[#This Row],[SP Strike  Stop Per Share]]) *(SnapshotTable[[#This Row],[SP Qty]] * 100)),"")</f>
        <v/>
      </c>
      <c r="DA183" s="4" t="str">
        <f>IF(AND(ISNUMBER(SnapshotTable[[#This Row],[SP Premium]]),SnapshotTable[[#This Row],[SP Premium]]&gt;0), SnapshotTable[[#This Row],[SP Book Price]] * (1 + SP_MaxLoss_OptionPct), "")</f>
        <v/>
      </c>
      <c r="DB183" s="31" t="str">
        <f>IF(ISNUMBER(SnapshotTable[[#This Row],[SP Option  Stop Contract]]),(SnapshotTable[[#This Row],[SP Option  Stop Contract]] *(SnapshotTable[[#This Row],[SP Qty]] * 100) - SnapshotTable[[#This Row],[SP Premium]]),"")</f>
        <v/>
      </c>
      <c r="DC183" s="4"/>
      <c r="DD183" s="4"/>
      <c r="DE183" s="4" t="str">
        <f>IF(AND(SnapshotTable[[#This Row],[SP Qty]]&gt;0, SnapshotTable[[#This Row],[SP Stop To Use]]&gt;0),SnapshotTable[[#This Row],[SP Premium]] - ( SnapshotTable[[#This Row],[SP Qty]] * SnapshotTable[[#This Row],[SP Stop To Use]] * 100), "")</f>
        <v/>
      </c>
      <c r="DF183" s="31" t="str">
        <f>IF(AND(SnapshotTable[[#This Row],[SP Qty]]&gt;0,SnapshotTable[[#This Row],[SP Current Ask]]&gt;0), SnapshotTable[[#This Row],[SP Qty]] * SnapshotTable[[#This Row],[SP Current Ask]] * -100, "")</f>
        <v/>
      </c>
      <c r="DG183" s="31" t="str">
        <f>IF(ISNUMBER((SnapshotTable[[#This Row],[SP Total Value]])), SnapshotTable[[#This Row],[SP Premium]] + SnapshotTable[[#This Row],[SP Total Value]], "")</f>
        <v/>
      </c>
      <c r="DH183" s="272" t="str">
        <f>IF(ISNUMBER((SnapshotTable[[#This Row],[SP Total Value]])), SnapshotTable[[#This Row],[SP Gain Loss]] / SnapshotTable[[#This Row],[SP Premium]], "")</f>
        <v/>
      </c>
      <c r="DI183" s="369"/>
      <c r="DJ183" s="136"/>
      <c r="DK183" s="146"/>
      <c r="DL183" s="13"/>
      <c r="DM183" s="13"/>
      <c r="DO183" s="31">
        <f>IF(SnapshotTable[[#This Row],[LC Symbol Count]]=1, SnapshotTable[[#This Row],[LC Qty]] * SnapshotTable[[#This Row],[LC Book Price]] * 100, 0)</f>
        <v>0</v>
      </c>
      <c r="DP183" s="161" t="str">
        <f>IF(AND(SnapshotTable[[#This Row],[LC Exp Date]]&gt;0, SnapshotTable[[#This Row],[LC Strike Price]]&gt;0,SnapshotTable[[#This Row],[LC Qty]]&gt;0,SnapshotTable[[#This Row],[LC Book Date]]&gt;0,SnapshotTable[[#This Row],[LC Book Price]]&gt;0,SnapshotTable[[#This Row],[LC Fill Date]]=0),"Y","")</f>
        <v/>
      </c>
      <c r="DQ183" s="356" t="str">
        <f>IF(SnapshotTable[[#This Row],[LC Premium]] &gt; 0,SnapshotTable[[#This Row],[LC Exp Date]]-MAX(SnapshotTable[[#This Row],[LC Book Date]], SnapshotTable[[#This Row],[LC Fill Date]]),"")</f>
        <v/>
      </c>
      <c r="DR183" s="356" t="str">
        <f>IF(ISNUMBER(SnapshotTable[[#This Row],[LC Term]]), SnapshotTable[[#This Row],[LC Exp Date]] - MockToday, "")</f>
        <v/>
      </c>
      <c r="DS183" s="219" t="str">
        <f>IF(SnapshotTable[[#This Row],[LC Premium]]&gt;0,SnapshotTable[[#This Row],[LC Strike Price]] + SnapshotTable[[#This Row],[LC Book Price]],"")</f>
        <v/>
      </c>
      <c r="DU183" s="9" t="str">
        <f>IF(AND(SnapshotTable[[#This Row],[LC Symbol Count]]&gt;0, SnapshotTable[[#This Row],[LC Contract Value]]&gt;0), SnapshotTable[[#This Row],[LC Contract Value]] * SnapshotTable[[#This Row],[LC Qty]] * 100, "")</f>
        <v/>
      </c>
      <c r="DV183" s="9" t="str">
        <f>IF(AND(ISNUMBER(SnapshotTable[[#This Row],[LC Total Value]]), SnapshotTable[[#This Row],[LC Not Filled]]&lt;&gt;"Y"), SnapshotTable[[#This Row],[LC Total Value]]-SnapshotTable[[#This Row],[LC Premium]],"")</f>
        <v/>
      </c>
      <c r="DW183" s="225" t="str">
        <f>IF(ISNUMBER(SnapshotTable[[#This Row],[LC Actual Gain Loss]]), SnapshotTable[[#This Row],[LC Actual Gain Loss]] / SnapshotTable[[#This Row],[LC Premium]],"")</f>
        <v/>
      </c>
      <c r="DX183" s="269" t="str">
        <f>IF(ISNUMBER(SnapshotTable[[#This Row],[LC Book Price]]),SnapshotTable[[#This Row],[LC Book Price]] * 1.5,"")</f>
        <v/>
      </c>
      <c r="DY183" s="250" t="str">
        <f>IF(SnapshotTable[[#This Row],[LC Premium]]&gt;0, SnapshotTable[[#This Row],[LC Next Target]] * SnapshotTable[[#This Row],[LC Qty]] * 100,"")</f>
        <v/>
      </c>
      <c r="DZ183" s="250" t="str">
        <f>IF(ISNUMBER(SnapshotTable[[#This Row],[LC Target Gross]]), SnapshotTable[[#This Row],[LC Target Gross]] - SnapshotTable[[#This Row],[LC Premium]], "")</f>
        <v/>
      </c>
      <c r="EA183" s="283" t="str">
        <f>IF(ISNUMBER(SnapshotTable[[#This Row],[LC Target Gain Loss]]), SnapshotTable[[#This Row],[LC Target Gain Loss]]/SnapshotTable[[#This Row],[LC Premium]], "")</f>
        <v/>
      </c>
      <c r="EB183" s="247"/>
      <c r="EC183" s="268" t="str">
        <f>IF(SnapshotTable[[#This Row],[LC Premium]]&gt;0, SnapshotTable[[#This Row],[LC Book Price]] * (1 - LC_StopLoss_Pct),"")</f>
        <v/>
      </c>
      <c r="ED183" s="269"/>
      <c r="EE183" s="268" t="str">
        <f>IF(ISNUMBER(SnapshotTable[[#This Row],[LC Contract Value]]),IF(ISNUMBER(SnapshotTable[[#This Row],[LC Stop Loss Override]]), SnapshotTable[[#This Row],[LC Stop Loss Override]],SnapshotTable[[#This Row],[LC Stop Loss Calc Target]]),"")</f>
        <v/>
      </c>
      <c r="EF183" s="31" t="str">
        <f>IF(ISNUMBER(SnapshotTable[[#This Row],[LC Stop  To Use]]), (SnapshotTable[[#This Row],[LC Stop  To Use]] * SnapshotTable[[#This Row],[LC Qty]] * 100),"")</f>
        <v/>
      </c>
      <c r="EG183" s="9" t="str">
        <f>IF(ISNUMBER(SnapshotTable[[#This Row],[LC Total Value]]),SnapshotTable[[#This Row],[LC Stop Loss Amount]] - SnapshotTable[[#This Row],[LC Premium]],"")</f>
        <v/>
      </c>
      <c r="EH183" s="9">
        <f>IF(ISNUMBER(SnapshotTable[[#This Row],[LC Premium]]), SnapshotTable[[#This Row],[LC Qty]] * 100 * SnapshotTable[[#This Row],[LC Strike Price]], "")</f>
        <v>0</v>
      </c>
      <c r="EI183" s="225" t="str">
        <f>IF(AND(ISNUMBER(SnapshotTable[[#This Row],[LC Total Value]]),SnapshotTable[[#This Row],[LC Total Value]]&gt;0),SnapshotTable[[#This Row],[LC Stop Gain Loss]]  / SnapshotTable[[#This Row],[LC Premium]],"")</f>
        <v/>
      </c>
      <c r="EJ183" s="35">
        <f>IF(ISNUMBER(SnapshotTable[[#This Row],[Equity Shares]]),TRUNC(SnapshotTable[[#This Row],[Equity Shares]] / 100),0) + SnapshotTable[[#This Row],[LC Qty]]</f>
        <v>0</v>
      </c>
      <c r="EK183" s="145"/>
      <c r="EL183" s="136"/>
      <c r="EM183" s="146"/>
      <c r="EN183" s="145"/>
      <c r="EO183" s="145"/>
      <c r="EP183" s="136"/>
      <c r="EQ183" s="382" t="b">
        <f>AND(ISNUMBER(SnapshotTable[[#This Row],[SC Exp Date]]), ISNUMBER(SnapshotTable[[#This Row],[SC Strike Price]]), ISNUMBER(SnapshotTable[[#This Row],[SC Qty]]), ISNUMBER(SnapshotTable[[#This Row],[SC Book Date]]), ISNUMBER(SnapshotTable[[#This Row],[SC Book Price]]))</f>
        <v>0</v>
      </c>
      <c r="ER183" s="382" t="b">
        <f>AND(SnapshotTable[[#This Row],[SC Is Booked]], NOT(ISBLANK(SnapshotTable[[#This Row],[SC Fill Date]])))</f>
        <v>0</v>
      </c>
      <c r="ES183" s="340"/>
      <c r="ET183" s="34" t="str">
        <f>IF(AND(ISNUMBER(SnapshotTable[[#This Row],[SC Exp Date]]), ISNUMBER(SnapshotTable[[#This Row],[SC Book Date]])), SnapshotTable[[#This Row],[SC Exp Date]] - MAX(SnapshotTable[[#This Row],[SC Book Date]], SnapshotTable[[#This Row],[SC Fill Date]]) + 1, "")</f>
        <v/>
      </c>
      <c r="EU183" s="34" t="str">
        <f>IF(ISNUMBER(SnapshotTable[[#This Row],[SC Term]]), SnapshotTable[[#This Row],[SC Exp Date]]- MockToday, "")</f>
        <v/>
      </c>
      <c r="EV183" s="31">
        <f>IF(SnapshotTable[[#This Row],[SC Is Booked]], SnapshotTable[[#This Row],[SC Qty]] * SnapshotTable[[#This Row],[SC Book Price]] * 100, 0)</f>
        <v>0</v>
      </c>
      <c r="EW183" s="4" t="str">
        <f>IF(AND(ISNUMBER(SnapshotTable[[#This Row],[Last Price]]), ISNUMBER( SnapshotTable[[#This Row],[SC Book Price]])), SnapshotTable[[#This Row],[Last Price]] - SnapshotTable[[#This Row],[SC Book Price]],"")</f>
        <v/>
      </c>
      <c r="EX183" s="219" t="str">
        <f>IF(SnapshotTable[[#This Row],[SC Is Booked]],IF(SnapshotTable[[#This Row],[SC Intrinsic Value]] &gt; 0, SnapshotTable[[#This Row],[SC Strike Price]], SnapshotTable[[#This Row],[Last Price]]), "")</f>
        <v/>
      </c>
      <c r="EY183" s="4">
        <f>IF(SnapshotTable[[#This Row],[SC Is Booked]], (MinimumPremiumRequired * SnapshotTable[[#This Row],[SC Basis]] * SnapshotTable[[#This Row],[SC Term]]), 0)</f>
        <v>0</v>
      </c>
      <c r="EZ183" s="268"/>
      <c r="FA183" s="204"/>
      <c r="FB183" s="340"/>
      <c r="FC183" s="4">
        <f>IF(SnapshotTable[[#This Row],[SC Is Filled]], btc_max_buyback_amount(SnapshotTable[[#This Row],[SC Fill Date]],SnapshotTable[[#This Row],[SC Exp Date]], SnapshotTable[[#This Row],[SC Book Price]]),0)</f>
        <v>0</v>
      </c>
      <c r="FD183" s="5"/>
      <c r="FE183" s="142" t="str">
        <f>IF(SnapshotTable[[#This Row],[SC Is Filled]], btc_next_cutoff_date(SnapshotTable[[#This Row],[SC Fill Date]],SnapshotTable[[#This Row],[SC Exp Date]]),"")</f>
        <v/>
      </c>
      <c r="FF183" s="4" t="str" cm="1">
        <f t="array" ref="FF183">IF(SnapshotTable[[#This Row],[SC Is Filled]], btc_should_buy_back(SnapshotTable[[#This Row],[SC Fill Date]], SnapshotTable[[#This Row],[SC Exp Date]], SnapshotTable[[#This Row],[SC Book Price]], SnapshotTable[[#This Row],[SC Current Ask]], MockToday, SnapshotTable[[#This Row],[SC Buyback Override]]),"")</f>
        <v/>
      </c>
      <c r="FG183" s="4">
        <f>IF(SnapshotTable[[#This Row],[SC Is Filled]], MAX(0,SnapshotTable[[#This Row],[Last Price]]  - SnapshotTable[[#This Row],[SC Strike Price]]), 0)</f>
        <v>0</v>
      </c>
      <c r="FH183" s="352">
        <f>IF(SnapshotTable[[#This Row],[SC Is Filled]], IF(ISNUMBER(SnapshotTable[[#This Row],[SC Current Ask]]), SnapshotTable[[#This Row],[SC Current Ask]], SnapshotTable[[#This Row],[SC Book Price]]) - SnapshotTable[[#This Row],[SC Intrinsic Value]], 0)</f>
        <v>0</v>
      </c>
      <c r="FI183" s="141"/>
      <c r="FJ183" s="32" t="str">
        <f>IF(SnapshotTable[[#This Row],[SC Is Filled]],100 * SnapshotTable[[#This Row],[SC Qty]] * IF(ISNUMBER(SnapshotTable[[#This Row],[SC Buyback Override]]), SnapshotTable[[#This Row],[SC Buyback Override]], SnapshotTable[[#This Row],[SC Current Ask]]), "")</f>
        <v/>
      </c>
      <c r="FK183" s="235" t="str">
        <f>IF(SnapshotTable[[#This Row],[SC Time Val]]&gt;0, SnapshotTable[[#This Row],[SC Time Val]] / SnapshotTable[[#This Row],[Last Price]],"")</f>
        <v/>
      </c>
      <c r="FL183" s="280" t="str">
        <f>IF(SnapshotTable[[#This Row],[SC Is Booked]], ((SnapshotTable[[#This Row],[Last Price]] -SnapshotTable[[#This Row],[SC Strike Price]]) / SnapshotTable[[#This Row],[Last Price]]) * -1, "")</f>
        <v/>
      </c>
      <c r="FM183" s="155" t="str">
        <f>IF(SnapshotTable[[#This Row],[SC Is Booked]],  (SnapshotTable[[#This Row],[SC Qty]] * 100 * SnapshotTable[[#This Row],[SC Strike Price]]) - SnapshotTable[[#This Row],[SC Current Ask]], "")</f>
        <v/>
      </c>
      <c r="FN18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3" s="31" t="str">
        <f>IF(AND(ISNUMBER(SnapshotTable[[#This Row],[SC Exercise Gross]]), ISNUMBER(SnapshotTable[[#This Row],[Equity Basis Per Share]] )), SnapshotTable[[#This Row],[SC Exercise Gross]] - SnapshotTable[[#This Row],[Equity Basis Total]] +  SnapshotTable[[#This Row],[SC Premium]], "")</f>
        <v/>
      </c>
      <c r="FP183" s="5" t="str">
        <f>IF(ISNUMBER(SnapshotTable[[#This Row],[SC Exercise Gross]]), (SnapshotTable[[#This Row],[SC Exercise Gross]]) / (SnapshotTable[[#This Row],[SC Qty]] * 100), "")</f>
        <v/>
      </c>
      <c r="FQ183" s="27" t="str">
        <f>IF(SnapshotTable[[#This Row],[SC Is Booked]],SnapshotTable[[#This Row],[SC Time Val]] /SnapshotTable[[#This Row],[SC Basis]], "")</f>
        <v/>
      </c>
      <c r="FR183" s="27" t="str" cm="1">
        <f t="array" ref="FR183">IF(AND(ISNUMBER(SnapshotTable[[#This Row],[SC Term]]),ISNUMBER(SnapshotTable[[#This Row],[SC Simple ROO]])), EllmanAnnualize(SnapshotTable[[#This Row],[SC DTE]], SnapshotTable[[#This Row],[SC Simple ROO]] ),"")</f>
        <v/>
      </c>
      <c r="FS183" s="4">
        <f>IF(SnapshotTable[[#This Row],[SC Strike Price]] &gt; SnapshotTable[[#This Row],[Last Price]], SnapshotTable[[#This Row],[SC Strike Price]] - SnapshotTable[[#This Row],[Last Price]],0)</f>
        <v>0</v>
      </c>
      <c r="FT183" s="27" t="str">
        <f>IF(AND(ISNUMBER(SnapshotTable[[#This Row],[SC Upside Potential]]), SnapshotTable[[#This Row],[SC Upside Potential]] &gt; 0),(SnapshotTable[[#This Row],[SC Upside Potential]]/ SnapshotTable[[#This Row],[ACB]]),"")</f>
        <v/>
      </c>
      <c r="FU183" s="304" t="str">
        <f>IF(SnapshotTable[[#This Row],[SC Intrinsic Value]] &gt; 0,SnapshotTable[[#This Row],[SC Intrinsic Value]],"")</f>
        <v/>
      </c>
      <c r="FV183" s="27" t="str">
        <f>IF(AND( ISNUMBER( SnapshotTable[[#This Row],[ACB]]),ISNUMBER(SnapshotTable[[#This Row],[SC Downside Protect]])),SnapshotTable[[#This Row],[SC Downside Protect]] / SnapshotTable[[#This Row],[ACB]],"")</f>
        <v/>
      </c>
      <c r="FW183" s="221" t="str">
        <f>IF(AND(ISNUMBER(SnapshotTable[[#This Row],[SC Simple ROO]]),SnapshotTable[[#This Row],[SC Simple ROO]] &gt; 0), SnapshotTable[[#This Row],[SC Premium]] + (SnapshotTable[[#This Row],[SC Qty]] * SnapshotTable[[#This Row],[SC Upside Potential]]), "")</f>
        <v/>
      </c>
      <c r="FX183" s="280" t="str" cm="1">
        <f t="array" ref="FX183">IF(ISNUMBER(SnapshotTable[[#This Row],[SC Max Dollars]]), annualize(SnapshotTable[[#This Row],[SC Term]],(SnapshotTable[[#This Row],[SC Max Dollars]]/SnapshotTable[[#This Row],[SC Basis]])),"")</f>
        <v/>
      </c>
      <c r="FY183" s="221" t="str">
        <f>IF(AND(SnapshotTable[[#This Row],[SC Qty]]&gt;0,SnapshotTable[[#This Row],[SC Current Ask]]&gt;0), SnapshotTable[[#This Row],[SC Qty]] * SnapshotTable[[#This Row],[SC Current Ask]] * -100, "")</f>
        <v/>
      </c>
      <c r="FZ183" s="31" t="str">
        <f>IF(ISNUMBER((SnapshotTable[[#This Row],[SC Current Value]])), SnapshotTable[[#This Row],[SC Premium]] + SnapshotTable[[#This Row],[SC Current Value]], "")</f>
        <v/>
      </c>
      <c r="GA183" s="272" t="str">
        <f>IFERROR( IF(ISNUMBER((SnapshotTable[[#This Row],[SC Current Value]])), SnapshotTable[[#This Row],[SC Gain Loss]] / SnapshotTable[[#This Row],[SC Premium]], ""), "")</f>
        <v/>
      </c>
      <c r="GB183" s="42">
        <f>SnapshotTable[[#This Row],[Equity Shares]] * SaleSharesToConsiderPercentage</f>
        <v>0</v>
      </c>
      <c r="GC183" s="40">
        <f>SnapshotTable[[#This Row],[Long Term Target]] * SellingPriceToConsiderBasedOnTargetPercentage</f>
        <v>75.563000000000002</v>
      </c>
      <c r="GD183" s="40">
        <f>SnapshotTable[[#This Row],[Last Price]] * (1+ SellingPriceToConsiderBasedOnTargetPercentage)</f>
        <v>174.33</v>
      </c>
      <c r="GE183" s="41"/>
      <c r="GF183" s="40"/>
      <c r="GG183" s="31">
        <f>SnapshotTable[[#This Row],[Booked Sale Shares]] * SnapshotTable[[#This Row],[Booked Sale Price]]</f>
        <v>0</v>
      </c>
      <c r="GH183" s="31" t="str">
        <f>IF(SnapshotTable[[#This Row],[Equity Basis Total]] &gt; 0, SnapshotTable[[#This Row],[Equity Basis Per Share]] * SnapshotTable[[#This Row],[Booked Sale Shares]], "")</f>
        <v/>
      </c>
      <c r="GI183" s="31">
        <f>IF(SnapshotTable[[#This Row],[Sale Proceeds]]&gt;0, SnapshotTable[[#This Row],[Sale Proceeds]] - SnapshotTable[[#This Row],[Sale Basis]], 0)</f>
        <v>0</v>
      </c>
      <c r="GJ183" s="27" t="str">
        <f>IF(SnapshotTable[[#This Row],[Sale G/L]]&gt;0, SnapshotTable[[#This Row],[Sale G/L]] / SnapshotTable[[#This Row],[Sale Basis]], IF(ISNUMBER(SnapshotTable[[#This Row],[SC Exercise P&amp;L (TAX)]]), SnapshotTable[[#This Row],[SC Exercise P&amp;L (TAX)]] / SnapshotTable[[#This Row],[SC Basis]], ""))</f>
        <v/>
      </c>
      <c r="GK183" s="27" t="s">
        <v>590</v>
      </c>
      <c r="GL183" s="43" t="str">
        <f>IF(AND(SnapshotTable[[#This Row],[LP Exp Date]]&gt;0,SnapshotTable[[#This Row],[LP Strike Price]]&gt;0), [1]!ToOptionSymbol(SnapshotTable[[#This Row],[Symbol]], SnapshotTable[[#This Row],[LP Strike Price]],SnapshotTable[[#This Row],[LP Exp Date]],1), "")</f>
        <v/>
      </c>
      <c r="GM183" s="30" t="str">
        <f>IF(LEN(SnapshotTable[[#This Row],[LP Symbol]])&gt;0, 1, "")</f>
        <v/>
      </c>
      <c r="GN183" s="43" t="str">
        <f>IF(AND(SnapshotTable[[#This Row],[SP Exp Date]]&gt;0,SnapshotTable[[#This Row],[SP Strike Price]]&gt;0), [1]!ToOptionSymbol(SnapshotTable[[#This Row],[Symbol]], SnapshotTable[[#This Row],[SP Strike Price]],SnapshotTable[[#This Row],[SP Exp Date]],1), "")</f>
        <v/>
      </c>
      <c r="GO183" s="30" t="str">
        <f>IF(LEN(SnapshotTable[[#This Row],[SP Symbol]])&gt;0, 1, "")</f>
        <v/>
      </c>
      <c r="GP183" s="43" t="str">
        <f>IF(AND(SnapshotTable[[#This Row],[LC Exp Date]]&gt;0,SnapshotTable[[#This Row],[LC Strike Price]]&gt;0), [1]!ToOptionSymbol(SnapshotTable[[#This Row],[Symbol]], SnapshotTable[[#This Row],[LC Strike Price]],SnapshotTable[[#This Row],[LC Exp Date]],0), "")</f>
        <v/>
      </c>
      <c r="GQ183" s="30" t="str">
        <f>IF(LEN(SnapshotTable[[#This Row],[LC Symbol]])&gt;0, 1, "")</f>
        <v/>
      </c>
      <c r="GR183" s="43" t="str">
        <f>IF(AND(SnapshotTable[[#This Row],[SC Exp Date]]&gt;0,SnapshotTable[[#This Row],[SC Strike Price]]&gt;0), [1]!ToOptionSymbol(SnapshotTable[[#This Row],[Symbol]], SnapshotTable[[#This Row],[SC Strike Price]],SnapshotTable[[#This Row],[SC Exp Date]],0), "")</f>
        <v/>
      </c>
      <c r="GS183" s="30" t="str">
        <f>IF(LEN(SnapshotTable[[#This Row],[SC Symbol]])&gt;0, 1, "")</f>
        <v/>
      </c>
      <c r="GT183" s="29" t="str">
        <f>IF(COUNT(SnapshotTable[[#This Row],[LP Symbol Count]],SnapshotTable[[#This Row],[SP Symbol Count]],SnapshotTable[[#This Row],[LC Symbol Count]],SnapshotTable[[#This Row],[SC Symbol Count]])&gt;0, "Y", "")</f>
        <v/>
      </c>
      <c r="GU18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3" s="216">
        <f>MAX(SnapshotTable[[#This Row],[Equity Basis Total]],SnapshotTable[[#This Row],[Equity Value]]) + (SnapshotTable[[#This Row],[SP Potential Spend]]- SnapshotTable[[#This Row],[SP Premium]] + SnapshotTable[[#This Row],[LP Premium]])+ (SnapshotTable[[#This Row],[LC Premium]] - SnapshotTable[[#This Row],[SC Premium]])</f>
        <v>0</v>
      </c>
      <c r="GW183" s="137" t="str">
        <f>IF(AND(SnapshotTable[[#This Row],[Exposure]] &lt;&gt; 0),SnapshotTable[[#This Row],[Exposure]] / SnapshotTable[[#Totals],[Exposure]], "")</f>
        <v/>
      </c>
      <c r="HE183" s="253"/>
      <c r="HF183" s="253"/>
      <c r="HK183" s="1"/>
      <c r="HL183" s="1"/>
      <c r="HM183" s="1"/>
      <c r="HN183" s="1"/>
      <c r="HO183" s="1"/>
      <c r="HP183" s="1"/>
    </row>
    <row r="184" spans="2:224" ht="12.75" hidden="1" customHeight="1" x14ac:dyDescent="0.25">
      <c r="B184" s="12" t="s">
        <v>923</v>
      </c>
      <c r="C184" s="385">
        <v>76.680000000000007</v>
      </c>
      <c r="D184" s="200"/>
      <c r="E184" s="39">
        <f>SnapshotTable[[#This Row],[Last Price]]*(1 -CrashDiscount)</f>
        <v>65.177999999999997</v>
      </c>
      <c r="F184" s="26" t="s">
        <v>5</v>
      </c>
      <c r="G184" s="26" t="s">
        <v>4</v>
      </c>
      <c r="H184" s="147"/>
      <c r="I184" s="186"/>
      <c r="J184" s="187"/>
      <c r="K184" s="188"/>
      <c r="L184" s="297"/>
      <c r="M184" s="138"/>
      <c r="N184" s="138"/>
      <c r="O184" s="138"/>
      <c r="P184" s="22"/>
      <c r="Q184" s="25"/>
      <c r="R184" s="4" t="str">
        <f>IF(SnapshotTable[[#This Row],[Equity Basis Total]] &gt; 0, SnapshotTable[[#This Row],[Equity Basis Total]] / SnapshotTable[[#This Row],[Equity Shares]], "")</f>
        <v/>
      </c>
      <c r="S184" s="254">
        <f>SnapshotTable[[#This Row],[Last Price]] * SnapshotTable[[#This Row],[Equity Shares]]</f>
        <v>0</v>
      </c>
      <c r="T184" s="254">
        <f>SnapshotTable[[#This Row],[Equity Value]] - SnapshotTable[[#This Row],[Equity Basis Total]]</f>
        <v>0</v>
      </c>
      <c r="U184" s="255" t="str">
        <f>IF(SnapshotTable[[#This Row],[Equity Basis Total]] &gt; 0, SnapshotTable[[#This Row],[Equity G/L]] / SnapshotTable[[#This Row],[Equity Basis Total]], "")</f>
        <v/>
      </c>
      <c r="V184" s="253"/>
      <c r="W184" s="253"/>
      <c r="X184" s="4" t="str">
        <f>IF(AND(ISNUMBER(SnapshotTable[[#This Row],[Equity Basis Per Share]]),ISNUMBER(SnapshotTable[[#This Row],[Equity Target]])),SnapshotTable[[#This Row],[Equity Target]]-SnapshotTable[[#This Row],[Equity Basis Per Share]],"")</f>
        <v/>
      </c>
      <c r="Y184" s="4" t="str">
        <f>IF(AND(ISNUMBER(SnapshotTable[[#This Row],[Equity Basis Per Share]]),ISNUMBER(SnapshotTable[[#This Row],[Equity Stop Loss]])),SnapshotTable[[#This Row],[Equity Stop Loss]]-SnapshotTable[[#This Row],[Equity Basis Per Share]],"")</f>
        <v/>
      </c>
      <c r="Z184" s="260" t="str">
        <f>IFERROR( TEXT(SnapshotTable[[#This Row],[Equity Max Gain Per Share]] /ABS( SnapshotTable[[#This Row],[Equity Max Loss Per Share]]),"0.0 " ) &amp; " : 1", "")</f>
        <v/>
      </c>
      <c r="AA184" s="31" t="str">
        <f>IF(ISNUMBER(SnapshotTable[[#This Row],[Equity Max Gain Per Share]]),SnapshotTable[[#This Row],[Equity Max Gain Per Share]] * SnapshotTable[[#This Row],[Equity Shares]],"")</f>
        <v/>
      </c>
      <c r="AB184" s="31" t="str">
        <f>IF(ISNUMBER(SnapshotTable[[#This Row],[Equity Max Loss Per Share]]),SnapshotTable[[#This Row],[Equity Max Loss Per Share]] * SnapshotTable[[#This Row],[Equity Shares]],"")</f>
        <v/>
      </c>
      <c r="AC184" s="148"/>
      <c r="AD184" s="149"/>
      <c r="AE184" s="31">
        <f>(SnapshotTable[[#This Row],[Annual Dividend Per Share]] / 4) * SnapshotTable[[#This Row],[Equity Shares]]</f>
        <v>0</v>
      </c>
      <c r="AF184" s="31">
        <f>SnapshotTable[[#This Row],[Quarterly Div $]] * 4</f>
        <v>0</v>
      </c>
      <c r="AG184" s="7">
        <f>IF(SnapshotTable[[#This Row],[Annual Dividend Per Share]]&gt;0, SnapshotTable[[#This Row],[Annual Dividend Per Share]]  / SnapshotTable[[#This Row],[Last Price]], 0)</f>
        <v>0</v>
      </c>
      <c r="AH184" s="149"/>
      <c r="AI184" s="5"/>
      <c r="AJ184" s="136"/>
      <c r="AK184" s="150" t="str">
        <f>IF(ISNUMBER( SnapshotTable[[#This Row],[EBF Target]]),(SnapshotTable[[#This Row],[EBF Target]] - SnapshotTable[[#This Row],[Last Price]]) / SnapshotTable[[#This Row],[Last Price]], "")</f>
        <v/>
      </c>
      <c r="AL184" s="150" t="str">
        <f>IF(AND(SnapshotTable[[#This Row],[Equity Basis Total]] &gt; 0,ISNUMBER( SnapshotTable[[#This Row],[Long Term Target]])), SnapshotTable[[#This Row],[From Basis $]] / SnapshotTable[[#This Row],[Equity Basis Total]], "")</f>
        <v/>
      </c>
      <c r="AM184" s="9">
        <f>IF( AND(SnapshotTable[[#This Row],[Equity Shares]] &gt;0,ISNUMBER( SnapshotTable[[#This Row],[Long Term Target]])),(SnapshotTable[[#This Row],[Equity Shares]] * SnapshotTable[[#This Row],[Long Term Target]]) - SnapshotTable[[#This Row],[Equity Basis Total]],0)</f>
        <v>0</v>
      </c>
      <c r="AN184" s="9">
        <f>IF( AND(SnapshotTable[[#This Row],[Equity Shares]] &gt;0,ISNUMBER( SnapshotTable[[#This Row],[Long Term Target]])),(SnapshotTable[[#This Row],[Equity Shares]]*SnapshotTable[[#This Row],[Long Term Target]]) - SnapshotTable[[#This Row],[Equity Value]],0)</f>
        <v>0</v>
      </c>
      <c r="AO184" s="150" t="str">
        <f>IF(AND(ISNUMBER( SnapshotTable[[#This Row],[Long Term Target]]), ISNUMBER(SnapshotTable[[#This Row],[Last Price]])),(SnapshotTable[[#This Row],[Long Term Target]] - SnapshotTable[[#This Row],[Last Price]]) / SnapshotTable[[#This Row],[Last Price]], "")</f>
        <v/>
      </c>
      <c r="AP184" s="5">
        <v>37</v>
      </c>
      <c r="AQ184" s="38" t="s">
        <v>29</v>
      </c>
      <c r="AR184" s="5">
        <v>37</v>
      </c>
      <c r="AS184" s="38" t="s">
        <v>28</v>
      </c>
      <c r="AT184" s="144" t="s">
        <v>466</v>
      </c>
      <c r="AU184" s="185" t="str">
        <f>IF(OR(SnapshotTable[[#This Row],[LP No Fill]]="Y",SnapshotTable[[#This Row],[SP Is Filled]],SnapshotTable[[#This Row],[LC Not Filled]]="Y",SnapshotTable[[#This Row],[SC Is Filled]]),"Y","")</f>
        <v/>
      </c>
      <c r="AV184" s="205"/>
      <c r="AW184" s="211"/>
      <c r="AX184" s="206"/>
      <c r="AY184" s="205" t="str">
        <f>IF(SnapshotTable[[#This Row],[Implied Move]]&gt;0, SnapshotTable[[#This Row],[Last Price]]-SnapshotTable[[#This Row],[Implied Move]],"")</f>
        <v/>
      </c>
      <c r="AZ184" s="205" t="str">
        <f>IF(SnapshotTable[[#This Row],[Implied Move]]&gt;0, SnapshotTable[[#This Row],[Last Price]] + SnapshotTable[[#This Row],[Implied Move]],"")</f>
        <v/>
      </c>
      <c r="BA184" s="302">
        <v>61.48</v>
      </c>
      <c r="BB184" s="318"/>
      <c r="BC18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4" s="321"/>
      <c r="BE184" s="5"/>
      <c r="BF184" s="14"/>
      <c r="BG184" s="13"/>
      <c r="BH184" s="13"/>
      <c r="BI184" s="5"/>
      <c r="BJ184" s="134">
        <f>IF(SnapshotTable[[#This Row],[LP Qty]] &gt; 0, SnapshotTable[[#This Row],[LP Qty]] * SnapshotTable[[#This Row],[LP Book Price]] * 100,0)</f>
        <v>0</v>
      </c>
      <c r="BK184" s="134">
        <f>IF(SnapshotTable[[#This Row],[LP Premium]] &gt; 0, SnapshotTable[[#This Row],[LP Qty]] * SnapshotTable[[#This Row],[LP Strike Price]] * 100,0)</f>
        <v>0</v>
      </c>
      <c r="BL184" s="152"/>
      <c r="BM184" s="355" t="str">
        <f>IF(SnapshotTable[[#This Row],[LP Premium]] &gt; 0,SnapshotTable[[#This Row],[LP Exp Date]]-MAX(SnapshotTable[[#This Row],[LP Book Date]], SnapshotTable[[#This Row],[LP Fill Date]]),"")</f>
        <v/>
      </c>
      <c r="BN184" s="355" t="str">
        <f>IF(ISNUMBER( SnapshotTable[[#This Row],[LP Term]]), SnapshotTable[[#This Row],[LP Exp Date]] - MockToday,"")</f>
        <v/>
      </c>
      <c r="BO184" s="161" t="str">
        <f>IF(AND(SnapshotTable[[#This Row],[LP Exp Date]]&gt;0, SnapshotTable[[#This Row],[LP Strike Price]]&gt;0,SnapshotTable[[#This Row],[LP Qty]]&gt;0,SnapshotTable[[#This Row],[LP Book Date]]&gt;0,SnapshotTable[[#This Row],[LP Book Price]]&gt;0,SnapshotTable[[#This Row],[LP Fill Date]]=0),"Y","")</f>
        <v/>
      </c>
      <c r="BP184" s="31" t="str">
        <f>IF(AND(SnapshotTable[[#This Row],[LP No Fill]]&lt;&gt;"Y",SnapshotTable[[#This Row],[LP Contract Value]]&gt;0, SnapshotTable[[#This Row],[LP Qty]]&gt;0), SnapshotTable[[#This Row],[LP Contract Value]]*SnapshotTable[[#This Row],[LP Qty]]*100,"")</f>
        <v/>
      </c>
      <c r="BQ184" s="13"/>
      <c r="BR184" s="5"/>
      <c r="BS184" s="36"/>
      <c r="BT184" s="145"/>
      <c r="BU184" s="13"/>
      <c r="BV184" s="5"/>
      <c r="BW184" s="382" t="b">
        <f>AND(ISNUMBER(SnapshotTable[[#This Row],[SP Exp Date]]), ISNUMBER(SnapshotTable[[#This Row],[SP Strike Price]]), ISNUMBER(SnapshotTable[[#This Row],[SP Qty]]), ISNUMBER(SnapshotTable[[#This Row],[SP Book Date]]), ISNUMBER(SnapshotTable[[#This Row],[SP Book Price]]))</f>
        <v>0</v>
      </c>
      <c r="BX184" s="382" t="b">
        <f>AND(SnapshotTable[[#This Row],[SP Is Booked]], NOT(ISBLANK(SnapshotTable[[#This Row],[SP Fill Date]])))</f>
        <v>0</v>
      </c>
      <c r="BY184" s="33">
        <f>IF(SnapshotTable[[#This Row],[SP Is Booked]], SnapshotTable[[#This Row],[SP Qty]] * SnapshotTable[[#This Row],[SP Book Price]] * 100, 0)</f>
        <v>0</v>
      </c>
      <c r="BZ184" s="339"/>
      <c r="CA184" s="338">
        <f>SnapshotTable[[#This Row],[LP Qty]]</f>
        <v>0</v>
      </c>
      <c r="CB184" s="4" t="str">
        <f>IF(SnapshotTable[[#This Row],[SP Is Booked]], SnapshotTable[[#This Row],[SP Strike Price]] - SnapshotTable[[#This Row],[SP Book Price]], "")</f>
        <v/>
      </c>
      <c r="CC184" s="19" t="str">
        <f>IF(SnapshotTable[[#This Row],[SP Is Booked]],SnapshotTable[[#This Row],[SP Exp Date]]-MAX(SnapshotTable[[#This Row],[SP Book Date]], SnapshotTable[[#This Row],[SP Fill Date]]),"")</f>
        <v/>
      </c>
      <c r="CD184" s="7" t="str">
        <f>IF(SnapshotTable[[#This Row],[SP Is Booked]], SnapshotTable[[#This Row],[SP Book Price]]/SnapshotTable[[#This Row],[SP Strike Price]], "")</f>
        <v/>
      </c>
      <c r="CE184" s="7" t="str">
        <f>IF(ISNUMBER(SnapshotTable[[#This Row],[SP ROO Term]]),SnapshotTable[[#This Row],[SP ROO Term]]*(365/SnapshotTable[[#This Row],[SP Term]]),"")</f>
        <v/>
      </c>
      <c r="CF184" s="221">
        <f>SnapshotTable[[#This Row],[LP Strike Price]] * SnapshotTable[[#This Row],[LP Qty]] * 100</f>
        <v>0</v>
      </c>
      <c r="CG184" s="31">
        <f>IF(ISNUMBER(SnapshotTable[[#This Row],[SP Premium]]), (SnapshotTable[[#This Row],[SP Qty]] * SnapshotTable[[#This Row],[SP Strike Price]]* 100) - SnapshotTable[[#This Row],[LP Protection]], 0)</f>
        <v>0</v>
      </c>
      <c r="CH184" s="7" t="str">
        <f>IF(ISNUMBER(SnapshotTable[[#This Row],[SP Break Even]]),-1 * (SnapshotTable[[#This Row],[SP Break Even]] - SnapshotTable[[#This Row],[Last Price]]) / SnapshotTable[[#This Row],[Last Price]], "")</f>
        <v/>
      </c>
      <c r="CI184" s="31">
        <f>IF(AND(ISNUMBER((SnapshotTable[[#This Row],[SP Potential Spend]])), SnapshotTable[[#This Row],[SP Strike Price]] &gt; SnapshotTable[[#This Row],[Last Price]], SnapshotTable[[#This Row],[SP Is Filled]]), SnapshotTable[[#This Row],[SP Potential Spend]] -  SnapshotTable[[#This Row],[LP Max Value]], 0)</f>
        <v>0</v>
      </c>
      <c r="CJ184" s="229"/>
      <c r="CK184" s="31">
        <f>IF(ISNUMBER(SnapshotTable[[#This Row],[SP Potential Spend]]),IF(ISNUMBER(SnapshotTable[[#This Row],[SP POW]]), SnapshotTable[[#This Row],[SP POW]] * SnapshotTable[[#This Row],[SP Potential Spend]], SnapshotTable[[#This Row],[SP Potential Spend]]), "")</f>
        <v>0</v>
      </c>
      <c r="CL184" s="162">
        <f>IF(NOT(SnapshotTable[[#This Row],[SP Is Filled]]),(SnapshotTable[[#This Row],[SP Qty]] * SnapshotTable[[#This Row],[SP Strike Price]] * 100) - SnapshotTable[[#This Row],[LP Max Value]],"")</f>
        <v>0</v>
      </c>
      <c r="CM184" s="31" t="str">
        <f>IF(SnapshotTable[[#This Row],[SP Actual Spend]]&lt;&gt;0, ((SnapshotTable[[#This Row],[SP Strike Price]]-SnapshotTable[[#This Row],[Last Price]]) *(SnapshotTable[[#This Row],[SP Qty]]*100) - SnapshotTable[[#This Row],[SP Premium]]) * - 1, "")</f>
        <v/>
      </c>
      <c r="CN184" s="204"/>
      <c r="CO184" s="339"/>
      <c r="CP184" s="4" t="str">
        <f>IF(SnapshotTable[[#This Row],[SP Is Filled]], btc_max_buyback_amount(SnapshotTable[[#This Row],[SP Fill Date]],SnapshotTable[[#This Row],[SP Exp Date]], SnapshotTable[[#This Row],[SP Book Price]]),"")</f>
        <v/>
      </c>
      <c r="CQ184" s="76"/>
      <c r="CR18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4" s="153" t="str">
        <f>IF(SnapshotTable[[#This Row],[SP Is Filled]], btc_next_cutoff_date(SnapshotTable[[#This Row],[SP Fill Date]],SnapshotTable[[#This Row],[SP Exp Date]]),"")</f>
        <v/>
      </c>
      <c r="CT184" s="220" t="str" cm="1">
        <f t="array" ref="CT184">IF(SnapshotTable[[#This Row],[SP Is Filled]], btc_should_buy_back(SnapshotTable[[#This Row],[SP Fill Date]], SnapshotTable[[#This Row],[SP Exp Date]], SnapshotTable[[#This Row],[SP Book Price]], SnapshotTable[[#This Row],[SP Current Ask]], MockToday, SnapshotTable[[#This Row],[SP Buyback Override]]),"")</f>
        <v/>
      </c>
      <c r="CU184" s="154"/>
      <c r="CV184" s="220"/>
      <c r="CW184" s="348" t="str">
        <f>IF(ISNUMBER( SnapshotTable[[#This Row],[SP Term]]), SnapshotTable[[#This Row],[SP Exp Date]] - MockToday,"")</f>
        <v/>
      </c>
      <c r="CX184" s="31" t="str">
        <f>IF(SnapshotTable[[#This Row],[SP Is Filled]],SnapshotTable[[#This Row],[SP Buyback Price to Use]] * 100 * SnapshotTable[[#This Row],[SP Qty]], "")</f>
        <v/>
      </c>
      <c r="CY184" s="4" t="str">
        <f>IF(ISNUMBER(SnapshotTable[[#This Row],[SP Strike Price]]), SnapshotTable[[#This Row],[SP Strike Price]] * (1 - SP_MaxLoss_StrikePct), "")</f>
        <v/>
      </c>
      <c r="CZ184" s="31" t="str">
        <f>IF(ISNUMBER(SnapshotTable[[#This Row],[SP Strike  Stop Per Share]]),SnapshotTable[[#This Row],[SP Premium]] - ((SnapshotTable[[#This Row],[SP Strike Price]]-SnapshotTable[[#This Row],[SP Strike  Stop Per Share]]) *(SnapshotTable[[#This Row],[SP Qty]] * 100)),"")</f>
        <v/>
      </c>
      <c r="DA184" s="4" t="str">
        <f>IF(AND(ISNUMBER(SnapshotTable[[#This Row],[SP Premium]]),SnapshotTable[[#This Row],[SP Premium]]&gt;0), SnapshotTable[[#This Row],[SP Book Price]] * (1 + SP_MaxLoss_OptionPct), "")</f>
        <v/>
      </c>
      <c r="DB184" s="31" t="str">
        <f>IF(ISNUMBER(SnapshotTable[[#This Row],[SP Option  Stop Contract]]),(SnapshotTable[[#This Row],[SP Option  Stop Contract]] *(SnapshotTable[[#This Row],[SP Qty]] * 100) - SnapshotTable[[#This Row],[SP Premium]]),"")</f>
        <v/>
      </c>
      <c r="DC184" s="4"/>
      <c r="DD184" s="4"/>
      <c r="DE184" s="4" t="str">
        <f>IF(AND(SnapshotTable[[#This Row],[SP Qty]]&gt;0, SnapshotTable[[#This Row],[SP Stop To Use]]&gt;0),SnapshotTable[[#This Row],[SP Premium]] - ( SnapshotTable[[#This Row],[SP Qty]] * SnapshotTable[[#This Row],[SP Stop To Use]] * 100), "")</f>
        <v/>
      </c>
      <c r="DF184" s="31" t="str">
        <f>IF(AND(SnapshotTable[[#This Row],[SP Qty]]&gt;0,SnapshotTable[[#This Row],[SP Current Ask]]&gt;0), SnapshotTable[[#This Row],[SP Qty]] * SnapshotTable[[#This Row],[SP Current Ask]] * -100, "")</f>
        <v/>
      </c>
      <c r="DG184" s="31" t="str">
        <f>IF(ISNUMBER((SnapshotTable[[#This Row],[SP Total Value]])), SnapshotTable[[#This Row],[SP Premium]] + SnapshotTable[[#This Row],[SP Total Value]], "")</f>
        <v/>
      </c>
      <c r="DH184" s="272" t="str">
        <f>IF(ISNUMBER((SnapshotTable[[#This Row],[SP Total Value]])), SnapshotTable[[#This Row],[SP Gain Loss]] / SnapshotTable[[#This Row],[SP Premium]], "")</f>
        <v/>
      </c>
      <c r="DI184" s="369"/>
      <c r="DJ184" s="136"/>
      <c r="DK184" s="146"/>
      <c r="DL184" s="13"/>
      <c r="DM184" s="13"/>
      <c r="DO184" s="31">
        <f>IF(SnapshotTable[[#This Row],[LC Symbol Count]]=1, SnapshotTable[[#This Row],[LC Qty]] * SnapshotTable[[#This Row],[LC Book Price]] * 100, 0)</f>
        <v>0</v>
      </c>
      <c r="DP184" s="161" t="str">
        <f>IF(AND(SnapshotTable[[#This Row],[LC Exp Date]]&gt;0, SnapshotTable[[#This Row],[LC Strike Price]]&gt;0,SnapshotTable[[#This Row],[LC Qty]]&gt;0,SnapshotTable[[#This Row],[LC Book Date]]&gt;0,SnapshotTable[[#This Row],[LC Book Price]]&gt;0,SnapshotTable[[#This Row],[LC Fill Date]]=0),"Y","")</f>
        <v/>
      </c>
      <c r="DQ184" s="356" t="str">
        <f>IF(SnapshotTable[[#This Row],[LC Premium]] &gt; 0,SnapshotTable[[#This Row],[LC Exp Date]]-MAX(SnapshotTable[[#This Row],[LC Book Date]], SnapshotTable[[#This Row],[LC Fill Date]]),"")</f>
        <v/>
      </c>
      <c r="DR184" s="356" t="str">
        <f>IF(ISNUMBER(SnapshotTable[[#This Row],[LC Term]]), SnapshotTable[[#This Row],[LC Exp Date]] - MockToday, "")</f>
        <v/>
      </c>
      <c r="DS184" s="219" t="str">
        <f>IF(SnapshotTable[[#This Row],[LC Premium]]&gt;0,SnapshotTable[[#This Row],[LC Strike Price]] + SnapshotTable[[#This Row],[LC Book Price]],"")</f>
        <v/>
      </c>
      <c r="DU184" s="9" t="str">
        <f>IF(AND(SnapshotTable[[#This Row],[LC Symbol Count]]&gt;0, SnapshotTable[[#This Row],[LC Contract Value]]&gt;0), SnapshotTable[[#This Row],[LC Contract Value]] * SnapshotTable[[#This Row],[LC Qty]] * 100, "")</f>
        <v/>
      </c>
      <c r="DV184" s="9" t="str">
        <f>IF(AND(ISNUMBER(SnapshotTable[[#This Row],[LC Total Value]]), SnapshotTable[[#This Row],[LC Not Filled]]&lt;&gt;"Y"), SnapshotTable[[#This Row],[LC Total Value]]-SnapshotTable[[#This Row],[LC Premium]],"")</f>
        <v/>
      </c>
      <c r="DW184" s="225" t="str">
        <f>IF(ISNUMBER(SnapshotTable[[#This Row],[LC Actual Gain Loss]]), SnapshotTable[[#This Row],[LC Actual Gain Loss]] / SnapshotTable[[#This Row],[LC Premium]],"")</f>
        <v/>
      </c>
      <c r="DX184" s="269" t="str">
        <f>IF(ISNUMBER(SnapshotTable[[#This Row],[LC Book Price]]),SnapshotTable[[#This Row],[LC Book Price]] * 1.5,"")</f>
        <v/>
      </c>
      <c r="DY184" s="250" t="str">
        <f>IF(SnapshotTable[[#This Row],[LC Premium]]&gt;0, SnapshotTable[[#This Row],[LC Next Target]] * SnapshotTable[[#This Row],[LC Qty]] * 100,"")</f>
        <v/>
      </c>
      <c r="DZ184" s="250" t="str">
        <f>IF(ISNUMBER(SnapshotTable[[#This Row],[LC Target Gross]]), SnapshotTable[[#This Row],[LC Target Gross]] - SnapshotTable[[#This Row],[LC Premium]], "")</f>
        <v/>
      </c>
      <c r="EA184" s="283" t="str">
        <f>IF(ISNUMBER(SnapshotTable[[#This Row],[LC Target Gain Loss]]), SnapshotTable[[#This Row],[LC Target Gain Loss]]/SnapshotTable[[#This Row],[LC Premium]], "")</f>
        <v/>
      </c>
      <c r="EB184" s="247"/>
      <c r="EC184" s="268" t="str">
        <f>IF(SnapshotTable[[#This Row],[LC Premium]]&gt;0, SnapshotTable[[#This Row],[LC Book Price]] * (1 - LC_StopLoss_Pct),"")</f>
        <v/>
      </c>
      <c r="ED184" s="269"/>
      <c r="EE184" s="268" t="str">
        <f>IF(ISNUMBER(SnapshotTable[[#This Row],[LC Contract Value]]),IF(ISNUMBER(SnapshotTable[[#This Row],[LC Stop Loss Override]]), SnapshotTable[[#This Row],[LC Stop Loss Override]],SnapshotTable[[#This Row],[LC Stop Loss Calc Target]]),"")</f>
        <v/>
      </c>
      <c r="EF184" s="31" t="str">
        <f>IF(ISNUMBER(SnapshotTable[[#This Row],[LC Stop  To Use]]), (SnapshotTable[[#This Row],[LC Stop  To Use]] * SnapshotTable[[#This Row],[LC Qty]] * 100),"")</f>
        <v/>
      </c>
      <c r="EG184" s="9" t="str">
        <f>IF(ISNUMBER(SnapshotTable[[#This Row],[LC Total Value]]),SnapshotTable[[#This Row],[LC Stop Loss Amount]] - SnapshotTable[[#This Row],[LC Premium]],"")</f>
        <v/>
      </c>
      <c r="EH184" s="9">
        <f>IF(ISNUMBER(SnapshotTable[[#This Row],[LC Premium]]), SnapshotTable[[#This Row],[LC Qty]] * 100 * SnapshotTable[[#This Row],[LC Strike Price]], "")</f>
        <v>0</v>
      </c>
      <c r="EI184" s="225" t="str">
        <f>IF(AND(ISNUMBER(SnapshotTable[[#This Row],[LC Total Value]]),SnapshotTable[[#This Row],[LC Total Value]]&gt;0),SnapshotTable[[#This Row],[LC Stop Gain Loss]]  / SnapshotTable[[#This Row],[LC Premium]],"")</f>
        <v/>
      </c>
      <c r="EJ184" s="35">
        <f>IF(ISNUMBER(SnapshotTable[[#This Row],[Equity Shares]]),TRUNC(SnapshotTable[[#This Row],[Equity Shares]] / 100),0) + SnapshotTable[[#This Row],[LC Qty]]</f>
        <v>0</v>
      </c>
      <c r="EK184" s="145"/>
      <c r="EL184" s="136"/>
      <c r="EM184" s="146"/>
      <c r="EN184" s="145"/>
      <c r="EO184" s="145"/>
      <c r="EP184" s="136"/>
      <c r="EQ184" s="382" t="b">
        <f>AND(ISNUMBER(SnapshotTable[[#This Row],[SC Exp Date]]), ISNUMBER(SnapshotTable[[#This Row],[SC Strike Price]]), ISNUMBER(SnapshotTable[[#This Row],[SC Qty]]), ISNUMBER(SnapshotTable[[#This Row],[SC Book Date]]), ISNUMBER(SnapshotTable[[#This Row],[SC Book Price]]))</f>
        <v>0</v>
      </c>
      <c r="ER184" s="382" t="b">
        <f>AND(SnapshotTable[[#This Row],[SC Is Booked]], NOT(ISBLANK(SnapshotTable[[#This Row],[SC Fill Date]])))</f>
        <v>0</v>
      </c>
      <c r="ES184" s="340">
        <v>0.75</v>
      </c>
      <c r="ET184" s="34" t="str">
        <f>IF(AND(ISNUMBER(SnapshotTable[[#This Row],[SC Exp Date]]), ISNUMBER(SnapshotTable[[#This Row],[SC Book Date]])), SnapshotTable[[#This Row],[SC Exp Date]] - MAX(SnapshotTable[[#This Row],[SC Book Date]], SnapshotTable[[#This Row],[SC Fill Date]]) + 1, "")</f>
        <v/>
      </c>
      <c r="EU184" s="34" t="str">
        <f>IF(ISNUMBER(SnapshotTable[[#This Row],[SC Term]]), SnapshotTable[[#This Row],[SC Exp Date]]- MockToday, "")</f>
        <v/>
      </c>
      <c r="EV184" s="31">
        <f>IF(SnapshotTable[[#This Row],[SC Is Booked]], SnapshotTable[[#This Row],[SC Qty]] * SnapshotTable[[#This Row],[SC Book Price]] * 100, 0)</f>
        <v>0</v>
      </c>
      <c r="EW184" s="4" t="str">
        <f>IF(AND(ISNUMBER(SnapshotTable[[#This Row],[Last Price]]), ISNUMBER( SnapshotTable[[#This Row],[SC Book Price]])), SnapshotTable[[#This Row],[Last Price]] - SnapshotTable[[#This Row],[SC Book Price]],"")</f>
        <v/>
      </c>
      <c r="EX184" s="219" t="str">
        <f>IF(SnapshotTable[[#This Row],[SC Is Booked]],IF(SnapshotTable[[#This Row],[SC Intrinsic Value]] &gt; 0, SnapshotTable[[#This Row],[SC Strike Price]], SnapshotTable[[#This Row],[Last Price]]), "")</f>
        <v/>
      </c>
      <c r="EY184" s="4">
        <f>IF(SnapshotTable[[#This Row],[SC Is Booked]], (MinimumPremiumRequired * SnapshotTable[[#This Row],[SC Basis]] * SnapshotTable[[#This Row],[SC Term]]), 0)</f>
        <v>0</v>
      </c>
      <c r="EZ184" s="268"/>
      <c r="FA184" s="204"/>
      <c r="FB184" s="340"/>
      <c r="FC184" s="4">
        <f>IF(SnapshotTable[[#This Row],[SC Is Filled]], btc_max_buyback_amount(SnapshotTable[[#This Row],[SC Fill Date]],SnapshotTable[[#This Row],[SC Exp Date]], SnapshotTable[[#This Row],[SC Book Price]]),0)</f>
        <v>0</v>
      </c>
      <c r="FD184" s="5"/>
      <c r="FE184" s="142" t="str">
        <f>IF(SnapshotTable[[#This Row],[SC Is Filled]], btc_next_cutoff_date(SnapshotTable[[#This Row],[SC Fill Date]],SnapshotTable[[#This Row],[SC Exp Date]]),"")</f>
        <v/>
      </c>
      <c r="FF184" s="4" t="str" cm="1">
        <f t="array" ref="FF184">IF(SnapshotTable[[#This Row],[SC Is Filled]], btc_should_buy_back(SnapshotTable[[#This Row],[SC Fill Date]], SnapshotTable[[#This Row],[SC Exp Date]], SnapshotTable[[#This Row],[SC Book Price]], SnapshotTable[[#This Row],[SC Current Ask]], MockToday, SnapshotTable[[#This Row],[SC Buyback Override]]),"")</f>
        <v/>
      </c>
      <c r="FG184" s="4">
        <f>IF(SnapshotTable[[#This Row],[SC Is Filled]], MAX(0,SnapshotTable[[#This Row],[Last Price]]  - SnapshotTable[[#This Row],[SC Strike Price]]), 0)</f>
        <v>0</v>
      </c>
      <c r="FH184" s="352">
        <f>IF(SnapshotTable[[#This Row],[SC Is Filled]], IF(ISNUMBER(SnapshotTable[[#This Row],[SC Current Ask]]), SnapshotTable[[#This Row],[SC Current Ask]], SnapshotTable[[#This Row],[SC Book Price]]) - SnapshotTable[[#This Row],[SC Intrinsic Value]], 0)</f>
        <v>0</v>
      </c>
      <c r="FI184" s="141"/>
      <c r="FJ184" s="32" t="str">
        <f>IF(SnapshotTable[[#This Row],[SC Is Filled]],100 * SnapshotTable[[#This Row],[SC Qty]] * IF(ISNUMBER(SnapshotTable[[#This Row],[SC Buyback Override]]), SnapshotTable[[#This Row],[SC Buyback Override]], SnapshotTable[[#This Row],[SC Current Ask]]), "")</f>
        <v/>
      </c>
      <c r="FK184" s="235" t="str">
        <f>IF(SnapshotTable[[#This Row],[SC Time Val]]&gt;0, SnapshotTable[[#This Row],[SC Time Val]] / SnapshotTable[[#This Row],[Last Price]],"")</f>
        <v/>
      </c>
      <c r="FL184" s="280" t="str">
        <f>IF(SnapshotTable[[#This Row],[SC Is Booked]], ((SnapshotTable[[#This Row],[Last Price]] -SnapshotTable[[#This Row],[SC Strike Price]]) / SnapshotTable[[#This Row],[Last Price]]) * -1, "")</f>
        <v/>
      </c>
      <c r="FM184" s="155" t="str">
        <f>IF(SnapshotTable[[#This Row],[SC Is Booked]],  (SnapshotTable[[#This Row],[SC Qty]] * 100 * SnapshotTable[[#This Row],[SC Strike Price]]) - SnapshotTable[[#This Row],[SC Current Ask]], "")</f>
        <v/>
      </c>
      <c r="FN18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4" s="31" t="str">
        <f>IF(AND(ISNUMBER(SnapshotTable[[#This Row],[SC Exercise Gross]]), ISNUMBER(SnapshotTable[[#This Row],[Equity Basis Per Share]] )), SnapshotTable[[#This Row],[SC Exercise Gross]] - SnapshotTable[[#This Row],[Equity Basis Total]] +  SnapshotTable[[#This Row],[SC Premium]], "")</f>
        <v/>
      </c>
      <c r="FP184" s="5" t="str">
        <f>IF(ISNUMBER(SnapshotTable[[#This Row],[SC Exercise Gross]]), (SnapshotTable[[#This Row],[SC Exercise Gross]]) / (SnapshotTable[[#This Row],[SC Qty]] * 100), "")</f>
        <v/>
      </c>
      <c r="FQ184" s="27" t="str">
        <f>IF(SnapshotTable[[#This Row],[SC Is Booked]],SnapshotTable[[#This Row],[SC Time Val]] /SnapshotTable[[#This Row],[SC Basis]], "")</f>
        <v/>
      </c>
      <c r="FR184" s="27" t="str" cm="1">
        <f t="array" ref="FR184">IF(AND(ISNUMBER(SnapshotTable[[#This Row],[SC Term]]),ISNUMBER(SnapshotTable[[#This Row],[SC Simple ROO]])), EllmanAnnualize(SnapshotTable[[#This Row],[SC DTE]], SnapshotTable[[#This Row],[SC Simple ROO]] ),"")</f>
        <v/>
      </c>
      <c r="FS184" s="4">
        <f>IF(SnapshotTable[[#This Row],[SC Strike Price]] &gt; SnapshotTable[[#This Row],[Last Price]], SnapshotTable[[#This Row],[SC Strike Price]] - SnapshotTable[[#This Row],[Last Price]],0)</f>
        <v>0</v>
      </c>
      <c r="FT184" s="27" t="str">
        <f>IF(AND(ISNUMBER(SnapshotTable[[#This Row],[SC Upside Potential]]), SnapshotTable[[#This Row],[SC Upside Potential]] &gt; 0),(SnapshotTable[[#This Row],[SC Upside Potential]]/ SnapshotTable[[#This Row],[ACB]]),"")</f>
        <v/>
      </c>
      <c r="FU184" s="304" t="str">
        <f>IF(SnapshotTable[[#This Row],[SC Intrinsic Value]] &gt; 0,SnapshotTable[[#This Row],[SC Intrinsic Value]],"")</f>
        <v/>
      </c>
      <c r="FV184" s="27" t="str">
        <f>IF(AND( ISNUMBER( SnapshotTable[[#This Row],[ACB]]),ISNUMBER(SnapshotTable[[#This Row],[SC Downside Protect]])),SnapshotTable[[#This Row],[SC Downside Protect]] / SnapshotTable[[#This Row],[ACB]],"")</f>
        <v/>
      </c>
      <c r="FW184" s="221" t="str">
        <f>IF(AND(ISNUMBER(SnapshotTable[[#This Row],[SC Simple ROO]]),SnapshotTable[[#This Row],[SC Simple ROO]] &gt; 0), SnapshotTable[[#This Row],[SC Premium]] + (SnapshotTable[[#This Row],[SC Qty]] * SnapshotTable[[#This Row],[SC Upside Potential]]), "")</f>
        <v/>
      </c>
      <c r="FX184" s="280" t="str" cm="1">
        <f t="array" ref="FX184">IF(ISNUMBER(SnapshotTable[[#This Row],[SC Max Dollars]]), annualize(SnapshotTable[[#This Row],[SC Term]],(SnapshotTable[[#This Row],[SC Max Dollars]]/SnapshotTable[[#This Row],[SC Basis]])),"")</f>
        <v/>
      </c>
      <c r="FY184" s="221" t="str">
        <f>IF(AND(SnapshotTable[[#This Row],[SC Qty]]&gt;0,SnapshotTable[[#This Row],[SC Current Ask]]&gt;0), SnapshotTable[[#This Row],[SC Qty]] * SnapshotTable[[#This Row],[SC Current Ask]] * -100, "")</f>
        <v/>
      </c>
      <c r="FZ184" s="31" t="str">
        <f>IF(ISNUMBER((SnapshotTable[[#This Row],[SC Current Value]])), SnapshotTable[[#This Row],[SC Premium]] + SnapshotTable[[#This Row],[SC Current Value]], "")</f>
        <v/>
      </c>
      <c r="GA184" s="272" t="str">
        <f>IFERROR( IF(ISNUMBER((SnapshotTable[[#This Row],[SC Current Value]])), SnapshotTable[[#This Row],[SC Gain Loss]] / SnapshotTable[[#This Row],[SC Premium]], ""), "")</f>
        <v/>
      </c>
      <c r="GB184" s="42">
        <f>SnapshotTable[[#This Row],[Equity Shares]] * SaleSharesToConsiderPercentage</f>
        <v>0</v>
      </c>
      <c r="GC184" s="40">
        <f>SnapshotTable[[#This Row],[Long Term Target]] * SellingPriceToConsiderBasedOnTargetPercentage</f>
        <v>0</v>
      </c>
      <c r="GD184" s="40">
        <f>SnapshotTable[[#This Row],[Last Price]] * (1+ SellingPriceToConsiderBasedOnTargetPercentage)</f>
        <v>149.52600000000001</v>
      </c>
      <c r="GE184" s="41"/>
      <c r="GF184" s="40"/>
      <c r="GG184" s="31">
        <f>SnapshotTable[[#This Row],[Booked Sale Shares]] * SnapshotTable[[#This Row],[Booked Sale Price]]</f>
        <v>0</v>
      </c>
      <c r="GH184" s="31" t="str">
        <f>IF(SnapshotTable[[#This Row],[Equity Basis Total]] &gt; 0, SnapshotTable[[#This Row],[Equity Basis Per Share]] * SnapshotTable[[#This Row],[Booked Sale Shares]], "")</f>
        <v/>
      </c>
      <c r="GI184" s="31">
        <f>IF(SnapshotTable[[#This Row],[Sale Proceeds]]&gt;0, SnapshotTable[[#This Row],[Sale Proceeds]] - SnapshotTable[[#This Row],[Sale Basis]], 0)</f>
        <v>0</v>
      </c>
      <c r="GJ184" s="27" t="str">
        <f>IF(SnapshotTable[[#This Row],[Sale G/L]]&gt;0, SnapshotTable[[#This Row],[Sale G/L]] / SnapshotTable[[#This Row],[Sale Basis]], IF(ISNUMBER(SnapshotTable[[#This Row],[SC Exercise P&amp;L (TAX)]]), SnapshotTable[[#This Row],[SC Exercise P&amp;L (TAX)]] / SnapshotTable[[#This Row],[SC Basis]], ""))</f>
        <v/>
      </c>
      <c r="GK184" s="27"/>
      <c r="GL184" s="43" t="str">
        <f>IF(AND(SnapshotTable[[#This Row],[LP Exp Date]]&gt;0,SnapshotTable[[#This Row],[LP Strike Price]]&gt;0), [1]!ToOptionSymbol(SnapshotTable[[#This Row],[Symbol]], SnapshotTable[[#This Row],[LP Strike Price]],SnapshotTable[[#This Row],[LP Exp Date]],1), "")</f>
        <v/>
      </c>
      <c r="GM184" s="30" t="str">
        <f>IF(LEN(SnapshotTable[[#This Row],[LP Symbol]])&gt;0, 1, "")</f>
        <v/>
      </c>
      <c r="GN184" s="43" t="str">
        <f>IF(AND(SnapshotTable[[#This Row],[SP Exp Date]]&gt;0,SnapshotTable[[#This Row],[SP Strike Price]]&gt;0), [1]!ToOptionSymbol(SnapshotTable[[#This Row],[Symbol]], SnapshotTable[[#This Row],[SP Strike Price]],SnapshotTable[[#This Row],[SP Exp Date]],1), "")</f>
        <v/>
      </c>
      <c r="GO184" s="30" t="str">
        <f>IF(LEN(SnapshotTable[[#This Row],[SP Symbol]])&gt;0, 1, "")</f>
        <v/>
      </c>
      <c r="GP184" s="43" t="str">
        <f>IF(AND(SnapshotTable[[#This Row],[LC Exp Date]]&gt;0,SnapshotTable[[#This Row],[LC Strike Price]]&gt;0), [1]!ToOptionSymbol(SnapshotTable[[#This Row],[Symbol]], SnapshotTable[[#This Row],[LC Strike Price]],SnapshotTable[[#This Row],[LC Exp Date]],0), "")</f>
        <v/>
      </c>
      <c r="GQ184" s="30" t="str">
        <f>IF(LEN(SnapshotTable[[#This Row],[LC Symbol]])&gt;0, 1, "")</f>
        <v/>
      </c>
      <c r="GR184" s="43" t="str">
        <f>IF(AND(SnapshotTable[[#This Row],[SC Exp Date]]&gt;0,SnapshotTable[[#This Row],[SC Strike Price]]&gt;0), [1]!ToOptionSymbol(SnapshotTable[[#This Row],[Symbol]], SnapshotTable[[#This Row],[SC Strike Price]],SnapshotTable[[#This Row],[SC Exp Date]],0), "")</f>
        <v/>
      </c>
      <c r="GS184" s="30" t="str">
        <f>IF(LEN(SnapshotTable[[#This Row],[SC Symbol]])&gt;0, 1, "")</f>
        <v/>
      </c>
      <c r="GT184" s="29" t="str">
        <f>IF(COUNT(SnapshotTable[[#This Row],[LP Symbol Count]],SnapshotTable[[#This Row],[SP Symbol Count]],SnapshotTable[[#This Row],[LC Symbol Count]],SnapshotTable[[#This Row],[SC Symbol Count]])&gt;0, "Y", "")</f>
        <v/>
      </c>
      <c r="GU18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4" s="216">
        <f>MAX(SnapshotTable[[#This Row],[Equity Basis Total]],SnapshotTable[[#This Row],[Equity Value]]) + (SnapshotTable[[#This Row],[SP Potential Spend]]- SnapshotTable[[#This Row],[SP Premium]] + SnapshotTable[[#This Row],[LP Premium]])+ (SnapshotTable[[#This Row],[LC Premium]] - SnapshotTable[[#This Row],[SC Premium]])</f>
        <v>0</v>
      </c>
      <c r="GW184" s="137" t="str">
        <f>IF(AND(SnapshotTable[[#This Row],[Exposure]] &lt;&gt; 0),SnapshotTable[[#This Row],[Exposure]] / SnapshotTable[[#Totals],[Exposure]], "")</f>
        <v/>
      </c>
      <c r="HE184" s="253"/>
      <c r="HF184" s="253"/>
      <c r="HK184" s="1"/>
      <c r="HL184" s="1"/>
      <c r="HM184" s="1"/>
      <c r="HN184" s="1"/>
      <c r="HO184" s="1"/>
      <c r="HP184" s="1"/>
    </row>
    <row r="185" spans="2:224" ht="12.75" hidden="1" customHeight="1" x14ac:dyDescent="0.25">
      <c r="B185" s="12" t="s">
        <v>129</v>
      </c>
      <c r="C185" s="385">
        <v>341.19</v>
      </c>
      <c r="D185" s="200" t="s">
        <v>179</v>
      </c>
      <c r="E185" s="39">
        <f>SnapshotTable[[#This Row],[Last Price]]*(1 -CrashDiscount)</f>
        <v>290.01150000000001</v>
      </c>
      <c r="F185" s="26" t="s">
        <v>793</v>
      </c>
      <c r="G185" s="26" t="s">
        <v>678</v>
      </c>
      <c r="H185" s="147"/>
      <c r="I185" s="186">
        <v>44859.263888888891</v>
      </c>
      <c r="J185" s="187">
        <v>44859.263888888891</v>
      </c>
      <c r="K185" s="188"/>
      <c r="L185" s="297"/>
      <c r="M185" s="138"/>
      <c r="N185" s="138"/>
      <c r="O185" s="138"/>
      <c r="P185" s="22"/>
      <c r="Q185" s="25"/>
      <c r="R185" s="4" t="str">
        <f>IF(SnapshotTable[[#This Row],[Equity Basis Total]] &gt; 0, SnapshotTable[[#This Row],[Equity Basis Total]] / SnapshotTable[[#This Row],[Equity Shares]], "")</f>
        <v/>
      </c>
      <c r="S185" s="254">
        <f>SnapshotTable[[#This Row],[Last Price]] * SnapshotTable[[#This Row],[Equity Shares]]</f>
        <v>0</v>
      </c>
      <c r="T185" s="254">
        <f>SnapshotTable[[#This Row],[Equity Value]] - SnapshotTable[[#This Row],[Equity Basis Total]]</f>
        <v>0</v>
      </c>
      <c r="U185" s="255" t="str">
        <f>IF(SnapshotTable[[#This Row],[Equity Basis Total]] &gt; 0, SnapshotTable[[#This Row],[Equity G/L]] / SnapshotTable[[#This Row],[Equity Basis Total]], "")</f>
        <v/>
      </c>
      <c r="V185" s="253">
        <v>136</v>
      </c>
      <c r="W185" s="253">
        <v>104</v>
      </c>
      <c r="X185" s="4" t="str">
        <f>IF(AND(ISNUMBER(SnapshotTable[[#This Row],[Equity Basis Per Share]]),ISNUMBER(SnapshotTable[[#This Row],[Equity Target]])),SnapshotTable[[#This Row],[Equity Target]]-SnapshotTable[[#This Row],[Equity Basis Per Share]],"")</f>
        <v/>
      </c>
      <c r="Y185" s="4" t="str">
        <f>IF(AND(ISNUMBER(SnapshotTable[[#This Row],[Equity Basis Per Share]]),ISNUMBER(SnapshotTable[[#This Row],[Equity Stop Loss]])),SnapshotTable[[#This Row],[Equity Stop Loss]]-SnapshotTable[[#This Row],[Equity Basis Per Share]],"")</f>
        <v/>
      </c>
      <c r="Z185" s="260" t="str">
        <f>IFERROR( TEXT(SnapshotTable[[#This Row],[Equity Max Gain Per Share]] /ABS( SnapshotTable[[#This Row],[Equity Max Loss Per Share]]),"0.0 " ) &amp; " : 1", "")</f>
        <v/>
      </c>
      <c r="AA185" s="31" t="str">
        <f>IF(ISNUMBER(SnapshotTable[[#This Row],[Equity Max Gain Per Share]]),SnapshotTable[[#This Row],[Equity Max Gain Per Share]] * SnapshotTable[[#This Row],[Equity Shares]],"")</f>
        <v/>
      </c>
      <c r="AB185" s="31" t="str">
        <f>IF(ISNUMBER(SnapshotTable[[#This Row],[Equity Max Loss Per Share]]),SnapshotTable[[#This Row],[Equity Max Loss Per Share]] * SnapshotTable[[#This Row],[Equity Shares]],"")</f>
        <v/>
      </c>
      <c r="AC185" s="148">
        <v>0.96</v>
      </c>
      <c r="AD185" s="149">
        <v>43033</v>
      </c>
      <c r="AE185" s="31">
        <f>(SnapshotTable[[#This Row],[Annual Dividend Per Share]] / 4) * SnapshotTable[[#This Row],[Equity Shares]]</f>
        <v>0</v>
      </c>
      <c r="AF185" s="31">
        <f>SnapshotTable[[#This Row],[Quarterly Div $]] * 4</f>
        <v>0</v>
      </c>
      <c r="AG185" s="7">
        <f>IF(SnapshotTable[[#This Row],[Annual Dividend Per Share]]&gt;0, SnapshotTable[[#This Row],[Annual Dividend Per Share]]  / SnapshotTable[[#This Row],[Last Price]], 0)</f>
        <v>2.813681526422228E-3</v>
      </c>
      <c r="AH185" s="149">
        <v>42992</v>
      </c>
      <c r="AI185" s="5">
        <v>21</v>
      </c>
      <c r="AJ185" s="136">
        <v>110.22</v>
      </c>
      <c r="AK185" s="150">
        <f>IF(ISNUMBER( SnapshotTable[[#This Row],[EBF Target]]),(SnapshotTable[[#This Row],[EBF Target]] - SnapshotTable[[#This Row],[Last Price]]) / SnapshotTable[[#This Row],[Last Price]], "")</f>
        <v>-0.93845071660951374</v>
      </c>
      <c r="AL185" s="150" t="str">
        <f>IF(AND(SnapshotTable[[#This Row],[Equity Basis Total]] &gt; 0,ISNUMBER( SnapshotTable[[#This Row],[Long Term Target]])), SnapshotTable[[#This Row],[From Basis $]] / SnapshotTable[[#This Row],[Equity Basis Total]], "")</f>
        <v/>
      </c>
      <c r="AM185" s="9">
        <f>IF( AND(SnapshotTable[[#This Row],[Equity Shares]] &gt;0,ISNUMBER( SnapshotTable[[#This Row],[Long Term Target]])),(SnapshotTable[[#This Row],[Equity Shares]] * SnapshotTable[[#This Row],[Long Term Target]]) - SnapshotTable[[#This Row],[Equity Basis Total]],0)</f>
        <v>0</v>
      </c>
      <c r="AN185" s="9">
        <f>IF( AND(SnapshotTable[[#This Row],[Equity Shares]] &gt;0,ISNUMBER( SnapshotTable[[#This Row],[Long Term Target]])),(SnapshotTable[[#This Row],[Equity Shares]]*SnapshotTable[[#This Row],[Long Term Target]]) - SnapshotTable[[#This Row],[Equity Value]],0)</f>
        <v>0</v>
      </c>
      <c r="AO185" s="150">
        <f>IF(AND(ISNUMBER( SnapshotTable[[#This Row],[Long Term Target]]), ISNUMBER(SnapshotTable[[#This Row],[Last Price]])),(SnapshotTable[[#This Row],[Long Term Target]] - SnapshotTable[[#This Row],[Last Price]]) / SnapshotTable[[#This Row],[Last Price]], "")</f>
        <v>-0.67695418974764798</v>
      </c>
      <c r="AP185" s="5"/>
      <c r="AQ185" s="38"/>
      <c r="AR185" s="5"/>
      <c r="AS185" s="38"/>
      <c r="AT185" s="144"/>
      <c r="AU185" s="185" t="str">
        <f>IF(OR(SnapshotTable[[#This Row],[LP No Fill]]="Y",SnapshotTable[[#This Row],[SP Is Filled]],SnapshotTable[[#This Row],[LC Not Filled]]="Y",SnapshotTable[[#This Row],[SC Is Filled]]),"Y","")</f>
        <v/>
      </c>
      <c r="AV185" s="205"/>
      <c r="AW185" s="211"/>
      <c r="AX185" s="206"/>
      <c r="AY185" s="205" t="str">
        <f>IF(SnapshotTable[[#This Row],[Implied Move]]&gt;0, SnapshotTable[[#This Row],[Last Price]]-SnapshotTable[[#This Row],[Implied Move]],"")</f>
        <v/>
      </c>
      <c r="AZ185" s="205" t="str">
        <f>IF(SnapshotTable[[#This Row],[Implied Move]]&gt;0, SnapshotTable[[#This Row],[Last Price]] + SnapshotTable[[#This Row],[Implied Move]],"")</f>
        <v/>
      </c>
      <c r="BA185" s="302">
        <v>93.46</v>
      </c>
      <c r="BB185" s="318"/>
      <c r="BC18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5" s="321"/>
      <c r="BE185" s="5"/>
      <c r="BF185" s="14"/>
      <c r="BG185" s="13"/>
      <c r="BH185" s="13"/>
      <c r="BI185" s="5"/>
      <c r="BJ185" s="134">
        <f>IF(SnapshotTable[[#This Row],[LP Qty]] &gt; 0, SnapshotTable[[#This Row],[LP Qty]] * SnapshotTable[[#This Row],[LP Book Price]] * 100,0)</f>
        <v>0</v>
      </c>
      <c r="BK185" s="134">
        <f>IF(SnapshotTable[[#This Row],[LP Premium]] &gt; 0, SnapshotTable[[#This Row],[LP Qty]] * SnapshotTable[[#This Row],[LP Strike Price]] * 100,0)</f>
        <v>0</v>
      </c>
      <c r="BL185" s="152"/>
      <c r="BM185" s="355" t="str">
        <f>IF(SnapshotTable[[#This Row],[LP Premium]] &gt; 0,SnapshotTable[[#This Row],[LP Exp Date]]-MAX(SnapshotTable[[#This Row],[LP Book Date]], SnapshotTable[[#This Row],[LP Fill Date]]),"")</f>
        <v/>
      </c>
      <c r="BN185" s="355" t="str">
        <f>IF(ISNUMBER( SnapshotTable[[#This Row],[LP Term]]), SnapshotTable[[#This Row],[LP Exp Date]] - MockToday,"")</f>
        <v/>
      </c>
      <c r="BO185" s="161" t="str">
        <f>IF(AND(SnapshotTable[[#This Row],[LP Exp Date]]&gt;0, SnapshotTable[[#This Row],[LP Strike Price]]&gt;0,SnapshotTable[[#This Row],[LP Qty]]&gt;0,SnapshotTable[[#This Row],[LP Book Date]]&gt;0,SnapshotTable[[#This Row],[LP Book Price]]&gt;0,SnapshotTable[[#This Row],[LP Fill Date]]=0),"Y","")</f>
        <v/>
      </c>
      <c r="BP185" s="31" t="str">
        <f>IF(AND(SnapshotTable[[#This Row],[LP No Fill]]&lt;&gt;"Y",SnapshotTable[[#This Row],[LP Contract Value]]&gt;0, SnapshotTable[[#This Row],[LP Qty]]&gt;0), SnapshotTable[[#This Row],[LP Contract Value]]*SnapshotTable[[#This Row],[LP Qty]]*100,"")</f>
        <v/>
      </c>
      <c r="BQ185" s="13"/>
      <c r="BR185" s="5"/>
      <c r="BS185" s="36"/>
      <c r="BT185" s="145"/>
      <c r="BU185" s="13"/>
      <c r="BV185" s="5"/>
      <c r="BW185" s="382" t="b">
        <f>AND(ISNUMBER(SnapshotTable[[#This Row],[SP Exp Date]]), ISNUMBER(SnapshotTable[[#This Row],[SP Strike Price]]), ISNUMBER(SnapshotTable[[#This Row],[SP Qty]]), ISNUMBER(SnapshotTable[[#This Row],[SP Book Date]]), ISNUMBER(SnapshotTable[[#This Row],[SP Book Price]]))</f>
        <v>0</v>
      </c>
      <c r="BX185" s="382" t="b">
        <f>AND(SnapshotTable[[#This Row],[SP Is Booked]], NOT(ISBLANK(SnapshotTable[[#This Row],[SP Fill Date]])))</f>
        <v>0</v>
      </c>
      <c r="BY185" s="33">
        <f>IF(SnapshotTable[[#This Row],[SP Is Booked]], SnapshotTable[[#This Row],[SP Qty]] * SnapshotTable[[#This Row],[SP Book Price]] * 100, 0)</f>
        <v>0</v>
      </c>
      <c r="BZ185" s="339"/>
      <c r="CA185" s="338">
        <f>SnapshotTable[[#This Row],[LP Qty]]</f>
        <v>0</v>
      </c>
      <c r="CB185" s="4" t="str">
        <f>IF(SnapshotTable[[#This Row],[SP Is Booked]], SnapshotTable[[#This Row],[SP Strike Price]] - SnapshotTable[[#This Row],[SP Book Price]], "")</f>
        <v/>
      </c>
      <c r="CC185" s="19" t="str">
        <f>IF(SnapshotTable[[#This Row],[SP Is Booked]],SnapshotTable[[#This Row],[SP Exp Date]]-MAX(SnapshotTable[[#This Row],[SP Book Date]], SnapshotTable[[#This Row],[SP Fill Date]]),"")</f>
        <v/>
      </c>
      <c r="CD185" s="7" t="str">
        <f>IF(SnapshotTable[[#This Row],[SP Is Booked]], SnapshotTable[[#This Row],[SP Book Price]]/SnapshotTable[[#This Row],[SP Strike Price]], "")</f>
        <v/>
      </c>
      <c r="CE185" s="7" t="str">
        <f>IF(ISNUMBER(SnapshotTable[[#This Row],[SP ROO Term]]),SnapshotTable[[#This Row],[SP ROO Term]]*(365/SnapshotTable[[#This Row],[SP Term]]),"")</f>
        <v/>
      </c>
      <c r="CF185" s="221">
        <f>SnapshotTable[[#This Row],[LP Strike Price]] * SnapshotTable[[#This Row],[LP Qty]] * 100</f>
        <v>0</v>
      </c>
      <c r="CG185" s="31">
        <f>IF(ISNUMBER(SnapshotTable[[#This Row],[SP Premium]]), (SnapshotTable[[#This Row],[SP Qty]] * SnapshotTable[[#This Row],[SP Strike Price]]* 100) - SnapshotTable[[#This Row],[LP Protection]], 0)</f>
        <v>0</v>
      </c>
      <c r="CH185" s="7" t="str">
        <f>IF(ISNUMBER(SnapshotTable[[#This Row],[SP Break Even]]),-1 * (SnapshotTable[[#This Row],[SP Break Even]] - SnapshotTable[[#This Row],[Last Price]]) / SnapshotTable[[#This Row],[Last Price]], "")</f>
        <v/>
      </c>
      <c r="CI185" s="31">
        <f>IF(AND(ISNUMBER((SnapshotTable[[#This Row],[SP Potential Spend]])), SnapshotTable[[#This Row],[SP Strike Price]] &gt; SnapshotTable[[#This Row],[Last Price]], SnapshotTable[[#This Row],[SP Is Filled]]), SnapshotTable[[#This Row],[SP Potential Spend]] -  SnapshotTable[[#This Row],[LP Max Value]], 0)</f>
        <v>0</v>
      </c>
      <c r="CJ185" s="229"/>
      <c r="CK185" s="31">
        <f>IF(ISNUMBER(SnapshotTable[[#This Row],[SP Potential Spend]]),IF(ISNUMBER(SnapshotTable[[#This Row],[SP POW]]), SnapshotTable[[#This Row],[SP POW]] * SnapshotTable[[#This Row],[SP Potential Spend]], SnapshotTable[[#This Row],[SP Potential Spend]]), "")</f>
        <v>0</v>
      </c>
      <c r="CL185" s="162">
        <f>IF(NOT(SnapshotTable[[#This Row],[SP Is Filled]]),(SnapshotTable[[#This Row],[SP Qty]] * SnapshotTable[[#This Row],[SP Strike Price]] * 100) - SnapshotTable[[#This Row],[LP Max Value]],"")</f>
        <v>0</v>
      </c>
      <c r="CM185" s="31" t="str">
        <f>IF(SnapshotTable[[#This Row],[SP Actual Spend]]&lt;&gt;0, ((SnapshotTable[[#This Row],[SP Strike Price]]-SnapshotTable[[#This Row],[Last Price]]) *(SnapshotTable[[#This Row],[SP Qty]]*100) - SnapshotTable[[#This Row],[SP Premium]]) * - 1, "")</f>
        <v/>
      </c>
      <c r="CN185" s="76"/>
      <c r="CO185" s="339"/>
      <c r="CP185" s="4" t="str">
        <f>IF(SnapshotTable[[#This Row],[SP Is Filled]], btc_max_buyback_amount(SnapshotTable[[#This Row],[SP Fill Date]],SnapshotTable[[#This Row],[SP Exp Date]], SnapshotTable[[#This Row],[SP Book Price]]),"")</f>
        <v/>
      </c>
      <c r="CQ185" s="76"/>
      <c r="CR18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5" s="153" t="str">
        <f>IF(SnapshotTable[[#This Row],[SP Is Filled]], btc_next_cutoff_date(SnapshotTable[[#This Row],[SP Fill Date]],SnapshotTable[[#This Row],[SP Exp Date]]),"")</f>
        <v/>
      </c>
      <c r="CT185" s="220" t="str" cm="1">
        <f t="array" ref="CT185">IF(SnapshotTable[[#This Row],[SP Is Filled]], btc_should_buy_back(SnapshotTable[[#This Row],[SP Fill Date]], SnapshotTable[[#This Row],[SP Exp Date]], SnapshotTable[[#This Row],[SP Book Price]], SnapshotTable[[#This Row],[SP Current Ask]], MockToday, SnapshotTable[[#This Row],[SP Buyback Override]]),"")</f>
        <v/>
      </c>
      <c r="CU185" s="141"/>
      <c r="CV185" s="220"/>
      <c r="CW185" s="348" t="str">
        <f>IF(ISNUMBER( SnapshotTable[[#This Row],[SP Term]]), SnapshotTable[[#This Row],[SP Exp Date]] - MockToday,"")</f>
        <v/>
      </c>
      <c r="CX185" s="31" t="str">
        <f>IF(SnapshotTable[[#This Row],[SP Is Filled]],SnapshotTable[[#This Row],[SP Buyback Price to Use]] * 100 * SnapshotTable[[#This Row],[SP Qty]], "")</f>
        <v/>
      </c>
      <c r="CY185" s="4" t="str">
        <f>IF(ISNUMBER(SnapshotTable[[#This Row],[SP Strike Price]]), SnapshotTable[[#This Row],[SP Strike Price]] * (1 - SP_MaxLoss_StrikePct), "")</f>
        <v/>
      </c>
      <c r="CZ185" s="31" t="str">
        <f>IF(ISNUMBER(SnapshotTable[[#This Row],[SP Strike  Stop Per Share]]),SnapshotTable[[#This Row],[SP Premium]] - ((SnapshotTable[[#This Row],[SP Strike Price]]-SnapshotTable[[#This Row],[SP Strike  Stop Per Share]]) *(SnapshotTable[[#This Row],[SP Qty]] * 100)),"")</f>
        <v/>
      </c>
      <c r="DA185" s="4" t="str">
        <f>IF(AND(ISNUMBER(SnapshotTable[[#This Row],[SP Premium]]),SnapshotTable[[#This Row],[SP Premium]]&gt;0), SnapshotTable[[#This Row],[SP Book Price]] * (1 + SP_MaxLoss_OptionPct), "")</f>
        <v/>
      </c>
      <c r="DB185" s="31" t="str">
        <f>IF(ISNUMBER(SnapshotTable[[#This Row],[SP Option  Stop Contract]]),(SnapshotTable[[#This Row],[SP Option  Stop Contract]] *(SnapshotTable[[#This Row],[SP Qty]] * 100) - SnapshotTable[[#This Row],[SP Premium]]),"")</f>
        <v/>
      </c>
      <c r="DC185" s="4"/>
      <c r="DD185" s="4"/>
      <c r="DE185" s="4" t="str">
        <f>IF(AND(SnapshotTable[[#This Row],[SP Qty]]&gt;0, SnapshotTable[[#This Row],[SP Stop To Use]]&gt;0),SnapshotTable[[#This Row],[SP Premium]] - ( SnapshotTable[[#This Row],[SP Qty]] * SnapshotTable[[#This Row],[SP Stop To Use]] * 100), "")</f>
        <v/>
      </c>
      <c r="DF185" s="31" t="str">
        <f>IF(AND(SnapshotTable[[#This Row],[SP Qty]]&gt;0,SnapshotTable[[#This Row],[SP Current Ask]]&gt;0), SnapshotTable[[#This Row],[SP Qty]] * SnapshotTable[[#This Row],[SP Current Ask]] * -100, "")</f>
        <v/>
      </c>
      <c r="DG185" s="31" t="str">
        <f>IF(ISNUMBER((SnapshotTable[[#This Row],[SP Total Value]])), SnapshotTable[[#This Row],[SP Premium]] + SnapshotTable[[#This Row],[SP Total Value]], "")</f>
        <v/>
      </c>
      <c r="DH185" s="272" t="str">
        <f>IF(ISNUMBER((SnapshotTable[[#This Row],[SP Total Value]])), SnapshotTable[[#This Row],[SP Gain Loss]] / SnapshotTable[[#This Row],[SP Premium]], "")</f>
        <v/>
      </c>
      <c r="DI185" s="369"/>
      <c r="DJ185" s="136"/>
      <c r="DK185" s="146"/>
      <c r="DL185" s="13"/>
      <c r="DM185" s="13"/>
      <c r="DO185" s="31">
        <f>IF(SnapshotTable[[#This Row],[LC Symbol Count]]=1, SnapshotTable[[#This Row],[LC Qty]] * SnapshotTable[[#This Row],[LC Book Price]] * 100, 0)</f>
        <v>0</v>
      </c>
      <c r="DP185" s="161" t="str">
        <f>IF(AND(SnapshotTable[[#This Row],[LC Exp Date]]&gt;0, SnapshotTable[[#This Row],[LC Strike Price]]&gt;0,SnapshotTable[[#This Row],[LC Qty]]&gt;0,SnapshotTable[[#This Row],[LC Book Date]]&gt;0,SnapshotTable[[#This Row],[LC Book Price]]&gt;0,SnapshotTable[[#This Row],[LC Fill Date]]=0),"Y","")</f>
        <v/>
      </c>
      <c r="DQ185" s="356" t="str">
        <f>IF(SnapshotTable[[#This Row],[LC Premium]] &gt; 0,SnapshotTable[[#This Row],[LC Exp Date]]-MAX(SnapshotTable[[#This Row],[LC Book Date]], SnapshotTable[[#This Row],[LC Fill Date]]),"")</f>
        <v/>
      </c>
      <c r="DR185" s="356" t="str">
        <f>IF(ISNUMBER(SnapshotTable[[#This Row],[LC Term]]), SnapshotTable[[#This Row],[LC Exp Date]] - MockToday, "")</f>
        <v/>
      </c>
      <c r="DS185" s="219" t="str">
        <f>IF(SnapshotTable[[#This Row],[LC Premium]]&gt;0,SnapshotTable[[#This Row],[LC Strike Price]] + SnapshotTable[[#This Row],[LC Book Price]],"")</f>
        <v/>
      </c>
      <c r="DU185" s="9" t="str">
        <f>IF(AND(SnapshotTable[[#This Row],[LC Symbol Count]]&gt;0, SnapshotTable[[#This Row],[LC Contract Value]]&gt;0), SnapshotTable[[#This Row],[LC Contract Value]] * SnapshotTable[[#This Row],[LC Qty]] * 100, "")</f>
        <v/>
      </c>
      <c r="DV185" s="9" t="str">
        <f>IF(AND(ISNUMBER(SnapshotTable[[#This Row],[LC Total Value]]), SnapshotTable[[#This Row],[LC Not Filled]]&lt;&gt;"Y"), SnapshotTable[[#This Row],[LC Total Value]]-SnapshotTable[[#This Row],[LC Premium]],"")</f>
        <v/>
      </c>
      <c r="DW185" s="225" t="str">
        <f>IF(ISNUMBER(SnapshotTable[[#This Row],[LC Actual Gain Loss]]), SnapshotTable[[#This Row],[LC Actual Gain Loss]] / SnapshotTable[[#This Row],[LC Premium]],"")</f>
        <v/>
      </c>
      <c r="DX185" s="269" t="str">
        <f>IF(ISNUMBER(SnapshotTable[[#This Row],[LC Book Price]]),SnapshotTable[[#This Row],[LC Book Price]] * 1.5,"")</f>
        <v/>
      </c>
      <c r="DY185" s="250" t="str">
        <f>IF(SnapshotTable[[#This Row],[LC Premium]]&gt;0, SnapshotTable[[#This Row],[LC Next Target]] * SnapshotTable[[#This Row],[LC Qty]] * 100,"")</f>
        <v/>
      </c>
      <c r="DZ185" s="250" t="str">
        <f>IF(ISNUMBER(SnapshotTable[[#This Row],[LC Target Gross]]), SnapshotTable[[#This Row],[LC Target Gross]] - SnapshotTable[[#This Row],[LC Premium]], "")</f>
        <v/>
      </c>
      <c r="EA185" s="283" t="str">
        <f>IF(ISNUMBER(SnapshotTable[[#This Row],[LC Target Gain Loss]]), SnapshotTable[[#This Row],[LC Target Gain Loss]]/SnapshotTable[[#This Row],[LC Premium]], "")</f>
        <v/>
      </c>
      <c r="EB185" s="247"/>
      <c r="EC185" s="268" t="str">
        <f>IF(SnapshotTable[[#This Row],[LC Premium]]&gt;0, SnapshotTable[[#This Row],[LC Book Price]] * (1 - LC_StopLoss_Pct),"")</f>
        <v/>
      </c>
      <c r="ED185" s="269"/>
      <c r="EE185" s="268" t="str">
        <f>IF(ISNUMBER(SnapshotTable[[#This Row],[LC Contract Value]]),IF(ISNUMBER(SnapshotTable[[#This Row],[LC Stop Loss Override]]), SnapshotTable[[#This Row],[LC Stop Loss Override]],SnapshotTable[[#This Row],[LC Stop Loss Calc Target]]),"")</f>
        <v/>
      </c>
      <c r="EF185" s="31" t="str">
        <f>IF(ISNUMBER(SnapshotTable[[#This Row],[LC Stop  To Use]]), (SnapshotTable[[#This Row],[LC Stop  To Use]] * SnapshotTable[[#This Row],[LC Qty]] * 100),"")</f>
        <v/>
      </c>
      <c r="EG185" s="9" t="str">
        <f>IF(ISNUMBER(SnapshotTable[[#This Row],[LC Total Value]]),SnapshotTable[[#This Row],[LC Stop Loss Amount]] - SnapshotTable[[#This Row],[LC Premium]],"")</f>
        <v/>
      </c>
      <c r="EH185" s="9">
        <f>IF(ISNUMBER(SnapshotTable[[#This Row],[LC Premium]]), SnapshotTable[[#This Row],[LC Qty]] * 100 * SnapshotTable[[#This Row],[LC Strike Price]], "")</f>
        <v>0</v>
      </c>
      <c r="EI185" s="225" t="str">
        <f>IF(AND(ISNUMBER(SnapshotTable[[#This Row],[LC Total Value]]),SnapshotTable[[#This Row],[LC Total Value]]&gt;0),SnapshotTable[[#This Row],[LC Stop Gain Loss]]  / SnapshotTable[[#This Row],[LC Premium]],"")</f>
        <v/>
      </c>
      <c r="EJ185" s="35">
        <f>IF(ISNUMBER(SnapshotTable[[#This Row],[Equity Shares]]),TRUNC(SnapshotTable[[#This Row],[Equity Shares]] / 100),0) + SnapshotTable[[#This Row],[LC Qty]]</f>
        <v>0</v>
      </c>
      <c r="EK185" s="145"/>
      <c r="EL185" s="136"/>
      <c r="EM185" s="146"/>
      <c r="EN185" s="145"/>
      <c r="EO185" s="145"/>
      <c r="EP185" s="136"/>
      <c r="EQ185" s="382" t="b">
        <f>AND(ISNUMBER(SnapshotTable[[#This Row],[SC Exp Date]]), ISNUMBER(SnapshotTable[[#This Row],[SC Strike Price]]), ISNUMBER(SnapshotTable[[#This Row],[SC Qty]]), ISNUMBER(SnapshotTable[[#This Row],[SC Book Date]]), ISNUMBER(SnapshotTable[[#This Row],[SC Book Price]]))</f>
        <v>0</v>
      </c>
      <c r="ER185" s="382" t="b">
        <f>AND(SnapshotTable[[#This Row],[SC Is Booked]], NOT(ISBLANK(SnapshotTable[[#This Row],[SC Fill Date]])))</f>
        <v>0</v>
      </c>
      <c r="ES185" s="340"/>
      <c r="ET185" s="34" t="str">
        <f>IF(AND(ISNUMBER(SnapshotTable[[#This Row],[SC Exp Date]]), ISNUMBER(SnapshotTable[[#This Row],[SC Book Date]])), SnapshotTable[[#This Row],[SC Exp Date]] - MAX(SnapshotTable[[#This Row],[SC Book Date]], SnapshotTable[[#This Row],[SC Fill Date]]) + 1, "")</f>
        <v/>
      </c>
      <c r="EU185" s="34" t="str">
        <f>IF(ISNUMBER(SnapshotTable[[#This Row],[SC Term]]), SnapshotTable[[#This Row],[SC Exp Date]]- MockToday, "")</f>
        <v/>
      </c>
      <c r="EV185" s="31">
        <f>IF(SnapshotTable[[#This Row],[SC Is Booked]], SnapshotTable[[#This Row],[SC Qty]] * SnapshotTable[[#This Row],[SC Book Price]] * 100, 0)</f>
        <v>0</v>
      </c>
      <c r="EW185" s="4" t="str">
        <f>IF(AND(ISNUMBER(SnapshotTable[[#This Row],[Last Price]]), ISNUMBER( SnapshotTable[[#This Row],[SC Book Price]])), SnapshotTable[[#This Row],[Last Price]] - SnapshotTable[[#This Row],[SC Book Price]],"")</f>
        <v/>
      </c>
      <c r="EX185" s="219" t="str">
        <f>IF(SnapshotTable[[#This Row],[SC Is Booked]],IF(SnapshotTable[[#This Row],[SC Intrinsic Value]] &gt; 0, SnapshotTable[[#This Row],[SC Strike Price]], SnapshotTable[[#This Row],[Last Price]]), "")</f>
        <v/>
      </c>
      <c r="EY185" s="4">
        <f>IF(SnapshotTable[[#This Row],[SC Is Booked]], (MinimumPremiumRequired * SnapshotTable[[#This Row],[SC Basis]] * SnapshotTable[[#This Row],[SC Term]]), 0)</f>
        <v>0</v>
      </c>
      <c r="EZ185" s="268"/>
      <c r="FA185" s="204"/>
      <c r="FB185" s="340"/>
      <c r="FC185" s="4">
        <f>IF(SnapshotTable[[#This Row],[SC Is Filled]], btc_max_buyback_amount(SnapshotTable[[#This Row],[SC Fill Date]],SnapshotTable[[#This Row],[SC Exp Date]], SnapshotTable[[#This Row],[SC Book Price]]),0)</f>
        <v>0</v>
      </c>
      <c r="FD185" s="5"/>
      <c r="FE185" s="142" t="str">
        <f>IF(SnapshotTable[[#This Row],[SC Is Filled]], btc_next_cutoff_date(SnapshotTable[[#This Row],[SC Fill Date]],SnapshotTable[[#This Row],[SC Exp Date]]),"")</f>
        <v/>
      </c>
      <c r="FF185" s="4" t="str" cm="1">
        <f t="array" ref="FF185">IF(SnapshotTable[[#This Row],[SC Is Filled]], btc_should_buy_back(SnapshotTable[[#This Row],[SC Fill Date]], SnapshotTable[[#This Row],[SC Exp Date]], SnapshotTable[[#This Row],[SC Book Price]], SnapshotTable[[#This Row],[SC Current Ask]], MockToday, SnapshotTable[[#This Row],[SC Buyback Override]]),"")</f>
        <v/>
      </c>
      <c r="FG185" s="4">
        <f>IF(SnapshotTable[[#This Row],[SC Is Filled]], MAX(0,SnapshotTable[[#This Row],[Last Price]]  - SnapshotTable[[#This Row],[SC Strike Price]]), 0)</f>
        <v>0</v>
      </c>
      <c r="FH185" s="352">
        <f>IF(SnapshotTable[[#This Row],[SC Is Filled]], IF(ISNUMBER(SnapshotTable[[#This Row],[SC Current Ask]]), SnapshotTable[[#This Row],[SC Current Ask]], SnapshotTable[[#This Row],[SC Book Price]]) - SnapshotTable[[#This Row],[SC Intrinsic Value]], 0)</f>
        <v>0</v>
      </c>
      <c r="FI185" s="141"/>
      <c r="FJ185" s="32" t="str">
        <f>IF(SnapshotTable[[#This Row],[SC Is Filled]],100 * SnapshotTable[[#This Row],[SC Qty]] * IF(ISNUMBER(SnapshotTable[[#This Row],[SC Buyback Override]]), SnapshotTable[[#This Row],[SC Buyback Override]], SnapshotTable[[#This Row],[SC Current Ask]]), "")</f>
        <v/>
      </c>
      <c r="FK185" s="235" t="str">
        <f>IF(SnapshotTable[[#This Row],[SC Time Val]]&gt;0, SnapshotTable[[#This Row],[SC Time Val]] / SnapshotTable[[#This Row],[Last Price]],"")</f>
        <v/>
      </c>
      <c r="FL185" s="280" t="str">
        <f>IF(SnapshotTable[[#This Row],[SC Is Booked]], ((SnapshotTable[[#This Row],[Last Price]] -SnapshotTable[[#This Row],[SC Strike Price]]) / SnapshotTable[[#This Row],[Last Price]]) * -1, "")</f>
        <v/>
      </c>
      <c r="FM185" s="155" t="str">
        <f>IF(SnapshotTable[[#This Row],[SC Is Booked]],  (SnapshotTable[[#This Row],[SC Qty]] * 100 * SnapshotTable[[#This Row],[SC Strike Price]]) - SnapshotTable[[#This Row],[SC Current Ask]], "")</f>
        <v/>
      </c>
      <c r="FN18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5" s="31" t="str">
        <f>IF(AND(ISNUMBER(SnapshotTable[[#This Row],[SC Exercise Gross]]), ISNUMBER(SnapshotTable[[#This Row],[Equity Basis Per Share]] )), SnapshotTable[[#This Row],[SC Exercise Gross]] - SnapshotTable[[#This Row],[Equity Basis Total]] +  SnapshotTable[[#This Row],[SC Premium]], "")</f>
        <v/>
      </c>
      <c r="FP185" s="5" t="str">
        <f>IF(ISNUMBER(SnapshotTable[[#This Row],[SC Exercise Gross]]), (SnapshotTable[[#This Row],[SC Exercise Gross]]) / (SnapshotTable[[#This Row],[SC Qty]] * 100), "")</f>
        <v/>
      </c>
      <c r="FQ185" s="27" t="str">
        <f>IF(SnapshotTable[[#This Row],[SC Is Booked]],SnapshotTable[[#This Row],[SC Time Val]] /SnapshotTable[[#This Row],[SC Basis]], "")</f>
        <v/>
      </c>
      <c r="FR185" s="27" t="str" cm="1">
        <f t="array" ref="FR185">IF(AND(ISNUMBER(SnapshotTable[[#This Row],[SC Term]]),ISNUMBER(SnapshotTable[[#This Row],[SC Simple ROO]])), EllmanAnnualize(SnapshotTable[[#This Row],[SC DTE]], SnapshotTable[[#This Row],[SC Simple ROO]] ),"")</f>
        <v/>
      </c>
      <c r="FS185" s="4">
        <f>IF(SnapshotTable[[#This Row],[SC Strike Price]] &gt; SnapshotTable[[#This Row],[Last Price]], SnapshotTable[[#This Row],[SC Strike Price]] - SnapshotTable[[#This Row],[Last Price]],0)</f>
        <v>0</v>
      </c>
      <c r="FT185" s="27" t="str">
        <f>IF(AND(ISNUMBER(SnapshotTable[[#This Row],[SC Upside Potential]]), SnapshotTable[[#This Row],[SC Upside Potential]] &gt; 0),(SnapshotTable[[#This Row],[SC Upside Potential]]/ SnapshotTable[[#This Row],[ACB]]),"")</f>
        <v/>
      </c>
      <c r="FU185" s="304" t="str">
        <f>IF(SnapshotTable[[#This Row],[SC Intrinsic Value]] &gt; 0,SnapshotTable[[#This Row],[SC Intrinsic Value]],"")</f>
        <v/>
      </c>
      <c r="FV185" s="27" t="str">
        <f>IF(AND( ISNUMBER( SnapshotTable[[#This Row],[ACB]]),ISNUMBER(SnapshotTable[[#This Row],[SC Downside Protect]])),SnapshotTable[[#This Row],[SC Downside Protect]] / SnapshotTable[[#This Row],[ACB]],"")</f>
        <v/>
      </c>
      <c r="FW185" s="221" t="str">
        <f>IF(AND(ISNUMBER(SnapshotTable[[#This Row],[SC Simple ROO]]),SnapshotTable[[#This Row],[SC Simple ROO]] &gt; 0), SnapshotTable[[#This Row],[SC Premium]] + (SnapshotTable[[#This Row],[SC Qty]] * SnapshotTable[[#This Row],[SC Upside Potential]]), "")</f>
        <v/>
      </c>
      <c r="FX185" s="280" t="str" cm="1">
        <f t="array" ref="FX185">IF(ISNUMBER(SnapshotTable[[#This Row],[SC Max Dollars]]), annualize(SnapshotTable[[#This Row],[SC Term]],(SnapshotTable[[#This Row],[SC Max Dollars]]/SnapshotTable[[#This Row],[SC Basis]])),"")</f>
        <v/>
      </c>
      <c r="FY185" s="221" t="str">
        <f>IF(AND(SnapshotTable[[#This Row],[SC Qty]]&gt;0,SnapshotTable[[#This Row],[SC Current Ask]]&gt;0), SnapshotTable[[#This Row],[SC Qty]] * SnapshotTable[[#This Row],[SC Current Ask]] * -100, "")</f>
        <v/>
      </c>
      <c r="FZ185" s="31" t="str">
        <f>IF(ISNUMBER((SnapshotTable[[#This Row],[SC Current Value]])), SnapshotTable[[#This Row],[SC Premium]] + SnapshotTable[[#This Row],[SC Current Value]], "")</f>
        <v/>
      </c>
      <c r="GA185" s="272" t="str">
        <f>IFERROR( IF(ISNUMBER((SnapshotTable[[#This Row],[SC Current Value]])), SnapshotTable[[#This Row],[SC Gain Loss]] / SnapshotTable[[#This Row],[SC Premium]], ""), "")</f>
        <v/>
      </c>
      <c r="GB185" s="42">
        <f>SnapshotTable[[#This Row],[Equity Shares]] * SaleSharesToConsiderPercentage</f>
        <v>0</v>
      </c>
      <c r="GC185" s="40">
        <f>SnapshotTable[[#This Row],[Long Term Target]] * SellingPriceToConsiderBasedOnTargetPercentage</f>
        <v>104.70899999999999</v>
      </c>
      <c r="GD185" s="40">
        <f>SnapshotTable[[#This Row],[Last Price]] * (1+ SellingPriceToConsiderBasedOnTargetPercentage)</f>
        <v>665.32049999999992</v>
      </c>
      <c r="GE185" s="41"/>
      <c r="GF185" s="40">
        <v>26.48</v>
      </c>
      <c r="GG185" s="31">
        <f>SnapshotTable[[#This Row],[Booked Sale Shares]] * SnapshotTable[[#This Row],[Booked Sale Price]]</f>
        <v>0</v>
      </c>
      <c r="GH185" s="31" t="str">
        <f>IF(SnapshotTable[[#This Row],[Equity Basis Total]] &gt; 0, SnapshotTable[[#This Row],[Equity Basis Per Share]] * SnapshotTable[[#This Row],[Booked Sale Shares]], "")</f>
        <v/>
      </c>
      <c r="GI185" s="31">
        <f>IF(SnapshotTable[[#This Row],[Sale Proceeds]]&gt;0, SnapshotTable[[#This Row],[Sale Proceeds]] - SnapshotTable[[#This Row],[Sale Basis]], 0)</f>
        <v>0</v>
      </c>
      <c r="GJ185" s="27" t="str">
        <f>IF(SnapshotTable[[#This Row],[Sale G/L]]&gt;0, SnapshotTable[[#This Row],[Sale G/L]] / SnapshotTable[[#This Row],[Sale Basis]], IF(ISNUMBER(SnapshotTable[[#This Row],[SC Exercise P&amp;L (TAX)]]), SnapshotTable[[#This Row],[SC Exercise P&amp;L (TAX)]] / SnapshotTable[[#This Row],[SC Basis]], ""))</f>
        <v/>
      </c>
      <c r="GK185" s="27" t="s">
        <v>591</v>
      </c>
      <c r="GL185" s="43" t="str">
        <f>IF(AND(SnapshotTable[[#This Row],[LP Exp Date]]&gt;0,SnapshotTable[[#This Row],[LP Strike Price]]&gt;0), [1]!ToOptionSymbol(SnapshotTable[[#This Row],[Symbol]], SnapshotTable[[#This Row],[LP Strike Price]],SnapshotTable[[#This Row],[LP Exp Date]],1), "")</f>
        <v/>
      </c>
      <c r="GM185" s="30" t="str">
        <f>IF(LEN(SnapshotTable[[#This Row],[LP Symbol]])&gt;0, 1, "")</f>
        <v/>
      </c>
      <c r="GN185" s="43" t="str">
        <f>IF(AND(SnapshotTable[[#This Row],[SP Exp Date]]&gt;0,SnapshotTable[[#This Row],[SP Strike Price]]&gt;0), [1]!ToOptionSymbol(SnapshotTable[[#This Row],[Symbol]], SnapshotTable[[#This Row],[SP Strike Price]],SnapshotTable[[#This Row],[SP Exp Date]],1), "")</f>
        <v/>
      </c>
      <c r="GO185" s="30" t="str">
        <f>IF(LEN(SnapshotTable[[#This Row],[SP Symbol]])&gt;0, 1, "")</f>
        <v/>
      </c>
      <c r="GP185" s="43" t="str">
        <f>IF(AND(SnapshotTable[[#This Row],[LC Exp Date]]&gt;0,SnapshotTable[[#This Row],[LC Strike Price]]&gt;0), [1]!ToOptionSymbol(SnapshotTable[[#This Row],[Symbol]], SnapshotTable[[#This Row],[LC Strike Price]],SnapshotTable[[#This Row],[LC Exp Date]],0), "")</f>
        <v/>
      </c>
      <c r="GQ185" s="30" t="str">
        <f>IF(LEN(SnapshotTable[[#This Row],[LC Symbol]])&gt;0, 1, "")</f>
        <v/>
      </c>
      <c r="GR185" s="43" t="str">
        <f>IF(AND(SnapshotTable[[#This Row],[SC Exp Date]]&gt;0,SnapshotTable[[#This Row],[SC Strike Price]]&gt;0), [1]!ToOptionSymbol(SnapshotTable[[#This Row],[Symbol]], SnapshotTable[[#This Row],[SC Strike Price]],SnapshotTable[[#This Row],[SC Exp Date]],0), "")</f>
        <v/>
      </c>
      <c r="GS185" s="30" t="str">
        <f>IF(LEN(SnapshotTable[[#This Row],[SC Symbol]])&gt;0, 1, "")</f>
        <v/>
      </c>
      <c r="GT185" s="29" t="str">
        <f>IF(COUNT(SnapshotTable[[#This Row],[LP Symbol Count]],SnapshotTable[[#This Row],[SP Symbol Count]],SnapshotTable[[#This Row],[LC Symbol Count]],SnapshotTable[[#This Row],[SC Symbol Count]])&gt;0, "Y", "")</f>
        <v/>
      </c>
      <c r="GU18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5" s="216">
        <f>MAX(SnapshotTable[[#This Row],[Equity Basis Total]],SnapshotTable[[#This Row],[Equity Value]]) + (SnapshotTable[[#This Row],[SP Potential Spend]]- SnapshotTable[[#This Row],[SP Premium]] + SnapshotTable[[#This Row],[LP Premium]])+ (SnapshotTable[[#This Row],[LC Premium]] - SnapshotTable[[#This Row],[SC Premium]])</f>
        <v>0</v>
      </c>
      <c r="GW185" s="137" t="str">
        <f>IF(AND(SnapshotTable[[#This Row],[Exposure]] &lt;&gt; 0),SnapshotTable[[#This Row],[Exposure]] / SnapshotTable[[#Totals],[Exposure]], "")</f>
        <v/>
      </c>
      <c r="HE185" s="253"/>
      <c r="HF185" s="253"/>
      <c r="HK185" s="1"/>
      <c r="HL185" s="1"/>
      <c r="HM185" s="1"/>
      <c r="HN185" s="1"/>
      <c r="HO185" s="1"/>
      <c r="HP185" s="1"/>
    </row>
    <row r="186" spans="2:224" ht="12.75" hidden="1" customHeight="1" x14ac:dyDescent="0.25">
      <c r="B186" s="12" t="s">
        <v>825</v>
      </c>
      <c r="C186" s="385">
        <v>58.49</v>
      </c>
      <c r="D186" s="200" t="s">
        <v>467</v>
      </c>
      <c r="E186" s="39">
        <f>SnapshotTable[[#This Row],[Last Price]]*(1 -CrashDiscount)</f>
        <v>49.716500000000003</v>
      </c>
      <c r="F186" s="26" t="s">
        <v>497</v>
      </c>
      <c r="G186" s="26" t="s">
        <v>7</v>
      </c>
      <c r="H186" s="147"/>
      <c r="I186" s="186">
        <v>44964</v>
      </c>
      <c r="J186" s="187">
        <v>44964</v>
      </c>
      <c r="K186" s="188"/>
      <c r="L186" s="297"/>
      <c r="M186" s="138"/>
      <c r="N186" s="138"/>
      <c r="O186" s="138"/>
      <c r="P186" s="22"/>
      <c r="Q186" s="25"/>
      <c r="R186" s="4" t="str">
        <f>IF(SnapshotTable[[#This Row],[Equity Basis Total]] &gt; 0, SnapshotTable[[#This Row],[Equity Basis Total]] / SnapshotTable[[#This Row],[Equity Shares]], "")</f>
        <v/>
      </c>
      <c r="S186" s="254">
        <f>SnapshotTable[[#This Row],[Last Price]] * SnapshotTable[[#This Row],[Equity Shares]]</f>
        <v>0</v>
      </c>
      <c r="T186" s="254">
        <f>SnapshotTable[[#This Row],[Equity Value]] - SnapshotTable[[#This Row],[Equity Basis Total]]</f>
        <v>0</v>
      </c>
      <c r="U186" s="255" t="str">
        <f>IF(SnapshotTable[[#This Row],[Equity Basis Total]] &gt; 0, SnapshotTable[[#This Row],[Equity G/L]] / SnapshotTable[[#This Row],[Equity Basis Total]], "")</f>
        <v/>
      </c>
      <c r="V186" s="253"/>
      <c r="W186" s="253"/>
      <c r="X186" s="4" t="str">
        <f>IF(AND(ISNUMBER(SnapshotTable[[#This Row],[Equity Basis Per Share]]),ISNUMBER(SnapshotTable[[#This Row],[Equity Target]])),SnapshotTable[[#This Row],[Equity Target]]-SnapshotTable[[#This Row],[Equity Basis Per Share]],"")</f>
        <v/>
      </c>
      <c r="Y186" s="4" t="str">
        <f>IF(AND(ISNUMBER(SnapshotTable[[#This Row],[Equity Basis Per Share]]),ISNUMBER(SnapshotTable[[#This Row],[Equity Stop Loss]])),SnapshotTable[[#This Row],[Equity Stop Loss]]-SnapshotTable[[#This Row],[Equity Basis Per Share]],"")</f>
        <v/>
      </c>
      <c r="Z186" s="260" t="str">
        <f>IFERROR( TEXT(SnapshotTable[[#This Row],[Equity Max Gain Per Share]] /ABS( SnapshotTable[[#This Row],[Equity Max Loss Per Share]]),"0.0 " ) &amp; " : 1", "")</f>
        <v/>
      </c>
      <c r="AA186" s="31" t="str">
        <f>IF(ISNUMBER(SnapshotTable[[#This Row],[Equity Max Gain Per Share]]),SnapshotTable[[#This Row],[Equity Max Gain Per Share]] * SnapshotTable[[#This Row],[Equity Shares]],"")</f>
        <v/>
      </c>
      <c r="AB186" s="31" t="str">
        <f>IF(ISNUMBER(SnapshotTable[[#This Row],[Equity Max Loss Per Share]]),SnapshotTable[[#This Row],[Equity Max Loss Per Share]] * SnapshotTable[[#This Row],[Equity Shares]],"")</f>
        <v/>
      </c>
      <c r="AC186" s="148"/>
      <c r="AD186" s="149"/>
      <c r="AE186" s="31">
        <f>(SnapshotTable[[#This Row],[Annual Dividend Per Share]] / 4) * SnapshotTable[[#This Row],[Equity Shares]]</f>
        <v>0</v>
      </c>
      <c r="AF186" s="31">
        <f>SnapshotTable[[#This Row],[Quarterly Div $]] * 4</f>
        <v>0</v>
      </c>
      <c r="AG186" s="7">
        <f>IF(SnapshotTable[[#This Row],[Annual Dividend Per Share]]&gt;0, SnapshotTable[[#This Row],[Annual Dividend Per Share]]  / SnapshotTable[[#This Row],[Last Price]], 0)</f>
        <v>0</v>
      </c>
      <c r="AH186" s="149"/>
      <c r="AI186" s="5"/>
      <c r="AJ186" s="136">
        <v>68.930000000000007</v>
      </c>
      <c r="AK186" s="150" t="str">
        <f>IF(ISNUMBER( SnapshotTable[[#This Row],[EBF Target]]),(SnapshotTable[[#This Row],[EBF Target]] - SnapshotTable[[#This Row],[Last Price]]) / SnapshotTable[[#This Row],[Last Price]], "")</f>
        <v/>
      </c>
      <c r="AL186" s="150" t="str">
        <f>IF(AND(SnapshotTable[[#This Row],[Equity Basis Total]] &gt; 0,ISNUMBER( SnapshotTable[[#This Row],[Long Term Target]])), SnapshotTable[[#This Row],[From Basis $]] / SnapshotTable[[#This Row],[Equity Basis Total]], "")</f>
        <v/>
      </c>
      <c r="AM186" s="9">
        <f>IF( AND(SnapshotTable[[#This Row],[Equity Shares]] &gt;0,ISNUMBER( SnapshotTable[[#This Row],[Long Term Target]])),(SnapshotTable[[#This Row],[Equity Shares]] * SnapshotTable[[#This Row],[Long Term Target]]) - SnapshotTable[[#This Row],[Equity Basis Total]],0)</f>
        <v>0</v>
      </c>
      <c r="AN186" s="9">
        <f>IF( AND(SnapshotTable[[#This Row],[Equity Shares]] &gt;0,ISNUMBER( SnapshotTable[[#This Row],[Long Term Target]])),(SnapshotTable[[#This Row],[Equity Shares]]*SnapshotTable[[#This Row],[Long Term Target]]) - SnapshotTable[[#This Row],[Equity Value]],0)</f>
        <v>0</v>
      </c>
      <c r="AO186" s="150">
        <f>IF(AND(ISNUMBER( SnapshotTable[[#This Row],[Long Term Target]]), ISNUMBER(SnapshotTable[[#This Row],[Last Price]])),(SnapshotTable[[#This Row],[Long Term Target]] - SnapshotTable[[#This Row],[Last Price]]) / SnapshotTable[[#This Row],[Last Price]], "")</f>
        <v>0.17849204992306386</v>
      </c>
      <c r="AP186" s="5">
        <v>70</v>
      </c>
      <c r="AQ186" s="38" t="s">
        <v>16</v>
      </c>
      <c r="AR186" s="5">
        <v>70</v>
      </c>
      <c r="AS186" s="38" t="s">
        <v>22</v>
      </c>
      <c r="AT186" s="144" t="s">
        <v>442</v>
      </c>
      <c r="AU186" s="185" t="str">
        <f>IF(OR(SnapshotTable[[#This Row],[LP No Fill]]="Y",SnapshotTable[[#This Row],[SP Is Filled]],SnapshotTable[[#This Row],[LC Not Filled]]="Y",SnapshotTable[[#This Row],[SC Is Filled]]),"Y","")</f>
        <v/>
      </c>
      <c r="AV186" s="205"/>
      <c r="AW186" s="211"/>
      <c r="AX186" s="206"/>
      <c r="AY186" s="205" t="str">
        <f>IF(SnapshotTable[[#This Row],[Implied Move]]&gt;0, SnapshotTable[[#This Row],[Last Price]]-SnapshotTable[[#This Row],[Implied Move]],"")</f>
        <v/>
      </c>
      <c r="AZ186" s="205" t="str">
        <f>IF(SnapshotTable[[#This Row],[Implied Move]]&gt;0, SnapshotTable[[#This Row],[Last Price]] + SnapshotTable[[#This Row],[Implied Move]],"")</f>
        <v/>
      </c>
      <c r="BA186" s="302">
        <v>51.86</v>
      </c>
      <c r="BB186" s="318"/>
      <c r="BC18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6" s="321"/>
      <c r="BE186" s="5"/>
      <c r="BF186" s="14"/>
      <c r="BG186" s="13"/>
      <c r="BH186" s="13"/>
      <c r="BI186" s="5"/>
      <c r="BJ186" s="134">
        <f>IF(SnapshotTable[[#This Row],[LP Qty]] &gt; 0, SnapshotTable[[#This Row],[LP Qty]] * SnapshotTable[[#This Row],[LP Book Price]] * 100,0)</f>
        <v>0</v>
      </c>
      <c r="BK186" s="134">
        <f>IF(SnapshotTable[[#This Row],[LP Premium]] &gt; 0, SnapshotTable[[#This Row],[LP Qty]] * SnapshotTable[[#This Row],[LP Strike Price]] * 100,0)</f>
        <v>0</v>
      </c>
      <c r="BL186" s="152"/>
      <c r="BM186" s="355" t="str">
        <f>IF(SnapshotTable[[#This Row],[LP Premium]] &gt; 0,SnapshotTable[[#This Row],[LP Exp Date]]-MAX(SnapshotTable[[#This Row],[LP Book Date]], SnapshotTable[[#This Row],[LP Fill Date]]),"")</f>
        <v/>
      </c>
      <c r="BN186" s="355" t="str">
        <f>IF(ISNUMBER( SnapshotTable[[#This Row],[LP Term]]), SnapshotTable[[#This Row],[LP Exp Date]] - MockToday,"")</f>
        <v/>
      </c>
      <c r="BO186" s="161" t="str">
        <f>IF(AND(SnapshotTable[[#This Row],[LP Exp Date]]&gt;0, SnapshotTable[[#This Row],[LP Strike Price]]&gt;0,SnapshotTable[[#This Row],[LP Qty]]&gt;0,SnapshotTable[[#This Row],[LP Book Date]]&gt;0,SnapshotTable[[#This Row],[LP Book Price]]&gt;0,SnapshotTable[[#This Row],[LP Fill Date]]=0),"Y","")</f>
        <v/>
      </c>
      <c r="BP186" s="31" t="str">
        <f>IF(AND(SnapshotTable[[#This Row],[LP No Fill]]&lt;&gt;"Y",SnapshotTable[[#This Row],[LP Contract Value]]&gt;0, SnapshotTable[[#This Row],[LP Qty]]&gt;0), SnapshotTable[[#This Row],[LP Contract Value]]*SnapshotTable[[#This Row],[LP Qty]]*100,"")</f>
        <v/>
      </c>
      <c r="BQ186" s="13"/>
      <c r="BR186" s="5"/>
      <c r="BS186" s="36"/>
      <c r="BT186" s="145"/>
      <c r="BU186" s="13"/>
      <c r="BV186" s="5"/>
      <c r="BW186" s="382" t="b">
        <f>AND(ISNUMBER(SnapshotTable[[#This Row],[SP Exp Date]]), ISNUMBER(SnapshotTable[[#This Row],[SP Strike Price]]), ISNUMBER(SnapshotTable[[#This Row],[SP Qty]]), ISNUMBER(SnapshotTable[[#This Row],[SP Book Date]]), ISNUMBER(SnapshotTable[[#This Row],[SP Book Price]]))</f>
        <v>0</v>
      </c>
      <c r="BX186" s="382" t="b">
        <f>AND(SnapshotTable[[#This Row],[SP Is Booked]], NOT(ISBLANK(SnapshotTable[[#This Row],[SP Fill Date]])))</f>
        <v>0</v>
      </c>
      <c r="BY186" s="33">
        <f>IF(SnapshotTable[[#This Row],[SP Is Booked]], SnapshotTable[[#This Row],[SP Qty]] * SnapshotTable[[#This Row],[SP Book Price]] * 100, 0)</f>
        <v>0</v>
      </c>
      <c r="BZ186" s="339"/>
      <c r="CA186" s="338">
        <f>SnapshotTable[[#This Row],[LP Qty]]</f>
        <v>0</v>
      </c>
      <c r="CB186" s="4" t="str">
        <f>IF(SnapshotTable[[#This Row],[SP Is Booked]], SnapshotTable[[#This Row],[SP Strike Price]] - SnapshotTable[[#This Row],[SP Book Price]], "")</f>
        <v/>
      </c>
      <c r="CC186" s="19" t="str">
        <f>IF(SnapshotTable[[#This Row],[SP Is Booked]],SnapshotTable[[#This Row],[SP Exp Date]]-MAX(SnapshotTable[[#This Row],[SP Book Date]], SnapshotTable[[#This Row],[SP Fill Date]]),"")</f>
        <v/>
      </c>
      <c r="CD186" s="7" t="str">
        <f>IF(SnapshotTable[[#This Row],[SP Is Booked]], SnapshotTable[[#This Row],[SP Book Price]]/SnapshotTable[[#This Row],[SP Strike Price]], "")</f>
        <v/>
      </c>
      <c r="CE186" s="7" t="str">
        <f>IF(ISNUMBER(SnapshotTable[[#This Row],[SP ROO Term]]),SnapshotTable[[#This Row],[SP ROO Term]]*(365/SnapshotTable[[#This Row],[SP Term]]),"")</f>
        <v/>
      </c>
      <c r="CF186" s="221">
        <f>SnapshotTable[[#This Row],[LP Strike Price]] * SnapshotTable[[#This Row],[LP Qty]] * 100</f>
        <v>0</v>
      </c>
      <c r="CG186" s="31">
        <f>IF(ISNUMBER(SnapshotTable[[#This Row],[SP Premium]]), (SnapshotTable[[#This Row],[SP Qty]] * SnapshotTable[[#This Row],[SP Strike Price]]* 100) - SnapshotTable[[#This Row],[LP Protection]], 0)</f>
        <v>0</v>
      </c>
      <c r="CH186" s="7" t="str">
        <f>IF(ISNUMBER(SnapshotTable[[#This Row],[SP Break Even]]),-1 * (SnapshotTable[[#This Row],[SP Break Even]] - SnapshotTable[[#This Row],[Last Price]]) / SnapshotTable[[#This Row],[Last Price]], "")</f>
        <v/>
      </c>
      <c r="CI186" s="31">
        <f>IF(AND(ISNUMBER((SnapshotTable[[#This Row],[SP Potential Spend]])), SnapshotTable[[#This Row],[SP Strike Price]] &gt; SnapshotTable[[#This Row],[Last Price]], SnapshotTable[[#This Row],[SP Is Filled]]), SnapshotTable[[#This Row],[SP Potential Spend]] -  SnapshotTable[[#This Row],[LP Max Value]], 0)</f>
        <v>0</v>
      </c>
      <c r="CJ186" s="229"/>
      <c r="CK186" s="31">
        <f>IF(ISNUMBER(SnapshotTable[[#This Row],[SP Potential Spend]]),IF(ISNUMBER(SnapshotTable[[#This Row],[SP POW]]), SnapshotTable[[#This Row],[SP POW]] * SnapshotTable[[#This Row],[SP Potential Spend]], SnapshotTable[[#This Row],[SP Potential Spend]]), "")</f>
        <v>0</v>
      </c>
      <c r="CL186" s="162">
        <f>IF(NOT(SnapshotTable[[#This Row],[SP Is Filled]]),(SnapshotTable[[#This Row],[SP Qty]] * SnapshotTable[[#This Row],[SP Strike Price]] * 100) - SnapshotTable[[#This Row],[LP Max Value]],"")</f>
        <v>0</v>
      </c>
      <c r="CM186" s="31" t="str">
        <f>IF(SnapshotTable[[#This Row],[SP Actual Spend]]&lt;&gt;0, ((SnapshotTable[[#This Row],[SP Strike Price]]-SnapshotTable[[#This Row],[Last Price]]) *(SnapshotTable[[#This Row],[SP Qty]]*100) - SnapshotTable[[#This Row],[SP Premium]]) * - 1, "")</f>
        <v/>
      </c>
      <c r="CN186" s="76"/>
      <c r="CO186" s="339"/>
      <c r="CP186" s="4" t="str">
        <f>IF(SnapshotTable[[#This Row],[SP Is Filled]], btc_max_buyback_amount(SnapshotTable[[#This Row],[SP Fill Date]],SnapshotTable[[#This Row],[SP Exp Date]], SnapshotTable[[#This Row],[SP Book Price]]),"")</f>
        <v/>
      </c>
      <c r="CQ186" s="76"/>
      <c r="CR18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6" s="153" t="str">
        <f>IF(SnapshotTable[[#This Row],[SP Is Filled]], btc_next_cutoff_date(SnapshotTable[[#This Row],[SP Fill Date]],SnapshotTable[[#This Row],[SP Exp Date]]),"")</f>
        <v/>
      </c>
      <c r="CT186" s="220" t="str" cm="1">
        <f t="array" ref="CT186">IF(SnapshotTable[[#This Row],[SP Is Filled]], btc_should_buy_back(SnapshotTable[[#This Row],[SP Fill Date]], SnapshotTable[[#This Row],[SP Exp Date]], SnapshotTable[[#This Row],[SP Book Price]], SnapshotTable[[#This Row],[SP Current Ask]], MockToday, SnapshotTable[[#This Row],[SP Buyback Override]]),"")</f>
        <v/>
      </c>
      <c r="CU186" s="141"/>
      <c r="CV186" s="220"/>
      <c r="CW186" s="348" t="str">
        <f>IF(ISNUMBER( SnapshotTable[[#This Row],[SP Term]]), SnapshotTable[[#This Row],[SP Exp Date]] - MockToday,"")</f>
        <v/>
      </c>
      <c r="CX186" s="31" t="str">
        <f>IF(SnapshotTable[[#This Row],[SP Is Filled]],SnapshotTable[[#This Row],[SP Buyback Price to Use]] * 100 * SnapshotTable[[#This Row],[SP Qty]], "")</f>
        <v/>
      </c>
      <c r="CY186" s="4" t="str">
        <f>IF(ISNUMBER(SnapshotTable[[#This Row],[SP Strike Price]]), SnapshotTable[[#This Row],[SP Strike Price]] * (1 - SP_MaxLoss_StrikePct), "")</f>
        <v/>
      </c>
      <c r="CZ186" s="31" t="str">
        <f>IF(ISNUMBER(SnapshotTable[[#This Row],[SP Strike  Stop Per Share]]),SnapshotTable[[#This Row],[SP Premium]] - ((SnapshotTable[[#This Row],[SP Strike Price]]-SnapshotTable[[#This Row],[SP Strike  Stop Per Share]]) *(SnapshotTable[[#This Row],[SP Qty]] * 100)),"")</f>
        <v/>
      </c>
      <c r="DA186" s="4" t="str">
        <f>IF(AND(ISNUMBER(SnapshotTable[[#This Row],[SP Premium]]),SnapshotTable[[#This Row],[SP Premium]]&gt;0), SnapshotTable[[#This Row],[SP Book Price]] * (1 + SP_MaxLoss_OptionPct), "")</f>
        <v/>
      </c>
      <c r="DB186" s="31" t="str">
        <f>IF(ISNUMBER(SnapshotTable[[#This Row],[SP Option  Stop Contract]]),(SnapshotTable[[#This Row],[SP Option  Stop Contract]] *(SnapshotTable[[#This Row],[SP Qty]] * 100) - SnapshotTable[[#This Row],[SP Premium]]),"")</f>
        <v/>
      </c>
      <c r="DC186" s="4"/>
      <c r="DD186" s="4"/>
      <c r="DE186" s="4" t="str">
        <f>IF(AND(SnapshotTable[[#This Row],[SP Qty]]&gt;0, SnapshotTable[[#This Row],[SP Stop To Use]]&gt;0),SnapshotTable[[#This Row],[SP Premium]] - ( SnapshotTable[[#This Row],[SP Qty]] * SnapshotTable[[#This Row],[SP Stop To Use]] * 100), "")</f>
        <v/>
      </c>
      <c r="DF186" s="31" t="str">
        <f>IF(AND(SnapshotTable[[#This Row],[SP Qty]]&gt;0,SnapshotTable[[#This Row],[SP Current Ask]]&gt;0), SnapshotTable[[#This Row],[SP Qty]] * SnapshotTable[[#This Row],[SP Current Ask]] * -100, "")</f>
        <v/>
      </c>
      <c r="DG186" s="31" t="str">
        <f>IF(ISNUMBER((SnapshotTable[[#This Row],[SP Total Value]])), SnapshotTable[[#This Row],[SP Premium]] + SnapshotTable[[#This Row],[SP Total Value]], "")</f>
        <v/>
      </c>
      <c r="DH186" s="272" t="str">
        <f>IF(ISNUMBER((SnapshotTable[[#This Row],[SP Total Value]])), SnapshotTable[[#This Row],[SP Gain Loss]] / SnapshotTable[[#This Row],[SP Premium]], "")</f>
        <v/>
      </c>
      <c r="DI186" s="369"/>
      <c r="DJ186" s="136"/>
      <c r="DK186" s="146"/>
      <c r="DL186" s="145"/>
      <c r="DM186" s="145"/>
      <c r="DO186" s="31">
        <f>IF(SnapshotTable[[#This Row],[LC Symbol Count]]=1, SnapshotTable[[#This Row],[LC Qty]] * SnapshotTable[[#This Row],[LC Book Price]] * 100, 0)</f>
        <v>0</v>
      </c>
      <c r="DP186" s="161" t="str">
        <f>IF(AND(SnapshotTable[[#This Row],[LC Exp Date]]&gt;0, SnapshotTable[[#This Row],[LC Strike Price]]&gt;0,SnapshotTable[[#This Row],[LC Qty]]&gt;0,SnapshotTable[[#This Row],[LC Book Date]]&gt;0,SnapshotTable[[#This Row],[LC Book Price]]&gt;0,SnapshotTable[[#This Row],[LC Fill Date]]=0),"Y","")</f>
        <v/>
      </c>
      <c r="DQ186" s="356" t="str">
        <f>IF(SnapshotTable[[#This Row],[LC Premium]] &gt; 0,SnapshotTable[[#This Row],[LC Exp Date]]-MAX(SnapshotTable[[#This Row],[LC Book Date]], SnapshotTable[[#This Row],[LC Fill Date]]),"")</f>
        <v/>
      </c>
      <c r="DR186" s="356" t="str">
        <f>IF(ISNUMBER(SnapshotTable[[#This Row],[LC Term]]), SnapshotTable[[#This Row],[LC Exp Date]] - MockToday, "")</f>
        <v/>
      </c>
      <c r="DS186" s="219" t="str">
        <f>IF(SnapshotTable[[#This Row],[LC Premium]]&gt;0,SnapshotTable[[#This Row],[LC Strike Price]] + SnapshotTable[[#This Row],[LC Book Price]],"")</f>
        <v/>
      </c>
      <c r="DU186" s="9" t="str">
        <f>IF(AND(SnapshotTable[[#This Row],[LC Symbol Count]]&gt;0, SnapshotTable[[#This Row],[LC Contract Value]]&gt;0), SnapshotTable[[#This Row],[LC Contract Value]] * SnapshotTable[[#This Row],[LC Qty]] * 100, "")</f>
        <v/>
      </c>
      <c r="DV186" s="9" t="str">
        <f>IF(AND(ISNUMBER(SnapshotTable[[#This Row],[LC Total Value]]), SnapshotTable[[#This Row],[LC Not Filled]]&lt;&gt;"Y"), SnapshotTable[[#This Row],[LC Total Value]]-SnapshotTable[[#This Row],[LC Premium]],"")</f>
        <v/>
      </c>
      <c r="DW186" s="225" t="str">
        <f>IF(ISNUMBER(SnapshotTable[[#This Row],[LC Actual Gain Loss]]), SnapshotTable[[#This Row],[LC Actual Gain Loss]] / SnapshotTable[[#This Row],[LC Premium]],"")</f>
        <v/>
      </c>
      <c r="DX186" s="269" t="str">
        <f>IF(ISNUMBER(SnapshotTable[[#This Row],[LC Book Price]]),SnapshotTable[[#This Row],[LC Book Price]] * 1.5,"")</f>
        <v/>
      </c>
      <c r="DY186" s="250" t="str">
        <f>IF(SnapshotTable[[#This Row],[LC Premium]]&gt;0, SnapshotTable[[#This Row],[LC Next Target]] * SnapshotTable[[#This Row],[LC Qty]] * 100,"")</f>
        <v/>
      </c>
      <c r="DZ186" s="250" t="str">
        <f>IF(ISNUMBER(SnapshotTable[[#This Row],[LC Target Gross]]), SnapshotTable[[#This Row],[LC Target Gross]] - SnapshotTable[[#This Row],[LC Premium]], "")</f>
        <v/>
      </c>
      <c r="EA186" s="283" t="str">
        <f>IF(ISNUMBER(SnapshotTable[[#This Row],[LC Target Gain Loss]]), SnapshotTable[[#This Row],[LC Target Gain Loss]]/SnapshotTable[[#This Row],[LC Premium]], "")</f>
        <v/>
      </c>
      <c r="EB186" s="247"/>
      <c r="EC186" s="268" t="str">
        <f>IF(SnapshotTable[[#This Row],[LC Premium]]&gt;0, SnapshotTable[[#This Row],[LC Book Price]] * (1 - LC_StopLoss_Pct),"")</f>
        <v/>
      </c>
      <c r="ED186" s="269"/>
      <c r="EE186" s="268" t="str">
        <f>IF(ISNUMBER(SnapshotTable[[#This Row],[LC Contract Value]]),IF(ISNUMBER(SnapshotTable[[#This Row],[LC Stop Loss Override]]), SnapshotTable[[#This Row],[LC Stop Loss Override]],SnapshotTable[[#This Row],[LC Stop Loss Calc Target]]),"")</f>
        <v/>
      </c>
      <c r="EF186" s="31" t="str">
        <f>IF(ISNUMBER(SnapshotTable[[#This Row],[LC Stop  To Use]]), (SnapshotTable[[#This Row],[LC Stop  To Use]] * SnapshotTable[[#This Row],[LC Qty]] * 100),"")</f>
        <v/>
      </c>
      <c r="EG186" s="9" t="str">
        <f>IF(ISNUMBER(SnapshotTable[[#This Row],[LC Total Value]]),SnapshotTable[[#This Row],[LC Stop Loss Amount]] - SnapshotTable[[#This Row],[LC Premium]],"")</f>
        <v/>
      </c>
      <c r="EH186" s="9">
        <f>IF(ISNUMBER(SnapshotTable[[#This Row],[LC Premium]]), SnapshotTable[[#This Row],[LC Qty]] * 100 * SnapshotTable[[#This Row],[LC Strike Price]], "")</f>
        <v>0</v>
      </c>
      <c r="EI186" s="225" t="str">
        <f>IF(AND(ISNUMBER(SnapshotTable[[#This Row],[LC Total Value]]),SnapshotTable[[#This Row],[LC Total Value]]&gt;0),SnapshotTable[[#This Row],[LC Stop Gain Loss]]  / SnapshotTable[[#This Row],[LC Premium]],"")</f>
        <v/>
      </c>
      <c r="EJ186" s="35">
        <f>IF(ISNUMBER(SnapshotTable[[#This Row],[Equity Shares]]),TRUNC(SnapshotTable[[#This Row],[Equity Shares]] / 100),0) + SnapshotTable[[#This Row],[LC Qty]]</f>
        <v>0</v>
      </c>
      <c r="EK186" s="145"/>
      <c r="EL186" s="136"/>
      <c r="EM186" s="146"/>
      <c r="EN186" s="145"/>
      <c r="EO186" s="145"/>
      <c r="EP186" s="136"/>
      <c r="EQ186" s="382" t="b">
        <f>AND(ISNUMBER(SnapshotTable[[#This Row],[SC Exp Date]]), ISNUMBER(SnapshotTable[[#This Row],[SC Strike Price]]), ISNUMBER(SnapshotTable[[#This Row],[SC Qty]]), ISNUMBER(SnapshotTable[[#This Row],[SC Book Date]]), ISNUMBER(SnapshotTable[[#This Row],[SC Book Price]]))</f>
        <v>0</v>
      </c>
      <c r="ER186" s="382" t="b">
        <f>AND(SnapshotTable[[#This Row],[SC Is Booked]], NOT(ISBLANK(SnapshotTable[[#This Row],[SC Fill Date]])))</f>
        <v>0</v>
      </c>
      <c r="ES186" s="340"/>
      <c r="ET186" s="34" t="str">
        <f>IF(AND(ISNUMBER(SnapshotTable[[#This Row],[SC Exp Date]]), ISNUMBER(SnapshotTable[[#This Row],[SC Book Date]])), SnapshotTable[[#This Row],[SC Exp Date]] - MAX(SnapshotTable[[#This Row],[SC Book Date]], SnapshotTable[[#This Row],[SC Fill Date]]) + 1, "")</f>
        <v/>
      </c>
      <c r="EU186" s="34" t="str">
        <f>IF(ISNUMBER(SnapshotTable[[#This Row],[SC Term]]), SnapshotTable[[#This Row],[SC Exp Date]]- MockToday, "")</f>
        <v/>
      </c>
      <c r="EV186" s="31">
        <f>IF(SnapshotTable[[#This Row],[SC Is Booked]], SnapshotTable[[#This Row],[SC Qty]] * SnapshotTable[[#This Row],[SC Book Price]] * 100, 0)</f>
        <v>0</v>
      </c>
      <c r="EW186" s="4" t="str">
        <f>IF(AND(ISNUMBER(SnapshotTable[[#This Row],[Last Price]]), ISNUMBER( SnapshotTable[[#This Row],[SC Book Price]])), SnapshotTable[[#This Row],[Last Price]] - SnapshotTable[[#This Row],[SC Book Price]],"")</f>
        <v/>
      </c>
      <c r="EX186" s="219" t="str">
        <f>IF(SnapshotTable[[#This Row],[SC Is Booked]],IF(SnapshotTable[[#This Row],[SC Intrinsic Value]] &gt; 0, SnapshotTable[[#This Row],[SC Strike Price]], SnapshotTable[[#This Row],[Last Price]]), "")</f>
        <v/>
      </c>
      <c r="EY186" s="4">
        <f>IF(SnapshotTable[[#This Row],[SC Is Booked]], (MinimumPremiumRequired * SnapshotTable[[#This Row],[SC Basis]] * SnapshotTable[[#This Row],[SC Term]]), 0)</f>
        <v>0</v>
      </c>
      <c r="EZ186" s="268"/>
      <c r="FA186" s="204"/>
      <c r="FB186" s="340"/>
      <c r="FC186" s="4">
        <f>IF(SnapshotTable[[#This Row],[SC Is Filled]], btc_max_buyback_amount(SnapshotTable[[#This Row],[SC Fill Date]],SnapshotTable[[#This Row],[SC Exp Date]], SnapshotTable[[#This Row],[SC Book Price]]),0)</f>
        <v>0</v>
      </c>
      <c r="FD186" s="5"/>
      <c r="FE186" s="142" t="str">
        <f>IF(SnapshotTable[[#This Row],[SC Is Filled]], btc_next_cutoff_date(SnapshotTable[[#This Row],[SC Fill Date]],SnapshotTable[[#This Row],[SC Exp Date]]),"")</f>
        <v/>
      </c>
      <c r="FF186" s="4" t="str" cm="1">
        <f t="array" ref="FF186">IF(SnapshotTable[[#This Row],[SC Is Filled]], btc_should_buy_back(SnapshotTable[[#This Row],[SC Fill Date]], SnapshotTable[[#This Row],[SC Exp Date]], SnapshotTable[[#This Row],[SC Book Price]], SnapshotTable[[#This Row],[SC Current Ask]], MockToday, SnapshotTable[[#This Row],[SC Buyback Override]]),"")</f>
        <v/>
      </c>
      <c r="FG186" s="4">
        <f>IF(SnapshotTable[[#This Row],[SC Is Filled]], MAX(0,SnapshotTable[[#This Row],[Last Price]]  - SnapshotTable[[#This Row],[SC Strike Price]]), 0)</f>
        <v>0</v>
      </c>
      <c r="FH186" s="352">
        <f>IF(SnapshotTable[[#This Row],[SC Is Filled]], IF(ISNUMBER(SnapshotTable[[#This Row],[SC Current Ask]]), SnapshotTable[[#This Row],[SC Current Ask]], SnapshotTable[[#This Row],[SC Book Price]]) - SnapshotTable[[#This Row],[SC Intrinsic Value]], 0)</f>
        <v>0</v>
      </c>
      <c r="FI186" s="141"/>
      <c r="FJ186" s="32" t="str">
        <f>IF(SnapshotTable[[#This Row],[SC Is Filled]],100 * SnapshotTable[[#This Row],[SC Qty]] * IF(ISNUMBER(SnapshotTable[[#This Row],[SC Buyback Override]]), SnapshotTable[[#This Row],[SC Buyback Override]], SnapshotTable[[#This Row],[SC Current Ask]]), "")</f>
        <v/>
      </c>
      <c r="FK186" s="235" t="str">
        <f>IF(SnapshotTable[[#This Row],[SC Time Val]]&gt;0, SnapshotTable[[#This Row],[SC Time Val]] / SnapshotTable[[#This Row],[Last Price]],"")</f>
        <v/>
      </c>
      <c r="FL186" s="280" t="str">
        <f>IF(SnapshotTable[[#This Row],[SC Is Booked]], ((SnapshotTable[[#This Row],[Last Price]] -SnapshotTable[[#This Row],[SC Strike Price]]) / SnapshotTable[[#This Row],[Last Price]]) * -1, "")</f>
        <v/>
      </c>
      <c r="FM186" s="155" t="str">
        <f>IF(SnapshotTable[[#This Row],[SC Is Booked]],  (SnapshotTable[[#This Row],[SC Qty]] * 100 * SnapshotTable[[#This Row],[SC Strike Price]]) - SnapshotTable[[#This Row],[SC Current Ask]], "")</f>
        <v/>
      </c>
      <c r="FN18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6" s="31" t="str">
        <f>IF(AND(ISNUMBER(SnapshotTable[[#This Row],[SC Exercise Gross]]), ISNUMBER(SnapshotTable[[#This Row],[Equity Basis Per Share]] )), SnapshotTable[[#This Row],[SC Exercise Gross]] - SnapshotTable[[#This Row],[Equity Basis Total]] +  SnapshotTable[[#This Row],[SC Premium]], "")</f>
        <v/>
      </c>
      <c r="FP186" s="5" t="str">
        <f>IF(ISNUMBER(SnapshotTable[[#This Row],[SC Exercise Gross]]), (SnapshotTable[[#This Row],[SC Exercise Gross]]) / (SnapshotTable[[#This Row],[SC Qty]] * 100), "")</f>
        <v/>
      </c>
      <c r="FQ186" s="27" t="str">
        <f>IF(SnapshotTable[[#This Row],[SC Is Booked]],SnapshotTable[[#This Row],[SC Time Val]] /SnapshotTable[[#This Row],[SC Basis]], "")</f>
        <v/>
      </c>
      <c r="FR186" s="27" t="str" cm="1">
        <f t="array" ref="FR186">IF(AND(ISNUMBER(SnapshotTable[[#This Row],[SC Term]]),ISNUMBER(SnapshotTable[[#This Row],[SC Simple ROO]])), EllmanAnnualize(SnapshotTable[[#This Row],[SC DTE]], SnapshotTable[[#This Row],[SC Simple ROO]] ),"")</f>
        <v/>
      </c>
      <c r="FS186" s="4">
        <f>IF(SnapshotTable[[#This Row],[SC Strike Price]] &gt; SnapshotTable[[#This Row],[Last Price]], SnapshotTable[[#This Row],[SC Strike Price]] - SnapshotTable[[#This Row],[Last Price]],0)</f>
        <v>0</v>
      </c>
      <c r="FT186" s="27" t="str">
        <f>IF(AND(ISNUMBER(SnapshotTable[[#This Row],[SC Upside Potential]]), SnapshotTable[[#This Row],[SC Upside Potential]] &gt; 0),(SnapshotTable[[#This Row],[SC Upside Potential]]/ SnapshotTable[[#This Row],[ACB]]),"")</f>
        <v/>
      </c>
      <c r="FU186" s="304" t="str">
        <f>IF(SnapshotTable[[#This Row],[SC Intrinsic Value]] &gt; 0,SnapshotTable[[#This Row],[SC Intrinsic Value]],"")</f>
        <v/>
      </c>
      <c r="FV186" s="27" t="str">
        <f>IF(AND( ISNUMBER( SnapshotTable[[#This Row],[ACB]]),ISNUMBER(SnapshotTable[[#This Row],[SC Downside Protect]])),SnapshotTable[[#This Row],[SC Downside Protect]] / SnapshotTable[[#This Row],[ACB]],"")</f>
        <v/>
      </c>
      <c r="FW186" s="221" t="str">
        <f>IF(AND(ISNUMBER(SnapshotTable[[#This Row],[SC Simple ROO]]),SnapshotTable[[#This Row],[SC Simple ROO]] &gt; 0), SnapshotTable[[#This Row],[SC Premium]] + (SnapshotTable[[#This Row],[SC Qty]] * SnapshotTable[[#This Row],[SC Upside Potential]]), "")</f>
        <v/>
      </c>
      <c r="FX186" s="280" t="str" cm="1">
        <f t="array" ref="FX186">IF(ISNUMBER(SnapshotTable[[#This Row],[SC Max Dollars]]), annualize(SnapshotTable[[#This Row],[SC Term]],(SnapshotTable[[#This Row],[SC Max Dollars]]/SnapshotTable[[#This Row],[SC Basis]])),"")</f>
        <v/>
      </c>
      <c r="FY186" s="221" t="str">
        <f>IF(AND(SnapshotTable[[#This Row],[SC Qty]]&gt;0,SnapshotTable[[#This Row],[SC Current Ask]]&gt;0), SnapshotTable[[#This Row],[SC Qty]] * SnapshotTable[[#This Row],[SC Current Ask]] * -100, "")</f>
        <v/>
      </c>
      <c r="FZ186" s="31" t="str">
        <f>IF(ISNUMBER((SnapshotTable[[#This Row],[SC Current Value]])), SnapshotTable[[#This Row],[SC Premium]] + SnapshotTable[[#This Row],[SC Current Value]], "")</f>
        <v/>
      </c>
      <c r="GA186" s="272" t="str">
        <f>IFERROR( IF(ISNUMBER((SnapshotTable[[#This Row],[SC Current Value]])), SnapshotTable[[#This Row],[SC Gain Loss]] / SnapshotTable[[#This Row],[SC Premium]], ""), "")</f>
        <v/>
      </c>
      <c r="GB186" s="42">
        <f>SnapshotTable[[#This Row],[Equity Shares]] * SaleSharesToConsiderPercentage</f>
        <v>0</v>
      </c>
      <c r="GC186" s="40">
        <f>SnapshotTable[[#This Row],[Long Term Target]] * SellingPriceToConsiderBasedOnTargetPercentage</f>
        <v>65.483500000000006</v>
      </c>
      <c r="GD186" s="40">
        <f>SnapshotTable[[#This Row],[Last Price]] * (1+ SellingPriceToConsiderBasedOnTargetPercentage)</f>
        <v>114.05549999999999</v>
      </c>
      <c r="GE186" s="41"/>
      <c r="GF186" s="40"/>
      <c r="GG186" s="31">
        <f>SnapshotTable[[#This Row],[Booked Sale Shares]] * SnapshotTable[[#This Row],[Booked Sale Price]]</f>
        <v>0</v>
      </c>
      <c r="GH186" s="31" t="str">
        <f>IF(SnapshotTable[[#This Row],[Equity Basis Total]] &gt; 0, SnapshotTable[[#This Row],[Equity Basis Per Share]] * SnapshotTable[[#This Row],[Booked Sale Shares]], "")</f>
        <v/>
      </c>
      <c r="GI186" s="31">
        <f>IF(SnapshotTable[[#This Row],[Sale Proceeds]]&gt;0, SnapshotTable[[#This Row],[Sale Proceeds]] - SnapshotTable[[#This Row],[Sale Basis]], 0)</f>
        <v>0</v>
      </c>
      <c r="GJ186" s="27" t="str">
        <f>IF(SnapshotTable[[#This Row],[Sale G/L]]&gt;0, SnapshotTable[[#This Row],[Sale G/L]] / SnapshotTable[[#This Row],[Sale Basis]], IF(ISNUMBER(SnapshotTable[[#This Row],[SC Exercise P&amp;L (TAX)]]), SnapshotTable[[#This Row],[SC Exercise P&amp;L (TAX)]] / SnapshotTable[[#This Row],[SC Basis]], ""))</f>
        <v/>
      </c>
      <c r="GK186" s="27" t="s">
        <v>826</v>
      </c>
      <c r="GL186" s="43" t="str">
        <f>IF(AND(SnapshotTable[[#This Row],[LP Exp Date]]&gt;0,SnapshotTable[[#This Row],[LP Strike Price]]&gt;0), [1]!ToOptionSymbol(SnapshotTable[[#This Row],[Symbol]], SnapshotTable[[#This Row],[LP Strike Price]],SnapshotTable[[#This Row],[LP Exp Date]],1), "")</f>
        <v/>
      </c>
      <c r="GM186" s="30" t="str">
        <f>IF(LEN(SnapshotTable[[#This Row],[LP Symbol]])&gt;0, 1, "")</f>
        <v/>
      </c>
      <c r="GN186" s="43" t="str">
        <f>IF(AND(SnapshotTable[[#This Row],[SP Exp Date]]&gt;0,SnapshotTable[[#This Row],[SP Strike Price]]&gt;0), [1]!ToOptionSymbol(SnapshotTable[[#This Row],[Symbol]], SnapshotTable[[#This Row],[SP Strike Price]],SnapshotTable[[#This Row],[SP Exp Date]],1), "")</f>
        <v/>
      </c>
      <c r="GO186" s="30" t="str">
        <f>IF(LEN(SnapshotTable[[#This Row],[SP Symbol]])&gt;0, 1, "")</f>
        <v/>
      </c>
      <c r="GP186" s="43" t="str">
        <f>IF(AND(SnapshotTable[[#This Row],[LC Exp Date]]&gt;0,SnapshotTable[[#This Row],[LC Strike Price]]&gt;0), [1]!ToOptionSymbol(SnapshotTable[[#This Row],[Symbol]], SnapshotTable[[#This Row],[LC Strike Price]],SnapshotTable[[#This Row],[LC Exp Date]],0), "")</f>
        <v/>
      </c>
      <c r="GQ186" s="30" t="str">
        <f>IF(LEN(SnapshotTable[[#This Row],[LC Symbol]])&gt;0, 1, "")</f>
        <v/>
      </c>
      <c r="GR186" s="43" t="str">
        <f>IF(AND(SnapshotTable[[#This Row],[SC Exp Date]]&gt;0,SnapshotTable[[#This Row],[SC Strike Price]]&gt;0), [1]!ToOptionSymbol(SnapshotTable[[#This Row],[Symbol]], SnapshotTable[[#This Row],[SC Strike Price]],SnapshotTable[[#This Row],[SC Exp Date]],0), "")</f>
        <v/>
      </c>
      <c r="GS186" s="30" t="str">
        <f>IF(LEN(SnapshotTable[[#This Row],[SC Symbol]])&gt;0, 1, "")</f>
        <v/>
      </c>
      <c r="GT186" s="29" t="str">
        <f>IF(COUNT(SnapshotTable[[#This Row],[LP Symbol Count]],SnapshotTable[[#This Row],[SP Symbol Count]],SnapshotTable[[#This Row],[LC Symbol Count]],SnapshotTable[[#This Row],[SC Symbol Count]])&gt;0, "Y", "")</f>
        <v/>
      </c>
      <c r="GU18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6" s="216">
        <f>MAX(SnapshotTable[[#This Row],[Equity Basis Total]],SnapshotTable[[#This Row],[Equity Value]]) + (SnapshotTable[[#This Row],[SP Potential Spend]]- SnapshotTable[[#This Row],[SP Premium]] + SnapshotTable[[#This Row],[LP Premium]])+ (SnapshotTable[[#This Row],[LC Premium]] - SnapshotTable[[#This Row],[SC Premium]])</f>
        <v>0</v>
      </c>
      <c r="GW186" s="137" t="str">
        <f>IF(AND(SnapshotTable[[#This Row],[Exposure]] &lt;&gt; 0),SnapshotTable[[#This Row],[Exposure]] / SnapshotTable[[#Totals],[Exposure]], "")</f>
        <v/>
      </c>
      <c r="HE186" s="253"/>
      <c r="HF186" s="253"/>
      <c r="HK186" s="1"/>
      <c r="HL186" s="1"/>
      <c r="HM186" s="1"/>
      <c r="HN186" s="1"/>
      <c r="HO186" s="1"/>
      <c r="HP186" s="1"/>
    </row>
    <row r="187" spans="2:224" ht="12.75" hidden="1" customHeight="1" x14ac:dyDescent="0.25">
      <c r="B187" s="12" t="s">
        <v>434</v>
      </c>
      <c r="C187" s="385">
        <v>150.75</v>
      </c>
      <c r="D187" s="200"/>
      <c r="E187" s="39">
        <f>SnapshotTable[[#This Row],[Last Price]]*(1 -CrashDiscount)</f>
        <v>128.13749999999999</v>
      </c>
      <c r="F187" s="26" t="s">
        <v>75</v>
      </c>
      <c r="G187" s="26" t="s">
        <v>32</v>
      </c>
      <c r="H187" s="147"/>
      <c r="I187" s="186">
        <v>44777.670138888891</v>
      </c>
      <c r="J187" s="187">
        <v>44777.670138888891</v>
      </c>
      <c r="K187" s="188"/>
      <c r="L187" s="297"/>
      <c r="M187" s="138"/>
      <c r="N187" s="138"/>
      <c r="O187" s="138"/>
      <c r="P187" s="22"/>
      <c r="Q187" s="25"/>
      <c r="R187" s="4" t="str">
        <f>IF(SnapshotTable[[#This Row],[Equity Basis Total]] &gt; 0, SnapshotTable[[#This Row],[Equity Basis Total]] / SnapshotTable[[#This Row],[Equity Shares]], "")</f>
        <v/>
      </c>
      <c r="S187" s="254">
        <f>SnapshotTable[[#This Row],[Last Price]] * SnapshotTable[[#This Row],[Equity Shares]]</f>
        <v>0</v>
      </c>
      <c r="T187" s="254">
        <f>SnapshotTable[[#This Row],[Equity Value]] - SnapshotTable[[#This Row],[Equity Basis Total]]</f>
        <v>0</v>
      </c>
      <c r="U187" s="255" t="str">
        <f>IF(SnapshotTable[[#This Row],[Equity Basis Total]] &gt; 0, SnapshotTable[[#This Row],[Equity G/L]] / SnapshotTable[[#This Row],[Equity Basis Total]], "")</f>
        <v/>
      </c>
      <c r="V187" s="253"/>
      <c r="W187" s="253"/>
      <c r="X187" s="4" t="str">
        <f>IF(AND(ISNUMBER(SnapshotTable[[#This Row],[Equity Basis Per Share]]),ISNUMBER(SnapshotTable[[#This Row],[Equity Target]])),SnapshotTable[[#This Row],[Equity Target]]-SnapshotTable[[#This Row],[Equity Basis Per Share]],"")</f>
        <v/>
      </c>
      <c r="Y187" s="4" t="str">
        <f>IF(AND(ISNUMBER(SnapshotTable[[#This Row],[Equity Basis Per Share]]),ISNUMBER(SnapshotTable[[#This Row],[Equity Stop Loss]])),SnapshotTable[[#This Row],[Equity Stop Loss]]-SnapshotTable[[#This Row],[Equity Basis Per Share]],"")</f>
        <v/>
      </c>
      <c r="Z187" s="260" t="str">
        <f>IFERROR( TEXT(SnapshotTable[[#This Row],[Equity Max Gain Per Share]] /ABS( SnapshotTable[[#This Row],[Equity Max Loss Per Share]]),"0.0 " ) &amp; " : 1", "")</f>
        <v/>
      </c>
      <c r="AA187" s="31" t="str">
        <f>IF(ISNUMBER(SnapshotTable[[#This Row],[Equity Max Gain Per Share]]),SnapshotTable[[#This Row],[Equity Max Gain Per Share]] * SnapshotTable[[#This Row],[Equity Shares]],"")</f>
        <v/>
      </c>
      <c r="AB187" s="31" t="str">
        <f>IF(ISNUMBER(SnapshotTable[[#This Row],[Equity Max Loss Per Share]]),SnapshotTable[[#This Row],[Equity Max Loss Per Share]] * SnapshotTable[[#This Row],[Equity Shares]],"")</f>
        <v/>
      </c>
      <c r="AC187" s="148"/>
      <c r="AD187" s="149"/>
      <c r="AE187" s="31">
        <f>(SnapshotTable[[#This Row],[Annual Dividend Per Share]] / 4) * SnapshotTable[[#This Row],[Equity Shares]]</f>
        <v>0</v>
      </c>
      <c r="AF187" s="31">
        <f>SnapshotTable[[#This Row],[Quarterly Div $]] * 4</f>
        <v>0</v>
      </c>
      <c r="AG187" s="7">
        <f>IF(SnapshotTable[[#This Row],[Annual Dividend Per Share]]&gt;0, SnapshotTable[[#This Row],[Annual Dividend Per Share]]  / SnapshotTable[[#This Row],[Last Price]], 0)</f>
        <v>0</v>
      </c>
      <c r="AH187" s="149"/>
      <c r="AI187" s="5"/>
      <c r="AJ187" s="136">
        <v>108.33</v>
      </c>
      <c r="AK187" s="150" t="str">
        <f>IF(ISNUMBER( SnapshotTable[[#This Row],[EBF Target]]),(SnapshotTable[[#This Row],[EBF Target]] - SnapshotTable[[#This Row],[Last Price]]) / SnapshotTable[[#This Row],[Last Price]], "")</f>
        <v/>
      </c>
      <c r="AL187" s="150" t="str">
        <f>IF(AND(SnapshotTable[[#This Row],[Equity Basis Total]] &gt; 0,ISNUMBER( SnapshotTable[[#This Row],[Long Term Target]])), SnapshotTable[[#This Row],[From Basis $]] / SnapshotTable[[#This Row],[Equity Basis Total]], "")</f>
        <v/>
      </c>
      <c r="AM187" s="9">
        <f>IF( AND(SnapshotTable[[#This Row],[Equity Shares]] &gt;0,ISNUMBER( SnapshotTable[[#This Row],[Long Term Target]])),(SnapshotTable[[#This Row],[Equity Shares]] * SnapshotTable[[#This Row],[Long Term Target]]) - SnapshotTable[[#This Row],[Equity Basis Total]],0)</f>
        <v>0</v>
      </c>
      <c r="AN187" s="9">
        <f>IF( AND(SnapshotTable[[#This Row],[Equity Shares]] &gt;0,ISNUMBER( SnapshotTable[[#This Row],[Long Term Target]])),(SnapshotTable[[#This Row],[Equity Shares]]*SnapshotTable[[#This Row],[Long Term Target]]) - SnapshotTable[[#This Row],[Equity Value]],0)</f>
        <v>0</v>
      </c>
      <c r="AO187" s="150">
        <f>IF(AND(ISNUMBER( SnapshotTable[[#This Row],[Long Term Target]]), ISNUMBER(SnapshotTable[[#This Row],[Last Price]])),(SnapshotTable[[#This Row],[Long Term Target]] - SnapshotTable[[#This Row],[Last Price]]) / SnapshotTable[[#This Row],[Last Price]], "")</f>
        <v>-0.28139303482587064</v>
      </c>
      <c r="AP187" s="5">
        <v>95</v>
      </c>
      <c r="AQ187" s="38" t="s">
        <v>16</v>
      </c>
      <c r="AR187" s="5">
        <v>85</v>
      </c>
      <c r="AS187" s="38" t="s">
        <v>19</v>
      </c>
      <c r="AT187" s="144" t="s">
        <v>435</v>
      </c>
      <c r="AU187" s="185" t="str">
        <f>IF(OR(SnapshotTable[[#This Row],[LP No Fill]]="Y",SnapshotTable[[#This Row],[SP Is Filled]],SnapshotTable[[#This Row],[LC Not Filled]]="Y",SnapshotTable[[#This Row],[SC Is Filled]]),"Y","")</f>
        <v/>
      </c>
      <c r="AV187" s="205"/>
      <c r="AW187" s="211"/>
      <c r="AX187" s="206"/>
      <c r="AY187" s="205" t="str">
        <f>IF(SnapshotTable[[#This Row],[Implied Move]]&gt;0, SnapshotTable[[#This Row],[Last Price]]-SnapshotTable[[#This Row],[Implied Move]],"")</f>
        <v/>
      </c>
      <c r="AZ187" s="205" t="str">
        <f>IF(SnapshotTable[[#This Row],[Implied Move]]&gt;0, SnapshotTable[[#This Row],[Last Price]] + SnapshotTable[[#This Row],[Implied Move]],"")</f>
        <v/>
      </c>
      <c r="BA187" s="302"/>
      <c r="BB187" s="318"/>
      <c r="BC18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7" s="321"/>
      <c r="BE187" s="5"/>
      <c r="BF187" s="14"/>
      <c r="BG187" s="13"/>
      <c r="BH187" s="13"/>
      <c r="BI187" s="5"/>
      <c r="BJ187" s="134">
        <f>IF(SnapshotTable[[#This Row],[LP Qty]] &gt; 0, SnapshotTable[[#This Row],[LP Qty]] * SnapshotTable[[#This Row],[LP Book Price]] * 100,0)</f>
        <v>0</v>
      </c>
      <c r="BK187" s="134">
        <f>IF(SnapshotTable[[#This Row],[LP Premium]] &gt; 0, SnapshotTable[[#This Row],[LP Qty]] * SnapshotTable[[#This Row],[LP Strike Price]] * 100,0)</f>
        <v>0</v>
      </c>
      <c r="BL187" s="152"/>
      <c r="BM187" s="355" t="str">
        <f>IF(SnapshotTable[[#This Row],[LP Premium]] &gt; 0,SnapshotTable[[#This Row],[LP Exp Date]]-MAX(SnapshotTable[[#This Row],[LP Book Date]], SnapshotTable[[#This Row],[LP Fill Date]]),"")</f>
        <v/>
      </c>
      <c r="BN187" s="355" t="str">
        <f>IF(ISNUMBER( SnapshotTable[[#This Row],[LP Term]]), SnapshotTable[[#This Row],[LP Exp Date]] - MockToday,"")</f>
        <v/>
      </c>
      <c r="BO187" s="161" t="str">
        <f>IF(AND(SnapshotTable[[#This Row],[LP Exp Date]]&gt;0, SnapshotTable[[#This Row],[LP Strike Price]]&gt;0,SnapshotTable[[#This Row],[LP Qty]]&gt;0,SnapshotTable[[#This Row],[LP Book Date]]&gt;0,SnapshotTable[[#This Row],[LP Book Price]]&gt;0,SnapshotTable[[#This Row],[LP Fill Date]]=0),"Y","")</f>
        <v/>
      </c>
      <c r="BP187" s="31" t="str">
        <f>IF(AND(SnapshotTable[[#This Row],[LP No Fill]]&lt;&gt;"Y",SnapshotTable[[#This Row],[LP Contract Value]]&gt;0, SnapshotTable[[#This Row],[LP Qty]]&gt;0), SnapshotTable[[#This Row],[LP Contract Value]]*SnapshotTable[[#This Row],[LP Qty]]*100,"")</f>
        <v/>
      </c>
      <c r="BQ187" s="13"/>
      <c r="BR187" s="5"/>
      <c r="BS187" s="36"/>
      <c r="BT187" s="145"/>
      <c r="BU187" s="13"/>
      <c r="BV187" s="5"/>
      <c r="BW187" s="382" t="b">
        <f>AND(ISNUMBER(SnapshotTable[[#This Row],[SP Exp Date]]), ISNUMBER(SnapshotTable[[#This Row],[SP Strike Price]]), ISNUMBER(SnapshotTable[[#This Row],[SP Qty]]), ISNUMBER(SnapshotTable[[#This Row],[SP Book Date]]), ISNUMBER(SnapshotTable[[#This Row],[SP Book Price]]))</f>
        <v>0</v>
      </c>
      <c r="BX187" s="382" t="b">
        <f>AND(SnapshotTable[[#This Row],[SP Is Booked]], NOT(ISBLANK(SnapshotTable[[#This Row],[SP Fill Date]])))</f>
        <v>0</v>
      </c>
      <c r="BY187" s="33">
        <f>IF(SnapshotTable[[#This Row],[SP Is Booked]], SnapshotTable[[#This Row],[SP Qty]] * SnapshotTable[[#This Row],[SP Book Price]] * 100, 0)</f>
        <v>0</v>
      </c>
      <c r="BZ187" s="339"/>
      <c r="CA187" s="338">
        <f>SnapshotTable[[#This Row],[LP Qty]]</f>
        <v>0</v>
      </c>
      <c r="CB187" s="4" t="str">
        <f>IF(SnapshotTable[[#This Row],[SP Is Booked]], SnapshotTable[[#This Row],[SP Strike Price]] - SnapshotTable[[#This Row],[SP Book Price]], "")</f>
        <v/>
      </c>
      <c r="CC187" s="19" t="str">
        <f>IF(SnapshotTable[[#This Row],[SP Is Booked]],SnapshotTable[[#This Row],[SP Exp Date]]-MAX(SnapshotTable[[#This Row],[SP Book Date]], SnapshotTable[[#This Row],[SP Fill Date]]),"")</f>
        <v/>
      </c>
      <c r="CD187" s="7" t="str">
        <f>IF(SnapshotTable[[#This Row],[SP Is Booked]], SnapshotTable[[#This Row],[SP Book Price]]/SnapshotTable[[#This Row],[SP Strike Price]], "")</f>
        <v/>
      </c>
      <c r="CE187" s="7" t="str">
        <f>IF(ISNUMBER(SnapshotTable[[#This Row],[SP ROO Term]]),SnapshotTable[[#This Row],[SP ROO Term]]*(365/SnapshotTable[[#This Row],[SP Term]]),"")</f>
        <v/>
      </c>
      <c r="CF187" s="221">
        <f>SnapshotTable[[#This Row],[LP Strike Price]] * SnapshotTable[[#This Row],[LP Qty]] * 100</f>
        <v>0</v>
      </c>
      <c r="CG187" s="31">
        <f>IF(ISNUMBER(SnapshotTable[[#This Row],[SP Premium]]), (SnapshotTable[[#This Row],[SP Qty]] * SnapshotTable[[#This Row],[SP Strike Price]]* 100) - SnapshotTable[[#This Row],[LP Protection]], 0)</f>
        <v>0</v>
      </c>
      <c r="CH187" s="7" t="str">
        <f>IF(ISNUMBER(SnapshotTable[[#This Row],[SP Break Even]]),-1 * (SnapshotTable[[#This Row],[SP Break Even]] - SnapshotTable[[#This Row],[Last Price]]) / SnapshotTable[[#This Row],[Last Price]], "")</f>
        <v/>
      </c>
      <c r="CI187" s="31">
        <f>IF(AND(ISNUMBER((SnapshotTable[[#This Row],[SP Potential Spend]])), SnapshotTable[[#This Row],[SP Strike Price]] &gt; SnapshotTable[[#This Row],[Last Price]], SnapshotTable[[#This Row],[SP Is Filled]]), SnapshotTable[[#This Row],[SP Potential Spend]] -  SnapshotTable[[#This Row],[LP Max Value]], 0)</f>
        <v>0</v>
      </c>
      <c r="CJ187" s="229"/>
      <c r="CK187" s="31">
        <f>IF(ISNUMBER(SnapshotTable[[#This Row],[SP Potential Spend]]),IF(ISNUMBER(SnapshotTable[[#This Row],[SP POW]]), SnapshotTable[[#This Row],[SP POW]] * SnapshotTable[[#This Row],[SP Potential Spend]], SnapshotTable[[#This Row],[SP Potential Spend]]), "")</f>
        <v>0</v>
      </c>
      <c r="CL187" s="162">
        <f>IF(NOT(SnapshotTable[[#This Row],[SP Is Filled]]),(SnapshotTable[[#This Row],[SP Qty]] * SnapshotTable[[#This Row],[SP Strike Price]] * 100) - SnapshotTable[[#This Row],[LP Max Value]],"")</f>
        <v>0</v>
      </c>
      <c r="CM187" s="31" t="str">
        <f>IF(SnapshotTable[[#This Row],[SP Actual Spend]]&lt;&gt;0, ((SnapshotTable[[#This Row],[SP Strike Price]]-SnapshotTable[[#This Row],[Last Price]]) *(SnapshotTable[[#This Row],[SP Qty]]*100) - SnapshotTable[[#This Row],[SP Premium]]) * - 1, "")</f>
        <v/>
      </c>
      <c r="CN187" s="76"/>
      <c r="CO187" s="339"/>
      <c r="CP187" s="4" t="str">
        <f>IF(SnapshotTable[[#This Row],[SP Is Filled]], btc_max_buyback_amount(SnapshotTable[[#This Row],[SP Fill Date]],SnapshotTable[[#This Row],[SP Exp Date]], SnapshotTable[[#This Row],[SP Book Price]]),"")</f>
        <v/>
      </c>
      <c r="CQ187" s="76"/>
      <c r="CR18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7" s="153" t="str">
        <f>IF(SnapshotTable[[#This Row],[SP Is Filled]], btc_next_cutoff_date(SnapshotTable[[#This Row],[SP Fill Date]],SnapshotTable[[#This Row],[SP Exp Date]]),"")</f>
        <v/>
      </c>
      <c r="CT187" s="220" t="str" cm="1">
        <f t="array" ref="CT187">IF(SnapshotTable[[#This Row],[SP Is Filled]], btc_should_buy_back(SnapshotTable[[#This Row],[SP Fill Date]], SnapshotTable[[#This Row],[SP Exp Date]], SnapshotTable[[#This Row],[SP Book Price]], SnapshotTable[[#This Row],[SP Current Ask]], MockToday, SnapshotTable[[#This Row],[SP Buyback Override]]),"")</f>
        <v/>
      </c>
      <c r="CU187" s="141"/>
      <c r="CV187" s="220"/>
      <c r="CW187" s="348" t="str">
        <f>IF(ISNUMBER( SnapshotTable[[#This Row],[SP Term]]), SnapshotTable[[#This Row],[SP Exp Date]] - MockToday,"")</f>
        <v/>
      </c>
      <c r="CX187" s="31" t="str">
        <f>IF(SnapshotTable[[#This Row],[SP Is Filled]],SnapshotTable[[#This Row],[SP Buyback Price to Use]] * 100 * SnapshotTable[[#This Row],[SP Qty]], "")</f>
        <v/>
      </c>
      <c r="CY187" s="4" t="str">
        <f>IF(ISNUMBER(SnapshotTable[[#This Row],[SP Strike Price]]), SnapshotTable[[#This Row],[SP Strike Price]] * (1 - SP_MaxLoss_StrikePct), "")</f>
        <v/>
      </c>
      <c r="CZ187" s="31" t="str">
        <f>IF(ISNUMBER(SnapshotTable[[#This Row],[SP Strike  Stop Per Share]]),SnapshotTable[[#This Row],[SP Premium]] - ((SnapshotTable[[#This Row],[SP Strike Price]]-SnapshotTable[[#This Row],[SP Strike  Stop Per Share]]) *(SnapshotTable[[#This Row],[SP Qty]] * 100)),"")</f>
        <v/>
      </c>
      <c r="DA187" s="4" t="str">
        <f>IF(AND(ISNUMBER(SnapshotTable[[#This Row],[SP Premium]]),SnapshotTable[[#This Row],[SP Premium]]&gt;0), SnapshotTable[[#This Row],[SP Book Price]] * (1 + SP_MaxLoss_OptionPct), "")</f>
        <v/>
      </c>
      <c r="DB187" s="31" t="str">
        <f>IF(ISNUMBER(SnapshotTable[[#This Row],[SP Option  Stop Contract]]),(SnapshotTable[[#This Row],[SP Option  Stop Contract]] *(SnapshotTable[[#This Row],[SP Qty]] * 100) - SnapshotTable[[#This Row],[SP Premium]]),"")</f>
        <v/>
      </c>
      <c r="DC187" s="4"/>
      <c r="DD187" s="4"/>
      <c r="DE187" s="4" t="str">
        <f>IF(AND(SnapshotTable[[#This Row],[SP Qty]]&gt;0, SnapshotTable[[#This Row],[SP Stop To Use]]&gt;0),SnapshotTable[[#This Row],[SP Premium]] - ( SnapshotTable[[#This Row],[SP Qty]] * SnapshotTable[[#This Row],[SP Stop To Use]] * 100), "")</f>
        <v/>
      </c>
      <c r="DF187" s="31" t="str">
        <f>IF(AND(SnapshotTable[[#This Row],[SP Qty]]&gt;0,SnapshotTable[[#This Row],[SP Current Ask]]&gt;0), SnapshotTable[[#This Row],[SP Qty]] * SnapshotTable[[#This Row],[SP Current Ask]] * -100, "")</f>
        <v/>
      </c>
      <c r="DG187" s="31" t="str">
        <f>IF(ISNUMBER((SnapshotTable[[#This Row],[SP Total Value]])), SnapshotTable[[#This Row],[SP Premium]] + SnapshotTable[[#This Row],[SP Total Value]], "")</f>
        <v/>
      </c>
      <c r="DH187" s="272" t="str">
        <f>IF(ISNUMBER((SnapshotTable[[#This Row],[SP Total Value]])), SnapshotTable[[#This Row],[SP Gain Loss]] / SnapshotTable[[#This Row],[SP Premium]], "")</f>
        <v/>
      </c>
      <c r="DI187" s="369"/>
      <c r="DJ187" s="136"/>
      <c r="DK187" s="146"/>
      <c r="DL187" s="13"/>
      <c r="DM187" s="13"/>
      <c r="DO187" s="31">
        <f>IF(SnapshotTable[[#This Row],[LC Symbol Count]]=1, SnapshotTable[[#This Row],[LC Qty]] * SnapshotTable[[#This Row],[LC Book Price]] * 100, 0)</f>
        <v>0</v>
      </c>
      <c r="DP187" s="161" t="str">
        <f>IF(AND(SnapshotTable[[#This Row],[LC Exp Date]]&gt;0, SnapshotTable[[#This Row],[LC Strike Price]]&gt;0,SnapshotTable[[#This Row],[LC Qty]]&gt;0,SnapshotTable[[#This Row],[LC Book Date]]&gt;0,SnapshotTable[[#This Row],[LC Book Price]]&gt;0,SnapshotTable[[#This Row],[LC Fill Date]]=0),"Y","")</f>
        <v/>
      </c>
      <c r="DQ187" s="356" t="str">
        <f>IF(SnapshotTable[[#This Row],[LC Premium]] &gt; 0,SnapshotTable[[#This Row],[LC Exp Date]]-MAX(SnapshotTable[[#This Row],[LC Book Date]], SnapshotTable[[#This Row],[LC Fill Date]]),"")</f>
        <v/>
      </c>
      <c r="DR187" s="356" t="str">
        <f>IF(ISNUMBER(SnapshotTable[[#This Row],[LC Term]]), SnapshotTable[[#This Row],[LC Exp Date]] - MockToday, "")</f>
        <v/>
      </c>
      <c r="DS187" s="219" t="str">
        <f>IF(SnapshotTable[[#This Row],[LC Premium]]&gt;0,SnapshotTable[[#This Row],[LC Strike Price]] + SnapshotTable[[#This Row],[LC Book Price]],"")</f>
        <v/>
      </c>
      <c r="DU187" s="9" t="str">
        <f>IF(AND(SnapshotTable[[#This Row],[LC Symbol Count]]&gt;0, SnapshotTable[[#This Row],[LC Contract Value]]&gt;0), SnapshotTable[[#This Row],[LC Contract Value]] * SnapshotTable[[#This Row],[LC Qty]] * 100, "")</f>
        <v/>
      </c>
      <c r="DV187" s="9" t="str">
        <f>IF(AND(ISNUMBER(SnapshotTable[[#This Row],[LC Total Value]]), SnapshotTable[[#This Row],[LC Not Filled]]&lt;&gt;"Y"), SnapshotTable[[#This Row],[LC Total Value]]-SnapshotTable[[#This Row],[LC Premium]],"")</f>
        <v/>
      </c>
      <c r="DW187" s="225" t="str">
        <f>IF(ISNUMBER(SnapshotTable[[#This Row],[LC Actual Gain Loss]]), SnapshotTable[[#This Row],[LC Actual Gain Loss]] / SnapshotTable[[#This Row],[LC Premium]],"")</f>
        <v/>
      </c>
      <c r="DX187" s="269" t="str">
        <f>IF(ISNUMBER(SnapshotTable[[#This Row],[LC Book Price]]),SnapshotTable[[#This Row],[LC Book Price]] * 1.5,"")</f>
        <v/>
      </c>
      <c r="DY187" s="250" t="str">
        <f>IF(SnapshotTable[[#This Row],[LC Premium]]&gt;0, SnapshotTable[[#This Row],[LC Next Target]] * SnapshotTable[[#This Row],[LC Qty]] * 100,"")</f>
        <v/>
      </c>
      <c r="DZ187" s="250" t="str">
        <f>IF(ISNUMBER(SnapshotTable[[#This Row],[LC Target Gross]]), SnapshotTable[[#This Row],[LC Target Gross]] - SnapshotTable[[#This Row],[LC Premium]], "")</f>
        <v/>
      </c>
      <c r="EA187" s="283" t="str">
        <f>IF(ISNUMBER(SnapshotTable[[#This Row],[LC Target Gain Loss]]), SnapshotTable[[#This Row],[LC Target Gain Loss]]/SnapshotTable[[#This Row],[LC Premium]], "")</f>
        <v/>
      </c>
      <c r="EB187" s="247"/>
      <c r="EC187" s="268" t="str">
        <f>IF(SnapshotTable[[#This Row],[LC Premium]]&gt;0, SnapshotTable[[#This Row],[LC Book Price]] * (1 - LC_StopLoss_Pct),"")</f>
        <v/>
      </c>
      <c r="ED187" s="269"/>
      <c r="EE187" s="268" t="str">
        <f>IF(ISNUMBER(SnapshotTable[[#This Row],[LC Contract Value]]),IF(ISNUMBER(SnapshotTable[[#This Row],[LC Stop Loss Override]]), SnapshotTable[[#This Row],[LC Stop Loss Override]],SnapshotTable[[#This Row],[LC Stop Loss Calc Target]]),"")</f>
        <v/>
      </c>
      <c r="EF187" s="31" t="str">
        <f>IF(ISNUMBER(SnapshotTable[[#This Row],[LC Stop  To Use]]), (SnapshotTable[[#This Row],[LC Stop  To Use]] * SnapshotTable[[#This Row],[LC Qty]] * 100),"")</f>
        <v/>
      </c>
      <c r="EG187" s="9" t="str">
        <f>IF(ISNUMBER(SnapshotTable[[#This Row],[LC Total Value]]),SnapshotTable[[#This Row],[LC Stop Loss Amount]] - SnapshotTable[[#This Row],[LC Premium]],"")</f>
        <v/>
      </c>
      <c r="EH187" s="9">
        <f>IF(ISNUMBER(SnapshotTable[[#This Row],[LC Premium]]), SnapshotTable[[#This Row],[LC Qty]] * 100 * SnapshotTable[[#This Row],[LC Strike Price]], "")</f>
        <v>0</v>
      </c>
      <c r="EI187" s="225" t="str">
        <f>IF(AND(ISNUMBER(SnapshotTable[[#This Row],[LC Total Value]]),SnapshotTable[[#This Row],[LC Total Value]]&gt;0),SnapshotTable[[#This Row],[LC Stop Gain Loss]]  / SnapshotTable[[#This Row],[LC Premium]],"")</f>
        <v/>
      </c>
      <c r="EJ187" s="35">
        <f>IF(ISNUMBER(SnapshotTable[[#This Row],[Equity Shares]]),TRUNC(SnapshotTable[[#This Row],[Equity Shares]] / 100),0) + SnapshotTable[[#This Row],[LC Qty]]</f>
        <v>0</v>
      </c>
      <c r="EK187" s="145"/>
      <c r="EL187" s="136"/>
      <c r="EM187" s="146"/>
      <c r="EN187" s="145"/>
      <c r="EO187" s="145"/>
      <c r="EP187" s="136"/>
      <c r="EQ187" s="382" t="b">
        <f>AND(ISNUMBER(SnapshotTable[[#This Row],[SC Exp Date]]), ISNUMBER(SnapshotTable[[#This Row],[SC Strike Price]]), ISNUMBER(SnapshotTable[[#This Row],[SC Qty]]), ISNUMBER(SnapshotTable[[#This Row],[SC Book Date]]), ISNUMBER(SnapshotTable[[#This Row],[SC Book Price]]))</f>
        <v>0</v>
      </c>
      <c r="ER187" s="382" t="b">
        <f>AND(SnapshotTable[[#This Row],[SC Is Booked]], NOT(ISBLANK(SnapshotTable[[#This Row],[SC Fill Date]])))</f>
        <v>0</v>
      </c>
      <c r="ES187" s="340"/>
      <c r="ET187" s="34" t="str">
        <f>IF(AND(ISNUMBER(SnapshotTable[[#This Row],[SC Exp Date]]), ISNUMBER(SnapshotTable[[#This Row],[SC Book Date]])), SnapshotTable[[#This Row],[SC Exp Date]] - MAX(SnapshotTable[[#This Row],[SC Book Date]], SnapshotTable[[#This Row],[SC Fill Date]]) + 1, "")</f>
        <v/>
      </c>
      <c r="EU187" s="34" t="str">
        <f>IF(ISNUMBER(SnapshotTable[[#This Row],[SC Term]]), SnapshotTable[[#This Row],[SC Exp Date]]- MockToday, "")</f>
        <v/>
      </c>
      <c r="EV187" s="31">
        <f>IF(SnapshotTable[[#This Row],[SC Is Booked]], SnapshotTable[[#This Row],[SC Qty]] * SnapshotTable[[#This Row],[SC Book Price]] * 100, 0)</f>
        <v>0</v>
      </c>
      <c r="EW187" s="4" t="str">
        <f>IF(AND(ISNUMBER(SnapshotTable[[#This Row],[Last Price]]), ISNUMBER( SnapshotTable[[#This Row],[SC Book Price]])), SnapshotTable[[#This Row],[Last Price]] - SnapshotTable[[#This Row],[SC Book Price]],"")</f>
        <v/>
      </c>
      <c r="EX187" s="219" t="str">
        <f>IF(SnapshotTable[[#This Row],[SC Is Booked]],IF(SnapshotTable[[#This Row],[SC Intrinsic Value]] &gt; 0, SnapshotTable[[#This Row],[SC Strike Price]], SnapshotTable[[#This Row],[Last Price]]), "")</f>
        <v/>
      </c>
      <c r="EY187" s="4">
        <f>IF(SnapshotTable[[#This Row],[SC Is Booked]], (MinimumPremiumRequired * SnapshotTable[[#This Row],[SC Basis]] * SnapshotTable[[#This Row],[SC Term]]), 0)</f>
        <v>0</v>
      </c>
      <c r="EZ187" s="268"/>
      <c r="FA187" s="204"/>
      <c r="FB187" s="340"/>
      <c r="FC187" s="4">
        <f>IF(SnapshotTable[[#This Row],[SC Is Filled]], btc_max_buyback_amount(SnapshotTable[[#This Row],[SC Fill Date]],SnapshotTable[[#This Row],[SC Exp Date]], SnapshotTable[[#This Row],[SC Book Price]]),0)</f>
        <v>0</v>
      </c>
      <c r="FD187" s="5"/>
      <c r="FE187" s="142" t="str">
        <f>IF(SnapshotTable[[#This Row],[SC Is Filled]], btc_next_cutoff_date(SnapshotTable[[#This Row],[SC Fill Date]],SnapshotTable[[#This Row],[SC Exp Date]]),"")</f>
        <v/>
      </c>
      <c r="FF187" s="4" t="str" cm="1">
        <f t="array" ref="FF187">IF(SnapshotTable[[#This Row],[SC Is Filled]], btc_should_buy_back(SnapshotTable[[#This Row],[SC Fill Date]], SnapshotTable[[#This Row],[SC Exp Date]], SnapshotTable[[#This Row],[SC Book Price]], SnapshotTable[[#This Row],[SC Current Ask]], MockToday, SnapshotTable[[#This Row],[SC Buyback Override]]),"")</f>
        <v/>
      </c>
      <c r="FG187" s="4">
        <f>IF(SnapshotTable[[#This Row],[SC Is Filled]], MAX(0,SnapshotTable[[#This Row],[Last Price]]  - SnapshotTable[[#This Row],[SC Strike Price]]), 0)</f>
        <v>0</v>
      </c>
      <c r="FH187" s="352">
        <f>IF(SnapshotTable[[#This Row],[SC Is Filled]], IF(ISNUMBER(SnapshotTable[[#This Row],[SC Current Ask]]), SnapshotTable[[#This Row],[SC Current Ask]], SnapshotTable[[#This Row],[SC Book Price]]) - SnapshotTable[[#This Row],[SC Intrinsic Value]], 0)</f>
        <v>0</v>
      </c>
      <c r="FI187" s="141"/>
      <c r="FJ187" s="32" t="str">
        <f>IF(SnapshotTable[[#This Row],[SC Is Filled]],100 * SnapshotTable[[#This Row],[SC Qty]] * IF(ISNUMBER(SnapshotTable[[#This Row],[SC Buyback Override]]), SnapshotTable[[#This Row],[SC Buyback Override]], SnapshotTable[[#This Row],[SC Current Ask]]), "")</f>
        <v/>
      </c>
      <c r="FK187" s="235" t="str">
        <f>IF(SnapshotTable[[#This Row],[SC Time Val]]&gt;0, SnapshotTable[[#This Row],[SC Time Val]] / SnapshotTable[[#This Row],[Last Price]],"")</f>
        <v/>
      </c>
      <c r="FL187" s="280" t="str">
        <f>IF(SnapshotTable[[#This Row],[SC Is Booked]], ((SnapshotTable[[#This Row],[Last Price]] -SnapshotTable[[#This Row],[SC Strike Price]]) / SnapshotTable[[#This Row],[Last Price]]) * -1, "")</f>
        <v/>
      </c>
      <c r="FM187" s="155" t="str">
        <f>IF(SnapshotTable[[#This Row],[SC Is Booked]],  (SnapshotTable[[#This Row],[SC Qty]] * 100 * SnapshotTable[[#This Row],[SC Strike Price]]) - SnapshotTable[[#This Row],[SC Current Ask]], "")</f>
        <v/>
      </c>
      <c r="FN18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7" s="31" t="str">
        <f>IF(AND(ISNUMBER(SnapshotTable[[#This Row],[SC Exercise Gross]]), ISNUMBER(SnapshotTable[[#This Row],[Equity Basis Per Share]] )), SnapshotTable[[#This Row],[SC Exercise Gross]] - SnapshotTable[[#This Row],[Equity Basis Total]] +  SnapshotTable[[#This Row],[SC Premium]], "")</f>
        <v/>
      </c>
      <c r="FP187" s="5" t="str">
        <f>IF(ISNUMBER(SnapshotTable[[#This Row],[SC Exercise Gross]]), (SnapshotTable[[#This Row],[SC Exercise Gross]]) / (SnapshotTable[[#This Row],[SC Qty]] * 100), "")</f>
        <v/>
      </c>
      <c r="FQ187" s="27" t="str">
        <f>IF(SnapshotTable[[#This Row],[SC Is Booked]],SnapshotTable[[#This Row],[SC Time Val]] /SnapshotTable[[#This Row],[SC Basis]], "")</f>
        <v/>
      </c>
      <c r="FR187" s="27" t="str" cm="1">
        <f t="array" ref="FR187">IF(AND(ISNUMBER(SnapshotTable[[#This Row],[SC Term]]),ISNUMBER(SnapshotTable[[#This Row],[SC Simple ROO]])), EllmanAnnualize(SnapshotTable[[#This Row],[SC DTE]], SnapshotTable[[#This Row],[SC Simple ROO]] ),"")</f>
        <v/>
      </c>
      <c r="FS187" s="4">
        <f>IF(SnapshotTable[[#This Row],[SC Strike Price]] &gt; SnapshotTable[[#This Row],[Last Price]], SnapshotTable[[#This Row],[SC Strike Price]] - SnapshotTable[[#This Row],[Last Price]],0)</f>
        <v>0</v>
      </c>
      <c r="FT187" s="27" t="str">
        <f>IF(AND(ISNUMBER(SnapshotTable[[#This Row],[SC Upside Potential]]), SnapshotTable[[#This Row],[SC Upside Potential]] &gt; 0),(SnapshotTable[[#This Row],[SC Upside Potential]]/ SnapshotTable[[#This Row],[ACB]]),"")</f>
        <v/>
      </c>
      <c r="FU187" s="304" t="str">
        <f>IF(SnapshotTable[[#This Row],[SC Intrinsic Value]] &gt; 0,SnapshotTable[[#This Row],[SC Intrinsic Value]],"")</f>
        <v/>
      </c>
      <c r="FV187" s="27" t="str">
        <f>IF(AND( ISNUMBER( SnapshotTable[[#This Row],[ACB]]),ISNUMBER(SnapshotTable[[#This Row],[SC Downside Protect]])),SnapshotTable[[#This Row],[SC Downside Protect]] / SnapshotTable[[#This Row],[ACB]],"")</f>
        <v/>
      </c>
      <c r="FW187" s="221" t="str">
        <f>IF(AND(ISNUMBER(SnapshotTable[[#This Row],[SC Simple ROO]]),SnapshotTable[[#This Row],[SC Simple ROO]] &gt; 0), SnapshotTable[[#This Row],[SC Premium]] + (SnapshotTable[[#This Row],[SC Qty]] * SnapshotTable[[#This Row],[SC Upside Potential]]), "")</f>
        <v/>
      </c>
      <c r="FX187" s="280" t="str" cm="1">
        <f t="array" ref="FX187">IF(ISNUMBER(SnapshotTable[[#This Row],[SC Max Dollars]]), annualize(SnapshotTable[[#This Row],[SC Term]],(SnapshotTable[[#This Row],[SC Max Dollars]]/SnapshotTable[[#This Row],[SC Basis]])),"")</f>
        <v/>
      </c>
      <c r="FY187" s="221" t="str">
        <f>IF(AND(SnapshotTable[[#This Row],[SC Qty]]&gt;0,SnapshotTable[[#This Row],[SC Current Ask]]&gt;0), SnapshotTable[[#This Row],[SC Qty]] * SnapshotTable[[#This Row],[SC Current Ask]] * -100, "")</f>
        <v/>
      </c>
      <c r="FZ187" s="31" t="str">
        <f>IF(ISNUMBER((SnapshotTable[[#This Row],[SC Current Value]])), SnapshotTable[[#This Row],[SC Premium]] + SnapshotTable[[#This Row],[SC Current Value]], "")</f>
        <v/>
      </c>
      <c r="GA187" s="272" t="str">
        <f>IFERROR( IF(ISNUMBER((SnapshotTable[[#This Row],[SC Current Value]])), SnapshotTable[[#This Row],[SC Gain Loss]] / SnapshotTable[[#This Row],[SC Premium]], ""), "")</f>
        <v/>
      </c>
      <c r="GB187" s="42">
        <f>SnapshotTable[[#This Row],[Equity Shares]] * SaleSharesToConsiderPercentage</f>
        <v>0</v>
      </c>
      <c r="GC187" s="40">
        <f>SnapshotTable[[#This Row],[Long Term Target]] * SellingPriceToConsiderBasedOnTargetPercentage</f>
        <v>102.9135</v>
      </c>
      <c r="GD187" s="40">
        <f>SnapshotTable[[#This Row],[Last Price]] * (1+ SellingPriceToConsiderBasedOnTargetPercentage)</f>
        <v>293.96249999999998</v>
      </c>
      <c r="GE187" s="41"/>
      <c r="GF187" s="40"/>
      <c r="GG187" s="31">
        <f>SnapshotTable[[#This Row],[Booked Sale Shares]] * SnapshotTable[[#This Row],[Booked Sale Price]]</f>
        <v>0</v>
      </c>
      <c r="GH187" s="31" t="str">
        <f>IF(SnapshotTable[[#This Row],[Equity Basis Total]] &gt; 0, SnapshotTable[[#This Row],[Equity Basis Per Share]] * SnapshotTable[[#This Row],[Booked Sale Shares]], "")</f>
        <v/>
      </c>
      <c r="GI187" s="31">
        <f>IF(SnapshotTable[[#This Row],[Sale Proceeds]]&gt;0, SnapshotTable[[#This Row],[Sale Proceeds]] - SnapshotTable[[#This Row],[Sale Basis]], 0)</f>
        <v>0</v>
      </c>
      <c r="GJ187" s="27" t="str">
        <f>IF(SnapshotTable[[#This Row],[Sale G/L]]&gt;0, SnapshotTable[[#This Row],[Sale G/L]] / SnapshotTable[[#This Row],[Sale Basis]], IF(ISNUMBER(SnapshotTable[[#This Row],[SC Exercise P&amp;L (TAX)]]), SnapshotTable[[#This Row],[SC Exercise P&amp;L (TAX)]] / SnapshotTable[[#This Row],[SC Basis]], ""))</f>
        <v/>
      </c>
      <c r="GK187" s="27" t="s">
        <v>592</v>
      </c>
      <c r="GL187" s="43" t="str">
        <f>IF(AND(SnapshotTable[[#This Row],[LP Exp Date]]&gt;0,SnapshotTable[[#This Row],[LP Strike Price]]&gt;0), [1]!ToOptionSymbol(SnapshotTable[[#This Row],[Symbol]], SnapshotTable[[#This Row],[LP Strike Price]],SnapshotTable[[#This Row],[LP Exp Date]],1), "")</f>
        <v/>
      </c>
      <c r="GM187" s="30" t="str">
        <f>IF(LEN(SnapshotTable[[#This Row],[LP Symbol]])&gt;0, 1, "")</f>
        <v/>
      </c>
      <c r="GN187" s="43" t="str">
        <f>IF(AND(SnapshotTable[[#This Row],[SP Exp Date]]&gt;0,SnapshotTable[[#This Row],[SP Strike Price]]&gt;0), [1]!ToOptionSymbol(SnapshotTable[[#This Row],[Symbol]], SnapshotTable[[#This Row],[SP Strike Price]],SnapshotTable[[#This Row],[SP Exp Date]],1), "")</f>
        <v/>
      </c>
      <c r="GO187" s="30" t="str">
        <f>IF(LEN(SnapshotTable[[#This Row],[SP Symbol]])&gt;0, 1, "")</f>
        <v/>
      </c>
      <c r="GP187" s="43" t="str">
        <f>IF(AND(SnapshotTable[[#This Row],[LC Exp Date]]&gt;0,SnapshotTable[[#This Row],[LC Strike Price]]&gt;0), [1]!ToOptionSymbol(SnapshotTable[[#This Row],[Symbol]], SnapshotTable[[#This Row],[LC Strike Price]],SnapshotTable[[#This Row],[LC Exp Date]],0), "")</f>
        <v/>
      </c>
      <c r="GQ187" s="30" t="str">
        <f>IF(LEN(SnapshotTable[[#This Row],[LC Symbol]])&gt;0, 1, "")</f>
        <v/>
      </c>
      <c r="GR187" s="43" t="str">
        <f>IF(AND(SnapshotTable[[#This Row],[SC Exp Date]]&gt;0,SnapshotTable[[#This Row],[SC Strike Price]]&gt;0), [1]!ToOptionSymbol(SnapshotTable[[#This Row],[Symbol]], SnapshotTable[[#This Row],[SC Strike Price]],SnapshotTable[[#This Row],[SC Exp Date]],0), "")</f>
        <v/>
      </c>
      <c r="GS187" s="30" t="str">
        <f>IF(LEN(SnapshotTable[[#This Row],[SC Symbol]])&gt;0, 1, "")</f>
        <v/>
      </c>
      <c r="GT187" s="29" t="str">
        <f>IF(COUNT(SnapshotTable[[#This Row],[LP Symbol Count]],SnapshotTable[[#This Row],[SP Symbol Count]],SnapshotTable[[#This Row],[LC Symbol Count]],SnapshotTable[[#This Row],[SC Symbol Count]])&gt;0, "Y", "")</f>
        <v/>
      </c>
      <c r="GU18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7" s="216">
        <f>MAX(SnapshotTable[[#This Row],[Equity Basis Total]],SnapshotTable[[#This Row],[Equity Value]]) + (SnapshotTable[[#This Row],[SP Potential Spend]]- SnapshotTable[[#This Row],[SP Premium]] + SnapshotTable[[#This Row],[LP Premium]])+ (SnapshotTable[[#This Row],[LC Premium]] - SnapshotTable[[#This Row],[SC Premium]])</f>
        <v>0</v>
      </c>
      <c r="GW187" s="137" t="str">
        <f>IF(AND(SnapshotTable[[#This Row],[Exposure]] &lt;&gt; 0),SnapshotTable[[#This Row],[Exposure]] / SnapshotTable[[#Totals],[Exposure]], "")</f>
        <v/>
      </c>
      <c r="HE187" s="253"/>
      <c r="HF187" s="253"/>
      <c r="HK187" s="1"/>
      <c r="HL187" s="1"/>
      <c r="HM187" s="1"/>
      <c r="HN187" s="1"/>
      <c r="HO187" s="1"/>
      <c r="HP187" s="1"/>
    </row>
    <row r="188" spans="2:224" ht="12.75" hidden="1" customHeight="1" x14ac:dyDescent="0.25">
      <c r="B188" s="12" t="s">
        <v>61</v>
      </c>
      <c r="C188" s="385">
        <v>32.49</v>
      </c>
      <c r="D188" s="200"/>
      <c r="E188" s="39">
        <f>SnapshotTable[[#This Row],[Last Price]]*(1 -CrashDiscount)</f>
        <v>27.616500000000002</v>
      </c>
      <c r="F188" s="26" t="s">
        <v>60</v>
      </c>
      <c r="G188" s="26" t="s">
        <v>24</v>
      </c>
      <c r="H188" s="147"/>
      <c r="I188" s="186">
        <v>45126.670138888891</v>
      </c>
      <c r="J188" s="187">
        <v>45126.670138888891</v>
      </c>
      <c r="K188" s="188"/>
      <c r="L188" s="297"/>
      <c r="M188" s="138"/>
      <c r="N188" s="138"/>
      <c r="O188" s="138">
        <v>0</v>
      </c>
      <c r="P188" s="22"/>
      <c r="Q188" s="25"/>
      <c r="R188" s="4" t="str">
        <f>IF(SnapshotTable[[#This Row],[Equity Basis Total]] &gt; 0, SnapshotTable[[#This Row],[Equity Basis Total]] / SnapshotTable[[#This Row],[Equity Shares]], "")</f>
        <v/>
      </c>
      <c r="S188" s="254">
        <f>SnapshotTable[[#This Row],[Last Price]] * SnapshotTable[[#This Row],[Equity Shares]]</f>
        <v>0</v>
      </c>
      <c r="T188" s="254">
        <f>SnapshotTable[[#This Row],[Equity Value]] - SnapshotTable[[#This Row],[Equity Basis Total]]</f>
        <v>0</v>
      </c>
      <c r="U188" s="255" t="str">
        <f>IF(SnapshotTable[[#This Row],[Equity Basis Total]] &gt; 0, SnapshotTable[[#This Row],[Equity G/L]] / SnapshotTable[[#This Row],[Equity Basis Total]], "")</f>
        <v/>
      </c>
      <c r="V188" s="253"/>
      <c r="W188" s="253"/>
      <c r="X188" s="4" t="str">
        <f>IF(AND(ISNUMBER(SnapshotTable[[#This Row],[Equity Basis Per Share]]),ISNUMBER(SnapshotTable[[#This Row],[Equity Target]])),SnapshotTable[[#This Row],[Equity Target]]-SnapshotTable[[#This Row],[Equity Basis Per Share]],"")</f>
        <v/>
      </c>
      <c r="Y188" s="4" t="str">
        <f>IF(AND(ISNUMBER(SnapshotTable[[#This Row],[Equity Basis Per Share]]),ISNUMBER(SnapshotTable[[#This Row],[Equity Stop Loss]])),SnapshotTable[[#This Row],[Equity Stop Loss]]-SnapshotTable[[#This Row],[Equity Basis Per Share]],"")</f>
        <v/>
      </c>
      <c r="Z188" s="260" t="str">
        <f>IFERROR( TEXT(SnapshotTable[[#This Row],[Equity Max Gain Per Share]] /ABS( SnapshotTable[[#This Row],[Equity Max Loss Per Share]]),"0.0 " ) &amp; " : 1", "")</f>
        <v/>
      </c>
      <c r="AA188" s="31" t="str">
        <f>IF(ISNUMBER(SnapshotTable[[#This Row],[Equity Max Gain Per Share]]),SnapshotTable[[#This Row],[Equity Max Gain Per Share]] * SnapshotTable[[#This Row],[Equity Shares]],"")</f>
        <v/>
      </c>
      <c r="AB188" s="31" t="str">
        <f>IF(ISNUMBER(SnapshotTable[[#This Row],[Equity Max Loss Per Share]]),SnapshotTable[[#This Row],[Equity Max Loss Per Share]] * SnapshotTable[[#This Row],[Equity Shares]],"")</f>
        <v/>
      </c>
      <c r="AC188" s="148">
        <v>0.5</v>
      </c>
      <c r="AD188" s="149">
        <v>42781</v>
      </c>
      <c r="AE188" s="31">
        <f>(SnapshotTable[[#This Row],[Annual Dividend Per Share]] / 4) * SnapshotTable[[#This Row],[Equity Shares]]</f>
        <v>0</v>
      </c>
      <c r="AF188" s="31">
        <f>SnapshotTable[[#This Row],[Quarterly Div $]] * 4</f>
        <v>0</v>
      </c>
      <c r="AG188" s="7">
        <f>IF(SnapshotTable[[#This Row],[Annual Dividend Per Share]]&gt;0, SnapshotTable[[#This Row],[Annual Dividend Per Share]]  / SnapshotTable[[#This Row],[Last Price]], 0)</f>
        <v>1.538935056940597E-2</v>
      </c>
      <c r="AH188" s="149">
        <v>45321</v>
      </c>
      <c r="AI188" s="5"/>
      <c r="AJ188" s="136">
        <v>20.36</v>
      </c>
      <c r="AK188" s="150" t="str">
        <f>IF(ISNUMBER( SnapshotTable[[#This Row],[EBF Target]]),(SnapshotTable[[#This Row],[EBF Target]] - SnapshotTable[[#This Row],[Last Price]]) / SnapshotTable[[#This Row],[Last Price]], "")</f>
        <v/>
      </c>
      <c r="AL188" s="150" t="str">
        <f>IF(AND(SnapshotTable[[#This Row],[Equity Basis Total]] &gt; 0,ISNUMBER( SnapshotTable[[#This Row],[Long Term Target]])), SnapshotTable[[#This Row],[From Basis $]] / SnapshotTable[[#This Row],[Equity Basis Total]], "")</f>
        <v/>
      </c>
      <c r="AM188" s="9">
        <f>IF( AND(SnapshotTable[[#This Row],[Equity Shares]] &gt;0,ISNUMBER( SnapshotTable[[#This Row],[Long Term Target]])),(SnapshotTable[[#This Row],[Equity Shares]] * SnapshotTable[[#This Row],[Long Term Target]]) - SnapshotTable[[#This Row],[Equity Basis Total]],0)</f>
        <v>0</v>
      </c>
      <c r="AN188" s="9">
        <f>IF( AND(SnapshotTable[[#This Row],[Equity Shares]] &gt;0,ISNUMBER( SnapshotTable[[#This Row],[Long Term Target]])),(SnapshotTable[[#This Row],[Equity Shares]]*SnapshotTable[[#This Row],[Long Term Target]]) - SnapshotTable[[#This Row],[Equity Value]],0)</f>
        <v>0</v>
      </c>
      <c r="AO188" s="150">
        <f>IF(AND(ISNUMBER( SnapshotTable[[#This Row],[Long Term Target]]), ISNUMBER(SnapshotTable[[#This Row],[Last Price]])),(SnapshotTable[[#This Row],[Long Term Target]] - SnapshotTable[[#This Row],[Last Price]]) / SnapshotTable[[#This Row],[Last Price]], "")</f>
        <v>-0.3733456448137889</v>
      </c>
      <c r="AP188" s="5">
        <v>17</v>
      </c>
      <c r="AQ188" s="38" t="s">
        <v>16</v>
      </c>
      <c r="AR188" s="5">
        <v>17</v>
      </c>
      <c r="AS188" s="38" t="s">
        <v>22</v>
      </c>
      <c r="AT188" s="144" t="s">
        <v>442</v>
      </c>
      <c r="AU188" s="185" t="str">
        <f>IF(OR(SnapshotTable[[#This Row],[LP No Fill]]="Y",SnapshotTable[[#This Row],[SP Is Filled]],SnapshotTable[[#This Row],[LC Not Filled]]="Y",SnapshotTable[[#This Row],[SC Is Filled]]),"Y","")</f>
        <v/>
      </c>
      <c r="AV188" s="205" t="s">
        <v>888</v>
      </c>
      <c r="AW188" s="211"/>
      <c r="AX188" s="206"/>
      <c r="AY188" s="205" t="str">
        <f>IF(SnapshotTable[[#This Row],[Implied Move]]&gt;0, SnapshotTable[[#This Row],[Last Price]]-SnapshotTable[[#This Row],[Implied Move]],"")</f>
        <v/>
      </c>
      <c r="AZ188" s="205" t="str">
        <f>IF(SnapshotTable[[#This Row],[Implied Move]]&gt;0, SnapshotTable[[#This Row],[Last Price]] + SnapshotTable[[#This Row],[Implied Move]],"")</f>
        <v/>
      </c>
      <c r="BA188" s="302">
        <v>16.68</v>
      </c>
      <c r="BB188" s="318"/>
      <c r="BC18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8" s="321"/>
      <c r="BE188" s="5"/>
      <c r="BF188" s="14"/>
      <c r="BG188" s="13"/>
      <c r="BH188" s="13"/>
      <c r="BI188" s="5"/>
      <c r="BJ188" s="134">
        <f>IF(SnapshotTable[[#This Row],[LP Qty]] &gt; 0, SnapshotTable[[#This Row],[LP Qty]] * SnapshotTable[[#This Row],[LP Book Price]] * 100,0)</f>
        <v>0</v>
      </c>
      <c r="BK188" s="134">
        <f>IF(SnapshotTable[[#This Row],[LP Premium]] &gt; 0, SnapshotTable[[#This Row],[LP Qty]] * SnapshotTable[[#This Row],[LP Strike Price]] * 100,0)</f>
        <v>0</v>
      </c>
      <c r="BL188" s="152"/>
      <c r="BM188" s="355" t="str">
        <f>IF(SnapshotTable[[#This Row],[LP Premium]] &gt; 0,SnapshotTable[[#This Row],[LP Exp Date]]-MAX(SnapshotTable[[#This Row],[LP Book Date]], SnapshotTable[[#This Row],[LP Fill Date]]),"")</f>
        <v/>
      </c>
      <c r="BN188" s="355" t="str">
        <f>IF(ISNUMBER( SnapshotTable[[#This Row],[LP Term]]), SnapshotTable[[#This Row],[LP Exp Date]] - MockToday,"")</f>
        <v/>
      </c>
      <c r="BO188" s="161" t="str">
        <f>IF(AND(SnapshotTable[[#This Row],[LP Exp Date]]&gt;0, SnapshotTable[[#This Row],[LP Strike Price]]&gt;0,SnapshotTable[[#This Row],[LP Qty]]&gt;0,SnapshotTable[[#This Row],[LP Book Date]]&gt;0,SnapshotTable[[#This Row],[LP Book Price]]&gt;0,SnapshotTable[[#This Row],[LP Fill Date]]=0),"Y","")</f>
        <v/>
      </c>
      <c r="BP188" s="31" t="str">
        <f>IF(AND(SnapshotTable[[#This Row],[LP No Fill]]&lt;&gt;"Y",SnapshotTable[[#This Row],[LP Contract Value]]&gt;0, SnapshotTable[[#This Row],[LP Qty]]&gt;0), SnapshotTable[[#This Row],[LP Contract Value]]*SnapshotTable[[#This Row],[LP Qty]]*100,"")</f>
        <v/>
      </c>
      <c r="BQ188" s="13"/>
      <c r="BR188" s="5"/>
      <c r="BS188" s="36"/>
      <c r="BT188" s="145"/>
      <c r="BU188" s="13"/>
      <c r="BV188" s="5"/>
      <c r="BW188" s="382" t="b">
        <f>AND(ISNUMBER(SnapshotTable[[#This Row],[SP Exp Date]]), ISNUMBER(SnapshotTable[[#This Row],[SP Strike Price]]), ISNUMBER(SnapshotTable[[#This Row],[SP Qty]]), ISNUMBER(SnapshotTable[[#This Row],[SP Book Date]]), ISNUMBER(SnapshotTable[[#This Row],[SP Book Price]]))</f>
        <v>0</v>
      </c>
      <c r="BX188" s="382" t="b">
        <f>AND(SnapshotTable[[#This Row],[SP Is Booked]], NOT(ISBLANK(SnapshotTable[[#This Row],[SP Fill Date]])))</f>
        <v>0</v>
      </c>
      <c r="BY188" s="33">
        <f>IF(SnapshotTable[[#This Row],[SP Is Booked]], SnapshotTable[[#This Row],[SP Qty]] * SnapshotTable[[#This Row],[SP Book Price]] * 100, 0)</f>
        <v>0</v>
      </c>
      <c r="BZ188" s="339"/>
      <c r="CA188" s="338">
        <f>SnapshotTable[[#This Row],[LP Qty]]</f>
        <v>0</v>
      </c>
      <c r="CB188" s="4" t="str">
        <f>IF(SnapshotTable[[#This Row],[SP Is Booked]], SnapshotTable[[#This Row],[SP Strike Price]] - SnapshotTable[[#This Row],[SP Book Price]], "")</f>
        <v/>
      </c>
      <c r="CC188" s="19" t="str">
        <f>IF(SnapshotTable[[#This Row],[SP Is Booked]],SnapshotTable[[#This Row],[SP Exp Date]]-MAX(SnapshotTable[[#This Row],[SP Book Date]], SnapshotTable[[#This Row],[SP Fill Date]]),"")</f>
        <v/>
      </c>
      <c r="CD188" s="7" t="str">
        <f>IF(SnapshotTable[[#This Row],[SP Is Booked]], SnapshotTable[[#This Row],[SP Book Price]]/SnapshotTable[[#This Row],[SP Strike Price]], "")</f>
        <v/>
      </c>
      <c r="CE188" s="7" t="str">
        <f>IF(ISNUMBER(SnapshotTable[[#This Row],[SP ROO Term]]),SnapshotTable[[#This Row],[SP ROO Term]]*(365/SnapshotTable[[#This Row],[SP Term]]),"")</f>
        <v/>
      </c>
      <c r="CF188" s="221">
        <f>SnapshotTable[[#This Row],[LP Strike Price]] * SnapshotTable[[#This Row],[LP Qty]] * 100</f>
        <v>0</v>
      </c>
      <c r="CG188" s="31">
        <f>IF(ISNUMBER(SnapshotTable[[#This Row],[SP Premium]]), (SnapshotTable[[#This Row],[SP Qty]] * SnapshotTable[[#This Row],[SP Strike Price]]* 100) - SnapshotTable[[#This Row],[LP Protection]], 0)</f>
        <v>0</v>
      </c>
      <c r="CH188" s="7" t="str">
        <f>IF(ISNUMBER(SnapshotTable[[#This Row],[SP Break Even]]),-1 * (SnapshotTable[[#This Row],[SP Break Even]] - SnapshotTable[[#This Row],[Last Price]]) / SnapshotTable[[#This Row],[Last Price]], "")</f>
        <v/>
      </c>
      <c r="CI188" s="31">
        <f>IF(AND(ISNUMBER((SnapshotTable[[#This Row],[SP Potential Spend]])), SnapshotTable[[#This Row],[SP Strike Price]] &gt; SnapshotTable[[#This Row],[Last Price]], SnapshotTable[[#This Row],[SP Is Filled]]), SnapshotTable[[#This Row],[SP Potential Spend]] -  SnapshotTable[[#This Row],[LP Max Value]], 0)</f>
        <v>0</v>
      </c>
      <c r="CJ188" s="229"/>
      <c r="CK188" s="31">
        <f>IF(ISNUMBER(SnapshotTable[[#This Row],[SP Potential Spend]]),IF(ISNUMBER(SnapshotTable[[#This Row],[SP POW]]), SnapshotTable[[#This Row],[SP POW]] * SnapshotTable[[#This Row],[SP Potential Spend]], SnapshotTable[[#This Row],[SP Potential Spend]]), "")</f>
        <v>0</v>
      </c>
      <c r="CL188" s="162">
        <f>IF(NOT(SnapshotTable[[#This Row],[SP Is Filled]]),(SnapshotTable[[#This Row],[SP Qty]] * SnapshotTable[[#This Row],[SP Strike Price]] * 100) - SnapshotTable[[#This Row],[LP Max Value]],"")</f>
        <v>0</v>
      </c>
      <c r="CM188" s="31" t="str">
        <f>IF(SnapshotTable[[#This Row],[SP Actual Spend]]&lt;&gt;0, ((SnapshotTable[[#This Row],[SP Strike Price]]-SnapshotTable[[#This Row],[Last Price]]) *(SnapshotTable[[#This Row],[SP Qty]]*100) - SnapshotTable[[#This Row],[SP Premium]]) * - 1, "")</f>
        <v/>
      </c>
      <c r="CN188" s="76"/>
      <c r="CO188" s="339"/>
      <c r="CP188" s="4" t="str">
        <f>IF(SnapshotTable[[#This Row],[SP Is Filled]], btc_max_buyback_amount(SnapshotTable[[#This Row],[SP Fill Date]],SnapshotTable[[#This Row],[SP Exp Date]], SnapshotTable[[#This Row],[SP Book Price]]),"")</f>
        <v/>
      </c>
      <c r="CQ188" s="76"/>
      <c r="CR18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8" s="153" t="str">
        <f>IF(SnapshotTable[[#This Row],[SP Is Filled]], btc_next_cutoff_date(SnapshotTable[[#This Row],[SP Fill Date]],SnapshotTable[[#This Row],[SP Exp Date]]),"")</f>
        <v/>
      </c>
      <c r="CT188" s="220" t="str" cm="1">
        <f t="array" ref="CT188">IF(SnapshotTable[[#This Row],[SP Is Filled]], btc_should_buy_back(SnapshotTable[[#This Row],[SP Fill Date]], SnapshotTable[[#This Row],[SP Exp Date]], SnapshotTable[[#This Row],[SP Book Price]], SnapshotTable[[#This Row],[SP Current Ask]], MockToday, SnapshotTable[[#This Row],[SP Buyback Override]]),"")</f>
        <v/>
      </c>
      <c r="CU188" s="141"/>
      <c r="CV188" s="220"/>
      <c r="CW188" s="348" t="str">
        <f>IF(ISNUMBER( SnapshotTable[[#This Row],[SP Term]]), SnapshotTable[[#This Row],[SP Exp Date]] - MockToday,"")</f>
        <v/>
      </c>
      <c r="CX188" s="31" t="str">
        <f>IF(SnapshotTable[[#This Row],[SP Is Filled]],SnapshotTable[[#This Row],[SP Buyback Price to Use]] * 100 * SnapshotTable[[#This Row],[SP Qty]], "")</f>
        <v/>
      </c>
      <c r="CY188" s="4" t="str">
        <f>IF(ISNUMBER(SnapshotTable[[#This Row],[SP Strike Price]]), SnapshotTable[[#This Row],[SP Strike Price]] * (1 - SP_MaxLoss_StrikePct), "")</f>
        <v/>
      </c>
      <c r="CZ188" s="31" t="str">
        <f>IF(ISNUMBER(SnapshotTable[[#This Row],[SP Strike  Stop Per Share]]),SnapshotTable[[#This Row],[SP Premium]] - ((SnapshotTable[[#This Row],[SP Strike Price]]-SnapshotTable[[#This Row],[SP Strike  Stop Per Share]]) *(SnapshotTable[[#This Row],[SP Qty]] * 100)),"")</f>
        <v/>
      </c>
      <c r="DA188" s="4" t="str">
        <f>IF(AND(ISNUMBER(SnapshotTable[[#This Row],[SP Premium]]),SnapshotTable[[#This Row],[SP Premium]]&gt;0), SnapshotTable[[#This Row],[SP Book Price]] * (1 + SP_MaxLoss_OptionPct), "")</f>
        <v/>
      </c>
      <c r="DB188" s="31" t="str">
        <f>IF(ISNUMBER(SnapshotTable[[#This Row],[SP Option  Stop Contract]]),(SnapshotTable[[#This Row],[SP Option  Stop Contract]] *(SnapshotTable[[#This Row],[SP Qty]] * 100) - SnapshotTable[[#This Row],[SP Premium]]),"")</f>
        <v/>
      </c>
      <c r="DC188" s="4"/>
      <c r="DD188" s="4"/>
      <c r="DE188" s="4" t="str">
        <f>IF(AND(SnapshotTable[[#This Row],[SP Qty]]&gt;0, SnapshotTable[[#This Row],[SP Stop To Use]]&gt;0),SnapshotTable[[#This Row],[SP Premium]] - ( SnapshotTable[[#This Row],[SP Qty]] * SnapshotTable[[#This Row],[SP Stop To Use]] * 100), "")</f>
        <v/>
      </c>
      <c r="DF188" s="31" t="str">
        <f>IF(AND(SnapshotTable[[#This Row],[SP Qty]]&gt;0,SnapshotTable[[#This Row],[SP Current Ask]]&gt;0), SnapshotTable[[#This Row],[SP Qty]] * SnapshotTable[[#This Row],[SP Current Ask]] * -100, "")</f>
        <v/>
      </c>
      <c r="DG188" s="31" t="str">
        <f>IF(ISNUMBER((SnapshotTable[[#This Row],[SP Total Value]])), SnapshotTable[[#This Row],[SP Premium]] + SnapshotTable[[#This Row],[SP Total Value]], "")</f>
        <v/>
      </c>
      <c r="DH188" s="272" t="str">
        <f>IF(ISNUMBER((SnapshotTable[[#This Row],[SP Total Value]])), SnapshotTable[[#This Row],[SP Gain Loss]] / SnapshotTable[[#This Row],[SP Premium]], "")</f>
        <v/>
      </c>
      <c r="DI188" s="369"/>
      <c r="DJ188" s="136"/>
      <c r="DK188" s="146"/>
      <c r="DL188" s="13"/>
      <c r="DM188" s="13"/>
      <c r="DN188" s="5">
        <v>5.0199999999999996</v>
      </c>
      <c r="DO188" s="31">
        <f>IF(SnapshotTable[[#This Row],[LC Symbol Count]]=1, SnapshotTable[[#This Row],[LC Qty]] * SnapshotTable[[#This Row],[LC Book Price]] * 100, 0)</f>
        <v>0</v>
      </c>
      <c r="DP188" s="161" t="str">
        <f>IF(AND(SnapshotTable[[#This Row],[LC Exp Date]]&gt;0, SnapshotTable[[#This Row],[LC Strike Price]]&gt;0,SnapshotTable[[#This Row],[LC Qty]]&gt;0,SnapshotTable[[#This Row],[LC Book Date]]&gt;0,SnapshotTable[[#This Row],[LC Book Price]]&gt;0,SnapshotTable[[#This Row],[LC Fill Date]]=0),"Y","")</f>
        <v/>
      </c>
      <c r="DQ188" s="356" t="str">
        <f>IF(SnapshotTable[[#This Row],[LC Premium]] &gt; 0,SnapshotTable[[#This Row],[LC Exp Date]]-MAX(SnapshotTable[[#This Row],[LC Book Date]], SnapshotTable[[#This Row],[LC Fill Date]]),"")</f>
        <v/>
      </c>
      <c r="DR188" s="356" t="str">
        <f>IF(ISNUMBER(SnapshotTable[[#This Row],[LC Term]]), SnapshotTable[[#This Row],[LC Exp Date]] - MockToday, "")</f>
        <v/>
      </c>
      <c r="DS188" s="219" t="str">
        <f>IF(SnapshotTable[[#This Row],[LC Premium]]&gt;0,SnapshotTable[[#This Row],[LC Strike Price]] + SnapshotTable[[#This Row],[LC Book Price]],"")</f>
        <v/>
      </c>
      <c r="DU188" s="9" t="str">
        <f>IF(AND(SnapshotTable[[#This Row],[LC Symbol Count]]&gt;0, SnapshotTable[[#This Row],[LC Contract Value]]&gt;0), SnapshotTable[[#This Row],[LC Contract Value]] * SnapshotTable[[#This Row],[LC Qty]] * 100, "")</f>
        <v/>
      </c>
      <c r="DV188" s="9" t="str">
        <f>IF(AND(ISNUMBER(SnapshotTable[[#This Row],[LC Total Value]]), SnapshotTable[[#This Row],[LC Not Filled]]&lt;&gt;"Y"), SnapshotTable[[#This Row],[LC Total Value]]-SnapshotTable[[#This Row],[LC Premium]],"")</f>
        <v/>
      </c>
      <c r="DW188" s="225" t="str">
        <f>IF(ISNUMBER(SnapshotTable[[#This Row],[LC Actual Gain Loss]]), SnapshotTable[[#This Row],[LC Actual Gain Loss]] / SnapshotTable[[#This Row],[LC Premium]],"")</f>
        <v/>
      </c>
      <c r="DX188" s="269">
        <f>IF(ISNUMBER(SnapshotTable[[#This Row],[LC Book Price]]),SnapshotTable[[#This Row],[LC Book Price]] * 1.5,"")</f>
        <v>7.5299999999999994</v>
      </c>
      <c r="DY188" s="250" t="str">
        <f>IF(SnapshotTable[[#This Row],[LC Premium]]&gt;0, SnapshotTable[[#This Row],[LC Next Target]] * SnapshotTable[[#This Row],[LC Qty]] * 100,"")</f>
        <v/>
      </c>
      <c r="DZ188" s="250" t="str">
        <f>IF(ISNUMBER(SnapshotTable[[#This Row],[LC Target Gross]]), SnapshotTable[[#This Row],[LC Target Gross]] - SnapshotTable[[#This Row],[LC Premium]], "")</f>
        <v/>
      </c>
      <c r="EA188" s="283" t="str">
        <f>IF(ISNUMBER(SnapshotTable[[#This Row],[LC Target Gain Loss]]), SnapshotTable[[#This Row],[LC Target Gain Loss]]/SnapshotTable[[#This Row],[LC Premium]], "")</f>
        <v/>
      </c>
      <c r="EB188" s="247"/>
      <c r="EC188" s="268" t="str">
        <f>IF(SnapshotTable[[#This Row],[LC Premium]]&gt;0, SnapshotTable[[#This Row],[LC Book Price]] * (1 - LC_StopLoss_Pct),"")</f>
        <v/>
      </c>
      <c r="ED188" s="269"/>
      <c r="EE188" s="268" t="str">
        <f>IF(ISNUMBER(SnapshotTable[[#This Row],[LC Contract Value]]),IF(ISNUMBER(SnapshotTable[[#This Row],[LC Stop Loss Override]]), SnapshotTable[[#This Row],[LC Stop Loss Override]],SnapshotTable[[#This Row],[LC Stop Loss Calc Target]]),"")</f>
        <v/>
      </c>
      <c r="EF188" s="31" t="str">
        <f>IF(ISNUMBER(SnapshotTable[[#This Row],[LC Stop  To Use]]), (SnapshotTable[[#This Row],[LC Stop  To Use]] * SnapshotTable[[#This Row],[LC Qty]] * 100),"")</f>
        <v/>
      </c>
      <c r="EG188" s="9" t="str">
        <f>IF(ISNUMBER(SnapshotTable[[#This Row],[LC Total Value]]),SnapshotTable[[#This Row],[LC Stop Loss Amount]] - SnapshotTable[[#This Row],[LC Premium]],"")</f>
        <v/>
      </c>
      <c r="EH188" s="9">
        <f>IF(ISNUMBER(SnapshotTable[[#This Row],[LC Premium]]), SnapshotTable[[#This Row],[LC Qty]] * 100 * SnapshotTable[[#This Row],[LC Strike Price]], "")</f>
        <v>0</v>
      </c>
      <c r="EI188" s="225" t="str">
        <f>IF(AND(ISNUMBER(SnapshotTable[[#This Row],[LC Total Value]]),SnapshotTable[[#This Row],[LC Total Value]]&gt;0),SnapshotTable[[#This Row],[LC Stop Gain Loss]]  / SnapshotTable[[#This Row],[LC Premium]],"")</f>
        <v/>
      </c>
      <c r="EJ188" s="35">
        <f>IF(ISNUMBER(SnapshotTable[[#This Row],[Equity Shares]]),TRUNC(SnapshotTable[[#This Row],[Equity Shares]] / 100),0) + SnapshotTable[[#This Row],[LC Qty]]</f>
        <v>0</v>
      </c>
      <c r="EK188" s="145"/>
      <c r="EL188" s="136"/>
      <c r="EM188" s="146"/>
      <c r="EN188" s="145"/>
      <c r="EO188" s="145"/>
      <c r="EP188" s="136"/>
      <c r="EQ188" s="382" t="b">
        <f>AND(ISNUMBER(SnapshotTable[[#This Row],[SC Exp Date]]), ISNUMBER(SnapshotTable[[#This Row],[SC Strike Price]]), ISNUMBER(SnapshotTable[[#This Row],[SC Qty]]), ISNUMBER(SnapshotTable[[#This Row],[SC Book Date]]), ISNUMBER(SnapshotTable[[#This Row],[SC Book Price]]))</f>
        <v>0</v>
      </c>
      <c r="ER188" s="382" t="b">
        <f>AND(SnapshotTable[[#This Row],[SC Is Booked]], NOT(ISBLANK(SnapshotTable[[#This Row],[SC Fill Date]])))</f>
        <v>0</v>
      </c>
      <c r="ES188" s="340">
        <v>0.61</v>
      </c>
      <c r="ET188" s="34" t="str">
        <f>IF(AND(ISNUMBER(SnapshotTable[[#This Row],[SC Exp Date]]), ISNUMBER(SnapshotTable[[#This Row],[SC Book Date]])), SnapshotTable[[#This Row],[SC Exp Date]] - MAX(SnapshotTable[[#This Row],[SC Book Date]], SnapshotTable[[#This Row],[SC Fill Date]]) + 1, "")</f>
        <v/>
      </c>
      <c r="EU188" s="34" t="str">
        <f>IF(ISNUMBER(SnapshotTable[[#This Row],[SC Term]]), SnapshotTable[[#This Row],[SC Exp Date]]- MockToday, "")</f>
        <v/>
      </c>
      <c r="EV188" s="31">
        <f>IF(SnapshotTable[[#This Row],[SC Is Booked]], SnapshotTable[[#This Row],[SC Qty]] * SnapshotTable[[#This Row],[SC Book Price]] * 100, 0)</f>
        <v>0</v>
      </c>
      <c r="EW188" s="4" t="str">
        <f>IF(AND(ISNUMBER(SnapshotTable[[#This Row],[Last Price]]), ISNUMBER( SnapshotTable[[#This Row],[SC Book Price]])), SnapshotTable[[#This Row],[Last Price]] - SnapshotTable[[#This Row],[SC Book Price]],"")</f>
        <v/>
      </c>
      <c r="EX188" s="219" t="str">
        <f>IF(SnapshotTable[[#This Row],[SC Is Booked]],IF(SnapshotTable[[#This Row],[SC Intrinsic Value]] &gt; 0, SnapshotTable[[#This Row],[SC Strike Price]], SnapshotTable[[#This Row],[Last Price]]), "")</f>
        <v/>
      </c>
      <c r="EY188" s="4">
        <f>IF(SnapshotTable[[#This Row],[SC Is Booked]], (MinimumPremiumRequired * SnapshotTable[[#This Row],[SC Basis]] * SnapshotTable[[#This Row],[SC Term]]), 0)</f>
        <v>0</v>
      </c>
      <c r="EZ188" s="268"/>
      <c r="FA188" s="204"/>
      <c r="FB188" s="340"/>
      <c r="FC188" s="4">
        <f>IF(SnapshotTable[[#This Row],[SC Is Filled]], btc_max_buyback_amount(SnapshotTable[[#This Row],[SC Fill Date]],SnapshotTable[[#This Row],[SC Exp Date]], SnapshotTable[[#This Row],[SC Book Price]]),0)</f>
        <v>0</v>
      </c>
      <c r="FD188" s="5"/>
      <c r="FE188" s="142" t="str">
        <f>IF(SnapshotTable[[#This Row],[SC Is Filled]], btc_next_cutoff_date(SnapshotTable[[#This Row],[SC Fill Date]],SnapshotTable[[#This Row],[SC Exp Date]]),"")</f>
        <v/>
      </c>
      <c r="FF188" s="4" t="str" cm="1">
        <f t="array" ref="FF188">IF(SnapshotTable[[#This Row],[SC Is Filled]], btc_should_buy_back(SnapshotTable[[#This Row],[SC Fill Date]], SnapshotTable[[#This Row],[SC Exp Date]], SnapshotTable[[#This Row],[SC Book Price]], SnapshotTable[[#This Row],[SC Current Ask]], MockToday, SnapshotTable[[#This Row],[SC Buyback Override]]),"")</f>
        <v/>
      </c>
      <c r="FG188" s="4">
        <f>IF(SnapshotTable[[#This Row],[SC Is Filled]], MAX(0,SnapshotTable[[#This Row],[Last Price]]  - SnapshotTable[[#This Row],[SC Strike Price]]), 0)</f>
        <v>0</v>
      </c>
      <c r="FH188" s="352">
        <f>IF(SnapshotTable[[#This Row],[SC Is Filled]], IF(ISNUMBER(SnapshotTable[[#This Row],[SC Current Ask]]), SnapshotTable[[#This Row],[SC Current Ask]], SnapshotTable[[#This Row],[SC Book Price]]) - SnapshotTable[[#This Row],[SC Intrinsic Value]], 0)</f>
        <v>0</v>
      </c>
      <c r="FI188" s="141"/>
      <c r="FJ188" s="32" t="str">
        <f>IF(SnapshotTable[[#This Row],[SC Is Filled]],100 * SnapshotTable[[#This Row],[SC Qty]] * IF(ISNUMBER(SnapshotTable[[#This Row],[SC Buyback Override]]), SnapshotTable[[#This Row],[SC Buyback Override]], SnapshotTable[[#This Row],[SC Current Ask]]), "")</f>
        <v/>
      </c>
      <c r="FK188" s="235" t="str">
        <f>IF(SnapshotTable[[#This Row],[SC Time Val]]&gt;0, SnapshotTable[[#This Row],[SC Time Val]] / SnapshotTable[[#This Row],[Last Price]],"")</f>
        <v/>
      </c>
      <c r="FL188" s="280" t="str">
        <f>IF(SnapshotTable[[#This Row],[SC Is Booked]], ((SnapshotTable[[#This Row],[Last Price]] -SnapshotTable[[#This Row],[SC Strike Price]]) / SnapshotTable[[#This Row],[Last Price]]) * -1, "")</f>
        <v/>
      </c>
      <c r="FM188" s="155" t="str">
        <f>IF(SnapshotTable[[#This Row],[SC Is Booked]],  (SnapshotTable[[#This Row],[SC Qty]] * 100 * SnapshotTable[[#This Row],[SC Strike Price]]) - SnapshotTable[[#This Row],[SC Current Ask]], "")</f>
        <v/>
      </c>
      <c r="FN18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8" s="31" t="str">
        <f>IF(AND(ISNUMBER(SnapshotTable[[#This Row],[SC Exercise Gross]]), ISNUMBER(SnapshotTable[[#This Row],[Equity Basis Per Share]] )), SnapshotTable[[#This Row],[SC Exercise Gross]] - SnapshotTable[[#This Row],[Equity Basis Total]] +  SnapshotTable[[#This Row],[SC Premium]], "")</f>
        <v/>
      </c>
      <c r="FP188" s="5" t="str">
        <f>IF(ISNUMBER(SnapshotTable[[#This Row],[SC Exercise Gross]]), (SnapshotTable[[#This Row],[SC Exercise Gross]]) / (SnapshotTable[[#This Row],[SC Qty]] * 100), "")</f>
        <v/>
      </c>
      <c r="FQ188" s="27" t="str">
        <f>IF(SnapshotTable[[#This Row],[SC Is Booked]],SnapshotTable[[#This Row],[SC Time Val]] /SnapshotTable[[#This Row],[SC Basis]], "")</f>
        <v/>
      </c>
      <c r="FR188" s="27" t="str" cm="1">
        <f t="array" ref="FR188">IF(AND(ISNUMBER(SnapshotTable[[#This Row],[SC Term]]),ISNUMBER(SnapshotTable[[#This Row],[SC Simple ROO]])), EllmanAnnualize(SnapshotTable[[#This Row],[SC DTE]], SnapshotTable[[#This Row],[SC Simple ROO]] ),"")</f>
        <v/>
      </c>
      <c r="FS188" s="4">
        <f>IF(SnapshotTable[[#This Row],[SC Strike Price]] &gt; SnapshotTable[[#This Row],[Last Price]], SnapshotTable[[#This Row],[SC Strike Price]] - SnapshotTable[[#This Row],[Last Price]],0)</f>
        <v>0</v>
      </c>
      <c r="FT188" s="27" t="str">
        <f>IF(AND(ISNUMBER(SnapshotTable[[#This Row],[SC Upside Potential]]), SnapshotTable[[#This Row],[SC Upside Potential]] &gt; 0),(SnapshotTable[[#This Row],[SC Upside Potential]]/ SnapshotTable[[#This Row],[ACB]]),"")</f>
        <v/>
      </c>
      <c r="FU188" s="304" t="str">
        <f>IF(SnapshotTable[[#This Row],[SC Intrinsic Value]] &gt; 0,SnapshotTable[[#This Row],[SC Intrinsic Value]],"")</f>
        <v/>
      </c>
      <c r="FV188" s="27" t="str">
        <f>IF(AND( ISNUMBER( SnapshotTable[[#This Row],[ACB]]),ISNUMBER(SnapshotTable[[#This Row],[SC Downside Protect]])),SnapshotTable[[#This Row],[SC Downside Protect]] / SnapshotTable[[#This Row],[ACB]],"")</f>
        <v/>
      </c>
      <c r="FW188" s="221" t="str">
        <f>IF(AND(ISNUMBER(SnapshotTable[[#This Row],[SC Simple ROO]]),SnapshotTable[[#This Row],[SC Simple ROO]] &gt; 0), SnapshotTable[[#This Row],[SC Premium]] + (SnapshotTable[[#This Row],[SC Qty]] * SnapshotTable[[#This Row],[SC Upside Potential]]), "")</f>
        <v/>
      </c>
      <c r="FX188" s="280" t="str" cm="1">
        <f t="array" ref="FX188">IF(ISNUMBER(SnapshotTable[[#This Row],[SC Max Dollars]]), annualize(SnapshotTable[[#This Row],[SC Term]],(SnapshotTable[[#This Row],[SC Max Dollars]]/SnapshotTable[[#This Row],[SC Basis]])),"")</f>
        <v/>
      </c>
      <c r="FY188" s="221" t="str">
        <f>IF(AND(SnapshotTable[[#This Row],[SC Qty]]&gt;0,SnapshotTable[[#This Row],[SC Current Ask]]&gt;0), SnapshotTable[[#This Row],[SC Qty]] * SnapshotTable[[#This Row],[SC Current Ask]] * -100, "")</f>
        <v/>
      </c>
      <c r="FZ188" s="31" t="str">
        <f>IF(ISNUMBER((SnapshotTable[[#This Row],[SC Current Value]])), SnapshotTable[[#This Row],[SC Premium]] + SnapshotTable[[#This Row],[SC Current Value]], "")</f>
        <v/>
      </c>
      <c r="GA188" s="272" t="str">
        <f>IFERROR( IF(ISNUMBER((SnapshotTable[[#This Row],[SC Current Value]])), SnapshotTable[[#This Row],[SC Gain Loss]] / SnapshotTable[[#This Row],[SC Premium]], ""), "")</f>
        <v/>
      </c>
      <c r="GB188" s="42">
        <f>SnapshotTable[[#This Row],[Equity Shares]] * SaleSharesToConsiderPercentage</f>
        <v>0</v>
      </c>
      <c r="GC188" s="40">
        <f>SnapshotTable[[#This Row],[Long Term Target]] * SellingPriceToConsiderBasedOnTargetPercentage</f>
        <v>19.341999999999999</v>
      </c>
      <c r="GD188" s="40">
        <f>SnapshotTable[[#This Row],[Last Price]] * (1+ SellingPriceToConsiderBasedOnTargetPercentage)</f>
        <v>63.355499999999999</v>
      </c>
      <c r="GE188" s="41"/>
      <c r="GF188" s="40"/>
      <c r="GG188" s="31">
        <f>SnapshotTable[[#This Row],[Booked Sale Shares]] * SnapshotTable[[#This Row],[Booked Sale Price]]</f>
        <v>0</v>
      </c>
      <c r="GH188" s="31" t="str">
        <f>IF(SnapshotTable[[#This Row],[Equity Basis Total]] &gt; 0, SnapshotTable[[#This Row],[Equity Basis Per Share]] * SnapshotTable[[#This Row],[Booked Sale Shares]], "")</f>
        <v/>
      </c>
      <c r="GI188" s="31">
        <f>IF(SnapshotTable[[#This Row],[Sale Proceeds]]&gt;0, SnapshotTable[[#This Row],[Sale Proceeds]] - SnapshotTable[[#This Row],[Sale Basis]], 0)</f>
        <v>0</v>
      </c>
      <c r="GJ188" s="27" t="str">
        <f>IF(SnapshotTable[[#This Row],[Sale G/L]]&gt;0, SnapshotTable[[#This Row],[Sale G/L]] / SnapshotTable[[#This Row],[Sale Basis]], IF(ISNUMBER(SnapshotTable[[#This Row],[SC Exercise P&amp;L (TAX)]]), SnapshotTable[[#This Row],[SC Exercise P&amp;L (TAX)]] / SnapshotTable[[#This Row],[SC Basis]], ""))</f>
        <v/>
      </c>
      <c r="GK188" s="27" t="s">
        <v>599</v>
      </c>
      <c r="GL188" s="43" t="str">
        <f>IF(AND(SnapshotTable[[#This Row],[LP Exp Date]]&gt;0,SnapshotTable[[#This Row],[LP Strike Price]]&gt;0), [1]!ToOptionSymbol(SnapshotTable[[#This Row],[Symbol]], SnapshotTable[[#This Row],[LP Strike Price]],SnapshotTable[[#This Row],[LP Exp Date]],1), "")</f>
        <v/>
      </c>
      <c r="GM188" s="30" t="str">
        <f>IF(LEN(SnapshotTable[[#This Row],[LP Symbol]])&gt;0, 1, "")</f>
        <v/>
      </c>
      <c r="GN188" s="43" t="str">
        <f>IF(AND(SnapshotTable[[#This Row],[SP Exp Date]]&gt;0,SnapshotTable[[#This Row],[SP Strike Price]]&gt;0), [1]!ToOptionSymbol(SnapshotTable[[#This Row],[Symbol]], SnapshotTable[[#This Row],[SP Strike Price]],SnapshotTable[[#This Row],[SP Exp Date]],1), "")</f>
        <v/>
      </c>
      <c r="GO188" s="30" t="str">
        <f>IF(LEN(SnapshotTable[[#This Row],[SP Symbol]])&gt;0, 1, "")</f>
        <v/>
      </c>
      <c r="GP188" s="43" t="str">
        <f>IF(AND(SnapshotTable[[#This Row],[LC Exp Date]]&gt;0,SnapshotTable[[#This Row],[LC Strike Price]]&gt;0), [1]!ToOptionSymbol(SnapshotTable[[#This Row],[Symbol]], SnapshotTable[[#This Row],[LC Strike Price]],SnapshotTable[[#This Row],[LC Exp Date]],0), "")</f>
        <v/>
      </c>
      <c r="GQ188" s="30" t="str">
        <f>IF(LEN(SnapshotTable[[#This Row],[LC Symbol]])&gt;0, 1, "")</f>
        <v/>
      </c>
      <c r="GR188" s="43" t="str">
        <f>IF(AND(SnapshotTable[[#This Row],[SC Exp Date]]&gt;0,SnapshotTable[[#This Row],[SC Strike Price]]&gt;0), [1]!ToOptionSymbol(SnapshotTable[[#This Row],[Symbol]], SnapshotTable[[#This Row],[SC Strike Price]],SnapshotTable[[#This Row],[SC Exp Date]],0), "")</f>
        <v/>
      </c>
      <c r="GS188" s="30" t="str">
        <f>IF(LEN(SnapshotTable[[#This Row],[SC Symbol]])&gt;0, 1, "")</f>
        <v/>
      </c>
      <c r="GT188" s="29" t="str">
        <f>IF(COUNT(SnapshotTable[[#This Row],[LP Symbol Count]],SnapshotTable[[#This Row],[SP Symbol Count]],SnapshotTable[[#This Row],[LC Symbol Count]],SnapshotTable[[#This Row],[SC Symbol Count]])&gt;0, "Y", "")</f>
        <v/>
      </c>
      <c r="GU18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8" s="216">
        <f>MAX(SnapshotTable[[#This Row],[Equity Basis Total]],SnapshotTable[[#This Row],[Equity Value]]) + (SnapshotTable[[#This Row],[SP Potential Spend]]- SnapshotTable[[#This Row],[SP Premium]] + SnapshotTable[[#This Row],[LP Premium]])+ (SnapshotTable[[#This Row],[LC Premium]] - SnapshotTable[[#This Row],[SC Premium]])</f>
        <v>0</v>
      </c>
      <c r="GW188" s="137" t="str">
        <f>IF(AND(SnapshotTable[[#This Row],[Exposure]] &lt;&gt; 0),SnapshotTable[[#This Row],[Exposure]] / SnapshotTable[[#Totals],[Exposure]], "")</f>
        <v/>
      </c>
      <c r="HE188" s="253"/>
      <c r="HF188" s="253"/>
      <c r="HK188" s="1"/>
      <c r="HL188" s="1"/>
      <c r="HM188" s="1"/>
      <c r="HN188" s="1"/>
      <c r="HO188" s="1"/>
      <c r="HP188" s="1"/>
    </row>
    <row r="189" spans="2:224" ht="12.75" hidden="1" customHeight="1" x14ac:dyDescent="0.25">
      <c r="B189" s="12" t="s">
        <v>446</v>
      </c>
      <c r="C189" s="385">
        <v>36.909999999999997</v>
      </c>
      <c r="D189" s="200"/>
      <c r="E189" s="39">
        <f>SnapshotTable[[#This Row],[Last Price]]*(1 -CrashDiscount)</f>
        <v>31.373499999999996</v>
      </c>
      <c r="F189" s="26" t="s">
        <v>447</v>
      </c>
      <c r="G189" s="26" t="s">
        <v>12</v>
      </c>
      <c r="H189" s="147"/>
      <c r="I189" s="186">
        <v>44741.291666666664</v>
      </c>
      <c r="J189" s="187">
        <v>44741.291666666664</v>
      </c>
      <c r="K189" s="188" t="s">
        <v>3</v>
      </c>
      <c r="L189" s="297"/>
      <c r="M189" s="138"/>
      <c r="N189" s="138"/>
      <c r="O189" s="138"/>
      <c r="P189" s="22"/>
      <c r="Q189" s="25"/>
      <c r="R189" s="4" t="str">
        <f>IF(SnapshotTable[[#This Row],[Equity Basis Total]] &gt; 0, SnapshotTable[[#This Row],[Equity Basis Total]] / SnapshotTable[[#This Row],[Equity Shares]], "")</f>
        <v/>
      </c>
      <c r="S189" s="254">
        <f>SnapshotTable[[#This Row],[Last Price]] * SnapshotTable[[#This Row],[Equity Shares]]</f>
        <v>0</v>
      </c>
      <c r="T189" s="254">
        <f>SnapshotTable[[#This Row],[Equity Value]] - SnapshotTable[[#This Row],[Equity Basis Total]]</f>
        <v>0</v>
      </c>
      <c r="U189" s="255" t="str">
        <f>IF(SnapshotTable[[#This Row],[Equity Basis Total]] &gt; 0, SnapshotTable[[#This Row],[Equity G/L]] / SnapshotTable[[#This Row],[Equity Basis Total]], "")</f>
        <v/>
      </c>
      <c r="V189" s="253"/>
      <c r="W189" s="253"/>
      <c r="X189" s="4" t="str">
        <f>IF(AND(ISNUMBER(SnapshotTable[[#This Row],[Equity Basis Per Share]]),ISNUMBER(SnapshotTable[[#This Row],[Equity Target]])),SnapshotTable[[#This Row],[Equity Target]]-SnapshotTable[[#This Row],[Equity Basis Per Share]],"")</f>
        <v/>
      </c>
      <c r="Y189" s="4" t="str">
        <f>IF(AND(ISNUMBER(SnapshotTable[[#This Row],[Equity Basis Per Share]]),ISNUMBER(SnapshotTable[[#This Row],[Equity Stop Loss]])),SnapshotTable[[#This Row],[Equity Stop Loss]]-SnapshotTable[[#This Row],[Equity Basis Per Share]],"")</f>
        <v/>
      </c>
      <c r="Z189" s="260" t="str">
        <f>IFERROR( TEXT(SnapshotTable[[#This Row],[Equity Max Gain Per Share]] /ABS( SnapshotTable[[#This Row],[Equity Max Loss Per Share]]),"0.0 " ) &amp; " : 1", "")</f>
        <v/>
      </c>
      <c r="AA189" s="31" t="str">
        <f>IF(ISNUMBER(SnapshotTable[[#This Row],[Equity Max Gain Per Share]]),SnapshotTable[[#This Row],[Equity Max Gain Per Share]] * SnapshotTable[[#This Row],[Equity Shares]],"")</f>
        <v/>
      </c>
      <c r="AB189" s="31" t="str">
        <f>IF(ISNUMBER(SnapshotTable[[#This Row],[Equity Max Loss Per Share]]),SnapshotTable[[#This Row],[Equity Max Loss Per Share]] * SnapshotTable[[#This Row],[Equity Shares]],"")</f>
        <v/>
      </c>
      <c r="AC189" s="148"/>
      <c r="AD189" s="149"/>
      <c r="AE189" s="31">
        <f>(SnapshotTable[[#This Row],[Annual Dividend Per Share]] / 4) * SnapshotTable[[#This Row],[Equity Shares]]</f>
        <v>0</v>
      </c>
      <c r="AF189" s="31">
        <f>SnapshotTable[[#This Row],[Quarterly Div $]] * 4</f>
        <v>0</v>
      </c>
      <c r="AG189" s="7">
        <f>IF(SnapshotTable[[#This Row],[Annual Dividend Per Share]]&gt;0, SnapshotTable[[#This Row],[Annual Dividend Per Share]]  / SnapshotTable[[#This Row],[Last Price]], 0)</f>
        <v>0</v>
      </c>
      <c r="AH189" s="149"/>
      <c r="AI189" s="5"/>
      <c r="AJ189" s="136">
        <v>58.88</v>
      </c>
      <c r="AK189" s="150" t="str">
        <f>IF(ISNUMBER( SnapshotTable[[#This Row],[EBF Target]]),(SnapshotTable[[#This Row],[EBF Target]] - SnapshotTable[[#This Row],[Last Price]]) / SnapshotTable[[#This Row],[Last Price]], "")</f>
        <v/>
      </c>
      <c r="AL189" s="150" t="str">
        <f>IF(AND(SnapshotTable[[#This Row],[Equity Basis Total]] &gt; 0,ISNUMBER( SnapshotTable[[#This Row],[Long Term Target]])), SnapshotTable[[#This Row],[From Basis $]] / SnapshotTable[[#This Row],[Equity Basis Total]], "")</f>
        <v/>
      </c>
      <c r="AM189" s="9">
        <f>IF( AND(SnapshotTable[[#This Row],[Equity Shares]] &gt;0,ISNUMBER( SnapshotTable[[#This Row],[Long Term Target]])),(SnapshotTable[[#This Row],[Equity Shares]] * SnapshotTable[[#This Row],[Long Term Target]]) - SnapshotTable[[#This Row],[Equity Basis Total]],0)</f>
        <v>0</v>
      </c>
      <c r="AN189" s="9">
        <f>IF( AND(SnapshotTable[[#This Row],[Equity Shares]] &gt;0,ISNUMBER( SnapshotTable[[#This Row],[Long Term Target]])),(SnapshotTable[[#This Row],[Equity Shares]]*SnapshotTable[[#This Row],[Long Term Target]]) - SnapshotTable[[#This Row],[Equity Value]],0)</f>
        <v>0</v>
      </c>
      <c r="AO189" s="150">
        <f>IF(AND(ISNUMBER( SnapshotTable[[#This Row],[Long Term Target]]), ISNUMBER(SnapshotTable[[#This Row],[Last Price]])),(SnapshotTable[[#This Row],[Long Term Target]] - SnapshotTable[[#This Row],[Last Price]]) / SnapshotTable[[#This Row],[Last Price]], "")</f>
        <v>0.59523164454077504</v>
      </c>
      <c r="AP189" s="5"/>
      <c r="AQ189" s="38"/>
      <c r="AR189" s="5"/>
      <c r="AS189" s="38"/>
      <c r="AT189" s="144"/>
      <c r="AU189" s="185" t="str">
        <f>IF(OR(SnapshotTable[[#This Row],[LP No Fill]]="Y",SnapshotTable[[#This Row],[SP Is Filled]],SnapshotTable[[#This Row],[LC Not Filled]]="Y",SnapshotTable[[#This Row],[SC Is Filled]]),"Y","")</f>
        <v/>
      </c>
      <c r="AV189" s="205"/>
      <c r="AW189" s="211"/>
      <c r="AX189" s="206"/>
      <c r="AY189" s="205" t="str">
        <f>IF(SnapshotTable[[#This Row],[Implied Move]]&gt;0, SnapshotTable[[#This Row],[Last Price]]-SnapshotTable[[#This Row],[Implied Move]],"")</f>
        <v/>
      </c>
      <c r="AZ189" s="205" t="str">
        <f>IF(SnapshotTable[[#This Row],[Implied Move]]&gt;0, SnapshotTable[[#This Row],[Last Price]] + SnapshotTable[[#This Row],[Implied Move]],"")</f>
        <v/>
      </c>
      <c r="BA189" s="302"/>
      <c r="BB189" s="318"/>
      <c r="BC18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89" s="321"/>
      <c r="BE189" s="5"/>
      <c r="BF189" s="14"/>
      <c r="BG189" s="13"/>
      <c r="BH189" s="13"/>
      <c r="BI189" s="5"/>
      <c r="BJ189" s="134">
        <f>IF(SnapshotTable[[#This Row],[LP Qty]] &gt; 0, SnapshotTable[[#This Row],[LP Qty]] * SnapshotTable[[#This Row],[LP Book Price]] * 100,0)</f>
        <v>0</v>
      </c>
      <c r="BK189" s="134">
        <f>IF(SnapshotTable[[#This Row],[LP Premium]] &gt; 0, SnapshotTable[[#This Row],[LP Qty]] * SnapshotTable[[#This Row],[LP Strike Price]] * 100,0)</f>
        <v>0</v>
      </c>
      <c r="BL189" s="152"/>
      <c r="BM189" s="355" t="str">
        <f>IF(SnapshotTable[[#This Row],[LP Premium]] &gt; 0,SnapshotTable[[#This Row],[LP Exp Date]]-MAX(SnapshotTable[[#This Row],[LP Book Date]], SnapshotTable[[#This Row],[LP Fill Date]]),"")</f>
        <v/>
      </c>
      <c r="BN189" s="355" t="str">
        <f>IF(ISNUMBER( SnapshotTable[[#This Row],[LP Term]]), SnapshotTable[[#This Row],[LP Exp Date]] - MockToday,"")</f>
        <v/>
      </c>
      <c r="BO189" s="161" t="str">
        <f>IF(AND(SnapshotTable[[#This Row],[LP Exp Date]]&gt;0, SnapshotTable[[#This Row],[LP Strike Price]]&gt;0,SnapshotTable[[#This Row],[LP Qty]]&gt;0,SnapshotTable[[#This Row],[LP Book Date]]&gt;0,SnapshotTable[[#This Row],[LP Book Price]]&gt;0,SnapshotTable[[#This Row],[LP Fill Date]]=0),"Y","")</f>
        <v/>
      </c>
      <c r="BP189" s="31" t="str">
        <f>IF(AND(SnapshotTable[[#This Row],[LP No Fill]]&lt;&gt;"Y",SnapshotTable[[#This Row],[LP Contract Value]]&gt;0, SnapshotTable[[#This Row],[LP Qty]]&gt;0), SnapshotTable[[#This Row],[LP Contract Value]]*SnapshotTable[[#This Row],[LP Qty]]*100,"")</f>
        <v/>
      </c>
      <c r="BQ189" s="13"/>
      <c r="BR189" s="5"/>
      <c r="BS189" s="36"/>
      <c r="BT189" s="145"/>
      <c r="BU189" s="13"/>
      <c r="BV189" s="5"/>
      <c r="BW189" s="382" t="b">
        <f>AND(ISNUMBER(SnapshotTable[[#This Row],[SP Exp Date]]), ISNUMBER(SnapshotTable[[#This Row],[SP Strike Price]]), ISNUMBER(SnapshotTable[[#This Row],[SP Qty]]), ISNUMBER(SnapshotTable[[#This Row],[SP Book Date]]), ISNUMBER(SnapshotTable[[#This Row],[SP Book Price]]))</f>
        <v>0</v>
      </c>
      <c r="BX189" s="382" t="b">
        <f>AND(SnapshotTable[[#This Row],[SP Is Booked]], NOT(ISBLANK(SnapshotTable[[#This Row],[SP Fill Date]])))</f>
        <v>0</v>
      </c>
      <c r="BY189" s="33">
        <f>IF(SnapshotTable[[#This Row],[SP Is Booked]], SnapshotTable[[#This Row],[SP Qty]] * SnapshotTable[[#This Row],[SP Book Price]] * 100, 0)</f>
        <v>0</v>
      </c>
      <c r="BZ189" s="339"/>
      <c r="CA189" s="338">
        <f>SnapshotTable[[#This Row],[LP Qty]]</f>
        <v>0</v>
      </c>
      <c r="CB189" s="4" t="str">
        <f>IF(SnapshotTable[[#This Row],[SP Is Booked]], SnapshotTable[[#This Row],[SP Strike Price]] - SnapshotTable[[#This Row],[SP Book Price]], "")</f>
        <v/>
      </c>
      <c r="CC189" s="19" t="str">
        <f>IF(SnapshotTable[[#This Row],[SP Is Booked]],SnapshotTable[[#This Row],[SP Exp Date]]-MAX(SnapshotTable[[#This Row],[SP Book Date]], SnapshotTable[[#This Row],[SP Fill Date]]),"")</f>
        <v/>
      </c>
      <c r="CD189" s="7" t="str">
        <f>IF(SnapshotTable[[#This Row],[SP Is Booked]], SnapshotTable[[#This Row],[SP Book Price]]/SnapshotTable[[#This Row],[SP Strike Price]], "")</f>
        <v/>
      </c>
      <c r="CE189" s="7" t="str">
        <f>IF(ISNUMBER(SnapshotTable[[#This Row],[SP ROO Term]]),SnapshotTable[[#This Row],[SP ROO Term]]*(365/SnapshotTable[[#This Row],[SP Term]]),"")</f>
        <v/>
      </c>
      <c r="CF189" s="221">
        <f>SnapshotTable[[#This Row],[LP Strike Price]] * SnapshotTable[[#This Row],[LP Qty]] * 100</f>
        <v>0</v>
      </c>
      <c r="CG189" s="31">
        <f>IF(ISNUMBER(SnapshotTable[[#This Row],[SP Premium]]), (SnapshotTable[[#This Row],[SP Qty]] * SnapshotTable[[#This Row],[SP Strike Price]]* 100) - SnapshotTable[[#This Row],[LP Protection]], 0)</f>
        <v>0</v>
      </c>
      <c r="CH189" s="7" t="str">
        <f>IF(ISNUMBER(SnapshotTable[[#This Row],[SP Break Even]]),-1 * (SnapshotTable[[#This Row],[SP Break Even]] - SnapshotTable[[#This Row],[Last Price]]) / SnapshotTable[[#This Row],[Last Price]], "")</f>
        <v/>
      </c>
      <c r="CI189" s="31">
        <f>IF(AND(ISNUMBER((SnapshotTable[[#This Row],[SP Potential Spend]])), SnapshotTable[[#This Row],[SP Strike Price]] &gt; SnapshotTable[[#This Row],[Last Price]], SnapshotTable[[#This Row],[SP Is Filled]]), SnapshotTable[[#This Row],[SP Potential Spend]] -  SnapshotTable[[#This Row],[LP Max Value]], 0)</f>
        <v>0</v>
      </c>
      <c r="CJ189" s="229"/>
      <c r="CK189" s="31">
        <f>IF(ISNUMBER(SnapshotTable[[#This Row],[SP Potential Spend]]),IF(ISNUMBER(SnapshotTable[[#This Row],[SP POW]]), SnapshotTable[[#This Row],[SP POW]] * SnapshotTable[[#This Row],[SP Potential Spend]], SnapshotTable[[#This Row],[SP Potential Spend]]), "")</f>
        <v>0</v>
      </c>
      <c r="CL189" s="162">
        <f>IF(NOT(SnapshotTable[[#This Row],[SP Is Filled]]),(SnapshotTable[[#This Row],[SP Qty]] * SnapshotTable[[#This Row],[SP Strike Price]] * 100) - SnapshotTable[[#This Row],[LP Max Value]],"")</f>
        <v>0</v>
      </c>
      <c r="CM189" s="31" t="str">
        <f>IF(SnapshotTable[[#This Row],[SP Actual Spend]]&lt;&gt;0, ((SnapshotTable[[#This Row],[SP Strike Price]]-SnapshotTable[[#This Row],[Last Price]]) *(SnapshotTable[[#This Row],[SP Qty]]*100) - SnapshotTable[[#This Row],[SP Premium]]) * - 1, "")</f>
        <v/>
      </c>
      <c r="CN189" s="76"/>
      <c r="CO189" s="339"/>
      <c r="CP189" s="4" t="str">
        <f>IF(SnapshotTable[[#This Row],[SP Is Filled]], btc_max_buyback_amount(SnapshotTable[[#This Row],[SP Fill Date]],SnapshotTable[[#This Row],[SP Exp Date]], SnapshotTable[[#This Row],[SP Book Price]]),"")</f>
        <v/>
      </c>
      <c r="CQ189" s="76"/>
      <c r="CR18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89" s="153" t="str">
        <f>IF(SnapshotTable[[#This Row],[SP Is Filled]], btc_next_cutoff_date(SnapshotTable[[#This Row],[SP Fill Date]],SnapshotTable[[#This Row],[SP Exp Date]]),"")</f>
        <v/>
      </c>
      <c r="CT189" s="220" t="str" cm="1">
        <f t="array" ref="CT189">IF(SnapshotTable[[#This Row],[SP Is Filled]], btc_should_buy_back(SnapshotTable[[#This Row],[SP Fill Date]], SnapshotTable[[#This Row],[SP Exp Date]], SnapshotTable[[#This Row],[SP Book Price]], SnapshotTable[[#This Row],[SP Current Ask]], MockToday, SnapshotTable[[#This Row],[SP Buyback Override]]),"")</f>
        <v/>
      </c>
      <c r="CU189" s="141"/>
      <c r="CV189" s="220"/>
      <c r="CW189" s="348" t="str">
        <f>IF(ISNUMBER( SnapshotTable[[#This Row],[SP Term]]), SnapshotTable[[#This Row],[SP Exp Date]] - MockToday,"")</f>
        <v/>
      </c>
      <c r="CX189" s="31" t="str">
        <f>IF(SnapshotTable[[#This Row],[SP Is Filled]],SnapshotTable[[#This Row],[SP Buyback Price to Use]] * 100 * SnapshotTable[[#This Row],[SP Qty]], "")</f>
        <v/>
      </c>
      <c r="CY189" s="4" t="str">
        <f>IF(ISNUMBER(SnapshotTable[[#This Row],[SP Strike Price]]), SnapshotTable[[#This Row],[SP Strike Price]] * (1 - SP_MaxLoss_StrikePct), "")</f>
        <v/>
      </c>
      <c r="CZ189" s="31" t="str">
        <f>IF(ISNUMBER(SnapshotTable[[#This Row],[SP Strike  Stop Per Share]]),SnapshotTable[[#This Row],[SP Premium]] - ((SnapshotTable[[#This Row],[SP Strike Price]]-SnapshotTable[[#This Row],[SP Strike  Stop Per Share]]) *(SnapshotTable[[#This Row],[SP Qty]] * 100)),"")</f>
        <v/>
      </c>
      <c r="DA189" s="4" t="str">
        <f>IF(AND(ISNUMBER(SnapshotTable[[#This Row],[SP Premium]]),SnapshotTable[[#This Row],[SP Premium]]&gt;0), SnapshotTable[[#This Row],[SP Book Price]] * (1 + SP_MaxLoss_OptionPct), "")</f>
        <v/>
      </c>
      <c r="DB189" s="31" t="str">
        <f>IF(ISNUMBER(SnapshotTable[[#This Row],[SP Option  Stop Contract]]),(SnapshotTable[[#This Row],[SP Option  Stop Contract]] *(SnapshotTable[[#This Row],[SP Qty]] * 100) - SnapshotTable[[#This Row],[SP Premium]]),"")</f>
        <v/>
      </c>
      <c r="DC189" s="4"/>
      <c r="DD189" s="4"/>
      <c r="DE189" s="4" t="str">
        <f>IF(AND(SnapshotTable[[#This Row],[SP Qty]]&gt;0, SnapshotTable[[#This Row],[SP Stop To Use]]&gt;0),SnapshotTable[[#This Row],[SP Premium]] - ( SnapshotTable[[#This Row],[SP Qty]] * SnapshotTable[[#This Row],[SP Stop To Use]] * 100), "")</f>
        <v/>
      </c>
      <c r="DF189" s="31" t="str">
        <f>IF(AND(SnapshotTable[[#This Row],[SP Qty]]&gt;0,SnapshotTable[[#This Row],[SP Current Ask]]&gt;0), SnapshotTable[[#This Row],[SP Qty]] * SnapshotTable[[#This Row],[SP Current Ask]] * -100, "")</f>
        <v/>
      </c>
      <c r="DG189" s="31" t="str">
        <f>IF(ISNUMBER((SnapshotTable[[#This Row],[SP Total Value]])), SnapshotTable[[#This Row],[SP Premium]] + SnapshotTable[[#This Row],[SP Total Value]], "")</f>
        <v/>
      </c>
      <c r="DH189" s="272" t="str">
        <f>IF(ISNUMBER((SnapshotTable[[#This Row],[SP Total Value]])), SnapshotTable[[#This Row],[SP Gain Loss]] / SnapshotTable[[#This Row],[SP Premium]], "")</f>
        <v/>
      </c>
      <c r="DI189" s="369"/>
      <c r="DJ189" s="136"/>
      <c r="DK189" s="146"/>
      <c r="DL189" s="13"/>
      <c r="DM189" s="13"/>
      <c r="DO189" s="31">
        <f>IF(SnapshotTable[[#This Row],[LC Symbol Count]]=1, SnapshotTable[[#This Row],[LC Qty]] * SnapshotTable[[#This Row],[LC Book Price]] * 100, 0)</f>
        <v>0</v>
      </c>
      <c r="DP189" s="161" t="str">
        <f>IF(AND(SnapshotTable[[#This Row],[LC Exp Date]]&gt;0, SnapshotTable[[#This Row],[LC Strike Price]]&gt;0,SnapshotTable[[#This Row],[LC Qty]]&gt;0,SnapshotTable[[#This Row],[LC Book Date]]&gt;0,SnapshotTable[[#This Row],[LC Book Price]]&gt;0,SnapshotTable[[#This Row],[LC Fill Date]]=0),"Y","")</f>
        <v/>
      </c>
      <c r="DQ189" s="356" t="str">
        <f>IF(SnapshotTable[[#This Row],[LC Premium]] &gt; 0,SnapshotTable[[#This Row],[LC Exp Date]]-MAX(SnapshotTable[[#This Row],[LC Book Date]], SnapshotTable[[#This Row],[LC Fill Date]]),"")</f>
        <v/>
      </c>
      <c r="DR189" s="356" t="str">
        <f>IF(ISNUMBER(SnapshotTable[[#This Row],[LC Term]]), SnapshotTable[[#This Row],[LC Exp Date]] - MockToday, "")</f>
        <v/>
      </c>
      <c r="DS189" s="219" t="str">
        <f>IF(SnapshotTable[[#This Row],[LC Premium]]&gt;0,SnapshotTable[[#This Row],[LC Strike Price]] + SnapshotTable[[#This Row],[LC Book Price]],"")</f>
        <v/>
      </c>
      <c r="DU189" s="9" t="str">
        <f>IF(AND(SnapshotTable[[#This Row],[LC Symbol Count]]&gt;0, SnapshotTable[[#This Row],[LC Contract Value]]&gt;0), SnapshotTable[[#This Row],[LC Contract Value]] * SnapshotTable[[#This Row],[LC Qty]] * 100, "")</f>
        <v/>
      </c>
      <c r="DV189" s="9" t="str">
        <f>IF(AND(ISNUMBER(SnapshotTable[[#This Row],[LC Total Value]]), SnapshotTable[[#This Row],[LC Not Filled]]&lt;&gt;"Y"), SnapshotTable[[#This Row],[LC Total Value]]-SnapshotTable[[#This Row],[LC Premium]],"")</f>
        <v/>
      </c>
      <c r="DW189" s="225" t="str">
        <f>IF(ISNUMBER(SnapshotTable[[#This Row],[LC Actual Gain Loss]]), SnapshotTable[[#This Row],[LC Actual Gain Loss]] / SnapshotTable[[#This Row],[LC Premium]],"")</f>
        <v/>
      </c>
      <c r="DX189" s="269" t="str">
        <f>IF(ISNUMBER(SnapshotTable[[#This Row],[LC Book Price]]),SnapshotTable[[#This Row],[LC Book Price]] * 1.5,"")</f>
        <v/>
      </c>
      <c r="DY189" s="250" t="str">
        <f>IF(SnapshotTable[[#This Row],[LC Premium]]&gt;0, SnapshotTable[[#This Row],[LC Next Target]] * SnapshotTable[[#This Row],[LC Qty]] * 100,"")</f>
        <v/>
      </c>
      <c r="DZ189" s="250" t="str">
        <f>IF(ISNUMBER(SnapshotTable[[#This Row],[LC Target Gross]]), SnapshotTable[[#This Row],[LC Target Gross]] - SnapshotTable[[#This Row],[LC Premium]], "")</f>
        <v/>
      </c>
      <c r="EA189" s="283" t="str">
        <f>IF(ISNUMBER(SnapshotTable[[#This Row],[LC Target Gain Loss]]), SnapshotTable[[#This Row],[LC Target Gain Loss]]/SnapshotTable[[#This Row],[LC Premium]], "")</f>
        <v/>
      </c>
      <c r="EB189" s="247"/>
      <c r="EC189" s="268" t="str">
        <f>IF(SnapshotTable[[#This Row],[LC Premium]]&gt;0, SnapshotTable[[#This Row],[LC Book Price]] * (1 - LC_StopLoss_Pct),"")</f>
        <v/>
      </c>
      <c r="ED189" s="269"/>
      <c r="EE189" s="268" t="str">
        <f>IF(ISNUMBER(SnapshotTable[[#This Row],[LC Contract Value]]),IF(ISNUMBER(SnapshotTable[[#This Row],[LC Stop Loss Override]]), SnapshotTable[[#This Row],[LC Stop Loss Override]],SnapshotTable[[#This Row],[LC Stop Loss Calc Target]]),"")</f>
        <v/>
      </c>
      <c r="EF189" s="31" t="str">
        <f>IF(ISNUMBER(SnapshotTable[[#This Row],[LC Stop  To Use]]), (SnapshotTable[[#This Row],[LC Stop  To Use]] * SnapshotTable[[#This Row],[LC Qty]] * 100),"")</f>
        <v/>
      </c>
      <c r="EG189" s="9" t="str">
        <f>IF(ISNUMBER(SnapshotTable[[#This Row],[LC Total Value]]),SnapshotTable[[#This Row],[LC Stop Loss Amount]] - SnapshotTable[[#This Row],[LC Premium]],"")</f>
        <v/>
      </c>
      <c r="EH189" s="9">
        <f>IF(ISNUMBER(SnapshotTable[[#This Row],[LC Premium]]), SnapshotTable[[#This Row],[LC Qty]] * 100 * SnapshotTable[[#This Row],[LC Strike Price]], "")</f>
        <v>0</v>
      </c>
      <c r="EI189" s="225" t="str">
        <f>IF(AND(ISNUMBER(SnapshotTable[[#This Row],[LC Total Value]]),SnapshotTable[[#This Row],[LC Total Value]]&gt;0),SnapshotTable[[#This Row],[LC Stop Gain Loss]]  / SnapshotTable[[#This Row],[LC Premium]],"")</f>
        <v/>
      </c>
      <c r="EJ189" s="35">
        <f>IF(ISNUMBER(SnapshotTable[[#This Row],[Equity Shares]]),TRUNC(SnapshotTable[[#This Row],[Equity Shares]] / 100),0) + SnapshotTable[[#This Row],[LC Qty]]</f>
        <v>0</v>
      </c>
      <c r="EK189" s="145"/>
      <c r="EL189" s="136"/>
      <c r="EM189" s="146"/>
      <c r="EN189" s="145"/>
      <c r="EO189" s="145"/>
      <c r="EP189" s="136"/>
      <c r="EQ189" s="382" t="b">
        <f>AND(ISNUMBER(SnapshotTable[[#This Row],[SC Exp Date]]), ISNUMBER(SnapshotTable[[#This Row],[SC Strike Price]]), ISNUMBER(SnapshotTable[[#This Row],[SC Qty]]), ISNUMBER(SnapshotTable[[#This Row],[SC Book Date]]), ISNUMBER(SnapshotTable[[#This Row],[SC Book Price]]))</f>
        <v>0</v>
      </c>
      <c r="ER189" s="382" t="b">
        <f>AND(SnapshotTable[[#This Row],[SC Is Booked]], NOT(ISBLANK(SnapshotTable[[#This Row],[SC Fill Date]])))</f>
        <v>0</v>
      </c>
      <c r="ES189" s="340"/>
      <c r="ET189" s="34" t="str">
        <f>IF(AND(ISNUMBER(SnapshotTable[[#This Row],[SC Exp Date]]), ISNUMBER(SnapshotTable[[#This Row],[SC Book Date]])), SnapshotTable[[#This Row],[SC Exp Date]] - MAX(SnapshotTable[[#This Row],[SC Book Date]], SnapshotTable[[#This Row],[SC Fill Date]]) + 1, "")</f>
        <v/>
      </c>
      <c r="EU189" s="34" t="str">
        <f>IF(ISNUMBER(SnapshotTable[[#This Row],[SC Term]]), SnapshotTable[[#This Row],[SC Exp Date]]- MockToday, "")</f>
        <v/>
      </c>
      <c r="EV189" s="31">
        <f>IF(SnapshotTable[[#This Row],[SC Is Booked]], SnapshotTable[[#This Row],[SC Qty]] * SnapshotTable[[#This Row],[SC Book Price]] * 100, 0)</f>
        <v>0</v>
      </c>
      <c r="EW189" s="4" t="str">
        <f>IF(AND(ISNUMBER(SnapshotTable[[#This Row],[Last Price]]), ISNUMBER( SnapshotTable[[#This Row],[SC Book Price]])), SnapshotTable[[#This Row],[Last Price]] - SnapshotTable[[#This Row],[SC Book Price]],"")</f>
        <v/>
      </c>
      <c r="EX189" s="219" t="str">
        <f>IF(SnapshotTable[[#This Row],[SC Is Booked]],IF(SnapshotTable[[#This Row],[SC Intrinsic Value]] &gt; 0, SnapshotTable[[#This Row],[SC Strike Price]], SnapshotTable[[#This Row],[Last Price]]), "")</f>
        <v/>
      </c>
      <c r="EY189" s="4">
        <f>IF(SnapshotTable[[#This Row],[SC Is Booked]], (MinimumPremiumRequired * SnapshotTable[[#This Row],[SC Basis]] * SnapshotTable[[#This Row],[SC Term]]), 0)</f>
        <v>0</v>
      </c>
      <c r="EZ189" s="268"/>
      <c r="FA189" s="204"/>
      <c r="FB189" s="340"/>
      <c r="FC189" s="4">
        <f>IF(SnapshotTable[[#This Row],[SC Is Filled]], btc_max_buyback_amount(SnapshotTable[[#This Row],[SC Fill Date]],SnapshotTable[[#This Row],[SC Exp Date]], SnapshotTable[[#This Row],[SC Book Price]]),0)</f>
        <v>0</v>
      </c>
      <c r="FD189" s="5"/>
      <c r="FE189" s="142" t="str">
        <f>IF(SnapshotTable[[#This Row],[SC Is Filled]], btc_next_cutoff_date(SnapshotTable[[#This Row],[SC Fill Date]],SnapshotTable[[#This Row],[SC Exp Date]]),"")</f>
        <v/>
      </c>
      <c r="FF189" s="4" t="str" cm="1">
        <f t="array" ref="FF189">IF(SnapshotTable[[#This Row],[SC Is Filled]], btc_should_buy_back(SnapshotTable[[#This Row],[SC Fill Date]], SnapshotTable[[#This Row],[SC Exp Date]], SnapshotTable[[#This Row],[SC Book Price]], SnapshotTable[[#This Row],[SC Current Ask]], MockToday, SnapshotTable[[#This Row],[SC Buyback Override]]),"")</f>
        <v/>
      </c>
      <c r="FG189" s="4">
        <f>IF(SnapshotTable[[#This Row],[SC Is Filled]], MAX(0,SnapshotTable[[#This Row],[Last Price]]  - SnapshotTable[[#This Row],[SC Strike Price]]), 0)</f>
        <v>0</v>
      </c>
      <c r="FH189" s="352">
        <f>IF(SnapshotTable[[#This Row],[SC Is Filled]], IF(ISNUMBER(SnapshotTable[[#This Row],[SC Current Ask]]), SnapshotTable[[#This Row],[SC Current Ask]], SnapshotTable[[#This Row],[SC Book Price]]) - SnapshotTable[[#This Row],[SC Intrinsic Value]], 0)</f>
        <v>0</v>
      </c>
      <c r="FI189" s="141"/>
      <c r="FJ189" s="32" t="str">
        <f>IF(SnapshotTable[[#This Row],[SC Is Filled]],100 * SnapshotTable[[#This Row],[SC Qty]] * IF(ISNUMBER(SnapshotTable[[#This Row],[SC Buyback Override]]), SnapshotTable[[#This Row],[SC Buyback Override]], SnapshotTable[[#This Row],[SC Current Ask]]), "")</f>
        <v/>
      </c>
      <c r="FK189" s="235" t="str">
        <f>IF(SnapshotTable[[#This Row],[SC Time Val]]&gt;0, SnapshotTable[[#This Row],[SC Time Val]] / SnapshotTable[[#This Row],[Last Price]],"")</f>
        <v/>
      </c>
      <c r="FL189" s="280" t="str">
        <f>IF(SnapshotTable[[#This Row],[SC Is Booked]], ((SnapshotTable[[#This Row],[Last Price]] -SnapshotTable[[#This Row],[SC Strike Price]]) / SnapshotTable[[#This Row],[Last Price]]) * -1, "")</f>
        <v/>
      </c>
      <c r="FM189" s="155" t="str">
        <f>IF(SnapshotTable[[#This Row],[SC Is Booked]],  (SnapshotTable[[#This Row],[SC Qty]] * 100 * SnapshotTable[[#This Row],[SC Strike Price]]) - SnapshotTable[[#This Row],[SC Current Ask]], "")</f>
        <v/>
      </c>
      <c r="FN18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89" s="31" t="str">
        <f>IF(AND(ISNUMBER(SnapshotTable[[#This Row],[SC Exercise Gross]]), ISNUMBER(SnapshotTable[[#This Row],[Equity Basis Per Share]] )), SnapshotTable[[#This Row],[SC Exercise Gross]] - SnapshotTable[[#This Row],[Equity Basis Total]] +  SnapshotTable[[#This Row],[SC Premium]], "")</f>
        <v/>
      </c>
      <c r="FP189" s="5" t="str">
        <f>IF(ISNUMBER(SnapshotTable[[#This Row],[SC Exercise Gross]]), (SnapshotTable[[#This Row],[SC Exercise Gross]]) / (SnapshotTable[[#This Row],[SC Qty]] * 100), "")</f>
        <v/>
      </c>
      <c r="FQ189" s="27" t="str">
        <f>IF(SnapshotTable[[#This Row],[SC Is Booked]],SnapshotTable[[#This Row],[SC Time Val]] /SnapshotTable[[#This Row],[SC Basis]], "")</f>
        <v/>
      </c>
      <c r="FR189" s="27" t="str" cm="1">
        <f t="array" ref="FR189">IF(AND(ISNUMBER(SnapshotTable[[#This Row],[SC Term]]),ISNUMBER(SnapshotTable[[#This Row],[SC Simple ROO]])), EllmanAnnualize(SnapshotTable[[#This Row],[SC DTE]], SnapshotTable[[#This Row],[SC Simple ROO]] ),"")</f>
        <v/>
      </c>
      <c r="FS189" s="4">
        <f>IF(SnapshotTable[[#This Row],[SC Strike Price]] &gt; SnapshotTable[[#This Row],[Last Price]], SnapshotTable[[#This Row],[SC Strike Price]] - SnapshotTable[[#This Row],[Last Price]],0)</f>
        <v>0</v>
      </c>
      <c r="FT189" s="27" t="str">
        <f>IF(AND(ISNUMBER(SnapshotTable[[#This Row],[SC Upside Potential]]), SnapshotTable[[#This Row],[SC Upside Potential]] &gt; 0),(SnapshotTable[[#This Row],[SC Upside Potential]]/ SnapshotTable[[#This Row],[ACB]]),"")</f>
        <v/>
      </c>
      <c r="FU189" s="304" t="str">
        <f>IF(SnapshotTable[[#This Row],[SC Intrinsic Value]] &gt; 0,SnapshotTable[[#This Row],[SC Intrinsic Value]],"")</f>
        <v/>
      </c>
      <c r="FV189" s="27" t="str">
        <f>IF(AND( ISNUMBER( SnapshotTable[[#This Row],[ACB]]),ISNUMBER(SnapshotTable[[#This Row],[SC Downside Protect]])),SnapshotTable[[#This Row],[SC Downside Protect]] / SnapshotTable[[#This Row],[ACB]],"")</f>
        <v/>
      </c>
      <c r="FW189" s="221" t="str">
        <f>IF(AND(ISNUMBER(SnapshotTable[[#This Row],[SC Simple ROO]]),SnapshotTable[[#This Row],[SC Simple ROO]] &gt; 0), SnapshotTable[[#This Row],[SC Premium]] + (SnapshotTable[[#This Row],[SC Qty]] * SnapshotTable[[#This Row],[SC Upside Potential]]), "")</f>
        <v/>
      </c>
      <c r="FX189" s="280" t="str" cm="1">
        <f t="array" ref="FX189">IF(ISNUMBER(SnapshotTable[[#This Row],[SC Max Dollars]]), annualize(SnapshotTable[[#This Row],[SC Term]],(SnapshotTable[[#This Row],[SC Max Dollars]]/SnapshotTable[[#This Row],[SC Basis]])),"")</f>
        <v/>
      </c>
      <c r="FY189" s="221" t="str">
        <f>IF(AND(SnapshotTable[[#This Row],[SC Qty]]&gt;0,SnapshotTable[[#This Row],[SC Current Ask]]&gt;0), SnapshotTable[[#This Row],[SC Qty]] * SnapshotTable[[#This Row],[SC Current Ask]] * -100, "")</f>
        <v/>
      </c>
      <c r="FZ189" s="31" t="str">
        <f>IF(ISNUMBER((SnapshotTable[[#This Row],[SC Current Value]])), SnapshotTable[[#This Row],[SC Premium]] + SnapshotTable[[#This Row],[SC Current Value]], "")</f>
        <v/>
      </c>
      <c r="GA189" s="272" t="str">
        <f>IFERROR( IF(ISNUMBER((SnapshotTable[[#This Row],[SC Current Value]])), SnapshotTable[[#This Row],[SC Gain Loss]] / SnapshotTable[[#This Row],[SC Premium]], ""), "")</f>
        <v/>
      </c>
      <c r="GB189" s="42">
        <f>SnapshotTable[[#This Row],[Equity Shares]] * SaleSharesToConsiderPercentage</f>
        <v>0</v>
      </c>
      <c r="GC189" s="40">
        <f>SnapshotTable[[#This Row],[Long Term Target]] * SellingPriceToConsiderBasedOnTargetPercentage</f>
        <v>55.936</v>
      </c>
      <c r="GD189" s="40">
        <f>SnapshotTable[[#This Row],[Last Price]] * (1+ SellingPriceToConsiderBasedOnTargetPercentage)</f>
        <v>71.974499999999992</v>
      </c>
      <c r="GE189" s="41"/>
      <c r="GF189" s="40"/>
      <c r="GG189" s="31">
        <f>SnapshotTable[[#This Row],[Booked Sale Shares]] * SnapshotTable[[#This Row],[Booked Sale Price]]</f>
        <v>0</v>
      </c>
      <c r="GH189" s="31" t="str">
        <f>IF(SnapshotTable[[#This Row],[Equity Basis Total]] &gt; 0, SnapshotTable[[#This Row],[Equity Basis Per Share]] * SnapshotTable[[#This Row],[Booked Sale Shares]], "")</f>
        <v/>
      </c>
      <c r="GI189" s="31">
        <f>IF(SnapshotTable[[#This Row],[Sale Proceeds]]&gt;0, SnapshotTable[[#This Row],[Sale Proceeds]] - SnapshotTable[[#This Row],[Sale Basis]], 0)</f>
        <v>0</v>
      </c>
      <c r="GJ189" s="27" t="str">
        <f>IF(SnapshotTable[[#This Row],[Sale G/L]]&gt;0, SnapshotTable[[#This Row],[Sale G/L]] / SnapshotTable[[#This Row],[Sale Basis]], IF(ISNUMBER(SnapshotTable[[#This Row],[SC Exercise P&amp;L (TAX)]]), SnapshotTable[[#This Row],[SC Exercise P&amp;L (TAX)]] / SnapshotTable[[#This Row],[SC Basis]], ""))</f>
        <v/>
      </c>
      <c r="GK189" s="27" t="s">
        <v>594</v>
      </c>
      <c r="GL189" s="43" t="str">
        <f>IF(AND(SnapshotTable[[#This Row],[LP Exp Date]]&gt;0,SnapshotTable[[#This Row],[LP Strike Price]]&gt;0), [1]!ToOptionSymbol(SnapshotTable[[#This Row],[Symbol]], SnapshotTable[[#This Row],[LP Strike Price]],SnapshotTable[[#This Row],[LP Exp Date]],1), "")</f>
        <v/>
      </c>
      <c r="GM189" s="30" t="str">
        <f>IF(LEN(SnapshotTable[[#This Row],[LP Symbol]])&gt;0, 1, "")</f>
        <v/>
      </c>
      <c r="GN189" s="43" t="str">
        <f>IF(AND(SnapshotTable[[#This Row],[SP Exp Date]]&gt;0,SnapshotTable[[#This Row],[SP Strike Price]]&gt;0), [1]!ToOptionSymbol(SnapshotTable[[#This Row],[Symbol]], SnapshotTable[[#This Row],[SP Strike Price]],SnapshotTable[[#This Row],[SP Exp Date]],1), "")</f>
        <v/>
      </c>
      <c r="GO189" s="30" t="str">
        <f>IF(LEN(SnapshotTable[[#This Row],[SP Symbol]])&gt;0, 1, "")</f>
        <v/>
      </c>
      <c r="GP189" s="43" t="str">
        <f>IF(AND(SnapshotTable[[#This Row],[LC Exp Date]]&gt;0,SnapshotTable[[#This Row],[LC Strike Price]]&gt;0), [1]!ToOptionSymbol(SnapshotTable[[#This Row],[Symbol]], SnapshotTable[[#This Row],[LC Strike Price]],SnapshotTable[[#This Row],[LC Exp Date]],0), "")</f>
        <v/>
      </c>
      <c r="GQ189" s="30" t="str">
        <f>IF(LEN(SnapshotTable[[#This Row],[LC Symbol]])&gt;0, 1, "")</f>
        <v/>
      </c>
      <c r="GR189" s="43" t="str">
        <f>IF(AND(SnapshotTable[[#This Row],[SC Exp Date]]&gt;0,SnapshotTable[[#This Row],[SC Strike Price]]&gt;0), [1]!ToOptionSymbol(SnapshotTable[[#This Row],[Symbol]], SnapshotTable[[#This Row],[SC Strike Price]],SnapshotTable[[#This Row],[SC Exp Date]],0), "")</f>
        <v/>
      </c>
      <c r="GS189" s="30" t="str">
        <f>IF(LEN(SnapshotTable[[#This Row],[SC Symbol]])&gt;0, 1, "")</f>
        <v/>
      </c>
      <c r="GT189" s="29" t="str">
        <f>IF(COUNT(SnapshotTable[[#This Row],[LP Symbol Count]],SnapshotTable[[#This Row],[SP Symbol Count]],SnapshotTable[[#This Row],[LC Symbol Count]],SnapshotTable[[#This Row],[SC Symbol Count]])&gt;0, "Y", "")</f>
        <v/>
      </c>
      <c r="GU18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89" s="216">
        <f>MAX(SnapshotTable[[#This Row],[Equity Basis Total]],SnapshotTable[[#This Row],[Equity Value]]) + (SnapshotTable[[#This Row],[SP Potential Spend]]- SnapshotTable[[#This Row],[SP Premium]] + SnapshotTable[[#This Row],[LP Premium]])+ (SnapshotTable[[#This Row],[LC Premium]] - SnapshotTable[[#This Row],[SC Premium]])</f>
        <v>0</v>
      </c>
      <c r="GW189" s="137" t="str">
        <f>IF(AND(SnapshotTable[[#This Row],[Exposure]] &lt;&gt; 0),SnapshotTable[[#This Row],[Exposure]] / SnapshotTable[[#Totals],[Exposure]], "")</f>
        <v/>
      </c>
      <c r="HE189" s="253"/>
      <c r="HF189" s="253"/>
      <c r="HK189" s="1"/>
      <c r="HL189" s="1"/>
      <c r="HM189" s="1"/>
      <c r="HN189" s="1"/>
      <c r="HO189" s="1"/>
      <c r="HP189" s="1"/>
    </row>
    <row r="190" spans="2:224" ht="12.75" hidden="1" customHeight="1" x14ac:dyDescent="0.25">
      <c r="B190" s="12" t="s">
        <v>115</v>
      </c>
      <c r="C190" s="385">
        <v>379.12</v>
      </c>
      <c r="D190" s="200"/>
      <c r="E190" s="39">
        <f>SnapshotTable[[#This Row],[Last Price]]*(1 -CrashDiscount)</f>
        <v>322.25200000000001</v>
      </c>
      <c r="F190" s="26" t="s">
        <v>5</v>
      </c>
      <c r="G190" s="26" t="s">
        <v>4</v>
      </c>
      <c r="H190" s="147"/>
      <c r="I190" s="186">
        <v>44741.291666666664</v>
      </c>
      <c r="J190" s="187">
        <v>44741.291666666664</v>
      </c>
      <c r="K190" s="188" t="s">
        <v>3</v>
      </c>
      <c r="L190" s="297"/>
      <c r="M190" s="138"/>
      <c r="N190" s="138"/>
      <c r="O190" s="138">
        <v>2</v>
      </c>
      <c r="P190" s="22"/>
      <c r="Q190" s="25"/>
      <c r="R190" s="4" t="str">
        <f>IF(SnapshotTable[[#This Row],[Equity Basis Total]] &gt; 0, SnapshotTable[[#This Row],[Equity Basis Total]] / SnapshotTable[[#This Row],[Equity Shares]], "")</f>
        <v/>
      </c>
      <c r="S190" s="254">
        <f>SnapshotTable[[#This Row],[Last Price]] * SnapshotTable[[#This Row],[Equity Shares]]</f>
        <v>0</v>
      </c>
      <c r="T190" s="254">
        <f>SnapshotTable[[#This Row],[Equity Value]] - SnapshotTable[[#This Row],[Equity Basis Total]]</f>
        <v>0</v>
      </c>
      <c r="U190" s="255" t="str">
        <f>IF(SnapshotTable[[#This Row],[Equity Basis Total]] &gt; 0, SnapshotTable[[#This Row],[Equity G/L]] / SnapshotTable[[#This Row],[Equity Basis Total]], "")</f>
        <v/>
      </c>
      <c r="V190" s="253"/>
      <c r="W190" s="253"/>
      <c r="X190" s="4" t="str">
        <f>IF(AND(ISNUMBER(SnapshotTable[[#This Row],[Equity Basis Per Share]]),ISNUMBER(SnapshotTable[[#This Row],[Equity Target]])),SnapshotTable[[#This Row],[Equity Target]]-SnapshotTable[[#This Row],[Equity Basis Per Share]],"")</f>
        <v/>
      </c>
      <c r="Y190" s="4" t="str">
        <f>IF(AND(ISNUMBER(SnapshotTable[[#This Row],[Equity Basis Per Share]]),ISNUMBER(SnapshotTable[[#This Row],[Equity Stop Loss]])),SnapshotTable[[#This Row],[Equity Stop Loss]]-SnapshotTable[[#This Row],[Equity Basis Per Share]],"")</f>
        <v/>
      </c>
      <c r="Z190" s="260" t="str">
        <f>IFERROR( TEXT(SnapshotTable[[#This Row],[Equity Max Gain Per Share]] /ABS( SnapshotTable[[#This Row],[Equity Max Loss Per Share]]),"0.0 " ) &amp; " : 1", "")</f>
        <v/>
      </c>
      <c r="AA190" s="31" t="str">
        <f>IF(ISNUMBER(SnapshotTable[[#This Row],[Equity Max Gain Per Share]]),SnapshotTable[[#This Row],[Equity Max Gain Per Share]] * SnapshotTable[[#This Row],[Equity Shares]],"")</f>
        <v/>
      </c>
      <c r="AB190" s="31" t="str">
        <f>IF(ISNUMBER(SnapshotTable[[#This Row],[Equity Max Loss Per Share]]),SnapshotTable[[#This Row],[Equity Max Loss Per Share]] * SnapshotTable[[#This Row],[Equity Shares]],"")</f>
        <v/>
      </c>
      <c r="AC190" s="148">
        <v>0</v>
      </c>
      <c r="AD190" s="149" t="s">
        <v>2</v>
      </c>
      <c r="AE190" s="31">
        <f>(SnapshotTable[[#This Row],[Annual Dividend Per Share]] / 4) * SnapshotTable[[#This Row],[Equity Shares]]</f>
        <v>0</v>
      </c>
      <c r="AF190" s="31">
        <f>SnapshotTable[[#This Row],[Quarterly Div $]] * 4</f>
        <v>0</v>
      </c>
      <c r="AG190" s="7">
        <f>IF(SnapshotTable[[#This Row],[Annual Dividend Per Share]]&gt;0, SnapshotTable[[#This Row],[Annual Dividend Per Share]]  / SnapshotTable[[#This Row],[Last Price]], 0)</f>
        <v>0</v>
      </c>
      <c r="AH190" s="149" t="s">
        <v>2</v>
      </c>
      <c r="AI190" s="5"/>
      <c r="AJ190" s="136" t="s">
        <v>111</v>
      </c>
      <c r="AK190" s="150" t="str">
        <f>IF(ISNUMBER( SnapshotTable[[#This Row],[EBF Target]]),(SnapshotTable[[#This Row],[EBF Target]] - SnapshotTable[[#This Row],[Last Price]]) / SnapshotTable[[#This Row],[Last Price]], "")</f>
        <v/>
      </c>
      <c r="AL190" s="150" t="str">
        <f>IF(AND(SnapshotTable[[#This Row],[Equity Basis Total]] &gt; 0,ISNUMBER( SnapshotTable[[#This Row],[Long Term Target]])), SnapshotTable[[#This Row],[From Basis $]] / SnapshotTable[[#This Row],[Equity Basis Total]], "")</f>
        <v/>
      </c>
      <c r="AM190" s="9">
        <f>IF( AND(SnapshotTable[[#This Row],[Equity Shares]] &gt;0,ISNUMBER( SnapshotTable[[#This Row],[Long Term Target]])),(SnapshotTable[[#This Row],[Equity Shares]] * SnapshotTable[[#This Row],[Long Term Target]]) - SnapshotTable[[#This Row],[Equity Basis Total]],0)</f>
        <v>0</v>
      </c>
      <c r="AN190" s="9">
        <f>IF( AND(SnapshotTable[[#This Row],[Equity Shares]] &gt;0,ISNUMBER( SnapshotTable[[#This Row],[Long Term Target]])),(SnapshotTable[[#This Row],[Equity Shares]]*SnapshotTable[[#This Row],[Long Term Target]]) - SnapshotTable[[#This Row],[Equity Value]],0)</f>
        <v>0</v>
      </c>
      <c r="AO190" s="150" t="str">
        <f>IF(AND(ISNUMBER( SnapshotTable[[#This Row],[Long Term Target]]), ISNUMBER(SnapshotTable[[#This Row],[Last Price]])),(SnapshotTable[[#This Row],[Long Term Target]] - SnapshotTable[[#This Row],[Last Price]]) / SnapshotTable[[#This Row],[Last Price]], "")</f>
        <v/>
      </c>
      <c r="AP190" s="5">
        <v>370</v>
      </c>
      <c r="AQ190" s="38" t="s">
        <v>114</v>
      </c>
      <c r="AR190" s="5"/>
      <c r="AS190" s="38" t="s">
        <v>28</v>
      </c>
      <c r="AT190" s="144"/>
      <c r="AU190" s="185" t="str">
        <f>IF(OR(SnapshotTable[[#This Row],[LP No Fill]]="Y",SnapshotTable[[#This Row],[SP Is Filled]],SnapshotTable[[#This Row],[LC Not Filled]]="Y",SnapshotTable[[#This Row],[SC Is Filled]]),"Y","")</f>
        <v/>
      </c>
      <c r="AV190" s="205"/>
      <c r="AW190" s="211"/>
      <c r="AX190" s="206"/>
      <c r="AY190" s="205" t="str">
        <f>IF(SnapshotTable[[#This Row],[Implied Move]]&gt;0, SnapshotTable[[#This Row],[Last Price]]-SnapshotTable[[#This Row],[Implied Move]],"")</f>
        <v/>
      </c>
      <c r="AZ190" s="205" t="str">
        <f>IF(SnapshotTable[[#This Row],[Implied Move]]&gt;0, SnapshotTable[[#This Row],[Last Price]] + SnapshotTable[[#This Row],[Implied Move]],"")</f>
        <v/>
      </c>
      <c r="BA190" s="302">
        <v>354.87</v>
      </c>
      <c r="BB190" s="318"/>
      <c r="BC19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0" s="321"/>
      <c r="BE190" s="5"/>
      <c r="BF190" s="14"/>
      <c r="BG190" s="13"/>
      <c r="BH190" s="13"/>
      <c r="BI190" s="5"/>
      <c r="BJ190" s="134">
        <f>IF(SnapshotTable[[#This Row],[LP Qty]] &gt; 0, SnapshotTable[[#This Row],[LP Qty]] * SnapshotTable[[#This Row],[LP Book Price]] * 100,0)</f>
        <v>0</v>
      </c>
      <c r="BK190" s="134">
        <f>IF(SnapshotTable[[#This Row],[LP Premium]] &gt; 0, SnapshotTable[[#This Row],[LP Qty]] * SnapshotTable[[#This Row],[LP Strike Price]] * 100,0)</f>
        <v>0</v>
      </c>
      <c r="BL190" s="152"/>
      <c r="BM190" s="355" t="str">
        <f>IF(SnapshotTable[[#This Row],[LP Premium]] &gt; 0,SnapshotTable[[#This Row],[LP Exp Date]]-MAX(SnapshotTable[[#This Row],[LP Book Date]], SnapshotTable[[#This Row],[LP Fill Date]]),"")</f>
        <v/>
      </c>
      <c r="BN190" s="355" t="str">
        <f>IF(ISNUMBER( SnapshotTable[[#This Row],[LP Term]]), SnapshotTable[[#This Row],[LP Exp Date]] - MockToday,"")</f>
        <v/>
      </c>
      <c r="BO190" s="161" t="str">
        <f>IF(AND(SnapshotTable[[#This Row],[LP Exp Date]]&gt;0, SnapshotTable[[#This Row],[LP Strike Price]]&gt;0,SnapshotTable[[#This Row],[LP Qty]]&gt;0,SnapshotTable[[#This Row],[LP Book Date]]&gt;0,SnapshotTable[[#This Row],[LP Book Price]]&gt;0,SnapshotTable[[#This Row],[LP Fill Date]]=0),"Y","")</f>
        <v/>
      </c>
      <c r="BP190" s="31" t="str">
        <f>IF(AND(SnapshotTable[[#This Row],[LP No Fill]]&lt;&gt;"Y",SnapshotTable[[#This Row],[LP Contract Value]]&gt;0, SnapshotTable[[#This Row],[LP Qty]]&gt;0), SnapshotTable[[#This Row],[LP Contract Value]]*SnapshotTable[[#This Row],[LP Qty]]*100,"")</f>
        <v/>
      </c>
      <c r="BQ190" s="13"/>
      <c r="BR190" s="5"/>
      <c r="BS190" s="36"/>
      <c r="BT190" s="145"/>
      <c r="BU190" s="13"/>
      <c r="BV190" s="5"/>
      <c r="BW190" s="382" t="b">
        <f>AND(ISNUMBER(SnapshotTable[[#This Row],[SP Exp Date]]), ISNUMBER(SnapshotTable[[#This Row],[SP Strike Price]]), ISNUMBER(SnapshotTable[[#This Row],[SP Qty]]), ISNUMBER(SnapshotTable[[#This Row],[SP Book Date]]), ISNUMBER(SnapshotTable[[#This Row],[SP Book Price]]))</f>
        <v>0</v>
      </c>
      <c r="BX190" s="382" t="b">
        <f>AND(SnapshotTable[[#This Row],[SP Is Booked]], NOT(ISBLANK(SnapshotTable[[#This Row],[SP Fill Date]])))</f>
        <v>0</v>
      </c>
      <c r="BY190" s="33">
        <f>IF(SnapshotTable[[#This Row],[SP Is Booked]], SnapshotTable[[#This Row],[SP Qty]] * SnapshotTable[[#This Row],[SP Book Price]] * 100, 0)</f>
        <v>0</v>
      </c>
      <c r="BZ190" s="339"/>
      <c r="CA190" s="338">
        <f>SnapshotTable[[#This Row],[LP Qty]]</f>
        <v>0</v>
      </c>
      <c r="CB190" s="4" t="str">
        <f>IF(SnapshotTable[[#This Row],[SP Is Booked]], SnapshotTable[[#This Row],[SP Strike Price]] - SnapshotTable[[#This Row],[SP Book Price]], "")</f>
        <v/>
      </c>
      <c r="CC190" s="19" t="str">
        <f>IF(SnapshotTable[[#This Row],[SP Is Booked]],SnapshotTable[[#This Row],[SP Exp Date]]-MAX(SnapshotTable[[#This Row],[SP Book Date]], SnapshotTable[[#This Row],[SP Fill Date]]),"")</f>
        <v/>
      </c>
      <c r="CD190" s="7" t="str">
        <f>IF(SnapshotTable[[#This Row],[SP Is Booked]], SnapshotTable[[#This Row],[SP Book Price]]/SnapshotTable[[#This Row],[SP Strike Price]], "")</f>
        <v/>
      </c>
      <c r="CE190" s="7" t="str">
        <f>IF(ISNUMBER(SnapshotTable[[#This Row],[SP ROO Term]]),SnapshotTable[[#This Row],[SP ROO Term]]*(365/SnapshotTable[[#This Row],[SP Term]]),"")</f>
        <v/>
      </c>
      <c r="CF190" s="221">
        <f>SnapshotTable[[#This Row],[LP Strike Price]] * SnapshotTable[[#This Row],[LP Qty]] * 100</f>
        <v>0</v>
      </c>
      <c r="CG190" s="31">
        <f>IF(ISNUMBER(SnapshotTable[[#This Row],[SP Premium]]), (SnapshotTable[[#This Row],[SP Qty]] * SnapshotTable[[#This Row],[SP Strike Price]]* 100) - SnapshotTable[[#This Row],[LP Protection]], 0)</f>
        <v>0</v>
      </c>
      <c r="CH190" s="7" t="str">
        <f>IF(ISNUMBER(SnapshotTable[[#This Row],[SP Break Even]]),-1 * (SnapshotTable[[#This Row],[SP Break Even]] - SnapshotTable[[#This Row],[Last Price]]) / SnapshotTable[[#This Row],[Last Price]], "")</f>
        <v/>
      </c>
      <c r="CI190" s="31">
        <f>IF(AND(ISNUMBER((SnapshotTable[[#This Row],[SP Potential Spend]])), SnapshotTable[[#This Row],[SP Strike Price]] &gt; SnapshotTable[[#This Row],[Last Price]], SnapshotTable[[#This Row],[SP Is Filled]]), SnapshotTable[[#This Row],[SP Potential Spend]] -  SnapshotTable[[#This Row],[LP Max Value]], 0)</f>
        <v>0</v>
      </c>
      <c r="CJ190" s="229"/>
      <c r="CK190" s="31">
        <f>IF(ISNUMBER(SnapshotTable[[#This Row],[SP Potential Spend]]),IF(ISNUMBER(SnapshotTable[[#This Row],[SP POW]]), SnapshotTable[[#This Row],[SP POW]] * SnapshotTable[[#This Row],[SP Potential Spend]], SnapshotTable[[#This Row],[SP Potential Spend]]), "")</f>
        <v>0</v>
      </c>
      <c r="CL190" s="162">
        <f>IF(NOT(SnapshotTable[[#This Row],[SP Is Filled]]),(SnapshotTable[[#This Row],[SP Qty]] * SnapshotTable[[#This Row],[SP Strike Price]] * 100) - SnapshotTable[[#This Row],[LP Max Value]],"")</f>
        <v>0</v>
      </c>
      <c r="CM190" s="31" t="str">
        <f>IF(SnapshotTable[[#This Row],[SP Actual Spend]]&lt;&gt;0, ((SnapshotTable[[#This Row],[SP Strike Price]]-SnapshotTable[[#This Row],[Last Price]]) *(SnapshotTable[[#This Row],[SP Qty]]*100) - SnapshotTable[[#This Row],[SP Premium]]) * - 1, "")</f>
        <v/>
      </c>
      <c r="CN190" s="76"/>
      <c r="CO190" s="339"/>
      <c r="CP190" s="4" t="str">
        <f>IF(SnapshotTable[[#This Row],[SP Is Filled]], btc_max_buyback_amount(SnapshotTable[[#This Row],[SP Fill Date]],SnapshotTable[[#This Row],[SP Exp Date]], SnapshotTable[[#This Row],[SP Book Price]]),"")</f>
        <v/>
      </c>
      <c r="CQ190" s="76"/>
      <c r="CR19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0" s="153" t="str">
        <f>IF(SnapshotTable[[#This Row],[SP Is Filled]], btc_next_cutoff_date(SnapshotTable[[#This Row],[SP Fill Date]],SnapshotTable[[#This Row],[SP Exp Date]]),"")</f>
        <v/>
      </c>
      <c r="CT190" s="220" t="str" cm="1">
        <f t="array" ref="CT190">IF(SnapshotTable[[#This Row],[SP Is Filled]], btc_should_buy_back(SnapshotTable[[#This Row],[SP Fill Date]], SnapshotTable[[#This Row],[SP Exp Date]], SnapshotTable[[#This Row],[SP Book Price]], SnapshotTable[[#This Row],[SP Current Ask]], MockToday, SnapshotTable[[#This Row],[SP Buyback Override]]),"")</f>
        <v/>
      </c>
      <c r="CU190" s="141"/>
      <c r="CV190" s="220"/>
      <c r="CW190" s="348" t="str">
        <f>IF(ISNUMBER( SnapshotTable[[#This Row],[SP Term]]), SnapshotTable[[#This Row],[SP Exp Date]] - MockToday,"")</f>
        <v/>
      </c>
      <c r="CX190" s="31" t="str">
        <f>IF(SnapshotTable[[#This Row],[SP Is Filled]],SnapshotTable[[#This Row],[SP Buyback Price to Use]] * 100 * SnapshotTable[[#This Row],[SP Qty]], "")</f>
        <v/>
      </c>
      <c r="CY190" s="4" t="str">
        <f>IF(ISNUMBER(SnapshotTable[[#This Row],[SP Strike Price]]), SnapshotTable[[#This Row],[SP Strike Price]] * (1 - SP_MaxLoss_StrikePct), "")</f>
        <v/>
      </c>
      <c r="CZ190" s="31" t="str">
        <f>IF(ISNUMBER(SnapshotTable[[#This Row],[SP Strike  Stop Per Share]]),SnapshotTable[[#This Row],[SP Premium]] - ((SnapshotTable[[#This Row],[SP Strike Price]]-SnapshotTable[[#This Row],[SP Strike  Stop Per Share]]) *(SnapshotTable[[#This Row],[SP Qty]] * 100)),"")</f>
        <v/>
      </c>
      <c r="DA190" s="4" t="str">
        <f>IF(AND(ISNUMBER(SnapshotTable[[#This Row],[SP Premium]]),SnapshotTable[[#This Row],[SP Premium]]&gt;0), SnapshotTable[[#This Row],[SP Book Price]] * (1 + SP_MaxLoss_OptionPct), "")</f>
        <v/>
      </c>
      <c r="DB190" s="31" t="str">
        <f>IF(ISNUMBER(SnapshotTable[[#This Row],[SP Option  Stop Contract]]),(SnapshotTable[[#This Row],[SP Option  Stop Contract]] *(SnapshotTable[[#This Row],[SP Qty]] * 100) - SnapshotTable[[#This Row],[SP Premium]]),"")</f>
        <v/>
      </c>
      <c r="DC190" s="4"/>
      <c r="DD190" s="4"/>
      <c r="DE190" s="4" t="str">
        <f>IF(AND(SnapshotTable[[#This Row],[SP Qty]]&gt;0, SnapshotTable[[#This Row],[SP Stop To Use]]&gt;0),SnapshotTable[[#This Row],[SP Premium]] - ( SnapshotTable[[#This Row],[SP Qty]] * SnapshotTable[[#This Row],[SP Stop To Use]] * 100), "")</f>
        <v/>
      </c>
      <c r="DF190" s="31" t="str">
        <f>IF(AND(SnapshotTable[[#This Row],[SP Qty]]&gt;0,SnapshotTable[[#This Row],[SP Current Ask]]&gt;0), SnapshotTable[[#This Row],[SP Qty]] * SnapshotTable[[#This Row],[SP Current Ask]] * -100, "")</f>
        <v/>
      </c>
      <c r="DG190" s="31" t="str">
        <f>IF(ISNUMBER((SnapshotTable[[#This Row],[SP Total Value]])), SnapshotTable[[#This Row],[SP Premium]] + SnapshotTable[[#This Row],[SP Total Value]], "")</f>
        <v/>
      </c>
      <c r="DH190" s="272" t="str">
        <f>IF(ISNUMBER((SnapshotTable[[#This Row],[SP Total Value]])), SnapshotTable[[#This Row],[SP Gain Loss]] / SnapshotTable[[#This Row],[SP Premium]], "")</f>
        <v/>
      </c>
      <c r="DI190" s="369"/>
      <c r="DJ190" s="136"/>
      <c r="DK190" s="146"/>
      <c r="DL190" s="13"/>
      <c r="DM190" s="13"/>
      <c r="DO190" s="31">
        <f>IF(SnapshotTable[[#This Row],[LC Symbol Count]]=1, SnapshotTable[[#This Row],[LC Qty]] * SnapshotTable[[#This Row],[LC Book Price]] * 100, 0)</f>
        <v>0</v>
      </c>
      <c r="DP190" s="161" t="str">
        <f>IF(AND(SnapshotTable[[#This Row],[LC Exp Date]]&gt;0, SnapshotTable[[#This Row],[LC Strike Price]]&gt;0,SnapshotTable[[#This Row],[LC Qty]]&gt;0,SnapshotTable[[#This Row],[LC Book Date]]&gt;0,SnapshotTable[[#This Row],[LC Book Price]]&gt;0,SnapshotTable[[#This Row],[LC Fill Date]]=0),"Y","")</f>
        <v/>
      </c>
      <c r="DQ190" s="356" t="str">
        <f>IF(SnapshotTable[[#This Row],[LC Premium]] &gt; 0,SnapshotTable[[#This Row],[LC Exp Date]]-MAX(SnapshotTable[[#This Row],[LC Book Date]], SnapshotTable[[#This Row],[LC Fill Date]]),"")</f>
        <v/>
      </c>
      <c r="DR190" s="356" t="str">
        <f>IF(ISNUMBER(SnapshotTable[[#This Row],[LC Term]]), SnapshotTable[[#This Row],[LC Exp Date]] - MockToday, "")</f>
        <v/>
      </c>
      <c r="DS190" s="219" t="str">
        <f>IF(SnapshotTable[[#This Row],[LC Premium]]&gt;0,SnapshotTable[[#This Row],[LC Strike Price]] + SnapshotTable[[#This Row],[LC Book Price]],"")</f>
        <v/>
      </c>
      <c r="DU190" s="9" t="str">
        <f>IF(AND(SnapshotTable[[#This Row],[LC Symbol Count]]&gt;0, SnapshotTable[[#This Row],[LC Contract Value]]&gt;0), SnapshotTable[[#This Row],[LC Contract Value]] * SnapshotTable[[#This Row],[LC Qty]] * 100, "")</f>
        <v/>
      </c>
      <c r="DV190" s="9" t="str">
        <f>IF(AND(ISNUMBER(SnapshotTable[[#This Row],[LC Total Value]]), SnapshotTable[[#This Row],[LC Not Filled]]&lt;&gt;"Y"), SnapshotTable[[#This Row],[LC Total Value]]-SnapshotTable[[#This Row],[LC Premium]],"")</f>
        <v/>
      </c>
      <c r="DW190" s="225" t="str">
        <f>IF(ISNUMBER(SnapshotTable[[#This Row],[LC Actual Gain Loss]]), SnapshotTable[[#This Row],[LC Actual Gain Loss]] / SnapshotTable[[#This Row],[LC Premium]],"")</f>
        <v/>
      </c>
      <c r="DX190" s="269" t="str">
        <f>IF(ISNUMBER(SnapshotTable[[#This Row],[LC Book Price]]),SnapshotTable[[#This Row],[LC Book Price]] * 1.5,"")</f>
        <v/>
      </c>
      <c r="DY190" s="250" t="str">
        <f>IF(SnapshotTable[[#This Row],[LC Premium]]&gt;0, SnapshotTable[[#This Row],[LC Next Target]] * SnapshotTable[[#This Row],[LC Qty]] * 100,"")</f>
        <v/>
      </c>
      <c r="DZ190" s="250" t="str">
        <f>IF(ISNUMBER(SnapshotTable[[#This Row],[LC Target Gross]]), SnapshotTable[[#This Row],[LC Target Gross]] - SnapshotTable[[#This Row],[LC Premium]], "")</f>
        <v/>
      </c>
      <c r="EA190" s="283" t="str">
        <f>IF(ISNUMBER(SnapshotTable[[#This Row],[LC Target Gain Loss]]), SnapshotTable[[#This Row],[LC Target Gain Loss]]/SnapshotTable[[#This Row],[LC Premium]], "")</f>
        <v/>
      </c>
      <c r="EB190" s="247"/>
      <c r="EC190" s="268" t="str">
        <f>IF(SnapshotTable[[#This Row],[LC Premium]]&gt;0, SnapshotTable[[#This Row],[LC Book Price]] * (1 - LC_StopLoss_Pct),"")</f>
        <v/>
      </c>
      <c r="ED190" s="269"/>
      <c r="EE190" s="268" t="str">
        <f>IF(ISNUMBER(SnapshotTable[[#This Row],[LC Contract Value]]),IF(ISNUMBER(SnapshotTable[[#This Row],[LC Stop Loss Override]]), SnapshotTable[[#This Row],[LC Stop Loss Override]],SnapshotTable[[#This Row],[LC Stop Loss Calc Target]]),"")</f>
        <v/>
      </c>
      <c r="EF190" s="31" t="str">
        <f>IF(ISNUMBER(SnapshotTable[[#This Row],[LC Stop  To Use]]), (SnapshotTable[[#This Row],[LC Stop  To Use]] * SnapshotTable[[#This Row],[LC Qty]] * 100),"")</f>
        <v/>
      </c>
      <c r="EG190" s="9" t="str">
        <f>IF(ISNUMBER(SnapshotTable[[#This Row],[LC Total Value]]),SnapshotTable[[#This Row],[LC Stop Loss Amount]] - SnapshotTable[[#This Row],[LC Premium]],"")</f>
        <v/>
      </c>
      <c r="EH190" s="9">
        <f>IF(ISNUMBER(SnapshotTable[[#This Row],[LC Premium]]), SnapshotTable[[#This Row],[LC Qty]] * 100 * SnapshotTable[[#This Row],[LC Strike Price]], "")</f>
        <v>0</v>
      </c>
      <c r="EI190" s="225" t="str">
        <f>IF(AND(ISNUMBER(SnapshotTable[[#This Row],[LC Total Value]]),SnapshotTable[[#This Row],[LC Total Value]]&gt;0),SnapshotTable[[#This Row],[LC Stop Gain Loss]]  / SnapshotTable[[#This Row],[LC Premium]],"")</f>
        <v/>
      </c>
      <c r="EJ190" s="35">
        <f>IF(ISNUMBER(SnapshotTable[[#This Row],[Equity Shares]]),TRUNC(SnapshotTable[[#This Row],[Equity Shares]] / 100),0) + SnapshotTable[[#This Row],[LC Qty]]</f>
        <v>0</v>
      </c>
      <c r="EK190" s="145"/>
      <c r="EL190" s="136"/>
      <c r="EM190" s="146"/>
      <c r="EN190" s="145"/>
      <c r="EO190" s="145"/>
      <c r="EP190" s="136"/>
      <c r="EQ190" s="382" t="b">
        <f>AND(ISNUMBER(SnapshotTable[[#This Row],[SC Exp Date]]), ISNUMBER(SnapshotTable[[#This Row],[SC Strike Price]]), ISNUMBER(SnapshotTable[[#This Row],[SC Qty]]), ISNUMBER(SnapshotTable[[#This Row],[SC Book Date]]), ISNUMBER(SnapshotTable[[#This Row],[SC Book Price]]))</f>
        <v>0</v>
      </c>
      <c r="ER190" s="382" t="b">
        <f>AND(SnapshotTable[[#This Row],[SC Is Booked]], NOT(ISBLANK(SnapshotTable[[#This Row],[SC Fill Date]])))</f>
        <v>0</v>
      </c>
      <c r="ES190" s="340"/>
      <c r="ET190" s="34" t="str">
        <f>IF(AND(ISNUMBER(SnapshotTable[[#This Row],[SC Exp Date]]), ISNUMBER(SnapshotTable[[#This Row],[SC Book Date]])), SnapshotTable[[#This Row],[SC Exp Date]] - MAX(SnapshotTable[[#This Row],[SC Book Date]], SnapshotTable[[#This Row],[SC Fill Date]]) + 1, "")</f>
        <v/>
      </c>
      <c r="EU190" s="34" t="str">
        <f>IF(ISNUMBER(SnapshotTable[[#This Row],[SC Term]]), SnapshotTable[[#This Row],[SC Exp Date]]- MockToday, "")</f>
        <v/>
      </c>
      <c r="EV190" s="31">
        <f>IF(SnapshotTable[[#This Row],[SC Is Booked]], SnapshotTable[[#This Row],[SC Qty]] * SnapshotTable[[#This Row],[SC Book Price]] * 100, 0)</f>
        <v>0</v>
      </c>
      <c r="EW190" s="4" t="str">
        <f>IF(AND(ISNUMBER(SnapshotTable[[#This Row],[Last Price]]), ISNUMBER( SnapshotTable[[#This Row],[SC Book Price]])), SnapshotTable[[#This Row],[Last Price]] - SnapshotTable[[#This Row],[SC Book Price]],"")</f>
        <v/>
      </c>
      <c r="EX190" s="219" t="str">
        <f>IF(SnapshotTable[[#This Row],[SC Is Booked]],IF(SnapshotTable[[#This Row],[SC Intrinsic Value]] &gt; 0, SnapshotTable[[#This Row],[SC Strike Price]], SnapshotTable[[#This Row],[Last Price]]), "")</f>
        <v/>
      </c>
      <c r="EY190" s="4">
        <f>IF(SnapshotTable[[#This Row],[SC Is Booked]], (MinimumPremiumRequired * SnapshotTable[[#This Row],[SC Basis]] * SnapshotTable[[#This Row],[SC Term]]), 0)</f>
        <v>0</v>
      </c>
      <c r="EZ190" s="268"/>
      <c r="FA190" s="204"/>
      <c r="FB190" s="340"/>
      <c r="FC190" s="4">
        <f>IF(SnapshotTable[[#This Row],[SC Is Filled]], btc_max_buyback_amount(SnapshotTable[[#This Row],[SC Fill Date]],SnapshotTable[[#This Row],[SC Exp Date]], SnapshotTable[[#This Row],[SC Book Price]]),0)</f>
        <v>0</v>
      </c>
      <c r="FD190" s="5"/>
      <c r="FE190" s="142" t="str">
        <f>IF(SnapshotTable[[#This Row],[SC Is Filled]], btc_next_cutoff_date(SnapshotTable[[#This Row],[SC Fill Date]],SnapshotTable[[#This Row],[SC Exp Date]]),"")</f>
        <v/>
      </c>
      <c r="FF190" s="4" t="str" cm="1">
        <f t="array" ref="FF190">IF(SnapshotTable[[#This Row],[SC Is Filled]], btc_should_buy_back(SnapshotTable[[#This Row],[SC Fill Date]], SnapshotTable[[#This Row],[SC Exp Date]], SnapshotTable[[#This Row],[SC Book Price]], SnapshotTable[[#This Row],[SC Current Ask]], MockToday, SnapshotTable[[#This Row],[SC Buyback Override]]),"")</f>
        <v/>
      </c>
      <c r="FG190" s="4">
        <f>IF(SnapshotTable[[#This Row],[SC Is Filled]], MAX(0,SnapshotTable[[#This Row],[Last Price]]  - SnapshotTable[[#This Row],[SC Strike Price]]), 0)</f>
        <v>0</v>
      </c>
      <c r="FH190" s="352">
        <f>IF(SnapshotTable[[#This Row],[SC Is Filled]], IF(ISNUMBER(SnapshotTable[[#This Row],[SC Current Ask]]), SnapshotTable[[#This Row],[SC Current Ask]], SnapshotTable[[#This Row],[SC Book Price]]) - SnapshotTable[[#This Row],[SC Intrinsic Value]], 0)</f>
        <v>0</v>
      </c>
      <c r="FI190" s="141"/>
      <c r="FJ190" s="32" t="str">
        <f>IF(SnapshotTable[[#This Row],[SC Is Filled]],100 * SnapshotTable[[#This Row],[SC Qty]] * IF(ISNUMBER(SnapshotTable[[#This Row],[SC Buyback Override]]), SnapshotTable[[#This Row],[SC Buyback Override]], SnapshotTable[[#This Row],[SC Current Ask]]), "")</f>
        <v/>
      </c>
      <c r="FK190" s="235" t="str">
        <f>IF(SnapshotTable[[#This Row],[SC Time Val]]&gt;0, SnapshotTable[[#This Row],[SC Time Val]] / SnapshotTable[[#This Row],[Last Price]],"")</f>
        <v/>
      </c>
      <c r="FL190" s="280" t="str">
        <f>IF(SnapshotTable[[#This Row],[SC Is Booked]], ((SnapshotTable[[#This Row],[Last Price]] -SnapshotTable[[#This Row],[SC Strike Price]]) / SnapshotTable[[#This Row],[Last Price]]) * -1, "")</f>
        <v/>
      </c>
      <c r="FM190" s="155" t="str">
        <f>IF(SnapshotTable[[#This Row],[SC Is Booked]],  (SnapshotTable[[#This Row],[SC Qty]] * 100 * SnapshotTable[[#This Row],[SC Strike Price]]) - SnapshotTable[[#This Row],[SC Current Ask]], "")</f>
        <v/>
      </c>
      <c r="FN19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0" s="31" t="str">
        <f>IF(AND(ISNUMBER(SnapshotTable[[#This Row],[SC Exercise Gross]]), ISNUMBER(SnapshotTable[[#This Row],[Equity Basis Per Share]] )), SnapshotTable[[#This Row],[SC Exercise Gross]] - SnapshotTable[[#This Row],[Equity Basis Total]] +  SnapshotTable[[#This Row],[SC Premium]], "")</f>
        <v/>
      </c>
      <c r="FP190" s="5" t="str">
        <f>IF(ISNUMBER(SnapshotTable[[#This Row],[SC Exercise Gross]]), (SnapshotTable[[#This Row],[SC Exercise Gross]]) / (SnapshotTable[[#This Row],[SC Qty]] * 100), "")</f>
        <v/>
      </c>
      <c r="FQ190" s="27" t="str">
        <f>IF(SnapshotTable[[#This Row],[SC Is Booked]],SnapshotTable[[#This Row],[SC Time Val]] /SnapshotTable[[#This Row],[SC Basis]], "")</f>
        <v/>
      </c>
      <c r="FR190" s="27" t="str" cm="1">
        <f t="array" ref="FR190">IF(AND(ISNUMBER(SnapshotTable[[#This Row],[SC Term]]),ISNUMBER(SnapshotTable[[#This Row],[SC Simple ROO]])), EllmanAnnualize(SnapshotTable[[#This Row],[SC DTE]], SnapshotTable[[#This Row],[SC Simple ROO]] ),"")</f>
        <v/>
      </c>
      <c r="FS190" s="4">
        <f>IF(SnapshotTable[[#This Row],[SC Strike Price]] &gt; SnapshotTable[[#This Row],[Last Price]], SnapshotTable[[#This Row],[SC Strike Price]] - SnapshotTable[[#This Row],[Last Price]],0)</f>
        <v>0</v>
      </c>
      <c r="FT190" s="27" t="str">
        <f>IF(AND(ISNUMBER(SnapshotTable[[#This Row],[SC Upside Potential]]), SnapshotTable[[#This Row],[SC Upside Potential]] &gt; 0),(SnapshotTable[[#This Row],[SC Upside Potential]]/ SnapshotTable[[#This Row],[ACB]]),"")</f>
        <v/>
      </c>
      <c r="FU190" s="304" t="str">
        <f>IF(SnapshotTable[[#This Row],[SC Intrinsic Value]] &gt; 0,SnapshotTable[[#This Row],[SC Intrinsic Value]],"")</f>
        <v/>
      </c>
      <c r="FV190" s="27" t="str">
        <f>IF(AND( ISNUMBER( SnapshotTable[[#This Row],[ACB]]),ISNUMBER(SnapshotTable[[#This Row],[SC Downside Protect]])),SnapshotTable[[#This Row],[SC Downside Protect]] / SnapshotTable[[#This Row],[ACB]],"")</f>
        <v/>
      </c>
      <c r="FW190" s="221" t="str">
        <f>IF(AND(ISNUMBER(SnapshotTable[[#This Row],[SC Simple ROO]]),SnapshotTable[[#This Row],[SC Simple ROO]] &gt; 0), SnapshotTable[[#This Row],[SC Premium]] + (SnapshotTable[[#This Row],[SC Qty]] * SnapshotTable[[#This Row],[SC Upside Potential]]), "")</f>
        <v/>
      </c>
      <c r="FX190" s="280" t="str" cm="1">
        <f t="array" ref="FX190">IF(ISNUMBER(SnapshotTable[[#This Row],[SC Max Dollars]]), annualize(SnapshotTable[[#This Row],[SC Term]],(SnapshotTable[[#This Row],[SC Max Dollars]]/SnapshotTable[[#This Row],[SC Basis]])),"")</f>
        <v/>
      </c>
      <c r="FY190" s="221" t="str">
        <f>IF(AND(SnapshotTable[[#This Row],[SC Qty]]&gt;0,SnapshotTable[[#This Row],[SC Current Ask]]&gt;0), SnapshotTable[[#This Row],[SC Qty]] * SnapshotTable[[#This Row],[SC Current Ask]] * -100, "")</f>
        <v/>
      </c>
      <c r="FZ190" s="31" t="str">
        <f>IF(ISNUMBER((SnapshotTable[[#This Row],[SC Current Value]])), SnapshotTable[[#This Row],[SC Premium]] + SnapshotTable[[#This Row],[SC Current Value]], "")</f>
        <v/>
      </c>
      <c r="GA190" s="272" t="str">
        <f>IFERROR( IF(ISNUMBER((SnapshotTable[[#This Row],[SC Current Value]])), SnapshotTable[[#This Row],[SC Gain Loss]] / SnapshotTable[[#This Row],[SC Premium]], ""), "")</f>
        <v/>
      </c>
      <c r="GB190" s="42">
        <f>SnapshotTable[[#This Row],[Equity Shares]] * SaleSharesToConsiderPercentage</f>
        <v>0</v>
      </c>
      <c r="GC190" s="40" t="e">
        <f>SnapshotTable[[#This Row],[Long Term Target]] * SellingPriceToConsiderBasedOnTargetPercentage</f>
        <v>#VALUE!</v>
      </c>
      <c r="GD190" s="40">
        <f>SnapshotTable[[#This Row],[Last Price]] * (1+ SellingPriceToConsiderBasedOnTargetPercentage)</f>
        <v>739.28399999999999</v>
      </c>
      <c r="GE190" s="41"/>
      <c r="GF190" s="40"/>
      <c r="GG190" s="31">
        <f>SnapshotTable[[#This Row],[Booked Sale Shares]] * SnapshotTable[[#This Row],[Booked Sale Price]]</f>
        <v>0</v>
      </c>
      <c r="GH190" s="31" t="str">
        <f>IF(SnapshotTable[[#This Row],[Equity Basis Total]] &gt; 0, SnapshotTable[[#This Row],[Equity Basis Per Share]] * SnapshotTable[[#This Row],[Booked Sale Shares]], "")</f>
        <v/>
      </c>
      <c r="GI190" s="31">
        <f>IF(SnapshotTable[[#This Row],[Sale Proceeds]]&gt;0, SnapshotTable[[#This Row],[Sale Proceeds]] - SnapshotTable[[#This Row],[Sale Basis]], 0)</f>
        <v>0</v>
      </c>
      <c r="GJ190" s="27" t="str">
        <f>IF(SnapshotTable[[#This Row],[Sale G/L]]&gt;0, SnapshotTable[[#This Row],[Sale G/L]] / SnapshotTable[[#This Row],[Sale Basis]], IF(ISNUMBER(SnapshotTable[[#This Row],[SC Exercise P&amp;L (TAX)]]), SnapshotTable[[#This Row],[SC Exercise P&amp;L (TAX)]] / SnapshotTable[[#This Row],[SC Basis]], ""))</f>
        <v/>
      </c>
      <c r="GK190" s="27" t="s">
        <v>595</v>
      </c>
      <c r="GL190" s="43" t="str">
        <f>IF(AND(SnapshotTable[[#This Row],[LP Exp Date]]&gt;0,SnapshotTable[[#This Row],[LP Strike Price]]&gt;0), [1]!ToOptionSymbol(SnapshotTable[[#This Row],[Symbol]], SnapshotTable[[#This Row],[LP Strike Price]],SnapshotTable[[#This Row],[LP Exp Date]],1), "")</f>
        <v/>
      </c>
      <c r="GM190" s="30" t="str">
        <f>IF(LEN(SnapshotTable[[#This Row],[LP Symbol]])&gt;0, 1, "")</f>
        <v/>
      </c>
      <c r="GN190" s="43" t="str">
        <f>IF(AND(SnapshotTable[[#This Row],[SP Exp Date]]&gt;0,SnapshotTable[[#This Row],[SP Strike Price]]&gt;0), [1]!ToOptionSymbol(SnapshotTable[[#This Row],[Symbol]], SnapshotTable[[#This Row],[SP Strike Price]],SnapshotTable[[#This Row],[SP Exp Date]],1), "")</f>
        <v/>
      </c>
      <c r="GO190" s="30" t="str">
        <f>IF(LEN(SnapshotTable[[#This Row],[SP Symbol]])&gt;0, 1, "")</f>
        <v/>
      </c>
      <c r="GP190" s="43" t="str">
        <f>IF(AND(SnapshotTable[[#This Row],[LC Exp Date]]&gt;0,SnapshotTable[[#This Row],[LC Strike Price]]&gt;0), [1]!ToOptionSymbol(SnapshotTable[[#This Row],[Symbol]], SnapshotTable[[#This Row],[LC Strike Price]],SnapshotTable[[#This Row],[LC Exp Date]],0), "")</f>
        <v/>
      </c>
      <c r="GQ190" s="30" t="str">
        <f>IF(LEN(SnapshotTable[[#This Row],[LC Symbol]])&gt;0, 1, "")</f>
        <v/>
      </c>
      <c r="GR190" s="43" t="str">
        <f>IF(AND(SnapshotTable[[#This Row],[SC Exp Date]]&gt;0,SnapshotTable[[#This Row],[SC Strike Price]]&gt;0), [1]!ToOptionSymbol(SnapshotTable[[#This Row],[Symbol]], SnapshotTable[[#This Row],[SC Strike Price]],SnapshotTable[[#This Row],[SC Exp Date]],0), "")</f>
        <v/>
      </c>
      <c r="GS190" s="30" t="str">
        <f>IF(LEN(SnapshotTable[[#This Row],[SC Symbol]])&gt;0, 1, "")</f>
        <v/>
      </c>
      <c r="GT190" s="29" t="str">
        <f>IF(COUNT(SnapshotTable[[#This Row],[LP Symbol Count]],SnapshotTable[[#This Row],[SP Symbol Count]],SnapshotTable[[#This Row],[LC Symbol Count]],SnapshotTable[[#This Row],[SC Symbol Count]])&gt;0, "Y", "")</f>
        <v/>
      </c>
      <c r="GU19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0" s="216">
        <f>MAX(SnapshotTable[[#This Row],[Equity Basis Total]],SnapshotTable[[#This Row],[Equity Value]]) + (SnapshotTable[[#This Row],[SP Potential Spend]]- SnapshotTable[[#This Row],[SP Premium]] + SnapshotTable[[#This Row],[LP Premium]])+ (SnapshotTable[[#This Row],[LC Premium]] - SnapshotTable[[#This Row],[SC Premium]])</f>
        <v>0</v>
      </c>
      <c r="GW190" s="137" t="str">
        <f>IF(AND(SnapshotTable[[#This Row],[Exposure]] &lt;&gt; 0),SnapshotTable[[#This Row],[Exposure]] / SnapshotTable[[#Totals],[Exposure]], "")</f>
        <v/>
      </c>
      <c r="HE190" s="253"/>
      <c r="HF190" s="253"/>
      <c r="HK190" s="1"/>
      <c r="HL190" s="1"/>
      <c r="HM190" s="1"/>
      <c r="HN190" s="1"/>
      <c r="HO190" s="1"/>
      <c r="HP190" s="1"/>
    </row>
    <row r="191" spans="2:224" ht="12.75" hidden="1" customHeight="1" x14ac:dyDescent="0.25">
      <c r="B191" s="12" t="s">
        <v>163</v>
      </c>
      <c r="C191" s="385">
        <v>82.13</v>
      </c>
      <c r="D191" s="200" t="s">
        <v>467</v>
      </c>
      <c r="E191" s="39">
        <f>SnapshotTable[[#This Row],[Last Price]]*(1 -CrashDiscount)</f>
        <v>69.81049999999999</v>
      </c>
      <c r="F191" s="26" t="s">
        <v>162</v>
      </c>
      <c r="G191" s="26" t="s">
        <v>12</v>
      </c>
      <c r="H191" s="147"/>
      <c r="I191" s="186">
        <v>44859.25</v>
      </c>
      <c r="J191" s="187">
        <v>44859.25</v>
      </c>
      <c r="K191" s="188" t="s">
        <v>3</v>
      </c>
      <c r="L191" s="297"/>
      <c r="M191" s="138"/>
      <c r="N191" s="138"/>
      <c r="O191" s="138"/>
      <c r="P191" s="22"/>
      <c r="Q191" s="25"/>
      <c r="R191" s="4" t="str">
        <f>IF(SnapshotTable[[#This Row],[Equity Basis Total]] &gt; 0, SnapshotTable[[#This Row],[Equity Basis Total]] / SnapshotTable[[#This Row],[Equity Shares]], "")</f>
        <v/>
      </c>
      <c r="S191" s="254">
        <f>SnapshotTable[[#This Row],[Last Price]] * SnapshotTable[[#This Row],[Equity Shares]]</f>
        <v>0</v>
      </c>
      <c r="T191" s="254">
        <f>SnapshotTable[[#This Row],[Equity Value]] - SnapshotTable[[#This Row],[Equity Basis Total]]</f>
        <v>0</v>
      </c>
      <c r="U191" s="255" t="str">
        <f>IF(SnapshotTable[[#This Row],[Equity Basis Total]] &gt; 0, SnapshotTable[[#This Row],[Equity G/L]] / SnapshotTable[[#This Row],[Equity Basis Total]], "")</f>
        <v/>
      </c>
      <c r="V191" s="253"/>
      <c r="W191" s="253"/>
      <c r="X191" s="4" t="str">
        <f>IF(AND(ISNUMBER(SnapshotTable[[#This Row],[Equity Basis Per Share]]),ISNUMBER(SnapshotTable[[#This Row],[Equity Target]])),SnapshotTable[[#This Row],[Equity Target]]-SnapshotTable[[#This Row],[Equity Basis Per Share]],"")</f>
        <v/>
      </c>
      <c r="Y191" s="4" t="str">
        <f>IF(AND(ISNUMBER(SnapshotTable[[#This Row],[Equity Basis Per Share]]),ISNUMBER(SnapshotTable[[#This Row],[Equity Stop Loss]])),SnapshotTable[[#This Row],[Equity Stop Loss]]-SnapshotTable[[#This Row],[Equity Basis Per Share]],"")</f>
        <v/>
      </c>
      <c r="Z191" s="260" t="str">
        <f>IFERROR( TEXT(SnapshotTable[[#This Row],[Equity Max Gain Per Share]] /ABS( SnapshotTable[[#This Row],[Equity Max Loss Per Share]]),"0.0 " ) &amp; " : 1", "")</f>
        <v/>
      </c>
      <c r="AA191" s="31" t="str">
        <f>IF(ISNUMBER(SnapshotTable[[#This Row],[Equity Max Gain Per Share]]),SnapshotTable[[#This Row],[Equity Max Gain Per Share]] * SnapshotTable[[#This Row],[Equity Shares]],"")</f>
        <v/>
      </c>
      <c r="AB191" s="31" t="str">
        <f>IF(ISNUMBER(SnapshotTable[[#This Row],[Equity Max Loss Per Share]]),SnapshotTable[[#This Row],[Equity Max Loss Per Share]] * SnapshotTable[[#This Row],[Equity Shares]],"")</f>
        <v/>
      </c>
      <c r="AC191" s="148"/>
      <c r="AD191" s="149"/>
      <c r="AE191" s="31">
        <f>(SnapshotTable[[#This Row],[Annual Dividend Per Share]] / 4) * SnapshotTable[[#This Row],[Equity Shares]]</f>
        <v>0</v>
      </c>
      <c r="AF191" s="31">
        <f>SnapshotTable[[#This Row],[Quarterly Div $]] * 4</f>
        <v>0</v>
      </c>
      <c r="AG191" s="7">
        <f>IF(SnapshotTable[[#This Row],[Annual Dividend Per Share]]&gt;0, SnapshotTable[[#This Row],[Annual Dividend Per Share]]  / SnapshotTable[[#This Row],[Last Price]], 0)</f>
        <v>0</v>
      </c>
      <c r="AH191" s="149"/>
      <c r="AI191" s="5"/>
      <c r="AJ191" s="136">
        <v>70.83</v>
      </c>
      <c r="AK191" s="150" t="str">
        <f>IF(ISNUMBER( SnapshotTable[[#This Row],[EBF Target]]),(SnapshotTable[[#This Row],[EBF Target]] - SnapshotTable[[#This Row],[Last Price]]) / SnapshotTable[[#This Row],[Last Price]], "")</f>
        <v/>
      </c>
      <c r="AL191" s="150" t="str">
        <f>IF(AND(SnapshotTable[[#This Row],[Equity Basis Total]] &gt; 0,ISNUMBER( SnapshotTable[[#This Row],[Long Term Target]])), SnapshotTable[[#This Row],[From Basis $]] / SnapshotTable[[#This Row],[Equity Basis Total]], "")</f>
        <v/>
      </c>
      <c r="AM191" s="9">
        <f>IF( AND(SnapshotTable[[#This Row],[Equity Shares]] &gt;0,ISNUMBER( SnapshotTable[[#This Row],[Long Term Target]])),(SnapshotTable[[#This Row],[Equity Shares]] * SnapshotTable[[#This Row],[Long Term Target]]) - SnapshotTable[[#This Row],[Equity Basis Total]],0)</f>
        <v>0</v>
      </c>
      <c r="AN191" s="9">
        <f>IF( AND(SnapshotTable[[#This Row],[Equity Shares]] &gt;0,ISNUMBER( SnapshotTable[[#This Row],[Long Term Target]])),(SnapshotTable[[#This Row],[Equity Shares]]*SnapshotTable[[#This Row],[Long Term Target]]) - SnapshotTable[[#This Row],[Equity Value]],0)</f>
        <v>0</v>
      </c>
      <c r="AO191" s="150">
        <f>IF(AND(ISNUMBER( SnapshotTable[[#This Row],[Long Term Target]]), ISNUMBER(SnapshotTable[[#This Row],[Last Price]])),(SnapshotTable[[#This Row],[Long Term Target]] - SnapshotTable[[#This Row],[Last Price]]) / SnapshotTable[[#This Row],[Last Price]], "")</f>
        <v>-0.13758675270911966</v>
      </c>
      <c r="AP191" s="5"/>
      <c r="AQ191" s="38"/>
      <c r="AR191" s="5"/>
      <c r="AS191" s="38"/>
      <c r="AT191" s="144"/>
      <c r="AU191" s="185" t="str">
        <f>IF(OR(SnapshotTable[[#This Row],[LP No Fill]]="Y",SnapshotTable[[#This Row],[SP Is Filled]],SnapshotTable[[#This Row],[LC Not Filled]]="Y",SnapshotTable[[#This Row],[SC Is Filled]]),"Y","")</f>
        <v/>
      </c>
      <c r="AV191" s="205"/>
      <c r="AW191" s="211"/>
      <c r="AX191" s="206"/>
      <c r="AY191" s="205" t="str">
        <f>IF(SnapshotTable[[#This Row],[Implied Move]]&gt;0, SnapshotTable[[#This Row],[Last Price]]-SnapshotTable[[#This Row],[Implied Move]],"")</f>
        <v/>
      </c>
      <c r="AZ191" s="205" t="str">
        <f>IF(SnapshotTable[[#This Row],[Implied Move]]&gt;0, SnapshotTable[[#This Row],[Last Price]] + SnapshotTable[[#This Row],[Implied Move]],"")</f>
        <v/>
      </c>
      <c r="BA191" s="302">
        <v>6.44</v>
      </c>
      <c r="BB191" s="318"/>
      <c r="BC19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1" s="321"/>
      <c r="BE191" s="5"/>
      <c r="BF191" s="14"/>
      <c r="BG191" s="13"/>
      <c r="BH191" s="13"/>
      <c r="BI191" s="5"/>
      <c r="BJ191" s="134">
        <f>IF(SnapshotTable[[#This Row],[LP Qty]] &gt; 0, SnapshotTable[[#This Row],[LP Qty]] * SnapshotTable[[#This Row],[LP Book Price]] * 100,0)</f>
        <v>0</v>
      </c>
      <c r="BK191" s="134">
        <f>IF(SnapshotTable[[#This Row],[LP Premium]] &gt; 0, SnapshotTable[[#This Row],[LP Qty]] * SnapshotTable[[#This Row],[LP Strike Price]] * 100,0)</f>
        <v>0</v>
      </c>
      <c r="BL191" s="152"/>
      <c r="BM191" s="355" t="str">
        <f>IF(SnapshotTable[[#This Row],[LP Premium]] &gt; 0,SnapshotTable[[#This Row],[LP Exp Date]]-MAX(SnapshotTable[[#This Row],[LP Book Date]], SnapshotTable[[#This Row],[LP Fill Date]]),"")</f>
        <v/>
      </c>
      <c r="BN191" s="355" t="str">
        <f>IF(ISNUMBER( SnapshotTable[[#This Row],[LP Term]]), SnapshotTable[[#This Row],[LP Exp Date]] - MockToday,"")</f>
        <v/>
      </c>
      <c r="BO191" s="161" t="str">
        <f>IF(AND(SnapshotTable[[#This Row],[LP Exp Date]]&gt;0, SnapshotTable[[#This Row],[LP Strike Price]]&gt;0,SnapshotTable[[#This Row],[LP Qty]]&gt;0,SnapshotTable[[#This Row],[LP Book Date]]&gt;0,SnapshotTable[[#This Row],[LP Book Price]]&gt;0,SnapshotTable[[#This Row],[LP Fill Date]]=0),"Y","")</f>
        <v/>
      </c>
      <c r="BP191" s="31" t="str">
        <f>IF(AND(SnapshotTable[[#This Row],[LP No Fill]]&lt;&gt;"Y",SnapshotTable[[#This Row],[LP Contract Value]]&gt;0, SnapshotTable[[#This Row],[LP Qty]]&gt;0), SnapshotTable[[#This Row],[LP Contract Value]]*SnapshotTable[[#This Row],[LP Qty]]*100,"")</f>
        <v/>
      </c>
      <c r="BQ191" s="13"/>
      <c r="BR191" s="5"/>
      <c r="BS191" s="36"/>
      <c r="BT191" s="145"/>
      <c r="BU191" s="13"/>
      <c r="BV191" s="5"/>
      <c r="BW191" s="382" t="b">
        <f>AND(ISNUMBER(SnapshotTable[[#This Row],[SP Exp Date]]), ISNUMBER(SnapshotTable[[#This Row],[SP Strike Price]]), ISNUMBER(SnapshotTable[[#This Row],[SP Qty]]), ISNUMBER(SnapshotTable[[#This Row],[SP Book Date]]), ISNUMBER(SnapshotTable[[#This Row],[SP Book Price]]))</f>
        <v>0</v>
      </c>
      <c r="BX191" s="382" t="b">
        <f>AND(SnapshotTable[[#This Row],[SP Is Booked]], NOT(ISBLANK(SnapshotTable[[#This Row],[SP Fill Date]])))</f>
        <v>0</v>
      </c>
      <c r="BY191" s="33">
        <f>IF(SnapshotTable[[#This Row],[SP Is Booked]], SnapshotTable[[#This Row],[SP Qty]] * SnapshotTable[[#This Row],[SP Book Price]] * 100, 0)</f>
        <v>0</v>
      </c>
      <c r="BZ191" s="339"/>
      <c r="CA191" s="338">
        <f>SnapshotTable[[#This Row],[LP Qty]]</f>
        <v>0</v>
      </c>
      <c r="CB191" s="4" t="str">
        <f>IF(SnapshotTable[[#This Row],[SP Is Booked]], SnapshotTable[[#This Row],[SP Strike Price]] - SnapshotTable[[#This Row],[SP Book Price]], "")</f>
        <v/>
      </c>
      <c r="CC191" s="19" t="str">
        <f>IF(SnapshotTable[[#This Row],[SP Is Booked]],SnapshotTable[[#This Row],[SP Exp Date]]-MAX(SnapshotTable[[#This Row],[SP Book Date]], SnapshotTable[[#This Row],[SP Fill Date]]),"")</f>
        <v/>
      </c>
      <c r="CD191" s="7" t="str">
        <f>IF(SnapshotTable[[#This Row],[SP Is Booked]], SnapshotTable[[#This Row],[SP Book Price]]/SnapshotTable[[#This Row],[SP Strike Price]], "")</f>
        <v/>
      </c>
      <c r="CE191" s="7" t="str">
        <f>IF(ISNUMBER(SnapshotTable[[#This Row],[SP ROO Term]]),SnapshotTable[[#This Row],[SP ROO Term]]*(365/SnapshotTable[[#This Row],[SP Term]]),"")</f>
        <v/>
      </c>
      <c r="CF191" s="221">
        <f>SnapshotTable[[#This Row],[LP Strike Price]] * SnapshotTable[[#This Row],[LP Qty]] * 100</f>
        <v>0</v>
      </c>
      <c r="CG191" s="31">
        <f>IF(ISNUMBER(SnapshotTable[[#This Row],[SP Premium]]), (SnapshotTable[[#This Row],[SP Qty]] * SnapshotTable[[#This Row],[SP Strike Price]]* 100) - SnapshotTable[[#This Row],[LP Protection]], 0)</f>
        <v>0</v>
      </c>
      <c r="CH191" s="7" t="str">
        <f>IF(ISNUMBER(SnapshotTable[[#This Row],[SP Break Even]]),-1 * (SnapshotTable[[#This Row],[SP Break Even]] - SnapshotTable[[#This Row],[Last Price]]) / SnapshotTable[[#This Row],[Last Price]], "")</f>
        <v/>
      </c>
      <c r="CI191" s="31">
        <f>IF(AND(ISNUMBER((SnapshotTable[[#This Row],[SP Potential Spend]])), SnapshotTable[[#This Row],[SP Strike Price]] &gt; SnapshotTable[[#This Row],[Last Price]], SnapshotTable[[#This Row],[SP Is Filled]]), SnapshotTable[[#This Row],[SP Potential Spend]] -  SnapshotTable[[#This Row],[LP Max Value]], 0)</f>
        <v>0</v>
      </c>
      <c r="CJ191" s="229"/>
      <c r="CK191" s="31">
        <f>IF(ISNUMBER(SnapshotTable[[#This Row],[SP Potential Spend]]),IF(ISNUMBER(SnapshotTable[[#This Row],[SP POW]]), SnapshotTable[[#This Row],[SP POW]] * SnapshotTable[[#This Row],[SP Potential Spend]], SnapshotTable[[#This Row],[SP Potential Spend]]), "")</f>
        <v>0</v>
      </c>
      <c r="CL191" s="162">
        <f>IF(NOT(SnapshotTable[[#This Row],[SP Is Filled]]),(SnapshotTable[[#This Row],[SP Qty]] * SnapshotTable[[#This Row],[SP Strike Price]] * 100) - SnapshotTable[[#This Row],[LP Max Value]],"")</f>
        <v>0</v>
      </c>
      <c r="CM191" s="31" t="str">
        <f>IF(SnapshotTable[[#This Row],[SP Actual Spend]]&lt;&gt;0, ((SnapshotTable[[#This Row],[SP Strike Price]]-SnapshotTable[[#This Row],[Last Price]]) *(SnapshotTable[[#This Row],[SP Qty]]*100) - SnapshotTable[[#This Row],[SP Premium]]) * - 1, "")</f>
        <v/>
      </c>
      <c r="CN191" s="76"/>
      <c r="CO191" s="339"/>
      <c r="CP191" s="4" t="str">
        <f>IF(SnapshotTable[[#This Row],[SP Is Filled]], btc_max_buyback_amount(SnapshotTable[[#This Row],[SP Fill Date]],SnapshotTable[[#This Row],[SP Exp Date]], SnapshotTable[[#This Row],[SP Book Price]]),"")</f>
        <v/>
      </c>
      <c r="CQ191" s="76"/>
      <c r="CR19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1" s="153" t="str">
        <f>IF(SnapshotTable[[#This Row],[SP Is Filled]], btc_next_cutoff_date(SnapshotTable[[#This Row],[SP Fill Date]],SnapshotTable[[#This Row],[SP Exp Date]]),"")</f>
        <v/>
      </c>
      <c r="CT191" s="220" t="str" cm="1">
        <f t="array" ref="CT191">IF(SnapshotTable[[#This Row],[SP Is Filled]], btc_should_buy_back(SnapshotTable[[#This Row],[SP Fill Date]], SnapshotTable[[#This Row],[SP Exp Date]], SnapshotTable[[#This Row],[SP Book Price]], SnapshotTable[[#This Row],[SP Current Ask]], MockToday, SnapshotTable[[#This Row],[SP Buyback Override]]),"")</f>
        <v/>
      </c>
      <c r="CU191" s="141"/>
      <c r="CV191" s="220"/>
      <c r="CW191" s="348" t="str">
        <f>IF(ISNUMBER( SnapshotTable[[#This Row],[SP Term]]), SnapshotTable[[#This Row],[SP Exp Date]] - MockToday,"")</f>
        <v/>
      </c>
      <c r="CX191" s="31" t="str">
        <f>IF(SnapshotTable[[#This Row],[SP Is Filled]],SnapshotTable[[#This Row],[SP Buyback Price to Use]] * 100 * SnapshotTable[[#This Row],[SP Qty]], "")</f>
        <v/>
      </c>
      <c r="CY191" s="4" t="str">
        <f>IF(ISNUMBER(SnapshotTable[[#This Row],[SP Strike Price]]), SnapshotTable[[#This Row],[SP Strike Price]] * (1 - SP_MaxLoss_StrikePct), "")</f>
        <v/>
      </c>
      <c r="CZ191" s="31" t="str">
        <f>IF(ISNUMBER(SnapshotTable[[#This Row],[SP Strike  Stop Per Share]]),SnapshotTable[[#This Row],[SP Premium]] - ((SnapshotTable[[#This Row],[SP Strike Price]]-SnapshotTable[[#This Row],[SP Strike  Stop Per Share]]) *(SnapshotTable[[#This Row],[SP Qty]] * 100)),"")</f>
        <v/>
      </c>
      <c r="DA191" s="4" t="str">
        <f>IF(AND(ISNUMBER(SnapshotTable[[#This Row],[SP Premium]]),SnapshotTable[[#This Row],[SP Premium]]&gt;0), SnapshotTable[[#This Row],[SP Book Price]] * (1 + SP_MaxLoss_OptionPct), "")</f>
        <v/>
      </c>
      <c r="DB191" s="31" t="str">
        <f>IF(ISNUMBER(SnapshotTable[[#This Row],[SP Option  Stop Contract]]),(SnapshotTable[[#This Row],[SP Option  Stop Contract]] *(SnapshotTable[[#This Row],[SP Qty]] * 100) - SnapshotTable[[#This Row],[SP Premium]]),"")</f>
        <v/>
      </c>
      <c r="DC191" s="4"/>
      <c r="DD191" s="4"/>
      <c r="DE191" s="4" t="str">
        <f>IF(AND(SnapshotTable[[#This Row],[SP Qty]]&gt;0, SnapshotTable[[#This Row],[SP Stop To Use]]&gt;0),SnapshotTable[[#This Row],[SP Premium]] - ( SnapshotTable[[#This Row],[SP Qty]] * SnapshotTable[[#This Row],[SP Stop To Use]] * 100), "")</f>
        <v/>
      </c>
      <c r="DF191" s="31" t="str">
        <f>IF(AND(SnapshotTable[[#This Row],[SP Qty]]&gt;0,SnapshotTable[[#This Row],[SP Current Ask]]&gt;0), SnapshotTable[[#This Row],[SP Qty]] * SnapshotTable[[#This Row],[SP Current Ask]] * -100, "")</f>
        <v/>
      </c>
      <c r="DG191" s="31" t="str">
        <f>IF(ISNUMBER((SnapshotTable[[#This Row],[SP Total Value]])), SnapshotTable[[#This Row],[SP Premium]] + SnapshotTable[[#This Row],[SP Total Value]], "")</f>
        <v/>
      </c>
      <c r="DH191" s="272" t="str">
        <f>IF(ISNUMBER((SnapshotTable[[#This Row],[SP Total Value]])), SnapshotTable[[#This Row],[SP Gain Loss]] / SnapshotTable[[#This Row],[SP Premium]], "")</f>
        <v/>
      </c>
      <c r="DI191" s="369"/>
      <c r="DJ191" s="136"/>
      <c r="DK191" s="146"/>
      <c r="DL191" s="13"/>
      <c r="DM191" s="13"/>
      <c r="DO191" s="31">
        <f>IF(SnapshotTable[[#This Row],[LC Symbol Count]]=1, SnapshotTable[[#This Row],[LC Qty]] * SnapshotTable[[#This Row],[LC Book Price]] * 100, 0)</f>
        <v>0</v>
      </c>
      <c r="DP191" s="161" t="str">
        <f>IF(AND(SnapshotTable[[#This Row],[LC Exp Date]]&gt;0, SnapshotTable[[#This Row],[LC Strike Price]]&gt;0,SnapshotTable[[#This Row],[LC Qty]]&gt;0,SnapshotTable[[#This Row],[LC Book Date]]&gt;0,SnapshotTable[[#This Row],[LC Book Price]]&gt;0,SnapshotTable[[#This Row],[LC Fill Date]]=0),"Y","")</f>
        <v/>
      </c>
      <c r="DQ191" s="356" t="str">
        <f>IF(SnapshotTable[[#This Row],[LC Premium]] &gt; 0,SnapshotTable[[#This Row],[LC Exp Date]]-MAX(SnapshotTable[[#This Row],[LC Book Date]], SnapshotTable[[#This Row],[LC Fill Date]]),"")</f>
        <v/>
      </c>
      <c r="DR191" s="356" t="str">
        <f>IF(ISNUMBER(SnapshotTable[[#This Row],[LC Term]]), SnapshotTable[[#This Row],[LC Exp Date]] - MockToday, "")</f>
        <v/>
      </c>
      <c r="DS191" s="219" t="str">
        <f>IF(SnapshotTable[[#This Row],[LC Premium]]&gt;0,SnapshotTable[[#This Row],[LC Strike Price]] + SnapshotTable[[#This Row],[LC Book Price]],"")</f>
        <v/>
      </c>
      <c r="DU191" s="9" t="str">
        <f>IF(AND(SnapshotTable[[#This Row],[LC Symbol Count]]&gt;0, SnapshotTable[[#This Row],[LC Contract Value]]&gt;0), SnapshotTable[[#This Row],[LC Contract Value]] * SnapshotTable[[#This Row],[LC Qty]] * 100, "")</f>
        <v/>
      </c>
      <c r="DV191" s="9" t="str">
        <f>IF(AND(ISNUMBER(SnapshotTable[[#This Row],[LC Total Value]]), SnapshotTable[[#This Row],[LC Not Filled]]&lt;&gt;"Y"), SnapshotTable[[#This Row],[LC Total Value]]-SnapshotTable[[#This Row],[LC Premium]],"")</f>
        <v/>
      </c>
      <c r="DW191" s="225" t="str">
        <f>IF(ISNUMBER(SnapshotTable[[#This Row],[LC Actual Gain Loss]]), SnapshotTable[[#This Row],[LC Actual Gain Loss]] / SnapshotTable[[#This Row],[LC Premium]],"")</f>
        <v/>
      </c>
      <c r="DX191" s="269" t="str">
        <f>IF(ISNUMBER(SnapshotTable[[#This Row],[LC Book Price]]),SnapshotTable[[#This Row],[LC Book Price]] * 1.5,"")</f>
        <v/>
      </c>
      <c r="DY191" s="250" t="str">
        <f>IF(SnapshotTable[[#This Row],[LC Premium]]&gt;0, SnapshotTable[[#This Row],[LC Next Target]] * SnapshotTable[[#This Row],[LC Qty]] * 100,"")</f>
        <v/>
      </c>
      <c r="DZ191" s="250" t="str">
        <f>IF(ISNUMBER(SnapshotTable[[#This Row],[LC Target Gross]]), SnapshotTable[[#This Row],[LC Target Gross]] - SnapshotTable[[#This Row],[LC Premium]], "")</f>
        <v/>
      </c>
      <c r="EA191" s="283" t="str">
        <f>IF(ISNUMBER(SnapshotTable[[#This Row],[LC Target Gain Loss]]), SnapshotTable[[#This Row],[LC Target Gain Loss]]/SnapshotTable[[#This Row],[LC Premium]], "")</f>
        <v/>
      </c>
      <c r="EB191" s="247"/>
      <c r="EC191" s="268" t="str">
        <f>IF(SnapshotTable[[#This Row],[LC Premium]]&gt;0, SnapshotTable[[#This Row],[LC Book Price]] * (1 - LC_StopLoss_Pct),"")</f>
        <v/>
      </c>
      <c r="ED191" s="269"/>
      <c r="EE191" s="268" t="str">
        <f>IF(ISNUMBER(SnapshotTable[[#This Row],[LC Contract Value]]),IF(ISNUMBER(SnapshotTable[[#This Row],[LC Stop Loss Override]]), SnapshotTable[[#This Row],[LC Stop Loss Override]],SnapshotTable[[#This Row],[LC Stop Loss Calc Target]]),"")</f>
        <v/>
      </c>
      <c r="EF191" s="31" t="str">
        <f>IF(ISNUMBER(SnapshotTable[[#This Row],[LC Stop  To Use]]), (SnapshotTable[[#This Row],[LC Stop  To Use]] * SnapshotTable[[#This Row],[LC Qty]] * 100),"")</f>
        <v/>
      </c>
      <c r="EG191" s="9" t="str">
        <f>IF(ISNUMBER(SnapshotTable[[#This Row],[LC Total Value]]),SnapshotTable[[#This Row],[LC Stop Loss Amount]] - SnapshotTable[[#This Row],[LC Premium]],"")</f>
        <v/>
      </c>
      <c r="EH191" s="9">
        <f>IF(ISNUMBER(SnapshotTable[[#This Row],[LC Premium]]), SnapshotTable[[#This Row],[LC Qty]] * 100 * SnapshotTable[[#This Row],[LC Strike Price]], "")</f>
        <v>0</v>
      </c>
      <c r="EI191" s="225" t="str">
        <f>IF(AND(ISNUMBER(SnapshotTable[[#This Row],[LC Total Value]]),SnapshotTable[[#This Row],[LC Total Value]]&gt;0),SnapshotTable[[#This Row],[LC Stop Gain Loss]]  / SnapshotTable[[#This Row],[LC Premium]],"")</f>
        <v/>
      </c>
      <c r="EJ191" s="35">
        <f>IF(ISNUMBER(SnapshotTable[[#This Row],[Equity Shares]]),TRUNC(SnapshotTable[[#This Row],[Equity Shares]] / 100),0) + SnapshotTable[[#This Row],[LC Qty]]</f>
        <v>0</v>
      </c>
      <c r="EK191" s="145"/>
      <c r="EL191" s="136"/>
      <c r="EM191" s="146"/>
      <c r="EN191" s="145"/>
      <c r="EO191" s="145"/>
      <c r="EP191" s="136"/>
      <c r="EQ191" s="382" t="b">
        <f>AND(ISNUMBER(SnapshotTable[[#This Row],[SC Exp Date]]), ISNUMBER(SnapshotTable[[#This Row],[SC Strike Price]]), ISNUMBER(SnapshotTable[[#This Row],[SC Qty]]), ISNUMBER(SnapshotTable[[#This Row],[SC Book Date]]), ISNUMBER(SnapshotTable[[#This Row],[SC Book Price]]))</f>
        <v>0</v>
      </c>
      <c r="ER191" s="382" t="b">
        <f>AND(SnapshotTable[[#This Row],[SC Is Booked]], NOT(ISBLANK(SnapshotTable[[#This Row],[SC Fill Date]])))</f>
        <v>0</v>
      </c>
      <c r="ES191" s="340"/>
      <c r="ET191" s="34" t="str">
        <f>IF(AND(ISNUMBER(SnapshotTable[[#This Row],[SC Exp Date]]), ISNUMBER(SnapshotTable[[#This Row],[SC Book Date]])), SnapshotTable[[#This Row],[SC Exp Date]] - MAX(SnapshotTable[[#This Row],[SC Book Date]], SnapshotTable[[#This Row],[SC Fill Date]]) + 1, "")</f>
        <v/>
      </c>
      <c r="EU191" s="34" t="str">
        <f>IF(ISNUMBER(SnapshotTable[[#This Row],[SC Term]]), SnapshotTable[[#This Row],[SC Exp Date]]- MockToday, "")</f>
        <v/>
      </c>
      <c r="EV191" s="31">
        <f>IF(SnapshotTable[[#This Row],[SC Is Booked]], SnapshotTable[[#This Row],[SC Qty]] * SnapshotTable[[#This Row],[SC Book Price]] * 100, 0)</f>
        <v>0</v>
      </c>
      <c r="EW191" s="4" t="str">
        <f>IF(AND(ISNUMBER(SnapshotTable[[#This Row],[Last Price]]), ISNUMBER( SnapshotTable[[#This Row],[SC Book Price]])), SnapshotTable[[#This Row],[Last Price]] - SnapshotTable[[#This Row],[SC Book Price]],"")</f>
        <v/>
      </c>
      <c r="EX191" s="219" t="str">
        <f>IF(SnapshotTable[[#This Row],[SC Is Booked]],IF(SnapshotTable[[#This Row],[SC Intrinsic Value]] &gt; 0, SnapshotTable[[#This Row],[SC Strike Price]], SnapshotTable[[#This Row],[Last Price]]), "")</f>
        <v/>
      </c>
      <c r="EY191" s="4">
        <f>IF(SnapshotTable[[#This Row],[SC Is Booked]], (MinimumPremiumRequired * SnapshotTable[[#This Row],[SC Basis]] * SnapshotTable[[#This Row],[SC Term]]), 0)</f>
        <v>0</v>
      </c>
      <c r="EZ191" s="268"/>
      <c r="FA191" s="204"/>
      <c r="FB191" s="340"/>
      <c r="FC191" s="4">
        <f>IF(SnapshotTable[[#This Row],[SC Is Filled]], btc_max_buyback_amount(SnapshotTable[[#This Row],[SC Fill Date]],SnapshotTable[[#This Row],[SC Exp Date]], SnapshotTable[[#This Row],[SC Book Price]]),0)</f>
        <v>0</v>
      </c>
      <c r="FD191" s="5"/>
      <c r="FE191" s="142" t="str">
        <f>IF(SnapshotTable[[#This Row],[SC Is Filled]], btc_next_cutoff_date(SnapshotTable[[#This Row],[SC Fill Date]],SnapshotTable[[#This Row],[SC Exp Date]]),"")</f>
        <v/>
      </c>
      <c r="FF191" s="4" t="str" cm="1">
        <f t="array" ref="FF191">IF(SnapshotTable[[#This Row],[SC Is Filled]], btc_should_buy_back(SnapshotTable[[#This Row],[SC Fill Date]], SnapshotTable[[#This Row],[SC Exp Date]], SnapshotTable[[#This Row],[SC Book Price]], SnapshotTable[[#This Row],[SC Current Ask]], MockToday, SnapshotTable[[#This Row],[SC Buyback Override]]),"")</f>
        <v/>
      </c>
      <c r="FG191" s="4">
        <f>IF(SnapshotTable[[#This Row],[SC Is Filled]], MAX(0,SnapshotTable[[#This Row],[Last Price]]  - SnapshotTable[[#This Row],[SC Strike Price]]), 0)</f>
        <v>0</v>
      </c>
      <c r="FH191" s="352">
        <f>IF(SnapshotTable[[#This Row],[SC Is Filled]], IF(ISNUMBER(SnapshotTable[[#This Row],[SC Current Ask]]), SnapshotTable[[#This Row],[SC Current Ask]], SnapshotTable[[#This Row],[SC Book Price]]) - SnapshotTable[[#This Row],[SC Intrinsic Value]], 0)</f>
        <v>0</v>
      </c>
      <c r="FI191" s="141"/>
      <c r="FJ191" s="32" t="str">
        <f>IF(SnapshotTable[[#This Row],[SC Is Filled]],100 * SnapshotTable[[#This Row],[SC Qty]] * IF(ISNUMBER(SnapshotTable[[#This Row],[SC Buyback Override]]), SnapshotTable[[#This Row],[SC Buyback Override]], SnapshotTable[[#This Row],[SC Current Ask]]), "")</f>
        <v/>
      </c>
      <c r="FK191" s="235" t="str">
        <f>IF(SnapshotTable[[#This Row],[SC Time Val]]&gt;0, SnapshotTable[[#This Row],[SC Time Val]] / SnapshotTable[[#This Row],[Last Price]],"")</f>
        <v/>
      </c>
      <c r="FL191" s="280" t="str">
        <f>IF(SnapshotTable[[#This Row],[SC Is Booked]], ((SnapshotTable[[#This Row],[Last Price]] -SnapshotTable[[#This Row],[SC Strike Price]]) / SnapshotTable[[#This Row],[Last Price]]) * -1, "")</f>
        <v/>
      </c>
      <c r="FM191" s="155" t="str">
        <f>IF(SnapshotTable[[#This Row],[SC Is Booked]],  (SnapshotTable[[#This Row],[SC Qty]] * 100 * SnapshotTable[[#This Row],[SC Strike Price]]) - SnapshotTable[[#This Row],[SC Current Ask]], "")</f>
        <v/>
      </c>
      <c r="FN19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1" s="31" t="str">
        <f>IF(AND(ISNUMBER(SnapshotTable[[#This Row],[SC Exercise Gross]]), ISNUMBER(SnapshotTable[[#This Row],[Equity Basis Per Share]] )), SnapshotTable[[#This Row],[SC Exercise Gross]] - SnapshotTable[[#This Row],[Equity Basis Total]] +  SnapshotTable[[#This Row],[SC Premium]], "")</f>
        <v/>
      </c>
      <c r="FP191" s="5" t="str">
        <f>IF(ISNUMBER(SnapshotTable[[#This Row],[SC Exercise Gross]]), (SnapshotTable[[#This Row],[SC Exercise Gross]]) / (SnapshotTable[[#This Row],[SC Qty]] * 100), "")</f>
        <v/>
      </c>
      <c r="FQ191" s="27" t="str">
        <f>IF(SnapshotTable[[#This Row],[SC Is Booked]],SnapshotTable[[#This Row],[SC Time Val]] /SnapshotTable[[#This Row],[SC Basis]], "")</f>
        <v/>
      </c>
      <c r="FR191" s="27" t="str" cm="1">
        <f t="array" ref="FR191">IF(AND(ISNUMBER(SnapshotTable[[#This Row],[SC Term]]),ISNUMBER(SnapshotTable[[#This Row],[SC Simple ROO]])), EllmanAnnualize(SnapshotTable[[#This Row],[SC DTE]], SnapshotTable[[#This Row],[SC Simple ROO]] ),"")</f>
        <v/>
      </c>
      <c r="FS191" s="4">
        <f>IF(SnapshotTable[[#This Row],[SC Strike Price]] &gt; SnapshotTable[[#This Row],[Last Price]], SnapshotTable[[#This Row],[SC Strike Price]] - SnapshotTable[[#This Row],[Last Price]],0)</f>
        <v>0</v>
      </c>
      <c r="FT191" s="27" t="str">
        <f>IF(AND(ISNUMBER(SnapshotTable[[#This Row],[SC Upside Potential]]), SnapshotTable[[#This Row],[SC Upside Potential]] &gt; 0),(SnapshotTable[[#This Row],[SC Upside Potential]]/ SnapshotTable[[#This Row],[ACB]]),"")</f>
        <v/>
      </c>
      <c r="FU191" s="304" t="str">
        <f>IF(SnapshotTable[[#This Row],[SC Intrinsic Value]] &gt; 0,SnapshotTable[[#This Row],[SC Intrinsic Value]],"")</f>
        <v/>
      </c>
      <c r="FV191" s="27" t="str">
        <f>IF(AND( ISNUMBER( SnapshotTable[[#This Row],[ACB]]),ISNUMBER(SnapshotTable[[#This Row],[SC Downside Protect]])),SnapshotTable[[#This Row],[SC Downside Protect]] / SnapshotTable[[#This Row],[ACB]],"")</f>
        <v/>
      </c>
      <c r="FW191" s="221" t="str">
        <f>IF(AND(ISNUMBER(SnapshotTable[[#This Row],[SC Simple ROO]]),SnapshotTable[[#This Row],[SC Simple ROO]] &gt; 0), SnapshotTable[[#This Row],[SC Premium]] + (SnapshotTable[[#This Row],[SC Qty]] * SnapshotTable[[#This Row],[SC Upside Potential]]), "")</f>
        <v/>
      </c>
      <c r="FX191" s="280" t="str" cm="1">
        <f t="array" ref="FX191">IF(ISNUMBER(SnapshotTable[[#This Row],[SC Max Dollars]]), annualize(SnapshotTable[[#This Row],[SC Term]],(SnapshotTable[[#This Row],[SC Max Dollars]]/SnapshotTable[[#This Row],[SC Basis]])),"")</f>
        <v/>
      </c>
      <c r="FY191" s="221" t="str">
        <f>IF(AND(SnapshotTable[[#This Row],[SC Qty]]&gt;0,SnapshotTable[[#This Row],[SC Current Ask]]&gt;0), SnapshotTable[[#This Row],[SC Qty]] * SnapshotTable[[#This Row],[SC Current Ask]] * -100, "")</f>
        <v/>
      </c>
      <c r="FZ191" s="31" t="str">
        <f>IF(ISNUMBER((SnapshotTable[[#This Row],[SC Current Value]])), SnapshotTable[[#This Row],[SC Premium]] + SnapshotTable[[#This Row],[SC Current Value]], "")</f>
        <v/>
      </c>
      <c r="GA191" s="272" t="str">
        <f>IFERROR( IF(ISNUMBER((SnapshotTable[[#This Row],[SC Current Value]])), SnapshotTable[[#This Row],[SC Gain Loss]] / SnapshotTable[[#This Row],[SC Premium]], ""), "")</f>
        <v/>
      </c>
      <c r="GB191" s="42">
        <f>SnapshotTable[[#This Row],[Equity Shares]] * SaleSharesToConsiderPercentage</f>
        <v>0</v>
      </c>
      <c r="GC191" s="40">
        <f>SnapshotTable[[#This Row],[Long Term Target]] * SellingPriceToConsiderBasedOnTargetPercentage</f>
        <v>67.288499999999999</v>
      </c>
      <c r="GD191" s="40">
        <f>SnapshotTable[[#This Row],[Last Price]] * (1+ SellingPriceToConsiderBasedOnTargetPercentage)</f>
        <v>160.15349999999998</v>
      </c>
      <c r="GE191" s="41"/>
      <c r="GF191" s="40">
        <v>45</v>
      </c>
      <c r="GG191" s="31">
        <f>SnapshotTable[[#This Row],[Booked Sale Shares]] * SnapshotTable[[#This Row],[Booked Sale Price]]</f>
        <v>0</v>
      </c>
      <c r="GH191" s="31" t="str">
        <f>IF(SnapshotTable[[#This Row],[Equity Basis Total]] &gt; 0, SnapshotTable[[#This Row],[Equity Basis Per Share]] * SnapshotTable[[#This Row],[Booked Sale Shares]], "")</f>
        <v/>
      </c>
      <c r="GI191" s="31">
        <f>IF(SnapshotTable[[#This Row],[Sale Proceeds]]&gt;0, SnapshotTable[[#This Row],[Sale Proceeds]] - SnapshotTable[[#This Row],[Sale Basis]], 0)</f>
        <v>0</v>
      </c>
      <c r="GJ191" s="27" t="str">
        <f>IF(SnapshotTable[[#This Row],[Sale G/L]]&gt;0, SnapshotTable[[#This Row],[Sale G/L]] / SnapshotTable[[#This Row],[Sale Basis]], IF(ISNUMBER(SnapshotTable[[#This Row],[SC Exercise P&amp;L (TAX)]]), SnapshotTable[[#This Row],[SC Exercise P&amp;L (TAX)]] / SnapshotTable[[#This Row],[SC Basis]], ""))</f>
        <v/>
      </c>
      <c r="GK191" s="27" t="s">
        <v>831</v>
      </c>
      <c r="GL191" s="43" t="str">
        <f>IF(AND(SnapshotTable[[#This Row],[LP Exp Date]]&gt;0,SnapshotTable[[#This Row],[LP Strike Price]]&gt;0), [1]!ToOptionSymbol(SnapshotTable[[#This Row],[Symbol]], SnapshotTable[[#This Row],[LP Strike Price]],SnapshotTable[[#This Row],[LP Exp Date]],1), "")</f>
        <v/>
      </c>
      <c r="GM191" s="30" t="str">
        <f>IF(LEN(SnapshotTable[[#This Row],[LP Symbol]])&gt;0, 1, "")</f>
        <v/>
      </c>
      <c r="GN191" s="43" t="str">
        <f>IF(AND(SnapshotTable[[#This Row],[SP Exp Date]]&gt;0,SnapshotTable[[#This Row],[SP Strike Price]]&gt;0), [1]!ToOptionSymbol(SnapshotTable[[#This Row],[Symbol]], SnapshotTable[[#This Row],[SP Strike Price]],SnapshotTable[[#This Row],[SP Exp Date]],1), "")</f>
        <v/>
      </c>
      <c r="GO191" s="30" t="str">
        <f>IF(LEN(SnapshotTable[[#This Row],[SP Symbol]])&gt;0, 1, "")</f>
        <v/>
      </c>
      <c r="GP191" s="43" t="str">
        <f>IF(AND(SnapshotTable[[#This Row],[LC Exp Date]]&gt;0,SnapshotTable[[#This Row],[LC Strike Price]]&gt;0), [1]!ToOptionSymbol(SnapshotTable[[#This Row],[Symbol]], SnapshotTable[[#This Row],[LC Strike Price]],SnapshotTable[[#This Row],[LC Exp Date]],0), "")</f>
        <v/>
      </c>
      <c r="GQ191" s="30" t="str">
        <f>IF(LEN(SnapshotTable[[#This Row],[LC Symbol]])&gt;0, 1, "")</f>
        <v/>
      </c>
      <c r="GR191" s="43" t="str">
        <f>IF(AND(SnapshotTable[[#This Row],[SC Exp Date]]&gt;0,SnapshotTable[[#This Row],[SC Strike Price]]&gt;0), [1]!ToOptionSymbol(SnapshotTable[[#This Row],[Symbol]], SnapshotTable[[#This Row],[SC Strike Price]],SnapshotTable[[#This Row],[SC Exp Date]],0), "")</f>
        <v/>
      </c>
      <c r="GS191" s="30" t="str">
        <f>IF(LEN(SnapshotTable[[#This Row],[SC Symbol]])&gt;0, 1, "")</f>
        <v/>
      </c>
      <c r="GT191" s="29" t="str">
        <f>IF(COUNT(SnapshotTable[[#This Row],[LP Symbol Count]],SnapshotTable[[#This Row],[SP Symbol Count]],SnapshotTable[[#This Row],[LC Symbol Count]],SnapshotTable[[#This Row],[SC Symbol Count]])&gt;0, "Y", "")</f>
        <v/>
      </c>
      <c r="GU19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1" s="216">
        <f>MAX(SnapshotTable[[#This Row],[Equity Basis Total]],SnapshotTable[[#This Row],[Equity Value]]) + (SnapshotTable[[#This Row],[SP Potential Spend]]- SnapshotTable[[#This Row],[SP Premium]] + SnapshotTable[[#This Row],[LP Premium]])+ (SnapshotTable[[#This Row],[LC Premium]] - SnapshotTable[[#This Row],[SC Premium]])</f>
        <v>0</v>
      </c>
      <c r="GW191" s="137" t="str">
        <f>IF(AND(SnapshotTable[[#This Row],[Exposure]] &lt;&gt; 0),SnapshotTable[[#This Row],[Exposure]] / SnapshotTable[[#Totals],[Exposure]], "")</f>
        <v/>
      </c>
      <c r="HE191" s="253"/>
      <c r="HF191" s="253"/>
      <c r="HK191" s="1"/>
      <c r="HL191" s="1"/>
      <c r="HM191" s="1"/>
      <c r="HN191" s="1"/>
      <c r="HO191" s="1"/>
      <c r="HP191" s="1"/>
    </row>
    <row r="192" spans="2:224" ht="12.75" hidden="1" customHeight="1" x14ac:dyDescent="0.25">
      <c r="B192" s="12" t="s">
        <v>752</v>
      </c>
      <c r="C192" s="385">
        <v>21.6</v>
      </c>
      <c r="D192" s="200"/>
      <c r="E192" s="39">
        <f>SnapshotTable[[#This Row],[Last Price]]*(1 -CrashDiscount)</f>
        <v>18.36</v>
      </c>
      <c r="F192" s="26" t="s">
        <v>703</v>
      </c>
      <c r="G192" s="26" t="s">
        <v>493</v>
      </c>
      <c r="H192" s="147"/>
      <c r="I192" s="186">
        <v>44804.670138888891</v>
      </c>
      <c r="J192" s="187">
        <v>44804.670138888891</v>
      </c>
      <c r="K192" s="188"/>
      <c r="L192" s="297"/>
      <c r="M192" s="138"/>
      <c r="N192" s="138"/>
      <c r="O192" s="138"/>
      <c r="P192" s="22"/>
      <c r="Q192" s="25"/>
      <c r="R192" s="4" t="str">
        <f>IF(SnapshotTable[[#This Row],[Equity Basis Total]] &gt; 0, SnapshotTable[[#This Row],[Equity Basis Total]] / SnapshotTable[[#This Row],[Equity Shares]], "")</f>
        <v/>
      </c>
      <c r="S192" s="254">
        <f>SnapshotTable[[#This Row],[Last Price]] * SnapshotTable[[#This Row],[Equity Shares]]</f>
        <v>0</v>
      </c>
      <c r="T192" s="254">
        <f>SnapshotTable[[#This Row],[Equity Value]] - SnapshotTable[[#This Row],[Equity Basis Total]]</f>
        <v>0</v>
      </c>
      <c r="U192" s="255" t="str">
        <f>IF(SnapshotTable[[#This Row],[Equity Basis Total]] &gt; 0, SnapshotTable[[#This Row],[Equity G/L]] / SnapshotTable[[#This Row],[Equity Basis Total]], "")</f>
        <v/>
      </c>
      <c r="V192" s="253"/>
      <c r="W192" s="253"/>
      <c r="X192" s="4" t="str">
        <f>IF(AND(ISNUMBER(SnapshotTable[[#This Row],[Equity Basis Per Share]]),ISNUMBER(SnapshotTable[[#This Row],[Equity Target]])),SnapshotTable[[#This Row],[Equity Target]]-SnapshotTable[[#This Row],[Equity Basis Per Share]],"")</f>
        <v/>
      </c>
      <c r="Y192" s="4" t="str">
        <f>IF(AND(ISNUMBER(SnapshotTable[[#This Row],[Equity Basis Per Share]]),ISNUMBER(SnapshotTable[[#This Row],[Equity Stop Loss]])),SnapshotTable[[#This Row],[Equity Stop Loss]]-SnapshotTable[[#This Row],[Equity Basis Per Share]],"")</f>
        <v/>
      </c>
      <c r="Z192" s="260" t="str">
        <f>IFERROR( TEXT(SnapshotTable[[#This Row],[Equity Max Gain Per Share]] /ABS( SnapshotTable[[#This Row],[Equity Max Loss Per Share]]),"0.0 " ) &amp; " : 1", "")</f>
        <v/>
      </c>
      <c r="AA192" s="31" t="str">
        <f>IF(ISNUMBER(SnapshotTable[[#This Row],[Equity Max Gain Per Share]]),SnapshotTable[[#This Row],[Equity Max Gain Per Share]] * SnapshotTable[[#This Row],[Equity Shares]],"")</f>
        <v/>
      </c>
      <c r="AB192" s="31" t="str">
        <f>IF(ISNUMBER(SnapshotTable[[#This Row],[Equity Max Loss Per Share]]),SnapshotTable[[#This Row],[Equity Max Loss Per Share]] * SnapshotTable[[#This Row],[Equity Shares]],"")</f>
        <v/>
      </c>
      <c r="AC192" s="148"/>
      <c r="AD192" s="149"/>
      <c r="AE192" s="31">
        <f>(SnapshotTable[[#This Row],[Annual Dividend Per Share]] / 4) * SnapshotTable[[#This Row],[Equity Shares]]</f>
        <v>0</v>
      </c>
      <c r="AF192" s="31">
        <f>SnapshotTable[[#This Row],[Quarterly Div $]] * 4</f>
        <v>0</v>
      </c>
      <c r="AG192" s="7">
        <f>IF(SnapshotTable[[#This Row],[Annual Dividend Per Share]]&gt;0, SnapshotTable[[#This Row],[Annual Dividend Per Share]]  / SnapshotTable[[#This Row],[Last Price]], 0)</f>
        <v>0</v>
      </c>
      <c r="AH192" s="149"/>
      <c r="AI192" s="5"/>
      <c r="AJ192" s="136">
        <v>13.44</v>
      </c>
      <c r="AK192" s="150" t="str">
        <f>IF(ISNUMBER( SnapshotTable[[#This Row],[EBF Target]]),(SnapshotTable[[#This Row],[EBF Target]] - SnapshotTable[[#This Row],[Last Price]]) / SnapshotTable[[#This Row],[Last Price]], "")</f>
        <v/>
      </c>
      <c r="AL192" s="150" t="str">
        <f>IF(AND(SnapshotTable[[#This Row],[Equity Basis Total]] &gt; 0,ISNUMBER( SnapshotTable[[#This Row],[Long Term Target]])), SnapshotTable[[#This Row],[From Basis $]] / SnapshotTable[[#This Row],[Equity Basis Total]], "")</f>
        <v/>
      </c>
      <c r="AM192" s="9">
        <f>IF( AND(SnapshotTable[[#This Row],[Equity Shares]] &gt;0,ISNUMBER( SnapshotTable[[#This Row],[Long Term Target]])),(SnapshotTable[[#This Row],[Equity Shares]] * SnapshotTable[[#This Row],[Long Term Target]]) - SnapshotTable[[#This Row],[Equity Basis Total]],0)</f>
        <v>0</v>
      </c>
      <c r="AN192" s="9">
        <f>IF( AND(SnapshotTable[[#This Row],[Equity Shares]] &gt;0,ISNUMBER( SnapshotTable[[#This Row],[Long Term Target]])),(SnapshotTable[[#This Row],[Equity Shares]]*SnapshotTable[[#This Row],[Long Term Target]]) - SnapshotTable[[#This Row],[Equity Value]],0)</f>
        <v>0</v>
      </c>
      <c r="AO192" s="150">
        <f>IF(AND(ISNUMBER( SnapshotTable[[#This Row],[Long Term Target]]), ISNUMBER(SnapshotTable[[#This Row],[Last Price]])),(SnapshotTable[[#This Row],[Long Term Target]] - SnapshotTable[[#This Row],[Last Price]]) / SnapshotTable[[#This Row],[Last Price]], "")</f>
        <v>-0.37777777777777782</v>
      </c>
      <c r="AP192" s="5"/>
      <c r="AQ192" s="38"/>
      <c r="AR192" s="5"/>
      <c r="AS192" s="38"/>
      <c r="AT192" s="144"/>
      <c r="AU192" s="185" t="str">
        <f>IF(OR(SnapshotTable[[#This Row],[LP No Fill]]="Y",SnapshotTable[[#This Row],[SP Is Filled]],SnapshotTable[[#This Row],[LC Not Filled]]="Y",SnapshotTable[[#This Row],[SC Is Filled]]),"Y","")</f>
        <v/>
      </c>
      <c r="AV192" s="205"/>
      <c r="AW192" s="211"/>
      <c r="AX192" s="206"/>
      <c r="AY192" s="205" t="str">
        <f>IF(SnapshotTable[[#This Row],[Implied Move]]&gt;0, SnapshotTable[[#This Row],[Last Price]]-SnapshotTable[[#This Row],[Implied Move]],"")</f>
        <v/>
      </c>
      <c r="AZ192" s="205" t="str">
        <f>IF(SnapshotTable[[#This Row],[Implied Move]]&gt;0, SnapshotTable[[#This Row],[Last Price]] + SnapshotTable[[#This Row],[Implied Move]],"")</f>
        <v/>
      </c>
      <c r="BA192" s="302"/>
      <c r="BB192" s="318"/>
      <c r="BC19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2" s="321"/>
      <c r="BE192" s="5"/>
      <c r="BF192" s="14"/>
      <c r="BG192" s="13"/>
      <c r="BH192" s="13"/>
      <c r="BI192" s="5"/>
      <c r="BJ192" s="134">
        <f>IF(SnapshotTable[[#This Row],[LP Qty]] &gt; 0, SnapshotTable[[#This Row],[LP Qty]] * SnapshotTable[[#This Row],[LP Book Price]] * 100,0)</f>
        <v>0</v>
      </c>
      <c r="BK192" s="134">
        <f>IF(SnapshotTable[[#This Row],[LP Premium]] &gt; 0, SnapshotTable[[#This Row],[LP Qty]] * SnapshotTable[[#This Row],[LP Strike Price]] * 100,0)</f>
        <v>0</v>
      </c>
      <c r="BL192" s="152"/>
      <c r="BM192" s="355" t="str">
        <f>IF(SnapshotTable[[#This Row],[LP Premium]] &gt; 0,SnapshotTable[[#This Row],[LP Exp Date]]-MAX(SnapshotTable[[#This Row],[LP Book Date]], SnapshotTable[[#This Row],[LP Fill Date]]),"")</f>
        <v/>
      </c>
      <c r="BN192" s="355" t="str">
        <f>IF(ISNUMBER( SnapshotTable[[#This Row],[LP Term]]), SnapshotTable[[#This Row],[LP Exp Date]] - MockToday,"")</f>
        <v/>
      </c>
      <c r="BO192" s="161" t="str">
        <f>IF(AND(SnapshotTable[[#This Row],[LP Exp Date]]&gt;0, SnapshotTable[[#This Row],[LP Strike Price]]&gt;0,SnapshotTable[[#This Row],[LP Qty]]&gt;0,SnapshotTable[[#This Row],[LP Book Date]]&gt;0,SnapshotTable[[#This Row],[LP Book Price]]&gt;0,SnapshotTable[[#This Row],[LP Fill Date]]=0),"Y","")</f>
        <v/>
      </c>
      <c r="BP192" s="31" t="str">
        <f>IF(AND(SnapshotTable[[#This Row],[LP No Fill]]&lt;&gt;"Y",SnapshotTable[[#This Row],[LP Contract Value]]&gt;0, SnapshotTable[[#This Row],[LP Qty]]&gt;0), SnapshotTable[[#This Row],[LP Contract Value]]*SnapshotTable[[#This Row],[LP Qty]]*100,"")</f>
        <v/>
      </c>
      <c r="BQ192" s="13"/>
      <c r="BR192" s="5"/>
      <c r="BS192" s="36"/>
      <c r="BT192" s="145"/>
      <c r="BU192" s="13"/>
      <c r="BV192" s="5"/>
      <c r="BW192" s="382" t="b">
        <f>AND(ISNUMBER(SnapshotTable[[#This Row],[SP Exp Date]]), ISNUMBER(SnapshotTable[[#This Row],[SP Strike Price]]), ISNUMBER(SnapshotTable[[#This Row],[SP Qty]]), ISNUMBER(SnapshotTable[[#This Row],[SP Book Date]]), ISNUMBER(SnapshotTable[[#This Row],[SP Book Price]]))</f>
        <v>0</v>
      </c>
      <c r="BX192" s="382" t="b">
        <f>AND(SnapshotTable[[#This Row],[SP Is Booked]], NOT(ISBLANK(SnapshotTable[[#This Row],[SP Fill Date]])))</f>
        <v>0</v>
      </c>
      <c r="BY192" s="33">
        <f>IF(SnapshotTable[[#This Row],[SP Is Booked]], SnapshotTable[[#This Row],[SP Qty]] * SnapshotTable[[#This Row],[SP Book Price]] * 100, 0)</f>
        <v>0</v>
      </c>
      <c r="BZ192" s="339"/>
      <c r="CA192" s="338">
        <f>SnapshotTable[[#This Row],[LP Qty]]</f>
        <v>0</v>
      </c>
      <c r="CB192" s="4" t="str">
        <f>IF(SnapshotTable[[#This Row],[SP Is Booked]], SnapshotTable[[#This Row],[SP Strike Price]] - SnapshotTable[[#This Row],[SP Book Price]], "")</f>
        <v/>
      </c>
      <c r="CC192" s="19" t="str">
        <f>IF(SnapshotTable[[#This Row],[SP Is Booked]],SnapshotTable[[#This Row],[SP Exp Date]]-MAX(SnapshotTable[[#This Row],[SP Book Date]], SnapshotTable[[#This Row],[SP Fill Date]]),"")</f>
        <v/>
      </c>
      <c r="CD192" s="7" t="str">
        <f>IF(SnapshotTable[[#This Row],[SP Is Booked]], SnapshotTable[[#This Row],[SP Book Price]]/SnapshotTable[[#This Row],[SP Strike Price]], "")</f>
        <v/>
      </c>
      <c r="CE192" s="7" t="str">
        <f>IF(ISNUMBER(SnapshotTable[[#This Row],[SP ROO Term]]),SnapshotTable[[#This Row],[SP ROO Term]]*(365/SnapshotTable[[#This Row],[SP Term]]),"")</f>
        <v/>
      </c>
      <c r="CF192" s="221">
        <f>SnapshotTable[[#This Row],[LP Strike Price]] * SnapshotTable[[#This Row],[LP Qty]] * 100</f>
        <v>0</v>
      </c>
      <c r="CG192" s="31">
        <f>IF(ISNUMBER(SnapshotTable[[#This Row],[SP Premium]]), (SnapshotTable[[#This Row],[SP Qty]] * SnapshotTable[[#This Row],[SP Strike Price]]* 100) - SnapshotTable[[#This Row],[LP Protection]], 0)</f>
        <v>0</v>
      </c>
      <c r="CH192" s="7" t="str">
        <f>IF(ISNUMBER(SnapshotTable[[#This Row],[SP Break Even]]),-1 * (SnapshotTable[[#This Row],[SP Break Even]] - SnapshotTable[[#This Row],[Last Price]]) / SnapshotTable[[#This Row],[Last Price]], "")</f>
        <v/>
      </c>
      <c r="CI192" s="31">
        <f>IF(AND(ISNUMBER((SnapshotTable[[#This Row],[SP Potential Spend]])), SnapshotTable[[#This Row],[SP Strike Price]] &gt; SnapshotTable[[#This Row],[Last Price]], SnapshotTable[[#This Row],[SP Is Filled]]), SnapshotTable[[#This Row],[SP Potential Spend]] -  SnapshotTable[[#This Row],[LP Max Value]], 0)</f>
        <v>0</v>
      </c>
      <c r="CJ192" s="229"/>
      <c r="CK192" s="31">
        <f>IF(ISNUMBER(SnapshotTable[[#This Row],[SP Potential Spend]]),IF(ISNUMBER(SnapshotTable[[#This Row],[SP POW]]), SnapshotTable[[#This Row],[SP POW]] * SnapshotTable[[#This Row],[SP Potential Spend]], SnapshotTable[[#This Row],[SP Potential Spend]]), "")</f>
        <v>0</v>
      </c>
      <c r="CL192" s="162">
        <f>IF(NOT(SnapshotTable[[#This Row],[SP Is Filled]]),(SnapshotTable[[#This Row],[SP Qty]] * SnapshotTable[[#This Row],[SP Strike Price]] * 100) - SnapshotTable[[#This Row],[LP Max Value]],"")</f>
        <v>0</v>
      </c>
      <c r="CM192" s="31" t="str">
        <f>IF(SnapshotTable[[#This Row],[SP Actual Spend]]&lt;&gt;0, ((SnapshotTable[[#This Row],[SP Strike Price]]-SnapshotTable[[#This Row],[Last Price]]) *(SnapshotTable[[#This Row],[SP Qty]]*100) - SnapshotTable[[#This Row],[SP Premium]]) * - 1, "")</f>
        <v/>
      </c>
      <c r="CN192" s="76"/>
      <c r="CO192" s="339"/>
      <c r="CP192" s="4" t="str">
        <f>IF(SnapshotTable[[#This Row],[SP Is Filled]], btc_max_buyback_amount(SnapshotTable[[#This Row],[SP Fill Date]],SnapshotTable[[#This Row],[SP Exp Date]], SnapshotTable[[#This Row],[SP Book Price]]),"")</f>
        <v/>
      </c>
      <c r="CQ192" s="76"/>
      <c r="CR19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2" s="153" t="str">
        <f>IF(SnapshotTable[[#This Row],[SP Is Filled]], btc_next_cutoff_date(SnapshotTable[[#This Row],[SP Fill Date]],SnapshotTable[[#This Row],[SP Exp Date]]),"")</f>
        <v/>
      </c>
      <c r="CT192" s="220" t="str" cm="1">
        <f t="array" ref="CT192">IF(SnapshotTable[[#This Row],[SP Is Filled]], btc_should_buy_back(SnapshotTable[[#This Row],[SP Fill Date]], SnapshotTable[[#This Row],[SP Exp Date]], SnapshotTable[[#This Row],[SP Book Price]], SnapshotTable[[#This Row],[SP Current Ask]], MockToday, SnapshotTable[[#This Row],[SP Buyback Override]]),"")</f>
        <v/>
      </c>
      <c r="CU192" s="141"/>
      <c r="CV192" s="220"/>
      <c r="CW192" s="348" t="str">
        <f>IF(ISNUMBER( SnapshotTable[[#This Row],[SP Term]]), SnapshotTable[[#This Row],[SP Exp Date]] - MockToday,"")</f>
        <v/>
      </c>
      <c r="CX192" s="31" t="str">
        <f>IF(SnapshotTable[[#This Row],[SP Is Filled]],SnapshotTable[[#This Row],[SP Buyback Price to Use]] * 100 * SnapshotTable[[#This Row],[SP Qty]], "")</f>
        <v/>
      </c>
      <c r="CY192" s="4" t="str">
        <f>IF(ISNUMBER(SnapshotTable[[#This Row],[SP Strike Price]]), SnapshotTable[[#This Row],[SP Strike Price]] * (1 - SP_MaxLoss_StrikePct), "")</f>
        <v/>
      </c>
      <c r="CZ192" s="31" t="str">
        <f>IF(ISNUMBER(SnapshotTable[[#This Row],[SP Strike  Stop Per Share]]),SnapshotTable[[#This Row],[SP Premium]] - ((SnapshotTable[[#This Row],[SP Strike Price]]-SnapshotTable[[#This Row],[SP Strike  Stop Per Share]]) *(SnapshotTable[[#This Row],[SP Qty]] * 100)),"")</f>
        <v/>
      </c>
      <c r="DA192" s="4" t="str">
        <f>IF(AND(ISNUMBER(SnapshotTable[[#This Row],[SP Premium]]),SnapshotTable[[#This Row],[SP Premium]]&gt;0), SnapshotTable[[#This Row],[SP Book Price]] * (1 + SP_MaxLoss_OptionPct), "")</f>
        <v/>
      </c>
      <c r="DB192" s="31" t="str">
        <f>IF(ISNUMBER(SnapshotTable[[#This Row],[SP Option  Stop Contract]]),(SnapshotTable[[#This Row],[SP Option  Stop Contract]] *(SnapshotTable[[#This Row],[SP Qty]] * 100) - SnapshotTable[[#This Row],[SP Premium]]),"")</f>
        <v/>
      </c>
      <c r="DC192" s="4"/>
      <c r="DD192" s="4"/>
      <c r="DE192" s="4" t="str">
        <f>IF(AND(SnapshotTable[[#This Row],[SP Qty]]&gt;0, SnapshotTable[[#This Row],[SP Stop To Use]]&gt;0),SnapshotTable[[#This Row],[SP Premium]] - ( SnapshotTable[[#This Row],[SP Qty]] * SnapshotTable[[#This Row],[SP Stop To Use]] * 100), "")</f>
        <v/>
      </c>
      <c r="DF192" s="31" t="str">
        <f>IF(AND(SnapshotTable[[#This Row],[SP Qty]]&gt;0,SnapshotTable[[#This Row],[SP Current Ask]]&gt;0), SnapshotTable[[#This Row],[SP Qty]] * SnapshotTable[[#This Row],[SP Current Ask]] * -100, "")</f>
        <v/>
      </c>
      <c r="DG192" s="31" t="str">
        <f>IF(ISNUMBER((SnapshotTable[[#This Row],[SP Total Value]])), SnapshotTable[[#This Row],[SP Premium]] + SnapshotTable[[#This Row],[SP Total Value]], "")</f>
        <v/>
      </c>
      <c r="DH192" s="272" t="str">
        <f>IF(ISNUMBER((SnapshotTable[[#This Row],[SP Total Value]])), SnapshotTable[[#This Row],[SP Gain Loss]] / SnapshotTable[[#This Row],[SP Premium]], "")</f>
        <v/>
      </c>
      <c r="DI192" s="369"/>
      <c r="DJ192" s="136"/>
      <c r="DK192" s="146"/>
      <c r="DL192" s="13"/>
      <c r="DM192" s="13"/>
      <c r="DO192" s="31">
        <f>IF(SnapshotTable[[#This Row],[LC Symbol Count]]=1, SnapshotTable[[#This Row],[LC Qty]] * SnapshotTable[[#This Row],[LC Book Price]] * 100, 0)</f>
        <v>0</v>
      </c>
      <c r="DP192" s="161" t="str">
        <f>IF(AND(SnapshotTable[[#This Row],[LC Exp Date]]&gt;0, SnapshotTable[[#This Row],[LC Strike Price]]&gt;0,SnapshotTable[[#This Row],[LC Qty]]&gt;0,SnapshotTable[[#This Row],[LC Book Date]]&gt;0,SnapshotTable[[#This Row],[LC Book Price]]&gt;0,SnapshotTable[[#This Row],[LC Fill Date]]=0),"Y","")</f>
        <v/>
      </c>
      <c r="DQ192" s="356" t="str">
        <f>IF(SnapshotTable[[#This Row],[LC Premium]] &gt; 0,SnapshotTable[[#This Row],[LC Exp Date]]-MAX(SnapshotTable[[#This Row],[LC Book Date]], SnapshotTable[[#This Row],[LC Fill Date]]),"")</f>
        <v/>
      </c>
      <c r="DR192" s="356" t="str">
        <f>IF(ISNUMBER(SnapshotTable[[#This Row],[LC Term]]), SnapshotTable[[#This Row],[LC Exp Date]] - MockToday, "")</f>
        <v/>
      </c>
      <c r="DS192" s="219" t="str">
        <f>IF(SnapshotTable[[#This Row],[LC Premium]]&gt;0,SnapshotTable[[#This Row],[LC Strike Price]] + SnapshotTable[[#This Row],[LC Book Price]],"")</f>
        <v/>
      </c>
      <c r="DU192" s="9" t="str">
        <f>IF(AND(SnapshotTable[[#This Row],[LC Symbol Count]]&gt;0, SnapshotTable[[#This Row],[LC Contract Value]]&gt;0), SnapshotTable[[#This Row],[LC Contract Value]] * SnapshotTable[[#This Row],[LC Qty]] * 100, "")</f>
        <v/>
      </c>
      <c r="DV192" s="9" t="str">
        <f>IF(AND(ISNUMBER(SnapshotTable[[#This Row],[LC Total Value]]), SnapshotTable[[#This Row],[LC Not Filled]]&lt;&gt;"Y"), SnapshotTable[[#This Row],[LC Total Value]]-SnapshotTable[[#This Row],[LC Premium]],"")</f>
        <v/>
      </c>
      <c r="DW192" s="225" t="str">
        <f>IF(ISNUMBER(SnapshotTable[[#This Row],[LC Actual Gain Loss]]), SnapshotTable[[#This Row],[LC Actual Gain Loss]] / SnapshotTable[[#This Row],[LC Premium]],"")</f>
        <v/>
      </c>
      <c r="DX192" s="269" t="str">
        <f>IF(ISNUMBER(SnapshotTable[[#This Row],[LC Book Price]]),SnapshotTable[[#This Row],[LC Book Price]] * 1.5,"")</f>
        <v/>
      </c>
      <c r="DY192" s="250" t="str">
        <f>IF(SnapshotTable[[#This Row],[LC Premium]]&gt;0, SnapshotTable[[#This Row],[LC Next Target]] * SnapshotTable[[#This Row],[LC Qty]] * 100,"")</f>
        <v/>
      </c>
      <c r="DZ192" s="250" t="str">
        <f>IF(ISNUMBER(SnapshotTable[[#This Row],[LC Target Gross]]), SnapshotTable[[#This Row],[LC Target Gross]] - SnapshotTable[[#This Row],[LC Premium]], "")</f>
        <v/>
      </c>
      <c r="EA192" s="283" t="str">
        <f>IF(ISNUMBER(SnapshotTable[[#This Row],[LC Target Gain Loss]]), SnapshotTable[[#This Row],[LC Target Gain Loss]]/SnapshotTable[[#This Row],[LC Premium]], "")</f>
        <v/>
      </c>
      <c r="EB192" s="247"/>
      <c r="EC192" s="268" t="str">
        <f>IF(SnapshotTable[[#This Row],[LC Premium]]&gt;0, SnapshotTable[[#This Row],[LC Book Price]] * (1 - LC_StopLoss_Pct),"")</f>
        <v/>
      </c>
      <c r="ED192" s="269"/>
      <c r="EE192" s="268" t="str">
        <f>IF(ISNUMBER(SnapshotTable[[#This Row],[LC Contract Value]]),IF(ISNUMBER(SnapshotTable[[#This Row],[LC Stop Loss Override]]), SnapshotTable[[#This Row],[LC Stop Loss Override]],SnapshotTable[[#This Row],[LC Stop Loss Calc Target]]),"")</f>
        <v/>
      </c>
      <c r="EF192" s="31" t="str">
        <f>IF(ISNUMBER(SnapshotTable[[#This Row],[LC Stop  To Use]]), (SnapshotTable[[#This Row],[LC Stop  To Use]] * SnapshotTable[[#This Row],[LC Qty]] * 100),"")</f>
        <v/>
      </c>
      <c r="EG192" s="9" t="str">
        <f>IF(ISNUMBER(SnapshotTable[[#This Row],[LC Total Value]]),SnapshotTable[[#This Row],[LC Stop Loss Amount]] - SnapshotTable[[#This Row],[LC Premium]],"")</f>
        <v/>
      </c>
      <c r="EH192" s="9">
        <f>IF(ISNUMBER(SnapshotTable[[#This Row],[LC Premium]]), SnapshotTable[[#This Row],[LC Qty]] * 100 * SnapshotTable[[#This Row],[LC Strike Price]], "")</f>
        <v>0</v>
      </c>
      <c r="EI192" s="225" t="str">
        <f>IF(AND(ISNUMBER(SnapshotTable[[#This Row],[LC Total Value]]),SnapshotTable[[#This Row],[LC Total Value]]&gt;0),SnapshotTable[[#This Row],[LC Stop Gain Loss]]  / SnapshotTable[[#This Row],[LC Premium]],"")</f>
        <v/>
      </c>
      <c r="EJ192" s="35">
        <f>IF(ISNUMBER(SnapshotTable[[#This Row],[Equity Shares]]),TRUNC(SnapshotTable[[#This Row],[Equity Shares]] / 100),0) + SnapshotTable[[#This Row],[LC Qty]]</f>
        <v>0</v>
      </c>
      <c r="EK192" s="145"/>
      <c r="EL192" s="136"/>
      <c r="EM192" s="146"/>
      <c r="EN192" s="145"/>
      <c r="EO192" s="145"/>
      <c r="EP192" s="136"/>
      <c r="EQ192" s="382" t="b">
        <f>AND(ISNUMBER(SnapshotTable[[#This Row],[SC Exp Date]]), ISNUMBER(SnapshotTable[[#This Row],[SC Strike Price]]), ISNUMBER(SnapshotTable[[#This Row],[SC Qty]]), ISNUMBER(SnapshotTable[[#This Row],[SC Book Date]]), ISNUMBER(SnapshotTable[[#This Row],[SC Book Price]]))</f>
        <v>0</v>
      </c>
      <c r="ER192" s="382" t="b">
        <f>AND(SnapshotTable[[#This Row],[SC Is Booked]], NOT(ISBLANK(SnapshotTable[[#This Row],[SC Fill Date]])))</f>
        <v>0</v>
      </c>
      <c r="ES192" s="340"/>
      <c r="ET192" s="34" t="str">
        <f>IF(AND(ISNUMBER(SnapshotTable[[#This Row],[SC Exp Date]]), ISNUMBER(SnapshotTable[[#This Row],[SC Book Date]])), SnapshotTable[[#This Row],[SC Exp Date]] - MAX(SnapshotTable[[#This Row],[SC Book Date]], SnapshotTable[[#This Row],[SC Fill Date]]) + 1, "")</f>
        <v/>
      </c>
      <c r="EU192" s="34" t="str">
        <f>IF(ISNUMBER(SnapshotTable[[#This Row],[SC Term]]), SnapshotTable[[#This Row],[SC Exp Date]]- MockToday, "")</f>
        <v/>
      </c>
      <c r="EV192" s="31">
        <f>IF(SnapshotTable[[#This Row],[SC Is Booked]], SnapshotTable[[#This Row],[SC Qty]] * SnapshotTable[[#This Row],[SC Book Price]] * 100, 0)</f>
        <v>0</v>
      </c>
      <c r="EW192" s="4" t="str">
        <f>IF(AND(ISNUMBER(SnapshotTable[[#This Row],[Last Price]]), ISNUMBER( SnapshotTable[[#This Row],[SC Book Price]])), SnapshotTable[[#This Row],[Last Price]] - SnapshotTable[[#This Row],[SC Book Price]],"")</f>
        <v/>
      </c>
      <c r="EX192" s="219" t="str">
        <f>IF(SnapshotTable[[#This Row],[SC Is Booked]],IF(SnapshotTable[[#This Row],[SC Intrinsic Value]] &gt; 0, SnapshotTable[[#This Row],[SC Strike Price]], SnapshotTable[[#This Row],[Last Price]]), "")</f>
        <v/>
      </c>
      <c r="EY192" s="4">
        <f>IF(SnapshotTable[[#This Row],[SC Is Booked]], (MinimumPremiumRequired * SnapshotTable[[#This Row],[SC Basis]] * SnapshotTable[[#This Row],[SC Term]]), 0)</f>
        <v>0</v>
      </c>
      <c r="EZ192" s="268"/>
      <c r="FA192" s="386"/>
      <c r="FB192" s="340"/>
      <c r="FC192" s="4">
        <f>IF(SnapshotTable[[#This Row],[SC Is Filled]], btc_max_buyback_amount(SnapshotTable[[#This Row],[SC Fill Date]],SnapshotTable[[#This Row],[SC Exp Date]], SnapshotTable[[#This Row],[SC Book Price]]),0)</f>
        <v>0</v>
      </c>
      <c r="FD192" s="5"/>
      <c r="FE192" s="142" t="str">
        <f>IF(SnapshotTable[[#This Row],[SC Is Filled]], btc_next_cutoff_date(SnapshotTable[[#This Row],[SC Fill Date]],SnapshotTable[[#This Row],[SC Exp Date]]),"")</f>
        <v/>
      </c>
      <c r="FF192" s="4" t="str" cm="1">
        <f t="array" ref="FF192">IF(SnapshotTable[[#This Row],[SC Is Filled]], btc_should_buy_back(SnapshotTable[[#This Row],[SC Fill Date]], SnapshotTable[[#This Row],[SC Exp Date]], SnapshotTable[[#This Row],[SC Book Price]], SnapshotTable[[#This Row],[SC Current Ask]], MockToday, SnapshotTable[[#This Row],[SC Buyback Override]]),"")</f>
        <v/>
      </c>
      <c r="FG192" s="4">
        <f>IF(SnapshotTable[[#This Row],[SC Is Filled]], MAX(0,SnapshotTable[[#This Row],[Last Price]]  - SnapshotTable[[#This Row],[SC Strike Price]]), 0)</f>
        <v>0</v>
      </c>
      <c r="FH192" s="352">
        <f>IF(SnapshotTable[[#This Row],[SC Is Filled]], IF(ISNUMBER(SnapshotTable[[#This Row],[SC Current Ask]]), SnapshotTable[[#This Row],[SC Current Ask]], SnapshotTable[[#This Row],[SC Book Price]]) - SnapshotTable[[#This Row],[SC Intrinsic Value]], 0)</f>
        <v>0</v>
      </c>
      <c r="FI192" s="141"/>
      <c r="FJ192" s="32" t="str">
        <f>IF(SnapshotTable[[#This Row],[SC Is Filled]],100 * SnapshotTable[[#This Row],[SC Qty]] * IF(ISNUMBER(SnapshotTable[[#This Row],[SC Buyback Override]]), SnapshotTable[[#This Row],[SC Buyback Override]], SnapshotTable[[#This Row],[SC Current Ask]]), "")</f>
        <v/>
      </c>
      <c r="FK192" s="235" t="str">
        <f>IF(SnapshotTable[[#This Row],[SC Time Val]]&gt;0, SnapshotTable[[#This Row],[SC Time Val]] / SnapshotTable[[#This Row],[Last Price]],"")</f>
        <v/>
      </c>
      <c r="FL192" s="280" t="str">
        <f>IF(SnapshotTable[[#This Row],[SC Is Booked]], ((SnapshotTable[[#This Row],[Last Price]] -SnapshotTable[[#This Row],[SC Strike Price]]) / SnapshotTable[[#This Row],[Last Price]]) * -1, "")</f>
        <v/>
      </c>
      <c r="FM192" s="155" t="str">
        <f>IF(SnapshotTable[[#This Row],[SC Is Booked]],  (SnapshotTable[[#This Row],[SC Qty]] * 100 * SnapshotTable[[#This Row],[SC Strike Price]]) - SnapshotTable[[#This Row],[SC Current Ask]], "")</f>
        <v/>
      </c>
      <c r="FN19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2" s="31" t="str">
        <f>IF(AND(ISNUMBER(SnapshotTable[[#This Row],[SC Exercise Gross]]), ISNUMBER(SnapshotTable[[#This Row],[Equity Basis Per Share]] )), SnapshotTable[[#This Row],[SC Exercise Gross]] - SnapshotTable[[#This Row],[Equity Basis Total]] +  SnapshotTable[[#This Row],[SC Premium]], "")</f>
        <v/>
      </c>
      <c r="FP192" s="5" t="str">
        <f>IF(ISNUMBER(SnapshotTable[[#This Row],[SC Exercise Gross]]), (SnapshotTable[[#This Row],[SC Exercise Gross]]) / (SnapshotTable[[#This Row],[SC Qty]] * 100), "")</f>
        <v/>
      </c>
      <c r="FQ192" s="27" t="str">
        <f>IF(SnapshotTable[[#This Row],[SC Is Booked]],SnapshotTable[[#This Row],[SC Time Val]] /SnapshotTable[[#This Row],[SC Basis]], "")</f>
        <v/>
      </c>
      <c r="FR192" s="27" t="str" cm="1">
        <f t="array" ref="FR192">IF(AND(ISNUMBER(SnapshotTable[[#This Row],[SC Term]]),ISNUMBER(SnapshotTable[[#This Row],[SC Simple ROO]])), EllmanAnnualize(SnapshotTable[[#This Row],[SC DTE]], SnapshotTable[[#This Row],[SC Simple ROO]] ),"")</f>
        <v/>
      </c>
      <c r="FS192" s="4">
        <f>IF(SnapshotTable[[#This Row],[SC Strike Price]] &gt; SnapshotTable[[#This Row],[Last Price]], SnapshotTable[[#This Row],[SC Strike Price]] - SnapshotTable[[#This Row],[Last Price]],0)</f>
        <v>0</v>
      </c>
      <c r="FT192" s="27" t="str">
        <f>IF(AND(ISNUMBER(SnapshotTable[[#This Row],[SC Upside Potential]]), SnapshotTable[[#This Row],[SC Upside Potential]] &gt; 0),(SnapshotTable[[#This Row],[SC Upside Potential]]/ SnapshotTable[[#This Row],[ACB]]),"")</f>
        <v/>
      </c>
      <c r="FU192" s="304" t="str">
        <f>IF(SnapshotTable[[#This Row],[SC Intrinsic Value]] &gt; 0,SnapshotTable[[#This Row],[SC Intrinsic Value]],"")</f>
        <v/>
      </c>
      <c r="FV192" s="27" t="str">
        <f>IF(AND( ISNUMBER( SnapshotTable[[#This Row],[ACB]]),ISNUMBER(SnapshotTable[[#This Row],[SC Downside Protect]])),SnapshotTable[[#This Row],[SC Downside Protect]] / SnapshotTable[[#This Row],[ACB]],"")</f>
        <v/>
      </c>
      <c r="FW192" s="221" t="str">
        <f>IF(AND(ISNUMBER(SnapshotTable[[#This Row],[SC Simple ROO]]),SnapshotTable[[#This Row],[SC Simple ROO]] &gt; 0), SnapshotTable[[#This Row],[SC Premium]] + (SnapshotTable[[#This Row],[SC Qty]] * SnapshotTable[[#This Row],[SC Upside Potential]]), "")</f>
        <v/>
      </c>
      <c r="FX192" s="280" t="str" cm="1">
        <f t="array" ref="FX192">IF(ISNUMBER(SnapshotTable[[#This Row],[SC Max Dollars]]), annualize(SnapshotTable[[#This Row],[SC Term]],(SnapshotTable[[#This Row],[SC Max Dollars]]/SnapshotTable[[#This Row],[SC Basis]])),"")</f>
        <v/>
      </c>
      <c r="FY192" s="221" t="str">
        <f>IF(AND(SnapshotTable[[#This Row],[SC Qty]]&gt;0,SnapshotTable[[#This Row],[SC Current Ask]]&gt;0), SnapshotTable[[#This Row],[SC Qty]] * SnapshotTable[[#This Row],[SC Current Ask]] * -100, "")</f>
        <v/>
      </c>
      <c r="FZ192" s="31" t="str">
        <f>IF(ISNUMBER((SnapshotTable[[#This Row],[SC Current Value]])), SnapshotTable[[#This Row],[SC Premium]] + SnapshotTable[[#This Row],[SC Current Value]], "")</f>
        <v/>
      </c>
      <c r="GA192" s="272" t="str">
        <f>IFERROR( IF(ISNUMBER((SnapshotTable[[#This Row],[SC Current Value]])), SnapshotTable[[#This Row],[SC Gain Loss]] / SnapshotTable[[#This Row],[SC Premium]], ""), "")</f>
        <v/>
      </c>
      <c r="GB192" s="42">
        <f>SnapshotTable[[#This Row],[Equity Shares]] * SaleSharesToConsiderPercentage</f>
        <v>0</v>
      </c>
      <c r="GC192" s="40">
        <f>SnapshotTable[[#This Row],[Long Term Target]] * SellingPriceToConsiderBasedOnTargetPercentage</f>
        <v>12.767999999999999</v>
      </c>
      <c r="GD192" s="40">
        <f>SnapshotTable[[#This Row],[Last Price]] * (1+ SellingPriceToConsiderBasedOnTargetPercentage)</f>
        <v>42.120000000000005</v>
      </c>
      <c r="GE192" s="41"/>
      <c r="GF192" s="40"/>
      <c r="GG192" s="31">
        <f>SnapshotTable[[#This Row],[Booked Sale Shares]] * SnapshotTable[[#This Row],[Booked Sale Price]]</f>
        <v>0</v>
      </c>
      <c r="GH192" s="31" t="str">
        <f>IF(SnapshotTable[[#This Row],[Equity Basis Total]] &gt; 0, SnapshotTable[[#This Row],[Equity Basis Per Share]] * SnapshotTable[[#This Row],[Booked Sale Shares]], "")</f>
        <v/>
      </c>
      <c r="GI192" s="31">
        <f>IF(SnapshotTable[[#This Row],[Sale Proceeds]]&gt;0, SnapshotTable[[#This Row],[Sale Proceeds]] - SnapshotTable[[#This Row],[Sale Basis]], 0)</f>
        <v>0</v>
      </c>
      <c r="GJ192" s="27" t="str">
        <f>IF(SnapshotTable[[#This Row],[Sale G/L]]&gt;0, SnapshotTable[[#This Row],[Sale G/L]] / SnapshotTable[[#This Row],[Sale Basis]], IF(ISNUMBER(SnapshotTable[[#This Row],[SC Exercise P&amp;L (TAX)]]), SnapshotTable[[#This Row],[SC Exercise P&amp;L (TAX)]] / SnapshotTable[[#This Row],[SC Basis]], ""))</f>
        <v/>
      </c>
      <c r="GK192" s="27"/>
      <c r="GL192" s="43" t="str">
        <f>IF(AND(SnapshotTable[[#This Row],[LP Exp Date]]&gt;0,SnapshotTable[[#This Row],[LP Strike Price]]&gt;0), [1]!ToOptionSymbol(SnapshotTable[[#This Row],[Symbol]], SnapshotTable[[#This Row],[LP Strike Price]],SnapshotTable[[#This Row],[LP Exp Date]],1), "")</f>
        <v/>
      </c>
      <c r="GM192" s="30" t="str">
        <f>IF(LEN(SnapshotTable[[#This Row],[LP Symbol]])&gt;0, 1, "")</f>
        <v/>
      </c>
      <c r="GN192" s="43" t="str">
        <f>IF(AND(SnapshotTable[[#This Row],[SP Exp Date]]&gt;0,SnapshotTable[[#This Row],[SP Strike Price]]&gt;0), [1]!ToOptionSymbol(SnapshotTable[[#This Row],[Symbol]], SnapshotTable[[#This Row],[SP Strike Price]],SnapshotTable[[#This Row],[SP Exp Date]],1), "")</f>
        <v/>
      </c>
      <c r="GO192" s="30" t="str">
        <f>IF(LEN(SnapshotTable[[#This Row],[SP Symbol]])&gt;0, 1, "")</f>
        <v/>
      </c>
      <c r="GP192" s="43" t="str">
        <f>IF(AND(SnapshotTable[[#This Row],[LC Exp Date]]&gt;0,SnapshotTable[[#This Row],[LC Strike Price]]&gt;0), [1]!ToOptionSymbol(SnapshotTable[[#This Row],[Symbol]], SnapshotTable[[#This Row],[LC Strike Price]],SnapshotTable[[#This Row],[LC Exp Date]],0), "")</f>
        <v/>
      </c>
      <c r="GQ192" s="30" t="str">
        <f>IF(LEN(SnapshotTable[[#This Row],[LC Symbol]])&gt;0, 1, "")</f>
        <v/>
      </c>
      <c r="GR192" s="43" t="str">
        <f>IF(AND(SnapshotTable[[#This Row],[SC Exp Date]]&gt;0,SnapshotTable[[#This Row],[SC Strike Price]]&gt;0), [1]!ToOptionSymbol(SnapshotTable[[#This Row],[Symbol]], SnapshotTable[[#This Row],[SC Strike Price]],SnapshotTable[[#This Row],[SC Exp Date]],0), "")</f>
        <v/>
      </c>
      <c r="GS192" s="30" t="str">
        <f>IF(LEN(SnapshotTable[[#This Row],[SC Symbol]])&gt;0, 1, "")</f>
        <v/>
      </c>
      <c r="GT192" s="29" t="str">
        <f>IF(COUNT(SnapshotTable[[#This Row],[LP Symbol Count]],SnapshotTable[[#This Row],[SP Symbol Count]],SnapshotTable[[#This Row],[LC Symbol Count]],SnapshotTable[[#This Row],[SC Symbol Count]])&gt;0, "Y", "")</f>
        <v/>
      </c>
      <c r="GU19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2" s="216">
        <f>MAX(SnapshotTable[[#This Row],[Equity Basis Total]],SnapshotTable[[#This Row],[Equity Value]]) + (SnapshotTable[[#This Row],[SP Potential Spend]]- SnapshotTable[[#This Row],[SP Premium]] + SnapshotTable[[#This Row],[LP Premium]])+ (SnapshotTable[[#This Row],[LC Premium]] - SnapshotTable[[#This Row],[SC Premium]])</f>
        <v>0</v>
      </c>
      <c r="GW192" s="137" t="str">
        <f>IF(AND(SnapshotTable[[#This Row],[Exposure]] &lt;&gt; 0),SnapshotTable[[#This Row],[Exposure]] / SnapshotTable[[#Totals],[Exposure]], "")</f>
        <v/>
      </c>
      <c r="HE192" s="253"/>
      <c r="HF192" s="253"/>
      <c r="HK192" s="1"/>
      <c r="HL192" s="1"/>
      <c r="HM192" s="1"/>
      <c r="HN192" s="1"/>
      <c r="HO192" s="1"/>
      <c r="HP192" s="1"/>
    </row>
    <row r="193" spans="2:224" ht="12.75" hidden="1" customHeight="1" x14ac:dyDescent="0.25">
      <c r="B193" s="12" t="s">
        <v>792</v>
      </c>
      <c r="C193" s="385">
        <v>213.42</v>
      </c>
      <c r="D193" s="200"/>
      <c r="E193" s="39">
        <f>SnapshotTable[[#This Row],[Last Price]]*(1 -CrashDiscount)</f>
        <v>181.40699999999998</v>
      </c>
      <c r="F193" s="26" t="s">
        <v>793</v>
      </c>
      <c r="G193" s="26" t="s">
        <v>678</v>
      </c>
      <c r="H193" s="147"/>
      <c r="I193" s="186">
        <v>44776.25</v>
      </c>
      <c r="J193" s="187">
        <v>44776.25</v>
      </c>
      <c r="K193" s="188"/>
      <c r="L193" s="297"/>
      <c r="M193" s="138"/>
      <c r="N193" s="138"/>
      <c r="O193" s="138"/>
      <c r="P193" s="22"/>
      <c r="Q193" s="25"/>
      <c r="R193" s="4" t="str">
        <f>IF(SnapshotTable[[#This Row],[Equity Basis Total]] &gt; 0, SnapshotTable[[#This Row],[Equity Basis Total]] / SnapshotTable[[#This Row],[Equity Shares]], "")</f>
        <v/>
      </c>
      <c r="S193" s="254">
        <f>SnapshotTable[[#This Row],[Last Price]] * SnapshotTable[[#This Row],[Equity Shares]]</f>
        <v>0</v>
      </c>
      <c r="T193" s="254">
        <f>SnapshotTable[[#This Row],[Equity Value]] - SnapshotTable[[#This Row],[Equity Basis Total]]</f>
        <v>0</v>
      </c>
      <c r="U193" s="255" t="str">
        <f>IF(SnapshotTable[[#This Row],[Equity Basis Total]] &gt; 0, SnapshotTable[[#This Row],[Equity G/L]] / SnapshotTable[[#This Row],[Equity Basis Total]], "")</f>
        <v/>
      </c>
      <c r="V193" s="253"/>
      <c r="W193" s="253"/>
      <c r="X193" s="4" t="str">
        <f>IF(AND(ISNUMBER(SnapshotTable[[#This Row],[Equity Basis Per Share]]),ISNUMBER(SnapshotTable[[#This Row],[Equity Target]])),SnapshotTable[[#This Row],[Equity Target]]-SnapshotTable[[#This Row],[Equity Basis Per Share]],"")</f>
        <v/>
      </c>
      <c r="Y193" s="4" t="str">
        <f>IF(AND(ISNUMBER(SnapshotTable[[#This Row],[Equity Basis Per Share]]),ISNUMBER(SnapshotTable[[#This Row],[Equity Stop Loss]])),SnapshotTable[[#This Row],[Equity Stop Loss]]-SnapshotTable[[#This Row],[Equity Basis Per Share]],"")</f>
        <v/>
      </c>
      <c r="Z193" s="260" t="str">
        <f>IFERROR( TEXT(SnapshotTable[[#This Row],[Equity Max Gain Per Share]] /ABS( SnapshotTable[[#This Row],[Equity Max Loss Per Share]]),"0.0 " ) &amp; " : 1", "")</f>
        <v/>
      </c>
      <c r="AA193" s="31" t="str">
        <f>IF(ISNUMBER(SnapshotTable[[#This Row],[Equity Max Gain Per Share]]),SnapshotTable[[#This Row],[Equity Max Gain Per Share]] * SnapshotTable[[#This Row],[Equity Shares]],"")</f>
        <v/>
      </c>
      <c r="AB193" s="31" t="str">
        <f>IF(ISNUMBER(SnapshotTable[[#This Row],[Equity Max Loss Per Share]]),SnapshotTable[[#This Row],[Equity Max Loss Per Share]] * SnapshotTable[[#This Row],[Equity Shares]],"")</f>
        <v/>
      </c>
      <c r="AC193" s="148"/>
      <c r="AD193" s="149"/>
      <c r="AE193" s="31">
        <f>(SnapshotTable[[#This Row],[Annual Dividend Per Share]] / 4) * SnapshotTable[[#This Row],[Equity Shares]]</f>
        <v>0</v>
      </c>
      <c r="AF193" s="31">
        <f>SnapshotTable[[#This Row],[Quarterly Div $]] * 4</f>
        <v>0</v>
      </c>
      <c r="AG193" s="7">
        <f>IF(SnapshotTable[[#This Row],[Annual Dividend Per Share]]&gt;0, SnapshotTable[[#This Row],[Annual Dividend Per Share]]  / SnapshotTable[[#This Row],[Last Price]], 0)</f>
        <v>0</v>
      </c>
      <c r="AH193" s="149"/>
      <c r="AI193" s="5"/>
      <c r="AJ193" s="136">
        <v>420.43</v>
      </c>
      <c r="AK193" s="150" t="str">
        <f>IF(ISNUMBER( SnapshotTable[[#This Row],[EBF Target]]),(SnapshotTable[[#This Row],[EBF Target]] - SnapshotTable[[#This Row],[Last Price]]) / SnapshotTable[[#This Row],[Last Price]], "")</f>
        <v/>
      </c>
      <c r="AL193" s="150" t="str">
        <f>IF(AND(SnapshotTable[[#This Row],[Equity Basis Total]] &gt; 0,ISNUMBER( SnapshotTable[[#This Row],[Long Term Target]])), SnapshotTable[[#This Row],[From Basis $]] / SnapshotTable[[#This Row],[Equity Basis Total]], "")</f>
        <v/>
      </c>
      <c r="AM193" s="9">
        <f>IF( AND(SnapshotTable[[#This Row],[Equity Shares]] &gt;0,ISNUMBER( SnapshotTable[[#This Row],[Long Term Target]])),(SnapshotTable[[#This Row],[Equity Shares]] * SnapshotTable[[#This Row],[Long Term Target]]) - SnapshotTable[[#This Row],[Equity Basis Total]],0)</f>
        <v>0</v>
      </c>
      <c r="AN193" s="9">
        <f>IF( AND(SnapshotTable[[#This Row],[Equity Shares]] &gt;0,ISNUMBER( SnapshotTable[[#This Row],[Long Term Target]])),(SnapshotTable[[#This Row],[Equity Shares]]*SnapshotTable[[#This Row],[Long Term Target]]) - SnapshotTable[[#This Row],[Equity Value]],0)</f>
        <v>0</v>
      </c>
      <c r="AO193" s="150">
        <f>IF(AND(ISNUMBER( SnapshotTable[[#This Row],[Long Term Target]]), ISNUMBER(SnapshotTable[[#This Row],[Last Price]])),(SnapshotTable[[#This Row],[Long Term Target]] - SnapshotTable[[#This Row],[Last Price]]) / SnapshotTable[[#This Row],[Last Price]], "")</f>
        <v>0.96996532658607459</v>
      </c>
      <c r="AP193" s="5"/>
      <c r="AQ193" s="38"/>
      <c r="AR193" s="5"/>
      <c r="AS193" s="38"/>
      <c r="AT193" s="144"/>
      <c r="AU193" s="185" t="str">
        <f>IF(OR(SnapshotTable[[#This Row],[LP No Fill]]="Y",SnapshotTable[[#This Row],[SP Is Filled]],SnapshotTable[[#This Row],[LC Not Filled]]="Y",SnapshotTable[[#This Row],[SC Is Filled]]),"Y","")</f>
        <v/>
      </c>
      <c r="AV193" s="205"/>
      <c r="AW193" s="211"/>
      <c r="AX193" s="206"/>
      <c r="AY193" s="205" t="str">
        <f>IF(SnapshotTable[[#This Row],[Implied Move]]&gt;0, SnapshotTable[[#This Row],[Last Price]]-SnapshotTable[[#This Row],[Implied Move]],"")</f>
        <v/>
      </c>
      <c r="AZ193" s="205" t="str">
        <f>IF(SnapshotTable[[#This Row],[Implied Move]]&gt;0, SnapshotTable[[#This Row],[Last Price]] + SnapshotTable[[#This Row],[Implied Move]],"")</f>
        <v/>
      </c>
      <c r="BA193" s="302"/>
      <c r="BB193" s="318"/>
      <c r="BC19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3" s="321"/>
      <c r="BE193" s="5"/>
      <c r="BF193" s="14"/>
      <c r="BG193" s="13"/>
      <c r="BH193" s="13"/>
      <c r="BI193" s="5"/>
      <c r="BJ193" s="134">
        <f>IF(SnapshotTable[[#This Row],[LP Qty]] &gt; 0, SnapshotTable[[#This Row],[LP Qty]] * SnapshotTable[[#This Row],[LP Book Price]] * 100,0)</f>
        <v>0</v>
      </c>
      <c r="BK193" s="134">
        <f>IF(SnapshotTable[[#This Row],[LP Premium]] &gt; 0, SnapshotTable[[#This Row],[LP Qty]] * SnapshotTable[[#This Row],[LP Strike Price]] * 100,0)</f>
        <v>0</v>
      </c>
      <c r="BL193" s="152"/>
      <c r="BM193" s="355" t="str">
        <f>IF(SnapshotTable[[#This Row],[LP Premium]] &gt; 0,SnapshotTable[[#This Row],[LP Exp Date]]-MAX(SnapshotTable[[#This Row],[LP Book Date]], SnapshotTable[[#This Row],[LP Fill Date]]),"")</f>
        <v/>
      </c>
      <c r="BN193" s="355" t="str">
        <f>IF(ISNUMBER( SnapshotTable[[#This Row],[LP Term]]), SnapshotTable[[#This Row],[LP Exp Date]] - MockToday,"")</f>
        <v/>
      </c>
      <c r="BO193" s="161" t="str">
        <f>IF(AND(SnapshotTable[[#This Row],[LP Exp Date]]&gt;0, SnapshotTable[[#This Row],[LP Strike Price]]&gt;0,SnapshotTable[[#This Row],[LP Qty]]&gt;0,SnapshotTable[[#This Row],[LP Book Date]]&gt;0,SnapshotTable[[#This Row],[LP Book Price]]&gt;0,SnapshotTable[[#This Row],[LP Fill Date]]=0),"Y","")</f>
        <v/>
      </c>
      <c r="BP193" s="31" t="str">
        <f>IF(AND(SnapshotTable[[#This Row],[LP No Fill]]&lt;&gt;"Y",SnapshotTable[[#This Row],[LP Contract Value]]&gt;0, SnapshotTable[[#This Row],[LP Qty]]&gt;0), SnapshotTable[[#This Row],[LP Contract Value]]*SnapshotTable[[#This Row],[LP Qty]]*100,"")</f>
        <v/>
      </c>
      <c r="BQ193" s="13"/>
      <c r="BR193" s="5"/>
      <c r="BS193" s="36"/>
      <c r="BT193" s="145"/>
      <c r="BU193" s="13"/>
      <c r="BV193" s="5"/>
      <c r="BW193" s="382" t="b">
        <f>AND(ISNUMBER(SnapshotTable[[#This Row],[SP Exp Date]]), ISNUMBER(SnapshotTable[[#This Row],[SP Strike Price]]), ISNUMBER(SnapshotTable[[#This Row],[SP Qty]]), ISNUMBER(SnapshotTable[[#This Row],[SP Book Date]]), ISNUMBER(SnapshotTable[[#This Row],[SP Book Price]]))</f>
        <v>0</v>
      </c>
      <c r="BX193" s="382" t="b">
        <f>AND(SnapshotTable[[#This Row],[SP Is Booked]], NOT(ISBLANK(SnapshotTable[[#This Row],[SP Fill Date]])))</f>
        <v>0</v>
      </c>
      <c r="BY193" s="33">
        <f>IF(SnapshotTable[[#This Row],[SP Is Booked]], SnapshotTable[[#This Row],[SP Qty]] * SnapshotTable[[#This Row],[SP Book Price]] * 100, 0)</f>
        <v>0</v>
      </c>
      <c r="BZ193" s="339"/>
      <c r="CA193" s="338">
        <f>SnapshotTable[[#This Row],[LP Qty]]</f>
        <v>0</v>
      </c>
      <c r="CB193" s="4" t="str">
        <f>IF(SnapshotTable[[#This Row],[SP Is Booked]], SnapshotTable[[#This Row],[SP Strike Price]] - SnapshotTable[[#This Row],[SP Book Price]], "")</f>
        <v/>
      </c>
      <c r="CC193" s="19" t="str">
        <f>IF(SnapshotTable[[#This Row],[SP Is Booked]],SnapshotTable[[#This Row],[SP Exp Date]]-MAX(SnapshotTable[[#This Row],[SP Book Date]], SnapshotTable[[#This Row],[SP Fill Date]]),"")</f>
        <v/>
      </c>
      <c r="CD193" s="7" t="str">
        <f>IF(SnapshotTable[[#This Row],[SP Is Booked]], SnapshotTable[[#This Row],[SP Book Price]]/SnapshotTable[[#This Row],[SP Strike Price]], "")</f>
        <v/>
      </c>
      <c r="CE193" s="7" t="str">
        <f>IF(ISNUMBER(SnapshotTable[[#This Row],[SP ROO Term]]),SnapshotTable[[#This Row],[SP ROO Term]]*(365/SnapshotTable[[#This Row],[SP Term]]),"")</f>
        <v/>
      </c>
      <c r="CF193" s="221">
        <f>SnapshotTable[[#This Row],[LP Strike Price]] * SnapshotTable[[#This Row],[LP Qty]] * 100</f>
        <v>0</v>
      </c>
      <c r="CG193" s="31">
        <f>IF(ISNUMBER(SnapshotTable[[#This Row],[SP Premium]]), (SnapshotTable[[#This Row],[SP Qty]] * SnapshotTable[[#This Row],[SP Strike Price]]* 100) - SnapshotTable[[#This Row],[LP Protection]], 0)</f>
        <v>0</v>
      </c>
      <c r="CH193" s="7" t="str">
        <f>IF(ISNUMBER(SnapshotTable[[#This Row],[SP Break Even]]),-1 * (SnapshotTable[[#This Row],[SP Break Even]] - SnapshotTable[[#This Row],[Last Price]]) / SnapshotTable[[#This Row],[Last Price]], "")</f>
        <v/>
      </c>
      <c r="CI193" s="31">
        <f>IF(AND(ISNUMBER((SnapshotTable[[#This Row],[SP Potential Spend]])), SnapshotTable[[#This Row],[SP Strike Price]] &gt; SnapshotTable[[#This Row],[Last Price]], SnapshotTable[[#This Row],[SP Is Filled]]), SnapshotTable[[#This Row],[SP Potential Spend]] -  SnapshotTable[[#This Row],[LP Max Value]], 0)</f>
        <v>0</v>
      </c>
      <c r="CJ193" s="229"/>
      <c r="CK193" s="31">
        <f>IF(ISNUMBER(SnapshotTable[[#This Row],[SP Potential Spend]]),IF(ISNUMBER(SnapshotTable[[#This Row],[SP POW]]), SnapshotTable[[#This Row],[SP POW]] * SnapshotTable[[#This Row],[SP Potential Spend]], SnapshotTable[[#This Row],[SP Potential Spend]]), "")</f>
        <v>0</v>
      </c>
      <c r="CL193" s="162">
        <f>IF(NOT(SnapshotTable[[#This Row],[SP Is Filled]]),(SnapshotTable[[#This Row],[SP Qty]] * SnapshotTable[[#This Row],[SP Strike Price]] * 100) - SnapshotTable[[#This Row],[LP Max Value]],"")</f>
        <v>0</v>
      </c>
      <c r="CM193" s="31" t="str">
        <f>IF(SnapshotTable[[#This Row],[SP Actual Spend]]&lt;&gt;0, ((SnapshotTable[[#This Row],[SP Strike Price]]-SnapshotTable[[#This Row],[Last Price]]) *(SnapshotTable[[#This Row],[SP Qty]]*100) - SnapshotTable[[#This Row],[SP Premium]]) * - 1, "")</f>
        <v/>
      </c>
      <c r="CN193" s="76"/>
      <c r="CO193" s="339"/>
      <c r="CP193" s="4" t="str">
        <f>IF(SnapshotTable[[#This Row],[SP Is Filled]], btc_max_buyback_amount(SnapshotTable[[#This Row],[SP Fill Date]],SnapshotTable[[#This Row],[SP Exp Date]], SnapshotTable[[#This Row],[SP Book Price]]),"")</f>
        <v/>
      </c>
      <c r="CQ193" s="76"/>
      <c r="CR19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3" s="153" t="str">
        <f>IF(SnapshotTable[[#This Row],[SP Is Filled]], btc_next_cutoff_date(SnapshotTable[[#This Row],[SP Fill Date]],SnapshotTable[[#This Row],[SP Exp Date]]),"")</f>
        <v/>
      </c>
      <c r="CT193" s="220" t="str" cm="1">
        <f t="array" ref="CT193">IF(SnapshotTable[[#This Row],[SP Is Filled]], btc_should_buy_back(SnapshotTable[[#This Row],[SP Fill Date]], SnapshotTable[[#This Row],[SP Exp Date]], SnapshotTable[[#This Row],[SP Book Price]], SnapshotTable[[#This Row],[SP Current Ask]], MockToday, SnapshotTable[[#This Row],[SP Buyback Override]]),"")</f>
        <v/>
      </c>
      <c r="CU193" s="141"/>
      <c r="CV193" s="220"/>
      <c r="CW193" s="348" t="str">
        <f>IF(ISNUMBER( SnapshotTable[[#This Row],[SP Term]]), SnapshotTable[[#This Row],[SP Exp Date]] - MockToday,"")</f>
        <v/>
      </c>
      <c r="CX193" s="31" t="str">
        <f>IF(SnapshotTable[[#This Row],[SP Is Filled]],SnapshotTable[[#This Row],[SP Buyback Price to Use]] * 100 * SnapshotTable[[#This Row],[SP Qty]], "")</f>
        <v/>
      </c>
      <c r="CY193" s="4" t="str">
        <f>IF(ISNUMBER(SnapshotTable[[#This Row],[SP Strike Price]]), SnapshotTable[[#This Row],[SP Strike Price]] * (1 - SP_MaxLoss_StrikePct), "")</f>
        <v/>
      </c>
      <c r="CZ193" s="31" t="str">
        <f>IF(ISNUMBER(SnapshotTable[[#This Row],[SP Strike  Stop Per Share]]),SnapshotTable[[#This Row],[SP Premium]] - ((SnapshotTable[[#This Row],[SP Strike Price]]-SnapshotTable[[#This Row],[SP Strike  Stop Per Share]]) *(SnapshotTable[[#This Row],[SP Qty]] * 100)),"")</f>
        <v/>
      </c>
      <c r="DA193" s="4" t="str">
        <f>IF(AND(ISNUMBER(SnapshotTable[[#This Row],[SP Premium]]),SnapshotTable[[#This Row],[SP Premium]]&gt;0), SnapshotTable[[#This Row],[SP Book Price]] * (1 + SP_MaxLoss_OptionPct), "")</f>
        <v/>
      </c>
      <c r="DB193" s="31" t="str">
        <f>IF(ISNUMBER(SnapshotTable[[#This Row],[SP Option  Stop Contract]]),(SnapshotTable[[#This Row],[SP Option  Stop Contract]] *(SnapshotTable[[#This Row],[SP Qty]] * 100) - SnapshotTable[[#This Row],[SP Premium]]),"")</f>
        <v/>
      </c>
      <c r="DC193" s="4"/>
      <c r="DD193" s="4"/>
      <c r="DE193" s="4" t="str">
        <f>IF(AND(SnapshotTable[[#This Row],[SP Qty]]&gt;0, SnapshotTable[[#This Row],[SP Stop To Use]]&gt;0),SnapshotTable[[#This Row],[SP Premium]] - ( SnapshotTable[[#This Row],[SP Qty]] * SnapshotTable[[#This Row],[SP Stop To Use]] * 100), "")</f>
        <v/>
      </c>
      <c r="DF193" s="31" t="str">
        <f>IF(AND(SnapshotTable[[#This Row],[SP Qty]]&gt;0,SnapshotTable[[#This Row],[SP Current Ask]]&gt;0), SnapshotTable[[#This Row],[SP Qty]] * SnapshotTable[[#This Row],[SP Current Ask]] * -100, "")</f>
        <v/>
      </c>
      <c r="DG193" s="31" t="str">
        <f>IF(ISNUMBER((SnapshotTable[[#This Row],[SP Total Value]])), SnapshotTable[[#This Row],[SP Premium]] + SnapshotTable[[#This Row],[SP Total Value]], "")</f>
        <v/>
      </c>
      <c r="DH193" s="272" t="str">
        <f>IF(ISNUMBER((SnapshotTable[[#This Row],[SP Total Value]])), SnapshotTable[[#This Row],[SP Gain Loss]] / SnapshotTable[[#This Row],[SP Premium]], "")</f>
        <v/>
      </c>
      <c r="DI193" s="369"/>
      <c r="DJ193" s="136"/>
      <c r="DK193" s="146"/>
      <c r="DL193" s="13"/>
      <c r="DM193" s="13"/>
      <c r="DO193" s="31">
        <f>IF(SnapshotTable[[#This Row],[LC Symbol Count]]=1, SnapshotTable[[#This Row],[LC Qty]] * SnapshotTable[[#This Row],[LC Book Price]] * 100, 0)</f>
        <v>0</v>
      </c>
      <c r="DP193" s="161" t="str">
        <f>IF(AND(SnapshotTable[[#This Row],[LC Exp Date]]&gt;0, SnapshotTable[[#This Row],[LC Strike Price]]&gt;0,SnapshotTable[[#This Row],[LC Qty]]&gt;0,SnapshotTable[[#This Row],[LC Book Date]]&gt;0,SnapshotTable[[#This Row],[LC Book Price]]&gt;0,SnapshotTable[[#This Row],[LC Fill Date]]=0),"Y","")</f>
        <v/>
      </c>
      <c r="DQ193" s="356" t="str">
        <f>IF(SnapshotTable[[#This Row],[LC Premium]] &gt; 0,SnapshotTable[[#This Row],[LC Exp Date]]-MAX(SnapshotTable[[#This Row],[LC Book Date]], SnapshotTable[[#This Row],[LC Fill Date]]),"")</f>
        <v/>
      </c>
      <c r="DR193" s="356" t="str">
        <f>IF(ISNUMBER(SnapshotTable[[#This Row],[LC Term]]), SnapshotTable[[#This Row],[LC Exp Date]] - MockToday, "")</f>
        <v/>
      </c>
      <c r="DS193" s="219" t="str">
        <f>IF(SnapshotTable[[#This Row],[LC Premium]]&gt;0,SnapshotTable[[#This Row],[LC Strike Price]] + SnapshotTable[[#This Row],[LC Book Price]],"")</f>
        <v/>
      </c>
      <c r="DU193" s="9" t="str">
        <f>IF(AND(SnapshotTable[[#This Row],[LC Symbol Count]]&gt;0, SnapshotTable[[#This Row],[LC Contract Value]]&gt;0), SnapshotTable[[#This Row],[LC Contract Value]] * SnapshotTable[[#This Row],[LC Qty]] * 100, "")</f>
        <v/>
      </c>
      <c r="DV193" s="9" t="str">
        <f>IF(AND(ISNUMBER(SnapshotTable[[#This Row],[LC Total Value]]), SnapshotTable[[#This Row],[LC Not Filled]]&lt;&gt;"Y"), SnapshotTable[[#This Row],[LC Total Value]]-SnapshotTable[[#This Row],[LC Premium]],"")</f>
        <v/>
      </c>
      <c r="DW193" s="225" t="str">
        <f>IF(ISNUMBER(SnapshotTable[[#This Row],[LC Actual Gain Loss]]), SnapshotTable[[#This Row],[LC Actual Gain Loss]] / SnapshotTable[[#This Row],[LC Premium]],"")</f>
        <v/>
      </c>
      <c r="DX193" s="269" t="str">
        <f>IF(ISNUMBER(SnapshotTable[[#This Row],[LC Book Price]]),SnapshotTable[[#This Row],[LC Book Price]] * 1.5,"")</f>
        <v/>
      </c>
      <c r="DY193" s="250" t="str">
        <f>IF(SnapshotTable[[#This Row],[LC Premium]]&gt;0, SnapshotTable[[#This Row],[LC Next Target]] * SnapshotTable[[#This Row],[LC Qty]] * 100,"")</f>
        <v/>
      </c>
      <c r="DZ193" s="250" t="str">
        <f>IF(ISNUMBER(SnapshotTable[[#This Row],[LC Target Gross]]), SnapshotTable[[#This Row],[LC Target Gross]] - SnapshotTable[[#This Row],[LC Premium]], "")</f>
        <v/>
      </c>
      <c r="EA193" s="283" t="str">
        <f>IF(ISNUMBER(SnapshotTable[[#This Row],[LC Target Gain Loss]]), SnapshotTable[[#This Row],[LC Target Gain Loss]]/SnapshotTable[[#This Row],[LC Premium]], "")</f>
        <v/>
      </c>
      <c r="EB193" s="247"/>
      <c r="EC193" s="268" t="str">
        <f>IF(SnapshotTable[[#This Row],[LC Premium]]&gt;0, SnapshotTable[[#This Row],[LC Book Price]] * (1 - LC_StopLoss_Pct),"")</f>
        <v/>
      </c>
      <c r="ED193" s="269"/>
      <c r="EE193" s="268" t="str">
        <f>IF(ISNUMBER(SnapshotTable[[#This Row],[LC Contract Value]]),IF(ISNUMBER(SnapshotTable[[#This Row],[LC Stop Loss Override]]), SnapshotTable[[#This Row],[LC Stop Loss Override]],SnapshotTable[[#This Row],[LC Stop Loss Calc Target]]),"")</f>
        <v/>
      </c>
      <c r="EF193" s="31" t="str">
        <f>IF(ISNUMBER(SnapshotTable[[#This Row],[LC Stop  To Use]]), (SnapshotTable[[#This Row],[LC Stop  To Use]] * SnapshotTable[[#This Row],[LC Qty]] * 100),"")</f>
        <v/>
      </c>
      <c r="EG193" s="9" t="str">
        <f>IF(ISNUMBER(SnapshotTable[[#This Row],[LC Total Value]]),SnapshotTable[[#This Row],[LC Stop Loss Amount]] - SnapshotTable[[#This Row],[LC Premium]],"")</f>
        <v/>
      </c>
      <c r="EH193" s="9">
        <f>IF(ISNUMBER(SnapshotTable[[#This Row],[LC Premium]]), SnapshotTable[[#This Row],[LC Qty]] * 100 * SnapshotTable[[#This Row],[LC Strike Price]], "")</f>
        <v>0</v>
      </c>
      <c r="EI193" s="225" t="str">
        <f>IF(AND(ISNUMBER(SnapshotTable[[#This Row],[LC Total Value]]),SnapshotTable[[#This Row],[LC Total Value]]&gt;0),SnapshotTable[[#This Row],[LC Stop Gain Loss]]  / SnapshotTable[[#This Row],[LC Premium]],"")</f>
        <v/>
      </c>
      <c r="EJ193" s="35">
        <f>IF(ISNUMBER(SnapshotTable[[#This Row],[Equity Shares]]),TRUNC(SnapshotTable[[#This Row],[Equity Shares]] / 100),0) + SnapshotTable[[#This Row],[LC Qty]]</f>
        <v>0</v>
      </c>
      <c r="EK193" s="145"/>
      <c r="EL193" s="136"/>
      <c r="EM193" s="146"/>
      <c r="EN193" s="145"/>
      <c r="EO193" s="145"/>
      <c r="EP193" s="136"/>
      <c r="EQ193" s="382" t="b">
        <f>AND(ISNUMBER(SnapshotTable[[#This Row],[SC Exp Date]]), ISNUMBER(SnapshotTable[[#This Row],[SC Strike Price]]), ISNUMBER(SnapshotTable[[#This Row],[SC Qty]]), ISNUMBER(SnapshotTable[[#This Row],[SC Book Date]]), ISNUMBER(SnapshotTable[[#This Row],[SC Book Price]]))</f>
        <v>0</v>
      </c>
      <c r="ER193" s="382" t="b">
        <f>AND(SnapshotTable[[#This Row],[SC Is Booked]], NOT(ISBLANK(SnapshotTable[[#This Row],[SC Fill Date]])))</f>
        <v>0</v>
      </c>
      <c r="ES193" s="340"/>
      <c r="ET193" s="34" t="str">
        <f>IF(AND(ISNUMBER(SnapshotTable[[#This Row],[SC Exp Date]]), ISNUMBER(SnapshotTable[[#This Row],[SC Book Date]])), SnapshotTable[[#This Row],[SC Exp Date]] - MAX(SnapshotTable[[#This Row],[SC Book Date]], SnapshotTable[[#This Row],[SC Fill Date]]) + 1, "")</f>
        <v/>
      </c>
      <c r="EU193" s="34" t="str">
        <f>IF(ISNUMBER(SnapshotTable[[#This Row],[SC Term]]), SnapshotTable[[#This Row],[SC Exp Date]]- MockToday, "")</f>
        <v/>
      </c>
      <c r="EV193" s="31">
        <f>IF(SnapshotTable[[#This Row],[SC Is Booked]], SnapshotTable[[#This Row],[SC Qty]] * SnapshotTable[[#This Row],[SC Book Price]] * 100, 0)</f>
        <v>0</v>
      </c>
      <c r="EW193" s="4" t="str">
        <f>IF(AND(ISNUMBER(SnapshotTable[[#This Row],[Last Price]]), ISNUMBER( SnapshotTable[[#This Row],[SC Book Price]])), SnapshotTable[[#This Row],[Last Price]] - SnapshotTable[[#This Row],[SC Book Price]],"")</f>
        <v/>
      </c>
      <c r="EX193" s="219" t="str">
        <f>IF(SnapshotTable[[#This Row],[SC Is Booked]],IF(SnapshotTable[[#This Row],[SC Intrinsic Value]] &gt; 0, SnapshotTable[[#This Row],[SC Strike Price]], SnapshotTable[[#This Row],[Last Price]]), "")</f>
        <v/>
      </c>
      <c r="EY193" s="4">
        <f>IF(SnapshotTable[[#This Row],[SC Is Booked]], (MinimumPremiumRequired * SnapshotTable[[#This Row],[SC Basis]] * SnapshotTable[[#This Row],[SC Term]]), 0)</f>
        <v>0</v>
      </c>
      <c r="EZ193" s="268"/>
      <c r="FA193" s="204"/>
      <c r="FB193" s="340"/>
      <c r="FC193" s="4">
        <f>IF(SnapshotTable[[#This Row],[SC Is Filled]], btc_max_buyback_amount(SnapshotTable[[#This Row],[SC Fill Date]],SnapshotTable[[#This Row],[SC Exp Date]], SnapshotTable[[#This Row],[SC Book Price]]),0)</f>
        <v>0</v>
      </c>
      <c r="FD193" s="5"/>
      <c r="FE193" s="142" t="str">
        <f>IF(SnapshotTable[[#This Row],[SC Is Filled]], btc_next_cutoff_date(SnapshotTable[[#This Row],[SC Fill Date]],SnapshotTable[[#This Row],[SC Exp Date]]),"")</f>
        <v/>
      </c>
      <c r="FF193" s="4" t="str" cm="1">
        <f t="array" ref="FF193">IF(SnapshotTable[[#This Row],[SC Is Filled]], btc_should_buy_back(SnapshotTable[[#This Row],[SC Fill Date]], SnapshotTable[[#This Row],[SC Exp Date]], SnapshotTable[[#This Row],[SC Book Price]], SnapshotTable[[#This Row],[SC Current Ask]], MockToday, SnapshotTable[[#This Row],[SC Buyback Override]]),"")</f>
        <v/>
      </c>
      <c r="FG193" s="4">
        <f>IF(SnapshotTable[[#This Row],[SC Is Filled]], MAX(0,SnapshotTable[[#This Row],[Last Price]]  - SnapshotTable[[#This Row],[SC Strike Price]]), 0)</f>
        <v>0</v>
      </c>
      <c r="FH193" s="352">
        <f>IF(SnapshotTable[[#This Row],[SC Is Filled]], IF(ISNUMBER(SnapshotTable[[#This Row],[SC Current Ask]]), SnapshotTable[[#This Row],[SC Current Ask]], SnapshotTable[[#This Row],[SC Book Price]]) - SnapshotTable[[#This Row],[SC Intrinsic Value]], 0)</f>
        <v>0</v>
      </c>
      <c r="FI193" s="141"/>
      <c r="FJ193" s="32" t="str">
        <f>IF(SnapshotTable[[#This Row],[SC Is Filled]],100 * SnapshotTable[[#This Row],[SC Qty]] * IF(ISNUMBER(SnapshotTable[[#This Row],[SC Buyback Override]]), SnapshotTable[[#This Row],[SC Buyback Override]], SnapshotTable[[#This Row],[SC Current Ask]]), "")</f>
        <v/>
      </c>
      <c r="FK193" s="235" t="str">
        <f>IF(SnapshotTable[[#This Row],[SC Time Val]]&gt;0, SnapshotTable[[#This Row],[SC Time Val]] / SnapshotTable[[#This Row],[Last Price]],"")</f>
        <v/>
      </c>
      <c r="FL193" s="280" t="str">
        <f>IF(SnapshotTable[[#This Row],[SC Is Booked]], ((SnapshotTable[[#This Row],[Last Price]] -SnapshotTable[[#This Row],[SC Strike Price]]) / SnapshotTable[[#This Row],[Last Price]]) * -1, "")</f>
        <v/>
      </c>
      <c r="FM193" s="155" t="str">
        <f>IF(SnapshotTable[[#This Row],[SC Is Booked]],  (SnapshotTable[[#This Row],[SC Qty]] * 100 * SnapshotTable[[#This Row],[SC Strike Price]]) - SnapshotTable[[#This Row],[SC Current Ask]], "")</f>
        <v/>
      </c>
      <c r="FN19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3" s="31" t="str">
        <f>IF(AND(ISNUMBER(SnapshotTable[[#This Row],[SC Exercise Gross]]), ISNUMBER(SnapshotTable[[#This Row],[Equity Basis Per Share]] )), SnapshotTable[[#This Row],[SC Exercise Gross]] - SnapshotTable[[#This Row],[Equity Basis Total]] +  SnapshotTable[[#This Row],[SC Premium]], "")</f>
        <v/>
      </c>
      <c r="FP193" s="5" t="str">
        <f>IF(ISNUMBER(SnapshotTable[[#This Row],[SC Exercise Gross]]), (SnapshotTable[[#This Row],[SC Exercise Gross]]) / (SnapshotTable[[#This Row],[SC Qty]] * 100), "")</f>
        <v/>
      </c>
      <c r="FQ193" s="27" t="str">
        <f>IF(SnapshotTable[[#This Row],[SC Is Booked]],SnapshotTable[[#This Row],[SC Time Val]] /SnapshotTable[[#This Row],[SC Basis]], "")</f>
        <v/>
      </c>
      <c r="FR193" s="27" t="str" cm="1">
        <f t="array" ref="FR193">IF(AND(ISNUMBER(SnapshotTable[[#This Row],[SC Term]]),ISNUMBER(SnapshotTable[[#This Row],[SC Simple ROO]])), EllmanAnnualize(SnapshotTable[[#This Row],[SC DTE]], SnapshotTable[[#This Row],[SC Simple ROO]] ),"")</f>
        <v/>
      </c>
      <c r="FS193" s="4">
        <f>IF(SnapshotTable[[#This Row],[SC Strike Price]] &gt; SnapshotTable[[#This Row],[Last Price]], SnapshotTable[[#This Row],[SC Strike Price]] - SnapshotTable[[#This Row],[Last Price]],0)</f>
        <v>0</v>
      </c>
      <c r="FT193" s="27" t="str">
        <f>IF(AND(ISNUMBER(SnapshotTable[[#This Row],[SC Upside Potential]]), SnapshotTable[[#This Row],[SC Upside Potential]] &gt; 0),(SnapshotTable[[#This Row],[SC Upside Potential]]/ SnapshotTable[[#This Row],[ACB]]),"")</f>
        <v/>
      </c>
      <c r="FU193" s="304" t="str">
        <f>IF(SnapshotTable[[#This Row],[SC Intrinsic Value]] &gt; 0,SnapshotTable[[#This Row],[SC Intrinsic Value]],"")</f>
        <v/>
      </c>
      <c r="FV193" s="27" t="str">
        <f>IF(AND( ISNUMBER( SnapshotTable[[#This Row],[ACB]]),ISNUMBER(SnapshotTable[[#This Row],[SC Downside Protect]])),SnapshotTable[[#This Row],[SC Downside Protect]] / SnapshotTable[[#This Row],[ACB]],"")</f>
        <v/>
      </c>
      <c r="FW193" s="221" t="str">
        <f>IF(AND(ISNUMBER(SnapshotTable[[#This Row],[SC Simple ROO]]),SnapshotTable[[#This Row],[SC Simple ROO]] &gt; 0), SnapshotTable[[#This Row],[SC Premium]] + (SnapshotTable[[#This Row],[SC Qty]] * SnapshotTable[[#This Row],[SC Upside Potential]]), "")</f>
        <v/>
      </c>
      <c r="FX193" s="280" t="str" cm="1">
        <f t="array" ref="FX193">IF(ISNUMBER(SnapshotTable[[#This Row],[SC Max Dollars]]), annualize(SnapshotTable[[#This Row],[SC Term]],(SnapshotTable[[#This Row],[SC Max Dollars]]/SnapshotTable[[#This Row],[SC Basis]])),"")</f>
        <v/>
      </c>
      <c r="FY193" s="221" t="str">
        <f>IF(AND(SnapshotTable[[#This Row],[SC Qty]]&gt;0,SnapshotTable[[#This Row],[SC Current Ask]]&gt;0), SnapshotTable[[#This Row],[SC Qty]] * SnapshotTable[[#This Row],[SC Current Ask]] * -100, "")</f>
        <v/>
      </c>
      <c r="FZ193" s="31" t="str">
        <f>IF(ISNUMBER((SnapshotTable[[#This Row],[SC Current Value]])), SnapshotTable[[#This Row],[SC Premium]] + SnapshotTable[[#This Row],[SC Current Value]], "")</f>
        <v/>
      </c>
      <c r="GA193" s="272" t="str">
        <f>IFERROR( IF(ISNUMBER((SnapshotTable[[#This Row],[SC Current Value]])), SnapshotTable[[#This Row],[SC Gain Loss]] / SnapshotTable[[#This Row],[SC Premium]], ""), "")</f>
        <v/>
      </c>
      <c r="GB193" s="42">
        <f>SnapshotTable[[#This Row],[Equity Shares]] * SaleSharesToConsiderPercentage</f>
        <v>0</v>
      </c>
      <c r="GC193" s="40">
        <f>SnapshotTable[[#This Row],[Long Term Target]] * SellingPriceToConsiderBasedOnTargetPercentage</f>
        <v>399.4085</v>
      </c>
      <c r="GD193" s="40">
        <f>SnapshotTable[[#This Row],[Last Price]] * (1+ SellingPriceToConsiderBasedOnTargetPercentage)</f>
        <v>416.16899999999998</v>
      </c>
      <c r="GE193" s="41"/>
      <c r="GF193" s="40"/>
      <c r="GG193" s="31">
        <f>SnapshotTable[[#This Row],[Booked Sale Shares]] * SnapshotTable[[#This Row],[Booked Sale Price]]</f>
        <v>0</v>
      </c>
      <c r="GH193" s="31" t="str">
        <f>IF(SnapshotTable[[#This Row],[Equity Basis Total]] &gt; 0, SnapshotTable[[#This Row],[Equity Basis Per Share]] * SnapshotTable[[#This Row],[Booked Sale Shares]], "")</f>
        <v/>
      </c>
      <c r="GI193" s="31">
        <f>IF(SnapshotTable[[#This Row],[Sale Proceeds]]&gt;0, SnapshotTable[[#This Row],[Sale Proceeds]] - SnapshotTable[[#This Row],[Sale Basis]], 0)</f>
        <v>0</v>
      </c>
      <c r="GJ193" s="27" t="str">
        <f>IF(SnapshotTable[[#This Row],[Sale G/L]]&gt;0, SnapshotTable[[#This Row],[Sale G/L]] / SnapshotTable[[#This Row],[Sale Basis]], IF(ISNUMBER(SnapshotTable[[#This Row],[SC Exercise P&amp;L (TAX)]]), SnapshotTable[[#This Row],[SC Exercise P&amp;L (TAX)]] / SnapshotTable[[#This Row],[SC Basis]], ""))</f>
        <v/>
      </c>
      <c r="GK193" s="27"/>
      <c r="GL193" s="43" t="str">
        <f>IF(AND(SnapshotTable[[#This Row],[LP Exp Date]]&gt;0,SnapshotTable[[#This Row],[LP Strike Price]]&gt;0), [1]!ToOptionSymbol(SnapshotTable[[#This Row],[Symbol]], SnapshotTable[[#This Row],[LP Strike Price]],SnapshotTable[[#This Row],[LP Exp Date]],1), "")</f>
        <v/>
      </c>
      <c r="GM193" s="30" t="str">
        <f>IF(LEN(SnapshotTable[[#This Row],[LP Symbol]])&gt;0, 1, "")</f>
        <v/>
      </c>
      <c r="GN193" s="43" t="str">
        <f>IF(AND(SnapshotTable[[#This Row],[SP Exp Date]]&gt;0,SnapshotTable[[#This Row],[SP Strike Price]]&gt;0), [1]!ToOptionSymbol(SnapshotTable[[#This Row],[Symbol]], SnapshotTable[[#This Row],[SP Strike Price]],SnapshotTable[[#This Row],[SP Exp Date]],1), "")</f>
        <v/>
      </c>
      <c r="GO193" s="30" t="str">
        <f>IF(LEN(SnapshotTable[[#This Row],[SP Symbol]])&gt;0, 1, "")</f>
        <v/>
      </c>
      <c r="GP193" s="43" t="str">
        <f>IF(AND(SnapshotTable[[#This Row],[LC Exp Date]]&gt;0,SnapshotTable[[#This Row],[LC Strike Price]]&gt;0), [1]!ToOptionSymbol(SnapshotTable[[#This Row],[Symbol]], SnapshotTable[[#This Row],[LC Strike Price]],SnapshotTable[[#This Row],[LC Exp Date]],0), "")</f>
        <v/>
      </c>
      <c r="GQ193" s="30" t="str">
        <f>IF(LEN(SnapshotTable[[#This Row],[LC Symbol]])&gt;0, 1, "")</f>
        <v/>
      </c>
      <c r="GR193" s="43" t="str">
        <f>IF(AND(SnapshotTable[[#This Row],[SC Exp Date]]&gt;0,SnapshotTable[[#This Row],[SC Strike Price]]&gt;0), [1]!ToOptionSymbol(SnapshotTable[[#This Row],[Symbol]], SnapshotTable[[#This Row],[SC Strike Price]],SnapshotTable[[#This Row],[SC Exp Date]],0), "")</f>
        <v/>
      </c>
      <c r="GS193" s="30" t="str">
        <f>IF(LEN(SnapshotTable[[#This Row],[SC Symbol]])&gt;0, 1, "")</f>
        <v/>
      </c>
      <c r="GT193" s="29" t="str">
        <f>IF(COUNT(SnapshotTable[[#This Row],[LP Symbol Count]],SnapshotTable[[#This Row],[SP Symbol Count]],SnapshotTable[[#This Row],[LC Symbol Count]],SnapshotTable[[#This Row],[SC Symbol Count]])&gt;0, "Y", "")</f>
        <v/>
      </c>
      <c r="GU19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3" s="216">
        <f>MAX(SnapshotTable[[#This Row],[Equity Basis Total]],SnapshotTable[[#This Row],[Equity Value]]) + (SnapshotTable[[#This Row],[SP Potential Spend]]- SnapshotTable[[#This Row],[SP Premium]] + SnapshotTable[[#This Row],[LP Premium]])+ (SnapshotTable[[#This Row],[LC Premium]] - SnapshotTable[[#This Row],[SC Premium]])</f>
        <v>0</v>
      </c>
      <c r="GW193" s="137" t="str">
        <f>IF(AND(SnapshotTable[[#This Row],[Exposure]] &lt;&gt; 0),SnapshotTable[[#This Row],[Exposure]] / SnapshotTable[[#Totals],[Exposure]], "")</f>
        <v/>
      </c>
      <c r="HE193" s="253"/>
      <c r="HF193" s="253"/>
      <c r="HK193" s="1"/>
      <c r="HL193" s="1"/>
      <c r="HM193" s="1"/>
      <c r="HN193" s="1"/>
      <c r="HO193" s="1"/>
      <c r="HP193" s="1"/>
    </row>
    <row r="194" spans="2:224" ht="12.75" hidden="1" customHeight="1" x14ac:dyDescent="0.25">
      <c r="B194" s="12" t="s">
        <v>815</v>
      </c>
      <c r="C194" s="385">
        <v>24.25</v>
      </c>
      <c r="D194" s="200"/>
      <c r="E194" s="39">
        <f>SnapshotTable[[#This Row],[Last Price]]*(1 -CrashDiscount)</f>
        <v>20.612500000000001</v>
      </c>
      <c r="F194" s="26" t="s">
        <v>816</v>
      </c>
      <c r="G194" s="296" t="s">
        <v>678</v>
      </c>
      <c r="H194" s="147"/>
      <c r="I194" s="186">
        <v>44791.083333333336</v>
      </c>
      <c r="J194" s="187">
        <v>44791.083333333336</v>
      </c>
      <c r="K194" s="188"/>
      <c r="L194" s="298"/>
      <c r="M194" s="138"/>
      <c r="N194" s="138"/>
      <c r="O194" s="138"/>
      <c r="P194" s="299"/>
      <c r="Q194" s="25"/>
      <c r="R194" s="4" t="str">
        <f>IF(SnapshotTable[[#This Row],[Equity Basis Total]] &gt; 0, SnapshotTable[[#This Row],[Equity Basis Total]] / SnapshotTable[[#This Row],[Equity Shares]], "")</f>
        <v/>
      </c>
      <c r="S194" s="300">
        <f>SnapshotTable[[#This Row],[Last Price]] * SnapshotTable[[#This Row],[Equity Shares]]</f>
        <v>0</v>
      </c>
      <c r="T194" s="254">
        <f>SnapshotTable[[#This Row],[Equity Value]] - SnapshotTable[[#This Row],[Equity Basis Total]]</f>
        <v>0</v>
      </c>
      <c r="U194" s="255" t="str">
        <f>IF(SnapshotTable[[#This Row],[Equity Basis Total]] &gt; 0, SnapshotTable[[#This Row],[Equity G/L]] / SnapshotTable[[#This Row],[Equity Basis Total]], "")</f>
        <v/>
      </c>
      <c r="V194" s="253"/>
      <c r="W194" s="253"/>
      <c r="X194" s="4" t="str">
        <f>IF(AND(ISNUMBER(SnapshotTable[[#This Row],[Equity Basis Per Share]]),ISNUMBER(SnapshotTable[[#This Row],[Equity Target]])),SnapshotTable[[#This Row],[Equity Target]]-SnapshotTable[[#This Row],[Equity Basis Per Share]],"")</f>
        <v/>
      </c>
      <c r="Y194" s="4" t="str">
        <f>IF(AND(ISNUMBER(SnapshotTable[[#This Row],[Equity Basis Per Share]]),ISNUMBER(SnapshotTable[[#This Row],[Equity Stop Loss]])),SnapshotTable[[#This Row],[Equity Stop Loss]]-SnapshotTable[[#This Row],[Equity Basis Per Share]],"")</f>
        <v/>
      </c>
      <c r="Z194" s="260" t="str">
        <f>IFERROR( TEXT(SnapshotTable[[#This Row],[Equity Max Gain Per Share]] /ABS( SnapshotTable[[#This Row],[Equity Max Loss Per Share]]),"0.0 " ) &amp; " : 1", "")</f>
        <v/>
      </c>
      <c r="AA194" s="31" t="str">
        <f>IF(ISNUMBER(SnapshotTable[[#This Row],[Equity Max Gain Per Share]]),SnapshotTable[[#This Row],[Equity Max Gain Per Share]] * SnapshotTable[[#This Row],[Equity Shares]],"")</f>
        <v/>
      </c>
      <c r="AB194" s="31" t="str">
        <f>IF(ISNUMBER(SnapshotTable[[#This Row],[Equity Max Loss Per Share]]),SnapshotTable[[#This Row],[Equity Max Loss Per Share]] * SnapshotTable[[#This Row],[Equity Shares]],"")</f>
        <v/>
      </c>
      <c r="AC194" s="148"/>
      <c r="AD194" s="149"/>
      <c r="AE194" s="31">
        <f>(SnapshotTable[[#This Row],[Annual Dividend Per Share]] / 4) * SnapshotTable[[#This Row],[Equity Shares]]</f>
        <v>0</v>
      </c>
      <c r="AF194" s="31">
        <f>SnapshotTable[[#This Row],[Quarterly Div $]] * 4</f>
        <v>0</v>
      </c>
      <c r="AG194" s="7">
        <f>IF(SnapshotTable[[#This Row],[Annual Dividend Per Share]]&gt;0, SnapshotTable[[#This Row],[Annual Dividend Per Share]]  / SnapshotTable[[#This Row],[Last Price]], 0)</f>
        <v>0</v>
      </c>
      <c r="AH194" s="149"/>
      <c r="AI194" s="301"/>
      <c r="AJ194" s="136">
        <v>14.68</v>
      </c>
      <c r="AK194" s="150" t="str">
        <f>IF(ISNUMBER( SnapshotTable[[#This Row],[EBF Target]]),(SnapshotTable[[#This Row],[EBF Target]] - SnapshotTable[[#This Row],[Last Price]]) / SnapshotTable[[#This Row],[Last Price]], "")</f>
        <v/>
      </c>
      <c r="AL194" s="150" t="str">
        <f>IF(AND(SnapshotTable[[#This Row],[Equity Basis Total]] &gt; 0,ISNUMBER( SnapshotTable[[#This Row],[Long Term Target]])), SnapshotTable[[#This Row],[From Basis $]] / SnapshotTable[[#This Row],[Equity Basis Total]], "")</f>
        <v/>
      </c>
      <c r="AM194" s="9">
        <f>IF( AND(SnapshotTable[[#This Row],[Equity Shares]] &gt;0,ISNUMBER( SnapshotTable[[#This Row],[Long Term Target]])),(SnapshotTable[[#This Row],[Equity Shares]] * SnapshotTable[[#This Row],[Long Term Target]]) - SnapshotTable[[#This Row],[Equity Basis Total]],0)</f>
        <v>0</v>
      </c>
      <c r="AN194" s="9">
        <f>IF( AND(SnapshotTable[[#This Row],[Equity Shares]] &gt;0,ISNUMBER( SnapshotTable[[#This Row],[Long Term Target]])),(SnapshotTable[[#This Row],[Equity Shares]]*SnapshotTable[[#This Row],[Long Term Target]]) - SnapshotTable[[#This Row],[Equity Value]],0)</f>
        <v>0</v>
      </c>
      <c r="AO194" s="150">
        <f>IF(AND(ISNUMBER( SnapshotTable[[#This Row],[Long Term Target]]), ISNUMBER(SnapshotTable[[#This Row],[Last Price]])),(SnapshotTable[[#This Row],[Long Term Target]] - SnapshotTable[[#This Row],[Last Price]]) / SnapshotTable[[#This Row],[Last Price]], "")</f>
        <v>-0.39463917525773196</v>
      </c>
      <c r="AP194" s="5"/>
      <c r="AQ194" s="38"/>
      <c r="AR194" s="5"/>
      <c r="AS194" s="38"/>
      <c r="AT194" s="144"/>
      <c r="AU194" s="185" t="str">
        <f>IF(OR(SnapshotTable[[#This Row],[LP No Fill]]="Y",SnapshotTable[[#This Row],[SP Is Filled]],SnapshotTable[[#This Row],[LC Not Filled]]="Y",SnapshotTable[[#This Row],[SC Is Filled]]),"Y","")</f>
        <v/>
      </c>
      <c r="AV194" s="309"/>
      <c r="AW194" s="310"/>
      <c r="AX194" s="206"/>
      <c r="AY194" s="205" t="str">
        <f>IF(SnapshotTable[[#This Row],[Implied Move]]&gt;0, SnapshotTable[[#This Row],[Last Price]]-SnapshotTable[[#This Row],[Implied Move]],"")</f>
        <v/>
      </c>
      <c r="AZ194" s="205" t="str">
        <f>IF(SnapshotTable[[#This Row],[Implied Move]]&gt;0, SnapshotTable[[#This Row],[Last Price]] + SnapshotTable[[#This Row],[Implied Move]],"")</f>
        <v/>
      </c>
      <c r="BA194" s="302"/>
      <c r="BB194" s="318"/>
      <c r="BC19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4" s="321"/>
      <c r="BE194" s="136"/>
      <c r="BF194" s="164"/>
      <c r="BG194" s="165"/>
      <c r="BH194" s="165"/>
      <c r="BI194" s="207"/>
      <c r="BJ194" s="151">
        <f>IF(SnapshotTable[[#This Row],[LP Qty]] &gt; 0, SnapshotTable[[#This Row],[LP Qty]] * SnapshotTable[[#This Row],[LP Book Price]] * 100,0)</f>
        <v>0</v>
      </c>
      <c r="BK194" s="134">
        <f>IF(SnapshotTable[[#This Row],[LP Premium]] &gt; 0, SnapshotTable[[#This Row],[LP Qty]] * SnapshotTable[[#This Row],[LP Strike Price]] * 100,0)</f>
        <v>0</v>
      </c>
      <c r="BL194" s="152"/>
      <c r="BM194" s="355" t="str">
        <f>IF(SnapshotTable[[#This Row],[LP Premium]] &gt; 0,SnapshotTable[[#This Row],[LP Exp Date]]-MAX(SnapshotTable[[#This Row],[LP Book Date]], SnapshotTable[[#This Row],[LP Fill Date]]),"")</f>
        <v/>
      </c>
      <c r="BN194" s="355" t="str">
        <f>IF(ISNUMBER( SnapshotTable[[#This Row],[LP Term]]), SnapshotTable[[#This Row],[LP Exp Date]] - MockToday,"")</f>
        <v/>
      </c>
      <c r="BO194" s="161" t="str">
        <f>IF(AND(SnapshotTable[[#This Row],[LP Exp Date]]&gt;0, SnapshotTable[[#This Row],[LP Strike Price]]&gt;0,SnapshotTable[[#This Row],[LP Qty]]&gt;0,SnapshotTable[[#This Row],[LP Book Date]]&gt;0,SnapshotTable[[#This Row],[LP Book Price]]&gt;0,SnapshotTable[[#This Row],[LP Fill Date]]=0),"Y","")</f>
        <v/>
      </c>
      <c r="BP194" s="31" t="str">
        <f>IF(AND(SnapshotTable[[#This Row],[LP No Fill]]&lt;&gt;"Y",SnapshotTable[[#This Row],[LP Contract Value]]&gt;0, SnapshotTable[[#This Row],[LP Qty]]&gt;0), SnapshotTable[[#This Row],[LP Contract Value]]*SnapshotTable[[#This Row],[LP Qty]]*100,"")</f>
        <v/>
      </c>
      <c r="BQ194" s="13"/>
      <c r="BR194" s="5"/>
      <c r="BS194" s="36"/>
      <c r="BT194" s="145"/>
      <c r="BU194" s="13"/>
      <c r="BV194" s="5"/>
      <c r="BW194" s="382" t="b">
        <f>AND(ISNUMBER(SnapshotTable[[#This Row],[SP Exp Date]]), ISNUMBER(SnapshotTable[[#This Row],[SP Strike Price]]), ISNUMBER(SnapshotTable[[#This Row],[SP Qty]]), ISNUMBER(SnapshotTable[[#This Row],[SP Book Date]]), ISNUMBER(SnapshotTable[[#This Row],[SP Book Price]]))</f>
        <v>0</v>
      </c>
      <c r="BX194" s="382" t="b">
        <f>AND(SnapshotTable[[#This Row],[SP Is Booked]], NOT(ISBLANK(SnapshotTable[[#This Row],[SP Fill Date]])))</f>
        <v>0</v>
      </c>
      <c r="BY194" s="33">
        <f>IF(SnapshotTable[[#This Row],[SP Is Booked]], SnapshotTable[[#This Row],[SP Qty]] * SnapshotTable[[#This Row],[SP Book Price]] * 100, 0)</f>
        <v>0</v>
      </c>
      <c r="BZ194" s="339"/>
      <c r="CA194" s="338">
        <f>SnapshotTable[[#This Row],[LP Qty]]</f>
        <v>0</v>
      </c>
      <c r="CB194" s="4" t="str">
        <f>IF(SnapshotTable[[#This Row],[SP Is Booked]], SnapshotTable[[#This Row],[SP Strike Price]] - SnapshotTable[[#This Row],[SP Book Price]], "")</f>
        <v/>
      </c>
      <c r="CC194" s="19" t="str">
        <f>IF(SnapshotTable[[#This Row],[SP Is Booked]],SnapshotTable[[#This Row],[SP Exp Date]]-MAX(SnapshotTable[[#This Row],[SP Book Date]], SnapshotTable[[#This Row],[SP Fill Date]]),"")</f>
        <v/>
      </c>
      <c r="CD194" s="7" t="str">
        <f>IF(SnapshotTable[[#This Row],[SP Is Booked]], SnapshotTable[[#This Row],[SP Book Price]]/SnapshotTable[[#This Row],[SP Strike Price]], "")</f>
        <v/>
      </c>
      <c r="CE194" s="7" t="str">
        <f>IF(ISNUMBER(SnapshotTable[[#This Row],[SP ROO Term]]),SnapshotTable[[#This Row],[SP ROO Term]]*(365/SnapshotTable[[#This Row],[SP Term]]),"")</f>
        <v/>
      </c>
      <c r="CF194" s="221">
        <f>SnapshotTable[[#This Row],[LP Strike Price]] * SnapshotTable[[#This Row],[LP Qty]] * 100</f>
        <v>0</v>
      </c>
      <c r="CG194" s="31">
        <f>IF(ISNUMBER(SnapshotTable[[#This Row],[SP Premium]]), (SnapshotTable[[#This Row],[SP Qty]] * SnapshotTable[[#This Row],[SP Strike Price]]* 100) - SnapshotTable[[#This Row],[LP Protection]], 0)</f>
        <v>0</v>
      </c>
      <c r="CH194" s="7" t="str">
        <f>IF(ISNUMBER(SnapshotTable[[#This Row],[SP Break Even]]),-1 * (SnapshotTable[[#This Row],[SP Break Even]] - SnapshotTable[[#This Row],[Last Price]]) / SnapshotTable[[#This Row],[Last Price]], "")</f>
        <v/>
      </c>
      <c r="CI194" s="31">
        <f>IF(AND(ISNUMBER((SnapshotTable[[#This Row],[SP Potential Spend]])), SnapshotTable[[#This Row],[SP Strike Price]] &gt; SnapshotTable[[#This Row],[Last Price]], SnapshotTable[[#This Row],[SP Is Filled]]), SnapshotTable[[#This Row],[SP Potential Spend]] -  SnapshotTable[[#This Row],[LP Max Value]], 0)</f>
        <v>0</v>
      </c>
      <c r="CJ194" s="229"/>
      <c r="CK194" s="31">
        <f>IF(ISNUMBER(SnapshotTable[[#This Row],[SP Potential Spend]]),IF(ISNUMBER(SnapshotTable[[#This Row],[SP POW]]), SnapshotTable[[#This Row],[SP POW]] * SnapshotTable[[#This Row],[SP Potential Spend]], SnapshotTable[[#This Row],[SP Potential Spend]]), "")</f>
        <v>0</v>
      </c>
      <c r="CL194" s="162">
        <f>IF(NOT(SnapshotTable[[#This Row],[SP Is Filled]]),(SnapshotTable[[#This Row],[SP Qty]] * SnapshotTable[[#This Row],[SP Strike Price]] * 100) - SnapshotTable[[#This Row],[LP Max Value]],"")</f>
        <v>0</v>
      </c>
      <c r="CM194" s="31" t="str">
        <f>IF(SnapshotTable[[#This Row],[SP Actual Spend]]&lt;&gt;0, ((SnapshotTable[[#This Row],[SP Strike Price]]-SnapshotTable[[#This Row],[Last Price]]) *(SnapshotTable[[#This Row],[SP Qty]]*100) - SnapshotTable[[#This Row],[SP Premium]]) * - 1, "")</f>
        <v/>
      </c>
      <c r="CN194" s="152"/>
      <c r="CO194" s="339"/>
      <c r="CP194" s="291" t="str">
        <f>IF(SnapshotTable[[#This Row],[SP Is Filled]], btc_max_buyback_amount(SnapshotTable[[#This Row],[SP Fill Date]],SnapshotTable[[#This Row],[SP Exp Date]], SnapshotTable[[#This Row],[SP Book Price]]),"")</f>
        <v/>
      </c>
      <c r="CQ194" s="76"/>
      <c r="CR194"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4" s="153" t="str">
        <f>IF(SnapshotTable[[#This Row],[SP Is Filled]], btc_next_cutoff_date(SnapshotTable[[#This Row],[SP Fill Date]],SnapshotTable[[#This Row],[SP Exp Date]]),"")</f>
        <v/>
      </c>
      <c r="CT194" s="220" t="str" cm="1">
        <f t="array" ref="CT194">IF(SnapshotTable[[#This Row],[SP Is Filled]], btc_should_buy_back(SnapshotTable[[#This Row],[SP Fill Date]], SnapshotTable[[#This Row],[SP Exp Date]], SnapshotTable[[#This Row],[SP Book Price]], SnapshotTable[[#This Row],[SP Current Ask]], MockToday, SnapshotTable[[#This Row],[SP Buyback Override]]),"")</f>
        <v/>
      </c>
      <c r="CU194" s="154"/>
      <c r="CV194" s="220"/>
      <c r="CW194" s="348" t="str">
        <f>IF(ISNUMBER( SnapshotTable[[#This Row],[SP Term]]), SnapshotTable[[#This Row],[SP Exp Date]] - MockToday,"")</f>
        <v/>
      </c>
      <c r="CX194" s="31" t="str">
        <f>IF(SnapshotTable[[#This Row],[SP Is Filled]],SnapshotTable[[#This Row],[SP Buyback Price to Use]] * 100 * SnapshotTable[[#This Row],[SP Qty]], "")</f>
        <v/>
      </c>
      <c r="CY194" s="4" t="str">
        <f>IF(ISNUMBER(SnapshotTable[[#This Row],[SP Strike Price]]), SnapshotTable[[#This Row],[SP Strike Price]] * (1 - SP_MaxLoss_StrikePct), "")</f>
        <v/>
      </c>
      <c r="CZ194" s="31" t="str">
        <f>IF(ISNUMBER(SnapshotTable[[#This Row],[SP Strike  Stop Per Share]]),SnapshotTable[[#This Row],[SP Premium]] - ((SnapshotTable[[#This Row],[SP Strike Price]]-SnapshotTable[[#This Row],[SP Strike  Stop Per Share]]) *(SnapshotTable[[#This Row],[SP Qty]] * 100)),"")</f>
        <v/>
      </c>
      <c r="DA194" s="4" t="str">
        <f>IF(AND(ISNUMBER(SnapshotTable[[#This Row],[SP Premium]]),SnapshotTable[[#This Row],[SP Premium]]&gt;0), SnapshotTable[[#This Row],[SP Book Price]] * (1 + SP_MaxLoss_OptionPct), "")</f>
        <v/>
      </c>
      <c r="DB194" s="31" t="str">
        <f>IF(ISNUMBER(SnapshotTable[[#This Row],[SP Option  Stop Contract]]),(SnapshotTable[[#This Row],[SP Option  Stop Contract]] *(SnapshotTable[[#This Row],[SP Qty]] * 100) - SnapshotTable[[#This Row],[SP Premium]]),"")</f>
        <v/>
      </c>
      <c r="DC194" s="4"/>
      <c r="DD194" s="4"/>
      <c r="DE194" s="4" t="str">
        <f>IF(AND(SnapshotTable[[#This Row],[SP Qty]]&gt;0, SnapshotTable[[#This Row],[SP Stop To Use]]&gt;0),SnapshotTable[[#This Row],[SP Premium]] - ( SnapshotTable[[#This Row],[SP Qty]] * SnapshotTable[[#This Row],[SP Stop To Use]] * 100), "")</f>
        <v/>
      </c>
      <c r="DF194" s="31" t="str">
        <f>IF(AND(SnapshotTable[[#This Row],[SP Qty]]&gt;0,SnapshotTable[[#This Row],[SP Current Ask]]&gt;0), SnapshotTable[[#This Row],[SP Qty]] * SnapshotTable[[#This Row],[SP Current Ask]] * -100, "")</f>
        <v/>
      </c>
      <c r="DG194" s="31" t="str">
        <f>IF(ISNUMBER((SnapshotTable[[#This Row],[SP Total Value]])), SnapshotTable[[#This Row],[SP Premium]] + SnapshotTable[[#This Row],[SP Total Value]], "")</f>
        <v/>
      </c>
      <c r="DH194" s="272" t="str">
        <f>IF(ISNUMBER((SnapshotTable[[#This Row],[SP Total Value]])), SnapshotTable[[#This Row],[SP Gain Loss]] / SnapshotTable[[#This Row],[SP Premium]], "")</f>
        <v/>
      </c>
      <c r="DI194" s="369"/>
      <c r="DJ194" s="136"/>
      <c r="DK194" s="146"/>
      <c r="DL194" s="145"/>
      <c r="DM194" s="145"/>
      <c r="DO194" s="31">
        <f>IF(SnapshotTable[[#This Row],[LC Symbol Count]]=1, SnapshotTable[[#This Row],[LC Qty]] * SnapshotTable[[#This Row],[LC Book Price]] * 100, 0)</f>
        <v>0</v>
      </c>
      <c r="DP194" s="270" t="str">
        <f>IF(AND(SnapshotTable[[#This Row],[LC Exp Date]]&gt;0, SnapshotTable[[#This Row],[LC Strike Price]]&gt;0,SnapshotTable[[#This Row],[LC Qty]]&gt;0,SnapshotTable[[#This Row],[LC Book Date]]&gt;0,SnapshotTable[[#This Row],[LC Book Price]]&gt;0,SnapshotTable[[#This Row],[LC Fill Date]]=0),"Y","")</f>
        <v/>
      </c>
      <c r="DQ194" s="356" t="str">
        <f>IF(SnapshotTable[[#This Row],[LC Premium]] &gt; 0,SnapshotTable[[#This Row],[LC Exp Date]]-MAX(SnapshotTable[[#This Row],[LC Book Date]], SnapshotTable[[#This Row],[LC Fill Date]]),"")</f>
        <v/>
      </c>
      <c r="DR194" s="356" t="str">
        <f>IF(ISNUMBER(SnapshotTable[[#This Row],[LC Term]]), SnapshotTable[[#This Row],[LC Exp Date]] - MockToday, "")</f>
        <v/>
      </c>
      <c r="DS194" s="219" t="str">
        <f>IF(SnapshotTable[[#This Row],[LC Premium]]&gt;0,SnapshotTable[[#This Row],[LC Strike Price]] + SnapshotTable[[#This Row],[LC Book Price]],"")</f>
        <v/>
      </c>
      <c r="DU194" s="9" t="str">
        <f>IF(AND(SnapshotTable[[#This Row],[LC Symbol Count]]&gt;0, SnapshotTable[[#This Row],[LC Contract Value]]&gt;0), SnapshotTable[[#This Row],[LC Contract Value]] * SnapshotTable[[#This Row],[LC Qty]] * 100, "")</f>
        <v/>
      </c>
      <c r="DV194" s="9" t="str">
        <f>IF(AND(ISNUMBER(SnapshotTable[[#This Row],[LC Total Value]]), SnapshotTable[[#This Row],[LC Not Filled]]&lt;&gt;"Y"), SnapshotTable[[#This Row],[LC Total Value]]-SnapshotTable[[#This Row],[LC Premium]],"")</f>
        <v/>
      </c>
      <c r="DW194" s="225" t="str">
        <f>IF(ISNUMBER(SnapshotTable[[#This Row],[LC Actual Gain Loss]]), SnapshotTable[[#This Row],[LC Actual Gain Loss]] / SnapshotTable[[#This Row],[LC Premium]],"")</f>
        <v/>
      </c>
      <c r="DX194" s="269" t="str">
        <f>IF(ISNUMBER(SnapshotTable[[#This Row],[LC Book Price]]),SnapshotTable[[#This Row],[LC Book Price]] * 1.5,"")</f>
        <v/>
      </c>
      <c r="DY194" s="250" t="str">
        <f>IF(SnapshotTable[[#This Row],[LC Premium]]&gt;0, SnapshotTable[[#This Row],[LC Next Target]] * SnapshotTable[[#This Row],[LC Qty]] * 100,"")</f>
        <v/>
      </c>
      <c r="DZ194" s="250" t="str">
        <f>IF(ISNUMBER(SnapshotTable[[#This Row],[LC Target Gross]]), SnapshotTable[[#This Row],[LC Target Gross]] - SnapshotTable[[#This Row],[LC Premium]], "")</f>
        <v/>
      </c>
      <c r="EA194" s="283" t="str">
        <f>IF(ISNUMBER(SnapshotTable[[#This Row],[LC Target Gain Loss]]), SnapshotTable[[#This Row],[LC Target Gain Loss]]/SnapshotTable[[#This Row],[LC Premium]], "")</f>
        <v/>
      </c>
      <c r="EB194" s="247"/>
      <c r="EC194" s="271" t="str">
        <f>IF(SnapshotTable[[#This Row],[LC Premium]]&gt;0, SnapshotTable[[#This Row],[LC Book Price]] * (1 - LC_StopLoss_Pct),"")</f>
        <v/>
      </c>
      <c r="ED194" s="269"/>
      <c r="EE194" s="271" t="str">
        <f>IF(ISNUMBER(SnapshotTable[[#This Row],[LC Contract Value]]),IF(ISNUMBER(SnapshotTable[[#This Row],[LC Stop Loss Override]]), SnapshotTable[[#This Row],[LC Stop Loss Override]],SnapshotTable[[#This Row],[LC Stop Loss Calc Target]]),"")</f>
        <v/>
      </c>
      <c r="EF194" s="292" t="str">
        <f>IF(ISNUMBER(SnapshotTable[[#This Row],[LC Stop  To Use]]), (SnapshotTable[[#This Row],[LC Stop  To Use]] * SnapshotTable[[#This Row],[LC Qty]] * 100),"")</f>
        <v/>
      </c>
      <c r="EG194" s="9" t="str">
        <f>IF(ISNUMBER(SnapshotTable[[#This Row],[LC Total Value]]),SnapshotTable[[#This Row],[LC Stop Loss Amount]] - SnapshotTable[[#This Row],[LC Premium]],"")</f>
        <v/>
      </c>
      <c r="EH194" s="9">
        <f>IF(ISNUMBER(SnapshotTable[[#This Row],[LC Premium]]), SnapshotTable[[#This Row],[LC Qty]] * 100 * SnapshotTable[[#This Row],[LC Strike Price]], "")</f>
        <v>0</v>
      </c>
      <c r="EI194" s="225" t="str">
        <f>IF(AND(ISNUMBER(SnapshotTable[[#This Row],[LC Total Value]]),SnapshotTable[[#This Row],[LC Total Value]]&gt;0),SnapshotTable[[#This Row],[LC Stop Gain Loss]]  / SnapshotTable[[#This Row],[LC Premium]],"")</f>
        <v/>
      </c>
      <c r="EJ194" s="35">
        <f>IF(ISNUMBER(SnapshotTable[[#This Row],[Equity Shares]]),TRUNC(SnapshotTable[[#This Row],[Equity Shares]] / 100),0) + SnapshotTable[[#This Row],[LC Qty]]</f>
        <v>0</v>
      </c>
      <c r="EK194" s="145"/>
      <c r="EL194" s="136"/>
      <c r="EM194" s="146"/>
      <c r="EN194" s="145"/>
      <c r="EO194" s="145"/>
      <c r="EP194" s="136"/>
      <c r="EQ194" s="382" t="b">
        <f>AND(ISNUMBER(SnapshotTable[[#This Row],[SC Exp Date]]), ISNUMBER(SnapshotTable[[#This Row],[SC Strike Price]]), ISNUMBER(SnapshotTable[[#This Row],[SC Qty]]), ISNUMBER(SnapshotTable[[#This Row],[SC Book Date]]), ISNUMBER(SnapshotTable[[#This Row],[SC Book Price]]))</f>
        <v>0</v>
      </c>
      <c r="ER194" s="382" t="b">
        <f>AND(SnapshotTable[[#This Row],[SC Is Booked]], NOT(ISBLANK(SnapshotTable[[#This Row],[SC Fill Date]])))</f>
        <v>0</v>
      </c>
      <c r="ES194" s="340"/>
      <c r="ET194" s="34" t="str">
        <f>IF(AND(ISNUMBER(SnapshotTable[[#This Row],[SC Exp Date]]), ISNUMBER(SnapshotTable[[#This Row],[SC Book Date]])), SnapshotTable[[#This Row],[SC Exp Date]] - MAX(SnapshotTable[[#This Row],[SC Book Date]], SnapshotTable[[#This Row],[SC Fill Date]]) + 1, "")</f>
        <v/>
      </c>
      <c r="EU194" s="34" t="str">
        <f>IF(ISNUMBER(SnapshotTable[[#This Row],[SC Term]]), SnapshotTable[[#This Row],[SC Exp Date]]- MockToday, "")</f>
        <v/>
      </c>
      <c r="EV194" s="31">
        <f>IF(SnapshotTable[[#This Row],[SC Is Booked]], SnapshotTable[[#This Row],[SC Qty]] * SnapshotTable[[#This Row],[SC Book Price]] * 100, 0)</f>
        <v>0</v>
      </c>
      <c r="EW194" s="4" t="str">
        <f>IF(AND(ISNUMBER(SnapshotTable[[#This Row],[Last Price]]), ISNUMBER( SnapshotTable[[#This Row],[SC Book Price]])), SnapshotTable[[#This Row],[Last Price]] - SnapshotTable[[#This Row],[SC Book Price]],"")</f>
        <v/>
      </c>
      <c r="EX194" s="219" t="str">
        <f>IF(SnapshotTable[[#This Row],[SC Is Booked]],IF(SnapshotTable[[#This Row],[SC Intrinsic Value]] &gt; 0, SnapshotTable[[#This Row],[SC Strike Price]], SnapshotTable[[#This Row],[Last Price]]), "")</f>
        <v/>
      </c>
      <c r="EY194" s="4">
        <f>IF(SnapshotTable[[#This Row],[SC Is Booked]], (MinimumPremiumRequired * SnapshotTable[[#This Row],[SC Basis]] * SnapshotTable[[#This Row],[SC Term]]), 0)</f>
        <v>0</v>
      </c>
      <c r="EZ194" s="268"/>
      <c r="FA194" s="204"/>
      <c r="FB194" s="340"/>
      <c r="FC194" s="4">
        <f>IF(SnapshotTable[[#This Row],[SC Is Filled]], btc_max_buyback_amount(SnapshotTable[[#This Row],[SC Fill Date]],SnapshotTable[[#This Row],[SC Exp Date]], SnapshotTable[[#This Row],[SC Book Price]]),0)</f>
        <v>0</v>
      </c>
      <c r="FD194" s="5"/>
      <c r="FE194" s="142" t="str">
        <f>IF(SnapshotTable[[#This Row],[SC Is Filled]], btc_next_cutoff_date(SnapshotTable[[#This Row],[SC Fill Date]],SnapshotTable[[#This Row],[SC Exp Date]]),"")</f>
        <v/>
      </c>
      <c r="FF194" s="4" t="str" cm="1">
        <f t="array" ref="FF194">IF(SnapshotTable[[#This Row],[SC Is Filled]], btc_should_buy_back(SnapshotTable[[#This Row],[SC Fill Date]], SnapshotTable[[#This Row],[SC Exp Date]], SnapshotTable[[#This Row],[SC Book Price]], SnapshotTable[[#This Row],[SC Current Ask]], MockToday, SnapshotTable[[#This Row],[SC Buyback Override]]),"")</f>
        <v/>
      </c>
      <c r="FG194" s="4">
        <f>IF(SnapshotTable[[#This Row],[SC Is Filled]], MAX(0,SnapshotTable[[#This Row],[Last Price]]  - SnapshotTable[[#This Row],[SC Strike Price]]), 0)</f>
        <v>0</v>
      </c>
      <c r="FH194" s="352">
        <f>IF(SnapshotTable[[#This Row],[SC Is Filled]], IF(ISNUMBER(SnapshotTable[[#This Row],[SC Current Ask]]), SnapshotTable[[#This Row],[SC Current Ask]], SnapshotTable[[#This Row],[SC Book Price]]) - SnapshotTable[[#This Row],[SC Intrinsic Value]], 0)</f>
        <v>0</v>
      </c>
      <c r="FI194" s="141"/>
      <c r="FJ194" s="32" t="str">
        <f>IF(SnapshotTable[[#This Row],[SC Is Filled]],100 * SnapshotTable[[#This Row],[SC Qty]] * IF(ISNUMBER(SnapshotTable[[#This Row],[SC Buyback Override]]), SnapshotTable[[#This Row],[SC Buyback Override]], SnapshotTable[[#This Row],[SC Current Ask]]), "")</f>
        <v/>
      </c>
      <c r="FK194" s="235" t="str">
        <f>IF(SnapshotTable[[#This Row],[SC Time Val]]&gt;0, SnapshotTable[[#This Row],[SC Time Val]] / SnapshotTable[[#This Row],[Last Price]],"")</f>
        <v/>
      </c>
      <c r="FL194" s="280" t="str">
        <f>IF(SnapshotTable[[#This Row],[SC Is Booked]], ((SnapshotTable[[#This Row],[Last Price]] -SnapshotTable[[#This Row],[SC Strike Price]]) / SnapshotTable[[#This Row],[Last Price]]) * -1, "")</f>
        <v/>
      </c>
      <c r="FM194" s="155" t="str">
        <f>IF(SnapshotTable[[#This Row],[SC Is Booked]],  (SnapshotTable[[#This Row],[SC Qty]] * 100 * SnapshotTable[[#This Row],[SC Strike Price]]) - SnapshotTable[[#This Row],[SC Current Ask]], "")</f>
        <v/>
      </c>
      <c r="FN194"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4" s="155" t="str">
        <f>IF(AND(ISNUMBER(SnapshotTable[[#This Row],[SC Exercise Gross]]), ISNUMBER(SnapshotTable[[#This Row],[Equity Basis Per Share]] )), SnapshotTable[[#This Row],[SC Exercise Gross]] - SnapshotTable[[#This Row],[Equity Basis Total]] +  SnapshotTable[[#This Row],[SC Premium]], "")</f>
        <v/>
      </c>
      <c r="FP194" s="5" t="str">
        <f>IF(ISNUMBER(SnapshotTable[[#This Row],[SC Exercise Gross]]), (SnapshotTable[[#This Row],[SC Exercise Gross]]) / (SnapshotTable[[#This Row],[SC Qty]] * 100), "")</f>
        <v/>
      </c>
      <c r="FQ194" s="27" t="str">
        <f>IF(SnapshotTable[[#This Row],[SC Is Booked]],SnapshotTable[[#This Row],[SC Time Val]] /SnapshotTable[[#This Row],[SC Basis]], "")</f>
        <v/>
      </c>
      <c r="FR194" s="27" t="str" cm="1">
        <f t="array" ref="FR194">IF(AND(ISNUMBER(SnapshotTable[[#This Row],[SC Term]]),ISNUMBER(SnapshotTable[[#This Row],[SC Simple ROO]])), EllmanAnnualize(SnapshotTable[[#This Row],[SC DTE]], SnapshotTable[[#This Row],[SC Simple ROO]] ),"")</f>
        <v/>
      </c>
      <c r="FS194" s="4">
        <f>IF(SnapshotTable[[#This Row],[SC Strike Price]] &gt; SnapshotTable[[#This Row],[Last Price]], SnapshotTable[[#This Row],[SC Strike Price]] - SnapshotTable[[#This Row],[Last Price]],0)</f>
        <v>0</v>
      </c>
      <c r="FT194" s="27" t="str">
        <f>IF(AND(ISNUMBER(SnapshotTable[[#This Row],[SC Upside Potential]]), SnapshotTable[[#This Row],[SC Upside Potential]] &gt; 0),(SnapshotTable[[#This Row],[SC Upside Potential]]/ SnapshotTable[[#This Row],[ACB]]),"")</f>
        <v/>
      </c>
      <c r="FU194" s="304" t="str">
        <f>IF(SnapshotTable[[#This Row],[SC Intrinsic Value]] &gt; 0,SnapshotTable[[#This Row],[SC Intrinsic Value]],"")</f>
        <v/>
      </c>
      <c r="FV194" s="27" t="str">
        <f>IF(AND( ISNUMBER( SnapshotTable[[#This Row],[ACB]]),ISNUMBER(SnapshotTable[[#This Row],[SC Downside Protect]])),SnapshotTable[[#This Row],[SC Downside Protect]] / SnapshotTable[[#This Row],[ACB]],"")</f>
        <v/>
      </c>
      <c r="FW194" s="221" t="str">
        <f>IF(AND(ISNUMBER(SnapshotTable[[#This Row],[SC Simple ROO]]),SnapshotTable[[#This Row],[SC Simple ROO]] &gt; 0), SnapshotTable[[#This Row],[SC Premium]] + (SnapshotTable[[#This Row],[SC Qty]] * SnapshotTable[[#This Row],[SC Upside Potential]]), "")</f>
        <v/>
      </c>
      <c r="FX194" s="280" t="str" cm="1">
        <f t="array" ref="FX194">IF(ISNUMBER(SnapshotTable[[#This Row],[SC Max Dollars]]), annualize(SnapshotTable[[#This Row],[SC Term]],(SnapshotTable[[#This Row],[SC Max Dollars]]/SnapshotTable[[#This Row],[SC Basis]])),"")</f>
        <v/>
      </c>
      <c r="FY194" s="221" t="str">
        <f>IF(AND(SnapshotTable[[#This Row],[SC Qty]]&gt;0,SnapshotTable[[#This Row],[SC Current Ask]]&gt;0), SnapshotTable[[#This Row],[SC Qty]] * SnapshotTable[[#This Row],[SC Current Ask]] * -100, "")</f>
        <v/>
      </c>
      <c r="FZ194" s="220" t="str">
        <f>IF(ISNUMBER((SnapshotTable[[#This Row],[SC Current Value]])), SnapshotTable[[#This Row],[SC Premium]] + SnapshotTable[[#This Row],[SC Current Value]], "")</f>
        <v/>
      </c>
      <c r="GA194" s="272" t="str">
        <f>IFERROR( IF(ISNUMBER((SnapshotTable[[#This Row],[SC Current Value]])), SnapshotTable[[#This Row],[SC Gain Loss]] / SnapshotTable[[#This Row],[SC Premium]], ""), "")</f>
        <v/>
      </c>
      <c r="GB194" s="42">
        <f>SnapshotTable[[#This Row],[Equity Shares]] * SaleSharesToConsiderPercentage</f>
        <v>0</v>
      </c>
      <c r="GC194" s="40">
        <f>SnapshotTable[[#This Row],[Long Term Target]] * SellingPriceToConsiderBasedOnTargetPercentage</f>
        <v>13.946</v>
      </c>
      <c r="GD194" s="40">
        <f>SnapshotTable[[#This Row],[Last Price]] * (1+ SellingPriceToConsiderBasedOnTargetPercentage)</f>
        <v>47.287500000000001</v>
      </c>
      <c r="GE194" s="41"/>
      <c r="GF194" s="40"/>
      <c r="GG194" s="31">
        <f>SnapshotTable[[#This Row],[Booked Sale Shares]] * SnapshotTable[[#This Row],[Booked Sale Price]]</f>
        <v>0</v>
      </c>
      <c r="GH194" s="31" t="str">
        <f>IF(SnapshotTable[[#This Row],[Equity Basis Total]] &gt; 0, SnapshotTable[[#This Row],[Equity Basis Per Share]] * SnapshotTable[[#This Row],[Booked Sale Shares]], "")</f>
        <v/>
      </c>
      <c r="GI194" s="31">
        <f>IF(SnapshotTable[[#This Row],[Sale Proceeds]]&gt;0, SnapshotTable[[#This Row],[Sale Proceeds]] - SnapshotTable[[#This Row],[Sale Basis]], 0)</f>
        <v>0</v>
      </c>
      <c r="GJ194" s="156" t="str">
        <f>IF(SnapshotTable[[#This Row],[Sale G/L]]&gt;0, SnapshotTable[[#This Row],[Sale G/L]] / SnapshotTable[[#This Row],[Sale Basis]], IF(ISNUMBER(SnapshotTable[[#This Row],[SC Exercise P&amp;L (TAX)]]), SnapshotTable[[#This Row],[SC Exercise P&amp;L (TAX)]] / SnapshotTable[[#This Row],[SC Basis]], ""))</f>
        <v/>
      </c>
      <c r="GK194" s="27"/>
      <c r="GL194" s="157" t="str">
        <f>IF(AND(SnapshotTable[[#This Row],[LP Exp Date]]&gt;0,SnapshotTable[[#This Row],[LP Strike Price]]&gt;0), [1]!ToOptionSymbol(SnapshotTable[[#This Row],[Symbol]], SnapshotTable[[#This Row],[LP Strike Price]],SnapshotTable[[#This Row],[LP Exp Date]],1), "")</f>
        <v/>
      </c>
      <c r="GM194" s="30" t="str">
        <f>IF(LEN(SnapshotTable[[#This Row],[LP Symbol]])&gt;0, 1, "")</f>
        <v/>
      </c>
      <c r="GN194" s="43" t="str">
        <f>IF(AND(SnapshotTable[[#This Row],[SP Exp Date]]&gt;0,SnapshotTable[[#This Row],[SP Strike Price]]&gt;0), [1]!ToOptionSymbol(SnapshotTable[[#This Row],[Symbol]], SnapshotTable[[#This Row],[SP Strike Price]],SnapshotTable[[#This Row],[SP Exp Date]],1), "")</f>
        <v/>
      </c>
      <c r="GO194" s="30" t="str">
        <f>IF(LEN(SnapshotTable[[#This Row],[SP Symbol]])&gt;0, 1, "")</f>
        <v/>
      </c>
      <c r="GP194" s="157" t="str">
        <f>IF(AND(SnapshotTable[[#This Row],[LC Exp Date]]&gt;0,SnapshotTable[[#This Row],[LC Strike Price]]&gt;0), [1]!ToOptionSymbol(SnapshotTable[[#This Row],[Symbol]], SnapshotTable[[#This Row],[LC Strike Price]],SnapshotTable[[#This Row],[LC Exp Date]],0), "")</f>
        <v/>
      </c>
      <c r="GQ194" s="158" t="str">
        <f>IF(LEN(SnapshotTable[[#This Row],[LC Symbol]])&gt;0, 1, "")</f>
        <v/>
      </c>
      <c r="GR194" s="157" t="str">
        <f>IF(AND(SnapshotTable[[#This Row],[SC Exp Date]]&gt;0,SnapshotTable[[#This Row],[SC Strike Price]]&gt;0), [1]!ToOptionSymbol(SnapshotTable[[#This Row],[Symbol]], SnapshotTable[[#This Row],[SC Strike Price]],SnapshotTable[[#This Row],[SC Exp Date]],0), "")</f>
        <v/>
      </c>
      <c r="GS194" s="158" t="str">
        <f>IF(LEN(SnapshotTable[[#This Row],[SC Symbol]])&gt;0, 1, "")</f>
        <v/>
      </c>
      <c r="GT194" s="159" t="str">
        <f>IF(COUNT(SnapshotTable[[#This Row],[LP Symbol Count]],SnapshotTable[[#This Row],[SP Symbol Count]],SnapshotTable[[#This Row],[LC Symbol Count]],SnapshotTable[[#This Row],[SC Symbol Count]])&gt;0, "Y", "")</f>
        <v/>
      </c>
      <c r="GU19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4" s="216">
        <f>MAX(SnapshotTable[[#This Row],[Equity Basis Total]],SnapshotTable[[#This Row],[Equity Value]]) + (SnapshotTable[[#This Row],[SP Potential Spend]]- SnapshotTable[[#This Row],[SP Premium]] + SnapshotTable[[#This Row],[LP Premium]])+ (SnapshotTable[[#This Row],[LC Premium]] - SnapshotTable[[#This Row],[SC Premium]])</f>
        <v>0</v>
      </c>
      <c r="GW194" s="137" t="str">
        <f>IF(AND(SnapshotTable[[#This Row],[Exposure]] &lt;&gt; 0),SnapshotTable[[#This Row],[Exposure]] / SnapshotTable[[#Totals],[Exposure]], "")</f>
        <v/>
      </c>
      <c r="HE194" s="253"/>
      <c r="HF194" s="253"/>
      <c r="HK194" s="1"/>
      <c r="HL194" s="1"/>
      <c r="HM194" s="1"/>
      <c r="HN194" s="1"/>
      <c r="HO194" s="1"/>
      <c r="HP194" s="1"/>
    </row>
    <row r="195" spans="2:224" ht="12.75" hidden="1" customHeight="1" x14ac:dyDescent="0.25">
      <c r="B195" s="12" t="s">
        <v>781</v>
      </c>
      <c r="C195" s="385">
        <v>3.71</v>
      </c>
      <c r="D195" s="200" t="s">
        <v>467</v>
      </c>
      <c r="E195" s="39">
        <f>SnapshotTable[[#This Row],[Last Price]]*(1 -CrashDiscount)</f>
        <v>3.1534999999999997</v>
      </c>
      <c r="F195" s="26" t="s">
        <v>783</v>
      </c>
      <c r="G195" s="26" t="s">
        <v>490</v>
      </c>
      <c r="H195" s="147"/>
      <c r="I195" s="186">
        <v>44777.291666666664</v>
      </c>
      <c r="J195" s="187">
        <v>44777.291666666664</v>
      </c>
      <c r="K195" s="188"/>
      <c r="L195" s="297"/>
      <c r="M195" s="138"/>
      <c r="N195" s="138"/>
      <c r="O195" s="138"/>
      <c r="P195" s="22"/>
      <c r="Q195" s="25"/>
      <c r="R195" s="4" t="str">
        <f>IF(SnapshotTable[[#This Row],[Equity Basis Total]] &gt; 0, SnapshotTable[[#This Row],[Equity Basis Total]] / SnapshotTable[[#This Row],[Equity Shares]], "")</f>
        <v/>
      </c>
      <c r="S195" s="254">
        <f>SnapshotTable[[#This Row],[Last Price]] * SnapshotTable[[#This Row],[Equity Shares]]</f>
        <v>0</v>
      </c>
      <c r="T195" s="254">
        <f>SnapshotTable[[#This Row],[Equity Value]] - SnapshotTable[[#This Row],[Equity Basis Total]]</f>
        <v>0</v>
      </c>
      <c r="U195" s="255" t="str">
        <f>IF(SnapshotTable[[#This Row],[Equity Basis Total]] &gt; 0, SnapshotTable[[#This Row],[Equity G/L]] / SnapshotTable[[#This Row],[Equity Basis Total]], "")</f>
        <v/>
      </c>
      <c r="V195" s="253"/>
      <c r="W195" s="253"/>
      <c r="X195" s="4" t="str">
        <f>IF(AND(ISNUMBER(SnapshotTable[[#This Row],[Equity Basis Per Share]]),ISNUMBER(SnapshotTable[[#This Row],[Equity Target]])),SnapshotTable[[#This Row],[Equity Target]]-SnapshotTable[[#This Row],[Equity Basis Per Share]],"")</f>
        <v/>
      </c>
      <c r="Y195" s="4" t="str">
        <f>IF(AND(ISNUMBER(SnapshotTable[[#This Row],[Equity Basis Per Share]]),ISNUMBER(SnapshotTable[[#This Row],[Equity Stop Loss]])),SnapshotTable[[#This Row],[Equity Stop Loss]]-SnapshotTable[[#This Row],[Equity Basis Per Share]],"")</f>
        <v/>
      </c>
      <c r="Z195" s="260" t="str">
        <f>IFERROR( TEXT(SnapshotTable[[#This Row],[Equity Max Gain Per Share]] /ABS( SnapshotTable[[#This Row],[Equity Max Loss Per Share]]),"0.0 " ) &amp; " : 1", "")</f>
        <v/>
      </c>
      <c r="AA195" s="31" t="str">
        <f>IF(ISNUMBER(SnapshotTable[[#This Row],[Equity Max Gain Per Share]]),SnapshotTable[[#This Row],[Equity Max Gain Per Share]] * SnapshotTable[[#This Row],[Equity Shares]],"")</f>
        <v/>
      </c>
      <c r="AB195" s="31" t="str">
        <f>IF(ISNUMBER(SnapshotTable[[#This Row],[Equity Max Loss Per Share]]),SnapshotTable[[#This Row],[Equity Max Loss Per Share]] * SnapshotTable[[#This Row],[Equity Shares]],"")</f>
        <v/>
      </c>
      <c r="AC195" s="148"/>
      <c r="AD195" s="149"/>
      <c r="AE195" s="31">
        <f>(SnapshotTable[[#This Row],[Annual Dividend Per Share]] / 4) * SnapshotTable[[#This Row],[Equity Shares]]</f>
        <v>0</v>
      </c>
      <c r="AF195" s="31">
        <f>SnapshotTable[[#This Row],[Quarterly Div $]] * 4</f>
        <v>0</v>
      </c>
      <c r="AG195" s="7">
        <f>IF(SnapshotTable[[#This Row],[Annual Dividend Per Share]]&gt;0, SnapshotTable[[#This Row],[Annual Dividend Per Share]]  / SnapshotTable[[#This Row],[Last Price]], 0)</f>
        <v>0</v>
      </c>
      <c r="AH195" s="149"/>
      <c r="AI195" s="5"/>
      <c r="AJ195" s="136">
        <v>14</v>
      </c>
      <c r="AK195" s="150" t="str">
        <f>IF(ISNUMBER( SnapshotTable[[#This Row],[EBF Target]]),(SnapshotTable[[#This Row],[EBF Target]] - SnapshotTable[[#This Row],[Last Price]]) / SnapshotTable[[#This Row],[Last Price]], "")</f>
        <v/>
      </c>
      <c r="AL195" s="150" t="str">
        <f>IF(AND(SnapshotTable[[#This Row],[Equity Basis Total]] &gt; 0,ISNUMBER( SnapshotTable[[#This Row],[Long Term Target]])), SnapshotTable[[#This Row],[From Basis $]] / SnapshotTable[[#This Row],[Equity Basis Total]], "")</f>
        <v/>
      </c>
      <c r="AM195" s="9">
        <f>IF( AND(SnapshotTable[[#This Row],[Equity Shares]] &gt;0,ISNUMBER( SnapshotTable[[#This Row],[Long Term Target]])),(SnapshotTable[[#This Row],[Equity Shares]] * SnapshotTable[[#This Row],[Long Term Target]]) - SnapshotTable[[#This Row],[Equity Basis Total]],0)</f>
        <v>0</v>
      </c>
      <c r="AN195" s="9">
        <f>IF( AND(SnapshotTable[[#This Row],[Equity Shares]] &gt;0,ISNUMBER( SnapshotTable[[#This Row],[Long Term Target]])),(SnapshotTable[[#This Row],[Equity Shares]]*SnapshotTable[[#This Row],[Long Term Target]]) - SnapshotTable[[#This Row],[Equity Value]],0)</f>
        <v>0</v>
      </c>
      <c r="AO195" s="150">
        <f>IF(AND(ISNUMBER( SnapshotTable[[#This Row],[Long Term Target]]), ISNUMBER(SnapshotTable[[#This Row],[Last Price]])),(SnapshotTable[[#This Row],[Long Term Target]] - SnapshotTable[[#This Row],[Last Price]]) / SnapshotTable[[#This Row],[Last Price]], "")</f>
        <v>2.773584905660377</v>
      </c>
      <c r="AP195" s="5">
        <v>14</v>
      </c>
      <c r="AQ195" s="38" t="s">
        <v>16</v>
      </c>
      <c r="AR195" s="5">
        <v>14</v>
      </c>
      <c r="AS195" s="38" t="s">
        <v>22</v>
      </c>
      <c r="AT195" s="144" t="s">
        <v>442</v>
      </c>
      <c r="AU195" s="185" t="str">
        <f>IF(OR(SnapshotTable[[#This Row],[LP No Fill]]="Y",SnapshotTable[[#This Row],[SP Is Filled]],SnapshotTable[[#This Row],[LC Not Filled]]="Y",SnapshotTable[[#This Row],[SC Is Filled]]),"Y","")</f>
        <v/>
      </c>
      <c r="AV195" s="205"/>
      <c r="AW195" s="211"/>
      <c r="AX195" s="206"/>
      <c r="AY195" s="205" t="str">
        <f>IF(SnapshotTable[[#This Row],[Implied Move]]&gt;0, SnapshotTable[[#This Row],[Last Price]]-SnapshotTable[[#This Row],[Implied Move]],"")</f>
        <v/>
      </c>
      <c r="AZ195" s="205" t="str">
        <f>IF(SnapshotTable[[#This Row],[Implied Move]]&gt;0, SnapshotTable[[#This Row],[Last Price]] + SnapshotTable[[#This Row],[Implied Move]],"")</f>
        <v/>
      </c>
      <c r="BA195" s="302">
        <v>10.83</v>
      </c>
      <c r="BB195" s="318"/>
      <c r="BC19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5" s="321"/>
      <c r="BE195" s="5"/>
      <c r="BF195" s="14"/>
      <c r="BG195" s="13"/>
      <c r="BH195" s="13"/>
      <c r="BI195" s="5"/>
      <c r="BJ195" s="134">
        <f>IF(SnapshotTable[[#This Row],[LP Qty]] &gt; 0, SnapshotTable[[#This Row],[LP Qty]] * SnapshotTable[[#This Row],[LP Book Price]] * 100,0)</f>
        <v>0</v>
      </c>
      <c r="BK195" s="134">
        <f>IF(SnapshotTable[[#This Row],[LP Premium]] &gt; 0, SnapshotTable[[#This Row],[LP Qty]] * SnapshotTable[[#This Row],[LP Strike Price]] * 100,0)</f>
        <v>0</v>
      </c>
      <c r="BL195" s="152"/>
      <c r="BM195" s="355" t="str">
        <f>IF(SnapshotTable[[#This Row],[LP Premium]] &gt; 0,SnapshotTable[[#This Row],[LP Exp Date]]-MAX(SnapshotTable[[#This Row],[LP Book Date]], SnapshotTable[[#This Row],[LP Fill Date]]),"")</f>
        <v/>
      </c>
      <c r="BN195" s="355" t="str">
        <f>IF(ISNUMBER( SnapshotTable[[#This Row],[LP Term]]), SnapshotTable[[#This Row],[LP Exp Date]] - MockToday,"")</f>
        <v/>
      </c>
      <c r="BO195" s="161" t="str">
        <f>IF(AND(SnapshotTable[[#This Row],[LP Exp Date]]&gt;0, SnapshotTable[[#This Row],[LP Strike Price]]&gt;0,SnapshotTable[[#This Row],[LP Qty]]&gt;0,SnapshotTable[[#This Row],[LP Book Date]]&gt;0,SnapshotTable[[#This Row],[LP Book Price]]&gt;0,SnapshotTable[[#This Row],[LP Fill Date]]=0),"Y","")</f>
        <v/>
      </c>
      <c r="BP195" s="31"/>
      <c r="BQ195" s="13"/>
      <c r="BR195" s="5"/>
      <c r="BS195" s="36"/>
      <c r="BT195" s="145"/>
      <c r="BU195" s="13"/>
      <c r="BV195" s="5"/>
      <c r="BW195" s="382" t="b">
        <f>AND(ISNUMBER(SnapshotTable[[#This Row],[SP Exp Date]]), ISNUMBER(SnapshotTable[[#This Row],[SP Strike Price]]), ISNUMBER(SnapshotTable[[#This Row],[SP Qty]]), ISNUMBER(SnapshotTable[[#This Row],[SP Book Date]]), ISNUMBER(SnapshotTable[[#This Row],[SP Book Price]]))</f>
        <v>0</v>
      </c>
      <c r="BX195" s="382" t="b">
        <f>AND(SnapshotTable[[#This Row],[SP Is Booked]], NOT(ISBLANK(SnapshotTable[[#This Row],[SP Fill Date]])))</f>
        <v>0</v>
      </c>
      <c r="BY195" s="33">
        <f>IF(SnapshotTable[[#This Row],[SP Is Booked]], SnapshotTable[[#This Row],[SP Qty]] * SnapshotTable[[#This Row],[SP Book Price]] * 100, 0)</f>
        <v>0</v>
      </c>
      <c r="BZ195" s="339"/>
      <c r="CA195" s="338">
        <f>SnapshotTable[[#This Row],[LP Qty]]</f>
        <v>0</v>
      </c>
      <c r="CB195" s="4" t="str">
        <f>IF(SnapshotTable[[#This Row],[SP Is Booked]], SnapshotTable[[#This Row],[SP Strike Price]] - SnapshotTable[[#This Row],[SP Book Price]], "")</f>
        <v/>
      </c>
      <c r="CC195" s="19" t="str">
        <f>IF(SnapshotTable[[#This Row],[SP Is Booked]],SnapshotTable[[#This Row],[SP Exp Date]]-MAX(SnapshotTable[[#This Row],[SP Book Date]], SnapshotTable[[#This Row],[SP Fill Date]]),"")</f>
        <v/>
      </c>
      <c r="CD195" s="7" t="str">
        <f>IF(SnapshotTable[[#This Row],[SP Is Booked]], SnapshotTable[[#This Row],[SP Book Price]]/SnapshotTable[[#This Row],[SP Strike Price]], "")</f>
        <v/>
      </c>
      <c r="CE195" s="7" t="str">
        <f>IF(ISNUMBER(SnapshotTable[[#This Row],[SP ROO Term]]),SnapshotTable[[#This Row],[SP ROO Term]]*(365/SnapshotTable[[#This Row],[SP Term]]),"")</f>
        <v/>
      </c>
      <c r="CF195" s="221">
        <f>SnapshotTable[[#This Row],[LP Strike Price]] * SnapshotTable[[#This Row],[LP Qty]] * 100</f>
        <v>0</v>
      </c>
      <c r="CG195" s="31">
        <f>IF(ISNUMBER(SnapshotTable[[#This Row],[SP Premium]]), (SnapshotTable[[#This Row],[SP Qty]] * SnapshotTable[[#This Row],[SP Strike Price]]* 100) - SnapshotTable[[#This Row],[LP Protection]], 0)</f>
        <v>0</v>
      </c>
      <c r="CH195" s="7" t="str">
        <f>IF(ISNUMBER(SnapshotTable[[#This Row],[SP Break Even]]),-1 * (SnapshotTable[[#This Row],[SP Break Even]] - SnapshotTable[[#This Row],[Last Price]]) / SnapshotTable[[#This Row],[Last Price]], "")</f>
        <v/>
      </c>
      <c r="CI195" s="31">
        <f>IF(AND(ISNUMBER((SnapshotTable[[#This Row],[SP Potential Spend]])), SnapshotTable[[#This Row],[SP Strike Price]] &gt; SnapshotTable[[#This Row],[Last Price]], SnapshotTable[[#This Row],[SP Is Filled]]), SnapshotTable[[#This Row],[SP Potential Spend]] -  SnapshotTable[[#This Row],[LP Max Value]], 0)</f>
        <v>0</v>
      </c>
      <c r="CJ195" s="229"/>
      <c r="CK195" s="31">
        <f>IF(ISNUMBER(SnapshotTable[[#This Row],[SP Potential Spend]]),IF(ISNUMBER(SnapshotTable[[#This Row],[SP POW]]), SnapshotTable[[#This Row],[SP POW]] * SnapshotTable[[#This Row],[SP Potential Spend]], SnapshotTable[[#This Row],[SP Potential Spend]]), "")</f>
        <v>0</v>
      </c>
      <c r="CL195" s="162">
        <f>IF(NOT(SnapshotTable[[#This Row],[SP Is Filled]]),(SnapshotTable[[#This Row],[SP Qty]] * SnapshotTable[[#This Row],[SP Strike Price]] * 100) - SnapshotTable[[#This Row],[LP Max Value]],"")</f>
        <v>0</v>
      </c>
      <c r="CM195" s="31" t="str">
        <f>IF(SnapshotTable[[#This Row],[SP Actual Spend]]&lt;&gt;0, ((SnapshotTable[[#This Row],[SP Strike Price]]-SnapshotTable[[#This Row],[Last Price]]) *(SnapshotTable[[#This Row],[SP Qty]]*100) - SnapshotTable[[#This Row],[SP Premium]]) * - 1, "")</f>
        <v/>
      </c>
      <c r="CN195" s="76"/>
      <c r="CO195" s="339"/>
      <c r="CP195" s="4" t="str">
        <f>IF(SnapshotTable[[#This Row],[SP Is Filled]], btc_max_buyback_amount(SnapshotTable[[#This Row],[SP Fill Date]],SnapshotTable[[#This Row],[SP Exp Date]], SnapshotTable[[#This Row],[SP Book Price]]),"")</f>
        <v/>
      </c>
      <c r="CQ195" s="76"/>
      <c r="CR19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5" s="153" t="str">
        <f>IF(SnapshotTable[[#This Row],[SP Is Filled]], btc_next_cutoff_date(SnapshotTable[[#This Row],[SP Fill Date]],SnapshotTable[[#This Row],[SP Exp Date]]),"")</f>
        <v/>
      </c>
      <c r="CT195" s="220" t="str" cm="1">
        <f t="array" ref="CT195">IF(SnapshotTable[[#This Row],[SP Is Filled]], btc_should_buy_back(SnapshotTable[[#This Row],[SP Fill Date]], SnapshotTable[[#This Row],[SP Exp Date]], SnapshotTable[[#This Row],[SP Book Price]], SnapshotTable[[#This Row],[SP Current Ask]], MockToday, SnapshotTable[[#This Row],[SP Buyback Override]]),"")</f>
        <v/>
      </c>
      <c r="CU195" s="141"/>
      <c r="CV195" s="220"/>
      <c r="CW195" s="348" t="str">
        <f>IF(ISNUMBER( SnapshotTable[[#This Row],[SP Term]]), SnapshotTable[[#This Row],[SP Exp Date]] - MockToday,"")</f>
        <v/>
      </c>
      <c r="CX195" s="31" t="str">
        <f>IF(SnapshotTable[[#This Row],[SP Is Filled]],SnapshotTable[[#This Row],[SP Buyback Price to Use]] * 100 * SnapshotTable[[#This Row],[SP Qty]], "")</f>
        <v/>
      </c>
      <c r="CY195" s="4" t="str">
        <f>IF(ISNUMBER(SnapshotTable[[#This Row],[SP Strike Price]]), SnapshotTable[[#This Row],[SP Strike Price]] * (1 - SP_MaxLoss_StrikePct), "")</f>
        <v/>
      </c>
      <c r="CZ195" s="31" t="str">
        <f>IF(ISNUMBER(SnapshotTable[[#This Row],[SP Strike  Stop Per Share]]),SnapshotTable[[#This Row],[SP Premium]] - ((SnapshotTable[[#This Row],[SP Strike Price]]-SnapshotTable[[#This Row],[SP Strike  Stop Per Share]]) *(SnapshotTable[[#This Row],[SP Qty]] * 100)),"")</f>
        <v/>
      </c>
      <c r="DA195" s="4" t="str">
        <f>IF(AND(ISNUMBER(SnapshotTable[[#This Row],[SP Premium]]),SnapshotTable[[#This Row],[SP Premium]]&gt;0), SnapshotTable[[#This Row],[SP Book Price]] * (1 + SP_MaxLoss_OptionPct), "")</f>
        <v/>
      </c>
      <c r="DB195" s="31" t="str">
        <f>IF(ISNUMBER(SnapshotTable[[#This Row],[SP Option  Stop Contract]]),(SnapshotTable[[#This Row],[SP Option  Stop Contract]] *(SnapshotTable[[#This Row],[SP Qty]] * 100) - SnapshotTable[[#This Row],[SP Premium]]),"")</f>
        <v/>
      </c>
      <c r="DC195" s="4"/>
      <c r="DD195" s="4"/>
      <c r="DE195" s="4" t="str">
        <f>IF(AND(SnapshotTable[[#This Row],[SP Qty]]&gt;0, SnapshotTable[[#This Row],[SP Stop To Use]]&gt;0),SnapshotTable[[#This Row],[SP Premium]] - ( SnapshotTable[[#This Row],[SP Qty]] * SnapshotTable[[#This Row],[SP Stop To Use]] * 100), "")</f>
        <v/>
      </c>
      <c r="DF195" s="31" t="str">
        <f>IF(AND(SnapshotTable[[#This Row],[SP Qty]]&gt;0,SnapshotTable[[#This Row],[SP Current Ask]]&gt;0), SnapshotTable[[#This Row],[SP Qty]] * SnapshotTable[[#This Row],[SP Current Ask]] * -100, "")</f>
        <v/>
      </c>
      <c r="DG195" s="31" t="str">
        <f>IF(ISNUMBER((SnapshotTable[[#This Row],[SP Total Value]])), SnapshotTable[[#This Row],[SP Premium]] + SnapshotTable[[#This Row],[SP Total Value]], "")</f>
        <v/>
      </c>
      <c r="DH195" s="272"/>
      <c r="DI195" s="369"/>
      <c r="DJ195" s="136"/>
      <c r="DK195" s="146"/>
      <c r="DL195" s="13"/>
      <c r="DM195" s="13"/>
      <c r="DO195" s="31">
        <f>IF(SnapshotTable[[#This Row],[LC Symbol Count]]=1, SnapshotTable[[#This Row],[LC Qty]] * SnapshotTable[[#This Row],[LC Book Price]] * 100, 0)</f>
        <v>0</v>
      </c>
      <c r="DP195" s="161" t="str">
        <f>IF(AND(SnapshotTable[[#This Row],[LC Exp Date]]&gt;0, SnapshotTable[[#This Row],[LC Strike Price]]&gt;0,SnapshotTable[[#This Row],[LC Qty]]&gt;0,SnapshotTable[[#This Row],[LC Book Date]]&gt;0,SnapshotTable[[#This Row],[LC Book Price]]&gt;0,SnapshotTable[[#This Row],[LC Fill Date]]=0),"Y","")</f>
        <v/>
      </c>
      <c r="DQ195" s="356" t="str">
        <f>IF(SnapshotTable[[#This Row],[LC Premium]] &gt; 0,SnapshotTable[[#This Row],[LC Exp Date]]-MAX(SnapshotTable[[#This Row],[LC Book Date]], SnapshotTable[[#This Row],[LC Fill Date]]),"")</f>
        <v/>
      </c>
      <c r="DR195" s="356" t="str">
        <f>IF(ISNUMBER(SnapshotTable[[#This Row],[LC Term]]), SnapshotTable[[#This Row],[LC Exp Date]] - MockToday, "")</f>
        <v/>
      </c>
      <c r="DS195" s="219" t="str">
        <f>IF(SnapshotTable[[#This Row],[LC Premium]]&gt;0,SnapshotTable[[#This Row],[LC Strike Price]] + SnapshotTable[[#This Row],[LC Book Price]],"")</f>
        <v/>
      </c>
      <c r="DU195" s="9" t="str">
        <f>IF(AND(SnapshotTable[[#This Row],[LC Symbol Count]]&gt;0, SnapshotTable[[#This Row],[LC Contract Value]]&gt;0), SnapshotTable[[#This Row],[LC Contract Value]] * SnapshotTable[[#This Row],[LC Qty]] * 100, "")</f>
        <v/>
      </c>
      <c r="DV195" s="9" t="str">
        <f>IF(AND(ISNUMBER(SnapshotTable[[#This Row],[LC Total Value]]), SnapshotTable[[#This Row],[LC Not Filled]]&lt;&gt;"Y"), SnapshotTable[[#This Row],[LC Total Value]]-SnapshotTable[[#This Row],[LC Premium]],"")</f>
        <v/>
      </c>
      <c r="DW195" s="225" t="str">
        <f>IF(ISNUMBER(SnapshotTable[[#This Row],[LC Actual Gain Loss]]), SnapshotTable[[#This Row],[LC Actual Gain Loss]] / SnapshotTable[[#This Row],[LC Premium]],"")</f>
        <v/>
      </c>
      <c r="DX195" s="269" t="str">
        <f>IF(ISNUMBER(SnapshotTable[[#This Row],[LC Book Price]]),SnapshotTable[[#This Row],[LC Book Price]] * 1.5,"")</f>
        <v/>
      </c>
      <c r="DY195" s="250" t="str">
        <f>IF(SnapshotTable[[#This Row],[LC Premium]]&gt;0, SnapshotTable[[#This Row],[LC Next Target]] * SnapshotTable[[#This Row],[LC Qty]] * 100,"")</f>
        <v/>
      </c>
      <c r="DZ195" s="250" t="str">
        <f>IF(ISNUMBER(SnapshotTable[[#This Row],[LC Target Gross]]), SnapshotTable[[#This Row],[LC Target Gross]] - SnapshotTable[[#This Row],[LC Premium]], "")</f>
        <v/>
      </c>
      <c r="EA195" s="283" t="str">
        <f>IF(ISNUMBER(SnapshotTable[[#This Row],[LC Target Gain Loss]]), SnapshotTable[[#This Row],[LC Target Gain Loss]]/SnapshotTable[[#This Row],[LC Premium]], "")</f>
        <v/>
      </c>
      <c r="EB195" s="247"/>
      <c r="EC195" s="268" t="str">
        <f>IF(SnapshotTable[[#This Row],[LC Premium]]&gt;0, SnapshotTable[[#This Row],[LC Book Price]] * (1 - LC_StopLoss_Pct),"")</f>
        <v/>
      </c>
      <c r="ED195" s="269"/>
      <c r="EE195" s="268" t="str">
        <f>IF(ISNUMBER(SnapshotTable[[#This Row],[LC Contract Value]]),IF(ISNUMBER(SnapshotTable[[#This Row],[LC Stop Loss Override]]), SnapshotTable[[#This Row],[LC Stop Loss Override]],SnapshotTable[[#This Row],[LC Stop Loss Calc Target]]),"")</f>
        <v/>
      </c>
      <c r="EF195" s="31" t="str">
        <f>IF(ISNUMBER(SnapshotTable[[#This Row],[LC Stop  To Use]]), (SnapshotTable[[#This Row],[LC Stop  To Use]] * SnapshotTable[[#This Row],[LC Qty]] * 100),"")</f>
        <v/>
      </c>
      <c r="EG195" s="9" t="str">
        <f>IF(ISNUMBER(SnapshotTable[[#This Row],[LC Total Value]]),SnapshotTable[[#This Row],[LC Stop Loss Amount]] - SnapshotTable[[#This Row],[LC Premium]],"")</f>
        <v/>
      </c>
      <c r="EH195" s="9">
        <f>IF(ISNUMBER(SnapshotTable[[#This Row],[LC Premium]]), SnapshotTable[[#This Row],[LC Qty]] * 100 * SnapshotTable[[#This Row],[LC Strike Price]], "")</f>
        <v>0</v>
      </c>
      <c r="EI195" s="225"/>
      <c r="EJ195" s="35">
        <f>IF(ISNUMBER(SnapshotTable[[#This Row],[Equity Shares]]),TRUNC(SnapshotTable[[#This Row],[Equity Shares]] / 100),0) + SnapshotTable[[#This Row],[LC Qty]]</f>
        <v>0</v>
      </c>
      <c r="EK195" s="145"/>
      <c r="EL195" s="136"/>
      <c r="EM195" s="146"/>
      <c r="EN195" s="145"/>
      <c r="EO195" s="145"/>
      <c r="EP195" s="136"/>
      <c r="EQ195" s="382" t="b">
        <f>AND(ISNUMBER(SnapshotTable[[#This Row],[SC Exp Date]]), ISNUMBER(SnapshotTable[[#This Row],[SC Strike Price]]), ISNUMBER(SnapshotTable[[#This Row],[SC Qty]]), ISNUMBER(SnapshotTable[[#This Row],[SC Book Date]]), ISNUMBER(SnapshotTable[[#This Row],[SC Book Price]]))</f>
        <v>0</v>
      </c>
      <c r="ER195" s="382" t="b">
        <f>AND(SnapshotTable[[#This Row],[SC Is Booked]], NOT(ISBLANK(SnapshotTable[[#This Row],[SC Fill Date]])))</f>
        <v>0</v>
      </c>
      <c r="ES195" s="340"/>
      <c r="ET195" s="34" t="str">
        <f>IF(AND(ISNUMBER(SnapshotTable[[#This Row],[SC Exp Date]]), ISNUMBER(SnapshotTable[[#This Row],[SC Book Date]])), SnapshotTable[[#This Row],[SC Exp Date]] - MAX(SnapshotTable[[#This Row],[SC Book Date]], SnapshotTable[[#This Row],[SC Fill Date]]) + 1, "")</f>
        <v/>
      </c>
      <c r="EU195" s="34" t="str">
        <f>IF(ISNUMBER(SnapshotTable[[#This Row],[SC Term]]), SnapshotTable[[#This Row],[SC Exp Date]]- MockToday, "")</f>
        <v/>
      </c>
      <c r="EV195" s="31">
        <f>IF(SnapshotTable[[#This Row],[SC Is Booked]], SnapshotTable[[#This Row],[SC Qty]] * SnapshotTable[[#This Row],[SC Book Price]] * 100, 0)</f>
        <v>0</v>
      </c>
      <c r="EW195" s="4" t="str">
        <f>IF(AND(ISNUMBER(SnapshotTable[[#This Row],[Last Price]]), ISNUMBER( SnapshotTable[[#This Row],[SC Book Price]])), SnapshotTable[[#This Row],[Last Price]] - SnapshotTable[[#This Row],[SC Book Price]],"")</f>
        <v/>
      </c>
      <c r="EX195" s="219" t="str">
        <f>IF(SnapshotTable[[#This Row],[SC Is Booked]],IF(SnapshotTable[[#This Row],[SC Intrinsic Value]] &gt; 0, SnapshotTable[[#This Row],[SC Strike Price]], SnapshotTable[[#This Row],[Last Price]]), "")</f>
        <v/>
      </c>
      <c r="EY195" s="4">
        <f>IF(SnapshotTable[[#This Row],[SC Is Booked]], (MinimumPremiumRequired * SnapshotTable[[#This Row],[SC Basis]] * SnapshotTable[[#This Row],[SC Term]]), 0)</f>
        <v>0</v>
      </c>
      <c r="EZ195" s="268"/>
      <c r="FA195" s="204"/>
      <c r="FB195" s="340"/>
      <c r="FC195" s="4">
        <f>IF(SnapshotTable[[#This Row],[SC Is Filled]], btc_max_buyback_amount(SnapshotTable[[#This Row],[SC Fill Date]],SnapshotTable[[#This Row],[SC Exp Date]], SnapshotTable[[#This Row],[SC Book Price]]),0)</f>
        <v>0</v>
      </c>
      <c r="FD195" s="5"/>
      <c r="FE195" s="142" t="str">
        <f>IF(SnapshotTable[[#This Row],[SC Is Filled]], btc_next_cutoff_date(SnapshotTable[[#This Row],[SC Fill Date]],SnapshotTable[[#This Row],[SC Exp Date]]),"")</f>
        <v/>
      </c>
      <c r="FF195" s="4" t="str" cm="1">
        <f t="array" ref="FF195">IF(SnapshotTable[[#This Row],[SC Is Filled]], btc_should_buy_back(SnapshotTable[[#This Row],[SC Fill Date]], SnapshotTable[[#This Row],[SC Exp Date]], SnapshotTable[[#This Row],[SC Book Price]], SnapshotTable[[#This Row],[SC Current Ask]], MockToday, SnapshotTable[[#This Row],[SC Buyback Override]]),"")</f>
        <v/>
      </c>
      <c r="FG195" s="4">
        <f>IF(SnapshotTable[[#This Row],[SC Is Filled]], MAX(0,SnapshotTable[[#This Row],[Last Price]]  - SnapshotTable[[#This Row],[SC Strike Price]]), 0)</f>
        <v>0</v>
      </c>
      <c r="FH195" s="352">
        <f>IF(SnapshotTable[[#This Row],[SC Is Filled]], IF(ISNUMBER(SnapshotTable[[#This Row],[SC Current Ask]]), SnapshotTable[[#This Row],[SC Current Ask]], SnapshotTable[[#This Row],[SC Book Price]]) - SnapshotTable[[#This Row],[SC Intrinsic Value]], 0)</f>
        <v>0</v>
      </c>
      <c r="FI195" s="141"/>
      <c r="FJ195" s="32" t="str">
        <f>IF(SnapshotTable[[#This Row],[SC Is Filled]],100 * SnapshotTable[[#This Row],[SC Qty]] * IF(ISNUMBER(SnapshotTable[[#This Row],[SC Buyback Override]]), SnapshotTable[[#This Row],[SC Buyback Override]], SnapshotTable[[#This Row],[SC Current Ask]]), "")</f>
        <v/>
      </c>
      <c r="FK195" s="235" t="str">
        <f>IF(SnapshotTable[[#This Row],[SC Time Val]]&gt;0, SnapshotTable[[#This Row],[SC Time Val]] / SnapshotTable[[#This Row],[Last Price]],"")</f>
        <v/>
      </c>
      <c r="FL195" s="280" t="str">
        <f>IF(SnapshotTable[[#This Row],[SC Is Booked]], ((SnapshotTable[[#This Row],[Last Price]] -SnapshotTable[[#This Row],[SC Strike Price]]) / SnapshotTable[[#This Row],[Last Price]]) * -1, "")</f>
        <v/>
      </c>
      <c r="FM195" s="155" t="str">
        <f>IF(SnapshotTable[[#This Row],[SC Is Booked]],  (SnapshotTable[[#This Row],[SC Qty]] * 100 * SnapshotTable[[#This Row],[SC Strike Price]]) - SnapshotTable[[#This Row],[SC Current Ask]], "")</f>
        <v/>
      </c>
      <c r="FN19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5" s="31" t="str">
        <f>IF(AND(ISNUMBER(SnapshotTable[[#This Row],[SC Exercise Gross]]), ISNUMBER(SnapshotTable[[#This Row],[Equity Basis Per Share]] )), SnapshotTable[[#This Row],[SC Exercise Gross]] - SnapshotTable[[#This Row],[Equity Basis Total]] +  SnapshotTable[[#This Row],[SC Premium]], "")</f>
        <v/>
      </c>
      <c r="FP195" s="5" t="str">
        <f>IF(ISNUMBER(SnapshotTable[[#This Row],[SC Exercise Gross]]), (SnapshotTable[[#This Row],[SC Exercise Gross]]) / (SnapshotTable[[#This Row],[SC Qty]] * 100), "")</f>
        <v/>
      </c>
      <c r="FQ195" s="27" t="str">
        <f>IF(SnapshotTable[[#This Row],[SC Is Booked]],SnapshotTable[[#This Row],[SC Time Val]] /SnapshotTable[[#This Row],[SC Basis]], "")</f>
        <v/>
      </c>
      <c r="FR195" s="27" t="str" cm="1">
        <f t="array" ref="FR195">IF(AND(ISNUMBER(SnapshotTable[[#This Row],[SC Term]]),ISNUMBER(SnapshotTable[[#This Row],[SC Simple ROO]])), EllmanAnnualize(SnapshotTable[[#This Row],[SC DTE]], SnapshotTable[[#This Row],[SC Simple ROO]] ),"")</f>
        <v/>
      </c>
      <c r="FS195" s="4">
        <f>IF(SnapshotTable[[#This Row],[SC Strike Price]] &gt; SnapshotTable[[#This Row],[Last Price]], SnapshotTable[[#This Row],[SC Strike Price]] - SnapshotTable[[#This Row],[Last Price]],0)</f>
        <v>0</v>
      </c>
      <c r="FT195" s="27" t="str">
        <f>IF(AND(ISNUMBER(SnapshotTable[[#This Row],[SC Upside Potential]]), SnapshotTable[[#This Row],[SC Upside Potential]] &gt; 0),(SnapshotTable[[#This Row],[SC Upside Potential]]/ SnapshotTable[[#This Row],[ACB]]),"")</f>
        <v/>
      </c>
      <c r="FU195" s="304" t="str">
        <f>IF(SnapshotTable[[#This Row],[SC Intrinsic Value]] &gt; 0,SnapshotTable[[#This Row],[SC Intrinsic Value]],"")</f>
        <v/>
      </c>
      <c r="FV195" s="27" t="str">
        <f>IF(AND( ISNUMBER( SnapshotTable[[#This Row],[ACB]]),ISNUMBER(SnapshotTable[[#This Row],[SC Downside Protect]])),SnapshotTable[[#This Row],[SC Downside Protect]] / SnapshotTable[[#This Row],[ACB]],"")</f>
        <v/>
      </c>
      <c r="FW195" s="221" t="str">
        <f>IF(AND(ISNUMBER(SnapshotTable[[#This Row],[SC Simple ROO]]),SnapshotTable[[#This Row],[SC Simple ROO]] &gt; 0), SnapshotTable[[#This Row],[SC Premium]] + (SnapshotTable[[#This Row],[SC Qty]] * SnapshotTable[[#This Row],[SC Upside Potential]]), "")</f>
        <v/>
      </c>
      <c r="FX195" s="280" t="str" cm="1">
        <f t="array" ref="FX195">IF(ISNUMBER(SnapshotTable[[#This Row],[SC Max Dollars]]), annualize(SnapshotTable[[#This Row],[SC Term]],(SnapshotTable[[#This Row],[SC Max Dollars]]/SnapshotTable[[#This Row],[SC Basis]])),"")</f>
        <v/>
      </c>
      <c r="FY195" s="221" t="str">
        <f>IF(AND(SnapshotTable[[#This Row],[SC Qty]]&gt;0,SnapshotTable[[#This Row],[SC Current Ask]]&gt;0), SnapshotTable[[#This Row],[SC Qty]] * SnapshotTable[[#This Row],[SC Current Ask]] * -100, "")</f>
        <v/>
      </c>
      <c r="FZ195" s="31" t="str">
        <f>IF(ISNUMBER((SnapshotTable[[#This Row],[SC Current Value]])), SnapshotTable[[#This Row],[SC Premium]] + SnapshotTable[[#This Row],[SC Current Value]], "")</f>
        <v/>
      </c>
      <c r="GA195" s="272" t="str">
        <f>IFERROR( IF(ISNUMBER((SnapshotTable[[#This Row],[SC Current Value]])), SnapshotTable[[#This Row],[SC Gain Loss]] / SnapshotTable[[#This Row],[SC Premium]], ""), "")</f>
        <v/>
      </c>
      <c r="GB195" s="42">
        <f>SnapshotTable[[#This Row],[Equity Shares]] * SaleSharesToConsiderPercentage</f>
        <v>0</v>
      </c>
      <c r="GC195" s="40">
        <f>SnapshotTable[[#This Row],[Long Term Target]] * SellingPriceToConsiderBasedOnTargetPercentage</f>
        <v>13.299999999999999</v>
      </c>
      <c r="GD195" s="40">
        <f>SnapshotTable[[#This Row],[Last Price]] * (1+ SellingPriceToConsiderBasedOnTargetPercentage)</f>
        <v>7.2344999999999997</v>
      </c>
      <c r="GE195" s="41"/>
      <c r="GF195" s="40"/>
      <c r="GG195" s="31">
        <f>SnapshotTable[[#This Row],[Booked Sale Shares]] * SnapshotTable[[#This Row],[Booked Sale Price]]</f>
        <v>0</v>
      </c>
      <c r="GH195" s="31" t="str">
        <f>IF(SnapshotTable[[#This Row],[Equity Basis Total]] &gt; 0, SnapshotTable[[#This Row],[Equity Basis Per Share]] * SnapshotTable[[#This Row],[Booked Sale Shares]], "")</f>
        <v/>
      </c>
      <c r="GI195" s="31">
        <f>IF(SnapshotTable[[#This Row],[Sale Proceeds]]&gt;0, SnapshotTable[[#This Row],[Sale Proceeds]] - SnapshotTable[[#This Row],[Sale Basis]], 0)</f>
        <v>0</v>
      </c>
      <c r="GJ195" s="27" t="str">
        <f>IF(SnapshotTable[[#This Row],[Sale G/L]]&gt;0, SnapshotTable[[#This Row],[Sale G/L]] / SnapshotTable[[#This Row],[Sale Basis]], IF(ISNUMBER(SnapshotTable[[#This Row],[SC Exercise P&amp;L (TAX)]]), SnapshotTable[[#This Row],[SC Exercise P&amp;L (TAX)]] / SnapshotTable[[#This Row],[SC Basis]], ""))</f>
        <v/>
      </c>
      <c r="GK195" s="27"/>
      <c r="GL195" s="43" t="str">
        <f>IF(AND(SnapshotTable[[#This Row],[LP Exp Date]]&gt;0,SnapshotTable[[#This Row],[LP Strike Price]]&gt;0), [1]!ToOptionSymbol(SnapshotTable[[#This Row],[Symbol]], SnapshotTable[[#This Row],[LP Strike Price]],SnapshotTable[[#This Row],[LP Exp Date]],1), "")</f>
        <v/>
      </c>
      <c r="GM195" s="30" t="str">
        <f>IF(LEN(SnapshotTable[[#This Row],[LP Symbol]])&gt;0, 1, "")</f>
        <v/>
      </c>
      <c r="GN195" s="43" t="str">
        <f>IF(AND(SnapshotTable[[#This Row],[SP Exp Date]]&gt;0,SnapshotTable[[#This Row],[SP Strike Price]]&gt;0), [1]!ToOptionSymbol(SnapshotTable[[#This Row],[Symbol]], SnapshotTable[[#This Row],[SP Strike Price]],SnapshotTable[[#This Row],[SP Exp Date]],1), "")</f>
        <v/>
      </c>
      <c r="GO195" s="30" t="str">
        <f>IF(LEN(SnapshotTable[[#This Row],[SP Symbol]])&gt;0, 1, "")</f>
        <v/>
      </c>
      <c r="GP195" s="43" t="str">
        <f>IF(AND(SnapshotTable[[#This Row],[LC Exp Date]]&gt;0,SnapshotTable[[#This Row],[LC Strike Price]]&gt;0), [1]!ToOptionSymbol(SnapshotTable[[#This Row],[Symbol]], SnapshotTable[[#This Row],[LC Strike Price]],SnapshotTable[[#This Row],[LC Exp Date]],0), "")</f>
        <v/>
      </c>
      <c r="GQ195" s="30" t="str">
        <f>IF(LEN(SnapshotTable[[#This Row],[LC Symbol]])&gt;0, 1, "")</f>
        <v/>
      </c>
      <c r="GR195" s="43" t="str">
        <f>IF(AND(SnapshotTable[[#This Row],[SC Exp Date]]&gt;0,SnapshotTable[[#This Row],[SC Strike Price]]&gt;0), [1]!ToOptionSymbol(SnapshotTable[[#This Row],[Symbol]], SnapshotTable[[#This Row],[SC Strike Price]],SnapshotTable[[#This Row],[SC Exp Date]],0), "")</f>
        <v/>
      </c>
      <c r="GS195" s="30" t="str">
        <f>IF(LEN(SnapshotTable[[#This Row],[SC Symbol]])&gt;0, 1, "")</f>
        <v/>
      </c>
      <c r="GT195" s="29" t="str">
        <f>IF(COUNT(SnapshotTable[[#This Row],[LP Symbol Count]],SnapshotTable[[#This Row],[SP Symbol Count]],SnapshotTable[[#This Row],[LC Symbol Count]],SnapshotTable[[#This Row],[SC Symbol Count]])&gt;0, "Y", "")</f>
        <v/>
      </c>
      <c r="GU19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5" s="216">
        <f>MAX(SnapshotTable[[#This Row],[Equity Basis Total]],SnapshotTable[[#This Row],[Equity Value]]) + (SnapshotTable[[#This Row],[SP Potential Spend]]- SnapshotTable[[#This Row],[SP Premium]] + SnapshotTable[[#This Row],[LP Premium]])+ (SnapshotTable[[#This Row],[LC Premium]] - SnapshotTable[[#This Row],[SC Premium]])</f>
        <v>0</v>
      </c>
      <c r="GW195" s="137" t="str">
        <f>IF(AND(SnapshotTable[[#This Row],[Exposure]] &lt;&gt; 0),SnapshotTable[[#This Row],[Exposure]] / SnapshotTable[[#Totals],[Exposure]], "")</f>
        <v/>
      </c>
      <c r="HE195" s="253"/>
      <c r="HF195" s="253"/>
      <c r="HK195" s="1"/>
      <c r="HL195" s="1"/>
      <c r="HM195" s="1"/>
      <c r="HN195" s="1"/>
      <c r="HO195" s="1"/>
      <c r="HP195" s="1"/>
    </row>
    <row r="196" spans="2:224" ht="12.75" hidden="1" customHeight="1" x14ac:dyDescent="0.25">
      <c r="B196" s="12" t="s">
        <v>979</v>
      </c>
      <c r="C196" s="385">
        <v>68.53</v>
      </c>
      <c r="D196" s="200"/>
      <c r="E196" s="39">
        <f>SnapshotTable[[#This Row],[Last Price]]*(1 -CrashDiscount)</f>
        <v>58.250500000000002</v>
      </c>
      <c r="F196" s="296" t="s">
        <v>739</v>
      </c>
      <c r="G196" s="296" t="s">
        <v>490</v>
      </c>
      <c r="H196" s="147"/>
      <c r="I196" s="186"/>
      <c r="J196" s="187"/>
      <c r="K196" s="188"/>
      <c r="L196" s="297"/>
      <c r="M196" s="138"/>
      <c r="N196" s="138"/>
      <c r="O196" s="138"/>
      <c r="P196" s="22"/>
      <c r="Q196" s="25"/>
      <c r="R196" s="4" t="str">
        <f>IF(SnapshotTable[[#This Row],[Equity Basis Total]] &gt; 0, SnapshotTable[[#This Row],[Equity Basis Total]] / SnapshotTable[[#This Row],[Equity Shares]], "")</f>
        <v/>
      </c>
      <c r="S196" s="254">
        <f>SnapshotTable[[#This Row],[Last Price]] * SnapshotTable[[#This Row],[Equity Shares]]</f>
        <v>0</v>
      </c>
      <c r="T196" s="254">
        <f>SnapshotTable[[#This Row],[Equity Value]] - SnapshotTable[[#This Row],[Equity Basis Total]]</f>
        <v>0</v>
      </c>
      <c r="U196" s="255" t="str">
        <f>IF(SnapshotTable[[#This Row],[Equity Basis Total]] &gt; 0, SnapshotTable[[#This Row],[Equity G/L]] / SnapshotTable[[#This Row],[Equity Basis Total]], "")</f>
        <v/>
      </c>
      <c r="V196" s="253"/>
      <c r="W196" s="253"/>
      <c r="X196" s="4" t="str">
        <f>IF(AND(ISNUMBER(SnapshotTable[[#This Row],[Equity Basis Per Share]]),ISNUMBER(SnapshotTable[[#This Row],[Equity Target]])),SnapshotTable[[#This Row],[Equity Target]]-SnapshotTable[[#This Row],[Equity Basis Per Share]],"")</f>
        <v/>
      </c>
      <c r="Y196" s="4" t="str">
        <f>IF(AND(ISNUMBER(SnapshotTable[[#This Row],[Equity Basis Per Share]]),ISNUMBER(SnapshotTable[[#This Row],[Equity Stop Loss]])),SnapshotTable[[#This Row],[Equity Stop Loss]]-SnapshotTable[[#This Row],[Equity Basis Per Share]],"")</f>
        <v/>
      </c>
      <c r="Z196" s="260" t="str">
        <f>IFERROR( TEXT(SnapshotTable[[#This Row],[Equity Max Gain Per Share]] /ABS( SnapshotTable[[#This Row],[Equity Max Loss Per Share]]),"0.0 " ) &amp; " : 1", "")</f>
        <v/>
      </c>
      <c r="AA196" s="31" t="str">
        <f>IF(ISNUMBER(SnapshotTable[[#This Row],[Equity Max Gain Per Share]]),SnapshotTable[[#This Row],[Equity Max Gain Per Share]] * SnapshotTable[[#This Row],[Equity Shares]],"")</f>
        <v/>
      </c>
      <c r="AB196" s="31" t="str">
        <f>IF(ISNUMBER(SnapshotTable[[#This Row],[Equity Max Loss Per Share]]),SnapshotTable[[#This Row],[Equity Max Loss Per Share]] * SnapshotTable[[#This Row],[Equity Shares]],"")</f>
        <v/>
      </c>
      <c r="AC196" s="148"/>
      <c r="AD196" s="149"/>
      <c r="AE196" s="31">
        <f>(SnapshotTable[[#This Row],[Annual Dividend Per Share]] / 4) * SnapshotTable[[#This Row],[Equity Shares]]</f>
        <v>0</v>
      </c>
      <c r="AF196" s="31">
        <f>SnapshotTable[[#This Row],[Quarterly Div $]] * 4</f>
        <v>0</v>
      </c>
      <c r="AG196" s="7">
        <f>IF(SnapshotTable[[#This Row],[Annual Dividend Per Share]]&gt;0, SnapshotTable[[#This Row],[Annual Dividend Per Share]]  / SnapshotTable[[#This Row],[Last Price]], 0)</f>
        <v>0</v>
      </c>
      <c r="AH196" s="149"/>
      <c r="AI196" s="5"/>
      <c r="AJ196" s="136"/>
      <c r="AK196" s="150" t="str">
        <f>IF(ISNUMBER( SnapshotTable[[#This Row],[EBF Target]]),(SnapshotTable[[#This Row],[EBF Target]] - SnapshotTable[[#This Row],[Last Price]]) / SnapshotTable[[#This Row],[Last Price]], "")</f>
        <v/>
      </c>
      <c r="AL196" s="150" t="str">
        <f>IF(AND(SnapshotTable[[#This Row],[Equity Basis Total]] &gt; 0,ISNUMBER( SnapshotTable[[#This Row],[Long Term Target]])), SnapshotTable[[#This Row],[From Basis $]] / SnapshotTable[[#This Row],[Equity Basis Total]], "")</f>
        <v/>
      </c>
      <c r="AM196" s="9">
        <f>IF( AND(SnapshotTable[[#This Row],[Equity Shares]] &gt;0,ISNUMBER( SnapshotTable[[#This Row],[Long Term Target]])),(SnapshotTable[[#This Row],[Equity Shares]] * SnapshotTable[[#This Row],[Long Term Target]]) - SnapshotTable[[#This Row],[Equity Basis Total]],0)</f>
        <v>0</v>
      </c>
      <c r="AN196" s="9">
        <f>IF( AND(SnapshotTable[[#This Row],[Equity Shares]] &gt;0,ISNUMBER( SnapshotTable[[#This Row],[Long Term Target]])),(SnapshotTable[[#This Row],[Equity Shares]]*SnapshotTable[[#This Row],[Long Term Target]]) - SnapshotTable[[#This Row],[Equity Value]],0)</f>
        <v>0</v>
      </c>
      <c r="AO196" s="150" t="str">
        <f>IF(AND(ISNUMBER( SnapshotTable[[#This Row],[Long Term Target]]), ISNUMBER(SnapshotTable[[#This Row],[Last Price]])),(SnapshotTable[[#This Row],[Long Term Target]] - SnapshotTable[[#This Row],[Last Price]]) / SnapshotTable[[#This Row],[Last Price]], "")</f>
        <v/>
      </c>
      <c r="AP196" s="5"/>
      <c r="AQ196" s="38"/>
      <c r="AR196" s="5"/>
      <c r="AS196" s="38"/>
      <c r="AT196" s="144"/>
      <c r="AU196" s="185" t="str">
        <f>IF(OR(SnapshotTable[[#This Row],[LP No Fill]]="Y",SnapshotTable[[#This Row],[SP Is Filled]],SnapshotTable[[#This Row],[LC Not Filled]]="Y",SnapshotTable[[#This Row],[SC Is Filled]]),"Y","")</f>
        <v/>
      </c>
      <c r="AV196" s="205"/>
      <c r="AW196" s="211"/>
      <c r="AX196" s="206"/>
      <c r="AY196" s="205" t="str">
        <f>IF(SnapshotTable[[#This Row],[Implied Move]]&gt;0, SnapshotTable[[#This Row],[Last Price]]-SnapshotTable[[#This Row],[Implied Move]],"")</f>
        <v/>
      </c>
      <c r="AZ196" s="205" t="str">
        <f>IF(SnapshotTable[[#This Row],[Implied Move]]&gt;0, SnapshotTable[[#This Row],[Last Price]] + SnapshotTable[[#This Row],[Implied Move]],"")</f>
        <v/>
      </c>
      <c r="BA196" s="302">
        <v>99.39</v>
      </c>
      <c r="BB196" s="318" t="s">
        <v>763</v>
      </c>
      <c r="BC19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6" s="321"/>
      <c r="BE196" s="5"/>
      <c r="BF196" s="14"/>
      <c r="BG196" s="13"/>
      <c r="BH196" s="13"/>
      <c r="BI196" s="5"/>
      <c r="BJ196" s="134">
        <f>IF(SnapshotTable[[#This Row],[LP Qty]] &gt; 0, SnapshotTable[[#This Row],[LP Qty]] * SnapshotTable[[#This Row],[LP Book Price]] * 100,0)</f>
        <v>0</v>
      </c>
      <c r="BK196" s="134">
        <f>IF(SnapshotTable[[#This Row],[LP Premium]] &gt; 0, SnapshotTable[[#This Row],[LP Qty]] * SnapshotTable[[#This Row],[LP Strike Price]] * 100,0)</f>
        <v>0</v>
      </c>
      <c r="BL196" s="152"/>
      <c r="BM196" s="355" t="str">
        <f>IF(SnapshotTable[[#This Row],[LP Premium]] &gt; 0,SnapshotTable[[#This Row],[LP Exp Date]]-MAX(SnapshotTable[[#This Row],[LP Book Date]], SnapshotTable[[#This Row],[LP Fill Date]]),"")</f>
        <v/>
      </c>
      <c r="BN196" s="355" t="str">
        <f>IF(ISNUMBER( SnapshotTable[[#This Row],[LP Term]]), SnapshotTable[[#This Row],[LP Exp Date]] - MockToday,"")</f>
        <v/>
      </c>
      <c r="BO196" s="161" t="str">
        <f>IF(AND(SnapshotTable[[#This Row],[LP Exp Date]]&gt;0, SnapshotTable[[#This Row],[LP Strike Price]]&gt;0,SnapshotTable[[#This Row],[LP Qty]]&gt;0,SnapshotTable[[#This Row],[LP Book Date]]&gt;0,SnapshotTable[[#This Row],[LP Book Price]]&gt;0,SnapshotTable[[#This Row],[LP Fill Date]]=0),"Y","")</f>
        <v/>
      </c>
      <c r="BP196" s="31" t="str">
        <f>IF(AND(SnapshotTable[[#This Row],[LP No Fill]]&lt;&gt;"Y",SnapshotTable[[#This Row],[LP Contract Value]]&gt;0, SnapshotTable[[#This Row],[LP Qty]]&gt;0), SnapshotTable[[#This Row],[LP Contract Value]]*SnapshotTable[[#This Row],[LP Qty]]*100,"")</f>
        <v/>
      </c>
      <c r="BQ196" s="13"/>
      <c r="BR196" s="5"/>
      <c r="BS196" s="36"/>
      <c r="BT196" s="145"/>
      <c r="BU196" s="13"/>
      <c r="BV196" s="5"/>
      <c r="BW196" s="382" t="b">
        <f>AND(ISNUMBER(SnapshotTable[[#This Row],[SP Exp Date]]), ISNUMBER(SnapshotTable[[#This Row],[SP Strike Price]]), ISNUMBER(SnapshotTable[[#This Row],[SP Qty]]), ISNUMBER(SnapshotTable[[#This Row],[SP Book Date]]), ISNUMBER(SnapshotTable[[#This Row],[SP Book Price]]))</f>
        <v>0</v>
      </c>
      <c r="BX196" s="382" t="b">
        <f>AND(SnapshotTable[[#This Row],[SP Is Booked]], NOT(ISBLANK(SnapshotTable[[#This Row],[SP Fill Date]])))</f>
        <v>0</v>
      </c>
      <c r="BY196" s="33">
        <f>IF(SnapshotTable[[#This Row],[SP Is Booked]], SnapshotTable[[#This Row],[SP Qty]] * SnapshotTable[[#This Row],[SP Book Price]] * 100, 0)</f>
        <v>0</v>
      </c>
      <c r="BZ196" s="339"/>
      <c r="CA196" s="338">
        <f>SnapshotTable[[#This Row],[LP Qty]]</f>
        <v>0</v>
      </c>
      <c r="CB196" s="4" t="str">
        <f>IF(SnapshotTable[[#This Row],[SP Is Booked]], SnapshotTable[[#This Row],[SP Strike Price]] - SnapshotTable[[#This Row],[SP Book Price]], "")</f>
        <v/>
      </c>
      <c r="CC196" s="19" t="str">
        <f>IF(SnapshotTable[[#This Row],[SP Is Booked]],SnapshotTable[[#This Row],[SP Exp Date]]-MAX(SnapshotTable[[#This Row],[SP Book Date]], SnapshotTable[[#This Row],[SP Fill Date]]),"")</f>
        <v/>
      </c>
      <c r="CD196" s="7" t="str">
        <f>IF(SnapshotTable[[#This Row],[SP Is Booked]], SnapshotTable[[#This Row],[SP Book Price]]/SnapshotTable[[#This Row],[SP Strike Price]], "")</f>
        <v/>
      </c>
      <c r="CE196" s="7" t="str">
        <f>IF(ISNUMBER(SnapshotTable[[#This Row],[SP ROO Term]]),SnapshotTable[[#This Row],[SP ROO Term]]*(365/SnapshotTable[[#This Row],[SP Term]]),"")</f>
        <v/>
      </c>
      <c r="CF196" s="221">
        <f>SnapshotTable[[#This Row],[LP Strike Price]] * SnapshotTable[[#This Row],[LP Qty]] * 100</f>
        <v>0</v>
      </c>
      <c r="CG196" s="31">
        <f>IF(ISNUMBER(SnapshotTable[[#This Row],[SP Premium]]), (SnapshotTable[[#This Row],[SP Qty]] * SnapshotTable[[#This Row],[SP Strike Price]]* 100) - SnapshotTable[[#This Row],[LP Protection]], 0)</f>
        <v>0</v>
      </c>
      <c r="CH196" s="7" t="str">
        <f>IF(ISNUMBER(SnapshotTable[[#This Row],[SP Break Even]]),-1 * (SnapshotTable[[#This Row],[SP Break Even]] - SnapshotTable[[#This Row],[Last Price]]) / SnapshotTable[[#This Row],[Last Price]], "")</f>
        <v/>
      </c>
      <c r="CI196" s="31">
        <f>IF(AND(ISNUMBER((SnapshotTable[[#This Row],[SP Potential Spend]])), SnapshotTable[[#This Row],[SP Strike Price]] &gt; SnapshotTable[[#This Row],[Last Price]], SnapshotTable[[#This Row],[SP Is Filled]]), SnapshotTable[[#This Row],[SP Potential Spend]] -  SnapshotTable[[#This Row],[LP Max Value]], 0)</f>
        <v>0</v>
      </c>
      <c r="CJ196" s="229"/>
      <c r="CK196" s="31">
        <f>IF(ISNUMBER(SnapshotTable[[#This Row],[SP Potential Spend]]),IF(ISNUMBER(SnapshotTable[[#This Row],[SP POW]]), SnapshotTable[[#This Row],[SP POW]] * SnapshotTable[[#This Row],[SP Potential Spend]], SnapshotTable[[#This Row],[SP Potential Spend]]), "")</f>
        <v>0</v>
      </c>
      <c r="CL196" s="162">
        <f>IF(NOT(SnapshotTable[[#This Row],[SP Is Filled]]),(SnapshotTable[[#This Row],[SP Qty]] * SnapshotTable[[#This Row],[SP Strike Price]] * 100) - SnapshotTable[[#This Row],[LP Max Value]],"")</f>
        <v>0</v>
      </c>
      <c r="CM196" s="31" t="str">
        <f>IF(SnapshotTable[[#This Row],[SP Actual Spend]]&lt;&gt;0, ((SnapshotTable[[#This Row],[SP Strike Price]]-SnapshotTable[[#This Row],[Last Price]]) *(SnapshotTable[[#This Row],[SP Qty]]*100) - SnapshotTable[[#This Row],[SP Premium]]) * - 1, "")</f>
        <v/>
      </c>
      <c r="CN196" s="76"/>
      <c r="CO196" s="339"/>
      <c r="CP196" s="4" t="str">
        <f>IF(SnapshotTable[[#This Row],[SP Is Filled]], btc_max_buyback_amount(SnapshotTable[[#This Row],[SP Fill Date]],SnapshotTable[[#This Row],[SP Exp Date]], SnapshotTable[[#This Row],[SP Book Price]]),"")</f>
        <v/>
      </c>
      <c r="CQ196" s="76"/>
      <c r="CR19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6" s="153" t="str">
        <f>IF(SnapshotTable[[#This Row],[SP Is Filled]], btc_next_cutoff_date(SnapshotTable[[#This Row],[SP Fill Date]],SnapshotTable[[#This Row],[SP Exp Date]]),"")</f>
        <v/>
      </c>
      <c r="CT196" s="220" t="str" cm="1">
        <f t="array" ref="CT196">IF(SnapshotTable[[#This Row],[SP Is Filled]], btc_should_buy_back(SnapshotTable[[#This Row],[SP Fill Date]], SnapshotTable[[#This Row],[SP Exp Date]], SnapshotTable[[#This Row],[SP Book Price]], SnapshotTable[[#This Row],[SP Current Ask]], MockToday, SnapshotTable[[#This Row],[SP Buyback Override]]),"")</f>
        <v/>
      </c>
      <c r="CU196" s="154"/>
      <c r="CV196" s="220"/>
      <c r="CW196" s="348" t="str">
        <f>IF(ISNUMBER( SnapshotTable[[#This Row],[SP Term]]), SnapshotTable[[#This Row],[SP Exp Date]] - MockToday,"")</f>
        <v/>
      </c>
      <c r="CX196" s="31" t="str">
        <f>IF(SnapshotTable[[#This Row],[SP Is Filled]],SnapshotTable[[#This Row],[SP Buyback Price to Use]] * 100 * SnapshotTable[[#This Row],[SP Qty]], "")</f>
        <v/>
      </c>
      <c r="CY196" s="4" t="str">
        <f>IF(ISNUMBER(SnapshotTable[[#This Row],[SP Strike Price]]), SnapshotTable[[#This Row],[SP Strike Price]] * (1 - SP_MaxLoss_StrikePct), "")</f>
        <v/>
      </c>
      <c r="CZ196" s="31" t="str">
        <f>IF(ISNUMBER(SnapshotTable[[#This Row],[SP Strike  Stop Per Share]]),SnapshotTable[[#This Row],[SP Premium]] - ((SnapshotTable[[#This Row],[SP Strike Price]]-SnapshotTable[[#This Row],[SP Strike  Stop Per Share]]) *(SnapshotTable[[#This Row],[SP Qty]] * 100)),"")</f>
        <v/>
      </c>
      <c r="DA196" s="4" t="str">
        <f>IF(AND(ISNUMBER(SnapshotTable[[#This Row],[SP Premium]]),SnapshotTable[[#This Row],[SP Premium]]&gt;0), SnapshotTable[[#This Row],[SP Book Price]] * (1 + SP_MaxLoss_OptionPct), "")</f>
        <v/>
      </c>
      <c r="DB196" s="31" t="str">
        <f>IF(ISNUMBER(SnapshotTable[[#This Row],[SP Option  Stop Contract]]),(SnapshotTable[[#This Row],[SP Option  Stop Contract]] *(SnapshotTable[[#This Row],[SP Qty]] * 100) - SnapshotTable[[#This Row],[SP Premium]]),"")</f>
        <v/>
      </c>
      <c r="DC196" s="4"/>
      <c r="DD196" s="4"/>
      <c r="DE196" s="4" t="str">
        <f>IF(AND(SnapshotTable[[#This Row],[SP Qty]]&gt;0, SnapshotTable[[#This Row],[SP Stop To Use]]&gt;0),SnapshotTable[[#This Row],[SP Premium]] - ( SnapshotTable[[#This Row],[SP Qty]] * SnapshotTable[[#This Row],[SP Stop To Use]] * 100), "")</f>
        <v/>
      </c>
      <c r="DF196" s="31" t="str">
        <f>IF(AND(SnapshotTable[[#This Row],[SP Qty]]&gt;0,SnapshotTable[[#This Row],[SP Current Ask]]&gt;0), SnapshotTable[[#This Row],[SP Qty]] * SnapshotTable[[#This Row],[SP Current Ask]] * -100, "")</f>
        <v/>
      </c>
      <c r="DG196" s="31" t="str">
        <f>IF(ISNUMBER((SnapshotTable[[#This Row],[SP Total Value]])), SnapshotTable[[#This Row],[SP Premium]] + SnapshotTable[[#This Row],[SP Total Value]], "")</f>
        <v/>
      </c>
      <c r="DH196" s="272" t="str">
        <f>IF(ISNUMBER((SnapshotTable[[#This Row],[SP Total Value]])), SnapshotTable[[#This Row],[SP Gain Loss]] / SnapshotTable[[#This Row],[SP Premium]], "")</f>
        <v/>
      </c>
      <c r="DI196" s="369"/>
      <c r="DJ196" s="136"/>
      <c r="DK196" s="146"/>
      <c r="DL196" s="13"/>
      <c r="DM196" s="13"/>
      <c r="DO196" s="31">
        <f>IF(SnapshotTable[[#This Row],[LC Symbol Count]]=1, SnapshotTable[[#This Row],[LC Qty]] * SnapshotTable[[#This Row],[LC Book Price]] * 100, 0)</f>
        <v>0</v>
      </c>
      <c r="DP196" s="161" t="str">
        <f>IF(AND(SnapshotTable[[#This Row],[LC Exp Date]]&gt;0, SnapshotTable[[#This Row],[LC Strike Price]]&gt;0,SnapshotTable[[#This Row],[LC Qty]]&gt;0,SnapshotTable[[#This Row],[LC Book Date]]&gt;0,SnapshotTable[[#This Row],[LC Book Price]]&gt;0,SnapshotTable[[#This Row],[LC Fill Date]]=0),"Y","")</f>
        <v/>
      </c>
      <c r="DQ196" s="356" t="str">
        <f>IF(SnapshotTable[[#This Row],[LC Premium]] &gt; 0,SnapshotTable[[#This Row],[LC Exp Date]]-MAX(SnapshotTable[[#This Row],[LC Book Date]], SnapshotTable[[#This Row],[LC Fill Date]]),"")</f>
        <v/>
      </c>
      <c r="DR196" s="356" t="str">
        <f>IF(ISNUMBER(SnapshotTable[[#This Row],[LC Term]]), SnapshotTable[[#This Row],[LC Exp Date]] - MockToday, "")</f>
        <v/>
      </c>
      <c r="DS196" s="219" t="str">
        <f>IF(SnapshotTable[[#This Row],[LC Premium]]&gt;0,SnapshotTable[[#This Row],[LC Strike Price]] + SnapshotTable[[#This Row],[LC Book Price]],"")</f>
        <v/>
      </c>
      <c r="DU196" s="9" t="str">
        <f>IF(AND(SnapshotTable[[#This Row],[LC Symbol Count]]&gt;0, SnapshotTable[[#This Row],[LC Contract Value]]&gt;0), SnapshotTable[[#This Row],[LC Contract Value]] * SnapshotTable[[#This Row],[LC Qty]] * 100, "")</f>
        <v/>
      </c>
      <c r="DV196" s="9" t="str">
        <f>IF(AND(ISNUMBER(SnapshotTable[[#This Row],[LC Total Value]]), SnapshotTable[[#This Row],[LC Not Filled]]&lt;&gt;"Y"), SnapshotTable[[#This Row],[LC Total Value]]-SnapshotTable[[#This Row],[LC Premium]],"")</f>
        <v/>
      </c>
      <c r="DW196" s="225" t="str">
        <f>IF(ISNUMBER(SnapshotTable[[#This Row],[LC Actual Gain Loss]]), SnapshotTable[[#This Row],[LC Actual Gain Loss]] / SnapshotTable[[#This Row],[LC Premium]],"")</f>
        <v/>
      </c>
      <c r="DX196" s="269" t="str">
        <f>IF(ISNUMBER(SnapshotTable[[#This Row],[LC Book Price]]),SnapshotTable[[#This Row],[LC Book Price]] * 1.5,"")</f>
        <v/>
      </c>
      <c r="DY196" s="250" t="str">
        <f>IF(SnapshotTable[[#This Row],[LC Premium]]&gt;0, SnapshotTable[[#This Row],[LC Next Target]] * SnapshotTable[[#This Row],[LC Qty]] * 100,"")</f>
        <v/>
      </c>
      <c r="DZ196" s="250" t="str">
        <f>IF(ISNUMBER(SnapshotTable[[#This Row],[LC Target Gross]]), SnapshotTable[[#This Row],[LC Target Gross]] - SnapshotTable[[#This Row],[LC Premium]], "")</f>
        <v/>
      </c>
      <c r="EA196" s="283" t="str">
        <f>IF(ISNUMBER(SnapshotTable[[#This Row],[LC Target Gain Loss]]), SnapshotTable[[#This Row],[LC Target Gain Loss]]/SnapshotTable[[#This Row],[LC Premium]], "")</f>
        <v/>
      </c>
      <c r="EB196" s="247"/>
      <c r="EC196" s="268" t="str">
        <f>IF(SnapshotTable[[#This Row],[LC Premium]]&gt;0, SnapshotTable[[#This Row],[LC Book Price]] * (1 - LC_StopLoss_Pct),"")</f>
        <v/>
      </c>
      <c r="ED196" s="269"/>
      <c r="EE196" s="268" t="str">
        <f>IF(ISNUMBER(SnapshotTable[[#This Row],[LC Contract Value]]),IF(ISNUMBER(SnapshotTable[[#This Row],[LC Stop Loss Override]]), SnapshotTable[[#This Row],[LC Stop Loss Override]],SnapshotTable[[#This Row],[LC Stop Loss Calc Target]]),"")</f>
        <v/>
      </c>
      <c r="EF196" s="31" t="str">
        <f>IF(ISNUMBER(SnapshotTable[[#This Row],[LC Stop  To Use]]), (SnapshotTable[[#This Row],[LC Stop  To Use]] * SnapshotTable[[#This Row],[LC Qty]] * 100),"")</f>
        <v/>
      </c>
      <c r="EG196" s="9" t="str">
        <f>IF(ISNUMBER(SnapshotTable[[#This Row],[LC Total Value]]),SnapshotTable[[#This Row],[LC Stop Loss Amount]] - SnapshotTable[[#This Row],[LC Premium]],"")</f>
        <v/>
      </c>
      <c r="EH196" s="9">
        <f>IF(ISNUMBER(SnapshotTable[[#This Row],[LC Premium]]), SnapshotTable[[#This Row],[LC Qty]] * 100 * SnapshotTable[[#This Row],[LC Strike Price]], "")</f>
        <v>0</v>
      </c>
      <c r="EI196" s="225" t="str">
        <f>IF(AND(ISNUMBER(SnapshotTable[[#This Row],[LC Total Value]]),SnapshotTable[[#This Row],[LC Total Value]]&gt;0),SnapshotTable[[#This Row],[LC Stop Gain Loss]]  / SnapshotTable[[#This Row],[LC Premium]],"")</f>
        <v/>
      </c>
      <c r="EJ196" s="35">
        <f>IF(ISNUMBER(SnapshotTable[[#This Row],[Equity Shares]]),TRUNC(SnapshotTable[[#This Row],[Equity Shares]] / 100),0) + SnapshotTable[[#This Row],[LC Qty]]</f>
        <v>0</v>
      </c>
      <c r="EK196" s="145"/>
      <c r="EL196" s="136"/>
      <c r="EM196" s="146"/>
      <c r="EN196" s="145"/>
      <c r="EO196" s="145"/>
      <c r="EP196" s="136"/>
      <c r="EQ196" s="382" t="b">
        <f>AND(ISNUMBER(SnapshotTable[[#This Row],[SC Exp Date]]), ISNUMBER(SnapshotTable[[#This Row],[SC Strike Price]]), ISNUMBER(SnapshotTable[[#This Row],[SC Qty]]), ISNUMBER(SnapshotTable[[#This Row],[SC Book Date]]), ISNUMBER(SnapshotTable[[#This Row],[SC Book Price]]))</f>
        <v>0</v>
      </c>
      <c r="ER196" s="382" t="b">
        <f>AND(SnapshotTable[[#This Row],[SC Is Booked]], NOT(ISBLANK(SnapshotTable[[#This Row],[SC Fill Date]])))</f>
        <v>0</v>
      </c>
      <c r="ES196" s="340"/>
      <c r="ET196" s="34" t="str">
        <f>IF(AND(ISNUMBER(SnapshotTable[[#This Row],[SC Exp Date]]), ISNUMBER(SnapshotTable[[#This Row],[SC Book Date]])), SnapshotTable[[#This Row],[SC Exp Date]] - MAX(SnapshotTable[[#This Row],[SC Book Date]], SnapshotTable[[#This Row],[SC Fill Date]]) + 1, "")</f>
        <v/>
      </c>
      <c r="EU196" s="34" t="str">
        <f>IF(ISNUMBER(SnapshotTable[[#This Row],[SC Term]]), SnapshotTable[[#This Row],[SC Exp Date]]- MockToday, "")</f>
        <v/>
      </c>
      <c r="EV196" s="31">
        <f>IF(SnapshotTable[[#This Row],[SC Is Booked]], SnapshotTable[[#This Row],[SC Qty]] * SnapshotTable[[#This Row],[SC Book Price]] * 100, 0)</f>
        <v>0</v>
      </c>
      <c r="EW196" s="4" t="str">
        <f>IF(AND(ISNUMBER(SnapshotTable[[#This Row],[Last Price]]), ISNUMBER( SnapshotTable[[#This Row],[SC Book Price]])), SnapshotTable[[#This Row],[Last Price]] - SnapshotTable[[#This Row],[SC Book Price]],"")</f>
        <v/>
      </c>
      <c r="EX196" s="219" t="str">
        <f>IF(SnapshotTable[[#This Row],[SC Is Booked]],IF(SnapshotTable[[#This Row],[SC Intrinsic Value]] &gt; 0, SnapshotTable[[#This Row],[SC Strike Price]], SnapshotTable[[#This Row],[Last Price]]), "")</f>
        <v/>
      </c>
      <c r="EY196" s="4">
        <f>IF(SnapshotTable[[#This Row],[SC Is Booked]], (MinimumPremiumRequired * SnapshotTable[[#This Row],[SC Basis]] * SnapshotTable[[#This Row],[SC Term]]), 0)</f>
        <v>0</v>
      </c>
      <c r="EZ196" s="268"/>
      <c r="FA196" s="204"/>
      <c r="FB196" s="340"/>
      <c r="FC196" s="4">
        <f>IF(SnapshotTable[[#This Row],[SC Is Filled]], btc_max_buyback_amount(SnapshotTable[[#This Row],[SC Fill Date]],SnapshotTable[[#This Row],[SC Exp Date]], SnapshotTable[[#This Row],[SC Book Price]]),0)</f>
        <v>0</v>
      </c>
      <c r="FD196" s="5"/>
      <c r="FE196" s="142" t="str">
        <f>IF(SnapshotTable[[#This Row],[SC Is Filled]], btc_next_cutoff_date(SnapshotTable[[#This Row],[SC Fill Date]],SnapshotTable[[#This Row],[SC Exp Date]]),"")</f>
        <v/>
      </c>
      <c r="FF196" s="4" t="str" cm="1">
        <f t="array" ref="FF196">IF(SnapshotTable[[#This Row],[SC Is Filled]], btc_should_buy_back(SnapshotTable[[#This Row],[SC Fill Date]], SnapshotTable[[#This Row],[SC Exp Date]], SnapshotTable[[#This Row],[SC Book Price]], SnapshotTable[[#This Row],[SC Current Ask]], MockToday, SnapshotTable[[#This Row],[SC Buyback Override]]),"")</f>
        <v/>
      </c>
      <c r="FG196" s="4">
        <f>IF(SnapshotTable[[#This Row],[SC Is Filled]], MAX(0,SnapshotTable[[#This Row],[Last Price]]  - SnapshotTable[[#This Row],[SC Strike Price]]), 0)</f>
        <v>0</v>
      </c>
      <c r="FH196" s="352">
        <f>IF(SnapshotTable[[#This Row],[SC Is Filled]], IF(ISNUMBER(SnapshotTable[[#This Row],[SC Current Ask]]), SnapshotTable[[#This Row],[SC Current Ask]], SnapshotTable[[#This Row],[SC Book Price]]) - SnapshotTable[[#This Row],[SC Intrinsic Value]], 0)</f>
        <v>0</v>
      </c>
      <c r="FI196" s="141"/>
      <c r="FJ196" s="32" t="str">
        <f>IF(SnapshotTable[[#This Row],[SC Is Filled]],100 * SnapshotTable[[#This Row],[SC Qty]] * IF(ISNUMBER(SnapshotTable[[#This Row],[SC Buyback Override]]), SnapshotTable[[#This Row],[SC Buyback Override]], SnapshotTable[[#This Row],[SC Current Ask]]), "")</f>
        <v/>
      </c>
      <c r="FK196" s="235" t="str">
        <f>IF(SnapshotTable[[#This Row],[SC Time Val]]&gt;0, SnapshotTable[[#This Row],[SC Time Val]] / SnapshotTable[[#This Row],[Last Price]],"")</f>
        <v/>
      </c>
      <c r="FL196" s="280" t="str">
        <f>IF(SnapshotTable[[#This Row],[SC Is Booked]], ((SnapshotTable[[#This Row],[Last Price]] -SnapshotTable[[#This Row],[SC Strike Price]]) / SnapshotTable[[#This Row],[Last Price]]) * -1, "")</f>
        <v/>
      </c>
      <c r="FM196" s="155" t="str">
        <f>IF(SnapshotTable[[#This Row],[SC Is Booked]],  (SnapshotTable[[#This Row],[SC Qty]] * 100 * SnapshotTable[[#This Row],[SC Strike Price]]) - SnapshotTable[[#This Row],[SC Current Ask]], "")</f>
        <v/>
      </c>
      <c r="FN19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6" s="31" t="str">
        <f>IF(AND(ISNUMBER(SnapshotTable[[#This Row],[SC Exercise Gross]]), ISNUMBER(SnapshotTable[[#This Row],[Equity Basis Per Share]] )), SnapshotTable[[#This Row],[SC Exercise Gross]] - SnapshotTable[[#This Row],[Equity Basis Total]] +  SnapshotTable[[#This Row],[SC Premium]], "")</f>
        <v/>
      </c>
      <c r="FP196" s="5" t="str">
        <f>IF(ISNUMBER(SnapshotTable[[#This Row],[SC Exercise Gross]]), (SnapshotTable[[#This Row],[SC Exercise Gross]]) / (SnapshotTable[[#This Row],[SC Qty]] * 100), "")</f>
        <v/>
      </c>
      <c r="FQ196" s="27" t="str">
        <f>IF(SnapshotTable[[#This Row],[SC Is Booked]],SnapshotTable[[#This Row],[SC Time Val]] /SnapshotTable[[#This Row],[SC Basis]], "")</f>
        <v/>
      </c>
      <c r="FR196" s="27" t="str" cm="1">
        <f t="array" ref="FR196">IF(AND(ISNUMBER(SnapshotTable[[#This Row],[SC Term]]),ISNUMBER(SnapshotTable[[#This Row],[SC Simple ROO]])), EllmanAnnualize(SnapshotTable[[#This Row],[SC DTE]], SnapshotTable[[#This Row],[SC Simple ROO]] ),"")</f>
        <v/>
      </c>
      <c r="FS196" s="4">
        <f>IF(SnapshotTable[[#This Row],[SC Strike Price]] &gt; SnapshotTable[[#This Row],[Last Price]], SnapshotTable[[#This Row],[SC Strike Price]] - SnapshotTable[[#This Row],[Last Price]],0)</f>
        <v>0</v>
      </c>
      <c r="FT196" s="27" t="str">
        <f>IF(AND(ISNUMBER(SnapshotTable[[#This Row],[SC Upside Potential]]), SnapshotTable[[#This Row],[SC Upside Potential]] &gt; 0),(SnapshotTable[[#This Row],[SC Upside Potential]]/ SnapshotTable[[#This Row],[ACB]]),"")</f>
        <v/>
      </c>
      <c r="FU196" s="304" t="str">
        <f>IF(SnapshotTable[[#This Row],[SC Intrinsic Value]] &gt; 0,SnapshotTable[[#This Row],[SC Intrinsic Value]],"")</f>
        <v/>
      </c>
      <c r="FV196" s="27" t="str">
        <f>IF(AND( ISNUMBER( SnapshotTable[[#This Row],[ACB]]),ISNUMBER(SnapshotTable[[#This Row],[SC Downside Protect]])),SnapshotTable[[#This Row],[SC Downside Protect]] / SnapshotTable[[#This Row],[ACB]],"")</f>
        <v/>
      </c>
      <c r="FW196" s="221" t="str">
        <f>IF(AND(ISNUMBER(SnapshotTable[[#This Row],[SC Simple ROO]]),SnapshotTable[[#This Row],[SC Simple ROO]] &gt; 0), SnapshotTable[[#This Row],[SC Premium]] + (SnapshotTable[[#This Row],[SC Qty]] * SnapshotTable[[#This Row],[SC Upside Potential]]), "")</f>
        <v/>
      </c>
      <c r="FX196" s="280" t="str" cm="1">
        <f t="array" ref="FX196">IF(ISNUMBER(SnapshotTable[[#This Row],[SC Max Dollars]]), annualize(SnapshotTable[[#This Row],[SC Term]],(SnapshotTable[[#This Row],[SC Max Dollars]]/SnapshotTable[[#This Row],[SC Basis]])),"")</f>
        <v/>
      </c>
      <c r="FY196" s="221" t="str">
        <f>IF(AND(SnapshotTable[[#This Row],[SC Qty]]&gt;0,SnapshotTable[[#This Row],[SC Current Ask]]&gt;0), SnapshotTable[[#This Row],[SC Qty]] * SnapshotTable[[#This Row],[SC Current Ask]] * -100, "")</f>
        <v/>
      </c>
      <c r="FZ196" s="31" t="str">
        <f>IF(ISNUMBER((SnapshotTable[[#This Row],[SC Current Value]])), SnapshotTable[[#This Row],[SC Premium]] + SnapshotTable[[#This Row],[SC Current Value]], "")</f>
        <v/>
      </c>
      <c r="GA196" s="272" t="str">
        <f>IFERROR( IF(ISNUMBER((SnapshotTable[[#This Row],[SC Current Value]])), SnapshotTable[[#This Row],[SC Gain Loss]] / SnapshotTable[[#This Row],[SC Premium]], ""), "")</f>
        <v/>
      </c>
      <c r="GB196" s="42">
        <f>SnapshotTable[[#This Row],[Equity Shares]] * SaleSharesToConsiderPercentage</f>
        <v>0</v>
      </c>
      <c r="GC196" s="40">
        <f>SnapshotTable[[#This Row],[Long Term Target]] * SellingPriceToConsiderBasedOnTargetPercentage</f>
        <v>0</v>
      </c>
      <c r="GD196" s="40">
        <f>SnapshotTable[[#This Row],[Last Price]] * (1+ SellingPriceToConsiderBasedOnTargetPercentage)</f>
        <v>133.6335</v>
      </c>
      <c r="GE196" s="41"/>
      <c r="GF196" s="40"/>
      <c r="GG196" s="31">
        <f>SnapshotTable[[#This Row],[Booked Sale Shares]] * SnapshotTable[[#This Row],[Booked Sale Price]]</f>
        <v>0</v>
      </c>
      <c r="GH196" s="31" t="str">
        <f>IF(SnapshotTable[[#This Row],[Equity Basis Total]] &gt; 0, SnapshotTable[[#This Row],[Equity Basis Per Share]] * SnapshotTable[[#This Row],[Booked Sale Shares]], "")</f>
        <v/>
      </c>
      <c r="GI196" s="31">
        <f>IF(SnapshotTable[[#This Row],[Sale Proceeds]]&gt;0, SnapshotTable[[#This Row],[Sale Proceeds]] - SnapshotTable[[#This Row],[Sale Basis]], 0)</f>
        <v>0</v>
      </c>
      <c r="GJ196" s="27" t="str">
        <f>IF(SnapshotTable[[#This Row],[Sale G/L]]&gt;0, SnapshotTable[[#This Row],[Sale G/L]] / SnapshotTable[[#This Row],[Sale Basis]], IF(ISNUMBER(SnapshotTable[[#This Row],[SC Exercise P&amp;L (TAX)]]), SnapshotTable[[#This Row],[SC Exercise P&amp;L (TAX)]] / SnapshotTable[[#This Row],[SC Basis]], ""))</f>
        <v/>
      </c>
      <c r="GK196" s="27"/>
      <c r="GL196" s="43" t="str">
        <f>IF(AND(SnapshotTable[[#This Row],[LP Exp Date]]&gt;0,SnapshotTable[[#This Row],[LP Strike Price]]&gt;0), [1]!ToOptionSymbol(SnapshotTable[[#This Row],[Symbol]], SnapshotTable[[#This Row],[LP Strike Price]],SnapshotTable[[#This Row],[LP Exp Date]],1), "")</f>
        <v/>
      </c>
      <c r="GM196" s="30" t="str">
        <f>IF(LEN(SnapshotTable[[#This Row],[LP Symbol]])&gt;0, 1, "")</f>
        <v/>
      </c>
      <c r="GN196" s="43" t="str">
        <f>IF(AND(SnapshotTable[[#This Row],[SP Exp Date]]&gt;0,SnapshotTable[[#This Row],[SP Strike Price]]&gt;0), [1]!ToOptionSymbol(SnapshotTable[[#This Row],[Symbol]], SnapshotTable[[#This Row],[SP Strike Price]],SnapshotTable[[#This Row],[SP Exp Date]],1), "")</f>
        <v/>
      </c>
      <c r="GO196" s="30" t="str">
        <f>IF(LEN(SnapshotTable[[#This Row],[SP Symbol]])&gt;0, 1, "")</f>
        <v/>
      </c>
      <c r="GP196" s="43" t="str">
        <f>IF(AND(SnapshotTable[[#This Row],[LC Exp Date]]&gt;0,SnapshotTable[[#This Row],[LC Strike Price]]&gt;0), [1]!ToOptionSymbol(SnapshotTable[[#This Row],[Symbol]], SnapshotTable[[#This Row],[LC Strike Price]],SnapshotTable[[#This Row],[LC Exp Date]],0), "")</f>
        <v/>
      </c>
      <c r="GQ196" s="30" t="str">
        <f>IF(LEN(SnapshotTable[[#This Row],[LC Symbol]])&gt;0, 1, "")</f>
        <v/>
      </c>
      <c r="GR196" s="43" t="str">
        <f>IF(AND(SnapshotTable[[#This Row],[SC Exp Date]]&gt;0,SnapshotTable[[#This Row],[SC Strike Price]]&gt;0), [1]!ToOptionSymbol(SnapshotTable[[#This Row],[Symbol]], SnapshotTable[[#This Row],[SC Strike Price]],SnapshotTable[[#This Row],[SC Exp Date]],0), "")</f>
        <v/>
      </c>
      <c r="GS196" s="30" t="str">
        <f>IF(LEN(SnapshotTable[[#This Row],[SC Symbol]])&gt;0, 1, "")</f>
        <v/>
      </c>
      <c r="GT196" s="29" t="str">
        <f>IF(COUNT(SnapshotTable[[#This Row],[LP Symbol Count]],SnapshotTable[[#This Row],[SP Symbol Count]],SnapshotTable[[#This Row],[LC Symbol Count]],SnapshotTable[[#This Row],[SC Symbol Count]])&gt;0, "Y", "")</f>
        <v/>
      </c>
      <c r="GU19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6" s="216">
        <f>MAX(SnapshotTable[[#This Row],[Equity Basis Total]],SnapshotTable[[#This Row],[Equity Value]]) + (SnapshotTable[[#This Row],[SP Potential Spend]]- SnapshotTable[[#This Row],[SP Premium]] + SnapshotTable[[#This Row],[LP Premium]])+ (SnapshotTable[[#This Row],[LC Premium]] - SnapshotTable[[#This Row],[SC Premium]])</f>
        <v>0</v>
      </c>
      <c r="GW196" s="137" t="str">
        <f>IF(AND(SnapshotTable[[#This Row],[Exposure]] &lt;&gt; 0),SnapshotTable[[#This Row],[Exposure]] / SnapshotTable[[#Totals],[Exposure]], "")</f>
        <v/>
      </c>
      <c r="HE196" s="253"/>
      <c r="HF196" s="253"/>
      <c r="HK196" s="1"/>
      <c r="HL196" s="1"/>
      <c r="HM196" s="1"/>
      <c r="HN196" s="1"/>
      <c r="HO196" s="1"/>
      <c r="HP196" s="1"/>
    </row>
    <row r="197" spans="2:224" ht="12.75" hidden="1" customHeight="1" x14ac:dyDescent="0.25">
      <c r="B197" s="12" t="s">
        <v>786</v>
      </c>
      <c r="C197" s="385">
        <v>1.38</v>
      </c>
      <c r="D197" s="200"/>
      <c r="E197" s="39">
        <f>SnapshotTable[[#This Row],[Last Price]]*(1 -CrashDiscount)</f>
        <v>1.1729999999999998</v>
      </c>
      <c r="F197" s="26" t="s">
        <v>787</v>
      </c>
      <c r="G197" s="26" t="s">
        <v>493</v>
      </c>
      <c r="H197" s="147"/>
      <c r="I197" s="186">
        <v>44782.666666666664</v>
      </c>
      <c r="J197" s="187">
        <v>44782.666666666664</v>
      </c>
      <c r="K197" s="188"/>
      <c r="L197" s="297"/>
      <c r="M197" s="138"/>
      <c r="N197" s="138"/>
      <c r="O197" s="138"/>
      <c r="P197" s="22"/>
      <c r="Q197" s="25"/>
      <c r="R197" s="4" t="str">
        <f>IF(SnapshotTable[[#This Row],[Equity Basis Total]] &gt; 0, SnapshotTable[[#This Row],[Equity Basis Total]] / SnapshotTable[[#This Row],[Equity Shares]], "")</f>
        <v/>
      </c>
      <c r="S197" s="254">
        <f>SnapshotTable[[#This Row],[Last Price]] * SnapshotTable[[#This Row],[Equity Shares]]</f>
        <v>0</v>
      </c>
      <c r="T197" s="254">
        <f>SnapshotTable[[#This Row],[Equity Value]] - SnapshotTable[[#This Row],[Equity Basis Total]]</f>
        <v>0</v>
      </c>
      <c r="U197" s="255" t="str">
        <f>IF(SnapshotTable[[#This Row],[Equity Basis Total]] &gt; 0, SnapshotTable[[#This Row],[Equity G/L]] / SnapshotTable[[#This Row],[Equity Basis Total]], "")</f>
        <v/>
      </c>
      <c r="V197" s="253">
        <v>60</v>
      </c>
      <c r="W197" s="305" t="s">
        <v>788</v>
      </c>
      <c r="X197" s="4" t="str">
        <f>IF(AND(ISNUMBER(SnapshotTable[[#This Row],[Equity Basis Per Share]]),ISNUMBER(SnapshotTable[[#This Row],[Equity Target]])),SnapshotTable[[#This Row],[Equity Target]]-SnapshotTable[[#This Row],[Equity Basis Per Share]],"")</f>
        <v/>
      </c>
      <c r="Y197" s="4" t="str">
        <f>IF(AND(ISNUMBER(SnapshotTable[[#This Row],[Equity Basis Per Share]]),ISNUMBER(SnapshotTable[[#This Row],[Equity Stop Loss]])),SnapshotTable[[#This Row],[Equity Stop Loss]]-SnapshotTable[[#This Row],[Equity Basis Per Share]],"")</f>
        <v/>
      </c>
      <c r="Z197" s="260" t="str">
        <f>IFERROR( TEXT(SnapshotTable[[#This Row],[Equity Max Gain Per Share]] /ABS( SnapshotTable[[#This Row],[Equity Max Loss Per Share]]),"0.0 " ) &amp; " : 1", "")</f>
        <v/>
      </c>
      <c r="AA197" s="31" t="str">
        <f>IF(ISNUMBER(SnapshotTable[[#This Row],[Equity Max Gain Per Share]]),SnapshotTable[[#This Row],[Equity Max Gain Per Share]] * SnapshotTable[[#This Row],[Equity Shares]],"")</f>
        <v/>
      </c>
      <c r="AB197" s="31" t="str">
        <f>IF(ISNUMBER(SnapshotTable[[#This Row],[Equity Max Loss Per Share]]),SnapshotTable[[#This Row],[Equity Max Loss Per Share]] * SnapshotTable[[#This Row],[Equity Shares]],"")</f>
        <v/>
      </c>
      <c r="AC197" s="148"/>
      <c r="AD197" s="149"/>
      <c r="AE197" s="31">
        <f>(SnapshotTable[[#This Row],[Annual Dividend Per Share]] / 4) * SnapshotTable[[#This Row],[Equity Shares]]</f>
        <v>0</v>
      </c>
      <c r="AF197" s="31">
        <f>SnapshotTable[[#This Row],[Quarterly Div $]] * 4</f>
        <v>0</v>
      </c>
      <c r="AG197" s="7">
        <f>IF(SnapshotTable[[#This Row],[Annual Dividend Per Share]]&gt;0, SnapshotTable[[#This Row],[Annual Dividend Per Share]]  / SnapshotTable[[#This Row],[Last Price]], 0)</f>
        <v>0</v>
      </c>
      <c r="AH197" s="149"/>
      <c r="AI197" s="5"/>
      <c r="AJ197" s="136">
        <v>59.88</v>
      </c>
      <c r="AK197" s="150" t="str">
        <f>IF(ISNUMBER( SnapshotTable[[#This Row],[EBF Target]]),(SnapshotTable[[#This Row],[EBF Target]] - SnapshotTable[[#This Row],[Last Price]]) / SnapshotTable[[#This Row],[Last Price]], "")</f>
        <v/>
      </c>
      <c r="AL197" s="150" t="str">
        <f>IF(AND(SnapshotTable[[#This Row],[Equity Basis Total]] &gt; 0,ISNUMBER( SnapshotTable[[#This Row],[Long Term Target]])), SnapshotTable[[#This Row],[From Basis $]] / SnapshotTable[[#This Row],[Equity Basis Total]], "")</f>
        <v/>
      </c>
      <c r="AM197" s="9">
        <f>IF( AND(SnapshotTable[[#This Row],[Equity Shares]] &gt;0,ISNUMBER( SnapshotTable[[#This Row],[Long Term Target]])),(SnapshotTable[[#This Row],[Equity Shares]] * SnapshotTable[[#This Row],[Long Term Target]]) - SnapshotTable[[#This Row],[Equity Basis Total]],0)</f>
        <v>0</v>
      </c>
      <c r="AN197" s="9">
        <f>IF( AND(SnapshotTable[[#This Row],[Equity Shares]] &gt;0,ISNUMBER( SnapshotTable[[#This Row],[Long Term Target]])),(SnapshotTable[[#This Row],[Equity Shares]]*SnapshotTable[[#This Row],[Long Term Target]]) - SnapshotTable[[#This Row],[Equity Value]],0)</f>
        <v>0</v>
      </c>
      <c r="AO197" s="150">
        <f>IF(AND(ISNUMBER( SnapshotTable[[#This Row],[Long Term Target]]), ISNUMBER(SnapshotTable[[#This Row],[Last Price]])),(SnapshotTable[[#This Row],[Long Term Target]] - SnapshotTable[[#This Row],[Last Price]]) / SnapshotTable[[#This Row],[Last Price]], "")</f>
        <v>42.391304347826093</v>
      </c>
      <c r="AP197" s="5"/>
      <c r="AQ197" s="38"/>
      <c r="AR197" s="5"/>
      <c r="AS197" s="38"/>
      <c r="AT197" s="144"/>
      <c r="AU197" s="185" t="str">
        <f>IF(OR(SnapshotTable[[#This Row],[LP No Fill]]="Y",SnapshotTable[[#This Row],[SP Is Filled]],SnapshotTable[[#This Row],[LC Not Filled]]="Y",SnapshotTable[[#This Row],[SC Is Filled]]),"Y","")</f>
        <v/>
      </c>
      <c r="AV197" s="205"/>
      <c r="AW197" s="211"/>
      <c r="AX197" s="206"/>
      <c r="AY197" s="205" t="str">
        <f>IF(SnapshotTable[[#This Row],[Implied Move]]&gt;0, SnapshotTable[[#This Row],[Last Price]]-SnapshotTable[[#This Row],[Implied Move]],"")</f>
        <v/>
      </c>
      <c r="AZ197" s="205" t="str">
        <f>IF(SnapshotTable[[#This Row],[Implied Move]]&gt;0, SnapshotTable[[#This Row],[Last Price]] + SnapshotTable[[#This Row],[Implied Move]],"")</f>
        <v/>
      </c>
      <c r="BA197" s="302">
        <v>41.45</v>
      </c>
      <c r="BB197" s="318"/>
      <c r="BC19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7" s="321"/>
      <c r="BE197" s="136"/>
      <c r="BF197" s="164"/>
      <c r="BG197" s="165"/>
      <c r="BH197" s="165"/>
      <c r="BI197" s="207"/>
      <c r="BJ197" s="151">
        <f>IF(SnapshotTable[[#This Row],[LP Qty]] &gt; 0, SnapshotTable[[#This Row],[LP Qty]] * SnapshotTable[[#This Row],[LP Book Price]] * 100,0)</f>
        <v>0</v>
      </c>
      <c r="BK197" s="134">
        <f>IF(SnapshotTable[[#This Row],[LP Premium]] &gt; 0, SnapshotTable[[#This Row],[LP Qty]] * SnapshotTable[[#This Row],[LP Strike Price]] * 100,0)</f>
        <v>0</v>
      </c>
      <c r="BL197" s="152"/>
      <c r="BM197" s="355" t="str">
        <f>IF(SnapshotTable[[#This Row],[LP Premium]] &gt; 0,SnapshotTable[[#This Row],[LP Exp Date]]-MAX(SnapshotTable[[#This Row],[LP Book Date]], SnapshotTable[[#This Row],[LP Fill Date]]),"")</f>
        <v/>
      </c>
      <c r="BN197" s="355" t="str">
        <f>IF(ISNUMBER( SnapshotTable[[#This Row],[LP Term]]), SnapshotTable[[#This Row],[LP Exp Date]] - MockToday,"")</f>
        <v/>
      </c>
      <c r="BO197" s="161" t="str">
        <f>IF(AND(SnapshotTable[[#This Row],[LP Exp Date]]&gt;0, SnapshotTable[[#This Row],[LP Strike Price]]&gt;0,SnapshotTable[[#This Row],[LP Qty]]&gt;0,SnapshotTable[[#This Row],[LP Book Date]]&gt;0,SnapshotTable[[#This Row],[LP Book Price]]&gt;0,SnapshotTable[[#This Row],[LP Fill Date]]=0),"Y","")</f>
        <v/>
      </c>
      <c r="BP197" s="31" t="str">
        <f>IF(AND(SnapshotTable[[#This Row],[LP No Fill]]&lt;&gt;"Y",SnapshotTable[[#This Row],[LP Contract Value]]&gt;0, SnapshotTable[[#This Row],[LP Qty]]&gt;0), SnapshotTable[[#This Row],[LP Contract Value]]*SnapshotTable[[#This Row],[LP Qty]]*100,"")</f>
        <v/>
      </c>
      <c r="BQ197" s="13"/>
      <c r="BR197" s="5"/>
      <c r="BS197" s="36"/>
      <c r="BT197" s="145"/>
      <c r="BU197" s="13"/>
      <c r="BV197" s="5"/>
      <c r="BW197" s="382" t="b">
        <f>AND(ISNUMBER(SnapshotTable[[#This Row],[SP Exp Date]]), ISNUMBER(SnapshotTable[[#This Row],[SP Strike Price]]), ISNUMBER(SnapshotTable[[#This Row],[SP Qty]]), ISNUMBER(SnapshotTable[[#This Row],[SP Book Date]]), ISNUMBER(SnapshotTable[[#This Row],[SP Book Price]]))</f>
        <v>0</v>
      </c>
      <c r="BX197" s="382" t="b">
        <f>AND(SnapshotTable[[#This Row],[SP Is Booked]], NOT(ISBLANK(SnapshotTable[[#This Row],[SP Fill Date]])))</f>
        <v>0</v>
      </c>
      <c r="BY197" s="33">
        <f>IF(SnapshotTable[[#This Row],[SP Is Booked]], SnapshotTable[[#This Row],[SP Qty]] * SnapshotTable[[#This Row],[SP Book Price]] * 100, 0)</f>
        <v>0</v>
      </c>
      <c r="BZ197" s="339"/>
      <c r="CA197" s="338">
        <f>SnapshotTable[[#This Row],[LP Qty]]</f>
        <v>0</v>
      </c>
      <c r="CB197" s="4" t="str">
        <f>IF(SnapshotTable[[#This Row],[SP Is Booked]], SnapshotTable[[#This Row],[SP Strike Price]] - SnapshotTable[[#This Row],[SP Book Price]], "")</f>
        <v/>
      </c>
      <c r="CC197" s="19" t="str">
        <f>IF(SnapshotTable[[#This Row],[SP Is Booked]],SnapshotTable[[#This Row],[SP Exp Date]]-MAX(SnapshotTable[[#This Row],[SP Book Date]], SnapshotTable[[#This Row],[SP Fill Date]]),"")</f>
        <v/>
      </c>
      <c r="CD197" s="7" t="str">
        <f>IF(SnapshotTable[[#This Row],[SP Is Booked]], SnapshotTable[[#This Row],[SP Book Price]]/SnapshotTable[[#This Row],[SP Strike Price]], "")</f>
        <v/>
      </c>
      <c r="CE197" s="7" t="str">
        <f>IF(ISNUMBER(SnapshotTable[[#This Row],[SP ROO Term]]),SnapshotTable[[#This Row],[SP ROO Term]]*(365/SnapshotTable[[#This Row],[SP Term]]),"")</f>
        <v/>
      </c>
      <c r="CF197" s="221">
        <f>SnapshotTable[[#This Row],[LP Strike Price]] * SnapshotTable[[#This Row],[LP Qty]] * 100</f>
        <v>0</v>
      </c>
      <c r="CG197" s="31">
        <f>IF(ISNUMBER(SnapshotTable[[#This Row],[SP Premium]]), (SnapshotTable[[#This Row],[SP Qty]] * SnapshotTable[[#This Row],[SP Strike Price]]* 100) - SnapshotTable[[#This Row],[LP Protection]], 0)</f>
        <v>0</v>
      </c>
      <c r="CH197" s="7" t="str">
        <f>IF(ISNUMBER(SnapshotTable[[#This Row],[SP Break Even]]),-1 * (SnapshotTable[[#This Row],[SP Break Even]] - SnapshotTable[[#This Row],[Last Price]]) / SnapshotTable[[#This Row],[Last Price]], "")</f>
        <v/>
      </c>
      <c r="CI197" s="31">
        <f>IF(AND(ISNUMBER((SnapshotTable[[#This Row],[SP Potential Spend]])), SnapshotTable[[#This Row],[SP Strike Price]] &gt; SnapshotTable[[#This Row],[Last Price]], SnapshotTable[[#This Row],[SP Is Filled]]), SnapshotTable[[#This Row],[SP Potential Spend]] -  SnapshotTable[[#This Row],[LP Max Value]], 0)</f>
        <v>0</v>
      </c>
      <c r="CJ197" s="229"/>
      <c r="CK197" s="31">
        <f>IF(ISNUMBER(SnapshotTable[[#This Row],[SP Potential Spend]]),IF(ISNUMBER(SnapshotTable[[#This Row],[SP POW]]), SnapshotTable[[#This Row],[SP POW]] * SnapshotTable[[#This Row],[SP Potential Spend]], SnapshotTable[[#This Row],[SP Potential Spend]]), "")</f>
        <v>0</v>
      </c>
      <c r="CL197" s="162">
        <f>IF(NOT(SnapshotTable[[#This Row],[SP Is Filled]]),(SnapshotTable[[#This Row],[SP Qty]] * SnapshotTable[[#This Row],[SP Strike Price]] * 100) - SnapshotTable[[#This Row],[LP Max Value]],"")</f>
        <v>0</v>
      </c>
      <c r="CM197" s="31" t="str">
        <f>IF(SnapshotTable[[#This Row],[SP Actual Spend]]&lt;&gt;0, ((SnapshotTable[[#This Row],[SP Strike Price]]-SnapshotTable[[#This Row],[Last Price]]) *(SnapshotTable[[#This Row],[SP Qty]]*100) - SnapshotTable[[#This Row],[SP Premium]]) * - 1, "")</f>
        <v/>
      </c>
      <c r="CN197" s="152"/>
      <c r="CO197" s="339"/>
      <c r="CP197" s="4" t="str">
        <f>IF(SnapshotTable[[#This Row],[SP Is Filled]], btc_max_buyback_amount(SnapshotTable[[#This Row],[SP Fill Date]],SnapshotTable[[#This Row],[SP Exp Date]], SnapshotTable[[#This Row],[SP Book Price]]),"")</f>
        <v/>
      </c>
      <c r="CQ197" s="76"/>
      <c r="CR19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7" s="153" t="str">
        <f>IF(SnapshotTable[[#This Row],[SP Is Filled]], btc_next_cutoff_date(SnapshotTable[[#This Row],[SP Fill Date]],SnapshotTable[[#This Row],[SP Exp Date]]),"")</f>
        <v/>
      </c>
      <c r="CT197" s="220" t="str" cm="1">
        <f t="array" ref="CT197">IF(SnapshotTable[[#This Row],[SP Is Filled]], btc_should_buy_back(SnapshotTable[[#This Row],[SP Fill Date]], SnapshotTable[[#This Row],[SP Exp Date]], SnapshotTable[[#This Row],[SP Book Price]], SnapshotTable[[#This Row],[SP Current Ask]], MockToday, SnapshotTable[[#This Row],[SP Buyback Override]]),"")</f>
        <v/>
      </c>
      <c r="CU197" s="141"/>
      <c r="CV197" s="220"/>
      <c r="CW197" s="348" t="str">
        <f>IF(ISNUMBER( SnapshotTable[[#This Row],[SP Term]]), SnapshotTable[[#This Row],[SP Exp Date]] - MockToday,"")</f>
        <v/>
      </c>
      <c r="CX197" s="31" t="str">
        <f>IF(SnapshotTable[[#This Row],[SP Is Filled]],SnapshotTable[[#This Row],[SP Buyback Price to Use]] * 100 * SnapshotTable[[#This Row],[SP Qty]], "")</f>
        <v/>
      </c>
      <c r="CY197" s="4" t="str">
        <f>IF(ISNUMBER(SnapshotTable[[#This Row],[SP Strike Price]]), SnapshotTable[[#This Row],[SP Strike Price]] * (1 - SP_MaxLoss_StrikePct), "")</f>
        <v/>
      </c>
      <c r="CZ197" s="31" t="str">
        <f>IF(ISNUMBER(SnapshotTable[[#This Row],[SP Strike  Stop Per Share]]),SnapshotTable[[#This Row],[SP Premium]] - ((SnapshotTable[[#This Row],[SP Strike Price]]-SnapshotTable[[#This Row],[SP Strike  Stop Per Share]]) *(SnapshotTable[[#This Row],[SP Qty]] * 100)),"")</f>
        <v/>
      </c>
      <c r="DA197" s="4" t="str">
        <f>IF(AND(ISNUMBER(SnapshotTable[[#This Row],[SP Premium]]),SnapshotTable[[#This Row],[SP Premium]]&gt;0), SnapshotTable[[#This Row],[SP Book Price]] * (1 + SP_MaxLoss_OptionPct), "")</f>
        <v/>
      </c>
      <c r="DB197" s="31" t="str">
        <f>IF(ISNUMBER(SnapshotTable[[#This Row],[SP Option  Stop Contract]]),(SnapshotTable[[#This Row],[SP Option  Stop Contract]] *(SnapshotTable[[#This Row],[SP Qty]] * 100) - SnapshotTable[[#This Row],[SP Premium]]),"")</f>
        <v/>
      </c>
      <c r="DC197" s="4"/>
      <c r="DD197" s="4"/>
      <c r="DE197" s="4" t="str">
        <f>IF(AND(SnapshotTable[[#This Row],[SP Qty]]&gt;0, SnapshotTable[[#This Row],[SP Stop To Use]]&gt;0),SnapshotTable[[#This Row],[SP Premium]] - ( SnapshotTable[[#This Row],[SP Qty]] * SnapshotTable[[#This Row],[SP Stop To Use]] * 100), "")</f>
        <v/>
      </c>
      <c r="DF197" s="31" t="str">
        <f>IF(AND(SnapshotTable[[#This Row],[SP Qty]]&gt;0,SnapshotTable[[#This Row],[SP Current Ask]]&gt;0), SnapshotTable[[#This Row],[SP Qty]] * SnapshotTable[[#This Row],[SP Current Ask]] * -100, "")</f>
        <v/>
      </c>
      <c r="DG197" s="31" t="str">
        <f>IF(ISNUMBER((SnapshotTable[[#This Row],[SP Total Value]])), SnapshotTable[[#This Row],[SP Premium]] + SnapshotTable[[#This Row],[SP Total Value]], "")</f>
        <v/>
      </c>
      <c r="DH197" s="272" t="str">
        <f>IF(ISNUMBER((SnapshotTable[[#This Row],[SP Total Value]])), SnapshotTable[[#This Row],[SP Gain Loss]] / SnapshotTable[[#This Row],[SP Premium]], "")</f>
        <v/>
      </c>
      <c r="DI197" s="369"/>
      <c r="DJ197" s="136"/>
      <c r="DK197" s="146"/>
      <c r="DL197" s="145"/>
      <c r="DM197" s="145"/>
      <c r="DO197" s="31">
        <f>IF(SnapshotTable[[#This Row],[LC Symbol Count]]=1, SnapshotTable[[#This Row],[LC Qty]] * SnapshotTable[[#This Row],[LC Book Price]] * 100, 0)</f>
        <v>0</v>
      </c>
      <c r="DP197" s="161" t="str">
        <f>IF(AND(SnapshotTable[[#This Row],[LC Exp Date]]&gt;0, SnapshotTable[[#This Row],[LC Strike Price]]&gt;0,SnapshotTable[[#This Row],[LC Qty]]&gt;0,SnapshotTable[[#This Row],[LC Book Date]]&gt;0,SnapshotTable[[#This Row],[LC Book Price]]&gt;0,SnapshotTable[[#This Row],[LC Fill Date]]=0),"Y","")</f>
        <v/>
      </c>
      <c r="DQ197" s="356" t="str">
        <f>IF(SnapshotTable[[#This Row],[LC Premium]] &gt; 0,SnapshotTable[[#This Row],[LC Exp Date]]-MAX(SnapshotTable[[#This Row],[LC Book Date]], SnapshotTable[[#This Row],[LC Fill Date]]),"")</f>
        <v/>
      </c>
      <c r="DR197" s="356" t="str">
        <f>IF(ISNUMBER(SnapshotTable[[#This Row],[LC Term]]), SnapshotTable[[#This Row],[LC Exp Date]] - MockToday, "")</f>
        <v/>
      </c>
      <c r="DS197" s="219" t="str">
        <f>IF(SnapshotTable[[#This Row],[LC Premium]]&gt;0,SnapshotTable[[#This Row],[LC Strike Price]] + SnapshotTable[[#This Row],[LC Book Price]],"")</f>
        <v/>
      </c>
      <c r="DU197" s="9" t="str">
        <f>IF(AND(SnapshotTable[[#This Row],[LC Symbol Count]]&gt;0, SnapshotTable[[#This Row],[LC Contract Value]]&gt;0), SnapshotTable[[#This Row],[LC Contract Value]] * SnapshotTable[[#This Row],[LC Qty]] * 100, "")</f>
        <v/>
      </c>
      <c r="DV197" s="9" t="str">
        <f>IF(AND(ISNUMBER(SnapshotTable[[#This Row],[LC Total Value]]), SnapshotTable[[#This Row],[LC Not Filled]]&lt;&gt;"Y"), SnapshotTable[[#This Row],[LC Total Value]]-SnapshotTable[[#This Row],[LC Premium]],"")</f>
        <v/>
      </c>
      <c r="DW197" s="225" t="str">
        <f>IF(ISNUMBER(SnapshotTable[[#This Row],[LC Actual Gain Loss]]), SnapshotTable[[#This Row],[LC Actual Gain Loss]] / SnapshotTable[[#This Row],[LC Premium]],"")</f>
        <v/>
      </c>
      <c r="DX197" s="269" t="str">
        <f>IF(ISNUMBER(SnapshotTable[[#This Row],[LC Book Price]]),SnapshotTable[[#This Row],[LC Book Price]] * 1.5,"")</f>
        <v/>
      </c>
      <c r="DY197" s="250" t="str">
        <f>IF(SnapshotTable[[#This Row],[LC Premium]]&gt;0, SnapshotTable[[#This Row],[LC Next Target]] * SnapshotTable[[#This Row],[LC Qty]] * 100,"")</f>
        <v/>
      </c>
      <c r="DZ197" s="250" t="str">
        <f>IF(ISNUMBER(SnapshotTable[[#This Row],[LC Target Gross]]), SnapshotTable[[#This Row],[LC Target Gross]] - SnapshotTable[[#This Row],[LC Premium]], "")</f>
        <v/>
      </c>
      <c r="EA197" s="283" t="str">
        <f>IF(ISNUMBER(SnapshotTable[[#This Row],[LC Target Gain Loss]]), SnapshotTable[[#This Row],[LC Target Gain Loss]]/SnapshotTable[[#This Row],[LC Premium]], "")</f>
        <v/>
      </c>
      <c r="EB197" s="247"/>
      <c r="EC197" s="268" t="str">
        <f>IF(SnapshotTable[[#This Row],[LC Premium]]&gt;0, SnapshotTable[[#This Row],[LC Book Price]] * (1 - LC_StopLoss_Pct),"")</f>
        <v/>
      </c>
      <c r="ED197" s="269"/>
      <c r="EE197" s="268" t="str">
        <f>IF(ISNUMBER(SnapshotTable[[#This Row],[LC Contract Value]]),IF(ISNUMBER(SnapshotTable[[#This Row],[LC Stop Loss Override]]), SnapshotTable[[#This Row],[LC Stop Loss Override]],SnapshotTable[[#This Row],[LC Stop Loss Calc Target]]),"")</f>
        <v/>
      </c>
      <c r="EF197" s="31" t="str">
        <f>IF(ISNUMBER(SnapshotTable[[#This Row],[LC Stop  To Use]]), (SnapshotTable[[#This Row],[LC Stop  To Use]] * SnapshotTable[[#This Row],[LC Qty]] * 100),"")</f>
        <v/>
      </c>
      <c r="EG197" s="9" t="str">
        <f>IF(ISNUMBER(SnapshotTable[[#This Row],[LC Total Value]]),SnapshotTable[[#This Row],[LC Stop Loss Amount]] - SnapshotTable[[#This Row],[LC Premium]],"")</f>
        <v/>
      </c>
      <c r="EH197" s="9">
        <f>IF(ISNUMBER(SnapshotTable[[#This Row],[LC Premium]]), SnapshotTable[[#This Row],[LC Qty]] * 100 * SnapshotTable[[#This Row],[LC Strike Price]], "")</f>
        <v>0</v>
      </c>
      <c r="EI197" s="225" t="str">
        <f>IF(AND(ISNUMBER(SnapshotTable[[#This Row],[LC Total Value]]),SnapshotTable[[#This Row],[LC Total Value]]&gt;0),SnapshotTable[[#This Row],[LC Stop Gain Loss]]  / SnapshotTable[[#This Row],[LC Premium]],"")</f>
        <v/>
      </c>
      <c r="EJ197" s="35">
        <f>IF(ISNUMBER(SnapshotTable[[#This Row],[Equity Shares]]),TRUNC(SnapshotTable[[#This Row],[Equity Shares]] / 100),0) + SnapshotTable[[#This Row],[LC Qty]]</f>
        <v>0</v>
      </c>
      <c r="EK197" s="145"/>
      <c r="EL197" s="136"/>
      <c r="EM197" s="146"/>
      <c r="EN197" s="145"/>
      <c r="EO197" s="145"/>
      <c r="EP197" s="136"/>
      <c r="EQ197" s="382" t="b">
        <f>AND(ISNUMBER(SnapshotTable[[#This Row],[SC Exp Date]]), ISNUMBER(SnapshotTable[[#This Row],[SC Strike Price]]), ISNUMBER(SnapshotTable[[#This Row],[SC Qty]]), ISNUMBER(SnapshotTable[[#This Row],[SC Book Date]]), ISNUMBER(SnapshotTable[[#This Row],[SC Book Price]]))</f>
        <v>0</v>
      </c>
      <c r="ER197" s="382" t="b">
        <f>AND(SnapshotTable[[#This Row],[SC Is Booked]], NOT(ISBLANK(SnapshotTable[[#This Row],[SC Fill Date]])))</f>
        <v>0</v>
      </c>
      <c r="ES197" s="340"/>
      <c r="ET197" s="34" t="str">
        <f>IF(AND(ISNUMBER(SnapshotTable[[#This Row],[SC Exp Date]]), ISNUMBER(SnapshotTable[[#This Row],[SC Book Date]])), SnapshotTable[[#This Row],[SC Exp Date]] - MAX(SnapshotTable[[#This Row],[SC Book Date]], SnapshotTable[[#This Row],[SC Fill Date]]) + 1, "")</f>
        <v/>
      </c>
      <c r="EU197" s="34" t="str">
        <f>IF(ISNUMBER(SnapshotTable[[#This Row],[SC Term]]), SnapshotTable[[#This Row],[SC Exp Date]]- MockToday, "")</f>
        <v/>
      </c>
      <c r="EV197" s="31">
        <f>IF(SnapshotTable[[#This Row],[SC Is Booked]], SnapshotTable[[#This Row],[SC Qty]] * SnapshotTable[[#This Row],[SC Book Price]] * 100, 0)</f>
        <v>0</v>
      </c>
      <c r="EW197" s="4" t="str">
        <f>IF(AND(ISNUMBER(SnapshotTable[[#This Row],[Last Price]]), ISNUMBER( SnapshotTable[[#This Row],[SC Book Price]])), SnapshotTable[[#This Row],[Last Price]] - SnapshotTable[[#This Row],[SC Book Price]],"")</f>
        <v/>
      </c>
      <c r="EX197" s="219" t="str">
        <f>IF(SnapshotTable[[#This Row],[SC Is Booked]],IF(SnapshotTable[[#This Row],[SC Intrinsic Value]] &gt; 0, SnapshotTable[[#This Row],[SC Strike Price]], SnapshotTable[[#This Row],[Last Price]]), "")</f>
        <v/>
      </c>
      <c r="EY197" s="4">
        <f>IF(SnapshotTable[[#This Row],[SC Is Booked]], (MinimumPremiumRequired * SnapshotTable[[#This Row],[SC Basis]] * SnapshotTable[[#This Row],[SC Term]]), 0)</f>
        <v>0</v>
      </c>
      <c r="EZ197" s="268"/>
      <c r="FA197" s="204"/>
      <c r="FB197" s="340"/>
      <c r="FC197" s="4">
        <f>IF(SnapshotTable[[#This Row],[SC Is Filled]], btc_max_buyback_amount(SnapshotTable[[#This Row],[SC Fill Date]],SnapshotTable[[#This Row],[SC Exp Date]], SnapshotTable[[#This Row],[SC Book Price]]),0)</f>
        <v>0</v>
      </c>
      <c r="FD197" s="5"/>
      <c r="FE197" s="142" t="str">
        <f>IF(SnapshotTable[[#This Row],[SC Is Filled]], btc_next_cutoff_date(SnapshotTable[[#This Row],[SC Fill Date]],SnapshotTable[[#This Row],[SC Exp Date]]),"")</f>
        <v/>
      </c>
      <c r="FF197" s="4" t="str" cm="1">
        <f t="array" ref="FF197">IF(SnapshotTable[[#This Row],[SC Is Filled]], btc_should_buy_back(SnapshotTable[[#This Row],[SC Fill Date]], SnapshotTable[[#This Row],[SC Exp Date]], SnapshotTable[[#This Row],[SC Book Price]], SnapshotTable[[#This Row],[SC Current Ask]], MockToday, SnapshotTable[[#This Row],[SC Buyback Override]]),"")</f>
        <v/>
      </c>
      <c r="FG197" s="4">
        <f>IF(SnapshotTable[[#This Row],[SC Is Filled]], MAX(0,SnapshotTable[[#This Row],[Last Price]]  - SnapshotTable[[#This Row],[SC Strike Price]]), 0)</f>
        <v>0</v>
      </c>
      <c r="FH197" s="352">
        <f>IF(SnapshotTable[[#This Row],[SC Is Filled]], IF(ISNUMBER(SnapshotTable[[#This Row],[SC Current Ask]]), SnapshotTable[[#This Row],[SC Current Ask]], SnapshotTable[[#This Row],[SC Book Price]]) - SnapshotTable[[#This Row],[SC Intrinsic Value]], 0)</f>
        <v>0</v>
      </c>
      <c r="FI197" s="141"/>
      <c r="FJ197" s="32" t="str">
        <f>IF(SnapshotTable[[#This Row],[SC Is Filled]],100 * SnapshotTable[[#This Row],[SC Qty]] * IF(ISNUMBER(SnapshotTable[[#This Row],[SC Buyback Override]]), SnapshotTable[[#This Row],[SC Buyback Override]], SnapshotTable[[#This Row],[SC Current Ask]]), "")</f>
        <v/>
      </c>
      <c r="FK197" s="235" t="str">
        <f>IF(SnapshotTable[[#This Row],[SC Time Val]]&gt;0, SnapshotTable[[#This Row],[SC Time Val]] / SnapshotTable[[#This Row],[Last Price]],"")</f>
        <v/>
      </c>
      <c r="FL197" s="280" t="str">
        <f>IF(SnapshotTable[[#This Row],[SC Is Booked]], ((SnapshotTable[[#This Row],[Last Price]] -SnapshotTable[[#This Row],[SC Strike Price]]) / SnapshotTable[[#This Row],[Last Price]]) * -1, "")</f>
        <v/>
      </c>
      <c r="FM197" s="155" t="str">
        <f>IF(SnapshotTable[[#This Row],[SC Is Booked]],  (SnapshotTable[[#This Row],[SC Qty]] * 100 * SnapshotTable[[#This Row],[SC Strike Price]]) - SnapshotTable[[#This Row],[SC Current Ask]], "")</f>
        <v/>
      </c>
      <c r="FN197"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7" s="155" t="str">
        <f>IF(AND(ISNUMBER(SnapshotTable[[#This Row],[SC Exercise Gross]]), ISNUMBER(SnapshotTable[[#This Row],[Equity Basis Per Share]] )), SnapshotTable[[#This Row],[SC Exercise Gross]] - SnapshotTable[[#This Row],[Equity Basis Total]] +  SnapshotTable[[#This Row],[SC Premium]], "")</f>
        <v/>
      </c>
      <c r="FP197" s="5" t="str">
        <f>IF(ISNUMBER(SnapshotTable[[#This Row],[SC Exercise Gross]]), (SnapshotTable[[#This Row],[SC Exercise Gross]]) / (SnapshotTable[[#This Row],[SC Qty]] * 100), "")</f>
        <v/>
      </c>
      <c r="FQ197" s="27" t="str">
        <f>IF(SnapshotTable[[#This Row],[SC Is Booked]],SnapshotTable[[#This Row],[SC Time Val]] /SnapshotTable[[#This Row],[SC Basis]], "")</f>
        <v/>
      </c>
      <c r="FR197" s="27" t="str" cm="1">
        <f t="array" ref="FR197">IF(AND(ISNUMBER(SnapshotTable[[#This Row],[SC Term]]),ISNUMBER(SnapshotTable[[#This Row],[SC Simple ROO]])), EllmanAnnualize(SnapshotTable[[#This Row],[SC DTE]], SnapshotTable[[#This Row],[SC Simple ROO]] ),"")</f>
        <v/>
      </c>
      <c r="FS197" s="4">
        <f>IF(SnapshotTable[[#This Row],[SC Strike Price]] &gt; SnapshotTable[[#This Row],[Last Price]], SnapshotTable[[#This Row],[SC Strike Price]] - SnapshotTable[[#This Row],[Last Price]],0)</f>
        <v>0</v>
      </c>
      <c r="FT197" s="27" t="str">
        <f>IF(AND(ISNUMBER(SnapshotTable[[#This Row],[SC Upside Potential]]), SnapshotTable[[#This Row],[SC Upside Potential]] &gt; 0),(SnapshotTable[[#This Row],[SC Upside Potential]]/ SnapshotTable[[#This Row],[ACB]]),"")</f>
        <v/>
      </c>
      <c r="FU197" s="304" t="str">
        <f>IF(SnapshotTable[[#This Row],[SC Intrinsic Value]] &gt; 0,SnapshotTable[[#This Row],[SC Intrinsic Value]],"")</f>
        <v/>
      </c>
      <c r="FV197" s="27" t="str">
        <f>IF(AND( ISNUMBER( SnapshotTable[[#This Row],[ACB]]),ISNUMBER(SnapshotTable[[#This Row],[SC Downside Protect]])),SnapshotTable[[#This Row],[SC Downside Protect]] / SnapshotTable[[#This Row],[ACB]],"")</f>
        <v/>
      </c>
      <c r="FW197" s="221" t="str">
        <f>IF(AND(ISNUMBER(SnapshotTable[[#This Row],[SC Simple ROO]]),SnapshotTable[[#This Row],[SC Simple ROO]] &gt; 0), SnapshotTable[[#This Row],[SC Premium]] + (SnapshotTable[[#This Row],[SC Qty]] * SnapshotTable[[#This Row],[SC Upside Potential]]), "")</f>
        <v/>
      </c>
      <c r="FX197" s="280" t="str" cm="1">
        <f t="array" ref="FX197">IF(ISNUMBER(SnapshotTable[[#This Row],[SC Max Dollars]]), annualize(SnapshotTable[[#This Row],[SC Term]],(SnapshotTable[[#This Row],[SC Max Dollars]]/SnapshotTable[[#This Row],[SC Basis]])),"")</f>
        <v/>
      </c>
      <c r="FY197" s="221" t="str">
        <f>IF(AND(SnapshotTable[[#This Row],[SC Qty]]&gt;0,SnapshotTable[[#This Row],[SC Current Ask]]&gt;0), SnapshotTable[[#This Row],[SC Qty]] * SnapshotTable[[#This Row],[SC Current Ask]] * -100, "")</f>
        <v/>
      </c>
      <c r="FZ197" s="220" t="str">
        <f>IF(ISNUMBER((SnapshotTable[[#This Row],[SC Current Value]])), SnapshotTable[[#This Row],[SC Premium]] + SnapshotTable[[#This Row],[SC Current Value]], "")</f>
        <v/>
      </c>
      <c r="GA197" s="272" t="str">
        <f>IFERROR( IF(ISNUMBER((SnapshotTable[[#This Row],[SC Current Value]])), SnapshotTable[[#This Row],[SC Gain Loss]] / SnapshotTable[[#This Row],[SC Premium]], ""), "")</f>
        <v/>
      </c>
      <c r="GB197" s="42">
        <f>SnapshotTable[[#This Row],[Equity Shares]] * SaleSharesToConsiderPercentage</f>
        <v>0</v>
      </c>
      <c r="GC197" s="40">
        <f>SnapshotTable[[#This Row],[Long Term Target]] * SellingPriceToConsiderBasedOnTargetPercentage</f>
        <v>56.886000000000003</v>
      </c>
      <c r="GD197" s="40">
        <f>SnapshotTable[[#This Row],[Last Price]] * (1+ SellingPriceToConsiderBasedOnTargetPercentage)</f>
        <v>2.6909999999999998</v>
      </c>
      <c r="GE197" s="41"/>
      <c r="GF197" s="40"/>
      <c r="GG197" s="31">
        <f>SnapshotTable[[#This Row],[Booked Sale Shares]] * SnapshotTable[[#This Row],[Booked Sale Price]]</f>
        <v>0</v>
      </c>
      <c r="GH197" s="31" t="str">
        <f>IF(SnapshotTable[[#This Row],[Equity Basis Total]] &gt; 0, SnapshotTable[[#This Row],[Equity Basis Per Share]] * SnapshotTable[[#This Row],[Booked Sale Shares]], "")</f>
        <v/>
      </c>
      <c r="GI197" s="31">
        <f>IF(SnapshotTable[[#This Row],[Sale Proceeds]]&gt;0, SnapshotTable[[#This Row],[Sale Proceeds]] - SnapshotTable[[#This Row],[Sale Basis]], 0)</f>
        <v>0</v>
      </c>
      <c r="GJ197" s="156" t="str">
        <f>IF(SnapshotTable[[#This Row],[Sale G/L]]&gt;0, SnapshotTable[[#This Row],[Sale G/L]] / SnapshotTable[[#This Row],[Sale Basis]], IF(ISNUMBER(SnapshotTable[[#This Row],[SC Exercise P&amp;L (TAX)]]), SnapshotTable[[#This Row],[SC Exercise P&amp;L (TAX)]] / SnapshotTable[[#This Row],[SC Basis]], ""))</f>
        <v/>
      </c>
      <c r="GK197" s="27"/>
      <c r="GL197" s="157" t="str">
        <f>IF(AND(SnapshotTable[[#This Row],[LP Exp Date]]&gt;0,SnapshotTable[[#This Row],[LP Strike Price]]&gt;0), [1]!ToOptionSymbol(SnapshotTable[[#This Row],[Symbol]], SnapshotTable[[#This Row],[LP Strike Price]],SnapshotTable[[#This Row],[LP Exp Date]],1), "")</f>
        <v/>
      </c>
      <c r="GM197" s="30" t="str">
        <f>IF(LEN(SnapshotTable[[#This Row],[LP Symbol]])&gt;0, 1, "")</f>
        <v/>
      </c>
      <c r="GN197" s="43" t="str">
        <f>IF(AND(SnapshotTable[[#This Row],[SP Exp Date]]&gt;0,SnapshotTable[[#This Row],[SP Strike Price]]&gt;0), [1]!ToOptionSymbol(SnapshotTable[[#This Row],[Symbol]], SnapshotTable[[#This Row],[SP Strike Price]],SnapshotTable[[#This Row],[SP Exp Date]],1), "")</f>
        <v/>
      </c>
      <c r="GO197" s="30" t="str">
        <f>IF(LEN(SnapshotTable[[#This Row],[SP Symbol]])&gt;0, 1, "")</f>
        <v/>
      </c>
      <c r="GP197" s="157" t="str">
        <f>IF(AND(SnapshotTable[[#This Row],[LC Exp Date]]&gt;0,SnapshotTable[[#This Row],[LC Strike Price]]&gt;0), [1]!ToOptionSymbol(SnapshotTable[[#This Row],[Symbol]], SnapshotTable[[#This Row],[LC Strike Price]],SnapshotTable[[#This Row],[LC Exp Date]],0), "")</f>
        <v/>
      </c>
      <c r="GQ197" s="158" t="str">
        <f>IF(LEN(SnapshotTable[[#This Row],[LC Symbol]])&gt;0, 1, "")</f>
        <v/>
      </c>
      <c r="GR197" s="157" t="str">
        <f>IF(AND(SnapshotTable[[#This Row],[SC Exp Date]]&gt;0,SnapshotTable[[#This Row],[SC Strike Price]]&gt;0), [1]!ToOptionSymbol(SnapshotTable[[#This Row],[Symbol]], SnapshotTable[[#This Row],[SC Strike Price]],SnapshotTable[[#This Row],[SC Exp Date]],0), "")</f>
        <v/>
      </c>
      <c r="GS197" s="158" t="str">
        <f>IF(LEN(SnapshotTable[[#This Row],[SC Symbol]])&gt;0, 1, "")</f>
        <v/>
      </c>
      <c r="GT197" s="159" t="str">
        <f>IF(COUNT(SnapshotTable[[#This Row],[LP Symbol Count]],SnapshotTable[[#This Row],[SP Symbol Count]],SnapshotTable[[#This Row],[LC Symbol Count]],SnapshotTable[[#This Row],[SC Symbol Count]])&gt;0, "Y", "")</f>
        <v/>
      </c>
      <c r="GU19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7" s="216">
        <f>MAX(SnapshotTable[[#This Row],[Equity Basis Total]],SnapshotTable[[#This Row],[Equity Value]]) + (SnapshotTable[[#This Row],[SP Potential Spend]]- SnapshotTable[[#This Row],[SP Premium]] + SnapshotTable[[#This Row],[LP Premium]])+ (SnapshotTable[[#This Row],[LC Premium]] - SnapshotTable[[#This Row],[SC Premium]])</f>
        <v>0</v>
      </c>
      <c r="GW197" s="137" t="str">
        <f>IF(AND(SnapshotTable[[#This Row],[Exposure]] &lt;&gt; 0),SnapshotTable[[#This Row],[Exposure]] / SnapshotTable[[#Totals],[Exposure]], "")</f>
        <v/>
      </c>
      <c r="HE197" s="253"/>
      <c r="HF197" s="253"/>
      <c r="HK197" s="1"/>
      <c r="HL197" s="1"/>
      <c r="HM197" s="1"/>
      <c r="HN197" s="1"/>
      <c r="HO197" s="1"/>
      <c r="HP197" s="1"/>
    </row>
    <row r="198" spans="2:224" ht="12.75" hidden="1" customHeight="1" x14ac:dyDescent="0.25">
      <c r="B198" s="12" t="s">
        <v>431</v>
      </c>
      <c r="C198" s="385">
        <v>139.63999999999999</v>
      </c>
      <c r="D198" s="200"/>
      <c r="E198" s="39">
        <f>SnapshotTable[[#This Row],[Last Price]]*(1 -CrashDiscount)</f>
        <v>118.69399999999999</v>
      </c>
      <c r="F198" s="26" t="s">
        <v>462</v>
      </c>
      <c r="G198" s="26" t="s">
        <v>24</v>
      </c>
      <c r="H198" s="147"/>
      <c r="I198" s="186">
        <v>44775.25</v>
      </c>
      <c r="J198" s="187">
        <v>44775.25</v>
      </c>
      <c r="K198" s="188"/>
      <c r="L198" s="297"/>
      <c r="M198" s="138">
        <v>1</v>
      </c>
      <c r="N198" s="138"/>
      <c r="O198" s="138"/>
      <c r="P198" s="22"/>
      <c r="Q198" s="25"/>
      <c r="R198" s="4" t="str">
        <f>IF(SnapshotTable[[#This Row],[Equity Basis Total]] &gt; 0, SnapshotTable[[#This Row],[Equity Basis Total]] / SnapshotTable[[#This Row],[Equity Shares]], "")</f>
        <v/>
      </c>
      <c r="S198" s="254">
        <f>SnapshotTable[[#This Row],[Last Price]] * SnapshotTable[[#This Row],[Equity Shares]]</f>
        <v>0</v>
      </c>
      <c r="T198" s="254">
        <f>SnapshotTable[[#This Row],[Equity Value]] - SnapshotTable[[#This Row],[Equity Basis Total]]</f>
        <v>0</v>
      </c>
      <c r="U198" s="255" t="str">
        <f>IF(SnapshotTable[[#This Row],[Equity Basis Total]] &gt; 0, SnapshotTable[[#This Row],[Equity G/L]] / SnapshotTable[[#This Row],[Equity Basis Total]], "")</f>
        <v/>
      </c>
      <c r="V198" s="253"/>
      <c r="W198" s="253"/>
      <c r="X198" s="4" t="str">
        <f>IF(AND(ISNUMBER(SnapshotTable[[#This Row],[Equity Basis Per Share]]),ISNUMBER(SnapshotTable[[#This Row],[Equity Target]])),SnapshotTable[[#This Row],[Equity Target]]-SnapshotTable[[#This Row],[Equity Basis Per Share]],"")</f>
        <v/>
      </c>
      <c r="Y198" s="4" t="str">
        <f>IF(AND(ISNUMBER(SnapshotTable[[#This Row],[Equity Basis Per Share]]),ISNUMBER(SnapshotTable[[#This Row],[Equity Stop Loss]])),SnapshotTable[[#This Row],[Equity Stop Loss]]-SnapshotTable[[#This Row],[Equity Basis Per Share]],"")</f>
        <v/>
      </c>
      <c r="Z198" s="260" t="str">
        <f>IFERROR( TEXT(SnapshotTable[[#This Row],[Equity Max Gain Per Share]] /ABS( SnapshotTable[[#This Row],[Equity Max Loss Per Share]]),"0.0 " ) &amp; " : 1", "")</f>
        <v/>
      </c>
      <c r="AA198" s="31" t="str">
        <f>IF(ISNUMBER(SnapshotTable[[#This Row],[Equity Max Gain Per Share]]),SnapshotTable[[#This Row],[Equity Max Gain Per Share]] * SnapshotTable[[#This Row],[Equity Shares]],"")</f>
        <v/>
      </c>
      <c r="AB198" s="31" t="str">
        <f>IF(ISNUMBER(SnapshotTable[[#This Row],[Equity Max Loss Per Share]]),SnapshotTable[[#This Row],[Equity Max Loss Per Share]] * SnapshotTable[[#This Row],[Equity Shares]],"")</f>
        <v/>
      </c>
      <c r="AC198" s="148">
        <v>1.2</v>
      </c>
      <c r="AD198" s="149">
        <v>43812</v>
      </c>
      <c r="AE198" s="31">
        <f>(SnapshotTable[[#This Row],[Annual Dividend Per Share]] / 4) * SnapshotTable[[#This Row],[Equity Shares]]</f>
        <v>0</v>
      </c>
      <c r="AF198" s="31">
        <f>SnapshotTable[[#This Row],[Quarterly Div $]] * 4</f>
        <v>0</v>
      </c>
      <c r="AG198" s="7">
        <f>IF(SnapshotTable[[#This Row],[Annual Dividend Per Share]]&gt;0, SnapshotTable[[#This Row],[Annual Dividend Per Share]]  / SnapshotTable[[#This Row],[Last Price]], 0)</f>
        <v>8.5935262102549426E-3</v>
      </c>
      <c r="AH198" s="149">
        <v>43768</v>
      </c>
      <c r="AI198" s="5">
        <v>64</v>
      </c>
      <c r="AJ198" s="136">
        <v>67.2</v>
      </c>
      <c r="AK198" s="150">
        <f>IF(ISNUMBER( SnapshotTable[[#This Row],[EBF Target]]),(SnapshotTable[[#This Row],[EBF Target]] - SnapshotTable[[#This Row],[Last Price]]) / SnapshotTable[[#This Row],[Last Price]], "")</f>
        <v>-0.5416786021197364</v>
      </c>
      <c r="AL198" s="150" t="str">
        <f>IF(AND(SnapshotTable[[#This Row],[Equity Basis Total]] &gt; 0,ISNUMBER( SnapshotTable[[#This Row],[Long Term Target]])), SnapshotTable[[#This Row],[From Basis $]] / SnapshotTable[[#This Row],[Equity Basis Total]], "")</f>
        <v/>
      </c>
      <c r="AM198" s="9">
        <f>IF( AND(SnapshotTable[[#This Row],[Equity Shares]] &gt;0,ISNUMBER( SnapshotTable[[#This Row],[Long Term Target]])),(SnapshotTable[[#This Row],[Equity Shares]] * SnapshotTable[[#This Row],[Long Term Target]]) - SnapshotTable[[#This Row],[Equity Basis Total]],0)</f>
        <v>0</v>
      </c>
      <c r="AN198" s="9">
        <f>IF( AND(SnapshotTable[[#This Row],[Equity Shares]] &gt;0,ISNUMBER( SnapshotTable[[#This Row],[Long Term Target]])),(SnapshotTable[[#This Row],[Equity Shares]]*SnapshotTable[[#This Row],[Long Term Target]]) - SnapshotTable[[#This Row],[Equity Value]],0)</f>
        <v>0</v>
      </c>
      <c r="AO198" s="150">
        <f>IF(AND(ISNUMBER( SnapshotTable[[#This Row],[Long Term Target]]), ISNUMBER(SnapshotTable[[#This Row],[Last Price]])),(SnapshotTable[[#This Row],[Long Term Target]] - SnapshotTable[[#This Row],[Last Price]]) / SnapshotTable[[#This Row],[Last Price]], "")</f>
        <v>-0.51876253222572322</v>
      </c>
      <c r="AP198" s="5"/>
      <c r="AQ198" s="38"/>
      <c r="AR198" s="5"/>
      <c r="AS198" s="38"/>
      <c r="AT198" s="144"/>
      <c r="AU198" s="185" t="str">
        <f>IF(OR(SnapshotTable[[#This Row],[LP No Fill]]="Y",SnapshotTable[[#This Row],[SP Is Filled]],SnapshotTable[[#This Row],[LC Not Filled]]="Y",SnapshotTable[[#This Row],[SC Is Filled]]),"Y","")</f>
        <v/>
      </c>
      <c r="AV198" s="205"/>
      <c r="AW198" s="211"/>
      <c r="AX198" s="206"/>
      <c r="AY198" s="205" t="str">
        <f>IF(SnapshotTable[[#This Row],[Implied Move]]&gt;0, SnapshotTable[[#This Row],[Last Price]]-SnapshotTable[[#This Row],[Implied Move]],"")</f>
        <v/>
      </c>
      <c r="AZ198" s="205" t="str">
        <f>IF(SnapshotTable[[#This Row],[Implied Move]]&gt;0, SnapshotTable[[#This Row],[Last Price]] + SnapshotTable[[#This Row],[Implied Move]],"")</f>
        <v/>
      </c>
      <c r="BA198" s="302"/>
      <c r="BB198" s="318"/>
      <c r="BC19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8" s="321"/>
      <c r="BE198" s="5"/>
      <c r="BF198" s="14"/>
      <c r="BG198" s="13"/>
      <c r="BH198" s="13"/>
      <c r="BI198" s="5"/>
      <c r="BJ198" s="134">
        <f>IF(SnapshotTable[[#This Row],[LP Qty]] &gt; 0, SnapshotTable[[#This Row],[LP Qty]] * SnapshotTable[[#This Row],[LP Book Price]] * 100,0)</f>
        <v>0</v>
      </c>
      <c r="BK198" s="134">
        <f>IF(SnapshotTable[[#This Row],[LP Premium]] &gt; 0, SnapshotTable[[#This Row],[LP Qty]] * SnapshotTable[[#This Row],[LP Strike Price]] * 100,0)</f>
        <v>0</v>
      </c>
      <c r="BL198" s="152"/>
      <c r="BM198" s="355" t="str">
        <f>IF(SnapshotTable[[#This Row],[LP Premium]] &gt; 0,SnapshotTable[[#This Row],[LP Exp Date]]-MAX(SnapshotTable[[#This Row],[LP Book Date]], SnapshotTable[[#This Row],[LP Fill Date]]),"")</f>
        <v/>
      </c>
      <c r="BN198" s="355" t="str">
        <f>IF(ISNUMBER( SnapshotTable[[#This Row],[LP Term]]), SnapshotTable[[#This Row],[LP Exp Date]] - MockToday,"")</f>
        <v/>
      </c>
      <c r="BO198" s="161" t="str">
        <f>IF(AND(SnapshotTable[[#This Row],[LP Exp Date]]&gt;0, SnapshotTable[[#This Row],[LP Strike Price]]&gt;0,SnapshotTable[[#This Row],[LP Qty]]&gt;0,SnapshotTable[[#This Row],[LP Book Date]]&gt;0,SnapshotTable[[#This Row],[LP Book Price]]&gt;0,SnapshotTable[[#This Row],[LP Fill Date]]=0),"Y","")</f>
        <v/>
      </c>
      <c r="BP198" s="31" t="str">
        <f>IF(AND(SnapshotTable[[#This Row],[LP No Fill]]&lt;&gt;"Y",SnapshotTable[[#This Row],[LP Contract Value]]&gt;0, SnapshotTable[[#This Row],[LP Qty]]&gt;0), SnapshotTable[[#This Row],[LP Contract Value]]*SnapshotTable[[#This Row],[LP Qty]]*100,"")</f>
        <v/>
      </c>
      <c r="BQ198" s="13"/>
      <c r="BR198" s="5"/>
      <c r="BS198" s="36"/>
      <c r="BT198" s="145"/>
      <c r="BU198" s="13"/>
      <c r="BV198" s="5"/>
      <c r="BW198" s="382" t="b">
        <f>AND(ISNUMBER(SnapshotTable[[#This Row],[SP Exp Date]]), ISNUMBER(SnapshotTable[[#This Row],[SP Strike Price]]), ISNUMBER(SnapshotTable[[#This Row],[SP Qty]]), ISNUMBER(SnapshotTable[[#This Row],[SP Book Date]]), ISNUMBER(SnapshotTable[[#This Row],[SP Book Price]]))</f>
        <v>0</v>
      </c>
      <c r="BX198" s="382" t="b">
        <f>AND(SnapshotTable[[#This Row],[SP Is Booked]], NOT(ISBLANK(SnapshotTable[[#This Row],[SP Fill Date]])))</f>
        <v>0</v>
      </c>
      <c r="BY198" s="33">
        <f>IF(SnapshotTable[[#This Row],[SP Is Booked]], SnapshotTable[[#This Row],[SP Qty]] * SnapshotTable[[#This Row],[SP Book Price]] * 100, 0)</f>
        <v>0</v>
      </c>
      <c r="BZ198" s="339"/>
      <c r="CA198" s="338">
        <f>SnapshotTable[[#This Row],[LP Qty]]</f>
        <v>0</v>
      </c>
      <c r="CB198" s="4" t="str">
        <f>IF(SnapshotTable[[#This Row],[SP Is Booked]], SnapshotTable[[#This Row],[SP Strike Price]] - SnapshotTable[[#This Row],[SP Book Price]], "")</f>
        <v/>
      </c>
      <c r="CC198" s="19" t="str">
        <f>IF(SnapshotTable[[#This Row],[SP Is Booked]],SnapshotTable[[#This Row],[SP Exp Date]]-MAX(SnapshotTable[[#This Row],[SP Book Date]], SnapshotTable[[#This Row],[SP Fill Date]]),"")</f>
        <v/>
      </c>
      <c r="CD198" s="7" t="str">
        <f>IF(SnapshotTable[[#This Row],[SP Is Booked]], SnapshotTable[[#This Row],[SP Book Price]]/SnapshotTable[[#This Row],[SP Strike Price]], "")</f>
        <v/>
      </c>
      <c r="CE198" s="7" t="str">
        <f>IF(ISNUMBER(SnapshotTable[[#This Row],[SP ROO Term]]),SnapshotTable[[#This Row],[SP ROO Term]]*(365/SnapshotTable[[#This Row],[SP Term]]),"")</f>
        <v/>
      </c>
      <c r="CF198" s="221">
        <f>SnapshotTable[[#This Row],[LP Strike Price]] * SnapshotTable[[#This Row],[LP Qty]] * 100</f>
        <v>0</v>
      </c>
      <c r="CG198" s="31">
        <f>IF(ISNUMBER(SnapshotTable[[#This Row],[SP Premium]]), (SnapshotTable[[#This Row],[SP Qty]] * SnapshotTable[[#This Row],[SP Strike Price]]* 100) - SnapshotTable[[#This Row],[LP Protection]], 0)</f>
        <v>0</v>
      </c>
      <c r="CH198" s="7" t="str">
        <f>IF(ISNUMBER(SnapshotTable[[#This Row],[SP Break Even]]),-1 * (SnapshotTable[[#This Row],[SP Break Even]] - SnapshotTable[[#This Row],[Last Price]]) / SnapshotTable[[#This Row],[Last Price]], "")</f>
        <v/>
      </c>
      <c r="CI198" s="31">
        <f>IF(AND(ISNUMBER((SnapshotTable[[#This Row],[SP Potential Spend]])), SnapshotTable[[#This Row],[SP Strike Price]] &gt; SnapshotTable[[#This Row],[Last Price]], SnapshotTable[[#This Row],[SP Is Filled]]), SnapshotTable[[#This Row],[SP Potential Spend]] -  SnapshotTable[[#This Row],[LP Max Value]], 0)</f>
        <v>0</v>
      </c>
      <c r="CJ198" s="229"/>
      <c r="CK198" s="31">
        <f>IF(ISNUMBER(SnapshotTable[[#This Row],[SP Potential Spend]]),IF(ISNUMBER(SnapshotTable[[#This Row],[SP POW]]), SnapshotTable[[#This Row],[SP POW]] * SnapshotTable[[#This Row],[SP Potential Spend]], SnapshotTable[[#This Row],[SP Potential Spend]]), "")</f>
        <v>0</v>
      </c>
      <c r="CL198" s="162">
        <f>IF(NOT(SnapshotTable[[#This Row],[SP Is Filled]]),(SnapshotTable[[#This Row],[SP Qty]] * SnapshotTable[[#This Row],[SP Strike Price]] * 100) - SnapshotTable[[#This Row],[LP Max Value]],"")</f>
        <v>0</v>
      </c>
      <c r="CM198" s="31" t="str">
        <f>IF(SnapshotTable[[#This Row],[SP Actual Spend]]&lt;&gt;0, ((SnapshotTable[[#This Row],[SP Strike Price]]-SnapshotTable[[#This Row],[Last Price]]) *(SnapshotTable[[#This Row],[SP Qty]]*100) - SnapshotTable[[#This Row],[SP Premium]]) * - 1, "")</f>
        <v/>
      </c>
      <c r="CN198" s="76"/>
      <c r="CO198" s="339"/>
      <c r="CP198" s="4" t="str">
        <f>IF(SnapshotTable[[#This Row],[SP Is Filled]], btc_max_buyback_amount(SnapshotTable[[#This Row],[SP Fill Date]],SnapshotTable[[#This Row],[SP Exp Date]], SnapshotTable[[#This Row],[SP Book Price]]),"")</f>
        <v/>
      </c>
      <c r="CQ198" s="76"/>
      <c r="CR19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8" s="153" t="str">
        <f>IF(SnapshotTable[[#This Row],[SP Is Filled]], btc_next_cutoff_date(SnapshotTable[[#This Row],[SP Fill Date]],SnapshotTable[[#This Row],[SP Exp Date]]),"")</f>
        <v/>
      </c>
      <c r="CT198" s="220" t="str" cm="1">
        <f t="array" ref="CT198">IF(SnapshotTable[[#This Row],[SP Is Filled]], btc_should_buy_back(SnapshotTable[[#This Row],[SP Fill Date]], SnapshotTable[[#This Row],[SP Exp Date]], SnapshotTable[[#This Row],[SP Book Price]], SnapshotTable[[#This Row],[SP Current Ask]], MockToday, SnapshotTable[[#This Row],[SP Buyback Override]]),"")</f>
        <v/>
      </c>
      <c r="CU198" s="141"/>
      <c r="CV198" s="220"/>
      <c r="CW198" s="348" t="str">
        <f>IF(ISNUMBER( SnapshotTable[[#This Row],[SP Term]]), SnapshotTable[[#This Row],[SP Exp Date]] - MockToday,"")</f>
        <v/>
      </c>
      <c r="CX198" s="31" t="str">
        <f>IF(SnapshotTable[[#This Row],[SP Is Filled]],SnapshotTable[[#This Row],[SP Buyback Price to Use]] * 100 * SnapshotTable[[#This Row],[SP Qty]], "")</f>
        <v/>
      </c>
      <c r="CY198" s="4" t="str">
        <f>IF(ISNUMBER(SnapshotTable[[#This Row],[SP Strike Price]]), SnapshotTable[[#This Row],[SP Strike Price]] * (1 - SP_MaxLoss_StrikePct), "")</f>
        <v/>
      </c>
      <c r="CZ198" s="31" t="str">
        <f>IF(ISNUMBER(SnapshotTable[[#This Row],[SP Strike  Stop Per Share]]),SnapshotTable[[#This Row],[SP Premium]] - ((SnapshotTable[[#This Row],[SP Strike Price]]-SnapshotTable[[#This Row],[SP Strike  Stop Per Share]]) *(SnapshotTable[[#This Row],[SP Qty]] * 100)),"")</f>
        <v/>
      </c>
      <c r="DA198" s="4" t="str">
        <f>IF(AND(ISNUMBER(SnapshotTable[[#This Row],[SP Premium]]),SnapshotTable[[#This Row],[SP Premium]]&gt;0), SnapshotTable[[#This Row],[SP Book Price]] * (1 + SP_MaxLoss_OptionPct), "")</f>
        <v/>
      </c>
      <c r="DB198" s="31" t="str">
        <f>IF(ISNUMBER(SnapshotTable[[#This Row],[SP Option  Stop Contract]]),(SnapshotTable[[#This Row],[SP Option  Stop Contract]] *(SnapshotTable[[#This Row],[SP Qty]] * 100) - SnapshotTable[[#This Row],[SP Premium]]),"")</f>
        <v/>
      </c>
      <c r="DC198" s="4"/>
      <c r="DD198" s="4"/>
      <c r="DE198" s="4" t="str">
        <f>IF(AND(SnapshotTable[[#This Row],[SP Qty]]&gt;0, SnapshotTable[[#This Row],[SP Stop To Use]]&gt;0),SnapshotTable[[#This Row],[SP Premium]] - ( SnapshotTable[[#This Row],[SP Qty]] * SnapshotTable[[#This Row],[SP Stop To Use]] * 100), "")</f>
        <v/>
      </c>
      <c r="DF198" s="31" t="str">
        <f>IF(AND(SnapshotTable[[#This Row],[SP Qty]]&gt;0,SnapshotTable[[#This Row],[SP Current Ask]]&gt;0), SnapshotTable[[#This Row],[SP Qty]] * SnapshotTable[[#This Row],[SP Current Ask]] * -100, "")</f>
        <v/>
      </c>
      <c r="DG198" s="31" t="str">
        <f>IF(ISNUMBER((SnapshotTable[[#This Row],[SP Total Value]])), SnapshotTable[[#This Row],[SP Premium]] + SnapshotTable[[#This Row],[SP Total Value]], "")</f>
        <v/>
      </c>
      <c r="DH198" s="272" t="str">
        <f>IF(ISNUMBER((SnapshotTable[[#This Row],[SP Total Value]])), SnapshotTable[[#This Row],[SP Gain Loss]] / SnapshotTable[[#This Row],[SP Premium]], "")</f>
        <v/>
      </c>
      <c r="DI198" s="369"/>
      <c r="DJ198" s="136"/>
      <c r="DK198" s="146"/>
      <c r="DL198" s="13"/>
      <c r="DM198" s="13"/>
      <c r="DO198" s="31">
        <f>IF(SnapshotTable[[#This Row],[LC Symbol Count]]=1, SnapshotTable[[#This Row],[LC Qty]] * SnapshotTable[[#This Row],[LC Book Price]] * 100, 0)</f>
        <v>0</v>
      </c>
      <c r="DP198" s="161" t="str">
        <f>IF(AND(SnapshotTable[[#This Row],[LC Exp Date]]&gt;0, SnapshotTable[[#This Row],[LC Strike Price]]&gt;0,SnapshotTable[[#This Row],[LC Qty]]&gt;0,SnapshotTable[[#This Row],[LC Book Date]]&gt;0,SnapshotTable[[#This Row],[LC Book Price]]&gt;0,SnapshotTable[[#This Row],[LC Fill Date]]=0),"Y","")</f>
        <v/>
      </c>
      <c r="DQ198" s="356" t="str">
        <f>IF(SnapshotTable[[#This Row],[LC Premium]] &gt; 0,SnapshotTable[[#This Row],[LC Exp Date]]-MAX(SnapshotTable[[#This Row],[LC Book Date]], SnapshotTable[[#This Row],[LC Fill Date]]),"")</f>
        <v/>
      </c>
      <c r="DR198" s="356" t="str">
        <f>IF(ISNUMBER(SnapshotTable[[#This Row],[LC Term]]), SnapshotTable[[#This Row],[LC Exp Date]] - MockToday, "")</f>
        <v/>
      </c>
      <c r="DS198" s="219" t="str">
        <f>IF(SnapshotTable[[#This Row],[LC Premium]]&gt;0,SnapshotTable[[#This Row],[LC Strike Price]] + SnapshotTable[[#This Row],[LC Book Price]],"")</f>
        <v/>
      </c>
      <c r="DU198" s="9" t="str">
        <f>IF(AND(SnapshotTable[[#This Row],[LC Symbol Count]]&gt;0, SnapshotTable[[#This Row],[LC Contract Value]]&gt;0), SnapshotTable[[#This Row],[LC Contract Value]] * SnapshotTable[[#This Row],[LC Qty]] * 100, "")</f>
        <v/>
      </c>
      <c r="DV198" s="9" t="str">
        <f>IF(AND(ISNUMBER(SnapshotTable[[#This Row],[LC Total Value]]), SnapshotTable[[#This Row],[LC Not Filled]]&lt;&gt;"Y"), SnapshotTable[[#This Row],[LC Total Value]]-SnapshotTable[[#This Row],[LC Premium]],"")</f>
        <v/>
      </c>
      <c r="DW198" s="225" t="str">
        <f>IF(ISNUMBER(SnapshotTable[[#This Row],[LC Actual Gain Loss]]), SnapshotTable[[#This Row],[LC Actual Gain Loss]] / SnapshotTable[[#This Row],[LC Premium]],"")</f>
        <v/>
      </c>
      <c r="DX198" s="269" t="str">
        <f>IF(ISNUMBER(SnapshotTable[[#This Row],[LC Book Price]]),SnapshotTable[[#This Row],[LC Book Price]] * 1.5,"")</f>
        <v/>
      </c>
      <c r="DY198" s="250" t="str">
        <f>IF(SnapshotTable[[#This Row],[LC Premium]]&gt;0, SnapshotTable[[#This Row],[LC Next Target]] * SnapshotTable[[#This Row],[LC Qty]] * 100,"")</f>
        <v/>
      </c>
      <c r="DZ198" s="250" t="str">
        <f>IF(ISNUMBER(SnapshotTable[[#This Row],[LC Target Gross]]), SnapshotTable[[#This Row],[LC Target Gross]] - SnapshotTable[[#This Row],[LC Premium]], "")</f>
        <v/>
      </c>
      <c r="EA198" s="283" t="str">
        <f>IF(ISNUMBER(SnapshotTable[[#This Row],[LC Target Gain Loss]]), SnapshotTable[[#This Row],[LC Target Gain Loss]]/SnapshotTable[[#This Row],[LC Premium]], "")</f>
        <v/>
      </c>
      <c r="EB198" s="247"/>
      <c r="EC198" s="268" t="str">
        <f>IF(SnapshotTable[[#This Row],[LC Premium]]&gt;0, SnapshotTable[[#This Row],[LC Book Price]] * (1 - LC_StopLoss_Pct),"")</f>
        <v/>
      </c>
      <c r="ED198" s="269"/>
      <c r="EE198" s="268" t="str">
        <f>IF(ISNUMBER(SnapshotTable[[#This Row],[LC Contract Value]]),IF(ISNUMBER(SnapshotTable[[#This Row],[LC Stop Loss Override]]), SnapshotTable[[#This Row],[LC Stop Loss Override]],SnapshotTable[[#This Row],[LC Stop Loss Calc Target]]),"")</f>
        <v/>
      </c>
      <c r="EF198" s="31" t="str">
        <f>IF(ISNUMBER(SnapshotTable[[#This Row],[LC Stop  To Use]]), (SnapshotTable[[#This Row],[LC Stop  To Use]] * SnapshotTable[[#This Row],[LC Qty]] * 100),"")</f>
        <v/>
      </c>
      <c r="EG198" s="9" t="str">
        <f>IF(ISNUMBER(SnapshotTable[[#This Row],[LC Total Value]]),SnapshotTable[[#This Row],[LC Stop Loss Amount]] - SnapshotTable[[#This Row],[LC Premium]],"")</f>
        <v/>
      </c>
      <c r="EH198" s="9">
        <f>IF(ISNUMBER(SnapshotTable[[#This Row],[LC Premium]]), SnapshotTable[[#This Row],[LC Qty]] * 100 * SnapshotTable[[#This Row],[LC Strike Price]], "")</f>
        <v>0</v>
      </c>
      <c r="EI198" s="225" t="str">
        <f>IF(AND(ISNUMBER(SnapshotTable[[#This Row],[LC Total Value]]),SnapshotTable[[#This Row],[LC Total Value]]&gt;0),SnapshotTable[[#This Row],[LC Stop Gain Loss]]  / SnapshotTable[[#This Row],[LC Premium]],"")</f>
        <v/>
      </c>
      <c r="EJ198" s="35">
        <f>IF(ISNUMBER(SnapshotTable[[#This Row],[Equity Shares]]),TRUNC(SnapshotTable[[#This Row],[Equity Shares]] / 100),0) + SnapshotTable[[#This Row],[LC Qty]]</f>
        <v>0</v>
      </c>
      <c r="EK198" s="145"/>
      <c r="EL198" s="136"/>
      <c r="EM198" s="146"/>
      <c r="EN198" s="145"/>
      <c r="EO198" s="145"/>
      <c r="EP198" s="136"/>
      <c r="EQ198" s="382" t="b">
        <f>AND(ISNUMBER(SnapshotTable[[#This Row],[SC Exp Date]]), ISNUMBER(SnapshotTable[[#This Row],[SC Strike Price]]), ISNUMBER(SnapshotTable[[#This Row],[SC Qty]]), ISNUMBER(SnapshotTable[[#This Row],[SC Book Date]]), ISNUMBER(SnapshotTable[[#This Row],[SC Book Price]]))</f>
        <v>0</v>
      </c>
      <c r="ER198" s="382" t="b">
        <f>AND(SnapshotTable[[#This Row],[SC Is Booked]], NOT(ISBLANK(SnapshotTable[[#This Row],[SC Fill Date]])))</f>
        <v>0</v>
      </c>
      <c r="ES198" s="340"/>
      <c r="ET198" s="34" t="str">
        <f>IF(AND(ISNUMBER(SnapshotTable[[#This Row],[SC Exp Date]]), ISNUMBER(SnapshotTable[[#This Row],[SC Book Date]])), SnapshotTable[[#This Row],[SC Exp Date]] - MAX(SnapshotTable[[#This Row],[SC Book Date]], SnapshotTable[[#This Row],[SC Fill Date]]) + 1, "")</f>
        <v/>
      </c>
      <c r="EU198" s="34" t="str">
        <f>IF(ISNUMBER(SnapshotTable[[#This Row],[SC Term]]), SnapshotTable[[#This Row],[SC Exp Date]]- MockToday, "")</f>
        <v/>
      </c>
      <c r="EV198" s="31">
        <f>IF(SnapshotTable[[#This Row],[SC Is Booked]], SnapshotTable[[#This Row],[SC Qty]] * SnapshotTable[[#This Row],[SC Book Price]] * 100, 0)</f>
        <v>0</v>
      </c>
      <c r="EW198" s="4" t="str">
        <f>IF(AND(ISNUMBER(SnapshotTable[[#This Row],[Last Price]]), ISNUMBER( SnapshotTable[[#This Row],[SC Book Price]])), SnapshotTable[[#This Row],[Last Price]] - SnapshotTable[[#This Row],[SC Book Price]],"")</f>
        <v/>
      </c>
      <c r="EX198" s="219" t="str">
        <f>IF(SnapshotTable[[#This Row],[SC Is Booked]],IF(SnapshotTable[[#This Row],[SC Intrinsic Value]] &gt; 0, SnapshotTable[[#This Row],[SC Strike Price]], SnapshotTable[[#This Row],[Last Price]]), "")</f>
        <v/>
      </c>
      <c r="EY198" s="4">
        <f>IF(SnapshotTable[[#This Row],[SC Is Booked]], (MinimumPremiumRequired * SnapshotTable[[#This Row],[SC Basis]] * SnapshotTable[[#This Row],[SC Term]]), 0)</f>
        <v>0</v>
      </c>
      <c r="EZ198" s="268"/>
      <c r="FA198" s="204"/>
      <c r="FB198" s="340"/>
      <c r="FC198" s="4">
        <f>IF(SnapshotTable[[#This Row],[SC Is Filled]], btc_max_buyback_amount(SnapshotTable[[#This Row],[SC Fill Date]],SnapshotTable[[#This Row],[SC Exp Date]], SnapshotTable[[#This Row],[SC Book Price]]),0)</f>
        <v>0</v>
      </c>
      <c r="FD198" s="5"/>
      <c r="FE198" s="142" t="str">
        <f>IF(SnapshotTable[[#This Row],[SC Is Filled]], btc_next_cutoff_date(SnapshotTable[[#This Row],[SC Fill Date]],SnapshotTable[[#This Row],[SC Exp Date]]),"")</f>
        <v/>
      </c>
      <c r="FF198" s="4" t="str" cm="1">
        <f t="array" ref="FF198">IF(SnapshotTable[[#This Row],[SC Is Filled]], btc_should_buy_back(SnapshotTable[[#This Row],[SC Fill Date]], SnapshotTable[[#This Row],[SC Exp Date]], SnapshotTable[[#This Row],[SC Book Price]], SnapshotTable[[#This Row],[SC Current Ask]], MockToday, SnapshotTable[[#This Row],[SC Buyback Override]]),"")</f>
        <v/>
      </c>
      <c r="FG198" s="4">
        <f>IF(SnapshotTable[[#This Row],[SC Is Filled]], MAX(0,SnapshotTable[[#This Row],[Last Price]]  - SnapshotTable[[#This Row],[SC Strike Price]]), 0)</f>
        <v>0</v>
      </c>
      <c r="FH198" s="352">
        <f>IF(SnapshotTable[[#This Row],[SC Is Filled]], IF(ISNUMBER(SnapshotTable[[#This Row],[SC Current Ask]]), SnapshotTable[[#This Row],[SC Current Ask]], SnapshotTable[[#This Row],[SC Book Price]]) - SnapshotTable[[#This Row],[SC Intrinsic Value]], 0)</f>
        <v>0</v>
      </c>
      <c r="FI198" s="141"/>
      <c r="FJ198" s="32" t="str">
        <f>IF(SnapshotTable[[#This Row],[SC Is Filled]],100 * SnapshotTable[[#This Row],[SC Qty]] * IF(ISNUMBER(SnapshotTable[[#This Row],[SC Buyback Override]]), SnapshotTable[[#This Row],[SC Buyback Override]], SnapshotTable[[#This Row],[SC Current Ask]]), "")</f>
        <v/>
      </c>
      <c r="FK198" s="235" t="str">
        <f>IF(SnapshotTable[[#This Row],[SC Time Val]]&gt;0, SnapshotTable[[#This Row],[SC Time Val]] / SnapshotTable[[#This Row],[Last Price]],"")</f>
        <v/>
      </c>
      <c r="FL198" s="280" t="str">
        <f>IF(SnapshotTable[[#This Row],[SC Is Booked]], ((SnapshotTable[[#This Row],[Last Price]] -SnapshotTable[[#This Row],[SC Strike Price]]) / SnapshotTable[[#This Row],[Last Price]]) * -1, "")</f>
        <v/>
      </c>
      <c r="FM198" s="155" t="str">
        <f>IF(SnapshotTable[[#This Row],[SC Is Booked]],  (SnapshotTable[[#This Row],[SC Qty]] * 100 * SnapshotTable[[#This Row],[SC Strike Price]]) - SnapshotTable[[#This Row],[SC Current Ask]], "")</f>
        <v/>
      </c>
      <c r="FN19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8" s="31" t="str">
        <f>IF(AND(ISNUMBER(SnapshotTable[[#This Row],[SC Exercise Gross]]), ISNUMBER(SnapshotTable[[#This Row],[Equity Basis Per Share]] )), SnapshotTable[[#This Row],[SC Exercise Gross]] - SnapshotTable[[#This Row],[Equity Basis Total]] +  SnapshotTable[[#This Row],[SC Premium]], "")</f>
        <v/>
      </c>
      <c r="FP198" s="5" t="str">
        <f>IF(ISNUMBER(SnapshotTable[[#This Row],[SC Exercise Gross]]), (SnapshotTable[[#This Row],[SC Exercise Gross]]) / (SnapshotTable[[#This Row],[SC Qty]] * 100), "")</f>
        <v/>
      </c>
      <c r="FQ198" s="27" t="str">
        <f>IF(SnapshotTable[[#This Row],[SC Is Booked]],SnapshotTable[[#This Row],[SC Time Val]] /SnapshotTable[[#This Row],[SC Basis]], "")</f>
        <v/>
      </c>
      <c r="FR198" s="27" t="str" cm="1">
        <f t="array" ref="FR198">IF(AND(ISNUMBER(SnapshotTable[[#This Row],[SC Term]]),ISNUMBER(SnapshotTable[[#This Row],[SC Simple ROO]])), EllmanAnnualize(SnapshotTable[[#This Row],[SC DTE]], SnapshotTable[[#This Row],[SC Simple ROO]] ),"")</f>
        <v/>
      </c>
      <c r="FS198" s="4">
        <f>IF(SnapshotTable[[#This Row],[SC Strike Price]] &gt; SnapshotTable[[#This Row],[Last Price]], SnapshotTable[[#This Row],[SC Strike Price]] - SnapshotTable[[#This Row],[Last Price]],0)</f>
        <v>0</v>
      </c>
      <c r="FT198" s="27" t="str">
        <f>IF(AND(ISNUMBER(SnapshotTable[[#This Row],[SC Upside Potential]]), SnapshotTable[[#This Row],[SC Upside Potential]] &gt; 0),(SnapshotTable[[#This Row],[SC Upside Potential]]/ SnapshotTable[[#This Row],[ACB]]),"")</f>
        <v/>
      </c>
      <c r="FU198" s="304" t="str">
        <f>IF(SnapshotTable[[#This Row],[SC Intrinsic Value]] &gt; 0,SnapshotTable[[#This Row],[SC Intrinsic Value]],"")</f>
        <v/>
      </c>
      <c r="FV198" s="27" t="str">
        <f>IF(AND( ISNUMBER( SnapshotTable[[#This Row],[ACB]]),ISNUMBER(SnapshotTable[[#This Row],[SC Downside Protect]])),SnapshotTable[[#This Row],[SC Downside Protect]] / SnapshotTable[[#This Row],[ACB]],"")</f>
        <v/>
      </c>
      <c r="FW198" s="221" t="str">
        <f>IF(AND(ISNUMBER(SnapshotTable[[#This Row],[SC Simple ROO]]),SnapshotTable[[#This Row],[SC Simple ROO]] &gt; 0), SnapshotTable[[#This Row],[SC Premium]] + (SnapshotTable[[#This Row],[SC Qty]] * SnapshotTable[[#This Row],[SC Upside Potential]]), "")</f>
        <v/>
      </c>
      <c r="FX198" s="280" t="str" cm="1">
        <f t="array" ref="FX198">IF(ISNUMBER(SnapshotTable[[#This Row],[SC Max Dollars]]), annualize(SnapshotTable[[#This Row],[SC Term]],(SnapshotTable[[#This Row],[SC Max Dollars]]/SnapshotTable[[#This Row],[SC Basis]])),"")</f>
        <v/>
      </c>
      <c r="FY198" s="221" t="str">
        <f>IF(AND(SnapshotTable[[#This Row],[SC Qty]]&gt;0,SnapshotTable[[#This Row],[SC Current Ask]]&gt;0), SnapshotTable[[#This Row],[SC Qty]] * SnapshotTable[[#This Row],[SC Current Ask]] * -100, "")</f>
        <v/>
      </c>
      <c r="FZ198" s="31" t="str">
        <f>IF(ISNUMBER((SnapshotTable[[#This Row],[SC Current Value]])), SnapshotTable[[#This Row],[SC Premium]] + SnapshotTable[[#This Row],[SC Current Value]], "")</f>
        <v/>
      </c>
      <c r="GA198" s="272" t="str">
        <f>IFERROR( IF(ISNUMBER((SnapshotTable[[#This Row],[SC Current Value]])), SnapshotTable[[#This Row],[SC Gain Loss]] / SnapshotTable[[#This Row],[SC Premium]], ""), "")</f>
        <v/>
      </c>
      <c r="GB198" s="42">
        <f>SnapshotTable[[#This Row],[Equity Shares]] * SaleSharesToConsiderPercentage</f>
        <v>0</v>
      </c>
      <c r="GC198" s="40">
        <f>SnapshotTable[[#This Row],[Long Term Target]] * SellingPriceToConsiderBasedOnTargetPercentage</f>
        <v>63.839999999999996</v>
      </c>
      <c r="GD198" s="40">
        <f>SnapshotTable[[#This Row],[Last Price]] * (1+ SellingPriceToConsiderBasedOnTargetPercentage)</f>
        <v>272.29799999999994</v>
      </c>
      <c r="GE198" s="41"/>
      <c r="GF198" s="40"/>
      <c r="GG198" s="31">
        <f>SnapshotTable[[#This Row],[Booked Sale Shares]] * SnapshotTable[[#This Row],[Booked Sale Price]]</f>
        <v>0</v>
      </c>
      <c r="GH198" s="31" t="str">
        <f>IF(SnapshotTable[[#This Row],[Equity Basis Total]] &gt; 0, SnapshotTable[[#This Row],[Equity Basis Per Share]] * SnapshotTable[[#This Row],[Booked Sale Shares]], "")</f>
        <v/>
      </c>
      <c r="GI198" s="31">
        <f>IF(SnapshotTable[[#This Row],[Sale Proceeds]]&gt;0, SnapshotTable[[#This Row],[Sale Proceeds]] - SnapshotTable[[#This Row],[Sale Basis]], 0)</f>
        <v>0</v>
      </c>
      <c r="GJ198" s="27" t="str">
        <f>IF(SnapshotTable[[#This Row],[Sale G/L]]&gt;0, SnapshotTable[[#This Row],[Sale G/L]] / SnapshotTable[[#This Row],[Sale Basis]], IF(ISNUMBER(SnapshotTable[[#This Row],[SC Exercise P&amp;L (TAX)]]), SnapshotTable[[#This Row],[SC Exercise P&amp;L (TAX)]] / SnapshotTable[[#This Row],[SC Basis]], ""))</f>
        <v/>
      </c>
      <c r="GK198" s="27" t="s">
        <v>559</v>
      </c>
      <c r="GL198" s="43" t="str">
        <f>IF(AND(SnapshotTable[[#This Row],[LP Exp Date]]&gt;0,SnapshotTable[[#This Row],[LP Strike Price]]&gt;0), [1]!ToOptionSymbol(SnapshotTable[[#This Row],[Symbol]], SnapshotTable[[#This Row],[LP Strike Price]],SnapshotTable[[#This Row],[LP Exp Date]],1), "")</f>
        <v/>
      </c>
      <c r="GM198" s="30" t="str">
        <f>IF(LEN(SnapshotTable[[#This Row],[LP Symbol]])&gt;0, 1, "")</f>
        <v/>
      </c>
      <c r="GN198" s="43" t="str">
        <f>IF(AND(SnapshotTable[[#This Row],[SP Exp Date]]&gt;0,SnapshotTable[[#This Row],[SP Strike Price]]&gt;0), [1]!ToOptionSymbol(SnapshotTable[[#This Row],[Symbol]], SnapshotTable[[#This Row],[SP Strike Price]],SnapshotTable[[#This Row],[SP Exp Date]],1), "")</f>
        <v/>
      </c>
      <c r="GO198" s="30" t="str">
        <f>IF(LEN(SnapshotTable[[#This Row],[SP Symbol]])&gt;0, 1, "")</f>
        <v/>
      </c>
      <c r="GP198" s="43" t="str">
        <f>IF(AND(SnapshotTable[[#This Row],[LC Exp Date]]&gt;0,SnapshotTable[[#This Row],[LC Strike Price]]&gt;0), [1]!ToOptionSymbol(SnapshotTable[[#This Row],[Symbol]], SnapshotTable[[#This Row],[LC Strike Price]],SnapshotTable[[#This Row],[LC Exp Date]],0), "")</f>
        <v/>
      </c>
      <c r="GQ198" s="30" t="str">
        <f>IF(LEN(SnapshotTable[[#This Row],[LC Symbol]])&gt;0, 1, "")</f>
        <v/>
      </c>
      <c r="GR198" s="43" t="str">
        <f>IF(AND(SnapshotTable[[#This Row],[SC Exp Date]]&gt;0,SnapshotTable[[#This Row],[SC Strike Price]]&gt;0), [1]!ToOptionSymbol(SnapshotTable[[#This Row],[Symbol]], SnapshotTable[[#This Row],[SC Strike Price]],SnapshotTable[[#This Row],[SC Exp Date]],0), "")</f>
        <v/>
      </c>
      <c r="GS198" s="30" t="str">
        <f>IF(LEN(SnapshotTable[[#This Row],[SC Symbol]])&gt;0, 1, "")</f>
        <v/>
      </c>
      <c r="GT198" s="29" t="str">
        <f>IF(COUNT(SnapshotTable[[#This Row],[LP Symbol Count]],SnapshotTable[[#This Row],[SP Symbol Count]],SnapshotTable[[#This Row],[LC Symbol Count]],SnapshotTable[[#This Row],[SC Symbol Count]])&gt;0, "Y", "")</f>
        <v/>
      </c>
      <c r="GU19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8" s="216">
        <f>MAX(SnapshotTable[[#This Row],[Equity Basis Total]],SnapshotTable[[#This Row],[Equity Value]]) + (SnapshotTable[[#This Row],[SP Potential Spend]]- SnapshotTable[[#This Row],[SP Premium]] + SnapshotTable[[#This Row],[LP Premium]])+ (SnapshotTable[[#This Row],[LC Premium]] - SnapshotTable[[#This Row],[SC Premium]])</f>
        <v>0</v>
      </c>
      <c r="GW198" s="137" t="str">
        <f>IF(AND(SnapshotTable[[#This Row],[Exposure]] &lt;&gt; 0),SnapshotTable[[#This Row],[Exposure]] / SnapshotTable[[#Totals],[Exposure]], "")</f>
        <v/>
      </c>
      <c r="HE198" s="253"/>
      <c r="HF198" s="253"/>
      <c r="HK198" s="1"/>
      <c r="HL198" s="1"/>
      <c r="HM198" s="1"/>
      <c r="HN198" s="1"/>
      <c r="HO198" s="1"/>
      <c r="HP198" s="1"/>
    </row>
    <row r="199" spans="2:224" ht="12.75" hidden="1" customHeight="1" x14ac:dyDescent="0.25">
      <c r="B199" s="12" t="s">
        <v>127</v>
      </c>
      <c r="C199" s="385">
        <v>50.76</v>
      </c>
      <c r="D199" s="200"/>
      <c r="E199" s="39">
        <f>SnapshotTable[[#This Row],[Last Price]]*(1 -CrashDiscount)</f>
        <v>43.145999999999994</v>
      </c>
      <c r="F199" s="26" t="s">
        <v>56</v>
      </c>
      <c r="G199" s="26" t="s">
        <v>32</v>
      </c>
      <c r="H199" s="147"/>
      <c r="I199" s="186">
        <v>44769</v>
      </c>
      <c r="J199" s="187">
        <v>44769</v>
      </c>
      <c r="K199" s="188"/>
      <c r="L199" s="297"/>
      <c r="M199" s="138"/>
      <c r="N199" s="138"/>
      <c r="O199" s="138"/>
      <c r="P199" s="22"/>
      <c r="Q199" s="25"/>
      <c r="R199" s="4" t="str">
        <f>IF(SnapshotTable[[#This Row],[Equity Basis Total]] &gt; 0, SnapshotTable[[#This Row],[Equity Basis Total]] / SnapshotTable[[#This Row],[Equity Shares]], "")</f>
        <v/>
      </c>
      <c r="S199" s="254">
        <f>SnapshotTable[[#This Row],[Last Price]] * SnapshotTable[[#This Row],[Equity Shares]]</f>
        <v>0</v>
      </c>
      <c r="T199" s="254">
        <f>SnapshotTable[[#This Row],[Equity Value]] - SnapshotTable[[#This Row],[Equity Basis Total]]</f>
        <v>0</v>
      </c>
      <c r="U199" s="255" t="str">
        <f>IF(SnapshotTable[[#This Row],[Equity Basis Total]] &gt; 0, SnapshotTable[[#This Row],[Equity G/L]] / SnapshotTable[[#This Row],[Equity Basis Total]], "")</f>
        <v/>
      </c>
      <c r="V199" s="253"/>
      <c r="W199" s="253"/>
      <c r="X199" s="4" t="str">
        <f>IF(AND(ISNUMBER(SnapshotTable[[#This Row],[Equity Basis Per Share]]),ISNUMBER(SnapshotTable[[#This Row],[Equity Target]])),SnapshotTable[[#This Row],[Equity Target]]-SnapshotTable[[#This Row],[Equity Basis Per Share]],"")</f>
        <v/>
      </c>
      <c r="Y199" s="4" t="str">
        <f>IF(AND(ISNUMBER(SnapshotTable[[#This Row],[Equity Basis Per Share]]),ISNUMBER(SnapshotTable[[#This Row],[Equity Stop Loss]])),SnapshotTable[[#This Row],[Equity Stop Loss]]-SnapshotTable[[#This Row],[Equity Basis Per Share]],"")</f>
        <v/>
      </c>
      <c r="Z199" s="260" t="str">
        <f>IFERROR( TEXT(SnapshotTable[[#This Row],[Equity Max Gain Per Share]] /ABS( SnapshotTable[[#This Row],[Equity Max Loss Per Share]]),"0.0 " ) &amp; " : 1", "")</f>
        <v/>
      </c>
      <c r="AA199" s="31" t="str">
        <f>IF(ISNUMBER(SnapshotTable[[#This Row],[Equity Max Gain Per Share]]),SnapshotTable[[#This Row],[Equity Max Gain Per Share]] * SnapshotTable[[#This Row],[Equity Shares]],"")</f>
        <v/>
      </c>
      <c r="AB199" s="31" t="str">
        <f>IF(ISNUMBER(SnapshotTable[[#This Row],[Equity Max Loss Per Share]]),SnapshotTable[[#This Row],[Equity Max Loss Per Share]] * SnapshotTable[[#This Row],[Equity Shares]],"")</f>
        <v/>
      </c>
      <c r="AC199" s="148">
        <v>2.31</v>
      </c>
      <c r="AD199" s="149">
        <v>42370</v>
      </c>
      <c r="AE199" s="31">
        <f>(SnapshotTable[[#This Row],[Annual Dividend Per Share]] / 4) * SnapshotTable[[#This Row],[Equity Shares]]</f>
        <v>0</v>
      </c>
      <c r="AF199" s="31">
        <f>SnapshotTable[[#This Row],[Quarterly Div $]] * 4</f>
        <v>0</v>
      </c>
      <c r="AG199" s="7">
        <f>IF(SnapshotTable[[#This Row],[Annual Dividend Per Share]]&gt;0, SnapshotTable[[#This Row],[Annual Dividend Per Share]]  / SnapshotTable[[#This Row],[Last Price]], 0)</f>
        <v>4.550827423167849E-2</v>
      </c>
      <c r="AH199" s="149">
        <v>42226</v>
      </c>
      <c r="AI199" s="5"/>
      <c r="AJ199" s="136">
        <v>48.25</v>
      </c>
      <c r="AK199" s="150" t="str">
        <f>IF(ISNUMBER( SnapshotTable[[#This Row],[EBF Target]]),(SnapshotTable[[#This Row],[EBF Target]] - SnapshotTable[[#This Row],[Last Price]]) / SnapshotTable[[#This Row],[Last Price]], "")</f>
        <v/>
      </c>
      <c r="AL199" s="150" t="str">
        <f>IF(AND(SnapshotTable[[#This Row],[Equity Basis Total]] &gt; 0,ISNUMBER( SnapshotTable[[#This Row],[Long Term Target]])), SnapshotTable[[#This Row],[From Basis $]] / SnapshotTable[[#This Row],[Equity Basis Total]], "")</f>
        <v/>
      </c>
      <c r="AM199" s="9">
        <f>IF( AND(SnapshotTable[[#This Row],[Equity Shares]] &gt;0,ISNUMBER( SnapshotTable[[#This Row],[Long Term Target]])),(SnapshotTable[[#This Row],[Equity Shares]] * SnapshotTable[[#This Row],[Long Term Target]]) - SnapshotTable[[#This Row],[Equity Basis Total]],0)</f>
        <v>0</v>
      </c>
      <c r="AN199" s="9">
        <f>IF( AND(SnapshotTable[[#This Row],[Equity Shares]] &gt;0,ISNUMBER( SnapshotTable[[#This Row],[Long Term Target]])),(SnapshotTable[[#This Row],[Equity Shares]]*SnapshotTable[[#This Row],[Long Term Target]]) - SnapshotTable[[#This Row],[Equity Value]],0)</f>
        <v>0</v>
      </c>
      <c r="AO199" s="150">
        <f>IF(AND(ISNUMBER( SnapshotTable[[#This Row],[Long Term Target]]), ISNUMBER(SnapshotTable[[#This Row],[Last Price]])),(SnapshotTable[[#This Row],[Long Term Target]] - SnapshotTable[[#This Row],[Last Price]]) / SnapshotTable[[#This Row],[Last Price]], "")</f>
        <v>-4.9448384554767494E-2</v>
      </c>
      <c r="AP199" s="5"/>
      <c r="AQ199" s="38"/>
      <c r="AR199" s="5"/>
      <c r="AS199" s="38"/>
      <c r="AT199" s="144"/>
      <c r="AU199" s="185" t="str">
        <f>IF(OR(SnapshotTable[[#This Row],[LP No Fill]]="Y",SnapshotTable[[#This Row],[SP Is Filled]],SnapshotTable[[#This Row],[LC Not Filled]]="Y",SnapshotTable[[#This Row],[SC Is Filled]]),"Y","")</f>
        <v/>
      </c>
      <c r="AV199" s="205"/>
      <c r="AW199" s="211"/>
      <c r="AX199" s="206"/>
      <c r="AY199" s="205" t="str">
        <f>IF(SnapshotTable[[#This Row],[Implied Move]]&gt;0, SnapshotTable[[#This Row],[Last Price]]-SnapshotTable[[#This Row],[Implied Move]],"")</f>
        <v/>
      </c>
      <c r="AZ199" s="205" t="str">
        <f>IF(SnapshotTable[[#This Row],[Implied Move]]&gt;0, SnapshotTable[[#This Row],[Last Price]] + SnapshotTable[[#This Row],[Implied Move]],"")</f>
        <v/>
      </c>
      <c r="BA199" s="302"/>
      <c r="BB199" s="318"/>
      <c r="BC19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199" s="321"/>
      <c r="BE199" s="5"/>
      <c r="BF199" s="14"/>
      <c r="BG199" s="13"/>
      <c r="BH199" s="13"/>
      <c r="BI199" s="5"/>
      <c r="BJ199" s="134">
        <f>IF(SnapshotTable[[#This Row],[LP Qty]] &gt; 0, SnapshotTable[[#This Row],[LP Qty]] * SnapshotTable[[#This Row],[LP Book Price]] * 100,0)</f>
        <v>0</v>
      </c>
      <c r="BK199" s="134">
        <f>IF(SnapshotTable[[#This Row],[LP Premium]] &gt; 0, SnapshotTable[[#This Row],[LP Qty]] * SnapshotTable[[#This Row],[LP Strike Price]] * 100,0)</f>
        <v>0</v>
      </c>
      <c r="BL199" s="152"/>
      <c r="BM199" s="355" t="str">
        <f>IF(SnapshotTable[[#This Row],[LP Premium]] &gt; 0,SnapshotTable[[#This Row],[LP Exp Date]]-MAX(SnapshotTable[[#This Row],[LP Book Date]], SnapshotTable[[#This Row],[LP Fill Date]]),"")</f>
        <v/>
      </c>
      <c r="BN199" s="355" t="str">
        <f>IF(ISNUMBER( SnapshotTable[[#This Row],[LP Term]]), SnapshotTable[[#This Row],[LP Exp Date]] - MockToday,"")</f>
        <v/>
      </c>
      <c r="BO199" s="161" t="str">
        <f>IF(AND(SnapshotTable[[#This Row],[LP Exp Date]]&gt;0, SnapshotTable[[#This Row],[LP Strike Price]]&gt;0,SnapshotTable[[#This Row],[LP Qty]]&gt;0,SnapshotTable[[#This Row],[LP Book Date]]&gt;0,SnapshotTable[[#This Row],[LP Book Price]]&gt;0,SnapshotTable[[#This Row],[LP Fill Date]]=0),"Y","")</f>
        <v/>
      </c>
      <c r="BP199" s="31" t="str">
        <f>IF(AND(SnapshotTable[[#This Row],[LP No Fill]]&lt;&gt;"Y",SnapshotTable[[#This Row],[LP Contract Value]]&gt;0, SnapshotTable[[#This Row],[LP Qty]]&gt;0), SnapshotTable[[#This Row],[LP Contract Value]]*SnapshotTable[[#This Row],[LP Qty]]*100,"")</f>
        <v/>
      </c>
      <c r="BQ199" s="13"/>
      <c r="BR199" s="5"/>
      <c r="BS199" s="36"/>
      <c r="BT199" s="145"/>
      <c r="BU199" s="13"/>
      <c r="BV199" s="5"/>
      <c r="BW199" s="382" t="b">
        <f>AND(ISNUMBER(SnapshotTable[[#This Row],[SP Exp Date]]), ISNUMBER(SnapshotTable[[#This Row],[SP Strike Price]]), ISNUMBER(SnapshotTable[[#This Row],[SP Qty]]), ISNUMBER(SnapshotTable[[#This Row],[SP Book Date]]), ISNUMBER(SnapshotTable[[#This Row],[SP Book Price]]))</f>
        <v>0</v>
      </c>
      <c r="BX199" s="382" t="b">
        <f>AND(SnapshotTable[[#This Row],[SP Is Booked]], NOT(ISBLANK(SnapshotTable[[#This Row],[SP Fill Date]])))</f>
        <v>0</v>
      </c>
      <c r="BY199" s="33">
        <f>IF(SnapshotTable[[#This Row],[SP Is Booked]], SnapshotTable[[#This Row],[SP Qty]] * SnapshotTable[[#This Row],[SP Book Price]] * 100, 0)</f>
        <v>0</v>
      </c>
      <c r="BZ199" s="339"/>
      <c r="CA199" s="338">
        <f>SnapshotTable[[#This Row],[LP Qty]]</f>
        <v>0</v>
      </c>
      <c r="CB199" s="4" t="str">
        <f>IF(SnapshotTable[[#This Row],[SP Is Booked]], SnapshotTable[[#This Row],[SP Strike Price]] - SnapshotTable[[#This Row],[SP Book Price]], "")</f>
        <v/>
      </c>
      <c r="CC199" s="19" t="str">
        <f>IF(SnapshotTable[[#This Row],[SP Is Booked]],SnapshotTable[[#This Row],[SP Exp Date]]-MAX(SnapshotTable[[#This Row],[SP Book Date]], SnapshotTable[[#This Row],[SP Fill Date]]),"")</f>
        <v/>
      </c>
      <c r="CD199" s="7" t="str">
        <f>IF(SnapshotTable[[#This Row],[SP Is Booked]], SnapshotTable[[#This Row],[SP Book Price]]/SnapshotTable[[#This Row],[SP Strike Price]], "")</f>
        <v/>
      </c>
      <c r="CE199" s="7" t="str">
        <f>IF(ISNUMBER(SnapshotTable[[#This Row],[SP ROO Term]]),SnapshotTable[[#This Row],[SP ROO Term]]*(365/SnapshotTable[[#This Row],[SP Term]]),"")</f>
        <v/>
      </c>
      <c r="CF199" s="221">
        <f>SnapshotTable[[#This Row],[LP Strike Price]] * SnapshotTable[[#This Row],[LP Qty]] * 100</f>
        <v>0</v>
      </c>
      <c r="CG199" s="31">
        <f>IF(ISNUMBER(SnapshotTable[[#This Row],[SP Premium]]), (SnapshotTable[[#This Row],[SP Qty]] * SnapshotTable[[#This Row],[SP Strike Price]]* 100) - SnapshotTable[[#This Row],[LP Protection]], 0)</f>
        <v>0</v>
      </c>
      <c r="CH199" s="7" t="str">
        <f>IF(ISNUMBER(SnapshotTable[[#This Row],[SP Break Even]]),-1 * (SnapshotTable[[#This Row],[SP Break Even]] - SnapshotTable[[#This Row],[Last Price]]) / SnapshotTable[[#This Row],[Last Price]], "")</f>
        <v/>
      </c>
      <c r="CI199" s="31">
        <f>IF(AND(ISNUMBER((SnapshotTable[[#This Row],[SP Potential Spend]])), SnapshotTable[[#This Row],[SP Strike Price]] &gt; SnapshotTable[[#This Row],[Last Price]], SnapshotTable[[#This Row],[SP Is Filled]]), SnapshotTable[[#This Row],[SP Potential Spend]] -  SnapshotTable[[#This Row],[LP Max Value]], 0)</f>
        <v>0</v>
      </c>
      <c r="CJ199" s="229"/>
      <c r="CK199" s="31">
        <f>IF(ISNUMBER(SnapshotTable[[#This Row],[SP Potential Spend]]),IF(ISNUMBER(SnapshotTable[[#This Row],[SP POW]]), SnapshotTable[[#This Row],[SP POW]] * SnapshotTable[[#This Row],[SP Potential Spend]], SnapshotTable[[#This Row],[SP Potential Spend]]), "")</f>
        <v>0</v>
      </c>
      <c r="CL199" s="162">
        <f>IF(NOT(SnapshotTable[[#This Row],[SP Is Filled]]),(SnapshotTable[[#This Row],[SP Qty]] * SnapshotTable[[#This Row],[SP Strike Price]] * 100) - SnapshotTable[[#This Row],[LP Max Value]],"")</f>
        <v>0</v>
      </c>
      <c r="CM199" s="31" t="str">
        <f>IF(SnapshotTable[[#This Row],[SP Actual Spend]]&lt;&gt;0, ((SnapshotTable[[#This Row],[SP Strike Price]]-SnapshotTable[[#This Row],[Last Price]]) *(SnapshotTable[[#This Row],[SP Qty]]*100) - SnapshotTable[[#This Row],[SP Premium]]) * - 1, "")</f>
        <v/>
      </c>
      <c r="CN199" s="76"/>
      <c r="CO199" s="339"/>
      <c r="CP199" s="4" t="str">
        <f>IF(SnapshotTable[[#This Row],[SP Is Filled]], btc_max_buyback_amount(SnapshotTable[[#This Row],[SP Fill Date]],SnapshotTable[[#This Row],[SP Exp Date]], SnapshotTable[[#This Row],[SP Book Price]]),"")</f>
        <v/>
      </c>
      <c r="CQ199" s="76"/>
      <c r="CR19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199" s="153" t="str">
        <f>IF(SnapshotTable[[#This Row],[SP Is Filled]], btc_next_cutoff_date(SnapshotTable[[#This Row],[SP Fill Date]],SnapshotTable[[#This Row],[SP Exp Date]]),"")</f>
        <v/>
      </c>
      <c r="CT199" s="220" t="str" cm="1">
        <f t="array" ref="CT199">IF(SnapshotTable[[#This Row],[SP Is Filled]], btc_should_buy_back(SnapshotTable[[#This Row],[SP Fill Date]], SnapshotTable[[#This Row],[SP Exp Date]], SnapshotTable[[#This Row],[SP Book Price]], SnapshotTable[[#This Row],[SP Current Ask]], MockToday, SnapshotTable[[#This Row],[SP Buyback Override]]),"")</f>
        <v/>
      </c>
      <c r="CU199" s="141"/>
      <c r="CV199" s="220"/>
      <c r="CW199" s="348" t="str">
        <f>IF(ISNUMBER( SnapshotTable[[#This Row],[SP Term]]), SnapshotTable[[#This Row],[SP Exp Date]] - MockToday,"")</f>
        <v/>
      </c>
      <c r="CX199" s="31" t="str">
        <f>IF(SnapshotTable[[#This Row],[SP Is Filled]],SnapshotTable[[#This Row],[SP Buyback Price to Use]] * 100 * SnapshotTable[[#This Row],[SP Qty]], "")</f>
        <v/>
      </c>
      <c r="CY199" s="4" t="str">
        <f>IF(ISNUMBER(SnapshotTable[[#This Row],[SP Strike Price]]), SnapshotTable[[#This Row],[SP Strike Price]] * (1 - SP_MaxLoss_StrikePct), "")</f>
        <v/>
      </c>
      <c r="CZ199" s="31" t="str">
        <f>IF(ISNUMBER(SnapshotTable[[#This Row],[SP Strike  Stop Per Share]]),SnapshotTable[[#This Row],[SP Premium]] - ((SnapshotTable[[#This Row],[SP Strike Price]]-SnapshotTable[[#This Row],[SP Strike  Stop Per Share]]) *(SnapshotTable[[#This Row],[SP Qty]] * 100)),"")</f>
        <v/>
      </c>
      <c r="DA199" s="4" t="str">
        <f>IF(AND(ISNUMBER(SnapshotTable[[#This Row],[SP Premium]]),SnapshotTable[[#This Row],[SP Premium]]&gt;0), SnapshotTable[[#This Row],[SP Book Price]] * (1 + SP_MaxLoss_OptionPct), "")</f>
        <v/>
      </c>
      <c r="DB199" s="31" t="str">
        <f>IF(ISNUMBER(SnapshotTable[[#This Row],[SP Option  Stop Contract]]),(SnapshotTable[[#This Row],[SP Option  Stop Contract]] *(SnapshotTable[[#This Row],[SP Qty]] * 100) - SnapshotTable[[#This Row],[SP Premium]]),"")</f>
        <v/>
      </c>
      <c r="DC199" s="4"/>
      <c r="DD199" s="4"/>
      <c r="DE199" s="4" t="str">
        <f>IF(AND(SnapshotTable[[#This Row],[SP Qty]]&gt;0, SnapshotTable[[#This Row],[SP Stop To Use]]&gt;0),SnapshotTable[[#This Row],[SP Premium]] - ( SnapshotTable[[#This Row],[SP Qty]] * SnapshotTable[[#This Row],[SP Stop To Use]] * 100), "")</f>
        <v/>
      </c>
      <c r="DF199" s="31" t="str">
        <f>IF(AND(SnapshotTable[[#This Row],[SP Qty]]&gt;0,SnapshotTable[[#This Row],[SP Current Ask]]&gt;0), SnapshotTable[[#This Row],[SP Qty]] * SnapshotTable[[#This Row],[SP Current Ask]] * -100, "")</f>
        <v/>
      </c>
      <c r="DG199" s="31" t="str">
        <f>IF(ISNUMBER((SnapshotTable[[#This Row],[SP Total Value]])), SnapshotTable[[#This Row],[SP Premium]] + SnapshotTable[[#This Row],[SP Total Value]], "")</f>
        <v/>
      </c>
      <c r="DH199" s="272" t="str">
        <f>IF(ISNUMBER((SnapshotTable[[#This Row],[SP Total Value]])), SnapshotTable[[#This Row],[SP Gain Loss]] / SnapshotTable[[#This Row],[SP Premium]], "")</f>
        <v/>
      </c>
      <c r="DI199" s="369"/>
      <c r="DJ199" s="136"/>
      <c r="DK199" s="146"/>
      <c r="DL199" s="13"/>
      <c r="DM199" s="13"/>
      <c r="DO199" s="31">
        <f>IF(SnapshotTable[[#This Row],[LC Symbol Count]]=1, SnapshotTable[[#This Row],[LC Qty]] * SnapshotTable[[#This Row],[LC Book Price]] * 100, 0)</f>
        <v>0</v>
      </c>
      <c r="DP199" s="161" t="str">
        <f>IF(AND(SnapshotTable[[#This Row],[LC Exp Date]]&gt;0, SnapshotTable[[#This Row],[LC Strike Price]]&gt;0,SnapshotTable[[#This Row],[LC Qty]]&gt;0,SnapshotTable[[#This Row],[LC Book Date]]&gt;0,SnapshotTable[[#This Row],[LC Book Price]]&gt;0,SnapshotTable[[#This Row],[LC Fill Date]]=0),"Y","")</f>
        <v/>
      </c>
      <c r="DQ199" s="356" t="str">
        <f>IF(SnapshotTable[[#This Row],[LC Premium]] &gt; 0,SnapshotTable[[#This Row],[LC Exp Date]]-MAX(SnapshotTable[[#This Row],[LC Book Date]], SnapshotTable[[#This Row],[LC Fill Date]]),"")</f>
        <v/>
      </c>
      <c r="DR199" s="356" t="str">
        <f>IF(ISNUMBER(SnapshotTable[[#This Row],[LC Term]]), SnapshotTable[[#This Row],[LC Exp Date]] - MockToday, "")</f>
        <v/>
      </c>
      <c r="DS199" s="219" t="str">
        <f>IF(SnapshotTable[[#This Row],[LC Premium]]&gt;0,SnapshotTable[[#This Row],[LC Strike Price]] + SnapshotTable[[#This Row],[LC Book Price]],"")</f>
        <v/>
      </c>
      <c r="DU199" s="9" t="str">
        <f>IF(AND(SnapshotTable[[#This Row],[LC Symbol Count]]&gt;0, SnapshotTable[[#This Row],[LC Contract Value]]&gt;0), SnapshotTable[[#This Row],[LC Contract Value]] * SnapshotTable[[#This Row],[LC Qty]] * 100, "")</f>
        <v/>
      </c>
      <c r="DV199" s="9" t="str">
        <f>IF(AND(ISNUMBER(SnapshotTable[[#This Row],[LC Total Value]]), SnapshotTable[[#This Row],[LC Not Filled]]&lt;&gt;"Y"), SnapshotTable[[#This Row],[LC Total Value]]-SnapshotTable[[#This Row],[LC Premium]],"")</f>
        <v/>
      </c>
      <c r="DW199" s="225" t="str">
        <f>IF(ISNUMBER(SnapshotTable[[#This Row],[LC Actual Gain Loss]]), SnapshotTable[[#This Row],[LC Actual Gain Loss]] / SnapshotTable[[#This Row],[LC Premium]],"")</f>
        <v/>
      </c>
      <c r="DX199" s="269" t="str">
        <f>IF(ISNUMBER(SnapshotTable[[#This Row],[LC Book Price]]),SnapshotTable[[#This Row],[LC Book Price]] * 1.5,"")</f>
        <v/>
      </c>
      <c r="DY199" s="250" t="str">
        <f>IF(SnapshotTable[[#This Row],[LC Premium]]&gt;0, SnapshotTable[[#This Row],[LC Next Target]] * SnapshotTable[[#This Row],[LC Qty]] * 100,"")</f>
        <v/>
      </c>
      <c r="DZ199" s="250" t="str">
        <f>IF(ISNUMBER(SnapshotTable[[#This Row],[LC Target Gross]]), SnapshotTable[[#This Row],[LC Target Gross]] - SnapshotTable[[#This Row],[LC Premium]], "")</f>
        <v/>
      </c>
      <c r="EA199" s="283" t="str">
        <f>IF(ISNUMBER(SnapshotTable[[#This Row],[LC Target Gain Loss]]), SnapshotTable[[#This Row],[LC Target Gain Loss]]/SnapshotTable[[#This Row],[LC Premium]], "")</f>
        <v/>
      </c>
      <c r="EB199" s="247"/>
      <c r="EC199" s="268" t="str">
        <f>IF(SnapshotTable[[#This Row],[LC Premium]]&gt;0, SnapshotTable[[#This Row],[LC Book Price]] * (1 - LC_StopLoss_Pct),"")</f>
        <v/>
      </c>
      <c r="ED199" s="269"/>
      <c r="EE199" s="268" t="str">
        <f>IF(ISNUMBER(SnapshotTable[[#This Row],[LC Contract Value]]),IF(ISNUMBER(SnapshotTable[[#This Row],[LC Stop Loss Override]]), SnapshotTable[[#This Row],[LC Stop Loss Override]],SnapshotTable[[#This Row],[LC Stop Loss Calc Target]]),"")</f>
        <v/>
      </c>
      <c r="EF199" s="31" t="str">
        <f>IF(ISNUMBER(SnapshotTable[[#This Row],[LC Stop  To Use]]), (SnapshotTable[[#This Row],[LC Stop  To Use]] * SnapshotTable[[#This Row],[LC Qty]] * 100),"")</f>
        <v/>
      </c>
      <c r="EG199" s="9" t="str">
        <f>IF(ISNUMBER(SnapshotTable[[#This Row],[LC Total Value]]),SnapshotTable[[#This Row],[LC Stop Loss Amount]] - SnapshotTable[[#This Row],[LC Premium]],"")</f>
        <v/>
      </c>
      <c r="EH199" s="9">
        <f>IF(ISNUMBER(SnapshotTable[[#This Row],[LC Premium]]), SnapshotTable[[#This Row],[LC Qty]] * 100 * SnapshotTable[[#This Row],[LC Strike Price]], "")</f>
        <v>0</v>
      </c>
      <c r="EI199" s="225" t="str">
        <f>IF(AND(ISNUMBER(SnapshotTable[[#This Row],[LC Total Value]]),SnapshotTable[[#This Row],[LC Total Value]]&gt;0),SnapshotTable[[#This Row],[LC Stop Gain Loss]]  / SnapshotTable[[#This Row],[LC Premium]],"")</f>
        <v/>
      </c>
      <c r="EJ199" s="35">
        <f>IF(ISNUMBER(SnapshotTable[[#This Row],[Equity Shares]]),TRUNC(SnapshotTable[[#This Row],[Equity Shares]] / 100),0) + SnapshotTable[[#This Row],[LC Qty]]</f>
        <v>0</v>
      </c>
      <c r="EK199" s="145"/>
      <c r="EL199" s="136"/>
      <c r="EM199" s="146"/>
      <c r="EN199" s="145"/>
      <c r="EO199" s="145"/>
      <c r="EP199" s="136"/>
      <c r="EQ199" s="382" t="b">
        <f>AND(ISNUMBER(SnapshotTable[[#This Row],[SC Exp Date]]), ISNUMBER(SnapshotTable[[#This Row],[SC Strike Price]]), ISNUMBER(SnapshotTable[[#This Row],[SC Qty]]), ISNUMBER(SnapshotTable[[#This Row],[SC Book Date]]), ISNUMBER(SnapshotTable[[#This Row],[SC Book Price]]))</f>
        <v>0</v>
      </c>
      <c r="ER199" s="382" t="b">
        <f>AND(SnapshotTable[[#This Row],[SC Is Booked]], NOT(ISBLANK(SnapshotTable[[#This Row],[SC Fill Date]])))</f>
        <v>0</v>
      </c>
      <c r="ES199" s="340"/>
      <c r="ET199" s="34" t="str">
        <f>IF(AND(ISNUMBER(SnapshotTable[[#This Row],[SC Exp Date]]), ISNUMBER(SnapshotTable[[#This Row],[SC Book Date]])), SnapshotTable[[#This Row],[SC Exp Date]] - MAX(SnapshotTable[[#This Row],[SC Book Date]], SnapshotTable[[#This Row],[SC Fill Date]]) + 1, "")</f>
        <v/>
      </c>
      <c r="EU199" s="34" t="str">
        <f>IF(ISNUMBER(SnapshotTable[[#This Row],[SC Term]]), SnapshotTable[[#This Row],[SC Exp Date]]- MockToday, "")</f>
        <v/>
      </c>
      <c r="EV199" s="31">
        <f>IF(SnapshotTable[[#This Row],[SC Is Booked]], SnapshotTable[[#This Row],[SC Qty]] * SnapshotTable[[#This Row],[SC Book Price]] * 100, 0)</f>
        <v>0</v>
      </c>
      <c r="EW199" s="4" t="str">
        <f>IF(AND(ISNUMBER(SnapshotTable[[#This Row],[Last Price]]), ISNUMBER( SnapshotTable[[#This Row],[SC Book Price]])), SnapshotTable[[#This Row],[Last Price]] - SnapshotTable[[#This Row],[SC Book Price]],"")</f>
        <v/>
      </c>
      <c r="EX199" s="219" t="str">
        <f>IF(SnapshotTable[[#This Row],[SC Is Booked]],IF(SnapshotTable[[#This Row],[SC Intrinsic Value]] &gt; 0, SnapshotTable[[#This Row],[SC Strike Price]], SnapshotTable[[#This Row],[Last Price]]), "")</f>
        <v/>
      </c>
      <c r="EY199" s="4">
        <f>IF(SnapshotTable[[#This Row],[SC Is Booked]], (MinimumPremiumRequired * SnapshotTable[[#This Row],[SC Basis]] * SnapshotTable[[#This Row],[SC Term]]), 0)</f>
        <v>0</v>
      </c>
      <c r="EZ199" s="268"/>
      <c r="FA199" s="204"/>
      <c r="FB199" s="340"/>
      <c r="FC199" s="4">
        <f>IF(SnapshotTable[[#This Row],[SC Is Filled]], btc_max_buyback_amount(SnapshotTable[[#This Row],[SC Fill Date]],SnapshotTable[[#This Row],[SC Exp Date]], SnapshotTable[[#This Row],[SC Book Price]]),0)</f>
        <v>0</v>
      </c>
      <c r="FD199" s="5"/>
      <c r="FE199" s="142" t="str">
        <f>IF(SnapshotTable[[#This Row],[SC Is Filled]], btc_next_cutoff_date(SnapshotTable[[#This Row],[SC Fill Date]],SnapshotTable[[#This Row],[SC Exp Date]]),"")</f>
        <v/>
      </c>
      <c r="FF199" s="4" t="str" cm="1">
        <f t="array" ref="FF199">IF(SnapshotTable[[#This Row],[SC Is Filled]], btc_should_buy_back(SnapshotTable[[#This Row],[SC Fill Date]], SnapshotTable[[#This Row],[SC Exp Date]], SnapshotTable[[#This Row],[SC Book Price]], SnapshotTable[[#This Row],[SC Current Ask]], MockToday, SnapshotTable[[#This Row],[SC Buyback Override]]),"")</f>
        <v/>
      </c>
      <c r="FG199" s="4">
        <f>IF(SnapshotTable[[#This Row],[SC Is Filled]], MAX(0,SnapshotTable[[#This Row],[Last Price]]  - SnapshotTable[[#This Row],[SC Strike Price]]), 0)</f>
        <v>0</v>
      </c>
      <c r="FH199" s="352">
        <f>IF(SnapshotTable[[#This Row],[SC Is Filled]], IF(ISNUMBER(SnapshotTable[[#This Row],[SC Current Ask]]), SnapshotTable[[#This Row],[SC Current Ask]], SnapshotTable[[#This Row],[SC Book Price]]) - SnapshotTable[[#This Row],[SC Intrinsic Value]], 0)</f>
        <v>0</v>
      </c>
      <c r="FI199" s="141"/>
      <c r="FJ199" s="32" t="str">
        <f>IF(SnapshotTable[[#This Row],[SC Is Filled]],100 * SnapshotTable[[#This Row],[SC Qty]] * IF(ISNUMBER(SnapshotTable[[#This Row],[SC Buyback Override]]), SnapshotTable[[#This Row],[SC Buyback Override]], SnapshotTable[[#This Row],[SC Current Ask]]), "")</f>
        <v/>
      </c>
      <c r="FK199" s="235" t="str">
        <f>IF(SnapshotTable[[#This Row],[SC Time Val]]&gt;0, SnapshotTable[[#This Row],[SC Time Val]] / SnapshotTable[[#This Row],[Last Price]],"")</f>
        <v/>
      </c>
      <c r="FL199" s="280" t="str">
        <f>IF(SnapshotTable[[#This Row],[SC Is Booked]], ((SnapshotTable[[#This Row],[Last Price]] -SnapshotTable[[#This Row],[SC Strike Price]]) / SnapshotTable[[#This Row],[Last Price]]) * -1, "")</f>
        <v/>
      </c>
      <c r="FM199" s="155" t="str">
        <f>IF(SnapshotTable[[#This Row],[SC Is Booked]],  (SnapshotTable[[#This Row],[SC Qty]] * 100 * SnapshotTable[[#This Row],[SC Strike Price]]) - SnapshotTable[[#This Row],[SC Current Ask]], "")</f>
        <v/>
      </c>
      <c r="FN19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199" s="31" t="str">
        <f>IF(AND(ISNUMBER(SnapshotTable[[#This Row],[SC Exercise Gross]]), ISNUMBER(SnapshotTable[[#This Row],[Equity Basis Per Share]] )), SnapshotTable[[#This Row],[SC Exercise Gross]] - SnapshotTable[[#This Row],[Equity Basis Total]] +  SnapshotTable[[#This Row],[SC Premium]], "")</f>
        <v/>
      </c>
      <c r="FP199" s="5" t="str">
        <f>IF(ISNUMBER(SnapshotTable[[#This Row],[SC Exercise Gross]]), (SnapshotTable[[#This Row],[SC Exercise Gross]]) / (SnapshotTable[[#This Row],[SC Qty]] * 100), "")</f>
        <v/>
      </c>
      <c r="FQ199" s="27" t="str">
        <f>IF(SnapshotTable[[#This Row],[SC Is Booked]],SnapshotTable[[#This Row],[SC Time Val]] /SnapshotTable[[#This Row],[SC Basis]], "")</f>
        <v/>
      </c>
      <c r="FR199" s="27" t="str" cm="1">
        <f t="array" ref="FR199">IF(AND(ISNUMBER(SnapshotTable[[#This Row],[SC Term]]),ISNUMBER(SnapshotTable[[#This Row],[SC Simple ROO]])), EllmanAnnualize(SnapshotTable[[#This Row],[SC DTE]], SnapshotTable[[#This Row],[SC Simple ROO]] ),"")</f>
        <v/>
      </c>
      <c r="FS199" s="4">
        <f>IF(SnapshotTable[[#This Row],[SC Strike Price]] &gt; SnapshotTable[[#This Row],[Last Price]], SnapshotTable[[#This Row],[SC Strike Price]] - SnapshotTable[[#This Row],[Last Price]],0)</f>
        <v>0</v>
      </c>
      <c r="FT199" s="27" t="str">
        <f>IF(AND(ISNUMBER(SnapshotTable[[#This Row],[SC Upside Potential]]), SnapshotTable[[#This Row],[SC Upside Potential]] &gt; 0),(SnapshotTable[[#This Row],[SC Upside Potential]]/ SnapshotTable[[#This Row],[ACB]]),"")</f>
        <v/>
      </c>
      <c r="FU199" s="304" t="str">
        <f>IF(SnapshotTable[[#This Row],[SC Intrinsic Value]] &gt; 0,SnapshotTable[[#This Row],[SC Intrinsic Value]],"")</f>
        <v/>
      </c>
      <c r="FV199" s="27" t="str">
        <f>IF(AND( ISNUMBER( SnapshotTable[[#This Row],[ACB]]),ISNUMBER(SnapshotTable[[#This Row],[SC Downside Protect]])),SnapshotTable[[#This Row],[SC Downside Protect]] / SnapshotTable[[#This Row],[ACB]],"")</f>
        <v/>
      </c>
      <c r="FW199" s="221" t="str">
        <f>IF(AND(ISNUMBER(SnapshotTable[[#This Row],[SC Simple ROO]]),SnapshotTable[[#This Row],[SC Simple ROO]] &gt; 0), SnapshotTable[[#This Row],[SC Premium]] + (SnapshotTable[[#This Row],[SC Qty]] * SnapshotTable[[#This Row],[SC Upside Potential]]), "")</f>
        <v/>
      </c>
      <c r="FX199" s="280" t="str" cm="1">
        <f t="array" ref="FX199">IF(ISNUMBER(SnapshotTable[[#This Row],[SC Max Dollars]]), annualize(SnapshotTable[[#This Row],[SC Term]],(SnapshotTable[[#This Row],[SC Max Dollars]]/SnapshotTable[[#This Row],[SC Basis]])),"")</f>
        <v/>
      </c>
      <c r="FY199" s="221" t="str">
        <f>IF(AND(SnapshotTable[[#This Row],[SC Qty]]&gt;0,SnapshotTable[[#This Row],[SC Current Ask]]&gt;0), SnapshotTable[[#This Row],[SC Qty]] * SnapshotTable[[#This Row],[SC Current Ask]] * -100, "")</f>
        <v/>
      </c>
      <c r="FZ199" s="31" t="str">
        <f>IF(ISNUMBER((SnapshotTable[[#This Row],[SC Current Value]])), SnapshotTable[[#This Row],[SC Premium]] + SnapshotTable[[#This Row],[SC Current Value]], "")</f>
        <v/>
      </c>
      <c r="GA199" s="272" t="str">
        <f>IFERROR( IF(ISNUMBER((SnapshotTable[[#This Row],[SC Current Value]])), SnapshotTable[[#This Row],[SC Gain Loss]] / SnapshotTable[[#This Row],[SC Premium]], ""), "")</f>
        <v/>
      </c>
      <c r="GB199" s="42">
        <f>SnapshotTable[[#This Row],[Equity Shares]] * SaleSharesToConsiderPercentage</f>
        <v>0</v>
      </c>
      <c r="GC199" s="40">
        <f>SnapshotTable[[#This Row],[Long Term Target]] * SellingPriceToConsiderBasedOnTargetPercentage</f>
        <v>45.837499999999999</v>
      </c>
      <c r="GD199" s="40">
        <f>SnapshotTable[[#This Row],[Last Price]] * (1+ SellingPriceToConsiderBasedOnTargetPercentage)</f>
        <v>98.981999999999999</v>
      </c>
      <c r="GE199" s="41"/>
      <c r="GF199" s="40"/>
      <c r="GG199" s="31">
        <f>SnapshotTable[[#This Row],[Booked Sale Shares]] * SnapshotTable[[#This Row],[Booked Sale Price]]</f>
        <v>0</v>
      </c>
      <c r="GH199" s="31" t="str">
        <f>IF(SnapshotTable[[#This Row],[Equity Basis Total]] &gt; 0, SnapshotTable[[#This Row],[Equity Basis Per Share]] * SnapshotTable[[#This Row],[Booked Sale Shares]], "")</f>
        <v/>
      </c>
      <c r="GI199" s="31">
        <f>IF(SnapshotTable[[#This Row],[Sale Proceeds]]&gt;0, SnapshotTable[[#This Row],[Sale Proceeds]] - SnapshotTable[[#This Row],[Sale Basis]], 0)</f>
        <v>0</v>
      </c>
      <c r="GJ199" s="27" t="str">
        <f>IF(SnapshotTable[[#This Row],[Sale G/L]]&gt;0, SnapshotTable[[#This Row],[Sale G/L]] / SnapshotTable[[#This Row],[Sale Basis]], IF(ISNUMBER(SnapshotTable[[#This Row],[SC Exercise P&amp;L (TAX)]]), SnapshotTable[[#This Row],[SC Exercise P&amp;L (TAX)]] / SnapshotTable[[#This Row],[SC Basis]], ""))</f>
        <v/>
      </c>
      <c r="GK199" s="27" t="s">
        <v>596</v>
      </c>
      <c r="GL199" s="43" t="str">
        <f>IF(AND(SnapshotTable[[#This Row],[LP Exp Date]]&gt;0,SnapshotTable[[#This Row],[LP Strike Price]]&gt;0), [1]!ToOptionSymbol(SnapshotTable[[#This Row],[Symbol]], SnapshotTable[[#This Row],[LP Strike Price]],SnapshotTable[[#This Row],[LP Exp Date]],1), "")</f>
        <v/>
      </c>
      <c r="GM199" s="30" t="str">
        <f>IF(LEN(SnapshotTable[[#This Row],[LP Symbol]])&gt;0, 1, "")</f>
        <v/>
      </c>
      <c r="GN199" s="43" t="str">
        <f>IF(AND(SnapshotTable[[#This Row],[SP Exp Date]]&gt;0,SnapshotTable[[#This Row],[SP Strike Price]]&gt;0), [1]!ToOptionSymbol(SnapshotTable[[#This Row],[Symbol]], SnapshotTable[[#This Row],[SP Strike Price]],SnapshotTable[[#This Row],[SP Exp Date]],1), "")</f>
        <v/>
      </c>
      <c r="GO199" s="30" t="str">
        <f>IF(LEN(SnapshotTable[[#This Row],[SP Symbol]])&gt;0, 1, "")</f>
        <v/>
      </c>
      <c r="GP199" s="43" t="str">
        <f>IF(AND(SnapshotTable[[#This Row],[LC Exp Date]]&gt;0,SnapshotTable[[#This Row],[LC Strike Price]]&gt;0), [1]!ToOptionSymbol(SnapshotTable[[#This Row],[Symbol]], SnapshotTable[[#This Row],[LC Strike Price]],SnapshotTable[[#This Row],[LC Exp Date]],0), "")</f>
        <v/>
      </c>
      <c r="GQ199" s="30" t="str">
        <f>IF(LEN(SnapshotTable[[#This Row],[LC Symbol]])&gt;0, 1, "")</f>
        <v/>
      </c>
      <c r="GR199" s="43" t="str">
        <f>IF(AND(SnapshotTable[[#This Row],[SC Exp Date]]&gt;0,SnapshotTable[[#This Row],[SC Strike Price]]&gt;0), [1]!ToOptionSymbol(SnapshotTable[[#This Row],[Symbol]], SnapshotTable[[#This Row],[SC Strike Price]],SnapshotTable[[#This Row],[SC Exp Date]],0), "")</f>
        <v/>
      </c>
      <c r="GS199" s="30" t="str">
        <f>IF(LEN(SnapshotTable[[#This Row],[SC Symbol]])&gt;0, 1, "")</f>
        <v/>
      </c>
      <c r="GT199" s="29" t="str">
        <f>IF(COUNT(SnapshotTable[[#This Row],[LP Symbol Count]],SnapshotTable[[#This Row],[SP Symbol Count]],SnapshotTable[[#This Row],[LC Symbol Count]],SnapshotTable[[#This Row],[SC Symbol Count]])&gt;0, "Y", "")</f>
        <v/>
      </c>
      <c r="GU19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199" s="216">
        <f>MAX(SnapshotTable[[#This Row],[Equity Basis Total]],SnapshotTable[[#This Row],[Equity Value]]) + (SnapshotTable[[#This Row],[SP Potential Spend]]- SnapshotTable[[#This Row],[SP Premium]] + SnapshotTable[[#This Row],[LP Premium]])+ (SnapshotTable[[#This Row],[LC Premium]] - SnapshotTable[[#This Row],[SC Premium]])</f>
        <v>0</v>
      </c>
      <c r="GW199" s="137" t="str">
        <f>IF(AND(SnapshotTable[[#This Row],[Exposure]] &lt;&gt; 0),SnapshotTable[[#This Row],[Exposure]] / SnapshotTable[[#Totals],[Exposure]], "")</f>
        <v/>
      </c>
      <c r="HE199" s="253"/>
      <c r="HF199" s="253"/>
      <c r="HK199" s="1"/>
      <c r="HL199" s="1"/>
      <c r="HM199" s="1"/>
      <c r="HN199" s="1"/>
      <c r="HO199" s="1"/>
      <c r="HP199" s="1"/>
    </row>
    <row r="200" spans="2:224" ht="12.75" hidden="1" customHeight="1" x14ac:dyDescent="0.25">
      <c r="B200" s="12" t="s">
        <v>833</v>
      </c>
      <c r="C200" s="385">
        <v>39.96</v>
      </c>
      <c r="D200" s="200" t="s">
        <v>467</v>
      </c>
      <c r="E200" s="39">
        <f>SnapshotTable[[#This Row],[Last Price]]*(1 -CrashDiscount)</f>
        <v>33.966000000000001</v>
      </c>
      <c r="F200" s="26" t="s">
        <v>5</v>
      </c>
      <c r="G200" s="26" t="s">
        <v>4</v>
      </c>
      <c r="H200" s="147"/>
      <c r="I200" s="186"/>
      <c r="J200" s="187"/>
      <c r="K200" s="188"/>
      <c r="L200" s="298"/>
      <c r="M200" s="138"/>
      <c r="N200" s="138"/>
      <c r="O200" s="138"/>
      <c r="P200" s="22"/>
      <c r="Q200" s="25"/>
      <c r="R200" s="4" t="str">
        <f>IF(SnapshotTable[[#This Row],[Equity Basis Total]] &gt; 0, SnapshotTable[[#This Row],[Equity Basis Total]] / SnapshotTable[[#This Row],[Equity Shares]], "")</f>
        <v/>
      </c>
      <c r="S200" s="300">
        <f>SnapshotTable[[#This Row],[Last Price]] * SnapshotTable[[#This Row],[Equity Shares]]</f>
        <v>0</v>
      </c>
      <c r="T200" s="254">
        <f>SnapshotTable[[#This Row],[Equity Value]] - SnapshotTable[[#This Row],[Equity Basis Total]]</f>
        <v>0</v>
      </c>
      <c r="U200" s="255" t="str">
        <f>IF(SnapshotTable[[#This Row],[Equity Basis Total]] &gt; 0, SnapshotTable[[#This Row],[Equity G/L]] / SnapshotTable[[#This Row],[Equity Basis Total]], "")</f>
        <v/>
      </c>
      <c r="V200" s="253"/>
      <c r="W200" s="253"/>
      <c r="X200" s="4" t="str">
        <f>IF(AND(ISNUMBER(SnapshotTable[[#This Row],[Equity Basis Per Share]]),ISNUMBER(SnapshotTable[[#This Row],[Equity Target]])),SnapshotTable[[#This Row],[Equity Target]]-SnapshotTable[[#This Row],[Equity Basis Per Share]],"")</f>
        <v/>
      </c>
      <c r="Y200" s="4" t="str">
        <f>IF(AND(ISNUMBER(SnapshotTable[[#This Row],[Equity Basis Per Share]]),ISNUMBER(SnapshotTable[[#This Row],[Equity Stop Loss]])),SnapshotTable[[#This Row],[Equity Stop Loss]]-SnapshotTable[[#This Row],[Equity Basis Per Share]],"")</f>
        <v/>
      </c>
      <c r="Z200" s="260" t="str">
        <f>IFERROR( TEXT(SnapshotTable[[#This Row],[Equity Max Gain Per Share]] /ABS( SnapshotTable[[#This Row],[Equity Max Loss Per Share]]),"0.0 " ) &amp; " : 1", "")</f>
        <v/>
      </c>
      <c r="AA200" s="31" t="str">
        <f>IF(ISNUMBER(SnapshotTable[[#This Row],[Equity Max Gain Per Share]]),SnapshotTable[[#This Row],[Equity Max Gain Per Share]] * SnapshotTable[[#This Row],[Equity Shares]],"")</f>
        <v/>
      </c>
      <c r="AB200" s="31" t="str">
        <f>IF(ISNUMBER(SnapshotTable[[#This Row],[Equity Max Loss Per Share]]),SnapshotTable[[#This Row],[Equity Max Loss Per Share]] * SnapshotTable[[#This Row],[Equity Shares]],"")</f>
        <v/>
      </c>
      <c r="AC200" s="148"/>
      <c r="AD200" s="149"/>
      <c r="AE200" s="31">
        <f>(SnapshotTable[[#This Row],[Annual Dividend Per Share]] / 4) * SnapshotTable[[#This Row],[Equity Shares]]</f>
        <v>0</v>
      </c>
      <c r="AF200" s="31">
        <f>SnapshotTable[[#This Row],[Quarterly Div $]] * 4</f>
        <v>0</v>
      </c>
      <c r="AG200" s="7">
        <f>IF(SnapshotTable[[#This Row],[Annual Dividend Per Share]]&gt;0, SnapshotTable[[#This Row],[Annual Dividend Per Share]]  / SnapshotTable[[#This Row],[Last Price]], 0)</f>
        <v>0</v>
      </c>
      <c r="AH200" s="149"/>
      <c r="AI200" s="301"/>
      <c r="AJ200" s="136"/>
      <c r="AK200" s="150" t="str">
        <f>IF(ISNUMBER( SnapshotTable[[#This Row],[EBF Target]]),(SnapshotTable[[#This Row],[EBF Target]] - SnapshotTable[[#This Row],[Last Price]]) / SnapshotTable[[#This Row],[Last Price]], "")</f>
        <v/>
      </c>
      <c r="AL200" s="150" t="str">
        <f>IF(AND(SnapshotTable[[#This Row],[Equity Basis Total]] &gt; 0,ISNUMBER( SnapshotTable[[#This Row],[Long Term Target]])), SnapshotTable[[#This Row],[From Basis $]] / SnapshotTable[[#This Row],[Equity Basis Total]], "")</f>
        <v/>
      </c>
      <c r="AM200" s="9">
        <f>IF( AND(SnapshotTable[[#This Row],[Equity Shares]] &gt;0,ISNUMBER( SnapshotTable[[#This Row],[Long Term Target]])),(SnapshotTable[[#This Row],[Equity Shares]] * SnapshotTable[[#This Row],[Long Term Target]]) - SnapshotTable[[#This Row],[Equity Basis Total]],0)</f>
        <v>0</v>
      </c>
      <c r="AN200" s="9">
        <f>IF( AND(SnapshotTable[[#This Row],[Equity Shares]] &gt;0,ISNUMBER( SnapshotTable[[#This Row],[Long Term Target]])),(SnapshotTable[[#This Row],[Equity Shares]]*SnapshotTable[[#This Row],[Long Term Target]]) - SnapshotTable[[#This Row],[Equity Value]],0)</f>
        <v>0</v>
      </c>
      <c r="AO200" s="150" t="str">
        <f>IF(AND(ISNUMBER( SnapshotTable[[#This Row],[Long Term Target]]), ISNUMBER(SnapshotTable[[#This Row],[Last Price]])),(SnapshotTable[[#This Row],[Long Term Target]] - SnapshotTable[[#This Row],[Last Price]]) / SnapshotTable[[#This Row],[Last Price]], "")</f>
        <v/>
      </c>
      <c r="AP200" s="5">
        <v>32</v>
      </c>
      <c r="AQ200" s="38" t="s">
        <v>16</v>
      </c>
      <c r="AR200" s="5">
        <v>32</v>
      </c>
      <c r="AS200" s="38" t="s">
        <v>22</v>
      </c>
      <c r="AT200" s="144" t="s">
        <v>442</v>
      </c>
      <c r="AU200" s="185" t="str">
        <f>IF(OR(SnapshotTable[[#This Row],[LP No Fill]]="Y",SnapshotTable[[#This Row],[SP Is Filled]],SnapshotTable[[#This Row],[LC Not Filled]]="Y",SnapshotTable[[#This Row],[SC Is Filled]]),"Y","")</f>
        <v/>
      </c>
      <c r="AV200" s="309"/>
      <c r="AW200" s="310"/>
      <c r="AX200" s="206"/>
      <c r="AY200" s="205" t="str">
        <f>IF(SnapshotTable[[#This Row],[Implied Move]]&gt;0, SnapshotTable[[#This Row],[Last Price]]-SnapshotTable[[#This Row],[Implied Move]],"")</f>
        <v/>
      </c>
      <c r="AZ200" s="205" t="str">
        <f>IF(SnapshotTable[[#This Row],[Implied Move]]&gt;0, SnapshotTable[[#This Row],[Last Price]] + SnapshotTable[[#This Row],[Implied Move]],"")</f>
        <v/>
      </c>
      <c r="BA200" s="302">
        <v>32.17</v>
      </c>
      <c r="BB200" s="318" t="s">
        <v>926</v>
      </c>
      <c r="BC20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0" s="321"/>
      <c r="BE200" s="136"/>
      <c r="BF200" s="164"/>
      <c r="BG200" s="165"/>
      <c r="BH200" s="165"/>
      <c r="BI200" s="207"/>
      <c r="BJ200" s="151">
        <f>IF(SnapshotTable[[#This Row],[LP Qty]] &gt; 0, SnapshotTable[[#This Row],[LP Qty]] * SnapshotTable[[#This Row],[LP Book Price]] * 100,0)</f>
        <v>0</v>
      </c>
      <c r="BK200" s="134">
        <f>IF(SnapshotTable[[#This Row],[LP Premium]] &gt; 0, SnapshotTable[[#This Row],[LP Qty]] * SnapshotTable[[#This Row],[LP Strike Price]] * 100,0)</f>
        <v>0</v>
      </c>
      <c r="BL200" s="152"/>
      <c r="BM200" s="355" t="str">
        <f>IF(SnapshotTable[[#This Row],[LP Premium]] &gt; 0,SnapshotTable[[#This Row],[LP Exp Date]]-MAX(SnapshotTable[[#This Row],[LP Book Date]], SnapshotTable[[#This Row],[LP Fill Date]]),"")</f>
        <v/>
      </c>
      <c r="BN200" s="355" t="str">
        <f>IF(ISNUMBER( SnapshotTable[[#This Row],[LP Term]]), SnapshotTable[[#This Row],[LP Exp Date]] - MockToday,"")</f>
        <v/>
      </c>
      <c r="BO200" s="161" t="str">
        <f>IF(AND(SnapshotTable[[#This Row],[LP Exp Date]]&gt;0, SnapshotTable[[#This Row],[LP Strike Price]]&gt;0,SnapshotTable[[#This Row],[LP Qty]]&gt;0,SnapshotTable[[#This Row],[LP Book Date]]&gt;0,SnapshotTable[[#This Row],[LP Book Price]]&gt;0,SnapshotTable[[#This Row],[LP Fill Date]]=0),"Y","")</f>
        <v/>
      </c>
      <c r="BP200" s="31" t="str">
        <f>IF(AND(SnapshotTable[[#This Row],[LP No Fill]]&lt;&gt;"Y",SnapshotTable[[#This Row],[LP Contract Value]]&gt;0, SnapshotTable[[#This Row],[LP Qty]]&gt;0), SnapshotTable[[#This Row],[LP Contract Value]]*SnapshotTable[[#This Row],[LP Qty]]*100,"")</f>
        <v/>
      </c>
      <c r="BQ200" s="13"/>
      <c r="BR200" s="5"/>
      <c r="BS200" s="36"/>
      <c r="BT200" s="145"/>
      <c r="BU200" s="13"/>
      <c r="BV200" s="5"/>
      <c r="BW200" s="382" t="b">
        <f>AND(ISNUMBER(SnapshotTable[[#This Row],[SP Exp Date]]), ISNUMBER(SnapshotTable[[#This Row],[SP Strike Price]]), ISNUMBER(SnapshotTable[[#This Row],[SP Qty]]), ISNUMBER(SnapshotTable[[#This Row],[SP Book Date]]), ISNUMBER(SnapshotTable[[#This Row],[SP Book Price]]))</f>
        <v>0</v>
      </c>
      <c r="BX200" s="382" t="b">
        <f>AND(SnapshotTable[[#This Row],[SP Is Booked]], NOT(ISBLANK(SnapshotTable[[#This Row],[SP Fill Date]])))</f>
        <v>0</v>
      </c>
      <c r="BY200" s="33">
        <f>IF(SnapshotTable[[#This Row],[SP Is Booked]], SnapshotTable[[#This Row],[SP Qty]] * SnapshotTable[[#This Row],[SP Book Price]] * 100, 0)</f>
        <v>0</v>
      </c>
      <c r="BZ200" s="339"/>
      <c r="CA200" s="338">
        <f>SnapshotTable[[#This Row],[LP Qty]]</f>
        <v>0</v>
      </c>
      <c r="CB200" s="4" t="str">
        <f>IF(SnapshotTable[[#This Row],[SP Is Booked]], SnapshotTable[[#This Row],[SP Strike Price]] - SnapshotTable[[#This Row],[SP Book Price]], "")</f>
        <v/>
      </c>
      <c r="CC200" s="19" t="str">
        <f>IF(SnapshotTable[[#This Row],[SP Is Booked]],SnapshotTable[[#This Row],[SP Exp Date]]-MAX(SnapshotTable[[#This Row],[SP Book Date]], SnapshotTable[[#This Row],[SP Fill Date]]),"")</f>
        <v/>
      </c>
      <c r="CD200" s="7" t="str">
        <f>IF(SnapshotTable[[#This Row],[SP Is Booked]], SnapshotTable[[#This Row],[SP Book Price]]/SnapshotTable[[#This Row],[SP Strike Price]], "")</f>
        <v/>
      </c>
      <c r="CE200" s="7" t="str">
        <f>IF(ISNUMBER(SnapshotTable[[#This Row],[SP ROO Term]]),SnapshotTable[[#This Row],[SP ROO Term]]*(365/SnapshotTable[[#This Row],[SP Term]]),"")</f>
        <v/>
      </c>
      <c r="CF200" s="221">
        <f>SnapshotTable[[#This Row],[LP Strike Price]] * SnapshotTable[[#This Row],[LP Qty]] * 100</f>
        <v>0</v>
      </c>
      <c r="CG200" s="31">
        <f>IF(ISNUMBER(SnapshotTable[[#This Row],[SP Premium]]), (SnapshotTable[[#This Row],[SP Qty]] * SnapshotTable[[#This Row],[SP Strike Price]]* 100) - SnapshotTable[[#This Row],[LP Protection]], 0)</f>
        <v>0</v>
      </c>
      <c r="CH200" s="7" t="str">
        <f>IF(ISNUMBER(SnapshotTable[[#This Row],[SP Break Even]]),-1 * (SnapshotTable[[#This Row],[SP Break Even]] - SnapshotTable[[#This Row],[Last Price]]) / SnapshotTable[[#This Row],[Last Price]], "")</f>
        <v/>
      </c>
      <c r="CI200" s="31">
        <f>IF(AND(ISNUMBER((SnapshotTable[[#This Row],[SP Potential Spend]])), SnapshotTable[[#This Row],[SP Strike Price]] &gt; SnapshotTable[[#This Row],[Last Price]], SnapshotTable[[#This Row],[SP Is Filled]]), SnapshotTable[[#This Row],[SP Potential Spend]] -  SnapshotTable[[#This Row],[LP Max Value]], 0)</f>
        <v>0</v>
      </c>
      <c r="CJ200" s="229">
        <v>0.01</v>
      </c>
      <c r="CK200" s="31">
        <f>IF(ISNUMBER(SnapshotTable[[#This Row],[SP Potential Spend]]),IF(ISNUMBER(SnapshotTable[[#This Row],[SP POW]]), SnapshotTable[[#This Row],[SP POW]] * SnapshotTable[[#This Row],[SP Potential Spend]], SnapshotTable[[#This Row],[SP Potential Spend]]), "")</f>
        <v>0</v>
      </c>
      <c r="CL200" s="162">
        <f>IF(NOT(SnapshotTable[[#This Row],[SP Is Filled]]),(SnapshotTable[[#This Row],[SP Qty]] * SnapshotTable[[#This Row],[SP Strike Price]] * 100) - SnapshotTable[[#This Row],[LP Max Value]],"")</f>
        <v>0</v>
      </c>
      <c r="CM200" s="31" t="str">
        <f>IF(SnapshotTable[[#This Row],[SP Actual Spend]]&lt;&gt;0, ((SnapshotTable[[#This Row],[SP Strike Price]]-SnapshotTable[[#This Row],[Last Price]]) *(SnapshotTable[[#This Row],[SP Qty]]*100) - SnapshotTable[[#This Row],[SP Premium]]) * - 1, "")</f>
        <v/>
      </c>
      <c r="CN200" s="152"/>
      <c r="CO200" s="339"/>
      <c r="CP200" s="291" t="str">
        <f>IF(SnapshotTable[[#This Row],[SP Is Filled]], btc_max_buyback_amount(SnapshotTable[[#This Row],[SP Fill Date]],SnapshotTable[[#This Row],[SP Exp Date]], SnapshotTable[[#This Row],[SP Book Price]]),"")</f>
        <v/>
      </c>
      <c r="CQ200" s="76"/>
      <c r="CR200"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0" s="153" t="str">
        <f>IF(SnapshotTable[[#This Row],[SP Is Filled]], btc_next_cutoff_date(SnapshotTable[[#This Row],[SP Fill Date]],SnapshotTable[[#This Row],[SP Exp Date]]),"")</f>
        <v/>
      </c>
      <c r="CT200" s="220" t="str" cm="1">
        <f t="array" ref="CT200">IF(SnapshotTable[[#This Row],[SP Is Filled]], btc_should_buy_back(SnapshotTable[[#This Row],[SP Fill Date]], SnapshotTable[[#This Row],[SP Exp Date]], SnapshotTable[[#This Row],[SP Book Price]], SnapshotTable[[#This Row],[SP Current Ask]], MockToday, SnapshotTable[[#This Row],[SP Buyback Override]]),"")</f>
        <v/>
      </c>
      <c r="CU200" s="141"/>
      <c r="CV200" s="220"/>
      <c r="CW200" s="348" t="str">
        <f>IF(ISNUMBER( SnapshotTable[[#This Row],[SP Term]]), SnapshotTable[[#This Row],[SP Exp Date]] - MockToday,"")</f>
        <v/>
      </c>
      <c r="CX200" s="31" t="str">
        <f>IF(SnapshotTable[[#This Row],[SP Is Filled]],SnapshotTable[[#This Row],[SP Buyback Price to Use]] * 100 * SnapshotTable[[#This Row],[SP Qty]], "")</f>
        <v/>
      </c>
      <c r="CY200" s="4" t="str">
        <f>IF(ISNUMBER(SnapshotTable[[#This Row],[SP Strike Price]]), SnapshotTable[[#This Row],[SP Strike Price]] * (1 - SP_MaxLoss_StrikePct), "")</f>
        <v/>
      </c>
      <c r="CZ200" s="31" t="str">
        <f>IF(ISNUMBER(SnapshotTable[[#This Row],[SP Strike  Stop Per Share]]),SnapshotTable[[#This Row],[SP Premium]] - ((SnapshotTable[[#This Row],[SP Strike Price]]-SnapshotTable[[#This Row],[SP Strike  Stop Per Share]]) *(SnapshotTable[[#This Row],[SP Qty]] * 100)),"")</f>
        <v/>
      </c>
      <c r="DA200" s="4" t="str">
        <f>IF(AND(ISNUMBER(SnapshotTable[[#This Row],[SP Premium]]),SnapshotTable[[#This Row],[SP Premium]]&gt;0), SnapshotTable[[#This Row],[SP Book Price]] * (1 + SP_MaxLoss_OptionPct), "")</f>
        <v/>
      </c>
      <c r="DB200" s="31" t="str">
        <f>IF(ISNUMBER(SnapshotTable[[#This Row],[SP Option  Stop Contract]]),(SnapshotTable[[#This Row],[SP Option  Stop Contract]] *(SnapshotTable[[#This Row],[SP Qty]] * 100) - SnapshotTable[[#This Row],[SP Premium]]),"")</f>
        <v/>
      </c>
      <c r="DC200" s="4"/>
      <c r="DD200" s="4"/>
      <c r="DE200" s="4" t="str">
        <f>IF(AND(SnapshotTable[[#This Row],[SP Qty]]&gt;0, SnapshotTable[[#This Row],[SP Stop To Use]]&gt;0),SnapshotTable[[#This Row],[SP Premium]] - ( SnapshotTable[[#This Row],[SP Qty]] * SnapshotTable[[#This Row],[SP Stop To Use]] * 100), "")</f>
        <v/>
      </c>
      <c r="DF200" s="31" t="str">
        <f>IF(AND(SnapshotTable[[#This Row],[SP Qty]]&gt;0,SnapshotTable[[#This Row],[SP Current Ask]]&gt;0), SnapshotTable[[#This Row],[SP Qty]] * SnapshotTable[[#This Row],[SP Current Ask]] * -100, "")</f>
        <v/>
      </c>
      <c r="DG200" s="31" t="str">
        <f>IF(ISNUMBER((SnapshotTable[[#This Row],[SP Total Value]])), SnapshotTable[[#This Row],[SP Premium]] + SnapshotTable[[#This Row],[SP Total Value]], "")</f>
        <v/>
      </c>
      <c r="DH200" s="272" t="str">
        <f>IF(ISNUMBER((SnapshotTable[[#This Row],[SP Total Value]])), SnapshotTable[[#This Row],[SP Gain Loss]] / SnapshotTable[[#This Row],[SP Premium]], "")</f>
        <v/>
      </c>
      <c r="DI200" s="369"/>
      <c r="DJ200" s="136"/>
      <c r="DK200" s="146"/>
      <c r="DL200" s="145"/>
      <c r="DM200" s="145"/>
      <c r="DO200" s="31">
        <f>IF(SnapshotTable[[#This Row],[LC Symbol Count]]=1, SnapshotTable[[#This Row],[LC Qty]] * SnapshotTable[[#This Row],[LC Book Price]] * 100, 0)</f>
        <v>0</v>
      </c>
      <c r="DP200" s="270" t="str">
        <f>IF(AND(SnapshotTable[[#This Row],[LC Exp Date]]&gt;0, SnapshotTable[[#This Row],[LC Strike Price]]&gt;0,SnapshotTable[[#This Row],[LC Qty]]&gt;0,SnapshotTable[[#This Row],[LC Book Date]]&gt;0,SnapshotTable[[#This Row],[LC Book Price]]&gt;0,SnapshotTable[[#This Row],[LC Fill Date]]=0),"Y","")</f>
        <v/>
      </c>
      <c r="DQ200" s="356" t="str">
        <f>IF(SnapshotTable[[#This Row],[LC Premium]] &gt; 0,SnapshotTable[[#This Row],[LC Exp Date]]-MAX(SnapshotTable[[#This Row],[LC Book Date]], SnapshotTable[[#This Row],[LC Fill Date]]),"")</f>
        <v/>
      </c>
      <c r="DR200" s="356" t="str">
        <f>IF(ISNUMBER(SnapshotTable[[#This Row],[LC Term]]), SnapshotTable[[#This Row],[LC Exp Date]] - MockToday, "")</f>
        <v/>
      </c>
      <c r="DS200" s="219" t="str">
        <f>IF(SnapshotTable[[#This Row],[LC Premium]]&gt;0,SnapshotTable[[#This Row],[LC Strike Price]] + SnapshotTable[[#This Row],[LC Book Price]],"")</f>
        <v/>
      </c>
      <c r="DU200" s="9" t="str">
        <f>IF(AND(SnapshotTable[[#This Row],[LC Symbol Count]]&gt;0, SnapshotTable[[#This Row],[LC Contract Value]]&gt;0), SnapshotTable[[#This Row],[LC Contract Value]] * SnapshotTable[[#This Row],[LC Qty]] * 100, "")</f>
        <v/>
      </c>
      <c r="DV200" s="9" t="str">
        <f>IF(AND(ISNUMBER(SnapshotTable[[#This Row],[LC Total Value]]), SnapshotTable[[#This Row],[LC Not Filled]]&lt;&gt;"Y"), SnapshotTable[[#This Row],[LC Total Value]]-SnapshotTable[[#This Row],[LC Premium]],"")</f>
        <v/>
      </c>
      <c r="DW200" s="225" t="str">
        <f>IF(ISNUMBER(SnapshotTable[[#This Row],[LC Actual Gain Loss]]), SnapshotTable[[#This Row],[LC Actual Gain Loss]] / SnapshotTable[[#This Row],[LC Premium]],"")</f>
        <v/>
      </c>
      <c r="DX200" s="269" t="str">
        <f>IF(ISNUMBER(SnapshotTable[[#This Row],[LC Book Price]]),SnapshotTable[[#This Row],[LC Book Price]] * 1.5,"")</f>
        <v/>
      </c>
      <c r="DY200" s="250" t="str">
        <f>IF(SnapshotTable[[#This Row],[LC Premium]]&gt;0, SnapshotTable[[#This Row],[LC Next Target]] * SnapshotTable[[#This Row],[LC Qty]] * 100,"")</f>
        <v/>
      </c>
      <c r="DZ200" s="250" t="str">
        <f>IF(ISNUMBER(SnapshotTable[[#This Row],[LC Target Gross]]), SnapshotTable[[#This Row],[LC Target Gross]] - SnapshotTable[[#This Row],[LC Premium]], "")</f>
        <v/>
      </c>
      <c r="EA200" s="283" t="str">
        <f>IF(ISNUMBER(SnapshotTable[[#This Row],[LC Target Gain Loss]]), SnapshotTable[[#This Row],[LC Target Gain Loss]]/SnapshotTable[[#This Row],[LC Premium]], "")</f>
        <v/>
      </c>
      <c r="EB200" s="247"/>
      <c r="EC200" s="271" t="str">
        <f>IF(SnapshotTable[[#This Row],[LC Premium]]&gt;0, SnapshotTable[[#This Row],[LC Book Price]] * (1 - LC_StopLoss_Pct),"")</f>
        <v/>
      </c>
      <c r="ED200" s="269"/>
      <c r="EE200" s="271" t="str">
        <f>IF(ISNUMBER(SnapshotTable[[#This Row],[LC Contract Value]]),IF(ISNUMBER(SnapshotTable[[#This Row],[LC Stop Loss Override]]), SnapshotTable[[#This Row],[LC Stop Loss Override]],SnapshotTable[[#This Row],[LC Stop Loss Calc Target]]),"")</f>
        <v/>
      </c>
      <c r="EF200" s="292" t="str">
        <f>IF(ISNUMBER(SnapshotTable[[#This Row],[LC Stop  To Use]]), (SnapshotTable[[#This Row],[LC Stop  To Use]] * SnapshotTable[[#This Row],[LC Qty]] * 100),"")</f>
        <v/>
      </c>
      <c r="EG200" s="9" t="str">
        <f>IF(ISNUMBER(SnapshotTable[[#This Row],[LC Total Value]]),SnapshotTable[[#This Row],[LC Stop Loss Amount]] - SnapshotTable[[#This Row],[LC Premium]],"")</f>
        <v/>
      </c>
      <c r="EH200" s="9">
        <f>IF(ISNUMBER(SnapshotTable[[#This Row],[LC Premium]]), SnapshotTable[[#This Row],[LC Qty]] * 100 * SnapshotTable[[#This Row],[LC Strike Price]], "")</f>
        <v>0</v>
      </c>
      <c r="EI200" s="225" t="str">
        <f>IF(AND(ISNUMBER(SnapshotTable[[#This Row],[LC Total Value]]),SnapshotTable[[#This Row],[LC Total Value]]&gt;0),SnapshotTable[[#This Row],[LC Stop Gain Loss]]  / SnapshotTable[[#This Row],[LC Premium]],"")</f>
        <v/>
      </c>
      <c r="EJ200" s="35">
        <f>IF(ISNUMBER(SnapshotTable[[#This Row],[Equity Shares]]),TRUNC(SnapshotTable[[#This Row],[Equity Shares]] / 100),0) + SnapshotTable[[#This Row],[LC Qty]]</f>
        <v>0</v>
      </c>
      <c r="EK200" s="145"/>
      <c r="EL200" s="136"/>
      <c r="EM200" s="146"/>
      <c r="EN200" s="145"/>
      <c r="EO200" s="145"/>
      <c r="EP200" s="136"/>
      <c r="EQ200" s="382" t="b">
        <f>AND(ISNUMBER(SnapshotTable[[#This Row],[SC Exp Date]]), ISNUMBER(SnapshotTable[[#This Row],[SC Strike Price]]), ISNUMBER(SnapshotTable[[#This Row],[SC Qty]]), ISNUMBER(SnapshotTable[[#This Row],[SC Book Date]]), ISNUMBER(SnapshotTable[[#This Row],[SC Book Price]]))</f>
        <v>0</v>
      </c>
      <c r="ER200" s="382" t="b">
        <f>AND(SnapshotTable[[#This Row],[SC Is Booked]], NOT(ISBLANK(SnapshotTable[[#This Row],[SC Fill Date]])))</f>
        <v>0</v>
      </c>
      <c r="ES200" s="340"/>
      <c r="ET200" s="34" t="str">
        <f>IF(AND(ISNUMBER(SnapshotTable[[#This Row],[SC Exp Date]]), ISNUMBER(SnapshotTable[[#This Row],[SC Book Date]])), SnapshotTable[[#This Row],[SC Exp Date]] - MAX(SnapshotTable[[#This Row],[SC Book Date]], SnapshotTable[[#This Row],[SC Fill Date]]) + 1, "")</f>
        <v/>
      </c>
      <c r="EU200" s="34" t="str">
        <f>IF(ISNUMBER(SnapshotTable[[#This Row],[SC Term]]), SnapshotTable[[#This Row],[SC Exp Date]]- MockToday, "")</f>
        <v/>
      </c>
      <c r="EV200" s="31">
        <f>IF(SnapshotTable[[#This Row],[SC Is Booked]], SnapshotTable[[#This Row],[SC Qty]] * SnapshotTable[[#This Row],[SC Book Price]] * 100, 0)</f>
        <v>0</v>
      </c>
      <c r="EW200" s="4" t="str">
        <f>IF(AND(ISNUMBER(SnapshotTable[[#This Row],[Last Price]]), ISNUMBER( SnapshotTable[[#This Row],[SC Book Price]])), SnapshotTable[[#This Row],[Last Price]] - SnapshotTable[[#This Row],[SC Book Price]],"")</f>
        <v/>
      </c>
      <c r="EX200" s="219" t="str">
        <f>IF(SnapshotTable[[#This Row],[SC Is Booked]],IF(SnapshotTable[[#This Row],[SC Intrinsic Value]] &gt; 0, SnapshotTable[[#This Row],[SC Strike Price]], SnapshotTable[[#This Row],[Last Price]]), "")</f>
        <v/>
      </c>
      <c r="EY200" s="4">
        <f>IF(SnapshotTable[[#This Row],[SC Is Booked]], (MinimumPremiumRequired * SnapshotTable[[#This Row],[SC Basis]] * SnapshotTable[[#This Row],[SC Term]]), 0)</f>
        <v>0</v>
      </c>
      <c r="EZ200" s="268"/>
      <c r="FA200" s="204"/>
      <c r="FB200" s="340"/>
      <c r="FC200" s="4">
        <f>IF(SnapshotTable[[#This Row],[SC Is Filled]], btc_max_buyback_amount(SnapshotTable[[#This Row],[SC Fill Date]],SnapshotTable[[#This Row],[SC Exp Date]], SnapshotTable[[#This Row],[SC Book Price]]),0)</f>
        <v>0</v>
      </c>
      <c r="FD200" s="5"/>
      <c r="FE200" s="142" t="str">
        <f>IF(SnapshotTable[[#This Row],[SC Is Filled]], btc_next_cutoff_date(SnapshotTable[[#This Row],[SC Fill Date]],SnapshotTable[[#This Row],[SC Exp Date]]),"")</f>
        <v/>
      </c>
      <c r="FF200" s="4" t="str" cm="1">
        <f t="array" ref="FF200">IF(SnapshotTable[[#This Row],[SC Is Filled]], btc_should_buy_back(SnapshotTable[[#This Row],[SC Fill Date]], SnapshotTable[[#This Row],[SC Exp Date]], SnapshotTable[[#This Row],[SC Book Price]], SnapshotTable[[#This Row],[SC Current Ask]], MockToday, SnapshotTable[[#This Row],[SC Buyback Override]]),"")</f>
        <v/>
      </c>
      <c r="FG200" s="4">
        <f>IF(SnapshotTable[[#This Row],[SC Is Filled]], MAX(0,SnapshotTable[[#This Row],[Last Price]]  - SnapshotTable[[#This Row],[SC Strike Price]]), 0)</f>
        <v>0</v>
      </c>
      <c r="FH200" s="352">
        <f>IF(SnapshotTable[[#This Row],[SC Is Filled]], IF(ISNUMBER(SnapshotTable[[#This Row],[SC Current Ask]]), SnapshotTable[[#This Row],[SC Current Ask]], SnapshotTable[[#This Row],[SC Book Price]]) - SnapshotTable[[#This Row],[SC Intrinsic Value]], 0)</f>
        <v>0</v>
      </c>
      <c r="FI200" s="141"/>
      <c r="FJ200" s="32" t="str">
        <f>IF(SnapshotTable[[#This Row],[SC Is Filled]],100 * SnapshotTable[[#This Row],[SC Qty]] * IF(ISNUMBER(SnapshotTable[[#This Row],[SC Buyback Override]]), SnapshotTable[[#This Row],[SC Buyback Override]], SnapshotTable[[#This Row],[SC Current Ask]]), "")</f>
        <v/>
      </c>
      <c r="FK200" s="235" t="str">
        <f>IF(SnapshotTable[[#This Row],[SC Time Val]]&gt;0, SnapshotTable[[#This Row],[SC Time Val]] / SnapshotTable[[#This Row],[Last Price]],"")</f>
        <v/>
      </c>
      <c r="FL200" s="280" t="str">
        <f>IF(SnapshotTable[[#This Row],[SC Is Booked]], ((SnapshotTable[[#This Row],[Last Price]] -SnapshotTable[[#This Row],[SC Strike Price]]) / SnapshotTable[[#This Row],[Last Price]]) * -1, "")</f>
        <v/>
      </c>
      <c r="FM200" s="155" t="str">
        <f>IF(SnapshotTable[[#This Row],[SC Is Booked]],  (SnapshotTable[[#This Row],[SC Qty]] * 100 * SnapshotTable[[#This Row],[SC Strike Price]]) - SnapshotTable[[#This Row],[SC Current Ask]], "")</f>
        <v/>
      </c>
      <c r="FN20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0" s="155" t="str">
        <f>IF(AND(ISNUMBER(SnapshotTable[[#This Row],[SC Exercise Gross]]), ISNUMBER(SnapshotTable[[#This Row],[Equity Basis Per Share]] )), SnapshotTable[[#This Row],[SC Exercise Gross]] - SnapshotTable[[#This Row],[Equity Basis Total]] +  SnapshotTable[[#This Row],[SC Premium]], "")</f>
        <v/>
      </c>
      <c r="FP200" s="5" t="str">
        <f>IF(ISNUMBER(SnapshotTable[[#This Row],[SC Exercise Gross]]), (SnapshotTable[[#This Row],[SC Exercise Gross]]) / (SnapshotTable[[#This Row],[SC Qty]] * 100), "")</f>
        <v/>
      </c>
      <c r="FQ200" s="27" t="str">
        <f>IF(SnapshotTable[[#This Row],[SC Is Booked]],SnapshotTable[[#This Row],[SC Time Val]] /SnapshotTable[[#This Row],[SC Basis]], "")</f>
        <v/>
      </c>
      <c r="FR200" s="27" t="str" cm="1">
        <f t="array" ref="FR200">IF(AND(ISNUMBER(SnapshotTable[[#This Row],[SC Term]]),ISNUMBER(SnapshotTable[[#This Row],[SC Simple ROO]])), EllmanAnnualize(SnapshotTable[[#This Row],[SC DTE]], SnapshotTable[[#This Row],[SC Simple ROO]] ),"")</f>
        <v/>
      </c>
      <c r="FS200" s="4">
        <f>IF(SnapshotTable[[#This Row],[SC Strike Price]] &gt; SnapshotTable[[#This Row],[Last Price]], SnapshotTable[[#This Row],[SC Strike Price]] - SnapshotTable[[#This Row],[Last Price]],0)</f>
        <v>0</v>
      </c>
      <c r="FT200" s="27" t="str">
        <f>IF(AND(ISNUMBER(SnapshotTable[[#This Row],[SC Upside Potential]]), SnapshotTable[[#This Row],[SC Upside Potential]] &gt; 0),(SnapshotTable[[#This Row],[SC Upside Potential]]/ SnapshotTable[[#This Row],[ACB]]),"")</f>
        <v/>
      </c>
      <c r="FU200" s="304" t="str">
        <f>IF(SnapshotTable[[#This Row],[SC Intrinsic Value]] &gt; 0,SnapshotTable[[#This Row],[SC Intrinsic Value]],"")</f>
        <v/>
      </c>
      <c r="FV200" s="27" t="str">
        <f>IF(AND( ISNUMBER( SnapshotTable[[#This Row],[ACB]]),ISNUMBER(SnapshotTable[[#This Row],[SC Downside Protect]])),SnapshotTable[[#This Row],[SC Downside Protect]] / SnapshotTable[[#This Row],[ACB]],"")</f>
        <v/>
      </c>
      <c r="FW200" s="221" t="str">
        <f>IF(AND(ISNUMBER(SnapshotTable[[#This Row],[SC Simple ROO]]),SnapshotTable[[#This Row],[SC Simple ROO]] &gt; 0), SnapshotTable[[#This Row],[SC Premium]] + (SnapshotTable[[#This Row],[SC Qty]] * SnapshotTable[[#This Row],[SC Upside Potential]]), "")</f>
        <v/>
      </c>
      <c r="FX200" s="280" t="str" cm="1">
        <f t="array" ref="FX200">IF(ISNUMBER(SnapshotTable[[#This Row],[SC Max Dollars]]), annualize(SnapshotTable[[#This Row],[SC Term]],(SnapshotTable[[#This Row],[SC Max Dollars]]/SnapshotTable[[#This Row],[SC Basis]])),"")</f>
        <v/>
      </c>
      <c r="FY200" s="221" t="str">
        <f>IF(AND(SnapshotTable[[#This Row],[SC Qty]]&gt;0,SnapshotTable[[#This Row],[SC Current Ask]]&gt;0), SnapshotTable[[#This Row],[SC Qty]] * SnapshotTable[[#This Row],[SC Current Ask]] * -100, "")</f>
        <v/>
      </c>
      <c r="FZ200" s="220" t="str">
        <f>IF(ISNUMBER((SnapshotTable[[#This Row],[SC Current Value]])), SnapshotTable[[#This Row],[SC Premium]] + SnapshotTable[[#This Row],[SC Current Value]], "")</f>
        <v/>
      </c>
      <c r="GA200" s="272" t="str">
        <f>IFERROR( IF(ISNUMBER((SnapshotTable[[#This Row],[SC Current Value]])), SnapshotTable[[#This Row],[SC Gain Loss]] / SnapshotTable[[#This Row],[SC Premium]], ""), "")</f>
        <v/>
      </c>
      <c r="GB200" s="42">
        <f>SnapshotTable[[#This Row],[Equity Shares]] * SaleSharesToConsiderPercentage</f>
        <v>0</v>
      </c>
      <c r="GC200" s="40">
        <f>SnapshotTable[[#This Row],[Long Term Target]] * SellingPriceToConsiderBasedOnTargetPercentage</f>
        <v>0</v>
      </c>
      <c r="GD200" s="40">
        <f>SnapshotTable[[#This Row],[Last Price]] * (1+ SellingPriceToConsiderBasedOnTargetPercentage)</f>
        <v>77.921999999999997</v>
      </c>
      <c r="GE200" s="41"/>
      <c r="GF200" s="40"/>
      <c r="GG200" s="31">
        <f>SnapshotTable[[#This Row],[Booked Sale Shares]] * SnapshotTable[[#This Row],[Booked Sale Price]]</f>
        <v>0</v>
      </c>
      <c r="GH200" s="31" t="str">
        <f>IF(SnapshotTable[[#This Row],[Equity Basis Total]] &gt; 0, SnapshotTable[[#This Row],[Equity Basis Per Share]] * SnapshotTable[[#This Row],[Booked Sale Shares]], "")</f>
        <v/>
      </c>
      <c r="GI200" s="31">
        <f>IF(SnapshotTable[[#This Row],[Sale Proceeds]]&gt;0, SnapshotTable[[#This Row],[Sale Proceeds]] - SnapshotTable[[#This Row],[Sale Basis]], 0)</f>
        <v>0</v>
      </c>
      <c r="GJ200" s="156" t="str">
        <f>IF(SnapshotTable[[#This Row],[Sale G/L]]&gt;0, SnapshotTable[[#This Row],[Sale G/L]] / SnapshotTable[[#This Row],[Sale Basis]], IF(ISNUMBER(SnapshotTable[[#This Row],[SC Exercise P&amp;L (TAX)]]), SnapshotTable[[#This Row],[SC Exercise P&amp;L (TAX)]] / SnapshotTable[[#This Row],[SC Basis]], ""))</f>
        <v/>
      </c>
      <c r="GK200" s="27" t="s">
        <v>917</v>
      </c>
      <c r="GL200" s="157" t="str">
        <f>IF(AND(SnapshotTable[[#This Row],[LP Exp Date]]&gt;0,SnapshotTable[[#This Row],[LP Strike Price]]&gt;0), [1]!ToOptionSymbol(SnapshotTable[[#This Row],[Symbol]], SnapshotTable[[#This Row],[LP Strike Price]],SnapshotTable[[#This Row],[LP Exp Date]],1), "")</f>
        <v/>
      </c>
      <c r="GM200" s="30" t="str">
        <f>IF(LEN(SnapshotTable[[#This Row],[LP Symbol]])&gt;0, 1, "")</f>
        <v/>
      </c>
      <c r="GN200" s="43" t="str">
        <f>IF(AND(SnapshotTable[[#This Row],[SP Exp Date]]&gt;0,SnapshotTable[[#This Row],[SP Strike Price]]&gt;0), [1]!ToOptionSymbol(SnapshotTable[[#This Row],[Symbol]], SnapshotTable[[#This Row],[SP Strike Price]],SnapshotTable[[#This Row],[SP Exp Date]],1), "")</f>
        <v/>
      </c>
      <c r="GO200" s="30" t="str">
        <f>IF(LEN(SnapshotTable[[#This Row],[SP Symbol]])&gt;0, 1, "")</f>
        <v/>
      </c>
      <c r="GP200" s="157" t="str">
        <f>IF(AND(SnapshotTable[[#This Row],[LC Exp Date]]&gt;0,SnapshotTable[[#This Row],[LC Strike Price]]&gt;0), [1]!ToOptionSymbol(SnapshotTable[[#This Row],[Symbol]], SnapshotTable[[#This Row],[LC Strike Price]],SnapshotTable[[#This Row],[LC Exp Date]],0), "")</f>
        <v/>
      </c>
      <c r="GQ200" s="158" t="str">
        <f>IF(LEN(SnapshotTable[[#This Row],[LC Symbol]])&gt;0, 1, "")</f>
        <v/>
      </c>
      <c r="GR200" s="157" t="str">
        <f>IF(AND(SnapshotTable[[#This Row],[SC Exp Date]]&gt;0,SnapshotTable[[#This Row],[SC Strike Price]]&gt;0), [1]!ToOptionSymbol(SnapshotTable[[#This Row],[Symbol]], SnapshotTable[[#This Row],[SC Strike Price]],SnapshotTable[[#This Row],[SC Exp Date]],0), "")</f>
        <v/>
      </c>
      <c r="GS200" s="158" t="str">
        <f>IF(LEN(SnapshotTable[[#This Row],[SC Symbol]])&gt;0, 1, "")</f>
        <v/>
      </c>
      <c r="GT200" s="159" t="str">
        <f>IF(COUNT(SnapshotTable[[#This Row],[LP Symbol Count]],SnapshotTable[[#This Row],[SP Symbol Count]],SnapshotTable[[#This Row],[LC Symbol Count]],SnapshotTable[[#This Row],[SC Symbol Count]])&gt;0, "Y", "")</f>
        <v/>
      </c>
      <c r="GU20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0" s="216">
        <f>MAX(SnapshotTable[[#This Row],[Equity Basis Total]],SnapshotTable[[#This Row],[Equity Value]]) + (SnapshotTable[[#This Row],[SP Potential Spend]]- SnapshotTable[[#This Row],[SP Premium]] + SnapshotTable[[#This Row],[LP Premium]])+ (SnapshotTable[[#This Row],[LC Premium]] - SnapshotTable[[#This Row],[SC Premium]])</f>
        <v>0</v>
      </c>
      <c r="GW200" s="137" t="str">
        <f>IF(AND(SnapshotTable[[#This Row],[Exposure]] &lt;&gt; 0),SnapshotTable[[#This Row],[Exposure]] / SnapshotTable[[#Totals],[Exposure]], "")</f>
        <v/>
      </c>
      <c r="HE200" s="253"/>
      <c r="HF200" s="253"/>
      <c r="HK200" s="1"/>
      <c r="HL200" s="1"/>
      <c r="HM200" s="1"/>
      <c r="HN200" s="1"/>
      <c r="HO200" s="1"/>
      <c r="HP200" s="1"/>
    </row>
    <row r="201" spans="2:224" ht="12.75" customHeight="1" x14ac:dyDescent="0.25">
      <c r="B201" s="12" t="s">
        <v>986</v>
      </c>
      <c r="C201" s="385">
        <v>11.3</v>
      </c>
      <c r="D201" s="200"/>
      <c r="E201" s="39">
        <f>SnapshotTable[[#This Row],[Last Price]]*(1 -CrashDiscount)</f>
        <v>9.6050000000000004</v>
      </c>
      <c r="F201" s="296" t="s">
        <v>812</v>
      </c>
      <c r="G201" s="296" t="s">
        <v>630</v>
      </c>
      <c r="H201" s="147"/>
      <c r="I201" s="186"/>
      <c r="J201" s="187"/>
      <c r="K201" s="188"/>
      <c r="L201" s="297"/>
      <c r="M201" s="138"/>
      <c r="N201" s="138"/>
      <c r="O201" s="138"/>
      <c r="P201" s="22"/>
      <c r="Q201" s="25"/>
      <c r="R201" s="4" t="str">
        <f>IF(SnapshotTable[[#This Row],[Equity Basis Total]] &gt; 0, SnapshotTable[[#This Row],[Equity Basis Total]] / SnapshotTable[[#This Row],[Equity Shares]], "")</f>
        <v/>
      </c>
      <c r="S201" s="254">
        <f>SnapshotTable[[#This Row],[Last Price]] * SnapshotTable[[#This Row],[Equity Shares]]</f>
        <v>0</v>
      </c>
      <c r="T201" s="254">
        <f>SnapshotTable[[#This Row],[Equity Value]] - SnapshotTable[[#This Row],[Equity Basis Total]]</f>
        <v>0</v>
      </c>
      <c r="U201" s="255" t="str">
        <f>IF(SnapshotTable[[#This Row],[Equity Basis Total]] &gt; 0, SnapshotTable[[#This Row],[Equity G/L]] / SnapshotTable[[#This Row],[Equity Basis Total]], "")</f>
        <v/>
      </c>
      <c r="V201" s="253"/>
      <c r="W201" s="253"/>
      <c r="X201" s="4" t="str">
        <f>IF(AND(ISNUMBER(SnapshotTable[[#This Row],[Equity Basis Per Share]]),ISNUMBER(SnapshotTable[[#This Row],[Equity Target]])),SnapshotTable[[#This Row],[Equity Target]]-SnapshotTable[[#This Row],[Equity Basis Per Share]],"")</f>
        <v/>
      </c>
      <c r="Y201" s="4" t="str">
        <f>IF(AND(ISNUMBER(SnapshotTable[[#This Row],[Equity Basis Per Share]]),ISNUMBER(SnapshotTable[[#This Row],[Equity Stop Loss]])),SnapshotTable[[#This Row],[Equity Stop Loss]]-SnapshotTable[[#This Row],[Equity Basis Per Share]],"")</f>
        <v/>
      </c>
      <c r="Z201" s="260" t="str">
        <f>IFERROR( TEXT(SnapshotTable[[#This Row],[Equity Max Gain Per Share]] /ABS( SnapshotTable[[#This Row],[Equity Max Loss Per Share]]),"0.0 " ) &amp; " : 1", "")</f>
        <v/>
      </c>
      <c r="AA201" s="31" t="str">
        <f>IF(ISNUMBER(SnapshotTable[[#This Row],[Equity Max Gain Per Share]]),SnapshotTable[[#This Row],[Equity Max Gain Per Share]] * SnapshotTable[[#This Row],[Equity Shares]],"")</f>
        <v/>
      </c>
      <c r="AB201" s="31" t="str">
        <f>IF(ISNUMBER(SnapshotTable[[#This Row],[Equity Max Loss Per Share]]),SnapshotTable[[#This Row],[Equity Max Loss Per Share]] * SnapshotTable[[#This Row],[Equity Shares]],"")</f>
        <v/>
      </c>
      <c r="AC201" s="148"/>
      <c r="AD201" s="149"/>
      <c r="AE201" s="31">
        <f>(SnapshotTable[[#This Row],[Annual Dividend Per Share]] / 4) * SnapshotTable[[#This Row],[Equity Shares]]</f>
        <v>0</v>
      </c>
      <c r="AF201" s="31">
        <f>SnapshotTable[[#This Row],[Quarterly Div $]] * 4</f>
        <v>0</v>
      </c>
      <c r="AG201" s="7">
        <f>IF(SnapshotTable[[#This Row],[Annual Dividend Per Share]]&gt;0, SnapshotTable[[#This Row],[Annual Dividend Per Share]]  / SnapshotTable[[#This Row],[Last Price]], 0)</f>
        <v>0</v>
      </c>
      <c r="AH201" s="149"/>
      <c r="AI201" s="5"/>
      <c r="AJ201" s="136"/>
      <c r="AK201" s="150" t="str">
        <f>IF(ISNUMBER( SnapshotTable[[#This Row],[EBF Target]]),(SnapshotTable[[#This Row],[EBF Target]] - SnapshotTable[[#This Row],[Last Price]]) / SnapshotTable[[#This Row],[Last Price]], "")</f>
        <v/>
      </c>
      <c r="AL201" s="150" t="str">
        <f>IF(AND(SnapshotTable[[#This Row],[Equity Basis Total]] &gt; 0,ISNUMBER( SnapshotTable[[#This Row],[Long Term Target]])), SnapshotTable[[#This Row],[From Basis $]] / SnapshotTable[[#This Row],[Equity Basis Total]], "")</f>
        <v/>
      </c>
      <c r="AM201" s="9">
        <f>IF( AND(SnapshotTable[[#This Row],[Equity Shares]] &gt;0,ISNUMBER( SnapshotTable[[#This Row],[Long Term Target]])),(SnapshotTable[[#This Row],[Equity Shares]] * SnapshotTable[[#This Row],[Long Term Target]]) - SnapshotTable[[#This Row],[Equity Basis Total]],0)</f>
        <v>0</v>
      </c>
      <c r="AN201" s="9">
        <f>IF( AND(SnapshotTable[[#This Row],[Equity Shares]] &gt;0,ISNUMBER( SnapshotTable[[#This Row],[Long Term Target]])),(SnapshotTable[[#This Row],[Equity Shares]]*SnapshotTable[[#This Row],[Long Term Target]]) - SnapshotTable[[#This Row],[Equity Value]],0)</f>
        <v>0</v>
      </c>
      <c r="AO201" s="150" t="str">
        <f>IF(AND(ISNUMBER( SnapshotTable[[#This Row],[Long Term Target]]), ISNUMBER(SnapshotTable[[#This Row],[Last Price]])),(SnapshotTable[[#This Row],[Long Term Target]] - SnapshotTable[[#This Row],[Last Price]]) / SnapshotTable[[#This Row],[Last Price]], "")</f>
        <v/>
      </c>
      <c r="AP201" s="5"/>
      <c r="AQ201" s="38"/>
      <c r="AR201" s="5"/>
      <c r="AS201" s="38"/>
      <c r="AT201" s="144"/>
      <c r="AU201" s="185" t="str">
        <f ca="1">IF(OR(SnapshotTable[[#This Row],[LP No Fill]]="Y",SnapshotTable[[#This Row],[SP Is Filled]],SnapshotTable[[#This Row],[LC Not Filled]]="Y",SnapshotTable[[#This Row],[SC Is Filled]]),"Y","")</f>
        <v>Y</v>
      </c>
      <c r="AV201" s="205"/>
      <c r="AW201" s="211"/>
      <c r="AX201" s="206"/>
      <c r="AY201" s="205" t="str">
        <f>IF(SnapshotTable[[#This Row],[Implied Move]]&gt;0, SnapshotTable[[#This Row],[Last Price]]-SnapshotTable[[#This Row],[Implied Move]],"")</f>
        <v/>
      </c>
      <c r="AZ201" s="205" t="str">
        <f>IF(SnapshotTable[[#This Row],[Implied Move]]&gt;0, SnapshotTable[[#This Row],[Last Price]] + SnapshotTable[[#This Row],[Implied Move]],"")</f>
        <v/>
      </c>
      <c r="BA201" s="302">
        <v>14.95</v>
      </c>
      <c r="BB201" s="318"/>
      <c r="BC201"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201" s="321"/>
      <c r="BE201" s="5"/>
      <c r="BF201" s="14"/>
      <c r="BG201" s="13"/>
      <c r="BH201" s="13"/>
      <c r="BI201" s="5"/>
      <c r="BJ201" s="134">
        <f>IF(SnapshotTable[[#This Row],[LP Qty]] &gt; 0, SnapshotTable[[#This Row],[LP Qty]] * SnapshotTable[[#This Row],[LP Book Price]] * 100,0)</f>
        <v>0</v>
      </c>
      <c r="BK201" s="134">
        <f>IF(SnapshotTable[[#This Row],[LP Premium]] &gt; 0, SnapshotTable[[#This Row],[LP Qty]] * SnapshotTable[[#This Row],[LP Strike Price]] * 100,0)</f>
        <v>0</v>
      </c>
      <c r="BL201" s="152"/>
      <c r="BM201" s="355" t="str">
        <f>IF(SnapshotTable[[#This Row],[LP Premium]] &gt; 0,SnapshotTable[[#This Row],[LP Exp Date]]-MAX(SnapshotTable[[#This Row],[LP Book Date]], SnapshotTable[[#This Row],[LP Fill Date]]),"")</f>
        <v/>
      </c>
      <c r="BN201" s="355" t="str">
        <f>IF(ISNUMBER( SnapshotTable[[#This Row],[LP Term]]), SnapshotTable[[#This Row],[LP Exp Date]] - MockToday,"")</f>
        <v/>
      </c>
      <c r="BO201" s="161" t="str">
        <f>IF(AND(SnapshotTable[[#This Row],[LP Exp Date]]&gt;0, SnapshotTable[[#This Row],[LP Strike Price]]&gt;0,SnapshotTable[[#This Row],[LP Qty]]&gt;0,SnapshotTable[[#This Row],[LP Book Date]]&gt;0,SnapshotTable[[#This Row],[LP Book Price]]&gt;0,SnapshotTable[[#This Row],[LP Fill Date]]=0),"Y","")</f>
        <v/>
      </c>
      <c r="BP201" s="31" t="str">
        <f>IF(AND(SnapshotTable[[#This Row],[LP No Fill]]&lt;&gt;"Y",SnapshotTable[[#This Row],[LP Contract Value]]&gt;0, SnapshotTable[[#This Row],[LP Qty]]&gt;0), SnapshotTable[[#This Row],[LP Contract Value]]*SnapshotTable[[#This Row],[LP Qty]]*100,"")</f>
        <v/>
      </c>
      <c r="BQ201" s="13">
        <f ca="1">NextMonthlyOpex</f>
        <v>46255</v>
      </c>
      <c r="BR201" s="5">
        <v>11</v>
      </c>
      <c r="BS201" s="36">
        <v>10</v>
      </c>
      <c r="BT201" s="145">
        <f ca="1">WORKDAY(MockToday, 0)</f>
        <v>46229</v>
      </c>
      <c r="BU201" s="13">
        <f ca="1">WORKDAY(MockToday, 0)</f>
        <v>46229</v>
      </c>
      <c r="BV201" s="5">
        <v>1.07</v>
      </c>
      <c r="BW201" s="382" t="b">
        <f ca="1">AND(ISNUMBER(SnapshotTable[[#This Row],[SP Exp Date]]), ISNUMBER(SnapshotTable[[#This Row],[SP Strike Price]]), ISNUMBER(SnapshotTable[[#This Row],[SP Qty]]), ISNUMBER(SnapshotTable[[#This Row],[SP Book Date]]), ISNUMBER(SnapshotTable[[#This Row],[SP Book Price]]))</f>
        <v>1</v>
      </c>
      <c r="BX201" s="382" t="b">
        <f ca="1">AND(SnapshotTable[[#This Row],[SP Is Booked]], NOT(ISBLANK(SnapshotTable[[#This Row],[SP Fill Date]])))</f>
        <v>1</v>
      </c>
      <c r="BY201" s="33">
        <f ca="1">IF(SnapshotTable[[#This Row],[SP Is Booked]], SnapshotTable[[#This Row],[SP Qty]] * SnapshotTable[[#This Row],[SP Book Price]] * 100, 0)</f>
        <v>1070</v>
      </c>
      <c r="BZ201" s="339">
        <v>0.48</v>
      </c>
      <c r="CA201" s="338">
        <f>SnapshotTable[[#This Row],[LP Qty]]</f>
        <v>0</v>
      </c>
      <c r="CB201" s="4">
        <f ca="1">IF(SnapshotTable[[#This Row],[SP Is Booked]], SnapshotTable[[#This Row],[SP Strike Price]] - SnapshotTable[[#This Row],[SP Book Price]], "")</f>
        <v>9.93</v>
      </c>
      <c r="CC201" s="19">
        <f ca="1">IF(SnapshotTable[[#This Row],[SP Is Booked]],SnapshotTable[[#This Row],[SP Exp Date]]-MAX(SnapshotTable[[#This Row],[SP Book Date]], SnapshotTable[[#This Row],[SP Fill Date]]),"")</f>
        <v>26</v>
      </c>
      <c r="CD201" s="7">
        <f ca="1">IF(SnapshotTable[[#This Row],[SP Is Booked]], SnapshotTable[[#This Row],[SP Book Price]]/SnapshotTable[[#This Row],[SP Strike Price]], "")</f>
        <v>9.7272727272727275E-2</v>
      </c>
      <c r="CE201" s="7">
        <f ca="1">IF(ISNUMBER(SnapshotTable[[#This Row],[SP ROO Term]]),SnapshotTable[[#This Row],[SP ROO Term]]*(365/SnapshotTable[[#This Row],[SP Term]]),"")</f>
        <v>1.3655594405594407</v>
      </c>
      <c r="CF201" s="221">
        <f>SnapshotTable[[#This Row],[LP Strike Price]] * SnapshotTable[[#This Row],[LP Qty]] * 100</f>
        <v>0</v>
      </c>
      <c r="CG201" s="31">
        <f ca="1">IF(ISNUMBER(SnapshotTable[[#This Row],[SP Premium]]), (SnapshotTable[[#This Row],[SP Qty]] * SnapshotTable[[#This Row],[SP Strike Price]]* 100) - SnapshotTable[[#This Row],[LP Protection]], 0)</f>
        <v>11000</v>
      </c>
      <c r="CH201" s="7">
        <f ca="1">IF(ISNUMBER(SnapshotTable[[#This Row],[SP Break Even]]),-1 * (SnapshotTable[[#This Row],[SP Break Even]] - SnapshotTable[[#This Row],[Last Price]]) / SnapshotTable[[#This Row],[Last Price]], "")</f>
        <v>0.12123893805309742</v>
      </c>
      <c r="CI201" s="31">
        <f ca="1">IF(AND(ISNUMBER((SnapshotTable[[#This Row],[SP Potential Spend]])), SnapshotTable[[#This Row],[SP Strike Price]] &gt; SnapshotTable[[#This Row],[Last Price]], SnapshotTable[[#This Row],[SP Is Filled]]), SnapshotTable[[#This Row],[SP Potential Spend]] -  SnapshotTable[[#This Row],[LP Max Value]], 0)</f>
        <v>0</v>
      </c>
      <c r="CJ201" s="229"/>
      <c r="CK201" s="31">
        <f ca="1">IF(ISNUMBER(SnapshotTable[[#This Row],[SP Potential Spend]]),IF(ISNUMBER(SnapshotTable[[#This Row],[SP POW]]), SnapshotTable[[#This Row],[SP POW]] * SnapshotTable[[#This Row],[SP Potential Spend]], SnapshotTable[[#This Row],[SP Potential Spend]]), "")</f>
        <v>11000</v>
      </c>
      <c r="CL201" s="162" t="str">
        <f ca="1">IF(NOT(SnapshotTable[[#This Row],[SP Is Filled]]),(SnapshotTable[[#This Row],[SP Qty]] * SnapshotTable[[#This Row],[SP Strike Price]] * 100) - SnapshotTable[[#This Row],[LP Max Value]],"")</f>
        <v/>
      </c>
      <c r="CM201" s="31" t="str">
        <f ca="1">IF(SnapshotTable[[#This Row],[SP Actual Spend]]&lt;&gt;0, ((SnapshotTable[[#This Row],[SP Strike Price]]-SnapshotTable[[#This Row],[Last Price]]) *(SnapshotTable[[#This Row],[SP Qty]]*100) - SnapshotTable[[#This Row],[SP Premium]]) * - 1, "")</f>
        <v/>
      </c>
      <c r="CN201" s="76">
        <v>0.93</v>
      </c>
      <c r="CO201" s="339">
        <v>0.48</v>
      </c>
      <c r="CP201" s="4" t="e">
        <f ca="1">IF(SnapshotTable[[#This Row],[SP Is Filled]], btc_max_buyback_amount(SnapshotTable[[#This Row],[SP Fill Date]],SnapshotTable[[#This Row],[SP Exp Date]], SnapshotTable[[#This Row],[SP Book Price]]),"")</f>
        <v>#NAME?</v>
      </c>
      <c r="CQ201" s="76"/>
      <c r="CR201"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1" s="153" t="e">
        <f ca="1">IF(SnapshotTable[[#This Row],[SP Is Filled]], btc_next_cutoff_date(SnapshotTable[[#This Row],[SP Fill Date]],SnapshotTable[[#This Row],[SP Exp Date]]),"")</f>
        <v>#NAME?</v>
      </c>
      <c r="CT201" s="220" t="e" cm="1">
        <f t="array" aca="1" ref="CT201" ca="1">IF(SnapshotTable[[#This Row],[SP Is Filled]], btc_should_buy_back(SnapshotTable[[#This Row],[SP Fill Date]], SnapshotTable[[#This Row],[SP Exp Date]], SnapshotTable[[#This Row],[SP Book Price]], SnapshotTable[[#This Row],[SP Current Ask]], MockToday, SnapshotTable[[#This Row],[SP Buyback Override]]),"")</f>
        <v>#NAME?</v>
      </c>
      <c r="CU201" s="141">
        <v>46220</v>
      </c>
      <c r="CV201" s="220"/>
      <c r="CW201" s="348">
        <f ca="1">IF(ISNUMBER( SnapshotTable[[#This Row],[SP Term]]), SnapshotTable[[#This Row],[SP Exp Date]] - MockToday,"")</f>
        <v>26</v>
      </c>
      <c r="CX201" s="31" t="e">
        <f ca="1">IF(SnapshotTable[[#This Row],[SP Is Filled]],SnapshotTable[[#This Row],[SP Buyback Price to Use]] * 100 * SnapshotTable[[#This Row],[SP Qty]], "")</f>
        <v>#NAME?</v>
      </c>
      <c r="CY201" s="4">
        <f>IF(ISNUMBER(SnapshotTable[[#This Row],[SP Strike Price]]), SnapshotTable[[#This Row],[SP Strike Price]] * (1 - SP_MaxLoss_StrikePct), "")</f>
        <v>10.67</v>
      </c>
      <c r="CZ201" s="31">
        <f ca="1">IF(ISNUMBER(SnapshotTable[[#This Row],[SP Strike  Stop Per Share]]),SnapshotTable[[#This Row],[SP Premium]] - ((SnapshotTable[[#This Row],[SP Strike Price]]-SnapshotTable[[#This Row],[SP Strike  Stop Per Share]]) *(SnapshotTable[[#This Row],[SP Qty]] * 100)),"")</f>
        <v>740</v>
      </c>
      <c r="DA201" s="4">
        <f ca="1">IF(AND(ISNUMBER(SnapshotTable[[#This Row],[SP Premium]]),SnapshotTable[[#This Row],[SP Premium]]&gt;0), SnapshotTable[[#This Row],[SP Book Price]] * (1 + SP_MaxLoss_OptionPct), "")</f>
        <v>1.605</v>
      </c>
      <c r="DB201" s="31">
        <f ca="1">IF(ISNUMBER(SnapshotTable[[#This Row],[SP Option  Stop Contract]]),(SnapshotTable[[#This Row],[SP Option  Stop Contract]] *(SnapshotTable[[#This Row],[SP Qty]] * 100) - SnapshotTable[[#This Row],[SP Premium]]),"")</f>
        <v>535</v>
      </c>
      <c r="DC201" s="4"/>
      <c r="DD201" s="4"/>
      <c r="DE201" s="4" t="str">
        <f>IF(AND(SnapshotTable[[#This Row],[SP Qty]]&gt;0, SnapshotTable[[#This Row],[SP Stop To Use]]&gt;0),SnapshotTable[[#This Row],[SP Premium]] - ( SnapshotTable[[#This Row],[SP Qty]] * SnapshotTable[[#This Row],[SP Stop To Use]] * 100), "")</f>
        <v/>
      </c>
      <c r="DF201" s="31">
        <f>IF(AND(SnapshotTable[[#This Row],[SP Qty]]&gt;0,SnapshotTable[[#This Row],[SP Current Ask]]&gt;0), SnapshotTable[[#This Row],[SP Qty]] * SnapshotTable[[#This Row],[SP Current Ask]] * -100, "")</f>
        <v>-930.00000000000011</v>
      </c>
      <c r="DG201" s="31">
        <f ca="1">IF(ISNUMBER((SnapshotTable[[#This Row],[SP Total Value]])), SnapshotTable[[#This Row],[SP Premium]] + SnapshotTable[[#This Row],[SP Total Value]], "")</f>
        <v>139.99999999999989</v>
      </c>
      <c r="DH201" s="272">
        <f ca="1">IF(ISNUMBER((SnapshotTable[[#This Row],[SP Total Value]])), SnapshotTable[[#This Row],[SP Gain Loss]] / SnapshotTable[[#This Row],[SP Premium]], "")</f>
        <v>0.13084112149532701</v>
      </c>
      <c r="DI201" s="369"/>
      <c r="DJ201" s="136"/>
      <c r="DK201" s="146"/>
      <c r="DL201" s="145"/>
      <c r="DM201" s="13"/>
      <c r="DO201" s="31">
        <f>IF(SnapshotTable[[#This Row],[LC Symbol Count]]=1, SnapshotTable[[#This Row],[LC Qty]] * SnapshotTable[[#This Row],[LC Book Price]] * 100, 0)</f>
        <v>0</v>
      </c>
      <c r="DP201" s="161" t="str">
        <f>IF(AND(SnapshotTable[[#This Row],[LC Exp Date]]&gt;0, SnapshotTable[[#This Row],[LC Strike Price]]&gt;0,SnapshotTable[[#This Row],[LC Qty]]&gt;0,SnapshotTable[[#This Row],[LC Book Date]]&gt;0,SnapshotTable[[#This Row],[LC Book Price]]&gt;0,SnapshotTable[[#This Row],[LC Fill Date]]=0),"Y","")</f>
        <v/>
      </c>
      <c r="DQ201" s="356" t="str">
        <f>IF(SnapshotTable[[#This Row],[LC Premium]] &gt; 0,SnapshotTable[[#This Row],[LC Exp Date]]-MAX(SnapshotTable[[#This Row],[LC Book Date]], SnapshotTable[[#This Row],[LC Fill Date]]),"")</f>
        <v/>
      </c>
      <c r="DR201" s="356" t="str">
        <f>IF(ISNUMBER(SnapshotTable[[#This Row],[LC Term]]), SnapshotTable[[#This Row],[LC Exp Date]] - MockToday, "")</f>
        <v/>
      </c>
      <c r="DS201" s="219" t="str">
        <f>IF(SnapshotTable[[#This Row],[LC Premium]]&gt;0,SnapshotTable[[#This Row],[LC Strike Price]] + SnapshotTable[[#This Row],[LC Book Price]],"")</f>
        <v/>
      </c>
      <c r="DU201" s="9" t="str">
        <f>IF(AND(SnapshotTable[[#This Row],[LC Symbol Count]]&gt;0, SnapshotTable[[#This Row],[LC Contract Value]]&gt;0), SnapshotTable[[#This Row],[LC Contract Value]] * SnapshotTable[[#This Row],[LC Qty]] * 100, "")</f>
        <v/>
      </c>
      <c r="DV201" s="9" t="str">
        <f>IF(AND(ISNUMBER(SnapshotTable[[#This Row],[LC Total Value]]), SnapshotTable[[#This Row],[LC Not Filled]]&lt;&gt;"Y"), SnapshotTable[[#This Row],[LC Total Value]]-SnapshotTable[[#This Row],[LC Premium]],"")</f>
        <v/>
      </c>
      <c r="DW201" s="225" t="str">
        <f>IF(ISNUMBER(SnapshotTable[[#This Row],[LC Actual Gain Loss]]), SnapshotTable[[#This Row],[LC Actual Gain Loss]] / SnapshotTable[[#This Row],[LC Premium]],"")</f>
        <v/>
      </c>
      <c r="DX201" s="269" t="str">
        <f>IF(ISNUMBER(SnapshotTable[[#This Row],[LC Book Price]]),SnapshotTable[[#This Row],[LC Book Price]] * 1.5,"")</f>
        <v/>
      </c>
      <c r="DY201" s="250" t="str">
        <f>IF(SnapshotTable[[#This Row],[LC Premium]]&gt;0, SnapshotTable[[#This Row],[LC Next Target]] * SnapshotTable[[#This Row],[LC Qty]] * 100,"")</f>
        <v/>
      </c>
      <c r="DZ201" s="250" t="str">
        <f>IF(ISNUMBER(SnapshotTable[[#This Row],[LC Target Gross]]), SnapshotTable[[#This Row],[LC Target Gross]] - SnapshotTable[[#This Row],[LC Premium]], "")</f>
        <v/>
      </c>
      <c r="EA201" s="283" t="str">
        <f>IF(ISNUMBER(SnapshotTable[[#This Row],[LC Target Gain Loss]]), SnapshotTable[[#This Row],[LC Target Gain Loss]]/SnapshotTable[[#This Row],[LC Premium]], "")</f>
        <v/>
      </c>
      <c r="EB201" s="247"/>
      <c r="EC201" s="268" t="str">
        <f>IF(SnapshotTable[[#This Row],[LC Premium]]&gt;0, SnapshotTable[[#This Row],[LC Book Price]] * (1 - LC_StopLoss_Pct),"")</f>
        <v/>
      </c>
      <c r="ED201" s="269"/>
      <c r="EE201" s="268" t="str">
        <f>IF(ISNUMBER(SnapshotTable[[#This Row],[LC Contract Value]]),IF(ISNUMBER(SnapshotTable[[#This Row],[LC Stop Loss Override]]), SnapshotTable[[#This Row],[LC Stop Loss Override]],SnapshotTable[[#This Row],[LC Stop Loss Calc Target]]),"")</f>
        <v/>
      </c>
      <c r="EF201" s="31" t="str">
        <f>IF(ISNUMBER(SnapshotTable[[#This Row],[LC Stop  To Use]]), (SnapshotTable[[#This Row],[LC Stop  To Use]] * SnapshotTable[[#This Row],[LC Qty]] * 100),"")</f>
        <v/>
      </c>
      <c r="EG201" s="9" t="str">
        <f>IF(ISNUMBER(SnapshotTable[[#This Row],[LC Total Value]]),SnapshotTable[[#This Row],[LC Stop Loss Amount]] - SnapshotTable[[#This Row],[LC Premium]],"")</f>
        <v/>
      </c>
      <c r="EH201" s="9">
        <f>IF(ISNUMBER(SnapshotTable[[#This Row],[LC Premium]]), SnapshotTable[[#This Row],[LC Qty]] * 100 * SnapshotTable[[#This Row],[LC Strike Price]], "")</f>
        <v>0</v>
      </c>
      <c r="EI201" s="225" t="str">
        <f>IF(AND(ISNUMBER(SnapshotTable[[#This Row],[LC Total Value]]),SnapshotTable[[#This Row],[LC Total Value]]&gt;0),SnapshotTable[[#This Row],[LC Stop Gain Loss]]  / SnapshotTable[[#This Row],[LC Premium]],"")</f>
        <v/>
      </c>
      <c r="EJ201" s="35">
        <f>IF(ISNUMBER(SnapshotTable[[#This Row],[Equity Shares]]),TRUNC(SnapshotTable[[#This Row],[Equity Shares]] / 100),0) + SnapshotTable[[#This Row],[LC Qty]]</f>
        <v>0</v>
      </c>
      <c r="EK201" s="145"/>
      <c r="EL201" s="136"/>
      <c r="EM201" s="146"/>
      <c r="EN201" s="145"/>
      <c r="EO201" s="145"/>
      <c r="EP201" s="136"/>
      <c r="EQ201" s="382" t="b">
        <f>AND(ISNUMBER(SnapshotTable[[#This Row],[SC Exp Date]]), ISNUMBER(SnapshotTable[[#This Row],[SC Strike Price]]), ISNUMBER(SnapshotTable[[#This Row],[SC Qty]]), ISNUMBER(SnapshotTable[[#This Row],[SC Book Date]]), ISNUMBER(SnapshotTable[[#This Row],[SC Book Price]]))</f>
        <v>0</v>
      </c>
      <c r="ER201" s="382" t="b">
        <f>AND(SnapshotTable[[#This Row],[SC Is Booked]], NOT(ISBLANK(SnapshotTable[[#This Row],[SC Fill Date]])))</f>
        <v>0</v>
      </c>
      <c r="ES201" s="340"/>
      <c r="ET201" s="34" t="str">
        <f>IF(AND(ISNUMBER(SnapshotTable[[#This Row],[SC Exp Date]]), ISNUMBER(SnapshotTable[[#This Row],[SC Book Date]])), SnapshotTable[[#This Row],[SC Exp Date]] - MAX(SnapshotTable[[#This Row],[SC Book Date]], SnapshotTable[[#This Row],[SC Fill Date]]) + 1, "")</f>
        <v/>
      </c>
      <c r="EU201" s="34" t="str">
        <f>IF(ISNUMBER(SnapshotTable[[#This Row],[SC Term]]), SnapshotTable[[#This Row],[SC Exp Date]]- MockToday, "")</f>
        <v/>
      </c>
      <c r="EV201" s="31">
        <f>IF(SnapshotTable[[#This Row],[SC Is Booked]], SnapshotTable[[#This Row],[SC Qty]] * SnapshotTable[[#This Row],[SC Book Price]] * 100, 0)</f>
        <v>0</v>
      </c>
      <c r="EW201" s="4" t="str">
        <f>IF(AND(ISNUMBER(SnapshotTable[[#This Row],[Last Price]]), ISNUMBER( SnapshotTable[[#This Row],[SC Book Price]])), SnapshotTable[[#This Row],[Last Price]] - SnapshotTable[[#This Row],[SC Book Price]],"")</f>
        <v/>
      </c>
      <c r="EX201" s="219" t="str">
        <f>IF(SnapshotTable[[#This Row],[SC Is Booked]],IF(SnapshotTable[[#This Row],[SC Intrinsic Value]] &gt; 0, SnapshotTable[[#This Row],[SC Strike Price]], SnapshotTable[[#This Row],[Last Price]]), "")</f>
        <v/>
      </c>
      <c r="EY201" s="4">
        <f>IF(SnapshotTable[[#This Row],[SC Is Booked]], (MinimumPremiumRequired * SnapshotTable[[#This Row],[SC Basis]] * SnapshotTable[[#This Row],[SC Term]]), 0)</f>
        <v>0</v>
      </c>
      <c r="EZ201" s="268"/>
      <c r="FA201" s="204"/>
      <c r="FB201" s="340"/>
      <c r="FC201" s="4">
        <f>IF(SnapshotTable[[#This Row],[SC Is Filled]], btc_max_buyback_amount(SnapshotTable[[#This Row],[SC Fill Date]],SnapshotTable[[#This Row],[SC Exp Date]], SnapshotTable[[#This Row],[SC Book Price]]),0)</f>
        <v>0</v>
      </c>
      <c r="FD201" s="5"/>
      <c r="FE201" s="142" t="str">
        <f>IF(SnapshotTable[[#This Row],[SC Is Filled]], btc_next_cutoff_date(SnapshotTable[[#This Row],[SC Fill Date]],SnapshotTable[[#This Row],[SC Exp Date]]),"")</f>
        <v/>
      </c>
      <c r="FF201" s="4" t="str" cm="1">
        <f t="array" ref="FF201">IF(SnapshotTable[[#This Row],[SC Is Filled]], btc_should_buy_back(SnapshotTable[[#This Row],[SC Fill Date]], SnapshotTable[[#This Row],[SC Exp Date]], SnapshotTable[[#This Row],[SC Book Price]], SnapshotTable[[#This Row],[SC Current Ask]], MockToday, SnapshotTable[[#This Row],[SC Buyback Override]]),"")</f>
        <v/>
      </c>
      <c r="FG201" s="4">
        <f>IF(SnapshotTable[[#This Row],[SC Is Filled]], MAX(0,SnapshotTable[[#This Row],[Last Price]]  - SnapshotTable[[#This Row],[SC Strike Price]]), 0)</f>
        <v>0</v>
      </c>
      <c r="FH201" s="352">
        <f>IF(SnapshotTable[[#This Row],[SC Is Filled]], IF(ISNUMBER(SnapshotTable[[#This Row],[SC Current Ask]]), SnapshotTable[[#This Row],[SC Current Ask]], SnapshotTable[[#This Row],[SC Book Price]]) - SnapshotTable[[#This Row],[SC Intrinsic Value]], 0)</f>
        <v>0</v>
      </c>
      <c r="FI201" s="141"/>
      <c r="FJ201" s="32" t="str">
        <f>IF(SnapshotTable[[#This Row],[SC Is Filled]],100 * SnapshotTable[[#This Row],[SC Qty]] * IF(ISNUMBER(SnapshotTable[[#This Row],[SC Buyback Override]]), SnapshotTable[[#This Row],[SC Buyback Override]], SnapshotTable[[#This Row],[SC Current Ask]]), "")</f>
        <v/>
      </c>
      <c r="FK201" s="235" t="str">
        <f>IF(SnapshotTable[[#This Row],[SC Time Val]]&gt;0, SnapshotTable[[#This Row],[SC Time Val]] / SnapshotTable[[#This Row],[Last Price]],"")</f>
        <v/>
      </c>
      <c r="FL201" s="280" t="str">
        <f>IF(SnapshotTable[[#This Row],[SC Is Booked]], ((SnapshotTable[[#This Row],[Last Price]] -SnapshotTable[[#This Row],[SC Strike Price]]) / SnapshotTable[[#This Row],[Last Price]]) * -1, "")</f>
        <v/>
      </c>
      <c r="FM201" s="155" t="str">
        <f>IF(SnapshotTable[[#This Row],[SC Is Booked]],  (SnapshotTable[[#This Row],[SC Qty]] * 100 * SnapshotTable[[#This Row],[SC Strike Price]]) - SnapshotTable[[#This Row],[SC Current Ask]], "")</f>
        <v/>
      </c>
      <c r="FN20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1" s="31" t="str">
        <f>IF(AND(ISNUMBER(SnapshotTable[[#This Row],[SC Exercise Gross]]), ISNUMBER(SnapshotTable[[#This Row],[Equity Basis Per Share]] )), SnapshotTable[[#This Row],[SC Exercise Gross]] - SnapshotTable[[#This Row],[Equity Basis Total]] +  SnapshotTable[[#This Row],[SC Premium]], "")</f>
        <v/>
      </c>
      <c r="FP201" s="5" t="str">
        <f>IF(ISNUMBER(SnapshotTable[[#This Row],[SC Exercise Gross]]), (SnapshotTable[[#This Row],[SC Exercise Gross]]) / (SnapshotTable[[#This Row],[SC Qty]] * 100), "")</f>
        <v/>
      </c>
      <c r="FQ201" s="27" t="str">
        <f>IF(SnapshotTable[[#This Row],[SC Is Booked]],SnapshotTable[[#This Row],[SC Time Val]] /SnapshotTable[[#This Row],[SC Basis]], "")</f>
        <v/>
      </c>
      <c r="FR201" s="27" t="str" cm="1">
        <f t="array" ref="FR201">IF(AND(ISNUMBER(SnapshotTable[[#This Row],[SC Term]]),ISNUMBER(SnapshotTable[[#This Row],[SC Simple ROO]])), EllmanAnnualize(SnapshotTable[[#This Row],[SC DTE]], SnapshotTable[[#This Row],[SC Simple ROO]] ),"")</f>
        <v/>
      </c>
      <c r="FS201" s="4">
        <f>IF(SnapshotTable[[#This Row],[SC Strike Price]] &gt; SnapshotTable[[#This Row],[Last Price]], SnapshotTable[[#This Row],[SC Strike Price]] - SnapshotTable[[#This Row],[Last Price]],0)</f>
        <v>0</v>
      </c>
      <c r="FT201" s="27" t="str">
        <f>IF(AND(ISNUMBER(SnapshotTable[[#This Row],[SC Upside Potential]]), SnapshotTable[[#This Row],[SC Upside Potential]] &gt; 0),(SnapshotTable[[#This Row],[SC Upside Potential]]/ SnapshotTable[[#This Row],[ACB]]),"")</f>
        <v/>
      </c>
      <c r="FU201" s="304" t="str">
        <f>IF(SnapshotTable[[#This Row],[SC Intrinsic Value]] &gt; 0,SnapshotTable[[#This Row],[SC Intrinsic Value]],"")</f>
        <v/>
      </c>
      <c r="FV201" s="27" t="str">
        <f>IF(AND( ISNUMBER( SnapshotTable[[#This Row],[ACB]]),ISNUMBER(SnapshotTable[[#This Row],[SC Downside Protect]])),SnapshotTable[[#This Row],[SC Downside Protect]] / SnapshotTable[[#This Row],[ACB]],"")</f>
        <v/>
      </c>
      <c r="FW201" s="221" t="str">
        <f>IF(AND(ISNUMBER(SnapshotTable[[#This Row],[SC Simple ROO]]),SnapshotTable[[#This Row],[SC Simple ROO]] &gt; 0), SnapshotTable[[#This Row],[SC Premium]] + (SnapshotTable[[#This Row],[SC Qty]] * SnapshotTable[[#This Row],[SC Upside Potential]]), "")</f>
        <v/>
      </c>
      <c r="FX201" s="280" t="str" cm="1">
        <f t="array" ref="FX201">IF(ISNUMBER(SnapshotTable[[#This Row],[SC Max Dollars]]), annualize(SnapshotTable[[#This Row],[SC Term]],(SnapshotTable[[#This Row],[SC Max Dollars]]/SnapshotTable[[#This Row],[SC Basis]])),"")</f>
        <v/>
      </c>
      <c r="FY201" s="221" t="str">
        <f>IF(AND(SnapshotTable[[#This Row],[SC Qty]]&gt;0,SnapshotTable[[#This Row],[SC Current Ask]]&gt;0), SnapshotTable[[#This Row],[SC Qty]] * SnapshotTable[[#This Row],[SC Current Ask]] * -100, "")</f>
        <v/>
      </c>
      <c r="FZ201" s="31" t="str">
        <f>IF(ISNUMBER((SnapshotTable[[#This Row],[SC Current Value]])), SnapshotTable[[#This Row],[SC Premium]] + SnapshotTable[[#This Row],[SC Current Value]], "")</f>
        <v/>
      </c>
      <c r="GA201" s="272" t="str">
        <f>IFERROR( IF(ISNUMBER((SnapshotTable[[#This Row],[SC Current Value]])), SnapshotTable[[#This Row],[SC Gain Loss]] / SnapshotTable[[#This Row],[SC Premium]], ""), "")</f>
        <v/>
      </c>
      <c r="GB201" s="42">
        <f>SnapshotTable[[#This Row],[Equity Shares]] * SaleSharesToConsiderPercentage</f>
        <v>0</v>
      </c>
      <c r="GC201" s="40">
        <f>SnapshotTable[[#This Row],[Long Term Target]] * SellingPriceToConsiderBasedOnTargetPercentage</f>
        <v>0</v>
      </c>
      <c r="GD201" s="40">
        <f>SnapshotTable[[#This Row],[Last Price]] * (1+ SellingPriceToConsiderBasedOnTargetPercentage)</f>
        <v>22.035</v>
      </c>
      <c r="GE201" s="41"/>
      <c r="GF201" s="40"/>
      <c r="GG201" s="31">
        <f>SnapshotTable[[#This Row],[Booked Sale Shares]] * SnapshotTable[[#This Row],[Booked Sale Price]]</f>
        <v>0</v>
      </c>
      <c r="GH201" s="31" t="str">
        <f>IF(SnapshotTable[[#This Row],[Equity Basis Total]] &gt; 0, SnapshotTable[[#This Row],[Equity Basis Per Share]] * SnapshotTable[[#This Row],[Booked Sale Shares]], "")</f>
        <v/>
      </c>
      <c r="GI201" s="31">
        <f>IF(SnapshotTable[[#This Row],[Sale Proceeds]]&gt;0, SnapshotTable[[#This Row],[Sale Proceeds]] - SnapshotTable[[#This Row],[Sale Basis]], 0)</f>
        <v>0</v>
      </c>
      <c r="GJ201" s="27" t="str">
        <f>IF(SnapshotTable[[#This Row],[Sale G/L]]&gt;0, SnapshotTable[[#This Row],[Sale G/L]] / SnapshotTable[[#This Row],[Sale Basis]], IF(ISNUMBER(SnapshotTable[[#This Row],[SC Exercise P&amp;L (TAX)]]), SnapshotTable[[#This Row],[SC Exercise P&amp;L (TAX)]] / SnapshotTable[[#This Row],[SC Basis]], ""))</f>
        <v/>
      </c>
      <c r="GK201" s="27"/>
      <c r="GL201" s="43" t="str">
        <f>IF(AND(SnapshotTable[[#This Row],[LP Exp Date]]&gt;0,SnapshotTable[[#This Row],[LP Strike Price]]&gt;0), [1]!ToOptionSymbol(SnapshotTable[[#This Row],[Symbol]], SnapshotTable[[#This Row],[LP Strike Price]],SnapshotTable[[#This Row],[LP Exp Date]],1), "")</f>
        <v/>
      </c>
      <c r="GM201" s="30" t="str">
        <f>IF(LEN(SnapshotTable[[#This Row],[LP Symbol]])&gt;0, 1, "")</f>
        <v/>
      </c>
      <c r="GN201" s="43" t="str">
        <f ca="1">IF(AND(SnapshotTable[[#This Row],[SP Exp Date]]&gt;0,SnapshotTable[[#This Row],[SP Strike Price]]&gt;0), [1]!ToOptionSymbol(SnapshotTable[[#This Row],[Symbol]], SnapshotTable[[#This Row],[SP Strike Price]],SnapshotTable[[#This Row],[SP Exp Date]],1), "")</f>
        <v>UUUU260821P00011000</v>
      </c>
      <c r="GO201" s="30">
        <f ca="1">IF(LEN(SnapshotTable[[#This Row],[SP Symbol]])&gt;0, 1, "")</f>
        <v>1</v>
      </c>
      <c r="GP201" s="43" t="str">
        <f>IF(AND(SnapshotTable[[#This Row],[LC Exp Date]]&gt;0,SnapshotTable[[#This Row],[LC Strike Price]]&gt;0), [1]!ToOptionSymbol(SnapshotTable[[#This Row],[Symbol]], SnapshotTable[[#This Row],[LC Strike Price]],SnapshotTable[[#This Row],[LC Exp Date]],0), "")</f>
        <v/>
      </c>
      <c r="GQ201" s="30" t="str">
        <f>IF(LEN(SnapshotTable[[#This Row],[LC Symbol]])&gt;0, 1, "")</f>
        <v/>
      </c>
      <c r="GR201" s="43" t="str">
        <f>IF(AND(SnapshotTable[[#This Row],[SC Exp Date]]&gt;0,SnapshotTable[[#This Row],[SC Strike Price]]&gt;0), [1]!ToOptionSymbol(SnapshotTable[[#This Row],[Symbol]], SnapshotTable[[#This Row],[SC Strike Price]],SnapshotTable[[#This Row],[SC Exp Date]],0), "")</f>
        <v/>
      </c>
      <c r="GS201" s="30" t="str">
        <f>IF(LEN(SnapshotTable[[#This Row],[SC Symbol]])&gt;0, 1, "")</f>
        <v/>
      </c>
      <c r="GT201" s="29" t="str">
        <f ca="1">IF(COUNT(SnapshotTable[[#This Row],[LP Symbol Count]],SnapshotTable[[#This Row],[SP Symbol Count]],SnapshotTable[[#This Row],[LC Symbol Count]],SnapshotTable[[#This Row],[SC Symbol Count]])&gt;0, "Y", "")</f>
        <v>Y</v>
      </c>
      <c r="GU201"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1" s="216">
        <f ca="1">MAX(SnapshotTable[[#This Row],[Equity Basis Total]],SnapshotTable[[#This Row],[Equity Value]]) + (SnapshotTable[[#This Row],[SP Potential Spend]]- SnapshotTable[[#This Row],[SP Premium]] + SnapshotTable[[#This Row],[LP Premium]])+ (SnapshotTable[[#This Row],[LC Premium]] - SnapshotTable[[#This Row],[SC Premium]])</f>
        <v>9930</v>
      </c>
      <c r="GW201" s="137">
        <f ca="1">IF(AND(SnapshotTable[[#This Row],[Exposure]] &lt;&gt; 0),SnapshotTable[[#This Row],[Exposure]] / SnapshotTable[[#Totals],[Exposure]], "")</f>
        <v>5.5135729396283195E-2</v>
      </c>
      <c r="GX201" s="5"/>
      <c r="HE201" s="253"/>
      <c r="HF201" s="253"/>
      <c r="HK201" s="1"/>
      <c r="HL201" s="1"/>
      <c r="HM201" s="1"/>
      <c r="HN201" s="1"/>
      <c r="HO201" s="1"/>
      <c r="HP201" s="1"/>
    </row>
    <row r="202" spans="2:224" ht="12.75" customHeight="1" x14ac:dyDescent="0.25">
      <c r="B202" s="12" t="s">
        <v>987</v>
      </c>
      <c r="C202" s="385">
        <v>11.3</v>
      </c>
      <c r="D202" s="200"/>
      <c r="E202" s="39">
        <f>SnapshotTable[[#This Row],[Last Price]]*(1 -CrashDiscount)</f>
        <v>9.6050000000000004</v>
      </c>
      <c r="F202" s="296" t="s">
        <v>812</v>
      </c>
      <c r="G202" s="296" t="s">
        <v>630</v>
      </c>
      <c r="H202" s="147"/>
      <c r="I202" s="186"/>
      <c r="J202" s="187"/>
      <c r="K202" s="188"/>
      <c r="L202" s="297"/>
      <c r="M202" s="138"/>
      <c r="N202" s="138"/>
      <c r="O202" s="138"/>
      <c r="P202" s="22"/>
      <c r="Q202" s="25"/>
      <c r="R202" s="4" t="str">
        <f>IF(SnapshotTable[[#This Row],[Equity Basis Total]] &gt; 0, SnapshotTable[[#This Row],[Equity Basis Total]] / SnapshotTable[[#This Row],[Equity Shares]], "")</f>
        <v/>
      </c>
      <c r="S202" s="254">
        <f>SnapshotTable[[#This Row],[Last Price]] * SnapshotTable[[#This Row],[Equity Shares]]</f>
        <v>0</v>
      </c>
      <c r="T202" s="254">
        <f>SnapshotTable[[#This Row],[Equity Value]] - SnapshotTable[[#This Row],[Equity Basis Total]]</f>
        <v>0</v>
      </c>
      <c r="U202" s="255" t="str">
        <f>IF(SnapshotTable[[#This Row],[Equity Basis Total]] &gt; 0, SnapshotTable[[#This Row],[Equity G/L]] / SnapshotTable[[#This Row],[Equity Basis Total]], "")</f>
        <v/>
      </c>
      <c r="V202" s="253"/>
      <c r="W202" s="253"/>
      <c r="X202" s="4" t="str">
        <f>IF(AND(ISNUMBER(SnapshotTable[[#This Row],[Equity Basis Per Share]]),ISNUMBER(SnapshotTable[[#This Row],[Equity Target]])),SnapshotTable[[#This Row],[Equity Target]]-SnapshotTable[[#This Row],[Equity Basis Per Share]],"")</f>
        <v/>
      </c>
      <c r="Y202" s="4" t="str">
        <f>IF(AND(ISNUMBER(SnapshotTable[[#This Row],[Equity Basis Per Share]]),ISNUMBER(SnapshotTable[[#This Row],[Equity Stop Loss]])),SnapshotTable[[#This Row],[Equity Stop Loss]]-SnapshotTable[[#This Row],[Equity Basis Per Share]],"")</f>
        <v/>
      </c>
      <c r="Z202" s="260" t="str">
        <f>IFERROR( TEXT(SnapshotTable[[#This Row],[Equity Max Gain Per Share]] /ABS( SnapshotTable[[#This Row],[Equity Max Loss Per Share]]),"0.0 " ) &amp; " : 1", "")</f>
        <v/>
      </c>
      <c r="AA202" s="31" t="str">
        <f>IF(ISNUMBER(SnapshotTable[[#This Row],[Equity Max Gain Per Share]]),SnapshotTable[[#This Row],[Equity Max Gain Per Share]] * SnapshotTable[[#This Row],[Equity Shares]],"")</f>
        <v/>
      </c>
      <c r="AB202" s="31" t="str">
        <f>IF(ISNUMBER(SnapshotTable[[#This Row],[Equity Max Loss Per Share]]),SnapshotTable[[#This Row],[Equity Max Loss Per Share]] * SnapshotTable[[#This Row],[Equity Shares]],"")</f>
        <v/>
      </c>
      <c r="AC202" s="148"/>
      <c r="AD202" s="149"/>
      <c r="AE202" s="31">
        <f>(SnapshotTable[[#This Row],[Annual Dividend Per Share]] / 4) * SnapshotTable[[#This Row],[Equity Shares]]</f>
        <v>0</v>
      </c>
      <c r="AF202" s="31">
        <f>SnapshotTable[[#This Row],[Quarterly Div $]] * 4</f>
        <v>0</v>
      </c>
      <c r="AG202" s="7">
        <f>IF(SnapshotTable[[#This Row],[Annual Dividend Per Share]]&gt;0, SnapshotTable[[#This Row],[Annual Dividend Per Share]]  / SnapshotTable[[#This Row],[Last Price]], 0)</f>
        <v>0</v>
      </c>
      <c r="AH202" s="149"/>
      <c r="AI202" s="5"/>
      <c r="AJ202" s="136"/>
      <c r="AK202" s="150" t="str">
        <f>IF(ISNUMBER( SnapshotTable[[#This Row],[EBF Target]]),(SnapshotTable[[#This Row],[EBF Target]] - SnapshotTable[[#This Row],[Last Price]]) / SnapshotTable[[#This Row],[Last Price]], "")</f>
        <v/>
      </c>
      <c r="AL202" s="150" t="str">
        <f>IF(AND(SnapshotTable[[#This Row],[Equity Basis Total]] &gt; 0,ISNUMBER( SnapshotTable[[#This Row],[Long Term Target]])), SnapshotTable[[#This Row],[From Basis $]] / SnapshotTable[[#This Row],[Equity Basis Total]], "")</f>
        <v/>
      </c>
      <c r="AM202" s="9">
        <f>IF( AND(SnapshotTable[[#This Row],[Equity Shares]] &gt;0,ISNUMBER( SnapshotTable[[#This Row],[Long Term Target]])),(SnapshotTable[[#This Row],[Equity Shares]] * SnapshotTable[[#This Row],[Long Term Target]]) - SnapshotTable[[#This Row],[Equity Basis Total]],0)</f>
        <v>0</v>
      </c>
      <c r="AN202" s="9">
        <f>IF( AND(SnapshotTable[[#This Row],[Equity Shares]] &gt;0,ISNUMBER( SnapshotTable[[#This Row],[Long Term Target]])),(SnapshotTable[[#This Row],[Equity Shares]]*SnapshotTable[[#This Row],[Long Term Target]]) - SnapshotTable[[#This Row],[Equity Value]],0)</f>
        <v>0</v>
      </c>
      <c r="AO202" s="150" t="str">
        <f>IF(AND(ISNUMBER( SnapshotTable[[#This Row],[Long Term Target]]), ISNUMBER(SnapshotTable[[#This Row],[Last Price]])),(SnapshotTable[[#This Row],[Long Term Target]] - SnapshotTable[[#This Row],[Last Price]]) / SnapshotTable[[#This Row],[Last Price]], "")</f>
        <v/>
      </c>
      <c r="AP202" s="5"/>
      <c r="AQ202" s="38"/>
      <c r="AR202" s="5"/>
      <c r="AS202" s="38"/>
      <c r="AT202" s="144"/>
      <c r="AU202" s="185" t="str">
        <f ca="1">IF(OR(SnapshotTable[[#This Row],[LP No Fill]]="Y",SnapshotTable[[#This Row],[SP Is Filled]],SnapshotTable[[#This Row],[LC Not Filled]]="Y",SnapshotTable[[#This Row],[SC Is Filled]]),"Y","")</f>
        <v>Y</v>
      </c>
      <c r="AV202" s="205"/>
      <c r="AW202" s="211"/>
      <c r="AX202" s="206"/>
      <c r="AY202" s="205" t="str">
        <f>IF(SnapshotTable[[#This Row],[Implied Move]]&gt;0, SnapshotTable[[#This Row],[Last Price]]-SnapshotTable[[#This Row],[Implied Move]],"")</f>
        <v/>
      </c>
      <c r="AZ202" s="205" t="str">
        <f>IF(SnapshotTable[[#This Row],[Implied Move]]&gt;0, SnapshotTable[[#This Row],[Last Price]] + SnapshotTable[[#This Row],[Implied Move]],"")</f>
        <v/>
      </c>
      <c r="BA202" s="302">
        <v>14.95</v>
      </c>
      <c r="BB202" s="318"/>
      <c r="BC202"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202" s="321"/>
      <c r="BE202" s="5"/>
      <c r="BF202" s="14"/>
      <c r="BG202" s="13"/>
      <c r="BH202" s="13"/>
      <c r="BI202" s="5"/>
      <c r="BJ202" s="134">
        <f>IF(SnapshotTable[[#This Row],[LP Qty]] &gt; 0, SnapshotTable[[#This Row],[LP Qty]] * SnapshotTable[[#This Row],[LP Book Price]] * 100,0)</f>
        <v>0</v>
      </c>
      <c r="BK202" s="134">
        <f>IF(SnapshotTable[[#This Row],[LP Premium]] &gt; 0, SnapshotTable[[#This Row],[LP Qty]] * SnapshotTable[[#This Row],[LP Strike Price]] * 100,0)</f>
        <v>0</v>
      </c>
      <c r="BL202" s="152"/>
      <c r="BM202" s="355" t="str">
        <f>IF(SnapshotTable[[#This Row],[LP Premium]] &gt; 0,SnapshotTable[[#This Row],[LP Exp Date]]-MAX(SnapshotTable[[#This Row],[LP Book Date]], SnapshotTable[[#This Row],[LP Fill Date]]),"")</f>
        <v/>
      </c>
      <c r="BN202" s="355" t="str">
        <f>IF(ISNUMBER( SnapshotTable[[#This Row],[LP Term]]), SnapshotTable[[#This Row],[LP Exp Date]] - MockToday,"")</f>
        <v/>
      </c>
      <c r="BO202" s="161" t="str">
        <f>IF(AND(SnapshotTable[[#This Row],[LP Exp Date]]&gt;0, SnapshotTable[[#This Row],[LP Strike Price]]&gt;0,SnapshotTable[[#This Row],[LP Qty]]&gt;0,SnapshotTable[[#This Row],[LP Book Date]]&gt;0,SnapshotTable[[#This Row],[LP Book Price]]&gt;0,SnapshotTable[[#This Row],[LP Fill Date]]=0),"Y","")</f>
        <v/>
      </c>
      <c r="BP202" s="31" t="str">
        <f>IF(AND(SnapshotTable[[#This Row],[LP No Fill]]&lt;&gt;"Y",SnapshotTable[[#This Row],[LP Contract Value]]&gt;0, SnapshotTable[[#This Row],[LP Qty]]&gt;0), SnapshotTable[[#This Row],[LP Contract Value]]*SnapshotTable[[#This Row],[LP Qty]]*100,"")</f>
        <v/>
      </c>
      <c r="BQ202" s="13">
        <f ca="1">NextMonthlyOpex</f>
        <v>46255</v>
      </c>
      <c r="BR202" s="5">
        <v>10</v>
      </c>
      <c r="BS202" s="36">
        <v>10</v>
      </c>
      <c r="BT202" s="145">
        <f ca="1">WORKDAY(MockToday, 0)</f>
        <v>46229</v>
      </c>
      <c r="BU202" s="13">
        <f ca="1">WORKDAY(MockToday, 0)</f>
        <v>46229</v>
      </c>
      <c r="BV202" s="5">
        <v>1.1399999999999999</v>
      </c>
      <c r="BW202" s="382" t="b">
        <f ca="1">AND(ISNUMBER(SnapshotTable[[#This Row],[SP Exp Date]]), ISNUMBER(SnapshotTable[[#This Row],[SP Strike Price]]), ISNUMBER(SnapshotTable[[#This Row],[SP Qty]]), ISNUMBER(SnapshotTable[[#This Row],[SP Book Date]]), ISNUMBER(SnapshotTable[[#This Row],[SP Book Price]]))</f>
        <v>1</v>
      </c>
      <c r="BX202" s="382" t="b">
        <f ca="1">AND(SnapshotTable[[#This Row],[SP Is Booked]], NOT(ISBLANK(SnapshotTable[[#This Row],[SP Fill Date]])))</f>
        <v>1</v>
      </c>
      <c r="BY202" s="33">
        <f ca="1">IF(SnapshotTable[[#This Row],[SP Is Booked]], SnapshotTable[[#This Row],[SP Qty]] * SnapshotTable[[#This Row],[SP Book Price]] * 100, 0)</f>
        <v>1139.9999999999998</v>
      </c>
      <c r="BZ202" s="339">
        <v>0.25</v>
      </c>
      <c r="CA202" s="338">
        <f>SnapshotTable[[#This Row],[LP Qty]]</f>
        <v>0</v>
      </c>
      <c r="CB202" s="4">
        <f ca="1">IF(SnapshotTable[[#This Row],[SP Is Booked]], SnapshotTable[[#This Row],[SP Strike Price]] - SnapshotTable[[#This Row],[SP Book Price]], "")</f>
        <v>8.86</v>
      </c>
      <c r="CC202" s="19">
        <f ca="1">IF(SnapshotTable[[#This Row],[SP Is Booked]],SnapshotTable[[#This Row],[SP Exp Date]]-MAX(SnapshotTable[[#This Row],[SP Book Date]], SnapshotTable[[#This Row],[SP Fill Date]]),"")</f>
        <v>26</v>
      </c>
      <c r="CD202" s="7">
        <f ca="1">IF(SnapshotTable[[#This Row],[SP Is Booked]], SnapshotTable[[#This Row],[SP Book Price]]/SnapshotTable[[#This Row],[SP Strike Price]], "")</f>
        <v>0.11399999999999999</v>
      </c>
      <c r="CE202" s="7">
        <f ca="1">IF(ISNUMBER(SnapshotTable[[#This Row],[SP ROO Term]]),SnapshotTable[[#This Row],[SP ROO Term]]*(365/SnapshotTable[[#This Row],[SP Term]]),"")</f>
        <v>1.6003846153846153</v>
      </c>
      <c r="CF202" s="221">
        <f>SnapshotTable[[#This Row],[LP Strike Price]] * SnapshotTable[[#This Row],[LP Qty]] * 100</f>
        <v>0</v>
      </c>
      <c r="CG202" s="31">
        <f ca="1">IF(ISNUMBER(SnapshotTable[[#This Row],[SP Premium]]), (SnapshotTable[[#This Row],[SP Qty]] * SnapshotTable[[#This Row],[SP Strike Price]]* 100) - SnapshotTable[[#This Row],[LP Protection]], 0)</f>
        <v>10000</v>
      </c>
      <c r="CH202" s="7">
        <f ca="1">IF(ISNUMBER(SnapshotTable[[#This Row],[SP Break Even]]),-1 * (SnapshotTable[[#This Row],[SP Break Even]] - SnapshotTable[[#This Row],[Last Price]]) / SnapshotTable[[#This Row],[Last Price]], "")</f>
        <v>0.21592920353982312</v>
      </c>
      <c r="CI202" s="31">
        <f ca="1">IF(AND(ISNUMBER((SnapshotTable[[#This Row],[SP Potential Spend]])), SnapshotTable[[#This Row],[SP Strike Price]] &gt; SnapshotTable[[#This Row],[Last Price]], SnapshotTable[[#This Row],[SP Is Filled]]), SnapshotTable[[#This Row],[SP Potential Spend]] -  SnapshotTable[[#This Row],[LP Max Value]], 0)</f>
        <v>0</v>
      </c>
      <c r="CJ202" s="229"/>
      <c r="CK202" s="31">
        <f ca="1">IF(ISNUMBER(SnapshotTable[[#This Row],[SP Potential Spend]]),IF(ISNUMBER(SnapshotTable[[#This Row],[SP POW]]), SnapshotTable[[#This Row],[SP POW]] * SnapshotTable[[#This Row],[SP Potential Spend]], SnapshotTable[[#This Row],[SP Potential Spend]]), "")</f>
        <v>10000</v>
      </c>
      <c r="CL202" s="162" t="str">
        <f ca="1">IF(NOT(SnapshotTable[[#This Row],[SP Is Filled]]),(SnapshotTable[[#This Row],[SP Qty]] * SnapshotTable[[#This Row],[SP Strike Price]] * 100) - SnapshotTable[[#This Row],[LP Max Value]],"")</f>
        <v/>
      </c>
      <c r="CM202" s="31" t="str">
        <f ca="1">IF(SnapshotTable[[#This Row],[SP Actual Spend]]&lt;&gt;0, ((SnapshotTable[[#This Row],[SP Strike Price]]-SnapshotTable[[#This Row],[Last Price]]) *(SnapshotTable[[#This Row],[SP Qty]]*100) - SnapshotTable[[#This Row],[SP Premium]]) * - 1, "")</f>
        <v/>
      </c>
      <c r="CN202" s="76">
        <v>0.47</v>
      </c>
      <c r="CO202" s="339">
        <v>0.27</v>
      </c>
      <c r="CP202" s="4" t="e">
        <f ca="1">IF(SnapshotTable[[#This Row],[SP Is Filled]], btc_max_buyback_amount(SnapshotTable[[#This Row],[SP Fill Date]],SnapshotTable[[#This Row],[SP Exp Date]], SnapshotTable[[#This Row],[SP Book Price]]),"")</f>
        <v>#NAME?</v>
      </c>
      <c r="CQ202" s="76"/>
      <c r="CR202" s="4" t="e">
        <f ca="1">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#NAME?</v>
      </c>
      <c r="CS202" s="153" t="e">
        <f ca="1">IF(SnapshotTable[[#This Row],[SP Is Filled]], btc_next_cutoff_date(SnapshotTable[[#This Row],[SP Fill Date]],SnapshotTable[[#This Row],[SP Exp Date]]),"")</f>
        <v>#NAME?</v>
      </c>
      <c r="CT202" s="220" t="e" cm="1">
        <f t="array" aca="1" ref="CT202" ca="1">IF(SnapshotTable[[#This Row],[SP Is Filled]], btc_should_buy_back(SnapshotTable[[#This Row],[SP Fill Date]], SnapshotTable[[#This Row],[SP Exp Date]], SnapshotTable[[#This Row],[SP Book Price]], SnapshotTable[[#This Row],[SP Current Ask]], MockToday, SnapshotTable[[#This Row],[SP Buyback Override]]),"")</f>
        <v>#NAME?</v>
      </c>
      <c r="CU202" s="141">
        <v>46220</v>
      </c>
      <c r="CV202" s="220"/>
      <c r="CW202" s="348">
        <f ca="1">IF(ISNUMBER( SnapshotTable[[#This Row],[SP Term]]), SnapshotTable[[#This Row],[SP Exp Date]] - MockToday,"")</f>
        <v>26</v>
      </c>
      <c r="CX202" s="31" t="e">
        <f ca="1">IF(SnapshotTable[[#This Row],[SP Is Filled]],SnapshotTable[[#This Row],[SP Buyback Price to Use]] * 100 * SnapshotTable[[#This Row],[SP Qty]], "")</f>
        <v>#NAME?</v>
      </c>
      <c r="CY202" s="4">
        <f>IF(ISNUMBER(SnapshotTable[[#This Row],[SP Strike Price]]), SnapshotTable[[#This Row],[SP Strike Price]] * (1 - SP_MaxLoss_StrikePct), "")</f>
        <v>9.6999999999999993</v>
      </c>
      <c r="CZ202" s="31">
        <f ca="1">IF(ISNUMBER(SnapshotTable[[#This Row],[SP Strike  Stop Per Share]]),SnapshotTable[[#This Row],[SP Premium]] - ((SnapshotTable[[#This Row],[SP Strike Price]]-SnapshotTable[[#This Row],[SP Strike  Stop Per Share]]) *(SnapshotTable[[#This Row],[SP Qty]] * 100)),"")</f>
        <v>839.99999999999909</v>
      </c>
      <c r="DA202" s="4">
        <f ca="1">IF(AND(ISNUMBER(SnapshotTable[[#This Row],[SP Premium]]),SnapshotTable[[#This Row],[SP Premium]]&gt;0), SnapshotTable[[#This Row],[SP Book Price]] * (1 + SP_MaxLoss_OptionPct), "")</f>
        <v>1.71</v>
      </c>
      <c r="DB202" s="31">
        <f ca="1">IF(ISNUMBER(SnapshotTable[[#This Row],[SP Option  Stop Contract]]),(SnapshotTable[[#This Row],[SP Option  Stop Contract]] *(SnapshotTable[[#This Row],[SP Qty]] * 100) - SnapshotTable[[#This Row],[SP Premium]]),"")</f>
        <v>570.00000000000023</v>
      </c>
      <c r="DC202" s="4"/>
      <c r="DD202" s="4"/>
      <c r="DE202" s="4" t="str">
        <f>IF(AND(SnapshotTable[[#This Row],[SP Qty]]&gt;0, SnapshotTable[[#This Row],[SP Stop To Use]]&gt;0),SnapshotTable[[#This Row],[SP Premium]] - ( SnapshotTable[[#This Row],[SP Qty]] * SnapshotTable[[#This Row],[SP Stop To Use]] * 100), "")</f>
        <v/>
      </c>
      <c r="DF202" s="31">
        <f>IF(AND(SnapshotTable[[#This Row],[SP Qty]]&gt;0,SnapshotTable[[#This Row],[SP Current Ask]]&gt;0), SnapshotTable[[#This Row],[SP Qty]] * SnapshotTable[[#This Row],[SP Current Ask]] * -100, "")</f>
        <v>-469.99999999999994</v>
      </c>
      <c r="DG202" s="31">
        <f ca="1">IF(ISNUMBER((SnapshotTable[[#This Row],[SP Total Value]])), SnapshotTable[[#This Row],[SP Premium]] + SnapshotTable[[#This Row],[SP Total Value]], "")</f>
        <v>669.99999999999977</v>
      </c>
      <c r="DH202" s="272">
        <f ca="1">IF(ISNUMBER((SnapshotTable[[#This Row],[SP Total Value]])), SnapshotTable[[#This Row],[SP Gain Loss]] / SnapshotTable[[#This Row],[SP Premium]], "")</f>
        <v>0.58771929824561397</v>
      </c>
      <c r="DI202" s="369"/>
      <c r="DJ202" s="136"/>
      <c r="DK202" s="146"/>
      <c r="DL202" s="145"/>
      <c r="DM202" s="13"/>
      <c r="DO202" s="31">
        <f>IF(SnapshotTable[[#This Row],[LC Symbol Count]]=1, SnapshotTable[[#This Row],[LC Qty]] * SnapshotTable[[#This Row],[LC Book Price]] * 100, 0)</f>
        <v>0</v>
      </c>
      <c r="DP202" s="161" t="str">
        <f>IF(AND(SnapshotTable[[#This Row],[LC Exp Date]]&gt;0, SnapshotTable[[#This Row],[LC Strike Price]]&gt;0,SnapshotTable[[#This Row],[LC Qty]]&gt;0,SnapshotTable[[#This Row],[LC Book Date]]&gt;0,SnapshotTable[[#This Row],[LC Book Price]]&gt;0,SnapshotTable[[#This Row],[LC Fill Date]]=0),"Y","")</f>
        <v/>
      </c>
      <c r="DQ202" s="356" t="str">
        <f>IF(SnapshotTable[[#This Row],[LC Premium]] &gt; 0,SnapshotTable[[#This Row],[LC Exp Date]]-MAX(SnapshotTable[[#This Row],[LC Book Date]], SnapshotTable[[#This Row],[LC Fill Date]]),"")</f>
        <v/>
      </c>
      <c r="DR202" s="356" t="str">
        <f>IF(ISNUMBER(SnapshotTable[[#This Row],[LC Term]]), SnapshotTable[[#This Row],[LC Exp Date]] - MockToday, "")</f>
        <v/>
      </c>
      <c r="DS202" s="219" t="str">
        <f>IF(SnapshotTable[[#This Row],[LC Premium]]&gt;0,SnapshotTable[[#This Row],[LC Strike Price]] + SnapshotTable[[#This Row],[LC Book Price]],"")</f>
        <v/>
      </c>
      <c r="DU202" s="9" t="str">
        <f>IF(AND(SnapshotTable[[#This Row],[LC Symbol Count]]&gt;0, SnapshotTable[[#This Row],[LC Contract Value]]&gt;0), SnapshotTable[[#This Row],[LC Contract Value]] * SnapshotTable[[#This Row],[LC Qty]] * 100, "")</f>
        <v/>
      </c>
      <c r="DV202" s="9" t="str">
        <f>IF(AND(ISNUMBER(SnapshotTable[[#This Row],[LC Total Value]]), SnapshotTable[[#This Row],[LC Not Filled]]&lt;&gt;"Y"), SnapshotTable[[#This Row],[LC Total Value]]-SnapshotTable[[#This Row],[LC Premium]],"")</f>
        <v/>
      </c>
      <c r="DW202" s="225" t="str">
        <f>IF(ISNUMBER(SnapshotTable[[#This Row],[LC Actual Gain Loss]]), SnapshotTable[[#This Row],[LC Actual Gain Loss]] / SnapshotTable[[#This Row],[LC Premium]],"")</f>
        <v/>
      </c>
      <c r="DX202" s="269" t="str">
        <f>IF(ISNUMBER(SnapshotTable[[#This Row],[LC Book Price]]),SnapshotTable[[#This Row],[LC Book Price]] * 1.5,"")</f>
        <v/>
      </c>
      <c r="DY202" s="250" t="str">
        <f>IF(SnapshotTable[[#This Row],[LC Premium]]&gt;0, SnapshotTable[[#This Row],[LC Next Target]] * SnapshotTable[[#This Row],[LC Qty]] * 100,"")</f>
        <v/>
      </c>
      <c r="DZ202" s="250" t="str">
        <f>IF(ISNUMBER(SnapshotTable[[#This Row],[LC Target Gross]]), SnapshotTable[[#This Row],[LC Target Gross]] - SnapshotTable[[#This Row],[LC Premium]], "")</f>
        <v/>
      </c>
      <c r="EA202" s="283" t="str">
        <f>IF(ISNUMBER(SnapshotTable[[#This Row],[LC Target Gain Loss]]), SnapshotTable[[#This Row],[LC Target Gain Loss]]/SnapshotTable[[#This Row],[LC Premium]], "")</f>
        <v/>
      </c>
      <c r="EB202" s="247"/>
      <c r="EC202" s="268" t="str">
        <f>IF(SnapshotTable[[#This Row],[LC Premium]]&gt;0, SnapshotTable[[#This Row],[LC Book Price]] * (1 - LC_StopLoss_Pct),"")</f>
        <v/>
      </c>
      <c r="ED202" s="269"/>
      <c r="EE202" s="268" t="str">
        <f>IF(ISNUMBER(SnapshotTable[[#This Row],[LC Contract Value]]),IF(ISNUMBER(SnapshotTable[[#This Row],[LC Stop Loss Override]]), SnapshotTable[[#This Row],[LC Stop Loss Override]],SnapshotTable[[#This Row],[LC Stop Loss Calc Target]]),"")</f>
        <v/>
      </c>
      <c r="EF202" s="31" t="str">
        <f>IF(ISNUMBER(SnapshotTable[[#This Row],[LC Stop  To Use]]), (SnapshotTable[[#This Row],[LC Stop  To Use]] * SnapshotTable[[#This Row],[LC Qty]] * 100),"")</f>
        <v/>
      </c>
      <c r="EG202" s="9" t="str">
        <f>IF(ISNUMBER(SnapshotTable[[#This Row],[LC Total Value]]),SnapshotTable[[#This Row],[LC Stop Loss Amount]] - SnapshotTable[[#This Row],[LC Premium]],"")</f>
        <v/>
      </c>
      <c r="EH202" s="9">
        <f>IF(ISNUMBER(SnapshotTable[[#This Row],[LC Premium]]), SnapshotTable[[#This Row],[LC Qty]] * 100 * SnapshotTable[[#This Row],[LC Strike Price]], "")</f>
        <v>0</v>
      </c>
      <c r="EI202" s="225" t="str">
        <f>IF(AND(ISNUMBER(SnapshotTable[[#This Row],[LC Total Value]]),SnapshotTable[[#This Row],[LC Total Value]]&gt;0),SnapshotTable[[#This Row],[LC Stop Gain Loss]]  / SnapshotTable[[#This Row],[LC Premium]],"")</f>
        <v/>
      </c>
      <c r="EJ202" s="35">
        <f>IF(ISNUMBER(SnapshotTable[[#This Row],[Equity Shares]]),TRUNC(SnapshotTable[[#This Row],[Equity Shares]] / 100),0) + SnapshotTable[[#This Row],[LC Qty]]</f>
        <v>0</v>
      </c>
      <c r="EK202" s="145"/>
      <c r="EL202" s="136"/>
      <c r="EM202" s="146"/>
      <c r="EN202" s="145"/>
      <c r="EO202" s="145"/>
      <c r="EP202" s="136"/>
      <c r="EQ202" s="382" t="b">
        <f>AND(ISNUMBER(SnapshotTable[[#This Row],[SC Exp Date]]), ISNUMBER(SnapshotTable[[#This Row],[SC Strike Price]]), ISNUMBER(SnapshotTable[[#This Row],[SC Qty]]), ISNUMBER(SnapshotTable[[#This Row],[SC Book Date]]), ISNUMBER(SnapshotTable[[#This Row],[SC Book Price]]))</f>
        <v>0</v>
      </c>
      <c r="ER202" s="382" t="b">
        <f>AND(SnapshotTable[[#This Row],[SC Is Booked]], NOT(ISBLANK(SnapshotTable[[#This Row],[SC Fill Date]])))</f>
        <v>0</v>
      </c>
      <c r="ES202" s="340"/>
      <c r="ET202" s="34" t="str">
        <f>IF(AND(ISNUMBER(SnapshotTable[[#This Row],[SC Exp Date]]), ISNUMBER(SnapshotTable[[#This Row],[SC Book Date]])), SnapshotTable[[#This Row],[SC Exp Date]] - MAX(SnapshotTable[[#This Row],[SC Book Date]], SnapshotTable[[#This Row],[SC Fill Date]]) + 1, "")</f>
        <v/>
      </c>
      <c r="EU202" s="34" t="str">
        <f>IF(ISNUMBER(SnapshotTable[[#This Row],[SC Term]]), SnapshotTable[[#This Row],[SC Exp Date]]- MockToday, "")</f>
        <v/>
      </c>
      <c r="EV202" s="31">
        <f>IF(SnapshotTable[[#This Row],[SC Is Booked]], SnapshotTable[[#This Row],[SC Qty]] * SnapshotTable[[#This Row],[SC Book Price]] * 100, 0)</f>
        <v>0</v>
      </c>
      <c r="EW202" s="4" t="str">
        <f>IF(AND(ISNUMBER(SnapshotTable[[#This Row],[Last Price]]), ISNUMBER( SnapshotTable[[#This Row],[SC Book Price]])), SnapshotTable[[#This Row],[Last Price]] - SnapshotTable[[#This Row],[SC Book Price]],"")</f>
        <v/>
      </c>
      <c r="EX202" s="219" t="str">
        <f>IF(SnapshotTable[[#This Row],[SC Is Booked]],IF(SnapshotTable[[#This Row],[SC Intrinsic Value]] &gt; 0, SnapshotTable[[#This Row],[SC Strike Price]], SnapshotTable[[#This Row],[Last Price]]), "")</f>
        <v/>
      </c>
      <c r="EY202" s="4">
        <f>IF(SnapshotTable[[#This Row],[SC Is Booked]], (MinimumPremiumRequired * SnapshotTable[[#This Row],[SC Basis]] * SnapshotTable[[#This Row],[SC Term]]), 0)</f>
        <v>0</v>
      </c>
      <c r="EZ202" s="268"/>
      <c r="FA202" s="204"/>
      <c r="FB202" s="340"/>
      <c r="FC202" s="4">
        <f>IF(SnapshotTable[[#This Row],[SC Is Filled]], btc_max_buyback_amount(SnapshotTable[[#This Row],[SC Fill Date]],SnapshotTable[[#This Row],[SC Exp Date]], SnapshotTable[[#This Row],[SC Book Price]]),0)</f>
        <v>0</v>
      </c>
      <c r="FD202" s="5"/>
      <c r="FE202" s="142" t="str">
        <f>IF(SnapshotTable[[#This Row],[SC Is Filled]], btc_next_cutoff_date(SnapshotTable[[#This Row],[SC Fill Date]],SnapshotTable[[#This Row],[SC Exp Date]]),"")</f>
        <v/>
      </c>
      <c r="FF202" s="4" t="str" cm="1">
        <f t="array" ref="FF202">IF(SnapshotTable[[#This Row],[SC Is Filled]], btc_should_buy_back(SnapshotTable[[#This Row],[SC Fill Date]], SnapshotTable[[#This Row],[SC Exp Date]], SnapshotTable[[#This Row],[SC Book Price]], SnapshotTable[[#This Row],[SC Current Ask]], MockToday, SnapshotTable[[#This Row],[SC Buyback Override]]),"")</f>
        <v/>
      </c>
      <c r="FG202" s="4">
        <f>IF(SnapshotTable[[#This Row],[SC Is Filled]], MAX(0,SnapshotTable[[#This Row],[Last Price]]  - SnapshotTable[[#This Row],[SC Strike Price]]), 0)</f>
        <v>0</v>
      </c>
      <c r="FH202" s="352">
        <f>IF(SnapshotTable[[#This Row],[SC Is Filled]], IF(ISNUMBER(SnapshotTable[[#This Row],[SC Current Ask]]), SnapshotTable[[#This Row],[SC Current Ask]], SnapshotTable[[#This Row],[SC Book Price]]) - SnapshotTable[[#This Row],[SC Intrinsic Value]], 0)</f>
        <v>0</v>
      </c>
      <c r="FI202" s="141"/>
      <c r="FJ202" s="32" t="str">
        <f>IF(SnapshotTable[[#This Row],[SC Is Filled]],100 * SnapshotTable[[#This Row],[SC Qty]] * IF(ISNUMBER(SnapshotTable[[#This Row],[SC Buyback Override]]), SnapshotTable[[#This Row],[SC Buyback Override]], SnapshotTable[[#This Row],[SC Current Ask]]), "")</f>
        <v/>
      </c>
      <c r="FK202" s="235" t="str">
        <f>IF(SnapshotTable[[#This Row],[SC Time Val]]&gt;0, SnapshotTable[[#This Row],[SC Time Val]] / SnapshotTable[[#This Row],[Last Price]],"")</f>
        <v/>
      </c>
      <c r="FL202" s="280" t="str">
        <f>IF(SnapshotTable[[#This Row],[SC Is Booked]], ((SnapshotTable[[#This Row],[Last Price]] -SnapshotTable[[#This Row],[SC Strike Price]]) / SnapshotTable[[#This Row],[Last Price]]) * -1, "")</f>
        <v/>
      </c>
      <c r="FM202" s="155" t="str">
        <f>IF(SnapshotTable[[#This Row],[SC Is Booked]],  (SnapshotTable[[#This Row],[SC Qty]] * 100 * SnapshotTable[[#This Row],[SC Strike Price]]) - SnapshotTable[[#This Row],[SC Current Ask]], "")</f>
        <v/>
      </c>
      <c r="FN20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2" s="31" t="str">
        <f>IF(AND(ISNUMBER(SnapshotTable[[#This Row],[SC Exercise Gross]]), ISNUMBER(SnapshotTable[[#This Row],[Equity Basis Per Share]] )), SnapshotTable[[#This Row],[SC Exercise Gross]] - SnapshotTable[[#This Row],[Equity Basis Total]] +  SnapshotTable[[#This Row],[SC Premium]], "")</f>
        <v/>
      </c>
      <c r="FP202" s="5" t="str">
        <f>IF(ISNUMBER(SnapshotTable[[#This Row],[SC Exercise Gross]]), (SnapshotTable[[#This Row],[SC Exercise Gross]]) / (SnapshotTable[[#This Row],[SC Qty]] * 100), "")</f>
        <v/>
      </c>
      <c r="FQ202" s="27" t="str">
        <f>IF(SnapshotTable[[#This Row],[SC Is Booked]],SnapshotTable[[#This Row],[SC Time Val]] /SnapshotTable[[#This Row],[SC Basis]], "")</f>
        <v/>
      </c>
      <c r="FR202" s="27" t="str" cm="1">
        <f t="array" ref="FR202">IF(AND(ISNUMBER(SnapshotTable[[#This Row],[SC Term]]),ISNUMBER(SnapshotTable[[#This Row],[SC Simple ROO]])), EllmanAnnualize(SnapshotTable[[#This Row],[SC DTE]], SnapshotTable[[#This Row],[SC Simple ROO]] ),"")</f>
        <v/>
      </c>
      <c r="FS202" s="4">
        <f>IF(SnapshotTable[[#This Row],[SC Strike Price]] &gt; SnapshotTable[[#This Row],[Last Price]], SnapshotTable[[#This Row],[SC Strike Price]] - SnapshotTable[[#This Row],[Last Price]],0)</f>
        <v>0</v>
      </c>
      <c r="FT202" s="27" t="str">
        <f>IF(AND(ISNUMBER(SnapshotTable[[#This Row],[SC Upside Potential]]), SnapshotTable[[#This Row],[SC Upside Potential]] &gt; 0),(SnapshotTable[[#This Row],[SC Upside Potential]]/ SnapshotTable[[#This Row],[ACB]]),"")</f>
        <v/>
      </c>
      <c r="FU202" s="304" t="str">
        <f>IF(SnapshotTable[[#This Row],[SC Intrinsic Value]] &gt; 0,SnapshotTable[[#This Row],[SC Intrinsic Value]],"")</f>
        <v/>
      </c>
      <c r="FV202" s="27" t="str">
        <f>IF(AND( ISNUMBER( SnapshotTable[[#This Row],[ACB]]),ISNUMBER(SnapshotTable[[#This Row],[SC Downside Protect]])),SnapshotTable[[#This Row],[SC Downside Protect]] / SnapshotTable[[#This Row],[ACB]],"")</f>
        <v/>
      </c>
      <c r="FW202" s="221" t="str">
        <f>IF(AND(ISNUMBER(SnapshotTable[[#This Row],[SC Simple ROO]]),SnapshotTable[[#This Row],[SC Simple ROO]] &gt; 0), SnapshotTable[[#This Row],[SC Premium]] + (SnapshotTable[[#This Row],[SC Qty]] * SnapshotTable[[#This Row],[SC Upside Potential]]), "")</f>
        <v/>
      </c>
      <c r="FX202" s="280" t="str" cm="1">
        <f t="array" ref="FX202">IF(ISNUMBER(SnapshotTable[[#This Row],[SC Max Dollars]]), annualize(SnapshotTable[[#This Row],[SC Term]],(SnapshotTable[[#This Row],[SC Max Dollars]]/SnapshotTable[[#This Row],[SC Basis]])),"")</f>
        <v/>
      </c>
      <c r="FY202" s="221" t="str">
        <f>IF(AND(SnapshotTable[[#This Row],[SC Qty]]&gt;0,SnapshotTable[[#This Row],[SC Current Ask]]&gt;0), SnapshotTable[[#This Row],[SC Qty]] * SnapshotTable[[#This Row],[SC Current Ask]] * -100, "")</f>
        <v/>
      </c>
      <c r="FZ202" s="31" t="str">
        <f>IF(ISNUMBER((SnapshotTable[[#This Row],[SC Current Value]])), SnapshotTable[[#This Row],[SC Premium]] + SnapshotTable[[#This Row],[SC Current Value]], "")</f>
        <v/>
      </c>
      <c r="GA202" s="272" t="str">
        <f>IFERROR( IF(ISNUMBER((SnapshotTable[[#This Row],[SC Current Value]])), SnapshotTable[[#This Row],[SC Gain Loss]] / SnapshotTable[[#This Row],[SC Premium]], ""), "")</f>
        <v/>
      </c>
      <c r="GB202" s="42">
        <f>SnapshotTable[[#This Row],[Equity Shares]] * SaleSharesToConsiderPercentage</f>
        <v>0</v>
      </c>
      <c r="GC202" s="40">
        <f>SnapshotTable[[#This Row],[Long Term Target]] * SellingPriceToConsiderBasedOnTargetPercentage</f>
        <v>0</v>
      </c>
      <c r="GD202" s="40">
        <f>SnapshotTable[[#This Row],[Last Price]] * (1+ SellingPriceToConsiderBasedOnTargetPercentage)</f>
        <v>22.035</v>
      </c>
      <c r="GE202" s="41"/>
      <c r="GF202" s="40"/>
      <c r="GG202" s="31">
        <f>SnapshotTable[[#This Row],[Booked Sale Shares]] * SnapshotTable[[#This Row],[Booked Sale Price]]</f>
        <v>0</v>
      </c>
      <c r="GH202" s="31" t="str">
        <f>IF(SnapshotTable[[#This Row],[Equity Basis Total]] &gt; 0, SnapshotTable[[#This Row],[Equity Basis Per Share]] * SnapshotTable[[#This Row],[Booked Sale Shares]], "")</f>
        <v/>
      </c>
      <c r="GI202" s="31">
        <f>IF(SnapshotTable[[#This Row],[Sale Proceeds]]&gt;0, SnapshotTable[[#This Row],[Sale Proceeds]] - SnapshotTable[[#This Row],[Sale Basis]], 0)</f>
        <v>0</v>
      </c>
      <c r="GJ202" s="27" t="str">
        <f>IF(SnapshotTable[[#This Row],[Sale G/L]]&gt;0, SnapshotTable[[#This Row],[Sale G/L]] / SnapshotTable[[#This Row],[Sale Basis]], IF(ISNUMBER(SnapshotTable[[#This Row],[SC Exercise P&amp;L (TAX)]]), SnapshotTable[[#This Row],[SC Exercise P&amp;L (TAX)]] / SnapshotTable[[#This Row],[SC Basis]], ""))</f>
        <v/>
      </c>
      <c r="GK202" s="27"/>
      <c r="GL202" s="43" t="str">
        <f>IF(AND(SnapshotTable[[#This Row],[LP Exp Date]]&gt;0,SnapshotTable[[#This Row],[LP Strike Price]]&gt;0), [1]!ToOptionSymbol(SnapshotTable[[#This Row],[Symbol]], SnapshotTable[[#This Row],[LP Strike Price]],SnapshotTable[[#This Row],[LP Exp Date]],1), "")</f>
        <v/>
      </c>
      <c r="GM202" s="30" t="str">
        <f>IF(LEN(SnapshotTable[[#This Row],[LP Symbol]])&gt;0, 1, "")</f>
        <v/>
      </c>
      <c r="GN202" s="43" t="str">
        <f ca="1">IF(AND(SnapshotTable[[#This Row],[SP Exp Date]]&gt;0,SnapshotTable[[#This Row],[SP Strike Price]]&gt;0), [1]!ToOptionSymbol(SnapshotTable[[#This Row],[Symbol]], SnapshotTable[[#This Row],[SP Strike Price]],SnapshotTable[[#This Row],[SP Exp Date]],1), "")</f>
        <v>UUUU260821P00010000</v>
      </c>
      <c r="GO202" s="30">
        <f ca="1">IF(LEN(SnapshotTable[[#This Row],[SP Symbol]])&gt;0, 1, "")</f>
        <v>1</v>
      </c>
      <c r="GP202" s="43" t="str">
        <f>IF(AND(SnapshotTable[[#This Row],[LC Exp Date]]&gt;0,SnapshotTable[[#This Row],[LC Strike Price]]&gt;0), [1]!ToOptionSymbol(SnapshotTable[[#This Row],[Symbol]], SnapshotTable[[#This Row],[LC Strike Price]],SnapshotTable[[#This Row],[LC Exp Date]],0), "")</f>
        <v/>
      </c>
      <c r="GQ202" s="30" t="str">
        <f>IF(LEN(SnapshotTable[[#This Row],[LC Symbol]])&gt;0, 1, "")</f>
        <v/>
      </c>
      <c r="GR202" s="43" t="str">
        <f>IF(AND(SnapshotTable[[#This Row],[SC Exp Date]]&gt;0,SnapshotTable[[#This Row],[SC Strike Price]]&gt;0), [1]!ToOptionSymbol(SnapshotTable[[#This Row],[Symbol]], SnapshotTable[[#This Row],[SC Strike Price]],SnapshotTable[[#This Row],[SC Exp Date]],0), "")</f>
        <v/>
      </c>
      <c r="GS202" s="30" t="str">
        <f>IF(LEN(SnapshotTable[[#This Row],[SC Symbol]])&gt;0, 1, "")</f>
        <v/>
      </c>
      <c r="GT202" s="29" t="str">
        <f ca="1">IF(COUNT(SnapshotTable[[#This Row],[LP Symbol Count]],SnapshotTable[[#This Row],[SP Symbol Count]],SnapshotTable[[#This Row],[LC Symbol Count]],SnapshotTable[[#This Row],[SC Symbol Count]])&gt;0, "Y", "")</f>
        <v>Y</v>
      </c>
      <c r="GU202"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SP </v>
      </c>
      <c r="GV202" s="216">
        <f ca="1">MAX(SnapshotTable[[#This Row],[Equity Basis Total]],SnapshotTable[[#This Row],[Equity Value]]) + (SnapshotTable[[#This Row],[SP Potential Spend]]- SnapshotTable[[#This Row],[SP Premium]] + SnapshotTable[[#This Row],[LP Premium]])+ (SnapshotTable[[#This Row],[LC Premium]] - SnapshotTable[[#This Row],[SC Premium]])</f>
        <v>8860</v>
      </c>
      <c r="GW202" s="137">
        <f ca="1">IF(AND(SnapshotTable[[#This Row],[Exposure]] &lt;&gt; 0),SnapshotTable[[#This Row],[Exposure]] / SnapshotTable[[#Totals],[Exposure]], "")</f>
        <v>4.919461857513284E-2</v>
      </c>
      <c r="HE202" s="253"/>
      <c r="HF202" s="253"/>
      <c r="HK202" s="1"/>
      <c r="HL202" s="1"/>
      <c r="HM202" s="1"/>
      <c r="HN202" s="1"/>
      <c r="HO202" s="1"/>
      <c r="HP202" s="1"/>
    </row>
    <row r="203" spans="2:224" ht="12.75" hidden="1" customHeight="1" x14ac:dyDescent="0.25">
      <c r="B203" s="12" t="s">
        <v>733</v>
      </c>
      <c r="C203" s="385">
        <v>41.13</v>
      </c>
      <c r="D203" s="200" t="s">
        <v>690</v>
      </c>
      <c r="E203" s="39">
        <f>SnapshotTable[[#This Row],[Last Price]]*(1 -CrashDiscount)</f>
        <v>34.960500000000003</v>
      </c>
      <c r="F203" s="26" t="s">
        <v>496</v>
      </c>
      <c r="G203" s="26" t="s">
        <v>7</v>
      </c>
      <c r="H203" s="147"/>
      <c r="I203" s="186">
        <v>44777.666666666664</v>
      </c>
      <c r="J203" s="187">
        <v>44777.666666666664</v>
      </c>
      <c r="K203" s="188"/>
      <c r="L203" s="297"/>
      <c r="M203" s="138"/>
      <c r="N203" s="138"/>
      <c r="O203" s="138"/>
      <c r="P203" s="22"/>
      <c r="Q203" s="25"/>
      <c r="R203" s="4" t="str">
        <f>IF(SnapshotTable[[#This Row],[Equity Basis Total]] &gt; 0, SnapshotTable[[#This Row],[Equity Basis Total]] / SnapshotTable[[#This Row],[Equity Shares]], "")</f>
        <v/>
      </c>
      <c r="S203" s="254">
        <f>SnapshotTable[[#This Row],[Last Price]] * SnapshotTable[[#This Row],[Equity Shares]]</f>
        <v>0</v>
      </c>
      <c r="T203" s="254">
        <f>SnapshotTable[[#This Row],[Equity Value]] - SnapshotTable[[#This Row],[Equity Basis Total]]</f>
        <v>0</v>
      </c>
      <c r="U203" s="255" t="str">
        <f>IF(SnapshotTable[[#This Row],[Equity Basis Total]] &gt; 0, SnapshotTable[[#This Row],[Equity G/L]] / SnapshotTable[[#This Row],[Equity Basis Total]], "")</f>
        <v/>
      </c>
      <c r="V203" s="253"/>
      <c r="W203" s="253"/>
      <c r="X203" s="4" t="str">
        <f>IF(AND(ISNUMBER(SnapshotTable[[#This Row],[Equity Basis Per Share]]),ISNUMBER(SnapshotTable[[#This Row],[Equity Target]])),SnapshotTable[[#This Row],[Equity Target]]-SnapshotTable[[#This Row],[Equity Basis Per Share]],"")</f>
        <v/>
      </c>
      <c r="Y203" s="4" t="str">
        <f>IF(AND(ISNUMBER(SnapshotTable[[#This Row],[Equity Basis Per Share]]),ISNUMBER(SnapshotTable[[#This Row],[Equity Stop Loss]])),SnapshotTable[[#This Row],[Equity Stop Loss]]-SnapshotTable[[#This Row],[Equity Basis Per Share]],"")</f>
        <v/>
      </c>
      <c r="Z203" s="260" t="str">
        <f>IFERROR( TEXT(SnapshotTable[[#This Row],[Equity Max Gain Per Share]] /ABS( SnapshotTable[[#This Row],[Equity Max Loss Per Share]]),"0.0 " ) &amp; " : 1", "")</f>
        <v/>
      </c>
      <c r="AA203" s="31" t="str">
        <f>IF(ISNUMBER(SnapshotTable[[#This Row],[Equity Max Gain Per Share]]),SnapshotTable[[#This Row],[Equity Max Gain Per Share]] * SnapshotTable[[#This Row],[Equity Shares]],"")</f>
        <v/>
      </c>
      <c r="AB203" s="31" t="str">
        <f>IF(ISNUMBER(SnapshotTable[[#This Row],[Equity Max Loss Per Share]]),SnapshotTable[[#This Row],[Equity Max Loss Per Share]] * SnapshotTable[[#This Row],[Equity Shares]],"")</f>
        <v/>
      </c>
      <c r="AC203" s="148"/>
      <c r="AD203" s="149"/>
      <c r="AE203" s="31">
        <f>(SnapshotTable[[#This Row],[Annual Dividend Per Share]] / 4) * SnapshotTable[[#This Row],[Equity Shares]]</f>
        <v>0</v>
      </c>
      <c r="AF203" s="31">
        <f>SnapshotTable[[#This Row],[Quarterly Div $]] * 4</f>
        <v>0</v>
      </c>
      <c r="AG203" s="7">
        <f>IF(SnapshotTable[[#This Row],[Annual Dividend Per Share]]&gt;0, SnapshotTable[[#This Row],[Annual Dividend Per Share]]  / SnapshotTable[[#This Row],[Last Price]], 0)</f>
        <v>0</v>
      </c>
      <c r="AH203" s="149"/>
      <c r="AI203" s="5"/>
      <c r="AJ203" s="136" t="s">
        <v>111</v>
      </c>
      <c r="AK203" s="150" t="str">
        <f>IF(ISNUMBER( SnapshotTable[[#This Row],[EBF Target]]),(SnapshotTable[[#This Row],[EBF Target]] - SnapshotTable[[#This Row],[Last Price]]) / SnapshotTable[[#This Row],[Last Price]], "")</f>
        <v/>
      </c>
      <c r="AL203" s="150" t="str">
        <f>IF(AND(SnapshotTable[[#This Row],[Equity Basis Total]] &gt; 0,ISNUMBER( SnapshotTable[[#This Row],[Long Term Target]])), SnapshotTable[[#This Row],[From Basis $]] / SnapshotTable[[#This Row],[Equity Basis Total]], "")</f>
        <v/>
      </c>
      <c r="AM203" s="9">
        <f>IF( AND(SnapshotTable[[#This Row],[Equity Shares]] &gt;0,ISNUMBER( SnapshotTable[[#This Row],[Long Term Target]])),(SnapshotTable[[#This Row],[Equity Shares]] * SnapshotTable[[#This Row],[Long Term Target]]) - SnapshotTable[[#This Row],[Equity Basis Total]],0)</f>
        <v>0</v>
      </c>
      <c r="AN203" s="9">
        <f>IF( AND(SnapshotTable[[#This Row],[Equity Shares]] &gt;0,ISNUMBER( SnapshotTable[[#This Row],[Long Term Target]])),(SnapshotTable[[#This Row],[Equity Shares]]*SnapshotTable[[#This Row],[Long Term Target]]) - SnapshotTable[[#This Row],[Equity Value]],0)</f>
        <v>0</v>
      </c>
      <c r="AO203" s="150" t="str">
        <f>IF(AND(ISNUMBER( SnapshotTable[[#This Row],[Long Term Target]]), ISNUMBER(SnapshotTable[[#This Row],[Last Price]])),(SnapshotTable[[#This Row],[Long Term Target]] - SnapshotTable[[#This Row],[Last Price]]) / SnapshotTable[[#This Row],[Last Price]], "")</f>
        <v/>
      </c>
      <c r="AP203" s="5">
        <v>25</v>
      </c>
      <c r="AQ203" s="38" t="s">
        <v>22</v>
      </c>
      <c r="AR203" s="5">
        <v>25</v>
      </c>
      <c r="AS203" s="38" t="s">
        <v>15</v>
      </c>
      <c r="AT203" s="144" t="s">
        <v>438</v>
      </c>
      <c r="AU203" s="185" t="str">
        <f>IF(OR(SnapshotTable[[#This Row],[LP No Fill]]="Y",SnapshotTable[[#This Row],[SP Is Filled]],SnapshotTable[[#This Row],[LC Not Filled]]="Y",SnapshotTable[[#This Row],[SC Is Filled]]),"Y","")</f>
        <v/>
      </c>
      <c r="AV203" s="205"/>
      <c r="AW203" s="211"/>
      <c r="AX203" s="206"/>
      <c r="AY203" s="205" t="str">
        <f>IF(SnapshotTable[[#This Row],[Implied Move]]&gt;0, SnapshotTable[[#This Row],[Last Price]]-SnapshotTable[[#This Row],[Implied Move]],"")</f>
        <v/>
      </c>
      <c r="AZ203" s="205" t="str">
        <f>IF(SnapshotTable[[#This Row],[Implied Move]]&gt;0, SnapshotTable[[#This Row],[Last Price]] + SnapshotTable[[#This Row],[Implied Move]],"")</f>
        <v/>
      </c>
      <c r="BA203" s="302"/>
      <c r="BB203" s="318"/>
      <c r="BC20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3" s="321"/>
      <c r="BE203" s="5"/>
      <c r="BF203" s="14"/>
      <c r="BG203" s="13"/>
      <c r="BH203" s="13"/>
      <c r="BI203" s="5"/>
      <c r="BJ203" s="134">
        <f>IF(SnapshotTable[[#This Row],[LP Qty]] &gt; 0, SnapshotTable[[#This Row],[LP Qty]] * SnapshotTable[[#This Row],[LP Book Price]] * 100,0)</f>
        <v>0</v>
      </c>
      <c r="BK203" s="134">
        <f>IF(SnapshotTable[[#This Row],[LP Premium]] &gt; 0, SnapshotTable[[#This Row],[LP Qty]] * SnapshotTable[[#This Row],[LP Strike Price]] * 100,0)</f>
        <v>0</v>
      </c>
      <c r="BL203" s="152"/>
      <c r="BM203" s="355" t="str">
        <f>IF(SnapshotTable[[#This Row],[LP Premium]] &gt; 0,SnapshotTable[[#This Row],[LP Exp Date]]-MAX(SnapshotTable[[#This Row],[LP Book Date]], SnapshotTable[[#This Row],[LP Fill Date]]),"")</f>
        <v/>
      </c>
      <c r="BN203" s="355" t="str">
        <f>IF(ISNUMBER( SnapshotTable[[#This Row],[LP Term]]), SnapshotTable[[#This Row],[LP Exp Date]] - MockToday,"")</f>
        <v/>
      </c>
      <c r="BO203" s="161" t="str">
        <f>IF(AND(SnapshotTable[[#This Row],[LP Exp Date]]&gt;0, SnapshotTable[[#This Row],[LP Strike Price]]&gt;0,SnapshotTable[[#This Row],[LP Qty]]&gt;0,SnapshotTable[[#This Row],[LP Book Date]]&gt;0,SnapshotTable[[#This Row],[LP Book Price]]&gt;0,SnapshotTable[[#This Row],[LP Fill Date]]=0),"Y","")</f>
        <v/>
      </c>
      <c r="BP203" s="31" t="str">
        <f>IF(AND(SnapshotTable[[#This Row],[LP No Fill]]&lt;&gt;"Y",SnapshotTable[[#This Row],[LP Contract Value]]&gt;0, SnapshotTable[[#This Row],[LP Qty]]&gt;0), SnapshotTable[[#This Row],[LP Contract Value]]*SnapshotTable[[#This Row],[LP Qty]]*100,"")</f>
        <v/>
      </c>
      <c r="BQ203" s="13"/>
      <c r="BR203" s="5"/>
      <c r="BS203" s="36"/>
      <c r="BT203" s="145"/>
      <c r="BU203" s="13"/>
      <c r="BV203" s="5"/>
      <c r="BW203" s="382" t="b">
        <f>AND(ISNUMBER(SnapshotTable[[#This Row],[SP Exp Date]]), ISNUMBER(SnapshotTable[[#This Row],[SP Strike Price]]), ISNUMBER(SnapshotTable[[#This Row],[SP Qty]]), ISNUMBER(SnapshotTable[[#This Row],[SP Book Date]]), ISNUMBER(SnapshotTable[[#This Row],[SP Book Price]]))</f>
        <v>0</v>
      </c>
      <c r="BX203" s="382" t="b">
        <f>AND(SnapshotTable[[#This Row],[SP Is Booked]], NOT(ISBLANK(SnapshotTable[[#This Row],[SP Fill Date]])))</f>
        <v>0</v>
      </c>
      <c r="BY203" s="33">
        <f>IF(SnapshotTable[[#This Row],[SP Is Booked]], SnapshotTable[[#This Row],[SP Qty]] * SnapshotTable[[#This Row],[SP Book Price]] * 100, 0)</f>
        <v>0</v>
      </c>
      <c r="BZ203" s="339"/>
      <c r="CA203" s="338">
        <f>SnapshotTable[[#This Row],[LP Qty]]</f>
        <v>0</v>
      </c>
      <c r="CB203" s="4" t="str">
        <f>IF(SnapshotTable[[#This Row],[SP Is Booked]], SnapshotTable[[#This Row],[SP Strike Price]] - SnapshotTable[[#This Row],[SP Book Price]], "")</f>
        <v/>
      </c>
      <c r="CC203" s="19" t="str">
        <f>IF(SnapshotTable[[#This Row],[SP Is Booked]],SnapshotTable[[#This Row],[SP Exp Date]]-MAX(SnapshotTable[[#This Row],[SP Book Date]], SnapshotTable[[#This Row],[SP Fill Date]]),"")</f>
        <v/>
      </c>
      <c r="CD203" s="7" t="str">
        <f>IF(SnapshotTable[[#This Row],[SP Is Booked]], SnapshotTable[[#This Row],[SP Book Price]]/SnapshotTable[[#This Row],[SP Strike Price]], "")</f>
        <v/>
      </c>
      <c r="CE203" s="7" t="str">
        <f>IF(ISNUMBER(SnapshotTable[[#This Row],[SP ROO Term]]),SnapshotTable[[#This Row],[SP ROO Term]]*(365/SnapshotTable[[#This Row],[SP Term]]),"")</f>
        <v/>
      </c>
      <c r="CF203" s="221">
        <f>SnapshotTable[[#This Row],[LP Strike Price]] * SnapshotTable[[#This Row],[LP Qty]] * 100</f>
        <v>0</v>
      </c>
      <c r="CG203" s="31">
        <f>IF(ISNUMBER(SnapshotTable[[#This Row],[SP Premium]]), (SnapshotTable[[#This Row],[SP Qty]] * SnapshotTable[[#This Row],[SP Strike Price]]* 100) - SnapshotTable[[#This Row],[LP Protection]], 0)</f>
        <v>0</v>
      </c>
      <c r="CH203" s="7" t="str">
        <f>IF(ISNUMBER(SnapshotTable[[#This Row],[SP Break Even]]),-1 * (SnapshotTable[[#This Row],[SP Break Even]] - SnapshotTable[[#This Row],[Last Price]]) / SnapshotTable[[#This Row],[Last Price]], "")</f>
        <v/>
      </c>
      <c r="CI203" s="31">
        <f>IF(AND(ISNUMBER((SnapshotTable[[#This Row],[SP Potential Spend]])), SnapshotTable[[#This Row],[SP Strike Price]] &gt; SnapshotTable[[#This Row],[Last Price]], SnapshotTable[[#This Row],[SP Is Filled]]), SnapshotTable[[#This Row],[SP Potential Spend]] -  SnapshotTable[[#This Row],[LP Max Value]], 0)</f>
        <v>0</v>
      </c>
      <c r="CJ203" s="229"/>
      <c r="CK203" s="31">
        <f>IF(ISNUMBER(SnapshotTable[[#This Row],[SP Potential Spend]]),IF(ISNUMBER(SnapshotTable[[#This Row],[SP POW]]), SnapshotTable[[#This Row],[SP POW]] * SnapshotTable[[#This Row],[SP Potential Spend]], SnapshotTable[[#This Row],[SP Potential Spend]]), "")</f>
        <v>0</v>
      </c>
      <c r="CL203" s="162">
        <f>IF(NOT(SnapshotTable[[#This Row],[SP Is Filled]]),(SnapshotTable[[#This Row],[SP Qty]] * SnapshotTable[[#This Row],[SP Strike Price]] * 100) - SnapshotTable[[#This Row],[LP Max Value]],"")</f>
        <v>0</v>
      </c>
      <c r="CM203" s="31" t="str">
        <f>IF(SnapshotTable[[#This Row],[SP Actual Spend]]&lt;&gt;0, ((SnapshotTable[[#This Row],[SP Strike Price]]-SnapshotTable[[#This Row],[Last Price]]) *(SnapshotTable[[#This Row],[SP Qty]]*100) - SnapshotTable[[#This Row],[SP Premium]]) * - 1, "")</f>
        <v/>
      </c>
      <c r="CN203" s="76"/>
      <c r="CO203" s="339"/>
      <c r="CP203" s="4" t="str">
        <f>IF(SnapshotTable[[#This Row],[SP Is Filled]], btc_max_buyback_amount(SnapshotTable[[#This Row],[SP Fill Date]],SnapshotTable[[#This Row],[SP Exp Date]], SnapshotTable[[#This Row],[SP Book Price]]),"")</f>
        <v/>
      </c>
      <c r="CQ203" s="76"/>
      <c r="CR20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3" s="153" t="str">
        <f>IF(SnapshotTable[[#This Row],[SP Is Filled]], btc_next_cutoff_date(SnapshotTable[[#This Row],[SP Fill Date]],SnapshotTable[[#This Row],[SP Exp Date]]),"")</f>
        <v/>
      </c>
      <c r="CT203" s="220" t="str" cm="1">
        <f t="array" ref="CT203">IF(SnapshotTable[[#This Row],[SP Is Filled]], btc_should_buy_back(SnapshotTable[[#This Row],[SP Fill Date]], SnapshotTable[[#This Row],[SP Exp Date]], SnapshotTable[[#This Row],[SP Book Price]], SnapshotTable[[#This Row],[SP Current Ask]], MockToday, SnapshotTable[[#This Row],[SP Buyback Override]]),"")</f>
        <v/>
      </c>
      <c r="CU203" s="141"/>
      <c r="CV203" s="220"/>
      <c r="CW203" s="348" t="str">
        <f>IF(ISNUMBER( SnapshotTable[[#This Row],[SP Term]]), SnapshotTable[[#This Row],[SP Exp Date]] - MockToday,"")</f>
        <v/>
      </c>
      <c r="CX203" s="31" t="str">
        <f>IF(SnapshotTable[[#This Row],[SP Is Filled]],SnapshotTable[[#This Row],[SP Buyback Price to Use]] * 100 * SnapshotTable[[#This Row],[SP Qty]], "")</f>
        <v/>
      </c>
      <c r="CY203" s="4" t="str">
        <f>IF(ISNUMBER(SnapshotTable[[#This Row],[SP Strike Price]]), SnapshotTable[[#This Row],[SP Strike Price]] * (1 - SP_MaxLoss_StrikePct), "")</f>
        <v/>
      </c>
      <c r="CZ203" s="31" t="str">
        <f>IF(ISNUMBER(SnapshotTable[[#This Row],[SP Strike  Stop Per Share]]),SnapshotTable[[#This Row],[SP Premium]] - ((SnapshotTable[[#This Row],[SP Strike Price]]-SnapshotTable[[#This Row],[SP Strike  Stop Per Share]]) *(SnapshotTable[[#This Row],[SP Qty]] * 100)),"")</f>
        <v/>
      </c>
      <c r="DA203" s="4" t="str">
        <f>IF(AND(ISNUMBER(SnapshotTable[[#This Row],[SP Premium]]),SnapshotTable[[#This Row],[SP Premium]]&gt;0), SnapshotTable[[#This Row],[SP Book Price]] * (1 + SP_MaxLoss_OptionPct), "")</f>
        <v/>
      </c>
      <c r="DB203" s="31" t="str">
        <f>IF(ISNUMBER(SnapshotTable[[#This Row],[SP Option  Stop Contract]]),(SnapshotTable[[#This Row],[SP Option  Stop Contract]] *(SnapshotTable[[#This Row],[SP Qty]] * 100) - SnapshotTable[[#This Row],[SP Premium]]),"")</f>
        <v/>
      </c>
      <c r="DC203" s="4"/>
      <c r="DD203" s="4"/>
      <c r="DE203" s="4" t="str">
        <f>IF(AND(SnapshotTable[[#This Row],[SP Qty]]&gt;0, SnapshotTable[[#This Row],[SP Stop To Use]]&gt;0),SnapshotTable[[#This Row],[SP Premium]] - ( SnapshotTable[[#This Row],[SP Qty]] * SnapshotTable[[#This Row],[SP Stop To Use]] * 100), "")</f>
        <v/>
      </c>
      <c r="DF203" s="31" t="str">
        <f>IF(AND(SnapshotTable[[#This Row],[SP Qty]]&gt;0,SnapshotTable[[#This Row],[SP Current Ask]]&gt;0), SnapshotTable[[#This Row],[SP Qty]] * SnapshotTable[[#This Row],[SP Current Ask]] * -100, "")</f>
        <v/>
      </c>
      <c r="DG203" s="31" t="str">
        <f>IF(ISNUMBER((SnapshotTable[[#This Row],[SP Total Value]])), SnapshotTable[[#This Row],[SP Premium]] + SnapshotTable[[#This Row],[SP Total Value]], "")</f>
        <v/>
      </c>
      <c r="DH203" s="272" t="str">
        <f>IF(ISNUMBER((SnapshotTable[[#This Row],[SP Total Value]])), SnapshotTable[[#This Row],[SP Gain Loss]] / SnapshotTable[[#This Row],[SP Premium]], "")</f>
        <v/>
      </c>
      <c r="DI203" s="369"/>
      <c r="DJ203" s="136"/>
      <c r="DK203" s="146"/>
      <c r="DL203" s="13"/>
      <c r="DM203" s="13"/>
      <c r="DO203" s="31">
        <f>IF(SnapshotTable[[#This Row],[LC Symbol Count]]=1, SnapshotTable[[#This Row],[LC Qty]] * SnapshotTable[[#This Row],[LC Book Price]] * 100, 0)</f>
        <v>0</v>
      </c>
      <c r="DP203" s="161" t="str">
        <f>IF(AND(SnapshotTable[[#This Row],[LC Exp Date]]&gt;0, SnapshotTable[[#This Row],[LC Strike Price]]&gt;0,SnapshotTable[[#This Row],[LC Qty]]&gt;0,SnapshotTable[[#This Row],[LC Book Date]]&gt;0,SnapshotTable[[#This Row],[LC Book Price]]&gt;0,SnapshotTable[[#This Row],[LC Fill Date]]=0),"Y","")</f>
        <v/>
      </c>
      <c r="DQ203" s="356" t="str">
        <f>IF(SnapshotTable[[#This Row],[LC Premium]] &gt; 0,SnapshotTable[[#This Row],[LC Exp Date]]-MAX(SnapshotTable[[#This Row],[LC Book Date]], SnapshotTable[[#This Row],[LC Fill Date]]),"")</f>
        <v/>
      </c>
      <c r="DR203" s="356" t="str">
        <f>IF(ISNUMBER(SnapshotTable[[#This Row],[LC Term]]), SnapshotTable[[#This Row],[LC Exp Date]] - MockToday, "")</f>
        <v/>
      </c>
      <c r="DS203" s="219" t="str">
        <f>IF(SnapshotTable[[#This Row],[LC Premium]]&gt;0,SnapshotTable[[#This Row],[LC Strike Price]] + SnapshotTable[[#This Row],[LC Book Price]],"")</f>
        <v/>
      </c>
      <c r="DU203" s="9" t="str">
        <f>IF(AND(SnapshotTable[[#This Row],[LC Symbol Count]]&gt;0, SnapshotTable[[#This Row],[LC Contract Value]]&gt;0), SnapshotTable[[#This Row],[LC Contract Value]] * SnapshotTable[[#This Row],[LC Qty]] * 100, "")</f>
        <v/>
      </c>
      <c r="DV203" s="9" t="str">
        <f>IF(AND(ISNUMBER(SnapshotTable[[#This Row],[LC Total Value]]), SnapshotTable[[#This Row],[LC Not Filled]]&lt;&gt;"Y"), SnapshotTable[[#This Row],[LC Total Value]]-SnapshotTable[[#This Row],[LC Premium]],"")</f>
        <v/>
      </c>
      <c r="DW203" s="225" t="str">
        <f>IF(ISNUMBER(SnapshotTable[[#This Row],[LC Actual Gain Loss]]), SnapshotTable[[#This Row],[LC Actual Gain Loss]] / SnapshotTable[[#This Row],[LC Premium]],"")</f>
        <v/>
      </c>
      <c r="DX203" s="269" t="str">
        <f>IF(ISNUMBER(SnapshotTable[[#This Row],[LC Book Price]]),SnapshotTable[[#This Row],[LC Book Price]] * 1.5,"")</f>
        <v/>
      </c>
      <c r="DY203" s="250" t="str">
        <f>IF(SnapshotTable[[#This Row],[LC Premium]]&gt;0, SnapshotTable[[#This Row],[LC Next Target]] * SnapshotTable[[#This Row],[LC Qty]] * 100,"")</f>
        <v/>
      </c>
      <c r="DZ203" s="250" t="str">
        <f>IF(ISNUMBER(SnapshotTable[[#This Row],[LC Target Gross]]), SnapshotTable[[#This Row],[LC Target Gross]] - SnapshotTable[[#This Row],[LC Premium]], "")</f>
        <v/>
      </c>
      <c r="EA203" s="283" t="str">
        <f>IF(ISNUMBER(SnapshotTable[[#This Row],[LC Target Gain Loss]]), SnapshotTable[[#This Row],[LC Target Gain Loss]]/SnapshotTable[[#This Row],[LC Premium]], "")</f>
        <v/>
      </c>
      <c r="EB203" s="247"/>
      <c r="EC203" s="268" t="str">
        <f>IF(SnapshotTable[[#This Row],[LC Premium]]&gt;0, SnapshotTable[[#This Row],[LC Book Price]] * (1 - LC_StopLoss_Pct),"")</f>
        <v/>
      </c>
      <c r="ED203" s="269"/>
      <c r="EE203" s="268" t="str">
        <f>IF(ISNUMBER(SnapshotTable[[#This Row],[LC Contract Value]]),IF(ISNUMBER(SnapshotTable[[#This Row],[LC Stop Loss Override]]), SnapshotTable[[#This Row],[LC Stop Loss Override]],SnapshotTable[[#This Row],[LC Stop Loss Calc Target]]),"")</f>
        <v/>
      </c>
      <c r="EF203" s="31" t="str">
        <f>IF(ISNUMBER(SnapshotTable[[#This Row],[LC Stop  To Use]]), (SnapshotTable[[#This Row],[LC Stop  To Use]] * SnapshotTable[[#This Row],[LC Qty]] * 100),"")</f>
        <v/>
      </c>
      <c r="EG203" s="9" t="str">
        <f>IF(ISNUMBER(SnapshotTable[[#This Row],[LC Total Value]]),SnapshotTable[[#This Row],[LC Stop Loss Amount]] - SnapshotTable[[#This Row],[LC Premium]],"")</f>
        <v/>
      </c>
      <c r="EH203" s="9">
        <f>IF(ISNUMBER(SnapshotTable[[#This Row],[LC Premium]]), SnapshotTable[[#This Row],[LC Qty]] * 100 * SnapshotTable[[#This Row],[LC Strike Price]], "")</f>
        <v>0</v>
      </c>
      <c r="EI203" s="225" t="str">
        <f>IF(AND(ISNUMBER(SnapshotTable[[#This Row],[LC Total Value]]),SnapshotTable[[#This Row],[LC Total Value]]&gt;0),SnapshotTable[[#This Row],[LC Stop Gain Loss]]  / SnapshotTable[[#This Row],[LC Premium]],"")</f>
        <v/>
      </c>
      <c r="EJ203" s="35">
        <f>IF(ISNUMBER(SnapshotTable[[#This Row],[Equity Shares]]),TRUNC(SnapshotTable[[#This Row],[Equity Shares]] / 100),0) + SnapshotTable[[#This Row],[LC Qty]]</f>
        <v>0</v>
      </c>
      <c r="EK203" s="145"/>
      <c r="EL203" s="136"/>
      <c r="EM203" s="146"/>
      <c r="EN203" s="145"/>
      <c r="EO203" s="145"/>
      <c r="EP203" s="136"/>
      <c r="EQ203" s="382" t="b">
        <f>AND(ISNUMBER(SnapshotTable[[#This Row],[SC Exp Date]]), ISNUMBER(SnapshotTable[[#This Row],[SC Strike Price]]), ISNUMBER(SnapshotTable[[#This Row],[SC Qty]]), ISNUMBER(SnapshotTable[[#This Row],[SC Book Date]]), ISNUMBER(SnapshotTable[[#This Row],[SC Book Price]]))</f>
        <v>0</v>
      </c>
      <c r="ER203" s="382" t="b">
        <f>AND(SnapshotTable[[#This Row],[SC Is Booked]], NOT(ISBLANK(SnapshotTable[[#This Row],[SC Fill Date]])))</f>
        <v>0</v>
      </c>
      <c r="ES203" s="340"/>
      <c r="ET203" s="34" t="str">
        <f>IF(AND(ISNUMBER(SnapshotTable[[#This Row],[SC Exp Date]]), ISNUMBER(SnapshotTable[[#This Row],[SC Book Date]])), SnapshotTable[[#This Row],[SC Exp Date]] - MAX(SnapshotTable[[#This Row],[SC Book Date]], SnapshotTable[[#This Row],[SC Fill Date]]) + 1, "")</f>
        <v/>
      </c>
      <c r="EU203" s="34" t="str">
        <f>IF(ISNUMBER(SnapshotTable[[#This Row],[SC Term]]), SnapshotTable[[#This Row],[SC Exp Date]]- MockToday, "")</f>
        <v/>
      </c>
      <c r="EV203" s="31">
        <f>IF(SnapshotTable[[#This Row],[SC Is Booked]], SnapshotTable[[#This Row],[SC Qty]] * SnapshotTable[[#This Row],[SC Book Price]] * 100, 0)</f>
        <v>0</v>
      </c>
      <c r="EW203" s="4" t="str">
        <f>IF(AND(ISNUMBER(SnapshotTable[[#This Row],[Last Price]]), ISNUMBER( SnapshotTable[[#This Row],[SC Book Price]])), SnapshotTable[[#This Row],[Last Price]] - SnapshotTable[[#This Row],[SC Book Price]],"")</f>
        <v/>
      </c>
      <c r="EX203" s="219" t="str">
        <f>IF(SnapshotTable[[#This Row],[SC Is Booked]],IF(SnapshotTable[[#This Row],[SC Intrinsic Value]] &gt; 0, SnapshotTable[[#This Row],[SC Strike Price]], SnapshotTable[[#This Row],[Last Price]]), "")</f>
        <v/>
      </c>
      <c r="EY203" s="4">
        <f>IF(SnapshotTable[[#This Row],[SC Is Booked]], (MinimumPremiumRequired * SnapshotTable[[#This Row],[SC Basis]] * SnapshotTable[[#This Row],[SC Term]]), 0)</f>
        <v>0</v>
      </c>
      <c r="EZ203" s="268"/>
      <c r="FA203" s="204"/>
      <c r="FB203" s="340"/>
      <c r="FC203" s="4">
        <f>IF(SnapshotTable[[#This Row],[SC Is Filled]], btc_max_buyback_amount(SnapshotTable[[#This Row],[SC Fill Date]],SnapshotTable[[#This Row],[SC Exp Date]], SnapshotTable[[#This Row],[SC Book Price]]),0)</f>
        <v>0</v>
      </c>
      <c r="FD203" s="5"/>
      <c r="FE203" s="142" t="str">
        <f>IF(SnapshotTable[[#This Row],[SC Is Filled]], btc_next_cutoff_date(SnapshotTable[[#This Row],[SC Fill Date]],SnapshotTable[[#This Row],[SC Exp Date]]),"")</f>
        <v/>
      </c>
      <c r="FF203" s="4" t="str" cm="1">
        <f t="array" ref="FF203">IF(SnapshotTable[[#This Row],[SC Is Filled]], btc_should_buy_back(SnapshotTable[[#This Row],[SC Fill Date]], SnapshotTable[[#This Row],[SC Exp Date]], SnapshotTable[[#This Row],[SC Book Price]], SnapshotTable[[#This Row],[SC Current Ask]], MockToday, SnapshotTable[[#This Row],[SC Buyback Override]]),"")</f>
        <v/>
      </c>
      <c r="FG203" s="4">
        <f>IF(SnapshotTable[[#This Row],[SC Is Filled]], MAX(0,SnapshotTable[[#This Row],[Last Price]]  - SnapshotTable[[#This Row],[SC Strike Price]]), 0)</f>
        <v>0</v>
      </c>
      <c r="FH203" s="352">
        <f>IF(SnapshotTable[[#This Row],[SC Is Filled]], IF(ISNUMBER(SnapshotTable[[#This Row],[SC Current Ask]]), SnapshotTable[[#This Row],[SC Current Ask]], SnapshotTable[[#This Row],[SC Book Price]]) - SnapshotTable[[#This Row],[SC Intrinsic Value]], 0)</f>
        <v>0</v>
      </c>
      <c r="FI203" s="141"/>
      <c r="FJ203" s="32" t="str">
        <f>IF(SnapshotTable[[#This Row],[SC Is Filled]],100 * SnapshotTable[[#This Row],[SC Qty]] * IF(ISNUMBER(SnapshotTable[[#This Row],[SC Buyback Override]]), SnapshotTable[[#This Row],[SC Buyback Override]], SnapshotTable[[#This Row],[SC Current Ask]]), "")</f>
        <v/>
      </c>
      <c r="FK203" s="235" t="str">
        <f>IF(SnapshotTable[[#This Row],[SC Time Val]]&gt;0, SnapshotTable[[#This Row],[SC Time Val]] / SnapshotTable[[#This Row],[Last Price]],"")</f>
        <v/>
      </c>
      <c r="FL203" s="280" t="str">
        <f>IF(SnapshotTable[[#This Row],[SC Is Booked]], ((SnapshotTable[[#This Row],[Last Price]] -SnapshotTable[[#This Row],[SC Strike Price]]) / SnapshotTable[[#This Row],[Last Price]]) * -1, "")</f>
        <v/>
      </c>
      <c r="FM203" s="155" t="str">
        <f>IF(SnapshotTable[[#This Row],[SC Is Booked]],  (SnapshotTable[[#This Row],[SC Qty]] * 100 * SnapshotTable[[#This Row],[SC Strike Price]]) - SnapshotTable[[#This Row],[SC Current Ask]], "")</f>
        <v/>
      </c>
      <c r="FN20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3" s="31" t="str">
        <f>IF(AND(ISNUMBER(SnapshotTable[[#This Row],[SC Exercise Gross]]), ISNUMBER(SnapshotTable[[#This Row],[Equity Basis Per Share]] )), SnapshotTable[[#This Row],[SC Exercise Gross]] - SnapshotTable[[#This Row],[Equity Basis Total]] +  SnapshotTable[[#This Row],[SC Premium]], "")</f>
        <v/>
      </c>
      <c r="FP203" s="5" t="str">
        <f>IF(ISNUMBER(SnapshotTable[[#This Row],[SC Exercise Gross]]), (SnapshotTable[[#This Row],[SC Exercise Gross]]) / (SnapshotTable[[#This Row],[SC Qty]] * 100), "")</f>
        <v/>
      </c>
      <c r="FQ203" s="27" t="str">
        <f>IF(SnapshotTable[[#This Row],[SC Is Booked]],SnapshotTable[[#This Row],[SC Time Val]] /SnapshotTable[[#This Row],[SC Basis]], "")</f>
        <v/>
      </c>
      <c r="FR203" s="27" t="str" cm="1">
        <f t="array" ref="FR203">IF(AND(ISNUMBER(SnapshotTable[[#This Row],[SC Term]]),ISNUMBER(SnapshotTable[[#This Row],[SC Simple ROO]])), EllmanAnnualize(SnapshotTable[[#This Row],[SC DTE]], SnapshotTable[[#This Row],[SC Simple ROO]] ),"")</f>
        <v/>
      </c>
      <c r="FS203" s="4">
        <f>IF(SnapshotTable[[#This Row],[SC Strike Price]] &gt; SnapshotTable[[#This Row],[Last Price]], SnapshotTable[[#This Row],[SC Strike Price]] - SnapshotTable[[#This Row],[Last Price]],0)</f>
        <v>0</v>
      </c>
      <c r="FT203" s="27" t="str">
        <f>IF(AND(ISNUMBER(SnapshotTable[[#This Row],[SC Upside Potential]]), SnapshotTable[[#This Row],[SC Upside Potential]] &gt; 0),(SnapshotTable[[#This Row],[SC Upside Potential]]/ SnapshotTable[[#This Row],[ACB]]),"")</f>
        <v/>
      </c>
      <c r="FU203" s="304" t="str">
        <f>IF(SnapshotTable[[#This Row],[SC Intrinsic Value]] &gt; 0,SnapshotTable[[#This Row],[SC Intrinsic Value]],"")</f>
        <v/>
      </c>
      <c r="FV203" s="27" t="str">
        <f>IF(AND( ISNUMBER( SnapshotTable[[#This Row],[ACB]]),ISNUMBER(SnapshotTable[[#This Row],[SC Downside Protect]])),SnapshotTable[[#This Row],[SC Downside Protect]] / SnapshotTable[[#This Row],[ACB]],"")</f>
        <v/>
      </c>
      <c r="FW203" s="221" t="str">
        <f>IF(AND(ISNUMBER(SnapshotTable[[#This Row],[SC Simple ROO]]),SnapshotTable[[#This Row],[SC Simple ROO]] &gt; 0), SnapshotTable[[#This Row],[SC Premium]] + (SnapshotTable[[#This Row],[SC Qty]] * SnapshotTable[[#This Row],[SC Upside Potential]]), "")</f>
        <v/>
      </c>
      <c r="FX203" s="280" t="str" cm="1">
        <f t="array" ref="FX203">IF(ISNUMBER(SnapshotTable[[#This Row],[SC Max Dollars]]), annualize(SnapshotTable[[#This Row],[SC Term]],(SnapshotTable[[#This Row],[SC Max Dollars]]/SnapshotTable[[#This Row],[SC Basis]])),"")</f>
        <v/>
      </c>
      <c r="FY203" s="221" t="str">
        <f>IF(AND(SnapshotTable[[#This Row],[SC Qty]]&gt;0,SnapshotTable[[#This Row],[SC Current Ask]]&gt;0), SnapshotTable[[#This Row],[SC Qty]] * SnapshotTable[[#This Row],[SC Current Ask]] * -100, "")</f>
        <v/>
      </c>
      <c r="FZ203" s="31" t="str">
        <f>IF(ISNUMBER((SnapshotTable[[#This Row],[SC Current Value]])), SnapshotTable[[#This Row],[SC Premium]] + SnapshotTable[[#This Row],[SC Current Value]], "")</f>
        <v/>
      </c>
      <c r="GA203" s="272" t="str">
        <f>IFERROR( IF(ISNUMBER((SnapshotTable[[#This Row],[SC Current Value]])), SnapshotTable[[#This Row],[SC Gain Loss]] / SnapshotTable[[#This Row],[SC Premium]], ""), "")</f>
        <v/>
      </c>
      <c r="GB203" s="42">
        <f>SnapshotTable[[#This Row],[Equity Shares]] * SaleSharesToConsiderPercentage</f>
        <v>0</v>
      </c>
      <c r="GC203" s="40" t="e">
        <f>SnapshotTable[[#This Row],[Long Term Target]] * SellingPriceToConsiderBasedOnTargetPercentage</f>
        <v>#VALUE!</v>
      </c>
      <c r="GD203" s="40">
        <f>SnapshotTable[[#This Row],[Last Price]] * (1+ SellingPriceToConsiderBasedOnTargetPercentage)</f>
        <v>80.203500000000005</v>
      </c>
      <c r="GE203" s="41"/>
      <c r="GF203" s="40"/>
      <c r="GG203" s="31">
        <f>SnapshotTable[[#This Row],[Booked Sale Shares]] * SnapshotTable[[#This Row],[Booked Sale Price]]</f>
        <v>0</v>
      </c>
      <c r="GH203" s="31" t="str">
        <f>IF(SnapshotTable[[#This Row],[Equity Basis Total]] &gt; 0, SnapshotTable[[#This Row],[Equity Basis Per Share]] * SnapshotTable[[#This Row],[Booked Sale Shares]], "")</f>
        <v/>
      </c>
      <c r="GI203" s="31">
        <f>IF(SnapshotTable[[#This Row],[Sale Proceeds]]&gt;0, SnapshotTable[[#This Row],[Sale Proceeds]] - SnapshotTable[[#This Row],[Sale Basis]], 0)</f>
        <v>0</v>
      </c>
      <c r="GJ203" s="27" t="str">
        <f>IF(SnapshotTable[[#This Row],[Sale G/L]]&gt;0, SnapshotTable[[#This Row],[Sale G/L]] / SnapshotTable[[#This Row],[Sale Basis]], IF(ISNUMBER(SnapshotTable[[#This Row],[SC Exercise P&amp;L (TAX)]]), SnapshotTable[[#This Row],[SC Exercise P&amp;L (TAX)]] / SnapshotTable[[#This Row],[SC Basis]], ""))</f>
        <v/>
      </c>
      <c r="GK203" s="27"/>
      <c r="GL203" s="43" t="str">
        <f>IF(AND(SnapshotTable[[#This Row],[LP Exp Date]]&gt;0,SnapshotTable[[#This Row],[LP Strike Price]]&gt;0), [1]!ToOptionSymbol(SnapshotTable[[#This Row],[Symbol]], SnapshotTable[[#This Row],[LP Strike Price]],SnapshotTable[[#This Row],[LP Exp Date]],1), "")</f>
        <v/>
      </c>
      <c r="GM203" s="30" t="str">
        <f>IF(LEN(SnapshotTable[[#This Row],[LP Symbol]])&gt;0, 1, "")</f>
        <v/>
      </c>
      <c r="GN203" s="43" t="str">
        <f>IF(AND(SnapshotTable[[#This Row],[SP Exp Date]]&gt;0,SnapshotTable[[#This Row],[SP Strike Price]]&gt;0), [1]!ToOptionSymbol(SnapshotTable[[#This Row],[Symbol]], SnapshotTable[[#This Row],[SP Strike Price]],SnapshotTable[[#This Row],[SP Exp Date]],1), "")</f>
        <v/>
      </c>
      <c r="GO203" s="30" t="str">
        <f>IF(LEN(SnapshotTable[[#This Row],[SP Symbol]])&gt;0, 1, "")</f>
        <v/>
      </c>
      <c r="GP203" s="43" t="str">
        <f>IF(AND(SnapshotTable[[#This Row],[LC Exp Date]]&gt;0,SnapshotTable[[#This Row],[LC Strike Price]]&gt;0), [1]!ToOptionSymbol(SnapshotTable[[#This Row],[Symbol]], SnapshotTable[[#This Row],[LC Strike Price]],SnapshotTable[[#This Row],[LC Exp Date]],0), "")</f>
        <v/>
      </c>
      <c r="GQ203" s="30" t="str">
        <f>IF(LEN(SnapshotTable[[#This Row],[LC Symbol]])&gt;0, 1, "")</f>
        <v/>
      </c>
      <c r="GR203" s="43" t="str">
        <f>IF(AND(SnapshotTable[[#This Row],[SC Exp Date]]&gt;0,SnapshotTable[[#This Row],[SC Strike Price]]&gt;0), [1]!ToOptionSymbol(SnapshotTable[[#This Row],[Symbol]], SnapshotTable[[#This Row],[SC Strike Price]],SnapshotTable[[#This Row],[SC Exp Date]],0), "")</f>
        <v/>
      </c>
      <c r="GS203" s="30" t="str">
        <f>IF(LEN(SnapshotTable[[#This Row],[SC Symbol]])&gt;0, 1, "")</f>
        <v/>
      </c>
      <c r="GT203" s="29" t="str">
        <f>IF(COUNT(SnapshotTable[[#This Row],[LP Symbol Count]],SnapshotTable[[#This Row],[SP Symbol Count]],SnapshotTable[[#This Row],[LC Symbol Count]],SnapshotTable[[#This Row],[SC Symbol Count]])&gt;0, "Y", "")</f>
        <v/>
      </c>
      <c r="GU20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3" s="216">
        <f>MAX(SnapshotTable[[#This Row],[Equity Basis Total]],SnapshotTable[[#This Row],[Equity Value]]) + (SnapshotTable[[#This Row],[SP Potential Spend]]- SnapshotTable[[#This Row],[SP Premium]] + SnapshotTable[[#This Row],[LP Premium]])+ (SnapshotTable[[#This Row],[LC Premium]] - SnapshotTable[[#This Row],[SC Premium]])</f>
        <v>0</v>
      </c>
      <c r="GW203" s="137" t="str">
        <f>IF(AND(SnapshotTable[[#This Row],[Exposure]] &lt;&gt; 0),SnapshotTable[[#This Row],[Exposure]] / SnapshotTable[[#Totals],[Exposure]], "")</f>
        <v/>
      </c>
      <c r="GX203" s="5"/>
      <c r="HE203" s="253"/>
      <c r="HF203" s="253"/>
      <c r="HK203" s="1"/>
      <c r="HL203" s="1"/>
      <c r="HM203" s="1"/>
      <c r="HN203" s="1"/>
      <c r="HO203" s="1"/>
      <c r="HP203" s="1"/>
    </row>
    <row r="204" spans="2:224" ht="12.75" hidden="1" customHeight="1" x14ac:dyDescent="0.25">
      <c r="B204" s="12" t="s">
        <v>800</v>
      </c>
      <c r="C204" s="385">
        <v>6.78</v>
      </c>
      <c r="D204" s="200" t="s">
        <v>467</v>
      </c>
      <c r="E204" s="39">
        <f>SnapshotTable[[#This Row],[Last Price]]*(1 -CrashDiscount)</f>
        <v>5.7629999999999999</v>
      </c>
      <c r="F204" s="26" t="s">
        <v>701</v>
      </c>
      <c r="G204" s="26" t="s">
        <v>493</v>
      </c>
      <c r="H204" s="147"/>
      <c r="I204" s="186">
        <v>44776.670138888891</v>
      </c>
      <c r="J204" s="187">
        <v>44776.670138888891</v>
      </c>
      <c r="K204" s="188" t="s">
        <v>3</v>
      </c>
      <c r="L204" s="297"/>
      <c r="M204" s="138"/>
      <c r="N204" s="138"/>
      <c r="O204" s="138"/>
      <c r="P204" s="22"/>
      <c r="Q204" s="25"/>
      <c r="R204" s="4" t="str">
        <f>IF(SnapshotTable[[#This Row],[Equity Basis Total]] &gt; 0, SnapshotTable[[#This Row],[Equity Basis Total]] / SnapshotTable[[#This Row],[Equity Shares]], "")</f>
        <v/>
      </c>
      <c r="S204" s="254">
        <f>SnapshotTable[[#This Row],[Last Price]] * SnapshotTable[[#This Row],[Equity Shares]]</f>
        <v>0</v>
      </c>
      <c r="T204" s="254">
        <f>SnapshotTable[[#This Row],[Equity Value]] - SnapshotTable[[#This Row],[Equity Basis Total]]</f>
        <v>0</v>
      </c>
      <c r="U204" s="255" t="str">
        <f>IF(SnapshotTable[[#This Row],[Equity Basis Total]] &gt; 0, SnapshotTable[[#This Row],[Equity G/L]] / SnapshotTable[[#This Row],[Equity Basis Total]], "")</f>
        <v/>
      </c>
      <c r="V204" s="253">
        <v>57</v>
      </c>
      <c r="W204" s="253">
        <v>35</v>
      </c>
      <c r="X204" s="4" t="str">
        <f>IF(AND(ISNUMBER(SnapshotTable[[#This Row],[Equity Basis Per Share]]),ISNUMBER(SnapshotTable[[#This Row],[Equity Target]])),SnapshotTable[[#This Row],[Equity Target]]-SnapshotTable[[#This Row],[Equity Basis Per Share]],"")</f>
        <v/>
      </c>
      <c r="Y204" s="4" t="str">
        <f>IF(AND(ISNUMBER(SnapshotTable[[#This Row],[Equity Basis Per Share]]),ISNUMBER(SnapshotTable[[#This Row],[Equity Stop Loss]])),SnapshotTable[[#This Row],[Equity Stop Loss]]-SnapshotTable[[#This Row],[Equity Basis Per Share]],"")</f>
        <v/>
      </c>
      <c r="Z204" s="260" t="str">
        <f>IFERROR( TEXT(SnapshotTable[[#This Row],[Equity Max Gain Per Share]] /ABS( SnapshotTable[[#This Row],[Equity Max Loss Per Share]]),"0.0 " ) &amp; " : 1", "")</f>
        <v/>
      </c>
      <c r="AA204" s="31" t="str">
        <f>IF(ISNUMBER(SnapshotTable[[#This Row],[Equity Max Gain Per Share]]),SnapshotTable[[#This Row],[Equity Max Gain Per Share]] * SnapshotTable[[#This Row],[Equity Shares]],"")</f>
        <v/>
      </c>
      <c r="AB204" s="31" t="str">
        <f>IF(ISNUMBER(SnapshotTable[[#This Row],[Equity Max Loss Per Share]]),SnapshotTable[[#This Row],[Equity Max Loss Per Share]] * SnapshotTable[[#This Row],[Equity Shares]],"")</f>
        <v/>
      </c>
      <c r="AC204" s="148"/>
      <c r="AD204" s="149"/>
      <c r="AE204" s="31">
        <f>(SnapshotTable[[#This Row],[Annual Dividend Per Share]] / 4) * SnapshotTable[[#This Row],[Equity Shares]]</f>
        <v>0</v>
      </c>
      <c r="AF204" s="31">
        <f>SnapshotTable[[#This Row],[Quarterly Div $]] * 4</f>
        <v>0</v>
      </c>
      <c r="AG204" s="7">
        <f>IF(SnapshotTable[[#This Row],[Annual Dividend Per Share]]&gt;0, SnapshotTable[[#This Row],[Annual Dividend Per Share]]  / SnapshotTable[[#This Row],[Last Price]], 0)</f>
        <v>0</v>
      </c>
      <c r="AH204" s="149"/>
      <c r="AI204" s="5"/>
      <c r="AJ204" s="136">
        <v>23.33</v>
      </c>
      <c r="AK204" s="150" t="str">
        <f>IF(ISNUMBER( SnapshotTable[[#This Row],[EBF Target]]),(SnapshotTable[[#This Row],[EBF Target]] - SnapshotTable[[#This Row],[Last Price]]) / SnapshotTable[[#This Row],[Last Price]], "")</f>
        <v/>
      </c>
      <c r="AL204" s="150" t="str">
        <f>IF(AND(SnapshotTable[[#This Row],[Equity Basis Total]] &gt; 0,ISNUMBER( SnapshotTable[[#This Row],[Long Term Target]])), SnapshotTable[[#This Row],[From Basis $]] / SnapshotTable[[#This Row],[Equity Basis Total]], "")</f>
        <v/>
      </c>
      <c r="AM204" s="9">
        <f>IF( AND(SnapshotTable[[#This Row],[Equity Shares]] &gt;0,ISNUMBER( SnapshotTable[[#This Row],[Long Term Target]])),(SnapshotTable[[#This Row],[Equity Shares]] * SnapshotTable[[#This Row],[Long Term Target]]) - SnapshotTable[[#This Row],[Equity Basis Total]],0)</f>
        <v>0</v>
      </c>
      <c r="AN204" s="9">
        <f>IF( AND(SnapshotTable[[#This Row],[Equity Shares]] &gt;0,ISNUMBER( SnapshotTable[[#This Row],[Long Term Target]])),(SnapshotTable[[#This Row],[Equity Shares]]*SnapshotTable[[#This Row],[Long Term Target]]) - SnapshotTable[[#This Row],[Equity Value]],0)</f>
        <v>0</v>
      </c>
      <c r="AO204" s="150">
        <f>IF(AND(ISNUMBER( SnapshotTable[[#This Row],[Long Term Target]]), ISNUMBER(SnapshotTable[[#This Row],[Last Price]])),(SnapshotTable[[#This Row],[Long Term Target]] - SnapshotTable[[#This Row],[Last Price]]) / SnapshotTable[[#This Row],[Last Price]], "")</f>
        <v>2.441002949852507</v>
      </c>
      <c r="AP204" s="5">
        <v>25</v>
      </c>
      <c r="AQ204" s="38" t="s">
        <v>59</v>
      </c>
      <c r="AR204" s="5">
        <v>19.850000000000001</v>
      </c>
      <c r="AS204" s="38" t="s">
        <v>19</v>
      </c>
      <c r="AT204" s="144"/>
      <c r="AU204" s="185" t="str">
        <f>IF(OR(SnapshotTable[[#This Row],[LP No Fill]]="Y",SnapshotTable[[#This Row],[SP Is Filled]],SnapshotTable[[#This Row],[LC Not Filled]]="Y",SnapshotTable[[#This Row],[SC Is Filled]]),"Y","")</f>
        <v/>
      </c>
      <c r="AV204" s="205"/>
      <c r="AW204" s="211"/>
      <c r="AX204" s="206"/>
      <c r="AY204" s="205" t="str">
        <f>IF(SnapshotTable[[#This Row],[Implied Move]]&gt;0, SnapshotTable[[#This Row],[Last Price]]-SnapshotTable[[#This Row],[Implied Move]],"")</f>
        <v/>
      </c>
      <c r="AZ204" s="205" t="str">
        <f>IF(SnapshotTable[[#This Row],[Implied Move]]&gt;0, SnapshotTable[[#This Row],[Last Price]] + SnapshotTable[[#This Row],[Implied Move]],"")</f>
        <v/>
      </c>
      <c r="BA204" s="302">
        <v>21.92</v>
      </c>
      <c r="BB204" s="318"/>
      <c r="BC20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4" s="321"/>
      <c r="BE204" s="5"/>
      <c r="BF204" s="14"/>
      <c r="BG204" s="13"/>
      <c r="BH204" s="13"/>
      <c r="BI204" s="5"/>
      <c r="BJ204" s="134">
        <f>IF(SnapshotTable[[#This Row],[LP Qty]] &gt; 0, SnapshotTable[[#This Row],[LP Qty]] * SnapshotTable[[#This Row],[LP Book Price]] * 100,0)</f>
        <v>0</v>
      </c>
      <c r="BK204" s="134">
        <f>IF(SnapshotTable[[#This Row],[LP Premium]] &gt; 0, SnapshotTable[[#This Row],[LP Qty]] * SnapshotTable[[#This Row],[LP Strike Price]] * 100,0)</f>
        <v>0</v>
      </c>
      <c r="BL204" s="152"/>
      <c r="BM204" s="355" t="str">
        <f>IF(SnapshotTable[[#This Row],[LP Premium]] &gt; 0,SnapshotTable[[#This Row],[LP Exp Date]]-MAX(SnapshotTable[[#This Row],[LP Book Date]], SnapshotTable[[#This Row],[LP Fill Date]]),"")</f>
        <v/>
      </c>
      <c r="BN204" s="355" t="str">
        <f>IF(ISNUMBER( SnapshotTable[[#This Row],[LP Term]]), SnapshotTable[[#This Row],[LP Exp Date]] - MockToday,"")</f>
        <v/>
      </c>
      <c r="BO204" s="161" t="str">
        <f>IF(AND(SnapshotTable[[#This Row],[LP Exp Date]]&gt;0, SnapshotTable[[#This Row],[LP Strike Price]]&gt;0,SnapshotTable[[#This Row],[LP Qty]]&gt;0,SnapshotTable[[#This Row],[LP Book Date]]&gt;0,SnapshotTable[[#This Row],[LP Book Price]]&gt;0,SnapshotTable[[#This Row],[LP Fill Date]]=0),"Y","")</f>
        <v/>
      </c>
      <c r="BP204" s="31" t="str">
        <f>IF(AND(SnapshotTable[[#This Row],[LP No Fill]]&lt;&gt;"Y",SnapshotTable[[#This Row],[LP Contract Value]]&gt;0, SnapshotTable[[#This Row],[LP Qty]]&gt;0), SnapshotTable[[#This Row],[LP Contract Value]]*SnapshotTable[[#This Row],[LP Qty]]*100,"")</f>
        <v/>
      </c>
      <c r="BQ204" s="13"/>
      <c r="BR204" s="5"/>
      <c r="BS204" s="36"/>
      <c r="BT204" s="145"/>
      <c r="BU204" s="13"/>
      <c r="BV204" s="5"/>
      <c r="BW204" s="382" t="b">
        <f>AND(ISNUMBER(SnapshotTable[[#This Row],[SP Exp Date]]), ISNUMBER(SnapshotTable[[#This Row],[SP Strike Price]]), ISNUMBER(SnapshotTable[[#This Row],[SP Qty]]), ISNUMBER(SnapshotTable[[#This Row],[SP Book Date]]), ISNUMBER(SnapshotTable[[#This Row],[SP Book Price]]))</f>
        <v>0</v>
      </c>
      <c r="BX204" s="382" t="b">
        <f>AND(SnapshotTable[[#This Row],[SP Is Booked]], NOT(ISBLANK(SnapshotTable[[#This Row],[SP Fill Date]])))</f>
        <v>0</v>
      </c>
      <c r="BY204" s="33">
        <f>IF(SnapshotTable[[#This Row],[SP Is Booked]], SnapshotTable[[#This Row],[SP Qty]] * SnapshotTable[[#This Row],[SP Book Price]] * 100, 0)</f>
        <v>0</v>
      </c>
      <c r="BZ204" s="339"/>
      <c r="CA204" s="338">
        <f>SnapshotTable[[#This Row],[LP Qty]]</f>
        <v>0</v>
      </c>
      <c r="CB204" s="4" t="str">
        <f>IF(SnapshotTable[[#This Row],[SP Is Booked]], SnapshotTable[[#This Row],[SP Strike Price]] - SnapshotTable[[#This Row],[SP Book Price]], "")</f>
        <v/>
      </c>
      <c r="CC204" s="19" t="str">
        <f>IF(SnapshotTable[[#This Row],[SP Is Booked]],SnapshotTable[[#This Row],[SP Exp Date]]-MAX(SnapshotTable[[#This Row],[SP Book Date]], SnapshotTable[[#This Row],[SP Fill Date]]),"")</f>
        <v/>
      </c>
      <c r="CD204" s="7" t="str">
        <f>IF(SnapshotTable[[#This Row],[SP Is Booked]], SnapshotTable[[#This Row],[SP Book Price]]/SnapshotTable[[#This Row],[SP Strike Price]], "")</f>
        <v/>
      </c>
      <c r="CE204" s="7" t="str">
        <f>IF(ISNUMBER(SnapshotTable[[#This Row],[SP ROO Term]]),SnapshotTable[[#This Row],[SP ROO Term]]*(365/SnapshotTable[[#This Row],[SP Term]]),"")</f>
        <v/>
      </c>
      <c r="CF204" s="221">
        <f>SnapshotTable[[#This Row],[LP Strike Price]] * SnapshotTable[[#This Row],[LP Qty]] * 100</f>
        <v>0</v>
      </c>
      <c r="CG204" s="31">
        <f>IF(ISNUMBER(SnapshotTable[[#This Row],[SP Premium]]), (SnapshotTable[[#This Row],[SP Qty]] * SnapshotTable[[#This Row],[SP Strike Price]]* 100) - SnapshotTable[[#This Row],[LP Protection]], 0)</f>
        <v>0</v>
      </c>
      <c r="CH204" s="7" t="str">
        <f>IF(ISNUMBER(SnapshotTable[[#This Row],[SP Break Even]]),-1 * (SnapshotTable[[#This Row],[SP Break Even]] - SnapshotTable[[#This Row],[Last Price]]) / SnapshotTable[[#This Row],[Last Price]], "")</f>
        <v/>
      </c>
      <c r="CI204" s="31">
        <f>IF(AND(ISNUMBER((SnapshotTable[[#This Row],[SP Potential Spend]])), SnapshotTable[[#This Row],[SP Strike Price]] &gt; SnapshotTable[[#This Row],[Last Price]], SnapshotTable[[#This Row],[SP Is Filled]]), SnapshotTable[[#This Row],[SP Potential Spend]] -  SnapshotTable[[#This Row],[LP Max Value]], 0)</f>
        <v>0</v>
      </c>
      <c r="CJ204" s="229"/>
      <c r="CK204" s="31">
        <f>IF(ISNUMBER(SnapshotTable[[#This Row],[SP Potential Spend]]),IF(ISNUMBER(SnapshotTable[[#This Row],[SP POW]]), SnapshotTable[[#This Row],[SP POW]] * SnapshotTable[[#This Row],[SP Potential Spend]], SnapshotTable[[#This Row],[SP Potential Spend]]), "")</f>
        <v>0</v>
      </c>
      <c r="CL204" s="162">
        <f>IF(NOT(SnapshotTable[[#This Row],[SP Is Filled]]),(SnapshotTable[[#This Row],[SP Qty]] * SnapshotTable[[#This Row],[SP Strike Price]] * 100) - SnapshotTable[[#This Row],[LP Max Value]],"")</f>
        <v>0</v>
      </c>
      <c r="CM204" s="31" t="str">
        <f>IF(SnapshotTable[[#This Row],[SP Actual Spend]]&lt;&gt;0, ((SnapshotTable[[#This Row],[SP Strike Price]]-SnapshotTable[[#This Row],[Last Price]]) *(SnapshotTable[[#This Row],[SP Qty]]*100) - SnapshotTable[[#This Row],[SP Premium]]) * - 1, "")</f>
        <v/>
      </c>
      <c r="CN204" s="76"/>
      <c r="CO204" s="339"/>
      <c r="CP204" s="4" t="str">
        <f>IF(SnapshotTable[[#This Row],[SP Is Filled]], btc_max_buyback_amount(SnapshotTable[[#This Row],[SP Fill Date]],SnapshotTable[[#This Row],[SP Exp Date]], SnapshotTable[[#This Row],[SP Book Price]]),"")</f>
        <v/>
      </c>
      <c r="CQ204" s="76"/>
      <c r="CR20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4" s="153" t="str">
        <f>IF(SnapshotTable[[#This Row],[SP Is Filled]], btc_next_cutoff_date(SnapshotTable[[#This Row],[SP Fill Date]],SnapshotTable[[#This Row],[SP Exp Date]]),"")</f>
        <v/>
      </c>
      <c r="CT204" s="220" t="str" cm="1">
        <f t="array" ref="CT204">IF(SnapshotTable[[#This Row],[SP Is Filled]], btc_should_buy_back(SnapshotTable[[#This Row],[SP Fill Date]], SnapshotTable[[#This Row],[SP Exp Date]], SnapshotTable[[#This Row],[SP Book Price]], SnapshotTable[[#This Row],[SP Current Ask]], MockToday, SnapshotTable[[#This Row],[SP Buyback Override]]),"")</f>
        <v/>
      </c>
      <c r="CU204" s="141"/>
      <c r="CV204" s="220"/>
      <c r="CW204" s="348" t="str">
        <f>IF(ISNUMBER( SnapshotTable[[#This Row],[SP Term]]), SnapshotTable[[#This Row],[SP Exp Date]] - MockToday,"")</f>
        <v/>
      </c>
      <c r="CX204" s="31" t="str">
        <f>IF(SnapshotTable[[#This Row],[SP Is Filled]],SnapshotTable[[#This Row],[SP Buyback Price to Use]] * 100 * SnapshotTable[[#This Row],[SP Qty]], "")</f>
        <v/>
      </c>
      <c r="CY204" s="4" t="str">
        <f>IF(ISNUMBER(SnapshotTable[[#This Row],[SP Strike Price]]), SnapshotTable[[#This Row],[SP Strike Price]] * (1 - SP_MaxLoss_StrikePct), "")</f>
        <v/>
      </c>
      <c r="CZ204" s="31" t="str">
        <f>IF(ISNUMBER(SnapshotTable[[#This Row],[SP Strike  Stop Per Share]]),SnapshotTable[[#This Row],[SP Premium]] - ((SnapshotTable[[#This Row],[SP Strike Price]]-SnapshotTable[[#This Row],[SP Strike  Stop Per Share]]) *(SnapshotTable[[#This Row],[SP Qty]] * 100)),"")</f>
        <v/>
      </c>
      <c r="DA204" s="4" t="str">
        <f>IF(AND(ISNUMBER(SnapshotTable[[#This Row],[SP Premium]]),SnapshotTable[[#This Row],[SP Premium]]&gt;0), SnapshotTable[[#This Row],[SP Book Price]] * (1 + SP_MaxLoss_OptionPct), "")</f>
        <v/>
      </c>
      <c r="DB204" s="31" t="str">
        <f>IF(ISNUMBER(SnapshotTable[[#This Row],[SP Option  Stop Contract]]),(SnapshotTable[[#This Row],[SP Option  Stop Contract]] *(SnapshotTable[[#This Row],[SP Qty]] * 100) - SnapshotTable[[#This Row],[SP Premium]]),"")</f>
        <v/>
      </c>
      <c r="DC204" s="4"/>
      <c r="DD204" s="4"/>
      <c r="DE204" s="4" t="str">
        <f>IF(AND(SnapshotTable[[#This Row],[SP Qty]]&gt;0, SnapshotTable[[#This Row],[SP Stop To Use]]&gt;0),SnapshotTable[[#This Row],[SP Premium]] - ( SnapshotTable[[#This Row],[SP Qty]] * SnapshotTable[[#This Row],[SP Stop To Use]] * 100), "")</f>
        <v/>
      </c>
      <c r="DF204" s="31" t="str">
        <f>IF(AND(SnapshotTable[[#This Row],[SP Qty]]&gt;0,SnapshotTable[[#This Row],[SP Current Ask]]&gt;0), SnapshotTable[[#This Row],[SP Qty]] * SnapshotTable[[#This Row],[SP Current Ask]] * -100, "")</f>
        <v/>
      </c>
      <c r="DG204" s="31" t="str">
        <f>IF(ISNUMBER((SnapshotTable[[#This Row],[SP Total Value]])), SnapshotTable[[#This Row],[SP Premium]] + SnapshotTable[[#This Row],[SP Total Value]], "")</f>
        <v/>
      </c>
      <c r="DH204" s="272" t="str">
        <f>IF(ISNUMBER((SnapshotTable[[#This Row],[SP Total Value]])), SnapshotTable[[#This Row],[SP Gain Loss]] / SnapshotTable[[#This Row],[SP Premium]], "")</f>
        <v/>
      </c>
      <c r="DI204" s="369"/>
      <c r="DJ204" s="136"/>
      <c r="DK204" s="146"/>
      <c r="DL204" s="13"/>
      <c r="DM204" s="13"/>
      <c r="DO204" s="31">
        <f>IF(SnapshotTable[[#This Row],[LC Symbol Count]]=1, SnapshotTable[[#This Row],[LC Qty]] * SnapshotTable[[#This Row],[LC Book Price]] * 100, 0)</f>
        <v>0</v>
      </c>
      <c r="DP204" s="161" t="str">
        <f>IF(AND(SnapshotTable[[#This Row],[LC Exp Date]]&gt;0, SnapshotTable[[#This Row],[LC Strike Price]]&gt;0,SnapshotTable[[#This Row],[LC Qty]]&gt;0,SnapshotTable[[#This Row],[LC Book Date]]&gt;0,SnapshotTable[[#This Row],[LC Book Price]]&gt;0,SnapshotTable[[#This Row],[LC Fill Date]]=0),"Y","")</f>
        <v/>
      </c>
      <c r="DQ204" s="356" t="str">
        <f>IF(SnapshotTable[[#This Row],[LC Premium]] &gt; 0,SnapshotTable[[#This Row],[LC Exp Date]]-MAX(SnapshotTable[[#This Row],[LC Book Date]], SnapshotTable[[#This Row],[LC Fill Date]]),"")</f>
        <v/>
      </c>
      <c r="DR204" s="356" t="str">
        <f>IF(ISNUMBER(SnapshotTable[[#This Row],[LC Term]]), SnapshotTable[[#This Row],[LC Exp Date]] - MockToday, "")</f>
        <v/>
      </c>
      <c r="DS204" s="219" t="str">
        <f>IF(SnapshotTable[[#This Row],[LC Premium]]&gt;0,SnapshotTable[[#This Row],[LC Strike Price]] + SnapshotTable[[#This Row],[LC Book Price]],"")</f>
        <v/>
      </c>
      <c r="DU204" s="9" t="str">
        <f>IF(AND(SnapshotTable[[#This Row],[LC Symbol Count]]&gt;0, SnapshotTable[[#This Row],[LC Contract Value]]&gt;0), SnapshotTable[[#This Row],[LC Contract Value]] * SnapshotTable[[#This Row],[LC Qty]] * 100, "")</f>
        <v/>
      </c>
      <c r="DV204" s="9" t="str">
        <f>IF(AND(ISNUMBER(SnapshotTable[[#This Row],[LC Total Value]]), SnapshotTable[[#This Row],[LC Not Filled]]&lt;&gt;"Y"), SnapshotTable[[#This Row],[LC Total Value]]-SnapshotTable[[#This Row],[LC Premium]],"")</f>
        <v/>
      </c>
      <c r="DW204" s="225" t="str">
        <f>IF(ISNUMBER(SnapshotTable[[#This Row],[LC Actual Gain Loss]]), SnapshotTable[[#This Row],[LC Actual Gain Loss]] / SnapshotTable[[#This Row],[LC Premium]],"")</f>
        <v/>
      </c>
      <c r="DX204" s="269" t="str">
        <f>IF(ISNUMBER(SnapshotTable[[#This Row],[LC Book Price]]),SnapshotTable[[#This Row],[LC Book Price]] * 1.5,"")</f>
        <v/>
      </c>
      <c r="DY204" s="250" t="str">
        <f>IF(SnapshotTable[[#This Row],[LC Premium]]&gt;0, SnapshotTable[[#This Row],[LC Next Target]] * SnapshotTable[[#This Row],[LC Qty]] * 100,"")</f>
        <v/>
      </c>
      <c r="DZ204" s="250" t="str">
        <f>IF(ISNUMBER(SnapshotTable[[#This Row],[LC Target Gross]]), SnapshotTable[[#This Row],[LC Target Gross]] - SnapshotTable[[#This Row],[LC Premium]], "")</f>
        <v/>
      </c>
      <c r="EA204" s="283" t="str">
        <f>IF(ISNUMBER(SnapshotTable[[#This Row],[LC Target Gain Loss]]), SnapshotTable[[#This Row],[LC Target Gain Loss]]/SnapshotTable[[#This Row],[LC Premium]], "")</f>
        <v/>
      </c>
      <c r="EB204" s="247"/>
      <c r="EC204" s="268" t="str">
        <f>IF(SnapshotTable[[#This Row],[LC Premium]]&gt;0, SnapshotTable[[#This Row],[LC Book Price]] * (1 - LC_StopLoss_Pct),"")</f>
        <v/>
      </c>
      <c r="ED204" s="269"/>
      <c r="EE204" s="268" t="str">
        <f>IF(ISNUMBER(SnapshotTable[[#This Row],[LC Contract Value]]),IF(ISNUMBER(SnapshotTable[[#This Row],[LC Stop Loss Override]]), SnapshotTable[[#This Row],[LC Stop Loss Override]],SnapshotTable[[#This Row],[LC Stop Loss Calc Target]]),"")</f>
        <v/>
      </c>
      <c r="EF204" s="31" t="str">
        <f>IF(ISNUMBER(SnapshotTable[[#This Row],[LC Stop  To Use]]), (SnapshotTable[[#This Row],[LC Stop  To Use]] * SnapshotTable[[#This Row],[LC Qty]] * 100),"")</f>
        <v/>
      </c>
      <c r="EG204" s="9" t="str">
        <f>IF(ISNUMBER(SnapshotTable[[#This Row],[LC Total Value]]),SnapshotTable[[#This Row],[LC Stop Loss Amount]] - SnapshotTable[[#This Row],[LC Premium]],"")</f>
        <v/>
      </c>
      <c r="EH204" s="9">
        <f>IF(ISNUMBER(SnapshotTable[[#This Row],[LC Premium]]), SnapshotTable[[#This Row],[LC Qty]] * 100 * SnapshotTable[[#This Row],[LC Strike Price]], "")</f>
        <v>0</v>
      </c>
      <c r="EI204" s="225" t="str">
        <f>IF(AND(ISNUMBER(SnapshotTable[[#This Row],[LC Total Value]]),SnapshotTable[[#This Row],[LC Total Value]]&gt;0),SnapshotTable[[#This Row],[LC Stop Gain Loss]]  / SnapshotTable[[#This Row],[LC Premium]],"")</f>
        <v/>
      </c>
      <c r="EJ204" s="35">
        <f>IF(ISNUMBER(SnapshotTable[[#This Row],[Equity Shares]]),TRUNC(SnapshotTable[[#This Row],[Equity Shares]] / 100),0) + SnapshotTable[[#This Row],[LC Qty]]</f>
        <v>0</v>
      </c>
      <c r="EK204" s="145"/>
      <c r="EL204" s="136"/>
      <c r="EM204" s="146"/>
      <c r="EN204" s="145"/>
      <c r="EO204" s="145"/>
      <c r="EP204" s="136"/>
      <c r="EQ204" s="382" t="b">
        <f>AND(ISNUMBER(SnapshotTable[[#This Row],[SC Exp Date]]), ISNUMBER(SnapshotTable[[#This Row],[SC Strike Price]]), ISNUMBER(SnapshotTable[[#This Row],[SC Qty]]), ISNUMBER(SnapshotTable[[#This Row],[SC Book Date]]), ISNUMBER(SnapshotTable[[#This Row],[SC Book Price]]))</f>
        <v>0</v>
      </c>
      <c r="ER204" s="382" t="b">
        <f>AND(SnapshotTable[[#This Row],[SC Is Booked]], NOT(ISBLANK(SnapshotTable[[#This Row],[SC Fill Date]])))</f>
        <v>0</v>
      </c>
      <c r="ES204" s="340"/>
      <c r="ET204" s="34" t="str">
        <f>IF(AND(ISNUMBER(SnapshotTable[[#This Row],[SC Exp Date]]), ISNUMBER(SnapshotTable[[#This Row],[SC Book Date]])), SnapshotTable[[#This Row],[SC Exp Date]] - MAX(SnapshotTable[[#This Row],[SC Book Date]], SnapshotTable[[#This Row],[SC Fill Date]]) + 1, "")</f>
        <v/>
      </c>
      <c r="EU204" s="34" t="str">
        <f>IF(ISNUMBER(SnapshotTable[[#This Row],[SC Term]]), SnapshotTable[[#This Row],[SC Exp Date]]- MockToday, "")</f>
        <v/>
      </c>
      <c r="EV204" s="31">
        <f>IF(SnapshotTable[[#This Row],[SC Is Booked]], SnapshotTable[[#This Row],[SC Qty]] * SnapshotTable[[#This Row],[SC Book Price]] * 100, 0)</f>
        <v>0</v>
      </c>
      <c r="EW204" s="4" t="str">
        <f>IF(AND(ISNUMBER(SnapshotTable[[#This Row],[Last Price]]), ISNUMBER( SnapshotTable[[#This Row],[SC Book Price]])), SnapshotTable[[#This Row],[Last Price]] - SnapshotTable[[#This Row],[SC Book Price]],"")</f>
        <v/>
      </c>
      <c r="EX204" s="219" t="str">
        <f>IF(SnapshotTable[[#This Row],[SC Is Booked]],IF(SnapshotTable[[#This Row],[SC Intrinsic Value]] &gt; 0, SnapshotTable[[#This Row],[SC Strike Price]], SnapshotTable[[#This Row],[Last Price]]), "")</f>
        <v/>
      </c>
      <c r="EY204" s="4">
        <f>IF(SnapshotTable[[#This Row],[SC Is Booked]], (MinimumPremiumRequired * SnapshotTable[[#This Row],[SC Basis]] * SnapshotTable[[#This Row],[SC Term]]), 0)</f>
        <v>0</v>
      </c>
      <c r="EZ204" s="268"/>
      <c r="FA204" s="204"/>
      <c r="FB204" s="340"/>
      <c r="FC204" s="4">
        <f>IF(SnapshotTable[[#This Row],[SC Is Filled]], btc_max_buyback_amount(SnapshotTable[[#This Row],[SC Fill Date]],SnapshotTable[[#This Row],[SC Exp Date]], SnapshotTable[[#This Row],[SC Book Price]]),0)</f>
        <v>0</v>
      </c>
      <c r="FD204" s="5"/>
      <c r="FE204" s="142" t="str">
        <f>IF(SnapshotTable[[#This Row],[SC Is Filled]], btc_next_cutoff_date(SnapshotTable[[#This Row],[SC Fill Date]],SnapshotTable[[#This Row],[SC Exp Date]]),"")</f>
        <v/>
      </c>
      <c r="FF204" s="4" t="str" cm="1">
        <f t="array" ref="FF204">IF(SnapshotTable[[#This Row],[SC Is Filled]], btc_should_buy_back(SnapshotTable[[#This Row],[SC Fill Date]], SnapshotTable[[#This Row],[SC Exp Date]], SnapshotTable[[#This Row],[SC Book Price]], SnapshotTable[[#This Row],[SC Current Ask]], MockToday, SnapshotTable[[#This Row],[SC Buyback Override]]),"")</f>
        <v/>
      </c>
      <c r="FG204" s="4">
        <f>IF(SnapshotTable[[#This Row],[SC Is Filled]], MAX(0,SnapshotTable[[#This Row],[Last Price]]  - SnapshotTable[[#This Row],[SC Strike Price]]), 0)</f>
        <v>0</v>
      </c>
      <c r="FH204" s="352">
        <f>IF(SnapshotTable[[#This Row],[SC Is Filled]], IF(ISNUMBER(SnapshotTable[[#This Row],[SC Current Ask]]), SnapshotTable[[#This Row],[SC Current Ask]], SnapshotTable[[#This Row],[SC Book Price]]) - SnapshotTable[[#This Row],[SC Intrinsic Value]], 0)</f>
        <v>0</v>
      </c>
      <c r="FI204" s="141"/>
      <c r="FJ204" s="32" t="str">
        <f>IF(SnapshotTable[[#This Row],[SC Is Filled]],100 * SnapshotTable[[#This Row],[SC Qty]] * IF(ISNUMBER(SnapshotTable[[#This Row],[SC Buyback Override]]), SnapshotTable[[#This Row],[SC Buyback Override]], SnapshotTable[[#This Row],[SC Current Ask]]), "")</f>
        <v/>
      </c>
      <c r="FK204" s="235" t="str">
        <f>IF(SnapshotTable[[#This Row],[SC Time Val]]&gt;0, SnapshotTable[[#This Row],[SC Time Val]] / SnapshotTable[[#This Row],[Last Price]],"")</f>
        <v/>
      </c>
      <c r="FL204" s="280" t="str">
        <f>IF(SnapshotTable[[#This Row],[SC Is Booked]], ((SnapshotTable[[#This Row],[Last Price]] -SnapshotTable[[#This Row],[SC Strike Price]]) / SnapshotTable[[#This Row],[Last Price]]) * -1, "")</f>
        <v/>
      </c>
      <c r="FM204" s="155" t="str">
        <f>IF(SnapshotTable[[#This Row],[SC Is Booked]],  (SnapshotTable[[#This Row],[SC Qty]] * 100 * SnapshotTable[[#This Row],[SC Strike Price]]) - SnapshotTable[[#This Row],[SC Current Ask]], "")</f>
        <v/>
      </c>
      <c r="FN20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4" s="31" t="str">
        <f>IF(AND(ISNUMBER(SnapshotTable[[#This Row],[SC Exercise Gross]]), ISNUMBER(SnapshotTable[[#This Row],[Equity Basis Per Share]] )), SnapshotTable[[#This Row],[SC Exercise Gross]] - SnapshotTable[[#This Row],[Equity Basis Total]] +  SnapshotTable[[#This Row],[SC Premium]], "")</f>
        <v/>
      </c>
      <c r="FP204" s="5" t="str">
        <f>IF(ISNUMBER(SnapshotTable[[#This Row],[SC Exercise Gross]]), (SnapshotTable[[#This Row],[SC Exercise Gross]]) / (SnapshotTable[[#This Row],[SC Qty]] * 100), "")</f>
        <v/>
      </c>
      <c r="FQ204" s="27" t="str">
        <f>IF(SnapshotTable[[#This Row],[SC Is Booked]],SnapshotTable[[#This Row],[SC Time Val]] /SnapshotTable[[#This Row],[SC Basis]], "")</f>
        <v/>
      </c>
      <c r="FR204" s="27" t="str" cm="1">
        <f t="array" ref="FR204">IF(AND(ISNUMBER(SnapshotTable[[#This Row],[SC Term]]),ISNUMBER(SnapshotTable[[#This Row],[SC Simple ROO]])), EllmanAnnualize(SnapshotTable[[#This Row],[SC DTE]], SnapshotTable[[#This Row],[SC Simple ROO]] ),"")</f>
        <v/>
      </c>
      <c r="FS204" s="4">
        <f>IF(SnapshotTable[[#This Row],[SC Strike Price]] &gt; SnapshotTable[[#This Row],[Last Price]], SnapshotTable[[#This Row],[SC Strike Price]] - SnapshotTable[[#This Row],[Last Price]],0)</f>
        <v>0</v>
      </c>
      <c r="FT204" s="27" t="str">
        <f>IF(AND(ISNUMBER(SnapshotTable[[#This Row],[SC Upside Potential]]), SnapshotTable[[#This Row],[SC Upside Potential]] &gt; 0),(SnapshotTable[[#This Row],[SC Upside Potential]]/ SnapshotTable[[#This Row],[ACB]]),"")</f>
        <v/>
      </c>
      <c r="FU204" s="304" t="str">
        <f>IF(SnapshotTable[[#This Row],[SC Intrinsic Value]] &gt; 0,SnapshotTable[[#This Row],[SC Intrinsic Value]],"")</f>
        <v/>
      </c>
      <c r="FV204" s="27" t="str">
        <f>IF(AND( ISNUMBER( SnapshotTable[[#This Row],[ACB]]),ISNUMBER(SnapshotTable[[#This Row],[SC Downside Protect]])),SnapshotTable[[#This Row],[SC Downside Protect]] / SnapshotTable[[#This Row],[ACB]],"")</f>
        <v/>
      </c>
      <c r="FW204" s="221" t="str">
        <f>IF(AND(ISNUMBER(SnapshotTable[[#This Row],[SC Simple ROO]]),SnapshotTable[[#This Row],[SC Simple ROO]] &gt; 0), SnapshotTable[[#This Row],[SC Premium]] + (SnapshotTable[[#This Row],[SC Qty]] * SnapshotTable[[#This Row],[SC Upside Potential]]), "")</f>
        <v/>
      </c>
      <c r="FX204" s="280" t="str" cm="1">
        <f t="array" ref="FX204">IF(ISNUMBER(SnapshotTable[[#This Row],[SC Max Dollars]]), annualize(SnapshotTable[[#This Row],[SC Term]],(SnapshotTable[[#This Row],[SC Max Dollars]]/SnapshotTable[[#This Row],[SC Basis]])),"")</f>
        <v/>
      </c>
      <c r="FY204" s="221" t="str">
        <f>IF(AND(SnapshotTable[[#This Row],[SC Qty]]&gt;0,SnapshotTable[[#This Row],[SC Current Ask]]&gt;0), SnapshotTable[[#This Row],[SC Qty]] * SnapshotTable[[#This Row],[SC Current Ask]] * -100, "")</f>
        <v/>
      </c>
      <c r="FZ204" s="31" t="str">
        <f>IF(ISNUMBER((SnapshotTable[[#This Row],[SC Current Value]])), SnapshotTable[[#This Row],[SC Premium]] + SnapshotTable[[#This Row],[SC Current Value]], "")</f>
        <v/>
      </c>
      <c r="GA204" s="272" t="str">
        <f>IFERROR( IF(ISNUMBER((SnapshotTable[[#This Row],[SC Current Value]])), SnapshotTable[[#This Row],[SC Gain Loss]] / SnapshotTable[[#This Row],[SC Premium]], ""), "")</f>
        <v/>
      </c>
      <c r="GB204" s="42">
        <f>SnapshotTable[[#This Row],[Equity Shares]] * SaleSharesToConsiderPercentage</f>
        <v>0</v>
      </c>
      <c r="GC204" s="40">
        <f>SnapshotTable[[#This Row],[Long Term Target]] * SellingPriceToConsiderBasedOnTargetPercentage</f>
        <v>22.163499999999999</v>
      </c>
      <c r="GD204" s="40">
        <f>SnapshotTable[[#This Row],[Last Price]] * (1+ SellingPriceToConsiderBasedOnTargetPercentage)</f>
        <v>13.221</v>
      </c>
      <c r="GE204" s="41"/>
      <c r="GF204" s="40"/>
      <c r="GG204" s="31">
        <f>SnapshotTable[[#This Row],[Booked Sale Shares]] * SnapshotTable[[#This Row],[Booked Sale Price]]</f>
        <v>0</v>
      </c>
      <c r="GH204" s="31" t="str">
        <f>IF(SnapshotTable[[#This Row],[Equity Basis Total]] &gt; 0, SnapshotTable[[#This Row],[Equity Basis Per Share]] * SnapshotTable[[#This Row],[Booked Sale Shares]], "")</f>
        <v/>
      </c>
      <c r="GI204" s="31">
        <f>IF(SnapshotTable[[#This Row],[Sale Proceeds]]&gt;0, SnapshotTable[[#This Row],[Sale Proceeds]] - SnapshotTable[[#This Row],[Sale Basis]], 0)</f>
        <v>0</v>
      </c>
      <c r="GJ204" s="27" t="str">
        <f>IF(SnapshotTable[[#This Row],[Sale G/L]]&gt;0, SnapshotTable[[#This Row],[Sale G/L]] / SnapshotTable[[#This Row],[Sale Basis]], IF(ISNUMBER(SnapshotTable[[#This Row],[SC Exercise P&amp;L (TAX)]]), SnapshotTable[[#This Row],[SC Exercise P&amp;L (TAX)]] / SnapshotTable[[#This Row],[SC Basis]], ""))</f>
        <v/>
      </c>
      <c r="GK204" s="27" t="s">
        <v>805</v>
      </c>
      <c r="GL204" s="43" t="str">
        <f>IF(AND(SnapshotTable[[#This Row],[LP Exp Date]]&gt;0,SnapshotTable[[#This Row],[LP Strike Price]]&gt;0), [1]!ToOptionSymbol(SnapshotTable[[#This Row],[Symbol]], SnapshotTable[[#This Row],[LP Strike Price]],SnapshotTable[[#This Row],[LP Exp Date]],1), "")</f>
        <v/>
      </c>
      <c r="GM204" s="30" t="str">
        <f>IF(LEN(SnapshotTable[[#This Row],[LP Symbol]])&gt;0, 1, "")</f>
        <v/>
      </c>
      <c r="GN204" s="43" t="str">
        <f>IF(AND(SnapshotTable[[#This Row],[SP Exp Date]]&gt;0,SnapshotTable[[#This Row],[SP Strike Price]]&gt;0), [1]!ToOptionSymbol(SnapshotTable[[#This Row],[Symbol]], SnapshotTable[[#This Row],[SP Strike Price]],SnapshotTable[[#This Row],[SP Exp Date]],1), "")</f>
        <v/>
      </c>
      <c r="GO204" s="30" t="str">
        <f>IF(LEN(SnapshotTable[[#This Row],[SP Symbol]])&gt;0, 1, "")</f>
        <v/>
      </c>
      <c r="GP204" s="43" t="str">
        <f>IF(AND(SnapshotTable[[#This Row],[LC Exp Date]]&gt;0,SnapshotTable[[#This Row],[LC Strike Price]]&gt;0), [1]!ToOptionSymbol(SnapshotTable[[#This Row],[Symbol]], SnapshotTable[[#This Row],[LC Strike Price]],SnapshotTable[[#This Row],[LC Exp Date]],0), "")</f>
        <v/>
      </c>
      <c r="GQ204" s="30" t="str">
        <f>IF(LEN(SnapshotTable[[#This Row],[LC Symbol]])&gt;0, 1, "")</f>
        <v/>
      </c>
      <c r="GR204" s="43" t="str">
        <f>IF(AND(SnapshotTable[[#This Row],[SC Exp Date]]&gt;0,SnapshotTable[[#This Row],[SC Strike Price]]&gt;0), [1]!ToOptionSymbol(SnapshotTable[[#This Row],[Symbol]], SnapshotTable[[#This Row],[SC Strike Price]],SnapshotTable[[#This Row],[SC Exp Date]],0), "")</f>
        <v/>
      </c>
      <c r="GS204" s="30" t="str">
        <f>IF(LEN(SnapshotTable[[#This Row],[SC Symbol]])&gt;0, 1, "")</f>
        <v/>
      </c>
      <c r="GT204" s="29" t="str">
        <f>IF(COUNT(SnapshotTable[[#This Row],[LP Symbol Count]],SnapshotTable[[#This Row],[SP Symbol Count]],SnapshotTable[[#This Row],[LC Symbol Count]],SnapshotTable[[#This Row],[SC Symbol Count]])&gt;0, "Y", "")</f>
        <v/>
      </c>
      <c r="GU20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4" s="216">
        <f>MAX(SnapshotTable[[#This Row],[Equity Basis Total]],SnapshotTable[[#This Row],[Equity Value]]) + (SnapshotTable[[#This Row],[SP Potential Spend]]- SnapshotTable[[#This Row],[SP Premium]] + SnapshotTable[[#This Row],[LP Premium]])+ (SnapshotTable[[#This Row],[LC Premium]] - SnapshotTable[[#This Row],[SC Premium]])</f>
        <v>0</v>
      </c>
      <c r="GW204" s="137" t="str">
        <f>IF(AND(SnapshotTable[[#This Row],[Exposure]] &lt;&gt; 0),SnapshotTable[[#This Row],[Exposure]] / SnapshotTable[[#Totals],[Exposure]], "")</f>
        <v/>
      </c>
      <c r="HE204" s="253"/>
      <c r="HF204" s="253"/>
      <c r="HK204" s="1"/>
      <c r="HL204" s="1"/>
      <c r="HM204" s="1"/>
      <c r="HN204" s="1"/>
      <c r="HO204" s="1"/>
      <c r="HP204" s="1"/>
    </row>
    <row r="205" spans="2:224" ht="12.75" hidden="1" customHeight="1" x14ac:dyDescent="0.25">
      <c r="B205" s="12" t="s">
        <v>161</v>
      </c>
      <c r="C205" s="385">
        <v>143.69</v>
      </c>
      <c r="D205" s="200"/>
      <c r="E205" s="39">
        <f>SnapshotTable[[#This Row],[Last Price]]*(1 -CrashDiscount)</f>
        <v>122.1365</v>
      </c>
      <c r="F205" s="26" t="s">
        <v>160</v>
      </c>
      <c r="G205" s="26" t="s">
        <v>12</v>
      </c>
      <c r="H205" s="147"/>
      <c r="I205" s="186">
        <v>44775.270833333336</v>
      </c>
      <c r="J205" s="187">
        <v>44775.270833333336</v>
      </c>
      <c r="K205" s="188"/>
      <c r="L205" s="297"/>
      <c r="M205" s="138"/>
      <c r="N205" s="138"/>
      <c r="O205" s="138"/>
      <c r="P205" s="22"/>
      <c r="Q205" s="25"/>
      <c r="R205" s="4" t="str">
        <f>IF(SnapshotTable[[#This Row],[Equity Basis Total]] &gt; 0, SnapshotTable[[#This Row],[Equity Basis Total]] / SnapshotTable[[#This Row],[Equity Shares]], "")</f>
        <v/>
      </c>
      <c r="S205" s="254">
        <f>SnapshotTable[[#This Row],[Last Price]] * SnapshotTable[[#This Row],[Equity Shares]]</f>
        <v>0</v>
      </c>
      <c r="T205" s="254">
        <f>SnapshotTable[[#This Row],[Equity Value]] - SnapshotTable[[#This Row],[Equity Basis Total]]</f>
        <v>0</v>
      </c>
      <c r="U205" s="255" t="str">
        <f>IF(SnapshotTable[[#This Row],[Equity Basis Total]] &gt; 0, SnapshotTable[[#This Row],[Equity G/L]] / SnapshotTable[[#This Row],[Equity Basis Total]], "")</f>
        <v/>
      </c>
      <c r="V205" s="253"/>
      <c r="W205" s="253"/>
      <c r="X205" s="4" t="str">
        <f>IF(AND(ISNUMBER(SnapshotTable[[#This Row],[Equity Basis Per Share]]),ISNUMBER(SnapshotTable[[#This Row],[Equity Target]])),SnapshotTable[[#This Row],[Equity Target]]-SnapshotTable[[#This Row],[Equity Basis Per Share]],"")</f>
        <v/>
      </c>
      <c r="Y205" s="4" t="str">
        <f>IF(AND(ISNUMBER(SnapshotTable[[#This Row],[Equity Basis Per Share]]),ISNUMBER(SnapshotTable[[#This Row],[Equity Stop Loss]])),SnapshotTable[[#This Row],[Equity Stop Loss]]-SnapshotTable[[#This Row],[Equity Basis Per Share]],"")</f>
        <v/>
      </c>
      <c r="Z205" s="260" t="str">
        <f>IFERROR( TEXT(SnapshotTable[[#This Row],[Equity Max Gain Per Share]] /ABS( SnapshotTable[[#This Row],[Equity Max Loss Per Share]]),"0.0 " ) &amp; " : 1", "")</f>
        <v/>
      </c>
      <c r="AA205" s="31" t="str">
        <f>IF(ISNUMBER(SnapshotTable[[#This Row],[Equity Max Gain Per Share]]),SnapshotTable[[#This Row],[Equity Max Gain Per Share]] * SnapshotTable[[#This Row],[Equity Shares]],"")</f>
        <v/>
      </c>
      <c r="AB205" s="31" t="str">
        <f>IF(ISNUMBER(SnapshotTable[[#This Row],[Equity Max Loss Per Share]]),SnapshotTable[[#This Row],[Equity Max Loss Per Share]] * SnapshotTable[[#This Row],[Equity Shares]],"")</f>
        <v/>
      </c>
      <c r="AC205" s="148">
        <v>1</v>
      </c>
      <c r="AD205" s="149">
        <v>42359</v>
      </c>
      <c r="AE205" s="31">
        <f>(SnapshotTable[[#This Row],[Annual Dividend Per Share]] / 4) * SnapshotTable[[#This Row],[Equity Shares]]</f>
        <v>0</v>
      </c>
      <c r="AF205" s="31">
        <f>SnapshotTable[[#This Row],[Quarterly Div $]] * 4</f>
        <v>0</v>
      </c>
      <c r="AG205" s="7">
        <f>IF(SnapshotTable[[#This Row],[Annual Dividend Per Share]]&gt;0, SnapshotTable[[#This Row],[Annual Dividend Per Share]]  / SnapshotTable[[#This Row],[Last Price]], 0)</f>
        <v>6.9594265432528363E-3</v>
      </c>
      <c r="AH205" s="149">
        <v>42243</v>
      </c>
      <c r="AI205" s="5"/>
      <c r="AJ205" s="136">
        <v>117.75</v>
      </c>
      <c r="AK205" s="150" t="str">
        <f>IF(ISNUMBER( SnapshotTable[[#This Row],[EBF Target]]),(SnapshotTable[[#This Row],[EBF Target]] - SnapshotTable[[#This Row],[Last Price]]) / SnapshotTable[[#This Row],[Last Price]], "")</f>
        <v/>
      </c>
      <c r="AL205" s="150" t="str">
        <f>IF(AND(SnapshotTable[[#This Row],[Equity Basis Total]] &gt; 0,ISNUMBER( SnapshotTable[[#This Row],[Long Term Target]])), SnapshotTable[[#This Row],[From Basis $]] / SnapshotTable[[#This Row],[Equity Basis Total]], "")</f>
        <v/>
      </c>
      <c r="AM205" s="9">
        <f>IF( AND(SnapshotTable[[#This Row],[Equity Shares]] &gt;0,ISNUMBER( SnapshotTable[[#This Row],[Long Term Target]])),(SnapshotTable[[#This Row],[Equity Shares]] * SnapshotTable[[#This Row],[Long Term Target]]) - SnapshotTable[[#This Row],[Equity Basis Total]],0)</f>
        <v>0</v>
      </c>
      <c r="AN205" s="9">
        <f>IF( AND(SnapshotTable[[#This Row],[Equity Shares]] &gt;0,ISNUMBER( SnapshotTable[[#This Row],[Long Term Target]])),(SnapshotTable[[#This Row],[Equity Shares]]*SnapshotTable[[#This Row],[Long Term Target]]) - SnapshotTable[[#This Row],[Equity Value]],0)</f>
        <v>0</v>
      </c>
      <c r="AO205" s="150">
        <f>IF(AND(ISNUMBER( SnapshotTable[[#This Row],[Long Term Target]]), ISNUMBER(SnapshotTable[[#This Row],[Last Price]])),(SnapshotTable[[#This Row],[Long Term Target]] - SnapshotTable[[#This Row],[Last Price]]) / SnapshotTable[[#This Row],[Last Price]], "")</f>
        <v>-0.18052752453197854</v>
      </c>
      <c r="AP205" s="5"/>
      <c r="AQ205" s="38"/>
      <c r="AR205" s="5"/>
      <c r="AS205" s="38"/>
      <c r="AT205" s="144"/>
      <c r="AU205" s="185" t="str">
        <f>IF(OR(SnapshotTable[[#This Row],[LP No Fill]]="Y",SnapshotTable[[#This Row],[SP Is Filled]],SnapshotTable[[#This Row],[LC Not Filled]]="Y",SnapshotTable[[#This Row],[SC Is Filled]]),"Y","")</f>
        <v/>
      </c>
      <c r="AV205" s="205"/>
      <c r="AW205" s="211"/>
      <c r="AX205" s="206"/>
      <c r="AY205" s="205" t="str">
        <f>IF(SnapshotTable[[#This Row],[Implied Move]]&gt;0, SnapshotTable[[#This Row],[Last Price]]-SnapshotTable[[#This Row],[Implied Move]],"")</f>
        <v/>
      </c>
      <c r="AZ205" s="205" t="str">
        <f>IF(SnapshotTable[[#This Row],[Implied Move]]&gt;0, SnapshotTable[[#This Row],[Last Price]] + SnapshotTable[[#This Row],[Implied Move]],"")</f>
        <v/>
      </c>
      <c r="BA205" s="302"/>
      <c r="BB205" s="318"/>
      <c r="BC20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5" s="321"/>
      <c r="BE205" s="5"/>
      <c r="BF205" s="14"/>
      <c r="BG205" s="13"/>
      <c r="BH205" s="13"/>
      <c r="BI205" s="5"/>
      <c r="BJ205" s="134">
        <f>IF(SnapshotTable[[#This Row],[LP Qty]] &gt; 0, SnapshotTable[[#This Row],[LP Qty]] * SnapshotTable[[#This Row],[LP Book Price]] * 100,0)</f>
        <v>0</v>
      </c>
      <c r="BK205" s="134">
        <f>IF(SnapshotTable[[#This Row],[LP Premium]] &gt; 0, SnapshotTable[[#This Row],[LP Qty]] * SnapshotTable[[#This Row],[LP Strike Price]] * 100,0)</f>
        <v>0</v>
      </c>
      <c r="BL205" s="152"/>
      <c r="BM205" s="355" t="str">
        <f>IF(SnapshotTable[[#This Row],[LP Premium]] &gt; 0,SnapshotTable[[#This Row],[LP Exp Date]]-MAX(SnapshotTable[[#This Row],[LP Book Date]], SnapshotTable[[#This Row],[LP Fill Date]]),"")</f>
        <v/>
      </c>
      <c r="BN205" s="355" t="str">
        <f>IF(ISNUMBER( SnapshotTable[[#This Row],[LP Term]]), SnapshotTable[[#This Row],[LP Exp Date]] - MockToday,"")</f>
        <v/>
      </c>
      <c r="BO205" s="161" t="str">
        <f>IF(AND(SnapshotTable[[#This Row],[LP Exp Date]]&gt;0, SnapshotTable[[#This Row],[LP Strike Price]]&gt;0,SnapshotTable[[#This Row],[LP Qty]]&gt;0,SnapshotTable[[#This Row],[LP Book Date]]&gt;0,SnapshotTable[[#This Row],[LP Book Price]]&gt;0,SnapshotTable[[#This Row],[LP Fill Date]]=0),"Y","")</f>
        <v/>
      </c>
      <c r="BP205" s="31" t="str">
        <f>IF(AND(SnapshotTable[[#This Row],[LP No Fill]]&lt;&gt;"Y",SnapshotTable[[#This Row],[LP Contract Value]]&gt;0, SnapshotTable[[#This Row],[LP Qty]]&gt;0), SnapshotTable[[#This Row],[LP Contract Value]]*SnapshotTable[[#This Row],[LP Qty]]*100,"")</f>
        <v/>
      </c>
      <c r="BQ205" s="13"/>
      <c r="BR205" s="5"/>
      <c r="BS205" s="36"/>
      <c r="BT205" s="145"/>
      <c r="BU205" s="13"/>
      <c r="BV205" s="5"/>
      <c r="BW205" s="382" t="b">
        <f>AND(ISNUMBER(SnapshotTable[[#This Row],[SP Exp Date]]), ISNUMBER(SnapshotTable[[#This Row],[SP Strike Price]]), ISNUMBER(SnapshotTable[[#This Row],[SP Qty]]), ISNUMBER(SnapshotTable[[#This Row],[SP Book Date]]), ISNUMBER(SnapshotTable[[#This Row],[SP Book Price]]))</f>
        <v>0</v>
      </c>
      <c r="BX205" s="382" t="b">
        <f>AND(SnapshotTable[[#This Row],[SP Is Booked]], NOT(ISBLANK(SnapshotTable[[#This Row],[SP Fill Date]])))</f>
        <v>0</v>
      </c>
      <c r="BY205" s="33">
        <f>IF(SnapshotTable[[#This Row],[SP Is Booked]], SnapshotTable[[#This Row],[SP Qty]] * SnapshotTable[[#This Row],[SP Book Price]] * 100, 0)</f>
        <v>0</v>
      </c>
      <c r="BZ205" s="339"/>
      <c r="CA205" s="338">
        <f>SnapshotTable[[#This Row],[LP Qty]]</f>
        <v>0</v>
      </c>
      <c r="CB205" s="4" t="str">
        <f>IF(SnapshotTable[[#This Row],[SP Is Booked]], SnapshotTable[[#This Row],[SP Strike Price]] - SnapshotTable[[#This Row],[SP Book Price]], "")</f>
        <v/>
      </c>
      <c r="CC205" s="19" t="str">
        <f>IF(SnapshotTable[[#This Row],[SP Is Booked]],SnapshotTable[[#This Row],[SP Exp Date]]-MAX(SnapshotTable[[#This Row],[SP Book Date]], SnapshotTable[[#This Row],[SP Fill Date]]),"")</f>
        <v/>
      </c>
      <c r="CD205" s="7" t="str">
        <f>IF(SnapshotTable[[#This Row],[SP Is Booked]], SnapshotTable[[#This Row],[SP Book Price]]/SnapshotTable[[#This Row],[SP Strike Price]], "")</f>
        <v/>
      </c>
      <c r="CE205" s="7" t="str">
        <f>IF(ISNUMBER(SnapshotTable[[#This Row],[SP ROO Term]]),SnapshotTable[[#This Row],[SP ROO Term]]*(365/SnapshotTable[[#This Row],[SP Term]]),"")</f>
        <v/>
      </c>
      <c r="CF205" s="221">
        <f>SnapshotTable[[#This Row],[LP Strike Price]] * SnapshotTable[[#This Row],[LP Qty]] * 100</f>
        <v>0</v>
      </c>
      <c r="CG205" s="31">
        <f>IF(ISNUMBER(SnapshotTable[[#This Row],[SP Premium]]), (SnapshotTable[[#This Row],[SP Qty]] * SnapshotTable[[#This Row],[SP Strike Price]]* 100) - SnapshotTable[[#This Row],[LP Protection]], 0)</f>
        <v>0</v>
      </c>
      <c r="CH205" s="7" t="str">
        <f>IF(ISNUMBER(SnapshotTable[[#This Row],[SP Break Even]]),-1 * (SnapshotTable[[#This Row],[SP Break Even]] - SnapshotTable[[#This Row],[Last Price]]) / SnapshotTable[[#This Row],[Last Price]], "")</f>
        <v/>
      </c>
      <c r="CI205" s="31">
        <f>IF(AND(ISNUMBER((SnapshotTable[[#This Row],[SP Potential Spend]])), SnapshotTable[[#This Row],[SP Strike Price]] &gt; SnapshotTable[[#This Row],[Last Price]], SnapshotTable[[#This Row],[SP Is Filled]]), SnapshotTable[[#This Row],[SP Potential Spend]] -  SnapshotTable[[#This Row],[LP Max Value]], 0)</f>
        <v>0</v>
      </c>
      <c r="CJ205" s="229"/>
      <c r="CK205" s="31">
        <f>IF(ISNUMBER(SnapshotTable[[#This Row],[SP Potential Spend]]),IF(ISNUMBER(SnapshotTable[[#This Row],[SP POW]]), SnapshotTable[[#This Row],[SP POW]] * SnapshotTable[[#This Row],[SP Potential Spend]], SnapshotTable[[#This Row],[SP Potential Spend]]), "")</f>
        <v>0</v>
      </c>
      <c r="CL205" s="162">
        <f>IF(NOT(SnapshotTable[[#This Row],[SP Is Filled]]),(SnapshotTable[[#This Row],[SP Qty]] * SnapshotTable[[#This Row],[SP Strike Price]] * 100) - SnapshotTable[[#This Row],[LP Max Value]],"")</f>
        <v>0</v>
      </c>
      <c r="CM205" s="31" t="str">
        <f>IF(SnapshotTable[[#This Row],[SP Actual Spend]]&lt;&gt;0, ((SnapshotTable[[#This Row],[SP Strike Price]]-SnapshotTable[[#This Row],[Last Price]]) *(SnapshotTable[[#This Row],[SP Qty]]*100) - SnapshotTable[[#This Row],[SP Premium]]) * - 1, "")</f>
        <v/>
      </c>
      <c r="CN205" s="76"/>
      <c r="CO205" s="339"/>
      <c r="CP205" s="4" t="str">
        <f>IF(SnapshotTable[[#This Row],[SP Is Filled]], btc_max_buyback_amount(SnapshotTable[[#This Row],[SP Fill Date]],SnapshotTable[[#This Row],[SP Exp Date]], SnapshotTable[[#This Row],[SP Book Price]]),"")</f>
        <v/>
      </c>
      <c r="CQ205" s="76"/>
      <c r="CR20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5" s="153" t="str">
        <f>IF(SnapshotTable[[#This Row],[SP Is Filled]], btc_next_cutoff_date(SnapshotTable[[#This Row],[SP Fill Date]],SnapshotTable[[#This Row],[SP Exp Date]]),"")</f>
        <v/>
      </c>
      <c r="CT205" s="220" t="str" cm="1">
        <f t="array" ref="CT205">IF(SnapshotTable[[#This Row],[SP Is Filled]], btc_should_buy_back(SnapshotTable[[#This Row],[SP Fill Date]], SnapshotTable[[#This Row],[SP Exp Date]], SnapshotTable[[#This Row],[SP Book Price]], SnapshotTable[[#This Row],[SP Current Ask]], MockToday, SnapshotTable[[#This Row],[SP Buyback Override]]),"")</f>
        <v/>
      </c>
      <c r="CU205" s="141"/>
      <c r="CV205" s="220"/>
      <c r="CW205" s="348" t="str">
        <f>IF(ISNUMBER( SnapshotTable[[#This Row],[SP Term]]), SnapshotTable[[#This Row],[SP Exp Date]] - MockToday,"")</f>
        <v/>
      </c>
      <c r="CX205" s="31" t="str">
        <f>IF(SnapshotTable[[#This Row],[SP Is Filled]],SnapshotTable[[#This Row],[SP Buyback Price to Use]] * 100 * SnapshotTable[[#This Row],[SP Qty]], "")</f>
        <v/>
      </c>
      <c r="CY205" s="4" t="str">
        <f>IF(ISNUMBER(SnapshotTable[[#This Row],[SP Strike Price]]), SnapshotTable[[#This Row],[SP Strike Price]] * (1 - SP_MaxLoss_StrikePct), "")</f>
        <v/>
      </c>
      <c r="CZ205" s="31" t="str">
        <f>IF(ISNUMBER(SnapshotTable[[#This Row],[SP Strike  Stop Per Share]]),SnapshotTable[[#This Row],[SP Premium]] - ((SnapshotTable[[#This Row],[SP Strike Price]]-SnapshotTable[[#This Row],[SP Strike  Stop Per Share]]) *(SnapshotTable[[#This Row],[SP Qty]] * 100)),"")</f>
        <v/>
      </c>
      <c r="DA205" s="4" t="str">
        <f>IF(AND(ISNUMBER(SnapshotTable[[#This Row],[SP Premium]]),SnapshotTable[[#This Row],[SP Premium]]&gt;0), SnapshotTable[[#This Row],[SP Book Price]] * (1 + SP_MaxLoss_OptionPct), "")</f>
        <v/>
      </c>
      <c r="DB205" s="31" t="str">
        <f>IF(ISNUMBER(SnapshotTable[[#This Row],[SP Option  Stop Contract]]),(SnapshotTable[[#This Row],[SP Option  Stop Contract]] *(SnapshotTable[[#This Row],[SP Qty]] * 100) - SnapshotTable[[#This Row],[SP Premium]]),"")</f>
        <v/>
      </c>
      <c r="DC205" s="4"/>
      <c r="DD205" s="4"/>
      <c r="DE205" s="4" t="str">
        <f>IF(AND(SnapshotTable[[#This Row],[SP Qty]]&gt;0, SnapshotTable[[#This Row],[SP Stop To Use]]&gt;0),SnapshotTable[[#This Row],[SP Premium]] - ( SnapshotTable[[#This Row],[SP Qty]] * SnapshotTable[[#This Row],[SP Stop To Use]] * 100), "")</f>
        <v/>
      </c>
      <c r="DF205" s="31" t="str">
        <f>IF(AND(SnapshotTable[[#This Row],[SP Qty]]&gt;0,SnapshotTable[[#This Row],[SP Current Ask]]&gt;0), SnapshotTable[[#This Row],[SP Qty]] * SnapshotTable[[#This Row],[SP Current Ask]] * -100, "")</f>
        <v/>
      </c>
      <c r="DG205" s="31" t="str">
        <f>IF(ISNUMBER((SnapshotTable[[#This Row],[SP Total Value]])), SnapshotTable[[#This Row],[SP Premium]] + SnapshotTable[[#This Row],[SP Total Value]], "")</f>
        <v/>
      </c>
      <c r="DH205" s="272" t="str">
        <f>IF(ISNUMBER((SnapshotTable[[#This Row],[SP Total Value]])), SnapshotTable[[#This Row],[SP Gain Loss]] / SnapshotTable[[#This Row],[SP Premium]], "")</f>
        <v/>
      </c>
      <c r="DI205" s="369"/>
      <c r="DJ205" s="136"/>
      <c r="DK205" s="146"/>
      <c r="DL205" s="13"/>
      <c r="DM205" s="13"/>
      <c r="DO205" s="31">
        <f>IF(SnapshotTable[[#This Row],[LC Symbol Count]]=1, SnapshotTable[[#This Row],[LC Qty]] * SnapshotTable[[#This Row],[LC Book Price]] * 100, 0)</f>
        <v>0</v>
      </c>
      <c r="DP205" s="161" t="str">
        <f>IF(AND(SnapshotTable[[#This Row],[LC Exp Date]]&gt;0, SnapshotTable[[#This Row],[LC Strike Price]]&gt;0,SnapshotTable[[#This Row],[LC Qty]]&gt;0,SnapshotTable[[#This Row],[LC Book Date]]&gt;0,SnapshotTable[[#This Row],[LC Book Price]]&gt;0,SnapshotTable[[#This Row],[LC Fill Date]]=0),"Y","")</f>
        <v/>
      </c>
      <c r="DQ205" s="356" t="str">
        <f>IF(SnapshotTable[[#This Row],[LC Premium]] &gt; 0,SnapshotTable[[#This Row],[LC Exp Date]]-MAX(SnapshotTable[[#This Row],[LC Book Date]], SnapshotTable[[#This Row],[LC Fill Date]]),"")</f>
        <v/>
      </c>
      <c r="DR205" s="356" t="str">
        <f>IF(ISNUMBER(SnapshotTable[[#This Row],[LC Term]]), SnapshotTable[[#This Row],[LC Exp Date]] - MockToday, "")</f>
        <v/>
      </c>
      <c r="DS205" s="219" t="str">
        <f>IF(SnapshotTable[[#This Row],[LC Premium]]&gt;0,SnapshotTable[[#This Row],[LC Strike Price]] + SnapshotTable[[#This Row],[LC Book Price]],"")</f>
        <v/>
      </c>
      <c r="DU205" s="9" t="str">
        <f>IF(AND(SnapshotTable[[#This Row],[LC Symbol Count]]&gt;0, SnapshotTable[[#This Row],[LC Contract Value]]&gt;0), SnapshotTable[[#This Row],[LC Contract Value]] * SnapshotTable[[#This Row],[LC Qty]] * 100, "")</f>
        <v/>
      </c>
      <c r="DV205" s="9" t="str">
        <f>IF(AND(ISNUMBER(SnapshotTable[[#This Row],[LC Total Value]]), SnapshotTable[[#This Row],[LC Not Filled]]&lt;&gt;"Y"), SnapshotTable[[#This Row],[LC Total Value]]-SnapshotTable[[#This Row],[LC Premium]],"")</f>
        <v/>
      </c>
      <c r="DW205" s="225" t="str">
        <f>IF(ISNUMBER(SnapshotTable[[#This Row],[LC Actual Gain Loss]]), SnapshotTable[[#This Row],[LC Actual Gain Loss]] / SnapshotTable[[#This Row],[LC Premium]],"")</f>
        <v/>
      </c>
      <c r="DX205" s="269" t="str">
        <f>IF(ISNUMBER(SnapshotTable[[#This Row],[LC Book Price]]),SnapshotTable[[#This Row],[LC Book Price]] * 1.5,"")</f>
        <v/>
      </c>
      <c r="DY205" s="250" t="str">
        <f>IF(SnapshotTable[[#This Row],[LC Premium]]&gt;0, SnapshotTable[[#This Row],[LC Next Target]] * SnapshotTable[[#This Row],[LC Qty]] * 100,"")</f>
        <v/>
      </c>
      <c r="DZ205" s="250" t="str">
        <f>IF(ISNUMBER(SnapshotTable[[#This Row],[LC Target Gross]]), SnapshotTable[[#This Row],[LC Target Gross]] - SnapshotTable[[#This Row],[LC Premium]], "")</f>
        <v/>
      </c>
      <c r="EA205" s="283" t="str">
        <f>IF(ISNUMBER(SnapshotTable[[#This Row],[LC Target Gain Loss]]), SnapshotTable[[#This Row],[LC Target Gain Loss]]/SnapshotTable[[#This Row],[LC Premium]], "")</f>
        <v/>
      </c>
      <c r="EB205" s="247"/>
      <c r="EC205" s="268" t="str">
        <f>IF(SnapshotTable[[#This Row],[LC Premium]]&gt;0, SnapshotTable[[#This Row],[LC Book Price]] * (1 - LC_StopLoss_Pct),"")</f>
        <v/>
      </c>
      <c r="ED205" s="269"/>
      <c r="EE205" s="268" t="str">
        <f>IF(ISNUMBER(SnapshotTable[[#This Row],[LC Contract Value]]),IF(ISNUMBER(SnapshotTable[[#This Row],[LC Stop Loss Override]]), SnapshotTable[[#This Row],[LC Stop Loss Override]],SnapshotTable[[#This Row],[LC Stop Loss Calc Target]]),"")</f>
        <v/>
      </c>
      <c r="EF205" s="31" t="str">
        <f>IF(ISNUMBER(SnapshotTable[[#This Row],[LC Stop  To Use]]), (SnapshotTable[[#This Row],[LC Stop  To Use]] * SnapshotTable[[#This Row],[LC Qty]] * 100),"")</f>
        <v/>
      </c>
      <c r="EG205" s="9" t="str">
        <f>IF(ISNUMBER(SnapshotTable[[#This Row],[LC Total Value]]),SnapshotTable[[#This Row],[LC Stop Loss Amount]] - SnapshotTable[[#This Row],[LC Premium]],"")</f>
        <v/>
      </c>
      <c r="EH205" s="9">
        <f>IF(ISNUMBER(SnapshotTable[[#This Row],[LC Premium]]), SnapshotTable[[#This Row],[LC Qty]] * 100 * SnapshotTable[[#This Row],[LC Strike Price]], "")</f>
        <v>0</v>
      </c>
      <c r="EI205" s="225" t="str">
        <f>IF(AND(ISNUMBER(SnapshotTable[[#This Row],[LC Total Value]]),SnapshotTable[[#This Row],[LC Total Value]]&gt;0),SnapshotTable[[#This Row],[LC Stop Gain Loss]]  / SnapshotTable[[#This Row],[LC Premium]],"")</f>
        <v/>
      </c>
      <c r="EJ205" s="35">
        <f>IF(ISNUMBER(SnapshotTable[[#This Row],[Equity Shares]]),TRUNC(SnapshotTable[[#This Row],[Equity Shares]] / 100),0) + SnapshotTable[[#This Row],[LC Qty]]</f>
        <v>0</v>
      </c>
      <c r="EK205" s="145"/>
      <c r="EL205" s="136"/>
      <c r="EM205" s="146"/>
      <c r="EN205" s="145"/>
      <c r="EO205" s="145"/>
      <c r="EP205" s="136"/>
      <c r="EQ205" s="382" t="b">
        <f>AND(ISNUMBER(SnapshotTable[[#This Row],[SC Exp Date]]), ISNUMBER(SnapshotTable[[#This Row],[SC Strike Price]]), ISNUMBER(SnapshotTable[[#This Row],[SC Qty]]), ISNUMBER(SnapshotTable[[#This Row],[SC Book Date]]), ISNUMBER(SnapshotTable[[#This Row],[SC Book Price]]))</f>
        <v>0</v>
      </c>
      <c r="ER205" s="382" t="b">
        <f>AND(SnapshotTable[[#This Row],[SC Is Booked]], NOT(ISBLANK(SnapshotTable[[#This Row],[SC Fill Date]])))</f>
        <v>0</v>
      </c>
      <c r="ES205" s="340"/>
      <c r="ET205" s="34" t="str">
        <f>IF(AND(ISNUMBER(SnapshotTable[[#This Row],[SC Exp Date]]), ISNUMBER(SnapshotTable[[#This Row],[SC Book Date]])), SnapshotTable[[#This Row],[SC Exp Date]] - MAX(SnapshotTable[[#This Row],[SC Book Date]], SnapshotTable[[#This Row],[SC Fill Date]]) + 1, "")</f>
        <v/>
      </c>
      <c r="EU205" s="34" t="str">
        <f>IF(ISNUMBER(SnapshotTable[[#This Row],[SC Term]]), SnapshotTable[[#This Row],[SC Exp Date]]- MockToday, "")</f>
        <v/>
      </c>
      <c r="EV205" s="31">
        <f>IF(SnapshotTable[[#This Row],[SC Is Booked]], SnapshotTable[[#This Row],[SC Qty]] * SnapshotTable[[#This Row],[SC Book Price]] * 100, 0)</f>
        <v>0</v>
      </c>
      <c r="EW205" s="4" t="str">
        <f>IF(AND(ISNUMBER(SnapshotTable[[#This Row],[Last Price]]), ISNUMBER( SnapshotTable[[#This Row],[SC Book Price]])), SnapshotTable[[#This Row],[Last Price]] - SnapshotTable[[#This Row],[SC Book Price]],"")</f>
        <v/>
      </c>
      <c r="EX205" s="219" t="str">
        <f>IF(SnapshotTable[[#This Row],[SC Is Booked]],IF(SnapshotTable[[#This Row],[SC Intrinsic Value]] &gt; 0, SnapshotTable[[#This Row],[SC Strike Price]], SnapshotTable[[#This Row],[Last Price]]), "")</f>
        <v/>
      </c>
      <c r="EY205" s="4">
        <f>IF(SnapshotTable[[#This Row],[SC Is Booked]], (MinimumPremiumRequired * SnapshotTable[[#This Row],[SC Basis]] * SnapshotTable[[#This Row],[SC Term]]), 0)</f>
        <v>0</v>
      </c>
      <c r="EZ205" s="268"/>
      <c r="FA205" s="204"/>
      <c r="FB205" s="340"/>
      <c r="FC205" s="4">
        <f>IF(SnapshotTable[[#This Row],[SC Is Filled]], btc_max_buyback_amount(SnapshotTable[[#This Row],[SC Fill Date]],SnapshotTable[[#This Row],[SC Exp Date]], SnapshotTable[[#This Row],[SC Book Price]]),0)</f>
        <v>0</v>
      </c>
      <c r="FD205" s="5"/>
      <c r="FE205" s="142" t="str">
        <f>IF(SnapshotTable[[#This Row],[SC Is Filled]], btc_next_cutoff_date(SnapshotTable[[#This Row],[SC Fill Date]],SnapshotTable[[#This Row],[SC Exp Date]]),"")</f>
        <v/>
      </c>
      <c r="FF205" s="4" t="str" cm="1">
        <f t="array" ref="FF205">IF(SnapshotTable[[#This Row],[SC Is Filled]], btc_should_buy_back(SnapshotTable[[#This Row],[SC Fill Date]], SnapshotTable[[#This Row],[SC Exp Date]], SnapshotTable[[#This Row],[SC Book Price]], SnapshotTable[[#This Row],[SC Current Ask]], MockToday, SnapshotTable[[#This Row],[SC Buyback Override]]),"")</f>
        <v/>
      </c>
      <c r="FG205" s="4">
        <f>IF(SnapshotTable[[#This Row],[SC Is Filled]], MAX(0,SnapshotTable[[#This Row],[Last Price]]  - SnapshotTable[[#This Row],[SC Strike Price]]), 0)</f>
        <v>0</v>
      </c>
      <c r="FH205" s="352">
        <f>IF(SnapshotTable[[#This Row],[SC Is Filled]], IF(ISNUMBER(SnapshotTable[[#This Row],[SC Current Ask]]), SnapshotTable[[#This Row],[SC Current Ask]], SnapshotTable[[#This Row],[SC Book Price]]) - SnapshotTable[[#This Row],[SC Intrinsic Value]], 0)</f>
        <v>0</v>
      </c>
      <c r="FI205" s="141"/>
      <c r="FJ205" s="32" t="str">
        <f>IF(SnapshotTable[[#This Row],[SC Is Filled]],100 * SnapshotTable[[#This Row],[SC Qty]] * IF(ISNUMBER(SnapshotTable[[#This Row],[SC Buyback Override]]), SnapshotTable[[#This Row],[SC Buyback Override]], SnapshotTable[[#This Row],[SC Current Ask]]), "")</f>
        <v/>
      </c>
      <c r="FK205" s="235" t="str">
        <f>IF(SnapshotTable[[#This Row],[SC Time Val]]&gt;0, SnapshotTable[[#This Row],[SC Time Val]] / SnapshotTable[[#This Row],[Last Price]],"")</f>
        <v/>
      </c>
      <c r="FL205" s="280" t="str">
        <f>IF(SnapshotTable[[#This Row],[SC Is Booked]], ((SnapshotTable[[#This Row],[Last Price]] -SnapshotTable[[#This Row],[SC Strike Price]]) / SnapshotTable[[#This Row],[Last Price]]) * -1, "")</f>
        <v/>
      </c>
      <c r="FM205" s="155" t="str">
        <f>IF(SnapshotTable[[#This Row],[SC Is Booked]],  (SnapshotTable[[#This Row],[SC Qty]] * 100 * SnapshotTable[[#This Row],[SC Strike Price]]) - SnapshotTable[[#This Row],[SC Current Ask]], "")</f>
        <v/>
      </c>
      <c r="FN20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5" s="31" t="str">
        <f>IF(AND(ISNUMBER(SnapshotTable[[#This Row],[SC Exercise Gross]]), ISNUMBER(SnapshotTable[[#This Row],[Equity Basis Per Share]] )), SnapshotTable[[#This Row],[SC Exercise Gross]] - SnapshotTable[[#This Row],[Equity Basis Total]] +  SnapshotTable[[#This Row],[SC Premium]], "")</f>
        <v/>
      </c>
      <c r="FP205" s="5" t="str">
        <f>IF(ISNUMBER(SnapshotTable[[#This Row],[SC Exercise Gross]]), (SnapshotTable[[#This Row],[SC Exercise Gross]]) / (SnapshotTable[[#This Row],[SC Qty]] * 100), "")</f>
        <v/>
      </c>
      <c r="FQ205" s="27" t="str">
        <f>IF(SnapshotTable[[#This Row],[SC Is Booked]],SnapshotTable[[#This Row],[SC Time Val]] /SnapshotTable[[#This Row],[SC Basis]], "")</f>
        <v/>
      </c>
      <c r="FR205" s="27" t="str" cm="1">
        <f t="array" ref="FR205">IF(AND(ISNUMBER(SnapshotTable[[#This Row],[SC Term]]),ISNUMBER(SnapshotTable[[#This Row],[SC Simple ROO]])), EllmanAnnualize(SnapshotTable[[#This Row],[SC DTE]], SnapshotTable[[#This Row],[SC Simple ROO]] ),"")</f>
        <v/>
      </c>
      <c r="FS205" s="4">
        <f>IF(SnapshotTable[[#This Row],[SC Strike Price]] &gt; SnapshotTable[[#This Row],[Last Price]], SnapshotTable[[#This Row],[SC Strike Price]] - SnapshotTable[[#This Row],[Last Price]],0)</f>
        <v>0</v>
      </c>
      <c r="FT205" s="27" t="str">
        <f>IF(AND(ISNUMBER(SnapshotTable[[#This Row],[SC Upside Potential]]), SnapshotTable[[#This Row],[SC Upside Potential]] &gt; 0),(SnapshotTable[[#This Row],[SC Upside Potential]]/ SnapshotTable[[#This Row],[ACB]]),"")</f>
        <v/>
      </c>
      <c r="FU205" s="304" t="str">
        <f>IF(SnapshotTable[[#This Row],[SC Intrinsic Value]] &gt; 0,SnapshotTable[[#This Row],[SC Intrinsic Value]],"")</f>
        <v/>
      </c>
      <c r="FV205" s="27" t="str">
        <f>IF(AND( ISNUMBER( SnapshotTable[[#This Row],[ACB]]),ISNUMBER(SnapshotTable[[#This Row],[SC Downside Protect]])),SnapshotTable[[#This Row],[SC Downside Protect]] / SnapshotTable[[#This Row],[ACB]],"")</f>
        <v/>
      </c>
      <c r="FW205" s="221" t="str">
        <f>IF(AND(ISNUMBER(SnapshotTable[[#This Row],[SC Simple ROO]]),SnapshotTable[[#This Row],[SC Simple ROO]] &gt; 0), SnapshotTable[[#This Row],[SC Premium]] + (SnapshotTable[[#This Row],[SC Qty]] * SnapshotTable[[#This Row],[SC Upside Potential]]), "")</f>
        <v/>
      </c>
      <c r="FX205" s="280" t="str" cm="1">
        <f t="array" ref="FX205">IF(ISNUMBER(SnapshotTable[[#This Row],[SC Max Dollars]]), annualize(SnapshotTable[[#This Row],[SC Term]],(SnapshotTable[[#This Row],[SC Max Dollars]]/SnapshotTable[[#This Row],[SC Basis]])),"")</f>
        <v/>
      </c>
      <c r="FY205" s="221" t="str">
        <f>IF(AND(SnapshotTable[[#This Row],[SC Qty]]&gt;0,SnapshotTable[[#This Row],[SC Current Ask]]&gt;0), SnapshotTable[[#This Row],[SC Qty]] * SnapshotTable[[#This Row],[SC Current Ask]] * -100, "")</f>
        <v/>
      </c>
      <c r="FZ205" s="31" t="str">
        <f>IF(ISNUMBER((SnapshotTable[[#This Row],[SC Current Value]])), SnapshotTable[[#This Row],[SC Premium]] + SnapshotTable[[#This Row],[SC Current Value]], "")</f>
        <v/>
      </c>
      <c r="GA205" s="272" t="str">
        <f>IFERROR( IF(ISNUMBER((SnapshotTable[[#This Row],[SC Current Value]])), SnapshotTable[[#This Row],[SC Gain Loss]] / SnapshotTable[[#This Row],[SC Premium]], ""), "")</f>
        <v/>
      </c>
      <c r="GB205" s="42">
        <f>SnapshotTable[[#This Row],[Equity Shares]] * SaleSharesToConsiderPercentage</f>
        <v>0</v>
      </c>
      <c r="GC205" s="40">
        <f>SnapshotTable[[#This Row],[Long Term Target]] * SellingPriceToConsiderBasedOnTargetPercentage</f>
        <v>111.8625</v>
      </c>
      <c r="GD205" s="40">
        <f>SnapshotTable[[#This Row],[Last Price]] * (1+ SellingPriceToConsiderBasedOnTargetPercentage)</f>
        <v>280.19549999999998</v>
      </c>
      <c r="GE205" s="41"/>
      <c r="GF205" s="40">
        <v>108.18</v>
      </c>
      <c r="GG205" s="31">
        <f>SnapshotTable[[#This Row],[Booked Sale Shares]] * SnapshotTable[[#This Row],[Booked Sale Price]]</f>
        <v>0</v>
      </c>
      <c r="GH205" s="31" t="str">
        <f>IF(SnapshotTable[[#This Row],[Equity Basis Total]] &gt; 0, SnapshotTable[[#This Row],[Equity Basis Per Share]] * SnapshotTable[[#This Row],[Booked Sale Shares]], "")</f>
        <v/>
      </c>
      <c r="GI205" s="31">
        <f>IF(SnapshotTable[[#This Row],[Sale Proceeds]]&gt;0, SnapshotTable[[#This Row],[Sale Proceeds]] - SnapshotTable[[#This Row],[Sale Basis]], 0)</f>
        <v>0</v>
      </c>
      <c r="GJ205" s="27" t="str">
        <f>IF(SnapshotTable[[#This Row],[Sale G/L]]&gt;0, SnapshotTable[[#This Row],[Sale G/L]] / SnapshotTable[[#This Row],[Sale Basis]], IF(ISNUMBER(SnapshotTable[[#This Row],[SC Exercise P&amp;L (TAX)]]), SnapshotTable[[#This Row],[SC Exercise P&amp;L (TAX)]] / SnapshotTable[[#This Row],[SC Basis]], ""))</f>
        <v/>
      </c>
      <c r="GK205" s="27" t="s">
        <v>600</v>
      </c>
      <c r="GL205" s="43" t="str">
        <f>IF(AND(SnapshotTable[[#This Row],[LP Exp Date]]&gt;0,SnapshotTable[[#This Row],[LP Strike Price]]&gt;0), [1]!ToOptionSymbol(SnapshotTable[[#This Row],[Symbol]], SnapshotTable[[#This Row],[LP Strike Price]],SnapshotTable[[#This Row],[LP Exp Date]],1), "")</f>
        <v/>
      </c>
      <c r="GM205" s="30" t="str">
        <f>IF(LEN(SnapshotTable[[#This Row],[LP Symbol]])&gt;0, 1, "")</f>
        <v/>
      </c>
      <c r="GN205" s="43" t="str">
        <f>IF(AND(SnapshotTable[[#This Row],[SP Exp Date]]&gt;0,SnapshotTable[[#This Row],[SP Strike Price]]&gt;0), [1]!ToOptionSymbol(SnapshotTable[[#This Row],[Symbol]], SnapshotTable[[#This Row],[SP Strike Price]],SnapshotTable[[#This Row],[SP Exp Date]],1), "")</f>
        <v/>
      </c>
      <c r="GO205" s="30" t="str">
        <f>IF(LEN(SnapshotTable[[#This Row],[SP Symbol]])&gt;0, 1, "")</f>
        <v/>
      </c>
      <c r="GP205" s="43" t="str">
        <f>IF(AND(SnapshotTable[[#This Row],[LC Exp Date]]&gt;0,SnapshotTable[[#This Row],[LC Strike Price]]&gt;0), [1]!ToOptionSymbol(SnapshotTable[[#This Row],[Symbol]], SnapshotTable[[#This Row],[LC Strike Price]],SnapshotTable[[#This Row],[LC Exp Date]],0), "")</f>
        <v/>
      </c>
      <c r="GQ205" s="30" t="str">
        <f>IF(LEN(SnapshotTable[[#This Row],[LC Symbol]])&gt;0, 1, "")</f>
        <v/>
      </c>
      <c r="GR205" s="43" t="str">
        <f>IF(AND(SnapshotTable[[#This Row],[SC Exp Date]]&gt;0,SnapshotTable[[#This Row],[SC Strike Price]]&gt;0), [1]!ToOptionSymbol(SnapshotTable[[#This Row],[Symbol]], SnapshotTable[[#This Row],[SC Strike Price]],SnapshotTable[[#This Row],[SC Exp Date]],0), "")</f>
        <v/>
      </c>
      <c r="GS205" s="30" t="str">
        <f>IF(LEN(SnapshotTable[[#This Row],[SC Symbol]])&gt;0, 1, "")</f>
        <v/>
      </c>
      <c r="GT205" s="29" t="str">
        <f>IF(COUNT(SnapshotTable[[#This Row],[LP Symbol Count]],SnapshotTable[[#This Row],[SP Symbol Count]],SnapshotTable[[#This Row],[LC Symbol Count]],SnapshotTable[[#This Row],[SC Symbol Count]])&gt;0, "Y", "")</f>
        <v/>
      </c>
      <c r="GU20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5" s="216">
        <f>MAX(SnapshotTable[[#This Row],[Equity Basis Total]],SnapshotTable[[#This Row],[Equity Value]]) + (SnapshotTable[[#This Row],[SP Potential Spend]]- SnapshotTable[[#This Row],[SP Premium]] + SnapshotTable[[#This Row],[LP Premium]])+ (SnapshotTable[[#This Row],[LC Premium]] - SnapshotTable[[#This Row],[SC Premium]])</f>
        <v>0</v>
      </c>
      <c r="GW205" s="137" t="str">
        <f>IF(AND(SnapshotTable[[#This Row],[Exposure]] &lt;&gt; 0),SnapshotTable[[#This Row],[Exposure]] / SnapshotTable[[#Totals],[Exposure]], "")</f>
        <v/>
      </c>
      <c r="GX205" s="5"/>
      <c r="HE205" s="253"/>
      <c r="HF205" s="253"/>
      <c r="HK205" s="1"/>
      <c r="HL205" s="1"/>
      <c r="HM205" s="1"/>
      <c r="HN205" s="1"/>
      <c r="HO205" s="1"/>
      <c r="HP205" s="1"/>
    </row>
    <row r="206" spans="2:224" ht="12.75" hidden="1" customHeight="1" x14ac:dyDescent="0.25">
      <c r="B206" s="12" t="s">
        <v>705</v>
      </c>
      <c r="C206" s="385">
        <v>82.15</v>
      </c>
      <c r="D206" s="200"/>
      <c r="E206" s="39">
        <f>SnapshotTable[[#This Row],[Last Price]]*(1 -CrashDiscount)</f>
        <v>69.827500000000001</v>
      </c>
      <c r="F206" s="26" t="s">
        <v>706</v>
      </c>
      <c r="G206" s="26" t="s">
        <v>493</v>
      </c>
      <c r="H206" s="147"/>
      <c r="I206" s="186">
        <v>44727.6875</v>
      </c>
      <c r="J206" s="187">
        <v>44727.6875</v>
      </c>
      <c r="K206" s="188"/>
      <c r="L206" s="297"/>
      <c r="M206" s="138"/>
      <c r="N206" s="138"/>
      <c r="O206" s="138"/>
      <c r="P206" s="22"/>
      <c r="Q206" s="25"/>
      <c r="R206" s="4" t="str">
        <f>IF(SnapshotTable[[#This Row],[Equity Basis Total]] &gt; 0, SnapshotTable[[#This Row],[Equity Basis Total]] / SnapshotTable[[#This Row],[Equity Shares]], "")</f>
        <v/>
      </c>
      <c r="S206" s="254">
        <f>SnapshotTable[[#This Row],[Last Price]] * SnapshotTable[[#This Row],[Equity Shares]]</f>
        <v>0</v>
      </c>
      <c r="T206" s="254">
        <f>SnapshotTable[[#This Row],[Equity Value]] - SnapshotTable[[#This Row],[Equity Basis Total]]</f>
        <v>0</v>
      </c>
      <c r="U206" s="255" t="str">
        <f>IF(SnapshotTable[[#This Row],[Equity Basis Total]] &gt; 0, SnapshotTable[[#This Row],[Equity G/L]] / SnapshotTable[[#This Row],[Equity Basis Total]], "")</f>
        <v/>
      </c>
      <c r="V206" s="253"/>
      <c r="W206" s="253"/>
      <c r="X206" s="4" t="str">
        <f>IF(AND(ISNUMBER(SnapshotTable[[#This Row],[Equity Basis Per Share]]),ISNUMBER(SnapshotTable[[#This Row],[Equity Target]])),SnapshotTable[[#This Row],[Equity Target]]-SnapshotTable[[#This Row],[Equity Basis Per Share]],"")</f>
        <v/>
      </c>
      <c r="Y206" s="4" t="str">
        <f>IF(AND(ISNUMBER(SnapshotTable[[#This Row],[Equity Basis Per Share]]),ISNUMBER(SnapshotTable[[#This Row],[Equity Stop Loss]])),SnapshotTable[[#This Row],[Equity Stop Loss]]-SnapshotTable[[#This Row],[Equity Basis Per Share]],"")</f>
        <v/>
      </c>
      <c r="Z206" s="260" t="str">
        <f>IFERROR( TEXT(SnapshotTable[[#This Row],[Equity Max Gain Per Share]] /ABS( SnapshotTable[[#This Row],[Equity Max Loss Per Share]]),"0.0 " ) &amp; " : 1", "")</f>
        <v/>
      </c>
      <c r="AA206" s="31" t="str">
        <f>IF(ISNUMBER(SnapshotTable[[#This Row],[Equity Max Gain Per Share]]),SnapshotTable[[#This Row],[Equity Max Gain Per Share]] * SnapshotTable[[#This Row],[Equity Shares]],"")</f>
        <v/>
      </c>
      <c r="AB206" s="31" t="str">
        <f>IF(ISNUMBER(SnapshotTable[[#This Row],[Equity Max Loss Per Share]]),SnapshotTable[[#This Row],[Equity Max Loss Per Share]] * SnapshotTable[[#This Row],[Equity Shares]],"")</f>
        <v/>
      </c>
      <c r="AC206" s="148"/>
      <c r="AD206" s="149"/>
      <c r="AE206" s="31">
        <f>(SnapshotTable[[#This Row],[Annual Dividend Per Share]] / 4) * SnapshotTable[[#This Row],[Equity Shares]]</f>
        <v>0</v>
      </c>
      <c r="AF206" s="31">
        <f>SnapshotTable[[#This Row],[Quarterly Div $]] * 4</f>
        <v>0</v>
      </c>
      <c r="AG206" s="7">
        <f>IF(SnapshotTable[[#This Row],[Annual Dividend Per Share]]&gt;0, SnapshotTable[[#This Row],[Annual Dividend Per Share]]  / SnapshotTable[[#This Row],[Last Price]], 0)</f>
        <v>0</v>
      </c>
      <c r="AH206" s="149"/>
      <c r="AI206" s="5"/>
      <c r="AJ206" s="136">
        <v>87.53</v>
      </c>
      <c r="AK206" s="150" t="str">
        <f>IF(ISNUMBER( SnapshotTable[[#This Row],[EBF Target]]),(SnapshotTable[[#This Row],[EBF Target]] - SnapshotTable[[#This Row],[Last Price]]) / SnapshotTable[[#This Row],[Last Price]], "")</f>
        <v/>
      </c>
      <c r="AL206" s="150" t="str">
        <f>IF(AND(SnapshotTable[[#This Row],[Equity Basis Total]] &gt; 0,ISNUMBER( SnapshotTable[[#This Row],[Long Term Target]])), SnapshotTable[[#This Row],[From Basis $]] / SnapshotTable[[#This Row],[Equity Basis Total]], "")</f>
        <v/>
      </c>
      <c r="AM206" s="9">
        <f>IF( AND(SnapshotTable[[#This Row],[Equity Shares]] &gt;0,ISNUMBER( SnapshotTable[[#This Row],[Long Term Target]])),(SnapshotTable[[#This Row],[Equity Shares]] * SnapshotTable[[#This Row],[Long Term Target]]) - SnapshotTable[[#This Row],[Equity Basis Total]],0)</f>
        <v>0</v>
      </c>
      <c r="AN206" s="9">
        <f>IF( AND(SnapshotTable[[#This Row],[Equity Shares]] &gt;0,ISNUMBER( SnapshotTable[[#This Row],[Long Term Target]])),(SnapshotTable[[#This Row],[Equity Shares]]*SnapshotTable[[#This Row],[Long Term Target]]) - SnapshotTable[[#This Row],[Equity Value]],0)</f>
        <v>0</v>
      </c>
      <c r="AO206" s="150">
        <f>IF(AND(ISNUMBER( SnapshotTable[[#This Row],[Long Term Target]]), ISNUMBER(SnapshotTable[[#This Row],[Last Price]])),(SnapshotTable[[#This Row],[Long Term Target]] - SnapshotTable[[#This Row],[Last Price]]) / SnapshotTable[[#This Row],[Last Price]], "")</f>
        <v>6.5489957395009069E-2</v>
      </c>
      <c r="AP206" s="5">
        <v>75</v>
      </c>
      <c r="AQ206" s="38" t="s">
        <v>22</v>
      </c>
      <c r="AR206" s="5">
        <v>75</v>
      </c>
      <c r="AS206" s="38" t="s">
        <v>15</v>
      </c>
      <c r="AT206" s="144" t="s">
        <v>438</v>
      </c>
      <c r="AU206" s="185" t="str">
        <f>IF(OR(SnapshotTable[[#This Row],[LP No Fill]]="Y",SnapshotTable[[#This Row],[SP Is Filled]],SnapshotTable[[#This Row],[LC Not Filled]]="Y",SnapshotTable[[#This Row],[SC Is Filled]]),"Y","")</f>
        <v/>
      </c>
      <c r="AV206" s="205"/>
      <c r="AW206" s="211"/>
      <c r="AX206" s="206"/>
      <c r="AY206" s="205" t="str">
        <f>IF(SnapshotTable[[#This Row],[Implied Move]]&gt;0, SnapshotTable[[#This Row],[Last Price]]-SnapshotTable[[#This Row],[Implied Move]],"")</f>
        <v/>
      </c>
      <c r="AZ206" s="205" t="str">
        <f>IF(SnapshotTable[[#This Row],[Implied Move]]&gt;0, SnapshotTable[[#This Row],[Last Price]] + SnapshotTable[[#This Row],[Implied Move]],"")</f>
        <v/>
      </c>
      <c r="BA206" s="302"/>
      <c r="BB206" s="318"/>
      <c r="BC20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6" s="321"/>
      <c r="BE206" s="136"/>
      <c r="BF206" s="164"/>
      <c r="BG206" s="165"/>
      <c r="BH206" s="165"/>
      <c r="BI206" s="207"/>
      <c r="BJ206" s="151">
        <f>IF(SnapshotTable[[#This Row],[LP Qty]] &gt; 0, SnapshotTable[[#This Row],[LP Qty]] * SnapshotTable[[#This Row],[LP Book Price]] * 100,0)</f>
        <v>0</v>
      </c>
      <c r="BK206" s="134">
        <f>IF(SnapshotTable[[#This Row],[LP Premium]] &gt; 0, SnapshotTable[[#This Row],[LP Qty]] * SnapshotTable[[#This Row],[LP Strike Price]] * 100,0)</f>
        <v>0</v>
      </c>
      <c r="BL206" s="152"/>
      <c r="BM206" s="355" t="str">
        <f>IF(SnapshotTable[[#This Row],[LP Premium]] &gt; 0,SnapshotTable[[#This Row],[LP Exp Date]]-MAX(SnapshotTable[[#This Row],[LP Book Date]], SnapshotTable[[#This Row],[LP Fill Date]]),"")</f>
        <v/>
      </c>
      <c r="BN206" s="355" t="str">
        <f>IF(ISNUMBER( SnapshotTable[[#This Row],[LP Term]]), SnapshotTable[[#This Row],[LP Exp Date]] - MockToday,"")</f>
        <v/>
      </c>
      <c r="BO206" s="161" t="str">
        <f>IF(AND(SnapshotTable[[#This Row],[LP Exp Date]]&gt;0, SnapshotTable[[#This Row],[LP Strike Price]]&gt;0,SnapshotTable[[#This Row],[LP Qty]]&gt;0,SnapshotTable[[#This Row],[LP Book Date]]&gt;0,SnapshotTable[[#This Row],[LP Book Price]]&gt;0,SnapshotTable[[#This Row],[LP Fill Date]]=0),"Y","")</f>
        <v/>
      </c>
      <c r="BP206" s="31" t="str">
        <f>IF(AND(SnapshotTable[[#This Row],[LP No Fill]]&lt;&gt;"Y",SnapshotTable[[#This Row],[LP Contract Value]]&gt;0, SnapshotTable[[#This Row],[LP Qty]]&gt;0), SnapshotTable[[#This Row],[LP Contract Value]]*SnapshotTable[[#This Row],[LP Qty]]*100,"")</f>
        <v/>
      </c>
      <c r="BQ206" s="13"/>
      <c r="BR206" s="5"/>
      <c r="BS206" s="36"/>
      <c r="BT206" s="145"/>
      <c r="BU206" s="13"/>
      <c r="BV206" s="5"/>
      <c r="BW206" s="382" t="b">
        <f>AND(ISNUMBER(SnapshotTable[[#This Row],[SP Exp Date]]), ISNUMBER(SnapshotTable[[#This Row],[SP Strike Price]]), ISNUMBER(SnapshotTable[[#This Row],[SP Qty]]), ISNUMBER(SnapshotTable[[#This Row],[SP Book Date]]), ISNUMBER(SnapshotTable[[#This Row],[SP Book Price]]))</f>
        <v>0</v>
      </c>
      <c r="BX206" s="382" t="b">
        <f>AND(SnapshotTable[[#This Row],[SP Is Booked]], NOT(ISBLANK(SnapshotTable[[#This Row],[SP Fill Date]])))</f>
        <v>0</v>
      </c>
      <c r="BY206" s="33">
        <f>IF(SnapshotTable[[#This Row],[SP Is Booked]], SnapshotTable[[#This Row],[SP Qty]] * SnapshotTable[[#This Row],[SP Book Price]] * 100, 0)</f>
        <v>0</v>
      </c>
      <c r="BZ206" s="339"/>
      <c r="CA206" s="338">
        <f>SnapshotTable[[#This Row],[LP Qty]]</f>
        <v>0</v>
      </c>
      <c r="CB206" s="4" t="str">
        <f>IF(SnapshotTable[[#This Row],[SP Is Booked]], SnapshotTable[[#This Row],[SP Strike Price]] - SnapshotTable[[#This Row],[SP Book Price]], "")</f>
        <v/>
      </c>
      <c r="CC206" s="19" t="str">
        <f>IF(SnapshotTable[[#This Row],[SP Is Booked]],SnapshotTable[[#This Row],[SP Exp Date]]-MAX(SnapshotTable[[#This Row],[SP Book Date]], SnapshotTable[[#This Row],[SP Fill Date]]),"")</f>
        <v/>
      </c>
      <c r="CD206" s="7" t="str">
        <f>IF(SnapshotTable[[#This Row],[SP Is Booked]], SnapshotTable[[#This Row],[SP Book Price]]/SnapshotTable[[#This Row],[SP Strike Price]], "")</f>
        <v/>
      </c>
      <c r="CE206" s="7" t="str">
        <f>IF(ISNUMBER(SnapshotTable[[#This Row],[SP ROO Term]]),SnapshotTable[[#This Row],[SP ROO Term]]*(365/SnapshotTable[[#This Row],[SP Term]]),"")</f>
        <v/>
      </c>
      <c r="CF206" s="221">
        <f>SnapshotTable[[#This Row],[LP Strike Price]] * SnapshotTable[[#This Row],[LP Qty]] * 100</f>
        <v>0</v>
      </c>
      <c r="CG206" s="31">
        <f>IF(ISNUMBER(SnapshotTable[[#This Row],[SP Premium]]), (SnapshotTable[[#This Row],[SP Qty]] * SnapshotTable[[#This Row],[SP Strike Price]]* 100) - SnapshotTable[[#This Row],[LP Protection]], 0)</f>
        <v>0</v>
      </c>
      <c r="CH206" s="7" t="str">
        <f>IF(ISNUMBER(SnapshotTable[[#This Row],[SP Break Even]]),-1 * (SnapshotTable[[#This Row],[SP Break Even]] - SnapshotTable[[#This Row],[Last Price]]) / SnapshotTable[[#This Row],[Last Price]], "")</f>
        <v/>
      </c>
      <c r="CI206" s="31">
        <f>IF(AND(ISNUMBER((SnapshotTable[[#This Row],[SP Potential Spend]])), SnapshotTable[[#This Row],[SP Strike Price]] &gt; SnapshotTable[[#This Row],[Last Price]], SnapshotTable[[#This Row],[SP Is Filled]]), SnapshotTable[[#This Row],[SP Potential Spend]] -  SnapshotTable[[#This Row],[LP Max Value]], 0)</f>
        <v>0</v>
      </c>
      <c r="CJ206" s="229"/>
      <c r="CK206" s="31">
        <f>IF(ISNUMBER(SnapshotTable[[#This Row],[SP Potential Spend]]),IF(ISNUMBER(SnapshotTable[[#This Row],[SP POW]]), SnapshotTable[[#This Row],[SP POW]] * SnapshotTable[[#This Row],[SP Potential Spend]], SnapshotTable[[#This Row],[SP Potential Spend]]), "")</f>
        <v>0</v>
      </c>
      <c r="CL206" s="162">
        <f>IF(NOT(SnapshotTable[[#This Row],[SP Is Filled]]),(SnapshotTable[[#This Row],[SP Qty]] * SnapshotTable[[#This Row],[SP Strike Price]] * 100) - SnapshotTable[[#This Row],[LP Max Value]],"")</f>
        <v>0</v>
      </c>
      <c r="CM206" s="31" t="str">
        <f>IF(SnapshotTable[[#This Row],[SP Actual Spend]]&lt;&gt;0, ((SnapshotTable[[#This Row],[SP Strike Price]]-SnapshotTable[[#This Row],[Last Price]]) *(SnapshotTable[[#This Row],[SP Qty]]*100) - SnapshotTable[[#This Row],[SP Premium]]) * - 1, "")</f>
        <v/>
      </c>
      <c r="CN206" s="213"/>
      <c r="CO206" s="339"/>
      <c r="CP206" s="4" t="str">
        <f>IF(SnapshotTable[[#This Row],[SP Is Filled]], btc_max_buyback_amount(SnapshotTable[[#This Row],[SP Fill Date]],SnapshotTable[[#This Row],[SP Exp Date]], SnapshotTable[[#This Row],[SP Book Price]]),"")</f>
        <v/>
      </c>
      <c r="CQ206" s="76"/>
      <c r="CR20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6" s="153" t="str">
        <f>IF(SnapshotTable[[#This Row],[SP Is Filled]], btc_next_cutoff_date(SnapshotTable[[#This Row],[SP Fill Date]],SnapshotTable[[#This Row],[SP Exp Date]]),"")</f>
        <v/>
      </c>
      <c r="CT206" s="220" t="str" cm="1">
        <f t="array" ref="CT206">IF(SnapshotTable[[#This Row],[SP Is Filled]], btc_should_buy_back(SnapshotTable[[#This Row],[SP Fill Date]], SnapshotTable[[#This Row],[SP Exp Date]], SnapshotTable[[#This Row],[SP Book Price]], SnapshotTable[[#This Row],[SP Current Ask]], MockToday, SnapshotTable[[#This Row],[SP Buyback Override]]),"")</f>
        <v/>
      </c>
      <c r="CU206" s="154"/>
      <c r="CV206" s="220"/>
      <c r="CW206" s="348" t="str">
        <f>IF(ISNUMBER( SnapshotTable[[#This Row],[SP Term]]), SnapshotTable[[#This Row],[SP Exp Date]] - MockToday,"")</f>
        <v/>
      </c>
      <c r="CX206" s="31" t="str">
        <f>IF(SnapshotTable[[#This Row],[SP Is Filled]],SnapshotTable[[#This Row],[SP Buyback Price to Use]] * 100 * SnapshotTable[[#This Row],[SP Qty]], "")</f>
        <v/>
      </c>
      <c r="CY206" s="4" t="str">
        <f>IF(ISNUMBER(SnapshotTable[[#This Row],[SP Strike Price]]), SnapshotTable[[#This Row],[SP Strike Price]] * (1 - SP_MaxLoss_StrikePct), "")</f>
        <v/>
      </c>
      <c r="CZ206" s="31" t="str">
        <f>IF(ISNUMBER(SnapshotTable[[#This Row],[SP Strike  Stop Per Share]]),SnapshotTable[[#This Row],[SP Premium]] - ((SnapshotTable[[#This Row],[SP Strike Price]]-SnapshotTable[[#This Row],[SP Strike  Stop Per Share]]) *(SnapshotTable[[#This Row],[SP Qty]] * 100)),"")</f>
        <v/>
      </c>
      <c r="DA206" s="4" t="str">
        <f>IF(AND(ISNUMBER(SnapshotTable[[#This Row],[SP Premium]]),SnapshotTable[[#This Row],[SP Premium]]&gt;0), SnapshotTable[[#This Row],[SP Book Price]] * (1 + SP_MaxLoss_OptionPct), "")</f>
        <v/>
      </c>
      <c r="DB206" s="31" t="str">
        <f>IF(ISNUMBER(SnapshotTable[[#This Row],[SP Option  Stop Contract]]),(SnapshotTable[[#This Row],[SP Option  Stop Contract]] *(SnapshotTable[[#This Row],[SP Qty]] * 100) - SnapshotTable[[#This Row],[SP Premium]]),"")</f>
        <v/>
      </c>
      <c r="DC206" s="4"/>
      <c r="DD206" s="4"/>
      <c r="DE206" s="4" t="str">
        <f>IF(AND(SnapshotTable[[#This Row],[SP Qty]]&gt;0, SnapshotTable[[#This Row],[SP Stop To Use]]&gt;0),SnapshotTable[[#This Row],[SP Premium]] - ( SnapshotTable[[#This Row],[SP Qty]] * SnapshotTable[[#This Row],[SP Stop To Use]] * 100), "")</f>
        <v/>
      </c>
      <c r="DF206" s="31" t="str">
        <f>IF(AND(SnapshotTable[[#This Row],[SP Qty]]&gt;0,SnapshotTable[[#This Row],[SP Current Ask]]&gt;0), SnapshotTable[[#This Row],[SP Qty]] * SnapshotTable[[#This Row],[SP Current Ask]] * -100, "")</f>
        <v/>
      </c>
      <c r="DG206" s="31" t="str">
        <f>IF(ISNUMBER((SnapshotTable[[#This Row],[SP Total Value]])), SnapshotTable[[#This Row],[SP Premium]] + SnapshotTable[[#This Row],[SP Total Value]], "")</f>
        <v/>
      </c>
      <c r="DH206" s="272" t="str">
        <f>IF(ISNUMBER((SnapshotTable[[#This Row],[SP Total Value]])), SnapshotTable[[#This Row],[SP Gain Loss]] / SnapshotTable[[#This Row],[SP Premium]], "")</f>
        <v/>
      </c>
      <c r="DI206" s="369"/>
      <c r="DJ206" s="136"/>
      <c r="DK206" s="146"/>
      <c r="DL206" s="145"/>
      <c r="DM206" s="145"/>
      <c r="DO206" s="31">
        <f>IF(SnapshotTable[[#This Row],[LC Symbol Count]]=1, SnapshotTable[[#This Row],[LC Qty]] * SnapshotTable[[#This Row],[LC Book Price]] * 100, 0)</f>
        <v>0</v>
      </c>
      <c r="DP206" s="270" t="str">
        <f>IF(AND(SnapshotTable[[#This Row],[LC Exp Date]]&gt;0, SnapshotTable[[#This Row],[LC Strike Price]]&gt;0,SnapshotTable[[#This Row],[LC Qty]]&gt;0,SnapshotTable[[#This Row],[LC Book Date]]&gt;0,SnapshotTable[[#This Row],[LC Book Price]]&gt;0,SnapshotTable[[#This Row],[LC Fill Date]]=0),"Y","")</f>
        <v/>
      </c>
      <c r="DQ206" s="356" t="str">
        <f>IF(SnapshotTable[[#This Row],[LC Premium]] &gt; 0,SnapshotTable[[#This Row],[LC Exp Date]]-MAX(SnapshotTable[[#This Row],[LC Book Date]], SnapshotTable[[#This Row],[LC Fill Date]]),"")</f>
        <v/>
      </c>
      <c r="DR206" s="356" t="str">
        <f>IF(ISNUMBER(SnapshotTable[[#This Row],[LC Term]]), SnapshotTable[[#This Row],[LC Exp Date]] - MockToday, "")</f>
        <v/>
      </c>
      <c r="DS206" s="219" t="str">
        <f>IF(SnapshotTable[[#This Row],[LC Premium]]&gt;0,SnapshotTable[[#This Row],[LC Strike Price]] + SnapshotTable[[#This Row],[LC Book Price]],"")</f>
        <v/>
      </c>
      <c r="DU206" s="9" t="str">
        <f>IF(AND(SnapshotTable[[#This Row],[LC Symbol Count]]&gt;0, SnapshotTable[[#This Row],[LC Contract Value]]&gt;0), SnapshotTable[[#This Row],[LC Contract Value]] * SnapshotTable[[#This Row],[LC Qty]] * 100, "")</f>
        <v/>
      </c>
      <c r="DV206" s="9" t="str">
        <f>IF(AND(ISNUMBER(SnapshotTable[[#This Row],[LC Total Value]]), SnapshotTable[[#This Row],[LC Not Filled]]&lt;&gt;"Y"), SnapshotTable[[#This Row],[LC Total Value]]-SnapshotTable[[#This Row],[LC Premium]],"")</f>
        <v/>
      </c>
      <c r="DW206" s="225" t="str">
        <f>IF(ISNUMBER(SnapshotTable[[#This Row],[LC Actual Gain Loss]]), SnapshotTable[[#This Row],[LC Actual Gain Loss]] / SnapshotTable[[#This Row],[LC Premium]],"")</f>
        <v/>
      </c>
      <c r="DX206" s="269" t="str">
        <f>IF(ISNUMBER(SnapshotTable[[#This Row],[LC Book Price]]),SnapshotTable[[#This Row],[LC Book Price]] * 1.5,"")</f>
        <v/>
      </c>
      <c r="DY206" s="250" t="str">
        <f>IF(SnapshotTable[[#This Row],[LC Premium]]&gt;0, SnapshotTable[[#This Row],[LC Next Target]] * SnapshotTable[[#This Row],[LC Qty]] * 100,"")</f>
        <v/>
      </c>
      <c r="DZ206" s="250" t="str">
        <f>IF(ISNUMBER(SnapshotTable[[#This Row],[LC Target Gross]]), SnapshotTable[[#This Row],[LC Target Gross]] - SnapshotTable[[#This Row],[LC Premium]], "")</f>
        <v/>
      </c>
      <c r="EA206" s="283" t="str">
        <f>IF(ISNUMBER(SnapshotTable[[#This Row],[LC Target Gain Loss]]), SnapshotTable[[#This Row],[LC Target Gain Loss]]/SnapshotTable[[#This Row],[LC Premium]], "")</f>
        <v/>
      </c>
      <c r="EB206" s="247"/>
      <c r="EC206" s="268" t="str">
        <f>IF(SnapshotTable[[#This Row],[LC Premium]]&gt;0, SnapshotTable[[#This Row],[LC Book Price]] * (1 - LC_StopLoss_Pct),"")</f>
        <v/>
      </c>
      <c r="ED206" s="269"/>
      <c r="EE206" s="268" t="str">
        <f>IF(ISNUMBER(SnapshotTable[[#This Row],[LC Contract Value]]),IF(ISNUMBER(SnapshotTable[[#This Row],[LC Stop Loss Override]]), SnapshotTable[[#This Row],[LC Stop Loss Override]],SnapshotTable[[#This Row],[LC Stop Loss Calc Target]]),"")</f>
        <v/>
      </c>
      <c r="EF206" s="31" t="str">
        <f>IF(ISNUMBER(SnapshotTable[[#This Row],[LC Stop  To Use]]), (SnapshotTable[[#This Row],[LC Stop  To Use]] * SnapshotTable[[#This Row],[LC Qty]] * 100),"")</f>
        <v/>
      </c>
      <c r="EG206" s="9" t="str">
        <f>IF(ISNUMBER(SnapshotTable[[#This Row],[LC Total Value]]),SnapshotTable[[#This Row],[LC Stop Loss Amount]] - SnapshotTable[[#This Row],[LC Premium]],"")</f>
        <v/>
      </c>
      <c r="EH206" s="9">
        <f>IF(ISNUMBER(SnapshotTable[[#This Row],[LC Premium]]), SnapshotTable[[#This Row],[LC Qty]] * 100 * SnapshotTable[[#This Row],[LC Strike Price]], "")</f>
        <v>0</v>
      </c>
      <c r="EI206" s="225" t="str">
        <f>IF(AND(ISNUMBER(SnapshotTable[[#This Row],[LC Total Value]]),SnapshotTable[[#This Row],[LC Total Value]]&gt;0),SnapshotTable[[#This Row],[LC Stop Gain Loss]]  / SnapshotTable[[#This Row],[LC Premium]],"")</f>
        <v/>
      </c>
      <c r="EJ206" s="35">
        <f>IF(ISNUMBER(SnapshotTable[[#This Row],[Equity Shares]]),TRUNC(SnapshotTable[[#This Row],[Equity Shares]] / 100),0) + SnapshotTable[[#This Row],[LC Qty]]</f>
        <v>0</v>
      </c>
      <c r="EK206" s="145"/>
      <c r="EL206" s="136"/>
      <c r="EM206" s="146"/>
      <c r="EN206" s="145"/>
      <c r="EO206" s="145"/>
      <c r="EP206" s="136"/>
      <c r="EQ206" s="382" t="b">
        <f>AND(ISNUMBER(SnapshotTable[[#This Row],[SC Exp Date]]), ISNUMBER(SnapshotTable[[#This Row],[SC Strike Price]]), ISNUMBER(SnapshotTable[[#This Row],[SC Qty]]), ISNUMBER(SnapshotTable[[#This Row],[SC Book Date]]), ISNUMBER(SnapshotTable[[#This Row],[SC Book Price]]))</f>
        <v>0</v>
      </c>
      <c r="ER206" s="382" t="b">
        <f>AND(SnapshotTable[[#This Row],[SC Is Booked]], NOT(ISBLANK(SnapshotTable[[#This Row],[SC Fill Date]])))</f>
        <v>0</v>
      </c>
      <c r="ES206" s="340"/>
      <c r="ET206" s="34" t="str">
        <f>IF(AND(ISNUMBER(SnapshotTable[[#This Row],[SC Exp Date]]), ISNUMBER(SnapshotTable[[#This Row],[SC Book Date]])), SnapshotTable[[#This Row],[SC Exp Date]] - MAX(SnapshotTable[[#This Row],[SC Book Date]], SnapshotTable[[#This Row],[SC Fill Date]]) + 1, "")</f>
        <v/>
      </c>
      <c r="EU206" s="34" t="str">
        <f>IF(ISNUMBER(SnapshotTable[[#This Row],[SC Term]]), SnapshotTable[[#This Row],[SC Exp Date]]- MockToday, "")</f>
        <v/>
      </c>
      <c r="EV206" s="31">
        <f>IF(SnapshotTable[[#This Row],[SC Is Booked]], SnapshotTable[[#This Row],[SC Qty]] * SnapshotTable[[#This Row],[SC Book Price]] * 100, 0)</f>
        <v>0</v>
      </c>
      <c r="EW206" s="4" t="str">
        <f>IF(AND(ISNUMBER(SnapshotTable[[#This Row],[Last Price]]), ISNUMBER( SnapshotTable[[#This Row],[SC Book Price]])), SnapshotTable[[#This Row],[Last Price]] - SnapshotTable[[#This Row],[SC Book Price]],"")</f>
        <v/>
      </c>
      <c r="EX206" s="219" t="str">
        <f>IF(SnapshotTable[[#This Row],[SC Is Booked]],IF(SnapshotTable[[#This Row],[SC Intrinsic Value]] &gt; 0, SnapshotTable[[#This Row],[SC Strike Price]], SnapshotTable[[#This Row],[Last Price]]), "")</f>
        <v/>
      </c>
      <c r="EY206" s="4">
        <f>IF(SnapshotTable[[#This Row],[SC Is Booked]], (MinimumPremiumRequired * SnapshotTable[[#This Row],[SC Basis]] * SnapshotTable[[#This Row],[SC Term]]), 0)</f>
        <v>0</v>
      </c>
      <c r="EZ206" s="268"/>
      <c r="FA206" s="204"/>
      <c r="FB206" s="340"/>
      <c r="FC206" s="4">
        <f>IF(SnapshotTable[[#This Row],[SC Is Filled]], btc_max_buyback_amount(SnapshotTable[[#This Row],[SC Fill Date]],SnapshotTable[[#This Row],[SC Exp Date]], SnapshotTable[[#This Row],[SC Book Price]]),0)</f>
        <v>0</v>
      </c>
      <c r="FD206" s="5"/>
      <c r="FE206" s="142" t="str">
        <f>IF(SnapshotTable[[#This Row],[SC Is Filled]], btc_next_cutoff_date(SnapshotTable[[#This Row],[SC Fill Date]],SnapshotTable[[#This Row],[SC Exp Date]]),"")</f>
        <v/>
      </c>
      <c r="FF206" s="4" t="str" cm="1">
        <f t="array" ref="FF206">IF(SnapshotTable[[#This Row],[SC Is Filled]], btc_should_buy_back(SnapshotTable[[#This Row],[SC Fill Date]], SnapshotTable[[#This Row],[SC Exp Date]], SnapshotTable[[#This Row],[SC Book Price]], SnapshotTable[[#This Row],[SC Current Ask]], MockToday, SnapshotTable[[#This Row],[SC Buyback Override]]),"")</f>
        <v/>
      </c>
      <c r="FG206" s="4">
        <f>IF(SnapshotTable[[#This Row],[SC Is Filled]], MAX(0,SnapshotTable[[#This Row],[Last Price]]  - SnapshotTable[[#This Row],[SC Strike Price]]), 0)</f>
        <v>0</v>
      </c>
      <c r="FH206" s="352">
        <f>IF(SnapshotTable[[#This Row],[SC Is Filled]], IF(ISNUMBER(SnapshotTable[[#This Row],[SC Current Ask]]), SnapshotTable[[#This Row],[SC Current Ask]], SnapshotTable[[#This Row],[SC Book Price]]) - SnapshotTable[[#This Row],[SC Intrinsic Value]], 0)</f>
        <v>0</v>
      </c>
      <c r="FI206" s="141"/>
      <c r="FJ206" s="32" t="str">
        <f>IF(SnapshotTable[[#This Row],[SC Is Filled]],100 * SnapshotTable[[#This Row],[SC Qty]] * IF(ISNUMBER(SnapshotTable[[#This Row],[SC Buyback Override]]), SnapshotTable[[#This Row],[SC Buyback Override]], SnapshotTable[[#This Row],[SC Current Ask]]), "")</f>
        <v/>
      </c>
      <c r="FK206" s="235" t="str">
        <f>IF(SnapshotTable[[#This Row],[SC Time Val]]&gt;0, SnapshotTable[[#This Row],[SC Time Val]] / SnapshotTable[[#This Row],[Last Price]],"")</f>
        <v/>
      </c>
      <c r="FL206" s="280" t="str">
        <f>IF(SnapshotTable[[#This Row],[SC Is Booked]], ((SnapshotTable[[#This Row],[Last Price]] -SnapshotTable[[#This Row],[SC Strike Price]]) / SnapshotTable[[#This Row],[Last Price]]) * -1, "")</f>
        <v/>
      </c>
      <c r="FM206" s="155" t="str">
        <f>IF(SnapshotTable[[#This Row],[SC Is Booked]],  (SnapshotTable[[#This Row],[SC Qty]] * 100 * SnapshotTable[[#This Row],[SC Strike Price]]) - SnapshotTable[[#This Row],[SC Current Ask]], "")</f>
        <v/>
      </c>
      <c r="FN206"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6" s="155" t="str">
        <f>IF(AND(ISNUMBER(SnapshotTable[[#This Row],[SC Exercise Gross]]), ISNUMBER(SnapshotTable[[#This Row],[Equity Basis Per Share]] )), SnapshotTable[[#This Row],[SC Exercise Gross]] - SnapshotTable[[#This Row],[Equity Basis Total]] +  SnapshotTable[[#This Row],[SC Premium]], "")</f>
        <v/>
      </c>
      <c r="FP206" s="5" t="str">
        <f>IF(ISNUMBER(SnapshotTable[[#This Row],[SC Exercise Gross]]), (SnapshotTable[[#This Row],[SC Exercise Gross]]) / (SnapshotTable[[#This Row],[SC Qty]] * 100), "")</f>
        <v/>
      </c>
      <c r="FQ206" s="27" t="str">
        <f>IF(SnapshotTable[[#This Row],[SC Is Booked]],SnapshotTable[[#This Row],[SC Time Val]] /SnapshotTable[[#This Row],[SC Basis]], "")</f>
        <v/>
      </c>
      <c r="FR206" s="27" t="str" cm="1">
        <f t="array" ref="FR206">IF(AND(ISNUMBER(SnapshotTable[[#This Row],[SC Term]]),ISNUMBER(SnapshotTable[[#This Row],[SC Simple ROO]])), EllmanAnnualize(SnapshotTable[[#This Row],[SC DTE]], SnapshotTable[[#This Row],[SC Simple ROO]] ),"")</f>
        <v/>
      </c>
      <c r="FS206" s="4">
        <f>IF(SnapshotTable[[#This Row],[SC Strike Price]] &gt; SnapshotTable[[#This Row],[Last Price]], SnapshotTable[[#This Row],[SC Strike Price]] - SnapshotTable[[#This Row],[Last Price]],0)</f>
        <v>0</v>
      </c>
      <c r="FT206" s="27" t="str">
        <f>IF(AND(ISNUMBER(SnapshotTable[[#This Row],[SC Upside Potential]]), SnapshotTable[[#This Row],[SC Upside Potential]] &gt; 0),(SnapshotTable[[#This Row],[SC Upside Potential]]/ SnapshotTable[[#This Row],[ACB]]),"")</f>
        <v/>
      </c>
      <c r="FU206" s="304" t="str">
        <f>IF(SnapshotTable[[#This Row],[SC Intrinsic Value]] &gt; 0,SnapshotTable[[#This Row],[SC Intrinsic Value]],"")</f>
        <v/>
      </c>
      <c r="FV206" s="27" t="str">
        <f>IF(AND( ISNUMBER( SnapshotTable[[#This Row],[ACB]]),ISNUMBER(SnapshotTable[[#This Row],[SC Downside Protect]])),SnapshotTable[[#This Row],[SC Downside Protect]] / SnapshotTable[[#This Row],[ACB]],"")</f>
        <v/>
      </c>
      <c r="FW206" s="221" t="str">
        <f>IF(AND(ISNUMBER(SnapshotTable[[#This Row],[SC Simple ROO]]),SnapshotTable[[#This Row],[SC Simple ROO]] &gt; 0), SnapshotTable[[#This Row],[SC Premium]] + (SnapshotTable[[#This Row],[SC Qty]] * SnapshotTable[[#This Row],[SC Upside Potential]]), "")</f>
        <v/>
      </c>
      <c r="FX206" s="280" t="str" cm="1">
        <f t="array" ref="FX206">IF(ISNUMBER(SnapshotTable[[#This Row],[SC Max Dollars]]), annualize(SnapshotTable[[#This Row],[SC Term]],(SnapshotTable[[#This Row],[SC Max Dollars]]/SnapshotTable[[#This Row],[SC Basis]])),"")</f>
        <v/>
      </c>
      <c r="FY206" s="221" t="str">
        <f>IF(AND(SnapshotTable[[#This Row],[SC Qty]]&gt;0,SnapshotTable[[#This Row],[SC Current Ask]]&gt;0), SnapshotTable[[#This Row],[SC Qty]] * SnapshotTable[[#This Row],[SC Current Ask]] * -100, "")</f>
        <v/>
      </c>
      <c r="FZ206" s="220" t="str">
        <f>IF(ISNUMBER((SnapshotTable[[#This Row],[SC Current Value]])), SnapshotTable[[#This Row],[SC Premium]] + SnapshotTable[[#This Row],[SC Current Value]], "")</f>
        <v/>
      </c>
      <c r="GA206" s="272" t="str">
        <f>IFERROR( IF(ISNUMBER((SnapshotTable[[#This Row],[SC Current Value]])), SnapshotTable[[#This Row],[SC Gain Loss]] / SnapshotTable[[#This Row],[SC Premium]], ""), "")</f>
        <v/>
      </c>
      <c r="GB206" s="42">
        <f>SnapshotTable[[#This Row],[Equity Shares]] * SaleSharesToConsiderPercentage</f>
        <v>0</v>
      </c>
      <c r="GC206" s="40">
        <f>SnapshotTable[[#This Row],[Long Term Target]] * SellingPriceToConsiderBasedOnTargetPercentage</f>
        <v>83.153499999999994</v>
      </c>
      <c r="GD206" s="40">
        <f>SnapshotTable[[#This Row],[Last Price]] * (1+ SellingPriceToConsiderBasedOnTargetPercentage)</f>
        <v>160.1925</v>
      </c>
      <c r="GE206" s="41"/>
      <c r="GF206" s="40"/>
      <c r="GG206" s="31">
        <f>SnapshotTable[[#This Row],[Booked Sale Shares]] * SnapshotTable[[#This Row],[Booked Sale Price]]</f>
        <v>0</v>
      </c>
      <c r="GH206" s="31" t="str">
        <f>IF(SnapshotTable[[#This Row],[Equity Basis Total]] &gt; 0, SnapshotTable[[#This Row],[Equity Basis Per Share]] * SnapshotTable[[#This Row],[Booked Sale Shares]], "")</f>
        <v/>
      </c>
      <c r="GI206" s="31">
        <f>IF(SnapshotTable[[#This Row],[Sale Proceeds]]&gt;0, SnapshotTable[[#This Row],[Sale Proceeds]] - SnapshotTable[[#This Row],[Sale Basis]], 0)</f>
        <v>0</v>
      </c>
      <c r="GJ206" s="156" t="str">
        <f>IF(SnapshotTable[[#This Row],[Sale G/L]]&gt;0, SnapshotTable[[#This Row],[Sale G/L]] / SnapshotTable[[#This Row],[Sale Basis]], IF(ISNUMBER(SnapshotTable[[#This Row],[SC Exercise P&amp;L (TAX)]]), SnapshotTable[[#This Row],[SC Exercise P&amp;L (TAX)]] / SnapshotTable[[#This Row],[SC Basis]], ""))</f>
        <v/>
      </c>
      <c r="GK206" s="156"/>
      <c r="GL206" s="157" t="str">
        <f>IF(AND(SnapshotTable[[#This Row],[LP Exp Date]]&gt;0,SnapshotTable[[#This Row],[LP Strike Price]]&gt;0), [1]!ToOptionSymbol(SnapshotTable[[#This Row],[Symbol]], SnapshotTable[[#This Row],[LP Strike Price]],SnapshotTable[[#This Row],[LP Exp Date]],1), "")</f>
        <v/>
      </c>
      <c r="GM206" s="30" t="str">
        <f>IF(LEN(SnapshotTable[[#This Row],[LP Symbol]])&gt;0, 1, "")</f>
        <v/>
      </c>
      <c r="GN206" s="43" t="str">
        <f>IF(AND(SnapshotTable[[#This Row],[SP Exp Date]]&gt;0,SnapshotTable[[#This Row],[SP Strike Price]]&gt;0), [1]!ToOptionSymbol(SnapshotTable[[#This Row],[Symbol]], SnapshotTable[[#This Row],[SP Strike Price]],SnapshotTable[[#This Row],[SP Exp Date]],1), "")</f>
        <v/>
      </c>
      <c r="GO206" s="30" t="str">
        <f>IF(LEN(SnapshotTable[[#This Row],[SP Symbol]])&gt;0, 1, "")</f>
        <v/>
      </c>
      <c r="GP206" s="157" t="str">
        <f>IF(AND(SnapshotTable[[#This Row],[LC Exp Date]]&gt;0,SnapshotTable[[#This Row],[LC Strike Price]]&gt;0), [1]!ToOptionSymbol(SnapshotTable[[#This Row],[Symbol]], SnapshotTable[[#This Row],[LC Strike Price]],SnapshotTable[[#This Row],[LC Exp Date]],0), "")</f>
        <v/>
      </c>
      <c r="GQ206" s="158" t="str">
        <f>IF(LEN(SnapshotTable[[#This Row],[LC Symbol]])&gt;0, 1, "")</f>
        <v/>
      </c>
      <c r="GR206" s="157" t="str">
        <f>IF(AND(SnapshotTable[[#This Row],[SC Exp Date]]&gt;0,SnapshotTable[[#This Row],[SC Strike Price]]&gt;0), [1]!ToOptionSymbol(SnapshotTable[[#This Row],[Symbol]], SnapshotTable[[#This Row],[SC Strike Price]],SnapshotTable[[#This Row],[SC Exp Date]],0), "")</f>
        <v/>
      </c>
      <c r="GS206" s="158" t="str">
        <f>IF(LEN(SnapshotTable[[#This Row],[SC Symbol]])&gt;0, 1, "")</f>
        <v/>
      </c>
      <c r="GT206" s="159" t="str">
        <f>IF(COUNT(SnapshotTable[[#This Row],[LP Symbol Count]],SnapshotTable[[#This Row],[SP Symbol Count]],SnapshotTable[[#This Row],[LC Symbol Count]],SnapshotTable[[#This Row],[SC Symbol Count]])&gt;0, "Y", "")</f>
        <v/>
      </c>
      <c r="GU20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6" s="216">
        <f>MAX(SnapshotTable[[#This Row],[Equity Basis Total]],SnapshotTable[[#This Row],[Equity Value]]) + (SnapshotTable[[#This Row],[SP Potential Spend]]- SnapshotTable[[#This Row],[SP Premium]] + SnapshotTable[[#This Row],[LP Premium]])+ (SnapshotTable[[#This Row],[LC Premium]] - SnapshotTable[[#This Row],[SC Premium]])</f>
        <v>0</v>
      </c>
      <c r="GW206" s="137" t="str">
        <f>IF(AND(SnapshotTable[[#This Row],[Exposure]] &lt;&gt; 0),SnapshotTable[[#This Row],[Exposure]] / SnapshotTable[[#Totals],[Exposure]], "")</f>
        <v/>
      </c>
      <c r="GX206" s="5"/>
      <c r="HE206" s="253"/>
      <c r="HF206" s="253"/>
      <c r="HK206" s="1"/>
      <c r="HL206" s="1"/>
      <c r="HM206" s="1"/>
      <c r="HN206" s="1"/>
      <c r="HO206" s="1"/>
      <c r="HP206" s="1"/>
    </row>
    <row r="207" spans="2:224" ht="12.75" hidden="1" customHeight="1" x14ac:dyDescent="0.25">
      <c r="B207" s="12" t="s">
        <v>964</v>
      </c>
      <c r="C207" s="385">
        <v>174.28</v>
      </c>
      <c r="D207" s="200"/>
      <c r="E207" s="39">
        <f>SnapshotTable[[#This Row],[Last Price]]*(1 -CrashDiscount)</f>
        <v>148.13800000000001</v>
      </c>
      <c r="F207" s="296" t="s">
        <v>812</v>
      </c>
      <c r="G207" s="296" t="s">
        <v>630</v>
      </c>
      <c r="H207" s="147"/>
      <c r="I207" s="186"/>
      <c r="J207" s="187"/>
      <c r="K207" s="188"/>
      <c r="L207" s="297"/>
      <c r="M207" s="138"/>
      <c r="N207" s="138"/>
      <c r="O207" s="138"/>
      <c r="P207" s="22"/>
      <c r="Q207" s="25"/>
      <c r="R207" s="4" t="str">
        <f>IF(SnapshotTable[[#This Row],[Equity Basis Total]] &gt; 0, SnapshotTable[[#This Row],[Equity Basis Total]] / SnapshotTable[[#This Row],[Equity Shares]], "")</f>
        <v/>
      </c>
      <c r="S207" s="254">
        <f>SnapshotTable[[#This Row],[Last Price]] * SnapshotTable[[#This Row],[Equity Shares]]</f>
        <v>0</v>
      </c>
      <c r="T207" s="254">
        <f>SnapshotTable[[#This Row],[Equity Value]] - SnapshotTable[[#This Row],[Equity Basis Total]]</f>
        <v>0</v>
      </c>
      <c r="U207" s="255" t="str">
        <f>IF(SnapshotTable[[#This Row],[Equity Basis Total]] &gt; 0, SnapshotTable[[#This Row],[Equity G/L]] / SnapshotTable[[#This Row],[Equity Basis Total]], "")</f>
        <v/>
      </c>
      <c r="V207" s="253"/>
      <c r="W207" s="253"/>
      <c r="X207" s="4" t="str">
        <f>IF(AND(ISNUMBER(SnapshotTable[[#This Row],[Equity Basis Per Share]]),ISNUMBER(SnapshotTable[[#This Row],[Equity Target]])),SnapshotTable[[#This Row],[Equity Target]]-SnapshotTable[[#This Row],[Equity Basis Per Share]],"")</f>
        <v/>
      </c>
      <c r="Y207" s="4" t="str">
        <f>IF(AND(ISNUMBER(SnapshotTable[[#This Row],[Equity Basis Per Share]]),ISNUMBER(SnapshotTable[[#This Row],[Equity Stop Loss]])),SnapshotTable[[#This Row],[Equity Stop Loss]]-SnapshotTable[[#This Row],[Equity Basis Per Share]],"")</f>
        <v/>
      </c>
      <c r="Z207" s="260" t="str">
        <f>IFERROR( TEXT(SnapshotTable[[#This Row],[Equity Max Gain Per Share]] /ABS( SnapshotTable[[#This Row],[Equity Max Loss Per Share]]),"0.0 " ) &amp; " : 1", "")</f>
        <v/>
      </c>
      <c r="AA207" s="31" t="str">
        <f>IF(ISNUMBER(SnapshotTable[[#This Row],[Equity Max Gain Per Share]]),SnapshotTable[[#This Row],[Equity Max Gain Per Share]] * SnapshotTable[[#This Row],[Equity Shares]],"")</f>
        <v/>
      </c>
      <c r="AB207" s="31" t="str">
        <f>IF(ISNUMBER(SnapshotTable[[#This Row],[Equity Max Loss Per Share]]),SnapshotTable[[#This Row],[Equity Max Loss Per Share]] * SnapshotTable[[#This Row],[Equity Shares]],"")</f>
        <v/>
      </c>
      <c r="AC207" s="148"/>
      <c r="AD207" s="149"/>
      <c r="AE207" s="31">
        <f>(SnapshotTable[[#This Row],[Annual Dividend Per Share]] / 4) * SnapshotTable[[#This Row],[Equity Shares]]</f>
        <v>0</v>
      </c>
      <c r="AF207" s="31">
        <f>SnapshotTable[[#This Row],[Quarterly Div $]] * 4</f>
        <v>0</v>
      </c>
      <c r="AG207" s="7">
        <f>IF(SnapshotTable[[#This Row],[Annual Dividend Per Share]]&gt;0, SnapshotTable[[#This Row],[Annual Dividend Per Share]]  / SnapshotTable[[#This Row],[Last Price]], 0)</f>
        <v>0</v>
      </c>
      <c r="AH207" s="149"/>
      <c r="AI207" s="5"/>
      <c r="AJ207" s="136"/>
      <c r="AK207" s="150" t="str">
        <f>IF(ISNUMBER( SnapshotTable[[#This Row],[EBF Target]]),(SnapshotTable[[#This Row],[EBF Target]] - SnapshotTable[[#This Row],[Last Price]]) / SnapshotTable[[#This Row],[Last Price]], "")</f>
        <v/>
      </c>
      <c r="AL207" s="150" t="str">
        <f>IF(AND(SnapshotTable[[#This Row],[Equity Basis Total]] &gt; 0,ISNUMBER( SnapshotTable[[#This Row],[Long Term Target]])), SnapshotTable[[#This Row],[From Basis $]] / SnapshotTable[[#This Row],[Equity Basis Total]], "")</f>
        <v/>
      </c>
      <c r="AM207" s="9">
        <f>IF( AND(SnapshotTable[[#This Row],[Equity Shares]] &gt;0,ISNUMBER( SnapshotTable[[#This Row],[Long Term Target]])),(SnapshotTable[[#This Row],[Equity Shares]] * SnapshotTable[[#This Row],[Long Term Target]]) - SnapshotTable[[#This Row],[Equity Basis Total]],0)</f>
        <v>0</v>
      </c>
      <c r="AN207" s="9">
        <f>IF( AND(SnapshotTable[[#This Row],[Equity Shares]] &gt;0,ISNUMBER( SnapshotTable[[#This Row],[Long Term Target]])),(SnapshotTable[[#This Row],[Equity Shares]]*SnapshotTable[[#This Row],[Long Term Target]]) - SnapshotTable[[#This Row],[Equity Value]],0)</f>
        <v>0</v>
      </c>
      <c r="AO207" s="150" t="str">
        <f>IF(AND(ISNUMBER( SnapshotTable[[#This Row],[Long Term Target]]), ISNUMBER(SnapshotTable[[#This Row],[Last Price]])),(SnapshotTable[[#This Row],[Long Term Target]] - SnapshotTable[[#This Row],[Last Price]]) / SnapshotTable[[#This Row],[Last Price]], "")</f>
        <v/>
      </c>
      <c r="AP207" s="5"/>
      <c r="AQ207" s="38"/>
      <c r="AR207" s="5"/>
      <c r="AS207" s="38"/>
      <c r="AT207" s="144"/>
      <c r="AU207" s="185" t="str">
        <f>IF(OR(SnapshotTable[[#This Row],[LP No Fill]]="Y",SnapshotTable[[#This Row],[SP Is Filled]],SnapshotTable[[#This Row],[LC Not Filled]]="Y",SnapshotTable[[#This Row],[SC Is Filled]]),"Y","")</f>
        <v/>
      </c>
      <c r="AV207" s="205"/>
      <c r="AW207" s="211"/>
      <c r="AX207" s="206"/>
      <c r="AY207" s="205" t="str">
        <f>IF(SnapshotTable[[#This Row],[Implied Move]]&gt;0, SnapshotTable[[#This Row],[Last Price]]-SnapshotTable[[#This Row],[Implied Move]],"")</f>
        <v/>
      </c>
      <c r="AZ207" s="205" t="str">
        <f>IF(SnapshotTable[[#This Row],[Implied Move]]&gt;0, SnapshotTable[[#This Row],[Last Price]] + SnapshotTable[[#This Row],[Implied Move]],"")</f>
        <v/>
      </c>
      <c r="BA207" s="302">
        <v>256.83999999999997</v>
      </c>
      <c r="BB207" s="318"/>
      <c r="BC20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7" s="321"/>
      <c r="BE207" s="5"/>
      <c r="BF207" s="14"/>
      <c r="BG207" s="13"/>
      <c r="BH207" s="13"/>
      <c r="BI207" s="5"/>
      <c r="BJ207" s="134">
        <f>IF(SnapshotTable[[#This Row],[LP Qty]] &gt; 0, SnapshotTable[[#This Row],[LP Qty]] * SnapshotTable[[#This Row],[LP Book Price]] * 100,0)</f>
        <v>0</v>
      </c>
      <c r="BK207" s="134">
        <f>IF(SnapshotTable[[#This Row],[LP Premium]] &gt; 0, SnapshotTable[[#This Row],[LP Qty]] * SnapshotTable[[#This Row],[LP Strike Price]] * 100,0)</f>
        <v>0</v>
      </c>
      <c r="BL207" s="152"/>
      <c r="BM207" s="355" t="str">
        <f>IF(SnapshotTable[[#This Row],[LP Premium]] &gt; 0,SnapshotTable[[#This Row],[LP Exp Date]]-MAX(SnapshotTable[[#This Row],[LP Book Date]], SnapshotTable[[#This Row],[LP Fill Date]]),"")</f>
        <v/>
      </c>
      <c r="BN207" s="355" t="str">
        <f>IF(ISNUMBER( SnapshotTable[[#This Row],[LP Term]]), SnapshotTable[[#This Row],[LP Exp Date]] - MockToday,"")</f>
        <v/>
      </c>
      <c r="BO207" s="161" t="str">
        <f>IF(AND(SnapshotTable[[#This Row],[LP Exp Date]]&gt;0, SnapshotTable[[#This Row],[LP Strike Price]]&gt;0,SnapshotTable[[#This Row],[LP Qty]]&gt;0,SnapshotTable[[#This Row],[LP Book Date]]&gt;0,SnapshotTable[[#This Row],[LP Book Price]]&gt;0,SnapshotTable[[#This Row],[LP Fill Date]]=0),"Y","")</f>
        <v/>
      </c>
      <c r="BP207" s="31" t="str">
        <f>IF(AND(SnapshotTable[[#This Row],[LP No Fill]]&lt;&gt;"Y",SnapshotTable[[#This Row],[LP Contract Value]]&gt;0, SnapshotTable[[#This Row],[LP Qty]]&gt;0), SnapshotTable[[#This Row],[LP Contract Value]]*SnapshotTable[[#This Row],[LP Qty]]*100,"")</f>
        <v/>
      </c>
      <c r="BQ207" s="13"/>
      <c r="BR207" s="5"/>
      <c r="BS207" s="36"/>
      <c r="BT207" s="145"/>
      <c r="BU207" s="13"/>
      <c r="BV207" s="5"/>
      <c r="BW207" s="382" t="b">
        <f>AND(ISNUMBER(SnapshotTable[[#This Row],[SP Exp Date]]), ISNUMBER(SnapshotTable[[#This Row],[SP Strike Price]]), ISNUMBER(SnapshotTable[[#This Row],[SP Qty]]), ISNUMBER(SnapshotTable[[#This Row],[SP Book Date]]), ISNUMBER(SnapshotTable[[#This Row],[SP Book Price]]))</f>
        <v>0</v>
      </c>
      <c r="BX207" s="382" t="b">
        <f>AND(SnapshotTable[[#This Row],[SP Is Booked]], NOT(ISBLANK(SnapshotTable[[#This Row],[SP Fill Date]])))</f>
        <v>0</v>
      </c>
      <c r="BY207" s="33">
        <f>IF(SnapshotTable[[#This Row],[SP Is Booked]], SnapshotTable[[#This Row],[SP Qty]] * SnapshotTable[[#This Row],[SP Book Price]] * 100, 0)</f>
        <v>0</v>
      </c>
      <c r="BZ207" s="339"/>
      <c r="CA207" s="338">
        <f>SnapshotTable[[#This Row],[LP Qty]]</f>
        <v>0</v>
      </c>
      <c r="CB207" s="4" t="str">
        <f>IF(SnapshotTable[[#This Row],[SP Is Booked]], SnapshotTable[[#This Row],[SP Strike Price]] - SnapshotTable[[#This Row],[SP Book Price]], "")</f>
        <v/>
      </c>
      <c r="CC207" s="19" t="str">
        <f>IF(SnapshotTable[[#This Row],[SP Is Booked]],SnapshotTable[[#This Row],[SP Exp Date]]-MAX(SnapshotTable[[#This Row],[SP Book Date]], SnapshotTable[[#This Row],[SP Fill Date]]),"")</f>
        <v/>
      </c>
      <c r="CD207" s="7" t="str">
        <f>IF(SnapshotTable[[#This Row],[SP Is Booked]], SnapshotTable[[#This Row],[SP Book Price]]/SnapshotTable[[#This Row],[SP Strike Price]], "")</f>
        <v/>
      </c>
      <c r="CE207" s="7" t="str">
        <f>IF(ISNUMBER(SnapshotTable[[#This Row],[SP ROO Term]]),SnapshotTable[[#This Row],[SP ROO Term]]*(365/SnapshotTable[[#This Row],[SP Term]]),"")</f>
        <v/>
      </c>
      <c r="CF207" s="221">
        <f>SnapshotTable[[#This Row],[LP Strike Price]] * SnapshotTable[[#This Row],[LP Qty]] * 100</f>
        <v>0</v>
      </c>
      <c r="CG207" s="31">
        <f>IF(ISNUMBER(SnapshotTable[[#This Row],[SP Premium]]), (SnapshotTable[[#This Row],[SP Qty]] * SnapshotTable[[#This Row],[SP Strike Price]]* 100) - SnapshotTable[[#This Row],[LP Protection]], 0)</f>
        <v>0</v>
      </c>
      <c r="CH207" s="7" t="str">
        <f>IF(ISNUMBER(SnapshotTable[[#This Row],[SP Break Even]]),-1 * (SnapshotTable[[#This Row],[SP Break Even]] - SnapshotTable[[#This Row],[Last Price]]) / SnapshotTable[[#This Row],[Last Price]], "")</f>
        <v/>
      </c>
      <c r="CI207" s="31">
        <f>IF(AND(ISNUMBER((SnapshotTable[[#This Row],[SP Potential Spend]])), SnapshotTable[[#This Row],[SP Strike Price]] &gt; SnapshotTable[[#This Row],[Last Price]], SnapshotTable[[#This Row],[SP Is Filled]]), SnapshotTable[[#This Row],[SP Potential Spend]] -  SnapshotTable[[#This Row],[LP Max Value]], 0)</f>
        <v>0</v>
      </c>
      <c r="CJ207" s="229"/>
      <c r="CK207" s="31">
        <f>IF(ISNUMBER(SnapshotTable[[#This Row],[SP Potential Spend]]),IF(ISNUMBER(SnapshotTable[[#This Row],[SP POW]]), SnapshotTable[[#This Row],[SP POW]] * SnapshotTable[[#This Row],[SP Potential Spend]], SnapshotTable[[#This Row],[SP Potential Spend]]), "")</f>
        <v>0</v>
      </c>
      <c r="CL207" s="162">
        <f>IF(NOT(SnapshotTable[[#This Row],[SP Is Filled]]),(SnapshotTable[[#This Row],[SP Qty]] * SnapshotTable[[#This Row],[SP Strike Price]] * 100) - SnapshotTable[[#This Row],[LP Max Value]],"")</f>
        <v>0</v>
      </c>
      <c r="CM207" s="31" t="str">
        <f>IF(SnapshotTable[[#This Row],[SP Actual Spend]]&lt;&gt;0, ((SnapshotTable[[#This Row],[SP Strike Price]]-SnapshotTable[[#This Row],[Last Price]]) *(SnapshotTable[[#This Row],[SP Qty]]*100) - SnapshotTable[[#This Row],[SP Premium]]) * - 1, "")</f>
        <v/>
      </c>
      <c r="CN207" s="76"/>
      <c r="CO207" s="339"/>
      <c r="CP207" s="4" t="str">
        <f>IF(SnapshotTable[[#This Row],[SP Is Filled]], btc_max_buyback_amount(SnapshotTable[[#This Row],[SP Fill Date]],SnapshotTable[[#This Row],[SP Exp Date]], SnapshotTable[[#This Row],[SP Book Price]]),"")</f>
        <v/>
      </c>
      <c r="CQ207" s="76"/>
      <c r="CR20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7" s="153" t="str">
        <f>IF(SnapshotTable[[#This Row],[SP Is Filled]], btc_next_cutoff_date(SnapshotTable[[#This Row],[SP Fill Date]],SnapshotTable[[#This Row],[SP Exp Date]]),"")</f>
        <v/>
      </c>
      <c r="CT207" s="220" t="str" cm="1">
        <f t="array" ref="CT207">IF(SnapshotTable[[#This Row],[SP Is Filled]], btc_should_buy_back(SnapshotTable[[#This Row],[SP Fill Date]], SnapshotTable[[#This Row],[SP Exp Date]], SnapshotTable[[#This Row],[SP Book Price]], SnapshotTable[[#This Row],[SP Current Ask]], MockToday, SnapshotTable[[#This Row],[SP Buyback Override]]),"")</f>
        <v/>
      </c>
      <c r="CU207" s="154"/>
      <c r="CV207" s="220"/>
      <c r="CW207" s="348" t="str">
        <f>IF(ISNUMBER( SnapshotTable[[#This Row],[SP Term]]), SnapshotTable[[#This Row],[SP Exp Date]] - MockToday,"")</f>
        <v/>
      </c>
      <c r="CX207" s="31" t="str">
        <f>IF(SnapshotTable[[#This Row],[SP Is Filled]],SnapshotTable[[#This Row],[SP Buyback Price to Use]] * 100 * SnapshotTable[[#This Row],[SP Qty]], "")</f>
        <v/>
      </c>
      <c r="CY207" s="4" t="str">
        <f>IF(ISNUMBER(SnapshotTable[[#This Row],[SP Strike Price]]), SnapshotTable[[#This Row],[SP Strike Price]] * (1 - SP_MaxLoss_StrikePct), "")</f>
        <v/>
      </c>
      <c r="CZ207" s="31" t="str">
        <f>IF(ISNUMBER(SnapshotTable[[#This Row],[SP Strike  Stop Per Share]]),SnapshotTable[[#This Row],[SP Premium]] - ((SnapshotTable[[#This Row],[SP Strike Price]]-SnapshotTable[[#This Row],[SP Strike  Stop Per Share]]) *(SnapshotTable[[#This Row],[SP Qty]] * 100)),"")</f>
        <v/>
      </c>
      <c r="DA207" s="4" t="str">
        <f>IF(AND(ISNUMBER(SnapshotTable[[#This Row],[SP Premium]]),SnapshotTable[[#This Row],[SP Premium]]&gt;0), SnapshotTable[[#This Row],[SP Book Price]] * (1 + SP_MaxLoss_OptionPct), "")</f>
        <v/>
      </c>
      <c r="DB207" s="31" t="str">
        <f>IF(ISNUMBER(SnapshotTable[[#This Row],[SP Option  Stop Contract]]),(SnapshotTable[[#This Row],[SP Option  Stop Contract]] *(SnapshotTable[[#This Row],[SP Qty]] * 100) - SnapshotTable[[#This Row],[SP Premium]]),"")</f>
        <v/>
      </c>
      <c r="DC207" s="4"/>
      <c r="DD207" s="4"/>
      <c r="DE207" s="4" t="str">
        <f>IF(AND(SnapshotTable[[#This Row],[SP Qty]]&gt;0, SnapshotTable[[#This Row],[SP Stop To Use]]&gt;0),SnapshotTable[[#This Row],[SP Premium]] - ( SnapshotTable[[#This Row],[SP Qty]] * SnapshotTable[[#This Row],[SP Stop To Use]] * 100), "")</f>
        <v/>
      </c>
      <c r="DF207" s="31" t="str">
        <f>IF(AND(SnapshotTable[[#This Row],[SP Qty]]&gt;0,SnapshotTable[[#This Row],[SP Current Ask]]&gt;0), SnapshotTable[[#This Row],[SP Qty]] * SnapshotTable[[#This Row],[SP Current Ask]] * -100, "")</f>
        <v/>
      </c>
      <c r="DG207" s="31" t="str">
        <f>IF(ISNUMBER((SnapshotTable[[#This Row],[SP Total Value]])), SnapshotTable[[#This Row],[SP Premium]] + SnapshotTable[[#This Row],[SP Total Value]], "")</f>
        <v/>
      </c>
      <c r="DH207" s="272" t="str">
        <f>IF(ISNUMBER((SnapshotTable[[#This Row],[SP Total Value]])), SnapshotTable[[#This Row],[SP Gain Loss]] / SnapshotTable[[#This Row],[SP Premium]], "")</f>
        <v/>
      </c>
      <c r="DI207" s="369"/>
      <c r="DJ207" s="136"/>
      <c r="DK207" s="146"/>
      <c r="DL207" s="13"/>
      <c r="DM207" s="13"/>
      <c r="DO207" s="31">
        <f>IF(SnapshotTable[[#This Row],[LC Symbol Count]]=1, SnapshotTable[[#This Row],[LC Qty]] * SnapshotTable[[#This Row],[LC Book Price]] * 100, 0)</f>
        <v>0</v>
      </c>
      <c r="DP207" s="161" t="str">
        <f>IF(AND(SnapshotTable[[#This Row],[LC Exp Date]]&gt;0, SnapshotTable[[#This Row],[LC Strike Price]]&gt;0,SnapshotTable[[#This Row],[LC Qty]]&gt;0,SnapshotTable[[#This Row],[LC Book Date]]&gt;0,SnapshotTable[[#This Row],[LC Book Price]]&gt;0,SnapshotTable[[#This Row],[LC Fill Date]]=0),"Y","")</f>
        <v/>
      </c>
      <c r="DQ207" s="356" t="str">
        <f>IF(SnapshotTable[[#This Row],[LC Premium]] &gt; 0,SnapshotTable[[#This Row],[LC Exp Date]]-MAX(SnapshotTable[[#This Row],[LC Book Date]], SnapshotTable[[#This Row],[LC Fill Date]]),"")</f>
        <v/>
      </c>
      <c r="DR207" s="356" t="str">
        <f>IF(ISNUMBER(SnapshotTable[[#This Row],[LC Term]]), SnapshotTable[[#This Row],[LC Exp Date]] - MockToday, "")</f>
        <v/>
      </c>
      <c r="DS207" s="219" t="str">
        <f>IF(SnapshotTable[[#This Row],[LC Premium]]&gt;0,SnapshotTable[[#This Row],[LC Strike Price]] + SnapshotTable[[#This Row],[LC Book Price]],"")</f>
        <v/>
      </c>
      <c r="DU207" s="9" t="str">
        <f>IF(AND(SnapshotTable[[#This Row],[LC Symbol Count]]&gt;0, SnapshotTable[[#This Row],[LC Contract Value]]&gt;0), SnapshotTable[[#This Row],[LC Contract Value]] * SnapshotTable[[#This Row],[LC Qty]] * 100, "")</f>
        <v/>
      </c>
      <c r="DV207" s="9" t="str">
        <f>IF(AND(ISNUMBER(SnapshotTable[[#This Row],[LC Total Value]]), SnapshotTable[[#This Row],[LC Not Filled]]&lt;&gt;"Y"), SnapshotTable[[#This Row],[LC Total Value]]-SnapshotTable[[#This Row],[LC Premium]],"")</f>
        <v/>
      </c>
      <c r="DW207" s="225" t="str">
        <f>IF(ISNUMBER(SnapshotTable[[#This Row],[LC Actual Gain Loss]]), SnapshotTable[[#This Row],[LC Actual Gain Loss]] / SnapshotTable[[#This Row],[LC Premium]],"")</f>
        <v/>
      </c>
      <c r="DX207" s="269" t="str">
        <f>IF(ISNUMBER(SnapshotTable[[#This Row],[LC Book Price]]),SnapshotTable[[#This Row],[LC Book Price]] * 1.5,"")</f>
        <v/>
      </c>
      <c r="DY207" s="250" t="str">
        <f>IF(SnapshotTable[[#This Row],[LC Premium]]&gt;0, SnapshotTable[[#This Row],[LC Next Target]] * SnapshotTable[[#This Row],[LC Qty]] * 100,"")</f>
        <v/>
      </c>
      <c r="DZ207" s="250" t="str">
        <f>IF(ISNUMBER(SnapshotTable[[#This Row],[LC Target Gross]]), SnapshotTable[[#This Row],[LC Target Gross]] - SnapshotTable[[#This Row],[LC Premium]], "")</f>
        <v/>
      </c>
      <c r="EA207" s="283" t="str">
        <f>IF(ISNUMBER(SnapshotTable[[#This Row],[LC Target Gain Loss]]), SnapshotTable[[#This Row],[LC Target Gain Loss]]/SnapshotTable[[#This Row],[LC Premium]], "")</f>
        <v/>
      </c>
      <c r="EB207" s="247"/>
      <c r="EC207" s="268" t="str">
        <f>IF(SnapshotTable[[#This Row],[LC Premium]]&gt;0, SnapshotTable[[#This Row],[LC Book Price]] * (1 - LC_StopLoss_Pct),"")</f>
        <v/>
      </c>
      <c r="ED207" s="269"/>
      <c r="EE207" s="268" t="str">
        <f>IF(ISNUMBER(SnapshotTable[[#This Row],[LC Contract Value]]),IF(ISNUMBER(SnapshotTable[[#This Row],[LC Stop Loss Override]]), SnapshotTable[[#This Row],[LC Stop Loss Override]],SnapshotTable[[#This Row],[LC Stop Loss Calc Target]]),"")</f>
        <v/>
      </c>
      <c r="EF207" s="31" t="str">
        <f>IF(ISNUMBER(SnapshotTable[[#This Row],[LC Stop  To Use]]), (SnapshotTable[[#This Row],[LC Stop  To Use]] * SnapshotTable[[#This Row],[LC Qty]] * 100),"")</f>
        <v/>
      </c>
      <c r="EG207" s="9" t="str">
        <f>IF(ISNUMBER(SnapshotTable[[#This Row],[LC Total Value]]),SnapshotTable[[#This Row],[LC Stop Loss Amount]] - SnapshotTable[[#This Row],[LC Premium]],"")</f>
        <v/>
      </c>
      <c r="EH207" s="9">
        <f>IF(ISNUMBER(SnapshotTable[[#This Row],[LC Premium]]), SnapshotTable[[#This Row],[LC Qty]] * 100 * SnapshotTable[[#This Row],[LC Strike Price]], "")</f>
        <v>0</v>
      </c>
      <c r="EI207" s="225" t="str">
        <f>IF(AND(ISNUMBER(SnapshotTable[[#This Row],[LC Total Value]]),SnapshotTable[[#This Row],[LC Total Value]]&gt;0),SnapshotTable[[#This Row],[LC Stop Gain Loss]]  / SnapshotTable[[#This Row],[LC Premium]],"")</f>
        <v/>
      </c>
      <c r="EJ207" s="35">
        <f>IF(ISNUMBER(SnapshotTable[[#This Row],[Equity Shares]]),TRUNC(SnapshotTable[[#This Row],[Equity Shares]] / 100),0) + SnapshotTable[[#This Row],[LC Qty]]</f>
        <v>0</v>
      </c>
      <c r="EK207" s="145"/>
      <c r="EL207" s="136"/>
      <c r="EM207" s="146"/>
      <c r="EN207" s="145"/>
      <c r="EO207" s="145"/>
      <c r="EP207" s="136"/>
      <c r="EQ207" s="382" t="b">
        <f>AND(ISNUMBER(SnapshotTable[[#This Row],[SC Exp Date]]), ISNUMBER(SnapshotTable[[#This Row],[SC Strike Price]]), ISNUMBER(SnapshotTable[[#This Row],[SC Qty]]), ISNUMBER(SnapshotTable[[#This Row],[SC Book Date]]), ISNUMBER(SnapshotTable[[#This Row],[SC Book Price]]))</f>
        <v>0</v>
      </c>
      <c r="ER207" s="382" t="b">
        <f>AND(SnapshotTable[[#This Row],[SC Is Booked]], NOT(ISBLANK(SnapshotTable[[#This Row],[SC Fill Date]])))</f>
        <v>0</v>
      </c>
      <c r="ES207" s="340"/>
      <c r="ET207" s="34" t="str">
        <f>IF(AND(ISNUMBER(SnapshotTable[[#This Row],[SC Exp Date]]), ISNUMBER(SnapshotTable[[#This Row],[SC Book Date]])), SnapshotTable[[#This Row],[SC Exp Date]] - MAX(SnapshotTable[[#This Row],[SC Book Date]], SnapshotTable[[#This Row],[SC Fill Date]]) + 1, "")</f>
        <v/>
      </c>
      <c r="EU207" s="34" t="str">
        <f>IF(ISNUMBER(SnapshotTable[[#This Row],[SC Term]]), SnapshotTable[[#This Row],[SC Exp Date]]- MockToday, "")</f>
        <v/>
      </c>
      <c r="EV207" s="31">
        <f>IF(SnapshotTable[[#This Row],[SC Is Booked]], SnapshotTable[[#This Row],[SC Qty]] * SnapshotTable[[#This Row],[SC Book Price]] * 100, 0)</f>
        <v>0</v>
      </c>
      <c r="EW207" s="4" t="str">
        <f>IF(AND(ISNUMBER(SnapshotTable[[#This Row],[Last Price]]), ISNUMBER( SnapshotTable[[#This Row],[SC Book Price]])), SnapshotTable[[#This Row],[Last Price]] - SnapshotTable[[#This Row],[SC Book Price]],"")</f>
        <v/>
      </c>
      <c r="EX207" s="219" t="str">
        <f>IF(SnapshotTable[[#This Row],[SC Is Booked]],IF(SnapshotTable[[#This Row],[SC Intrinsic Value]] &gt; 0, SnapshotTable[[#This Row],[SC Strike Price]], SnapshotTable[[#This Row],[Last Price]]), "")</f>
        <v/>
      </c>
      <c r="EY207" s="4">
        <f>IF(SnapshotTable[[#This Row],[SC Is Booked]], (MinimumPremiumRequired * SnapshotTable[[#This Row],[SC Basis]] * SnapshotTable[[#This Row],[SC Term]]), 0)</f>
        <v>0</v>
      </c>
      <c r="EZ207" s="268"/>
      <c r="FA207" s="204"/>
      <c r="FB207" s="340"/>
      <c r="FC207" s="4">
        <f>IF(SnapshotTable[[#This Row],[SC Is Filled]], btc_max_buyback_amount(SnapshotTable[[#This Row],[SC Fill Date]],SnapshotTable[[#This Row],[SC Exp Date]], SnapshotTable[[#This Row],[SC Book Price]]),0)</f>
        <v>0</v>
      </c>
      <c r="FD207" s="5"/>
      <c r="FE207" s="142" t="str">
        <f>IF(SnapshotTable[[#This Row],[SC Is Filled]], btc_next_cutoff_date(SnapshotTable[[#This Row],[SC Fill Date]],SnapshotTable[[#This Row],[SC Exp Date]]),"")</f>
        <v/>
      </c>
      <c r="FF207" s="4" t="str" cm="1">
        <f t="array" ref="FF207">IF(SnapshotTable[[#This Row],[SC Is Filled]], btc_should_buy_back(SnapshotTable[[#This Row],[SC Fill Date]], SnapshotTable[[#This Row],[SC Exp Date]], SnapshotTable[[#This Row],[SC Book Price]], SnapshotTable[[#This Row],[SC Current Ask]], MockToday, SnapshotTable[[#This Row],[SC Buyback Override]]),"")</f>
        <v/>
      </c>
      <c r="FG207" s="4">
        <f>IF(SnapshotTable[[#This Row],[SC Is Filled]], MAX(0,SnapshotTable[[#This Row],[Last Price]]  - SnapshotTable[[#This Row],[SC Strike Price]]), 0)</f>
        <v>0</v>
      </c>
      <c r="FH207" s="352">
        <f>IF(SnapshotTable[[#This Row],[SC Is Filled]], IF(ISNUMBER(SnapshotTable[[#This Row],[SC Current Ask]]), SnapshotTable[[#This Row],[SC Current Ask]], SnapshotTable[[#This Row],[SC Book Price]]) - SnapshotTable[[#This Row],[SC Intrinsic Value]], 0)</f>
        <v>0</v>
      </c>
      <c r="FI207" s="141"/>
      <c r="FJ207" s="32" t="str">
        <f>IF(SnapshotTable[[#This Row],[SC Is Filled]],100 * SnapshotTable[[#This Row],[SC Qty]] * IF(ISNUMBER(SnapshotTable[[#This Row],[SC Buyback Override]]), SnapshotTable[[#This Row],[SC Buyback Override]], SnapshotTable[[#This Row],[SC Current Ask]]), "")</f>
        <v/>
      </c>
      <c r="FK207" s="235" t="str">
        <f>IF(SnapshotTable[[#This Row],[SC Time Val]]&gt;0, SnapshotTable[[#This Row],[SC Time Val]] / SnapshotTable[[#This Row],[Last Price]],"")</f>
        <v/>
      </c>
      <c r="FL207" s="280" t="str">
        <f>IF(SnapshotTable[[#This Row],[SC Is Booked]], ((SnapshotTable[[#This Row],[Last Price]] -SnapshotTable[[#This Row],[SC Strike Price]]) / SnapshotTable[[#This Row],[Last Price]]) * -1, "")</f>
        <v/>
      </c>
      <c r="FM207" s="155" t="str">
        <f>IF(SnapshotTable[[#This Row],[SC Is Booked]],  (SnapshotTable[[#This Row],[SC Qty]] * 100 * SnapshotTable[[#This Row],[SC Strike Price]]) - SnapshotTable[[#This Row],[SC Current Ask]], "")</f>
        <v/>
      </c>
      <c r="FN20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7" s="31" t="str">
        <f>IF(AND(ISNUMBER(SnapshotTable[[#This Row],[SC Exercise Gross]]), ISNUMBER(SnapshotTable[[#This Row],[Equity Basis Per Share]] )), SnapshotTable[[#This Row],[SC Exercise Gross]] - SnapshotTable[[#This Row],[Equity Basis Total]] +  SnapshotTable[[#This Row],[SC Premium]], "")</f>
        <v/>
      </c>
      <c r="FP207" s="5" t="str">
        <f>IF(ISNUMBER(SnapshotTable[[#This Row],[SC Exercise Gross]]), (SnapshotTable[[#This Row],[SC Exercise Gross]]) / (SnapshotTable[[#This Row],[SC Qty]] * 100), "")</f>
        <v/>
      </c>
      <c r="FQ207" s="27" t="str">
        <f>IF(SnapshotTable[[#This Row],[SC Is Booked]],SnapshotTable[[#This Row],[SC Time Val]] /SnapshotTable[[#This Row],[SC Basis]], "")</f>
        <v/>
      </c>
      <c r="FR207" s="27" t="str" cm="1">
        <f t="array" ref="FR207">IF(AND(ISNUMBER(SnapshotTable[[#This Row],[SC Term]]),ISNUMBER(SnapshotTable[[#This Row],[SC Simple ROO]])), EllmanAnnualize(SnapshotTable[[#This Row],[SC DTE]], SnapshotTable[[#This Row],[SC Simple ROO]] ),"")</f>
        <v/>
      </c>
      <c r="FS207" s="4">
        <f>IF(SnapshotTable[[#This Row],[SC Strike Price]] &gt; SnapshotTable[[#This Row],[Last Price]], SnapshotTable[[#This Row],[SC Strike Price]] - SnapshotTable[[#This Row],[Last Price]],0)</f>
        <v>0</v>
      </c>
      <c r="FT207" s="27" t="str">
        <f>IF(AND(ISNUMBER(SnapshotTable[[#This Row],[SC Upside Potential]]), SnapshotTable[[#This Row],[SC Upside Potential]] &gt; 0),(SnapshotTable[[#This Row],[SC Upside Potential]]/ SnapshotTable[[#This Row],[ACB]]),"")</f>
        <v/>
      </c>
      <c r="FU207" s="304" t="str">
        <f>IF(SnapshotTable[[#This Row],[SC Intrinsic Value]] &gt; 0,SnapshotTable[[#This Row],[SC Intrinsic Value]],"")</f>
        <v/>
      </c>
      <c r="FV207" s="27" t="str">
        <f>IF(AND( ISNUMBER( SnapshotTable[[#This Row],[ACB]]),ISNUMBER(SnapshotTable[[#This Row],[SC Downside Protect]])),SnapshotTable[[#This Row],[SC Downside Protect]] / SnapshotTable[[#This Row],[ACB]],"")</f>
        <v/>
      </c>
      <c r="FW207" s="221" t="str">
        <f>IF(AND(ISNUMBER(SnapshotTable[[#This Row],[SC Simple ROO]]),SnapshotTable[[#This Row],[SC Simple ROO]] &gt; 0), SnapshotTable[[#This Row],[SC Premium]] + (SnapshotTable[[#This Row],[SC Qty]] * SnapshotTable[[#This Row],[SC Upside Potential]]), "")</f>
        <v/>
      </c>
      <c r="FX207" s="280" t="str" cm="1">
        <f t="array" ref="FX207">IF(ISNUMBER(SnapshotTable[[#This Row],[SC Max Dollars]]), annualize(SnapshotTable[[#This Row],[SC Term]],(SnapshotTable[[#This Row],[SC Max Dollars]]/SnapshotTable[[#This Row],[SC Basis]])),"")</f>
        <v/>
      </c>
      <c r="FY207" s="221" t="str">
        <f>IF(AND(SnapshotTable[[#This Row],[SC Qty]]&gt;0,SnapshotTable[[#This Row],[SC Current Ask]]&gt;0), SnapshotTable[[#This Row],[SC Qty]] * SnapshotTable[[#This Row],[SC Current Ask]] * -100, "")</f>
        <v/>
      </c>
      <c r="FZ207" s="31" t="str">
        <f>IF(ISNUMBER((SnapshotTable[[#This Row],[SC Current Value]])), SnapshotTable[[#This Row],[SC Premium]] + SnapshotTable[[#This Row],[SC Current Value]], "")</f>
        <v/>
      </c>
      <c r="GA207" s="272" t="str">
        <f>IFERROR( IF(ISNUMBER((SnapshotTable[[#This Row],[SC Current Value]])), SnapshotTable[[#This Row],[SC Gain Loss]] / SnapshotTable[[#This Row],[SC Premium]], ""), "")</f>
        <v/>
      </c>
      <c r="GB207" s="42">
        <f>SnapshotTable[[#This Row],[Equity Shares]] * SaleSharesToConsiderPercentage</f>
        <v>0</v>
      </c>
      <c r="GC207" s="40">
        <f>SnapshotTable[[#This Row],[Long Term Target]] * SellingPriceToConsiderBasedOnTargetPercentage</f>
        <v>0</v>
      </c>
      <c r="GD207" s="40">
        <f>SnapshotTable[[#This Row],[Last Price]] * (1+ SellingPriceToConsiderBasedOnTargetPercentage)</f>
        <v>339.846</v>
      </c>
      <c r="GE207" s="41"/>
      <c r="GF207" s="40"/>
      <c r="GG207" s="31">
        <f>SnapshotTable[[#This Row],[Booked Sale Shares]] * SnapshotTable[[#This Row],[Booked Sale Price]]</f>
        <v>0</v>
      </c>
      <c r="GH207" s="31" t="str">
        <f>IF(SnapshotTable[[#This Row],[Equity Basis Total]] &gt; 0, SnapshotTable[[#This Row],[Equity Basis Per Share]] * SnapshotTable[[#This Row],[Booked Sale Shares]], "")</f>
        <v/>
      </c>
      <c r="GI207" s="31">
        <f>IF(SnapshotTable[[#This Row],[Sale Proceeds]]&gt;0, SnapshotTable[[#This Row],[Sale Proceeds]] - SnapshotTable[[#This Row],[Sale Basis]], 0)</f>
        <v>0</v>
      </c>
      <c r="GJ207" s="27" t="str">
        <f>IF(SnapshotTable[[#This Row],[Sale G/L]]&gt;0, SnapshotTable[[#This Row],[Sale G/L]] / SnapshotTable[[#This Row],[Sale Basis]], IF(ISNUMBER(SnapshotTable[[#This Row],[SC Exercise P&amp;L (TAX)]]), SnapshotTable[[#This Row],[SC Exercise P&amp;L (TAX)]] / SnapshotTable[[#This Row],[SC Basis]], ""))</f>
        <v/>
      </c>
      <c r="GK207" s="27"/>
      <c r="GL207" s="43" t="str">
        <f>IF(AND(SnapshotTable[[#This Row],[LP Exp Date]]&gt;0,SnapshotTable[[#This Row],[LP Strike Price]]&gt;0), [1]!ToOptionSymbol(SnapshotTable[[#This Row],[Symbol]], SnapshotTable[[#This Row],[LP Strike Price]],SnapshotTable[[#This Row],[LP Exp Date]],1), "")</f>
        <v/>
      </c>
      <c r="GM207" s="30" t="str">
        <f>IF(LEN(SnapshotTable[[#This Row],[LP Symbol]])&gt;0, 1, "")</f>
        <v/>
      </c>
      <c r="GN207" s="43" t="str">
        <f>IF(AND(SnapshotTable[[#This Row],[SP Exp Date]]&gt;0,SnapshotTable[[#This Row],[SP Strike Price]]&gt;0), [1]!ToOptionSymbol(SnapshotTable[[#This Row],[Symbol]], SnapshotTable[[#This Row],[SP Strike Price]],SnapshotTable[[#This Row],[SP Exp Date]],1), "")</f>
        <v/>
      </c>
      <c r="GO207" s="30" t="str">
        <f>IF(LEN(SnapshotTable[[#This Row],[SP Symbol]])&gt;0, 1, "")</f>
        <v/>
      </c>
      <c r="GP207" s="43" t="str">
        <f>IF(AND(SnapshotTable[[#This Row],[LC Exp Date]]&gt;0,SnapshotTable[[#This Row],[LC Strike Price]]&gt;0), [1]!ToOptionSymbol(SnapshotTable[[#This Row],[Symbol]], SnapshotTable[[#This Row],[LC Strike Price]],SnapshotTable[[#This Row],[LC Exp Date]],0), "")</f>
        <v/>
      </c>
      <c r="GQ207" s="30" t="str">
        <f>IF(LEN(SnapshotTable[[#This Row],[LC Symbol]])&gt;0, 1, "")</f>
        <v/>
      </c>
      <c r="GR207" s="43" t="str">
        <f>IF(AND(SnapshotTable[[#This Row],[SC Exp Date]]&gt;0,SnapshotTable[[#This Row],[SC Strike Price]]&gt;0), [1]!ToOptionSymbol(SnapshotTable[[#This Row],[Symbol]], SnapshotTable[[#This Row],[SC Strike Price]],SnapshotTable[[#This Row],[SC Exp Date]],0), "")</f>
        <v/>
      </c>
      <c r="GS207" s="30" t="str">
        <f>IF(LEN(SnapshotTable[[#This Row],[SC Symbol]])&gt;0, 1, "")</f>
        <v/>
      </c>
      <c r="GT207" s="29" t="str">
        <f>IF(COUNT(SnapshotTable[[#This Row],[LP Symbol Count]],SnapshotTable[[#This Row],[SP Symbol Count]],SnapshotTable[[#This Row],[LC Symbol Count]],SnapshotTable[[#This Row],[SC Symbol Count]])&gt;0, "Y", "")</f>
        <v/>
      </c>
      <c r="GU20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7" s="216">
        <f>MAX(SnapshotTable[[#This Row],[Equity Basis Total]],SnapshotTable[[#This Row],[Equity Value]]) + (SnapshotTable[[#This Row],[SP Potential Spend]]- SnapshotTable[[#This Row],[SP Premium]] + SnapshotTable[[#This Row],[LP Premium]])+ (SnapshotTable[[#This Row],[LC Premium]] - SnapshotTable[[#This Row],[SC Premium]])</f>
        <v>0</v>
      </c>
      <c r="GW207" s="137" t="str">
        <f>IF(AND(SnapshotTable[[#This Row],[Exposure]] &lt;&gt; 0),SnapshotTable[[#This Row],[Exposure]] / SnapshotTable[[#Totals],[Exposure]], "")</f>
        <v/>
      </c>
      <c r="GX207" s="2"/>
      <c r="HE207" s="253"/>
      <c r="HF207" s="253"/>
      <c r="HK207" s="1"/>
      <c r="HL207" s="1"/>
      <c r="HM207" s="1"/>
      <c r="HN207" s="1"/>
      <c r="HO207" s="1"/>
      <c r="HP207" s="1"/>
    </row>
    <row r="208" spans="2:224" ht="12.75" hidden="1" customHeight="1" x14ac:dyDescent="0.25">
      <c r="B208" s="12" t="s">
        <v>817</v>
      </c>
      <c r="C208" s="385">
        <v>26</v>
      </c>
      <c r="D208" s="200"/>
      <c r="E208" s="39">
        <f>SnapshotTable[[#This Row],[Last Price]]*(1 -CrashDiscount)</f>
        <v>22.099999999999998</v>
      </c>
      <c r="F208" s="26" t="s">
        <v>5</v>
      </c>
      <c r="G208" s="26" t="s">
        <v>4</v>
      </c>
      <c r="H208" s="147"/>
      <c r="I208" s="186">
        <v>44770.25</v>
      </c>
      <c r="J208" s="187">
        <v>44770.25</v>
      </c>
      <c r="K208" s="188"/>
      <c r="L208" s="297"/>
      <c r="M208" s="138"/>
      <c r="N208" s="138"/>
      <c r="O208" s="138"/>
      <c r="P208" s="22"/>
      <c r="Q208" s="25"/>
      <c r="R208" s="4" t="str">
        <f>IF(SnapshotTable[[#This Row],[Equity Basis Total]] &gt; 0, SnapshotTable[[#This Row],[Equity Basis Total]] / SnapshotTable[[#This Row],[Equity Shares]], "")</f>
        <v/>
      </c>
      <c r="S208" s="254">
        <f>SnapshotTable[[#This Row],[Last Price]] * SnapshotTable[[#This Row],[Equity Shares]]</f>
        <v>0</v>
      </c>
      <c r="T208" s="254">
        <f>SnapshotTable[[#This Row],[Equity Value]] - SnapshotTable[[#This Row],[Equity Basis Total]]</f>
        <v>0</v>
      </c>
      <c r="U208" s="255" t="str">
        <f>IF(SnapshotTable[[#This Row],[Equity Basis Total]] &gt; 0, SnapshotTable[[#This Row],[Equity G/L]] / SnapshotTable[[#This Row],[Equity Basis Total]], "")</f>
        <v/>
      </c>
      <c r="V208" s="253"/>
      <c r="W208" s="253"/>
      <c r="X208" s="4" t="str">
        <f>IF(AND(ISNUMBER(SnapshotTable[[#This Row],[Equity Basis Per Share]]),ISNUMBER(SnapshotTable[[#This Row],[Equity Target]])),SnapshotTable[[#This Row],[Equity Target]]-SnapshotTable[[#This Row],[Equity Basis Per Share]],"")</f>
        <v/>
      </c>
      <c r="Y208" s="4" t="str">
        <f>IF(AND(ISNUMBER(SnapshotTable[[#This Row],[Equity Basis Per Share]]),ISNUMBER(SnapshotTable[[#This Row],[Equity Stop Loss]])),SnapshotTable[[#This Row],[Equity Stop Loss]]-SnapshotTable[[#This Row],[Equity Basis Per Share]],"")</f>
        <v/>
      </c>
      <c r="Z208" s="260" t="str">
        <f>IFERROR( TEXT(SnapshotTable[[#This Row],[Equity Max Gain Per Share]] /ABS( SnapshotTable[[#This Row],[Equity Max Loss Per Share]]),"0.0 " ) &amp; " : 1", "")</f>
        <v/>
      </c>
      <c r="AA208" s="31" t="str">
        <f>IF(ISNUMBER(SnapshotTable[[#This Row],[Equity Max Gain Per Share]]),SnapshotTable[[#This Row],[Equity Max Gain Per Share]] * SnapshotTable[[#This Row],[Equity Shares]],"")</f>
        <v/>
      </c>
      <c r="AB208" s="31" t="str">
        <f>IF(ISNUMBER(SnapshotTable[[#This Row],[Equity Max Loss Per Share]]),SnapshotTable[[#This Row],[Equity Max Loss Per Share]] * SnapshotTable[[#This Row],[Equity Shares]],"")</f>
        <v/>
      </c>
      <c r="AC208" s="148"/>
      <c r="AD208" s="149"/>
      <c r="AE208" s="31">
        <f>(SnapshotTable[[#This Row],[Annual Dividend Per Share]] / 4) * SnapshotTable[[#This Row],[Equity Shares]]</f>
        <v>0</v>
      </c>
      <c r="AF208" s="31">
        <f>SnapshotTable[[#This Row],[Quarterly Div $]] * 4</f>
        <v>0</v>
      </c>
      <c r="AG208" s="7">
        <f>IF(SnapshotTable[[#This Row],[Annual Dividend Per Share]]&gt;0, SnapshotTable[[#This Row],[Annual Dividend Per Share]]  / SnapshotTable[[#This Row],[Last Price]], 0)</f>
        <v>0</v>
      </c>
      <c r="AH208" s="149"/>
      <c r="AI208" s="5"/>
      <c r="AJ208" s="136"/>
      <c r="AK208" s="150" t="str">
        <f>IF(ISNUMBER( SnapshotTable[[#This Row],[EBF Target]]),(SnapshotTable[[#This Row],[EBF Target]] - SnapshotTable[[#This Row],[Last Price]]) / SnapshotTable[[#This Row],[Last Price]], "")</f>
        <v/>
      </c>
      <c r="AL208" s="150" t="str">
        <f>IF(AND(SnapshotTable[[#This Row],[Equity Basis Total]] &gt; 0,ISNUMBER( SnapshotTable[[#This Row],[Long Term Target]])), SnapshotTable[[#This Row],[From Basis $]] / SnapshotTable[[#This Row],[Equity Basis Total]], "")</f>
        <v/>
      </c>
      <c r="AM208" s="9">
        <f>IF( AND(SnapshotTable[[#This Row],[Equity Shares]] &gt;0,ISNUMBER( SnapshotTable[[#This Row],[Long Term Target]])),(SnapshotTable[[#This Row],[Equity Shares]] * SnapshotTable[[#This Row],[Long Term Target]]) - SnapshotTable[[#This Row],[Equity Basis Total]],0)</f>
        <v>0</v>
      </c>
      <c r="AN208" s="9">
        <f>IF( AND(SnapshotTable[[#This Row],[Equity Shares]] &gt;0,ISNUMBER( SnapshotTable[[#This Row],[Long Term Target]])),(SnapshotTable[[#This Row],[Equity Shares]]*SnapshotTable[[#This Row],[Long Term Target]]) - SnapshotTable[[#This Row],[Equity Value]],0)</f>
        <v>0</v>
      </c>
      <c r="AO208" s="150" t="str">
        <f>IF(AND(ISNUMBER( SnapshotTable[[#This Row],[Long Term Target]]), ISNUMBER(SnapshotTable[[#This Row],[Last Price]])),(SnapshotTable[[#This Row],[Long Term Target]] - SnapshotTable[[#This Row],[Last Price]]) / SnapshotTable[[#This Row],[Last Price]], "")</f>
        <v/>
      </c>
      <c r="AP208" s="5">
        <v>12</v>
      </c>
      <c r="AQ208" s="38" t="s">
        <v>16</v>
      </c>
      <c r="AR208" s="5">
        <v>12</v>
      </c>
      <c r="AS208" s="38" t="s">
        <v>22</v>
      </c>
      <c r="AT208" s="144" t="s">
        <v>442</v>
      </c>
      <c r="AU208" s="185" t="str">
        <f>IF(OR(SnapshotTable[[#This Row],[LP No Fill]]="Y",SnapshotTable[[#This Row],[SP Is Filled]],SnapshotTable[[#This Row],[LC Not Filled]]="Y",SnapshotTable[[#This Row],[SC Is Filled]]),"Y","")</f>
        <v/>
      </c>
      <c r="AV208" s="205"/>
      <c r="AW208" s="211"/>
      <c r="AX208" s="206"/>
      <c r="AY208" s="205" t="str">
        <f>IF(SnapshotTable[[#This Row],[Implied Move]]&gt;0, SnapshotTable[[#This Row],[Last Price]]-SnapshotTable[[#This Row],[Implied Move]],"")</f>
        <v/>
      </c>
      <c r="AZ208" s="205" t="str">
        <f>IF(SnapshotTable[[#This Row],[Implied Move]]&gt;0, SnapshotTable[[#This Row],[Last Price]] + SnapshotTable[[#This Row],[Implied Move]],"")</f>
        <v/>
      </c>
      <c r="BA208" s="302">
        <v>11.21</v>
      </c>
      <c r="BB208" s="318"/>
      <c r="BC20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8" s="321"/>
      <c r="BE208" s="5"/>
      <c r="BF208" s="14"/>
      <c r="BG208" s="13"/>
      <c r="BH208" s="13"/>
      <c r="BI208" s="5"/>
      <c r="BJ208" s="134">
        <f>IF(SnapshotTable[[#This Row],[LP Qty]] &gt; 0, SnapshotTable[[#This Row],[LP Qty]] * SnapshotTable[[#This Row],[LP Book Price]] * 100,0)</f>
        <v>0</v>
      </c>
      <c r="BK208" s="134">
        <f>IF(SnapshotTable[[#This Row],[LP Premium]] &gt; 0, SnapshotTable[[#This Row],[LP Qty]] * SnapshotTable[[#This Row],[LP Strike Price]] * 100,0)</f>
        <v>0</v>
      </c>
      <c r="BL208" s="152"/>
      <c r="BM208" s="355" t="str">
        <f>IF(SnapshotTable[[#This Row],[LP Premium]] &gt; 0,SnapshotTable[[#This Row],[LP Exp Date]]-MAX(SnapshotTable[[#This Row],[LP Book Date]], SnapshotTable[[#This Row],[LP Fill Date]]),"")</f>
        <v/>
      </c>
      <c r="BN208" s="355" t="str">
        <f>IF(ISNUMBER( SnapshotTable[[#This Row],[LP Term]]), SnapshotTable[[#This Row],[LP Exp Date]] - MockToday,"")</f>
        <v/>
      </c>
      <c r="BO208" s="161" t="str">
        <f>IF(AND(SnapshotTable[[#This Row],[LP Exp Date]]&gt;0, SnapshotTable[[#This Row],[LP Strike Price]]&gt;0,SnapshotTable[[#This Row],[LP Qty]]&gt;0,SnapshotTable[[#This Row],[LP Book Date]]&gt;0,SnapshotTable[[#This Row],[LP Book Price]]&gt;0,SnapshotTable[[#This Row],[LP Fill Date]]=0),"Y","")</f>
        <v/>
      </c>
      <c r="BP208" s="31" t="str">
        <f>IF(AND(SnapshotTable[[#This Row],[LP No Fill]]&lt;&gt;"Y",SnapshotTable[[#This Row],[LP Contract Value]]&gt;0, SnapshotTable[[#This Row],[LP Qty]]&gt;0), SnapshotTable[[#This Row],[LP Contract Value]]*SnapshotTable[[#This Row],[LP Qty]]*100,"")</f>
        <v/>
      </c>
      <c r="BQ208" s="13"/>
      <c r="BR208" s="5"/>
      <c r="BS208" s="36"/>
      <c r="BT208" s="145"/>
      <c r="BU208" s="13"/>
      <c r="BV208" s="5"/>
      <c r="BW208" s="382" t="b">
        <f>AND(ISNUMBER(SnapshotTable[[#This Row],[SP Exp Date]]), ISNUMBER(SnapshotTable[[#This Row],[SP Strike Price]]), ISNUMBER(SnapshotTable[[#This Row],[SP Qty]]), ISNUMBER(SnapshotTable[[#This Row],[SP Book Date]]), ISNUMBER(SnapshotTable[[#This Row],[SP Book Price]]))</f>
        <v>0</v>
      </c>
      <c r="BX208" s="382" t="b">
        <f>AND(SnapshotTable[[#This Row],[SP Is Booked]], NOT(ISBLANK(SnapshotTable[[#This Row],[SP Fill Date]])))</f>
        <v>0</v>
      </c>
      <c r="BY208" s="33">
        <f>IF(SnapshotTable[[#This Row],[SP Is Booked]], SnapshotTable[[#This Row],[SP Qty]] * SnapshotTable[[#This Row],[SP Book Price]] * 100, 0)</f>
        <v>0</v>
      </c>
      <c r="BZ208" s="339"/>
      <c r="CA208" s="338">
        <f>SnapshotTable[[#This Row],[LP Qty]]</f>
        <v>0</v>
      </c>
      <c r="CB208" s="4" t="str">
        <f>IF(SnapshotTable[[#This Row],[SP Is Booked]], SnapshotTable[[#This Row],[SP Strike Price]] - SnapshotTable[[#This Row],[SP Book Price]], "")</f>
        <v/>
      </c>
      <c r="CC208" s="19" t="str">
        <f>IF(SnapshotTable[[#This Row],[SP Is Booked]],SnapshotTable[[#This Row],[SP Exp Date]]-MAX(SnapshotTable[[#This Row],[SP Book Date]], SnapshotTable[[#This Row],[SP Fill Date]]),"")</f>
        <v/>
      </c>
      <c r="CD208" s="7" t="str">
        <f>IF(SnapshotTable[[#This Row],[SP Is Booked]], SnapshotTable[[#This Row],[SP Book Price]]/SnapshotTable[[#This Row],[SP Strike Price]], "")</f>
        <v/>
      </c>
      <c r="CE208" s="7" t="str">
        <f>IF(ISNUMBER(SnapshotTable[[#This Row],[SP ROO Term]]),SnapshotTable[[#This Row],[SP ROO Term]]*(365/SnapshotTable[[#This Row],[SP Term]]),"")</f>
        <v/>
      </c>
      <c r="CF208" s="221">
        <f>SnapshotTable[[#This Row],[LP Strike Price]] * SnapshotTable[[#This Row],[LP Qty]] * 100</f>
        <v>0</v>
      </c>
      <c r="CG208" s="31">
        <f>IF(ISNUMBER(SnapshotTable[[#This Row],[SP Premium]]), (SnapshotTable[[#This Row],[SP Qty]] * SnapshotTable[[#This Row],[SP Strike Price]]* 100) - SnapshotTable[[#This Row],[LP Protection]], 0)</f>
        <v>0</v>
      </c>
      <c r="CH208" s="7" t="str">
        <f>IF(ISNUMBER(SnapshotTable[[#This Row],[SP Break Even]]),-1 * (SnapshotTable[[#This Row],[SP Break Even]] - SnapshotTable[[#This Row],[Last Price]]) / SnapshotTable[[#This Row],[Last Price]], "")</f>
        <v/>
      </c>
      <c r="CI208" s="31">
        <f>IF(AND(ISNUMBER((SnapshotTable[[#This Row],[SP Potential Spend]])), SnapshotTable[[#This Row],[SP Strike Price]] &gt; SnapshotTable[[#This Row],[Last Price]], SnapshotTable[[#This Row],[SP Is Filled]]), SnapshotTable[[#This Row],[SP Potential Spend]] -  SnapshotTable[[#This Row],[LP Max Value]], 0)</f>
        <v>0</v>
      </c>
      <c r="CJ208" s="229"/>
      <c r="CK208" s="31">
        <f>IF(ISNUMBER(SnapshotTable[[#This Row],[SP Potential Spend]]),IF(ISNUMBER(SnapshotTable[[#This Row],[SP POW]]), SnapshotTable[[#This Row],[SP POW]] * SnapshotTable[[#This Row],[SP Potential Spend]], SnapshotTable[[#This Row],[SP Potential Spend]]), "")</f>
        <v>0</v>
      </c>
      <c r="CL208" s="162">
        <f>IF(NOT(SnapshotTable[[#This Row],[SP Is Filled]]),(SnapshotTable[[#This Row],[SP Qty]] * SnapshotTable[[#This Row],[SP Strike Price]] * 100) - SnapshotTable[[#This Row],[LP Max Value]],"")</f>
        <v>0</v>
      </c>
      <c r="CM208" s="31" t="str">
        <f>IF(SnapshotTable[[#This Row],[SP Actual Spend]]&lt;&gt;0, ((SnapshotTable[[#This Row],[SP Strike Price]]-SnapshotTable[[#This Row],[Last Price]]) *(SnapshotTable[[#This Row],[SP Qty]]*100) - SnapshotTable[[#This Row],[SP Premium]]) * - 1, "")</f>
        <v/>
      </c>
      <c r="CN208" s="204"/>
      <c r="CO208" s="339"/>
      <c r="CP208" s="4" t="str">
        <f>IF(SnapshotTable[[#This Row],[SP Is Filled]], btc_max_buyback_amount(SnapshotTable[[#This Row],[SP Fill Date]],SnapshotTable[[#This Row],[SP Exp Date]], SnapshotTable[[#This Row],[SP Book Price]]),"")</f>
        <v/>
      </c>
      <c r="CQ208" s="76"/>
      <c r="CR20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8" s="153" t="str">
        <f>IF(SnapshotTable[[#This Row],[SP Is Filled]], btc_next_cutoff_date(SnapshotTable[[#This Row],[SP Fill Date]],SnapshotTable[[#This Row],[SP Exp Date]]),"")</f>
        <v/>
      </c>
      <c r="CT208" s="220" t="str" cm="1">
        <f t="array" ref="CT208">IF(SnapshotTable[[#This Row],[SP Is Filled]], btc_should_buy_back(SnapshotTable[[#This Row],[SP Fill Date]], SnapshotTable[[#This Row],[SP Exp Date]], SnapshotTable[[#This Row],[SP Book Price]], SnapshotTable[[#This Row],[SP Current Ask]], MockToday, SnapshotTable[[#This Row],[SP Buyback Override]]),"")</f>
        <v/>
      </c>
      <c r="CU208" s="141"/>
      <c r="CV208" s="220"/>
      <c r="CW208" s="348" t="str">
        <f>IF(ISNUMBER( SnapshotTable[[#This Row],[SP Term]]), SnapshotTable[[#This Row],[SP Exp Date]] - MockToday,"")</f>
        <v/>
      </c>
      <c r="CX208" s="31" t="str">
        <f>IF(SnapshotTable[[#This Row],[SP Is Filled]],SnapshotTable[[#This Row],[SP Buyback Price to Use]] * 100 * SnapshotTable[[#This Row],[SP Qty]], "")</f>
        <v/>
      </c>
      <c r="CY208" s="4" t="str">
        <f>IF(ISNUMBER(SnapshotTable[[#This Row],[SP Strike Price]]), SnapshotTable[[#This Row],[SP Strike Price]] * (1 - SP_MaxLoss_StrikePct), "")</f>
        <v/>
      </c>
      <c r="CZ208" s="31" t="str">
        <f>IF(ISNUMBER(SnapshotTable[[#This Row],[SP Strike  Stop Per Share]]),SnapshotTable[[#This Row],[SP Premium]] - ((SnapshotTable[[#This Row],[SP Strike Price]]-SnapshotTable[[#This Row],[SP Strike  Stop Per Share]]) *(SnapshotTable[[#This Row],[SP Qty]] * 100)),"")</f>
        <v/>
      </c>
      <c r="DA208" s="4" t="str">
        <f>IF(AND(ISNUMBER(SnapshotTable[[#This Row],[SP Premium]]),SnapshotTable[[#This Row],[SP Premium]]&gt;0), SnapshotTable[[#This Row],[SP Book Price]] * (1 + SP_MaxLoss_OptionPct), "")</f>
        <v/>
      </c>
      <c r="DB208" s="31" t="str">
        <f>IF(ISNUMBER(SnapshotTable[[#This Row],[SP Option  Stop Contract]]),(SnapshotTable[[#This Row],[SP Option  Stop Contract]] *(SnapshotTable[[#This Row],[SP Qty]] * 100) - SnapshotTable[[#This Row],[SP Premium]]),"")</f>
        <v/>
      </c>
      <c r="DC208" s="4"/>
      <c r="DD208" s="4"/>
      <c r="DE208" s="4" t="str">
        <f>IF(AND(SnapshotTable[[#This Row],[SP Qty]]&gt;0, SnapshotTable[[#This Row],[SP Stop To Use]]&gt;0),SnapshotTable[[#This Row],[SP Premium]] - ( SnapshotTable[[#This Row],[SP Qty]] * SnapshotTable[[#This Row],[SP Stop To Use]] * 100), "")</f>
        <v/>
      </c>
      <c r="DF208" s="31" t="str">
        <f>IF(AND(SnapshotTable[[#This Row],[SP Qty]]&gt;0,SnapshotTable[[#This Row],[SP Current Ask]]&gt;0), SnapshotTable[[#This Row],[SP Qty]] * SnapshotTable[[#This Row],[SP Current Ask]] * -100, "")</f>
        <v/>
      </c>
      <c r="DG208" s="31" t="str">
        <f>IF(ISNUMBER((SnapshotTable[[#This Row],[SP Total Value]])), SnapshotTable[[#This Row],[SP Premium]] + SnapshotTable[[#This Row],[SP Total Value]], "")</f>
        <v/>
      </c>
      <c r="DH208" s="272" t="str">
        <f>IF(ISNUMBER((SnapshotTable[[#This Row],[SP Total Value]])), SnapshotTable[[#This Row],[SP Gain Loss]] / SnapshotTable[[#This Row],[SP Premium]], "")</f>
        <v/>
      </c>
      <c r="DI208" s="369"/>
      <c r="DJ208" s="136"/>
      <c r="DK208" s="146"/>
      <c r="DL208" s="13"/>
      <c r="DM208" s="13"/>
      <c r="DO208" s="31">
        <f>IF(SnapshotTable[[#This Row],[LC Symbol Count]]=1, SnapshotTable[[#This Row],[LC Qty]] * SnapshotTable[[#This Row],[LC Book Price]] * 100, 0)</f>
        <v>0</v>
      </c>
      <c r="DP208" s="161" t="str">
        <f>IF(AND(SnapshotTable[[#This Row],[LC Exp Date]]&gt;0, SnapshotTable[[#This Row],[LC Strike Price]]&gt;0,SnapshotTable[[#This Row],[LC Qty]]&gt;0,SnapshotTable[[#This Row],[LC Book Date]]&gt;0,SnapshotTable[[#This Row],[LC Book Price]]&gt;0,SnapshotTable[[#This Row],[LC Fill Date]]=0),"Y","")</f>
        <v/>
      </c>
      <c r="DQ208" s="356" t="str">
        <f>IF(SnapshotTable[[#This Row],[LC Premium]] &gt; 0,SnapshotTable[[#This Row],[LC Exp Date]]-MAX(SnapshotTable[[#This Row],[LC Book Date]], SnapshotTable[[#This Row],[LC Fill Date]]),"")</f>
        <v/>
      </c>
      <c r="DR208" s="356" t="str">
        <f>IF(ISNUMBER(SnapshotTable[[#This Row],[LC Term]]), SnapshotTable[[#This Row],[LC Exp Date]] - MockToday, "")</f>
        <v/>
      </c>
      <c r="DS208" s="219" t="str">
        <f>IF(SnapshotTable[[#This Row],[LC Premium]]&gt;0,SnapshotTable[[#This Row],[LC Strike Price]] + SnapshotTable[[#This Row],[LC Book Price]],"")</f>
        <v/>
      </c>
      <c r="DU208" s="9" t="str">
        <f>IF(AND(SnapshotTable[[#This Row],[LC Symbol Count]]&gt;0, SnapshotTable[[#This Row],[LC Contract Value]]&gt;0), SnapshotTable[[#This Row],[LC Contract Value]] * SnapshotTable[[#This Row],[LC Qty]] * 100, "")</f>
        <v/>
      </c>
      <c r="DV208" s="9" t="str">
        <f>IF(AND(ISNUMBER(SnapshotTable[[#This Row],[LC Total Value]]), SnapshotTable[[#This Row],[LC Not Filled]]&lt;&gt;"Y"), SnapshotTable[[#This Row],[LC Total Value]]-SnapshotTable[[#This Row],[LC Premium]],"")</f>
        <v/>
      </c>
      <c r="DW208" s="225" t="str">
        <f>IF(ISNUMBER(SnapshotTable[[#This Row],[LC Actual Gain Loss]]), SnapshotTable[[#This Row],[LC Actual Gain Loss]] / SnapshotTable[[#This Row],[LC Premium]],"")</f>
        <v/>
      </c>
      <c r="DX208" s="269" t="str">
        <f>IF(ISNUMBER(SnapshotTable[[#This Row],[LC Book Price]]),SnapshotTable[[#This Row],[LC Book Price]] * 1.5,"")</f>
        <v/>
      </c>
      <c r="DY208" s="250" t="str">
        <f>IF(SnapshotTable[[#This Row],[LC Premium]]&gt;0, SnapshotTable[[#This Row],[LC Next Target]] * SnapshotTable[[#This Row],[LC Qty]] * 100,"")</f>
        <v/>
      </c>
      <c r="DZ208" s="250" t="str">
        <f>IF(ISNUMBER(SnapshotTable[[#This Row],[LC Target Gross]]), SnapshotTable[[#This Row],[LC Target Gross]] - SnapshotTable[[#This Row],[LC Premium]], "")</f>
        <v/>
      </c>
      <c r="EA208" s="283" t="str">
        <f>IF(ISNUMBER(SnapshotTable[[#This Row],[LC Target Gain Loss]]), SnapshotTable[[#This Row],[LC Target Gain Loss]]/SnapshotTable[[#This Row],[LC Premium]], "")</f>
        <v/>
      </c>
      <c r="EB208" s="247"/>
      <c r="EC208" s="268" t="str">
        <f>IF(SnapshotTable[[#This Row],[LC Premium]]&gt;0, SnapshotTable[[#This Row],[LC Book Price]] * (1 - LC_StopLoss_Pct),"")</f>
        <v/>
      </c>
      <c r="ED208" s="269"/>
      <c r="EE208" s="268" t="str">
        <f>IF(ISNUMBER(SnapshotTable[[#This Row],[LC Contract Value]]),IF(ISNUMBER(SnapshotTable[[#This Row],[LC Stop Loss Override]]), SnapshotTable[[#This Row],[LC Stop Loss Override]],SnapshotTable[[#This Row],[LC Stop Loss Calc Target]]),"")</f>
        <v/>
      </c>
      <c r="EF208" s="31" t="str">
        <f>IF(ISNUMBER(SnapshotTable[[#This Row],[LC Stop  To Use]]), (SnapshotTable[[#This Row],[LC Stop  To Use]] * SnapshotTable[[#This Row],[LC Qty]] * 100),"")</f>
        <v/>
      </c>
      <c r="EG208" s="9" t="str">
        <f>IF(ISNUMBER(SnapshotTable[[#This Row],[LC Total Value]]),SnapshotTable[[#This Row],[LC Stop Loss Amount]] - SnapshotTable[[#This Row],[LC Premium]],"")</f>
        <v/>
      </c>
      <c r="EH208" s="9">
        <f>IF(ISNUMBER(SnapshotTable[[#This Row],[LC Premium]]), SnapshotTable[[#This Row],[LC Qty]] * 100 * SnapshotTable[[#This Row],[LC Strike Price]], "")</f>
        <v>0</v>
      </c>
      <c r="EI208" s="225" t="str">
        <f>IF(AND(ISNUMBER(SnapshotTable[[#This Row],[LC Total Value]]),SnapshotTable[[#This Row],[LC Total Value]]&gt;0),SnapshotTable[[#This Row],[LC Stop Gain Loss]]  / SnapshotTable[[#This Row],[LC Premium]],"")</f>
        <v/>
      </c>
      <c r="EJ208" s="35">
        <f>IF(ISNUMBER(SnapshotTable[[#This Row],[Equity Shares]]),TRUNC(SnapshotTable[[#This Row],[Equity Shares]] / 100),0) + SnapshotTable[[#This Row],[LC Qty]]</f>
        <v>0</v>
      </c>
      <c r="EK208" s="145"/>
      <c r="EL208" s="136"/>
      <c r="EM208" s="146"/>
      <c r="EN208" s="145"/>
      <c r="EO208" s="145"/>
      <c r="EP208" s="136"/>
      <c r="EQ208" s="382" t="b">
        <f>AND(ISNUMBER(SnapshotTable[[#This Row],[SC Exp Date]]), ISNUMBER(SnapshotTable[[#This Row],[SC Strike Price]]), ISNUMBER(SnapshotTable[[#This Row],[SC Qty]]), ISNUMBER(SnapshotTable[[#This Row],[SC Book Date]]), ISNUMBER(SnapshotTable[[#This Row],[SC Book Price]]))</f>
        <v>0</v>
      </c>
      <c r="ER208" s="382" t="b">
        <f>AND(SnapshotTable[[#This Row],[SC Is Booked]], NOT(ISBLANK(SnapshotTable[[#This Row],[SC Fill Date]])))</f>
        <v>0</v>
      </c>
      <c r="ES208" s="340"/>
      <c r="ET208" s="34" t="str">
        <f>IF(AND(ISNUMBER(SnapshotTable[[#This Row],[SC Exp Date]]), ISNUMBER(SnapshotTable[[#This Row],[SC Book Date]])), SnapshotTable[[#This Row],[SC Exp Date]] - MAX(SnapshotTable[[#This Row],[SC Book Date]], SnapshotTable[[#This Row],[SC Fill Date]]) + 1, "")</f>
        <v/>
      </c>
      <c r="EU208" s="34" t="str">
        <f>IF(ISNUMBER(SnapshotTable[[#This Row],[SC Term]]), SnapshotTable[[#This Row],[SC Exp Date]]- MockToday, "")</f>
        <v/>
      </c>
      <c r="EV208" s="31">
        <f>IF(SnapshotTable[[#This Row],[SC Is Booked]], SnapshotTable[[#This Row],[SC Qty]] * SnapshotTable[[#This Row],[SC Book Price]] * 100, 0)</f>
        <v>0</v>
      </c>
      <c r="EW208" s="4" t="str">
        <f>IF(AND(ISNUMBER(SnapshotTable[[#This Row],[Last Price]]), ISNUMBER( SnapshotTable[[#This Row],[SC Book Price]])), SnapshotTable[[#This Row],[Last Price]] - SnapshotTable[[#This Row],[SC Book Price]],"")</f>
        <v/>
      </c>
      <c r="EX208" s="219" t="str">
        <f>IF(SnapshotTable[[#This Row],[SC Is Booked]],IF(SnapshotTable[[#This Row],[SC Intrinsic Value]] &gt; 0, SnapshotTable[[#This Row],[SC Strike Price]], SnapshotTable[[#This Row],[Last Price]]), "")</f>
        <v/>
      </c>
      <c r="EY208" s="4">
        <f>IF(SnapshotTable[[#This Row],[SC Is Booked]], (MinimumPremiumRequired * SnapshotTable[[#This Row],[SC Basis]] * SnapshotTable[[#This Row],[SC Term]]), 0)</f>
        <v>0</v>
      </c>
      <c r="EZ208" s="268"/>
      <c r="FA208" s="204"/>
      <c r="FB208" s="340"/>
      <c r="FC208" s="4">
        <f>IF(SnapshotTable[[#This Row],[SC Is Filled]], btc_max_buyback_amount(SnapshotTable[[#This Row],[SC Fill Date]],SnapshotTable[[#This Row],[SC Exp Date]], SnapshotTable[[#This Row],[SC Book Price]]),0)</f>
        <v>0</v>
      </c>
      <c r="FD208" s="5"/>
      <c r="FE208" s="142" t="str">
        <f>IF(SnapshotTable[[#This Row],[SC Is Filled]], btc_next_cutoff_date(SnapshotTable[[#This Row],[SC Fill Date]],SnapshotTable[[#This Row],[SC Exp Date]]),"")</f>
        <v/>
      </c>
      <c r="FF208" s="4" t="str" cm="1">
        <f t="array" ref="FF208">IF(SnapshotTable[[#This Row],[SC Is Filled]], btc_should_buy_back(SnapshotTable[[#This Row],[SC Fill Date]], SnapshotTable[[#This Row],[SC Exp Date]], SnapshotTable[[#This Row],[SC Book Price]], SnapshotTable[[#This Row],[SC Current Ask]], MockToday, SnapshotTable[[#This Row],[SC Buyback Override]]),"")</f>
        <v/>
      </c>
      <c r="FG208" s="4">
        <f>IF(SnapshotTable[[#This Row],[SC Is Filled]], MAX(0,SnapshotTable[[#This Row],[Last Price]]  - SnapshotTable[[#This Row],[SC Strike Price]]), 0)</f>
        <v>0</v>
      </c>
      <c r="FH208" s="352">
        <f>IF(SnapshotTable[[#This Row],[SC Is Filled]], IF(ISNUMBER(SnapshotTable[[#This Row],[SC Current Ask]]), SnapshotTable[[#This Row],[SC Current Ask]], SnapshotTable[[#This Row],[SC Book Price]]) - SnapshotTable[[#This Row],[SC Intrinsic Value]], 0)</f>
        <v>0</v>
      </c>
      <c r="FI208" s="141"/>
      <c r="FJ208" s="32" t="str">
        <f>IF(SnapshotTable[[#This Row],[SC Is Filled]],100 * SnapshotTable[[#This Row],[SC Qty]] * IF(ISNUMBER(SnapshotTable[[#This Row],[SC Buyback Override]]), SnapshotTable[[#This Row],[SC Buyback Override]], SnapshotTable[[#This Row],[SC Current Ask]]), "")</f>
        <v/>
      </c>
      <c r="FK208" s="235" t="str">
        <f>IF(SnapshotTable[[#This Row],[SC Time Val]]&gt;0, SnapshotTable[[#This Row],[SC Time Val]] / SnapshotTable[[#This Row],[Last Price]],"")</f>
        <v/>
      </c>
      <c r="FL208" s="280" t="str">
        <f>IF(SnapshotTable[[#This Row],[SC Is Booked]], ((SnapshotTable[[#This Row],[Last Price]] -SnapshotTable[[#This Row],[SC Strike Price]]) / SnapshotTable[[#This Row],[Last Price]]) * -1, "")</f>
        <v/>
      </c>
      <c r="FM208" s="155" t="str">
        <f>IF(SnapshotTable[[#This Row],[SC Is Booked]],  (SnapshotTable[[#This Row],[SC Qty]] * 100 * SnapshotTable[[#This Row],[SC Strike Price]]) - SnapshotTable[[#This Row],[SC Current Ask]], "")</f>
        <v/>
      </c>
      <c r="FN20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8" s="31" t="str">
        <f>IF(AND(ISNUMBER(SnapshotTable[[#This Row],[SC Exercise Gross]]), ISNUMBER(SnapshotTable[[#This Row],[Equity Basis Per Share]] )), SnapshotTable[[#This Row],[SC Exercise Gross]] - SnapshotTable[[#This Row],[Equity Basis Total]] +  SnapshotTable[[#This Row],[SC Premium]], "")</f>
        <v/>
      </c>
      <c r="FP208" s="5" t="str">
        <f>IF(ISNUMBER(SnapshotTable[[#This Row],[SC Exercise Gross]]), (SnapshotTable[[#This Row],[SC Exercise Gross]]) / (SnapshotTable[[#This Row],[SC Qty]] * 100), "")</f>
        <v/>
      </c>
      <c r="FQ208" s="27" t="str">
        <f>IF(SnapshotTable[[#This Row],[SC Is Booked]],SnapshotTable[[#This Row],[SC Time Val]] /SnapshotTable[[#This Row],[SC Basis]], "")</f>
        <v/>
      </c>
      <c r="FR208" s="27" t="str" cm="1">
        <f t="array" ref="FR208">IF(AND(ISNUMBER(SnapshotTable[[#This Row],[SC Term]]),ISNUMBER(SnapshotTable[[#This Row],[SC Simple ROO]])), EllmanAnnualize(SnapshotTable[[#This Row],[SC DTE]], SnapshotTable[[#This Row],[SC Simple ROO]] ),"")</f>
        <v/>
      </c>
      <c r="FS208" s="4">
        <f>IF(SnapshotTable[[#This Row],[SC Strike Price]] &gt; SnapshotTable[[#This Row],[Last Price]], SnapshotTable[[#This Row],[SC Strike Price]] - SnapshotTable[[#This Row],[Last Price]],0)</f>
        <v>0</v>
      </c>
      <c r="FT208" s="27" t="str">
        <f>IF(AND(ISNUMBER(SnapshotTable[[#This Row],[SC Upside Potential]]), SnapshotTable[[#This Row],[SC Upside Potential]] &gt; 0),(SnapshotTable[[#This Row],[SC Upside Potential]]/ SnapshotTable[[#This Row],[ACB]]),"")</f>
        <v/>
      </c>
      <c r="FU208" s="304" t="str">
        <f>IF(SnapshotTable[[#This Row],[SC Intrinsic Value]] &gt; 0,SnapshotTable[[#This Row],[SC Intrinsic Value]],"")</f>
        <v/>
      </c>
      <c r="FV208" s="27" t="str">
        <f>IF(AND( ISNUMBER( SnapshotTable[[#This Row],[ACB]]),ISNUMBER(SnapshotTable[[#This Row],[SC Downside Protect]])),SnapshotTable[[#This Row],[SC Downside Protect]] / SnapshotTable[[#This Row],[ACB]],"")</f>
        <v/>
      </c>
      <c r="FW208" s="221" t="str">
        <f>IF(AND(ISNUMBER(SnapshotTable[[#This Row],[SC Simple ROO]]),SnapshotTable[[#This Row],[SC Simple ROO]] &gt; 0), SnapshotTable[[#This Row],[SC Premium]] + (SnapshotTable[[#This Row],[SC Qty]] * SnapshotTable[[#This Row],[SC Upside Potential]]), "")</f>
        <v/>
      </c>
      <c r="FX208" s="280" t="str" cm="1">
        <f t="array" ref="FX208">IF(ISNUMBER(SnapshotTable[[#This Row],[SC Max Dollars]]), annualize(SnapshotTable[[#This Row],[SC Term]],(SnapshotTable[[#This Row],[SC Max Dollars]]/SnapshotTable[[#This Row],[SC Basis]])),"")</f>
        <v/>
      </c>
      <c r="FY208" s="221" t="str">
        <f>IF(AND(SnapshotTable[[#This Row],[SC Qty]]&gt;0,SnapshotTable[[#This Row],[SC Current Ask]]&gt;0), SnapshotTable[[#This Row],[SC Qty]] * SnapshotTable[[#This Row],[SC Current Ask]] * -100, "")</f>
        <v/>
      </c>
      <c r="FZ208" s="31" t="str">
        <f>IF(ISNUMBER((SnapshotTable[[#This Row],[SC Current Value]])), SnapshotTable[[#This Row],[SC Premium]] + SnapshotTable[[#This Row],[SC Current Value]], "")</f>
        <v/>
      </c>
      <c r="GA208" s="272" t="str">
        <f>IFERROR( IF(ISNUMBER((SnapshotTable[[#This Row],[SC Current Value]])), SnapshotTable[[#This Row],[SC Gain Loss]] / SnapshotTable[[#This Row],[SC Premium]], ""), "")</f>
        <v/>
      </c>
      <c r="GB208" s="42">
        <f>SnapshotTable[[#This Row],[Equity Shares]] * SaleSharesToConsiderPercentage</f>
        <v>0</v>
      </c>
      <c r="GC208" s="40">
        <f>SnapshotTable[[#This Row],[Long Term Target]] * SellingPriceToConsiderBasedOnTargetPercentage</f>
        <v>0</v>
      </c>
      <c r="GD208" s="40">
        <f>SnapshotTable[[#This Row],[Last Price]] * (1+ SellingPriceToConsiderBasedOnTargetPercentage)</f>
        <v>50.699999999999996</v>
      </c>
      <c r="GE208" s="41"/>
      <c r="GF208" s="40"/>
      <c r="GG208" s="31">
        <f>SnapshotTable[[#This Row],[Booked Sale Shares]] * SnapshotTable[[#This Row],[Booked Sale Price]]</f>
        <v>0</v>
      </c>
      <c r="GH208" s="31" t="str">
        <f>IF(SnapshotTable[[#This Row],[Equity Basis Total]] &gt; 0, SnapshotTable[[#This Row],[Equity Basis Per Share]] * SnapshotTable[[#This Row],[Booked Sale Shares]], "")</f>
        <v/>
      </c>
      <c r="GI208" s="31">
        <f>IF(SnapshotTable[[#This Row],[Sale Proceeds]]&gt;0, SnapshotTable[[#This Row],[Sale Proceeds]] - SnapshotTable[[#This Row],[Sale Basis]], 0)</f>
        <v>0</v>
      </c>
      <c r="GJ208" s="27" t="str">
        <f>IF(SnapshotTable[[#This Row],[Sale G/L]]&gt;0, SnapshotTable[[#This Row],[Sale G/L]] / SnapshotTable[[#This Row],[Sale Basis]], IF(ISNUMBER(SnapshotTable[[#This Row],[SC Exercise P&amp;L (TAX)]]), SnapshotTable[[#This Row],[SC Exercise P&amp;L (TAX)]] / SnapshotTable[[#This Row],[SC Basis]], ""))</f>
        <v/>
      </c>
      <c r="GK208" s="27"/>
      <c r="GL208" s="43" t="str">
        <f>IF(AND(SnapshotTable[[#This Row],[LP Exp Date]]&gt;0,SnapshotTable[[#This Row],[LP Strike Price]]&gt;0), [1]!ToOptionSymbol(SnapshotTable[[#This Row],[Symbol]], SnapshotTable[[#This Row],[LP Strike Price]],SnapshotTable[[#This Row],[LP Exp Date]],1), "")</f>
        <v/>
      </c>
      <c r="GM208" s="30" t="str">
        <f>IF(LEN(SnapshotTable[[#This Row],[LP Symbol]])&gt;0, 1, "")</f>
        <v/>
      </c>
      <c r="GN208" s="43" t="str">
        <f>IF(AND(SnapshotTable[[#This Row],[SP Exp Date]]&gt;0,SnapshotTable[[#This Row],[SP Strike Price]]&gt;0), [1]!ToOptionSymbol(SnapshotTable[[#This Row],[Symbol]], SnapshotTable[[#This Row],[SP Strike Price]],SnapshotTable[[#This Row],[SP Exp Date]],1), "")</f>
        <v/>
      </c>
      <c r="GO208" s="30" t="str">
        <f>IF(LEN(SnapshotTable[[#This Row],[SP Symbol]])&gt;0, 1, "")</f>
        <v/>
      </c>
      <c r="GP208" s="43" t="str">
        <f>IF(AND(SnapshotTable[[#This Row],[LC Exp Date]]&gt;0,SnapshotTable[[#This Row],[LC Strike Price]]&gt;0), [1]!ToOptionSymbol(SnapshotTable[[#This Row],[Symbol]], SnapshotTable[[#This Row],[LC Strike Price]],SnapshotTable[[#This Row],[LC Exp Date]],0), "")</f>
        <v/>
      </c>
      <c r="GQ208" s="30" t="str">
        <f>IF(LEN(SnapshotTable[[#This Row],[LC Symbol]])&gt;0, 1, "")</f>
        <v/>
      </c>
      <c r="GR208" s="43" t="str">
        <f>IF(AND(SnapshotTable[[#This Row],[SC Exp Date]]&gt;0,SnapshotTable[[#This Row],[SC Strike Price]]&gt;0), [1]!ToOptionSymbol(SnapshotTable[[#This Row],[Symbol]], SnapshotTable[[#This Row],[SC Strike Price]],SnapshotTable[[#This Row],[SC Exp Date]],0), "")</f>
        <v/>
      </c>
      <c r="GS208" s="30" t="str">
        <f>IF(LEN(SnapshotTable[[#This Row],[SC Symbol]])&gt;0, 1, "")</f>
        <v/>
      </c>
      <c r="GT208" s="29" t="str">
        <f>IF(COUNT(SnapshotTable[[#This Row],[LP Symbol Count]],SnapshotTable[[#This Row],[SP Symbol Count]],SnapshotTable[[#This Row],[LC Symbol Count]],SnapshotTable[[#This Row],[SC Symbol Count]])&gt;0, "Y", "")</f>
        <v/>
      </c>
      <c r="GU20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8" s="216">
        <f>MAX(SnapshotTable[[#This Row],[Equity Basis Total]],SnapshotTable[[#This Row],[Equity Value]]) + (SnapshotTable[[#This Row],[SP Potential Spend]]- SnapshotTable[[#This Row],[SP Premium]] + SnapshotTable[[#This Row],[LP Premium]])+ (SnapshotTable[[#This Row],[LC Premium]] - SnapshotTable[[#This Row],[SC Premium]])</f>
        <v>0</v>
      </c>
      <c r="GW208" s="137" t="str">
        <f>IF(AND(SnapshotTable[[#This Row],[Exposure]] &lt;&gt; 0),SnapshotTable[[#This Row],[Exposure]] / SnapshotTable[[#Totals],[Exposure]], "")</f>
        <v/>
      </c>
      <c r="HK208" s="1"/>
      <c r="HL208" s="1"/>
      <c r="HM208" s="1"/>
      <c r="HN208" s="1"/>
      <c r="HO208" s="1"/>
      <c r="HP208" s="1"/>
    </row>
    <row r="209" spans="2:224" ht="12.75" hidden="1" customHeight="1" x14ac:dyDescent="0.25">
      <c r="B209" s="12" t="s">
        <v>69</v>
      </c>
      <c r="C209" s="385">
        <v>86.42</v>
      </c>
      <c r="D209" s="200"/>
      <c r="E209" s="39">
        <f>SnapshotTable[[#This Row],[Last Price]]*(1 -CrashDiscount)</f>
        <v>73.456999999999994</v>
      </c>
      <c r="F209" s="26" t="s">
        <v>14</v>
      </c>
      <c r="G209" s="26" t="s">
        <v>4</v>
      </c>
      <c r="H209" s="147"/>
      <c r="I209" s="186">
        <v>44756.298611111109</v>
      </c>
      <c r="J209" s="187">
        <v>44756.298611111109</v>
      </c>
      <c r="K209" s="188"/>
      <c r="L209" s="297"/>
      <c r="M209" s="138"/>
      <c r="N209" s="138"/>
      <c r="O209" s="138"/>
      <c r="P209" s="22"/>
      <c r="Q209" s="25"/>
      <c r="R209" s="4" t="str">
        <f>IF(SnapshotTable[[#This Row],[Equity Basis Total]] &gt; 0, SnapshotTable[[#This Row],[Equity Basis Total]] / SnapshotTable[[#This Row],[Equity Shares]], "")</f>
        <v/>
      </c>
      <c r="S209" s="254">
        <f>SnapshotTable[[#This Row],[Last Price]] * SnapshotTable[[#This Row],[Equity Shares]]</f>
        <v>0</v>
      </c>
      <c r="T209" s="254">
        <f>SnapshotTable[[#This Row],[Equity Value]] - SnapshotTable[[#This Row],[Equity Basis Total]]</f>
        <v>0</v>
      </c>
      <c r="U209" s="255" t="str">
        <f>IF(SnapshotTable[[#This Row],[Equity Basis Total]] &gt; 0, SnapshotTable[[#This Row],[Equity G/L]] / SnapshotTable[[#This Row],[Equity Basis Total]], "")</f>
        <v/>
      </c>
      <c r="V209" s="253"/>
      <c r="W209" s="253"/>
      <c r="X209" s="4" t="str">
        <f>IF(AND(ISNUMBER(SnapshotTable[[#This Row],[Equity Basis Per Share]]),ISNUMBER(SnapshotTable[[#This Row],[Equity Target]])),SnapshotTable[[#This Row],[Equity Target]]-SnapshotTable[[#This Row],[Equity Basis Per Share]],"")</f>
        <v/>
      </c>
      <c r="Y209" s="4" t="str">
        <f>IF(AND(ISNUMBER(SnapshotTable[[#This Row],[Equity Basis Per Share]]),ISNUMBER(SnapshotTable[[#This Row],[Equity Stop Loss]])),SnapshotTable[[#This Row],[Equity Stop Loss]]-SnapshotTable[[#This Row],[Equity Basis Per Share]],"")</f>
        <v/>
      </c>
      <c r="Z209" s="260" t="str">
        <f>IFERROR( TEXT(SnapshotTable[[#This Row],[Equity Max Gain Per Share]] /ABS( SnapshotTable[[#This Row],[Equity Max Loss Per Share]]),"0.0 " ) &amp; " : 1", "")</f>
        <v/>
      </c>
      <c r="AA209" s="31" t="str">
        <f>IF(ISNUMBER(SnapshotTable[[#This Row],[Equity Max Gain Per Share]]),SnapshotTable[[#This Row],[Equity Max Gain Per Share]] * SnapshotTable[[#This Row],[Equity Shares]],"")</f>
        <v/>
      </c>
      <c r="AB209" s="31" t="str">
        <f>IF(ISNUMBER(SnapshotTable[[#This Row],[Equity Max Loss Per Share]]),SnapshotTable[[#This Row],[Equity Max Loss Per Share]] * SnapshotTable[[#This Row],[Equity Shares]],"")</f>
        <v/>
      </c>
      <c r="AC209" s="148">
        <v>0.2</v>
      </c>
      <c r="AD209" s="149" t="s">
        <v>2</v>
      </c>
      <c r="AE209" s="31">
        <f>(SnapshotTable[[#This Row],[Annual Dividend Per Share]] / 4) * SnapshotTable[[#This Row],[Equity Shares]]</f>
        <v>0</v>
      </c>
      <c r="AF209" s="31">
        <f>SnapshotTable[[#This Row],[Quarterly Div $]] * 4</f>
        <v>0</v>
      </c>
      <c r="AG209" s="7">
        <f>IF(SnapshotTable[[#This Row],[Annual Dividend Per Share]]&gt;0, SnapshotTable[[#This Row],[Annual Dividend Per Share]]  / SnapshotTable[[#This Row],[Last Price]], 0)</f>
        <v>2.3142791020597086E-3</v>
      </c>
      <c r="AH209" s="149" t="s">
        <v>2</v>
      </c>
      <c r="AI209" s="5"/>
      <c r="AJ209" s="136">
        <v>38.090000000000003</v>
      </c>
      <c r="AK209" s="150" t="str">
        <f>IF(ISNUMBER( SnapshotTable[[#This Row],[EBF Target]]),(SnapshotTable[[#This Row],[EBF Target]] - SnapshotTable[[#This Row],[Last Price]]) / SnapshotTable[[#This Row],[Last Price]], "")</f>
        <v/>
      </c>
      <c r="AL209" s="150" t="str">
        <f>IF(AND(SnapshotTable[[#This Row],[Equity Basis Total]] &gt; 0,ISNUMBER( SnapshotTable[[#This Row],[Long Term Target]])), SnapshotTable[[#This Row],[From Basis $]] / SnapshotTable[[#This Row],[Equity Basis Total]], "")</f>
        <v/>
      </c>
      <c r="AM209" s="9">
        <f>IF( AND(SnapshotTable[[#This Row],[Equity Shares]] &gt;0,ISNUMBER( SnapshotTable[[#This Row],[Long Term Target]])),(SnapshotTable[[#This Row],[Equity Shares]] * SnapshotTable[[#This Row],[Long Term Target]]) - SnapshotTable[[#This Row],[Equity Basis Total]],0)</f>
        <v>0</v>
      </c>
      <c r="AN209" s="9">
        <f>IF( AND(SnapshotTable[[#This Row],[Equity Shares]] &gt;0,ISNUMBER( SnapshotTable[[#This Row],[Long Term Target]])),(SnapshotTable[[#This Row],[Equity Shares]]*SnapshotTable[[#This Row],[Long Term Target]]) - SnapshotTable[[#This Row],[Equity Value]],0)</f>
        <v>0</v>
      </c>
      <c r="AO209" s="150">
        <f>IF(AND(ISNUMBER( SnapshotTable[[#This Row],[Long Term Target]]), ISNUMBER(SnapshotTable[[#This Row],[Last Price]])),(SnapshotTable[[#This Row],[Long Term Target]] - SnapshotTable[[#This Row],[Last Price]]) / SnapshotTable[[#This Row],[Last Price]], "")</f>
        <v>-0.5592455450127285</v>
      </c>
      <c r="AP209" s="5">
        <v>1.52</v>
      </c>
      <c r="AQ209" s="38" t="s">
        <v>16</v>
      </c>
      <c r="AR209" s="5">
        <v>1.52</v>
      </c>
      <c r="AS209" s="38" t="s">
        <v>15</v>
      </c>
      <c r="AT209" s="144" t="s">
        <v>438</v>
      </c>
      <c r="AU209" s="185" t="str">
        <f>IF(OR(SnapshotTable[[#This Row],[LP No Fill]]="Y",SnapshotTable[[#This Row],[SP Is Filled]],SnapshotTable[[#This Row],[LC Not Filled]]="Y",SnapshotTable[[#This Row],[SC Is Filled]]),"Y","")</f>
        <v/>
      </c>
      <c r="AV209" s="205"/>
      <c r="AW209" s="211"/>
      <c r="AX209" s="206"/>
      <c r="AY209" s="205" t="str">
        <f>IF(SnapshotTable[[#This Row],[Implied Move]]&gt;0, SnapshotTable[[#This Row],[Last Price]]-SnapshotTable[[#This Row],[Implied Move]],"")</f>
        <v/>
      </c>
      <c r="AZ209" s="205" t="str">
        <f>IF(SnapshotTable[[#This Row],[Implied Move]]&gt;0, SnapshotTable[[#This Row],[Last Price]] + SnapshotTable[[#This Row],[Implied Move]],"")</f>
        <v/>
      </c>
      <c r="BA209" s="302"/>
      <c r="BB209" s="318"/>
      <c r="BC20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09" s="321"/>
      <c r="BE209" s="5"/>
      <c r="BF209" s="14"/>
      <c r="BG209" s="13"/>
      <c r="BH209" s="13"/>
      <c r="BI209" s="5"/>
      <c r="BJ209" s="134">
        <f>IF(SnapshotTable[[#This Row],[LP Qty]] &gt; 0, SnapshotTable[[#This Row],[LP Qty]] * SnapshotTable[[#This Row],[LP Book Price]] * 100,0)</f>
        <v>0</v>
      </c>
      <c r="BK209" s="134">
        <f>IF(SnapshotTable[[#This Row],[LP Premium]] &gt; 0, SnapshotTable[[#This Row],[LP Qty]] * SnapshotTable[[#This Row],[LP Strike Price]] * 100,0)</f>
        <v>0</v>
      </c>
      <c r="BL209" s="152"/>
      <c r="BM209" s="355" t="str">
        <f>IF(SnapshotTable[[#This Row],[LP Premium]] &gt; 0,SnapshotTable[[#This Row],[LP Exp Date]]-MAX(SnapshotTable[[#This Row],[LP Book Date]], SnapshotTable[[#This Row],[LP Fill Date]]),"")</f>
        <v/>
      </c>
      <c r="BN209" s="355" t="str">
        <f>IF(ISNUMBER( SnapshotTable[[#This Row],[LP Term]]), SnapshotTable[[#This Row],[LP Exp Date]] - MockToday,"")</f>
        <v/>
      </c>
      <c r="BO209" s="161" t="str">
        <f>IF(AND(SnapshotTable[[#This Row],[LP Exp Date]]&gt;0, SnapshotTable[[#This Row],[LP Strike Price]]&gt;0,SnapshotTable[[#This Row],[LP Qty]]&gt;0,SnapshotTable[[#This Row],[LP Book Date]]&gt;0,SnapshotTable[[#This Row],[LP Book Price]]&gt;0,SnapshotTable[[#This Row],[LP Fill Date]]=0),"Y","")</f>
        <v/>
      </c>
      <c r="BP209" s="31" t="str">
        <f>IF(AND(SnapshotTable[[#This Row],[LP No Fill]]&lt;&gt;"Y",SnapshotTable[[#This Row],[LP Contract Value]]&gt;0, SnapshotTable[[#This Row],[LP Qty]]&gt;0), SnapshotTable[[#This Row],[LP Contract Value]]*SnapshotTable[[#This Row],[LP Qty]]*100,"")</f>
        <v/>
      </c>
      <c r="BQ209" s="13"/>
      <c r="BR209" s="5"/>
      <c r="BS209" s="36"/>
      <c r="BT209" s="145"/>
      <c r="BU209" s="13"/>
      <c r="BV209" s="5"/>
      <c r="BW209" s="382" t="b">
        <f>AND(ISNUMBER(SnapshotTable[[#This Row],[SP Exp Date]]), ISNUMBER(SnapshotTable[[#This Row],[SP Strike Price]]), ISNUMBER(SnapshotTable[[#This Row],[SP Qty]]), ISNUMBER(SnapshotTable[[#This Row],[SP Book Date]]), ISNUMBER(SnapshotTable[[#This Row],[SP Book Price]]))</f>
        <v>0</v>
      </c>
      <c r="BX209" s="382" t="b">
        <f>AND(SnapshotTable[[#This Row],[SP Is Booked]], NOT(ISBLANK(SnapshotTable[[#This Row],[SP Fill Date]])))</f>
        <v>0</v>
      </c>
      <c r="BY209" s="33">
        <f>IF(SnapshotTable[[#This Row],[SP Is Booked]], SnapshotTable[[#This Row],[SP Qty]] * SnapshotTable[[#This Row],[SP Book Price]] * 100, 0)</f>
        <v>0</v>
      </c>
      <c r="BZ209" s="339"/>
      <c r="CA209" s="338">
        <f>SnapshotTable[[#This Row],[LP Qty]]</f>
        <v>0</v>
      </c>
      <c r="CB209" s="4" t="str">
        <f>IF(SnapshotTable[[#This Row],[SP Is Booked]], SnapshotTable[[#This Row],[SP Strike Price]] - SnapshotTable[[#This Row],[SP Book Price]], "")</f>
        <v/>
      </c>
      <c r="CC209" s="19" t="str">
        <f>IF(SnapshotTable[[#This Row],[SP Is Booked]],SnapshotTable[[#This Row],[SP Exp Date]]-MAX(SnapshotTable[[#This Row],[SP Book Date]], SnapshotTable[[#This Row],[SP Fill Date]]),"")</f>
        <v/>
      </c>
      <c r="CD209" s="7" t="str">
        <f>IF(SnapshotTable[[#This Row],[SP Is Booked]], SnapshotTable[[#This Row],[SP Book Price]]/SnapshotTable[[#This Row],[SP Strike Price]], "")</f>
        <v/>
      </c>
      <c r="CE209" s="7" t="str">
        <f>IF(ISNUMBER(SnapshotTable[[#This Row],[SP ROO Term]]),SnapshotTable[[#This Row],[SP ROO Term]]*(365/SnapshotTable[[#This Row],[SP Term]]),"")</f>
        <v/>
      </c>
      <c r="CF209" s="221">
        <f>SnapshotTable[[#This Row],[LP Strike Price]] * SnapshotTable[[#This Row],[LP Qty]] * 100</f>
        <v>0</v>
      </c>
      <c r="CG209" s="31">
        <f>IF(ISNUMBER(SnapshotTable[[#This Row],[SP Premium]]), (SnapshotTable[[#This Row],[SP Qty]] * SnapshotTable[[#This Row],[SP Strike Price]]* 100) - SnapshotTable[[#This Row],[LP Protection]], 0)</f>
        <v>0</v>
      </c>
      <c r="CH209" s="7" t="str">
        <f>IF(ISNUMBER(SnapshotTable[[#This Row],[SP Break Even]]),-1 * (SnapshotTable[[#This Row],[SP Break Even]] - SnapshotTable[[#This Row],[Last Price]]) / SnapshotTable[[#This Row],[Last Price]], "")</f>
        <v/>
      </c>
      <c r="CI209" s="31">
        <f>IF(AND(ISNUMBER((SnapshotTable[[#This Row],[SP Potential Spend]])), SnapshotTable[[#This Row],[SP Strike Price]] &gt; SnapshotTable[[#This Row],[Last Price]], SnapshotTable[[#This Row],[SP Is Filled]]), SnapshotTable[[#This Row],[SP Potential Spend]] -  SnapshotTable[[#This Row],[LP Max Value]], 0)</f>
        <v>0</v>
      </c>
      <c r="CJ209" s="229"/>
      <c r="CK209" s="31">
        <f>IF(ISNUMBER(SnapshotTable[[#This Row],[SP Potential Spend]]),IF(ISNUMBER(SnapshotTable[[#This Row],[SP POW]]), SnapshotTable[[#This Row],[SP POW]] * SnapshotTable[[#This Row],[SP Potential Spend]], SnapshotTable[[#This Row],[SP Potential Spend]]), "")</f>
        <v>0</v>
      </c>
      <c r="CL209" s="162">
        <f>IF(NOT(SnapshotTable[[#This Row],[SP Is Filled]]),(SnapshotTable[[#This Row],[SP Qty]] * SnapshotTable[[#This Row],[SP Strike Price]] * 100) - SnapshotTable[[#This Row],[LP Max Value]],"")</f>
        <v>0</v>
      </c>
      <c r="CM209" s="31" t="str">
        <f>IF(SnapshotTable[[#This Row],[SP Actual Spend]]&lt;&gt;0, ((SnapshotTable[[#This Row],[SP Strike Price]]-SnapshotTable[[#This Row],[Last Price]]) *(SnapshotTable[[#This Row],[SP Qty]]*100) - SnapshotTable[[#This Row],[SP Premium]]) * - 1, "")</f>
        <v/>
      </c>
      <c r="CN209" s="76"/>
      <c r="CO209" s="339"/>
      <c r="CP209" s="4" t="str">
        <f>IF(SnapshotTable[[#This Row],[SP Is Filled]], btc_max_buyback_amount(SnapshotTable[[#This Row],[SP Fill Date]],SnapshotTable[[#This Row],[SP Exp Date]], SnapshotTable[[#This Row],[SP Book Price]]),"")</f>
        <v/>
      </c>
      <c r="CQ209" s="76"/>
      <c r="CR20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09" s="153" t="str">
        <f>IF(SnapshotTable[[#This Row],[SP Is Filled]], btc_next_cutoff_date(SnapshotTable[[#This Row],[SP Fill Date]],SnapshotTable[[#This Row],[SP Exp Date]]),"")</f>
        <v/>
      </c>
      <c r="CT209" s="220" t="str" cm="1">
        <f t="array" ref="CT209">IF(SnapshotTable[[#This Row],[SP Is Filled]], btc_should_buy_back(SnapshotTable[[#This Row],[SP Fill Date]], SnapshotTable[[#This Row],[SP Exp Date]], SnapshotTable[[#This Row],[SP Book Price]], SnapshotTable[[#This Row],[SP Current Ask]], MockToday, SnapshotTable[[#This Row],[SP Buyback Override]]),"")</f>
        <v/>
      </c>
      <c r="CU209" s="141"/>
      <c r="CV209" s="220"/>
      <c r="CW209" s="348" t="str">
        <f>IF(ISNUMBER( SnapshotTable[[#This Row],[SP Term]]), SnapshotTable[[#This Row],[SP Exp Date]] - MockToday,"")</f>
        <v/>
      </c>
      <c r="CX209" s="31" t="str">
        <f>IF(SnapshotTable[[#This Row],[SP Is Filled]],SnapshotTable[[#This Row],[SP Buyback Price to Use]] * 100 * SnapshotTable[[#This Row],[SP Qty]], "")</f>
        <v/>
      </c>
      <c r="CY209" s="4" t="str">
        <f>IF(ISNUMBER(SnapshotTable[[#This Row],[SP Strike Price]]), SnapshotTable[[#This Row],[SP Strike Price]] * (1 - SP_MaxLoss_StrikePct), "")</f>
        <v/>
      </c>
      <c r="CZ209" s="31" t="str">
        <f>IF(ISNUMBER(SnapshotTable[[#This Row],[SP Strike  Stop Per Share]]),SnapshotTable[[#This Row],[SP Premium]] - ((SnapshotTable[[#This Row],[SP Strike Price]]-SnapshotTable[[#This Row],[SP Strike  Stop Per Share]]) *(SnapshotTable[[#This Row],[SP Qty]] * 100)),"")</f>
        <v/>
      </c>
      <c r="DA209" s="4" t="str">
        <f>IF(AND(ISNUMBER(SnapshotTable[[#This Row],[SP Premium]]),SnapshotTable[[#This Row],[SP Premium]]&gt;0), SnapshotTable[[#This Row],[SP Book Price]] * (1 + SP_MaxLoss_OptionPct), "")</f>
        <v/>
      </c>
      <c r="DB209" s="31" t="str">
        <f>IF(ISNUMBER(SnapshotTable[[#This Row],[SP Option  Stop Contract]]),(SnapshotTable[[#This Row],[SP Option  Stop Contract]] *(SnapshotTable[[#This Row],[SP Qty]] * 100) - SnapshotTable[[#This Row],[SP Premium]]),"")</f>
        <v/>
      </c>
      <c r="DC209" s="4"/>
      <c r="DD209" s="4"/>
      <c r="DE209" s="4" t="str">
        <f>IF(AND(SnapshotTable[[#This Row],[SP Qty]]&gt;0, SnapshotTable[[#This Row],[SP Stop To Use]]&gt;0),SnapshotTable[[#This Row],[SP Premium]] - ( SnapshotTable[[#This Row],[SP Qty]] * SnapshotTable[[#This Row],[SP Stop To Use]] * 100), "")</f>
        <v/>
      </c>
      <c r="DF209" s="31" t="str">
        <f>IF(AND(SnapshotTable[[#This Row],[SP Qty]]&gt;0,SnapshotTable[[#This Row],[SP Current Ask]]&gt;0), SnapshotTable[[#This Row],[SP Qty]] * SnapshotTable[[#This Row],[SP Current Ask]] * -100, "")</f>
        <v/>
      </c>
      <c r="DG209" s="31" t="str">
        <f>IF(ISNUMBER((SnapshotTable[[#This Row],[SP Total Value]])), SnapshotTable[[#This Row],[SP Premium]] + SnapshotTable[[#This Row],[SP Total Value]], "")</f>
        <v/>
      </c>
      <c r="DH209" s="272" t="str">
        <f>IF(ISNUMBER((SnapshotTable[[#This Row],[SP Total Value]])), SnapshotTable[[#This Row],[SP Gain Loss]] / SnapshotTable[[#This Row],[SP Premium]], "")</f>
        <v/>
      </c>
      <c r="DI209" s="369"/>
      <c r="DJ209" s="136"/>
      <c r="DK209" s="146"/>
      <c r="DL209" s="13"/>
      <c r="DM209" s="13"/>
      <c r="DO209" s="31">
        <f>IF(SnapshotTable[[#This Row],[LC Symbol Count]]=1, SnapshotTable[[#This Row],[LC Qty]] * SnapshotTable[[#This Row],[LC Book Price]] * 100, 0)</f>
        <v>0</v>
      </c>
      <c r="DP209" s="161" t="str">
        <f>IF(AND(SnapshotTable[[#This Row],[LC Exp Date]]&gt;0, SnapshotTable[[#This Row],[LC Strike Price]]&gt;0,SnapshotTable[[#This Row],[LC Qty]]&gt;0,SnapshotTable[[#This Row],[LC Book Date]]&gt;0,SnapshotTable[[#This Row],[LC Book Price]]&gt;0,SnapshotTable[[#This Row],[LC Fill Date]]=0),"Y","")</f>
        <v/>
      </c>
      <c r="DQ209" s="356" t="str">
        <f>IF(SnapshotTable[[#This Row],[LC Premium]] &gt; 0,SnapshotTable[[#This Row],[LC Exp Date]]-MAX(SnapshotTable[[#This Row],[LC Book Date]], SnapshotTable[[#This Row],[LC Fill Date]]),"")</f>
        <v/>
      </c>
      <c r="DR209" s="356" t="str">
        <f>IF(ISNUMBER(SnapshotTable[[#This Row],[LC Term]]), SnapshotTable[[#This Row],[LC Exp Date]] - MockToday, "")</f>
        <v/>
      </c>
      <c r="DS209" s="219" t="str">
        <f>IF(SnapshotTable[[#This Row],[LC Premium]]&gt;0,SnapshotTable[[#This Row],[LC Strike Price]] + SnapshotTable[[#This Row],[LC Book Price]],"")</f>
        <v/>
      </c>
      <c r="DU209" s="9" t="str">
        <f>IF(AND(SnapshotTable[[#This Row],[LC Symbol Count]]&gt;0, SnapshotTable[[#This Row],[LC Contract Value]]&gt;0), SnapshotTable[[#This Row],[LC Contract Value]] * SnapshotTable[[#This Row],[LC Qty]] * 100, "")</f>
        <v/>
      </c>
      <c r="DV209" s="9" t="str">
        <f>IF(AND(ISNUMBER(SnapshotTable[[#This Row],[LC Total Value]]), SnapshotTable[[#This Row],[LC Not Filled]]&lt;&gt;"Y"), SnapshotTable[[#This Row],[LC Total Value]]-SnapshotTable[[#This Row],[LC Premium]],"")</f>
        <v/>
      </c>
      <c r="DW209" s="225" t="str">
        <f>IF(ISNUMBER(SnapshotTable[[#This Row],[LC Actual Gain Loss]]), SnapshotTable[[#This Row],[LC Actual Gain Loss]] / SnapshotTable[[#This Row],[LC Premium]],"")</f>
        <v/>
      </c>
      <c r="DX209" s="269" t="str">
        <f>IF(ISNUMBER(SnapshotTable[[#This Row],[LC Book Price]]),SnapshotTable[[#This Row],[LC Book Price]] * 1.5,"")</f>
        <v/>
      </c>
      <c r="DY209" s="250" t="str">
        <f>IF(SnapshotTable[[#This Row],[LC Premium]]&gt;0, SnapshotTable[[#This Row],[LC Next Target]] * SnapshotTable[[#This Row],[LC Qty]] * 100,"")</f>
        <v/>
      </c>
      <c r="DZ209" s="250" t="str">
        <f>IF(ISNUMBER(SnapshotTable[[#This Row],[LC Target Gross]]), SnapshotTable[[#This Row],[LC Target Gross]] - SnapshotTable[[#This Row],[LC Premium]], "")</f>
        <v/>
      </c>
      <c r="EA209" s="283" t="str">
        <f>IF(ISNUMBER(SnapshotTable[[#This Row],[LC Target Gain Loss]]), SnapshotTable[[#This Row],[LC Target Gain Loss]]/SnapshotTable[[#This Row],[LC Premium]], "")</f>
        <v/>
      </c>
      <c r="EB209" s="247"/>
      <c r="EC209" s="268" t="str">
        <f>IF(SnapshotTable[[#This Row],[LC Premium]]&gt;0, SnapshotTable[[#This Row],[LC Book Price]] * (1 - LC_StopLoss_Pct),"")</f>
        <v/>
      </c>
      <c r="ED209" s="269"/>
      <c r="EE209" s="268" t="str">
        <f>IF(ISNUMBER(SnapshotTable[[#This Row],[LC Contract Value]]),IF(ISNUMBER(SnapshotTable[[#This Row],[LC Stop Loss Override]]), SnapshotTable[[#This Row],[LC Stop Loss Override]],SnapshotTable[[#This Row],[LC Stop Loss Calc Target]]),"")</f>
        <v/>
      </c>
      <c r="EF209" s="31" t="str">
        <f>IF(ISNUMBER(SnapshotTable[[#This Row],[LC Stop  To Use]]), (SnapshotTable[[#This Row],[LC Stop  To Use]] * SnapshotTable[[#This Row],[LC Qty]] * 100),"")</f>
        <v/>
      </c>
      <c r="EG209" s="9" t="str">
        <f>IF(ISNUMBER(SnapshotTable[[#This Row],[LC Total Value]]),SnapshotTable[[#This Row],[LC Stop Loss Amount]] - SnapshotTable[[#This Row],[LC Premium]],"")</f>
        <v/>
      </c>
      <c r="EH209" s="9">
        <f>IF(ISNUMBER(SnapshotTable[[#This Row],[LC Premium]]), SnapshotTable[[#This Row],[LC Qty]] * 100 * SnapshotTable[[#This Row],[LC Strike Price]], "")</f>
        <v>0</v>
      </c>
      <c r="EI209" s="225" t="str">
        <f>IF(AND(ISNUMBER(SnapshotTable[[#This Row],[LC Total Value]]),SnapshotTable[[#This Row],[LC Total Value]]&gt;0),SnapshotTable[[#This Row],[LC Stop Gain Loss]]  / SnapshotTable[[#This Row],[LC Premium]],"")</f>
        <v/>
      </c>
      <c r="EJ209" s="35">
        <f>IF(ISNUMBER(SnapshotTable[[#This Row],[Equity Shares]]),TRUNC(SnapshotTable[[#This Row],[Equity Shares]] / 100),0) + SnapshotTable[[#This Row],[LC Qty]]</f>
        <v>0</v>
      </c>
      <c r="EK209" s="145"/>
      <c r="EL209" s="136"/>
      <c r="EM209" s="146"/>
      <c r="EN209" s="145"/>
      <c r="EO209" s="145"/>
      <c r="EP209" s="136"/>
      <c r="EQ209" s="382" t="b">
        <f>AND(ISNUMBER(SnapshotTable[[#This Row],[SC Exp Date]]), ISNUMBER(SnapshotTable[[#This Row],[SC Strike Price]]), ISNUMBER(SnapshotTable[[#This Row],[SC Qty]]), ISNUMBER(SnapshotTable[[#This Row],[SC Book Date]]), ISNUMBER(SnapshotTable[[#This Row],[SC Book Price]]))</f>
        <v>0</v>
      </c>
      <c r="ER209" s="382" t="b">
        <f>AND(SnapshotTable[[#This Row],[SC Is Booked]], NOT(ISBLANK(SnapshotTable[[#This Row],[SC Fill Date]])))</f>
        <v>0</v>
      </c>
      <c r="ES209" s="340"/>
      <c r="ET209" s="34" t="str">
        <f>IF(AND(ISNUMBER(SnapshotTable[[#This Row],[SC Exp Date]]), ISNUMBER(SnapshotTable[[#This Row],[SC Book Date]])), SnapshotTable[[#This Row],[SC Exp Date]] - MAX(SnapshotTable[[#This Row],[SC Book Date]], SnapshotTable[[#This Row],[SC Fill Date]]) + 1, "")</f>
        <v/>
      </c>
      <c r="EU209" s="34" t="str">
        <f>IF(ISNUMBER(SnapshotTable[[#This Row],[SC Term]]), SnapshotTable[[#This Row],[SC Exp Date]]- MockToday, "")</f>
        <v/>
      </c>
      <c r="EV209" s="31">
        <f>IF(SnapshotTable[[#This Row],[SC Is Booked]], SnapshotTable[[#This Row],[SC Qty]] * SnapshotTable[[#This Row],[SC Book Price]] * 100, 0)</f>
        <v>0</v>
      </c>
      <c r="EW209" s="4" t="str">
        <f>IF(AND(ISNUMBER(SnapshotTable[[#This Row],[Last Price]]), ISNUMBER( SnapshotTable[[#This Row],[SC Book Price]])), SnapshotTable[[#This Row],[Last Price]] - SnapshotTable[[#This Row],[SC Book Price]],"")</f>
        <v/>
      </c>
      <c r="EX209" s="219" t="str">
        <f>IF(SnapshotTable[[#This Row],[SC Is Booked]],IF(SnapshotTable[[#This Row],[SC Intrinsic Value]] &gt; 0, SnapshotTable[[#This Row],[SC Strike Price]], SnapshotTable[[#This Row],[Last Price]]), "")</f>
        <v/>
      </c>
      <c r="EY209" s="4">
        <f>IF(SnapshotTable[[#This Row],[SC Is Booked]], (MinimumPremiumRequired * SnapshotTable[[#This Row],[SC Basis]] * SnapshotTable[[#This Row],[SC Term]]), 0)</f>
        <v>0</v>
      </c>
      <c r="EZ209" s="268"/>
      <c r="FA209" s="204"/>
      <c r="FB209" s="340"/>
      <c r="FC209" s="4">
        <f>IF(SnapshotTable[[#This Row],[SC Is Filled]], btc_max_buyback_amount(SnapshotTable[[#This Row],[SC Fill Date]],SnapshotTable[[#This Row],[SC Exp Date]], SnapshotTable[[#This Row],[SC Book Price]]),0)</f>
        <v>0</v>
      </c>
      <c r="FD209" s="5"/>
      <c r="FE209" s="142" t="str">
        <f>IF(SnapshotTable[[#This Row],[SC Is Filled]], btc_next_cutoff_date(SnapshotTable[[#This Row],[SC Fill Date]],SnapshotTable[[#This Row],[SC Exp Date]]),"")</f>
        <v/>
      </c>
      <c r="FF209" s="4" t="str" cm="1">
        <f t="array" ref="FF209">IF(SnapshotTable[[#This Row],[SC Is Filled]], btc_should_buy_back(SnapshotTable[[#This Row],[SC Fill Date]], SnapshotTable[[#This Row],[SC Exp Date]], SnapshotTable[[#This Row],[SC Book Price]], SnapshotTable[[#This Row],[SC Current Ask]], MockToday, SnapshotTable[[#This Row],[SC Buyback Override]]),"")</f>
        <v/>
      </c>
      <c r="FG209" s="4">
        <f>IF(SnapshotTable[[#This Row],[SC Is Filled]], MAX(0,SnapshotTable[[#This Row],[Last Price]]  - SnapshotTable[[#This Row],[SC Strike Price]]), 0)</f>
        <v>0</v>
      </c>
      <c r="FH209" s="352">
        <f>IF(SnapshotTable[[#This Row],[SC Is Filled]], IF(ISNUMBER(SnapshotTable[[#This Row],[SC Current Ask]]), SnapshotTable[[#This Row],[SC Current Ask]], SnapshotTable[[#This Row],[SC Book Price]]) - SnapshotTable[[#This Row],[SC Intrinsic Value]], 0)</f>
        <v>0</v>
      </c>
      <c r="FI209" s="141"/>
      <c r="FJ209" s="32" t="str">
        <f>IF(SnapshotTable[[#This Row],[SC Is Filled]],100 * SnapshotTable[[#This Row],[SC Qty]] * IF(ISNUMBER(SnapshotTable[[#This Row],[SC Buyback Override]]), SnapshotTable[[#This Row],[SC Buyback Override]], SnapshotTable[[#This Row],[SC Current Ask]]), "")</f>
        <v/>
      </c>
      <c r="FK209" s="235" t="str">
        <f>IF(SnapshotTable[[#This Row],[SC Time Val]]&gt;0, SnapshotTable[[#This Row],[SC Time Val]] / SnapshotTable[[#This Row],[Last Price]],"")</f>
        <v/>
      </c>
      <c r="FL209" s="280" t="str">
        <f>IF(SnapshotTable[[#This Row],[SC Is Booked]], ((SnapshotTable[[#This Row],[Last Price]] -SnapshotTable[[#This Row],[SC Strike Price]]) / SnapshotTable[[#This Row],[Last Price]]) * -1, "")</f>
        <v/>
      </c>
      <c r="FM209" s="155" t="str">
        <f>IF(SnapshotTable[[#This Row],[SC Is Booked]],  (SnapshotTable[[#This Row],[SC Qty]] * 100 * SnapshotTable[[#This Row],[SC Strike Price]]) - SnapshotTable[[#This Row],[SC Current Ask]], "")</f>
        <v/>
      </c>
      <c r="FN20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09" s="31" t="str">
        <f>IF(AND(ISNUMBER(SnapshotTable[[#This Row],[SC Exercise Gross]]), ISNUMBER(SnapshotTable[[#This Row],[Equity Basis Per Share]] )), SnapshotTable[[#This Row],[SC Exercise Gross]] - SnapshotTable[[#This Row],[Equity Basis Total]] +  SnapshotTable[[#This Row],[SC Premium]], "")</f>
        <v/>
      </c>
      <c r="FP209" s="5" t="str">
        <f>IF(ISNUMBER(SnapshotTable[[#This Row],[SC Exercise Gross]]), (SnapshotTable[[#This Row],[SC Exercise Gross]]) / (SnapshotTable[[#This Row],[SC Qty]] * 100), "")</f>
        <v/>
      </c>
      <c r="FQ209" s="27" t="str">
        <f>IF(SnapshotTable[[#This Row],[SC Is Booked]],SnapshotTable[[#This Row],[SC Time Val]] /SnapshotTable[[#This Row],[SC Basis]], "")</f>
        <v/>
      </c>
      <c r="FR209" s="27" t="str" cm="1">
        <f t="array" ref="FR209">IF(AND(ISNUMBER(SnapshotTable[[#This Row],[SC Term]]),ISNUMBER(SnapshotTable[[#This Row],[SC Simple ROO]])), EllmanAnnualize(SnapshotTable[[#This Row],[SC DTE]], SnapshotTable[[#This Row],[SC Simple ROO]] ),"")</f>
        <v/>
      </c>
      <c r="FS209" s="4">
        <f>IF(SnapshotTable[[#This Row],[SC Strike Price]] &gt; SnapshotTable[[#This Row],[Last Price]], SnapshotTable[[#This Row],[SC Strike Price]] - SnapshotTable[[#This Row],[Last Price]],0)</f>
        <v>0</v>
      </c>
      <c r="FT209" s="27" t="str">
        <f>IF(AND(ISNUMBER(SnapshotTable[[#This Row],[SC Upside Potential]]), SnapshotTable[[#This Row],[SC Upside Potential]] &gt; 0),(SnapshotTable[[#This Row],[SC Upside Potential]]/ SnapshotTable[[#This Row],[ACB]]),"")</f>
        <v/>
      </c>
      <c r="FU209" s="304" t="str">
        <f>IF(SnapshotTable[[#This Row],[SC Intrinsic Value]] &gt; 0,SnapshotTable[[#This Row],[SC Intrinsic Value]],"")</f>
        <v/>
      </c>
      <c r="FV209" s="27" t="str">
        <f>IF(AND( ISNUMBER( SnapshotTable[[#This Row],[ACB]]),ISNUMBER(SnapshotTable[[#This Row],[SC Downside Protect]])),SnapshotTable[[#This Row],[SC Downside Protect]] / SnapshotTable[[#This Row],[ACB]],"")</f>
        <v/>
      </c>
      <c r="FW209" s="221" t="str">
        <f>IF(AND(ISNUMBER(SnapshotTable[[#This Row],[SC Simple ROO]]),SnapshotTable[[#This Row],[SC Simple ROO]] &gt; 0), SnapshotTable[[#This Row],[SC Premium]] + (SnapshotTable[[#This Row],[SC Qty]] * SnapshotTable[[#This Row],[SC Upside Potential]]), "")</f>
        <v/>
      </c>
      <c r="FX209" s="280" t="str" cm="1">
        <f t="array" ref="FX209">IF(ISNUMBER(SnapshotTable[[#This Row],[SC Max Dollars]]), annualize(SnapshotTable[[#This Row],[SC Term]],(SnapshotTable[[#This Row],[SC Max Dollars]]/SnapshotTable[[#This Row],[SC Basis]])),"")</f>
        <v/>
      </c>
      <c r="FY209" s="221" t="str">
        <f>IF(AND(SnapshotTable[[#This Row],[SC Qty]]&gt;0,SnapshotTable[[#This Row],[SC Current Ask]]&gt;0), SnapshotTable[[#This Row],[SC Qty]] * SnapshotTable[[#This Row],[SC Current Ask]] * -100, "")</f>
        <v/>
      </c>
      <c r="FZ209" s="31" t="str">
        <f>IF(ISNUMBER((SnapshotTable[[#This Row],[SC Current Value]])), SnapshotTable[[#This Row],[SC Premium]] + SnapshotTable[[#This Row],[SC Current Value]], "")</f>
        <v/>
      </c>
      <c r="GA209" s="272" t="str">
        <f>IFERROR( IF(ISNUMBER((SnapshotTable[[#This Row],[SC Current Value]])), SnapshotTable[[#This Row],[SC Gain Loss]] / SnapshotTable[[#This Row],[SC Premium]], ""), "")</f>
        <v/>
      </c>
      <c r="GB209" s="42">
        <f>SnapshotTable[[#This Row],[Equity Shares]] * SaleSharesToConsiderPercentage</f>
        <v>0</v>
      </c>
      <c r="GC209" s="40">
        <f>SnapshotTable[[#This Row],[Long Term Target]] * SellingPriceToConsiderBasedOnTargetPercentage</f>
        <v>36.185500000000005</v>
      </c>
      <c r="GD209" s="40">
        <f>SnapshotTable[[#This Row],[Last Price]] * (1+ SellingPriceToConsiderBasedOnTargetPercentage)</f>
        <v>168.51900000000001</v>
      </c>
      <c r="GE209" s="41"/>
      <c r="GF209" s="40"/>
      <c r="GG209" s="31">
        <f>SnapshotTable[[#This Row],[Booked Sale Shares]] * SnapshotTable[[#This Row],[Booked Sale Price]]</f>
        <v>0</v>
      </c>
      <c r="GH209" s="31" t="str">
        <f>IF(SnapshotTable[[#This Row],[Equity Basis Total]] &gt; 0, SnapshotTable[[#This Row],[Equity Basis Per Share]] * SnapshotTable[[#This Row],[Booked Sale Shares]], "")</f>
        <v/>
      </c>
      <c r="GI209" s="31">
        <f>IF(SnapshotTable[[#This Row],[Sale Proceeds]]&gt;0, SnapshotTable[[#This Row],[Sale Proceeds]] - SnapshotTable[[#This Row],[Sale Basis]], 0)</f>
        <v>0</v>
      </c>
      <c r="GJ209" s="27" t="str">
        <f>IF(SnapshotTable[[#This Row],[Sale G/L]]&gt;0, SnapshotTable[[#This Row],[Sale G/L]] / SnapshotTable[[#This Row],[Sale Basis]], IF(ISNUMBER(SnapshotTable[[#This Row],[SC Exercise P&amp;L (TAX)]]), SnapshotTable[[#This Row],[SC Exercise P&amp;L (TAX)]] / SnapshotTable[[#This Row],[SC Basis]], ""))</f>
        <v/>
      </c>
      <c r="GK209" s="27" t="s">
        <v>606</v>
      </c>
      <c r="GL209" s="43" t="str">
        <f>IF(AND(SnapshotTable[[#This Row],[LP Exp Date]]&gt;0,SnapshotTable[[#This Row],[LP Strike Price]]&gt;0), [1]!ToOptionSymbol(SnapshotTable[[#This Row],[Symbol]], SnapshotTable[[#This Row],[LP Strike Price]],SnapshotTable[[#This Row],[LP Exp Date]],1), "")</f>
        <v/>
      </c>
      <c r="GM209" s="30" t="str">
        <f>IF(LEN(SnapshotTable[[#This Row],[LP Symbol]])&gt;0, 1, "")</f>
        <v/>
      </c>
      <c r="GN209" s="43" t="str">
        <f>IF(AND(SnapshotTable[[#This Row],[SP Exp Date]]&gt;0,SnapshotTable[[#This Row],[SP Strike Price]]&gt;0), [1]!ToOptionSymbol(SnapshotTable[[#This Row],[Symbol]], SnapshotTable[[#This Row],[SP Strike Price]],SnapshotTable[[#This Row],[SP Exp Date]],1), "")</f>
        <v/>
      </c>
      <c r="GO209" s="30" t="str">
        <f>IF(LEN(SnapshotTable[[#This Row],[SP Symbol]])&gt;0, 1, "")</f>
        <v/>
      </c>
      <c r="GP209" s="43" t="str">
        <f>IF(AND(SnapshotTable[[#This Row],[LC Exp Date]]&gt;0,SnapshotTable[[#This Row],[LC Strike Price]]&gt;0), [1]!ToOptionSymbol(SnapshotTable[[#This Row],[Symbol]], SnapshotTable[[#This Row],[LC Strike Price]],SnapshotTable[[#This Row],[LC Exp Date]],0), "")</f>
        <v/>
      </c>
      <c r="GQ209" s="30" t="str">
        <f>IF(LEN(SnapshotTable[[#This Row],[LC Symbol]])&gt;0, 1, "")</f>
        <v/>
      </c>
      <c r="GR209" s="43" t="str">
        <f>IF(AND(SnapshotTable[[#This Row],[SC Exp Date]]&gt;0,SnapshotTable[[#This Row],[SC Strike Price]]&gt;0), [1]!ToOptionSymbol(SnapshotTable[[#This Row],[Symbol]], SnapshotTable[[#This Row],[SC Strike Price]],SnapshotTable[[#This Row],[SC Exp Date]],0), "")</f>
        <v/>
      </c>
      <c r="GS209" s="30" t="str">
        <f>IF(LEN(SnapshotTable[[#This Row],[SC Symbol]])&gt;0, 1, "")</f>
        <v/>
      </c>
      <c r="GT209" s="29" t="str">
        <f>IF(COUNT(SnapshotTable[[#This Row],[LP Symbol Count]],SnapshotTable[[#This Row],[SP Symbol Count]],SnapshotTable[[#This Row],[LC Symbol Count]],SnapshotTable[[#This Row],[SC Symbol Count]])&gt;0, "Y", "")</f>
        <v/>
      </c>
      <c r="GU20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09" s="216">
        <f>MAX(SnapshotTable[[#This Row],[Equity Basis Total]],SnapshotTable[[#This Row],[Equity Value]]) + (SnapshotTable[[#This Row],[SP Potential Spend]]- SnapshotTable[[#This Row],[SP Premium]] + SnapshotTable[[#This Row],[LP Premium]])+ (SnapshotTable[[#This Row],[LC Premium]] - SnapshotTable[[#This Row],[SC Premium]])</f>
        <v>0</v>
      </c>
      <c r="GW209" s="137" t="str">
        <f>IF(AND(SnapshotTable[[#This Row],[Exposure]] &lt;&gt; 0),SnapshotTable[[#This Row],[Exposure]] / SnapshotTable[[#Totals],[Exposure]], "")</f>
        <v/>
      </c>
      <c r="HK209" s="1"/>
      <c r="HL209" s="1"/>
      <c r="HM209" s="1"/>
      <c r="HN209" s="1"/>
      <c r="HO209" s="1"/>
      <c r="HP209" s="1"/>
    </row>
    <row r="210" spans="2:224" ht="12.75" hidden="1" customHeight="1" x14ac:dyDescent="0.25">
      <c r="B210" s="12" t="s">
        <v>884</v>
      </c>
      <c r="C210" s="385">
        <v>87.11</v>
      </c>
      <c r="D210" s="200"/>
      <c r="E210" s="39">
        <f>SnapshotTable[[#This Row],[Last Price]]*(1 -CrashDiscount)</f>
        <v>74.043499999999995</v>
      </c>
      <c r="F210" s="26" t="s">
        <v>25</v>
      </c>
      <c r="G210" s="26" t="s">
        <v>630</v>
      </c>
      <c r="H210" s="147"/>
      <c r="I210" s="186">
        <v>45222</v>
      </c>
      <c r="J210" s="187"/>
      <c r="K210" s="188"/>
      <c r="L210" s="297"/>
      <c r="M210" s="138"/>
      <c r="N210" s="138"/>
      <c r="O210" s="138"/>
      <c r="P210" s="22"/>
      <c r="Q210" s="25"/>
      <c r="R210" s="4" t="str">
        <f>IF(SnapshotTable[[#This Row],[Equity Basis Total]] &gt; 0, SnapshotTable[[#This Row],[Equity Basis Total]] / SnapshotTable[[#This Row],[Equity Shares]], "")</f>
        <v/>
      </c>
      <c r="S210" s="254">
        <f>SnapshotTable[[#This Row],[Last Price]] * SnapshotTable[[#This Row],[Equity Shares]]</f>
        <v>0</v>
      </c>
      <c r="T210" s="254">
        <f>SnapshotTable[[#This Row],[Equity Value]] - SnapshotTable[[#This Row],[Equity Basis Total]]</f>
        <v>0</v>
      </c>
      <c r="U210" s="255" t="str">
        <f>IF(SnapshotTable[[#This Row],[Equity Basis Total]] &gt; 0, SnapshotTable[[#This Row],[Equity G/L]] / SnapshotTable[[#This Row],[Equity Basis Total]], "")</f>
        <v/>
      </c>
      <c r="V210" s="253"/>
      <c r="W210" s="253">
        <v>86.35</v>
      </c>
      <c r="X210" s="4" t="str">
        <f>IF(AND(ISNUMBER(SnapshotTable[[#This Row],[Equity Basis Per Share]]),ISNUMBER(SnapshotTable[[#This Row],[Equity Target]])),SnapshotTable[[#This Row],[Equity Target]]-SnapshotTable[[#This Row],[Equity Basis Per Share]],"")</f>
        <v/>
      </c>
      <c r="Y210" s="4" t="str">
        <f>IF(AND(ISNUMBER(SnapshotTable[[#This Row],[Equity Basis Per Share]]),ISNUMBER(SnapshotTable[[#This Row],[Equity Stop Loss]])),SnapshotTable[[#This Row],[Equity Stop Loss]]-SnapshotTable[[#This Row],[Equity Basis Per Share]],"")</f>
        <v/>
      </c>
      <c r="Z210" s="260" t="str">
        <f>IFERROR( TEXT(SnapshotTable[[#This Row],[Equity Max Gain Per Share]] /ABS( SnapshotTable[[#This Row],[Equity Max Loss Per Share]]),"0.0 " ) &amp; " : 1", "")</f>
        <v/>
      </c>
      <c r="AA210" s="31" t="str">
        <f>IF(ISNUMBER(SnapshotTable[[#This Row],[Equity Max Gain Per Share]]),SnapshotTable[[#This Row],[Equity Max Gain Per Share]] * SnapshotTable[[#This Row],[Equity Shares]],"")</f>
        <v/>
      </c>
      <c r="AB210" s="31" t="str">
        <f>IF(ISNUMBER(SnapshotTable[[#This Row],[Equity Max Loss Per Share]]),SnapshotTable[[#This Row],[Equity Max Loss Per Share]] * SnapshotTable[[#This Row],[Equity Shares]],"")</f>
        <v/>
      </c>
      <c r="AC210" s="148"/>
      <c r="AD210" s="149"/>
      <c r="AE210" s="31">
        <f>(SnapshotTable[[#This Row],[Annual Dividend Per Share]] / 4) * SnapshotTable[[#This Row],[Equity Shares]]</f>
        <v>0</v>
      </c>
      <c r="AF210" s="31">
        <f>SnapshotTable[[#This Row],[Quarterly Div $]] * 4</f>
        <v>0</v>
      </c>
      <c r="AG210" s="7">
        <f>IF(SnapshotTable[[#This Row],[Annual Dividend Per Share]]&gt;0, SnapshotTable[[#This Row],[Annual Dividend Per Share]]  / SnapshotTable[[#This Row],[Last Price]], 0)</f>
        <v>0</v>
      </c>
      <c r="AH210" s="149"/>
      <c r="AI210" s="5"/>
      <c r="AJ210" s="136">
        <v>107.33</v>
      </c>
      <c r="AK210" s="150" t="str">
        <f>IF(ISNUMBER( SnapshotTable[[#This Row],[EBF Target]]),(SnapshotTable[[#This Row],[EBF Target]] - SnapshotTable[[#This Row],[Last Price]]) / SnapshotTable[[#This Row],[Last Price]], "")</f>
        <v/>
      </c>
      <c r="AL210" s="150" t="str">
        <f>IF(AND(SnapshotTable[[#This Row],[Equity Basis Total]] &gt; 0,ISNUMBER( SnapshotTable[[#This Row],[Long Term Target]])), SnapshotTable[[#This Row],[From Basis $]] / SnapshotTable[[#This Row],[Equity Basis Total]], "")</f>
        <v/>
      </c>
      <c r="AM210" s="9">
        <f>IF( AND(SnapshotTable[[#This Row],[Equity Shares]] &gt;0,ISNUMBER( SnapshotTable[[#This Row],[Long Term Target]])),(SnapshotTable[[#This Row],[Equity Shares]] * SnapshotTable[[#This Row],[Long Term Target]]) - SnapshotTable[[#This Row],[Equity Basis Total]],0)</f>
        <v>0</v>
      </c>
      <c r="AN210" s="9">
        <f>IF( AND(SnapshotTable[[#This Row],[Equity Shares]] &gt;0,ISNUMBER( SnapshotTable[[#This Row],[Long Term Target]])),(SnapshotTable[[#This Row],[Equity Shares]]*SnapshotTable[[#This Row],[Long Term Target]]) - SnapshotTable[[#This Row],[Equity Value]],0)</f>
        <v>0</v>
      </c>
      <c r="AO210" s="150">
        <f>IF(AND(ISNUMBER( SnapshotTable[[#This Row],[Long Term Target]]), ISNUMBER(SnapshotTable[[#This Row],[Last Price]])),(SnapshotTable[[#This Row],[Long Term Target]] - SnapshotTable[[#This Row],[Last Price]]) / SnapshotTable[[#This Row],[Last Price]], "")</f>
        <v>0.23212030765698541</v>
      </c>
      <c r="AP210" s="5">
        <v>104</v>
      </c>
      <c r="AQ210" s="38" t="s">
        <v>59</v>
      </c>
      <c r="AR210" s="5">
        <v>90</v>
      </c>
      <c r="AS210" s="38" t="s">
        <v>19</v>
      </c>
      <c r="AT210" s="144" t="s">
        <v>886</v>
      </c>
      <c r="AU210" s="185" t="str">
        <f>IF(OR(SnapshotTable[[#This Row],[LP No Fill]]="Y",SnapshotTable[[#This Row],[SP Is Filled]],SnapshotTable[[#This Row],[LC Not Filled]]="Y",SnapshotTable[[#This Row],[SC Is Filled]]),"Y","")</f>
        <v/>
      </c>
      <c r="AV210" s="205"/>
      <c r="AW210" s="211"/>
      <c r="AX210" s="206"/>
      <c r="AY210" s="205" t="str">
        <f>IF(SnapshotTable[[#This Row],[Implied Move]]&gt;0, SnapshotTable[[#This Row],[Last Price]]-SnapshotTable[[#This Row],[Implied Move]],"")</f>
        <v/>
      </c>
      <c r="AZ210" s="205" t="str">
        <f>IF(SnapshotTable[[#This Row],[Implied Move]]&gt;0, SnapshotTable[[#This Row],[Last Price]] + SnapshotTable[[#This Row],[Implied Move]],"")</f>
        <v/>
      </c>
      <c r="BA210" s="302">
        <v>93.03</v>
      </c>
      <c r="BB210" s="318"/>
      <c r="BC21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0" s="321"/>
      <c r="BE210" s="136"/>
      <c r="BF210" s="164"/>
      <c r="BG210" s="165"/>
      <c r="BH210" s="165"/>
      <c r="BI210" s="207"/>
      <c r="BJ210" s="151">
        <f>IF(SnapshotTable[[#This Row],[LP Qty]] &gt; 0, SnapshotTable[[#This Row],[LP Qty]] * SnapshotTable[[#This Row],[LP Book Price]] * 100,0)</f>
        <v>0</v>
      </c>
      <c r="BK210" s="134">
        <f>IF(SnapshotTable[[#This Row],[LP Premium]] &gt; 0, SnapshotTable[[#This Row],[LP Qty]] * SnapshotTable[[#This Row],[LP Strike Price]] * 100,0)</f>
        <v>0</v>
      </c>
      <c r="BL210" s="152"/>
      <c r="BM210" s="355" t="str">
        <f>IF(SnapshotTable[[#This Row],[LP Premium]] &gt; 0,SnapshotTable[[#This Row],[LP Exp Date]]-MAX(SnapshotTable[[#This Row],[LP Book Date]], SnapshotTable[[#This Row],[LP Fill Date]]),"")</f>
        <v/>
      </c>
      <c r="BN210" s="355" t="str">
        <f>IF(ISNUMBER( SnapshotTable[[#This Row],[LP Term]]), SnapshotTable[[#This Row],[LP Exp Date]] - MockToday,"")</f>
        <v/>
      </c>
      <c r="BO210" s="161" t="str">
        <f>IF(AND(SnapshotTable[[#This Row],[LP Exp Date]]&gt;0, SnapshotTable[[#This Row],[LP Strike Price]]&gt;0,SnapshotTable[[#This Row],[LP Qty]]&gt;0,SnapshotTable[[#This Row],[LP Book Date]]&gt;0,SnapshotTable[[#This Row],[LP Book Price]]&gt;0,SnapshotTable[[#This Row],[LP Fill Date]]=0),"Y","")</f>
        <v/>
      </c>
      <c r="BP210" s="31" t="str">
        <f>IF(AND(SnapshotTable[[#This Row],[LP No Fill]]&lt;&gt;"Y",SnapshotTable[[#This Row],[LP Contract Value]]&gt;0, SnapshotTable[[#This Row],[LP Qty]]&gt;0), SnapshotTable[[#This Row],[LP Contract Value]]*SnapshotTable[[#This Row],[LP Qty]]*100,"")</f>
        <v/>
      </c>
      <c r="BQ210" s="13"/>
      <c r="BR210" s="5"/>
      <c r="BS210" s="36"/>
      <c r="BT210" s="145"/>
      <c r="BU210" s="13"/>
      <c r="BV210" s="5"/>
      <c r="BW210" s="382" t="b">
        <f>AND(ISNUMBER(SnapshotTable[[#This Row],[SP Exp Date]]), ISNUMBER(SnapshotTable[[#This Row],[SP Strike Price]]), ISNUMBER(SnapshotTable[[#This Row],[SP Qty]]), ISNUMBER(SnapshotTable[[#This Row],[SP Book Date]]), ISNUMBER(SnapshotTable[[#This Row],[SP Book Price]]))</f>
        <v>0</v>
      </c>
      <c r="BX210" s="382" t="b">
        <f>AND(SnapshotTable[[#This Row],[SP Is Booked]], NOT(ISBLANK(SnapshotTable[[#This Row],[SP Fill Date]])))</f>
        <v>0</v>
      </c>
      <c r="BY210" s="33">
        <f>IF(SnapshotTable[[#This Row],[SP Is Booked]], SnapshotTable[[#This Row],[SP Qty]] * SnapshotTable[[#This Row],[SP Book Price]] * 100, 0)</f>
        <v>0</v>
      </c>
      <c r="BZ210" s="339"/>
      <c r="CA210" s="338">
        <f>SnapshotTable[[#This Row],[LP Qty]]</f>
        <v>0</v>
      </c>
      <c r="CB210" s="4" t="str">
        <f>IF(SnapshotTable[[#This Row],[SP Is Booked]], SnapshotTable[[#This Row],[SP Strike Price]] - SnapshotTable[[#This Row],[SP Book Price]], "")</f>
        <v/>
      </c>
      <c r="CC210" s="19" t="str">
        <f>IF(SnapshotTable[[#This Row],[SP Is Booked]],SnapshotTable[[#This Row],[SP Exp Date]]-MAX(SnapshotTable[[#This Row],[SP Book Date]], SnapshotTable[[#This Row],[SP Fill Date]]),"")</f>
        <v/>
      </c>
      <c r="CD210" s="7" t="str">
        <f>IF(SnapshotTable[[#This Row],[SP Is Booked]], SnapshotTable[[#This Row],[SP Book Price]]/SnapshotTable[[#This Row],[SP Strike Price]], "")</f>
        <v/>
      </c>
      <c r="CE210" s="7" t="str">
        <f>IF(ISNUMBER(SnapshotTable[[#This Row],[SP ROO Term]]),SnapshotTable[[#This Row],[SP ROO Term]]*(365/SnapshotTable[[#This Row],[SP Term]]),"")</f>
        <v/>
      </c>
      <c r="CF210" s="221">
        <f>SnapshotTable[[#This Row],[LP Strike Price]] * SnapshotTable[[#This Row],[LP Qty]] * 100</f>
        <v>0</v>
      </c>
      <c r="CG210" s="31">
        <f>IF(ISNUMBER(SnapshotTable[[#This Row],[SP Premium]]), (SnapshotTable[[#This Row],[SP Qty]] * SnapshotTable[[#This Row],[SP Strike Price]]* 100) - SnapshotTable[[#This Row],[LP Protection]], 0)</f>
        <v>0</v>
      </c>
      <c r="CH210" s="7" t="str">
        <f>IF(ISNUMBER(SnapshotTable[[#This Row],[SP Break Even]]),-1 * (SnapshotTable[[#This Row],[SP Break Even]] - SnapshotTable[[#This Row],[Last Price]]) / SnapshotTable[[#This Row],[Last Price]], "")</f>
        <v/>
      </c>
      <c r="CI210" s="31">
        <f>IF(AND(ISNUMBER((SnapshotTable[[#This Row],[SP Potential Spend]])), SnapshotTable[[#This Row],[SP Strike Price]] &gt; SnapshotTable[[#This Row],[Last Price]], SnapshotTable[[#This Row],[SP Is Filled]]), SnapshotTable[[#This Row],[SP Potential Spend]] -  SnapshotTable[[#This Row],[LP Max Value]], 0)</f>
        <v>0</v>
      </c>
      <c r="CJ210" s="229"/>
      <c r="CK210" s="31">
        <f>IF(ISNUMBER(SnapshotTable[[#This Row],[SP Potential Spend]]),IF(ISNUMBER(SnapshotTable[[#This Row],[SP POW]]), SnapshotTable[[#This Row],[SP POW]] * SnapshotTable[[#This Row],[SP Potential Spend]], SnapshotTable[[#This Row],[SP Potential Spend]]), "")</f>
        <v>0</v>
      </c>
      <c r="CL210" s="162">
        <f>IF(NOT(SnapshotTable[[#This Row],[SP Is Filled]]),(SnapshotTable[[#This Row],[SP Qty]] * SnapshotTable[[#This Row],[SP Strike Price]] * 100) - SnapshotTable[[#This Row],[LP Max Value]],"")</f>
        <v>0</v>
      </c>
      <c r="CM210" s="31" t="str">
        <f>IF(SnapshotTable[[#This Row],[SP Actual Spend]]&lt;&gt;0, ((SnapshotTable[[#This Row],[SP Strike Price]]-SnapshotTable[[#This Row],[Last Price]]) *(SnapshotTable[[#This Row],[SP Qty]]*100) - SnapshotTable[[#This Row],[SP Premium]]) * - 1, "")</f>
        <v/>
      </c>
      <c r="CN210" s="213"/>
      <c r="CO210" s="339"/>
      <c r="CP210" s="4" t="str">
        <f>IF(SnapshotTable[[#This Row],[SP Is Filled]], btc_max_buyback_amount(SnapshotTable[[#This Row],[SP Fill Date]],SnapshotTable[[#This Row],[SP Exp Date]], SnapshotTable[[#This Row],[SP Book Price]]),"")</f>
        <v/>
      </c>
      <c r="CQ210" s="76"/>
      <c r="CR21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0" s="153" t="str">
        <f>IF(SnapshotTable[[#This Row],[SP Is Filled]], btc_next_cutoff_date(SnapshotTable[[#This Row],[SP Fill Date]],SnapshotTable[[#This Row],[SP Exp Date]]),"")</f>
        <v/>
      </c>
      <c r="CT210" s="220" t="str" cm="1">
        <f t="array" ref="CT210">IF(SnapshotTable[[#This Row],[SP Is Filled]], btc_should_buy_back(SnapshotTable[[#This Row],[SP Fill Date]], SnapshotTable[[#This Row],[SP Exp Date]], SnapshotTable[[#This Row],[SP Book Price]], SnapshotTable[[#This Row],[SP Current Ask]], MockToday, SnapshotTable[[#This Row],[SP Buyback Override]]),"")</f>
        <v/>
      </c>
      <c r="CU210" s="154"/>
      <c r="CV210" s="220"/>
      <c r="CW210" s="348" t="str">
        <f>IF(ISNUMBER( SnapshotTable[[#This Row],[SP Term]]), SnapshotTable[[#This Row],[SP Exp Date]] - MockToday,"")</f>
        <v/>
      </c>
      <c r="CX210" s="31" t="str">
        <f>IF(SnapshotTable[[#This Row],[SP Is Filled]],SnapshotTable[[#This Row],[SP Buyback Price to Use]] * 100 * SnapshotTable[[#This Row],[SP Qty]], "")</f>
        <v/>
      </c>
      <c r="CY210" s="4" t="str">
        <f>IF(ISNUMBER(SnapshotTable[[#This Row],[SP Strike Price]]), SnapshotTable[[#This Row],[SP Strike Price]] * (1 - SP_MaxLoss_StrikePct), "")</f>
        <v/>
      </c>
      <c r="CZ210" s="31" t="str">
        <f>IF(ISNUMBER(SnapshotTable[[#This Row],[SP Strike  Stop Per Share]]),SnapshotTable[[#This Row],[SP Premium]] - ((SnapshotTable[[#This Row],[SP Strike Price]]-SnapshotTable[[#This Row],[SP Strike  Stop Per Share]]) *(SnapshotTable[[#This Row],[SP Qty]] * 100)),"")</f>
        <v/>
      </c>
      <c r="DA210" s="4" t="str">
        <f>IF(AND(ISNUMBER(SnapshotTable[[#This Row],[SP Premium]]),SnapshotTable[[#This Row],[SP Premium]]&gt;0), SnapshotTable[[#This Row],[SP Book Price]] * (1 + SP_MaxLoss_OptionPct), "")</f>
        <v/>
      </c>
      <c r="DB210" s="31" t="str">
        <f>IF(ISNUMBER(SnapshotTable[[#This Row],[SP Option  Stop Contract]]),(SnapshotTable[[#This Row],[SP Option  Stop Contract]] *(SnapshotTable[[#This Row],[SP Qty]] * 100) - SnapshotTable[[#This Row],[SP Premium]]),"")</f>
        <v/>
      </c>
      <c r="DC210" s="4"/>
      <c r="DD210" s="4"/>
      <c r="DE210" s="4" t="str">
        <f>IF(AND(SnapshotTable[[#This Row],[SP Qty]]&gt;0, SnapshotTable[[#This Row],[SP Stop To Use]]&gt;0),SnapshotTable[[#This Row],[SP Premium]] - ( SnapshotTable[[#This Row],[SP Qty]] * SnapshotTable[[#This Row],[SP Stop To Use]] * 100), "")</f>
        <v/>
      </c>
      <c r="DF210" s="31" t="str">
        <f>IF(AND(SnapshotTable[[#This Row],[SP Qty]]&gt;0,SnapshotTable[[#This Row],[SP Current Ask]]&gt;0), SnapshotTable[[#This Row],[SP Qty]] * SnapshotTable[[#This Row],[SP Current Ask]] * -100, "")</f>
        <v/>
      </c>
      <c r="DG210" s="31" t="str">
        <f>IF(ISNUMBER((SnapshotTable[[#This Row],[SP Total Value]])), SnapshotTable[[#This Row],[SP Premium]] + SnapshotTable[[#This Row],[SP Total Value]], "")</f>
        <v/>
      </c>
      <c r="DH210" s="272" t="str">
        <f>IF(ISNUMBER((SnapshotTable[[#This Row],[SP Total Value]])), SnapshotTable[[#This Row],[SP Gain Loss]] / SnapshotTable[[#This Row],[SP Premium]], "")</f>
        <v/>
      </c>
      <c r="DI210" s="369"/>
      <c r="DJ210" s="136"/>
      <c r="DK210" s="146"/>
      <c r="DL210" s="145"/>
      <c r="DM210" s="145"/>
      <c r="DO210" s="31">
        <f>IF(SnapshotTable[[#This Row],[LC Symbol Count]]=1, SnapshotTable[[#This Row],[LC Qty]] * SnapshotTable[[#This Row],[LC Book Price]] * 100, 0)</f>
        <v>0</v>
      </c>
      <c r="DP210" s="161" t="str">
        <f>IF(AND(SnapshotTable[[#This Row],[LC Exp Date]]&gt;0, SnapshotTable[[#This Row],[LC Strike Price]]&gt;0,SnapshotTable[[#This Row],[LC Qty]]&gt;0,SnapshotTable[[#This Row],[LC Book Date]]&gt;0,SnapshotTable[[#This Row],[LC Book Price]]&gt;0,SnapshotTable[[#This Row],[LC Fill Date]]=0),"Y","")</f>
        <v/>
      </c>
      <c r="DQ210" s="356" t="str">
        <f>IF(SnapshotTable[[#This Row],[LC Premium]] &gt; 0,SnapshotTable[[#This Row],[LC Exp Date]]-MAX(SnapshotTable[[#This Row],[LC Book Date]], SnapshotTable[[#This Row],[LC Fill Date]]),"")</f>
        <v/>
      </c>
      <c r="DR210" s="356" t="str">
        <f>IF(ISNUMBER(SnapshotTable[[#This Row],[LC Term]]), SnapshotTable[[#This Row],[LC Exp Date]] - MockToday, "")</f>
        <v/>
      </c>
      <c r="DS210" s="219" t="str">
        <f>IF(SnapshotTable[[#This Row],[LC Premium]]&gt;0,SnapshotTable[[#This Row],[LC Strike Price]] + SnapshotTable[[#This Row],[LC Book Price]],"")</f>
        <v/>
      </c>
      <c r="DU210" s="9" t="str">
        <f>IF(AND(SnapshotTable[[#This Row],[LC Symbol Count]]&gt;0, SnapshotTable[[#This Row],[LC Contract Value]]&gt;0), SnapshotTable[[#This Row],[LC Contract Value]] * SnapshotTable[[#This Row],[LC Qty]] * 100, "")</f>
        <v/>
      </c>
      <c r="DV210" s="9" t="str">
        <f>IF(AND(ISNUMBER(SnapshotTable[[#This Row],[LC Total Value]]), SnapshotTable[[#This Row],[LC Not Filled]]&lt;&gt;"Y"), SnapshotTable[[#This Row],[LC Total Value]]-SnapshotTable[[#This Row],[LC Premium]],"")</f>
        <v/>
      </c>
      <c r="DW210" s="225" t="str">
        <f>IF(ISNUMBER(SnapshotTable[[#This Row],[LC Actual Gain Loss]]), SnapshotTable[[#This Row],[LC Actual Gain Loss]] / SnapshotTable[[#This Row],[LC Premium]],"")</f>
        <v/>
      </c>
      <c r="DX210" s="269" t="str">
        <f>IF(ISNUMBER(SnapshotTable[[#This Row],[LC Book Price]]),SnapshotTable[[#This Row],[LC Book Price]] * 1.5,"")</f>
        <v/>
      </c>
      <c r="DY210" s="250" t="str">
        <f>IF(SnapshotTable[[#This Row],[LC Premium]]&gt;0, SnapshotTable[[#This Row],[LC Next Target]] * SnapshotTable[[#This Row],[LC Qty]] * 100,"")</f>
        <v/>
      </c>
      <c r="DZ210" s="250" t="str">
        <f>IF(ISNUMBER(SnapshotTable[[#This Row],[LC Target Gross]]), SnapshotTable[[#This Row],[LC Target Gross]] - SnapshotTable[[#This Row],[LC Premium]], "")</f>
        <v/>
      </c>
      <c r="EA210" s="283" t="str">
        <f>IF(ISNUMBER(SnapshotTable[[#This Row],[LC Target Gain Loss]]), SnapshotTable[[#This Row],[LC Target Gain Loss]]/SnapshotTable[[#This Row],[LC Premium]], "")</f>
        <v/>
      </c>
      <c r="EB210" s="247"/>
      <c r="EC210" s="268" t="str">
        <f>IF(SnapshotTable[[#This Row],[LC Premium]]&gt;0, SnapshotTable[[#This Row],[LC Book Price]] * (1 - LC_StopLoss_Pct),"")</f>
        <v/>
      </c>
      <c r="ED210" s="269"/>
      <c r="EE210" s="268" t="str">
        <f>IF(ISNUMBER(SnapshotTable[[#This Row],[LC Contract Value]]),IF(ISNUMBER(SnapshotTable[[#This Row],[LC Stop Loss Override]]), SnapshotTable[[#This Row],[LC Stop Loss Override]],SnapshotTable[[#This Row],[LC Stop Loss Calc Target]]),"")</f>
        <v/>
      </c>
      <c r="EF210" s="31" t="str">
        <f>IF(ISNUMBER(SnapshotTable[[#This Row],[LC Stop  To Use]]), (SnapshotTable[[#This Row],[LC Stop  To Use]] * SnapshotTable[[#This Row],[LC Qty]] * 100),"")</f>
        <v/>
      </c>
      <c r="EG210" s="9" t="str">
        <f>IF(ISNUMBER(SnapshotTable[[#This Row],[LC Total Value]]),SnapshotTable[[#This Row],[LC Stop Loss Amount]] - SnapshotTable[[#This Row],[LC Premium]],"")</f>
        <v/>
      </c>
      <c r="EH210" s="9">
        <f>IF(ISNUMBER(SnapshotTable[[#This Row],[LC Premium]]), SnapshotTable[[#This Row],[LC Qty]] * 100 * SnapshotTable[[#This Row],[LC Strike Price]], "")</f>
        <v>0</v>
      </c>
      <c r="EI210" s="225" t="str">
        <f>IF(AND(ISNUMBER(SnapshotTable[[#This Row],[LC Total Value]]),SnapshotTable[[#This Row],[LC Total Value]]&gt;0),SnapshotTable[[#This Row],[LC Stop Gain Loss]]  / SnapshotTable[[#This Row],[LC Premium]],"")</f>
        <v/>
      </c>
      <c r="EJ210" s="35">
        <f>IF(ISNUMBER(SnapshotTable[[#This Row],[Equity Shares]]),TRUNC(SnapshotTable[[#This Row],[Equity Shares]] / 100),0) + SnapshotTable[[#This Row],[LC Qty]]</f>
        <v>0</v>
      </c>
      <c r="EK210" s="145"/>
      <c r="EL210" s="136"/>
      <c r="EM210" s="146"/>
      <c r="EN210" s="145"/>
      <c r="EO210" s="145"/>
      <c r="EP210" s="136"/>
      <c r="EQ210" s="382" t="b">
        <f>AND(ISNUMBER(SnapshotTable[[#This Row],[SC Exp Date]]), ISNUMBER(SnapshotTable[[#This Row],[SC Strike Price]]), ISNUMBER(SnapshotTable[[#This Row],[SC Qty]]), ISNUMBER(SnapshotTable[[#This Row],[SC Book Date]]), ISNUMBER(SnapshotTable[[#This Row],[SC Book Price]]))</f>
        <v>0</v>
      </c>
      <c r="ER210" s="382" t="b">
        <f>AND(SnapshotTable[[#This Row],[SC Is Booked]], NOT(ISBLANK(SnapshotTable[[#This Row],[SC Fill Date]])))</f>
        <v>0</v>
      </c>
      <c r="ES210" s="340"/>
      <c r="ET210" s="34" t="str">
        <f>IF(AND(ISNUMBER(SnapshotTable[[#This Row],[SC Exp Date]]), ISNUMBER(SnapshotTable[[#This Row],[SC Book Date]])), SnapshotTable[[#This Row],[SC Exp Date]] - MAX(SnapshotTable[[#This Row],[SC Book Date]], SnapshotTable[[#This Row],[SC Fill Date]]) + 1, "")</f>
        <v/>
      </c>
      <c r="EU210" s="34" t="str">
        <f>IF(ISNUMBER(SnapshotTable[[#This Row],[SC Term]]), SnapshotTable[[#This Row],[SC Exp Date]]- MockToday, "")</f>
        <v/>
      </c>
      <c r="EV210" s="31">
        <f>IF(SnapshotTable[[#This Row],[SC Is Booked]], SnapshotTable[[#This Row],[SC Qty]] * SnapshotTable[[#This Row],[SC Book Price]] * 100, 0)</f>
        <v>0</v>
      </c>
      <c r="EW210" s="4" t="str">
        <f>IF(AND(ISNUMBER(SnapshotTable[[#This Row],[Last Price]]), ISNUMBER( SnapshotTable[[#This Row],[SC Book Price]])), SnapshotTable[[#This Row],[Last Price]] - SnapshotTable[[#This Row],[SC Book Price]],"")</f>
        <v/>
      </c>
      <c r="EX210" s="219" t="str">
        <f>IF(SnapshotTable[[#This Row],[SC Is Booked]],IF(SnapshotTable[[#This Row],[SC Intrinsic Value]] &gt; 0, SnapshotTable[[#This Row],[SC Strike Price]], SnapshotTable[[#This Row],[Last Price]]), "")</f>
        <v/>
      </c>
      <c r="EY210" s="4">
        <f>IF(SnapshotTable[[#This Row],[SC Is Booked]], (MinimumPremiumRequired * SnapshotTable[[#This Row],[SC Basis]] * SnapshotTable[[#This Row],[SC Term]]), 0)</f>
        <v>0</v>
      </c>
      <c r="EZ210" s="268"/>
      <c r="FA210" s="204"/>
      <c r="FB210" s="340"/>
      <c r="FC210" s="4">
        <f>IF(SnapshotTable[[#This Row],[SC Is Filled]], btc_max_buyback_amount(SnapshotTable[[#This Row],[SC Fill Date]],SnapshotTable[[#This Row],[SC Exp Date]], SnapshotTable[[#This Row],[SC Book Price]]),0)</f>
        <v>0</v>
      </c>
      <c r="FD210" s="5"/>
      <c r="FE210" s="142" t="str">
        <f>IF(SnapshotTable[[#This Row],[SC Is Filled]], btc_next_cutoff_date(SnapshotTable[[#This Row],[SC Fill Date]],SnapshotTable[[#This Row],[SC Exp Date]]),"")</f>
        <v/>
      </c>
      <c r="FF210" s="4" t="str" cm="1">
        <f t="array" ref="FF210">IF(SnapshotTable[[#This Row],[SC Is Filled]], btc_should_buy_back(SnapshotTable[[#This Row],[SC Fill Date]], SnapshotTable[[#This Row],[SC Exp Date]], SnapshotTable[[#This Row],[SC Book Price]], SnapshotTable[[#This Row],[SC Current Ask]], MockToday, SnapshotTable[[#This Row],[SC Buyback Override]]),"")</f>
        <v/>
      </c>
      <c r="FG210" s="4">
        <f>IF(SnapshotTable[[#This Row],[SC Is Filled]], MAX(0,SnapshotTable[[#This Row],[Last Price]]  - SnapshotTable[[#This Row],[SC Strike Price]]), 0)</f>
        <v>0</v>
      </c>
      <c r="FH210" s="352">
        <f>IF(SnapshotTable[[#This Row],[SC Is Filled]], IF(ISNUMBER(SnapshotTable[[#This Row],[SC Current Ask]]), SnapshotTable[[#This Row],[SC Current Ask]], SnapshotTable[[#This Row],[SC Book Price]]) - SnapshotTable[[#This Row],[SC Intrinsic Value]], 0)</f>
        <v>0</v>
      </c>
      <c r="FI210" s="141"/>
      <c r="FJ210" s="32" t="str">
        <f>IF(SnapshotTable[[#This Row],[SC Is Filled]],100 * SnapshotTable[[#This Row],[SC Qty]] * IF(ISNUMBER(SnapshotTable[[#This Row],[SC Buyback Override]]), SnapshotTable[[#This Row],[SC Buyback Override]], SnapshotTable[[#This Row],[SC Current Ask]]), "")</f>
        <v/>
      </c>
      <c r="FK210" s="235" t="str">
        <f>IF(SnapshotTable[[#This Row],[SC Time Val]]&gt;0, SnapshotTable[[#This Row],[SC Time Val]] / SnapshotTable[[#This Row],[Last Price]],"")</f>
        <v/>
      </c>
      <c r="FL210" s="280" t="str">
        <f>IF(SnapshotTable[[#This Row],[SC Is Booked]], ((SnapshotTable[[#This Row],[Last Price]] -SnapshotTable[[#This Row],[SC Strike Price]]) / SnapshotTable[[#This Row],[Last Price]]) * -1, "")</f>
        <v/>
      </c>
      <c r="FM210" s="155" t="str">
        <f>IF(SnapshotTable[[#This Row],[SC Is Booked]],  (SnapshotTable[[#This Row],[SC Qty]] * 100 * SnapshotTable[[#This Row],[SC Strike Price]]) - SnapshotTable[[#This Row],[SC Current Ask]], "")</f>
        <v/>
      </c>
      <c r="FN21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0" s="155" t="str">
        <f>IF(AND(ISNUMBER(SnapshotTable[[#This Row],[SC Exercise Gross]]), ISNUMBER(SnapshotTable[[#This Row],[Equity Basis Per Share]] )), SnapshotTable[[#This Row],[SC Exercise Gross]] - SnapshotTable[[#This Row],[Equity Basis Total]] +  SnapshotTable[[#This Row],[SC Premium]], "")</f>
        <v/>
      </c>
      <c r="FP210" s="5" t="str">
        <f>IF(ISNUMBER(SnapshotTable[[#This Row],[SC Exercise Gross]]), (SnapshotTable[[#This Row],[SC Exercise Gross]]) / (SnapshotTable[[#This Row],[SC Qty]] * 100), "")</f>
        <v/>
      </c>
      <c r="FQ210" s="27" t="str">
        <f>IF(SnapshotTable[[#This Row],[SC Is Booked]],SnapshotTable[[#This Row],[SC Time Val]] /SnapshotTable[[#This Row],[SC Basis]], "")</f>
        <v/>
      </c>
      <c r="FR210" s="27" t="str" cm="1">
        <f t="array" ref="FR210">IF(AND(ISNUMBER(SnapshotTable[[#This Row],[SC Term]]),ISNUMBER(SnapshotTable[[#This Row],[SC Simple ROO]])), EllmanAnnualize(SnapshotTable[[#This Row],[SC DTE]], SnapshotTable[[#This Row],[SC Simple ROO]] ),"")</f>
        <v/>
      </c>
      <c r="FS210" s="4">
        <f>IF(SnapshotTable[[#This Row],[SC Strike Price]] &gt; SnapshotTable[[#This Row],[Last Price]], SnapshotTable[[#This Row],[SC Strike Price]] - SnapshotTable[[#This Row],[Last Price]],0)</f>
        <v>0</v>
      </c>
      <c r="FT210" s="27" t="str">
        <f>IF(AND(ISNUMBER(SnapshotTable[[#This Row],[SC Upside Potential]]), SnapshotTable[[#This Row],[SC Upside Potential]] &gt; 0),(SnapshotTable[[#This Row],[SC Upside Potential]]/ SnapshotTable[[#This Row],[ACB]]),"")</f>
        <v/>
      </c>
      <c r="FU210" s="304" t="str">
        <f>IF(SnapshotTable[[#This Row],[SC Intrinsic Value]] &gt; 0,SnapshotTable[[#This Row],[SC Intrinsic Value]],"")</f>
        <v/>
      </c>
      <c r="FV210" s="27" t="str">
        <f>IF(AND( ISNUMBER( SnapshotTable[[#This Row],[ACB]]),ISNUMBER(SnapshotTable[[#This Row],[SC Downside Protect]])),SnapshotTable[[#This Row],[SC Downside Protect]] / SnapshotTable[[#This Row],[ACB]],"")</f>
        <v/>
      </c>
      <c r="FW210" s="221" t="str">
        <f>IF(AND(ISNUMBER(SnapshotTable[[#This Row],[SC Simple ROO]]),SnapshotTable[[#This Row],[SC Simple ROO]] &gt; 0), SnapshotTable[[#This Row],[SC Premium]] + (SnapshotTable[[#This Row],[SC Qty]] * SnapshotTable[[#This Row],[SC Upside Potential]]), "")</f>
        <v/>
      </c>
      <c r="FX210" s="280" t="str" cm="1">
        <f t="array" ref="FX210">IF(ISNUMBER(SnapshotTable[[#This Row],[SC Max Dollars]]), annualize(SnapshotTable[[#This Row],[SC Term]],(SnapshotTable[[#This Row],[SC Max Dollars]]/SnapshotTable[[#This Row],[SC Basis]])),"")</f>
        <v/>
      </c>
      <c r="FY210" s="221" t="str">
        <f>IF(AND(SnapshotTable[[#This Row],[SC Qty]]&gt;0,SnapshotTable[[#This Row],[SC Current Ask]]&gt;0), SnapshotTable[[#This Row],[SC Qty]] * SnapshotTable[[#This Row],[SC Current Ask]] * -100, "")</f>
        <v/>
      </c>
      <c r="FZ210" s="31" t="str">
        <f>IF(ISNUMBER((SnapshotTable[[#This Row],[SC Current Value]])), SnapshotTable[[#This Row],[SC Premium]] + SnapshotTable[[#This Row],[SC Current Value]], "")</f>
        <v/>
      </c>
      <c r="GA210" s="272" t="str">
        <f>IFERROR( IF(ISNUMBER((SnapshotTable[[#This Row],[SC Current Value]])), SnapshotTable[[#This Row],[SC Gain Loss]] / SnapshotTable[[#This Row],[SC Premium]], ""), "")</f>
        <v/>
      </c>
      <c r="GB210" s="42">
        <f>SnapshotTable[[#This Row],[Equity Shares]] * SaleSharesToConsiderPercentage</f>
        <v>0</v>
      </c>
      <c r="GC210" s="40">
        <f>SnapshotTable[[#This Row],[Long Term Target]] * SellingPriceToConsiderBasedOnTargetPercentage</f>
        <v>101.9635</v>
      </c>
      <c r="GD210" s="40">
        <f>SnapshotTable[[#This Row],[Last Price]] * (1+ SellingPriceToConsiderBasedOnTargetPercentage)</f>
        <v>169.86449999999999</v>
      </c>
      <c r="GE210" s="41"/>
      <c r="GF210" s="40"/>
      <c r="GG210" s="31">
        <f>SnapshotTable[[#This Row],[Booked Sale Shares]] * SnapshotTable[[#This Row],[Booked Sale Price]]</f>
        <v>0</v>
      </c>
      <c r="GH210" s="31" t="str">
        <f>IF(SnapshotTable[[#This Row],[Equity Basis Total]] &gt; 0, SnapshotTable[[#This Row],[Equity Basis Per Share]] * SnapshotTable[[#This Row],[Booked Sale Shares]], "")</f>
        <v/>
      </c>
      <c r="GI210" s="31">
        <f>IF(SnapshotTable[[#This Row],[Sale Proceeds]]&gt;0, SnapshotTable[[#This Row],[Sale Proceeds]] - SnapshotTable[[#This Row],[Sale Basis]], 0)</f>
        <v>0</v>
      </c>
      <c r="GJ210" s="156" t="str">
        <f>IF(SnapshotTable[[#This Row],[Sale G/L]]&gt;0, SnapshotTable[[#This Row],[Sale G/L]] / SnapshotTable[[#This Row],[Sale Basis]], IF(ISNUMBER(SnapshotTable[[#This Row],[SC Exercise P&amp;L (TAX)]]), SnapshotTable[[#This Row],[SC Exercise P&amp;L (TAX)]] / SnapshotTable[[#This Row],[SC Basis]], ""))</f>
        <v/>
      </c>
      <c r="GK210" s="156"/>
      <c r="GL210" s="157" t="str">
        <f>IF(AND(SnapshotTable[[#This Row],[LP Exp Date]]&gt;0,SnapshotTable[[#This Row],[LP Strike Price]]&gt;0), [1]!ToOptionSymbol(SnapshotTable[[#This Row],[Symbol]], SnapshotTable[[#This Row],[LP Strike Price]],SnapshotTable[[#This Row],[LP Exp Date]],1), "")</f>
        <v/>
      </c>
      <c r="GM210" s="30" t="str">
        <f>IF(LEN(SnapshotTable[[#This Row],[LP Symbol]])&gt;0, 1, "")</f>
        <v/>
      </c>
      <c r="GN210" s="43" t="str">
        <f>IF(AND(SnapshotTable[[#This Row],[SP Exp Date]]&gt;0,SnapshotTable[[#This Row],[SP Strike Price]]&gt;0), [1]!ToOptionSymbol(SnapshotTable[[#This Row],[Symbol]], SnapshotTable[[#This Row],[SP Strike Price]],SnapshotTable[[#This Row],[SP Exp Date]],1), "")</f>
        <v/>
      </c>
      <c r="GO210" s="30" t="str">
        <f>IF(LEN(SnapshotTable[[#This Row],[SP Symbol]])&gt;0, 1, "")</f>
        <v/>
      </c>
      <c r="GP210" s="157" t="str">
        <f>IF(AND(SnapshotTable[[#This Row],[LC Exp Date]]&gt;0,SnapshotTable[[#This Row],[LC Strike Price]]&gt;0), [1]!ToOptionSymbol(SnapshotTable[[#This Row],[Symbol]], SnapshotTable[[#This Row],[LC Strike Price]],SnapshotTable[[#This Row],[LC Exp Date]],0), "")</f>
        <v/>
      </c>
      <c r="GQ210" s="158" t="str">
        <f>IF(LEN(SnapshotTable[[#This Row],[LC Symbol]])&gt;0, 1, "")</f>
        <v/>
      </c>
      <c r="GR210" s="157" t="str">
        <f>IF(AND(SnapshotTable[[#This Row],[SC Exp Date]]&gt;0,SnapshotTable[[#This Row],[SC Strike Price]]&gt;0), [1]!ToOptionSymbol(SnapshotTable[[#This Row],[Symbol]], SnapshotTable[[#This Row],[SC Strike Price]],SnapshotTable[[#This Row],[SC Exp Date]],0), "")</f>
        <v/>
      </c>
      <c r="GS210" s="158" t="str">
        <f>IF(LEN(SnapshotTable[[#This Row],[SC Symbol]])&gt;0, 1, "")</f>
        <v/>
      </c>
      <c r="GT210" s="159" t="str">
        <f>IF(COUNT(SnapshotTable[[#This Row],[LP Symbol Count]],SnapshotTable[[#This Row],[SP Symbol Count]],SnapshotTable[[#This Row],[LC Symbol Count]],SnapshotTable[[#This Row],[SC Symbol Count]])&gt;0, "Y", "")</f>
        <v/>
      </c>
      <c r="GU21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0" s="216">
        <f>MAX(SnapshotTable[[#This Row],[Equity Basis Total]],SnapshotTable[[#This Row],[Equity Value]]) + (SnapshotTable[[#This Row],[SP Potential Spend]]- SnapshotTable[[#This Row],[SP Premium]] + SnapshotTable[[#This Row],[LP Premium]])+ (SnapshotTable[[#This Row],[LC Premium]] - SnapshotTable[[#This Row],[SC Premium]])</f>
        <v>0</v>
      </c>
      <c r="GW210" s="137" t="str">
        <f>IF(AND(SnapshotTable[[#This Row],[Exposure]] &lt;&gt; 0),SnapshotTable[[#This Row],[Exposure]] / SnapshotTable[[#Totals],[Exposure]], "")</f>
        <v/>
      </c>
      <c r="HK210" s="1"/>
      <c r="HL210" s="1"/>
      <c r="HM210" s="1"/>
      <c r="HN210" s="1"/>
      <c r="HO210" s="1"/>
      <c r="HP210" s="1"/>
    </row>
    <row r="211" spans="2:224" ht="12.75" hidden="1" customHeight="1" x14ac:dyDescent="0.25">
      <c r="B211" s="12" t="s">
        <v>710</v>
      </c>
      <c r="C211" s="385">
        <v>2.79</v>
      </c>
      <c r="D211" s="200" t="s">
        <v>467</v>
      </c>
      <c r="E211" s="39">
        <f>SnapshotTable[[#This Row],[Last Price]]*(1 -CrashDiscount)</f>
        <v>2.3715000000000002</v>
      </c>
      <c r="F211" s="26" t="s">
        <v>701</v>
      </c>
      <c r="G211" s="26" t="s">
        <v>493</v>
      </c>
      <c r="H211" s="147"/>
      <c r="I211" s="186">
        <v>44782</v>
      </c>
      <c r="J211" s="187">
        <v>44782</v>
      </c>
      <c r="K211" s="188"/>
      <c r="L211" s="297"/>
      <c r="M211" s="138"/>
      <c r="N211" s="138"/>
      <c r="O211" s="138"/>
      <c r="P211" s="22"/>
      <c r="Q211" s="25"/>
      <c r="R211" s="4" t="str">
        <f>IF(SnapshotTable[[#This Row],[Equity Basis Total]] &gt; 0, SnapshotTable[[#This Row],[Equity Basis Total]] / SnapshotTable[[#This Row],[Equity Shares]], "")</f>
        <v/>
      </c>
      <c r="S211" s="254">
        <f>SnapshotTable[[#This Row],[Last Price]] * SnapshotTable[[#This Row],[Equity Shares]]</f>
        <v>0</v>
      </c>
      <c r="T211" s="254">
        <f>SnapshotTable[[#This Row],[Equity Value]] - SnapshotTable[[#This Row],[Equity Basis Total]]</f>
        <v>0</v>
      </c>
      <c r="U211" s="255" t="str">
        <f>IF(SnapshotTable[[#This Row],[Equity Basis Total]] &gt; 0, SnapshotTable[[#This Row],[Equity G/L]] / SnapshotTable[[#This Row],[Equity Basis Total]], "")</f>
        <v/>
      </c>
      <c r="V211" s="253"/>
      <c r="W211" s="253"/>
      <c r="X211" s="4" t="str">
        <f>IF(AND(ISNUMBER(SnapshotTable[[#This Row],[Equity Basis Per Share]]),ISNUMBER(SnapshotTable[[#This Row],[Equity Target]])),SnapshotTable[[#This Row],[Equity Target]]-SnapshotTable[[#This Row],[Equity Basis Per Share]],"")</f>
        <v/>
      </c>
      <c r="Y211" s="4" t="str">
        <f>IF(AND(ISNUMBER(SnapshotTable[[#This Row],[Equity Basis Per Share]]),ISNUMBER(SnapshotTable[[#This Row],[Equity Stop Loss]])),SnapshotTable[[#This Row],[Equity Stop Loss]]-SnapshotTable[[#This Row],[Equity Basis Per Share]],"")</f>
        <v/>
      </c>
      <c r="Z211" s="260" t="str">
        <f>IFERROR( TEXT(SnapshotTable[[#This Row],[Equity Max Gain Per Share]] /ABS( SnapshotTable[[#This Row],[Equity Max Loss Per Share]]),"0.0 " ) &amp; " : 1", "")</f>
        <v/>
      </c>
      <c r="AA211" s="31" t="str">
        <f>IF(ISNUMBER(SnapshotTable[[#This Row],[Equity Max Gain Per Share]]),SnapshotTable[[#This Row],[Equity Max Gain Per Share]] * SnapshotTable[[#This Row],[Equity Shares]],"")</f>
        <v/>
      </c>
      <c r="AB211" s="31" t="str">
        <f>IF(ISNUMBER(SnapshotTable[[#This Row],[Equity Max Loss Per Share]]),SnapshotTable[[#This Row],[Equity Max Loss Per Share]] * SnapshotTable[[#This Row],[Equity Shares]],"")</f>
        <v/>
      </c>
      <c r="AC211" s="148"/>
      <c r="AD211" s="149"/>
      <c r="AE211" s="31">
        <f>(SnapshotTable[[#This Row],[Annual Dividend Per Share]] / 4) * SnapshotTable[[#This Row],[Equity Shares]]</f>
        <v>0</v>
      </c>
      <c r="AF211" s="31">
        <f>SnapshotTable[[#This Row],[Quarterly Div $]] * 4</f>
        <v>0</v>
      </c>
      <c r="AG211" s="7">
        <f>IF(SnapshotTable[[#This Row],[Annual Dividend Per Share]]&gt;0, SnapshotTable[[#This Row],[Annual Dividend Per Share]]  / SnapshotTable[[#This Row],[Last Price]], 0)</f>
        <v>0</v>
      </c>
      <c r="AH211" s="149"/>
      <c r="AI211" s="5"/>
      <c r="AJ211" s="136">
        <v>25.5</v>
      </c>
      <c r="AK211" s="150" t="str">
        <f>IF(ISNUMBER( SnapshotTable[[#This Row],[EBF Target]]),(SnapshotTable[[#This Row],[EBF Target]] - SnapshotTable[[#This Row],[Last Price]]) / SnapshotTable[[#This Row],[Last Price]], "")</f>
        <v/>
      </c>
      <c r="AL211" s="150" t="str">
        <f>IF(AND(SnapshotTable[[#This Row],[Equity Basis Total]] &gt; 0,ISNUMBER( SnapshotTable[[#This Row],[Long Term Target]])), SnapshotTable[[#This Row],[From Basis $]] / SnapshotTable[[#This Row],[Equity Basis Total]], "")</f>
        <v/>
      </c>
      <c r="AM211" s="9">
        <f>IF( AND(SnapshotTable[[#This Row],[Equity Shares]] &gt;0,ISNUMBER( SnapshotTable[[#This Row],[Long Term Target]])),(SnapshotTable[[#This Row],[Equity Shares]] * SnapshotTable[[#This Row],[Long Term Target]]) - SnapshotTable[[#This Row],[Equity Basis Total]],0)</f>
        <v>0</v>
      </c>
      <c r="AN211" s="9">
        <f>IF( AND(SnapshotTable[[#This Row],[Equity Shares]] &gt;0,ISNUMBER( SnapshotTable[[#This Row],[Long Term Target]])),(SnapshotTable[[#This Row],[Equity Shares]]*SnapshotTable[[#This Row],[Long Term Target]]) - SnapshotTable[[#This Row],[Equity Value]],0)</f>
        <v>0</v>
      </c>
      <c r="AO211" s="150">
        <f>IF(AND(ISNUMBER( SnapshotTable[[#This Row],[Long Term Target]]), ISNUMBER(SnapshotTable[[#This Row],[Last Price]])),(SnapshotTable[[#This Row],[Long Term Target]] - SnapshotTable[[#This Row],[Last Price]]) / SnapshotTable[[#This Row],[Last Price]], "")</f>
        <v>8.1397849462365599</v>
      </c>
      <c r="AP211" s="5">
        <v>30</v>
      </c>
      <c r="AQ211" s="38" t="s">
        <v>77</v>
      </c>
      <c r="AR211" s="5">
        <v>24</v>
      </c>
      <c r="AS211" s="38" t="s">
        <v>28</v>
      </c>
      <c r="AT211" s="144" t="s">
        <v>433</v>
      </c>
      <c r="AU211" s="185" t="str">
        <f>IF(OR(SnapshotTable[[#This Row],[LP No Fill]]="Y",SnapshotTable[[#This Row],[SP Is Filled]],SnapshotTable[[#This Row],[LC Not Filled]]="Y",SnapshotTable[[#This Row],[SC Is Filled]]),"Y","")</f>
        <v/>
      </c>
      <c r="AV211" s="205"/>
      <c r="AW211" s="211"/>
      <c r="AX211" s="206"/>
      <c r="AY211" s="205" t="str">
        <f>IF(SnapshotTable[[#This Row],[Implied Move]]&gt;0, SnapshotTable[[#This Row],[Last Price]]-SnapshotTable[[#This Row],[Implied Move]],"")</f>
        <v/>
      </c>
      <c r="AZ211" s="205" t="str">
        <f>IF(SnapshotTable[[#This Row],[Implied Move]]&gt;0, SnapshotTable[[#This Row],[Last Price]] + SnapshotTable[[#This Row],[Implied Move]],"")</f>
        <v/>
      </c>
      <c r="BA211" s="302"/>
      <c r="BB211" s="318"/>
      <c r="BC21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1" s="321"/>
      <c r="BE211" s="136"/>
      <c r="BF211" s="164"/>
      <c r="BG211" s="165"/>
      <c r="BH211" s="165"/>
      <c r="BI211" s="207"/>
      <c r="BJ211" s="151">
        <f>IF(SnapshotTable[[#This Row],[LP Qty]] &gt; 0, SnapshotTable[[#This Row],[LP Qty]] * SnapshotTable[[#This Row],[LP Book Price]] * 100,0)</f>
        <v>0</v>
      </c>
      <c r="BK211" s="134">
        <f>IF(SnapshotTable[[#This Row],[LP Premium]] &gt; 0, SnapshotTable[[#This Row],[LP Qty]] * SnapshotTable[[#This Row],[LP Strike Price]] * 100,0)</f>
        <v>0</v>
      </c>
      <c r="BL211" s="152"/>
      <c r="BM211" s="355" t="str">
        <f>IF(SnapshotTable[[#This Row],[LP Premium]] &gt; 0,SnapshotTable[[#This Row],[LP Exp Date]]-MAX(SnapshotTable[[#This Row],[LP Book Date]], SnapshotTable[[#This Row],[LP Fill Date]]),"")</f>
        <v/>
      </c>
      <c r="BN211" s="355" t="str">
        <f>IF(ISNUMBER( SnapshotTable[[#This Row],[LP Term]]), SnapshotTable[[#This Row],[LP Exp Date]] - MockToday,"")</f>
        <v/>
      </c>
      <c r="BO211" s="161" t="str">
        <f>IF(AND(SnapshotTable[[#This Row],[LP Exp Date]]&gt;0, SnapshotTable[[#This Row],[LP Strike Price]]&gt;0,SnapshotTable[[#This Row],[LP Qty]]&gt;0,SnapshotTable[[#This Row],[LP Book Date]]&gt;0,SnapshotTable[[#This Row],[LP Book Price]]&gt;0,SnapshotTable[[#This Row],[LP Fill Date]]=0),"Y","")</f>
        <v/>
      </c>
      <c r="BP211" s="31" t="str">
        <f>IF(AND(SnapshotTable[[#This Row],[LP No Fill]]&lt;&gt;"Y",SnapshotTable[[#This Row],[LP Contract Value]]&gt;0, SnapshotTable[[#This Row],[LP Qty]]&gt;0), SnapshotTable[[#This Row],[LP Contract Value]]*SnapshotTable[[#This Row],[LP Qty]]*100,"")</f>
        <v/>
      </c>
      <c r="BQ211" s="13"/>
      <c r="BR211" s="5"/>
      <c r="BS211" s="36"/>
      <c r="BT211" s="145"/>
      <c r="BU211" s="13"/>
      <c r="BV211" s="5"/>
      <c r="BW211" s="382" t="b">
        <f>AND(ISNUMBER(SnapshotTable[[#This Row],[SP Exp Date]]), ISNUMBER(SnapshotTable[[#This Row],[SP Strike Price]]), ISNUMBER(SnapshotTable[[#This Row],[SP Qty]]), ISNUMBER(SnapshotTable[[#This Row],[SP Book Date]]), ISNUMBER(SnapshotTable[[#This Row],[SP Book Price]]))</f>
        <v>0</v>
      </c>
      <c r="BX211" s="382" t="b">
        <f>AND(SnapshotTable[[#This Row],[SP Is Booked]], NOT(ISBLANK(SnapshotTable[[#This Row],[SP Fill Date]])))</f>
        <v>0</v>
      </c>
      <c r="BY211" s="33">
        <f>IF(SnapshotTable[[#This Row],[SP Is Booked]], SnapshotTable[[#This Row],[SP Qty]] * SnapshotTable[[#This Row],[SP Book Price]] * 100, 0)</f>
        <v>0</v>
      </c>
      <c r="BZ211" s="339"/>
      <c r="CA211" s="338">
        <f>SnapshotTable[[#This Row],[LP Qty]]</f>
        <v>0</v>
      </c>
      <c r="CB211" s="4" t="str">
        <f>IF(SnapshotTable[[#This Row],[SP Is Booked]], SnapshotTable[[#This Row],[SP Strike Price]] - SnapshotTable[[#This Row],[SP Book Price]], "")</f>
        <v/>
      </c>
      <c r="CC211" s="19" t="str">
        <f>IF(SnapshotTable[[#This Row],[SP Is Booked]],SnapshotTable[[#This Row],[SP Exp Date]]-MAX(SnapshotTable[[#This Row],[SP Book Date]], SnapshotTable[[#This Row],[SP Fill Date]]),"")</f>
        <v/>
      </c>
      <c r="CD211" s="7" t="str">
        <f>IF(SnapshotTable[[#This Row],[SP Is Booked]], SnapshotTable[[#This Row],[SP Book Price]]/SnapshotTable[[#This Row],[SP Strike Price]], "")</f>
        <v/>
      </c>
      <c r="CE211" s="7" t="str">
        <f>IF(ISNUMBER(SnapshotTable[[#This Row],[SP ROO Term]]),SnapshotTable[[#This Row],[SP ROO Term]]*(365/SnapshotTable[[#This Row],[SP Term]]),"")</f>
        <v/>
      </c>
      <c r="CF211" s="221">
        <f>SnapshotTable[[#This Row],[LP Strike Price]] * SnapshotTable[[#This Row],[LP Qty]] * 100</f>
        <v>0</v>
      </c>
      <c r="CG211" s="31">
        <f>IF(ISNUMBER(SnapshotTable[[#This Row],[SP Premium]]), (SnapshotTable[[#This Row],[SP Qty]] * SnapshotTable[[#This Row],[SP Strike Price]]* 100) - SnapshotTable[[#This Row],[LP Protection]], 0)</f>
        <v>0</v>
      </c>
      <c r="CH211" s="7" t="str">
        <f>IF(ISNUMBER(SnapshotTable[[#This Row],[SP Break Even]]),-1 * (SnapshotTable[[#This Row],[SP Break Even]] - SnapshotTable[[#This Row],[Last Price]]) / SnapshotTable[[#This Row],[Last Price]], "")</f>
        <v/>
      </c>
      <c r="CI211" s="31">
        <f>IF(AND(ISNUMBER((SnapshotTable[[#This Row],[SP Potential Spend]])), SnapshotTable[[#This Row],[SP Strike Price]] &gt; SnapshotTable[[#This Row],[Last Price]], SnapshotTable[[#This Row],[SP Is Filled]]), SnapshotTable[[#This Row],[SP Potential Spend]] -  SnapshotTable[[#This Row],[LP Max Value]], 0)</f>
        <v>0</v>
      </c>
      <c r="CJ211" s="229"/>
      <c r="CK211" s="31">
        <f>IF(ISNUMBER(SnapshotTable[[#This Row],[SP Potential Spend]]),IF(ISNUMBER(SnapshotTable[[#This Row],[SP POW]]), SnapshotTable[[#This Row],[SP POW]] * SnapshotTable[[#This Row],[SP Potential Spend]], SnapshotTable[[#This Row],[SP Potential Spend]]), "")</f>
        <v>0</v>
      </c>
      <c r="CL211" s="162">
        <f>IF(NOT(SnapshotTable[[#This Row],[SP Is Filled]]),(SnapshotTable[[#This Row],[SP Qty]] * SnapshotTable[[#This Row],[SP Strike Price]] * 100) - SnapshotTable[[#This Row],[LP Max Value]],"")</f>
        <v>0</v>
      </c>
      <c r="CM211" s="31" t="str">
        <f>IF(SnapshotTable[[#This Row],[SP Actual Spend]]&lt;&gt;0, ((SnapshotTable[[#This Row],[SP Strike Price]]-SnapshotTable[[#This Row],[Last Price]]) *(SnapshotTable[[#This Row],[SP Qty]]*100) - SnapshotTable[[#This Row],[SP Premium]]) * - 1, "")</f>
        <v/>
      </c>
      <c r="CN211" s="152"/>
      <c r="CO211" s="339"/>
      <c r="CP211" s="4" t="str">
        <f>IF(SnapshotTable[[#This Row],[SP Is Filled]], btc_max_buyback_amount(SnapshotTable[[#This Row],[SP Fill Date]],SnapshotTable[[#This Row],[SP Exp Date]], SnapshotTable[[#This Row],[SP Book Price]]),"")</f>
        <v/>
      </c>
      <c r="CQ211" s="76"/>
      <c r="CR21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1" s="153" t="str">
        <f>IF(SnapshotTable[[#This Row],[SP Is Filled]], btc_next_cutoff_date(SnapshotTable[[#This Row],[SP Fill Date]],SnapshotTable[[#This Row],[SP Exp Date]]),"")</f>
        <v/>
      </c>
      <c r="CT211" s="220" t="str" cm="1">
        <f t="array" ref="CT211">IF(SnapshotTable[[#This Row],[SP Is Filled]], btc_should_buy_back(SnapshotTable[[#This Row],[SP Fill Date]], SnapshotTable[[#This Row],[SP Exp Date]], SnapshotTable[[#This Row],[SP Book Price]], SnapshotTable[[#This Row],[SP Current Ask]], MockToday, SnapshotTable[[#This Row],[SP Buyback Override]]),"")</f>
        <v/>
      </c>
      <c r="CU211" s="154"/>
      <c r="CV211" s="220"/>
      <c r="CW211" s="348" t="str">
        <f>IF(ISNUMBER( SnapshotTable[[#This Row],[SP Term]]), SnapshotTable[[#This Row],[SP Exp Date]] - MockToday,"")</f>
        <v/>
      </c>
      <c r="CX211" s="31" t="str">
        <f>IF(SnapshotTable[[#This Row],[SP Is Filled]],SnapshotTable[[#This Row],[SP Buyback Price to Use]] * 100 * SnapshotTable[[#This Row],[SP Qty]], "")</f>
        <v/>
      </c>
      <c r="CY211" s="4" t="str">
        <f>IF(ISNUMBER(SnapshotTable[[#This Row],[SP Strike Price]]), SnapshotTable[[#This Row],[SP Strike Price]] * (1 - SP_MaxLoss_StrikePct), "")</f>
        <v/>
      </c>
      <c r="CZ211" s="31" t="str">
        <f>IF(ISNUMBER(SnapshotTable[[#This Row],[SP Strike  Stop Per Share]]),SnapshotTable[[#This Row],[SP Premium]] - ((SnapshotTable[[#This Row],[SP Strike Price]]-SnapshotTable[[#This Row],[SP Strike  Stop Per Share]]) *(SnapshotTable[[#This Row],[SP Qty]] * 100)),"")</f>
        <v/>
      </c>
      <c r="DA211" s="4" t="str">
        <f>IF(AND(ISNUMBER(SnapshotTable[[#This Row],[SP Premium]]),SnapshotTable[[#This Row],[SP Premium]]&gt;0), SnapshotTable[[#This Row],[SP Book Price]] * (1 + SP_MaxLoss_OptionPct), "")</f>
        <v/>
      </c>
      <c r="DB211" s="31" t="str">
        <f>IF(ISNUMBER(SnapshotTable[[#This Row],[SP Option  Stop Contract]]),(SnapshotTable[[#This Row],[SP Option  Stop Contract]] *(SnapshotTable[[#This Row],[SP Qty]] * 100) - SnapshotTable[[#This Row],[SP Premium]]),"")</f>
        <v/>
      </c>
      <c r="DC211" s="4"/>
      <c r="DD211" s="4"/>
      <c r="DE211" s="4" t="str">
        <f>IF(AND(SnapshotTable[[#This Row],[SP Qty]]&gt;0, SnapshotTable[[#This Row],[SP Stop To Use]]&gt;0),SnapshotTable[[#This Row],[SP Premium]] - ( SnapshotTable[[#This Row],[SP Qty]] * SnapshotTable[[#This Row],[SP Stop To Use]] * 100), "")</f>
        <v/>
      </c>
      <c r="DF211" s="31" t="str">
        <f>IF(AND(SnapshotTable[[#This Row],[SP Qty]]&gt;0,SnapshotTable[[#This Row],[SP Current Ask]]&gt;0), SnapshotTable[[#This Row],[SP Qty]] * SnapshotTable[[#This Row],[SP Current Ask]] * -100, "")</f>
        <v/>
      </c>
      <c r="DG211" s="31" t="str">
        <f>IF(ISNUMBER((SnapshotTable[[#This Row],[SP Total Value]])), SnapshotTable[[#This Row],[SP Premium]] + SnapshotTable[[#This Row],[SP Total Value]], "")</f>
        <v/>
      </c>
      <c r="DH211" s="272" t="str">
        <f>IF(ISNUMBER((SnapshotTable[[#This Row],[SP Total Value]])), SnapshotTable[[#This Row],[SP Gain Loss]] / SnapshotTable[[#This Row],[SP Premium]], "")</f>
        <v/>
      </c>
      <c r="DI211" s="369"/>
      <c r="DJ211" s="136"/>
      <c r="DK211" s="146"/>
      <c r="DL211" s="145"/>
      <c r="DM211" s="145"/>
      <c r="DO211" s="31">
        <f>IF(SnapshotTable[[#This Row],[LC Symbol Count]]=1, SnapshotTable[[#This Row],[LC Qty]] * SnapshotTable[[#This Row],[LC Book Price]] * 100, 0)</f>
        <v>0</v>
      </c>
      <c r="DP211" s="270" t="str">
        <f>IF(AND(SnapshotTable[[#This Row],[LC Exp Date]]&gt;0, SnapshotTable[[#This Row],[LC Strike Price]]&gt;0,SnapshotTable[[#This Row],[LC Qty]]&gt;0,SnapshotTable[[#This Row],[LC Book Date]]&gt;0,SnapshotTable[[#This Row],[LC Book Price]]&gt;0,SnapshotTable[[#This Row],[LC Fill Date]]=0),"Y","")</f>
        <v/>
      </c>
      <c r="DQ211" s="356" t="str">
        <f>IF(SnapshotTable[[#This Row],[LC Premium]] &gt; 0,SnapshotTable[[#This Row],[LC Exp Date]]-MAX(SnapshotTable[[#This Row],[LC Book Date]], SnapshotTable[[#This Row],[LC Fill Date]]),"")</f>
        <v/>
      </c>
      <c r="DR211" s="356" t="str">
        <f>IF(ISNUMBER(SnapshotTable[[#This Row],[LC Term]]), SnapshotTable[[#This Row],[LC Exp Date]] - MockToday, "")</f>
        <v/>
      </c>
      <c r="DS211" s="219" t="str">
        <f>IF(SnapshotTable[[#This Row],[LC Premium]]&gt;0,SnapshotTable[[#This Row],[LC Strike Price]] + SnapshotTable[[#This Row],[LC Book Price]],"")</f>
        <v/>
      </c>
      <c r="DU211" s="9" t="str">
        <f>IF(AND(SnapshotTable[[#This Row],[LC Symbol Count]]&gt;0, SnapshotTable[[#This Row],[LC Contract Value]]&gt;0), SnapshotTable[[#This Row],[LC Contract Value]] * SnapshotTable[[#This Row],[LC Qty]] * 100, "")</f>
        <v/>
      </c>
      <c r="DV211" s="9" t="str">
        <f>IF(AND(ISNUMBER(SnapshotTable[[#This Row],[LC Total Value]]), SnapshotTable[[#This Row],[LC Not Filled]]&lt;&gt;"Y"), SnapshotTable[[#This Row],[LC Total Value]]-SnapshotTable[[#This Row],[LC Premium]],"")</f>
        <v/>
      </c>
      <c r="DW211" s="225" t="str">
        <f>IF(ISNUMBER(SnapshotTable[[#This Row],[LC Actual Gain Loss]]), SnapshotTable[[#This Row],[LC Actual Gain Loss]] / SnapshotTable[[#This Row],[LC Premium]],"")</f>
        <v/>
      </c>
      <c r="DX211" s="269" t="str">
        <f>IF(ISNUMBER(SnapshotTable[[#This Row],[LC Book Price]]),SnapshotTable[[#This Row],[LC Book Price]] * 1.5,"")</f>
        <v/>
      </c>
      <c r="DY211" s="250" t="str">
        <f>IF(SnapshotTable[[#This Row],[LC Premium]]&gt;0, SnapshotTable[[#This Row],[LC Next Target]] * SnapshotTable[[#This Row],[LC Qty]] * 100,"")</f>
        <v/>
      </c>
      <c r="DZ211" s="250" t="str">
        <f>IF(ISNUMBER(SnapshotTable[[#This Row],[LC Target Gross]]), SnapshotTable[[#This Row],[LC Target Gross]] - SnapshotTable[[#This Row],[LC Premium]], "")</f>
        <v/>
      </c>
      <c r="EA211" s="283" t="str">
        <f>IF(ISNUMBER(SnapshotTable[[#This Row],[LC Target Gain Loss]]), SnapshotTable[[#This Row],[LC Target Gain Loss]]/SnapshotTable[[#This Row],[LC Premium]], "")</f>
        <v/>
      </c>
      <c r="EB211" s="247"/>
      <c r="EC211" s="268" t="str">
        <f>IF(SnapshotTable[[#This Row],[LC Premium]]&gt;0, SnapshotTable[[#This Row],[LC Book Price]] * (1 - LC_StopLoss_Pct),"")</f>
        <v/>
      </c>
      <c r="ED211" s="269"/>
      <c r="EE211" s="268" t="str">
        <f>IF(ISNUMBER(SnapshotTable[[#This Row],[LC Contract Value]]),IF(ISNUMBER(SnapshotTable[[#This Row],[LC Stop Loss Override]]), SnapshotTable[[#This Row],[LC Stop Loss Override]],SnapshotTable[[#This Row],[LC Stop Loss Calc Target]]),"")</f>
        <v/>
      </c>
      <c r="EF211" s="31" t="str">
        <f>IF(ISNUMBER(SnapshotTable[[#This Row],[LC Stop  To Use]]), (SnapshotTable[[#This Row],[LC Stop  To Use]] * SnapshotTable[[#This Row],[LC Qty]] * 100),"")</f>
        <v/>
      </c>
      <c r="EG211" s="9" t="str">
        <f>IF(ISNUMBER(SnapshotTable[[#This Row],[LC Total Value]]),SnapshotTable[[#This Row],[LC Stop Loss Amount]] - SnapshotTable[[#This Row],[LC Premium]],"")</f>
        <v/>
      </c>
      <c r="EH211" s="9">
        <f>IF(ISNUMBER(SnapshotTable[[#This Row],[LC Premium]]), SnapshotTable[[#This Row],[LC Qty]] * 100 * SnapshotTable[[#This Row],[LC Strike Price]], "")</f>
        <v>0</v>
      </c>
      <c r="EI211" s="225" t="str">
        <f>IF(AND(ISNUMBER(SnapshotTable[[#This Row],[LC Total Value]]),SnapshotTable[[#This Row],[LC Total Value]]&gt;0),SnapshotTable[[#This Row],[LC Stop Gain Loss]]  / SnapshotTable[[#This Row],[LC Premium]],"")</f>
        <v/>
      </c>
      <c r="EJ211" s="35">
        <f>IF(ISNUMBER(SnapshotTable[[#This Row],[Equity Shares]]),TRUNC(SnapshotTable[[#This Row],[Equity Shares]] / 100),0) + SnapshotTable[[#This Row],[LC Qty]]</f>
        <v>0</v>
      </c>
      <c r="EK211" s="145"/>
      <c r="EL211" s="136"/>
      <c r="EM211" s="146"/>
      <c r="EN211" s="145"/>
      <c r="EO211" s="145"/>
      <c r="EP211" s="136"/>
      <c r="EQ211" s="382" t="b">
        <f>AND(ISNUMBER(SnapshotTable[[#This Row],[SC Exp Date]]), ISNUMBER(SnapshotTable[[#This Row],[SC Strike Price]]), ISNUMBER(SnapshotTable[[#This Row],[SC Qty]]), ISNUMBER(SnapshotTable[[#This Row],[SC Book Date]]), ISNUMBER(SnapshotTable[[#This Row],[SC Book Price]]))</f>
        <v>0</v>
      </c>
      <c r="ER211" s="382" t="b">
        <f>AND(SnapshotTable[[#This Row],[SC Is Booked]], NOT(ISBLANK(SnapshotTable[[#This Row],[SC Fill Date]])))</f>
        <v>0</v>
      </c>
      <c r="ES211" s="340"/>
      <c r="ET211" s="34" t="str">
        <f>IF(AND(ISNUMBER(SnapshotTable[[#This Row],[SC Exp Date]]), ISNUMBER(SnapshotTable[[#This Row],[SC Book Date]])), SnapshotTable[[#This Row],[SC Exp Date]] - MAX(SnapshotTable[[#This Row],[SC Book Date]], SnapshotTable[[#This Row],[SC Fill Date]]) + 1, "")</f>
        <v/>
      </c>
      <c r="EU211" s="34" t="str">
        <f>IF(ISNUMBER(SnapshotTable[[#This Row],[SC Term]]), SnapshotTable[[#This Row],[SC Exp Date]]- MockToday, "")</f>
        <v/>
      </c>
      <c r="EV211" s="31">
        <f>IF(SnapshotTable[[#This Row],[SC Is Booked]], SnapshotTable[[#This Row],[SC Qty]] * SnapshotTable[[#This Row],[SC Book Price]] * 100, 0)</f>
        <v>0</v>
      </c>
      <c r="EW211" s="4" t="str">
        <f>IF(AND(ISNUMBER(SnapshotTable[[#This Row],[Last Price]]), ISNUMBER( SnapshotTable[[#This Row],[SC Book Price]])), SnapshotTable[[#This Row],[Last Price]] - SnapshotTable[[#This Row],[SC Book Price]],"")</f>
        <v/>
      </c>
      <c r="EX211" s="219" t="str">
        <f>IF(SnapshotTable[[#This Row],[SC Is Booked]],IF(SnapshotTable[[#This Row],[SC Intrinsic Value]] &gt; 0, SnapshotTable[[#This Row],[SC Strike Price]], SnapshotTable[[#This Row],[Last Price]]), "")</f>
        <v/>
      </c>
      <c r="EY211" s="4">
        <f>IF(SnapshotTable[[#This Row],[SC Is Booked]], (MinimumPremiumRequired * SnapshotTable[[#This Row],[SC Basis]] * SnapshotTable[[#This Row],[SC Term]]), 0)</f>
        <v>0</v>
      </c>
      <c r="EZ211" s="268"/>
      <c r="FA211" s="204"/>
      <c r="FB211" s="340"/>
      <c r="FC211" s="4">
        <f>IF(SnapshotTable[[#This Row],[SC Is Filled]], btc_max_buyback_amount(SnapshotTable[[#This Row],[SC Fill Date]],SnapshotTable[[#This Row],[SC Exp Date]], SnapshotTable[[#This Row],[SC Book Price]]),0)</f>
        <v>0</v>
      </c>
      <c r="FD211" s="5"/>
      <c r="FE211" s="142" t="str">
        <f>IF(SnapshotTable[[#This Row],[SC Is Filled]], btc_next_cutoff_date(SnapshotTable[[#This Row],[SC Fill Date]],SnapshotTable[[#This Row],[SC Exp Date]]),"")</f>
        <v/>
      </c>
      <c r="FF211" s="4" t="str" cm="1">
        <f t="array" ref="FF211">IF(SnapshotTable[[#This Row],[SC Is Filled]], btc_should_buy_back(SnapshotTable[[#This Row],[SC Fill Date]], SnapshotTable[[#This Row],[SC Exp Date]], SnapshotTable[[#This Row],[SC Book Price]], SnapshotTable[[#This Row],[SC Current Ask]], MockToday, SnapshotTable[[#This Row],[SC Buyback Override]]),"")</f>
        <v/>
      </c>
      <c r="FG211" s="4">
        <f>IF(SnapshotTable[[#This Row],[SC Is Filled]], MAX(0,SnapshotTable[[#This Row],[Last Price]]  - SnapshotTable[[#This Row],[SC Strike Price]]), 0)</f>
        <v>0</v>
      </c>
      <c r="FH211" s="352">
        <f>IF(SnapshotTable[[#This Row],[SC Is Filled]], IF(ISNUMBER(SnapshotTable[[#This Row],[SC Current Ask]]), SnapshotTable[[#This Row],[SC Current Ask]], SnapshotTable[[#This Row],[SC Book Price]]) - SnapshotTable[[#This Row],[SC Intrinsic Value]], 0)</f>
        <v>0</v>
      </c>
      <c r="FI211" s="141"/>
      <c r="FJ211" s="32" t="str">
        <f>IF(SnapshotTable[[#This Row],[SC Is Filled]],100 * SnapshotTable[[#This Row],[SC Qty]] * IF(ISNUMBER(SnapshotTable[[#This Row],[SC Buyback Override]]), SnapshotTable[[#This Row],[SC Buyback Override]], SnapshotTable[[#This Row],[SC Current Ask]]), "")</f>
        <v/>
      </c>
      <c r="FK211" s="235" t="str">
        <f>IF(SnapshotTable[[#This Row],[SC Time Val]]&gt;0, SnapshotTable[[#This Row],[SC Time Val]] / SnapshotTable[[#This Row],[Last Price]],"")</f>
        <v/>
      </c>
      <c r="FL211" s="280" t="str">
        <f>IF(SnapshotTable[[#This Row],[SC Is Booked]], ((SnapshotTable[[#This Row],[Last Price]] -SnapshotTable[[#This Row],[SC Strike Price]]) / SnapshotTable[[#This Row],[Last Price]]) * -1, "")</f>
        <v/>
      </c>
      <c r="FM211" s="155" t="str">
        <f>IF(SnapshotTable[[#This Row],[SC Is Booked]],  (SnapshotTable[[#This Row],[SC Qty]] * 100 * SnapshotTable[[#This Row],[SC Strike Price]]) - SnapshotTable[[#This Row],[SC Current Ask]], "")</f>
        <v/>
      </c>
      <c r="FN211"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1" s="155" t="str">
        <f>IF(AND(ISNUMBER(SnapshotTable[[#This Row],[SC Exercise Gross]]), ISNUMBER(SnapshotTable[[#This Row],[Equity Basis Per Share]] )), SnapshotTable[[#This Row],[SC Exercise Gross]] - SnapshotTable[[#This Row],[Equity Basis Total]] +  SnapshotTable[[#This Row],[SC Premium]], "")</f>
        <v/>
      </c>
      <c r="FP211" s="5" t="str">
        <f>IF(ISNUMBER(SnapshotTable[[#This Row],[SC Exercise Gross]]), (SnapshotTable[[#This Row],[SC Exercise Gross]]) / (SnapshotTable[[#This Row],[SC Qty]] * 100), "")</f>
        <v/>
      </c>
      <c r="FQ211" s="27" t="str">
        <f>IF(SnapshotTable[[#This Row],[SC Is Booked]],SnapshotTable[[#This Row],[SC Time Val]] /SnapshotTable[[#This Row],[SC Basis]], "")</f>
        <v/>
      </c>
      <c r="FR211" s="27" t="str" cm="1">
        <f t="array" ref="FR211">IF(AND(ISNUMBER(SnapshotTable[[#This Row],[SC Term]]),ISNUMBER(SnapshotTable[[#This Row],[SC Simple ROO]])), EllmanAnnualize(SnapshotTable[[#This Row],[SC DTE]], SnapshotTable[[#This Row],[SC Simple ROO]] ),"")</f>
        <v/>
      </c>
      <c r="FS211" s="4">
        <f>IF(SnapshotTable[[#This Row],[SC Strike Price]] &gt; SnapshotTable[[#This Row],[Last Price]], SnapshotTable[[#This Row],[SC Strike Price]] - SnapshotTable[[#This Row],[Last Price]],0)</f>
        <v>0</v>
      </c>
      <c r="FT211" s="27" t="str">
        <f>IF(AND(ISNUMBER(SnapshotTable[[#This Row],[SC Upside Potential]]), SnapshotTable[[#This Row],[SC Upside Potential]] &gt; 0),(SnapshotTable[[#This Row],[SC Upside Potential]]/ SnapshotTable[[#This Row],[ACB]]),"")</f>
        <v/>
      </c>
      <c r="FU211" s="304" t="str">
        <f>IF(SnapshotTable[[#This Row],[SC Intrinsic Value]] &gt; 0,SnapshotTable[[#This Row],[SC Intrinsic Value]],"")</f>
        <v/>
      </c>
      <c r="FV211" s="27" t="str">
        <f>IF(AND( ISNUMBER( SnapshotTable[[#This Row],[ACB]]),ISNUMBER(SnapshotTable[[#This Row],[SC Downside Protect]])),SnapshotTable[[#This Row],[SC Downside Protect]] / SnapshotTable[[#This Row],[ACB]],"")</f>
        <v/>
      </c>
      <c r="FW211" s="221" t="str">
        <f>IF(AND(ISNUMBER(SnapshotTable[[#This Row],[SC Simple ROO]]),SnapshotTable[[#This Row],[SC Simple ROO]] &gt; 0), SnapshotTable[[#This Row],[SC Premium]] + (SnapshotTable[[#This Row],[SC Qty]] * SnapshotTable[[#This Row],[SC Upside Potential]]), "")</f>
        <v/>
      </c>
      <c r="FX211" s="280" t="str" cm="1">
        <f t="array" ref="FX211">IF(ISNUMBER(SnapshotTable[[#This Row],[SC Max Dollars]]), annualize(SnapshotTable[[#This Row],[SC Term]],(SnapshotTable[[#This Row],[SC Max Dollars]]/SnapshotTable[[#This Row],[SC Basis]])),"")</f>
        <v/>
      </c>
      <c r="FY211" s="221" t="str">
        <f>IF(AND(SnapshotTable[[#This Row],[SC Qty]]&gt;0,SnapshotTable[[#This Row],[SC Current Ask]]&gt;0), SnapshotTable[[#This Row],[SC Qty]] * SnapshotTable[[#This Row],[SC Current Ask]] * -100, "")</f>
        <v/>
      </c>
      <c r="FZ211" s="220" t="str">
        <f>IF(ISNUMBER((SnapshotTable[[#This Row],[SC Current Value]])), SnapshotTable[[#This Row],[SC Premium]] + SnapshotTable[[#This Row],[SC Current Value]], "")</f>
        <v/>
      </c>
      <c r="GA211" s="272" t="str">
        <f>IFERROR( IF(ISNUMBER((SnapshotTable[[#This Row],[SC Current Value]])), SnapshotTable[[#This Row],[SC Gain Loss]] / SnapshotTable[[#This Row],[SC Premium]], ""), "")</f>
        <v/>
      </c>
      <c r="GB211" s="42">
        <f>SnapshotTable[[#This Row],[Equity Shares]] * SaleSharesToConsiderPercentage</f>
        <v>0</v>
      </c>
      <c r="GC211" s="40">
        <f>SnapshotTable[[#This Row],[Long Term Target]] * SellingPriceToConsiderBasedOnTargetPercentage</f>
        <v>24.224999999999998</v>
      </c>
      <c r="GD211" s="40">
        <f>SnapshotTable[[#This Row],[Last Price]] * (1+ SellingPriceToConsiderBasedOnTargetPercentage)</f>
        <v>5.4405000000000001</v>
      </c>
      <c r="GE211" s="41"/>
      <c r="GF211" s="40"/>
      <c r="GG211" s="31">
        <f>SnapshotTable[[#This Row],[Booked Sale Shares]] * SnapshotTable[[#This Row],[Booked Sale Price]]</f>
        <v>0</v>
      </c>
      <c r="GH211" s="31" t="str">
        <f>IF(SnapshotTable[[#This Row],[Equity Basis Total]] &gt; 0, SnapshotTable[[#This Row],[Equity Basis Per Share]] * SnapshotTable[[#This Row],[Booked Sale Shares]], "")</f>
        <v/>
      </c>
      <c r="GI211" s="31">
        <f>IF(SnapshotTable[[#This Row],[Sale Proceeds]]&gt;0, SnapshotTable[[#This Row],[Sale Proceeds]] - SnapshotTable[[#This Row],[Sale Basis]], 0)</f>
        <v>0</v>
      </c>
      <c r="GJ211" s="156" t="str">
        <f>IF(SnapshotTable[[#This Row],[Sale G/L]]&gt;0, SnapshotTable[[#This Row],[Sale G/L]] / SnapshotTable[[#This Row],[Sale Basis]], IF(ISNUMBER(SnapshotTable[[#This Row],[SC Exercise P&amp;L (TAX)]]), SnapshotTable[[#This Row],[SC Exercise P&amp;L (TAX)]] / SnapshotTable[[#This Row],[SC Basis]], ""))</f>
        <v/>
      </c>
      <c r="GK211" s="156"/>
      <c r="GL211" s="157" t="str">
        <f>IF(AND(SnapshotTable[[#This Row],[LP Exp Date]]&gt;0,SnapshotTable[[#This Row],[LP Strike Price]]&gt;0), [1]!ToOptionSymbol(SnapshotTable[[#This Row],[Symbol]], SnapshotTable[[#This Row],[LP Strike Price]],SnapshotTable[[#This Row],[LP Exp Date]],1), "")</f>
        <v/>
      </c>
      <c r="GM211" s="30" t="str">
        <f>IF(LEN(SnapshotTable[[#This Row],[LP Symbol]])&gt;0, 1, "")</f>
        <v/>
      </c>
      <c r="GN211" s="43" t="str">
        <f>IF(AND(SnapshotTable[[#This Row],[SP Exp Date]]&gt;0,SnapshotTable[[#This Row],[SP Strike Price]]&gt;0), [1]!ToOptionSymbol(SnapshotTable[[#This Row],[Symbol]], SnapshotTable[[#This Row],[SP Strike Price]],SnapshotTable[[#This Row],[SP Exp Date]],1), "")</f>
        <v/>
      </c>
      <c r="GO211" s="30" t="str">
        <f>IF(LEN(SnapshotTable[[#This Row],[SP Symbol]])&gt;0, 1, "")</f>
        <v/>
      </c>
      <c r="GP211" s="157" t="str">
        <f>IF(AND(SnapshotTable[[#This Row],[LC Exp Date]]&gt;0,SnapshotTable[[#This Row],[LC Strike Price]]&gt;0), [1]!ToOptionSymbol(SnapshotTable[[#This Row],[Symbol]], SnapshotTable[[#This Row],[LC Strike Price]],SnapshotTable[[#This Row],[LC Exp Date]],0), "")</f>
        <v/>
      </c>
      <c r="GQ211" s="158" t="str">
        <f>IF(LEN(SnapshotTable[[#This Row],[LC Symbol]])&gt;0, 1, "")</f>
        <v/>
      </c>
      <c r="GR211" s="157" t="str">
        <f>IF(AND(SnapshotTable[[#This Row],[SC Exp Date]]&gt;0,SnapshotTable[[#This Row],[SC Strike Price]]&gt;0), [1]!ToOptionSymbol(SnapshotTable[[#This Row],[Symbol]], SnapshotTable[[#This Row],[SC Strike Price]],SnapshotTable[[#This Row],[SC Exp Date]],0), "")</f>
        <v/>
      </c>
      <c r="GS211" s="158" t="str">
        <f>IF(LEN(SnapshotTable[[#This Row],[SC Symbol]])&gt;0, 1, "")</f>
        <v/>
      </c>
      <c r="GT211" s="159" t="str">
        <f>IF(COUNT(SnapshotTable[[#This Row],[LP Symbol Count]],SnapshotTable[[#This Row],[SP Symbol Count]],SnapshotTable[[#This Row],[LC Symbol Count]],SnapshotTable[[#This Row],[SC Symbol Count]])&gt;0, "Y", "")</f>
        <v/>
      </c>
      <c r="GU21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1" s="216">
        <f>MAX(SnapshotTable[[#This Row],[Equity Basis Total]],SnapshotTable[[#This Row],[Equity Value]]) + (SnapshotTable[[#This Row],[SP Potential Spend]]- SnapshotTable[[#This Row],[SP Premium]] + SnapshotTable[[#This Row],[LP Premium]])+ (SnapshotTable[[#This Row],[LC Premium]] - SnapshotTable[[#This Row],[SC Premium]])</f>
        <v>0</v>
      </c>
      <c r="GW211" s="137" t="str">
        <f>IF(AND(SnapshotTable[[#This Row],[Exposure]] &lt;&gt; 0),SnapshotTable[[#This Row],[Exposure]] / SnapshotTable[[#Totals],[Exposure]], "")</f>
        <v/>
      </c>
      <c r="HK211" s="1"/>
      <c r="HL211" s="1"/>
      <c r="HM211" s="1"/>
      <c r="HN211" s="1"/>
      <c r="HO211" s="1"/>
      <c r="HP211" s="1"/>
    </row>
    <row r="212" spans="2:224" ht="12.75" hidden="1" customHeight="1" x14ac:dyDescent="0.25">
      <c r="B212" s="12" t="s">
        <v>128</v>
      </c>
      <c r="C212" s="385">
        <v>253.3</v>
      </c>
      <c r="D212" s="200" t="s">
        <v>658</v>
      </c>
      <c r="E212" s="39">
        <f>SnapshotTable[[#This Row],[Last Price]]*(1 -CrashDiscount)</f>
        <v>215.30500000000001</v>
      </c>
      <c r="F212" s="26" t="s">
        <v>735</v>
      </c>
      <c r="G212" s="26" t="s">
        <v>32</v>
      </c>
      <c r="H212" s="147"/>
      <c r="I212" s="186">
        <v>44771.322916666664</v>
      </c>
      <c r="J212" s="187">
        <v>44771.322916666664</v>
      </c>
      <c r="K212" s="188"/>
      <c r="L212" s="297"/>
      <c r="M212" s="138">
        <v>1</v>
      </c>
      <c r="N212" s="138" t="b">
        <v>1</v>
      </c>
      <c r="O212" s="138"/>
      <c r="P212" s="22"/>
      <c r="Q212" s="25"/>
      <c r="R212" s="4" t="str">
        <f>IF(SnapshotTable[[#This Row],[Equity Basis Total]] &gt; 0, SnapshotTable[[#This Row],[Equity Basis Total]] / SnapshotTable[[#This Row],[Equity Shares]], "")</f>
        <v/>
      </c>
      <c r="S212" s="254">
        <f>SnapshotTable[[#This Row],[Last Price]] * SnapshotTable[[#This Row],[Equity Shares]]</f>
        <v>0</v>
      </c>
      <c r="T212" s="254">
        <f>SnapshotTable[[#This Row],[Equity Value]] - SnapshotTable[[#This Row],[Equity Basis Total]]</f>
        <v>0</v>
      </c>
      <c r="U212" s="255" t="str">
        <f>IF(SnapshotTable[[#This Row],[Equity Basis Total]] &gt; 0, SnapshotTable[[#This Row],[Equity G/L]] / SnapshotTable[[#This Row],[Equity Basis Total]], "")</f>
        <v/>
      </c>
      <c r="V212" s="253"/>
      <c r="W212" s="253"/>
      <c r="X212" s="4" t="str">
        <f>IF(AND(ISNUMBER(SnapshotTable[[#This Row],[Equity Basis Per Share]]),ISNUMBER(SnapshotTable[[#This Row],[Equity Target]])),SnapshotTable[[#This Row],[Equity Target]]-SnapshotTable[[#This Row],[Equity Basis Per Share]],"")</f>
        <v/>
      </c>
      <c r="Y212" s="4" t="str">
        <f>IF(AND(ISNUMBER(SnapshotTable[[#This Row],[Equity Basis Per Share]]),ISNUMBER(SnapshotTable[[#This Row],[Equity Stop Loss]])),SnapshotTable[[#This Row],[Equity Stop Loss]]-SnapshotTable[[#This Row],[Equity Basis Per Share]],"")</f>
        <v/>
      </c>
      <c r="Z212" s="260" t="str">
        <f>IFERROR( TEXT(SnapshotTable[[#This Row],[Equity Max Gain Per Share]] /ABS( SnapshotTable[[#This Row],[Equity Max Loss Per Share]]),"0.0 " ) &amp; " : 1", "")</f>
        <v/>
      </c>
      <c r="AA212" s="31" t="str">
        <f>IF(ISNUMBER(SnapshotTable[[#This Row],[Equity Max Gain Per Share]]),SnapshotTable[[#This Row],[Equity Max Gain Per Share]] * SnapshotTable[[#This Row],[Equity Shares]],"")</f>
        <v/>
      </c>
      <c r="AB212" s="31" t="str">
        <f>IF(ISNUMBER(SnapshotTable[[#This Row],[Equity Max Loss Per Share]]),SnapshotTable[[#This Row],[Equity Max Loss Per Share]] * SnapshotTable[[#This Row],[Equity Shares]],"")</f>
        <v/>
      </c>
      <c r="AC212" s="148">
        <v>5.2</v>
      </c>
      <c r="AD212" s="149">
        <v>44424</v>
      </c>
      <c r="AE212" s="31">
        <f>(SnapshotTable[[#This Row],[Annual Dividend Per Share]] / 4) * SnapshotTable[[#This Row],[Equity Shares]]</f>
        <v>0</v>
      </c>
      <c r="AF212" s="31">
        <f>SnapshotTable[[#This Row],[Quarterly Div $]] * 4</f>
        <v>0</v>
      </c>
      <c r="AG212" s="7">
        <f>IF(SnapshotTable[[#This Row],[Annual Dividend Per Share]]&gt;0, SnapshotTable[[#This Row],[Annual Dividend Per Share]]  / SnapshotTable[[#This Row],[Last Price]], 0)</f>
        <v>2.0529016975917885E-2</v>
      </c>
      <c r="AH212" s="149">
        <v>44391</v>
      </c>
      <c r="AI212" s="5">
        <f>SnapshotTable[[#This Row],[Equity Target]]</f>
        <v>0</v>
      </c>
      <c r="AJ212" s="136">
        <v>167.88</v>
      </c>
      <c r="AK212" s="150">
        <f>IF(ISNUMBER( SnapshotTable[[#This Row],[EBF Target]]),(SnapshotTable[[#This Row],[EBF Target]] - SnapshotTable[[#This Row],[Last Price]]) / SnapshotTable[[#This Row],[Last Price]], "")</f>
        <v>-1</v>
      </c>
      <c r="AL212" s="150" t="str">
        <f>IF(AND(SnapshotTable[[#This Row],[Equity Basis Total]] &gt; 0,ISNUMBER( SnapshotTable[[#This Row],[Long Term Target]])), SnapshotTable[[#This Row],[From Basis $]] / SnapshotTable[[#This Row],[Equity Basis Total]], "")</f>
        <v/>
      </c>
      <c r="AM212" s="9">
        <f>IF( AND(SnapshotTable[[#This Row],[Equity Shares]] &gt;0,ISNUMBER( SnapshotTable[[#This Row],[Long Term Target]])),(SnapshotTable[[#This Row],[Equity Shares]] * SnapshotTable[[#This Row],[Long Term Target]]) - SnapshotTable[[#This Row],[Equity Basis Total]],0)</f>
        <v>0</v>
      </c>
      <c r="AN212" s="9">
        <f>IF( AND(SnapshotTable[[#This Row],[Equity Shares]] &gt;0,ISNUMBER( SnapshotTable[[#This Row],[Long Term Target]])),(SnapshotTable[[#This Row],[Equity Shares]]*SnapshotTable[[#This Row],[Long Term Target]]) - SnapshotTable[[#This Row],[Equity Value]],0)</f>
        <v>0</v>
      </c>
      <c r="AO212" s="150">
        <f>IF(AND(ISNUMBER( SnapshotTable[[#This Row],[Long Term Target]]), ISNUMBER(SnapshotTable[[#This Row],[Last Price]])),(SnapshotTable[[#This Row],[Long Term Target]] - SnapshotTable[[#This Row],[Last Price]]) / SnapshotTable[[#This Row],[Last Price]], "")</f>
        <v>-0.33722858270825112</v>
      </c>
      <c r="AP212" s="5"/>
      <c r="AQ212" s="38"/>
      <c r="AR212" s="5"/>
      <c r="AS212" s="38"/>
      <c r="AT212" s="144"/>
      <c r="AU212" s="185" t="str">
        <f>IF(OR(SnapshotTable[[#This Row],[LP No Fill]]="Y",SnapshotTable[[#This Row],[SP Is Filled]],SnapshotTable[[#This Row],[LC Not Filled]]="Y",SnapshotTable[[#This Row],[SC Is Filled]]),"Y","")</f>
        <v/>
      </c>
      <c r="AV212" s="205" t="s">
        <v>794</v>
      </c>
      <c r="AW212" s="211"/>
      <c r="AX212" s="206"/>
      <c r="AY212" s="205" t="str">
        <f>IF(SnapshotTable[[#This Row],[Implied Move]]&gt;0, SnapshotTable[[#This Row],[Last Price]]-SnapshotTable[[#This Row],[Implied Move]],"")</f>
        <v/>
      </c>
      <c r="AZ212" s="205" t="str">
        <f>IF(SnapshotTable[[#This Row],[Implied Move]]&gt;0, SnapshotTable[[#This Row],[Last Price]] + SnapshotTable[[#This Row],[Implied Move]],"")</f>
        <v/>
      </c>
      <c r="BA212" s="302">
        <v>74.31</v>
      </c>
      <c r="BB212" s="318"/>
      <c r="BC21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2" s="321"/>
      <c r="BE212" s="5"/>
      <c r="BF212" s="14"/>
      <c r="BG212" s="13"/>
      <c r="BH212" s="13"/>
      <c r="BI212" s="5"/>
      <c r="BJ212" s="134">
        <f>IF(SnapshotTable[[#This Row],[LP Qty]] &gt; 0, SnapshotTable[[#This Row],[LP Qty]] * SnapshotTable[[#This Row],[LP Book Price]] * 100,0)</f>
        <v>0</v>
      </c>
      <c r="BK212" s="134">
        <f>IF(SnapshotTable[[#This Row],[LP Premium]] &gt; 0, SnapshotTable[[#This Row],[LP Qty]] * SnapshotTable[[#This Row],[LP Strike Price]] * 100,0)</f>
        <v>0</v>
      </c>
      <c r="BL212" s="152"/>
      <c r="BM212" s="355" t="str">
        <f>IF(SnapshotTable[[#This Row],[LP Premium]] &gt; 0,SnapshotTable[[#This Row],[LP Exp Date]]-MAX(SnapshotTable[[#This Row],[LP Book Date]], SnapshotTable[[#This Row],[LP Fill Date]]),"")</f>
        <v/>
      </c>
      <c r="BN212" s="355" t="str">
        <f>IF(ISNUMBER( SnapshotTable[[#This Row],[LP Term]]), SnapshotTable[[#This Row],[LP Exp Date]] - MockToday,"")</f>
        <v/>
      </c>
      <c r="BO212" s="161" t="str">
        <f>IF(AND(SnapshotTable[[#This Row],[LP Exp Date]]&gt;0, SnapshotTable[[#This Row],[LP Strike Price]]&gt;0,SnapshotTable[[#This Row],[LP Qty]]&gt;0,SnapshotTable[[#This Row],[LP Book Date]]&gt;0,SnapshotTable[[#This Row],[LP Book Price]]&gt;0,SnapshotTable[[#This Row],[LP Fill Date]]=0),"Y","")</f>
        <v/>
      </c>
      <c r="BP212" s="31" t="str">
        <f>IF(AND(SnapshotTable[[#This Row],[LP No Fill]]&lt;&gt;"Y",SnapshotTable[[#This Row],[LP Contract Value]]&gt;0, SnapshotTable[[#This Row],[LP Qty]]&gt;0), SnapshotTable[[#This Row],[LP Contract Value]]*SnapshotTable[[#This Row],[LP Qty]]*100,"")</f>
        <v/>
      </c>
      <c r="BQ212" s="13"/>
      <c r="BR212" s="5"/>
      <c r="BS212" s="36"/>
      <c r="BT212" s="145"/>
      <c r="BU212" s="13"/>
      <c r="BV212" s="5"/>
      <c r="BW212" s="382" t="b">
        <f>AND(ISNUMBER(SnapshotTable[[#This Row],[SP Exp Date]]), ISNUMBER(SnapshotTable[[#This Row],[SP Strike Price]]), ISNUMBER(SnapshotTable[[#This Row],[SP Qty]]), ISNUMBER(SnapshotTable[[#This Row],[SP Book Date]]), ISNUMBER(SnapshotTable[[#This Row],[SP Book Price]]))</f>
        <v>0</v>
      </c>
      <c r="BX212" s="382" t="b">
        <f>AND(SnapshotTable[[#This Row],[SP Is Booked]], NOT(ISBLANK(SnapshotTable[[#This Row],[SP Fill Date]])))</f>
        <v>0</v>
      </c>
      <c r="BY212" s="33">
        <f>IF(SnapshotTable[[#This Row],[SP Is Booked]], SnapshotTable[[#This Row],[SP Qty]] * SnapshotTable[[#This Row],[SP Book Price]] * 100, 0)</f>
        <v>0</v>
      </c>
      <c r="BZ212" s="339"/>
      <c r="CA212" s="338">
        <f>SnapshotTable[[#This Row],[LP Qty]]</f>
        <v>0</v>
      </c>
      <c r="CB212" s="4" t="str">
        <f>IF(SnapshotTable[[#This Row],[SP Is Booked]], SnapshotTable[[#This Row],[SP Strike Price]] - SnapshotTable[[#This Row],[SP Book Price]], "")</f>
        <v/>
      </c>
      <c r="CC212" s="19" t="str">
        <f>IF(SnapshotTable[[#This Row],[SP Is Booked]],SnapshotTable[[#This Row],[SP Exp Date]]-MAX(SnapshotTable[[#This Row],[SP Book Date]], SnapshotTable[[#This Row],[SP Fill Date]]),"")</f>
        <v/>
      </c>
      <c r="CD212" s="7" t="str">
        <f>IF(SnapshotTable[[#This Row],[SP Is Booked]], SnapshotTable[[#This Row],[SP Book Price]]/SnapshotTable[[#This Row],[SP Strike Price]], "")</f>
        <v/>
      </c>
      <c r="CE212" s="7" t="str">
        <f>IF(ISNUMBER(SnapshotTable[[#This Row],[SP ROO Term]]),SnapshotTable[[#This Row],[SP ROO Term]]*(365/SnapshotTable[[#This Row],[SP Term]]),"")</f>
        <v/>
      </c>
      <c r="CF212" s="221">
        <f>SnapshotTable[[#This Row],[LP Strike Price]] * SnapshotTable[[#This Row],[LP Qty]] * 100</f>
        <v>0</v>
      </c>
      <c r="CG212" s="31">
        <f>IF(ISNUMBER(SnapshotTable[[#This Row],[SP Premium]]), (SnapshotTable[[#This Row],[SP Qty]] * SnapshotTable[[#This Row],[SP Strike Price]]* 100) - SnapshotTable[[#This Row],[LP Protection]], 0)</f>
        <v>0</v>
      </c>
      <c r="CH212" s="7" t="str">
        <f>IF(ISNUMBER(SnapshotTable[[#This Row],[SP Break Even]]),-1 * (SnapshotTable[[#This Row],[SP Break Even]] - SnapshotTable[[#This Row],[Last Price]]) / SnapshotTable[[#This Row],[Last Price]], "")</f>
        <v/>
      </c>
      <c r="CI212" s="31">
        <f>IF(AND(ISNUMBER((SnapshotTable[[#This Row],[SP Potential Spend]])), SnapshotTable[[#This Row],[SP Strike Price]] &gt; SnapshotTable[[#This Row],[Last Price]], SnapshotTable[[#This Row],[SP Is Filled]]), SnapshotTable[[#This Row],[SP Potential Spend]] -  SnapshotTable[[#This Row],[LP Max Value]], 0)</f>
        <v>0</v>
      </c>
      <c r="CJ212" s="229"/>
      <c r="CK212" s="31">
        <f>IF(ISNUMBER(SnapshotTable[[#This Row],[SP Potential Spend]]),IF(ISNUMBER(SnapshotTable[[#This Row],[SP POW]]), SnapshotTable[[#This Row],[SP POW]] * SnapshotTable[[#This Row],[SP Potential Spend]], SnapshotTable[[#This Row],[SP Potential Spend]]), "")</f>
        <v>0</v>
      </c>
      <c r="CL212" s="162">
        <f>IF(NOT(SnapshotTable[[#This Row],[SP Is Filled]]),(SnapshotTable[[#This Row],[SP Qty]] * SnapshotTable[[#This Row],[SP Strike Price]] * 100) - SnapshotTable[[#This Row],[LP Max Value]],"")</f>
        <v>0</v>
      </c>
      <c r="CM212" s="31" t="str">
        <f>IF(SnapshotTable[[#This Row],[SP Actual Spend]]&lt;&gt;0, ((SnapshotTable[[#This Row],[SP Strike Price]]-SnapshotTable[[#This Row],[Last Price]]) *(SnapshotTable[[#This Row],[SP Qty]]*100) - SnapshotTable[[#This Row],[SP Premium]]) * - 1, "")</f>
        <v/>
      </c>
      <c r="CN212" s="152"/>
      <c r="CO212" s="339"/>
      <c r="CP212" s="4" t="str">
        <f>IF(SnapshotTable[[#This Row],[SP Is Filled]], btc_max_buyback_amount(SnapshotTable[[#This Row],[SP Fill Date]],SnapshotTable[[#This Row],[SP Exp Date]], SnapshotTable[[#This Row],[SP Book Price]]),"")</f>
        <v/>
      </c>
      <c r="CQ212" s="76"/>
      <c r="CR21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2" s="153" t="str">
        <f>IF(SnapshotTable[[#This Row],[SP Is Filled]], btc_next_cutoff_date(SnapshotTable[[#This Row],[SP Fill Date]],SnapshotTable[[#This Row],[SP Exp Date]]),"")</f>
        <v/>
      </c>
      <c r="CT212" s="220" t="str" cm="1">
        <f t="array" ref="CT212">IF(SnapshotTable[[#This Row],[SP Is Filled]], btc_should_buy_back(SnapshotTable[[#This Row],[SP Fill Date]], SnapshotTable[[#This Row],[SP Exp Date]], SnapshotTable[[#This Row],[SP Book Price]], SnapshotTable[[#This Row],[SP Current Ask]], MockToday, SnapshotTable[[#This Row],[SP Buyback Override]]),"")</f>
        <v/>
      </c>
      <c r="CU212" s="141"/>
      <c r="CV212" s="220"/>
      <c r="CW212" s="348" t="str">
        <f>IF(ISNUMBER( SnapshotTable[[#This Row],[SP Term]]), SnapshotTable[[#This Row],[SP Exp Date]] - MockToday,"")</f>
        <v/>
      </c>
      <c r="CX212" s="31" t="str">
        <f>IF(SnapshotTable[[#This Row],[SP Is Filled]],SnapshotTable[[#This Row],[SP Buyback Price to Use]] * 100 * SnapshotTable[[#This Row],[SP Qty]], "")</f>
        <v/>
      </c>
      <c r="CY212" s="4" t="str">
        <f>IF(ISNUMBER(SnapshotTable[[#This Row],[SP Strike Price]]), SnapshotTable[[#This Row],[SP Strike Price]] * (1 - SP_MaxLoss_StrikePct), "")</f>
        <v/>
      </c>
      <c r="CZ212" s="31" t="str">
        <f>IF(ISNUMBER(SnapshotTable[[#This Row],[SP Strike  Stop Per Share]]),SnapshotTable[[#This Row],[SP Premium]] - ((SnapshotTable[[#This Row],[SP Strike Price]]-SnapshotTable[[#This Row],[SP Strike  Stop Per Share]]) *(SnapshotTable[[#This Row],[SP Qty]] * 100)),"")</f>
        <v/>
      </c>
      <c r="DA212" s="4" t="str">
        <f>IF(AND(ISNUMBER(SnapshotTable[[#This Row],[SP Premium]]),SnapshotTable[[#This Row],[SP Premium]]&gt;0), SnapshotTable[[#This Row],[SP Book Price]] * (1 + SP_MaxLoss_OptionPct), "")</f>
        <v/>
      </c>
      <c r="DB212" s="31" t="str">
        <f>IF(ISNUMBER(SnapshotTable[[#This Row],[SP Option  Stop Contract]]),(SnapshotTable[[#This Row],[SP Option  Stop Contract]] *(SnapshotTable[[#This Row],[SP Qty]] * 100) - SnapshotTable[[#This Row],[SP Premium]]),"")</f>
        <v/>
      </c>
      <c r="DC212" s="4"/>
      <c r="DD212" s="4"/>
      <c r="DE212" s="4" t="str">
        <f>IF(AND(SnapshotTable[[#This Row],[SP Qty]]&gt;0, SnapshotTable[[#This Row],[SP Stop To Use]]&gt;0),SnapshotTable[[#This Row],[SP Premium]] - ( SnapshotTable[[#This Row],[SP Qty]] * SnapshotTable[[#This Row],[SP Stop To Use]] * 100), "")</f>
        <v/>
      </c>
      <c r="DF212" s="31" t="str">
        <f>IF(AND(SnapshotTable[[#This Row],[SP Qty]]&gt;0,SnapshotTable[[#This Row],[SP Current Ask]]&gt;0), SnapshotTable[[#This Row],[SP Qty]] * SnapshotTable[[#This Row],[SP Current Ask]] * -100, "")</f>
        <v/>
      </c>
      <c r="DG212" s="31" t="str">
        <f>IF(ISNUMBER((SnapshotTable[[#This Row],[SP Total Value]])), SnapshotTable[[#This Row],[SP Premium]] + SnapshotTable[[#This Row],[SP Total Value]], "")</f>
        <v/>
      </c>
      <c r="DH212" s="272" t="str">
        <f>IF(ISNUMBER((SnapshotTable[[#This Row],[SP Total Value]])), SnapshotTable[[#This Row],[SP Gain Loss]] / SnapshotTable[[#This Row],[SP Premium]], "")</f>
        <v/>
      </c>
      <c r="DI212" s="369"/>
      <c r="DJ212" s="136"/>
      <c r="DK212" s="146"/>
      <c r="DL212" s="13"/>
      <c r="DM212" s="13"/>
      <c r="DO212" s="31">
        <f>IF(SnapshotTable[[#This Row],[LC Symbol Count]]=1, SnapshotTable[[#This Row],[LC Qty]] * SnapshotTable[[#This Row],[LC Book Price]] * 100, 0)</f>
        <v>0</v>
      </c>
      <c r="DP212" s="161" t="str">
        <f>IF(AND(SnapshotTable[[#This Row],[LC Exp Date]]&gt;0, SnapshotTable[[#This Row],[LC Strike Price]]&gt;0,SnapshotTable[[#This Row],[LC Qty]]&gt;0,SnapshotTable[[#This Row],[LC Book Date]]&gt;0,SnapshotTable[[#This Row],[LC Book Price]]&gt;0,SnapshotTable[[#This Row],[LC Fill Date]]=0),"Y","")</f>
        <v/>
      </c>
      <c r="DQ212" s="356" t="str">
        <f>IF(SnapshotTable[[#This Row],[LC Premium]] &gt; 0,SnapshotTable[[#This Row],[LC Exp Date]]-MAX(SnapshotTable[[#This Row],[LC Book Date]], SnapshotTable[[#This Row],[LC Fill Date]]),"")</f>
        <v/>
      </c>
      <c r="DR212" s="356" t="str">
        <f>IF(ISNUMBER(SnapshotTable[[#This Row],[LC Term]]), SnapshotTable[[#This Row],[LC Exp Date]] - MockToday, "")</f>
        <v/>
      </c>
      <c r="DS212" s="219" t="str">
        <f>IF(SnapshotTable[[#This Row],[LC Premium]]&gt;0,SnapshotTable[[#This Row],[LC Strike Price]] + SnapshotTable[[#This Row],[LC Book Price]],"")</f>
        <v/>
      </c>
      <c r="DU212" s="9" t="str">
        <f>IF(AND(SnapshotTable[[#This Row],[LC Symbol Count]]&gt;0, SnapshotTable[[#This Row],[LC Contract Value]]&gt;0), SnapshotTable[[#This Row],[LC Contract Value]] * SnapshotTable[[#This Row],[LC Qty]] * 100, "")</f>
        <v/>
      </c>
      <c r="DV212" s="9" t="str">
        <f>IF(AND(ISNUMBER(SnapshotTable[[#This Row],[LC Total Value]]), SnapshotTable[[#This Row],[LC Not Filled]]&lt;&gt;"Y"), SnapshotTable[[#This Row],[LC Total Value]]-SnapshotTable[[#This Row],[LC Premium]],"")</f>
        <v/>
      </c>
      <c r="DW212" s="225" t="str">
        <f>IF(ISNUMBER(SnapshotTable[[#This Row],[LC Actual Gain Loss]]), SnapshotTable[[#This Row],[LC Actual Gain Loss]] / SnapshotTable[[#This Row],[LC Premium]],"")</f>
        <v/>
      </c>
      <c r="DX212" s="269" t="str">
        <f>IF(ISNUMBER(SnapshotTable[[#This Row],[LC Book Price]]),SnapshotTable[[#This Row],[LC Book Price]] * 1.5,"")</f>
        <v/>
      </c>
      <c r="DY212" s="250" t="str">
        <f>IF(SnapshotTable[[#This Row],[LC Premium]]&gt;0, SnapshotTable[[#This Row],[LC Next Target]] * SnapshotTable[[#This Row],[LC Qty]] * 100,"")</f>
        <v/>
      </c>
      <c r="DZ212" s="250" t="str">
        <f>IF(ISNUMBER(SnapshotTable[[#This Row],[LC Target Gross]]), SnapshotTable[[#This Row],[LC Target Gross]] - SnapshotTable[[#This Row],[LC Premium]], "")</f>
        <v/>
      </c>
      <c r="EA212" s="283" t="str">
        <f>IF(ISNUMBER(SnapshotTable[[#This Row],[LC Target Gain Loss]]), SnapshotTable[[#This Row],[LC Target Gain Loss]]/SnapshotTable[[#This Row],[LC Premium]], "")</f>
        <v/>
      </c>
      <c r="EB212" s="247"/>
      <c r="EC212" s="268" t="str">
        <f>IF(SnapshotTable[[#This Row],[LC Premium]]&gt;0, SnapshotTable[[#This Row],[LC Book Price]] * (1 - LC_StopLoss_Pct),"")</f>
        <v/>
      </c>
      <c r="ED212" s="269"/>
      <c r="EE212" s="268" t="str">
        <f>IF(ISNUMBER(SnapshotTable[[#This Row],[LC Contract Value]]),IF(ISNUMBER(SnapshotTable[[#This Row],[LC Stop Loss Override]]), SnapshotTable[[#This Row],[LC Stop Loss Override]],SnapshotTable[[#This Row],[LC Stop Loss Calc Target]]),"")</f>
        <v/>
      </c>
      <c r="EF212" s="31" t="str">
        <f>IF(ISNUMBER(SnapshotTable[[#This Row],[LC Stop  To Use]]), (SnapshotTable[[#This Row],[LC Stop  To Use]] * SnapshotTable[[#This Row],[LC Qty]] * 100),"")</f>
        <v/>
      </c>
      <c r="EG212" s="9" t="str">
        <f>IF(ISNUMBER(SnapshotTable[[#This Row],[LC Total Value]]),SnapshotTable[[#This Row],[LC Stop Loss Amount]] - SnapshotTable[[#This Row],[LC Premium]],"")</f>
        <v/>
      </c>
      <c r="EH212" s="9">
        <f>IF(ISNUMBER(SnapshotTable[[#This Row],[LC Premium]]), SnapshotTable[[#This Row],[LC Qty]] * 100 * SnapshotTable[[#This Row],[LC Strike Price]], "")</f>
        <v>0</v>
      </c>
      <c r="EI212" s="225" t="str">
        <f>IF(AND(ISNUMBER(SnapshotTable[[#This Row],[LC Total Value]]),SnapshotTable[[#This Row],[LC Total Value]]&gt;0),SnapshotTable[[#This Row],[LC Stop Gain Loss]]  / SnapshotTable[[#This Row],[LC Premium]],"")</f>
        <v/>
      </c>
      <c r="EJ212" s="35">
        <f>IF(ISNUMBER(SnapshotTable[[#This Row],[Equity Shares]]),TRUNC(SnapshotTable[[#This Row],[Equity Shares]] / 100),0) + SnapshotTable[[#This Row],[LC Qty]]</f>
        <v>0</v>
      </c>
      <c r="EK212" s="145"/>
      <c r="EL212" s="136"/>
      <c r="EM212" s="146"/>
      <c r="EN212" s="145"/>
      <c r="EO212" s="145"/>
      <c r="EP212" s="136"/>
      <c r="EQ212" s="382" t="b">
        <f>AND(ISNUMBER(SnapshotTable[[#This Row],[SC Exp Date]]), ISNUMBER(SnapshotTable[[#This Row],[SC Strike Price]]), ISNUMBER(SnapshotTable[[#This Row],[SC Qty]]), ISNUMBER(SnapshotTable[[#This Row],[SC Book Date]]), ISNUMBER(SnapshotTable[[#This Row],[SC Book Price]]))</f>
        <v>0</v>
      </c>
      <c r="ER212" s="382" t="b">
        <f>AND(SnapshotTable[[#This Row],[SC Is Booked]], NOT(ISBLANK(SnapshotTable[[#This Row],[SC Fill Date]])))</f>
        <v>0</v>
      </c>
      <c r="ES212" s="340"/>
      <c r="ET212" s="34" t="str">
        <f>IF(AND(ISNUMBER(SnapshotTable[[#This Row],[SC Exp Date]]), ISNUMBER(SnapshotTable[[#This Row],[SC Book Date]])), SnapshotTable[[#This Row],[SC Exp Date]] - MAX(SnapshotTable[[#This Row],[SC Book Date]], SnapshotTable[[#This Row],[SC Fill Date]]) + 1, "")</f>
        <v/>
      </c>
      <c r="EU212" s="34" t="str">
        <f>IF(ISNUMBER(SnapshotTable[[#This Row],[SC Term]]), SnapshotTable[[#This Row],[SC Exp Date]]- MockToday, "")</f>
        <v/>
      </c>
      <c r="EV212" s="31">
        <f>IF(SnapshotTable[[#This Row],[SC Is Booked]], SnapshotTable[[#This Row],[SC Qty]] * SnapshotTable[[#This Row],[SC Book Price]] * 100, 0)</f>
        <v>0</v>
      </c>
      <c r="EW212" s="4" t="str">
        <f>IF(AND(ISNUMBER(SnapshotTable[[#This Row],[Last Price]]), ISNUMBER( SnapshotTable[[#This Row],[SC Book Price]])), SnapshotTable[[#This Row],[Last Price]] - SnapshotTable[[#This Row],[SC Book Price]],"")</f>
        <v/>
      </c>
      <c r="EX212" s="219" t="str">
        <f>IF(SnapshotTable[[#This Row],[SC Is Booked]],IF(SnapshotTable[[#This Row],[SC Intrinsic Value]] &gt; 0, SnapshotTable[[#This Row],[SC Strike Price]], SnapshotTable[[#This Row],[Last Price]]), "")</f>
        <v/>
      </c>
      <c r="EY212" s="4">
        <f>IF(SnapshotTable[[#This Row],[SC Is Booked]], (MinimumPremiumRequired * SnapshotTable[[#This Row],[SC Basis]] * SnapshotTable[[#This Row],[SC Term]]), 0)</f>
        <v>0</v>
      </c>
      <c r="EZ212" s="268"/>
      <c r="FA212" s="204"/>
      <c r="FB212" s="340"/>
      <c r="FC212" s="4">
        <f>IF(SnapshotTable[[#This Row],[SC Is Filled]], btc_max_buyback_amount(SnapshotTable[[#This Row],[SC Fill Date]],SnapshotTable[[#This Row],[SC Exp Date]], SnapshotTable[[#This Row],[SC Book Price]]),0)</f>
        <v>0</v>
      </c>
      <c r="FD212" s="5"/>
      <c r="FE212" s="142" t="str">
        <f>IF(SnapshotTable[[#This Row],[SC Is Filled]], btc_next_cutoff_date(SnapshotTable[[#This Row],[SC Fill Date]],SnapshotTable[[#This Row],[SC Exp Date]]),"")</f>
        <v/>
      </c>
      <c r="FF212" s="4" t="str" cm="1">
        <f t="array" ref="FF212">IF(SnapshotTable[[#This Row],[SC Is Filled]], btc_should_buy_back(SnapshotTable[[#This Row],[SC Fill Date]], SnapshotTable[[#This Row],[SC Exp Date]], SnapshotTable[[#This Row],[SC Book Price]], SnapshotTable[[#This Row],[SC Current Ask]], MockToday, SnapshotTable[[#This Row],[SC Buyback Override]]),"")</f>
        <v/>
      </c>
      <c r="FG212" s="4">
        <f>IF(SnapshotTable[[#This Row],[SC Is Filled]], MAX(0,SnapshotTable[[#This Row],[Last Price]]  - SnapshotTable[[#This Row],[SC Strike Price]]), 0)</f>
        <v>0</v>
      </c>
      <c r="FH212" s="352">
        <f>IF(SnapshotTable[[#This Row],[SC Is Filled]], IF(ISNUMBER(SnapshotTable[[#This Row],[SC Current Ask]]), SnapshotTable[[#This Row],[SC Current Ask]], SnapshotTable[[#This Row],[SC Book Price]]) - SnapshotTable[[#This Row],[SC Intrinsic Value]], 0)</f>
        <v>0</v>
      </c>
      <c r="FI212" s="141"/>
      <c r="FJ212" s="32" t="str">
        <f>IF(SnapshotTable[[#This Row],[SC Is Filled]],100 * SnapshotTable[[#This Row],[SC Qty]] * IF(ISNUMBER(SnapshotTable[[#This Row],[SC Buyback Override]]), SnapshotTable[[#This Row],[SC Buyback Override]], SnapshotTable[[#This Row],[SC Current Ask]]), "")</f>
        <v/>
      </c>
      <c r="FK212" s="235" t="str">
        <f>IF(SnapshotTable[[#This Row],[SC Time Val]]&gt;0, SnapshotTable[[#This Row],[SC Time Val]] / SnapshotTable[[#This Row],[Last Price]],"")</f>
        <v/>
      </c>
      <c r="FL212" s="280" t="str">
        <f>IF(SnapshotTable[[#This Row],[SC Is Booked]], ((SnapshotTable[[#This Row],[Last Price]] -SnapshotTable[[#This Row],[SC Strike Price]]) / SnapshotTable[[#This Row],[Last Price]]) * -1, "")</f>
        <v/>
      </c>
      <c r="FM212" s="155" t="str">
        <f>IF(SnapshotTable[[#This Row],[SC Is Booked]],  (SnapshotTable[[#This Row],[SC Qty]] * 100 * SnapshotTable[[#This Row],[SC Strike Price]]) - SnapshotTable[[#This Row],[SC Current Ask]], "")</f>
        <v/>
      </c>
      <c r="FN21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2" s="31" t="str">
        <f>IF(AND(ISNUMBER(SnapshotTable[[#This Row],[SC Exercise Gross]]), ISNUMBER(SnapshotTable[[#This Row],[Equity Basis Per Share]] )), SnapshotTable[[#This Row],[SC Exercise Gross]] - SnapshotTable[[#This Row],[Equity Basis Total]] +  SnapshotTable[[#This Row],[SC Premium]], "")</f>
        <v/>
      </c>
      <c r="FP212" s="5" t="str">
        <f>IF(ISNUMBER(SnapshotTable[[#This Row],[SC Exercise Gross]]), (SnapshotTable[[#This Row],[SC Exercise Gross]]) / (SnapshotTable[[#This Row],[SC Qty]] * 100), "")</f>
        <v/>
      </c>
      <c r="FQ212" s="27" t="str">
        <f>IF(SnapshotTable[[#This Row],[SC Is Booked]],SnapshotTable[[#This Row],[SC Time Val]] /SnapshotTable[[#This Row],[SC Basis]], "")</f>
        <v/>
      </c>
      <c r="FR212" s="27" t="str" cm="1">
        <f t="array" ref="FR212">IF(AND(ISNUMBER(SnapshotTable[[#This Row],[SC Term]]),ISNUMBER(SnapshotTable[[#This Row],[SC Simple ROO]])), EllmanAnnualize(SnapshotTable[[#This Row],[SC DTE]], SnapshotTable[[#This Row],[SC Simple ROO]] ),"")</f>
        <v/>
      </c>
      <c r="FS212" s="4">
        <f>IF(SnapshotTable[[#This Row],[SC Strike Price]] &gt; SnapshotTable[[#This Row],[Last Price]], SnapshotTable[[#This Row],[SC Strike Price]] - SnapshotTable[[#This Row],[Last Price]],0)</f>
        <v>0</v>
      </c>
      <c r="FT212" s="27" t="str">
        <f>IF(AND(ISNUMBER(SnapshotTable[[#This Row],[SC Upside Potential]]), SnapshotTable[[#This Row],[SC Upside Potential]] &gt; 0),(SnapshotTable[[#This Row],[SC Upside Potential]]/ SnapshotTable[[#This Row],[ACB]]),"")</f>
        <v/>
      </c>
      <c r="FU212" s="304" t="str">
        <f>IF(SnapshotTable[[#This Row],[SC Intrinsic Value]] &gt; 0,SnapshotTable[[#This Row],[SC Intrinsic Value]],"")</f>
        <v/>
      </c>
      <c r="FV212" s="27" t="str">
        <f>IF(AND( ISNUMBER( SnapshotTable[[#This Row],[ACB]]),ISNUMBER(SnapshotTable[[#This Row],[SC Downside Protect]])),SnapshotTable[[#This Row],[SC Downside Protect]] / SnapshotTable[[#This Row],[ACB]],"")</f>
        <v/>
      </c>
      <c r="FW212" s="221" t="str">
        <f>IF(AND(ISNUMBER(SnapshotTable[[#This Row],[SC Simple ROO]]),SnapshotTable[[#This Row],[SC Simple ROO]] &gt; 0), SnapshotTable[[#This Row],[SC Premium]] + (SnapshotTable[[#This Row],[SC Qty]] * SnapshotTable[[#This Row],[SC Upside Potential]]), "")</f>
        <v/>
      </c>
      <c r="FX212" s="280" t="str" cm="1">
        <f t="array" ref="FX212">IF(ISNUMBER(SnapshotTable[[#This Row],[SC Max Dollars]]), annualize(SnapshotTable[[#This Row],[SC Term]],(SnapshotTable[[#This Row],[SC Max Dollars]]/SnapshotTable[[#This Row],[SC Basis]])),"")</f>
        <v/>
      </c>
      <c r="FY212" s="221" t="str">
        <f>IF(AND(SnapshotTable[[#This Row],[SC Qty]]&gt;0,SnapshotTable[[#This Row],[SC Current Ask]]&gt;0), SnapshotTable[[#This Row],[SC Qty]] * SnapshotTable[[#This Row],[SC Current Ask]] * -100, "")</f>
        <v/>
      </c>
      <c r="FZ212" s="31" t="str">
        <f>IF(ISNUMBER((SnapshotTable[[#This Row],[SC Current Value]])), SnapshotTable[[#This Row],[SC Premium]] + SnapshotTable[[#This Row],[SC Current Value]], "")</f>
        <v/>
      </c>
      <c r="GA212" s="272" t="str">
        <f>IFERROR( IF(ISNUMBER((SnapshotTable[[#This Row],[SC Current Value]])), SnapshotTable[[#This Row],[SC Gain Loss]] / SnapshotTable[[#This Row],[SC Premium]], ""), "")</f>
        <v/>
      </c>
      <c r="GB212" s="42">
        <f>SnapshotTable[[#This Row],[Equity Shares]] * SaleSharesToConsiderPercentage</f>
        <v>0</v>
      </c>
      <c r="GC212" s="40">
        <f>SnapshotTable[[#This Row],[Long Term Target]] * SellingPriceToConsiderBasedOnTargetPercentage</f>
        <v>159.48599999999999</v>
      </c>
      <c r="GD212" s="40">
        <f>SnapshotTable[[#This Row],[Last Price]] * (1+ SellingPriceToConsiderBasedOnTargetPercentage)</f>
        <v>493.935</v>
      </c>
      <c r="GE212" s="41"/>
      <c r="GF212" s="40"/>
      <c r="GG212" s="31">
        <f>SnapshotTable[[#This Row],[Booked Sale Shares]] * SnapshotTable[[#This Row],[Booked Sale Price]]</f>
        <v>0</v>
      </c>
      <c r="GH212" s="31" t="str">
        <f>IF(SnapshotTable[[#This Row],[Equity Basis Total]] &gt; 0, SnapshotTable[[#This Row],[Equity Basis Per Share]] * SnapshotTable[[#This Row],[Booked Sale Shares]], "")</f>
        <v/>
      </c>
      <c r="GI212" s="31">
        <f>IF(SnapshotTable[[#This Row],[Sale Proceeds]]&gt;0, SnapshotTable[[#This Row],[Sale Proceeds]] - SnapshotTable[[#This Row],[Sale Basis]], 0)</f>
        <v>0</v>
      </c>
      <c r="GJ212" s="27" t="str">
        <f>IF(SnapshotTable[[#This Row],[Sale G/L]]&gt;0, SnapshotTable[[#This Row],[Sale G/L]] / SnapshotTable[[#This Row],[Sale Basis]], IF(ISNUMBER(SnapshotTable[[#This Row],[SC Exercise P&amp;L (TAX)]]), SnapshotTable[[#This Row],[SC Exercise P&amp;L (TAX)]] / SnapshotTable[[#This Row],[SC Basis]], ""))</f>
        <v/>
      </c>
      <c r="GK212" s="27" t="s">
        <v>597</v>
      </c>
      <c r="GL212" s="43" t="str">
        <f>IF(AND(SnapshotTable[[#This Row],[LP Exp Date]]&gt;0,SnapshotTable[[#This Row],[LP Strike Price]]&gt;0), [1]!ToOptionSymbol(SnapshotTable[[#This Row],[Symbol]], SnapshotTable[[#This Row],[LP Strike Price]],SnapshotTable[[#This Row],[LP Exp Date]],1), "")</f>
        <v/>
      </c>
      <c r="GM212" s="30" t="str">
        <f>IF(LEN(SnapshotTable[[#This Row],[LP Symbol]])&gt;0, 1, "")</f>
        <v/>
      </c>
      <c r="GN212" s="43" t="str">
        <f>IF(AND(SnapshotTable[[#This Row],[SP Exp Date]]&gt;0,SnapshotTable[[#This Row],[SP Strike Price]]&gt;0), [1]!ToOptionSymbol(SnapshotTable[[#This Row],[Symbol]], SnapshotTable[[#This Row],[SP Strike Price]],SnapshotTable[[#This Row],[SP Exp Date]],1), "")</f>
        <v/>
      </c>
      <c r="GO212" s="30" t="str">
        <f>IF(LEN(SnapshotTable[[#This Row],[SP Symbol]])&gt;0, 1, "")</f>
        <v/>
      </c>
      <c r="GP212" s="43" t="str">
        <f>IF(AND(SnapshotTable[[#This Row],[LC Exp Date]]&gt;0,SnapshotTable[[#This Row],[LC Strike Price]]&gt;0), [1]!ToOptionSymbol(SnapshotTable[[#This Row],[Symbol]], SnapshotTable[[#This Row],[LC Strike Price]],SnapshotTable[[#This Row],[LC Exp Date]],0), "")</f>
        <v/>
      </c>
      <c r="GQ212" s="30" t="str">
        <f>IF(LEN(SnapshotTable[[#This Row],[LC Symbol]])&gt;0, 1, "")</f>
        <v/>
      </c>
      <c r="GR212" s="43" t="str">
        <f>IF(AND(SnapshotTable[[#This Row],[SC Exp Date]]&gt;0,SnapshotTable[[#This Row],[SC Strike Price]]&gt;0), [1]!ToOptionSymbol(SnapshotTable[[#This Row],[Symbol]], SnapshotTable[[#This Row],[SC Strike Price]],SnapshotTable[[#This Row],[SC Exp Date]],0), "")</f>
        <v/>
      </c>
      <c r="GS212" s="30" t="str">
        <f>IF(LEN(SnapshotTable[[#This Row],[SC Symbol]])&gt;0, 1, "")</f>
        <v/>
      </c>
      <c r="GT212" s="29" t="str">
        <f>IF(COUNT(SnapshotTable[[#This Row],[LP Symbol Count]],SnapshotTable[[#This Row],[SP Symbol Count]],SnapshotTable[[#This Row],[LC Symbol Count]],SnapshotTable[[#This Row],[SC Symbol Count]])&gt;0, "Y", "")</f>
        <v/>
      </c>
      <c r="GU21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2" s="216">
        <f>MAX(SnapshotTable[[#This Row],[Equity Basis Total]],SnapshotTable[[#This Row],[Equity Value]]) + (SnapshotTable[[#This Row],[SP Potential Spend]]- SnapshotTable[[#This Row],[SP Premium]] + SnapshotTable[[#This Row],[LP Premium]])+ (SnapshotTable[[#This Row],[LC Premium]] - SnapshotTable[[#This Row],[SC Premium]])</f>
        <v>0</v>
      </c>
      <c r="GW212" s="137" t="str">
        <f>IF(AND(SnapshotTable[[#This Row],[Exposure]] &lt;&gt; 0),SnapshotTable[[#This Row],[Exposure]] / SnapshotTable[[#Totals],[Exposure]], "")</f>
        <v/>
      </c>
      <c r="HK212" s="1"/>
      <c r="HL212" s="1"/>
      <c r="HM212" s="1"/>
      <c r="HN212" s="1"/>
      <c r="HO212" s="1"/>
      <c r="HP212" s="1"/>
    </row>
    <row r="213" spans="2:224" ht="12.75" hidden="1" customHeight="1" x14ac:dyDescent="0.25">
      <c r="B213" s="12" t="s">
        <v>88</v>
      </c>
      <c r="C213" s="385">
        <v>109.33</v>
      </c>
      <c r="D213" s="200" t="s">
        <v>658</v>
      </c>
      <c r="E213" s="39">
        <f>SnapshotTable[[#This Row],[Last Price]]*(1 -CrashDiscount)</f>
        <v>92.930499999999995</v>
      </c>
      <c r="F213" s="26" t="s">
        <v>87</v>
      </c>
      <c r="G213" s="26" t="s">
        <v>10</v>
      </c>
      <c r="H213" s="147"/>
      <c r="I213" s="186">
        <v>44789.291666666664</v>
      </c>
      <c r="J213" s="187">
        <v>44789.291666666664</v>
      </c>
      <c r="K213" s="188"/>
      <c r="L213" s="297"/>
      <c r="M213" s="138"/>
      <c r="N213" s="138"/>
      <c r="O213" s="138"/>
      <c r="P213" s="22"/>
      <c r="Q213" s="25"/>
      <c r="R213" s="4" t="str">
        <f>IF(SnapshotTable[[#This Row],[Equity Basis Total]] &gt; 0, SnapshotTable[[#This Row],[Equity Basis Total]] / SnapshotTable[[#This Row],[Equity Shares]], "")</f>
        <v/>
      </c>
      <c r="S213" s="254">
        <f>SnapshotTable[[#This Row],[Last Price]] * SnapshotTable[[#This Row],[Equity Shares]]</f>
        <v>0</v>
      </c>
      <c r="T213" s="254">
        <f>SnapshotTable[[#This Row],[Equity Value]] - SnapshotTable[[#This Row],[Equity Basis Total]]</f>
        <v>0</v>
      </c>
      <c r="U213" s="255" t="str">
        <f>IF(SnapshotTable[[#This Row],[Equity Basis Total]] &gt; 0, SnapshotTable[[#This Row],[Equity G/L]] / SnapshotTable[[#This Row],[Equity Basis Total]], "")</f>
        <v/>
      </c>
      <c r="V213" s="253"/>
      <c r="W213" s="253"/>
      <c r="X213" s="4" t="str">
        <f>IF(AND(ISNUMBER(SnapshotTable[[#This Row],[Equity Basis Per Share]]),ISNUMBER(SnapshotTable[[#This Row],[Equity Target]])),SnapshotTable[[#This Row],[Equity Target]]-SnapshotTable[[#This Row],[Equity Basis Per Share]],"")</f>
        <v/>
      </c>
      <c r="Y213" s="4" t="str">
        <f>IF(AND(ISNUMBER(SnapshotTable[[#This Row],[Equity Basis Per Share]]),ISNUMBER(SnapshotTable[[#This Row],[Equity Stop Loss]])),SnapshotTable[[#This Row],[Equity Stop Loss]]-SnapshotTable[[#This Row],[Equity Basis Per Share]],"")</f>
        <v/>
      </c>
      <c r="Z213" s="260" t="str">
        <f>IFERROR( TEXT(SnapshotTable[[#This Row],[Equity Max Gain Per Share]] /ABS( SnapshotTable[[#This Row],[Equity Max Loss Per Share]]),"0.0 " ) &amp; " : 1", "")</f>
        <v/>
      </c>
      <c r="AA213" s="31" t="str">
        <f>IF(ISNUMBER(SnapshotTable[[#This Row],[Equity Max Gain Per Share]]),SnapshotTable[[#This Row],[Equity Max Gain Per Share]] * SnapshotTable[[#This Row],[Equity Shares]],"")</f>
        <v/>
      </c>
      <c r="AB213" s="31" t="str">
        <f>IF(ISNUMBER(SnapshotTable[[#This Row],[Equity Max Loss Per Share]]),SnapshotTable[[#This Row],[Equity Max Loss Per Share]] * SnapshotTable[[#This Row],[Equity Shares]],"")</f>
        <v/>
      </c>
      <c r="AC213" s="148">
        <v>2.2000000000000002</v>
      </c>
      <c r="AD213" s="149">
        <v>44446</v>
      </c>
      <c r="AE213" s="31">
        <f>(SnapshotTable[[#This Row],[Annual Dividend Per Share]] / 4) * SnapshotTable[[#This Row],[Equity Shares]]</f>
        <v>0</v>
      </c>
      <c r="AF213" s="31">
        <f>SnapshotTable[[#This Row],[Quarterly Div $]] * 4</f>
        <v>0</v>
      </c>
      <c r="AG213" s="7">
        <f>IF(SnapshotTable[[#This Row],[Annual Dividend Per Share]]&gt;0, SnapshotTable[[#This Row],[Annual Dividend Per Share]]  / SnapshotTable[[#This Row],[Last Price]], 0)</f>
        <v>2.0122564712338791E-2</v>
      </c>
      <c r="AH213" s="149">
        <v>44420</v>
      </c>
      <c r="AI213" s="5">
        <v>125</v>
      </c>
      <c r="AJ213" s="136">
        <v>163.24</v>
      </c>
      <c r="AK213" s="150">
        <f>IF(ISNUMBER( SnapshotTable[[#This Row],[EBF Target]]),(SnapshotTable[[#This Row],[EBF Target]] - SnapshotTable[[#This Row],[Last Price]]) / SnapshotTable[[#This Row],[Last Price]], "")</f>
        <v>0.14332754047379495</v>
      </c>
      <c r="AL213" s="150" t="str">
        <f>IF(AND(SnapshotTable[[#This Row],[Equity Basis Total]] &gt; 0,ISNUMBER( SnapshotTable[[#This Row],[Long Term Target]])), SnapshotTable[[#This Row],[From Basis $]] / SnapshotTable[[#This Row],[Equity Basis Total]], "")</f>
        <v/>
      </c>
      <c r="AM213" s="9">
        <f>IF( AND(SnapshotTable[[#This Row],[Equity Shares]] &gt;0,ISNUMBER( SnapshotTable[[#This Row],[Long Term Target]])),(SnapshotTable[[#This Row],[Equity Shares]] * SnapshotTable[[#This Row],[Long Term Target]]) - SnapshotTable[[#This Row],[Equity Basis Total]],0)</f>
        <v>0</v>
      </c>
      <c r="AN213" s="9">
        <f>IF( AND(SnapshotTable[[#This Row],[Equity Shares]] &gt;0,ISNUMBER( SnapshotTable[[#This Row],[Long Term Target]])),(SnapshotTable[[#This Row],[Equity Shares]]*SnapshotTable[[#This Row],[Long Term Target]]) - SnapshotTable[[#This Row],[Equity Value]],0)</f>
        <v>0</v>
      </c>
      <c r="AO213" s="150">
        <f>IF(AND(ISNUMBER( SnapshotTable[[#This Row],[Long Term Target]]), ISNUMBER(SnapshotTable[[#This Row],[Last Price]])),(SnapshotTable[[#This Row],[Long Term Target]] - SnapshotTable[[#This Row],[Last Price]]) / SnapshotTable[[#This Row],[Last Price]], "")</f>
        <v>0.49309430165553836</v>
      </c>
      <c r="AP213" s="5">
        <v>145</v>
      </c>
      <c r="AQ213" s="38" t="s">
        <v>22</v>
      </c>
      <c r="AR213" s="5">
        <v>145</v>
      </c>
      <c r="AS213" s="38" t="s">
        <v>15</v>
      </c>
      <c r="AT213" s="144" t="s">
        <v>438</v>
      </c>
      <c r="AU213" s="185" t="str">
        <f>IF(OR(SnapshotTable[[#This Row],[LP No Fill]]="Y",SnapshotTable[[#This Row],[SP Is Filled]],SnapshotTable[[#This Row],[LC Not Filled]]="Y",SnapshotTable[[#This Row],[SC Is Filled]]),"Y","")</f>
        <v/>
      </c>
      <c r="AV213" s="205"/>
      <c r="AW213" s="211"/>
      <c r="AX213" s="206"/>
      <c r="AY213" s="205" t="str">
        <f>IF(SnapshotTable[[#This Row],[Implied Move]]&gt;0, SnapshotTable[[#This Row],[Last Price]]-SnapshotTable[[#This Row],[Implied Move]],"")</f>
        <v/>
      </c>
      <c r="AZ213" s="205" t="str">
        <f>IF(SnapshotTable[[#This Row],[Implied Move]]&gt;0, SnapshotTable[[#This Row],[Last Price]] + SnapshotTable[[#This Row],[Implied Move]],"")</f>
        <v/>
      </c>
      <c r="BA213" s="302">
        <v>140.53</v>
      </c>
      <c r="BB213" s="318"/>
      <c r="BC21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3" s="321"/>
      <c r="BE213" s="5"/>
      <c r="BF213" s="14"/>
      <c r="BG213" s="13"/>
      <c r="BH213" s="13"/>
      <c r="BI213" s="5"/>
      <c r="BJ213" s="134">
        <f>IF(SnapshotTable[[#This Row],[LP Qty]] &gt; 0, SnapshotTable[[#This Row],[LP Qty]] * SnapshotTable[[#This Row],[LP Book Price]] * 100,0)</f>
        <v>0</v>
      </c>
      <c r="BK213" s="134">
        <f>IF(SnapshotTable[[#This Row],[LP Premium]] &gt; 0, SnapshotTable[[#This Row],[LP Qty]] * SnapshotTable[[#This Row],[LP Strike Price]] * 100,0)</f>
        <v>0</v>
      </c>
      <c r="BL213" s="152"/>
      <c r="BM213" s="355" t="str">
        <f>IF(SnapshotTable[[#This Row],[LP Premium]] &gt; 0,SnapshotTable[[#This Row],[LP Exp Date]]-MAX(SnapshotTable[[#This Row],[LP Book Date]], SnapshotTable[[#This Row],[LP Fill Date]]),"")</f>
        <v/>
      </c>
      <c r="BN213" s="355" t="str">
        <f>IF(ISNUMBER( SnapshotTable[[#This Row],[LP Term]]), SnapshotTable[[#This Row],[LP Exp Date]] - MockToday,"")</f>
        <v/>
      </c>
      <c r="BO213" s="161" t="str">
        <f>IF(AND(SnapshotTable[[#This Row],[LP Exp Date]]&gt;0, SnapshotTable[[#This Row],[LP Strike Price]]&gt;0,SnapshotTable[[#This Row],[LP Qty]]&gt;0,SnapshotTable[[#This Row],[LP Book Date]]&gt;0,SnapshotTable[[#This Row],[LP Book Price]]&gt;0,SnapshotTable[[#This Row],[LP Fill Date]]=0),"Y","")</f>
        <v/>
      </c>
      <c r="BP213" s="31" t="str">
        <f>IF(AND(SnapshotTable[[#This Row],[LP No Fill]]&lt;&gt;"Y",SnapshotTable[[#This Row],[LP Contract Value]]&gt;0, SnapshotTable[[#This Row],[LP Qty]]&gt;0), SnapshotTable[[#This Row],[LP Contract Value]]*SnapshotTable[[#This Row],[LP Qty]]*100,"")</f>
        <v/>
      </c>
      <c r="BQ213" s="13"/>
      <c r="BR213" s="5"/>
      <c r="BS213" s="36"/>
      <c r="BT213" s="145"/>
      <c r="BU213" s="13"/>
      <c r="BV213" s="5"/>
      <c r="BW213" s="382" t="b">
        <f>AND(ISNUMBER(SnapshotTable[[#This Row],[SP Exp Date]]), ISNUMBER(SnapshotTable[[#This Row],[SP Strike Price]]), ISNUMBER(SnapshotTable[[#This Row],[SP Qty]]), ISNUMBER(SnapshotTable[[#This Row],[SP Book Date]]), ISNUMBER(SnapshotTable[[#This Row],[SP Book Price]]))</f>
        <v>0</v>
      </c>
      <c r="BX213" s="382" t="b">
        <f>AND(SnapshotTable[[#This Row],[SP Is Booked]], NOT(ISBLANK(SnapshotTable[[#This Row],[SP Fill Date]])))</f>
        <v>0</v>
      </c>
      <c r="BY213" s="33">
        <f>IF(SnapshotTable[[#This Row],[SP Is Booked]], SnapshotTable[[#This Row],[SP Qty]] * SnapshotTable[[#This Row],[SP Book Price]] * 100, 0)</f>
        <v>0</v>
      </c>
      <c r="BZ213" s="339"/>
      <c r="CA213" s="338">
        <f>SnapshotTable[[#This Row],[LP Qty]]</f>
        <v>0</v>
      </c>
      <c r="CB213" s="4" t="str">
        <f>IF(SnapshotTable[[#This Row],[SP Is Booked]], SnapshotTable[[#This Row],[SP Strike Price]] - SnapshotTable[[#This Row],[SP Book Price]], "")</f>
        <v/>
      </c>
      <c r="CC213" s="19" t="str">
        <f>IF(SnapshotTable[[#This Row],[SP Is Booked]],SnapshotTable[[#This Row],[SP Exp Date]]-MAX(SnapshotTable[[#This Row],[SP Book Date]], SnapshotTable[[#This Row],[SP Fill Date]]),"")</f>
        <v/>
      </c>
      <c r="CD213" s="7" t="str">
        <f>IF(SnapshotTable[[#This Row],[SP Is Booked]], SnapshotTable[[#This Row],[SP Book Price]]/SnapshotTable[[#This Row],[SP Strike Price]], "")</f>
        <v/>
      </c>
      <c r="CE213" s="7" t="str">
        <f>IF(ISNUMBER(SnapshotTable[[#This Row],[SP ROO Term]]),SnapshotTable[[#This Row],[SP ROO Term]]*(365/SnapshotTable[[#This Row],[SP Term]]),"")</f>
        <v/>
      </c>
      <c r="CF213" s="221">
        <f>SnapshotTable[[#This Row],[LP Strike Price]] * SnapshotTable[[#This Row],[LP Qty]] * 100</f>
        <v>0</v>
      </c>
      <c r="CG213" s="31">
        <f>IF(ISNUMBER(SnapshotTable[[#This Row],[SP Premium]]), (SnapshotTable[[#This Row],[SP Qty]] * SnapshotTable[[#This Row],[SP Strike Price]]* 100) - SnapshotTable[[#This Row],[LP Protection]], 0)</f>
        <v>0</v>
      </c>
      <c r="CH213" s="7" t="str">
        <f>IF(ISNUMBER(SnapshotTable[[#This Row],[SP Break Even]]),-1 * (SnapshotTable[[#This Row],[SP Break Even]] - SnapshotTable[[#This Row],[Last Price]]) / SnapshotTable[[#This Row],[Last Price]], "")</f>
        <v/>
      </c>
      <c r="CI213" s="31">
        <f>IF(AND(ISNUMBER((SnapshotTable[[#This Row],[SP Potential Spend]])), SnapshotTable[[#This Row],[SP Strike Price]] &gt; SnapshotTable[[#This Row],[Last Price]], SnapshotTable[[#This Row],[SP Is Filled]]), SnapshotTable[[#This Row],[SP Potential Spend]] -  SnapshotTable[[#This Row],[LP Max Value]], 0)</f>
        <v>0</v>
      </c>
      <c r="CJ213" s="229"/>
      <c r="CK213" s="31">
        <f>IF(ISNUMBER(SnapshotTable[[#This Row],[SP Potential Spend]]),IF(ISNUMBER(SnapshotTable[[#This Row],[SP POW]]), SnapshotTable[[#This Row],[SP POW]] * SnapshotTable[[#This Row],[SP Potential Spend]], SnapshotTable[[#This Row],[SP Potential Spend]]), "")</f>
        <v>0</v>
      </c>
      <c r="CL213" s="162">
        <f>IF(NOT(SnapshotTable[[#This Row],[SP Is Filled]]),(SnapshotTable[[#This Row],[SP Qty]] * SnapshotTable[[#This Row],[SP Strike Price]] * 100) - SnapshotTable[[#This Row],[LP Max Value]],"")</f>
        <v>0</v>
      </c>
      <c r="CM213" s="31" t="str">
        <f>IF(SnapshotTable[[#This Row],[SP Actual Spend]]&lt;&gt;0, ((SnapshotTable[[#This Row],[SP Strike Price]]-SnapshotTable[[#This Row],[Last Price]]) *(SnapshotTable[[#This Row],[SP Qty]]*100) - SnapshotTable[[#This Row],[SP Premium]]) * - 1, "")</f>
        <v/>
      </c>
      <c r="CN213" s="76"/>
      <c r="CO213" s="339"/>
      <c r="CP213" s="4" t="str">
        <f>IF(SnapshotTable[[#This Row],[SP Is Filled]], btc_max_buyback_amount(SnapshotTable[[#This Row],[SP Fill Date]],SnapshotTable[[#This Row],[SP Exp Date]], SnapshotTable[[#This Row],[SP Book Price]]),"")</f>
        <v/>
      </c>
      <c r="CQ213" s="76"/>
      <c r="CR21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3" s="153" t="str">
        <f>IF(SnapshotTable[[#This Row],[SP Is Filled]], btc_next_cutoff_date(SnapshotTable[[#This Row],[SP Fill Date]],SnapshotTable[[#This Row],[SP Exp Date]]),"")</f>
        <v/>
      </c>
      <c r="CT213" s="220" t="str" cm="1">
        <f t="array" ref="CT213">IF(SnapshotTable[[#This Row],[SP Is Filled]], btc_should_buy_back(SnapshotTable[[#This Row],[SP Fill Date]], SnapshotTable[[#This Row],[SP Exp Date]], SnapshotTable[[#This Row],[SP Book Price]], SnapshotTable[[#This Row],[SP Current Ask]], MockToday, SnapshotTable[[#This Row],[SP Buyback Override]]),"")</f>
        <v/>
      </c>
      <c r="CU213" s="141"/>
      <c r="CV213" s="220"/>
      <c r="CW213" s="348" t="str">
        <f>IF(ISNUMBER( SnapshotTable[[#This Row],[SP Term]]), SnapshotTable[[#This Row],[SP Exp Date]] - MockToday,"")</f>
        <v/>
      </c>
      <c r="CX213" s="31" t="str">
        <f>IF(SnapshotTable[[#This Row],[SP Is Filled]],SnapshotTable[[#This Row],[SP Buyback Price to Use]] * 100 * SnapshotTable[[#This Row],[SP Qty]], "")</f>
        <v/>
      </c>
      <c r="CY213" s="4" t="str">
        <f>IF(ISNUMBER(SnapshotTable[[#This Row],[SP Strike Price]]), SnapshotTable[[#This Row],[SP Strike Price]] * (1 - SP_MaxLoss_StrikePct), "")</f>
        <v/>
      </c>
      <c r="CZ213" s="31" t="str">
        <f>IF(ISNUMBER(SnapshotTable[[#This Row],[SP Strike  Stop Per Share]]),SnapshotTable[[#This Row],[SP Premium]] - ((SnapshotTable[[#This Row],[SP Strike Price]]-SnapshotTable[[#This Row],[SP Strike  Stop Per Share]]) *(SnapshotTable[[#This Row],[SP Qty]] * 100)),"")</f>
        <v/>
      </c>
      <c r="DA213" s="4" t="str">
        <f>IF(AND(ISNUMBER(SnapshotTable[[#This Row],[SP Premium]]),SnapshotTable[[#This Row],[SP Premium]]&gt;0), SnapshotTable[[#This Row],[SP Book Price]] * (1 + SP_MaxLoss_OptionPct), "")</f>
        <v/>
      </c>
      <c r="DB213" s="31" t="str">
        <f>IF(ISNUMBER(SnapshotTable[[#This Row],[SP Option  Stop Contract]]),(SnapshotTable[[#This Row],[SP Option  Stop Contract]] *(SnapshotTable[[#This Row],[SP Qty]] * 100) - SnapshotTable[[#This Row],[SP Premium]]),"")</f>
        <v/>
      </c>
      <c r="DC213" s="4"/>
      <c r="DD213" s="4"/>
      <c r="DE213" s="4" t="str">
        <f>IF(AND(SnapshotTable[[#This Row],[SP Qty]]&gt;0, SnapshotTable[[#This Row],[SP Stop To Use]]&gt;0),SnapshotTable[[#This Row],[SP Premium]] - ( SnapshotTable[[#This Row],[SP Qty]] * SnapshotTable[[#This Row],[SP Stop To Use]] * 100), "")</f>
        <v/>
      </c>
      <c r="DF213" s="31" t="str">
        <f>IF(AND(SnapshotTable[[#This Row],[SP Qty]]&gt;0,SnapshotTable[[#This Row],[SP Current Ask]]&gt;0), SnapshotTable[[#This Row],[SP Qty]] * SnapshotTable[[#This Row],[SP Current Ask]] * -100, "")</f>
        <v/>
      </c>
      <c r="DG213" s="31" t="str">
        <f>IF(ISNUMBER((SnapshotTable[[#This Row],[SP Total Value]])), SnapshotTable[[#This Row],[SP Premium]] + SnapshotTable[[#This Row],[SP Total Value]], "")</f>
        <v/>
      </c>
      <c r="DH213" s="272" t="str">
        <f>IF(ISNUMBER((SnapshotTable[[#This Row],[SP Total Value]])), SnapshotTable[[#This Row],[SP Gain Loss]] / SnapshotTable[[#This Row],[SP Premium]], "")</f>
        <v/>
      </c>
      <c r="DI213" s="369"/>
      <c r="DJ213" s="136"/>
      <c r="DK213" s="146"/>
      <c r="DL213" s="13"/>
      <c r="DM213" s="13"/>
      <c r="DO213" s="31">
        <f>IF(SnapshotTable[[#This Row],[LC Symbol Count]]=1, SnapshotTable[[#This Row],[LC Qty]] * SnapshotTable[[#This Row],[LC Book Price]] * 100, 0)</f>
        <v>0</v>
      </c>
      <c r="DP213" s="161" t="str">
        <f>IF(AND(SnapshotTable[[#This Row],[LC Exp Date]]&gt;0, SnapshotTable[[#This Row],[LC Strike Price]]&gt;0,SnapshotTable[[#This Row],[LC Qty]]&gt;0,SnapshotTable[[#This Row],[LC Book Date]]&gt;0,SnapshotTable[[#This Row],[LC Book Price]]&gt;0,SnapshotTable[[#This Row],[LC Fill Date]]=0),"Y","")</f>
        <v/>
      </c>
      <c r="DQ213" s="356" t="str">
        <f>IF(SnapshotTable[[#This Row],[LC Premium]] &gt; 0,SnapshotTable[[#This Row],[LC Exp Date]]-MAX(SnapshotTable[[#This Row],[LC Book Date]], SnapshotTable[[#This Row],[LC Fill Date]]),"")</f>
        <v/>
      </c>
      <c r="DR213" s="356" t="str">
        <f>IF(ISNUMBER(SnapshotTable[[#This Row],[LC Term]]), SnapshotTable[[#This Row],[LC Exp Date]] - MockToday, "")</f>
        <v/>
      </c>
      <c r="DS213" s="219" t="str">
        <f>IF(SnapshotTable[[#This Row],[LC Premium]]&gt;0,SnapshotTable[[#This Row],[LC Strike Price]] + SnapshotTable[[#This Row],[LC Book Price]],"")</f>
        <v/>
      </c>
      <c r="DU213" s="9" t="str">
        <f>IF(AND(SnapshotTable[[#This Row],[LC Symbol Count]]&gt;0, SnapshotTable[[#This Row],[LC Contract Value]]&gt;0), SnapshotTable[[#This Row],[LC Contract Value]] * SnapshotTable[[#This Row],[LC Qty]] * 100, "")</f>
        <v/>
      </c>
      <c r="DV213" s="9" t="str">
        <f>IF(AND(ISNUMBER(SnapshotTable[[#This Row],[LC Total Value]]), SnapshotTable[[#This Row],[LC Not Filled]]&lt;&gt;"Y"), SnapshotTable[[#This Row],[LC Total Value]]-SnapshotTable[[#This Row],[LC Premium]],"")</f>
        <v/>
      </c>
      <c r="DW213" s="225" t="str">
        <f>IF(ISNUMBER(SnapshotTable[[#This Row],[LC Actual Gain Loss]]), SnapshotTable[[#This Row],[LC Actual Gain Loss]] / SnapshotTable[[#This Row],[LC Premium]],"")</f>
        <v/>
      </c>
      <c r="DX213" s="269" t="str">
        <f>IF(ISNUMBER(SnapshotTable[[#This Row],[LC Book Price]]),SnapshotTable[[#This Row],[LC Book Price]] * 1.5,"")</f>
        <v/>
      </c>
      <c r="DY213" s="250" t="str">
        <f>IF(SnapshotTable[[#This Row],[LC Premium]]&gt;0, SnapshotTable[[#This Row],[LC Next Target]] * SnapshotTable[[#This Row],[LC Qty]] * 100,"")</f>
        <v/>
      </c>
      <c r="DZ213" s="250" t="str">
        <f>IF(ISNUMBER(SnapshotTable[[#This Row],[LC Target Gross]]), SnapshotTable[[#This Row],[LC Target Gross]] - SnapshotTable[[#This Row],[LC Premium]], "")</f>
        <v/>
      </c>
      <c r="EA213" s="283" t="str">
        <f>IF(ISNUMBER(SnapshotTable[[#This Row],[LC Target Gain Loss]]), SnapshotTable[[#This Row],[LC Target Gain Loss]]/SnapshotTable[[#This Row],[LC Premium]], "")</f>
        <v/>
      </c>
      <c r="EB213" s="247"/>
      <c r="EC213" s="268" t="str">
        <f>IF(SnapshotTable[[#This Row],[LC Premium]]&gt;0, SnapshotTable[[#This Row],[LC Book Price]] * (1 - LC_StopLoss_Pct),"")</f>
        <v/>
      </c>
      <c r="ED213" s="269"/>
      <c r="EE213" s="268" t="str">
        <f>IF(ISNUMBER(SnapshotTable[[#This Row],[LC Contract Value]]),IF(ISNUMBER(SnapshotTable[[#This Row],[LC Stop Loss Override]]), SnapshotTable[[#This Row],[LC Stop Loss Override]],SnapshotTable[[#This Row],[LC Stop Loss Calc Target]]),"")</f>
        <v/>
      </c>
      <c r="EF213" s="31" t="str">
        <f>IF(ISNUMBER(SnapshotTable[[#This Row],[LC Stop  To Use]]), (SnapshotTable[[#This Row],[LC Stop  To Use]] * SnapshotTable[[#This Row],[LC Qty]] * 100),"")</f>
        <v/>
      </c>
      <c r="EG213" s="9" t="str">
        <f>IF(ISNUMBER(SnapshotTable[[#This Row],[LC Total Value]]),SnapshotTable[[#This Row],[LC Stop Loss Amount]] - SnapshotTable[[#This Row],[LC Premium]],"")</f>
        <v/>
      </c>
      <c r="EH213" s="9">
        <f>IF(ISNUMBER(SnapshotTable[[#This Row],[LC Premium]]), SnapshotTable[[#This Row],[LC Qty]] * 100 * SnapshotTable[[#This Row],[LC Strike Price]], "")</f>
        <v>0</v>
      </c>
      <c r="EI213" s="225" t="str">
        <f>IF(AND(ISNUMBER(SnapshotTable[[#This Row],[LC Total Value]]),SnapshotTable[[#This Row],[LC Total Value]]&gt;0),SnapshotTable[[#This Row],[LC Stop Gain Loss]]  / SnapshotTable[[#This Row],[LC Premium]],"")</f>
        <v/>
      </c>
      <c r="EJ213" s="35">
        <f>IF(ISNUMBER(SnapshotTable[[#This Row],[Equity Shares]]),TRUNC(SnapshotTable[[#This Row],[Equity Shares]] / 100),0) + SnapshotTable[[#This Row],[LC Qty]]</f>
        <v>0</v>
      </c>
      <c r="EK213" s="145"/>
      <c r="EL213" s="136"/>
      <c r="EM213" s="146"/>
      <c r="EN213" s="145"/>
      <c r="EO213" s="145"/>
      <c r="EP213" s="136"/>
      <c r="EQ213" s="382" t="b">
        <f>AND(ISNUMBER(SnapshotTable[[#This Row],[SC Exp Date]]), ISNUMBER(SnapshotTable[[#This Row],[SC Strike Price]]), ISNUMBER(SnapshotTable[[#This Row],[SC Qty]]), ISNUMBER(SnapshotTable[[#This Row],[SC Book Date]]), ISNUMBER(SnapshotTable[[#This Row],[SC Book Price]]))</f>
        <v>0</v>
      </c>
      <c r="ER213" s="382" t="b">
        <f>AND(SnapshotTable[[#This Row],[SC Is Booked]], NOT(ISBLANK(SnapshotTable[[#This Row],[SC Fill Date]])))</f>
        <v>0</v>
      </c>
      <c r="ES213" s="340"/>
      <c r="ET213" s="34" t="str">
        <f>IF(AND(ISNUMBER(SnapshotTable[[#This Row],[SC Exp Date]]), ISNUMBER(SnapshotTable[[#This Row],[SC Book Date]])), SnapshotTable[[#This Row],[SC Exp Date]] - MAX(SnapshotTable[[#This Row],[SC Book Date]], SnapshotTable[[#This Row],[SC Fill Date]]) + 1, "")</f>
        <v/>
      </c>
      <c r="EU213" s="34" t="str">
        <f>IF(ISNUMBER(SnapshotTable[[#This Row],[SC Term]]), SnapshotTable[[#This Row],[SC Exp Date]]- MockToday, "")</f>
        <v/>
      </c>
      <c r="EV213" s="31">
        <f>IF(SnapshotTable[[#This Row],[SC Is Booked]], SnapshotTable[[#This Row],[SC Qty]] * SnapshotTable[[#This Row],[SC Book Price]] * 100, 0)</f>
        <v>0</v>
      </c>
      <c r="EW213" s="4" t="str">
        <f>IF(AND(ISNUMBER(SnapshotTable[[#This Row],[Last Price]]), ISNUMBER( SnapshotTable[[#This Row],[SC Book Price]])), SnapshotTable[[#This Row],[Last Price]] - SnapshotTable[[#This Row],[SC Book Price]],"")</f>
        <v/>
      </c>
      <c r="EX213" s="219" t="str">
        <f>IF(SnapshotTable[[#This Row],[SC Is Booked]],IF(SnapshotTable[[#This Row],[SC Intrinsic Value]] &gt; 0, SnapshotTable[[#This Row],[SC Strike Price]], SnapshotTable[[#This Row],[Last Price]]), "")</f>
        <v/>
      </c>
      <c r="EY213" s="4">
        <f>IF(SnapshotTable[[#This Row],[SC Is Booked]], (MinimumPremiumRequired * SnapshotTable[[#This Row],[SC Basis]] * SnapshotTable[[#This Row],[SC Term]]), 0)</f>
        <v>0</v>
      </c>
      <c r="EZ213" s="268"/>
      <c r="FA213" s="204"/>
      <c r="FB213" s="340"/>
      <c r="FC213" s="4">
        <f>IF(SnapshotTable[[#This Row],[SC Is Filled]], btc_max_buyback_amount(SnapshotTable[[#This Row],[SC Fill Date]],SnapshotTable[[#This Row],[SC Exp Date]], SnapshotTable[[#This Row],[SC Book Price]]),0)</f>
        <v>0</v>
      </c>
      <c r="FD213" s="5"/>
      <c r="FE213" s="142" t="str">
        <f>IF(SnapshotTable[[#This Row],[SC Is Filled]], btc_next_cutoff_date(SnapshotTable[[#This Row],[SC Fill Date]],SnapshotTable[[#This Row],[SC Exp Date]]),"")</f>
        <v/>
      </c>
      <c r="FF213" s="4" t="str" cm="1">
        <f t="array" ref="FF213">IF(SnapshotTable[[#This Row],[SC Is Filled]], btc_should_buy_back(SnapshotTable[[#This Row],[SC Fill Date]], SnapshotTable[[#This Row],[SC Exp Date]], SnapshotTable[[#This Row],[SC Book Price]], SnapshotTable[[#This Row],[SC Current Ask]], MockToday, SnapshotTable[[#This Row],[SC Buyback Override]]),"")</f>
        <v/>
      </c>
      <c r="FG213" s="4">
        <f>IF(SnapshotTable[[#This Row],[SC Is Filled]], MAX(0,SnapshotTable[[#This Row],[Last Price]]  - SnapshotTable[[#This Row],[SC Strike Price]]), 0)</f>
        <v>0</v>
      </c>
      <c r="FH213" s="352">
        <f>IF(SnapshotTable[[#This Row],[SC Is Filled]], IF(ISNUMBER(SnapshotTable[[#This Row],[SC Current Ask]]), SnapshotTable[[#This Row],[SC Current Ask]], SnapshotTable[[#This Row],[SC Book Price]]) - SnapshotTable[[#This Row],[SC Intrinsic Value]], 0)</f>
        <v>0</v>
      </c>
      <c r="FI213" s="141"/>
      <c r="FJ213" s="32" t="str">
        <f>IF(SnapshotTable[[#This Row],[SC Is Filled]],100 * SnapshotTable[[#This Row],[SC Qty]] * IF(ISNUMBER(SnapshotTable[[#This Row],[SC Buyback Override]]), SnapshotTable[[#This Row],[SC Buyback Override]], SnapshotTable[[#This Row],[SC Current Ask]]), "")</f>
        <v/>
      </c>
      <c r="FK213" s="235" t="str">
        <f>IF(SnapshotTable[[#This Row],[SC Time Val]]&gt;0, SnapshotTable[[#This Row],[SC Time Val]] / SnapshotTable[[#This Row],[Last Price]],"")</f>
        <v/>
      </c>
      <c r="FL213" s="280" t="str">
        <f>IF(SnapshotTable[[#This Row],[SC Is Booked]], ((SnapshotTable[[#This Row],[Last Price]] -SnapshotTable[[#This Row],[SC Strike Price]]) / SnapshotTable[[#This Row],[Last Price]]) * -1, "")</f>
        <v/>
      </c>
      <c r="FM213" s="155" t="str">
        <f>IF(SnapshotTable[[#This Row],[SC Is Booked]],  (SnapshotTable[[#This Row],[SC Qty]] * 100 * SnapshotTable[[#This Row],[SC Strike Price]]) - SnapshotTable[[#This Row],[SC Current Ask]], "")</f>
        <v/>
      </c>
      <c r="FN21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3" s="31" t="str">
        <f>IF(AND(ISNUMBER(SnapshotTable[[#This Row],[SC Exercise Gross]]), ISNUMBER(SnapshotTable[[#This Row],[Equity Basis Per Share]] )), SnapshotTable[[#This Row],[SC Exercise Gross]] - SnapshotTable[[#This Row],[Equity Basis Total]] +  SnapshotTable[[#This Row],[SC Premium]], "")</f>
        <v/>
      </c>
      <c r="FP213" s="5" t="str">
        <f>IF(ISNUMBER(SnapshotTable[[#This Row],[SC Exercise Gross]]), (SnapshotTable[[#This Row],[SC Exercise Gross]]) / (SnapshotTable[[#This Row],[SC Qty]] * 100), "")</f>
        <v/>
      </c>
      <c r="FQ213" s="27" t="str">
        <f>IF(SnapshotTable[[#This Row],[SC Is Booked]],SnapshotTable[[#This Row],[SC Time Val]] /SnapshotTable[[#This Row],[SC Basis]], "")</f>
        <v/>
      </c>
      <c r="FR213" s="27" t="str" cm="1">
        <f t="array" ref="FR213">IF(AND(ISNUMBER(SnapshotTable[[#This Row],[SC Term]]),ISNUMBER(SnapshotTable[[#This Row],[SC Simple ROO]])), EllmanAnnualize(SnapshotTable[[#This Row],[SC DTE]], SnapshotTable[[#This Row],[SC Simple ROO]] ),"")</f>
        <v/>
      </c>
      <c r="FS213" s="4">
        <f>IF(SnapshotTable[[#This Row],[SC Strike Price]] &gt; SnapshotTable[[#This Row],[Last Price]], SnapshotTable[[#This Row],[SC Strike Price]] - SnapshotTable[[#This Row],[Last Price]],0)</f>
        <v>0</v>
      </c>
      <c r="FT213" s="27" t="str">
        <f>IF(AND(ISNUMBER(SnapshotTable[[#This Row],[SC Upside Potential]]), SnapshotTable[[#This Row],[SC Upside Potential]] &gt; 0),(SnapshotTable[[#This Row],[SC Upside Potential]]/ SnapshotTable[[#This Row],[ACB]]),"")</f>
        <v/>
      </c>
      <c r="FU213" s="304" t="str">
        <f>IF(SnapshotTable[[#This Row],[SC Intrinsic Value]] &gt; 0,SnapshotTable[[#This Row],[SC Intrinsic Value]],"")</f>
        <v/>
      </c>
      <c r="FV213" s="27" t="str">
        <f>IF(AND( ISNUMBER( SnapshotTable[[#This Row],[ACB]]),ISNUMBER(SnapshotTable[[#This Row],[SC Downside Protect]])),SnapshotTable[[#This Row],[SC Downside Protect]] / SnapshotTable[[#This Row],[ACB]],"")</f>
        <v/>
      </c>
      <c r="FW213" s="221" t="str">
        <f>IF(AND(ISNUMBER(SnapshotTable[[#This Row],[SC Simple ROO]]),SnapshotTable[[#This Row],[SC Simple ROO]] &gt; 0), SnapshotTable[[#This Row],[SC Premium]] + (SnapshotTable[[#This Row],[SC Qty]] * SnapshotTable[[#This Row],[SC Upside Potential]]), "")</f>
        <v/>
      </c>
      <c r="FX213" s="280" t="str" cm="1">
        <f t="array" ref="FX213">IF(ISNUMBER(SnapshotTable[[#This Row],[SC Max Dollars]]), annualize(SnapshotTable[[#This Row],[SC Term]],(SnapshotTable[[#This Row],[SC Max Dollars]]/SnapshotTable[[#This Row],[SC Basis]])),"")</f>
        <v/>
      </c>
      <c r="FY213" s="221" t="str">
        <f>IF(AND(SnapshotTable[[#This Row],[SC Qty]]&gt;0,SnapshotTable[[#This Row],[SC Current Ask]]&gt;0), SnapshotTable[[#This Row],[SC Qty]] * SnapshotTable[[#This Row],[SC Current Ask]] * -100, "")</f>
        <v/>
      </c>
      <c r="FZ213" s="31" t="str">
        <f>IF(ISNUMBER((SnapshotTable[[#This Row],[SC Current Value]])), SnapshotTable[[#This Row],[SC Premium]] + SnapshotTable[[#This Row],[SC Current Value]], "")</f>
        <v/>
      </c>
      <c r="GA213" s="272" t="str">
        <f>IFERROR( IF(ISNUMBER((SnapshotTable[[#This Row],[SC Current Value]])), SnapshotTable[[#This Row],[SC Gain Loss]] / SnapshotTable[[#This Row],[SC Premium]], ""), "")</f>
        <v/>
      </c>
      <c r="GB213" s="42">
        <f>SnapshotTable[[#This Row],[Equity Shares]] * SaleSharesToConsiderPercentage</f>
        <v>0</v>
      </c>
      <c r="GC213" s="40">
        <f>SnapshotTable[[#This Row],[Long Term Target]] * SellingPriceToConsiderBasedOnTargetPercentage</f>
        <v>155.078</v>
      </c>
      <c r="GD213" s="40">
        <f>SnapshotTable[[#This Row],[Last Price]] * (1+ SellingPriceToConsiderBasedOnTargetPercentage)</f>
        <v>213.1935</v>
      </c>
      <c r="GE213" s="41"/>
      <c r="GF213" s="40"/>
      <c r="GG213" s="31">
        <f>SnapshotTable[[#This Row],[Booked Sale Shares]] * SnapshotTable[[#This Row],[Booked Sale Price]]</f>
        <v>0</v>
      </c>
      <c r="GH213" s="31" t="str">
        <f>IF(SnapshotTable[[#This Row],[Equity Basis Total]] &gt; 0, SnapshotTable[[#This Row],[Equity Basis Per Share]] * SnapshotTable[[#This Row],[Booked Sale Shares]], "")</f>
        <v/>
      </c>
      <c r="GI213" s="31">
        <f>IF(SnapshotTable[[#This Row],[Sale Proceeds]]&gt;0, SnapshotTable[[#This Row],[Sale Proceeds]] - SnapshotTable[[#This Row],[Sale Basis]], 0)</f>
        <v>0</v>
      </c>
      <c r="GJ213" s="27" t="str">
        <f>IF(SnapshotTable[[#This Row],[Sale G/L]]&gt;0, SnapshotTable[[#This Row],[Sale G/L]] / SnapshotTable[[#This Row],[Sale Basis]], IF(ISNUMBER(SnapshotTable[[#This Row],[SC Exercise P&amp;L (TAX)]]), SnapshotTable[[#This Row],[SC Exercise P&amp;L (TAX)]] / SnapshotTable[[#This Row],[SC Basis]], ""))</f>
        <v/>
      </c>
      <c r="GK213" s="27" t="s">
        <v>807</v>
      </c>
      <c r="GL213" s="43" t="str">
        <f>IF(AND(SnapshotTable[[#This Row],[LP Exp Date]]&gt;0,SnapshotTable[[#This Row],[LP Strike Price]]&gt;0), [1]!ToOptionSymbol(SnapshotTable[[#This Row],[Symbol]], SnapshotTable[[#This Row],[LP Strike Price]],SnapshotTable[[#This Row],[LP Exp Date]],1), "")</f>
        <v/>
      </c>
      <c r="GM213" s="30" t="str">
        <f>IF(LEN(SnapshotTable[[#This Row],[LP Symbol]])&gt;0, 1, "")</f>
        <v/>
      </c>
      <c r="GN213" s="43" t="str">
        <f>IF(AND(SnapshotTable[[#This Row],[SP Exp Date]]&gt;0,SnapshotTable[[#This Row],[SP Strike Price]]&gt;0), [1]!ToOptionSymbol(SnapshotTable[[#This Row],[Symbol]], SnapshotTable[[#This Row],[SP Strike Price]],SnapshotTable[[#This Row],[SP Exp Date]],1), "")</f>
        <v/>
      </c>
      <c r="GO213" s="30" t="str">
        <f>IF(LEN(SnapshotTable[[#This Row],[SP Symbol]])&gt;0, 1, "")</f>
        <v/>
      </c>
      <c r="GP213" s="43" t="str">
        <f>IF(AND(SnapshotTable[[#This Row],[LC Exp Date]]&gt;0,SnapshotTable[[#This Row],[LC Strike Price]]&gt;0), [1]!ToOptionSymbol(SnapshotTable[[#This Row],[Symbol]], SnapshotTable[[#This Row],[LC Strike Price]],SnapshotTable[[#This Row],[LC Exp Date]],0), "")</f>
        <v/>
      </c>
      <c r="GQ213" s="30" t="str">
        <f>IF(LEN(SnapshotTable[[#This Row],[LC Symbol]])&gt;0, 1, "")</f>
        <v/>
      </c>
      <c r="GR213" s="43" t="str">
        <f>IF(AND(SnapshotTable[[#This Row],[SC Exp Date]]&gt;0,SnapshotTable[[#This Row],[SC Strike Price]]&gt;0), [1]!ToOptionSymbol(SnapshotTable[[#This Row],[Symbol]], SnapshotTable[[#This Row],[SC Strike Price]],SnapshotTable[[#This Row],[SC Exp Date]],0), "")</f>
        <v/>
      </c>
      <c r="GS213" s="30" t="str">
        <f>IF(LEN(SnapshotTable[[#This Row],[SC Symbol]])&gt;0, 1, "")</f>
        <v/>
      </c>
      <c r="GT213" s="29" t="str">
        <f>IF(COUNT(SnapshotTable[[#This Row],[LP Symbol Count]],SnapshotTable[[#This Row],[SP Symbol Count]],SnapshotTable[[#This Row],[LC Symbol Count]],SnapshotTable[[#This Row],[SC Symbol Count]])&gt;0, "Y", "")</f>
        <v/>
      </c>
      <c r="GU21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3" s="216">
        <f>MAX(SnapshotTable[[#This Row],[Equity Basis Total]],SnapshotTable[[#This Row],[Equity Value]]) + (SnapshotTable[[#This Row],[SP Potential Spend]]- SnapshotTable[[#This Row],[SP Premium]] + SnapshotTable[[#This Row],[LP Premium]])+ (SnapshotTable[[#This Row],[LC Premium]] - SnapshotTable[[#This Row],[SC Premium]])</f>
        <v>0</v>
      </c>
      <c r="GW213" s="137" t="str">
        <f>IF(AND(SnapshotTable[[#This Row],[Exposure]] &lt;&gt; 0),SnapshotTable[[#This Row],[Exposure]] / SnapshotTable[[#Totals],[Exposure]], "")</f>
        <v/>
      </c>
      <c r="HB213" s="319"/>
      <c r="HK213" s="1"/>
      <c r="HL213" s="1"/>
      <c r="HM213" s="1"/>
      <c r="HN213" s="1"/>
      <c r="HO213" s="1"/>
      <c r="HP213" s="1"/>
    </row>
    <row r="214" spans="2:224" ht="12.75" hidden="1" customHeight="1" x14ac:dyDescent="0.25">
      <c r="B214" s="12" t="s">
        <v>477</v>
      </c>
      <c r="C214" s="385">
        <v>31.66</v>
      </c>
      <c r="D214" s="200" t="s">
        <v>478</v>
      </c>
      <c r="E214" s="39">
        <f>SnapshotTable[[#This Row],[Last Price]]*(1 -CrashDiscount)</f>
        <v>26.910999999999998</v>
      </c>
      <c r="F214" s="26" t="s">
        <v>156</v>
      </c>
      <c r="G214" s="26" t="s">
        <v>7</v>
      </c>
      <c r="H214" s="147"/>
      <c r="I214" s="186">
        <v>44789.291666666664</v>
      </c>
      <c r="J214" s="187">
        <v>44789.291666666664</v>
      </c>
      <c r="K214" s="188"/>
      <c r="L214" s="297"/>
      <c r="M214" s="138"/>
      <c r="N214" s="138"/>
      <c r="O214" s="138"/>
      <c r="P214" s="22"/>
      <c r="Q214" s="25"/>
      <c r="R214" s="4" t="str">
        <f>IF(SnapshotTable[[#This Row],[Equity Basis Total]] &gt; 0, SnapshotTable[[#This Row],[Equity Basis Total]] / SnapshotTable[[#This Row],[Equity Shares]], "")</f>
        <v/>
      </c>
      <c r="S214" s="254">
        <f>SnapshotTable[[#This Row],[Last Price]] * SnapshotTable[[#This Row],[Equity Shares]]</f>
        <v>0</v>
      </c>
      <c r="T214" s="254">
        <f>SnapshotTable[[#This Row],[Equity Value]] - SnapshotTable[[#This Row],[Equity Basis Total]]</f>
        <v>0</v>
      </c>
      <c r="U214" s="255" t="str">
        <f>IF(SnapshotTable[[#This Row],[Equity Basis Total]] &gt; 0, SnapshotTable[[#This Row],[Equity G/L]] / SnapshotTable[[#This Row],[Equity Basis Total]], "")</f>
        <v/>
      </c>
      <c r="V214" s="253"/>
      <c r="W214" s="253"/>
      <c r="X214" s="4" t="str">
        <f>IF(AND(ISNUMBER(SnapshotTable[[#This Row],[Equity Basis Per Share]]),ISNUMBER(SnapshotTable[[#This Row],[Equity Target]])),SnapshotTable[[#This Row],[Equity Target]]-SnapshotTable[[#This Row],[Equity Basis Per Share]],"")</f>
        <v/>
      </c>
      <c r="Y214" s="4" t="str">
        <f>IF(AND(ISNUMBER(SnapshotTable[[#This Row],[Equity Basis Per Share]]),ISNUMBER(SnapshotTable[[#This Row],[Equity Stop Loss]])),SnapshotTable[[#This Row],[Equity Stop Loss]]-SnapshotTable[[#This Row],[Equity Basis Per Share]],"")</f>
        <v/>
      </c>
      <c r="Z214" s="260" t="str">
        <f>IFERROR( TEXT(SnapshotTable[[#This Row],[Equity Max Gain Per Share]] /ABS( SnapshotTable[[#This Row],[Equity Max Loss Per Share]]),"0.0 " ) &amp; " : 1", "")</f>
        <v/>
      </c>
      <c r="AA214" s="31" t="str">
        <f>IF(ISNUMBER(SnapshotTable[[#This Row],[Equity Max Gain Per Share]]),SnapshotTable[[#This Row],[Equity Max Gain Per Share]] * SnapshotTable[[#This Row],[Equity Shares]],"")</f>
        <v/>
      </c>
      <c r="AB214" s="31" t="str">
        <f>IF(ISNUMBER(SnapshotTable[[#This Row],[Equity Max Loss Per Share]]),SnapshotTable[[#This Row],[Equity Max Loss Per Share]] * SnapshotTable[[#This Row],[Equity Shares]],"")</f>
        <v/>
      </c>
      <c r="AC214" s="148"/>
      <c r="AD214" s="149"/>
      <c r="AE214" s="31">
        <f>(SnapshotTable[[#This Row],[Annual Dividend Per Share]] / 4) * SnapshotTable[[#This Row],[Equity Shares]]</f>
        <v>0</v>
      </c>
      <c r="AF214" s="31">
        <f>SnapshotTable[[#This Row],[Quarterly Div $]] * 4</f>
        <v>0</v>
      </c>
      <c r="AG214" s="7">
        <f>IF(SnapshotTable[[#This Row],[Annual Dividend Per Share]]&gt;0, SnapshotTable[[#This Row],[Annual Dividend Per Share]]  / SnapshotTable[[#This Row],[Last Price]], 0)</f>
        <v>0</v>
      </c>
      <c r="AH214" s="149"/>
      <c r="AI214" s="5"/>
      <c r="AJ214" s="136">
        <v>26.2</v>
      </c>
      <c r="AK214" s="150" t="str">
        <f>IF(ISNUMBER( SnapshotTable[[#This Row],[EBF Target]]),(SnapshotTable[[#This Row],[EBF Target]] - SnapshotTable[[#This Row],[Last Price]]) / SnapshotTable[[#This Row],[Last Price]], "")</f>
        <v/>
      </c>
      <c r="AL214" s="150" t="str">
        <f>IF(AND(SnapshotTable[[#This Row],[Equity Basis Total]] &gt; 0,ISNUMBER( SnapshotTable[[#This Row],[Long Term Target]])), SnapshotTable[[#This Row],[From Basis $]] / SnapshotTable[[#This Row],[Equity Basis Total]], "")</f>
        <v/>
      </c>
      <c r="AM214" s="9">
        <f>IF( AND(SnapshotTable[[#This Row],[Equity Shares]] &gt;0,ISNUMBER( SnapshotTable[[#This Row],[Long Term Target]])),(SnapshotTable[[#This Row],[Equity Shares]] * SnapshotTable[[#This Row],[Long Term Target]]) - SnapshotTable[[#This Row],[Equity Basis Total]],0)</f>
        <v>0</v>
      </c>
      <c r="AN214" s="9">
        <f>IF( AND(SnapshotTable[[#This Row],[Equity Shares]] &gt;0,ISNUMBER( SnapshotTable[[#This Row],[Long Term Target]])),(SnapshotTable[[#This Row],[Equity Shares]]*SnapshotTable[[#This Row],[Long Term Target]]) - SnapshotTable[[#This Row],[Equity Value]],0)</f>
        <v>0</v>
      </c>
      <c r="AO214" s="150">
        <f>IF(AND(ISNUMBER( SnapshotTable[[#This Row],[Long Term Target]]), ISNUMBER(SnapshotTable[[#This Row],[Last Price]])),(SnapshotTable[[#This Row],[Long Term Target]] - SnapshotTable[[#This Row],[Last Price]]) / SnapshotTable[[#This Row],[Last Price]], "")</f>
        <v>-0.17245735944409352</v>
      </c>
      <c r="AP214" s="5">
        <v>30</v>
      </c>
      <c r="AQ214" s="38" t="s">
        <v>22</v>
      </c>
      <c r="AR214" s="5">
        <v>30</v>
      </c>
      <c r="AS214" s="38" t="s">
        <v>15</v>
      </c>
      <c r="AT214" s="144" t="s">
        <v>438</v>
      </c>
      <c r="AU214" s="185" t="str">
        <f>IF(OR(SnapshotTable[[#This Row],[LP No Fill]]="Y",SnapshotTable[[#This Row],[SP Is Filled]],SnapshotTable[[#This Row],[LC Not Filled]]="Y",SnapshotTable[[#This Row],[SC Is Filled]]),"Y","")</f>
        <v/>
      </c>
      <c r="AV214" s="205"/>
      <c r="AW214" s="211"/>
      <c r="AX214" s="206"/>
      <c r="AY214" s="205" t="str">
        <f>IF(SnapshotTable[[#This Row],[Implied Move]]&gt;0, SnapshotTable[[#This Row],[Last Price]]-SnapshotTable[[#This Row],[Implied Move]],"")</f>
        <v/>
      </c>
      <c r="AZ214" s="205" t="str">
        <f>IF(SnapshotTable[[#This Row],[Implied Move]]&gt;0, SnapshotTable[[#This Row],[Last Price]] + SnapshotTable[[#This Row],[Implied Move]],"")</f>
        <v/>
      </c>
      <c r="BA214" s="302"/>
      <c r="BB214" s="318"/>
      <c r="BC21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4" s="321"/>
      <c r="BE214" s="5"/>
      <c r="BF214" s="14"/>
      <c r="BG214" s="13"/>
      <c r="BH214" s="13"/>
      <c r="BI214" s="5"/>
      <c r="BJ214" s="134">
        <f>IF(SnapshotTable[[#This Row],[LP Qty]] &gt; 0, SnapshotTable[[#This Row],[LP Qty]] * SnapshotTable[[#This Row],[LP Book Price]] * 100,0)</f>
        <v>0</v>
      </c>
      <c r="BK214" s="134">
        <f>IF(SnapshotTable[[#This Row],[LP Premium]] &gt; 0, SnapshotTable[[#This Row],[LP Qty]] * SnapshotTable[[#This Row],[LP Strike Price]] * 100,0)</f>
        <v>0</v>
      </c>
      <c r="BL214" s="152"/>
      <c r="BM214" s="355" t="str">
        <f>IF(SnapshotTable[[#This Row],[LP Premium]] &gt; 0,SnapshotTable[[#This Row],[LP Exp Date]]-MAX(SnapshotTable[[#This Row],[LP Book Date]], SnapshotTable[[#This Row],[LP Fill Date]]),"")</f>
        <v/>
      </c>
      <c r="BN214" s="355" t="str">
        <f>IF(ISNUMBER( SnapshotTable[[#This Row],[LP Term]]), SnapshotTable[[#This Row],[LP Exp Date]] - MockToday,"")</f>
        <v/>
      </c>
      <c r="BO214" s="161" t="str">
        <f>IF(AND(SnapshotTable[[#This Row],[LP Exp Date]]&gt;0, SnapshotTable[[#This Row],[LP Strike Price]]&gt;0,SnapshotTable[[#This Row],[LP Qty]]&gt;0,SnapshotTable[[#This Row],[LP Book Date]]&gt;0,SnapshotTable[[#This Row],[LP Book Price]]&gt;0,SnapshotTable[[#This Row],[LP Fill Date]]=0),"Y","")</f>
        <v/>
      </c>
      <c r="BP214" s="31" t="str">
        <f>IF(AND(SnapshotTable[[#This Row],[LP No Fill]]&lt;&gt;"Y",SnapshotTable[[#This Row],[LP Contract Value]]&gt;0, SnapshotTable[[#This Row],[LP Qty]]&gt;0), SnapshotTable[[#This Row],[LP Contract Value]]*SnapshotTable[[#This Row],[LP Qty]]*100,"")</f>
        <v/>
      </c>
      <c r="BQ214" s="13"/>
      <c r="BR214" s="5"/>
      <c r="BS214" s="36"/>
      <c r="BT214" s="145"/>
      <c r="BU214" s="13"/>
      <c r="BV214" s="5"/>
      <c r="BW214" s="382" t="b">
        <f>AND(ISNUMBER(SnapshotTable[[#This Row],[SP Exp Date]]), ISNUMBER(SnapshotTable[[#This Row],[SP Strike Price]]), ISNUMBER(SnapshotTable[[#This Row],[SP Qty]]), ISNUMBER(SnapshotTable[[#This Row],[SP Book Date]]), ISNUMBER(SnapshotTable[[#This Row],[SP Book Price]]))</f>
        <v>0</v>
      </c>
      <c r="BX214" s="382" t="b">
        <f>AND(SnapshotTable[[#This Row],[SP Is Booked]], NOT(ISBLANK(SnapshotTable[[#This Row],[SP Fill Date]])))</f>
        <v>0</v>
      </c>
      <c r="BY214" s="33">
        <f>IF(SnapshotTable[[#This Row],[SP Is Booked]], SnapshotTable[[#This Row],[SP Qty]] * SnapshotTable[[#This Row],[SP Book Price]] * 100, 0)</f>
        <v>0</v>
      </c>
      <c r="BZ214" s="339"/>
      <c r="CA214" s="338">
        <f>SnapshotTable[[#This Row],[LP Qty]]</f>
        <v>0</v>
      </c>
      <c r="CB214" s="4" t="str">
        <f>IF(SnapshotTable[[#This Row],[SP Is Booked]], SnapshotTable[[#This Row],[SP Strike Price]] - SnapshotTable[[#This Row],[SP Book Price]], "")</f>
        <v/>
      </c>
      <c r="CC214" s="19" t="str">
        <f>IF(SnapshotTable[[#This Row],[SP Is Booked]],SnapshotTable[[#This Row],[SP Exp Date]]-MAX(SnapshotTable[[#This Row],[SP Book Date]], SnapshotTable[[#This Row],[SP Fill Date]]),"")</f>
        <v/>
      </c>
      <c r="CD214" s="7" t="str">
        <f>IF(SnapshotTable[[#This Row],[SP Is Booked]], SnapshotTable[[#This Row],[SP Book Price]]/SnapshotTable[[#This Row],[SP Strike Price]], "")</f>
        <v/>
      </c>
      <c r="CE214" s="7" t="str">
        <f>IF(ISNUMBER(SnapshotTable[[#This Row],[SP ROO Term]]),SnapshotTable[[#This Row],[SP ROO Term]]*(365/SnapshotTable[[#This Row],[SP Term]]),"")</f>
        <v/>
      </c>
      <c r="CF214" s="221">
        <f>SnapshotTable[[#This Row],[LP Strike Price]] * SnapshotTable[[#This Row],[LP Qty]] * 100</f>
        <v>0</v>
      </c>
      <c r="CG214" s="31">
        <f>IF(ISNUMBER(SnapshotTable[[#This Row],[SP Premium]]), (SnapshotTable[[#This Row],[SP Qty]] * SnapshotTable[[#This Row],[SP Strike Price]]* 100) - SnapshotTable[[#This Row],[LP Protection]], 0)</f>
        <v>0</v>
      </c>
      <c r="CH214" s="7" t="str">
        <f>IF(ISNUMBER(SnapshotTable[[#This Row],[SP Break Even]]),-1 * (SnapshotTable[[#This Row],[SP Break Even]] - SnapshotTable[[#This Row],[Last Price]]) / SnapshotTable[[#This Row],[Last Price]], "")</f>
        <v/>
      </c>
      <c r="CI214" s="31">
        <f>IF(AND(ISNUMBER((SnapshotTable[[#This Row],[SP Potential Spend]])), SnapshotTable[[#This Row],[SP Strike Price]] &gt; SnapshotTable[[#This Row],[Last Price]], SnapshotTable[[#This Row],[SP Is Filled]]), SnapshotTable[[#This Row],[SP Potential Spend]] -  SnapshotTable[[#This Row],[LP Max Value]], 0)</f>
        <v>0</v>
      </c>
      <c r="CJ214" s="229"/>
      <c r="CK214" s="31">
        <f>IF(ISNUMBER(SnapshotTable[[#This Row],[SP Potential Spend]]),IF(ISNUMBER(SnapshotTable[[#This Row],[SP POW]]), SnapshotTable[[#This Row],[SP POW]] * SnapshotTable[[#This Row],[SP Potential Spend]], SnapshotTable[[#This Row],[SP Potential Spend]]), "")</f>
        <v>0</v>
      </c>
      <c r="CL214" s="162">
        <f>IF(NOT(SnapshotTable[[#This Row],[SP Is Filled]]),(SnapshotTable[[#This Row],[SP Qty]] * SnapshotTable[[#This Row],[SP Strike Price]] * 100) - SnapshotTable[[#This Row],[LP Max Value]],"")</f>
        <v>0</v>
      </c>
      <c r="CM214" s="31" t="str">
        <f>IF(SnapshotTable[[#This Row],[SP Actual Spend]]&lt;&gt;0, ((SnapshotTable[[#This Row],[SP Strike Price]]-SnapshotTable[[#This Row],[Last Price]]) *(SnapshotTable[[#This Row],[SP Qty]]*100) - SnapshotTable[[#This Row],[SP Premium]]) * - 1, "")</f>
        <v/>
      </c>
      <c r="CN214" s="204"/>
      <c r="CO214" s="339"/>
      <c r="CP214" s="4" t="str">
        <f>IF(SnapshotTable[[#This Row],[SP Is Filled]], btc_max_buyback_amount(SnapshotTable[[#This Row],[SP Fill Date]],SnapshotTable[[#This Row],[SP Exp Date]], SnapshotTable[[#This Row],[SP Book Price]]),"")</f>
        <v/>
      </c>
      <c r="CQ214" s="76"/>
      <c r="CR21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4" s="153" t="str">
        <f>IF(SnapshotTable[[#This Row],[SP Is Filled]], btc_next_cutoff_date(SnapshotTable[[#This Row],[SP Fill Date]],SnapshotTable[[#This Row],[SP Exp Date]]),"")</f>
        <v/>
      </c>
      <c r="CT214" s="220" t="str" cm="1">
        <f t="array" ref="CT214">IF(SnapshotTable[[#This Row],[SP Is Filled]], btc_should_buy_back(SnapshotTable[[#This Row],[SP Fill Date]], SnapshotTable[[#This Row],[SP Exp Date]], SnapshotTable[[#This Row],[SP Book Price]], SnapshotTable[[#This Row],[SP Current Ask]], MockToday, SnapshotTable[[#This Row],[SP Buyback Override]]),"")</f>
        <v/>
      </c>
      <c r="CU214" s="141"/>
      <c r="CV214" s="220"/>
      <c r="CW214" s="348" t="str">
        <f>IF(ISNUMBER( SnapshotTable[[#This Row],[SP Term]]), SnapshotTable[[#This Row],[SP Exp Date]] - MockToday,"")</f>
        <v/>
      </c>
      <c r="CX214" s="31" t="str">
        <f>IF(SnapshotTable[[#This Row],[SP Is Filled]],SnapshotTable[[#This Row],[SP Buyback Price to Use]] * 100 * SnapshotTable[[#This Row],[SP Qty]], "")</f>
        <v/>
      </c>
      <c r="CY214" s="4" t="str">
        <f>IF(ISNUMBER(SnapshotTable[[#This Row],[SP Strike Price]]), SnapshotTable[[#This Row],[SP Strike Price]] * (1 - SP_MaxLoss_StrikePct), "")</f>
        <v/>
      </c>
      <c r="CZ214" s="31" t="str">
        <f>IF(ISNUMBER(SnapshotTable[[#This Row],[SP Strike  Stop Per Share]]),SnapshotTable[[#This Row],[SP Premium]] - ((SnapshotTable[[#This Row],[SP Strike Price]]-SnapshotTable[[#This Row],[SP Strike  Stop Per Share]]) *(SnapshotTable[[#This Row],[SP Qty]] * 100)),"")</f>
        <v/>
      </c>
      <c r="DA214" s="4" t="str">
        <f>IF(AND(ISNUMBER(SnapshotTable[[#This Row],[SP Premium]]),SnapshotTable[[#This Row],[SP Premium]]&gt;0), SnapshotTable[[#This Row],[SP Book Price]] * (1 + SP_MaxLoss_OptionPct), "")</f>
        <v/>
      </c>
      <c r="DB214" s="31" t="str">
        <f>IF(ISNUMBER(SnapshotTable[[#This Row],[SP Option  Stop Contract]]),(SnapshotTable[[#This Row],[SP Option  Stop Contract]] *(SnapshotTable[[#This Row],[SP Qty]] * 100) - SnapshotTable[[#This Row],[SP Premium]]),"")</f>
        <v/>
      </c>
      <c r="DC214" s="4"/>
      <c r="DD214" s="4"/>
      <c r="DE214" s="4" t="str">
        <f>IF(AND(SnapshotTable[[#This Row],[SP Qty]]&gt;0, SnapshotTable[[#This Row],[SP Stop To Use]]&gt;0),SnapshotTable[[#This Row],[SP Premium]] - ( SnapshotTable[[#This Row],[SP Qty]] * SnapshotTable[[#This Row],[SP Stop To Use]] * 100), "")</f>
        <v/>
      </c>
      <c r="DF214" s="31" t="str">
        <f>IF(AND(SnapshotTable[[#This Row],[SP Qty]]&gt;0,SnapshotTable[[#This Row],[SP Current Ask]]&gt;0), SnapshotTable[[#This Row],[SP Qty]] * SnapshotTable[[#This Row],[SP Current Ask]] * -100, "")</f>
        <v/>
      </c>
      <c r="DG214" s="31" t="str">
        <f>IF(ISNUMBER((SnapshotTable[[#This Row],[SP Total Value]])), SnapshotTable[[#This Row],[SP Premium]] + SnapshotTable[[#This Row],[SP Total Value]], "")</f>
        <v/>
      </c>
      <c r="DH214" s="272" t="str">
        <f>IF(ISNUMBER((SnapshotTable[[#This Row],[SP Total Value]])), SnapshotTable[[#This Row],[SP Gain Loss]] / SnapshotTable[[#This Row],[SP Premium]], "")</f>
        <v/>
      </c>
      <c r="DI214" s="369"/>
      <c r="DJ214" s="136"/>
      <c r="DK214" s="146"/>
      <c r="DL214" s="13"/>
      <c r="DM214" s="13"/>
      <c r="DO214" s="31">
        <f>IF(SnapshotTable[[#This Row],[LC Symbol Count]]=1, SnapshotTable[[#This Row],[LC Qty]] * SnapshotTable[[#This Row],[LC Book Price]] * 100, 0)</f>
        <v>0</v>
      </c>
      <c r="DP214" s="161" t="str">
        <f>IF(AND(SnapshotTable[[#This Row],[LC Exp Date]]&gt;0, SnapshotTable[[#This Row],[LC Strike Price]]&gt;0,SnapshotTable[[#This Row],[LC Qty]]&gt;0,SnapshotTable[[#This Row],[LC Book Date]]&gt;0,SnapshotTable[[#This Row],[LC Book Price]]&gt;0,SnapshotTable[[#This Row],[LC Fill Date]]=0),"Y","")</f>
        <v/>
      </c>
      <c r="DQ214" s="356" t="str">
        <f>IF(SnapshotTable[[#This Row],[LC Premium]] &gt; 0,SnapshotTable[[#This Row],[LC Exp Date]]-MAX(SnapshotTable[[#This Row],[LC Book Date]], SnapshotTable[[#This Row],[LC Fill Date]]),"")</f>
        <v/>
      </c>
      <c r="DR214" s="356" t="str">
        <f>IF(ISNUMBER(SnapshotTable[[#This Row],[LC Term]]), SnapshotTable[[#This Row],[LC Exp Date]] - MockToday, "")</f>
        <v/>
      </c>
      <c r="DS214" s="219" t="str">
        <f>IF(SnapshotTable[[#This Row],[LC Premium]]&gt;0,SnapshotTable[[#This Row],[LC Strike Price]] + SnapshotTable[[#This Row],[LC Book Price]],"")</f>
        <v/>
      </c>
      <c r="DU214" s="9" t="str">
        <f>IF(AND(SnapshotTable[[#This Row],[LC Symbol Count]]&gt;0, SnapshotTable[[#This Row],[LC Contract Value]]&gt;0), SnapshotTable[[#This Row],[LC Contract Value]] * SnapshotTable[[#This Row],[LC Qty]] * 100, "")</f>
        <v/>
      </c>
      <c r="DV214" s="9" t="str">
        <f>IF(AND(ISNUMBER(SnapshotTable[[#This Row],[LC Total Value]]), SnapshotTable[[#This Row],[LC Not Filled]]&lt;&gt;"Y"), SnapshotTable[[#This Row],[LC Total Value]]-SnapshotTable[[#This Row],[LC Premium]],"")</f>
        <v/>
      </c>
      <c r="DW214" s="225" t="str">
        <f>IF(ISNUMBER(SnapshotTable[[#This Row],[LC Actual Gain Loss]]), SnapshotTable[[#This Row],[LC Actual Gain Loss]] / SnapshotTable[[#This Row],[LC Premium]],"")</f>
        <v/>
      </c>
      <c r="DX214" s="269" t="str">
        <f>IF(ISNUMBER(SnapshotTable[[#This Row],[LC Book Price]]),SnapshotTable[[#This Row],[LC Book Price]] * 1.5,"")</f>
        <v/>
      </c>
      <c r="DY214" s="250" t="str">
        <f>IF(SnapshotTable[[#This Row],[LC Premium]]&gt;0, SnapshotTable[[#This Row],[LC Next Target]] * SnapshotTable[[#This Row],[LC Qty]] * 100,"")</f>
        <v/>
      </c>
      <c r="DZ214" s="250" t="str">
        <f>IF(ISNUMBER(SnapshotTable[[#This Row],[LC Target Gross]]), SnapshotTable[[#This Row],[LC Target Gross]] - SnapshotTable[[#This Row],[LC Premium]], "")</f>
        <v/>
      </c>
      <c r="EA214" s="283" t="str">
        <f>IF(ISNUMBER(SnapshotTable[[#This Row],[LC Target Gain Loss]]), SnapshotTable[[#This Row],[LC Target Gain Loss]]/SnapshotTable[[#This Row],[LC Premium]], "")</f>
        <v/>
      </c>
      <c r="EB214" s="247"/>
      <c r="EC214" s="268" t="str">
        <f>IF(SnapshotTable[[#This Row],[LC Premium]]&gt;0, SnapshotTable[[#This Row],[LC Book Price]] * (1 - LC_StopLoss_Pct),"")</f>
        <v/>
      </c>
      <c r="ED214" s="269"/>
      <c r="EE214" s="268" t="str">
        <f>IF(ISNUMBER(SnapshotTable[[#This Row],[LC Contract Value]]),IF(ISNUMBER(SnapshotTable[[#This Row],[LC Stop Loss Override]]), SnapshotTable[[#This Row],[LC Stop Loss Override]],SnapshotTable[[#This Row],[LC Stop Loss Calc Target]]),"")</f>
        <v/>
      </c>
      <c r="EF214" s="31" t="str">
        <f>IF(ISNUMBER(SnapshotTable[[#This Row],[LC Stop  To Use]]), (SnapshotTable[[#This Row],[LC Stop  To Use]] * SnapshotTable[[#This Row],[LC Qty]] * 100),"")</f>
        <v/>
      </c>
      <c r="EG214" s="9" t="str">
        <f>IF(ISNUMBER(SnapshotTable[[#This Row],[LC Total Value]]),SnapshotTable[[#This Row],[LC Stop Loss Amount]] - SnapshotTable[[#This Row],[LC Premium]],"")</f>
        <v/>
      </c>
      <c r="EH214" s="9">
        <f>IF(ISNUMBER(SnapshotTable[[#This Row],[LC Premium]]), SnapshotTable[[#This Row],[LC Qty]] * 100 * SnapshotTable[[#This Row],[LC Strike Price]], "")</f>
        <v>0</v>
      </c>
      <c r="EI214" s="225" t="str">
        <f>IF(AND(ISNUMBER(SnapshotTable[[#This Row],[LC Total Value]]),SnapshotTable[[#This Row],[LC Total Value]]&gt;0),SnapshotTable[[#This Row],[LC Stop Gain Loss]]  / SnapshotTable[[#This Row],[LC Premium]],"")</f>
        <v/>
      </c>
      <c r="EJ214" s="35">
        <f>IF(ISNUMBER(SnapshotTable[[#This Row],[Equity Shares]]),TRUNC(SnapshotTable[[#This Row],[Equity Shares]] / 100),0) + SnapshotTable[[#This Row],[LC Qty]]</f>
        <v>0</v>
      </c>
      <c r="EK214" s="145"/>
      <c r="EL214" s="136"/>
      <c r="EM214" s="146"/>
      <c r="EN214" s="145"/>
      <c r="EO214" s="145"/>
      <c r="EP214" s="136"/>
      <c r="EQ214" s="382" t="b">
        <f>AND(ISNUMBER(SnapshotTable[[#This Row],[SC Exp Date]]), ISNUMBER(SnapshotTable[[#This Row],[SC Strike Price]]), ISNUMBER(SnapshotTable[[#This Row],[SC Qty]]), ISNUMBER(SnapshotTable[[#This Row],[SC Book Date]]), ISNUMBER(SnapshotTable[[#This Row],[SC Book Price]]))</f>
        <v>0</v>
      </c>
      <c r="ER214" s="382" t="b">
        <f>AND(SnapshotTable[[#This Row],[SC Is Booked]], NOT(ISBLANK(SnapshotTable[[#This Row],[SC Fill Date]])))</f>
        <v>0</v>
      </c>
      <c r="ES214" s="340"/>
      <c r="ET214" s="34" t="str">
        <f>IF(AND(ISNUMBER(SnapshotTable[[#This Row],[SC Exp Date]]), ISNUMBER(SnapshotTable[[#This Row],[SC Book Date]])), SnapshotTable[[#This Row],[SC Exp Date]] - MAX(SnapshotTable[[#This Row],[SC Book Date]], SnapshotTable[[#This Row],[SC Fill Date]]) + 1, "")</f>
        <v/>
      </c>
      <c r="EU214" s="34" t="str">
        <f>IF(ISNUMBER(SnapshotTable[[#This Row],[SC Term]]), SnapshotTable[[#This Row],[SC Exp Date]]- MockToday, "")</f>
        <v/>
      </c>
      <c r="EV214" s="31">
        <f>IF(SnapshotTable[[#This Row],[SC Is Booked]], SnapshotTable[[#This Row],[SC Qty]] * SnapshotTable[[#This Row],[SC Book Price]] * 100, 0)</f>
        <v>0</v>
      </c>
      <c r="EW214" s="4" t="str">
        <f>IF(AND(ISNUMBER(SnapshotTable[[#This Row],[Last Price]]), ISNUMBER( SnapshotTable[[#This Row],[SC Book Price]])), SnapshotTable[[#This Row],[Last Price]] - SnapshotTable[[#This Row],[SC Book Price]],"")</f>
        <v/>
      </c>
      <c r="EX214" s="219" t="str">
        <f>IF(SnapshotTable[[#This Row],[SC Is Booked]],IF(SnapshotTable[[#This Row],[SC Intrinsic Value]] &gt; 0, SnapshotTable[[#This Row],[SC Strike Price]], SnapshotTable[[#This Row],[Last Price]]), "")</f>
        <v/>
      </c>
      <c r="EY214" s="4">
        <f>IF(SnapshotTable[[#This Row],[SC Is Booked]], (MinimumPremiumRequired * SnapshotTable[[#This Row],[SC Basis]] * SnapshotTable[[#This Row],[SC Term]]), 0)</f>
        <v>0</v>
      </c>
      <c r="EZ214" s="268"/>
      <c r="FA214" s="204"/>
      <c r="FB214" s="340"/>
      <c r="FC214" s="4">
        <f>IF(SnapshotTable[[#This Row],[SC Is Filled]], btc_max_buyback_amount(SnapshotTable[[#This Row],[SC Fill Date]],SnapshotTable[[#This Row],[SC Exp Date]], SnapshotTable[[#This Row],[SC Book Price]]),0)</f>
        <v>0</v>
      </c>
      <c r="FD214" s="5"/>
      <c r="FE214" s="142" t="str">
        <f>IF(SnapshotTable[[#This Row],[SC Is Filled]], btc_next_cutoff_date(SnapshotTable[[#This Row],[SC Fill Date]],SnapshotTable[[#This Row],[SC Exp Date]]),"")</f>
        <v/>
      </c>
      <c r="FF214" s="4" t="str" cm="1">
        <f t="array" ref="FF214">IF(SnapshotTable[[#This Row],[SC Is Filled]], btc_should_buy_back(SnapshotTable[[#This Row],[SC Fill Date]], SnapshotTable[[#This Row],[SC Exp Date]], SnapshotTable[[#This Row],[SC Book Price]], SnapshotTable[[#This Row],[SC Current Ask]], MockToday, SnapshotTable[[#This Row],[SC Buyback Override]]),"")</f>
        <v/>
      </c>
      <c r="FG214" s="4">
        <f>IF(SnapshotTable[[#This Row],[SC Is Filled]], MAX(0,SnapshotTable[[#This Row],[Last Price]]  - SnapshotTable[[#This Row],[SC Strike Price]]), 0)</f>
        <v>0</v>
      </c>
      <c r="FH214" s="352">
        <f>IF(SnapshotTable[[#This Row],[SC Is Filled]], IF(ISNUMBER(SnapshotTable[[#This Row],[SC Current Ask]]), SnapshotTable[[#This Row],[SC Current Ask]], SnapshotTable[[#This Row],[SC Book Price]]) - SnapshotTable[[#This Row],[SC Intrinsic Value]], 0)</f>
        <v>0</v>
      </c>
      <c r="FI214" s="141"/>
      <c r="FJ214" s="32" t="str">
        <f>IF(SnapshotTable[[#This Row],[SC Is Filled]],100 * SnapshotTable[[#This Row],[SC Qty]] * IF(ISNUMBER(SnapshotTable[[#This Row],[SC Buyback Override]]), SnapshotTable[[#This Row],[SC Buyback Override]], SnapshotTable[[#This Row],[SC Current Ask]]), "")</f>
        <v/>
      </c>
      <c r="FK214" s="235" t="str">
        <f>IF(SnapshotTable[[#This Row],[SC Time Val]]&gt;0, SnapshotTable[[#This Row],[SC Time Val]] / SnapshotTable[[#This Row],[Last Price]],"")</f>
        <v/>
      </c>
      <c r="FL214" s="280" t="str">
        <f>IF(SnapshotTable[[#This Row],[SC Is Booked]], ((SnapshotTable[[#This Row],[Last Price]] -SnapshotTable[[#This Row],[SC Strike Price]]) / SnapshotTable[[#This Row],[Last Price]]) * -1, "")</f>
        <v/>
      </c>
      <c r="FM214" s="155" t="str">
        <f>IF(SnapshotTable[[#This Row],[SC Is Booked]],  (SnapshotTable[[#This Row],[SC Qty]] * 100 * SnapshotTable[[#This Row],[SC Strike Price]]) - SnapshotTable[[#This Row],[SC Current Ask]], "")</f>
        <v/>
      </c>
      <c r="FN21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4" s="31" t="str">
        <f>IF(AND(ISNUMBER(SnapshotTable[[#This Row],[SC Exercise Gross]]), ISNUMBER(SnapshotTable[[#This Row],[Equity Basis Per Share]] )), SnapshotTable[[#This Row],[SC Exercise Gross]] - SnapshotTable[[#This Row],[Equity Basis Total]] +  SnapshotTable[[#This Row],[SC Premium]], "")</f>
        <v/>
      </c>
      <c r="FP214" s="5" t="str">
        <f>IF(ISNUMBER(SnapshotTable[[#This Row],[SC Exercise Gross]]), (SnapshotTable[[#This Row],[SC Exercise Gross]]) / (SnapshotTable[[#This Row],[SC Qty]] * 100), "")</f>
        <v/>
      </c>
      <c r="FQ214" s="27" t="str">
        <f>IF(SnapshotTable[[#This Row],[SC Is Booked]],SnapshotTable[[#This Row],[SC Time Val]] /SnapshotTable[[#This Row],[SC Basis]], "")</f>
        <v/>
      </c>
      <c r="FR214" s="27" t="str" cm="1">
        <f t="array" ref="FR214">IF(AND(ISNUMBER(SnapshotTable[[#This Row],[SC Term]]),ISNUMBER(SnapshotTable[[#This Row],[SC Simple ROO]])), EllmanAnnualize(SnapshotTable[[#This Row],[SC DTE]], SnapshotTable[[#This Row],[SC Simple ROO]] ),"")</f>
        <v/>
      </c>
      <c r="FS214" s="4">
        <f>IF(SnapshotTable[[#This Row],[SC Strike Price]] &gt; SnapshotTable[[#This Row],[Last Price]], SnapshotTable[[#This Row],[SC Strike Price]] - SnapshotTable[[#This Row],[Last Price]],0)</f>
        <v>0</v>
      </c>
      <c r="FT214" s="27" t="str">
        <f>IF(AND(ISNUMBER(SnapshotTable[[#This Row],[SC Upside Potential]]), SnapshotTable[[#This Row],[SC Upside Potential]] &gt; 0),(SnapshotTable[[#This Row],[SC Upside Potential]]/ SnapshotTable[[#This Row],[ACB]]),"")</f>
        <v/>
      </c>
      <c r="FU214" s="304" t="str">
        <f>IF(SnapshotTable[[#This Row],[SC Intrinsic Value]] &gt; 0,SnapshotTable[[#This Row],[SC Intrinsic Value]],"")</f>
        <v/>
      </c>
      <c r="FV214" s="27" t="str">
        <f>IF(AND( ISNUMBER( SnapshotTable[[#This Row],[ACB]]),ISNUMBER(SnapshotTable[[#This Row],[SC Downside Protect]])),SnapshotTable[[#This Row],[SC Downside Protect]] / SnapshotTable[[#This Row],[ACB]],"")</f>
        <v/>
      </c>
      <c r="FW214" s="221" t="str">
        <f>IF(AND(ISNUMBER(SnapshotTable[[#This Row],[SC Simple ROO]]),SnapshotTable[[#This Row],[SC Simple ROO]] &gt; 0), SnapshotTable[[#This Row],[SC Premium]] + (SnapshotTable[[#This Row],[SC Qty]] * SnapshotTable[[#This Row],[SC Upside Potential]]), "")</f>
        <v/>
      </c>
      <c r="FX214" s="280" t="str" cm="1">
        <f t="array" ref="FX214">IF(ISNUMBER(SnapshotTable[[#This Row],[SC Max Dollars]]), annualize(SnapshotTable[[#This Row],[SC Term]],(SnapshotTable[[#This Row],[SC Max Dollars]]/SnapshotTable[[#This Row],[SC Basis]])),"")</f>
        <v/>
      </c>
      <c r="FY214" s="221" t="str">
        <f>IF(AND(SnapshotTable[[#This Row],[SC Qty]]&gt;0,SnapshotTable[[#This Row],[SC Current Ask]]&gt;0), SnapshotTable[[#This Row],[SC Qty]] * SnapshotTable[[#This Row],[SC Current Ask]] * -100, "")</f>
        <v/>
      </c>
      <c r="FZ214" s="31" t="str">
        <f>IF(ISNUMBER((SnapshotTable[[#This Row],[SC Current Value]])), SnapshotTable[[#This Row],[SC Premium]] + SnapshotTable[[#This Row],[SC Current Value]], "")</f>
        <v/>
      </c>
      <c r="GA214" s="272" t="str">
        <f>IFERROR( IF(ISNUMBER((SnapshotTable[[#This Row],[SC Current Value]])), SnapshotTable[[#This Row],[SC Gain Loss]] / SnapshotTable[[#This Row],[SC Premium]], ""), "")</f>
        <v/>
      </c>
      <c r="GB214" s="42">
        <f>SnapshotTable[[#This Row],[Equity Shares]] * SaleSharesToConsiderPercentage</f>
        <v>0</v>
      </c>
      <c r="GC214" s="40">
        <f>SnapshotTable[[#This Row],[Long Term Target]] * SellingPriceToConsiderBasedOnTargetPercentage</f>
        <v>24.889999999999997</v>
      </c>
      <c r="GD214" s="40">
        <f>SnapshotTable[[#This Row],[Last Price]] * (1+ SellingPriceToConsiderBasedOnTargetPercentage)</f>
        <v>61.737000000000002</v>
      </c>
      <c r="GE214" s="41"/>
      <c r="GF214" s="40"/>
      <c r="GG214" s="31">
        <f>SnapshotTable[[#This Row],[Booked Sale Shares]] * SnapshotTable[[#This Row],[Booked Sale Price]]</f>
        <v>0</v>
      </c>
      <c r="GH214" s="31" t="str">
        <f>IF(SnapshotTable[[#This Row],[Equity Basis Total]] &gt; 0, SnapshotTable[[#This Row],[Equity Basis Per Share]] * SnapshotTable[[#This Row],[Booked Sale Shares]], "")</f>
        <v/>
      </c>
      <c r="GI214" s="31">
        <f>IF(SnapshotTable[[#This Row],[Sale Proceeds]]&gt;0, SnapshotTable[[#This Row],[Sale Proceeds]] - SnapshotTable[[#This Row],[Sale Basis]], 0)</f>
        <v>0</v>
      </c>
      <c r="GJ214" s="27" t="str">
        <f>IF(SnapshotTable[[#This Row],[Sale G/L]]&gt;0, SnapshotTable[[#This Row],[Sale G/L]] / SnapshotTable[[#This Row],[Sale Basis]], IF(ISNUMBER(SnapshotTable[[#This Row],[SC Exercise P&amp;L (TAX)]]), SnapshotTable[[#This Row],[SC Exercise P&amp;L (TAX)]] / SnapshotTable[[#This Row],[SC Basis]], ""))</f>
        <v/>
      </c>
      <c r="GK214" s="27" t="s">
        <v>607</v>
      </c>
      <c r="GL214" s="43" t="str">
        <f>IF(AND(SnapshotTable[[#This Row],[LP Exp Date]]&gt;0,SnapshotTable[[#This Row],[LP Strike Price]]&gt;0), [1]!ToOptionSymbol(SnapshotTable[[#This Row],[Symbol]], SnapshotTable[[#This Row],[LP Strike Price]],SnapshotTable[[#This Row],[LP Exp Date]],1), "")</f>
        <v/>
      </c>
      <c r="GM214" s="30" t="str">
        <f>IF(LEN(SnapshotTable[[#This Row],[LP Symbol]])&gt;0, 1, "")</f>
        <v/>
      </c>
      <c r="GN214" s="43" t="str">
        <f>IF(AND(SnapshotTable[[#This Row],[SP Exp Date]]&gt;0,SnapshotTable[[#This Row],[SP Strike Price]]&gt;0), [1]!ToOptionSymbol(SnapshotTable[[#This Row],[Symbol]], SnapshotTable[[#This Row],[SP Strike Price]],SnapshotTable[[#This Row],[SP Exp Date]],1), "")</f>
        <v/>
      </c>
      <c r="GO214" s="30" t="str">
        <f>IF(LEN(SnapshotTable[[#This Row],[SP Symbol]])&gt;0, 1, "")</f>
        <v/>
      </c>
      <c r="GP214" s="43" t="str">
        <f>IF(AND(SnapshotTable[[#This Row],[LC Exp Date]]&gt;0,SnapshotTable[[#This Row],[LC Strike Price]]&gt;0), [1]!ToOptionSymbol(SnapshotTable[[#This Row],[Symbol]], SnapshotTable[[#This Row],[LC Strike Price]],SnapshotTable[[#This Row],[LC Exp Date]],0), "")</f>
        <v/>
      </c>
      <c r="GQ214" s="30" t="str">
        <f>IF(LEN(SnapshotTable[[#This Row],[LC Symbol]])&gt;0, 1, "")</f>
        <v/>
      </c>
      <c r="GR214" s="43" t="str">
        <f>IF(AND(SnapshotTable[[#This Row],[SC Exp Date]]&gt;0,SnapshotTable[[#This Row],[SC Strike Price]]&gt;0), [1]!ToOptionSymbol(SnapshotTable[[#This Row],[Symbol]], SnapshotTable[[#This Row],[SC Strike Price]],SnapshotTable[[#This Row],[SC Exp Date]],0), "")</f>
        <v/>
      </c>
      <c r="GS214" s="30" t="str">
        <f>IF(LEN(SnapshotTable[[#This Row],[SC Symbol]])&gt;0, 1, "")</f>
        <v/>
      </c>
      <c r="GT214" s="29" t="str">
        <f>IF(COUNT(SnapshotTable[[#This Row],[LP Symbol Count]],SnapshotTable[[#This Row],[SP Symbol Count]],SnapshotTable[[#This Row],[LC Symbol Count]],SnapshotTable[[#This Row],[SC Symbol Count]])&gt;0, "Y", "")</f>
        <v/>
      </c>
      <c r="GU21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4" s="216">
        <f>MAX(SnapshotTable[[#This Row],[Equity Basis Total]],SnapshotTable[[#This Row],[Equity Value]]) + (SnapshotTable[[#This Row],[SP Potential Spend]]- SnapshotTable[[#This Row],[SP Premium]] + SnapshotTable[[#This Row],[LP Premium]])+ (SnapshotTable[[#This Row],[LC Premium]] - SnapshotTable[[#This Row],[SC Premium]])</f>
        <v>0</v>
      </c>
      <c r="GW214" s="137" t="str">
        <f>IF(AND(SnapshotTable[[#This Row],[Exposure]] &lt;&gt; 0),SnapshotTable[[#This Row],[Exposure]] / SnapshotTable[[#Totals],[Exposure]], "")</f>
        <v/>
      </c>
      <c r="HK214" s="1"/>
      <c r="HL214" s="1"/>
      <c r="HM214" s="1"/>
      <c r="HN214" s="1"/>
      <c r="HO214" s="1"/>
      <c r="HP214" s="1"/>
    </row>
    <row r="215" spans="2:224" ht="12.75" hidden="1" customHeight="1" x14ac:dyDescent="0.25">
      <c r="B215" s="12" t="s">
        <v>760</v>
      </c>
      <c r="C215" s="385">
        <v>111.36</v>
      </c>
      <c r="D215" s="200" t="s">
        <v>474</v>
      </c>
      <c r="E215" s="39">
        <f>SnapshotTable[[#This Row],[Last Price]]*(1 -CrashDiscount)</f>
        <v>94.655999999999992</v>
      </c>
      <c r="F215" s="26" t="s">
        <v>445</v>
      </c>
      <c r="G215" s="26" t="s">
        <v>24</v>
      </c>
      <c r="H215" s="147"/>
      <c r="I215" s="186">
        <v>44868.715277777781</v>
      </c>
      <c r="J215" s="187">
        <v>44868.715277777781</v>
      </c>
      <c r="K215" s="188" t="s">
        <v>3</v>
      </c>
      <c r="L215" s="297"/>
      <c r="M215" s="138"/>
      <c r="N215" s="138"/>
      <c r="O215" s="138"/>
      <c r="P215" s="22"/>
      <c r="Q215" s="25"/>
      <c r="R215" s="4" t="str">
        <f>IF(SnapshotTable[[#This Row],[Equity Basis Total]] &gt; 0, SnapshotTable[[#This Row],[Equity Basis Total]] / SnapshotTable[[#This Row],[Equity Shares]], "")</f>
        <v/>
      </c>
      <c r="S215" s="254">
        <f>SnapshotTable[[#This Row],[Last Price]] * SnapshotTable[[#This Row],[Equity Shares]]</f>
        <v>0</v>
      </c>
      <c r="T215" s="254">
        <f>SnapshotTable[[#This Row],[Equity Value]] - SnapshotTable[[#This Row],[Equity Basis Total]]</f>
        <v>0</v>
      </c>
      <c r="U215" s="255" t="str">
        <f>IF(SnapshotTable[[#This Row],[Equity Basis Total]] &gt; 0, SnapshotTable[[#This Row],[Equity G/L]] / SnapshotTable[[#This Row],[Equity Basis Total]], "")</f>
        <v/>
      </c>
      <c r="V215" s="253"/>
      <c r="W215" s="253"/>
      <c r="X215" s="4" t="str">
        <f>IF(AND(ISNUMBER(SnapshotTable[[#This Row],[Equity Basis Per Share]]),ISNUMBER(SnapshotTable[[#This Row],[Equity Target]])),SnapshotTable[[#This Row],[Equity Target]]-SnapshotTable[[#This Row],[Equity Basis Per Share]],"")</f>
        <v/>
      </c>
      <c r="Y215" s="4" t="str">
        <f>IF(AND(ISNUMBER(SnapshotTable[[#This Row],[Equity Basis Per Share]]),ISNUMBER(SnapshotTable[[#This Row],[Equity Stop Loss]])),SnapshotTable[[#This Row],[Equity Stop Loss]]-SnapshotTable[[#This Row],[Equity Basis Per Share]],"")</f>
        <v/>
      </c>
      <c r="Z215" s="260" t="str">
        <f>IFERROR( TEXT(SnapshotTable[[#This Row],[Equity Max Gain Per Share]] /ABS( SnapshotTable[[#This Row],[Equity Max Loss Per Share]]),"0.0 " ) &amp; " : 1", "")</f>
        <v/>
      </c>
      <c r="AA215" s="31" t="str">
        <f>IF(ISNUMBER(SnapshotTable[[#This Row],[Equity Max Gain Per Share]]),SnapshotTable[[#This Row],[Equity Max Gain Per Share]] * SnapshotTable[[#This Row],[Equity Shares]],"")</f>
        <v/>
      </c>
      <c r="AB215" s="31" t="str">
        <f>IF(ISNUMBER(SnapshotTable[[#This Row],[Equity Max Loss Per Share]]),SnapshotTable[[#This Row],[Equity Max Loss Per Share]] * SnapshotTable[[#This Row],[Equity Shares]],"")</f>
        <v/>
      </c>
      <c r="AC215" s="148"/>
      <c r="AD215" s="149"/>
      <c r="AE215" s="31">
        <f>(SnapshotTable[[#This Row],[Annual Dividend Per Share]] / 4) * SnapshotTable[[#This Row],[Equity Shares]]</f>
        <v>0</v>
      </c>
      <c r="AF215" s="31">
        <f>SnapshotTable[[#This Row],[Quarterly Div $]] * 4</f>
        <v>0</v>
      </c>
      <c r="AG215" s="7">
        <f>IF(SnapshotTable[[#This Row],[Annual Dividend Per Share]]&gt;0, SnapshotTable[[#This Row],[Annual Dividend Per Share]]  / SnapshotTable[[#This Row],[Last Price]], 0)</f>
        <v>0</v>
      </c>
      <c r="AH215" s="149"/>
      <c r="AI215" s="5"/>
      <c r="AJ215" s="136">
        <v>60.45</v>
      </c>
      <c r="AK215" s="150" t="str">
        <f>IF(ISNUMBER( SnapshotTable[[#This Row],[EBF Target]]),(SnapshotTable[[#This Row],[EBF Target]] - SnapshotTable[[#This Row],[Last Price]]) / SnapshotTable[[#This Row],[Last Price]], "")</f>
        <v/>
      </c>
      <c r="AL215" s="150" t="str">
        <f>IF(AND(SnapshotTable[[#This Row],[Equity Basis Total]] &gt; 0,ISNUMBER( SnapshotTable[[#This Row],[Long Term Target]])), SnapshotTable[[#This Row],[From Basis $]] / SnapshotTable[[#This Row],[Equity Basis Total]], "")</f>
        <v/>
      </c>
      <c r="AM215" s="9">
        <f>IF( AND(SnapshotTable[[#This Row],[Equity Shares]] &gt;0,ISNUMBER( SnapshotTable[[#This Row],[Long Term Target]])),(SnapshotTable[[#This Row],[Equity Shares]] * SnapshotTable[[#This Row],[Long Term Target]]) - SnapshotTable[[#This Row],[Equity Basis Total]],0)</f>
        <v>0</v>
      </c>
      <c r="AN215" s="9">
        <f>IF( AND(SnapshotTable[[#This Row],[Equity Shares]] &gt;0,ISNUMBER( SnapshotTable[[#This Row],[Long Term Target]])),(SnapshotTable[[#This Row],[Equity Shares]]*SnapshotTable[[#This Row],[Long Term Target]]) - SnapshotTable[[#This Row],[Equity Value]],0)</f>
        <v>0</v>
      </c>
      <c r="AO215" s="150">
        <f>IF(AND(ISNUMBER( SnapshotTable[[#This Row],[Long Term Target]]), ISNUMBER(SnapshotTable[[#This Row],[Last Price]])),(SnapshotTable[[#This Row],[Long Term Target]] - SnapshotTable[[#This Row],[Last Price]]) / SnapshotTable[[#This Row],[Last Price]], "")</f>
        <v>-0.45716594827586204</v>
      </c>
      <c r="AP215" s="5">
        <v>31</v>
      </c>
      <c r="AQ215" s="38" t="s">
        <v>16</v>
      </c>
      <c r="AR215" s="5">
        <v>31</v>
      </c>
      <c r="AS215" s="38" t="s">
        <v>22</v>
      </c>
      <c r="AT215" s="144" t="s">
        <v>442</v>
      </c>
      <c r="AU215" s="185" t="str">
        <f>IF(OR(SnapshotTable[[#This Row],[LP No Fill]]="Y",SnapshotTable[[#This Row],[SP Is Filled]],SnapshotTable[[#This Row],[LC Not Filled]]="Y",SnapshotTable[[#This Row],[SC Is Filled]]),"Y","")</f>
        <v/>
      </c>
      <c r="AV215" s="205"/>
      <c r="AW215" s="211"/>
      <c r="AX215" s="206"/>
      <c r="AY215" s="205" t="str">
        <f>IF(SnapshotTable[[#This Row],[Implied Move]]&gt;0, SnapshotTable[[#This Row],[Last Price]]-SnapshotTable[[#This Row],[Implied Move]],"")</f>
        <v/>
      </c>
      <c r="AZ215" s="205" t="str">
        <f>IF(SnapshotTable[[#This Row],[Implied Move]]&gt;0, SnapshotTable[[#This Row],[Last Price]] + SnapshotTable[[#This Row],[Implied Move]],"")</f>
        <v/>
      </c>
      <c r="BA215" s="302">
        <v>30.4</v>
      </c>
      <c r="BB215" s="318"/>
      <c r="BC21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5" s="321"/>
      <c r="BE215" s="136"/>
      <c r="BF215" s="164"/>
      <c r="BG215" s="165"/>
      <c r="BH215" s="165"/>
      <c r="BI215" s="207"/>
      <c r="BJ215" s="151">
        <f>IF(SnapshotTable[[#This Row],[LP Qty]] &gt; 0, SnapshotTable[[#This Row],[LP Qty]] * SnapshotTable[[#This Row],[LP Book Price]] * 100,0)</f>
        <v>0</v>
      </c>
      <c r="BK215" s="134">
        <f>IF(SnapshotTable[[#This Row],[LP Premium]] &gt; 0, SnapshotTable[[#This Row],[LP Qty]] * SnapshotTable[[#This Row],[LP Strike Price]] * 100,0)</f>
        <v>0</v>
      </c>
      <c r="BL215" s="152"/>
      <c r="BM215" s="355" t="str">
        <f>IF(SnapshotTable[[#This Row],[LP Premium]] &gt; 0,SnapshotTable[[#This Row],[LP Exp Date]]-MAX(SnapshotTable[[#This Row],[LP Book Date]], SnapshotTable[[#This Row],[LP Fill Date]]),"")</f>
        <v/>
      </c>
      <c r="BN215" s="355" t="str">
        <f>IF(ISNUMBER( SnapshotTable[[#This Row],[LP Term]]), SnapshotTable[[#This Row],[LP Exp Date]] - MockToday,"")</f>
        <v/>
      </c>
      <c r="BO215" s="161" t="str">
        <f>IF(AND(SnapshotTable[[#This Row],[LP Exp Date]]&gt;0, SnapshotTable[[#This Row],[LP Strike Price]]&gt;0,SnapshotTable[[#This Row],[LP Qty]]&gt;0,SnapshotTable[[#This Row],[LP Book Date]]&gt;0,SnapshotTable[[#This Row],[LP Book Price]]&gt;0,SnapshotTable[[#This Row],[LP Fill Date]]=0),"Y","")</f>
        <v/>
      </c>
      <c r="BP215" s="31" t="str">
        <f>IF(AND(SnapshotTable[[#This Row],[LP No Fill]]&lt;&gt;"Y",SnapshotTable[[#This Row],[LP Contract Value]]&gt;0, SnapshotTable[[#This Row],[LP Qty]]&gt;0), SnapshotTable[[#This Row],[LP Contract Value]]*SnapshotTable[[#This Row],[LP Qty]]*100,"")</f>
        <v/>
      </c>
      <c r="BQ215" s="13"/>
      <c r="BR215" s="5"/>
      <c r="BS215" s="36"/>
      <c r="BT215" s="145"/>
      <c r="BU215" s="13"/>
      <c r="BV215" s="5"/>
      <c r="BW215" s="382" t="b">
        <f>AND(ISNUMBER(SnapshotTable[[#This Row],[SP Exp Date]]), ISNUMBER(SnapshotTable[[#This Row],[SP Strike Price]]), ISNUMBER(SnapshotTable[[#This Row],[SP Qty]]), ISNUMBER(SnapshotTable[[#This Row],[SP Book Date]]), ISNUMBER(SnapshotTable[[#This Row],[SP Book Price]]))</f>
        <v>0</v>
      </c>
      <c r="BX215" s="382" t="b">
        <f>AND(SnapshotTable[[#This Row],[SP Is Booked]], NOT(ISBLANK(SnapshotTable[[#This Row],[SP Fill Date]])))</f>
        <v>0</v>
      </c>
      <c r="BY215" s="33">
        <f>IF(SnapshotTable[[#This Row],[SP Is Booked]], SnapshotTable[[#This Row],[SP Qty]] * SnapshotTable[[#This Row],[SP Book Price]] * 100, 0)</f>
        <v>0</v>
      </c>
      <c r="BZ215" s="339"/>
      <c r="CA215" s="338">
        <f>SnapshotTable[[#This Row],[LP Qty]]</f>
        <v>0</v>
      </c>
      <c r="CB215" s="4" t="str">
        <f>IF(SnapshotTable[[#This Row],[SP Is Booked]], SnapshotTable[[#This Row],[SP Strike Price]] - SnapshotTable[[#This Row],[SP Book Price]], "")</f>
        <v/>
      </c>
      <c r="CC215" s="19" t="str">
        <f>IF(SnapshotTable[[#This Row],[SP Is Booked]],SnapshotTable[[#This Row],[SP Exp Date]]-MAX(SnapshotTable[[#This Row],[SP Book Date]], SnapshotTable[[#This Row],[SP Fill Date]]),"")</f>
        <v/>
      </c>
      <c r="CD215" s="7" t="str">
        <f>IF(SnapshotTable[[#This Row],[SP Is Booked]], SnapshotTable[[#This Row],[SP Book Price]]/SnapshotTable[[#This Row],[SP Strike Price]], "")</f>
        <v/>
      </c>
      <c r="CE215" s="7" t="str">
        <f>IF(ISNUMBER(SnapshotTable[[#This Row],[SP ROO Term]]),SnapshotTable[[#This Row],[SP ROO Term]]*(365/SnapshotTable[[#This Row],[SP Term]]),"")</f>
        <v/>
      </c>
      <c r="CF215" s="221">
        <f>SnapshotTable[[#This Row],[LP Strike Price]] * SnapshotTable[[#This Row],[LP Qty]] * 100</f>
        <v>0</v>
      </c>
      <c r="CG215" s="31">
        <f>IF(ISNUMBER(SnapshotTable[[#This Row],[SP Premium]]), (SnapshotTable[[#This Row],[SP Qty]] * SnapshotTable[[#This Row],[SP Strike Price]]* 100) - SnapshotTable[[#This Row],[LP Protection]], 0)</f>
        <v>0</v>
      </c>
      <c r="CH215" s="7" t="str">
        <f>IF(ISNUMBER(SnapshotTable[[#This Row],[SP Break Even]]),-1 * (SnapshotTable[[#This Row],[SP Break Even]] - SnapshotTable[[#This Row],[Last Price]]) / SnapshotTable[[#This Row],[Last Price]], "")</f>
        <v/>
      </c>
      <c r="CI215" s="31">
        <f>IF(AND(ISNUMBER((SnapshotTable[[#This Row],[SP Potential Spend]])), SnapshotTable[[#This Row],[SP Strike Price]] &gt; SnapshotTable[[#This Row],[Last Price]], SnapshotTable[[#This Row],[SP Is Filled]]), SnapshotTable[[#This Row],[SP Potential Spend]] -  SnapshotTable[[#This Row],[LP Max Value]], 0)</f>
        <v>0</v>
      </c>
      <c r="CJ215" s="229"/>
      <c r="CK215" s="31">
        <f>IF(ISNUMBER(SnapshotTable[[#This Row],[SP Potential Spend]]),IF(ISNUMBER(SnapshotTable[[#This Row],[SP POW]]), SnapshotTable[[#This Row],[SP POW]] * SnapshotTable[[#This Row],[SP Potential Spend]], SnapshotTable[[#This Row],[SP Potential Spend]]), "")</f>
        <v>0</v>
      </c>
      <c r="CL215" s="162">
        <f>IF(NOT(SnapshotTable[[#This Row],[SP Is Filled]]),(SnapshotTable[[#This Row],[SP Qty]] * SnapshotTable[[#This Row],[SP Strike Price]] * 100) - SnapshotTable[[#This Row],[LP Max Value]],"")</f>
        <v>0</v>
      </c>
      <c r="CM215" s="31" t="str">
        <f>IF(SnapshotTable[[#This Row],[SP Actual Spend]]&lt;&gt;0, ((SnapshotTable[[#This Row],[SP Strike Price]]-SnapshotTable[[#This Row],[Last Price]]) *(SnapshotTable[[#This Row],[SP Qty]]*100) - SnapshotTable[[#This Row],[SP Premium]]) * - 1, "")</f>
        <v/>
      </c>
      <c r="CN215" s="213"/>
      <c r="CO215" s="339"/>
      <c r="CP215" s="4" t="str">
        <f>IF(SnapshotTable[[#This Row],[SP Is Filled]], btc_max_buyback_amount(SnapshotTable[[#This Row],[SP Fill Date]],SnapshotTable[[#This Row],[SP Exp Date]], SnapshotTable[[#This Row],[SP Book Price]]),"")</f>
        <v/>
      </c>
      <c r="CQ215" s="76"/>
      <c r="CR21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5" s="153" t="str">
        <f>IF(SnapshotTable[[#This Row],[SP Is Filled]], btc_next_cutoff_date(SnapshotTable[[#This Row],[SP Fill Date]],SnapshotTable[[#This Row],[SP Exp Date]]),"")</f>
        <v/>
      </c>
      <c r="CT215" s="220" t="str" cm="1">
        <f t="array" ref="CT215">IF(SnapshotTable[[#This Row],[SP Is Filled]], btc_should_buy_back(SnapshotTable[[#This Row],[SP Fill Date]], SnapshotTable[[#This Row],[SP Exp Date]], SnapshotTable[[#This Row],[SP Book Price]], SnapshotTable[[#This Row],[SP Current Ask]], MockToday, SnapshotTable[[#This Row],[SP Buyback Override]]),"")</f>
        <v/>
      </c>
      <c r="CU215" s="154"/>
      <c r="CV215" s="220"/>
      <c r="CW215" s="348" t="str">
        <f>IF(ISNUMBER( SnapshotTable[[#This Row],[SP Term]]), SnapshotTable[[#This Row],[SP Exp Date]] - MockToday,"")</f>
        <v/>
      </c>
      <c r="CX215" s="31" t="str">
        <f>IF(SnapshotTable[[#This Row],[SP Is Filled]],SnapshotTable[[#This Row],[SP Buyback Price to Use]] * 100 * SnapshotTable[[#This Row],[SP Qty]], "")</f>
        <v/>
      </c>
      <c r="CY215" s="4" t="str">
        <f>IF(ISNUMBER(SnapshotTable[[#This Row],[SP Strike Price]]), SnapshotTable[[#This Row],[SP Strike Price]] * (1 - SP_MaxLoss_StrikePct), "")</f>
        <v/>
      </c>
      <c r="CZ215" s="31" t="str">
        <f>IF(ISNUMBER(SnapshotTable[[#This Row],[SP Strike  Stop Per Share]]),SnapshotTable[[#This Row],[SP Premium]] - ((SnapshotTable[[#This Row],[SP Strike Price]]-SnapshotTable[[#This Row],[SP Strike  Stop Per Share]]) *(SnapshotTable[[#This Row],[SP Qty]] * 100)),"")</f>
        <v/>
      </c>
      <c r="DA215" s="4" t="str">
        <f>IF(AND(ISNUMBER(SnapshotTable[[#This Row],[SP Premium]]),SnapshotTable[[#This Row],[SP Premium]]&gt;0), SnapshotTable[[#This Row],[SP Book Price]] * (1 + SP_MaxLoss_OptionPct), "")</f>
        <v/>
      </c>
      <c r="DB215" s="31" t="str">
        <f>IF(ISNUMBER(SnapshotTable[[#This Row],[SP Option  Stop Contract]]),(SnapshotTable[[#This Row],[SP Option  Stop Contract]] *(SnapshotTable[[#This Row],[SP Qty]] * 100) - SnapshotTable[[#This Row],[SP Premium]]),"")</f>
        <v/>
      </c>
      <c r="DC215" s="4"/>
      <c r="DD215" s="4"/>
      <c r="DE215" s="4" t="str">
        <f>IF(AND(SnapshotTable[[#This Row],[SP Qty]]&gt;0, SnapshotTable[[#This Row],[SP Stop To Use]]&gt;0),SnapshotTable[[#This Row],[SP Premium]] - ( SnapshotTable[[#This Row],[SP Qty]] * SnapshotTable[[#This Row],[SP Stop To Use]] * 100), "")</f>
        <v/>
      </c>
      <c r="DF215" s="31" t="str">
        <f>IF(AND(SnapshotTable[[#This Row],[SP Qty]]&gt;0,SnapshotTable[[#This Row],[SP Current Ask]]&gt;0), SnapshotTable[[#This Row],[SP Qty]] * SnapshotTable[[#This Row],[SP Current Ask]] * -100, "")</f>
        <v/>
      </c>
      <c r="DG215" s="31" t="str">
        <f>IF(ISNUMBER((SnapshotTable[[#This Row],[SP Total Value]])), SnapshotTable[[#This Row],[SP Premium]] + SnapshotTable[[#This Row],[SP Total Value]], "")</f>
        <v/>
      </c>
      <c r="DH215" s="272" t="str">
        <f>IF(ISNUMBER((SnapshotTable[[#This Row],[SP Total Value]])), SnapshotTable[[#This Row],[SP Gain Loss]] / SnapshotTable[[#This Row],[SP Premium]], "")</f>
        <v/>
      </c>
      <c r="DI215" s="369"/>
      <c r="DJ215" s="136"/>
      <c r="DK215" s="146"/>
      <c r="DL215" s="145"/>
      <c r="DM215" s="145"/>
      <c r="DO215" s="31">
        <f>IF(SnapshotTable[[#This Row],[LC Symbol Count]]=1, SnapshotTable[[#This Row],[LC Qty]] * SnapshotTable[[#This Row],[LC Book Price]] * 100, 0)</f>
        <v>0</v>
      </c>
      <c r="DP215" s="161" t="str">
        <f>IF(AND(SnapshotTable[[#This Row],[LC Exp Date]]&gt;0, SnapshotTable[[#This Row],[LC Strike Price]]&gt;0,SnapshotTable[[#This Row],[LC Qty]]&gt;0,SnapshotTable[[#This Row],[LC Book Date]]&gt;0,SnapshotTable[[#This Row],[LC Book Price]]&gt;0,SnapshotTable[[#This Row],[LC Fill Date]]=0),"Y","")</f>
        <v/>
      </c>
      <c r="DQ215" s="356" t="str">
        <f>IF(SnapshotTable[[#This Row],[LC Premium]] &gt; 0,SnapshotTable[[#This Row],[LC Exp Date]]-MAX(SnapshotTable[[#This Row],[LC Book Date]], SnapshotTable[[#This Row],[LC Fill Date]]),"")</f>
        <v/>
      </c>
      <c r="DR215" s="356" t="str">
        <f>IF(ISNUMBER(SnapshotTable[[#This Row],[LC Term]]), SnapshotTable[[#This Row],[LC Exp Date]] - MockToday, "")</f>
        <v/>
      </c>
      <c r="DS215" s="219" t="str">
        <f>IF(SnapshotTable[[#This Row],[LC Premium]]&gt;0,SnapshotTable[[#This Row],[LC Strike Price]] + SnapshotTable[[#This Row],[LC Book Price]],"")</f>
        <v/>
      </c>
      <c r="DU215" s="9" t="str">
        <f>IF(AND(SnapshotTable[[#This Row],[LC Symbol Count]]&gt;0, SnapshotTable[[#This Row],[LC Contract Value]]&gt;0), SnapshotTable[[#This Row],[LC Contract Value]] * SnapshotTable[[#This Row],[LC Qty]] * 100, "")</f>
        <v/>
      </c>
      <c r="DV215" s="9" t="str">
        <f>IF(AND(ISNUMBER(SnapshotTable[[#This Row],[LC Total Value]]), SnapshotTable[[#This Row],[LC Not Filled]]&lt;&gt;"Y"), SnapshotTable[[#This Row],[LC Total Value]]-SnapshotTable[[#This Row],[LC Premium]],"")</f>
        <v/>
      </c>
      <c r="DW215" s="225" t="str">
        <f>IF(ISNUMBER(SnapshotTable[[#This Row],[LC Actual Gain Loss]]), SnapshotTable[[#This Row],[LC Actual Gain Loss]] / SnapshotTable[[#This Row],[LC Premium]],"")</f>
        <v/>
      </c>
      <c r="DX215" s="269" t="str">
        <f>IF(ISNUMBER(SnapshotTable[[#This Row],[LC Book Price]]),SnapshotTable[[#This Row],[LC Book Price]] * 1.5,"")</f>
        <v/>
      </c>
      <c r="DY215" s="250" t="str">
        <f>IF(SnapshotTable[[#This Row],[LC Premium]]&gt;0, SnapshotTable[[#This Row],[LC Next Target]] * SnapshotTable[[#This Row],[LC Qty]] * 100,"")</f>
        <v/>
      </c>
      <c r="DZ215" s="250" t="str">
        <f>IF(ISNUMBER(SnapshotTable[[#This Row],[LC Target Gross]]), SnapshotTable[[#This Row],[LC Target Gross]] - SnapshotTable[[#This Row],[LC Premium]], "")</f>
        <v/>
      </c>
      <c r="EA215" s="283" t="str">
        <f>IF(ISNUMBER(SnapshotTable[[#This Row],[LC Target Gain Loss]]), SnapshotTable[[#This Row],[LC Target Gain Loss]]/SnapshotTable[[#This Row],[LC Premium]], "")</f>
        <v/>
      </c>
      <c r="EB215" s="247"/>
      <c r="EC215" s="268" t="str">
        <f>IF(SnapshotTable[[#This Row],[LC Premium]]&gt;0, SnapshotTable[[#This Row],[LC Book Price]] * (1 - LC_StopLoss_Pct),"")</f>
        <v/>
      </c>
      <c r="ED215" s="269"/>
      <c r="EE215" s="268" t="str">
        <f>IF(ISNUMBER(SnapshotTable[[#This Row],[LC Contract Value]]),IF(ISNUMBER(SnapshotTable[[#This Row],[LC Stop Loss Override]]), SnapshotTable[[#This Row],[LC Stop Loss Override]],SnapshotTable[[#This Row],[LC Stop Loss Calc Target]]),"")</f>
        <v/>
      </c>
      <c r="EF215" s="31" t="str">
        <f>IF(ISNUMBER(SnapshotTable[[#This Row],[LC Stop  To Use]]), (SnapshotTable[[#This Row],[LC Stop  To Use]] * SnapshotTable[[#This Row],[LC Qty]] * 100),"")</f>
        <v/>
      </c>
      <c r="EG215" s="9" t="str">
        <f>IF(ISNUMBER(SnapshotTable[[#This Row],[LC Total Value]]),SnapshotTable[[#This Row],[LC Stop Loss Amount]] - SnapshotTable[[#This Row],[LC Premium]],"")</f>
        <v/>
      </c>
      <c r="EH215" s="9">
        <f>IF(ISNUMBER(SnapshotTable[[#This Row],[LC Premium]]), SnapshotTable[[#This Row],[LC Qty]] * 100 * SnapshotTable[[#This Row],[LC Strike Price]], "")</f>
        <v>0</v>
      </c>
      <c r="EI215" s="225" t="str">
        <f>IF(AND(ISNUMBER(SnapshotTable[[#This Row],[LC Total Value]]),SnapshotTable[[#This Row],[LC Total Value]]&gt;0),SnapshotTable[[#This Row],[LC Stop Gain Loss]]  / SnapshotTable[[#This Row],[LC Premium]],"")</f>
        <v/>
      </c>
      <c r="EJ215" s="35">
        <f>IF(ISNUMBER(SnapshotTable[[#This Row],[Equity Shares]]),TRUNC(SnapshotTable[[#This Row],[Equity Shares]] / 100),0) + SnapshotTable[[#This Row],[LC Qty]]</f>
        <v>0</v>
      </c>
      <c r="EK215" s="145"/>
      <c r="EL215" s="136"/>
      <c r="EM215" s="146"/>
      <c r="EN215" s="145"/>
      <c r="EO215" s="145"/>
      <c r="EP215" s="136"/>
      <c r="EQ215" s="382" t="b">
        <f>AND(ISNUMBER(SnapshotTable[[#This Row],[SC Exp Date]]), ISNUMBER(SnapshotTable[[#This Row],[SC Strike Price]]), ISNUMBER(SnapshotTable[[#This Row],[SC Qty]]), ISNUMBER(SnapshotTable[[#This Row],[SC Book Date]]), ISNUMBER(SnapshotTable[[#This Row],[SC Book Price]]))</f>
        <v>0</v>
      </c>
      <c r="ER215" s="382" t="b">
        <f>AND(SnapshotTable[[#This Row],[SC Is Booked]], NOT(ISBLANK(SnapshotTable[[#This Row],[SC Fill Date]])))</f>
        <v>0</v>
      </c>
      <c r="ES215" s="340"/>
      <c r="ET215" s="34" t="str">
        <f>IF(AND(ISNUMBER(SnapshotTable[[#This Row],[SC Exp Date]]), ISNUMBER(SnapshotTable[[#This Row],[SC Book Date]])), SnapshotTable[[#This Row],[SC Exp Date]] - MAX(SnapshotTable[[#This Row],[SC Book Date]], SnapshotTable[[#This Row],[SC Fill Date]]) + 1, "")</f>
        <v/>
      </c>
      <c r="EU215" s="34" t="str">
        <f>IF(ISNUMBER(SnapshotTable[[#This Row],[SC Term]]), SnapshotTable[[#This Row],[SC Exp Date]]- MockToday, "")</f>
        <v/>
      </c>
      <c r="EV215" s="31">
        <f>IF(SnapshotTable[[#This Row],[SC Is Booked]], SnapshotTable[[#This Row],[SC Qty]] * SnapshotTable[[#This Row],[SC Book Price]] * 100, 0)</f>
        <v>0</v>
      </c>
      <c r="EW215" s="4" t="str">
        <f>IF(AND(ISNUMBER(SnapshotTable[[#This Row],[Last Price]]), ISNUMBER( SnapshotTable[[#This Row],[SC Book Price]])), SnapshotTable[[#This Row],[Last Price]] - SnapshotTable[[#This Row],[SC Book Price]],"")</f>
        <v/>
      </c>
      <c r="EX215" s="219" t="str">
        <f>IF(SnapshotTable[[#This Row],[SC Is Booked]],IF(SnapshotTable[[#This Row],[SC Intrinsic Value]] &gt; 0, SnapshotTable[[#This Row],[SC Strike Price]], SnapshotTable[[#This Row],[Last Price]]), "")</f>
        <v/>
      </c>
      <c r="EY215" s="4">
        <f>IF(SnapshotTable[[#This Row],[SC Is Booked]], (MinimumPremiumRequired * SnapshotTable[[#This Row],[SC Basis]] * SnapshotTable[[#This Row],[SC Term]]), 0)</f>
        <v>0</v>
      </c>
      <c r="EZ215" s="268"/>
      <c r="FA215" s="204"/>
      <c r="FB215" s="340"/>
      <c r="FC215" s="4">
        <f>IF(SnapshotTable[[#This Row],[SC Is Filled]], btc_max_buyback_amount(SnapshotTable[[#This Row],[SC Fill Date]],SnapshotTable[[#This Row],[SC Exp Date]], SnapshotTable[[#This Row],[SC Book Price]]),0)</f>
        <v>0</v>
      </c>
      <c r="FD215" s="5"/>
      <c r="FE215" s="142" t="str">
        <f>IF(SnapshotTable[[#This Row],[SC Is Filled]], btc_next_cutoff_date(SnapshotTable[[#This Row],[SC Fill Date]],SnapshotTable[[#This Row],[SC Exp Date]]),"")</f>
        <v/>
      </c>
      <c r="FF215" s="4" t="str" cm="1">
        <f t="array" ref="FF215">IF(SnapshotTable[[#This Row],[SC Is Filled]], btc_should_buy_back(SnapshotTable[[#This Row],[SC Fill Date]], SnapshotTable[[#This Row],[SC Exp Date]], SnapshotTable[[#This Row],[SC Book Price]], SnapshotTable[[#This Row],[SC Current Ask]], MockToday, SnapshotTable[[#This Row],[SC Buyback Override]]),"")</f>
        <v/>
      </c>
      <c r="FG215" s="4">
        <f>IF(SnapshotTable[[#This Row],[SC Is Filled]], MAX(0,SnapshotTable[[#This Row],[Last Price]]  - SnapshotTable[[#This Row],[SC Strike Price]]), 0)</f>
        <v>0</v>
      </c>
      <c r="FH215" s="352">
        <f>IF(SnapshotTable[[#This Row],[SC Is Filled]], IF(ISNUMBER(SnapshotTable[[#This Row],[SC Current Ask]]), SnapshotTable[[#This Row],[SC Current Ask]], SnapshotTable[[#This Row],[SC Book Price]]) - SnapshotTable[[#This Row],[SC Intrinsic Value]], 0)</f>
        <v>0</v>
      </c>
      <c r="FI215" s="141"/>
      <c r="FJ215" s="32" t="str">
        <f>IF(SnapshotTable[[#This Row],[SC Is Filled]],100 * SnapshotTable[[#This Row],[SC Qty]] * IF(ISNUMBER(SnapshotTable[[#This Row],[SC Buyback Override]]), SnapshotTable[[#This Row],[SC Buyback Override]], SnapshotTable[[#This Row],[SC Current Ask]]), "")</f>
        <v/>
      </c>
      <c r="FK215" s="235" t="str">
        <f>IF(SnapshotTable[[#This Row],[SC Time Val]]&gt;0, SnapshotTable[[#This Row],[SC Time Val]] / SnapshotTable[[#This Row],[Last Price]],"")</f>
        <v/>
      </c>
      <c r="FL215" s="280" t="str">
        <f>IF(SnapshotTable[[#This Row],[SC Is Booked]], ((SnapshotTable[[#This Row],[Last Price]] -SnapshotTable[[#This Row],[SC Strike Price]]) / SnapshotTable[[#This Row],[Last Price]]) * -1, "")</f>
        <v/>
      </c>
      <c r="FM215" s="155" t="str">
        <f>IF(SnapshotTable[[#This Row],[SC Is Booked]],  (SnapshotTable[[#This Row],[SC Qty]] * 100 * SnapshotTable[[#This Row],[SC Strike Price]]) - SnapshotTable[[#This Row],[SC Current Ask]], "")</f>
        <v/>
      </c>
      <c r="FN215"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5" s="155" t="str">
        <f>IF(AND(ISNUMBER(SnapshotTable[[#This Row],[SC Exercise Gross]]), ISNUMBER(SnapshotTable[[#This Row],[Equity Basis Per Share]] )), SnapshotTable[[#This Row],[SC Exercise Gross]] - SnapshotTable[[#This Row],[Equity Basis Total]] +  SnapshotTable[[#This Row],[SC Premium]], "")</f>
        <v/>
      </c>
      <c r="FP215" s="5" t="str">
        <f>IF(ISNUMBER(SnapshotTable[[#This Row],[SC Exercise Gross]]), (SnapshotTable[[#This Row],[SC Exercise Gross]]) / (SnapshotTable[[#This Row],[SC Qty]] * 100), "")</f>
        <v/>
      </c>
      <c r="FQ215" s="27" t="str">
        <f>IF(SnapshotTable[[#This Row],[SC Is Booked]],SnapshotTable[[#This Row],[SC Time Val]] /SnapshotTable[[#This Row],[SC Basis]], "")</f>
        <v/>
      </c>
      <c r="FR215" s="27" t="str" cm="1">
        <f t="array" ref="FR215">IF(AND(ISNUMBER(SnapshotTable[[#This Row],[SC Term]]),ISNUMBER(SnapshotTable[[#This Row],[SC Simple ROO]])), EllmanAnnualize(SnapshotTable[[#This Row],[SC DTE]], SnapshotTable[[#This Row],[SC Simple ROO]] ),"")</f>
        <v/>
      </c>
      <c r="FS215" s="4">
        <f>IF(SnapshotTable[[#This Row],[SC Strike Price]] &gt; SnapshotTable[[#This Row],[Last Price]], SnapshotTable[[#This Row],[SC Strike Price]] - SnapshotTable[[#This Row],[Last Price]],0)</f>
        <v>0</v>
      </c>
      <c r="FT215" s="27" t="str">
        <f>IF(AND(ISNUMBER(SnapshotTable[[#This Row],[SC Upside Potential]]), SnapshotTable[[#This Row],[SC Upside Potential]] &gt; 0),(SnapshotTable[[#This Row],[SC Upside Potential]]/ SnapshotTable[[#This Row],[ACB]]),"")</f>
        <v/>
      </c>
      <c r="FU215" s="304" t="str">
        <f>IF(SnapshotTable[[#This Row],[SC Intrinsic Value]] &gt; 0,SnapshotTable[[#This Row],[SC Intrinsic Value]],"")</f>
        <v/>
      </c>
      <c r="FV215" s="27" t="str">
        <f>IF(AND( ISNUMBER( SnapshotTable[[#This Row],[ACB]]),ISNUMBER(SnapshotTable[[#This Row],[SC Downside Protect]])),SnapshotTable[[#This Row],[SC Downside Protect]] / SnapshotTable[[#This Row],[ACB]],"")</f>
        <v/>
      </c>
      <c r="FW215" s="221" t="str">
        <f>IF(AND(ISNUMBER(SnapshotTable[[#This Row],[SC Simple ROO]]),SnapshotTable[[#This Row],[SC Simple ROO]] &gt; 0), SnapshotTable[[#This Row],[SC Premium]] + (SnapshotTable[[#This Row],[SC Qty]] * SnapshotTable[[#This Row],[SC Upside Potential]]), "")</f>
        <v/>
      </c>
      <c r="FX215" s="280" t="str" cm="1">
        <f t="array" ref="FX215">IF(ISNUMBER(SnapshotTable[[#This Row],[SC Max Dollars]]), annualize(SnapshotTable[[#This Row],[SC Term]],(SnapshotTable[[#This Row],[SC Max Dollars]]/SnapshotTable[[#This Row],[SC Basis]])),"")</f>
        <v/>
      </c>
      <c r="FY215" s="221" t="str">
        <f>IF(AND(SnapshotTable[[#This Row],[SC Qty]]&gt;0,SnapshotTable[[#This Row],[SC Current Ask]]&gt;0), SnapshotTable[[#This Row],[SC Qty]] * SnapshotTable[[#This Row],[SC Current Ask]] * -100, "")</f>
        <v/>
      </c>
      <c r="FZ215" s="31" t="str">
        <f>IF(ISNUMBER((SnapshotTable[[#This Row],[SC Current Value]])), SnapshotTable[[#This Row],[SC Premium]] + SnapshotTable[[#This Row],[SC Current Value]], "")</f>
        <v/>
      </c>
      <c r="GA215" s="272" t="str">
        <f>IFERROR( IF(ISNUMBER((SnapshotTable[[#This Row],[SC Current Value]])), SnapshotTable[[#This Row],[SC Gain Loss]] / SnapshotTable[[#This Row],[SC Premium]], ""), "")</f>
        <v/>
      </c>
      <c r="GB215" s="42">
        <f>SnapshotTable[[#This Row],[Equity Shares]] * SaleSharesToConsiderPercentage</f>
        <v>0</v>
      </c>
      <c r="GC215" s="40">
        <f>SnapshotTable[[#This Row],[Long Term Target]] * SellingPriceToConsiderBasedOnTargetPercentage</f>
        <v>57.427500000000002</v>
      </c>
      <c r="GD215" s="40">
        <f>SnapshotTable[[#This Row],[Last Price]] * (1+ SellingPriceToConsiderBasedOnTargetPercentage)</f>
        <v>217.15199999999999</v>
      </c>
      <c r="GE215" s="41"/>
      <c r="GF215" s="40"/>
      <c r="GG215" s="31">
        <f>SnapshotTable[[#This Row],[Booked Sale Shares]] * SnapshotTable[[#This Row],[Booked Sale Price]]</f>
        <v>0</v>
      </c>
      <c r="GH215" s="31" t="str">
        <f>IF(SnapshotTable[[#This Row],[Equity Basis Total]] &gt; 0, SnapshotTable[[#This Row],[Equity Basis Per Share]] * SnapshotTable[[#This Row],[Booked Sale Shares]], "")</f>
        <v/>
      </c>
      <c r="GI215" s="31">
        <f>IF(SnapshotTable[[#This Row],[Sale Proceeds]]&gt;0, SnapshotTable[[#This Row],[Sale Proceeds]] - SnapshotTable[[#This Row],[Sale Basis]], 0)</f>
        <v>0</v>
      </c>
      <c r="GJ215" s="156" t="str">
        <f>IF(SnapshotTable[[#This Row],[Sale G/L]]&gt;0, SnapshotTable[[#This Row],[Sale G/L]] / SnapshotTable[[#This Row],[Sale Basis]], IF(ISNUMBER(SnapshotTable[[#This Row],[SC Exercise P&amp;L (TAX)]]), SnapshotTable[[#This Row],[SC Exercise P&amp;L (TAX)]] / SnapshotTable[[#This Row],[SC Basis]], ""))</f>
        <v/>
      </c>
      <c r="GK215" s="156"/>
      <c r="GL215" s="157" t="str">
        <f>IF(AND(SnapshotTable[[#This Row],[LP Exp Date]]&gt;0,SnapshotTable[[#This Row],[LP Strike Price]]&gt;0), [1]!ToOptionSymbol(SnapshotTable[[#This Row],[Symbol]], SnapshotTable[[#This Row],[LP Strike Price]],SnapshotTable[[#This Row],[LP Exp Date]],1), "")</f>
        <v/>
      </c>
      <c r="GM215" s="30" t="str">
        <f>IF(LEN(SnapshotTable[[#This Row],[LP Symbol]])&gt;0, 1, "")</f>
        <v/>
      </c>
      <c r="GN215" s="43" t="str">
        <f>IF(AND(SnapshotTable[[#This Row],[SP Exp Date]]&gt;0,SnapshotTable[[#This Row],[SP Strike Price]]&gt;0), [1]!ToOptionSymbol(SnapshotTable[[#This Row],[Symbol]], SnapshotTable[[#This Row],[SP Strike Price]],SnapshotTable[[#This Row],[SP Exp Date]],1), "")</f>
        <v/>
      </c>
      <c r="GO215" s="30" t="str">
        <f>IF(LEN(SnapshotTable[[#This Row],[SP Symbol]])&gt;0, 1, "")</f>
        <v/>
      </c>
      <c r="GP215" s="157" t="str">
        <f>IF(AND(SnapshotTable[[#This Row],[LC Exp Date]]&gt;0,SnapshotTable[[#This Row],[LC Strike Price]]&gt;0), [1]!ToOptionSymbol(SnapshotTable[[#This Row],[Symbol]], SnapshotTable[[#This Row],[LC Strike Price]],SnapshotTable[[#This Row],[LC Exp Date]],0), "")</f>
        <v/>
      </c>
      <c r="GQ215" s="158" t="str">
        <f>IF(LEN(SnapshotTable[[#This Row],[LC Symbol]])&gt;0, 1, "")</f>
        <v/>
      </c>
      <c r="GR215" s="157" t="str">
        <f>IF(AND(SnapshotTable[[#This Row],[SC Exp Date]]&gt;0,SnapshotTable[[#This Row],[SC Strike Price]]&gt;0), [1]!ToOptionSymbol(SnapshotTable[[#This Row],[Symbol]], SnapshotTable[[#This Row],[SC Strike Price]],SnapshotTable[[#This Row],[SC Exp Date]],0), "")</f>
        <v/>
      </c>
      <c r="GS215" s="158" t="str">
        <f>IF(LEN(SnapshotTable[[#This Row],[SC Symbol]])&gt;0, 1, "")</f>
        <v/>
      </c>
      <c r="GT215" s="159" t="str">
        <f>IF(COUNT(SnapshotTable[[#This Row],[LP Symbol Count]],SnapshotTable[[#This Row],[SP Symbol Count]],SnapshotTable[[#This Row],[LC Symbol Count]],SnapshotTable[[#This Row],[SC Symbol Count]])&gt;0, "Y", "")</f>
        <v/>
      </c>
      <c r="GU21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5" s="216">
        <f>MAX(SnapshotTable[[#This Row],[Equity Basis Total]],SnapshotTable[[#This Row],[Equity Value]]) + (SnapshotTable[[#This Row],[SP Potential Spend]]- SnapshotTable[[#This Row],[SP Premium]] + SnapshotTable[[#This Row],[LP Premium]])+ (SnapshotTable[[#This Row],[LC Premium]] - SnapshotTable[[#This Row],[SC Premium]])</f>
        <v>0</v>
      </c>
      <c r="GW215" s="137" t="str">
        <f>IF(AND(SnapshotTable[[#This Row],[Exposure]] &lt;&gt; 0),SnapshotTable[[#This Row],[Exposure]] / SnapshotTable[[#Totals],[Exposure]], "")</f>
        <v/>
      </c>
      <c r="HK215" s="1"/>
      <c r="HL215" s="1"/>
      <c r="HM215" s="1"/>
      <c r="HN215" s="1"/>
      <c r="HO215" s="1"/>
      <c r="HP215" s="1"/>
    </row>
    <row r="216" spans="2:224" ht="12.75" hidden="1" customHeight="1" x14ac:dyDescent="0.25">
      <c r="B216" s="12" t="s">
        <v>58</v>
      </c>
      <c r="C216" s="385">
        <v>34.32</v>
      </c>
      <c r="D216" s="200"/>
      <c r="E216" s="39">
        <f>SnapshotTable[[#This Row],[Last Price]]*(1 -CrashDiscount)</f>
        <v>29.172000000000001</v>
      </c>
      <c r="F216" s="26" t="s">
        <v>57</v>
      </c>
      <c r="G216" s="26" t="s">
        <v>12</v>
      </c>
      <c r="H216" s="147"/>
      <c r="I216" s="186">
        <v>44777.270833333336</v>
      </c>
      <c r="J216" s="187">
        <v>44777.270833333336</v>
      </c>
      <c r="K216" s="188"/>
      <c r="L216" s="297"/>
      <c r="M216" s="138"/>
      <c r="N216" s="138"/>
      <c r="O216" s="138"/>
      <c r="P216" s="22"/>
      <c r="Q216" s="25"/>
      <c r="R216" s="4" t="str">
        <f>IF(SnapshotTable[[#This Row],[Equity Basis Total]] &gt; 0, SnapshotTable[[#This Row],[Equity Basis Total]] / SnapshotTable[[#This Row],[Equity Shares]], "")</f>
        <v/>
      </c>
      <c r="S216" s="254">
        <f>SnapshotTable[[#This Row],[Last Price]] * SnapshotTable[[#This Row],[Equity Shares]]</f>
        <v>0</v>
      </c>
      <c r="T216" s="254">
        <f>SnapshotTable[[#This Row],[Equity Value]] - SnapshotTable[[#This Row],[Equity Basis Total]]</f>
        <v>0</v>
      </c>
      <c r="U216" s="255" t="str">
        <f>IF(SnapshotTable[[#This Row],[Equity Basis Total]] &gt; 0, SnapshotTable[[#This Row],[Equity G/L]] / SnapshotTable[[#This Row],[Equity Basis Total]], "")</f>
        <v/>
      </c>
      <c r="V216" s="253"/>
      <c r="W216" s="253"/>
      <c r="X216" s="4" t="str">
        <f>IF(AND(ISNUMBER(SnapshotTable[[#This Row],[Equity Basis Per Share]]),ISNUMBER(SnapshotTable[[#This Row],[Equity Target]])),SnapshotTable[[#This Row],[Equity Target]]-SnapshotTable[[#This Row],[Equity Basis Per Share]],"")</f>
        <v/>
      </c>
      <c r="Y216" s="4" t="str">
        <f>IF(AND(ISNUMBER(SnapshotTable[[#This Row],[Equity Basis Per Share]]),ISNUMBER(SnapshotTable[[#This Row],[Equity Stop Loss]])),SnapshotTable[[#This Row],[Equity Stop Loss]]-SnapshotTable[[#This Row],[Equity Basis Per Share]],"")</f>
        <v/>
      </c>
      <c r="Z216" s="260" t="str">
        <f>IFERROR( TEXT(SnapshotTable[[#This Row],[Equity Max Gain Per Share]] /ABS( SnapshotTable[[#This Row],[Equity Max Loss Per Share]]),"0.0 " ) &amp; " : 1", "")</f>
        <v/>
      </c>
      <c r="AA216" s="31" t="str">
        <f>IF(ISNUMBER(SnapshotTable[[#This Row],[Equity Max Gain Per Share]]),SnapshotTable[[#This Row],[Equity Max Gain Per Share]] * SnapshotTable[[#This Row],[Equity Shares]],"")</f>
        <v/>
      </c>
      <c r="AB216" s="31" t="str">
        <f>IF(ISNUMBER(SnapshotTable[[#This Row],[Equity Max Loss Per Share]]),SnapshotTable[[#This Row],[Equity Max Loss Per Share]] * SnapshotTable[[#This Row],[Equity Shares]],"")</f>
        <v/>
      </c>
      <c r="AC216" s="148"/>
      <c r="AD216" s="149"/>
      <c r="AE216" s="31">
        <f>(SnapshotTable[[#This Row],[Annual Dividend Per Share]] / 4) * SnapshotTable[[#This Row],[Equity Shares]]</f>
        <v>0</v>
      </c>
      <c r="AF216" s="31">
        <f>SnapshotTable[[#This Row],[Quarterly Div $]] * 4</f>
        <v>0</v>
      </c>
      <c r="AG216" s="7">
        <f>IF(SnapshotTable[[#This Row],[Annual Dividend Per Share]]&gt;0, SnapshotTable[[#This Row],[Annual Dividend Per Share]]  / SnapshotTable[[#This Row],[Last Price]], 0)</f>
        <v>0</v>
      </c>
      <c r="AH216" s="149"/>
      <c r="AI216" s="5">
        <v>75</v>
      </c>
      <c r="AJ216" s="136">
        <v>41.08</v>
      </c>
      <c r="AK216" s="150">
        <f>IF(ISNUMBER( SnapshotTable[[#This Row],[EBF Target]]),(SnapshotTable[[#This Row],[EBF Target]] - SnapshotTable[[#This Row],[Last Price]]) / SnapshotTable[[#This Row],[Last Price]], "")</f>
        <v>1.1853146853146852</v>
      </c>
      <c r="AL216" s="150" t="str">
        <f>IF(AND(SnapshotTable[[#This Row],[Equity Basis Total]] &gt; 0,ISNUMBER( SnapshotTable[[#This Row],[Long Term Target]])), SnapshotTable[[#This Row],[From Basis $]] / SnapshotTable[[#This Row],[Equity Basis Total]], "")</f>
        <v/>
      </c>
      <c r="AM216" s="9">
        <f>IF( AND(SnapshotTable[[#This Row],[Equity Shares]] &gt;0,ISNUMBER( SnapshotTable[[#This Row],[Long Term Target]])),(SnapshotTable[[#This Row],[Equity Shares]] * SnapshotTable[[#This Row],[Long Term Target]]) - SnapshotTable[[#This Row],[Equity Basis Total]],0)</f>
        <v>0</v>
      </c>
      <c r="AN216" s="9">
        <f>IF( AND(SnapshotTable[[#This Row],[Equity Shares]] &gt;0,ISNUMBER( SnapshotTable[[#This Row],[Long Term Target]])),(SnapshotTable[[#This Row],[Equity Shares]]*SnapshotTable[[#This Row],[Long Term Target]]) - SnapshotTable[[#This Row],[Equity Value]],0)</f>
        <v>0</v>
      </c>
      <c r="AO216" s="150">
        <f>IF(AND(ISNUMBER( SnapshotTable[[#This Row],[Long Term Target]]), ISNUMBER(SnapshotTable[[#This Row],[Last Price]])),(SnapshotTable[[#This Row],[Long Term Target]] - SnapshotTable[[#This Row],[Last Price]]) / SnapshotTable[[#This Row],[Last Price]], "")</f>
        <v>0.19696969696969691</v>
      </c>
      <c r="AP216" s="5"/>
      <c r="AQ216" s="38"/>
      <c r="AR216" s="5"/>
      <c r="AS216" s="38"/>
      <c r="AT216" s="144"/>
      <c r="AU216" s="185" t="str">
        <f>IF(OR(SnapshotTable[[#This Row],[LP No Fill]]="Y",SnapshotTable[[#This Row],[SP Is Filled]],SnapshotTable[[#This Row],[LC Not Filled]]="Y",SnapshotTable[[#This Row],[SC Is Filled]]),"Y","")</f>
        <v/>
      </c>
      <c r="AV216" s="205"/>
      <c r="AW216" s="211"/>
      <c r="AX216" s="206"/>
      <c r="AY216" s="205" t="str">
        <f>IF(SnapshotTable[[#This Row],[Implied Move]]&gt;0, SnapshotTable[[#This Row],[Last Price]]-SnapshotTable[[#This Row],[Implied Move]],"")</f>
        <v/>
      </c>
      <c r="AZ216" s="205" t="str">
        <f>IF(SnapshotTable[[#This Row],[Implied Move]]&gt;0, SnapshotTable[[#This Row],[Last Price]] + SnapshotTable[[#This Row],[Implied Move]],"")</f>
        <v/>
      </c>
      <c r="BA216" s="302"/>
      <c r="BB216" s="318"/>
      <c r="BC21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6" s="321"/>
      <c r="BE216" s="5"/>
      <c r="BF216" s="14"/>
      <c r="BG216" s="13"/>
      <c r="BH216" s="13"/>
      <c r="BI216" s="5"/>
      <c r="BJ216" s="134">
        <f>IF(SnapshotTable[[#This Row],[LP Qty]] &gt; 0, SnapshotTable[[#This Row],[LP Qty]] * SnapshotTable[[#This Row],[LP Book Price]] * 100,0)</f>
        <v>0</v>
      </c>
      <c r="BK216" s="134">
        <f>IF(SnapshotTable[[#This Row],[LP Premium]] &gt; 0, SnapshotTable[[#This Row],[LP Qty]] * SnapshotTable[[#This Row],[LP Strike Price]] * 100,0)</f>
        <v>0</v>
      </c>
      <c r="BL216" s="152"/>
      <c r="BM216" s="355" t="str">
        <f>IF(SnapshotTable[[#This Row],[LP Premium]] &gt; 0,SnapshotTable[[#This Row],[LP Exp Date]]-MAX(SnapshotTable[[#This Row],[LP Book Date]], SnapshotTable[[#This Row],[LP Fill Date]]),"")</f>
        <v/>
      </c>
      <c r="BN216" s="355" t="str">
        <f>IF(ISNUMBER( SnapshotTable[[#This Row],[LP Term]]), SnapshotTable[[#This Row],[LP Exp Date]] - MockToday,"")</f>
        <v/>
      </c>
      <c r="BO216" s="161" t="str">
        <f>IF(AND(SnapshotTable[[#This Row],[LP Exp Date]]&gt;0, SnapshotTable[[#This Row],[LP Strike Price]]&gt;0,SnapshotTable[[#This Row],[LP Qty]]&gt;0,SnapshotTable[[#This Row],[LP Book Date]]&gt;0,SnapshotTable[[#This Row],[LP Book Price]]&gt;0,SnapshotTable[[#This Row],[LP Fill Date]]=0),"Y","")</f>
        <v/>
      </c>
      <c r="BP216" s="31" t="str">
        <f>IF(AND(SnapshotTable[[#This Row],[LP No Fill]]&lt;&gt;"Y",SnapshotTable[[#This Row],[LP Contract Value]]&gt;0, SnapshotTable[[#This Row],[LP Qty]]&gt;0), SnapshotTable[[#This Row],[LP Contract Value]]*SnapshotTable[[#This Row],[LP Qty]]*100,"")</f>
        <v/>
      </c>
      <c r="BQ216" s="13"/>
      <c r="BR216" s="5"/>
      <c r="BS216" s="36"/>
      <c r="BT216" s="145"/>
      <c r="BU216" s="13"/>
      <c r="BV216" s="5"/>
      <c r="BW216" s="382" t="b">
        <f>AND(ISNUMBER(SnapshotTable[[#This Row],[SP Exp Date]]), ISNUMBER(SnapshotTable[[#This Row],[SP Strike Price]]), ISNUMBER(SnapshotTable[[#This Row],[SP Qty]]), ISNUMBER(SnapshotTable[[#This Row],[SP Book Date]]), ISNUMBER(SnapshotTable[[#This Row],[SP Book Price]]))</f>
        <v>0</v>
      </c>
      <c r="BX216" s="382" t="b">
        <f>AND(SnapshotTable[[#This Row],[SP Is Booked]], NOT(ISBLANK(SnapshotTable[[#This Row],[SP Fill Date]])))</f>
        <v>0</v>
      </c>
      <c r="BY216" s="33">
        <f>IF(SnapshotTable[[#This Row],[SP Is Booked]], SnapshotTable[[#This Row],[SP Qty]] * SnapshotTable[[#This Row],[SP Book Price]] * 100, 0)</f>
        <v>0</v>
      </c>
      <c r="BZ216" s="339"/>
      <c r="CA216" s="338">
        <f>SnapshotTable[[#This Row],[LP Qty]]</f>
        <v>0</v>
      </c>
      <c r="CB216" s="4" t="str">
        <f>IF(SnapshotTable[[#This Row],[SP Is Booked]], SnapshotTable[[#This Row],[SP Strike Price]] - SnapshotTable[[#This Row],[SP Book Price]], "")</f>
        <v/>
      </c>
      <c r="CC216" s="19" t="str">
        <f>IF(SnapshotTable[[#This Row],[SP Is Booked]],SnapshotTable[[#This Row],[SP Exp Date]]-MAX(SnapshotTable[[#This Row],[SP Book Date]], SnapshotTable[[#This Row],[SP Fill Date]]),"")</f>
        <v/>
      </c>
      <c r="CD216" s="7" t="str">
        <f>IF(SnapshotTable[[#This Row],[SP Is Booked]], SnapshotTable[[#This Row],[SP Book Price]]/SnapshotTable[[#This Row],[SP Strike Price]], "")</f>
        <v/>
      </c>
      <c r="CE216" s="7" t="str">
        <f>IF(ISNUMBER(SnapshotTable[[#This Row],[SP ROO Term]]),SnapshotTable[[#This Row],[SP ROO Term]]*(365/SnapshotTable[[#This Row],[SP Term]]),"")</f>
        <v/>
      </c>
      <c r="CF216" s="221">
        <f>SnapshotTable[[#This Row],[LP Strike Price]] * SnapshotTable[[#This Row],[LP Qty]] * 100</f>
        <v>0</v>
      </c>
      <c r="CG216" s="31">
        <f>IF(ISNUMBER(SnapshotTable[[#This Row],[SP Premium]]), (SnapshotTable[[#This Row],[SP Qty]] * SnapshotTable[[#This Row],[SP Strike Price]]* 100) - SnapshotTable[[#This Row],[LP Protection]], 0)</f>
        <v>0</v>
      </c>
      <c r="CH216" s="7" t="str">
        <f>IF(ISNUMBER(SnapshotTable[[#This Row],[SP Break Even]]),-1 * (SnapshotTable[[#This Row],[SP Break Even]] - SnapshotTable[[#This Row],[Last Price]]) / SnapshotTable[[#This Row],[Last Price]], "")</f>
        <v/>
      </c>
      <c r="CI216" s="31">
        <f>IF(AND(ISNUMBER((SnapshotTable[[#This Row],[SP Potential Spend]])), SnapshotTable[[#This Row],[SP Strike Price]] &gt; SnapshotTable[[#This Row],[Last Price]], SnapshotTable[[#This Row],[SP Is Filled]]), SnapshotTable[[#This Row],[SP Potential Spend]] -  SnapshotTable[[#This Row],[LP Max Value]], 0)</f>
        <v>0</v>
      </c>
      <c r="CJ216" s="229"/>
      <c r="CK216" s="31">
        <f>IF(ISNUMBER(SnapshotTable[[#This Row],[SP Potential Spend]]),IF(ISNUMBER(SnapshotTable[[#This Row],[SP POW]]), SnapshotTable[[#This Row],[SP POW]] * SnapshotTable[[#This Row],[SP Potential Spend]], SnapshotTable[[#This Row],[SP Potential Spend]]), "")</f>
        <v>0</v>
      </c>
      <c r="CL216" s="162">
        <f>IF(NOT(SnapshotTable[[#This Row],[SP Is Filled]]),(SnapshotTable[[#This Row],[SP Qty]] * SnapshotTable[[#This Row],[SP Strike Price]] * 100) - SnapshotTable[[#This Row],[LP Max Value]],"")</f>
        <v>0</v>
      </c>
      <c r="CM216" s="31" t="str">
        <f>IF(SnapshotTable[[#This Row],[SP Actual Spend]]&lt;&gt;0, ((SnapshotTable[[#This Row],[SP Strike Price]]-SnapshotTable[[#This Row],[Last Price]]) *(SnapshotTable[[#This Row],[SP Qty]]*100) - SnapshotTable[[#This Row],[SP Premium]]) * - 1, "")</f>
        <v/>
      </c>
      <c r="CN216" s="76"/>
      <c r="CO216" s="339"/>
      <c r="CP216" s="4" t="str">
        <f>IF(SnapshotTable[[#This Row],[SP Is Filled]], btc_max_buyback_amount(SnapshotTable[[#This Row],[SP Fill Date]],SnapshotTable[[#This Row],[SP Exp Date]], SnapshotTable[[#This Row],[SP Book Price]]),"")</f>
        <v/>
      </c>
      <c r="CQ216" s="76"/>
      <c r="CR21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6" s="153" t="str">
        <f>IF(SnapshotTable[[#This Row],[SP Is Filled]], btc_next_cutoff_date(SnapshotTable[[#This Row],[SP Fill Date]],SnapshotTable[[#This Row],[SP Exp Date]]),"")</f>
        <v/>
      </c>
      <c r="CT216" s="220" t="str" cm="1">
        <f t="array" ref="CT216">IF(SnapshotTable[[#This Row],[SP Is Filled]], btc_should_buy_back(SnapshotTable[[#This Row],[SP Fill Date]], SnapshotTable[[#This Row],[SP Exp Date]], SnapshotTable[[#This Row],[SP Book Price]], SnapshotTable[[#This Row],[SP Current Ask]], MockToday, SnapshotTable[[#This Row],[SP Buyback Override]]),"")</f>
        <v/>
      </c>
      <c r="CU216" s="141"/>
      <c r="CV216" s="220"/>
      <c r="CW216" s="348" t="str">
        <f>IF(ISNUMBER( SnapshotTable[[#This Row],[SP Term]]), SnapshotTable[[#This Row],[SP Exp Date]] - MockToday,"")</f>
        <v/>
      </c>
      <c r="CX216" s="31" t="str">
        <f>IF(SnapshotTable[[#This Row],[SP Is Filled]],SnapshotTable[[#This Row],[SP Buyback Price to Use]] * 100 * SnapshotTable[[#This Row],[SP Qty]], "")</f>
        <v/>
      </c>
      <c r="CY216" s="4" t="str">
        <f>IF(ISNUMBER(SnapshotTable[[#This Row],[SP Strike Price]]), SnapshotTable[[#This Row],[SP Strike Price]] * (1 - SP_MaxLoss_StrikePct), "")</f>
        <v/>
      </c>
      <c r="CZ216" s="31" t="str">
        <f>IF(ISNUMBER(SnapshotTable[[#This Row],[SP Strike  Stop Per Share]]),SnapshotTable[[#This Row],[SP Premium]] - ((SnapshotTable[[#This Row],[SP Strike Price]]-SnapshotTable[[#This Row],[SP Strike  Stop Per Share]]) *(SnapshotTable[[#This Row],[SP Qty]] * 100)),"")</f>
        <v/>
      </c>
      <c r="DA216" s="4" t="str">
        <f>IF(AND(ISNUMBER(SnapshotTable[[#This Row],[SP Premium]]),SnapshotTable[[#This Row],[SP Premium]]&gt;0), SnapshotTable[[#This Row],[SP Book Price]] * (1 + SP_MaxLoss_OptionPct), "")</f>
        <v/>
      </c>
      <c r="DB216" s="31" t="str">
        <f>IF(ISNUMBER(SnapshotTable[[#This Row],[SP Option  Stop Contract]]),(SnapshotTable[[#This Row],[SP Option  Stop Contract]] *(SnapshotTable[[#This Row],[SP Qty]] * 100) - SnapshotTable[[#This Row],[SP Premium]]),"")</f>
        <v/>
      </c>
      <c r="DC216" s="4"/>
      <c r="DD216" s="4"/>
      <c r="DE216" s="4" t="str">
        <f>IF(AND(SnapshotTable[[#This Row],[SP Qty]]&gt;0, SnapshotTable[[#This Row],[SP Stop To Use]]&gt;0),SnapshotTable[[#This Row],[SP Premium]] - ( SnapshotTable[[#This Row],[SP Qty]] * SnapshotTable[[#This Row],[SP Stop To Use]] * 100), "")</f>
        <v/>
      </c>
      <c r="DF216" s="31" t="str">
        <f>IF(AND(SnapshotTable[[#This Row],[SP Qty]]&gt;0,SnapshotTable[[#This Row],[SP Current Ask]]&gt;0), SnapshotTable[[#This Row],[SP Qty]] * SnapshotTable[[#This Row],[SP Current Ask]] * -100, "")</f>
        <v/>
      </c>
      <c r="DG216" s="31" t="str">
        <f>IF(ISNUMBER((SnapshotTable[[#This Row],[SP Total Value]])), SnapshotTable[[#This Row],[SP Premium]] + SnapshotTable[[#This Row],[SP Total Value]], "")</f>
        <v/>
      </c>
      <c r="DH216" s="272" t="str">
        <f>IF(ISNUMBER((SnapshotTable[[#This Row],[SP Total Value]])), SnapshotTable[[#This Row],[SP Gain Loss]] / SnapshotTable[[#This Row],[SP Premium]], "")</f>
        <v/>
      </c>
      <c r="DI216" s="369"/>
      <c r="DJ216" s="136"/>
      <c r="DK216" s="146"/>
      <c r="DL216" s="13"/>
      <c r="DM216" s="13"/>
      <c r="DO216" s="31">
        <f>IF(SnapshotTable[[#This Row],[LC Symbol Count]]=1, SnapshotTable[[#This Row],[LC Qty]] * SnapshotTable[[#This Row],[LC Book Price]] * 100, 0)</f>
        <v>0</v>
      </c>
      <c r="DP216" s="161" t="str">
        <f>IF(AND(SnapshotTable[[#This Row],[LC Exp Date]]&gt;0, SnapshotTable[[#This Row],[LC Strike Price]]&gt;0,SnapshotTable[[#This Row],[LC Qty]]&gt;0,SnapshotTable[[#This Row],[LC Book Date]]&gt;0,SnapshotTable[[#This Row],[LC Book Price]]&gt;0,SnapshotTable[[#This Row],[LC Fill Date]]=0),"Y","")</f>
        <v/>
      </c>
      <c r="DQ216" s="356" t="str">
        <f>IF(SnapshotTable[[#This Row],[LC Premium]] &gt; 0,SnapshotTable[[#This Row],[LC Exp Date]]-MAX(SnapshotTable[[#This Row],[LC Book Date]], SnapshotTable[[#This Row],[LC Fill Date]]),"")</f>
        <v/>
      </c>
      <c r="DR216" s="356" t="str">
        <f>IF(ISNUMBER(SnapshotTable[[#This Row],[LC Term]]), SnapshotTable[[#This Row],[LC Exp Date]] - MockToday, "")</f>
        <v/>
      </c>
      <c r="DS216" s="219" t="str">
        <f>IF(SnapshotTable[[#This Row],[LC Premium]]&gt;0,SnapshotTable[[#This Row],[LC Strike Price]] + SnapshotTable[[#This Row],[LC Book Price]],"")</f>
        <v/>
      </c>
      <c r="DU216" s="9" t="str">
        <f>IF(AND(SnapshotTable[[#This Row],[LC Symbol Count]]&gt;0, SnapshotTable[[#This Row],[LC Contract Value]]&gt;0), SnapshotTable[[#This Row],[LC Contract Value]] * SnapshotTable[[#This Row],[LC Qty]] * 100, "")</f>
        <v/>
      </c>
      <c r="DV216" s="9" t="str">
        <f>IF(AND(ISNUMBER(SnapshotTable[[#This Row],[LC Total Value]]), SnapshotTable[[#This Row],[LC Not Filled]]&lt;&gt;"Y"), SnapshotTable[[#This Row],[LC Total Value]]-SnapshotTable[[#This Row],[LC Premium]],"")</f>
        <v/>
      </c>
      <c r="DW216" s="225" t="str">
        <f>IF(ISNUMBER(SnapshotTable[[#This Row],[LC Actual Gain Loss]]), SnapshotTable[[#This Row],[LC Actual Gain Loss]] / SnapshotTable[[#This Row],[LC Premium]],"")</f>
        <v/>
      </c>
      <c r="DX216" s="269" t="str">
        <f>IF(ISNUMBER(SnapshotTable[[#This Row],[LC Book Price]]),SnapshotTable[[#This Row],[LC Book Price]] * 1.5,"")</f>
        <v/>
      </c>
      <c r="DY216" s="250" t="str">
        <f>IF(SnapshotTable[[#This Row],[LC Premium]]&gt;0, SnapshotTable[[#This Row],[LC Next Target]] * SnapshotTable[[#This Row],[LC Qty]] * 100,"")</f>
        <v/>
      </c>
      <c r="DZ216" s="250" t="str">
        <f>IF(ISNUMBER(SnapshotTable[[#This Row],[LC Target Gross]]), SnapshotTable[[#This Row],[LC Target Gross]] - SnapshotTable[[#This Row],[LC Premium]], "")</f>
        <v/>
      </c>
      <c r="EA216" s="283" t="str">
        <f>IF(ISNUMBER(SnapshotTable[[#This Row],[LC Target Gain Loss]]), SnapshotTable[[#This Row],[LC Target Gain Loss]]/SnapshotTable[[#This Row],[LC Premium]], "")</f>
        <v/>
      </c>
      <c r="EB216" s="247"/>
      <c r="EC216" s="268" t="str">
        <f>IF(SnapshotTable[[#This Row],[LC Premium]]&gt;0, SnapshotTable[[#This Row],[LC Book Price]] * (1 - LC_StopLoss_Pct),"")</f>
        <v/>
      </c>
      <c r="ED216" s="269"/>
      <c r="EE216" s="268" t="str">
        <f>IF(ISNUMBER(SnapshotTable[[#This Row],[LC Contract Value]]),IF(ISNUMBER(SnapshotTable[[#This Row],[LC Stop Loss Override]]), SnapshotTable[[#This Row],[LC Stop Loss Override]],SnapshotTable[[#This Row],[LC Stop Loss Calc Target]]),"")</f>
        <v/>
      </c>
      <c r="EF216" s="31" t="str">
        <f>IF(ISNUMBER(SnapshotTable[[#This Row],[LC Stop  To Use]]), (SnapshotTable[[#This Row],[LC Stop  To Use]] * SnapshotTable[[#This Row],[LC Qty]] * 100),"")</f>
        <v/>
      </c>
      <c r="EG216" s="9" t="str">
        <f>IF(ISNUMBER(SnapshotTable[[#This Row],[LC Total Value]]),SnapshotTable[[#This Row],[LC Stop Loss Amount]] - SnapshotTable[[#This Row],[LC Premium]],"")</f>
        <v/>
      </c>
      <c r="EH216" s="9">
        <f>IF(ISNUMBER(SnapshotTable[[#This Row],[LC Premium]]), SnapshotTable[[#This Row],[LC Qty]] * 100 * SnapshotTable[[#This Row],[LC Strike Price]], "")</f>
        <v>0</v>
      </c>
      <c r="EI216" s="225" t="str">
        <f>IF(AND(ISNUMBER(SnapshotTable[[#This Row],[LC Total Value]]),SnapshotTable[[#This Row],[LC Total Value]]&gt;0),SnapshotTable[[#This Row],[LC Stop Gain Loss]]  / SnapshotTable[[#This Row],[LC Premium]],"")</f>
        <v/>
      </c>
      <c r="EJ216" s="35">
        <f>IF(ISNUMBER(SnapshotTable[[#This Row],[Equity Shares]]),TRUNC(SnapshotTable[[#This Row],[Equity Shares]] / 100),0) + SnapshotTable[[#This Row],[LC Qty]]</f>
        <v>0</v>
      </c>
      <c r="EK216" s="145"/>
      <c r="EL216" s="136"/>
      <c r="EM216" s="146"/>
      <c r="EN216" s="145"/>
      <c r="EO216" s="145"/>
      <c r="EP216" s="136"/>
      <c r="EQ216" s="382" t="b">
        <f>AND(ISNUMBER(SnapshotTable[[#This Row],[SC Exp Date]]), ISNUMBER(SnapshotTable[[#This Row],[SC Strike Price]]), ISNUMBER(SnapshotTable[[#This Row],[SC Qty]]), ISNUMBER(SnapshotTable[[#This Row],[SC Book Date]]), ISNUMBER(SnapshotTable[[#This Row],[SC Book Price]]))</f>
        <v>0</v>
      </c>
      <c r="ER216" s="382" t="b">
        <f>AND(SnapshotTable[[#This Row],[SC Is Booked]], NOT(ISBLANK(SnapshotTable[[#This Row],[SC Fill Date]])))</f>
        <v>0</v>
      </c>
      <c r="ES216" s="340"/>
      <c r="ET216" s="34" t="str">
        <f>IF(AND(ISNUMBER(SnapshotTable[[#This Row],[SC Exp Date]]), ISNUMBER(SnapshotTable[[#This Row],[SC Book Date]])), SnapshotTable[[#This Row],[SC Exp Date]] - MAX(SnapshotTable[[#This Row],[SC Book Date]], SnapshotTable[[#This Row],[SC Fill Date]]) + 1, "")</f>
        <v/>
      </c>
      <c r="EU216" s="34" t="str">
        <f>IF(ISNUMBER(SnapshotTable[[#This Row],[SC Term]]), SnapshotTable[[#This Row],[SC Exp Date]]- MockToday, "")</f>
        <v/>
      </c>
      <c r="EV216" s="31">
        <f>IF(SnapshotTable[[#This Row],[SC Is Booked]], SnapshotTable[[#This Row],[SC Qty]] * SnapshotTable[[#This Row],[SC Book Price]] * 100, 0)</f>
        <v>0</v>
      </c>
      <c r="EW216" s="4" t="str">
        <f>IF(AND(ISNUMBER(SnapshotTable[[#This Row],[Last Price]]), ISNUMBER( SnapshotTable[[#This Row],[SC Book Price]])), SnapshotTable[[#This Row],[Last Price]] - SnapshotTable[[#This Row],[SC Book Price]],"")</f>
        <v/>
      </c>
      <c r="EX216" s="219" t="str">
        <f>IF(SnapshotTable[[#This Row],[SC Is Booked]],IF(SnapshotTable[[#This Row],[SC Intrinsic Value]] &gt; 0, SnapshotTable[[#This Row],[SC Strike Price]], SnapshotTable[[#This Row],[Last Price]]), "")</f>
        <v/>
      </c>
      <c r="EY216" s="4">
        <f>IF(SnapshotTable[[#This Row],[SC Is Booked]], (MinimumPremiumRequired * SnapshotTable[[#This Row],[SC Basis]] * SnapshotTable[[#This Row],[SC Term]]), 0)</f>
        <v>0</v>
      </c>
      <c r="EZ216" s="268"/>
      <c r="FA216" s="204"/>
      <c r="FB216" s="340"/>
      <c r="FC216" s="4">
        <f>IF(SnapshotTable[[#This Row],[SC Is Filled]], btc_max_buyback_amount(SnapshotTable[[#This Row],[SC Fill Date]],SnapshotTable[[#This Row],[SC Exp Date]], SnapshotTable[[#This Row],[SC Book Price]]),0)</f>
        <v>0</v>
      </c>
      <c r="FD216" s="5"/>
      <c r="FE216" s="142" t="str">
        <f>IF(SnapshotTable[[#This Row],[SC Is Filled]], btc_next_cutoff_date(SnapshotTable[[#This Row],[SC Fill Date]],SnapshotTable[[#This Row],[SC Exp Date]]),"")</f>
        <v/>
      </c>
      <c r="FF216" s="4" t="str" cm="1">
        <f t="array" ref="FF216">IF(SnapshotTable[[#This Row],[SC Is Filled]], btc_should_buy_back(SnapshotTable[[#This Row],[SC Fill Date]], SnapshotTable[[#This Row],[SC Exp Date]], SnapshotTable[[#This Row],[SC Book Price]], SnapshotTable[[#This Row],[SC Current Ask]], MockToday, SnapshotTable[[#This Row],[SC Buyback Override]]),"")</f>
        <v/>
      </c>
      <c r="FG216" s="4">
        <f>IF(SnapshotTable[[#This Row],[SC Is Filled]], MAX(0,SnapshotTable[[#This Row],[Last Price]]  - SnapshotTable[[#This Row],[SC Strike Price]]), 0)</f>
        <v>0</v>
      </c>
      <c r="FH216" s="352">
        <f>IF(SnapshotTable[[#This Row],[SC Is Filled]], IF(ISNUMBER(SnapshotTable[[#This Row],[SC Current Ask]]), SnapshotTable[[#This Row],[SC Current Ask]], SnapshotTable[[#This Row],[SC Book Price]]) - SnapshotTable[[#This Row],[SC Intrinsic Value]], 0)</f>
        <v>0</v>
      </c>
      <c r="FI216" s="141"/>
      <c r="FJ216" s="32" t="str">
        <f>IF(SnapshotTable[[#This Row],[SC Is Filled]],100 * SnapshotTable[[#This Row],[SC Qty]] * IF(ISNUMBER(SnapshotTable[[#This Row],[SC Buyback Override]]), SnapshotTable[[#This Row],[SC Buyback Override]], SnapshotTable[[#This Row],[SC Current Ask]]), "")</f>
        <v/>
      </c>
      <c r="FK216" s="235" t="str">
        <f>IF(SnapshotTable[[#This Row],[SC Time Val]]&gt;0, SnapshotTable[[#This Row],[SC Time Val]] / SnapshotTable[[#This Row],[Last Price]],"")</f>
        <v/>
      </c>
      <c r="FL216" s="280" t="str">
        <f>IF(SnapshotTable[[#This Row],[SC Is Booked]], ((SnapshotTable[[#This Row],[Last Price]] -SnapshotTable[[#This Row],[SC Strike Price]]) / SnapshotTable[[#This Row],[Last Price]]) * -1, "")</f>
        <v/>
      </c>
      <c r="FM216" s="155" t="str">
        <f>IF(SnapshotTable[[#This Row],[SC Is Booked]],  (SnapshotTable[[#This Row],[SC Qty]] * 100 * SnapshotTable[[#This Row],[SC Strike Price]]) - SnapshotTable[[#This Row],[SC Current Ask]], "")</f>
        <v/>
      </c>
      <c r="FN21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6" s="31" t="str">
        <f>IF(AND(ISNUMBER(SnapshotTable[[#This Row],[SC Exercise Gross]]), ISNUMBER(SnapshotTable[[#This Row],[Equity Basis Per Share]] )), SnapshotTable[[#This Row],[SC Exercise Gross]] - SnapshotTable[[#This Row],[Equity Basis Total]] +  SnapshotTable[[#This Row],[SC Premium]], "")</f>
        <v/>
      </c>
      <c r="FP216" s="5" t="str">
        <f>IF(ISNUMBER(SnapshotTable[[#This Row],[SC Exercise Gross]]), (SnapshotTable[[#This Row],[SC Exercise Gross]]) / (SnapshotTable[[#This Row],[SC Qty]] * 100), "")</f>
        <v/>
      </c>
      <c r="FQ216" s="27" t="str">
        <f>IF(SnapshotTable[[#This Row],[SC Is Booked]],SnapshotTable[[#This Row],[SC Time Val]] /SnapshotTable[[#This Row],[SC Basis]], "")</f>
        <v/>
      </c>
      <c r="FR216" s="27" t="str" cm="1">
        <f t="array" ref="FR216">IF(AND(ISNUMBER(SnapshotTable[[#This Row],[SC Term]]),ISNUMBER(SnapshotTable[[#This Row],[SC Simple ROO]])), EllmanAnnualize(SnapshotTable[[#This Row],[SC DTE]], SnapshotTable[[#This Row],[SC Simple ROO]] ),"")</f>
        <v/>
      </c>
      <c r="FS216" s="4">
        <f>IF(SnapshotTable[[#This Row],[SC Strike Price]] &gt; SnapshotTable[[#This Row],[Last Price]], SnapshotTable[[#This Row],[SC Strike Price]] - SnapshotTable[[#This Row],[Last Price]],0)</f>
        <v>0</v>
      </c>
      <c r="FT216" s="27" t="str">
        <f>IF(AND(ISNUMBER(SnapshotTable[[#This Row],[SC Upside Potential]]), SnapshotTable[[#This Row],[SC Upside Potential]] &gt; 0),(SnapshotTable[[#This Row],[SC Upside Potential]]/ SnapshotTable[[#This Row],[ACB]]),"")</f>
        <v/>
      </c>
      <c r="FU216" s="304" t="str">
        <f>IF(SnapshotTable[[#This Row],[SC Intrinsic Value]] &gt; 0,SnapshotTable[[#This Row],[SC Intrinsic Value]],"")</f>
        <v/>
      </c>
      <c r="FV216" s="27" t="str">
        <f>IF(AND( ISNUMBER( SnapshotTable[[#This Row],[ACB]]),ISNUMBER(SnapshotTable[[#This Row],[SC Downside Protect]])),SnapshotTable[[#This Row],[SC Downside Protect]] / SnapshotTable[[#This Row],[ACB]],"")</f>
        <v/>
      </c>
      <c r="FW216" s="221" t="str">
        <f>IF(AND(ISNUMBER(SnapshotTable[[#This Row],[SC Simple ROO]]),SnapshotTable[[#This Row],[SC Simple ROO]] &gt; 0), SnapshotTable[[#This Row],[SC Premium]] + (SnapshotTable[[#This Row],[SC Qty]] * SnapshotTable[[#This Row],[SC Upside Potential]]), "")</f>
        <v/>
      </c>
      <c r="FX216" s="280" t="str" cm="1">
        <f t="array" ref="FX216">IF(ISNUMBER(SnapshotTable[[#This Row],[SC Max Dollars]]), annualize(SnapshotTable[[#This Row],[SC Term]],(SnapshotTable[[#This Row],[SC Max Dollars]]/SnapshotTable[[#This Row],[SC Basis]])),"")</f>
        <v/>
      </c>
      <c r="FY216" s="221" t="str">
        <f>IF(AND(SnapshotTable[[#This Row],[SC Qty]]&gt;0,SnapshotTable[[#This Row],[SC Current Ask]]&gt;0), SnapshotTable[[#This Row],[SC Qty]] * SnapshotTable[[#This Row],[SC Current Ask]] * -100, "")</f>
        <v/>
      </c>
      <c r="FZ216" s="31" t="str">
        <f>IF(ISNUMBER((SnapshotTable[[#This Row],[SC Current Value]])), SnapshotTable[[#This Row],[SC Premium]] + SnapshotTable[[#This Row],[SC Current Value]], "")</f>
        <v/>
      </c>
      <c r="GA216" s="272" t="str">
        <f>IFERROR( IF(ISNUMBER((SnapshotTable[[#This Row],[SC Current Value]])), SnapshotTable[[#This Row],[SC Gain Loss]] / SnapshotTable[[#This Row],[SC Premium]], ""), "")</f>
        <v/>
      </c>
      <c r="GB216" s="42">
        <f>SnapshotTable[[#This Row],[Equity Shares]] * SaleSharesToConsiderPercentage</f>
        <v>0</v>
      </c>
      <c r="GC216" s="40">
        <f>SnapshotTable[[#This Row],[Long Term Target]] * SellingPriceToConsiderBasedOnTargetPercentage</f>
        <v>39.025999999999996</v>
      </c>
      <c r="GD216" s="40">
        <f>SnapshotTable[[#This Row],[Last Price]] * (1+ SellingPriceToConsiderBasedOnTargetPercentage)</f>
        <v>66.923999999999992</v>
      </c>
      <c r="GE216" s="41"/>
      <c r="GF216" s="40"/>
      <c r="GG216" s="31">
        <f>SnapshotTable[[#This Row],[Booked Sale Shares]] * SnapshotTable[[#This Row],[Booked Sale Price]]</f>
        <v>0</v>
      </c>
      <c r="GH216" s="31" t="str">
        <f>IF(SnapshotTable[[#This Row],[Equity Basis Total]] &gt; 0, SnapshotTable[[#This Row],[Equity Basis Per Share]] * SnapshotTable[[#This Row],[Booked Sale Shares]], "")</f>
        <v/>
      </c>
      <c r="GI216" s="31">
        <f>IF(SnapshotTable[[#This Row],[Sale Proceeds]]&gt;0, SnapshotTable[[#This Row],[Sale Proceeds]] - SnapshotTable[[#This Row],[Sale Basis]], 0)</f>
        <v>0</v>
      </c>
      <c r="GJ216" s="27" t="str">
        <f>IF(SnapshotTable[[#This Row],[Sale G/L]]&gt;0, SnapshotTable[[#This Row],[Sale G/L]] / SnapshotTable[[#This Row],[Sale Basis]], IF(ISNUMBER(SnapshotTable[[#This Row],[SC Exercise P&amp;L (TAX)]]), SnapshotTable[[#This Row],[SC Exercise P&amp;L (TAX)]] / SnapshotTable[[#This Row],[SC Basis]], ""))</f>
        <v/>
      </c>
      <c r="GK216" s="27" t="s">
        <v>608</v>
      </c>
      <c r="GL216" s="43" t="str">
        <f>IF(AND(SnapshotTable[[#This Row],[LP Exp Date]]&gt;0,SnapshotTable[[#This Row],[LP Strike Price]]&gt;0), [1]!ToOptionSymbol(SnapshotTable[[#This Row],[Symbol]], SnapshotTable[[#This Row],[LP Strike Price]],SnapshotTable[[#This Row],[LP Exp Date]],1), "")</f>
        <v/>
      </c>
      <c r="GM216" s="30" t="str">
        <f>IF(LEN(SnapshotTable[[#This Row],[LP Symbol]])&gt;0, 1, "")</f>
        <v/>
      </c>
      <c r="GN216" s="43" t="str">
        <f>IF(AND(SnapshotTable[[#This Row],[SP Exp Date]]&gt;0,SnapshotTable[[#This Row],[SP Strike Price]]&gt;0), [1]!ToOptionSymbol(SnapshotTable[[#This Row],[Symbol]], SnapshotTable[[#This Row],[SP Strike Price]],SnapshotTable[[#This Row],[SP Exp Date]],1), "")</f>
        <v/>
      </c>
      <c r="GO216" s="30" t="str">
        <f>IF(LEN(SnapshotTable[[#This Row],[SP Symbol]])&gt;0, 1, "")</f>
        <v/>
      </c>
      <c r="GP216" s="43" t="str">
        <f>IF(AND(SnapshotTable[[#This Row],[LC Exp Date]]&gt;0,SnapshotTable[[#This Row],[LC Strike Price]]&gt;0), [1]!ToOptionSymbol(SnapshotTable[[#This Row],[Symbol]], SnapshotTable[[#This Row],[LC Strike Price]],SnapshotTable[[#This Row],[LC Exp Date]],0), "")</f>
        <v/>
      </c>
      <c r="GQ216" s="30" t="str">
        <f>IF(LEN(SnapshotTable[[#This Row],[LC Symbol]])&gt;0, 1, "")</f>
        <v/>
      </c>
      <c r="GR216" s="43" t="str">
        <f>IF(AND(SnapshotTable[[#This Row],[SC Exp Date]]&gt;0,SnapshotTable[[#This Row],[SC Strike Price]]&gt;0), [1]!ToOptionSymbol(SnapshotTable[[#This Row],[Symbol]], SnapshotTable[[#This Row],[SC Strike Price]],SnapshotTable[[#This Row],[SC Exp Date]],0), "")</f>
        <v/>
      </c>
      <c r="GS216" s="30" t="str">
        <f>IF(LEN(SnapshotTable[[#This Row],[SC Symbol]])&gt;0, 1, "")</f>
        <v/>
      </c>
      <c r="GT216" s="29" t="str">
        <f>IF(COUNT(SnapshotTable[[#This Row],[LP Symbol Count]],SnapshotTable[[#This Row],[SP Symbol Count]],SnapshotTable[[#This Row],[LC Symbol Count]],SnapshotTable[[#This Row],[SC Symbol Count]])&gt;0, "Y", "")</f>
        <v/>
      </c>
      <c r="GU21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6" s="216">
        <f>MAX(SnapshotTable[[#This Row],[Equity Basis Total]],SnapshotTable[[#This Row],[Equity Value]]) + (SnapshotTable[[#This Row],[SP Potential Spend]]- SnapshotTable[[#This Row],[SP Premium]] + SnapshotTable[[#This Row],[LP Premium]])+ (SnapshotTable[[#This Row],[LC Premium]] - SnapshotTable[[#This Row],[SC Premium]])</f>
        <v>0</v>
      </c>
      <c r="GW216" s="137" t="str">
        <f>IF(AND(SnapshotTable[[#This Row],[Exposure]] &lt;&gt; 0),SnapshotTable[[#This Row],[Exposure]] / SnapshotTable[[#Totals],[Exposure]], "")</f>
        <v/>
      </c>
      <c r="HB216" s="189"/>
      <c r="HK216" s="1"/>
      <c r="HL216" s="1"/>
      <c r="HM216" s="1"/>
      <c r="HN216" s="1"/>
      <c r="HO216" s="1"/>
      <c r="HP216" s="1"/>
    </row>
    <row r="217" spans="2:224" ht="12.75" hidden="1" customHeight="1" x14ac:dyDescent="0.25">
      <c r="B217" s="12" t="s">
        <v>58</v>
      </c>
      <c r="C217" s="385">
        <v>34.32</v>
      </c>
      <c r="D217" s="200"/>
      <c r="E217" s="39">
        <f>SnapshotTable[[#This Row],[Last Price]]*(1 -CrashDiscount)</f>
        <v>29.172000000000001</v>
      </c>
      <c r="F217" s="26" t="s">
        <v>57</v>
      </c>
      <c r="G217" s="26" t="s">
        <v>12</v>
      </c>
      <c r="H217" s="147"/>
      <c r="I217" s="186">
        <v>44777.270833333336</v>
      </c>
      <c r="J217" s="187">
        <v>44777.270833333336</v>
      </c>
      <c r="K217" s="188"/>
      <c r="L217" s="297"/>
      <c r="M217" s="138"/>
      <c r="N217" s="138"/>
      <c r="O217" s="138"/>
      <c r="P217" s="22"/>
      <c r="Q217" s="25"/>
      <c r="R217" s="4" t="str">
        <f>IF(SnapshotTable[[#This Row],[Equity Basis Total]] &gt; 0, SnapshotTable[[#This Row],[Equity Basis Total]] / SnapshotTable[[#This Row],[Equity Shares]], "")</f>
        <v/>
      </c>
      <c r="S217" s="254">
        <f>SnapshotTable[[#This Row],[Last Price]] * SnapshotTable[[#This Row],[Equity Shares]]</f>
        <v>0</v>
      </c>
      <c r="T217" s="254">
        <f>SnapshotTable[[#This Row],[Equity Value]] - SnapshotTable[[#This Row],[Equity Basis Total]]</f>
        <v>0</v>
      </c>
      <c r="U217" s="255" t="str">
        <f>IF(SnapshotTable[[#This Row],[Equity Basis Total]] &gt; 0, SnapshotTable[[#This Row],[Equity G/L]] / SnapshotTable[[#This Row],[Equity Basis Total]], "")</f>
        <v/>
      </c>
      <c r="V217" s="253"/>
      <c r="W217" s="253"/>
      <c r="X217" s="4" t="str">
        <f>IF(AND(ISNUMBER(SnapshotTable[[#This Row],[Equity Basis Per Share]]),ISNUMBER(SnapshotTable[[#This Row],[Equity Target]])),SnapshotTable[[#This Row],[Equity Target]]-SnapshotTable[[#This Row],[Equity Basis Per Share]],"")</f>
        <v/>
      </c>
      <c r="Y217" s="4" t="str">
        <f>IF(AND(ISNUMBER(SnapshotTable[[#This Row],[Equity Basis Per Share]]),ISNUMBER(SnapshotTable[[#This Row],[Equity Stop Loss]])),SnapshotTable[[#This Row],[Equity Stop Loss]]-SnapshotTable[[#This Row],[Equity Basis Per Share]],"")</f>
        <v/>
      </c>
      <c r="Z217" s="260" t="str">
        <f>IFERROR( TEXT(SnapshotTable[[#This Row],[Equity Max Gain Per Share]] /ABS( SnapshotTable[[#This Row],[Equity Max Loss Per Share]]),"0.0 " ) &amp; " : 1", "")</f>
        <v/>
      </c>
      <c r="AA217" s="31" t="str">
        <f>IF(ISNUMBER(SnapshotTable[[#This Row],[Equity Max Gain Per Share]]),SnapshotTable[[#This Row],[Equity Max Gain Per Share]] * SnapshotTable[[#This Row],[Equity Shares]],"")</f>
        <v/>
      </c>
      <c r="AB217" s="31" t="str">
        <f>IF(ISNUMBER(SnapshotTable[[#This Row],[Equity Max Loss Per Share]]),SnapshotTable[[#This Row],[Equity Max Loss Per Share]] * SnapshotTable[[#This Row],[Equity Shares]],"")</f>
        <v/>
      </c>
      <c r="AC217" s="148"/>
      <c r="AD217" s="149"/>
      <c r="AE217" s="31">
        <f>(SnapshotTable[[#This Row],[Annual Dividend Per Share]] / 4) * SnapshotTable[[#This Row],[Equity Shares]]</f>
        <v>0</v>
      </c>
      <c r="AF217" s="31">
        <f>SnapshotTable[[#This Row],[Quarterly Div $]] * 4</f>
        <v>0</v>
      </c>
      <c r="AG217" s="7">
        <f>IF(SnapshotTable[[#This Row],[Annual Dividend Per Share]]&gt;0, SnapshotTable[[#This Row],[Annual Dividend Per Share]]  / SnapshotTable[[#This Row],[Last Price]], 0)</f>
        <v>0</v>
      </c>
      <c r="AH217" s="149"/>
      <c r="AI217" s="5"/>
      <c r="AJ217" s="136">
        <v>41.08</v>
      </c>
      <c r="AK217" s="150" t="str">
        <f>IF(ISNUMBER( SnapshotTable[[#This Row],[EBF Target]]),(SnapshotTable[[#This Row],[EBF Target]] - SnapshotTable[[#This Row],[Last Price]]) / SnapshotTable[[#This Row],[Last Price]], "")</f>
        <v/>
      </c>
      <c r="AL217" s="150" t="str">
        <f>IF(AND(SnapshotTable[[#This Row],[Equity Basis Total]] &gt; 0,ISNUMBER( SnapshotTable[[#This Row],[Long Term Target]])), SnapshotTable[[#This Row],[From Basis $]] / SnapshotTable[[#This Row],[Equity Basis Total]], "")</f>
        <v/>
      </c>
      <c r="AM217" s="9">
        <f>IF( AND(SnapshotTable[[#This Row],[Equity Shares]] &gt;0,ISNUMBER( SnapshotTable[[#This Row],[Long Term Target]])),(SnapshotTable[[#This Row],[Equity Shares]] * SnapshotTable[[#This Row],[Long Term Target]]) - SnapshotTable[[#This Row],[Equity Basis Total]],0)</f>
        <v>0</v>
      </c>
      <c r="AN217" s="9">
        <f>IF( AND(SnapshotTable[[#This Row],[Equity Shares]] &gt;0,ISNUMBER( SnapshotTable[[#This Row],[Long Term Target]])),(SnapshotTable[[#This Row],[Equity Shares]]*SnapshotTable[[#This Row],[Long Term Target]]) - SnapshotTable[[#This Row],[Equity Value]],0)</f>
        <v>0</v>
      </c>
      <c r="AO217" s="150">
        <f>IF(AND(ISNUMBER( SnapshotTable[[#This Row],[Long Term Target]]), ISNUMBER(SnapshotTable[[#This Row],[Last Price]])),(SnapshotTable[[#This Row],[Long Term Target]] - SnapshotTable[[#This Row],[Last Price]]) / SnapshotTable[[#This Row],[Last Price]], "")</f>
        <v>0.19696969696969691</v>
      </c>
      <c r="AP217" s="5"/>
      <c r="AQ217" s="38"/>
      <c r="AR217" s="5"/>
      <c r="AS217" s="38"/>
      <c r="AT217" s="144"/>
      <c r="AU217" s="185" t="str">
        <f>IF(OR(SnapshotTable[[#This Row],[LP No Fill]]="Y",SnapshotTable[[#This Row],[SP Is Filled]],SnapshotTable[[#This Row],[LC Not Filled]]="Y",SnapshotTable[[#This Row],[SC Is Filled]]),"Y","")</f>
        <v/>
      </c>
      <c r="AV217" s="205"/>
      <c r="AW217" s="211"/>
      <c r="AX217" s="206"/>
      <c r="AY217" s="205" t="str">
        <f>IF(SnapshotTable[[#This Row],[Implied Move]]&gt;0, SnapshotTable[[#This Row],[Last Price]]-SnapshotTable[[#This Row],[Implied Move]],"")</f>
        <v/>
      </c>
      <c r="AZ217" s="205" t="str">
        <f>IF(SnapshotTable[[#This Row],[Implied Move]]&gt;0, SnapshotTable[[#This Row],[Last Price]] + SnapshotTable[[#This Row],[Implied Move]],"")</f>
        <v/>
      </c>
      <c r="BA217" s="302"/>
      <c r="BB217" s="318"/>
      <c r="BC21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7" s="321"/>
      <c r="BE217" s="5"/>
      <c r="BF217" s="14"/>
      <c r="BG217" s="13"/>
      <c r="BH217" s="13"/>
      <c r="BI217" s="5"/>
      <c r="BJ217" s="134">
        <f>IF(SnapshotTable[[#This Row],[LP Qty]] &gt; 0, SnapshotTable[[#This Row],[LP Qty]] * SnapshotTable[[#This Row],[LP Book Price]] * 100,0)</f>
        <v>0</v>
      </c>
      <c r="BK217" s="134">
        <f>IF(SnapshotTable[[#This Row],[LP Premium]] &gt; 0, SnapshotTable[[#This Row],[LP Qty]] * SnapshotTable[[#This Row],[LP Strike Price]] * 100,0)</f>
        <v>0</v>
      </c>
      <c r="BL217" s="152"/>
      <c r="BM217" s="355" t="str">
        <f>IF(SnapshotTable[[#This Row],[LP Premium]] &gt; 0,SnapshotTable[[#This Row],[LP Exp Date]]-MAX(SnapshotTable[[#This Row],[LP Book Date]], SnapshotTable[[#This Row],[LP Fill Date]]),"")</f>
        <v/>
      </c>
      <c r="BN217" s="355" t="str">
        <f>IF(ISNUMBER( SnapshotTable[[#This Row],[LP Term]]), SnapshotTable[[#This Row],[LP Exp Date]] - MockToday,"")</f>
        <v/>
      </c>
      <c r="BO217" s="161" t="str">
        <f>IF(AND(SnapshotTable[[#This Row],[LP Exp Date]]&gt;0, SnapshotTable[[#This Row],[LP Strike Price]]&gt;0,SnapshotTable[[#This Row],[LP Qty]]&gt;0,SnapshotTable[[#This Row],[LP Book Date]]&gt;0,SnapshotTable[[#This Row],[LP Book Price]]&gt;0,SnapshotTable[[#This Row],[LP Fill Date]]=0),"Y","")</f>
        <v/>
      </c>
      <c r="BP217" s="31" t="str">
        <f>IF(AND(SnapshotTable[[#This Row],[LP No Fill]]&lt;&gt;"Y",SnapshotTable[[#This Row],[LP Contract Value]]&gt;0, SnapshotTable[[#This Row],[LP Qty]]&gt;0), SnapshotTable[[#This Row],[LP Contract Value]]*SnapshotTable[[#This Row],[LP Qty]]*100,"")</f>
        <v/>
      </c>
      <c r="BQ217" s="13"/>
      <c r="BR217" s="5"/>
      <c r="BS217" s="36"/>
      <c r="BT217" s="145"/>
      <c r="BU217" s="13"/>
      <c r="BV217" s="5"/>
      <c r="BW217" s="382" t="b">
        <f>AND(ISNUMBER(SnapshotTable[[#This Row],[SP Exp Date]]), ISNUMBER(SnapshotTable[[#This Row],[SP Strike Price]]), ISNUMBER(SnapshotTable[[#This Row],[SP Qty]]), ISNUMBER(SnapshotTable[[#This Row],[SP Book Date]]), ISNUMBER(SnapshotTable[[#This Row],[SP Book Price]]))</f>
        <v>0</v>
      </c>
      <c r="BX217" s="382" t="b">
        <f>AND(SnapshotTable[[#This Row],[SP Is Booked]], NOT(ISBLANK(SnapshotTable[[#This Row],[SP Fill Date]])))</f>
        <v>0</v>
      </c>
      <c r="BY217" s="33">
        <f>IF(SnapshotTable[[#This Row],[SP Is Booked]], SnapshotTable[[#This Row],[SP Qty]] * SnapshotTable[[#This Row],[SP Book Price]] * 100, 0)</f>
        <v>0</v>
      </c>
      <c r="BZ217" s="339"/>
      <c r="CA217" s="338">
        <f>SnapshotTable[[#This Row],[LP Qty]]</f>
        <v>0</v>
      </c>
      <c r="CB217" s="4" t="str">
        <f>IF(SnapshotTable[[#This Row],[SP Is Booked]], SnapshotTable[[#This Row],[SP Strike Price]] - SnapshotTable[[#This Row],[SP Book Price]], "")</f>
        <v/>
      </c>
      <c r="CC217" s="19" t="str">
        <f>IF(SnapshotTable[[#This Row],[SP Is Booked]],SnapshotTable[[#This Row],[SP Exp Date]]-MAX(SnapshotTable[[#This Row],[SP Book Date]], SnapshotTable[[#This Row],[SP Fill Date]]),"")</f>
        <v/>
      </c>
      <c r="CD217" s="7" t="str">
        <f>IF(SnapshotTable[[#This Row],[SP Is Booked]], SnapshotTable[[#This Row],[SP Book Price]]/SnapshotTable[[#This Row],[SP Strike Price]], "")</f>
        <v/>
      </c>
      <c r="CE217" s="7" t="str">
        <f>IF(ISNUMBER(SnapshotTable[[#This Row],[SP ROO Term]]),SnapshotTable[[#This Row],[SP ROO Term]]*(365/SnapshotTable[[#This Row],[SP Term]]),"")</f>
        <v/>
      </c>
      <c r="CF217" s="221">
        <f>SnapshotTable[[#This Row],[LP Strike Price]] * SnapshotTable[[#This Row],[LP Qty]] * 100</f>
        <v>0</v>
      </c>
      <c r="CG217" s="31">
        <f>IF(ISNUMBER(SnapshotTable[[#This Row],[SP Premium]]), (SnapshotTable[[#This Row],[SP Qty]] * SnapshotTable[[#This Row],[SP Strike Price]]* 100) - SnapshotTable[[#This Row],[LP Protection]], 0)</f>
        <v>0</v>
      </c>
      <c r="CH217" s="7" t="str">
        <f>IF(ISNUMBER(SnapshotTable[[#This Row],[SP Break Even]]),-1 * (SnapshotTable[[#This Row],[SP Break Even]] - SnapshotTable[[#This Row],[Last Price]]) / SnapshotTable[[#This Row],[Last Price]], "")</f>
        <v/>
      </c>
      <c r="CI217" s="31">
        <f>IF(AND(ISNUMBER((SnapshotTable[[#This Row],[SP Potential Spend]])), SnapshotTable[[#This Row],[SP Strike Price]] &gt; SnapshotTable[[#This Row],[Last Price]], SnapshotTable[[#This Row],[SP Is Filled]]), SnapshotTable[[#This Row],[SP Potential Spend]] -  SnapshotTable[[#This Row],[LP Max Value]], 0)</f>
        <v>0</v>
      </c>
      <c r="CJ217" s="229"/>
      <c r="CK217" s="31">
        <f>IF(ISNUMBER(SnapshotTable[[#This Row],[SP Potential Spend]]),IF(ISNUMBER(SnapshotTable[[#This Row],[SP POW]]), SnapshotTable[[#This Row],[SP POW]] * SnapshotTable[[#This Row],[SP Potential Spend]], SnapshotTable[[#This Row],[SP Potential Spend]]), "")</f>
        <v>0</v>
      </c>
      <c r="CL217" s="162">
        <f>IF(NOT(SnapshotTable[[#This Row],[SP Is Filled]]),(SnapshotTable[[#This Row],[SP Qty]] * SnapshotTable[[#This Row],[SP Strike Price]] * 100) - SnapshotTable[[#This Row],[LP Max Value]],"")</f>
        <v>0</v>
      </c>
      <c r="CM217" s="31" t="str">
        <f>IF(SnapshotTable[[#This Row],[SP Actual Spend]]&lt;&gt;0, ((SnapshotTable[[#This Row],[SP Strike Price]]-SnapshotTable[[#This Row],[Last Price]]) *(SnapshotTable[[#This Row],[SP Qty]]*100) - SnapshotTable[[#This Row],[SP Premium]]) * - 1, "")</f>
        <v/>
      </c>
      <c r="CN217" s="76"/>
      <c r="CO217" s="339"/>
      <c r="CP217" s="4" t="str">
        <f>IF(SnapshotTable[[#This Row],[SP Is Filled]], btc_max_buyback_amount(SnapshotTable[[#This Row],[SP Fill Date]],SnapshotTable[[#This Row],[SP Exp Date]], SnapshotTable[[#This Row],[SP Book Price]]),"")</f>
        <v/>
      </c>
      <c r="CQ217" s="76"/>
      <c r="CR21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7" s="153" t="str">
        <f>IF(SnapshotTable[[#This Row],[SP Is Filled]], btc_next_cutoff_date(SnapshotTable[[#This Row],[SP Fill Date]],SnapshotTable[[#This Row],[SP Exp Date]]),"")</f>
        <v/>
      </c>
      <c r="CT217" s="220" t="str" cm="1">
        <f t="array" ref="CT217">IF(SnapshotTable[[#This Row],[SP Is Filled]], btc_should_buy_back(SnapshotTable[[#This Row],[SP Fill Date]], SnapshotTable[[#This Row],[SP Exp Date]], SnapshotTable[[#This Row],[SP Book Price]], SnapshotTable[[#This Row],[SP Current Ask]], MockToday, SnapshotTable[[#This Row],[SP Buyback Override]]),"")</f>
        <v/>
      </c>
      <c r="CU217" s="141"/>
      <c r="CV217" s="220"/>
      <c r="CW217" s="348" t="str">
        <f>IF(ISNUMBER( SnapshotTable[[#This Row],[SP Term]]), SnapshotTable[[#This Row],[SP Exp Date]] - MockToday,"")</f>
        <v/>
      </c>
      <c r="CX217" s="31" t="str">
        <f>IF(SnapshotTable[[#This Row],[SP Is Filled]],SnapshotTable[[#This Row],[SP Buyback Price to Use]] * 100 * SnapshotTable[[#This Row],[SP Qty]], "")</f>
        <v/>
      </c>
      <c r="CY217" s="4" t="str">
        <f>IF(ISNUMBER(SnapshotTable[[#This Row],[SP Strike Price]]), SnapshotTable[[#This Row],[SP Strike Price]] * (1 - SP_MaxLoss_StrikePct), "")</f>
        <v/>
      </c>
      <c r="CZ217" s="31" t="str">
        <f>IF(ISNUMBER(SnapshotTable[[#This Row],[SP Strike  Stop Per Share]]),SnapshotTable[[#This Row],[SP Premium]] - ((SnapshotTable[[#This Row],[SP Strike Price]]-SnapshotTable[[#This Row],[SP Strike  Stop Per Share]]) *(SnapshotTable[[#This Row],[SP Qty]] * 100)),"")</f>
        <v/>
      </c>
      <c r="DA217" s="4" t="str">
        <f>IF(AND(ISNUMBER(SnapshotTable[[#This Row],[SP Premium]]),SnapshotTable[[#This Row],[SP Premium]]&gt;0), SnapshotTable[[#This Row],[SP Book Price]] * (1 + SP_MaxLoss_OptionPct), "")</f>
        <v/>
      </c>
      <c r="DB217" s="31" t="str">
        <f>IF(ISNUMBER(SnapshotTable[[#This Row],[SP Option  Stop Contract]]),(SnapshotTable[[#This Row],[SP Option  Stop Contract]] *(SnapshotTable[[#This Row],[SP Qty]] * 100) - SnapshotTable[[#This Row],[SP Premium]]),"")</f>
        <v/>
      </c>
      <c r="DC217" s="4"/>
      <c r="DD217" s="4"/>
      <c r="DE217" s="4" t="str">
        <f>IF(AND(SnapshotTable[[#This Row],[SP Qty]]&gt;0, SnapshotTable[[#This Row],[SP Stop To Use]]&gt;0),SnapshotTable[[#This Row],[SP Premium]] - ( SnapshotTable[[#This Row],[SP Qty]] * SnapshotTable[[#This Row],[SP Stop To Use]] * 100), "")</f>
        <v/>
      </c>
      <c r="DF217" s="31" t="str">
        <f>IF(AND(SnapshotTable[[#This Row],[SP Qty]]&gt;0,SnapshotTable[[#This Row],[SP Current Ask]]&gt;0), SnapshotTable[[#This Row],[SP Qty]] * SnapshotTable[[#This Row],[SP Current Ask]] * -100, "")</f>
        <v/>
      </c>
      <c r="DG217" s="31" t="str">
        <f>IF(ISNUMBER((SnapshotTable[[#This Row],[SP Total Value]])), SnapshotTable[[#This Row],[SP Premium]] + SnapshotTable[[#This Row],[SP Total Value]], "")</f>
        <v/>
      </c>
      <c r="DH217" s="272" t="str">
        <f>IF(ISNUMBER((SnapshotTable[[#This Row],[SP Total Value]])), SnapshotTable[[#This Row],[SP Gain Loss]] / SnapshotTable[[#This Row],[SP Premium]], "")</f>
        <v/>
      </c>
      <c r="DI217" s="369"/>
      <c r="DJ217" s="136"/>
      <c r="DK217" s="146"/>
      <c r="DL217" s="13"/>
      <c r="DM217" s="13"/>
      <c r="DO217" s="31">
        <f>IF(SnapshotTable[[#This Row],[LC Symbol Count]]=1, SnapshotTable[[#This Row],[LC Qty]] * SnapshotTable[[#This Row],[LC Book Price]] * 100, 0)</f>
        <v>0</v>
      </c>
      <c r="DP217" s="161" t="str">
        <f>IF(AND(SnapshotTable[[#This Row],[LC Exp Date]]&gt;0, SnapshotTable[[#This Row],[LC Strike Price]]&gt;0,SnapshotTable[[#This Row],[LC Qty]]&gt;0,SnapshotTable[[#This Row],[LC Book Date]]&gt;0,SnapshotTable[[#This Row],[LC Book Price]]&gt;0,SnapshotTable[[#This Row],[LC Fill Date]]=0),"Y","")</f>
        <v/>
      </c>
      <c r="DQ217" s="356" t="str">
        <f>IF(SnapshotTable[[#This Row],[LC Premium]] &gt; 0,SnapshotTable[[#This Row],[LC Exp Date]]-MAX(SnapshotTable[[#This Row],[LC Book Date]], SnapshotTable[[#This Row],[LC Fill Date]]),"")</f>
        <v/>
      </c>
      <c r="DR217" s="356" t="str">
        <f>IF(ISNUMBER(SnapshotTable[[#This Row],[LC Term]]), SnapshotTable[[#This Row],[LC Exp Date]] - MockToday, "")</f>
        <v/>
      </c>
      <c r="DS217" s="219" t="str">
        <f>IF(SnapshotTable[[#This Row],[LC Premium]]&gt;0,SnapshotTable[[#This Row],[LC Strike Price]] + SnapshotTable[[#This Row],[LC Book Price]],"")</f>
        <v/>
      </c>
      <c r="DU217" s="9" t="str">
        <f>IF(AND(SnapshotTable[[#This Row],[LC Symbol Count]]&gt;0, SnapshotTable[[#This Row],[LC Contract Value]]&gt;0), SnapshotTable[[#This Row],[LC Contract Value]] * SnapshotTable[[#This Row],[LC Qty]] * 100, "")</f>
        <v/>
      </c>
      <c r="DV217" s="9" t="str">
        <f>IF(AND(ISNUMBER(SnapshotTable[[#This Row],[LC Total Value]]), SnapshotTable[[#This Row],[LC Not Filled]]&lt;&gt;"Y"), SnapshotTable[[#This Row],[LC Total Value]]-SnapshotTable[[#This Row],[LC Premium]],"")</f>
        <v/>
      </c>
      <c r="DW217" s="225" t="str">
        <f>IF(ISNUMBER(SnapshotTable[[#This Row],[LC Actual Gain Loss]]), SnapshotTable[[#This Row],[LC Actual Gain Loss]] / SnapshotTable[[#This Row],[LC Premium]],"")</f>
        <v/>
      </c>
      <c r="DX217" s="269" t="str">
        <f>IF(ISNUMBER(SnapshotTable[[#This Row],[LC Book Price]]),SnapshotTable[[#This Row],[LC Book Price]] * 1.5,"")</f>
        <v/>
      </c>
      <c r="DY217" s="250" t="str">
        <f>IF(SnapshotTable[[#This Row],[LC Premium]]&gt;0, SnapshotTable[[#This Row],[LC Next Target]] * SnapshotTable[[#This Row],[LC Qty]] * 100,"")</f>
        <v/>
      </c>
      <c r="DZ217" s="250" t="str">
        <f>IF(ISNUMBER(SnapshotTable[[#This Row],[LC Target Gross]]), SnapshotTable[[#This Row],[LC Target Gross]] - SnapshotTable[[#This Row],[LC Premium]], "")</f>
        <v/>
      </c>
      <c r="EA217" s="283" t="str">
        <f>IF(ISNUMBER(SnapshotTable[[#This Row],[LC Target Gain Loss]]), SnapshotTable[[#This Row],[LC Target Gain Loss]]/SnapshotTable[[#This Row],[LC Premium]], "")</f>
        <v/>
      </c>
      <c r="EB217" s="247"/>
      <c r="EC217" s="268" t="str">
        <f>IF(SnapshotTable[[#This Row],[LC Premium]]&gt;0, SnapshotTable[[#This Row],[LC Book Price]] * (1 - LC_StopLoss_Pct),"")</f>
        <v/>
      </c>
      <c r="ED217" s="269"/>
      <c r="EE217" s="268" t="str">
        <f>IF(ISNUMBER(SnapshotTable[[#This Row],[LC Contract Value]]),IF(ISNUMBER(SnapshotTable[[#This Row],[LC Stop Loss Override]]), SnapshotTable[[#This Row],[LC Stop Loss Override]],SnapshotTable[[#This Row],[LC Stop Loss Calc Target]]),"")</f>
        <v/>
      </c>
      <c r="EF217" s="31" t="str">
        <f>IF(ISNUMBER(SnapshotTable[[#This Row],[LC Stop  To Use]]), (SnapshotTable[[#This Row],[LC Stop  To Use]] * SnapshotTable[[#This Row],[LC Qty]] * 100),"")</f>
        <v/>
      </c>
      <c r="EG217" s="9" t="str">
        <f>IF(ISNUMBER(SnapshotTable[[#This Row],[LC Total Value]]),SnapshotTable[[#This Row],[LC Stop Loss Amount]] - SnapshotTable[[#This Row],[LC Premium]],"")</f>
        <v/>
      </c>
      <c r="EH217" s="9">
        <f>IF(ISNUMBER(SnapshotTable[[#This Row],[LC Premium]]), SnapshotTable[[#This Row],[LC Qty]] * 100 * SnapshotTable[[#This Row],[LC Strike Price]], "")</f>
        <v>0</v>
      </c>
      <c r="EI217" s="225" t="str">
        <f>IF(AND(ISNUMBER(SnapshotTable[[#This Row],[LC Total Value]]),SnapshotTable[[#This Row],[LC Total Value]]&gt;0),SnapshotTable[[#This Row],[LC Stop Gain Loss]]  / SnapshotTable[[#This Row],[LC Premium]],"")</f>
        <v/>
      </c>
      <c r="EJ217" s="35">
        <f>IF(ISNUMBER(SnapshotTable[[#This Row],[Equity Shares]]),TRUNC(SnapshotTable[[#This Row],[Equity Shares]] / 100),0) + SnapshotTable[[#This Row],[LC Qty]]</f>
        <v>0</v>
      </c>
      <c r="EK217" s="145"/>
      <c r="EL217" s="136"/>
      <c r="EM217" s="146"/>
      <c r="EN217" s="145"/>
      <c r="EO217" s="145"/>
      <c r="EP217" s="136"/>
      <c r="EQ217" s="382" t="b">
        <f>AND(ISNUMBER(SnapshotTable[[#This Row],[SC Exp Date]]), ISNUMBER(SnapshotTable[[#This Row],[SC Strike Price]]), ISNUMBER(SnapshotTable[[#This Row],[SC Qty]]), ISNUMBER(SnapshotTable[[#This Row],[SC Book Date]]), ISNUMBER(SnapshotTable[[#This Row],[SC Book Price]]))</f>
        <v>0</v>
      </c>
      <c r="ER217" s="382" t="b">
        <f>AND(SnapshotTable[[#This Row],[SC Is Booked]], NOT(ISBLANK(SnapshotTable[[#This Row],[SC Fill Date]])))</f>
        <v>0</v>
      </c>
      <c r="ES217" s="340"/>
      <c r="ET217" s="34" t="str">
        <f>IF(AND(ISNUMBER(SnapshotTable[[#This Row],[SC Exp Date]]), ISNUMBER(SnapshotTable[[#This Row],[SC Book Date]])), SnapshotTable[[#This Row],[SC Exp Date]] - MAX(SnapshotTable[[#This Row],[SC Book Date]], SnapshotTable[[#This Row],[SC Fill Date]]) + 1, "")</f>
        <v/>
      </c>
      <c r="EU217" s="34" t="str">
        <f>IF(ISNUMBER(SnapshotTable[[#This Row],[SC Term]]), SnapshotTable[[#This Row],[SC Exp Date]]- MockToday, "")</f>
        <v/>
      </c>
      <c r="EV217" s="31">
        <f>IF(SnapshotTable[[#This Row],[SC Is Booked]], SnapshotTable[[#This Row],[SC Qty]] * SnapshotTable[[#This Row],[SC Book Price]] * 100, 0)</f>
        <v>0</v>
      </c>
      <c r="EW217" s="4" t="str">
        <f>IF(AND(ISNUMBER(SnapshotTable[[#This Row],[Last Price]]), ISNUMBER( SnapshotTable[[#This Row],[SC Book Price]])), SnapshotTable[[#This Row],[Last Price]] - SnapshotTable[[#This Row],[SC Book Price]],"")</f>
        <v/>
      </c>
      <c r="EX217" s="219" t="str">
        <f>IF(SnapshotTable[[#This Row],[SC Is Booked]],IF(SnapshotTable[[#This Row],[SC Intrinsic Value]] &gt; 0, SnapshotTable[[#This Row],[SC Strike Price]], SnapshotTable[[#This Row],[Last Price]]), "")</f>
        <v/>
      </c>
      <c r="EY217" s="4">
        <f>IF(SnapshotTable[[#This Row],[SC Is Booked]], (MinimumPremiumRequired * SnapshotTable[[#This Row],[SC Basis]] * SnapshotTable[[#This Row],[SC Term]]), 0)</f>
        <v>0</v>
      </c>
      <c r="EZ217" s="268"/>
      <c r="FA217" s="204"/>
      <c r="FB217" s="340"/>
      <c r="FC217" s="4">
        <f>IF(SnapshotTable[[#This Row],[SC Is Filled]], btc_max_buyback_amount(SnapshotTable[[#This Row],[SC Fill Date]],SnapshotTable[[#This Row],[SC Exp Date]], SnapshotTable[[#This Row],[SC Book Price]]),0)</f>
        <v>0</v>
      </c>
      <c r="FD217" s="5"/>
      <c r="FE217" s="142" t="str">
        <f>IF(SnapshotTable[[#This Row],[SC Is Filled]], btc_next_cutoff_date(SnapshotTable[[#This Row],[SC Fill Date]],SnapshotTable[[#This Row],[SC Exp Date]]),"")</f>
        <v/>
      </c>
      <c r="FF217" s="4" t="str" cm="1">
        <f t="array" ref="FF217">IF(SnapshotTable[[#This Row],[SC Is Filled]], btc_should_buy_back(SnapshotTable[[#This Row],[SC Fill Date]], SnapshotTable[[#This Row],[SC Exp Date]], SnapshotTable[[#This Row],[SC Book Price]], SnapshotTable[[#This Row],[SC Current Ask]], MockToday, SnapshotTable[[#This Row],[SC Buyback Override]]),"")</f>
        <v/>
      </c>
      <c r="FG217" s="4">
        <f>IF(SnapshotTable[[#This Row],[SC Is Filled]], MAX(0,SnapshotTable[[#This Row],[Last Price]]  - SnapshotTable[[#This Row],[SC Strike Price]]), 0)</f>
        <v>0</v>
      </c>
      <c r="FH217" s="352">
        <f>IF(SnapshotTable[[#This Row],[SC Is Filled]], IF(ISNUMBER(SnapshotTable[[#This Row],[SC Current Ask]]), SnapshotTable[[#This Row],[SC Current Ask]], SnapshotTable[[#This Row],[SC Book Price]]) - SnapshotTable[[#This Row],[SC Intrinsic Value]], 0)</f>
        <v>0</v>
      </c>
      <c r="FI217" s="141"/>
      <c r="FJ217" s="32" t="str">
        <f>IF(SnapshotTable[[#This Row],[SC Is Filled]],100 * SnapshotTable[[#This Row],[SC Qty]] * IF(ISNUMBER(SnapshotTable[[#This Row],[SC Buyback Override]]), SnapshotTable[[#This Row],[SC Buyback Override]], SnapshotTable[[#This Row],[SC Current Ask]]), "")</f>
        <v/>
      </c>
      <c r="FK217" s="235" t="str">
        <f>IF(SnapshotTable[[#This Row],[SC Time Val]]&gt;0, SnapshotTable[[#This Row],[SC Time Val]] / SnapshotTable[[#This Row],[Last Price]],"")</f>
        <v/>
      </c>
      <c r="FL217" s="280" t="str">
        <f>IF(SnapshotTable[[#This Row],[SC Is Booked]], ((SnapshotTable[[#This Row],[Last Price]] -SnapshotTable[[#This Row],[SC Strike Price]]) / SnapshotTable[[#This Row],[Last Price]]) * -1, "")</f>
        <v/>
      </c>
      <c r="FM217" s="155" t="str">
        <f>IF(SnapshotTable[[#This Row],[SC Is Booked]],  (SnapshotTable[[#This Row],[SC Qty]] * 100 * SnapshotTable[[#This Row],[SC Strike Price]]) - SnapshotTable[[#This Row],[SC Current Ask]], "")</f>
        <v/>
      </c>
      <c r="FN21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7" s="31" t="str">
        <f>IF(AND(ISNUMBER(SnapshotTable[[#This Row],[SC Exercise Gross]]), ISNUMBER(SnapshotTable[[#This Row],[Equity Basis Per Share]] )), SnapshotTable[[#This Row],[SC Exercise Gross]] - SnapshotTable[[#This Row],[Equity Basis Total]] +  SnapshotTable[[#This Row],[SC Premium]], "")</f>
        <v/>
      </c>
      <c r="FP217" s="5" t="str">
        <f>IF(ISNUMBER(SnapshotTable[[#This Row],[SC Exercise Gross]]), (SnapshotTable[[#This Row],[SC Exercise Gross]]) / (SnapshotTable[[#This Row],[SC Qty]] * 100), "")</f>
        <v/>
      </c>
      <c r="FQ217" s="27" t="str">
        <f>IF(SnapshotTable[[#This Row],[SC Is Booked]],SnapshotTable[[#This Row],[SC Time Val]] /SnapshotTable[[#This Row],[SC Basis]], "")</f>
        <v/>
      </c>
      <c r="FR217" s="27" t="str" cm="1">
        <f t="array" ref="FR217">IF(AND(ISNUMBER(SnapshotTable[[#This Row],[SC Term]]),ISNUMBER(SnapshotTable[[#This Row],[SC Simple ROO]])), EllmanAnnualize(SnapshotTable[[#This Row],[SC DTE]], SnapshotTable[[#This Row],[SC Simple ROO]] ),"")</f>
        <v/>
      </c>
      <c r="FS217" s="4">
        <f>IF(SnapshotTable[[#This Row],[SC Strike Price]] &gt; SnapshotTable[[#This Row],[Last Price]], SnapshotTable[[#This Row],[SC Strike Price]] - SnapshotTable[[#This Row],[Last Price]],0)</f>
        <v>0</v>
      </c>
      <c r="FT217" s="27" t="str">
        <f>IF(AND(ISNUMBER(SnapshotTable[[#This Row],[SC Upside Potential]]), SnapshotTable[[#This Row],[SC Upside Potential]] &gt; 0),(SnapshotTable[[#This Row],[SC Upside Potential]]/ SnapshotTable[[#This Row],[ACB]]),"")</f>
        <v/>
      </c>
      <c r="FU217" s="304" t="str">
        <f>IF(SnapshotTable[[#This Row],[SC Intrinsic Value]] &gt; 0,SnapshotTable[[#This Row],[SC Intrinsic Value]],"")</f>
        <v/>
      </c>
      <c r="FV217" s="27" t="str">
        <f>IF(AND( ISNUMBER( SnapshotTable[[#This Row],[ACB]]),ISNUMBER(SnapshotTable[[#This Row],[SC Downside Protect]])),SnapshotTable[[#This Row],[SC Downside Protect]] / SnapshotTable[[#This Row],[ACB]],"")</f>
        <v/>
      </c>
      <c r="FW217" s="221" t="str">
        <f>IF(AND(ISNUMBER(SnapshotTable[[#This Row],[SC Simple ROO]]),SnapshotTable[[#This Row],[SC Simple ROO]] &gt; 0), SnapshotTable[[#This Row],[SC Premium]] + (SnapshotTable[[#This Row],[SC Qty]] * SnapshotTable[[#This Row],[SC Upside Potential]]), "")</f>
        <v/>
      </c>
      <c r="FX217" s="280" t="str" cm="1">
        <f t="array" ref="FX217">IF(ISNUMBER(SnapshotTable[[#This Row],[SC Max Dollars]]), annualize(SnapshotTable[[#This Row],[SC Term]],(SnapshotTable[[#This Row],[SC Max Dollars]]/SnapshotTable[[#This Row],[SC Basis]])),"")</f>
        <v/>
      </c>
      <c r="FY217" s="221" t="str">
        <f>IF(AND(SnapshotTable[[#This Row],[SC Qty]]&gt;0,SnapshotTable[[#This Row],[SC Current Ask]]&gt;0), SnapshotTable[[#This Row],[SC Qty]] * SnapshotTable[[#This Row],[SC Current Ask]] * -100, "")</f>
        <v/>
      </c>
      <c r="FZ217" s="31" t="str">
        <f>IF(ISNUMBER((SnapshotTable[[#This Row],[SC Current Value]])), SnapshotTable[[#This Row],[SC Premium]] + SnapshotTable[[#This Row],[SC Current Value]], "")</f>
        <v/>
      </c>
      <c r="GA217" s="272" t="str">
        <f>IFERROR( IF(ISNUMBER((SnapshotTable[[#This Row],[SC Current Value]])), SnapshotTable[[#This Row],[SC Gain Loss]] / SnapshotTable[[#This Row],[SC Premium]], ""), "")</f>
        <v/>
      </c>
      <c r="GB217" s="42">
        <f>SnapshotTable[[#This Row],[Equity Shares]] * SaleSharesToConsiderPercentage</f>
        <v>0</v>
      </c>
      <c r="GC217" s="40">
        <f>SnapshotTable[[#This Row],[Long Term Target]] * SellingPriceToConsiderBasedOnTargetPercentage</f>
        <v>39.025999999999996</v>
      </c>
      <c r="GD217" s="40">
        <f>SnapshotTable[[#This Row],[Last Price]] * (1+ SellingPriceToConsiderBasedOnTargetPercentage)</f>
        <v>66.923999999999992</v>
      </c>
      <c r="GE217" s="41"/>
      <c r="GF217" s="40"/>
      <c r="GG217" s="31">
        <f>SnapshotTable[[#This Row],[Booked Sale Shares]] * SnapshotTable[[#This Row],[Booked Sale Price]]</f>
        <v>0</v>
      </c>
      <c r="GH217" s="31" t="str">
        <f>IF(SnapshotTable[[#This Row],[Equity Basis Total]] &gt; 0, SnapshotTable[[#This Row],[Equity Basis Per Share]] * SnapshotTable[[#This Row],[Booked Sale Shares]], "")</f>
        <v/>
      </c>
      <c r="GI217" s="31">
        <f>IF(SnapshotTable[[#This Row],[Sale Proceeds]]&gt;0, SnapshotTable[[#This Row],[Sale Proceeds]] - SnapshotTable[[#This Row],[Sale Basis]], 0)</f>
        <v>0</v>
      </c>
      <c r="GJ217" s="27" t="str">
        <f>IF(SnapshotTable[[#This Row],[Sale G/L]]&gt;0, SnapshotTable[[#This Row],[Sale G/L]] / SnapshotTable[[#This Row],[Sale Basis]], IF(ISNUMBER(SnapshotTable[[#This Row],[SC Exercise P&amp;L (TAX)]]), SnapshotTable[[#This Row],[SC Exercise P&amp;L (TAX)]] / SnapshotTable[[#This Row],[SC Basis]], ""))</f>
        <v/>
      </c>
      <c r="GK217" s="27" t="s">
        <v>609</v>
      </c>
      <c r="GL217" s="43" t="str">
        <f>IF(AND(SnapshotTable[[#This Row],[LP Exp Date]]&gt;0,SnapshotTable[[#This Row],[LP Strike Price]]&gt;0), [1]!ToOptionSymbol(SnapshotTable[[#This Row],[Symbol]], SnapshotTable[[#This Row],[LP Strike Price]],SnapshotTable[[#This Row],[LP Exp Date]],1), "")</f>
        <v/>
      </c>
      <c r="GM217" s="30" t="str">
        <f>IF(LEN(SnapshotTable[[#This Row],[LP Symbol]])&gt;0, 1, "")</f>
        <v/>
      </c>
      <c r="GN217" s="43" t="str">
        <f>IF(AND(SnapshotTable[[#This Row],[SP Exp Date]]&gt;0,SnapshotTable[[#This Row],[SP Strike Price]]&gt;0), [1]!ToOptionSymbol(SnapshotTable[[#This Row],[Symbol]], SnapshotTable[[#This Row],[SP Strike Price]],SnapshotTable[[#This Row],[SP Exp Date]],1), "")</f>
        <v/>
      </c>
      <c r="GO217" s="30" t="str">
        <f>IF(LEN(SnapshotTable[[#This Row],[SP Symbol]])&gt;0, 1, "")</f>
        <v/>
      </c>
      <c r="GP217" s="43" t="str">
        <f>IF(AND(SnapshotTable[[#This Row],[LC Exp Date]]&gt;0,SnapshotTable[[#This Row],[LC Strike Price]]&gt;0), [1]!ToOptionSymbol(SnapshotTable[[#This Row],[Symbol]], SnapshotTable[[#This Row],[LC Strike Price]],SnapshotTable[[#This Row],[LC Exp Date]],0), "")</f>
        <v/>
      </c>
      <c r="GQ217" s="30" t="str">
        <f>IF(LEN(SnapshotTable[[#This Row],[LC Symbol]])&gt;0, 1, "")</f>
        <v/>
      </c>
      <c r="GR217" s="43" t="str">
        <f>IF(AND(SnapshotTable[[#This Row],[SC Exp Date]]&gt;0,SnapshotTable[[#This Row],[SC Strike Price]]&gt;0), [1]!ToOptionSymbol(SnapshotTable[[#This Row],[Symbol]], SnapshotTable[[#This Row],[SC Strike Price]],SnapshotTable[[#This Row],[SC Exp Date]],0), "")</f>
        <v/>
      </c>
      <c r="GS217" s="30" t="str">
        <f>IF(LEN(SnapshotTable[[#This Row],[SC Symbol]])&gt;0, 1, "")</f>
        <v/>
      </c>
      <c r="GT217" s="29" t="str">
        <f>IF(COUNT(SnapshotTable[[#This Row],[LP Symbol Count]],SnapshotTable[[#This Row],[SP Symbol Count]],SnapshotTable[[#This Row],[LC Symbol Count]],SnapshotTable[[#This Row],[SC Symbol Count]])&gt;0, "Y", "")</f>
        <v/>
      </c>
      <c r="GU21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7" s="216">
        <f>MAX(SnapshotTable[[#This Row],[Equity Basis Total]],SnapshotTable[[#This Row],[Equity Value]]) + (SnapshotTable[[#This Row],[SP Potential Spend]]- SnapshotTable[[#This Row],[SP Premium]] + SnapshotTable[[#This Row],[LP Premium]])+ (SnapshotTable[[#This Row],[LC Premium]] - SnapshotTable[[#This Row],[SC Premium]])</f>
        <v>0</v>
      </c>
      <c r="GW217" s="137" t="str">
        <f>IF(AND(SnapshotTable[[#This Row],[Exposure]] &lt;&gt; 0),SnapshotTable[[#This Row],[Exposure]] / SnapshotTable[[#Totals],[Exposure]], "")</f>
        <v/>
      </c>
      <c r="HK217" s="1"/>
      <c r="HL217" s="1"/>
      <c r="HM217" s="1"/>
      <c r="HN217" s="1"/>
      <c r="HO217" s="1"/>
      <c r="HP217" s="1"/>
    </row>
    <row r="218" spans="2:224" ht="12.75" hidden="1" customHeight="1" x14ac:dyDescent="0.25">
      <c r="B218" s="12" t="s">
        <v>100</v>
      </c>
      <c r="C218" s="385">
        <v>222.34</v>
      </c>
      <c r="D218" s="200"/>
      <c r="E218" s="39">
        <f>SnapshotTable[[#This Row],[Last Price]]*(1 -CrashDiscount)</f>
        <v>188.989</v>
      </c>
      <c r="F218" s="26" t="s">
        <v>99</v>
      </c>
      <c r="G218" s="26" t="s">
        <v>10</v>
      </c>
      <c r="H218" s="147"/>
      <c r="I218" s="186">
        <v>44797.677083333336</v>
      </c>
      <c r="J218" s="187">
        <v>44797.677083333336</v>
      </c>
      <c r="K218" s="188"/>
      <c r="L218" s="297" t="s">
        <v>98</v>
      </c>
      <c r="M218" s="138"/>
      <c r="N218" s="138"/>
      <c r="O218" s="138">
        <v>2</v>
      </c>
      <c r="P218" s="22"/>
      <c r="Q218" s="25"/>
      <c r="R218" s="4" t="str">
        <f>IF(SnapshotTable[[#This Row],[Equity Basis Total]] &gt; 0, SnapshotTable[[#This Row],[Equity Basis Total]] / SnapshotTable[[#This Row],[Equity Shares]], "")</f>
        <v/>
      </c>
      <c r="S218" s="254">
        <f>SnapshotTable[[#This Row],[Last Price]] * SnapshotTable[[#This Row],[Equity Shares]]</f>
        <v>0</v>
      </c>
      <c r="T218" s="254">
        <f>SnapshotTable[[#This Row],[Equity Value]] - SnapshotTable[[#This Row],[Equity Basis Total]]</f>
        <v>0</v>
      </c>
      <c r="U218" s="255" t="str">
        <f>IF(SnapshotTable[[#This Row],[Equity Basis Total]] &gt; 0, SnapshotTable[[#This Row],[Equity G/L]] / SnapshotTable[[#This Row],[Equity Basis Total]], "")</f>
        <v/>
      </c>
      <c r="V218" s="253"/>
      <c r="W218" s="253"/>
      <c r="X218" s="4" t="str">
        <f>IF(AND(ISNUMBER(SnapshotTable[[#This Row],[Equity Basis Per Share]]),ISNUMBER(SnapshotTable[[#This Row],[Equity Target]])),SnapshotTable[[#This Row],[Equity Target]]-SnapshotTable[[#This Row],[Equity Basis Per Share]],"")</f>
        <v/>
      </c>
      <c r="Y218" s="4" t="str">
        <f>IF(AND(ISNUMBER(SnapshotTable[[#This Row],[Equity Basis Per Share]]),ISNUMBER(SnapshotTable[[#This Row],[Equity Stop Loss]])),SnapshotTable[[#This Row],[Equity Stop Loss]]-SnapshotTable[[#This Row],[Equity Basis Per Share]],"")</f>
        <v/>
      </c>
      <c r="Z218" s="260" t="str">
        <f>IFERROR( TEXT(SnapshotTable[[#This Row],[Equity Max Gain Per Share]] /ABS( SnapshotTable[[#This Row],[Equity Max Loss Per Share]]),"0.0 " ) &amp; " : 1", "")</f>
        <v/>
      </c>
      <c r="AA218" s="31" t="str">
        <f>IF(ISNUMBER(SnapshotTable[[#This Row],[Equity Max Gain Per Share]]),SnapshotTable[[#This Row],[Equity Max Gain Per Share]] * SnapshotTable[[#This Row],[Equity Shares]],"")</f>
        <v/>
      </c>
      <c r="AB218" s="31" t="str">
        <f>IF(ISNUMBER(SnapshotTable[[#This Row],[Equity Max Loss Per Share]]),SnapshotTable[[#This Row],[Equity Max Loss Per Share]] * SnapshotTable[[#This Row],[Equity Shares]],"")</f>
        <v/>
      </c>
      <c r="AC218" s="148">
        <v>1.56</v>
      </c>
      <c r="AD218" s="149">
        <v>42881</v>
      </c>
      <c r="AE218" s="31">
        <f>(SnapshotTable[[#This Row],[Annual Dividend Per Share]] / 4) * SnapshotTable[[#This Row],[Equity Shares]]</f>
        <v>0</v>
      </c>
      <c r="AF218" s="31">
        <f>SnapshotTable[[#This Row],[Quarterly Div $]] * 4</f>
        <v>0</v>
      </c>
      <c r="AG218" s="7">
        <f>IF(SnapshotTable[[#This Row],[Annual Dividend Per Share]]&gt;0, SnapshotTable[[#This Row],[Annual Dividend Per Share]]  / SnapshotTable[[#This Row],[Last Price]], 0)</f>
        <v>7.0162813708734371E-3</v>
      </c>
      <c r="AH218" s="149">
        <v>42846</v>
      </c>
      <c r="AI218" s="5"/>
      <c r="AJ218" s="136">
        <v>45.61</v>
      </c>
      <c r="AK218" s="150" t="str">
        <f>IF(ISNUMBER( SnapshotTable[[#This Row],[EBF Target]]),(SnapshotTable[[#This Row],[EBF Target]] - SnapshotTable[[#This Row],[Last Price]]) / SnapshotTable[[#This Row],[Last Price]], "")</f>
        <v/>
      </c>
      <c r="AL218" s="150" t="str">
        <f>IF(AND(SnapshotTable[[#This Row],[Equity Basis Total]] &gt; 0,ISNUMBER( SnapshotTable[[#This Row],[Long Term Target]])), SnapshotTable[[#This Row],[From Basis $]] / SnapshotTable[[#This Row],[Equity Basis Total]], "")</f>
        <v/>
      </c>
      <c r="AM218" s="9">
        <f>IF( AND(SnapshotTable[[#This Row],[Equity Shares]] &gt;0,ISNUMBER( SnapshotTable[[#This Row],[Long Term Target]])),(SnapshotTable[[#This Row],[Equity Shares]] * SnapshotTable[[#This Row],[Long Term Target]]) - SnapshotTable[[#This Row],[Equity Basis Total]],0)</f>
        <v>0</v>
      </c>
      <c r="AN218" s="9">
        <f>IF( AND(SnapshotTable[[#This Row],[Equity Shares]] &gt;0,ISNUMBER( SnapshotTable[[#This Row],[Long Term Target]])),(SnapshotTable[[#This Row],[Equity Shares]]*SnapshotTable[[#This Row],[Long Term Target]]) - SnapshotTable[[#This Row],[Equity Value]],0)</f>
        <v>0</v>
      </c>
      <c r="AO218" s="150">
        <f>IF(AND(ISNUMBER( SnapshotTable[[#This Row],[Long Term Target]]), ISNUMBER(SnapshotTable[[#This Row],[Last Price]])),(SnapshotTable[[#This Row],[Long Term Target]] - SnapshotTable[[#This Row],[Last Price]]) / SnapshotTable[[#This Row],[Last Price]], "")</f>
        <v>-0.79486372222721968</v>
      </c>
      <c r="AP218" s="5">
        <v>52.5</v>
      </c>
      <c r="AQ218" s="38" t="s">
        <v>29</v>
      </c>
      <c r="AR218" s="5">
        <v>47.5</v>
      </c>
      <c r="AS218" s="38" t="s">
        <v>28</v>
      </c>
      <c r="AT218" s="144"/>
      <c r="AU218" s="185" t="str">
        <f>IF(OR(SnapshotTable[[#This Row],[LP No Fill]]="Y",SnapshotTable[[#This Row],[SP Is Filled]],SnapshotTable[[#This Row],[LC Not Filled]]="Y",SnapshotTable[[#This Row],[SC Is Filled]]),"Y","")</f>
        <v/>
      </c>
      <c r="AV218" s="205"/>
      <c r="AW218" s="211"/>
      <c r="AX218" s="206"/>
      <c r="AY218" s="205" t="str">
        <f>IF(SnapshotTable[[#This Row],[Implied Move]]&gt;0, SnapshotTable[[#This Row],[Last Price]]-SnapshotTable[[#This Row],[Implied Move]],"")</f>
        <v/>
      </c>
      <c r="AZ218" s="205" t="str">
        <f>IF(SnapshotTable[[#This Row],[Implied Move]]&gt;0, SnapshotTable[[#This Row],[Last Price]] + SnapshotTable[[#This Row],[Implied Move]],"")</f>
        <v/>
      </c>
      <c r="BA218" s="302"/>
      <c r="BB218" s="318"/>
      <c r="BC21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8" s="321"/>
      <c r="BE218" s="5"/>
      <c r="BF218" s="14"/>
      <c r="BG218" s="13"/>
      <c r="BH218" s="13"/>
      <c r="BI218" s="5"/>
      <c r="BJ218" s="134">
        <f>IF(SnapshotTable[[#This Row],[LP Qty]] &gt; 0, SnapshotTable[[#This Row],[LP Qty]] * SnapshotTable[[#This Row],[LP Book Price]] * 100,0)</f>
        <v>0</v>
      </c>
      <c r="BK218" s="134">
        <f>IF(SnapshotTable[[#This Row],[LP Premium]] &gt; 0, SnapshotTable[[#This Row],[LP Qty]] * SnapshotTable[[#This Row],[LP Strike Price]] * 100,0)</f>
        <v>0</v>
      </c>
      <c r="BL218" s="152"/>
      <c r="BM218" s="355" t="str">
        <f>IF(SnapshotTable[[#This Row],[LP Premium]] &gt; 0,SnapshotTable[[#This Row],[LP Exp Date]]-MAX(SnapshotTable[[#This Row],[LP Book Date]], SnapshotTable[[#This Row],[LP Fill Date]]),"")</f>
        <v/>
      </c>
      <c r="BN218" s="355" t="str">
        <f>IF(ISNUMBER( SnapshotTable[[#This Row],[LP Term]]), SnapshotTable[[#This Row],[LP Exp Date]] - MockToday,"")</f>
        <v/>
      </c>
      <c r="BO218" s="161" t="str">
        <f>IF(AND(SnapshotTable[[#This Row],[LP Exp Date]]&gt;0, SnapshotTable[[#This Row],[LP Strike Price]]&gt;0,SnapshotTable[[#This Row],[LP Qty]]&gt;0,SnapshotTable[[#This Row],[LP Book Date]]&gt;0,SnapshotTable[[#This Row],[LP Book Price]]&gt;0,SnapshotTable[[#This Row],[LP Fill Date]]=0),"Y","")</f>
        <v/>
      </c>
      <c r="BP218" s="31" t="str">
        <f>IF(AND(SnapshotTable[[#This Row],[LP No Fill]]&lt;&gt;"Y",SnapshotTable[[#This Row],[LP Contract Value]]&gt;0, SnapshotTable[[#This Row],[LP Qty]]&gt;0), SnapshotTable[[#This Row],[LP Contract Value]]*SnapshotTable[[#This Row],[LP Qty]]*100,"")</f>
        <v/>
      </c>
      <c r="BQ218" s="13"/>
      <c r="BR218" s="5"/>
      <c r="BS218" s="36"/>
      <c r="BT218" s="145"/>
      <c r="BU218" s="13"/>
      <c r="BV218" s="5"/>
      <c r="BW218" s="382" t="b">
        <f>AND(ISNUMBER(SnapshotTable[[#This Row],[SP Exp Date]]), ISNUMBER(SnapshotTable[[#This Row],[SP Strike Price]]), ISNUMBER(SnapshotTable[[#This Row],[SP Qty]]), ISNUMBER(SnapshotTable[[#This Row],[SP Book Date]]), ISNUMBER(SnapshotTable[[#This Row],[SP Book Price]]))</f>
        <v>0</v>
      </c>
      <c r="BX218" s="382" t="b">
        <f>AND(SnapshotTable[[#This Row],[SP Is Booked]], NOT(ISBLANK(SnapshotTable[[#This Row],[SP Fill Date]])))</f>
        <v>0</v>
      </c>
      <c r="BY218" s="33">
        <f>IF(SnapshotTable[[#This Row],[SP Is Booked]], SnapshotTable[[#This Row],[SP Qty]] * SnapshotTable[[#This Row],[SP Book Price]] * 100, 0)</f>
        <v>0</v>
      </c>
      <c r="BZ218" s="339"/>
      <c r="CA218" s="338">
        <f>SnapshotTable[[#This Row],[LP Qty]]</f>
        <v>0</v>
      </c>
      <c r="CB218" s="4" t="str">
        <f>IF(SnapshotTable[[#This Row],[SP Is Booked]], SnapshotTable[[#This Row],[SP Strike Price]] - SnapshotTable[[#This Row],[SP Book Price]], "")</f>
        <v/>
      </c>
      <c r="CC218" s="19" t="str">
        <f>IF(SnapshotTable[[#This Row],[SP Is Booked]],SnapshotTable[[#This Row],[SP Exp Date]]-MAX(SnapshotTable[[#This Row],[SP Book Date]], SnapshotTable[[#This Row],[SP Fill Date]]),"")</f>
        <v/>
      </c>
      <c r="CD218" s="7" t="str">
        <f>IF(SnapshotTable[[#This Row],[SP Is Booked]], SnapshotTable[[#This Row],[SP Book Price]]/SnapshotTable[[#This Row],[SP Strike Price]], "")</f>
        <v/>
      </c>
      <c r="CE218" s="7" t="str">
        <f>IF(ISNUMBER(SnapshotTable[[#This Row],[SP ROO Term]]),SnapshotTable[[#This Row],[SP ROO Term]]*(365/SnapshotTable[[#This Row],[SP Term]]),"")</f>
        <v/>
      </c>
      <c r="CF218" s="221">
        <f>SnapshotTable[[#This Row],[LP Strike Price]] * SnapshotTable[[#This Row],[LP Qty]] * 100</f>
        <v>0</v>
      </c>
      <c r="CG218" s="31">
        <f>IF(ISNUMBER(SnapshotTable[[#This Row],[SP Premium]]), (SnapshotTable[[#This Row],[SP Qty]] * SnapshotTable[[#This Row],[SP Strike Price]]* 100) - SnapshotTable[[#This Row],[LP Protection]], 0)</f>
        <v>0</v>
      </c>
      <c r="CH218" s="7" t="str">
        <f>IF(ISNUMBER(SnapshotTable[[#This Row],[SP Break Even]]),-1 * (SnapshotTable[[#This Row],[SP Break Even]] - SnapshotTable[[#This Row],[Last Price]]) / SnapshotTable[[#This Row],[Last Price]], "")</f>
        <v/>
      </c>
      <c r="CI218" s="31">
        <f>IF(AND(ISNUMBER((SnapshotTable[[#This Row],[SP Potential Spend]])), SnapshotTable[[#This Row],[SP Strike Price]] &gt; SnapshotTable[[#This Row],[Last Price]], SnapshotTable[[#This Row],[SP Is Filled]]), SnapshotTable[[#This Row],[SP Potential Spend]] -  SnapshotTable[[#This Row],[LP Max Value]], 0)</f>
        <v>0</v>
      </c>
      <c r="CJ218" s="229"/>
      <c r="CK218" s="31">
        <f>IF(ISNUMBER(SnapshotTable[[#This Row],[SP Potential Spend]]),IF(ISNUMBER(SnapshotTable[[#This Row],[SP POW]]), SnapshotTable[[#This Row],[SP POW]] * SnapshotTable[[#This Row],[SP Potential Spend]], SnapshotTable[[#This Row],[SP Potential Spend]]), "")</f>
        <v>0</v>
      </c>
      <c r="CL218" s="162">
        <f>IF(NOT(SnapshotTable[[#This Row],[SP Is Filled]]),(SnapshotTable[[#This Row],[SP Qty]] * SnapshotTable[[#This Row],[SP Strike Price]] * 100) - SnapshotTable[[#This Row],[LP Max Value]],"")</f>
        <v>0</v>
      </c>
      <c r="CM218" s="31" t="str">
        <f>IF(SnapshotTable[[#This Row],[SP Actual Spend]]&lt;&gt;0, ((SnapshotTable[[#This Row],[SP Strike Price]]-SnapshotTable[[#This Row],[Last Price]]) *(SnapshotTable[[#This Row],[SP Qty]]*100) - SnapshotTable[[#This Row],[SP Premium]]) * - 1, "")</f>
        <v/>
      </c>
      <c r="CN218" s="76"/>
      <c r="CO218" s="339"/>
      <c r="CP218" s="4" t="str">
        <f>IF(SnapshotTable[[#This Row],[SP Is Filled]], btc_max_buyback_amount(SnapshotTable[[#This Row],[SP Fill Date]],SnapshotTable[[#This Row],[SP Exp Date]], SnapshotTable[[#This Row],[SP Book Price]]),"")</f>
        <v/>
      </c>
      <c r="CQ218" s="76"/>
      <c r="CR21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8" s="153" t="str">
        <f>IF(SnapshotTable[[#This Row],[SP Is Filled]], btc_next_cutoff_date(SnapshotTable[[#This Row],[SP Fill Date]],SnapshotTable[[#This Row],[SP Exp Date]]),"")</f>
        <v/>
      </c>
      <c r="CT218" s="220" t="str" cm="1">
        <f t="array" ref="CT218">IF(SnapshotTable[[#This Row],[SP Is Filled]], btc_should_buy_back(SnapshotTable[[#This Row],[SP Fill Date]], SnapshotTable[[#This Row],[SP Exp Date]], SnapshotTable[[#This Row],[SP Book Price]], SnapshotTable[[#This Row],[SP Current Ask]], MockToday, SnapshotTable[[#This Row],[SP Buyback Override]]),"")</f>
        <v/>
      </c>
      <c r="CU218" s="141"/>
      <c r="CV218" s="220"/>
      <c r="CW218" s="348" t="str">
        <f>IF(ISNUMBER( SnapshotTable[[#This Row],[SP Term]]), SnapshotTable[[#This Row],[SP Exp Date]] - MockToday,"")</f>
        <v/>
      </c>
      <c r="CX218" s="31" t="str">
        <f>IF(SnapshotTable[[#This Row],[SP Is Filled]],SnapshotTable[[#This Row],[SP Buyback Price to Use]] * 100 * SnapshotTable[[#This Row],[SP Qty]], "")</f>
        <v/>
      </c>
      <c r="CY218" s="4" t="str">
        <f>IF(ISNUMBER(SnapshotTable[[#This Row],[SP Strike Price]]), SnapshotTable[[#This Row],[SP Strike Price]] * (1 - SP_MaxLoss_StrikePct), "")</f>
        <v/>
      </c>
      <c r="CZ218" s="31" t="str">
        <f>IF(ISNUMBER(SnapshotTable[[#This Row],[SP Strike  Stop Per Share]]),SnapshotTable[[#This Row],[SP Premium]] - ((SnapshotTable[[#This Row],[SP Strike Price]]-SnapshotTable[[#This Row],[SP Strike  Stop Per Share]]) *(SnapshotTable[[#This Row],[SP Qty]] * 100)),"")</f>
        <v/>
      </c>
      <c r="DA218" s="4" t="str">
        <f>IF(AND(ISNUMBER(SnapshotTable[[#This Row],[SP Premium]]),SnapshotTable[[#This Row],[SP Premium]]&gt;0), SnapshotTable[[#This Row],[SP Book Price]] * (1 + SP_MaxLoss_OptionPct), "")</f>
        <v/>
      </c>
      <c r="DB218" s="31" t="str">
        <f>IF(ISNUMBER(SnapshotTable[[#This Row],[SP Option  Stop Contract]]),(SnapshotTable[[#This Row],[SP Option  Stop Contract]] *(SnapshotTable[[#This Row],[SP Qty]] * 100) - SnapshotTable[[#This Row],[SP Premium]]),"")</f>
        <v/>
      </c>
      <c r="DC218" s="4"/>
      <c r="DD218" s="4"/>
      <c r="DE218" s="4" t="str">
        <f>IF(AND(SnapshotTable[[#This Row],[SP Qty]]&gt;0, SnapshotTable[[#This Row],[SP Stop To Use]]&gt;0),SnapshotTable[[#This Row],[SP Premium]] - ( SnapshotTable[[#This Row],[SP Qty]] * SnapshotTable[[#This Row],[SP Stop To Use]] * 100), "")</f>
        <v/>
      </c>
      <c r="DF218" s="31" t="str">
        <f>IF(AND(SnapshotTable[[#This Row],[SP Qty]]&gt;0,SnapshotTable[[#This Row],[SP Current Ask]]&gt;0), SnapshotTable[[#This Row],[SP Qty]] * SnapshotTable[[#This Row],[SP Current Ask]] * -100, "")</f>
        <v/>
      </c>
      <c r="DG218" s="31" t="str">
        <f>IF(ISNUMBER((SnapshotTable[[#This Row],[SP Total Value]])), SnapshotTable[[#This Row],[SP Premium]] + SnapshotTable[[#This Row],[SP Total Value]], "")</f>
        <v/>
      </c>
      <c r="DH218" s="272" t="str">
        <f>IF(ISNUMBER((SnapshotTable[[#This Row],[SP Total Value]])), SnapshotTable[[#This Row],[SP Gain Loss]] / SnapshotTable[[#This Row],[SP Premium]], "")</f>
        <v/>
      </c>
      <c r="DI218" s="369"/>
      <c r="DJ218" s="136"/>
      <c r="DK218" s="146"/>
      <c r="DL218" s="13"/>
      <c r="DM218" s="13"/>
      <c r="DO218" s="31">
        <f>IF(SnapshotTable[[#This Row],[LC Symbol Count]]=1, SnapshotTable[[#This Row],[LC Qty]] * SnapshotTable[[#This Row],[LC Book Price]] * 100, 0)</f>
        <v>0</v>
      </c>
      <c r="DP218" s="161" t="str">
        <f>IF(AND(SnapshotTable[[#This Row],[LC Exp Date]]&gt;0, SnapshotTable[[#This Row],[LC Strike Price]]&gt;0,SnapshotTable[[#This Row],[LC Qty]]&gt;0,SnapshotTable[[#This Row],[LC Book Date]]&gt;0,SnapshotTable[[#This Row],[LC Book Price]]&gt;0,SnapshotTable[[#This Row],[LC Fill Date]]=0),"Y","")</f>
        <v/>
      </c>
      <c r="DQ218" s="356" t="str">
        <f>IF(SnapshotTable[[#This Row],[LC Premium]] &gt; 0,SnapshotTable[[#This Row],[LC Exp Date]]-MAX(SnapshotTable[[#This Row],[LC Book Date]], SnapshotTable[[#This Row],[LC Fill Date]]),"")</f>
        <v/>
      </c>
      <c r="DR218" s="356" t="str">
        <f>IF(ISNUMBER(SnapshotTable[[#This Row],[LC Term]]), SnapshotTable[[#This Row],[LC Exp Date]] - MockToday, "")</f>
        <v/>
      </c>
      <c r="DS218" s="219" t="str">
        <f>IF(SnapshotTable[[#This Row],[LC Premium]]&gt;0,SnapshotTable[[#This Row],[LC Strike Price]] + SnapshotTable[[#This Row],[LC Book Price]],"")</f>
        <v/>
      </c>
      <c r="DU218" s="9" t="str">
        <f>IF(AND(SnapshotTable[[#This Row],[LC Symbol Count]]&gt;0, SnapshotTable[[#This Row],[LC Contract Value]]&gt;0), SnapshotTable[[#This Row],[LC Contract Value]] * SnapshotTable[[#This Row],[LC Qty]] * 100, "")</f>
        <v/>
      </c>
      <c r="DV218" s="9" t="str">
        <f>IF(AND(ISNUMBER(SnapshotTable[[#This Row],[LC Total Value]]), SnapshotTable[[#This Row],[LC Not Filled]]&lt;&gt;"Y"), SnapshotTable[[#This Row],[LC Total Value]]-SnapshotTable[[#This Row],[LC Premium]],"")</f>
        <v/>
      </c>
      <c r="DW218" s="225" t="str">
        <f>IF(ISNUMBER(SnapshotTable[[#This Row],[LC Actual Gain Loss]]), SnapshotTable[[#This Row],[LC Actual Gain Loss]] / SnapshotTable[[#This Row],[LC Premium]],"")</f>
        <v/>
      </c>
      <c r="DX218" s="269" t="str">
        <f>IF(ISNUMBER(SnapshotTable[[#This Row],[LC Book Price]]),SnapshotTable[[#This Row],[LC Book Price]] * 1.5,"")</f>
        <v/>
      </c>
      <c r="DY218" s="250" t="str">
        <f>IF(SnapshotTable[[#This Row],[LC Premium]]&gt;0, SnapshotTable[[#This Row],[LC Next Target]] * SnapshotTable[[#This Row],[LC Qty]] * 100,"")</f>
        <v/>
      </c>
      <c r="DZ218" s="250" t="str">
        <f>IF(ISNUMBER(SnapshotTable[[#This Row],[LC Target Gross]]), SnapshotTable[[#This Row],[LC Target Gross]] - SnapshotTable[[#This Row],[LC Premium]], "")</f>
        <v/>
      </c>
      <c r="EA218" s="283" t="str">
        <f>IF(ISNUMBER(SnapshotTable[[#This Row],[LC Target Gain Loss]]), SnapshotTable[[#This Row],[LC Target Gain Loss]]/SnapshotTable[[#This Row],[LC Premium]], "")</f>
        <v/>
      </c>
      <c r="EB218" s="247"/>
      <c r="EC218" s="268" t="str">
        <f>IF(SnapshotTable[[#This Row],[LC Premium]]&gt;0, SnapshotTable[[#This Row],[LC Book Price]] * (1 - LC_StopLoss_Pct),"")</f>
        <v/>
      </c>
      <c r="ED218" s="269"/>
      <c r="EE218" s="268" t="str">
        <f>IF(ISNUMBER(SnapshotTable[[#This Row],[LC Contract Value]]),IF(ISNUMBER(SnapshotTable[[#This Row],[LC Stop Loss Override]]), SnapshotTable[[#This Row],[LC Stop Loss Override]],SnapshotTable[[#This Row],[LC Stop Loss Calc Target]]),"")</f>
        <v/>
      </c>
      <c r="EF218" s="31" t="str">
        <f>IF(ISNUMBER(SnapshotTable[[#This Row],[LC Stop  To Use]]), (SnapshotTable[[#This Row],[LC Stop  To Use]] * SnapshotTable[[#This Row],[LC Qty]] * 100),"")</f>
        <v/>
      </c>
      <c r="EG218" s="9" t="str">
        <f>IF(ISNUMBER(SnapshotTable[[#This Row],[LC Total Value]]),SnapshotTable[[#This Row],[LC Stop Loss Amount]] - SnapshotTable[[#This Row],[LC Premium]],"")</f>
        <v/>
      </c>
      <c r="EH218" s="9">
        <f>IF(ISNUMBER(SnapshotTable[[#This Row],[LC Premium]]), SnapshotTable[[#This Row],[LC Qty]] * 100 * SnapshotTable[[#This Row],[LC Strike Price]], "")</f>
        <v>0</v>
      </c>
      <c r="EI218" s="225" t="str">
        <f>IF(AND(ISNUMBER(SnapshotTable[[#This Row],[LC Total Value]]),SnapshotTable[[#This Row],[LC Total Value]]&gt;0),SnapshotTable[[#This Row],[LC Stop Gain Loss]]  / SnapshotTable[[#This Row],[LC Premium]],"")</f>
        <v/>
      </c>
      <c r="EJ218" s="35">
        <f>IF(ISNUMBER(SnapshotTable[[#This Row],[Equity Shares]]),TRUNC(SnapshotTable[[#This Row],[Equity Shares]] / 100),0) + SnapshotTable[[#This Row],[LC Qty]]</f>
        <v>0</v>
      </c>
      <c r="EK218" s="145"/>
      <c r="EL218" s="136"/>
      <c r="EM218" s="146"/>
      <c r="EN218" s="145"/>
      <c r="EO218" s="145"/>
      <c r="EP218" s="136"/>
      <c r="EQ218" s="382" t="b">
        <f>AND(ISNUMBER(SnapshotTable[[#This Row],[SC Exp Date]]), ISNUMBER(SnapshotTable[[#This Row],[SC Strike Price]]), ISNUMBER(SnapshotTable[[#This Row],[SC Qty]]), ISNUMBER(SnapshotTable[[#This Row],[SC Book Date]]), ISNUMBER(SnapshotTable[[#This Row],[SC Book Price]]))</f>
        <v>0</v>
      </c>
      <c r="ER218" s="382" t="b">
        <f>AND(SnapshotTable[[#This Row],[SC Is Booked]], NOT(ISBLANK(SnapshotTable[[#This Row],[SC Fill Date]])))</f>
        <v>0</v>
      </c>
      <c r="ES218" s="340"/>
      <c r="ET218" s="34" t="str">
        <f>IF(AND(ISNUMBER(SnapshotTable[[#This Row],[SC Exp Date]]), ISNUMBER(SnapshotTable[[#This Row],[SC Book Date]])), SnapshotTable[[#This Row],[SC Exp Date]] - MAX(SnapshotTable[[#This Row],[SC Book Date]], SnapshotTable[[#This Row],[SC Fill Date]]) + 1, "")</f>
        <v/>
      </c>
      <c r="EU218" s="34" t="str">
        <f>IF(ISNUMBER(SnapshotTable[[#This Row],[SC Term]]), SnapshotTable[[#This Row],[SC Exp Date]]- MockToday, "")</f>
        <v/>
      </c>
      <c r="EV218" s="31">
        <f>IF(SnapshotTable[[#This Row],[SC Is Booked]], SnapshotTable[[#This Row],[SC Qty]] * SnapshotTable[[#This Row],[SC Book Price]] * 100, 0)</f>
        <v>0</v>
      </c>
      <c r="EW218" s="4" t="str">
        <f>IF(AND(ISNUMBER(SnapshotTable[[#This Row],[Last Price]]), ISNUMBER( SnapshotTable[[#This Row],[SC Book Price]])), SnapshotTable[[#This Row],[Last Price]] - SnapshotTable[[#This Row],[SC Book Price]],"")</f>
        <v/>
      </c>
      <c r="EX218" s="219" t="str">
        <f>IF(SnapshotTable[[#This Row],[SC Is Booked]],IF(SnapshotTable[[#This Row],[SC Intrinsic Value]] &gt; 0, SnapshotTable[[#This Row],[SC Strike Price]], SnapshotTable[[#This Row],[Last Price]]), "")</f>
        <v/>
      </c>
      <c r="EY218" s="4">
        <f>IF(SnapshotTable[[#This Row],[SC Is Booked]], (MinimumPremiumRequired * SnapshotTable[[#This Row],[SC Basis]] * SnapshotTable[[#This Row],[SC Term]]), 0)</f>
        <v>0</v>
      </c>
      <c r="EZ218" s="268"/>
      <c r="FA218" s="204"/>
      <c r="FB218" s="340"/>
      <c r="FC218" s="4">
        <f>IF(SnapshotTable[[#This Row],[SC Is Filled]], btc_max_buyback_amount(SnapshotTable[[#This Row],[SC Fill Date]],SnapshotTable[[#This Row],[SC Exp Date]], SnapshotTable[[#This Row],[SC Book Price]]),0)</f>
        <v>0</v>
      </c>
      <c r="FD218" s="5"/>
      <c r="FE218" s="142" t="str">
        <f>IF(SnapshotTable[[#This Row],[SC Is Filled]], btc_next_cutoff_date(SnapshotTable[[#This Row],[SC Fill Date]],SnapshotTable[[#This Row],[SC Exp Date]]),"")</f>
        <v/>
      </c>
      <c r="FF218" s="4" t="str" cm="1">
        <f t="array" ref="FF218">IF(SnapshotTable[[#This Row],[SC Is Filled]], btc_should_buy_back(SnapshotTable[[#This Row],[SC Fill Date]], SnapshotTable[[#This Row],[SC Exp Date]], SnapshotTable[[#This Row],[SC Book Price]], SnapshotTable[[#This Row],[SC Current Ask]], MockToday, SnapshotTable[[#This Row],[SC Buyback Override]]),"")</f>
        <v/>
      </c>
      <c r="FG218" s="4">
        <f>IF(SnapshotTable[[#This Row],[SC Is Filled]], MAX(0,SnapshotTable[[#This Row],[Last Price]]  - SnapshotTable[[#This Row],[SC Strike Price]]), 0)</f>
        <v>0</v>
      </c>
      <c r="FH218" s="352">
        <f>IF(SnapshotTable[[#This Row],[SC Is Filled]], IF(ISNUMBER(SnapshotTable[[#This Row],[SC Current Ask]]), SnapshotTable[[#This Row],[SC Current Ask]], SnapshotTable[[#This Row],[SC Book Price]]) - SnapshotTable[[#This Row],[SC Intrinsic Value]], 0)</f>
        <v>0</v>
      </c>
      <c r="FI218" s="141"/>
      <c r="FJ218" s="32" t="str">
        <f>IF(SnapshotTable[[#This Row],[SC Is Filled]],100 * SnapshotTable[[#This Row],[SC Qty]] * IF(ISNUMBER(SnapshotTable[[#This Row],[SC Buyback Override]]), SnapshotTable[[#This Row],[SC Buyback Override]], SnapshotTable[[#This Row],[SC Current Ask]]), "")</f>
        <v/>
      </c>
      <c r="FK218" s="235" t="str">
        <f>IF(SnapshotTable[[#This Row],[SC Time Val]]&gt;0, SnapshotTable[[#This Row],[SC Time Val]] / SnapshotTable[[#This Row],[Last Price]],"")</f>
        <v/>
      </c>
      <c r="FL218" s="280" t="str">
        <f>IF(SnapshotTable[[#This Row],[SC Is Booked]], ((SnapshotTable[[#This Row],[Last Price]] -SnapshotTable[[#This Row],[SC Strike Price]]) / SnapshotTable[[#This Row],[Last Price]]) * -1, "")</f>
        <v/>
      </c>
      <c r="FM218" s="155" t="str">
        <f>IF(SnapshotTable[[#This Row],[SC Is Booked]],  (SnapshotTable[[#This Row],[SC Qty]] * 100 * SnapshotTable[[#This Row],[SC Strike Price]]) - SnapshotTable[[#This Row],[SC Current Ask]], "")</f>
        <v/>
      </c>
      <c r="FN21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8" s="31" t="str">
        <f>IF(AND(ISNUMBER(SnapshotTable[[#This Row],[SC Exercise Gross]]), ISNUMBER(SnapshotTable[[#This Row],[Equity Basis Per Share]] )), SnapshotTable[[#This Row],[SC Exercise Gross]] - SnapshotTable[[#This Row],[Equity Basis Total]] +  SnapshotTable[[#This Row],[SC Premium]], "")</f>
        <v/>
      </c>
      <c r="FP218" s="5" t="str">
        <f>IF(ISNUMBER(SnapshotTable[[#This Row],[SC Exercise Gross]]), (SnapshotTable[[#This Row],[SC Exercise Gross]]) / (SnapshotTable[[#This Row],[SC Qty]] * 100), "")</f>
        <v/>
      </c>
      <c r="FQ218" s="27" t="str">
        <f>IF(SnapshotTable[[#This Row],[SC Is Booked]],SnapshotTable[[#This Row],[SC Time Val]] /SnapshotTable[[#This Row],[SC Basis]], "")</f>
        <v/>
      </c>
      <c r="FR218" s="27" t="str" cm="1">
        <f t="array" ref="FR218">IF(AND(ISNUMBER(SnapshotTable[[#This Row],[SC Term]]),ISNUMBER(SnapshotTable[[#This Row],[SC Simple ROO]])), EllmanAnnualize(SnapshotTable[[#This Row],[SC DTE]], SnapshotTable[[#This Row],[SC Simple ROO]] ),"")</f>
        <v/>
      </c>
      <c r="FS218" s="4">
        <f>IF(SnapshotTable[[#This Row],[SC Strike Price]] &gt; SnapshotTable[[#This Row],[Last Price]], SnapshotTable[[#This Row],[SC Strike Price]] - SnapshotTable[[#This Row],[Last Price]],0)</f>
        <v>0</v>
      </c>
      <c r="FT218" s="27" t="str">
        <f>IF(AND(ISNUMBER(SnapshotTable[[#This Row],[SC Upside Potential]]), SnapshotTable[[#This Row],[SC Upside Potential]] &gt; 0),(SnapshotTable[[#This Row],[SC Upside Potential]]/ SnapshotTable[[#This Row],[ACB]]),"")</f>
        <v/>
      </c>
      <c r="FU218" s="304" t="str">
        <f>IF(SnapshotTable[[#This Row],[SC Intrinsic Value]] &gt; 0,SnapshotTable[[#This Row],[SC Intrinsic Value]],"")</f>
        <v/>
      </c>
      <c r="FV218" s="27" t="str">
        <f>IF(AND( ISNUMBER( SnapshotTable[[#This Row],[ACB]]),ISNUMBER(SnapshotTable[[#This Row],[SC Downside Protect]])),SnapshotTable[[#This Row],[SC Downside Protect]] / SnapshotTable[[#This Row],[ACB]],"")</f>
        <v/>
      </c>
      <c r="FW218" s="221" t="str">
        <f>IF(AND(ISNUMBER(SnapshotTable[[#This Row],[SC Simple ROO]]),SnapshotTable[[#This Row],[SC Simple ROO]] &gt; 0), SnapshotTable[[#This Row],[SC Premium]] + (SnapshotTable[[#This Row],[SC Qty]] * SnapshotTable[[#This Row],[SC Upside Potential]]), "")</f>
        <v/>
      </c>
      <c r="FX218" s="280" t="str" cm="1">
        <f t="array" ref="FX218">IF(ISNUMBER(SnapshotTable[[#This Row],[SC Max Dollars]]), annualize(SnapshotTable[[#This Row],[SC Term]],(SnapshotTable[[#This Row],[SC Max Dollars]]/SnapshotTable[[#This Row],[SC Basis]])),"")</f>
        <v/>
      </c>
      <c r="FY218" s="221" t="str">
        <f>IF(AND(SnapshotTable[[#This Row],[SC Qty]]&gt;0,SnapshotTable[[#This Row],[SC Current Ask]]&gt;0), SnapshotTable[[#This Row],[SC Qty]] * SnapshotTable[[#This Row],[SC Current Ask]] * -100, "")</f>
        <v/>
      </c>
      <c r="FZ218" s="31" t="str">
        <f>IF(ISNUMBER((SnapshotTable[[#This Row],[SC Current Value]])), SnapshotTable[[#This Row],[SC Premium]] + SnapshotTable[[#This Row],[SC Current Value]], "")</f>
        <v/>
      </c>
      <c r="GA218" s="272" t="str">
        <f>IFERROR( IF(ISNUMBER((SnapshotTable[[#This Row],[SC Current Value]])), SnapshotTable[[#This Row],[SC Gain Loss]] / SnapshotTable[[#This Row],[SC Premium]], ""), "")</f>
        <v/>
      </c>
      <c r="GB218" s="42">
        <f>SnapshotTable[[#This Row],[Equity Shares]] * SaleSharesToConsiderPercentage</f>
        <v>0</v>
      </c>
      <c r="GC218" s="40">
        <f>SnapshotTable[[#This Row],[Long Term Target]] * SellingPriceToConsiderBasedOnTargetPercentage</f>
        <v>43.329499999999996</v>
      </c>
      <c r="GD218" s="40">
        <f>SnapshotTable[[#This Row],[Last Price]] * (1+ SellingPriceToConsiderBasedOnTargetPercentage)</f>
        <v>433.56299999999999</v>
      </c>
      <c r="GE218" s="41"/>
      <c r="GF218" s="40"/>
      <c r="GG218" s="31">
        <f>SnapshotTable[[#This Row],[Booked Sale Shares]] * SnapshotTable[[#This Row],[Booked Sale Price]]</f>
        <v>0</v>
      </c>
      <c r="GH218" s="31" t="str">
        <f>IF(SnapshotTable[[#This Row],[Equity Basis Total]] &gt; 0, SnapshotTable[[#This Row],[Equity Basis Per Share]] * SnapshotTable[[#This Row],[Booked Sale Shares]], "")</f>
        <v/>
      </c>
      <c r="GI218" s="31">
        <f>IF(SnapshotTable[[#This Row],[Sale Proceeds]]&gt;0, SnapshotTable[[#This Row],[Sale Proceeds]] - SnapshotTable[[#This Row],[Sale Basis]], 0)</f>
        <v>0</v>
      </c>
      <c r="GJ218" s="27" t="str">
        <f>IF(SnapshotTable[[#This Row],[Sale G/L]]&gt;0, SnapshotTable[[#This Row],[Sale G/L]] / SnapshotTable[[#This Row],[Sale Basis]], IF(ISNUMBER(SnapshotTable[[#This Row],[SC Exercise P&amp;L (TAX)]]), SnapshotTable[[#This Row],[SC Exercise P&amp;L (TAX)]] / SnapshotTable[[#This Row],[SC Basis]], ""))</f>
        <v/>
      </c>
      <c r="GK218" s="27" t="s">
        <v>610</v>
      </c>
      <c r="GL218" s="43" t="str">
        <f>IF(AND(SnapshotTable[[#This Row],[LP Exp Date]]&gt;0,SnapshotTable[[#This Row],[LP Strike Price]]&gt;0), [1]!ToOptionSymbol(SnapshotTable[[#This Row],[Symbol]], SnapshotTable[[#This Row],[LP Strike Price]],SnapshotTable[[#This Row],[LP Exp Date]],1), "")</f>
        <v/>
      </c>
      <c r="GM218" s="30" t="str">
        <f>IF(LEN(SnapshotTable[[#This Row],[LP Symbol]])&gt;0, 1, "")</f>
        <v/>
      </c>
      <c r="GN218" s="43" t="str">
        <f>IF(AND(SnapshotTable[[#This Row],[SP Exp Date]]&gt;0,SnapshotTable[[#This Row],[SP Strike Price]]&gt;0), [1]!ToOptionSymbol(SnapshotTable[[#This Row],[Symbol]], SnapshotTable[[#This Row],[SP Strike Price]],SnapshotTable[[#This Row],[SP Exp Date]],1), "")</f>
        <v/>
      </c>
      <c r="GO218" s="30" t="str">
        <f>IF(LEN(SnapshotTable[[#This Row],[SP Symbol]])&gt;0, 1, "")</f>
        <v/>
      </c>
      <c r="GP218" s="43" t="str">
        <f>IF(AND(SnapshotTable[[#This Row],[LC Exp Date]]&gt;0,SnapshotTable[[#This Row],[LC Strike Price]]&gt;0), [1]!ToOptionSymbol(SnapshotTable[[#This Row],[Symbol]], SnapshotTable[[#This Row],[LC Strike Price]],SnapshotTable[[#This Row],[LC Exp Date]],0), "")</f>
        <v/>
      </c>
      <c r="GQ218" s="30" t="str">
        <f>IF(LEN(SnapshotTable[[#This Row],[LC Symbol]])&gt;0, 1, "")</f>
        <v/>
      </c>
      <c r="GR218" s="43" t="str">
        <f>IF(AND(SnapshotTable[[#This Row],[SC Exp Date]]&gt;0,SnapshotTable[[#This Row],[SC Strike Price]]&gt;0), [1]!ToOptionSymbol(SnapshotTable[[#This Row],[Symbol]], SnapshotTable[[#This Row],[SC Strike Price]],SnapshotTable[[#This Row],[SC Exp Date]],0), "")</f>
        <v/>
      </c>
      <c r="GS218" s="30" t="str">
        <f>IF(LEN(SnapshotTable[[#This Row],[SC Symbol]])&gt;0, 1, "")</f>
        <v/>
      </c>
      <c r="GT218" s="29" t="str">
        <f>IF(COUNT(SnapshotTable[[#This Row],[LP Symbol Count]],SnapshotTable[[#This Row],[SP Symbol Count]],SnapshotTable[[#This Row],[LC Symbol Count]],SnapshotTable[[#This Row],[SC Symbol Count]])&gt;0, "Y", "")</f>
        <v/>
      </c>
      <c r="GU21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8" s="216">
        <f>MAX(SnapshotTable[[#This Row],[Equity Basis Total]],SnapshotTable[[#This Row],[Equity Value]]) + (SnapshotTable[[#This Row],[SP Potential Spend]]- SnapshotTable[[#This Row],[SP Premium]] + SnapshotTable[[#This Row],[LP Premium]])+ (SnapshotTable[[#This Row],[LC Premium]] - SnapshotTable[[#This Row],[SC Premium]])</f>
        <v>0</v>
      </c>
      <c r="GW218" s="137" t="str">
        <f>IF(AND(SnapshotTable[[#This Row],[Exposure]] &lt;&gt; 0),SnapshotTable[[#This Row],[Exposure]] / SnapshotTable[[#Totals],[Exposure]], "")</f>
        <v/>
      </c>
      <c r="HK218" s="1"/>
      <c r="HL218" s="1"/>
      <c r="HM218" s="1"/>
      <c r="HN218" s="1"/>
      <c r="HO218" s="1"/>
      <c r="HP218" s="1"/>
    </row>
    <row r="219" spans="2:224" ht="12.75" hidden="1" customHeight="1" x14ac:dyDescent="0.25">
      <c r="B219" s="12" t="s">
        <v>924</v>
      </c>
      <c r="C219" s="385">
        <v>19.489999999999998</v>
      </c>
      <c r="D219" s="200"/>
      <c r="E219" s="39">
        <f>SnapshotTable[[#This Row],[Last Price]]*(1 -CrashDiscount)</f>
        <v>16.566499999999998</v>
      </c>
      <c r="F219" s="26" t="s">
        <v>731</v>
      </c>
      <c r="G219" s="26" t="s">
        <v>4</v>
      </c>
      <c r="H219" s="147"/>
      <c r="I219" s="186"/>
      <c r="J219" s="187"/>
      <c r="K219" s="188"/>
      <c r="L219" s="297"/>
      <c r="M219" s="138"/>
      <c r="N219" s="138"/>
      <c r="O219" s="138"/>
      <c r="P219" s="22"/>
      <c r="Q219" s="25"/>
      <c r="R219" s="4" t="str">
        <f>IF(SnapshotTable[[#This Row],[Equity Basis Total]] &gt; 0, SnapshotTable[[#This Row],[Equity Basis Total]] / SnapshotTable[[#This Row],[Equity Shares]], "")</f>
        <v/>
      </c>
      <c r="S219" s="254">
        <f>SnapshotTable[[#This Row],[Last Price]] * SnapshotTable[[#This Row],[Equity Shares]]</f>
        <v>0</v>
      </c>
      <c r="T219" s="254">
        <f>SnapshotTable[[#This Row],[Equity Value]] - SnapshotTable[[#This Row],[Equity Basis Total]]</f>
        <v>0</v>
      </c>
      <c r="U219" s="255" t="str">
        <f>IF(SnapshotTable[[#This Row],[Equity Basis Total]] &gt; 0, SnapshotTable[[#This Row],[Equity G/L]] / SnapshotTable[[#This Row],[Equity Basis Total]], "")</f>
        <v/>
      </c>
      <c r="V219" s="253">
        <v>9.5</v>
      </c>
      <c r="W219" s="253">
        <v>6</v>
      </c>
      <c r="X219" s="4" t="str">
        <f>IF(AND(ISNUMBER(SnapshotTable[[#This Row],[Equity Basis Per Share]]),ISNUMBER(SnapshotTable[[#This Row],[Equity Target]])),SnapshotTable[[#This Row],[Equity Target]]-SnapshotTable[[#This Row],[Equity Basis Per Share]],"")</f>
        <v/>
      </c>
      <c r="Y219" s="4" t="str">
        <f>IF(AND(ISNUMBER(SnapshotTable[[#This Row],[Equity Basis Per Share]]),ISNUMBER(SnapshotTable[[#This Row],[Equity Stop Loss]])),SnapshotTable[[#This Row],[Equity Stop Loss]]-SnapshotTable[[#This Row],[Equity Basis Per Share]],"")</f>
        <v/>
      </c>
      <c r="Z219" s="260" t="str">
        <f>IFERROR( TEXT(SnapshotTable[[#This Row],[Equity Max Gain Per Share]] /ABS( SnapshotTable[[#This Row],[Equity Max Loss Per Share]]),"0.0 " ) &amp; " : 1", "")</f>
        <v/>
      </c>
      <c r="AA219" s="31" t="str">
        <f>IF(ISNUMBER(SnapshotTable[[#This Row],[Equity Max Gain Per Share]]),SnapshotTable[[#This Row],[Equity Max Gain Per Share]] * SnapshotTable[[#This Row],[Equity Shares]],"")</f>
        <v/>
      </c>
      <c r="AB219" s="31" t="str">
        <f>IF(ISNUMBER(SnapshotTable[[#This Row],[Equity Max Loss Per Share]]),SnapshotTable[[#This Row],[Equity Max Loss Per Share]] * SnapshotTable[[#This Row],[Equity Shares]],"")</f>
        <v/>
      </c>
      <c r="AC219" s="148"/>
      <c r="AD219" s="149"/>
      <c r="AE219" s="31">
        <f>(SnapshotTable[[#This Row],[Annual Dividend Per Share]] / 4) * SnapshotTable[[#This Row],[Equity Shares]]</f>
        <v>0</v>
      </c>
      <c r="AF219" s="31">
        <f>SnapshotTable[[#This Row],[Quarterly Div $]] * 4</f>
        <v>0</v>
      </c>
      <c r="AG219" s="7">
        <f>IF(SnapshotTable[[#This Row],[Annual Dividend Per Share]]&gt;0, SnapshotTable[[#This Row],[Annual Dividend Per Share]]  / SnapshotTable[[#This Row],[Last Price]], 0)</f>
        <v>0</v>
      </c>
      <c r="AH219" s="149"/>
      <c r="AI219" s="5"/>
      <c r="AJ219" s="136"/>
      <c r="AK219" s="150" t="str">
        <f>IF(ISNUMBER( SnapshotTable[[#This Row],[EBF Target]]),(SnapshotTable[[#This Row],[EBF Target]] - SnapshotTable[[#This Row],[Last Price]]) / SnapshotTable[[#This Row],[Last Price]], "")</f>
        <v/>
      </c>
      <c r="AL219" s="150" t="str">
        <f>IF(AND(SnapshotTable[[#This Row],[Equity Basis Total]] &gt; 0,ISNUMBER( SnapshotTable[[#This Row],[Long Term Target]])), SnapshotTable[[#This Row],[From Basis $]] / SnapshotTable[[#This Row],[Equity Basis Total]], "")</f>
        <v/>
      </c>
      <c r="AM219" s="9">
        <f>IF( AND(SnapshotTable[[#This Row],[Equity Shares]] &gt;0,ISNUMBER( SnapshotTable[[#This Row],[Long Term Target]])),(SnapshotTable[[#This Row],[Equity Shares]] * SnapshotTable[[#This Row],[Long Term Target]]) - SnapshotTable[[#This Row],[Equity Basis Total]],0)</f>
        <v>0</v>
      </c>
      <c r="AN219" s="9">
        <f>IF( AND(SnapshotTable[[#This Row],[Equity Shares]] &gt;0,ISNUMBER( SnapshotTable[[#This Row],[Long Term Target]])),(SnapshotTable[[#This Row],[Equity Shares]]*SnapshotTable[[#This Row],[Long Term Target]]) - SnapshotTable[[#This Row],[Equity Value]],0)</f>
        <v>0</v>
      </c>
      <c r="AO219" s="150" t="str">
        <f>IF(AND(ISNUMBER( SnapshotTable[[#This Row],[Long Term Target]]), ISNUMBER(SnapshotTable[[#This Row],[Last Price]])),(SnapshotTable[[#This Row],[Long Term Target]] - SnapshotTable[[#This Row],[Last Price]]) / SnapshotTable[[#This Row],[Last Price]], "")</f>
        <v/>
      </c>
      <c r="AP219" s="5"/>
      <c r="AQ219" s="38" t="s">
        <v>22</v>
      </c>
      <c r="AR219" s="5"/>
      <c r="AS219" s="38" t="s">
        <v>15</v>
      </c>
      <c r="AT219" s="144" t="s">
        <v>921</v>
      </c>
      <c r="AU219" s="185" t="str">
        <f>IF(OR(SnapshotTable[[#This Row],[LP No Fill]]="Y",SnapshotTable[[#This Row],[SP Is Filled]],SnapshotTable[[#This Row],[LC Not Filled]]="Y",SnapshotTable[[#This Row],[SC Is Filled]]),"Y","")</f>
        <v/>
      </c>
      <c r="AV219" s="309"/>
      <c r="AW219" s="211"/>
      <c r="AX219" s="206"/>
      <c r="AY219" s="205" t="str">
        <f>IF(SnapshotTable[[#This Row],[Implied Move]]&gt;0, SnapshotTable[[#This Row],[Last Price]]-SnapshotTable[[#This Row],[Implied Move]],"")</f>
        <v/>
      </c>
      <c r="AZ219" s="205" t="str">
        <f>IF(SnapshotTable[[#This Row],[Implied Move]]&gt;0, SnapshotTable[[#This Row],[Last Price]] + SnapshotTable[[#This Row],[Implied Move]],"")</f>
        <v/>
      </c>
      <c r="BA219" s="302">
        <v>3.87</v>
      </c>
      <c r="BB219" s="367" t="s">
        <v>908</v>
      </c>
      <c r="BC21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19" s="321"/>
      <c r="BE219" s="5"/>
      <c r="BF219" s="14"/>
      <c r="BG219" s="13"/>
      <c r="BH219" s="13"/>
      <c r="BI219" s="5"/>
      <c r="BJ219" s="134">
        <f>IF(SnapshotTable[[#This Row],[LP Qty]] &gt; 0, SnapshotTable[[#This Row],[LP Qty]] * SnapshotTable[[#This Row],[LP Book Price]] * 100,0)</f>
        <v>0</v>
      </c>
      <c r="BK219" s="134">
        <f>IF(SnapshotTable[[#This Row],[LP Premium]] &gt; 0, SnapshotTable[[#This Row],[LP Qty]] * SnapshotTable[[#This Row],[LP Strike Price]] * 100,0)</f>
        <v>0</v>
      </c>
      <c r="BL219" s="152"/>
      <c r="BM219" s="355" t="str">
        <f>IF(SnapshotTable[[#This Row],[LP Premium]] &gt; 0,SnapshotTable[[#This Row],[LP Exp Date]]-MAX(SnapshotTable[[#This Row],[LP Book Date]], SnapshotTable[[#This Row],[LP Fill Date]]),"")</f>
        <v/>
      </c>
      <c r="BN219" s="355" t="str">
        <f>IF(ISNUMBER( SnapshotTable[[#This Row],[LP Term]]), SnapshotTable[[#This Row],[LP Exp Date]] - MockToday,"")</f>
        <v/>
      </c>
      <c r="BO219" s="161" t="str">
        <f>IF(AND(SnapshotTable[[#This Row],[LP Exp Date]]&gt;0, SnapshotTable[[#This Row],[LP Strike Price]]&gt;0,SnapshotTable[[#This Row],[LP Qty]]&gt;0,SnapshotTable[[#This Row],[LP Book Date]]&gt;0,SnapshotTable[[#This Row],[LP Book Price]]&gt;0,SnapshotTable[[#This Row],[LP Fill Date]]=0),"Y","")</f>
        <v/>
      </c>
      <c r="BP219" s="31" t="str">
        <f>IF(AND(SnapshotTable[[#This Row],[LP No Fill]]&lt;&gt;"Y",SnapshotTable[[#This Row],[LP Contract Value]]&gt;0, SnapshotTable[[#This Row],[LP Qty]]&gt;0), SnapshotTable[[#This Row],[LP Contract Value]]*SnapshotTable[[#This Row],[LP Qty]]*100,"")</f>
        <v/>
      </c>
      <c r="BQ219" s="13"/>
      <c r="BR219" s="5"/>
      <c r="BS219" s="36"/>
      <c r="BT219" s="145"/>
      <c r="BU219" s="13"/>
      <c r="BV219" s="5"/>
      <c r="BW219" s="382" t="b">
        <f>AND(ISNUMBER(SnapshotTable[[#This Row],[SP Exp Date]]), ISNUMBER(SnapshotTable[[#This Row],[SP Strike Price]]), ISNUMBER(SnapshotTable[[#This Row],[SP Qty]]), ISNUMBER(SnapshotTable[[#This Row],[SP Book Date]]), ISNUMBER(SnapshotTable[[#This Row],[SP Book Price]]))</f>
        <v>0</v>
      </c>
      <c r="BX219" s="382" t="b">
        <f>AND(SnapshotTable[[#This Row],[SP Is Booked]], NOT(ISBLANK(SnapshotTable[[#This Row],[SP Fill Date]])))</f>
        <v>0</v>
      </c>
      <c r="BY219" s="33">
        <f>IF(SnapshotTable[[#This Row],[SP Is Booked]], SnapshotTable[[#This Row],[SP Qty]] * SnapshotTable[[#This Row],[SP Book Price]] * 100, 0)</f>
        <v>0</v>
      </c>
      <c r="BZ219" s="339"/>
      <c r="CA219" s="338">
        <f>SnapshotTable[[#This Row],[LP Qty]]</f>
        <v>0</v>
      </c>
      <c r="CB219" s="4" t="str">
        <f>IF(SnapshotTable[[#This Row],[SP Is Booked]], SnapshotTable[[#This Row],[SP Strike Price]] - SnapshotTable[[#This Row],[SP Book Price]], "")</f>
        <v/>
      </c>
      <c r="CC219" s="19" t="str">
        <f>IF(SnapshotTable[[#This Row],[SP Is Booked]],SnapshotTable[[#This Row],[SP Exp Date]]-MAX(SnapshotTable[[#This Row],[SP Book Date]], SnapshotTable[[#This Row],[SP Fill Date]]),"")</f>
        <v/>
      </c>
      <c r="CD219" s="7" t="str">
        <f>IF(SnapshotTable[[#This Row],[SP Is Booked]], SnapshotTable[[#This Row],[SP Book Price]]/SnapshotTable[[#This Row],[SP Strike Price]], "")</f>
        <v/>
      </c>
      <c r="CE219" s="7" t="str">
        <f>IF(ISNUMBER(SnapshotTable[[#This Row],[SP ROO Term]]),SnapshotTable[[#This Row],[SP ROO Term]]*(365/SnapshotTable[[#This Row],[SP Term]]),"")</f>
        <v/>
      </c>
      <c r="CF219" s="221">
        <f>SnapshotTable[[#This Row],[LP Strike Price]] * SnapshotTable[[#This Row],[LP Qty]] * 100</f>
        <v>0</v>
      </c>
      <c r="CG219" s="31">
        <f>IF(ISNUMBER(SnapshotTable[[#This Row],[SP Premium]]), (SnapshotTable[[#This Row],[SP Qty]] * SnapshotTable[[#This Row],[SP Strike Price]]* 100) - SnapshotTable[[#This Row],[LP Protection]], 0)</f>
        <v>0</v>
      </c>
      <c r="CH219" s="7" t="str">
        <f>IF(ISNUMBER(SnapshotTable[[#This Row],[SP Break Even]]),-1 * (SnapshotTable[[#This Row],[SP Break Even]] - SnapshotTable[[#This Row],[Last Price]]) / SnapshotTable[[#This Row],[Last Price]], "")</f>
        <v/>
      </c>
      <c r="CI219" s="31">
        <f>IF(AND(ISNUMBER((SnapshotTable[[#This Row],[SP Potential Spend]])), SnapshotTable[[#This Row],[SP Strike Price]] &gt; SnapshotTable[[#This Row],[Last Price]], SnapshotTable[[#This Row],[SP Is Filled]]), SnapshotTable[[#This Row],[SP Potential Spend]] -  SnapshotTable[[#This Row],[LP Max Value]], 0)</f>
        <v>0</v>
      </c>
      <c r="CJ219" s="229"/>
      <c r="CK219" s="31">
        <f>IF(ISNUMBER(SnapshotTable[[#This Row],[SP Potential Spend]]),IF(ISNUMBER(SnapshotTable[[#This Row],[SP POW]]), SnapshotTable[[#This Row],[SP POW]] * SnapshotTable[[#This Row],[SP Potential Spend]], SnapshotTable[[#This Row],[SP Potential Spend]]), "")</f>
        <v>0</v>
      </c>
      <c r="CL219" s="162">
        <f>IF(NOT(SnapshotTable[[#This Row],[SP Is Filled]]),(SnapshotTable[[#This Row],[SP Qty]] * SnapshotTable[[#This Row],[SP Strike Price]] * 100) - SnapshotTable[[#This Row],[LP Max Value]],"")</f>
        <v>0</v>
      </c>
      <c r="CM219" s="31" t="str">
        <f>IF(SnapshotTable[[#This Row],[SP Actual Spend]]&lt;&gt;0, ((SnapshotTable[[#This Row],[SP Strike Price]]-SnapshotTable[[#This Row],[Last Price]]) *(SnapshotTable[[#This Row],[SP Qty]]*100) - SnapshotTable[[#This Row],[SP Premium]]) * - 1, "")</f>
        <v/>
      </c>
      <c r="CN219" s="76"/>
      <c r="CO219" s="339"/>
      <c r="CP219" s="4" t="str">
        <f>IF(SnapshotTable[[#This Row],[SP Is Filled]], btc_max_buyback_amount(SnapshotTable[[#This Row],[SP Fill Date]],SnapshotTable[[#This Row],[SP Exp Date]], SnapshotTable[[#This Row],[SP Book Price]]),"")</f>
        <v/>
      </c>
      <c r="CQ219" s="76"/>
      <c r="CR21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19" s="153" t="str">
        <f>IF(SnapshotTable[[#This Row],[SP Is Filled]], btc_next_cutoff_date(SnapshotTable[[#This Row],[SP Fill Date]],SnapshotTable[[#This Row],[SP Exp Date]]),"")</f>
        <v/>
      </c>
      <c r="CT219" s="220" t="str" cm="1">
        <f t="array" ref="CT219">IF(SnapshotTable[[#This Row],[SP Is Filled]], btc_should_buy_back(SnapshotTable[[#This Row],[SP Fill Date]], SnapshotTable[[#This Row],[SP Exp Date]], SnapshotTable[[#This Row],[SP Book Price]], SnapshotTable[[#This Row],[SP Current Ask]], MockToday, SnapshotTable[[#This Row],[SP Buyback Override]]),"")</f>
        <v/>
      </c>
      <c r="CU219" s="141"/>
      <c r="CV219" s="220"/>
      <c r="CW219" s="348" t="str">
        <f>IF(ISNUMBER( SnapshotTable[[#This Row],[SP Term]]), SnapshotTable[[#This Row],[SP Exp Date]] - MockToday,"")</f>
        <v/>
      </c>
      <c r="CX219" s="31" t="str">
        <f>IF(SnapshotTable[[#This Row],[SP Is Filled]],SnapshotTable[[#This Row],[SP Buyback Price to Use]] * 100 * SnapshotTable[[#This Row],[SP Qty]], "")</f>
        <v/>
      </c>
      <c r="CY219" s="4" t="str">
        <f>IF(ISNUMBER(SnapshotTable[[#This Row],[SP Strike Price]]), SnapshotTable[[#This Row],[SP Strike Price]] * (1 - SP_MaxLoss_StrikePct), "")</f>
        <v/>
      </c>
      <c r="CZ219" s="31" t="str">
        <f>IF(ISNUMBER(SnapshotTable[[#This Row],[SP Strike  Stop Per Share]]),SnapshotTable[[#This Row],[SP Premium]] - ((SnapshotTable[[#This Row],[SP Strike Price]]-SnapshotTable[[#This Row],[SP Strike  Stop Per Share]]) *(SnapshotTable[[#This Row],[SP Qty]] * 100)),"")</f>
        <v/>
      </c>
      <c r="DA219" s="4" t="str">
        <f>IF(AND(ISNUMBER(SnapshotTable[[#This Row],[SP Premium]]),SnapshotTable[[#This Row],[SP Premium]]&gt;0), SnapshotTable[[#This Row],[SP Book Price]] * (1 + SP_MaxLoss_OptionPct), "")</f>
        <v/>
      </c>
      <c r="DB219" s="31" t="str">
        <f>IF(ISNUMBER(SnapshotTable[[#This Row],[SP Option  Stop Contract]]),(SnapshotTable[[#This Row],[SP Option  Stop Contract]] *(SnapshotTable[[#This Row],[SP Qty]] * 100) - SnapshotTable[[#This Row],[SP Premium]]),"")</f>
        <v/>
      </c>
      <c r="DC219" s="4"/>
      <c r="DD219" s="4"/>
      <c r="DE219" s="4" t="str">
        <f>IF(AND(SnapshotTable[[#This Row],[SP Qty]]&gt;0, SnapshotTable[[#This Row],[SP Stop To Use]]&gt;0),SnapshotTable[[#This Row],[SP Premium]] - ( SnapshotTable[[#This Row],[SP Qty]] * SnapshotTable[[#This Row],[SP Stop To Use]] * 100), "")</f>
        <v/>
      </c>
      <c r="DF219" s="31" t="str">
        <f>IF(AND(SnapshotTable[[#This Row],[SP Qty]]&gt;0,SnapshotTable[[#This Row],[SP Current Ask]]&gt;0), SnapshotTable[[#This Row],[SP Qty]] * SnapshotTable[[#This Row],[SP Current Ask]] * -100, "")</f>
        <v/>
      </c>
      <c r="DG219" s="31" t="str">
        <f>IF(ISNUMBER((SnapshotTable[[#This Row],[SP Total Value]])), SnapshotTable[[#This Row],[SP Premium]] + SnapshotTable[[#This Row],[SP Total Value]], "")</f>
        <v/>
      </c>
      <c r="DH219" s="272" t="str">
        <f>IF(ISNUMBER((SnapshotTable[[#This Row],[SP Total Value]])), SnapshotTable[[#This Row],[SP Gain Loss]] / SnapshotTable[[#This Row],[SP Premium]], "")</f>
        <v/>
      </c>
      <c r="DI219" s="369"/>
      <c r="DJ219" s="136"/>
      <c r="DK219" s="146"/>
      <c r="DL219" s="13"/>
      <c r="DM219" s="13"/>
      <c r="DO219" s="31">
        <f>IF(SnapshotTable[[#This Row],[LC Symbol Count]]=1, SnapshotTable[[#This Row],[LC Qty]] * SnapshotTable[[#This Row],[LC Book Price]] * 100, 0)</f>
        <v>0</v>
      </c>
      <c r="DP219" s="161" t="str">
        <f>IF(AND(SnapshotTable[[#This Row],[LC Exp Date]]&gt;0, SnapshotTable[[#This Row],[LC Strike Price]]&gt;0,SnapshotTable[[#This Row],[LC Qty]]&gt;0,SnapshotTable[[#This Row],[LC Book Date]]&gt;0,SnapshotTable[[#This Row],[LC Book Price]]&gt;0,SnapshotTable[[#This Row],[LC Fill Date]]=0),"Y","")</f>
        <v/>
      </c>
      <c r="DQ219" s="356" t="str">
        <f>IF(SnapshotTable[[#This Row],[LC Premium]] &gt; 0,SnapshotTable[[#This Row],[LC Exp Date]]-MAX(SnapshotTable[[#This Row],[LC Book Date]], SnapshotTable[[#This Row],[LC Fill Date]]),"")</f>
        <v/>
      </c>
      <c r="DR219" s="356" t="str">
        <f>IF(ISNUMBER(SnapshotTable[[#This Row],[LC Term]]), SnapshotTable[[#This Row],[LC Exp Date]] - MockToday, "")</f>
        <v/>
      </c>
      <c r="DS219" s="219" t="str">
        <f>IF(SnapshotTable[[#This Row],[LC Premium]]&gt;0,SnapshotTable[[#This Row],[LC Strike Price]] + SnapshotTable[[#This Row],[LC Book Price]],"")</f>
        <v/>
      </c>
      <c r="DU219" s="9" t="str">
        <f>IF(AND(SnapshotTable[[#This Row],[LC Symbol Count]]&gt;0, SnapshotTable[[#This Row],[LC Contract Value]]&gt;0), SnapshotTable[[#This Row],[LC Contract Value]] * SnapshotTable[[#This Row],[LC Qty]] * 100, "")</f>
        <v/>
      </c>
      <c r="DV219" s="9" t="str">
        <f>IF(AND(ISNUMBER(SnapshotTable[[#This Row],[LC Total Value]]), SnapshotTable[[#This Row],[LC Not Filled]]&lt;&gt;"Y"), SnapshotTable[[#This Row],[LC Total Value]]-SnapshotTable[[#This Row],[LC Premium]],"")</f>
        <v/>
      </c>
      <c r="DW219" s="225" t="str">
        <f>IF(ISNUMBER(SnapshotTable[[#This Row],[LC Actual Gain Loss]]), SnapshotTable[[#This Row],[LC Actual Gain Loss]] / SnapshotTable[[#This Row],[LC Premium]],"")</f>
        <v/>
      </c>
      <c r="DX219" s="269" t="str">
        <f>IF(ISNUMBER(SnapshotTable[[#This Row],[LC Book Price]]),SnapshotTable[[#This Row],[LC Book Price]] * 1.5,"")</f>
        <v/>
      </c>
      <c r="DY219" s="250" t="str">
        <f>IF(SnapshotTable[[#This Row],[LC Premium]]&gt;0, SnapshotTable[[#This Row],[LC Next Target]] * SnapshotTable[[#This Row],[LC Qty]] * 100,"")</f>
        <v/>
      </c>
      <c r="DZ219" s="250" t="str">
        <f>IF(ISNUMBER(SnapshotTable[[#This Row],[LC Target Gross]]), SnapshotTable[[#This Row],[LC Target Gross]] - SnapshotTable[[#This Row],[LC Premium]], "")</f>
        <v/>
      </c>
      <c r="EA219" s="283" t="str">
        <f>IF(ISNUMBER(SnapshotTable[[#This Row],[LC Target Gain Loss]]), SnapshotTable[[#This Row],[LC Target Gain Loss]]/SnapshotTable[[#This Row],[LC Premium]], "")</f>
        <v/>
      </c>
      <c r="EB219" s="247"/>
      <c r="EC219" s="268" t="str">
        <f>IF(SnapshotTable[[#This Row],[LC Premium]]&gt;0, SnapshotTable[[#This Row],[LC Book Price]] * (1 - LC_StopLoss_Pct),"")</f>
        <v/>
      </c>
      <c r="ED219" s="269"/>
      <c r="EE219" s="268" t="str">
        <f>IF(ISNUMBER(SnapshotTable[[#This Row],[LC Contract Value]]),IF(ISNUMBER(SnapshotTable[[#This Row],[LC Stop Loss Override]]), SnapshotTable[[#This Row],[LC Stop Loss Override]],SnapshotTable[[#This Row],[LC Stop Loss Calc Target]]),"")</f>
        <v/>
      </c>
      <c r="EF219" s="31" t="str">
        <f>IF(ISNUMBER(SnapshotTable[[#This Row],[LC Stop  To Use]]), (SnapshotTable[[#This Row],[LC Stop  To Use]] * SnapshotTable[[#This Row],[LC Qty]] * 100),"")</f>
        <v/>
      </c>
      <c r="EG219" s="9" t="str">
        <f>IF(ISNUMBER(SnapshotTable[[#This Row],[LC Total Value]]),SnapshotTable[[#This Row],[LC Stop Loss Amount]] - SnapshotTable[[#This Row],[LC Premium]],"")</f>
        <v/>
      </c>
      <c r="EH219" s="9">
        <f>IF(ISNUMBER(SnapshotTable[[#This Row],[LC Premium]]), SnapshotTable[[#This Row],[LC Qty]] * 100 * SnapshotTable[[#This Row],[LC Strike Price]], "")</f>
        <v>0</v>
      </c>
      <c r="EI219" s="225" t="str">
        <f>IF(AND(ISNUMBER(SnapshotTable[[#This Row],[LC Total Value]]),SnapshotTable[[#This Row],[LC Total Value]]&gt;0),SnapshotTable[[#This Row],[LC Stop Gain Loss]]  / SnapshotTable[[#This Row],[LC Premium]],"")</f>
        <v/>
      </c>
      <c r="EJ219" s="35">
        <f>IF(ISNUMBER(SnapshotTable[[#This Row],[Equity Shares]]),TRUNC(SnapshotTable[[#This Row],[Equity Shares]] / 100),0) + SnapshotTable[[#This Row],[LC Qty]]</f>
        <v>0</v>
      </c>
      <c r="EK219" s="145"/>
      <c r="EL219" s="136"/>
      <c r="EM219" s="146"/>
      <c r="EN219" s="145"/>
      <c r="EO219" s="145"/>
      <c r="EP219" s="136"/>
      <c r="EQ219" s="382" t="b">
        <f>AND(ISNUMBER(SnapshotTable[[#This Row],[SC Exp Date]]), ISNUMBER(SnapshotTable[[#This Row],[SC Strike Price]]), ISNUMBER(SnapshotTable[[#This Row],[SC Qty]]), ISNUMBER(SnapshotTable[[#This Row],[SC Book Date]]), ISNUMBER(SnapshotTable[[#This Row],[SC Book Price]]))</f>
        <v>0</v>
      </c>
      <c r="ER219" s="382" t="b">
        <f>AND(SnapshotTable[[#This Row],[SC Is Booked]], NOT(ISBLANK(SnapshotTable[[#This Row],[SC Fill Date]])))</f>
        <v>0</v>
      </c>
      <c r="ES219" s="340"/>
      <c r="ET219" s="34" t="str">
        <f>IF(AND(ISNUMBER(SnapshotTable[[#This Row],[SC Exp Date]]), ISNUMBER(SnapshotTable[[#This Row],[SC Book Date]])), SnapshotTable[[#This Row],[SC Exp Date]] - MAX(SnapshotTable[[#This Row],[SC Book Date]], SnapshotTable[[#This Row],[SC Fill Date]]) + 1, "")</f>
        <v/>
      </c>
      <c r="EU219" s="34" t="str">
        <f>IF(ISNUMBER(SnapshotTable[[#This Row],[SC Term]]), SnapshotTable[[#This Row],[SC Exp Date]]- MockToday, "")</f>
        <v/>
      </c>
      <c r="EV219" s="31">
        <f>IF(SnapshotTable[[#This Row],[SC Is Booked]], SnapshotTable[[#This Row],[SC Qty]] * SnapshotTable[[#This Row],[SC Book Price]] * 100, 0)</f>
        <v>0</v>
      </c>
      <c r="EW219" s="4" t="str">
        <f>IF(AND(ISNUMBER(SnapshotTable[[#This Row],[Last Price]]), ISNUMBER( SnapshotTable[[#This Row],[SC Book Price]])), SnapshotTable[[#This Row],[Last Price]] - SnapshotTable[[#This Row],[SC Book Price]],"")</f>
        <v/>
      </c>
      <c r="EX219" s="219" t="str">
        <f>IF(SnapshotTable[[#This Row],[SC Is Booked]],IF(SnapshotTable[[#This Row],[SC Intrinsic Value]] &gt; 0, SnapshotTable[[#This Row],[SC Strike Price]], SnapshotTable[[#This Row],[Last Price]]), "")</f>
        <v/>
      </c>
      <c r="EY219" s="4">
        <f>IF(SnapshotTable[[#This Row],[SC Is Booked]], (MinimumPremiumRequired * SnapshotTable[[#This Row],[SC Basis]] * SnapshotTable[[#This Row],[SC Term]]), 0)</f>
        <v>0</v>
      </c>
      <c r="EZ219" s="268"/>
      <c r="FA219" s="204"/>
      <c r="FB219" s="340"/>
      <c r="FC219" s="4">
        <f>IF(SnapshotTable[[#This Row],[SC Is Filled]], btc_max_buyback_amount(SnapshotTable[[#This Row],[SC Fill Date]],SnapshotTable[[#This Row],[SC Exp Date]], SnapshotTable[[#This Row],[SC Book Price]]),0)</f>
        <v>0</v>
      </c>
      <c r="FD219" s="5"/>
      <c r="FE219" s="142" t="str">
        <f>IF(SnapshotTable[[#This Row],[SC Is Filled]], btc_next_cutoff_date(SnapshotTable[[#This Row],[SC Fill Date]],SnapshotTable[[#This Row],[SC Exp Date]]),"")</f>
        <v/>
      </c>
      <c r="FF219" s="4" t="str" cm="1">
        <f t="array" ref="FF219">IF(SnapshotTable[[#This Row],[SC Is Filled]], btc_should_buy_back(SnapshotTable[[#This Row],[SC Fill Date]], SnapshotTable[[#This Row],[SC Exp Date]], SnapshotTable[[#This Row],[SC Book Price]], SnapshotTable[[#This Row],[SC Current Ask]], MockToday, SnapshotTable[[#This Row],[SC Buyback Override]]),"")</f>
        <v/>
      </c>
      <c r="FG219" s="4">
        <f>IF(SnapshotTable[[#This Row],[SC Is Filled]], MAX(0,SnapshotTable[[#This Row],[Last Price]]  - SnapshotTable[[#This Row],[SC Strike Price]]), 0)</f>
        <v>0</v>
      </c>
      <c r="FH219" s="352">
        <f>IF(SnapshotTable[[#This Row],[SC Is Filled]], IF(ISNUMBER(SnapshotTable[[#This Row],[SC Current Ask]]), SnapshotTable[[#This Row],[SC Current Ask]], SnapshotTable[[#This Row],[SC Book Price]]) - SnapshotTable[[#This Row],[SC Intrinsic Value]], 0)</f>
        <v>0</v>
      </c>
      <c r="FI219" s="141"/>
      <c r="FJ219" s="32" t="str">
        <f>IF(SnapshotTable[[#This Row],[SC Is Filled]],100 * SnapshotTable[[#This Row],[SC Qty]] * IF(ISNUMBER(SnapshotTable[[#This Row],[SC Buyback Override]]), SnapshotTable[[#This Row],[SC Buyback Override]], SnapshotTable[[#This Row],[SC Current Ask]]), "")</f>
        <v/>
      </c>
      <c r="FK219" s="235" t="str">
        <f>IF(SnapshotTable[[#This Row],[SC Time Val]]&gt;0, SnapshotTable[[#This Row],[SC Time Val]] / SnapshotTable[[#This Row],[Last Price]],"")</f>
        <v/>
      </c>
      <c r="FL219" s="280" t="str">
        <f>IF(SnapshotTable[[#This Row],[SC Is Booked]], ((SnapshotTable[[#This Row],[Last Price]] -SnapshotTable[[#This Row],[SC Strike Price]]) / SnapshotTable[[#This Row],[Last Price]]) * -1, "")</f>
        <v/>
      </c>
      <c r="FM219" s="155" t="str">
        <f>IF(SnapshotTable[[#This Row],[SC Is Booked]],  (SnapshotTable[[#This Row],[SC Qty]] * 100 * SnapshotTable[[#This Row],[SC Strike Price]]) - SnapshotTable[[#This Row],[SC Current Ask]], "")</f>
        <v/>
      </c>
      <c r="FN21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19" s="31" t="str">
        <f>IF(AND(ISNUMBER(SnapshotTable[[#This Row],[SC Exercise Gross]]), ISNUMBER(SnapshotTable[[#This Row],[Equity Basis Per Share]] )), SnapshotTable[[#This Row],[SC Exercise Gross]] - SnapshotTable[[#This Row],[Equity Basis Total]] +  SnapshotTable[[#This Row],[SC Premium]], "")</f>
        <v/>
      </c>
      <c r="FP219" s="5" t="str">
        <f>IF(ISNUMBER(SnapshotTable[[#This Row],[SC Exercise Gross]]), (SnapshotTable[[#This Row],[SC Exercise Gross]]) / (SnapshotTable[[#This Row],[SC Qty]] * 100), "")</f>
        <v/>
      </c>
      <c r="FQ219" s="27" t="str">
        <f>IF(SnapshotTable[[#This Row],[SC Is Booked]],SnapshotTable[[#This Row],[SC Time Val]] /SnapshotTable[[#This Row],[SC Basis]], "")</f>
        <v/>
      </c>
      <c r="FR219" s="27" t="str" cm="1">
        <f t="array" ref="FR219">IF(AND(ISNUMBER(SnapshotTable[[#This Row],[SC Term]]),ISNUMBER(SnapshotTable[[#This Row],[SC Simple ROO]])), EllmanAnnualize(SnapshotTable[[#This Row],[SC DTE]], SnapshotTable[[#This Row],[SC Simple ROO]] ),"")</f>
        <v/>
      </c>
      <c r="FS219" s="4">
        <f>IF(SnapshotTable[[#This Row],[SC Strike Price]] &gt; SnapshotTable[[#This Row],[Last Price]], SnapshotTable[[#This Row],[SC Strike Price]] - SnapshotTable[[#This Row],[Last Price]],0)</f>
        <v>0</v>
      </c>
      <c r="FT219" s="27" t="str">
        <f>IF(AND(ISNUMBER(SnapshotTable[[#This Row],[SC Upside Potential]]), SnapshotTable[[#This Row],[SC Upside Potential]] &gt; 0),(SnapshotTable[[#This Row],[SC Upside Potential]]/ SnapshotTable[[#This Row],[ACB]]),"")</f>
        <v/>
      </c>
      <c r="FU219" s="304" t="str">
        <f>IF(SnapshotTable[[#This Row],[SC Intrinsic Value]] &gt; 0,SnapshotTable[[#This Row],[SC Intrinsic Value]],"")</f>
        <v/>
      </c>
      <c r="FV219" s="27" t="str">
        <f>IF(AND( ISNUMBER( SnapshotTable[[#This Row],[ACB]]),ISNUMBER(SnapshotTable[[#This Row],[SC Downside Protect]])),SnapshotTable[[#This Row],[SC Downside Protect]] / SnapshotTable[[#This Row],[ACB]],"")</f>
        <v/>
      </c>
      <c r="FW219" s="221" t="str">
        <f>IF(AND(ISNUMBER(SnapshotTable[[#This Row],[SC Simple ROO]]),SnapshotTable[[#This Row],[SC Simple ROO]] &gt; 0), SnapshotTable[[#This Row],[SC Premium]] + (SnapshotTable[[#This Row],[SC Qty]] * SnapshotTable[[#This Row],[SC Upside Potential]]), "")</f>
        <v/>
      </c>
      <c r="FX219" s="280" t="str" cm="1">
        <f t="array" ref="FX219">IF(ISNUMBER(SnapshotTable[[#This Row],[SC Max Dollars]]), annualize(SnapshotTable[[#This Row],[SC Term]],(SnapshotTable[[#This Row],[SC Max Dollars]]/SnapshotTable[[#This Row],[SC Basis]])),"")</f>
        <v/>
      </c>
      <c r="FY219" s="221" t="str">
        <f>IF(AND(SnapshotTable[[#This Row],[SC Qty]]&gt;0,SnapshotTable[[#This Row],[SC Current Ask]]&gt;0), SnapshotTable[[#This Row],[SC Qty]] * SnapshotTable[[#This Row],[SC Current Ask]] * -100, "")</f>
        <v/>
      </c>
      <c r="FZ219" s="31" t="str">
        <f>IF(ISNUMBER((SnapshotTable[[#This Row],[SC Current Value]])), SnapshotTable[[#This Row],[SC Premium]] + SnapshotTable[[#This Row],[SC Current Value]], "")</f>
        <v/>
      </c>
      <c r="GA219" s="272" t="str">
        <f>IFERROR( IF(ISNUMBER((SnapshotTable[[#This Row],[SC Current Value]])), SnapshotTable[[#This Row],[SC Gain Loss]] / SnapshotTable[[#This Row],[SC Premium]], ""), "")</f>
        <v/>
      </c>
      <c r="GB219" s="42">
        <f>SnapshotTable[[#This Row],[Equity Shares]] * SaleSharesToConsiderPercentage</f>
        <v>0</v>
      </c>
      <c r="GC219" s="40">
        <f>SnapshotTable[[#This Row],[Long Term Target]] * SellingPriceToConsiderBasedOnTargetPercentage</f>
        <v>0</v>
      </c>
      <c r="GD219" s="40">
        <f>SnapshotTable[[#This Row],[Last Price]] * (1+ SellingPriceToConsiderBasedOnTargetPercentage)</f>
        <v>38.005499999999998</v>
      </c>
      <c r="GE219" s="41"/>
      <c r="GF219" s="40"/>
      <c r="GG219" s="31">
        <f>SnapshotTable[[#This Row],[Booked Sale Shares]] * SnapshotTable[[#This Row],[Booked Sale Price]]</f>
        <v>0</v>
      </c>
      <c r="GH219" s="31" t="str">
        <f>IF(SnapshotTable[[#This Row],[Equity Basis Total]] &gt; 0, SnapshotTable[[#This Row],[Equity Basis Per Share]] * SnapshotTable[[#This Row],[Booked Sale Shares]], "")</f>
        <v/>
      </c>
      <c r="GI219" s="31">
        <f>IF(SnapshotTable[[#This Row],[Sale Proceeds]]&gt;0, SnapshotTable[[#This Row],[Sale Proceeds]] - SnapshotTable[[#This Row],[Sale Basis]], 0)</f>
        <v>0</v>
      </c>
      <c r="GJ219" s="27" t="str">
        <f>IF(SnapshotTable[[#This Row],[Sale G/L]]&gt;0, SnapshotTable[[#This Row],[Sale G/L]] / SnapshotTable[[#This Row],[Sale Basis]], IF(ISNUMBER(SnapshotTable[[#This Row],[SC Exercise P&amp;L (TAX)]]), SnapshotTable[[#This Row],[SC Exercise P&amp;L (TAX)]] / SnapshotTable[[#This Row],[SC Basis]], ""))</f>
        <v/>
      </c>
      <c r="GK219" s="27"/>
      <c r="GL219" s="43" t="str">
        <f>IF(AND(SnapshotTable[[#This Row],[LP Exp Date]]&gt;0,SnapshotTable[[#This Row],[LP Strike Price]]&gt;0), [1]!ToOptionSymbol(SnapshotTable[[#This Row],[Symbol]], SnapshotTable[[#This Row],[LP Strike Price]],SnapshotTable[[#This Row],[LP Exp Date]],1), "")</f>
        <v/>
      </c>
      <c r="GM219" s="30" t="str">
        <f>IF(LEN(SnapshotTable[[#This Row],[LP Symbol]])&gt;0, 1, "")</f>
        <v/>
      </c>
      <c r="GN219" s="43" t="str">
        <f>IF(AND(SnapshotTable[[#This Row],[SP Exp Date]]&gt;0,SnapshotTable[[#This Row],[SP Strike Price]]&gt;0), [1]!ToOptionSymbol(SnapshotTable[[#This Row],[Symbol]], SnapshotTable[[#This Row],[SP Strike Price]],SnapshotTable[[#This Row],[SP Exp Date]],1), "")</f>
        <v/>
      </c>
      <c r="GO219" s="30" t="str">
        <f>IF(LEN(SnapshotTable[[#This Row],[SP Symbol]])&gt;0, 1, "")</f>
        <v/>
      </c>
      <c r="GP219" s="43" t="str">
        <f>IF(AND(SnapshotTable[[#This Row],[LC Exp Date]]&gt;0,SnapshotTable[[#This Row],[LC Strike Price]]&gt;0), [1]!ToOptionSymbol(SnapshotTable[[#This Row],[Symbol]], SnapshotTable[[#This Row],[LC Strike Price]],SnapshotTable[[#This Row],[LC Exp Date]],0), "")</f>
        <v/>
      </c>
      <c r="GQ219" s="30" t="str">
        <f>IF(LEN(SnapshotTable[[#This Row],[LC Symbol]])&gt;0, 1, "")</f>
        <v/>
      </c>
      <c r="GR219" s="43" t="str">
        <f>IF(AND(SnapshotTable[[#This Row],[SC Exp Date]]&gt;0,SnapshotTable[[#This Row],[SC Strike Price]]&gt;0), [1]!ToOptionSymbol(SnapshotTable[[#This Row],[Symbol]], SnapshotTable[[#This Row],[SC Strike Price]],SnapshotTable[[#This Row],[SC Exp Date]],0), "")</f>
        <v/>
      </c>
      <c r="GS219" s="30" t="str">
        <f>IF(LEN(SnapshotTable[[#This Row],[SC Symbol]])&gt;0, 1, "")</f>
        <v/>
      </c>
      <c r="GT219" s="29" t="str">
        <f>IF(COUNT(SnapshotTable[[#This Row],[LP Symbol Count]],SnapshotTable[[#This Row],[SP Symbol Count]],SnapshotTable[[#This Row],[LC Symbol Count]],SnapshotTable[[#This Row],[SC Symbol Count]])&gt;0, "Y", "")</f>
        <v/>
      </c>
      <c r="GU21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19" s="216">
        <f>MAX(SnapshotTable[[#This Row],[Equity Basis Total]],SnapshotTable[[#This Row],[Equity Value]]) + (SnapshotTable[[#This Row],[SP Potential Spend]]- SnapshotTable[[#This Row],[SP Premium]] + SnapshotTable[[#This Row],[LP Premium]])+ (SnapshotTable[[#This Row],[LC Premium]] - SnapshotTable[[#This Row],[SC Premium]])</f>
        <v>0</v>
      </c>
      <c r="GW219" s="137" t="str">
        <f>IF(AND(SnapshotTable[[#This Row],[Exposure]] &lt;&gt; 0),SnapshotTable[[#This Row],[Exposure]] / SnapshotTable[[#Totals],[Exposure]], "")</f>
        <v/>
      </c>
      <c r="HK219" s="1"/>
      <c r="HL219" s="1"/>
      <c r="HM219" s="1"/>
      <c r="HN219" s="1"/>
      <c r="HO219" s="1"/>
      <c r="HP219" s="1"/>
    </row>
    <row r="220" spans="2:224" ht="12.75" hidden="1" customHeight="1" x14ac:dyDescent="0.25">
      <c r="B220" s="12" t="s">
        <v>940</v>
      </c>
      <c r="C220" s="385">
        <v>0.39460000000000001</v>
      </c>
      <c r="D220" s="200"/>
      <c r="E220" s="39">
        <f>SnapshotTable[[#This Row],[Last Price]]*(1 -CrashDiscount)</f>
        <v>0.33540999999999999</v>
      </c>
      <c r="F220" s="296" t="s">
        <v>731</v>
      </c>
      <c r="G220" s="296" t="s">
        <v>4</v>
      </c>
      <c r="H220" s="147"/>
      <c r="I220" s="186"/>
      <c r="J220" s="187"/>
      <c r="K220" s="188"/>
      <c r="L220" s="298"/>
      <c r="M220" s="138"/>
      <c r="N220" s="138"/>
      <c r="O220" s="138"/>
      <c r="P220" s="22">
        <v>1000</v>
      </c>
      <c r="Q220" s="25">
        <v>2142.4</v>
      </c>
      <c r="R220" s="4">
        <f>IF(SnapshotTable[[#This Row],[Equity Basis Total]] &gt; 0, SnapshotTable[[#This Row],[Equity Basis Total]] / SnapshotTable[[#This Row],[Equity Shares]], "")</f>
        <v>2.1424000000000003</v>
      </c>
      <c r="S220" s="300">
        <f>SnapshotTable[[#This Row],[Last Price]] * SnapshotTable[[#This Row],[Equity Shares]]</f>
        <v>394.6</v>
      </c>
      <c r="T220" s="254">
        <f>SnapshotTable[[#This Row],[Equity Value]] - SnapshotTable[[#This Row],[Equity Basis Total]]</f>
        <v>-1747.8000000000002</v>
      </c>
      <c r="U220" s="255">
        <f>IF(SnapshotTable[[#This Row],[Equity Basis Total]] &gt; 0, SnapshotTable[[#This Row],[Equity G/L]] / SnapshotTable[[#This Row],[Equity Basis Total]], "")</f>
        <v>-0.8158140403286035</v>
      </c>
      <c r="V220" s="253"/>
      <c r="W220" s="253"/>
      <c r="X220" s="4" t="str">
        <f>IF(AND(ISNUMBER(SnapshotTable[[#This Row],[Equity Basis Per Share]]),ISNUMBER(SnapshotTable[[#This Row],[Equity Target]])),SnapshotTable[[#This Row],[Equity Target]]-SnapshotTable[[#This Row],[Equity Basis Per Share]],"")</f>
        <v/>
      </c>
      <c r="Y220" s="4" t="str">
        <f>IF(AND(ISNUMBER(SnapshotTable[[#This Row],[Equity Basis Per Share]]),ISNUMBER(SnapshotTable[[#This Row],[Equity Stop Loss]])),SnapshotTable[[#This Row],[Equity Stop Loss]]-SnapshotTable[[#This Row],[Equity Basis Per Share]],"")</f>
        <v/>
      </c>
      <c r="Z220" s="260" t="str">
        <f>IFERROR( TEXT(SnapshotTable[[#This Row],[Equity Max Gain Per Share]] /ABS( SnapshotTable[[#This Row],[Equity Max Loss Per Share]]),"0.0 " ) &amp; " : 1", "")</f>
        <v/>
      </c>
      <c r="AA220" s="31" t="str">
        <f>IF(ISNUMBER(SnapshotTable[[#This Row],[Equity Max Gain Per Share]]),SnapshotTable[[#This Row],[Equity Max Gain Per Share]] * SnapshotTable[[#This Row],[Equity Shares]],"")</f>
        <v/>
      </c>
      <c r="AB220" s="31" t="str">
        <f>IF(ISNUMBER(SnapshotTable[[#This Row],[Equity Max Loss Per Share]]),SnapshotTable[[#This Row],[Equity Max Loss Per Share]] * SnapshotTable[[#This Row],[Equity Shares]],"")</f>
        <v/>
      </c>
      <c r="AC220" s="148"/>
      <c r="AD220" s="149"/>
      <c r="AE220" s="31">
        <f>(SnapshotTable[[#This Row],[Annual Dividend Per Share]] / 4) * SnapshotTable[[#This Row],[Equity Shares]]</f>
        <v>0</v>
      </c>
      <c r="AF220" s="31">
        <f>SnapshotTable[[#This Row],[Quarterly Div $]] * 4</f>
        <v>0</v>
      </c>
      <c r="AG220" s="7">
        <f>IF(SnapshotTable[[#This Row],[Annual Dividend Per Share]]&gt;0, SnapshotTable[[#This Row],[Annual Dividend Per Share]]  / SnapshotTable[[#This Row],[Last Price]], 0)</f>
        <v>0</v>
      </c>
      <c r="AH220" s="149"/>
      <c r="AI220" s="301"/>
      <c r="AJ220" s="136"/>
      <c r="AK220" s="150" t="str">
        <f>IF(ISNUMBER( SnapshotTable[[#This Row],[EBF Target]]),(SnapshotTable[[#This Row],[EBF Target]] - SnapshotTable[[#This Row],[Last Price]]) / SnapshotTable[[#This Row],[Last Price]], "")</f>
        <v/>
      </c>
      <c r="AL220" s="150" t="str">
        <f>IF(AND(SnapshotTable[[#This Row],[Equity Basis Total]] &gt; 0,ISNUMBER( SnapshotTable[[#This Row],[Long Term Target]])), SnapshotTable[[#This Row],[From Basis $]] / SnapshotTable[[#This Row],[Equity Basis Total]], "")</f>
        <v/>
      </c>
      <c r="AM220" s="9">
        <f>IF( AND(SnapshotTable[[#This Row],[Equity Shares]] &gt;0,ISNUMBER( SnapshotTable[[#This Row],[Long Term Target]])),(SnapshotTable[[#This Row],[Equity Shares]] * SnapshotTable[[#This Row],[Long Term Target]]) - SnapshotTable[[#This Row],[Equity Basis Total]],0)</f>
        <v>0</v>
      </c>
      <c r="AN220" s="9">
        <f>IF( AND(SnapshotTable[[#This Row],[Equity Shares]] &gt;0,ISNUMBER( SnapshotTable[[#This Row],[Long Term Target]])),(SnapshotTable[[#This Row],[Equity Shares]]*SnapshotTable[[#This Row],[Long Term Target]]) - SnapshotTable[[#This Row],[Equity Value]],0)</f>
        <v>0</v>
      </c>
      <c r="AO220" s="150" t="str">
        <f>IF(AND(ISNUMBER( SnapshotTable[[#This Row],[Long Term Target]]), ISNUMBER(SnapshotTable[[#This Row],[Last Price]])),(SnapshotTable[[#This Row],[Long Term Target]] - SnapshotTable[[#This Row],[Last Price]]) / SnapshotTable[[#This Row],[Last Price]], "")</f>
        <v/>
      </c>
      <c r="AP220" s="5"/>
      <c r="AQ220" s="38"/>
      <c r="AR220" s="5"/>
      <c r="AS220" s="38"/>
      <c r="AT220" s="144" t="s">
        <v>886</v>
      </c>
      <c r="AU220" s="185" t="str">
        <f>IF(OR(SnapshotTable[[#This Row],[LP No Fill]]="Y",SnapshotTable[[#This Row],[SP Is Filled]],SnapshotTable[[#This Row],[LC Not Filled]]="Y",SnapshotTable[[#This Row],[SC Is Filled]]),"Y","")</f>
        <v/>
      </c>
      <c r="AV220" s="309"/>
      <c r="AW220" s="310"/>
      <c r="AX220" s="206"/>
      <c r="AY220" s="205" t="str">
        <f>IF(SnapshotTable[[#This Row],[Implied Move]]&gt;0, SnapshotTable[[#This Row],[Last Price]]-SnapshotTable[[#This Row],[Implied Move]],"")</f>
        <v/>
      </c>
      <c r="AZ220" s="205" t="str">
        <f>IF(SnapshotTable[[#This Row],[Implied Move]]&gt;0, SnapshotTable[[#This Row],[Last Price]] + SnapshotTable[[#This Row],[Implied Move]],"")</f>
        <v/>
      </c>
      <c r="BA220" s="302">
        <v>2.95</v>
      </c>
      <c r="BB220" s="318"/>
      <c r="BC22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0" s="321"/>
      <c r="BE220" s="136"/>
      <c r="BF220" s="164"/>
      <c r="BG220" s="165"/>
      <c r="BH220" s="165"/>
      <c r="BI220" s="207"/>
      <c r="BJ220" s="151">
        <f>IF(SnapshotTable[[#This Row],[LP Qty]] &gt; 0, SnapshotTable[[#This Row],[LP Qty]] * SnapshotTable[[#This Row],[LP Book Price]] * 100,0)</f>
        <v>0</v>
      </c>
      <c r="BK220" s="134">
        <f>IF(SnapshotTable[[#This Row],[LP Premium]] &gt; 0, SnapshotTable[[#This Row],[LP Qty]] * SnapshotTable[[#This Row],[LP Strike Price]] * 100,0)</f>
        <v>0</v>
      </c>
      <c r="BL220" s="152"/>
      <c r="BM220" s="355" t="str">
        <f>IF(SnapshotTable[[#This Row],[LP Premium]] &gt; 0,SnapshotTable[[#This Row],[LP Exp Date]]-MAX(SnapshotTable[[#This Row],[LP Book Date]], SnapshotTable[[#This Row],[LP Fill Date]]),"")</f>
        <v/>
      </c>
      <c r="BN220" s="355" t="str">
        <f>IF(ISNUMBER( SnapshotTable[[#This Row],[LP Term]]), SnapshotTable[[#This Row],[LP Exp Date]] - MockToday,"")</f>
        <v/>
      </c>
      <c r="BO220" s="161" t="str">
        <f>IF(AND(SnapshotTable[[#This Row],[LP Exp Date]]&gt;0, SnapshotTable[[#This Row],[LP Strike Price]]&gt;0,SnapshotTable[[#This Row],[LP Qty]]&gt;0,SnapshotTable[[#This Row],[LP Book Date]]&gt;0,SnapshotTable[[#This Row],[LP Book Price]]&gt;0,SnapshotTable[[#This Row],[LP Fill Date]]=0),"Y","")</f>
        <v/>
      </c>
      <c r="BP220" s="31" t="str">
        <f>IF(AND(SnapshotTable[[#This Row],[LP No Fill]]&lt;&gt;"Y",SnapshotTable[[#This Row],[LP Contract Value]]&gt;0, SnapshotTable[[#This Row],[LP Qty]]&gt;0), SnapshotTable[[#This Row],[LP Contract Value]]*SnapshotTable[[#This Row],[LP Qty]]*100,"")</f>
        <v/>
      </c>
      <c r="BQ220" s="13"/>
      <c r="BR220" s="5"/>
      <c r="BS220" s="36"/>
      <c r="BT220" s="145"/>
      <c r="BU220" s="13"/>
      <c r="BV220" s="5"/>
      <c r="BW220" s="382" t="b">
        <f>AND(ISNUMBER(SnapshotTable[[#This Row],[SP Exp Date]]), ISNUMBER(SnapshotTable[[#This Row],[SP Strike Price]]), ISNUMBER(SnapshotTable[[#This Row],[SP Qty]]), ISNUMBER(SnapshotTable[[#This Row],[SP Book Date]]), ISNUMBER(SnapshotTable[[#This Row],[SP Book Price]]))</f>
        <v>0</v>
      </c>
      <c r="BX220" s="382" t="b">
        <f>AND(SnapshotTable[[#This Row],[SP Is Booked]], NOT(ISBLANK(SnapshotTable[[#This Row],[SP Fill Date]])))</f>
        <v>0</v>
      </c>
      <c r="BY220" s="33">
        <f>IF(SnapshotTable[[#This Row],[SP Is Booked]], SnapshotTable[[#This Row],[SP Qty]] * SnapshotTable[[#This Row],[SP Book Price]] * 100, 0)</f>
        <v>0</v>
      </c>
      <c r="BZ220" s="339"/>
      <c r="CA220" s="338">
        <f>SnapshotTable[[#This Row],[LP Qty]]</f>
        <v>0</v>
      </c>
      <c r="CB220" s="4" t="str">
        <f>IF(SnapshotTable[[#This Row],[SP Is Booked]], SnapshotTable[[#This Row],[SP Strike Price]] - SnapshotTable[[#This Row],[SP Book Price]], "")</f>
        <v/>
      </c>
      <c r="CC220" s="19" t="str">
        <f>IF(SnapshotTable[[#This Row],[SP Is Booked]],SnapshotTable[[#This Row],[SP Exp Date]]-MAX(SnapshotTable[[#This Row],[SP Book Date]], SnapshotTable[[#This Row],[SP Fill Date]]),"")</f>
        <v/>
      </c>
      <c r="CD220" s="7" t="str">
        <f>IF(SnapshotTable[[#This Row],[SP Is Booked]], SnapshotTable[[#This Row],[SP Book Price]]/SnapshotTable[[#This Row],[SP Strike Price]], "")</f>
        <v/>
      </c>
      <c r="CE220" s="7" t="str">
        <f>IF(ISNUMBER(SnapshotTable[[#This Row],[SP ROO Term]]),SnapshotTable[[#This Row],[SP ROO Term]]*(365/SnapshotTable[[#This Row],[SP Term]]),"")</f>
        <v/>
      </c>
      <c r="CF220" s="221">
        <f>SnapshotTable[[#This Row],[LP Strike Price]] * SnapshotTable[[#This Row],[LP Qty]] * 100</f>
        <v>0</v>
      </c>
      <c r="CG220" s="31">
        <f>IF(ISNUMBER(SnapshotTable[[#This Row],[SP Premium]]), (SnapshotTable[[#This Row],[SP Qty]] * SnapshotTable[[#This Row],[SP Strike Price]]* 100) - SnapshotTable[[#This Row],[LP Protection]], 0)</f>
        <v>0</v>
      </c>
      <c r="CH220" s="7" t="str">
        <f>IF(ISNUMBER(SnapshotTable[[#This Row],[SP Break Even]]),-1 * (SnapshotTable[[#This Row],[SP Break Even]] - SnapshotTable[[#This Row],[Last Price]]) / SnapshotTable[[#This Row],[Last Price]], "")</f>
        <v/>
      </c>
      <c r="CI220" s="31">
        <f>IF(AND(ISNUMBER((SnapshotTable[[#This Row],[SP Potential Spend]])), SnapshotTable[[#This Row],[SP Strike Price]] &gt; SnapshotTable[[#This Row],[Last Price]], SnapshotTable[[#This Row],[SP Is Filled]]), SnapshotTable[[#This Row],[SP Potential Spend]] -  SnapshotTable[[#This Row],[LP Max Value]], 0)</f>
        <v>0</v>
      </c>
      <c r="CJ220" s="229"/>
      <c r="CK220" s="31">
        <f>IF(ISNUMBER(SnapshotTable[[#This Row],[SP Potential Spend]]),IF(ISNUMBER(SnapshotTable[[#This Row],[SP POW]]), SnapshotTable[[#This Row],[SP POW]] * SnapshotTable[[#This Row],[SP Potential Spend]], SnapshotTable[[#This Row],[SP Potential Spend]]), "")</f>
        <v>0</v>
      </c>
      <c r="CL220" s="162">
        <f>IF(NOT(SnapshotTable[[#This Row],[SP Is Filled]]),(SnapshotTable[[#This Row],[SP Qty]] * SnapshotTable[[#This Row],[SP Strike Price]] * 100) - SnapshotTable[[#This Row],[LP Max Value]],"")</f>
        <v>0</v>
      </c>
      <c r="CM220" s="31" t="str">
        <f>IF(SnapshotTable[[#This Row],[SP Actual Spend]]&lt;&gt;0, ((SnapshotTable[[#This Row],[SP Strike Price]]-SnapshotTable[[#This Row],[Last Price]]) *(SnapshotTable[[#This Row],[SP Qty]]*100) - SnapshotTable[[#This Row],[SP Premium]]) * - 1, "")</f>
        <v/>
      </c>
      <c r="CN220" s="152"/>
      <c r="CO220" s="339"/>
      <c r="CP220" s="291" t="str">
        <f>IF(SnapshotTable[[#This Row],[SP Is Filled]], btc_max_buyback_amount(SnapshotTable[[#This Row],[SP Fill Date]],SnapshotTable[[#This Row],[SP Exp Date]], SnapshotTable[[#This Row],[SP Book Price]]),"")</f>
        <v/>
      </c>
      <c r="CQ220" s="76"/>
      <c r="CR220"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0" s="153" t="str">
        <f>IF(SnapshotTable[[#This Row],[SP Is Filled]], btc_next_cutoff_date(SnapshotTable[[#This Row],[SP Fill Date]],SnapshotTable[[#This Row],[SP Exp Date]]),"")</f>
        <v/>
      </c>
      <c r="CT220" s="220" t="str" cm="1">
        <f t="array" ref="CT220">IF(SnapshotTable[[#This Row],[SP Is Filled]], btc_should_buy_back(SnapshotTable[[#This Row],[SP Fill Date]], SnapshotTable[[#This Row],[SP Exp Date]], SnapshotTable[[#This Row],[SP Book Price]], SnapshotTable[[#This Row],[SP Current Ask]], MockToday, SnapshotTable[[#This Row],[SP Buyback Override]]),"")</f>
        <v/>
      </c>
      <c r="CU220" s="141"/>
      <c r="CV220" s="220"/>
      <c r="CW220" s="348" t="str">
        <f>IF(ISNUMBER( SnapshotTable[[#This Row],[SP Term]]), SnapshotTable[[#This Row],[SP Exp Date]] - MockToday,"")</f>
        <v/>
      </c>
      <c r="CX220" s="31" t="str">
        <f>IF(SnapshotTable[[#This Row],[SP Is Filled]],SnapshotTable[[#This Row],[SP Buyback Price to Use]] * 100 * SnapshotTable[[#This Row],[SP Qty]], "")</f>
        <v/>
      </c>
      <c r="CY220" s="4" t="str">
        <f>IF(ISNUMBER(SnapshotTable[[#This Row],[SP Strike Price]]), SnapshotTable[[#This Row],[SP Strike Price]] * (1 - SP_MaxLoss_StrikePct), "")</f>
        <v/>
      </c>
      <c r="CZ220" s="31" t="str">
        <f>IF(ISNUMBER(SnapshotTable[[#This Row],[SP Strike  Stop Per Share]]),SnapshotTable[[#This Row],[SP Premium]] - ((SnapshotTable[[#This Row],[SP Strike Price]]-SnapshotTable[[#This Row],[SP Strike  Stop Per Share]]) *(SnapshotTable[[#This Row],[SP Qty]] * 100)),"")</f>
        <v/>
      </c>
      <c r="DA220" s="4" t="str">
        <f>IF(AND(ISNUMBER(SnapshotTable[[#This Row],[SP Premium]]),SnapshotTable[[#This Row],[SP Premium]]&gt;0), SnapshotTable[[#This Row],[SP Book Price]] * (1 + SP_MaxLoss_OptionPct), "")</f>
        <v/>
      </c>
      <c r="DB220" s="31" t="str">
        <f>IF(ISNUMBER(SnapshotTable[[#This Row],[SP Option  Stop Contract]]),(SnapshotTable[[#This Row],[SP Option  Stop Contract]] *(SnapshotTable[[#This Row],[SP Qty]] * 100) - SnapshotTable[[#This Row],[SP Premium]]),"")</f>
        <v/>
      </c>
      <c r="DC220" s="4"/>
      <c r="DD220" s="4"/>
      <c r="DE220" s="4" t="str">
        <f>IF(AND(SnapshotTable[[#This Row],[SP Qty]]&gt;0, SnapshotTable[[#This Row],[SP Stop To Use]]&gt;0),SnapshotTable[[#This Row],[SP Premium]] - ( SnapshotTable[[#This Row],[SP Qty]] * SnapshotTable[[#This Row],[SP Stop To Use]] * 100), "")</f>
        <v/>
      </c>
      <c r="DF220" s="31" t="str">
        <f>IF(AND(SnapshotTable[[#This Row],[SP Qty]]&gt;0,SnapshotTable[[#This Row],[SP Current Ask]]&gt;0), SnapshotTable[[#This Row],[SP Qty]] * SnapshotTable[[#This Row],[SP Current Ask]] * -100, "")</f>
        <v/>
      </c>
      <c r="DG220" s="31" t="str">
        <f>IF(ISNUMBER((SnapshotTable[[#This Row],[SP Total Value]])), SnapshotTable[[#This Row],[SP Premium]] + SnapshotTable[[#This Row],[SP Total Value]], "")</f>
        <v/>
      </c>
      <c r="DH220" s="272" t="str">
        <f>IF(ISNUMBER((SnapshotTable[[#This Row],[SP Total Value]])), SnapshotTable[[#This Row],[SP Gain Loss]] / SnapshotTable[[#This Row],[SP Premium]], "")</f>
        <v/>
      </c>
      <c r="DI220" s="369"/>
      <c r="DJ220" s="136"/>
      <c r="DK220" s="164"/>
      <c r="DL220" s="165"/>
      <c r="DM220" s="165"/>
      <c r="DO220" s="31">
        <f>IF(SnapshotTable[[#This Row],[LC Symbol Count]]=1, SnapshotTable[[#This Row],[LC Qty]] * SnapshotTable[[#This Row],[LC Book Price]] * 100, 0)</f>
        <v>0</v>
      </c>
      <c r="DP220" s="270" t="str">
        <f>IF(AND(SnapshotTable[[#This Row],[LC Exp Date]]&gt;0, SnapshotTable[[#This Row],[LC Strike Price]]&gt;0,SnapshotTable[[#This Row],[LC Qty]]&gt;0,SnapshotTable[[#This Row],[LC Book Date]]&gt;0,SnapshotTable[[#This Row],[LC Book Price]]&gt;0,SnapshotTable[[#This Row],[LC Fill Date]]=0),"Y","")</f>
        <v/>
      </c>
      <c r="DQ220" s="356" t="str">
        <f>IF(SnapshotTable[[#This Row],[LC Premium]] &gt; 0,SnapshotTable[[#This Row],[LC Exp Date]]-MAX(SnapshotTable[[#This Row],[LC Book Date]], SnapshotTable[[#This Row],[LC Fill Date]]),"")</f>
        <v/>
      </c>
      <c r="DR220" s="356" t="str">
        <f>IF(ISNUMBER(SnapshotTable[[#This Row],[LC Term]]), SnapshotTable[[#This Row],[LC Exp Date]] - MockToday, "")</f>
        <v/>
      </c>
      <c r="DS220" s="219" t="str">
        <f>IF(SnapshotTable[[#This Row],[LC Premium]]&gt;0,SnapshotTable[[#This Row],[LC Strike Price]] + SnapshotTable[[#This Row],[LC Book Price]],"")</f>
        <v/>
      </c>
      <c r="DU220" s="9" t="str">
        <f>IF(AND(SnapshotTable[[#This Row],[LC Symbol Count]]&gt;0, SnapshotTable[[#This Row],[LC Contract Value]]&gt;0), SnapshotTable[[#This Row],[LC Contract Value]] * SnapshotTable[[#This Row],[LC Qty]] * 100, "")</f>
        <v/>
      </c>
      <c r="DV220" s="9" t="str">
        <f>IF(AND(ISNUMBER(SnapshotTable[[#This Row],[LC Total Value]]), SnapshotTable[[#This Row],[LC Not Filled]]&lt;&gt;"Y"), SnapshotTable[[#This Row],[LC Total Value]]-SnapshotTable[[#This Row],[LC Premium]],"")</f>
        <v/>
      </c>
      <c r="DW220" s="225" t="str">
        <f>IF(ISNUMBER(SnapshotTable[[#This Row],[LC Actual Gain Loss]]), SnapshotTable[[#This Row],[LC Actual Gain Loss]] / SnapshotTable[[#This Row],[LC Premium]],"")</f>
        <v/>
      </c>
      <c r="DX220" s="269" t="str">
        <f>IF(ISNUMBER(SnapshotTable[[#This Row],[LC Book Price]]),SnapshotTable[[#This Row],[LC Book Price]] * 1.5,"")</f>
        <v/>
      </c>
      <c r="DY220" s="250" t="str">
        <f>IF(SnapshotTable[[#This Row],[LC Premium]]&gt;0, SnapshotTable[[#This Row],[LC Next Target]] * SnapshotTable[[#This Row],[LC Qty]] * 100,"")</f>
        <v/>
      </c>
      <c r="DZ220" s="250" t="str">
        <f>IF(ISNUMBER(SnapshotTable[[#This Row],[LC Target Gross]]), SnapshotTable[[#This Row],[LC Target Gross]] - SnapshotTable[[#This Row],[LC Premium]], "")</f>
        <v/>
      </c>
      <c r="EA220" s="283" t="str">
        <f>IF(ISNUMBER(SnapshotTable[[#This Row],[LC Target Gain Loss]]), SnapshotTable[[#This Row],[LC Target Gain Loss]]/SnapshotTable[[#This Row],[LC Premium]], "")</f>
        <v/>
      </c>
      <c r="EB220" s="247"/>
      <c r="EC220" s="271" t="str">
        <f>IF(SnapshotTable[[#This Row],[LC Premium]]&gt;0, SnapshotTable[[#This Row],[LC Book Price]] * (1 - LC_StopLoss_Pct),"")</f>
        <v/>
      </c>
      <c r="ED220" s="269"/>
      <c r="EE220" s="271" t="str">
        <f>IF(ISNUMBER(SnapshotTable[[#This Row],[LC Contract Value]]),IF(ISNUMBER(SnapshotTable[[#This Row],[LC Stop Loss Override]]), SnapshotTable[[#This Row],[LC Stop Loss Override]],SnapshotTable[[#This Row],[LC Stop Loss Calc Target]]),"")</f>
        <v/>
      </c>
      <c r="EF220" s="292" t="str">
        <f>IF(ISNUMBER(SnapshotTable[[#This Row],[LC Stop  To Use]]), (SnapshotTable[[#This Row],[LC Stop  To Use]] * SnapshotTable[[#This Row],[LC Qty]] * 100),"")</f>
        <v/>
      </c>
      <c r="EG220" s="9" t="str">
        <f>IF(ISNUMBER(SnapshotTable[[#This Row],[LC Total Value]]),SnapshotTable[[#This Row],[LC Stop Loss Amount]] - SnapshotTable[[#This Row],[LC Premium]],"")</f>
        <v/>
      </c>
      <c r="EH220" s="9">
        <f>IF(ISNUMBER(SnapshotTable[[#This Row],[LC Premium]]), SnapshotTable[[#This Row],[LC Qty]] * 100 * SnapshotTable[[#This Row],[LC Strike Price]], "")</f>
        <v>0</v>
      </c>
      <c r="EI220" s="225" t="str">
        <f>IF(AND(ISNUMBER(SnapshotTable[[#This Row],[LC Total Value]]),SnapshotTable[[#This Row],[LC Total Value]]&gt;0),SnapshotTable[[#This Row],[LC Stop Gain Loss]]  / SnapshotTable[[#This Row],[LC Premium]],"")</f>
        <v/>
      </c>
      <c r="EJ220" s="35">
        <f>IF(ISNUMBER(SnapshotTable[[#This Row],[Equity Shares]]),TRUNC(SnapshotTable[[#This Row],[Equity Shares]] / 100),0) + SnapshotTable[[#This Row],[LC Qty]]</f>
        <v>10</v>
      </c>
      <c r="EK220" s="145"/>
      <c r="EL220" s="136"/>
      <c r="EM220" s="146"/>
      <c r="EN220" s="145"/>
      <c r="EO220" s="145"/>
      <c r="EP220" s="136"/>
      <c r="EQ220" s="382" t="b">
        <f>AND(ISNUMBER(SnapshotTable[[#This Row],[SC Exp Date]]), ISNUMBER(SnapshotTable[[#This Row],[SC Strike Price]]), ISNUMBER(SnapshotTable[[#This Row],[SC Qty]]), ISNUMBER(SnapshotTable[[#This Row],[SC Book Date]]), ISNUMBER(SnapshotTable[[#This Row],[SC Book Price]]))</f>
        <v>0</v>
      </c>
      <c r="ER220" s="382" t="b">
        <f>AND(SnapshotTable[[#This Row],[SC Is Booked]], NOT(ISBLANK(SnapshotTable[[#This Row],[SC Fill Date]])))</f>
        <v>0</v>
      </c>
      <c r="ES220" s="340"/>
      <c r="ET220" s="34" t="str">
        <f>IF(AND(ISNUMBER(SnapshotTable[[#This Row],[SC Exp Date]]), ISNUMBER(SnapshotTable[[#This Row],[SC Book Date]])), SnapshotTable[[#This Row],[SC Exp Date]] - MAX(SnapshotTable[[#This Row],[SC Book Date]], SnapshotTable[[#This Row],[SC Fill Date]]) + 1, "")</f>
        <v/>
      </c>
      <c r="EU220" s="34" t="str">
        <f>IF(ISNUMBER(SnapshotTable[[#This Row],[SC Term]]), SnapshotTable[[#This Row],[SC Exp Date]]- MockToday, "")</f>
        <v/>
      </c>
      <c r="EV220" s="31">
        <f>IF(SnapshotTable[[#This Row],[SC Is Booked]], SnapshotTable[[#This Row],[SC Qty]] * SnapshotTable[[#This Row],[SC Book Price]] * 100, 0)</f>
        <v>0</v>
      </c>
      <c r="EW220" s="4" t="str">
        <f>IF(AND(ISNUMBER(SnapshotTable[[#This Row],[Last Price]]), ISNUMBER( SnapshotTable[[#This Row],[SC Book Price]])), SnapshotTable[[#This Row],[Last Price]] - SnapshotTable[[#This Row],[SC Book Price]],"")</f>
        <v/>
      </c>
      <c r="EX220" s="219" t="str">
        <f>IF(SnapshotTable[[#This Row],[SC Is Booked]],IF(SnapshotTable[[#This Row],[SC Intrinsic Value]] &gt; 0, SnapshotTable[[#This Row],[SC Strike Price]], SnapshotTable[[#This Row],[Last Price]]), "")</f>
        <v/>
      </c>
      <c r="EY220" s="4">
        <f>IF(SnapshotTable[[#This Row],[SC Is Booked]], (MinimumPremiumRequired * SnapshotTable[[#This Row],[SC Basis]] * SnapshotTable[[#This Row],[SC Term]]), 0)</f>
        <v>0</v>
      </c>
      <c r="EZ220" s="268"/>
      <c r="FA220" s="204"/>
      <c r="FB220" s="340"/>
      <c r="FC220" s="4">
        <f>IF(SnapshotTable[[#This Row],[SC Is Filled]], btc_max_buyback_amount(SnapshotTable[[#This Row],[SC Fill Date]],SnapshotTable[[#This Row],[SC Exp Date]], SnapshotTable[[#This Row],[SC Book Price]]),0)</f>
        <v>0</v>
      </c>
      <c r="FD220" s="5"/>
      <c r="FE220" s="142" t="str">
        <f>IF(SnapshotTable[[#This Row],[SC Is Filled]], btc_next_cutoff_date(SnapshotTable[[#This Row],[SC Fill Date]],SnapshotTable[[#This Row],[SC Exp Date]]),"")</f>
        <v/>
      </c>
      <c r="FF220" s="4" t="str" cm="1">
        <f t="array" ref="FF220">IF(SnapshotTable[[#This Row],[SC Is Filled]], btc_should_buy_back(SnapshotTable[[#This Row],[SC Fill Date]], SnapshotTable[[#This Row],[SC Exp Date]], SnapshotTable[[#This Row],[SC Book Price]], SnapshotTable[[#This Row],[SC Current Ask]], MockToday, SnapshotTable[[#This Row],[SC Buyback Override]]),"")</f>
        <v/>
      </c>
      <c r="FG220" s="4">
        <f>IF(SnapshotTable[[#This Row],[SC Is Filled]], MAX(0,SnapshotTable[[#This Row],[Last Price]]  - SnapshotTable[[#This Row],[SC Strike Price]]), 0)</f>
        <v>0</v>
      </c>
      <c r="FH220" s="352">
        <f>IF(SnapshotTable[[#This Row],[SC Is Filled]], IF(ISNUMBER(SnapshotTable[[#This Row],[SC Current Ask]]), SnapshotTable[[#This Row],[SC Current Ask]], SnapshotTable[[#This Row],[SC Book Price]]) - SnapshotTable[[#This Row],[SC Intrinsic Value]], 0)</f>
        <v>0</v>
      </c>
      <c r="FI220" s="141"/>
      <c r="FJ220" s="32" t="str">
        <f>IF(SnapshotTable[[#This Row],[SC Is Filled]],100 * SnapshotTable[[#This Row],[SC Qty]] * IF(ISNUMBER(SnapshotTable[[#This Row],[SC Buyback Override]]), SnapshotTable[[#This Row],[SC Buyback Override]], SnapshotTable[[#This Row],[SC Current Ask]]), "")</f>
        <v/>
      </c>
      <c r="FK220" s="235" t="str">
        <f>IF(SnapshotTable[[#This Row],[SC Time Val]]&gt;0, SnapshotTable[[#This Row],[SC Time Val]] / SnapshotTable[[#This Row],[Last Price]],"")</f>
        <v/>
      </c>
      <c r="FL220" s="280" t="str">
        <f>IF(SnapshotTable[[#This Row],[SC Is Booked]], ((SnapshotTable[[#This Row],[Last Price]] -SnapshotTable[[#This Row],[SC Strike Price]]) / SnapshotTable[[#This Row],[Last Price]]) * -1, "")</f>
        <v/>
      </c>
      <c r="FM220" s="155" t="str">
        <f>IF(SnapshotTable[[#This Row],[SC Is Booked]],  (SnapshotTable[[#This Row],[SC Qty]] * 100 * SnapshotTable[[#This Row],[SC Strike Price]]) - SnapshotTable[[#This Row],[SC Current Ask]], "")</f>
        <v/>
      </c>
      <c r="FN220"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0" s="155" t="str">
        <f>IF(AND(ISNUMBER(SnapshotTable[[#This Row],[SC Exercise Gross]]), ISNUMBER(SnapshotTable[[#This Row],[Equity Basis Per Share]] )), SnapshotTable[[#This Row],[SC Exercise Gross]] - SnapshotTable[[#This Row],[Equity Basis Total]] +  SnapshotTable[[#This Row],[SC Premium]], "")</f>
        <v/>
      </c>
      <c r="FP220" s="5" t="str">
        <f>IF(ISNUMBER(SnapshotTable[[#This Row],[SC Exercise Gross]]), (SnapshotTable[[#This Row],[SC Exercise Gross]]) / (SnapshotTable[[#This Row],[SC Qty]] * 100), "")</f>
        <v/>
      </c>
      <c r="FQ220" s="27" t="str">
        <f>IF(SnapshotTable[[#This Row],[SC Is Booked]],SnapshotTable[[#This Row],[SC Time Val]] /SnapshotTable[[#This Row],[SC Basis]], "")</f>
        <v/>
      </c>
      <c r="FR220" s="27" t="str" cm="1">
        <f t="array" ref="FR220">IF(AND(ISNUMBER(SnapshotTable[[#This Row],[SC Term]]),ISNUMBER(SnapshotTable[[#This Row],[SC Simple ROO]])), EllmanAnnualize(SnapshotTable[[#This Row],[SC DTE]], SnapshotTable[[#This Row],[SC Simple ROO]] ),"")</f>
        <v/>
      </c>
      <c r="FS220" s="4">
        <f>IF(SnapshotTable[[#This Row],[SC Strike Price]] &gt; SnapshotTable[[#This Row],[Last Price]], SnapshotTable[[#This Row],[SC Strike Price]] - SnapshotTable[[#This Row],[Last Price]],0)</f>
        <v>0</v>
      </c>
      <c r="FT220" s="27" t="str">
        <f>IF(AND(ISNUMBER(SnapshotTable[[#This Row],[SC Upside Potential]]), SnapshotTable[[#This Row],[SC Upside Potential]] &gt; 0),(SnapshotTable[[#This Row],[SC Upside Potential]]/ SnapshotTable[[#This Row],[ACB]]),"")</f>
        <v/>
      </c>
      <c r="FU220" s="304" t="str">
        <f>IF(SnapshotTable[[#This Row],[SC Intrinsic Value]] &gt; 0,SnapshotTable[[#This Row],[SC Intrinsic Value]],"")</f>
        <v/>
      </c>
      <c r="FV220" s="27" t="str">
        <f>IF(AND( ISNUMBER( SnapshotTable[[#This Row],[ACB]]),ISNUMBER(SnapshotTable[[#This Row],[SC Downside Protect]])),SnapshotTable[[#This Row],[SC Downside Protect]] / SnapshotTable[[#This Row],[ACB]],"")</f>
        <v/>
      </c>
      <c r="FW220" s="221" t="str">
        <f>IF(AND(ISNUMBER(SnapshotTable[[#This Row],[SC Simple ROO]]),SnapshotTable[[#This Row],[SC Simple ROO]] &gt; 0), SnapshotTable[[#This Row],[SC Premium]] + (SnapshotTable[[#This Row],[SC Qty]] * SnapshotTable[[#This Row],[SC Upside Potential]]), "")</f>
        <v/>
      </c>
      <c r="FX220" s="280" t="str" cm="1">
        <f t="array" ref="FX220">IF(ISNUMBER(SnapshotTable[[#This Row],[SC Max Dollars]]), annualize(SnapshotTable[[#This Row],[SC Term]],(SnapshotTable[[#This Row],[SC Max Dollars]]/SnapshotTable[[#This Row],[SC Basis]])),"")</f>
        <v/>
      </c>
      <c r="FY220" s="221" t="str">
        <f>IF(AND(SnapshotTable[[#This Row],[SC Qty]]&gt;0,SnapshotTable[[#This Row],[SC Current Ask]]&gt;0), SnapshotTable[[#This Row],[SC Qty]] * SnapshotTable[[#This Row],[SC Current Ask]] * -100, "")</f>
        <v/>
      </c>
      <c r="FZ220" s="220" t="str">
        <f>IF(ISNUMBER((SnapshotTable[[#This Row],[SC Current Value]])), SnapshotTable[[#This Row],[SC Premium]] + SnapshotTable[[#This Row],[SC Current Value]], "")</f>
        <v/>
      </c>
      <c r="GA220" s="272" t="str">
        <f>IFERROR( IF(ISNUMBER((SnapshotTable[[#This Row],[SC Current Value]])), SnapshotTable[[#This Row],[SC Gain Loss]] / SnapshotTable[[#This Row],[SC Premium]], ""), "")</f>
        <v/>
      </c>
      <c r="GB220" s="42">
        <f>SnapshotTable[[#This Row],[Equity Shares]] * SaleSharesToConsiderPercentage</f>
        <v>200</v>
      </c>
      <c r="GC220" s="40">
        <f>SnapshotTable[[#This Row],[Long Term Target]] * SellingPriceToConsiderBasedOnTargetPercentage</f>
        <v>0</v>
      </c>
      <c r="GD220" s="40">
        <f>SnapshotTable[[#This Row],[Last Price]] * (1+ SellingPriceToConsiderBasedOnTargetPercentage)</f>
        <v>0.76946999999999999</v>
      </c>
      <c r="GE220" s="41"/>
      <c r="GF220" s="40"/>
      <c r="GG220" s="31">
        <f>SnapshotTable[[#This Row],[Booked Sale Shares]] * SnapshotTable[[#This Row],[Booked Sale Price]]</f>
        <v>0</v>
      </c>
      <c r="GH220" s="31">
        <f>IF(SnapshotTable[[#This Row],[Equity Basis Total]] &gt; 0, SnapshotTable[[#This Row],[Equity Basis Per Share]] * SnapshotTable[[#This Row],[Booked Sale Shares]], "")</f>
        <v>0</v>
      </c>
      <c r="GI220" s="31">
        <f>IF(SnapshotTable[[#This Row],[Sale Proceeds]]&gt;0, SnapshotTable[[#This Row],[Sale Proceeds]] - SnapshotTable[[#This Row],[Sale Basis]], 0)</f>
        <v>0</v>
      </c>
      <c r="GJ220" s="156" t="str">
        <f>IF(SnapshotTable[[#This Row],[Sale G/L]]&gt;0, SnapshotTable[[#This Row],[Sale G/L]] / SnapshotTable[[#This Row],[Sale Basis]], IF(ISNUMBER(SnapshotTable[[#This Row],[SC Exercise P&amp;L (TAX)]]), SnapshotTable[[#This Row],[SC Exercise P&amp;L (TAX)]] / SnapshotTable[[#This Row],[SC Basis]], ""))</f>
        <v/>
      </c>
      <c r="GK220" s="27"/>
      <c r="GL220" s="157" t="str">
        <f>IF(AND(SnapshotTable[[#This Row],[LP Exp Date]]&gt;0,SnapshotTable[[#This Row],[LP Strike Price]]&gt;0), [1]!ToOptionSymbol(SnapshotTable[[#This Row],[Symbol]], SnapshotTable[[#This Row],[LP Strike Price]],SnapshotTable[[#This Row],[LP Exp Date]],1), "")</f>
        <v/>
      </c>
      <c r="GM220" s="30" t="str">
        <f>IF(LEN(SnapshotTable[[#This Row],[LP Symbol]])&gt;0, 1, "")</f>
        <v/>
      </c>
      <c r="GN220" s="43" t="str">
        <f>IF(AND(SnapshotTable[[#This Row],[SP Exp Date]]&gt;0,SnapshotTable[[#This Row],[SP Strike Price]]&gt;0), [1]!ToOptionSymbol(SnapshotTable[[#This Row],[Symbol]], SnapshotTable[[#This Row],[SP Strike Price]],SnapshotTable[[#This Row],[SP Exp Date]],1), "")</f>
        <v/>
      </c>
      <c r="GO220" s="30" t="str">
        <f>IF(LEN(SnapshotTable[[#This Row],[SP Symbol]])&gt;0, 1, "")</f>
        <v/>
      </c>
      <c r="GP220" s="157" t="str">
        <f>IF(AND(SnapshotTable[[#This Row],[LC Exp Date]]&gt;0,SnapshotTable[[#This Row],[LC Strike Price]]&gt;0), [1]!ToOptionSymbol(SnapshotTable[[#This Row],[Symbol]], SnapshotTable[[#This Row],[LC Strike Price]],SnapshotTable[[#This Row],[LC Exp Date]],0), "")</f>
        <v/>
      </c>
      <c r="GQ220" s="158" t="str">
        <f>IF(LEN(SnapshotTable[[#This Row],[LC Symbol]])&gt;0, 1, "")</f>
        <v/>
      </c>
      <c r="GR220" s="157" t="str">
        <f>IF(AND(SnapshotTable[[#This Row],[SC Exp Date]]&gt;0,SnapshotTable[[#This Row],[SC Strike Price]]&gt;0), [1]!ToOptionSymbol(SnapshotTable[[#This Row],[Symbol]], SnapshotTable[[#This Row],[SC Strike Price]],SnapshotTable[[#This Row],[SC Exp Date]],0), "")</f>
        <v/>
      </c>
      <c r="GS220" s="158" t="str">
        <f>IF(LEN(SnapshotTable[[#This Row],[SC Symbol]])&gt;0, 1, "")</f>
        <v/>
      </c>
      <c r="GT220" s="159" t="str">
        <f>IF(COUNT(SnapshotTable[[#This Row],[LP Symbol Count]],SnapshotTable[[#This Row],[SP Symbol Count]],SnapshotTable[[#This Row],[LC Symbol Count]],SnapshotTable[[#This Row],[SC Symbol Count]])&gt;0, "Y", "")</f>
        <v/>
      </c>
      <c r="GU22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20" s="216">
        <f>MAX(SnapshotTable[[#This Row],[Equity Basis Total]],SnapshotTable[[#This Row],[Equity Value]]) + (SnapshotTable[[#This Row],[SP Potential Spend]]- SnapshotTable[[#This Row],[SP Premium]] + SnapshotTable[[#This Row],[LP Premium]])+ (SnapshotTable[[#This Row],[LC Premium]] - SnapshotTable[[#This Row],[SC Premium]])</f>
        <v>2142.4</v>
      </c>
      <c r="GW220" s="137">
        <f ca="1">IF(AND(SnapshotTable[[#This Row],[Exposure]] &lt;&gt; 0),SnapshotTable[[#This Row],[Exposure]] / SnapshotTable[[#Totals],[Exposure]], "")</f>
        <v>1.189554749834815E-2</v>
      </c>
      <c r="HK220" s="1"/>
      <c r="HL220" s="1"/>
      <c r="HM220" s="1"/>
      <c r="HN220" s="1"/>
      <c r="HO220" s="1"/>
      <c r="HP220" s="1"/>
    </row>
    <row r="221" spans="2:224" ht="12.75" hidden="1" customHeight="1" x14ac:dyDescent="0.25">
      <c r="B221" s="12" t="s">
        <v>46</v>
      </c>
      <c r="C221" s="385">
        <v>94.37</v>
      </c>
      <c r="D221" s="200"/>
      <c r="E221" s="39">
        <f>SnapshotTable[[#This Row],[Last Price]]*(1 -CrashDiscount)</f>
        <v>80.214500000000001</v>
      </c>
      <c r="F221" s="26" t="s">
        <v>45</v>
      </c>
      <c r="G221" s="26" t="s">
        <v>10</v>
      </c>
      <c r="H221" s="147"/>
      <c r="I221" s="186">
        <v>44782.666666666664</v>
      </c>
      <c r="J221" s="187">
        <v>44782.666666666664</v>
      </c>
      <c r="K221" s="188"/>
      <c r="L221" s="297"/>
      <c r="M221" s="138"/>
      <c r="N221" s="138"/>
      <c r="O221" s="138">
        <v>1</v>
      </c>
      <c r="P221" s="22"/>
      <c r="Q221" s="25"/>
      <c r="R221" s="4" t="str">
        <f>IF(SnapshotTable[[#This Row],[Equity Basis Total]] &gt; 0, SnapshotTable[[#This Row],[Equity Basis Total]] / SnapshotTable[[#This Row],[Equity Shares]], "")</f>
        <v/>
      </c>
      <c r="S221" s="254">
        <f>SnapshotTable[[#This Row],[Last Price]] * SnapshotTable[[#This Row],[Equity Shares]]</f>
        <v>0</v>
      </c>
      <c r="T221" s="254">
        <f>SnapshotTable[[#This Row],[Equity Value]] - SnapshotTable[[#This Row],[Equity Basis Total]]</f>
        <v>0</v>
      </c>
      <c r="U221" s="255" t="str">
        <f>IF(SnapshotTable[[#This Row],[Equity Basis Total]] &gt; 0, SnapshotTable[[#This Row],[Equity G/L]] / SnapshotTable[[#This Row],[Equity Basis Total]], "")</f>
        <v/>
      </c>
      <c r="V221" s="253"/>
      <c r="W221" s="253"/>
      <c r="X221" s="4" t="str">
        <f>IF(AND(ISNUMBER(SnapshotTable[[#This Row],[Equity Basis Per Share]]),ISNUMBER(SnapshotTable[[#This Row],[Equity Target]])),SnapshotTable[[#This Row],[Equity Target]]-SnapshotTable[[#This Row],[Equity Basis Per Share]],"")</f>
        <v/>
      </c>
      <c r="Y221" s="4" t="str">
        <f>IF(AND(ISNUMBER(SnapshotTable[[#This Row],[Equity Basis Per Share]]),ISNUMBER(SnapshotTable[[#This Row],[Equity Stop Loss]])),SnapshotTable[[#This Row],[Equity Stop Loss]]-SnapshotTable[[#This Row],[Equity Basis Per Share]],"")</f>
        <v/>
      </c>
      <c r="Z221" s="260" t="str">
        <f>IFERROR( TEXT(SnapshotTable[[#This Row],[Equity Max Gain Per Share]] /ABS( SnapshotTable[[#This Row],[Equity Max Loss Per Share]]),"0.0 " ) &amp; " : 1", "")</f>
        <v/>
      </c>
      <c r="AA221" s="31" t="str">
        <f>IF(ISNUMBER(SnapshotTable[[#This Row],[Equity Max Gain Per Share]]),SnapshotTable[[#This Row],[Equity Max Gain Per Share]] * SnapshotTable[[#This Row],[Equity Shares]],"")</f>
        <v/>
      </c>
      <c r="AB221" s="31" t="str">
        <f>IF(ISNUMBER(SnapshotTable[[#This Row],[Equity Max Loss Per Share]]),SnapshotTable[[#This Row],[Equity Max Loss Per Share]] * SnapshotTable[[#This Row],[Equity Shares]],"")</f>
        <v/>
      </c>
      <c r="AC221" s="148">
        <v>2</v>
      </c>
      <c r="AD221" s="149">
        <v>42794</v>
      </c>
      <c r="AE221" s="31">
        <f>(SnapshotTable[[#This Row],[Annual Dividend Per Share]] / 4) * SnapshotTable[[#This Row],[Equity Shares]]</f>
        <v>0</v>
      </c>
      <c r="AF221" s="31">
        <f>SnapshotTable[[#This Row],[Quarterly Div $]] * 4</f>
        <v>0</v>
      </c>
      <c r="AG221" s="7">
        <f>IF(SnapshotTable[[#This Row],[Annual Dividend Per Share]]&gt;0, SnapshotTable[[#This Row],[Annual Dividend Per Share]]  / SnapshotTable[[#This Row],[Last Price]], 0)</f>
        <v>2.119317579739324E-2</v>
      </c>
      <c r="AH221" s="149">
        <v>42863</v>
      </c>
      <c r="AI221" s="5"/>
      <c r="AJ221" s="136">
        <v>117.81</v>
      </c>
      <c r="AK221" s="150" t="str">
        <f>IF(ISNUMBER( SnapshotTable[[#This Row],[EBF Target]]),(SnapshotTable[[#This Row],[EBF Target]] - SnapshotTable[[#This Row],[Last Price]]) / SnapshotTable[[#This Row],[Last Price]], "")</f>
        <v/>
      </c>
      <c r="AL221" s="150" t="str">
        <f>IF(AND(SnapshotTable[[#This Row],[Equity Basis Total]] &gt; 0,ISNUMBER( SnapshotTable[[#This Row],[Long Term Target]])), SnapshotTable[[#This Row],[From Basis $]] / SnapshotTable[[#This Row],[Equity Basis Total]], "")</f>
        <v/>
      </c>
      <c r="AM221" s="9">
        <f>IF( AND(SnapshotTable[[#This Row],[Equity Shares]] &gt;0,ISNUMBER( SnapshotTable[[#This Row],[Long Term Target]])),(SnapshotTable[[#This Row],[Equity Shares]] * SnapshotTable[[#This Row],[Long Term Target]]) - SnapshotTable[[#This Row],[Equity Basis Total]],0)</f>
        <v>0</v>
      </c>
      <c r="AN221" s="9">
        <f>IF( AND(SnapshotTable[[#This Row],[Equity Shares]] &gt;0,ISNUMBER( SnapshotTable[[#This Row],[Long Term Target]])),(SnapshotTable[[#This Row],[Equity Shares]]*SnapshotTable[[#This Row],[Long Term Target]]) - SnapshotTable[[#This Row],[Equity Value]],0)</f>
        <v>0</v>
      </c>
      <c r="AO221" s="150">
        <f>IF(AND(ISNUMBER( SnapshotTable[[#This Row],[Long Term Target]]), ISNUMBER(SnapshotTable[[#This Row],[Last Price]])),(SnapshotTable[[#This Row],[Long Term Target]] - SnapshotTable[[#This Row],[Last Price]]) / SnapshotTable[[#This Row],[Last Price]], "")</f>
        <v>0.24838402034544874</v>
      </c>
      <c r="AP221" s="5">
        <v>95</v>
      </c>
      <c r="AQ221" s="38" t="s">
        <v>28</v>
      </c>
      <c r="AR221" s="5">
        <v>95</v>
      </c>
      <c r="AS221" s="38" t="s">
        <v>29</v>
      </c>
      <c r="AT221" s="144"/>
      <c r="AU221" s="185" t="str">
        <f>IF(OR(SnapshotTable[[#This Row],[LP No Fill]]="Y",SnapshotTable[[#This Row],[SP Is Filled]],SnapshotTable[[#This Row],[LC Not Filled]]="Y",SnapshotTable[[#This Row],[SC Is Filled]]),"Y","")</f>
        <v/>
      </c>
      <c r="AV221" s="205"/>
      <c r="AW221" s="211"/>
      <c r="AX221" s="206"/>
      <c r="AY221" s="205" t="str">
        <f>IF(SnapshotTable[[#This Row],[Implied Move]]&gt;0, SnapshotTable[[#This Row],[Last Price]]-SnapshotTable[[#This Row],[Implied Move]],"")</f>
        <v/>
      </c>
      <c r="AZ221" s="205" t="str">
        <f>IF(SnapshotTable[[#This Row],[Implied Move]]&gt;0, SnapshotTable[[#This Row],[Last Price]] + SnapshotTable[[#This Row],[Implied Move]],"")</f>
        <v/>
      </c>
      <c r="BA221" s="302"/>
      <c r="BB221" s="318"/>
      <c r="BC22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1" s="321"/>
      <c r="BE221" s="5"/>
      <c r="BF221" s="14"/>
      <c r="BG221" s="13"/>
      <c r="BH221" s="13"/>
      <c r="BI221" s="5"/>
      <c r="BJ221" s="134">
        <f>IF(SnapshotTable[[#This Row],[LP Qty]] &gt; 0, SnapshotTable[[#This Row],[LP Qty]] * SnapshotTable[[#This Row],[LP Book Price]] * 100,0)</f>
        <v>0</v>
      </c>
      <c r="BK221" s="134">
        <f>IF(SnapshotTable[[#This Row],[LP Premium]] &gt; 0, SnapshotTable[[#This Row],[LP Qty]] * SnapshotTable[[#This Row],[LP Strike Price]] * 100,0)</f>
        <v>0</v>
      </c>
      <c r="BL221" s="152"/>
      <c r="BM221" s="355" t="str">
        <f>IF(SnapshotTable[[#This Row],[LP Premium]] &gt; 0,SnapshotTable[[#This Row],[LP Exp Date]]-MAX(SnapshotTable[[#This Row],[LP Book Date]], SnapshotTable[[#This Row],[LP Fill Date]]),"")</f>
        <v/>
      </c>
      <c r="BN221" s="355" t="str">
        <f>IF(ISNUMBER( SnapshotTable[[#This Row],[LP Term]]), SnapshotTable[[#This Row],[LP Exp Date]] - MockToday,"")</f>
        <v/>
      </c>
      <c r="BO221" s="161" t="str">
        <f>IF(AND(SnapshotTable[[#This Row],[LP Exp Date]]&gt;0, SnapshotTable[[#This Row],[LP Strike Price]]&gt;0,SnapshotTable[[#This Row],[LP Qty]]&gt;0,SnapshotTable[[#This Row],[LP Book Date]]&gt;0,SnapshotTable[[#This Row],[LP Book Price]]&gt;0,SnapshotTable[[#This Row],[LP Fill Date]]=0),"Y","")</f>
        <v/>
      </c>
      <c r="BP221" s="31" t="str">
        <f>IF(AND(SnapshotTable[[#This Row],[LP No Fill]]&lt;&gt;"Y",SnapshotTable[[#This Row],[LP Contract Value]]&gt;0, SnapshotTable[[#This Row],[LP Qty]]&gt;0), SnapshotTable[[#This Row],[LP Contract Value]]*SnapshotTable[[#This Row],[LP Qty]]*100,"")</f>
        <v/>
      </c>
      <c r="BQ221" s="13"/>
      <c r="BR221" s="5"/>
      <c r="BS221" s="36"/>
      <c r="BT221" s="145"/>
      <c r="BU221" s="13"/>
      <c r="BV221" s="5"/>
      <c r="BW221" s="382" t="b">
        <f>AND(ISNUMBER(SnapshotTable[[#This Row],[SP Exp Date]]), ISNUMBER(SnapshotTable[[#This Row],[SP Strike Price]]), ISNUMBER(SnapshotTable[[#This Row],[SP Qty]]), ISNUMBER(SnapshotTable[[#This Row],[SP Book Date]]), ISNUMBER(SnapshotTable[[#This Row],[SP Book Price]]))</f>
        <v>0</v>
      </c>
      <c r="BX221" s="382" t="b">
        <f>AND(SnapshotTable[[#This Row],[SP Is Booked]], NOT(ISBLANK(SnapshotTable[[#This Row],[SP Fill Date]])))</f>
        <v>0</v>
      </c>
      <c r="BY221" s="33">
        <f>IF(SnapshotTable[[#This Row],[SP Is Booked]], SnapshotTable[[#This Row],[SP Qty]] * SnapshotTable[[#This Row],[SP Book Price]] * 100, 0)</f>
        <v>0</v>
      </c>
      <c r="BZ221" s="339"/>
      <c r="CA221" s="338">
        <f>SnapshotTable[[#This Row],[LP Qty]]</f>
        <v>0</v>
      </c>
      <c r="CB221" s="4" t="str">
        <f>IF(SnapshotTable[[#This Row],[SP Is Booked]], SnapshotTable[[#This Row],[SP Strike Price]] - SnapshotTable[[#This Row],[SP Book Price]], "")</f>
        <v/>
      </c>
      <c r="CC221" s="19" t="str">
        <f>IF(SnapshotTable[[#This Row],[SP Is Booked]],SnapshotTable[[#This Row],[SP Exp Date]]-MAX(SnapshotTable[[#This Row],[SP Book Date]], SnapshotTable[[#This Row],[SP Fill Date]]),"")</f>
        <v/>
      </c>
      <c r="CD221" s="7" t="str">
        <f>IF(SnapshotTable[[#This Row],[SP Is Booked]], SnapshotTable[[#This Row],[SP Book Price]]/SnapshotTable[[#This Row],[SP Strike Price]], "")</f>
        <v/>
      </c>
      <c r="CE221" s="7" t="str">
        <f>IF(ISNUMBER(SnapshotTable[[#This Row],[SP ROO Term]]),SnapshotTable[[#This Row],[SP ROO Term]]*(365/SnapshotTable[[#This Row],[SP Term]]),"")</f>
        <v/>
      </c>
      <c r="CF221" s="221">
        <f>SnapshotTable[[#This Row],[LP Strike Price]] * SnapshotTable[[#This Row],[LP Qty]] * 100</f>
        <v>0</v>
      </c>
      <c r="CG221" s="31">
        <f>IF(ISNUMBER(SnapshotTable[[#This Row],[SP Premium]]), (SnapshotTable[[#This Row],[SP Qty]] * SnapshotTable[[#This Row],[SP Strike Price]]* 100) - SnapshotTable[[#This Row],[LP Protection]], 0)</f>
        <v>0</v>
      </c>
      <c r="CH221" s="7" t="str">
        <f>IF(ISNUMBER(SnapshotTable[[#This Row],[SP Break Even]]),-1 * (SnapshotTable[[#This Row],[SP Break Even]] - SnapshotTable[[#This Row],[Last Price]]) / SnapshotTable[[#This Row],[Last Price]], "")</f>
        <v/>
      </c>
      <c r="CI221" s="31">
        <f>IF(AND(ISNUMBER((SnapshotTable[[#This Row],[SP Potential Spend]])), SnapshotTable[[#This Row],[SP Strike Price]] &gt; SnapshotTable[[#This Row],[Last Price]], SnapshotTable[[#This Row],[SP Is Filled]]), SnapshotTable[[#This Row],[SP Potential Spend]] -  SnapshotTable[[#This Row],[LP Max Value]], 0)</f>
        <v>0</v>
      </c>
      <c r="CJ221" s="229"/>
      <c r="CK221" s="31">
        <f>IF(ISNUMBER(SnapshotTable[[#This Row],[SP Potential Spend]]),IF(ISNUMBER(SnapshotTable[[#This Row],[SP POW]]), SnapshotTable[[#This Row],[SP POW]] * SnapshotTable[[#This Row],[SP Potential Spend]], SnapshotTable[[#This Row],[SP Potential Spend]]), "")</f>
        <v>0</v>
      </c>
      <c r="CL221" s="162">
        <f>IF(NOT(SnapshotTable[[#This Row],[SP Is Filled]]),(SnapshotTable[[#This Row],[SP Qty]] * SnapshotTable[[#This Row],[SP Strike Price]] * 100) - SnapshotTable[[#This Row],[LP Max Value]],"")</f>
        <v>0</v>
      </c>
      <c r="CM221" s="31" t="str">
        <f>IF(SnapshotTable[[#This Row],[SP Actual Spend]]&lt;&gt;0, ((SnapshotTable[[#This Row],[SP Strike Price]]-SnapshotTable[[#This Row],[Last Price]]) *(SnapshotTable[[#This Row],[SP Qty]]*100) - SnapshotTable[[#This Row],[SP Premium]]) * - 1, "")</f>
        <v/>
      </c>
      <c r="CN221" s="76"/>
      <c r="CO221" s="339"/>
      <c r="CP221" s="4" t="str">
        <f>IF(SnapshotTable[[#This Row],[SP Is Filled]], btc_max_buyback_amount(SnapshotTable[[#This Row],[SP Fill Date]],SnapshotTable[[#This Row],[SP Exp Date]], SnapshotTable[[#This Row],[SP Book Price]]),"")</f>
        <v/>
      </c>
      <c r="CQ221" s="76"/>
      <c r="CR22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1" s="153" t="str">
        <f>IF(SnapshotTable[[#This Row],[SP Is Filled]], btc_next_cutoff_date(SnapshotTable[[#This Row],[SP Fill Date]],SnapshotTable[[#This Row],[SP Exp Date]]),"")</f>
        <v/>
      </c>
      <c r="CT221" s="220" t="str" cm="1">
        <f t="array" ref="CT221">IF(SnapshotTable[[#This Row],[SP Is Filled]], btc_should_buy_back(SnapshotTable[[#This Row],[SP Fill Date]], SnapshotTable[[#This Row],[SP Exp Date]], SnapshotTable[[#This Row],[SP Book Price]], SnapshotTable[[#This Row],[SP Current Ask]], MockToday, SnapshotTable[[#This Row],[SP Buyback Override]]),"")</f>
        <v/>
      </c>
      <c r="CU221" s="141"/>
      <c r="CV221" s="220"/>
      <c r="CW221" s="348" t="str">
        <f>IF(ISNUMBER( SnapshotTable[[#This Row],[SP Term]]), SnapshotTable[[#This Row],[SP Exp Date]] - MockToday,"")</f>
        <v/>
      </c>
      <c r="CX221" s="31" t="str">
        <f>IF(SnapshotTable[[#This Row],[SP Is Filled]],SnapshotTable[[#This Row],[SP Buyback Price to Use]] * 100 * SnapshotTable[[#This Row],[SP Qty]], "")</f>
        <v/>
      </c>
      <c r="CY221" s="4" t="str">
        <f>IF(ISNUMBER(SnapshotTable[[#This Row],[SP Strike Price]]), SnapshotTable[[#This Row],[SP Strike Price]] * (1 - SP_MaxLoss_StrikePct), "")</f>
        <v/>
      </c>
      <c r="CZ221" s="31" t="str">
        <f>IF(ISNUMBER(SnapshotTable[[#This Row],[SP Strike  Stop Per Share]]),SnapshotTable[[#This Row],[SP Premium]] - ((SnapshotTable[[#This Row],[SP Strike Price]]-SnapshotTable[[#This Row],[SP Strike  Stop Per Share]]) *(SnapshotTable[[#This Row],[SP Qty]] * 100)),"")</f>
        <v/>
      </c>
      <c r="DA221" s="4" t="str">
        <f>IF(AND(ISNUMBER(SnapshotTable[[#This Row],[SP Premium]]),SnapshotTable[[#This Row],[SP Premium]]&gt;0), SnapshotTable[[#This Row],[SP Book Price]] * (1 + SP_MaxLoss_OptionPct), "")</f>
        <v/>
      </c>
      <c r="DB221" s="31" t="str">
        <f>IF(ISNUMBER(SnapshotTable[[#This Row],[SP Option  Stop Contract]]),(SnapshotTable[[#This Row],[SP Option  Stop Contract]] *(SnapshotTable[[#This Row],[SP Qty]] * 100) - SnapshotTable[[#This Row],[SP Premium]]),"")</f>
        <v/>
      </c>
      <c r="DC221" s="4"/>
      <c r="DD221" s="4"/>
      <c r="DE221" s="4" t="str">
        <f>IF(AND(SnapshotTable[[#This Row],[SP Qty]]&gt;0, SnapshotTable[[#This Row],[SP Stop To Use]]&gt;0),SnapshotTable[[#This Row],[SP Premium]] - ( SnapshotTable[[#This Row],[SP Qty]] * SnapshotTable[[#This Row],[SP Stop To Use]] * 100), "")</f>
        <v/>
      </c>
      <c r="DF221" s="31" t="str">
        <f>IF(AND(SnapshotTable[[#This Row],[SP Qty]]&gt;0,SnapshotTable[[#This Row],[SP Current Ask]]&gt;0), SnapshotTable[[#This Row],[SP Qty]] * SnapshotTable[[#This Row],[SP Current Ask]] * -100, "")</f>
        <v/>
      </c>
      <c r="DG221" s="31" t="str">
        <f>IF(ISNUMBER((SnapshotTable[[#This Row],[SP Total Value]])), SnapshotTable[[#This Row],[SP Premium]] + SnapshotTable[[#This Row],[SP Total Value]], "")</f>
        <v/>
      </c>
      <c r="DH221" s="272" t="str">
        <f>IF(ISNUMBER((SnapshotTable[[#This Row],[SP Total Value]])), SnapshotTable[[#This Row],[SP Gain Loss]] / SnapshotTable[[#This Row],[SP Premium]], "")</f>
        <v/>
      </c>
      <c r="DI221" s="369"/>
      <c r="DJ221" s="136"/>
      <c r="DK221" s="146"/>
      <c r="DL221" s="13"/>
      <c r="DM221" s="13"/>
      <c r="DO221" s="31">
        <f>IF(SnapshotTable[[#This Row],[LC Symbol Count]]=1, SnapshotTable[[#This Row],[LC Qty]] * SnapshotTable[[#This Row],[LC Book Price]] * 100, 0)</f>
        <v>0</v>
      </c>
      <c r="DP221" s="161" t="str">
        <f>IF(AND(SnapshotTable[[#This Row],[LC Exp Date]]&gt;0, SnapshotTable[[#This Row],[LC Strike Price]]&gt;0,SnapshotTable[[#This Row],[LC Qty]]&gt;0,SnapshotTable[[#This Row],[LC Book Date]]&gt;0,SnapshotTable[[#This Row],[LC Book Price]]&gt;0,SnapshotTable[[#This Row],[LC Fill Date]]=0),"Y","")</f>
        <v/>
      </c>
      <c r="DQ221" s="356" t="str">
        <f>IF(SnapshotTable[[#This Row],[LC Premium]] &gt; 0,SnapshotTable[[#This Row],[LC Exp Date]]-MAX(SnapshotTable[[#This Row],[LC Book Date]], SnapshotTable[[#This Row],[LC Fill Date]]),"")</f>
        <v/>
      </c>
      <c r="DR221" s="356" t="str">
        <f>IF(ISNUMBER(SnapshotTable[[#This Row],[LC Term]]), SnapshotTable[[#This Row],[LC Exp Date]] - MockToday, "")</f>
        <v/>
      </c>
      <c r="DS221" s="219" t="str">
        <f>IF(SnapshotTable[[#This Row],[LC Premium]]&gt;0,SnapshotTable[[#This Row],[LC Strike Price]] + SnapshotTable[[#This Row],[LC Book Price]],"")</f>
        <v/>
      </c>
      <c r="DU221" s="9" t="str">
        <f>IF(AND(SnapshotTable[[#This Row],[LC Symbol Count]]&gt;0, SnapshotTable[[#This Row],[LC Contract Value]]&gt;0), SnapshotTable[[#This Row],[LC Contract Value]] * SnapshotTable[[#This Row],[LC Qty]] * 100, "")</f>
        <v/>
      </c>
      <c r="DV221" s="9" t="str">
        <f>IF(AND(ISNUMBER(SnapshotTable[[#This Row],[LC Total Value]]), SnapshotTable[[#This Row],[LC Not Filled]]&lt;&gt;"Y"), SnapshotTable[[#This Row],[LC Total Value]]-SnapshotTable[[#This Row],[LC Premium]],"")</f>
        <v/>
      </c>
      <c r="DW221" s="225" t="str">
        <f>IF(ISNUMBER(SnapshotTable[[#This Row],[LC Actual Gain Loss]]), SnapshotTable[[#This Row],[LC Actual Gain Loss]] / SnapshotTable[[#This Row],[LC Premium]],"")</f>
        <v/>
      </c>
      <c r="DX221" s="269" t="str">
        <f>IF(ISNUMBER(SnapshotTable[[#This Row],[LC Book Price]]),SnapshotTable[[#This Row],[LC Book Price]] * 1.5,"")</f>
        <v/>
      </c>
      <c r="DY221" s="250" t="str">
        <f>IF(SnapshotTable[[#This Row],[LC Premium]]&gt;0, SnapshotTable[[#This Row],[LC Next Target]] * SnapshotTable[[#This Row],[LC Qty]] * 100,"")</f>
        <v/>
      </c>
      <c r="DZ221" s="250" t="str">
        <f>IF(ISNUMBER(SnapshotTable[[#This Row],[LC Target Gross]]), SnapshotTable[[#This Row],[LC Target Gross]] - SnapshotTable[[#This Row],[LC Premium]], "")</f>
        <v/>
      </c>
      <c r="EA221" s="283" t="str">
        <f>IF(ISNUMBER(SnapshotTable[[#This Row],[LC Target Gain Loss]]), SnapshotTable[[#This Row],[LC Target Gain Loss]]/SnapshotTable[[#This Row],[LC Premium]], "")</f>
        <v/>
      </c>
      <c r="EB221" s="247"/>
      <c r="EC221" s="268" t="str">
        <f>IF(SnapshotTable[[#This Row],[LC Premium]]&gt;0, SnapshotTable[[#This Row],[LC Book Price]] * (1 - LC_StopLoss_Pct),"")</f>
        <v/>
      </c>
      <c r="ED221" s="269"/>
      <c r="EE221" s="268" t="str">
        <f>IF(ISNUMBER(SnapshotTable[[#This Row],[LC Contract Value]]),IF(ISNUMBER(SnapshotTable[[#This Row],[LC Stop Loss Override]]), SnapshotTable[[#This Row],[LC Stop Loss Override]],SnapshotTable[[#This Row],[LC Stop Loss Calc Target]]),"")</f>
        <v/>
      </c>
      <c r="EF221" s="31" t="str">
        <f>IF(ISNUMBER(SnapshotTable[[#This Row],[LC Stop  To Use]]), (SnapshotTable[[#This Row],[LC Stop  To Use]] * SnapshotTable[[#This Row],[LC Qty]] * 100),"")</f>
        <v/>
      </c>
      <c r="EG221" s="9" t="str">
        <f>IF(ISNUMBER(SnapshotTable[[#This Row],[LC Total Value]]),SnapshotTable[[#This Row],[LC Stop Loss Amount]] - SnapshotTable[[#This Row],[LC Premium]],"")</f>
        <v/>
      </c>
      <c r="EH221" s="9">
        <f>IF(ISNUMBER(SnapshotTable[[#This Row],[LC Premium]]), SnapshotTable[[#This Row],[LC Qty]] * 100 * SnapshotTable[[#This Row],[LC Strike Price]], "")</f>
        <v>0</v>
      </c>
      <c r="EI221" s="225" t="str">
        <f>IF(AND(ISNUMBER(SnapshotTable[[#This Row],[LC Total Value]]),SnapshotTable[[#This Row],[LC Total Value]]&gt;0),SnapshotTable[[#This Row],[LC Stop Gain Loss]]  / SnapshotTable[[#This Row],[LC Premium]],"")</f>
        <v/>
      </c>
      <c r="EJ221" s="35">
        <f>IF(ISNUMBER(SnapshotTable[[#This Row],[Equity Shares]]),TRUNC(SnapshotTable[[#This Row],[Equity Shares]] / 100),0) + SnapshotTable[[#This Row],[LC Qty]]</f>
        <v>0</v>
      </c>
      <c r="EK221" s="145"/>
      <c r="EL221" s="136"/>
      <c r="EM221" s="146"/>
      <c r="EN221" s="145"/>
      <c r="EO221" s="145"/>
      <c r="EP221" s="136"/>
      <c r="EQ221" s="382" t="b">
        <f>AND(ISNUMBER(SnapshotTable[[#This Row],[SC Exp Date]]), ISNUMBER(SnapshotTable[[#This Row],[SC Strike Price]]), ISNUMBER(SnapshotTable[[#This Row],[SC Qty]]), ISNUMBER(SnapshotTable[[#This Row],[SC Book Date]]), ISNUMBER(SnapshotTable[[#This Row],[SC Book Price]]))</f>
        <v>0</v>
      </c>
      <c r="ER221" s="382" t="b">
        <f>AND(SnapshotTable[[#This Row],[SC Is Booked]], NOT(ISBLANK(SnapshotTable[[#This Row],[SC Fill Date]])))</f>
        <v>0</v>
      </c>
      <c r="ES221" s="340"/>
      <c r="ET221" s="34" t="str">
        <f>IF(AND(ISNUMBER(SnapshotTable[[#This Row],[SC Exp Date]]), ISNUMBER(SnapshotTable[[#This Row],[SC Book Date]])), SnapshotTable[[#This Row],[SC Exp Date]] - MAX(SnapshotTable[[#This Row],[SC Book Date]], SnapshotTable[[#This Row],[SC Fill Date]]) + 1, "")</f>
        <v/>
      </c>
      <c r="EU221" s="34" t="str">
        <f>IF(ISNUMBER(SnapshotTable[[#This Row],[SC Term]]), SnapshotTable[[#This Row],[SC Exp Date]]- MockToday, "")</f>
        <v/>
      </c>
      <c r="EV221" s="31">
        <f>IF(SnapshotTable[[#This Row],[SC Is Booked]], SnapshotTable[[#This Row],[SC Qty]] * SnapshotTable[[#This Row],[SC Book Price]] * 100, 0)</f>
        <v>0</v>
      </c>
      <c r="EW221" s="4" t="str">
        <f>IF(AND(ISNUMBER(SnapshotTable[[#This Row],[Last Price]]), ISNUMBER( SnapshotTable[[#This Row],[SC Book Price]])), SnapshotTable[[#This Row],[Last Price]] - SnapshotTable[[#This Row],[SC Book Price]],"")</f>
        <v/>
      </c>
      <c r="EX221" s="219" t="str">
        <f>IF(SnapshotTable[[#This Row],[SC Is Booked]],IF(SnapshotTable[[#This Row],[SC Intrinsic Value]] &gt; 0, SnapshotTable[[#This Row],[SC Strike Price]], SnapshotTable[[#This Row],[Last Price]]), "")</f>
        <v/>
      </c>
      <c r="EY221" s="4">
        <f>IF(SnapshotTable[[#This Row],[SC Is Booked]], (MinimumPremiumRequired * SnapshotTable[[#This Row],[SC Basis]] * SnapshotTable[[#This Row],[SC Term]]), 0)</f>
        <v>0</v>
      </c>
      <c r="EZ221" s="268"/>
      <c r="FA221" s="204"/>
      <c r="FB221" s="340"/>
      <c r="FC221" s="4">
        <f>IF(SnapshotTable[[#This Row],[SC Is Filled]], btc_max_buyback_amount(SnapshotTable[[#This Row],[SC Fill Date]],SnapshotTable[[#This Row],[SC Exp Date]], SnapshotTable[[#This Row],[SC Book Price]]),0)</f>
        <v>0</v>
      </c>
      <c r="FD221" s="5"/>
      <c r="FE221" s="142" t="str">
        <f>IF(SnapshotTable[[#This Row],[SC Is Filled]], btc_next_cutoff_date(SnapshotTable[[#This Row],[SC Fill Date]],SnapshotTable[[#This Row],[SC Exp Date]]),"")</f>
        <v/>
      </c>
      <c r="FF221" s="4" t="str" cm="1">
        <f t="array" ref="FF221">IF(SnapshotTable[[#This Row],[SC Is Filled]], btc_should_buy_back(SnapshotTable[[#This Row],[SC Fill Date]], SnapshotTable[[#This Row],[SC Exp Date]], SnapshotTable[[#This Row],[SC Book Price]], SnapshotTable[[#This Row],[SC Current Ask]], MockToday, SnapshotTable[[#This Row],[SC Buyback Override]]),"")</f>
        <v/>
      </c>
      <c r="FG221" s="4">
        <f>IF(SnapshotTable[[#This Row],[SC Is Filled]], MAX(0,SnapshotTable[[#This Row],[Last Price]]  - SnapshotTable[[#This Row],[SC Strike Price]]), 0)</f>
        <v>0</v>
      </c>
      <c r="FH221" s="352">
        <f>IF(SnapshotTable[[#This Row],[SC Is Filled]], IF(ISNUMBER(SnapshotTable[[#This Row],[SC Current Ask]]), SnapshotTable[[#This Row],[SC Current Ask]], SnapshotTable[[#This Row],[SC Book Price]]) - SnapshotTable[[#This Row],[SC Intrinsic Value]], 0)</f>
        <v>0</v>
      </c>
      <c r="FI221" s="141"/>
      <c r="FJ221" s="32" t="str">
        <f>IF(SnapshotTable[[#This Row],[SC Is Filled]],100 * SnapshotTable[[#This Row],[SC Qty]] * IF(ISNUMBER(SnapshotTable[[#This Row],[SC Buyback Override]]), SnapshotTable[[#This Row],[SC Buyback Override]], SnapshotTable[[#This Row],[SC Current Ask]]), "")</f>
        <v/>
      </c>
      <c r="FK221" s="235" t="str">
        <f>IF(SnapshotTable[[#This Row],[SC Time Val]]&gt;0, SnapshotTable[[#This Row],[SC Time Val]] / SnapshotTable[[#This Row],[Last Price]],"")</f>
        <v/>
      </c>
      <c r="FL221" s="280" t="str">
        <f>IF(SnapshotTable[[#This Row],[SC Is Booked]], ((SnapshotTable[[#This Row],[Last Price]] -SnapshotTable[[#This Row],[SC Strike Price]]) / SnapshotTable[[#This Row],[Last Price]]) * -1, "")</f>
        <v/>
      </c>
      <c r="FM221" s="155" t="str">
        <f>IF(SnapshotTable[[#This Row],[SC Is Booked]],  (SnapshotTable[[#This Row],[SC Qty]] * 100 * SnapshotTable[[#This Row],[SC Strike Price]]) - SnapshotTable[[#This Row],[SC Current Ask]], "")</f>
        <v/>
      </c>
      <c r="FN22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1" s="31" t="str">
        <f>IF(AND(ISNUMBER(SnapshotTable[[#This Row],[SC Exercise Gross]]), ISNUMBER(SnapshotTable[[#This Row],[Equity Basis Per Share]] )), SnapshotTable[[#This Row],[SC Exercise Gross]] - SnapshotTable[[#This Row],[Equity Basis Total]] +  SnapshotTable[[#This Row],[SC Premium]], "")</f>
        <v/>
      </c>
      <c r="FP221" s="5" t="str">
        <f>IF(ISNUMBER(SnapshotTable[[#This Row],[SC Exercise Gross]]), (SnapshotTable[[#This Row],[SC Exercise Gross]]) / (SnapshotTable[[#This Row],[SC Qty]] * 100), "")</f>
        <v/>
      </c>
      <c r="FQ221" s="27" t="str">
        <f>IF(SnapshotTable[[#This Row],[SC Is Booked]],SnapshotTable[[#This Row],[SC Time Val]] /SnapshotTable[[#This Row],[SC Basis]], "")</f>
        <v/>
      </c>
      <c r="FR221" s="27" t="str" cm="1">
        <f t="array" ref="FR221">IF(AND(ISNUMBER(SnapshotTable[[#This Row],[SC Term]]),ISNUMBER(SnapshotTable[[#This Row],[SC Simple ROO]])), EllmanAnnualize(SnapshotTable[[#This Row],[SC DTE]], SnapshotTable[[#This Row],[SC Simple ROO]] ),"")</f>
        <v/>
      </c>
      <c r="FS221" s="4">
        <f>IF(SnapshotTable[[#This Row],[SC Strike Price]] &gt; SnapshotTable[[#This Row],[Last Price]], SnapshotTable[[#This Row],[SC Strike Price]] - SnapshotTable[[#This Row],[Last Price]],0)</f>
        <v>0</v>
      </c>
      <c r="FT221" s="27" t="str">
        <f>IF(AND(ISNUMBER(SnapshotTable[[#This Row],[SC Upside Potential]]), SnapshotTable[[#This Row],[SC Upside Potential]] &gt; 0),(SnapshotTable[[#This Row],[SC Upside Potential]]/ SnapshotTable[[#This Row],[ACB]]),"")</f>
        <v/>
      </c>
      <c r="FU221" s="304" t="str">
        <f>IF(SnapshotTable[[#This Row],[SC Intrinsic Value]] &gt; 0,SnapshotTable[[#This Row],[SC Intrinsic Value]],"")</f>
        <v/>
      </c>
      <c r="FV221" s="27" t="str">
        <f>IF(AND( ISNUMBER( SnapshotTable[[#This Row],[ACB]]),ISNUMBER(SnapshotTable[[#This Row],[SC Downside Protect]])),SnapshotTable[[#This Row],[SC Downside Protect]] / SnapshotTable[[#This Row],[ACB]],"")</f>
        <v/>
      </c>
      <c r="FW221" s="221" t="str">
        <f>IF(AND(ISNUMBER(SnapshotTable[[#This Row],[SC Simple ROO]]),SnapshotTable[[#This Row],[SC Simple ROO]] &gt; 0), SnapshotTable[[#This Row],[SC Premium]] + (SnapshotTable[[#This Row],[SC Qty]] * SnapshotTable[[#This Row],[SC Upside Potential]]), "")</f>
        <v/>
      </c>
      <c r="FX221" s="280" t="str" cm="1">
        <f t="array" ref="FX221">IF(ISNUMBER(SnapshotTable[[#This Row],[SC Max Dollars]]), annualize(SnapshotTable[[#This Row],[SC Term]],(SnapshotTable[[#This Row],[SC Max Dollars]]/SnapshotTable[[#This Row],[SC Basis]])),"")</f>
        <v/>
      </c>
      <c r="FY221" s="221" t="str">
        <f>IF(AND(SnapshotTable[[#This Row],[SC Qty]]&gt;0,SnapshotTable[[#This Row],[SC Current Ask]]&gt;0), SnapshotTable[[#This Row],[SC Qty]] * SnapshotTable[[#This Row],[SC Current Ask]] * -100, "")</f>
        <v/>
      </c>
      <c r="FZ221" s="31" t="str">
        <f>IF(ISNUMBER((SnapshotTable[[#This Row],[SC Current Value]])), SnapshotTable[[#This Row],[SC Premium]] + SnapshotTable[[#This Row],[SC Current Value]], "")</f>
        <v/>
      </c>
      <c r="GA221" s="272" t="str">
        <f>IFERROR( IF(ISNUMBER((SnapshotTable[[#This Row],[SC Current Value]])), SnapshotTable[[#This Row],[SC Gain Loss]] / SnapshotTable[[#This Row],[SC Premium]], ""), "")</f>
        <v/>
      </c>
      <c r="GB221" s="42">
        <f>SnapshotTable[[#This Row],[Equity Shares]] * SaleSharesToConsiderPercentage</f>
        <v>0</v>
      </c>
      <c r="GC221" s="40">
        <f>SnapshotTable[[#This Row],[Long Term Target]] * SellingPriceToConsiderBasedOnTargetPercentage</f>
        <v>111.9195</v>
      </c>
      <c r="GD221" s="40">
        <f>SnapshotTable[[#This Row],[Last Price]] * (1+ SellingPriceToConsiderBasedOnTargetPercentage)</f>
        <v>184.0215</v>
      </c>
      <c r="GE221" s="41"/>
      <c r="GF221" s="40"/>
      <c r="GG221" s="31">
        <f>SnapshotTable[[#This Row],[Booked Sale Shares]] * SnapshotTable[[#This Row],[Booked Sale Price]]</f>
        <v>0</v>
      </c>
      <c r="GH221" s="31" t="str">
        <f>IF(SnapshotTable[[#This Row],[Equity Basis Total]] &gt; 0, SnapshotTable[[#This Row],[Equity Basis Per Share]] * SnapshotTable[[#This Row],[Booked Sale Shares]], "")</f>
        <v/>
      </c>
      <c r="GI221" s="31">
        <f>IF(SnapshotTable[[#This Row],[Sale Proceeds]]&gt;0, SnapshotTable[[#This Row],[Sale Proceeds]] - SnapshotTable[[#This Row],[Sale Basis]], 0)</f>
        <v>0</v>
      </c>
      <c r="GJ221" s="27" t="str">
        <f>IF(SnapshotTable[[#This Row],[Sale G/L]]&gt;0, SnapshotTable[[#This Row],[Sale G/L]] / SnapshotTable[[#This Row],[Sale Basis]], IF(ISNUMBER(SnapshotTable[[#This Row],[SC Exercise P&amp;L (TAX)]]), SnapshotTable[[#This Row],[SC Exercise P&amp;L (TAX)]] / SnapshotTable[[#This Row],[SC Basis]], ""))</f>
        <v/>
      </c>
      <c r="GK221" s="27" t="s">
        <v>611</v>
      </c>
      <c r="GL221" s="43" t="str">
        <f>IF(AND(SnapshotTable[[#This Row],[LP Exp Date]]&gt;0,SnapshotTable[[#This Row],[LP Strike Price]]&gt;0), [1]!ToOptionSymbol(SnapshotTable[[#This Row],[Symbol]], SnapshotTable[[#This Row],[LP Strike Price]],SnapshotTable[[#This Row],[LP Exp Date]],1), "")</f>
        <v/>
      </c>
      <c r="GM221" s="30" t="str">
        <f>IF(LEN(SnapshotTable[[#This Row],[LP Symbol]])&gt;0, 1, "")</f>
        <v/>
      </c>
      <c r="GN221" s="43" t="str">
        <f>IF(AND(SnapshotTable[[#This Row],[SP Exp Date]]&gt;0,SnapshotTable[[#This Row],[SP Strike Price]]&gt;0), [1]!ToOptionSymbol(SnapshotTable[[#This Row],[Symbol]], SnapshotTable[[#This Row],[SP Strike Price]],SnapshotTable[[#This Row],[SP Exp Date]],1), "")</f>
        <v/>
      </c>
      <c r="GO221" s="30" t="str">
        <f>IF(LEN(SnapshotTable[[#This Row],[SP Symbol]])&gt;0, 1, "")</f>
        <v/>
      </c>
      <c r="GP221" s="43" t="str">
        <f>IF(AND(SnapshotTable[[#This Row],[LC Exp Date]]&gt;0,SnapshotTable[[#This Row],[LC Strike Price]]&gt;0), [1]!ToOptionSymbol(SnapshotTable[[#This Row],[Symbol]], SnapshotTable[[#This Row],[LC Strike Price]],SnapshotTable[[#This Row],[LC Exp Date]],0), "")</f>
        <v/>
      </c>
      <c r="GQ221" s="30" t="str">
        <f>IF(LEN(SnapshotTable[[#This Row],[LC Symbol]])&gt;0, 1, "")</f>
        <v/>
      </c>
      <c r="GR221" s="43" t="str">
        <f>IF(AND(SnapshotTable[[#This Row],[SC Exp Date]]&gt;0,SnapshotTable[[#This Row],[SC Strike Price]]&gt;0), [1]!ToOptionSymbol(SnapshotTable[[#This Row],[Symbol]], SnapshotTable[[#This Row],[SC Strike Price]],SnapshotTable[[#This Row],[SC Exp Date]],0), "")</f>
        <v/>
      </c>
      <c r="GS221" s="30" t="str">
        <f>IF(LEN(SnapshotTable[[#This Row],[SC Symbol]])&gt;0, 1, "")</f>
        <v/>
      </c>
      <c r="GT221" s="29" t="str">
        <f>IF(COUNT(SnapshotTable[[#This Row],[LP Symbol Count]],SnapshotTable[[#This Row],[SP Symbol Count]],SnapshotTable[[#This Row],[LC Symbol Count]],SnapshotTable[[#This Row],[SC Symbol Count]])&gt;0, "Y", "")</f>
        <v/>
      </c>
      <c r="GU22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1" s="216">
        <f>MAX(SnapshotTable[[#This Row],[Equity Basis Total]],SnapshotTable[[#This Row],[Equity Value]]) + (SnapshotTable[[#This Row],[SP Potential Spend]]- SnapshotTable[[#This Row],[SP Premium]] + SnapshotTable[[#This Row],[LP Premium]])+ (SnapshotTable[[#This Row],[LC Premium]] - SnapshotTable[[#This Row],[SC Premium]])</f>
        <v>0</v>
      </c>
      <c r="GW221" s="137" t="str">
        <f>IF(AND(SnapshotTable[[#This Row],[Exposure]] &lt;&gt; 0),SnapshotTable[[#This Row],[Exposure]] / SnapshotTable[[#Totals],[Exposure]], "")</f>
        <v/>
      </c>
      <c r="HK221" s="1"/>
      <c r="HL221" s="1"/>
      <c r="HM221" s="1"/>
      <c r="HN221" s="1"/>
      <c r="HO221" s="1"/>
      <c r="HP221" s="1"/>
    </row>
    <row r="222" spans="2:224" ht="12.75" hidden="1" customHeight="1" x14ac:dyDescent="0.25">
      <c r="B222" s="12" t="s">
        <v>770</v>
      </c>
      <c r="C222" s="385">
        <v>32.5</v>
      </c>
      <c r="D222" s="200" t="s">
        <v>690</v>
      </c>
      <c r="E222" s="39">
        <f>SnapshotTable[[#This Row],[Last Price]]*(1 -CrashDiscount)</f>
        <v>27.625</v>
      </c>
      <c r="F222" s="26" t="s">
        <v>771</v>
      </c>
      <c r="G222" s="26" t="s">
        <v>24</v>
      </c>
      <c r="H222" s="147"/>
      <c r="I222" s="186">
        <v>44770.694444444445</v>
      </c>
      <c r="J222" s="187">
        <v>44770.694444444445</v>
      </c>
      <c r="K222" s="188"/>
      <c r="L222" s="297"/>
      <c r="M222" s="138"/>
      <c r="N222" s="138"/>
      <c r="O222" s="138"/>
      <c r="P222" s="22"/>
      <c r="Q222" s="25"/>
      <c r="R222" s="4" t="str">
        <f>IF(SnapshotTable[[#This Row],[Equity Basis Total]] &gt; 0, SnapshotTable[[#This Row],[Equity Basis Total]] / SnapshotTable[[#This Row],[Equity Shares]], "")</f>
        <v/>
      </c>
      <c r="S222" s="254">
        <f>SnapshotTable[[#This Row],[Last Price]] * SnapshotTable[[#This Row],[Equity Shares]]</f>
        <v>0</v>
      </c>
      <c r="T222" s="254">
        <f>SnapshotTable[[#This Row],[Equity Value]] - SnapshotTable[[#This Row],[Equity Basis Total]]</f>
        <v>0</v>
      </c>
      <c r="U222" s="255" t="str">
        <f>IF(SnapshotTable[[#This Row],[Equity Basis Total]] &gt; 0, SnapshotTable[[#This Row],[Equity G/L]] / SnapshotTable[[#This Row],[Equity Basis Total]], "")</f>
        <v/>
      </c>
      <c r="V222" s="253"/>
      <c r="W222" s="253"/>
      <c r="X222" s="4" t="str">
        <f>IF(AND(ISNUMBER(SnapshotTable[[#This Row],[Equity Basis Per Share]]),ISNUMBER(SnapshotTable[[#This Row],[Equity Target]])),SnapshotTable[[#This Row],[Equity Target]]-SnapshotTable[[#This Row],[Equity Basis Per Share]],"")</f>
        <v/>
      </c>
      <c r="Y222" s="4" t="str">
        <f>IF(AND(ISNUMBER(SnapshotTable[[#This Row],[Equity Basis Per Share]]),ISNUMBER(SnapshotTable[[#This Row],[Equity Stop Loss]])),SnapshotTable[[#This Row],[Equity Stop Loss]]-SnapshotTable[[#This Row],[Equity Basis Per Share]],"")</f>
        <v/>
      </c>
      <c r="Z222" s="260" t="str">
        <f>IFERROR( TEXT(SnapshotTable[[#This Row],[Equity Max Gain Per Share]] /ABS( SnapshotTable[[#This Row],[Equity Max Loss Per Share]]),"0.0 " ) &amp; " : 1", "")</f>
        <v/>
      </c>
      <c r="AA222" s="31" t="str">
        <f>IF(ISNUMBER(SnapshotTable[[#This Row],[Equity Max Gain Per Share]]),SnapshotTable[[#This Row],[Equity Max Gain Per Share]] * SnapshotTable[[#This Row],[Equity Shares]],"")</f>
        <v/>
      </c>
      <c r="AB222" s="31" t="str">
        <f>IF(ISNUMBER(SnapshotTable[[#This Row],[Equity Max Loss Per Share]]),SnapshotTable[[#This Row],[Equity Max Loss Per Share]] * SnapshotTable[[#This Row],[Equity Shares]],"")</f>
        <v/>
      </c>
      <c r="AC222" s="148"/>
      <c r="AD222" s="149"/>
      <c r="AE222" s="31">
        <f>(SnapshotTable[[#This Row],[Annual Dividend Per Share]] / 4) * SnapshotTable[[#This Row],[Equity Shares]]</f>
        <v>0</v>
      </c>
      <c r="AF222" s="31">
        <f>SnapshotTable[[#This Row],[Quarterly Div $]] * 4</f>
        <v>0</v>
      </c>
      <c r="AG222" s="7">
        <f>IF(SnapshotTable[[#This Row],[Annual Dividend Per Share]]&gt;0, SnapshotTable[[#This Row],[Annual Dividend Per Share]]  / SnapshotTable[[#This Row],[Last Price]], 0)</f>
        <v>0</v>
      </c>
      <c r="AH222" s="149"/>
      <c r="AI222" s="5"/>
      <c r="AJ222" s="136">
        <v>20.420000000000002</v>
      </c>
      <c r="AK222" s="150" t="str">
        <f>IF(ISNUMBER( SnapshotTable[[#This Row],[EBF Target]]),(SnapshotTable[[#This Row],[EBF Target]] - SnapshotTable[[#This Row],[Last Price]]) / SnapshotTable[[#This Row],[Last Price]], "")</f>
        <v/>
      </c>
      <c r="AL222" s="150" t="str">
        <f>IF(AND(SnapshotTable[[#This Row],[Equity Basis Total]] &gt; 0,ISNUMBER( SnapshotTable[[#This Row],[Long Term Target]])), SnapshotTable[[#This Row],[From Basis $]] / SnapshotTable[[#This Row],[Equity Basis Total]], "")</f>
        <v/>
      </c>
      <c r="AM222" s="9">
        <f>IF( AND(SnapshotTable[[#This Row],[Equity Shares]] &gt;0,ISNUMBER( SnapshotTable[[#This Row],[Long Term Target]])),(SnapshotTable[[#This Row],[Equity Shares]] * SnapshotTable[[#This Row],[Long Term Target]]) - SnapshotTable[[#This Row],[Equity Basis Total]],0)</f>
        <v>0</v>
      </c>
      <c r="AN222" s="9">
        <f>IF( AND(SnapshotTable[[#This Row],[Equity Shares]] &gt;0,ISNUMBER( SnapshotTable[[#This Row],[Long Term Target]])),(SnapshotTable[[#This Row],[Equity Shares]]*SnapshotTable[[#This Row],[Long Term Target]]) - SnapshotTable[[#This Row],[Equity Value]],0)</f>
        <v>0</v>
      </c>
      <c r="AO222" s="150">
        <f>IF(AND(ISNUMBER( SnapshotTable[[#This Row],[Long Term Target]]), ISNUMBER(SnapshotTable[[#This Row],[Last Price]])),(SnapshotTable[[#This Row],[Long Term Target]] - SnapshotTable[[#This Row],[Last Price]]) / SnapshotTable[[#This Row],[Last Price]], "")</f>
        <v>-0.37169230769230766</v>
      </c>
      <c r="AP222" s="5">
        <v>23</v>
      </c>
      <c r="AQ222" s="38" t="s">
        <v>16</v>
      </c>
      <c r="AR222" s="5">
        <v>23</v>
      </c>
      <c r="AS222" s="38" t="s">
        <v>22</v>
      </c>
      <c r="AT222" s="144" t="s">
        <v>442</v>
      </c>
      <c r="AU222" s="185" t="str">
        <f>IF(OR(SnapshotTable[[#This Row],[LP No Fill]]="Y",SnapshotTable[[#This Row],[SP Is Filled]],SnapshotTable[[#This Row],[LC Not Filled]]="Y",SnapshotTable[[#This Row],[SC Is Filled]]),"Y","")</f>
        <v/>
      </c>
      <c r="AV222" s="205"/>
      <c r="AW222" s="211"/>
      <c r="AX222" s="206"/>
      <c r="AY222" s="205" t="str">
        <f>IF(SnapshotTable[[#This Row],[Implied Move]]&gt;0, SnapshotTable[[#This Row],[Last Price]]-SnapshotTable[[#This Row],[Implied Move]],"")</f>
        <v/>
      </c>
      <c r="AZ222" s="205" t="str">
        <f>IF(SnapshotTable[[#This Row],[Implied Move]]&gt;0, SnapshotTable[[#This Row],[Last Price]] + SnapshotTable[[#This Row],[Implied Move]],"")</f>
        <v/>
      </c>
      <c r="BA222" s="302">
        <v>20.22</v>
      </c>
      <c r="BB222" s="318" t="s">
        <v>891</v>
      </c>
      <c r="BC22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2" s="321"/>
      <c r="BE222" s="136"/>
      <c r="BF222" s="164"/>
      <c r="BG222" s="165"/>
      <c r="BH222" s="165"/>
      <c r="BI222" s="207"/>
      <c r="BJ222" s="151">
        <f>IF(SnapshotTable[[#This Row],[LP Qty]] &gt; 0, SnapshotTable[[#This Row],[LP Qty]] * SnapshotTable[[#This Row],[LP Book Price]] * 100,0)</f>
        <v>0</v>
      </c>
      <c r="BK222" s="134">
        <f>IF(SnapshotTable[[#This Row],[LP Premium]] &gt; 0, SnapshotTable[[#This Row],[LP Qty]] * SnapshotTable[[#This Row],[LP Strike Price]] * 100,0)</f>
        <v>0</v>
      </c>
      <c r="BL222" s="152"/>
      <c r="BM222" s="355" t="str">
        <f>IF(SnapshotTable[[#This Row],[LP Premium]] &gt; 0,SnapshotTable[[#This Row],[LP Exp Date]]-MAX(SnapshotTable[[#This Row],[LP Book Date]], SnapshotTable[[#This Row],[LP Fill Date]]),"")</f>
        <v/>
      </c>
      <c r="BN222" s="355" t="str">
        <f>IF(ISNUMBER( SnapshotTable[[#This Row],[LP Term]]), SnapshotTable[[#This Row],[LP Exp Date]] - MockToday,"")</f>
        <v/>
      </c>
      <c r="BO222" s="161" t="str">
        <f>IF(AND(SnapshotTable[[#This Row],[LP Exp Date]]&gt;0, SnapshotTable[[#This Row],[LP Strike Price]]&gt;0,SnapshotTable[[#This Row],[LP Qty]]&gt;0,SnapshotTable[[#This Row],[LP Book Date]]&gt;0,SnapshotTable[[#This Row],[LP Book Price]]&gt;0,SnapshotTable[[#This Row],[LP Fill Date]]=0),"Y","")</f>
        <v/>
      </c>
      <c r="BP222" s="31" t="str">
        <f>IF(AND(SnapshotTable[[#This Row],[LP No Fill]]&lt;&gt;"Y",SnapshotTable[[#This Row],[LP Contract Value]]&gt;0, SnapshotTable[[#This Row],[LP Qty]]&gt;0), SnapshotTable[[#This Row],[LP Contract Value]]*SnapshotTable[[#This Row],[LP Qty]]*100,"")</f>
        <v/>
      </c>
      <c r="BQ222" s="13"/>
      <c r="BR222" s="5"/>
      <c r="BS222" s="36"/>
      <c r="BT222" s="145"/>
      <c r="BU222" s="13"/>
      <c r="BV222" s="5"/>
      <c r="BW222" s="382" t="b">
        <f>AND(ISNUMBER(SnapshotTable[[#This Row],[SP Exp Date]]), ISNUMBER(SnapshotTable[[#This Row],[SP Strike Price]]), ISNUMBER(SnapshotTable[[#This Row],[SP Qty]]), ISNUMBER(SnapshotTable[[#This Row],[SP Book Date]]), ISNUMBER(SnapshotTable[[#This Row],[SP Book Price]]))</f>
        <v>0</v>
      </c>
      <c r="BX222" s="382" t="b">
        <f>AND(SnapshotTable[[#This Row],[SP Is Booked]], NOT(ISBLANK(SnapshotTable[[#This Row],[SP Fill Date]])))</f>
        <v>0</v>
      </c>
      <c r="BY222" s="33">
        <f>IF(SnapshotTable[[#This Row],[SP Is Booked]], SnapshotTable[[#This Row],[SP Qty]] * SnapshotTable[[#This Row],[SP Book Price]] * 100, 0)</f>
        <v>0</v>
      </c>
      <c r="BZ222" s="339"/>
      <c r="CA222" s="338">
        <f>SnapshotTable[[#This Row],[LP Qty]]</f>
        <v>0</v>
      </c>
      <c r="CB222" s="4" t="str">
        <f>IF(SnapshotTable[[#This Row],[SP Is Booked]], SnapshotTable[[#This Row],[SP Strike Price]] - SnapshotTable[[#This Row],[SP Book Price]], "")</f>
        <v/>
      </c>
      <c r="CC222" s="19" t="str">
        <f>IF(SnapshotTable[[#This Row],[SP Is Booked]],SnapshotTable[[#This Row],[SP Exp Date]]-MAX(SnapshotTable[[#This Row],[SP Book Date]], SnapshotTable[[#This Row],[SP Fill Date]]),"")</f>
        <v/>
      </c>
      <c r="CD222" s="7" t="str">
        <f>IF(SnapshotTable[[#This Row],[SP Is Booked]], SnapshotTable[[#This Row],[SP Book Price]]/SnapshotTable[[#This Row],[SP Strike Price]], "")</f>
        <v/>
      </c>
      <c r="CE222" s="7" t="str">
        <f>IF(ISNUMBER(SnapshotTable[[#This Row],[SP ROO Term]]),SnapshotTable[[#This Row],[SP ROO Term]]*(365/SnapshotTable[[#This Row],[SP Term]]),"")</f>
        <v/>
      </c>
      <c r="CF222" s="221">
        <f>SnapshotTable[[#This Row],[LP Strike Price]] * SnapshotTable[[#This Row],[LP Qty]] * 100</f>
        <v>0</v>
      </c>
      <c r="CG222" s="31">
        <f>IF(ISNUMBER(SnapshotTable[[#This Row],[SP Premium]]), (SnapshotTable[[#This Row],[SP Qty]] * SnapshotTable[[#This Row],[SP Strike Price]]* 100) - SnapshotTable[[#This Row],[LP Protection]], 0)</f>
        <v>0</v>
      </c>
      <c r="CH222" s="7" t="str">
        <f>IF(ISNUMBER(SnapshotTable[[#This Row],[SP Break Even]]),-1 * (SnapshotTable[[#This Row],[SP Break Even]] - SnapshotTable[[#This Row],[Last Price]]) / SnapshotTable[[#This Row],[Last Price]], "")</f>
        <v/>
      </c>
      <c r="CI222" s="31">
        <f>IF(AND(ISNUMBER((SnapshotTable[[#This Row],[SP Potential Spend]])), SnapshotTable[[#This Row],[SP Strike Price]] &gt; SnapshotTable[[#This Row],[Last Price]], SnapshotTable[[#This Row],[SP Is Filled]]), SnapshotTable[[#This Row],[SP Potential Spend]] -  SnapshotTable[[#This Row],[LP Max Value]], 0)</f>
        <v>0</v>
      </c>
      <c r="CJ222" s="229"/>
      <c r="CK222" s="31">
        <f>IF(ISNUMBER(SnapshotTable[[#This Row],[SP Potential Spend]]),IF(ISNUMBER(SnapshotTable[[#This Row],[SP POW]]), SnapshotTable[[#This Row],[SP POW]] * SnapshotTable[[#This Row],[SP Potential Spend]], SnapshotTable[[#This Row],[SP Potential Spend]]), "")</f>
        <v>0</v>
      </c>
      <c r="CL222" s="162">
        <f>IF(NOT(SnapshotTable[[#This Row],[SP Is Filled]]),(SnapshotTable[[#This Row],[SP Qty]] * SnapshotTable[[#This Row],[SP Strike Price]] * 100) - SnapshotTable[[#This Row],[LP Max Value]],"")</f>
        <v>0</v>
      </c>
      <c r="CM222" s="31" t="str">
        <f>IF(SnapshotTable[[#This Row],[SP Actual Spend]]&lt;&gt;0, ((SnapshotTable[[#This Row],[SP Strike Price]]-SnapshotTable[[#This Row],[Last Price]]) *(SnapshotTable[[#This Row],[SP Qty]]*100) - SnapshotTable[[#This Row],[SP Premium]]) * - 1, "")</f>
        <v/>
      </c>
      <c r="CN222" s="213"/>
      <c r="CO222" s="339"/>
      <c r="CP222" s="4" t="str">
        <f>IF(SnapshotTable[[#This Row],[SP Is Filled]], btc_max_buyback_amount(SnapshotTable[[#This Row],[SP Fill Date]],SnapshotTable[[#This Row],[SP Exp Date]], SnapshotTable[[#This Row],[SP Book Price]]),"")</f>
        <v/>
      </c>
      <c r="CQ222" s="76"/>
      <c r="CR22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2" s="153" t="str">
        <f>IF(SnapshotTable[[#This Row],[SP Is Filled]], btc_next_cutoff_date(SnapshotTable[[#This Row],[SP Fill Date]],SnapshotTable[[#This Row],[SP Exp Date]]),"")</f>
        <v/>
      </c>
      <c r="CT222" s="220" t="str" cm="1">
        <f t="array" ref="CT222">IF(SnapshotTable[[#This Row],[SP Is Filled]], btc_should_buy_back(SnapshotTable[[#This Row],[SP Fill Date]], SnapshotTable[[#This Row],[SP Exp Date]], SnapshotTable[[#This Row],[SP Book Price]], SnapshotTable[[#This Row],[SP Current Ask]], MockToday, SnapshotTable[[#This Row],[SP Buyback Override]]),"")</f>
        <v/>
      </c>
      <c r="CU222" s="154"/>
      <c r="CV222" s="220"/>
      <c r="CW222" s="348" t="str">
        <f>IF(ISNUMBER( SnapshotTable[[#This Row],[SP Term]]), SnapshotTable[[#This Row],[SP Exp Date]] - MockToday,"")</f>
        <v/>
      </c>
      <c r="CX222" s="31" t="str">
        <f>IF(SnapshotTable[[#This Row],[SP Is Filled]],SnapshotTable[[#This Row],[SP Buyback Price to Use]] * 100 * SnapshotTable[[#This Row],[SP Qty]], "")</f>
        <v/>
      </c>
      <c r="CY222" s="4" t="str">
        <f>IF(ISNUMBER(SnapshotTable[[#This Row],[SP Strike Price]]), SnapshotTable[[#This Row],[SP Strike Price]] * (1 - SP_MaxLoss_StrikePct), "")</f>
        <v/>
      </c>
      <c r="CZ222" s="31" t="str">
        <f>IF(ISNUMBER(SnapshotTable[[#This Row],[SP Strike  Stop Per Share]]),SnapshotTable[[#This Row],[SP Premium]] - ((SnapshotTable[[#This Row],[SP Strike Price]]-SnapshotTable[[#This Row],[SP Strike  Stop Per Share]]) *(SnapshotTable[[#This Row],[SP Qty]] * 100)),"")</f>
        <v/>
      </c>
      <c r="DA222" s="4" t="str">
        <f>IF(AND(ISNUMBER(SnapshotTable[[#This Row],[SP Premium]]),SnapshotTable[[#This Row],[SP Premium]]&gt;0), SnapshotTable[[#This Row],[SP Book Price]] * (1 + SP_MaxLoss_OptionPct), "")</f>
        <v/>
      </c>
      <c r="DB222" s="31" t="str">
        <f>IF(ISNUMBER(SnapshotTable[[#This Row],[SP Option  Stop Contract]]),(SnapshotTable[[#This Row],[SP Option  Stop Contract]] *(SnapshotTable[[#This Row],[SP Qty]] * 100) - SnapshotTable[[#This Row],[SP Premium]]),"")</f>
        <v/>
      </c>
      <c r="DC222" s="4"/>
      <c r="DD222" s="4"/>
      <c r="DE222" s="4" t="str">
        <f>IF(AND(SnapshotTable[[#This Row],[SP Qty]]&gt;0, SnapshotTable[[#This Row],[SP Stop To Use]]&gt;0),SnapshotTable[[#This Row],[SP Premium]] - ( SnapshotTable[[#This Row],[SP Qty]] * SnapshotTable[[#This Row],[SP Stop To Use]] * 100), "")</f>
        <v/>
      </c>
      <c r="DF222" s="31" t="str">
        <f>IF(AND(SnapshotTable[[#This Row],[SP Qty]]&gt;0,SnapshotTable[[#This Row],[SP Current Ask]]&gt;0), SnapshotTable[[#This Row],[SP Qty]] * SnapshotTable[[#This Row],[SP Current Ask]] * -100, "")</f>
        <v/>
      </c>
      <c r="DG222" s="31" t="str">
        <f>IF(ISNUMBER((SnapshotTable[[#This Row],[SP Total Value]])), SnapshotTable[[#This Row],[SP Premium]] + SnapshotTable[[#This Row],[SP Total Value]], "")</f>
        <v/>
      </c>
      <c r="DH222" s="272" t="str">
        <f>IF(ISNUMBER((SnapshotTable[[#This Row],[SP Total Value]])), SnapshotTable[[#This Row],[SP Gain Loss]] / SnapshotTable[[#This Row],[SP Premium]], "")</f>
        <v/>
      </c>
      <c r="DI222" s="369"/>
      <c r="DJ222" s="136"/>
      <c r="DK222" s="146"/>
      <c r="DL222" s="145"/>
      <c r="DM222" s="145"/>
      <c r="DO222" s="31">
        <f>IF(SnapshotTable[[#This Row],[LC Symbol Count]]=1, SnapshotTable[[#This Row],[LC Qty]] * SnapshotTable[[#This Row],[LC Book Price]] * 100, 0)</f>
        <v>0</v>
      </c>
      <c r="DP222" s="161" t="str">
        <f>IF(AND(SnapshotTable[[#This Row],[LC Exp Date]]&gt;0, SnapshotTable[[#This Row],[LC Strike Price]]&gt;0,SnapshotTable[[#This Row],[LC Qty]]&gt;0,SnapshotTable[[#This Row],[LC Book Date]]&gt;0,SnapshotTable[[#This Row],[LC Book Price]]&gt;0,SnapshotTable[[#This Row],[LC Fill Date]]=0),"Y","")</f>
        <v/>
      </c>
      <c r="DQ222" s="356" t="str">
        <f>IF(SnapshotTable[[#This Row],[LC Premium]] &gt; 0,SnapshotTable[[#This Row],[LC Exp Date]]-MAX(SnapshotTable[[#This Row],[LC Book Date]], SnapshotTable[[#This Row],[LC Fill Date]]),"")</f>
        <v/>
      </c>
      <c r="DR222" s="356" t="str">
        <f>IF(ISNUMBER(SnapshotTable[[#This Row],[LC Term]]), SnapshotTable[[#This Row],[LC Exp Date]] - MockToday, "")</f>
        <v/>
      </c>
      <c r="DS222" s="219" t="str">
        <f>IF(SnapshotTable[[#This Row],[LC Premium]]&gt;0,SnapshotTable[[#This Row],[LC Strike Price]] + SnapshotTable[[#This Row],[LC Book Price]],"")</f>
        <v/>
      </c>
      <c r="DU222" s="9" t="str">
        <f>IF(AND(SnapshotTable[[#This Row],[LC Symbol Count]]&gt;0, SnapshotTable[[#This Row],[LC Contract Value]]&gt;0), SnapshotTable[[#This Row],[LC Contract Value]] * SnapshotTable[[#This Row],[LC Qty]] * 100, "")</f>
        <v/>
      </c>
      <c r="DV222" s="9" t="str">
        <f>IF(AND(ISNUMBER(SnapshotTable[[#This Row],[LC Total Value]]), SnapshotTable[[#This Row],[LC Not Filled]]&lt;&gt;"Y"), SnapshotTable[[#This Row],[LC Total Value]]-SnapshotTable[[#This Row],[LC Premium]],"")</f>
        <v/>
      </c>
      <c r="DW222" s="225" t="str">
        <f>IF(ISNUMBER(SnapshotTable[[#This Row],[LC Actual Gain Loss]]), SnapshotTable[[#This Row],[LC Actual Gain Loss]] / SnapshotTable[[#This Row],[LC Premium]],"")</f>
        <v/>
      </c>
      <c r="DX222" s="269" t="str">
        <f>IF(ISNUMBER(SnapshotTable[[#This Row],[LC Book Price]]),SnapshotTable[[#This Row],[LC Book Price]] * 1.5,"")</f>
        <v/>
      </c>
      <c r="DY222" s="250" t="str">
        <f>IF(SnapshotTable[[#This Row],[LC Premium]]&gt;0, SnapshotTable[[#This Row],[LC Next Target]] * SnapshotTable[[#This Row],[LC Qty]] * 100,"")</f>
        <v/>
      </c>
      <c r="DZ222" s="250" t="str">
        <f>IF(ISNUMBER(SnapshotTable[[#This Row],[LC Target Gross]]), SnapshotTable[[#This Row],[LC Target Gross]] - SnapshotTable[[#This Row],[LC Premium]], "")</f>
        <v/>
      </c>
      <c r="EA222" s="283" t="str">
        <f>IF(ISNUMBER(SnapshotTable[[#This Row],[LC Target Gain Loss]]), SnapshotTable[[#This Row],[LC Target Gain Loss]]/SnapshotTable[[#This Row],[LC Premium]], "")</f>
        <v/>
      </c>
      <c r="EB222" s="247"/>
      <c r="EC222" s="268" t="str">
        <f>IF(SnapshotTable[[#This Row],[LC Premium]]&gt;0, SnapshotTable[[#This Row],[LC Book Price]] * (1 - LC_StopLoss_Pct),"")</f>
        <v/>
      </c>
      <c r="ED222" s="269"/>
      <c r="EE222" s="268" t="str">
        <f>IF(ISNUMBER(SnapshotTable[[#This Row],[LC Contract Value]]),IF(ISNUMBER(SnapshotTable[[#This Row],[LC Stop Loss Override]]), SnapshotTable[[#This Row],[LC Stop Loss Override]],SnapshotTable[[#This Row],[LC Stop Loss Calc Target]]),"")</f>
        <v/>
      </c>
      <c r="EF222" s="31" t="str">
        <f>IF(ISNUMBER(SnapshotTable[[#This Row],[LC Stop  To Use]]), (SnapshotTable[[#This Row],[LC Stop  To Use]] * SnapshotTable[[#This Row],[LC Qty]] * 100),"")</f>
        <v/>
      </c>
      <c r="EG222" s="9" t="str">
        <f>IF(ISNUMBER(SnapshotTable[[#This Row],[LC Total Value]]),SnapshotTable[[#This Row],[LC Stop Loss Amount]] - SnapshotTable[[#This Row],[LC Premium]],"")</f>
        <v/>
      </c>
      <c r="EH222" s="9">
        <f>IF(ISNUMBER(SnapshotTable[[#This Row],[LC Premium]]), SnapshotTable[[#This Row],[LC Qty]] * 100 * SnapshotTable[[#This Row],[LC Strike Price]], "")</f>
        <v>0</v>
      </c>
      <c r="EI222" s="225" t="str">
        <f>IF(AND(ISNUMBER(SnapshotTable[[#This Row],[LC Total Value]]),SnapshotTable[[#This Row],[LC Total Value]]&gt;0),SnapshotTable[[#This Row],[LC Stop Gain Loss]]  / SnapshotTable[[#This Row],[LC Premium]],"")</f>
        <v/>
      </c>
      <c r="EJ222" s="35">
        <f>IF(ISNUMBER(SnapshotTable[[#This Row],[Equity Shares]]),TRUNC(SnapshotTable[[#This Row],[Equity Shares]] / 100),0) + SnapshotTable[[#This Row],[LC Qty]]</f>
        <v>0</v>
      </c>
      <c r="EK222" s="145"/>
      <c r="EL222" s="136"/>
      <c r="EM222" s="146"/>
      <c r="EN222" s="145"/>
      <c r="EO222" s="145"/>
      <c r="EP222" s="136"/>
      <c r="EQ222" s="382" t="b">
        <f>AND(ISNUMBER(SnapshotTable[[#This Row],[SC Exp Date]]), ISNUMBER(SnapshotTable[[#This Row],[SC Strike Price]]), ISNUMBER(SnapshotTable[[#This Row],[SC Qty]]), ISNUMBER(SnapshotTable[[#This Row],[SC Book Date]]), ISNUMBER(SnapshotTable[[#This Row],[SC Book Price]]))</f>
        <v>0</v>
      </c>
      <c r="ER222" s="382" t="b">
        <f>AND(SnapshotTable[[#This Row],[SC Is Booked]], NOT(ISBLANK(SnapshotTable[[#This Row],[SC Fill Date]])))</f>
        <v>0</v>
      </c>
      <c r="ES222" s="340"/>
      <c r="ET222" s="34" t="str">
        <f>IF(AND(ISNUMBER(SnapshotTable[[#This Row],[SC Exp Date]]), ISNUMBER(SnapshotTable[[#This Row],[SC Book Date]])), SnapshotTable[[#This Row],[SC Exp Date]] - MAX(SnapshotTable[[#This Row],[SC Book Date]], SnapshotTable[[#This Row],[SC Fill Date]]) + 1, "")</f>
        <v/>
      </c>
      <c r="EU222" s="34" t="str">
        <f>IF(ISNUMBER(SnapshotTable[[#This Row],[SC Term]]), SnapshotTable[[#This Row],[SC Exp Date]]- MockToday, "")</f>
        <v/>
      </c>
      <c r="EV222" s="31">
        <f>IF(SnapshotTable[[#This Row],[SC Is Booked]], SnapshotTable[[#This Row],[SC Qty]] * SnapshotTable[[#This Row],[SC Book Price]] * 100, 0)</f>
        <v>0</v>
      </c>
      <c r="EW222" s="4" t="str">
        <f>IF(AND(ISNUMBER(SnapshotTable[[#This Row],[Last Price]]), ISNUMBER( SnapshotTable[[#This Row],[SC Book Price]])), SnapshotTable[[#This Row],[Last Price]] - SnapshotTable[[#This Row],[SC Book Price]],"")</f>
        <v/>
      </c>
      <c r="EX222" s="219" t="str">
        <f>IF(SnapshotTable[[#This Row],[SC Is Booked]],IF(SnapshotTable[[#This Row],[SC Intrinsic Value]] &gt; 0, SnapshotTable[[#This Row],[SC Strike Price]], SnapshotTable[[#This Row],[Last Price]]), "")</f>
        <v/>
      </c>
      <c r="EY222" s="4">
        <f>IF(SnapshotTable[[#This Row],[SC Is Booked]], (MinimumPremiumRequired * SnapshotTable[[#This Row],[SC Basis]] * SnapshotTable[[#This Row],[SC Term]]), 0)</f>
        <v>0</v>
      </c>
      <c r="EZ222" s="268"/>
      <c r="FA222" s="204"/>
      <c r="FB222" s="340"/>
      <c r="FC222" s="4">
        <f>IF(SnapshotTable[[#This Row],[SC Is Filled]], btc_max_buyback_amount(SnapshotTable[[#This Row],[SC Fill Date]],SnapshotTable[[#This Row],[SC Exp Date]], SnapshotTable[[#This Row],[SC Book Price]]),0)</f>
        <v>0</v>
      </c>
      <c r="FD222" s="5"/>
      <c r="FE222" s="142" t="str">
        <f>IF(SnapshotTable[[#This Row],[SC Is Filled]], btc_next_cutoff_date(SnapshotTable[[#This Row],[SC Fill Date]],SnapshotTable[[#This Row],[SC Exp Date]]),"")</f>
        <v/>
      </c>
      <c r="FF222" s="4" t="str" cm="1">
        <f t="array" ref="FF222">IF(SnapshotTable[[#This Row],[SC Is Filled]], btc_should_buy_back(SnapshotTable[[#This Row],[SC Fill Date]], SnapshotTable[[#This Row],[SC Exp Date]], SnapshotTable[[#This Row],[SC Book Price]], SnapshotTable[[#This Row],[SC Current Ask]], MockToday, SnapshotTable[[#This Row],[SC Buyback Override]]),"")</f>
        <v/>
      </c>
      <c r="FG222" s="4">
        <f>IF(SnapshotTable[[#This Row],[SC Is Filled]], MAX(0,SnapshotTable[[#This Row],[Last Price]]  - SnapshotTable[[#This Row],[SC Strike Price]]), 0)</f>
        <v>0</v>
      </c>
      <c r="FH222" s="352">
        <f>IF(SnapshotTable[[#This Row],[SC Is Filled]], IF(ISNUMBER(SnapshotTable[[#This Row],[SC Current Ask]]), SnapshotTable[[#This Row],[SC Current Ask]], SnapshotTable[[#This Row],[SC Book Price]]) - SnapshotTable[[#This Row],[SC Intrinsic Value]], 0)</f>
        <v>0</v>
      </c>
      <c r="FI222" s="141"/>
      <c r="FJ222" s="32" t="str">
        <f>IF(SnapshotTable[[#This Row],[SC Is Filled]],100 * SnapshotTable[[#This Row],[SC Qty]] * IF(ISNUMBER(SnapshotTable[[#This Row],[SC Buyback Override]]), SnapshotTable[[#This Row],[SC Buyback Override]], SnapshotTable[[#This Row],[SC Current Ask]]), "")</f>
        <v/>
      </c>
      <c r="FK222" s="235" t="str">
        <f>IF(SnapshotTable[[#This Row],[SC Time Val]]&gt;0, SnapshotTable[[#This Row],[SC Time Val]] / SnapshotTable[[#This Row],[Last Price]],"")</f>
        <v/>
      </c>
      <c r="FL222" s="280" t="str">
        <f>IF(SnapshotTable[[#This Row],[SC Is Booked]], ((SnapshotTable[[#This Row],[Last Price]] -SnapshotTable[[#This Row],[SC Strike Price]]) / SnapshotTable[[#This Row],[Last Price]]) * -1, "")</f>
        <v/>
      </c>
      <c r="FM222" s="155" t="str">
        <f>IF(SnapshotTable[[#This Row],[SC Is Booked]],  (SnapshotTable[[#This Row],[SC Qty]] * 100 * SnapshotTable[[#This Row],[SC Strike Price]]) - SnapshotTable[[#This Row],[SC Current Ask]], "")</f>
        <v/>
      </c>
      <c r="FN222"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2" s="155" t="str">
        <f>IF(AND(ISNUMBER(SnapshotTable[[#This Row],[SC Exercise Gross]]), ISNUMBER(SnapshotTable[[#This Row],[Equity Basis Per Share]] )), SnapshotTable[[#This Row],[SC Exercise Gross]] - SnapshotTable[[#This Row],[Equity Basis Total]] +  SnapshotTable[[#This Row],[SC Premium]], "")</f>
        <v/>
      </c>
      <c r="FP222" s="5" t="str">
        <f>IF(ISNUMBER(SnapshotTable[[#This Row],[SC Exercise Gross]]), (SnapshotTable[[#This Row],[SC Exercise Gross]]) / (SnapshotTable[[#This Row],[SC Qty]] * 100), "")</f>
        <v/>
      </c>
      <c r="FQ222" s="27" t="str">
        <f>IF(SnapshotTable[[#This Row],[SC Is Booked]],SnapshotTable[[#This Row],[SC Time Val]] /SnapshotTable[[#This Row],[SC Basis]], "")</f>
        <v/>
      </c>
      <c r="FR222" s="27" t="str" cm="1">
        <f t="array" ref="FR222">IF(AND(ISNUMBER(SnapshotTable[[#This Row],[SC Term]]),ISNUMBER(SnapshotTable[[#This Row],[SC Simple ROO]])), EllmanAnnualize(SnapshotTable[[#This Row],[SC DTE]], SnapshotTable[[#This Row],[SC Simple ROO]] ),"")</f>
        <v/>
      </c>
      <c r="FS222" s="4">
        <f>IF(SnapshotTable[[#This Row],[SC Strike Price]] &gt; SnapshotTable[[#This Row],[Last Price]], SnapshotTable[[#This Row],[SC Strike Price]] - SnapshotTable[[#This Row],[Last Price]],0)</f>
        <v>0</v>
      </c>
      <c r="FT222" s="27" t="str">
        <f>IF(AND(ISNUMBER(SnapshotTable[[#This Row],[SC Upside Potential]]), SnapshotTable[[#This Row],[SC Upside Potential]] &gt; 0),(SnapshotTable[[#This Row],[SC Upside Potential]]/ SnapshotTable[[#This Row],[ACB]]),"")</f>
        <v/>
      </c>
      <c r="FU222" s="304" t="str">
        <f>IF(SnapshotTable[[#This Row],[SC Intrinsic Value]] &gt; 0,SnapshotTable[[#This Row],[SC Intrinsic Value]],"")</f>
        <v/>
      </c>
      <c r="FV222" s="27" t="str">
        <f>IF(AND( ISNUMBER( SnapshotTable[[#This Row],[ACB]]),ISNUMBER(SnapshotTable[[#This Row],[SC Downside Protect]])),SnapshotTable[[#This Row],[SC Downside Protect]] / SnapshotTable[[#This Row],[ACB]],"")</f>
        <v/>
      </c>
      <c r="FW222" s="221" t="str">
        <f>IF(AND(ISNUMBER(SnapshotTable[[#This Row],[SC Simple ROO]]),SnapshotTable[[#This Row],[SC Simple ROO]] &gt; 0), SnapshotTable[[#This Row],[SC Premium]] + (SnapshotTable[[#This Row],[SC Qty]] * SnapshotTable[[#This Row],[SC Upside Potential]]), "")</f>
        <v/>
      </c>
      <c r="FX222" s="280" t="str" cm="1">
        <f t="array" ref="FX222">IF(ISNUMBER(SnapshotTable[[#This Row],[SC Max Dollars]]), annualize(SnapshotTable[[#This Row],[SC Term]],(SnapshotTable[[#This Row],[SC Max Dollars]]/SnapshotTable[[#This Row],[SC Basis]])),"")</f>
        <v/>
      </c>
      <c r="FY222" s="221" t="str">
        <f>IF(AND(SnapshotTable[[#This Row],[SC Qty]]&gt;0,SnapshotTable[[#This Row],[SC Current Ask]]&gt;0), SnapshotTable[[#This Row],[SC Qty]] * SnapshotTable[[#This Row],[SC Current Ask]] * -100, "")</f>
        <v/>
      </c>
      <c r="FZ222" s="31" t="str">
        <f>IF(ISNUMBER((SnapshotTable[[#This Row],[SC Current Value]])), SnapshotTable[[#This Row],[SC Premium]] + SnapshotTable[[#This Row],[SC Current Value]], "")</f>
        <v/>
      </c>
      <c r="GA222" s="272" t="str">
        <f>IFERROR( IF(ISNUMBER((SnapshotTable[[#This Row],[SC Current Value]])), SnapshotTable[[#This Row],[SC Gain Loss]] / SnapshotTable[[#This Row],[SC Premium]], ""), "")</f>
        <v/>
      </c>
      <c r="GB222" s="42">
        <f>SnapshotTable[[#This Row],[Equity Shares]] * SaleSharesToConsiderPercentage</f>
        <v>0</v>
      </c>
      <c r="GC222" s="40">
        <f>SnapshotTable[[#This Row],[Long Term Target]] * SellingPriceToConsiderBasedOnTargetPercentage</f>
        <v>19.399000000000001</v>
      </c>
      <c r="GD222" s="40">
        <f>SnapshotTable[[#This Row],[Last Price]] * (1+ SellingPriceToConsiderBasedOnTargetPercentage)</f>
        <v>63.375</v>
      </c>
      <c r="GE222" s="41"/>
      <c r="GF222" s="40"/>
      <c r="GG222" s="31">
        <f>SnapshotTable[[#This Row],[Booked Sale Shares]] * SnapshotTable[[#This Row],[Booked Sale Price]]</f>
        <v>0</v>
      </c>
      <c r="GH222" s="31" t="str">
        <f>IF(SnapshotTable[[#This Row],[Equity Basis Total]] &gt; 0, SnapshotTable[[#This Row],[Equity Basis Per Share]] * SnapshotTable[[#This Row],[Booked Sale Shares]], "")</f>
        <v/>
      </c>
      <c r="GI222" s="31">
        <f>IF(SnapshotTable[[#This Row],[Sale Proceeds]]&gt;0, SnapshotTable[[#This Row],[Sale Proceeds]] - SnapshotTable[[#This Row],[Sale Basis]], 0)</f>
        <v>0</v>
      </c>
      <c r="GJ222" s="156" t="str">
        <f>IF(SnapshotTable[[#This Row],[Sale G/L]]&gt;0, SnapshotTable[[#This Row],[Sale G/L]] / SnapshotTable[[#This Row],[Sale Basis]], IF(ISNUMBER(SnapshotTable[[#This Row],[SC Exercise P&amp;L (TAX)]]), SnapshotTable[[#This Row],[SC Exercise P&amp;L (TAX)]] / SnapshotTable[[#This Row],[SC Basis]], ""))</f>
        <v/>
      </c>
      <c r="GK222" s="156"/>
      <c r="GL222" s="157" t="str">
        <f>IF(AND(SnapshotTable[[#This Row],[LP Exp Date]]&gt;0,SnapshotTable[[#This Row],[LP Strike Price]]&gt;0), [1]!ToOptionSymbol(SnapshotTable[[#This Row],[Symbol]], SnapshotTable[[#This Row],[LP Strike Price]],SnapshotTable[[#This Row],[LP Exp Date]],1), "")</f>
        <v/>
      </c>
      <c r="GM222" s="30" t="str">
        <f>IF(LEN(SnapshotTable[[#This Row],[LP Symbol]])&gt;0, 1, "")</f>
        <v/>
      </c>
      <c r="GN222" s="43" t="str">
        <f>IF(AND(SnapshotTable[[#This Row],[SP Exp Date]]&gt;0,SnapshotTable[[#This Row],[SP Strike Price]]&gt;0), [1]!ToOptionSymbol(SnapshotTable[[#This Row],[Symbol]], SnapshotTable[[#This Row],[SP Strike Price]],SnapshotTable[[#This Row],[SP Exp Date]],1), "")</f>
        <v/>
      </c>
      <c r="GO222" s="30" t="str">
        <f>IF(LEN(SnapshotTable[[#This Row],[SP Symbol]])&gt;0, 1, "")</f>
        <v/>
      </c>
      <c r="GP222" s="157" t="str">
        <f>IF(AND(SnapshotTable[[#This Row],[LC Exp Date]]&gt;0,SnapshotTable[[#This Row],[LC Strike Price]]&gt;0), [1]!ToOptionSymbol(SnapshotTable[[#This Row],[Symbol]], SnapshotTable[[#This Row],[LC Strike Price]],SnapshotTable[[#This Row],[LC Exp Date]],0), "")</f>
        <v/>
      </c>
      <c r="GQ222" s="158" t="str">
        <f>IF(LEN(SnapshotTable[[#This Row],[LC Symbol]])&gt;0, 1, "")</f>
        <v/>
      </c>
      <c r="GR222" s="157" t="str">
        <f>IF(AND(SnapshotTable[[#This Row],[SC Exp Date]]&gt;0,SnapshotTable[[#This Row],[SC Strike Price]]&gt;0), [1]!ToOptionSymbol(SnapshotTable[[#This Row],[Symbol]], SnapshotTable[[#This Row],[SC Strike Price]],SnapshotTable[[#This Row],[SC Exp Date]],0), "")</f>
        <v/>
      </c>
      <c r="GS222" s="158" t="str">
        <f>IF(LEN(SnapshotTable[[#This Row],[SC Symbol]])&gt;0, 1, "")</f>
        <v/>
      </c>
      <c r="GT222" s="159" t="str">
        <f>IF(COUNT(SnapshotTable[[#This Row],[LP Symbol Count]],SnapshotTable[[#This Row],[SP Symbol Count]],SnapshotTable[[#This Row],[LC Symbol Count]],SnapshotTable[[#This Row],[SC Symbol Count]])&gt;0, "Y", "")</f>
        <v/>
      </c>
      <c r="GU22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2" s="216">
        <f>MAX(SnapshotTable[[#This Row],[Equity Basis Total]],SnapshotTable[[#This Row],[Equity Value]]) + (SnapshotTable[[#This Row],[SP Potential Spend]]- SnapshotTable[[#This Row],[SP Premium]] + SnapshotTable[[#This Row],[LP Premium]])+ (SnapshotTable[[#This Row],[LC Premium]] - SnapshotTable[[#This Row],[SC Premium]])</f>
        <v>0</v>
      </c>
      <c r="GW222" s="137" t="str">
        <f>IF(AND(SnapshotTable[[#This Row],[Exposure]] &lt;&gt; 0),SnapshotTable[[#This Row],[Exposure]] / SnapshotTable[[#Totals],[Exposure]], "")</f>
        <v/>
      </c>
      <c r="HK222" s="1"/>
      <c r="HL222" s="1"/>
      <c r="HM222" s="1"/>
      <c r="HN222" s="1"/>
      <c r="HO222" s="1"/>
      <c r="HP222" s="1"/>
    </row>
    <row r="223" spans="2:224" ht="12.75" hidden="1" customHeight="1" x14ac:dyDescent="0.25">
      <c r="B223" s="12" t="s">
        <v>410</v>
      </c>
      <c r="C223" s="385">
        <v>152.11000000000001</v>
      </c>
      <c r="D223" s="200"/>
      <c r="E223" s="39">
        <f>SnapshotTable[[#This Row],[Last Price]]*(1 -CrashDiscount)</f>
        <v>129.29349999999999</v>
      </c>
      <c r="F223" s="26" t="s">
        <v>5</v>
      </c>
      <c r="G223" s="26" t="s">
        <v>4</v>
      </c>
      <c r="H223" s="147"/>
      <c r="I223" s="186">
        <v>44770.694444444445</v>
      </c>
      <c r="J223" s="187">
        <v>44770.694444444445</v>
      </c>
      <c r="K223" s="188"/>
      <c r="L223" s="297"/>
      <c r="M223" s="138"/>
      <c r="N223" s="138"/>
      <c r="O223" s="138"/>
      <c r="P223" s="22"/>
      <c r="Q223" s="25"/>
      <c r="R223" s="4" t="str">
        <f>IF(SnapshotTable[[#This Row],[Equity Basis Total]] &gt; 0, SnapshotTable[[#This Row],[Equity Basis Total]] / SnapshotTable[[#This Row],[Equity Shares]], "")</f>
        <v/>
      </c>
      <c r="S223" s="254">
        <f>SnapshotTable[[#This Row],[Last Price]] * SnapshotTable[[#This Row],[Equity Shares]]</f>
        <v>0</v>
      </c>
      <c r="T223" s="254">
        <f>SnapshotTable[[#This Row],[Equity Value]] - SnapshotTable[[#This Row],[Equity Basis Total]]</f>
        <v>0</v>
      </c>
      <c r="U223" s="255" t="str">
        <f>IF(SnapshotTable[[#This Row],[Equity Basis Total]] &gt; 0, SnapshotTable[[#This Row],[Equity G/L]] / SnapshotTable[[#This Row],[Equity Basis Total]], "")</f>
        <v/>
      </c>
      <c r="V223" s="253"/>
      <c r="W223" s="253"/>
      <c r="X223" s="4" t="str">
        <f>IF(AND(ISNUMBER(SnapshotTable[[#This Row],[Equity Basis Per Share]]),ISNUMBER(SnapshotTable[[#This Row],[Equity Target]])),SnapshotTable[[#This Row],[Equity Target]]-SnapshotTable[[#This Row],[Equity Basis Per Share]],"")</f>
        <v/>
      </c>
      <c r="Y223" s="4" t="str">
        <f>IF(AND(ISNUMBER(SnapshotTable[[#This Row],[Equity Basis Per Share]]),ISNUMBER(SnapshotTable[[#This Row],[Equity Stop Loss]])),SnapshotTable[[#This Row],[Equity Stop Loss]]-SnapshotTable[[#This Row],[Equity Basis Per Share]],"")</f>
        <v/>
      </c>
      <c r="Z223" s="260" t="str">
        <f>IFERROR( TEXT(SnapshotTable[[#This Row],[Equity Max Gain Per Share]] /ABS( SnapshotTable[[#This Row],[Equity Max Loss Per Share]]),"0.0 " ) &amp; " : 1", "")</f>
        <v/>
      </c>
      <c r="AA223" s="31" t="str">
        <f>IF(ISNUMBER(SnapshotTable[[#This Row],[Equity Max Gain Per Share]]),SnapshotTable[[#This Row],[Equity Max Gain Per Share]] * SnapshotTable[[#This Row],[Equity Shares]],"")</f>
        <v/>
      </c>
      <c r="AB223" s="31" t="str">
        <f>IF(ISNUMBER(SnapshotTable[[#This Row],[Equity Max Loss Per Share]]),SnapshotTable[[#This Row],[Equity Max Loss Per Share]] * SnapshotTable[[#This Row],[Equity Shares]],"")</f>
        <v/>
      </c>
      <c r="AC223" s="148"/>
      <c r="AD223" s="149"/>
      <c r="AE223" s="31">
        <f>(SnapshotTable[[#This Row],[Annual Dividend Per Share]] / 4) * SnapshotTable[[#This Row],[Equity Shares]]</f>
        <v>0</v>
      </c>
      <c r="AF223" s="31">
        <f>SnapshotTable[[#This Row],[Quarterly Div $]] * 4</f>
        <v>0</v>
      </c>
      <c r="AG223" s="7">
        <f>IF(SnapshotTable[[#This Row],[Annual Dividend Per Share]]&gt;0, SnapshotTable[[#This Row],[Annual Dividend Per Share]]  / SnapshotTable[[#This Row],[Last Price]], 0)</f>
        <v>0</v>
      </c>
      <c r="AH223" s="149"/>
      <c r="AI223" s="5"/>
      <c r="AJ223" s="136" t="s">
        <v>111</v>
      </c>
      <c r="AK223" s="150" t="str">
        <f>IF(ISNUMBER( SnapshotTable[[#This Row],[EBF Target]]),(SnapshotTable[[#This Row],[EBF Target]] - SnapshotTable[[#This Row],[Last Price]]) / SnapshotTable[[#This Row],[Last Price]], "")</f>
        <v/>
      </c>
      <c r="AL223" s="150" t="str">
        <f>IF(AND(SnapshotTable[[#This Row],[Equity Basis Total]] &gt; 0,ISNUMBER( SnapshotTable[[#This Row],[Long Term Target]])), SnapshotTable[[#This Row],[From Basis $]] / SnapshotTable[[#This Row],[Equity Basis Total]], "")</f>
        <v/>
      </c>
      <c r="AM223" s="9">
        <f>IF( AND(SnapshotTable[[#This Row],[Equity Shares]] &gt;0,ISNUMBER( SnapshotTable[[#This Row],[Long Term Target]])),(SnapshotTable[[#This Row],[Equity Shares]] * SnapshotTable[[#This Row],[Long Term Target]]) - SnapshotTable[[#This Row],[Equity Basis Total]],0)</f>
        <v>0</v>
      </c>
      <c r="AN223" s="9">
        <f>IF( AND(SnapshotTable[[#This Row],[Equity Shares]] &gt;0,ISNUMBER( SnapshotTable[[#This Row],[Long Term Target]])),(SnapshotTable[[#This Row],[Equity Shares]]*SnapshotTable[[#This Row],[Long Term Target]]) - SnapshotTable[[#This Row],[Equity Value]],0)</f>
        <v>0</v>
      </c>
      <c r="AO223" s="150" t="str">
        <f>IF(AND(ISNUMBER( SnapshotTable[[#This Row],[Long Term Target]]), ISNUMBER(SnapshotTable[[#This Row],[Last Price]])),(SnapshotTable[[#This Row],[Long Term Target]] - SnapshotTable[[#This Row],[Last Price]]) / SnapshotTable[[#This Row],[Last Price]], "")</f>
        <v/>
      </c>
      <c r="AP223" s="5"/>
      <c r="AQ223" s="38"/>
      <c r="AR223" s="5"/>
      <c r="AS223" s="38"/>
      <c r="AT223" s="144"/>
      <c r="AU223" s="185" t="str">
        <f>IF(OR(SnapshotTable[[#This Row],[LP No Fill]]="Y",SnapshotTable[[#This Row],[SP Is Filled]],SnapshotTable[[#This Row],[LC Not Filled]]="Y",SnapshotTable[[#This Row],[SC Is Filled]]),"Y","")</f>
        <v/>
      </c>
      <c r="AV223" s="205"/>
      <c r="AW223" s="211"/>
      <c r="AX223" s="206"/>
      <c r="AY223" s="205" t="str">
        <f>IF(SnapshotTable[[#This Row],[Implied Move]]&gt;0, SnapshotTable[[#This Row],[Last Price]]-SnapshotTable[[#This Row],[Implied Move]],"")</f>
        <v/>
      </c>
      <c r="AZ223" s="205" t="str">
        <f>IF(SnapshotTable[[#This Row],[Implied Move]]&gt;0, SnapshotTable[[#This Row],[Last Price]] + SnapshotTable[[#This Row],[Implied Move]],"")</f>
        <v/>
      </c>
      <c r="BA223" s="302"/>
      <c r="BB223" s="318"/>
      <c r="BC22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3" s="321"/>
      <c r="BE223" s="5"/>
      <c r="BF223" s="14"/>
      <c r="BG223" s="13"/>
      <c r="BH223" s="13"/>
      <c r="BI223" s="5"/>
      <c r="BJ223" s="134">
        <f>IF(SnapshotTable[[#This Row],[LP Qty]] &gt; 0, SnapshotTable[[#This Row],[LP Qty]] * SnapshotTable[[#This Row],[LP Book Price]] * 100,0)</f>
        <v>0</v>
      </c>
      <c r="BK223" s="134">
        <f>IF(SnapshotTable[[#This Row],[LP Premium]] &gt; 0, SnapshotTable[[#This Row],[LP Qty]] * SnapshotTable[[#This Row],[LP Strike Price]] * 100,0)</f>
        <v>0</v>
      </c>
      <c r="BL223" s="152"/>
      <c r="BM223" s="355" t="str">
        <f>IF(SnapshotTable[[#This Row],[LP Premium]] &gt; 0,SnapshotTable[[#This Row],[LP Exp Date]]-MAX(SnapshotTable[[#This Row],[LP Book Date]], SnapshotTable[[#This Row],[LP Fill Date]]),"")</f>
        <v/>
      </c>
      <c r="BN223" s="355" t="str">
        <f>IF(ISNUMBER( SnapshotTable[[#This Row],[LP Term]]), SnapshotTable[[#This Row],[LP Exp Date]] - MockToday,"")</f>
        <v/>
      </c>
      <c r="BO223" s="161" t="str">
        <f>IF(AND(SnapshotTable[[#This Row],[LP Exp Date]]&gt;0, SnapshotTable[[#This Row],[LP Strike Price]]&gt;0,SnapshotTable[[#This Row],[LP Qty]]&gt;0,SnapshotTable[[#This Row],[LP Book Date]]&gt;0,SnapshotTable[[#This Row],[LP Book Price]]&gt;0,SnapshotTable[[#This Row],[LP Fill Date]]=0),"Y","")</f>
        <v/>
      </c>
      <c r="BP223" s="31" t="str">
        <f>IF(AND(SnapshotTable[[#This Row],[LP No Fill]]&lt;&gt;"Y",SnapshotTable[[#This Row],[LP Contract Value]]&gt;0, SnapshotTable[[#This Row],[LP Qty]]&gt;0), SnapshotTable[[#This Row],[LP Contract Value]]*SnapshotTable[[#This Row],[LP Qty]]*100,"")</f>
        <v/>
      </c>
      <c r="BQ223" s="13"/>
      <c r="BR223" s="5"/>
      <c r="BS223" s="36"/>
      <c r="BT223" s="145"/>
      <c r="BU223" s="13"/>
      <c r="BV223" s="5"/>
      <c r="BW223" s="382" t="b">
        <f>AND(ISNUMBER(SnapshotTable[[#This Row],[SP Exp Date]]), ISNUMBER(SnapshotTable[[#This Row],[SP Strike Price]]), ISNUMBER(SnapshotTable[[#This Row],[SP Qty]]), ISNUMBER(SnapshotTable[[#This Row],[SP Book Date]]), ISNUMBER(SnapshotTable[[#This Row],[SP Book Price]]))</f>
        <v>0</v>
      </c>
      <c r="BX223" s="382" t="b">
        <f>AND(SnapshotTable[[#This Row],[SP Is Booked]], NOT(ISBLANK(SnapshotTable[[#This Row],[SP Fill Date]])))</f>
        <v>0</v>
      </c>
      <c r="BY223" s="33">
        <f>IF(SnapshotTable[[#This Row],[SP Is Booked]], SnapshotTable[[#This Row],[SP Qty]] * SnapshotTable[[#This Row],[SP Book Price]] * 100, 0)</f>
        <v>0</v>
      </c>
      <c r="BZ223" s="339"/>
      <c r="CA223" s="338">
        <f>SnapshotTable[[#This Row],[LP Qty]]</f>
        <v>0</v>
      </c>
      <c r="CB223" s="4" t="str">
        <f>IF(SnapshotTable[[#This Row],[SP Is Booked]], SnapshotTable[[#This Row],[SP Strike Price]] - SnapshotTable[[#This Row],[SP Book Price]], "")</f>
        <v/>
      </c>
      <c r="CC223" s="19" t="str">
        <f>IF(SnapshotTable[[#This Row],[SP Is Booked]],SnapshotTable[[#This Row],[SP Exp Date]]-MAX(SnapshotTable[[#This Row],[SP Book Date]], SnapshotTable[[#This Row],[SP Fill Date]]),"")</f>
        <v/>
      </c>
      <c r="CD223" s="7" t="str">
        <f>IF(SnapshotTable[[#This Row],[SP Is Booked]], SnapshotTable[[#This Row],[SP Book Price]]/SnapshotTable[[#This Row],[SP Strike Price]], "")</f>
        <v/>
      </c>
      <c r="CE223" s="7" t="str">
        <f>IF(ISNUMBER(SnapshotTable[[#This Row],[SP ROO Term]]),SnapshotTable[[#This Row],[SP ROO Term]]*(365/SnapshotTable[[#This Row],[SP Term]]),"")</f>
        <v/>
      </c>
      <c r="CF223" s="221">
        <f>SnapshotTable[[#This Row],[LP Strike Price]] * SnapshotTable[[#This Row],[LP Qty]] * 100</f>
        <v>0</v>
      </c>
      <c r="CG223" s="31">
        <f>IF(ISNUMBER(SnapshotTable[[#This Row],[SP Premium]]), (SnapshotTable[[#This Row],[SP Qty]] * SnapshotTable[[#This Row],[SP Strike Price]]* 100) - SnapshotTable[[#This Row],[LP Protection]], 0)</f>
        <v>0</v>
      </c>
      <c r="CH223" s="7" t="str">
        <f>IF(ISNUMBER(SnapshotTable[[#This Row],[SP Break Even]]),-1 * (SnapshotTable[[#This Row],[SP Break Even]] - SnapshotTable[[#This Row],[Last Price]]) / SnapshotTable[[#This Row],[Last Price]], "")</f>
        <v/>
      </c>
      <c r="CI223" s="31">
        <f>IF(AND(ISNUMBER((SnapshotTable[[#This Row],[SP Potential Spend]])), SnapshotTable[[#This Row],[SP Strike Price]] &gt; SnapshotTable[[#This Row],[Last Price]], SnapshotTable[[#This Row],[SP Is Filled]]), SnapshotTable[[#This Row],[SP Potential Spend]] -  SnapshotTable[[#This Row],[LP Max Value]], 0)</f>
        <v>0</v>
      </c>
      <c r="CJ223" s="229"/>
      <c r="CK223" s="31">
        <f>IF(ISNUMBER(SnapshotTable[[#This Row],[SP Potential Spend]]),IF(ISNUMBER(SnapshotTable[[#This Row],[SP POW]]), SnapshotTable[[#This Row],[SP POW]] * SnapshotTable[[#This Row],[SP Potential Spend]], SnapshotTable[[#This Row],[SP Potential Spend]]), "")</f>
        <v>0</v>
      </c>
      <c r="CL223" s="162">
        <f>IF(NOT(SnapshotTable[[#This Row],[SP Is Filled]]),(SnapshotTable[[#This Row],[SP Qty]] * SnapshotTable[[#This Row],[SP Strike Price]] * 100) - SnapshotTable[[#This Row],[LP Max Value]],"")</f>
        <v>0</v>
      </c>
      <c r="CM223" s="31" t="str">
        <f>IF(SnapshotTable[[#This Row],[SP Actual Spend]]&lt;&gt;0, ((SnapshotTable[[#This Row],[SP Strike Price]]-SnapshotTable[[#This Row],[Last Price]]) *(SnapshotTable[[#This Row],[SP Qty]]*100) - SnapshotTable[[#This Row],[SP Premium]]) * - 1, "")</f>
        <v/>
      </c>
      <c r="CN223" s="76"/>
      <c r="CO223" s="339"/>
      <c r="CP223" s="4" t="str">
        <f>IF(SnapshotTable[[#This Row],[SP Is Filled]], btc_max_buyback_amount(SnapshotTable[[#This Row],[SP Fill Date]],SnapshotTable[[#This Row],[SP Exp Date]], SnapshotTable[[#This Row],[SP Book Price]]),"")</f>
        <v/>
      </c>
      <c r="CQ223" s="76"/>
      <c r="CR22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3" s="153" t="str">
        <f>IF(SnapshotTable[[#This Row],[SP Is Filled]], btc_next_cutoff_date(SnapshotTable[[#This Row],[SP Fill Date]],SnapshotTable[[#This Row],[SP Exp Date]]),"")</f>
        <v/>
      </c>
      <c r="CT223" s="220" t="str" cm="1">
        <f t="array" ref="CT223">IF(SnapshotTable[[#This Row],[SP Is Filled]], btc_should_buy_back(SnapshotTable[[#This Row],[SP Fill Date]], SnapshotTable[[#This Row],[SP Exp Date]], SnapshotTable[[#This Row],[SP Book Price]], SnapshotTable[[#This Row],[SP Current Ask]], MockToday, SnapshotTable[[#This Row],[SP Buyback Override]]),"")</f>
        <v/>
      </c>
      <c r="CU223" s="141"/>
      <c r="CV223" s="220"/>
      <c r="CW223" s="348" t="str">
        <f>IF(ISNUMBER( SnapshotTable[[#This Row],[SP Term]]), SnapshotTable[[#This Row],[SP Exp Date]] - MockToday,"")</f>
        <v/>
      </c>
      <c r="CX223" s="31" t="str">
        <f>IF(SnapshotTable[[#This Row],[SP Is Filled]],SnapshotTable[[#This Row],[SP Buyback Price to Use]] * 100 * SnapshotTable[[#This Row],[SP Qty]], "")</f>
        <v/>
      </c>
      <c r="CY223" s="4" t="str">
        <f>IF(ISNUMBER(SnapshotTable[[#This Row],[SP Strike Price]]), SnapshotTable[[#This Row],[SP Strike Price]] * (1 - SP_MaxLoss_StrikePct), "")</f>
        <v/>
      </c>
      <c r="CZ223" s="31" t="str">
        <f>IF(ISNUMBER(SnapshotTable[[#This Row],[SP Strike  Stop Per Share]]),SnapshotTable[[#This Row],[SP Premium]] - ((SnapshotTable[[#This Row],[SP Strike Price]]-SnapshotTable[[#This Row],[SP Strike  Stop Per Share]]) *(SnapshotTable[[#This Row],[SP Qty]] * 100)),"")</f>
        <v/>
      </c>
      <c r="DA223" s="4" t="str">
        <f>IF(AND(ISNUMBER(SnapshotTable[[#This Row],[SP Premium]]),SnapshotTable[[#This Row],[SP Premium]]&gt;0), SnapshotTable[[#This Row],[SP Book Price]] * (1 + SP_MaxLoss_OptionPct), "")</f>
        <v/>
      </c>
      <c r="DB223" s="31" t="str">
        <f>IF(ISNUMBER(SnapshotTable[[#This Row],[SP Option  Stop Contract]]),(SnapshotTable[[#This Row],[SP Option  Stop Contract]] *(SnapshotTable[[#This Row],[SP Qty]] * 100) - SnapshotTable[[#This Row],[SP Premium]]),"")</f>
        <v/>
      </c>
      <c r="DC223" s="4"/>
      <c r="DD223" s="4"/>
      <c r="DE223" s="4" t="str">
        <f>IF(AND(SnapshotTable[[#This Row],[SP Qty]]&gt;0, SnapshotTable[[#This Row],[SP Stop To Use]]&gt;0),SnapshotTable[[#This Row],[SP Premium]] - ( SnapshotTable[[#This Row],[SP Qty]] * SnapshotTable[[#This Row],[SP Stop To Use]] * 100), "")</f>
        <v/>
      </c>
      <c r="DF223" s="31" t="str">
        <f>IF(AND(SnapshotTable[[#This Row],[SP Qty]]&gt;0,SnapshotTable[[#This Row],[SP Current Ask]]&gt;0), SnapshotTable[[#This Row],[SP Qty]] * SnapshotTable[[#This Row],[SP Current Ask]] * -100, "")</f>
        <v/>
      </c>
      <c r="DG223" s="31" t="str">
        <f>IF(ISNUMBER((SnapshotTable[[#This Row],[SP Total Value]])), SnapshotTable[[#This Row],[SP Premium]] + SnapshotTable[[#This Row],[SP Total Value]], "")</f>
        <v/>
      </c>
      <c r="DH223" s="272" t="str">
        <f>IF(ISNUMBER((SnapshotTable[[#This Row],[SP Total Value]])), SnapshotTable[[#This Row],[SP Gain Loss]] / SnapshotTable[[#This Row],[SP Premium]], "")</f>
        <v/>
      </c>
      <c r="DI223" s="369"/>
      <c r="DJ223" s="136"/>
      <c r="DK223" s="146"/>
      <c r="DL223" s="13"/>
      <c r="DM223" s="13"/>
      <c r="DO223" s="31">
        <f>IF(SnapshotTable[[#This Row],[LC Symbol Count]]=1, SnapshotTable[[#This Row],[LC Qty]] * SnapshotTable[[#This Row],[LC Book Price]] * 100, 0)</f>
        <v>0</v>
      </c>
      <c r="DP223" s="161" t="str">
        <f>IF(AND(SnapshotTable[[#This Row],[LC Exp Date]]&gt;0, SnapshotTable[[#This Row],[LC Strike Price]]&gt;0,SnapshotTable[[#This Row],[LC Qty]]&gt;0,SnapshotTable[[#This Row],[LC Book Date]]&gt;0,SnapshotTable[[#This Row],[LC Book Price]]&gt;0,SnapshotTable[[#This Row],[LC Fill Date]]=0),"Y","")</f>
        <v/>
      </c>
      <c r="DQ223" s="356" t="str">
        <f>IF(SnapshotTable[[#This Row],[LC Premium]] &gt; 0,SnapshotTable[[#This Row],[LC Exp Date]]-MAX(SnapshotTable[[#This Row],[LC Book Date]], SnapshotTable[[#This Row],[LC Fill Date]]),"")</f>
        <v/>
      </c>
      <c r="DR223" s="356" t="str">
        <f>IF(ISNUMBER(SnapshotTable[[#This Row],[LC Term]]), SnapshotTable[[#This Row],[LC Exp Date]] - MockToday, "")</f>
        <v/>
      </c>
      <c r="DS223" s="219" t="str">
        <f>IF(SnapshotTable[[#This Row],[LC Premium]]&gt;0,SnapshotTable[[#This Row],[LC Strike Price]] + SnapshotTable[[#This Row],[LC Book Price]],"")</f>
        <v/>
      </c>
      <c r="DU223" s="9" t="str">
        <f>IF(AND(SnapshotTable[[#This Row],[LC Symbol Count]]&gt;0, SnapshotTable[[#This Row],[LC Contract Value]]&gt;0), SnapshotTable[[#This Row],[LC Contract Value]] * SnapshotTable[[#This Row],[LC Qty]] * 100, "")</f>
        <v/>
      </c>
      <c r="DV223" s="9" t="str">
        <f>IF(AND(ISNUMBER(SnapshotTable[[#This Row],[LC Total Value]]), SnapshotTable[[#This Row],[LC Not Filled]]&lt;&gt;"Y"), SnapshotTable[[#This Row],[LC Total Value]]-SnapshotTable[[#This Row],[LC Premium]],"")</f>
        <v/>
      </c>
      <c r="DW223" s="225" t="str">
        <f>IF(ISNUMBER(SnapshotTable[[#This Row],[LC Actual Gain Loss]]), SnapshotTable[[#This Row],[LC Actual Gain Loss]] / SnapshotTable[[#This Row],[LC Premium]],"")</f>
        <v/>
      </c>
      <c r="DX223" s="269" t="str">
        <f>IF(ISNUMBER(SnapshotTable[[#This Row],[LC Book Price]]),SnapshotTable[[#This Row],[LC Book Price]] * 1.5,"")</f>
        <v/>
      </c>
      <c r="DY223" s="250" t="str">
        <f>IF(SnapshotTable[[#This Row],[LC Premium]]&gt;0, SnapshotTable[[#This Row],[LC Next Target]] * SnapshotTable[[#This Row],[LC Qty]] * 100,"")</f>
        <v/>
      </c>
      <c r="DZ223" s="250" t="str">
        <f>IF(ISNUMBER(SnapshotTable[[#This Row],[LC Target Gross]]), SnapshotTable[[#This Row],[LC Target Gross]] - SnapshotTable[[#This Row],[LC Premium]], "")</f>
        <v/>
      </c>
      <c r="EA223" s="283" t="str">
        <f>IF(ISNUMBER(SnapshotTable[[#This Row],[LC Target Gain Loss]]), SnapshotTable[[#This Row],[LC Target Gain Loss]]/SnapshotTable[[#This Row],[LC Premium]], "")</f>
        <v/>
      </c>
      <c r="EB223" s="247"/>
      <c r="EC223" s="268" t="str">
        <f>IF(SnapshotTable[[#This Row],[LC Premium]]&gt;0, SnapshotTable[[#This Row],[LC Book Price]] * (1 - LC_StopLoss_Pct),"")</f>
        <v/>
      </c>
      <c r="ED223" s="269"/>
      <c r="EE223" s="268" t="str">
        <f>IF(ISNUMBER(SnapshotTable[[#This Row],[LC Contract Value]]),IF(ISNUMBER(SnapshotTable[[#This Row],[LC Stop Loss Override]]), SnapshotTable[[#This Row],[LC Stop Loss Override]],SnapshotTable[[#This Row],[LC Stop Loss Calc Target]]),"")</f>
        <v/>
      </c>
      <c r="EF223" s="31" t="str">
        <f>IF(ISNUMBER(SnapshotTable[[#This Row],[LC Stop  To Use]]), (SnapshotTable[[#This Row],[LC Stop  To Use]] * SnapshotTable[[#This Row],[LC Qty]] * 100),"")</f>
        <v/>
      </c>
      <c r="EG223" s="9" t="str">
        <f>IF(ISNUMBER(SnapshotTable[[#This Row],[LC Total Value]]),SnapshotTable[[#This Row],[LC Stop Loss Amount]] - SnapshotTable[[#This Row],[LC Premium]],"")</f>
        <v/>
      </c>
      <c r="EH223" s="9">
        <f>IF(ISNUMBER(SnapshotTable[[#This Row],[LC Premium]]), SnapshotTable[[#This Row],[LC Qty]] * 100 * SnapshotTable[[#This Row],[LC Strike Price]], "")</f>
        <v>0</v>
      </c>
      <c r="EI223" s="225" t="str">
        <f>IF(AND(ISNUMBER(SnapshotTable[[#This Row],[LC Total Value]]),SnapshotTable[[#This Row],[LC Total Value]]&gt;0),SnapshotTable[[#This Row],[LC Stop Gain Loss]]  / SnapshotTable[[#This Row],[LC Premium]],"")</f>
        <v/>
      </c>
      <c r="EJ223" s="35">
        <f>IF(ISNUMBER(SnapshotTable[[#This Row],[Equity Shares]]),TRUNC(SnapshotTable[[#This Row],[Equity Shares]] / 100),0) + SnapshotTable[[#This Row],[LC Qty]]</f>
        <v>0</v>
      </c>
      <c r="EK223" s="145"/>
      <c r="EL223" s="136"/>
      <c r="EM223" s="146"/>
      <c r="EN223" s="145"/>
      <c r="EO223" s="145"/>
      <c r="EP223" s="136"/>
      <c r="EQ223" s="382" t="b">
        <f>AND(ISNUMBER(SnapshotTable[[#This Row],[SC Exp Date]]), ISNUMBER(SnapshotTable[[#This Row],[SC Strike Price]]), ISNUMBER(SnapshotTable[[#This Row],[SC Qty]]), ISNUMBER(SnapshotTable[[#This Row],[SC Book Date]]), ISNUMBER(SnapshotTable[[#This Row],[SC Book Price]]))</f>
        <v>0</v>
      </c>
      <c r="ER223" s="382" t="b">
        <f>AND(SnapshotTable[[#This Row],[SC Is Booked]], NOT(ISBLANK(SnapshotTable[[#This Row],[SC Fill Date]])))</f>
        <v>0</v>
      </c>
      <c r="ES223" s="340"/>
      <c r="ET223" s="34" t="str">
        <f>IF(AND(ISNUMBER(SnapshotTable[[#This Row],[SC Exp Date]]), ISNUMBER(SnapshotTable[[#This Row],[SC Book Date]])), SnapshotTable[[#This Row],[SC Exp Date]] - MAX(SnapshotTable[[#This Row],[SC Book Date]], SnapshotTable[[#This Row],[SC Fill Date]]) + 1, "")</f>
        <v/>
      </c>
      <c r="EU223" s="34" t="str">
        <f>IF(ISNUMBER(SnapshotTable[[#This Row],[SC Term]]), SnapshotTable[[#This Row],[SC Exp Date]]- MockToday, "")</f>
        <v/>
      </c>
      <c r="EV223" s="31">
        <f>IF(SnapshotTable[[#This Row],[SC Is Booked]], SnapshotTable[[#This Row],[SC Qty]] * SnapshotTable[[#This Row],[SC Book Price]] * 100, 0)</f>
        <v>0</v>
      </c>
      <c r="EW223" s="4" t="str">
        <f>IF(AND(ISNUMBER(SnapshotTable[[#This Row],[Last Price]]), ISNUMBER( SnapshotTable[[#This Row],[SC Book Price]])), SnapshotTable[[#This Row],[Last Price]] - SnapshotTable[[#This Row],[SC Book Price]],"")</f>
        <v/>
      </c>
      <c r="EX223" s="219" t="str">
        <f>IF(SnapshotTable[[#This Row],[SC Is Booked]],IF(SnapshotTable[[#This Row],[SC Intrinsic Value]] &gt; 0, SnapshotTable[[#This Row],[SC Strike Price]], SnapshotTable[[#This Row],[Last Price]]), "")</f>
        <v/>
      </c>
      <c r="EY223" s="4">
        <f>IF(SnapshotTable[[#This Row],[SC Is Booked]], (MinimumPremiumRequired * SnapshotTable[[#This Row],[SC Basis]] * SnapshotTable[[#This Row],[SC Term]]), 0)</f>
        <v>0</v>
      </c>
      <c r="EZ223" s="268"/>
      <c r="FA223" s="204"/>
      <c r="FB223" s="340"/>
      <c r="FC223" s="4">
        <f>IF(SnapshotTable[[#This Row],[SC Is Filled]], btc_max_buyback_amount(SnapshotTable[[#This Row],[SC Fill Date]],SnapshotTable[[#This Row],[SC Exp Date]], SnapshotTable[[#This Row],[SC Book Price]]),0)</f>
        <v>0</v>
      </c>
      <c r="FD223" s="5"/>
      <c r="FE223" s="142" t="str">
        <f>IF(SnapshotTable[[#This Row],[SC Is Filled]], btc_next_cutoff_date(SnapshotTable[[#This Row],[SC Fill Date]],SnapshotTable[[#This Row],[SC Exp Date]]),"")</f>
        <v/>
      </c>
      <c r="FF223" s="4" t="str" cm="1">
        <f t="array" ref="FF223">IF(SnapshotTable[[#This Row],[SC Is Filled]], btc_should_buy_back(SnapshotTable[[#This Row],[SC Fill Date]], SnapshotTable[[#This Row],[SC Exp Date]], SnapshotTable[[#This Row],[SC Book Price]], SnapshotTable[[#This Row],[SC Current Ask]], MockToday, SnapshotTable[[#This Row],[SC Buyback Override]]),"")</f>
        <v/>
      </c>
      <c r="FG223" s="4">
        <f>IF(SnapshotTable[[#This Row],[SC Is Filled]], MAX(0,SnapshotTable[[#This Row],[Last Price]]  - SnapshotTable[[#This Row],[SC Strike Price]]), 0)</f>
        <v>0</v>
      </c>
      <c r="FH223" s="352">
        <f>IF(SnapshotTable[[#This Row],[SC Is Filled]], IF(ISNUMBER(SnapshotTable[[#This Row],[SC Current Ask]]), SnapshotTable[[#This Row],[SC Current Ask]], SnapshotTable[[#This Row],[SC Book Price]]) - SnapshotTable[[#This Row],[SC Intrinsic Value]], 0)</f>
        <v>0</v>
      </c>
      <c r="FI223" s="141"/>
      <c r="FJ223" s="32" t="str">
        <f>IF(SnapshotTable[[#This Row],[SC Is Filled]],100 * SnapshotTable[[#This Row],[SC Qty]] * IF(ISNUMBER(SnapshotTable[[#This Row],[SC Buyback Override]]), SnapshotTable[[#This Row],[SC Buyback Override]], SnapshotTable[[#This Row],[SC Current Ask]]), "")</f>
        <v/>
      </c>
      <c r="FK223" s="235" t="str">
        <f>IF(SnapshotTable[[#This Row],[SC Time Val]]&gt;0, SnapshotTable[[#This Row],[SC Time Val]] / SnapshotTable[[#This Row],[Last Price]],"")</f>
        <v/>
      </c>
      <c r="FL223" s="280" t="str">
        <f>IF(SnapshotTable[[#This Row],[SC Is Booked]], ((SnapshotTable[[#This Row],[Last Price]] -SnapshotTable[[#This Row],[SC Strike Price]]) / SnapshotTable[[#This Row],[Last Price]]) * -1, "")</f>
        <v/>
      </c>
      <c r="FM223" s="155" t="str">
        <f>IF(SnapshotTable[[#This Row],[SC Is Booked]],  (SnapshotTable[[#This Row],[SC Qty]] * 100 * SnapshotTable[[#This Row],[SC Strike Price]]) - SnapshotTable[[#This Row],[SC Current Ask]], "")</f>
        <v/>
      </c>
      <c r="FN22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3" s="31" t="str">
        <f>IF(AND(ISNUMBER(SnapshotTable[[#This Row],[SC Exercise Gross]]), ISNUMBER(SnapshotTable[[#This Row],[Equity Basis Per Share]] )), SnapshotTable[[#This Row],[SC Exercise Gross]] - SnapshotTable[[#This Row],[Equity Basis Total]] +  SnapshotTable[[#This Row],[SC Premium]], "")</f>
        <v/>
      </c>
      <c r="FP223" s="5" t="str">
        <f>IF(ISNUMBER(SnapshotTable[[#This Row],[SC Exercise Gross]]), (SnapshotTable[[#This Row],[SC Exercise Gross]]) / (SnapshotTable[[#This Row],[SC Qty]] * 100), "")</f>
        <v/>
      </c>
      <c r="FQ223" s="27" t="str">
        <f>IF(SnapshotTable[[#This Row],[SC Is Booked]],SnapshotTable[[#This Row],[SC Time Val]] /SnapshotTable[[#This Row],[SC Basis]], "")</f>
        <v/>
      </c>
      <c r="FR223" s="27" t="str" cm="1">
        <f t="array" ref="FR223">IF(AND(ISNUMBER(SnapshotTable[[#This Row],[SC Term]]),ISNUMBER(SnapshotTable[[#This Row],[SC Simple ROO]])), EllmanAnnualize(SnapshotTable[[#This Row],[SC DTE]], SnapshotTable[[#This Row],[SC Simple ROO]] ),"")</f>
        <v/>
      </c>
      <c r="FS223" s="4">
        <f>IF(SnapshotTable[[#This Row],[SC Strike Price]] &gt; SnapshotTable[[#This Row],[Last Price]], SnapshotTable[[#This Row],[SC Strike Price]] - SnapshotTable[[#This Row],[Last Price]],0)</f>
        <v>0</v>
      </c>
      <c r="FT223" s="27" t="str">
        <f>IF(AND(ISNUMBER(SnapshotTable[[#This Row],[SC Upside Potential]]), SnapshotTable[[#This Row],[SC Upside Potential]] &gt; 0),(SnapshotTable[[#This Row],[SC Upside Potential]]/ SnapshotTable[[#This Row],[ACB]]),"")</f>
        <v/>
      </c>
      <c r="FU223" s="304" t="str">
        <f>IF(SnapshotTable[[#This Row],[SC Intrinsic Value]] &gt; 0,SnapshotTable[[#This Row],[SC Intrinsic Value]],"")</f>
        <v/>
      </c>
      <c r="FV223" s="27" t="str">
        <f>IF(AND( ISNUMBER( SnapshotTable[[#This Row],[ACB]]),ISNUMBER(SnapshotTable[[#This Row],[SC Downside Protect]])),SnapshotTable[[#This Row],[SC Downside Protect]] / SnapshotTable[[#This Row],[ACB]],"")</f>
        <v/>
      </c>
      <c r="FW223" s="221" t="str">
        <f>IF(AND(ISNUMBER(SnapshotTable[[#This Row],[SC Simple ROO]]),SnapshotTable[[#This Row],[SC Simple ROO]] &gt; 0), SnapshotTable[[#This Row],[SC Premium]] + (SnapshotTable[[#This Row],[SC Qty]] * SnapshotTable[[#This Row],[SC Upside Potential]]), "")</f>
        <v/>
      </c>
      <c r="FX223" s="280" t="str" cm="1">
        <f t="array" ref="FX223">IF(ISNUMBER(SnapshotTable[[#This Row],[SC Max Dollars]]), annualize(SnapshotTable[[#This Row],[SC Term]],(SnapshotTable[[#This Row],[SC Max Dollars]]/SnapshotTable[[#This Row],[SC Basis]])),"")</f>
        <v/>
      </c>
      <c r="FY223" s="221" t="str">
        <f>IF(AND(SnapshotTable[[#This Row],[SC Qty]]&gt;0,SnapshotTable[[#This Row],[SC Current Ask]]&gt;0), SnapshotTable[[#This Row],[SC Qty]] * SnapshotTable[[#This Row],[SC Current Ask]] * -100, "")</f>
        <v/>
      </c>
      <c r="FZ223" s="31" t="str">
        <f>IF(ISNUMBER((SnapshotTable[[#This Row],[SC Current Value]])), SnapshotTable[[#This Row],[SC Premium]] + SnapshotTable[[#This Row],[SC Current Value]], "")</f>
        <v/>
      </c>
      <c r="GA223" s="272" t="str">
        <f>IFERROR( IF(ISNUMBER((SnapshotTable[[#This Row],[SC Current Value]])), SnapshotTable[[#This Row],[SC Gain Loss]] / SnapshotTable[[#This Row],[SC Premium]], ""), "")</f>
        <v/>
      </c>
      <c r="GB223" s="42">
        <f>SnapshotTable[[#This Row],[Equity Shares]] * SaleSharesToConsiderPercentage</f>
        <v>0</v>
      </c>
      <c r="GC223" s="40" t="e">
        <f>SnapshotTable[[#This Row],[Long Term Target]] * SellingPriceToConsiderBasedOnTargetPercentage</f>
        <v>#VALUE!</v>
      </c>
      <c r="GD223" s="40">
        <f>SnapshotTable[[#This Row],[Last Price]] * (1+ SellingPriceToConsiderBasedOnTargetPercentage)</f>
        <v>296.61450000000002</v>
      </c>
      <c r="GE223" s="41"/>
      <c r="GF223" s="40"/>
      <c r="GG223" s="31">
        <f>SnapshotTable[[#This Row],[Booked Sale Shares]] * SnapshotTable[[#This Row],[Booked Sale Price]]</f>
        <v>0</v>
      </c>
      <c r="GH223" s="31" t="str">
        <f>IF(SnapshotTable[[#This Row],[Equity Basis Total]] &gt; 0, SnapshotTable[[#This Row],[Equity Basis Per Share]] * SnapshotTable[[#This Row],[Booked Sale Shares]], "")</f>
        <v/>
      </c>
      <c r="GI223" s="31">
        <f>IF(SnapshotTable[[#This Row],[Sale Proceeds]]&gt;0, SnapshotTable[[#This Row],[Sale Proceeds]] - SnapshotTable[[#This Row],[Sale Basis]], 0)</f>
        <v>0</v>
      </c>
      <c r="GJ223" s="27" t="str">
        <f>IF(SnapshotTable[[#This Row],[Sale G/L]]&gt;0, SnapshotTable[[#This Row],[Sale G/L]] / SnapshotTable[[#This Row],[Sale Basis]], IF(ISNUMBER(SnapshotTable[[#This Row],[SC Exercise P&amp;L (TAX)]]), SnapshotTable[[#This Row],[SC Exercise P&amp;L (TAX)]] / SnapshotTable[[#This Row],[SC Basis]], ""))</f>
        <v/>
      </c>
      <c r="GK223" s="27" t="s">
        <v>612</v>
      </c>
      <c r="GL223" s="43" t="str">
        <f>IF(AND(SnapshotTable[[#This Row],[LP Exp Date]]&gt;0,SnapshotTable[[#This Row],[LP Strike Price]]&gt;0), [1]!ToOptionSymbol(SnapshotTable[[#This Row],[Symbol]], SnapshotTable[[#This Row],[LP Strike Price]],SnapshotTable[[#This Row],[LP Exp Date]],1), "")</f>
        <v/>
      </c>
      <c r="GM223" s="30" t="str">
        <f>IF(LEN(SnapshotTable[[#This Row],[LP Symbol]])&gt;0, 1, "")</f>
        <v/>
      </c>
      <c r="GN223" s="43" t="str">
        <f>IF(AND(SnapshotTable[[#This Row],[SP Exp Date]]&gt;0,SnapshotTable[[#This Row],[SP Strike Price]]&gt;0), [1]!ToOptionSymbol(SnapshotTable[[#This Row],[Symbol]], SnapshotTable[[#This Row],[SP Strike Price]],SnapshotTable[[#This Row],[SP Exp Date]],1), "")</f>
        <v/>
      </c>
      <c r="GO223" s="30" t="str">
        <f>IF(LEN(SnapshotTable[[#This Row],[SP Symbol]])&gt;0, 1, "")</f>
        <v/>
      </c>
      <c r="GP223" s="43" t="str">
        <f>IF(AND(SnapshotTable[[#This Row],[LC Exp Date]]&gt;0,SnapshotTable[[#This Row],[LC Strike Price]]&gt;0), [1]!ToOptionSymbol(SnapshotTable[[#This Row],[Symbol]], SnapshotTable[[#This Row],[LC Strike Price]],SnapshotTable[[#This Row],[LC Exp Date]],0), "")</f>
        <v/>
      </c>
      <c r="GQ223" s="30" t="str">
        <f>IF(LEN(SnapshotTable[[#This Row],[LC Symbol]])&gt;0, 1, "")</f>
        <v/>
      </c>
      <c r="GR223" s="43" t="str">
        <f>IF(AND(SnapshotTable[[#This Row],[SC Exp Date]]&gt;0,SnapshotTable[[#This Row],[SC Strike Price]]&gt;0), [1]!ToOptionSymbol(SnapshotTable[[#This Row],[Symbol]], SnapshotTable[[#This Row],[SC Strike Price]],SnapshotTable[[#This Row],[SC Exp Date]],0), "")</f>
        <v/>
      </c>
      <c r="GS223" s="30" t="str">
        <f>IF(LEN(SnapshotTable[[#This Row],[SC Symbol]])&gt;0, 1, "")</f>
        <v/>
      </c>
      <c r="GT223" s="29" t="str">
        <f>IF(COUNT(SnapshotTable[[#This Row],[LP Symbol Count]],SnapshotTable[[#This Row],[SP Symbol Count]],SnapshotTable[[#This Row],[LC Symbol Count]],SnapshotTable[[#This Row],[SC Symbol Count]])&gt;0, "Y", "")</f>
        <v/>
      </c>
      <c r="GU22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3" s="216">
        <f>MAX(SnapshotTable[[#This Row],[Equity Basis Total]],SnapshotTable[[#This Row],[Equity Value]]) + (SnapshotTable[[#This Row],[SP Potential Spend]]- SnapshotTable[[#This Row],[SP Premium]] + SnapshotTable[[#This Row],[LP Premium]])+ (SnapshotTable[[#This Row],[LC Premium]] - SnapshotTable[[#This Row],[SC Premium]])</f>
        <v>0</v>
      </c>
      <c r="GW223" s="137" t="str">
        <f>IF(AND(SnapshotTable[[#This Row],[Exposure]] &lt;&gt; 0),SnapshotTable[[#This Row],[Exposure]] / SnapshotTable[[#Totals],[Exposure]], "")</f>
        <v/>
      </c>
      <c r="HK223" s="1"/>
      <c r="HL223" s="1"/>
      <c r="HM223" s="1"/>
      <c r="HN223" s="1"/>
      <c r="HO223" s="1"/>
      <c r="HP223" s="1"/>
    </row>
    <row r="224" spans="2:224" ht="12.75" hidden="1" customHeight="1" x14ac:dyDescent="0.25">
      <c r="B224" s="12" t="s">
        <v>79</v>
      </c>
      <c r="C224" s="385">
        <v>43.02</v>
      </c>
      <c r="D224" s="200"/>
      <c r="E224" s="39">
        <f>SnapshotTable[[#This Row],[Last Price]]*(1 -CrashDiscount)</f>
        <v>36.567</v>
      </c>
      <c r="F224" s="26" t="s">
        <v>78</v>
      </c>
      <c r="G224" s="26" t="s">
        <v>24</v>
      </c>
      <c r="H224" s="147"/>
      <c r="I224" s="186">
        <v>44770.694444444445</v>
      </c>
      <c r="J224" s="187">
        <v>44770.694444444445</v>
      </c>
      <c r="K224" s="188"/>
      <c r="L224" s="297"/>
      <c r="M224" s="138"/>
      <c r="N224" s="138"/>
      <c r="O224" s="138"/>
      <c r="P224" s="22"/>
      <c r="Q224" s="25"/>
      <c r="R224" s="4" t="str">
        <f>IF(SnapshotTable[[#This Row],[Equity Basis Total]] &gt; 0, SnapshotTable[[#This Row],[Equity Basis Total]] / SnapshotTable[[#This Row],[Equity Shares]], "")</f>
        <v/>
      </c>
      <c r="S224" s="254">
        <f>SnapshotTable[[#This Row],[Last Price]] * SnapshotTable[[#This Row],[Equity Shares]]</f>
        <v>0</v>
      </c>
      <c r="T224" s="254">
        <f>SnapshotTable[[#This Row],[Equity Value]] - SnapshotTable[[#This Row],[Equity Basis Total]]</f>
        <v>0</v>
      </c>
      <c r="U224" s="255" t="str">
        <f>IF(SnapshotTable[[#This Row],[Equity Basis Total]] &gt; 0, SnapshotTable[[#This Row],[Equity G/L]] / SnapshotTable[[#This Row],[Equity Basis Total]], "")</f>
        <v/>
      </c>
      <c r="V224" s="253"/>
      <c r="W224" s="253"/>
      <c r="X224" s="4" t="str">
        <f>IF(AND(ISNUMBER(SnapshotTable[[#This Row],[Equity Basis Per Share]]),ISNUMBER(SnapshotTable[[#This Row],[Equity Target]])),SnapshotTable[[#This Row],[Equity Target]]-SnapshotTable[[#This Row],[Equity Basis Per Share]],"")</f>
        <v/>
      </c>
      <c r="Y224" s="4" t="str">
        <f>IF(AND(ISNUMBER(SnapshotTable[[#This Row],[Equity Basis Per Share]]),ISNUMBER(SnapshotTable[[#This Row],[Equity Stop Loss]])),SnapshotTable[[#This Row],[Equity Stop Loss]]-SnapshotTable[[#This Row],[Equity Basis Per Share]],"")</f>
        <v/>
      </c>
      <c r="Z224" s="260" t="str">
        <f>IFERROR( TEXT(SnapshotTable[[#This Row],[Equity Max Gain Per Share]] /ABS( SnapshotTable[[#This Row],[Equity Max Loss Per Share]]),"0.0 " ) &amp; " : 1", "")</f>
        <v/>
      </c>
      <c r="AA224" s="31" t="str">
        <f>IF(ISNUMBER(SnapshotTable[[#This Row],[Equity Max Gain Per Share]]),SnapshotTable[[#This Row],[Equity Max Gain Per Share]] * SnapshotTable[[#This Row],[Equity Shares]],"")</f>
        <v/>
      </c>
      <c r="AB224" s="31" t="str">
        <f>IF(ISNUMBER(SnapshotTable[[#This Row],[Equity Max Loss Per Share]]),SnapshotTable[[#This Row],[Equity Max Loss Per Share]] * SnapshotTable[[#This Row],[Equity Shares]],"")</f>
        <v/>
      </c>
      <c r="AC224" s="148">
        <v>0.32</v>
      </c>
      <c r="AD224" s="149">
        <v>42979</v>
      </c>
      <c r="AE224" s="31">
        <f>(SnapshotTable[[#This Row],[Annual Dividend Per Share]] / 4) * SnapshotTable[[#This Row],[Equity Shares]]</f>
        <v>0</v>
      </c>
      <c r="AF224" s="31">
        <f>SnapshotTable[[#This Row],[Quarterly Div $]] * 4</f>
        <v>0</v>
      </c>
      <c r="AG224" s="7">
        <f>IF(SnapshotTable[[#This Row],[Annual Dividend Per Share]]&gt;0, SnapshotTable[[#This Row],[Annual Dividend Per Share]]  / SnapshotTable[[#This Row],[Last Price]], 0)</f>
        <v>7.4384007438400741E-3</v>
      </c>
      <c r="AH224" s="149">
        <v>43230</v>
      </c>
      <c r="AI224" s="5">
        <v>130</v>
      </c>
      <c r="AJ224" s="136">
        <v>34.26</v>
      </c>
      <c r="AK224" s="150">
        <f>IF(ISNUMBER( SnapshotTable[[#This Row],[EBF Target]]),(SnapshotTable[[#This Row],[EBF Target]] - SnapshotTable[[#This Row],[Last Price]]) / SnapshotTable[[#This Row],[Last Price]], "")</f>
        <v>2.02185030218503</v>
      </c>
      <c r="AL224" s="150" t="str">
        <f>IF(AND(SnapshotTable[[#This Row],[Equity Basis Total]] &gt; 0,ISNUMBER( SnapshotTable[[#This Row],[Long Term Target]])), SnapshotTable[[#This Row],[From Basis $]] / SnapshotTable[[#This Row],[Equity Basis Total]], "")</f>
        <v/>
      </c>
      <c r="AM224" s="9">
        <f>IF( AND(SnapshotTable[[#This Row],[Equity Shares]] &gt;0,ISNUMBER( SnapshotTable[[#This Row],[Long Term Target]])),(SnapshotTable[[#This Row],[Equity Shares]] * SnapshotTable[[#This Row],[Long Term Target]]) - SnapshotTable[[#This Row],[Equity Basis Total]],0)</f>
        <v>0</v>
      </c>
      <c r="AN224" s="9">
        <f>IF( AND(SnapshotTable[[#This Row],[Equity Shares]] &gt;0,ISNUMBER( SnapshotTable[[#This Row],[Long Term Target]])),(SnapshotTable[[#This Row],[Equity Shares]]*SnapshotTable[[#This Row],[Long Term Target]]) - SnapshotTable[[#This Row],[Equity Value]],0)</f>
        <v>0</v>
      </c>
      <c r="AO224" s="150">
        <f>IF(AND(ISNUMBER( SnapshotTable[[#This Row],[Long Term Target]]), ISNUMBER(SnapshotTable[[#This Row],[Last Price]])),(SnapshotTable[[#This Row],[Long Term Target]] - SnapshotTable[[#This Row],[Last Price]]) / SnapshotTable[[#This Row],[Last Price]], "")</f>
        <v>-0.20362622036262215</v>
      </c>
      <c r="AP224" s="5"/>
      <c r="AQ224" s="38"/>
      <c r="AR224" s="5"/>
      <c r="AS224" s="38"/>
      <c r="AT224" s="144"/>
      <c r="AU224" s="185" t="str">
        <f>IF(OR(SnapshotTable[[#This Row],[LP No Fill]]="Y",SnapshotTable[[#This Row],[SP Is Filled]],SnapshotTable[[#This Row],[LC Not Filled]]="Y",SnapshotTable[[#This Row],[SC Is Filled]]),"Y","")</f>
        <v/>
      </c>
      <c r="AV224" s="205"/>
      <c r="AW224" s="211"/>
      <c r="AX224" s="206"/>
      <c r="AY224" s="205" t="str">
        <f>IF(SnapshotTable[[#This Row],[Implied Move]]&gt;0, SnapshotTable[[#This Row],[Last Price]]-SnapshotTable[[#This Row],[Implied Move]],"")</f>
        <v/>
      </c>
      <c r="AZ224" s="205" t="str">
        <f>IF(SnapshotTable[[#This Row],[Implied Move]]&gt;0, SnapshotTable[[#This Row],[Last Price]] + SnapshotTable[[#This Row],[Implied Move]],"")</f>
        <v/>
      </c>
      <c r="BA224" s="302"/>
      <c r="BB224" s="318"/>
      <c r="BC22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4" s="321"/>
      <c r="BE224" s="5"/>
      <c r="BF224" s="14"/>
      <c r="BG224" s="13"/>
      <c r="BH224" s="13"/>
      <c r="BI224" s="5"/>
      <c r="BJ224" s="134">
        <f>IF(SnapshotTable[[#This Row],[LP Qty]] &gt; 0, SnapshotTable[[#This Row],[LP Qty]] * SnapshotTable[[#This Row],[LP Book Price]] * 100,0)</f>
        <v>0</v>
      </c>
      <c r="BK224" s="134">
        <f>IF(SnapshotTable[[#This Row],[LP Premium]] &gt; 0, SnapshotTable[[#This Row],[LP Qty]] * SnapshotTable[[#This Row],[LP Strike Price]] * 100,0)</f>
        <v>0</v>
      </c>
      <c r="BL224" s="152"/>
      <c r="BM224" s="355" t="str">
        <f>IF(SnapshotTable[[#This Row],[LP Premium]] &gt; 0,SnapshotTable[[#This Row],[LP Exp Date]]-MAX(SnapshotTable[[#This Row],[LP Book Date]], SnapshotTable[[#This Row],[LP Fill Date]]),"")</f>
        <v/>
      </c>
      <c r="BN224" s="355" t="str">
        <f>IF(ISNUMBER( SnapshotTable[[#This Row],[LP Term]]), SnapshotTable[[#This Row],[LP Exp Date]] - MockToday,"")</f>
        <v/>
      </c>
      <c r="BO224" s="161" t="str">
        <f>IF(AND(SnapshotTable[[#This Row],[LP Exp Date]]&gt;0, SnapshotTable[[#This Row],[LP Strike Price]]&gt;0,SnapshotTable[[#This Row],[LP Qty]]&gt;0,SnapshotTable[[#This Row],[LP Book Date]]&gt;0,SnapshotTable[[#This Row],[LP Book Price]]&gt;0,SnapshotTable[[#This Row],[LP Fill Date]]=0),"Y","")</f>
        <v/>
      </c>
      <c r="BP224" s="31" t="str">
        <f>IF(AND(SnapshotTable[[#This Row],[LP No Fill]]&lt;&gt;"Y",SnapshotTable[[#This Row],[LP Contract Value]]&gt;0, SnapshotTable[[#This Row],[LP Qty]]&gt;0), SnapshotTable[[#This Row],[LP Contract Value]]*SnapshotTable[[#This Row],[LP Qty]]*100,"")</f>
        <v/>
      </c>
      <c r="BQ224" s="13"/>
      <c r="BR224" s="5"/>
      <c r="BS224" s="36"/>
      <c r="BT224" s="145"/>
      <c r="BU224" s="13"/>
      <c r="BV224" s="5"/>
      <c r="BW224" s="382" t="b">
        <f>AND(ISNUMBER(SnapshotTable[[#This Row],[SP Exp Date]]), ISNUMBER(SnapshotTable[[#This Row],[SP Strike Price]]), ISNUMBER(SnapshotTable[[#This Row],[SP Qty]]), ISNUMBER(SnapshotTable[[#This Row],[SP Book Date]]), ISNUMBER(SnapshotTable[[#This Row],[SP Book Price]]))</f>
        <v>0</v>
      </c>
      <c r="BX224" s="382" t="b">
        <f>AND(SnapshotTable[[#This Row],[SP Is Booked]], NOT(ISBLANK(SnapshotTable[[#This Row],[SP Fill Date]])))</f>
        <v>0</v>
      </c>
      <c r="BY224" s="33">
        <f>IF(SnapshotTable[[#This Row],[SP Is Booked]], SnapshotTable[[#This Row],[SP Qty]] * SnapshotTable[[#This Row],[SP Book Price]] * 100, 0)</f>
        <v>0</v>
      </c>
      <c r="BZ224" s="339"/>
      <c r="CA224" s="338">
        <f>SnapshotTable[[#This Row],[LP Qty]]</f>
        <v>0</v>
      </c>
      <c r="CB224" s="4" t="str">
        <f>IF(SnapshotTable[[#This Row],[SP Is Booked]], SnapshotTable[[#This Row],[SP Strike Price]] - SnapshotTable[[#This Row],[SP Book Price]], "")</f>
        <v/>
      </c>
      <c r="CC224" s="19" t="str">
        <f>IF(SnapshotTable[[#This Row],[SP Is Booked]],SnapshotTable[[#This Row],[SP Exp Date]]-MAX(SnapshotTable[[#This Row],[SP Book Date]], SnapshotTable[[#This Row],[SP Fill Date]]),"")</f>
        <v/>
      </c>
      <c r="CD224" s="7" t="str">
        <f>IF(SnapshotTable[[#This Row],[SP Is Booked]], SnapshotTable[[#This Row],[SP Book Price]]/SnapshotTable[[#This Row],[SP Strike Price]], "")</f>
        <v/>
      </c>
      <c r="CE224" s="7" t="str">
        <f>IF(ISNUMBER(SnapshotTable[[#This Row],[SP ROO Term]]),SnapshotTable[[#This Row],[SP ROO Term]]*(365/SnapshotTable[[#This Row],[SP Term]]),"")</f>
        <v/>
      </c>
      <c r="CF224" s="221">
        <f>SnapshotTable[[#This Row],[LP Strike Price]] * SnapshotTable[[#This Row],[LP Qty]] * 100</f>
        <v>0</v>
      </c>
      <c r="CG224" s="31">
        <f>IF(ISNUMBER(SnapshotTable[[#This Row],[SP Premium]]), (SnapshotTable[[#This Row],[SP Qty]] * SnapshotTable[[#This Row],[SP Strike Price]]* 100) - SnapshotTable[[#This Row],[LP Protection]], 0)</f>
        <v>0</v>
      </c>
      <c r="CH224" s="7" t="str">
        <f>IF(ISNUMBER(SnapshotTable[[#This Row],[SP Break Even]]),-1 * (SnapshotTable[[#This Row],[SP Break Even]] - SnapshotTable[[#This Row],[Last Price]]) / SnapshotTable[[#This Row],[Last Price]], "")</f>
        <v/>
      </c>
      <c r="CI224" s="31">
        <f>IF(AND(ISNUMBER((SnapshotTable[[#This Row],[SP Potential Spend]])), SnapshotTable[[#This Row],[SP Strike Price]] &gt; SnapshotTable[[#This Row],[Last Price]], SnapshotTable[[#This Row],[SP Is Filled]]), SnapshotTable[[#This Row],[SP Potential Spend]] -  SnapshotTable[[#This Row],[LP Max Value]], 0)</f>
        <v>0</v>
      </c>
      <c r="CJ224" s="229"/>
      <c r="CK224" s="31">
        <f>IF(ISNUMBER(SnapshotTable[[#This Row],[SP Potential Spend]]),IF(ISNUMBER(SnapshotTable[[#This Row],[SP POW]]), SnapshotTable[[#This Row],[SP POW]] * SnapshotTable[[#This Row],[SP Potential Spend]], SnapshotTable[[#This Row],[SP Potential Spend]]), "")</f>
        <v>0</v>
      </c>
      <c r="CL224" s="162">
        <f>IF(NOT(SnapshotTable[[#This Row],[SP Is Filled]]),(SnapshotTable[[#This Row],[SP Qty]] * SnapshotTable[[#This Row],[SP Strike Price]] * 100) - SnapshotTable[[#This Row],[LP Max Value]],"")</f>
        <v>0</v>
      </c>
      <c r="CM224" s="31" t="str">
        <f>IF(SnapshotTable[[#This Row],[SP Actual Spend]]&lt;&gt;0, ((SnapshotTable[[#This Row],[SP Strike Price]]-SnapshotTable[[#This Row],[Last Price]]) *(SnapshotTable[[#This Row],[SP Qty]]*100) - SnapshotTable[[#This Row],[SP Premium]]) * - 1, "")</f>
        <v/>
      </c>
      <c r="CN224" s="76"/>
      <c r="CO224" s="339"/>
      <c r="CP224" s="4" t="str">
        <f>IF(SnapshotTable[[#This Row],[SP Is Filled]], btc_max_buyback_amount(SnapshotTable[[#This Row],[SP Fill Date]],SnapshotTable[[#This Row],[SP Exp Date]], SnapshotTable[[#This Row],[SP Book Price]]),"")</f>
        <v/>
      </c>
      <c r="CQ224" s="76"/>
      <c r="CR22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4" s="153" t="str">
        <f>IF(SnapshotTable[[#This Row],[SP Is Filled]], btc_next_cutoff_date(SnapshotTable[[#This Row],[SP Fill Date]],SnapshotTable[[#This Row],[SP Exp Date]]),"")</f>
        <v/>
      </c>
      <c r="CT224" s="220" t="str" cm="1">
        <f t="array" ref="CT224">IF(SnapshotTable[[#This Row],[SP Is Filled]], btc_should_buy_back(SnapshotTable[[#This Row],[SP Fill Date]], SnapshotTable[[#This Row],[SP Exp Date]], SnapshotTable[[#This Row],[SP Book Price]], SnapshotTable[[#This Row],[SP Current Ask]], MockToday, SnapshotTable[[#This Row],[SP Buyback Override]]),"")</f>
        <v/>
      </c>
      <c r="CU224" s="141"/>
      <c r="CV224" s="220"/>
      <c r="CW224" s="348" t="str">
        <f>IF(ISNUMBER( SnapshotTable[[#This Row],[SP Term]]), SnapshotTable[[#This Row],[SP Exp Date]] - MockToday,"")</f>
        <v/>
      </c>
      <c r="CX224" s="31" t="str">
        <f>IF(SnapshotTable[[#This Row],[SP Is Filled]],SnapshotTable[[#This Row],[SP Buyback Price to Use]] * 100 * SnapshotTable[[#This Row],[SP Qty]], "")</f>
        <v/>
      </c>
      <c r="CY224" s="4" t="str">
        <f>IF(ISNUMBER(SnapshotTable[[#This Row],[SP Strike Price]]), SnapshotTable[[#This Row],[SP Strike Price]] * (1 - SP_MaxLoss_StrikePct), "")</f>
        <v/>
      </c>
      <c r="CZ224" s="31" t="str">
        <f>IF(ISNUMBER(SnapshotTable[[#This Row],[SP Strike  Stop Per Share]]),SnapshotTable[[#This Row],[SP Premium]] - ((SnapshotTable[[#This Row],[SP Strike Price]]-SnapshotTable[[#This Row],[SP Strike  Stop Per Share]]) *(SnapshotTable[[#This Row],[SP Qty]] * 100)),"")</f>
        <v/>
      </c>
      <c r="DA224" s="4" t="str">
        <f>IF(AND(ISNUMBER(SnapshotTable[[#This Row],[SP Premium]]),SnapshotTable[[#This Row],[SP Premium]]&gt;0), SnapshotTable[[#This Row],[SP Book Price]] * (1 + SP_MaxLoss_OptionPct), "")</f>
        <v/>
      </c>
      <c r="DB224" s="31" t="str">
        <f>IF(ISNUMBER(SnapshotTable[[#This Row],[SP Option  Stop Contract]]),(SnapshotTable[[#This Row],[SP Option  Stop Contract]] *(SnapshotTable[[#This Row],[SP Qty]] * 100) - SnapshotTable[[#This Row],[SP Premium]]),"")</f>
        <v/>
      </c>
      <c r="DC224" s="4"/>
      <c r="DD224" s="4"/>
      <c r="DE224" s="4" t="str">
        <f>IF(AND(SnapshotTable[[#This Row],[SP Qty]]&gt;0, SnapshotTable[[#This Row],[SP Stop To Use]]&gt;0),SnapshotTable[[#This Row],[SP Premium]] - ( SnapshotTable[[#This Row],[SP Qty]] * SnapshotTable[[#This Row],[SP Stop To Use]] * 100), "")</f>
        <v/>
      </c>
      <c r="DF224" s="31" t="str">
        <f>IF(AND(SnapshotTable[[#This Row],[SP Qty]]&gt;0,SnapshotTable[[#This Row],[SP Current Ask]]&gt;0), SnapshotTable[[#This Row],[SP Qty]] * SnapshotTable[[#This Row],[SP Current Ask]] * -100, "")</f>
        <v/>
      </c>
      <c r="DG224" s="31" t="str">
        <f>IF(ISNUMBER((SnapshotTable[[#This Row],[SP Total Value]])), SnapshotTable[[#This Row],[SP Premium]] + SnapshotTable[[#This Row],[SP Total Value]], "")</f>
        <v/>
      </c>
      <c r="DH224" s="272" t="str">
        <f>IF(ISNUMBER((SnapshotTable[[#This Row],[SP Total Value]])), SnapshotTable[[#This Row],[SP Gain Loss]] / SnapshotTable[[#This Row],[SP Premium]], "")</f>
        <v/>
      </c>
      <c r="DI224" s="369"/>
      <c r="DJ224" s="136"/>
      <c r="DK224" s="146"/>
      <c r="DL224" s="13"/>
      <c r="DM224" s="13"/>
      <c r="DO224" s="31">
        <f>IF(SnapshotTable[[#This Row],[LC Symbol Count]]=1, SnapshotTable[[#This Row],[LC Qty]] * SnapshotTable[[#This Row],[LC Book Price]] * 100, 0)</f>
        <v>0</v>
      </c>
      <c r="DP224" s="161" t="str">
        <f>IF(AND(SnapshotTable[[#This Row],[LC Exp Date]]&gt;0, SnapshotTable[[#This Row],[LC Strike Price]]&gt;0,SnapshotTable[[#This Row],[LC Qty]]&gt;0,SnapshotTable[[#This Row],[LC Book Date]]&gt;0,SnapshotTable[[#This Row],[LC Book Price]]&gt;0,SnapshotTable[[#This Row],[LC Fill Date]]=0),"Y","")</f>
        <v/>
      </c>
      <c r="DQ224" s="356" t="str">
        <f>IF(SnapshotTable[[#This Row],[LC Premium]] &gt; 0,SnapshotTable[[#This Row],[LC Exp Date]]-MAX(SnapshotTable[[#This Row],[LC Book Date]], SnapshotTable[[#This Row],[LC Fill Date]]),"")</f>
        <v/>
      </c>
      <c r="DR224" s="356" t="str">
        <f>IF(ISNUMBER(SnapshotTable[[#This Row],[LC Term]]), SnapshotTable[[#This Row],[LC Exp Date]] - MockToday, "")</f>
        <v/>
      </c>
      <c r="DS224" s="219" t="str">
        <f>IF(SnapshotTable[[#This Row],[LC Premium]]&gt;0,SnapshotTable[[#This Row],[LC Strike Price]] + SnapshotTable[[#This Row],[LC Book Price]],"")</f>
        <v/>
      </c>
      <c r="DU224" s="9" t="str">
        <f>IF(AND(SnapshotTable[[#This Row],[LC Symbol Count]]&gt;0, SnapshotTable[[#This Row],[LC Contract Value]]&gt;0), SnapshotTable[[#This Row],[LC Contract Value]] * SnapshotTable[[#This Row],[LC Qty]] * 100, "")</f>
        <v/>
      </c>
      <c r="DV224" s="9" t="str">
        <f>IF(AND(ISNUMBER(SnapshotTable[[#This Row],[LC Total Value]]), SnapshotTable[[#This Row],[LC Not Filled]]&lt;&gt;"Y"), SnapshotTable[[#This Row],[LC Total Value]]-SnapshotTable[[#This Row],[LC Premium]],"")</f>
        <v/>
      </c>
      <c r="DW224" s="225" t="str">
        <f>IF(ISNUMBER(SnapshotTable[[#This Row],[LC Actual Gain Loss]]), SnapshotTable[[#This Row],[LC Actual Gain Loss]] / SnapshotTable[[#This Row],[LC Premium]],"")</f>
        <v/>
      </c>
      <c r="DX224" s="269" t="str">
        <f>IF(ISNUMBER(SnapshotTable[[#This Row],[LC Book Price]]),SnapshotTable[[#This Row],[LC Book Price]] * 1.5,"")</f>
        <v/>
      </c>
      <c r="DY224" s="250" t="str">
        <f>IF(SnapshotTable[[#This Row],[LC Premium]]&gt;0, SnapshotTable[[#This Row],[LC Next Target]] * SnapshotTable[[#This Row],[LC Qty]] * 100,"")</f>
        <v/>
      </c>
      <c r="DZ224" s="250" t="str">
        <f>IF(ISNUMBER(SnapshotTable[[#This Row],[LC Target Gross]]), SnapshotTable[[#This Row],[LC Target Gross]] - SnapshotTable[[#This Row],[LC Premium]], "")</f>
        <v/>
      </c>
      <c r="EA224" s="283" t="str">
        <f>IF(ISNUMBER(SnapshotTable[[#This Row],[LC Target Gain Loss]]), SnapshotTable[[#This Row],[LC Target Gain Loss]]/SnapshotTable[[#This Row],[LC Premium]], "")</f>
        <v/>
      </c>
      <c r="EB224" s="247"/>
      <c r="EC224" s="268" t="str">
        <f>IF(SnapshotTable[[#This Row],[LC Premium]]&gt;0, SnapshotTable[[#This Row],[LC Book Price]] * (1 - LC_StopLoss_Pct),"")</f>
        <v/>
      </c>
      <c r="ED224" s="269"/>
      <c r="EE224" s="268" t="str">
        <f>IF(ISNUMBER(SnapshotTable[[#This Row],[LC Contract Value]]),IF(ISNUMBER(SnapshotTable[[#This Row],[LC Stop Loss Override]]), SnapshotTable[[#This Row],[LC Stop Loss Override]],SnapshotTable[[#This Row],[LC Stop Loss Calc Target]]),"")</f>
        <v/>
      </c>
      <c r="EF224" s="31" t="str">
        <f>IF(ISNUMBER(SnapshotTable[[#This Row],[LC Stop  To Use]]), (SnapshotTable[[#This Row],[LC Stop  To Use]] * SnapshotTable[[#This Row],[LC Qty]] * 100),"")</f>
        <v/>
      </c>
      <c r="EG224" s="9" t="str">
        <f>IF(ISNUMBER(SnapshotTable[[#This Row],[LC Total Value]]),SnapshotTable[[#This Row],[LC Stop Loss Amount]] - SnapshotTable[[#This Row],[LC Premium]],"")</f>
        <v/>
      </c>
      <c r="EH224" s="9">
        <f>IF(ISNUMBER(SnapshotTable[[#This Row],[LC Premium]]), SnapshotTable[[#This Row],[LC Qty]] * 100 * SnapshotTable[[#This Row],[LC Strike Price]], "")</f>
        <v>0</v>
      </c>
      <c r="EI224" s="225" t="str">
        <f>IF(AND(ISNUMBER(SnapshotTable[[#This Row],[LC Total Value]]),SnapshotTable[[#This Row],[LC Total Value]]&gt;0),SnapshotTable[[#This Row],[LC Stop Gain Loss]]  / SnapshotTable[[#This Row],[LC Premium]],"")</f>
        <v/>
      </c>
      <c r="EJ224" s="35">
        <f>IF(ISNUMBER(SnapshotTable[[#This Row],[Equity Shares]]),TRUNC(SnapshotTable[[#This Row],[Equity Shares]] / 100),0) + SnapshotTable[[#This Row],[LC Qty]]</f>
        <v>0</v>
      </c>
      <c r="EK224" s="145"/>
      <c r="EL224" s="136"/>
      <c r="EM224" s="146"/>
      <c r="EN224" s="145"/>
      <c r="EO224" s="145"/>
      <c r="EP224" s="136"/>
      <c r="EQ224" s="382" t="b">
        <f>AND(ISNUMBER(SnapshotTable[[#This Row],[SC Exp Date]]), ISNUMBER(SnapshotTable[[#This Row],[SC Strike Price]]), ISNUMBER(SnapshotTable[[#This Row],[SC Qty]]), ISNUMBER(SnapshotTable[[#This Row],[SC Book Date]]), ISNUMBER(SnapshotTable[[#This Row],[SC Book Price]]))</f>
        <v>0</v>
      </c>
      <c r="ER224" s="382" t="b">
        <f>AND(SnapshotTable[[#This Row],[SC Is Booked]], NOT(ISBLANK(SnapshotTable[[#This Row],[SC Fill Date]])))</f>
        <v>0</v>
      </c>
      <c r="ES224" s="340"/>
      <c r="ET224" s="34" t="str">
        <f>IF(AND(ISNUMBER(SnapshotTable[[#This Row],[SC Exp Date]]), ISNUMBER(SnapshotTable[[#This Row],[SC Book Date]])), SnapshotTable[[#This Row],[SC Exp Date]] - MAX(SnapshotTable[[#This Row],[SC Book Date]], SnapshotTable[[#This Row],[SC Fill Date]]) + 1, "")</f>
        <v/>
      </c>
      <c r="EU224" s="34" t="str">
        <f>IF(ISNUMBER(SnapshotTable[[#This Row],[SC Term]]), SnapshotTable[[#This Row],[SC Exp Date]]- MockToday, "")</f>
        <v/>
      </c>
      <c r="EV224" s="31">
        <f>IF(SnapshotTable[[#This Row],[SC Is Booked]], SnapshotTable[[#This Row],[SC Qty]] * SnapshotTable[[#This Row],[SC Book Price]] * 100, 0)</f>
        <v>0</v>
      </c>
      <c r="EW224" s="4" t="str">
        <f>IF(AND(ISNUMBER(SnapshotTable[[#This Row],[Last Price]]), ISNUMBER( SnapshotTable[[#This Row],[SC Book Price]])), SnapshotTable[[#This Row],[Last Price]] - SnapshotTable[[#This Row],[SC Book Price]],"")</f>
        <v/>
      </c>
      <c r="EX224" s="219" t="str">
        <f>IF(SnapshotTable[[#This Row],[SC Is Booked]],IF(SnapshotTable[[#This Row],[SC Intrinsic Value]] &gt; 0, SnapshotTable[[#This Row],[SC Strike Price]], SnapshotTable[[#This Row],[Last Price]]), "")</f>
        <v/>
      </c>
      <c r="EY224" s="4">
        <f>IF(SnapshotTable[[#This Row],[SC Is Booked]], (MinimumPremiumRequired * SnapshotTable[[#This Row],[SC Basis]] * SnapshotTable[[#This Row],[SC Term]]), 0)</f>
        <v>0</v>
      </c>
      <c r="EZ224" s="268"/>
      <c r="FA224" s="204"/>
      <c r="FB224" s="340"/>
      <c r="FC224" s="4">
        <f>IF(SnapshotTable[[#This Row],[SC Is Filled]], btc_max_buyback_amount(SnapshotTable[[#This Row],[SC Fill Date]],SnapshotTable[[#This Row],[SC Exp Date]], SnapshotTable[[#This Row],[SC Book Price]]),0)</f>
        <v>0</v>
      </c>
      <c r="FD224" s="5"/>
      <c r="FE224" s="142" t="str">
        <f>IF(SnapshotTable[[#This Row],[SC Is Filled]], btc_next_cutoff_date(SnapshotTable[[#This Row],[SC Fill Date]],SnapshotTable[[#This Row],[SC Exp Date]]),"")</f>
        <v/>
      </c>
      <c r="FF224" s="4" t="str" cm="1">
        <f t="array" ref="FF224">IF(SnapshotTable[[#This Row],[SC Is Filled]], btc_should_buy_back(SnapshotTable[[#This Row],[SC Fill Date]], SnapshotTable[[#This Row],[SC Exp Date]], SnapshotTable[[#This Row],[SC Book Price]], SnapshotTable[[#This Row],[SC Current Ask]], MockToday, SnapshotTable[[#This Row],[SC Buyback Override]]),"")</f>
        <v/>
      </c>
      <c r="FG224" s="4">
        <f>IF(SnapshotTable[[#This Row],[SC Is Filled]], MAX(0,SnapshotTable[[#This Row],[Last Price]]  - SnapshotTable[[#This Row],[SC Strike Price]]), 0)</f>
        <v>0</v>
      </c>
      <c r="FH224" s="352">
        <f>IF(SnapshotTable[[#This Row],[SC Is Filled]], IF(ISNUMBER(SnapshotTable[[#This Row],[SC Current Ask]]), SnapshotTable[[#This Row],[SC Current Ask]], SnapshotTable[[#This Row],[SC Book Price]]) - SnapshotTable[[#This Row],[SC Intrinsic Value]], 0)</f>
        <v>0</v>
      </c>
      <c r="FI224" s="141"/>
      <c r="FJ224" s="32" t="str">
        <f>IF(SnapshotTable[[#This Row],[SC Is Filled]],100 * SnapshotTable[[#This Row],[SC Qty]] * IF(ISNUMBER(SnapshotTable[[#This Row],[SC Buyback Override]]), SnapshotTable[[#This Row],[SC Buyback Override]], SnapshotTable[[#This Row],[SC Current Ask]]), "")</f>
        <v/>
      </c>
      <c r="FK224" s="235" t="str">
        <f>IF(SnapshotTable[[#This Row],[SC Time Val]]&gt;0, SnapshotTable[[#This Row],[SC Time Val]] / SnapshotTable[[#This Row],[Last Price]],"")</f>
        <v/>
      </c>
      <c r="FL224" s="280" t="str">
        <f>IF(SnapshotTable[[#This Row],[SC Is Booked]], ((SnapshotTable[[#This Row],[Last Price]] -SnapshotTable[[#This Row],[SC Strike Price]]) / SnapshotTable[[#This Row],[Last Price]]) * -1, "")</f>
        <v/>
      </c>
      <c r="FM224" s="155" t="str">
        <f>IF(SnapshotTable[[#This Row],[SC Is Booked]],  (SnapshotTable[[#This Row],[SC Qty]] * 100 * SnapshotTable[[#This Row],[SC Strike Price]]) - SnapshotTable[[#This Row],[SC Current Ask]], "")</f>
        <v/>
      </c>
      <c r="FN22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4" s="31" t="str">
        <f>IF(AND(ISNUMBER(SnapshotTable[[#This Row],[SC Exercise Gross]]), ISNUMBER(SnapshotTable[[#This Row],[Equity Basis Per Share]] )), SnapshotTable[[#This Row],[SC Exercise Gross]] - SnapshotTable[[#This Row],[Equity Basis Total]] +  SnapshotTable[[#This Row],[SC Premium]], "")</f>
        <v/>
      </c>
      <c r="FP224" s="5" t="str">
        <f>IF(ISNUMBER(SnapshotTable[[#This Row],[SC Exercise Gross]]), (SnapshotTable[[#This Row],[SC Exercise Gross]]) / (SnapshotTable[[#This Row],[SC Qty]] * 100), "")</f>
        <v/>
      </c>
      <c r="FQ224" s="27" t="str">
        <f>IF(SnapshotTable[[#This Row],[SC Is Booked]],SnapshotTable[[#This Row],[SC Time Val]] /SnapshotTable[[#This Row],[SC Basis]], "")</f>
        <v/>
      </c>
      <c r="FR224" s="27" t="str" cm="1">
        <f t="array" ref="FR224">IF(AND(ISNUMBER(SnapshotTable[[#This Row],[SC Term]]),ISNUMBER(SnapshotTable[[#This Row],[SC Simple ROO]])), EllmanAnnualize(SnapshotTable[[#This Row],[SC DTE]], SnapshotTable[[#This Row],[SC Simple ROO]] ),"")</f>
        <v/>
      </c>
      <c r="FS224" s="4">
        <f>IF(SnapshotTable[[#This Row],[SC Strike Price]] &gt; SnapshotTable[[#This Row],[Last Price]], SnapshotTable[[#This Row],[SC Strike Price]] - SnapshotTable[[#This Row],[Last Price]],0)</f>
        <v>0</v>
      </c>
      <c r="FT224" s="27" t="str">
        <f>IF(AND(ISNUMBER(SnapshotTable[[#This Row],[SC Upside Potential]]), SnapshotTable[[#This Row],[SC Upside Potential]] &gt; 0),(SnapshotTable[[#This Row],[SC Upside Potential]]/ SnapshotTable[[#This Row],[ACB]]),"")</f>
        <v/>
      </c>
      <c r="FU224" s="304" t="str">
        <f>IF(SnapshotTable[[#This Row],[SC Intrinsic Value]] &gt; 0,SnapshotTable[[#This Row],[SC Intrinsic Value]],"")</f>
        <v/>
      </c>
      <c r="FV224" s="27" t="str">
        <f>IF(AND( ISNUMBER( SnapshotTable[[#This Row],[ACB]]),ISNUMBER(SnapshotTable[[#This Row],[SC Downside Protect]])),SnapshotTable[[#This Row],[SC Downside Protect]] / SnapshotTable[[#This Row],[ACB]],"")</f>
        <v/>
      </c>
      <c r="FW224" s="221" t="str">
        <f>IF(AND(ISNUMBER(SnapshotTable[[#This Row],[SC Simple ROO]]),SnapshotTable[[#This Row],[SC Simple ROO]] &gt; 0), SnapshotTable[[#This Row],[SC Premium]] + (SnapshotTable[[#This Row],[SC Qty]] * SnapshotTable[[#This Row],[SC Upside Potential]]), "")</f>
        <v/>
      </c>
      <c r="FX224" s="280" t="str" cm="1">
        <f t="array" ref="FX224">IF(ISNUMBER(SnapshotTable[[#This Row],[SC Max Dollars]]), annualize(SnapshotTable[[#This Row],[SC Term]],(SnapshotTable[[#This Row],[SC Max Dollars]]/SnapshotTable[[#This Row],[SC Basis]])),"")</f>
        <v/>
      </c>
      <c r="FY224" s="221" t="str">
        <f>IF(AND(SnapshotTable[[#This Row],[SC Qty]]&gt;0,SnapshotTable[[#This Row],[SC Current Ask]]&gt;0), SnapshotTable[[#This Row],[SC Qty]] * SnapshotTable[[#This Row],[SC Current Ask]] * -100, "")</f>
        <v/>
      </c>
      <c r="FZ224" s="31" t="str">
        <f>IF(ISNUMBER((SnapshotTable[[#This Row],[SC Current Value]])), SnapshotTable[[#This Row],[SC Premium]] + SnapshotTable[[#This Row],[SC Current Value]], "")</f>
        <v/>
      </c>
      <c r="GA224" s="272" t="str">
        <f>IFERROR( IF(ISNUMBER((SnapshotTable[[#This Row],[SC Current Value]])), SnapshotTable[[#This Row],[SC Gain Loss]] / SnapshotTable[[#This Row],[SC Premium]], ""), "")</f>
        <v/>
      </c>
      <c r="GB224" s="42">
        <f>SnapshotTable[[#This Row],[Equity Shares]] * SaleSharesToConsiderPercentage</f>
        <v>0</v>
      </c>
      <c r="GC224" s="40">
        <f>SnapshotTable[[#This Row],[Long Term Target]] * SellingPriceToConsiderBasedOnTargetPercentage</f>
        <v>32.546999999999997</v>
      </c>
      <c r="GD224" s="40">
        <f>SnapshotTable[[#This Row],[Last Price]] * (1+ SellingPriceToConsiderBasedOnTargetPercentage)</f>
        <v>83.88900000000001</v>
      </c>
      <c r="GE224" s="41"/>
      <c r="GF224" s="40"/>
      <c r="GG224" s="31">
        <f>SnapshotTable[[#This Row],[Booked Sale Shares]] * SnapshotTable[[#This Row],[Booked Sale Price]]</f>
        <v>0</v>
      </c>
      <c r="GH224" s="31" t="str">
        <f>IF(SnapshotTable[[#This Row],[Equity Basis Total]] &gt; 0, SnapshotTable[[#This Row],[Equity Basis Per Share]] * SnapshotTable[[#This Row],[Booked Sale Shares]], "")</f>
        <v/>
      </c>
      <c r="GI224" s="31">
        <f>IF(SnapshotTable[[#This Row],[Sale Proceeds]]&gt;0, SnapshotTable[[#This Row],[Sale Proceeds]] - SnapshotTable[[#This Row],[Sale Basis]], 0)</f>
        <v>0</v>
      </c>
      <c r="GJ224" s="27" t="str">
        <f>IF(SnapshotTable[[#This Row],[Sale G/L]]&gt;0, SnapshotTable[[#This Row],[Sale G/L]] / SnapshotTable[[#This Row],[Sale Basis]], IF(ISNUMBER(SnapshotTable[[#This Row],[SC Exercise P&amp;L (TAX)]]), SnapshotTable[[#This Row],[SC Exercise P&amp;L (TAX)]] / SnapshotTable[[#This Row],[SC Basis]], ""))</f>
        <v/>
      </c>
      <c r="GK224" s="27" t="s">
        <v>613</v>
      </c>
      <c r="GL224" s="43" t="str">
        <f>IF(AND(SnapshotTable[[#This Row],[LP Exp Date]]&gt;0,SnapshotTable[[#This Row],[LP Strike Price]]&gt;0), [1]!ToOptionSymbol(SnapshotTable[[#This Row],[Symbol]], SnapshotTable[[#This Row],[LP Strike Price]],SnapshotTable[[#This Row],[LP Exp Date]],1), "")</f>
        <v/>
      </c>
      <c r="GM224" s="30" t="str">
        <f>IF(LEN(SnapshotTable[[#This Row],[LP Symbol]])&gt;0, 1, "")</f>
        <v/>
      </c>
      <c r="GN224" s="43" t="str">
        <f>IF(AND(SnapshotTable[[#This Row],[SP Exp Date]]&gt;0,SnapshotTable[[#This Row],[SP Strike Price]]&gt;0), [1]!ToOptionSymbol(SnapshotTable[[#This Row],[Symbol]], SnapshotTable[[#This Row],[SP Strike Price]],SnapshotTable[[#This Row],[SP Exp Date]],1), "")</f>
        <v/>
      </c>
      <c r="GO224" s="30" t="str">
        <f>IF(LEN(SnapshotTable[[#This Row],[SP Symbol]])&gt;0, 1, "")</f>
        <v/>
      </c>
      <c r="GP224" s="43" t="str">
        <f>IF(AND(SnapshotTable[[#This Row],[LC Exp Date]]&gt;0,SnapshotTable[[#This Row],[LC Strike Price]]&gt;0), [1]!ToOptionSymbol(SnapshotTable[[#This Row],[Symbol]], SnapshotTable[[#This Row],[LC Strike Price]],SnapshotTable[[#This Row],[LC Exp Date]],0), "")</f>
        <v/>
      </c>
      <c r="GQ224" s="30" t="str">
        <f>IF(LEN(SnapshotTable[[#This Row],[LC Symbol]])&gt;0, 1, "")</f>
        <v/>
      </c>
      <c r="GR224" s="43" t="str">
        <f>IF(AND(SnapshotTable[[#This Row],[SC Exp Date]]&gt;0,SnapshotTable[[#This Row],[SC Strike Price]]&gt;0), [1]!ToOptionSymbol(SnapshotTable[[#This Row],[Symbol]], SnapshotTable[[#This Row],[SC Strike Price]],SnapshotTable[[#This Row],[SC Exp Date]],0), "")</f>
        <v/>
      </c>
      <c r="GS224" s="30" t="str">
        <f>IF(LEN(SnapshotTable[[#This Row],[SC Symbol]])&gt;0, 1, "")</f>
        <v/>
      </c>
      <c r="GT224" s="29" t="str">
        <f>IF(COUNT(SnapshotTable[[#This Row],[LP Symbol Count]],SnapshotTable[[#This Row],[SP Symbol Count]],SnapshotTable[[#This Row],[LC Symbol Count]],SnapshotTable[[#This Row],[SC Symbol Count]])&gt;0, "Y", "")</f>
        <v/>
      </c>
      <c r="GU22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4" s="216">
        <f>MAX(SnapshotTable[[#This Row],[Equity Basis Total]],SnapshotTable[[#This Row],[Equity Value]]) + (SnapshotTable[[#This Row],[SP Potential Spend]]- SnapshotTable[[#This Row],[SP Premium]] + SnapshotTable[[#This Row],[LP Premium]])+ (SnapshotTable[[#This Row],[LC Premium]] - SnapshotTable[[#This Row],[SC Premium]])</f>
        <v>0</v>
      </c>
      <c r="GW224" s="137" t="str">
        <f>IF(AND(SnapshotTable[[#This Row],[Exposure]] &lt;&gt; 0),SnapshotTable[[#This Row],[Exposure]] / SnapshotTable[[#Totals],[Exposure]], "")</f>
        <v/>
      </c>
      <c r="HK224" s="1"/>
      <c r="HL224" s="1"/>
      <c r="HM224" s="1"/>
      <c r="HN224" s="1"/>
      <c r="HO224" s="1"/>
      <c r="HP224" s="1"/>
    </row>
    <row r="225" spans="2:224" ht="12.75" hidden="1" customHeight="1" x14ac:dyDescent="0.25">
      <c r="B225" s="12" t="s">
        <v>740</v>
      </c>
      <c r="C225" s="385">
        <v>106.92</v>
      </c>
      <c r="D225" s="200"/>
      <c r="E225" s="39">
        <f>SnapshotTable[[#This Row],[Last Price]]*(1 -CrashDiscount)</f>
        <v>90.882000000000005</v>
      </c>
      <c r="F225" s="26" t="s">
        <v>5</v>
      </c>
      <c r="G225" s="26" t="s">
        <v>4</v>
      </c>
      <c r="H225" s="147"/>
      <c r="I225" s="186">
        <v>44770.694444444445</v>
      </c>
      <c r="J225" s="187">
        <v>44770.694444444445</v>
      </c>
      <c r="K225" s="188"/>
      <c r="L225" s="297"/>
      <c r="M225" s="138"/>
      <c r="N225" s="138"/>
      <c r="O225" s="138"/>
      <c r="P225" s="22"/>
      <c r="Q225" s="25"/>
      <c r="R225" s="4" t="str">
        <f>IF(SnapshotTable[[#This Row],[Equity Basis Total]] &gt; 0, SnapshotTable[[#This Row],[Equity Basis Total]] / SnapshotTable[[#This Row],[Equity Shares]], "")</f>
        <v/>
      </c>
      <c r="S225" s="254">
        <f>SnapshotTable[[#This Row],[Last Price]] * SnapshotTable[[#This Row],[Equity Shares]]</f>
        <v>0</v>
      </c>
      <c r="T225" s="254">
        <f>SnapshotTable[[#This Row],[Equity Value]] - SnapshotTable[[#This Row],[Equity Basis Total]]</f>
        <v>0</v>
      </c>
      <c r="U225" s="255" t="str">
        <f>IF(SnapshotTable[[#This Row],[Equity Basis Total]] &gt; 0, SnapshotTable[[#This Row],[Equity G/L]] / SnapshotTable[[#This Row],[Equity Basis Total]], "")</f>
        <v/>
      </c>
      <c r="V225" s="253">
        <v>65</v>
      </c>
      <c r="W225" s="253">
        <v>56.2</v>
      </c>
      <c r="X225" s="4" t="str">
        <f>IF(AND(ISNUMBER(SnapshotTable[[#This Row],[Equity Basis Per Share]]),ISNUMBER(SnapshotTable[[#This Row],[Equity Target]])),SnapshotTable[[#This Row],[Equity Target]]-SnapshotTable[[#This Row],[Equity Basis Per Share]],"")</f>
        <v/>
      </c>
      <c r="Y225" s="4" t="str">
        <f>IF(AND(ISNUMBER(SnapshotTable[[#This Row],[Equity Basis Per Share]]),ISNUMBER(SnapshotTable[[#This Row],[Equity Stop Loss]])),SnapshotTable[[#This Row],[Equity Stop Loss]]-SnapshotTable[[#This Row],[Equity Basis Per Share]],"")</f>
        <v/>
      </c>
      <c r="Z225" s="260" t="str">
        <f>IFERROR( TEXT(SnapshotTable[[#This Row],[Equity Max Gain Per Share]] /ABS( SnapshotTable[[#This Row],[Equity Max Loss Per Share]]),"0.0 " ) &amp; " : 1", "")</f>
        <v/>
      </c>
      <c r="AA225" s="31" t="str">
        <f>IF(ISNUMBER(SnapshotTable[[#This Row],[Equity Max Gain Per Share]]),SnapshotTable[[#This Row],[Equity Max Gain Per Share]] * SnapshotTable[[#This Row],[Equity Shares]],"")</f>
        <v/>
      </c>
      <c r="AB225" s="31" t="str">
        <f>IF(ISNUMBER(SnapshotTable[[#This Row],[Equity Max Loss Per Share]]),SnapshotTable[[#This Row],[Equity Max Loss Per Share]] * SnapshotTable[[#This Row],[Equity Shares]],"")</f>
        <v/>
      </c>
      <c r="AC225" s="148"/>
      <c r="AD225" s="149"/>
      <c r="AE225" s="31">
        <f>(SnapshotTable[[#This Row],[Annual Dividend Per Share]] / 4) * SnapshotTable[[#This Row],[Equity Shares]]</f>
        <v>0</v>
      </c>
      <c r="AF225" s="31">
        <f>SnapshotTable[[#This Row],[Quarterly Div $]] * 4</f>
        <v>0</v>
      </c>
      <c r="AG225" s="7">
        <f>IF(SnapshotTable[[#This Row],[Annual Dividend Per Share]]&gt;0, SnapshotTable[[#This Row],[Annual Dividend Per Share]]  / SnapshotTable[[#This Row],[Last Price]], 0)</f>
        <v>0</v>
      </c>
      <c r="AH225" s="149"/>
      <c r="AI225" s="5"/>
      <c r="AJ225" s="136" t="s">
        <v>111</v>
      </c>
      <c r="AK225" s="150" t="str">
        <f>IF(ISNUMBER( SnapshotTable[[#This Row],[EBF Target]]),(SnapshotTable[[#This Row],[EBF Target]] - SnapshotTable[[#This Row],[Last Price]]) / SnapshotTable[[#This Row],[Last Price]], "")</f>
        <v/>
      </c>
      <c r="AL225" s="150" t="str">
        <f>IF(AND(SnapshotTable[[#This Row],[Equity Basis Total]] &gt; 0,ISNUMBER( SnapshotTable[[#This Row],[Long Term Target]])), SnapshotTable[[#This Row],[From Basis $]] / SnapshotTable[[#This Row],[Equity Basis Total]], "")</f>
        <v/>
      </c>
      <c r="AM225" s="9">
        <f>IF( AND(SnapshotTable[[#This Row],[Equity Shares]] &gt;0,ISNUMBER( SnapshotTable[[#This Row],[Long Term Target]])),(SnapshotTable[[#This Row],[Equity Shares]] * SnapshotTable[[#This Row],[Long Term Target]]) - SnapshotTable[[#This Row],[Equity Basis Total]],0)</f>
        <v>0</v>
      </c>
      <c r="AN225" s="9">
        <f>IF( AND(SnapshotTable[[#This Row],[Equity Shares]] &gt;0,ISNUMBER( SnapshotTable[[#This Row],[Long Term Target]])),(SnapshotTable[[#This Row],[Equity Shares]]*SnapshotTable[[#This Row],[Long Term Target]]) - SnapshotTable[[#This Row],[Equity Value]],0)</f>
        <v>0</v>
      </c>
      <c r="AO225" s="150" t="str">
        <f>IF(AND(ISNUMBER( SnapshotTable[[#This Row],[Long Term Target]]), ISNUMBER(SnapshotTable[[#This Row],[Last Price]])),(SnapshotTable[[#This Row],[Long Term Target]] - SnapshotTable[[#This Row],[Last Price]]) / SnapshotTable[[#This Row],[Last Price]], "")</f>
        <v/>
      </c>
      <c r="AP225" s="5"/>
      <c r="AQ225" s="38"/>
      <c r="AR225" s="5"/>
      <c r="AS225" s="38"/>
      <c r="AT225" s="144"/>
      <c r="AU225" s="185" t="str">
        <f>IF(OR(SnapshotTable[[#This Row],[LP No Fill]]="Y",SnapshotTable[[#This Row],[SP Is Filled]],SnapshotTable[[#This Row],[LC Not Filled]]="Y",SnapshotTable[[#This Row],[SC Is Filled]]),"Y","")</f>
        <v/>
      </c>
      <c r="AV225" s="205"/>
      <c r="AW225" s="211"/>
      <c r="AX225" s="206"/>
      <c r="AY225" s="205" t="str">
        <f>IF(SnapshotTable[[#This Row],[Implied Move]]&gt;0, SnapshotTable[[#This Row],[Last Price]]-SnapshotTable[[#This Row],[Implied Move]],"")</f>
        <v/>
      </c>
      <c r="AZ225" s="205" t="str">
        <f>IF(SnapshotTable[[#This Row],[Implied Move]]&gt;0, SnapshotTable[[#This Row],[Last Price]] + SnapshotTable[[#This Row],[Implied Move]],"")</f>
        <v/>
      </c>
      <c r="BA225" s="302"/>
      <c r="BB225" s="318"/>
      <c r="BC22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5" s="321"/>
      <c r="BE225" s="5"/>
      <c r="BF225" s="14"/>
      <c r="BG225" s="13"/>
      <c r="BH225" s="13"/>
      <c r="BI225" s="5"/>
      <c r="BJ225" s="134">
        <f>IF(SnapshotTable[[#This Row],[LP Qty]] &gt; 0, SnapshotTable[[#This Row],[LP Qty]] * SnapshotTable[[#This Row],[LP Book Price]] * 100,0)</f>
        <v>0</v>
      </c>
      <c r="BK225" s="134">
        <f>IF(SnapshotTable[[#This Row],[LP Premium]] &gt; 0, SnapshotTable[[#This Row],[LP Qty]] * SnapshotTable[[#This Row],[LP Strike Price]] * 100,0)</f>
        <v>0</v>
      </c>
      <c r="BL225" s="152"/>
      <c r="BM225" s="355" t="str">
        <f>IF(SnapshotTable[[#This Row],[LP Premium]] &gt; 0,SnapshotTable[[#This Row],[LP Exp Date]]-MAX(SnapshotTable[[#This Row],[LP Book Date]], SnapshotTable[[#This Row],[LP Fill Date]]),"")</f>
        <v/>
      </c>
      <c r="BN225" s="355" t="str">
        <f>IF(ISNUMBER( SnapshotTable[[#This Row],[LP Term]]), SnapshotTable[[#This Row],[LP Exp Date]] - MockToday,"")</f>
        <v/>
      </c>
      <c r="BO225" s="161" t="str">
        <f>IF(AND(SnapshotTable[[#This Row],[LP Exp Date]]&gt;0, SnapshotTable[[#This Row],[LP Strike Price]]&gt;0,SnapshotTable[[#This Row],[LP Qty]]&gt;0,SnapshotTable[[#This Row],[LP Book Date]]&gt;0,SnapshotTable[[#This Row],[LP Book Price]]&gt;0,SnapshotTable[[#This Row],[LP Fill Date]]=0),"Y","")</f>
        <v/>
      </c>
      <c r="BP225" s="31" t="str">
        <f>IF(AND(SnapshotTable[[#This Row],[LP No Fill]]&lt;&gt;"Y",SnapshotTable[[#This Row],[LP Contract Value]]&gt;0, SnapshotTable[[#This Row],[LP Qty]]&gt;0), SnapshotTable[[#This Row],[LP Contract Value]]*SnapshotTable[[#This Row],[LP Qty]]*100,"")</f>
        <v/>
      </c>
      <c r="BQ225" s="13"/>
      <c r="BR225" s="5"/>
      <c r="BS225" s="36"/>
      <c r="BT225" s="145"/>
      <c r="BU225" s="13"/>
      <c r="BV225" s="5"/>
      <c r="BW225" s="382" t="b">
        <f>AND(ISNUMBER(SnapshotTable[[#This Row],[SP Exp Date]]), ISNUMBER(SnapshotTable[[#This Row],[SP Strike Price]]), ISNUMBER(SnapshotTable[[#This Row],[SP Qty]]), ISNUMBER(SnapshotTable[[#This Row],[SP Book Date]]), ISNUMBER(SnapshotTable[[#This Row],[SP Book Price]]))</f>
        <v>0</v>
      </c>
      <c r="BX225" s="382" t="b">
        <f>AND(SnapshotTable[[#This Row],[SP Is Booked]], NOT(ISBLANK(SnapshotTable[[#This Row],[SP Fill Date]])))</f>
        <v>0</v>
      </c>
      <c r="BY225" s="33">
        <f>IF(SnapshotTable[[#This Row],[SP Is Booked]], SnapshotTable[[#This Row],[SP Qty]] * SnapshotTable[[#This Row],[SP Book Price]] * 100, 0)</f>
        <v>0</v>
      </c>
      <c r="BZ225" s="339"/>
      <c r="CA225" s="338">
        <f>SnapshotTable[[#This Row],[LP Qty]]</f>
        <v>0</v>
      </c>
      <c r="CB225" s="4" t="str">
        <f>IF(SnapshotTable[[#This Row],[SP Is Booked]], SnapshotTable[[#This Row],[SP Strike Price]] - SnapshotTable[[#This Row],[SP Book Price]], "")</f>
        <v/>
      </c>
      <c r="CC225" s="19" t="str">
        <f>IF(SnapshotTable[[#This Row],[SP Is Booked]],SnapshotTable[[#This Row],[SP Exp Date]]-MAX(SnapshotTable[[#This Row],[SP Book Date]], SnapshotTable[[#This Row],[SP Fill Date]]),"")</f>
        <v/>
      </c>
      <c r="CD225" s="7" t="str">
        <f>IF(SnapshotTable[[#This Row],[SP Is Booked]], SnapshotTable[[#This Row],[SP Book Price]]/SnapshotTable[[#This Row],[SP Strike Price]], "")</f>
        <v/>
      </c>
      <c r="CE225" s="7" t="str">
        <f>IF(ISNUMBER(SnapshotTable[[#This Row],[SP ROO Term]]),SnapshotTable[[#This Row],[SP ROO Term]]*(365/SnapshotTable[[#This Row],[SP Term]]),"")</f>
        <v/>
      </c>
      <c r="CF225" s="221">
        <f>SnapshotTable[[#This Row],[LP Strike Price]] * SnapshotTable[[#This Row],[LP Qty]] * 100</f>
        <v>0</v>
      </c>
      <c r="CG225" s="31">
        <f>IF(ISNUMBER(SnapshotTable[[#This Row],[SP Premium]]), (SnapshotTable[[#This Row],[SP Qty]] * SnapshotTable[[#This Row],[SP Strike Price]]* 100) - SnapshotTable[[#This Row],[LP Protection]], 0)</f>
        <v>0</v>
      </c>
      <c r="CH225" s="7" t="str">
        <f>IF(ISNUMBER(SnapshotTable[[#This Row],[SP Break Even]]),-1 * (SnapshotTable[[#This Row],[SP Break Even]] - SnapshotTable[[#This Row],[Last Price]]) / SnapshotTable[[#This Row],[Last Price]], "")</f>
        <v/>
      </c>
      <c r="CI225" s="31">
        <f>IF(AND(ISNUMBER((SnapshotTable[[#This Row],[SP Potential Spend]])), SnapshotTable[[#This Row],[SP Strike Price]] &gt; SnapshotTable[[#This Row],[Last Price]], SnapshotTable[[#This Row],[SP Is Filled]]), SnapshotTable[[#This Row],[SP Potential Spend]] -  SnapshotTable[[#This Row],[LP Max Value]], 0)</f>
        <v>0</v>
      </c>
      <c r="CJ225" s="229"/>
      <c r="CK225" s="31">
        <f>IF(ISNUMBER(SnapshotTable[[#This Row],[SP Potential Spend]]),IF(ISNUMBER(SnapshotTable[[#This Row],[SP POW]]), SnapshotTable[[#This Row],[SP POW]] * SnapshotTable[[#This Row],[SP Potential Spend]], SnapshotTable[[#This Row],[SP Potential Spend]]), "")</f>
        <v>0</v>
      </c>
      <c r="CL225" s="162">
        <f>IF(NOT(SnapshotTable[[#This Row],[SP Is Filled]]),(SnapshotTable[[#This Row],[SP Qty]] * SnapshotTable[[#This Row],[SP Strike Price]] * 100) - SnapshotTable[[#This Row],[LP Max Value]],"")</f>
        <v>0</v>
      </c>
      <c r="CM225" s="31" t="str">
        <f>IF(SnapshotTable[[#This Row],[SP Actual Spend]]&lt;&gt;0, ((SnapshotTable[[#This Row],[SP Strike Price]]-SnapshotTable[[#This Row],[Last Price]]) *(SnapshotTable[[#This Row],[SP Qty]]*100) - SnapshotTable[[#This Row],[SP Premium]]) * - 1, "")</f>
        <v/>
      </c>
      <c r="CN225" s="76"/>
      <c r="CO225" s="339"/>
      <c r="CP225" s="4" t="str">
        <f>IF(SnapshotTable[[#This Row],[SP Is Filled]], btc_max_buyback_amount(SnapshotTable[[#This Row],[SP Fill Date]],SnapshotTable[[#This Row],[SP Exp Date]], SnapshotTable[[#This Row],[SP Book Price]]),"")</f>
        <v/>
      </c>
      <c r="CQ225" s="76"/>
      <c r="CR22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5" s="153" t="str">
        <f>IF(SnapshotTable[[#This Row],[SP Is Filled]], btc_next_cutoff_date(SnapshotTable[[#This Row],[SP Fill Date]],SnapshotTable[[#This Row],[SP Exp Date]]),"")</f>
        <v/>
      </c>
      <c r="CT225" s="220" t="str" cm="1">
        <f t="array" ref="CT225">IF(SnapshotTable[[#This Row],[SP Is Filled]], btc_should_buy_back(SnapshotTable[[#This Row],[SP Fill Date]], SnapshotTable[[#This Row],[SP Exp Date]], SnapshotTable[[#This Row],[SP Book Price]], SnapshotTable[[#This Row],[SP Current Ask]], MockToday, SnapshotTable[[#This Row],[SP Buyback Override]]),"")</f>
        <v/>
      </c>
      <c r="CU225" s="141"/>
      <c r="CV225" s="220"/>
      <c r="CW225" s="348" t="str">
        <f>IF(ISNUMBER( SnapshotTable[[#This Row],[SP Term]]), SnapshotTable[[#This Row],[SP Exp Date]] - MockToday,"")</f>
        <v/>
      </c>
      <c r="CX225" s="31" t="str">
        <f>IF(SnapshotTable[[#This Row],[SP Is Filled]],SnapshotTable[[#This Row],[SP Buyback Price to Use]] * 100 * SnapshotTable[[#This Row],[SP Qty]], "")</f>
        <v/>
      </c>
      <c r="CY225" s="4" t="str">
        <f>IF(ISNUMBER(SnapshotTable[[#This Row],[SP Strike Price]]), SnapshotTable[[#This Row],[SP Strike Price]] * (1 - SP_MaxLoss_StrikePct), "")</f>
        <v/>
      </c>
      <c r="CZ225" s="31" t="str">
        <f>IF(ISNUMBER(SnapshotTable[[#This Row],[SP Strike  Stop Per Share]]),SnapshotTable[[#This Row],[SP Premium]] - ((SnapshotTable[[#This Row],[SP Strike Price]]-SnapshotTable[[#This Row],[SP Strike  Stop Per Share]]) *(SnapshotTable[[#This Row],[SP Qty]] * 100)),"")</f>
        <v/>
      </c>
      <c r="DA225" s="4" t="str">
        <f>IF(AND(ISNUMBER(SnapshotTable[[#This Row],[SP Premium]]),SnapshotTable[[#This Row],[SP Premium]]&gt;0), SnapshotTable[[#This Row],[SP Book Price]] * (1 + SP_MaxLoss_OptionPct), "")</f>
        <v/>
      </c>
      <c r="DB225" s="31" t="str">
        <f>IF(ISNUMBER(SnapshotTable[[#This Row],[SP Option  Stop Contract]]),(SnapshotTable[[#This Row],[SP Option  Stop Contract]] *(SnapshotTable[[#This Row],[SP Qty]] * 100) - SnapshotTable[[#This Row],[SP Premium]]),"")</f>
        <v/>
      </c>
      <c r="DC225" s="4"/>
      <c r="DD225" s="4"/>
      <c r="DE225" s="4" t="str">
        <f>IF(AND(SnapshotTable[[#This Row],[SP Qty]]&gt;0, SnapshotTable[[#This Row],[SP Stop To Use]]&gt;0),SnapshotTable[[#This Row],[SP Premium]] - ( SnapshotTable[[#This Row],[SP Qty]] * SnapshotTable[[#This Row],[SP Stop To Use]] * 100), "")</f>
        <v/>
      </c>
      <c r="DF225" s="31" t="str">
        <f>IF(AND(SnapshotTable[[#This Row],[SP Qty]]&gt;0,SnapshotTable[[#This Row],[SP Current Ask]]&gt;0), SnapshotTable[[#This Row],[SP Qty]] * SnapshotTable[[#This Row],[SP Current Ask]] * -100, "")</f>
        <v/>
      </c>
      <c r="DG225" s="31" t="str">
        <f>IF(ISNUMBER((SnapshotTable[[#This Row],[SP Total Value]])), SnapshotTable[[#This Row],[SP Premium]] + SnapshotTable[[#This Row],[SP Total Value]], "")</f>
        <v/>
      </c>
      <c r="DH225" s="272" t="str">
        <f>IF(ISNUMBER((SnapshotTable[[#This Row],[SP Total Value]])), SnapshotTable[[#This Row],[SP Gain Loss]] / SnapshotTable[[#This Row],[SP Premium]], "")</f>
        <v/>
      </c>
      <c r="DI225" s="369"/>
      <c r="DJ225" s="136"/>
      <c r="DK225" s="146"/>
      <c r="DL225" s="13"/>
      <c r="DM225" s="13"/>
      <c r="DO225" s="31">
        <f>IF(SnapshotTable[[#This Row],[LC Symbol Count]]=1, SnapshotTable[[#This Row],[LC Qty]] * SnapshotTable[[#This Row],[LC Book Price]] * 100, 0)</f>
        <v>0</v>
      </c>
      <c r="DP225" s="161" t="str">
        <f>IF(AND(SnapshotTable[[#This Row],[LC Exp Date]]&gt;0, SnapshotTable[[#This Row],[LC Strike Price]]&gt;0,SnapshotTable[[#This Row],[LC Qty]]&gt;0,SnapshotTable[[#This Row],[LC Book Date]]&gt;0,SnapshotTable[[#This Row],[LC Book Price]]&gt;0,SnapshotTable[[#This Row],[LC Fill Date]]=0),"Y","")</f>
        <v/>
      </c>
      <c r="DQ225" s="356" t="str">
        <f>IF(SnapshotTable[[#This Row],[LC Premium]] &gt; 0,SnapshotTable[[#This Row],[LC Exp Date]]-MAX(SnapshotTable[[#This Row],[LC Book Date]], SnapshotTable[[#This Row],[LC Fill Date]]),"")</f>
        <v/>
      </c>
      <c r="DR225" s="356" t="str">
        <f>IF(ISNUMBER(SnapshotTable[[#This Row],[LC Term]]), SnapshotTable[[#This Row],[LC Exp Date]] - MockToday, "")</f>
        <v/>
      </c>
      <c r="DS225" s="219" t="str">
        <f>IF(SnapshotTable[[#This Row],[LC Premium]]&gt;0,SnapshotTable[[#This Row],[LC Strike Price]] + SnapshotTable[[#This Row],[LC Book Price]],"")</f>
        <v/>
      </c>
      <c r="DU225" s="9" t="str">
        <f>IF(AND(SnapshotTable[[#This Row],[LC Symbol Count]]&gt;0, SnapshotTable[[#This Row],[LC Contract Value]]&gt;0), SnapshotTable[[#This Row],[LC Contract Value]] * SnapshotTable[[#This Row],[LC Qty]] * 100, "")</f>
        <v/>
      </c>
      <c r="DV225" s="9" t="str">
        <f>IF(AND(ISNUMBER(SnapshotTable[[#This Row],[LC Total Value]]), SnapshotTable[[#This Row],[LC Not Filled]]&lt;&gt;"Y"), SnapshotTable[[#This Row],[LC Total Value]]-SnapshotTable[[#This Row],[LC Premium]],"")</f>
        <v/>
      </c>
      <c r="DW225" s="225" t="str">
        <f>IF(ISNUMBER(SnapshotTable[[#This Row],[LC Actual Gain Loss]]), SnapshotTable[[#This Row],[LC Actual Gain Loss]] / SnapshotTable[[#This Row],[LC Premium]],"")</f>
        <v/>
      </c>
      <c r="DX225" s="269" t="str">
        <f>IF(ISNUMBER(SnapshotTable[[#This Row],[LC Book Price]]),SnapshotTable[[#This Row],[LC Book Price]] * 1.5,"")</f>
        <v/>
      </c>
      <c r="DY225" s="250" t="str">
        <f>IF(SnapshotTable[[#This Row],[LC Premium]]&gt;0, SnapshotTable[[#This Row],[LC Next Target]] * SnapshotTable[[#This Row],[LC Qty]] * 100,"")</f>
        <v/>
      </c>
      <c r="DZ225" s="250" t="str">
        <f>IF(ISNUMBER(SnapshotTable[[#This Row],[LC Target Gross]]), SnapshotTable[[#This Row],[LC Target Gross]] - SnapshotTable[[#This Row],[LC Premium]], "")</f>
        <v/>
      </c>
      <c r="EA225" s="283" t="str">
        <f>IF(ISNUMBER(SnapshotTable[[#This Row],[LC Target Gain Loss]]), SnapshotTable[[#This Row],[LC Target Gain Loss]]/SnapshotTable[[#This Row],[LC Premium]], "")</f>
        <v/>
      </c>
      <c r="EB225" s="247"/>
      <c r="EC225" s="268" t="str">
        <f>IF(SnapshotTable[[#This Row],[LC Premium]]&gt;0, SnapshotTable[[#This Row],[LC Book Price]] * (1 - LC_StopLoss_Pct),"")</f>
        <v/>
      </c>
      <c r="ED225" s="269"/>
      <c r="EE225" s="268" t="str">
        <f>IF(ISNUMBER(SnapshotTable[[#This Row],[LC Contract Value]]),IF(ISNUMBER(SnapshotTable[[#This Row],[LC Stop Loss Override]]), SnapshotTable[[#This Row],[LC Stop Loss Override]],SnapshotTable[[#This Row],[LC Stop Loss Calc Target]]),"")</f>
        <v/>
      </c>
      <c r="EF225" s="31" t="str">
        <f>IF(ISNUMBER(SnapshotTable[[#This Row],[LC Stop  To Use]]), (SnapshotTable[[#This Row],[LC Stop  To Use]] * SnapshotTable[[#This Row],[LC Qty]] * 100),"")</f>
        <v/>
      </c>
      <c r="EG225" s="9" t="str">
        <f>IF(ISNUMBER(SnapshotTable[[#This Row],[LC Total Value]]),SnapshotTable[[#This Row],[LC Stop Loss Amount]] - SnapshotTable[[#This Row],[LC Premium]],"")</f>
        <v/>
      </c>
      <c r="EH225" s="9">
        <f>IF(ISNUMBER(SnapshotTable[[#This Row],[LC Premium]]), SnapshotTable[[#This Row],[LC Qty]] * 100 * SnapshotTable[[#This Row],[LC Strike Price]], "")</f>
        <v>0</v>
      </c>
      <c r="EI225" s="225" t="str">
        <f>IF(AND(ISNUMBER(SnapshotTable[[#This Row],[LC Total Value]]),SnapshotTable[[#This Row],[LC Total Value]]&gt;0),SnapshotTable[[#This Row],[LC Stop Gain Loss]]  / SnapshotTable[[#This Row],[LC Premium]],"")</f>
        <v/>
      </c>
      <c r="EJ225" s="35">
        <f>IF(ISNUMBER(SnapshotTable[[#This Row],[Equity Shares]]),TRUNC(SnapshotTable[[#This Row],[Equity Shares]] / 100),0) + SnapshotTable[[#This Row],[LC Qty]]</f>
        <v>0</v>
      </c>
      <c r="EK225" s="145"/>
      <c r="EL225" s="136"/>
      <c r="EM225" s="146"/>
      <c r="EN225" s="145"/>
      <c r="EO225" s="145"/>
      <c r="EP225" s="136"/>
      <c r="EQ225" s="382" t="b">
        <f>AND(ISNUMBER(SnapshotTable[[#This Row],[SC Exp Date]]), ISNUMBER(SnapshotTable[[#This Row],[SC Strike Price]]), ISNUMBER(SnapshotTable[[#This Row],[SC Qty]]), ISNUMBER(SnapshotTable[[#This Row],[SC Book Date]]), ISNUMBER(SnapshotTable[[#This Row],[SC Book Price]]))</f>
        <v>0</v>
      </c>
      <c r="ER225" s="382" t="b">
        <f>AND(SnapshotTable[[#This Row],[SC Is Booked]], NOT(ISBLANK(SnapshotTable[[#This Row],[SC Fill Date]])))</f>
        <v>0</v>
      </c>
      <c r="ES225" s="340"/>
      <c r="ET225" s="34" t="str">
        <f>IF(AND(ISNUMBER(SnapshotTable[[#This Row],[SC Exp Date]]), ISNUMBER(SnapshotTable[[#This Row],[SC Book Date]])), SnapshotTable[[#This Row],[SC Exp Date]] - MAX(SnapshotTable[[#This Row],[SC Book Date]], SnapshotTable[[#This Row],[SC Fill Date]]) + 1, "")</f>
        <v/>
      </c>
      <c r="EU225" s="34" t="str">
        <f>IF(ISNUMBER(SnapshotTable[[#This Row],[SC Term]]), SnapshotTable[[#This Row],[SC Exp Date]]- MockToday, "")</f>
        <v/>
      </c>
      <c r="EV225" s="31">
        <f>IF(SnapshotTable[[#This Row],[SC Is Booked]], SnapshotTable[[#This Row],[SC Qty]] * SnapshotTable[[#This Row],[SC Book Price]] * 100, 0)</f>
        <v>0</v>
      </c>
      <c r="EW225" s="4" t="str">
        <f>IF(AND(ISNUMBER(SnapshotTable[[#This Row],[Last Price]]), ISNUMBER( SnapshotTable[[#This Row],[SC Book Price]])), SnapshotTable[[#This Row],[Last Price]] - SnapshotTable[[#This Row],[SC Book Price]],"")</f>
        <v/>
      </c>
      <c r="EX225" s="219" t="str">
        <f>IF(SnapshotTable[[#This Row],[SC Is Booked]],IF(SnapshotTable[[#This Row],[SC Intrinsic Value]] &gt; 0, SnapshotTable[[#This Row],[SC Strike Price]], SnapshotTable[[#This Row],[Last Price]]), "")</f>
        <v/>
      </c>
      <c r="EY225" s="4">
        <f>IF(SnapshotTable[[#This Row],[SC Is Booked]], (MinimumPremiumRequired * SnapshotTable[[#This Row],[SC Basis]] * SnapshotTable[[#This Row],[SC Term]]), 0)</f>
        <v>0</v>
      </c>
      <c r="EZ225" s="268"/>
      <c r="FA225" s="204"/>
      <c r="FB225" s="340"/>
      <c r="FC225" s="4">
        <f>IF(SnapshotTable[[#This Row],[SC Is Filled]], btc_max_buyback_amount(SnapshotTable[[#This Row],[SC Fill Date]],SnapshotTable[[#This Row],[SC Exp Date]], SnapshotTable[[#This Row],[SC Book Price]]),0)</f>
        <v>0</v>
      </c>
      <c r="FD225" s="5"/>
      <c r="FE225" s="142" t="str">
        <f>IF(SnapshotTable[[#This Row],[SC Is Filled]], btc_next_cutoff_date(SnapshotTable[[#This Row],[SC Fill Date]],SnapshotTable[[#This Row],[SC Exp Date]]),"")</f>
        <v/>
      </c>
      <c r="FF225" s="4" t="str" cm="1">
        <f t="array" ref="FF225">IF(SnapshotTable[[#This Row],[SC Is Filled]], btc_should_buy_back(SnapshotTable[[#This Row],[SC Fill Date]], SnapshotTable[[#This Row],[SC Exp Date]], SnapshotTable[[#This Row],[SC Book Price]], SnapshotTable[[#This Row],[SC Current Ask]], MockToday, SnapshotTable[[#This Row],[SC Buyback Override]]),"")</f>
        <v/>
      </c>
      <c r="FG225" s="4">
        <f>IF(SnapshotTable[[#This Row],[SC Is Filled]], MAX(0,SnapshotTable[[#This Row],[Last Price]]  - SnapshotTable[[#This Row],[SC Strike Price]]), 0)</f>
        <v>0</v>
      </c>
      <c r="FH225" s="352">
        <f>IF(SnapshotTable[[#This Row],[SC Is Filled]], IF(ISNUMBER(SnapshotTable[[#This Row],[SC Current Ask]]), SnapshotTable[[#This Row],[SC Current Ask]], SnapshotTable[[#This Row],[SC Book Price]]) - SnapshotTable[[#This Row],[SC Intrinsic Value]], 0)</f>
        <v>0</v>
      </c>
      <c r="FI225" s="141"/>
      <c r="FJ225" s="32" t="str">
        <f>IF(SnapshotTable[[#This Row],[SC Is Filled]],100 * SnapshotTable[[#This Row],[SC Qty]] * IF(ISNUMBER(SnapshotTable[[#This Row],[SC Buyback Override]]), SnapshotTable[[#This Row],[SC Buyback Override]], SnapshotTable[[#This Row],[SC Current Ask]]), "")</f>
        <v/>
      </c>
      <c r="FK225" s="235" t="str">
        <f>IF(SnapshotTable[[#This Row],[SC Time Val]]&gt;0, SnapshotTable[[#This Row],[SC Time Val]] / SnapshotTable[[#This Row],[Last Price]],"")</f>
        <v/>
      </c>
      <c r="FL225" s="280" t="str">
        <f>IF(SnapshotTable[[#This Row],[SC Is Booked]], ((SnapshotTable[[#This Row],[Last Price]] -SnapshotTable[[#This Row],[SC Strike Price]]) / SnapshotTable[[#This Row],[Last Price]]) * -1, "")</f>
        <v/>
      </c>
      <c r="FM225" s="155" t="str">
        <f>IF(SnapshotTable[[#This Row],[SC Is Booked]],  (SnapshotTable[[#This Row],[SC Qty]] * 100 * SnapshotTable[[#This Row],[SC Strike Price]]) - SnapshotTable[[#This Row],[SC Current Ask]], "")</f>
        <v/>
      </c>
      <c r="FN22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5" s="31" t="str">
        <f>IF(AND(ISNUMBER(SnapshotTable[[#This Row],[SC Exercise Gross]]), ISNUMBER(SnapshotTable[[#This Row],[Equity Basis Per Share]] )), SnapshotTable[[#This Row],[SC Exercise Gross]] - SnapshotTable[[#This Row],[Equity Basis Total]] +  SnapshotTable[[#This Row],[SC Premium]], "")</f>
        <v/>
      </c>
      <c r="FP225" s="5" t="str">
        <f>IF(ISNUMBER(SnapshotTable[[#This Row],[SC Exercise Gross]]), (SnapshotTable[[#This Row],[SC Exercise Gross]]) / (SnapshotTable[[#This Row],[SC Qty]] * 100), "")</f>
        <v/>
      </c>
      <c r="FQ225" s="27" t="str">
        <f>IF(SnapshotTable[[#This Row],[SC Is Booked]],SnapshotTable[[#This Row],[SC Time Val]] /SnapshotTable[[#This Row],[SC Basis]], "")</f>
        <v/>
      </c>
      <c r="FR225" s="27" t="str" cm="1">
        <f t="array" ref="FR225">IF(AND(ISNUMBER(SnapshotTable[[#This Row],[SC Term]]),ISNUMBER(SnapshotTable[[#This Row],[SC Simple ROO]])), EllmanAnnualize(SnapshotTable[[#This Row],[SC DTE]], SnapshotTable[[#This Row],[SC Simple ROO]] ),"")</f>
        <v/>
      </c>
      <c r="FS225" s="4">
        <f>IF(SnapshotTable[[#This Row],[SC Strike Price]] &gt; SnapshotTable[[#This Row],[Last Price]], SnapshotTable[[#This Row],[SC Strike Price]] - SnapshotTable[[#This Row],[Last Price]],0)</f>
        <v>0</v>
      </c>
      <c r="FT225" s="27" t="str">
        <f>IF(AND(ISNUMBER(SnapshotTable[[#This Row],[SC Upside Potential]]), SnapshotTable[[#This Row],[SC Upside Potential]] &gt; 0),(SnapshotTable[[#This Row],[SC Upside Potential]]/ SnapshotTable[[#This Row],[ACB]]),"")</f>
        <v/>
      </c>
      <c r="FU225" s="304" t="str">
        <f>IF(SnapshotTable[[#This Row],[SC Intrinsic Value]] &gt; 0,SnapshotTable[[#This Row],[SC Intrinsic Value]],"")</f>
        <v/>
      </c>
      <c r="FV225" s="27" t="str">
        <f>IF(AND( ISNUMBER( SnapshotTable[[#This Row],[ACB]]),ISNUMBER(SnapshotTable[[#This Row],[SC Downside Protect]])),SnapshotTable[[#This Row],[SC Downside Protect]] / SnapshotTable[[#This Row],[ACB]],"")</f>
        <v/>
      </c>
      <c r="FW225" s="221" t="str">
        <f>IF(AND(ISNUMBER(SnapshotTable[[#This Row],[SC Simple ROO]]),SnapshotTable[[#This Row],[SC Simple ROO]] &gt; 0), SnapshotTable[[#This Row],[SC Premium]] + (SnapshotTable[[#This Row],[SC Qty]] * SnapshotTable[[#This Row],[SC Upside Potential]]), "")</f>
        <v/>
      </c>
      <c r="FX225" s="280" t="str" cm="1">
        <f t="array" ref="FX225">IF(ISNUMBER(SnapshotTable[[#This Row],[SC Max Dollars]]), annualize(SnapshotTable[[#This Row],[SC Term]],(SnapshotTable[[#This Row],[SC Max Dollars]]/SnapshotTable[[#This Row],[SC Basis]])),"")</f>
        <v/>
      </c>
      <c r="FY225" s="221" t="str">
        <f>IF(AND(SnapshotTable[[#This Row],[SC Qty]]&gt;0,SnapshotTable[[#This Row],[SC Current Ask]]&gt;0), SnapshotTable[[#This Row],[SC Qty]] * SnapshotTable[[#This Row],[SC Current Ask]] * -100, "")</f>
        <v/>
      </c>
      <c r="FZ225" s="31" t="str">
        <f>IF(ISNUMBER((SnapshotTable[[#This Row],[SC Current Value]])), SnapshotTable[[#This Row],[SC Premium]] + SnapshotTable[[#This Row],[SC Current Value]], "")</f>
        <v/>
      </c>
      <c r="GA225" s="272" t="str">
        <f>IFERROR( IF(ISNUMBER((SnapshotTable[[#This Row],[SC Current Value]])), SnapshotTable[[#This Row],[SC Gain Loss]] / SnapshotTable[[#This Row],[SC Premium]], ""), "")</f>
        <v/>
      </c>
      <c r="GB225" s="42">
        <f>SnapshotTable[[#This Row],[Equity Shares]] * SaleSharesToConsiderPercentage</f>
        <v>0</v>
      </c>
      <c r="GC225" s="40" t="e">
        <f>SnapshotTable[[#This Row],[Long Term Target]] * SellingPriceToConsiderBasedOnTargetPercentage</f>
        <v>#VALUE!</v>
      </c>
      <c r="GD225" s="40">
        <f>SnapshotTable[[#This Row],[Last Price]] * (1+ SellingPriceToConsiderBasedOnTargetPercentage)</f>
        <v>208.494</v>
      </c>
      <c r="GE225" s="41"/>
      <c r="GF225" s="40"/>
      <c r="GG225" s="31">
        <f>SnapshotTable[[#This Row],[Booked Sale Shares]] * SnapshotTable[[#This Row],[Booked Sale Price]]</f>
        <v>0</v>
      </c>
      <c r="GH225" s="31" t="str">
        <f>IF(SnapshotTable[[#This Row],[Equity Basis Total]] &gt; 0, SnapshotTable[[#This Row],[Equity Basis Per Share]] * SnapshotTable[[#This Row],[Booked Sale Shares]], "")</f>
        <v/>
      </c>
      <c r="GI225" s="31">
        <f>IF(SnapshotTable[[#This Row],[Sale Proceeds]]&gt;0, SnapshotTable[[#This Row],[Sale Proceeds]] - SnapshotTable[[#This Row],[Sale Basis]], 0)</f>
        <v>0</v>
      </c>
      <c r="GJ225" s="27" t="str">
        <f>IF(SnapshotTable[[#This Row],[Sale G/L]]&gt;0, SnapshotTable[[#This Row],[Sale G/L]] / SnapshotTable[[#This Row],[Sale Basis]], IF(ISNUMBER(SnapshotTable[[#This Row],[SC Exercise P&amp;L (TAX)]]), SnapshotTable[[#This Row],[SC Exercise P&amp;L (TAX)]] / SnapshotTable[[#This Row],[SC Basis]], ""))</f>
        <v/>
      </c>
      <c r="GK225" s="27"/>
      <c r="GL225" s="43" t="str">
        <f>IF(AND(SnapshotTable[[#This Row],[LP Exp Date]]&gt;0,SnapshotTable[[#This Row],[LP Strike Price]]&gt;0), [1]!ToOptionSymbol(SnapshotTable[[#This Row],[Symbol]], SnapshotTable[[#This Row],[LP Strike Price]],SnapshotTable[[#This Row],[LP Exp Date]],1), "")</f>
        <v/>
      </c>
      <c r="GM225" s="30" t="str">
        <f>IF(LEN(SnapshotTable[[#This Row],[LP Symbol]])&gt;0, 1, "")</f>
        <v/>
      </c>
      <c r="GN225" s="43" t="str">
        <f>IF(AND(SnapshotTable[[#This Row],[SP Exp Date]]&gt;0,SnapshotTable[[#This Row],[SP Strike Price]]&gt;0), [1]!ToOptionSymbol(SnapshotTable[[#This Row],[Symbol]], SnapshotTable[[#This Row],[SP Strike Price]],SnapshotTable[[#This Row],[SP Exp Date]],1), "")</f>
        <v/>
      </c>
      <c r="GO225" s="30" t="str">
        <f>IF(LEN(SnapshotTable[[#This Row],[SP Symbol]])&gt;0, 1, "")</f>
        <v/>
      </c>
      <c r="GP225" s="43" t="str">
        <f>IF(AND(SnapshotTable[[#This Row],[LC Exp Date]]&gt;0,SnapshotTable[[#This Row],[LC Strike Price]]&gt;0), [1]!ToOptionSymbol(SnapshotTable[[#This Row],[Symbol]], SnapshotTable[[#This Row],[LC Strike Price]],SnapshotTable[[#This Row],[LC Exp Date]],0), "")</f>
        <v/>
      </c>
      <c r="GQ225" s="30" t="str">
        <f>IF(LEN(SnapshotTable[[#This Row],[LC Symbol]])&gt;0, 1, "")</f>
        <v/>
      </c>
      <c r="GR225" s="43" t="str">
        <f>IF(AND(SnapshotTable[[#This Row],[SC Exp Date]]&gt;0,SnapshotTable[[#This Row],[SC Strike Price]]&gt;0), [1]!ToOptionSymbol(SnapshotTable[[#This Row],[Symbol]], SnapshotTable[[#This Row],[SC Strike Price]],SnapshotTable[[#This Row],[SC Exp Date]],0), "")</f>
        <v/>
      </c>
      <c r="GS225" s="30" t="str">
        <f>IF(LEN(SnapshotTable[[#This Row],[SC Symbol]])&gt;0, 1, "")</f>
        <v/>
      </c>
      <c r="GT225" s="29" t="str">
        <f>IF(COUNT(SnapshotTable[[#This Row],[LP Symbol Count]],SnapshotTable[[#This Row],[SP Symbol Count]],SnapshotTable[[#This Row],[LC Symbol Count]],SnapshotTable[[#This Row],[SC Symbol Count]])&gt;0, "Y", "")</f>
        <v/>
      </c>
      <c r="GU22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5" s="216">
        <f>MAX(SnapshotTable[[#This Row],[Equity Basis Total]],SnapshotTable[[#This Row],[Equity Value]]) + (SnapshotTable[[#This Row],[SP Potential Spend]]- SnapshotTable[[#This Row],[SP Premium]] + SnapshotTable[[#This Row],[LP Premium]])+ (SnapshotTable[[#This Row],[LC Premium]] - SnapshotTable[[#This Row],[SC Premium]])</f>
        <v>0</v>
      </c>
      <c r="GW225" s="137" t="str">
        <f>IF(AND(SnapshotTable[[#This Row],[Exposure]] &lt;&gt; 0),SnapshotTable[[#This Row],[Exposure]] / SnapshotTable[[#Totals],[Exposure]], "")</f>
        <v/>
      </c>
      <c r="HK225" s="1"/>
      <c r="HL225" s="1"/>
      <c r="HM225" s="1"/>
      <c r="HN225" s="1"/>
      <c r="HO225" s="1"/>
      <c r="HP225" s="1"/>
    </row>
    <row r="226" spans="2:224" ht="12.75" hidden="1" customHeight="1" x14ac:dyDescent="0.25">
      <c r="B226" s="12" t="s">
        <v>113</v>
      </c>
      <c r="C226" s="385">
        <v>50.82</v>
      </c>
      <c r="D226" s="200"/>
      <c r="E226" s="39">
        <f>SnapshotTable[[#This Row],[Last Price]]*(1 -CrashDiscount)</f>
        <v>43.196999999999996</v>
      </c>
      <c r="F226" s="26" t="s">
        <v>5</v>
      </c>
      <c r="G226" s="26" t="s">
        <v>4</v>
      </c>
      <c r="H226" s="147"/>
      <c r="I226" s="186">
        <v>44770.694444444445</v>
      </c>
      <c r="J226" s="187">
        <v>44770.694444444445</v>
      </c>
      <c r="K226" s="188"/>
      <c r="L226" s="297"/>
      <c r="M226" s="138"/>
      <c r="N226" s="138"/>
      <c r="O226" s="138"/>
      <c r="P226" s="22"/>
      <c r="Q226" s="25"/>
      <c r="R226" s="4" t="str">
        <f>IF(SnapshotTable[[#This Row],[Equity Basis Total]] &gt; 0, SnapshotTable[[#This Row],[Equity Basis Total]] / SnapshotTable[[#This Row],[Equity Shares]], "")</f>
        <v/>
      </c>
      <c r="S226" s="254">
        <f>SnapshotTable[[#This Row],[Last Price]] * SnapshotTable[[#This Row],[Equity Shares]]</f>
        <v>0</v>
      </c>
      <c r="T226" s="254">
        <f>SnapshotTable[[#This Row],[Equity Value]] - SnapshotTable[[#This Row],[Equity Basis Total]]</f>
        <v>0</v>
      </c>
      <c r="U226" s="255" t="str">
        <f>IF(SnapshotTable[[#This Row],[Equity Basis Total]] &gt; 0, SnapshotTable[[#This Row],[Equity G/L]] / SnapshotTable[[#This Row],[Equity Basis Total]], "")</f>
        <v/>
      </c>
      <c r="V226" s="253"/>
      <c r="W226" s="253"/>
      <c r="X226" s="4" t="str">
        <f>IF(AND(ISNUMBER(SnapshotTable[[#This Row],[Equity Basis Per Share]]),ISNUMBER(SnapshotTable[[#This Row],[Equity Target]])),SnapshotTable[[#This Row],[Equity Target]]-SnapshotTable[[#This Row],[Equity Basis Per Share]],"")</f>
        <v/>
      </c>
      <c r="Y226" s="4" t="str">
        <f>IF(AND(ISNUMBER(SnapshotTable[[#This Row],[Equity Basis Per Share]]),ISNUMBER(SnapshotTable[[#This Row],[Equity Stop Loss]])),SnapshotTable[[#This Row],[Equity Stop Loss]]-SnapshotTable[[#This Row],[Equity Basis Per Share]],"")</f>
        <v/>
      </c>
      <c r="Z226" s="260" t="str">
        <f>IFERROR( TEXT(SnapshotTable[[#This Row],[Equity Max Gain Per Share]] /ABS( SnapshotTable[[#This Row],[Equity Max Loss Per Share]]),"0.0 " ) &amp; " : 1", "")</f>
        <v/>
      </c>
      <c r="AA226" s="31" t="str">
        <f>IF(ISNUMBER(SnapshotTable[[#This Row],[Equity Max Gain Per Share]]),SnapshotTable[[#This Row],[Equity Max Gain Per Share]] * SnapshotTable[[#This Row],[Equity Shares]],"")</f>
        <v/>
      </c>
      <c r="AB226" s="31" t="str">
        <f>IF(ISNUMBER(SnapshotTable[[#This Row],[Equity Max Loss Per Share]]),SnapshotTable[[#This Row],[Equity Max Loss Per Share]] * SnapshotTable[[#This Row],[Equity Shares]],"")</f>
        <v/>
      </c>
      <c r="AC226" s="148">
        <v>0</v>
      </c>
      <c r="AD226" s="149" t="s">
        <v>2</v>
      </c>
      <c r="AE226" s="31">
        <f>(SnapshotTable[[#This Row],[Annual Dividend Per Share]] / 4) * SnapshotTable[[#This Row],[Equity Shares]]</f>
        <v>0</v>
      </c>
      <c r="AF226" s="31">
        <f>SnapshotTable[[#This Row],[Quarterly Div $]] * 4</f>
        <v>0</v>
      </c>
      <c r="AG226" s="7">
        <f>IF(SnapshotTable[[#This Row],[Annual Dividend Per Share]]&gt;0, SnapshotTable[[#This Row],[Annual Dividend Per Share]]  / SnapshotTable[[#This Row],[Last Price]], 0)</f>
        <v>0</v>
      </c>
      <c r="AH226" s="149" t="s">
        <v>2</v>
      </c>
      <c r="AI226" s="5"/>
      <c r="AJ226" s="136" t="s">
        <v>111</v>
      </c>
      <c r="AK226" s="150" t="str">
        <f>IF(ISNUMBER( SnapshotTable[[#This Row],[EBF Target]]),(SnapshotTable[[#This Row],[EBF Target]] - SnapshotTable[[#This Row],[Last Price]]) / SnapshotTable[[#This Row],[Last Price]], "")</f>
        <v/>
      </c>
      <c r="AL226" s="150" t="str">
        <f>IF(AND(SnapshotTable[[#This Row],[Equity Basis Total]] &gt; 0,ISNUMBER( SnapshotTable[[#This Row],[Long Term Target]])), SnapshotTable[[#This Row],[From Basis $]] / SnapshotTable[[#This Row],[Equity Basis Total]], "")</f>
        <v/>
      </c>
      <c r="AM226" s="9">
        <f>IF( AND(SnapshotTable[[#This Row],[Equity Shares]] &gt;0,ISNUMBER( SnapshotTable[[#This Row],[Long Term Target]])),(SnapshotTable[[#This Row],[Equity Shares]] * SnapshotTable[[#This Row],[Long Term Target]]) - SnapshotTable[[#This Row],[Equity Basis Total]],0)</f>
        <v>0</v>
      </c>
      <c r="AN226" s="9">
        <f>IF( AND(SnapshotTable[[#This Row],[Equity Shares]] &gt;0,ISNUMBER( SnapshotTable[[#This Row],[Long Term Target]])),(SnapshotTable[[#This Row],[Equity Shares]]*SnapshotTable[[#This Row],[Long Term Target]]) - SnapshotTable[[#This Row],[Equity Value]],0)</f>
        <v>0</v>
      </c>
      <c r="AO226" s="150" t="str">
        <f>IF(AND(ISNUMBER( SnapshotTable[[#This Row],[Long Term Target]]), ISNUMBER(SnapshotTable[[#This Row],[Last Price]])),(SnapshotTable[[#This Row],[Long Term Target]] - SnapshotTable[[#This Row],[Last Price]]) / SnapshotTable[[#This Row],[Last Price]], "")</f>
        <v/>
      </c>
      <c r="AP226" s="5"/>
      <c r="AQ226" s="38"/>
      <c r="AR226" s="5"/>
      <c r="AS226" s="38"/>
      <c r="AT226" s="144"/>
      <c r="AU226" s="185" t="str">
        <f>IF(OR(SnapshotTable[[#This Row],[LP No Fill]]="Y",SnapshotTable[[#This Row],[SP Is Filled]],SnapshotTable[[#This Row],[LC Not Filled]]="Y",SnapshotTable[[#This Row],[SC Is Filled]]),"Y","")</f>
        <v/>
      </c>
      <c r="AV226" s="205"/>
      <c r="AW226" s="211"/>
      <c r="AX226" s="206"/>
      <c r="AY226" s="205" t="str">
        <f>IF(SnapshotTable[[#This Row],[Implied Move]]&gt;0, SnapshotTable[[#This Row],[Last Price]]-SnapshotTable[[#This Row],[Implied Move]],"")</f>
        <v/>
      </c>
      <c r="AZ226" s="205" t="str">
        <f>IF(SnapshotTable[[#This Row],[Implied Move]]&gt;0, SnapshotTable[[#This Row],[Last Price]] + SnapshotTable[[#This Row],[Implied Move]],"")</f>
        <v/>
      </c>
      <c r="BA226" s="302">
        <v>92.21</v>
      </c>
      <c r="BB226" s="318"/>
      <c r="BC22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6" s="321"/>
      <c r="BE226" s="5"/>
      <c r="BF226" s="14"/>
      <c r="BG226" s="13"/>
      <c r="BH226" s="13"/>
      <c r="BI226" s="5"/>
      <c r="BJ226" s="134">
        <f>IF(SnapshotTable[[#This Row],[LP Qty]] &gt; 0, SnapshotTable[[#This Row],[LP Qty]] * SnapshotTable[[#This Row],[LP Book Price]] * 100,0)</f>
        <v>0</v>
      </c>
      <c r="BK226" s="134">
        <f>IF(SnapshotTable[[#This Row],[LP Premium]] &gt; 0, SnapshotTable[[#This Row],[LP Qty]] * SnapshotTable[[#This Row],[LP Strike Price]] * 100,0)</f>
        <v>0</v>
      </c>
      <c r="BL226" s="152"/>
      <c r="BM226" s="355" t="str">
        <f>IF(SnapshotTable[[#This Row],[LP Premium]] &gt; 0,SnapshotTable[[#This Row],[LP Exp Date]]-MAX(SnapshotTable[[#This Row],[LP Book Date]], SnapshotTable[[#This Row],[LP Fill Date]]),"")</f>
        <v/>
      </c>
      <c r="BN226" s="355" t="str">
        <f>IF(ISNUMBER( SnapshotTable[[#This Row],[LP Term]]), SnapshotTable[[#This Row],[LP Exp Date]] - MockToday,"")</f>
        <v/>
      </c>
      <c r="BO226" s="161" t="str">
        <f>IF(AND(SnapshotTable[[#This Row],[LP Exp Date]]&gt;0, SnapshotTable[[#This Row],[LP Strike Price]]&gt;0,SnapshotTable[[#This Row],[LP Qty]]&gt;0,SnapshotTable[[#This Row],[LP Book Date]]&gt;0,SnapshotTable[[#This Row],[LP Book Price]]&gt;0,SnapshotTable[[#This Row],[LP Fill Date]]=0),"Y","")</f>
        <v/>
      </c>
      <c r="BP226" s="31" t="str">
        <f>IF(AND(SnapshotTable[[#This Row],[LP No Fill]]&lt;&gt;"Y",SnapshotTable[[#This Row],[LP Contract Value]]&gt;0, SnapshotTable[[#This Row],[LP Qty]]&gt;0), SnapshotTable[[#This Row],[LP Contract Value]]*SnapshotTable[[#This Row],[LP Qty]]*100,"")</f>
        <v/>
      </c>
      <c r="BQ226" s="13"/>
      <c r="BR226" s="5"/>
      <c r="BS226" s="36"/>
      <c r="BT226" s="145"/>
      <c r="BU226" s="13"/>
      <c r="BV226" s="5"/>
      <c r="BW226" s="382" t="b">
        <f>AND(ISNUMBER(SnapshotTable[[#This Row],[SP Exp Date]]), ISNUMBER(SnapshotTable[[#This Row],[SP Strike Price]]), ISNUMBER(SnapshotTable[[#This Row],[SP Qty]]), ISNUMBER(SnapshotTable[[#This Row],[SP Book Date]]), ISNUMBER(SnapshotTable[[#This Row],[SP Book Price]]))</f>
        <v>0</v>
      </c>
      <c r="BX226" s="382" t="b">
        <f>AND(SnapshotTable[[#This Row],[SP Is Booked]], NOT(ISBLANK(SnapshotTable[[#This Row],[SP Fill Date]])))</f>
        <v>0</v>
      </c>
      <c r="BY226" s="33">
        <f>IF(SnapshotTable[[#This Row],[SP Is Booked]], SnapshotTable[[#This Row],[SP Qty]] * SnapshotTable[[#This Row],[SP Book Price]] * 100, 0)</f>
        <v>0</v>
      </c>
      <c r="BZ226" s="339"/>
      <c r="CA226" s="338">
        <f>SnapshotTable[[#This Row],[LP Qty]]</f>
        <v>0</v>
      </c>
      <c r="CB226" s="4" t="str">
        <f>IF(SnapshotTable[[#This Row],[SP Is Booked]], SnapshotTable[[#This Row],[SP Strike Price]] - SnapshotTable[[#This Row],[SP Book Price]], "")</f>
        <v/>
      </c>
      <c r="CC226" s="19" t="str">
        <f>IF(SnapshotTable[[#This Row],[SP Is Booked]],SnapshotTable[[#This Row],[SP Exp Date]]-MAX(SnapshotTable[[#This Row],[SP Book Date]], SnapshotTable[[#This Row],[SP Fill Date]]),"")</f>
        <v/>
      </c>
      <c r="CD226" s="7" t="str">
        <f>IF(SnapshotTable[[#This Row],[SP Is Booked]], SnapshotTable[[#This Row],[SP Book Price]]/SnapshotTable[[#This Row],[SP Strike Price]], "")</f>
        <v/>
      </c>
      <c r="CE226" s="7" t="str">
        <f>IF(ISNUMBER(SnapshotTable[[#This Row],[SP ROO Term]]),SnapshotTable[[#This Row],[SP ROO Term]]*(365/SnapshotTable[[#This Row],[SP Term]]),"")</f>
        <v/>
      </c>
      <c r="CF226" s="221">
        <f>SnapshotTable[[#This Row],[LP Strike Price]] * SnapshotTable[[#This Row],[LP Qty]] * 100</f>
        <v>0</v>
      </c>
      <c r="CG226" s="31">
        <f>IF(ISNUMBER(SnapshotTable[[#This Row],[SP Premium]]), (SnapshotTable[[#This Row],[SP Qty]] * SnapshotTable[[#This Row],[SP Strike Price]]* 100) - SnapshotTable[[#This Row],[LP Protection]], 0)</f>
        <v>0</v>
      </c>
      <c r="CH226" s="7" t="str">
        <f>IF(ISNUMBER(SnapshotTable[[#This Row],[SP Break Even]]),-1 * (SnapshotTable[[#This Row],[SP Break Even]] - SnapshotTable[[#This Row],[Last Price]]) / SnapshotTable[[#This Row],[Last Price]], "")</f>
        <v/>
      </c>
      <c r="CI226" s="31">
        <f>IF(AND(ISNUMBER((SnapshotTable[[#This Row],[SP Potential Spend]])), SnapshotTable[[#This Row],[SP Strike Price]] &gt; SnapshotTable[[#This Row],[Last Price]], SnapshotTable[[#This Row],[SP Is Filled]]), SnapshotTable[[#This Row],[SP Potential Spend]] -  SnapshotTable[[#This Row],[LP Max Value]], 0)</f>
        <v>0</v>
      </c>
      <c r="CJ226" s="229"/>
      <c r="CK226" s="31">
        <f>IF(ISNUMBER(SnapshotTable[[#This Row],[SP Potential Spend]]),IF(ISNUMBER(SnapshotTable[[#This Row],[SP POW]]), SnapshotTable[[#This Row],[SP POW]] * SnapshotTable[[#This Row],[SP Potential Spend]], SnapshotTable[[#This Row],[SP Potential Spend]]), "")</f>
        <v>0</v>
      </c>
      <c r="CL226" s="162">
        <f>IF(NOT(SnapshotTable[[#This Row],[SP Is Filled]]),(SnapshotTable[[#This Row],[SP Qty]] * SnapshotTable[[#This Row],[SP Strike Price]] * 100) - SnapshotTable[[#This Row],[LP Max Value]],"")</f>
        <v>0</v>
      </c>
      <c r="CM226" s="31" t="str">
        <f>IF(SnapshotTable[[#This Row],[SP Actual Spend]]&lt;&gt;0, ((SnapshotTable[[#This Row],[SP Strike Price]]-SnapshotTable[[#This Row],[Last Price]]) *(SnapshotTable[[#This Row],[SP Qty]]*100) - SnapshotTable[[#This Row],[SP Premium]]) * - 1, "")</f>
        <v/>
      </c>
      <c r="CN226" s="76"/>
      <c r="CO226" s="339"/>
      <c r="CP226" s="4" t="str">
        <f>IF(SnapshotTable[[#This Row],[SP Is Filled]], btc_max_buyback_amount(SnapshotTable[[#This Row],[SP Fill Date]],SnapshotTable[[#This Row],[SP Exp Date]], SnapshotTable[[#This Row],[SP Book Price]]),"")</f>
        <v/>
      </c>
      <c r="CQ226" s="76"/>
      <c r="CR22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6" s="153" t="str">
        <f>IF(SnapshotTable[[#This Row],[SP Is Filled]], btc_next_cutoff_date(SnapshotTable[[#This Row],[SP Fill Date]],SnapshotTable[[#This Row],[SP Exp Date]]),"")</f>
        <v/>
      </c>
      <c r="CT226" s="220" t="str" cm="1">
        <f t="array" ref="CT226">IF(SnapshotTable[[#This Row],[SP Is Filled]], btc_should_buy_back(SnapshotTable[[#This Row],[SP Fill Date]], SnapshotTable[[#This Row],[SP Exp Date]], SnapshotTable[[#This Row],[SP Book Price]], SnapshotTable[[#This Row],[SP Current Ask]], MockToday, SnapshotTable[[#This Row],[SP Buyback Override]]),"")</f>
        <v/>
      </c>
      <c r="CU226" s="141"/>
      <c r="CV226" s="220"/>
      <c r="CW226" s="348" t="str">
        <f>IF(ISNUMBER( SnapshotTable[[#This Row],[SP Term]]), SnapshotTable[[#This Row],[SP Exp Date]] - MockToday,"")</f>
        <v/>
      </c>
      <c r="CX226" s="31" t="str">
        <f>IF(SnapshotTable[[#This Row],[SP Is Filled]],SnapshotTable[[#This Row],[SP Buyback Price to Use]] * 100 * SnapshotTable[[#This Row],[SP Qty]], "")</f>
        <v/>
      </c>
      <c r="CY226" s="4" t="str">
        <f>IF(ISNUMBER(SnapshotTable[[#This Row],[SP Strike Price]]), SnapshotTable[[#This Row],[SP Strike Price]] * (1 - SP_MaxLoss_StrikePct), "")</f>
        <v/>
      </c>
      <c r="CZ226" s="31" t="str">
        <f>IF(ISNUMBER(SnapshotTable[[#This Row],[SP Strike  Stop Per Share]]),SnapshotTable[[#This Row],[SP Premium]] - ((SnapshotTable[[#This Row],[SP Strike Price]]-SnapshotTable[[#This Row],[SP Strike  Stop Per Share]]) *(SnapshotTable[[#This Row],[SP Qty]] * 100)),"")</f>
        <v/>
      </c>
      <c r="DA226" s="4" t="str">
        <f>IF(AND(ISNUMBER(SnapshotTable[[#This Row],[SP Premium]]),SnapshotTable[[#This Row],[SP Premium]]&gt;0), SnapshotTable[[#This Row],[SP Book Price]] * (1 + SP_MaxLoss_OptionPct), "")</f>
        <v/>
      </c>
      <c r="DB226" s="31" t="str">
        <f>IF(ISNUMBER(SnapshotTable[[#This Row],[SP Option  Stop Contract]]),(SnapshotTable[[#This Row],[SP Option  Stop Contract]] *(SnapshotTable[[#This Row],[SP Qty]] * 100) - SnapshotTable[[#This Row],[SP Premium]]),"")</f>
        <v/>
      </c>
      <c r="DC226" s="4"/>
      <c r="DD226" s="4"/>
      <c r="DE226" s="4" t="str">
        <f>IF(AND(SnapshotTable[[#This Row],[SP Qty]]&gt;0, SnapshotTable[[#This Row],[SP Stop To Use]]&gt;0),SnapshotTable[[#This Row],[SP Premium]] - ( SnapshotTable[[#This Row],[SP Qty]] * SnapshotTable[[#This Row],[SP Stop To Use]] * 100), "")</f>
        <v/>
      </c>
      <c r="DF226" s="31" t="str">
        <f>IF(AND(SnapshotTable[[#This Row],[SP Qty]]&gt;0,SnapshotTable[[#This Row],[SP Current Ask]]&gt;0), SnapshotTable[[#This Row],[SP Qty]] * SnapshotTable[[#This Row],[SP Current Ask]] * -100, "")</f>
        <v/>
      </c>
      <c r="DG226" s="31" t="str">
        <f>IF(ISNUMBER((SnapshotTable[[#This Row],[SP Total Value]])), SnapshotTable[[#This Row],[SP Premium]] + SnapshotTable[[#This Row],[SP Total Value]], "")</f>
        <v/>
      </c>
      <c r="DH226" s="272" t="str">
        <f>IF(ISNUMBER((SnapshotTable[[#This Row],[SP Total Value]])), SnapshotTable[[#This Row],[SP Gain Loss]] / SnapshotTable[[#This Row],[SP Premium]], "")</f>
        <v/>
      </c>
      <c r="DI226" s="369"/>
      <c r="DJ226" s="136"/>
      <c r="DK226" s="146"/>
      <c r="DL226" s="13"/>
      <c r="DM226" s="13"/>
      <c r="DO226" s="31">
        <f>IF(SnapshotTable[[#This Row],[LC Symbol Count]]=1, SnapshotTable[[#This Row],[LC Qty]] * SnapshotTable[[#This Row],[LC Book Price]] * 100, 0)</f>
        <v>0</v>
      </c>
      <c r="DP226" s="161" t="str">
        <f>IF(AND(SnapshotTable[[#This Row],[LC Exp Date]]&gt;0, SnapshotTable[[#This Row],[LC Strike Price]]&gt;0,SnapshotTable[[#This Row],[LC Qty]]&gt;0,SnapshotTable[[#This Row],[LC Book Date]]&gt;0,SnapshotTable[[#This Row],[LC Book Price]]&gt;0,SnapshotTable[[#This Row],[LC Fill Date]]=0),"Y","")</f>
        <v/>
      </c>
      <c r="DQ226" s="356" t="str">
        <f>IF(SnapshotTable[[#This Row],[LC Premium]] &gt; 0,SnapshotTable[[#This Row],[LC Exp Date]]-MAX(SnapshotTable[[#This Row],[LC Book Date]], SnapshotTable[[#This Row],[LC Fill Date]]),"")</f>
        <v/>
      </c>
      <c r="DR226" s="356" t="str">
        <f>IF(ISNUMBER(SnapshotTable[[#This Row],[LC Term]]), SnapshotTable[[#This Row],[LC Exp Date]] - MockToday, "")</f>
        <v/>
      </c>
      <c r="DS226" s="219" t="str">
        <f>IF(SnapshotTable[[#This Row],[LC Premium]]&gt;0,SnapshotTable[[#This Row],[LC Strike Price]] + SnapshotTable[[#This Row],[LC Book Price]],"")</f>
        <v/>
      </c>
      <c r="DU226" s="9" t="str">
        <f>IF(AND(SnapshotTable[[#This Row],[LC Symbol Count]]&gt;0, SnapshotTable[[#This Row],[LC Contract Value]]&gt;0), SnapshotTable[[#This Row],[LC Contract Value]] * SnapshotTable[[#This Row],[LC Qty]] * 100, "")</f>
        <v/>
      </c>
      <c r="DV226" s="9" t="str">
        <f>IF(AND(ISNUMBER(SnapshotTable[[#This Row],[LC Total Value]]), SnapshotTable[[#This Row],[LC Not Filled]]&lt;&gt;"Y"), SnapshotTable[[#This Row],[LC Total Value]]-SnapshotTable[[#This Row],[LC Premium]],"")</f>
        <v/>
      </c>
      <c r="DW226" s="225" t="str">
        <f>IF(ISNUMBER(SnapshotTable[[#This Row],[LC Actual Gain Loss]]), SnapshotTable[[#This Row],[LC Actual Gain Loss]] / SnapshotTable[[#This Row],[LC Premium]],"")</f>
        <v/>
      </c>
      <c r="DX226" s="269" t="str">
        <f>IF(ISNUMBER(SnapshotTable[[#This Row],[LC Book Price]]),SnapshotTable[[#This Row],[LC Book Price]] * 1.5,"")</f>
        <v/>
      </c>
      <c r="DY226" s="250" t="str">
        <f>IF(SnapshotTable[[#This Row],[LC Premium]]&gt;0, SnapshotTable[[#This Row],[LC Next Target]] * SnapshotTable[[#This Row],[LC Qty]] * 100,"")</f>
        <v/>
      </c>
      <c r="DZ226" s="250" t="str">
        <f>IF(ISNUMBER(SnapshotTable[[#This Row],[LC Target Gross]]), SnapshotTable[[#This Row],[LC Target Gross]] - SnapshotTable[[#This Row],[LC Premium]], "")</f>
        <v/>
      </c>
      <c r="EA226" s="283" t="str">
        <f>IF(ISNUMBER(SnapshotTable[[#This Row],[LC Target Gain Loss]]), SnapshotTable[[#This Row],[LC Target Gain Loss]]/SnapshotTable[[#This Row],[LC Premium]], "")</f>
        <v/>
      </c>
      <c r="EB226" s="247"/>
      <c r="EC226" s="268" t="str">
        <f>IF(SnapshotTable[[#This Row],[LC Premium]]&gt;0, SnapshotTable[[#This Row],[LC Book Price]] * (1 - LC_StopLoss_Pct),"")</f>
        <v/>
      </c>
      <c r="ED226" s="269"/>
      <c r="EE226" s="268" t="str">
        <f>IF(ISNUMBER(SnapshotTable[[#This Row],[LC Contract Value]]),IF(ISNUMBER(SnapshotTable[[#This Row],[LC Stop Loss Override]]), SnapshotTable[[#This Row],[LC Stop Loss Override]],SnapshotTable[[#This Row],[LC Stop Loss Calc Target]]),"")</f>
        <v/>
      </c>
      <c r="EF226" s="31" t="str">
        <f>IF(ISNUMBER(SnapshotTable[[#This Row],[LC Stop  To Use]]), (SnapshotTable[[#This Row],[LC Stop  To Use]] * SnapshotTable[[#This Row],[LC Qty]] * 100),"")</f>
        <v/>
      </c>
      <c r="EG226" s="9" t="str">
        <f>IF(ISNUMBER(SnapshotTable[[#This Row],[LC Total Value]]),SnapshotTable[[#This Row],[LC Stop Loss Amount]] - SnapshotTable[[#This Row],[LC Premium]],"")</f>
        <v/>
      </c>
      <c r="EH226" s="9">
        <f>IF(ISNUMBER(SnapshotTable[[#This Row],[LC Premium]]), SnapshotTable[[#This Row],[LC Qty]] * 100 * SnapshotTable[[#This Row],[LC Strike Price]], "")</f>
        <v>0</v>
      </c>
      <c r="EI226" s="225" t="str">
        <f>IF(AND(ISNUMBER(SnapshotTable[[#This Row],[LC Total Value]]),SnapshotTable[[#This Row],[LC Total Value]]&gt;0),SnapshotTable[[#This Row],[LC Stop Gain Loss]]  / SnapshotTable[[#This Row],[LC Premium]],"")</f>
        <v/>
      </c>
      <c r="EJ226" s="35">
        <f>IF(ISNUMBER(SnapshotTable[[#This Row],[Equity Shares]]),TRUNC(SnapshotTable[[#This Row],[Equity Shares]] / 100),0) + SnapshotTable[[#This Row],[LC Qty]]</f>
        <v>0</v>
      </c>
      <c r="EK226" s="145"/>
      <c r="EL226" s="136">
        <v>89</v>
      </c>
      <c r="EM226" s="146">
        <v>0</v>
      </c>
      <c r="EN226" s="145">
        <v>45076</v>
      </c>
      <c r="EO226" s="145"/>
      <c r="EP226" s="136">
        <v>4.95</v>
      </c>
      <c r="EQ226" s="382" t="b">
        <f>AND(ISNUMBER(SnapshotTable[[#This Row],[SC Exp Date]]), ISNUMBER(SnapshotTable[[#This Row],[SC Strike Price]]), ISNUMBER(SnapshotTable[[#This Row],[SC Qty]]), ISNUMBER(SnapshotTable[[#This Row],[SC Book Date]]), ISNUMBER(SnapshotTable[[#This Row],[SC Book Price]]))</f>
        <v>0</v>
      </c>
      <c r="ER226" s="382" t="b">
        <f>AND(SnapshotTable[[#This Row],[SC Is Booked]], NOT(ISBLANK(SnapshotTable[[#This Row],[SC Fill Date]])))</f>
        <v>0</v>
      </c>
      <c r="ES226" s="340"/>
      <c r="ET226" s="34" t="str">
        <f>IF(AND(ISNUMBER(SnapshotTable[[#This Row],[SC Exp Date]]), ISNUMBER(SnapshotTable[[#This Row],[SC Book Date]])), SnapshotTable[[#This Row],[SC Exp Date]] - MAX(SnapshotTable[[#This Row],[SC Book Date]], SnapshotTable[[#This Row],[SC Fill Date]]) + 1, "")</f>
        <v/>
      </c>
      <c r="EU226" s="34" t="str">
        <f>IF(ISNUMBER(SnapshotTable[[#This Row],[SC Term]]), SnapshotTable[[#This Row],[SC Exp Date]]- MockToday, "")</f>
        <v/>
      </c>
      <c r="EV226" s="31">
        <f>IF(SnapshotTable[[#This Row],[SC Is Booked]], SnapshotTable[[#This Row],[SC Qty]] * SnapshotTable[[#This Row],[SC Book Price]] * 100, 0)</f>
        <v>0</v>
      </c>
      <c r="EW226" s="4">
        <f>IF(AND(ISNUMBER(SnapshotTable[[#This Row],[Last Price]]), ISNUMBER( SnapshotTable[[#This Row],[SC Book Price]])), SnapshotTable[[#This Row],[Last Price]] - SnapshotTable[[#This Row],[SC Book Price]],"")</f>
        <v>45.87</v>
      </c>
      <c r="EX226" s="219" t="str">
        <f>IF(SnapshotTable[[#This Row],[SC Is Booked]],IF(SnapshotTable[[#This Row],[SC Intrinsic Value]] &gt; 0, SnapshotTable[[#This Row],[SC Strike Price]], SnapshotTable[[#This Row],[Last Price]]), "")</f>
        <v/>
      </c>
      <c r="EY226" s="4">
        <f>IF(SnapshotTable[[#This Row],[SC Is Booked]], (MinimumPremiumRequired * SnapshotTable[[#This Row],[SC Basis]] * SnapshotTable[[#This Row],[SC Term]]), 0)</f>
        <v>0</v>
      </c>
      <c r="EZ226" s="268"/>
      <c r="FA226" s="386"/>
      <c r="FB226" s="340"/>
      <c r="FC226" s="4">
        <f>IF(SnapshotTable[[#This Row],[SC Is Filled]], btc_max_buyback_amount(SnapshotTable[[#This Row],[SC Fill Date]],SnapshotTable[[#This Row],[SC Exp Date]], SnapshotTable[[#This Row],[SC Book Price]]),0)</f>
        <v>0</v>
      </c>
      <c r="FD226" s="5"/>
      <c r="FE226" s="142" t="str">
        <f>IF(SnapshotTable[[#This Row],[SC Is Filled]], btc_next_cutoff_date(SnapshotTable[[#This Row],[SC Fill Date]],SnapshotTable[[#This Row],[SC Exp Date]]),"")</f>
        <v/>
      </c>
      <c r="FF226" s="4" t="str" cm="1">
        <f t="array" ref="FF226">IF(SnapshotTable[[#This Row],[SC Is Filled]], btc_should_buy_back(SnapshotTable[[#This Row],[SC Fill Date]], SnapshotTable[[#This Row],[SC Exp Date]], SnapshotTable[[#This Row],[SC Book Price]], SnapshotTable[[#This Row],[SC Current Ask]], MockToday, SnapshotTable[[#This Row],[SC Buyback Override]]),"")</f>
        <v/>
      </c>
      <c r="FG226" s="4">
        <f>IF(SnapshotTable[[#This Row],[SC Is Filled]], MAX(0,SnapshotTable[[#This Row],[Last Price]]  - SnapshotTable[[#This Row],[SC Strike Price]]), 0)</f>
        <v>0</v>
      </c>
      <c r="FH226" s="352">
        <f>IF(SnapshotTable[[#This Row],[SC Is Filled]], IF(ISNUMBER(SnapshotTable[[#This Row],[SC Current Ask]]), SnapshotTable[[#This Row],[SC Current Ask]], SnapshotTable[[#This Row],[SC Book Price]]) - SnapshotTable[[#This Row],[SC Intrinsic Value]], 0)</f>
        <v>0</v>
      </c>
      <c r="FI226" s="141"/>
      <c r="FJ226" s="32" t="str">
        <f>IF(SnapshotTable[[#This Row],[SC Is Filled]],100 * SnapshotTable[[#This Row],[SC Qty]] * IF(ISNUMBER(SnapshotTable[[#This Row],[SC Buyback Override]]), SnapshotTable[[#This Row],[SC Buyback Override]], SnapshotTable[[#This Row],[SC Current Ask]]), "")</f>
        <v/>
      </c>
      <c r="FK226" s="235" t="str">
        <f>IF(SnapshotTable[[#This Row],[SC Time Val]]&gt;0, SnapshotTable[[#This Row],[SC Time Val]] / SnapshotTable[[#This Row],[Last Price]],"")</f>
        <v/>
      </c>
      <c r="FL226" s="280" t="str">
        <f>IF(SnapshotTable[[#This Row],[SC Is Booked]], ((SnapshotTable[[#This Row],[Last Price]] -SnapshotTable[[#This Row],[SC Strike Price]]) / SnapshotTable[[#This Row],[Last Price]]) * -1, "")</f>
        <v/>
      </c>
      <c r="FM226" s="155" t="str">
        <f>IF(SnapshotTable[[#This Row],[SC Is Booked]],  (SnapshotTable[[#This Row],[SC Qty]] * 100 * SnapshotTable[[#This Row],[SC Strike Price]]) - SnapshotTable[[#This Row],[SC Current Ask]], "")</f>
        <v/>
      </c>
      <c r="FN226"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6" s="31" t="str">
        <f>IF(AND(ISNUMBER(SnapshotTable[[#This Row],[SC Exercise Gross]]), ISNUMBER(SnapshotTable[[#This Row],[Equity Basis Per Share]] )), SnapshotTable[[#This Row],[SC Exercise Gross]] - SnapshotTable[[#This Row],[Equity Basis Total]] +  SnapshotTable[[#This Row],[SC Premium]], "")</f>
        <v/>
      </c>
      <c r="FP226" s="5" t="str">
        <f>IF(ISNUMBER(SnapshotTable[[#This Row],[SC Exercise Gross]]), (SnapshotTable[[#This Row],[SC Exercise Gross]]) / (SnapshotTable[[#This Row],[SC Qty]] * 100), "")</f>
        <v/>
      </c>
      <c r="FQ226" s="27" t="str">
        <f>IF(SnapshotTable[[#This Row],[SC Is Booked]],SnapshotTable[[#This Row],[SC Time Val]] /SnapshotTable[[#This Row],[SC Basis]], "")</f>
        <v/>
      </c>
      <c r="FR226" s="27" t="str" cm="1">
        <f t="array" ref="FR226">IF(AND(ISNUMBER(SnapshotTable[[#This Row],[SC Term]]),ISNUMBER(SnapshotTable[[#This Row],[SC Simple ROO]])), EllmanAnnualize(SnapshotTable[[#This Row],[SC DTE]], SnapshotTable[[#This Row],[SC Simple ROO]] ),"")</f>
        <v/>
      </c>
      <c r="FS226" s="4">
        <f>IF(SnapshotTable[[#This Row],[SC Strike Price]] &gt; SnapshotTable[[#This Row],[Last Price]], SnapshotTable[[#This Row],[SC Strike Price]] - SnapshotTable[[#This Row],[Last Price]],0)</f>
        <v>38.18</v>
      </c>
      <c r="FT226" s="27">
        <f>IF(AND(ISNUMBER(SnapshotTable[[#This Row],[SC Upside Potential]]), SnapshotTable[[#This Row],[SC Upside Potential]] &gt; 0),(SnapshotTable[[#This Row],[SC Upside Potential]]/ SnapshotTable[[#This Row],[ACB]]),"")</f>
        <v>0.4140548747424358</v>
      </c>
      <c r="FU226" s="304" t="str">
        <f>IF(SnapshotTable[[#This Row],[SC Intrinsic Value]] &gt; 0,SnapshotTable[[#This Row],[SC Intrinsic Value]],"")</f>
        <v/>
      </c>
      <c r="FV226" s="27" t="str">
        <f>IF(AND( ISNUMBER( SnapshotTable[[#This Row],[ACB]]),ISNUMBER(SnapshotTable[[#This Row],[SC Downside Protect]])),SnapshotTable[[#This Row],[SC Downside Protect]] / SnapshotTable[[#This Row],[ACB]],"")</f>
        <v/>
      </c>
      <c r="FW226" s="221" t="str">
        <f>IF(AND(ISNUMBER(SnapshotTable[[#This Row],[SC Simple ROO]]),SnapshotTable[[#This Row],[SC Simple ROO]] &gt; 0), SnapshotTable[[#This Row],[SC Premium]] + (SnapshotTable[[#This Row],[SC Qty]] * SnapshotTable[[#This Row],[SC Upside Potential]]), "")</f>
        <v/>
      </c>
      <c r="FX226" s="280" t="str" cm="1">
        <f t="array" ref="FX226">IF(ISNUMBER(SnapshotTable[[#This Row],[SC Max Dollars]]), annualize(SnapshotTable[[#This Row],[SC Term]],(SnapshotTable[[#This Row],[SC Max Dollars]]/SnapshotTable[[#This Row],[SC Basis]])),"")</f>
        <v/>
      </c>
      <c r="FY226" s="221" t="str">
        <f>IF(AND(SnapshotTable[[#This Row],[SC Qty]]&gt;0,SnapshotTable[[#This Row],[SC Current Ask]]&gt;0), SnapshotTable[[#This Row],[SC Qty]] * SnapshotTable[[#This Row],[SC Current Ask]] * -100, "")</f>
        <v/>
      </c>
      <c r="FZ226" s="31" t="str">
        <f>IF(ISNUMBER((SnapshotTable[[#This Row],[SC Current Value]])), SnapshotTable[[#This Row],[SC Premium]] + SnapshotTable[[#This Row],[SC Current Value]], "")</f>
        <v/>
      </c>
      <c r="GA226" s="272" t="str">
        <f>IFERROR( IF(ISNUMBER((SnapshotTable[[#This Row],[SC Current Value]])), SnapshotTable[[#This Row],[SC Gain Loss]] / SnapshotTable[[#This Row],[SC Premium]], ""), "")</f>
        <v/>
      </c>
      <c r="GB226" s="42">
        <f>SnapshotTable[[#This Row],[Equity Shares]] * SaleSharesToConsiderPercentage</f>
        <v>0</v>
      </c>
      <c r="GC226" s="40" t="e">
        <f>SnapshotTable[[#This Row],[Long Term Target]] * SellingPriceToConsiderBasedOnTargetPercentage</f>
        <v>#VALUE!</v>
      </c>
      <c r="GD226" s="40">
        <f>SnapshotTable[[#This Row],[Last Price]] * (1+ SellingPriceToConsiderBasedOnTargetPercentage)</f>
        <v>99.099000000000004</v>
      </c>
      <c r="GE226" s="41"/>
      <c r="GF226" s="40"/>
      <c r="GG226" s="31">
        <f>SnapshotTable[[#This Row],[Booked Sale Shares]] * SnapshotTable[[#This Row],[Booked Sale Price]]</f>
        <v>0</v>
      </c>
      <c r="GH226" s="31" t="str">
        <f>IF(SnapshotTable[[#This Row],[Equity Basis Total]] &gt; 0, SnapshotTable[[#This Row],[Equity Basis Per Share]] * SnapshotTable[[#This Row],[Booked Sale Shares]], "")</f>
        <v/>
      </c>
      <c r="GI226" s="31">
        <f>IF(SnapshotTable[[#This Row],[Sale Proceeds]]&gt;0, SnapshotTable[[#This Row],[Sale Proceeds]] - SnapshotTable[[#This Row],[Sale Basis]], 0)</f>
        <v>0</v>
      </c>
      <c r="GJ226" s="27" t="str">
        <f>IF(SnapshotTable[[#This Row],[Sale G/L]]&gt;0, SnapshotTable[[#This Row],[Sale G/L]] / SnapshotTable[[#This Row],[Sale Basis]], IF(ISNUMBER(SnapshotTable[[#This Row],[SC Exercise P&amp;L (TAX)]]), SnapshotTable[[#This Row],[SC Exercise P&amp;L (TAX)]] / SnapshotTable[[#This Row],[SC Basis]], ""))</f>
        <v/>
      </c>
      <c r="GK226" s="27" t="s">
        <v>614</v>
      </c>
      <c r="GL226" s="43" t="str">
        <f>IF(AND(SnapshotTable[[#This Row],[LP Exp Date]]&gt;0,SnapshotTable[[#This Row],[LP Strike Price]]&gt;0), [1]!ToOptionSymbol(SnapshotTable[[#This Row],[Symbol]], SnapshotTable[[#This Row],[LP Strike Price]],SnapshotTable[[#This Row],[LP Exp Date]],1), "")</f>
        <v/>
      </c>
      <c r="GM226" s="30" t="str">
        <f>IF(LEN(SnapshotTable[[#This Row],[LP Symbol]])&gt;0, 1, "")</f>
        <v/>
      </c>
      <c r="GN226" s="43" t="str">
        <f>IF(AND(SnapshotTable[[#This Row],[SP Exp Date]]&gt;0,SnapshotTable[[#This Row],[SP Strike Price]]&gt;0), [1]!ToOptionSymbol(SnapshotTable[[#This Row],[Symbol]], SnapshotTable[[#This Row],[SP Strike Price]],SnapshotTable[[#This Row],[SP Exp Date]],1), "")</f>
        <v/>
      </c>
      <c r="GO226" s="30" t="str">
        <f>IF(LEN(SnapshotTable[[#This Row],[SP Symbol]])&gt;0, 1, "")</f>
        <v/>
      </c>
      <c r="GP226" s="43" t="str">
        <f>IF(AND(SnapshotTable[[#This Row],[LC Exp Date]]&gt;0,SnapshotTable[[#This Row],[LC Strike Price]]&gt;0), [1]!ToOptionSymbol(SnapshotTable[[#This Row],[Symbol]], SnapshotTable[[#This Row],[LC Strike Price]],SnapshotTable[[#This Row],[LC Exp Date]],0), "")</f>
        <v/>
      </c>
      <c r="GQ226" s="30" t="str">
        <f>IF(LEN(SnapshotTable[[#This Row],[LC Symbol]])&gt;0, 1, "")</f>
        <v/>
      </c>
      <c r="GR226" s="43" t="str">
        <f>IF(AND(SnapshotTable[[#This Row],[SC Exp Date]]&gt;0,SnapshotTable[[#This Row],[SC Strike Price]]&gt;0), [1]!ToOptionSymbol(SnapshotTable[[#This Row],[Symbol]], SnapshotTable[[#This Row],[SC Strike Price]],SnapshotTable[[#This Row],[SC Exp Date]],0), "")</f>
        <v/>
      </c>
      <c r="GS226" s="30" t="str">
        <f>IF(LEN(SnapshotTable[[#This Row],[SC Symbol]])&gt;0, 1, "")</f>
        <v/>
      </c>
      <c r="GT226" s="29" t="str">
        <f>IF(COUNT(SnapshotTable[[#This Row],[LP Symbol Count]],SnapshotTable[[#This Row],[SP Symbol Count]],SnapshotTable[[#This Row],[LC Symbol Count]],SnapshotTable[[#This Row],[SC Symbol Count]])&gt;0, "Y", "")</f>
        <v/>
      </c>
      <c r="GU22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6" s="216">
        <f>MAX(SnapshotTable[[#This Row],[Equity Basis Total]],SnapshotTable[[#This Row],[Equity Value]]) + (SnapshotTable[[#This Row],[SP Potential Spend]]- SnapshotTable[[#This Row],[SP Premium]] + SnapshotTable[[#This Row],[LP Premium]])+ (SnapshotTable[[#This Row],[LC Premium]] - SnapshotTable[[#This Row],[SC Premium]])</f>
        <v>0</v>
      </c>
      <c r="GW226" s="137" t="str">
        <f>IF(AND(SnapshotTable[[#This Row],[Exposure]] &lt;&gt; 0),SnapshotTable[[#This Row],[Exposure]] / SnapshotTable[[#Totals],[Exposure]], "")</f>
        <v/>
      </c>
      <c r="HK226" s="1"/>
      <c r="HL226" s="1"/>
      <c r="HM226" s="1"/>
      <c r="HN226" s="1"/>
      <c r="HO226" s="1"/>
      <c r="HP226" s="1"/>
    </row>
    <row r="227" spans="2:224" ht="12.75" hidden="1" customHeight="1" x14ac:dyDescent="0.25">
      <c r="B227" s="12" t="s">
        <v>112</v>
      </c>
      <c r="C227" s="385">
        <v>59.2</v>
      </c>
      <c r="D227" s="200" t="s">
        <v>467</v>
      </c>
      <c r="E227" s="39">
        <f>SnapshotTable[[#This Row],[Last Price]]*(1 -CrashDiscount)</f>
        <v>50.32</v>
      </c>
      <c r="F227" s="26" t="s">
        <v>5</v>
      </c>
      <c r="G227" s="26" t="s">
        <v>4</v>
      </c>
      <c r="H227" s="147"/>
      <c r="I227" s="186">
        <v>44770.694444444445</v>
      </c>
      <c r="J227" s="187">
        <v>44770.694444444445</v>
      </c>
      <c r="K227" s="188"/>
      <c r="L227" s="297"/>
      <c r="M227" s="138"/>
      <c r="N227" s="138"/>
      <c r="O227" s="138">
        <v>3</v>
      </c>
      <c r="P227" s="22"/>
      <c r="Q227" s="25"/>
      <c r="R227" s="4" t="str">
        <f>IF(SnapshotTable[[#This Row],[Equity Basis Total]] &gt; 0, SnapshotTable[[#This Row],[Equity Basis Total]] / SnapshotTable[[#This Row],[Equity Shares]], "")</f>
        <v/>
      </c>
      <c r="S227" s="254">
        <f>SnapshotTable[[#This Row],[Last Price]] * SnapshotTable[[#This Row],[Equity Shares]]</f>
        <v>0</v>
      </c>
      <c r="T227" s="254">
        <f>SnapshotTable[[#This Row],[Equity Value]] - SnapshotTable[[#This Row],[Equity Basis Total]]</f>
        <v>0</v>
      </c>
      <c r="U227" s="255" t="str">
        <f>IF(SnapshotTable[[#This Row],[Equity Basis Total]] &gt; 0, SnapshotTable[[#This Row],[Equity G/L]] / SnapshotTable[[#This Row],[Equity Basis Total]], "")</f>
        <v/>
      </c>
      <c r="V227" s="253"/>
      <c r="W227" s="253"/>
      <c r="X227" s="4" t="str">
        <f>IF(AND(ISNUMBER(SnapshotTable[[#This Row],[Equity Basis Per Share]]),ISNUMBER(SnapshotTable[[#This Row],[Equity Target]])),SnapshotTable[[#This Row],[Equity Target]]-SnapshotTable[[#This Row],[Equity Basis Per Share]],"")</f>
        <v/>
      </c>
      <c r="Y227" s="4" t="str">
        <f>IF(AND(ISNUMBER(SnapshotTable[[#This Row],[Equity Basis Per Share]]),ISNUMBER(SnapshotTable[[#This Row],[Equity Stop Loss]])),SnapshotTable[[#This Row],[Equity Stop Loss]]-SnapshotTable[[#This Row],[Equity Basis Per Share]],"")</f>
        <v/>
      </c>
      <c r="Z227" s="260" t="str">
        <f>IFERROR( TEXT(SnapshotTable[[#This Row],[Equity Max Gain Per Share]] /ABS( SnapshotTable[[#This Row],[Equity Max Loss Per Share]]),"0.0 " ) &amp; " : 1", "")</f>
        <v/>
      </c>
      <c r="AA227" s="31" t="str">
        <f>IF(ISNUMBER(SnapshotTable[[#This Row],[Equity Max Gain Per Share]]),SnapshotTable[[#This Row],[Equity Max Gain Per Share]] * SnapshotTable[[#This Row],[Equity Shares]],"")</f>
        <v/>
      </c>
      <c r="AB227" s="31" t="str">
        <f>IF(ISNUMBER(SnapshotTable[[#This Row],[Equity Max Loss Per Share]]),SnapshotTable[[#This Row],[Equity Max Loss Per Share]] * SnapshotTable[[#This Row],[Equity Shares]],"")</f>
        <v/>
      </c>
      <c r="AC227" s="148"/>
      <c r="AD227" s="149" t="s">
        <v>2</v>
      </c>
      <c r="AE227" s="31">
        <f>(SnapshotTable[[#This Row],[Annual Dividend Per Share]] / 4) * SnapshotTable[[#This Row],[Equity Shares]]</f>
        <v>0</v>
      </c>
      <c r="AF227" s="31">
        <f>SnapshotTable[[#This Row],[Quarterly Div $]] * 4</f>
        <v>0</v>
      </c>
      <c r="AG227" s="7">
        <f>IF(SnapshotTable[[#This Row],[Annual Dividend Per Share]]&gt;0, SnapshotTable[[#This Row],[Annual Dividend Per Share]]  / SnapshotTable[[#This Row],[Last Price]], 0)</f>
        <v>0</v>
      </c>
      <c r="AH227" s="149"/>
      <c r="AI227" s="5"/>
      <c r="AJ227" s="136" t="s">
        <v>111</v>
      </c>
      <c r="AK227" s="150" t="str">
        <f>IF(ISNUMBER( SnapshotTable[[#This Row],[EBF Target]]),(SnapshotTable[[#This Row],[EBF Target]] - SnapshotTable[[#This Row],[Last Price]]) / SnapshotTable[[#This Row],[Last Price]], "")</f>
        <v/>
      </c>
      <c r="AL227" s="150" t="str">
        <f>IF(AND(SnapshotTable[[#This Row],[Equity Basis Total]] &gt; 0,ISNUMBER( SnapshotTable[[#This Row],[Long Term Target]])), SnapshotTable[[#This Row],[From Basis $]] / SnapshotTable[[#This Row],[Equity Basis Total]], "")</f>
        <v/>
      </c>
      <c r="AM227" s="9">
        <f>IF( AND(SnapshotTable[[#This Row],[Equity Shares]] &gt;0,ISNUMBER( SnapshotTable[[#This Row],[Long Term Target]])),(SnapshotTable[[#This Row],[Equity Shares]] * SnapshotTable[[#This Row],[Long Term Target]]) - SnapshotTable[[#This Row],[Equity Basis Total]],0)</f>
        <v>0</v>
      </c>
      <c r="AN227" s="9">
        <f>IF( AND(SnapshotTable[[#This Row],[Equity Shares]] &gt;0,ISNUMBER( SnapshotTable[[#This Row],[Long Term Target]])),(SnapshotTable[[#This Row],[Equity Shares]]*SnapshotTable[[#This Row],[Long Term Target]]) - SnapshotTable[[#This Row],[Equity Value]],0)</f>
        <v>0</v>
      </c>
      <c r="AO227" s="150" t="str">
        <f>IF(AND(ISNUMBER( SnapshotTable[[#This Row],[Long Term Target]]), ISNUMBER(SnapshotTable[[#This Row],[Last Price]])),(SnapshotTable[[#This Row],[Long Term Target]] - SnapshotTable[[#This Row],[Last Price]]) / SnapshotTable[[#This Row],[Last Price]], "")</f>
        <v/>
      </c>
      <c r="AP227" s="5"/>
      <c r="AQ227" s="38"/>
      <c r="AR227" s="5"/>
      <c r="AS227" s="38"/>
      <c r="AT227" s="144"/>
      <c r="AU227" s="185" t="str">
        <f>IF(OR(SnapshotTable[[#This Row],[LP No Fill]]="Y",SnapshotTable[[#This Row],[SP Is Filled]],SnapshotTable[[#This Row],[LC Not Filled]]="Y",SnapshotTable[[#This Row],[SC Is Filled]]),"Y","")</f>
        <v/>
      </c>
      <c r="AV227" s="205"/>
      <c r="AW227" s="211">
        <v>3.8820000000000001</v>
      </c>
      <c r="AX227" s="206">
        <v>44302</v>
      </c>
      <c r="AY227" s="205">
        <f>IF(SnapshotTable[[#This Row],[Implied Move]]&gt;0, SnapshotTable[[#This Row],[Last Price]]-SnapshotTable[[#This Row],[Implied Move]],"")</f>
        <v>55.318000000000005</v>
      </c>
      <c r="AZ227" s="205">
        <f>IF(SnapshotTable[[#This Row],[Implied Move]]&gt;0, SnapshotTable[[#This Row],[Last Price]] + SnapshotTable[[#This Row],[Implied Move]],"")</f>
        <v>63.082000000000001</v>
      </c>
      <c r="BA227" s="302">
        <v>92.21</v>
      </c>
      <c r="BB227" s="318"/>
      <c r="BC22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7" s="321"/>
      <c r="BE227" s="5"/>
      <c r="BF227" s="14"/>
      <c r="BG227" s="13"/>
      <c r="BH227" s="13"/>
      <c r="BI227" s="5"/>
      <c r="BJ227" s="134">
        <f>IF(SnapshotTable[[#This Row],[LP Qty]] &gt; 0, SnapshotTable[[#This Row],[LP Qty]] * SnapshotTable[[#This Row],[LP Book Price]] * 100,0)</f>
        <v>0</v>
      </c>
      <c r="BK227" s="134">
        <f>IF(SnapshotTable[[#This Row],[LP Premium]] &gt; 0, SnapshotTable[[#This Row],[LP Qty]] * SnapshotTable[[#This Row],[LP Strike Price]] * 100,0)</f>
        <v>0</v>
      </c>
      <c r="BL227" s="152"/>
      <c r="BM227" s="355" t="str">
        <f>IF(SnapshotTable[[#This Row],[LP Premium]] &gt; 0,SnapshotTable[[#This Row],[LP Exp Date]]-MAX(SnapshotTable[[#This Row],[LP Book Date]], SnapshotTable[[#This Row],[LP Fill Date]]),"")</f>
        <v/>
      </c>
      <c r="BN227" s="355" t="str">
        <f>IF(ISNUMBER( SnapshotTable[[#This Row],[LP Term]]), SnapshotTable[[#This Row],[LP Exp Date]] - MockToday,"")</f>
        <v/>
      </c>
      <c r="BO227" s="161" t="str">
        <f>IF(AND(SnapshotTable[[#This Row],[LP Exp Date]]&gt;0, SnapshotTable[[#This Row],[LP Strike Price]]&gt;0,SnapshotTable[[#This Row],[LP Qty]]&gt;0,SnapshotTable[[#This Row],[LP Book Date]]&gt;0,SnapshotTable[[#This Row],[LP Book Price]]&gt;0,SnapshotTable[[#This Row],[LP Fill Date]]=0),"Y","")</f>
        <v/>
      </c>
      <c r="BP227" s="31" t="str">
        <f>IF(AND(SnapshotTable[[#This Row],[LP No Fill]]&lt;&gt;"Y",SnapshotTable[[#This Row],[LP Contract Value]]&gt;0, SnapshotTable[[#This Row],[LP Qty]]&gt;0), SnapshotTable[[#This Row],[LP Contract Value]]*SnapshotTable[[#This Row],[LP Qty]]*100,"")</f>
        <v/>
      </c>
      <c r="BQ227" s="13"/>
      <c r="BR227" s="5"/>
      <c r="BS227" s="36"/>
      <c r="BT227" s="145"/>
      <c r="BU227" s="13"/>
      <c r="BV227" s="5"/>
      <c r="BW227" s="382" t="b">
        <f>AND(ISNUMBER(SnapshotTable[[#This Row],[SP Exp Date]]), ISNUMBER(SnapshotTable[[#This Row],[SP Strike Price]]), ISNUMBER(SnapshotTable[[#This Row],[SP Qty]]), ISNUMBER(SnapshotTable[[#This Row],[SP Book Date]]), ISNUMBER(SnapshotTable[[#This Row],[SP Book Price]]))</f>
        <v>0</v>
      </c>
      <c r="BX227" s="382" t="b">
        <f>AND(SnapshotTable[[#This Row],[SP Is Booked]], NOT(ISBLANK(SnapshotTable[[#This Row],[SP Fill Date]])))</f>
        <v>0</v>
      </c>
      <c r="BY227" s="33">
        <f>IF(SnapshotTable[[#This Row],[SP Is Booked]], SnapshotTable[[#This Row],[SP Qty]] * SnapshotTable[[#This Row],[SP Book Price]] * 100, 0)</f>
        <v>0</v>
      </c>
      <c r="BZ227" s="339"/>
      <c r="CA227" s="338">
        <f>SnapshotTable[[#This Row],[LP Qty]]</f>
        <v>0</v>
      </c>
      <c r="CB227" s="4" t="str">
        <f>IF(SnapshotTable[[#This Row],[SP Is Booked]], SnapshotTable[[#This Row],[SP Strike Price]] - SnapshotTable[[#This Row],[SP Book Price]], "")</f>
        <v/>
      </c>
      <c r="CC227" s="19" t="str">
        <f>IF(SnapshotTable[[#This Row],[SP Is Booked]],SnapshotTable[[#This Row],[SP Exp Date]]-MAX(SnapshotTable[[#This Row],[SP Book Date]], SnapshotTable[[#This Row],[SP Fill Date]]),"")</f>
        <v/>
      </c>
      <c r="CD227" s="7" t="str">
        <f>IF(SnapshotTable[[#This Row],[SP Is Booked]], SnapshotTable[[#This Row],[SP Book Price]]/SnapshotTable[[#This Row],[SP Strike Price]], "")</f>
        <v/>
      </c>
      <c r="CE227" s="7" t="str">
        <f>IF(ISNUMBER(SnapshotTable[[#This Row],[SP ROO Term]]),SnapshotTable[[#This Row],[SP ROO Term]]*(365/SnapshotTable[[#This Row],[SP Term]]),"")</f>
        <v/>
      </c>
      <c r="CF227" s="221">
        <f>SnapshotTable[[#This Row],[LP Strike Price]] * SnapshotTable[[#This Row],[LP Qty]] * 100</f>
        <v>0</v>
      </c>
      <c r="CG227" s="31">
        <f>IF(ISNUMBER(SnapshotTable[[#This Row],[SP Premium]]), (SnapshotTable[[#This Row],[SP Qty]] * SnapshotTable[[#This Row],[SP Strike Price]]* 100) - SnapshotTable[[#This Row],[LP Protection]], 0)</f>
        <v>0</v>
      </c>
      <c r="CH227" s="7" t="str">
        <f>IF(ISNUMBER(SnapshotTable[[#This Row],[SP Break Even]]),-1 * (SnapshotTable[[#This Row],[SP Break Even]] - SnapshotTable[[#This Row],[Last Price]]) / SnapshotTable[[#This Row],[Last Price]], "")</f>
        <v/>
      </c>
      <c r="CI227" s="31">
        <f>IF(AND(ISNUMBER((SnapshotTable[[#This Row],[SP Potential Spend]])), SnapshotTable[[#This Row],[SP Strike Price]] &gt; SnapshotTable[[#This Row],[Last Price]], SnapshotTable[[#This Row],[SP Is Filled]]), SnapshotTable[[#This Row],[SP Potential Spend]] -  SnapshotTable[[#This Row],[LP Max Value]], 0)</f>
        <v>0</v>
      </c>
      <c r="CJ227" s="229"/>
      <c r="CK227" s="31">
        <f>IF(ISNUMBER(SnapshotTable[[#This Row],[SP Potential Spend]]),IF(ISNUMBER(SnapshotTable[[#This Row],[SP POW]]), SnapshotTable[[#This Row],[SP POW]] * SnapshotTable[[#This Row],[SP Potential Spend]], SnapshotTable[[#This Row],[SP Potential Spend]]), "")</f>
        <v>0</v>
      </c>
      <c r="CL227" s="162">
        <f>IF(NOT(SnapshotTable[[#This Row],[SP Is Filled]]),(SnapshotTable[[#This Row],[SP Qty]] * SnapshotTable[[#This Row],[SP Strike Price]] * 100) - SnapshotTable[[#This Row],[LP Max Value]],"")</f>
        <v>0</v>
      </c>
      <c r="CM227" s="31" t="str">
        <f>IF(SnapshotTable[[#This Row],[SP Actual Spend]]&lt;&gt;0, ((SnapshotTable[[#This Row],[SP Strike Price]]-SnapshotTable[[#This Row],[Last Price]]) *(SnapshotTable[[#This Row],[SP Qty]]*100) - SnapshotTable[[#This Row],[SP Premium]]) * - 1, "")</f>
        <v/>
      </c>
      <c r="CN227" s="76"/>
      <c r="CO227" s="339"/>
      <c r="CP227" s="4" t="str">
        <f>IF(SnapshotTable[[#This Row],[SP Is Filled]], btc_max_buyback_amount(SnapshotTable[[#This Row],[SP Fill Date]],SnapshotTable[[#This Row],[SP Exp Date]], SnapshotTable[[#This Row],[SP Book Price]]),"")</f>
        <v/>
      </c>
      <c r="CQ227" s="76"/>
      <c r="CR22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7" s="153" t="str">
        <f>IF(SnapshotTable[[#This Row],[SP Is Filled]], btc_next_cutoff_date(SnapshotTable[[#This Row],[SP Fill Date]],SnapshotTable[[#This Row],[SP Exp Date]]),"")</f>
        <v/>
      </c>
      <c r="CT227" s="220" t="str" cm="1">
        <f t="array" ref="CT227">IF(SnapshotTable[[#This Row],[SP Is Filled]], btc_should_buy_back(SnapshotTable[[#This Row],[SP Fill Date]], SnapshotTable[[#This Row],[SP Exp Date]], SnapshotTable[[#This Row],[SP Book Price]], SnapshotTable[[#This Row],[SP Current Ask]], MockToday, SnapshotTable[[#This Row],[SP Buyback Override]]),"")</f>
        <v/>
      </c>
      <c r="CU227" s="141"/>
      <c r="CV227" s="220"/>
      <c r="CW227" s="348" t="str">
        <f>IF(ISNUMBER( SnapshotTable[[#This Row],[SP Term]]), SnapshotTable[[#This Row],[SP Exp Date]] - MockToday,"")</f>
        <v/>
      </c>
      <c r="CX227" s="31" t="str">
        <f>IF(SnapshotTable[[#This Row],[SP Is Filled]],SnapshotTable[[#This Row],[SP Buyback Price to Use]] * 100 * SnapshotTable[[#This Row],[SP Qty]], "")</f>
        <v/>
      </c>
      <c r="CY227" s="4" t="str">
        <f>IF(ISNUMBER(SnapshotTable[[#This Row],[SP Strike Price]]), SnapshotTable[[#This Row],[SP Strike Price]] * (1 - SP_MaxLoss_StrikePct), "")</f>
        <v/>
      </c>
      <c r="CZ227" s="31" t="str">
        <f>IF(ISNUMBER(SnapshotTable[[#This Row],[SP Strike  Stop Per Share]]),SnapshotTable[[#This Row],[SP Premium]] - ((SnapshotTable[[#This Row],[SP Strike Price]]-SnapshotTable[[#This Row],[SP Strike  Stop Per Share]]) *(SnapshotTable[[#This Row],[SP Qty]] * 100)),"")</f>
        <v/>
      </c>
      <c r="DA227" s="4" t="str">
        <f>IF(AND(ISNUMBER(SnapshotTable[[#This Row],[SP Premium]]),SnapshotTable[[#This Row],[SP Premium]]&gt;0), SnapshotTable[[#This Row],[SP Book Price]] * (1 + SP_MaxLoss_OptionPct), "")</f>
        <v/>
      </c>
      <c r="DB227" s="31" t="str">
        <f>IF(ISNUMBER(SnapshotTable[[#This Row],[SP Option  Stop Contract]]),(SnapshotTable[[#This Row],[SP Option  Stop Contract]] *(SnapshotTable[[#This Row],[SP Qty]] * 100) - SnapshotTable[[#This Row],[SP Premium]]),"")</f>
        <v/>
      </c>
      <c r="DC227" s="4"/>
      <c r="DD227" s="4"/>
      <c r="DE227" s="4" t="str">
        <f>IF(AND(SnapshotTable[[#This Row],[SP Qty]]&gt;0, SnapshotTable[[#This Row],[SP Stop To Use]]&gt;0),SnapshotTable[[#This Row],[SP Premium]] - ( SnapshotTable[[#This Row],[SP Qty]] * SnapshotTable[[#This Row],[SP Stop To Use]] * 100), "")</f>
        <v/>
      </c>
      <c r="DF227" s="31" t="str">
        <f>IF(AND(SnapshotTable[[#This Row],[SP Qty]]&gt;0,SnapshotTable[[#This Row],[SP Current Ask]]&gt;0), SnapshotTable[[#This Row],[SP Qty]] * SnapshotTable[[#This Row],[SP Current Ask]] * -100, "")</f>
        <v/>
      </c>
      <c r="DG227" s="31" t="str">
        <f>IF(ISNUMBER((SnapshotTable[[#This Row],[SP Total Value]])), SnapshotTable[[#This Row],[SP Premium]] + SnapshotTable[[#This Row],[SP Total Value]], "")</f>
        <v/>
      </c>
      <c r="DH227" s="272" t="str">
        <f>IF(ISNUMBER((SnapshotTable[[#This Row],[SP Total Value]])), SnapshotTable[[#This Row],[SP Gain Loss]] / SnapshotTable[[#This Row],[SP Premium]], "")</f>
        <v/>
      </c>
      <c r="DI227" s="369"/>
      <c r="DJ227" s="136"/>
      <c r="DK227" s="146"/>
      <c r="DL227" s="13"/>
      <c r="DM227" s="13"/>
      <c r="DO227" s="31">
        <f>IF(SnapshotTable[[#This Row],[LC Symbol Count]]=1, SnapshotTable[[#This Row],[LC Qty]] * SnapshotTable[[#This Row],[LC Book Price]] * 100, 0)</f>
        <v>0</v>
      </c>
      <c r="DP227" s="161" t="str">
        <f>IF(AND(SnapshotTable[[#This Row],[LC Exp Date]]&gt;0, SnapshotTable[[#This Row],[LC Strike Price]]&gt;0,SnapshotTable[[#This Row],[LC Qty]]&gt;0,SnapshotTable[[#This Row],[LC Book Date]]&gt;0,SnapshotTable[[#This Row],[LC Book Price]]&gt;0,SnapshotTable[[#This Row],[LC Fill Date]]=0),"Y","")</f>
        <v/>
      </c>
      <c r="DQ227" s="356" t="str">
        <f>IF(SnapshotTable[[#This Row],[LC Premium]] &gt; 0,SnapshotTable[[#This Row],[LC Exp Date]]-MAX(SnapshotTable[[#This Row],[LC Book Date]], SnapshotTable[[#This Row],[LC Fill Date]]),"")</f>
        <v/>
      </c>
      <c r="DR227" s="356" t="str">
        <f>IF(ISNUMBER(SnapshotTable[[#This Row],[LC Term]]), SnapshotTable[[#This Row],[LC Exp Date]] - MockToday, "")</f>
        <v/>
      </c>
      <c r="DS227" s="219" t="str">
        <f>IF(SnapshotTable[[#This Row],[LC Premium]]&gt;0,SnapshotTable[[#This Row],[LC Strike Price]] + SnapshotTable[[#This Row],[LC Book Price]],"")</f>
        <v/>
      </c>
      <c r="DU227" s="9" t="str">
        <f>IF(AND(SnapshotTable[[#This Row],[LC Symbol Count]]&gt;0, SnapshotTable[[#This Row],[LC Contract Value]]&gt;0), SnapshotTable[[#This Row],[LC Contract Value]] * SnapshotTable[[#This Row],[LC Qty]] * 100, "")</f>
        <v/>
      </c>
      <c r="DV227" s="9" t="str">
        <f>IF(AND(ISNUMBER(SnapshotTable[[#This Row],[LC Total Value]]), SnapshotTable[[#This Row],[LC Not Filled]]&lt;&gt;"Y"), SnapshotTable[[#This Row],[LC Total Value]]-SnapshotTable[[#This Row],[LC Premium]],"")</f>
        <v/>
      </c>
      <c r="DW227" s="225" t="str">
        <f>IF(ISNUMBER(SnapshotTable[[#This Row],[LC Actual Gain Loss]]), SnapshotTable[[#This Row],[LC Actual Gain Loss]] / SnapshotTable[[#This Row],[LC Premium]],"")</f>
        <v/>
      </c>
      <c r="DX227" s="269" t="str">
        <f>IF(ISNUMBER(SnapshotTable[[#This Row],[LC Book Price]]),SnapshotTable[[#This Row],[LC Book Price]] * 1.5,"")</f>
        <v/>
      </c>
      <c r="DY227" s="250" t="str">
        <f>IF(SnapshotTable[[#This Row],[LC Premium]]&gt;0, SnapshotTable[[#This Row],[LC Next Target]] * SnapshotTable[[#This Row],[LC Qty]] * 100,"")</f>
        <v/>
      </c>
      <c r="DZ227" s="250" t="str">
        <f>IF(ISNUMBER(SnapshotTable[[#This Row],[LC Target Gross]]), SnapshotTable[[#This Row],[LC Target Gross]] - SnapshotTable[[#This Row],[LC Premium]], "")</f>
        <v/>
      </c>
      <c r="EA227" s="283" t="str">
        <f>IF(ISNUMBER(SnapshotTable[[#This Row],[LC Target Gain Loss]]), SnapshotTable[[#This Row],[LC Target Gain Loss]]/SnapshotTable[[#This Row],[LC Premium]], "")</f>
        <v/>
      </c>
      <c r="EB227" s="247"/>
      <c r="EC227" s="268" t="str">
        <f>IF(SnapshotTable[[#This Row],[LC Premium]]&gt;0, SnapshotTable[[#This Row],[LC Book Price]] * (1 - LC_StopLoss_Pct),"")</f>
        <v/>
      </c>
      <c r="ED227" s="269"/>
      <c r="EE227" s="268" t="str">
        <f>IF(ISNUMBER(SnapshotTable[[#This Row],[LC Contract Value]]),IF(ISNUMBER(SnapshotTable[[#This Row],[LC Stop Loss Override]]), SnapshotTable[[#This Row],[LC Stop Loss Override]],SnapshotTable[[#This Row],[LC Stop Loss Calc Target]]),"")</f>
        <v/>
      </c>
      <c r="EF227" s="31" t="str">
        <f>IF(ISNUMBER(SnapshotTable[[#This Row],[LC Stop  To Use]]), (SnapshotTable[[#This Row],[LC Stop  To Use]] * SnapshotTable[[#This Row],[LC Qty]] * 100),"")</f>
        <v/>
      </c>
      <c r="EG227" s="9" t="str">
        <f>IF(ISNUMBER(SnapshotTable[[#This Row],[LC Total Value]]),SnapshotTable[[#This Row],[LC Stop Loss Amount]] - SnapshotTable[[#This Row],[LC Premium]],"")</f>
        <v/>
      </c>
      <c r="EH227" s="9">
        <f>IF(ISNUMBER(SnapshotTable[[#This Row],[LC Premium]]), SnapshotTable[[#This Row],[LC Qty]] * 100 * SnapshotTable[[#This Row],[LC Strike Price]], "")</f>
        <v>0</v>
      </c>
      <c r="EI227" s="225" t="str">
        <f>IF(AND(ISNUMBER(SnapshotTable[[#This Row],[LC Total Value]]),SnapshotTable[[#This Row],[LC Total Value]]&gt;0),SnapshotTable[[#This Row],[LC Stop Gain Loss]]  / SnapshotTable[[#This Row],[LC Premium]],"")</f>
        <v/>
      </c>
      <c r="EJ227" s="35">
        <f>IF(ISNUMBER(SnapshotTable[[#This Row],[Equity Shares]]),TRUNC(SnapshotTable[[#This Row],[Equity Shares]] / 100),0) + SnapshotTable[[#This Row],[LC Qty]]</f>
        <v>0</v>
      </c>
      <c r="EK227" s="145"/>
      <c r="EL227" s="136">
        <v>95</v>
      </c>
      <c r="EM227" s="146">
        <v>0</v>
      </c>
      <c r="EN227" s="145">
        <v>45076</v>
      </c>
      <c r="EO227" s="145"/>
      <c r="EP227" s="136">
        <v>1.77</v>
      </c>
      <c r="EQ227" s="382" t="b">
        <f>AND(ISNUMBER(SnapshotTable[[#This Row],[SC Exp Date]]), ISNUMBER(SnapshotTable[[#This Row],[SC Strike Price]]), ISNUMBER(SnapshotTable[[#This Row],[SC Qty]]), ISNUMBER(SnapshotTable[[#This Row],[SC Book Date]]), ISNUMBER(SnapshotTable[[#This Row],[SC Book Price]]))</f>
        <v>0</v>
      </c>
      <c r="ER227" s="382" t="b">
        <f>AND(SnapshotTable[[#This Row],[SC Is Booked]], NOT(ISBLANK(SnapshotTable[[#This Row],[SC Fill Date]])))</f>
        <v>0</v>
      </c>
      <c r="ES227" s="340"/>
      <c r="ET227" s="34" t="str">
        <f>IF(AND(ISNUMBER(SnapshotTable[[#This Row],[SC Exp Date]]), ISNUMBER(SnapshotTable[[#This Row],[SC Book Date]])), SnapshotTable[[#This Row],[SC Exp Date]] - MAX(SnapshotTable[[#This Row],[SC Book Date]], SnapshotTable[[#This Row],[SC Fill Date]]) + 1, "")</f>
        <v/>
      </c>
      <c r="EU227" s="34" t="str">
        <f>IF(ISNUMBER(SnapshotTable[[#This Row],[SC Term]]), SnapshotTable[[#This Row],[SC Exp Date]]- MockToday, "")</f>
        <v/>
      </c>
      <c r="EV227" s="31">
        <f>IF(SnapshotTable[[#This Row],[SC Is Booked]], SnapshotTable[[#This Row],[SC Qty]] * SnapshotTable[[#This Row],[SC Book Price]] * 100, 0)</f>
        <v>0</v>
      </c>
      <c r="EW227" s="4">
        <f>IF(AND(ISNUMBER(SnapshotTable[[#This Row],[Last Price]]), ISNUMBER( SnapshotTable[[#This Row],[SC Book Price]])), SnapshotTable[[#This Row],[Last Price]] - SnapshotTable[[#This Row],[SC Book Price]],"")</f>
        <v>57.43</v>
      </c>
      <c r="EX227" s="219" t="str">
        <f>IF(SnapshotTable[[#This Row],[SC Is Booked]],IF(SnapshotTable[[#This Row],[SC Intrinsic Value]] &gt; 0, SnapshotTable[[#This Row],[SC Strike Price]], SnapshotTable[[#This Row],[Last Price]]), "")</f>
        <v/>
      </c>
      <c r="EY227" s="4">
        <f>IF(SnapshotTable[[#This Row],[SC Is Booked]], (MinimumPremiumRequired * SnapshotTable[[#This Row],[SC Basis]] * SnapshotTable[[#This Row],[SC Term]]), 0)</f>
        <v>0</v>
      </c>
      <c r="EZ227" s="268"/>
      <c r="FA227" s="386"/>
      <c r="FB227" s="340"/>
      <c r="FC227" s="4">
        <f>IF(SnapshotTable[[#This Row],[SC Is Filled]], btc_max_buyback_amount(SnapshotTable[[#This Row],[SC Fill Date]],SnapshotTable[[#This Row],[SC Exp Date]], SnapshotTable[[#This Row],[SC Book Price]]),0)</f>
        <v>0</v>
      </c>
      <c r="FD227" s="5"/>
      <c r="FE227" s="142" t="str">
        <f>IF(SnapshotTable[[#This Row],[SC Is Filled]], btc_next_cutoff_date(SnapshotTable[[#This Row],[SC Fill Date]],SnapshotTable[[#This Row],[SC Exp Date]]),"")</f>
        <v/>
      </c>
      <c r="FF227" s="4" t="str" cm="1">
        <f t="array" ref="FF227">IF(SnapshotTable[[#This Row],[SC Is Filled]], btc_should_buy_back(SnapshotTable[[#This Row],[SC Fill Date]], SnapshotTable[[#This Row],[SC Exp Date]], SnapshotTable[[#This Row],[SC Book Price]], SnapshotTable[[#This Row],[SC Current Ask]], MockToday, SnapshotTable[[#This Row],[SC Buyback Override]]),"")</f>
        <v/>
      </c>
      <c r="FG227" s="4">
        <f>IF(SnapshotTable[[#This Row],[SC Is Filled]], MAX(0,SnapshotTable[[#This Row],[Last Price]]  - SnapshotTable[[#This Row],[SC Strike Price]]), 0)</f>
        <v>0</v>
      </c>
      <c r="FH227" s="352">
        <f>IF(SnapshotTable[[#This Row],[SC Is Filled]], IF(ISNUMBER(SnapshotTable[[#This Row],[SC Current Ask]]), SnapshotTable[[#This Row],[SC Current Ask]], SnapshotTable[[#This Row],[SC Book Price]]) - SnapshotTable[[#This Row],[SC Intrinsic Value]], 0)</f>
        <v>0</v>
      </c>
      <c r="FI227" s="141"/>
      <c r="FJ227" s="32" t="str">
        <f>IF(SnapshotTable[[#This Row],[SC Is Filled]],100 * SnapshotTable[[#This Row],[SC Qty]] * IF(ISNUMBER(SnapshotTable[[#This Row],[SC Buyback Override]]), SnapshotTable[[#This Row],[SC Buyback Override]], SnapshotTable[[#This Row],[SC Current Ask]]), "")</f>
        <v/>
      </c>
      <c r="FK227" s="235" t="str">
        <f>IF(SnapshotTable[[#This Row],[SC Time Val]]&gt;0, SnapshotTable[[#This Row],[SC Time Val]] / SnapshotTable[[#This Row],[Last Price]],"")</f>
        <v/>
      </c>
      <c r="FL227" s="280" t="str">
        <f>IF(SnapshotTable[[#This Row],[SC Is Booked]], ((SnapshotTable[[#This Row],[Last Price]] -SnapshotTable[[#This Row],[SC Strike Price]]) / SnapshotTable[[#This Row],[Last Price]]) * -1, "")</f>
        <v/>
      </c>
      <c r="FM227" s="155" t="str">
        <f>IF(SnapshotTable[[#This Row],[SC Is Booked]],  (SnapshotTable[[#This Row],[SC Qty]] * 100 * SnapshotTable[[#This Row],[SC Strike Price]]) - SnapshotTable[[#This Row],[SC Current Ask]], "")</f>
        <v/>
      </c>
      <c r="FN22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7" s="31" t="str">
        <f>IF(AND(ISNUMBER(SnapshotTable[[#This Row],[SC Exercise Gross]]), ISNUMBER(SnapshotTable[[#This Row],[Equity Basis Per Share]] )), SnapshotTable[[#This Row],[SC Exercise Gross]] - SnapshotTable[[#This Row],[Equity Basis Total]] +  SnapshotTable[[#This Row],[SC Premium]], "")</f>
        <v/>
      </c>
      <c r="FP227" s="5" t="str">
        <f>IF(ISNUMBER(SnapshotTable[[#This Row],[SC Exercise Gross]]), (SnapshotTable[[#This Row],[SC Exercise Gross]]) / (SnapshotTable[[#This Row],[SC Qty]] * 100), "")</f>
        <v/>
      </c>
      <c r="FQ227" s="27" t="str">
        <f>IF(SnapshotTable[[#This Row],[SC Is Booked]],SnapshotTable[[#This Row],[SC Time Val]] /SnapshotTable[[#This Row],[SC Basis]], "")</f>
        <v/>
      </c>
      <c r="FR227" s="27" t="str" cm="1">
        <f t="array" ref="FR227">IF(AND(ISNUMBER(SnapshotTable[[#This Row],[SC Term]]),ISNUMBER(SnapshotTable[[#This Row],[SC Simple ROO]])), EllmanAnnualize(SnapshotTable[[#This Row],[SC DTE]], SnapshotTable[[#This Row],[SC Simple ROO]] ),"")</f>
        <v/>
      </c>
      <c r="FS227" s="4">
        <f>IF(SnapshotTable[[#This Row],[SC Strike Price]] &gt; SnapshotTable[[#This Row],[Last Price]], SnapshotTable[[#This Row],[SC Strike Price]] - SnapshotTable[[#This Row],[Last Price]],0)</f>
        <v>35.799999999999997</v>
      </c>
      <c r="FT227" s="27">
        <f>IF(AND(ISNUMBER(SnapshotTable[[#This Row],[SC Upside Potential]]), SnapshotTable[[#This Row],[SC Upside Potential]] &gt; 0),(SnapshotTable[[#This Row],[SC Upside Potential]]/ SnapshotTable[[#This Row],[ACB]]),"")</f>
        <v>0.38824422513827134</v>
      </c>
      <c r="FU227" s="304" t="str">
        <f>IF(SnapshotTable[[#This Row],[SC Intrinsic Value]] &gt; 0,SnapshotTable[[#This Row],[SC Intrinsic Value]],"")</f>
        <v/>
      </c>
      <c r="FV227" s="27" t="str">
        <f>IF(AND( ISNUMBER( SnapshotTable[[#This Row],[ACB]]),ISNUMBER(SnapshotTable[[#This Row],[SC Downside Protect]])),SnapshotTable[[#This Row],[SC Downside Protect]] / SnapshotTable[[#This Row],[ACB]],"")</f>
        <v/>
      </c>
      <c r="FW227" s="221" t="str">
        <f>IF(AND(ISNUMBER(SnapshotTable[[#This Row],[SC Simple ROO]]),SnapshotTable[[#This Row],[SC Simple ROO]] &gt; 0), SnapshotTable[[#This Row],[SC Premium]] + (SnapshotTable[[#This Row],[SC Qty]] * SnapshotTable[[#This Row],[SC Upside Potential]]), "")</f>
        <v/>
      </c>
      <c r="FX227" s="280" t="str" cm="1">
        <f t="array" ref="FX227">IF(ISNUMBER(SnapshotTable[[#This Row],[SC Max Dollars]]), annualize(SnapshotTable[[#This Row],[SC Term]],(SnapshotTable[[#This Row],[SC Max Dollars]]/SnapshotTable[[#This Row],[SC Basis]])),"")</f>
        <v/>
      </c>
      <c r="FY227" s="221" t="str">
        <f>IF(AND(SnapshotTable[[#This Row],[SC Qty]]&gt;0,SnapshotTable[[#This Row],[SC Current Ask]]&gt;0), SnapshotTable[[#This Row],[SC Qty]] * SnapshotTable[[#This Row],[SC Current Ask]] * -100, "")</f>
        <v/>
      </c>
      <c r="FZ227" s="31" t="str">
        <f>IF(ISNUMBER((SnapshotTable[[#This Row],[SC Current Value]])), SnapshotTable[[#This Row],[SC Premium]] + SnapshotTable[[#This Row],[SC Current Value]], "")</f>
        <v/>
      </c>
      <c r="GA227" s="272" t="str">
        <f>IFERROR( IF(ISNUMBER((SnapshotTable[[#This Row],[SC Current Value]])), SnapshotTable[[#This Row],[SC Gain Loss]] / SnapshotTable[[#This Row],[SC Premium]], ""), "")</f>
        <v/>
      </c>
      <c r="GB227" s="42">
        <f>SnapshotTable[[#This Row],[Equity Shares]] * SaleSharesToConsiderPercentage</f>
        <v>0</v>
      </c>
      <c r="GC227" s="40" t="e">
        <f>SnapshotTable[[#This Row],[Long Term Target]] * SellingPriceToConsiderBasedOnTargetPercentage</f>
        <v>#VALUE!</v>
      </c>
      <c r="GD227" s="40">
        <f>SnapshotTable[[#This Row],[Last Price]] * (1+ SellingPriceToConsiderBasedOnTargetPercentage)</f>
        <v>115.44</v>
      </c>
      <c r="GE227" s="41"/>
      <c r="GF227" s="40"/>
      <c r="GG227" s="31">
        <f>SnapshotTable[[#This Row],[Booked Sale Shares]] * SnapshotTable[[#This Row],[Booked Sale Price]]</f>
        <v>0</v>
      </c>
      <c r="GH227" s="31" t="str">
        <f>IF(SnapshotTable[[#This Row],[Equity Basis Total]] &gt; 0, SnapshotTable[[#This Row],[Equity Basis Per Share]] * SnapshotTable[[#This Row],[Booked Sale Shares]], "")</f>
        <v/>
      </c>
      <c r="GI227" s="31">
        <f>IF(SnapshotTable[[#This Row],[Sale Proceeds]]&gt;0, SnapshotTable[[#This Row],[Sale Proceeds]] - SnapshotTable[[#This Row],[Sale Basis]], 0)</f>
        <v>0</v>
      </c>
      <c r="GJ227" s="27" t="str">
        <f>IF(SnapshotTable[[#This Row],[Sale G/L]]&gt;0, SnapshotTable[[#This Row],[Sale G/L]] / SnapshotTable[[#This Row],[Sale Basis]], IF(ISNUMBER(SnapshotTable[[#This Row],[SC Exercise P&amp;L (TAX)]]), SnapshotTable[[#This Row],[SC Exercise P&amp;L (TAX)]] / SnapshotTable[[#This Row],[SC Basis]], ""))</f>
        <v/>
      </c>
      <c r="GK227" s="27" t="s">
        <v>615</v>
      </c>
      <c r="GL227" s="43" t="str">
        <f>IF(AND(SnapshotTable[[#This Row],[LP Exp Date]]&gt;0,SnapshotTable[[#This Row],[LP Strike Price]]&gt;0), [1]!ToOptionSymbol(SnapshotTable[[#This Row],[Symbol]], SnapshotTable[[#This Row],[LP Strike Price]],SnapshotTable[[#This Row],[LP Exp Date]],1), "")</f>
        <v/>
      </c>
      <c r="GM227" s="30" t="str">
        <f>IF(LEN(SnapshotTable[[#This Row],[LP Symbol]])&gt;0, 1, "")</f>
        <v/>
      </c>
      <c r="GN227" s="43" t="str">
        <f>IF(AND(SnapshotTable[[#This Row],[SP Exp Date]]&gt;0,SnapshotTable[[#This Row],[SP Strike Price]]&gt;0), [1]!ToOptionSymbol(SnapshotTable[[#This Row],[Symbol]], SnapshotTable[[#This Row],[SP Strike Price]],SnapshotTable[[#This Row],[SP Exp Date]],1), "")</f>
        <v/>
      </c>
      <c r="GO227" s="30" t="str">
        <f>IF(LEN(SnapshotTable[[#This Row],[SP Symbol]])&gt;0, 1, "")</f>
        <v/>
      </c>
      <c r="GP227" s="43" t="str">
        <f>IF(AND(SnapshotTable[[#This Row],[LC Exp Date]]&gt;0,SnapshotTable[[#This Row],[LC Strike Price]]&gt;0), [1]!ToOptionSymbol(SnapshotTable[[#This Row],[Symbol]], SnapshotTable[[#This Row],[LC Strike Price]],SnapshotTable[[#This Row],[LC Exp Date]],0), "")</f>
        <v/>
      </c>
      <c r="GQ227" s="30" t="str">
        <f>IF(LEN(SnapshotTable[[#This Row],[LC Symbol]])&gt;0, 1, "")</f>
        <v/>
      </c>
      <c r="GR227" s="43" t="str">
        <f>IF(AND(SnapshotTable[[#This Row],[SC Exp Date]]&gt;0,SnapshotTable[[#This Row],[SC Strike Price]]&gt;0), [1]!ToOptionSymbol(SnapshotTable[[#This Row],[Symbol]], SnapshotTable[[#This Row],[SC Strike Price]],SnapshotTable[[#This Row],[SC Exp Date]],0), "")</f>
        <v/>
      </c>
      <c r="GS227" s="30" t="str">
        <f>IF(LEN(SnapshotTable[[#This Row],[SC Symbol]])&gt;0, 1, "")</f>
        <v/>
      </c>
      <c r="GT227" s="29" t="str">
        <f>IF(COUNT(SnapshotTable[[#This Row],[LP Symbol Count]],SnapshotTable[[#This Row],[SP Symbol Count]],SnapshotTable[[#This Row],[LC Symbol Count]],SnapshotTable[[#This Row],[SC Symbol Count]])&gt;0, "Y", "")</f>
        <v/>
      </c>
      <c r="GU22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7" s="216">
        <f>MAX(SnapshotTable[[#This Row],[Equity Basis Total]],SnapshotTable[[#This Row],[Equity Value]]) + (SnapshotTable[[#This Row],[SP Potential Spend]]- SnapshotTable[[#This Row],[SP Premium]] + SnapshotTable[[#This Row],[LP Premium]])+ (SnapshotTable[[#This Row],[LC Premium]] - SnapshotTable[[#This Row],[SC Premium]])</f>
        <v>0</v>
      </c>
      <c r="GW227" s="137" t="str">
        <f>IF(AND(SnapshotTable[[#This Row],[Exposure]] &lt;&gt; 0),SnapshotTable[[#This Row],[Exposure]] / SnapshotTable[[#Totals],[Exposure]], "")</f>
        <v/>
      </c>
      <c r="HK227" s="1"/>
      <c r="HL227" s="1"/>
      <c r="HM227" s="1"/>
      <c r="HN227" s="1"/>
      <c r="HO227" s="1"/>
      <c r="HP227" s="1"/>
    </row>
    <row r="228" spans="2:224" ht="12.75" hidden="1" customHeight="1" x14ac:dyDescent="0.25">
      <c r="B228" s="12" t="s">
        <v>110</v>
      </c>
      <c r="C228" s="385">
        <v>178.85</v>
      </c>
      <c r="D228" s="200"/>
      <c r="E228" s="39">
        <f>SnapshotTable[[#This Row],[Last Price]]*(1 -CrashDiscount)</f>
        <v>152.02249999999998</v>
      </c>
      <c r="F228" s="26" t="s">
        <v>5</v>
      </c>
      <c r="G228" s="26" t="s">
        <v>4</v>
      </c>
      <c r="H228" s="147"/>
      <c r="I228" s="186">
        <v>44770.694444444445</v>
      </c>
      <c r="J228" s="187">
        <v>44770.694444444445</v>
      </c>
      <c r="K228" s="188"/>
      <c r="L228" s="297"/>
      <c r="M228" s="138"/>
      <c r="N228" s="138"/>
      <c r="O228" s="138">
        <v>1</v>
      </c>
      <c r="P228" s="22"/>
      <c r="Q228" s="25"/>
      <c r="R228" s="4" t="str">
        <f>IF(SnapshotTable[[#This Row],[Equity Basis Total]] &gt; 0, SnapshotTable[[#This Row],[Equity Basis Total]] / SnapshotTable[[#This Row],[Equity Shares]], "")</f>
        <v/>
      </c>
      <c r="S228" s="254">
        <f>SnapshotTable[[#This Row],[Last Price]] * SnapshotTable[[#This Row],[Equity Shares]]</f>
        <v>0</v>
      </c>
      <c r="T228" s="254">
        <f>SnapshotTable[[#This Row],[Equity Value]] - SnapshotTable[[#This Row],[Equity Basis Total]]</f>
        <v>0</v>
      </c>
      <c r="U228" s="255" t="str">
        <f>IF(SnapshotTable[[#This Row],[Equity Basis Total]] &gt; 0, SnapshotTable[[#This Row],[Equity G/L]] / SnapshotTable[[#This Row],[Equity Basis Total]], "")</f>
        <v/>
      </c>
      <c r="V228" s="253"/>
      <c r="W228" s="253"/>
      <c r="X228" s="4" t="str">
        <f>IF(AND(ISNUMBER(SnapshotTable[[#This Row],[Equity Basis Per Share]]),ISNUMBER(SnapshotTable[[#This Row],[Equity Target]])),SnapshotTable[[#This Row],[Equity Target]]-SnapshotTable[[#This Row],[Equity Basis Per Share]],"")</f>
        <v/>
      </c>
      <c r="Y228" s="4" t="str">
        <f>IF(AND(ISNUMBER(SnapshotTable[[#This Row],[Equity Basis Per Share]]),ISNUMBER(SnapshotTable[[#This Row],[Equity Stop Loss]])),SnapshotTable[[#This Row],[Equity Stop Loss]]-SnapshotTable[[#This Row],[Equity Basis Per Share]],"")</f>
        <v/>
      </c>
      <c r="Z228" s="260" t="str">
        <f>IFERROR( TEXT(SnapshotTable[[#This Row],[Equity Max Gain Per Share]] /ABS( SnapshotTable[[#This Row],[Equity Max Loss Per Share]]),"0.0 " ) &amp; " : 1", "")</f>
        <v/>
      </c>
      <c r="AA228" s="31" t="str">
        <f>IF(ISNUMBER(SnapshotTable[[#This Row],[Equity Max Gain Per Share]]),SnapshotTable[[#This Row],[Equity Max Gain Per Share]] * SnapshotTable[[#This Row],[Equity Shares]],"")</f>
        <v/>
      </c>
      <c r="AB228" s="31" t="str">
        <f>IF(ISNUMBER(SnapshotTable[[#This Row],[Equity Max Loss Per Share]]),SnapshotTable[[#This Row],[Equity Max Loss Per Share]] * SnapshotTable[[#This Row],[Equity Shares]],"")</f>
        <v/>
      </c>
      <c r="AC228" s="148">
        <v>0</v>
      </c>
      <c r="AD228" s="149" t="s">
        <v>2</v>
      </c>
      <c r="AE228" s="31">
        <f>(SnapshotTable[[#This Row],[Annual Dividend Per Share]] / 4) * SnapshotTable[[#This Row],[Equity Shares]]</f>
        <v>0</v>
      </c>
      <c r="AF228" s="31">
        <f>SnapshotTable[[#This Row],[Quarterly Div $]] * 4</f>
        <v>0</v>
      </c>
      <c r="AG228" s="7">
        <f>IF(SnapshotTable[[#This Row],[Annual Dividend Per Share]]&gt;0, SnapshotTable[[#This Row],[Annual Dividend Per Share]]  / SnapshotTable[[#This Row],[Last Price]], 0)</f>
        <v>0</v>
      </c>
      <c r="AH228" s="149" t="s">
        <v>2</v>
      </c>
      <c r="AI228" s="5"/>
      <c r="AJ228" s="136" t="s">
        <v>111</v>
      </c>
      <c r="AK228" s="150" t="str">
        <f>IF(ISNUMBER( SnapshotTable[[#This Row],[EBF Target]]),(SnapshotTable[[#This Row],[EBF Target]] - SnapshotTable[[#This Row],[Last Price]]) / SnapshotTable[[#This Row],[Last Price]], "")</f>
        <v/>
      </c>
      <c r="AL228" s="150" t="str">
        <f>IF(AND(SnapshotTable[[#This Row],[Equity Basis Total]] &gt; 0,ISNUMBER( SnapshotTable[[#This Row],[Long Term Target]])), SnapshotTable[[#This Row],[From Basis $]] / SnapshotTable[[#This Row],[Equity Basis Total]], "")</f>
        <v/>
      </c>
      <c r="AM228" s="9">
        <f>IF( AND(SnapshotTable[[#This Row],[Equity Shares]] &gt;0,ISNUMBER( SnapshotTable[[#This Row],[Long Term Target]])),(SnapshotTable[[#This Row],[Equity Shares]] * SnapshotTable[[#This Row],[Long Term Target]]) - SnapshotTable[[#This Row],[Equity Basis Total]],0)</f>
        <v>0</v>
      </c>
      <c r="AN228" s="9">
        <f>IF( AND(SnapshotTable[[#This Row],[Equity Shares]] &gt;0,ISNUMBER( SnapshotTable[[#This Row],[Long Term Target]])),(SnapshotTable[[#This Row],[Equity Shares]]*SnapshotTable[[#This Row],[Long Term Target]]) - SnapshotTable[[#This Row],[Equity Value]],0)</f>
        <v>0</v>
      </c>
      <c r="AO228" s="150" t="str">
        <f>IF(AND(ISNUMBER( SnapshotTable[[#This Row],[Long Term Target]]), ISNUMBER(SnapshotTable[[#This Row],[Last Price]])),(SnapshotTable[[#This Row],[Long Term Target]] - SnapshotTable[[#This Row],[Last Price]]) / SnapshotTable[[#This Row],[Last Price]], "")</f>
        <v/>
      </c>
      <c r="AP228" s="5"/>
      <c r="AQ228" s="38"/>
      <c r="AR228" s="5"/>
      <c r="AS228" s="38"/>
      <c r="AT228" s="144"/>
      <c r="AU228" s="185" t="str">
        <f>IF(OR(SnapshotTable[[#This Row],[LP No Fill]]="Y",SnapshotTable[[#This Row],[SP Is Filled]],SnapshotTable[[#This Row],[LC Not Filled]]="Y",SnapshotTable[[#This Row],[SC Is Filled]]),"Y","")</f>
        <v/>
      </c>
      <c r="AV228" s="205"/>
      <c r="AW228" s="211"/>
      <c r="AX228" s="206"/>
      <c r="AY228" s="205" t="str">
        <f>IF(SnapshotTable[[#This Row],[Implied Move]]&gt;0, SnapshotTable[[#This Row],[Last Price]]-SnapshotTable[[#This Row],[Implied Move]],"")</f>
        <v/>
      </c>
      <c r="AZ228" s="205" t="str">
        <f>IF(SnapshotTable[[#This Row],[Implied Move]]&gt;0, SnapshotTable[[#This Row],[Last Price]] + SnapshotTable[[#This Row],[Implied Move]],"")</f>
        <v/>
      </c>
      <c r="BA228" s="302">
        <v>532.09</v>
      </c>
      <c r="BB228" s="318"/>
      <c r="BC22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8" s="321"/>
      <c r="BE228" s="5"/>
      <c r="BF228" s="14"/>
      <c r="BG228" s="13"/>
      <c r="BH228" s="13"/>
      <c r="BI228" s="5"/>
      <c r="BJ228" s="134">
        <f>IF(SnapshotTable[[#This Row],[LP Qty]] &gt; 0, SnapshotTable[[#This Row],[LP Qty]] * SnapshotTable[[#This Row],[LP Book Price]] * 100,0)</f>
        <v>0</v>
      </c>
      <c r="BK228" s="134">
        <f>IF(SnapshotTable[[#This Row],[LP Premium]] &gt; 0, SnapshotTable[[#This Row],[LP Qty]] * SnapshotTable[[#This Row],[LP Strike Price]] * 100,0)</f>
        <v>0</v>
      </c>
      <c r="BL228" s="152"/>
      <c r="BM228" s="355" t="str">
        <f>IF(SnapshotTable[[#This Row],[LP Premium]] &gt; 0,SnapshotTable[[#This Row],[LP Exp Date]]-MAX(SnapshotTable[[#This Row],[LP Book Date]], SnapshotTable[[#This Row],[LP Fill Date]]),"")</f>
        <v/>
      </c>
      <c r="BN228" s="355" t="str">
        <f>IF(ISNUMBER( SnapshotTable[[#This Row],[LP Term]]), SnapshotTable[[#This Row],[LP Exp Date]] - MockToday,"")</f>
        <v/>
      </c>
      <c r="BO228" s="161" t="str">
        <f>IF(AND(SnapshotTable[[#This Row],[LP Exp Date]]&gt;0, SnapshotTable[[#This Row],[LP Strike Price]]&gt;0,SnapshotTable[[#This Row],[LP Qty]]&gt;0,SnapshotTable[[#This Row],[LP Book Date]]&gt;0,SnapshotTable[[#This Row],[LP Book Price]]&gt;0,SnapshotTable[[#This Row],[LP Fill Date]]=0),"Y","")</f>
        <v/>
      </c>
      <c r="BP228" s="31" t="str">
        <f>IF(AND(SnapshotTable[[#This Row],[LP No Fill]]&lt;&gt;"Y",SnapshotTable[[#This Row],[LP Contract Value]]&gt;0, SnapshotTable[[#This Row],[LP Qty]]&gt;0), SnapshotTable[[#This Row],[LP Contract Value]]*SnapshotTable[[#This Row],[LP Qty]]*100,"")</f>
        <v/>
      </c>
      <c r="BQ228" s="13"/>
      <c r="BR228" s="5"/>
      <c r="BS228" s="36"/>
      <c r="BT228" s="145"/>
      <c r="BU228" s="13"/>
      <c r="BV228" s="5"/>
      <c r="BW228" s="382" t="b">
        <f>AND(ISNUMBER(SnapshotTable[[#This Row],[SP Exp Date]]), ISNUMBER(SnapshotTable[[#This Row],[SP Strike Price]]), ISNUMBER(SnapshotTable[[#This Row],[SP Qty]]), ISNUMBER(SnapshotTable[[#This Row],[SP Book Date]]), ISNUMBER(SnapshotTable[[#This Row],[SP Book Price]]))</f>
        <v>0</v>
      </c>
      <c r="BX228" s="382" t="b">
        <f>AND(SnapshotTable[[#This Row],[SP Is Booked]], NOT(ISBLANK(SnapshotTable[[#This Row],[SP Fill Date]])))</f>
        <v>0</v>
      </c>
      <c r="BY228" s="33">
        <f>IF(SnapshotTable[[#This Row],[SP Is Booked]], SnapshotTable[[#This Row],[SP Qty]] * SnapshotTable[[#This Row],[SP Book Price]] * 100, 0)</f>
        <v>0</v>
      </c>
      <c r="BZ228" s="339"/>
      <c r="CA228" s="338">
        <f>SnapshotTable[[#This Row],[LP Qty]]</f>
        <v>0</v>
      </c>
      <c r="CB228" s="4" t="str">
        <f>IF(SnapshotTable[[#This Row],[SP Is Booked]], SnapshotTable[[#This Row],[SP Strike Price]] - SnapshotTable[[#This Row],[SP Book Price]], "")</f>
        <v/>
      </c>
      <c r="CC228" s="19" t="str">
        <f>IF(SnapshotTable[[#This Row],[SP Is Booked]],SnapshotTable[[#This Row],[SP Exp Date]]-MAX(SnapshotTable[[#This Row],[SP Book Date]], SnapshotTable[[#This Row],[SP Fill Date]]),"")</f>
        <v/>
      </c>
      <c r="CD228" s="7" t="str">
        <f>IF(SnapshotTable[[#This Row],[SP Is Booked]], SnapshotTable[[#This Row],[SP Book Price]]/SnapshotTable[[#This Row],[SP Strike Price]], "")</f>
        <v/>
      </c>
      <c r="CE228" s="7" t="str">
        <f>IF(ISNUMBER(SnapshotTable[[#This Row],[SP ROO Term]]),SnapshotTable[[#This Row],[SP ROO Term]]*(365/SnapshotTable[[#This Row],[SP Term]]),"")</f>
        <v/>
      </c>
      <c r="CF228" s="221">
        <f>SnapshotTable[[#This Row],[LP Strike Price]] * SnapshotTable[[#This Row],[LP Qty]] * 100</f>
        <v>0</v>
      </c>
      <c r="CG228" s="31">
        <f>IF(ISNUMBER(SnapshotTable[[#This Row],[SP Premium]]), (SnapshotTable[[#This Row],[SP Qty]] * SnapshotTable[[#This Row],[SP Strike Price]]* 100) - SnapshotTable[[#This Row],[LP Protection]], 0)</f>
        <v>0</v>
      </c>
      <c r="CH228" s="7" t="str">
        <f>IF(ISNUMBER(SnapshotTable[[#This Row],[SP Break Even]]),-1 * (SnapshotTable[[#This Row],[SP Break Even]] - SnapshotTable[[#This Row],[Last Price]]) / SnapshotTable[[#This Row],[Last Price]], "")</f>
        <v/>
      </c>
      <c r="CI228" s="31">
        <f>IF(AND(ISNUMBER((SnapshotTable[[#This Row],[SP Potential Spend]])), SnapshotTable[[#This Row],[SP Strike Price]] &gt; SnapshotTable[[#This Row],[Last Price]], SnapshotTable[[#This Row],[SP Is Filled]]), SnapshotTable[[#This Row],[SP Potential Spend]] -  SnapshotTable[[#This Row],[LP Max Value]], 0)</f>
        <v>0</v>
      </c>
      <c r="CJ228" s="229"/>
      <c r="CK228" s="31">
        <f>IF(ISNUMBER(SnapshotTable[[#This Row],[SP Potential Spend]]),IF(ISNUMBER(SnapshotTable[[#This Row],[SP POW]]), SnapshotTable[[#This Row],[SP POW]] * SnapshotTable[[#This Row],[SP Potential Spend]], SnapshotTable[[#This Row],[SP Potential Spend]]), "")</f>
        <v>0</v>
      </c>
      <c r="CL228" s="162">
        <f>IF(NOT(SnapshotTable[[#This Row],[SP Is Filled]]),(SnapshotTable[[#This Row],[SP Qty]] * SnapshotTable[[#This Row],[SP Strike Price]] * 100) - SnapshotTable[[#This Row],[LP Max Value]],"")</f>
        <v>0</v>
      </c>
      <c r="CM228" s="31" t="str">
        <f>IF(SnapshotTable[[#This Row],[SP Actual Spend]]&lt;&gt;0, ((SnapshotTable[[#This Row],[SP Strike Price]]-SnapshotTable[[#This Row],[Last Price]]) *(SnapshotTable[[#This Row],[SP Qty]]*100) - SnapshotTable[[#This Row],[SP Premium]]) * - 1, "")</f>
        <v/>
      </c>
      <c r="CN228" s="76"/>
      <c r="CO228" s="339"/>
      <c r="CP228" s="4" t="str">
        <f>IF(SnapshotTable[[#This Row],[SP Is Filled]], btc_max_buyback_amount(SnapshotTable[[#This Row],[SP Fill Date]],SnapshotTable[[#This Row],[SP Exp Date]], SnapshotTable[[#This Row],[SP Book Price]]),"")</f>
        <v/>
      </c>
      <c r="CQ228" s="76"/>
      <c r="CR22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8" s="153" t="str">
        <f>IF(SnapshotTable[[#This Row],[SP Is Filled]], btc_next_cutoff_date(SnapshotTable[[#This Row],[SP Fill Date]],SnapshotTable[[#This Row],[SP Exp Date]]),"")</f>
        <v/>
      </c>
      <c r="CT228" s="220" t="str" cm="1">
        <f t="array" ref="CT228">IF(SnapshotTable[[#This Row],[SP Is Filled]], btc_should_buy_back(SnapshotTable[[#This Row],[SP Fill Date]], SnapshotTable[[#This Row],[SP Exp Date]], SnapshotTable[[#This Row],[SP Book Price]], SnapshotTable[[#This Row],[SP Current Ask]], MockToday, SnapshotTable[[#This Row],[SP Buyback Override]]),"")</f>
        <v/>
      </c>
      <c r="CU228" s="141"/>
      <c r="CV228" s="220"/>
      <c r="CW228" s="348" t="str">
        <f>IF(ISNUMBER( SnapshotTable[[#This Row],[SP Term]]), SnapshotTable[[#This Row],[SP Exp Date]] - MockToday,"")</f>
        <v/>
      </c>
      <c r="CX228" s="31" t="str">
        <f>IF(SnapshotTable[[#This Row],[SP Is Filled]],SnapshotTable[[#This Row],[SP Buyback Price to Use]] * 100 * SnapshotTable[[#This Row],[SP Qty]], "")</f>
        <v/>
      </c>
      <c r="CY228" s="4" t="str">
        <f>IF(ISNUMBER(SnapshotTable[[#This Row],[SP Strike Price]]), SnapshotTable[[#This Row],[SP Strike Price]] * (1 - SP_MaxLoss_StrikePct), "")</f>
        <v/>
      </c>
      <c r="CZ228" s="31" t="str">
        <f>IF(ISNUMBER(SnapshotTable[[#This Row],[SP Strike  Stop Per Share]]),SnapshotTable[[#This Row],[SP Premium]] - ((SnapshotTable[[#This Row],[SP Strike Price]]-SnapshotTable[[#This Row],[SP Strike  Stop Per Share]]) *(SnapshotTable[[#This Row],[SP Qty]] * 100)),"")</f>
        <v/>
      </c>
      <c r="DA228" s="4" t="str">
        <f>IF(AND(ISNUMBER(SnapshotTable[[#This Row],[SP Premium]]),SnapshotTable[[#This Row],[SP Premium]]&gt;0), SnapshotTable[[#This Row],[SP Book Price]] * (1 + SP_MaxLoss_OptionPct), "")</f>
        <v/>
      </c>
      <c r="DB228" s="31" t="str">
        <f>IF(ISNUMBER(SnapshotTable[[#This Row],[SP Option  Stop Contract]]),(SnapshotTable[[#This Row],[SP Option  Stop Contract]] *(SnapshotTable[[#This Row],[SP Qty]] * 100) - SnapshotTable[[#This Row],[SP Premium]]),"")</f>
        <v/>
      </c>
      <c r="DC228" s="4"/>
      <c r="DD228" s="4"/>
      <c r="DE228" s="4" t="str">
        <f>IF(AND(SnapshotTable[[#This Row],[SP Qty]]&gt;0, SnapshotTable[[#This Row],[SP Stop To Use]]&gt;0),SnapshotTable[[#This Row],[SP Premium]] - ( SnapshotTable[[#This Row],[SP Qty]] * SnapshotTable[[#This Row],[SP Stop To Use]] * 100), "")</f>
        <v/>
      </c>
      <c r="DF228" s="31" t="str">
        <f>IF(AND(SnapshotTable[[#This Row],[SP Qty]]&gt;0,SnapshotTable[[#This Row],[SP Current Ask]]&gt;0), SnapshotTable[[#This Row],[SP Qty]] * SnapshotTable[[#This Row],[SP Current Ask]] * -100, "")</f>
        <v/>
      </c>
      <c r="DG228" s="31" t="str">
        <f>IF(ISNUMBER((SnapshotTable[[#This Row],[SP Total Value]])), SnapshotTable[[#This Row],[SP Premium]] + SnapshotTable[[#This Row],[SP Total Value]], "")</f>
        <v/>
      </c>
      <c r="DH228" s="272" t="str">
        <f>IF(ISNUMBER((SnapshotTable[[#This Row],[SP Total Value]])), SnapshotTable[[#This Row],[SP Gain Loss]] / SnapshotTable[[#This Row],[SP Premium]], "")</f>
        <v/>
      </c>
      <c r="DI228" s="369"/>
      <c r="DJ228" s="136"/>
      <c r="DK228" s="146"/>
      <c r="DL228" s="13"/>
      <c r="DM228" s="13"/>
      <c r="DO228" s="31">
        <f>IF(SnapshotTable[[#This Row],[LC Symbol Count]]=1, SnapshotTable[[#This Row],[LC Qty]] * SnapshotTable[[#This Row],[LC Book Price]] * 100, 0)</f>
        <v>0</v>
      </c>
      <c r="DP228" s="161" t="str">
        <f>IF(AND(SnapshotTable[[#This Row],[LC Exp Date]]&gt;0, SnapshotTable[[#This Row],[LC Strike Price]]&gt;0,SnapshotTable[[#This Row],[LC Qty]]&gt;0,SnapshotTable[[#This Row],[LC Book Date]]&gt;0,SnapshotTable[[#This Row],[LC Book Price]]&gt;0,SnapshotTable[[#This Row],[LC Fill Date]]=0),"Y","")</f>
        <v/>
      </c>
      <c r="DQ228" s="356" t="str">
        <f>IF(SnapshotTable[[#This Row],[LC Premium]] &gt; 0,SnapshotTable[[#This Row],[LC Exp Date]]-MAX(SnapshotTable[[#This Row],[LC Book Date]], SnapshotTable[[#This Row],[LC Fill Date]]),"")</f>
        <v/>
      </c>
      <c r="DR228" s="356" t="str">
        <f>IF(ISNUMBER(SnapshotTable[[#This Row],[LC Term]]), SnapshotTable[[#This Row],[LC Exp Date]] - MockToday, "")</f>
        <v/>
      </c>
      <c r="DS228" s="219" t="str">
        <f>IF(SnapshotTable[[#This Row],[LC Premium]]&gt;0,SnapshotTable[[#This Row],[LC Strike Price]] + SnapshotTable[[#This Row],[LC Book Price]],"")</f>
        <v/>
      </c>
      <c r="DU228" s="9" t="str">
        <f>IF(AND(SnapshotTable[[#This Row],[LC Symbol Count]]&gt;0, SnapshotTable[[#This Row],[LC Contract Value]]&gt;0), SnapshotTable[[#This Row],[LC Contract Value]] * SnapshotTable[[#This Row],[LC Qty]] * 100, "")</f>
        <v/>
      </c>
      <c r="DV228" s="9" t="str">
        <f>IF(AND(ISNUMBER(SnapshotTable[[#This Row],[LC Total Value]]), SnapshotTable[[#This Row],[LC Not Filled]]&lt;&gt;"Y"), SnapshotTable[[#This Row],[LC Total Value]]-SnapshotTable[[#This Row],[LC Premium]],"")</f>
        <v/>
      </c>
      <c r="DW228" s="225" t="str">
        <f>IF(ISNUMBER(SnapshotTable[[#This Row],[LC Actual Gain Loss]]), SnapshotTable[[#This Row],[LC Actual Gain Loss]] / SnapshotTable[[#This Row],[LC Premium]],"")</f>
        <v/>
      </c>
      <c r="DX228" s="269" t="str">
        <f>IF(ISNUMBER(SnapshotTable[[#This Row],[LC Book Price]]),SnapshotTable[[#This Row],[LC Book Price]] * 1.5,"")</f>
        <v/>
      </c>
      <c r="DY228" s="250" t="str">
        <f>IF(SnapshotTable[[#This Row],[LC Premium]]&gt;0, SnapshotTable[[#This Row],[LC Next Target]] * SnapshotTable[[#This Row],[LC Qty]] * 100,"")</f>
        <v/>
      </c>
      <c r="DZ228" s="250" t="str">
        <f>IF(ISNUMBER(SnapshotTable[[#This Row],[LC Target Gross]]), SnapshotTable[[#This Row],[LC Target Gross]] - SnapshotTable[[#This Row],[LC Premium]], "")</f>
        <v/>
      </c>
      <c r="EA228" s="283" t="str">
        <f>IF(ISNUMBER(SnapshotTable[[#This Row],[LC Target Gain Loss]]), SnapshotTable[[#This Row],[LC Target Gain Loss]]/SnapshotTable[[#This Row],[LC Premium]], "")</f>
        <v/>
      </c>
      <c r="EB228" s="247"/>
      <c r="EC228" s="268" t="str">
        <f>IF(SnapshotTable[[#This Row],[LC Premium]]&gt;0, SnapshotTable[[#This Row],[LC Book Price]] * (1 - LC_StopLoss_Pct),"")</f>
        <v/>
      </c>
      <c r="ED228" s="269"/>
      <c r="EE228" s="268" t="str">
        <f>IF(ISNUMBER(SnapshotTable[[#This Row],[LC Contract Value]]),IF(ISNUMBER(SnapshotTable[[#This Row],[LC Stop Loss Override]]), SnapshotTable[[#This Row],[LC Stop Loss Override]],SnapshotTable[[#This Row],[LC Stop Loss Calc Target]]),"")</f>
        <v/>
      </c>
      <c r="EF228" s="31" t="str">
        <f>IF(ISNUMBER(SnapshotTable[[#This Row],[LC Stop  To Use]]), (SnapshotTable[[#This Row],[LC Stop  To Use]] * SnapshotTable[[#This Row],[LC Qty]] * 100),"")</f>
        <v/>
      </c>
      <c r="EG228" s="9" t="str">
        <f>IF(ISNUMBER(SnapshotTable[[#This Row],[LC Total Value]]),SnapshotTable[[#This Row],[LC Stop Loss Amount]] - SnapshotTable[[#This Row],[LC Premium]],"")</f>
        <v/>
      </c>
      <c r="EH228" s="9">
        <f>IF(ISNUMBER(SnapshotTable[[#This Row],[LC Premium]]), SnapshotTable[[#This Row],[LC Qty]] * 100 * SnapshotTable[[#This Row],[LC Strike Price]], "")</f>
        <v>0</v>
      </c>
      <c r="EI228" s="225" t="str">
        <f>IF(AND(ISNUMBER(SnapshotTable[[#This Row],[LC Total Value]]),SnapshotTable[[#This Row],[LC Total Value]]&gt;0),SnapshotTable[[#This Row],[LC Stop Gain Loss]]  / SnapshotTable[[#This Row],[LC Premium]],"")</f>
        <v/>
      </c>
      <c r="EJ228" s="35">
        <f>IF(ISNUMBER(SnapshotTable[[#This Row],[Equity Shares]]),TRUNC(SnapshotTable[[#This Row],[Equity Shares]] / 100),0) + SnapshotTable[[#This Row],[LC Qty]]</f>
        <v>0</v>
      </c>
      <c r="EK228" s="145"/>
      <c r="EL228" s="136">
        <v>530</v>
      </c>
      <c r="EM228" s="146"/>
      <c r="EN228" s="145">
        <v>45076</v>
      </c>
      <c r="EO228" s="145"/>
      <c r="EP228" s="136">
        <v>26.5</v>
      </c>
      <c r="EQ228" s="382" t="b">
        <f>AND(ISNUMBER(SnapshotTable[[#This Row],[SC Exp Date]]), ISNUMBER(SnapshotTable[[#This Row],[SC Strike Price]]), ISNUMBER(SnapshotTable[[#This Row],[SC Qty]]), ISNUMBER(SnapshotTable[[#This Row],[SC Book Date]]), ISNUMBER(SnapshotTable[[#This Row],[SC Book Price]]))</f>
        <v>0</v>
      </c>
      <c r="ER228" s="382" t="b">
        <f>AND(SnapshotTable[[#This Row],[SC Is Booked]], NOT(ISBLANK(SnapshotTable[[#This Row],[SC Fill Date]])))</f>
        <v>0</v>
      </c>
      <c r="ES228" s="340"/>
      <c r="ET228" s="34" t="str">
        <f>IF(AND(ISNUMBER(SnapshotTable[[#This Row],[SC Exp Date]]), ISNUMBER(SnapshotTable[[#This Row],[SC Book Date]])), SnapshotTable[[#This Row],[SC Exp Date]] - MAX(SnapshotTable[[#This Row],[SC Book Date]], SnapshotTable[[#This Row],[SC Fill Date]]) + 1, "")</f>
        <v/>
      </c>
      <c r="EU228" s="34" t="str">
        <f>IF(ISNUMBER(SnapshotTable[[#This Row],[SC Term]]), SnapshotTable[[#This Row],[SC Exp Date]]- MockToday, "")</f>
        <v/>
      </c>
      <c r="EV228" s="31">
        <f>IF(SnapshotTable[[#This Row],[SC Is Booked]], SnapshotTable[[#This Row],[SC Qty]] * SnapshotTable[[#This Row],[SC Book Price]] * 100, 0)</f>
        <v>0</v>
      </c>
      <c r="EW228" s="4">
        <f>IF(AND(ISNUMBER(SnapshotTable[[#This Row],[Last Price]]), ISNUMBER( SnapshotTable[[#This Row],[SC Book Price]])), SnapshotTable[[#This Row],[Last Price]] - SnapshotTable[[#This Row],[SC Book Price]],"")</f>
        <v>152.35</v>
      </c>
      <c r="EX228" s="219" t="str">
        <f>IF(SnapshotTable[[#This Row],[SC Is Booked]],IF(SnapshotTable[[#This Row],[SC Intrinsic Value]] &gt; 0, SnapshotTable[[#This Row],[SC Strike Price]], SnapshotTable[[#This Row],[Last Price]]), "")</f>
        <v/>
      </c>
      <c r="EY228" s="4">
        <f>IF(SnapshotTable[[#This Row],[SC Is Booked]], (MinimumPremiumRequired * SnapshotTable[[#This Row],[SC Basis]] * SnapshotTable[[#This Row],[SC Term]]), 0)</f>
        <v>0</v>
      </c>
      <c r="EZ228" s="268"/>
      <c r="FA228" s="386"/>
      <c r="FB228" s="340"/>
      <c r="FC228" s="4">
        <f>IF(SnapshotTable[[#This Row],[SC Is Filled]], btc_max_buyback_amount(SnapshotTable[[#This Row],[SC Fill Date]],SnapshotTable[[#This Row],[SC Exp Date]], SnapshotTable[[#This Row],[SC Book Price]]),0)</f>
        <v>0</v>
      </c>
      <c r="FD228" s="5"/>
      <c r="FE228" s="142" t="str">
        <f>IF(SnapshotTable[[#This Row],[SC Is Filled]], btc_next_cutoff_date(SnapshotTable[[#This Row],[SC Fill Date]],SnapshotTable[[#This Row],[SC Exp Date]]),"")</f>
        <v/>
      </c>
      <c r="FF228" s="4" t="str" cm="1">
        <f t="array" ref="FF228">IF(SnapshotTable[[#This Row],[SC Is Filled]], btc_should_buy_back(SnapshotTable[[#This Row],[SC Fill Date]], SnapshotTable[[#This Row],[SC Exp Date]], SnapshotTable[[#This Row],[SC Book Price]], SnapshotTable[[#This Row],[SC Current Ask]], MockToday, SnapshotTable[[#This Row],[SC Buyback Override]]),"")</f>
        <v/>
      </c>
      <c r="FG228" s="4">
        <f>IF(SnapshotTable[[#This Row],[SC Is Filled]], MAX(0,SnapshotTable[[#This Row],[Last Price]]  - SnapshotTable[[#This Row],[SC Strike Price]]), 0)</f>
        <v>0</v>
      </c>
      <c r="FH228" s="352">
        <f>IF(SnapshotTable[[#This Row],[SC Is Filled]], IF(ISNUMBER(SnapshotTable[[#This Row],[SC Current Ask]]), SnapshotTable[[#This Row],[SC Current Ask]], SnapshotTable[[#This Row],[SC Book Price]]) - SnapshotTable[[#This Row],[SC Intrinsic Value]], 0)</f>
        <v>0</v>
      </c>
      <c r="FI228" s="141"/>
      <c r="FJ228" s="32" t="str">
        <f>IF(SnapshotTable[[#This Row],[SC Is Filled]],100 * SnapshotTable[[#This Row],[SC Qty]] * IF(ISNUMBER(SnapshotTable[[#This Row],[SC Buyback Override]]), SnapshotTable[[#This Row],[SC Buyback Override]], SnapshotTable[[#This Row],[SC Current Ask]]), "")</f>
        <v/>
      </c>
      <c r="FK228" s="235" t="str">
        <f>IF(SnapshotTable[[#This Row],[SC Time Val]]&gt;0, SnapshotTable[[#This Row],[SC Time Val]] / SnapshotTable[[#This Row],[Last Price]],"")</f>
        <v/>
      </c>
      <c r="FL228" s="280" t="str">
        <f>IF(SnapshotTable[[#This Row],[SC Is Booked]], ((SnapshotTable[[#This Row],[Last Price]] -SnapshotTable[[#This Row],[SC Strike Price]]) / SnapshotTable[[#This Row],[Last Price]]) * -1, "")</f>
        <v/>
      </c>
      <c r="FM228" s="155" t="str">
        <f>IF(SnapshotTable[[#This Row],[SC Is Booked]],  (SnapshotTable[[#This Row],[SC Qty]] * 100 * SnapshotTable[[#This Row],[SC Strike Price]]) - SnapshotTable[[#This Row],[SC Current Ask]], "")</f>
        <v/>
      </c>
      <c r="FN22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8" s="31" t="str">
        <f>IF(AND(ISNUMBER(SnapshotTable[[#This Row],[SC Exercise Gross]]), ISNUMBER(SnapshotTable[[#This Row],[Equity Basis Per Share]] )), SnapshotTable[[#This Row],[SC Exercise Gross]] - SnapshotTable[[#This Row],[Equity Basis Total]] +  SnapshotTable[[#This Row],[SC Premium]], "")</f>
        <v/>
      </c>
      <c r="FP228" s="5" t="str">
        <f>IF(ISNUMBER(SnapshotTable[[#This Row],[SC Exercise Gross]]), (SnapshotTable[[#This Row],[SC Exercise Gross]]) / (SnapshotTable[[#This Row],[SC Qty]] * 100), "")</f>
        <v/>
      </c>
      <c r="FQ228" s="27" t="str">
        <f>IF(SnapshotTable[[#This Row],[SC Is Booked]],SnapshotTable[[#This Row],[SC Time Val]] /SnapshotTable[[#This Row],[SC Basis]], "")</f>
        <v/>
      </c>
      <c r="FR228" s="27" t="str" cm="1">
        <f t="array" ref="FR228">IF(AND(ISNUMBER(SnapshotTable[[#This Row],[SC Term]]),ISNUMBER(SnapshotTable[[#This Row],[SC Simple ROO]])), EllmanAnnualize(SnapshotTable[[#This Row],[SC DTE]], SnapshotTable[[#This Row],[SC Simple ROO]] ),"")</f>
        <v/>
      </c>
      <c r="FS228" s="4">
        <f>IF(SnapshotTable[[#This Row],[SC Strike Price]] &gt; SnapshotTable[[#This Row],[Last Price]], SnapshotTable[[#This Row],[SC Strike Price]] - SnapshotTable[[#This Row],[Last Price]],0)</f>
        <v>351.15</v>
      </c>
      <c r="FT228" s="27">
        <f>IF(AND(ISNUMBER(SnapshotTable[[#This Row],[SC Upside Potential]]), SnapshotTable[[#This Row],[SC Upside Potential]] &gt; 0),(SnapshotTable[[#This Row],[SC Upside Potential]]/ SnapshotTable[[#This Row],[ACB]]),"")</f>
        <v>0.65994474618955434</v>
      </c>
      <c r="FU228" s="304" t="str">
        <f>IF(SnapshotTable[[#This Row],[SC Intrinsic Value]] &gt; 0,SnapshotTable[[#This Row],[SC Intrinsic Value]],"")</f>
        <v/>
      </c>
      <c r="FV228" s="27" t="str">
        <f>IF(AND( ISNUMBER( SnapshotTable[[#This Row],[ACB]]),ISNUMBER(SnapshotTable[[#This Row],[SC Downside Protect]])),SnapshotTable[[#This Row],[SC Downside Protect]] / SnapshotTable[[#This Row],[ACB]],"")</f>
        <v/>
      </c>
      <c r="FW228" s="221" t="str">
        <f>IF(AND(ISNUMBER(SnapshotTable[[#This Row],[SC Simple ROO]]),SnapshotTable[[#This Row],[SC Simple ROO]] &gt; 0), SnapshotTable[[#This Row],[SC Premium]] + (SnapshotTable[[#This Row],[SC Qty]] * SnapshotTable[[#This Row],[SC Upside Potential]]), "")</f>
        <v/>
      </c>
      <c r="FX228" s="280" t="str" cm="1">
        <f t="array" ref="FX228">IF(ISNUMBER(SnapshotTable[[#This Row],[SC Max Dollars]]), annualize(SnapshotTable[[#This Row],[SC Term]],(SnapshotTable[[#This Row],[SC Max Dollars]]/SnapshotTable[[#This Row],[SC Basis]])),"")</f>
        <v/>
      </c>
      <c r="FY228" s="221" t="str">
        <f>IF(AND(SnapshotTable[[#This Row],[SC Qty]]&gt;0,SnapshotTable[[#This Row],[SC Current Ask]]&gt;0), SnapshotTable[[#This Row],[SC Qty]] * SnapshotTable[[#This Row],[SC Current Ask]] * -100, "")</f>
        <v/>
      </c>
      <c r="FZ228" s="31" t="str">
        <f>IF(ISNUMBER((SnapshotTable[[#This Row],[SC Current Value]])), SnapshotTable[[#This Row],[SC Premium]] + SnapshotTable[[#This Row],[SC Current Value]], "")</f>
        <v/>
      </c>
      <c r="GA228" s="272" t="str">
        <f>IFERROR( IF(ISNUMBER((SnapshotTable[[#This Row],[SC Current Value]])), SnapshotTable[[#This Row],[SC Gain Loss]] / SnapshotTable[[#This Row],[SC Premium]], ""), "")</f>
        <v/>
      </c>
      <c r="GB228" s="42">
        <f>SnapshotTable[[#This Row],[Equity Shares]] * SaleSharesToConsiderPercentage</f>
        <v>0</v>
      </c>
      <c r="GC228" s="40" t="e">
        <f>SnapshotTable[[#This Row],[Long Term Target]] * SellingPriceToConsiderBasedOnTargetPercentage</f>
        <v>#VALUE!</v>
      </c>
      <c r="GD228" s="40">
        <f>SnapshotTable[[#This Row],[Last Price]] * (1+ SellingPriceToConsiderBasedOnTargetPercentage)</f>
        <v>348.75749999999999</v>
      </c>
      <c r="GE228" s="41"/>
      <c r="GF228" s="40"/>
      <c r="GG228" s="31">
        <f>SnapshotTable[[#This Row],[Booked Sale Shares]] * SnapshotTable[[#This Row],[Booked Sale Price]]</f>
        <v>0</v>
      </c>
      <c r="GH228" s="31" t="str">
        <f>IF(SnapshotTable[[#This Row],[Equity Basis Total]] &gt; 0, SnapshotTable[[#This Row],[Equity Basis Per Share]] * SnapshotTable[[#This Row],[Booked Sale Shares]], "")</f>
        <v/>
      </c>
      <c r="GI228" s="31">
        <f>IF(SnapshotTable[[#This Row],[Sale Proceeds]]&gt;0, SnapshotTable[[#This Row],[Sale Proceeds]] - SnapshotTable[[#This Row],[Sale Basis]], 0)</f>
        <v>0</v>
      </c>
      <c r="GJ228" s="27" t="str">
        <f>IF(SnapshotTable[[#This Row],[Sale G/L]]&gt;0, SnapshotTable[[#This Row],[Sale G/L]] / SnapshotTable[[#This Row],[Sale Basis]], IF(ISNUMBER(SnapshotTable[[#This Row],[SC Exercise P&amp;L (TAX)]]), SnapshotTable[[#This Row],[SC Exercise P&amp;L (TAX)]] / SnapshotTable[[#This Row],[SC Basis]], ""))</f>
        <v/>
      </c>
      <c r="GK228" s="27" t="s">
        <v>616</v>
      </c>
      <c r="GL228" s="43" t="str">
        <f>IF(AND(SnapshotTable[[#This Row],[LP Exp Date]]&gt;0,SnapshotTable[[#This Row],[LP Strike Price]]&gt;0), [1]!ToOptionSymbol(SnapshotTable[[#This Row],[Symbol]], SnapshotTable[[#This Row],[LP Strike Price]],SnapshotTable[[#This Row],[LP Exp Date]],1), "")</f>
        <v/>
      </c>
      <c r="GM228" s="30" t="str">
        <f>IF(LEN(SnapshotTable[[#This Row],[LP Symbol]])&gt;0, 1, "")</f>
        <v/>
      </c>
      <c r="GN228" s="43" t="str">
        <f>IF(AND(SnapshotTable[[#This Row],[SP Exp Date]]&gt;0,SnapshotTable[[#This Row],[SP Strike Price]]&gt;0), [1]!ToOptionSymbol(SnapshotTable[[#This Row],[Symbol]], SnapshotTable[[#This Row],[SP Strike Price]],SnapshotTable[[#This Row],[SP Exp Date]],1), "")</f>
        <v/>
      </c>
      <c r="GO228" s="30" t="str">
        <f>IF(LEN(SnapshotTable[[#This Row],[SP Symbol]])&gt;0, 1, "")</f>
        <v/>
      </c>
      <c r="GP228" s="43" t="str">
        <f>IF(AND(SnapshotTable[[#This Row],[LC Exp Date]]&gt;0,SnapshotTable[[#This Row],[LC Strike Price]]&gt;0), [1]!ToOptionSymbol(SnapshotTable[[#This Row],[Symbol]], SnapshotTable[[#This Row],[LC Strike Price]],SnapshotTable[[#This Row],[LC Exp Date]],0), "")</f>
        <v/>
      </c>
      <c r="GQ228" s="30" t="str">
        <f>IF(LEN(SnapshotTable[[#This Row],[LC Symbol]])&gt;0, 1, "")</f>
        <v/>
      </c>
      <c r="GR228" s="43" t="str">
        <f>IF(AND(SnapshotTable[[#This Row],[SC Exp Date]]&gt;0,SnapshotTable[[#This Row],[SC Strike Price]]&gt;0), [1]!ToOptionSymbol(SnapshotTable[[#This Row],[Symbol]], SnapshotTable[[#This Row],[SC Strike Price]],SnapshotTable[[#This Row],[SC Exp Date]],0), "")</f>
        <v/>
      </c>
      <c r="GS228" s="30" t="str">
        <f>IF(LEN(SnapshotTable[[#This Row],[SC Symbol]])&gt;0, 1, "")</f>
        <v/>
      </c>
      <c r="GT228" s="29" t="str">
        <f>IF(COUNT(SnapshotTable[[#This Row],[LP Symbol Count]],SnapshotTable[[#This Row],[SP Symbol Count]],SnapshotTable[[#This Row],[LC Symbol Count]],SnapshotTable[[#This Row],[SC Symbol Count]])&gt;0, "Y", "")</f>
        <v/>
      </c>
      <c r="GU22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8" s="216">
        <f>MAX(SnapshotTable[[#This Row],[Equity Basis Total]],SnapshotTable[[#This Row],[Equity Value]]) + (SnapshotTable[[#This Row],[SP Potential Spend]]- SnapshotTable[[#This Row],[SP Premium]] + SnapshotTable[[#This Row],[LP Premium]])+ (SnapshotTable[[#This Row],[LC Premium]] - SnapshotTable[[#This Row],[SC Premium]])</f>
        <v>0</v>
      </c>
      <c r="GW228" s="137" t="str">
        <f>IF(AND(SnapshotTable[[#This Row],[Exposure]] &lt;&gt; 0),SnapshotTable[[#This Row],[Exposure]] / SnapshotTable[[#Totals],[Exposure]], "")</f>
        <v/>
      </c>
      <c r="HK228" s="1"/>
      <c r="HL228" s="1"/>
      <c r="HM228" s="1"/>
      <c r="HN228" s="1"/>
      <c r="HO228" s="1"/>
      <c r="HP228" s="1"/>
    </row>
    <row r="229" spans="2:224" ht="12.75" hidden="1" customHeight="1" x14ac:dyDescent="0.25">
      <c r="B229" s="12" t="s">
        <v>9</v>
      </c>
      <c r="C229" s="385">
        <v>104.23</v>
      </c>
      <c r="D229" s="200"/>
      <c r="E229" s="39">
        <f>SnapshotTable[[#This Row],[Last Price]]*(1 -CrashDiscount)</f>
        <v>88.595500000000001</v>
      </c>
      <c r="F229" s="26" t="s">
        <v>8</v>
      </c>
      <c r="G229" s="26" t="s">
        <v>7</v>
      </c>
      <c r="H229" s="147"/>
      <c r="I229" s="186">
        <v>44770.694444444445</v>
      </c>
      <c r="J229" s="187">
        <v>44770.694444444445</v>
      </c>
      <c r="K229" s="188"/>
      <c r="L229" s="297"/>
      <c r="M229" s="138"/>
      <c r="N229" s="138"/>
      <c r="O229" s="138">
        <v>3</v>
      </c>
      <c r="P229" s="22"/>
      <c r="Q229" s="25"/>
      <c r="R229" s="4" t="str">
        <f>IF(SnapshotTable[[#This Row],[Equity Basis Total]] &gt; 0, SnapshotTable[[#This Row],[Equity Basis Total]] / SnapshotTable[[#This Row],[Equity Shares]], "")</f>
        <v/>
      </c>
      <c r="S229" s="254">
        <f>SnapshotTable[[#This Row],[Last Price]] * SnapshotTable[[#This Row],[Equity Shares]]</f>
        <v>0</v>
      </c>
      <c r="T229" s="254">
        <f>SnapshotTable[[#This Row],[Equity Value]] - SnapshotTable[[#This Row],[Equity Basis Total]]</f>
        <v>0</v>
      </c>
      <c r="U229" s="255" t="str">
        <f>IF(SnapshotTable[[#This Row],[Equity Basis Total]] &gt; 0, SnapshotTable[[#This Row],[Equity G/L]] / SnapshotTable[[#This Row],[Equity Basis Total]], "")</f>
        <v/>
      </c>
      <c r="V229" s="253"/>
      <c r="W229" s="253"/>
      <c r="X229" s="4" t="str">
        <f>IF(AND(ISNUMBER(SnapshotTable[[#This Row],[Equity Basis Per Share]]),ISNUMBER(SnapshotTable[[#This Row],[Equity Target]])),SnapshotTable[[#This Row],[Equity Target]]-SnapshotTable[[#This Row],[Equity Basis Per Share]],"")</f>
        <v/>
      </c>
      <c r="Y229" s="4" t="str">
        <f>IF(AND(ISNUMBER(SnapshotTable[[#This Row],[Equity Basis Per Share]]),ISNUMBER(SnapshotTable[[#This Row],[Equity Stop Loss]])),SnapshotTable[[#This Row],[Equity Stop Loss]]-SnapshotTable[[#This Row],[Equity Basis Per Share]],"")</f>
        <v/>
      </c>
      <c r="Z229" s="260" t="str">
        <f>IFERROR( TEXT(SnapshotTable[[#This Row],[Equity Max Gain Per Share]] /ABS( SnapshotTable[[#This Row],[Equity Max Loss Per Share]]),"0.0 " ) &amp; " : 1", "")</f>
        <v/>
      </c>
      <c r="AA229" s="31" t="str">
        <f>IF(ISNUMBER(SnapshotTable[[#This Row],[Equity Max Gain Per Share]]),SnapshotTable[[#This Row],[Equity Max Gain Per Share]] * SnapshotTable[[#This Row],[Equity Shares]],"")</f>
        <v/>
      </c>
      <c r="AB229" s="31" t="str">
        <f>IF(ISNUMBER(SnapshotTable[[#This Row],[Equity Max Loss Per Share]]),SnapshotTable[[#This Row],[Equity Max Loss Per Share]] * SnapshotTable[[#This Row],[Equity Shares]],"")</f>
        <v/>
      </c>
      <c r="AC229" s="148">
        <v>1.32</v>
      </c>
      <c r="AD229" s="149">
        <v>42789</v>
      </c>
      <c r="AE229" s="31">
        <f>(SnapshotTable[[#This Row],[Annual Dividend Per Share]] / 4) * SnapshotTable[[#This Row],[Equity Shares]]</f>
        <v>0</v>
      </c>
      <c r="AF229" s="31">
        <f>SnapshotTable[[#This Row],[Quarterly Div $]] * 4</f>
        <v>0</v>
      </c>
      <c r="AG229" s="7">
        <f>IF(SnapshotTable[[#This Row],[Annual Dividend Per Share]]&gt;0, SnapshotTable[[#This Row],[Annual Dividend Per Share]]  / SnapshotTable[[#This Row],[Last Price]], 0)</f>
        <v>1.2664300105535835E-2</v>
      </c>
      <c r="AH229" s="149">
        <v>42859</v>
      </c>
      <c r="AI229" s="5"/>
      <c r="AJ229" s="136">
        <v>95.95</v>
      </c>
      <c r="AK229" s="150" t="str">
        <f>IF(ISNUMBER( SnapshotTable[[#This Row],[EBF Target]]),(SnapshotTable[[#This Row],[EBF Target]] - SnapshotTable[[#This Row],[Last Price]]) / SnapshotTable[[#This Row],[Last Price]], "")</f>
        <v/>
      </c>
      <c r="AL229" s="150" t="str">
        <f>IF(AND(SnapshotTable[[#This Row],[Equity Basis Total]] &gt; 0,ISNUMBER( SnapshotTable[[#This Row],[Long Term Target]])), SnapshotTable[[#This Row],[From Basis $]] / SnapshotTable[[#This Row],[Equity Basis Total]], "")</f>
        <v/>
      </c>
      <c r="AM229" s="9">
        <f>IF( AND(SnapshotTable[[#This Row],[Equity Shares]] &gt;0,ISNUMBER( SnapshotTable[[#This Row],[Long Term Target]])),(SnapshotTable[[#This Row],[Equity Shares]] * SnapshotTable[[#This Row],[Long Term Target]]) - SnapshotTable[[#This Row],[Equity Basis Total]],0)</f>
        <v>0</v>
      </c>
      <c r="AN229" s="9">
        <f>IF( AND(SnapshotTable[[#This Row],[Equity Shares]] &gt;0,ISNUMBER( SnapshotTable[[#This Row],[Long Term Target]])),(SnapshotTable[[#This Row],[Equity Shares]]*SnapshotTable[[#This Row],[Long Term Target]]) - SnapshotTable[[#This Row],[Equity Value]],0)</f>
        <v>0</v>
      </c>
      <c r="AO229" s="150">
        <f>IF(AND(ISNUMBER( SnapshotTable[[#This Row],[Long Term Target]]), ISNUMBER(SnapshotTable[[#This Row],[Last Price]])),(SnapshotTable[[#This Row],[Long Term Target]] - SnapshotTable[[#This Row],[Last Price]]) / SnapshotTable[[#This Row],[Last Price]], "")</f>
        <v>-7.9439700661997514E-2</v>
      </c>
      <c r="AP229" s="5"/>
      <c r="AQ229" s="38"/>
      <c r="AR229" s="5"/>
      <c r="AS229" s="38"/>
      <c r="AT229" s="144"/>
      <c r="AU229" s="185" t="str">
        <f>IF(OR(SnapshotTable[[#This Row],[LP No Fill]]="Y",SnapshotTable[[#This Row],[SP Is Filled]],SnapshotTable[[#This Row],[LC Not Filled]]="Y",SnapshotTable[[#This Row],[SC Is Filled]]),"Y","")</f>
        <v/>
      </c>
      <c r="AV229" s="205"/>
      <c r="AW229" s="211"/>
      <c r="AX229" s="206"/>
      <c r="AY229" s="205" t="str">
        <f>IF(SnapshotTable[[#This Row],[Implied Move]]&gt;0, SnapshotTable[[#This Row],[Last Price]]-SnapshotTable[[#This Row],[Implied Move]],"")</f>
        <v/>
      </c>
      <c r="AZ229" s="205" t="str">
        <f>IF(SnapshotTable[[#This Row],[Implied Move]]&gt;0, SnapshotTable[[#This Row],[Last Price]] + SnapshotTable[[#This Row],[Implied Move]],"")</f>
        <v/>
      </c>
      <c r="BA229" s="302"/>
      <c r="BB229" s="318"/>
      <c r="BC22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29" s="321"/>
      <c r="BE229" s="5"/>
      <c r="BF229" s="14"/>
      <c r="BG229" s="13"/>
      <c r="BH229" s="13"/>
      <c r="BI229" s="5"/>
      <c r="BJ229" s="134">
        <f>IF(SnapshotTable[[#This Row],[LP Qty]] &gt; 0, SnapshotTable[[#This Row],[LP Qty]] * SnapshotTable[[#This Row],[LP Book Price]] * 100,0)</f>
        <v>0</v>
      </c>
      <c r="BK229" s="134">
        <f>IF(SnapshotTable[[#This Row],[LP Premium]] &gt; 0, SnapshotTable[[#This Row],[LP Qty]] * SnapshotTable[[#This Row],[LP Strike Price]] * 100,0)</f>
        <v>0</v>
      </c>
      <c r="BL229" s="152"/>
      <c r="BM229" s="355" t="str">
        <f>IF(SnapshotTable[[#This Row],[LP Premium]] &gt; 0,SnapshotTable[[#This Row],[LP Exp Date]]-MAX(SnapshotTable[[#This Row],[LP Book Date]], SnapshotTable[[#This Row],[LP Fill Date]]),"")</f>
        <v/>
      </c>
      <c r="BN229" s="355" t="str">
        <f>IF(ISNUMBER( SnapshotTable[[#This Row],[LP Term]]), SnapshotTable[[#This Row],[LP Exp Date]] - MockToday,"")</f>
        <v/>
      </c>
      <c r="BO229" s="161" t="str">
        <f>IF(AND(SnapshotTable[[#This Row],[LP Exp Date]]&gt;0, SnapshotTable[[#This Row],[LP Strike Price]]&gt;0,SnapshotTable[[#This Row],[LP Qty]]&gt;0,SnapshotTable[[#This Row],[LP Book Date]]&gt;0,SnapshotTable[[#This Row],[LP Book Price]]&gt;0,SnapshotTable[[#This Row],[LP Fill Date]]=0),"Y","")</f>
        <v/>
      </c>
      <c r="BP229" s="31" t="str">
        <f>IF(AND(SnapshotTable[[#This Row],[LP No Fill]]&lt;&gt;"Y",SnapshotTable[[#This Row],[LP Contract Value]]&gt;0, SnapshotTable[[#This Row],[LP Qty]]&gt;0), SnapshotTable[[#This Row],[LP Contract Value]]*SnapshotTable[[#This Row],[LP Qty]]*100,"")</f>
        <v/>
      </c>
      <c r="BQ229" s="13"/>
      <c r="BR229" s="5"/>
      <c r="BS229" s="36"/>
      <c r="BT229" s="145"/>
      <c r="BU229" s="13"/>
      <c r="BV229" s="5"/>
      <c r="BW229" s="382" t="b">
        <f>AND(ISNUMBER(SnapshotTable[[#This Row],[SP Exp Date]]), ISNUMBER(SnapshotTable[[#This Row],[SP Strike Price]]), ISNUMBER(SnapshotTable[[#This Row],[SP Qty]]), ISNUMBER(SnapshotTable[[#This Row],[SP Book Date]]), ISNUMBER(SnapshotTable[[#This Row],[SP Book Price]]))</f>
        <v>0</v>
      </c>
      <c r="BX229" s="382" t="b">
        <f>AND(SnapshotTable[[#This Row],[SP Is Booked]], NOT(ISBLANK(SnapshotTable[[#This Row],[SP Fill Date]])))</f>
        <v>0</v>
      </c>
      <c r="BY229" s="33">
        <f>IF(SnapshotTable[[#This Row],[SP Is Booked]], SnapshotTable[[#This Row],[SP Qty]] * SnapshotTable[[#This Row],[SP Book Price]] * 100, 0)</f>
        <v>0</v>
      </c>
      <c r="BZ229" s="339"/>
      <c r="CA229" s="338">
        <f>SnapshotTable[[#This Row],[LP Qty]]</f>
        <v>0</v>
      </c>
      <c r="CB229" s="4" t="str">
        <f>IF(SnapshotTable[[#This Row],[SP Is Booked]], SnapshotTable[[#This Row],[SP Strike Price]] - SnapshotTable[[#This Row],[SP Book Price]], "")</f>
        <v/>
      </c>
      <c r="CC229" s="19" t="str">
        <f>IF(SnapshotTable[[#This Row],[SP Is Booked]],SnapshotTable[[#This Row],[SP Exp Date]]-MAX(SnapshotTable[[#This Row],[SP Book Date]], SnapshotTable[[#This Row],[SP Fill Date]]),"")</f>
        <v/>
      </c>
      <c r="CD229" s="7" t="str">
        <f>IF(SnapshotTable[[#This Row],[SP Is Booked]], SnapshotTable[[#This Row],[SP Book Price]]/SnapshotTable[[#This Row],[SP Strike Price]], "")</f>
        <v/>
      </c>
      <c r="CE229" s="7" t="str">
        <f>IF(ISNUMBER(SnapshotTable[[#This Row],[SP ROO Term]]),SnapshotTable[[#This Row],[SP ROO Term]]*(365/SnapshotTable[[#This Row],[SP Term]]),"")</f>
        <v/>
      </c>
      <c r="CF229" s="221">
        <f>SnapshotTable[[#This Row],[LP Strike Price]] * SnapshotTable[[#This Row],[LP Qty]] * 100</f>
        <v>0</v>
      </c>
      <c r="CG229" s="31">
        <f>IF(ISNUMBER(SnapshotTable[[#This Row],[SP Premium]]), (SnapshotTable[[#This Row],[SP Qty]] * SnapshotTable[[#This Row],[SP Strike Price]]* 100) - SnapshotTable[[#This Row],[LP Protection]], 0)</f>
        <v>0</v>
      </c>
      <c r="CH229" s="7" t="str">
        <f>IF(ISNUMBER(SnapshotTable[[#This Row],[SP Break Even]]),-1 * (SnapshotTable[[#This Row],[SP Break Even]] - SnapshotTable[[#This Row],[Last Price]]) / SnapshotTable[[#This Row],[Last Price]], "")</f>
        <v/>
      </c>
      <c r="CI229" s="31">
        <f>IF(AND(ISNUMBER((SnapshotTable[[#This Row],[SP Potential Spend]])), SnapshotTable[[#This Row],[SP Strike Price]] &gt; SnapshotTable[[#This Row],[Last Price]], SnapshotTable[[#This Row],[SP Is Filled]]), SnapshotTable[[#This Row],[SP Potential Spend]] -  SnapshotTable[[#This Row],[LP Max Value]], 0)</f>
        <v>0</v>
      </c>
      <c r="CJ229" s="229"/>
      <c r="CK229" s="31">
        <f>IF(ISNUMBER(SnapshotTable[[#This Row],[SP Potential Spend]]),IF(ISNUMBER(SnapshotTable[[#This Row],[SP POW]]), SnapshotTable[[#This Row],[SP POW]] * SnapshotTable[[#This Row],[SP Potential Spend]], SnapshotTable[[#This Row],[SP Potential Spend]]), "")</f>
        <v>0</v>
      </c>
      <c r="CL229" s="162">
        <f>IF(NOT(SnapshotTable[[#This Row],[SP Is Filled]]),(SnapshotTable[[#This Row],[SP Qty]] * SnapshotTable[[#This Row],[SP Strike Price]] * 100) - SnapshotTable[[#This Row],[LP Max Value]],"")</f>
        <v>0</v>
      </c>
      <c r="CM229" s="31" t="str">
        <f>IF(SnapshotTable[[#This Row],[SP Actual Spend]]&lt;&gt;0, ((SnapshotTable[[#This Row],[SP Strike Price]]-SnapshotTable[[#This Row],[Last Price]]) *(SnapshotTable[[#This Row],[SP Qty]]*100) - SnapshotTable[[#This Row],[SP Premium]]) * - 1, "")</f>
        <v/>
      </c>
      <c r="CN229" s="76"/>
      <c r="CO229" s="339"/>
      <c r="CP229" s="4" t="str">
        <f>IF(SnapshotTable[[#This Row],[SP Is Filled]], btc_max_buyback_amount(SnapshotTable[[#This Row],[SP Fill Date]],SnapshotTable[[#This Row],[SP Exp Date]], SnapshotTable[[#This Row],[SP Book Price]]),"")</f>
        <v/>
      </c>
      <c r="CQ229" s="76"/>
      <c r="CR22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29" s="153" t="str">
        <f>IF(SnapshotTable[[#This Row],[SP Is Filled]], btc_next_cutoff_date(SnapshotTable[[#This Row],[SP Fill Date]],SnapshotTable[[#This Row],[SP Exp Date]]),"")</f>
        <v/>
      </c>
      <c r="CT229" s="220" t="str" cm="1">
        <f t="array" ref="CT229">IF(SnapshotTable[[#This Row],[SP Is Filled]], btc_should_buy_back(SnapshotTable[[#This Row],[SP Fill Date]], SnapshotTable[[#This Row],[SP Exp Date]], SnapshotTable[[#This Row],[SP Book Price]], SnapshotTable[[#This Row],[SP Current Ask]], MockToday, SnapshotTable[[#This Row],[SP Buyback Override]]),"")</f>
        <v/>
      </c>
      <c r="CU229" s="141"/>
      <c r="CV229" s="220"/>
      <c r="CW229" s="348" t="str">
        <f>IF(ISNUMBER( SnapshotTable[[#This Row],[SP Term]]), SnapshotTable[[#This Row],[SP Exp Date]] - MockToday,"")</f>
        <v/>
      </c>
      <c r="CX229" s="31" t="str">
        <f>IF(SnapshotTable[[#This Row],[SP Is Filled]],SnapshotTable[[#This Row],[SP Buyback Price to Use]] * 100 * SnapshotTable[[#This Row],[SP Qty]], "")</f>
        <v/>
      </c>
      <c r="CY229" s="4" t="str">
        <f>IF(ISNUMBER(SnapshotTable[[#This Row],[SP Strike Price]]), SnapshotTable[[#This Row],[SP Strike Price]] * (1 - SP_MaxLoss_StrikePct), "")</f>
        <v/>
      </c>
      <c r="CZ229" s="31" t="str">
        <f>IF(ISNUMBER(SnapshotTable[[#This Row],[SP Strike  Stop Per Share]]),SnapshotTable[[#This Row],[SP Premium]] - ((SnapshotTable[[#This Row],[SP Strike Price]]-SnapshotTable[[#This Row],[SP Strike  Stop Per Share]]) *(SnapshotTable[[#This Row],[SP Qty]] * 100)),"")</f>
        <v/>
      </c>
      <c r="DA229" s="4" t="str">
        <f>IF(AND(ISNUMBER(SnapshotTable[[#This Row],[SP Premium]]),SnapshotTable[[#This Row],[SP Premium]]&gt;0), SnapshotTable[[#This Row],[SP Book Price]] * (1 + SP_MaxLoss_OptionPct), "")</f>
        <v/>
      </c>
      <c r="DB229" s="31" t="str">
        <f>IF(ISNUMBER(SnapshotTable[[#This Row],[SP Option  Stop Contract]]),(SnapshotTable[[#This Row],[SP Option  Stop Contract]] *(SnapshotTable[[#This Row],[SP Qty]] * 100) - SnapshotTable[[#This Row],[SP Premium]]),"")</f>
        <v/>
      </c>
      <c r="DC229" s="4"/>
      <c r="DD229" s="4"/>
      <c r="DE229" s="4" t="str">
        <f>IF(AND(SnapshotTable[[#This Row],[SP Qty]]&gt;0, SnapshotTable[[#This Row],[SP Stop To Use]]&gt;0),SnapshotTable[[#This Row],[SP Premium]] - ( SnapshotTable[[#This Row],[SP Qty]] * SnapshotTable[[#This Row],[SP Stop To Use]] * 100), "")</f>
        <v/>
      </c>
      <c r="DF229" s="31" t="str">
        <f>IF(AND(SnapshotTable[[#This Row],[SP Qty]]&gt;0,SnapshotTable[[#This Row],[SP Current Ask]]&gt;0), SnapshotTable[[#This Row],[SP Qty]] * SnapshotTable[[#This Row],[SP Current Ask]] * -100, "")</f>
        <v/>
      </c>
      <c r="DG229" s="31" t="str">
        <f>IF(ISNUMBER((SnapshotTable[[#This Row],[SP Total Value]])), SnapshotTable[[#This Row],[SP Premium]] + SnapshotTable[[#This Row],[SP Total Value]], "")</f>
        <v/>
      </c>
      <c r="DH229" s="272" t="str">
        <f>IF(ISNUMBER((SnapshotTable[[#This Row],[SP Total Value]])), SnapshotTable[[#This Row],[SP Gain Loss]] / SnapshotTable[[#This Row],[SP Premium]], "")</f>
        <v/>
      </c>
      <c r="DI229" s="369"/>
      <c r="DJ229" s="136"/>
      <c r="DK229" s="146"/>
      <c r="DL229" s="13"/>
      <c r="DM229" s="13"/>
      <c r="DO229" s="31">
        <f>IF(SnapshotTable[[#This Row],[LC Symbol Count]]=1, SnapshotTable[[#This Row],[LC Qty]] * SnapshotTable[[#This Row],[LC Book Price]] * 100, 0)</f>
        <v>0</v>
      </c>
      <c r="DP229" s="161" t="str">
        <f>IF(AND(SnapshotTable[[#This Row],[LC Exp Date]]&gt;0, SnapshotTable[[#This Row],[LC Strike Price]]&gt;0,SnapshotTable[[#This Row],[LC Qty]]&gt;0,SnapshotTable[[#This Row],[LC Book Date]]&gt;0,SnapshotTable[[#This Row],[LC Book Price]]&gt;0,SnapshotTable[[#This Row],[LC Fill Date]]=0),"Y","")</f>
        <v/>
      </c>
      <c r="DQ229" s="356" t="str">
        <f>IF(SnapshotTable[[#This Row],[LC Premium]] &gt; 0,SnapshotTable[[#This Row],[LC Exp Date]]-MAX(SnapshotTable[[#This Row],[LC Book Date]], SnapshotTable[[#This Row],[LC Fill Date]]),"")</f>
        <v/>
      </c>
      <c r="DR229" s="356" t="str">
        <f>IF(ISNUMBER(SnapshotTable[[#This Row],[LC Term]]), SnapshotTable[[#This Row],[LC Exp Date]] - MockToday, "")</f>
        <v/>
      </c>
      <c r="DS229" s="219" t="str">
        <f>IF(SnapshotTable[[#This Row],[LC Premium]]&gt;0,SnapshotTable[[#This Row],[LC Strike Price]] + SnapshotTable[[#This Row],[LC Book Price]],"")</f>
        <v/>
      </c>
      <c r="DU229" s="9" t="str">
        <f>IF(AND(SnapshotTable[[#This Row],[LC Symbol Count]]&gt;0, SnapshotTable[[#This Row],[LC Contract Value]]&gt;0), SnapshotTable[[#This Row],[LC Contract Value]] * SnapshotTable[[#This Row],[LC Qty]] * 100, "")</f>
        <v/>
      </c>
      <c r="DV229" s="9" t="str">
        <f>IF(AND(ISNUMBER(SnapshotTable[[#This Row],[LC Total Value]]), SnapshotTable[[#This Row],[LC Not Filled]]&lt;&gt;"Y"), SnapshotTable[[#This Row],[LC Total Value]]-SnapshotTable[[#This Row],[LC Premium]],"")</f>
        <v/>
      </c>
      <c r="DW229" s="225" t="str">
        <f>IF(ISNUMBER(SnapshotTable[[#This Row],[LC Actual Gain Loss]]), SnapshotTable[[#This Row],[LC Actual Gain Loss]] / SnapshotTable[[#This Row],[LC Premium]],"")</f>
        <v/>
      </c>
      <c r="DX229" s="269" t="str">
        <f>IF(ISNUMBER(SnapshotTable[[#This Row],[LC Book Price]]),SnapshotTable[[#This Row],[LC Book Price]] * 1.5,"")</f>
        <v/>
      </c>
      <c r="DY229" s="250" t="str">
        <f>IF(SnapshotTable[[#This Row],[LC Premium]]&gt;0, SnapshotTable[[#This Row],[LC Next Target]] * SnapshotTable[[#This Row],[LC Qty]] * 100,"")</f>
        <v/>
      </c>
      <c r="DZ229" s="250" t="str">
        <f>IF(ISNUMBER(SnapshotTable[[#This Row],[LC Target Gross]]), SnapshotTable[[#This Row],[LC Target Gross]] - SnapshotTable[[#This Row],[LC Premium]], "")</f>
        <v/>
      </c>
      <c r="EA229" s="283" t="str">
        <f>IF(ISNUMBER(SnapshotTable[[#This Row],[LC Target Gain Loss]]), SnapshotTable[[#This Row],[LC Target Gain Loss]]/SnapshotTable[[#This Row],[LC Premium]], "")</f>
        <v/>
      </c>
      <c r="EB229" s="247"/>
      <c r="EC229" s="268" t="str">
        <f>IF(SnapshotTable[[#This Row],[LC Premium]]&gt;0, SnapshotTable[[#This Row],[LC Book Price]] * (1 - LC_StopLoss_Pct),"")</f>
        <v/>
      </c>
      <c r="ED229" s="269"/>
      <c r="EE229" s="268" t="str">
        <f>IF(ISNUMBER(SnapshotTable[[#This Row],[LC Contract Value]]),IF(ISNUMBER(SnapshotTable[[#This Row],[LC Stop Loss Override]]), SnapshotTable[[#This Row],[LC Stop Loss Override]],SnapshotTable[[#This Row],[LC Stop Loss Calc Target]]),"")</f>
        <v/>
      </c>
      <c r="EF229" s="31" t="str">
        <f>IF(ISNUMBER(SnapshotTable[[#This Row],[LC Stop  To Use]]), (SnapshotTable[[#This Row],[LC Stop  To Use]] * SnapshotTable[[#This Row],[LC Qty]] * 100),"")</f>
        <v/>
      </c>
      <c r="EG229" s="9" t="str">
        <f>IF(ISNUMBER(SnapshotTable[[#This Row],[LC Total Value]]),SnapshotTable[[#This Row],[LC Stop Loss Amount]] - SnapshotTable[[#This Row],[LC Premium]],"")</f>
        <v/>
      </c>
      <c r="EH229" s="9">
        <f>IF(ISNUMBER(SnapshotTable[[#This Row],[LC Premium]]), SnapshotTable[[#This Row],[LC Qty]] * 100 * SnapshotTable[[#This Row],[LC Strike Price]], "")</f>
        <v>0</v>
      </c>
      <c r="EI229" s="225" t="str">
        <f>IF(AND(ISNUMBER(SnapshotTable[[#This Row],[LC Total Value]]),SnapshotTable[[#This Row],[LC Total Value]]&gt;0),SnapshotTable[[#This Row],[LC Stop Gain Loss]]  / SnapshotTable[[#This Row],[LC Premium]],"")</f>
        <v/>
      </c>
      <c r="EJ229" s="35">
        <f>IF(ISNUMBER(SnapshotTable[[#This Row],[Equity Shares]]),TRUNC(SnapshotTable[[#This Row],[Equity Shares]] / 100),0) + SnapshotTable[[#This Row],[LC Qty]]</f>
        <v>0</v>
      </c>
      <c r="EK229" s="145"/>
      <c r="EL229" s="136"/>
      <c r="EM229" s="146"/>
      <c r="EN229" s="145"/>
      <c r="EO229" s="145"/>
      <c r="EP229" s="136"/>
      <c r="EQ229" s="382" t="b">
        <f>AND(ISNUMBER(SnapshotTable[[#This Row],[SC Exp Date]]), ISNUMBER(SnapshotTable[[#This Row],[SC Strike Price]]), ISNUMBER(SnapshotTable[[#This Row],[SC Qty]]), ISNUMBER(SnapshotTable[[#This Row],[SC Book Date]]), ISNUMBER(SnapshotTable[[#This Row],[SC Book Price]]))</f>
        <v>0</v>
      </c>
      <c r="ER229" s="382" t="b">
        <f>AND(SnapshotTable[[#This Row],[SC Is Booked]], NOT(ISBLANK(SnapshotTable[[#This Row],[SC Fill Date]])))</f>
        <v>0</v>
      </c>
      <c r="ES229" s="340"/>
      <c r="ET229" s="34" t="str">
        <f>IF(AND(ISNUMBER(SnapshotTable[[#This Row],[SC Exp Date]]), ISNUMBER(SnapshotTable[[#This Row],[SC Book Date]])), SnapshotTable[[#This Row],[SC Exp Date]] - MAX(SnapshotTable[[#This Row],[SC Book Date]], SnapshotTable[[#This Row],[SC Fill Date]]) + 1, "")</f>
        <v/>
      </c>
      <c r="EU229" s="34" t="str">
        <f>IF(ISNUMBER(SnapshotTable[[#This Row],[SC Term]]), SnapshotTable[[#This Row],[SC Exp Date]]- MockToday, "")</f>
        <v/>
      </c>
      <c r="EV229" s="31">
        <f>IF(SnapshotTable[[#This Row],[SC Is Booked]], SnapshotTable[[#This Row],[SC Qty]] * SnapshotTable[[#This Row],[SC Book Price]] * 100, 0)</f>
        <v>0</v>
      </c>
      <c r="EW229" s="4" t="str">
        <f>IF(AND(ISNUMBER(SnapshotTable[[#This Row],[Last Price]]), ISNUMBER( SnapshotTable[[#This Row],[SC Book Price]])), SnapshotTable[[#This Row],[Last Price]] - SnapshotTable[[#This Row],[SC Book Price]],"")</f>
        <v/>
      </c>
      <c r="EX229" s="219" t="str">
        <f>IF(SnapshotTable[[#This Row],[SC Is Booked]],IF(SnapshotTable[[#This Row],[SC Intrinsic Value]] &gt; 0, SnapshotTable[[#This Row],[SC Strike Price]], SnapshotTable[[#This Row],[Last Price]]), "")</f>
        <v/>
      </c>
      <c r="EY229" s="4">
        <f>IF(SnapshotTable[[#This Row],[SC Is Booked]], (MinimumPremiumRequired * SnapshotTable[[#This Row],[SC Basis]] * SnapshotTable[[#This Row],[SC Term]]), 0)</f>
        <v>0</v>
      </c>
      <c r="EZ229" s="268"/>
      <c r="FA229" s="204"/>
      <c r="FB229" s="340"/>
      <c r="FC229" s="4">
        <f>IF(SnapshotTable[[#This Row],[SC Is Filled]], btc_max_buyback_amount(SnapshotTable[[#This Row],[SC Fill Date]],SnapshotTable[[#This Row],[SC Exp Date]], SnapshotTable[[#This Row],[SC Book Price]]),0)</f>
        <v>0</v>
      </c>
      <c r="FD229" s="5"/>
      <c r="FE229" s="142" t="str">
        <f>IF(SnapshotTable[[#This Row],[SC Is Filled]], btc_next_cutoff_date(SnapshotTable[[#This Row],[SC Fill Date]],SnapshotTable[[#This Row],[SC Exp Date]]),"")</f>
        <v/>
      </c>
      <c r="FF229" s="4" t="str" cm="1">
        <f t="array" ref="FF229">IF(SnapshotTable[[#This Row],[SC Is Filled]], btc_should_buy_back(SnapshotTable[[#This Row],[SC Fill Date]], SnapshotTable[[#This Row],[SC Exp Date]], SnapshotTable[[#This Row],[SC Book Price]], SnapshotTable[[#This Row],[SC Current Ask]], MockToday, SnapshotTable[[#This Row],[SC Buyback Override]]),"")</f>
        <v/>
      </c>
      <c r="FG229" s="4">
        <f>IF(SnapshotTable[[#This Row],[SC Is Filled]], MAX(0,SnapshotTable[[#This Row],[Last Price]]  - SnapshotTable[[#This Row],[SC Strike Price]]), 0)</f>
        <v>0</v>
      </c>
      <c r="FH229" s="352">
        <f>IF(SnapshotTable[[#This Row],[SC Is Filled]], IF(ISNUMBER(SnapshotTable[[#This Row],[SC Current Ask]]), SnapshotTable[[#This Row],[SC Current Ask]], SnapshotTable[[#This Row],[SC Book Price]]) - SnapshotTable[[#This Row],[SC Intrinsic Value]], 0)</f>
        <v>0</v>
      </c>
      <c r="FI229" s="141"/>
      <c r="FJ229" s="32" t="str">
        <f>IF(SnapshotTable[[#This Row],[SC Is Filled]],100 * SnapshotTable[[#This Row],[SC Qty]] * IF(ISNUMBER(SnapshotTable[[#This Row],[SC Buyback Override]]), SnapshotTable[[#This Row],[SC Buyback Override]], SnapshotTable[[#This Row],[SC Current Ask]]), "")</f>
        <v/>
      </c>
      <c r="FK229" s="235" t="str">
        <f>IF(SnapshotTable[[#This Row],[SC Time Val]]&gt;0, SnapshotTable[[#This Row],[SC Time Val]] / SnapshotTable[[#This Row],[Last Price]],"")</f>
        <v/>
      </c>
      <c r="FL229" s="280" t="str">
        <f>IF(SnapshotTable[[#This Row],[SC Is Booked]], ((SnapshotTable[[#This Row],[Last Price]] -SnapshotTable[[#This Row],[SC Strike Price]]) / SnapshotTable[[#This Row],[Last Price]]) * -1, "")</f>
        <v/>
      </c>
      <c r="FM229" s="155" t="str">
        <f>IF(SnapshotTable[[#This Row],[SC Is Booked]],  (SnapshotTable[[#This Row],[SC Qty]] * 100 * SnapshotTable[[#This Row],[SC Strike Price]]) - SnapshotTable[[#This Row],[SC Current Ask]], "")</f>
        <v/>
      </c>
      <c r="FN22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29" s="31" t="str">
        <f>IF(AND(ISNUMBER(SnapshotTable[[#This Row],[SC Exercise Gross]]), ISNUMBER(SnapshotTable[[#This Row],[Equity Basis Per Share]] )), SnapshotTable[[#This Row],[SC Exercise Gross]] - SnapshotTable[[#This Row],[Equity Basis Total]] +  SnapshotTable[[#This Row],[SC Premium]], "")</f>
        <v/>
      </c>
      <c r="FP229" s="5" t="str">
        <f>IF(ISNUMBER(SnapshotTable[[#This Row],[SC Exercise Gross]]), (SnapshotTable[[#This Row],[SC Exercise Gross]]) / (SnapshotTable[[#This Row],[SC Qty]] * 100), "")</f>
        <v/>
      </c>
      <c r="FQ229" s="27" t="str">
        <f>IF(SnapshotTable[[#This Row],[SC Is Booked]],SnapshotTable[[#This Row],[SC Time Val]] /SnapshotTable[[#This Row],[SC Basis]], "")</f>
        <v/>
      </c>
      <c r="FR229" s="27" t="str" cm="1">
        <f t="array" ref="FR229">IF(AND(ISNUMBER(SnapshotTable[[#This Row],[SC Term]]),ISNUMBER(SnapshotTable[[#This Row],[SC Simple ROO]])), EllmanAnnualize(SnapshotTable[[#This Row],[SC DTE]], SnapshotTable[[#This Row],[SC Simple ROO]] ),"")</f>
        <v/>
      </c>
      <c r="FS229" s="4">
        <f>IF(SnapshotTable[[#This Row],[SC Strike Price]] &gt; SnapshotTable[[#This Row],[Last Price]], SnapshotTable[[#This Row],[SC Strike Price]] - SnapshotTable[[#This Row],[Last Price]],0)</f>
        <v>0</v>
      </c>
      <c r="FT229" s="27" t="str">
        <f>IF(AND(ISNUMBER(SnapshotTable[[#This Row],[SC Upside Potential]]), SnapshotTable[[#This Row],[SC Upside Potential]] &gt; 0),(SnapshotTable[[#This Row],[SC Upside Potential]]/ SnapshotTable[[#This Row],[ACB]]),"")</f>
        <v/>
      </c>
      <c r="FU229" s="304" t="str">
        <f>IF(SnapshotTable[[#This Row],[SC Intrinsic Value]] &gt; 0,SnapshotTable[[#This Row],[SC Intrinsic Value]],"")</f>
        <v/>
      </c>
      <c r="FV229" s="27" t="str">
        <f>IF(AND( ISNUMBER( SnapshotTable[[#This Row],[ACB]]),ISNUMBER(SnapshotTable[[#This Row],[SC Downside Protect]])),SnapshotTable[[#This Row],[SC Downside Protect]] / SnapshotTable[[#This Row],[ACB]],"")</f>
        <v/>
      </c>
      <c r="FW229" s="221" t="str">
        <f>IF(AND(ISNUMBER(SnapshotTable[[#This Row],[SC Simple ROO]]),SnapshotTable[[#This Row],[SC Simple ROO]] &gt; 0), SnapshotTable[[#This Row],[SC Premium]] + (SnapshotTable[[#This Row],[SC Qty]] * SnapshotTable[[#This Row],[SC Upside Potential]]), "")</f>
        <v/>
      </c>
      <c r="FX229" s="280" t="str" cm="1">
        <f t="array" ref="FX229">IF(ISNUMBER(SnapshotTable[[#This Row],[SC Max Dollars]]), annualize(SnapshotTable[[#This Row],[SC Term]],(SnapshotTable[[#This Row],[SC Max Dollars]]/SnapshotTable[[#This Row],[SC Basis]])),"")</f>
        <v/>
      </c>
      <c r="FY229" s="221" t="str">
        <f>IF(AND(SnapshotTable[[#This Row],[SC Qty]]&gt;0,SnapshotTable[[#This Row],[SC Current Ask]]&gt;0), SnapshotTable[[#This Row],[SC Qty]] * SnapshotTable[[#This Row],[SC Current Ask]] * -100, "")</f>
        <v/>
      </c>
      <c r="FZ229" s="31" t="str">
        <f>IF(ISNUMBER((SnapshotTable[[#This Row],[SC Current Value]])), SnapshotTable[[#This Row],[SC Premium]] + SnapshotTable[[#This Row],[SC Current Value]], "")</f>
        <v/>
      </c>
      <c r="GA229" s="272" t="str">
        <f>IFERROR( IF(ISNUMBER((SnapshotTable[[#This Row],[SC Current Value]])), SnapshotTable[[#This Row],[SC Gain Loss]] / SnapshotTable[[#This Row],[SC Premium]], ""), "")</f>
        <v/>
      </c>
      <c r="GB229" s="42">
        <f>SnapshotTable[[#This Row],[Equity Shares]] * SaleSharesToConsiderPercentage</f>
        <v>0</v>
      </c>
      <c r="GC229" s="40">
        <f>SnapshotTable[[#This Row],[Long Term Target]] * SellingPriceToConsiderBasedOnTargetPercentage</f>
        <v>91.152500000000003</v>
      </c>
      <c r="GD229" s="40">
        <f>SnapshotTable[[#This Row],[Last Price]] * (1+ SellingPriceToConsiderBasedOnTargetPercentage)</f>
        <v>203.24850000000001</v>
      </c>
      <c r="GE229" s="41"/>
      <c r="GF229" s="40"/>
      <c r="GG229" s="31">
        <f>SnapshotTable[[#This Row],[Booked Sale Shares]] * SnapshotTable[[#This Row],[Booked Sale Price]]</f>
        <v>0</v>
      </c>
      <c r="GH229" s="31" t="str">
        <f>IF(SnapshotTable[[#This Row],[Equity Basis Total]] &gt; 0, SnapshotTable[[#This Row],[Equity Basis Per Share]] * SnapshotTable[[#This Row],[Booked Sale Shares]], "")</f>
        <v/>
      </c>
      <c r="GI229" s="31">
        <f>IF(SnapshotTable[[#This Row],[Sale Proceeds]]&gt;0, SnapshotTable[[#This Row],[Sale Proceeds]] - SnapshotTable[[#This Row],[Sale Basis]], 0)</f>
        <v>0</v>
      </c>
      <c r="GJ229" s="27" t="str">
        <f>IF(SnapshotTable[[#This Row],[Sale G/L]]&gt;0, SnapshotTable[[#This Row],[Sale G/L]] / SnapshotTable[[#This Row],[Sale Basis]], IF(ISNUMBER(SnapshotTable[[#This Row],[SC Exercise P&amp;L (TAX)]]), SnapshotTable[[#This Row],[SC Exercise P&amp;L (TAX)]] / SnapshotTable[[#This Row],[SC Basis]], ""))</f>
        <v/>
      </c>
      <c r="GK229" s="27" t="s">
        <v>617</v>
      </c>
      <c r="GL229" s="43" t="str">
        <f>IF(AND(SnapshotTable[[#This Row],[LP Exp Date]]&gt;0,SnapshotTable[[#This Row],[LP Strike Price]]&gt;0), [1]!ToOptionSymbol(SnapshotTable[[#This Row],[Symbol]], SnapshotTable[[#This Row],[LP Strike Price]],SnapshotTable[[#This Row],[LP Exp Date]],1), "")</f>
        <v/>
      </c>
      <c r="GM229" s="30" t="str">
        <f>IF(LEN(SnapshotTable[[#This Row],[LP Symbol]])&gt;0, 1, "")</f>
        <v/>
      </c>
      <c r="GN229" s="43" t="str">
        <f>IF(AND(SnapshotTable[[#This Row],[SP Exp Date]]&gt;0,SnapshotTable[[#This Row],[SP Strike Price]]&gt;0), [1]!ToOptionSymbol(SnapshotTable[[#This Row],[Symbol]], SnapshotTable[[#This Row],[SP Strike Price]],SnapshotTable[[#This Row],[SP Exp Date]],1), "")</f>
        <v/>
      </c>
      <c r="GO229" s="30" t="str">
        <f>IF(LEN(SnapshotTable[[#This Row],[SP Symbol]])&gt;0, 1, "")</f>
        <v/>
      </c>
      <c r="GP229" s="43" t="str">
        <f>IF(AND(SnapshotTable[[#This Row],[LC Exp Date]]&gt;0,SnapshotTable[[#This Row],[LC Strike Price]]&gt;0), [1]!ToOptionSymbol(SnapshotTable[[#This Row],[Symbol]], SnapshotTable[[#This Row],[LC Strike Price]],SnapshotTable[[#This Row],[LC Exp Date]],0), "")</f>
        <v/>
      </c>
      <c r="GQ229" s="30" t="str">
        <f>IF(LEN(SnapshotTable[[#This Row],[LC Symbol]])&gt;0, 1, "")</f>
        <v/>
      </c>
      <c r="GR229" s="43" t="str">
        <f>IF(AND(SnapshotTable[[#This Row],[SC Exp Date]]&gt;0,SnapshotTable[[#This Row],[SC Strike Price]]&gt;0), [1]!ToOptionSymbol(SnapshotTable[[#This Row],[Symbol]], SnapshotTable[[#This Row],[SC Strike Price]],SnapshotTable[[#This Row],[SC Exp Date]],0), "")</f>
        <v/>
      </c>
      <c r="GS229" s="30" t="str">
        <f>IF(LEN(SnapshotTable[[#This Row],[SC Symbol]])&gt;0, 1, "")</f>
        <v/>
      </c>
      <c r="GT229" s="29" t="str">
        <f>IF(COUNT(SnapshotTable[[#This Row],[LP Symbol Count]],SnapshotTable[[#This Row],[SP Symbol Count]],SnapshotTable[[#This Row],[LC Symbol Count]],SnapshotTable[[#This Row],[SC Symbol Count]])&gt;0, "Y", "")</f>
        <v/>
      </c>
      <c r="GU22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29" s="216">
        <f>MAX(SnapshotTable[[#This Row],[Equity Basis Total]],SnapshotTable[[#This Row],[Equity Value]]) + (SnapshotTable[[#This Row],[SP Potential Spend]]- SnapshotTable[[#This Row],[SP Premium]] + SnapshotTable[[#This Row],[LP Premium]])+ (SnapshotTable[[#This Row],[LC Premium]] - SnapshotTable[[#This Row],[SC Premium]])</f>
        <v>0</v>
      </c>
      <c r="GW229" s="137" t="str">
        <f>IF(AND(SnapshotTable[[#This Row],[Exposure]] &lt;&gt; 0),SnapshotTable[[#This Row],[Exposure]] / SnapshotTable[[#Totals],[Exposure]], "")</f>
        <v/>
      </c>
      <c r="HK229" s="1"/>
      <c r="HL229" s="1"/>
      <c r="HM229" s="1"/>
      <c r="HN229" s="1"/>
      <c r="HO229" s="1"/>
      <c r="HP229" s="1"/>
    </row>
    <row r="230" spans="2:224" ht="12.75" hidden="1" customHeight="1" x14ac:dyDescent="0.25">
      <c r="B230" s="12" t="s">
        <v>6</v>
      </c>
      <c r="C230" s="385">
        <v>45.93</v>
      </c>
      <c r="D230" s="200" t="s">
        <v>474</v>
      </c>
      <c r="E230" s="39">
        <f>SnapshotTable[[#This Row],[Last Price]]*(1 -CrashDiscount)</f>
        <v>39.040500000000002</v>
      </c>
      <c r="F230" s="26" t="s">
        <v>5</v>
      </c>
      <c r="G230" s="26" t="s">
        <v>4</v>
      </c>
      <c r="H230" s="147"/>
      <c r="I230" s="186">
        <v>44770.694444444445</v>
      </c>
      <c r="J230" s="187">
        <v>44770.694444444445</v>
      </c>
      <c r="K230" s="188"/>
      <c r="L230" s="297"/>
      <c r="M230" s="138"/>
      <c r="N230" s="138"/>
      <c r="O230" s="138"/>
      <c r="P230" s="22"/>
      <c r="Q230" s="25"/>
      <c r="R230" s="4" t="str">
        <f>IF(SnapshotTable[[#This Row],[Equity Basis Total]] &gt; 0, SnapshotTable[[#This Row],[Equity Basis Total]] / SnapshotTable[[#This Row],[Equity Shares]], "")</f>
        <v/>
      </c>
      <c r="S230" s="254">
        <f>SnapshotTable[[#This Row],[Last Price]] * SnapshotTable[[#This Row],[Equity Shares]]</f>
        <v>0</v>
      </c>
      <c r="T230" s="254">
        <f>SnapshotTable[[#This Row],[Equity Value]] - SnapshotTable[[#This Row],[Equity Basis Total]]</f>
        <v>0</v>
      </c>
      <c r="U230" s="255" t="str">
        <f>IF(SnapshotTable[[#This Row],[Equity Basis Total]] &gt; 0, SnapshotTable[[#This Row],[Equity G/L]] / SnapshotTable[[#This Row],[Equity Basis Total]], "")</f>
        <v/>
      </c>
      <c r="V230" s="253"/>
      <c r="W230" s="253"/>
      <c r="X230" s="4" t="str">
        <f>IF(AND(ISNUMBER(SnapshotTable[[#This Row],[Equity Basis Per Share]]),ISNUMBER(SnapshotTable[[#This Row],[Equity Target]])),SnapshotTable[[#This Row],[Equity Target]]-SnapshotTable[[#This Row],[Equity Basis Per Share]],"")</f>
        <v/>
      </c>
      <c r="Y230" s="4" t="str">
        <f>IF(AND(ISNUMBER(SnapshotTable[[#This Row],[Equity Basis Per Share]]),ISNUMBER(SnapshotTable[[#This Row],[Equity Stop Loss]])),SnapshotTable[[#This Row],[Equity Stop Loss]]-SnapshotTable[[#This Row],[Equity Basis Per Share]],"")</f>
        <v/>
      </c>
      <c r="Z230" s="260" t="str">
        <f>IFERROR( TEXT(SnapshotTable[[#This Row],[Equity Max Gain Per Share]] /ABS( SnapshotTable[[#This Row],[Equity Max Loss Per Share]]),"0.0 " ) &amp; " : 1", "")</f>
        <v/>
      </c>
      <c r="AA230" s="31" t="str">
        <f>IF(ISNUMBER(SnapshotTable[[#This Row],[Equity Max Gain Per Share]]),SnapshotTable[[#This Row],[Equity Max Gain Per Share]] * SnapshotTable[[#This Row],[Equity Shares]],"")</f>
        <v/>
      </c>
      <c r="AB230" s="31" t="str">
        <f>IF(ISNUMBER(SnapshotTable[[#This Row],[Equity Max Loss Per Share]]),SnapshotTable[[#This Row],[Equity Max Loss Per Share]] * SnapshotTable[[#This Row],[Equity Shares]],"")</f>
        <v/>
      </c>
      <c r="AC230" s="148">
        <v>0</v>
      </c>
      <c r="AD230" s="149" t="s">
        <v>2</v>
      </c>
      <c r="AE230" s="31">
        <f>(SnapshotTable[[#This Row],[Annual Dividend Per Share]] / 4) * SnapshotTable[[#This Row],[Equity Shares]]</f>
        <v>0</v>
      </c>
      <c r="AF230" s="31">
        <f>SnapshotTable[[#This Row],[Quarterly Div $]] * 4</f>
        <v>0</v>
      </c>
      <c r="AG230" s="7">
        <f>IF(SnapshotTable[[#This Row],[Annual Dividend Per Share]]&gt;0, SnapshotTable[[#This Row],[Annual Dividend Per Share]]  / SnapshotTable[[#This Row],[Last Price]], 0)</f>
        <v>0</v>
      </c>
      <c r="AH230" s="149" t="s">
        <v>2</v>
      </c>
      <c r="AI230" s="5"/>
      <c r="AJ230" s="136" t="s">
        <v>111</v>
      </c>
      <c r="AK230" s="150" t="str">
        <f>IF(ISNUMBER( SnapshotTable[[#This Row],[EBF Target]]),(SnapshotTable[[#This Row],[EBF Target]] - SnapshotTable[[#This Row],[Last Price]]) / SnapshotTable[[#This Row],[Last Price]], "")</f>
        <v/>
      </c>
      <c r="AL230" s="150" t="str">
        <f>IF(AND(SnapshotTable[[#This Row],[Equity Basis Total]] &gt; 0,ISNUMBER( SnapshotTable[[#This Row],[Long Term Target]])), SnapshotTable[[#This Row],[From Basis $]] / SnapshotTable[[#This Row],[Equity Basis Total]], "")</f>
        <v/>
      </c>
      <c r="AM230" s="9">
        <f>IF( AND(SnapshotTable[[#This Row],[Equity Shares]] &gt;0,ISNUMBER( SnapshotTable[[#This Row],[Long Term Target]])),(SnapshotTable[[#This Row],[Equity Shares]] * SnapshotTable[[#This Row],[Long Term Target]]) - SnapshotTable[[#This Row],[Equity Basis Total]],0)</f>
        <v>0</v>
      </c>
      <c r="AN230" s="9">
        <f>IF( AND(SnapshotTable[[#This Row],[Equity Shares]] &gt;0,ISNUMBER( SnapshotTable[[#This Row],[Long Term Target]])),(SnapshotTable[[#This Row],[Equity Shares]]*SnapshotTable[[#This Row],[Long Term Target]]) - SnapshotTable[[#This Row],[Equity Value]],0)</f>
        <v>0</v>
      </c>
      <c r="AO230" s="150" t="str">
        <f>IF(AND(ISNUMBER( SnapshotTable[[#This Row],[Long Term Target]]), ISNUMBER(SnapshotTable[[#This Row],[Last Price]])),(SnapshotTable[[#This Row],[Long Term Target]] - SnapshotTable[[#This Row],[Last Price]]) / SnapshotTable[[#This Row],[Last Price]], "")</f>
        <v/>
      </c>
      <c r="AP230" s="5"/>
      <c r="AQ230" s="38"/>
      <c r="AR230" s="5"/>
      <c r="AS230" s="38"/>
      <c r="AT230" s="144"/>
      <c r="AU230" s="185" t="str">
        <f>IF(OR(SnapshotTable[[#This Row],[LP No Fill]]="Y",SnapshotTable[[#This Row],[SP Is Filled]],SnapshotTable[[#This Row],[LC Not Filled]]="Y",SnapshotTable[[#This Row],[SC Is Filled]]),"Y","")</f>
        <v/>
      </c>
      <c r="AV230" s="205"/>
      <c r="AW230" s="211"/>
      <c r="AX230" s="206"/>
      <c r="AY230" s="205" t="str">
        <f>IF(SnapshotTable[[#This Row],[Implied Move]]&gt;0, SnapshotTable[[#This Row],[Last Price]]-SnapshotTable[[#This Row],[Implied Move]],"")</f>
        <v/>
      </c>
      <c r="AZ230" s="205" t="str">
        <f>IF(SnapshotTable[[#This Row],[Implied Move]]&gt;0, SnapshotTable[[#This Row],[Last Price]] + SnapshotTable[[#This Row],[Implied Move]],"")</f>
        <v/>
      </c>
      <c r="BA230" s="302">
        <v>66.42</v>
      </c>
      <c r="BB230" s="318"/>
      <c r="BC23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0" s="321"/>
      <c r="BE230" s="5"/>
      <c r="BF230" s="14"/>
      <c r="BG230" s="13"/>
      <c r="BH230" s="13"/>
      <c r="BI230" s="5"/>
      <c r="BJ230" s="134">
        <f>IF(SnapshotTable[[#This Row],[LP Qty]] &gt; 0, SnapshotTable[[#This Row],[LP Qty]] * SnapshotTable[[#This Row],[LP Book Price]] * 100,0)</f>
        <v>0</v>
      </c>
      <c r="BK230" s="134">
        <f>IF(SnapshotTable[[#This Row],[LP Premium]] &gt; 0, SnapshotTable[[#This Row],[LP Qty]] * SnapshotTable[[#This Row],[LP Strike Price]] * 100,0)</f>
        <v>0</v>
      </c>
      <c r="BL230" s="152"/>
      <c r="BM230" s="355" t="str">
        <f>IF(SnapshotTable[[#This Row],[LP Premium]] &gt; 0,SnapshotTable[[#This Row],[LP Exp Date]]-MAX(SnapshotTable[[#This Row],[LP Book Date]], SnapshotTable[[#This Row],[LP Fill Date]]),"")</f>
        <v/>
      </c>
      <c r="BN230" s="355" t="str">
        <f>IF(ISNUMBER( SnapshotTable[[#This Row],[LP Term]]), SnapshotTable[[#This Row],[LP Exp Date]] - MockToday,"")</f>
        <v/>
      </c>
      <c r="BO230" s="161" t="str">
        <f>IF(AND(SnapshotTable[[#This Row],[LP Exp Date]]&gt;0, SnapshotTable[[#This Row],[LP Strike Price]]&gt;0,SnapshotTable[[#This Row],[LP Qty]]&gt;0,SnapshotTable[[#This Row],[LP Book Date]]&gt;0,SnapshotTable[[#This Row],[LP Book Price]]&gt;0,SnapshotTable[[#This Row],[LP Fill Date]]=0),"Y","")</f>
        <v/>
      </c>
      <c r="BP230" s="31" t="str">
        <f>IF(AND(SnapshotTable[[#This Row],[LP No Fill]]&lt;&gt;"Y",SnapshotTable[[#This Row],[LP Contract Value]]&gt;0, SnapshotTable[[#This Row],[LP Qty]]&gt;0), SnapshotTable[[#This Row],[LP Contract Value]]*SnapshotTable[[#This Row],[LP Qty]]*100,"")</f>
        <v/>
      </c>
      <c r="BQ230" s="13"/>
      <c r="BR230" s="5"/>
      <c r="BS230" s="36"/>
      <c r="BT230" s="145"/>
      <c r="BU230" s="13"/>
      <c r="BV230" s="5"/>
      <c r="BW230" s="382" t="b">
        <f>AND(ISNUMBER(SnapshotTable[[#This Row],[SP Exp Date]]), ISNUMBER(SnapshotTable[[#This Row],[SP Strike Price]]), ISNUMBER(SnapshotTable[[#This Row],[SP Qty]]), ISNUMBER(SnapshotTable[[#This Row],[SP Book Date]]), ISNUMBER(SnapshotTable[[#This Row],[SP Book Price]]))</f>
        <v>0</v>
      </c>
      <c r="BX230" s="382" t="b">
        <f>AND(SnapshotTable[[#This Row],[SP Is Booked]], NOT(ISBLANK(SnapshotTable[[#This Row],[SP Fill Date]])))</f>
        <v>0</v>
      </c>
      <c r="BY230" s="33">
        <f>IF(SnapshotTable[[#This Row],[SP Is Booked]], SnapshotTable[[#This Row],[SP Qty]] * SnapshotTable[[#This Row],[SP Book Price]] * 100, 0)</f>
        <v>0</v>
      </c>
      <c r="BZ230" s="339"/>
      <c r="CA230" s="338">
        <f>SnapshotTable[[#This Row],[LP Qty]]</f>
        <v>0</v>
      </c>
      <c r="CB230" s="4" t="str">
        <f>IF(SnapshotTable[[#This Row],[SP Is Booked]], SnapshotTable[[#This Row],[SP Strike Price]] - SnapshotTable[[#This Row],[SP Book Price]], "")</f>
        <v/>
      </c>
      <c r="CC230" s="19" t="str">
        <f>IF(SnapshotTable[[#This Row],[SP Is Booked]],SnapshotTable[[#This Row],[SP Exp Date]]-MAX(SnapshotTable[[#This Row],[SP Book Date]], SnapshotTable[[#This Row],[SP Fill Date]]),"")</f>
        <v/>
      </c>
      <c r="CD230" s="7" t="str">
        <f>IF(SnapshotTable[[#This Row],[SP Is Booked]], SnapshotTable[[#This Row],[SP Book Price]]/SnapshotTable[[#This Row],[SP Strike Price]], "")</f>
        <v/>
      </c>
      <c r="CE230" s="7" t="str">
        <f>IF(ISNUMBER(SnapshotTable[[#This Row],[SP ROO Term]]),SnapshotTable[[#This Row],[SP ROO Term]]*(365/SnapshotTable[[#This Row],[SP Term]]),"")</f>
        <v/>
      </c>
      <c r="CF230" s="221">
        <f>SnapshotTable[[#This Row],[LP Strike Price]] * SnapshotTable[[#This Row],[LP Qty]] * 100</f>
        <v>0</v>
      </c>
      <c r="CG230" s="31">
        <f>IF(ISNUMBER(SnapshotTable[[#This Row],[SP Premium]]), (SnapshotTable[[#This Row],[SP Qty]] * SnapshotTable[[#This Row],[SP Strike Price]]* 100) - SnapshotTable[[#This Row],[LP Protection]], 0)</f>
        <v>0</v>
      </c>
      <c r="CH230" s="7" t="str">
        <f>IF(ISNUMBER(SnapshotTable[[#This Row],[SP Break Even]]),-1 * (SnapshotTable[[#This Row],[SP Break Even]] - SnapshotTable[[#This Row],[Last Price]]) / SnapshotTable[[#This Row],[Last Price]], "")</f>
        <v/>
      </c>
      <c r="CI230" s="31">
        <f>IF(AND(ISNUMBER((SnapshotTable[[#This Row],[SP Potential Spend]])), SnapshotTable[[#This Row],[SP Strike Price]] &gt; SnapshotTable[[#This Row],[Last Price]], SnapshotTable[[#This Row],[SP Is Filled]]), SnapshotTable[[#This Row],[SP Potential Spend]] -  SnapshotTable[[#This Row],[LP Max Value]], 0)</f>
        <v>0</v>
      </c>
      <c r="CJ230" s="229"/>
      <c r="CK230" s="31">
        <f>IF(ISNUMBER(SnapshotTable[[#This Row],[SP Potential Spend]]),IF(ISNUMBER(SnapshotTable[[#This Row],[SP POW]]), SnapshotTable[[#This Row],[SP POW]] * SnapshotTable[[#This Row],[SP Potential Spend]], SnapshotTable[[#This Row],[SP Potential Spend]]), "")</f>
        <v>0</v>
      </c>
      <c r="CL230" s="162">
        <f>IF(NOT(SnapshotTable[[#This Row],[SP Is Filled]]),(SnapshotTable[[#This Row],[SP Qty]] * SnapshotTable[[#This Row],[SP Strike Price]] * 100) - SnapshotTable[[#This Row],[LP Max Value]],"")</f>
        <v>0</v>
      </c>
      <c r="CM230" s="31" t="str">
        <f>IF(SnapshotTable[[#This Row],[SP Actual Spend]]&lt;&gt;0, ((SnapshotTable[[#This Row],[SP Strike Price]]-SnapshotTable[[#This Row],[Last Price]]) *(SnapshotTable[[#This Row],[SP Qty]]*100) - SnapshotTable[[#This Row],[SP Premium]]) * - 1, "")</f>
        <v/>
      </c>
      <c r="CN230" s="76"/>
      <c r="CO230" s="339"/>
      <c r="CP230" s="4" t="str">
        <f>IF(SnapshotTable[[#This Row],[SP Is Filled]], btc_max_buyback_amount(SnapshotTable[[#This Row],[SP Fill Date]],SnapshotTable[[#This Row],[SP Exp Date]], SnapshotTable[[#This Row],[SP Book Price]]),"")</f>
        <v/>
      </c>
      <c r="CQ230" s="76"/>
      <c r="CR23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0" s="153" t="str">
        <f>IF(SnapshotTable[[#This Row],[SP Is Filled]], btc_next_cutoff_date(SnapshotTable[[#This Row],[SP Fill Date]],SnapshotTable[[#This Row],[SP Exp Date]]),"")</f>
        <v/>
      </c>
      <c r="CT230" s="220" t="str" cm="1">
        <f t="array" ref="CT230">IF(SnapshotTable[[#This Row],[SP Is Filled]], btc_should_buy_back(SnapshotTable[[#This Row],[SP Fill Date]], SnapshotTable[[#This Row],[SP Exp Date]], SnapshotTable[[#This Row],[SP Book Price]], SnapshotTable[[#This Row],[SP Current Ask]], MockToday, SnapshotTable[[#This Row],[SP Buyback Override]]),"")</f>
        <v/>
      </c>
      <c r="CU230" s="141"/>
      <c r="CV230" s="220"/>
      <c r="CW230" s="348" t="str">
        <f>IF(ISNUMBER( SnapshotTable[[#This Row],[SP Term]]), SnapshotTable[[#This Row],[SP Exp Date]] - MockToday,"")</f>
        <v/>
      </c>
      <c r="CX230" s="31" t="str">
        <f>IF(SnapshotTable[[#This Row],[SP Is Filled]],SnapshotTable[[#This Row],[SP Buyback Price to Use]] * 100 * SnapshotTable[[#This Row],[SP Qty]], "")</f>
        <v/>
      </c>
      <c r="CY230" s="4" t="str">
        <f>IF(ISNUMBER(SnapshotTable[[#This Row],[SP Strike Price]]), SnapshotTable[[#This Row],[SP Strike Price]] * (1 - SP_MaxLoss_StrikePct), "")</f>
        <v/>
      </c>
      <c r="CZ230" s="31" t="str">
        <f>IF(ISNUMBER(SnapshotTable[[#This Row],[SP Strike  Stop Per Share]]),SnapshotTable[[#This Row],[SP Premium]] - ((SnapshotTable[[#This Row],[SP Strike Price]]-SnapshotTable[[#This Row],[SP Strike  Stop Per Share]]) *(SnapshotTable[[#This Row],[SP Qty]] * 100)),"")</f>
        <v/>
      </c>
      <c r="DA230" s="4" t="str">
        <f>IF(AND(ISNUMBER(SnapshotTable[[#This Row],[SP Premium]]),SnapshotTable[[#This Row],[SP Premium]]&gt;0), SnapshotTable[[#This Row],[SP Book Price]] * (1 + SP_MaxLoss_OptionPct), "")</f>
        <v/>
      </c>
      <c r="DB230" s="31" t="str">
        <f>IF(ISNUMBER(SnapshotTable[[#This Row],[SP Option  Stop Contract]]),(SnapshotTable[[#This Row],[SP Option  Stop Contract]] *(SnapshotTable[[#This Row],[SP Qty]] * 100) - SnapshotTable[[#This Row],[SP Premium]]),"")</f>
        <v/>
      </c>
      <c r="DC230" s="4"/>
      <c r="DD230" s="4"/>
      <c r="DE230" s="4" t="str">
        <f>IF(AND(SnapshotTable[[#This Row],[SP Qty]]&gt;0, SnapshotTable[[#This Row],[SP Stop To Use]]&gt;0),SnapshotTable[[#This Row],[SP Premium]] - ( SnapshotTable[[#This Row],[SP Qty]] * SnapshotTable[[#This Row],[SP Stop To Use]] * 100), "")</f>
        <v/>
      </c>
      <c r="DF230" s="31" t="str">
        <f>IF(AND(SnapshotTable[[#This Row],[SP Qty]]&gt;0,SnapshotTable[[#This Row],[SP Current Ask]]&gt;0), SnapshotTable[[#This Row],[SP Qty]] * SnapshotTable[[#This Row],[SP Current Ask]] * -100, "")</f>
        <v/>
      </c>
      <c r="DG230" s="31" t="str">
        <f>IF(ISNUMBER((SnapshotTable[[#This Row],[SP Total Value]])), SnapshotTable[[#This Row],[SP Premium]] + SnapshotTable[[#This Row],[SP Total Value]], "")</f>
        <v/>
      </c>
      <c r="DH230" s="272" t="str">
        <f>IF(ISNUMBER((SnapshotTable[[#This Row],[SP Total Value]])), SnapshotTable[[#This Row],[SP Gain Loss]] / SnapshotTable[[#This Row],[SP Premium]], "")</f>
        <v/>
      </c>
      <c r="DI230" s="369"/>
      <c r="DJ230" s="136"/>
      <c r="DK230" s="146"/>
      <c r="DL230" s="13"/>
      <c r="DM230" s="13"/>
      <c r="DO230" s="31">
        <f>IF(SnapshotTable[[#This Row],[LC Symbol Count]]=1, SnapshotTable[[#This Row],[LC Qty]] * SnapshotTable[[#This Row],[LC Book Price]] * 100, 0)</f>
        <v>0</v>
      </c>
      <c r="DP230" s="161" t="str">
        <f>IF(AND(SnapshotTable[[#This Row],[LC Exp Date]]&gt;0, SnapshotTable[[#This Row],[LC Strike Price]]&gt;0,SnapshotTable[[#This Row],[LC Qty]]&gt;0,SnapshotTable[[#This Row],[LC Book Date]]&gt;0,SnapshotTable[[#This Row],[LC Book Price]]&gt;0,SnapshotTable[[#This Row],[LC Fill Date]]=0),"Y","")</f>
        <v/>
      </c>
      <c r="DQ230" s="356" t="str">
        <f>IF(SnapshotTable[[#This Row],[LC Premium]] &gt; 0,SnapshotTable[[#This Row],[LC Exp Date]]-MAX(SnapshotTable[[#This Row],[LC Book Date]], SnapshotTable[[#This Row],[LC Fill Date]]),"")</f>
        <v/>
      </c>
      <c r="DR230" s="356" t="str">
        <f>IF(ISNUMBER(SnapshotTable[[#This Row],[LC Term]]), SnapshotTable[[#This Row],[LC Exp Date]] - MockToday, "")</f>
        <v/>
      </c>
      <c r="DS230" s="219" t="str">
        <f>IF(SnapshotTable[[#This Row],[LC Premium]]&gt;0,SnapshotTable[[#This Row],[LC Strike Price]] + SnapshotTable[[#This Row],[LC Book Price]],"")</f>
        <v/>
      </c>
      <c r="DU230" s="9" t="str">
        <f>IF(AND(SnapshotTable[[#This Row],[LC Symbol Count]]&gt;0, SnapshotTable[[#This Row],[LC Contract Value]]&gt;0), SnapshotTable[[#This Row],[LC Contract Value]] * SnapshotTable[[#This Row],[LC Qty]] * 100, "")</f>
        <v/>
      </c>
      <c r="DV230" s="9" t="str">
        <f>IF(AND(ISNUMBER(SnapshotTable[[#This Row],[LC Total Value]]), SnapshotTable[[#This Row],[LC Not Filled]]&lt;&gt;"Y"), SnapshotTable[[#This Row],[LC Total Value]]-SnapshotTable[[#This Row],[LC Premium]],"")</f>
        <v/>
      </c>
      <c r="DW230" s="225" t="str">
        <f>IF(ISNUMBER(SnapshotTable[[#This Row],[LC Actual Gain Loss]]), SnapshotTable[[#This Row],[LC Actual Gain Loss]] / SnapshotTable[[#This Row],[LC Premium]],"")</f>
        <v/>
      </c>
      <c r="DX230" s="269" t="str">
        <f>IF(ISNUMBER(SnapshotTable[[#This Row],[LC Book Price]]),SnapshotTable[[#This Row],[LC Book Price]] * 1.5,"")</f>
        <v/>
      </c>
      <c r="DY230" s="250" t="str">
        <f>IF(SnapshotTable[[#This Row],[LC Premium]]&gt;0, SnapshotTable[[#This Row],[LC Next Target]] * SnapshotTable[[#This Row],[LC Qty]] * 100,"")</f>
        <v/>
      </c>
      <c r="DZ230" s="250" t="str">
        <f>IF(ISNUMBER(SnapshotTable[[#This Row],[LC Target Gross]]), SnapshotTable[[#This Row],[LC Target Gross]] - SnapshotTable[[#This Row],[LC Premium]], "")</f>
        <v/>
      </c>
      <c r="EA230" s="283" t="str">
        <f>IF(ISNUMBER(SnapshotTable[[#This Row],[LC Target Gain Loss]]), SnapshotTable[[#This Row],[LC Target Gain Loss]]/SnapshotTable[[#This Row],[LC Premium]], "")</f>
        <v/>
      </c>
      <c r="EB230" s="247"/>
      <c r="EC230" s="268" t="str">
        <f>IF(SnapshotTable[[#This Row],[LC Premium]]&gt;0, SnapshotTable[[#This Row],[LC Book Price]] * (1 - LC_StopLoss_Pct),"")</f>
        <v/>
      </c>
      <c r="ED230" s="269"/>
      <c r="EE230" s="268" t="str">
        <f>IF(ISNUMBER(SnapshotTable[[#This Row],[LC Contract Value]]),IF(ISNUMBER(SnapshotTable[[#This Row],[LC Stop Loss Override]]), SnapshotTable[[#This Row],[LC Stop Loss Override]],SnapshotTable[[#This Row],[LC Stop Loss Calc Target]]),"")</f>
        <v/>
      </c>
      <c r="EF230" s="31" t="str">
        <f>IF(ISNUMBER(SnapshotTable[[#This Row],[LC Stop  To Use]]), (SnapshotTable[[#This Row],[LC Stop  To Use]] * SnapshotTable[[#This Row],[LC Qty]] * 100),"")</f>
        <v/>
      </c>
      <c r="EG230" s="9" t="str">
        <f>IF(ISNUMBER(SnapshotTable[[#This Row],[LC Total Value]]),SnapshotTable[[#This Row],[LC Stop Loss Amount]] - SnapshotTable[[#This Row],[LC Premium]],"")</f>
        <v/>
      </c>
      <c r="EH230" s="9">
        <f>IF(ISNUMBER(SnapshotTable[[#This Row],[LC Premium]]), SnapshotTable[[#This Row],[LC Qty]] * 100 * SnapshotTable[[#This Row],[LC Strike Price]], "")</f>
        <v>0</v>
      </c>
      <c r="EI230" s="225" t="str">
        <f>IF(AND(ISNUMBER(SnapshotTable[[#This Row],[LC Total Value]]),SnapshotTable[[#This Row],[LC Total Value]]&gt;0),SnapshotTable[[#This Row],[LC Stop Gain Loss]]  / SnapshotTable[[#This Row],[LC Premium]],"")</f>
        <v/>
      </c>
      <c r="EJ230" s="35">
        <f>IF(ISNUMBER(SnapshotTable[[#This Row],[Equity Shares]]),TRUNC(SnapshotTable[[#This Row],[Equity Shares]] / 100),0) + SnapshotTable[[#This Row],[LC Qty]]</f>
        <v>0</v>
      </c>
      <c r="EK230" s="145"/>
      <c r="EL230" s="136">
        <v>64</v>
      </c>
      <c r="EM230" s="146"/>
      <c r="EN230" s="145">
        <v>45092</v>
      </c>
      <c r="EO230" s="145"/>
      <c r="EP230" s="136">
        <v>3.8</v>
      </c>
      <c r="EQ230" s="382" t="b">
        <f>AND(ISNUMBER(SnapshotTable[[#This Row],[SC Exp Date]]), ISNUMBER(SnapshotTable[[#This Row],[SC Strike Price]]), ISNUMBER(SnapshotTable[[#This Row],[SC Qty]]), ISNUMBER(SnapshotTable[[#This Row],[SC Book Date]]), ISNUMBER(SnapshotTable[[#This Row],[SC Book Price]]))</f>
        <v>0</v>
      </c>
      <c r="ER230" s="382" t="b">
        <f>AND(SnapshotTable[[#This Row],[SC Is Booked]], NOT(ISBLANK(SnapshotTable[[#This Row],[SC Fill Date]])))</f>
        <v>0</v>
      </c>
      <c r="ES230" s="340"/>
      <c r="ET230" s="34" t="str">
        <f>IF(AND(ISNUMBER(SnapshotTable[[#This Row],[SC Exp Date]]), ISNUMBER(SnapshotTable[[#This Row],[SC Book Date]])), SnapshotTable[[#This Row],[SC Exp Date]] - MAX(SnapshotTable[[#This Row],[SC Book Date]], SnapshotTable[[#This Row],[SC Fill Date]]) + 1, "")</f>
        <v/>
      </c>
      <c r="EU230" s="34" t="str">
        <f>IF(ISNUMBER(SnapshotTable[[#This Row],[SC Term]]), SnapshotTable[[#This Row],[SC Exp Date]]- MockToday, "")</f>
        <v/>
      </c>
      <c r="EV230" s="31">
        <f>IF(SnapshotTable[[#This Row],[SC Is Booked]], SnapshotTable[[#This Row],[SC Qty]] * SnapshotTable[[#This Row],[SC Book Price]] * 100, 0)</f>
        <v>0</v>
      </c>
      <c r="EW230" s="4">
        <f>IF(AND(ISNUMBER(SnapshotTable[[#This Row],[Last Price]]), ISNUMBER( SnapshotTable[[#This Row],[SC Book Price]])), SnapshotTable[[#This Row],[Last Price]] - SnapshotTable[[#This Row],[SC Book Price]],"")</f>
        <v>42.13</v>
      </c>
      <c r="EX230" s="219" t="str">
        <f>IF(SnapshotTable[[#This Row],[SC Is Booked]],IF(SnapshotTable[[#This Row],[SC Intrinsic Value]] &gt; 0, SnapshotTable[[#This Row],[SC Strike Price]], SnapshotTable[[#This Row],[Last Price]]), "")</f>
        <v/>
      </c>
      <c r="EY230" s="4">
        <f>IF(SnapshotTable[[#This Row],[SC Is Booked]], (MinimumPremiumRequired * SnapshotTable[[#This Row],[SC Basis]] * SnapshotTable[[#This Row],[SC Term]]), 0)</f>
        <v>0</v>
      </c>
      <c r="EZ230" s="268"/>
      <c r="FA230" s="204"/>
      <c r="FB230" s="340"/>
      <c r="FC230" s="4">
        <f>IF(SnapshotTable[[#This Row],[SC Is Filled]], btc_max_buyback_amount(SnapshotTable[[#This Row],[SC Fill Date]],SnapshotTable[[#This Row],[SC Exp Date]], SnapshotTable[[#This Row],[SC Book Price]]),0)</f>
        <v>0</v>
      </c>
      <c r="FD230" s="5"/>
      <c r="FE230" s="142" t="str">
        <f>IF(SnapshotTable[[#This Row],[SC Is Filled]], btc_next_cutoff_date(SnapshotTable[[#This Row],[SC Fill Date]],SnapshotTable[[#This Row],[SC Exp Date]]),"")</f>
        <v/>
      </c>
      <c r="FF230" s="4" t="str" cm="1">
        <f t="array" ref="FF230">IF(SnapshotTable[[#This Row],[SC Is Filled]], btc_should_buy_back(SnapshotTable[[#This Row],[SC Fill Date]], SnapshotTable[[#This Row],[SC Exp Date]], SnapshotTable[[#This Row],[SC Book Price]], SnapshotTable[[#This Row],[SC Current Ask]], MockToday, SnapshotTable[[#This Row],[SC Buyback Override]]),"")</f>
        <v/>
      </c>
      <c r="FG230" s="4">
        <f>IF(SnapshotTable[[#This Row],[SC Is Filled]], MAX(0,SnapshotTable[[#This Row],[Last Price]]  - SnapshotTable[[#This Row],[SC Strike Price]]), 0)</f>
        <v>0</v>
      </c>
      <c r="FH230" s="352">
        <f>IF(SnapshotTable[[#This Row],[SC Is Filled]], IF(ISNUMBER(SnapshotTable[[#This Row],[SC Current Ask]]), SnapshotTable[[#This Row],[SC Current Ask]], SnapshotTable[[#This Row],[SC Book Price]]) - SnapshotTable[[#This Row],[SC Intrinsic Value]], 0)</f>
        <v>0</v>
      </c>
      <c r="FI230" s="141"/>
      <c r="FJ230" s="32" t="str">
        <f>IF(SnapshotTable[[#This Row],[SC Is Filled]],100 * SnapshotTable[[#This Row],[SC Qty]] * IF(ISNUMBER(SnapshotTable[[#This Row],[SC Buyback Override]]), SnapshotTable[[#This Row],[SC Buyback Override]], SnapshotTable[[#This Row],[SC Current Ask]]), "")</f>
        <v/>
      </c>
      <c r="FK230" s="235" t="str">
        <f>IF(SnapshotTable[[#This Row],[SC Time Val]]&gt;0, SnapshotTable[[#This Row],[SC Time Val]] / SnapshotTable[[#This Row],[Last Price]],"")</f>
        <v/>
      </c>
      <c r="FL230" s="280" t="str">
        <f>IF(SnapshotTable[[#This Row],[SC Is Booked]], ((SnapshotTable[[#This Row],[Last Price]] -SnapshotTable[[#This Row],[SC Strike Price]]) / SnapshotTable[[#This Row],[Last Price]]) * -1, "")</f>
        <v/>
      </c>
      <c r="FM230" s="155" t="str">
        <f>IF(SnapshotTable[[#This Row],[SC Is Booked]],  (SnapshotTable[[#This Row],[SC Qty]] * 100 * SnapshotTable[[#This Row],[SC Strike Price]]) - SnapshotTable[[#This Row],[SC Current Ask]], "")</f>
        <v/>
      </c>
      <c r="FN23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0" s="31" t="str">
        <f>IF(AND(ISNUMBER(SnapshotTable[[#This Row],[SC Exercise Gross]]), ISNUMBER(SnapshotTable[[#This Row],[Equity Basis Per Share]] )), SnapshotTable[[#This Row],[SC Exercise Gross]] - SnapshotTable[[#This Row],[Equity Basis Total]] +  SnapshotTable[[#This Row],[SC Premium]], "")</f>
        <v/>
      </c>
      <c r="FP230" s="5" t="str">
        <f>IF(ISNUMBER(SnapshotTable[[#This Row],[SC Exercise Gross]]), (SnapshotTable[[#This Row],[SC Exercise Gross]]) / (SnapshotTable[[#This Row],[SC Qty]] * 100), "")</f>
        <v/>
      </c>
      <c r="FQ230" s="27" t="str">
        <f>IF(SnapshotTable[[#This Row],[SC Is Booked]],SnapshotTable[[#This Row],[SC Time Val]] /SnapshotTable[[#This Row],[SC Basis]], "")</f>
        <v/>
      </c>
      <c r="FR230" s="27" t="str" cm="1">
        <f t="array" ref="FR230">IF(AND(ISNUMBER(SnapshotTable[[#This Row],[SC Term]]),ISNUMBER(SnapshotTable[[#This Row],[SC Simple ROO]])), EllmanAnnualize(SnapshotTable[[#This Row],[SC DTE]], SnapshotTable[[#This Row],[SC Simple ROO]] ),"")</f>
        <v/>
      </c>
      <c r="FS230" s="4">
        <f>IF(SnapshotTable[[#This Row],[SC Strike Price]] &gt; SnapshotTable[[#This Row],[Last Price]], SnapshotTable[[#This Row],[SC Strike Price]] - SnapshotTable[[#This Row],[Last Price]],0)</f>
        <v>18.07</v>
      </c>
      <c r="FT230" s="27">
        <f>IF(AND(ISNUMBER(SnapshotTable[[#This Row],[SC Upside Potential]]), SnapshotTable[[#This Row],[SC Upside Potential]] &gt; 0),(SnapshotTable[[#This Row],[SC Upside Potential]]/ SnapshotTable[[#This Row],[ACB]]),"")</f>
        <v>0.27205660945498344</v>
      </c>
      <c r="FU230" s="304" t="str">
        <f>IF(SnapshotTable[[#This Row],[SC Intrinsic Value]] &gt; 0,SnapshotTable[[#This Row],[SC Intrinsic Value]],"")</f>
        <v/>
      </c>
      <c r="FV230" s="27" t="str">
        <f>IF(AND( ISNUMBER( SnapshotTable[[#This Row],[ACB]]),ISNUMBER(SnapshotTable[[#This Row],[SC Downside Protect]])),SnapshotTable[[#This Row],[SC Downside Protect]] / SnapshotTable[[#This Row],[ACB]],"")</f>
        <v/>
      </c>
      <c r="FW230" s="221" t="str">
        <f>IF(AND(ISNUMBER(SnapshotTable[[#This Row],[SC Simple ROO]]),SnapshotTable[[#This Row],[SC Simple ROO]] &gt; 0), SnapshotTable[[#This Row],[SC Premium]] + (SnapshotTable[[#This Row],[SC Qty]] * SnapshotTable[[#This Row],[SC Upside Potential]]), "")</f>
        <v/>
      </c>
      <c r="FX230" s="280" t="str" cm="1">
        <f t="array" ref="FX230">IF(ISNUMBER(SnapshotTable[[#This Row],[SC Max Dollars]]), annualize(SnapshotTable[[#This Row],[SC Term]],(SnapshotTable[[#This Row],[SC Max Dollars]]/SnapshotTable[[#This Row],[SC Basis]])),"")</f>
        <v/>
      </c>
      <c r="FY230" s="221" t="str">
        <f>IF(AND(SnapshotTable[[#This Row],[SC Qty]]&gt;0,SnapshotTable[[#This Row],[SC Current Ask]]&gt;0), SnapshotTable[[#This Row],[SC Qty]] * SnapshotTable[[#This Row],[SC Current Ask]] * -100, "")</f>
        <v/>
      </c>
      <c r="FZ230" s="31" t="str">
        <f>IF(ISNUMBER((SnapshotTable[[#This Row],[SC Current Value]])), SnapshotTable[[#This Row],[SC Premium]] + SnapshotTable[[#This Row],[SC Current Value]], "")</f>
        <v/>
      </c>
      <c r="GA230" s="272" t="str">
        <f>IFERROR( IF(ISNUMBER((SnapshotTable[[#This Row],[SC Current Value]])), SnapshotTable[[#This Row],[SC Gain Loss]] / SnapshotTable[[#This Row],[SC Premium]], ""), "")</f>
        <v/>
      </c>
      <c r="GB230" s="42">
        <f>SnapshotTable[[#This Row],[Equity Shares]] * SaleSharesToConsiderPercentage</f>
        <v>0</v>
      </c>
      <c r="GC230" s="40" t="e">
        <f>SnapshotTable[[#This Row],[Long Term Target]] * SellingPriceToConsiderBasedOnTargetPercentage</f>
        <v>#VALUE!</v>
      </c>
      <c r="GD230" s="40">
        <f>SnapshotTable[[#This Row],[Last Price]] * (1+ SellingPriceToConsiderBasedOnTargetPercentage)</f>
        <v>89.563499999999991</v>
      </c>
      <c r="GE230" s="41"/>
      <c r="GF230" s="40"/>
      <c r="GG230" s="31">
        <f>SnapshotTable[[#This Row],[Booked Sale Shares]] * SnapshotTable[[#This Row],[Booked Sale Price]]</f>
        <v>0</v>
      </c>
      <c r="GH230" s="31" t="str">
        <f>IF(SnapshotTable[[#This Row],[Equity Basis Total]] &gt; 0, SnapshotTable[[#This Row],[Equity Basis Per Share]] * SnapshotTable[[#This Row],[Booked Sale Shares]], "")</f>
        <v/>
      </c>
      <c r="GI230" s="31">
        <f>IF(SnapshotTable[[#This Row],[Sale Proceeds]]&gt;0, SnapshotTable[[#This Row],[Sale Proceeds]] - SnapshotTable[[#This Row],[Sale Basis]], 0)</f>
        <v>0</v>
      </c>
      <c r="GJ230" s="27" t="str">
        <f>IF(SnapshotTable[[#This Row],[Sale G/L]]&gt;0, SnapshotTable[[#This Row],[Sale G/L]] / SnapshotTable[[#This Row],[Sale Basis]], IF(ISNUMBER(SnapshotTable[[#This Row],[SC Exercise P&amp;L (TAX)]]), SnapshotTable[[#This Row],[SC Exercise P&amp;L (TAX)]] / SnapshotTable[[#This Row],[SC Basis]], ""))</f>
        <v/>
      </c>
      <c r="GK230" s="27" t="s">
        <v>618</v>
      </c>
      <c r="GL230" s="43" t="str">
        <f>IF(AND(SnapshotTable[[#This Row],[LP Exp Date]]&gt;0,SnapshotTable[[#This Row],[LP Strike Price]]&gt;0), [1]!ToOptionSymbol(SnapshotTable[[#This Row],[Symbol]], SnapshotTable[[#This Row],[LP Strike Price]],SnapshotTable[[#This Row],[LP Exp Date]],1), "")</f>
        <v/>
      </c>
      <c r="GM230" s="30" t="str">
        <f>IF(LEN(SnapshotTable[[#This Row],[LP Symbol]])&gt;0, 1, "")</f>
        <v/>
      </c>
      <c r="GN230" s="43" t="str">
        <f>IF(AND(SnapshotTable[[#This Row],[SP Exp Date]]&gt;0,SnapshotTable[[#This Row],[SP Strike Price]]&gt;0), [1]!ToOptionSymbol(SnapshotTable[[#This Row],[Symbol]], SnapshotTable[[#This Row],[SP Strike Price]],SnapshotTable[[#This Row],[SP Exp Date]],1), "")</f>
        <v/>
      </c>
      <c r="GO230" s="30" t="str">
        <f>IF(LEN(SnapshotTable[[#This Row],[SP Symbol]])&gt;0, 1, "")</f>
        <v/>
      </c>
      <c r="GP230" s="43" t="str">
        <f>IF(AND(SnapshotTable[[#This Row],[LC Exp Date]]&gt;0,SnapshotTable[[#This Row],[LC Strike Price]]&gt;0), [1]!ToOptionSymbol(SnapshotTable[[#This Row],[Symbol]], SnapshotTable[[#This Row],[LC Strike Price]],SnapshotTable[[#This Row],[LC Exp Date]],0), "")</f>
        <v/>
      </c>
      <c r="GQ230" s="30" t="str">
        <f>IF(LEN(SnapshotTable[[#This Row],[LC Symbol]])&gt;0, 1, "")</f>
        <v/>
      </c>
      <c r="GR230" s="43" t="str">
        <f>IF(AND(SnapshotTable[[#This Row],[SC Exp Date]]&gt;0,SnapshotTable[[#This Row],[SC Strike Price]]&gt;0), [1]!ToOptionSymbol(SnapshotTable[[#This Row],[Symbol]], SnapshotTable[[#This Row],[SC Strike Price]],SnapshotTable[[#This Row],[SC Exp Date]],0), "")</f>
        <v/>
      </c>
      <c r="GS230" s="30" t="str">
        <f>IF(LEN(SnapshotTable[[#This Row],[SC Symbol]])&gt;0, 1, "")</f>
        <v/>
      </c>
      <c r="GT230" s="29" t="str">
        <f>IF(COUNT(SnapshotTable[[#This Row],[LP Symbol Count]],SnapshotTable[[#This Row],[SP Symbol Count]],SnapshotTable[[#This Row],[LC Symbol Count]],SnapshotTable[[#This Row],[SC Symbol Count]])&gt;0, "Y", "")</f>
        <v/>
      </c>
      <c r="GU23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0" s="216">
        <f>MAX(SnapshotTable[[#This Row],[Equity Basis Total]],SnapshotTable[[#This Row],[Equity Value]]) + (SnapshotTable[[#This Row],[SP Potential Spend]]- SnapshotTable[[#This Row],[SP Premium]] + SnapshotTable[[#This Row],[LP Premium]])+ (SnapshotTable[[#This Row],[LC Premium]] - SnapshotTable[[#This Row],[SC Premium]])</f>
        <v>0</v>
      </c>
      <c r="GW230" s="137" t="str">
        <f>IF(AND(SnapshotTable[[#This Row],[Exposure]] &lt;&gt; 0),SnapshotTable[[#This Row],[Exposure]] / SnapshotTable[[#Totals],[Exposure]], "")</f>
        <v/>
      </c>
      <c r="HK230" s="1"/>
      <c r="HL230" s="1"/>
      <c r="HM230" s="1"/>
      <c r="HN230" s="1"/>
      <c r="HO230" s="1"/>
      <c r="HP230" s="1"/>
    </row>
    <row r="231" spans="2:224" ht="12.75" hidden="1" customHeight="1" x14ac:dyDescent="0.25">
      <c r="B231" s="12" t="s">
        <v>777</v>
      </c>
      <c r="C231" s="385">
        <v>159.43</v>
      </c>
      <c r="D231" s="200"/>
      <c r="E231" s="39">
        <f>SnapshotTable[[#This Row],[Last Price]]*(1 -CrashDiscount)</f>
        <v>135.5155</v>
      </c>
      <c r="F231" s="26" t="s">
        <v>5</v>
      </c>
      <c r="G231" s="26" t="s">
        <v>4</v>
      </c>
      <c r="H231" s="147"/>
      <c r="I231" s="186">
        <v>44770.694444444445</v>
      </c>
      <c r="J231" s="187">
        <v>44770.694444444445</v>
      </c>
      <c r="K231" s="188"/>
      <c r="L231" s="297"/>
      <c r="M231" s="138"/>
      <c r="N231" s="138"/>
      <c r="O231" s="138"/>
      <c r="P231" s="22"/>
      <c r="Q231" s="25"/>
      <c r="R231" s="4" t="str">
        <f>IF(SnapshotTable[[#This Row],[Equity Basis Total]] &gt; 0, SnapshotTable[[#This Row],[Equity Basis Total]] / SnapshotTable[[#This Row],[Equity Shares]], "")</f>
        <v/>
      </c>
      <c r="S231" s="254">
        <f>SnapshotTable[[#This Row],[Last Price]] * SnapshotTable[[#This Row],[Equity Shares]]</f>
        <v>0</v>
      </c>
      <c r="T231" s="254">
        <f>SnapshotTable[[#This Row],[Equity Value]] - SnapshotTable[[#This Row],[Equity Basis Total]]</f>
        <v>0</v>
      </c>
      <c r="U231" s="255" t="str">
        <f>IF(SnapshotTable[[#This Row],[Equity Basis Total]] &gt; 0, SnapshotTable[[#This Row],[Equity G/L]] / SnapshotTable[[#This Row],[Equity Basis Total]], "")</f>
        <v/>
      </c>
      <c r="V231" s="253"/>
      <c r="W231" s="253"/>
      <c r="X231" s="4" t="str">
        <f>IF(AND(ISNUMBER(SnapshotTable[[#This Row],[Equity Basis Per Share]]),ISNUMBER(SnapshotTable[[#This Row],[Equity Target]])),SnapshotTable[[#This Row],[Equity Target]]-SnapshotTable[[#This Row],[Equity Basis Per Share]],"")</f>
        <v/>
      </c>
      <c r="Y231" s="4" t="str">
        <f>IF(AND(ISNUMBER(SnapshotTable[[#This Row],[Equity Basis Per Share]]),ISNUMBER(SnapshotTable[[#This Row],[Equity Stop Loss]])),SnapshotTable[[#This Row],[Equity Stop Loss]]-SnapshotTable[[#This Row],[Equity Basis Per Share]],"")</f>
        <v/>
      </c>
      <c r="Z231" s="260" t="str">
        <f>IFERROR( TEXT(SnapshotTable[[#This Row],[Equity Max Gain Per Share]] /ABS( SnapshotTable[[#This Row],[Equity Max Loss Per Share]]),"0.0 " ) &amp; " : 1", "")</f>
        <v/>
      </c>
      <c r="AA231" s="31" t="str">
        <f>IF(ISNUMBER(SnapshotTable[[#This Row],[Equity Max Gain Per Share]]),SnapshotTable[[#This Row],[Equity Max Gain Per Share]] * SnapshotTable[[#This Row],[Equity Shares]],"")</f>
        <v/>
      </c>
      <c r="AB231" s="31" t="str">
        <f>IF(ISNUMBER(SnapshotTable[[#This Row],[Equity Max Loss Per Share]]),SnapshotTable[[#This Row],[Equity Max Loss Per Share]] * SnapshotTable[[#This Row],[Equity Shares]],"")</f>
        <v/>
      </c>
      <c r="AC231" s="148"/>
      <c r="AD231" s="149"/>
      <c r="AE231" s="31">
        <f>(SnapshotTable[[#This Row],[Annual Dividend Per Share]] / 4) * SnapshotTable[[#This Row],[Equity Shares]]</f>
        <v>0</v>
      </c>
      <c r="AF231" s="31">
        <f>SnapshotTable[[#This Row],[Quarterly Div $]] * 4</f>
        <v>0</v>
      </c>
      <c r="AG231" s="7">
        <f>IF(SnapshotTable[[#This Row],[Annual Dividend Per Share]]&gt;0, SnapshotTable[[#This Row],[Annual Dividend Per Share]]  / SnapshotTable[[#This Row],[Last Price]], 0)</f>
        <v>0</v>
      </c>
      <c r="AH231" s="149"/>
      <c r="AI231" s="5"/>
      <c r="AJ231" s="136"/>
      <c r="AK231" s="150" t="str">
        <f>IF(ISNUMBER( SnapshotTable[[#This Row],[EBF Target]]),(SnapshotTable[[#This Row],[EBF Target]] - SnapshotTable[[#This Row],[Last Price]]) / SnapshotTable[[#This Row],[Last Price]], "")</f>
        <v/>
      </c>
      <c r="AL231" s="150" t="str">
        <f>IF(AND(SnapshotTable[[#This Row],[Equity Basis Total]] &gt; 0,ISNUMBER( SnapshotTable[[#This Row],[Long Term Target]])), SnapshotTable[[#This Row],[From Basis $]] / SnapshotTable[[#This Row],[Equity Basis Total]], "")</f>
        <v/>
      </c>
      <c r="AM231" s="9">
        <f>IF( AND(SnapshotTable[[#This Row],[Equity Shares]] &gt;0,ISNUMBER( SnapshotTable[[#This Row],[Long Term Target]])),(SnapshotTable[[#This Row],[Equity Shares]] * SnapshotTable[[#This Row],[Long Term Target]]) - SnapshotTable[[#This Row],[Equity Basis Total]],0)</f>
        <v>0</v>
      </c>
      <c r="AN231" s="9">
        <f>IF( AND(SnapshotTable[[#This Row],[Equity Shares]] &gt;0,ISNUMBER( SnapshotTable[[#This Row],[Long Term Target]])),(SnapshotTable[[#This Row],[Equity Shares]]*SnapshotTable[[#This Row],[Long Term Target]]) - SnapshotTable[[#This Row],[Equity Value]],0)</f>
        <v>0</v>
      </c>
      <c r="AO231" s="150" t="str">
        <f>IF(AND(ISNUMBER( SnapshotTable[[#This Row],[Long Term Target]]), ISNUMBER(SnapshotTable[[#This Row],[Last Price]])),(SnapshotTable[[#This Row],[Long Term Target]] - SnapshotTable[[#This Row],[Last Price]]) / SnapshotTable[[#This Row],[Last Price]], "")</f>
        <v/>
      </c>
      <c r="AP231" s="5"/>
      <c r="AQ231" s="38"/>
      <c r="AR231" s="5"/>
      <c r="AS231" s="38"/>
      <c r="AT231" s="144"/>
      <c r="AU231" s="185" t="str">
        <f>IF(OR(SnapshotTable[[#This Row],[LP No Fill]]="Y",SnapshotTable[[#This Row],[SP Is Filled]],SnapshotTable[[#This Row],[LC Not Filled]]="Y",SnapshotTable[[#This Row],[SC Is Filled]]),"Y","")</f>
        <v/>
      </c>
      <c r="AV231" s="205"/>
      <c r="AW231" s="211"/>
      <c r="AX231" s="206"/>
      <c r="AY231" s="205" t="str">
        <f>IF(SnapshotTable[[#This Row],[Implied Move]]&gt;0, SnapshotTable[[#This Row],[Last Price]]-SnapshotTable[[#This Row],[Implied Move]],"")</f>
        <v/>
      </c>
      <c r="AZ231" s="205" t="str">
        <f>IF(SnapshotTable[[#This Row],[Implied Move]]&gt;0, SnapshotTable[[#This Row],[Last Price]] + SnapshotTable[[#This Row],[Implied Move]],"")</f>
        <v/>
      </c>
      <c r="BA231" s="302"/>
      <c r="BB231" s="318"/>
      <c r="BC23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1" s="321"/>
      <c r="BE231" s="136"/>
      <c r="BF231" s="164"/>
      <c r="BG231" s="165"/>
      <c r="BH231" s="165"/>
      <c r="BI231" s="207"/>
      <c r="BJ231" s="151">
        <f>IF(SnapshotTable[[#This Row],[LP Qty]] &gt; 0, SnapshotTable[[#This Row],[LP Qty]] * SnapshotTable[[#This Row],[LP Book Price]] * 100,0)</f>
        <v>0</v>
      </c>
      <c r="BK231" s="134">
        <f>IF(SnapshotTable[[#This Row],[LP Premium]] &gt; 0, SnapshotTable[[#This Row],[LP Qty]] * SnapshotTable[[#This Row],[LP Strike Price]] * 100,0)</f>
        <v>0</v>
      </c>
      <c r="BL231" s="152"/>
      <c r="BM231" s="355" t="str">
        <f>IF(SnapshotTable[[#This Row],[LP Premium]] &gt; 0,SnapshotTable[[#This Row],[LP Exp Date]]-MAX(SnapshotTable[[#This Row],[LP Book Date]], SnapshotTable[[#This Row],[LP Fill Date]]),"")</f>
        <v/>
      </c>
      <c r="BN231" s="355" t="str">
        <f>IF(ISNUMBER( SnapshotTable[[#This Row],[LP Term]]), SnapshotTable[[#This Row],[LP Exp Date]] - MockToday,"")</f>
        <v/>
      </c>
      <c r="BO231" s="161" t="str">
        <f>IF(AND(SnapshotTable[[#This Row],[LP Exp Date]]&gt;0, SnapshotTable[[#This Row],[LP Strike Price]]&gt;0,SnapshotTable[[#This Row],[LP Qty]]&gt;0,SnapshotTable[[#This Row],[LP Book Date]]&gt;0,SnapshotTable[[#This Row],[LP Book Price]]&gt;0,SnapshotTable[[#This Row],[LP Fill Date]]=0),"Y","")</f>
        <v/>
      </c>
      <c r="BP231" s="31" t="str">
        <f>IF(AND(SnapshotTable[[#This Row],[LP No Fill]]&lt;&gt;"Y",SnapshotTable[[#This Row],[LP Contract Value]]&gt;0, SnapshotTable[[#This Row],[LP Qty]]&gt;0), SnapshotTable[[#This Row],[LP Contract Value]]*SnapshotTable[[#This Row],[LP Qty]]*100,"")</f>
        <v/>
      </c>
      <c r="BQ231" s="13"/>
      <c r="BR231" s="5"/>
      <c r="BS231" s="36"/>
      <c r="BT231" s="145"/>
      <c r="BU231" s="13"/>
      <c r="BV231" s="5"/>
      <c r="BW231" s="382" t="b">
        <f>AND(ISNUMBER(SnapshotTable[[#This Row],[SP Exp Date]]), ISNUMBER(SnapshotTable[[#This Row],[SP Strike Price]]), ISNUMBER(SnapshotTable[[#This Row],[SP Qty]]), ISNUMBER(SnapshotTable[[#This Row],[SP Book Date]]), ISNUMBER(SnapshotTable[[#This Row],[SP Book Price]]))</f>
        <v>0</v>
      </c>
      <c r="BX231" s="382" t="b">
        <f>AND(SnapshotTable[[#This Row],[SP Is Booked]], NOT(ISBLANK(SnapshotTable[[#This Row],[SP Fill Date]])))</f>
        <v>0</v>
      </c>
      <c r="BY231" s="33">
        <f>IF(SnapshotTable[[#This Row],[SP Is Booked]], SnapshotTable[[#This Row],[SP Qty]] * SnapshotTable[[#This Row],[SP Book Price]] * 100, 0)</f>
        <v>0</v>
      </c>
      <c r="BZ231" s="339"/>
      <c r="CA231" s="338">
        <f>SnapshotTable[[#This Row],[LP Qty]]</f>
        <v>0</v>
      </c>
      <c r="CB231" s="4" t="str">
        <f>IF(SnapshotTable[[#This Row],[SP Is Booked]], SnapshotTable[[#This Row],[SP Strike Price]] - SnapshotTable[[#This Row],[SP Book Price]], "")</f>
        <v/>
      </c>
      <c r="CC231" s="19" t="str">
        <f>IF(SnapshotTable[[#This Row],[SP Is Booked]],SnapshotTable[[#This Row],[SP Exp Date]]-MAX(SnapshotTable[[#This Row],[SP Book Date]], SnapshotTable[[#This Row],[SP Fill Date]]),"")</f>
        <v/>
      </c>
      <c r="CD231" s="7" t="str">
        <f>IF(SnapshotTable[[#This Row],[SP Is Booked]], SnapshotTable[[#This Row],[SP Book Price]]/SnapshotTable[[#This Row],[SP Strike Price]], "")</f>
        <v/>
      </c>
      <c r="CE231" s="7" t="str">
        <f>IF(ISNUMBER(SnapshotTable[[#This Row],[SP ROO Term]]),SnapshotTable[[#This Row],[SP ROO Term]]*(365/SnapshotTable[[#This Row],[SP Term]]),"")</f>
        <v/>
      </c>
      <c r="CF231" s="221">
        <f>SnapshotTable[[#This Row],[LP Strike Price]] * SnapshotTable[[#This Row],[LP Qty]] * 100</f>
        <v>0</v>
      </c>
      <c r="CG231" s="31">
        <f>IF(ISNUMBER(SnapshotTable[[#This Row],[SP Premium]]), (SnapshotTable[[#This Row],[SP Qty]] * SnapshotTable[[#This Row],[SP Strike Price]]* 100) - SnapshotTable[[#This Row],[LP Protection]], 0)</f>
        <v>0</v>
      </c>
      <c r="CH231" s="7" t="str">
        <f>IF(ISNUMBER(SnapshotTable[[#This Row],[SP Break Even]]),-1 * (SnapshotTable[[#This Row],[SP Break Even]] - SnapshotTable[[#This Row],[Last Price]]) / SnapshotTable[[#This Row],[Last Price]], "")</f>
        <v/>
      </c>
      <c r="CI231" s="31">
        <f>IF(AND(ISNUMBER((SnapshotTable[[#This Row],[SP Potential Spend]])), SnapshotTable[[#This Row],[SP Strike Price]] &gt; SnapshotTable[[#This Row],[Last Price]], SnapshotTable[[#This Row],[SP Is Filled]]), SnapshotTable[[#This Row],[SP Potential Spend]] -  SnapshotTable[[#This Row],[LP Max Value]], 0)</f>
        <v>0</v>
      </c>
      <c r="CJ231" s="229"/>
      <c r="CK231" s="31">
        <f>IF(ISNUMBER(SnapshotTable[[#This Row],[SP Potential Spend]]),IF(ISNUMBER(SnapshotTable[[#This Row],[SP POW]]), SnapshotTable[[#This Row],[SP POW]] * SnapshotTable[[#This Row],[SP Potential Spend]], SnapshotTable[[#This Row],[SP Potential Spend]]), "")</f>
        <v>0</v>
      </c>
      <c r="CL231" s="162">
        <f>IF(NOT(SnapshotTable[[#This Row],[SP Is Filled]]),(SnapshotTable[[#This Row],[SP Qty]] * SnapshotTable[[#This Row],[SP Strike Price]] * 100) - SnapshotTable[[#This Row],[LP Max Value]],"")</f>
        <v>0</v>
      </c>
      <c r="CM231" s="31" t="str">
        <f>IF(SnapshotTable[[#This Row],[SP Actual Spend]]&lt;&gt;0, ((SnapshotTable[[#This Row],[SP Strike Price]]-SnapshotTable[[#This Row],[Last Price]]) *(SnapshotTable[[#This Row],[SP Qty]]*100) - SnapshotTable[[#This Row],[SP Premium]]) * - 1, "")</f>
        <v/>
      </c>
      <c r="CN231" s="152"/>
      <c r="CO231" s="339"/>
      <c r="CP231" s="4" t="str">
        <f>IF(SnapshotTable[[#This Row],[SP Is Filled]], btc_max_buyback_amount(SnapshotTable[[#This Row],[SP Fill Date]],SnapshotTable[[#This Row],[SP Exp Date]], SnapshotTable[[#This Row],[SP Book Price]]),"")</f>
        <v/>
      </c>
      <c r="CQ231" s="76"/>
      <c r="CR23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1" s="153" t="str">
        <f>IF(SnapshotTable[[#This Row],[SP Is Filled]], btc_next_cutoff_date(SnapshotTable[[#This Row],[SP Fill Date]],SnapshotTable[[#This Row],[SP Exp Date]]),"")</f>
        <v/>
      </c>
      <c r="CT231" s="220" t="str" cm="1">
        <f t="array" ref="CT231">IF(SnapshotTable[[#This Row],[SP Is Filled]], btc_should_buy_back(SnapshotTable[[#This Row],[SP Fill Date]], SnapshotTable[[#This Row],[SP Exp Date]], SnapshotTable[[#This Row],[SP Book Price]], SnapshotTable[[#This Row],[SP Current Ask]], MockToday, SnapshotTable[[#This Row],[SP Buyback Override]]),"")</f>
        <v/>
      </c>
      <c r="CU231" s="141"/>
      <c r="CV231" s="220"/>
      <c r="CW231" s="348" t="str">
        <f>IF(ISNUMBER( SnapshotTable[[#This Row],[SP Term]]), SnapshotTable[[#This Row],[SP Exp Date]] - MockToday,"")</f>
        <v/>
      </c>
      <c r="CX231" s="31" t="str">
        <f>IF(SnapshotTable[[#This Row],[SP Is Filled]],SnapshotTable[[#This Row],[SP Buyback Price to Use]] * 100 * SnapshotTable[[#This Row],[SP Qty]], "")</f>
        <v/>
      </c>
      <c r="CY231" s="4" t="str">
        <f>IF(ISNUMBER(SnapshotTable[[#This Row],[SP Strike Price]]), SnapshotTable[[#This Row],[SP Strike Price]] * (1 - SP_MaxLoss_StrikePct), "")</f>
        <v/>
      </c>
      <c r="CZ231" s="31" t="str">
        <f>IF(ISNUMBER(SnapshotTable[[#This Row],[SP Strike  Stop Per Share]]),SnapshotTable[[#This Row],[SP Premium]] - ((SnapshotTable[[#This Row],[SP Strike Price]]-SnapshotTable[[#This Row],[SP Strike  Stop Per Share]]) *(SnapshotTable[[#This Row],[SP Qty]] * 100)),"")</f>
        <v/>
      </c>
      <c r="DA231" s="4" t="str">
        <f>IF(AND(ISNUMBER(SnapshotTable[[#This Row],[SP Premium]]),SnapshotTable[[#This Row],[SP Premium]]&gt;0), SnapshotTable[[#This Row],[SP Book Price]] * (1 + SP_MaxLoss_OptionPct), "")</f>
        <v/>
      </c>
      <c r="DB231" s="31" t="str">
        <f>IF(ISNUMBER(SnapshotTable[[#This Row],[SP Option  Stop Contract]]),(SnapshotTable[[#This Row],[SP Option  Stop Contract]] *(SnapshotTable[[#This Row],[SP Qty]] * 100) - SnapshotTable[[#This Row],[SP Premium]]),"")</f>
        <v/>
      </c>
      <c r="DC231" s="4"/>
      <c r="DD231" s="4"/>
      <c r="DE231" s="4" t="str">
        <f>IF(AND(SnapshotTable[[#This Row],[SP Qty]]&gt;0, SnapshotTable[[#This Row],[SP Stop To Use]]&gt;0),SnapshotTable[[#This Row],[SP Premium]] - ( SnapshotTable[[#This Row],[SP Qty]] * SnapshotTable[[#This Row],[SP Stop To Use]] * 100), "")</f>
        <v/>
      </c>
      <c r="DF231" s="31" t="str">
        <f>IF(AND(SnapshotTable[[#This Row],[SP Qty]]&gt;0,SnapshotTable[[#This Row],[SP Current Ask]]&gt;0), SnapshotTable[[#This Row],[SP Qty]] * SnapshotTable[[#This Row],[SP Current Ask]] * -100, "")</f>
        <v/>
      </c>
      <c r="DG231" s="31" t="str">
        <f>IF(ISNUMBER((SnapshotTable[[#This Row],[SP Total Value]])), SnapshotTable[[#This Row],[SP Premium]] + SnapshotTable[[#This Row],[SP Total Value]], "")</f>
        <v/>
      </c>
      <c r="DH231" s="272" t="str">
        <f>IF(ISNUMBER((SnapshotTable[[#This Row],[SP Total Value]])), SnapshotTable[[#This Row],[SP Gain Loss]] / SnapshotTable[[#This Row],[SP Premium]], "")</f>
        <v/>
      </c>
      <c r="DI231" s="369"/>
      <c r="DJ231" s="136"/>
      <c r="DK231" s="146"/>
      <c r="DL231" s="145"/>
      <c r="DM231" s="145"/>
      <c r="DO231" s="31">
        <f>IF(SnapshotTable[[#This Row],[LC Symbol Count]]=1, SnapshotTable[[#This Row],[LC Qty]] * SnapshotTable[[#This Row],[LC Book Price]] * 100, 0)</f>
        <v>0</v>
      </c>
      <c r="DP231" s="161" t="str">
        <f>IF(AND(SnapshotTable[[#This Row],[LC Exp Date]]&gt;0, SnapshotTable[[#This Row],[LC Strike Price]]&gt;0,SnapshotTable[[#This Row],[LC Qty]]&gt;0,SnapshotTable[[#This Row],[LC Book Date]]&gt;0,SnapshotTable[[#This Row],[LC Book Price]]&gt;0,SnapshotTable[[#This Row],[LC Fill Date]]=0),"Y","")</f>
        <v/>
      </c>
      <c r="DQ231" s="356" t="str">
        <f>IF(SnapshotTable[[#This Row],[LC Premium]] &gt; 0,SnapshotTable[[#This Row],[LC Exp Date]]-MAX(SnapshotTable[[#This Row],[LC Book Date]], SnapshotTable[[#This Row],[LC Fill Date]]),"")</f>
        <v/>
      </c>
      <c r="DR231" s="356" t="str">
        <f>IF(ISNUMBER(SnapshotTable[[#This Row],[LC Term]]), SnapshotTable[[#This Row],[LC Exp Date]] - MockToday, "")</f>
        <v/>
      </c>
      <c r="DS231" s="219" t="str">
        <f>IF(SnapshotTable[[#This Row],[LC Premium]]&gt;0,SnapshotTable[[#This Row],[LC Strike Price]] + SnapshotTable[[#This Row],[LC Book Price]],"")</f>
        <v/>
      </c>
      <c r="DU231" s="9" t="str">
        <f>IF(AND(SnapshotTable[[#This Row],[LC Symbol Count]]&gt;0, SnapshotTable[[#This Row],[LC Contract Value]]&gt;0), SnapshotTable[[#This Row],[LC Contract Value]] * SnapshotTable[[#This Row],[LC Qty]] * 100, "")</f>
        <v/>
      </c>
      <c r="DV231" s="9" t="str">
        <f>IF(AND(ISNUMBER(SnapshotTable[[#This Row],[LC Total Value]]), SnapshotTable[[#This Row],[LC Not Filled]]&lt;&gt;"Y"), SnapshotTable[[#This Row],[LC Total Value]]-SnapshotTable[[#This Row],[LC Premium]],"")</f>
        <v/>
      </c>
      <c r="DW231" s="225" t="str">
        <f>IF(ISNUMBER(SnapshotTable[[#This Row],[LC Actual Gain Loss]]), SnapshotTable[[#This Row],[LC Actual Gain Loss]] / SnapshotTable[[#This Row],[LC Premium]],"")</f>
        <v/>
      </c>
      <c r="DX231" s="269" t="str">
        <f>IF(ISNUMBER(SnapshotTable[[#This Row],[LC Book Price]]),SnapshotTable[[#This Row],[LC Book Price]] * 1.5,"")</f>
        <v/>
      </c>
      <c r="DY231" s="250" t="str">
        <f>IF(SnapshotTable[[#This Row],[LC Premium]]&gt;0, SnapshotTable[[#This Row],[LC Next Target]] * SnapshotTable[[#This Row],[LC Qty]] * 100,"")</f>
        <v/>
      </c>
      <c r="DZ231" s="250" t="str">
        <f>IF(ISNUMBER(SnapshotTable[[#This Row],[LC Target Gross]]), SnapshotTable[[#This Row],[LC Target Gross]] - SnapshotTable[[#This Row],[LC Premium]], "")</f>
        <v/>
      </c>
      <c r="EA231" s="283" t="str">
        <f>IF(ISNUMBER(SnapshotTable[[#This Row],[LC Target Gain Loss]]), SnapshotTable[[#This Row],[LC Target Gain Loss]]/SnapshotTable[[#This Row],[LC Premium]], "")</f>
        <v/>
      </c>
      <c r="EB231" s="247"/>
      <c r="EC231" s="268" t="str">
        <f>IF(SnapshotTable[[#This Row],[LC Premium]]&gt;0, SnapshotTable[[#This Row],[LC Book Price]] * (1 - LC_StopLoss_Pct),"")</f>
        <v/>
      </c>
      <c r="ED231" s="269"/>
      <c r="EE231" s="268" t="str">
        <f>IF(ISNUMBER(SnapshotTable[[#This Row],[LC Contract Value]]),IF(ISNUMBER(SnapshotTable[[#This Row],[LC Stop Loss Override]]), SnapshotTable[[#This Row],[LC Stop Loss Override]],SnapshotTable[[#This Row],[LC Stop Loss Calc Target]]),"")</f>
        <v/>
      </c>
      <c r="EF231" s="31" t="str">
        <f>IF(ISNUMBER(SnapshotTable[[#This Row],[LC Stop  To Use]]), (SnapshotTable[[#This Row],[LC Stop  To Use]] * SnapshotTable[[#This Row],[LC Qty]] * 100),"")</f>
        <v/>
      </c>
      <c r="EG231" s="9" t="str">
        <f>IF(ISNUMBER(SnapshotTable[[#This Row],[LC Total Value]]),SnapshotTable[[#This Row],[LC Stop Loss Amount]] - SnapshotTable[[#This Row],[LC Premium]],"")</f>
        <v/>
      </c>
      <c r="EH231" s="9">
        <f>IF(ISNUMBER(SnapshotTable[[#This Row],[LC Premium]]), SnapshotTable[[#This Row],[LC Qty]] * 100 * SnapshotTable[[#This Row],[LC Strike Price]], "")</f>
        <v>0</v>
      </c>
      <c r="EI231" s="225" t="str">
        <f>IF(AND(ISNUMBER(SnapshotTable[[#This Row],[LC Total Value]]),SnapshotTable[[#This Row],[LC Total Value]]&gt;0),SnapshotTable[[#This Row],[LC Stop Gain Loss]]  / SnapshotTable[[#This Row],[LC Premium]],"")</f>
        <v/>
      </c>
      <c r="EJ231" s="35">
        <f>IF(ISNUMBER(SnapshotTable[[#This Row],[Equity Shares]]),TRUNC(SnapshotTable[[#This Row],[Equity Shares]] / 100),0) + SnapshotTable[[#This Row],[LC Qty]]</f>
        <v>0</v>
      </c>
      <c r="EK231" s="145"/>
      <c r="EL231" s="136"/>
      <c r="EM231" s="146"/>
      <c r="EN231" s="145"/>
      <c r="EO231" s="145"/>
      <c r="EP231" s="136"/>
      <c r="EQ231" s="382" t="b">
        <f>AND(ISNUMBER(SnapshotTable[[#This Row],[SC Exp Date]]), ISNUMBER(SnapshotTable[[#This Row],[SC Strike Price]]), ISNUMBER(SnapshotTable[[#This Row],[SC Qty]]), ISNUMBER(SnapshotTable[[#This Row],[SC Book Date]]), ISNUMBER(SnapshotTable[[#This Row],[SC Book Price]]))</f>
        <v>0</v>
      </c>
      <c r="ER231" s="382" t="b">
        <f>AND(SnapshotTable[[#This Row],[SC Is Booked]], NOT(ISBLANK(SnapshotTable[[#This Row],[SC Fill Date]])))</f>
        <v>0</v>
      </c>
      <c r="ES231" s="340"/>
      <c r="ET231" s="34" t="str">
        <f>IF(AND(ISNUMBER(SnapshotTable[[#This Row],[SC Exp Date]]), ISNUMBER(SnapshotTable[[#This Row],[SC Book Date]])), SnapshotTable[[#This Row],[SC Exp Date]] - MAX(SnapshotTable[[#This Row],[SC Book Date]], SnapshotTable[[#This Row],[SC Fill Date]]) + 1, "")</f>
        <v/>
      </c>
      <c r="EU231" s="34" t="str">
        <f>IF(ISNUMBER(SnapshotTable[[#This Row],[SC Term]]), SnapshotTable[[#This Row],[SC Exp Date]]- MockToday, "")</f>
        <v/>
      </c>
      <c r="EV231" s="31">
        <f>IF(SnapshotTable[[#This Row],[SC Is Booked]], SnapshotTable[[#This Row],[SC Qty]] * SnapshotTable[[#This Row],[SC Book Price]] * 100, 0)</f>
        <v>0</v>
      </c>
      <c r="EW231" s="4" t="str">
        <f>IF(AND(ISNUMBER(SnapshotTable[[#This Row],[Last Price]]), ISNUMBER( SnapshotTable[[#This Row],[SC Book Price]])), SnapshotTable[[#This Row],[Last Price]] - SnapshotTable[[#This Row],[SC Book Price]],"")</f>
        <v/>
      </c>
      <c r="EX231" s="219" t="str">
        <f>IF(SnapshotTable[[#This Row],[SC Is Booked]],IF(SnapshotTable[[#This Row],[SC Intrinsic Value]] &gt; 0, SnapshotTable[[#This Row],[SC Strike Price]], SnapshotTable[[#This Row],[Last Price]]), "")</f>
        <v/>
      </c>
      <c r="EY231" s="4">
        <f>IF(SnapshotTable[[#This Row],[SC Is Booked]], (MinimumPremiumRequired * SnapshotTable[[#This Row],[SC Basis]] * SnapshotTable[[#This Row],[SC Term]]), 0)</f>
        <v>0</v>
      </c>
      <c r="EZ231" s="268"/>
      <c r="FA231" s="204"/>
      <c r="FB231" s="340"/>
      <c r="FC231" s="4">
        <f>IF(SnapshotTable[[#This Row],[SC Is Filled]], btc_max_buyback_amount(SnapshotTable[[#This Row],[SC Fill Date]],SnapshotTable[[#This Row],[SC Exp Date]], SnapshotTable[[#This Row],[SC Book Price]]),0)</f>
        <v>0</v>
      </c>
      <c r="FD231" s="5"/>
      <c r="FE231" s="142" t="str">
        <f>IF(SnapshotTable[[#This Row],[SC Is Filled]], btc_next_cutoff_date(SnapshotTable[[#This Row],[SC Fill Date]],SnapshotTable[[#This Row],[SC Exp Date]]),"")</f>
        <v/>
      </c>
      <c r="FF231" s="4" t="str" cm="1">
        <f t="array" ref="FF231">IF(SnapshotTable[[#This Row],[SC Is Filled]], btc_should_buy_back(SnapshotTable[[#This Row],[SC Fill Date]], SnapshotTable[[#This Row],[SC Exp Date]], SnapshotTable[[#This Row],[SC Book Price]], SnapshotTable[[#This Row],[SC Current Ask]], MockToday, SnapshotTable[[#This Row],[SC Buyback Override]]),"")</f>
        <v/>
      </c>
      <c r="FG231" s="4">
        <f>IF(SnapshotTable[[#This Row],[SC Is Filled]], MAX(0,SnapshotTable[[#This Row],[Last Price]]  - SnapshotTable[[#This Row],[SC Strike Price]]), 0)</f>
        <v>0</v>
      </c>
      <c r="FH231" s="352">
        <f>IF(SnapshotTable[[#This Row],[SC Is Filled]], IF(ISNUMBER(SnapshotTable[[#This Row],[SC Current Ask]]), SnapshotTable[[#This Row],[SC Current Ask]], SnapshotTable[[#This Row],[SC Book Price]]) - SnapshotTable[[#This Row],[SC Intrinsic Value]], 0)</f>
        <v>0</v>
      </c>
      <c r="FI231" s="141"/>
      <c r="FJ231" s="32" t="str">
        <f>IF(SnapshotTable[[#This Row],[SC Is Filled]],100 * SnapshotTable[[#This Row],[SC Qty]] * IF(ISNUMBER(SnapshotTable[[#This Row],[SC Buyback Override]]), SnapshotTable[[#This Row],[SC Buyback Override]], SnapshotTable[[#This Row],[SC Current Ask]]), "")</f>
        <v/>
      </c>
      <c r="FK231" s="235" t="str">
        <f>IF(SnapshotTable[[#This Row],[SC Time Val]]&gt;0, SnapshotTable[[#This Row],[SC Time Val]] / SnapshotTable[[#This Row],[Last Price]],"")</f>
        <v/>
      </c>
      <c r="FL231" s="280" t="str">
        <f>IF(SnapshotTable[[#This Row],[SC Is Booked]], ((SnapshotTable[[#This Row],[Last Price]] -SnapshotTable[[#This Row],[SC Strike Price]]) / SnapshotTable[[#This Row],[Last Price]]) * -1, "")</f>
        <v/>
      </c>
      <c r="FM231" s="155" t="str">
        <f>IF(SnapshotTable[[#This Row],[SC Is Booked]],  (SnapshotTable[[#This Row],[SC Qty]] * 100 * SnapshotTable[[#This Row],[SC Strike Price]]) - SnapshotTable[[#This Row],[SC Current Ask]], "")</f>
        <v/>
      </c>
      <c r="FN231"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1" s="155" t="str">
        <f>IF(AND(ISNUMBER(SnapshotTable[[#This Row],[SC Exercise Gross]]), ISNUMBER(SnapshotTable[[#This Row],[Equity Basis Per Share]] )), SnapshotTable[[#This Row],[SC Exercise Gross]] - SnapshotTable[[#This Row],[Equity Basis Total]] +  SnapshotTable[[#This Row],[SC Premium]], "")</f>
        <v/>
      </c>
      <c r="FP231" s="5" t="str">
        <f>IF(ISNUMBER(SnapshotTable[[#This Row],[SC Exercise Gross]]), (SnapshotTable[[#This Row],[SC Exercise Gross]]) / (SnapshotTable[[#This Row],[SC Qty]] * 100), "")</f>
        <v/>
      </c>
      <c r="FQ231" s="27" t="str">
        <f>IF(SnapshotTable[[#This Row],[SC Is Booked]],SnapshotTable[[#This Row],[SC Time Val]] /SnapshotTable[[#This Row],[SC Basis]], "")</f>
        <v/>
      </c>
      <c r="FR231" s="27" t="str" cm="1">
        <f t="array" ref="FR231">IF(AND(ISNUMBER(SnapshotTable[[#This Row],[SC Term]]),ISNUMBER(SnapshotTable[[#This Row],[SC Simple ROO]])), EllmanAnnualize(SnapshotTable[[#This Row],[SC DTE]], SnapshotTable[[#This Row],[SC Simple ROO]] ),"")</f>
        <v/>
      </c>
      <c r="FS231" s="4">
        <f>IF(SnapshotTable[[#This Row],[SC Strike Price]] &gt; SnapshotTable[[#This Row],[Last Price]], SnapshotTable[[#This Row],[SC Strike Price]] - SnapshotTable[[#This Row],[Last Price]],0)</f>
        <v>0</v>
      </c>
      <c r="FT231" s="27" t="str">
        <f>IF(AND(ISNUMBER(SnapshotTable[[#This Row],[SC Upside Potential]]), SnapshotTable[[#This Row],[SC Upside Potential]] &gt; 0),(SnapshotTable[[#This Row],[SC Upside Potential]]/ SnapshotTable[[#This Row],[ACB]]),"")</f>
        <v/>
      </c>
      <c r="FU231" s="304" t="str">
        <f>IF(SnapshotTable[[#This Row],[SC Intrinsic Value]] &gt; 0,SnapshotTable[[#This Row],[SC Intrinsic Value]],"")</f>
        <v/>
      </c>
      <c r="FV231" s="27" t="str">
        <f>IF(AND( ISNUMBER( SnapshotTable[[#This Row],[ACB]]),ISNUMBER(SnapshotTable[[#This Row],[SC Downside Protect]])),SnapshotTable[[#This Row],[SC Downside Protect]] / SnapshotTable[[#This Row],[ACB]],"")</f>
        <v/>
      </c>
      <c r="FW231" s="221" t="str">
        <f>IF(AND(ISNUMBER(SnapshotTable[[#This Row],[SC Simple ROO]]),SnapshotTable[[#This Row],[SC Simple ROO]] &gt; 0), SnapshotTable[[#This Row],[SC Premium]] + (SnapshotTable[[#This Row],[SC Qty]] * SnapshotTable[[#This Row],[SC Upside Potential]]), "")</f>
        <v/>
      </c>
      <c r="FX231" s="280" t="str" cm="1">
        <f t="array" ref="FX231">IF(ISNUMBER(SnapshotTable[[#This Row],[SC Max Dollars]]), annualize(SnapshotTable[[#This Row],[SC Term]],(SnapshotTable[[#This Row],[SC Max Dollars]]/SnapshotTable[[#This Row],[SC Basis]])),"")</f>
        <v/>
      </c>
      <c r="FY231" s="221" t="str">
        <f>IF(AND(SnapshotTable[[#This Row],[SC Qty]]&gt;0,SnapshotTable[[#This Row],[SC Current Ask]]&gt;0), SnapshotTable[[#This Row],[SC Qty]] * SnapshotTable[[#This Row],[SC Current Ask]] * -100, "")</f>
        <v/>
      </c>
      <c r="FZ231" s="220" t="str">
        <f>IF(ISNUMBER((SnapshotTable[[#This Row],[SC Current Value]])), SnapshotTable[[#This Row],[SC Premium]] + SnapshotTable[[#This Row],[SC Current Value]], "")</f>
        <v/>
      </c>
      <c r="GA231" s="272" t="str">
        <f>IFERROR( IF(ISNUMBER((SnapshotTable[[#This Row],[SC Current Value]])), SnapshotTable[[#This Row],[SC Gain Loss]] / SnapshotTable[[#This Row],[SC Premium]], ""), "")</f>
        <v/>
      </c>
      <c r="GB231" s="42">
        <f>SnapshotTable[[#This Row],[Equity Shares]] * SaleSharesToConsiderPercentage</f>
        <v>0</v>
      </c>
      <c r="GC231" s="40">
        <f>SnapshotTable[[#This Row],[Long Term Target]] * SellingPriceToConsiderBasedOnTargetPercentage</f>
        <v>0</v>
      </c>
      <c r="GD231" s="40">
        <f>SnapshotTable[[#This Row],[Last Price]] * (1+ SellingPriceToConsiderBasedOnTargetPercentage)</f>
        <v>310.88850000000002</v>
      </c>
      <c r="GE231" s="41"/>
      <c r="GF231" s="40"/>
      <c r="GG231" s="31">
        <f>SnapshotTable[[#This Row],[Booked Sale Shares]] * SnapshotTable[[#This Row],[Booked Sale Price]]</f>
        <v>0</v>
      </c>
      <c r="GH231" s="31" t="str">
        <f>IF(SnapshotTable[[#This Row],[Equity Basis Total]] &gt; 0, SnapshotTable[[#This Row],[Equity Basis Per Share]] * SnapshotTable[[#This Row],[Booked Sale Shares]], "")</f>
        <v/>
      </c>
      <c r="GI231" s="31">
        <f>IF(SnapshotTable[[#This Row],[Sale Proceeds]]&gt;0, SnapshotTable[[#This Row],[Sale Proceeds]] - SnapshotTable[[#This Row],[Sale Basis]], 0)</f>
        <v>0</v>
      </c>
      <c r="GJ231" s="156" t="str">
        <f>IF(SnapshotTable[[#This Row],[Sale G/L]]&gt;0, SnapshotTable[[#This Row],[Sale G/L]] / SnapshotTable[[#This Row],[Sale Basis]], IF(ISNUMBER(SnapshotTable[[#This Row],[SC Exercise P&amp;L (TAX)]]), SnapshotTable[[#This Row],[SC Exercise P&amp;L (TAX)]] / SnapshotTable[[#This Row],[SC Basis]], ""))</f>
        <v/>
      </c>
      <c r="GK231" s="27"/>
      <c r="GL231" s="157" t="str">
        <f>IF(AND(SnapshotTable[[#This Row],[LP Exp Date]]&gt;0,SnapshotTable[[#This Row],[LP Strike Price]]&gt;0), [1]!ToOptionSymbol(SnapshotTable[[#This Row],[Symbol]], SnapshotTable[[#This Row],[LP Strike Price]],SnapshotTable[[#This Row],[LP Exp Date]],1), "")</f>
        <v/>
      </c>
      <c r="GM231" s="30" t="str">
        <f>IF(LEN(SnapshotTable[[#This Row],[LP Symbol]])&gt;0, 1, "")</f>
        <v/>
      </c>
      <c r="GN231" s="43" t="str">
        <f>IF(AND(SnapshotTable[[#This Row],[SP Exp Date]]&gt;0,SnapshotTable[[#This Row],[SP Strike Price]]&gt;0), [1]!ToOptionSymbol(SnapshotTable[[#This Row],[Symbol]], SnapshotTable[[#This Row],[SP Strike Price]],SnapshotTable[[#This Row],[SP Exp Date]],1), "")</f>
        <v/>
      </c>
      <c r="GO231" s="30" t="str">
        <f>IF(LEN(SnapshotTable[[#This Row],[SP Symbol]])&gt;0, 1, "")</f>
        <v/>
      </c>
      <c r="GP231" s="157" t="str">
        <f>IF(AND(SnapshotTable[[#This Row],[LC Exp Date]]&gt;0,SnapshotTable[[#This Row],[LC Strike Price]]&gt;0), [1]!ToOptionSymbol(SnapshotTable[[#This Row],[Symbol]], SnapshotTable[[#This Row],[LC Strike Price]],SnapshotTable[[#This Row],[LC Exp Date]],0), "")</f>
        <v/>
      </c>
      <c r="GQ231" s="158" t="str">
        <f>IF(LEN(SnapshotTable[[#This Row],[LC Symbol]])&gt;0, 1, "")</f>
        <v/>
      </c>
      <c r="GR231" s="157" t="str">
        <f>IF(AND(SnapshotTable[[#This Row],[SC Exp Date]]&gt;0,SnapshotTable[[#This Row],[SC Strike Price]]&gt;0), [1]!ToOptionSymbol(SnapshotTable[[#This Row],[Symbol]], SnapshotTable[[#This Row],[SC Strike Price]],SnapshotTable[[#This Row],[SC Exp Date]],0), "")</f>
        <v/>
      </c>
      <c r="GS231" s="158" t="str">
        <f>IF(LEN(SnapshotTable[[#This Row],[SC Symbol]])&gt;0, 1, "")</f>
        <v/>
      </c>
      <c r="GT231" s="159" t="str">
        <f>IF(COUNT(SnapshotTable[[#This Row],[LP Symbol Count]],SnapshotTable[[#This Row],[SP Symbol Count]],SnapshotTable[[#This Row],[LC Symbol Count]],SnapshotTable[[#This Row],[SC Symbol Count]])&gt;0, "Y", "")</f>
        <v/>
      </c>
      <c r="GU23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1" s="216">
        <f>MAX(SnapshotTable[[#This Row],[Equity Basis Total]],SnapshotTable[[#This Row],[Equity Value]]) + (SnapshotTable[[#This Row],[SP Potential Spend]]- SnapshotTable[[#This Row],[SP Premium]] + SnapshotTable[[#This Row],[LP Premium]])+ (SnapshotTable[[#This Row],[LC Premium]] - SnapshotTable[[#This Row],[SC Premium]])</f>
        <v>0</v>
      </c>
      <c r="GW231" s="137" t="str">
        <f>IF(AND(SnapshotTable[[#This Row],[Exposure]] &lt;&gt; 0),SnapshotTable[[#This Row],[Exposure]] / SnapshotTable[[#Totals],[Exposure]], "")</f>
        <v/>
      </c>
      <c r="GX231" s="2"/>
      <c r="GY231" s="357"/>
      <c r="GZ231"/>
      <c r="HA231" s="2"/>
      <c r="HB231" s="2"/>
      <c r="HK231" s="1"/>
      <c r="HL231" s="1"/>
      <c r="HM231" s="1"/>
      <c r="HN231" s="1"/>
      <c r="HO231" s="1"/>
      <c r="HP231" s="1"/>
    </row>
    <row r="232" spans="2:224" ht="12.75" hidden="1" customHeight="1" x14ac:dyDescent="0.25">
      <c r="B232" s="12" t="s">
        <v>81</v>
      </c>
      <c r="C232" s="385">
        <v>154.44999999999999</v>
      </c>
      <c r="D232" s="200"/>
      <c r="E232" s="39">
        <f>SnapshotTable[[#This Row],[Last Price]]*(1 -CrashDiscount)</f>
        <v>131.2825</v>
      </c>
      <c r="F232" s="26" t="s">
        <v>80</v>
      </c>
      <c r="G232" s="26" t="s">
        <v>24</v>
      </c>
      <c r="H232" s="147"/>
      <c r="I232" s="186">
        <v>44862.270833333336</v>
      </c>
      <c r="J232" s="187">
        <v>44862.270833333336</v>
      </c>
      <c r="K232" s="188" t="s">
        <v>3</v>
      </c>
      <c r="L232" s="297"/>
      <c r="M232" s="138"/>
      <c r="N232" s="138"/>
      <c r="O232" s="138"/>
      <c r="P232" s="22"/>
      <c r="Q232" s="25"/>
      <c r="R232" s="4" t="str">
        <f>IF(SnapshotTable[[#This Row],[Equity Basis Total]] &gt; 0, SnapshotTable[[#This Row],[Equity Basis Total]] / SnapshotTable[[#This Row],[Equity Shares]], "")</f>
        <v/>
      </c>
      <c r="S232" s="254">
        <f>SnapshotTable[[#This Row],[Last Price]] * SnapshotTable[[#This Row],[Equity Shares]]</f>
        <v>0</v>
      </c>
      <c r="T232" s="254">
        <f>SnapshotTable[[#This Row],[Equity Value]] - SnapshotTable[[#This Row],[Equity Basis Total]]</f>
        <v>0</v>
      </c>
      <c r="U232" s="255" t="str">
        <f>IF(SnapshotTable[[#This Row],[Equity Basis Total]] &gt; 0, SnapshotTable[[#This Row],[Equity G/L]] / SnapshotTable[[#This Row],[Equity Basis Total]], "")</f>
        <v/>
      </c>
      <c r="V232" s="253"/>
      <c r="W232" s="253"/>
      <c r="X232" s="4" t="str">
        <f>IF(AND(ISNUMBER(SnapshotTable[[#This Row],[Equity Basis Per Share]]),ISNUMBER(SnapshotTable[[#This Row],[Equity Target]])),SnapshotTable[[#This Row],[Equity Target]]-SnapshotTable[[#This Row],[Equity Basis Per Share]],"")</f>
        <v/>
      </c>
      <c r="Y232" s="4" t="str">
        <f>IF(AND(ISNUMBER(SnapshotTable[[#This Row],[Equity Basis Per Share]]),ISNUMBER(SnapshotTable[[#This Row],[Equity Stop Loss]])),SnapshotTable[[#This Row],[Equity Stop Loss]]-SnapshotTable[[#This Row],[Equity Basis Per Share]],"")</f>
        <v/>
      </c>
      <c r="Z232" s="260" t="str">
        <f>IFERROR( TEXT(SnapshotTable[[#This Row],[Equity Max Gain Per Share]] /ABS( SnapshotTable[[#This Row],[Equity Max Loss Per Share]]),"0.0 " ) &amp; " : 1", "")</f>
        <v/>
      </c>
      <c r="AA232" s="31" t="str">
        <f>IF(ISNUMBER(SnapshotTable[[#This Row],[Equity Max Gain Per Share]]),SnapshotTable[[#This Row],[Equity Max Gain Per Share]] * SnapshotTable[[#This Row],[Equity Shares]],"")</f>
        <v/>
      </c>
      <c r="AB232" s="31" t="str">
        <f>IF(ISNUMBER(SnapshotTable[[#This Row],[Equity Max Loss Per Share]]),SnapshotTable[[#This Row],[Equity Max Loss Per Share]] * SnapshotTable[[#This Row],[Equity Shares]],"")</f>
        <v/>
      </c>
      <c r="AC232" s="148">
        <v>3</v>
      </c>
      <c r="AD232" s="149">
        <v>42804</v>
      </c>
      <c r="AE232" s="31">
        <f>(SnapshotTable[[#This Row],[Annual Dividend Per Share]] / 4) * SnapshotTable[[#This Row],[Equity Shares]]</f>
        <v>0</v>
      </c>
      <c r="AF232" s="31">
        <f>SnapshotTable[[#This Row],[Quarterly Div $]] * 4</f>
        <v>0</v>
      </c>
      <c r="AG232" s="7">
        <f>IF(SnapshotTable[[#This Row],[Annual Dividend Per Share]]&gt;0, SnapshotTable[[#This Row],[Annual Dividend Per Share]]  / SnapshotTable[[#This Row],[Last Price]], 0)</f>
        <v>1.9423761735189383E-2</v>
      </c>
      <c r="AH232" s="149">
        <v>42859</v>
      </c>
      <c r="AI232" s="5"/>
      <c r="AJ232" s="136">
        <v>43.77</v>
      </c>
      <c r="AK232" s="150" t="str">
        <f>IF(ISNUMBER( SnapshotTable[[#This Row],[EBF Target]]),(SnapshotTable[[#This Row],[EBF Target]] - SnapshotTable[[#This Row],[Last Price]]) / SnapshotTable[[#This Row],[Last Price]], "")</f>
        <v/>
      </c>
      <c r="AL232" s="150" t="str">
        <f>IF(AND(SnapshotTable[[#This Row],[Equity Basis Total]] &gt; 0,ISNUMBER( SnapshotTable[[#This Row],[Long Term Target]])), SnapshotTable[[#This Row],[From Basis $]] / SnapshotTable[[#This Row],[Equity Basis Total]], "")</f>
        <v/>
      </c>
      <c r="AM232" s="9">
        <f>IF( AND(SnapshotTable[[#This Row],[Equity Shares]] &gt;0,ISNUMBER( SnapshotTable[[#This Row],[Long Term Target]])),(SnapshotTable[[#This Row],[Equity Shares]] * SnapshotTable[[#This Row],[Long Term Target]]) - SnapshotTable[[#This Row],[Equity Basis Total]],0)</f>
        <v>0</v>
      </c>
      <c r="AN232" s="9">
        <f>IF( AND(SnapshotTable[[#This Row],[Equity Shares]] &gt;0,ISNUMBER( SnapshotTable[[#This Row],[Long Term Target]])),(SnapshotTable[[#This Row],[Equity Shares]]*SnapshotTable[[#This Row],[Long Term Target]]) - SnapshotTable[[#This Row],[Equity Value]],0)</f>
        <v>0</v>
      </c>
      <c r="AO232" s="150">
        <f>IF(AND(ISNUMBER( SnapshotTable[[#This Row],[Long Term Target]]), ISNUMBER(SnapshotTable[[#This Row],[Last Price]])),(SnapshotTable[[#This Row],[Long Term Target]] - SnapshotTable[[#This Row],[Last Price]]) / SnapshotTable[[#This Row],[Last Price]], "")</f>
        <v>-0.71660731628358687</v>
      </c>
      <c r="AP232" s="5">
        <v>95</v>
      </c>
      <c r="AQ232" s="38" t="s">
        <v>16</v>
      </c>
      <c r="AR232" s="5">
        <v>95</v>
      </c>
      <c r="AS232" s="38" t="s">
        <v>22</v>
      </c>
      <c r="AT232" s="144" t="s">
        <v>442</v>
      </c>
      <c r="AU232" s="185" t="str">
        <f>IF(OR(SnapshotTable[[#This Row],[LP No Fill]]="Y",SnapshotTable[[#This Row],[SP Is Filled]],SnapshotTable[[#This Row],[LC Not Filled]]="Y",SnapshotTable[[#This Row],[SC Is Filled]]),"Y","")</f>
        <v/>
      </c>
      <c r="AV232" s="205"/>
      <c r="AW232" s="211"/>
      <c r="AX232" s="206"/>
      <c r="AY232" s="205" t="str">
        <f>IF(SnapshotTable[[#This Row],[Implied Move]]&gt;0, SnapshotTable[[#This Row],[Last Price]]-SnapshotTable[[#This Row],[Implied Move]],"")</f>
        <v/>
      </c>
      <c r="AZ232" s="205" t="str">
        <f>IF(SnapshotTable[[#This Row],[Implied Move]]&gt;0, SnapshotTable[[#This Row],[Last Price]] + SnapshotTable[[#This Row],[Implied Move]],"")</f>
        <v/>
      </c>
      <c r="BA232" s="302">
        <v>75.77</v>
      </c>
      <c r="BB232" s="318"/>
      <c r="BC23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2" s="321"/>
      <c r="BE232" s="5"/>
      <c r="BF232" s="14"/>
      <c r="BG232" s="13"/>
      <c r="BH232" s="13"/>
      <c r="BI232" s="5"/>
      <c r="BJ232" s="134">
        <f>IF(SnapshotTable[[#This Row],[LP Qty]] &gt; 0, SnapshotTable[[#This Row],[LP Qty]] * SnapshotTable[[#This Row],[LP Book Price]] * 100,0)</f>
        <v>0</v>
      </c>
      <c r="BK232" s="134">
        <f>IF(SnapshotTable[[#This Row],[LP Premium]] &gt; 0, SnapshotTable[[#This Row],[LP Qty]] * SnapshotTable[[#This Row],[LP Strike Price]] * 100,0)</f>
        <v>0</v>
      </c>
      <c r="BL232" s="152"/>
      <c r="BM232" s="355" t="str">
        <f>IF(SnapshotTable[[#This Row],[LP Premium]] &gt; 0,SnapshotTable[[#This Row],[LP Exp Date]]-MAX(SnapshotTable[[#This Row],[LP Book Date]], SnapshotTable[[#This Row],[LP Fill Date]]),"")</f>
        <v/>
      </c>
      <c r="BN232" s="355" t="str">
        <f>IF(ISNUMBER( SnapshotTable[[#This Row],[LP Term]]), SnapshotTable[[#This Row],[LP Exp Date]] - MockToday,"")</f>
        <v/>
      </c>
      <c r="BO232" s="161" t="str">
        <f>IF(AND(SnapshotTable[[#This Row],[LP Exp Date]]&gt;0, SnapshotTable[[#This Row],[LP Strike Price]]&gt;0,SnapshotTable[[#This Row],[LP Qty]]&gt;0,SnapshotTable[[#This Row],[LP Book Date]]&gt;0,SnapshotTable[[#This Row],[LP Book Price]]&gt;0,SnapshotTable[[#This Row],[LP Fill Date]]=0),"Y","")</f>
        <v/>
      </c>
      <c r="BP232" s="31" t="str">
        <f>IF(AND(SnapshotTable[[#This Row],[LP No Fill]]&lt;&gt;"Y",SnapshotTable[[#This Row],[LP Contract Value]]&gt;0, SnapshotTable[[#This Row],[LP Qty]]&gt;0), SnapshotTable[[#This Row],[LP Contract Value]]*SnapshotTable[[#This Row],[LP Qty]]*100,"")</f>
        <v/>
      </c>
      <c r="BQ232" s="13"/>
      <c r="BR232" s="5"/>
      <c r="BS232" s="36"/>
      <c r="BT232" s="145"/>
      <c r="BU232" s="13"/>
      <c r="BV232" s="5"/>
      <c r="BW232" s="382" t="b">
        <f>AND(ISNUMBER(SnapshotTable[[#This Row],[SP Exp Date]]), ISNUMBER(SnapshotTable[[#This Row],[SP Strike Price]]), ISNUMBER(SnapshotTable[[#This Row],[SP Qty]]), ISNUMBER(SnapshotTable[[#This Row],[SP Book Date]]), ISNUMBER(SnapshotTable[[#This Row],[SP Book Price]]))</f>
        <v>0</v>
      </c>
      <c r="BX232" s="382" t="b">
        <f>AND(SnapshotTable[[#This Row],[SP Is Booked]], NOT(ISBLANK(SnapshotTable[[#This Row],[SP Fill Date]])))</f>
        <v>0</v>
      </c>
      <c r="BY232" s="33">
        <f>IF(SnapshotTable[[#This Row],[SP Is Booked]], SnapshotTable[[#This Row],[SP Qty]] * SnapshotTable[[#This Row],[SP Book Price]] * 100, 0)</f>
        <v>0</v>
      </c>
      <c r="BZ232" s="339"/>
      <c r="CA232" s="338">
        <f>SnapshotTable[[#This Row],[LP Qty]]</f>
        <v>0</v>
      </c>
      <c r="CB232" s="4" t="str">
        <f>IF(SnapshotTable[[#This Row],[SP Is Booked]], SnapshotTable[[#This Row],[SP Strike Price]] - SnapshotTable[[#This Row],[SP Book Price]], "")</f>
        <v/>
      </c>
      <c r="CC232" s="19" t="str">
        <f>IF(SnapshotTable[[#This Row],[SP Is Booked]],SnapshotTable[[#This Row],[SP Exp Date]]-MAX(SnapshotTable[[#This Row],[SP Book Date]], SnapshotTable[[#This Row],[SP Fill Date]]),"")</f>
        <v/>
      </c>
      <c r="CD232" s="7" t="str">
        <f>IF(SnapshotTable[[#This Row],[SP Is Booked]], SnapshotTable[[#This Row],[SP Book Price]]/SnapshotTable[[#This Row],[SP Strike Price]], "")</f>
        <v/>
      </c>
      <c r="CE232" s="7" t="str">
        <f>IF(ISNUMBER(SnapshotTable[[#This Row],[SP ROO Term]]),SnapshotTable[[#This Row],[SP ROO Term]]*(365/SnapshotTable[[#This Row],[SP Term]]),"")</f>
        <v/>
      </c>
      <c r="CF232" s="221">
        <f>SnapshotTable[[#This Row],[LP Strike Price]] * SnapshotTable[[#This Row],[LP Qty]] * 100</f>
        <v>0</v>
      </c>
      <c r="CG232" s="31">
        <f>IF(ISNUMBER(SnapshotTable[[#This Row],[SP Premium]]), (SnapshotTable[[#This Row],[SP Qty]] * SnapshotTable[[#This Row],[SP Strike Price]]* 100) - SnapshotTable[[#This Row],[LP Protection]], 0)</f>
        <v>0</v>
      </c>
      <c r="CH232" s="7" t="str">
        <f>IF(ISNUMBER(SnapshotTable[[#This Row],[SP Break Even]]),-1 * (SnapshotTable[[#This Row],[SP Break Even]] - SnapshotTable[[#This Row],[Last Price]]) / SnapshotTable[[#This Row],[Last Price]], "")</f>
        <v/>
      </c>
      <c r="CI232" s="31">
        <f>IF(AND(ISNUMBER((SnapshotTable[[#This Row],[SP Potential Spend]])), SnapshotTable[[#This Row],[SP Strike Price]] &gt; SnapshotTable[[#This Row],[Last Price]], SnapshotTable[[#This Row],[SP Is Filled]]), SnapshotTable[[#This Row],[SP Potential Spend]] -  SnapshotTable[[#This Row],[LP Max Value]], 0)</f>
        <v>0</v>
      </c>
      <c r="CJ232" s="229"/>
      <c r="CK232" s="31">
        <f>IF(ISNUMBER(SnapshotTable[[#This Row],[SP Potential Spend]]),IF(ISNUMBER(SnapshotTable[[#This Row],[SP POW]]), SnapshotTable[[#This Row],[SP POW]] * SnapshotTable[[#This Row],[SP Potential Spend]], SnapshotTable[[#This Row],[SP Potential Spend]]), "")</f>
        <v>0</v>
      </c>
      <c r="CL232" s="162">
        <f>IF(NOT(SnapshotTable[[#This Row],[SP Is Filled]]),(SnapshotTable[[#This Row],[SP Qty]] * SnapshotTable[[#This Row],[SP Strike Price]] * 100) - SnapshotTable[[#This Row],[LP Max Value]],"")</f>
        <v>0</v>
      </c>
      <c r="CM232" s="31" t="str">
        <f>IF(SnapshotTable[[#This Row],[SP Actual Spend]]&lt;&gt;0, ((SnapshotTable[[#This Row],[SP Strike Price]]-SnapshotTable[[#This Row],[Last Price]]) *(SnapshotTable[[#This Row],[SP Qty]]*100) - SnapshotTable[[#This Row],[SP Premium]]) * - 1, "")</f>
        <v/>
      </c>
      <c r="CN232" s="76"/>
      <c r="CO232" s="339"/>
      <c r="CP232" s="4" t="str">
        <f>IF(SnapshotTable[[#This Row],[SP Is Filled]], btc_max_buyback_amount(SnapshotTable[[#This Row],[SP Fill Date]],SnapshotTable[[#This Row],[SP Exp Date]], SnapshotTable[[#This Row],[SP Book Price]]),"")</f>
        <v/>
      </c>
      <c r="CQ232" s="76"/>
      <c r="CR232"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2" s="153" t="str">
        <f>IF(SnapshotTable[[#This Row],[SP Is Filled]], btc_next_cutoff_date(SnapshotTable[[#This Row],[SP Fill Date]],SnapshotTable[[#This Row],[SP Exp Date]]),"")</f>
        <v/>
      </c>
      <c r="CT232" s="220" t="str" cm="1">
        <f t="array" ref="CT232">IF(SnapshotTable[[#This Row],[SP Is Filled]], btc_should_buy_back(SnapshotTable[[#This Row],[SP Fill Date]], SnapshotTable[[#This Row],[SP Exp Date]], SnapshotTable[[#This Row],[SP Book Price]], SnapshotTable[[#This Row],[SP Current Ask]], MockToday, SnapshotTable[[#This Row],[SP Buyback Override]]),"")</f>
        <v/>
      </c>
      <c r="CU232" s="141"/>
      <c r="CV232" s="220"/>
      <c r="CW232" s="348" t="str">
        <f>IF(ISNUMBER( SnapshotTable[[#This Row],[SP Term]]), SnapshotTable[[#This Row],[SP Exp Date]] - MockToday,"")</f>
        <v/>
      </c>
      <c r="CX232" s="31" t="str">
        <f>IF(SnapshotTable[[#This Row],[SP Is Filled]],SnapshotTable[[#This Row],[SP Buyback Price to Use]] * 100 * SnapshotTable[[#This Row],[SP Qty]], "")</f>
        <v/>
      </c>
      <c r="CY232" s="4" t="str">
        <f>IF(ISNUMBER(SnapshotTable[[#This Row],[SP Strike Price]]), SnapshotTable[[#This Row],[SP Strike Price]] * (1 - SP_MaxLoss_StrikePct), "")</f>
        <v/>
      </c>
      <c r="CZ232" s="31" t="str">
        <f>IF(ISNUMBER(SnapshotTable[[#This Row],[SP Strike  Stop Per Share]]),SnapshotTable[[#This Row],[SP Premium]] - ((SnapshotTable[[#This Row],[SP Strike Price]]-SnapshotTable[[#This Row],[SP Strike  Stop Per Share]]) *(SnapshotTable[[#This Row],[SP Qty]] * 100)),"")</f>
        <v/>
      </c>
      <c r="DA232" s="4" t="str">
        <f>IF(AND(ISNUMBER(SnapshotTable[[#This Row],[SP Premium]]),SnapshotTable[[#This Row],[SP Premium]]&gt;0), SnapshotTable[[#This Row],[SP Book Price]] * (1 + SP_MaxLoss_OptionPct), "")</f>
        <v/>
      </c>
      <c r="DB232" s="31" t="str">
        <f>IF(ISNUMBER(SnapshotTable[[#This Row],[SP Option  Stop Contract]]),(SnapshotTable[[#This Row],[SP Option  Stop Contract]] *(SnapshotTable[[#This Row],[SP Qty]] * 100) - SnapshotTable[[#This Row],[SP Premium]]),"")</f>
        <v/>
      </c>
      <c r="DC232" s="4"/>
      <c r="DD232" s="4"/>
      <c r="DE232" s="4" t="str">
        <f>IF(AND(SnapshotTable[[#This Row],[SP Qty]]&gt;0, SnapshotTable[[#This Row],[SP Stop To Use]]&gt;0),SnapshotTable[[#This Row],[SP Premium]] - ( SnapshotTable[[#This Row],[SP Qty]] * SnapshotTable[[#This Row],[SP Stop To Use]] * 100), "")</f>
        <v/>
      </c>
      <c r="DF232" s="31" t="str">
        <f>IF(AND(SnapshotTable[[#This Row],[SP Qty]]&gt;0,SnapshotTable[[#This Row],[SP Current Ask]]&gt;0), SnapshotTable[[#This Row],[SP Qty]] * SnapshotTable[[#This Row],[SP Current Ask]] * -100, "")</f>
        <v/>
      </c>
      <c r="DG232" s="31" t="str">
        <f>IF(ISNUMBER((SnapshotTable[[#This Row],[SP Total Value]])), SnapshotTable[[#This Row],[SP Premium]] + SnapshotTable[[#This Row],[SP Total Value]], "")</f>
        <v/>
      </c>
      <c r="DH232" s="272" t="str">
        <f>IF(ISNUMBER((SnapshotTable[[#This Row],[SP Total Value]])), SnapshotTable[[#This Row],[SP Gain Loss]] / SnapshotTable[[#This Row],[SP Premium]], "")</f>
        <v/>
      </c>
      <c r="DI232" s="369"/>
      <c r="DJ232" s="136"/>
      <c r="DK232" s="146"/>
      <c r="DL232" s="13"/>
      <c r="DM232" s="13"/>
      <c r="DO232" s="31">
        <f>IF(SnapshotTable[[#This Row],[LC Symbol Count]]=1, SnapshotTable[[#This Row],[LC Qty]] * SnapshotTable[[#This Row],[LC Book Price]] * 100, 0)</f>
        <v>0</v>
      </c>
      <c r="DP232" s="161" t="str">
        <f>IF(AND(SnapshotTable[[#This Row],[LC Exp Date]]&gt;0, SnapshotTable[[#This Row],[LC Strike Price]]&gt;0,SnapshotTable[[#This Row],[LC Qty]]&gt;0,SnapshotTable[[#This Row],[LC Book Date]]&gt;0,SnapshotTable[[#This Row],[LC Book Price]]&gt;0,SnapshotTable[[#This Row],[LC Fill Date]]=0),"Y","")</f>
        <v/>
      </c>
      <c r="DQ232" s="356" t="str">
        <f>IF(SnapshotTable[[#This Row],[LC Premium]] &gt; 0,SnapshotTable[[#This Row],[LC Exp Date]]-MAX(SnapshotTable[[#This Row],[LC Book Date]], SnapshotTable[[#This Row],[LC Fill Date]]),"")</f>
        <v/>
      </c>
      <c r="DR232" s="356" t="str">
        <f>IF(ISNUMBER(SnapshotTable[[#This Row],[LC Term]]), SnapshotTable[[#This Row],[LC Exp Date]] - MockToday, "")</f>
        <v/>
      </c>
      <c r="DS232" s="219" t="str">
        <f>IF(SnapshotTable[[#This Row],[LC Premium]]&gt;0,SnapshotTable[[#This Row],[LC Strike Price]] + SnapshotTable[[#This Row],[LC Book Price]],"")</f>
        <v/>
      </c>
      <c r="DU232" s="9" t="str">
        <f>IF(AND(SnapshotTable[[#This Row],[LC Symbol Count]]&gt;0, SnapshotTable[[#This Row],[LC Contract Value]]&gt;0), SnapshotTable[[#This Row],[LC Contract Value]] * SnapshotTable[[#This Row],[LC Qty]] * 100, "")</f>
        <v/>
      </c>
      <c r="DV232" s="9" t="str">
        <f>IF(AND(ISNUMBER(SnapshotTable[[#This Row],[LC Total Value]]), SnapshotTable[[#This Row],[LC Not Filled]]&lt;&gt;"Y"), SnapshotTable[[#This Row],[LC Total Value]]-SnapshotTable[[#This Row],[LC Premium]],"")</f>
        <v/>
      </c>
      <c r="DW232" s="225" t="str">
        <f>IF(ISNUMBER(SnapshotTable[[#This Row],[LC Actual Gain Loss]]), SnapshotTable[[#This Row],[LC Actual Gain Loss]] / SnapshotTable[[#This Row],[LC Premium]],"")</f>
        <v/>
      </c>
      <c r="DX232" s="269" t="str">
        <f>IF(ISNUMBER(SnapshotTable[[#This Row],[LC Book Price]]),SnapshotTable[[#This Row],[LC Book Price]] * 1.5,"")</f>
        <v/>
      </c>
      <c r="DY232" s="250" t="str">
        <f>IF(SnapshotTable[[#This Row],[LC Premium]]&gt;0, SnapshotTable[[#This Row],[LC Next Target]] * SnapshotTable[[#This Row],[LC Qty]] * 100,"")</f>
        <v/>
      </c>
      <c r="DZ232" s="250" t="str">
        <f>IF(ISNUMBER(SnapshotTable[[#This Row],[LC Target Gross]]), SnapshotTable[[#This Row],[LC Target Gross]] - SnapshotTable[[#This Row],[LC Premium]], "")</f>
        <v/>
      </c>
      <c r="EA232" s="283" t="str">
        <f>IF(ISNUMBER(SnapshotTable[[#This Row],[LC Target Gain Loss]]), SnapshotTable[[#This Row],[LC Target Gain Loss]]/SnapshotTable[[#This Row],[LC Premium]], "")</f>
        <v/>
      </c>
      <c r="EB232" s="247"/>
      <c r="EC232" s="268" t="str">
        <f>IF(SnapshotTable[[#This Row],[LC Premium]]&gt;0, SnapshotTable[[#This Row],[LC Book Price]] * (1 - LC_StopLoss_Pct),"")</f>
        <v/>
      </c>
      <c r="ED232" s="269"/>
      <c r="EE232" s="268" t="str">
        <f>IF(ISNUMBER(SnapshotTable[[#This Row],[LC Contract Value]]),IF(ISNUMBER(SnapshotTable[[#This Row],[LC Stop Loss Override]]), SnapshotTable[[#This Row],[LC Stop Loss Override]],SnapshotTable[[#This Row],[LC Stop Loss Calc Target]]),"")</f>
        <v/>
      </c>
      <c r="EF232" s="31" t="str">
        <f>IF(ISNUMBER(SnapshotTable[[#This Row],[LC Stop  To Use]]), (SnapshotTable[[#This Row],[LC Stop  To Use]] * SnapshotTable[[#This Row],[LC Qty]] * 100),"")</f>
        <v/>
      </c>
      <c r="EG232" s="9" t="str">
        <f>IF(ISNUMBER(SnapshotTable[[#This Row],[LC Total Value]]),SnapshotTable[[#This Row],[LC Stop Loss Amount]] - SnapshotTable[[#This Row],[LC Premium]],"")</f>
        <v/>
      </c>
      <c r="EH232" s="9">
        <f>IF(ISNUMBER(SnapshotTable[[#This Row],[LC Premium]]), SnapshotTable[[#This Row],[LC Qty]] * 100 * SnapshotTable[[#This Row],[LC Strike Price]], "")</f>
        <v>0</v>
      </c>
      <c r="EI232" s="225" t="str">
        <f>IF(AND(ISNUMBER(SnapshotTable[[#This Row],[LC Total Value]]),SnapshotTable[[#This Row],[LC Total Value]]&gt;0),SnapshotTable[[#This Row],[LC Stop Gain Loss]]  / SnapshotTable[[#This Row],[LC Premium]],"")</f>
        <v/>
      </c>
      <c r="EJ232" s="35">
        <f>IF(ISNUMBER(SnapshotTable[[#This Row],[Equity Shares]]),TRUNC(SnapshotTable[[#This Row],[Equity Shares]] / 100),0) + SnapshotTable[[#This Row],[LC Qty]]</f>
        <v>0</v>
      </c>
      <c r="EK232" s="145"/>
      <c r="EL232" s="136"/>
      <c r="EM232" s="146"/>
      <c r="EN232" s="145"/>
      <c r="EO232" s="145"/>
      <c r="EP232" s="136"/>
      <c r="EQ232" s="382" t="b">
        <f>AND(ISNUMBER(SnapshotTable[[#This Row],[SC Exp Date]]), ISNUMBER(SnapshotTable[[#This Row],[SC Strike Price]]), ISNUMBER(SnapshotTable[[#This Row],[SC Qty]]), ISNUMBER(SnapshotTable[[#This Row],[SC Book Date]]), ISNUMBER(SnapshotTable[[#This Row],[SC Book Price]]))</f>
        <v>0</v>
      </c>
      <c r="ER232" s="382" t="b">
        <f>AND(SnapshotTable[[#This Row],[SC Is Booked]], NOT(ISBLANK(SnapshotTable[[#This Row],[SC Fill Date]])))</f>
        <v>0</v>
      </c>
      <c r="ES232" s="340"/>
      <c r="ET232" s="34" t="str">
        <f>IF(AND(ISNUMBER(SnapshotTable[[#This Row],[SC Exp Date]]), ISNUMBER(SnapshotTable[[#This Row],[SC Book Date]])), SnapshotTable[[#This Row],[SC Exp Date]] - MAX(SnapshotTable[[#This Row],[SC Book Date]], SnapshotTable[[#This Row],[SC Fill Date]]) + 1, "")</f>
        <v/>
      </c>
      <c r="EU232" s="34" t="str">
        <f>IF(ISNUMBER(SnapshotTable[[#This Row],[SC Term]]), SnapshotTable[[#This Row],[SC Exp Date]]- MockToday, "")</f>
        <v/>
      </c>
      <c r="EV232" s="31">
        <f>IF(SnapshotTable[[#This Row],[SC Is Booked]], SnapshotTable[[#This Row],[SC Qty]] * SnapshotTable[[#This Row],[SC Book Price]] * 100, 0)</f>
        <v>0</v>
      </c>
      <c r="EW232" s="4" t="str">
        <f>IF(AND(ISNUMBER(SnapshotTable[[#This Row],[Last Price]]), ISNUMBER( SnapshotTable[[#This Row],[SC Book Price]])), SnapshotTable[[#This Row],[Last Price]] - SnapshotTable[[#This Row],[SC Book Price]],"")</f>
        <v/>
      </c>
      <c r="EX232" s="219" t="str">
        <f>IF(SnapshotTable[[#This Row],[SC Is Booked]],IF(SnapshotTable[[#This Row],[SC Intrinsic Value]] &gt; 0, SnapshotTable[[#This Row],[SC Strike Price]], SnapshotTable[[#This Row],[Last Price]]), "")</f>
        <v/>
      </c>
      <c r="EY232" s="4">
        <f>IF(SnapshotTable[[#This Row],[SC Is Booked]], (MinimumPremiumRequired * SnapshotTable[[#This Row],[SC Basis]] * SnapshotTable[[#This Row],[SC Term]]), 0)</f>
        <v>0</v>
      </c>
      <c r="EZ232" s="268"/>
      <c r="FA232" s="204"/>
      <c r="FB232" s="340"/>
      <c r="FC232" s="4">
        <f>IF(SnapshotTable[[#This Row],[SC Is Filled]], btc_max_buyback_amount(SnapshotTable[[#This Row],[SC Fill Date]],SnapshotTable[[#This Row],[SC Exp Date]], SnapshotTable[[#This Row],[SC Book Price]]),0)</f>
        <v>0</v>
      </c>
      <c r="FD232" s="5"/>
      <c r="FE232" s="142" t="str">
        <f>IF(SnapshotTable[[#This Row],[SC Is Filled]], btc_next_cutoff_date(SnapshotTable[[#This Row],[SC Fill Date]],SnapshotTable[[#This Row],[SC Exp Date]]),"")</f>
        <v/>
      </c>
      <c r="FF232" s="4" t="str" cm="1">
        <f t="array" ref="FF232">IF(SnapshotTable[[#This Row],[SC Is Filled]], btc_should_buy_back(SnapshotTable[[#This Row],[SC Fill Date]], SnapshotTable[[#This Row],[SC Exp Date]], SnapshotTable[[#This Row],[SC Book Price]], SnapshotTable[[#This Row],[SC Current Ask]], MockToday, SnapshotTable[[#This Row],[SC Buyback Override]]),"")</f>
        <v/>
      </c>
      <c r="FG232" s="4">
        <f>IF(SnapshotTable[[#This Row],[SC Is Filled]], MAX(0,SnapshotTable[[#This Row],[Last Price]]  - SnapshotTable[[#This Row],[SC Strike Price]]), 0)</f>
        <v>0</v>
      </c>
      <c r="FH232" s="352">
        <f>IF(SnapshotTable[[#This Row],[SC Is Filled]], IF(ISNUMBER(SnapshotTable[[#This Row],[SC Current Ask]]), SnapshotTable[[#This Row],[SC Current Ask]], SnapshotTable[[#This Row],[SC Book Price]]) - SnapshotTable[[#This Row],[SC Intrinsic Value]], 0)</f>
        <v>0</v>
      </c>
      <c r="FI232" s="141"/>
      <c r="FJ232" s="32" t="str">
        <f>IF(SnapshotTable[[#This Row],[SC Is Filled]],100 * SnapshotTable[[#This Row],[SC Qty]] * IF(ISNUMBER(SnapshotTable[[#This Row],[SC Buyback Override]]), SnapshotTable[[#This Row],[SC Buyback Override]], SnapshotTable[[#This Row],[SC Current Ask]]), "")</f>
        <v/>
      </c>
      <c r="FK232" s="235" t="str">
        <f>IF(SnapshotTable[[#This Row],[SC Time Val]]&gt;0, SnapshotTable[[#This Row],[SC Time Val]] / SnapshotTable[[#This Row],[Last Price]],"")</f>
        <v/>
      </c>
      <c r="FL232" s="280" t="str">
        <f>IF(SnapshotTable[[#This Row],[SC Is Booked]], ((SnapshotTable[[#This Row],[Last Price]] -SnapshotTable[[#This Row],[SC Strike Price]]) / SnapshotTable[[#This Row],[Last Price]]) * -1, "")</f>
        <v/>
      </c>
      <c r="FM232" s="155" t="str">
        <f>IF(SnapshotTable[[#This Row],[SC Is Booked]],  (SnapshotTable[[#This Row],[SC Qty]] * 100 * SnapshotTable[[#This Row],[SC Strike Price]]) - SnapshotTable[[#This Row],[SC Current Ask]], "")</f>
        <v/>
      </c>
      <c r="FN232"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2" s="31" t="str">
        <f>IF(AND(ISNUMBER(SnapshotTable[[#This Row],[SC Exercise Gross]]), ISNUMBER(SnapshotTable[[#This Row],[Equity Basis Per Share]] )), SnapshotTable[[#This Row],[SC Exercise Gross]] - SnapshotTable[[#This Row],[Equity Basis Total]] +  SnapshotTable[[#This Row],[SC Premium]], "")</f>
        <v/>
      </c>
      <c r="FP232" s="5" t="str">
        <f>IF(ISNUMBER(SnapshotTable[[#This Row],[SC Exercise Gross]]), (SnapshotTable[[#This Row],[SC Exercise Gross]]) / (SnapshotTable[[#This Row],[SC Qty]] * 100), "")</f>
        <v/>
      </c>
      <c r="FQ232" s="27" t="str">
        <f>IF(SnapshotTable[[#This Row],[SC Is Booked]],SnapshotTable[[#This Row],[SC Time Val]] /SnapshotTable[[#This Row],[SC Basis]], "")</f>
        <v/>
      </c>
      <c r="FR232" s="27" t="str" cm="1">
        <f t="array" ref="FR232">IF(AND(ISNUMBER(SnapshotTable[[#This Row],[SC Term]]),ISNUMBER(SnapshotTable[[#This Row],[SC Simple ROO]])), EllmanAnnualize(SnapshotTable[[#This Row],[SC DTE]], SnapshotTable[[#This Row],[SC Simple ROO]] ),"")</f>
        <v/>
      </c>
      <c r="FS232" s="4">
        <f>IF(SnapshotTable[[#This Row],[SC Strike Price]] &gt; SnapshotTable[[#This Row],[Last Price]], SnapshotTable[[#This Row],[SC Strike Price]] - SnapshotTable[[#This Row],[Last Price]],0)</f>
        <v>0</v>
      </c>
      <c r="FT232" s="27" t="str">
        <f>IF(AND(ISNUMBER(SnapshotTable[[#This Row],[SC Upside Potential]]), SnapshotTable[[#This Row],[SC Upside Potential]] &gt; 0),(SnapshotTable[[#This Row],[SC Upside Potential]]/ SnapshotTable[[#This Row],[ACB]]),"")</f>
        <v/>
      </c>
      <c r="FU232" s="304" t="str">
        <f>IF(SnapshotTable[[#This Row],[SC Intrinsic Value]] &gt; 0,SnapshotTable[[#This Row],[SC Intrinsic Value]],"")</f>
        <v/>
      </c>
      <c r="FV232" s="27" t="str">
        <f>IF(AND( ISNUMBER( SnapshotTable[[#This Row],[ACB]]),ISNUMBER(SnapshotTable[[#This Row],[SC Downside Protect]])),SnapshotTable[[#This Row],[SC Downside Protect]] / SnapshotTable[[#This Row],[ACB]],"")</f>
        <v/>
      </c>
      <c r="FW232" s="221" t="str">
        <f>IF(AND(ISNUMBER(SnapshotTable[[#This Row],[SC Simple ROO]]),SnapshotTable[[#This Row],[SC Simple ROO]] &gt; 0), SnapshotTable[[#This Row],[SC Premium]] + (SnapshotTable[[#This Row],[SC Qty]] * SnapshotTable[[#This Row],[SC Upside Potential]]), "")</f>
        <v/>
      </c>
      <c r="FX232" s="280" t="str" cm="1">
        <f t="array" ref="FX232">IF(ISNUMBER(SnapshotTable[[#This Row],[SC Max Dollars]]), annualize(SnapshotTable[[#This Row],[SC Term]],(SnapshotTable[[#This Row],[SC Max Dollars]]/SnapshotTable[[#This Row],[SC Basis]])),"")</f>
        <v/>
      </c>
      <c r="FY232" s="221" t="str">
        <f>IF(AND(SnapshotTable[[#This Row],[SC Qty]]&gt;0,SnapshotTable[[#This Row],[SC Current Ask]]&gt;0), SnapshotTable[[#This Row],[SC Qty]] * SnapshotTable[[#This Row],[SC Current Ask]] * -100, "")</f>
        <v/>
      </c>
      <c r="FZ232" s="31" t="str">
        <f>IF(ISNUMBER((SnapshotTable[[#This Row],[SC Current Value]])), SnapshotTable[[#This Row],[SC Premium]] + SnapshotTable[[#This Row],[SC Current Value]], "")</f>
        <v/>
      </c>
      <c r="GA232" s="272" t="str">
        <f>IFERROR( IF(ISNUMBER((SnapshotTable[[#This Row],[SC Current Value]])), SnapshotTable[[#This Row],[SC Gain Loss]] / SnapshotTable[[#This Row],[SC Premium]], ""), "")</f>
        <v/>
      </c>
      <c r="GB232" s="42">
        <f>SnapshotTable[[#This Row],[Equity Shares]] * SaleSharesToConsiderPercentage</f>
        <v>0</v>
      </c>
      <c r="GC232" s="40">
        <f>SnapshotTable[[#This Row],[Long Term Target]] * SellingPriceToConsiderBasedOnTargetPercentage</f>
        <v>41.581499999999998</v>
      </c>
      <c r="GD232" s="40">
        <f>SnapshotTable[[#This Row],[Last Price]] * (1+ SellingPriceToConsiderBasedOnTargetPercentage)</f>
        <v>301.17749999999995</v>
      </c>
      <c r="GE232" s="41"/>
      <c r="GF232" s="40"/>
      <c r="GG232" s="31">
        <f>SnapshotTable[[#This Row],[Booked Sale Shares]] * SnapshotTable[[#This Row],[Booked Sale Price]]</f>
        <v>0</v>
      </c>
      <c r="GH232" s="31" t="str">
        <f>IF(SnapshotTable[[#This Row],[Equity Basis Total]] &gt; 0, SnapshotTable[[#This Row],[Equity Basis Per Share]] * SnapshotTable[[#This Row],[Booked Sale Shares]], "")</f>
        <v/>
      </c>
      <c r="GI232" s="31">
        <f>IF(SnapshotTable[[#This Row],[Sale Proceeds]]&gt;0, SnapshotTable[[#This Row],[Sale Proceeds]] - SnapshotTable[[#This Row],[Sale Basis]], 0)</f>
        <v>0</v>
      </c>
      <c r="GJ232" s="27" t="str">
        <f>IF(SnapshotTable[[#This Row],[Sale G/L]]&gt;0, SnapshotTable[[#This Row],[Sale G/L]] / SnapshotTable[[#This Row],[Sale Basis]], IF(ISNUMBER(SnapshotTable[[#This Row],[SC Exercise P&amp;L (TAX)]]), SnapshotTable[[#This Row],[SC Exercise P&amp;L (TAX)]] / SnapshotTable[[#This Row],[SC Basis]], ""))</f>
        <v/>
      </c>
      <c r="GK232" s="27" t="s">
        <v>829</v>
      </c>
      <c r="GL232" s="43" t="str">
        <f>IF(AND(SnapshotTable[[#This Row],[LP Exp Date]]&gt;0,SnapshotTable[[#This Row],[LP Strike Price]]&gt;0), [1]!ToOptionSymbol(SnapshotTable[[#This Row],[Symbol]], SnapshotTable[[#This Row],[LP Strike Price]],SnapshotTable[[#This Row],[LP Exp Date]],1), "")</f>
        <v/>
      </c>
      <c r="GM232" s="30" t="str">
        <f>IF(LEN(SnapshotTable[[#This Row],[LP Symbol]])&gt;0, 1, "")</f>
        <v/>
      </c>
      <c r="GN232" s="43" t="str">
        <f>IF(AND(SnapshotTable[[#This Row],[SP Exp Date]]&gt;0,SnapshotTable[[#This Row],[SP Strike Price]]&gt;0), [1]!ToOptionSymbol(SnapshotTable[[#This Row],[Symbol]], SnapshotTable[[#This Row],[SP Strike Price]],SnapshotTable[[#This Row],[SP Exp Date]],1), "")</f>
        <v/>
      </c>
      <c r="GO232" s="30" t="str">
        <f>IF(LEN(SnapshotTable[[#This Row],[SP Symbol]])&gt;0, 1, "")</f>
        <v/>
      </c>
      <c r="GP232" s="43" t="str">
        <f>IF(AND(SnapshotTable[[#This Row],[LC Exp Date]]&gt;0,SnapshotTable[[#This Row],[LC Strike Price]]&gt;0), [1]!ToOptionSymbol(SnapshotTable[[#This Row],[Symbol]], SnapshotTable[[#This Row],[LC Strike Price]],SnapshotTable[[#This Row],[LC Exp Date]],0), "")</f>
        <v/>
      </c>
      <c r="GQ232" s="30" t="str">
        <f>IF(LEN(SnapshotTable[[#This Row],[LC Symbol]])&gt;0, 1, "")</f>
        <v/>
      </c>
      <c r="GR232" s="43" t="str">
        <f>IF(AND(SnapshotTable[[#This Row],[SC Exp Date]]&gt;0,SnapshotTable[[#This Row],[SC Strike Price]]&gt;0), [1]!ToOptionSymbol(SnapshotTable[[#This Row],[Symbol]], SnapshotTable[[#This Row],[SC Strike Price]],SnapshotTable[[#This Row],[SC Exp Date]],0), "")</f>
        <v/>
      </c>
      <c r="GS232" s="30" t="str">
        <f>IF(LEN(SnapshotTable[[#This Row],[SC Symbol]])&gt;0, 1, "")</f>
        <v/>
      </c>
      <c r="GT232" s="29" t="str">
        <f>IF(COUNT(SnapshotTable[[#This Row],[LP Symbol Count]],SnapshotTable[[#This Row],[SP Symbol Count]],SnapshotTable[[#This Row],[LC Symbol Count]],SnapshotTable[[#This Row],[SC Symbol Count]])&gt;0, "Y", "")</f>
        <v/>
      </c>
      <c r="GU23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2" s="216">
        <f>MAX(SnapshotTable[[#This Row],[Equity Basis Total]],SnapshotTable[[#This Row],[Equity Value]]) + (SnapshotTable[[#This Row],[SP Potential Spend]]- SnapshotTable[[#This Row],[SP Premium]] + SnapshotTable[[#This Row],[LP Premium]])+ (SnapshotTable[[#This Row],[LC Premium]] - SnapshotTable[[#This Row],[SC Premium]])</f>
        <v>0</v>
      </c>
      <c r="GW232" s="137" t="str">
        <f>IF(AND(SnapshotTable[[#This Row],[Exposure]] &lt;&gt; 0),SnapshotTable[[#This Row],[Exposure]] / SnapshotTable[[#Totals],[Exposure]], "")</f>
        <v/>
      </c>
      <c r="GX232" s="2"/>
      <c r="GY232" s="357"/>
      <c r="GZ232"/>
      <c r="HA232" s="2"/>
      <c r="HB232" s="2"/>
      <c r="HK232" s="1"/>
      <c r="HL232" s="1"/>
      <c r="HM232" s="1"/>
      <c r="HN232" s="1"/>
      <c r="HO232" s="1"/>
      <c r="HP232" s="1"/>
    </row>
    <row r="233" spans="2:224" ht="12.75" hidden="1" customHeight="1" x14ac:dyDescent="0.25">
      <c r="B233" s="12" t="s">
        <v>174</v>
      </c>
      <c r="C233" s="385">
        <v>213.65</v>
      </c>
      <c r="D233" s="200"/>
      <c r="E233" s="39">
        <f>SnapshotTable[[#This Row],[Last Price]]*(1 -CrashDiscount)</f>
        <v>181.60249999999999</v>
      </c>
      <c r="F233" s="26" t="s">
        <v>11</v>
      </c>
      <c r="G233" s="26" t="s">
        <v>10</v>
      </c>
      <c r="H233" s="147"/>
      <c r="I233" s="186">
        <v>44781.677083333336</v>
      </c>
      <c r="J233" s="187">
        <v>44781.677083333336</v>
      </c>
      <c r="K233" s="188"/>
      <c r="L233" s="297"/>
      <c r="M233" s="138"/>
      <c r="N233" s="138"/>
      <c r="O233" s="138"/>
      <c r="P233" s="22"/>
      <c r="Q233" s="25"/>
      <c r="R233" s="4" t="str">
        <f>IF(SnapshotTable[[#This Row],[Equity Basis Total]] &gt; 0, SnapshotTable[[#This Row],[Equity Basis Total]] / SnapshotTable[[#This Row],[Equity Shares]], "")</f>
        <v/>
      </c>
      <c r="S233" s="254">
        <f>SnapshotTable[[#This Row],[Last Price]] * SnapshotTable[[#This Row],[Equity Shares]]</f>
        <v>0</v>
      </c>
      <c r="T233" s="254">
        <f>SnapshotTable[[#This Row],[Equity Value]] - SnapshotTable[[#This Row],[Equity Basis Total]]</f>
        <v>0</v>
      </c>
      <c r="U233" s="255" t="str">
        <f>IF(SnapshotTable[[#This Row],[Equity Basis Total]] &gt; 0, SnapshotTable[[#This Row],[Equity G/L]] / SnapshotTable[[#This Row],[Equity Basis Total]], "")</f>
        <v/>
      </c>
      <c r="V233" s="253"/>
      <c r="W233" s="253"/>
      <c r="X233" s="4" t="str">
        <f>IF(AND(ISNUMBER(SnapshotTable[[#This Row],[Equity Basis Per Share]]),ISNUMBER(SnapshotTable[[#This Row],[Equity Target]])),SnapshotTable[[#This Row],[Equity Target]]-SnapshotTable[[#This Row],[Equity Basis Per Share]],"")</f>
        <v/>
      </c>
      <c r="Y233" s="4" t="str">
        <f>IF(AND(ISNUMBER(SnapshotTable[[#This Row],[Equity Basis Per Share]]),ISNUMBER(SnapshotTable[[#This Row],[Equity Stop Loss]])),SnapshotTable[[#This Row],[Equity Stop Loss]]-SnapshotTable[[#This Row],[Equity Basis Per Share]],"")</f>
        <v/>
      </c>
      <c r="Z233" s="260" t="str">
        <f>IFERROR( TEXT(SnapshotTable[[#This Row],[Equity Max Gain Per Share]] /ABS( SnapshotTable[[#This Row],[Equity Max Loss Per Share]]),"0.0 " ) &amp; " : 1", "")</f>
        <v/>
      </c>
      <c r="AA233" s="31" t="str">
        <f>IF(ISNUMBER(SnapshotTable[[#This Row],[Equity Max Gain Per Share]]),SnapshotTable[[#This Row],[Equity Max Gain Per Share]] * SnapshotTable[[#This Row],[Equity Shares]],"")</f>
        <v/>
      </c>
      <c r="AB233" s="31" t="str">
        <f>IF(ISNUMBER(SnapshotTable[[#This Row],[Equity Max Loss Per Share]]),SnapshotTable[[#This Row],[Equity Max Loss Per Share]] * SnapshotTable[[#This Row],[Equity Shares]],"")</f>
        <v/>
      </c>
      <c r="AC233" s="148"/>
      <c r="AD233" s="149"/>
      <c r="AE233" s="31">
        <f>(SnapshotTable[[#This Row],[Annual Dividend Per Share]] / 4) * SnapshotTable[[#This Row],[Equity Shares]]</f>
        <v>0</v>
      </c>
      <c r="AF233" s="31">
        <f>SnapshotTable[[#This Row],[Quarterly Div $]] * 4</f>
        <v>0</v>
      </c>
      <c r="AG233" s="7">
        <f>IF(SnapshotTable[[#This Row],[Annual Dividend Per Share]]&gt;0, SnapshotTable[[#This Row],[Annual Dividend Per Share]]  / SnapshotTable[[#This Row],[Last Price]], 0)</f>
        <v>0</v>
      </c>
      <c r="AH233" s="149"/>
      <c r="AI233" s="5"/>
      <c r="AJ233" s="136">
        <v>91.72</v>
      </c>
      <c r="AK233" s="150" t="str">
        <f>IF(ISNUMBER( SnapshotTable[[#This Row],[EBF Target]]),(SnapshotTable[[#This Row],[EBF Target]] - SnapshotTable[[#This Row],[Last Price]]) / SnapshotTable[[#This Row],[Last Price]], "")</f>
        <v/>
      </c>
      <c r="AL233" s="150" t="str">
        <f>IF(AND(SnapshotTable[[#This Row],[Equity Basis Total]] &gt; 0,ISNUMBER( SnapshotTable[[#This Row],[Long Term Target]])), SnapshotTable[[#This Row],[From Basis $]] / SnapshotTable[[#This Row],[Equity Basis Total]], "")</f>
        <v/>
      </c>
      <c r="AM233" s="9">
        <f>IF( AND(SnapshotTable[[#This Row],[Equity Shares]] &gt;0,ISNUMBER( SnapshotTable[[#This Row],[Long Term Target]])),(SnapshotTable[[#This Row],[Equity Shares]] * SnapshotTable[[#This Row],[Long Term Target]]) - SnapshotTable[[#This Row],[Equity Basis Total]],0)</f>
        <v>0</v>
      </c>
      <c r="AN233" s="9">
        <f>IF( AND(SnapshotTable[[#This Row],[Equity Shares]] &gt;0,ISNUMBER( SnapshotTable[[#This Row],[Long Term Target]])),(SnapshotTable[[#This Row],[Equity Shares]]*SnapshotTable[[#This Row],[Long Term Target]]) - SnapshotTable[[#This Row],[Equity Value]],0)</f>
        <v>0</v>
      </c>
      <c r="AO233" s="150">
        <f>IF(AND(ISNUMBER( SnapshotTable[[#This Row],[Long Term Target]]), ISNUMBER(SnapshotTable[[#This Row],[Last Price]])),(SnapshotTable[[#This Row],[Long Term Target]] - SnapshotTable[[#This Row],[Last Price]]) / SnapshotTable[[#This Row],[Last Price]], "")</f>
        <v>-0.57069974256962319</v>
      </c>
      <c r="AP233" s="5"/>
      <c r="AQ233" s="38"/>
      <c r="AR233" s="5"/>
      <c r="AS233" s="38"/>
      <c r="AT233" s="144"/>
      <c r="AU233" s="185" t="str">
        <f>IF(OR(SnapshotTable[[#This Row],[LP No Fill]]="Y",SnapshotTable[[#This Row],[SP Is Filled]],SnapshotTable[[#This Row],[LC Not Filled]]="Y",SnapshotTable[[#This Row],[SC Is Filled]]),"Y","")</f>
        <v/>
      </c>
      <c r="AV233" s="205"/>
      <c r="AW233" s="211"/>
      <c r="AX233" s="206"/>
      <c r="AY233" s="205" t="str">
        <f>IF(SnapshotTable[[#This Row],[Implied Move]]&gt;0, SnapshotTable[[#This Row],[Last Price]]-SnapshotTable[[#This Row],[Implied Move]],"")</f>
        <v/>
      </c>
      <c r="AZ233" s="205" t="str">
        <f>IF(SnapshotTable[[#This Row],[Implied Move]]&gt;0, SnapshotTable[[#This Row],[Last Price]] + SnapshotTable[[#This Row],[Implied Move]],"")</f>
        <v/>
      </c>
      <c r="BA233" s="302"/>
      <c r="BB233" s="318"/>
      <c r="BC23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3" s="321"/>
      <c r="BE233" s="5"/>
      <c r="BF233" s="14"/>
      <c r="BG233" s="13"/>
      <c r="BH233" s="13"/>
      <c r="BI233" s="5"/>
      <c r="BJ233" s="134">
        <f>IF(SnapshotTable[[#This Row],[LP Qty]] &gt; 0, SnapshotTable[[#This Row],[LP Qty]] * SnapshotTable[[#This Row],[LP Book Price]] * 100,0)</f>
        <v>0</v>
      </c>
      <c r="BK233" s="134">
        <f>IF(SnapshotTable[[#This Row],[LP Premium]] &gt; 0, SnapshotTable[[#This Row],[LP Qty]] * SnapshotTable[[#This Row],[LP Strike Price]] * 100,0)</f>
        <v>0</v>
      </c>
      <c r="BL233" s="152"/>
      <c r="BM233" s="355" t="str">
        <f>IF(SnapshotTable[[#This Row],[LP Premium]] &gt; 0,SnapshotTable[[#This Row],[LP Exp Date]]-MAX(SnapshotTable[[#This Row],[LP Book Date]], SnapshotTable[[#This Row],[LP Fill Date]]),"")</f>
        <v/>
      </c>
      <c r="BN233" s="355" t="str">
        <f>IF(ISNUMBER( SnapshotTable[[#This Row],[LP Term]]), SnapshotTable[[#This Row],[LP Exp Date]] - MockToday,"")</f>
        <v/>
      </c>
      <c r="BO233" s="161" t="str">
        <f>IF(AND(SnapshotTable[[#This Row],[LP Exp Date]]&gt;0, SnapshotTable[[#This Row],[LP Strike Price]]&gt;0,SnapshotTable[[#This Row],[LP Qty]]&gt;0,SnapshotTable[[#This Row],[LP Book Date]]&gt;0,SnapshotTable[[#This Row],[LP Book Price]]&gt;0,SnapshotTable[[#This Row],[LP Fill Date]]=0),"Y","")</f>
        <v/>
      </c>
      <c r="BP233" s="31" t="str">
        <f>IF(AND(SnapshotTable[[#This Row],[LP No Fill]]&lt;&gt;"Y",SnapshotTable[[#This Row],[LP Contract Value]]&gt;0, SnapshotTable[[#This Row],[LP Qty]]&gt;0), SnapshotTable[[#This Row],[LP Contract Value]]*SnapshotTable[[#This Row],[LP Qty]]*100,"")</f>
        <v/>
      </c>
      <c r="BQ233" s="13"/>
      <c r="BR233" s="5"/>
      <c r="BS233" s="36"/>
      <c r="BT233" s="145"/>
      <c r="BU233" s="13"/>
      <c r="BV233" s="5"/>
      <c r="BW233" s="382" t="b">
        <f>AND(ISNUMBER(SnapshotTable[[#This Row],[SP Exp Date]]), ISNUMBER(SnapshotTable[[#This Row],[SP Strike Price]]), ISNUMBER(SnapshotTable[[#This Row],[SP Qty]]), ISNUMBER(SnapshotTable[[#This Row],[SP Book Date]]), ISNUMBER(SnapshotTable[[#This Row],[SP Book Price]]))</f>
        <v>0</v>
      </c>
      <c r="BX233" s="382" t="b">
        <f>AND(SnapshotTable[[#This Row],[SP Is Booked]], NOT(ISBLANK(SnapshotTable[[#This Row],[SP Fill Date]])))</f>
        <v>0</v>
      </c>
      <c r="BY233" s="33">
        <f>IF(SnapshotTable[[#This Row],[SP Is Booked]], SnapshotTable[[#This Row],[SP Qty]] * SnapshotTable[[#This Row],[SP Book Price]] * 100, 0)</f>
        <v>0</v>
      </c>
      <c r="BZ233" s="339"/>
      <c r="CA233" s="338">
        <f>SnapshotTable[[#This Row],[LP Qty]]</f>
        <v>0</v>
      </c>
      <c r="CB233" s="4" t="str">
        <f>IF(SnapshotTable[[#This Row],[SP Is Booked]], SnapshotTable[[#This Row],[SP Strike Price]] - SnapshotTable[[#This Row],[SP Book Price]], "")</f>
        <v/>
      </c>
      <c r="CC233" s="19" t="str">
        <f>IF(SnapshotTable[[#This Row],[SP Is Booked]],SnapshotTable[[#This Row],[SP Exp Date]]-MAX(SnapshotTable[[#This Row],[SP Book Date]], SnapshotTable[[#This Row],[SP Fill Date]]),"")</f>
        <v/>
      </c>
      <c r="CD233" s="7" t="str">
        <f>IF(SnapshotTable[[#This Row],[SP Is Booked]], SnapshotTable[[#This Row],[SP Book Price]]/SnapshotTable[[#This Row],[SP Strike Price]], "")</f>
        <v/>
      </c>
      <c r="CE233" s="7" t="str">
        <f>IF(ISNUMBER(SnapshotTable[[#This Row],[SP ROO Term]]),SnapshotTable[[#This Row],[SP ROO Term]]*(365/SnapshotTable[[#This Row],[SP Term]]),"")</f>
        <v/>
      </c>
      <c r="CF233" s="221">
        <f>SnapshotTable[[#This Row],[LP Strike Price]] * SnapshotTable[[#This Row],[LP Qty]] * 100</f>
        <v>0</v>
      </c>
      <c r="CG233" s="31">
        <f>IF(ISNUMBER(SnapshotTable[[#This Row],[SP Premium]]), (SnapshotTable[[#This Row],[SP Qty]] * SnapshotTable[[#This Row],[SP Strike Price]]* 100) - SnapshotTable[[#This Row],[LP Protection]], 0)</f>
        <v>0</v>
      </c>
      <c r="CH233" s="7" t="str">
        <f>IF(ISNUMBER(SnapshotTable[[#This Row],[SP Break Even]]),-1 * (SnapshotTable[[#This Row],[SP Break Even]] - SnapshotTable[[#This Row],[Last Price]]) / SnapshotTable[[#This Row],[Last Price]], "")</f>
        <v/>
      </c>
      <c r="CI233" s="31">
        <f>IF(AND(ISNUMBER((SnapshotTable[[#This Row],[SP Potential Spend]])), SnapshotTable[[#This Row],[SP Strike Price]] &gt; SnapshotTable[[#This Row],[Last Price]], SnapshotTable[[#This Row],[SP Is Filled]]), SnapshotTable[[#This Row],[SP Potential Spend]] -  SnapshotTable[[#This Row],[LP Max Value]], 0)</f>
        <v>0</v>
      </c>
      <c r="CJ233" s="229"/>
      <c r="CK233" s="31">
        <f>IF(ISNUMBER(SnapshotTable[[#This Row],[SP Potential Spend]]),IF(ISNUMBER(SnapshotTable[[#This Row],[SP POW]]), SnapshotTable[[#This Row],[SP POW]] * SnapshotTable[[#This Row],[SP Potential Spend]], SnapshotTable[[#This Row],[SP Potential Spend]]), "")</f>
        <v>0</v>
      </c>
      <c r="CL233" s="162">
        <f>IF(NOT(SnapshotTable[[#This Row],[SP Is Filled]]),(SnapshotTable[[#This Row],[SP Qty]] * SnapshotTable[[#This Row],[SP Strike Price]] * 100) - SnapshotTable[[#This Row],[LP Max Value]],"")</f>
        <v>0</v>
      </c>
      <c r="CM233" s="31" t="str">
        <f>IF(SnapshotTable[[#This Row],[SP Actual Spend]]&lt;&gt;0, ((SnapshotTable[[#This Row],[SP Strike Price]]-SnapshotTable[[#This Row],[Last Price]]) *(SnapshotTable[[#This Row],[SP Qty]]*100) - SnapshotTable[[#This Row],[SP Premium]]) * - 1, "")</f>
        <v/>
      </c>
      <c r="CN233" s="76"/>
      <c r="CO233" s="339"/>
      <c r="CP233" s="4" t="str">
        <f>IF(SnapshotTable[[#This Row],[SP Is Filled]], btc_max_buyback_amount(SnapshotTable[[#This Row],[SP Fill Date]],SnapshotTable[[#This Row],[SP Exp Date]], SnapshotTable[[#This Row],[SP Book Price]]),"")</f>
        <v/>
      </c>
      <c r="CQ233" s="76"/>
      <c r="CR23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3" s="153" t="str">
        <f>IF(SnapshotTable[[#This Row],[SP Is Filled]], btc_next_cutoff_date(SnapshotTable[[#This Row],[SP Fill Date]],SnapshotTable[[#This Row],[SP Exp Date]]),"")</f>
        <v/>
      </c>
      <c r="CT233" s="220" t="str" cm="1">
        <f t="array" ref="CT233">IF(SnapshotTable[[#This Row],[SP Is Filled]], btc_should_buy_back(SnapshotTable[[#This Row],[SP Fill Date]], SnapshotTable[[#This Row],[SP Exp Date]], SnapshotTable[[#This Row],[SP Book Price]], SnapshotTable[[#This Row],[SP Current Ask]], MockToday, SnapshotTable[[#This Row],[SP Buyback Override]]),"")</f>
        <v/>
      </c>
      <c r="CU233" s="141"/>
      <c r="CV233" s="220"/>
      <c r="CW233" s="348" t="str">
        <f>IF(ISNUMBER( SnapshotTable[[#This Row],[SP Term]]), SnapshotTable[[#This Row],[SP Exp Date]] - MockToday,"")</f>
        <v/>
      </c>
      <c r="CX233" s="31" t="str">
        <f>IF(SnapshotTable[[#This Row],[SP Is Filled]],SnapshotTable[[#This Row],[SP Buyback Price to Use]] * 100 * SnapshotTable[[#This Row],[SP Qty]], "")</f>
        <v/>
      </c>
      <c r="CY233" s="4" t="str">
        <f>IF(ISNUMBER(SnapshotTable[[#This Row],[SP Strike Price]]), SnapshotTable[[#This Row],[SP Strike Price]] * (1 - SP_MaxLoss_StrikePct), "")</f>
        <v/>
      </c>
      <c r="CZ233" s="31" t="str">
        <f>IF(ISNUMBER(SnapshotTable[[#This Row],[SP Strike  Stop Per Share]]),SnapshotTable[[#This Row],[SP Premium]] - ((SnapshotTable[[#This Row],[SP Strike Price]]-SnapshotTable[[#This Row],[SP Strike  Stop Per Share]]) *(SnapshotTable[[#This Row],[SP Qty]] * 100)),"")</f>
        <v/>
      </c>
      <c r="DA233" s="4" t="str">
        <f>IF(AND(ISNUMBER(SnapshotTable[[#This Row],[SP Premium]]),SnapshotTable[[#This Row],[SP Premium]]&gt;0), SnapshotTable[[#This Row],[SP Book Price]] * (1 + SP_MaxLoss_OptionPct), "")</f>
        <v/>
      </c>
      <c r="DB233" s="31" t="str">
        <f>IF(ISNUMBER(SnapshotTable[[#This Row],[SP Option  Stop Contract]]),(SnapshotTable[[#This Row],[SP Option  Stop Contract]] *(SnapshotTable[[#This Row],[SP Qty]] * 100) - SnapshotTable[[#This Row],[SP Premium]]),"")</f>
        <v/>
      </c>
      <c r="DC233" s="4"/>
      <c r="DD233" s="4"/>
      <c r="DE233" s="4" t="str">
        <f>IF(AND(SnapshotTable[[#This Row],[SP Qty]]&gt;0, SnapshotTable[[#This Row],[SP Stop To Use]]&gt;0),SnapshotTable[[#This Row],[SP Premium]] - ( SnapshotTable[[#This Row],[SP Qty]] * SnapshotTable[[#This Row],[SP Stop To Use]] * 100), "")</f>
        <v/>
      </c>
      <c r="DF233" s="31" t="str">
        <f>IF(AND(SnapshotTable[[#This Row],[SP Qty]]&gt;0,SnapshotTable[[#This Row],[SP Current Ask]]&gt;0), SnapshotTable[[#This Row],[SP Qty]] * SnapshotTable[[#This Row],[SP Current Ask]] * -100, "")</f>
        <v/>
      </c>
      <c r="DG233" s="31" t="str">
        <f>IF(ISNUMBER((SnapshotTable[[#This Row],[SP Total Value]])), SnapshotTable[[#This Row],[SP Premium]] + SnapshotTable[[#This Row],[SP Total Value]], "")</f>
        <v/>
      </c>
      <c r="DH233" s="272" t="str">
        <f>IF(ISNUMBER((SnapshotTable[[#This Row],[SP Total Value]])), SnapshotTable[[#This Row],[SP Gain Loss]] / SnapshotTable[[#This Row],[SP Premium]], "")</f>
        <v/>
      </c>
      <c r="DI233" s="369"/>
      <c r="DJ233" s="136"/>
      <c r="DK233" s="146"/>
      <c r="DL233" s="13"/>
      <c r="DM233" s="13"/>
      <c r="DO233" s="31">
        <f>IF(SnapshotTable[[#This Row],[LC Symbol Count]]=1, SnapshotTable[[#This Row],[LC Qty]] * SnapshotTable[[#This Row],[LC Book Price]] * 100, 0)</f>
        <v>0</v>
      </c>
      <c r="DP233" s="161" t="str">
        <f>IF(AND(SnapshotTable[[#This Row],[LC Exp Date]]&gt;0, SnapshotTable[[#This Row],[LC Strike Price]]&gt;0,SnapshotTable[[#This Row],[LC Qty]]&gt;0,SnapshotTable[[#This Row],[LC Book Date]]&gt;0,SnapshotTable[[#This Row],[LC Book Price]]&gt;0,SnapshotTable[[#This Row],[LC Fill Date]]=0),"Y","")</f>
        <v/>
      </c>
      <c r="DQ233" s="356" t="str">
        <f>IF(SnapshotTable[[#This Row],[LC Premium]] &gt; 0,SnapshotTable[[#This Row],[LC Exp Date]]-MAX(SnapshotTable[[#This Row],[LC Book Date]], SnapshotTable[[#This Row],[LC Fill Date]]),"")</f>
        <v/>
      </c>
      <c r="DR233" s="356" t="str">
        <f>IF(ISNUMBER(SnapshotTable[[#This Row],[LC Term]]), SnapshotTable[[#This Row],[LC Exp Date]] - MockToday, "")</f>
        <v/>
      </c>
      <c r="DS233" s="219" t="str">
        <f>IF(SnapshotTable[[#This Row],[LC Premium]]&gt;0,SnapshotTable[[#This Row],[LC Strike Price]] + SnapshotTable[[#This Row],[LC Book Price]],"")</f>
        <v/>
      </c>
      <c r="DU233" s="9" t="str">
        <f>IF(AND(SnapshotTable[[#This Row],[LC Symbol Count]]&gt;0, SnapshotTable[[#This Row],[LC Contract Value]]&gt;0), SnapshotTable[[#This Row],[LC Contract Value]] * SnapshotTable[[#This Row],[LC Qty]] * 100, "")</f>
        <v/>
      </c>
      <c r="DV233" s="9" t="str">
        <f>IF(AND(ISNUMBER(SnapshotTable[[#This Row],[LC Total Value]]), SnapshotTable[[#This Row],[LC Not Filled]]&lt;&gt;"Y"), SnapshotTable[[#This Row],[LC Total Value]]-SnapshotTable[[#This Row],[LC Premium]],"")</f>
        <v/>
      </c>
      <c r="DW233" s="225" t="str">
        <f>IF(ISNUMBER(SnapshotTable[[#This Row],[LC Actual Gain Loss]]), SnapshotTable[[#This Row],[LC Actual Gain Loss]] / SnapshotTable[[#This Row],[LC Premium]],"")</f>
        <v/>
      </c>
      <c r="DX233" s="269" t="str">
        <f>IF(ISNUMBER(SnapshotTable[[#This Row],[LC Book Price]]),SnapshotTable[[#This Row],[LC Book Price]] * 1.5,"")</f>
        <v/>
      </c>
      <c r="DY233" s="250" t="str">
        <f>IF(SnapshotTable[[#This Row],[LC Premium]]&gt;0, SnapshotTable[[#This Row],[LC Next Target]] * SnapshotTable[[#This Row],[LC Qty]] * 100,"")</f>
        <v/>
      </c>
      <c r="DZ233" s="250" t="str">
        <f>IF(ISNUMBER(SnapshotTable[[#This Row],[LC Target Gross]]), SnapshotTable[[#This Row],[LC Target Gross]] - SnapshotTable[[#This Row],[LC Premium]], "")</f>
        <v/>
      </c>
      <c r="EA233" s="283" t="str">
        <f>IF(ISNUMBER(SnapshotTable[[#This Row],[LC Target Gain Loss]]), SnapshotTable[[#This Row],[LC Target Gain Loss]]/SnapshotTable[[#This Row],[LC Premium]], "")</f>
        <v/>
      </c>
      <c r="EB233" s="247"/>
      <c r="EC233" s="268" t="str">
        <f>IF(SnapshotTable[[#This Row],[LC Premium]]&gt;0, SnapshotTable[[#This Row],[LC Book Price]] * (1 - LC_StopLoss_Pct),"")</f>
        <v/>
      </c>
      <c r="ED233" s="269"/>
      <c r="EE233" s="268" t="str">
        <f>IF(ISNUMBER(SnapshotTable[[#This Row],[LC Contract Value]]),IF(ISNUMBER(SnapshotTable[[#This Row],[LC Stop Loss Override]]), SnapshotTable[[#This Row],[LC Stop Loss Override]],SnapshotTable[[#This Row],[LC Stop Loss Calc Target]]),"")</f>
        <v/>
      </c>
      <c r="EF233" s="31" t="str">
        <f>IF(ISNUMBER(SnapshotTable[[#This Row],[LC Stop  To Use]]), (SnapshotTable[[#This Row],[LC Stop  To Use]] * SnapshotTable[[#This Row],[LC Qty]] * 100),"")</f>
        <v/>
      </c>
      <c r="EG233" s="9" t="str">
        <f>IF(ISNUMBER(SnapshotTable[[#This Row],[LC Total Value]]),SnapshotTable[[#This Row],[LC Stop Loss Amount]] - SnapshotTable[[#This Row],[LC Premium]],"")</f>
        <v/>
      </c>
      <c r="EH233" s="9">
        <f>IF(ISNUMBER(SnapshotTable[[#This Row],[LC Premium]]), SnapshotTable[[#This Row],[LC Qty]] * 100 * SnapshotTable[[#This Row],[LC Strike Price]], "")</f>
        <v>0</v>
      </c>
      <c r="EI233" s="225" t="str">
        <f>IF(AND(ISNUMBER(SnapshotTable[[#This Row],[LC Total Value]]),SnapshotTable[[#This Row],[LC Total Value]]&gt;0),SnapshotTable[[#This Row],[LC Stop Gain Loss]]  / SnapshotTable[[#This Row],[LC Premium]],"")</f>
        <v/>
      </c>
      <c r="EJ233" s="35">
        <f>IF(ISNUMBER(SnapshotTable[[#This Row],[Equity Shares]]),TRUNC(SnapshotTable[[#This Row],[Equity Shares]] / 100),0) + SnapshotTable[[#This Row],[LC Qty]]</f>
        <v>0</v>
      </c>
      <c r="EK233" s="145"/>
      <c r="EL233" s="136"/>
      <c r="EM233" s="146"/>
      <c r="EN233" s="145"/>
      <c r="EO233" s="145"/>
      <c r="EP233" s="136"/>
      <c r="EQ233" s="382" t="b">
        <f>AND(ISNUMBER(SnapshotTable[[#This Row],[SC Exp Date]]), ISNUMBER(SnapshotTable[[#This Row],[SC Strike Price]]), ISNUMBER(SnapshotTable[[#This Row],[SC Qty]]), ISNUMBER(SnapshotTable[[#This Row],[SC Book Date]]), ISNUMBER(SnapshotTable[[#This Row],[SC Book Price]]))</f>
        <v>0</v>
      </c>
      <c r="ER233" s="382" t="b">
        <f>AND(SnapshotTable[[#This Row],[SC Is Booked]], NOT(ISBLANK(SnapshotTable[[#This Row],[SC Fill Date]])))</f>
        <v>0</v>
      </c>
      <c r="ES233" s="340"/>
      <c r="ET233" s="34" t="str">
        <f>IF(AND(ISNUMBER(SnapshotTable[[#This Row],[SC Exp Date]]), ISNUMBER(SnapshotTable[[#This Row],[SC Book Date]])), SnapshotTable[[#This Row],[SC Exp Date]] - MAX(SnapshotTable[[#This Row],[SC Book Date]], SnapshotTable[[#This Row],[SC Fill Date]]) + 1, "")</f>
        <v/>
      </c>
      <c r="EU233" s="34" t="str">
        <f>IF(ISNUMBER(SnapshotTable[[#This Row],[SC Term]]), SnapshotTable[[#This Row],[SC Exp Date]]- MockToday, "")</f>
        <v/>
      </c>
      <c r="EV233" s="31">
        <f>IF(SnapshotTable[[#This Row],[SC Is Booked]], SnapshotTable[[#This Row],[SC Qty]] * SnapshotTable[[#This Row],[SC Book Price]] * 100, 0)</f>
        <v>0</v>
      </c>
      <c r="EW233" s="4" t="str">
        <f>IF(AND(ISNUMBER(SnapshotTable[[#This Row],[Last Price]]), ISNUMBER( SnapshotTable[[#This Row],[SC Book Price]])), SnapshotTable[[#This Row],[Last Price]] - SnapshotTable[[#This Row],[SC Book Price]],"")</f>
        <v/>
      </c>
      <c r="EX233" s="219" t="str">
        <f>IF(SnapshotTable[[#This Row],[SC Is Booked]],IF(SnapshotTable[[#This Row],[SC Intrinsic Value]] &gt; 0, SnapshotTable[[#This Row],[SC Strike Price]], SnapshotTable[[#This Row],[Last Price]]), "")</f>
        <v/>
      </c>
      <c r="EY233" s="4">
        <f>IF(SnapshotTable[[#This Row],[SC Is Booked]], (MinimumPremiumRequired * SnapshotTable[[#This Row],[SC Basis]] * SnapshotTable[[#This Row],[SC Term]]), 0)</f>
        <v>0</v>
      </c>
      <c r="EZ233" s="268"/>
      <c r="FA233" s="204"/>
      <c r="FB233" s="340"/>
      <c r="FC233" s="4">
        <f>IF(SnapshotTable[[#This Row],[SC Is Filled]], btc_max_buyback_amount(SnapshotTable[[#This Row],[SC Fill Date]],SnapshotTable[[#This Row],[SC Exp Date]], SnapshotTable[[#This Row],[SC Book Price]]),0)</f>
        <v>0</v>
      </c>
      <c r="FD233" s="5"/>
      <c r="FE233" s="142" t="str">
        <f>IF(SnapshotTable[[#This Row],[SC Is Filled]], btc_next_cutoff_date(SnapshotTable[[#This Row],[SC Fill Date]],SnapshotTable[[#This Row],[SC Exp Date]]),"")</f>
        <v/>
      </c>
      <c r="FF233" s="4" t="str" cm="1">
        <f t="array" ref="FF233">IF(SnapshotTable[[#This Row],[SC Is Filled]], btc_should_buy_back(SnapshotTable[[#This Row],[SC Fill Date]], SnapshotTable[[#This Row],[SC Exp Date]], SnapshotTable[[#This Row],[SC Book Price]], SnapshotTable[[#This Row],[SC Current Ask]], MockToday, SnapshotTable[[#This Row],[SC Buyback Override]]),"")</f>
        <v/>
      </c>
      <c r="FG233" s="4">
        <f>IF(SnapshotTable[[#This Row],[SC Is Filled]], MAX(0,SnapshotTable[[#This Row],[Last Price]]  - SnapshotTable[[#This Row],[SC Strike Price]]), 0)</f>
        <v>0</v>
      </c>
      <c r="FH233" s="352">
        <f>IF(SnapshotTable[[#This Row],[SC Is Filled]], IF(ISNUMBER(SnapshotTable[[#This Row],[SC Current Ask]]), SnapshotTable[[#This Row],[SC Current Ask]], SnapshotTable[[#This Row],[SC Book Price]]) - SnapshotTable[[#This Row],[SC Intrinsic Value]], 0)</f>
        <v>0</v>
      </c>
      <c r="FI233" s="141"/>
      <c r="FJ233" s="32" t="str">
        <f>IF(SnapshotTable[[#This Row],[SC Is Filled]],100 * SnapshotTable[[#This Row],[SC Qty]] * IF(ISNUMBER(SnapshotTable[[#This Row],[SC Buyback Override]]), SnapshotTable[[#This Row],[SC Buyback Override]], SnapshotTable[[#This Row],[SC Current Ask]]), "")</f>
        <v/>
      </c>
      <c r="FK233" s="235" t="str">
        <f>IF(SnapshotTable[[#This Row],[SC Time Val]]&gt;0, SnapshotTable[[#This Row],[SC Time Val]] / SnapshotTable[[#This Row],[Last Price]],"")</f>
        <v/>
      </c>
      <c r="FL233" s="280" t="str">
        <f>IF(SnapshotTable[[#This Row],[SC Is Booked]], ((SnapshotTable[[#This Row],[Last Price]] -SnapshotTable[[#This Row],[SC Strike Price]]) / SnapshotTable[[#This Row],[Last Price]]) * -1, "")</f>
        <v/>
      </c>
      <c r="FM233" s="155" t="str">
        <f>IF(SnapshotTable[[#This Row],[SC Is Booked]],  (SnapshotTable[[#This Row],[SC Qty]] * 100 * SnapshotTable[[#This Row],[SC Strike Price]]) - SnapshotTable[[#This Row],[SC Current Ask]], "")</f>
        <v/>
      </c>
      <c r="FN23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3" s="31" t="str">
        <f>IF(AND(ISNUMBER(SnapshotTable[[#This Row],[SC Exercise Gross]]), ISNUMBER(SnapshotTable[[#This Row],[Equity Basis Per Share]] )), SnapshotTable[[#This Row],[SC Exercise Gross]] - SnapshotTable[[#This Row],[Equity Basis Total]] +  SnapshotTable[[#This Row],[SC Premium]], "")</f>
        <v/>
      </c>
      <c r="FP233" s="5" t="str">
        <f>IF(ISNUMBER(SnapshotTable[[#This Row],[SC Exercise Gross]]), (SnapshotTable[[#This Row],[SC Exercise Gross]]) / (SnapshotTable[[#This Row],[SC Qty]] * 100), "")</f>
        <v/>
      </c>
      <c r="FQ233" s="27" t="str">
        <f>IF(SnapshotTable[[#This Row],[SC Is Booked]],SnapshotTable[[#This Row],[SC Time Val]] /SnapshotTable[[#This Row],[SC Basis]], "")</f>
        <v/>
      </c>
      <c r="FR233" s="27" t="str" cm="1">
        <f t="array" ref="FR233">IF(AND(ISNUMBER(SnapshotTable[[#This Row],[SC Term]]),ISNUMBER(SnapshotTable[[#This Row],[SC Simple ROO]])), EllmanAnnualize(SnapshotTable[[#This Row],[SC DTE]], SnapshotTable[[#This Row],[SC Simple ROO]] ),"")</f>
        <v/>
      </c>
      <c r="FS233" s="4">
        <f>IF(SnapshotTable[[#This Row],[SC Strike Price]] &gt; SnapshotTable[[#This Row],[Last Price]], SnapshotTable[[#This Row],[SC Strike Price]] - SnapshotTable[[#This Row],[Last Price]],0)</f>
        <v>0</v>
      </c>
      <c r="FT233" s="27" t="str">
        <f>IF(AND(ISNUMBER(SnapshotTable[[#This Row],[SC Upside Potential]]), SnapshotTable[[#This Row],[SC Upside Potential]] &gt; 0),(SnapshotTable[[#This Row],[SC Upside Potential]]/ SnapshotTable[[#This Row],[ACB]]),"")</f>
        <v/>
      </c>
      <c r="FU233" s="304" t="str">
        <f>IF(SnapshotTable[[#This Row],[SC Intrinsic Value]] &gt; 0,SnapshotTable[[#This Row],[SC Intrinsic Value]],"")</f>
        <v/>
      </c>
      <c r="FV233" s="27" t="str">
        <f>IF(AND( ISNUMBER( SnapshotTable[[#This Row],[ACB]]),ISNUMBER(SnapshotTable[[#This Row],[SC Downside Protect]])),SnapshotTable[[#This Row],[SC Downside Protect]] / SnapshotTable[[#This Row],[ACB]],"")</f>
        <v/>
      </c>
      <c r="FW233" s="221" t="str">
        <f>IF(AND(ISNUMBER(SnapshotTable[[#This Row],[SC Simple ROO]]),SnapshotTable[[#This Row],[SC Simple ROO]] &gt; 0), SnapshotTable[[#This Row],[SC Premium]] + (SnapshotTable[[#This Row],[SC Qty]] * SnapshotTable[[#This Row],[SC Upside Potential]]), "")</f>
        <v/>
      </c>
      <c r="FX233" s="280" t="str" cm="1">
        <f t="array" ref="FX233">IF(ISNUMBER(SnapshotTable[[#This Row],[SC Max Dollars]]), annualize(SnapshotTable[[#This Row],[SC Term]],(SnapshotTable[[#This Row],[SC Max Dollars]]/SnapshotTable[[#This Row],[SC Basis]])),"")</f>
        <v/>
      </c>
      <c r="FY233" s="221" t="str">
        <f>IF(AND(SnapshotTable[[#This Row],[SC Qty]]&gt;0,SnapshotTable[[#This Row],[SC Current Ask]]&gt;0), SnapshotTable[[#This Row],[SC Qty]] * SnapshotTable[[#This Row],[SC Current Ask]] * -100, "")</f>
        <v/>
      </c>
      <c r="FZ233" s="31" t="str">
        <f>IF(ISNUMBER((SnapshotTable[[#This Row],[SC Current Value]])), SnapshotTable[[#This Row],[SC Premium]] + SnapshotTable[[#This Row],[SC Current Value]], "")</f>
        <v/>
      </c>
      <c r="GA233" s="272" t="str">
        <f>IFERROR( IF(ISNUMBER((SnapshotTable[[#This Row],[SC Current Value]])), SnapshotTable[[#This Row],[SC Gain Loss]] / SnapshotTable[[#This Row],[SC Premium]], ""), "")</f>
        <v/>
      </c>
      <c r="GB233" s="42">
        <f>SnapshotTable[[#This Row],[Equity Shares]] * SaleSharesToConsiderPercentage</f>
        <v>0</v>
      </c>
      <c r="GC233" s="40">
        <f>SnapshotTable[[#This Row],[Long Term Target]] * SellingPriceToConsiderBasedOnTargetPercentage</f>
        <v>87.134</v>
      </c>
      <c r="GD233" s="40">
        <f>SnapshotTable[[#This Row],[Last Price]] * (1+ SellingPriceToConsiderBasedOnTargetPercentage)</f>
        <v>416.61750000000001</v>
      </c>
      <c r="GE233" s="41"/>
      <c r="GF233" s="40"/>
      <c r="GG233" s="31">
        <f>SnapshotTable[[#This Row],[Booked Sale Shares]] * SnapshotTable[[#This Row],[Booked Sale Price]]</f>
        <v>0</v>
      </c>
      <c r="GH233" s="31" t="str">
        <f>IF(SnapshotTable[[#This Row],[Equity Basis Total]] &gt; 0, SnapshotTable[[#This Row],[Equity Basis Per Share]] * SnapshotTable[[#This Row],[Booked Sale Shares]], "")</f>
        <v/>
      </c>
      <c r="GI233" s="31">
        <f>IF(SnapshotTable[[#This Row],[Sale Proceeds]]&gt;0, SnapshotTable[[#This Row],[Sale Proceeds]] - SnapshotTable[[#This Row],[Sale Basis]], 0)</f>
        <v>0</v>
      </c>
      <c r="GJ233" s="27" t="str">
        <f>IF(SnapshotTable[[#This Row],[Sale G/L]]&gt;0, SnapshotTable[[#This Row],[Sale G/L]] / SnapshotTable[[#This Row],[Sale Basis]], IF(ISNUMBER(SnapshotTable[[#This Row],[SC Exercise P&amp;L (TAX)]]), SnapshotTable[[#This Row],[SC Exercise P&amp;L (TAX)]] / SnapshotTable[[#This Row],[SC Basis]], ""))</f>
        <v/>
      </c>
      <c r="GK233" s="27" t="s">
        <v>619</v>
      </c>
      <c r="GL233" s="43" t="str">
        <f>IF(AND(SnapshotTable[[#This Row],[LP Exp Date]]&gt;0,SnapshotTable[[#This Row],[LP Strike Price]]&gt;0), [1]!ToOptionSymbol(SnapshotTable[[#This Row],[Symbol]], SnapshotTable[[#This Row],[LP Strike Price]],SnapshotTable[[#This Row],[LP Exp Date]],1), "")</f>
        <v/>
      </c>
      <c r="GM233" s="30" t="str">
        <f>IF(LEN(SnapshotTable[[#This Row],[LP Symbol]])&gt;0, 1, "")</f>
        <v/>
      </c>
      <c r="GN233" s="43" t="str">
        <f>IF(AND(SnapshotTable[[#This Row],[SP Exp Date]]&gt;0,SnapshotTable[[#This Row],[SP Strike Price]]&gt;0), [1]!ToOptionSymbol(SnapshotTable[[#This Row],[Symbol]], SnapshotTable[[#This Row],[SP Strike Price]],SnapshotTable[[#This Row],[SP Exp Date]],1), "")</f>
        <v/>
      </c>
      <c r="GO233" s="30" t="str">
        <f>IF(LEN(SnapshotTable[[#This Row],[SP Symbol]])&gt;0, 1, "")</f>
        <v/>
      </c>
      <c r="GP233" s="43" t="str">
        <f>IF(AND(SnapshotTable[[#This Row],[LC Exp Date]]&gt;0,SnapshotTable[[#This Row],[LC Strike Price]]&gt;0), [1]!ToOptionSymbol(SnapshotTable[[#This Row],[Symbol]], SnapshotTable[[#This Row],[LC Strike Price]],SnapshotTable[[#This Row],[LC Exp Date]],0), "")</f>
        <v/>
      </c>
      <c r="GQ233" s="30" t="str">
        <f>IF(LEN(SnapshotTable[[#This Row],[LC Symbol]])&gt;0, 1, "")</f>
        <v/>
      </c>
      <c r="GR233" s="43" t="str">
        <f>IF(AND(SnapshotTable[[#This Row],[SC Exp Date]]&gt;0,SnapshotTable[[#This Row],[SC Strike Price]]&gt;0), [1]!ToOptionSymbol(SnapshotTable[[#This Row],[Symbol]], SnapshotTable[[#This Row],[SC Strike Price]],SnapshotTable[[#This Row],[SC Exp Date]],0), "")</f>
        <v/>
      </c>
      <c r="GS233" s="30" t="str">
        <f>IF(LEN(SnapshotTable[[#This Row],[SC Symbol]])&gt;0, 1, "")</f>
        <v/>
      </c>
      <c r="GT233" s="29" t="str">
        <f>IF(COUNT(SnapshotTable[[#This Row],[LP Symbol Count]],SnapshotTable[[#This Row],[SP Symbol Count]],SnapshotTable[[#This Row],[LC Symbol Count]],SnapshotTable[[#This Row],[SC Symbol Count]])&gt;0, "Y", "")</f>
        <v/>
      </c>
      <c r="GU23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3" s="216">
        <f>MAX(SnapshotTable[[#This Row],[Equity Basis Total]],SnapshotTable[[#This Row],[Equity Value]]) + (SnapshotTable[[#This Row],[SP Potential Spend]]- SnapshotTable[[#This Row],[SP Premium]] + SnapshotTable[[#This Row],[LP Premium]])+ (SnapshotTable[[#This Row],[LC Premium]] - SnapshotTable[[#This Row],[SC Premium]])</f>
        <v>0</v>
      </c>
      <c r="GW233" s="137" t="str">
        <f>IF(AND(SnapshotTable[[#This Row],[Exposure]] &lt;&gt; 0),SnapshotTable[[#This Row],[Exposure]] / SnapshotTable[[#Totals],[Exposure]], "")</f>
        <v/>
      </c>
      <c r="GX233" s="2"/>
      <c r="GY233" s="357"/>
      <c r="GZ233"/>
      <c r="HA233" s="2"/>
      <c r="HB233" s="2"/>
      <c r="HK233" s="1"/>
      <c r="HL233" s="1"/>
      <c r="HM233" s="1"/>
      <c r="HN233" s="1"/>
      <c r="HO233" s="1"/>
      <c r="HP233" s="1"/>
    </row>
    <row r="234" spans="2:224" ht="12.75" hidden="1" customHeight="1" x14ac:dyDescent="0.25">
      <c r="B234" s="12" t="s">
        <v>109</v>
      </c>
      <c r="C234" s="385">
        <v>88.74</v>
      </c>
      <c r="D234" s="200"/>
      <c r="E234" s="39">
        <f>SnapshotTable[[#This Row],[Last Price]]*(1 -CrashDiscount)</f>
        <v>75.428999999999988</v>
      </c>
      <c r="F234" s="26" t="s">
        <v>5</v>
      </c>
      <c r="G234" s="26" t="s">
        <v>4</v>
      </c>
      <c r="H234" s="147"/>
      <c r="I234" s="186">
        <v>44781.677083333336</v>
      </c>
      <c r="J234" s="187">
        <v>44781.677083333336</v>
      </c>
      <c r="K234" s="188"/>
      <c r="L234" s="297"/>
      <c r="M234" s="138"/>
      <c r="N234" s="138"/>
      <c r="O234" s="138"/>
      <c r="P234" s="22"/>
      <c r="Q234" s="25"/>
      <c r="R234" s="4" t="str">
        <f>IF(SnapshotTable[[#This Row],[Equity Basis Total]] &gt; 0, SnapshotTable[[#This Row],[Equity Basis Total]] / SnapshotTable[[#This Row],[Equity Shares]], "")</f>
        <v/>
      </c>
      <c r="S234" s="254">
        <f>SnapshotTable[[#This Row],[Last Price]] * SnapshotTable[[#This Row],[Equity Shares]]</f>
        <v>0</v>
      </c>
      <c r="T234" s="254">
        <f>SnapshotTable[[#This Row],[Equity Value]] - SnapshotTable[[#This Row],[Equity Basis Total]]</f>
        <v>0</v>
      </c>
      <c r="U234" s="255" t="str">
        <f>IF(SnapshotTable[[#This Row],[Equity Basis Total]] &gt; 0, SnapshotTable[[#This Row],[Equity G/L]] / SnapshotTable[[#This Row],[Equity Basis Total]], "")</f>
        <v/>
      </c>
      <c r="V234" s="253"/>
      <c r="W234" s="253"/>
      <c r="X234" s="4" t="str">
        <f>IF(AND(ISNUMBER(SnapshotTable[[#This Row],[Equity Basis Per Share]]),ISNUMBER(SnapshotTable[[#This Row],[Equity Target]])),SnapshotTable[[#This Row],[Equity Target]]-SnapshotTable[[#This Row],[Equity Basis Per Share]],"")</f>
        <v/>
      </c>
      <c r="Y234" s="4" t="str">
        <f>IF(AND(ISNUMBER(SnapshotTable[[#This Row],[Equity Basis Per Share]]),ISNUMBER(SnapshotTable[[#This Row],[Equity Stop Loss]])),SnapshotTable[[#This Row],[Equity Stop Loss]]-SnapshotTable[[#This Row],[Equity Basis Per Share]],"")</f>
        <v/>
      </c>
      <c r="Z234" s="260" t="str">
        <f>IFERROR( TEXT(SnapshotTable[[#This Row],[Equity Max Gain Per Share]] /ABS( SnapshotTable[[#This Row],[Equity Max Loss Per Share]]),"0.0 " ) &amp; " : 1", "")</f>
        <v/>
      </c>
      <c r="AA234" s="31" t="str">
        <f>IF(ISNUMBER(SnapshotTable[[#This Row],[Equity Max Gain Per Share]]),SnapshotTable[[#This Row],[Equity Max Gain Per Share]] * SnapshotTable[[#This Row],[Equity Shares]],"")</f>
        <v/>
      </c>
      <c r="AB234" s="31" t="str">
        <f>IF(ISNUMBER(SnapshotTable[[#This Row],[Equity Max Loss Per Share]]),SnapshotTable[[#This Row],[Equity Max Loss Per Share]] * SnapshotTable[[#This Row],[Equity Shares]],"")</f>
        <v/>
      </c>
      <c r="AC234" s="148">
        <v>0</v>
      </c>
      <c r="AD234" s="149" t="s">
        <v>2</v>
      </c>
      <c r="AE234" s="31">
        <f>(SnapshotTable[[#This Row],[Annual Dividend Per Share]] / 4) * SnapshotTable[[#This Row],[Equity Shares]]</f>
        <v>0</v>
      </c>
      <c r="AF234" s="31">
        <f>SnapshotTable[[#This Row],[Quarterly Div $]] * 4</f>
        <v>0</v>
      </c>
      <c r="AG234" s="7">
        <f>IF(SnapshotTable[[#This Row],[Annual Dividend Per Share]]&gt;0, SnapshotTable[[#This Row],[Annual Dividend Per Share]]  / SnapshotTable[[#This Row],[Last Price]], 0)</f>
        <v>0</v>
      </c>
      <c r="AH234" s="149" t="s">
        <v>2</v>
      </c>
      <c r="AI234" s="5"/>
      <c r="AJ234" s="136" t="s">
        <v>111</v>
      </c>
      <c r="AK234" s="150" t="str">
        <f>IF(ISNUMBER( SnapshotTable[[#This Row],[EBF Target]]),(SnapshotTable[[#This Row],[EBF Target]] - SnapshotTable[[#This Row],[Last Price]]) / SnapshotTable[[#This Row],[Last Price]], "")</f>
        <v/>
      </c>
      <c r="AL234" s="150" t="str">
        <f>IF(AND(SnapshotTable[[#This Row],[Equity Basis Total]] &gt; 0,ISNUMBER( SnapshotTable[[#This Row],[Long Term Target]])), SnapshotTable[[#This Row],[From Basis $]] / SnapshotTable[[#This Row],[Equity Basis Total]], "")</f>
        <v/>
      </c>
      <c r="AM234" s="9">
        <f>IF( AND(SnapshotTable[[#This Row],[Equity Shares]] &gt;0,ISNUMBER( SnapshotTable[[#This Row],[Long Term Target]])),(SnapshotTable[[#This Row],[Equity Shares]] * SnapshotTable[[#This Row],[Long Term Target]]) - SnapshotTable[[#This Row],[Equity Basis Total]],0)</f>
        <v>0</v>
      </c>
      <c r="AN234" s="9">
        <f>IF( AND(SnapshotTable[[#This Row],[Equity Shares]] &gt;0,ISNUMBER( SnapshotTable[[#This Row],[Long Term Target]])),(SnapshotTable[[#This Row],[Equity Shares]]*SnapshotTable[[#This Row],[Long Term Target]]) - SnapshotTable[[#This Row],[Equity Value]],0)</f>
        <v>0</v>
      </c>
      <c r="AO234" s="150" t="str">
        <f>IF(AND(ISNUMBER( SnapshotTable[[#This Row],[Long Term Target]]), ISNUMBER(SnapshotTable[[#This Row],[Last Price]])),(SnapshotTable[[#This Row],[Long Term Target]] - SnapshotTable[[#This Row],[Last Price]]) / SnapshotTable[[#This Row],[Last Price]], "")</f>
        <v/>
      </c>
      <c r="AP234" s="5"/>
      <c r="AQ234" s="38"/>
      <c r="AR234" s="5"/>
      <c r="AS234" s="38"/>
      <c r="AT234" s="144"/>
      <c r="AU234" s="185" t="str">
        <f>IF(OR(SnapshotTable[[#This Row],[LP No Fill]]="Y",SnapshotTable[[#This Row],[SP Is Filled]],SnapshotTable[[#This Row],[LC Not Filled]]="Y",SnapshotTable[[#This Row],[SC Is Filled]]),"Y","")</f>
        <v/>
      </c>
      <c r="AV234" s="205"/>
      <c r="AW234" s="211"/>
      <c r="AX234" s="206"/>
      <c r="AY234" s="205" t="str">
        <f>IF(SnapshotTable[[#This Row],[Implied Move]]&gt;0, SnapshotTable[[#This Row],[Last Price]]-SnapshotTable[[#This Row],[Implied Move]],"")</f>
        <v/>
      </c>
      <c r="AZ234" s="205" t="str">
        <f>IF(SnapshotTable[[#This Row],[Implied Move]]&gt;0, SnapshotTable[[#This Row],[Last Price]] + SnapshotTable[[#This Row],[Implied Move]],"")</f>
        <v/>
      </c>
      <c r="BA234" s="302"/>
      <c r="BB234" s="318"/>
      <c r="BC23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4" s="321"/>
      <c r="BE234" s="5"/>
      <c r="BF234" s="14"/>
      <c r="BG234" s="13"/>
      <c r="BH234" s="13"/>
      <c r="BI234" s="5"/>
      <c r="BJ234" s="134">
        <f>IF(SnapshotTable[[#This Row],[LP Qty]] &gt; 0, SnapshotTable[[#This Row],[LP Qty]] * SnapshotTable[[#This Row],[LP Book Price]] * 100,0)</f>
        <v>0</v>
      </c>
      <c r="BK234" s="134">
        <f>IF(SnapshotTable[[#This Row],[LP Premium]] &gt; 0, SnapshotTable[[#This Row],[LP Qty]] * SnapshotTable[[#This Row],[LP Strike Price]] * 100,0)</f>
        <v>0</v>
      </c>
      <c r="BL234" s="152"/>
      <c r="BM234" s="355" t="str">
        <f>IF(SnapshotTable[[#This Row],[LP Premium]] &gt; 0,SnapshotTable[[#This Row],[LP Exp Date]]-MAX(SnapshotTable[[#This Row],[LP Book Date]], SnapshotTable[[#This Row],[LP Fill Date]]),"")</f>
        <v/>
      </c>
      <c r="BN234" s="355" t="str">
        <f>IF(ISNUMBER( SnapshotTable[[#This Row],[LP Term]]), SnapshotTable[[#This Row],[LP Exp Date]] - MockToday,"")</f>
        <v/>
      </c>
      <c r="BO234" s="161" t="str">
        <f>IF(AND(SnapshotTable[[#This Row],[LP Exp Date]]&gt;0, SnapshotTable[[#This Row],[LP Strike Price]]&gt;0,SnapshotTable[[#This Row],[LP Qty]]&gt;0,SnapshotTable[[#This Row],[LP Book Date]]&gt;0,SnapshotTable[[#This Row],[LP Book Price]]&gt;0,SnapshotTable[[#This Row],[LP Fill Date]]=0),"Y","")</f>
        <v/>
      </c>
      <c r="BP234" s="31" t="str">
        <f>IF(AND(SnapshotTable[[#This Row],[LP No Fill]]&lt;&gt;"Y",SnapshotTable[[#This Row],[LP Contract Value]]&gt;0, SnapshotTable[[#This Row],[LP Qty]]&gt;0), SnapshotTable[[#This Row],[LP Contract Value]]*SnapshotTable[[#This Row],[LP Qty]]*100,"")</f>
        <v/>
      </c>
      <c r="BQ234" s="13"/>
      <c r="BR234" s="5"/>
      <c r="BS234" s="36"/>
      <c r="BT234" s="145"/>
      <c r="BU234" s="13"/>
      <c r="BV234" s="5"/>
      <c r="BW234" s="382" t="b">
        <f>AND(ISNUMBER(SnapshotTable[[#This Row],[SP Exp Date]]), ISNUMBER(SnapshotTable[[#This Row],[SP Strike Price]]), ISNUMBER(SnapshotTable[[#This Row],[SP Qty]]), ISNUMBER(SnapshotTable[[#This Row],[SP Book Date]]), ISNUMBER(SnapshotTable[[#This Row],[SP Book Price]]))</f>
        <v>0</v>
      </c>
      <c r="BX234" s="382" t="b">
        <f>AND(SnapshotTable[[#This Row],[SP Is Booked]], NOT(ISBLANK(SnapshotTable[[#This Row],[SP Fill Date]])))</f>
        <v>0</v>
      </c>
      <c r="BY234" s="33">
        <f>IF(SnapshotTable[[#This Row],[SP Is Booked]], SnapshotTable[[#This Row],[SP Qty]] * SnapshotTable[[#This Row],[SP Book Price]] * 100, 0)</f>
        <v>0</v>
      </c>
      <c r="BZ234" s="339"/>
      <c r="CA234" s="338">
        <f>SnapshotTable[[#This Row],[LP Qty]]</f>
        <v>0</v>
      </c>
      <c r="CB234" s="4" t="str">
        <f>IF(SnapshotTable[[#This Row],[SP Is Booked]], SnapshotTable[[#This Row],[SP Strike Price]] - SnapshotTable[[#This Row],[SP Book Price]], "")</f>
        <v/>
      </c>
      <c r="CC234" s="19" t="str">
        <f>IF(SnapshotTable[[#This Row],[SP Is Booked]],SnapshotTable[[#This Row],[SP Exp Date]]-MAX(SnapshotTable[[#This Row],[SP Book Date]], SnapshotTable[[#This Row],[SP Fill Date]]),"")</f>
        <v/>
      </c>
      <c r="CD234" s="7" t="str">
        <f>IF(SnapshotTable[[#This Row],[SP Is Booked]], SnapshotTable[[#This Row],[SP Book Price]]/SnapshotTable[[#This Row],[SP Strike Price]], "")</f>
        <v/>
      </c>
      <c r="CE234" s="7" t="str">
        <f>IF(ISNUMBER(SnapshotTable[[#This Row],[SP ROO Term]]),SnapshotTable[[#This Row],[SP ROO Term]]*(365/SnapshotTable[[#This Row],[SP Term]]),"")</f>
        <v/>
      </c>
      <c r="CF234" s="221">
        <f>SnapshotTable[[#This Row],[LP Strike Price]] * SnapshotTable[[#This Row],[LP Qty]] * 100</f>
        <v>0</v>
      </c>
      <c r="CG234" s="31">
        <f>IF(ISNUMBER(SnapshotTable[[#This Row],[SP Premium]]), (SnapshotTable[[#This Row],[SP Qty]] * SnapshotTable[[#This Row],[SP Strike Price]]* 100) - SnapshotTable[[#This Row],[LP Protection]], 0)</f>
        <v>0</v>
      </c>
      <c r="CH234" s="7" t="str">
        <f>IF(ISNUMBER(SnapshotTable[[#This Row],[SP Break Even]]),-1 * (SnapshotTable[[#This Row],[SP Break Even]] - SnapshotTable[[#This Row],[Last Price]]) / SnapshotTable[[#This Row],[Last Price]], "")</f>
        <v/>
      </c>
      <c r="CI234" s="31">
        <f>IF(AND(ISNUMBER((SnapshotTable[[#This Row],[SP Potential Spend]])), SnapshotTable[[#This Row],[SP Strike Price]] &gt; SnapshotTable[[#This Row],[Last Price]], SnapshotTable[[#This Row],[SP Is Filled]]), SnapshotTable[[#This Row],[SP Potential Spend]] -  SnapshotTable[[#This Row],[LP Max Value]], 0)</f>
        <v>0</v>
      </c>
      <c r="CJ234" s="229"/>
      <c r="CK234" s="31">
        <f>IF(ISNUMBER(SnapshotTable[[#This Row],[SP Potential Spend]]),IF(ISNUMBER(SnapshotTable[[#This Row],[SP POW]]), SnapshotTable[[#This Row],[SP POW]] * SnapshotTable[[#This Row],[SP Potential Spend]], SnapshotTable[[#This Row],[SP Potential Spend]]), "")</f>
        <v>0</v>
      </c>
      <c r="CL234" s="162">
        <f>IF(NOT(SnapshotTable[[#This Row],[SP Is Filled]]),(SnapshotTable[[#This Row],[SP Qty]] * SnapshotTable[[#This Row],[SP Strike Price]] * 100) - SnapshotTable[[#This Row],[LP Max Value]],"")</f>
        <v>0</v>
      </c>
      <c r="CM234" s="31" t="str">
        <f>IF(SnapshotTable[[#This Row],[SP Actual Spend]]&lt;&gt;0, ((SnapshotTable[[#This Row],[SP Strike Price]]-SnapshotTable[[#This Row],[Last Price]]) *(SnapshotTable[[#This Row],[SP Qty]]*100) - SnapshotTable[[#This Row],[SP Premium]]) * - 1, "")</f>
        <v/>
      </c>
      <c r="CN234" s="76"/>
      <c r="CO234" s="339"/>
      <c r="CP234" s="4" t="str">
        <f>IF(SnapshotTable[[#This Row],[SP Is Filled]], btc_max_buyback_amount(SnapshotTable[[#This Row],[SP Fill Date]],SnapshotTable[[#This Row],[SP Exp Date]], SnapshotTable[[#This Row],[SP Book Price]]),"")</f>
        <v/>
      </c>
      <c r="CQ234" s="76"/>
      <c r="CR23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4" s="153" t="str">
        <f>IF(SnapshotTable[[#This Row],[SP Is Filled]], btc_next_cutoff_date(SnapshotTable[[#This Row],[SP Fill Date]],SnapshotTable[[#This Row],[SP Exp Date]]),"")</f>
        <v/>
      </c>
      <c r="CT234" s="220" t="str" cm="1">
        <f t="array" ref="CT234">IF(SnapshotTable[[#This Row],[SP Is Filled]], btc_should_buy_back(SnapshotTable[[#This Row],[SP Fill Date]], SnapshotTable[[#This Row],[SP Exp Date]], SnapshotTable[[#This Row],[SP Book Price]], SnapshotTable[[#This Row],[SP Current Ask]], MockToday, SnapshotTable[[#This Row],[SP Buyback Override]]),"")</f>
        <v/>
      </c>
      <c r="CU234" s="141"/>
      <c r="CV234" s="220"/>
      <c r="CW234" s="348" t="str">
        <f>IF(ISNUMBER( SnapshotTable[[#This Row],[SP Term]]), SnapshotTable[[#This Row],[SP Exp Date]] - MockToday,"")</f>
        <v/>
      </c>
      <c r="CX234" s="31" t="str">
        <f>IF(SnapshotTable[[#This Row],[SP Is Filled]],SnapshotTable[[#This Row],[SP Buyback Price to Use]] * 100 * SnapshotTable[[#This Row],[SP Qty]], "")</f>
        <v/>
      </c>
      <c r="CY234" s="4" t="str">
        <f>IF(ISNUMBER(SnapshotTable[[#This Row],[SP Strike Price]]), SnapshotTable[[#This Row],[SP Strike Price]] * (1 - SP_MaxLoss_StrikePct), "")</f>
        <v/>
      </c>
      <c r="CZ234" s="31" t="str">
        <f>IF(ISNUMBER(SnapshotTable[[#This Row],[SP Strike  Stop Per Share]]),SnapshotTable[[#This Row],[SP Premium]] - ((SnapshotTable[[#This Row],[SP Strike Price]]-SnapshotTable[[#This Row],[SP Strike  Stop Per Share]]) *(SnapshotTable[[#This Row],[SP Qty]] * 100)),"")</f>
        <v/>
      </c>
      <c r="DA234" s="4" t="str">
        <f>IF(AND(ISNUMBER(SnapshotTable[[#This Row],[SP Premium]]),SnapshotTable[[#This Row],[SP Premium]]&gt;0), SnapshotTable[[#This Row],[SP Book Price]] * (1 + SP_MaxLoss_OptionPct), "")</f>
        <v/>
      </c>
      <c r="DB234" s="31" t="str">
        <f>IF(ISNUMBER(SnapshotTable[[#This Row],[SP Option  Stop Contract]]),(SnapshotTable[[#This Row],[SP Option  Stop Contract]] *(SnapshotTable[[#This Row],[SP Qty]] * 100) - SnapshotTable[[#This Row],[SP Premium]]),"")</f>
        <v/>
      </c>
      <c r="DC234" s="4"/>
      <c r="DD234" s="4"/>
      <c r="DE234" s="4" t="str">
        <f>IF(AND(SnapshotTable[[#This Row],[SP Qty]]&gt;0, SnapshotTable[[#This Row],[SP Stop To Use]]&gt;0),SnapshotTable[[#This Row],[SP Premium]] - ( SnapshotTable[[#This Row],[SP Qty]] * SnapshotTable[[#This Row],[SP Stop To Use]] * 100), "")</f>
        <v/>
      </c>
      <c r="DF234" s="31" t="str">
        <f>IF(AND(SnapshotTable[[#This Row],[SP Qty]]&gt;0,SnapshotTable[[#This Row],[SP Current Ask]]&gt;0), SnapshotTable[[#This Row],[SP Qty]] * SnapshotTable[[#This Row],[SP Current Ask]] * -100, "")</f>
        <v/>
      </c>
      <c r="DG234" s="31" t="str">
        <f>IF(ISNUMBER((SnapshotTable[[#This Row],[SP Total Value]])), SnapshotTable[[#This Row],[SP Premium]] + SnapshotTable[[#This Row],[SP Total Value]], "")</f>
        <v/>
      </c>
      <c r="DH234" s="272" t="str">
        <f>IF(ISNUMBER((SnapshotTable[[#This Row],[SP Total Value]])), SnapshotTable[[#This Row],[SP Gain Loss]] / SnapshotTable[[#This Row],[SP Premium]], "")</f>
        <v/>
      </c>
      <c r="DI234" s="369"/>
      <c r="DJ234" s="136"/>
      <c r="DK234" s="146"/>
      <c r="DL234" s="13"/>
      <c r="DM234" s="13"/>
      <c r="DO234" s="31">
        <f>IF(SnapshotTable[[#This Row],[LC Symbol Count]]=1, SnapshotTable[[#This Row],[LC Qty]] * SnapshotTable[[#This Row],[LC Book Price]] * 100, 0)</f>
        <v>0</v>
      </c>
      <c r="DP234" s="161" t="str">
        <f>IF(AND(SnapshotTable[[#This Row],[LC Exp Date]]&gt;0, SnapshotTable[[#This Row],[LC Strike Price]]&gt;0,SnapshotTable[[#This Row],[LC Qty]]&gt;0,SnapshotTable[[#This Row],[LC Book Date]]&gt;0,SnapshotTable[[#This Row],[LC Book Price]]&gt;0,SnapshotTable[[#This Row],[LC Fill Date]]=0),"Y","")</f>
        <v/>
      </c>
      <c r="DQ234" s="356" t="str">
        <f>IF(SnapshotTable[[#This Row],[LC Premium]] &gt; 0,SnapshotTable[[#This Row],[LC Exp Date]]-MAX(SnapshotTable[[#This Row],[LC Book Date]], SnapshotTable[[#This Row],[LC Fill Date]]),"")</f>
        <v/>
      </c>
      <c r="DR234" s="356" t="str">
        <f>IF(ISNUMBER(SnapshotTable[[#This Row],[LC Term]]), SnapshotTable[[#This Row],[LC Exp Date]] - MockToday, "")</f>
        <v/>
      </c>
      <c r="DS234" s="219" t="str">
        <f>IF(SnapshotTable[[#This Row],[LC Premium]]&gt;0,SnapshotTable[[#This Row],[LC Strike Price]] + SnapshotTable[[#This Row],[LC Book Price]],"")</f>
        <v/>
      </c>
      <c r="DU234" s="9" t="str">
        <f>IF(AND(SnapshotTable[[#This Row],[LC Symbol Count]]&gt;0, SnapshotTable[[#This Row],[LC Contract Value]]&gt;0), SnapshotTable[[#This Row],[LC Contract Value]] * SnapshotTable[[#This Row],[LC Qty]] * 100, "")</f>
        <v/>
      </c>
      <c r="DV234" s="9" t="str">
        <f>IF(AND(ISNUMBER(SnapshotTable[[#This Row],[LC Total Value]]), SnapshotTable[[#This Row],[LC Not Filled]]&lt;&gt;"Y"), SnapshotTable[[#This Row],[LC Total Value]]-SnapshotTable[[#This Row],[LC Premium]],"")</f>
        <v/>
      </c>
      <c r="DW234" s="225" t="str">
        <f>IF(ISNUMBER(SnapshotTable[[#This Row],[LC Actual Gain Loss]]), SnapshotTable[[#This Row],[LC Actual Gain Loss]] / SnapshotTable[[#This Row],[LC Premium]],"")</f>
        <v/>
      </c>
      <c r="DX234" s="269" t="str">
        <f>IF(ISNUMBER(SnapshotTable[[#This Row],[LC Book Price]]),SnapshotTable[[#This Row],[LC Book Price]] * 1.5,"")</f>
        <v/>
      </c>
      <c r="DY234" s="250" t="str">
        <f>IF(SnapshotTable[[#This Row],[LC Premium]]&gt;0, SnapshotTable[[#This Row],[LC Next Target]] * SnapshotTable[[#This Row],[LC Qty]] * 100,"")</f>
        <v/>
      </c>
      <c r="DZ234" s="250" t="str">
        <f>IF(ISNUMBER(SnapshotTable[[#This Row],[LC Target Gross]]), SnapshotTable[[#This Row],[LC Target Gross]] - SnapshotTable[[#This Row],[LC Premium]], "")</f>
        <v/>
      </c>
      <c r="EA234" s="283" t="str">
        <f>IF(ISNUMBER(SnapshotTable[[#This Row],[LC Target Gain Loss]]), SnapshotTable[[#This Row],[LC Target Gain Loss]]/SnapshotTable[[#This Row],[LC Premium]], "")</f>
        <v/>
      </c>
      <c r="EB234" s="247"/>
      <c r="EC234" s="268" t="str">
        <f>IF(SnapshotTable[[#This Row],[LC Premium]]&gt;0, SnapshotTable[[#This Row],[LC Book Price]] * (1 - LC_StopLoss_Pct),"")</f>
        <v/>
      </c>
      <c r="ED234" s="269"/>
      <c r="EE234" s="268" t="str">
        <f>IF(ISNUMBER(SnapshotTable[[#This Row],[LC Contract Value]]),IF(ISNUMBER(SnapshotTable[[#This Row],[LC Stop Loss Override]]), SnapshotTable[[#This Row],[LC Stop Loss Override]],SnapshotTable[[#This Row],[LC Stop Loss Calc Target]]),"")</f>
        <v/>
      </c>
      <c r="EF234" s="31" t="str">
        <f>IF(ISNUMBER(SnapshotTable[[#This Row],[LC Stop  To Use]]), (SnapshotTable[[#This Row],[LC Stop  To Use]] * SnapshotTable[[#This Row],[LC Qty]] * 100),"")</f>
        <v/>
      </c>
      <c r="EG234" s="9" t="str">
        <f>IF(ISNUMBER(SnapshotTable[[#This Row],[LC Total Value]]),SnapshotTable[[#This Row],[LC Stop Loss Amount]] - SnapshotTable[[#This Row],[LC Premium]],"")</f>
        <v/>
      </c>
      <c r="EH234" s="9">
        <f>IF(ISNUMBER(SnapshotTable[[#This Row],[LC Premium]]), SnapshotTable[[#This Row],[LC Qty]] * 100 * SnapshotTable[[#This Row],[LC Strike Price]], "")</f>
        <v>0</v>
      </c>
      <c r="EI234" s="225" t="str">
        <f>IF(AND(ISNUMBER(SnapshotTable[[#This Row],[LC Total Value]]),SnapshotTable[[#This Row],[LC Total Value]]&gt;0),SnapshotTable[[#This Row],[LC Stop Gain Loss]]  / SnapshotTable[[#This Row],[LC Premium]],"")</f>
        <v/>
      </c>
      <c r="EJ234" s="35">
        <f>IF(ISNUMBER(SnapshotTable[[#This Row],[Equity Shares]]),TRUNC(SnapshotTable[[#This Row],[Equity Shares]] / 100),0) + SnapshotTable[[#This Row],[LC Qty]]</f>
        <v>0</v>
      </c>
      <c r="EK234" s="145"/>
      <c r="EL234" s="136"/>
      <c r="EM234" s="146"/>
      <c r="EN234" s="145"/>
      <c r="EO234" s="145"/>
      <c r="EP234" s="136"/>
      <c r="EQ234" s="382" t="b">
        <f>AND(ISNUMBER(SnapshotTable[[#This Row],[SC Exp Date]]), ISNUMBER(SnapshotTable[[#This Row],[SC Strike Price]]), ISNUMBER(SnapshotTable[[#This Row],[SC Qty]]), ISNUMBER(SnapshotTable[[#This Row],[SC Book Date]]), ISNUMBER(SnapshotTable[[#This Row],[SC Book Price]]))</f>
        <v>0</v>
      </c>
      <c r="ER234" s="382" t="b">
        <f>AND(SnapshotTable[[#This Row],[SC Is Booked]], NOT(ISBLANK(SnapshotTable[[#This Row],[SC Fill Date]])))</f>
        <v>0</v>
      </c>
      <c r="ES234" s="340"/>
      <c r="ET234" s="34" t="str">
        <f>IF(AND(ISNUMBER(SnapshotTable[[#This Row],[SC Exp Date]]), ISNUMBER(SnapshotTable[[#This Row],[SC Book Date]])), SnapshotTable[[#This Row],[SC Exp Date]] - MAX(SnapshotTable[[#This Row],[SC Book Date]], SnapshotTable[[#This Row],[SC Fill Date]]) + 1, "")</f>
        <v/>
      </c>
      <c r="EU234" s="34" t="str">
        <f>IF(ISNUMBER(SnapshotTable[[#This Row],[SC Term]]), SnapshotTable[[#This Row],[SC Exp Date]]- MockToday, "")</f>
        <v/>
      </c>
      <c r="EV234" s="31">
        <f>IF(SnapshotTable[[#This Row],[SC Is Booked]], SnapshotTable[[#This Row],[SC Qty]] * SnapshotTable[[#This Row],[SC Book Price]] * 100, 0)</f>
        <v>0</v>
      </c>
      <c r="EW234" s="4" t="str">
        <f>IF(AND(ISNUMBER(SnapshotTable[[#This Row],[Last Price]]), ISNUMBER( SnapshotTable[[#This Row],[SC Book Price]])), SnapshotTable[[#This Row],[Last Price]] - SnapshotTable[[#This Row],[SC Book Price]],"")</f>
        <v/>
      </c>
      <c r="EX234" s="219" t="str">
        <f>IF(SnapshotTable[[#This Row],[SC Is Booked]],IF(SnapshotTable[[#This Row],[SC Intrinsic Value]] &gt; 0, SnapshotTable[[#This Row],[SC Strike Price]], SnapshotTable[[#This Row],[Last Price]]), "")</f>
        <v/>
      </c>
      <c r="EY234" s="4">
        <f>IF(SnapshotTable[[#This Row],[SC Is Booked]], (MinimumPremiumRequired * SnapshotTable[[#This Row],[SC Basis]] * SnapshotTable[[#This Row],[SC Term]]), 0)</f>
        <v>0</v>
      </c>
      <c r="EZ234" s="268"/>
      <c r="FA234" s="204"/>
      <c r="FB234" s="340"/>
      <c r="FC234" s="4">
        <f>IF(SnapshotTable[[#This Row],[SC Is Filled]], btc_max_buyback_amount(SnapshotTable[[#This Row],[SC Fill Date]],SnapshotTable[[#This Row],[SC Exp Date]], SnapshotTable[[#This Row],[SC Book Price]]),0)</f>
        <v>0</v>
      </c>
      <c r="FD234" s="5">
        <v>0.8</v>
      </c>
      <c r="FE234" s="142" t="str">
        <f>IF(SnapshotTable[[#This Row],[SC Is Filled]], btc_next_cutoff_date(SnapshotTable[[#This Row],[SC Fill Date]],SnapshotTable[[#This Row],[SC Exp Date]]),"")</f>
        <v/>
      </c>
      <c r="FF234" s="4" t="str" cm="1">
        <f t="array" ref="FF234">IF(SnapshotTable[[#This Row],[SC Is Filled]], btc_should_buy_back(SnapshotTable[[#This Row],[SC Fill Date]], SnapshotTable[[#This Row],[SC Exp Date]], SnapshotTable[[#This Row],[SC Book Price]], SnapshotTable[[#This Row],[SC Current Ask]], MockToday, SnapshotTable[[#This Row],[SC Buyback Override]]),"")</f>
        <v/>
      </c>
      <c r="FG234" s="4">
        <f>IF(SnapshotTable[[#This Row],[SC Is Filled]], MAX(0,SnapshotTable[[#This Row],[Last Price]]  - SnapshotTable[[#This Row],[SC Strike Price]]), 0)</f>
        <v>0</v>
      </c>
      <c r="FH234" s="352">
        <f>IF(SnapshotTable[[#This Row],[SC Is Filled]], IF(ISNUMBER(SnapshotTable[[#This Row],[SC Current Ask]]), SnapshotTable[[#This Row],[SC Current Ask]], SnapshotTable[[#This Row],[SC Book Price]]) - SnapshotTable[[#This Row],[SC Intrinsic Value]], 0)</f>
        <v>0</v>
      </c>
      <c r="FI234" s="141"/>
      <c r="FJ234" s="32" t="str">
        <f>IF(SnapshotTable[[#This Row],[SC Is Filled]],100 * SnapshotTable[[#This Row],[SC Qty]] * IF(ISNUMBER(SnapshotTable[[#This Row],[SC Buyback Override]]), SnapshotTable[[#This Row],[SC Buyback Override]], SnapshotTable[[#This Row],[SC Current Ask]]), "")</f>
        <v/>
      </c>
      <c r="FK234" s="235" t="str">
        <f>IF(SnapshotTable[[#This Row],[SC Time Val]]&gt;0, SnapshotTable[[#This Row],[SC Time Val]] / SnapshotTable[[#This Row],[Last Price]],"")</f>
        <v/>
      </c>
      <c r="FL234" s="280" t="str">
        <f>IF(SnapshotTable[[#This Row],[SC Is Booked]], ((SnapshotTable[[#This Row],[Last Price]] -SnapshotTable[[#This Row],[SC Strike Price]]) / SnapshotTable[[#This Row],[Last Price]]) * -1, "")</f>
        <v/>
      </c>
      <c r="FM234" s="155" t="str">
        <f>IF(SnapshotTable[[#This Row],[SC Is Booked]],  (SnapshotTable[[#This Row],[SC Qty]] * 100 * SnapshotTable[[#This Row],[SC Strike Price]]) - SnapshotTable[[#This Row],[SC Current Ask]], "")</f>
        <v/>
      </c>
      <c r="FN23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4" s="31" t="str">
        <f>IF(AND(ISNUMBER(SnapshotTable[[#This Row],[SC Exercise Gross]]), ISNUMBER(SnapshotTable[[#This Row],[Equity Basis Per Share]] )), SnapshotTable[[#This Row],[SC Exercise Gross]] - SnapshotTable[[#This Row],[Equity Basis Total]] +  SnapshotTable[[#This Row],[SC Premium]], "")</f>
        <v/>
      </c>
      <c r="FP234" s="5" t="str">
        <f>IF(ISNUMBER(SnapshotTable[[#This Row],[SC Exercise Gross]]), (SnapshotTable[[#This Row],[SC Exercise Gross]]) / (SnapshotTable[[#This Row],[SC Qty]] * 100), "")</f>
        <v/>
      </c>
      <c r="FQ234" s="27" t="str">
        <f>IF(SnapshotTable[[#This Row],[SC Is Booked]],SnapshotTable[[#This Row],[SC Time Val]] /SnapshotTable[[#This Row],[SC Basis]], "")</f>
        <v/>
      </c>
      <c r="FR234" s="27" t="str" cm="1">
        <f t="array" ref="FR234">IF(AND(ISNUMBER(SnapshotTable[[#This Row],[SC Term]]),ISNUMBER(SnapshotTable[[#This Row],[SC Simple ROO]])), EllmanAnnualize(SnapshotTable[[#This Row],[SC DTE]], SnapshotTable[[#This Row],[SC Simple ROO]] ),"")</f>
        <v/>
      </c>
      <c r="FS234" s="4">
        <f>IF(SnapshotTable[[#This Row],[SC Strike Price]] &gt; SnapshotTable[[#This Row],[Last Price]], SnapshotTable[[#This Row],[SC Strike Price]] - SnapshotTable[[#This Row],[Last Price]],0)</f>
        <v>0</v>
      </c>
      <c r="FT234" s="27" t="str">
        <f>IF(AND(ISNUMBER(SnapshotTable[[#This Row],[SC Upside Potential]]), SnapshotTable[[#This Row],[SC Upside Potential]] &gt; 0),(SnapshotTable[[#This Row],[SC Upside Potential]]/ SnapshotTable[[#This Row],[ACB]]),"")</f>
        <v/>
      </c>
      <c r="FU234" s="304" t="str">
        <f>IF(SnapshotTable[[#This Row],[SC Intrinsic Value]] &gt; 0,SnapshotTable[[#This Row],[SC Intrinsic Value]],"")</f>
        <v/>
      </c>
      <c r="FV234" s="27" t="str">
        <f>IF(AND( ISNUMBER( SnapshotTable[[#This Row],[ACB]]),ISNUMBER(SnapshotTable[[#This Row],[SC Downside Protect]])),SnapshotTable[[#This Row],[SC Downside Protect]] / SnapshotTable[[#This Row],[ACB]],"")</f>
        <v/>
      </c>
      <c r="FW234" s="221" t="str">
        <f>IF(AND(ISNUMBER(SnapshotTable[[#This Row],[SC Simple ROO]]),SnapshotTable[[#This Row],[SC Simple ROO]] &gt; 0), SnapshotTable[[#This Row],[SC Premium]] + (SnapshotTable[[#This Row],[SC Qty]] * SnapshotTable[[#This Row],[SC Upside Potential]]), "")</f>
        <v/>
      </c>
      <c r="FX234" s="280" t="str" cm="1">
        <f t="array" ref="FX234">IF(ISNUMBER(SnapshotTable[[#This Row],[SC Max Dollars]]), annualize(SnapshotTable[[#This Row],[SC Term]],(SnapshotTable[[#This Row],[SC Max Dollars]]/SnapshotTable[[#This Row],[SC Basis]])),"")</f>
        <v/>
      </c>
      <c r="FY234" s="221" t="str">
        <f>IF(AND(SnapshotTable[[#This Row],[SC Qty]]&gt;0,SnapshotTable[[#This Row],[SC Current Ask]]&gt;0), SnapshotTable[[#This Row],[SC Qty]] * SnapshotTable[[#This Row],[SC Current Ask]] * -100, "")</f>
        <v/>
      </c>
      <c r="FZ234" s="31" t="str">
        <f>IF(ISNUMBER((SnapshotTable[[#This Row],[SC Current Value]])), SnapshotTable[[#This Row],[SC Premium]] + SnapshotTable[[#This Row],[SC Current Value]], "")</f>
        <v/>
      </c>
      <c r="GA234" s="272" t="str">
        <f>IFERROR( IF(ISNUMBER((SnapshotTable[[#This Row],[SC Current Value]])), SnapshotTable[[#This Row],[SC Gain Loss]] / SnapshotTable[[#This Row],[SC Premium]], ""), "")</f>
        <v/>
      </c>
      <c r="GB234" s="42">
        <f>SnapshotTable[[#This Row],[Equity Shares]] * SaleSharesToConsiderPercentage</f>
        <v>0</v>
      </c>
      <c r="GC234" s="40" t="e">
        <f>SnapshotTable[[#This Row],[Long Term Target]] * SellingPriceToConsiderBasedOnTargetPercentage</f>
        <v>#VALUE!</v>
      </c>
      <c r="GD234" s="40">
        <f>SnapshotTable[[#This Row],[Last Price]] * (1+ SellingPriceToConsiderBasedOnTargetPercentage)</f>
        <v>173.04299999999998</v>
      </c>
      <c r="GE234" s="41"/>
      <c r="GF234" s="40"/>
      <c r="GG234" s="31">
        <f>SnapshotTable[[#This Row],[Booked Sale Shares]] * SnapshotTable[[#This Row],[Booked Sale Price]]</f>
        <v>0</v>
      </c>
      <c r="GH234" s="31" t="str">
        <f>IF(SnapshotTable[[#This Row],[Equity Basis Total]] &gt; 0, SnapshotTable[[#This Row],[Equity Basis Per Share]] * SnapshotTable[[#This Row],[Booked Sale Shares]], "")</f>
        <v/>
      </c>
      <c r="GI234" s="31">
        <f>IF(SnapshotTable[[#This Row],[Sale Proceeds]]&gt;0, SnapshotTable[[#This Row],[Sale Proceeds]] - SnapshotTable[[#This Row],[Sale Basis]], 0)</f>
        <v>0</v>
      </c>
      <c r="GJ234" s="27" t="str">
        <f>IF(SnapshotTable[[#This Row],[Sale G/L]]&gt;0, SnapshotTable[[#This Row],[Sale G/L]] / SnapshotTable[[#This Row],[Sale Basis]], IF(ISNUMBER(SnapshotTable[[#This Row],[SC Exercise P&amp;L (TAX)]]), SnapshotTable[[#This Row],[SC Exercise P&amp;L (TAX)]] / SnapshotTable[[#This Row],[SC Basis]], ""))</f>
        <v/>
      </c>
      <c r="GK234" s="27" t="s">
        <v>620</v>
      </c>
      <c r="GL234" s="43" t="str">
        <f>IF(AND(SnapshotTable[[#This Row],[LP Exp Date]]&gt;0,SnapshotTable[[#This Row],[LP Strike Price]]&gt;0), [1]!ToOptionSymbol(SnapshotTable[[#This Row],[Symbol]], SnapshotTable[[#This Row],[LP Strike Price]],SnapshotTable[[#This Row],[LP Exp Date]],1), "")</f>
        <v/>
      </c>
      <c r="GM234" s="30" t="str">
        <f>IF(LEN(SnapshotTable[[#This Row],[LP Symbol]])&gt;0, 1, "")</f>
        <v/>
      </c>
      <c r="GN234" s="43" t="str">
        <f>IF(AND(SnapshotTable[[#This Row],[SP Exp Date]]&gt;0,SnapshotTable[[#This Row],[SP Strike Price]]&gt;0), [1]!ToOptionSymbol(SnapshotTable[[#This Row],[Symbol]], SnapshotTable[[#This Row],[SP Strike Price]],SnapshotTable[[#This Row],[SP Exp Date]],1), "")</f>
        <v/>
      </c>
      <c r="GO234" s="30" t="str">
        <f>IF(LEN(SnapshotTable[[#This Row],[SP Symbol]])&gt;0, 1, "")</f>
        <v/>
      </c>
      <c r="GP234" s="43" t="str">
        <f>IF(AND(SnapshotTable[[#This Row],[LC Exp Date]]&gt;0,SnapshotTable[[#This Row],[LC Strike Price]]&gt;0), [1]!ToOptionSymbol(SnapshotTable[[#This Row],[Symbol]], SnapshotTable[[#This Row],[LC Strike Price]],SnapshotTable[[#This Row],[LC Exp Date]],0), "")</f>
        <v/>
      </c>
      <c r="GQ234" s="30" t="str">
        <f>IF(LEN(SnapshotTable[[#This Row],[LC Symbol]])&gt;0, 1, "")</f>
        <v/>
      </c>
      <c r="GR234" s="43" t="str">
        <f>IF(AND(SnapshotTable[[#This Row],[SC Exp Date]]&gt;0,SnapshotTable[[#This Row],[SC Strike Price]]&gt;0), [1]!ToOptionSymbol(SnapshotTable[[#This Row],[Symbol]], SnapshotTable[[#This Row],[SC Strike Price]],SnapshotTable[[#This Row],[SC Exp Date]],0), "")</f>
        <v/>
      </c>
      <c r="GS234" s="30" t="str">
        <f>IF(LEN(SnapshotTable[[#This Row],[SC Symbol]])&gt;0, 1, "")</f>
        <v/>
      </c>
      <c r="GT234" s="29" t="str">
        <f>IF(COUNT(SnapshotTable[[#This Row],[LP Symbol Count]],SnapshotTable[[#This Row],[SP Symbol Count]],SnapshotTable[[#This Row],[LC Symbol Count]],SnapshotTable[[#This Row],[SC Symbol Count]])&gt;0, "Y", "")</f>
        <v/>
      </c>
      <c r="GU23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4" s="216">
        <f>MAX(SnapshotTable[[#This Row],[Equity Basis Total]],SnapshotTable[[#This Row],[Equity Value]]) + (SnapshotTable[[#This Row],[SP Potential Spend]]- SnapshotTable[[#This Row],[SP Premium]] + SnapshotTable[[#This Row],[LP Premium]])+ (SnapshotTable[[#This Row],[LC Premium]] - SnapshotTable[[#This Row],[SC Premium]])</f>
        <v>0</v>
      </c>
      <c r="GW234" s="137" t="str">
        <f>IF(AND(SnapshotTable[[#This Row],[Exposure]] &lt;&gt; 0),SnapshotTable[[#This Row],[Exposure]] / SnapshotTable[[#Totals],[Exposure]], "")</f>
        <v/>
      </c>
      <c r="GX234" s="2"/>
      <c r="GY234" s="357"/>
      <c r="GZ234"/>
      <c r="HA234" s="2"/>
      <c r="HB234" s="2"/>
      <c r="HK234" s="1"/>
      <c r="HL234" s="1"/>
      <c r="HM234" s="1"/>
      <c r="HN234" s="1"/>
      <c r="HO234" s="1"/>
      <c r="HP234" s="1"/>
    </row>
    <row r="235" spans="2:224" ht="12.75" hidden="1" customHeight="1" x14ac:dyDescent="0.25">
      <c r="B235" s="12" t="s">
        <v>782</v>
      </c>
      <c r="C235" s="385">
        <v>24.81</v>
      </c>
      <c r="D235" s="200"/>
      <c r="E235" s="39">
        <f>SnapshotTable[[#This Row],[Last Price]]*(1 -CrashDiscount)</f>
        <v>21.0885</v>
      </c>
      <c r="F235" s="26" t="s">
        <v>491</v>
      </c>
      <c r="G235" s="26" t="s">
        <v>490</v>
      </c>
      <c r="H235" s="147"/>
      <c r="I235" s="186">
        <v>44777.670138888891</v>
      </c>
      <c r="J235" s="187">
        <v>44777.670138888891</v>
      </c>
      <c r="K235" s="188"/>
      <c r="L235" s="297"/>
      <c r="M235" s="138"/>
      <c r="N235" s="138"/>
      <c r="O235" s="138"/>
      <c r="P235" s="22"/>
      <c r="Q235" s="25"/>
      <c r="R235" s="4" t="str">
        <f>IF(SnapshotTable[[#This Row],[Equity Basis Total]] &gt; 0, SnapshotTable[[#This Row],[Equity Basis Total]] / SnapshotTable[[#This Row],[Equity Shares]], "")</f>
        <v/>
      </c>
      <c r="S235" s="254">
        <f>SnapshotTable[[#This Row],[Last Price]] * SnapshotTable[[#This Row],[Equity Shares]]</f>
        <v>0</v>
      </c>
      <c r="T235" s="254">
        <f>SnapshotTable[[#This Row],[Equity Value]] - SnapshotTable[[#This Row],[Equity Basis Total]]</f>
        <v>0</v>
      </c>
      <c r="U235" s="255" t="str">
        <f>IF(SnapshotTable[[#This Row],[Equity Basis Total]] &gt; 0, SnapshotTable[[#This Row],[Equity G/L]] / SnapshotTable[[#This Row],[Equity Basis Total]], "")</f>
        <v/>
      </c>
      <c r="V235" s="253"/>
      <c r="W235" s="253"/>
      <c r="X235" s="4" t="str">
        <f>IF(AND(ISNUMBER(SnapshotTable[[#This Row],[Equity Basis Per Share]]),ISNUMBER(SnapshotTable[[#This Row],[Equity Target]])),SnapshotTable[[#This Row],[Equity Target]]-SnapshotTable[[#This Row],[Equity Basis Per Share]],"")</f>
        <v/>
      </c>
      <c r="Y235" s="4" t="str">
        <f>IF(AND(ISNUMBER(SnapshotTable[[#This Row],[Equity Basis Per Share]]),ISNUMBER(SnapshotTable[[#This Row],[Equity Stop Loss]])),SnapshotTable[[#This Row],[Equity Stop Loss]]-SnapshotTable[[#This Row],[Equity Basis Per Share]],"")</f>
        <v/>
      </c>
      <c r="Z235" s="260" t="str">
        <f>IFERROR( TEXT(SnapshotTable[[#This Row],[Equity Max Gain Per Share]] /ABS( SnapshotTable[[#This Row],[Equity Max Loss Per Share]]),"0.0 " ) &amp; " : 1", "")</f>
        <v/>
      </c>
      <c r="AA235" s="31" t="str">
        <f>IF(ISNUMBER(SnapshotTable[[#This Row],[Equity Max Gain Per Share]]),SnapshotTable[[#This Row],[Equity Max Gain Per Share]] * SnapshotTable[[#This Row],[Equity Shares]],"")</f>
        <v/>
      </c>
      <c r="AB235" s="31" t="str">
        <f>IF(ISNUMBER(SnapshotTable[[#This Row],[Equity Max Loss Per Share]]),SnapshotTable[[#This Row],[Equity Max Loss Per Share]] * SnapshotTable[[#This Row],[Equity Shares]],"")</f>
        <v/>
      </c>
      <c r="AC235" s="148"/>
      <c r="AD235" s="149"/>
      <c r="AE235" s="31">
        <f>(SnapshotTable[[#This Row],[Annual Dividend Per Share]] / 4) * SnapshotTable[[#This Row],[Equity Shares]]</f>
        <v>0</v>
      </c>
      <c r="AF235" s="31">
        <f>SnapshotTable[[#This Row],[Quarterly Div $]] * 4</f>
        <v>0</v>
      </c>
      <c r="AG235" s="7">
        <f>IF(SnapshotTable[[#This Row],[Annual Dividend Per Share]]&gt;0, SnapshotTable[[#This Row],[Annual Dividend Per Share]]  / SnapshotTable[[#This Row],[Last Price]], 0)</f>
        <v>0</v>
      </c>
      <c r="AH235" s="149"/>
      <c r="AI235" s="5"/>
      <c r="AJ235" s="136">
        <v>40.799999999999997</v>
      </c>
      <c r="AK235" s="150" t="str">
        <f>IF(ISNUMBER( SnapshotTable[[#This Row],[EBF Target]]),(SnapshotTable[[#This Row],[EBF Target]] - SnapshotTable[[#This Row],[Last Price]]) / SnapshotTable[[#This Row],[Last Price]], "")</f>
        <v/>
      </c>
      <c r="AL235" s="150" t="str">
        <f>IF(AND(SnapshotTable[[#This Row],[Equity Basis Total]] &gt; 0,ISNUMBER( SnapshotTable[[#This Row],[Long Term Target]])), SnapshotTable[[#This Row],[From Basis $]] / SnapshotTable[[#This Row],[Equity Basis Total]], "")</f>
        <v/>
      </c>
      <c r="AM235" s="9">
        <f>IF( AND(SnapshotTable[[#This Row],[Equity Shares]] &gt;0,ISNUMBER( SnapshotTable[[#This Row],[Long Term Target]])),(SnapshotTable[[#This Row],[Equity Shares]] * SnapshotTable[[#This Row],[Long Term Target]]) - SnapshotTable[[#This Row],[Equity Basis Total]],0)</f>
        <v>0</v>
      </c>
      <c r="AN235" s="9">
        <f>IF( AND(SnapshotTable[[#This Row],[Equity Shares]] &gt;0,ISNUMBER( SnapshotTable[[#This Row],[Long Term Target]])),(SnapshotTable[[#This Row],[Equity Shares]]*SnapshotTable[[#This Row],[Long Term Target]]) - SnapshotTable[[#This Row],[Equity Value]],0)</f>
        <v>0</v>
      </c>
      <c r="AO235" s="150">
        <f>IF(AND(ISNUMBER( SnapshotTable[[#This Row],[Long Term Target]]), ISNUMBER(SnapshotTable[[#This Row],[Last Price]])),(SnapshotTable[[#This Row],[Long Term Target]] - SnapshotTable[[#This Row],[Last Price]]) / SnapshotTable[[#This Row],[Last Price]], "")</f>
        <v>0.6444981862152358</v>
      </c>
      <c r="AP235" s="5"/>
      <c r="AQ235" s="38"/>
      <c r="AR235" s="5"/>
      <c r="AS235" s="38"/>
      <c r="AT235" s="144"/>
      <c r="AU235" s="185" t="str">
        <f>IF(OR(SnapshotTable[[#This Row],[LP No Fill]]="Y",SnapshotTable[[#This Row],[SP Is Filled]],SnapshotTable[[#This Row],[LC Not Filled]]="Y",SnapshotTable[[#This Row],[SC Is Filled]]),"Y","")</f>
        <v/>
      </c>
      <c r="AV235" s="205"/>
      <c r="AW235" s="211"/>
      <c r="AX235" s="206"/>
      <c r="AY235" s="205" t="str">
        <f>IF(SnapshotTable[[#This Row],[Implied Move]]&gt;0, SnapshotTable[[#This Row],[Last Price]]-SnapshotTable[[#This Row],[Implied Move]],"")</f>
        <v/>
      </c>
      <c r="AZ235" s="205" t="str">
        <f>IF(SnapshotTable[[#This Row],[Implied Move]]&gt;0, SnapshotTable[[#This Row],[Last Price]] + SnapshotTable[[#This Row],[Implied Move]],"")</f>
        <v/>
      </c>
      <c r="BA235" s="302">
        <v>39.979999999999997</v>
      </c>
      <c r="BB235" s="318"/>
      <c r="BC23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5" s="321"/>
      <c r="BE235" s="136"/>
      <c r="BF235" s="164"/>
      <c r="BG235" s="165"/>
      <c r="BH235" s="165"/>
      <c r="BI235" s="207"/>
      <c r="BJ235" s="151">
        <f>IF(SnapshotTable[[#This Row],[LP Qty]] &gt; 0, SnapshotTable[[#This Row],[LP Qty]] * SnapshotTable[[#This Row],[LP Book Price]] * 100,0)</f>
        <v>0</v>
      </c>
      <c r="BK235" s="134">
        <f>IF(SnapshotTable[[#This Row],[LP Premium]] &gt; 0, SnapshotTable[[#This Row],[LP Qty]] * SnapshotTable[[#This Row],[LP Strike Price]] * 100,0)</f>
        <v>0</v>
      </c>
      <c r="BL235" s="152"/>
      <c r="BM235" s="355" t="str">
        <f>IF(SnapshotTable[[#This Row],[LP Premium]] &gt; 0,SnapshotTable[[#This Row],[LP Exp Date]]-MAX(SnapshotTable[[#This Row],[LP Book Date]], SnapshotTable[[#This Row],[LP Fill Date]]),"")</f>
        <v/>
      </c>
      <c r="BN235" s="355" t="str">
        <f>IF(ISNUMBER( SnapshotTable[[#This Row],[LP Term]]), SnapshotTable[[#This Row],[LP Exp Date]] - MockToday,"")</f>
        <v/>
      </c>
      <c r="BO235" s="161" t="str">
        <f>IF(AND(SnapshotTable[[#This Row],[LP Exp Date]]&gt;0, SnapshotTable[[#This Row],[LP Strike Price]]&gt;0,SnapshotTable[[#This Row],[LP Qty]]&gt;0,SnapshotTable[[#This Row],[LP Book Date]]&gt;0,SnapshotTable[[#This Row],[LP Book Price]]&gt;0,SnapshotTable[[#This Row],[LP Fill Date]]=0),"Y","")</f>
        <v/>
      </c>
      <c r="BP235" s="31" t="str">
        <f>IF(AND(SnapshotTable[[#This Row],[LP No Fill]]&lt;&gt;"Y",SnapshotTable[[#This Row],[LP Contract Value]]&gt;0, SnapshotTable[[#This Row],[LP Qty]]&gt;0), SnapshotTable[[#This Row],[LP Contract Value]]*SnapshotTable[[#This Row],[LP Qty]]*100,"")</f>
        <v/>
      </c>
      <c r="BQ235" s="13"/>
      <c r="BR235" s="5"/>
      <c r="BS235" s="36"/>
      <c r="BT235" s="145"/>
      <c r="BU235" s="13"/>
      <c r="BV235" s="5"/>
      <c r="BW235" s="382" t="b">
        <f>AND(ISNUMBER(SnapshotTable[[#This Row],[SP Exp Date]]), ISNUMBER(SnapshotTable[[#This Row],[SP Strike Price]]), ISNUMBER(SnapshotTable[[#This Row],[SP Qty]]), ISNUMBER(SnapshotTable[[#This Row],[SP Book Date]]), ISNUMBER(SnapshotTable[[#This Row],[SP Book Price]]))</f>
        <v>0</v>
      </c>
      <c r="BX235" s="382" t="b">
        <f>AND(SnapshotTable[[#This Row],[SP Is Booked]], NOT(ISBLANK(SnapshotTable[[#This Row],[SP Fill Date]])))</f>
        <v>0</v>
      </c>
      <c r="BY235" s="33">
        <f>IF(SnapshotTable[[#This Row],[SP Is Booked]], SnapshotTable[[#This Row],[SP Qty]] * SnapshotTable[[#This Row],[SP Book Price]] * 100, 0)</f>
        <v>0</v>
      </c>
      <c r="BZ235" s="339"/>
      <c r="CA235" s="338">
        <f>SnapshotTable[[#This Row],[LP Qty]]</f>
        <v>0</v>
      </c>
      <c r="CB235" s="4" t="str">
        <f>IF(SnapshotTable[[#This Row],[SP Is Booked]], SnapshotTable[[#This Row],[SP Strike Price]] - SnapshotTable[[#This Row],[SP Book Price]], "")</f>
        <v/>
      </c>
      <c r="CC235" s="19" t="str">
        <f>IF(SnapshotTable[[#This Row],[SP Is Booked]],SnapshotTable[[#This Row],[SP Exp Date]]-MAX(SnapshotTable[[#This Row],[SP Book Date]], SnapshotTable[[#This Row],[SP Fill Date]]),"")</f>
        <v/>
      </c>
      <c r="CD235" s="7" t="str">
        <f>IF(SnapshotTable[[#This Row],[SP Is Booked]], SnapshotTable[[#This Row],[SP Book Price]]/SnapshotTable[[#This Row],[SP Strike Price]], "")</f>
        <v/>
      </c>
      <c r="CE235" s="7" t="str">
        <f>IF(ISNUMBER(SnapshotTable[[#This Row],[SP ROO Term]]),SnapshotTable[[#This Row],[SP ROO Term]]*(365/SnapshotTable[[#This Row],[SP Term]]),"")</f>
        <v/>
      </c>
      <c r="CF235" s="221">
        <f>SnapshotTable[[#This Row],[LP Strike Price]] * SnapshotTable[[#This Row],[LP Qty]] * 100</f>
        <v>0</v>
      </c>
      <c r="CG235" s="31">
        <f>IF(ISNUMBER(SnapshotTable[[#This Row],[SP Premium]]), (SnapshotTable[[#This Row],[SP Qty]] * SnapshotTable[[#This Row],[SP Strike Price]]* 100) - SnapshotTable[[#This Row],[LP Protection]], 0)</f>
        <v>0</v>
      </c>
      <c r="CH235" s="7" t="str">
        <f>IF(ISNUMBER(SnapshotTable[[#This Row],[SP Break Even]]),-1 * (SnapshotTable[[#This Row],[SP Break Even]] - SnapshotTable[[#This Row],[Last Price]]) / SnapshotTable[[#This Row],[Last Price]], "")</f>
        <v/>
      </c>
      <c r="CI235" s="31">
        <f>IF(AND(ISNUMBER((SnapshotTable[[#This Row],[SP Potential Spend]])), SnapshotTable[[#This Row],[SP Strike Price]] &gt; SnapshotTable[[#This Row],[Last Price]], SnapshotTable[[#This Row],[SP Is Filled]]), SnapshotTable[[#This Row],[SP Potential Spend]] -  SnapshotTable[[#This Row],[LP Max Value]], 0)</f>
        <v>0</v>
      </c>
      <c r="CJ235" s="229"/>
      <c r="CK235" s="31">
        <f>IF(ISNUMBER(SnapshotTable[[#This Row],[SP Potential Spend]]),IF(ISNUMBER(SnapshotTable[[#This Row],[SP POW]]), SnapshotTable[[#This Row],[SP POW]] * SnapshotTable[[#This Row],[SP Potential Spend]], SnapshotTable[[#This Row],[SP Potential Spend]]), "")</f>
        <v>0</v>
      </c>
      <c r="CL235" s="162">
        <f>IF(NOT(SnapshotTable[[#This Row],[SP Is Filled]]),(SnapshotTable[[#This Row],[SP Qty]] * SnapshotTable[[#This Row],[SP Strike Price]] * 100) - SnapshotTable[[#This Row],[LP Max Value]],"")</f>
        <v>0</v>
      </c>
      <c r="CM235" s="31" t="str">
        <f>IF(SnapshotTable[[#This Row],[SP Actual Spend]]&lt;&gt;0, ((SnapshotTable[[#This Row],[SP Strike Price]]-SnapshotTable[[#This Row],[Last Price]]) *(SnapshotTable[[#This Row],[SP Qty]]*100) - SnapshotTable[[#This Row],[SP Premium]]) * - 1, "")</f>
        <v/>
      </c>
      <c r="CN235" s="152"/>
      <c r="CO235" s="339"/>
      <c r="CP235" s="4" t="str">
        <f>IF(SnapshotTable[[#This Row],[SP Is Filled]], btc_max_buyback_amount(SnapshotTable[[#This Row],[SP Fill Date]],SnapshotTable[[#This Row],[SP Exp Date]], SnapshotTable[[#This Row],[SP Book Price]]),"")</f>
        <v/>
      </c>
      <c r="CQ235" s="76"/>
      <c r="CR23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5" s="153" t="str">
        <f>IF(SnapshotTable[[#This Row],[SP Is Filled]], btc_next_cutoff_date(SnapshotTable[[#This Row],[SP Fill Date]],SnapshotTable[[#This Row],[SP Exp Date]]),"")</f>
        <v/>
      </c>
      <c r="CT235" s="220" t="str" cm="1">
        <f t="array" ref="CT235">IF(SnapshotTable[[#This Row],[SP Is Filled]], btc_should_buy_back(SnapshotTable[[#This Row],[SP Fill Date]], SnapshotTable[[#This Row],[SP Exp Date]], SnapshotTable[[#This Row],[SP Book Price]], SnapshotTable[[#This Row],[SP Current Ask]], MockToday, SnapshotTable[[#This Row],[SP Buyback Override]]),"")</f>
        <v/>
      </c>
      <c r="CU235" s="141"/>
      <c r="CV235" s="220"/>
      <c r="CW235" s="348" t="str">
        <f>IF(ISNUMBER( SnapshotTable[[#This Row],[SP Term]]), SnapshotTable[[#This Row],[SP Exp Date]] - MockToday,"")</f>
        <v/>
      </c>
      <c r="CX235" s="31" t="str">
        <f>IF(SnapshotTable[[#This Row],[SP Is Filled]],SnapshotTable[[#This Row],[SP Buyback Price to Use]] * 100 * SnapshotTable[[#This Row],[SP Qty]], "")</f>
        <v/>
      </c>
      <c r="CY235" s="4" t="str">
        <f>IF(ISNUMBER(SnapshotTable[[#This Row],[SP Strike Price]]), SnapshotTable[[#This Row],[SP Strike Price]] * (1 - SP_MaxLoss_StrikePct), "")</f>
        <v/>
      </c>
      <c r="CZ235" s="31" t="str">
        <f>IF(ISNUMBER(SnapshotTable[[#This Row],[SP Strike  Stop Per Share]]),SnapshotTable[[#This Row],[SP Premium]] - ((SnapshotTable[[#This Row],[SP Strike Price]]-SnapshotTable[[#This Row],[SP Strike  Stop Per Share]]) *(SnapshotTable[[#This Row],[SP Qty]] * 100)),"")</f>
        <v/>
      </c>
      <c r="DA235" s="4" t="str">
        <f>IF(AND(ISNUMBER(SnapshotTable[[#This Row],[SP Premium]]),SnapshotTable[[#This Row],[SP Premium]]&gt;0), SnapshotTable[[#This Row],[SP Book Price]] * (1 + SP_MaxLoss_OptionPct), "")</f>
        <v/>
      </c>
      <c r="DB235" s="31" t="str">
        <f>IF(ISNUMBER(SnapshotTable[[#This Row],[SP Option  Stop Contract]]),(SnapshotTable[[#This Row],[SP Option  Stop Contract]] *(SnapshotTable[[#This Row],[SP Qty]] * 100) - SnapshotTable[[#This Row],[SP Premium]]),"")</f>
        <v/>
      </c>
      <c r="DC235" s="4"/>
      <c r="DD235" s="4"/>
      <c r="DE235" s="4" t="str">
        <f>IF(AND(SnapshotTable[[#This Row],[SP Qty]]&gt;0, SnapshotTable[[#This Row],[SP Stop To Use]]&gt;0),SnapshotTable[[#This Row],[SP Premium]] - ( SnapshotTable[[#This Row],[SP Qty]] * SnapshotTable[[#This Row],[SP Stop To Use]] * 100), "")</f>
        <v/>
      </c>
      <c r="DF235" s="31" t="str">
        <f>IF(AND(SnapshotTable[[#This Row],[SP Qty]]&gt;0,SnapshotTable[[#This Row],[SP Current Ask]]&gt;0), SnapshotTable[[#This Row],[SP Qty]] * SnapshotTable[[#This Row],[SP Current Ask]] * -100, "")</f>
        <v/>
      </c>
      <c r="DG235" s="31" t="str">
        <f>IF(ISNUMBER((SnapshotTable[[#This Row],[SP Total Value]])), SnapshotTable[[#This Row],[SP Premium]] + SnapshotTable[[#This Row],[SP Total Value]], "")</f>
        <v/>
      </c>
      <c r="DH235" s="272" t="str">
        <f>IF(ISNUMBER((SnapshotTable[[#This Row],[SP Total Value]])), SnapshotTable[[#This Row],[SP Gain Loss]] / SnapshotTable[[#This Row],[SP Premium]], "")</f>
        <v/>
      </c>
      <c r="DI235" s="369"/>
      <c r="DJ235" s="136"/>
      <c r="DK235" s="146"/>
      <c r="DL235" s="145"/>
      <c r="DM235" s="145"/>
      <c r="DO235" s="31">
        <f>IF(SnapshotTable[[#This Row],[LC Symbol Count]]=1, SnapshotTable[[#This Row],[LC Qty]] * SnapshotTable[[#This Row],[LC Book Price]] * 100, 0)</f>
        <v>0</v>
      </c>
      <c r="DP235" s="161" t="str">
        <f>IF(AND(SnapshotTable[[#This Row],[LC Exp Date]]&gt;0, SnapshotTable[[#This Row],[LC Strike Price]]&gt;0,SnapshotTable[[#This Row],[LC Qty]]&gt;0,SnapshotTable[[#This Row],[LC Book Date]]&gt;0,SnapshotTable[[#This Row],[LC Book Price]]&gt;0,SnapshotTable[[#This Row],[LC Fill Date]]=0),"Y","")</f>
        <v/>
      </c>
      <c r="DQ235" s="356" t="str">
        <f>IF(SnapshotTable[[#This Row],[LC Premium]] &gt; 0,SnapshotTable[[#This Row],[LC Exp Date]]-MAX(SnapshotTable[[#This Row],[LC Book Date]], SnapshotTable[[#This Row],[LC Fill Date]]),"")</f>
        <v/>
      </c>
      <c r="DR235" s="356" t="str">
        <f>IF(ISNUMBER(SnapshotTable[[#This Row],[LC Term]]), SnapshotTable[[#This Row],[LC Exp Date]] - MockToday, "")</f>
        <v/>
      </c>
      <c r="DS235" s="219" t="str">
        <f>IF(SnapshotTable[[#This Row],[LC Premium]]&gt;0,SnapshotTable[[#This Row],[LC Strike Price]] + SnapshotTable[[#This Row],[LC Book Price]],"")</f>
        <v/>
      </c>
      <c r="DU235" s="9" t="str">
        <f>IF(AND(SnapshotTable[[#This Row],[LC Symbol Count]]&gt;0, SnapshotTable[[#This Row],[LC Contract Value]]&gt;0), SnapshotTable[[#This Row],[LC Contract Value]] * SnapshotTable[[#This Row],[LC Qty]] * 100, "")</f>
        <v/>
      </c>
      <c r="DV235" s="9" t="str">
        <f>IF(AND(ISNUMBER(SnapshotTable[[#This Row],[LC Total Value]]), SnapshotTable[[#This Row],[LC Not Filled]]&lt;&gt;"Y"), SnapshotTable[[#This Row],[LC Total Value]]-SnapshotTable[[#This Row],[LC Premium]],"")</f>
        <v/>
      </c>
      <c r="DW235" s="225" t="str">
        <f>IF(ISNUMBER(SnapshotTable[[#This Row],[LC Actual Gain Loss]]), SnapshotTable[[#This Row],[LC Actual Gain Loss]] / SnapshotTable[[#This Row],[LC Premium]],"")</f>
        <v/>
      </c>
      <c r="DX235" s="269" t="str">
        <f>IF(ISNUMBER(SnapshotTable[[#This Row],[LC Book Price]]),SnapshotTable[[#This Row],[LC Book Price]] * 1.5,"")</f>
        <v/>
      </c>
      <c r="DY235" s="250" t="str">
        <f>IF(SnapshotTable[[#This Row],[LC Premium]]&gt;0, SnapshotTable[[#This Row],[LC Next Target]] * SnapshotTable[[#This Row],[LC Qty]] * 100,"")</f>
        <v/>
      </c>
      <c r="DZ235" s="250" t="str">
        <f>IF(ISNUMBER(SnapshotTable[[#This Row],[LC Target Gross]]), SnapshotTable[[#This Row],[LC Target Gross]] - SnapshotTable[[#This Row],[LC Premium]], "")</f>
        <v/>
      </c>
      <c r="EA235" s="283" t="str">
        <f>IF(ISNUMBER(SnapshotTable[[#This Row],[LC Target Gain Loss]]), SnapshotTable[[#This Row],[LC Target Gain Loss]]/SnapshotTable[[#This Row],[LC Premium]], "")</f>
        <v/>
      </c>
      <c r="EB235" s="247"/>
      <c r="EC235" s="268" t="str">
        <f>IF(SnapshotTable[[#This Row],[LC Premium]]&gt;0, SnapshotTable[[#This Row],[LC Book Price]] * (1 - LC_StopLoss_Pct),"")</f>
        <v/>
      </c>
      <c r="ED235" s="269"/>
      <c r="EE235" s="268" t="str">
        <f>IF(ISNUMBER(SnapshotTable[[#This Row],[LC Contract Value]]),IF(ISNUMBER(SnapshotTable[[#This Row],[LC Stop Loss Override]]), SnapshotTable[[#This Row],[LC Stop Loss Override]],SnapshotTable[[#This Row],[LC Stop Loss Calc Target]]),"")</f>
        <v/>
      </c>
      <c r="EF235" s="31" t="str">
        <f>IF(ISNUMBER(SnapshotTable[[#This Row],[LC Stop  To Use]]), (SnapshotTable[[#This Row],[LC Stop  To Use]] * SnapshotTable[[#This Row],[LC Qty]] * 100),"")</f>
        <v/>
      </c>
      <c r="EG235" s="9" t="str">
        <f>IF(ISNUMBER(SnapshotTable[[#This Row],[LC Total Value]]),SnapshotTable[[#This Row],[LC Stop Loss Amount]] - SnapshotTable[[#This Row],[LC Premium]],"")</f>
        <v/>
      </c>
      <c r="EH235" s="9">
        <f>IF(ISNUMBER(SnapshotTable[[#This Row],[LC Premium]]), SnapshotTable[[#This Row],[LC Qty]] * 100 * SnapshotTable[[#This Row],[LC Strike Price]], "")</f>
        <v>0</v>
      </c>
      <c r="EI235" s="225" t="str">
        <f>IF(AND(ISNUMBER(SnapshotTable[[#This Row],[LC Total Value]]),SnapshotTable[[#This Row],[LC Total Value]]&gt;0),SnapshotTable[[#This Row],[LC Stop Gain Loss]]  / SnapshotTable[[#This Row],[LC Premium]],"")</f>
        <v/>
      </c>
      <c r="EJ235" s="35">
        <f>IF(ISNUMBER(SnapshotTable[[#This Row],[Equity Shares]]),TRUNC(SnapshotTable[[#This Row],[Equity Shares]] / 100),0) + SnapshotTable[[#This Row],[LC Qty]]</f>
        <v>0</v>
      </c>
      <c r="EK235" s="145"/>
      <c r="EL235" s="136"/>
      <c r="EM235" s="146"/>
      <c r="EN235" s="145"/>
      <c r="EO235" s="145"/>
      <c r="EP235" s="136"/>
      <c r="EQ235" s="382" t="b">
        <f>AND(ISNUMBER(SnapshotTable[[#This Row],[SC Exp Date]]), ISNUMBER(SnapshotTable[[#This Row],[SC Strike Price]]), ISNUMBER(SnapshotTable[[#This Row],[SC Qty]]), ISNUMBER(SnapshotTable[[#This Row],[SC Book Date]]), ISNUMBER(SnapshotTable[[#This Row],[SC Book Price]]))</f>
        <v>0</v>
      </c>
      <c r="ER235" s="382" t="b">
        <f>AND(SnapshotTable[[#This Row],[SC Is Booked]], NOT(ISBLANK(SnapshotTable[[#This Row],[SC Fill Date]])))</f>
        <v>0</v>
      </c>
      <c r="ES235" s="340"/>
      <c r="ET235" s="34" t="str">
        <f>IF(AND(ISNUMBER(SnapshotTable[[#This Row],[SC Exp Date]]), ISNUMBER(SnapshotTable[[#This Row],[SC Book Date]])), SnapshotTable[[#This Row],[SC Exp Date]] - MAX(SnapshotTable[[#This Row],[SC Book Date]], SnapshotTable[[#This Row],[SC Fill Date]]) + 1, "")</f>
        <v/>
      </c>
      <c r="EU235" s="34" t="str">
        <f>IF(ISNUMBER(SnapshotTable[[#This Row],[SC Term]]), SnapshotTable[[#This Row],[SC Exp Date]]- MockToday, "")</f>
        <v/>
      </c>
      <c r="EV235" s="31">
        <f>IF(SnapshotTable[[#This Row],[SC Is Booked]], SnapshotTable[[#This Row],[SC Qty]] * SnapshotTable[[#This Row],[SC Book Price]] * 100, 0)</f>
        <v>0</v>
      </c>
      <c r="EW235" s="4" t="str">
        <f>IF(AND(ISNUMBER(SnapshotTable[[#This Row],[Last Price]]), ISNUMBER( SnapshotTable[[#This Row],[SC Book Price]])), SnapshotTable[[#This Row],[Last Price]] - SnapshotTable[[#This Row],[SC Book Price]],"")</f>
        <v/>
      </c>
      <c r="EX235" s="219" t="str">
        <f>IF(SnapshotTable[[#This Row],[SC Is Booked]],IF(SnapshotTable[[#This Row],[SC Intrinsic Value]] &gt; 0, SnapshotTable[[#This Row],[SC Strike Price]], SnapshotTable[[#This Row],[Last Price]]), "")</f>
        <v/>
      </c>
      <c r="EY235" s="4">
        <f>IF(SnapshotTable[[#This Row],[SC Is Booked]], (MinimumPremiumRequired * SnapshotTable[[#This Row],[SC Basis]] * SnapshotTable[[#This Row],[SC Term]]), 0)</f>
        <v>0</v>
      </c>
      <c r="EZ235" s="268"/>
      <c r="FA235" s="204"/>
      <c r="FB235" s="340"/>
      <c r="FC235" s="4">
        <f>IF(SnapshotTable[[#This Row],[SC Is Filled]], btc_max_buyback_amount(SnapshotTable[[#This Row],[SC Fill Date]],SnapshotTable[[#This Row],[SC Exp Date]], SnapshotTable[[#This Row],[SC Book Price]]),0)</f>
        <v>0</v>
      </c>
      <c r="FD235" s="5"/>
      <c r="FE235" s="142" t="str">
        <f>IF(SnapshotTable[[#This Row],[SC Is Filled]], btc_next_cutoff_date(SnapshotTable[[#This Row],[SC Fill Date]],SnapshotTable[[#This Row],[SC Exp Date]]),"")</f>
        <v/>
      </c>
      <c r="FF235" s="4" t="str" cm="1">
        <f t="array" ref="FF235">IF(SnapshotTable[[#This Row],[SC Is Filled]], btc_should_buy_back(SnapshotTable[[#This Row],[SC Fill Date]], SnapshotTable[[#This Row],[SC Exp Date]], SnapshotTable[[#This Row],[SC Book Price]], SnapshotTable[[#This Row],[SC Current Ask]], MockToday, SnapshotTable[[#This Row],[SC Buyback Override]]),"")</f>
        <v/>
      </c>
      <c r="FG235" s="4">
        <f>IF(SnapshotTable[[#This Row],[SC Is Filled]], MAX(0,SnapshotTable[[#This Row],[Last Price]]  - SnapshotTable[[#This Row],[SC Strike Price]]), 0)</f>
        <v>0</v>
      </c>
      <c r="FH235" s="352">
        <f>IF(SnapshotTable[[#This Row],[SC Is Filled]], IF(ISNUMBER(SnapshotTable[[#This Row],[SC Current Ask]]), SnapshotTable[[#This Row],[SC Current Ask]], SnapshotTable[[#This Row],[SC Book Price]]) - SnapshotTable[[#This Row],[SC Intrinsic Value]], 0)</f>
        <v>0</v>
      </c>
      <c r="FI235" s="141"/>
      <c r="FJ235" s="32" t="str">
        <f>IF(SnapshotTable[[#This Row],[SC Is Filled]],100 * SnapshotTable[[#This Row],[SC Qty]] * IF(ISNUMBER(SnapshotTable[[#This Row],[SC Buyback Override]]), SnapshotTable[[#This Row],[SC Buyback Override]], SnapshotTable[[#This Row],[SC Current Ask]]), "")</f>
        <v/>
      </c>
      <c r="FK235" s="235" t="str">
        <f>IF(SnapshotTable[[#This Row],[SC Time Val]]&gt;0, SnapshotTable[[#This Row],[SC Time Val]] / SnapshotTable[[#This Row],[Last Price]],"")</f>
        <v/>
      </c>
      <c r="FL235" s="280" t="str">
        <f>IF(SnapshotTable[[#This Row],[SC Is Booked]], ((SnapshotTable[[#This Row],[Last Price]] -SnapshotTable[[#This Row],[SC Strike Price]]) / SnapshotTable[[#This Row],[Last Price]]) * -1, "")</f>
        <v/>
      </c>
      <c r="FM235" s="155" t="str">
        <f>IF(SnapshotTable[[#This Row],[SC Is Booked]],  (SnapshotTable[[#This Row],[SC Qty]] * 100 * SnapshotTable[[#This Row],[SC Strike Price]]) - SnapshotTable[[#This Row],[SC Current Ask]], "")</f>
        <v/>
      </c>
      <c r="FN235"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5" s="155" t="str">
        <f>IF(AND(ISNUMBER(SnapshotTable[[#This Row],[SC Exercise Gross]]), ISNUMBER(SnapshotTable[[#This Row],[Equity Basis Per Share]] )), SnapshotTable[[#This Row],[SC Exercise Gross]] - SnapshotTable[[#This Row],[Equity Basis Total]] +  SnapshotTable[[#This Row],[SC Premium]], "")</f>
        <v/>
      </c>
      <c r="FP235" s="5" t="str">
        <f>IF(ISNUMBER(SnapshotTable[[#This Row],[SC Exercise Gross]]), (SnapshotTable[[#This Row],[SC Exercise Gross]]) / (SnapshotTable[[#This Row],[SC Qty]] * 100), "")</f>
        <v/>
      </c>
      <c r="FQ235" s="27" t="str">
        <f>IF(SnapshotTable[[#This Row],[SC Is Booked]],SnapshotTable[[#This Row],[SC Time Val]] /SnapshotTable[[#This Row],[SC Basis]], "")</f>
        <v/>
      </c>
      <c r="FR235" s="27" t="str" cm="1">
        <f t="array" ref="FR235">IF(AND(ISNUMBER(SnapshotTable[[#This Row],[SC Term]]),ISNUMBER(SnapshotTable[[#This Row],[SC Simple ROO]])), EllmanAnnualize(SnapshotTable[[#This Row],[SC DTE]], SnapshotTable[[#This Row],[SC Simple ROO]] ),"")</f>
        <v/>
      </c>
      <c r="FS235" s="4">
        <f>IF(SnapshotTable[[#This Row],[SC Strike Price]] &gt; SnapshotTable[[#This Row],[Last Price]], SnapshotTable[[#This Row],[SC Strike Price]] - SnapshotTable[[#This Row],[Last Price]],0)</f>
        <v>0</v>
      </c>
      <c r="FT235" s="27" t="str">
        <f>IF(AND(ISNUMBER(SnapshotTable[[#This Row],[SC Upside Potential]]), SnapshotTable[[#This Row],[SC Upside Potential]] &gt; 0),(SnapshotTable[[#This Row],[SC Upside Potential]]/ SnapshotTable[[#This Row],[ACB]]),"")</f>
        <v/>
      </c>
      <c r="FU235" s="304" t="str">
        <f>IF(SnapshotTable[[#This Row],[SC Intrinsic Value]] &gt; 0,SnapshotTable[[#This Row],[SC Intrinsic Value]],"")</f>
        <v/>
      </c>
      <c r="FV235" s="27" t="str">
        <f>IF(AND( ISNUMBER( SnapshotTable[[#This Row],[ACB]]),ISNUMBER(SnapshotTable[[#This Row],[SC Downside Protect]])),SnapshotTable[[#This Row],[SC Downside Protect]] / SnapshotTable[[#This Row],[ACB]],"")</f>
        <v/>
      </c>
      <c r="FW235" s="221" t="str">
        <f>IF(AND(ISNUMBER(SnapshotTable[[#This Row],[SC Simple ROO]]),SnapshotTable[[#This Row],[SC Simple ROO]] &gt; 0), SnapshotTable[[#This Row],[SC Premium]] + (SnapshotTable[[#This Row],[SC Qty]] * SnapshotTable[[#This Row],[SC Upside Potential]]), "")</f>
        <v/>
      </c>
      <c r="FX235" s="280" t="str" cm="1">
        <f t="array" ref="FX235">IF(ISNUMBER(SnapshotTable[[#This Row],[SC Max Dollars]]), annualize(SnapshotTable[[#This Row],[SC Term]],(SnapshotTable[[#This Row],[SC Max Dollars]]/SnapshotTable[[#This Row],[SC Basis]])),"")</f>
        <v/>
      </c>
      <c r="FY235" s="221" t="str">
        <f>IF(AND(SnapshotTable[[#This Row],[SC Qty]]&gt;0,SnapshotTable[[#This Row],[SC Current Ask]]&gt;0), SnapshotTable[[#This Row],[SC Qty]] * SnapshotTable[[#This Row],[SC Current Ask]] * -100, "")</f>
        <v/>
      </c>
      <c r="FZ235" s="220" t="str">
        <f>IF(ISNUMBER((SnapshotTable[[#This Row],[SC Current Value]])), SnapshotTable[[#This Row],[SC Premium]] + SnapshotTable[[#This Row],[SC Current Value]], "")</f>
        <v/>
      </c>
      <c r="GA235" s="272" t="str">
        <f>IFERROR( IF(ISNUMBER((SnapshotTable[[#This Row],[SC Current Value]])), SnapshotTable[[#This Row],[SC Gain Loss]] / SnapshotTable[[#This Row],[SC Premium]], ""), "")</f>
        <v/>
      </c>
      <c r="GB235" s="42">
        <f>SnapshotTable[[#This Row],[Equity Shares]] * SaleSharesToConsiderPercentage</f>
        <v>0</v>
      </c>
      <c r="GC235" s="40">
        <f>SnapshotTable[[#This Row],[Long Term Target]] * SellingPriceToConsiderBasedOnTargetPercentage</f>
        <v>38.76</v>
      </c>
      <c r="GD235" s="40">
        <f>SnapshotTable[[#This Row],[Last Price]] * (1+ SellingPriceToConsiderBasedOnTargetPercentage)</f>
        <v>48.379499999999993</v>
      </c>
      <c r="GE235" s="41"/>
      <c r="GF235" s="40"/>
      <c r="GG235" s="31">
        <f>SnapshotTable[[#This Row],[Booked Sale Shares]] * SnapshotTable[[#This Row],[Booked Sale Price]]</f>
        <v>0</v>
      </c>
      <c r="GH235" s="31" t="str">
        <f>IF(SnapshotTable[[#This Row],[Equity Basis Total]] &gt; 0, SnapshotTable[[#This Row],[Equity Basis Per Share]] * SnapshotTable[[#This Row],[Booked Sale Shares]], "")</f>
        <v/>
      </c>
      <c r="GI235" s="31">
        <f>IF(SnapshotTable[[#This Row],[Sale Proceeds]]&gt;0, SnapshotTable[[#This Row],[Sale Proceeds]] - SnapshotTable[[#This Row],[Sale Basis]], 0)</f>
        <v>0</v>
      </c>
      <c r="GJ235" s="156" t="str">
        <f>IF(SnapshotTable[[#This Row],[Sale G/L]]&gt;0, SnapshotTable[[#This Row],[Sale G/L]] / SnapshotTable[[#This Row],[Sale Basis]], IF(ISNUMBER(SnapshotTable[[#This Row],[SC Exercise P&amp;L (TAX)]]), SnapshotTable[[#This Row],[SC Exercise P&amp;L (TAX)]] / SnapshotTable[[#This Row],[SC Basis]], ""))</f>
        <v/>
      </c>
      <c r="GK235" s="27"/>
      <c r="GL235" s="157" t="str">
        <f>IF(AND(SnapshotTable[[#This Row],[LP Exp Date]]&gt;0,SnapshotTable[[#This Row],[LP Strike Price]]&gt;0), [1]!ToOptionSymbol(SnapshotTable[[#This Row],[Symbol]], SnapshotTable[[#This Row],[LP Strike Price]],SnapshotTable[[#This Row],[LP Exp Date]],1), "")</f>
        <v/>
      </c>
      <c r="GM235" s="30" t="str">
        <f>IF(LEN(SnapshotTable[[#This Row],[LP Symbol]])&gt;0, 1, "")</f>
        <v/>
      </c>
      <c r="GN235" s="43" t="str">
        <f>IF(AND(SnapshotTable[[#This Row],[SP Exp Date]]&gt;0,SnapshotTable[[#This Row],[SP Strike Price]]&gt;0), [1]!ToOptionSymbol(SnapshotTable[[#This Row],[Symbol]], SnapshotTable[[#This Row],[SP Strike Price]],SnapshotTable[[#This Row],[SP Exp Date]],1), "")</f>
        <v/>
      </c>
      <c r="GO235" s="30" t="str">
        <f>IF(LEN(SnapshotTable[[#This Row],[SP Symbol]])&gt;0, 1, "")</f>
        <v/>
      </c>
      <c r="GP235" s="157" t="str">
        <f>IF(AND(SnapshotTable[[#This Row],[LC Exp Date]]&gt;0,SnapshotTable[[#This Row],[LC Strike Price]]&gt;0), [1]!ToOptionSymbol(SnapshotTable[[#This Row],[Symbol]], SnapshotTable[[#This Row],[LC Strike Price]],SnapshotTable[[#This Row],[LC Exp Date]],0), "")</f>
        <v/>
      </c>
      <c r="GQ235" s="158" t="str">
        <f>IF(LEN(SnapshotTable[[#This Row],[LC Symbol]])&gt;0, 1, "")</f>
        <v/>
      </c>
      <c r="GR235" s="157" t="str">
        <f>IF(AND(SnapshotTable[[#This Row],[SC Exp Date]]&gt;0,SnapshotTable[[#This Row],[SC Strike Price]]&gt;0), [1]!ToOptionSymbol(SnapshotTable[[#This Row],[Symbol]], SnapshotTable[[#This Row],[SC Strike Price]],SnapshotTable[[#This Row],[SC Exp Date]],0), "")</f>
        <v/>
      </c>
      <c r="GS235" s="158" t="str">
        <f>IF(LEN(SnapshotTable[[#This Row],[SC Symbol]])&gt;0, 1, "")</f>
        <v/>
      </c>
      <c r="GT235" s="159" t="str">
        <f>IF(COUNT(SnapshotTable[[#This Row],[LP Symbol Count]],SnapshotTable[[#This Row],[SP Symbol Count]],SnapshotTable[[#This Row],[LC Symbol Count]],SnapshotTable[[#This Row],[SC Symbol Count]])&gt;0, "Y", "")</f>
        <v/>
      </c>
      <c r="GU23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5" s="216">
        <f>MAX(SnapshotTable[[#This Row],[Equity Basis Total]],SnapshotTable[[#This Row],[Equity Value]]) + (SnapshotTable[[#This Row],[SP Potential Spend]]- SnapshotTable[[#This Row],[SP Premium]] + SnapshotTable[[#This Row],[LP Premium]])+ (SnapshotTable[[#This Row],[LC Premium]] - SnapshotTable[[#This Row],[SC Premium]])</f>
        <v>0</v>
      </c>
      <c r="GW235" s="137" t="str">
        <f>IF(AND(SnapshotTable[[#This Row],[Exposure]] &lt;&gt; 0),SnapshotTable[[#This Row],[Exposure]] / SnapshotTable[[#Totals],[Exposure]], "")</f>
        <v/>
      </c>
      <c r="GX235" s="15"/>
      <c r="GZ235" s="13"/>
      <c r="HA235" s="13"/>
      <c r="HB235" s="2"/>
      <c r="HC235" s="189"/>
      <c r="HD235" s="2"/>
      <c r="HK235" s="1"/>
      <c r="HL235" s="1"/>
      <c r="HM235" s="1"/>
      <c r="HN235" s="1"/>
      <c r="HO235" s="1"/>
      <c r="HP235" s="1"/>
    </row>
    <row r="236" spans="2:224" s="45" customFormat="1" ht="12.75" hidden="1" customHeight="1" x14ac:dyDescent="0.25">
      <c r="B236" s="12" t="s">
        <v>698</v>
      </c>
      <c r="C236" s="385">
        <v>51.76</v>
      </c>
      <c r="D236" s="200"/>
      <c r="E236" s="39">
        <f>SnapshotTable[[#This Row],[Last Price]]*(1 -CrashDiscount)</f>
        <v>43.995999999999995</v>
      </c>
      <c r="F236" s="26" t="s">
        <v>624</v>
      </c>
      <c r="G236" s="26" t="s">
        <v>493</v>
      </c>
      <c r="H236" s="147"/>
      <c r="I236" s="186">
        <v>44783.25</v>
      </c>
      <c r="J236" s="187">
        <v>44783.25</v>
      </c>
      <c r="K236" s="188"/>
      <c r="L236" s="297"/>
      <c r="M236" s="138"/>
      <c r="N236" s="138"/>
      <c r="O236" s="138"/>
      <c r="P236" s="22"/>
      <c r="Q236" s="25"/>
      <c r="R236" s="4" t="str">
        <f>IF(SnapshotTable[[#This Row],[Equity Basis Total]] &gt; 0, SnapshotTable[[#This Row],[Equity Basis Total]] / SnapshotTable[[#This Row],[Equity Shares]], "")</f>
        <v/>
      </c>
      <c r="S236" s="254">
        <f>SnapshotTable[[#This Row],[Last Price]] * SnapshotTable[[#This Row],[Equity Shares]]</f>
        <v>0</v>
      </c>
      <c r="T236" s="254">
        <f>SnapshotTable[[#This Row],[Equity Value]] - SnapshotTable[[#This Row],[Equity Basis Total]]</f>
        <v>0</v>
      </c>
      <c r="U236" s="255" t="str">
        <f>IF(SnapshotTable[[#This Row],[Equity Basis Total]] &gt; 0, SnapshotTable[[#This Row],[Equity G/L]] / SnapshotTable[[#This Row],[Equity Basis Total]], "")</f>
        <v/>
      </c>
      <c r="V236" s="253"/>
      <c r="W236" s="253"/>
      <c r="X236" s="4" t="str">
        <f>IF(AND(ISNUMBER(SnapshotTable[[#This Row],[Equity Basis Per Share]]),ISNUMBER(SnapshotTable[[#This Row],[Equity Target]])),SnapshotTable[[#This Row],[Equity Target]]-SnapshotTable[[#This Row],[Equity Basis Per Share]],"")</f>
        <v/>
      </c>
      <c r="Y236" s="4" t="str">
        <f>IF(AND(ISNUMBER(SnapshotTable[[#This Row],[Equity Basis Per Share]]),ISNUMBER(SnapshotTable[[#This Row],[Equity Stop Loss]])),SnapshotTable[[#This Row],[Equity Stop Loss]]-SnapshotTable[[#This Row],[Equity Basis Per Share]],"")</f>
        <v/>
      </c>
      <c r="Z236" s="260" t="str">
        <f>IFERROR( TEXT(SnapshotTable[[#This Row],[Equity Max Gain Per Share]] /ABS( SnapshotTable[[#This Row],[Equity Max Loss Per Share]]),"0.0 " ) &amp; " : 1", "")</f>
        <v/>
      </c>
      <c r="AA236" s="31" t="str">
        <f>IF(ISNUMBER(SnapshotTable[[#This Row],[Equity Max Gain Per Share]]),SnapshotTable[[#This Row],[Equity Max Gain Per Share]] * SnapshotTable[[#This Row],[Equity Shares]],"")</f>
        <v/>
      </c>
      <c r="AB236" s="31" t="str">
        <f>IF(ISNUMBER(SnapshotTable[[#This Row],[Equity Max Loss Per Share]]),SnapshotTable[[#This Row],[Equity Max Loss Per Share]] * SnapshotTable[[#This Row],[Equity Shares]],"")</f>
        <v/>
      </c>
      <c r="AC236" s="148"/>
      <c r="AD236" s="149"/>
      <c r="AE236" s="31">
        <f>(SnapshotTable[[#This Row],[Annual Dividend Per Share]] / 4) * SnapshotTable[[#This Row],[Equity Shares]]</f>
        <v>0</v>
      </c>
      <c r="AF236" s="31">
        <f>SnapshotTable[[#This Row],[Quarterly Div $]] * 4</f>
        <v>0</v>
      </c>
      <c r="AG236" s="7">
        <f>IF(SnapshotTable[[#This Row],[Annual Dividend Per Share]]&gt;0, SnapshotTable[[#This Row],[Annual Dividend Per Share]]  / SnapshotTable[[#This Row],[Last Price]], 0)</f>
        <v>0</v>
      </c>
      <c r="AH236" s="149"/>
      <c r="AI236" s="5"/>
      <c r="AJ236" s="136">
        <v>56.36</v>
      </c>
      <c r="AK236" s="150" t="str">
        <f>IF(ISNUMBER( SnapshotTable[[#This Row],[EBF Target]]),(SnapshotTable[[#This Row],[EBF Target]] - SnapshotTable[[#This Row],[Last Price]]) / SnapshotTable[[#This Row],[Last Price]], "")</f>
        <v/>
      </c>
      <c r="AL236" s="150" t="str">
        <f>IF(AND(SnapshotTable[[#This Row],[Equity Basis Total]] &gt; 0,ISNUMBER( SnapshotTable[[#This Row],[Long Term Target]])), SnapshotTable[[#This Row],[From Basis $]] / SnapshotTable[[#This Row],[Equity Basis Total]], "")</f>
        <v/>
      </c>
      <c r="AM236" s="9">
        <f>IF( AND(SnapshotTable[[#This Row],[Equity Shares]] &gt;0,ISNUMBER( SnapshotTable[[#This Row],[Long Term Target]])),(SnapshotTable[[#This Row],[Equity Shares]] * SnapshotTable[[#This Row],[Long Term Target]]) - SnapshotTable[[#This Row],[Equity Basis Total]],0)</f>
        <v>0</v>
      </c>
      <c r="AN236" s="9">
        <f>IF( AND(SnapshotTable[[#This Row],[Equity Shares]] &gt;0,ISNUMBER( SnapshotTable[[#This Row],[Long Term Target]])),(SnapshotTable[[#This Row],[Equity Shares]]*SnapshotTable[[#This Row],[Long Term Target]]) - SnapshotTable[[#This Row],[Equity Value]],0)</f>
        <v>0</v>
      </c>
      <c r="AO236" s="150">
        <f>IF(AND(ISNUMBER( SnapshotTable[[#This Row],[Long Term Target]]), ISNUMBER(SnapshotTable[[#This Row],[Last Price]])),(SnapshotTable[[#This Row],[Long Term Target]] - SnapshotTable[[#This Row],[Last Price]]) / SnapshotTable[[#This Row],[Last Price]], "")</f>
        <v>8.8871715610510077E-2</v>
      </c>
      <c r="AP236" s="5"/>
      <c r="AQ236" s="38"/>
      <c r="AR236" s="5"/>
      <c r="AS236" s="38"/>
      <c r="AT236" s="144"/>
      <c r="AU236" s="185" t="str">
        <f>IF(OR(SnapshotTable[[#This Row],[LP No Fill]]="Y",SnapshotTable[[#This Row],[SP Is Filled]],SnapshotTable[[#This Row],[LC Not Filled]]="Y",SnapshotTable[[#This Row],[SC Is Filled]]),"Y","")</f>
        <v/>
      </c>
      <c r="AV236" s="205"/>
      <c r="AW236" s="211"/>
      <c r="AX236" s="206"/>
      <c r="AY236" s="205" t="str">
        <f>IF(SnapshotTable[[#This Row],[Implied Move]]&gt;0, SnapshotTable[[#This Row],[Last Price]]-SnapshotTable[[#This Row],[Implied Move]],"")</f>
        <v/>
      </c>
      <c r="AZ236" s="205" t="str">
        <f>IF(SnapshotTable[[#This Row],[Implied Move]]&gt;0, SnapshotTable[[#This Row],[Last Price]] + SnapshotTable[[#This Row],[Implied Move]],"")</f>
        <v/>
      </c>
      <c r="BA236" s="302"/>
      <c r="BB236" s="318"/>
      <c r="BC236"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6" s="321"/>
      <c r="BE236" s="136"/>
      <c r="BF236" s="164"/>
      <c r="BG236" s="165"/>
      <c r="BH236" s="165"/>
      <c r="BI236" s="207"/>
      <c r="BJ236" s="151">
        <f>IF(SnapshotTable[[#This Row],[LP Qty]] &gt; 0, SnapshotTable[[#This Row],[LP Qty]] * SnapshotTable[[#This Row],[LP Book Price]] * 100,0)</f>
        <v>0</v>
      </c>
      <c r="BK236" s="134">
        <f>IF(SnapshotTable[[#This Row],[LP Premium]] &gt; 0, SnapshotTable[[#This Row],[LP Qty]] * SnapshotTable[[#This Row],[LP Strike Price]] * 100,0)</f>
        <v>0</v>
      </c>
      <c r="BL236" s="152"/>
      <c r="BM236" s="355" t="str">
        <f>IF(SnapshotTable[[#This Row],[LP Premium]] &gt; 0,SnapshotTable[[#This Row],[LP Exp Date]]-MAX(SnapshotTable[[#This Row],[LP Book Date]], SnapshotTable[[#This Row],[LP Fill Date]]),"")</f>
        <v/>
      </c>
      <c r="BN236" s="355" t="str">
        <f>IF(ISNUMBER( SnapshotTable[[#This Row],[LP Term]]), SnapshotTable[[#This Row],[LP Exp Date]] - MockToday,"")</f>
        <v/>
      </c>
      <c r="BO236" s="161" t="str">
        <f>IF(AND(SnapshotTable[[#This Row],[LP Exp Date]]&gt;0, SnapshotTable[[#This Row],[LP Strike Price]]&gt;0,SnapshotTable[[#This Row],[LP Qty]]&gt;0,SnapshotTable[[#This Row],[LP Book Date]]&gt;0,SnapshotTable[[#This Row],[LP Book Price]]&gt;0,SnapshotTable[[#This Row],[LP Fill Date]]=0),"Y","")</f>
        <v/>
      </c>
      <c r="BP236" s="31" t="str">
        <f>IF(AND(SnapshotTable[[#This Row],[LP No Fill]]&lt;&gt;"Y",SnapshotTable[[#This Row],[LP Contract Value]]&gt;0, SnapshotTable[[#This Row],[LP Qty]]&gt;0), SnapshotTable[[#This Row],[LP Contract Value]]*SnapshotTable[[#This Row],[LP Qty]]*100,"")</f>
        <v/>
      </c>
      <c r="BQ236" s="13"/>
      <c r="BR236" s="5"/>
      <c r="BS236" s="36"/>
      <c r="BT236" s="145"/>
      <c r="BU236" s="13"/>
      <c r="BV236" s="5"/>
      <c r="BW236" s="382" t="b">
        <f>AND(ISNUMBER(SnapshotTable[[#This Row],[SP Exp Date]]), ISNUMBER(SnapshotTable[[#This Row],[SP Strike Price]]), ISNUMBER(SnapshotTable[[#This Row],[SP Qty]]), ISNUMBER(SnapshotTable[[#This Row],[SP Book Date]]), ISNUMBER(SnapshotTable[[#This Row],[SP Book Price]]))</f>
        <v>0</v>
      </c>
      <c r="BX236" s="382" t="b">
        <f>AND(SnapshotTable[[#This Row],[SP Is Booked]], NOT(ISBLANK(SnapshotTable[[#This Row],[SP Fill Date]])))</f>
        <v>0</v>
      </c>
      <c r="BY236" s="33">
        <f>IF(SnapshotTable[[#This Row],[SP Is Booked]], SnapshotTable[[#This Row],[SP Qty]] * SnapshotTable[[#This Row],[SP Book Price]] * 100, 0)</f>
        <v>0</v>
      </c>
      <c r="BZ236" s="339"/>
      <c r="CA236" s="338">
        <f>SnapshotTable[[#This Row],[LP Qty]]</f>
        <v>0</v>
      </c>
      <c r="CB236" s="4" t="str">
        <f>IF(SnapshotTable[[#This Row],[SP Is Booked]], SnapshotTable[[#This Row],[SP Strike Price]] - SnapshotTable[[#This Row],[SP Book Price]], "")</f>
        <v/>
      </c>
      <c r="CC236" s="19" t="str">
        <f>IF(SnapshotTable[[#This Row],[SP Is Booked]],SnapshotTable[[#This Row],[SP Exp Date]]-MAX(SnapshotTable[[#This Row],[SP Book Date]], SnapshotTable[[#This Row],[SP Fill Date]]),"")</f>
        <v/>
      </c>
      <c r="CD236" s="7" t="str">
        <f>IF(SnapshotTable[[#This Row],[SP Is Booked]], SnapshotTable[[#This Row],[SP Book Price]]/SnapshotTable[[#This Row],[SP Strike Price]], "")</f>
        <v/>
      </c>
      <c r="CE236" s="7" t="str">
        <f>IF(ISNUMBER(SnapshotTable[[#This Row],[SP ROO Term]]),SnapshotTable[[#This Row],[SP ROO Term]]*(365/SnapshotTable[[#This Row],[SP Term]]),"")</f>
        <v/>
      </c>
      <c r="CF236" s="221">
        <f>SnapshotTable[[#This Row],[LP Strike Price]] * SnapshotTable[[#This Row],[LP Qty]] * 100</f>
        <v>0</v>
      </c>
      <c r="CG236" s="31">
        <f>IF(ISNUMBER(SnapshotTable[[#This Row],[SP Premium]]), (SnapshotTable[[#This Row],[SP Qty]] * SnapshotTable[[#This Row],[SP Strike Price]]* 100) - SnapshotTable[[#This Row],[LP Protection]], 0)</f>
        <v>0</v>
      </c>
      <c r="CH236" s="7" t="str">
        <f>IF(ISNUMBER(SnapshotTable[[#This Row],[SP Break Even]]),-1 * (SnapshotTable[[#This Row],[SP Break Even]] - SnapshotTable[[#This Row],[Last Price]]) / SnapshotTable[[#This Row],[Last Price]], "")</f>
        <v/>
      </c>
      <c r="CI236" s="31">
        <f>IF(AND(ISNUMBER((SnapshotTable[[#This Row],[SP Potential Spend]])), SnapshotTable[[#This Row],[SP Strike Price]] &gt; SnapshotTable[[#This Row],[Last Price]], SnapshotTable[[#This Row],[SP Is Filled]]), SnapshotTable[[#This Row],[SP Potential Spend]] -  SnapshotTable[[#This Row],[LP Max Value]], 0)</f>
        <v>0</v>
      </c>
      <c r="CJ236" s="229"/>
      <c r="CK236" s="31">
        <f>IF(ISNUMBER(SnapshotTable[[#This Row],[SP Potential Spend]]),IF(ISNUMBER(SnapshotTable[[#This Row],[SP POW]]), SnapshotTable[[#This Row],[SP POW]] * SnapshotTable[[#This Row],[SP Potential Spend]], SnapshotTable[[#This Row],[SP Potential Spend]]), "")</f>
        <v>0</v>
      </c>
      <c r="CL236" s="162">
        <f>IF(NOT(SnapshotTable[[#This Row],[SP Is Filled]]),(SnapshotTable[[#This Row],[SP Qty]] * SnapshotTable[[#This Row],[SP Strike Price]] * 100) - SnapshotTable[[#This Row],[LP Max Value]],"")</f>
        <v>0</v>
      </c>
      <c r="CM236" s="31" t="str">
        <f>IF(SnapshotTable[[#This Row],[SP Actual Spend]]&lt;&gt;0, ((SnapshotTable[[#This Row],[SP Strike Price]]-SnapshotTable[[#This Row],[Last Price]]) *(SnapshotTable[[#This Row],[SP Qty]]*100) - SnapshotTable[[#This Row],[SP Premium]]) * - 1, "")</f>
        <v/>
      </c>
      <c r="CN236" s="152"/>
      <c r="CO236" s="339"/>
      <c r="CP236" s="4" t="str">
        <f>IF(SnapshotTable[[#This Row],[SP Is Filled]], btc_max_buyback_amount(SnapshotTable[[#This Row],[SP Fill Date]],SnapshotTable[[#This Row],[SP Exp Date]], SnapshotTable[[#This Row],[SP Book Price]]),"")</f>
        <v/>
      </c>
      <c r="CQ236" s="76"/>
      <c r="CR23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6" s="153" t="str">
        <f>IF(SnapshotTable[[#This Row],[SP Is Filled]], btc_next_cutoff_date(SnapshotTable[[#This Row],[SP Fill Date]],SnapshotTable[[#This Row],[SP Exp Date]]),"")</f>
        <v/>
      </c>
      <c r="CT236" s="220" t="str" cm="1">
        <f t="array" ref="CT236">IF(SnapshotTable[[#This Row],[SP Is Filled]], btc_should_buy_back(SnapshotTable[[#This Row],[SP Fill Date]], SnapshotTable[[#This Row],[SP Exp Date]], SnapshotTable[[#This Row],[SP Book Price]], SnapshotTable[[#This Row],[SP Current Ask]], MockToday, SnapshotTable[[#This Row],[SP Buyback Override]]),"")</f>
        <v/>
      </c>
      <c r="CU236" s="154"/>
      <c r="CV236" s="220"/>
      <c r="CW236" s="348" t="str">
        <f>IF(ISNUMBER( SnapshotTable[[#This Row],[SP Term]]), SnapshotTable[[#This Row],[SP Exp Date]] - MockToday,"")</f>
        <v/>
      </c>
      <c r="CX236" s="31" t="str">
        <f>IF(SnapshotTable[[#This Row],[SP Is Filled]],SnapshotTable[[#This Row],[SP Buyback Price to Use]] * 100 * SnapshotTable[[#This Row],[SP Qty]], "")</f>
        <v/>
      </c>
      <c r="CY236" s="4" t="str">
        <f>IF(ISNUMBER(SnapshotTable[[#This Row],[SP Strike Price]]), SnapshotTable[[#This Row],[SP Strike Price]] * (1 - SP_MaxLoss_StrikePct), "")</f>
        <v/>
      </c>
      <c r="CZ236" s="31" t="str">
        <f>IF(ISNUMBER(SnapshotTable[[#This Row],[SP Strike  Stop Per Share]]),SnapshotTable[[#This Row],[SP Premium]] - ((SnapshotTable[[#This Row],[SP Strike Price]]-SnapshotTable[[#This Row],[SP Strike  Stop Per Share]]) *(SnapshotTable[[#This Row],[SP Qty]] * 100)),"")</f>
        <v/>
      </c>
      <c r="DA236" s="4" t="str">
        <f>IF(AND(ISNUMBER(SnapshotTable[[#This Row],[SP Premium]]),SnapshotTable[[#This Row],[SP Premium]]&gt;0), SnapshotTable[[#This Row],[SP Book Price]] * (1 + SP_MaxLoss_OptionPct), "")</f>
        <v/>
      </c>
      <c r="DB236" s="31" t="str">
        <f>IF(ISNUMBER(SnapshotTable[[#This Row],[SP Option  Stop Contract]]),(SnapshotTable[[#This Row],[SP Option  Stop Contract]] *(SnapshotTable[[#This Row],[SP Qty]] * 100) - SnapshotTable[[#This Row],[SP Premium]]),"")</f>
        <v/>
      </c>
      <c r="DC236" s="4"/>
      <c r="DD236" s="4"/>
      <c r="DE236" s="4" t="str">
        <f>IF(AND(SnapshotTable[[#This Row],[SP Qty]]&gt;0, SnapshotTable[[#This Row],[SP Stop To Use]]&gt;0),SnapshotTable[[#This Row],[SP Premium]] - ( SnapshotTable[[#This Row],[SP Qty]] * SnapshotTable[[#This Row],[SP Stop To Use]] * 100), "")</f>
        <v/>
      </c>
      <c r="DF236" s="31" t="str">
        <f>IF(AND(SnapshotTable[[#This Row],[SP Qty]]&gt;0,SnapshotTable[[#This Row],[SP Current Ask]]&gt;0), SnapshotTable[[#This Row],[SP Qty]] * SnapshotTable[[#This Row],[SP Current Ask]] * -100, "")</f>
        <v/>
      </c>
      <c r="DG236" s="31" t="str">
        <f>IF(ISNUMBER((SnapshotTable[[#This Row],[SP Total Value]])), SnapshotTable[[#This Row],[SP Premium]] + SnapshotTable[[#This Row],[SP Total Value]], "")</f>
        <v/>
      </c>
      <c r="DH236" s="272" t="str">
        <f>IF(ISNUMBER((SnapshotTable[[#This Row],[SP Total Value]])), SnapshotTable[[#This Row],[SP Gain Loss]] / SnapshotTable[[#This Row],[SP Premium]], "")</f>
        <v/>
      </c>
      <c r="DI236" s="369"/>
      <c r="DJ236" s="136"/>
      <c r="DK236" s="146"/>
      <c r="DL236" s="145"/>
      <c r="DM236" s="145"/>
      <c r="DN236" s="5"/>
      <c r="DO236" s="31">
        <f>IF(SnapshotTable[[#This Row],[LC Symbol Count]]=1, SnapshotTable[[#This Row],[LC Qty]] * SnapshotTable[[#This Row],[LC Book Price]] * 100, 0)</f>
        <v>0</v>
      </c>
      <c r="DP236" s="270" t="str">
        <f>IF(AND(SnapshotTable[[#This Row],[LC Exp Date]]&gt;0, SnapshotTable[[#This Row],[LC Strike Price]]&gt;0,SnapshotTable[[#This Row],[LC Qty]]&gt;0,SnapshotTable[[#This Row],[LC Book Date]]&gt;0,SnapshotTable[[#This Row],[LC Book Price]]&gt;0,SnapshotTable[[#This Row],[LC Fill Date]]=0),"Y","")</f>
        <v/>
      </c>
      <c r="DQ236" s="356" t="str">
        <f>IF(SnapshotTable[[#This Row],[LC Premium]] &gt; 0,SnapshotTable[[#This Row],[LC Exp Date]]-MAX(SnapshotTable[[#This Row],[LC Book Date]], SnapshotTable[[#This Row],[LC Fill Date]]),"")</f>
        <v/>
      </c>
      <c r="DR236" s="356" t="str">
        <f>IF(ISNUMBER(SnapshotTable[[#This Row],[LC Term]]), SnapshotTable[[#This Row],[LC Exp Date]] - MockToday, "")</f>
        <v/>
      </c>
      <c r="DS236" s="219" t="str">
        <f>IF(SnapshotTable[[#This Row],[LC Premium]]&gt;0,SnapshotTable[[#This Row],[LC Strike Price]] + SnapshotTable[[#This Row],[LC Book Price]],"")</f>
        <v/>
      </c>
      <c r="DT236" s="5"/>
      <c r="DU236" s="9" t="str">
        <f>IF(AND(SnapshotTable[[#This Row],[LC Symbol Count]]&gt;0, SnapshotTable[[#This Row],[LC Contract Value]]&gt;0), SnapshotTable[[#This Row],[LC Contract Value]] * SnapshotTable[[#This Row],[LC Qty]] * 100, "")</f>
        <v/>
      </c>
      <c r="DV236" s="9" t="str">
        <f>IF(AND(ISNUMBER(SnapshotTable[[#This Row],[LC Total Value]]), SnapshotTable[[#This Row],[LC Not Filled]]&lt;&gt;"Y"), SnapshotTable[[#This Row],[LC Total Value]]-SnapshotTable[[#This Row],[LC Premium]],"")</f>
        <v/>
      </c>
      <c r="DW236" s="225" t="str">
        <f>IF(ISNUMBER(SnapshotTable[[#This Row],[LC Actual Gain Loss]]), SnapshotTable[[#This Row],[LC Actual Gain Loss]] / SnapshotTable[[#This Row],[LC Premium]],"")</f>
        <v/>
      </c>
      <c r="DX236" s="269" t="str">
        <f>IF(ISNUMBER(SnapshotTable[[#This Row],[LC Book Price]]),SnapshotTable[[#This Row],[LC Book Price]] * 1.5,"")</f>
        <v/>
      </c>
      <c r="DY236" s="250" t="str">
        <f>IF(SnapshotTable[[#This Row],[LC Premium]]&gt;0, SnapshotTable[[#This Row],[LC Next Target]] * SnapshotTable[[#This Row],[LC Qty]] * 100,"")</f>
        <v/>
      </c>
      <c r="DZ236" s="250" t="str">
        <f>IF(ISNUMBER(SnapshotTable[[#This Row],[LC Target Gross]]), SnapshotTable[[#This Row],[LC Target Gross]] - SnapshotTable[[#This Row],[LC Premium]], "")</f>
        <v/>
      </c>
      <c r="EA236" s="283" t="str">
        <f>IF(ISNUMBER(SnapshotTable[[#This Row],[LC Target Gain Loss]]), SnapshotTable[[#This Row],[LC Target Gain Loss]]/SnapshotTable[[#This Row],[LC Premium]], "")</f>
        <v/>
      </c>
      <c r="EB236" s="247"/>
      <c r="EC236" s="268" t="str">
        <f>IF(SnapshotTable[[#This Row],[LC Premium]]&gt;0, SnapshotTable[[#This Row],[LC Book Price]] * (1 - LC_StopLoss_Pct),"")</f>
        <v/>
      </c>
      <c r="ED236" s="269"/>
      <c r="EE236" s="268" t="str">
        <f>IF(ISNUMBER(SnapshotTable[[#This Row],[LC Contract Value]]),IF(ISNUMBER(SnapshotTable[[#This Row],[LC Stop Loss Override]]), SnapshotTable[[#This Row],[LC Stop Loss Override]],SnapshotTable[[#This Row],[LC Stop Loss Calc Target]]),"")</f>
        <v/>
      </c>
      <c r="EF236" s="31" t="str">
        <f>IF(ISNUMBER(SnapshotTable[[#This Row],[LC Stop  To Use]]), (SnapshotTable[[#This Row],[LC Stop  To Use]] * SnapshotTable[[#This Row],[LC Qty]] * 100),"")</f>
        <v/>
      </c>
      <c r="EG236" s="9" t="str">
        <f>IF(ISNUMBER(SnapshotTable[[#This Row],[LC Total Value]]),SnapshotTable[[#This Row],[LC Stop Loss Amount]] - SnapshotTable[[#This Row],[LC Premium]],"")</f>
        <v/>
      </c>
      <c r="EH236" s="9">
        <f>IF(ISNUMBER(SnapshotTable[[#This Row],[LC Premium]]), SnapshotTable[[#This Row],[LC Qty]] * 100 * SnapshotTable[[#This Row],[LC Strike Price]], "")</f>
        <v>0</v>
      </c>
      <c r="EI236" s="225" t="str">
        <f>IF(AND(ISNUMBER(SnapshotTable[[#This Row],[LC Total Value]]),SnapshotTable[[#This Row],[LC Total Value]]&gt;0),SnapshotTable[[#This Row],[LC Stop Gain Loss]]  / SnapshotTable[[#This Row],[LC Premium]],"")</f>
        <v/>
      </c>
      <c r="EJ236" s="35">
        <f>IF(ISNUMBER(SnapshotTable[[#This Row],[Equity Shares]]),TRUNC(SnapshotTable[[#This Row],[Equity Shares]] / 100),0) + SnapshotTable[[#This Row],[LC Qty]]</f>
        <v>0</v>
      </c>
      <c r="EK236" s="145"/>
      <c r="EL236" s="136"/>
      <c r="EM236" s="146"/>
      <c r="EN236" s="145"/>
      <c r="EO236" s="145"/>
      <c r="EP236" s="136"/>
      <c r="EQ236" s="382" t="b">
        <f>AND(ISNUMBER(SnapshotTable[[#This Row],[SC Exp Date]]), ISNUMBER(SnapshotTable[[#This Row],[SC Strike Price]]), ISNUMBER(SnapshotTable[[#This Row],[SC Qty]]), ISNUMBER(SnapshotTable[[#This Row],[SC Book Date]]), ISNUMBER(SnapshotTable[[#This Row],[SC Book Price]]))</f>
        <v>0</v>
      </c>
      <c r="ER236" s="382" t="b">
        <f>AND(SnapshotTable[[#This Row],[SC Is Booked]], NOT(ISBLANK(SnapshotTable[[#This Row],[SC Fill Date]])))</f>
        <v>0</v>
      </c>
      <c r="ES236" s="340"/>
      <c r="ET236" s="34" t="str">
        <f>IF(AND(ISNUMBER(SnapshotTable[[#This Row],[SC Exp Date]]), ISNUMBER(SnapshotTable[[#This Row],[SC Book Date]])), SnapshotTable[[#This Row],[SC Exp Date]] - MAX(SnapshotTable[[#This Row],[SC Book Date]], SnapshotTable[[#This Row],[SC Fill Date]]) + 1, "")</f>
        <v/>
      </c>
      <c r="EU236" s="34" t="str">
        <f>IF(ISNUMBER(SnapshotTable[[#This Row],[SC Term]]), SnapshotTable[[#This Row],[SC Exp Date]]- MockToday, "")</f>
        <v/>
      </c>
      <c r="EV236" s="31">
        <f>IF(SnapshotTable[[#This Row],[SC Is Booked]], SnapshotTable[[#This Row],[SC Qty]] * SnapshotTable[[#This Row],[SC Book Price]] * 100, 0)</f>
        <v>0</v>
      </c>
      <c r="EW236" s="4" t="str">
        <f>IF(AND(ISNUMBER(SnapshotTable[[#This Row],[Last Price]]), ISNUMBER( SnapshotTable[[#This Row],[SC Book Price]])), SnapshotTable[[#This Row],[Last Price]] - SnapshotTable[[#This Row],[SC Book Price]],"")</f>
        <v/>
      </c>
      <c r="EX236" s="219" t="str">
        <f>IF(SnapshotTable[[#This Row],[SC Is Booked]],IF(SnapshotTable[[#This Row],[SC Intrinsic Value]] &gt; 0, SnapshotTable[[#This Row],[SC Strike Price]], SnapshotTable[[#This Row],[Last Price]]), "")</f>
        <v/>
      </c>
      <c r="EY236" s="4">
        <f>IF(SnapshotTable[[#This Row],[SC Is Booked]], (MinimumPremiumRequired * SnapshotTable[[#This Row],[SC Basis]] * SnapshotTable[[#This Row],[SC Term]]), 0)</f>
        <v>0</v>
      </c>
      <c r="EZ236" s="268"/>
      <c r="FA236" s="204"/>
      <c r="FB236" s="340"/>
      <c r="FC236" s="4">
        <f>IF(SnapshotTable[[#This Row],[SC Is Filled]], btc_max_buyback_amount(SnapshotTable[[#This Row],[SC Fill Date]],SnapshotTable[[#This Row],[SC Exp Date]], SnapshotTable[[#This Row],[SC Book Price]]),0)</f>
        <v>0</v>
      </c>
      <c r="FD236" s="5"/>
      <c r="FE236" s="142" t="str">
        <f>IF(SnapshotTable[[#This Row],[SC Is Filled]], btc_next_cutoff_date(SnapshotTable[[#This Row],[SC Fill Date]],SnapshotTable[[#This Row],[SC Exp Date]]),"")</f>
        <v/>
      </c>
      <c r="FF236" s="4" t="str" cm="1">
        <f t="array" ref="FF236">IF(SnapshotTable[[#This Row],[SC Is Filled]], btc_should_buy_back(SnapshotTable[[#This Row],[SC Fill Date]], SnapshotTable[[#This Row],[SC Exp Date]], SnapshotTable[[#This Row],[SC Book Price]], SnapshotTable[[#This Row],[SC Current Ask]], MockToday, SnapshotTable[[#This Row],[SC Buyback Override]]),"")</f>
        <v/>
      </c>
      <c r="FG236" s="4">
        <f>IF(SnapshotTable[[#This Row],[SC Is Filled]], MAX(0,SnapshotTable[[#This Row],[Last Price]]  - SnapshotTable[[#This Row],[SC Strike Price]]), 0)</f>
        <v>0</v>
      </c>
      <c r="FH236" s="352">
        <f>IF(SnapshotTable[[#This Row],[SC Is Filled]], IF(ISNUMBER(SnapshotTable[[#This Row],[SC Current Ask]]), SnapshotTable[[#This Row],[SC Current Ask]], SnapshotTable[[#This Row],[SC Book Price]]) - SnapshotTable[[#This Row],[SC Intrinsic Value]], 0)</f>
        <v>0</v>
      </c>
      <c r="FI236" s="141"/>
      <c r="FJ236" s="32" t="str">
        <f>IF(SnapshotTable[[#This Row],[SC Is Filled]],100 * SnapshotTable[[#This Row],[SC Qty]] * IF(ISNUMBER(SnapshotTable[[#This Row],[SC Buyback Override]]), SnapshotTable[[#This Row],[SC Buyback Override]], SnapshotTable[[#This Row],[SC Current Ask]]), "")</f>
        <v/>
      </c>
      <c r="FK236" s="235" t="str">
        <f>IF(SnapshotTable[[#This Row],[SC Time Val]]&gt;0, SnapshotTable[[#This Row],[SC Time Val]] / SnapshotTable[[#This Row],[Last Price]],"")</f>
        <v/>
      </c>
      <c r="FL236" s="280" t="str">
        <f>IF(SnapshotTable[[#This Row],[SC Is Booked]], ((SnapshotTable[[#This Row],[Last Price]] -SnapshotTable[[#This Row],[SC Strike Price]]) / SnapshotTable[[#This Row],[Last Price]]) * -1, "")</f>
        <v/>
      </c>
      <c r="FM236" s="155" t="str">
        <f>IF(SnapshotTable[[#This Row],[SC Is Booked]],  (SnapshotTable[[#This Row],[SC Qty]] * 100 * SnapshotTable[[#This Row],[SC Strike Price]]) - SnapshotTable[[#This Row],[SC Current Ask]], "")</f>
        <v/>
      </c>
      <c r="FN236"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6" s="155" t="str">
        <f>IF(AND(ISNUMBER(SnapshotTable[[#This Row],[SC Exercise Gross]]), ISNUMBER(SnapshotTable[[#This Row],[Equity Basis Per Share]] )), SnapshotTable[[#This Row],[SC Exercise Gross]] - SnapshotTable[[#This Row],[Equity Basis Total]] +  SnapshotTable[[#This Row],[SC Premium]], "")</f>
        <v/>
      </c>
      <c r="FP236" s="5" t="str">
        <f>IF(ISNUMBER(SnapshotTable[[#This Row],[SC Exercise Gross]]), (SnapshotTable[[#This Row],[SC Exercise Gross]]) / (SnapshotTable[[#This Row],[SC Qty]] * 100), "")</f>
        <v/>
      </c>
      <c r="FQ236" s="27" t="str">
        <f>IF(SnapshotTable[[#This Row],[SC Is Booked]],SnapshotTable[[#This Row],[SC Time Val]] /SnapshotTable[[#This Row],[SC Basis]], "")</f>
        <v/>
      </c>
      <c r="FR236" s="27" t="str" cm="1">
        <f t="array" ref="FR236">IF(AND(ISNUMBER(SnapshotTable[[#This Row],[SC Term]]),ISNUMBER(SnapshotTable[[#This Row],[SC Simple ROO]])), EllmanAnnualize(SnapshotTable[[#This Row],[SC DTE]], SnapshotTable[[#This Row],[SC Simple ROO]] ),"")</f>
        <v/>
      </c>
      <c r="FS236" s="4">
        <f>IF(SnapshotTable[[#This Row],[SC Strike Price]] &gt; SnapshotTable[[#This Row],[Last Price]], SnapshotTable[[#This Row],[SC Strike Price]] - SnapshotTable[[#This Row],[Last Price]],0)</f>
        <v>0</v>
      </c>
      <c r="FT236" s="27" t="str">
        <f>IF(AND(ISNUMBER(SnapshotTable[[#This Row],[SC Upside Potential]]), SnapshotTable[[#This Row],[SC Upside Potential]] &gt; 0),(SnapshotTable[[#This Row],[SC Upside Potential]]/ SnapshotTable[[#This Row],[ACB]]),"")</f>
        <v/>
      </c>
      <c r="FU236" s="304" t="str">
        <f>IF(SnapshotTable[[#This Row],[SC Intrinsic Value]] &gt; 0,SnapshotTable[[#This Row],[SC Intrinsic Value]],"")</f>
        <v/>
      </c>
      <c r="FV236" s="27" t="str">
        <f>IF(AND( ISNUMBER( SnapshotTable[[#This Row],[ACB]]),ISNUMBER(SnapshotTable[[#This Row],[SC Downside Protect]])),SnapshotTable[[#This Row],[SC Downside Protect]] / SnapshotTable[[#This Row],[ACB]],"")</f>
        <v/>
      </c>
      <c r="FW236" s="221" t="str">
        <f>IF(AND(ISNUMBER(SnapshotTable[[#This Row],[SC Simple ROO]]),SnapshotTable[[#This Row],[SC Simple ROO]] &gt; 0), SnapshotTable[[#This Row],[SC Premium]] + (SnapshotTable[[#This Row],[SC Qty]] * SnapshotTable[[#This Row],[SC Upside Potential]]), "")</f>
        <v/>
      </c>
      <c r="FX236" s="280" t="str" cm="1">
        <f t="array" ref="FX236">IF(ISNUMBER(SnapshotTable[[#This Row],[SC Max Dollars]]), annualize(SnapshotTable[[#This Row],[SC Term]],(SnapshotTable[[#This Row],[SC Max Dollars]]/SnapshotTable[[#This Row],[SC Basis]])),"")</f>
        <v/>
      </c>
      <c r="FY236" s="221" t="str">
        <f>IF(AND(SnapshotTable[[#This Row],[SC Qty]]&gt;0,SnapshotTable[[#This Row],[SC Current Ask]]&gt;0), SnapshotTable[[#This Row],[SC Qty]] * SnapshotTable[[#This Row],[SC Current Ask]] * -100, "")</f>
        <v/>
      </c>
      <c r="FZ236" s="220" t="str">
        <f>IF(ISNUMBER((SnapshotTable[[#This Row],[SC Current Value]])), SnapshotTable[[#This Row],[SC Premium]] + SnapshotTable[[#This Row],[SC Current Value]], "")</f>
        <v/>
      </c>
      <c r="GA236" s="272" t="str">
        <f>IFERROR( IF(ISNUMBER((SnapshotTable[[#This Row],[SC Current Value]])), SnapshotTable[[#This Row],[SC Gain Loss]] / SnapshotTable[[#This Row],[SC Premium]], ""), "")</f>
        <v/>
      </c>
      <c r="GB236" s="42">
        <f>SnapshotTable[[#This Row],[Equity Shares]] * SaleSharesToConsiderPercentage</f>
        <v>0</v>
      </c>
      <c r="GC236" s="40">
        <f>SnapshotTable[[#This Row],[Long Term Target]] * SellingPriceToConsiderBasedOnTargetPercentage</f>
        <v>53.541999999999994</v>
      </c>
      <c r="GD236" s="40">
        <f>SnapshotTable[[#This Row],[Last Price]] * (1+ SellingPriceToConsiderBasedOnTargetPercentage)</f>
        <v>100.93199999999999</v>
      </c>
      <c r="GE236" s="41"/>
      <c r="GF236" s="40"/>
      <c r="GG236" s="31">
        <f>SnapshotTable[[#This Row],[Booked Sale Shares]] * SnapshotTable[[#This Row],[Booked Sale Price]]</f>
        <v>0</v>
      </c>
      <c r="GH236" s="31" t="str">
        <f>IF(SnapshotTable[[#This Row],[Equity Basis Total]] &gt; 0, SnapshotTable[[#This Row],[Equity Basis Per Share]] * SnapshotTable[[#This Row],[Booked Sale Shares]], "")</f>
        <v/>
      </c>
      <c r="GI236" s="31">
        <f>IF(SnapshotTable[[#This Row],[Sale Proceeds]]&gt;0, SnapshotTable[[#This Row],[Sale Proceeds]] - SnapshotTable[[#This Row],[Sale Basis]], 0)</f>
        <v>0</v>
      </c>
      <c r="GJ236" s="156" t="str">
        <f>IF(SnapshotTable[[#This Row],[Sale G/L]]&gt;0, SnapshotTable[[#This Row],[Sale G/L]] / SnapshotTable[[#This Row],[Sale Basis]], IF(ISNUMBER(SnapshotTable[[#This Row],[SC Exercise P&amp;L (TAX)]]), SnapshotTable[[#This Row],[SC Exercise P&amp;L (TAX)]] / SnapshotTable[[#This Row],[SC Basis]], ""))</f>
        <v/>
      </c>
      <c r="GK236" s="156"/>
      <c r="GL236" s="157" t="str">
        <f>IF(AND(SnapshotTable[[#This Row],[LP Exp Date]]&gt;0,SnapshotTable[[#This Row],[LP Strike Price]]&gt;0), [1]!ToOptionSymbol(SnapshotTable[[#This Row],[Symbol]], SnapshotTable[[#This Row],[LP Strike Price]],SnapshotTable[[#This Row],[LP Exp Date]],1), "")</f>
        <v/>
      </c>
      <c r="GM236" s="30" t="str">
        <f>IF(LEN(SnapshotTable[[#This Row],[LP Symbol]])&gt;0, 1, "")</f>
        <v/>
      </c>
      <c r="GN236" s="43" t="str">
        <f>IF(AND(SnapshotTable[[#This Row],[SP Exp Date]]&gt;0,SnapshotTable[[#This Row],[SP Strike Price]]&gt;0), [1]!ToOptionSymbol(SnapshotTable[[#This Row],[Symbol]], SnapshotTable[[#This Row],[SP Strike Price]],SnapshotTable[[#This Row],[SP Exp Date]],1), "")</f>
        <v/>
      </c>
      <c r="GO236" s="30" t="str">
        <f>IF(LEN(SnapshotTable[[#This Row],[SP Symbol]])&gt;0, 1, "")</f>
        <v/>
      </c>
      <c r="GP236" s="157" t="str">
        <f>IF(AND(SnapshotTable[[#This Row],[LC Exp Date]]&gt;0,SnapshotTable[[#This Row],[LC Strike Price]]&gt;0), [1]!ToOptionSymbol(SnapshotTable[[#This Row],[Symbol]], SnapshotTable[[#This Row],[LC Strike Price]],SnapshotTable[[#This Row],[LC Exp Date]],0), "")</f>
        <v/>
      </c>
      <c r="GQ236" s="158" t="str">
        <f>IF(LEN(SnapshotTable[[#This Row],[LC Symbol]])&gt;0, 1, "")</f>
        <v/>
      </c>
      <c r="GR236" s="157" t="str">
        <f>IF(AND(SnapshotTable[[#This Row],[SC Exp Date]]&gt;0,SnapshotTable[[#This Row],[SC Strike Price]]&gt;0), [1]!ToOptionSymbol(SnapshotTable[[#This Row],[Symbol]], SnapshotTable[[#This Row],[SC Strike Price]],SnapshotTable[[#This Row],[SC Exp Date]],0), "")</f>
        <v/>
      </c>
      <c r="GS236" s="158" t="str">
        <f>IF(LEN(SnapshotTable[[#This Row],[SC Symbol]])&gt;0, 1, "")</f>
        <v/>
      </c>
      <c r="GT236" s="159" t="str">
        <f>IF(COUNT(SnapshotTable[[#This Row],[LP Symbol Count]],SnapshotTable[[#This Row],[SP Symbol Count]],SnapshotTable[[#This Row],[LC Symbol Count]],SnapshotTable[[#This Row],[SC Symbol Count]])&gt;0, "Y", "")</f>
        <v/>
      </c>
      <c r="GU236"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6" s="216">
        <f>MAX(SnapshotTable[[#This Row],[Equity Basis Total]],SnapshotTable[[#This Row],[Equity Value]]) + (SnapshotTable[[#This Row],[SP Potential Spend]]- SnapshotTable[[#This Row],[SP Premium]] + SnapshotTable[[#This Row],[LP Premium]])+ (SnapshotTable[[#This Row],[LC Premium]] - SnapshotTable[[#This Row],[SC Premium]])</f>
        <v>0</v>
      </c>
      <c r="GW236" s="137" t="str">
        <f>IF(AND(SnapshotTable[[#This Row],[Exposure]] &lt;&gt; 0),SnapshotTable[[#This Row],[Exposure]] / SnapshotTable[[#Totals],[Exposure]], "")</f>
        <v/>
      </c>
      <c r="GY236" s="351"/>
      <c r="HE236" s="351"/>
      <c r="HF236" s="351"/>
      <c r="HG236" s="351"/>
      <c r="HH236" s="351"/>
      <c r="HI236" s="351"/>
      <c r="HJ236" s="351"/>
    </row>
    <row r="237" spans="2:224" ht="12.75" hidden="1" customHeight="1" x14ac:dyDescent="0.25">
      <c r="B237" s="12" t="s">
        <v>409</v>
      </c>
      <c r="C237" s="385">
        <v>36.96</v>
      </c>
      <c r="D237" s="200"/>
      <c r="E237" s="39">
        <f>SnapshotTable[[#This Row],[Last Price]]*(1 -CrashDiscount)</f>
        <v>31.416</v>
      </c>
      <c r="F237" s="26" t="s">
        <v>62</v>
      </c>
      <c r="G237" s="26" t="s">
        <v>7</v>
      </c>
      <c r="H237" s="147"/>
      <c r="I237" s="186">
        <v>44783.25</v>
      </c>
      <c r="J237" s="187">
        <v>44783.25</v>
      </c>
      <c r="K237" s="188"/>
      <c r="L237" s="297"/>
      <c r="M237" s="138"/>
      <c r="N237" s="138"/>
      <c r="O237" s="138"/>
      <c r="P237" s="22"/>
      <c r="Q237" s="25"/>
      <c r="R237" s="4" t="str">
        <f>IF(SnapshotTable[[#This Row],[Equity Basis Total]] &gt; 0, SnapshotTable[[#This Row],[Equity Basis Total]] / SnapshotTable[[#This Row],[Equity Shares]], "")</f>
        <v/>
      </c>
      <c r="S237" s="254">
        <f>SnapshotTable[[#This Row],[Last Price]] * SnapshotTable[[#This Row],[Equity Shares]]</f>
        <v>0</v>
      </c>
      <c r="T237" s="254">
        <f>SnapshotTable[[#This Row],[Equity Value]] - SnapshotTable[[#This Row],[Equity Basis Total]]</f>
        <v>0</v>
      </c>
      <c r="U237" s="255" t="str">
        <f>IF(SnapshotTable[[#This Row],[Equity Basis Total]] &gt; 0, SnapshotTable[[#This Row],[Equity G/L]] / SnapshotTable[[#This Row],[Equity Basis Total]], "")</f>
        <v/>
      </c>
      <c r="V237" s="253"/>
      <c r="W237" s="253"/>
      <c r="X237" s="4" t="str">
        <f>IF(AND(ISNUMBER(SnapshotTable[[#This Row],[Equity Basis Per Share]]),ISNUMBER(SnapshotTable[[#This Row],[Equity Target]])),SnapshotTable[[#This Row],[Equity Target]]-SnapshotTable[[#This Row],[Equity Basis Per Share]],"")</f>
        <v/>
      </c>
      <c r="Y237" s="4" t="str">
        <f>IF(AND(ISNUMBER(SnapshotTable[[#This Row],[Equity Basis Per Share]]),ISNUMBER(SnapshotTable[[#This Row],[Equity Stop Loss]])),SnapshotTable[[#This Row],[Equity Stop Loss]]-SnapshotTable[[#This Row],[Equity Basis Per Share]],"")</f>
        <v/>
      </c>
      <c r="Z237" s="260" t="str">
        <f>IFERROR( TEXT(SnapshotTable[[#This Row],[Equity Max Gain Per Share]] /ABS( SnapshotTable[[#This Row],[Equity Max Loss Per Share]]),"0.0 " ) &amp; " : 1", "")</f>
        <v/>
      </c>
      <c r="AA237" s="31" t="str">
        <f>IF(ISNUMBER(SnapshotTable[[#This Row],[Equity Max Gain Per Share]]),SnapshotTable[[#This Row],[Equity Max Gain Per Share]] * SnapshotTable[[#This Row],[Equity Shares]],"")</f>
        <v/>
      </c>
      <c r="AB237" s="31" t="str">
        <f>IF(ISNUMBER(SnapshotTable[[#This Row],[Equity Max Loss Per Share]]),SnapshotTable[[#This Row],[Equity Max Loss Per Share]] * SnapshotTable[[#This Row],[Equity Shares]],"")</f>
        <v/>
      </c>
      <c r="AC237" s="148"/>
      <c r="AD237" s="149"/>
      <c r="AE237" s="31">
        <f>(SnapshotTable[[#This Row],[Annual Dividend Per Share]] / 4) * SnapshotTable[[#This Row],[Equity Shares]]</f>
        <v>0</v>
      </c>
      <c r="AF237" s="31">
        <f>SnapshotTable[[#This Row],[Quarterly Div $]] * 4</f>
        <v>0</v>
      </c>
      <c r="AG237" s="7">
        <f>IF(SnapshotTable[[#This Row],[Annual Dividend Per Share]]&gt;0, SnapshotTable[[#This Row],[Annual Dividend Per Share]]  / SnapshotTable[[#This Row],[Last Price]], 0)</f>
        <v>0</v>
      </c>
      <c r="AH237" s="149"/>
      <c r="AI237" s="5"/>
      <c r="AJ237" s="136">
        <v>3362.58</v>
      </c>
      <c r="AK237" s="150" t="str">
        <f>IF(ISNUMBER( SnapshotTable[[#This Row],[EBF Target]]),(SnapshotTable[[#This Row],[EBF Target]] - SnapshotTable[[#This Row],[Last Price]]) / SnapshotTable[[#This Row],[Last Price]], "")</f>
        <v/>
      </c>
      <c r="AL237" s="150" t="str">
        <f>IF(AND(SnapshotTable[[#This Row],[Equity Basis Total]] &gt; 0,ISNUMBER( SnapshotTable[[#This Row],[Long Term Target]])), SnapshotTable[[#This Row],[From Basis $]] / SnapshotTable[[#This Row],[Equity Basis Total]], "")</f>
        <v/>
      </c>
      <c r="AM237" s="9">
        <f>IF( AND(SnapshotTable[[#This Row],[Equity Shares]] &gt;0,ISNUMBER( SnapshotTable[[#This Row],[Long Term Target]])),(SnapshotTable[[#This Row],[Equity Shares]] * SnapshotTable[[#This Row],[Long Term Target]]) - SnapshotTable[[#This Row],[Equity Basis Total]],0)</f>
        <v>0</v>
      </c>
      <c r="AN237" s="9">
        <f>IF( AND(SnapshotTable[[#This Row],[Equity Shares]] &gt;0,ISNUMBER( SnapshotTable[[#This Row],[Long Term Target]])),(SnapshotTable[[#This Row],[Equity Shares]]*SnapshotTable[[#This Row],[Long Term Target]]) - SnapshotTable[[#This Row],[Equity Value]],0)</f>
        <v>0</v>
      </c>
      <c r="AO237" s="150">
        <f>IF(AND(ISNUMBER( SnapshotTable[[#This Row],[Long Term Target]]), ISNUMBER(SnapshotTable[[#This Row],[Last Price]])),(SnapshotTable[[#This Row],[Long Term Target]] - SnapshotTable[[#This Row],[Last Price]]) / SnapshotTable[[#This Row],[Last Price]], "")</f>
        <v>89.978896103896105</v>
      </c>
      <c r="AP237" s="5"/>
      <c r="AQ237" s="38"/>
      <c r="AR237" s="5"/>
      <c r="AS237" s="38"/>
      <c r="AT237" s="144"/>
      <c r="AU237" s="185" t="str">
        <f>IF(OR(SnapshotTable[[#This Row],[LP No Fill]]="Y",SnapshotTable[[#This Row],[SP Is Filled]],SnapshotTable[[#This Row],[LC Not Filled]]="Y",SnapshotTable[[#This Row],[SC Is Filled]]),"Y","")</f>
        <v/>
      </c>
      <c r="AV237" s="205"/>
      <c r="AW237" s="211"/>
      <c r="AX237" s="206"/>
      <c r="AY237" s="205" t="str">
        <f>IF(SnapshotTable[[#This Row],[Implied Move]]&gt;0, SnapshotTable[[#This Row],[Last Price]]-SnapshotTable[[#This Row],[Implied Move]],"")</f>
        <v/>
      </c>
      <c r="AZ237" s="205" t="str">
        <f>IF(SnapshotTable[[#This Row],[Implied Move]]&gt;0, SnapshotTable[[#This Row],[Last Price]] + SnapshotTable[[#This Row],[Implied Move]],"")</f>
        <v/>
      </c>
      <c r="BA237" s="302"/>
      <c r="BB237" s="318"/>
      <c r="BC23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7" s="321"/>
      <c r="BE237" s="5"/>
      <c r="BF237" s="14"/>
      <c r="BG237" s="13"/>
      <c r="BH237" s="13"/>
      <c r="BI237" s="5"/>
      <c r="BJ237" s="134">
        <f>IF(SnapshotTable[[#This Row],[LP Qty]] &gt; 0, SnapshotTable[[#This Row],[LP Qty]] * SnapshotTable[[#This Row],[LP Book Price]] * 100,0)</f>
        <v>0</v>
      </c>
      <c r="BK237" s="134">
        <f>IF(SnapshotTable[[#This Row],[LP Premium]] &gt; 0, SnapshotTable[[#This Row],[LP Qty]] * SnapshotTable[[#This Row],[LP Strike Price]] * 100,0)</f>
        <v>0</v>
      </c>
      <c r="BL237" s="152"/>
      <c r="BM237" s="355" t="str">
        <f>IF(SnapshotTable[[#This Row],[LP Premium]] &gt; 0,SnapshotTable[[#This Row],[LP Exp Date]]-MAX(SnapshotTable[[#This Row],[LP Book Date]], SnapshotTable[[#This Row],[LP Fill Date]]),"")</f>
        <v/>
      </c>
      <c r="BN237" s="355" t="str">
        <f>IF(ISNUMBER( SnapshotTable[[#This Row],[LP Term]]), SnapshotTable[[#This Row],[LP Exp Date]] - MockToday,"")</f>
        <v/>
      </c>
      <c r="BO237" s="161" t="str">
        <f>IF(AND(SnapshotTable[[#This Row],[LP Exp Date]]&gt;0, SnapshotTable[[#This Row],[LP Strike Price]]&gt;0,SnapshotTable[[#This Row],[LP Qty]]&gt;0,SnapshotTable[[#This Row],[LP Book Date]]&gt;0,SnapshotTable[[#This Row],[LP Book Price]]&gt;0,SnapshotTable[[#This Row],[LP Fill Date]]=0),"Y","")</f>
        <v/>
      </c>
      <c r="BP237" s="31" t="str">
        <f>IF(AND(SnapshotTable[[#This Row],[LP No Fill]]&lt;&gt;"Y",SnapshotTable[[#This Row],[LP Contract Value]]&gt;0, SnapshotTable[[#This Row],[LP Qty]]&gt;0), SnapshotTable[[#This Row],[LP Contract Value]]*SnapshotTable[[#This Row],[LP Qty]]*100,"")</f>
        <v/>
      </c>
      <c r="BQ237" s="13"/>
      <c r="BR237" s="5"/>
      <c r="BS237" s="36"/>
      <c r="BT237" s="145"/>
      <c r="BU237" s="13"/>
      <c r="BV237" s="5"/>
      <c r="BW237" s="382" t="b">
        <f>AND(ISNUMBER(SnapshotTable[[#This Row],[SP Exp Date]]), ISNUMBER(SnapshotTable[[#This Row],[SP Strike Price]]), ISNUMBER(SnapshotTable[[#This Row],[SP Qty]]), ISNUMBER(SnapshotTable[[#This Row],[SP Book Date]]), ISNUMBER(SnapshotTable[[#This Row],[SP Book Price]]))</f>
        <v>0</v>
      </c>
      <c r="BX237" s="382" t="b">
        <f>AND(SnapshotTable[[#This Row],[SP Is Booked]], NOT(ISBLANK(SnapshotTable[[#This Row],[SP Fill Date]])))</f>
        <v>0</v>
      </c>
      <c r="BY237" s="33">
        <f>IF(SnapshotTable[[#This Row],[SP Is Booked]], SnapshotTable[[#This Row],[SP Qty]] * SnapshotTable[[#This Row],[SP Book Price]] * 100, 0)</f>
        <v>0</v>
      </c>
      <c r="BZ237" s="339"/>
      <c r="CA237" s="338">
        <f>SnapshotTable[[#This Row],[LP Qty]]</f>
        <v>0</v>
      </c>
      <c r="CB237" s="4" t="str">
        <f>IF(SnapshotTable[[#This Row],[SP Is Booked]], SnapshotTable[[#This Row],[SP Strike Price]] - SnapshotTable[[#This Row],[SP Book Price]], "")</f>
        <v/>
      </c>
      <c r="CC237" s="19" t="str">
        <f>IF(SnapshotTable[[#This Row],[SP Is Booked]],SnapshotTable[[#This Row],[SP Exp Date]]-MAX(SnapshotTable[[#This Row],[SP Book Date]], SnapshotTable[[#This Row],[SP Fill Date]]),"")</f>
        <v/>
      </c>
      <c r="CD237" s="7" t="str">
        <f>IF(SnapshotTable[[#This Row],[SP Is Booked]], SnapshotTable[[#This Row],[SP Book Price]]/SnapshotTable[[#This Row],[SP Strike Price]], "")</f>
        <v/>
      </c>
      <c r="CE237" s="7" t="str">
        <f>IF(ISNUMBER(SnapshotTable[[#This Row],[SP ROO Term]]),SnapshotTable[[#This Row],[SP ROO Term]]*(365/SnapshotTable[[#This Row],[SP Term]]),"")</f>
        <v/>
      </c>
      <c r="CF237" s="221">
        <f>SnapshotTable[[#This Row],[LP Strike Price]] * SnapshotTable[[#This Row],[LP Qty]] * 100</f>
        <v>0</v>
      </c>
      <c r="CG237" s="31">
        <f>IF(ISNUMBER(SnapshotTable[[#This Row],[SP Premium]]), (SnapshotTable[[#This Row],[SP Qty]] * SnapshotTable[[#This Row],[SP Strike Price]]* 100) - SnapshotTable[[#This Row],[LP Protection]], 0)</f>
        <v>0</v>
      </c>
      <c r="CH237" s="7" t="str">
        <f>IF(ISNUMBER(SnapshotTable[[#This Row],[SP Break Even]]),-1 * (SnapshotTable[[#This Row],[SP Break Even]] - SnapshotTable[[#This Row],[Last Price]]) / SnapshotTable[[#This Row],[Last Price]], "")</f>
        <v/>
      </c>
      <c r="CI237" s="31">
        <f>IF(AND(ISNUMBER((SnapshotTable[[#This Row],[SP Potential Spend]])), SnapshotTable[[#This Row],[SP Strike Price]] &gt; SnapshotTable[[#This Row],[Last Price]], SnapshotTable[[#This Row],[SP Is Filled]]), SnapshotTable[[#This Row],[SP Potential Spend]] -  SnapshotTable[[#This Row],[LP Max Value]], 0)</f>
        <v>0</v>
      </c>
      <c r="CJ237" s="229"/>
      <c r="CK237" s="31">
        <f>IF(ISNUMBER(SnapshotTable[[#This Row],[SP Potential Spend]]),IF(ISNUMBER(SnapshotTable[[#This Row],[SP POW]]), SnapshotTable[[#This Row],[SP POW]] * SnapshotTable[[#This Row],[SP Potential Spend]], SnapshotTable[[#This Row],[SP Potential Spend]]), "")</f>
        <v>0</v>
      </c>
      <c r="CL237" s="162">
        <f>IF(NOT(SnapshotTable[[#This Row],[SP Is Filled]]),(SnapshotTable[[#This Row],[SP Qty]] * SnapshotTable[[#This Row],[SP Strike Price]] * 100) - SnapshotTable[[#This Row],[LP Max Value]],"")</f>
        <v>0</v>
      </c>
      <c r="CM237" s="31" t="str">
        <f>IF(SnapshotTable[[#This Row],[SP Actual Spend]]&lt;&gt;0, ((SnapshotTable[[#This Row],[SP Strike Price]]-SnapshotTable[[#This Row],[Last Price]]) *(SnapshotTable[[#This Row],[SP Qty]]*100) - SnapshotTable[[#This Row],[SP Premium]]) * - 1, "")</f>
        <v/>
      </c>
      <c r="CN237" s="76"/>
      <c r="CO237" s="339"/>
      <c r="CP237" s="4" t="str">
        <f>IF(SnapshotTable[[#This Row],[SP Is Filled]], btc_max_buyback_amount(SnapshotTable[[#This Row],[SP Fill Date]],SnapshotTable[[#This Row],[SP Exp Date]], SnapshotTable[[#This Row],[SP Book Price]]),"")</f>
        <v/>
      </c>
      <c r="CQ237" s="76"/>
      <c r="CR23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7" s="153" t="str">
        <f>IF(SnapshotTable[[#This Row],[SP Is Filled]], btc_next_cutoff_date(SnapshotTable[[#This Row],[SP Fill Date]],SnapshotTable[[#This Row],[SP Exp Date]]),"")</f>
        <v/>
      </c>
      <c r="CT237" s="220" t="str" cm="1">
        <f t="array" ref="CT237">IF(SnapshotTable[[#This Row],[SP Is Filled]], btc_should_buy_back(SnapshotTable[[#This Row],[SP Fill Date]], SnapshotTable[[#This Row],[SP Exp Date]], SnapshotTable[[#This Row],[SP Book Price]], SnapshotTable[[#This Row],[SP Current Ask]], MockToday, SnapshotTable[[#This Row],[SP Buyback Override]]),"")</f>
        <v/>
      </c>
      <c r="CU237" s="141"/>
      <c r="CV237" s="220"/>
      <c r="CW237" s="348" t="str">
        <f>IF(ISNUMBER( SnapshotTable[[#This Row],[SP Term]]), SnapshotTable[[#This Row],[SP Exp Date]] - MockToday,"")</f>
        <v/>
      </c>
      <c r="CX237" s="31" t="str">
        <f>IF(SnapshotTable[[#This Row],[SP Is Filled]],SnapshotTable[[#This Row],[SP Buyback Price to Use]] * 100 * SnapshotTable[[#This Row],[SP Qty]], "")</f>
        <v/>
      </c>
      <c r="CY237" s="4" t="str">
        <f>IF(ISNUMBER(SnapshotTable[[#This Row],[SP Strike Price]]), SnapshotTable[[#This Row],[SP Strike Price]] * (1 - SP_MaxLoss_StrikePct), "")</f>
        <v/>
      </c>
      <c r="CZ237" s="31" t="str">
        <f>IF(ISNUMBER(SnapshotTable[[#This Row],[SP Strike  Stop Per Share]]),SnapshotTable[[#This Row],[SP Premium]] - ((SnapshotTable[[#This Row],[SP Strike Price]]-SnapshotTable[[#This Row],[SP Strike  Stop Per Share]]) *(SnapshotTable[[#This Row],[SP Qty]] * 100)),"")</f>
        <v/>
      </c>
      <c r="DA237" s="4" t="str">
        <f>IF(AND(ISNUMBER(SnapshotTable[[#This Row],[SP Premium]]),SnapshotTable[[#This Row],[SP Premium]]&gt;0), SnapshotTable[[#This Row],[SP Book Price]] * (1 + SP_MaxLoss_OptionPct), "")</f>
        <v/>
      </c>
      <c r="DB237" s="31" t="str">
        <f>IF(ISNUMBER(SnapshotTable[[#This Row],[SP Option  Stop Contract]]),(SnapshotTable[[#This Row],[SP Option  Stop Contract]] *(SnapshotTable[[#This Row],[SP Qty]] * 100) - SnapshotTable[[#This Row],[SP Premium]]),"")</f>
        <v/>
      </c>
      <c r="DC237" s="4"/>
      <c r="DD237" s="4"/>
      <c r="DE237" s="4" t="str">
        <f>IF(AND(SnapshotTable[[#This Row],[SP Qty]]&gt;0, SnapshotTable[[#This Row],[SP Stop To Use]]&gt;0),SnapshotTable[[#This Row],[SP Premium]] - ( SnapshotTable[[#This Row],[SP Qty]] * SnapshotTable[[#This Row],[SP Stop To Use]] * 100), "")</f>
        <v/>
      </c>
      <c r="DF237" s="31" t="str">
        <f>IF(AND(SnapshotTable[[#This Row],[SP Qty]]&gt;0,SnapshotTable[[#This Row],[SP Current Ask]]&gt;0), SnapshotTable[[#This Row],[SP Qty]] * SnapshotTable[[#This Row],[SP Current Ask]] * -100, "")</f>
        <v/>
      </c>
      <c r="DG237" s="31" t="str">
        <f>IF(ISNUMBER((SnapshotTable[[#This Row],[SP Total Value]])), SnapshotTable[[#This Row],[SP Premium]] + SnapshotTable[[#This Row],[SP Total Value]], "")</f>
        <v/>
      </c>
      <c r="DH237" s="272" t="str">
        <f>IF(ISNUMBER((SnapshotTable[[#This Row],[SP Total Value]])), SnapshotTable[[#This Row],[SP Gain Loss]] / SnapshotTable[[#This Row],[SP Premium]], "")</f>
        <v/>
      </c>
      <c r="DI237" s="369"/>
      <c r="DJ237" s="136"/>
      <c r="DK237" s="146"/>
      <c r="DL237" s="13"/>
      <c r="DM237" s="13"/>
      <c r="DO237" s="31">
        <f>IF(SnapshotTable[[#This Row],[LC Symbol Count]]=1, SnapshotTable[[#This Row],[LC Qty]] * SnapshotTable[[#This Row],[LC Book Price]] * 100, 0)</f>
        <v>0</v>
      </c>
      <c r="DP237" s="161" t="str">
        <f>IF(AND(SnapshotTable[[#This Row],[LC Exp Date]]&gt;0, SnapshotTable[[#This Row],[LC Strike Price]]&gt;0,SnapshotTable[[#This Row],[LC Qty]]&gt;0,SnapshotTable[[#This Row],[LC Book Date]]&gt;0,SnapshotTable[[#This Row],[LC Book Price]]&gt;0,SnapshotTable[[#This Row],[LC Fill Date]]=0),"Y","")</f>
        <v/>
      </c>
      <c r="DQ237" s="356" t="str">
        <f>IF(SnapshotTable[[#This Row],[LC Premium]] &gt; 0,SnapshotTable[[#This Row],[LC Exp Date]]-MAX(SnapshotTable[[#This Row],[LC Book Date]], SnapshotTable[[#This Row],[LC Fill Date]]),"")</f>
        <v/>
      </c>
      <c r="DR237" s="356" t="str">
        <f>IF(ISNUMBER(SnapshotTable[[#This Row],[LC Term]]), SnapshotTable[[#This Row],[LC Exp Date]] - MockToday, "")</f>
        <v/>
      </c>
      <c r="DS237" s="219" t="str">
        <f>IF(SnapshotTable[[#This Row],[LC Premium]]&gt;0,SnapshotTable[[#This Row],[LC Strike Price]] + SnapshotTable[[#This Row],[LC Book Price]],"")</f>
        <v/>
      </c>
      <c r="DU237" s="9" t="str">
        <f>IF(AND(SnapshotTable[[#This Row],[LC Symbol Count]]&gt;0, SnapshotTable[[#This Row],[LC Contract Value]]&gt;0), SnapshotTable[[#This Row],[LC Contract Value]] * SnapshotTable[[#This Row],[LC Qty]] * 100, "")</f>
        <v/>
      </c>
      <c r="DV237" s="9" t="str">
        <f>IF(AND(ISNUMBER(SnapshotTable[[#This Row],[LC Total Value]]), SnapshotTable[[#This Row],[LC Not Filled]]&lt;&gt;"Y"), SnapshotTable[[#This Row],[LC Total Value]]-SnapshotTable[[#This Row],[LC Premium]],"")</f>
        <v/>
      </c>
      <c r="DW237" s="225" t="str">
        <f>IF(ISNUMBER(SnapshotTable[[#This Row],[LC Actual Gain Loss]]), SnapshotTable[[#This Row],[LC Actual Gain Loss]] / SnapshotTable[[#This Row],[LC Premium]],"")</f>
        <v/>
      </c>
      <c r="DX237" s="269" t="str">
        <f>IF(ISNUMBER(SnapshotTable[[#This Row],[LC Book Price]]),SnapshotTable[[#This Row],[LC Book Price]] * 1.5,"")</f>
        <v/>
      </c>
      <c r="DY237" s="250" t="str">
        <f>IF(SnapshotTable[[#This Row],[LC Premium]]&gt;0, SnapshotTable[[#This Row],[LC Next Target]] * SnapshotTable[[#This Row],[LC Qty]] * 100,"")</f>
        <v/>
      </c>
      <c r="DZ237" s="250" t="str">
        <f>IF(ISNUMBER(SnapshotTable[[#This Row],[LC Target Gross]]), SnapshotTable[[#This Row],[LC Target Gross]] - SnapshotTable[[#This Row],[LC Premium]], "")</f>
        <v/>
      </c>
      <c r="EA237" s="283" t="str">
        <f>IF(ISNUMBER(SnapshotTable[[#This Row],[LC Target Gain Loss]]), SnapshotTable[[#This Row],[LC Target Gain Loss]]/SnapshotTable[[#This Row],[LC Premium]], "")</f>
        <v/>
      </c>
      <c r="EB237" s="247"/>
      <c r="EC237" s="268" t="str">
        <f>IF(SnapshotTable[[#This Row],[LC Premium]]&gt;0, SnapshotTable[[#This Row],[LC Book Price]] * (1 - LC_StopLoss_Pct),"")</f>
        <v/>
      </c>
      <c r="ED237" s="269"/>
      <c r="EE237" s="268" t="str">
        <f>IF(ISNUMBER(SnapshotTable[[#This Row],[LC Contract Value]]),IF(ISNUMBER(SnapshotTable[[#This Row],[LC Stop Loss Override]]), SnapshotTable[[#This Row],[LC Stop Loss Override]],SnapshotTable[[#This Row],[LC Stop Loss Calc Target]]),"")</f>
        <v/>
      </c>
      <c r="EF237" s="31" t="str">
        <f>IF(ISNUMBER(SnapshotTable[[#This Row],[LC Stop  To Use]]), (SnapshotTable[[#This Row],[LC Stop  To Use]] * SnapshotTable[[#This Row],[LC Qty]] * 100),"")</f>
        <v/>
      </c>
      <c r="EG237" s="9" t="str">
        <f>IF(ISNUMBER(SnapshotTable[[#This Row],[LC Total Value]]),SnapshotTable[[#This Row],[LC Stop Loss Amount]] - SnapshotTable[[#This Row],[LC Premium]],"")</f>
        <v/>
      </c>
      <c r="EH237" s="9">
        <f>IF(ISNUMBER(SnapshotTable[[#This Row],[LC Premium]]), SnapshotTable[[#This Row],[LC Qty]] * 100 * SnapshotTable[[#This Row],[LC Strike Price]], "")</f>
        <v>0</v>
      </c>
      <c r="EI237" s="225" t="str">
        <f>IF(AND(ISNUMBER(SnapshotTable[[#This Row],[LC Total Value]]),SnapshotTable[[#This Row],[LC Total Value]]&gt;0),SnapshotTable[[#This Row],[LC Stop Gain Loss]]  / SnapshotTable[[#This Row],[LC Premium]],"")</f>
        <v/>
      </c>
      <c r="EJ237" s="35">
        <f>IF(ISNUMBER(SnapshotTable[[#This Row],[Equity Shares]]),TRUNC(SnapshotTable[[#This Row],[Equity Shares]] / 100),0) + SnapshotTable[[#This Row],[LC Qty]]</f>
        <v>0</v>
      </c>
      <c r="EK237" s="145"/>
      <c r="EL237" s="136"/>
      <c r="EM237" s="146"/>
      <c r="EN237" s="145"/>
      <c r="EO237" s="145"/>
      <c r="EP237" s="136"/>
      <c r="EQ237" s="382" t="b">
        <f>AND(ISNUMBER(SnapshotTable[[#This Row],[SC Exp Date]]), ISNUMBER(SnapshotTable[[#This Row],[SC Strike Price]]), ISNUMBER(SnapshotTable[[#This Row],[SC Qty]]), ISNUMBER(SnapshotTable[[#This Row],[SC Book Date]]), ISNUMBER(SnapshotTable[[#This Row],[SC Book Price]]))</f>
        <v>0</v>
      </c>
      <c r="ER237" s="382" t="b">
        <f>AND(SnapshotTable[[#This Row],[SC Is Booked]], NOT(ISBLANK(SnapshotTable[[#This Row],[SC Fill Date]])))</f>
        <v>0</v>
      </c>
      <c r="ES237" s="340"/>
      <c r="ET237" s="34" t="str">
        <f>IF(AND(ISNUMBER(SnapshotTable[[#This Row],[SC Exp Date]]), ISNUMBER(SnapshotTable[[#This Row],[SC Book Date]])), SnapshotTable[[#This Row],[SC Exp Date]] - MAX(SnapshotTable[[#This Row],[SC Book Date]], SnapshotTable[[#This Row],[SC Fill Date]]) + 1, "")</f>
        <v/>
      </c>
      <c r="EU237" s="34" t="str">
        <f>IF(ISNUMBER(SnapshotTable[[#This Row],[SC Term]]), SnapshotTable[[#This Row],[SC Exp Date]]- MockToday, "")</f>
        <v/>
      </c>
      <c r="EV237" s="31">
        <f>IF(SnapshotTable[[#This Row],[SC Is Booked]], SnapshotTable[[#This Row],[SC Qty]] * SnapshotTable[[#This Row],[SC Book Price]] * 100, 0)</f>
        <v>0</v>
      </c>
      <c r="EW237" s="4" t="str">
        <f>IF(AND(ISNUMBER(SnapshotTable[[#This Row],[Last Price]]), ISNUMBER( SnapshotTable[[#This Row],[SC Book Price]])), SnapshotTable[[#This Row],[Last Price]] - SnapshotTable[[#This Row],[SC Book Price]],"")</f>
        <v/>
      </c>
      <c r="EX237" s="219" t="str">
        <f>IF(SnapshotTable[[#This Row],[SC Is Booked]],IF(SnapshotTable[[#This Row],[SC Intrinsic Value]] &gt; 0, SnapshotTable[[#This Row],[SC Strike Price]], SnapshotTable[[#This Row],[Last Price]]), "")</f>
        <v/>
      </c>
      <c r="EY237" s="4">
        <f>IF(SnapshotTable[[#This Row],[SC Is Booked]], (MinimumPremiumRequired * SnapshotTable[[#This Row],[SC Basis]] * SnapshotTable[[#This Row],[SC Term]]), 0)</f>
        <v>0</v>
      </c>
      <c r="EZ237" s="268"/>
      <c r="FA237" s="204"/>
      <c r="FB237" s="340"/>
      <c r="FC237" s="4">
        <f>IF(SnapshotTable[[#This Row],[SC Is Filled]], btc_max_buyback_amount(SnapshotTable[[#This Row],[SC Fill Date]],SnapshotTable[[#This Row],[SC Exp Date]], SnapshotTable[[#This Row],[SC Book Price]]),0)</f>
        <v>0</v>
      </c>
      <c r="FD237" s="5"/>
      <c r="FE237" s="142" t="str">
        <f>IF(SnapshotTable[[#This Row],[SC Is Filled]], btc_next_cutoff_date(SnapshotTable[[#This Row],[SC Fill Date]],SnapshotTable[[#This Row],[SC Exp Date]]),"")</f>
        <v/>
      </c>
      <c r="FF237" s="4" t="str" cm="1">
        <f t="array" ref="FF237">IF(SnapshotTable[[#This Row],[SC Is Filled]], btc_should_buy_back(SnapshotTable[[#This Row],[SC Fill Date]], SnapshotTable[[#This Row],[SC Exp Date]], SnapshotTable[[#This Row],[SC Book Price]], SnapshotTable[[#This Row],[SC Current Ask]], MockToday, SnapshotTable[[#This Row],[SC Buyback Override]]),"")</f>
        <v/>
      </c>
      <c r="FG237" s="4">
        <f>IF(SnapshotTable[[#This Row],[SC Is Filled]], MAX(0,SnapshotTable[[#This Row],[Last Price]]  - SnapshotTable[[#This Row],[SC Strike Price]]), 0)</f>
        <v>0</v>
      </c>
      <c r="FH237" s="352">
        <f>IF(SnapshotTable[[#This Row],[SC Is Filled]], IF(ISNUMBER(SnapshotTable[[#This Row],[SC Current Ask]]), SnapshotTable[[#This Row],[SC Current Ask]], SnapshotTable[[#This Row],[SC Book Price]]) - SnapshotTable[[#This Row],[SC Intrinsic Value]], 0)</f>
        <v>0</v>
      </c>
      <c r="FI237" s="141"/>
      <c r="FJ237" s="32" t="str">
        <f>IF(SnapshotTable[[#This Row],[SC Is Filled]],100 * SnapshotTable[[#This Row],[SC Qty]] * IF(ISNUMBER(SnapshotTable[[#This Row],[SC Buyback Override]]), SnapshotTable[[#This Row],[SC Buyback Override]], SnapshotTable[[#This Row],[SC Current Ask]]), "")</f>
        <v/>
      </c>
      <c r="FK237" s="235" t="str">
        <f>IF(SnapshotTable[[#This Row],[SC Time Val]]&gt;0, SnapshotTable[[#This Row],[SC Time Val]] / SnapshotTable[[#This Row],[Last Price]],"")</f>
        <v/>
      </c>
      <c r="FL237" s="280" t="str">
        <f>IF(SnapshotTable[[#This Row],[SC Is Booked]], ((SnapshotTable[[#This Row],[Last Price]] -SnapshotTable[[#This Row],[SC Strike Price]]) / SnapshotTable[[#This Row],[Last Price]]) * -1, "")</f>
        <v/>
      </c>
      <c r="FM237" s="155" t="str">
        <f>IF(SnapshotTable[[#This Row],[SC Is Booked]],  (SnapshotTable[[#This Row],[SC Qty]] * 100 * SnapshotTable[[#This Row],[SC Strike Price]]) - SnapshotTable[[#This Row],[SC Current Ask]], "")</f>
        <v/>
      </c>
      <c r="FN23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7" s="31" t="str">
        <f>IF(AND(ISNUMBER(SnapshotTable[[#This Row],[SC Exercise Gross]]), ISNUMBER(SnapshotTable[[#This Row],[Equity Basis Per Share]] )), SnapshotTable[[#This Row],[SC Exercise Gross]] - SnapshotTable[[#This Row],[Equity Basis Total]] +  SnapshotTable[[#This Row],[SC Premium]], "")</f>
        <v/>
      </c>
      <c r="FP237" s="5" t="str">
        <f>IF(ISNUMBER(SnapshotTable[[#This Row],[SC Exercise Gross]]), (SnapshotTable[[#This Row],[SC Exercise Gross]]) / (SnapshotTable[[#This Row],[SC Qty]] * 100), "")</f>
        <v/>
      </c>
      <c r="FQ237" s="27" t="str">
        <f>IF(SnapshotTable[[#This Row],[SC Is Booked]],SnapshotTable[[#This Row],[SC Time Val]] /SnapshotTable[[#This Row],[SC Basis]], "")</f>
        <v/>
      </c>
      <c r="FR237" s="27" t="str" cm="1">
        <f t="array" ref="FR237">IF(AND(ISNUMBER(SnapshotTable[[#This Row],[SC Term]]),ISNUMBER(SnapshotTable[[#This Row],[SC Simple ROO]])), EllmanAnnualize(SnapshotTable[[#This Row],[SC DTE]], SnapshotTable[[#This Row],[SC Simple ROO]] ),"")</f>
        <v/>
      </c>
      <c r="FS237" s="4">
        <f>IF(SnapshotTable[[#This Row],[SC Strike Price]] &gt; SnapshotTable[[#This Row],[Last Price]], SnapshotTable[[#This Row],[SC Strike Price]] - SnapshotTable[[#This Row],[Last Price]],0)</f>
        <v>0</v>
      </c>
      <c r="FT237" s="27" t="str">
        <f>IF(AND(ISNUMBER(SnapshotTable[[#This Row],[SC Upside Potential]]), SnapshotTable[[#This Row],[SC Upside Potential]] &gt; 0),(SnapshotTable[[#This Row],[SC Upside Potential]]/ SnapshotTable[[#This Row],[ACB]]),"")</f>
        <v/>
      </c>
      <c r="FU237" s="304" t="str">
        <f>IF(SnapshotTable[[#This Row],[SC Intrinsic Value]] &gt; 0,SnapshotTable[[#This Row],[SC Intrinsic Value]],"")</f>
        <v/>
      </c>
      <c r="FV237" s="27" t="str">
        <f>IF(AND( ISNUMBER( SnapshotTable[[#This Row],[ACB]]),ISNUMBER(SnapshotTable[[#This Row],[SC Downside Protect]])),SnapshotTable[[#This Row],[SC Downside Protect]] / SnapshotTable[[#This Row],[ACB]],"")</f>
        <v/>
      </c>
      <c r="FW237" s="221" t="str">
        <f>IF(AND(ISNUMBER(SnapshotTable[[#This Row],[SC Simple ROO]]),SnapshotTable[[#This Row],[SC Simple ROO]] &gt; 0), SnapshotTable[[#This Row],[SC Premium]] + (SnapshotTable[[#This Row],[SC Qty]] * SnapshotTable[[#This Row],[SC Upside Potential]]), "")</f>
        <v/>
      </c>
      <c r="FX237" s="280" t="str" cm="1">
        <f t="array" ref="FX237">IF(ISNUMBER(SnapshotTable[[#This Row],[SC Max Dollars]]), annualize(SnapshotTable[[#This Row],[SC Term]],(SnapshotTable[[#This Row],[SC Max Dollars]]/SnapshotTable[[#This Row],[SC Basis]])),"")</f>
        <v/>
      </c>
      <c r="FY237" s="221" t="str">
        <f>IF(AND(SnapshotTable[[#This Row],[SC Qty]]&gt;0,SnapshotTable[[#This Row],[SC Current Ask]]&gt;0), SnapshotTable[[#This Row],[SC Qty]] * SnapshotTable[[#This Row],[SC Current Ask]] * -100, "")</f>
        <v/>
      </c>
      <c r="FZ237" s="31" t="str">
        <f>IF(ISNUMBER((SnapshotTable[[#This Row],[SC Current Value]])), SnapshotTable[[#This Row],[SC Premium]] + SnapshotTable[[#This Row],[SC Current Value]], "")</f>
        <v/>
      </c>
      <c r="GA237" s="272" t="str">
        <f>IFERROR( IF(ISNUMBER((SnapshotTable[[#This Row],[SC Current Value]])), SnapshotTable[[#This Row],[SC Gain Loss]] / SnapshotTable[[#This Row],[SC Premium]], ""), "")</f>
        <v/>
      </c>
      <c r="GB237" s="42">
        <f>SnapshotTable[[#This Row],[Equity Shares]] * SaleSharesToConsiderPercentage</f>
        <v>0</v>
      </c>
      <c r="GC237" s="40">
        <f>SnapshotTable[[#This Row],[Long Term Target]] * SellingPriceToConsiderBasedOnTargetPercentage</f>
        <v>3194.4509999999996</v>
      </c>
      <c r="GD237" s="40">
        <f>SnapshotTable[[#This Row],[Last Price]] * (1+ SellingPriceToConsiderBasedOnTargetPercentage)</f>
        <v>72.072000000000003</v>
      </c>
      <c r="GE237" s="41"/>
      <c r="GF237" s="40"/>
      <c r="GG237" s="31">
        <f>SnapshotTable[[#This Row],[Booked Sale Shares]] * SnapshotTable[[#This Row],[Booked Sale Price]]</f>
        <v>0</v>
      </c>
      <c r="GH237" s="31" t="str">
        <f>IF(SnapshotTable[[#This Row],[Equity Basis Total]] &gt; 0, SnapshotTable[[#This Row],[Equity Basis Per Share]] * SnapshotTable[[#This Row],[Booked Sale Shares]], "")</f>
        <v/>
      </c>
      <c r="GI237" s="31">
        <f>IF(SnapshotTable[[#This Row],[Sale Proceeds]]&gt;0, SnapshotTable[[#This Row],[Sale Proceeds]] - SnapshotTable[[#This Row],[Sale Basis]], 0)</f>
        <v>0</v>
      </c>
      <c r="GJ237" s="27" t="str">
        <f>IF(SnapshotTable[[#This Row],[Sale G/L]]&gt;0, SnapshotTable[[#This Row],[Sale G/L]] / SnapshotTable[[#This Row],[Sale Basis]], IF(ISNUMBER(SnapshotTable[[#This Row],[SC Exercise P&amp;L (TAX)]]), SnapshotTable[[#This Row],[SC Exercise P&amp;L (TAX)]] / SnapshotTable[[#This Row],[SC Basis]], ""))</f>
        <v/>
      </c>
      <c r="GK237" s="27" t="s">
        <v>621</v>
      </c>
      <c r="GL237" s="43" t="str">
        <f>IF(AND(SnapshotTable[[#This Row],[LP Exp Date]]&gt;0,SnapshotTable[[#This Row],[LP Strike Price]]&gt;0), [1]!ToOptionSymbol(SnapshotTable[[#This Row],[Symbol]], SnapshotTable[[#This Row],[LP Strike Price]],SnapshotTable[[#This Row],[LP Exp Date]],1), "")</f>
        <v/>
      </c>
      <c r="GM237" s="30" t="str">
        <f>IF(LEN(SnapshotTable[[#This Row],[LP Symbol]])&gt;0, 1, "")</f>
        <v/>
      </c>
      <c r="GN237" s="43" t="str">
        <f>IF(AND(SnapshotTable[[#This Row],[SP Exp Date]]&gt;0,SnapshotTable[[#This Row],[SP Strike Price]]&gt;0), [1]!ToOptionSymbol(SnapshotTable[[#This Row],[Symbol]], SnapshotTable[[#This Row],[SP Strike Price]],SnapshotTable[[#This Row],[SP Exp Date]],1), "")</f>
        <v/>
      </c>
      <c r="GO237" s="30" t="str">
        <f>IF(LEN(SnapshotTable[[#This Row],[SP Symbol]])&gt;0, 1, "")</f>
        <v/>
      </c>
      <c r="GP237" s="43" t="str">
        <f>IF(AND(SnapshotTable[[#This Row],[LC Exp Date]]&gt;0,SnapshotTable[[#This Row],[LC Strike Price]]&gt;0), [1]!ToOptionSymbol(SnapshotTable[[#This Row],[Symbol]], SnapshotTable[[#This Row],[LC Strike Price]],SnapshotTable[[#This Row],[LC Exp Date]],0), "")</f>
        <v/>
      </c>
      <c r="GQ237" s="30" t="str">
        <f>IF(LEN(SnapshotTable[[#This Row],[LC Symbol]])&gt;0, 1, "")</f>
        <v/>
      </c>
      <c r="GR237" s="43" t="str">
        <f>IF(AND(SnapshotTable[[#This Row],[SC Exp Date]]&gt;0,SnapshotTable[[#This Row],[SC Strike Price]]&gt;0), [1]!ToOptionSymbol(SnapshotTable[[#This Row],[Symbol]], SnapshotTable[[#This Row],[SC Strike Price]],SnapshotTable[[#This Row],[SC Exp Date]],0), "")</f>
        <v/>
      </c>
      <c r="GS237" s="30" t="str">
        <f>IF(LEN(SnapshotTable[[#This Row],[SC Symbol]])&gt;0, 1, "")</f>
        <v/>
      </c>
      <c r="GT237" s="29" t="str">
        <f>IF(COUNT(SnapshotTable[[#This Row],[LP Symbol Count]],SnapshotTable[[#This Row],[SP Symbol Count]],SnapshotTable[[#This Row],[LC Symbol Count]],SnapshotTable[[#This Row],[SC Symbol Count]])&gt;0, "Y", "")</f>
        <v/>
      </c>
      <c r="GU23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7" s="216">
        <f>MAX(SnapshotTable[[#This Row],[Equity Basis Total]],SnapshotTable[[#This Row],[Equity Value]]) + (SnapshotTable[[#This Row],[SP Potential Spend]]- SnapshotTable[[#This Row],[SP Premium]] + SnapshotTable[[#This Row],[LP Premium]])+ (SnapshotTable[[#This Row],[LC Premium]] - SnapshotTable[[#This Row],[SC Premium]])</f>
        <v>0</v>
      </c>
      <c r="GW237" s="137" t="str">
        <f>IF(AND(SnapshotTable[[#This Row],[Exposure]] &lt;&gt; 0),SnapshotTable[[#This Row],[Exposure]] / SnapshotTable[[#Totals],[Exposure]], "")</f>
        <v/>
      </c>
      <c r="HK237" s="1"/>
      <c r="HL237" s="1"/>
      <c r="HM237" s="1"/>
      <c r="HN237" s="1"/>
      <c r="HO237" s="1"/>
      <c r="HP237" s="1"/>
    </row>
    <row r="238" spans="2:224" ht="12.75" hidden="1" customHeight="1" x14ac:dyDescent="0.25">
      <c r="B238" s="12" t="s">
        <v>489</v>
      </c>
      <c r="C238" s="385">
        <v>31.36</v>
      </c>
      <c r="D238" s="200" t="s">
        <v>467</v>
      </c>
      <c r="E238" s="39">
        <f>SnapshotTable[[#This Row],[Last Price]]*(1 -CrashDiscount)</f>
        <v>26.655999999999999</v>
      </c>
      <c r="F238" s="26" t="s">
        <v>491</v>
      </c>
      <c r="G238" s="26" t="s">
        <v>490</v>
      </c>
      <c r="H238" s="147"/>
      <c r="I238" s="186">
        <v>44777.670138888891</v>
      </c>
      <c r="J238" s="187">
        <v>44777.670138888891</v>
      </c>
      <c r="K238" s="188"/>
      <c r="L238" s="297"/>
      <c r="M238" s="138"/>
      <c r="N238" s="138"/>
      <c r="O238" s="138"/>
      <c r="P238" s="22"/>
      <c r="Q238" s="25"/>
      <c r="R238" s="4" t="str">
        <f>IF(SnapshotTable[[#This Row],[Equity Basis Total]] &gt; 0, SnapshotTable[[#This Row],[Equity Basis Total]] / SnapshotTable[[#This Row],[Equity Shares]], "")</f>
        <v/>
      </c>
      <c r="S238" s="254">
        <f>SnapshotTable[[#This Row],[Last Price]] * SnapshotTable[[#This Row],[Equity Shares]]</f>
        <v>0</v>
      </c>
      <c r="T238" s="254">
        <f>SnapshotTable[[#This Row],[Equity Value]] - SnapshotTable[[#This Row],[Equity Basis Total]]</f>
        <v>0</v>
      </c>
      <c r="U238" s="255" t="str">
        <f>IF(SnapshotTable[[#This Row],[Equity Basis Total]] &gt; 0, SnapshotTable[[#This Row],[Equity G/L]] / SnapshotTable[[#This Row],[Equity Basis Total]], "")</f>
        <v/>
      </c>
      <c r="V238" s="253"/>
      <c r="W238" s="253"/>
      <c r="X238" s="4" t="str">
        <f>IF(AND(ISNUMBER(SnapshotTable[[#This Row],[Equity Basis Per Share]]),ISNUMBER(SnapshotTable[[#This Row],[Equity Target]])),SnapshotTable[[#This Row],[Equity Target]]-SnapshotTable[[#This Row],[Equity Basis Per Share]],"")</f>
        <v/>
      </c>
      <c r="Y238" s="4" t="str">
        <f>IF(AND(ISNUMBER(SnapshotTable[[#This Row],[Equity Basis Per Share]]),ISNUMBER(SnapshotTable[[#This Row],[Equity Stop Loss]])),SnapshotTable[[#This Row],[Equity Stop Loss]]-SnapshotTable[[#This Row],[Equity Basis Per Share]],"")</f>
        <v/>
      </c>
      <c r="Z238" s="260" t="str">
        <f>IFERROR( TEXT(SnapshotTable[[#This Row],[Equity Max Gain Per Share]] /ABS( SnapshotTable[[#This Row],[Equity Max Loss Per Share]]),"0.0 " ) &amp; " : 1", "")</f>
        <v/>
      </c>
      <c r="AA238" s="31" t="str">
        <f>IF(ISNUMBER(SnapshotTable[[#This Row],[Equity Max Gain Per Share]]),SnapshotTable[[#This Row],[Equity Max Gain Per Share]] * SnapshotTable[[#This Row],[Equity Shares]],"")</f>
        <v/>
      </c>
      <c r="AB238" s="31" t="str">
        <f>IF(ISNUMBER(SnapshotTable[[#This Row],[Equity Max Loss Per Share]]),SnapshotTable[[#This Row],[Equity Max Loss Per Share]] * SnapshotTable[[#This Row],[Equity Shares]],"")</f>
        <v/>
      </c>
      <c r="AC238" s="148"/>
      <c r="AD238" s="149"/>
      <c r="AE238" s="31">
        <f>(SnapshotTable[[#This Row],[Annual Dividend Per Share]] / 4) * SnapshotTable[[#This Row],[Equity Shares]]</f>
        <v>0</v>
      </c>
      <c r="AF238" s="31">
        <f>SnapshotTable[[#This Row],[Quarterly Div $]] * 4</f>
        <v>0</v>
      </c>
      <c r="AG238" s="7">
        <f>IF(SnapshotTable[[#This Row],[Annual Dividend Per Share]]&gt;0, SnapshotTable[[#This Row],[Annual Dividend Per Share]]  / SnapshotTable[[#This Row],[Last Price]], 0)</f>
        <v>0</v>
      </c>
      <c r="AH238" s="149"/>
      <c r="AI238" s="5"/>
      <c r="AJ238" s="136">
        <v>58.5</v>
      </c>
      <c r="AK238" s="150" t="str">
        <f>IF(ISNUMBER( SnapshotTable[[#This Row],[EBF Target]]),(SnapshotTable[[#This Row],[EBF Target]] - SnapshotTable[[#This Row],[Last Price]]) / SnapshotTable[[#This Row],[Last Price]], "")</f>
        <v/>
      </c>
      <c r="AL238" s="150" t="str">
        <f>IF(AND(SnapshotTable[[#This Row],[Equity Basis Total]] &gt; 0,ISNUMBER( SnapshotTable[[#This Row],[Long Term Target]])), SnapshotTable[[#This Row],[From Basis $]] / SnapshotTable[[#This Row],[Equity Basis Total]], "")</f>
        <v/>
      </c>
      <c r="AM238" s="9">
        <f>IF( AND(SnapshotTable[[#This Row],[Equity Shares]] &gt;0,ISNUMBER( SnapshotTable[[#This Row],[Long Term Target]])),(SnapshotTable[[#This Row],[Equity Shares]] * SnapshotTable[[#This Row],[Long Term Target]]) - SnapshotTable[[#This Row],[Equity Basis Total]],0)</f>
        <v>0</v>
      </c>
      <c r="AN238" s="9">
        <f>IF( AND(SnapshotTable[[#This Row],[Equity Shares]] &gt;0,ISNUMBER( SnapshotTable[[#This Row],[Long Term Target]])),(SnapshotTable[[#This Row],[Equity Shares]]*SnapshotTable[[#This Row],[Long Term Target]]) - SnapshotTable[[#This Row],[Equity Value]],0)</f>
        <v>0</v>
      </c>
      <c r="AO238" s="150">
        <f>IF(AND(ISNUMBER( SnapshotTable[[#This Row],[Long Term Target]]), ISNUMBER(SnapshotTable[[#This Row],[Last Price]])),(SnapshotTable[[#This Row],[Long Term Target]] - SnapshotTable[[#This Row],[Last Price]]) / SnapshotTable[[#This Row],[Last Price]], "")</f>
        <v>0.86543367346938782</v>
      </c>
      <c r="AP238" s="5">
        <v>180</v>
      </c>
      <c r="AQ238" s="38" t="s">
        <v>77</v>
      </c>
      <c r="AR238" s="5">
        <v>171.25</v>
      </c>
      <c r="AS238" s="38" t="s">
        <v>28</v>
      </c>
      <c r="AT238" s="144" t="s">
        <v>433</v>
      </c>
      <c r="AU238" s="185" t="str">
        <f>IF(OR(SnapshotTable[[#This Row],[LP No Fill]]="Y",SnapshotTable[[#This Row],[SP Is Filled]],SnapshotTable[[#This Row],[LC Not Filled]]="Y",SnapshotTable[[#This Row],[SC Is Filled]]),"Y","")</f>
        <v/>
      </c>
      <c r="AV238" s="205"/>
      <c r="AW238" s="211"/>
      <c r="AX238" s="206"/>
      <c r="AY238" s="205"/>
      <c r="AZ238" s="205"/>
      <c r="BA238" s="302">
        <v>6.25</v>
      </c>
      <c r="BB238" s="318"/>
      <c r="BC23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8" s="321"/>
      <c r="BE238" s="136"/>
      <c r="BF238" s="164"/>
      <c r="BG238" s="165"/>
      <c r="BH238" s="165"/>
      <c r="BI238" s="207"/>
      <c r="BJ238" s="151">
        <f>IF(SnapshotTable[[#This Row],[LP Qty]] &gt; 0, SnapshotTable[[#This Row],[LP Qty]] * SnapshotTable[[#This Row],[LP Book Price]] * 100,0)</f>
        <v>0</v>
      </c>
      <c r="BK238" s="134">
        <f>IF(SnapshotTable[[#This Row],[LP Premium]] &gt; 0, SnapshotTable[[#This Row],[LP Qty]] * SnapshotTable[[#This Row],[LP Strike Price]] * 100,0)</f>
        <v>0</v>
      </c>
      <c r="BL238" s="152"/>
      <c r="BM238" s="355" t="str">
        <f>IF(SnapshotTable[[#This Row],[LP Premium]] &gt; 0,SnapshotTable[[#This Row],[LP Exp Date]]-MAX(SnapshotTable[[#This Row],[LP Book Date]], SnapshotTable[[#This Row],[LP Fill Date]]),"")</f>
        <v/>
      </c>
      <c r="BN238" s="355" t="str">
        <f>IF(ISNUMBER( SnapshotTable[[#This Row],[LP Term]]), SnapshotTable[[#This Row],[LP Exp Date]] - MockToday,"")</f>
        <v/>
      </c>
      <c r="BO238" s="161" t="str">
        <f>IF(AND(SnapshotTable[[#This Row],[LP Exp Date]]&gt;0, SnapshotTable[[#This Row],[LP Strike Price]]&gt;0,SnapshotTable[[#This Row],[LP Qty]]&gt;0,SnapshotTable[[#This Row],[LP Book Date]]&gt;0,SnapshotTable[[#This Row],[LP Book Price]]&gt;0,SnapshotTable[[#This Row],[LP Fill Date]]=0),"Y","")</f>
        <v/>
      </c>
      <c r="BP238" s="31" t="str">
        <f>IF(AND(SnapshotTable[[#This Row],[LP No Fill]]&lt;&gt;"Y",SnapshotTable[[#This Row],[LP Contract Value]]&gt;0, SnapshotTable[[#This Row],[LP Qty]]&gt;0), SnapshotTable[[#This Row],[LP Contract Value]]*SnapshotTable[[#This Row],[LP Qty]]*100,"")</f>
        <v/>
      </c>
      <c r="BQ238" s="13"/>
      <c r="BR238" s="5"/>
      <c r="BS238" s="36"/>
      <c r="BT238" s="145"/>
      <c r="BU238" s="13"/>
      <c r="BV238" s="5"/>
      <c r="BW238" s="382" t="b">
        <f>AND(ISNUMBER(SnapshotTable[[#This Row],[SP Exp Date]]), ISNUMBER(SnapshotTable[[#This Row],[SP Strike Price]]), ISNUMBER(SnapshotTable[[#This Row],[SP Qty]]), ISNUMBER(SnapshotTable[[#This Row],[SP Book Date]]), ISNUMBER(SnapshotTable[[#This Row],[SP Book Price]]))</f>
        <v>0</v>
      </c>
      <c r="BX238" s="382" t="b">
        <f>AND(SnapshotTable[[#This Row],[SP Is Booked]], NOT(ISBLANK(SnapshotTable[[#This Row],[SP Fill Date]])))</f>
        <v>0</v>
      </c>
      <c r="BY238" s="33">
        <f>IF(SnapshotTable[[#This Row],[SP Is Booked]], SnapshotTable[[#This Row],[SP Qty]] * SnapshotTable[[#This Row],[SP Book Price]] * 100, 0)</f>
        <v>0</v>
      </c>
      <c r="BZ238" s="339"/>
      <c r="CA238" s="338">
        <f>SnapshotTable[[#This Row],[LP Qty]]</f>
        <v>0</v>
      </c>
      <c r="CB238" s="4" t="str">
        <f>IF(SnapshotTable[[#This Row],[SP Is Booked]], SnapshotTable[[#This Row],[SP Strike Price]] - SnapshotTable[[#This Row],[SP Book Price]], "")</f>
        <v/>
      </c>
      <c r="CC238" s="19" t="str">
        <f>IF(SnapshotTable[[#This Row],[SP Is Booked]],SnapshotTable[[#This Row],[SP Exp Date]]-MAX(SnapshotTable[[#This Row],[SP Book Date]], SnapshotTable[[#This Row],[SP Fill Date]]),"")</f>
        <v/>
      </c>
      <c r="CD238" s="7" t="str">
        <f>IF(SnapshotTable[[#This Row],[SP Is Booked]], SnapshotTable[[#This Row],[SP Book Price]]/SnapshotTable[[#This Row],[SP Strike Price]], "")</f>
        <v/>
      </c>
      <c r="CE238" s="7" t="str">
        <f>IF(ISNUMBER(SnapshotTable[[#This Row],[SP ROO Term]]),SnapshotTable[[#This Row],[SP ROO Term]]*(365/SnapshotTable[[#This Row],[SP Term]]),"")</f>
        <v/>
      </c>
      <c r="CF238" s="221">
        <f>SnapshotTable[[#This Row],[LP Strike Price]] * SnapshotTable[[#This Row],[LP Qty]] * 100</f>
        <v>0</v>
      </c>
      <c r="CG238" s="31">
        <f>IF(ISNUMBER(SnapshotTable[[#This Row],[SP Premium]]), (SnapshotTable[[#This Row],[SP Qty]] * SnapshotTable[[#This Row],[SP Strike Price]]* 100) - SnapshotTable[[#This Row],[LP Protection]], 0)</f>
        <v>0</v>
      </c>
      <c r="CH238" s="7" t="str">
        <f>IF(ISNUMBER(SnapshotTable[[#This Row],[SP Break Even]]),-1 * (SnapshotTable[[#This Row],[SP Break Even]] - SnapshotTable[[#This Row],[Last Price]]) / SnapshotTable[[#This Row],[Last Price]], "")</f>
        <v/>
      </c>
      <c r="CI238" s="31">
        <f>IF(AND(ISNUMBER((SnapshotTable[[#This Row],[SP Potential Spend]])), SnapshotTable[[#This Row],[SP Strike Price]] &gt; SnapshotTable[[#This Row],[Last Price]], SnapshotTable[[#This Row],[SP Is Filled]]), SnapshotTable[[#This Row],[SP Potential Spend]] -  SnapshotTable[[#This Row],[LP Max Value]], 0)</f>
        <v>0</v>
      </c>
      <c r="CJ238" s="229"/>
      <c r="CK238" s="31">
        <f>IF(ISNUMBER(SnapshotTable[[#This Row],[SP Potential Spend]]),IF(ISNUMBER(SnapshotTable[[#This Row],[SP POW]]), SnapshotTable[[#This Row],[SP POW]] * SnapshotTable[[#This Row],[SP Potential Spend]], SnapshotTable[[#This Row],[SP Potential Spend]]), "")</f>
        <v>0</v>
      </c>
      <c r="CL238" s="162">
        <f>IF(NOT(SnapshotTable[[#This Row],[SP Is Filled]]),(SnapshotTable[[#This Row],[SP Qty]] * SnapshotTable[[#This Row],[SP Strike Price]] * 100) - SnapshotTable[[#This Row],[LP Max Value]],"")</f>
        <v>0</v>
      </c>
      <c r="CM238" s="31" t="str">
        <f>IF(SnapshotTable[[#This Row],[SP Actual Spend]]&lt;&gt;0, ((SnapshotTable[[#This Row],[SP Strike Price]]-SnapshotTable[[#This Row],[Last Price]]) *(SnapshotTable[[#This Row],[SP Qty]]*100) - SnapshotTable[[#This Row],[SP Premium]]) * - 1, "")</f>
        <v/>
      </c>
      <c r="CN238" s="204"/>
      <c r="CO238" s="339"/>
      <c r="CP238" s="4" t="str">
        <f>IF(SnapshotTable[[#This Row],[SP Is Filled]], btc_max_buyback_amount(SnapshotTable[[#This Row],[SP Fill Date]],SnapshotTable[[#This Row],[SP Exp Date]], SnapshotTable[[#This Row],[SP Book Price]]),"")</f>
        <v/>
      </c>
      <c r="CQ238" s="76"/>
      <c r="CR23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8" s="153" t="str">
        <f>IF(SnapshotTable[[#This Row],[SP Is Filled]], btc_next_cutoff_date(SnapshotTable[[#This Row],[SP Fill Date]],SnapshotTable[[#This Row],[SP Exp Date]]),"")</f>
        <v/>
      </c>
      <c r="CT238" s="220" t="str" cm="1">
        <f t="array" ref="CT238">IF(SnapshotTable[[#This Row],[SP Is Filled]], btc_should_buy_back(SnapshotTable[[#This Row],[SP Fill Date]], SnapshotTable[[#This Row],[SP Exp Date]], SnapshotTable[[#This Row],[SP Book Price]], SnapshotTable[[#This Row],[SP Current Ask]], MockToday, SnapshotTable[[#This Row],[SP Buyback Override]]),"")</f>
        <v/>
      </c>
      <c r="CU238" s="154"/>
      <c r="CV238" s="220"/>
      <c r="CW238" s="348" t="str">
        <f>IF(ISNUMBER( SnapshotTable[[#This Row],[SP Term]]), SnapshotTable[[#This Row],[SP Exp Date]] - MockToday,"")</f>
        <v/>
      </c>
      <c r="CX238" s="31" t="str">
        <f>IF(SnapshotTable[[#This Row],[SP Is Filled]],SnapshotTable[[#This Row],[SP Buyback Price to Use]] * 100 * SnapshotTable[[#This Row],[SP Qty]], "")</f>
        <v/>
      </c>
      <c r="CY238" s="4" t="str">
        <f>IF(ISNUMBER(SnapshotTable[[#This Row],[SP Strike Price]]), SnapshotTable[[#This Row],[SP Strike Price]] * (1 - SP_MaxLoss_StrikePct), "")</f>
        <v/>
      </c>
      <c r="CZ238" s="31" t="str">
        <f>IF(ISNUMBER(SnapshotTable[[#This Row],[SP Strike  Stop Per Share]]),SnapshotTable[[#This Row],[SP Premium]] - ((SnapshotTable[[#This Row],[SP Strike Price]]-SnapshotTable[[#This Row],[SP Strike  Stop Per Share]]) *(SnapshotTable[[#This Row],[SP Qty]] * 100)),"")</f>
        <v/>
      </c>
      <c r="DA238" s="4" t="str">
        <f>IF(AND(ISNUMBER(SnapshotTable[[#This Row],[SP Premium]]),SnapshotTable[[#This Row],[SP Premium]]&gt;0), SnapshotTable[[#This Row],[SP Book Price]] * (1 + SP_MaxLoss_OptionPct), "")</f>
        <v/>
      </c>
      <c r="DB238" s="31" t="str">
        <f>IF(ISNUMBER(SnapshotTable[[#This Row],[SP Option  Stop Contract]]),(SnapshotTable[[#This Row],[SP Option  Stop Contract]] *(SnapshotTable[[#This Row],[SP Qty]] * 100) - SnapshotTable[[#This Row],[SP Premium]]),"")</f>
        <v/>
      </c>
      <c r="DC238" s="4"/>
      <c r="DD238" s="4"/>
      <c r="DE238" s="4" t="str">
        <f>IF(AND(SnapshotTable[[#This Row],[SP Qty]]&gt;0, SnapshotTable[[#This Row],[SP Stop To Use]]&gt;0),SnapshotTable[[#This Row],[SP Premium]] - ( SnapshotTable[[#This Row],[SP Qty]] * SnapshotTable[[#This Row],[SP Stop To Use]] * 100), "")</f>
        <v/>
      </c>
      <c r="DF238" s="31" t="str">
        <f>IF(AND(SnapshotTable[[#This Row],[SP Qty]]&gt;0,SnapshotTable[[#This Row],[SP Current Ask]]&gt;0), SnapshotTable[[#This Row],[SP Qty]] * SnapshotTable[[#This Row],[SP Current Ask]] * -100, "")</f>
        <v/>
      </c>
      <c r="DG238" s="31" t="str">
        <f>IF(ISNUMBER((SnapshotTable[[#This Row],[SP Total Value]])), SnapshotTable[[#This Row],[SP Premium]] + SnapshotTable[[#This Row],[SP Total Value]], "")</f>
        <v/>
      </c>
      <c r="DH238" s="272" t="str">
        <f>IF(ISNUMBER((SnapshotTable[[#This Row],[SP Total Value]])), SnapshotTable[[#This Row],[SP Gain Loss]] / SnapshotTable[[#This Row],[SP Premium]], "")</f>
        <v/>
      </c>
      <c r="DI238" s="369"/>
      <c r="DJ238" s="136"/>
      <c r="DK238" s="146"/>
      <c r="DL238" s="145"/>
      <c r="DM238" s="145"/>
      <c r="DO238" s="31">
        <f>IF(SnapshotTable[[#This Row],[LC Symbol Count]]=1, SnapshotTable[[#This Row],[LC Qty]] * SnapshotTable[[#This Row],[LC Book Price]] * 100, 0)</f>
        <v>0</v>
      </c>
      <c r="DP238" s="161" t="str">
        <f>IF(AND(SnapshotTable[[#This Row],[LC Exp Date]]&gt;0, SnapshotTable[[#This Row],[LC Strike Price]]&gt;0,SnapshotTable[[#This Row],[LC Qty]]&gt;0,SnapshotTable[[#This Row],[LC Book Date]]&gt;0,SnapshotTable[[#This Row],[LC Book Price]]&gt;0,SnapshotTable[[#This Row],[LC Fill Date]]=0),"Y","")</f>
        <v/>
      </c>
      <c r="DQ238" s="356" t="str">
        <f>IF(SnapshotTable[[#This Row],[LC Premium]] &gt; 0,SnapshotTable[[#This Row],[LC Exp Date]]-MAX(SnapshotTable[[#This Row],[LC Book Date]], SnapshotTable[[#This Row],[LC Fill Date]]),"")</f>
        <v/>
      </c>
      <c r="DR238" s="356" t="str">
        <f>IF(ISNUMBER(SnapshotTable[[#This Row],[LC Term]]), SnapshotTable[[#This Row],[LC Exp Date]] - MockToday, "")</f>
        <v/>
      </c>
      <c r="DS238" s="219" t="str">
        <f>IF(SnapshotTable[[#This Row],[LC Premium]]&gt;0,SnapshotTable[[#This Row],[LC Strike Price]] + SnapshotTable[[#This Row],[LC Book Price]],"")</f>
        <v/>
      </c>
      <c r="DU238" s="9" t="str">
        <f>IF(AND(SnapshotTable[[#This Row],[LC Symbol Count]]&gt;0, SnapshotTable[[#This Row],[LC Contract Value]]&gt;0), SnapshotTable[[#This Row],[LC Contract Value]] * SnapshotTable[[#This Row],[LC Qty]] * 100, "")</f>
        <v/>
      </c>
      <c r="DV238" s="9" t="str">
        <f>IF(AND(ISNUMBER(SnapshotTable[[#This Row],[LC Total Value]]), SnapshotTable[[#This Row],[LC Not Filled]]&lt;&gt;"Y"), SnapshotTable[[#This Row],[LC Total Value]]-SnapshotTable[[#This Row],[LC Premium]],"")</f>
        <v/>
      </c>
      <c r="DW238" s="225" t="str">
        <f>IF(ISNUMBER(SnapshotTable[[#This Row],[LC Actual Gain Loss]]), SnapshotTable[[#This Row],[LC Actual Gain Loss]] / SnapshotTable[[#This Row],[LC Premium]],"")</f>
        <v/>
      </c>
      <c r="DX238" s="269" t="str">
        <f>IF(ISNUMBER(SnapshotTable[[#This Row],[LC Book Price]]),SnapshotTable[[#This Row],[LC Book Price]] * 1.5,"")</f>
        <v/>
      </c>
      <c r="DY238" s="250" t="str">
        <f>IF(SnapshotTable[[#This Row],[LC Premium]]&gt;0, SnapshotTable[[#This Row],[LC Next Target]] * SnapshotTable[[#This Row],[LC Qty]] * 100,"")</f>
        <v/>
      </c>
      <c r="DZ238" s="250" t="str">
        <f>IF(ISNUMBER(SnapshotTable[[#This Row],[LC Target Gross]]), SnapshotTable[[#This Row],[LC Target Gross]] - SnapshotTable[[#This Row],[LC Premium]], "")</f>
        <v/>
      </c>
      <c r="EA238" s="283" t="str">
        <f>IF(ISNUMBER(SnapshotTable[[#This Row],[LC Target Gain Loss]]), SnapshotTable[[#This Row],[LC Target Gain Loss]]/SnapshotTable[[#This Row],[LC Premium]], "")</f>
        <v/>
      </c>
      <c r="EB238" s="247" t="s">
        <v>635</v>
      </c>
      <c r="EC238" s="268" t="str">
        <f>IF(SnapshotTable[[#This Row],[LC Premium]]&gt;0, SnapshotTable[[#This Row],[LC Book Price]] * (1 - LC_StopLoss_Pct),"")</f>
        <v/>
      </c>
      <c r="ED238" s="269"/>
      <c r="EE238" s="268" t="str">
        <f>IF(ISNUMBER(SnapshotTable[[#This Row],[LC Contract Value]]),IF(ISNUMBER(SnapshotTable[[#This Row],[LC Stop Loss Override]]), SnapshotTable[[#This Row],[LC Stop Loss Override]],SnapshotTable[[#This Row],[LC Stop Loss Calc Target]]),"")</f>
        <v/>
      </c>
      <c r="EF238" s="31" t="str">
        <f>IF(ISNUMBER(SnapshotTable[[#This Row],[LC Stop  To Use]]), (SnapshotTable[[#This Row],[LC Stop  To Use]] * SnapshotTable[[#This Row],[LC Qty]] * 100),"")</f>
        <v/>
      </c>
      <c r="EG238" s="9" t="str">
        <f>IF(ISNUMBER(SnapshotTable[[#This Row],[LC Total Value]]),SnapshotTable[[#This Row],[LC Stop Loss Amount]] - SnapshotTable[[#This Row],[LC Premium]],"")</f>
        <v/>
      </c>
      <c r="EH238" s="9">
        <f>IF(ISNUMBER(SnapshotTable[[#This Row],[LC Premium]]), SnapshotTable[[#This Row],[LC Qty]] * 100 * SnapshotTable[[#This Row],[LC Strike Price]], "")</f>
        <v>0</v>
      </c>
      <c r="EI238" s="225" t="str">
        <f>IF(AND(ISNUMBER(SnapshotTable[[#This Row],[LC Total Value]]),SnapshotTable[[#This Row],[LC Total Value]]&gt;0),SnapshotTable[[#This Row],[LC Stop Gain Loss]]  / SnapshotTable[[#This Row],[LC Premium]],"")</f>
        <v/>
      </c>
      <c r="EJ238" s="35">
        <f>IF(ISNUMBER(SnapshotTable[[#This Row],[Equity Shares]]),TRUNC(SnapshotTable[[#This Row],[Equity Shares]] / 100),0) + SnapshotTable[[#This Row],[LC Qty]]</f>
        <v>0</v>
      </c>
      <c r="EK238" s="145"/>
      <c r="EL238" s="136"/>
      <c r="EM238" s="146"/>
      <c r="EN238" s="145"/>
      <c r="EO238" s="145"/>
      <c r="EP238" s="136"/>
      <c r="EQ238" s="382" t="b">
        <f>AND(ISNUMBER(SnapshotTable[[#This Row],[SC Exp Date]]), ISNUMBER(SnapshotTable[[#This Row],[SC Strike Price]]), ISNUMBER(SnapshotTable[[#This Row],[SC Qty]]), ISNUMBER(SnapshotTable[[#This Row],[SC Book Date]]), ISNUMBER(SnapshotTable[[#This Row],[SC Book Price]]))</f>
        <v>0</v>
      </c>
      <c r="ER238" s="382" t="b">
        <f>AND(SnapshotTable[[#This Row],[SC Is Booked]], NOT(ISBLANK(SnapshotTable[[#This Row],[SC Fill Date]])))</f>
        <v>0</v>
      </c>
      <c r="ES238" s="340"/>
      <c r="ET238" s="34" t="str">
        <f>IF(AND(ISNUMBER(SnapshotTable[[#This Row],[SC Exp Date]]), ISNUMBER(SnapshotTable[[#This Row],[SC Book Date]])), SnapshotTable[[#This Row],[SC Exp Date]] - MAX(SnapshotTable[[#This Row],[SC Book Date]], SnapshotTable[[#This Row],[SC Fill Date]]) + 1, "")</f>
        <v/>
      </c>
      <c r="EU238" s="34" t="str">
        <f>IF(ISNUMBER(SnapshotTable[[#This Row],[SC Term]]), SnapshotTable[[#This Row],[SC Exp Date]]- MockToday, "")</f>
        <v/>
      </c>
      <c r="EV238" s="31">
        <f>IF(SnapshotTable[[#This Row],[SC Is Booked]], SnapshotTable[[#This Row],[SC Qty]] * SnapshotTable[[#This Row],[SC Book Price]] * 100, 0)</f>
        <v>0</v>
      </c>
      <c r="EW238" s="4" t="str">
        <f>IF(AND(ISNUMBER(SnapshotTable[[#This Row],[Last Price]]), ISNUMBER( SnapshotTable[[#This Row],[SC Book Price]])), SnapshotTable[[#This Row],[Last Price]] - SnapshotTable[[#This Row],[SC Book Price]],"")</f>
        <v/>
      </c>
      <c r="EX238" s="219" t="str">
        <f>IF(SnapshotTable[[#This Row],[SC Is Booked]],IF(SnapshotTable[[#This Row],[SC Intrinsic Value]] &gt; 0, SnapshotTable[[#This Row],[SC Strike Price]], SnapshotTable[[#This Row],[Last Price]]), "")</f>
        <v/>
      </c>
      <c r="EY238" s="4">
        <f>IF(SnapshotTable[[#This Row],[SC Is Booked]], (MinimumPremiumRequired * SnapshotTable[[#This Row],[SC Basis]] * SnapshotTable[[#This Row],[SC Term]]), 0)</f>
        <v>0</v>
      </c>
      <c r="EZ238" s="268"/>
      <c r="FA238" s="204"/>
      <c r="FB238" s="340"/>
      <c r="FC238" s="4">
        <f>IF(SnapshotTable[[#This Row],[SC Is Filled]], btc_max_buyback_amount(SnapshotTable[[#This Row],[SC Fill Date]],SnapshotTable[[#This Row],[SC Exp Date]], SnapshotTable[[#This Row],[SC Book Price]]),0)</f>
        <v>0</v>
      </c>
      <c r="FD238" s="5"/>
      <c r="FE238" s="142" t="str">
        <f>IF(SnapshotTable[[#This Row],[SC Is Filled]], btc_next_cutoff_date(SnapshotTable[[#This Row],[SC Fill Date]],SnapshotTable[[#This Row],[SC Exp Date]]),"")</f>
        <v/>
      </c>
      <c r="FF238" s="4" t="str" cm="1">
        <f t="array" ref="FF238">IF(SnapshotTable[[#This Row],[SC Is Filled]], btc_should_buy_back(SnapshotTable[[#This Row],[SC Fill Date]], SnapshotTable[[#This Row],[SC Exp Date]], SnapshotTable[[#This Row],[SC Book Price]], SnapshotTable[[#This Row],[SC Current Ask]], MockToday, SnapshotTable[[#This Row],[SC Buyback Override]]),"")</f>
        <v/>
      </c>
      <c r="FG238" s="4">
        <f>IF(SnapshotTable[[#This Row],[SC Is Filled]], MAX(0,SnapshotTable[[#This Row],[Last Price]]  - SnapshotTable[[#This Row],[SC Strike Price]]), 0)</f>
        <v>0</v>
      </c>
      <c r="FH238" s="352">
        <f>IF(SnapshotTable[[#This Row],[SC Is Filled]], IF(ISNUMBER(SnapshotTable[[#This Row],[SC Current Ask]]), SnapshotTable[[#This Row],[SC Current Ask]], SnapshotTable[[#This Row],[SC Book Price]]) - SnapshotTable[[#This Row],[SC Intrinsic Value]], 0)</f>
        <v>0</v>
      </c>
      <c r="FI238" s="141"/>
      <c r="FJ238" s="32" t="str">
        <f>IF(SnapshotTable[[#This Row],[SC Is Filled]],100 * SnapshotTable[[#This Row],[SC Qty]] * IF(ISNUMBER(SnapshotTable[[#This Row],[SC Buyback Override]]), SnapshotTable[[#This Row],[SC Buyback Override]], SnapshotTable[[#This Row],[SC Current Ask]]), "")</f>
        <v/>
      </c>
      <c r="FK238" s="235" t="str">
        <f>IF(SnapshotTable[[#This Row],[SC Time Val]]&gt;0, SnapshotTable[[#This Row],[SC Time Val]] / SnapshotTable[[#This Row],[Last Price]],"")</f>
        <v/>
      </c>
      <c r="FL238" s="280" t="str">
        <f>IF(SnapshotTable[[#This Row],[SC Is Booked]], ((SnapshotTable[[#This Row],[Last Price]] -SnapshotTable[[#This Row],[SC Strike Price]]) / SnapshotTable[[#This Row],[Last Price]]) * -1, "")</f>
        <v/>
      </c>
      <c r="FM238" s="155" t="str">
        <f>IF(SnapshotTable[[#This Row],[SC Is Booked]],  (SnapshotTable[[#This Row],[SC Qty]] * 100 * SnapshotTable[[#This Row],[SC Strike Price]]) - SnapshotTable[[#This Row],[SC Current Ask]], "")</f>
        <v/>
      </c>
      <c r="FN238"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8" s="155" t="str">
        <f>IF(AND(ISNUMBER(SnapshotTable[[#This Row],[SC Exercise Gross]]), ISNUMBER(SnapshotTable[[#This Row],[Equity Basis Per Share]] )), SnapshotTable[[#This Row],[SC Exercise Gross]] - SnapshotTable[[#This Row],[Equity Basis Total]] +  SnapshotTable[[#This Row],[SC Premium]], "")</f>
        <v/>
      </c>
      <c r="FP238" s="5" t="str">
        <f>IF(ISNUMBER(SnapshotTable[[#This Row],[SC Exercise Gross]]), (SnapshotTable[[#This Row],[SC Exercise Gross]]) / (SnapshotTable[[#This Row],[SC Qty]] * 100), "")</f>
        <v/>
      </c>
      <c r="FQ238" s="27" t="str">
        <f>IF(SnapshotTable[[#This Row],[SC Is Booked]],SnapshotTable[[#This Row],[SC Time Val]] /SnapshotTable[[#This Row],[SC Basis]], "")</f>
        <v/>
      </c>
      <c r="FR238" s="27" t="str" cm="1">
        <f t="array" ref="FR238">IF(AND(ISNUMBER(SnapshotTable[[#This Row],[SC Term]]),ISNUMBER(SnapshotTable[[#This Row],[SC Simple ROO]])), EllmanAnnualize(SnapshotTable[[#This Row],[SC DTE]], SnapshotTable[[#This Row],[SC Simple ROO]] ),"")</f>
        <v/>
      </c>
      <c r="FS238" s="4">
        <f>IF(SnapshotTable[[#This Row],[SC Strike Price]] &gt; SnapshotTable[[#This Row],[Last Price]], SnapshotTable[[#This Row],[SC Strike Price]] - SnapshotTable[[#This Row],[Last Price]],0)</f>
        <v>0</v>
      </c>
      <c r="FT238" s="27" t="str">
        <f>IF(AND(ISNUMBER(SnapshotTable[[#This Row],[SC Upside Potential]]), SnapshotTable[[#This Row],[SC Upside Potential]] &gt; 0),(SnapshotTable[[#This Row],[SC Upside Potential]]/ SnapshotTable[[#This Row],[ACB]]),"")</f>
        <v/>
      </c>
      <c r="FU238" s="304" t="str">
        <f>IF(SnapshotTable[[#This Row],[SC Intrinsic Value]] &gt; 0,SnapshotTable[[#This Row],[SC Intrinsic Value]],"")</f>
        <v/>
      </c>
      <c r="FV238" s="27" t="str">
        <f>IF(AND( ISNUMBER( SnapshotTable[[#This Row],[ACB]]),ISNUMBER(SnapshotTable[[#This Row],[SC Downside Protect]])),SnapshotTable[[#This Row],[SC Downside Protect]] / SnapshotTable[[#This Row],[ACB]],"")</f>
        <v/>
      </c>
      <c r="FW238" s="221" t="str">
        <f>IF(AND(ISNUMBER(SnapshotTable[[#This Row],[SC Simple ROO]]),SnapshotTable[[#This Row],[SC Simple ROO]] &gt; 0), SnapshotTable[[#This Row],[SC Premium]] + (SnapshotTable[[#This Row],[SC Qty]] * SnapshotTable[[#This Row],[SC Upside Potential]]), "")</f>
        <v/>
      </c>
      <c r="FX238" s="280" t="str" cm="1">
        <f t="array" ref="FX238">IF(ISNUMBER(SnapshotTable[[#This Row],[SC Max Dollars]]), annualize(SnapshotTable[[#This Row],[SC Term]],(SnapshotTable[[#This Row],[SC Max Dollars]]/SnapshotTable[[#This Row],[SC Basis]])),"")</f>
        <v/>
      </c>
      <c r="FY238" s="221" t="str">
        <f>IF(AND(SnapshotTable[[#This Row],[SC Qty]]&gt;0,SnapshotTable[[#This Row],[SC Current Ask]]&gt;0), SnapshotTable[[#This Row],[SC Qty]] * SnapshotTable[[#This Row],[SC Current Ask]] * -100, "")</f>
        <v/>
      </c>
      <c r="FZ238" s="31" t="str">
        <f>IF(ISNUMBER((SnapshotTable[[#This Row],[SC Current Value]])), SnapshotTable[[#This Row],[SC Premium]] + SnapshotTable[[#This Row],[SC Current Value]], "")</f>
        <v/>
      </c>
      <c r="GA238" s="272" t="str">
        <f>IFERROR( IF(ISNUMBER((SnapshotTable[[#This Row],[SC Current Value]])), SnapshotTable[[#This Row],[SC Gain Loss]] / SnapshotTable[[#This Row],[SC Premium]], ""), "")</f>
        <v/>
      </c>
      <c r="GB238" s="42">
        <f>SnapshotTable[[#This Row],[Equity Shares]] * SaleSharesToConsiderPercentage</f>
        <v>0</v>
      </c>
      <c r="GC238" s="40">
        <f>SnapshotTable[[#This Row],[Long Term Target]] * SellingPriceToConsiderBasedOnTargetPercentage</f>
        <v>55.574999999999996</v>
      </c>
      <c r="GD238" s="40">
        <f>SnapshotTable[[#This Row],[Last Price]] * (1+ SellingPriceToConsiderBasedOnTargetPercentage)</f>
        <v>61.152000000000001</v>
      </c>
      <c r="GE238" s="41"/>
      <c r="GF238" s="40"/>
      <c r="GG238" s="31">
        <f>SnapshotTable[[#This Row],[Booked Sale Shares]] * SnapshotTable[[#This Row],[Booked Sale Price]]</f>
        <v>0</v>
      </c>
      <c r="GH238" s="31" t="str">
        <f>IF(SnapshotTable[[#This Row],[Equity Basis Total]] &gt; 0, SnapshotTable[[#This Row],[Equity Basis Per Share]] * SnapshotTable[[#This Row],[Booked Sale Shares]], "")</f>
        <v/>
      </c>
      <c r="GI238" s="31">
        <f>IF(SnapshotTable[[#This Row],[Sale Proceeds]]&gt;0, SnapshotTable[[#This Row],[Sale Proceeds]] - SnapshotTable[[#This Row],[Sale Basis]], 0)</f>
        <v>0</v>
      </c>
      <c r="GJ238" s="156" t="str">
        <f>IF(SnapshotTable[[#This Row],[Sale G/L]]&gt;0, SnapshotTable[[#This Row],[Sale G/L]] / SnapshotTable[[#This Row],[Sale Basis]], IF(ISNUMBER(SnapshotTable[[#This Row],[SC Exercise P&amp;L (TAX)]]), SnapshotTable[[#This Row],[SC Exercise P&amp;L (TAX)]] / SnapshotTable[[#This Row],[SC Basis]], ""))</f>
        <v/>
      </c>
      <c r="GK238" s="156" t="s">
        <v>603</v>
      </c>
      <c r="GL238" s="157" t="str">
        <f>IF(AND(SnapshotTable[[#This Row],[LP Exp Date]]&gt;0,SnapshotTable[[#This Row],[LP Strike Price]]&gt;0), [1]!ToOptionSymbol(SnapshotTable[[#This Row],[Symbol]], SnapshotTable[[#This Row],[LP Strike Price]],SnapshotTable[[#This Row],[LP Exp Date]],1), "")</f>
        <v/>
      </c>
      <c r="GM238" s="30" t="str">
        <f>IF(LEN(SnapshotTable[[#This Row],[LP Symbol]])&gt;0, 1, "")</f>
        <v/>
      </c>
      <c r="GN238" s="43" t="str">
        <f>IF(AND(SnapshotTable[[#This Row],[SP Exp Date]]&gt;0,SnapshotTable[[#This Row],[SP Strike Price]]&gt;0), [1]!ToOptionSymbol(SnapshotTable[[#This Row],[Symbol]], SnapshotTable[[#This Row],[SP Strike Price]],SnapshotTable[[#This Row],[SP Exp Date]],1), "")</f>
        <v/>
      </c>
      <c r="GO238" s="30" t="str">
        <f>IF(LEN(SnapshotTable[[#This Row],[SP Symbol]])&gt;0, 1, "")</f>
        <v/>
      </c>
      <c r="GP238" s="157" t="str">
        <f>IF(AND(SnapshotTable[[#This Row],[LC Exp Date]]&gt;0,SnapshotTable[[#This Row],[LC Strike Price]]&gt;0), [1]!ToOptionSymbol(SnapshotTable[[#This Row],[Symbol]], SnapshotTable[[#This Row],[LC Strike Price]],SnapshotTable[[#This Row],[LC Exp Date]],0), "")</f>
        <v/>
      </c>
      <c r="GQ238" s="158" t="str">
        <f>IF(LEN(SnapshotTable[[#This Row],[LC Symbol]])&gt;0, 1, "")</f>
        <v/>
      </c>
      <c r="GR238" s="157" t="str">
        <f>IF(AND(SnapshotTable[[#This Row],[SC Exp Date]]&gt;0,SnapshotTable[[#This Row],[SC Strike Price]]&gt;0), [1]!ToOptionSymbol(SnapshotTable[[#This Row],[Symbol]], SnapshotTable[[#This Row],[SC Strike Price]],SnapshotTable[[#This Row],[SC Exp Date]],0), "")</f>
        <v/>
      </c>
      <c r="GS238" s="158" t="str">
        <f>IF(LEN(SnapshotTable[[#This Row],[SC Symbol]])&gt;0, 1, "")</f>
        <v/>
      </c>
      <c r="GT238" s="159" t="str">
        <f>IF(COUNT(SnapshotTable[[#This Row],[LP Symbol Count]],SnapshotTable[[#This Row],[SP Symbol Count]],SnapshotTable[[#This Row],[LC Symbol Count]],SnapshotTable[[#This Row],[SC Symbol Count]])&gt;0, "Y", "")</f>
        <v/>
      </c>
      <c r="GU23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8" s="216">
        <f>MAX(SnapshotTable[[#This Row],[Equity Basis Total]],SnapshotTable[[#This Row],[Equity Value]]) + (SnapshotTable[[#This Row],[SP Potential Spend]]- SnapshotTable[[#This Row],[SP Premium]] + SnapshotTable[[#This Row],[LP Premium]])+ (SnapshotTable[[#This Row],[LC Premium]] - SnapshotTable[[#This Row],[SC Premium]])</f>
        <v>0</v>
      </c>
      <c r="GW238" s="137" t="str">
        <f>IF(AND(SnapshotTable[[#This Row],[Exposure]] &lt;&gt; 0),SnapshotTable[[#This Row],[Exposure]] / SnapshotTable[[#Totals],[Exposure]], "")</f>
        <v/>
      </c>
      <c r="GX238" s="2"/>
      <c r="GY238" s="357"/>
      <c r="GZ238"/>
      <c r="HA238" s="2"/>
      <c r="HB238" s="2"/>
      <c r="HK238" s="1"/>
      <c r="HL238" s="1"/>
      <c r="HM238" s="1"/>
      <c r="HN238" s="1"/>
      <c r="HO238" s="1"/>
      <c r="HP238" s="1"/>
    </row>
    <row r="239" spans="2:224" ht="12.75" hidden="1" customHeight="1" x14ac:dyDescent="0.25">
      <c r="B239" s="12" t="s">
        <v>449</v>
      </c>
      <c r="C239" s="385">
        <v>85.81</v>
      </c>
      <c r="D239" s="200" t="s">
        <v>467</v>
      </c>
      <c r="E239" s="39">
        <f>SnapshotTable[[#This Row],[Last Price]]*(1 -CrashDiscount)</f>
        <v>72.938500000000005</v>
      </c>
      <c r="F239" s="26" t="s">
        <v>156</v>
      </c>
      <c r="G239" s="26" t="s">
        <v>7</v>
      </c>
      <c r="H239" s="147"/>
      <c r="I239" s="186">
        <v>44795.670138888891</v>
      </c>
      <c r="J239" s="187">
        <v>44795.670138888891</v>
      </c>
      <c r="K239" s="188"/>
      <c r="L239" s="297"/>
      <c r="M239" s="138"/>
      <c r="N239" s="138"/>
      <c r="O239" s="138"/>
      <c r="P239" s="22"/>
      <c r="Q239" s="25"/>
      <c r="R239" s="4" t="str">
        <f>IF(SnapshotTable[[#This Row],[Equity Basis Total]] &gt; 0, SnapshotTable[[#This Row],[Equity Basis Total]] / SnapshotTable[[#This Row],[Equity Shares]], "")</f>
        <v/>
      </c>
      <c r="S239" s="254">
        <f>SnapshotTable[[#This Row],[Last Price]] * SnapshotTable[[#This Row],[Equity Shares]]</f>
        <v>0</v>
      </c>
      <c r="T239" s="254">
        <f>SnapshotTable[[#This Row],[Equity Value]] - SnapshotTable[[#This Row],[Equity Basis Total]]</f>
        <v>0</v>
      </c>
      <c r="U239" s="255" t="str">
        <f>IF(SnapshotTable[[#This Row],[Equity Basis Total]] &gt; 0, SnapshotTable[[#This Row],[Equity G/L]] / SnapshotTable[[#This Row],[Equity Basis Total]], "")</f>
        <v/>
      </c>
      <c r="V239" s="253"/>
      <c r="W239" s="253"/>
      <c r="X239" s="4" t="str">
        <f>IF(AND(ISNUMBER(SnapshotTable[[#This Row],[Equity Basis Per Share]]),ISNUMBER(SnapshotTable[[#This Row],[Equity Target]])),SnapshotTable[[#This Row],[Equity Target]]-SnapshotTable[[#This Row],[Equity Basis Per Share]],"")</f>
        <v/>
      </c>
      <c r="Y239" s="4" t="str">
        <f>IF(AND(ISNUMBER(SnapshotTable[[#This Row],[Equity Basis Per Share]]),ISNUMBER(SnapshotTable[[#This Row],[Equity Stop Loss]])),SnapshotTable[[#This Row],[Equity Stop Loss]]-SnapshotTable[[#This Row],[Equity Basis Per Share]],"")</f>
        <v/>
      </c>
      <c r="Z239" s="260" t="str">
        <f>IFERROR( TEXT(SnapshotTable[[#This Row],[Equity Max Gain Per Share]] /ABS( SnapshotTable[[#This Row],[Equity Max Loss Per Share]]),"0.0 " ) &amp; " : 1", "")</f>
        <v/>
      </c>
      <c r="AA239" s="31" t="str">
        <f>IF(ISNUMBER(SnapshotTable[[#This Row],[Equity Max Gain Per Share]]),SnapshotTable[[#This Row],[Equity Max Gain Per Share]] * SnapshotTable[[#This Row],[Equity Shares]],"")</f>
        <v/>
      </c>
      <c r="AB239" s="31" t="str">
        <f>IF(ISNUMBER(SnapshotTable[[#This Row],[Equity Max Loss Per Share]]),SnapshotTable[[#This Row],[Equity Max Loss Per Share]] * SnapshotTable[[#This Row],[Equity Shares]],"")</f>
        <v/>
      </c>
      <c r="AC239" s="148"/>
      <c r="AD239" s="149"/>
      <c r="AE239" s="31">
        <f>(SnapshotTable[[#This Row],[Annual Dividend Per Share]] / 4) * SnapshotTable[[#This Row],[Equity Shares]]</f>
        <v>0</v>
      </c>
      <c r="AF239" s="31">
        <f>SnapshotTable[[#This Row],[Quarterly Div $]] * 4</f>
        <v>0</v>
      </c>
      <c r="AG239" s="7">
        <f>IF(SnapshotTable[[#This Row],[Annual Dividend Per Share]]&gt;0, SnapshotTable[[#This Row],[Annual Dividend Per Share]]  / SnapshotTable[[#This Row],[Last Price]], 0)</f>
        <v>0</v>
      </c>
      <c r="AH239" s="149"/>
      <c r="AI239" s="5"/>
      <c r="AJ239" s="136">
        <v>413.23</v>
      </c>
      <c r="AK239" s="150" t="str">
        <f>IF(ISNUMBER( SnapshotTable[[#This Row],[EBF Target]]),(SnapshotTable[[#This Row],[EBF Target]] - SnapshotTable[[#This Row],[Last Price]]) / SnapshotTable[[#This Row],[Last Price]], "")</f>
        <v/>
      </c>
      <c r="AL239" s="150" t="str">
        <f>IF(AND(SnapshotTable[[#This Row],[Equity Basis Total]] &gt; 0,ISNUMBER( SnapshotTable[[#This Row],[Long Term Target]])), SnapshotTable[[#This Row],[From Basis $]] / SnapshotTable[[#This Row],[Equity Basis Total]], "")</f>
        <v/>
      </c>
      <c r="AM239" s="9">
        <f>IF( AND(SnapshotTable[[#This Row],[Equity Shares]] &gt;0,ISNUMBER( SnapshotTable[[#This Row],[Long Term Target]])),(SnapshotTable[[#This Row],[Equity Shares]] * SnapshotTable[[#This Row],[Long Term Target]]) - SnapshotTable[[#This Row],[Equity Basis Total]],0)</f>
        <v>0</v>
      </c>
      <c r="AN239" s="9">
        <f>IF( AND(SnapshotTable[[#This Row],[Equity Shares]] &gt;0,ISNUMBER( SnapshotTable[[#This Row],[Long Term Target]])),(SnapshotTable[[#This Row],[Equity Shares]]*SnapshotTable[[#This Row],[Long Term Target]]) - SnapshotTable[[#This Row],[Equity Value]],0)</f>
        <v>0</v>
      </c>
      <c r="AO239" s="150">
        <f>IF(AND(ISNUMBER( SnapshotTable[[#This Row],[Long Term Target]]), ISNUMBER(SnapshotTable[[#This Row],[Last Price]])),(SnapshotTable[[#This Row],[Long Term Target]] - SnapshotTable[[#This Row],[Last Price]]) / SnapshotTable[[#This Row],[Last Price]], "")</f>
        <v>3.8156392028901061</v>
      </c>
      <c r="AP239" s="5"/>
      <c r="AQ239" s="38"/>
      <c r="AR239" s="5"/>
      <c r="AS239" s="38"/>
      <c r="AT239" s="144"/>
      <c r="AU239" s="185" t="str">
        <f>IF(OR(SnapshotTable[[#This Row],[LP No Fill]]="Y",SnapshotTable[[#This Row],[SP Is Filled]],SnapshotTable[[#This Row],[LC Not Filled]]="Y",SnapshotTable[[#This Row],[SC Is Filled]]),"Y","")</f>
        <v/>
      </c>
      <c r="AV239" s="205"/>
      <c r="AW239" s="211"/>
      <c r="AX239" s="206"/>
      <c r="AY239" s="205" t="str">
        <f>IF(SnapshotTable[[#This Row],[Implied Move]]&gt;0, SnapshotTable[[#This Row],[Last Price]]-SnapshotTable[[#This Row],[Implied Move]],"")</f>
        <v/>
      </c>
      <c r="AZ239" s="205" t="str">
        <f>IF(SnapshotTable[[#This Row],[Implied Move]]&gt;0, SnapshotTable[[#This Row],[Last Price]] + SnapshotTable[[#This Row],[Implied Move]],"")</f>
        <v/>
      </c>
      <c r="BA239" s="302">
        <v>107.99</v>
      </c>
      <c r="BB239" s="318"/>
      <c r="BC23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39" s="321"/>
      <c r="BE239" s="5"/>
      <c r="BF239" s="14"/>
      <c r="BG239" s="13"/>
      <c r="BH239" s="13"/>
      <c r="BI239" s="5"/>
      <c r="BJ239" s="134">
        <f>IF(SnapshotTable[[#This Row],[LP Qty]] &gt; 0, SnapshotTable[[#This Row],[LP Qty]] * SnapshotTable[[#This Row],[LP Book Price]] * 100,0)</f>
        <v>0</v>
      </c>
      <c r="BK239" s="134">
        <f>IF(SnapshotTable[[#This Row],[LP Premium]] &gt; 0, SnapshotTable[[#This Row],[LP Qty]] * SnapshotTable[[#This Row],[LP Strike Price]] * 100,0)</f>
        <v>0</v>
      </c>
      <c r="BL239" s="152"/>
      <c r="BM239" s="355" t="str">
        <f>IF(SnapshotTable[[#This Row],[LP Premium]] &gt; 0,SnapshotTable[[#This Row],[LP Exp Date]]-MAX(SnapshotTable[[#This Row],[LP Book Date]], SnapshotTable[[#This Row],[LP Fill Date]]),"")</f>
        <v/>
      </c>
      <c r="BN239" s="355" t="str">
        <f>IF(ISNUMBER( SnapshotTable[[#This Row],[LP Term]]), SnapshotTable[[#This Row],[LP Exp Date]] - MockToday,"")</f>
        <v/>
      </c>
      <c r="BO239" s="161" t="str">
        <f>IF(AND(SnapshotTable[[#This Row],[LP Exp Date]]&gt;0, SnapshotTable[[#This Row],[LP Strike Price]]&gt;0,SnapshotTable[[#This Row],[LP Qty]]&gt;0,SnapshotTable[[#This Row],[LP Book Date]]&gt;0,SnapshotTable[[#This Row],[LP Book Price]]&gt;0,SnapshotTable[[#This Row],[LP Fill Date]]=0),"Y","")</f>
        <v/>
      </c>
      <c r="BP239" s="31" t="str">
        <f>IF(AND(SnapshotTable[[#This Row],[LP No Fill]]&lt;&gt;"Y",SnapshotTable[[#This Row],[LP Contract Value]]&gt;0, SnapshotTable[[#This Row],[LP Qty]]&gt;0), SnapshotTable[[#This Row],[LP Contract Value]]*SnapshotTable[[#This Row],[LP Qty]]*100,"")</f>
        <v/>
      </c>
      <c r="BQ239" s="13"/>
      <c r="BR239" s="5"/>
      <c r="BS239" s="36"/>
      <c r="BT239" s="145"/>
      <c r="BU239" s="13"/>
      <c r="BV239" s="5"/>
      <c r="BW239" s="382" t="b">
        <f>AND(ISNUMBER(SnapshotTable[[#This Row],[SP Exp Date]]), ISNUMBER(SnapshotTable[[#This Row],[SP Strike Price]]), ISNUMBER(SnapshotTable[[#This Row],[SP Qty]]), ISNUMBER(SnapshotTable[[#This Row],[SP Book Date]]), ISNUMBER(SnapshotTable[[#This Row],[SP Book Price]]))</f>
        <v>0</v>
      </c>
      <c r="BX239" s="382" t="b">
        <f>AND(SnapshotTable[[#This Row],[SP Is Booked]], NOT(ISBLANK(SnapshotTable[[#This Row],[SP Fill Date]])))</f>
        <v>0</v>
      </c>
      <c r="BY239" s="33">
        <f>IF(SnapshotTable[[#This Row],[SP Is Booked]], SnapshotTable[[#This Row],[SP Qty]] * SnapshotTable[[#This Row],[SP Book Price]] * 100, 0)</f>
        <v>0</v>
      </c>
      <c r="BZ239" s="339"/>
      <c r="CA239" s="338">
        <f>SnapshotTable[[#This Row],[LP Qty]]</f>
        <v>0</v>
      </c>
      <c r="CB239" s="4" t="str">
        <f>IF(SnapshotTable[[#This Row],[SP Is Booked]], SnapshotTable[[#This Row],[SP Strike Price]] - SnapshotTable[[#This Row],[SP Book Price]], "")</f>
        <v/>
      </c>
      <c r="CC239" s="19" t="str">
        <f>IF(SnapshotTable[[#This Row],[SP Is Booked]],SnapshotTable[[#This Row],[SP Exp Date]]-MAX(SnapshotTable[[#This Row],[SP Book Date]], SnapshotTable[[#This Row],[SP Fill Date]]),"")</f>
        <v/>
      </c>
      <c r="CD239" s="7" t="str">
        <f>IF(SnapshotTable[[#This Row],[SP Is Booked]], SnapshotTable[[#This Row],[SP Book Price]]/SnapshotTable[[#This Row],[SP Strike Price]], "")</f>
        <v/>
      </c>
      <c r="CE239" s="7" t="str">
        <f>IF(ISNUMBER(SnapshotTable[[#This Row],[SP ROO Term]]),SnapshotTable[[#This Row],[SP ROO Term]]*(365/SnapshotTable[[#This Row],[SP Term]]),"")</f>
        <v/>
      </c>
      <c r="CF239" s="221">
        <f>SnapshotTable[[#This Row],[LP Strike Price]] * SnapshotTable[[#This Row],[LP Qty]] * 100</f>
        <v>0</v>
      </c>
      <c r="CG239" s="31">
        <f>IF(ISNUMBER(SnapshotTable[[#This Row],[SP Premium]]), (SnapshotTable[[#This Row],[SP Qty]] * SnapshotTable[[#This Row],[SP Strike Price]]* 100) - SnapshotTable[[#This Row],[LP Protection]], 0)</f>
        <v>0</v>
      </c>
      <c r="CH239" s="7" t="str">
        <f>IF(ISNUMBER(SnapshotTable[[#This Row],[SP Break Even]]),-1 * (SnapshotTable[[#This Row],[SP Break Even]] - SnapshotTable[[#This Row],[Last Price]]) / SnapshotTable[[#This Row],[Last Price]], "")</f>
        <v/>
      </c>
      <c r="CI239" s="31">
        <f>IF(AND(ISNUMBER((SnapshotTable[[#This Row],[SP Potential Spend]])), SnapshotTable[[#This Row],[SP Strike Price]] &gt; SnapshotTable[[#This Row],[Last Price]], SnapshotTable[[#This Row],[SP Is Filled]]), SnapshotTable[[#This Row],[SP Potential Spend]] -  SnapshotTable[[#This Row],[LP Max Value]], 0)</f>
        <v>0</v>
      </c>
      <c r="CJ239" s="229"/>
      <c r="CK239" s="31">
        <f>IF(ISNUMBER(SnapshotTable[[#This Row],[SP Potential Spend]]),IF(ISNUMBER(SnapshotTable[[#This Row],[SP POW]]), SnapshotTable[[#This Row],[SP POW]] * SnapshotTable[[#This Row],[SP Potential Spend]], SnapshotTable[[#This Row],[SP Potential Spend]]), "")</f>
        <v>0</v>
      </c>
      <c r="CL239" s="162">
        <f>IF(NOT(SnapshotTable[[#This Row],[SP Is Filled]]),(SnapshotTable[[#This Row],[SP Qty]] * SnapshotTable[[#This Row],[SP Strike Price]] * 100) - SnapshotTable[[#This Row],[LP Max Value]],"")</f>
        <v>0</v>
      </c>
      <c r="CM239" s="31" t="str">
        <f>IF(SnapshotTable[[#This Row],[SP Actual Spend]]&lt;&gt;0, ((SnapshotTable[[#This Row],[SP Strike Price]]-SnapshotTable[[#This Row],[Last Price]]) *(SnapshotTable[[#This Row],[SP Qty]]*100) - SnapshotTable[[#This Row],[SP Premium]]) * - 1, "")</f>
        <v/>
      </c>
      <c r="CN239" s="76"/>
      <c r="CO239" s="339"/>
      <c r="CP239" s="4" t="str">
        <f>IF(SnapshotTable[[#This Row],[SP Is Filled]], btc_max_buyback_amount(SnapshotTable[[#This Row],[SP Fill Date]],SnapshotTable[[#This Row],[SP Exp Date]], SnapshotTable[[#This Row],[SP Book Price]]),"")</f>
        <v/>
      </c>
      <c r="CQ239" s="76"/>
      <c r="CR23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39" s="153" t="str">
        <f>IF(SnapshotTable[[#This Row],[SP Is Filled]], btc_next_cutoff_date(SnapshotTable[[#This Row],[SP Fill Date]],SnapshotTable[[#This Row],[SP Exp Date]]),"")</f>
        <v/>
      </c>
      <c r="CT239" s="220" t="str" cm="1">
        <f t="array" ref="CT239">IF(SnapshotTable[[#This Row],[SP Is Filled]], btc_should_buy_back(SnapshotTable[[#This Row],[SP Fill Date]], SnapshotTable[[#This Row],[SP Exp Date]], SnapshotTable[[#This Row],[SP Book Price]], SnapshotTable[[#This Row],[SP Current Ask]], MockToday, SnapshotTable[[#This Row],[SP Buyback Override]]),"")</f>
        <v/>
      </c>
      <c r="CU239" s="141">
        <v>44743</v>
      </c>
      <c r="CV239" s="220"/>
      <c r="CW239" s="348" t="str">
        <f>IF(ISNUMBER( SnapshotTable[[#This Row],[SP Term]]), SnapshotTable[[#This Row],[SP Exp Date]] - MockToday,"")</f>
        <v/>
      </c>
      <c r="CX239" s="31" t="str">
        <f>IF(SnapshotTable[[#This Row],[SP Is Filled]],SnapshotTable[[#This Row],[SP Buyback Price to Use]] * 100 * SnapshotTable[[#This Row],[SP Qty]], "")</f>
        <v/>
      </c>
      <c r="CY239" s="4" t="str">
        <f>IF(ISNUMBER(SnapshotTable[[#This Row],[SP Strike Price]]), SnapshotTable[[#This Row],[SP Strike Price]] * (1 - SP_MaxLoss_StrikePct), "")</f>
        <v/>
      </c>
      <c r="CZ239" s="31" t="str">
        <f>IF(ISNUMBER(SnapshotTable[[#This Row],[SP Strike  Stop Per Share]]),SnapshotTable[[#This Row],[SP Premium]] - ((SnapshotTable[[#This Row],[SP Strike Price]]-SnapshotTable[[#This Row],[SP Strike  Stop Per Share]]) *(SnapshotTable[[#This Row],[SP Qty]] * 100)),"")</f>
        <v/>
      </c>
      <c r="DA239" s="4" t="str">
        <f>IF(AND(ISNUMBER(SnapshotTable[[#This Row],[SP Premium]]),SnapshotTable[[#This Row],[SP Premium]]&gt;0), SnapshotTable[[#This Row],[SP Book Price]] * (1 + SP_MaxLoss_OptionPct), "")</f>
        <v/>
      </c>
      <c r="DB239" s="31" t="str">
        <f>IF(ISNUMBER(SnapshotTable[[#This Row],[SP Option  Stop Contract]]),(SnapshotTable[[#This Row],[SP Option  Stop Contract]] *(SnapshotTable[[#This Row],[SP Qty]] * 100) - SnapshotTable[[#This Row],[SP Premium]]),"")</f>
        <v/>
      </c>
      <c r="DC239" s="4"/>
      <c r="DD239" s="4"/>
      <c r="DE239" s="4" t="str">
        <f>IF(AND(SnapshotTable[[#This Row],[SP Qty]]&gt;0, SnapshotTable[[#This Row],[SP Stop To Use]]&gt;0),SnapshotTable[[#This Row],[SP Premium]] - ( SnapshotTable[[#This Row],[SP Qty]] * SnapshotTable[[#This Row],[SP Stop To Use]] * 100), "")</f>
        <v/>
      </c>
      <c r="DF239" s="31" t="str">
        <f>IF(AND(SnapshotTable[[#This Row],[SP Qty]]&gt;0,SnapshotTable[[#This Row],[SP Current Ask]]&gt;0), SnapshotTable[[#This Row],[SP Qty]] * SnapshotTable[[#This Row],[SP Current Ask]] * -100, "")</f>
        <v/>
      </c>
      <c r="DG239" s="31" t="str">
        <f>IF(ISNUMBER((SnapshotTable[[#This Row],[SP Total Value]])), SnapshotTable[[#This Row],[SP Premium]] + SnapshotTable[[#This Row],[SP Total Value]], "")</f>
        <v/>
      </c>
      <c r="DH239" s="272" t="str">
        <f>IF(ISNUMBER((SnapshotTable[[#This Row],[SP Total Value]])), SnapshotTable[[#This Row],[SP Gain Loss]] / SnapshotTable[[#This Row],[SP Premium]], "")</f>
        <v/>
      </c>
      <c r="DI239" s="369"/>
      <c r="DJ239" s="136"/>
      <c r="DK239" s="146"/>
      <c r="DL239" s="13"/>
      <c r="DM239" s="13"/>
      <c r="DO239" s="31">
        <f>IF(SnapshotTable[[#This Row],[LC Symbol Count]]=1, SnapshotTable[[#This Row],[LC Qty]] * SnapshotTable[[#This Row],[LC Book Price]] * 100, 0)</f>
        <v>0</v>
      </c>
      <c r="DP239" s="161" t="str">
        <f>IF(AND(SnapshotTable[[#This Row],[LC Exp Date]]&gt;0, SnapshotTable[[#This Row],[LC Strike Price]]&gt;0,SnapshotTable[[#This Row],[LC Qty]]&gt;0,SnapshotTable[[#This Row],[LC Book Date]]&gt;0,SnapshotTable[[#This Row],[LC Book Price]]&gt;0,SnapshotTable[[#This Row],[LC Fill Date]]=0),"Y","")</f>
        <v/>
      </c>
      <c r="DQ239" s="356" t="str">
        <f>IF(SnapshotTable[[#This Row],[LC Premium]] &gt; 0,SnapshotTable[[#This Row],[LC Exp Date]]-MAX(SnapshotTable[[#This Row],[LC Book Date]], SnapshotTable[[#This Row],[LC Fill Date]]),"")</f>
        <v/>
      </c>
      <c r="DR239" s="356" t="str">
        <f>IF(ISNUMBER(SnapshotTable[[#This Row],[LC Term]]), SnapshotTable[[#This Row],[LC Exp Date]] - MockToday, "")</f>
        <v/>
      </c>
      <c r="DS239" s="219" t="str">
        <f>IF(SnapshotTable[[#This Row],[LC Premium]]&gt;0,SnapshotTable[[#This Row],[LC Strike Price]] + SnapshotTable[[#This Row],[LC Book Price]],"")</f>
        <v/>
      </c>
      <c r="DT239" s="5">
        <v>0</v>
      </c>
      <c r="DU239" s="9" t="str">
        <f>IF(AND(SnapshotTable[[#This Row],[LC Symbol Count]]&gt;0, SnapshotTable[[#This Row],[LC Contract Value]]&gt;0), SnapshotTable[[#This Row],[LC Contract Value]] * SnapshotTable[[#This Row],[LC Qty]] * 100, "")</f>
        <v/>
      </c>
      <c r="DV239" s="9" t="str">
        <f>IF(AND(ISNUMBER(SnapshotTable[[#This Row],[LC Total Value]]), SnapshotTable[[#This Row],[LC Not Filled]]&lt;&gt;"Y"), SnapshotTable[[#This Row],[LC Total Value]]-SnapshotTable[[#This Row],[LC Premium]],"")</f>
        <v/>
      </c>
      <c r="DW239" s="225" t="str">
        <f>IF(ISNUMBER(SnapshotTable[[#This Row],[LC Actual Gain Loss]]), SnapshotTable[[#This Row],[LC Actual Gain Loss]] / SnapshotTable[[#This Row],[LC Premium]],"")</f>
        <v/>
      </c>
      <c r="DX239" s="269" t="str">
        <f>IF(ISNUMBER(SnapshotTable[[#This Row],[LC Book Price]]),SnapshotTable[[#This Row],[LC Book Price]] * 1.5,"")</f>
        <v/>
      </c>
      <c r="DY239" s="250" t="str">
        <f>IF(SnapshotTable[[#This Row],[LC Premium]]&gt;0, SnapshotTable[[#This Row],[LC Next Target]] * SnapshotTable[[#This Row],[LC Qty]] * 100,"")</f>
        <v/>
      </c>
      <c r="DZ239" s="250" t="str">
        <f>IF(ISNUMBER(SnapshotTable[[#This Row],[LC Target Gross]]), SnapshotTable[[#This Row],[LC Target Gross]] - SnapshotTable[[#This Row],[LC Premium]], "")</f>
        <v/>
      </c>
      <c r="EA239" s="283" t="str">
        <f>IF(ISNUMBER(SnapshotTable[[#This Row],[LC Target Gain Loss]]), SnapshotTable[[#This Row],[LC Target Gain Loss]]/SnapshotTable[[#This Row],[LC Premium]], "")</f>
        <v/>
      </c>
      <c r="EB239" s="247"/>
      <c r="EC239" s="268" t="str">
        <f>IF(SnapshotTable[[#This Row],[LC Premium]]&gt;0, SnapshotTable[[#This Row],[LC Book Price]] * (1 - LC_StopLoss_Pct),"")</f>
        <v/>
      </c>
      <c r="ED239" s="269"/>
      <c r="EE239" s="268" t="str">
        <f>IF(ISNUMBER(SnapshotTable[[#This Row],[LC Contract Value]]),IF(ISNUMBER(SnapshotTable[[#This Row],[LC Stop Loss Override]]), SnapshotTable[[#This Row],[LC Stop Loss Override]],SnapshotTable[[#This Row],[LC Stop Loss Calc Target]]),"")</f>
        <v/>
      </c>
      <c r="EF239" s="31" t="str">
        <f>IF(ISNUMBER(SnapshotTable[[#This Row],[LC Stop  To Use]]), (SnapshotTable[[#This Row],[LC Stop  To Use]] * SnapshotTable[[#This Row],[LC Qty]] * 100),"")</f>
        <v/>
      </c>
      <c r="EG239" s="9" t="str">
        <f>IF(ISNUMBER(SnapshotTable[[#This Row],[LC Total Value]]),SnapshotTable[[#This Row],[LC Stop Loss Amount]] - SnapshotTable[[#This Row],[LC Premium]],"")</f>
        <v/>
      </c>
      <c r="EH239" s="9">
        <f>IF(ISNUMBER(SnapshotTable[[#This Row],[LC Premium]]), SnapshotTable[[#This Row],[LC Qty]] * 100 * SnapshotTable[[#This Row],[LC Strike Price]], "")</f>
        <v>0</v>
      </c>
      <c r="EI239" s="225" t="str">
        <f>IF(AND(ISNUMBER(SnapshotTable[[#This Row],[LC Total Value]]),SnapshotTable[[#This Row],[LC Total Value]]&gt;0),SnapshotTable[[#This Row],[LC Stop Gain Loss]]  / SnapshotTable[[#This Row],[LC Premium]],"")</f>
        <v/>
      </c>
      <c r="EJ239" s="35">
        <f>IF(ISNUMBER(SnapshotTable[[#This Row],[Equity Shares]]),TRUNC(SnapshotTable[[#This Row],[Equity Shares]] / 100),0) + SnapshotTable[[#This Row],[LC Qty]]</f>
        <v>0</v>
      </c>
      <c r="EK239" s="145"/>
      <c r="EL239" s="136"/>
      <c r="EM239" s="146"/>
      <c r="EN239" s="145"/>
      <c r="EO239" s="145"/>
      <c r="EP239" s="136"/>
      <c r="EQ239" s="382" t="b">
        <f>AND(ISNUMBER(SnapshotTable[[#This Row],[SC Exp Date]]), ISNUMBER(SnapshotTable[[#This Row],[SC Strike Price]]), ISNUMBER(SnapshotTable[[#This Row],[SC Qty]]), ISNUMBER(SnapshotTable[[#This Row],[SC Book Date]]), ISNUMBER(SnapshotTable[[#This Row],[SC Book Price]]))</f>
        <v>0</v>
      </c>
      <c r="ER239" s="382" t="b">
        <f>AND(SnapshotTable[[#This Row],[SC Is Booked]], NOT(ISBLANK(SnapshotTable[[#This Row],[SC Fill Date]])))</f>
        <v>0</v>
      </c>
      <c r="ES239" s="340"/>
      <c r="ET239" s="34" t="str">
        <f>IF(AND(ISNUMBER(SnapshotTable[[#This Row],[SC Exp Date]]), ISNUMBER(SnapshotTable[[#This Row],[SC Book Date]])), SnapshotTable[[#This Row],[SC Exp Date]] - MAX(SnapshotTable[[#This Row],[SC Book Date]], SnapshotTable[[#This Row],[SC Fill Date]]) + 1, "")</f>
        <v/>
      </c>
      <c r="EU239" s="34" t="str">
        <f>IF(ISNUMBER(SnapshotTable[[#This Row],[SC Term]]), SnapshotTable[[#This Row],[SC Exp Date]]- MockToday, "")</f>
        <v/>
      </c>
      <c r="EV239" s="31">
        <f>IF(SnapshotTable[[#This Row],[SC Is Booked]], SnapshotTable[[#This Row],[SC Qty]] * SnapshotTable[[#This Row],[SC Book Price]] * 100, 0)</f>
        <v>0</v>
      </c>
      <c r="EW239" s="4" t="str">
        <f>IF(AND(ISNUMBER(SnapshotTable[[#This Row],[Last Price]]), ISNUMBER( SnapshotTable[[#This Row],[SC Book Price]])), SnapshotTable[[#This Row],[Last Price]] - SnapshotTable[[#This Row],[SC Book Price]],"")</f>
        <v/>
      </c>
      <c r="EX239" s="219" t="str">
        <f>IF(SnapshotTable[[#This Row],[SC Is Booked]],IF(SnapshotTable[[#This Row],[SC Intrinsic Value]] &gt; 0, SnapshotTable[[#This Row],[SC Strike Price]], SnapshotTable[[#This Row],[Last Price]]), "")</f>
        <v/>
      </c>
      <c r="EY239" s="4">
        <f>IF(SnapshotTable[[#This Row],[SC Is Booked]], (MinimumPremiumRequired * SnapshotTable[[#This Row],[SC Basis]] * SnapshotTable[[#This Row],[SC Term]]), 0)</f>
        <v>0</v>
      </c>
      <c r="EZ239" s="268"/>
      <c r="FA239" s="386"/>
      <c r="FB239" s="340"/>
      <c r="FC239" s="4">
        <f>IF(SnapshotTable[[#This Row],[SC Is Filled]], btc_max_buyback_amount(SnapshotTable[[#This Row],[SC Fill Date]],SnapshotTable[[#This Row],[SC Exp Date]], SnapshotTable[[#This Row],[SC Book Price]]),0)</f>
        <v>0</v>
      </c>
      <c r="FD239" s="5"/>
      <c r="FE239" s="142" t="str">
        <f>IF(SnapshotTable[[#This Row],[SC Is Filled]], btc_next_cutoff_date(SnapshotTable[[#This Row],[SC Fill Date]],SnapshotTable[[#This Row],[SC Exp Date]]),"")</f>
        <v/>
      </c>
      <c r="FF239" s="4" t="str" cm="1">
        <f t="array" ref="FF239">IF(SnapshotTable[[#This Row],[SC Is Filled]], btc_should_buy_back(SnapshotTable[[#This Row],[SC Fill Date]], SnapshotTable[[#This Row],[SC Exp Date]], SnapshotTable[[#This Row],[SC Book Price]], SnapshotTable[[#This Row],[SC Current Ask]], MockToday, SnapshotTable[[#This Row],[SC Buyback Override]]),"")</f>
        <v/>
      </c>
      <c r="FG239" s="4">
        <f>IF(SnapshotTable[[#This Row],[SC Is Filled]], MAX(0,SnapshotTable[[#This Row],[Last Price]]  - SnapshotTable[[#This Row],[SC Strike Price]]), 0)</f>
        <v>0</v>
      </c>
      <c r="FH239" s="352">
        <f>IF(SnapshotTable[[#This Row],[SC Is Filled]], IF(ISNUMBER(SnapshotTable[[#This Row],[SC Current Ask]]), SnapshotTable[[#This Row],[SC Current Ask]], SnapshotTable[[#This Row],[SC Book Price]]) - SnapshotTable[[#This Row],[SC Intrinsic Value]], 0)</f>
        <v>0</v>
      </c>
      <c r="FI239" s="141"/>
      <c r="FJ239" s="32" t="str">
        <f>IF(SnapshotTable[[#This Row],[SC Is Filled]],100 * SnapshotTable[[#This Row],[SC Qty]] * IF(ISNUMBER(SnapshotTable[[#This Row],[SC Buyback Override]]), SnapshotTable[[#This Row],[SC Buyback Override]], SnapshotTable[[#This Row],[SC Current Ask]]), "")</f>
        <v/>
      </c>
      <c r="FK239" s="235" t="str">
        <f>IF(SnapshotTable[[#This Row],[SC Time Val]]&gt;0, SnapshotTable[[#This Row],[SC Time Val]] / SnapshotTable[[#This Row],[Last Price]],"")</f>
        <v/>
      </c>
      <c r="FL239" s="280" t="str">
        <f>IF(SnapshotTable[[#This Row],[SC Is Booked]], ((SnapshotTable[[#This Row],[Last Price]] -SnapshotTable[[#This Row],[SC Strike Price]]) / SnapshotTable[[#This Row],[Last Price]]) * -1, "")</f>
        <v/>
      </c>
      <c r="FM239" s="155" t="str">
        <f>IF(SnapshotTable[[#This Row],[SC Is Booked]],  (SnapshotTable[[#This Row],[SC Qty]] * 100 * SnapshotTable[[#This Row],[SC Strike Price]]) - SnapshotTable[[#This Row],[SC Current Ask]], "")</f>
        <v/>
      </c>
      <c r="FN23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39" s="31" t="str">
        <f>IF(AND(ISNUMBER(SnapshotTable[[#This Row],[SC Exercise Gross]]), ISNUMBER(SnapshotTable[[#This Row],[Equity Basis Per Share]] )), SnapshotTable[[#This Row],[SC Exercise Gross]] - SnapshotTable[[#This Row],[Equity Basis Total]] +  SnapshotTable[[#This Row],[SC Premium]], "")</f>
        <v/>
      </c>
      <c r="FP239" s="5" t="str">
        <f>IF(ISNUMBER(SnapshotTable[[#This Row],[SC Exercise Gross]]), (SnapshotTable[[#This Row],[SC Exercise Gross]]) / (SnapshotTable[[#This Row],[SC Qty]] * 100), "")</f>
        <v/>
      </c>
      <c r="FQ239" s="27" t="str">
        <f>IF(SnapshotTable[[#This Row],[SC Is Booked]],SnapshotTable[[#This Row],[SC Time Val]] /SnapshotTable[[#This Row],[SC Basis]], "")</f>
        <v/>
      </c>
      <c r="FR239" s="27" t="str" cm="1">
        <f t="array" ref="FR239">IF(AND(ISNUMBER(SnapshotTable[[#This Row],[SC Term]]),ISNUMBER(SnapshotTable[[#This Row],[SC Simple ROO]])), EllmanAnnualize(SnapshotTable[[#This Row],[SC DTE]], SnapshotTable[[#This Row],[SC Simple ROO]] ),"")</f>
        <v/>
      </c>
      <c r="FS239" s="4">
        <f>IF(SnapshotTable[[#This Row],[SC Strike Price]] &gt; SnapshotTable[[#This Row],[Last Price]], SnapshotTable[[#This Row],[SC Strike Price]] - SnapshotTable[[#This Row],[Last Price]],0)</f>
        <v>0</v>
      </c>
      <c r="FT239" s="27" t="str">
        <f>IF(AND(ISNUMBER(SnapshotTable[[#This Row],[SC Upside Potential]]), SnapshotTable[[#This Row],[SC Upside Potential]] &gt; 0),(SnapshotTable[[#This Row],[SC Upside Potential]]/ SnapshotTable[[#This Row],[ACB]]),"")</f>
        <v/>
      </c>
      <c r="FU239" s="304" t="str">
        <f>IF(SnapshotTable[[#This Row],[SC Intrinsic Value]] &gt; 0,SnapshotTable[[#This Row],[SC Intrinsic Value]],"")</f>
        <v/>
      </c>
      <c r="FV239" s="27" t="str">
        <f>IF(AND( ISNUMBER( SnapshotTable[[#This Row],[ACB]]),ISNUMBER(SnapshotTable[[#This Row],[SC Downside Protect]])),SnapshotTable[[#This Row],[SC Downside Protect]] / SnapshotTable[[#This Row],[ACB]],"")</f>
        <v/>
      </c>
      <c r="FW239" s="221" t="str">
        <f>IF(AND(ISNUMBER(SnapshotTable[[#This Row],[SC Simple ROO]]),SnapshotTable[[#This Row],[SC Simple ROO]] &gt; 0), SnapshotTable[[#This Row],[SC Premium]] + (SnapshotTable[[#This Row],[SC Qty]] * SnapshotTable[[#This Row],[SC Upside Potential]]), "")</f>
        <v/>
      </c>
      <c r="FX239" s="280" t="str" cm="1">
        <f t="array" ref="FX239">IF(ISNUMBER(SnapshotTable[[#This Row],[SC Max Dollars]]), annualize(SnapshotTable[[#This Row],[SC Term]],(SnapshotTable[[#This Row],[SC Max Dollars]]/SnapshotTable[[#This Row],[SC Basis]])),"")</f>
        <v/>
      </c>
      <c r="FY239" s="221" t="str">
        <f>IF(AND(SnapshotTable[[#This Row],[SC Qty]]&gt;0,SnapshotTable[[#This Row],[SC Current Ask]]&gt;0), SnapshotTable[[#This Row],[SC Qty]] * SnapshotTable[[#This Row],[SC Current Ask]] * -100, "")</f>
        <v/>
      </c>
      <c r="FZ239" s="31" t="str">
        <f>IF(ISNUMBER((SnapshotTable[[#This Row],[SC Current Value]])), SnapshotTable[[#This Row],[SC Premium]] + SnapshotTable[[#This Row],[SC Current Value]], "")</f>
        <v/>
      </c>
      <c r="GA239" s="272" t="str">
        <f>IFERROR( IF(ISNUMBER((SnapshotTable[[#This Row],[SC Current Value]])), SnapshotTable[[#This Row],[SC Gain Loss]] / SnapshotTable[[#This Row],[SC Premium]], ""), "")</f>
        <v/>
      </c>
      <c r="GB239" s="42">
        <f>SnapshotTable[[#This Row],[Equity Shares]] * SaleSharesToConsiderPercentage</f>
        <v>0</v>
      </c>
      <c r="GC239" s="40">
        <f>SnapshotTable[[#This Row],[Long Term Target]] * SellingPriceToConsiderBasedOnTargetPercentage</f>
        <v>392.56849999999997</v>
      </c>
      <c r="GD239" s="40">
        <f>SnapshotTable[[#This Row],[Last Price]] * (1+ SellingPriceToConsiderBasedOnTargetPercentage)</f>
        <v>167.3295</v>
      </c>
      <c r="GE239" s="41"/>
      <c r="GF239" s="40"/>
      <c r="GG239" s="31">
        <f>SnapshotTable[[#This Row],[Booked Sale Shares]] * SnapshotTable[[#This Row],[Booked Sale Price]]</f>
        <v>0</v>
      </c>
      <c r="GH239" s="31" t="str">
        <f>IF(SnapshotTable[[#This Row],[Equity Basis Total]] &gt; 0, SnapshotTable[[#This Row],[Equity Basis Per Share]] * SnapshotTable[[#This Row],[Booked Sale Shares]], "")</f>
        <v/>
      </c>
      <c r="GI239" s="31">
        <f>IF(SnapshotTable[[#This Row],[Sale Proceeds]]&gt;0, SnapshotTable[[#This Row],[Sale Proceeds]] - SnapshotTable[[#This Row],[Sale Basis]], 0)</f>
        <v>0</v>
      </c>
      <c r="GJ239" s="27" t="str">
        <f>IF(SnapshotTable[[#This Row],[Sale G/L]]&gt;0, SnapshotTable[[#This Row],[Sale G/L]] / SnapshotTable[[#This Row],[Sale Basis]], IF(ISNUMBER(SnapshotTable[[#This Row],[SC Exercise P&amp;L (TAX)]]), SnapshotTable[[#This Row],[SC Exercise P&amp;L (TAX)]] / SnapshotTable[[#This Row],[SC Basis]], ""))</f>
        <v/>
      </c>
      <c r="GK239" s="27" t="s">
        <v>622</v>
      </c>
      <c r="GL239" s="43" t="str">
        <f>IF(AND(SnapshotTable[[#This Row],[LP Exp Date]]&gt;0,SnapshotTable[[#This Row],[LP Strike Price]]&gt;0), [1]!ToOptionSymbol(SnapshotTable[[#This Row],[Symbol]], SnapshotTable[[#This Row],[LP Strike Price]],SnapshotTable[[#This Row],[LP Exp Date]],1), "")</f>
        <v/>
      </c>
      <c r="GM239" s="30" t="str">
        <f>IF(LEN(SnapshotTable[[#This Row],[LP Symbol]])&gt;0, 1, "")</f>
        <v/>
      </c>
      <c r="GN239" s="43" t="str">
        <f>IF(AND(SnapshotTable[[#This Row],[SP Exp Date]]&gt;0,SnapshotTable[[#This Row],[SP Strike Price]]&gt;0), [1]!ToOptionSymbol(SnapshotTable[[#This Row],[Symbol]], SnapshotTable[[#This Row],[SP Strike Price]],SnapshotTable[[#This Row],[SP Exp Date]],1), "")</f>
        <v/>
      </c>
      <c r="GO239" s="30" t="str">
        <f>IF(LEN(SnapshotTable[[#This Row],[SP Symbol]])&gt;0, 1, "")</f>
        <v/>
      </c>
      <c r="GP239" s="43" t="str">
        <f>IF(AND(SnapshotTable[[#This Row],[LC Exp Date]]&gt;0,SnapshotTable[[#This Row],[LC Strike Price]]&gt;0), [1]!ToOptionSymbol(SnapshotTable[[#This Row],[Symbol]], SnapshotTable[[#This Row],[LC Strike Price]],SnapshotTable[[#This Row],[LC Exp Date]],0), "")</f>
        <v/>
      </c>
      <c r="GQ239" s="30" t="str">
        <f>IF(LEN(SnapshotTable[[#This Row],[LC Symbol]])&gt;0, 1, "")</f>
        <v/>
      </c>
      <c r="GR239" s="43" t="str">
        <f>IF(AND(SnapshotTable[[#This Row],[SC Exp Date]]&gt;0,SnapshotTable[[#This Row],[SC Strike Price]]&gt;0), [1]!ToOptionSymbol(SnapshotTable[[#This Row],[Symbol]], SnapshotTable[[#This Row],[SC Strike Price]],SnapshotTable[[#This Row],[SC Exp Date]],0), "")</f>
        <v/>
      </c>
      <c r="GS239" s="30" t="str">
        <f>IF(LEN(SnapshotTable[[#This Row],[SC Symbol]])&gt;0, 1, "")</f>
        <v/>
      </c>
      <c r="GT239" s="29" t="str">
        <f>IF(COUNT(SnapshotTable[[#This Row],[LP Symbol Count]],SnapshotTable[[#This Row],[SP Symbol Count]],SnapshotTable[[#This Row],[LC Symbol Count]],SnapshotTable[[#This Row],[SC Symbol Count]])&gt;0, "Y", "")</f>
        <v/>
      </c>
      <c r="GU23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39" s="216">
        <f>MAX(SnapshotTable[[#This Row],[Equity Basis Total]],SnapshotTable[[#This Row],[Equity Value]]) + (SnapshotTable[[#This Row],[SP Potential Spend]]- SnapshotTable[[#This Row],[SP Premium]] + SnapshotTable[[#This Row],[LP Premium]])+ (SnapshotTable[[#This Row],[LC Premium]] - SnapshotTable[[#This Row],[SC Premium]])</f>
        <v>0</v>
      </c>
      <c r="GW239" s="137" t="str">
        <f>IF(AND(SnapshotTable[[#This Row],[Exposure]] &lt;&gt; 0),SnapshotTable[[#This Row],[Exposure]] / SnapshotTable[[#Totals],[Exposure]], "")</f>
        <v/>
      </c>
      <c r="GX239" s="2"/>
      <c r="GY239" s="357"/>
      <c r="GZ239"/>
      <c r="HA239" s="2"/>
      <c r="HB239" s="2"/>
      <c r="HK239" s="1"/>
      <c r="HL239" s="1"/>
      <c r="HM239" s="1"/>
      <c r="HN239" s="1"/>
      <c r="HO239" s="1"/>
      <c r="HP239" s="1"/>
    </row>
    <row r="240" spans="2:224" ht="12.75" hidden="1" customHeight="1" x14ac:dyDescent="0.25">
      <c r="B240" s="12" t="s">
        <v>766</v>
      </c>
      <c r="C240" s="385">
        <v>142.26</v>
      </c>
      <c r="D240" s="200" t="s">
        <v>658</v>
      </c>
      <c r="E240" s="39">
        <f>SnapshotTable[[#This Row],[Last Price]]*(1 -CrashDiscount)</f>
        <v>120.92099999999999</v>
      </c>
      <c r="F240" s="26" t="s">
        <v>648</v>
      </c>
      <c r="G240" s="26" t="s">
        <v>7</v>
      </c>
      <c r="H240" s="147"/>
      <c r="I240" s="186">
        <v>44798.673611111109</v>
      </c>
      <c r="J240" s="187">
        <v>44798.673611111109</v>
      </c>
      <c r="K240" s="188"/>
      <c r="L240" s="297"/>
      <c r="M240" s="138"/>
      <c r="N240" s="138"/>
      <c r="O240" s="138"/>
      <c r="P240" s="22"/>
      <c r="Q240" s="25"/>
      <c r="R240" s="4" t="str">
        <f>IF(SnapshotTable[[#This Row],[Equity Basis Total]] &gt; 0, SnapshotTable[[#This Row],[Equity Basis Total]] / SnapshotTable[[#This Row],[Equity Shares]], "")</f>
        <v/>
      </c>
      <c r="S240" s="254">
        <f>SnapshotTable[[#This Row],[Last Price]] * SnapshotTable[[#This Row],[Equity Shares]]</f>
        <v>0</v>
      </c>
      <c r="T240" s="254">
        <f>SnapshotTable[[#This Row],[Equity Value]] - SnapshotTable[[#This Row],[Equity Basis Total]]</f>
        <v>0</v>
      </c>
      <c r="U240" s="255" t="str">
        <f>IF(SnapshotTable[[#This Row],[Equity Basis Total]] &gt; 0, SnapshotTable[[#This Row],[Equity G/L]] / SnapshotTable[[#This Row],[Equity Basis Total]], "")</f>
        <v/>
      </c>
      <c r="V240" s="253"/>
      <c r="W240" s="253"/>
      <c r="X240" s="4" t="str">
        <f>IF(AND(ISNUMBER(SnapshotTable[[#This Row],[Equity Basis Per Share]]),ISNUMBER(SnapshotTable[[#This Row],[Equity Target]])),SnapshotTable[[#This Row],[Equity Target]]-SnapshotTable[[#This Row],[Equity Basis Per Share]],"")</f>
        <v/>
      </c>
      <c r="Y240" s="4" t="str">
        <f>IF(AND(ISNUMBER(SnapshotTable[[#This Row],[Equity Basis Per Share]]),ISNUMBER(SnapshotTable[[#This Row],[Equity Stop Loss]])),SnapshotTable[[#This Row],[Equity Stop Loss]]-SnapshotTable[[#This Row],[Equity Basis Per Share]],"")</f>
        <v/>
      </c>
      <c r="Z240" s="260" t="str">
        <f>IFERROR( TEXT(SnapshotTable[[#This Row],[Equity Max Gain Per Share]] /ABS( SnapshotTable[[#This Row],[Equity Max Loss Per Share]]),"0.0 " ) &amp; " : 1", "")</f>
        <v/>
      </c>
      <c r="AA240" s="31" t="str">
        <f>IF(ISNUMBER(SnapshotTable[[#This Row],[Equity Max Gain Per Share]]),SnapshotTable[[#This Row],[Equity Max Gain Per Share]] * SnapshotTable[[#This Row],[Equity Shares]],"")</f>
        <v/>
      </c>
      <c r="AB240" s="31" t="str">
        <f>IF(ISNUMBER(SnapshotTable[[#This Row],[Equity Max Loss Per Share]]),SnapshotTable[[#This Row],[Equity Max Loss Per Share]] * SnapshotTable[[#This Row],[Equity Shares]],"")</f>
        <v/>
      </c>
      <c r="AC240" s="148"/>
      <c r="AD240" s="149"/>
      <c r="AE240" s="31">
        <f>(SnapshotTable[[#This Row],[Annual Dividend Per Share]] / 4) * SnapshotTable[[#This Row],[Equity Shares]]</f>
        <v>0</v>
      </c>
      <c r="AF240" s="31">
        <f>SnapshotTable[[#This Row],[Quarterly Div $]] * 4</f>
        <v>0</v>
      </c>
      <c r="AG240" s="7">
        <f>IF(SnapshotTable[[#This Row],[Annual Dividend Per Share]]&gt;0, SnapshotTable[[#This Row],[Annual Dividend Per Share]]  / SnapshotTable[[#This Row],[Last Price]], 0)</f>
        <v>0</v>
      </c>
      <c r="AH240" s="149"/>
      <c r="AI240" s="5"/>
      <c r="AJ240" s="136">
        <v>230.33</v>
      </c>
      <c r="AK240" s="150" t="str">
        <f>IF(ISNUMBER( SnapshotTable[[#This Row],[EBF Target]]),(SnapshotTable[[#This Row],[EBF Target]] - SnapshotTable[[#This Row],[Last Price]]) / SnapshotTable[[#This Row],[Last Price]], "")</f>
        <v/>
      </c>
      <c r="AL240" s="150" t="str">
        <f>IF(AND(SnapshotTable[[#This Row],[Equity Basis Total]] &gt; 0,ISNUMBER( SnapshotTable[[#This Row],[Long Term Target]])), SnapshotTable[[#This Row],[From Basis $]] / SnapshotTable[[#This Row],[Equity Basis Total]], "")</f>
        <v/>
      </c>
      <c r="AM240" s="9">
        <f>IF( AND(SnapshotTable[[#This Row],[Equity Shares]] &gt;0,ISNUMBER( SnapshotTable[[#This Row],[Long Term Target]])),(SnapshotTable[[#This Row],[Equity Shares]] * SnapshotTable[[#This Row],[Long Term Target]]) - SnapshotTable[[#This Row],[Equity Basis Total]],0)</f>
        <v>0</v>
      </c>
      <c r="AN240" s="9">
        <f>IF( AND(SnapshotTable[[#This Row],[Equity Shares]] &gt;0,ISNUMBER( SnapshotTable[[#This Row],[Long Term Target]])),(SnapshotTable[[#This Row],[Equity Shares]]*SnapshotTable[[#This Row],[Long Term Target]]) - SnapshotTable[[#This Row],[Equity Value]],0)</f>
        <v>0</v>
      </c>
      <c r="AO240" s="150">
        <f>IF(AND(ISNUMBER( SnapshotTable[[#This Row],[Long Term Target]]), ISNUMBER(SnapshotTable[[#This Row],[Last Price]])),(SnapshotTable[[#This Row],[Long Term Target]] - SnapshotTable[[#This Row],[Last Price]]) / SnapshotTable[[#This Row],[Last Price]], "")</f>
        <v>0.61907774497399148</v>
      </c>
      <c r="AP240" s="5">
        <v>150</v>
      </c>
      <c r="AQ240" s="38" t="s">
        <v>22</v>
      </c>
      <c r="AR240" s="5">
        <v>150</v>
      </c>
      <c r="AS240" s="38" t="s">
        <v>15</v>
      </c>
      <c r="AT240" s="144" t="s">
        <v>438</v>
      </c>
      <c r="AU240" s="185" t="str">
        <f>IF(OR(SnapshotTable[[#This Row],[LP No Fill]]="Y",SnapshotTable[[#This Row],[SP Is Filled]],SnapshotTable[[#This Row],[LC Not Filled]]="Y",SnapshotTable[[#This Row],[SC Is Filled]]),"Y","")</f>
        <v/>
      </c>
      <c r="AV240" s="205"/>
      <c r="AW240" s="211">
        <v>8.5779999999999994</v>
      </c>
      <c r="AX240" s="206">
        <v>44302</v>
      </c>
      <c r="AY240" s="205">
        <f>IF(SnapshotTable[[#This Row],[Implied Move]]&gt;0, SnapshotTable[[#This Row],[Last Price]]-SnapshotTable[[#This Row],[Implied Move]],"")</f>
        <v>133.68199999999999</v>
      </c>
      <c r="AZ240" s="205">
        <f>IF(SnapshotTable[[#This Row],[Implied Move]]&gt;0, SnapshotTable[[#This Row],[Last Price]] + SnapshotTable[[#This Row],[Implied Move]],"")</f>
        <v>150.83799999999999</v>
      </c>
      <c r="BA240" s="302">
        <v>144.85</v>
      </c>
      <c r="BB240" s="318"/>
      <c r="BC24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0" s="321"/>
      <c r="BE240" s="5"/>
      <c r="BF240" s="14"/>
      <c r="BG240" s="13"/>
      <c r="BH240" s="13"/>
      <c r="BI240" s="5"/>
      <c r="BJ240" s="134">
        <f>IF(SnapshotTable[[#This Row],[LP Qty]] &gt; 0, SnapshotTable[[#This Row],[LP Qty]] * SnapshotTable[[#This Row],[LP Book Price]] * 100,0)</f>
        <v>0</v>
      </c>
      <c r="BK240" s="134">
        <f>IF(SnapshotTable[[#This Row],[LP Premium]] &gt; 0, SnapshotTable[[#This Row],[LP Qty]] * SnapshotTable[[#This Row],[LP Strike Price]] * 100,0)</f>
        <v>0</v>
      </c>
      <c r="BL240" s="152"/>
      <c r="BM240" s="355" t="str">
        <f>IF(SnapshotTable[[#This Row],[LP Premium]] &gt; 0,SnapshotTable[[#This Row],[LP Exp Date]]-MAX(SnapshotTable[[#This Row],[LP Book Date]], SnapshotTable[[#This Row],[LP Fill Date]]),"")</f>
        <v/>
      </c>
      <c r="BN240" s="355" t="str">
        <f>IF(ISNUMBER( SnapshotTable[[#This Row],[LP Term]]), SnapshotTable[[#This Row],[LP Exp Date]] - MockToday,"")</f>
        <v/>
      </c>
      <c r="BO240" s="161" t="str">
        <f>IF(AND(SnapshotTable[[#This Row],[LP Exp Date]]&gt;0, SnapshotTable[[#This Row],[LP Strike Price]]&gt;0,SnapshotTable[[#This Row],[LP Qty]]&gt;0,SnapshotTable[[#This Row],[LP Book Date]]&gt;0,SnapshotTable[[#This Row],[LP Book Price]]&gt;0,SnapshotTable[[#This Row],[LP Fill Date]]=0),"Y","")</f>
        <v/>
      </c>
      <c r="BP240" s="31" t="str">
        <f>IF(AND(SnapshotTable[[#This Row],[LP No Fill]]&lt;&gt;"Y",SnapshotTable[[#This Row],[LP Contract Value]]&gt;0, SnapshotTable[[#This Row],[LP Qty]]&gt;0), SnapshotTable[[#This Row],[LP Contract Value]]*SnapshotTable[[#This Row],[LP Qty]]*100,"")</f>
        <v/>
      </c>
      <c r="BQ240" s="13"/>
      <c r="BR240" s="5"/>
      <c r="BS240" s="36"/>
      <c r="BT240" s="145"/>
      <c r="BU240" s="13"/>
      <c r="BV240" s="5"/>
      <c r="BW240" s="382" t="b">
        <f>AND(ISNUMBER(SnapshotTable[[#This Row],[SP Exp Date]]), ISNUMBER(SnapshotTable[[#This Row],[SP Strike Price]]), ISNUMBER(SnapshotTable[[#This Row],[SP Qty]]), ISNUMBER(SnapshotTable[[#This Row],[SP Book Date]]), ISNUMBER(SnapshotTable[[#This Row],[SP Book Price]]))</f>
        <v>0</v>
      </c>
      <c r="BX240" s="382" t="b">
        <f>AND(SnapshotTable[[#This Row],[SP Is Booked]], NOT(ISBLANK(SnapshotTable[[#This Row],[SP Fill Date]])))</f>
        <v>0</v>
      </c>
      <c r="BY240" s="33">
        <f>IF(SnapshotTable[[#This Row],[SP Is Booked]], SnapshotTable[[#This Row],[SP Qty]] * SnapshotTable[[#This Row],[SP Book Price]] * 100, 0)</f>
        <v>0</v>
      </c>
      <c r="BZ240" s="339"/>
      <c r="CA240" s="338">
        <f>SnapshotTable[[#This Row],[LP Qty]]</f>
        <v>0</v>
      </c>
      <c r="CB240" s="4" t="str">
        <f>IF(SnapshotTable[[#This Row],[SP Is Booked]], SnapshotTable[[#This Row],[SP Strike Price]] - SnapshotTable[[#This Row],[SP Book Price]], "")</f>
        <v/>
      </c>
      <c r="CC240" s="19" t="str">
        <f>IF(SnapshotTable[[#This Row],[SP Is Booked]],SnapshotTable[[#This Row],[SP Exp Date]]-MAX(SnapshotTable[[#This Row],[SP Book Date]], SnapshotTable[[#This Row],[SP Fill Date]]),"")</f>
        <v/>
      </c>
      <c r="CD240" s="7" t="str">
        <f>IF(SnapshotTable[[#This Row],[SP Is Booked]], SnapshotTable[[#This Row],[SP Book Price]]/SnapshotTable[[#This Row],[SP Strike Price]], "")</f>
        <v/>
      </c>
      <c r="CE240" s="7" t="str">
        <f>IF(ISNUMBER(SnapshotTable[[#This Row],[SP ROO Term]]),SnapshotTable[[#This Row],[SP ROO Term]]*(365/SnapshotTable[[#This Row],[SP Term]]),"")</f>
        <v/>
      </c>
      <c r="CF240" s="221">
        <f>SnapshotTable[[#This Row],[LP Strike Price]] * SnapshotTable[[#This Row],[LP Qty]] * 100</f>
        <v>0</v>
      </c>
      <c r="CG240" s="31">
        <f>IF(ISNUMBER(SnapshotTable[[#This Row],[SP Premium]]), (SnapshotTable[[#This Row],[SP Qty]] * SnapshotTable[[#This Row],[SP Strike Price]]* 100) - SnapshotTable[[#This Row],[LP Protection]], 0)</f>
        <v>0</v>
      </c>
      <c r="CH240" s="7" t="str">
        <f>IF(ISNUMBER(SnapshotTable[[#This Row],[SP Break Even]]),-1 * (SnapshotTable[[#This Row],[SP Break Even]] - SnapshotTable[[#This Row],[Last Price]]) / SnapshotTable[[#This Row],[Last Price]], "")</f>
        <v/>
      </c>
      <c r="CI240" s="31">
        <f>IF(AND(ISNUMBER((SnapshotTable[[#This Row],[SP Potential Spend]])), SnapshotTable[[#This Row],[SP Strike Price]] &gt; SnapshotTable[[#This Row],[Last Price]], SnapshotTable[[#This Row],[SP Is Filled]]), SnapshotTable[[#This Row],[SP Potential Spend]] -  SnapshotTable[[#This Row],[LP Max Value]], 0)</f>
        <v>0</v>
      </c>
      <c r="CJ240" s="229">
        <v>0.5</v>
      </c>
      <c r="CK240" s="31">
        <f>IF(ISNUMBER(SnapshotTable[[#This Row],[SP Potential Spend]]),IF(ISNUMBER(SnapshotTable[[#This Row],[SP POW]]), SnapshotTable[[#This Row],[SP POW]] * SnapshotTable[[#This Row],[SP Potential Spend]], SnapshotTable[[#This Row],[SP Potential Spend]]), "")</f>
        <v>0</v>
      </c>
      <c r="CL240" s="162">
        <f>IF(NOT(SnapshotTable[[#This Row],[SP Is Filled]]),(SnapshotTable[[#This Row],[SP Qty]] * SnapshotTable[[#This Row],[SP Strike Price]] * 100) - SnapshotTable[[#This Row],[LP Max Value]],"")</f>
        <v>0</v>
      </c>
      <c r="CM240" s="31" t="str">
        <f>IF(SnapshotTable[[#This Row],[SP Actual Spend]]&lt;&gt;0, ((SnapshotTable[[#This Row],[SP Strike Price]]-SnapshotTable[[#This Row],[Last Price]]) *(SnapshotTable[[#This Row],[SP Qty]]*100) - SnapshotTable[[#This Row],[SP Premium]]) * - 1, "")</f>
        <v/>
      </c>
      <c r="CN240" s="76"/>
      <c r="CO240" s="339"/>
      <c r="CP240" s="4" t="str">
        <f>IF(SnapshotTable[[#This Row],[SP Is Filled]], btc_max_buyback_amount(SnapshotTable[[#This Row],[SP Fill Date]],SnapshotTable[[#This Row],[SP Exp Date]], SnapshotTable[[#This Row],[SP Book Price]]),"")</f>
        <v/>
      </c>
      <c r="CQ240" s="76"/>
      <c r="CR24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0" s="153" t="str">
        <f>IF(SnapshotTable[[#This Row],[SP Is Filled]], btc_next_cutoff_date(SnapshotTable[[#This Row],[SP Fill Date]],SnapshotTable[[#This Row],[SP Exp Date]]),"")</f>
        <v/>
      </c>
      <c r="CT240" s="220" t="str" cm="1">
        <f t="array" ref="CT240">IF(SnapshotTable[[#This Row],[SP Is Filled]], btc_should_buy_back(SnapshotTable[[#This Row],[SP Fill Date]], SnapshotTable[[#This Row],[SP Exp Date]], SnapshotTable[[#This Row],[SP Book Price]], SnapshotTable[[#This Row],[SP Current Ask]], MockToday, SnapshotTable[[#This Row],[SP Buyback Override]]),"")</f>
        <v/>
      </c>
      <c r="CU240" s="141"/>
      <c r="CV240" s="220"/>
      <c r="CW240" s="348" t="str">
        <f>IF(ISNUMBER( SnapshotTable[[#This Row],[SP Term]]), SnapshotTable[[#This Row],[SP Exp Date]] - MockToday,"")</f>
        <v/>
      </c>
      <c r="CX240" s="31" t="str">
        <f>IF(SnapshotTable[[#This Row],[SP Is Filled]],SnapshotTable[[#This Row],[SP Buyback Price to Use]] * 100 * SnapshotTable[[#This Row],[SP Qty]], "")</f>
        <v/>
      </c>
      <c r="CY240" s="4" t="str">
        <f>IF(ISNUMBER(SnapshotTable[[#This Row],[SP Strike Price]]), SnapshotTable[[#This Row],[SP Strike Price]] * (1 - SP_MaxLoss_StrikePct), "")</f>
        <v/>
      </c>
      <c r="CZ240" s="31" t="str">
        <f>IF(ISNUMBER(SnapshotTable[[#This Row],[SP Strike  Stop Per Share]]),SnapshotTable[[#This Row],[SP Premium]] - ((SnapshotTable[[#This Row],[SP Strike Price]]-SnapshotTable[[#This Row],[SP Strike  Stop Per Share]]) *(SnapshotTable[[#This Row],[SP Qty]] * 100)),"")</f>
        <v/>
      </c>
      <c r="DA240" s="4" t="str">
        <f>IF(AND(ISNUMBER(SnapshotTable[[#This Row],[SP Premium]]),SnapshotTable[[#This Row],[SP Premium]]&gt;0), SnapshotTable[[#This Row],[SP Book Price]] * (1 + SP_MaxLoss_OptionPct), "")</f>
        <v/>
      </c>
      <c r="DB240" s="31" t="str">
        <f>IF(ISNUMBER(SnapshotTable[[#This Row],[SP Option  Stop Contract]]),(SnapshotTable[[#This Row],[SP Option  Stop Contract]] *(SnapshotTable[[#This Row],[SP Qty]] * 100) - SnapshotTable[[#This Row],[SP Premium]]),"")</f>
        <v/>
      </c>
      <c r="DC240" s="4"/>
      <c r="DD240" s="4"/>
      <c r="DE240" s="4" t="str">
        <f>IF(AND(SnapshotTable[[#This Row],[SP Qty]]&gt;0, SnapshotTable[[#This Row],[SP Stop To Use]]&gt;0),SnapshotTable[[#This Row],[SP Premium]] - ( SnapshotTable[[#This Row],[SP Qty]] * SnapshotTable[[#This Row],[SP Stop To Use]] * 100), "")</f>
        <v/>
      </c>
      <c r="DF240" s="31" t="str">
        <f>IF(AND(SnapshotTable[[#This Row],[SP Qty]]&gt;0,SnapshotTable[[#This Row],[SP Current Ask]]&gt;0), SnapshotTable[[#This Row],[SP Qty]] * SnapshotTable[[#This Row],[SP Current Ask]] * -100, "")</f>
        <v/>
      </c>
      <c r="DG240" s="31" t="str">
        <f>IF(ISNUMBER((SnapshotTable[[#This Row],[SP Total Value]])), SnapshotTable[[#This Row],[SP Premium]] + SnapshotTable[[#This Row],[SP Total Value]], "")</f>
        <v/>
      </c>
      <c r="DH240" s="272" t="str">
        <f>IF(ISNUMBER((SnapshotTable[[#This Row],[SP Total Value]])), SnapshotTable[[#This Row],[SP Gain Loss]] / SnapshotTable[[#This Row],[SP Premium]], "")</f>
        <v/>
      </c>
      <c r="DI240" s="369"/>
      <c r="DJ240" s="136"/>
      <c r="DK240" s="146"/>
      <c r="DL240" s="13"/>
      <c r="DM240" s="13"/>
      <c r="DO240" s="31">
        <f>IF(SnapshotTable[[#This Row],[LC Symbol Count]]=1, SnapshotTable[[#This Row],[LC Qty]] * SnapshotTable[[#This Row],[LC Book Price]] * 100, 0)</f>
        <v>0</v>
      </c>
      <c r="DP240" s="161" t="str">
        <f>IF(AND(SnapshotTable[[#This Row],[LC Exp Date]]&gt;0, SnapshotTable[[#This Row],[LC Strike Price]]&gt;0,SnapshotTable[[#This Row],[LC Qty]]&gt;0,SnapshotTable[[#This Row],[LC Book Date]]&gt;0,SnapshotTable[[#This Row],[LC Book Price]]&gt;0,SnapshotTable[[#This Row],[LC Fill Date]]=0),"Y","")</f>
        <v/>
      </c>
      <c r="DQ240" s="356" t="str">
        <f>IF(SnapshotTable[[#This Row],[LC Premium]] &gt; 0,SnapshotTable[[#This Row],[LC Exp Date]]-MAX(SnapshotTable[[#This Row],[LC Book Date]], SnapshotTable[[#This Row],[LC Fill Date]]),"")</f>
        <v/>
      </c>
      <c r="DR240" s="356" t="str">
        <f>IF(ISNUMBER(SnapshotTable[[#This Row],[LC Term]]), SnapshotTable[[#This Row],[LC Exp Date]] - MockToday, "")</f>
        <v/>
      </c>
      <c r="DS240" s="219" t="str">
        <f>IF(SnapshotTable[[#This Row],[LC Premium]]&gt;0,SnapshotTable[[#This Row],[LC Strike Price]] + SnapshotTable[[#This Row],[LC Book Price]],"")</f>
        <v/>
      </c>
      <c r="DU240" s="9" t="str">
        <f>IF(AND(SnapshotTable[[#This Row],[LC Symbol Count]]&gt;0, SnapshotTable[[#This Row],[LC Contract Value]]&gt;0), SnapshotTable[[#This Row],[LC Contract Value]] * SnapshotTable[[#This Row],[LC Qty]] * 100, "")</f>
        <v/>
      </c>
      <c r="DV240" s="9" t="str">
        <f>IF(AND(ISNUMBER(SnapshotTable[[#This Row],[LC Total Value]]), SnapshotTable[[#This Row],[LC Not Filled]]&lt;&gt;"Y"), SnapshotTable[[#This Row],[LC Total Value]]-SnapshotTable[[#This Row],[LC Premium]],"")</f>
        <v/>
      </c>
      <c r="DW240" s="225" t="str">
        <f>IF(ISNUMBER(SnapshotTable[[#This Row],[LC Actual Gain Loss]]), SnapshotTable[[#This Row],[LC Actual Gain Loss]] / SnapshotTable[[#This Row],[LC Premium]],"")</f>
        <v/>
      </c>
      <c r="DX240" s="269" t="str">
        <f>IF(ISNUMBER(SnapshotTable[[#This Row],[LC Book Price]]),SnapshotTable[[#This Row],[LC Book Price]] * 1.5,"")</f>
        <v/>
      </c>
      <c r="DY240" s="250" t="str">
        <f>IF(SnapshotTable[[#This Row],[LC Premium]]&gt;0, SnapshotTable[[#This Row],[LC Next Target]] * SnapshotTable[[#This Row],[LC Qty]] * 100,"")</f>
        <v/>
      </c>
      <c r="DZ240" s="250" t="str">
        <f>IF(ISNUMBER(SnapshotTable[[#This Row],[LC Target Gross]]), SnapshotTable[[#This Row],[LC Target Gross]] - SnapshotTable[[#This Row],[LC Premium]], "")</f>
        <v/>
      </c>
      <c r="EA240" s="283" t="str">
        <f>IF(ISNUMBER(SnapshotTable[[#This Row],[LC Target Gain Loss]]), SnapshotTable[[#This Row],[LC Target Gain Loss]]/SnapshotTable[[#This Row],[LC Premium]], "")</f>
        <v/>
      </c>
      <c r="EB240" s="247"/>
      <c r="EC240" s="268" t="str">
        <f>IF(SnapshotTable[[#This Row],[LC Premium]]&gt;0, SnapshotTable[[#This Row],[LC Book Price]] * (1 - LC_StopLoss_Pct),"")</f>
        <v/>
      </c>
      <c r="ED240" s="269"/>
      <c r="EE240" s="268" t="str">
        <f>IF(ISNUMBER(SnapshotTable[[#This Row],[LC Contract Value]]),IF(ISNUMBER(SnapshotTable[[#This Row],[LC Stop Loss Override]]), SnapshotTable[[#This Row],[LC Stop Loss Override]],SnapshotTable[[#This Row],[LC Stop Loss Calc Target]]),"")</f>
        <v/>
      </c>
      <c r="EF240" s="31" t="str">
        <f>IF(ISNUMBER(SnapshotTable[[#This Row],[LC Stop  To Use]]), (SnapshotTable[[#This Row],[LC Stop  To Use]] * SnapshotTable[[#This Row],[LC Qty]] * 100),"")</f>
        <v/>
      </c>
      <c r="EG240" s="9" t="str">
        <f>IF(ISNUMBER(SnapshotTable[[#This Row],[LC Total Value]]),SnapshotTable[[#This Row],[LC Stop Loss Amount]] - SnapshotTable[[#This Row],[LC Premium]],"")</f>
        <v/>
      </c>
      <c r="EH240" s="9">
        <f>IF(ISNUMBER(SnapshotTable[[#This Row],[LC Premium]]), SnapshotTable[[#This Row],[LC Qty]] * 100 * SnapshotTable[[#This Row],[LC Strike Price]], "")</f>
        <v>0</v>
      </c>
      <c r="EI240" s="225" t="str">
        <f>IF(AND(ISNUMBER(SnapshotTable[[#This Row],[LC Total Value]]),SnapshotTable[[#This Row],[LC Total Value]]&gt;0),SnapshotTable[[#This Row],[LC Stop Gain Loss]]  / SnapshotTable[[#This Row],[LC Premium]],"")</f>
        <v/>
      </c>
      <c r="EJ240" s="35">
        <f>IF(ISNUMBER(SnapshotTable[[#This Row],[Equity Shares]]),TRUNC(SnapshotTable[[#This Row],[Equity Shares]] / 100),0) + SnapshotTable[[#This Row],[LC Qty]]</f>
        <v>0</v>
      </c>
      <c r="EK240" s="145"/>
      <c r="EL240" s="136"/>
      <c r="EM240" s="146"/>
      <c r="EN240" s="145"/>
      <c r="EO240" s="145"/>
      <c r="EP240" s="136"/>
      <c r="EQ240" s="382" t="b">
        <f>AND(ISNUMBER(SnapshotTable[[#This Row],[SC Exp Date]]), ISNUMBER(SnapshotTable[[#This Row],[SC Strike Price]]), ISNUMBER(SnapshotTable[[#This Row],[SC Qty]]), ISNUMBER(SnapshotTable[[#This Row],[SC Book Date]]), ISNUMBER(SnapshotTable[[#This Row],[SC Book Price]]))</f>
        <v>0</v>
      </c>
      <c r="ER240" s="382" t="b">
        <f>AND(SnapshotTable[[#This Row],[SC Is Booked]], NOT(ISBLANK(SnapshotTable[[#This Row],[SC Fill Date]])))</f>
        <v>0</v>
      </c>
      <c r="ES240" s="340"/>
      <c r="ET240" s="34" t="str">
        <f>IF(AND(ISNUMBER(SnapshotTable[[#This Row],[SC Exp Date]]), ISNUMBER(SnapshotTable[[#This Row],[SC Book Date]])), SnapshotTable[[#This Row],[SC Exp Date]] - MAX(SnapshotTable[[#This Row],[SC Book Date]], SnapshotTable[[#This Row],[SC Fill Date]]) + 1, "")</f>
        <v/>
      </c>
      <c r="EU240" s="34" t="str">
        <f>IF(ISNUMBER(SnapshotTable[[#This Row],[SC Term]]), SnapshotTable[[#This Row],[SC Exp Date]]- MockToday, "")</f>
        <v/>
      </c>
      <c r="EV240" s="31">
        <f>IF(SnapshotTable[[#This Row],[SC Is Booked]], SnapshotTable[[#This Row],[SC Qty]] * SnapshotTable[[#This Row],[SC Book Price]] * 100, 0)</f>
        <v>0</v>
      </c>
      <c r="EW240" s="4" t="str">
        <f>IF(AND(ISNUMBER(SnapshotTable[[#This Row],[Last Price]]), ISNUMBER( SnapshotTable[[#This Row],[SC Book Price]])), SnapshotTable[[#This Row],[Last Price]] - SnapshotTable[[#This Row],[SC Book Price]],"")</f>
        <v/>
      </c>
      <c r="EX240" s="219" t="str">
        <f>IF(SnapshotTable[[#This Row],[SC Is Booked]],IF(SnapshotTable[[#This Row],[SC Intrinsic Value]] &gt; 0, SnapshotTable[[#This Row],[SC Strike Price]], SnapshotTable[[#This Row],[Last Price]]), "")</f>
        <v/>
      </c>
      <c r="EY240" s="4">
        <f>IF(SnapshotTable[[#This Row],[SC Is Booked]], (MinimumPremiumRequired * SnapshotTable[[#This Row],[SC Basis]] * SnapshotTable[[#This Row],[SC Term]]), 0)</f>
        <v>0</v>
      </c>
      <c r="EZ240" s="268"/>
      <c r="FA240" s="204"/>
      <c r="FB240" s="340"/>
      <c r="FC240" s="4">
        <f>IF(SnapshotTable[[#This Row],[SC Is Filled]], btc_max_buyback_amount(SnapshotTable[[#This Row],[SC Fill Date]],SnapshotTable[[#This Row],[SC Exp Date]], SnapshotTable[[#This Row],[SC Book Price]]),0)</f>
        <v>0</v>
      </c>
      <c r="FD240" s="5"/>
      <c r="FE240" s="142" t="str">
        <f>IF(SnapshotTable[[#This Row],[SC Is Filled]], btc_next_cutoff_date(SnapshotTable[[#This Row],[SC Fill Date]],SnapshotTable[[#This Row],[SC Exp Date]]),"")</f>
        <v/>
      </c>
      <c r="FF240" s="4" t="str" cm="1">
        <f t="array" ref="FF240">IF(SnapshotTable[[#This Row],[SC Is Filled]], btc_should_buy_back(SnapshotTable[[#This Row],[SC Fill Date]], SnapshotTable[[#This Row],[SC Exp Date]], SnapshotTable[[#This Row],[SC Book Price]], SnapshotTable[[#This Row],[SC Current Ask]], MockToday, SnapshotTable[[#This Row],[SC Buyback Override]]),"")</f>
        <v/>
      </c>
      <c r="FG240" s="4">
        <f>IF(SnapshotTable[[#This Row],[SC Is Filled]], MAX(0,SnapshotTable[[#This Row],[Last Price]]  - SnapshotTable[[#This Row],[SC Strike Price]]), 0)</f>
        <v>0</v>
      </c>
      <c r="FH240" s="352">
        <f>IF(SnapshotTable[[#This Row],[SC Is Filled]], IF(ISNUMBER(SnapshotTable[[#This Row],[SC Current Ask]]), SnapshotTable[[#This Row],[SC Current Ask]], SnapshotTable[[#This Row],[SC Book Price]]) - SnapshotTable[[#This Row],[SC Intrinsic Value]], 0)</f>
        <v>0</v>
      </c>
      <c r="FI240" s="141"/>
      <c r="FJ240" s="32" t="str">
        <f>IF(SnapshotTable[[#This Row],[SC Is Filled]],100 * SnapshotTable[[#This Row],[SC Qty]] * IF(ISNUMBER(SnapshotTable[[#This Row],[SC Buyback Override]]), SnapshotTable[[#This Row],[SC Buyback Override]], SnapshotTable[[#This Row],[SC Current Ask]]), "")</f>
        <v/>
      </c>
      <c r="FK240" s="235" t="str">
        <f>IF(SnapshotTable[[#This Row],[SC Time Val]]&gt;0, SnapshotTable[[#This Row],[SC Time Val]] / SnapshotTable[[#This Row],[Last Price]],"")</f>
        <v/>
      </c>
      <c r="FL240" s="280" t="str">
        <f>IF(SnapshotTable[[#This Row],[SC Is Booked]], ((SnapshotTable[[#This Row],[Last Price]] -SnapshotTable[[#This Row],[SC Strike Price]]) / SnapshotTable[[#This Row],[Last Price]]) * -1, "")</f>
        <v/>
      </c>
      <c r="FM240" s="155" t="str">
        <f>IF(SnapshotTable[[#This Row],[SC Is Booked]],  (SnapshotTable[[#This Row],[SC Qty]] * 100 * SnapshotTable[[#This Row],[SC Strike Price]]) - SnapshotTable[[#This Row],[SC Current Ask]], "")</f>
        <v/>
      </c>
      <c r="FN24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0" s="31" t="str">
        <f>IF(AND(ISNUMBER(SnapshotTable[[#This Row],[SC Exercise Gross]]), ISNUMBER(SnapshotTable[[#This Row],[Equity Basis Per Share]] )), SnapshotTable[[#This Row],[SC Exercise Gross]] - SnapshotTable[[#This Row],[Equity Basis Total]] +  SnapshotTable[[#This Row],[SC Premium]], "")</f>
        <v/>
      </c>
      <c r="FP240" s="5" t="str">
        <f>IF(ISNUMBER(SnapshotTable[[#This Row],[SC Exercise Gross]]), (SnapshotTable[[#This Row],[SC Exercise Gross]]) / (SnapshotTable[[#This Row],[SC Qty]] * 100), "")</f>
        <v/>
      </c>
      <c r="FQ240" s="27" t="str">
        <f>IF(SnapshotTable[[#This Row],[SC Is Booked]],SnapshotTable[[#This Row],[SC Time Val]] /SnapshotTable[[#This Row],[SC Basis]], "")</f>
        <v/>
      </c>
      <c r="FR240" s="27" t="str" cm="1">
        <f t="array" ref="FR240">IF(AND(ISNUMBER(SnapshotTable[[#This Row],[SC Term]]),ISNUMBER(SnapshotTable[[#This Row],[SC Simple ROO]])), EllmanAnnualize(SnapshotTable[[#This Row],[SC DTE]], SnapshotTable[[#This Row],[SC Simple ROO]] ),"")</f>
        <v/>
      </c>
      <c r="FS240" s="4">
        <f>IF(SnapshotTable[[#This Row],[SC Strike Price]] &gt; SnapshotTable[[#This Row],[Last Price]], SnapshotTable[[#This Row],[SC Strike Price]] - SnapshotTable[[#This Row],[Last Price]],0)</f>
        <v>0</v>
      </c>
      <c r="FT240" s="27" t="str">
        <f>IF(AND(ISNUMBER(SnapshotTable[[#This Row],[SC Upside Potential]]), SnapshotTable[[#This Row],[SC Upside Potential]] &gt; 0),(SnapshotTable[[#This Row],[SC Upside Potential]]/ SnapshotTable[[#This Row],[ACB]]),"")</f>
        <v/>
      </c>
      <c r="FU240" s="304" t="str">
        <f>IF(SnapshotTable[[#This Row],[SC Intrinsic Value]] &gt; 0,SnapshotTable[[#This Row],[SC Intrinsic Value]],"")</f>
        <v/>
      </c>
      <c r="FV240" s="27" t="str">
        <f>IF(AND( ISNUMBER( SnapshotTable[[#This Row],[ACB]]),ISNUMBER(SnapshotTable[[#This Row],[SC Downside Protect]])),SnapshotTable[[#This Row],[SC Downside Protect]] / SnapshotTable[[#This Row],[ACB]],"")</f>
        <v/>
      </c>
      <c r="FW240" s="221" t="str">
        <f>IF(AND(ISNUMBER(SnapshotTable[[#This Row],[SC Simple ROO]]),SnapshotTable[[#This Row],[SC Simple ROO]] &gt; 0), SnapshotTable[[#This Row],[SC Premium]] + (SnapshotTable[[#This Row],[SC Qty]] * SnapshotTable[[#This Row],[SC Upside Potential]]), "")</f>
        <v/>
      </c>
      <c r="FX240" s="280" t="str" cm="1">
        <f t="array" ref="FX240">IF(ISNUMBER(SnapshotTable[[#This Row],[SC Max Dollars]]), annualize(SnapshotTable[[#This Row],[SC Term]],(SnapshotTable[[#This Row],[SC Max Dollars]]/SnapshotTable[[#This Row],[SC Basis]])),"")</f>
        <v/>
      </c>
      <c r="FY240" s="221" t="str">
        <f>IF(AND(SnapshotTable[[#This Row],[SC Qty]]&gt;0,SnapshotTable[[#This Row],[SC Current Ask]]&gt;0), SnapshotTable[[#This Row],[SC Qty]] * SnapshotTable[[#This Row],[SC Current Ask]] * -100, "")</f>
        <v/>
      </c>
      <c r="FZ240" s="31" t="str">
        <f>IF(ISNUMBER((SnapshotTable[[#This Row],[SC Current Value]])), SnapshotTable[[#This Row],[SC Premium]] + SnapshotTable[[#This Row],[SC Current Value]], "")</f>
        <v/>
      </c>
      <c r="GA240" s="272" t="str">
        <f>IFERROR( IF(ISNUMBER((SnapshotTable[[#This Row],[SC Current Value]])), SnapshotTable[[#This Row],[SC Gain Loss]] / SnapshotTable[[#This Row],[SC Premium]], ""), "")</f>
        <v/>
      </c>
      <c r="GB240" s="42">
        <f>SnapshotTable[[#This Row],[Equity Shares]] * SaleSharesToConsiderPercentage</f>
        <v>0</v>
      </c>
      <c r="GC240" s="40">
        <f>SnapshotTable[[#This Row],[Long Term Target]] * SellingPriceToConsiderBasedOnTargetPercentage</f>
        <v>218.8135</v>
      </c>
      <c r="GD240" s="40">
        <f>SnapshotTable[[#This Row],[Last Price]] * (1+ SellingPriceToConsiderBasedOnTargetPercentage)</f>
        <v>277.40699999999998</v>
      </c>
      <c r="GE240" s="41"/>
      <c r="GF240" s="40"/>
      <c r="GG240" s="31">
        <f>SnapshotTable[[#This Row],[Booked Sale Shares]] * SnapshotTable[[#This Row],[Booked Sale Price]]</f>
        <v>0</v>
      </c>
      <c r="GH240" s="31" t="str">
        <f>IF(SnapshotTable[[#This Row],[Equity Basis Total]] &gt; 0, SnapshotTable[[#This Row],[Equity Basis Per Share]] * SnapshotTable[[#This Row],[Booked Sale Shares]], "")</f>
        <v/>
      </c>
      <c r="GI240" s="31">
        <f>IF(SnapshotTable[[#This Row],[Sale Proceeds]]&gt;0, SnapshotTable[[#This Row],[Sale Proceeds]] - SnapshotTable[[#This Row],[Sale Basis]], 0)</f>
        <v>0</v>
      </c>
      <c r="GJ240" s="27" t="str">
        <f>IF(SnapshotTable[[#This Row],[Sale G/L]]&gt;0, SnapshotTable[[#This Row],[Sale G/L]] / SnapshotTable[[#This Row],[Sale Basis]], IF(ISNUMBER(SnapshotTable[[#This Row],[SC Exercise P&amp;L (TAX)]]), SnapshotTable[[#This Row],[SC Exercise P&amp;L (TAX)]] / SnapshotTable[[#This Row],[SC Basis]], ""))</f>
        <v/>
      </c>
      <c r="GK240" s="27"/>
      <c r="GL240" s="43" t="str">
        <f>IF(AND(SnapshotTable[[#This Row],[LP Exp Date]]&gt;0,SnapshotTable[[#This Row],[LP Strike Price]]&gt;0), [1]!ToOptionSymbol(SnapshotTable[[#This Row],[Symbol]], SnapshotTable[[#This Row],[LP Strike Price]],SnapshotTable[[#This Row],[LP Exp Date]],1), "")</f>
        <v/>
      </c>
      <c r="GM240" s="30" t="str">
        <f>IF(LEN(SnapshotTable[[#This Row],[LP Symbol]])&gt;0, 1, "")</f>
        <v/>
      </c>
      <c r="GN240" s="43" t="str">
        <f>IF(AND(SnapshotTable[[#This Row],[SP Exp Date]]&gt;0,SnapshotTable[[#This Row],[SP Strike Price]]&gt;0), [1]!ToOptionSymbol(SnapshotTable[[#This Row],[Symbol]], SnapshotTable[[#This Row],[SP Strike Price]],SnapshotTable[[#This Row],[SP Exp Date]],1), "")</f>
        <v/>
      </c>
      <c r="GO240" s="30" t="str">
        <f>IF(LEN(SnapshotTable[[#This Row],[SP Symbol]])&gt;0, 1, "")</f>
        <v/>
      </c>
      <c r="GP240" s="43" t="str">
        <f>IF(AND(SnapshotTable[[#This Row],[LC Exp Date]]&gt;0,SnapshotTable[[#This Row],[LC Strike Price]]&gt;0), [1]!ToOptionSymbol(SnapshotTable[[#This Row],[Symbol]], SnapshotTable[[#This Row],[LC Strike Price]],SnapshotTable[[#This Row],[LC Exp Date]],0), "")</f>
        <v/>
      </c>
      <c r="GQ240" s="30" t="str">
        <f>IF(LEN(SnapshotTable[[#This Row],[LC Symbol]])&gt;0, 1, "")</f>
        <v/>
      </c>
      <c r="GR240" s="43" t="str">
        <f>IF(AND(SnapshotTable[[#This Row],[SC Exp Date]]&gt;0,SnapshotTable[[#This Row],[SC Strike Price]]&gt;0), [1]!ToOptionSymbol(SnapshotTable[[#This Row],[Symbol]], SnapshotTable[[#This Row],[SC Strike Price]],SnapshotTable[[#This Row],[SC Exp Date]],0), "")</f>
        <v/>
      </c>
      <c r="GS240" s="30" t="str">
        <f>IF(LEN(SnapshotTable[[#This Row],[SC Symbol]])&gt;0, 1, "")</f>
        <v/>
      </c>
      <c r="GT240" s="29" t="str">
        <f>IF(COUNT(SnapshotTable[[#This Row],[LP Symbol Count]],SnapshotTable[[#This Row],[SP Symbol Count]],SnapshotTable[[#This Row],[LC Symbol Count]],SnapshotTable[[#This Row],[SC Symbol Count]])&gt;0, "Y", "")</f>
        <v/>
      </c>
      <c r="GU24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0" s="216">
        <f>MAX(SnapshotTable[[#This Row],[Equity Basis Total]],SnapshotTable[[#This Row],[Equity Value]]) + (SnapshotTable[[#This Row],[SP Potential Spend]]- SnapshotTable[[#This Row],[SP Premium]] + SnapshotTable[[#This Row],[LP Premium]])+ (SnapshotTable[[#This Row],[LC Premium]] - SnapshotTable[[#This Row],[SC Premium]])</f>
        <v>0</v>
      </c>
      <c r="GW240" s="137" t="str">
        <f>IF(AND(SnapshotTable[[#This Row],[Exposure]] &lt;&gt; 0),SnapshotTable[[#This Row],[Exposure]] / SnapshotTable[[#Totals],[Exposure]], "")</f>
        <v/>
      </c>
      <c r="GX240" s="2"/>
      <c r="GY240" s="357"/>
      <c r="GZ240"/>
      <c r="HA240" s="2"/>
      <c r="HB240" s="2"/>
      <c r="HK240" s="1"/>
      <c r="HL240" s="1"/>
      <c r="HM240" s="1"/>
      <c r="HN240" s="1"/>
      <c r="HO240" s="1"/>
      <c r="HP240" s="1"/>
    </row>
    <row r="241" spans="2:224" ht="12.75" hidden="1" customHeight="1" x14ac:dyDescent="0.25">
      <c r="B241" s="12" t="s">
        <v>412</v>
      </c>
      <c r="C241" s="385">
        <v>14.05</v>
      </c>
      <c r="D241" s="200"/>
      <c r="E241" s="39">
        <f>SnapshotTable[[#This Row],[Last Price]]*(1 -CrashDiscount)</f>
        <v>11.942500000000001</v>
      </c>
      <c r="F241" s="26" t="s">
        <v>156</v>
      </c>
      <c r="G241" s="26" t="s">
        <v>7</v>
      </c>
      <c r="H241" s="147"/>
      <c r="I241" s="186">
        <v>44797.666666666664</v>
      </c>
      <c r="J241" s="187">
        <v>44797.666666666664</v>
      </c>
      <c r="K241" s="188"/>
      <c r="L241" s="297"/>
      <c r="M241" s="138"/>
      <c r="N241" s="138"/>
      <c r="O241" s="138"/>
      <c r="P241" s="22"/>
      <c r="Q241" s="25"/>
      <c r="R241" s="4" t="str">
        <f>IF(SnapshotTable[[#This Row],[Equity Basis Total]] &gt; 0, SnapshotTable[[#This Row],[Equity Basis Total]] / SnapshotTable[[#This Row],[Equity Shares]], "")</f>
        <v/>
      </c>
      <c r="S241" s="254">
        <f>SnapshotTable[[#This Row],[Last Price]] * SnapshotTable[[#This Row],[Equity Shares]]</f>
        <v>0</v>
      </c>
      <c r="T241" s="254">
        <f>SnapshotTable[[#This Row],[Equity Value]] - SnapshotTable[[#This Row],[Equity Basis Total]]</f>
        <v>0</v>
      </c>
      <c r="U241" s="255" t="str">
        <f>IF(SnapshotTable[[#This Row],[Equity Basis Total]] &gt; 0, SnapshotTable[[#This Row],[Equity G/L]] / SnapshotTable[[#This Row],[Equity Basis Total]], "")</f>
        <v/>
      </c>
      <c r="V241" s="253"/>
      <c r="W241" s="253"/>
      <c r="X241" s="4" t="str">
        <f>IF(AND(ISNUMBER(SnapshotTable[[#This Row],[Equity Basis Per Share]]),ISNUMBER(SnapshotTable[[#This Row],[Equity Target]])),SnapshotTable[[#This Row],[Equity Target]]-SnapshotTable[[#This Row],[Equity Basis Per Share]],"")</f>
        <v/>
      </c>
      <c r="Y241" s="4" t="str">
        <f>IF(AND(ISNUMBER(SnapshotTable[[#This Row],[Equity Basis Per Share]]),ISNUMBER(SnapshotTable[[#This Row],[Equity Stop Loss]])),SnapshotTable[[#This Row],[Equity Stop Loss]]-SnapshotTable[[#This Row],[Equity Basis Per Share]],"")</f>
        <v/>
      </c>
      <c r="Z241" s="260" t="str">
        <f>IFERROR( TEXT(SnapshotTable[[#This Row],[Equity Max Gain Per Share]] /ABS( SnapshotTable[[#This Row],[Equity Max Loss Per Share]]),"0.0 " ) &amp; " : 1", "")</f>
        <v/>
      </c>
      <c r="AA241" s="31" t="str">
        <f>IF(ISNUMBER(SnapshotTable[[#This Row],[Equity Max Gain Per Share]]),SnapshotTable[[#This Row],[Equity Max Gain Per Share]] * SnapshotTable[[#This Row],[Equity Shares]],"")</f>
        <v/>
      </c>
      <c r="AB241" s="31" t="str">
        <f>IF(ISNUMBER(SnapshotTable[[#This Row],[Equity Max Loss Per Share]]),SnapshotTable[[#This Row],[Equity Max Loss Per Share]] * SnapshotTable[[#This Row],[Equity Shares]],"")</f>
        <v/>
      </c>
      <c r="AC241" s="148"/>
      <c r="AD241" s="149"/>
      <c r="AE241" s="31">
        <f>(SnapshotTable[[#This Row],[Annual Dividend Per Share]] / 4) * SnapshotTable[[#This Row],[Equity Shares]]</f>
        <v>0</v>
      </c>
      <c r="AF241" s="31">
        <f>SnapshotTable[[#This Row],[Quarterly Div $]] * 4</f>
        <v>0</v>
      </c>
      <c r="AG241" s="7">
        <f>IF(SnapshotTable[[#This Row],[Annual Dividend Per Share]]&gt;0, SnapshotTable[[#This Row],[Annual Dividend Per Share]]  / SnapshotTable[[#This Row],[Last Price]], 0)</f>
        <v>0</v>
      </c>
      <c r="AH241" s="149"/>
      <c r="AI241" s="5"/>
      <c r="AJ241" s="136">
        <v>11.92</v>
      </c>
      <c r="AK241" s="150" t="str">
        <f>IF(ISNUMBER( SnapshotTable[[#This Row],[EBF Target]]),(SnapshotTable[[#This Row],[EBF Target]] - SnapshotTable[[#This Row],[Last Price]]) / SnapshotTable[[#This Row],[Last Price]], "")</f>
        <v/>
      </c>
      <c r="AL241" s="150" t="str">
        <f>IF(AND(SnapshotTable[[#This Row],[Equity Basis Total]] &gt; 0,ISNUMBER( SnapshotTable[[#This Row],[Long Term Target]])), SnapshotTable[[#This Row],[From Basis $]] / SnapshotTable[[#This Row],[Equity Basis Total]], "")</f>
        <v/>
      </c>
      <c r="AM241" s="9">
        <f>IF( AND(SnapshotTable[[#This Row],[Equity Shares]] &gt;0,ISNUMBER( SnapshotTable[[#This Row],[Long Term Target]])),(SnapshotTable[[#This Row],[Equity Shares]] * SnapshotTable[[#This Row],[Long Term Target]]) - SnapshotTable[[#This Row],[Equity Basis Total]],0)</f>
        <v>0</v>
      </c>
      <c r="AN241" s="9">
        <f>IF( AND(SnapshotTable[[#This Row],[Equity Shares]] &gt;0,ISNUMBER( SnapshotTable[[#This Row],[Long Term Target]])),(SnapshotTable[[#This Row],[Equity Shares]]*SnapshotTable[[#This Row],[Long Term Target]]) - SnapshotTable[[#This Row],[Equity Value]],0)</f>
        <v>0</v>
      </c>
      <c r="AO241" s="150">
        <f>IF(AND(ISNUMBER( SnapshotTable[[#This Row],[Long Term Target]]), ISNUMBER(SnapshotTable[[#This Row],[Last Price]])),(SnapshotTable[[#This Row],[Long Term Target]] - SnapshotTable[[#This Row],[Last Price]]) / SnapshotTable[[#This Row],[Last Price]], "")</f>
        <v>-0.15160142348754455</v>
      </c>
      <c r="AP241" s="5">
        <v>17.5</v>
      </c>
      <c r="AQ241" s="38" t="s">
        <v>22</v>
      </c>
      <c r="AR241" s="5">
        <v>17.5</v>
      </c>
      <c r="AS241" s="38" t="s">
        <v>15</v>
      </c>
      <c r="AT241" s="144"/>
      <c r="AU241" s="185" t="str">
        <f>IF(OR(SnapshotTable[[#This Row],[LP No Fill]]="Y",SnapshotTable[[#This Row],[SP Is Filled]],SnapshotTable[[#This Row],[LC Not Filled]]="Y",SnapshotTable[[#This Row],[SC Is Filled]]),"Y","")</f>
        <v/>
      </c>
      <c r="AV241" s="205"/>
      <c r="AW241" s="211"/>
      <c r="AX241" s="206"/>
      <c r="AY241" s="205" t="str">
        <f>IF(SnapshotTable[[#This Row],[Implied Move]]&gt;0, SnapshotTable[[#This Row],[Last Price]]-SnapshotTable[[#This Row],[Implied Move]],"")</f>
        <v/>
      </c>
      <c r="AZ241" s="205" t="str">
        <f>IF(SnapshotTable[[#This Row],[Implied Move]]&gt;0, SnapshotTable[[#This Row],[Last Price]] + SnapshotTable[[#This Row],[Implied Move]],"")</f>
        <v/>
      </c>
      <c r="BA241" s="302"/>
      <c r="BB241" s="318"/>
      <c r="BC241"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1" s="321"/>
      <c r="BE241" s="5"/>
      <c r="BF241" s="14"/>
      <c r="BG241" s="13"/>
      <c r="BH241" s="13"/>
      <c r="BI241" s="5"/>
      <c r="BJ241" s="134">
        <f>IF(SnapshotTable[[#This Row],[LP Qty]] &gt; 0, SnapshotTable[[#This Row],[LP Qty]] * SnapshotTable[[#This Row],[LP Book Price]] * 100,0)</f>
        <v>0</v>
      </c>
      <c r="BK241" s="134">
        <f>IF(SnapshotTable[[#This Row],[LP Premium]] &gt; 0, SnapshotTable[[#This Row],[LP Qty]] * SnapshotTable[[#This Row],[LP Strike Price]] * 100,0)</f>
        <v>0</v>
      </c>
      <c r="BL241" s="152"/>
      <c r="BM241" s="355" t="str">
        <f>IF(SnapshotTable[[#This Row],[LP Premium]] &gt; 0,SnapshotTable[[#This Row],[LP Exp Date]]-MAX(SnapshotTable[[#This Row],[LP Book Date]], SnapshotTable[[#This Row],[LP Fill Date]]),"")</f>
        <v/>
      </c>
      <c r="BN241" s="355" t="str">
        <f>IF(ISNUMBER( SnapshotTable[[#This Row],[LP Term]]), SnapshotTable[[#This Row],[LP Exp Date]] - MockToday,"")</f>
        <v/>
      </c>
      <c r="BO241" s="161" t="str">
        <f>IF(AND(SnapshotTable[[#This Row],[LP Exp Date]]&gt;0, SnapshotTable[[#This Row],[LP Strike Price]]&gt;0,SnapshotTable[[#This Row],[LP Qty]]&gt;0,SnapshotTable[[#This Row],[LP Book Date]]&gt;0,SnapshotTable[[#This Row],[LP Book Price]]&gt;0,SnapshotTable[[#This Row],[LP Fill Date]]=0),"Y","")</f>
        <v/>
      </c>
      <c r="BP241" s="31" t="str">
        <f>IF(AND(SnapshotTable[[#This Row],[LP No Fill]]&lt;&gt;"Y",SnapshotTable[[#This Row],[LP Contract Value]]&gt;0, SnapshotTable[[#This Row],[LP Qty]]&gt;0), SnapshotTable[[#This Row],[LP Contract Value]]*SnapshotTable[[#This Row],[LP Qty]]*100,"")</f>
        <v/>
      </c>
      <c r="BQ241" s="13"/>
      <c r="BR241" s="5"/>
      <c r="BS241" s="36"/>
      <c r="BT241" s="145"/>
      <c r="BU241" s="13"/>
      <c r="BV241" s="5"/>
      <c r="BW241" s="382" t="b">
        <f>AND(ISNUMBER(SnapshotTable[[#This Row],[SP Exp Date]]), ISNUMBER(SnapshotTable[[#This Row],[SP Strike Price]]), ISNUMBER(SnapshotTable[[#This Row],[SP Qty]]), ISNUMBER(SnapshotTable[[#This Row],[SP Book Date]]), ISNUMBER(SnapshotTable[[#This Row],[SP Book Price]]))</f>
        <v>0</v>
      </c>
      <c r="BX241" s="382" t="b">
        <f>AND(SnapshotTable[[#This Row],[SP Is Booked]], NOT(ISBLANK(SnapshotTable[[#This Row],[SP Fill Date]])))</f>
        <v>0</v>
      </c>
      <c r="BY241" s="33">
        <f>IF(SnapshotTable[[#This Row],[SP Is Booked]], SnapshotTable[[#This Row],[SP Qty]] * SnapshotTable[[#This Row],[SP Book Price]] * 100, 0)</f>
        <v>0</v>
      </c>
      <c r="BZ241" s="339"/>
      <c r="CA241" s="338">
        <f>SnapshotTable[[#This Row],[LP Qty]]</f>
        <v>0</v>
      </c>
      <c r="CB241" s="4" t="str">
        <f>IF(SnapshotTable[[#This Row],[SP Is Booked]], SnapshotTable[[#This Row],[SP Strike Price]] - SnapshotTable[[#This Row],[SP Book Price]], "")</f>
        <v/>
      </c>
      <c r="CC241" s="19" t="str">
        <f>IF(SnapshotTable[[#This Row],[SP Is Booked]],SnapshotTable[[#This Row],[SP Exp Date]]-MAX(SnapshotTable[[#This Row],[SP Book Date]], SnapshotTable[[#This Row],[SP Fill Date]]),"")</f>
        <v/>
      </c>
      <c r="CD241" s="7" t="str">
        <f>IF(SnapshotTable[[#This Row],[SP Is Booked]], SnapshotTable[[#This Row],[SP Book Price]]/SnapshotTable[[#This Row],[SP Strike Price]], "")</f>
        <v/>
      </c>
      <c r="CE241" s="7" t="str">
        <f>IF(ISNUMBER(SnapshotTable[[#This Row],[SP ROO Term]]),SnapshotTable[[#This Row],[SP ROO Term]]*(365/SnapshotTable[[#This Row],[SP Term]]),"")</f>
        <v/>
      </c>
      <c r="CF241" s="221">
        <f>SnapshotTable[[#This Row],[LP Strike Price]] * SnapshotTable[[#This Row],[LP Qty]] * 100</f>
        <v>0</v>
      </c>
      <c r="CG241" s="31">
        <f>IF(ISNUMBER(SnapshotTable[[#This Row],[SP Premium]]), (SnapshotTable[[#This Row],[SP Qty]] * SnapshotTable[[#This Row],[SP Strike Price]]* 100) - SnapshotTable[[#This Row],[LP Protection]], 0)</f>
        <v>0</v>
      </c>
      <c r="CH241" s="7" t="str">
        <f>IF(ISNUMBER(SnapshotTable[[#This Row],[SP Break Even]]),-1 * (SnapshotTable[[#This Row],[SP Break Even]] - SnapshotTable[[#This Row],[Last Price]]) / SnapshotTable[[#This Row],[Last Price]], "")</f>
        <v/>
      </c>
      <c r="CI241" s="31">
        <f>IF(AND(ISNUMBER((SnapshotTable[[#This Row],[SP Potential Spend]])), SnapshotTable[[#This Row],[SP Strike Price]] &gt; SnapshotTable[[#This Row],[Last Price]], SnapshotTable[[#This Row],[SP Is Filled]]), SnapshotTable[[#This Row],[SP Potential Spend]] -  SnapshotTable[[#This Row],[LP Max Value]], 0)</f>
        <v>0</v>
      </c>
      <c r="CJ241" s="229"/>
      <c r="CK241" s="31">
        <f>IF(ISNUMBER(SnapshotTable[[#This Row],[SP Potential Spend]]),IF(ISNUMBER(SnapshotTable[[#This Row],[SP POW]]), SnapshotTable[[#This Row],[SP POW]] * SnapshotTable[[#This Row],[SP Potential Spend]], SnapshotTable[[#This Row],[SP Potential Spend]]), "")</f>
        <v>0</v>
      </c>
      <c r="CL241" s="162">
        <f>IF(NOT(SnapshotTable[[#This Row],[SP Is Filled]]),(SnapshotTable[[#This Row],[SP Qty]] * SnapshotTable[[#This Row],[SP Strike Price]] * 100) - SnapshotTable[[#This Row],[LP Max Value]],"")</f>
        <v>0</v>
      </c>
      <c r="CM241" s="31" t="str">
        <f>IF(SnapshotTable[[#This Row],[SP Actual Spend]]&lt;&gt;0, ((SnapshotTable[[#This Row],[SP Strike Price]]-SnapshotTable[[#This Row],[Last Price]]) *(SnapshotTable[[#This Row],[SP Qty]]*100) - SnapshotTable[[#This Row],[SP Premium]]) * - 1, "")</f>
        <v/>
      </c>
      <c r="CN241" s="76"/>
      <c r="CO241" s="339"/>
      <c r="CP241" s="4" t="str">
        <f>IF(SnapshotTable[[#This Row],[SP Is Filled]], btc_max_buyback_amount(SnapshotTable[[#This Row],[SP Fill Date]],SnapshotTable[[#This Row],[SP Exp Date]], SnapshotTable[[#This Row],[SP Book Price]]),"")</f>
        <v/>
      </c>
      <c r="CQ241" s="76"/>
      <c r="CR241"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1" s="153" t="str">
        <f>IF(SnapshotTable[[#This Row],[SP Is Filled]], btc_next_cutoff_date(SnapshotTable[[#This Row],[SP Fill Date]],SnapshotTable[[#This Row],[SP Exp Date]]),"")</f>
        <v/>
      </c>
      <c r="CT241" s="220" t="str" cm="1">
        <f t="array" ref="CT241">IF(SnapshotTable[[#This Row],[SP Is Filled]], btc_should_buy_back(SnapshotTable[[#This Row],[SP Fill Date]], SnapshotTable[[#This Row],[SP Exp Date]], SnapshotTable[[#This Row],[SP Book Price]], SnapshotTable[[#This Row],[SP Current Ask]], MockToday, SnapshotTable[[#This Row],[SP Buyback Override]]),"")</f>
        <v/>
      </c>
      <c r="CU241" s="141"/>
      <c r="CV241" s="220"/>
      <c r="CW241" s="348" t="str">
        <f>IF(ISNUMBER( SnapshotTable[[#This Row],[SP Term]]), SnapshotTable[[#This Row],[SP Exp Date]] - MockToday,"")</f>
        <v/>
      </c>
      <c r="CX241" s="31" t="str">
        <f>IF(SnapshotTable[[#This Row],[SP Is Filled]],SnapshotTable[[#This Row],[SP Buyback Price to Use]] * 100 * SnapshotTable[[#This Row],[SP Qty]], "")</f>
        <v/>
      </c>
      <c r="CY241" s="4" t="str">
        <f>IF(ISNUMBER(SnapshotTable[[#This Row],[SP Strike Price]]), SnapshotTable[[#This Row],[SP Strike Price]] * (1 - SP_MaxLoss_StrikePct), "")</f>
        <v/>
      </c>
      <c r="CZ241" s="31" t="str">
        <f>IF(ISNUMBER(SnapshotTable[[#This Row],[SP Strike  Stop Per Share]]),SnapshotTable[[#This Row],[SP Premium]] - ((SnapshotTable[[#This Row],[SP Strike Price]]-SnapshotTable[[#This Row],[SP Strike  Stop Per Share]]) *(SnapshotTable[[#This Row],[SP Qty]] * 100)),"")</f>
        <v/>
      </c>
      <c r="DA241" s="4" t="str">
        <f>IF(AND(ISNUMBER(SnapshotTable[[#This Row],[SP Premium]]),SnapshotTable[[#This Row],[SP Premium]]&gt;0), SnapshotTable[[#This Row],[SP Book Price]] * (1 + SP_MaxLoss_OptionPct), "")</f>
        <v/>
      </c>
      <c r="DB241" s="31" t="str">
        <f>IF(ISNUMBER(SnapshotTable[[#This Row],[SP Option  Stop Contract]]),(SnapshotTable[[#This Row],[SP Option  Stop Contract]] *(SnapshotTable[[#This Row],[SP Qty]] * 100) - SnapshotTable[[#This Row],[SP Premium]]),"")</f>
        <v/>
      </c>
      <c r="DC241" s="4"/>
      <c r="DD241" s="4"/>
      <c r="DE241" s="4" t="str">
        <f>IF(AND(SnapshotTable[[#This Row],[SP Qty]]&gt;0, SnapshotTable[[#This Row],[SP Stop To Use]]&gt;0),SnapshotTable[[#This Row],[SP Premium]] - ( SnapshotTable[[#This Row],[SP Qty]] * SnapshotTable[[#This Row],[SP Stop To Use]] * 100), "")</f>
        <v/>
      </c>
      <c r="DF241" s="31" t="str">
        <f>IF(AND(SnapshotTable[[#This Row],[SP Qty]]&gt;0,SnapshotTable[[#This Row],[SP Current Ask]]&gt;0), SnapshotTable[[#This Row],[SP Qty]] * SnapshotTable[[#This Row],[SP Current Ask]] * -100, "")</f>
        <v/>
      </c>
      <c r="DG241" s="31" t="str">
        <f>IF(ISNUMBER((SnapshotTable[[#This Row],[SP Total Value]])), SnapshotTable[[#This Row],[SP Premium]] + SnapshotTable[[#This Row],[SP Total Value]], "")</f>
        <v/>
      </c>
      <c r="DH241" s="272" t="str">
        <f>IF(ISNUMBER((SnapshotTable[[#This Row],[SP Total Value]])), SnapshotTable[[#This Row],[SP Gain Loss]] / SnapshotTable[[#This Row],[SP Premium]], "")</f>
        <v/>
      </c>
      <c r="DI241" s="369"/>
      <c r="DJ241" s="136"/>
      <c r="DK241" s="146"/>
      <c r="DL241" s="13"/>
      <c r="DM241" s="13"/>
      <c r="DO241" s="31">
        <f>IF(SnapshotTable[[#This Row],[LC Symbol Count]]=1, SnapshotTable[[#This Row],[LC Qty]] * SnapshotTable[[#This Row],[LC Book Price]] * 100, 0)</f>
        <v>0</v>
      </c>
      <c r="DP241" s="161" t="str">
        <f>IF(AND(SnapshotTable[[#This Row],[LC Exp Date]]&gt;0, SnapshotTable[[#This Row],[LC Strike Price]]&gt;0,SnapshotTable[[#This Row],[LC Qty]]&gt;0,SnapshotTable[[#This Row],[LC Book Date]]&gt;0,SnapshotTable[[#This Row],[LC Book Price]]&gt;0,SnapshotTable[[#This Row],[LC Fill Date]]=0),"Y","")</f>
        <v/>
      </c>
      <c r="DQ241" s="356" t="str">
        <f>IF(SnapshotTable[[#This Row],[LC Premium]] &gt; 0,SnapshotTable[[#This Row],[LC Exp Date]]-MAX(SnapshotTable[[#This Row],[LC Book Date]], SnapshotTable[[#This Row],[LC Fill Date]]),"")</f>
        <v/>
      </c>
      <c r="DR241" s="356" t="str">
        <f>IF(ISNUMBER(SnapshotTable[[#This Row],[LC Term]]), SnapshotTable[[#This Row],[LC Exp Date]] - MockToday, "")</f>
        <v/>
      </c>
      <c r="DS241" s="219" t="str">
        <f>IF(SnapshotTable[[#This Row],[LC Premium]]&gt;0,SnapshotTable[[#This Row],[LC Strike Price]] + SnapshotTable[[#This Row],[LC Book Price]],"")</f>
        <v/>
      </c>
      <c r="DU241" s="9" t="str">
        <f>IF(AND(SnapshotTable[[#This Row],[LC Symbol Count]]&gt;0, SnapshotTable[[#This Row],[LC Contract Value]]&gt;0), SnapshotTable[[#This Row],[LC Contract Value]] * SnapshotTable[[#This Row],[LC Qty]] * 100, "")</f>
        <v/>
      </c>
      <c r="DV241" s="9" t="str">
        <f>IF(AND(ISNUMBER(SnapshotTable[[#This Row],[LC Total Value]]), SnapshotTable[[#This Row],[LC Not Filled]]&lt;&gt;"Y"), SnapshotTable[[#This Row],[LC Total Value]]-SnapshotTable[[#This Row],[LC Premium]],"")</f>
        <v/>
      </c>
      <c r="DW241" s="225" t="str">
        <f>IF(ISNUMBER(SnapshotTable[[#This Row],[LC Actual Gain Loss]]), SnapshotTable[[#This Row],[LC Actual Gain Loss]] / SnapshotTable[[#This Row],[LC Premium]],"")</f>
        <v/>
      </c>
      <c r="DX241" s="269" t="str">
        <f>IF(ISNUMBER(SnapshotTable[[#This Row],[LC Book Price]]),SnapshotTable[[#This Row],[LC Book Price]] * 1.5,"")</f>
        <v/>
      </c>
      <c r="DY241" s="250" t="str">
        <f>IF(SnapshotTable[[#This Row],[LC Premium]]&gt;0, SnapshotTable[[#This Row],[LC Next Target]] * SnapshotTable[[#This Row],[LC Qty]] * 100,"")</f>
        <v/>
      </c>
      <c r="DZ241" s="250" t="str">
        <f>IF(ISNUMBER(SnapshotTable[[#This Row],[LC Target Gross]]), SnapshotTable[[#This Row],[LC Target Gross]] - SnapshotTable[[#This Row],[LC Premium]], "")</f>
        <v/>
      </c>
      <c r="EA241" s="283" t="str">
        <f>IF(ISNUMBER(SnapshotTable[[#This Row],[LC Target Gain Loss]]), SnapshotTable[[#This Row],[LC Target Gain Loss]]/SnapshotTable[[#This Row],[LC Premium]], "")</f>
        <v/>
      </c>
      <c r="EB241" s="247"/>
      <c r="EC241" s="268" t="str">
        <f>IF(SnapshotTable[[#This Row],[LC Premium]]&gt;0, SnapshotTable[[#This Row],[LC Book Price]] * (1 - LC_StopLoss_Pct),"")</f>
        <v/>
      </c>
      <c r="ED241" s="269"/>
      <c r="EE241" s="268" t="str">
        <f>IF(ISNUMBER(SnapshotTable[[#This Row],[LC Contract Value]]),IF(ISNUMBER(SnapshotTable[[#This Row],[LC Stop Loss Override]]), SnapshotTable[[#This Row],[LC Stop Loss Override]],SnapshotTable[[#This Row],[LC Stop Loss Calc Target]]),"")</f>
        <v/>
      </c>
      <c r="EF241" s="31" t="str">
        <f>IF(ISNUMBER(SnapshotTable[[#This Row],[LC Stop  To Use]]), (SnapshotTable[[#This Row],[LC Stop  To Use]] * SnapshotTable[[#This Row],[LC Qty]] * 100),"")</f>
        <v/>
      </c>
      <c r="EG241" s="9" t="str">
        <f>IF(ISNUMBER(SnapshotTable[[#This Row],[LC Total Value]]),SnapshotTable[[#This Row],[LC Stop Loss Amount]] - SnapshotTable[[#This Row],[LC Premium]],"")</f>
        <v/>
      </c>
      <c r="EH241" s="9">
        <f>IF(ISNUMBER(SnapshotTable[[#This Row],[LC Premium]]), SnapshotTable[[#This Row],[LC Qty]] * 100 * SnapshotTable[[#This Row],[LC Strike Price]], "")</f>
        <v>0</v>
      </c>
      <c r="EI241" s="225" t="str">
        <f>IF(AND(ISNUMBER(SnapshotTable[[#This Row],[LC Total Value]]),SnapshotTable[[#This Row],[LC Total Value]]&gt;0),SnapshotTable[[#This Row],[LC Stop Gain Loss]]  / SnapshotTable[[#This Row],[LC Premium]],"")</f>
        <v/>
      </c>
      <c r="EJ241" s="35">
        <f>IF(ISNUMBER(SnapshotTable[[#This Row],[Equity Shares]]),TRUNC(SnapshotTable[[#This Row],[Equity Shares]] / 100),0) + SnapshotTable[[#This Row],[LC Qty]]</f>
        <v>0</v>
      </c>
      <c r="EK241" s="145"/>
      <c r="EL241" s="136"/>
      <c r="EM241" s="146"/>
      <c r="EN241" s="145"/>
      <c r="EO241" s="145"/>
      <c r="EP241" s="136"/>
      <c r="EQ241" s="382" t="b">
        <f>AND(ISNUMBER(SnapshotTable[[#This Row],[SC Exp Date]]), ISNUMBER(SnapshotTable[[#This Row],[SC Strike Price]]), ISNUMBER(SnapshotTable[[#This Row],[SC Qty]]), ISNUMBER(SnapshotTable[[#This Row],[SC Book Date]]), ISNUMBER(SnapshotTable[[#This Row],[SC Book Price]]))</f>
        <v>0</v>
      </c>
      <c r="ER241" s="382" t="b">
        <f>AND(SnapshotTable[[#This Row],[SC Is Booked]], NOT(ISBLANK(SnapshotTable[[#This Row],[SC Fill Date]])))</f>
        <v>0</v>
      </c>
      <c r="ES241" s="340"/>
      <c r="ET241" s="34" t="str">
        <f>IF(AND(ISNUMBER(SnapshotTable[[#This Row],[SC Exp Date]]), ISNUMBER(SnapshotTable[[#This Row],[SC Book Date]])), SnapshotTable[[#This Row],[SC Exp Date]] - MAX(SnapshotTable[[#This Row],[SC Book Date]], SnapshotTable[[#This Row],[SC Fill Date]]) + 1, "")</f>
        <v/>
      </c>
      <c r="EU241" s="34" t="str">
        <f>IF(ISNUMBER(SnapshotTable[[#This Row],[SC Term]]), SnapshotTable[[#This Row],[SC Exp Date]]- MockToday, "")</f>
        <v/>
      </c>
      <c r="EV241" s="31">
        <f>IF(SnapshotTable[[#This Row],[SC Is Booked]], SnapshotTable[[#This Row],[SC Qty]] * SnapshotTable[[#This Row],[SC Book Price]] * 100, 0)</f>
        <v>0</v>
      </c>
      <c r="EW241" s="4" t="str">
        <f>IF(AND(ISNUMBER(SnapshotTable[[#This Row],[Last Price]]), ISNUMBER( SnapshotTable[[#This Row],[SC Book Price]])), SnapshotTable[[#This Row],[Last Price]] - SnapshotTable[[#This Row],[SC Book Price]],"")</f>
        <v/>
      </c>
      <c r="EX241" s="219" t="str">
        <f>IF(SnapshotTable[[#This Row],[SC Is Booked]],IF(SnapshotTable[[#This Row],[SC Intrinsic Value]] &gt; 0, SnapshotTable[[#This Row],[SC Strike Price]], SnapshotTable[[#This Row],[Last Price]]), "")</f>
        <v/>
      </c>
      <c r="EY241" s="4">
        <f>IF(SnapshotTable[[#This Row],[SC Is Booked]], (MinimumPremiumRequired * SnapshotTable[[#This Row],[SC Basis]] * SnapshotTable[[#This Row],[SC Term]]), 0)</f>
        <v>0</v>
      </c>
      <c r="EZ241" s="268"/>
      <c r="FA241" s="204"/>
      <c r="FB241" s="340"/>
      <c r="FC241" s="4">
        <f>IF(SnapshotTable[[#This Row],[SC Is Filled]], btc_max_buyback_amount(SnapshotTable[[#This Row],[SC Fill Date]],SnapshotTable[[#This Row],[SC Exp Date]], SnapshotTable[[#This Row],[SC Book Price]]),0)</f>
        <v>0</v>
      </c>
      <c r="FD241" s="5"/>
      <c r="FE241" s="142" t="str">
        <f>IF(SnapshotTable[[#This Row],[SC Is Filled]], btc_next_cutoff_date(SnapshotTable[[#This Row],[SC Fill Date]],SnapshotTable[[#This Row],[SC Exp Date]]),"")</f>
        <v/>
      </c>
      <c r="FF241" s="4" t="str" cm="1">
        <f t="array" ref="FF241">IF(SnapshotTable[[#This Row],[SC Is Filled]], btc_should_buy_back(SnapshotTable[[#This Row],[SC Fill Date]], SnapshotTable[[#This Row],[SC Exp Date]], SnapshotTable[[#This Row],[SC Book Price]], SnapshotTable[[#This Row],[SC Current Ask]], MockToday, SnapshotTable[[#This Row],[SC Buyback Override]]),"")</f>
        <v/>
      </c>
      <c r="FG241" s="4">
        <f>IF(SnapshotTable[[#This Row],[SC Is Filled]], MAX(0,SnapshotTable[[#This Row],[Last Price]]  - SnapshotTable[[#This Row],[SC Strike Price]]), 0)</f>
        <v>0</v>
      </c>
      <c r="FH241" s="352">
        <f>IF(SnapshotTable[[#This Row],[SC Is Filled]], IF(ISNUMBER(SnapshotTable[[#This Row],[SC Current Ask]]), SnapshotTable[[#This Row],[SC Current Ask]], SnapshotTable[[#This Row],[SC Book Price]]) - SnapshotTable[[#This Row],[SC Intrinsic Value]], 0)</f>
        <v>0</v>
      </c>
      <c r="FI241" s="141"/>
      <c r="FJ241" s="32" t="str">
        <f>IF(SnapshotTable[[#This Row],[SC Is Filled]],100 * SnapshotTable[[#This Row],[SC Qty]] * IF(ISNUMBER(SnapshotTable[[#This Row],[SC Buyback Override]]), SnapshotTable[[#This Row],[SC Buyback Override]], SnapshotTable[[#This Row],[SC Current Ask]]), "")</f>
        <v/>
      </c>
      <c r="FK241" s="235" t="str">
        <f>IF(SnapshotTable[[#This Row],[SC Time Val]]&gt;0, SnapshotTable[[#This Row],[SC Time Val]] / SnapshotTable[[#This Row],[Last Price]],"")</f>
        <v/>
      </c>
      <c r="FL241" s="280" t="str">
        <f>IF(SnapshotTable[[#This Row],[SC Is Booked]], ((SnapshotTable[[#This Row],[Last Price]] -SnapshotTable[[#This Row],[SC Strike Price]]) / SnapshotTable[[#This Row],[Last Price]]) * -1, "")</f>
        <v/>
      </c>
      <c r="FM241" s="155" t="str">
        <f>IF(SnapshotTable[[#This Row],[SC Is Booked]],  (SnapshotTable[[#This Row],[SC Qty]] * 100 * SnapshotTable[[#This Row],[SC Strike Price]]) - SnapshotTable[[#This Row],[SC Current Ask]], "")</f>
        <v/>
      </c>
      <c r="FN241"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1" s="31" t="str">
        <f>IF(AND(ISNUMBER(SnapshotTable[[#This Row],[SC Exercise Gross]]), ISNUMBER(SnapshotTable[[#This Row],[Equity Basis Per Share]] )), SnapshotTable[[#This Row],[SC Exercise Gross]] - SnapshotTable[[#This Row],[Equity Basis Total]] +  SnapshotTable[[#This Row],[SC Premium]], "")</f>
        <v/>
      </c>
      <c r="FP241" s="5" t="str">
        <f>IF(ISNUMBER(SnapshotTable[[#This Row],[SC Exercise Gross]]), (SnapshotTable[[#This Row],[SC Exercise Gross]]) / (SnapshotTable[[#This Row],[SC Qty]] * 100), "")</f>
        <v/>
      </c>
      <c r="FQ241" s="27" t="str">
        <f>IF(SnapshotTable[[#This Row],[SC Is Booked]],SnapshotTable[[#This Row],[SC Time Val]] /SnapshotTable[[#This Row],[SC Basis]], "")</f>
        <v/>
      </c>
      <c r="FR241" s="27" t="str" cm="1">
        <f t="array" ref="FR241">IF(AND(ISNUMBER(SnapshotTable[[#This Row],[SC Term]]),ISNUMBER(SnapshotTable[[#This Row],[SC Simple ROO]])), EllmanAnnualize(SnapshotTable[[#This Row],[SC DTE]], SnapshotTable[[#This Row],[SC Simple ROO]] ),"")</f>
        <v/>
      </c>
      <c r="FS241" s="4">
        <f>IF(SnapshotTable[[#This Row],[SC Strike Price]] &gt; SnapshotTable[[#This Row],[Last Price]], SnapshotTable[[#This Row],[SC Strike Price]] - SnapshotTable[[#This Row],[Last Price]],0)</f>
        <v>0</v>
      </c>
      <c r="FT241" s="27" t="str">
        <f>IF(AND(ISNUMBER(SnapshotTable[[#This Row],[SC Upside Potential]]), SnapshotTable[[#This Row],[SC Upside Potential]] &gt; 0),(SnapshotTable[[#This Row],[SC Upside Potential]]/ SnapshotTable[[#This Row],[ACB]]),"")</f>
        <v/>
      </c>
      <c r="FU241" s="304" t="str">
        <f>IF(SnapshotTable[[#This Row],[SC Intrinsic Value]] &gt; 0,SnapshotTable[[#This Row],[SC Intrinsic Value]],"")</f>
        <v/>
      </c>
      <c r="FV241" s="27" t="str">
        <f>IF(AND( ISNUMBER( SnapshotTable[[#This Row],[ACB]]),ISNUMBER(SnapshotTable[[#This Row],[SC Downside Protect]])),SnapshotTable[[#This Row],[SC Downside Protect]] / SnapshotTable[[#This Row],[ACB]],"")</f>
        <v/>
      </c>
      <c r="FW241" s="221" t="str">
        <f>IF(AND(ISNUMBER(SnapshotTable[[#This Row],[SC Simple ROO]]),SnapshotTable[[#This Row],[SC Simple ROO]] &gt; 0), SnapshotTable[[#This Row],[SC Premium]] + (SnapshotTable[[#This Row],[SC Qty]] * SnapshotTable[[#This Row],[SC Upside Potential]]), "")</f>
        <v/>
      </c>
      <c r="FX241" s="280" t="str" cm="1">
        <f t="array" ref="FX241">IF(ISNUMBER(SnapshotTable[[#This Row],[SC Max Dollars]]), annualize(SnapshotTable[[#This Row],[SC Term]],(SnapshotTable[[#This Row],[SC Max Dollars]]/SnapshotTable[[#This Row],[SC Basis]])),"")</f>
        <v/>
      </c>
      <c r="FY241" s="221" t="str">
        <f>IF(AND(SnapshotTable[[#This Row],[SC Qty]]&gt;0,SnapshotTable[[#This Row],[SC Current Ask]]&gt;0), SnapshotTable[[#This Row],[SC Qty]] * SnapshotTable[[#This Row],[SC Current Ask]] * -100, "")</f>
        <v/>
      </c>
      <c r="FZ241" s="31" t="str">
        <f>IF(ISNUMBER((SnapshotTable[[#This Row],[SC Current Value]])), SnapshotTable[[#This Row],[SC Premium]] + SnapshotTable[[#This Row],[SC Current Value]], "")</f>
        <v/>
      </c>
      <c r="GA241" s="272" t="str">
        <f>IFERROR( IF(ISNUMBER((SnapshotTable[[#This Row],[SC Current Value]])), SnapshotTable[[#This Row],[SC Gain Loss]] / SnapshotTable[[#This Row],[SC Premium]], ""), "")</f>
        <v/>
      </c>
      <c r="GB241" s="42">
        <f>SnapshotTable[[#This Row],[Equity Shares]] * SaleSharesToConsiderPercentage</f>
        <v>0</v>
      </c>
      <c r="GC241" s="40">
        <f>SnapshotTable[[#This Row],[Long Term Target]] * SellingPriceToConsiderBasedOnTargetPercentage</f>
        <v>11.324</v>
      </c>
      <c r="GD241" s="40">
        <f>SnapshotTable[[#This Row],[Last Price]] * (1+ SellingPriceToConsiderBasedOnTargetPercentage)</f>
        <v>27.397500000000001</v>
      </c>
      <c r="GE241" s="41"/>
      <c r="GF241" s="40"/>
      <c r="GG241" s="31">
        <f>SnapshotTable[[#This Row],[Booked Sale Shares]] * SnapshotTable[[#This Row],[Booked Sale Price]]</f>
        <v>0</v>
      </c>
      <c r="GH241" s="31" t="str">
        <f>IF(SnapshotTable[[#This Row],[Equity Basis Total]] &gt; 0, SnapshotTable[[#This Row],[Equity Basis Per Share]] * SnapshotTable[[#This Row],[Booked Sale Shares]], "")</f>
        <v/>
      </c>
      <c r="GI241" s="31">
        <f>IF(SnapshotTable[[#This Row],[Sale Proceeds]]&gt;0, SnapshotTable[[#This Row],[Sale Proceeds]] - SnapshotTable[[#This Row],[Sale Basis]], 0)</f>
        <v>0</v>
      </c>
      <c r="GJ241" s="27" t="str">
        <f>IF(SnapshotTable[[#This Row],[Sale G/L]]&gt;0, SnapshotTable[[#This Row],[Sale G/L]] / SnapshotTable[[#This Row],[Sale Basis]], IF(ISNUMBER(SnapshotTable[[#This Row],[SC Exercise P&amp;L (TAX)]]), SnapshotTable[[#This Row],[SC Exercise P&amp;L (TAX)]] / SnapshotTable[[#This Row],[SC Basis]], ""))</f>
        <v/>
      </c>
      <c r="GK241" s="27" t="s">
        <v>623</v>
      </c>
      <c r="GL241" s="43" t="str">
        <f>IF(AND(SnapshotTable[[#This Row],[LP Exp Date]]&gt;0,SnapshotTable[[#This Row],[LP Strike Price]]&gt;0), [1]!ToOptionSymbol(SnapshotTable[[#This Row],[Symbol]], SnapshotTable[[#This Row],[LP Strike Price]],SnapshotTable[[#This Row],[LP Exp Date]],1), "")</f>
        <v/>
      </c>
      <c r="GM241" s="30" t="str">
        <f>IF(LEN(SnapshotTable[[#This Row],[LP Symbol]])&gt;0, 1, "")</f>
        <v/>
      </c>
      <c r="GN241" s="43" t="str">
        <f>IF(AND(SnapshotTable[[#This Row],[SP Exp Date]]&gt;0,SnapshotTable[[#This Row],[SP Strike Price]]&gt;0), [1]!ToOptionSymbol(SnapshotTable[[#This Row],[Symbol]], SnapshotTable[[#This Row],[SP Strike Price]],SnapshotTable[[#This Row],[SP Exp Date]],1), "")</f>
        <v/>
      </c>
      <c r="GO241" s="30" t="str">
        <f>IF(LEN(SnapshotTable[[#This Row],[SP Symbol]])&gt;0, 1, "")</f>
        <v/>
      </c>
      <c r="GP241" s="43" t="str">
        <f>IF(AND(SnapshotTable[[#This Row],[LC Exp Date]]&gt;0,SnapshotTable[[#This Row],[LC Strike Price]]&gt;0), [1]!ToOptionSymbol(SnapshotTable[[#This Row],[Symbol]], SnapshotTable[[#This Row],[LC Strike Price]],SnapshotTable[[#This Row],[LC Exp Date]],0), "")</f>
        <v/>
      </c>
      <c r="GQ241" s="30" t="str">
        <f>IF(LEN(SnapshotTable[[#This Row],[LC Symbol]])&gt;0, 1, "")</f>
        <v/>
      </c>
      <c r="GR241" s="43" t="str">
        <f>IF(AND(SnapshotTable[[#This Row],[SC Exp Date]]&gt;0,SnapshotTable[[#This Row],[SC Strike Price]]&gt;0), [1]!ToOptionSymbol(SnapshotTable[[#This Row],[Symbol]], SnapshotTable[[#This Row],[SC Strike Price]],SnapshotTable[[#This Row],[SC Exp Date]],0), "")</f>
        <v/>
      </c>
      <c r="GS241" s="30" t="str">
        <f>IF(LEN(SnapshotTable[[#This Row],[SC Symbol]])&gt;0, 1, "")</f>
        <v/>
      </c>
      <c r="GT241" s="29" t="str">
        <f>IF(COUNT(SnapshotTable[[#This Row],[LP Symbol Count]],SnapshotTable[[#This Row],[SP Symbol Count]],SnapshotTable[[#This Row],[LC Symbol Count]],SnapshotTable[[#This Row],[SC Symbol Count]])&gt;0, "Y", "")</f>
        <v/>
      </c>
      <c r="GU241"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1" s="216">
        <f>MAX(SnapshotTable[[#This Row],[Equity Basis Total]],SnapshotTable[[#This Row],[Equity Value]]) + (SnapshotTable[[#This Row],[SP Potential Spend]]- SnapshotTable[[#This Row],[SP Premium]] + SnapshotTable[[#This Row],[LP Premium]])+ (SnapshotTable[[#This Row],[LC Premium]] - SnapshotTable[[#This Row],[SC Premium]])</f>
        <v>0</v>
      </c>
      <c r="GW241" s="137" t="str">
        <f>IF(AND(SnapshotTable[[#This Row],[Exposure]] &lt;&gt; 0),SnapshotTable[[#This Row],[Exposure]] / SnapshotTable[[#Totals],[Exposure]], "")</f>
        <v/>
      </c>
      <c r="GX241" s="5"/>
      <c r="HE241" s="253"/>
      <c r="HF241" s="253"/>
      <c r="HK241" s="1"/>
      <c r="HL241" s="1"/>
      <c r="HM241" s="1"/>
      <c r="HN241" s="1"/>
      <c r="HO241" s="1"/>
      <c r="HP241" s="1"/>
    </row>
    <row r="242" spans="2:224" ht="12.75" hidden="1" customHeight="1" x14ac:dyDescent="0.25">
      <c r="B242" s="12" t="s">
        <v>956</v>
      </c>
      <c r="C242" s="385">
        <v>0.39460000000000001</v>
      </c>
      <c r="D242" s="200"/>
      <c r="E242" s="39">
        <f>SnapshotTable[[#This Row],[Last Price]]*(1 -CrashDiscount)</f>
        <v>0.33540999999999999</v>
      </c>
      <c r="F242" s="296" t="s">
        <v>731</v>
      </c>
      <c r="G242" s="296" t="s">
        <v>4</v>
      </c>
      <c r="H242" s="147"/>
      <c r="I242" s="186"/>
      <c r="J242" s="187"/>
      <c r="K242" s="188"/>
      <c r="L242" s="298"/>
      <c r="M242" s="138"/>
      <c r="N242" s="138"/>
      <c r="O242" s="138"/>
      <c r="P242" s="22">
        <v>1000</v>
      </c>
      <c r="Q242" s="25">
        <v>886.95</v>
      </c>
      <c r="R242" s="4">
        <f>IF(SnapshotTable[[#This Row],[Equity Basis Total]] &gt; 0, SnapshotTable[[#This Row],[Equity Basis Total]] / SnapshotTable[[#This Row],[Equity Shares]], "")</f>
        <v>0.88695000000000002</v>
      </c>
      <c r="S242" s="300">
        <f>SnapshotTable[[#This Row],[Last Price]] * SnapshotTable[[#This Row],[Equity Shares]]</f>
        <v>394.6</v>
      </c>
      <c r="T242" s="254">
        <f>SnapshotTable[[#This Row],[Equity Value]] - SnapshotTable[[#This Row],[Equity Basis Total]]</f>
        <v>-492.35</v>
      </c>
      <c r="U242" s="255">
        <f>IF(SnapshotTable[[#This Row],[Equity Basis Total]] &gt; 0, SnapshotTable[[#This Row],[Equity G/L]] / SnapshotTable[[#This Row],[Equity Basis Total]], "")</f>
        <v>-0.55510457184734197</v>
      </c>
      <c r="V242" s="253"/>
      <c r="W242" s="253"/>
      <c r="X242" s="4" t="str">
        <f>IF(AND(ISNUMBER(SnapshotTable[[#This Row],[Equity Basis Per Share]]),ISNUMBER(SnapshotTable[[#This Row],[Equity Target]])),SnapshotTable[[#This Row],[Equity Target]]-SnapshotTable[[#This Row],[Equity Basis Per Share]],"")</f>
        <v/>
      </c>
      <c r="Y242" s="4" t="str">
        <f>IF(AND(ISNUMBER(SnapshotTable[[#This Row],[Equity Basis Per Share]]),ISNUMBER(SnapshotTable[[#This Row],[Equity Stop Loss]])),SnapshotTable[[#This Row],[Equity Stop Loss]]-SnapshotTable[[#This Row],[Equity Basis Per Share]],"")</f>
        <v/>
      </c>
      <c r="Z242" s="260" t="str">
        <f>IFERROR( TEXT(SnapshotTable[[#This Row],[Equity Max Gain Per Share]] /ABS( SnapshotTable[[#This Row],[Equity Max Loss Per Share]]),"0.0 " ) &amp; " : 1", "")</f>
        <v/>
      </c>
      <c r="AA242" s="31" t="str">
        <f>IF(ISNUMBER(SnapshotTable[[#This Row],[Equity Max Gain Per Share]]),SnapshotTable[[#This Row],[Equity Max Gain Per Share]] * SnapshotTable[[#This Row],[Equity Shares]],"")</f>
        <v/>
      </c>
      <c r="AB242" s="31" t="str">
        <f>IF(ISNUMBER(SnapshotTable[[#This Row],[Equity Max Loss Per Share]]),SnapshotTable[[#This Row],[Equity Max Loss Per Share]] * SnapshotTable[[#This Row],[Equity Shares]],"")</f>
        <v/>
      </c>
      <c r="AC242" s="148"/>
      <c r="AD242" s="149"/>
      <c r="AE242" s="31">
        <f>(SnapshotTable[[#This Row],[Annual Dividend Per Share]] / 4) * SnapshotTable[[#This Row],[Equity Shares]]</f>
        <v>0</v>
      </c>
      <c r="AF242" s="31">
        <f>SnapshotTable[[#This Row],[Quarterly Div $]] * 4</f>
        <v>0</v>
      </c>
      <c r="AG242" s="7">
        <f>IF(SnapshotTable[[#This Row],[Annual Dividend Per Share]]&gt;0, SnapshotTable[[#This Row],[Annual Dividend Per Share]]  / SnapshotTable[[#This Row],[Last Price]], 0)</f>
        <v>0</v>
      </c>
      <c r="AH242" s="149"/>
      <c r="AI242" s="301"/>
      <c r="AJ242" s="136"/>
      <c r="AK242" s="150" t="str">
        <f>IF(ISNUMBER( SnapshotTable[[#This Row],[EBF Target]]),(SnapshotTable[[#This Row],[EBF Target]] - SnapshotTable[[#This Row],[Last Price]]) / SnapshotTable[[#This Row],[Last Price]], "")</f>
        <v/>
      </c>
      <c r="AL242" s="150" t="str">
        <f>IF(AND(SnapshotTable[[#This Row],[Equity Basis Total]] &gt; 0,ISNUMBER( SnapshotTable[[#This Row],[Long Term Target]])), SnapshotTable[[#This Row],[From Basis $]] / SnapshotTable[[#This Row],[Equity Basis Total]], "")</f>
        <v/>
      </c>
      <c r="AM242" s="9">
        <f>IF( AND(SnapshotTable[[#This Row],[Equity Shares]] &gt;0,ISNUMBER( SnapshotTable[[#This Row],[Long Term Target]])),(SnapshotTable[[#This Row],[Equity Shares]] * SnapshotTable[[#This Row],[Long Term Target]]) - SnapshotTable[[#This Row],[Equity Basis Total]],0)</f>
        <v>0</v>
      </c>
      <c r="AN242" s="9">
        <f>IF( AND(SnapshotTable[[#This Row],[Equity Shares]] &gt;0,ISNUMBER( SnapshotTable[[#This Row],[Long Term Target]])),(SnapshotTable[[#This Row],[Equity Shares]]*SnapshotTable[[#This Row],[Long Term Target]]) - SnapshotTable[[#This Row],[Equity Value]],0)</f>
        <v>0</v>
      </c>
      <c r="AO242" s="150" t="str">
        <f>IF(AND(ISNUMBER( SnapshotTable[[#This Row],[Long Term Target]]), ISNUMBER(SnapshotTable[[#This Row],[Last Price]])),(SnapshotTable[[#This Row],[Long Term Target]] - SnapshotTable[[#This Row],[Last Price]]) / SnapshotTable[[#This Row],[Last Price]], "")</f>
        <v/>
      </c>
      <c r="AP242" s="5"/>
      <c r="AQ242" s="38"/>
      <c r="AR242" s="5"/>
      <c r="AS242" s="38"/>
      <c r="AT242" s="144" t="s">
        <v>886</v>
      </c>
      <c r="AU242" s="185" t="str">
        <f>IF(OR(SnapshotTable[[#This Row],[LP No Fill]]="Y",SnapshotTable[[#This Row],[SP Is Filled]],SnapshotTable[[#This Row],[LC Not Filled]]="Y",SnapshotTable[[#This Row],[SC Is Filled]]),"Y","")</f>
        <v/>
      </c>
      <c r="AV242" s="309" t="s">
        <v>888</v>
      </c>
      <c r="AW242" s="310"/>
      <c r="AX242" s="206"/>
      <c r="AY242" s="205" t="str">
        <f>IF(SnapshotTable[[#This Row],[Implied Move]]&gt;0, SnapshotTable[[#This Row],[Last Price]]-SnapshotTable[[#This Row],[Implied Move]],"")</f>
        <v/>
      </c>
      <c r="AZ242" s="205" t="str">
        <f>IF(SnapshotTable[[#This Row],[Implied Move]]&gt;0, SnapshotTable[[#This Row],[Last Price]] + SnapshotTable[[#This Row],[Implied Move]],"")</f>
        <v/>
      </c>
      <c r="BA242" s="302">
        <v>2.95</v>
      </c>
      <c r="BB242" s="318"/>
      <c r="BC242"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2" s="321"/>
      <c r="BE242" s="136"/>
      <c r="BF242" s="164"/>
      <c r="BG242" s="165"/>
      <c r="BH242" s="165"/>
      <c r="BI242" s="207"/>
      <c r="BJ242" s="151">
        <f>IF(SnapshotTable[[#This Row],[LP Qty]] &gt; 0, SnapshotTable[[#This Row],[LP Qty]] * SnapshotTable[[#This Row],[LP Book Price]] * 100,0)</f>
        <v>0</v>
      </c>
      <c r="BK242" s="134">
        <f>IF(SnapshotTable[[#This Row],[LP Premium]] &gt; 0, SnapshotTable[[#This Row],[LP Qty]] * SnapshotTable[[#This Row],[LP Strike Price]] * 100,0)</f>
        <v>0</v>
      </c>
      <c r="BL242" s="152"/>
      <c r="BM242" s="355" t="str">
        <f>IF(SnapshotTable[[#This Row],[LP Premium]] &gt; 0,SnapshotTable[[#This Row],[LP Exp Date]]-MAX(SnapshotTable[[#This Row],[LP Book Date]], SnapshotTable[[#This Row],[LP Fill Date]]),"")</f>
        <v/>
      </c>
      <c r="BN242" s="355" t="str">
        <f>IF(ISNUMBER( SnapshotTable[[#This Row],[LP Term]]), SnapshotTable[[#This Row],[LP Exp Date]] - MockToday,"")</f>
        <v/>
      </c>
      <c r="BO242" s="161" t="str">
        <f>IF(AND(SnapshotTable[[#This Row],[LP Exp Date]]&gt;0, SnapshotTable[[#This Row],[LP Strike Price]]&gt;0,SnapshotTable[[#This Row],[LP Qty]]&gt;0,SnapshotTable[[#This Row],[LP Book Date]]&gt;0,SnapshotTable[[#This Row],[LP Book Price]]&gt;0,SnapshotTable[[#This Row],[LP Fill Date]]=0),"Y","")</f>
        <v/>
      </c>
      <c r="BP242" s="31" t="str">
        <f>IF(AND(SnapshotTable[[#This Row],[LP No Fill]]&lt;&gt;"Y",SnapshotTable[[#This Row],[LP Contract Value]]&gt;0, SnapshotTable[[#This Row],[LP Qty]]&gt;0), SnapshotTable[[#This Row],[LP Contract Value]]*SnapshotTable[[#This Row],[LP Qty]]*100,"")</f>
        <v/>
      </c>
      <c r="BQ242" s="13"/>
      <c r="BR242" s="5"/>
      <c r="BS242" s="36"/>
      <c r="BT242" s="145"/>
      <c r="BU242" s="13"/>
      <c r="BV242" s="5"/>
      <c r="BW242" s="382" t="b">
        <f>AND(ISNUMBER(SnapshotTable[[#This Row],[SP Exp Date]]), ISNUMBER(SnapshotTable[[#This Row],[SP Strike Price]]), ISNUMBER(SnapshotTable[[#This Row],[SP Qty]]), ISNUMBER(SnapshotTable[[#This Row],[SP Book Date]]), ISNUMBER(SnapshotTable[[#This Row],[SP Book Price]]))</f>
        <v>0</v>
      </c>
      <c r="BX242" s="382" t="b">
        <f>AND(SnapshotTable[[#This Row],[SP Is Booked]], NOT(ISBLANK(SnapshotTable[[#This Row],[SP Fill Date]])))</f>
        <v>0</v>
      </c>
      <c r="BY242" s="33">
        <f>IF(SnapshotTable[[#This Row],[SP Is Booked]], SnapshotTable[[#This Row],[SP Qty]] * SnapshotTable[[#This Row],[SP Book Price]] * 100, 0)</f>
        <v>0</v>
      </c>
      <c r="BZ242" s="339"/>
      <c r="CA242" s="338">
        <f>SnapshotTable[[#This Row],[LP Qty]]</f>
        <v>0</v>
      </c>
      <c r="CB242" s="4" t="str">
        <f>IF(SnapshotTable[[#This Row],[SP Is Booked]], SnapshotTable[[#This Row],[SP Strike Price]] - SnapshotTable[[#This Row],[SP Book Price]], "")</f>
        <v/>
      </c>
      <c r="CC242" s="19" t="str">
        <f>IF(SnapshotTable[[#This Row],[SP Is Booked]],SnapshotTable[[#This Row],[SP Exp Date]]-MAX(SnapshotTable[[#This Row],[SP Book Date]], SnapshotTable[[#This Row],[SP Fill Date]]),"")</f>
        <v/>
      </c>
      <c r="CD242" s="7" t="str">
        <f>IF(SnapshotTable[[#This Row],[SP Is Booked]], SnapshotTable[[#This Row],[SP Book Price]]/SnapshotTable[[#This Row],[SP Strike Price]], "")</f>
        <v/>
      </c>
      <c r="CE242" s="7" t="str">
        <f>IF(ISNUMBER(SnapshotTable[[#This Row],[SP ROO Term]]),SnapshotTable[[#This Row],[SP ROO Term]]*(365/SnapshotTable[[#This Row],[SP Term]]),"")</f>
        <v/>
      </c>
      <c r="CF242" s="221">
        <f>SnapshotTable[[#This Row],[LP Strike Price]] * SnapshotTable[[#This Row],[LP Qty]] * 100</f>
        <v>0</v>
      </c>
      <c r="CG242" s="31">
        <f>IF(ISNUMBER(SnapshotTable[[#This Row],[SP Premium]]), (SnapshotTable[[#This Row],[SP Qty]] * SnapshotTable[[#This Row],[SP Strike Price]]* 100) - SnapshotTable[[#This Row],[LP Protection]], 0)</f>
        <v>0</v>
      </c>
      <c r="CH242" s="7" t="str">
        <f>IF(ISNUMBER(SnapshotTable[[#This Row],[SP Break Even]]),-1 * (SnapshotTable[[#This Row],[SP Break Even]] - SnapshotTable[[#This Row],[Last Price]]) / SnapshotTable[[#This Row],[Last Price]], "")</f>
        <v/>
      </c>
      <c r="CI242" s="31">
        <f>IF(AND(ISNUMBER((SnapshotTable[[#This Row],[SP Potential Spend]])), SnapshotTable[[#This Row],[SP Strike Price]] &gt; SnapshotTable[[#This Row],[Last Price]], SnapshotTable[[#This Row],[SP Is Filled]]), SnapshotTable[[#This Row],[SP Potential Spend]] -  SnapshotTable[[#This Row],[LP Max Value]], 0)</f>
        <v>0</v>
      </c>
      <c r="CJ242" s="229"/>
      <c r="CK242" s="31">
        <f>IF(ISNUMBER(SnapshotTable[[#This Row],[SP Potential Spend]]),IF(ISNUMBER(SnapshotTable[[#This Row],[SP POW]]), SnapshotTable[[#This Row],[SP POW]] * SnapshotTable[[#This Row],[SP Potential Spend]], SnapshotTable[[#This Row],[SP Potential Spend]]), "")</f>
        <v>0</v>
      </c>
      <c r="CL242" s="162">
        <f>IF(NOT(SnapshotTable[[#This Row],[SP Is Filled]]),(SnapshotTable[[#This Row],[SP Qty]] * SnapshotTable[[#This Row],[SP Strike Price]] * 100) - SnapshotTable[[#This Row],[LP Max Value]],"")</f>
        <v>0</v>
      </c>
      <c r="CM242" s="31" t="str">
        <f>IF(SnapshotTable[[#This Row],[SP Actual Spend]]&lt;&gt;0, ((SnapshotTable[[#This Row],[SP Strike Price]]-SnapshotTable[[#This Row],[Last Price]]) *(SnapshotTable[[#This Row],[SP Qty]]*100) - SnapshotTable[[#This Row],[SP Premium]]) * - 1, "")</f>
        <v/>
      </c>
      <c r="CN242" s="152"/>
      <c r="CO242" s="339"/>
      <c r="CP242" s="291" t="str">
        <f>IF(SnapshotTable[[#This Row],[SP Is Filled]], btc_max_buyback_amount(SnapshotTable[[#This Row],[SP Fill Date]],SnapshotTable[[#This Row],[SP Exp Date]], SnapshotTable[[#This Row],[SP Book Price]]),"")</f>
        <v/>
      </c>
      <c r="CQ242" s="76"/>
      <c r="CR242" s="7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2" s="153" t="str">
        <f>IF(SnapshotTable[[#This Row],[SP Is Filled]], btc_next_cutoff_date(SnapshotTable[[#This Row],[SP Fill Date]],SnapshotTable[[#This Row],[SP Exp Date]]),"")</f>
        <v/>
      </c>
      <c r="CT242" s="220" t="str" cm="1">
        <f t="array" ref="CT242">IF(SnapshotTable[[#This Row],[SP Is Filled]], btc_should_buy_back(SnapshotTable[[#This Row],[SP Fill Date]], SnapshotTable[[#This Row],[SP Exp Date]], SnapshotTable[[#This Row],[SP Book Price]], SnapshotTable[[#This Row],[SP Current Ask]], MockToday, SnapshotTable[[#This Row],[SP Buyback Override]]),"")</f>
        <v/>
      </c>
      <c r="CU242" s="141"/>
      <c r="CV242" s="220"/>
      <c r="CW242" s="348" t="str">
        <f>IF(ISNUMBER( SnapshotTable[[#This Row],[SP Term]]), SnapshotTable[[#This Row],[SP Exp Date]] - MockToday,"")</f>
        <v/>
      </c>
      <c r="CX242" s="31" t="str">
        <f>IF(SnapshotTable[[#This Row],[SP Is Filled]],SnapshotTable[[#This Row],[SP Buyback Price to Use]] * 100 * SnapshotTable[[#This Row],[SP Qty]], "")</f>
        <v/>
      </c>
      <c r="CY242" s="4" t="str">
        <f>IF(ISNUMBER(SnapshotTable[[#This Row],[SP Strike Price]]), SnapshotTable[[#This Row],[SP Strike Price]] * (1 - SP_MaxLoss_StrikePct), "")</f>
        <v/>
      </c>
      <c r="CZ242" s="31" t="str">
        <f>IF(ISNUMBER(SnapshotTable[[#This Row],[SP Strike  Stop Per Share]]),SnapshotTable[[#This Row],[SP Premium]] - ((SnapshotTable[[#This Row],[SP Strike Price]]-SnapshotTable[[#This Row],[SP Strike  Stop Per Share]]) *(SnapshotTable[[#This Row],[SP Qty]] * 100)),"")</f>
        <v/>
      </c>
      <c r="DA242" s="4" t="str">
        <f>IF(AND(ISNUMBER(SnapshotTable[[#This Row],[SP Premium]]),SnapshotTable[[#This Row],[SP Premium]]&gt;0), SnapshotTable[[#This Row],[SP Book Price]] * (1 + SP_MaxLoss_OptionPct), "")</f>
        <v/>
      </c>
      <c r="DB242" s="31" t="str">
        <f>IF(ISNUMBER(SnapshotTable[[#This Row],[SP Option  Stop Contract]]),(SnapshotTable[[#This Row],[SP Option  Stop Contract]] *(SnapshotTable[[#This Row],[SP Qty]] * 100) - SnapshotTable[[#This Row],[SP Premium]]),"")</f>
        <v/>
      </c>
      <c r="DC242" s="4"/>
      <c r="DD242" s="4"/>
      <c r="DE242" s="4" t="str">
        <f>IF(AND(SnapshotTable[[#This Row],[SP Qty]]&gt;0, SnapshotTable[[#This Row],[SP Stop To Use]]&gt;0),SnapshotTable[[#This Row],[SP Premium]] - ( SnapshotTable[[#This Row],[SP Qty]] * SnapshotTable[[#This Row],[SP Stop To Use]] * 100), "")</f>
        <v/>
      </c>
      <c r="DF242" s="31" t="str">
        <f>IF(AND(SnapshotTable[[#This Row],[SP Qty]]&gt;0,SnapshotTable[[#This Row],[SP Current Ask]]&gt;0), SnapshotTable[[#This Row],[SP Qty]] * SnapshotTable[[#This Row],[SP Current Ask]] * -100, "")</f>
        <v/>
      </c>
      <c r="DG242" s="31" t="str">
        <f>IF(ISNUMBER((SnapshotTable[[#This Row],[SP Total Value]])), SnapshotTable[[#This Row],[SP Premium]] + SnapshotTable[[#This Row],[SP Total Value]], "")</f>
        <v/>
      </c>
      <c r="DH242" s="272" t="str">
        <f>IF(ISNUMBER((SnapshotTable[[#This Row],[SP Total Value]])), SnapshotTable[[#This Row],[SP Gain Loss]] / SnapshotTable[[#This Row],[SP Premium]], "")</f>
        <v/>
      </c>
      <c r="DI242" s="369"/>
      <c r="DJ242" s="136"/>
      <c r="DK242" s="164"/>
      <c r="DL242" s="165"/>
      <c r="DM242" s="165"/>
      <c r="DO242" s="31">
        <f>IF(SnapshotTable[[#This Row],[LC Symbol Count]]=1, SnapshotTable[[#This Row],[LC Qty]] * SnapshotTable[[#This Row],[LC Book Price]] * 100, 0)</f>
        <v>0</v>
      </c>
      <c r="DP242" s="270" t="str">
        <f>IF(AND(SnapshotTable[[#This Row],[LC Exp Date]]&gt;0, SnapshotTable[[#This Row],[LC Strike Price]]&gt;0,SnapshotTable[[#This Row],[LC Qty]]&gt;0,SnapshotTable[[#This Row],[LC Book Date]]&gt;0,SnapshotTable[[#This Row],[LC Book Price]]&gt;0,SnapshotTable[[#This Row],[LC Fill Date]]=0),"Y","")</f>
        <v/>
      </c>
      <c r="DQ242" s="356" t="str">
        <f>IF(SnapshotTable[[#This Row],[LC Premium]] &gt; 0,SnapshotTable[[#This Row],[LC Exp Date]]-MAX(SnapshotTable[[#This Row],[LC Book Date]], SnapshotTable[[#This Row],[LC Fill Date]]),"")</f>
        <v/>
      </c>
      <c r="DR242" s="356" t="str">
        <f>IF(ISNUMBER(SnapshotTable[[#This Row],[LC Term]]), SnapshotTable[[#This Row],[LC Exp Date]] - MockToday, "")</f>
        <v/>
      </c>
      <c r="DS242" s="219" t="str">
        <f>IF(SnapshotTable[[#This Row],[LC Premium]]&gt;0,SnapshotTable[[#This Row],[LC Strike Price]] + SnapshotTable[[#This Row],[LC Book Price]],"")</f>
        <v/>
      </c>
      <c r="DU242" s="9" t="str">
        <f>IF(AND(SnapshotTable[[#This Row],[LC Symbol Count]]&gt;0, SnapshotTable[[#This Row],[LC Contract Value]]&gt;0), SnapshotTable[[#This Row],[LC Contract Value]] * SnapshotTable[[#This Row],[LC Qty]] * 100, "")</f>
        <v/>
      </c>
      <c r="DV242" s="9" t="str">
        <f>IF(AND(ISNUMBER(SnapshotTable[[#This Row],[LC Total Value]]), SnapshotTable[[#This Row],[LC Not Filled]]&lt;&gt;"Y"), SnapshotTable[[#This Row],[LC Total Value]]-SnapshotTable[[#This Row],[LC Premium]],"")</f>
        <v/>
      </c>
      <c r="DW242" s="225" t="str">
        <f>IF(ISNUMBER(SnapshotTable[[#This Row],[LC Actual Gain Loss]]), SnapshotTable[[#This Row],[LC Actual Gain Loss]] / SnapshotTable[[#This Row],[LC Premium]],"")</f>
        <v/>
      </c>
      <c r="DX242" s="269" t="str">
        <f>IF(ISNUMBER(SnapshotTable[[#This Row],[LC Book Price]]),SnapshotTable[[#This Row],[LC Book Price]] * 1.5,"")</f>
        <v/>
      </c>
      <c r="DY242" s="250" t="str">
        <f>IF(SnapshotTable[[#This Row],[LC Premium]]&gt;0, SnapshotTable[[#This Row],[LC Next Target]] * SnapshotTable[[#This Row],[LC Qty]] * 100,"")</f>
        <v/>
      </c>
      <c r="DZ242" s="250" t="str">
        <f>IF(ISNUMBER(SnapshotTable[[#This Row],[LC Target Gross]]), SnapshotTable[[#This Row],[LC Target Gross]] - SnapshotTable[[#This Row],[LC Premium]], "")</f>
        <v/>
      </c>
      <c r="EA242" s="283" t="str">
        <f>IF(ISNUMBER(SnapshotTable[[#This Row],[LC Target Gain Loss]]), SnapshotTable[[#This Row],[LC Target Gain Loss]]/SnapshotTable[[#This Row],[LC Premium]], "")</f>
        <v/>
      </c>
      <c r="EB242" s="247"/>
      <c r="EC242" s="271" t="str">
        <f>IF(SnapshotTable[[#This Row],[LC Premium]]&gt;0, SnapshotTable[[#This Row],[LC Book Price]] * (1 - LC_StopLoss_Pct),"")</f>
        <v/>
      </c>
      <c r="ED242" s="269"/>
      <c r="EE242" s="271" t="str">
        <f>IF(ISNUMBER(SnapshotTable[[#This Row],[LC Contract Value]]),IF(ISNUMBER(SnapshotTable[[#This Row],[LC Stop Loss Override]]), SnapshotTable[[#This Row],[LC Stop Loss Override]],SnapshotTable[[#This Row],[LC Stop Loss Calc Target]]),"")</f>
        <v/>
      </c>
      <c r="EF242" s="292" t="str">
        <f>IF(ISNUMBER(SnapshotTable[[#This Row],[LC Stop  To Use]]), (SnapshotTable[[#This Row],[LC Stop  To Use]] * SnapshotTable[[#This Row],[LC Qty]] * 100),"")</f>
        <v/>
      </c>
      <c r="EG242" s="9" t="str">
        <f>IF(ISNUMBER(SnapshotTable[[#This Row],[LC Total Value]]),SnapshotTable[[#This Row],[LC Stop Loss Amount]] - SnapshotTable[[#This Row],[LC Premium]],"")</f>
        <v/>
      </c>
      <c r="EH242" s="9">
        <f>IF(ISNUMBER(SnapshotTable[[#This Row],[LC Premium]]), SnapshotTable[[#This Row],[LC Qty]] * 100 * SnapshotTable[[#This Row],[LC Strike Price]], "")</f>
        <v>0</v>
      </c>
      <c r="EI242" s="225" t="str">
        <f>IF(AND(ISNUMBER(SnapshotTable[[#This Row],[LC Total Value]]),SnapshotTable[[#This Row],[LC Total Value]]&gt;0),SnapshotTable[[#This Row],[LC Stop Gain Loss]]  / SnapshotTable[[#This Row],[LC Premium]],"")</f>
        <v/>
      </c>
      <c r="EJ242" s="35">
        <f>IF(ISNUMBER(SnapshotTable[[#This Row],[Equity Shares]]),TRUNC(SnapshotTable[[#This Row],[Equity Shares]] / 100),0) + SnapshotTable[[#This Row],[LC Qty]]</f>
        <v>10</v>
      </c>
      <c r="EK242" s="145"/>
      <c r="EL242" s="136"/>
      <c r="EM242" s="146"/>
      <c r="EN242" s="145"/>
      <c r="EO242" s="145"/>
      <c r="EP242" s="136"/>
      <c r="EQ242" s="382" t="b">
        <f>AND(ISNUMBER(SnapshotTable[[#This Row],[SC Exp Date]]), ISNUMBER(SnapshotTable[[#This Row],[SC Strike Price]]), ISNUMBER(SnapshotTable[[#This Row],[SC Qty]]), ISNUMBER(SnapshotTable[[#This Row],[SC Book Date]]), ISNUMBER(SnapshotTable[[#This Row],[SC Book Price]]))</f>
        <v>0</v>
      </c>
      <c r="ER242" s="382" t="b">
        <f>AND(SnapshotTable[[#This Row],[SC Is Booked]], NOT(ISBLANK(SnapshotTable[[#This Row],[SC Fill Date]])))</f>
        <v>0</v>
      </c>
      <c r="ES242" s="340"/>
      <c r="ET242" s="34" t="str">
        <f>IF(AND(ISNUMBER(SnapshotTable[[#This Row],[SC Exp Date]]), ISNUMBER(SnapshotTable[[#This Row],[SC Book Date]])), SnapshotTable[[#This Row],[SC Exp Date]] - MAX(SnapshotTable[[#This Row],[SC Book Date]], SnapshotTable[[#This Row],[SC Fill Date]]) + 1, "")</f>
        <v/>
      </c>
      <c r="EU242" s="34" t="str">
        <f>IF(ISNUMBER(SnapshotTable[[#This Row],[SC Term]]), SnapshotTable[[#This Row],[SC Exp Date]]- MockToday, "")</f>
        <v/>
      </c>
      <c r="EV242" s="31">
        <f>IF(SnapshotTable[[#This Row],[SC Is Booked]], SnapshotTable[[#This Row],[SC Qty]] * SnapshotTable[[#This Row],[SC Book Price]] * 100, 0)</f>
        <v>0</v>
      </c>
      <c r="EW242" s="4" t="str">
        <f>IF(AND(ISNUMBER(SnapshotTable[[#This Row],[Last Price]]), ISNUMBER( SnapshotTable[[#This Row],[SC Book Price]])), SnapshotTable[[#This Row],[Last Price]] - SnapshotTable[[#This Row],[SC Book Price]],"")</f>
        <v/>
      </c>
      <c r="EX242" s="219" t="str">
        <f>IF(SnapshotTable[[#This Row],[SC Is Booked]],IF(SnapshotTable[[#This Row],[SC Intrinsic Value]] &gt; 0, SnapshotTable[[#This Row],[SC Strike Price]], SnapshotTable[[#This Row],[Last Price]]), "")</f>
        <v/>
      </c>
      <c r="EY242" s="4">
        <f>IF(SnapshotTable[[#This Row],[SC Is Booked]], (MinimumPremiumRequired * SnapshotTable[[#This Row],[SC Basis]] * SnapshotTable[[#This Row],[SC Term]]), 0)</f>
        <v>0</v>
      </c>
      <c r="EZ242" s="268"/>
      <c r="FA242" s="204"/>
      <c r="FB242" s="340"/>
      <c r="FC242" s="4">
        <f>IF(SnapshotTable[[#This Row],[SC Is Filled]], btc_max_buyback_amount(SnapshotTable[[#This Row],[SC Fill Date]],SnapshotTable[[#This Row],[SC Exp Date]], SnapshotTable[[#This Row],[SC Book Price]]),0)</f>
        <v>0</v>
      </c>
      <c r="FD242" s="5"/>
      <c r="FE242" s="142" t="str">
        <f>IF(SnapshotTable[[#This Row],[SC Is Filled]], btc_next_cutoff_date(SnapshotTable[[#This Row],[SC Fill Date]],SnapshotTable[[#This Row],[SC Exp Date]]),"")</f>
        <v/>
      </c>
      <c r="FF242" s="4" t="str" cm="1">
        <f t="array" ref="FF242">IF(SnapshotTable[[#This Row],[SC Is Filled]], btc_should_buy_back(SnapshotTable[[#This Row],[SC Fill Date]], SnapshotTable[[#This Row],[SC Exp Date]], SnapshotTable[[#This Row],[SC Book Price]], SnapshotTable[[#This Row],[SC Current Ask]], MockToday, SnapshotTable[[#This Row],[SC Buyback Override]]),"")</f>
        <v/>
      </c>
      <c r="FG242" s="4">
        <f>IF(SnapshotTable[[#This Row],[SC Is Filled]], MAX(0,SnapshotTable[[#This Row],[Last Price]]  - SnapshotTable[[#This Row],[SC Strike Price]]), 0)</f>
        <v>0</v>
      </c>
      <c r="FH242" s="352">
        <f>IF(SnapshotTable[[#This Row],[SC Is Filled]], IF(ISNUMBER(SnapshotTable[[#This Row],[SC Current Ask]]), SnapshotTable[[#This Row],[SC Current Ask]], SnapshotTable[[#This Row],[SC Book Price]]) - SnapshotTable[[#This Row],[SC Intrinsic Value]], 0)</f>
        <v>0</v>
      </c>
      <c r="FI242" s="141"/>
      <c r="FJ242" s="32" t="str">
        <f>IF(SnapshotTable[[#This Row],[SC Is Filled]],100 * SnapshotTable[[#This Row],[SC Qty]] * IF(ISNUMBER(SnapshotTable[[#This Row],[SC Buyback Override]]), SnapshotTable[[#This Row],[SC Buyback Override]], SnapshotTable[[#This Row],[SC Current Ask]]), "")</f>
        <v/>
      </c>
      <c r="FK242" s="235" t="str">
        <f>IF(SnapshotTable[[#This Row],[SC Time Val]]&gt;0, SnapshotTable[[#This Row],[SC Time Val]] / SnapshotTable[[#This Row],[Last Price]],"")</f>
        <v/>
      </c>
      <c r="FL242" s="280" t="str">
        <f>IF(SnapshotTable[[#This Row],[SC Is Booked]], ((SnapshotTable[[#This Row],[Last Price]] -SnapshotTable[[#This Row],[SC Strike Price]]) / SnapshotTable[[#This Row],[Last Price]]) * -1, "")</f>
        <v/>
      </c>
      <c r="FM242" s="155" t="str">
        <f>IF(SnapshotTable[[#This Row],[SC Is Booked]],  (SnapshotTable[[#This Row],[SC Qty]] * 100 * SnapshotTable[[#This Row],[SC Strike Price]]) - SnapshotTable[[#This Row],[SC Current Ask]], "")</f>
        <v/>
      </c>
      <c r="FN242" s="155"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2" s="155" t="str">
        <f>IF(AND(ISNUMBER(SnapshotTable[[#This Row],[SC Exercise Gross]]), ISNUMBER(SnapshotTable[[#This Row],[Equity Basis Per Share]] )), SnapshotTable[[#This Row],[SC Exercise Gross]] - SnapshotTable[[#This Row],[Equity Basis Total]] +  SnapshotTable[[#This Row],[SC Premium]], "")</f>
        <v/>
      </c>
      <c r="FP242" s="5" t="str">
        <f>IF(ISNUMBER(SnapshotTable[[#This Row],[SC Exercise Gross]]), (SnapshotTable[[#This Row],[SC Exercise Gross]]) / (SnapshotTable[[#This Row],[SC Qty]] * 100), "")</f>
        <v/>
      </c>
      <c r="FQ242" s="27" t="str">
        <f>IF(SnapshotTable[[#This Row],[SC Is Booked]],SnapshotTable[[#This Row],[SC Time Val]] /SnapshotTable[[#This Row],[SC Basis]], "")</f>
        <v/>
      </c>
      <c r="FR242" s="27" t="str" cm="1">
        <f t="array" ref="FR242">IF(AND(ISNUMBER(SnapshotTable[[#This Row],[SC Term]]),ISNUMBER(SnapshotTable[[#This Row],[SC Simple ROO]])), EllmanAnnualize(SnapshotTable[[#This Row],[SC DTE]], SnapshotTable[[#This Row],[SC Simple ROO]] ),"")</f>
        <v/>
      </c>
      <c r="FS242" s="4">
        <f>IF(SnapshotTable[[#This Row],[SC Strike Price]] &gt; SnapshotTable[[#This Row],[Last Price]], SnapshotTable[[#This Row],[SC Strike Price]] - SnapshotTable[[#This Row],[Last Price]],0)</f>
        <v>0</v>
      </c>
      <c r="FT242" s="27" t="str">
        <f>IF(AND(ISNUMBER(SnapshotTable[[#This Row],[SC Upside Potential]]), SnapshotTable[[#This Row],[SC Upside Potential]] &gt; 0),(SnapshotTable[[#This Row],[SC Upside Potential]]/ SnapshotTable[[#This Row],[ACB]]),"")</f>
        <v/>
      </c>
      <c r="FU242" s="304" t="str">
        <f>IF(SnapshotTable[[#This Row],[SC Intrinsic Value]] &gt; 0,SnapshotTable[[#This Row],[SC Intrinsic Value]],"")</f>
        <v/>
      </c>
      <c r="FV242" s="27" t="str">
        <f>IF(AND( ISNUMBER( SnapshotTable[[#This Row],[ACB]]),ISNUMBER(SnapshotTable[[#This Row],[SC Downside Protect]])),SnapshotTable[[#This Row],[SC Downside Protect]] / SnapshotTable[[#This Row],[ACB]],"")</f>
        <v/>
      </c>
      <c r="FW242" s="221" t="str">
        <f>IF(AND(ISNUMBER(SnapshotTable[[#This Row],[SC Simple ROO]]),SnapshotTable[[#This Row],[SC Simple ROO]] &gt; 0), SnapshotTable[[#This Row],[SC Premium]] + (SnapshotTable[[#This Row],[SC Qty]] * SnapshotTable[[#This Row],[SC Upside Potential]]), "")</f>
        <v/>
      </c>
      <c r="FX242" s="280" t="str" cm="1">
        <f t="array" ref="FX242">IF(ISNUMBER(SnapshotTable[[#This Row],[SC Max Dollars]]), annualize(SnapshotTable[[#This Row],[SC Term]],(SnapshotTable[[#This Row],[SC Max Dollars]]/SnapshotTable[[#This Row],[SC Basis]])),"")</f>
        <v/>
      </c>
      <c r="FY242" s="221" t="str">
        <f>IF(AND(SnapshotTable[[#This Row],[SC Qty]]&gt;0,SnapshotTable[[#This Row],[SC Current Ask]]&gt;0), SnapshotTable[[#This Row],[SC Qty]] * SnapshotTable[[#This Row],[SC Current Ask]] * -100, "")</f>
        <v/>
      </c>
      <c r="FZ242" s="220" t="str">
        <f>IF(ISNUMBER((SnapshotTable[[#This Row],[SC Current Value]])), SnapshotTable[[#This Row],[SC Premium]] + SnapshotTable[[#This Row],[SC Current Value]], "")</f>
        <v/>
      </c>
      <c r="GA242" s="272" t="str">
        <f>IFERROR( IF(ISNUMBER((SnapshotTable[[#This Row],[SC Current Value]])), SnapshotTable[[#This Row],[SC Gain Loss]] / SnapshotTable[[#This Row],[SC Premium]], ""), "")</f>
        <v/>
      </c>
      <c r="GB242" s="42">
        <f>SnapshotTable[[#This Row],[Equity Shares]] * SaleSharesToConsiderPercentage</f>
        <v>200</v>
      </c>
      <c r="GC242" s="40">
        <f>SnapshotTable[[#This Row],[Long Term Target]] * SellingPriceToConsiderBasedOnTargetPercentage</f>
        <v>0</v>
      </c>
      <c r="GD242" s="40">
        <f>SnapshotTable[[#This Row],[Last Price]] * (1+ SellingPriceToConsiderBasedOnTargetPercentage)</f>
        <v>0.76946999999999999</v>
      </c>
      <c r="GE242" s="41"/>
      <c r="GF242" s="40"/>
      <c r="GG242" s="31">
        <f>SnapshotTable[[#This Row],[Booked Sale Shares]] * SnapshotTable[[#This Row],[Booked Sale Price]]</f>
        <v>0</v>
      </c>
      <c r="GH242" s="31">
        <f>IF(SnapshotTable[[#This Row],[Equity Basis Total]] &gt; 0, SnapshotTable[[#This Row],[Equity Basis Per Share]] * SnapshotTable[[#This Row],[Booked Sale Shares]], "")</f>
        <v>0</v>
      </c>
      <c r="GI242" s="31">
        <f>IF(SnapshotTable[[#This Row],[Sale Proceeds]]&gt;0, SnapshotTable[[#This Row],[Sale Proceeds]] - SnapshotTable[[#This Row],[Sale Basis]], 0)</f>
        <v>0</v>
      </c>
      <c r="GJ242" s="156" t="str">
        <f>IF(SnapshotTable[[#This Row],[Sale G/L]]&gt;0, SnapshotTable[[#This Row],[Sale G/L]] / SnapshotTable[[#This Row],[Sale Basis]], IF(ISNUMBER(SnapshotTable[[#This Row],[SC Exercise P&amp;L (TAX)]]), SnapshotTable[[#This Row],[SC Exercise P&amp;L (TAX)]] / SnapshotTable[[#This Row],[SC Basis]], ""))</f>
        <v/>
      </c>
      <c r="GK242" s="27"/>
      <c r="GL242" s="157" t="str">
        <f>IF(AND(SnapshotTable[[#This Row],[LP Exp Date]]&gt;0,SnapshotTable[[#This Row],[LP Strike Price]]&gt;0), [1]!ToOptionSymbol(SnapshotTable[[#This Row],[Symbol]], SnapshotTable[[#This Row],[LP Strike Price]],SnapshotTable[[#This Row],[LP Exp Date]],1), "")</f>
        <v/>
      </c>
      <c r="GM242" s="30" t="str">
        <f>IF(LEN(SnapshotTable[[#This Row],[LP Symbol]])&gt;0, 1, "")</f>
        <v/>
      </c>
      <c r="GN242" s="43" t="str">
        <f>IF(AND(SnapshotTable[[#This Row],[SP Exp Date]]&gt;0,SnapshotTable[[#This Row],[SP Strike Price]]&gt;0), [1]!ToOptionSymbol(SnapshotTable[[#This Row],[Symbol]], SnapshotTable[[#This Row],[SP Strike Price]],SnapshotTable[[#This Row],[SP Exp Date]],1), "")</f>
        <v/>
      </c>
      <c r="GO242" s="30" t="str">
        <f>IF(LEN(SnapshotTable[[#This Row],[SP Symbol]])&gt;0, 1, "")</f>
        <v/>
      </c>
      <c r="GP242" s="157" t="str">
        <f>IF(AND(SnapshotTable[[#This Row],[LC Exp Date]]&gt;0,SnapshotTable[[#This Row],[LC Strike Price]]&gt;0), [1]!ToOptionSymbol(SnapshotTable[[#This Row],[Symbol]], SnapshotTable[[#This Row],[LC Strike Price]],SnapshotTable[[#This Row],[LC Exp Date]],0), "")</f>
        <v/>
      </c>
      <c r="GQ242" s="158" t="str">
        <f>IF(LEN(SnapshotTable[[#This Row],[LC Symbol]])&gt;0, 1, "")</f>
        <v/>
      </c>
      <c r="GR242" s="157" t="str">
        <f>IF(AND(SnapshotTable[[#This Row],[SC Exp Date]]&gt;0,SnapshotTable[[#This Row],[SC Strike Price]]&gt;0), [1]!ToOptionSymbol(SnapshotTable[[#This Row],[Symbol]], SnapshotTable[[#This Row],[SC Strike Price]],SnapshotTable[[#This Row],[SC Exp Date]],0), "")</f>
        <v/>
      </c>
      <c r="GS242" s="158" t="str">
        <f>IF(LEN(SnapshotTable[[#This Row],[SC Symbol]])&gt;0, 1, "")</f>
        <v/>
      </c>
      <c r="GT242" s="159" t="str">
        <f>IF(COUNT(SnapshotTable[[#This Row],[LP Symbol Count]],SnapshotTable[[#This Row],[SP Symbol Count]],SnapshotTable[[#This Row],[LC Symbol Count]],SnapshotTable[[#This Row],[SC Symbol Count]])&gt;0, "Y", "")</f>
        <v/>
      </c>
      <c r="GU242"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2" s="216">
        <f>MAX(SnapshotTable[[#This Row],[Equity Basis Total]],SnapshotTable[[#This Row],[Equity Value]]) + (SnapshotTable[[#This Row],[SP Potential Spend]]- SnapshotTable[[#This Row],[SP Premium]] + SnapshotTable[[#This Row],[LP Premium]])+ (SnapshotTable[[#This Row],[LC Premium]] - SnapshotTable[[#This Row],[SC Premium]])</f>
        <v>886.95</v>
      </c>
      <c r="GW242" s="137">
        <f ca="1">IF(AND(SnapshotTable[[#This Row],[Exposure]] &lt;&gt; 0),SnapshotTable[[#This Row],[Exposure]] / SnapshotTable[[#Totals],[Exposure]], "")</f>
        <v>4.9247366755320625E-3</v>
      </c>
      <c r="HE242" s="253"/>
      <c r="HF242" s="253"/>
      <c r="HK242" s="1"/>
      <c r="HL242" s="1"/>
      <c r="HM242" s="1"/>
      <c r="HN242" s="1"/>
      <c r="HO242" s="1"/>
      <c r="HP242" s="1"/>
    </row>
    <row r="243" spans="2:224" ht="12.75" hidden="1" customHeight="1" x14ac:dyDescent="0.25">
      <c r="B243" s="12" t="s">
        <v>962</v>
      </c>
      <c r="C243" s="385">
        <v>0.97</v>
      </c>
      <c r="D243" s="200" t="s">
        <v>179</v>
      </c>
      <c r="E243" s="39">
        <f>SnapshotTable[[#This Row],[Last Price]]*(1 -CrashDiscount)</f>
        <v>0.82450000000000001</v>
      </c>
      <c r="F243" s="26" t="s">
        <v>445</v>
      </c>
      <c r="G243" s="26" t="s">
        <v>24</v>
      </c>
      <c r="H243" s="147"/>
      <c r="I243" s="186"/>
      <c r="J243" s="187"/>
      <c r="K243" s="188"/>
      <c r="L243" s="297"/>
      <c r="M243" s="138"/>
      <c r="N243" s="138"/>
      <c r="O243" s="138"/>
      <c r="P243" s="22">
        <v>7000</v>
      </c>
      <c r="Q243" s="25">
        <v>2100</v>
      </c>
      <c r="R243" s="4">
        <f>IF(SnapshotTable[[#This Row],[Equity Basis Total]] &gt; 0, SnapshotTable[[#This Row],[Equity Basis Total]] / SnapshotTable[[#This Row],[Equity Shares]], "")</f>
        <v>0.3</v>
      </c>
      <c r="S243" s="254">
        <f>SnapshotTable[[#This Row],[Last Price]] * SnapshotTable[[#This Row],[Equity Shares]]</f>
        <v>6790</v>
      </c>
      <c r="T243" s="254">
        <f>SnapshotTable[[#This Row],[Equity Value]] - SnapshotTable[[#This Row],[Equity Basis Total]]</f>
        <v>4690</v>
      </c>
      <c r="U243" s="255">
        <f>IF(SnapshotTable[[#This Row],[Equity Basis Total]] &gt; 0, SnapshotTable[[#This Row],[Equity G/L]] / SnapshotTable[[#This Row],[Equity Basis Total]], "")</f>
        <v>2.2333333333333334</v>
      </c>
      <c r="V243" s="253"/>
      <c r="W243" s="253"/>
      <c r="X243" s="4" t="str">
        <f>IF(AND(ISNUMBER(SnapshotTable[[#This Row],[Equity Basis Per Share]]),ISNUMBER(SnapshotTable[[#This Row],[Equity Target]])),SnapshotTable[[#This Row],[Equity Target]]-SnapshotTable[[#This Row],[Equity Basis Per Share]],"")</f>
        <v/>
      </c>
      <c r="Y243" s="4" t="str">
        <f>IF(AND(ISNUMBER(SnapshotTable[[#This Row],[Equity Basis Per Share]]),ISNUMBER(SnapshotTable[[#This Row],[Equity Stop Loss]])),SnapshotTable[[#This Row],[Equity Stop Loss]]-SnapshotTable[[#This Row],[Equity Basis Per Share]],"")</f>
        <v/>
      </c>
      <c r="Z243" s="260" t="str">
        <f>IFERROR( TEXT(SnapshotTable[[#This Row],[Equity Max Gain Per Share]] /ABS( SnapshotTable[[#This Row],[Equity Max Loss Per Share]]),"0.0 " ) &amp; " : 1", "")</f>
        <v/>
      </c>
      <c r="AA243" s="31" t="str">
        <f>IF(ISNUMBER(SnapshotTable[[#This Row],[Equity Max Gain Per Share]]),SnapshotTable[[#This Row],[Equity Max Gain Per Share]] * SnapshotTable[[#This Row],[Equity Shares]],"")</f>
        <v/>
      </c>
      <c r="AB243" s="31" t="str">
        <f>IF(ISNUMBER(SnapshotTable[[#This Row],[Equity Max Loss Per Share]]),SnapshotTable[[#This Row],[Equity Max Loss Per Share]] * SnapshotTable[[#This Row],[Equity Shares]],"")</f>
        <v/>
      </c>
      <c r="AC243" s="148"/>
      <c r="AD243" s="149"/>
      <c r="AE243" s="31">
        <f>(SnapshotTable[[#This Row],[Annual Dividend Per Share]] / 4) * SnapshotTable[[#This Row],[Equity Shares]]</f>
        <v>0</v>
      </c>
      <c r="AF243" s="31">
        <f>SnapshotTable[[#This Row],[Quarterly Div $]] * 4</f>
        <v>0</v>
      </c>
      <c r="AG243" s="7">
        <f>IF(SnapshotTable[[#This Row],[Annual Dividend Per Share]]&gt;0, SnapshotTable[[#This Row],[Annual Dividend Per Share]]  / SnapshotTable[[#This Row],[Last Price]], 0)</f>
        <v>0</v>
      </c>
      <c r="AH243" s="149"/>
      <c r="AI243" s="5"/>
      <c r="AJ243" s="136"/>
      <c r="AK243" s="150" t="str">
        <f>IF(ISNUMBER( SnapshotTable[[#This Row],[EBF Target]]),(SnapshotTable[[#This Row],[EBF Target]] - SnapshotTable[[#This Row],[Last Price]]) / SnapshotTable[[#This Row],[Last Price]], "")</f>
        <v/>
      </c>
      <c r="AL243" s="150" t="str">
        <f>IF(AND(SnapshotTable[[#This Row],[Equity Basis Total]] &gt; 0,ISNUMBER( SnapshotTable[[#This Row],[Long Term Target]])), SnapshotTable[[#This Row],[From Basis $]] / SnapshotTable[[#This Row],[Equity Basis Total]], "")</f>
        <v/>
      </c>
      <c r="AM243" s="9">
        <f>IF( AND(SnapshotTable[[#This Row],[Equity Shares]] &gt;0,ISNUMBER( SnapshotTable[[#This Row],[Long Term Target]])),(SnapshotTable[[#This Row],[Equity Shares]] * SnapshotTable[[#This Row],[Long Term Target]]) - SnapshotTable[[#This Row],[Equity Basis Total]],0)</f>
        <v>0</v>
      </c>
      <c r="AN243" s="9">
        <f>IF( AND(SnapshotTable[[#This Row],[Equity Shares]] &gt;0,ISNUMBER( SnapshotTable[[#This Row],[Long Term Target]])),(SnapshotTable[[#This Row],[Equity Shares]]*SnapshotTable[[#This Row],[Long Term Target]]) - SnapshotTable[[#This Row],[Equity Value]],0)</f>
        <v>0</v>
      </c>
      <c r="AO243" s="150" t="str">
        <f>IF(AND(ISNUMBER( SnapshotTable[[#This Row],[Long Term Target]]), ISNUMBER(SnapshotTable[[#This Row],[Last Price]])),(SnapshotTable[[#This Row],[Long Term Target]] - SnapshotTable[[#This Row],[Last Price]]) / SnapshotTable[[#This Row],[Last Price]], "")</f>
        <v/>
      </c>
      <c r="AP243" s="5"/>
      <c r="AQ243" s="38"/>
      <c r="AR243" s="5"/>
      <c r="AS243" s="38"/>
      <c r="AT243" s="144"/>
      <c r="AU243" s="185" t="str">
        <f>IF(OR(SnapshotTable[[#This Row],[LP No Fill]]="Y",SnapshotTable[[#This Row],[SP Is Filled]],SnapshotTable[[#This Row],[LC Not Filled]]="Y",SnapshotTable[[#This Row],[SC Is Filled]]),"Y","")</f>
        <v/>
      </c>
      <c r="AV243" s="205"/>
      <c r="AW243" s="211"/>
      <c r="AX243" s="206"/>
      <c r="AY243" s="205" t="str">
        <f>IF(SnapshotTable[[#This Row],[Implied Move]]&gt;0, SnapshotTable[[#This Row],[Last Price]]-SnapshotTable[[#This Row],[Implied Move]],"")</f>
        <v/>
      </c>
      <c r="AZ243" s="205" t="str">
        <f>IF(SnapshotTable[[#This Row],[Implied Move]]&gt;0, SnapshotTable[[#This Row],[Last Price]] + SnapshotTable[[#This Row],[Implied Move]],"")</f>
        <v/>
      </c>
      <c r="BA243" s="302">
        <v>0.31</v>
      </c>
      <c r="BB243" s="318"/>
      <c r="BC243"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3" s="321"/>
      <c r="BE243" s="5"/>
      <c r="BF243" s="14"/>
      <c r="BG243" s="13"/>
      <c r="BH243" s="13"/>
      <c r="BI243" s="5"/>
      <c r="BJ243" s="134">
        <f>IF(SnapshotTable[[#This Row],[LP Qty]] &gt; 0, SnapshotTable[[#This Row],[LP Qty]] * SnapshotTable[[#This Row],[LP Book Price]] * 100,0)</f>
        <v>0</v>
      </c>
      <c r="BK243" s="134">
        <f>IF(SnapshotTable[[#This Row],[LP Premium]] &gt; 0, SnapshotTable[[#This Row],[LP Qty]] * SnapshotTable[[#This Row],[LP Strike Price]] * 100,0)</f>
        <v>0</v>
      </c>
      <c r="BL243" s="152"/>
      <c r="BM243" s="355" t="str">
        <f>IF(SnapshotTable[[#This Row],[LP Premium]] &gt; 0,SnapshotTable[[#This Row],[LP Exp Date]]-MAX(SnapshotTable[[#This Row],[LP Book Date]], SnapshotTable[[#This Row],[LP Fill Date]]),"")</f>
        <v/>
      </c>
      <c r="BN243" s="355" t="str">
        <f>IF(ISNUMBER( SnapshotTable[[#This Row],[LP Term]]), SnapshotTable[[#This Row],[LP Exp Date]] - MockToday,"")</f>
        <v/>
      </c>
      <c r="BO243" s="161" t="str">
        <f>IF(AND(SnapshotTable[[#This Row],[LP Exp Date]]&gt;0, SnapshotTable[[#This Row],[LP Strike Price]]&gt;0,SnapshotTable[[#This Row],[LP Qty]]&gt;0,SnapshotTable[[#This Row],[LP Book Date]]&gt;0,SnapshotTable[[#This Row],[LP Book Price]]&gt;0,SnapshotTable[[#This Row],[LP Fill Date]]=0),"Y","")</f>
        <v/>
      </c>
      <c r="BP243" s="31" t="str">
        <f>IF(AND(SnapshotTable[[#This Row],[LP No Fill]]&lt;&gt;"Y",SnapshotTable[[#This Row],[LP Contract Value]]&gt;0, SnapshotTable[[#This Row],[LP Qty]]&gt;0), SnapshotTable[[#This Row],[LP Contract Value]]*SnapshotTable[[#This Row],[LP Qty]]*100,"")</f>
        <v/>
      </c>
      <c r="BQ243" s="13"/>
      <c r="BR243" s="5"/>
      <c r="BS243" s="36"/>
      <c r="BT243" s="145"/>
      <c r="BU243" s="13"/>
      <c r="BV243" s="5"/>
      <c r="BW243" s="382" t="b">
        <f>AND(ISNUMBER(SnapshotTable[[#This Row],[SP Exp Date]]), ISNUMBER(SnapshotTable[[#This Row],[SP Strike Price]]), ISNUMBER(SnapshotTable[[#This Row],[SP Qty]]), ISNUMBER(SnapshotTable[[#This Row],[SP Book Date]]), ISNUMBER(SnapshotTable[[#This Row],[SP Book Price]]))</f>
        <v>0</v>
      </c>
      <c r="BX243" s="382" t="b">
        <f>AND(SnapshotTable[[#This Row],[SP Is Booked]], NOT(ISBLANK(SnapshotTable[[#This Row],[SP Fill Date]])))</f>
        <v>0</v>
      </c>
      <c r="BY243" s="33">
        <f>IF(SnapshotTable[[#This Row],[SP Is Booked]], SnapshotTable[[#This Row],[SP Qty]] * SnapshotTable[[#This Row],[SP Book Price]] * 100, 0)</f>
        <v>0</v>
      </c>
      <c r="BZ243" s="339"/>
      <c r="CA243" s="338">
        <f>SnapshotTable[[#This Row],[LP Qty]]</f>
        <v>0</v>
      </c>
      <c r="CB243" s="4" t="str">
        <f>IF(SnapshotTable[[#This Row],[SP Is Booked]], SnapshotTable[[#This Row],[SP Strike Price]] - SnapshotTable[[#This Row],[SP Book Price]], "")</f>
        <v/>
      </c>
      <c r="CC243" s="19" t="str">
        <f>IF(SnapshotTable[[#This Row],[SP Is Booked]],SnapshotTable[[#This Row],[SP Exp Date]]-MAX(SnapshotTable[[#This Row],[SP Book Date]], SnapshotTable[[#This Row],[SP Fill Date]]),"")</f>
        <v/>
      </c>
      <c r="CD243" s="7" t="str">
        <f>IF(SnapshotTable[[#This Row],[SP Is Booked]], SnapshotTable[[#This Row],[SP Book Price]]/SnapshotTable[[#This Row],[SP Strike Price]], "")</f>
        <v/>
      </c>
      <c r="CE243" s="7" t="str">
        <f>IF(ISNUMBER(SnapshotTable[[#This Row],[SP ROO Term]]),SnapshotTable[[#This Row],[SP ROO Term]]*(365/SnapshotTable[[#This Row],[SP Term]]),"")</f>
        <v/>
      </c>
      <c r="CF243" s="221">
        <f>SnapshotTable[[#This Row],[LP Strike Price]] * SnapshotTable[[#This Row],[LP Qty]] * 100</f>
        <v>0</v>
      </c>
      <c r="CG243" s="31">
        <f>IF(ISNUMBER(SnapshotTable[[#This Row],[SP Premium]]), (SnapshotTable[[#This Row],[SP Qty]] * SnapshotTable[[#This Row],[SP Strike Price]]* 100) - SnapshotTable[[#This Row],[LP Protection]], 0)</f>
        <v>0</v>
      </c>
      <c r="CH243" s="7" t="str">
        <f>IF(ISNUMBER(SnapshotTable[[#This Row],[SP Break Even]]),-1 * (SnapshotTable[[#This Row],[SP Break Even]] - SnapshotTable[[#This Row],[Last Price]]) / SnapshotTable[[#This Row],[Last Price]], "")</f>
        <v/>
      </c>
      <c r="CI243" s="31">
        <f>IF(AND(ISNUMBER((SnapshotTable[[#This Row],[SP Potential Spend]])), SnapshotTable[[#This Row],[SP Strike Price]] &gt; SnapshotTable[[#This Row],[Last Price]], SnapshotTable[[#This Row],[SP Is Filled]]), SnapshotTable[[#This Row],[SP Potential Spend]] -  SnapshotTable[[#This Row],[LP Max Value]], 0)</f>
        <v>0</v>
      </c>
      <c r="CJ243" s="229"/>
      <c r="CK243" s="31">
        <f>IF(ISNUMBER(SnapshotTable[[#This Row],[SP Potential Spend]]),IF(ISNUMBER(SnapshotTable[[#This Row],[SP POW]]), SnapshotTable[[#This Row],[SP POW]] * SnapshotTable[[#This Row],[SP Potential Spend]], SnapshotTable[[#This Row],[SP Potential Spend]]), "")</f>
        <v>0</v>
      </c>
      <c r="CL243" s="162">
        <f>IF(NOT(SnapshotTable[[#This Row],[SP Is Filled]]),(SnapshotTable[[#This Row],[SP Qty]] * SnapshotTable[[#This Row],[SP Strike Price]] * 100) - SnapshotTable[[#This Row],[LP Max Value]],"")</f>
        <v>0</v>
      </c>
      <c r="CM243" s="31" t="str">
        <f>IF(SnapshotTable[[#This Row],[SP Actual Spend]]&lt;&gt;0, ((SnapshotTable[[#This Row],[SP Strike Price]]-SnapshotTable[[#This Row],[Last Price]]) *(SnapshotTable[[#This Row],[SP Qty]]*100) - SnapshotTable[[#This Row],[SP Premium]]) * - 1, "")</f>
        <v/>
      </c>
      <c r="CN243" s="76"/>
      <c r="CO243" s="339"/>
      <c r="CP243" s="4" t="str">
        <f>IF(SnapshotTable[[#This Row],[SP Is Filled]], btc_max_buyback_amount(SnapshotTable[[#This Row],[SP Fill Date]],SnapshotTable[[#This Row],[SP Exp Date]], SnapshotTable[[#This Row],[SP Book Price]]),"")</f>
        <v/>
      </c>
      <c r="CQ243" s="76"/>
      <c r="CR243"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3" s="153" t="str">
        <f>IF(SnapshotTable[[#This Row],[SP Is Filled]], btc_next_cutoff_date(SnapshotTable[[#This Row],[SP Fill Date]],SnapshotTable[[#This Row],[SP Exp Date]]),"")</f>
        <v/>
      </c>
      <c r="CT243" s="220" t="str" cm="1">
        <f t="array" ref="CT243">IF(SnapshotTable[[#This Row],[SP Is Filled]], btc_should_buy_back(SnapshotTable[[#This Row],[SP Fill Date]], SnapshotTable[[#This Row],[SP Exp Date]], SnapshotTable[[#This Row],[SP Book Price]], SnapshotTable[[#This Row],[SP Current Ask]], MockToday, SnapshotTable[[#This Row],[SP Buyback Override]]),"")</f>
        <v/>
      </c>
      <c r="CU243" s="154"/>
      <c r="CV243" s="220"/>
      <c r="CW243" s="348" t="str">
        <f>IF(ISNUMBER( SnapshotTable[[#This Row],[SP Term]]), SnapshotTable[[#This Row],[SP Exp Date]] - MockToday,"")</f>
        <v/>
      </c>
      <c r="CX243" s="31" t="str">
        <f>IF(SnapshotTable[[#This Row],[SP Is Filled]],SnapshotTable[[#This Row],[SP Buyback Price to Use]] * 100 * SnapshotTable[[#This Row],[SP Qty]], "")</f>
        <v/>
      </c>
      <c r="CY243" s="4" t="str">
        <f>IF(ISNUMBER(SnapshotTable[[#This Row],[SP Strike Price]]), SnapshotTable[[#This Row],[SP Strike Price]] * (1 - SP_MaxLoss_StrikePct), "")</f>
        <v/>
      </c>
      <c r="CZ243" s="31" t="str">
        <f>IF(ISNUMBER(SnapshotTable[[#This Row],[SP Strike  Stop Per Share]]),SnapshotTable[[#This Row],[SP Premium]] - ((SnapshotTable[[#This Row],[SP Strike Price]]-SnapshotTable[[#This Row],[SP Strike  Stop Per Share]]) *(SnapshotTable[[#This Row],[SP Qty]] * 100)),"")</f>
        <v/>
      </c>
      <c r="DA243" s="4" t="str">
        <f>IF(AND(ISNUMBER(SnapshotTable[[#This Row],[SP Premium]]),SnapshotTable[[#This Row],[SP Premium]]&gt;0), SnapshotTable[[#This Row],[SP Book Price]] * (1 + SP_MaxLoss_OptionPct), "")</f>
        <v/>
      </c>
      <c r="DB243" s="31" t="str">
        <f>IF(ISNUMBER(SnapshotTable[[#This Row],[SP Option  Stop Contract]]),(SnapshotTable[[#This Row],[SP Option  Stop Contract]] *(SnapshotTable[[#This Row],[SP Qty]] * 100) - SnapshotTable[[#This Row],[SP Premium]]),"")</f>
        <v/>
      </c>
      <c r="DC243" s="4"/>
      <c r="DD243" s="4"/>
      <c r="DE243" s="4" t="str">
        <f>IF(AND(SnapshotTable[[#This Row],[SP Qty]]&gt;0, SnapshotTable[[#This Row],[SP Stop To Use]]&gt;0),SnapshotTable[[#This Row],[SP Premium]] - ( SnapshotTable[[#This Row],[SP Qty]] * SnapshotTable[[#This Row],[SP Stop To Use]] * 100), "")</f>
        <v/>
      </c>
      <c r="DF243" s="31" t="str">
        <f>IF(AND(SnapshotTable[[#This Row],[SP Qty]]&gt;0,SnapshotTable[[#This Row],[SP Current Ask]]&gt;0), SnapshotTable[[#This Row],[SP Qty]] * SnapshotTable[[#This Row],[SP Current Ask]] * -100, "")</f>
        <v/>
      </c>
      <c r="DG243" s="31" t="str">
        <f>IF(ISNUMBER((SnapshotTable[[#This Row],[SP Total Value]])), SnapshotTable[[#This Row],[SP Premium]] + SnapshotTable[[#This Row],[SP Total Value]], "")</f>
        <v/>
      </c>
      <c r="DH243" s="272" t="str">
        <f>IF(ISNUMBER((SnapshotTable[[#This Row],[SP Total Value]])), SnapshotTable[[#This Row],[SP Gain Loss]] / SnapshotTable[[#This Row],[SP Premium]], "")</f>
        <v/>
      </c>
      <c r="DI243" s="369"/>
      <c r="DJ243" s="136"/>
      <c r="DK243" s="146"/>
      <c r="DL243" s="13"/>
      <c r="DM243" s="13"/>
      <c r="DO243" s="31">
        <f>IF(SnapshotTable[[#This Row],[LC Symbol Count]]=1, SnapshotTable[[#This Row],[LC Qty]] * SnapshotTable[[#This Row],[LC Book Price]] * 100, 0)</f>
        <v>0</v>
      </c>
      <c r="DP243" s="161" t="str">
        <f>IF(AND(SnapshotTable[[#This Row],[LC Exp Date]]&gt;0, SnapshotTable[[#This Row],[LC Strike Price]]&gt;0,SnapshotTable[[#This Row],[LC Qty]]&gt;0,SnapshotTable[[#This Row],[LC Book Date]]&gt;0,SnapshotTable[[#This Row],[LC Book Price]]&gt;0,SnapshotTable[[#This Row],[LC Fill Date]]=0),"Y","")</f>
        <v/>
      </c>
      <c r="DQ243" s="356" t="str">
        <f>IF(SnapshotTable[[#This Row],[LC Premium]] &gt; 0,SnapshotTable[[#This Row],[LC Exp Date]]-MAX(SnapshotTable[[#This Row],[LC Book Date]], SnapshotTable[[#This Row],[LC Fill Date]]),"")</f>
        <v/>
      </c>
      <c r="DR243" s="356" t="str">
        <f>IF(ISNUMBER(SnapshotTable[[#This Row],[LC Term]]), SnapshotTable[[#This Row],[LC Exp Date]] - MockToday, "")</f>
        <v/>
      </c>
      <c r="DS243" s="219" t="str">
        <f>IF(SnapshotTable[[#This Row],[LC Premium]]&gt;0,SnapshotTable[[#This Row],[LC Strike Price]] + SnapshotTable[[#This Row],[LC Book Price]],"")</f>
        <v/>
      </c>
      <c r="DU243" s="9" t="str">
        <f>IF(AND(SnapshotTable[[#This Row],[LC Symbol Count]]&gt;0, SnapshotTable[[#This Row],[LC Contract Value]]&gt;0), SnapshotTable[[#This Row],[LC Contract Value]] * SnapshotTable[[#This Row],[LC Qty]] * 100, "")</f>
        <v/>
      </c>
      <c r="DV243" s="9" t="str">
        <f>IF(AND(ISNUMBER(SnapshotTable[[#This Row],[LC Total Value]]), SnapshotTable[[#This Row],[LC Not Filled]]&lt;&gt;"Y"), SnapshotTable[[#This Row],[LC Total Value]]-SnapshotTable[[#This Row],[LC Premium]],"")</f>
        <v/>
      </c>
      <c r="DW243" s="225" t="str">
        <f>IF(ISNUMBER(SnapshotTable[[#This Row],[LC Actual Gain Loss]]), SnapshotTable[[#This Row],[LC Actual Gain Loss]] / SnapshotTable[[#This Row],[LC Premium]],"")</f>
        <v/>
      </c>
      <c r="DX243" s="269" t="str">
        <f>IF(ISNUMBER(SnapshotTable[[#This Row],[LC Book Price]]),SnapshotTable[[#This Row],[LC Book Price]] * 1.5,"")</f>
        <v/>
      </c>
      <c r="DY243" s="250" t="str">
        <f>IF(SnapshotTable[[#This Row],[LC Premium]]&gt;0, SnapshotTable[[#This Row],[LC Next Target]] * SnapshotTable[[#This Row],[LC Qty]] * 100,"")</f>
        <v/>
      </c>
      <c r="DZ243" s="250" t="str">
        <f>IF(ISNUMBER(SnapshotTable[[#This Row],[LC Target Gross]]), SnapshotTable[[#This Row],[LC Target Gross]] - SnapshotTable[[#This Row],[LC Premium]], "")</f>
        <v/>
      </c>
      <c r="EA243" s="283" t="str">
        <f>IF(ISNUMBER(SnapshotTable[[#This Row],[LC Target Gain Loss]]), SnapshotTable[[#This Row],[LC Target Gain Loss]]/SnapshotTable[[#This Row],[LC Premium]], "")</f>
        <v/>
      </c>
      <c r="EB243" s="247"/>
      <c r="EC243" s="268" t="str">
        <f>IF(SnapshotTable[[#This Row],[LC Premium]]&gt;0, SnapshotTable[[#This Row],[LC Book Price]] * (1 - LC_StopLoss_Pct),"")</f>
        <v/>
      </c>
      <c r="ED243" s="269"/>
      <c r="EE243" s="268" t="str">
        <f>IF(ISNUMBER(SnapshotTable[[#This Row],[LC Contract Value]]),IF(ISNUMBER(SnapshotTable[[#This Row],[LC Stop Loss Override]]), SnapshotTable[[#This Row],[LC Stop Loss Override]],SnapshotTable[[#This Row],[LC Stop Loss Calc Target]]),"")</f>
        <v/>
      </c>
      <c r="EF243" s="31" t="str">
        <f>IF(ISNUMBER(SnapshotTable[[#This Row],[LC Stop  To Use]]), (SnapshotTable[[#This Row],[LC Stop  To Use]] * SnapshotTable[[#This Row],[LC Qty]] * 100),"")</f>
        <v/>
      </c>
      <c r="EG243" s="9" t="str">
        <f>IF(ISNUMBER(SnapshotTable[[#This Row],[LC Total Value]]),SnapshotTable[[#This Row],[LC Stop Loss Amount]] - SnapshotTable[[#This Row],[LC Premium]],"")</f>
        <v/>
      </c>
      <c r="EH243" s="9">
        <f>IF(ISNUMBER(SnapshotTable[[#This Row],[LC Premium]]), SnapshotTable[[#This Row],[LC Qty]] * 100 * SnapshotTable[[#This Row],[LC Strike Price]], "")</f>
        <v>0</v>
      </c>
      <c r="EI243" s="225" t="str">
        <f>IF(AND(ISNUMBER(SnapshotTable[[#This Row],[LC Total Value]]),SnapshotTable[[#This Row],[LC Total Value]]&gt;0),SnapshotTable[[#This Row],[LC Stop Gain Loss]]  / SnapshotTable[[#This Row],[LC Premium]],"")</f>
        <v/>
      </c>
      <c r="EJ243" s="35">
        <f>IF(ISNUMBER(SnapshotTable[[#This Row],[Equity Shares]]),TRUNC(SnapshotTable[[#This Row],[Equity Shares]] / 100),0) + SnapshotTable[[#This Row],[LC Qty]]</f>
        <v>70</v>
      </c>
      <c r="EK243" s="145"/>
      <c r="EL243" s="136"/>
      <c r="EM243" s="146"/>
      <c r="EN243" s="145"/>
      <c r="EO243" s="145"/>
      <c r="EP243" s="136"/>
      <c r="EQ243" s="382" t="b">
        <f>AND(ISNUMBER(SnapshotTable[[#This Row],[SC Exp Date]]), ISNUMBER(SnapshotTable[[#This Row],[SC Strike Price]]), ISNUMBER(SnapshotTable[[#This Row],[SC Qty]]), ISNUMBER(SnapshotTable[[#This Row],[SC Book Date]]), ISNUMBER(SnapshotTable[[#This Row],[SC Book Price]]))</f>
        <v>0</v>
      </c>
      <c r="ER243" s="382" t="b">
        <f>AND(SnapshotTable[[#This Row],[SC Is Booked]], NOT(ISBLANK(SnapshotTable[[#This Row],[SC Fill Date]])))</f>
        <v>0</v>
      </c>
      <c r="ES243" s="340"/>
      <c r="ET243" s="34" t="str">
        <f>IF(AND(ISNUMBER(SnapshotTable[[#This Row],[SC Exp Date]]), ISNUMBER(SnapshotTable[[#This Row],[SC Book Date]])), SnapshotTable[[#This Row],[SC Exp Date]] - MAX(SnapshotTable[[#This Row],[SC Book Date]], SnapshotTable[[#This Row],[SC Fill Date]]) + 1, "")</f>
        <v/>
      </c>
      <c r="EU243" s="34" t="str">
        <f>IF(ISNUMBER(SnapshotTable[[#This Row],[SC Term]]), SnapshotTable[[#This Row],[SC Exp Date]]- MockToday, "")</f>
        <v/>
      </c>
      <c r="EV243" s="31">
        <f>IF(SnapshotTable[[#This Row],[SC Is Booked]], SnapshotTable[[#This Row],[SC Qty]] * SnapshotTable[[#This Row],[SC Book Price]] * 100, 0)</f>
        <v>0</v>
      </c>
      <c r="EW243" s="4" t="str">
        <f>IF(AND(ISNUMBER(SnapshotTable[[#This Row],[Last Price]]), ISNUMBER( SnapshotTable[[#This Row],[SC Book Price]])), SnapshotTable[[#This Row],[Last Price]] - SnapshotTable[[#This Row],[SC Book Price]],"")</f>
        <v/>
      </c>
      <c r="EX243" s="219" t="str">
        <f>IF(SnapshotTable[[#This Row],[SC Is Booked]],IF(SnapshotTable[[#This Row],[SC Intrinsic Value]] &gt; 0, SnapshotTable[[#This Row],[SC Strike Price]], SnapshotTable[[#This Row],[Last Price]]), "")</f>
        <v/>
      </c>
      <c r="EY243" s="4">
        <f>IF(SnapshotTable[[#This Row],[SC Is Booked]], (MinimumPremiumRequired * SnapshotTable[[#This Row],[SC Basis]] * SnapshotTable[[#This Row],[SC Term]]), 0)</f>
        <v>0</v>
      </c>
      <c r="EZ243" s="268"/>
      <c r="FA243" s="204"/>
      <c r="FB243" s="340"/>
      <c r="FC243" s="4">
        <f>IF(SnapshotTable[[#This Row],[SC Is Filled]], btc_max_buyback_amount(SnapshotTable[[#This Row],[SC Fill Date]],SnapshotTable[[#This Row],[SC Exp Date]], SnapshotTable[[#This Row],[SC Book Price]]),0)</f>
        <v>0</v>
      </c>
      <c r="FD243" s="5"/>
      <c r="FE243" s="142" t="str">
        <f>IF(SnapshotTable[[#This Row],[SC Is Filled]], btc_next_cutoff_date(SnapshotTable[[#This Row],[SC Fill Date]],SnapshotTable[[#This Row],[SC Exp Date]]),"")</f>
        <v/>
      </c>
      <c r="FF243" s="4" t="str" cm="1">
        <f t="array" ref="FF243">IF(SnapshotTable[[#This Row],[SC Is Filled]], btc_should_buy_back(SnapshotTable[[#This Row],[SC Fill Date]], SnapshotTable[[#This Row],[SC Exp Date]], SnapshotTable[[#This Row],[SC Book Price]], SnapshotTable[[#This Row],[SC Current Ask]], MockToday, SnapshotTable[[#This Row],[SC Buyback Override]]),"")</f>
        <v/>
      </c>
      <c r="FG243" s="4">
        <f>IF(SnapshotTable[[#This Row],[SC Is Filled]], MAX(0,SnapshotTable[[#This Row],[Last Price]]  - SnapshotTable[[#This Row],[SC Strike Price]]), 0)</f>
        <v>0</v>
      </c>
      <c r="FH243" s="352">
        <f>IF(SnapshotTable[[#This Row],[SC Is Filled]], IF(ISNUMBER(SnapshotTable[[#This Row],[SC Current Ask]]), SnapshotTable[[#This Row],[SC Current Ask]], SnapshotTable[[#This Row],[SC Book Price]]) - SnapshotTable[[#This Row],[SC Intrinsic Value]], 0)</f>
        <v>0</v>
      </c>
      <c r="FI243" s="141"/>
      <c r="FJ243" s="32" t="str">
        <f>IF(SnapshotTable[[#This Row],[SC Is Filled]],100 * SnapshotTable[[#This Row],[SC Qty]] * IF(ISNUMBER(SnapshotTable[[#This Row],[SC Buyback Override]]), SnapshotTable[[#This Row],[SC Buyback Override]], SnapshotTable[[#This Row],[SC Current Ask]]), "")</f>
        <v/>
      </c>
      <c r="FK243" s="235" t="str">
        <f>IF(SnapshotTable[[#This Row],[SC Time Val]]&gt;0, SnapshotTable[[#This Row],[SC Time Val]] / SnapshotTable[[#This Row],[Last Price]],"")</f>
        <v/>
      </c>
      <c r="FL243" s="280" t="str">
        <f>IF(SnapshotTable[[#This Row],[SC Is Booked]], ((SnapshotTable[[#This Row],[Last Price]] -SnapshotTable[[#This Row],[SC Strike Price]]) / SnapshotTable[[#This Row],[Last Price]]) * -1, "")</f>
        <v/>
      </c>
      <c r="FM243" s="155" t="str">
        <f>IF(SnapshotTable[[#This Row],[SC Is Booked]],  (SnapshotTable[[#This Row],[SC Qty]] * 100 * SnapshotTable[[#This Row],[SC Strike Price]]) - SnapshotTable[[#This Row],[SC Current Ask]], "")</f>
        <v/>
      </c>
      <c r="FN243"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3" s="31" t="str">
        <f>IF(AND(ISNUMBER(SnapshotTable[[#This Row],[SC Exercise Gross]]), ISNUMBER(SnapshotTable[[#This Row],[Equity Basis Per Share]] )), SnapshotTable[[#This Row],[SC Exercise Gross]] - SnapshotTable[[#This Row],[Equity Basis Total]] +  SnapshotTable[[#This Row],[SC Premium]], "")</f>
        <v/>
      </c>
      <c r="FP243" s="5" t="str">
        <f>IF(ISNUMBER(SnapshotTable[[#This Row],[SC Exercise Gross]]), (SnapshotTable[[#This Row],[SC Exercise Gross]]) / (SnapshotTable[[#This Row],[SC Qty]] * 100), "")</f>
        <v/>
      </c>
      <c r="FQ243" s="27" t="str">
        <f>IF(SnapshotTable[[#This Row],[SC Is Booked]],SnapshotTable[[#This Row],[SC Time Val]] /SnapshotTable[[#This Row],[SC Basis]], "")</f>
        <v/>
      </c>
      <c r="FR243" s="27" t="str" cm="1">
        <f t="array" ref="FR243">IF(AND(ISNUMBER(SnapshotTable[[#This Row],[SC Term]]),ISNUMBER(SnapshotTable[[#This Row],[SC Simple ROO]])), EllmanAnnualize(SnapshotTable[[#This Row],[SC DTE]], SnapshotTable[[#This Row],[SC Simple ROO]] ),"")</f>
        <v/>
      </c>
      <c r="FS243" s="4">
        <f>IF(SnapshotTable[[#This Row],[SC Strike Price]] &gt; SnapshotTable[[#This Row],[Last Price]], SnapshotTable[[#This Row],[SC Strike Price]] - SnapshotTable[[#This Row],[Last Price]],0)</f>
        <v>0</v>
      </c>
      <c r="FT243" s="27" t="str">
        <f>IF(AND(ISNUMBER(SnapshotTable[[#This Row],[SC Upside Potential]]), SnapshotTable[[#This Row],[SC Upside Potential]] &gt; 0),(SnapshotTable[[#This Row],[SC Upside Potential]]/ SnapshotTable[[#This Row],[ACB]]),"")</f>
        <v/>
      </c>
      <c r="FU243" s="304" t="str">
        <f>IF(SnapshotTable[[#This Row],[SC Intrinsic Value]] &gt; 0,SnapshotTable[[#This Row],[SC Intrinsic Value]],"")</f>
        <v/>
      </c>
      <c r="FV243" s="27" t="str">
        <f>IF(AND( ISNUMBER( SnapshotTable[[#This Row],[ACB]]),ISNUMBER(SnapshotTable[[#This Row],[SC Downside Protect]])),SnapshotTable[[#This Row],[SC Downside Protect]] / SnapshotTable[[#This Row],[ACB]],"")</f>
        <v/>
      </c>
      <c r="FW243" s="221" t="str">
        <f>IF(AND(ISNUMBER(SnapshotTable[[#This Row],[SC Simple ROO]]),SnapshotTable[[#This Row],[SC Simple ROO]] &gt; 0), SnapshotTable[[#This Row],[SC Premium]] + (SnapshotTable[[#This Row],[SC Qty]] * SnapshotTable[[#This Row],[SC Upside Potential]]), "")</f>
        <v/>
      </c>
      <c r="FX243" s="280" t="str" cm="1">
        <f t="array" ref="FX243">IF(ISNUMBER(SnapshotTable[[#This Row],[SC Max Dollars]]), annualize(SnapshotTable[[#This Row],[SC Term]],(SnapshotTable[[#This Row],[SC Max Dollars]]/SnapshotTable[[#This Row],[SC Basis]])),"")</f>
        <v/>
      </c>
      <c r="FY243" s="221" t="str">
        <f>IF(AND(SnapshotTable[[#This Row],[SC Qty]]&gt;0,SnapshotTable[[#This Row],[SC Current Ask]]&gt;0), SnapshotTable[[#This Row],[SC Qty]] * SnapshotTable[[#This Row],[SC Current Ask]] * -100, "")</f>
        <v/>
      </c>
      <c r="FZ243" s="31" t="str">
        <f>IF(ISNUMBER((SnapshotTable[[#This Row],[SC Current Value]])), SnapshotTable[[#This Row],[SC Premium]] + SnapshotTable[[#This Row],[SC Current Value]], "")</f>
        <v/>
      </c>
      <c r="GA243" s="272" t="str">
        <f>IFERROR( IF(ISNUMBER((SnapshotTable[[#This Row],[SC Current Value]])), SnapshotTable[[#This Row],[SC Gain Loss]] / SnapshotTable[[#This Row],[SC Premium]], ""), "")</f>
        <v/>
      </c>
      <c r="GB243" s="42">
        <f>SnapshotTable[[#This Row],[Equity Shares]] * SaleSharesToConsiderPercentage</f>
        <v>1400</v>
      </c>
      <c r="GC243" s="40">
        <f>SnapshotTable[[#This Row],[Long Term Target]] * SellingPriceToConsiderBasedOnTargetPercentage</f>
        <v>0</v>
      </c>
      <c r="GD243" s="40">
        <f>SnapshotTable[[#This Row],[Last Price]] * (1+ SellingPriceToConsiderBasedOnTargetPercentage)</f>
        <v>1.8915</v>
      </c>
      <c r="GE243" s="41"/>
      <c r="GF243" s="40"/>
      <c r="GG243" s="31">
        <f>SnapshotTable[[#This Row],[Booked Sale Shares]] * SnapshotTable[[#This Row],[Booked Sale Price]]</f>
        <v>0</v>
      </c>
      <c r="GH243" s="31">
        <f>IF(SnapshotTable[[#This Row],[Equity Basis Total]] &gt; 0, SnapshotTable[[#This Row],[Equity Basis Per Share]] * SnapshotTable[[#This Row],[Booked Sale Shares]], "")</f>
        <v>0</v>
      </c>
      <c r="GI243" s="31">
        <f>IF(SnapshotTable[[#This Row],[Sale Proceeds]]&gt;0, SnapshotTable[[#This Row],[Sale Proceeds]] - SnapshotTable[[#This Row],[Sale Basis]], 0)</f>
        <v>0</v>
      </c>
      <c r="GJ243" s="27" t="str">
        <f>IF(SnapshotTable[[#This Row],[Sale G/L]]&gt;0, SnapshotTable[[#This Row],[Sale G/L]] / SnapshotTable[[#This Row],[Sale Basis]], IF(ISNUMBER(SnapshotTable[[#This Row],[SC Exercise P&amp;L (TAX)]]), SnapshotTable[[#This Row],[SC Exercise P&amp;L (TAX)]] / SnapshotTable[[#This Row],[SC Basis]], ""))</f>
        <v/>
      </c>
      <c r="GK243" s="27"/>
      <c r="GL243" s="43" t="str">
        <f>IF(AND(SnapshotTable[[#This Row],[LP Exp Date]]&gt;0,SnapshotTable[[#This Row],[LP Strike Price]]&gt;0), [1]!ToOptionSymbol(SnapshotTable[[#This Row],[Symbol]], SnapshotTable[[#This Row],[LP Strike Price]],SnapshotTable[[#This Row],[LP Exp Date]],1), "")</f>
        <v/>
      </c>
      <c r="GM243" s="30" t="str">
        <f>IF(LEN(SnapshotTable[[#This Row],[LP Symbol]])&gt;0, 1, "")</f>
        <v/>
      </c>
      <c r="GN243" s="43" t="str">
        <f>IF(AND(SnapshotTable[[#This Row],[SP Exp Date]]&gt;0,SnapshotTable[[#This Row],[SP Strike Price]]&gt;0), [1]!ToOptionSymbol(SnapshotTable[[#This Row],[Symbol]], SnapshotTable[[#This Row],[SP Strike Price]],SnapshotTable[[#This Row],[SP Exp Date]],1), "")</f>
        <v/>
      </c>
      <c r="GO243" s="30" t="str">
        <f>IF(LEN(SnapshotTable[[#This Row],[SP Symbol]])&gt;0, 1, "")</f>
        <v/>
      </c>
      <c r="GP243" s="43" t="str">
        <f>IF(AND(SnapshotTable[[#This Row],[LC Exp Date]]&gt;0,SnapshotTable[[#This Row],[LC Strike Price]]&gt;0), [1]!ToOptionSymbol(SnapshotTable[[#This Row],[Symbol]], SnapshotTable[[#This Row],[LC Strike Price]],SnapshotTable[[#This Row],[LC Exp Date]],0), "")</f>
        <v/>
      </c>
      <c r="GQ243" s="30" t="str">
        <f>IF(LEN(SnapshotTable[[#This Row],[LC Symbol]])&gt;0, 1, "")</f>
        <v/>
      </c>
      <c r="GR243" s="43" t="str">
        <f>IF(AND(SnapshotTable[[#This Row],[SC Exp Date]]&gt;0,SnapshotTable[[#This Row],[SC Strike Price]]&gt;0), [1]!ToOptionSymbol(SnapshotTable[[#This Row],[Symbol]], SnapshotTable[[#This Row],[SC Strike Price]],SnapshotTable[[#This Row],[SC Exp Date]],0), "")</f>
        <v/>
      </c>
      <c r="GS243" s="30" t="str">
        <f>IF(LEN(SnapshotTable[[#This Row],[SC Symbol]])&gt;0, 1, "")</f>
        <v/>
      </c>
      <c r="GT243" s="29" t="str">
        <f>IF(COUNT(SnapshotTable[[#This Row],[LP Symbol Count]],SnapshotTable[[#This Row],[SP Symbol Count]],SnapshotTable[[#This Row],[LC Symbol Count]],SnapshotTable[[#This Row],[SC Symbol Count]])&gt;0, "Y", "")</f>
        <v/>
      </c>
      <c r="GU243"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3" s="216">
        <f>MAX(SnapshotTable[[#This Row],[Equity Basis Total]],SnapshotTable[[#This Row],[Equity Value]]) + (SnapshotTable[[#This Row],[SP Potential Spend]]- SnapshotTable[[#This Row],[SP Premium]] + SnapshotTable[[#This Row],[LP Premium]])+ (SnapshotTable[[#This Row],[LC Premium]] - SnapshotTable[[#This Row],[SC Premium]])</f>
        <v>6790</v>
      </c>
      <c r="GW243" s="137">
        <f ca="1">IF(AND(SnapshotTable[[#This Row],[Exposure]] &lt;&gt; 0),SnapshotTable[[#This Row],[Exposure]] / SnapshotTable[[#Totals],[Exposure]], "")</f>
        <v>3.7701067734215804E-2</v>
      </c>
      <c r="GX243" s="13"/>
      <c r="HE243" s="253"/>
      <c r="HF243" s="253"/>
      <c r="HK243" s="1"/>
      <c r="HL243" s="1"/>
      <c r="HM243" s="1"/>
      <c r="HN243" s="1"/>
      <c r="HO243" s="1"/>
      <c r="HP243" s="1"/>
    </row>
    <row r="244" spans="2:224" ht="12.75" hidden="1" customHeight="1" x14ac:dyDescent="0.25">
      <c r="B244" s="12" t="s">
        <v>976</v>
      </c>
      <c r="C244" s="385">
        <v>1.58</v>
      </c>
      <c r="D244" s="200"/>
      <c r="E244" s="39">
        <f>SnapshotTable[[#This Row],[Last Price]]*(1 -CrashDiscount)</f>
        <v>1.343</v>
      </c>
      <c r="F244" s="296" t="s">
        <v>136</v>
      </c>
      <c r="G244" s="296" t="s">
        <v>24</v>
      </c>
      <c r="H244" s="147"/>
      <c r="I244" s="186"/>
      <c r="J244" s="187"/>
      <c r="K244" s="188"/>
      <c r="L244" s="297"/>
      <c r="M244" s="138"/>
      <c r="N244" s="138"/>
      <c r="O244" s="138"/>
      <c r="P244" s="22">
        <v>1000</v>
      </c>
      <c r="Q244" s="25">
        <v>2030</v>
      </c>
      <c r="R244" s="4">
        <f>IF(SnapshotTable[[#This Row],[Equity Basis Total]] &gt; 0, SnapshotTable[[#This Row],[Equity Basis Total]] / SnapshotTable[[#This Row],[Equity Shares]], "")</f>
        <v>2.0299999999999998</v>
      </c>
      <c r="S244" s="254">
        <f>SnapshotTable[[#This Row],[Last Price]] * SnapshotTable[[#This Row],[Equity Shares]]</f>
        <v>1580</v>
      </c>
      <c r="T244" s="254">
        <f>SnapshotTable[[#This Row],[Equity Value]] - SnapshotTable[[#This Row],[Equity Basis Total]]</f>
        <v>-450</v>
      </c>
      <c r="U244" s="255">
        <f>IF(SnapshotTable[[#This Row],[Equity Basis Total]] &gt; 0, SnapshotTable[[#This Row],[Equity G/L]] / SnapshotTable[[#This Row],[Equity Basis Total]], "")</f>
        <v>-0.22167487684729065</v>
      </c>
      <c r="V244" s="253">
        <v>2.5</v>
      </c>
      <c r="W244" s="253"/>
      <c r="X244" s="4">
        <f>IF(AND(ISNUMBER(SnapshotTable[[#This Row],[Equity Basis Per Share]]),ISNUMBER(SnapshotTable[[#This Row],[Equity Target]])),SnapshotTable[[#This Row],[Equity Target]]-SnapshotTable[[#This Row],[Equity Basis Per Share]],"")</f>
        <v>0.4700000000000002</v>
      </c>
      <c r="Y244" s="4" t="str">
        <f>IF(AND(ISNUMBER(SnapshotTable[[#This Row],[Equity Basis Per Share]]),ISNUMBER(SnapshotTable[[#This Row],[Equity Stop Loss]])),SnapshotTable[[#This Row],[Equity Stop Loss]]-SnapshotTable[[#This Row],[Equity Basis Per Share]],"")</f>
        <v/>
      </c>
      <c r="Z244" s="260" t="str">
        <f>IFERROR( TEXT(SnapshotTable[[#This Row],[Equity Max Gain Per Share]] /ABS( SnapshotTable[[#This Row],[Equity Max Loss Per Share]]),"0.0 " ) &amp; " : 1", "")</f>
        <v/>
      </c>
      <c r="AA244" s="31">
        <f>IF(ISNUMBER(SnapshotTable[[#This Row],[Equity Max Gain Per Share]]),SnapshotTable[[#This Row],[Equity Max Gain Per Share]] * SnapshotTable[[#This Row],[Equity Shares]],"")</f>
        <v>470.00000000000017</v>
      </c>
      <c r="AB244" s="31" t="str">
        <f>IF(ISNUMBER(SnapshotTable[[#This Row],[Equity Max Loss Per Share]]),SnapshotTable[[#This Row],[Equity Max Loss Per Share]] * SnapshotTable[[#This Row],[Equity Shares]],"")</f>
        <v/>
      </c>
      <c r="AC244" s="148"/>
      <c r="AD244" s="149"/>
      <c r="AE244" s="31">
        <f>(SnapshotTable[[#This Row],[Annual Dividend Per Share]] / 4) * SnapshotTable[[#This Row],[Equity Shares]]</f>
        <v>0</v>
      </c>
      <c r="AF244" s="31">
        <f>SnapshotTable[[#This Row],[Quarterly Div $]] * 4</f>
        <v>0</v>
      </c>
      <c r="AG244" s="7">
        <f>IF(SnapshotTable[[#This Row],[Annual Dividend Per Share]]&gt;0, SnapshotTable[[#This Row],[Annual Dividend Per Share]]  / SnapshotTable[[#This Row],[Last Price]], 0)</f>
        <v>0</v>
      </c>
      <c r="AH244" s="149"/>
      <c r="AI244" s="5"/>
      <c r="AJ244" s="136"/>
      <c r="AK244" s="150" t="str">
        <f>IF(ISNUMBER( SnapshotTable[[#This Row],[EBF Target]]),(SnapshotTable[[#This Row],[EBF Target]] - SnapshotTable[[#This Row],[Last Price]]) / SnapshotTable[[#This Row],[Last Price]], "")</f>
        <v/>
      </c>
      <c r="AL244" s="150" t="str">
        <f>IF(AND(SnapshotTable[[#This Row],[Equity Basis Total]] &gt; 0,ISNUMBER( SnapshotTable[[#This Row],[Long Term Target]])), SnapshotTable[[#This Row],[From Basis $]] / SnapshotTable[[#This Row],[Equity Basis Total]], "")</f>
        <v/>
      </c>
      <c r="AM244" s="9">
        <f>IF( AND(SnapshotTable[[#This Row],[Equity Shares]] &gt;0,ISNUMBER( SnapshotTable[[#This Row],[Long Term Target]])),(SnapshotTable[[#This Row],[Equity Shares]] * SnapshotTable[[#This Row],[Long Term Target]]) - SnapshotTable[[#This Row],[Equity Basis Total]],0)</f>
        <v>0</v>
      </c>
      <c r="AN244" s="9">
        <f>IF( AND(SnapshotTable[[#This Row],[Equity Shares]] &gt;0,ISNUMBER( SnapshotTable[[#This Row],[Long Term Target]])),(SnapshotTable[[#This Row],[Equity Shares]]*SnapshotTable[[#This Row],[Long Term Target]]) - SnapshotTable[[#This Row],[Equity Value]],0)</f>
        <v>0</v>
      </c>
      <c r="AO244" s="150" t="str">
        <f>IF(AND(ISNUMBER( SnapshotTable[[#This Row],[Long Term Target]]), ISNUMBER(SnapshotTable[[#This Row],[Last Price]])),(SnapshotTable[[#This Row],[Long Term Target]] - SnapshotTable[[#This Row],[Last Price]]) / SnapshotTable[[#This Row],[Last Price]], "")</f>
        <v/>
      </c>
      <c r="AP244" s="5"/>
      <c r="AQ244" s="38"/>
      <c r="AR244" s="5"/>
      <c r="AS244" s="38"/>
      <c r="AT244" s="144"/>
      <c r="AU244" s="185" t="str">
        <f>IF(OR(SnapshotTable[[#This Row],[LP No Fill]]="Y",SnapshotTable[[#This Row],[SP Is Filled]],SnapshotTable[[#This Row],[LC Not Filled]]="Y",SnapshotTable[[#This Row],[SC Is Filled]]),"Y","")</f>
        <v/>
      </c>
      <c r="AV244" s="205"/>
      <c r="AW244" s="211"/>
      <c r="AX244" s="206"/>
      <c r="AY244" s="205" t="str">
        <f>IF(SnapshotTable[[#This Row],[Implied Move]]&gt;0, SnapshotTable[[#This Row],[Last Price]]-SnapshotTable[[#This Row],[Implied Move]],"")</f>
        <v/>
      </c>
      <c r="AZ244" s="205" t="str">
        <f>IF(SnapshotTable[[#This Row],[Implied Move]]&gt;0, SnapshotTable[[#This Row],[Last Price]] + SnapshotTable[[#This Row],[Implied Move]],"")</f>
        <v/>
      </c>
      <c r="BA244" s="302">
        <v>1.68</v>
      </c>
      <c r="BB244" s="318"/>
      <c r="BC244"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4" s="321"/>
      <c r="BE244" s="5"/>
      <c r="BF244" s="14"/>
      <c r="BG244" s="13"/>
      <c r="BH244" s="13"/>
      <c r="BI244" s="5"/>
      <c r="BJ244" s="134">
        <f>IF(SnapshotTable[[#This Row],[LP Qty]] &gt; 0, SnapshotTable[[#This Row],[LP Qty]] * SnapshotTable[[#This Row],[LP Book Price]] * 100,0)</f>
        <v>0</v>
      </c>
      <c r="BK244" s="134">
        <f>IF(SnapshotTable[[#This Row],[LP Premium]] &gt; 0, SnapshotTable[[#This Row],[LP Qty]] * SnapshotTable[[#This Row],[LP Strike Price]] * 100,0)</f>
        <v>0</v>
      </c>
      <c r="BL244" s="152"/>
      <c r="BM244" s="355" t="str">
        <f>IF(SnapshotTable[[#This Row],[LP Premium]] &gt; 0,SnapshotTable[[#This Row],[LP Exp Date]]-MAX(SnapshotTable[[#This Row],[LP Book Date]], SnapshotTable[[#This Row],[LP Fill Date]]),"")</f>
        <v/>
      </c>
      <c r="BN244" s="355" t="str">
        <f>IF(ISNUMBER( SnapshotTable[[#This Row],[LP Term]]), SnapshotTable[[#This Row],[LP Exp Date]] - MockToday,"")</f>
        <v/>
      </c>
      <c r="BO244" s="161" t="str">
        <f>IF(AND(SnapshotTable[[#This Row],[LP Exp Date]]&gt;0, SnapshotTable[[#This Row],[LP Strike Price]]&gt;0,SnapshotTable[[#This Row],[LP Qty]]&gt;0,SnapshotTable[[#This Row],[LP Book Date]]&gt;0,SnapshotTable[[#This Row],[LP Book Price]]&gt;0,SnapshotTable[[#This Row],[LP Fill Date]]=0),"Y","")</f>
        <v/>
      </c>
      <c r="BP244" s="31" t="str">
        <f>IF(AND(SnapshotTable[[#This Row],[LP No Fill]]&lt;&gt;"Y",SnapshotTable[[#This Row],[LP Contract Value]]&gt;0, SnapshotTable[[#This Row],[LP Qty]]&gt;0), SnapshotTable[[#This Row],[LP Contract Value]]*SnapshotTable[[#This Row],[LP Qty]]*100,"")</f>
        <v/>
      </c>
      <c r="BQ244" s="13"/>
      <c r="BR244" s="5"/>
      <c r="BS244" s="36"/>
      <c r="BT244" s="145"/>
      <c r="BU244" s="13"/>
      <c r="BV244" s="5"/>
      <c r="BW244" s="382" t="b">
        <f>AND(ISNUMBER(SnapshotTable[[#This Row],[SP Exp Date]]), ISNUMBER(SnapshotTable[[#This Row],[SP Strike Price]]), ISNUMBER(SnapshotTable[[#This Row],[SP Qty]]), ISNUMBER(SnapshotTable[[#This Row],[SP Book Date]]), ISNUMBER(SnapshotTable[[#This Row],[SP Book Price]]))</f>
        <v>0</v>
      </c>
      <c r="BX244" s="382" t="b">
        <f>AND(SnapshotTable[[#This Row],[SP Is Booked]], NOT(ISBLANK(SnapshotTable[[#This Row],[SP Fill Date]])))</f>
        <v>0</v>
      </c>
      <c r="BY244" s="33">
        <f>IF(SnapshotTable[[#This Row],[SP Is Booked]], SnapshotTable[[#This Row],[SP Qty]] * SnapshotTable[[#This Row],[SP Book Price]] * 100, 0)</f>
        <v>0</v>
      </c>
      <c r="BZ244" s="339"/>
      <c r="CA244" s="338">
        <f>SnapshotTable[[#This Row],[LP Qty]]</f>
        <v>0</v>
      </c>
      <c r="CB244" s="4" t="str">
        <f>IF(SnapshotTable[[#This Row],[SP Is Booked]], SnapshotTable[[#This Row],[SP Strike Price]] - SnapshotTable[[#This Row],[SP Book Price]], "")</f>
        <v/>
      </c>
      <c r="CC244" s="19" t="str">
        <f>IF(SnapshotTable[[#This Row],[SP Is Booked]],SnapshotTable[[#This Row],[SP Exp Date]]-MAX(SnapshotTable[[#This Row],[SP Book Date]], SnapshotTable[[#This Row],[SP Fill Date]]),"")</f>
        <v/>
      </c>
      <c r="CD244" s="7" t="str">
        <f>IF(SnapshotTable[[#This Row],[SP Is Booked]], SnapshotTable[[#This Row],[SP Book Price]]/SnapshotTable[[#This Row],[SP Strike Price]], "")</f>
        <v/>
      </c>
      <c r="CE244" s="7" t="str">
        <f>IF(ISNUMBER(SnapshotTable[[#This Row],[SP ROO Term]]),SnapshotTable[[#This Row],[SP ROO Term]]*(365/SnapshotTable[[#This Row],[SP Term]]),"")</f>
        <v/>
      </c>
      <c r="CF244" s="221">
        <f>SnapshotTable[[#This Row],[LP Strike Price]] * SnapshotTable[[#This Row],[LP Qty]] * 100</f>
        <v>0</v>
      </c>
      <c r="CG244" s="31">
        <f>IF(ISNUMBER(SnapshotTable[[#This Row],[SP Premium]]), (SnapshotTable[[#This Row],[SP Qty]] * SnapshotTable[[#This Row],[SP Strike Price]]* 100) - SnapshotTable[[#This Row],[LP Protection]], 0)</f>
        <v>0</v>
      </c>
      <c r="CH244" s="7" t="str">
        <f>IF(ISNUMBER(SnapshotTable[[#This Row],[SP Break Even]]),-1 * (SnapshotTable[[#This Row],[SP Break Even]] - SnapshotTable[[#This Row],[Last Price]]) / SnapshotTable[[#This Row],[Last Price]], "")</f>
        <v/>
      </c>
      <c r="CI244" s="31">
        <f>IF(AND(ISNUMBER((SnapshotTable[[#This Row],[SP Potential Spend]])), SnapshotTable[[#This Row],[SP Strike Price]] &gt; SnapshotTable[[#This Row],[Last Price]], SnapshotTable[[#This Row],[SP Is Filled]]), SnapshotTable[[#This Row],[SP Potential Spend]] -  SnapshotTable[[#This Row],[LP Max Value]], 0)</f>
        <v>0</v>
      </c>
      <c r="CJ244" s="229"/>
      <c r="CK244" s="31">
        <f>IF(ISNUMBER(SnapshotTable[[#This Row],[SP Potential Spend]]),IF(ISNUMBER(SnapshotTable[[#This Row],[SP POW]]), SnapshotTable[[#This Row],[SP POW]] * SnapshotTable[[#This Row],[SP Potential Spend]], SnapshotTable[[#This Row],[SP Potential Spend]]), "")</f>
        <v>0</v>
      </c>
      <c r="CL244" s="162">
        <f>IF(NOT(SnapshotTable[[#This Row],[SP Is Filled]]),(SnapshotTable[[#This Row],[SP Qty]] * SnapshotTable[[#This Row],[SP Strike Price]] * 100) - SnapshotTable[[#This Row],[LP Max Value]],"")</f>
        <v>0</v>
      </c>
      <c r="CM244" s="31" t="str">
        <f>IF(SnapshotTable[[#This Row],[SP Actual Spend]]&lt;&gt;0, ((SnapshotTable[[#This Row],[SP Strike Price]]-SnapshotTable[[#This Row],[Last Price]]) *(SnapshotTable[[#This Row],[SP Qty]]*100) - SnapshotTable[[#This Row],[SP Premium]]) * - 1, "")</f>
        <v/>
      </c>
      <c r="CN244" s="76"/>
      <c r="CO244" s="339"/>
      <c r="CP244" s="4" t="str">
        <f>IF(SnapshotTable[[#This Row],[SP Is Filled]], btc_max_buyback_amount(SnapshotTable[[#This Row],[SP Fill Date]],SnapshotTable[[#This Row],[SP Exp Date]], SnapshotTable[[#This Row],[SP Book Price]]),"")</f>
        <v/>
      </c>
      <c r="CQ244" s="76"/>
      <c r="CR244"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4" s="153" t="str">
        <f>IF(SnapshotTable[[#This Row],[SP Is Filled]], btc_next_cutoff_date(SnapshotTable[[#This Row],[SP Fill Date]],SnapshotTable[[#This Row],[SP Exp Date]]),"")</f>
        <v/>
      </c>
      <c r="CT244" s="220" t="str" cm="1">
        <f t="array" ref="CT244">IF(SnapshotTable[[#This Row],[SP Is Filled]], btc_should_buy_back(SnapshotTable[[#This Row],[SP Fill Date]], SnapshotTable[[#This Row],[SP Exp Date]], SnapshotTable[[#This Row],[SP Book Price]], SnapshotTable[[#This Row],[SP Current Ask]], MockToday, SnapshotTable[[#This Row],[SP Buyback Override]]),"")</f>
        <v/>
      </c>
      <c r="CU244" s="141"/>
      <c r="CV244" s="220"/>
      <c r="CW244" s="348" t="str">
        <f>IF(ISNUMBER( SnapshotTable[[#This Row],[SP Term]]), SnapshotTable[[#This Row],[SP Exp Date]] - MockToday,"")</f>
        <v/>
      </c>
      <c r="CX244" s="31" t="str">
        <f>IF(SnapshotTable[[#This Row],[SP Is Filled]],SnapshotTable[[#This Row],[SP Buyback Price to Use]] * 100 * SnapshotTable[[#This Row],[SP Qty]], "")</f>
        <v/>
      </c>
      <c r="CY244" s="4" t="str">
        <f>IF(ISNUMBER(SnapshotTable[[#This Row],[SP Strike Price]]), SnapshotTable[[#This Row],[SP Strike Price]] * (1 - SP_MaxLoss_StrikePct), "")</f>
        <v/>
      </c>
      <c r="CZ244" s="31" t="str">
        <f>IF(ISNUMBER(SnapshotTable[[#This Row],[SP Strike  Stop Per Share]]),SnapshotTable[[#This Row],[SP Premium]] - ((SnapshotTable[[#This Row],[SP Strike Price]]-SnapshotTable[[#This Row],[SP Strike  Stop Per Share]]) *(SnapshotTable[[#This Row],[SP Qty]] * 100)),"")</f>
        <v/>
      </c>
      <c r="DA244" s="4" t="str">
        <f>IF(AND(ISNUMBER(SnapshotTable[[#This Row],[SP Premium]]),SnapshotTable[[#This Row],[SP Premium]]&gt;0), SnapshotTable[[#This Row],[SP Book Price]] * (1 + SP_MaxLoss_OptionPct), "")</f>
        <v/>
      </c>
      <c r="DB244" s="31" t="str">
        <f>IF(ISNUMBER(SnapshotTable[[#This Row],[SP Option  Stop Contract]]),(SnapshotTable[[#This Row],[SP Option  Stop Contract]] *(SnapshotTable[[#This Row],[SP Qty]] * 100) - SnapshotTable[[#This Row],[SP Premium]]),"")</f>
        <v/>
      </c>
      <c r="DC244" s="4"/>
      <c r="DD244" s="4"/>
      <c r="DE244" s="4" t="str">
        <f>IF(AND(SnapshotTable[[#This Row],[SP Qty]]&gt;0, SnapshotTable[[#This Row],[SP Stop To Use]]&gt;0),SnapshotTable[[#This Row],[SP Premium]] - ( SnapshotTable[[#This Row],[SP Qty]] * SnapshotTable[[#This Row],[SP Stop To Use]] * 100), "")</f>
        <v/>
      </c>
      <c r="DF244" s="31" t="str">
        <f>IF(AND(SnapshotTable[[#This Row],[SP Qty]]&gt;0,SnapshotTable[[#This Row],[SP Current Ask]]&gt;0), SnapshotTable[[#This Row],[SP Qty]] * SnapshotTable[[#This Row],[SP Current Ask]] * -100, "")</f>
        <v/>
      </c>
      <c r="DG244" s="31" t="str">
        <f>IF(ISNUMBER((SnapshotTable[[#This Row],[SP Total Value]])), SnapshotTable[[#This Row],[SP Premium]] + SnapshotTable[[#This Row],[SP Total Value]], "")</f>
        <v/>
      </c>
      <c r="DH244" s="272" t="str">
        <f>IF(ISNUMBER((SnapshotTable[[#This Row],[SP Total Value]])), SnapshotTable[[#This Row],[SP Gain Loss]] / SnapshotTable[[#This Row],[SP Premium]], "")</f>
        <v/>
      </c>
      <c r="DI244" s="369"/>
      <c r="DJ244" s="136"/>
      <c r="DK244" s="146"/>
      <c r="DL244" s="13"/>
      <c r="DM244" s="13"/>
      <c r="DO244" s="31">
        <f>IF(SnapshotTable[[#This Row],[LC Symbol Count]]=1, SnapshotTable[[#This Row],[LC Qty]] * SnapshotTable[[#This Row],[LC Book Price]] * 100, 0)</f>
        <v>0</v>
      </c>
      <c r="DP244" s="161" t="str">
        <f>IF(AND(SnapshotTable[[#This Row],[LC Exp Date]]&gt;0, SnapshotTable[[#This Row],[LC Strike Price]]&gt;0,SnapshotTable[[#This Row],[LC Qty]]&gt;0,SnapshotTable[[#This Row],[LC Book Date]]&gt;0,SnapshotTable[[#This Row],[LC Book Price]]&gt;0,SnapshotTable[[#This Row],[LC Fill Date]]=0),"Y","")</f>
        <v/>
      </c>
      <c r="DQ244" s="356" t="str">
        <f>IF(SnapshotTable[[#This Row],[LC Premium]] &gt; 0,SnapshotTable[[#This Row],[LC Exp Date]]-MAX(SnapshotTable[[#This Row],[LC Book Date]], SnapshotTable[[#This Row],[LC Fill Date]]),"")</f>
        <v/>
      </c>
      <c r="DR244" s="356" t="str">
        <f>IF(ISNUMBER(SnapshotTable[[#This Row],[LC Term]]), SnapshotTable[[#This Row],[LC Exp Date]] - MockToday, "")</f>
        <v/>
      </c>
      <c r="DS244" s="219" t="str">
        <f>IF(SnapshotTable[[#This Row],[LC Premium]]&gt;0,SnapshotTable[[#This Row],[LC Strike Price]] + SnapshotTable[[#This Row],[LC Book Price]],"")</f>
        <v/>
      </c>
      <c r="DU244" s="9" t="str">
        <f>IF(AND(SnapshotTable[[#This Row],[LC Symbol Count]]&gt;0, SnapshotTable[[#This Row],[LC Contract Value]]&gt;0), SnapshotTable[[#This Row],[LC Contract Value]] * SnapshotTable[[#This Row],[LC Qty]] * 100, "")</f>
        <v/>
      </c>
      <c r="DV244" s="9" t="str">
        <f>IF(AND(ISNUMBER(SnapshotTable[[#This Row],[LC Total Value]]), SnapshotTable[[#This Row],[LC Not Filled]]&lt;&gt;"Y"), SnapshotTable[[#This Row],[LC Total Value]]-SnapshotTable[[#This Row],[LC Premium]],"")</f>
        <v/>
      </c>
      <c r="DW244" s="225" t="str">
        <f>IF(ISNUMBER(SnapshotTable[[#This Row],[LC Actual Gain Loss]]), SnapshotTable[[#This Row],[LC Actual Gain Loss]] / SnapshotTable[[#This Row],[LC Premium]],"")</f>
        <v/>
      </c>
      <c r="DX244" s="269" t="str">
        <f>IF(ISNUMBER(SnapshotTable[[#This Row],[LC Book Price]]),SnapshotTable[[#This Row],[LC Book Price]] * 1.5,"")</f>
        <v/>
      </c>
      <c r="DY244" s="250" t="str">
        <f>IF(SnapshotTable[[#This Row],[LC Premium]]&gt;0, SnapshotTable[[#This Row],[LC Next Target]] * SnapshotTable[[#This Row],[LC Qty]] * 100,"")</f>
        <v/>
      </c>
      <c r="DZ244" s="250" t="str">
        <f>IF(ISNUMBER(SnapshotTable[[#This Row],[LC Target Gross]]), SnapshotTable[[#This Row],[LC Target Gross]] - SnapshotTable[[#This Row],[LC Premium]], "")</f>
        <v/>
      </c>
      <c r="EA244" s="283" t="str">
        <f>IF(ISNUMBER(SnapshotTable[[#This Row],[LC Target Gain Loss]]), SnapshotTable[[#This Row],[LC Target Gain Loss]]/SnapshotTable[[#This Row],[LC Premium]], "")</f>
        <v/>
      </c>
      <c r="EB244" s="247"/>
      <c r="EC244" s="268" t="str">
        <f>IF(SnapshotTable[[#This Row],[LC Premium]]&gt;0, SnapshotTable[[#This Row],[LC Book Price]] * (1 - LC_StopLoss_Pct),"")</f>
        <v/>
      </c>
      <c r="ED244" s="269"/>
      <c r="EE244" s="268" t="str">
        <f>IF(ISNUMBER(SnapshotTable[[#This Row],[LC Contract Value]]),IF(ISNUMBER(SnapshotTable[[#This Row],[LC Stop Loss Override]]), SnapshotTable[[#This Row],[LC Stop Loss Override]],SnapshotTable[[#This Row],[LC Stop Loss Calc Target]]),"")</f>
        <v/>
      </c>
      <c r="EF244" s="31" t="str">
        <f>IF(ISNUMBER(SnapshotTable[[#This Row],[LC Stop  To Use]]), (SnapshotTable[[#This Row],[LC Stop  To Use]] * SnapshotTable[[#This Row],[LC Qty]] * 100),"")</f>
        <v/>
      </c>
      <c r="EG244" s="9" t="str">
        <f>IF(ISNUMBER(SnapshotTable[[#This Row],[LC Total Value]]),SnapshotTable[[#This Row],[LC Stop Loss Amount]] - SnapshotTable[[#This Row],[LC Premium]],"")</f>
        <v/>
      </c>
      <c r="EH244" s="9">
        <f>IF(ISNUMBER(SnapshotTable[[#This Row],[LC Premium]]), SnapshotTable[[#This Row],[LC Qty]] * 100 * SnapshotTable[[#This Row],[LC Strike Price]], "")</f>
        <v>0</v>
      </c>
      <c r="EI244" s="225" t="str">
        <f>IF(AND(ISNUMBER(SnapshotTable[[#This Row],[LC Total Value]]),SnapshotTable[[#This Row],[LC Total Value]]&gt;0),SnapshotTable[[#This Row],[LC Stop Gain Loss]]  / SnapshotTable[[#This Row],[LC Premium]],"")</f>
        <v/>
      </c>
      <c r="EJ244" s="35">
        <f>IF(ISNUMBER(SnapshotTable[[#This Row],[Equity Shares]]),TRUNC(SnapshotTable[[#This Row],[Equity Shares]] / 100),0) + SnapshotTable[[#This Row],[LC Qty]]</f>
        <v>10</v>
      </c>
      <c r="EK244" s="145"/>
      <c r="EL244" s="136"/>
      <c r="EM244" s="146"/>
      <c r="EN244" s="145"/>
      <c r="EO244" s="145"/>
      <c r="EP244" s="136"/>
      <c r="EQ244" s="382" t="b">
        <f>AND(ISNUMBER(SnapshotTable[[#This Row],[SC Exp Date]]), ISNUMBER(SnapshotTable[[#This Row],[SC Strike Price]]), ISNUMBER(SnapshotTable[[#This Row],[SC Qty]]), ISNUMBER(SnapshotTable[[#This Row],[SC Book Date]]), ISNUMBER(SnapshotTable[[#This Row],[SC Book Price]]))</f>
        <v>0</v>
      </c>
      <c r="ER244" s="382" t="b">
        <f>AND(SnapshotTable[[#This Row],[SC Is Booked]], NOT(ISBLANK(SnapshotTable[[#This Row],[SC Fill Date]])))</f>
        <v>0</v>
      </c>
      <c r="ES244" s="340"/>
      <c r="ET244" s="34" t="str">
        <f>IF(AND(ISNUMBER(SnapshotTable[[#This Row],[SC Exp Date]]), ISNUMBER(SnapshotTable[[#This Row],[SC Book Date]])), SnapshotTable[[#This Row],[SC Exp Date]] - MAX(SnapshotTable[[#This Row],[SC Book Date]], SnapshotTable[[#This Row],[SC Fill Date]]) + 1, "")</f>
        <v/>
      </c>
      <c r="EU244" s="34" t="str">
        <f>IF(ISNUMBER(SnapshotTable[[#This Row],[SC Term]]), SnapshotTable[[#This Row],[SC Exp Date]]- MockToday, "")</f>
        <v/>
      </c>
      <c r="EV244" s="31">
        <f>IF(SnapshotTable[[#This Row],[SC Is Booked]], SnapshotTable[[#This Row],[SC Qty]] * SnapshotTable[[#This Row],[SC Book Price]] * 100, 0)</f>
        <v>0</v>
      </c>
      <c r="EW244" s="4" t="str">
        <f>IF(AND(ISNUMBER(SnapshotTable[[#This Row],[Last Price]]), ISNUMBER( SnapshotTable[[#This Row],[SC Book Price]])), SnapshotTable[[#This Row],[Last Price]] - SnapshotTable[[#This Row],[SC Book Price]],"")</f>
        <v/>
      </c>
      <c r="EX244" s="219" t="str">
        <f>IF(SnapshotTable[[#This Row],[SC Is Booked]],IF(SnapshotTable[[#This Row],[SC Intrinsic Value]] &gt; 0, SnapshotTable[[#This Row],[SC Strike Price]], SnapshotTable[[#This Row],[Last Price]]), "")</f>
        <v/>
      </c>
      <c r="EY244" s="4">
        <f>IF(SnapshotTable[[#This Row],[SC Is Booked]], (MinimumPremiumRequired * SnapshotTable[[#This Row],[SC Basis]] * SnapshotTable[[#This Row],[SC Term]]), 0)</f>
        <v>0</v>
      </c>
      <c r="EZ244" s="268"/>
      <c r="FA244" s="204"/>
      <c r="FB244" s="340"/>
      <c r="FC244" s="4">
        <f>IF(SnapshotTable[[#This Row],[SC Is Filled]], btc_max_buyback_amount(SnapshotTable[[#This Row],[SC Fill Date]],SnapshotTable[[#This Row],[SC Exp Date]], SnapshotTable[[#This Row],[SC Book Price]]),0)</f>
        <v>0</v>
      </c>
      <c r="FD244" s="5"/>
      <c r="FE244" s="142" t="str">
        <f>IF(SnapshotTable[[#This Row],[SC Is Filled]], btc_next_cutoff_date(SnapshotTable[[#This Row],[SC Fill Date]],SnapshotTable[[#This Row],[SC Exp Date]]),"")</f>
        <v/>
      </c>
      <c r="FF244" s="4" t="str" cm="1">
        <f t="array" ref="FF244">IF(SnapshotTable[[#This Row],[SC Is Filled]], btc_should_buy_back(SnapshotTable[[#This Row],[SC Fill Date]], SnapshotTable[[#This Row],[SC Exp Date]], SnapshotTable[[#This Row],[SC Book Price]], SnapshotTable[[#This Row],[SC Current Ask]], MockToday, SnapshotTable[[#This Row],[SC Buyback Override]]),"")</f>
        <v/>
      </c>
      <c r="FG244" s="4">
        <f>IF(SnapshotTable[[#This Row],[SC Is Filled]], MAX(0,SnapshotTable[[#This Row],[Last Price]]  - SnapshotTable[[#This Row],[SC Strike Price]]), 0)</f>
        <v>0</v>
      </c>
      <c r="FH244" s="352">
        <f>IF(SnapshotTable[[#This Row],[SC Is Filled]], IF(ISNUMBER(SnapshotTable[[#This Row],[SC Current Ask]]), SnapshotTable[[#This Row],[SC Current Ask]], SnapshotTable[[#This Row],[SC Book Price]]) - SnapshotTable[[#This Row],[SC Intrinsic Value]], 0)</f>
        <v>0</v>
      </c>
      <c r="FI244" s="141"/>
      <c r="FJ244" s="32" t="str">
        <f>IF(SnapshotTable[[#This Row],[SC Is Filled]],100 * SnapshotTable[[#This Row],[SC Qty]] * IF(ISNUMBER(SnapshotTable[[#This Row],[SC Buyback Override]]), SnapshotTable[[#This Row],[SC Buyback Override]], SnapshotTable[[#This Row],[SC Current Ask]]), "")</f>
        <v/>
      </c>
      <c r="FK244" s="235" t="str">
        <f>IF(SnapshotTable[[#This Row],[SC Time Val]]&gt;0, SnapshotTable[[#This Row],[SC Time Val]] / SnapshotTable[[#This Row],[Last Price]],"")</f>
        <v/>
      </c>
      <c r="FL244" s="280" t="str">
        <f>IF(SnapshotTable[[#This Row],[SC Is Booked]], ((SnapshotTable[[#This Row],[Last Price]] -SnapshotTable[[#This Row],[SC Strike Price]]) / SnapshotTable[[#This Row],[Last Price]]) * -1, "")</f>
        <v/>
      </c>
      <c r="FM244" s="155" t="str">
        <f>IF(SnapshotTable[[#This Row],[SC Is Booked]],  (SnapshotTable[[#This Row],[SC Qty]] * 100 * SnapshotTable[[#This Row],[SC Strike Price]]) - SnapshotTable[[#This Row],[SC Current Ask]], "")</f>
        <v/>
      </c>
      <c r="FN244"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4" s="31" t="str">
        <f>IF(AND(ISNUMBER(SnapshotTable[[#This Row],[SC Exercise Gross]]), ISNUMBER(SnapshotTable[[#This Row],[Equity Basis Per Share]] )), SnapshotTable[[#This Row],[SC Exercise Gross]] - SnapshotTable[[#This Row],[Equity Basis Total]] +  SnapshotTable[[#This Row],[SC Premium]], "")</f>
        <v/>
      </c>
      <c r="FP244" s="5" t="str">
        <f>IF(ISNUMBER(SnapshotTable[[#This Row],[SC Exercise Gross]]), (SnapshotTable[[#This Row],[SC Exercise Gross]]) / (SnapshotTable[[#This Row],[SC Qty]] * 100), "")</f>
        <v/>
      </c>
      <c r="FQ244" s="27" t="str">
        <f>IF(SnapshotTable[[#This Row],[SC Is Booked]],SnapshotTable[[#This Row],[SC Time Val]] /SnapshotTable[[#This Row],[SC Basis]], "")</f>
        <v/>
      </c>
      <c r="FR244" s="27" t="str" cm="1">
        <f t="array" ref="FR244">IF(AND(ISNUMBER(SnapshotTable[[#This Row],[SC Term]]),ISNUMBER(SnapshotTable[[#This Row],[SC Simple ROO]])), EllmanAnnualize(SnapshotTable[[#This Row],[SC DTE]], SnapshotTable[[#This Row],[SC Simple ROO]] ),"")</f>
        <v/>
      </c>
      <c r="FS244" s="4">
        <f>IF(SnapshotTable[[#This Row],[SC Strike Price]] &gt; SnapshotTable[[#This Row],[Last Price]], SnapshotTable[[#This Row],[SC Strike Price]] - SnapshotTable[[#This Row],[Last Price]],0)</f>
        <v>0</v>
      </c>
      <c r="FT244" s="27" t="str">
        <f>IF(AND(ISNUMBER(SnapshotTable[[#This Row],[SC Upside Potential]]), SnapshotTable[[#This Row],[SC Upside Potential]] &gt; 0),(SnapshotTable[[#This Row],[SC Upside Potential]]/ SnapshotTable[[#This Row],[ACB]]),"")</f>
        <v/>
      </c>
      <c r="FU244" s="304" t="str">
        <f>IF(SnapshotTable[[#This Row],[SC Intrinsic Value]] &gt; 0,SnapshotTable[[#This Row],[SC Intrinsic Value]],"")</f>
        <v/>
      </c>
      <c r="FV244" s="27" t="str">
        <f>IF(AND( ISNUMBER( SnapshotTable[[#This Row],[ACB]]),ISNUMBER(SnapshotTable[[#This Row],[SC Downside Protect]])),SnapshotTable[[#This Row],[SC Downside Protect]] / SnapshotTable[[#This Row],[ACB]],"")</f>
        <v/>
      </c>
      <c r="FW244" s="221" t="str">
        <f>IF(AND(ISNUMBER(SnapshotTable[[#This Row],[SC Simple ROO]]),SnapshotTable[[#This Row],[SC Simple ROO]] &gt; 0), SnapshotTable[[#This Row],[SC Premium]] + (SnapshotTable[[#This Row],[SC Qty]] * SnapshotTable[[#This Row],[SC Upside Potential]]), "")</f>
        <v/>
      </c>
      <c r="FX244" s="280" t="str" cm="1">
        <f t="array" ref="FX244">IF(ISNUMBER(SnapshotTable[[#This Row],[SC Max Dollars]]), annualize(SnapshotTable[[#This Row],[SC Term]],(SnapshotTable[[#This Row],[SC Max Dollars]]/SnapshotTable[[#This Row],[SC Basis]])),"")</f>
        <v/>
      </c>
      <c r="FY244" s="221" t="str">
        <f>IF(AND(SnapshotTable[[#This Row],[SC Qty]]&gt;0,SnapshotTable[[#This Row],[SC Current Ask]]&gt;0), SnapshotTable[[#This Row],[SC Qty]] * SnapshotTable[[#This Row],[SC Current Ask]] * -100, "")</f>
        <v/>
      </c>
      <c r="FZ244" s="31" t="str">
        <f>IF(ISNUMBER((SnapshotTable[[#This Row],[SC Current Value]])), SnapshotTable[[#This Row],[SC Premium]] + SnapshotTable[[#This Row],[SC Current Value]], "")</f>
        <v/>
      </c>
      <c r="GA244" s="272" t="str">
        <f>IFERROR( IF(ISNUMBER((SnapshotTable[[#This Row],[SC Current Value]])), SnapshotTable[[#This Row],[SC Gain Loss]] / SnapshotTable[[#This Row],[SC Premium]], ""), "")</f>
        <v/>
      </c>
      <c r="GB244" s="42">
        <f>SnapshotTable[[#This Row],[Equity Shares]] * SaleSharesToConsiderPercentage</f>
        <v>200</v>
      </c>
      <c r="GC244" s="40">
        <f>SnapshotTable[[#This Row],[Long Term Target]] * SellingPriceToConsiderBasedOnTargetPercentage</f>
        <v>0</v>
      </c>
      <c r="GD244" s="40">
        <f>SnapshotTable[[#This Row],[Last Price]] * (1+ SellingPriceToConsiderBasedOnTargetPercentage)</f>
        <v>3.081</v>
      </c>
      <c r="GE244" s="41"/>
      <c r="GF244" s="40"/>
      <c r="GG244" s="31">
        <f>SnapshotTable[[#This Row],[Booked Sale Shares]] * SnapshotTable[[#This Row],[Booked Sale Price]]</f>
        <v>0</v>
      </c>
      <c r="GH244" s="31">
        <f>IF(SnapshotTable[[#This Row],[Equity Basis Total]] &gt; 0, SnapshotTable[[#This Row],[Equity Basis Per Share]] * SnapshotTable[[#This Row],[Booked Sale Shares]], "")</f>
        <v>0</v>
      </c>
      <c r="GI244" s="31">
        <f>IF(SnapshotTable[[#This Row],[Sale Proceeds]]&gt;0, SnapshotTable[[#This Row],[Sale Proceeds]] - SnapshotTable[[#This Row],[Sale Basis]], 0)</f>
        <v>0</v>
      </c>
      <c r="GJ244" s="27" t="str">
        <f>IF(SnapshotTable[[#This Row],[Sale G/L]]&gt;0, SnapshotTable[[#This Row],[Sale G/L]] / SnapshotTable[[#This Row],[Sale Basis]], IF(ISNUMBER(SnapshotTable[[#This Row],[SC Exercise P&amp;L (TAX)]]), SnapshotTable[[#This Row],[SC Exercise P&amp;L (TAX)]] / SnapshotTable[[#This Row],[SC Basis]], ""))</f>
        <v/>
      </c>
      <c r="GK244" s="27"/>
      <c r="GL244" s="43" t="str">
        <f>IF(AND(SnapshotTable[[#This Row],[LP Exp Date]]&gt;0,SnapshotTable[[#This Row],[LP Strike Price]]&gt;0), [1]!ToOptionSymbol(SnapshotTable[[#This Row],[Symbol]], SnapshotTable[[#This Row],[LP Strike Price]],SnapshotTable[[#This Row],[LP Exp Date]],1), "")</f>
        <v/>
      </c>
      <c r="GM244" s="30" t="str">
        <f>IF(LEN(SnapshotTable[[#This Row],[LP Symbol]])&gt;0, 1, "")</f>
        <v/>
      </c>
      <c r="GN244" s="43" t="str">
        <f>IF(AND(SnapshotTable[[#This Row],[SP Exp Date]]&gt;0,SnapshotTable[[#This Row],[SP Strike Price]]&gt;0), [1]!ToOptionSymbol(SnapshotTable[[#This Row],[Symbol]], SnapshotTable[[#This Row],[SP Strike Price]],SnapshotTable[[#This Row],[SP Exp Date]],1), "")</f>
        <v/>
      </c>
      <c r="GO244" s="30" t="str">
        <f>IF(LEN(SnapshotTable[[#This Row],[SP Symbol]])&gt;0, 1, "")</f>
        <v/>
      </c>
      <c r="GP244" s="43" t="str">
        <f>IF(AND(SnapshotTable[[#This Row],[LC Exp Date]]&gt;0,SnapshotTable[[#This Row],[LC Strike Price]]&gt;0), [1]!ToOptionSymbol(SnapshotTable[[#This Row],[Symbol]], SnapshotTable[[#This Row],[LC Strike Price]],SnapshotTable[[#This Row],[LC Exp Date]],0), "")</f>
        <v/>
      </c>
      <c r="GQ244" s="30" t="str">
        <f>IF(LEN(SnapshotTable[[#This Row],[LC Symbol]])&gt;0, 1, "")</f>
        <v/>
      </c>
      <c r="GR244" s="43" t="str">
        <f>IF(AND(SnapshotTable[[#This Row],[SC Exp Date]]&gt;0,SnapshotTable[[#This Row],[SC Strike Price]]&gt;0), [1]!ToOptionSymbol(SnapshotTable[[#This Row],[Symbol]], SnapshotTable[[#This Row],[SC Strike Price]],SnapshotTable[[#This Row],[SC Exp Date]],0), "")</f>
        <v/>
      </c>
      <c r="GS244" s="30" t="str">
        <f>IF(LEN(SnapshotTable[[#This Row],[SC Symbol]])&gt;0, 1, "")</f>
        <v/>
      </c>
      <c r="GT244" s="29" t="str">
        <f>IF(COUNT(SnapshotTable[[#This Row],[LP Symbol Count]],SnapshotTable[[#This Row],[SP Symbol Count]],SnapshotTable[[#This Row],[LC Symbol Count]],SnapshotTable[[#This Row],[SC Symbol Count]])&gt;0, "Y", "")</f>
        <v/>
      </c>
      <c r="GU244"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4" s="216">
        <f>MAX(SnapshotTable[[#This Row],[Equity Basis Total]],SnapshotTable[[#This Row],[Equity Value]]) + (SnapshotTable[[#This Row],[SP Potential Spend]]- SnapshotTable[[#This Row],[SP Premium]] + SnapshotTable[[#This Row],[LP Premium]])+ (SnapshotTable[[#This Row],[LC Premium]] - SnapshotTable[[#This Row],[SC Premium]])</f>
        <v>2030</v>
      </c>
      <c r="GW244" s="137">
        <f ca="1">IF(AND(SnapshotTable[[#This Row],[Exposure]] &lt;&gt; 0),SnapshotTable[[#This Row],[Exposure]] / SnapshotTable[[#Totals],[Exposure]], "")</f>
        <v>1.1271453240126374E-2</v>
      </c>
      <c r="GX244" s="13"/>
      <c r="HK244" s="1"/>
      <c r="HL244" s="1"/>
      <c r="HM244" s="1"/>
      <c r="HN244" s="1"/>
      <c r="HO244" s="1"/>
      <c r="HP244" s="1"/>
    </row>
    <row r="245" spans="2:224" ht="12.75" hidden="1" customHeight="1" x14ac:dyDescent="0.25">
      <c r="B245" s="12" t="s">
        <v>978</v>
      </c>
      <c r="C245" s="385">
        <v>8.9700000000000006</v>
      </c>
      <c r="D245" s="200"/>
      <c r="E245" s="39">
        <f>SnapshotTable[[#This Row],[Last Price]]*(1 -CrashDiscount)</f>
        <v>7.6245000000000003</v>
      </c>
      <c r="F245" s="296" t="s">
        <v>726</v>
      </c>
      <c r="G245" s="296" t="s">
        <v>4</v>
      </c>
      <c r="H245" s="147"/>
      <c r="I245" s="186"/>
      <c r="J245" s="187"/>
      <c r="K245" s="188"/>
      <c r="L245" s="297"/>
      <c r="M245" s="138"/>
      <c r="N245" s="138"/>
      <c r="O245" s="138"/>
      <c r="P245" s="22">
        <v>100</v>
      </c>
      <c r="Q245" s="25">
        <v>985</v>
      </c>
      <c r="R245" s="4">
        <f>IF(SnapshotTable[[#This Row],[Equity Basis Total]] &gt; 0, SnapshotTable[[#This Row],[Equity Basis Total]] / SnapshotTable[[#This Row],[Equity Shares]], "")</f>
        <v>9.85</v>
      </c>
      <c r="S245" s="254">
        <f>SnapshotTable[[#This Row],[Last Price]] * SnapshotTable[[#This Row],[Equity Shares]]</f>
        <v>897.00000000000011</v>
      </c>
      <c r="T245" s="254">
        <f>SnapshotTable[[#This Row],[Equity Value]] - SnapshotTable[[#This Row],[Equity Basis Total]]</f>
        <v>-87.999999999999886</v>
      </c>
      <c r="U245" s="255">
        <f>IF(SnapshotTable[[#This Row],[Equity Basis Total]] &gt; 0, SnapshotTable[[#This Row],[Equity G/L]] / SnapshotTable[[#This Row],[Equity Basis Total]], "")</f>
        <v>-8.9340101522842524E-2</v>
      </c>
      <c r="V245" s="253"/>
      <c r="W245" s="253"/>
      <c r="X245" s="4" t="str">
        <f>IF(AND(ISNUMBER(SnapshotTable[[#This Row],[Equity Basis Per Share]]),ISNUMBER(SnapshotTable[[#This Row],[Equity Target]])),SnapshotTable[[#This Row],[Equity Target]]-SnapshotTable[[#This Row],[Equity Basis Per Share]],"")</f>
        <v/>
      </c>
      <c r="Y245" s="4" t="str">
        <f>IF(AND(ISNUMBER(SnapshotTable[[#This Row],[Equity Basis Per Share]]),ISNUMBER(SnapshotTable[[#This Row],[Equity Stop Loss]])),SnapshotTable[[#This Row],[Equity Stop Loss]]-SnapshotTable[[#This Row],[Equity Basis Per Share]],"")</f>
        <v/>
      </c>
      <c r="Z245" s="260" t="str">
        <f>IFERROR( TEXT(SnapshotTable[[#This Row],[Equity Max Gain Per Share]] /ABS( SnapshotTable[[#This Row],[Equity Max Loss Per Share]]),"0.0 " ) &amp; " : 1", "")</f>
        <v/>
      </c>
      <c r="AA245" s="31" t="str">
        <f>IF(ISNUMBER(SnapshotTable[[#This Row],[Equity Max Gain Per Share]]),SnapshotTable[[#This Row],[Equity Max Gain Per Share]] * SnapshotTable[[#This Row],[Equity Shares]],"")</f>
        <v/>
      </c>
      <c r="AB245" s="31" t="str">
        <f>IF(ISNUMBER(SnapshotTable[[#This Row],[Equity Max Loss Per Share]]),SnapshotTable[[#This Row],[Equity Max Loss Per Share]] * SnapshotTable[[#This Row],[Equity Shares]],"")</f>
        <v/>
      </c>
      <c r="AC245" s="148"/>
      <c r="AD245" s="149"/>
      <c r="AE245" s="31">
        <f>(SnapshotTable[[#This Row],[Annual Dividend Per Share]] / 4) * SnapshotTable[[#This Row],[Equity Shares]]</f>
        <v>0</v>
      </c>
      <c r="AF245" s="31">
        <f>SnapshotTable[[#This Row],[Quarterly Div $]] * 4</f>
        <v>0</v>
      </c>
      <c r="AG245" s="7">
        <f>IF(SnapshotTable[[#This Row],[Annual Dividend Per Share]]&gt;0, SnapshotTable[[#This Row],[Annual Dividend Per Share]]  / SnapshotTable[[#This Row],[Last Price]], 0)</f>
        <v>0</v>
      </c>
      <c r="AH245" s="149"/>
      <c r="AI245" s="5"/>
      <c r="AJ245" s="136"/>
      <c r="AK245" s="150" t="str">
        <f>IF(ISNUMBER( SnapshotTable[[#This Row],[EBF Target]]),(SnapshotTable[[#This Row],[EBF Target]] - SnapshotTable[[#This Row],[Last Price]]) / SnapshotTable[[#This Row],[Last Price]], "")</f>
        <v/>
      </c>
      <c r="AL245" s="150" t="str">
        <f>IF(AND(SnapshotTable[[#This Row],[Equity Basis Total]] &gt; 0,ISNUMBER( SnapshotTable[[#This Row],[Long Term Target]])), SnapshotTable[[#This Row],[From Basis $]] / SnapshotTable[[#This Row],[Equity Basis Total]], "")</f>
        <v/>
      </c>
      <c r="AM245" s="9">
        <f>IF( AND(SnapshotTable[[#This Row],[Equity Shares]] &gt;0,ISNUMBER( SnapshotTable[[#This Row],[Long Term Target]])),(SnapshotTable[[#This Row],[Equity Shares]] * SnapshotTable[[#This Row],[Long Term Target]]) - SnapshotTable[[#This Row],[Equity Basis Total]],0)</f>
        <v>0</v>
      </c>
      <c r="AN245" s="9">
        <f>IF( AND(SnapshotTable[[#This Row],[Equity Shares]] &gt;0,ISNUMBER( SnapshotTable[[#This Row],[Long Term Target]])),(SnapshotTable[[#This Row],[Equity Shares]]*SnapshotTable[[#This Row],[Long Term Target]]) - SnapshotTable[[#This Row],[Equity Value]],0)</f>
        <v>0</v>
      </c>
      <c r="AO245" s="150" t="str">
        <f>IF(AND(ISNUMBER( SnapshotTable[[#This Row],[Long Term Target]]), ISNUMBER(SnapshotTable[[#This Row],[Last Price]])),(SnapshotTable[[#This Row],[Long Term Target]] - SnapshotTable[[#This Row],[Last Price]]) / SnapshotTable[[#This Row],[Last Price]], "")</f>
        <v/>
      </c>
      <c r="AP245" s="5"/>
      <c r="AQ245" s="38"/>
      <c r="AR245" s="5"/>
      <c r="AS245" s="38"/>
      <c r="AT245" s="144"/>
      <c r="AU245" s="185" t="str">
        <f>IF(OR(SnapshotTable[[#This Row],[LP No Fill]]="Y",SnapshotTable[[#This Row],[SP Is Filled]],SnapshotTable[[#This Row],[LC Not Filled]]="Y",SnapshotTable[[#This Row],[SC Is Filled]]),"Y","")</f>
        <v/>
      </c>
      <c r="AV245" s="205" t="s">
        <v>888</v>
      </c>
      <c r="AW245" s="211"/>
      <c r="AX245" s="206"/>
      <c r="AY245" s="205" t="str">
        <f>IF(SnapshotTable[[#This Row],[Implied Move]]&gt;0, SnapshotTable[[#This Row],[Last Price]]-SnapshotTable[[#This Row],[Implied Move]],"")</f>
        <v/>
      </c>
      <c r="AZ245" s="205" t="str">
        <f>IF(SnapshotTable[[#This Row],[Implied Move]]&gt;0, SnapshotTable[[#This Row],[Last Price]] + SnapshotTable[[#This Row],[Implied Move]],"")</f>
        <v/>
      </c>
      <c r="BA245" s="302">
        <v>10.67</v>
      </c>
      <c r="BB245" s="367"/>
      <c r="BC245"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5" s="321"/>
      <c r="BE245" s="5"/>
      <c r="BF245" s="14"/>
      <c r="BG245" s="13"/>
      <c r="BH245" s="13"/>
      <c r="BI245" s="5"/>
      <c r="BJ245" s="134">
        <f>IF(SnapshotTable[[#This Row],[LP Qty]] &gt; 0, SnapshotTable[[#This Row],[LP Qty]] * SnapshotTable[[#This Row],[LP Book Price]] * 100,0)</f>
        <v>0</v>
      </c>
      <c r="BK245" s="134">
        <f>IF(SnapshotTable[[#This Row],[LP Premium]] &gt; 0, SnapshotTable[[#This Row],[LP Qty]] * SnapshotTable[[#This Row],[LP Strike Price]] * 100,0)</f>
        <v>0</v>
      </c>
      <c r="BL245" s="152"/>
      <c r="BM245" s="355" t="str">
        <f>IF(SnapshotTable[[#This Row],[LP Premium]] &gt; 0,SnapshotTable[[#This Row],[LP Exp Date]]-MAX(SnapshotTable[[#This Row],[LP Book Date]], SnapshotTable[[#This Row],[LP Fill Date]]),"")</f>
        <v/>
      </c>
      <c r="BN245" s="355" t="str">
        <f>IF(ISNUMBER( SnapshotTable[[#This Row],[LP Term]]), SnapshotTable[[#This Row],[LP Exp Date]] - MockToday,"")</f>
        <v/>
      </c>
      <c r="BO245" s="161" t="str">
        <f>IF(AND(SnapshotTable[[#This Row],[LP Exp Date]]&gt;0, SnapshotTable[[#This Row],[LP Strike Price]]&gt;0,SnapshotTable[[#This Row],[LP Qty]]&gt;0,SnapshotTable[[#This Row],[LP Book Date]]&gt;0,SnapshotTable[[#This Row],[LP Book Price]]&gt;0,SnapshotTable[[#This Row],[LP Fill Date]]=0),"Y","")</f>
        <v/>
      </c>
      <c r="BP245" s="31" t="str">
        <f>IF(AND(SnapshotTable[[#This Row],[LP No Fill]]&lt;&gt;"Y",SnapshotTable[[#This Row],[LP Contract Value]]&gt;0, SnapshotTable[[#This Row],[LP Qty]]&gt;0), SnapshotTable[[#This Row],[LP Contract Value]]*SnapshotTable[[#This Row],[LP Qty]]*100,"")</f>
        <v/>
      </c>
      <c r="BQ245" s="13"/>
      <c r="BR245" s="5"/>
      <c r="BS245" s="36"/>
      <c r="BT245" s="145"/>
      <c r="BU245" s="13"/>
      <c r="BV245" s="5"/>
      <c r="BW245" s="382" t="b">
        <f>AND(ISNUMBER(SnapshotTable[[#This Row],[SP Exp Date]]), ISNUMBER(SnapshotTable[[#This Row],[SP Strike Price]]), ISNUMBER(SnapshotTable[[#This Row],[SP Qty]]), ISNUMBER(SnapshotTable[[#This Row],[SP Book Date]]), ISNUMBER(SnapshotTable[[#This Row],[SP Book Price]]))</f>
        <v>0</v>
      </c>
      <c r="BX245" s="382" t="b">
        <f>AND(SnapshotTable[[#This Row],[SP Is Booked]], NOT(ISBLANK(SnapshotTable[[#This Row],[SP Fill Date]])))</f>
        <v>0</v>
      </c>
      <c r="BY245" s="33">
        <f>IF(SnapshotTable[[#This Row],[SP Is Booked]], SnapshotTable[[#This Row],[SP Qty]] * SnapshotTable[[#This Row],[SP Book Price]] * 100, 0)</f>
        <v>0</v>
      </c>
      <c r="BZ245" s="339"/>
      <c r="CA245" s="338">
        <f>SnapshotTable[[#This Row],[LP Qty]]</f>
        <v>0</v>
      </c>
      <c r="CB245" s="4" t="str">
        <f>IF(SnapshotTable[[#This Row],[SP Is Booked]], SnapshotTable[[#This Row],[SP Strike Price]] - SnapshotTable[[#This Row],[SP Book Price]], "")</f>
        <v/>
      </c>
      <c r="CC245" s="19" t="str">
        <f>IF(SnapshotTable[[#This Row],[SP Is Booked]],SnapshotTable[[#This Row],[SP Exp Date]]-MAX(SnapshotTable[[#This Row],[SP Book Date]], SnapshotTable[[#This Row],[SP Fill Date]]),"")</f>
        <v/>
      </c>
      <c r="CD245" s="7" t="str">
        <f>IF(SnapshotTable[[#This Row],[SP Is Booked]], SnapshotTable[[#This Row],[SP Book Price]]/SnapshotTable[[#This Row],[SP Strike Price]], "")</f>
        <v/>
      </c>
      <c r="CE245" s="7" t="str">
        <f>IF(ISNUMBER(SnapshotTable[[#This Row],[SP ROO Term]]),SnapshotTable[[#This Row],[SP ROO Term]]*(365/SnapshotTable[[#This Row],[SP Term]]),"")</f>
        <v/>
      </c>
      <c r="CF245" s="221">
        <f>SnapshotTable[[#This Row],[LP Strike Price]] * SnapshotTable[[#This Row],[LP Qty]] * 100</f>
        <v>0</v>
      </c>
      <c r="CG245" s="31">
        <f>IF(ISNUMBER(SnapshotTable[[#This Row],[SP Premium]]), (SnapshotTable[[#This Row],[SP Qty]] * SnapshotTable[[#This Row],[SP Strike Price]]* 100) - SnapshotTable[[#This Row],[LP Protection]], 0)</f>
        <v>0</v>
      </c>
      <c r="CH245" s="7" t="str">
        <f>IF(ISNUMBER(SnapshotTable[[#This Row],[SP Break Even]]),-1 * (SnapshotTable[[#This Row],[SP Break Even]] - SnapshotTable[[#This Row],[Last Price]]) / SnapshotTable[[#This Row],[Last Price]], "")</f>
        <v/>
      </c>
      <c r="CI245" s="31">
        <f>IF(AND(ISNUMBER((SnapshotTable[[#This Row],[SP Potential Spend]])), SnapshotTable[[#This Row],[SP Strike Price]] &gt; SnapshotTable[[#This Row],[Last Price]], SnapshotTable[[#This Row],[SP Is Filled]]), SnapshotTable[[#This Row],[SP Potential Spend]] -  SnapshotTable[[#This Row],[LP Max Value]], 0)</f>
        <v>0</v>
      </c>
      <c r="CJ245" s="229"/>
      <c r="CK245" s="31">
        <f>IF(ISNUMBER(SnapshotTable[[#This Row],[SP Potential Spend]]),IF(ISNUMBER(SnapshotTable[[#This Row],[SP POW]]), SnapshotTable[[#This Row],[SP POW]] * SnapshotTable[[#This Row],[SP Potential Spend]], SnapshotTable[[#This Row],[SP Potential Spend]]), "")</f>
        <v>0</v>
      </c>
      <c r="CL245" s="162">
        <f>IF(NOT(SnapshotTable[[#This Row],[SP Is Filled]]),(SnapshotTable[[#This Row],[SP Qty]] * SnapshotTable[[#This Row],[SP Strike Price]] * 100) - SnapshotTable[[#This Row],[LP Max Value]],"")</f>
        <v>0</v>
      </c>
      <c r="CM245" s="31" t="str">
        <f>IF(SnapshotTable[[#This Row],[SP Actual Spend]]&lt;&gt;0, ((SnapshotTable[[#This Row],[SP Strike Price]]-SnapshotTable[[#This Row],[Last Price]]) *(SnapshotTable[[#This Row],[SP Qty]]*100) - SnapshotTable[[#This Row],[SP Premium]]) * - 1, "")</f>
        <v/>
      </c>
      <c r="CN245" s="76"/>
      <c r="CO245" s="339"/>
      <c r="CP245" s="4" t="str">
        <f>IF(SnapshotTable[[#This Row],[SP Is Filled]], btc_max_buyback_amount(SnapshotTable[[#This Row],[SP Fill Date]],SnapshotTable[[#This Row],[SP Exp Date]], SnapshotTable[[#This Row],[SP Book Price]]),"")</f>
        <v/>
      </c>
      <c r="CQ245" s="76"/>
      <c r="CR245"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5" s="153" t="str">
        <f>IF(SnapshotTable[[#This Row],[SP Is Filled]], btc_next_cutoff_date(SnapshotTable[[#This Row],[SP Fill Date]],SnapshotTable[[#This Row],[SP Exp Date]]),"")</f>
        <v/>
      </c>
      <c r="CT245" s="220" t="str" cm="1">
        <f t="array" ref="CT245">IF(SnapshotTable[[#This Row],[SP Is Filled]], btc_should_buy_back(SnapshotTable[[#This Row],[SP Fill Date]], SnapshotTable[[#This Row],[SP Exp Date]], SnapshotTable[[#This Row],[SP Book Price]], SnapshotTable[[#This Row],[SP Current Ask]], MockToday, SnapshotTable[[#This Row],[SP Buyback Override]]),"")</f>
        <v/>
      </c>
      <c r="CU245" s="141"/>
      <c r="CV245" s="220"/>
      <c r="CW245" s="348" t="str">
        <f>IF(ISNUMBER( SnapshotTable[[#This Row],[SP Term]]), SnapshotTable[[#This Row],[SP Exp Date]] - MockToday,"")</f>
        <v/>
      </c>
      <c r="CX245" s="31" t="str">
        <f>IF(SnapshotTable[[#This Row],[SP Is Filled]],SnapshotTable[[#This Row],[SP Buyback Price to Use]] * 100 * SnapshotTable[[#This Row],[SP Qty]], "")</f>
        <v/>
      </c>
      <c r="CY245" s="4" t="str">
        <f>IF(ISNUMBER(SnapshotTable[[#This Row],[SP Strike Price]]), SnapshotTable[[#This Row],[SP Strike Price]] * (1 - SP_MaxLoss_StrikePct), "")</f>
        <v/>
      </c>
      <c r="CZ245" s="31" t="str">
        <f>IF(ISNUMBER(SnapshotTable[[#This Row],[SP Strike  Stop Per Share]]),SnapshotTable[[#This Row],[SP Premium]] - ((SnapshotTable[[#This Row],[SP Strike Price]]-SnapshotTable[[#This Row],[SP Strike  Stop Per Share]]) *(SnapshotTable[[#This Row],[SP Qty]] * 100)),"")</f>
        <v/>
      </c>
      <c r="DA245" s="4" t="str">
        <f>IF(AND(ISNUMBER(SnapshotTable[[#This Row],[SP Premium]]),SnapshotTable[[#This Row],[SP Premium]]&gt;0), SnapshotTable[[#This Row],[SP Book Price]] * (1 + SP_MaxLoss_OptionPct), "")</f>
        <v/>
      </c>
      <c r="DB245" s="31" t="str">
        <f>IF(ISNUMBER(SnapshotTable[[#This Row],[SP Option  Stop Contract]]),(SnapshotTable[[#This Row],[SP Option  Stop Contract]] *(SnapshotTable[[#This Row],[SP Qty]] * 100) - SnapshotTable[[#This Row],[SP Premium]]),"")</f>
        <v/>
      </c>
      <c r="DC245" s="4"/>
      <c r="DD245" s="4"/>
      <c r="DE245" s="4" t="str">
        <f>IF(AND(SnapshotTable[[#This Row],[SP Qty]]&gt;0, SnapshotTable[[#This Row],[SP Stop To Use]]&gt;0),SnapshotTable[[#This Row],[SP Premium]] - ( SnapshotTable[[#This Row],[SP Qty]] * SnapshotTable[[#This Row],[SP Stop To Use]] * 100), "")</f>
        <v/>
      </c>
      <c r="DF245" s="31" t="str">
        <f>IF(AND(SnapshotTable[[#This Row],[SP Qty]]&gt;0,SnapshotTable[[#This Row],[SP Current Ask]]&gt;0), SnapshotTable[[#This Row],[SP Qty]] * SnapshotTable[[#This Row],[SP Current Ask]] * -100, "")</f>
        <v/>
      </c>
      <c r="DG245" s="31" t="str">
        <f>IF(ISNUMBER((SnapshotTable[[#This Row],[SP Total Value]])), SnapshotTable[[#This Row],[SP Premium]] + SnapshotTable[[#This Row],[SP Total Value]], "")</f>
        <v/>
      </c>
      <c r="DH245" s="272" t="str">
        <f>IF(ISNUMBER((SnapshotTable[[#This Row],[SP Total Value]])), SnapshotTable[[#This Row],[SP Gain Loss]] / SnapshotTable[[#This Row],[SP Premium]], "")</f>
        <v/>
      </c>
      <c r="DI245" s="369"/>
      <c r="DJ245" s="136"/>
      <c r="DK245" s="146"/>
      <c r="DL245" s="13"/>
      <c r="DM245" s="13"/>
      <c r="DO245" s="31">
        <f>IF(SnapshotTable[[#This Row],[LC Symbol Count]]=1, SnapshotTable[[#This Row],[LC Qty]] * SnapshotTable[[#This Row],[LC Book Price]] * 100, 0)</f>
        <v>0</v>
      </c>
      <c r="DP245" s="161" t="str">
        <f>IF(AND(SnapshotTable[[#This Row],[LC Exp Date]]&gt;0, SnapshotTable[[#This Row],[LC Strike Price]]&gt;0,SnapshotTable[[#This Row],[LC Qty]]&gt;0,SnapshotTable[[#This Row],[LC Book Date]]&gt;0,SnapshotTable[[#This Row],[LC Book Price]]&gt;0,SnapshotTable[[#This Row],[LC Fill Date]]=0),"Y","")</f>
        <v/>
      </c>
      <c r="DQ245" s="356" t="str">
        <f>IF(SnapshotTable[[#This Row],[LC Premium]] &gt; 0,SnapshotTable[[#This Row],[LC Exp Date]]-MAX(SnapshotTable[[#This Row],[LC Book Date]], SnapshotTable[[#This Row],[LC Fill Date]]),"")</f>
        <v/>
      </c>
      <c r="DR245" s="356" t="str">
        <f>IF(ISNUMBER(SnapshotTable[[#This Row],[LC Term]]), SnapshotTable[[#This Row],[LC Exp Date]] - MockToday, "")</f>
        <v/>
      </c>
      <c r="DS245" s="219" t="str">
        <f>IF(SnapshotTable[[#This Row],[LC Premium]]&gt;0,SnapshotTable[[#This Row],[LC Strike Price]] + SnapshotTable[[#This Row],[LC Book Price]],"")</f>
        <v/>
      </c>
      <c r="DU245" s="9" t="str">
        <f>IF(AND(SnapshotTable[[#This Row],[LC Symbol Count]]&gt;0, SnapshotTable[[#This Row],[LC Contract Value]]&gt;0), SnapshotTable[[#This Row],[LC Contract Value]] * SnapshotTable[[#This Row],[LC Qty]] * 100, "")</f>
        <v/>
      </c>
      <c r="DV245" s="9" t="str">
        <f>IF(AND(ISNUMBER(SnapshotTable[[#This Row],[LC Total Value]]), SnapshotTable[[#This Row],[LC Not Filled]]&lt;&gt;"Y"), SnapshotTable[[#This Row],[LC Total Value]]-SnapshotTable[[#This Row],[LC Premium]],"")</f>
        <v/>
      </c>
      <c r="DW245" s="225" t="str">
        <f>IF(ISNUMBER(SnapshotTable[[#This Row],[LC Actual Gain Loss]]), SnapshotTable[[#This Row],[LC Actual Gain Loss]] / SnapshotTable[[#This Row],[LC Premium]],"")</f>
        <v/>
      </c>
      <c r="DX245" s="269" t="str">
        <f>IF(ISNUMBER(SnapshotTable[[#This Row],[LC Book Price]]),SnapshotTable[[#This Row],[LC Book Price]] * 1.5,"")</f>
        <v/>
      </c>
      <c r="DY245" s="250" t="str">
        <f>IF(SnapshotTable[[#This Row],[LC Premium]]&gt;0, SnapshotTable[[#This Row],[LC Next Target]] * SnapshotTable[[#This Row],[LC Qty]] * 100,"")</f>
        <v/>
      </c>
      <c r="DZ245" s="250" t="str">
        <f>IF(ISNUMBER(SnapshotTable[[#This Row],[LC Target Gross]]), SnapshotTable[[#This Row],[LC Target Gross]] - SnapshotTable[[#This Row],[LC Premium]], "")</f>
        <v/>
      </c>
      <c r="EA245" s="283" t="str">
        <f>IF(ISNUMBER(SnapshotTable[[#This Row],[LC Target Gain Loss]]), SnapshotTable[[#This Row],[LC Target Gain Loss]]/SnapshotTable[[#This Row],[LC Premium]], "")</f>
        <v/>
      </c>
      <c r="EB245" s="247"/>
      <c r="EC245" s="268" t="str">
        <f>IF(SnapshotTable[[#This Row],[LC Premium]]&gt;0, SnapshotTable[[#This Row],[LC Book Price]] * (1 - LC_StopLoss_Pct),"")</f>
        <v/>
      </c>
      <c r="ED245" s="269"/>
      <c r="EE245" s="268" t="str">
        <f>IF(ISNUMBER(SnapshotTable[[#This Row],[LC Contract Value]]),IF(ISNUMBER(SnapshotTable[[#This Row],[LC Stop Loss Override]]), SnapshotTable[[#This Row],[LC Stop Loss Override]],SnapshotTable[[#This Row],[LC Stop Loss Calc Target]]),"")</f>
        <v/>
      </c>
      <c r="EF245" s="31" t="str">
        <f>IF(ISNUMBER(SnapshotTable[[#This Row],[LC Stop  To Use]]), (SnapshotTable[[#This Row],[LC Stop  To Use]] * SnapshotTable[[#This Row],[LC Qty]] * 100),"")</f>
        <v/>
      </c>
      <c r="EG245" s="9" t="str">
        <f>IF(ISNUMBER(SnapshotTable[[#This Row],[LC Total Value]]),SnapshotTable[[#This Row],[LC Stop Loss Amount]] - SnapshotTable[[#This Row],[LC Premium]],"")</f>
        <v/>
      </c>
      <c r="EH245" s="9">
        <f>IF(ISNUMBER(SnapshotTable[[#This Row],[LC Premium]]), SnapshotTable[[#This Row],[LC Qty]] * 100 * SnapshotTable[[#This Row],[LC Strike Price]], "")</f>
        <v>0</v>
      </c>
      <c r="EI245" s="225" t="str">
        <f>IF(AND(ISNUMBER(SnapshotTable[[#This Row],[LC Total Value]]),SnapshotTable[[#This Row],[LC Total Value]]&gt;0),SnapshotTable[[#This Row],[LC Stop Gain Loss]]  / SnapshotTable[[#This Row],[LC Premium]],"")</f>
        <v/>
      </c>
      <c r="EJ245" s="35">
        <f>IF(ISNUMBER(SnapshotTable[[#This Row],[Equity Shares]]),TRUNC(SnapshotTable[[#This Row],[Equity Shares]] / 100),0) + SnapshotTable[[#This Row],[LC Qty]]</f>
        <v>1</v>
      </c>
      <c r="EK245" s="145"/>
      <c r="EL245" s="136"/>
      <c r="EM245" s="146"/>
      <c r="EN245" s="145"/>
      <c r="EO245" s="145"/>
      <c r="EP245" s="136"/>
      <c r="EQ245" s="382" t="b">
        <f>AND(ISNUMBER(SnapshotTable[[#This Row],[SC Exp Date]]), ISNUMBER(SnapshotTable[[#This Row],[SC Strike Price]]), ISNUMBER(SnapshotTable[[#This Row],[SC Qty]]), ISNUMBER(SnapshotTable[[#This Row],[SC Book Date]]), ISNUMBER(SnapshotTable[[#This Row],[SC Book Price]]))</f>
        <v>0</v>
      </c>
      <c r="ER245" s="382" t="b">
        <f>AND(SnapshotTable[[#This Row],[SC Is Booked]], NOT(ISBLANK(SnapshotTable[[#This Row],[SC Fill Date]])))</f>
        <v>0</v>
      </c>
      <c r="ES245" s="340">
        <v>0.35</v>
      </c>
      <c r="ET245" s="34" t="str">
        <f>IF(AND(ISNUMBER(SnapshotTable[[#This Row],[SC Exp Date]]), ISNUMBER(SnapshotTable[[#This Row],[SC Book Date]])), SnapshotTable[[#This Row],[SC Exp Date]] - MAX(SnapshotTable[[#This Row],[SC Book Date]], SnapshotTable[[#This Row],[SC Fill Date]]) + 1, "")</f>
        <v/>
      </c>
      <c r="EU245" s="34" t="str">
        <f>IF(ISNUMBER(SnapshotTable[[#This Row],[SC Term]]), SnapshotTable[[#This Row],[SC Exp Date]]- MockToday, "")</f>
        <v/>
      </c>
      <c r="EV245" s="31">
        <f>IF(SnapshotTable[[#This Row],[SC Is Booked]], SnapshotTable[[#This Row],[SC Qty]] * SnapshotTable[[#This Row],[SC Book Price]] * 100, 0)</f>
        <v>0</v>
      </c>
      <c r="EW245" s="4" t="str">
        <f>IF(AND(ISNUMBER(SnapshotTable[[#This Row],[Last Price]]), ISNUMBER( SnapshotTable[[#This Row],[SC Book Price]])), SnapshotTable[[#This Row],[Last Price]] - SnapshotTable[[#This Row],[SC Book Price]],"")</f>
        <v/>
      </c>
      <c r="EX245" s="219" t="str">
        <f>IF(SnapshotTable[[#This Row],[SC Is Booked]],IF(SnapshotTable[[#This Row],[SC Intrinsic Value]] &gt; 0, SnapshotTable[[#This Row],[SC Strike Price]], SnapshotTable[[#This Row],[Last Price]]), "")</f>
        <v/>
      </c>
      <c r="EY245" s="4">
        <f>IF(SnapshotTable[[#This Row],[SC Is Booked]], (MinimumPremiumRequired * SnapshotTable[[#This Row],[SC Basis]] * SnapshotTable[[#This Row],[SC Term]]), 0)</f>
        <v>0</v>
      </c>
      <c r="EZ245" s="268"/>
      <c r="FA245" s="204"/>
      <c r="FB245" s="340"/>
      <c r="FC245" s="4">
        <f>IF(SnapshotTable[[#This Row],[SC Is Filled]], btc_max_buyback_amount(SnapshotTable[[#This Row],[SC Fill Date]],SnapshotTable[[#This Row],[SC Exp Date]], SnapshotTable[[#This Row],[SC Book Price]]),0)</f>
        <v>0</v>
      </c>
      <c r="FD245" s="5"/>
      <c r="FE245" s="142" t="str">
        <f>IF(SnapshotTable[[#This Row],[SC Is Filled]], btc_next_cutoff_date(SnapshotTable[[#This Row],[SC Fill Date]],SnapshotTable[[#This Row],[SC Exp Date]]),"")</f>
        <v/>
      </c>
      <c r="FF245" s="4" t="str" cm="1">
        <f t="array" ref="FF245">IF(SnapshotTable[[#This Row],[SC Is Filled]], btc_should_buy_back(SnapshotTable[[#This Row],[SC Fill Date]], SnapshotTable[[#This Row],[SC Exp Date]], SnapshotTable[[#This Row],[SC Book Price]], SnapshotTable[[#This Row],[SC Current Ask]], MockToday, SnapshotTable[[#This Row],[SC Buyback Override]]),"")</f>
        <v/>
      </c>
      <c r="FG245" s="4">
        <f>IF(SnapshotTable[[#This Row],[SC Is Filled]], MAX(0,SnapshotTable[[#This Row],[Last Price]]  - SnapshotTable[[#This Row],[SC Strike Price]]), 0)</f>
        <v>0</v>
      </c>
      <c r="FH245" s="352">
        <f>IF(SnapshotTable[[#This Row],[SC Is Filled]], IF(ISNUMBER(SnapshotTable[[#This Row],[SC Current Ask]]), SnapshotTable[[#This Row],[SC Current Ask]], SnapshotTable[[#This Row],[SC Book Price]]) - SnapshotTable[[#This Row],[SC Intrinsic Value]], 0)</f>
        <v>0</v>
      </c>
      <c r="FI245" s="141"/>
      <c r="FJ245" s="32" t="str">
        <f>IF(SnapshotTable[[#This Row],[SC Is Filled]],100 * SnapshotTable[[#This Row],[SC Qty]] * IF(ISNUMBER(SnapshotTable[[#This Row],[SC Buyback Override]]), SnapshotTable[[#This Row],[SC Buyback Override]], SnapshotTable[[#This Row],[SC Current Ask]]), "")</f>
        <v/>
      </c>
      <c r="FK245" s="235" t="str">
        <f>IF(SnapshotTable[[#This Row],[SC Time Val]]&gt;0, SnapshotTable[[#This Row],[SC Time Val]] / SnapshotTable[[#This Row],[Last Price]],"")</f>
        <v/>
      </c>
      <c r="FL245" s="280" t="str">
        <f>IF(SnapshotTable[[#This Row],[SC Is Booked]], ((SnapshotTable[[#This Row],[Last Price]] -SnapshotTable[[#This Row],[SC Strike Price]]) / SnapshotTable[[#This Row],[Last Price]]) * -1, "")</f>
        <v/>
      </c>
      <c r="FM245" s="155" t="str">
        <f>IF(SnapshotTable[[#This Row],[SC Is Booked]],  (SnapshotTable[[#This Row],[SC Qty]] * 100 * SnapshotTable[[#This Row],[SC Strike Price]]) - SnapshotTable[[#This Row],[SC Current Ask]], "")</f>
        <v/>
      </c>
      <c r="FN245"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5" s="31" t="str">
        <f>IF(AND(ISNUMBER(SnapshotTable[[#This Row],[SC Exercise Gross]]), ISNUMBER(SnapshotTable[[#This Row],[Equity Basis Per Share]] )), SnapshotTable[[#This Row],[SC Exercise Gross]] - SnapshotTable[[#This Row],[Equity Basis Total]] +  SnapshotTable[[#This Row],[SC Premium]], "")</f>
        <v/>
      </c>
      <c r="FP245" s="5" t="str">
        <f>IF(ISNUMBER(SnapshotTable[[#This Row],[SC Exercise Gross]]), (SnapshotTable[[#This Row],[SC Exercise Gross]]) / (SnapshotTable[[#This Row],[SC Qty]] * 100), "")</f>
        <v/>
      </c>
      <c r="FQ245" s="27" t="str">
        <f>IF(SnapshotTable[[#This Row],[SC Is Booked]],SnapshotTable[[#This Row],[SC Time Val]] /SnapshotTable[[#This Row],[SC Basis]], "")</f>
        <v/>
      </c>
      <c r="FR245" s="27" t="str" cm="1">
        <f t="array" ref="FR245">IF(AND(ISNUMBER(SnapshotTable[[#This Row],[SC Term]]),ISNUMBER(SnapshotTable[[#This Row],[SC Simple ROO]])), EllmanAnnualize(SnapshotTable[[#This Row],[SC DTE]], SnapshotTable[[#This Row],[SC Simple ROO]] ),"")</f>
        <v/>
      </c>
      <c r="FS245" s="4">
        <f>IF(SnapshotTable[[#This Row],[SC Strike Price]] &gt; SnapshotTable[[#This Row],[Last Price]], SnapshotTable[[#This Row],[SC Strike Price]] - SnapshotTable[[#This Row],[Last Price]],0)</f>
        <v>0</v>
      </c>
      <c r="FT245" s="27" t="str">
        <f>IF(AND(ISNUMBER(SnapshotTable[[#This Row],[SC Upside Potential]]), SnapshotTable[[#This Row],[SC Upside Potential]] &gt; 0),(SnapshotTable[[#This Row],[SC Upside Potential]]/ SnapshotTable[[#This Row],[ACB]]),"")</f>
        <v/>
      </c>
      <c r="FU245" s="304" t="str">
        <f>IF(SnapshotTable[[#This Row],[SC Intrinsic Value]] &gt; 0,SnapshotTable[[#This Row],[SC Intrinsic Value]],"")</f>
        <v/>
      </c>
      <c r="FV245" s="27" t="str">
        <f>IF(AND( ISNUMBER( SnapshotTable[[#This Row],[ACB]]),ISNUMBER(SnapshotTable[[#This Row],[SC Downside Protect]])),SnapshotTable[[#This Row],[SC Downside Protect]] / SnapshotTable[[#This Row],[ACB]],"")</f>
        <v/>
      </c>
      <c r="FW245" s="221" t="str">
        <f>IF(AND(ISNUMBER(SnapshotTable[[#This Row],[SC Simple ROO]]),SnapshotTable[[#This Row],[SC Simple ROO]] &gt; 0), SnapshotTable[[#This Row],[SC Premium]] + (SnapshotTable[[#This Row],[SC Qty]] * SnapshotTable[[#This Row],[SC Upside Potential]]), "")</f>
        <v/>
      </c>
      <c r="FX245" s="280" t="str" cm="1">
        <f t="array" ref="FX245">IF(ISNUMBER(SnapshotTable[[#This Row],[SC Max Dollars]]), annualize(SnapshotTable[[#This Row],[SC Term]],(SnapshotTable[[#This Row],[SC Max Dollars]]/SnapshotTable[[#This Row],[SC Basis]])),"")</f>
        <v/>
      </c>
      <c r="FY245" s="221" t="str">
        <f>IF(AND(SnapshotTable[[#This Row],[SC Qty]]&gt;0,SnapshotTable[[#This Row],[SC Current Ask]]&gt;0), SnapshotTable[[#This Row],[SC Qty]] * SnapshotTable[[#This Row],[SC Current Ask]] * -100, "")</f>
        <v/>
      </c>
      <c r="FZ245" s="31" t="str">
        <f>IF(ISNUMBER((SnapshotTable[[#This Row],[SC Current Value]])), SnapshotTable[[#This Row],[SC Premium]] + SnapshotTable[[#This Row],[SC Current Value]], "")</f>
        <v/>
      </c>
      <c r="GA245" s="272" t="str">
        <f>IFERROR( IF(ISNUMBER((SnapshotTable[[#This Row],[SC Current Value]])), SnapshotTable[[#This Row],[SC Gain Loss]] / SnapshotTable[[#This Row],[SC Premium]], ""), "")</f>
        <v/>
      </c>
      <c r="GB245" s="42">
        <f>SnapshotTable[[#This Row],[Equity Shares]] * SaleSharesToConsiderPercentage</f>
        <v>20</v>
      </c>
      <c r="GC245" s="40">
        <f>SnapshotTable[[#This Row],[Long Term Target]] * SellingPriceToConsiderBasedOnTargetPercentage</f>
        <v>0</v>
      </c>
      <c r="GD245" s="40">
        <f>SnapshotTable[[#This Row],[Last Price]] * (1+ SellingPriceToConsiderBasedOnTargetPercentage)</f>
        <v>17.491500000000002</v>
      </c>
      <c r="GE245" s="41"/>
      <c r="GF245" s="40"/>
      <c r="GG245" s="31">
        <f>SnapshotTable[[#This Row],[Booked Sale Shares]] * SnapshotTable[[#This Row],[Booked Sale Price]]</f>
        <v>0</v>
      </c>
      <c r="GH245" s="31">
        <f>IF(SnapshotTable[[#This Row],[Equity Basis Total]] &gt; 0, SnapshotTable[[#This Row],[Equity Basis Per Share]] * SnapshotTable[[#This Row],[Booked Sale Shares]], "")</f>
        <v>0</v>
      </c>
      <c r="GI245" s="31">
        <f>IF(SnapshotTable[[#This Row],[Sale Proceeds]]&gt;0, SnapshotTable[[#This Row],[Sale Proceeds]] - SnapshotTable[[#This Row],[Sale Basis]], 0)</f>
        <v>0</v>
      </c>
      <c r="GJ245" s="27" t="str">
        <f>IF(SnapshotTable[[#This Row],[Sale G/L]]&gt;0, SnapshotTable[[#This Row],[Sale G/L]] / SnapshotTable[[#This Row],[Sale Basis]], IF(ISNUMBER(SnapshotTable[[#This Row],[SC Exercise P&amp;L (TAX)]]), SnapshotTable[[#This Row],[SC Exercise P&amp;L (TAX)]] / SnapshotTable[[#This Row],[SC Basis]], ""))</f>
        <v/>
      </c>
      <c r="GK245" s="27"/>
      <c r="GL245" s="43" t="str">
        <f>IF(AND(SnapshotTable[[#This Row],[LP Exp Date]]&gt;0,SnapshotTable[[#This Row],[LP Strike Price]]&gt;0), [1]!ToOptionSymbol(SnapshotTable[[#This Row],[Symbol]], SnapshotTable[[#This Row],[LP Strike Price]],SnapshotTable[[#This Row],[LP Exp Date]],1), "")</f>
        <v/>
      </c>
      <c r="GM245" s="30" t="str">
        <f>IF(LEN(SnapshotTable[[#This Row],[LP Symbol]])&gt;0, 1, "")</f>
        <v/>
      </c>
      <c r="GN245" s="43" t="str">
        <f>IF(AND(SnapshotTable[[#This Row],[SP Exp Date]]&gt;0,SnapshotTable[[#This Row],[SP Strike Price]]&gt;0), [1]!ToOptionSymbol(SnapshotTable[[#This Row],[Symbol]], SnapshotTable[[#This Row],[SP Strike Price]],SnapshotTable[[#This Row],[SP Exp Date]],1), "")</f>
        <v/>
      </c>
      <c r="GO245" s="30" t="str">
        <f>IF(LEN(SnapshotTable[[#This Row],[SP Symbol]])&gt;0, 1, "")</f>
        <v/>
      </c>
      <c r="GP245" s="43" t="str">
        <f>IF(AND(SnapshotTable[[#This Row],[LC Exp Date]]&gt;0,SnapshotTable[[#This Row],[LC Strike Price]]&gt;0), [1]!ToOptionSymbol(SnapshotTable[[#This Row],[Symbol]], SnapshotTable[[#This Row],[LC Strike Price]],SnapshotTable[[#This Row],[LC Exp Date]],0), "")</f>
        <v/>
      </c>
      <c r="GQ245" s="30" t="str">
        <f>IF(LEN(SnapshotTable[[#This Row],[LC Symbol]])&gt;0, 1, "")</f>
        <v/>
      </c>
      <c r="GR245" s="43" t="str">
        <f>IF(AND(SnapshotTable[[#This Row],[SC Exp Date]]&gt;0,SnapshotTable[[#This Row],[SC Strike Price]]&gt;0), [1]!ToOptionSymbol(SnapshotTable[[#This Row],[Symbol]], SnapshotTable[[#This Row],[SC Strike Price]],SnapshotTable[[#This Row],[SC Exp Date]],0), "")</f>
        <v/>
      </c>
      <c r="GS245" s="30" t="str">
        <f>IF(LEN(SnapshotTable[[#This Row],[SC Symbol]])&gt;0, 1, "")</f>
        <v/>
      </c>
      <c r="GT245" s="29" t="str">
        <f>IF(COUNT(SnapshotTable[[#This Row],[LP Symbol Count]],SnapshotTable[[#This Row],[SP Symbol Count]],SnapshotTable[[#This Row],[LC Symbol Count]],SnapshotTable[[#This Row],[SC Symbol Count]])&gt;0, "Y", "")</f>
        <v/>
      </c>
      <c r="GU245"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5" s="216">
        <f>MAX(SnapshotTable[[#This Row],[Equity Basis Total]],SnapshotTable[[#This Row],[Equity Value]]) + (SnapshotTable[[#This Row],[SP Potential Spend]]- SnapshotTable[[#This Row],[SP Premium]] + SnapshotTable[[#This Row],[LP Premium]])+ (SnapshotTable[[#This Row],[LC Premium]] - SnapshotTable[[#This Row],[SC Premium]])</f>
        <v>985</v>
      </c>
      <c r="GW245" s="137">
        <f ca="1">IF(AND(SnapshotTable[[#This Row],[Exposure]] &lt;&gt; 0),SnapshotTable[[#This Row],[Exposure]] / SnapshotTable[[#Totals],[Exposure]], "")</f>
        <v>5.4691534194701861E-3</v>
      </c>
      <c r="HK245" s="1"/>
      <c r="HL245" s="1"/>
      <c r="HM245" s="1"/>
      <c r="HN245" s="1"/>
      <c r="HO245" s="1"/>
      <c r="HP245" s="1"/>
    </row>
    <row r="246" spans="2:224" ht="12.75" hidden="1" customHeight="1" x14ac:dyDescent="0.25">
      <c r="B246" s="12" t="s">
        <v>975</v>
      </c>
      <c r="C246" s="357">
        <v>16.46</v>
      </c>
      <c r="D246" s="200" t="s">
        <v>179</v>
      </c>
      <c r="E246" s="39">
        <f>SnapshotTable[[#This Row],[Last Price]]*(1 -CrashDiscount)</f>
        <v>13.991</v>
      </c>
      <c r="F246" s="26" t="s">
        <v>125</v>
      </c>
      <c r="G246" s="26" t="s">
        <v>4</v>
      </c>
      <c r="H246" s="147"/>
      <c r="I246" s="186">
        <v>44851.260416666664</v>
      </c>
      <c r="J246" s="187">
        <v>44851.260416666664</v>
      </c>
      <c r="K246" s="188"/>
      <c r="L246" s="297"/>
      <c r="M246" s="138"/>
      <c r="N246" s="138"/>
      <c r="O246" s="138"/>
      <c r="P246" s="22">
        <v>1000</v>
      </c>
      <c r="Q246" s="22">
        <v>22000</v>
      </c>
      <c r="R246" s="4">
        <f>IF(SnapshotTable[[#This Row],[Equity Basis Total]] &gt; 0, SnapshotTable[[#This Row],[Equity Basis Total]] / SnapshotTable[[#This Row],[Equity Shares]], "")</f>
        <v>22</v>
      </c>
      <c r="S246" s="254">
        <f>SnapshotTable[[#This Row],[Last Price]] * SnapshotTable[[#This Row],[Equity Shares]]</f>
        <v>16460</v>
      </c>
      <c r="T246" s="254">
        <f>SnapshotTable[[#This Row],[Equity Value]] - SnapshotTable[[#This Row],[Equity Basis Total]]</f>
        <v>-5540</v>
      </c>
      <c r="U246" s="255">
        <f>IF(SnapshotTable[[#This Row],[Equity Basis Total]] &gt; 0, SnapshotTable[[#This Row],[Equity G/L]] / SnapshotTable[[#This Row],[Equity Basis Total]], "")</f>
        <v>-0.25181818181818183</v>
      </c>
      <c r="V246" s="253">
        <v>36</v>
      </c>
      <c r="W246" s="305">
        <v>16.399999999999999</v>
      </c>
      <c r="X246" s="4">
        <f>IF(AND(ISNUMBER(SnapshotTable[[#This Row],[Equity Basis Per Share]]),ISNUMBER(SnapshotTable[[#This Row],[Equity Target]])),SnapshotTable[[#This Row],[Equity Target]]-SnapshotTable[[#This Row],[Equity Basis Per Share]],"")</f>
        <v>14</v>
      </c>
      <c r="Y246" s="4">
        <f>IF(AND(ISNUMBER(SnapshotTable[[#This Row],[Equity Basis Per Share]]),ISNUMBER(SnapshotTable[[#This Row],[Equity Stop Loss]])),SnapshotTable[[#This Row],[Equity Stop Loss]]-SnapshotTable[[#This Row],[Equity Basis Per Share]],"")</f>
        <v>-5.6000000000000014</v>
      </c>
      <c r="Z246" s="260" t="str">
        <f>IFERROR( TEXT(SnapshotTable[[#This Row],[Equity Max Gain Per Share]] /ABS( SnapshotTable[[#This Row],[Equity Max Loss Per Share]]),"0.0 " ) &amp; " : 1", "")</f>
        <v>2.5  : 1</v>
      </c>
      <c r="AA246" s="31">
        <f>IF(ISNUMBER(SnapshotTable[[#This Row],[Equity Max Gain Per Share]]),SnapshotTable[[#This Row],[Equity Max Gain Per Share]] * SnapshotTable[[#This Row],[Equity Shares]],"")</f>
        <v>14000</v>
      </c>
      <c r="AB246" s="31">
        <f>IF(ISNUMBER(SnapshotTable[[#This Row],[Equity Max Loss Per Share]]),SnapshotTable[[#This Row],[Equity Max Loss Per Share]] * SnapshotTable[[#This Row],[Equity Shares]],"")</f>
        <v>-5600.0000000000018</v>
      </c>
      <c r="AC246" s="148"/>
      <c r="AD246" s="149"/>
      <c r="AE246" s="31">
        <f>(SnapshotTable[[#This Row],[Annual Dividend Per Share]] / 4) * SnapshotTable[[#This Row],[Equity Shares]]</f>
        <v>0</v>
      </c>
      <c r="AF246" s="31">
        <f>SnapshotTable[[#This Row],[Quarterly Div $]] * 4</f>
        <v>0</v>
      </c>
      <c r="AG246" s="7">
        <f>IF(SnapshotTable[[#This Row],[Annual Dividend Per Share]]&gt;0, SnapshotTable[[#This Row],[Annual Dividend Per Share]]  / SnapshotTable[[#This Row],[Last Price]], 0)</f>
        <v>0</v>
      </c>
      <c r="AH246" s="149"/>
      <c r="AI246" s="5"/>
      <c r="AJ246" s="136">
        <v>40</v>
      </c>
      <c r="AK246" s="150" t="str">
        <f>IF(ISNUMBER( SnapshotTable[[#This Row],[EBF Target]]),(SnapshotTable[[#This Row],[EBF Target]] - SnapshotTable[[#This Row],[Last Price]]) / SnapshotTable[[#This Row],[Last Price]], "")</f>
        <v/>
      </c>
      <c r="AL246" s="150">
        <f>IF(AND(SnapshotTable[[#This Row],[Equity Basis Total]] &gt; 0,ISNUMBER( SnapshotTable[[#This Row],[Long Term Target]])), SnapshotTable[[#This Row],[From Basis $]] / SnapshotTable[[#This Row],[Equity Basis Total]], "")</f>
        <v>0.81818181818181823</v>
      </c>
      <c r="AM246" s="9">
        <f>IF( AND(SnapshotTable[[#This Row],[Equity Shares]] &gt;0,ISNUMBER( SnapshotTable[[#This Row],[Long Term Target]])),(SnapshotTable[[#This Row],[Equity Shares]] * SnapshotTable[[#This Row],[Long Term Target]]) - SnapshotTable[[#This Row],[Equity Basis Total]],0)</f>
        <v>18000</v>
      </c>
      <c r="AN246" s="9">
        <f>IF( AND(SnapshotTable[[#This Row],[Equity Shares]] &gt;0,ISNUMBER( SnapshotTable[[#This Row],[Long Term Target]])),(SnapshotTable[[#This Row],[Equity Shares]]*SnapshotTable[[#This Row],[Long Term Target]]) - SnapshotTable[[#This Row],[Equity Value]],0)</f>
        <v>23540</v>
      </c>
      <c r="AO246" s="150">
        <f>IF(AND(ISNUMBER( SnapshotTable[[#This Row],[Long Term Target]]), ISNUMBER(SnapshotTable[[#This Row],[Last Price]])),(SnapshotTable[[#This Row],[Long Term Target]] - SnapshotTable[[#This Row],[Last Price]]) / SnapshotTable[[#This Row],[Last Price]], "")</f>
        <v>1.4301336573511543</v>
      </c>
      <c r="AP246" s="5"/>
      <c r="AQ246" s="38"/>
      <c r="AR246" s="5"/>
      <c r="AS246" s="38"/>
      <c r="AT246" s="144"/>
      <c r="AU246" s="185" t="str">
        <f ca="1">IF(OR(SnapshotTable[[#This Row],[LP No Fill]]="Y",SnapshotTable[[#This Row],[SP Is Filled]],SnapshotTable[[#This Row],[LC Not Filled]]="Y",SnapshotTable[[#This Row],[SC Is Filled]]),"Y","")</f>
        <v>Y</v>
      </c>
      <c r="AV246" s="205"/>
      <c r="AW246" s="211"/>
      <c r="AX246" s="206"/>
      <c r="AY246" s="205" t="str">
        <f>IF(SnapshotTable[[#This Row],[Implied Move]]&gt;0, SnapshotTable[[#This Row],[Last Price]]-SnapshotTable[[#This Row],[Implied Move]],"")</f>
        <v/>
      </c>
      <c r="AZ246" s="205" t="str">
        <f>IF(SnapshotTable[[#This Row],[Implied Move]]&gt;0, SnapshotTable[[#This Row],[Last Price]] + SnapshotTable[[#This Row],[Implied Move]],"")</f>
        <v/>
      </c>
      <c r="BA246" s="302">
        <v>21.97</v>
      </c>
      <c r="BB246" s="318"/>
      <c r="BC246" s="37">
        <f ca="1">IF(MIN(SnapshotTable[[#This Row],[LP Exp Date]], SnapshotTable[[#This Row],[SP Exp Date]], SnapshotTable[[#This Row],[LC Exp Date]], SnapshotTable[[#This Row],[SC Exp Date]])&gt;0, MIN(SnapshotTable[[#This Row],[LP Exp Date]], SnapshotTable[[#This Row],[SP Exp Date]], SnapshotTable[[#This Row],[LC Exp Date]], SnapshotTable[[#This Row],[SC Exp Date]]), "")</f>
        <v>46255</v>
      </c>
      <c r="BD246" s="321"/>
      <c r="BE246" s="136"/>
      <c r="BF246" s="164"/>
      <c r="BG246" s="165"/>
      <c r="BH246" s="165"/>
      <c r="BI246" s="207"/>
      <c r="BJ246" s="151">
        <f>IF(SnapshotTable[[#This Row],[LP Qty]] &gt; 0, SnapshotTable[[#This Row],[LP Qty]] * SnapshotTable[[#This Row],[LP Book Price]] * 100,0)</f>
        <v>0</v>
      </c>
      <c r="BK246" s="134">
        <f>IF(SnapshotTable[[#This Row],[LP Premium]] &gt; 0, SnapshotTable[[#This Row],[LP Qty]] * SnapshotTable[[#This Row],[LP Strike Price]] * 100,0)</f>
        <v>0</v>
      </c>
      <c r="BL246" s="152"/>
      <c r="BM246" s="355" t="str">
        <f>IF(SnapshotTable[[#This Row],[LP Premium]] &gt; 0,SnapshotTable[[#This Row],[LP Exp Date]]-MAX(SnapshotTable[[#This Row],[LP Book Date]], SnapshotTable[[#This Row],[LP Fill Date]]),"")</f>
        <v/>
      </c>
      <c r="BN246" s="355" t="str">
        <f>IF(ISNUMBER( SnapshotTable[[#This Row],[LP Term]]), SnapshotTable[[#This Row],[LP Exp Date]] - MockToday,"")</f>
        <v/>
      </c>
      <c r="BO246" s="161" t="str">
        <f>IF(AND(SnapshotTable[[#This Row],[LP Exp Date]]&gt;0, SnapshotTable[[#This Row],[LP Strike Price]]&gt;0,SnapshotTable[[#This Row],[LP Qty]]&gt;0,SnapshotTable[[#This Row],[LP Book Date]]&gt;0,SnapshotTable[[#This Row],[LP Book Price]]&gt;0,SnapshotTable[[#This Row],[LP Fill Date]]=0),"Y","")</f>
        <v/>
      </c>
      <c r="BP246" s="31" t="str">
        <f>IF(AND(SnapshotTable[[#This Row],[LP No Fill]]&lt;&gt;"Y",SnapshotTable[[#This Row],[LP Contract Value]]&gt;0, SnapshotTable[[#This Row],[LP Qty]]&gt;0), SnapshotTable[[#This Row],[LP Contract Value]]*SnapshotTable[[#This Row],[LP Qty]]*100,"")</f>
        <v/>
      </c>
      <c r="BQ246" s="13"/>
      <c r="BR246" s="5"/>
      <c r="BS246" s="36"/>
      <c r="BT246" s="145"/>
      <c r="BU246" s="13"/>
      <c r="BV246" s="5"/>
      <c r="BW246" s="382" t="b">
        <f>AND(ISNUMBER(SnapshotTable[[#This Row],[SP Exp Date]]), ISNUMBER(SnapshotTable[[#This Row],[SP Strike Price]]), ISNUMBER(SnapshotTable[[#This Row],[SP Qty]]), ISNUMBER(SnapshotTable[[#This Row],[SP Book Date]]), ISNUMBER(SnapshotTable[[#This Row],[SP Book Price]]))</f>
        <v>0</v>
      </c>
      <c r="BX246" s="382" t="b">
        <f>AND(SnapshotTable[[#This Row],[SP Is Booked]], NOT(ISBLANK(SnapshotTable[[#This Row],[SP Fill Date]])))</f>
        <v>0</v>
      </c>
      <c r="BY246" s="33">
        <f>IF(SnapshotTable[[#This Row],[SP Is Booked]], SnapshotTable[[#This Row],[SP Qty]] * SnapshotTable[[#This Row],[SP Book Price]] * 100, 0)</f>
        <v>0</v>
      </c>
      <c r="BZ246" s="339"/>
      <c r="CA246" s="338">
        <f>SnapshotTable[[#This Row],[LP Qty]]</f>
        <v>0</v>
      </c>
      <c r="CB246" s="4" t="str">
        <f>IF(SnapshotTable[[#This Row],[SP Is Booked]], SnapshotTable[[#This Row],[SP Strike Price]] - SnapshotTable[[#This Row],[SP Book Price]], "")</f>
        <v/>
      </c>
      <c r="CC246" s="19" t="str">
        <f>IF(SnapshotTable[[#This Row],[SP Is Booked]],SnapshotTable[[#This Row],[SP Exp Date]]-MAX(SnapshotTable[[#This Row],[SP Book Date]], SnapshotTable[[#This Row],[SP Fill Date]]),"")</f>
        <v/>
      </c>
      <c r="CD246" s="7" t="str">
        <f>IF(SnapshotTable[[#This Row],[SP Is Booked]], SnapshotTable[[#This Row],[SP Book Price]]/SnapshotTable[[#This Row],[SP Strike Price]], "")</f>
        <v/>
      </c>
      <c r="CE246" s="7" t="str">
        <f>IF(ISNUMBER(SnapshotTable[[#This Row],[SP ROO Term]]),SnapshotTable[[#This Row],[SP ROO Term]]*(365/SnapshotTable[[#This Row],[SP Term]]),"")</f>
        <v/>
      </c>
      <c r="CF246" s="221">
        <f>SnapshotTable[[#This Row],[LP Strike Price]] * SnapshotTable[[#This Row],[LP Qty]] * 100</f>
        <v>0</v>
      </c>
      <c r="CG246" s="31">
        <f>IF(ISNUMBER(SnapshotTable[[#This Row],[SP Premium]]), (SnapshotTable[[#This Row],[SP Qty]] * SnapshotTable[[#This Row],[SP Strike Price]]* 100) - SnapshotTable[[#This Row],[LP Protection]], 0)</f>
        <v>0</v>
      </c>
      <c r="CH246" s="7" t="str">
        <f>IF(ISNUMBER(SnapshotTable[[#This Row],[SP Break Even]]),-1 * (SnapshotTable[[#This Row],[SP Break Even]] - SnapshotTable[[#This Row],[Last Price]]) / SnapshotTable[[#This Row],[Last Price]], "")</f>
        <v/>
      </c>
      <c r="CI246" s="31">
        <f>IF(AND(ISNUMBER((SnapshotTable[[#This Row],[SP Potential Spend]])), SnapshotTable[[#This Row],[SP Strike Price]] &gt; SnapshotTable[[#This Row],[Last Price]], SnapshotTable[[#This Row],[SP Is Filled]]), SnapshotTable[[#This Row],[SP Potential Spend]] -  SnapshotTable[[#This Row],[LP Max Value]], 0)</f>
        <v>0</v>
      </c>
      <c r="CJ246" s="229"/>
      <c r="CK246" s="31">
        <f>IF(ISNUMBER(SnapshotTable[[#This Row],[SP Potential Spend]]),IF(ISNUMBER(SnapshotTable[[#This Row],[SP POW]]), SnapshotTable[[#This Row],[SP POW]] * SnapshotTable[[#This Row],[SP Potential Spend]], SnapshotTable[[#This Row],[SP Potential Spend]]), "")</f>
        <v>0</v>
      </c>
      <c r="CL246" s="162">
        <f>IF(NOT(SnapshotTable[[#This Row],[SP Is Filled]]),(SnapshotTable[[#This Row],[SP Qty]] * SnapshotTable[[#This Row],[SP Strike Price]] * 100) - SnapshotTable[[#This Row],[LP Max Value]],"")</f>
        <v>0</v>
      </c>
      <c r="CM246" s="31" t="str">
        <f>IF(SnapshotTable[[#This Row],[SP Actual Spend]]&lt;&gt;0, ((SnapshotTable[[#This Row],[SP Strike Price]]-SnapshotTable[[#This Row],[Last Price]]) *(SnapshotTable[[#This Row],[SP Qty]]*100) - SnapshotTable[[#This Row],[SP Premium]]) * - 1, "")</f>
        <v/>
      </c>
      <c r="CN246" s="152"/>
      <c r="CO246" s="339"/>
      <c r="CP246" s="4" t="str">
        <f>IF(SnapshotTable[[#This Row],[SP Is Filled]], btc_max_buyback_amount(SnapshotTable[[#This Row],[SP Fill Date]],SnapshotTable[[#This Row],[SP Exp Date]], SnapshotTable[[#This Row],[SP Book Price]]),"")</f>
        <v/>
      </c>
      <c r="CQ246" s="76"/>
      <c r="CR246"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6" s="153" t="str">
        <f>IF(SnapshotTable[[#This Row],[SP Is Filled]], btc_next_cutoff_date(SnapshotTable[[#This Row],[SP Fill Date]],SnapshotTable[[#This Row],[SP Exp Date]]),"")</f>
        <v/>
      </c>
      <c r="CT246" s="220" t="str" cm="1">
        <f t="array" ref="CT246">IF(SnapshotTable[[#This Row],[SP Is Filled]], btc_should_buy_back(SnapshotTable[[#This Row],[SP Fill Date]], SnapshotTable[[#This Row],[SP Exp Date]], SnapshotTable[[#This Row],[SP Book Price]], SnapshotTable[[#This Row],[SP Current Ask]], MockToday, SnapshotTable[[#This Row],[SP Buyback Override]]),"")</f>
        <v/>
      </c>
      <c r="CU246" s="141"/>
      <c r="CV246" s="220"/>
      <c r="CW246" s="348" t="str">
        <f>IF(ISNUMBER( SnapshotTable[[#This Row],[SP Term]]), SnapshotTable[[#This Row],[SP Exp Date]] - MockToday,"")</f>
        <v/>
      </c>
      <c r="CX246" s="31" t="str">
        <f>IF(SnapshotTable[[#This Row],[SP Is Filled]],SnapshotTable[[#This Row],[SP Buyback Price to Use]] * 100 * SnapshotTable[[#This Row],[SP Qty]], "")</f>
        <v/>
      </c>
      <c r="CY246" s="4" t="str">
        <f>IF(ISNUMBER(SnapshotTable[[#This Row],[SP Strike Price]]), SnapshotTable[[#This Row],[SP Strike Price]] * (1 - SP_MaxLoss_StrikePct), "")</f>
        <v/>
      </c>
      <c r="CZ246" s="31" t="str">
        <f>IF(ISNUMBER(SnapshotTable[[#This Row],[SP Strike  Stop Per Share]]),SnapshotTable[[#This Row],[SP Premium]] - ((SnapshotTable[[#This Row],[SP Strike Price]]-SnapshotTable[[#This Row],[SP Strike  Stop Per Share]]) *(SnapshotTable[[#This Row],[SP Qty]] * 100)),"")</f>
        <v/>
      </c>
      <c r="DA246" s="4" t="str">
        <f>IF(AND(ISNUMBER(SnapshotTable[[#This Row],[SP Premium]]),SnapshotTable[[#This Row],[SP Premium]]&gt;0), SnapshotTable[[#This Row],[SP Book Price]] * (1 + SP_MaxLoss_OptionPct), "")</f>
        <v/>
      </c>
      <c r="DB246" s="31" t="str">
        <f>IF(ISNUMBER(SnapshotTable[[#This Row],[SP Option  Stop Contract]]),(SnapshotTable[[#This Row],[SP Option  Stop Contract]] *(SnapshotTable[[#This Row],[SP Qty]] * 100) - SnapshotTable[[#This Row],[SP Premium]]),"")</f>
        <v/>
      </c>
      <c r="DC246" s="4"/>
      <c r="DD246" s="4"/>
      <c r="DE246" s="4" t="str">
        <f>IF(AND(SnapshotTable[[#This Row],[SP Qty]]&gt;0, SnapshotTable[[#This Row],[SP Stop To Use]]&gt;0),SnapshotTable[[#This Row],[SP Premium]] - ( SnapshotTable[[#This Row],[SP Qty]] * SnapshotTable[[#This Row],[SP Stop To Use]] * 100), "")</f>
        <v/>
      </c>
      <c r="DF246" s="31" t="str">
        <f>IF(AND(SnapshotTable[[#This Row],[SP Qty]]&gt;0,SnapshotTable[[#This Row],[SP Current Ask]]&gt;0), SnapshotTable[[#This Row],[SP Qty]] * SnapshotTable[[#This Row],[SP Current Ask]] * -100, "")</f>
        <v/>
      </c>
      <c r="DG246" s="31" t="str">
        <f>IF(ISNUMBER((SnapshotTable[[#This Row],[SP Total Value]])), SnapshotTable[[#This Row],[SP Premium]] + SnapshotTable[[#This Row],[SP Total Value]], "")</f>
        <v/>
      </c>
      <c r="DH246" s="272" t="str">
        <f>IF(ISNUMBER((SnapshotTable[[#This Row],[SP Total Value]])), SnapshotTable[[#This Row],[SP Gain Loss]] / SnapshotTable[[#This Row],[SP Premium]], "")</f>
        <v/>
      </c>
      <c r="DI246" s="369"/>
      <c r="DJ246" s="136"/>
      <c r="DK246" s="146"/>
      <c r="DL246" s="145"/>
      <c r="DM246" s="145"/>
      <c r="DO246" s="31">
        <f>IF(SnapshotTable[[#This Row],[LC Symbol Count]]=1, SnapshotTable[[#This Row],[LC Qty]] * SnapshotTable[[#This Row],[LC Book Price]] * 100, 0)</f>
        <v>0</v>
      </c>
      <c r="DP246" s="161" t="str">
        <f>IF(AND(SnapshotTable[[#This Row],[LC Exp Date]]&gt;0, SnapshotTable[[#This Row],[LC Strike Price]]&gt;0,SnapshotTable[[#This Row],[LC Qty]]&gt;0,SnapshotTable[[#This Row],[LC Book Date]]&gt;0,SnapshotTable[[#This Row],[LC Book Price]]&gt;0,SnapshotTable[[#This Row],[LC Fill Date]]=0),"Y","")</f>
        <v/>
      </c>
      <c r="DQ246" s="356" t="str">
        <f>IF(SnapshotTable[[#This Row],[LC Premium]] &gt; 0,SnapshotTable[[#This Row],[LC Exp Date]]-MAX(SnapshotTable[[#This Row],[LC Book Date]], SnapshotTable[[#This Row],[LC Fill Date]]),"")</f>
        <v/>
      </c>
      <c r="DR246" s="356" t="str">
        <f>IF(ISNUMBER(SnapshotTable[[#This Row],[LC Term]]), SnapshotTable[[#This Row],[LC Exp Date]] - MockToday, "")</f>
        <v/>
      </c>
      <c r="DS246" s="219" t="str">
        <f>IF(SnapshotTable[[#This Row],[LC Premium]]&gt;0,SnapshotTable[[#This Row],[LC Strike Price]] + SnapshotTable[[#This Row],[LC Book Price]],"")</f>
        <v/>
      </c>
      <c r="DU246" s="9" t="str">
        <f>IF(AND(SnapshotTable[[#This Row],[LC Symbol Count]]&gt;0, SnapshotTable[[#This Row],[LC Contract Value]]&gt;0), SnapshotTable[[#This Row],[LC Contract Value]] * SnapshotTable[[#This Row],[LC Qty]] * 100, "")</f>
        <v/>
      </c>
      <c r="DV246" s="9" t="str">
        <f>IF(AND(ISNUMBER(SnapshotTable[[#This Row],[LC Total Value]]), SnapshotTable[[#This Row],[LC Not Filled]]&lt;&gt;"Y"), SnapshotTable[[#This Row],[LC Total Value]]-SnapshotTable[[#This Row],[LC Premium]],"")</f>
        <v/>
      </c>
      <c r="DW246" s="225" t="str">
        <f>IF(ISNUMBER(SnapshotTable[[#This Row],[LC Actual Gain Loss]]), SnapshotTable[[#This Row],[LC Actual Gain Loss]] / SnapshotTable[[#This Row],[LC Premium]],"")</f>
        <v/>
      </c>
      <c r="DX246" s="269" t="str">
        <f>IF(ISNUMBER(SnapshotTable[[#This Row],[LC Book Price]]),SnapshotTable[[#This Row],[LC Book Price]] * 1.5,"")</f>
        <v/>
      </c>
      <c r="DY246" s="250" t="str">
        <f>IF(SnapshotTable[[#This Row],[LC Premium]]&gt;0, SnapshotTable[[#This Row],[LC Next Target]] * SnapshotTable[[#This Row],[LC Qty]] * 100,"")</f>
        <v/>
      </c>
      <c r="DZ246" s="250" t="str">
        <f>IF(ISNUMBER(SnapshotTable[[#This Row],[LC Target Gross]]), SnapshotTable[[#This Row],[LC Target Gross]] - SnapshotTable[[#This Row],[LC Premium]], "")</f>
        <v/>
      </c>
      <c r="EA246" s="283" t="str">
        <f>IF(ISNUMBER(SnapshotTable[[#This Row],[LC Target Gain Loss]]), SnapshotTable[[#This Row],[LC Target Gain Loss]]/SnapshotTable[[#This Row],[LC Premium]], "")</f>
        <v/>
      </c>
      <c r="EB246" s="247"/>
      <c r="EC246" s="268" t="str">
        <f>IF(SnapshotTable[[#This Row],[LC Premium]]&gt;0, SnapshotTable[[#This Row],[LC Book Price]] * (1 - LC_StopLoss_Pct),"")</f>
        <v/>
      </c>
      <c r="ED246" s="269"/>
      <c r="EE246" s="268" t="str">
        <f>IF(ISNUMBER(SnapshotTable[[#This Row],[LC Contract Value]]),IF(ISNUMBER(SnapshotTable[[#This Row],[LC Stop Loss Override]]), SnapshotTable[[#This Row],[LC Stop Loss Override]],SnapshotTable[[#This Row],[LC Stop Loss Calc Target]]),"")</f>
        <v/>
      </c>
      <c r="EF246" s="31" t="str">
        <f>IF(ISNUMBER(SnapshotTable[[#This Row],[LC Stop  To Use]]), (SnapshotTable[[#This Row],[LC Stop  To Use]] * SnapshotTable[[#This Row],[LC Qty]] * 100),"")</f>
        <v/>
      </c>
      <c r="EG246" s="9" t="str">
        <f>IF(ISNUMBER(SnapshotTable[[#This Row],[LC Total Value]]),SnapshotTable[[#This Row],[LC Stop Loss Amount]] - SnapshotTable[[#This Row],[LC Premium]],"")</f>
        <v/>
      </c>
      <c r="EH246" s="9">
        <f>IF(ISNUMBER(SnapshotTable[[#This Row],[LC Premium]]), SnapshotTable[[#This Row],[LC Qty]] * 100 * SnapshotTable[[#This Row],[LC Strike Price]], "")</f>
        <v>0</v>
      </c>
      <c r="EI246" s="225" t="str">
        <f>IF(AND(ISNUMBER(SnapshotTable[[#This Row],[LC Total Value]]),SnapshotTable[[#This Row],[LC Total Value]]&gt;0),SnapshotTable[[#This Row],[LC Stop Gain Loss]]  / SnapshotTable[[#This Row],[LC Premium]],"")</f>
        <v/>
      </c>
      <c r="EJ246" s="35">
        <f>IF(ISNUMBER(SnapshotTable[[#This Row],[Equity Shares]]),TRUNC(SnapshotTable[[#This Row],[Equity Shares]] / 100),0) + SnapshotTable[[#This Row],[LC Qty]]</f>
        <v>10</v>
      </c>
      <c r="EK246" s="145">
        <f ca="1">NextMonthlyOpex</f>
        <v>46255</v>
      </c>
      <c r="EL246" s="136">
        <v>18</v>
      </c>
      <c r="EM246" s="146">
        <v>10</v>
      </c>
      <c r="EN246" s="145">
        <f ca="1">WORKDAY(MockToday, 0)</f>
        <v>46229</v>
      </c>
      <c r="EO246" s="145">
        <f ca="1">SnapshotTable[[#This Row],[SC Book Date]]</f>
        <v>46229</v>
      </c>
      <c r="EP246" s="136">
        <v>1</v>
      </c>
      <c r="EQ246" s="382" t="b">
        <f ca="1">AND(ISNUMBER(SnapshotTable[[#This Row],[SC Exp Date]]), ISNUMBER(SnapshotTable[[#This Row],[SC Strike Price]]), ISNUMBER(SnapshotTable[[#This Row],[SC Qty]]), ISNUMBER(SnapshotTable[[#This Row],[SC Book Date]]), ISNUMBER(SnapshotTable[[#This Row],[SC Book Price]]))</f>
        <v>1</v>
      </c>
      <c r="ER246" s="382" t="b">
        <f ca="1">AND(SnapshotTable[[#This Row],[SC Is Booked]], NOT(ISBLANK(SnapshotTable[[#This Row],[SC Fill Date]])))</f>
        <v>1</v>
      </c>
      <c r="ES246" s="340">
        <v>0.34</v>
      </c>
      <c r="ET246" s="34">
        <f ca="1">IF(AND(ISNUMBER(SnapshotTable[[#This Row],[SC Exp Date]]), ISNUMBER(SnapshotTable[[#This Row],[SC Book Date]])), SnapshotTable[[#This Row],[SC Exp Date]] - MAX(SnapshotTable[[#This Row],[SC Book Date]], SnapshotTable[[#This Row],[SC Fill Date]]) + 1, "")</f>
        <v>27</v>
      </c>
      <c r="EU246" s="34">
        <f ca="1">IF(ISNUMBER(SnapshotTable[[#This Row],[SC Term]]), SnapshotTable[[#This Row],[SC Exp Date]]- MockToday, "")</f>
        <v>26</v>
      </c>
      <c r="EV246" s="31">
        <f ca="1">IF(SnapshotTable[[#This Row],[SC Is Booked]], SnapshotTable[[#This Row],[SC Qty]] * SnapshotTable[[#This Row],[SC Book Price]] * 100, 0)</f>
        <v>1000</v>
      </c>
      <c r="EW246" s="4">
        <f>IF(AND(ISNUMBER(SnapshotTable[[#This Row],[Last Price]]), ISNUMBER( SnapshotTable[[#This Row],[SC Book Price]])), SnapshotTable[[#This Row],[Last Price]] - SnapshotTable[[#This Row],[SC Book Price]],"")</f>
        <v>15.46</v>
      </c>
      <c r="EX246" s="219">
        <f ca="1">IF(SnapshotTable[[#This Row],[SC Is Booked]],IF(SnapshotTable[[#This Row],[SC Intrinsic Value]] &gt; 0, SnapshotTable[[#This Row],[SC Strike Price]], SnapshotTable[[#This Row],[Last Price]]), "")</f>
        <v>16.46</v>
      </c>
      <c r="EY246" s="4">
        <f ca="1">IF(SnapshotTable[[#This Row],[SC Is Booked]], (MinimumPremiumRequired * SnapshotTable[[#This Row],[SC Basis]] * SnapshotTable[[#This Row],[SC Term]]), 0)</f>
        <v>0.44442000000000004</v>
      </c>
      <c r="EZ246" s="268"/>
      <c r="FA246" s="204">
        <v>0.69</v>
      </c>
      <c r="FB246" s="340">
        <v>0.32</v>
      </c>
      <c r="FC246" s="4" t="e">
        <f ca="1">IF(SnapshotTable[[#This Row],[SC Is Filled]], btc_max_buyback_amount(SnapshotTable[[#This Row],[SC Fill Date]],SnapshotTable[[#This Row],[SC Exp Date]], SnapshotTable[[#This Row],[SC Book Price]]),0)</f>
        <v>#NAME?</v>
      </c>
      <c r="FD246" s="5"/>
      <c r="FE246" s="142" t="e">
        <f ca="1">IF(SnapshotTable[[#This Row],[SC Is Filled]], btc_next_cutoff_date(SnapshotTable[[#This Row],[SC Fill Date]],SnapshotTable[[#This Row],[SC Exp Date]]),"")</f>
        <v>#NAME?</v>
      </c>
      <c r="FF246" s="4" t="e" cm="1">
        <f t="array" aca="1" ref="FF246" ca="1">IF(SnapshotTable[[#This Row],[SC Is Filled]], btc_should_buy_back(SnapshotTable[[#This Row],[SC Fill Date]], SnapshotTable[[#This Row],[SC Exp Date]], SnapshotTable[[#This Row],[SC Book Price]], SnapshotTable[[#This Row],[SC Current Ask]], MockToday, SnapshotTable[[#This Row],[SC Buyback Override]]),"")</f>
        <v>#NAME?</v>
      </c>
      <c r="FG246" s="4">
        <f ca="1">IF(SnapshotTable[[#This Row],[SC Is Filled]], MAX(0,SnapshotTable[[#This Row],[Last Price]]  - SnapshotTable[[#This Row],[SC Strike Price]]), 0)</f>
        <v>0</v>
      </c>
      <c r="FH246" s="352">
        <f ca="1">IF(SnapshotTable[[#This Row],[SC Is Filled]], IF(ISNUMBER(SnapshotTable[[#This Row],[SC Current Ask]]), SnapshotTable[[#This Row],[SC Current Ask]], SnapshotTable[[#This Row],[SC Book Price]]) - SnapshotTable[[#This Row],[SC Intrinsic Value]], 0)</f>
        <v>0.69</v>
      </c>
      <c r="FI246" s="141">
        <v>46255</v>
      </c>
      <c r="FJ246" s="32">
        <f ca="1">IF(SnapshotTable[[#This Row],[SC Is Filled]],100 * SnapshotTable[[#This Row],[SC Qty]] * IF(ISNUMBER(SnapshotTable[[#This Row],[SC Buyback Override]]), SnapshotTable[[#This Row],[SC Buyback Override]], SnapshotTable[[#This Row],[SC Current Ask]]), "")</f>
        <v>690</v>
      </c>
      <c r="FK246" s="235">
        <f ca="1">IF(SnapshotTable[[#This Row],[SC Time Val]]&gt;0, SnapshotTable[[#This Row],[SC Time Val]] / SnapshotTable[[#This Row],[Last Price]],"")</f>
        <v>4.1919805589307406E-2</v>
      </c>
      <c r="FL246" s="280">
        <f ca="1">IF(SnapshotTable[[#This Row],[SC Is Booked]], ((SnapshotTable[[#This Row],[Last Price]] -SnapshotTable[[#This Row],[SC Strike Price]]) / SnapshotTable[[#This Row],[Last Price]]) * -1, "")</f>
        <v>9.3560145808019385E-2</v>
      </c>
      <c r="FM246" s="155">
        <f ca="1">IF(SnapshotTable[[#This Row],[SC Is Booked]],  (SnapshotTable[[#This Row],[SC Qty]] * 100 * SnapshotTable[[#This Row],[SC Strike Price]]) - SnapshotTable[[#This Row],[SC Current Ask]], "")</f>
        <v>17999.310000000001</v>
      </c>
      <c r="FN246" s="155" t="str">
        <f ca="1">IF(AND(ISNUMBER(SnapshotTable[[#This Row],[SC Exercise Gross]]), SnapshotTable[[#This Row],[SC Exercise Gross]] &lt; (SnapshotTable[[#This Row],[SC Qty]] * 100 * SnapshotTable[[#This Row],[Last Price]])),  (SnapshotTable[[#This Row],[SC Qty]] * 100 * SnapshotTable[[#This Row],[Last Price]]) - SnapshotTable[[#This Row],[SC Exercise Gross]], "")</f>
        <v/>
      </c>
      <c r="FO246" s="155">
        <f ca="1">IF(AND(ISNUMBER(SnapshotTable[[#This Row],[SC Exercise Gross]]), ISNUMBER(SnapshotTable[[#This Row],[Equity Basis Per Share]] )), SnapshotTable[[#This Row],[SC Exercise Gross]] - SnapshotTable[[#This Row],[Equity Basis Total]] +  SnapshotTable[[#This Row],[SC Premium]], "")</f>
        <v>-3000.6899999999987</v>
      </c>
      <c r="FP246" s="5">
        <f ca="1">IF(ISNUMBER(SnapshotTable[[#This Row],[SC Exercise Gross]]), (SnapshotTable[[#This Row],[SC Exercise Gross]]) / (SnapshotTable[[#This Row],[SC Qty]] * 100), "")</f>
        <v>17.999310000000001</v>
      </c>
      <c r="FQ246" s="27">
        <f ca="1">IF(SnapshotTable[[#This Row],[SC Is Booked]],SnapshotTable[[#This Row],[SC Time Val]] /SnapshotTable[[#This Row],[SC Basis]], "")</f>
        <v>4.1919805589307406E-2</v>
      </c>
      <c r="FR246" s="27" t="e" cm="1">
        <f t="array" aca="1" ref="FR246" ca="1">IF(AND(ISNUMBER(SnapshotTable[[#This Row],[SC Term]]),ISNUMBER(SnapshotTable[[#This Row],[SC Simple ROO]])), EllmanAnnualize(SnapshotTable[[#This Row],[SC DTE]], SnapshotTable[[#This Row],[SC Simple ROO]] ),"")</f>
        <v>#NAME?</v>
      </c>
      <c r="FS246" s="4">
        <f>IF(SnapshotTable[[#This Row],[SC Strike Price]] &gt; SnapshotTable[[#This Row],[Last Price]], SnapshotTable[[#This Row],[SC Strike Price]] - SnapshotTable[[#This Row],[Last Price]],0)</f>
        <v>1.5399999999999991</v>
      </c>
      <c r="FT246" s="27">
        <f>IF(AND(ISNUMBER(SnapshotTable[[#This Row],[SC Upside Potential]]), SnapshotTable[[#This Row],[SC Upside Potential]] &gt; 0),(SnapshotTable[[#This Row],[SC Upside Potential]]/ SnapshotTable[[#This Row],[ACB]]),"")</f>
        <v>7.0095584888484261E-2</v>
      </c>
      <c r="FU246" s="304" t="str">
        <f ca="1">IF(SnapshotTable[[#This Row],[SC Intrinsic Value]] &gt; 0,SnapshotTable[[#This Row],[SC Intrinsic Value]],"")</f>
        <v/>
      </c>
      <c r="FV246" s="27" t="str">
        <f ca="1">IF(AND( ISNUMBER( SnapshotTable[[#This Row],[ACB]]),ISNUMBER(SnapshotTable[[#This Row],[SC Downside Protect]])),SnapshotTable[[#This Row],[SC Downside Protect]] / SnapshotTable[[#This Row],[ACB]],"")</f>
        <v/>
      </c>
      <c r="FW246" s="221">
        <f ca="1">IF(AND(ISNUMBER(SnapshotTable[[#This Row],[SC Simple ROO]]),SnapshotTable[[#This Row],[SC Simple ROO]] &gt; 0), SnapshotTable[[#This Row],[SC Premium]] + (SnapshotTable[[#This Row],[SC Qty]] * SnapshotTable[[#This Row],[SC Upside Potential]]), "")</f>
        <v>1015.4</v>
      </c>
      <c r="FX246" s="280" t="e" cm="1">
        <f t="array" aca="1" ref="FX246" ca="1">IF(ISNUMBER(SnapshotTable[[#This Row],[SC Max Dollars]]), annualize(SnapshotTable[[#This Row],[SC Term]],(SnapshotTable[[#This Row],[SC Max Dollars]]/SnapshotTable[[#This Row],[SC Basis]])),"")</f>
        <v>#NAME?</v>
      </c>
      <c r="FY246" s="221">
        <f>IF(AND(SnapshotTable[[#This Row],[SC Qty]]&gt;0,SnapshotTable[[#This Row],[SC Current Ask]]&gt;0), SnapshotTable[[#This Row],[SC Qty]] * SnapshotTable[[#This Row],[SC Current Ask]] * -100, "")</f>
        <v>-690</v>
      </c>
      <c r="FZ246" s="220">
        <f ca="1">IF(ISNUMBER((SnapshotTable[[#This Row],[SC Current Value]])), SnapshotTable[[#This Row],[SC Premium]] + SnapshotTable[[#This Row],[SC Current Value]], "")</f>
        <v>310</v>
      </c>
      <c r="GA246" s="272">
        <f ca="1">IFERROR( IF(ISNUMBER((SnapshotTable[[#This Row],[SC Current Value]])), SnapshotTable[[#This Row],[SC Gain Loss]] / SnapshotTable[[#This Row],[SC Premium]], ""), "")</f>
        <v>0.31</v>
      </c>
      <c r="GB246" s="42">
        <f>SnapshotTable[[#This Row],[Equity Shares]] * SaleSharesToConsiderPercentage</f>
        <v>200</v>
      </c>
      <c r="GC246" s="40">
        <f>SnapshotTable[[#This Row],[Long Term Target]] * SellingPriceToConsiderBasedOnTargetPercentage</f>
        <v>38</v>
      </c>
      <c r="GD246" s="40">
        <f>SnapshotTable[[#This Row],[Last Price]] * (1+ SellingPriceToConsiderBasedOnTargetPercentage)</f>
        <v>32.097000000000001</v>
      </c>
      <c r="GE246" s="41"/>
      <c r="GF246" s="40"/>
      <c r="GG246" s="31">
        <f>SnapshotTable[[#This Row],[Booked Sale Shares]] * SnapshotTable[[#This Row],[Booked Sale Price]]</f>
        <v>0</v>
      </c>
      <c r="GH246" s="31">
        <f>IF(SnapshotTable[[#This Row],[Equity Basis Total]] &gt; 0, SnapshotTable[[#This Row],[Equity Basis Per Share]] * SnapshotTable[[#This Row],[Booked Sale Shares]], "")</f>
        <v>0</v>
      </c>
      <c r="GI246" s="31">
        <f>IF(SnapshotTable[[#This Row],[Sale Proceeds]]&gt;0, SnapshotTable[[#This Row],[Sale Proceeds]] - SnapshotTable[[#This Row],[Sale Basis]], 0)</f>
        <v>0</v>
      </c>
      <c r="GJ246" s="156">
        <f ca="1">IF(SnapshotTable[[#This Row],[Sale G/L]]&gt;0, SnapshotTable[[#This Row],[Sale G/L]] / SnapshotTable[[#This Row],[Sale Basis]], IF(ISNUMBER(SnapshotTable[[#This Row],[SC Exercise P&amp;L (TAX)]]), SnapshotTable[[#This Row],[SC Exercise P&amp;L (TAX)]] / SnapshotTable[[#This Row],[SC Basis]], ""))</f>
        <v>-182.30194410692579</v>
      </c>
      <c r="GK246" s="27" t="s">
        <v>806</v>
      </c>
      <c r="GL246" s="157" t="str">
        <f>IF(AND(SnapshotTable[[#This Row],[LP Exp Date]]&gt;0,SnapshotTable[[#This Row],[LP Strike Price]]&gt;0), [1]!ToOptionSymbol(SnapshotTable[[#This Row],[Symbol]], SnapshotTable[[#This Row],[LP Strike Price]],SnapshotTable[[#This Row],[LP Exp Date]],1), "")</f>
        <v/>
      </c>
      <c r="GM246" s="30" t="str">
        <f>IF(LEN(SnapshotTable[[#This Row],[LP Symbol]])&gt;0, 1, "")</f>
        <v/>
      </c>
      <c r="GN246" s="43" t="str">
        <f>IF(AND(SnapshotTable[[#This Row],[SP Exp Date]]&gt;0,SnapshotTable[[#This Row],[SP Strike Price]]&gt;0), [1]!ToOptionSymbol(SnapshotTable[[#This Row],[Symbol]], SnapshotTable[[#This Row],[SP Strike Price]],SnapshotTable[[#This Row],[SP Exp Date]],1), "")</f>
        <v/>
      </c>
      <c r="GO246" s="30" t="str">
        <f>IF(LEN(SnapshotTable[[#This Row],[SP Symbol]])&gt;0, 1, "")</f>
        <v/>
      </c>
      <c r="GP246" s="157" t="str">
        <f>IF(AND(SnapshotTable[[#This Row],[LC Exp Date]]&gt;0,SnapshotTable[[#This Row],[LC Strike Price]]&gt;0), [1]!ToOptionSymbol(SnapshotTable[[#This Row],[Symbol]], SnapshotTable[[#This Row],[LC Strike Price]],SnapshotTable[[#This Row],[LC Exp Date]],0), "")</f>
        <v/>
      </c>
      <c r="GQ246" s="158" t="str">
        <f>IF(LEN(SnapshotTable[[#This Row],[LC Symbol]])&gt;0, 1, "")</f>
        <v/>
      </c>
      <c r="GR246" s="157" t="str">
        <f ca="1">IF(AND(SnapshotTable[[#This Row],[SC Exp Date]]&gt;0,SnapshotTable[[#This Row],[SC Strike Price]]&gt;0), [1]!ToOptionSymbol(SnapshotTable[[#This Row],[Symbol]], SnapshotTable[[#This Row],[SC Strike Price]],SnapshotTable[[#This Row],[SC Exp Date]],0), "")</f>
        <v>SOFI260821C00018000</v>
      </c>
      <c r="GS246" s="158">
        <f ca="1">IF(LEN(SnapshotTable[[#This Row],[SC Symbol]])&gt;0, 1, "")</f>
        <v>1</v>
      </c>
      <c r="GT246" s="159" t="str">
        <f ca="1">IF(COUNT(SnapshotTable[[#This Row],[LP Symbol Count]],SnapshotTable[[#This Row],[SP Symbol Count]],SnapshotTable[[#This Row],[LC Symbol Count]],SnapshotTable[[#This Row],[SC Symbol Count]])&gt;0, "Y", "")</f>
        <v>Y</v>
      </c>
      <c r="GU246" s="29" t="str">
        <f ca="1">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SC </v>
      </c>
      <c r="GV246" s="216">
        <f ca="1">MAX(SnapshotTable[[#This Row],[Equity Basis Total]],SnapshotTable[[#This Row],[Equity Value]]) + (SnapshotTable[[#This Row],[SP Potential Spend]]- SnapshotTable[[#This Row],[SP Premium]] + SnapshotTable[[#This Row],[LP Premium]])+ (SnapshotTable[[#This Row],[LC Premium]] - SnapshotTable[[#This Row],[SC Premium]])</f>
        <v>21000</v>
      </c>
      <c r="GW246" s="137">
        <f ca="1">IF(AND(SnapshotTable[[#This Row],[Exposure]] &lt;&gt; 0),SnapshotTable[[#This Row],[Exposure]] / SnapshotTable[[#Totals],[Exposure]], "")</f>
        <v>0.11660124041510042</v>
      </c>
      <c r="HK246" s="1"/>
      <c r="HL246" s="1"/>
      <c r="HM246" s="1"/>
      <c r="HN246" s="1"/>
      <c r="HO246" s="1"/>
      <c r="HP246" s="1"/>
    </row>
    <row r="247" spans="2:224" ht="12.75" hidden="1" customHeight="1" x14ac:dyDescent="0.25">
      <c r="B247" s="12" t="s">
        <v>894</v>
      </c>
      <c r="C247" s="385">
        <v>1E-4</v>
      </c>
      <c r="D247" s="200" t="s">
        <v>179</v>
      </c>
      <c r="E247" s="39">
        <f>SnapshotTable[[#This Row],[Last Price]]*(1 -CrashDiscount)</f>
        <v>8.5000000000000006E-5</v>
      </c>
      <c r="F247" s="26" t="s">
        <v>895</v>
      </c>
      <c r="G247" s="296" t="s">
        <v>24</v>
      </c>
      <c r="H247" s="147"/>
      <c r="I247" s="186"/>
      <c r="J247" s="187"/>
      <c r="K247" s="188"/>
      <c r="L247" s="297"/>
      <c r="M247" s="138"/>
      <c r="N247" s="138"/>
      <c r="O247" s="138"/>
      <c r="P247" s="22">
        <v>30000</v>
      </c>
      <c r="Q247" s="25">
        <v>990</v>
      </c>
      <c r="R247" s="4">
        <f>IF(SnapshotTable[[#This Row],[Equity Basis Total]] &gt; 0, SnapshotTable[[#This Row],[Equity Basis Total]] / SnapshotTable[[#This Row],[Equity Shares]], "")</f>
        <v>3.3000000000000002E-2</v>
      </c>
      <c r="S247" s="254">
        <f>SnapshotTable[[#This Row],[Last Price]] * SnapshotTable[[#This Row],[Equity Shares]]</f>
        <v>3</v>
      </c>
      <c r="T247" s="254">
        <f>SnapshotTable[[#This Row],[Equity Value]] - SnapshotTable[[#This Row],[Equity Basis Total]]</f>
        <v>-987</v>
      </c>
      <c r="U247" s="255">
        <f>IF(SnapshotTable[[#This Row],[Equity Basis Total]] &gt; 0, SnapshotTable[[#This Row],[Equity G/L]] / SnapshotTable[[#This Row],[Equity Basis Total]], "")</f>
        <v>-0.99696969696969695</v>
      </c>
      <c r="V247" s="253"/>
      <c r="W247" s="253"/>
      <c r="X247" s="4" t="str">
        <f>IF(AND(ISNUMBER(SnapshotTable[[#This Row],[Equity Basis Per Share]]),ISNUMBER(SnapshotTable[[#This Row],[Equity Target]])),SnapshotTable[[#This Row],[Equity Target]]-SnapshotTable[[#This Row],[Equity Basis Per Share]],"")</f>
        <v/>
      </c>
      <c r="Y247" s="4" t="str">
        <f>IF(AND(ISNUMBER(SnapshotTable[[#This Row],[Equity Basis Per Share]]),ISNUMBER(SnapshotTable[[#This Row],[Equity Stop Loss]])),SnapshotTable[[#This Row],[Equity Stop Loss]]-SnapshotTable[[#This Row],[Equity Basis Per Share]],"")</f>
        <v/>
      </c>
      <c r="Z247" s="260" t="str">
        <f>IFERROR( TEXT(SnapshotTable[[#This Row],[Equity Max Gain Per Share]] /ABS( SnapshotTable[[#This Row],[Equity Max Loss Per Share]]),"0.0 " ) &amp; " : 1", "")</f>
        <v/>
      </c>
      <c r="AA247" s="31" t="str">
        <f>IF(ISNUMBER(SnapshotTable[[#This Row],[Equity Max Gain Per Share]]),SnapshotTable[[#This Row],[Equity Max Gain Per Share]] * SnapshotTable[[#This Row],[Equity Shares]],"")</f>
        <v/>
      </c>
      <c r="AB247" s="31" t="str">
        <f>IF(ISNUMBER(SnapshotTable[[#This Row],[Equity Max Loss Per Share]]),SnapshotTable[[#This Row],[Equity Max Loss Per Share]] * SnapshotTable[[#This Row],[Equity Shares]],"")</f>
        <v/>
      </c>
      <c r="AC247" s="148"/>
      <c r="AD247" s="149"/>
      <c r="AE247" s="31">
        <f>(SnapshotTable[[#This Row],[Annual Dividend Per Share]] / 4) * SnapshotTable[[#This Row],[Equity Shares]]</f>
        <v>0</v>
      </c>
      <c r="AF247" s="31">
        <f>SnapshotTable[[#This Row],[Quarterly Div $]] * 4</f>
        <v>0</v>
      </c>
      <c r="AG247" s="7">
        <f>IF(SnapshotTable[[#This Row],[Annual Dividend Per Share]]&gt;0, SnapshotTable[[#This Row],[Annual Dividend Per Share]]  / SnapshotTable[[#This Row],[Last Price]], 0)</f>
        <v>0</v>
      </c>
      <c r="AH247" s="149"/>
      <c r="AI247" s="5"/>
      <c r="AJ247" s="136"/>
      <c r="AK247" s="150" t="str">
        <f>IF(ISNUMBER( SnapshotTable[[#This Row],[EBF Target]]),(SnapshotTable[[#This Row],[EBF Target]] - SnapshotTable[[#This Row],[Last Price]]) / SnapshotTable[[#This Row],[Last Price]], "")</f>
        <v/>
      </c>
      <c r="AL247" s="150" t="str">
        <f>IF(AND(SnapshotTable[[#This Row],[Equity Basis Total]] &gt; 0,ISNUMBER( SnapshotTable[[#This Row],[Long Term Target]])), SnapshotTable[[#This Row],[From Basis $]] / SnapshotTable[[#This Row],[Equity Basis Total]], "")</f>
        <v/>
      </c>
      <c r="AM247" s="9">
        <f>IF( AND(SnapshotTable[[#This Row],[Equity Shares]] &gt;0,ISNUMBER( SnapshotTable[[#This Row],[Long Term Target]])),(SnapshotTable[[#This Row],[Equity Shares]] * SnapshotTable[[#This Row],[Long Term Target]]) - SnapshotTable[[#This Row],[Equity Basis Total]],0)</f>
        <v>0</v>
      </c>
      <c r="AN247" s="9">
        <f>IF( AND(SnapshotTable[[#This Row],[Equity Shares]] &gt;0,ISNUMBER( SnapshotTable[[#This Row],[Long Term Target]])),(SnapshotTable[[#This Row],[Equity Shares]]*SnapshotTable[[#This Row],[Long Term Target]]) - SnapshotTable[[#This Row],[Equity Value]],0)</f>
        <v>0</v>
      </c>
      <c r="AO247" s="150" t="str">
        <f>IF(AND(ISNUMBER( SnapshotTable[[#This Row],[Long Term Target]]), ISNUMBER(SnapshotTable[[#This Row],[Last Price]])),(SnapshotTable[[#This Row],[Long Term Target]] - SnapshotTable[[#This Row],[Last Price]]) / SnapshotTable[[#This Row],[Last Price]], "")</f>
        <v/>
      </c>
      <c r="AP247" s="5">
        <v>7.0000000000000007E-2</v>
      </c>
      <c r="AQ247" s="38"/>
      <c r="AR247" s="5"/>
      <c r="AS247" s="38"/>
      <c r="AT247" s="144"/>
      <c r="AU247" s="185" t="str">
        <f>IF(OR(SnapshotTable[[#This Row],[LP No Fill]]="Y",SnapshotTable[[#This Row],[SP Is Filled]],SnapshotTable[[#This Row],[LC Not Filled]]="Y",SnapshotTable[[#This Row],[SC Is Filled]]),"Y","")</f>
        <v/>
      </c>
      <c r="AV247" s="205"/>
      <c r="AW247" s="211"/>
      <c r="AX247" s="206"/>
      <c r="AY247" s="205" t="str">
        <f>IF(SnapshotTable[[#This Row],[Implied Move]]&gt;0, SnapshotTable[[#This Row],[Last Price]]-SnapshotTable[[#This Row],[Implied Move]],"")</f>
        <v/>
      </c>
      <c r="AZ247" s="205" t="str">
        <f>IF(SnapshotTable[[#This Row],[Implied Move]]&gt;0, SnapshotTable[[#This Row],[Last Price]] + SnapshotTable[[#This Row],[Implied Move]],"")</f>
        <v/>
      </c>
      <c r="BA247" s="302">
        <v>3.3000000000000002E-2</v>
      </c>
      <c r="BB247" s="318"/>
      <c r="BC247"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7" s="321"/>
      <c r="BE247" s="5"/>
      <c r="BF247" s="14"/>
      <c r="BG247" s="13"/>
      <c r="BH247" s="13"/>
      <c r="BI247" s="5"/>
      <c r="BJ247" s="134">
        <f>IF(SnapshotTable[[#This Row],[LP Qty]] &gt; 0, SnapshotTable[[#This Row],[LP Qty]] * SnapshotTable[[#This Row],[LP Book Price]] * 100,0)</f>
        <v>0</v>
      </c>
      <c r="BK247" s="134">
        <f>IF(SnapshotTable[[#This Row],[LP Premium]] &gt; 0, SnapshotTable[[#This Row],[LP Qty]] * SnapshotTable[[#This Row],[LP Strike Price]] * 100,0)</f>
        <v>0</v>
      </c>
      <c r="BL247" s="152"/>
      <c r="BM247" s="355" t="str">
        <f>IF(SnapshotTable[[#This Row],[LP Premium]] &gt; 0,SnapshotTable[[#This Row],[LP Exp Date]]-MAX(SnapshotTable[[#This Row],[LP Book Date]], SnapshotTable[[#This Row],[LP Fill Date]]),"")</f>
        <v/>
      </c>
      <c r="BN247" s="355" t="str">
        <f>IF(ISNUMBER( SnapshotTable[[#This Row],[LP Term]]), SnapshotTable[[#This Row],[LP Exp Date]] - MockToday,"")</f>
        <v/>
      </c>
      <c r="BO247" s="161" t="str">
        <f>IF(AND(SnapshotTable[[#This Row],[LP Exp Date]]&gt;0, SnapshotTable[[#This Row],[LP Strike Price]]&gt;0,SnapshotTable[[#This Row],[LP Qty]]&gt;0,SnapshotTable[[#This Row],[LP Book Date]]&gt;0,SnapshotTable[[#This Row],[LP Book Price]]&gt;0,SnapshotTable[[#This Row],[LP Fill Date]]=0),"Y","")</f>
        <v/>
      </c>
      <c r="BP247" s="31" t="str">
        <f>IF(AND(SnapshotTable[[#This Row],[LP No Fill]]&lt;&gt;"Y",SnapshotTable[[#This Row],[LP Contract Value]]&gt;0, SnapshotTable[[#This Row],[LP Qty]]&gt;0), SnapshotTable[[#This Row],[LP Contract Value]]*SnapshotTable[[#This Row],[LP Qty]]*100,"")</f>
        <v/>
      </c>
      <c r="BQ247" s="13"/>
      <c r="BR247" s="5"/>
      <c r="BS247" s="36"/>
      <c r="BT247" s="145"/>
      <c r="BU247" s="13"/>
      <c r="BV247" s="5"/>
      <c r="BW247" s="382" t="b">
        <f>AND(ISNUMBER(SnapshotTable[[#This Row],[SP Exp Date]]), ISNUMBER(SnapshotTable[[#This Row],[SP Strike Price]]), ISNUMBER(SnapshotTable[[#This Row],[SP Qty]]), ISNUMBER(SnapshotTable[[#This Row],[SP Book Date]]), ISNUMBER(SnapshotTable[[#This Row],[SP Book Price]]))</f>
        <v>0</v>
      </c>
      <c r="BX247" s="382" t="b">
        <f>AND(SnapshotTable[[#This Row],[SP Is Booked]], NOT(ISBLANK(SnapshotTable[[#This Row],[SP Fill Date]])))</f>
        <v>0</v>
      </c>
      <c r="BY247" s="33">
        <f>IF(SnapshotTable[[#This Row],[SP Is Booked]], SnapshotTable[[#This Row],[SP Qty]] * SnapshotTable[[#This Row],[SP Book Price]] * 100, 0)</f>
        <v>0</v>
      </c>
      <c r="BZ247" s="339"/>
      <c r="CA247" s="338">
        <f>SnapshotTable[[#This Row],[LP Qty]]</f>
        <v>0</v>
      </c>
      <c r="CB247" s="4" t="str">
        <f>IF(SnapshotTable[[#This Row],[SP Is Booked]], SnapshotTable[[#This Row],[SP Strike Price]] - SnapshotTable[[#This Row],[SP Book Price]], "")</f>
        <v/>
      </c>
      <c r="CC247" s="19" t="str">
        <f>IF(SnapshotTable[[#This Row],[SP Is Booked]],SnapshotTable[[#This Row],[SP Exp Date]]-MAX(SnapshotTable[[#This Row],[SP Book Date]], SnapshotTable[[#This Row],[SP Fill Date]]),"")</f>
        <v/>
      </c>
      <c r="CD247" s="7" t="str">
        <f>IF(SnapshotTable[[#This Row],[SP Is Booked]], SnapshotTable[[#This Row],[SP Book Price]]/SnapshotTable[[#This Row],[SP Strike Price]], "")</f>
        <v/>
      </c>
      <c r="CE247" s="7" t="str">
        <f>IF(ISNUMBER(SnapshotTable[[#This Row],[SP ROO Term]]),SnapshotTable[[#This Row],[SP ROO Term]]*(365/SnapshotTable[[#This Row],[SP Term]]),"")</f>
        <v/>
      </c>
      <c r="CF247" s="221">
        <f>SnapshotTable[[#This Row],[LP Strike Price]] * SnapshotTable[[#This Row],[LP Qty]] * 100</f>
        <v>0</v>
      </c>
      <c r="CG247" s="31">
        <f>IF(ISNUMBER(SnapshotTable[[#This Row],[SP Premium]]), (SnapshotTable[[#This Row],[SP Qty]] * SnapshotTable[[#This Row],[SP Strike Price]]* 100) - SnapshotTable[[#This Row],[LP Protection]], 0)</f>
        <v>0</v>
      </c>
      <c r="CH247" s="7" t="str">
        <f>IF(ISNUMBER(SnapshotTable[[#This Row],[SP Break Even]]),-1 * (SnapshotTable[[#This Row],[SP Break Even]] - SnapshotTable[[#This Row],[Last Price]]) / SnapshotTable[[#This Row],[Last Price]], "")</f>
        <v/>
      </c>
      <c r="CI247" s="31">
        <f>IF(AND(ISNUMBER((SnapshotTable[[#This Row],[SP Potential Spend]])), SnapshotTable[[#This Row],[SP Strike Price]] &gt; SnapshotTable[[#This Row],[Last Price]], SnapshotTable[[#This Row],[SP Is Filled]]), SnapshotTable[[#This Row],[SP Potential Spend]] -  SnapshotTable[[#This Row],[LP Max Value]], 0)</f>
        <v>0</v>
      </c>
      <c r="CJ247" s="229"/>
      <c r="CK247" s="31">
        <f>IF(ISNUMBER(SnapshotTable[[#This Row],[SP Potential Spend]]),IF(ISNUMBER(SnapshotTable[[#This Row],[SP POW]]), SnapshotTable[[#This Row],[SP POW]] * SnapshotTable[[#This Row],[SP Potential Spend]], SnapshotTable[[#This Row],[SP Potential Spend]]), "")</f>
        <v>0</v>
      </c>
      <c r="CL247" s="162">
        <f>IF(NOT(SnapshotTable[[#This Row],[SP Is Filled]]),(SnapshotTable[[#This Row],[SP Qty]] * SnapshotTable[[#This Row],[SP Strike Price]] * 100) - SnapshotTable[[#This Row],[LP Max Value]],"")</f>
        <v>0</v>
      </c>
      <c r="CM247" s="31" t="str">
        <f>IF(SnapshotTable[[#This Row],[SP Actual Spend]]&lt;&gt;0, ((SnapshotTable[[#This Row],[SP Strike Price]]-SnapshotTable[[#This Row],[Last Price]]) *(SnapshotTable[[#This Row],[SP Qty]]*100) - SnapshotTable[[#This Row],[SP Premium]]) * - 1, "")</f>
        <v/>
      </c>
      <c r="CN247" s="76"/>
      <c r="CO247" s="339"/>
      <c r="CP247" s="4" t="str">
        <f>IF(SnapshotTable[[#This Row],[SP Is Filled]], btc_max_buyback_amount(SnapshotTable[[#This Row],[SP Fill Date]],SnapshotTable[[#This Row],[SP Exp Date]], SnapshotTable[[#This Row],[SP Book Price]]),"")</f>
        <v/>
      </c>
      <c r="CQ247" s="76"/>
      <c r="CR247"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7" s="153" t="str">
        <f>IF(SnapshotTable[[#This Row],[SP Is Filled]], btc_next_cutoff_date(SnapshotTable[[#This Row],[SP Fill Date]],SnapshotTable[[#This Row],[SP Exp Date]]),"")</f>
        <v/>
      </c>
      <c r="CT247" s="220" t="str" cm="1">
        <f t="array" ref="CT247">IF(SnapshotTable[[#This Row],[SP Is Filled]], btc_should_buy_back(SnapshotTable[[#This Row],[SP Fill Date]], SnapshotTable[[#This Row],[SP Exp Date]], SnapshotTable[[#This Row],[SP Book Price]], SnapshotTable[[#This Row],[SP Current Ask]], MockToday, SnapshotTable[[#This Row],[SP Buyback Override]]),"")</f>
        <v/>
      </c>
      <c r="CU247" s="154"/>
      <c r="CV247" s="220"/>
      <c r="CW247" s="348" t="str">
        <f>IF(ISNUMBER( SnapshotTable[[#This Row],[SP Term]]), SnapshotTable[[#This Row],[SP Exp Date]] - MockToday,"")</f>
        <v/>
      </c>
      <c r="CX247" s="31" t="str">
        <f>IF(SnapshotTable[[#This Row],[SP Is Filled]],SnapshotTable[[#This Row],[SP Buyback Price to Use]] * 100 * SnapshotTable[[#This Row],[SP Qty]], "")</f>
        <v/>
      </c>
      <c r="CY247" s="4" t="str">
        <f>IF(ISNUMBER(SnapshotTable[[#This Row],[SP Strike Price]]), SnapshotTable[[#This Row],[SP Strike Price]] * (1 - SP_MaxLoss_StrikePct), "")</f>
        <v/>
      </c>
      <c r="CZ247" s="31" t="str">
        <f>IF(ISNUMBER(SnapshotTable[[#This Row],[SP Strike  Stop Per Share]]),SnapshotTable[[#This Row],[SP Premium]] - ((SnapshotTable[[#This Row],[SP Strike Price]]-SnapshotTable[[#This Row],[SP Strike  Stop Per Share]]) *(SnapshotTable[[#This Row],[SP Qty]] * 100)),"")</f>
        <v/>
      </c>
      <c r="DA247" s="4" t="str">
        <f>IF(AND(ISNUMBER(SnapshotTable[[#This Row],[SP Premium]]),SnapshotTable[[#This Row],[SP Premium]]&gt;0), SnapshotTable[[#This Row],[SP Book Price]] * (1 + SP_MaxLoss_OptionPct), "")</f>
        <v/>
      </c>
      <c r="DB247" s="31" t="str">
        <f>IF(ISNUMBER(SnapshotTable[[#This Row],[SP Option  Stop Contract]]),(SnapshotTable[[#This Row],[SP Option  Stop Contract]] *(SnapshotTable[[#This Row],[SP Qty]] * 100) - SnapshotTable[[#This Row],[SP Premium]]),"")</f>
        <v/>
      </c>
      <c r="DC247" s="4"/>
      <c r="DD247" s="4"/>
      <c r="DE247" s="4" t="str">
        <f>IF(AND(SnapshotTable[[#This Row],[SP Qty]]&gt;0, SnapshotTable[[#This Row],[SP Stop To Use]]&gt;0),SnapshotTable[[#This Row],[SP Premium]] - ( SnapshotTable[[#This Row],[SP Qty]] * SnapshotTable[[#This Row],[SP Stop To Use]] * 100), "")</f>
        <v/>
      </c>
      <c r="DF247" s="31" t="str">
        <f>IF(AND(SnapshotTable[[#This Row],[SP Qty]]&gt;0,SnapshotTable[[#This Row],[SP Current Ask]]&gt;0), SnapshotTable[[#This Row],[SP Qty]] * SnapshotTable[[#This Row],[SP Current Ask]] * -100, "")</f>
        <v/>
      </c>
      <c r="DG247" s="31" t="str">
        <f>IF(ISNUMBER((SnapshotTable[[#This Row],[SP Total Value]])), SnapshotTable[[#This Row],[SP Premium]] + SnapshotTable[[#This Row],[SP Total Value]], "")</f>
        <v/>
      </c>
      <c r="DH247" s="272" t="str">
        <f>IF(ISNUMBER((SnapshotTable[[#This Row],[SP Total Value]])), SnapshotTable[[#This Row],[SP Gain Loss]] / SnapshotTable[[#This Row],[SP Premium]], "")</f>
        <v/>
      </c>
      <c r="DI247" s="369"/>
      <c r="DJ247" s="136"/>
      <c r="DK247" s="146"/>
      <c r="DL247" s="13"/>
      <c r="DM247" s="13"/>
      <c r="DO247" s="31">
        <f>IF(SnapshotTable[[#This Row],[LC Symbol Count]]=1, SnapshotTable[[#This Row],[LC Qty]] * SnapshotTable[[#This Row],[LC Book Price]] * 100, 0)</f>
        <v>0</v>
      </c>
      <c r="DP247" s="161" t="str">
        <f>IF(AND(SnapshotTable[[#This Row],[LC Exp Date]]&gt;0, SnapshotTable[[#This Row],[LC Strike Price]]&gt;0,SnapshotTable[[#This Row],[LC Qty]]&gt;0,SnapshotTable[[#This Row],[LC Book Date]]&gt;0,SnapshotTable[[#This Row],[LC Book Price]]&gt;0,SnapshotTable[[#This Row],[LC Fill Date]]=0),"Y","")</f>
        <v/>
      </c>
      <c r="DQ247" s="356" t="str">
        <f>IF(SnapshotTable[[#This Row],[LC Premium]] &gt; 0,SnapshotTable[[#This Row],[LC Exp Date]]-MAX(SnapshotTable[[#This Row],[LC Book Date]], SnapshotTable[[#This Row],[LC Fill Date]]),"")</f>
        <v/>
      </c>
      <c r="DR247" s="356" t="str">
        <f>IF(ISNUMBER(SnapshotTable[[#This Row],[LC Term]]), SnapshotTable[[#This Row],[LC Exp Date]] - MockToday, "")</f>
        <v/>
      </c>
      <c r="DS247" s="219" t="str">
        <f>IF(SnapshotTable[[#This Row],[LC Premium]]&gt;0,SnapshotTable[[#This Row],[LC Strike Price]] + SnapshotTable[[#This Row],[LC Book Price]],"")</f>
        <v/>
      </c>
      <c r="DU247" s="9" t="str">
        <f>IF(AND(SnapshotTable[[#This Row],[LC Symbol Count]]&gt;0, SnapshotTable[[#This Row],[LC Contract Value]]&gt;0), SnapshotTable[[#This Row],[LC Contract Value]] * SnapshotTable[[#This Row],[LC Qty]] * 100, "")</f>
        <v/>
      </c>
      <c r="DV247" s="9" t="str">
        <f>IF(AND(ISNUMBER(SnapshotTable[[#This Row],[LC Total Value]]), SnapshotTable[[#This Row],[LC Not Filled]]&lt;&gt;"Y"), SnapshotTable[[#This Row],[LC Total Value]]-SnapshotTable[[#This Row],[LC Premium]],"")</f>
        <v/>
      </c>
      <c r="DW247" s="225" t="str">
        <f>IF(ISNUMBER(SnapshotTable[[#This Row],[LC Actual Gain Loss]]), SnapshotTable[[#This Row],[LC Actual Gain Loss]] / SnapshotTable[[#This Row],[LC Premium]],"")</f>
        <v/>
      </c>
      <c r="DX247" s="269" t="str">
        <f>IF(ISNUMBER(SnapshotTable[[#This Row],[LC Book Price]]),SnapshotTable[[#This Row],[LC Book Price]] * 1.5,"")</f>
        <v/>
      </c>
      <c r="DY247" s="250" t="str">
        <f>IF(SnapshotTable[[#This Row],[LC Premium]]&gt;0, SnapshotTable[[#This Row],[LC Next Target]] * SnapshotTable[[#This Row],[LC Qty]] * 100,"")</f>
        <v/>
      </c>
      <c r="DZ247" s="250" t="str">
        <f>IF(ISNUMBER(SnapshotTable[[#This Row],[LC Target Gross]]), SnapshotTable[[#This Row],[LC Target Gross]] - SnapshotTable[[#This Row],[LC Premium]], "")</f>
        <v/>
      </c>
      <c r="EA247" s="283" t="str">
        <f>IF(ISNUMBER(SnapshotTable[[#This Row],[LC Target Gain Loss]]), SnapshotTable[[#This Row],[LC Target Gain Loss]]/SnapshotTable[[#This Row],[LC Premium]], "")</f>
        <v/>
      </c>
      <c r="EB247" s="247"/>
      <c r="EC247" s="268" t="str">
        <f>IF(SnapshotTable[[#This Row],[LC Premium]]&gt;0, SnapshotTable[[#This Row],[LC Book Price]] * (1 - LC_StopLoss_Pct),"")</f>
        <v/>
      </c>
      <c r="ED247" s="269"/>
      <c r="EE247" s="268" t="str">
        <f>IF(ISNUMBER(SnapshotTable[[#This Row],[LC Contract Value]]),IF(ISNUMBER(SnapshotTable[[#This Row],[LC Stop Loss Override]]), SnapshotTable[[#This Row],[LC Stop Loss Override]],SnapshotTable[[#This Row],[LC Stop Loss Calc Target]]),"")</f>
        <v/>
      </c>
      <c r="EF247" s="31" t="str">
        <f>IF(ISNUMBER(SnapshotTable[[#This Row],[LC Stop  To Use]]), (SnapshotTable[[#This Row],[LC Stop  To Use]] * SnapshotTable[[#This Row],[LC Qty]] * 100),"")</f>
        <v/>
      </c>
      <c r="EG247" s="9" t="str">
        <f>IF(ISNUMBER(SnapshotTable[[#This Row],[LC Total Value]]),SnapshotTable[[#This Row],[LC Stop Loss Amount]] - SnapshotTable[[#This Row],[LC Premium]],"")</f>
        <v/>
      </c>
      <c r="EH247" s="9">
        <f>IF(ISNUMBER(SnapshotTable[[#This Row],[LC Premium]]), SnapshotTable[[#This Row],[LC Qty]] * 100 * SnapshotTable[[#This Row],[LC Strike Price]], "")</f>
        <v>0</v>
      </c>
      <c r="EI247" s="225" t="str">
        <f>IF(AND(ISNUMBER(SnapshotTable[[#This Row],[LC Total Value]]),SnapshotTable[[#This Row],[LC Total Value]]&gt;0),SnapshotTable[[#This Row],[LC Stop Gain Loss]]  / SnapshotTable[[#This Row],[LC Premium]],"")</f>
        <v/>
      </c>
      <c r="EJ247" s="35">
        <f>IF(ISNUMBER(SnapshotTable[[#This Row],[Equity Shares]]),TRUNC(SnapshotTable[[#This Row],[Equity Shares]] / 100),0) + SnapshotTable[[#This Row],[LC Qty]]</f>
        <v>300</v>
      </c>
      <c r="EK247" s="145"/>
      <c r="EL247" s="136"/>
      <c r="EM247" s="146"/>
      <c r="EN247" s="145"/>
      <c r="EO247" s="145"/>
      <c r="EP247" s="136"/>
      <c r="EQ247" s="382" t="b">
        <f>AND(ISNUMBER(SnapshotTable[[#This Row],[SC Exp Date]]), ISNUMBER(SnapshotTable[[#This Row],[SC Strike Price]]), ISNUMBER(SnapshotTable[[#This Row],[SC Qty]]), ISNUMBER(SnapshotTable[[#This Row],[SC Book Date]]), ISNUMBER(SnapshotTable[[#This Row],[SC Book Price]]))</f>
        <v>0</v>
      </c>
      <c r="ER247" s="382" t="b">
        <f>AND(SnapshotTable[[#This Row],[SC Is Booked]], NOT(ISBLANK(SnapshotTable[[#This Row],[SC Fill Date]])))</f>
        <v>0</v>
      </c>
      <c r="ES247" s="340"/>
      <c r="ET247" s="34" t="str">
        <f>IF(AND(ISNUMBER(SnapshotTable[[#This Row],[SC Exp Date]]), ISNUMBER(SnapshotTable[[#This Row],[SC Book Date]])), SnapshotTable[[#This Row],[SC Exp Date]] - MAX(SnapshotTable[[#This Row],[SC Book Date]], SnapshotTable[[#This Row],[SC Fill Date]]) + 1, "")</f>
        <v/>
      </c>
      <c r="EU247" s="34" t="str">
        <f>IF(ISNUMBER(SnapshotTable[[#This Row],[SC Term]]), SnapshotTable[[#This Row],[SC Exp Date]]- MockToday, "")</f>
        <v/>
      </c>
      <c r="EV247" s="31">
        <f>IF(SnapshotTable[[#This Row],[SC Is Booked]], SnapshotTable[[#This Row],[SC Qty]] * SnapshotTable[[#This Row],[SC Book Price]] * 100, 0)</f>
        <v>0</v>
      </c>
      <c r="EW247" s="4" t="str">
        <f>IF(AND(ISNUMBER(SnapshotTable[[#This Row],[Last Price]]), ISNUMBER( SnapshotTable[[#This Row],[SC Book Price]])), SnapshotTable[[#This Row],[Last Price]] - SnapshotTable[[#This Row],[SC Book Price]],"")</f>
        <v/>
      </c>
      <c r="EX247" s="219" t="str">
        <f>IF(SnapshotTable[[#This Row],[SC Is Booked]],IF(SnapshotTable[[#This Row],[SC Intrinsic Value]] &gt; 0, SnapshotTable[[#This Row],[SC Strike Price]], SnapshotTable[[#This Row],[Last Price]]), "")</f>
        <v/>
      </c>
      <c r="EY247" s="4">
        <f>IF(SnapshotTable[[#This Row],[SC Is Booked]], (MinimumPremiumRequired * SnapshotTable[[#This Row],[SC Basis]] * SnapshotTable[[#This Row],[SC Term]]), 0)</f>
        <v>0</v>
      </c>
      <c r="EZ247" s="268"/>
      <c r="FA247" s="204"/>
      <c r="FB247" s="340"/>
      <c r="FC247" s="4">
        <f>IF(SnapshotTable[[#This Row],[SC Is Filled]], btc_max_buyback_amount(SnapshotTable[[#This Row],[SC Fill Date]],SnapshotTable[[#This Row],[SC Exp Date]], SnapshotTable[[#This Row],[SC Book Price]]),0)</f>
        <v>0</v>
      </c>
      <c r="FD247" s="5"/>
      <c r="FE247" s="142" t="str">
        <f>IF(SnapshotTable[[#This Row],[SC Is Filled]], btc_next_cutoff_date(SnapshotTable[[#This Row],[SC Fill Date]],SnapshotTable[[#This Row],[SC Exp Date]]),"")</f>
        <v/>
      </c>
      <c r="FF247" s="4" t="str" cm="1">
        <f t="array" ref="FF247">IF(SnapshotTable[[#This Row],[SC Is Filled]], btc_should_buy_back(SnapshotTable[[#This Row],[SC Fill Date]], SnapshotTable[[#This Row],[SC Exp Date]], SnapshotTable[[#This Row],[SC Book Price]], SnapshotTable[[#This Row],[SC Current Ask]], MockToday, SnapshotTable[[#This Row],[SC Buyback Override]]),"")</f>
        <v/>
      </c>
      <c r="FG247" s="4">
        <f>IF(SnapshotTable[[#This Row],[SC Is Filled]], MAX(0,SnapshotTable[[#This Row],[Last Price]]  - SnapshotTable[[#This Row],[SC Strike Price]]), 0)</f>
        <v>0</v>
      </c>
      <c r="FH247" s="352">
        <f>IF(SnapshotTable[[#This Row],[SC Is Filled]], IF(ISNUMBER(SnapshotTable[[#This Row],[SC Current Ask]]), SnapshotTable[[#This Row],[SC Current Ask]], SnapshotTable[[#This Row],[SC Book Price]]) - SnapshotTable[[#This Row],[SC Intrinsic Value]], 0)</f>
        <v>0</v>
      </c>
      <c r="FI247" s="141"/>
      <c r="FJ247" s="32" t="str">
        <f>IF(SnapshotTable[[#This Row],[SC Is Filled]],100 * SnapshotTable[[#This Row],[SC Qty]] * IF(ISNUMBER(SnapshotTable[[#This Row],[SC Buyback Override]]), SnapshotTable[[#This Row],[SC Buyback Override]], SnapshotTable[[#This Row],[SC Current Ask]]), "")</f>
        <v/>
      </c>
      <c r="FK247" s="235" t="str">
        <f>IF(SnapshotTable[[#This Row],[SC Time Val]]&gt;0, SnapshotTable[[#This Row],[SC Time Val]] / SnapshotTable[[#This Row],[Last Price]],"")</f>
        <v/>
      </c>
      <c r="FL247" s="280" t="str">
        <f>IF(SnapshotTable[[#This Row],[SC Is Booked]], ((SnapshotTable[[#This Row],[Last Price]] -SnapshotTable[[#This Row],[SC Strike Price]]) / SnapshotTable[[#This Row],[Last Price]]) * -1, "")</f>
        <v/>
      </c>
      <c r="FM247" s="155" t="str">
        <f>IF(SnapshotTable[[#This Row],[SC Is Booked]],  (SnapshotTable[[#This Row],[SC Qty]] * 100 * SnapshotTable[[#This Row],[SC Strike Price]]) - SnapshotTable[[#This Row],[SC Current Ask]], "")</f>
        <v/>
      </c>
      <c r="FN247"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7" s="31" t="str">
        <f>IF(AND(ISNUMBER(SnapshotTable[[#This Row],[SC Exercise Gross]]), ISNUMBER(SnapshotTable[[#This Row],[Equity Basis Per Share]] )), SnapshotTable[[#This Row],[SC Exercise Gross]] - SnapshotTable[[#This Row],[Equity Basis Total]] +  SnapshotTable[[#This Row],[SC Premium]], "")</f>
        <v/>
      </c>
      <c r="FP247" s="5" t="str">
        <f>IF(ISNUMBER(SnapshotTable[[#This Row],[SC Exercise Gross]]), (SnapshotTable[[#This Row],[SC Exercise Gross]]) / (SnapshotTable[[#This Row],[SC Qty]] * 100), "")</f>
        <v/>
      </c>
      <c r="FQ247" s="27" t="str">
        <f>IF(SnapshotTable[[#This Row],[SC Is Booked]],SnapshotTable[[#This Row],[SC Time Val]] /SnapshotTable[[#This Row],[SC Basis]], "")</f>
        <v/>
      </c>
      <c r="FR247" s="27" t="str" cm="1">
        <f t="array" ref="FR247">IF(AND(ISNUMBER(SnapshotTable[[#This Row],[SC Term]]),ISNUMBER(SnapshotTable[[#This Row],[SC Simple ROO]])), EllmanAnnualize(SnapshotTable[[#This Row],[SC DTE]], SnapshotTable[[#This Row],[SC Simple ROO]] ),"")</f>
        <v/>
      </c>
      <c r="FS247" s="4">
        <f>IF(SnapshotTable[[#This Row],[SC Strike Price]] &gt; SnapshotTable[[#This Row],[Last Price]], SnapshotTable[[#This Row],[SC Strike Price]] - SnapshotTable[[#This Row],[Last Price]],0)</f>
        <v>0</v>
      </c>
      <c r="FT247" s="27" t="str">
        <f>IF(AND(ISNUMBER(SnapshotTable[[#This Row],[SC Upside Potential]]), SnapshotTable[[#This Row],[SC Upside Potential]] &gt; 0),(SnapshotTable[[#This Row],[SC Upside Potential]]/ SnapshotTable[[#This Row],[ACB]]),"")</f>
        <v/>
      </c>
      <c r="FU247" s="304" t="str">
        <f>IF(SnapshotTable[[#This Row],[SC Intrinsic Value]] &gt; 0,SnapshotTable[[#This Row],[SC Intrinsic Value]],"")</f>
        <v/>
      </c>
      <c r="FV247" s="27" t="str">
        <f>IF(AND( ISNUMBER( SnapshotTable[[#This Row],[ACB]]),ISNUMBER(SnapshotTable[[#This Row],[SC Downside Protect]])),SnapshotTable[[#This Row],[SC Downside Protect]] / SnapshotTable[[#This Row],[ACB]],"")</f>
        <v/>
      </c>
      <c r="FW247" s="221" t="str">
        <f>IF(AND(ISNUMBER(SnapshotTable[[#This Row],[SC Simple ROO]]),SnapshotTable[[#This Row],[SC Simple ROO]] &gt; 0), SnapshotTable[[#This Row],[SC Premium]] + (SnapshotTable[[#This Row],[SC Qty]] * SnapshotTable[[#This Row],[SC Upside Potential]]), "")</f>
        <v/>
      </c>
      <c r="FX247" s="280" t="str" cm="1">
        <f t="array" ref="FX247">IF(ISNUMBER(SnapshotTable[[#This Row],[SC Max Dollars]]), annualize(SnapshotTable[[#This Row],[SC Term]],(SnapshotTable[[#This Row],[SC Max Dollars]]/SnapshotTable[[#This Row],[SC Basis]])),"")</f>
        <v/>
      </c>
      <c r="FY247" s="221" t="str">
        <f>IF(AND(SnapshotTable[[#This Row],[SC Qty]]&gt;0,SnapshotTable[[#This Row],[SC Current Ask]]&gt;0), SnapshotTable[[#This Row],[SC Qty]] * SnapshotTable[[#This Row],[SC Current Ask]] * -100, "")</f>
        <v/>
      </c>
      <c r="FZ247" s="31" t="str">
        <f>IF(ISNUMBER((SnapshotTable[[#This Row],[SC Current Value]])), SnapshotTable[[#This Row],[SC Premium]] + SnapshotTable[[#This Row],[SC Current Value]], "")</f>
        <v/>
      </c>
      <c r="GA247" s="272" t="str">
        <f>IFERROR( IF(ISNUMBER((SnapshotTable[[#This Row],[SC Current Value]])), SnapshotTable[[#This Row],[SC Gain Loss]] / SnapshotTable[[#This Row],[SC Premium]], ""), "")</f>
        <v/>
      </c>
      <c r="GB247" s="42">
        <f>SnapshotTable[[#This Row],[Equity Shares]] * SaleSharesToConsiderPercentage</f>
        <v>6000</v>
      </c>
      <c r="GC247" s="40">
        <f>SnapshotTable[[#This Row],[Long Term Target]] * SellingPriceToConsiderBasedOnTargetPercentage</f>
        <v>0</v>
      </c>
      <c r="GD247" s="40">
        <f>SnapshotTable[[#This Row],[Last Price]] * (1+ SellingPriceToConsiderBasedOnTargetPercentage)</f>
        <v>1.95E-4</v>
      </c>
      <c r="GE247" s="41"/>
      <c r="GF247" s="40"/>
      <c r="GG247" s="31">
        <f>SnapshotTable[[#This Row],[Booked Sale Shares]] * SnapshotTable[[#This Row],[Booked Sale Price]]</f>
        <v>0</v>
      </c>
      <c r="GH247" s="31">
        <f>IF(SnapshotTable[[#This Row],[Equity Basis Total]] &gt; 0, SnapshotTable[[#This Row],[Equity Basis Per Share]] * SnapshotTable[[#This Row],[Booked Sale Shares]], "")</f>
        <v>0</v>
      </c>
      <c r="GI247" s="31">
        <f>IF(SnapshotTable[[#This Row],[Sale Proceeds]]&gt;0, SnapshotTable[[#This Row],[Sale Proceeds]] - SnapshotTable[[#This Row],[Sale Basis]], 0)</f>
        <v>0</v>
      </c>
      <c r="GJ247" s="27" t="str">
        <f>IF(SnapshotTable[[#This Row],[Sale G/L]]&gt;0, SnapshotTable[[#This Row],[Sale G/L]] / SnapshotTable[[#This Row],[Sale Basis]], IF(ISNUMBER(SnapshotTable[[#This Row],[SC Exercise P&amp;L (TAX)]]), SnapshotTable[[#This Row],[SC Exercise P&amp;L (TAX)]] / SnapshotTable[[#This Row],[SC Basis]], ""))</f>
        <v/>
      </c>
      <c r="GK247" s="27"/>
      <c r="GL247" s="43" t="str">
        <f>IF(AND(SnapshotTable[[#This Row],[LP Exp Date]]&gt;0,SnapshotTable[[#This Row],[LP Strike Price]]&gt;0), [1]!ToOptionSymbol(SnapshotTable[[#This Row],[Symbol]], SnapshotTable[[#This Row],[LP Strike Price]],SnapshotTable[[#This Row],[LP Exp Date]],1), "")</f>
        <v/>
      </c>
      <c r="GM247" s="30" t="str">
        <f>IF(LEN(SnapshotTable[[#This Row],[LP Symbol]])&gt;0, 1, "")</f>
        <v/>
      </c>
      <c r="GN247" s="43" t="str">
        <f>IF(AND(SnapshotTable[[#This Row],[SP Exp Date]]&gt;0,SnapshotTable[[#This Row],[SP Strike Price]]&gt;0), [1]!ToOptionSymbol(SnapshotTable[[#This Row],[Symbol]], SnapshotTable[[#This Row],[SP Strike Price]],SnapshotTable[[#This Row],[SP Exp Date]],1), "")</f>
        <v/>
      </c>
      <c r="GO247" s="30" t="str">
        <f>IF(LEN(SnapshotTable[[#This Row],[SP Symbol]])&gt;0, 1, "")</f>
        <v/>
      </c>
      <c r="GP247" s="43" t="str">
        <f>IF(AND(SnapshotTable[[#This Row],[LC Exp Date]]&gt;0,SnapshotTable[[#This Row],[LC Strike Price]]&gt;0), [1]!ToOptionSymbol(SnapshotTable[[#This Row],[Symbol]], SnapshotTable[[#This Row],[LC Strike Price]],SnapshotTable[[#This Row],[LC Exp Date]],0), "")</f>
        <v/>
      </c>
      <c r="GQ247" s="30" t="str">
        <f>IF(LEN(SnapshotTable[[#This Row],[LC Symbol]])&gt;0, 1, "")</f>
        <v/>
      </c>
      <c r="GR247" s="43" t="str">
        <f>IF(AND(SnapshotTable[[#This Row],[SC Exp Date]]&gt;0,SnapshotTable[[#This Row],[SC Strike Price]]&gt;0), [1]!ToOptionSymbol(SnapshotTable[[#This Row],[Symbol]], SnapshotTable[[#This Row],[SC Strike Price]],SnapshotTable[[#This Row],[SC Exp Date]],0), "")</f>
        <v/>
      </c>
      <c r="GS247" s="30" t="str">
        <f>IF(LEN(SnapshotTable[[#This Row],[SC Symbol]])&gt;0, 1, "")</f>
        <v/>
      </c>
      <c r="GT247" s="29" t="str">
        <f>IF(COUNT(SnapshotTable[[#This Row],[LP Symbol Count]],SnapshotTable[[#This Row],[SP Symbol Count]],SnapshotTable[[#This Row],[LC Symbol Count]],SnapshotTable[[#This Row],[SC Symbol Count]])&gt;0, "Y", "")</f>
        <v/>
      </c>
      <c r="GU247"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7" s="216">
        <f>MAX(SnapshotTable[[#This Row],[Equity Basis Total]],SnapshotTable[[#This Row],[Equity Value]]) + (SnapshotTable[[#This Row],[SP Potential Spend]]- SnapshotTable[[#This Row],[SP Premium]] + SnapshotTable[[#This Row],[LP Premium]])+ (SnapshotTable[[#This Row],[LC Premium]] - SnapshotTable[[#This Row],[SC Premium]])</f>
        <v>990</v>
      </c>
      <c r="GW247" s="137">
        <f ca="1">IF(AND(SnapshotTable[[#This Row],[Exposure]] &lt;&gt; 0),SnapshotTable[[#This Row],[Exposure]] / SnapshotTable[[#Totals],[Exposure]], "")</f>
        <v>5.49691561956902E-3</v>
      </c>
      <c r="HK247" s="1"/>
      <c r="HL247" s="1"/>
      <c r="HM247" s="1"/>
      <c r="HN247" s="1"/>
      <c r="HO247" s="1"/>
      <c r="HP247" s="1"/>
    </row>
    <row r="248" spans="2:224" ht="12.75" hidden="1" customHeight="1" x14ac:dyDescent="0.25">
      <c r="B248" s="12" t="s">
        <v>960</v>
      </c>
      <c r="C248" s="385">
        <v>3.54</v>
      </c>
      <c r="D248" s="200"/>
      <c r="E248" s="39">
        <f>SnapshotTable[[#This Row],[Last Price]]*(1 -CrashDiscount)</f>
        <v>3.0089999999999999</v>
      </c>
      <c r="F248" s="296" t="s">
        <v>712</v>
      </c>
      <c r="G248" s="296" t="s">
        <v>678</v>
      </c>
      <c r="H248" s="147"/>
      <c r="I248" s="186"/>
      <c r="J248" s="187"/>
      <c r="K248" s="188"/>
      <c r="L248" s="297"/>
      <c r="M248" s="138"/>
      <c r="N248" s="138"/>
      <c r="O248" s="138"/>
      <c r="P248" s="22"/>
      <c r="Q248" s="25"/>
      <c r="R248" s="4" t="str">
        <f>IF(SnapshotTable[[#This Row],[Equity Basis Total]] &gt; 0, SnapshotTable[[#This Row],[Equity Basis Total]] / SnapshotTable[[#This Row],[Equity Shares]], "")</f>
        <v/>
      </c>
      <c r="S248" s="254">
        <f>SnapshotTable[[#This Row],[Last Price]] * SnapshotTable[[#This Row],[Equity Shares]]</f>
        <v>0</v>
      </c>
      <c r="T248" s="254">
        <f>SnapshotTable[[#This Row],[Equity Value]] - SnapshotTable[[#This Row],[Equity Basis Total]]</f>
        <v>0</v>
      </c>
      <c r="U248" s="255" t="str">
        <f>IF(SnapshotTable[[#This Row],[Equity Basis Total]] &gt; 0, SnapshotTable[[#This Row],[Equity G/L]] / SnapshotTable[[#This Row],[Equity Basis Total]], "")</f>
        <v/>
      </c>
      <c r="V248" s="253"/>
      <c r="W248" s="253"/>
      <c r="X248" s="4" t="str">
        <f>IF(AND(ISNUMBER(SnapshotTable[[#This Row],[Equity Basis Per Share]]),ISNUMBER(SnapshotTable[[#This Row],[Equity Target]])),SnapshotTable[[#This Row],[Equity Target]]-SnapshotTable[[#This Row],[Equity Basis Per Share]],"")</f>
        <v/>
      </c>
      <c r="Y248" s="4" t="str">
        <f>IF(AND(ISNUMBER(SnapshotTable[[#This Row],[Equity Basis Per Share]]),ISNUMBER(SnapshotTable[[#This Row],[Equity Stop Loss]])),SnapshotTable[[#This Row],[Equity Stop Loss]]-SnapshotTable[[#This Row],[Equity Basis Per Share]],"")</f>
        <v/>
      </c>
      <c r="Z248" s="260" t="str">
        <f>IFERROR( TEXT(SnapshotTable[[#This Row],[Equity Max Gain Per Share]] /ABS( SnapshotTable[[#This Row],[Equity Max Loss Per Share]]),"0.0 " ) &amp; " : 1", "")</f>
        <v/>
      </c>
      <c r="AA248" s="31" t="str">
        <f>IF(ISNUMBER(SnapshotTable[[#This Row],[Equity Max Gain Per Share]]),SnapshotTable[[#This Row],[Equity Max Gain Per Share]] * SnapshotTable[[#This Row],[Equity Shares]],"")</f>
        <v/>
      </c>
      <c r="AB248" s="31" t="str">
        <f>IF(ISNUMBER(SnapshotTable[[#This Row],[Equity Max Loss Per Share]]),SnapshotTable[[#This Row],[Equity Max Loss Per Share]] * SnapshotTable[[#This Row],[Equity Shares]],"")</f>
        <v/>
      </c>
      <c r="AC248" s="148"/>
      <c r="AD248" s="149"/>
      <c r="AE248" s="31">
        <f>(SnapshotTable[[#This Row],[Annual Dividend Per Share]] / 4) * SnapshotTable[[#This Row],[Equity Shares]]</f>
        <v>0</v>
      </c>
      <c r="AF248" s="31">
        <f>SnapshotTable[[#This Row],[Quarterly Div $]] * 4</f>
        <v>0</v>
      </c>
      <c r="AG248" s="7">
        <f>IF(SnapshotTable[[#This Row],[Annual Dividend Per Share]]&gt;0, SnapshotTable[[#This Row],[Annual Dividend Per Share]]  / SnapshotTable[[#This Row],[Last Price]], 0)</f>
        <v>0</v>
      </c>
      <c r="AH248" s="149"/>
      <c r="AI248" s="5"/>
      <c r="AJ248" s="136"/>
      <c r="AK248" s="150" t="str">
        <f>IF(ISNUMBER( SnapshotTable[[#This Row],[EBF Target]]),(SnapshotTable[[#This Row],[EBF Target]] - SnapshotTable[[#This Row],[Last Price]]) / SnapshotTable[[#This Row],[Last Price]], "")</f>
        <v/>
      </c>
      <c r="AL248" s="150" t="str">
        <f>IF(AND(SnapshotTable[[#This Row],[Equity Basis Total]] &gt; 0,ISNUMBER( SnapshotTable[[#This Row],[Long Term Target]])), SnapshotTable[[#This Row],[From Basis $]] / SnapshotTable[[#This Row],[Equity Basis Total]], "")</f>
        <v/>
      </c>
      <c r="AM248" s="9">
        <f>IF( AND(SnapshotTable[[#This Row],[Equity Shares]] &gt;0,ISNUMBER( SnapshotTable[[#This Row],[Long Term Target]])),(SnapshotTable[[#This Row],[Equity Shares]] * SnapshotTable[[#This Row],[Long Term Target]]) - SnapshotTable[[#This Row],[Equity Basis Total]],0)</f>
        <v>0</v>
      </c>
      <c r="AN248" s="9">
        <f>IF( AND(SnapshotTable[[#This Row],[Equity Shares]] &gt;0,ISNUMBER( SnapshotTable[[#This Row],[Long Term Target]])),(SnapshotTable[[#This Row],[Equity Shares]]*SnapshotTable[[#This Row],[Long Term Target]]) - SnapshotTable[[#This Row],[Equity Value]],0)</f>
        <v>0</v>
      </c>
      <c r="AO248" s="150" t="str">
        <f>IF(AND(ISNUMBER( SnapshotTable[[#This Row],[Long Term Target]]), ISNUMBER(SnapshotTable[[#This Row],[Last Price]])),(SnapshotTable[[#This Row],[Long Term Target]] - SnapshotTable[[#This Row],[Last Price]]) / SnapshotTable[[#This Row],[Last Price]], "")</f>
        <v/>
      </c>
      <c r="AP248" s="5"/>
      <c r="AQ248" s="38"/>
      <c r="AR248" s="5"/>
      <c r="AS248" s="38"/>
      <c r="AT248" s="144"/>
      <c r="AU248" s="185" t="str">
        <f>IF(OR(SnapshotTable[[#This Row],[LP No Fill]]="Y",SnapshotTable[[#This Row],[SP Is Filled]],SnapshotTable[[#This Row],[LC Not Filled]]="Y",SnapshotTable[[#This Row],[SC Is Filled]]),"Y","")</f>
        <v/>
      </c>
      <c r="AV248" s="205"/>
      <c r="AW248" s="211"/>
      <c r="AX248" s="206"/>
      <c r="AY248" s="205" t="str">
        <f>IF(SnapshotTable[[#This Row],[Implied Move]]&gt;0, SnapshotTable[[#This Row],[Last Price]]-SnapshotTable[[#This Row],[Implied Move]],"")</f>
        <v/>
      </c>
      <c r="AZ248" s="205" t="str">
        <f>IF(SnapshotTable[[#This Row],[Implied Move]]&gt;0, SnapshotTable[[#This Row],[Last Price]] + SnapshotTable[[#This Row],[Implied Move]],"")</f>
        <v/>
      </c>
      <c r="BA248" s="302">
        <v>4.0999999999999996</v>
      </c>
      <c r="BB248" s="318"/>
      <c r="BC248"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8" s="321"/>
      <c r="BE248" s="5"/>
      <c r="BF248" s="14"/>
      <c r="BG248" s="13"/>
      <c r="BH248" s="13"/>
      <c r="BI248" s="5"/>
      <c r="BJ248" s="134">
        <f>IF(SnapshotTable[[#This Row],[LP Qty]] &gt; 0, SnapshotTable[[#This Row],[LP Qty]] * SnapshotTable[[#This Row],[LP Book Price]] * 100,0)</f>
        <v>0</v>
      </c>
      <c r="BK248" s="134">
        <f>IF(SnapshotTable[[#This Row],[LP Premium]] &gt; 0, SnapshotTable[[#This Row],[LP Qty]] * SnapshotTable[[#This Row],[LP Strike Price]] * 100,0)</f>
        <v>0</v>
      </c>
      <c r="BL248" s="152"/>
      <c r="BM248" s="355" t="str">
        <f>IF(SnapshotTable[[#This Row],[LP Premium]] &gt; 0,SnapshotTable[[#This Row],[LP Exp Date]]-MAX(SnapshotTable[[#This Row],[LP Book Date]], SnapshotTable[[#This Row],[LP Fill Date]]),"")</f>
        <v/>
      </c>
      <c r="BN248" s="355" t="str">
        <f>IF(ISNUMBER( SnapshotTable[[#This Row],[LP Term]]), SnapshotTable[[#This Row],[LP Exp Date]] - MockToday,"")</f>
        <v/>
      </c>
      <c r="BO248" s="161" t="str">
        <f>IF(AND(SnapshotTable[[#This Row],[LP Exp Date]]&gt;0, SnapshotTable[[#This Row],[LP Strike Price]]&gt;0,SnapshotTable[[#This Row],[LP Qty]]&gt;0,SnapshotTable[[#This Row],[LP Book Date]]&gt;0,SnapshotTable[[#This Row],[LP Book Price]]&gt;0,SnapshotTable[[#This Row],[LP Fill Date]]=0),"Y","")</f>
        <v/>
      </c>
      <c r="BP248" s="31" t="str">
        <f>IF(AND(SnapshotTable[[#This Row],[LP No Fill]]&lt;&gt;"Y",SnapshotTable[[#This Row],[LP Contract Value]]&gt;0, SnapshotTable[[#This Row],[LP Qty]]&gt;0), SnapshotTable[[#This Row],[LP Contract Value]]*SnapshotTable[[#This Row],[LP Qty]]*100,"")</f>
        <v/>
      </c>
      <c r="BQ248" s="13"/>
      <c r="BR248" s="5"/>
      <c r="BS248" s="36"/>
      <c r="BT248" s="145"/>
      <c r="BU248" s="13"/>
      <c r="BV248" s="5"/>
      <c r="BW248" s="382" t="b">
        <f>AND(ISNUMBER(SnapshotTable[[#This Row],[SP Exp Date]]), ISNUMBER(SnapshotTable[[#This Row],[SP Strike Price]]), ISNUMBER(SnapshotTable[[#This Row],[SP Qty]]), ISNUMBER(SnapshotTable[[#This Row],[SP Book Date]]), ISNUMBER(SnapshotTable[[#This Row],[SP Book Price]]))</f>
        <v>0</v>
      </c>
      <c r="BX248" s="382" t="b">
        <f>AND(SnapshotTable[[#This Row],[SP Is Booked]], NOT(ISBLANK(SnapshotTable[[#This Row],[SP Fill Date]])))</f>
        <v>0</v>
      </c>
      <c r="BY248" s="33">
        <f>IF(SnapshotTable[[#This Row],[SP Is Booked]], SnapshotTable[[#This Row],[SP Qty]] * SnapshotTable[[#This Row],[SP Book Price]] * 100, 0)</f>
        <v>0</v>
      </c>
      <c r="BZ248" s="339"/>
      <c r="CA248" s="338">
        <f>SnapshotTable[[#This Row],[LP Qty]]</f>
        <v>0</v>
      </c>
      <c r="CB248" s="4" t="str">
        <f>IF(SnapshotTable[[#This Row],[SP Is Booked]], SnapshotTable[[#This Row],[SP Strike Price]] - SnapshotTable[[#This Row],[SP Book Price]], "")</f>
        <v/>
      </c>
      <c r="CC248" s="19" t="str">
        <f>IF(SnapshotTable[[#This Row],[SP Is Booked]],SnapshotTable[[#This Row],[SP Exp Date]]-MAX(SnapshotTable[[#This Row],[SP Book Date]], SnapshotTable[[#This Row],[SP Fill Date]]),"")</f>
        <v/>
      </c>
      <c r="CD248" s="7" t="str">
        <f>IF(SnapshotTable[[#This Row],[SP Is Booked]], SnapshotTable[[#This Row],[SP Book Price]]/SnapshotTable[[#This Row],[SP Strike Price]], "")</f>
        <v/>
      </c>
      <c r="CE248" s="7" t="str">
        <f>IF(ISNUMBER(SnapshotTable[[#This Row],[SP ROO Term]]),SnapshotTable[[#This Row],[SP ROO Term]]*(365/SnapshotTable[[#This Row],[SP Term]]),"")</f>
        <v/>
      </c>
      <c r="CF248" s="221">
        <f>SnapshotTable[[#This Row],[LP Strike Price]] * SnapshotTable[[#This Row],[LP Qty]] * 100</f>
        <v>0</v>
      </c>
      <c r="CG248" s="31">
        <f>IF(ISNUMBER(SnapshotTable[[#This Row],[SP Premium]]), (SnapshotTable[[#This Row],[SP Qty]] * SnapshotTable[[#This Row],[SP Strike Price]]* 100) - SnapshotTable[[#This Row],[LP Protection]], 0)</f>
        <v>0</v>
      </c>
      <c r="CH248" s="7" t="str">
        <f>IF(ISNUMBER(SnapshotTable[[#This Row],[SP Break Even]]),-1 * (SnapshotTable[[#This Row],[SP Break Even]] - SnapshotTable[[#This Row],[Last Price]]) / SnapshotTable[[#This Row],[Last Price]], "")</f>
        <v/>
      </c>
      <c r="CI248" s="31">
        <f>IF(AND(ISNUMBER((SnapshotTable[[#This Row],[SP Potential Spend]])), SnapshotTable[[#This Row],[SP Strike Price]] &gt; SnapshotTable[[#This Row],[Last Price]], SnapshotTable[[#This Row],[SP Is Filled]]), SnapshotTable[[#This Row],[SP Potential Spend]] -  SnapshotTable[[#This Row],[LP Max Value]], 0)</f>
        <v>0</v>
      </c>
      <c r="CJ248" s="229"/>
      <c r="CK248" s="31">
        <f>IF(ISNUMBER(SnapshotTable[[#This Row],[SP Potential Spend]]),IF(ISNUMBER(SnapshotTable[[#This Row],[SP POW]]), SnapshotTable[[#This Row],[SP POW]] * SnapshotTable[[#This Row],[SP Potential Spend]], SnapshotTable[[#This Row],[SP Potential Spend]]), "")</f>
        <v>0</v>
      </c>
      <c r="CL248" s="162">
        <f>IF(NOT(SnapshotTable[[#This Row],[SP Is Filled]]),(SnapshotTable[[#This Row],[SP Qty]] * SnapshotTable[[#This Row],[SP Strike Price]] * 100) - SnapshotTable[[#This Row],[LP Max Value]],"")</f>
        <v>0</v>
      </c>
      <c r="CM248" s="31" t="str">
        <f>IF(SnapshotTable[[#This Row],[SP Actual Spend]]&lt;&gt;0, ((SnapshotTable[[#This Row],[SP Strike Price]]-SnapshotTable[[#This Row],[Last Price]]) *(SnapshotTable[[#This Row],[SP Qty]]*100) - SnapshotTable[[#This Row],[SP Premium]]) * - 1, "")</f>
        <v/>
      </c>
      <c r="CN248" s="76"/>
      <c r="CO248" s="339"/>
      <c r="CP248" s="4" t="str">
        <f>IF(SnapshotTable[[#This Row],[SP Is Filled]], btc_max_buyback_amount(SnapshotTable[[#This Row],[SP Fill Date]],SnapshotTable[[#This Row],[SP Exp Date]], SnapshotTable[[#This Row],[SP Book Price]]),"")</f>
        <v/>
      </c>
      <c r="CQ248" s="76"/>
      <c r="CR248"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8" s="153" t="str">
        <f>IF(SnapshotTable[[#This Row],[SP Is Filled]], btc_next_cutoff_date(SnapshotTable[[#This Row],[SP Fill Date]],SnapshotTable[[#This Row],[SP Exp Date]]),"")</f>
        <v/>
      </c>
      <c r="CT248" s="220" t="str" cm="1">
        <f t="array" ref="CT248">IF(SnapshotTable[[#This Row],[SP Is Filled]], btc_should_buy_back(SnapshotTable[[#This Row],[SP Fill Date]], SnapshotTable[[#This Row],[SP Exp Date]], SnapshotTable[[#This Row],[SP Book Price]], SnapshotTable[[#This Row],[SP Current Ask]], MockToday, SnapshotTable[[#This Row],[SP Buyback Override]]),"")</f>
        <v/>
      </c>
      <c r="CU248" s="141"/>
      <c r="CV248" s="220"/>
      <c r="CW248" s="348" t="str">
        <f>IF(ISNUMBER( SnapshotTable[[#This Row],[SP Term]]), SnapshotTable[[#This Row],[SP Exp Date]] - MockToday,"")</f>
        <v/>
      </c>
      <c r="CX248" s="31" t="str">
        <f>IF(SnapshotTable[[#This Row],[SP Is Filled]],SnapshotTable[[#This Row],[SP Buyback Price to Use]] * 100 * SnapshotTable[[#This Row],[SP Qty]], "")</f>
        <v/>
      </c>
      <c r="CY248" s="4" t="str">
        <f>IF(ISNUMBER(SnapshotTable[[#This Row],[SP Strike Price]]), SnapshotTable[[#This Row],[SP Strike Price]] * (1 - SP_MaxLoss_StrikePct), "")</f>
        <v/>
      </c>
      <c r="CZ248" s="31" t="str">
        <f>IF(ISNUMBER(SnapshotTable[[#This Row],[SP Strike  Stop Per Share]]),SnapshotTable[[#This Row],[SP Premium]] - ((SnapshotTable[[#This Row],[SP Strike Price]]-SnapshotTable[[#This Row],[SP Strike  Stop Per Share]]) *(SnapshotTable[[#This Row],[SP Qty]] * 100)),"")</f>
        <v/>
      </c>
      <c r="DA248" s="4" t="str">
        <f>IF(AND(ISNUMBER(SnapshotTable[[#This Row],[SP Premium]]),SnapshotTable[[#This Row],[SP Premium]]&gt;0), SnapshotTable[[#This Row],[SP Book Price]] * (1 + SP_MaxLoss_OptionPct), "")</f>
        <v/>
      </c>
      <c r="DB248" s="31" t="str">
        <f>IF(ISNUMBER(SnapshotTable[[#This Row],[SP Option  Stop Contract]]),(SnapshotTable[[#This Row],[SP Option  Stop Contract]] *(SnapshotTable[[#This Row],[SP Qty]] * 100) - SnapshotTable[[#This Row],[SP Premium]]),"")</f>
        <v/>
      </c>
      <c r="DC248" s="4"/>
      <c r="DD248" s="4"/>
      <c r="DE248" s="4" t="str">
        <f>IF(AND(SnapshotTable[[#This Row],[SP Qty]]&gt;0, SnapshotTable[[#This Row],[SP Stop To Use]]&gt;0),SnapshotTable[[#This Row],[SP Premium]] - ( SnapshotTable[[#This Row],[SP Qty]] * SnapshotTable[[#This Row],[SP Stop To Use]] * 100), "")</f>
        <v/>
      </c>
      <c r="DF248" s="31" t="str">
        <f>IF(AND(SnapshotTable[[#This Row],[SP Qty]]&gt;0,SnapshotTable[[#This Row],[SP Current Ask]]&gt;0), SnapshotTable[[#This Row],[SP Qty]] * SnapshotTable[[#This Row],[SP Current Ask]] * -100, "")</f>
        <v/>
      </c>
      <c r="DG248" s="31" t="str">
        <f>IF(ISNUMBER((SnapshotTable[[#This Row],[SP Total Value]])), SnapshotTable[[#This Row],[SP Premium]] + SnapshotTable[[#This Row],[SP Total Value]], "")</f>
        <v/>
      </c>
      <c r="DH248" s="272" t="str">
        <f>IF(ISNUMBER((SnapshotTable[[#This Row],[SP Total Value]])), SnapshotTable[[#This Row],[SP Gain Loss]] / SnapshotTable[[#This Row],[SP Premium]], "")</f>
        <v/>
      </c>
      <c r="DI248" s="369"/>
      <c r="DJ248" s="136"/>
      <c r="DK248" s="146"/>
      <c r="DL248" s="13"/>
      <c r="DM248" s="13"/>
      <c r="DO248" s="31">
        <f>IF(SnapshotTable[[#This Row],[LC Symbol Count]]=1, SnapshotTable[[#This Row],[LC Qty]] * SnapshotTable[[#This Row],[LC Book Price]] * 100, 0)</f>
        <v>0</v>
      </c>
      <c r="DP248" s="161" t="str">
        <f>IF(AND(SnapshotTable[[#This Row],[LC Exp Date]]&gt;0, SnapshotTable[[#This Row],[LC Strike Price]]&gt;0,SnapshotTable[[#This Row],[LC Qty]]&gt;0,SnapshotTable[[#This Row],[LC Book Date]]&gt;0,SnapshotTable[[#This Row],[LC Book Price]]&gt;0,SnapshotTable[[#This Row],[LC Fill Date]]=0),"Y","")</f>
        <v/>
      </c>
      <c r="DQ248" s="356" t="str">
        <f>IF(SnapshotTable[[#This Row],[LC Premium]] &gt; 0,SnapshotTable[[#This Row],[LC Exp Date]]-MAX(SnapshotTable[[#This Row],[LC Book Date]], SnapshotTable[[#This Row],[LC Fill Date]]),"")</f>
        <v/>
      </c>
      <c r="DR248" s="356" t="str">
        <f>IF(ISNUMBER(SnapshotTable[[#This Row],[LC Term]]), SnapshotTable[[#This Row],[LC Exp Date]] - MockToday, "")</f>
        <v/>
      </c>
      <c r="DS248" s="219" t="str">
        <f>IF(SnapshotTable[[#This Row],[LC Premium]]&gt;0,SnapshotTable[[#This Row],[LC Strike Price]] + SnapshotTable[[#This Row],[LC Book Price]],"")</f>
        <v/>
      </c>
      <c r="DU248" s="9" t="str">
        <f>IF(AND(SnapshotTable[[#This Row],[LC Symbol Count]]&gt;0, SnapshotTable[[#This Row],[LC Contract Value]]&gt;0), SnapshotTable[[#This Row],[LC Contract Value]] * SnapshotTable[[#This Row],[LC Qty]] * 100, "")</f>
        <v/>
      </c>
      <c r="DV248" s="9" t="str">
        <f>IF(AND(ISNUMBER(SnapshotTable[[#This Row],[LC Total Value]]), SnapshotTable[[#This Row],[LC Not Filled]]&lt;&gt;"Y"), SnapshotTable[[#This Row],[LC Total Value]]-SnapshotTable[[#This Row],[LC Premium]],"")</f>
        <v/>
      </c>
      <c r="DW248" s="225" t="str">
        <f>IF(ISNUMBER(SnapshotTable[[#This Row],[LC Actual Gain Loss]]), SnapshotTable[[#This Row],[LC Actual Gain Loss]] / SnapshotTable[[#This Row],[LC Premium]],"")</f>
        <v/>
      </c>
      <c r="DX248" s="269" t="str">
        <f>IF(ISNUMBER(SnapshotTable[[#This Row],[LC Book Price]]),SnapshotTable[[#This Row],[LC Book Price]] * 1.5,"")</f>
        <v/>
      </c>
      <c r="DY248" s="250" t="str">
        <f>IF(SnapshotTable[[#This Row],[LC Premium]]&gt;0, SnapshotTable[[#This Row],[LC Next Target]] * SnapshotTable[[#This Row],[LC Qty]] * 100,"")</f>
        <v/>
      </c>
      <c r="DZ248" s="250" t="str">
        <f>IF(ISNUMBER(SnapshotTable[[#This Row],[LC Target Gross]]), SnapshotTable[[#This Row],[LC Target Gross]] - SnapshotTable[[#This Row],[LC Premium]], "")</f>
        <v/>
      </c>
      <c r="EA248" s="283" t="str">
        <f>IF(ISNUMBER(SnapshotTable[[#This Row],[LC Target Gain Loss]]), SnapshotTable[[#This Row],[LC Target Gain Loss]]/SnapshotTable[[#This Row],[LC Premium]], "")</f>
        <v/>
      </c>
      <c r="EB248" s="247"/>
      <c r="EC248" s="268" t="str">
        <f>IF(SnapshotTable[[#This Row],[LC Premium]]&gt;0, SnapshotTable[[#This Row],[LC Book Price]] * (1 - LC_StopLoss_Pct),"")</f>
        <v/>
      </c>
      <c r="ED248" s="269"/>
      <c r="EE248" s="268" t="str">
        <f>IF(ISNUMBER(SnapshotTable[[#This Row],[LC Contract Value]]),IF(ISNUMBER(SnapshotTable[[#This Row],[LC Stop Loss Override]]), SnapshotTable[[#This Row],[LC Stop Loss Override]],SnapshotTable[[#This Row],[LC Stop Loss Calc Target]]),"")</f>
        <v/>
      </c>
      <c r="EF248" s="31" t="str">
        <f>IF(ISNUMBER(SnapshotTable[[#This Row],[LC Stop  To Use]]), (SnapshotTable[[#This Row],[LC Stop  To Use]] * SnapshotTable[[#This Row],[LC Qty]] * 100),"")</f>
        <v/>
      </c>
      <c r="EG248" s="9" t="str">
        <f>IF(ISNUMBER(SnapshotTable[[#This Row],[LC Total Value]]),SnapshotTable[[#This Row],[LC Stop Loss Amount]] - SnapshotTable[[#This Row],[LC Premium]],"")</f>
        <v/>
      </c>
      <c r="EH248" s="9">
        <f>IF(ISNUMBER(SnapshotTable[[#This Row],[LC Premium]]), SnapshotTable[[#This Row],[LC Qty]] * 100 * SnapshotTable[[#This Row],[LC Strike Price]], "")</f>
        <v>0</v>
      </c>
      <c r="EI248" s="225" t="str">
        <f>IF(AND(ISNUMBER(SnapshotTable[[#This Row],[LC Total Value]]),SnapshotTable[[#This Row],[LC Total Value]]&gt;0),SnapshotTable[[#This Row],[LC Stop Gain Loss]]  / SnapshotTable[[#This Row],[LC Premium]],"")</f>
        <v/>
      </c>
      <c r="EJ248" s="35">
        <f>IF(ISNUMBER(SnapshotTable[[#This Row],[Equity Shares]]),TRUNC(SnapshotTable[[#This Row],[Equity Shares]] / 100),0) + SnapshotTable[[#This Row],[LC Qty]]</f>
        <v>0</v>
      </c>
      <c r="EK248" s="145"/>
      <c r="EL248" s="136"/>
      <c r="EM248" s="146"/>
      <c r="EN248" s="145"/>
      <c r="EO248" s="145"/>
      <c r="EP248" s="136"/>
      <c r="EQ248" s="382" t="b">
        <f>AND(ISNUMBER(SnapshotTable[[#This Row],[SC Exp Date]]), ISNUMBER(SnapshotTable[[#This Row],[SC Strike Price]]), ISNUMBER(SnapshotTable[[#This Row],[SC Qty]]), ISNUMBER(SnapshotTable[[#This Row],[SC Book Date]]), ISNUMBER(SnapshotTable[[#This Row],[SC Book Price]]))</f>
        <v>0</v>
      </c>
      <c r="ER248" s="382" t="b">
        <f>AND(SnapshotTable[[#This Row],[SC Is Booked]], NOT(ISBLANK(SnapshotTable[[#This Row],[SC Fill Date]])))</f>
        <v>0</v>
      </c>
      <c r="ES248" s="340"/>
      <c r="ET248" s="34" t="str">
        <f>IF(AND(ISNUMBER(SnapshotTable[[#This Row],[SC Exp Date]]), ISNUMBER(SnapshotTable[[#This Row],[SC Book Date]])), SnapshotTable[[#This Row],[SC Exp Date]] - MAX(SnapshotTable[[#This Row],[SC Book Date]], SnapshotTable[[#This Row],[SC Fill Date]]) + 1, "")</f>
        <v/>
      </c>
      <c r="EU248" s="34" t="str">
        <f>IF(ISNUMBER(SnapshotTable[[#This Row],[SC Term]]), SnapshotTable[[#This Row],[SC Exp Date]]- MockToday, "")</f>
        <v/>
      </c>
      <c r="EV248" s="31">
        <f>IF(SnapshotTable[[#This Row],[SC Is Booked]], SnapshotTable[[#This Row],[SC Qty]] * SnapshotTable[[#This Row],[SC Book Price]] * 100, 0)</f>
        <v>0</v>
      </c>
      <c r="EW248" s="4" t="str">
        <f>IF(AND(ISNUMBER(SnapshotTable[[#This Row],[Last Price]]), ISNUMBER( SnapshotTable[[#This Row],[SC Book Price]])), SnapshotTable[[#This Row],[Last Price]] - SnapshotTable[[#This Row],[SC Book Price]],"")</f>
        <v/>
      </c>
      <c r="EX248" s="219" t="str">
        <f>IF(SnapshotTable[[#This Row],[SC Is Booked]],IF(SnapshotTable[[#This Row],[SC Intrinsic Value]] &gt; 0, SnapshotTable[[#This Row],[SC Strike Price]], SnapshotTable[[#This Row],[Last Price]]), "")</f>
        <v/>
      </c>
      <c r="EY248" s="4">
        <f>IF(SnapshotTable[[#This Row],[SC Is Booked]], (MinimumPremiumRequired * SnapshotTable[[#This Row],[SC Basis]] * SnapshotTable[[#This Row],[SC Term]]), 0)</f>
        <v>0</v>
      </c>
      <c r="EZ248" s="268"/>
      <c r="FA248" s="204"/>
      <c r="FB248" s="340"/>
      <c r="FC248" s="4">
        <f>IF(SnapshotTable[[#This Row],[SC Is Filled]], btc_max_buyback_amount(SnapshotTable[[#This Row],[SC Fill Date]],SnapshotTable[[#This Row],[SC Exp Date]], SnapshotTable[[#This Row],[SC Book Price]]),0)</f>
        <v>0</v>
      </c>
      <c r="FD248" s="5"/>
      <c r="FE248" s="142" t="str">
        <f>IF(SnapshotTable[[#This Row],[SC Is Filled]], btc_next_cutoff_date(SnapshotTable[[#This Row],[SC Fill Date]],SnapshotTable[[#This Row],[SC Exp Date]]),"")</f>
        <v/>
      </c>
      <c r="FF248" s="4" t="str" cm="1">
        <f t="array" ref="FF248">IF(SnapshotTable[[#This Row],[SC Is Filled]], btc_should_buy_back(SnapshotTable[[#This Row],[SC Fill Date]], SnapshotTable[[#This Row],[SC Exp Date]], SnapshotTable[[#This Row],[SC Book Price]], SnapshotTable[[#This Row],[SC Current Ask]], MockToday, SnapshotTable[[#This Row],[SC Buyback Override]]),"")</f>
        <v/>
      </c>
      <c r="FG248" s="4">
        <f>IF(SnapshotTable[[#This Row],[SC Is Filled]], MAX(0,SnapshotTable[[#This Row],[Last Price]]  - SnapshotTable[[#This Row],[SC Strike Price]]), 0)</f>
        <v>0</v>
      </c>
      <c r="FH248" s="352">
        <f>IF(SnapshotTable[[#This Row],[SC Is Filled]], IF(ISNUMBER(SnapshotTable[[#This Row],[SC Current Ask]]), SnapshotTable[[#This Row],[SC Current Ask]], SnapshotTable[[#This Row],[SC Book Price]]) - SnapshotTable[[#This Row],[SC Intrinsic Value]], 0)</f>
        <v>0</v>
      </c>
      <c r="FI248" s="141"/>
      <c r="FJ248" s="32" t="str">
        <f>IF(SnapshotTable[[#This Row],[SC Is Filled]],100 * SnapshotTable[[#This Row],[SC Qty]] * IF(ISNUMBER(SnapshotTable[[#This Row],[SC Buyback Override]]), SnapshotTable[[#This Row],[SC Buyback Override]], SnapshotTable[[#This Row],[SC Current Ask]]), "")</f>
        <v/>
      </c>
      <c r="FK248" s="235" t="str">
        <f>IF(SnapshotTable[[#This Row],[SC Time Val]]&gt;0, SnapshotTable[[#This Row],[SC Time Val]] / SnapshotTable[[#This Row],[Last Price]],"")</f>
        <v/>
      </c>
      <c r="FL248" s="280" t="str">
        <f>IF(SnapshotTable[[#This Row],[SC Is Booked]], ((SnapshotTable[[#This Row],[Last Price]] -SnapshotTable[[#This Row],[SC Strike Price]]) / SnapshotTable[[#This Row],[Last Price]]) * -1, "")</f>
        <v/>
      </c>
      <c r="FM248" s="155" t="str">
        <f>IF(SnapshotTable[[#This Row],[SC Is Booked]],  (SnapshotTable[[#This Row],[SC Qty]] * 100 * SnapshotTable[[#This Row],[SC Strike Price]]) - SnapshotTable[[#This Row],[SC Current Ask]], "")</f>
        <v/>
      </c>
      <c r="FN248"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8" s="31" t="str">
        <f>IF(AND(ISNUMBER(SnapshotTable[[#This Row],[SC Exercise Gross]]), ISNUMBER(SnapshotTable[[#This Row],[Equity Basis Per Share]] )), SnapshotTable[[#This Row],[SC Exercise Gross]] - SnapshotTable[[#This Row],[Equity Basis Total]] +  SnapshotTable[[#This Row],[SC Premium]], "")</f>
        <v/>
      </c>
      <c r="FP248" s="5" t="str">
        <f>IF(ISNUMBER(SnapshotTable[[#This Row],[SC Exercise Gross]]), (SnapshotTable[[#This Row],[SC Exercise Gross]]) / (SnapshotTable[[#This Row],[SC Qty]] * 100), "")</f>
        <v/>
      </c>
      <c r="FQ248" s="27" t="str">
        <f>IF(SnapshotTable[[#This Row],[SC Is Booked]],SnapshotTable[[#This Row],[SC Time Val]] /SnapshotTable[[#This Row],[SC Basis]], "")</f>
        <v/>
      </c>
      <c r="FR248" s="27" t="str" cm="1">
        <f t="array" ref="FR248">IF(AND(ISNUMBER(SnapshotTable[[#This Row],[SC Term]]),ISNUMBER(SnapshotTable[[#This Row],[SC Simple ROO]])), EllmanAnnualize(SnapshotTable[[#This Row],[SC DTE]], SnapshotTable[[#This Row],[SC Simple ROO]] ),"")</f>
        <v/>
      </c>
      <c r="FS248" s="4">
        <f>IF(SnapshotTable[[#This Row],[SC Strike Price]] &gt; SnapshotTable[[#This Row],[Last Price]], SnapshotTable[[#This Row],[SC Strike Price]] - SnapshotTable[[#This Row],[Last Price]],0)</f>
        <v>0</v>
      </c>
      <c r="FT248" s="27" t="str">
        <f>IF(AND(ISNUMBER(SnapshotTable[[#This Row],[SC Upside Potential]]), SnapshotTable[[#This Row],[SC Upside Potential]] &gt; 0),(SnapshotTable[[#This Row],[SC Upside Potential]]/ SnapshotTable[[#This Row],[ACB]]),"")</f>
        <v/>
      </c>
      <c r="FU248" s="304" t="str">
        <f>IF(SnapshotTable[[#This Row],[SC Intrinsic Value]] &gt; 0,SnapshotTable[[#This Row],[SC Intrinsic Value]],"")</f>
        <v/>
      </c>
      <c r="FV248" s="27" t="str">
        <f>IF(AND( ISNUMBER( SnapshotTable[[#This Row],[ACB]]),ISNUMBER(SnapshotTable[[#This Row],[SC Downside Protect]])),SnapshotTable[[#This Row],[SC Downside Protect]] / SnapshotTable[[#This Row],[ACB]],"")</f>
        <v/>
      </c>
      <c r="FW248" s="221" t="str">
        <f>IF(AND(ISNUMBER(SnapshotTable[[#This Row],[SC Simple ROO]]),SnapshotTable[[#This Row],[SC Simple ROO]] &gt; 0), SnapshotTable[[#This Row],[SC Premium]] + (SnapshotTable[[#This Row],[SC Qty]] * SnapshotTable[[#This Row],[SC Upside Potential]]), "")</f>
        <v/>
      </c>
      <c r="FX248" s="280" t="str" cm="1">
        <f t="array" ref="FX248">IF(ISNUMBER(SnapshotTable[[#This Row],[SC Max Dollars]]), annualize(SnapshotTable[[#This Row],[SC Term]],(SnapshotTable[[#This Row],[SC Max Dollars]]/SnapshotTable[[#This Row],[SC Basis]])),"")</f>
        <v/>
      </c>
      <c r="FY248" s="221" t="str">
        <f>IF(AND(SnapshotTable[[#This Row],[SC Qty]]&gt;0,SnapshotTable[[#This Row],[SC Current Ask]]&gt;0), SnapshotTable[[#This Row],[SC Qty]] * SnapshotTable[[#This Row],[SC Current Ask]] * -100, "")</f>
        <v/>
      </c>
      <c r="FZ248" s="31" t="str">
        <f>IF(ISNUMBER((SnapshotTable[[#This Row],[SC Current Value]])), SnapshotTable[[#This Row],[SC Premium]] + SnapshotTable[[#This Row],[SC Current Value]], "")</f>
        <v/>
      </c>
      <c r="GA248" s="272" t="str">
        <f>IFERROR( IF(ISNUMBER((SnapshotTable[[#This Row],[SC Current Value]])), SnapshotTable[[#This Row],[SC Gain Loss]] / SnapshotTable[[#This Row],[SC Premium]], ""), "")</f>
        <v/>
      </c>
      <c r="GB248" s="42">
        <f>SnapshotTable[[#This Row],[Equity Shares]] * SaleSharesToConsiderPercentage</f>
        <v>0</v>
      </c>
      <c r="GC248" s="40">
        <f>SnapshotTable[[#This Row],[Long Term Target]] * SellingPriceToConsiderBasedOnTargetPercentage</f>
        <v>0</v>
      </c>
      <c r="GD248" s="40">
        <f>SnapshotTable[[#This Row],[Last Price]] * (1+ SellingPriceToConsiderBasedOnTargetPercentage)</f>
        <v>6.9029999999999996</v>
      </c>
      <c r="GE248" s="41"/>
      <c r="GF248" s="40"/>
      <c r="GG248" s="31">
        <f>SnapshotTable[[#This Row],[Booked Sale Shares]] * SnapshotTable[[#This Row],[Booked Sale Price]]</f>
        <v>0</v>
      </c>
      <c r="GH248" s="31" t="str">
        <f>IF(SnapshotTable[[#This Row],[Equity Basis Total]] &gt; 0, SnapshotTable[[#This Row],[Equity Basis Per Share]] * SnapshotTable[[#This Row],[Booked Sale Shares]], "")</f>
        <v/>
      </c>
      <c r="GI248" s="31">
        <f>IF(SnapshotTable[[#This Row],[Sale Proceeds]]&gt;0, SnapshotTable[[#This Row],[Sale Proceeds]] - SnapshotTable[[#This Row],[Sale Basis]], 0)</f>
        <v>0</v>
      </c>
      <c r="GJ248" s="27" t="str">
        <f>IF(SnapshotTable[[#This Row],[Sale G/L]]&gt;0, SnapshotTable[[#This Row],[Sale G/L]] / SnapshotTable[[#This Row],[Sale Basis]], IF(ISNUMBER(SnapshotTable[[#This Row],[SC Exercise P&amp;L (TAX)]]), SnapshotTable[[#This Row],[SC Exercise P&amp;L (TAX)]] / SnapshotTable[[#This Row],[SC Basis]], ""))</f>
        <v/>
      </c>
      <c r="GK248" s="27"/>
      <c r="GL248" s="43" t="str">
        <f>IF(AND(SnapshotTable[[#This Row],[LP Exp Date]]&gt;0,SnapshotTable[[#This Row],[LP Strike Price]]&gt;0), [1]!ToOptionSymbol(SnapshotTable[[#This Row],[Symbol]], SnapshotTable[[#This Row],[LP Strike Price]],SnapshotTable[[#This Row],[LP Exp Date]],1), "")</f>
        <v/>
      </c>
      <c r="GM248" s="30" t="str">
        <f>IF(LEN(SnapshotTable[[#This Row],[LP Symbol]])&gt;0, 1, "")</f>
        <v/>
      </c>
      <c r="GN248" s="43" t="str">
        <f>IF(AND(SnapshotTable[[#This Row],[SP Exp Date]]&gt;0,SnapshotTable[[#This Row],[SP Strike Price]]&gt;0), [1]!ToOptionSymbol(SnapshotTable[[#This Row],[Symbol]], SnapshotTable[[#This Row],[SP Strike Price]],SnapshotTable[[#This Row],[SP Exp Date]],1), "")</f>
        <v/>
      </c>
      <c r="GO248" s="30" t="str">
        <f>IF(LEN(SnapshotTable[[#This Row],[SP Symbol]])&gt;0, 1, "")</f>
        <v/>
      </c>
      <c r="GP248" s="43" t="str">
        <f>IF(AND(SnapshotTable[[#This Row],[LC Exp Date]]&gt;0,SnapshotTable[[#This Row],[LC Strike Price]]&gt;0), [1]!ToOptionSymbol(SnapshotTable[[#This Row],[Symbol]], SnapshotTable[[#This Row],[LC Strike Price]],SnapshotTable[[#This Row],[LC Exp Date]],0), "")</f>
        <v/>
      </c>
      <c r="GQ248" s="30" t="str">
        <f>IF(LEN(SnapshotTable[[#This Row],[LC Symbol]])&gt;0, 1, "")</f>
        <v/>
      </c>
      <c r="GR248" s="43" t="str">
        <f>IF(AND(SnapshotTable[[#This Row],[SC Exp Date]]&gt;0,SnapshotTable[[#This Row],[SC Strike Price]]&gt;0), [1]!ToOptionSymbol(SnapshotTable[[#This Row],[Symbol]], SnapshotTable[[#This Row],[SC Strike Price]],SnapshotTable[[#This Row],[SC Exp Date]],0), "")</f>
        <v/>
      </c>
      <c r="GS248" s="30" t="str">
        <f>IF(LEN(SnapshotTable[[#This Row],[SC Symbol]])&gt;0, 1, "")</f>
        <v/>
      </c>
      <c r="GT248" s="29" t="str">
        <f>IF(COUNT(SnapshotTable[[#This Row],[LP Symbol Count]],SnapshotTable[[#This Row],[SP Symbol Count]],SnapshotTable[[#This Row],[LC Symbol Count]],SnapshotTable[[#This Row],[SC Symbol Count]])&gt;0, "Y", "")</f>
        <v/>
      </c>
      <c r="GU248"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c>
      <c r="GV248" s="216">
        <f>MAX(SnapshotTable[[#This Row],[Equity Basis Total]],SnapshotTable[[#This Row],[Equity Value]]) + (SnapshotTable[[#This Row],[SP Potential Spend]]- SnapshotTable[[#This Row],[SP Premium]] + SnapshotTable[[#This Row],[LP Premium]])+ (SnapshotTable[[#This Row],[LC Premium]] - SnapshotTable[[#This Row],[SC Premium]])</f>
        <v>0</v>
      </c>
      <c r="GW248" s="137" t="str">
        <f>IF(AND(SnapshotTable[[#This Row],[Exposure]] &lt;&gt; 0),SnapshotTable[[#This Row],[Exposure]] / SnapshotTable[[#Totals],[Exposure]], "")</f>
        <v/>
      </c>
      <c r="HK248" s="1"/>
      <c r="HL248" s="1"/>
      <c r="HM248" s="1"/>
      <c r="HN248" s="1"/>
      <c r="HO248" s="1"/>
      <c r="HP248" s="1"/>
    </row>
    <row r="249" spans="2:224" ht="12.75" hidden="1" customHeight="1" x14ac:dyDescent="0.25">
      <c r="B249" s="12" t="s">
        <v>977</v>
      </c>
      <c r="C249" s="385">
        <v>7.8</v>
      </c>
      <c r="D249" s="200"/>
      <c r="E249" s="39">
        <f>SnapshotTable[[#This Row],[Last Price]]*(1 -CrashDiscount)</f>
        <v>6.63</v>
      </c>
      <c r="F249" s="296" t="s">
        <v>137</v>
      </c>
      <c r="G249" s="296" t="s">
        <v>7</v>
      </c>
      <c r="H249" s="147"/>
      <c r="I249" s="186"/>
      <c r="J249" s="187"/>
      <c r="K249" s="188"/>
      <c r="L249" s="297"/>
      <c r="M249" s="138"/>
      <c r="N249" s="138"/>
      <c r="O249" s="138"/>
      <c r="P249" s="299">
        <v>100</v>
      </c>
      <c r="Q249" s="25">
        <v>964</v>
      </c>
      <c r="R249" s="4">
        <f>IF(SnapshotTable[[#This Row],[Equity Basis Total]] &gt; 0, SnapshotTable[[#This Row],[Equity Basis Total]] / SnapshotTable[[#This Row],[Equity Shares]], "")</f>
        <v>9.64</v>
      </c>
      <c r="S249" s="254">
        <f>SnapshotTable[[#This Row],[Last Price]] * SnapshotTable[[#This Row],[Equity Shares]]</f>
        <v>780</v>
      </c>
      <c r="T249" s="254">
        <f>SnapshotTable[[#This Row],[Equity Value]] - SnapshotTable[[#This Row],[Equity Basis Total]]</f>
        <v>-184</v>
      </c>
      <c r="U249" s="255">
        <f>IF(SnapshotTable[[#This Row],[Equity Basis Total]] &gt; 0, SnapshotTable[[#This Row],[Equity G/L]] / SnapshotTable[[#This Row],[Equity Basis Total]], "")</f>
        <v>-0.1908713692946058</v>
      </c>
      <c r="V249" s="253"/>
      <c r="W249" s="253"/>
      <c r="X249" s="4" t="str">
        <f>IF(AND(ISNUMBER(SnapshotTable[[#This Row],[Equity Basis Per Share]]),ISNUMBER(SnapshotTable[[#This Row],[Equity Target]])),SnapshotTable[[#This Row],[Equity Target]]-SnapshotTable[[#This Row],[Equity Basis Per Share]],"")</f>
        <v/>
      </c>
      <c r="Y249" s="4" t="str">
        <f>IF(AND(ISNUMBER(SnapshotTable[[#This Row],[Equity Basis Per Share]]),ISNUMBER(SnapshotTable[[#This Row],[Equity Stop Loss]])),SnapshotTable[[#This Row],[Equity Stop Loss]]-SnapshotTable[[#This Row],[Equity Basis Per Share]],"")</f>
        <v/>
      </c>
      <c r="Z249" s="260" t="str">
        <f>IFERROR( TEXT(SnapshotTable[[#This Row],[Equity Max Gain Per Share]] /ABS( SnapshotTable[[#This Row],[Equity Max Loss Per Share]]),"0.0 " ) &amp; " : 1", "")</f>
        <v/>
      </c>
      <c r="AA249" s="31" t="str">
        <f>IF(ISNUMBER(SnapshotTable[[#This Row],[Equity Max Gain Per Share]]),SnapshotTable[[#This Row],[Equity Max Gain Per Share]] * SnapshotTable[[#This Row],[Equity Shares]],"")</f>
        <v/>
      </c>
      <c r="AB249" s="31" t="str">
        <f>IF(ISNUMBER(SnapshotTable[[#This Row],[Equity Max Loss Per Share]]),SnapshotTable[[#This Row],[Equity Max Loss Per Share]] * SnapshotTable[[#This Row],[Equity Shares]],"")</f>
        <v/>
      </c>
      <c r="AC249" s="148"/>
      <c r="AD249" s="149"/>
      <c r="AE249" s="31">
        <f>(SnapshotTable[[#This Row],[Annual Dividend Per Share]] / 4) * SnapshotTable[[#This Row],[Equity Shares]]</f>
        <v>0</v>
      </c>
      <c r="AF249" s="31">
        <f>SnapshotTable[[#This Row],[Quarterly Div $]] * 4</f>
        <v>0</v>
      </c>
      <c r="AG249" s="7">
        <f>IF(SnapshotTable[[#This Row],[Annual Dividend Per Share]]&gt;0, SnapshotTable[[#This Row],[Annual Dividend Per Share]]  / SnapshotTable[[#This Row],[Last Price]], 0)</f>
        <v>0</v>
      </c>
      <c r="AH249" s="149"/>
      <c r="AI249" s="5"/>
      <c r="AJ249" s="136"/>
      <c r="AK249" s="150" t="str">
        <f>IF(ISNUMBER( SnapshotTable[[#This Row],[EBF Target]]),(SnapshotTable[[#This Row],[EBF Target]] - SnapshotTable[[#This Row],[Last Price]]) / SnapshotTable[[#This Row],[Last Price]], "")</f>
        <v/>
      </c>
      <c r="AL249" s="150" t="str">
        <f>IF(AND(SnapshotTable[[#This Row],[Equity Basis Total]] &gt; 0,ISNUMBER( SnapshotTable[[#This Row],[Long Term Target]])), SnapshotTable[[#This Row],[From Basis $]] / SnapshotTable[[#This Row],[Equity Basis Total]], "")</f>
        <v/>
      </c>
      <c r="AM249" s="9">
        <f>IF( AND(SnapshotTable[[#This Row],[Equity Shares]] &gt;0,ISNUMBER( SnapshotTable[[#This Row],[Long Term Target]])),(SnapshotTable[[#This Row],[Equity Shares]] * SnapshotTable[[#This Row],[Long Term Target]]) - SnapshotTable[[#This Row],[Equity Basis Total]],0)</f>
        <v>0</v>
      </c>
      <c r="AN249" s="9">
        <f>IF( AND(SnapshotTable[[#This Row],[Equity Shares]] &gt;0,ISNUMBER( SnapshotTable[[#This Row],[Long Term Target]])),(SnapshotTable[[#This Row],[Equity Shares]]*SnapshotTable[[#This Row],[Long Term Target]]) - SnapshotTable[[#This Row],[Equity Value]],0)</f>
        <v>0</v>
      </c>
      <c r="AO249" s="150" t="str">
        <f>IF(AND(ISNUMBER( SnapshotTable[[#This Row],[Long Term Target]]), ISNUMBER(SnapshotTable[[#This Row],[Last Price]])),(SnapshotTable[[#This Row],[Long Term Target]] - SnapshotTable[[#This Row],[Last Price]]) / SnapshotTable[[#This Row],[Last Price]], "")</f>
        <v/>
      </c>
      <c r="AP249" s="5"/>
      <c r="AQ249" s="38"/>
      <c r="AR249" s="5"/>
      <c r="AS249" s="38"/>
      <c r="AT249" s="144"/>
      <c r="AU249" s="185" t="str">
        <f>IF(OR(SnapshotTable[[#This Row],[LP No Fill]]="Y",SnapshotTable[[#This Row],[SP Is Filled]],SnapshotTable[[#This Row],[LC Not Filled]]="Y",SnapshotTable[[#This Row],[SC Is Filled]]),"Y","")</f>
        <v/>
      </c>
      <c r="AV249" s="205"/>
      <c r="AW249" s="211"/>
      <c r="AX249" s="206"/>
      <c r="AY249" s="205" t="str">
        <f>IF(SnapshotTable[[#This Row],[Implied Move]]&gt;0, SnapshotTable[[#This Row],[Last Price]]-SnapshotTable[[#This Row],[Implied Move]],"")</f>
        <v/>
      </c>
      <c r="AZ249" s="205" t="str">
        <f>IF(SnapshotTable[[#This Row],[Implied Move]]&gt;0, SnapshotTable[[#This Row],[Last Price]] + SnapshotTable[[#This Row],[Implied Move]],"")</f>
        <v/>
      </c>
      <c r="BA249" s="302">
        <v>8.99</v>
      </c>
      <c r="BB249" s="318" t="s">
        <v>888</v>
      </c>
      <c r="BC249"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49" s="321"/>
      <c r="BE249" s="5"/>
      <c r="BF249" s="14"/>
      <c r="BG249" s="13"/>
      <c r="BH249" s="13"/>
      <c r="BI249" s="5"/>
      <c r="BJ249" s="134">
        <f>IF(SnapshotTable[[#This Row],[LP Qty]] &gt; 0, SnapshotTable[[#This Row],[LP Qty]] * SnapshotTable[[#This Row],[LP Book Price]] * 100,0)</f>
        <v>0</v>
      </c>
      <c r="BK249" s="134">
        <f>IF(SnapshotTable[[#This Row],[LP Premium]] &gt; 0, SnapshotTable[[#This Row],[LP Qty]] * SnapshotTable[[#This Row],[LP Strike Price]] * 100,0)</f>
        <v>0</v>
      </c>
      <c r="BL249" s="152"/>
      <c r="BM249" s="355" t="str">
        <f>IF(SnapshotTable[[#This Row],[LP Premium]] &gt; 0,SnapshotTable[[#This Row],[LP Exp Date]]-MAX(SnapshotTable[[#This Row],[LP Book Date]], SnapshotTable[[#This Row],[LP Fill Date]]),"")</f>
        <v/>
      </c>
      <c r="BN249" s="355" t="str">
        <f>IF(ISNUMBER( SnapshotTable[[#This Row],[LP Term]]), SnapshotTable[[#This Row],[LP Exp Date]] - MockToday,"")</f>
        <v/>
      </c>
      <c r="BO249" s="161" t="str">
        <f>IF(AND(SnapshotTable[[#This Row],[LP Exp Date]]&gt;0, SnapshotTable[[#This Row],[LP Strike Price]]&gt;0,SnapshotTable[[#This Row],[LP Qty]]&gt;0,SnapshotTable[[#This Row],[LP Book Date]]&gt;0,SnapshotTable[[#This Row],[LP Book Price]]&gt;0,SnapshotTable[[#This Row],[LP Fill Date]]=0),"Y","")</f>
        <v/>
      </c>
      <c r="BP249" s="31" t="str">
        <f>IF(AND(SnapshotTable[[#This Row],[LP No Fill]]&lt;&gt;"Y",SnapshotTable[[#This Row],[LP Contract Value]]&gt;0, SnapshotTable[[#This Row],[LP Qty]]&gt;0), SnapshotTable[[#This Row],[LP Contract Value]]*SnapshotTable[[#This Row],[LP Qty]]*100,"")</f>
        <v/>
      </c>
      <c r="BQ249" s="13"/>
      <c r="BR249" s="5"/>
      <c r="BS249" s="36"/>
      <c r="BT249" s="145"/>
      <c r="BU249" s="13"/>
      <c r="BV249" s="5"/>
      <c r="BW249" s="382" t="b">
        <f>AND(ISNUMBER(SnapshotTable[[#This Row],[SP Exp Date]]), ISNUMBER(SnapshotTable[[#This Row],[SP Strike Price]]), ISNUMBER(SnapshotTable[[#This Row],[SP Qty]]), ISNUMBER(SnapshotTable[[#This Row],[SP Book Date]]), ISNUMBER(SnapshotTable[[#This Row],[SP Book Price]]))</f>
        <v>0</v>
      </c>
      <c r="BX249" s="382" t="b">
        <f>AND(SnapshotTable[[#This Row],[SP Is Booked]], NOT(ISBLANK(SnapshotTable[[#This Row],[SP Fill Date]])))</f>
        <v>0</v>
      </c>
      <c r="BY249" s="33">
        <f>IF(SnapshotTable[[#This Row],[SP Is Booked]], SnapshotTable[[#This Row],[SP Qty]] * SnapshotTable[[#This Row],[SP Book Price]] * 100, 0)</f>
        <v>0</v>
      </c>
      <c r="BZ249" s="339"/>
      <c r="CA249" s="338">
        <f>SnapshotTable[[#This Row],[LP Qty]]</f>
        <v>0</v>
      </c>
      <c r="CB249" s="4" t="str">
        <f>IF(SnapshotTable[[#This Row],[SP Is Booked]], SnapshotTable[[#This Row],[SP Strike Price]] - SnapshotTable[[#This Row],[SP Book Price]], "")</f>
        <v/>
      </c>
      <c r="CC249" s="19" t="str">
        <f>IF(SnapshotTable[[#This Row],[SP Is Booked]],SnapshotTable[[#This Row],[SP Exp Date]]-MAX(SnapshotTable[[#This Row],[SP Book Date]], SnapshotTable[[#This Row],[SP Fill Date]]),"")</f>
        <v/>
      </c>
      <c r="CD249" s="7" t="str">
        <f>IF(SnapshotTable[[#This Row],[SP Is Booked]], SnapshotTable[[#This Row],[SP Book Price]]/SnapshotTable[[#This Row],[SP Strike Price]], "")</f>
        <v/>
      </c>
      <c r="CE249" s="7" t="str">
        <f>IF(ISNUMBER(SnapshotTable[[#This Row],[SP ROO Term]]),SnapshotTable[[#This Row],[SP ROO Term]]*(365/SnapshotTable[[#This Row],[SP Term]]),"")</f>
        <v/>
      </c>
      <c r="CF249" s="221">
        <f>SnapshotTable[[#This Row],[LP Strike Price]] * SnapshotTable[[#This Row],[LP Qty]] * 100</f>
        <v>0</v>
      </c>
      <c r="CG249" s="31">
        <f>IF(ISNUMBER(SnapshotTable[[#This Row],[SP Premium]]), (SnapshotTable[[#This Row],[SP Qty]] * SnapshotTable[[#This Row],[SP Strike Price]]* 100) - SnapshotTable[[#This Row],[LP Protection]], 0)</f>
        <v>0</v>
      </c>
      <c r="CH249" s="7" t="str">
        <f>IF(ISNUMBER(SnapshotTable[[#This Row],[SP Break Even]]),-1 * (SnapshotTable[[#This Row],[SP Break Even]] - SnapshotTable[[#This Row],[Last Price]]) / SnapshotTable[[#This Row],[Last Price]], "")</f>
        <v/>
      </c>
      <c r="CI249" s="31">
        <f>IF(AND(ISNUMBER((SnapshotTable[[#This Row],[SP Potential Spend]])), SnapshotTable[[#This Row],[SP Strike Price]] &gt; SnapshotTable[[#This Row],[Last Price]], SnapshotTable[[#This Row],[SP Is Filled]]), SnapshotTable[[#This Row],[SP Potential Spend]] -  SnapshotTable[[#This Row],[LP Max Value]], 0)</f>
        <v>0</v>
      </c>
      <c r="CJ249" s="229"/>
      <c r="CK249" s="31">
        <f>IF(ISNUMBER(SnapshotTable[[#This Row],[SP Potential Spend]]),IF(ISNUMBER(SnapshotTable[[#This Row],[SP POW]]), SnapshotTable[[#This Row],[SP POW]] * SnapshotTable[[#This Row],[SP Potential Spend]], SnapshotTable[[#This Row],[SP Potential Spend]]), "")</f>
        <v>0</v>
      </c>
      <c r="CL249" s="162">
        <f>IF(NOT(SnapshotTable[[#This Row],[SP Is Filled]]),(SnapshotTable[[#This Row],[SP Qty]] * SnapshotTable[[#This Row],[SP Strike Price]] * 100) - SnapshotTable[[#This Row],[LP Max Value]],"")</f>
        <v>0</v>
      </c>
      <c r="CM249" s="31" t="str">
        <f>IF(SnapshotTable[[#This Row],[SP Actual Spend]]&lt;&gt;0, ((SnapshotTable[[#This Row],[SP Strike Price]]-SnapshotTable[[#This Row],[Last Price]]) *(SnapshotTable[[#This Row],[SP Qty]]*100) - SnapshotTable[[#This Row],[SP Premium]]) * - 1, "")</f>
        <v/>
      </c>
      <c r="CN249" s="76"/>
      <c r="CO249" s="339"/>
      <c r="CP249" s="4" t="str">
        <f>IF(SnapshotTable[[#This Row],[SP Is Filled]], btc_max_buyback_amount(SnapshotTable[[#This Row],[SP Fill Date]],SnapshotTable[[#This Row],[SP Exp Date]], SnapshotTable[[#This Row],[SP Book Price]]),"")</f>
        <v/>
      </c>
      <c r="CQ249" s="76"/>
      <c r="CR249"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49" s="153" t="str">
        <f>IF(SnapshotTable[[#This Row],[SP Is Filled]], btc_next_cutoff_date(SnapshotTable[[#This Row],[SP Fill Date]],SnapshotTable[[#This Row],[SP Exp Date]]),"")</f>
        <v/>
      </c>
      <c r="CT249" s="220" t="str" cm="1">
        <f t="array" ref="CT249">IF(SnapshotTable[[#This Row],[SP Is Filled]], btc_should_buy_back(SnapshotTable[[#This Row],[SP Fill Date]], SnapshotTable[[#This Row],[SP Exp Date]], SnapshotTable[[#This Row],[SP Book Price]], SnapshotTable[[#This Row],[SP Current Ask]], MockToday, SnapshotTable[[#This Row],[SP Buyback Override]]),"")</f>
        <v/>
      </c>
      <c r="CU249" s="141"/>
      <c r="CV249" s="220"/>
      <c r="CW249" s="348" t="str">
        <f>IF(ISNUMBER( SnapshotTable[[#This Row],[SP Term]]), SnapshotTable[[#This Row],[SP Exp Date]] - MockToday,"")</f>
        <v/>
      </c>
      <c r="CX249" s="31" t="str">
        <f>IF(SnapshotTable[[#This Row],[SP Is Filled]],SnapshotTable[[#This Row],[SP Buyback Price to Use]] * 100 * SnapshotTable[[#This Row],[SP Qty]], "")</f>
        <v/>
      </c>
      <c r="CY249" s="4" t="str">
        <f>IF(ISNUMBER(SnapshotTable[[#This Row],[SP Strike Price]]), SnapshotTable[[#This Row],[SP Strike Price]] * (1 - SP_MaxLoss_StrikePct), "")</f>
        <v/>
      </c>
      <c r="CZ249" s="31" t="str">
        <f>IF(ISNUMBER(SnapshotTable[[#This Row],[SP Strike  Stop Per Share]]),SnapshotTable[[#This Row],[SP Premium]] - ((SnapshotTable[[#This Row],[SP Strike Price]]-SnapshotTable[[#This Row],[SP Strike  Stop Per Share]]) *(SnapshotTable[[#This Row],[SP Qty]] * 100)),"")</f>
        <v/>
      </c>
      <c r="DA249" s="4" t="str">
        <f>IF(AND(ISNUMBER(SnapshotTable[[#This Row],[SP Premium]]),SnapshotTable[[#This Row],[SP Premium]]&gt;0), SnapshotTable[[#This Row],[SP Book Price]] * (1 + SP_MaxLoss_OptionPct), "")</f>
        <v/>
      </c>
      <c r="DB249" s="31" t="str">
        <f>IF(ISNUMBER(SnapshotTable[[#This Row],[SP Option  Stop Contract]]),(SnapshotTable[[#This Row],[SP Option  Stop Contract]] *(SnapshotTable[[#This Row],[SP Qty]] * 100) - SnapshotTable[[#This Row],[SP Premium]]),"")</f>
        <v/>
      </c>
      <c r="DC249" s="4"/>
      <c r="DD249" s="4"/>
      <c r="DE249" s="4" t="str">
        <f>IF(AND(SnapshotTable[[#This Row],[SP Qty]]&gt;0, SnapshotTable[[#This Row],[SP Stop To Use]]&gt;0),SnapshotTable[[#This Row],[SP Premium]] - ( SnapshotTable[[#This Row],[SP Qty]] * SnapshotTable[[#This Row],[SP Stop To Use]] * 100), "")</f>
        <v/>
      </c>
      <c r="DF249" s="31" t="str">
        <f>IF(AND(SnapshotTable[[#This Row],[SP Qty]]&gt;0,SnapshotTable[[#This Row],[SP Current Ask]]&gt;0), SnapshotTable[[#This Row],[SP Qty]] * SnapshotTable[[#This Row],[SP Current Ask]] * -100, "")</f>
        <v/>
      </c>
      <c r="DG249" s="31" t="str">
        <f>IF(ISNUMBER((SnapshotTable[[#This Row],[SP Total Value]])), SnapshotTable[[#This Row],[SP Premium]] + SnapshotTable[[#This Row],[SP Total Value]], "")</f>
        <v/>
      </c>
      <c r="DH249" s="272" t="str">
        <f>IF(ISNUMBER((SnapshotTable[[#This Row],[SP Total Value]])), SnapshotTable[[#This Row],[SP Gain Loss]] / SnapshotTable[[#This Row],[SP Premium]], "")</f>
        <v/>
      </c>
      <c r="DI249" s="369"/>
      <c r="DJ249" s="136"/>
      <c r="DK249" s="146"/>
      <c r="DL249" s="145"/>
      <c r="DM249" s="145"/>
      <c r="DO249" s="31">
        <f>IF(SnapshotTable[[#This Row],[LC Symbol Count]]=1, SnapshotTable[[#This Row],[LC Qty]] * SnapshotTable[[#This Row],[LC Book Price]] * 100, 0)</f>
        <v>0</v>
      </c>
      <c r="DP249" s="161" t="str">
        <f>IF(AND(SnapshotTable[[#This Row],[LC Exp Date]]&gt;0, SnapshotTable[[#This Row],[LC Strike Price]]&gt;0,SnapshotTable[[#This Row],[LC Qty]]&gt;0,SnapshotTable[[#This Row],[LC Book Date]]&gt;0,SnapshotTable[[#This Row],[LC Book Price]]&gt;0,SnapshotTable[[#This Row],[LC Fill Date]]=0),"Y","")</f>
        <v/>
      </c>
      <c r="DQ249" s="356" t="str">
        <f>IF(SnapshotTable[[#This Row],[LC Premium]] &gt; 0,SnapshotTable[[#This Row],[LC Exp Date]]-MAX(SnapshotTable[[#This Row],[LC Book Date]], SnapshotTable[[#This Row],[LC Fill Date]]),"")</f>
        <v/>
      </c>
      <c r="DR249" s="356" t="str">
        <f>IF(ISNUMBER(SnapshotTable[[#This Row],[LC Term]]), SnapshotTable[[#This Row],[LC Exp Date]] - MockToday, "")</f>
        <v/>
      </c>
      <c r="DS249" s="219" t="str">
        <f>IF(SnapshotTable[[#This Row],[LC Premium]]&gt;0,SnapshotTable[[#This Row],[LC Strike Price]] + SnapshotTable[[#This Row],[LC Book Price]],"")</f>
        <v/>
      </c>
      <c r="DU249" s="9" t="str">
        <f>IF(AND(SnapshotTable[[#This Row],[LC Symbol Count]]&gt;0, SnapshotTable[[#This Row],[LC Contract Value]]&gt;0), SnapshotTable[[#This Row],[LC Contract Value]] * SnapshotTable[[#This Row],[LC Qty]] * 100, "")</f>
        <v/>
      </c>
      <c r="DV249" s="9" t="str">
        <f>IF(AND(ISNUMBER(SnapshotTable[[#This Row],[LC Total Value]]), SnapshotTable[[#This Row],[LC Not Filled]]&lt;&gt;"Y"), SnapshotTable[[#This Row],[LC Total Value]]-SnapshotTable[[#This Row],[LC Premium]],"")</f>
        <v/>
      </c>
      <c r="DW249" s="225" t="str">
        <f>IF(ISNUMBER(SnapshotTable[[#This Row],[LC Actual Gain Loss]]), SnapshotTable[[#This Row],[LC Actual Gain Loss]] / SnapshotTable[[#This Row],[LC Premium]],"")</f>
        <v/>
      </c>
      <c r="DX249" s="269" t="str">
        <f>IF(ISNUMBER(SnapshotTable[[#This Row],[LC Book Price]]),SnapshotTable[[#This Row],[LC Book Price]] * 1.5,"")</f>
        <v/>
      </c>
      <c r="DY249" s="250" t="str">
        <f>IF(SnapshotTable[[#This Row],[LC Premium]]&gt;0, SnapshotTable[[#This Row],[LC Next Target]] * SnapshotTable[[#This Row],[LC Qty]] * 100,"")</f>
        <v/>
      </c>
      <c r="DZ249" s="250" t="str">
        <f>IF(ISNUMBER(SnapshotTable[[#This Row],[LC Target Gross]]), SnapshotTable[[#This Row],[LC Target Gross]] - SnapshotTable[[#This Row],[LC Premium]], "")</f>
        <v/>
      </c>
      <c r="EA249" s="283" t="str">
        <f>IF(ISNUMBER(SnapshotTable[[#This Row],[LC Target Gain Loss]]), SnapshotTable[[#This Row],[LC Target Gain Loss]]/SnapshotTable[[#This Row],[LC Premium]], "")</f>
        <v/>
      </c>
      <c r="EB249" s="247"/>
      <c r="EC249" s="268" t="str">
        <f>IF(SnapshotTable[[#This Row],[LC Premium]]&gt;0, SnapshotTable[[#This Row],[LC Book Price]] * (1 - LC_StopLoss_Pct),"")</f>
        <v/>
      </c>
      <c r="ED249" s="269"/>
      <c r="EE249" s="268" t="str">
        <f>IF(ISNUMBER(SnapshotTable[[#This Row],[LC Contract Value]]),IF(ISNUMBER(SnapshotTable[[#This Row],[LC Stop Loss Override]]), SnapshotTable[[#This Row],[LC Stop Loss Override]],SnapshotTable[[#This Row],[LC Stop Loss Calc Target]]),"")</f>
        <v/>
      </c>
      <c r="EF249" s="31" t="str">
        <f>IF(ISNUMBER(SnapshotTable[[#This Row],[LC Stop  To Use]]), (SnapshotTable[[#This Row],[LC Stop  To Use]] * SnapshotTable[[#This Row],[LC Qty]] * 100),"")</f>
        <v/>
      </c>
      <c r="EG249" s="9" t="str">
        <f>IF(ISNUMBER(SnapshotTable[[#This Row],[LC Total Value]]),SnapshotTable[[#This Row],[LC Stop Loss Amount]] - SnapshotTable[[#This Row],[LC Premium]],"")</f>
        <v/>
      </c>
      <c r="EH249" s="9">
        <f>IF(ISNUMBER(SnapshotTable[[#This Row],[LC Premium]]), SnapshotTable[[#This Row],[LC Qty]] * 100 * SnapshotTable[[#This Row],[LC Strike Price]], "")</f>
        <v>0</v>
      </c>
      <c r="EI249" s="225" t="str">
        <f>IF(AND(ISNUMBER(SnapshotTable[[#This Row],[LC Total Value]]),SnapshotTable[[#This Row],[LC Total Value]]&gt;0),SnapshotTable[[#This Row],[LC Stop Gain Loss]]  / SnapshotTable[[#This Row],[LC Premium]],"")</f>
        <v/>
      </c>
      <c r="EJ249" s="35">
        <f>IF(ISNUMBER(SnapshotTable[[#This Row],[Equity Shares]]),TRUNC(SnapshotTable[[#This Row],[Equity Shares]] / 100),0) + SnapshotTable[[#This Row],[LC Qty]]</f>
        <v>1</v>
      </c>
      <c r="EK249" s="145"/>
      <c r="EL249" s="136"/>
      <c r="EM249" s="146"/>
      <c r="EN249" s="145"/>
      <c r="EO249" s="145"/>
      <c r="EP249" s="136"/>
      <c r="EQ249" s="382" t="b">
        <f>AND(ISNUMBER(SnapshotTable[[#This Row],[SC Exp Date]]), ISNUMBER(SnapshotTable[[#This Row],[SC Strike Price]]), ISNUMBER(SnapshotTable[[#This Row],[SC Qty]]), ISNUMBER(SnapshotTable[[#This Row],[SC Book Date]]), ISNUMBER(SnapshotTable[[#This Row],[SC Book Price]]))</f>
        <v>0</v>
      </c>
      <c r="ER249" s="382" t="b">
        <f>AND(SnapshotTable[[#This Row],[SC Is Booked]], NOT(ISBLANK(SnapshotTable[[#This Row],[SC Fill Date]])))</f>
        <v>0</v>
      </c>
      <c r="ES249" s="340">
        <v>0.2</v>
      </c>
      <c r="ET249" s="34" t="str">
        <f>IF(AND(ISNUMBER(SnapshotTable[[#This Row],[SC Exp Date]]), ISNUMBER(SnapshotTable[[#This Row],[SC Book Date]])), SnapshotTable[[#This Row],[SC Exp Date]] - MAX(SnapshotTable[[#This Row],[SC Book Date]], SnapshotTable[[#This Row],[SC Fill Date]]) + 1, "")</f>
        <v/>
      </c>
      <c r="EU249" s="34" t="str">
        <f>IF(ISNUMBER(SnapshotTable[[#This Row],[SC Term]]), SnapshotTable[[#This Row],[SC Exp Date]]- MockToday, "")</f>
        <v/>
      </c>
      <c r="EV249" s="31">
        <f>IF(SnapshotTable[[#This Row],[SC Is Booked]], SnapshotTable[[#This Row],[SC Qty]] * SnapshotTable[[#This Row],[SC Book Price]] * 100, 0)</f>
        <v>0</v>
      </c>
      <c r="EW249" s="4" t="str">
        <f>IF(AND(ISNUMBER(SnapshotTable[[#This Row],[Last Price]]), ISNUMBER( SnapshotTable[[#This Row],[SC Book Price]])), SnapshotTable[[#This Row],[Last Price]] - SnapshotTable[[#This Row],[SC Book Price]],"")</f>
        <v/>
      </c>
      <c r="EX249" s="219" t="str">
        <f>IF(SnapshotTable[[#This Row],[SC Is Booked]],IF(SnapshotTable[[#This Row],[SC Intrinsic Value]] &gt; 0, SnapshotTable[[#This Row],[SC Strike Price]], SnapshotTable[[#This Row],[Last Price]]), "")</f>
        <v/>
      </c>
      <c r="EY249" s="4">
        <f>IF(SnapshotTable[[#This Row],[SC Is Booked]], (MinimumPremiumRequired * SnapshotTable[[#This Row],[SC Basis]] * SnapshotTable[[#This Row],[SC Term]]), 0)</f>
        <v>0</v>
      </c>
      <c r="EZ249" s="268"/>
      <c r="FA249" s="204"/>
      <c r="FB249" s="340"/>
      <c r="FC249" s="4">
        <f>IF(SnapshotTable[[#This Row],[SC Is Filled]], btc_max_buyback_amount(SnapshotTable[[#This Row],[SC Fill Date]],SnapshotTable[[#This Row],[SC Exp Date]], SnapshotTable[[#This Row],[SC Book Price]]),0)</f>
        <v>0</v>
      </c>
      <c r="FD249" s="5"/>
      <c r="FE249" s="142" t="str">
        <f>IF(SnapshotTable[[#This Row],[SC Is Filled]], btc_next_cutoff_date(SnapshotTable[[#This Row],[SC Fill Date]],SnapshotTable[[#This Row],[SC Exp Date]]),"")</f>
        <v/>
      </c>
      <c r="FF249" s="4" t="str" cm="1">
        <f t="array" ref="FF249">IF(SnapshotTable[[#This Row],[SC Is Filled]], btc_should_buy_back(SnapshotTable[[#This Row],[SC Fill Date]], SnapshotTable[[#This Row],[SC Exp Date]], SnapshotTable[[#This Row],[SC Book Price]], SnapshotTable[[#This Row],[SC Current Ask]], MockToday, SnapshotTable[[#This Row],[SC Buyback Override]]),"")</f>
        <v/>
      </c>
      <c r="FG249" s="4">
        <f>IF(SnapshotTable[[#This Row],[SC Is Filled]], MAX(0,SnapshotTable[[#This Row],[Last Price]]  - SnapshotTable[[#This Row],[SC Strike Price]]), 0)</f>
        <v>0</v>
      </c>
      <c r="FH249" s="352">
        <f>IF(SnapshotTable[[#This Row],[SC Is Filled]], IF(ISNUMBER(SnapshotTable[[#This Row],[SC Current Ask]]), SnapshotTable[[#This Row],[SC Current Ask]], SnapshotTable[[#This Row],[SC Book Price]]) - SnapshotTable[[#This Row],[SC Intrinsic Value]], 0)</f>
        <v>0</v>
      </c>
      <c r="FI249" s="141"/>
      <c r="FJ249" s="32" t="str">
        <f>IF(SnapshotTable[[#This Row],[SC Is Filled]],100 * SnapshotTable[[#This Row],[SC Qty]] * IF(ISNUMBER(SnapshotTable[[#This Row],[SC Buyback Override]]), SnapshotTable[[#This Row],[SC Buyback Override]], SnapshotTable[[#This Row],[SC Current Ask]]), "")</f>
        <v/>
      </c>
      <c r="FK249" s="235" t="str">
        <f>IF(SnapshotTable[[#This Row],[SC Time Val]]&gt;0, SnapshotTable[[#This Row],[SC Time Val]] / SnapshotTable[[#This Row],[Last Price]],"")</f>
        <v/>
      </c>
      <c r="FL249" s="280" t="str">
        <f>IF(SnapshotTable[[#This Row],[SC Is Booked]], ((SnapshotTable[[#This Row],[Last Price]] -SnapshotTable[[#This Row],[SC Strike Price]]) / SnapshotTable[[#This Row],[Last Price]]) * -1, "")</f>
        <v/>
      </c>
      <c r="FM249" s="155" t="str">
        <f>IF(SnapshotTable[[#This Row],[SC Is Booked]],  (SnapshotTable[[#This Row],[SC Qty]] * 100 * SnapshotTable[[#This Row],[SC Strike Price]]) - SnapshotTable[[#This Row],[SC Current Ask]], "")</f>
        <v/>
      </c>
      <c r="FN249"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49" s="31" t="str">
        <f>IF(AND(ISNUMBER(SnapshotTable[[#This Row],[SC Exercise Gross]]), ISNUMBER(SnapshotTable[[#This Row],[Equity Basis Per Share]] )), SnapshotTable[[#This Row],[SC Exercise Gross]] - SnapshotTable[[#This Row],[Equity Basis Total]] +  SnapshotTable[[#This Row],[SC Premium]], "")</f>
        <v/>
      </c>
      <c r="FP249" s="5" t="str">
        <f>IF(ISNUMBER(SnapshotTable[[#This Row],[SC Exercise Gross]]), (SnapshotTable[[#This Row],[SC Exercise Gross]]) / (SnapshotTable[[#This Row],[SC Qty]] * 100), "")</f>
        <v/>
      </c>
      <c r="FQ249" s="27" t="str">
        <f>IF(SnapshotTable[[#This Row],[SC Is Booked]],SnapshotTable[[#This Row],[SC Time Val]] /SnapshotTable[[#This Row],[SC Basis]], "")</f>
        <v/>
      </c>
      <c r="FR249" s="27" t="str" cm="1">
        <f t="array" ref="FR249">IF(AND(ISNUMBER(SnapshotTable[[#This Row],[SC Term]]),ISNUMBER(SnapshotTable[[#This Row],[SC Simple ROO]])), EllmanAnnualize(SnapshotTable[[#This Row],[SC DTE]], SnapshotTable[[#This Row],[SC Simple ROO]] ),"")</f>
        <v/>
      </c>
      <c r="FS249" s="4">
        <f>IF(SnapshotTable[[#This Row],[SC Strike Price]] &gt; SnapshotTable[[#This Row],[Last Price]], SnapshotTable[[#This Row],[SC Strike Price]] - SnapshotTable[[#This Row],[Last Price]],0)</f>
        <v>0</v>
      </c>
      <c r="FT249" s="27" t="str">
        <f>IF(AND(ISNUMBER(SnapshotTable[[#This Row],[SC Upside Potential]]), SnapshotTable[[#This Row],[SC Upside Potential]] &gt; 0),(SnapshotTable[[#This Row],[SC Upside Potential]]/ SnapshotTable[[#This Row],[ACB]]),"")</f>
        <v/>
      </c>
      <c r="FU249" s="304" t="str">
        <f>IF(SnapshotTable[[#This Row],[SC Intrinsic Value]] &gt; 0,SnapshotTable[[#This Row],[SC Intrinsic Value]],"")</f>
        <v/>
      </c>
      <c r="FV249" s="27" t="str">
        <f>IF(AND( ISNUMBER( SnapshotTable[[#This Row],[ACB]]),ISNUMBER(SnapshotTable[[#This Row],[SC Downside Protect]])),SnapshotTable[[#This Row],[SC Downside Protect]] / SnapshotTable[[#This Row],[ACB]],"")</f>
        <v/>
      </c>
      <c r="FW249" s="221" t="str">
        <f>IF(AND(ISNUMBER(SnapshotTable[[#This Row],[SC Simple ROO]]),SnapshotTable[[#This Row],[SC Simple ROO]] &gt; 0), SnapshotTable[[#This Row],[SC Premium]] + (SnapshotTable[[#This Row],[SC Qty]] * SnapshotTable[[#This Row],[SC Upside Potential]]), "")</f>
        <v/>
      </c>
      <c r="FX249" s="280" t="str" cm="1">
        <f t="array" ref="FX249">IF(ISNUMBER(SnapshotTable[[#This Row],[SC Max Dollars]]), annualize(SnapshotTable[[#This Row],[SC Term]],(SnapshotTable[[#This Row],[SC Max Dollars]]/SnapshotTable[[#This Row],[SC Basis]])),"")</f>
        <v/>
      </c>
      <c r="FY249" s="221" t="str">
        <f>IF(AND(SnapshotTable[[#This Row],[SC Qty]]&gt;0,SnapshotTable[[#This Row],[SC Current Ask]]&gt;0), SnapshotTable[[#This Row],[SC Qty]] * SnapshotTable[[#This Row],[SC Current Ask]] * -100, "")</f>
        <v/>
      </c>
      <c r="FZ249" s="31" t="str">
        <f>IF(ISNUMBER((SnapshotTable[[#This Row],[SC Current Value]])), SnapshotTable[[#This Row],[SC Premium]] + SnapshotTable[[#This Row],[SC Current Value]], "")</f>
        <v/>
      </c>
      <c r="GA249" s="272" t="str">
        <f>IFERROR( IF(ISNUMBER((SnapshotTable[[#This Row],[SC Current Value]])), SnapshotTable[[#This Row],[SC Gain Loss]] / SnapshotTable[[#This Row],[SC Premium]], ""), "")</f>
        <v/>
      </c>
      <c r="GB249" s="42">
        <f>SnapshotTable[[#This Row],[Equity Shares]] * SaleSharesToConsiderPercentage</f>
        <v>20</v>
      </c>
      <c r="GC249" s="40">
        <f>SnapshotTable[[#This Row],[Long Term Target]] * SellingPriceToConsiderBasedOnTargetPercentage</f>
        <v>0</v>
      </c>
      <c r="GD249" s="40">
        <f>SnapshotTable[[#This Row],[Last Price]] * (1+ SellingPriceToConsiderBasedOnTargetPercentage)</f>
        <v>15.209999999999999</v>
      </c>
      <c r="GE249" s="41"/>
      <c r="GF249" s="40"/>
      <c r="GG249" s="31">
        <f>SnapshotTable[[#This Row],[Booked Sale Shares]] * SnapshotTable[[#This Row],[Booked Sale Price]]</f>
        <v>0</v>
      </c>
      <c r="GH249" s="31">
        <f>IF(SnapshotTable[[#This Row],[Equity Basis Total]] &gt; 0, SnapshotTable[[#This Row],[Equity Basis Per Share]] * SnapshotTable[[#This Row],[Booked Sale Shares]], "")</f>
        <v>0</v>
      </c>
      <c r="GI249" s="31">
        <f>IF(SnapshotTable[[#This Row],[Sale Proceeds]]&gt;0, SnapshotTable[[#This Row],[Sale Proceeds]] - SnapshotTable[[#This Row],[Sale Basis]], 0)</f>
        <v>0</v>
      </c>
      <c r="GJ249" s="27" t="str">
        <f>IF(SnapshotTable[[#This Row],[Sale G/L]]&gt;0, SnapshotTable[[#This Row],[Sale G/L]] / SnapshotTable[[#This Row],[Sale Basis]], IF(ISNUMBER(SnapshotTable[[#This Row],[SC Exercise P&amp;L (TAX)]]), SnapshotTable[[#This Row],[SC Exercise P&amp;L (TAX)]] / SnapshotTable[[#This Row],[SC Basis]], ""))</f>
        <v/>
      </c>
      <c r="GK249" s="27"/>
      <c r="GL249" s="43" t="str">
        <f>IF(AND(SnapshotTable[[#This Row],[LP Exp Date]]&gt;0,SnapshotTable[[#This Row],[LP Strike Price]]&gt;0), [1]!ToOptionSymbol(SnapshotTable[[#This Row],[Symbol]], SnapshotTable[[#This Row],[LP Strike Price]],SnapshotTable[[#This Row],[LP Exp Date]],1), "")</f>
        <v/>
      </c>
      <c r="GM249" s="30" t="str">
        <f>IF(LEN(SnapshotTable[[#This Row],[LP Symbol]])&gt;0, 1, "")</f>
        <v/>
      </c>
      <c r="GN249" s="43" t="str">
        <f>IF(AND(SnapshotTable[[#This Row],[SP Exp Date]]&gt;0,SnapshotTable[[#This Row],[SP Strike Price]]&gt;0), [1]!ToOptionSymbol(SnapshotTable[[#This Row],[Symbol]], SnapshotTable[[#This Row],[SP Strike Price]],SnapshotTable[[#This Row],[SP Exp Date]],1), "")</f>
        <v/>
      </c>
      <c r="GO249" s="30" t="str">
        <f>IF(LEN(SnapshotTable[[#This Row],[SP Symbol]])&gt;0, 1, "")</f>
        <v/>
      </c>
      <c r="GP249" s="43" t="str">
        <f>IF(AND(SnapshotTable[[#This Row],[LC Exp Date]]&gt;0,SnapshotTable[[#This Row],[LC Strike Price]]&gt;0), [1]!ToOptionSymbol(SnapshotTable[[#This Row],[Symbol]], SnapshotTable[[#This Row],[LC Strike Price]],SnapshotTable[[#This Row],[LC Exp Date]],0), "")</f>
        <v/>
      </c>
      <c r="GQ249" s="30" t="str">
        <f>IF(LEN(SnapshotTable[[#This Row],[LC Symbol]])&gt;0, 1, "")</f>
        <v/>
      </c>
      <c r="GR249" s="43" t="str">
        <f>IF(AND(SnapshotTable[[#This Row],[SC Exp Date]]&gt;0,SnapshotTable[[#This Row],[SC Strike Price]]&gt;0), [1]!ToOptionSymbol(SnapshotTable[[#This Row],[Symbol]], SnapshotTable[[#This Row],[SC Strike Price]],SnapshotTable[[#This Row],[SC Exp Date]],0), "")</f>
        <v/>
      </c>
      <c r="GS249" s="30" t="str">
        <f>IF(LEN(SnapshotTable[[#This Row],[SC Symbol]])&gt;0, 1, "")</f>
        <v/>
      </c>
      <c r="GT249" s="29" t="str">
        <f>IF(COUNT(SnapshotTable[[#This Row],[LP Symbol Count]],SnapshotTable[[#This Row],[SP Symbol Count]],SnapshotTable[[#This Row],[LC Symbol Count]],SnapshotTable[[#This Row],[SC Symbol Count]])&gt;0, "Y", "")</f>
        <v/>
      </c>
      <c r="GU249"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49" s="216">
        <f>MAX(SnapshotTable[[#This Row],[Equity Basis Total]],SnapshotTable[[#This Row],[Equity Value]]) + (SnapshotTable[[#This Row],[SP Potential Spend]]- SnapshotTable[[#This Row],[SP Premium]] + SnapshotTable[[#This Row],[LP Premium]])+ (SnapshotTable[[#This Row],[LC Premium]] - SnapshotTable[[#This Row],[SC Premium]])</f>
        <v>964</v>
      </c>
      <c r="GW249" s="137">
        <f ca="1">IF(AND(SnapshotTable[[#This Row],[Exposure]] &lt;&gt; 0),SnapshotTable[[#This Row],[Exposure]] / SnapshotTable[[#Totals],[Exposure]], "")</f>
        <v>5.3525521790550859E-3</v>
      </c>
      <c r="HK249" s="1"/>
      <c r="HL249" s="1"/>
      <c r="HM249" s="1"/>
      <c r="HN249" s="1"/>
      <c r="HO249" s="1"/>
      <c r="HP249" s="1"/>
    </row>
    <row r="250" spans="2:224" s="189" customFormat="1" ht="12.75" hidden="1" customHeight="1" x14ac:dyDescent="0.25">
      <c r="B250" s="12" t="s">
        <v>925</v>
      </c>
      <c r="C250" s="385">
        <v>18.46</v>
      </c>
      <c r="D250" s="200"/>
      <c r="E250" s="39">
        <f>SnapshotTable[[#This Row],[Last Price]]*(1 -CrashDiscount)</f>
        <v>15.691000000000001</v>
      </c>
      <c r="F250" s="26" t="s">
        <v>731</v>
      </c>
      <c r="G250" s="26" t="s">
        <v>4</v>
      </c>
      <c r="H250" s="147"/>
      <c r="I250" s="186">
        <v>45743</v>
      </c>
      <c r="J250" s="187"/>
      <c r="K250" s="188"/>
      <c r="L250" s="297"/>
      <c r="M250" s="138"/>
      <c r="N250" s="138"/>
      <c r="O250" s="138"/>
      <c r="P250" s="22">
        <v>100</v>
      </c>
      <c r="Q250" s="25">
        <v>742.99</v>
      </c>
      <c r="R250" s="4">
        <f>IF(SnapshotTable[[#This Row],[Equity Basis Total]] &gt; 0, SnapshotTable[[#This Row],[Equity Basis Total]] / SnapshotTable[[#This Row],[Equity Shares]], "")</f>
        <v>7.4298999999999999</v>
      </c>
      <c r="S250" s="254">
        <f>SnapshotTable[[#This Row],[Last Price]] * SnapshotTable[[#This Row],[Equity Shares]]</f>
        <v>1846</v>
      </c>
      <c r="T250" s="254">
        <f>SnapshotTable[[#This Row],[Equity Value]] - SnapshotTable[[#This Row],[Equity Basis Total]]</f>
        <v>1103.01</v>
      </c>
      <c r="U250" s="255">
        <f>IF(SnapshotTable[[#This Row],[Equity Basis Total]] &gt; 0, SnapshotTable[[#This Row],[Equity G/L]] / SnapshotTable[[#This Row],[Equity Basis Total]], "")</f>
        <v>1.4845556467785568</v>
      </c>
      <c r="V250" s="253">
        <v>9.5</v>
      </c>
      <c r="W250" s="253">
        <v>6</v>
      </c>
      <c r="X250" s="4">
        <f>IF(AND(ISNUMBER(SnapshotTable[[#This Row],[Equity Basis Per Share]]),ISNUMBER(SnapshotTable[[#This Row],[Equity Target]])),SnapshotTable[[#This Row],[Equity Target]]-SnapshotTable[[#This Row],[Equity Basis Per Share]],"")</f>
        <v>2.0701000000000001</v>
      </c>
      <c r="Y250" s="4">
        <f>IF(AND(ISNUMBER(SnapshotTable[[#This Row],[Equity Basis Per Share]]),ISNUMBER(SnapshotTable[[#This Row],[Equity Stop Loss]])),SnapshotTable[[#This Row],[Equity Stop Loss]]-SnapshotTable[[#This Row],[Equity Basis Per Share]],"")</f>
        <v>-1.4298999999999999</v>
      </c>
      <c r="Z250" s="260" t="str">
        <f>IFERROR( TEXT(SnapshotTable[[#This Row],[Equity Max Gain Per Share]] /ABS( SnapshotTable[[#This Row],[Equity Max Loss Per Share]]),"0.0 " ) &amp; " : 1", "")</f>
        <v>1.4  : 1</v>
      </c>
      <c r="AA250" s="31">
        <f>IF(ISNUMBER(SnapshotTable[[#This Row],[Equity Max Gain Per Share]]),SnapshotTable[[#This Row],[Equity Max Gain Per Share]] * SnapshotTable[[#This Row],[Equity Shares]],"")</f>
        <v>207.01</v>
      </c>
      <c r="AB250" s="31">
        <f>IF(ISNUMBER(SnapshotTable[[#This Row],[Equity Max Loss Per Share]]),SnapshotTable[[#This Row],[Equity Max Loss Per Share]] * SnapshotTable[[#This Row],[Equity Shares]],"")</f>
        <v>-142.99</v>
      </c>
      <c r="AC250" s="148"/>
      <c r="AD250" s="149"/>
      <c r="AE250" s="31">
        <f>(SnapshotTable[[#This Row],[Annual Dividend Per Share]] / 4) * SnapshotTable[[#This Row],[Equity Shares]]</f>
        <v>0</v>
      </c>
      <c r="AF250" s="31">
        <f>SnapshotTable[[#This Row],[Quarterly Div $]] * 4</f>
        <v>0</v>
      </c>
      <c r="AG250" s="7">
        <f>IF(SnapshotTable[[#This Row],[Annual Dividend Per Share]]&gt;0, SnapshotTable[[#This Row],[Annual Dividend Per Share]]  / SnapshotTable[[#This Row],[Last Price]], 0)</f>
        <v>0</v>
      </c>
      <c r="AH250" s="149"/>
      <c r="AI250" s="5"/>
      <c r="AJ250" s="136"/>
      <c r="AK250" s="150" t="str">
        <f>IF(ISNUMBER( SnapshotTable[[#This Row],[EBF Target]]),(SnapshotTable[[#This Row],[EBF Target]] - SnapshotTable[[#This Row],[Last Price]]) / SnapshotTable[[#This Row],[Last Price]], "")</f>
        <v/>
      </c>
      <c r="AL250" s="150" t="str">
        <f>IF(AND(SnapshotTable[[#This Row],[Equity Basis Total]] &gt; 0,ISNUMBER( SnapshotTable[[#This Row],[Long Term Target]])), SnapshotTable[[#This Row],[From Basis $]] / SnapshotTable[[#This Row],[Equity Basis Total]], "")</f>
        <v/>
      </c>
      <c r="AM250" s="9">
        <f>IF( AND(SnapshotTable[[#This Row],[Equity Shares]] &gt;0,ISNUMBER( SnapshotTable[[#This Row],[Long Term Target]])),(SnapshotTable[[#This Row],[Equity Shares]] * SnapshotTable[[#This Row],[Long Term Target]]) - SnapshotTable[[#This Row],[Equity Basis Total]],0)</f>
        <v>0</v>
      </c>
      <c r="AN250" s="9">
        <f>IF( AND(SnapshotTable[[#This Row],[Equity Shares]] &gt;0,ISNUMBER( SnapshotTable[[#This Row],[Long Term Target]])),(SnapshotTable[[#This Row],[Equity Shares]]*SnapshotTable[[#This Row],[Long Term Target]]) - SnapshotTable[[#This Row],[Equity Value]],0)</f>
        <v>0</v>
      </c>
      <c r="AO250" s="150" t="str">
        <f>IF(AND(ISNUMBER( SnapshotTable[[#This Row],[Long Term Target]]), ISNUMBER(SnapshotTable[[#This Row],[Last Price]])),(SnapshotTable[[#This Row],[Long Term Target]] - SnapshotTable[[#This Row],[Last Price]]) / SnapshotTable[[#This Row],[Last Price]], "")</f>
        <v/>
      </c>
      <c r="AP250" s="5"/>
      <c r="AQ250" s="38" t="s">
        <v>22</v>
      </c>
      <c r="AR250" s="5"/>
      <c r="AS250" s="38" t="s">
        <v>15</v>
      </c>
      <c r="AT250" s="359" t="s">
        <v>886</v>
      </c>
      <c r="AU250" s="185" t="str">
        <f>IF(OR(SnapshotTable[[#This Row],[LP No Fill]]="Y",SnapshotTable[[#This Row],[SP Is Filled]],SnapshotTable[[#This Row],[LC Not Filled]]="Y",SnapshotTable[[#This Row],[SC Is Filled]]),"Y","")</f>
        <v/>
      </c>
      <c r="AV250" s="205" t="s">
        <v>888</v>
      </c>
      <c r="AW250" s="211"/>
      <c r="AX250" s="206"/>
      <c r="AY250" s="205" t="str">
        <f>IF(SnapshotTable[[#This Row],[Implied Move]]&gt;0, SnapshotTable[[#This Row],[Last Price]]-SnapshotTable[[#This Row],[Implied Move]],"")</f>
        <v/>
      </c>
      <c r="AZ250" s="205" t="str">
        <f>IF(SnapshotTable[[#This Row],[Implied Move]]&gt;0, SnapshotTable[[#This Row],[Last Price]] + SnapshotTable[[#This Row],[Implied Move]],"")</f>
        <v/>
      </c>
      <c r="BA250" s="302">
        <v>6.18</v>
      </c>
      <c r="BB250" s="318"/>
      <c r="BC250" s="37" t="str">
        <f>IF(MIN(SnapshotTable[[#This Row],[LP Exp Date]], SnapshotTable[[#This Row],[SP Exp Date]], SnapshotTable[[#This Row],[LC Exp Date]], SnapshotTable[[#This Row],[SC Exp Date]])&gt;0, MIN(SnapshotTable[[#This Row],[LP Exp Date]], SnapshotTable[[#This Row],[SP Exp Date]], SnapshotTable[[#This Row],[LC Exp Date]], SnapshotTable[[#This Row],[SC Exp Date]]), "")</f>
        <v/>
      </c>
      <c r="BD250" s="321"/>
      <c r="BE250" s="5"/>
      <c r="BF250" s="14"/>
      <c r="BG250" s="13"/>
      <c r="BH250" s="13"/>
      <c r="BI250" s="5"/>
      <c r="BJ250" s="134">
        <f>IF(SnapshotTable[[#This Row],[LP Qty]] &gt; 0, SnapshotTable[[#This Row],[LP Qty]] * SnapshotTable[[#This Row],[LP Book Price]] * 100,0)</f>
        <v>0</v>
      </c>
      <c r="BK250" s="134">
        <f>IF(SnapshotTable[[#This Row],[LP Premium]] &gt; 0, SnapshotTable[[#This Row],[LP Qty]] * SnapshotTable[[#This Row],[LP Strike Price]] * 100,0)</f>
        <v>0</v>
      </c>
      <c r="BL250" s="152"/>
      <c r="BM250" s="355" t="str">
        <f>IF(SnapshotTable[[#This Row],[LP Premium]] &gt; 0,SnapshotTable[[#This Row],[LP Exp Date]]-MAX(SnapshotTable[[#This Row],[LP Book Date]], SnapshotTable[[#This Row],[LP Fill Date]]),"")</f>
        <v/>
      </c>
      <c r="BN250" s="355" t="str">
        <f>IF(ISNUMBER( SnapshotTable[[#This Row],[LP Term]]), SnapshotTable[[#This Row],[LP Exp Date]] - MockToday,"")</f>
        <v/>
      </c>
      <c r="BO250" s="161" t="str">
        <f>IF(AND(SnapshotTable[[#This Row],[LP Exp Date]]&gt;0, SnapshotTable[[#This Row],[LP Strike Price]]&gt;0,SnapshotTable[[#This Row],[LP Qty]]&gt;0,SnapshotTable[[#This Row],[LP Book Date]]&gt;0,SnapshotTable[[#This Row],[LP Book Price]]&gt;0,SnapshotTable[[#This Row],[LP Fill Date]]=0),"Y","")</f>
        <v/>
      </c>
      <c r="BP250" s="31" t="str">
        <f>IF(AND(SnapshotTable[[#This Row],[LP No Fill]]&lt;&gt;"Y",SnapshotTable[[#This Row],[LP Contract Value]]&gt;0, SnapshotTable[[#This Row],[LP Qty]]&gt;0), SnapshotTable[[#This Row],[LP Contract Value]]*SnapshotTable[[#This Row],[LP Qty]]*100,"")</f>
        <v/>
      </c>
      <c r="BQ250" s="13"/>
      <c r="BR250" s="5"/>
      <c r="BS250" s="36"/>
      <c r="BT250" s="145"/>
      <c r="BU250" s="13"/>
      <c r="BV250" s="5"/>
      <c r="BW250" s="382" t="b">
        <f>AND(ISNUMBER(SnapshotTable[[#This Row],[SP Exp Date]]), ISNUMBER(SnapshotTable[[#This Row],[SP Strike Price]]), ISNUMBER(SnapshotTable[[#This Row],[SP Qty]]), ISNUMBER(SnapshotTable[[#This Row],[SP Book Date]]), ISNUMBER(SnapshotTable[[#This Row],[SP Book Price]]))</f>
        <v>0</v>
      </c>
      <c r="BX250" s="382" t="b">
        <f>AND(SnapshotTable[[#This Row],[SP Is Booked]], NOT(ISBLANK(SnapshotTable[[#This Row],[SP Fill Date]])))</f>
        <v>0</v>
      </c>
      <c r="BY250" s="33">
        <f>IF(SnapshotTable[[#This Row],[SP Is Booked]], SnapshotTable[[#This Row],[SP Qty]] * SnapshotTable[[#This Row],[SP Book Price]] * 100, 0)</f>
        <v>0</v>
      </c>
      <c r="BZ250" s="339"/>
      <c r="CA250" s="338">
        <f>SnapshotTable[[#This Row],[LP Qty]]</f>
        <v>0</v>
      </c>
      <c r="CB250" s="4" t="str">
        <f>IF(SnapshotTable[[#This Row],[SP Is Booked]], SnapshotTable[[#This Row],[SP Strike Price]] - SnapshotTable[[#This Row],[SP Book Price]], "")</f>
        <v/>
      </c>
      <c r="CC250" s="19" t="str">
        <f>IF(SnapshotTable[[#This Row],[SP Is Booked]],SnapshotTable[[#This Row],[SP Exp Date]]-MAX(SnapshotTable[[#This Row],[SP Book Date]], SnapshotTable[[#This Row],[SP Fill Date]]),"")</f>
        <v/>
      </c>
      <c r="CD250" s="7" t="str">
        <f>IF(SnapshotTable[[#This Row],[SP Is Booked]], SnapshotTable[[#This Row],[SP Book Price]]/SnapshotTable[[#This Row],[SP Strike Price]], "")</f>
        <v/>
      </c>
      <c r="CE250" s="7" t="str">
        <f>IF(ISNUMBER(SnapshotTable[[#This Row],[SP ROO Term]]),SnapshotTable[[#This Row],[SP ROO Term]]*(365/SnapshotTable[[#This Row],[SP Term]]),"")</f>
        <v/>
      </c>
      <c r="CF250" s="221">
        <f>SnapshotTable[[#This Row],[LP Strike Price]] * SnapshotTable[[#This Row],[LP Qty]] * 100</f>
        <v>0</v>
      </c>
      <c r="CG250" s="31">
        <f>IF(ISNUMBER(SnapshotTable[[#This Row],[SP Premium]]), (SnapshotTable[[#This Row],[SP Qty]] * SnapshotTable[[#This Row],[SP Strike Price]]* 100) - SnapshotTable[[#This Row],[LP Protection]], 0)</f>
        <v>0</v>
      </c>
      <c r="CH250" s="7" t="str">
        <f>IF(ISNUMBER(SnapshotTable[[#This Row],[SP Break Even]]),-1 * (SnapshotTable[[#This Row],[SP Break Even]] - SnapshotTable[[#This Row],[Last Price]]) / SnapshotTable[[#This Row],[Last Price]], "")</f>
        <v/>
      </c>
      <c r="CI250" s="31">
        <f>IF(AND(ISNUMBER((SnapshotTable[[#This Row],[SP Potential Spend]])), SnapshotTable[[#This Row],[SP Strike Price]] &gt; SnapshotTable[[#This Row],[Last Price]], SnapshotTable[[#This Row],[SP Is Filled]]), SnapshotTable[[#This Row],[SP Potential Spend]] -  SnapshotTable[[#This Row],[LP Max Value]], 0)</f>
        <v>0</v>
      </c>
      <c r="CJ250" s="229"/>
      <c r="CK250" s="31">
        <f>IF(ISNUMBER(SnapshotTable[[#This Row],[SP Potential Spend]]),IF(ISNUMBER(SnapshotTable[[#This Row],[SP POW]]), SnapshotTable[[#This Row],[SP POW]] * SnapshotTable[[#This Row],[SP Potential Spend]], SnapshotTable[[#This Row],[SP Potential Spend]]), "")</f>
        <v>0</v>
      </c>
      <c r="CL250" s="162">
        <f>IF(NOT(SnapshotTable[[#This Row],[SP Is Filled]]),(SnapshotTable[[#This Row],[SP Qty]] * SnapshotTable[[#This Row],[SP Strike Price]] * 100) - SnapshotTable[[#This Row],[LP Max Value]],"")</f>
        <v>0</v>
      </c>
      <c r="CM250" s="31" t="str">
        <f>IF(SnapshotTable[[#This Row],[SP Actual Spend]]&lt;&gt;0, ((SnapshotTable[[#This Row],[SP Strike Price]]-SnapshotTable[[#This Row],[Last Price]]) *(SnapshotTable[[#This Row],[SP Qty]]*100) - SnapshotTable[[#This Row],[SP Premium]]) * - 1, "")</f>
        <v/>
      </c>
      <c r="CN250" s="76"/>
      <c r="CO250" s="339"/>
      <c r="CP250" s="4" t="str">
        <f>IF(SnapshotTable[[#This Row],[SP Is Filled]], btc_max_buyback_amount(SnapshotTable[[#This Row],[SP Fill Date]],SnapshotTable[[#This Row],[SP Exp Date]], SnapshotTable[[#This Row],[SP Book Price]]),"")</f>
        <v/>
      </c>
      <c r="CQ250" s="76"/>
      <c r="CR250" s="4" t="str">
        <f>IF(SnapshotTable[[#This Row],[SP Premium]]&gt;0,
           IF(SnapshotTable[[#This Row],[SP Buyback Override]]&gt;0, SnapshotTable[[#This Row],[SP Buyback Override]],
               IF(SnapshotTable[[#This Row],[SP Current Ask]]&gt;0,MIN(SnapshotTable[[#This Row],[SP Current Ask]],SnapshotTable[[#This Row],[SP Buyback Point]]),
                   SnapshotTable[[#This Row],[SP Buyback Point]])),
"")</f>
        <v/>
      </c>
      <c r="CS250" s="153" t="str">
        <f>IF(SnapshotTable[[#This Row],[SP Is Filled]], btc_next_cutoff_date(SnapshotTable[[#This Row],[SP Fill Date]],SnapshotTable[[#This Row],[SP Exp Date]]),"")</f>
        <v/>
      </c>
      <c r="CT250" s="220" t="str" cm="1">
        <f t="array" ref="CT250">IF(SnapshotTable[[#This Row],[SP Is Filled]], btc_should_buy_back(SnapshotTable[[#This Row],[SP Fill Date]], SnapshotTable[[#This Row],[SP Exp Date]], SnapshotTable[[#This Row],[SP Book Price]], SnapshotTable[[#This Row],[SP Current Ask]], MockToday, SnapshotTable[[#This Row],[SP Buyback Override]]),"")</f>
        <v/>
      </c>
      <c r="CU250" s="141"/>
      <c r="CV250" s="220"/>
      <c r="CW250" s="348" t="str">
        <f>IF(ISNUMBER( SnapshotTable[[#This Row],[SP Term]]), SnapshotTable[[#This Row],[SP Exp Date]] - MockToday,"")</f>
        <v/>
      </c>
      <c r="CX250" s="31" t="str">
        <f>IF(SnapshotTable[[#This Row],[SP Is Filled]],SnapshotTable[[#This Row],[SP Buyback Price to Use]] * 100 * SnapshotTable[[#This Row],[SP Qty]], "")</f>
        <v/>
      </c>
      <c r="CY250" s="4" t="str">
        <f>IF(ISNUMBER(SnapshotTable[[#This Row],[SP Strike Price]]), SnapshotTable[[#This Row],[SP Strike Price]] * (1 - SP_MaxLoss_StrikePct), "")</f>
        <v/>
      </c>
      <c r="CZ250" s="31" t="str">
        <f>IF(ISNUMBER(SnapshotTable[[#This Row],[SP Strike  Stop Per Share]]),SnapshotTable[[#This Row],[SP Premium]] - ((SnapshotTable[[#This Row],[SP Strike Price]]-SnapshotTable[[#This Row],[SP Strike  Stop Per Share]]) *(SnapshotTable[[#This Row],[SP Qty]] * 100)),"")</f>
        <v/>
      </c>
      <c r="DA250" s="4" t="str">
        <f>IF(AND(ISNUMBER(SnapshotTable[[#This Row],[SP Premium]]),SnapshotTable[[#This Row],[SP Premium]]&gt;0), SnapshotTable[[#This Row],[SP Book Price]] * (1 + SP_MaxLoss_OptionPct), "")</f>
        <v/>
      </c>
      <c r="DB250" s="31" t="str">
        <f>IF(ISNUMBER(SnapshotTable[[#This Row],[SP Option  Stop Contract]]),(SnapshotTable[[#This Row],[SP Option  Stop Contract]] *(SnapshotTable[[#This Row],[SP Qty]] * 100) - SnapshotTable[[#This Row],[SP Premium]]),"")</f>
        <v/>
      </c>
      <c r="DC250" s="4"/>
      <c r="DD250" s="4"/>
      <c r="DE250" s="4" t="str">
        <f>IF(AND(SnapshotTable[[#This Row],[SP Qty]]&gt;0, SnapshotTable[[#This Row],[SP Stop To Use]]&gt;0),SnapshotTable[[#This Row],[SP Premium]] - ( SnapshotTable[[#This Row],[SP Qty]] * SnapshotTable[[#This Row],[SP Stop To Use]] * 100), "")</f>
        <v/>
      </c>
      <c r="DF250" s="31" t="str">
        <f>IF(AND(SnapshotTable[[#This Row],[SP Qty]]&gt;0,SnapshotTable[[#This Row],[SP Current Ask]]&gt;0), SnapshotTable[[#This Row],[SP Qty]] * SnapshotTable[[#This Row],[SP Current Ask]] * -100, "")</f>
        <v/>
      </c>
      <c r="DG250" s="31" t="str">
        <f>IF(ISNUMBER((SnapshotTable[[#This Row],[SP Total Value]])), SnapshotTable[[#This Row],[SP Premium]] + SnapshotTable[[#This Row],[SP Total Value]], "")</f>
        <v/>
      </c>
      <c r="DH250" s="272" t="str">
        <f>IF(ISNUMBER((SnapshotTable[[#This Row],[SP Total Value]])), SnapshotTable[[#This Row],[SP Gain Loss]] / SnapshotTable[[#This Row],[SP Premium]], "")</f>
        <v/>
      </c>
      <c r="DI250" s="369"/>
      <c r="DJ250" s="136"/>
      <c r="DK250" s="146"/>
      <c r="DL250" s="13"/>
      <c r="DM250" s="13"/>
      <c r="DN250" s="5"/>
      <c r="DO250" s="31">
        <f>IF(SnapshotTable[[#This Row],[LC Symbol Count]]=1, SnapshotTable[[#This Row],[LC Qty]] * SnapshotTable[[#This Row],[LC Book Price]] * 100, 0)</f>
        <v>0</v>
      </c>
      <c r="DP250" s="161" t="str">
        <f>IF(AND(SnapshotTable[[#This Row],[LC Exp Date]]&gt;0, SnapshotTable[[#This Row],[LC Strike Price]]&gt;0,SnapshotTable[[#This Row],[LC Qty]]&gt;0,SnapshotTable[[#This Row],[LC Book Date]]&gt;0,SnapshotTable[[#This Row],[LC Book Price]]&gt;0,SnapshotTable[[#This Row],[LC Fill Date]]=0),"Y","")</f>
        <v/>
      </c>
      <c r="DQ250" s="356" t="str">
        <f>IF(SnapshotTable[[#This Row],[LC Premium]] &gt; 0,SnapshotTable[[#This Row],[LC Exp Date]]-MAX(SnapshotTable[[#This Row],[LC Book Date]], SnapshotTable[[#This Row],[LC Fill Date]]),"")</f>
        <v/>
      </c>
      <c r="DR250" s="356" t="str">
        <f>IF(ISNUMBER(SnapshotTable[[#This Row],[LC Term]]), SnapshotTable[[#This Row],[LC Exp Date]] - MockToday, "")</f>
        <v/>
      </c>
      <c r="DS250" s="219" t="str">
        <f>IF(SnapshotTable[[#This Row],[LC Premium]]&gt;0,SnapshotTable[[#This Row],[LC Strike Price]] + SnapshotTable[[#This Row],[LC Book Price]],"")</f>
        <v/>
      </c>
      <c r="DT250" s="5"/>
      <c r="DU250" s="9" t="str">
        <f>IF(AND(SnapshotTable[[#This Row],[LC Symbol Count]]&gt;0, SnapshotTable[[#This Row],[LC Contract Value]]&gt;0), SnapshotTable[[#This Row],[LC Contract Value]] * SnapshotTable[[#This Row],[LC Qty]] * 100, "")</f>
        <v/>
      </c>
      <c r="DV250" s="9" t="str">
        <f>IF(AND(ISNUMBER(SnapshotTable[[#This Row],[LC Total Value]]), SnapshotTable[[#This Row],[LC Not Filled]]&lt;&gt;"Y"), SnapshotTable[[#This Row],[LC Total Value]]-SnapshotTable[[#This Row],[LC Premium]],"")</f>
        <v/>
      </c>
      <c r="DW250" s="225" t="str">
        <f>IF(ISNUMBER(SnapshotTable[[#This Row],[LC Actual Gain Loss]]), SnapshotTable[[#This Row],[LC Actual Gain Loss]] / SnapshotTable[[#This Row],[LC Premium]],"")</f>
        <v/>
      </c>
      <c r="DX250" s="269" t="str">
        <f>IF(ISNUMBER(SnapshotTable[[#This Row],[LC Book Price]]),SnapshotTable[[#This Row],[LC Book Price]] * 1.5,"")</f>
        <v/>
      </c>
      <c r="DY250" s="250" t="str">
        <f>IF(SnapshotTable[[#This Row],[LC Premium]]&gt;0, SnapshotTable[[#This Row],[LC Next Target]] * SnapshotTable[[#This Row],[LC Qty]] * 100,"")</f>
        <v/>
      </c>
      <c r="DZ250" s="250" t="str">
        <f>IF(ISNUMBER(SnapshotTable[[#This Row],[LC Target Gross]]), SnapshotTable[[#This Row],[LC Target Gross]] - SnapshotTable[[#This Row],[LC Premium]], "")</f>
        <v/>
      </c>
      <c r="EA250" s="283" t="str">
        <f>IF(ISNUMBER(SnapshotTable[[#This Row],[LC Target Gain Loss]]), SnapshotTable[[#This Row],[LC Target Gain Loss]]/SnapshotTable[[#This Row],[LC Premium]], "")</f>
        <v/>
      </c>
      <c r="EB250" s="247"/>
      <c r="EC250" s="268" t="str">
        <f>IF(SnapshotTable[[#This Row],[LC Premium]]&gt;0, SnapshotTable[[#This Row],[LC Book Price]] * (1 - LC_StopLoss_Pct),"")</f>
        <v/>
      </c>
      <c r="ED250" s="269"/>
      <c r="EE250" s="268" t="str">
        <f>IF(ISNUMBER(SnapshotTable[[#This Row],[LC Contract Value]]),IF(ISNUMBER(SnapshotTable[[#This Row],[LC Stop Loss Override]]), SnapshotTable[[#This Row],[LC Stop Loss Override]],SnapshotTable[[#This Row],[LC Stop Loss Calc Target]]),"")</f>
        <v/>
      </c>
      <c r="EF250" s="31" t="str">
        <f>IF(ISNUMBER(SnapshotTable[[#This Row],[LC Stop  To Use]]), (SnapshotTable[[#This Row],[LC Stop  To Use]] * SnapshotTable[[#This Row],[LC Qty]] * 100),"")</f>
        <v/>
      </c>
      <c r="EG250" s="9" t="str">
        <f>IF(ISNUMBER(SnapshotTable[[#This Row],[LC Total Value]]),SnapshotTable[[#This Row],[LC Stop Loss Amount]] - SnapshotTable[[#This Row],[LC Premium]],"")</f>
        <v/>
      </c>
      <c r="EH250" s="9">
        <f>IF(ISNUMBER(SnapshotTable[[#This Row],[LC Premium]]), SnapshotTable[[#This Row],[LC Qty]] * 100 * SnapshotTable[[#This Row],[LC Strike Price]], "")</f>
        <v>0</v>
      </c>
      <c r="EI250" s="225" t="str">
        <f>IF(AND(ISNUMBER(SnapshotTable[[#This Row],[LC Total Value]]),SnapshotTable[[#This Row],[LC Total Value]]&gt;0),SnapshotTable[[#This Row],[LC Stop Gain Loss]]  / SnapshotTable[[#This Row],[LC Premium]],"")</f>
        <v/>
      </c>
      <c r="EJ250" s="35">
        <f>IF(ISNUMBER(SnapshotTable[[#This Row],[Equity Shares]]),TRUNC(SnapshotTable[[#This Row],[Equity Shares]] / 100),0) + SnapshotTable[[#This Row],[LC Qty]]</f>
        <v>1</v>
      </c>
      <c r="EK250" s="145"/>
      <c r="EL250" s="136"/>
      <c r="EM250" s="146"/>
      <c r="EN250" s="145"/>
      <c r="EO250" s="145"/>
      <c r="EP250" s="136"/>
      <c r="EQ250" s="382" t="b">
        <f>AND(ISNUMBER(SnapshotTable[[#This Row],[SC Exp Date]]), ISNUMBER(SnapshotTable[[#This Row],[SC Strike Price]]), ISNUMBER(SnapshotTable[[#This Row],[SC Qty]]), ISNUMBER(SnapshotTable[[#This Row],[SC Book Date]]), ISNUMBER(SnapshotTable[[#This Row],[SC Book Price]]))</f>
        <v>0</v>
      </c>
      <c r="ER250" s="382" t="b">
        <f>AND(SnapshotTable[[#This Row],[SC Is Booked]], NOT(ISBLANK(SnapshotTable[[#This Row],[SC Fill Date]])))</f>
        <v>0</v>
      </c>
      <c r="ES250" s="340"/>
      <c r="ET250" s="34" t="str">
        <f>IF(AND(ISNUMBER(SnapshotTable[[#This Row],[SC Exp Date]]), ISNUMBER(SnapshotTable[[#This Row],[SC Book Date]])), SnapshotTable[[#This Row],[SC Exp Date]] - MAX(SnapshotTable[[#This Row],[SC Book Date]], SnapshotTable[[#This Row],[SC Fill Date]]) + 1, "")</f>
        <v/>
      </c>
      <c r="EU250" s="34" t="str">
        <f>IF(ISNUMBER(SnapshotTable[[#This Row],[SC Term]]), SnapshotTable[[#This Row],[SC Exp Date]]- MockToday, "")</f>
        <v/>
      </c>
      <c r="EV250" s="31">
        <f>IF(SnapshotTable[[#This Row],[SC Is Booked]], SnapshotTable[[#This Row],[SC Qty]] * SnapshotTable[[#This Row],[SC Book Price]] * 100, 0)</f>
        <v>0</v>
      </c>
      <c r="EW250" s="4" t="str">
        <f>IF(AND(ISNUMBER(SnapshotTable[[#This Row],[Last Price]]), ISNUMBER( SnapshotTable[[#This Row],[SC Book Price]])), SnapshotTable[[#This Row],[Last Price]] - SnapshotTable[[#This Row],[SC Book Price]],"")</f>
        <v/>
      </c>
      <c r="EX250" s="219" t="str">
        <f>IF(SnapshotTable[[#This Row],[SC Is Booked]],IF(SnapshotTable[[#This Row],[SC Intrinsic Value]] &gt; 0, SnapshotTable[[#This Row],[SC Strike Price]], SnapshotTable[[#This Row],[Last Price]]), "")</f>
        <v/>
      </c>
      <c r="EY250" s="4">
        <f>IF(SnapshotTable[[#This Row],[SC Is Booked]], (MinimumPremiumRequired * SnapshotTable[[#This Row],[SC Basis]] * SnapshotTable[[#This Row],[SC Term]]), 0)</f>
        <v>0</v>
      </c>
      <c r="EZ250" s="268"/>
      <c r="FA250" s="204"/>
      <c r="FB250" s="340"/>
      <c r="FC250" s="4">
        <f>IF(SnapshotTable[[#This Row],[SC Is Filled]], btc_max_buyback_amount(SnapshotTable[[#This Row],[SC Fill Date]],SnapshotTable[[#This Row],[SC Exp Date]], SnapshotTable[[#This Row],[SC Book Price]]),0)</f>
        <v>0</v>
      </c>
      <c r="FD250" s="5"/>
      <c r="FE250" s="142" t="str">
        <f>IF(SnapshotTable[[#This Row],[SC Is Filled]], btc_next_cutoff_date(SnapshotTable[[#This Row],[SC Fill Date]],SnapshotTable[[#This Row],[SC Exp Date]]),"")</f>
        <v/>
      </c>
      <c r="FF250" s="4" t="str" cm="1">
        <f t="array" ref="FF250">IF(SnapshotTable[[#This Row],[SC Is Filled]], btc_should_buy_back(SnapshotTable[[#This Row],[SC Fill Date]], SnapshotTable[[#This Row],[SC Exp Date]], SnapshotTable[[#This Row],[SC Book Price]], SnapshotTable[[#This Row],[SC Current Ask]], MockToday, SnapshotTable[[#This Row],[SC Buyback Override]]),"")</f>
        <v/>
      </c>
      <c r="FG250" s="4">
        <f>IF(SnapshotTable[[#This Row],[SC Is Filled]], MAX(0,SnapshotTable[[#This Row],[Last Price]]  - SnapshotTable[[#This Row],[SC Strike Price]]), 0)</f>
        <v>0</v>
      </c>
      <c r="FH250" s="352">
        <f>IF(SnapshotTable[[#This Row],[SC Is Filled]], IF(ISNUMBER(SnapshotTable[[#This Row],[SC Current Ask]]), SnapshotTable[[#This Row],[SC Current Ask]], SnapshotTable[[#This Row],[SC Book Price]]) - SnapshotTable[[#This Row],[SC Intrinsic Value]], 0)</f>
        <v>0</v>
      </c>
      <c r="FI250" s="141"/>
      <c r="FJ250" s="32" t="str">
        <f>IF(SnapshotTable[[#This Row],[SC Is Filled]],100 * SnapshotTable[[#This Row],[SC Qty]] * IF(ISNUMBER(SnapshotTable[[#This Row],[SC Buyback Override]]), SnapshotTable[[#This Row],[SC Buyback Override]], SnapshotTable[[#This Row],[SC Current Ask]]), "")</f>
        <v/>
      </c>
      <c r="FK250" s="235" t="str">
        <f>IF(SnapshotTable[[#This Row],[SC Time Val]]&gt;0, SnapshotTable[[#This Row],[SC Time Val]] / SnapshotTable[[#This Row],[Last Price]],"")</f>
        <v/>
      </c>
      <c r="FL250" s="280" t="str">
        <f>IF(SnapshotTable[[#This Row],[SC Is Booked]], ((SnapshotTable[[#This Row],[Last Price]] -SnapshotTable[[#This Row],[SC Strike Price]]) / SnapshotTable[[#This Row],[Last Price]]) * -1, "")</f>
        <v/>
      </c>
      <c r="FM250" s="155" t="str">
        <f>IF(SnapshotTable[[#This Row],[SC Is Booked]],  (SnapshotTable[[#This Row],[SC Qty]] * 100 * SnapshotTable[[#This Row],[SC Strike Price]]) - SnapshotTable[[#This Row],[SC Current Ask]], "")</f>
        <v/>
      </c>
      <c r="FN250" s="31" t="str">
        <f>IF(AND(ISNUMBER(SnapshotTable[[#This Row],[SC Exercise Gross]]), SnapshotTable[[#This Row],[SC Exercise Gross]] &lt; (SnapshotTable[[#This Row],[SC Qty]] * 100 * SnapshotTable[[#This Row],[Last Price]])),  (SnapshotTable[[#This Row],[SC Qty]] * 100 * SnapshotTable[[#This Row],[Last Price]]) - SnapshotTable[[#This Row],[SC Exercise Gross]], "")</f>
        <v/>
      </c>
      <c r="FO250" s="31" t="str">
        <f>IF(AND(ISNUMBER(SnapshotTable[[#This Row],[SC Exercise Gross]]), ISNUMBER(SnapshotTable[[#This Row],[Equity Basis Per Share]] )), SnapshotTable[[#This Row],[SC Exercise Gross]] - SnapshotTable[[#This Row],[Equity Basis Total]] +  SnapshotTable[[#This Row],[SC Premium]], "")</f>
        <v/>
      </c>
      <c r="FP250" s="5" t="str">
        <f>IF(ISNUMBER(SnapshotTable[[#This Row],[SC Exercise Gross]]), (SnapshotTable[[#This Row],[SC Exercise Gross]]) / (SnapshotTable[[#This Row],[SC Qty]] * 100), "")</f>
        <v/>
      </c>
      <c r="FQ250" s="27" t="str">
        <f>IF(SnapshotTable[[#This Row],[SC Is Booked]],SnapshotTable[[#This Row],[SC Time Val]] /SnapshotTable[[#This Row],[SC Basis]], "")</f>
        <v/>
      </c>
      <c r="FR250" s="27" t="str" cm="1">
        <f t="array" ref="FR250">IF(AND(ISNUMBER(SnapshotTable[[#This Row],[SC Term]]),ISNUMBER(SnapshotTable[[#This Row],[SC Simple ROO]])), EllmanAnnualize(SnapshotTable[[#This Row],[SC DTE]], SnapshotTable[[#This Row],[SC Simple ROO]] ),"")</f>
        <v/>
      </c>
      <c r="FS250" s="4">
        <f>IF(SnapshotTable[[#This Row],[SC Strike Price]] &gt; SnapshotTable[[#This Row],[Last Price]], SnapshotTable[[#This Row],[SC Strike Price]] - SnapshotTable[[#This Row],[Last Price]],0)</f>
        <v>0</v>
      </c>
      <c r="FT250" s="27" t="str">
        <f>IF(AND(ISNUMBER(SnapshotTable[[#This Row],[SC Upside Potential]]), SnapshotTable[[#This Row],[SC Upside Potential]] &gt; 0),(SnapshotTable[[#This Row],[SC Upside Potential]]/ SnapshotTable[[#This Row],[ACB]]),"")</f>
        <v/>
      </c>
      <c r="FU250" s="304" t="str">
        <f>IF(SnapshotTable[[#This Row],[SC Intrinsic Value]] &gt; 0,SnapshotTable[[#This Row],[SC Intrinsic Value]],"")</f>
        <v/>
      </c>
      <c r="FV250" s="27" t="str">
        <f>IF(AND( ISNUMBER( SnapshotTable[[#This Row],[ACB]]),ISNUMBER(SnapshotTable[[#This Row],[SC Downside Protect]])),SnapshotTable[[#This Row],[SC Downside Protect]] / SnapshotTable[[#This Row],[ACB]],"")</f>
        <v/>
      </c>
      <c r="FW250" s="221" t="str">
        <f>IF(AND(ISNUMBER(SnapshotTable[[#This Row],[SC Simple ROO]]),SnapshotTable[[#This Row],[SC Simple ROO]] &gt; 0), SnapshotTable[[#This Row],[SC Premium]] + (SnapshotTable[[#This Row],[SC Qty]] * SnapshotTable[[#This Row],[SC Upside Potential]]), "")</f>
        <v/>
      </c>
      <c r="FX250" s="280" t="str" cm="1">
        <f t="array" ref="FX250">IF(ISNUMBER(SnapshotTable[[#This Row],[SC Max Dollars]]), annualize(SnapshotTable[[#This Row],[SC Term]],(SnapshotTable[[#This Row],[SC Max Dollars]]/SnapshotTable[[#This Row],[SC Basis]])),"")</f>
        <v/>
      </c>
      <c r="FY250" s="221" t="str">
        <f>IF(AND(SnapshotTable[[#This Row],[SC Qty]]&gt;0,SnapshotTable[[#This Row],[SC Current Ask]]&gt;0), SnapshotTable[[#This Row],[SC Qty]] * SnapshotTable[[#This Row],[SC Current Ask]] * -100, "")</f>
        <v/>
      </c>
      <c r="FZ250" s="31" t="str">
        <f>IF(ISNUMBER((SnapshotTable[[#This Row],[SC Current Value]])), SnapshotTable[[#This Row],[SC Premium]] + SnapshotTable[[#This Row],[SC Current Value]], "")</f>
        <v/>
      </c>
      <c r="GA250" s="272" t="str">
        <f>IFERROR( IF(ISNUMBER((SnapshotTable[[#This Row],[SC Current Value]])), SnapshotTable[[#This Row],[SC Gain Loss]] / SnapshotTable[[#This Row],[SC Premium]], ""), "")</f>
        <v/>
      </c>
      <c r="GB250" s="42">
        <f>SnapshotTable[[#This Row],[Equity Shares]] * SaleSharesToConsiderPercentage</f>
        <v>20</v>
      </c>
      <c r="GC250" s="40">
        <f>SnapshotTable[[#This Row],[Long Term Target]] * SellingPriceToConsiderBasedOnTargetPercentage</f>
        <v>0</v>
      </c>
      <c r="GD250" s="40">
        <f>SnapshotTable[[#This Row],[Last Price]] * (1+ SellingPriceToConsiderBasedOnTargetPercentage)</f>
        <v>35.997</v>
      </c>
      <c r="GE250" s="41"/>
      <c r="GF250" s="40"/>
      <c r="GG250" s="31">
        <f>SnapshotTable[[#This Row],[Booked Sale Shares]] * SnapshotTable[[#This Row],[Booked Sale Price]]</f>
        <v>0</v>
      </c>
      <c r="GH250" s="31">
        <f>IF(SnapshotTable[[#This Row],[Equity Basis Total]] &gt; 0, SnapshotTable[[#This Row],[Equity Basis Per Share]] * SnapshotTable[[#This Row],[Booked Sale Shares]], "")</f>
        <v>0</v>
      </c>
      <c r="GI250" s="31">
        <f>IF(SnapshotTable[[#This Row],[Sale Proceeds]]&gt;0, SnapshotTable[[#This Row],[Sale Proceeds]] - SnapshotTable[[#This Row],[Sale Basis]], 0)</f>
        <v>0</v>
      </c>
      <c r="GJ250" s="27" t="str">
        <f>IF(SnapshotTable[[#This Row],[Sale G/L]]&gt;0, SnapshotTable[[#This Row],[Sale G/L]] / SnapshotTable[[#This Row],[Sale Basis]], IF(ISNUMBER(SnapshotTable[[#This Row],[SC Exercise P&amp;L (TAX)]]), SnapshotTable[[#This Row],[SC Exercise P&amp;L (TAX)]] / SnapshotTable[[#This Row],[SC Basis]], ""))</f>
        <v/>
      </c>
      <c r="GK250" s="27"/>
      <c r="GL250" s="43" t="str">
        <f>IF(AND(SnapshotTable[[#This Row],[LP Exp Date]]&gt;0,SnapshotTable[[#This Row],[LP Strike Price]]&gt;0), [1]!ToOptionSymbol(SnapshotTable[[#This Row],[Symbol]], SnapshotTable[[#This Row],[LP Strike Price]],SnapshotTable[[#This Row],[LP Exp Date]],1), "")</f>
        <v/>
      </c>
      <c r="GM250" s="30" t="str">
        <f>IF(LEN(SnapshotTable[[#This Row],[LP Symbol]])&gt;0, 1, "")</f>
        <v/>
      </c>
      <c r="GN250" s="43" t="str">
        <f>IF(AND(SnapshotTable[[#This Row],[SP Exp Date]]&gt;0,SnapshotTable[[#This Row],[SP Strike Price]]&gt;0), [1]!ToOptionSymbol(SnapshotTable[[#This Row],[Symbol]], SnapshotTable[[#This Row],[SP Strike Price]],SnapshotTable[[#This Row],[SP Exp Date]],1), "")</f>
        <v/>
      </c>
      <c r="GO250" s="30" t="str">
        <f>IF(LEN(SnapshotTable[[#This Row],[SP Symbol]])&gt;0, 1, "")</f>
        <v/>
      </c>
      <c r="GP250" s="43" t="str">
        <f>IF(AND(SnapshotTable[[#This Row],[LC Exp Date]]&gt;0,SnapshotTable[[#This Row],[LC Strike Price]]&gt;0), [1]!ToOptionSymbol(SnapshotTable[[#This Row],[Symbol]], SnapshotTable[[#This Row],[LC Strike Price]],SnapshotTable[[#This Row],[LC Exp Date]],0), "")</f>
        <v/>
      </c>
      <c r="GQ250" s="30" t="str">
        <f>IF(LEN(SnapshotTable[[#This Row],[LC Symbol]])&gt;0, 1, "")</f>
        <v/>
      </c>
      <c r="GR250" s="43" t="str">
        <f>IF(AND(SnapshotTable[[#This Row],[SC Exp Date]]&gt;0,SnapshotTable[[#This Row],[SC Strike Price]]&gt;0), [1]!ToOptionSymbol(SnapshotTable[[#This Row],[Symbol]], SnapshotTable[[#This Row],[SC Strike Price]],SnapshotTable[[#This Row],[SC Exp Date]],0), "")</f>
        <v/>
      </c>
      <c r="GS250" s="30" t="str">
        <f>IF(LEN(SnapshotTable[[#This Row],[SC Symbol]])&gt;0, 1, "")</f>
        <v/>
      </c>
      <c r="GT250" s="29" t="str">
        <f>IF(COUNT(SnapshotTable[[#This Row],[LP Symbol Count]],SnapshotTable[[#This Row],[SP Symbol Count]],SnapshotTable[[#This Row],[LC Symbol Count]],SnapshotTable[[#This Row],[SC Symbol Count]])&gt;0, "Y", "")</f>
        <v/>
      </c>
      <c r="GU250" s="29" t="str">
        <f>IF(AND(SnapshotTable[[#This Row],[Equity Shares]] &gt; 0,SnapshotTable[[#This Row],[Symbol]]&lt;&gt;"CASH"), "LNG ", IF(SnapshotTable[[#This Row],[Equity Shares]] &lt; 0, "SHRT", "")) &amp; IF(SnapshotTable[[#This Row],[SP Symbol Count]]=1, "SP ","") &amp; IF(SnapshotTable[[#This Row],[SC Symbol Count]]=1, "SC ", "") &amp; IF(SnapshotTable[[#This Row],[LC Symbol Count]]=1, "LC ", "") &amp; IF(SnapshotTable[[#This Row],[LP Symbol Count]]=1, "LP ", "") &amp; IF(LEN(SnapshotTable[[#This Row],[Watch List]]), "W ", "")</f>
        <v xml:space="preserve">LNG </v>
      </c>
      <c r="GV250" s="216">
        <f>MAX(SnapshotTable[[#This Row],[Equity Basis Total]],SnapshotTable[[#This Row],[Equity Value]]) + (SnapshotTable[[#This Row],[SP Potential Spend]]- SnapshotTable[[#This Row],[SP Premium]] + SnapshotTable[[#This Row],[LP Premium]])+ (SnapshotTable[[#This Row],[LC Premium]] - SnapshotTable[[#This Row],[SC Premium]])</f>
        <v>1846</v>
      </c>
      <c r="GW250" s="137">
        <f ca="1">IF(AND(SnapshotTable[[#This Row],[Exposure]] &lt;&gt; 0),SnapshotTable[[#This Row],[Exposure]] / SnapshotTable[[#Totals],[Exposure]], "")</f>
        <v>1.0249804276489303E-2</v>
      </c>
    </row>
    <row r="251" spans="2:224" s="189" customFormat="1" x14ac:dyDescent="0.25">
      <c r="B251" s="163">
        <f>SUBTOTAL(103,SnapshotTable[Symbol])</f>
        <v>5</v>
      </c>
      <c r="C251" s="381" t="s">
        <v>928</v>
      </c>
      <c r="D251" s="201"/>
      <c r="E251" s="105"/>
      <c r="F251" s="106"/>
      <c r="G251" s="107"/>
      <c r="H251" s="108"/>
      <c r="I251" s="109"/>
      <c r="J251" s="109"/>
      <c r="K251" s="109"/>
      <c r="L251" s="110"/>
      <c r="M251" s="106"/>
      <c r="N251" s="106"/>
      <c r="O251" s="106"/>
      <c r="P251" s="111">
        <f>SUBTOTAL(109,SnapshotTable[Equity Shares])</f>
        <v>1800</v>
      </c>
      <c r="Q251" s="112">
        <f>SUBTOTAL(109,SnapshotTable[Equity Basis Total])</f>
        <v>84301</v>
      </c>
      <c r="R251" s="113"/>
      <c r="S251" s="112">
        <f>SUBTOTAL(109,SnapshotTable[Equity Value])</f>
        <v>59672</v>
      </c>
      <c r="T251" s="112">
        <f>SUBTOTAL(109,SnapshotTable[Equity G/L])</f>
        <v>-24629</v>
      </c>
      <c r="U251" s="108"/>
      <c r="V251" s="125"/>
      <c r="W251" s="125"/>
      <c r="X251" s="125"/>
      <c r="Y251" s="125"/>
      <c r="Z251" s="261"/>
      <c r="AA251" s="112">
        <f>SUBTOTAL(109,SnapshotTable[Equity Max Profit])</f>
        <v>6400</v>
      </c>
      <c r="AB251" s="112">
        <f>SUBTOTAL(109,SnapshotTable[Equity Max Risk])</f>
        <v>528.00000000000011</v>
      </c>
      <c r="AC251" s="114"/>
      <c r="AD251" s="115"/>
      <c r="AE251" s="116">
        <f>SUBTOTAL(109,SnapshotTable[Quarterly Div $])</f>
        <v>0</v>
      </c>
      <c r="AF251" s="117">
        <f>SUBTOTAL(109,SnapshotTable[Annual Div $])</f>
        <v>0</v>
      </c>
      <c r="AG251" s="118"/>
      <c r="AH251" s="115"/>
      <c r="AI251" s="118"/>
      <c r="AJ251" s="119"/>
      <c r="AK251" s="119"/>
      <c r="AL251" s="120"/>
      <c r="AM251" s="117">
        <f>SUBTOTAL(109,SnapshotTable[From Basis $])</f>
        <v>0</v>
      </c>
      <c r="AN251" s="117">
        <f>SUBTOTAL(109,SnapshotTable[From Current $])</f>
        <v>0</v>
      </c>
      <c r="AO251" s="121"/>
      <c r="AP251" s="121"/>
      <c r="AQ251" s="121"/>
      <c r="AR251" s="121"/>
      <c r="AS251" s="121"/>
      <c r="AT251" s="121"/>
      <c r="AU251" s="121"/>
      <c r="AV251" s="121"/>
      <c r="AW251" s="121"/>
      <c r="AX251" s="121"/>
      <c r="AY251" s="121"/>
      <c r="AZ251" s="121"/>
      <c r="BA251" s="184"/>
      <c r="BB251" s="121"/>
      <c r="BC251" s="121"/>
      <c r="BD251" s="122"/>
      <c r="BE251" s="122"/>
      <c r="BF251" s="122"/>
      <c r="BG251" s="122"/>
      <c r="BH251" s="122"/>
      <c r="BI251" s="125"/>
      <c r="BJ251" s="122">
        <f>SUBTOTAL(109,SnapshotTable[LP Premium])</f>
        <v>0</v>
      </c>
      <c r="BK251" s="122"/>
      <c r="BL251" s="122"/>
      <c r="BM251" s="122"/>
      <c r="BN251" s="122"/>
      <c r="BO251" s="122"/>
      <c r="BP251" s="122"/>
      <c r="BQ251" s="123"/>
      <c r="BR251" s="123"/>
      <c r="BS251" s="124"/>
      <c r="BT251" s="104"/>
      <c r="BU251" s="123"/>
      <c r="BV251" s="125"/>
      <c r="BW251" s="125"/>
      <c r="BX251" s="125"/>
      <c r="BY251" s="117">
        <f ca="1">SUBTOTAL(109,SnapshotTable[SP Premium])</f>
        <v>5200</v>
      </c>
      <c r="BZ251" s="117"/>
      <c r="CA251" s="117"/>
      <c r="CB251" s="113"/>
      <c r="CC251" s="117"/>
      <c r="CD251" s="117"/>
      <c r="CE251" s="117"/>
      <c r="CF251" s="117"/>
      <c r="CG251" s="117">
        <f ca="1">SUBTOTAL(109,SnapshotTable[SP Potential Spend])</f>
        <v>102400</v>
      </c>
      <c r="CH251" s="117"/>
      <c r="CI251" s="117">
        <f ca="1">SUBTOTAL(109,SnapshotTable[SP Actual Spend])</f>
        <v>25000</v>
      </c>
      <c r="CJ251" s="130"/>
      <c r="CK251" s="117">
        <f ca="1">SUBTOTAL(109,SnapshotTable[SP Cash Reserve])</f>
        <v>102400</v>
      </c>
      <c r="CL251" s="117">
        <f ca="1">SUBTOTAL(109,SnapshotTable[SP Unfilled Potential Spend])</f>
        <v>0</v>
      </c>
      <c r="CM251" s="117">
        <f ca="1">SUBTOTAL(109,SnapshotTable[SP Actual Loss])</f>
        <v>-2249.9999999999986</v>
      </c>
      <c r="CN251" s="117"/>
      <c r="CO251" s="117"/>
      <c r="CP251" s="117"/>
      <c r="CQ251" s="117"/>
      <c r="CR251" s="117"/>
      <c r="CS251" s="117"/>
      <c r="CT251" s="117"/>
      <c r="CU251" s="117"/>
      <c r="CV251" s="117"/>
      <c r="CW251" s="117"/>
      <c r="CX251" s="117"/>
      <c r="CY251" s="117"/>
      <c r="CZ251" s="117"/>
      <c r="DA251" s="117"/>
      <c r="DB251" s="117"/>
      <c r="DC251" s="117"/>
      <c r="DD251" s="117"/>
      <c r="DE251" s="117"/>
      <c r="DF251" s="117"/>
      <c r="DG251" s="117"/>
      <c r="DH251" s="130"/>
      <c r="DI251" s="126"/>
      <c r="DJ251" s="126"/>
      <c r="DK251" s="120">
        <f>SUBTOTAL(109,SnapshotTable[LC Qty])</f>
        <v>0</v>
      </c>
      <c r="DL251" s="126"/>
      <c r="DM251" s="126"/>
      <c r="DN251" s="126"/>
      <c r="DO251" s="117">
        <f>SUBTOTAL(109,SnapshotTable[LC Premium])</f>
        <v>0</v>
      </c>
      <c r="DP251" s="126"/>
      <c r="DQ251" s="126"/>
      <c r="DR251" s="126"/>
      <c r="DS251" s="113" t="e">
        <f>SUBTOTAL(101,SnapshotTable[LC Break Even])</f>
        <v>#DIV/0!</v>
      </c>
      <c r="DT251" s="126"/>
      <c r="DU251" s="117">
        <f>SUBTOTAL(109,SnapshotTable[LC Total Value])</f>
        <v>0</v>
      </c>
      <c r="DV251" s="117">
        <f>SUBTOTAL(109,SnapshotTable[LC Actual Gain Loss])</f>
        <v>0</v>
      </c>
      <c r="DW251" s="130"/>
      <c r="DX251" s="241"/>
      <c r="DY251" s="278"/>
      <c r="DZ251" s="278"/>
      <c r="EA251" s="130"/>
      <c r="EB251" s="248"/>
      <c r="EC251" s="126"/>
      <c r="ED251" s="126"/>
      <c r="EE251" s="126"/>
      <c r="EF251" s="126"/>
      <c r="EG251" s="117">
        <f>SUBTOTAL(109,SnapshotTable[LC Stop Gain Loss])</f>
        <v>0</v>
      </c>
      <c r="EH251" s="117">
        <f>SUBTOTAL(109,SnapshotTable[LC Cost To Exercise])</f>
        <v>0</v>
      </c>
      <c r="EI251" s="130"/>
      <c r="EJ251" s="127">
        <f>SUBTOTAL(109,SnapshotTable[SC Max Qty])</f>
        <v>18</v>
      </c>
      <c r="EK251" s="123"/>
      <c r="EL251" s="125"/>
      <c r="EM251" s="124">
        <f>SUBTOTAL(109,SnapshotTable[SC Qty])</f>
        <v>10</v>
      </c>
      <c r="EN251" s="123"/>
      <c r="EO251" s="123"/>
      <c r="EP251" s="125"/>
      <c r="EQ251" s="125"/>
      <c r="ER251" s="113"/>
      <c r="ES251" s="332"/>
      <c r="ET251" s="128"/>
      <c r="EU251" s="128"/>
      <c r="EV251" s="117">
        <f ca="1">SUBTOTAL(109,SnapshotTable[SC Premium])</f>
        <v>1400</v>
      </c>
      <c r="EW251" s="113"/>
      <c r="EX251" s="113"/>
      <c r="EY251" s="113"/>
      <c r="EZ251" s="113"/>
      <c r="FA251" s="113"/>
      <c r="FB251" s="336"/>
      <c r="FC251" s="113"/>
      <c r="FD251" s="113"/>
      <c r="FE251" s="113"/>
      <c r="FF251" s="120"/>
      <c r="FG251" s="113"/>
      <c r="FH251" s="113"/>
      <c r="FI251" s="113"/>
      <c r="FJ251" s="113"/>
      <c r="FK251" s="118"/>
      <c r="FL251" s="121"/>
      <c r="FM251" s="117">
        <f ca="1">SUBTOTAL(109,SnapshotTable[SC Exercise Gross])</f>
        <v>59999.05</v>
      </c>
      <c r="FN251" s="117">
        <f ca="1">SUBTOTAL(109,SnapshotTable[SC Exercise Oppty Cost])</f>
        <v>0</v>
      </c>
      <c r="FO251" s="117">
        <f ca="1">SUBTOTAL(109,SnapshotTable[SC Exercise P&amp;L (TAX)])</f>
        <v>-9301.9499999999971</v>
      </c>
      <c r="FP251" s="125"/>
      <c r="FQ251" s="121"/>
      <c r="FR251" s="121"/>
      <c r="FS251" s="121"/>
      <c r="FT251" s="287"/>
      <c r="FU251" s="287"/>
      <c r="FV251" s="287"/>
      <c r="FW251" s="112"/>
      <c r="FX251" s="287"/>
      <c r="FY251" s="108"/>
      <c r="FZ251" s="117"/>
      <c r="GA251" s="130"/>
      <c r="GB251" s="111"/>
      <c r="GC251" s="129"/>
      <c r="GD251" s="129"/>
      <c r="GE251" s="122"/>
      <c r="GF251" s="129"/>
      <c r="GG251" s="117"/>
      <c r="GH251" s="117"/>
      <c r="GI251" s="117"/>
      <c r="GJ251" s="117"/>
      <c r="GK251" s="117"/>
      <c r="GL251" s="117"/>
      <c r="GM251" s="120">
        <f>SUBTOTAL(102,SnapshotTable[LP Symbol Count])</f>
        <v>0</v>
      </c>
      <c r="GN251" s="113"/>
      <c r="GO251" s="120">
        <f ca="1">SUBTOTAL(102,SnapshotTable[SP Symbol Count])</f>
        <v>5</v>
      </c>
      <c r="GP251" s="117"/>
      <c r="GQ251" s="120">
        <f>SUBTOTAL(102,SnapshotTable[LC Symbol Count])</f>
        <v>0</v>
      </c>
      <c r="GR251" s="117"/>
      <c r="GS251" s="120">
        <f ca="1">SUBTOTAL(102,SnapshotTable[SC Symbol Count])</f>
        <v>1</v>
      </c>
      <c r="GT251" s="117"/>
      <c r="GU251" s="117"/>
      <c r="GV251" s="117">
        <f ca="1">SUBTOTAL(109,SnapshotTable[Exposure])</f>
        <v>180101</v>
      </c>
      <c r="GW251" s="130">
        <f ca="1">SUBTOTAL(109,SnapshotTable[Exp %])</f>
        <v>1</v>
      </c>
    </row>
    <row r="252" spans="2:224" s="189" customFormat="1" x14ac:dyDescent="0.25">
      <c r="B252" s="1"/>
      <c r="C252" s="357"/>
      <c r="D252" s="199"/>
      <c r="E252" s="26"/>
      <c r="F252" s="26"/>
      <c r="G252" s="26"/>
      <c r="H252" s="1"/>
      <c r="I252" s="25"/>
      <c r="J252" s="22"/>
      <c r="K252" s="22"/>
      <c r="L252" s="22"/>
      <c r="M252" s="22"/>
      <c r="N252" s="22"/>
      <c r="O252" s="22"/>
      <c r="P252" s="22"/>
      <c r="Q252" s="22"/>
      <c r="R252" s="22"/>
      <c r="S252" s="22"/>
      <c r="T252" s="22"/>
      <c r="U252" s="23"/>
      <c r="V252" s="219"/>
      <c r="W252" s="219"/>
      <c r="X252" s="219"/>
      <c r="Y252" s="219"/>
      <c r="Z252" s="256"/>
      <c r="AA252" s="221"/>
      <c r="AB252" s="221"/>
      <c r="AC252" s="22"/>
      <c r="AD252" s="12"/>
      <c r="AE252" s="20"/>
      <c r="AF252" s="1"/>
      <c r="AG252" s="24"/>
      <c r="AH252" s="22"/>
      <c r="AI252" s="23"/>
      <c r="AJ252" s="22"/>
      <c r="AK252" s="20"/>
      <c r="AL252" s="20"/>
      <c r="AM252" s="1"/>
      <c r="AN252" s="21"/>
      <c r="AO252" s="1"/>
      <c r="AP252" s="1"/>
      <c r="AQ252" s="1"/>
      <c r="AR252" s="20"/>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9"/>
      <c r="BU252" s="8"/>
      <c r="BV252" s="1"/>
      <c r="BW252" s="7"/>
      <c r="BX252" s="7"/>
      <c r="BY252" s="7"/>
      <c r="BZ252" s="7"/>
      <c r="CA252" s="7"/>
      <c r="CB252" s="1"/>
      <c r="CC252"/>
      <c r="CD252" s="1"/>
      <c r="CE252" s="1"/>
      <c r="CF252" s="1"/>
      <c r="CG252"/>
      <c r="CH252"/>
      <c r="CI252" s="230"/>
      <c r="CJ252"/>
      <c r="CK252" s="1"/>
      <c r="CL252"/>
      <c r="CM252"/>
      <c r="CN252"/>
      <c r="CO252" s="1"/>
      <c r="CP252"/>
      <c r="CQ252"/>
      <c r="CR252"/>
      <c r="CS252"/>
      <c r="CT252"/>
      <c r="CU252"/>
      <c r="CV252"/>
      <c r="CW252"/>
      <c r="CX252"/>
      <c r="CY252" s="1"/>
      <c r="CZ252" s="1"/>
      <c r="DA252" s="1"/>
      <c r="DB252" s="1"/>
      <c r="DC252" s="1"/>
      <c r="DD252" s="5"/>
      <c r="DE252"/>
      <c r="DF252"/>
      <c r="DG252"/>
      <c r="DH252" s="18"/>
      <c r="DI252" s="6"/>
      <c r="DJ252" s="6"/>
      <c r="DK252" s="6"/>
      <c r="DL252" s="6"/>
      <c r="DM252" s="5"/>
      <c r="DN252" s="5"/>
      <c r="DO252" s="222"/>
      <c r="DP252" s="222"/>
      <c r="DQ252" s="222"/>
      <c r="DR252" s="5"/>
      <c r="DS252" s="5"/>
      <c r="DT252" s="5"/>
      <c r="DU252" s="4" t="s">
        <v>0</v>
      </c>
      <c r="DV252" s="4"/>
      <c r="DW252" s="1"/>
      <c r="DX252" s="1"/>
      <c r="DY252" s="1"/>
      <c r="DZ252" s="1"/>
      <c r="EA252" s="1"/>
      <c r="EB252" s="1"/>
      <c r="EC252" s="1"/>
      <c r="ED252" s="222"/>
      <c r="EE252" s="242"/>
      <c r="EF252" s="279"/>
      <c r="EG252" s="279"/>
      <c r="EH252" s="279"/>
      <c r="EI252" s="222"/>
      <c r="EJ252" s="249"/>
      <c r="EK252"/>
      <c r="EL252"/>
      <c r="EM252" s="1"/>
      <c r="EN252" s="1"/>
      <c r="EO252"/>
      <c r="EP252"/>
      <c r="EQ252" s="16"/>
      <c r="ER252" s="331"/>
      <c r="ES252"/>
      <c r="ET252" s="16"/>
      <c r="EU252" s="16"/>
      <c r="EV252" s="16"/>
      <c r="EW252"/>
      <c r="EX252"/>
      <c r="EY252" s="16"/>
      <c r="EZ252" s="225"/>
      <c r="FA252"/>
      <c r="FB252" s="16"/>
      <c r="FC252" s="16"/>
      <c r="FD252"/>
      <c r="FE252"/>
      <c r="FF252"/>
      <c r="FG252" s="16"/>
      <c r="FH252" s="333"/>
      <c r="FI252" s="16"/>
      <c r="FJ252" s="16"/>
      <c r="FK252" s="16"/>
      <c r="FL252" s="1"/>
      <c r="FM252" s="1"/>
      <c r="FN252" s="16"/>
      <c r="FO252" s="16"/>
      <c r="FP252"/>
      <c r="FQ252"/>
      <c r="FR252" s="16"/>
      <c r="FS252" s="16"/>
      <c r="FT252" s="16"/>
      <c r="FU252" s="16"/>
      <c r="FV252" s="1"/>
      <c r="FW252" s="16"/>
      <c r="FX252" s="16"/>
      <c r="FY252" s="16"/>
      <c r="FZ252" s="16"/>
      <c r="GA252" s="16"/>
      <c r="GB252" s="16"/>
      <c r="GC252" s="16"/>
      <c r="GD252" s="221"/>
      <c r="GE252" s="16"/>
      <c r="GF252" s="16"/>
      <c r="GG252" s="280"/>
      <c r="GH252" s="16"/>
      <c r="GI252" s="16"/>
      <c r="GJ252" s="235"/>
      <c r="GK252" s="16"/>
      <c r="GL252" s="16"/>
      <c r="GM252" s="222"/>
      <c r="GN252" s="4"/>
      <c r="GO252" s="5"/>
      <c r="GP252" s="1"/>
      <c r="GQ252" s="17"/>
      <c r="GR252" s="17"/>
      <c r="GS252" s="1"/>
      <c r="GT252" s="226"/>
      <c r="GU252" s="16"/>
      <c r="GV252" s="15"/>
      <c r="GW252" s="15"/>
    </row>
    <row r="253" spans="2:224" s="189" customFormat="1" x14ac:dyDescent="0.25">
      <c r="B253" s="1"/>
      <c r="C253" s="357"/>
      <c r="D253" s="199"/>
      <c r="E253" s="26"/>
      <c r="F253" s="26"/>
      <c r="G253" s="26"/>
      <c r="H253" s="1"/>
      <c r="I253" s="25"/>
      <c r="J253" s="22"/>
      <c r="K253" s="22"/>
      <c r="L253" s="22"/>
      <c r="M253" s="22"/>
      <c r="N253" s="22"/>
      <c r="O253" s="22"/>
      <c r="P253" s="22"/>
      <c r="Q253" s="22"/>
      <c r="R253" s="22"/>
      <c r="S253" s="22"/>
      <c r="T253" s="22"/>
      <c r="U253" s="23"/>
      <c r="V253" s="219"/>
      <c r="W253" s="219"/>
      <c r="X253" s="219"/>
      <c r="Y253" s="219"/>
      <c r="Z253" s="256"/>
      <c r="AA253" s="221"/>
      <c r="AB253" s="221"/>
      <c r="AC253" s="22"/>
      <c r="AD253" s="12"/>
      <c r="AE253" s="20"/>
      <c r="AF253" s="1"/>
      <c r="AG253" s="24"/>
      <c r="AH253" s="22"/>
      <c r="AI253" s="23"/>
      <c r="AJ253" s="22"/>
      <c r="AK253" s="20"/>
      <c r="AL253" s="20"/>
      <c r="AM253" s="1"/>
      <c r="AN253" s="21"/>
      <c r="AO253" s="1"/>
      <c r="AP253" s="1"/>
      <c r="AQ253" s="1"/>
      <c r="AR253" s="20"/>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9"/>
      <c r="BU253" s="8"/>
      <c r="BV253" s="1"/>
      <c r="BW253" s="7"/>
      <c r="BX253" s="7"/>
      <c r="BY253" s="7"/>
      <c r="BZ253" s="7"/>
      <c r="CA253" s="7"/>
      <c r="CB253" s="1"/>
      <c r="CC253"/>
      <c r="CD253" s="1"/>
      <c r="CE253" s="266" t="s">
        <v>888</v>
      </c>
      <c r="CF253" s="267">
        <v>12882.24</v>
      </c>
      <c r="CG253" s="308">
        <f>CF253/CASH_ON_HAND</f>
        <v>5.5548775586273811E-3</v>
      </c>
      <c r="CH253"/>
      <c r="CI253" s="230"/>
      <c r="CJ253"/>
      <c r="CK253" s="1"/>
      <c r="CL253"/>
      <c r="CM253"/>
      <c r="CN253"/>
      <c r="CO253" s="1"/>
      <c r="CP253"/>
      <c r="CQ253"/>
      <c r="CR253"/>
      <c r="CS253"/>
      <c r="CT253"/>
      <c r="CU253"/>
      <c r="CV253"/>
      <c r="CW253"/>
      <c r="CX253"/>
      <c r="CY253" s="1"/>
      <c r="CZ253" s="1"/>
      <c r="DA253" s="1"/>
      <c r="DB253" s="1"/>
      <c r="DC253" s="1"/>
      <c r="DD253" s="5"/>
      <c r="DE253"/>
      <c r="DF253"/>
      <c r="DG253"/>
      <c r="DH253" s="18"/>
      <c r="DI253" s="6"/>
      <c r="DJ253" s="6"/>
      <c r="DK253" s="6"/>
      <c r="DL253" s="6"/>
      <c r="DM253" s="5"/>
      <c r="DN253" s="5"/>
      <c r="DO253" s="222"/>
      <c r="DP253" s="222"/>
      <c r="DQ253" s="222"/>
      <c r="DR253" s="5"/>
      <c r="DS253" s="5"/>
      <c r="DT253" s="5"/>
      <c r="DU253" s="4"/>
      <c r="DV253" s="4"/>
      <c r="DW253" s="1"/>
      <c r="DX253" s="1"/>
      <c r="DY253" s="1"/>
      <c r="DZ253" s="1"/>
      <c r="EA253" s="1"/>
      <c r="EB253" s="1"/>
      <c r="EC253" s="1"/>
      <c r="ED253" s="222"/>
      <c r="EE253" s="242"/>
      <c r="EF253" s="279"/>
      <c r="EG253" s="279"/>
      <c r="EH253" s="279"/>
      <c r="EI253" s="222"/>
      <c r="EJ253" s="249"/>
      <c r="EK253"/>
      <c r="EL253"/>
      <c r="EM253" s="1"/>
      <c r="EN253" s="1"/>
      <c r="EO253"/>
      <c r="EP253"/>
      <c r="EQ253" s="16"/>
      <c r="ER253" s="331"/>
      <c r="ES253"/>
      <c r="ET253" s="16"/>
      <c r="EU253" s="16"/>
      <c r="EV253" s="16"/>
      <c r="EW253"/>
      <c r="EX253"/>
      <c r="EY253" s="16"/>
      <c r="EZ253" s="225"/>
      <c r="FA253"/>
      <c r="FB253" s="16"/>
      <c r="FC253" s="16"/>
      <c r="FD253"/>
      <c r="FE253"/>
      <c r="FF253"/>
      <c r="FG253" s="16"/>
      <c r="FH253" s="333"/>
      <c r="FI253" s="16"/>
      <c r="FJ253" s="16"/>
      <c r="FK253" s="16"/>
      <c r="FL253" s="1"/>
      <c r="FM253" s="1"/>
      <c r="FN253" s="16"/>
      <c r="FO253" s="16"/>
      <c r="FP253"/>
      <c r="FQ253"/>
      <c r="FR253" s="16"/>
      <c r="FS253" s="16"/>
      <c r="FT253" s="16"/>
      <c r="FU253" s="16"/>
      <c r="FV253" s="1"/>
      <c r="FW253" s="16"/>
      <c r="FX253" s="16"/>
      <c r="FY253" s="16"/>
      <c r="FZ253" s="16"/>
      <c r="GA253" s="16"/>
      <c r="GB253" s="16"/>
      <c r="GC253" s="16"/>
      <c r="GD253" s="221"/>
      <c r="GE253" s="16"/>
      <c r="GF253" s="16"/>
      <c r="GG253" s="280"/>
      <c r="GH253" s="16"/>
      <c r="GI253" s="16"/>
      <c r="GJ253" s="235"/>
      <c r="GK253" s="16"/>
      <c r="GL253" s="16"/>
      <c r="GM253" s="222"/>
      <c r="GN253" s="4"/>
      <c r="GO253" s="5"/>
      <c r="GP253" s="1"/>
      <c r="GQ253" s="17"/>
      <c r="GR253" s="17"/>
      <c r="GS253" s="1"/>
      <c r="GT253" s="226"/>
      <c r="GU253" s="16"/>
      <c r="GV253" s="15"/>
      <c r="GW253" s="15"/>
    </row>
    <row r="254" spans="2:224" s="189" customFormat="1" x14ac:dyDescent="0.25">
      <c r="B254" s="1"/>
      <c r="C254" s="357"/>
      <c r="D254" s="199"/>
      <c r="E254" s="26"/>
      <c r="F254" s="26"/>
      <c r="G254" s="26"/>
      <c r="H254" s="1"/>
      <c r="I254" s="25"/>
      <c r="J254" s="22"/>
      <c r="K254" s="22"/>
      <c r="L254" s="22"/>
      <c r="M254" s="22"/>
      <c r="N254" s="22"/>
      <c r="O254" s="22"/>
      <c r="P254" s="22"/>
      <c r="Q254" s="22"/>
      <c r="R254" s="22"/>
      <c r="S254" s="22"/>
      <c r="T254" s="22"/>
      <c r="U254" s="23"/>
      <c r="V254" s="219"/>
      <c r="W254" s="219"/>
      <c r="X254" s="219"/>
      <c r="Y254" s="219"/>
      <c r="Z254" s="256"/>
      <c r="AA254" s="221"/>
      <c r="AB254" s="221"/>
      <c r="AC254" s="22"/>
      <c r="AD254" s="12"/>
      <c r="AE254" s="20"/>
      <c r="AF254" s="1"/>
      <c r="AG254" s="24"/>
      <c r="AH254" s="22"/>
      <c r="AI254" s="23"/>
      <c r="AJ254" s="22"/>
      <c r="AK254" s="20"/>
      <c r="AL254" s="20"/>
      <c r="AM254" s="1"/>
      <c r="AN254" s="21"/>
      <c r="AO254" s="1"/>
      <c r="AP254" s="1"/>
      <c r="AQ254" s="1"/>
      <c r="AR254" s="20"/>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9"/>
      <c r="BU254" s="8"/>
      <c r="BV254" s="1"/>
      <c r="BW254" s="7"/>
      <c r="BX254" s="7"/>
      <c r="BY254" s="7"/>
      <c r="BZ254" s="7"/>
      <c r="CA254" s="7"/>
      <c r="CB254" s="1"/>
      <c r="CC254"/>
      <c r="CD254" s="1"/>
      <c r="CE254" s="266" t="s">
        <v>982</v>
      </c>
      <c r="CF254" s="267">
        <v>7284.5</v>
      </c>
      <c r="CG254" s="308">
        <f>CF254/CASH_ON_HAND</f>
        <v>3.1411078799821425E-3</v>
      </c>
      <c r="CH254"/>
      <c r="CI254" s="230"/>
      <c r="CJ254"/>
      <c r="CK254" s="1"/>
      <c r="CL254"/>
      <c r="CM254"/>
      <c r="CN254"/>
      <c r="CO254" s="1"/>
      <c r="CP254"/>
      <c r="CQ254"/>
      <c r="CR254"/>
      <c r="CS254"/>
      <c r="CT254"/>
      <c r="CU254"/>
      <c r="CV254"/>
      <c r="CW254"/>
      <c r="CX254"/>
      <c r="CY254" s="1"/>
      <c r="CZ254" s="1"/>
      <c r="DA254" s="1"/>
      <c r="DB254" s="1"/>
      <c r="DC254" s="1"/>
      <c r="DD254" s="5"/>
      <c r="DE254"/>
      <c r="DF254"/>
      <c r="DG254"/>
      <c r="DH254" s="18"/>
      <c r="DI254" s="6"/>
      <c r="DJ254" s="6"/>
      <c r="DK254" s="6"/>
      <c r="DL254" s="6"/>
      <c r="DM254" s="5"/>
      <c r="DN254" s="5"/>
      <c r="DO254" s="222"/>
      <c r="DP254" s="222"/>
      <c r="DQ254" s="222"/>
      <c r="DR254" s="5"/>
      <c r="DS254" s="5"/>
      <c r="DT254" s="5"/>
      <c r="DU254" s="4"/>
      <c r="DV254" s="4"/>
      <c r="DW254" s="1"/>
      <c r="DX254" s="1"/>
      <c r="DY254" s="1"/>
      <c r="DZ254" s="1"/>
      <c r="EA254" s="1"/>
      <c r="EB254" s="1"/>
      <c r="EC254" s="1"/>
      <c r="ED254" s="222"/>
      <c r="EE254" s="242"/>
      <c r="EF254" s="279"/>
      <c r="EG254" s="279"/>
      <c r="EH254" s="279"/>
      <c r="EI254" s="222"/>
      <c r="EJ254" s="249"/>
      <c r="EK254"/>
      <c r="EL254"/>
      <c r="EM254" s="1"/>
      <c r="EN254" s="1"/>
      <c r="EO254"/>
      <c r="EP254"/>
      <c r="EQ254" s="16"/>
      <c r="ER254" s="331"/>
      <c r="ES254"/>
      <c r="ET254" s="16"/>
      <c r="EU254" s="16"/>
      <c r="EV254" s="16"/>
      <c r="EW254"/>
      <c r="EX254"/>
      <c r="EY254" s="16"/>
      <c r="EZ254" s="225"/>
      <c r="FA254"/>
      <c r="FB254" s="16"/>
      <c r="FC254" s="16"/>
      <c r="FD254"/>
      <c r="FE254"/>
      <c r="FF254"/>
      <c r="FG254" s="16"/>
      <c r="FH254" s="333"/>
      <c r="FI254" s="16"/>
      <c r="FJ254" s="16"/>
      <c r="FK254" s="16"/>
      <c r="FL254" s="1"/>
      <c r="FM254" s="1"/>
      <c r="FN254" s="16"/>
      <c r="FO254" s="16"/>
      <c r="FP254"/>
      <c r="FQ254"/>
      <c r="FR254" s="16"/>
      <c r="FS254" s="16"/>
      <c r="FT254" s="16"/>
      <c r="FU254" s="16"/>
      <c r="FV254" s="1"/>
      <c r="FW254" s="16"/>
      <c r="FX254" s="16"/>
      <c r="FY254" s="16"/>
      <c r="FZ254" s="16"/>
      <c r="GA254" s="16"/>
      <c r="GB254" s="16"/>
      <c r="GC254" s="16"/>
      <c r="GD254" s="221"/>
      <c r="GE254" s="16"/>
      <c r="GF254" s="16"/>
      <c r="GG254" s="280"/>
      <c r="GH254" s="16"/>
      <c r="GI254" s="16"/>
      <c r="GJ254" s="235"/>
      <c r="GK254" s="16"/>
      <c r="GL254" s="16"/>
      <c r="GM254" s="222"/>
      <c r="GN254" s="4"/>
      <c r="GO254" s="5"/>
      <c r="GP254" s="1"/>
      <c r="GQ254" s="17"/>
      <c r="GR254" s="17"/>
      <c r="GS254" s="1"/>
      <c r="GT254" s="226"/>
      <c r="GU254" s="16"/>
      <c r="GV254" s="15"/>
      <c r="GW254" s="15"/>
    </row>
    <row r="255" spans="2:224" s="189" customFormat="1" x14ac:dyDescent="0.25">
      <c r="B255" s="1"/>
      <c r="C255" s="357"/>
      <c r="D255" s="199"/>
      <c r="E255" s="26"/>
      <c r="F255" s="26"/>
      <c r="G255" s="26"/>
      <c r="H255" s="1"/>
      <c r="I255" s="25"/>
      <c r="J255" s="22"/>
      <c r="K255" s="22"/>
      <c r="L255" s="22"/>
      <c r="M255" s="22"/>
      <c r="N255" s="22"/>
      <c r="O255" s="22"/>
      <c r="P255" s="22"/>
      <c r="Q255" s="22"/>
      <c r="R255" s="22"/>
      <c r="S255" s="22"/>
      <c r="T255" s="22"/>
      <c r="U255" s="23"/>
      <c r="V255" s="219"/>
      <c r="W255" s="219"/>
      <c r="X255" s="219"/>
      <c r="Y255" s="219"/>
      <c r="Z255" s="256"/>
      <c r="AA255" s="221"/>
      <c r="AB255" s="221"/>
      <c r="AC255" s="22"/>
      <c r="AD255" s="12"/>
      <c r="AE255" s="20"/>
      <c r="AF255" s="1"/>
      <c r="AG255" s="24"/>
      <c r="AH255" s="22"/>
      <c r="AI255" s="23"/>
      <c r="AJ255" s="22"/>
      <c r="AK255" s="20"/>
      <c r="AL255" s="20"/>
      <c r="AM255" s="1"/>
      <c r="AN255" s="21"/>
      <c r="AO255" s="1"/>
      <c r="AP255" s="1"/>
      <c r="AQ255" s="1"/>
      <c r="AR255" s="20"/>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9"/>
      <c r="BU255" s="8"/>
      <c r="BV255" s="1"/>
      <c r="BW255" s="7"/>
      <c r="BX255" s="7"/>
      <c r="BY255" s="7"/>
      <c r="BZ255" s="7"/>
      <c r="CA255" s="7"/>
      <c r="CB255" s="1"/>
      <c r="CC255"/>
      <c r="CD255" s="1"/>
      <c r="CE255" s="266" t="s">
        <v>983</v>
      </c>
      <c r="CF255" s="267">
        <v>7296.5</v>
      </c>
      <c r="CG255" s="308">
        <f>CF255/CASH_ON_HAND</f>
        <v>3.146282331840168E-3</v>
      </c>
      <c r="CH255"/>
      <c r="CI255" s="230"/>
      <c r="CJ255"/>
      <c r="CK255" s="1"/>
      <c r="CL255"/>
      <c r="CM255"/>
      <c r="CN255"/>
      <c r="CO255" s="1"/>
      <c r="CP255"/>
      <c r="CQ255"/>
      <c r="CR255"/>
      <c r="CS255"/>
      <c r="CT255"/>
      <c r="CU255"/>
      <c r="CV255"/>
      <c r="CW255"/>
      <c r="CX255"/>
      <c r="CY255" s="1"/>
      <c r="CZ255" s="1"/>
      <c r="DA255" s="1"/>
      <c r="DB255" s="1"/>
      <c r="DC255" s="1"/>
      <c r="DD255" s="5"/>
      <c r="DE255"/>
      <c r="DF255"/>
      <c r="DG255"/>
      <c r="DH255" s="18"/>
      <c r="DI255" s="6"/>
      <c r="DJ255" s="6"/>
      <c r="DK255" s="6"/>
      <c r="DL255" s="6"/>
      <c r="DM255" s="5"/>
      <c r="DN255" s="5"/>
      <c r="DO255" s="222"/>
      <c r="DP255" s="222"/>
      <c r="DQ255" s="222"/>
      <c r="DR255" s="5"/>
      <c r="DS255" s="5"/>
      <c r="DT255" s="5"/>
      <c r="DU255" s="4"/>
      <c r="DV255" s="4"/>
      <c r="DW255" s="1"/>
      <c r="DX255" s="1"/>
      <c r="DY255" s="1"/>
      <c r="DZ255" s="1"/>
      <c r="EA255" s="1"/>
      <c r="EB255" s="1"/>
      <c r="EC255" s="1"/>
      <c r="ED255" s="222"/>
      <c r="EE255" s="242"/>
      <c r="EF255" s="279"/>
      <c r="EG255" s="279"/>
      <c r="EH255" s="279"/>
      <c r="EI255" s="222"/>
      <c r="EJ255" s="249"/>
      <c r="EK255"/>
      <c r="EL255"/>
      <c r="EM255" s="1"/>
      <c r="EN255" s="1"/>
      <c r="EO255"/>
      <c r="EP255"/>
      <c r="EQ255" s="16"/>
      <c r="ER255" s="331"/>
      <c r="ES255"/>
      <c r="ET255" s="16"/>
      <c r="EU255" s="16"/>
      <c r="EV255" s="16"/>
      <c r="EW255"/>
      <c r="EX255"/>
      <c r="EY255" s="16"/>
      <c r="EZ255" s="225"/>
      <c r="FA255"/>
      <c r="FB255" s="16"/>
      <c r="FC255" s="16"/>
      <c r="FD255"/>
      <c r="FE255"/>
      <c r="FF255"/>
      <c r="FG255" s="16"/>
      <c r="FH255" s="333"/>
      <c r="FI255" s="16"/>
      <c r="FJ255" s="16"/>
      <c r="FK255" s="16"/>
      <c r="FL255" s="1"/>
      <c r="FM255" s="1"/>
      <c r="FN255" s="16"/>
      <c r="FO255" s="16"/>
      <c r="FP255"/>
      <c r="FQ255"/>
      <c r="FR255" s="16"/>
      <c r="FS255" s="16"/>
      <c r="FT255" s="16"/>
      <c r="FU255" s="16"/>
      <c r="FV255" s="1"/>
      <c r="FW255" s="16"/>
      <c r="FX255" s="16"/>
      <c r="FY255" s="16"/>
      <c r="FZ255" s="16"/>
      <c r="GA255" s="16"/>
      <c r="GB255" s="16"/>
      <c r="GC255" s="16"/>
      <c r="GD255" s="221"/>
      <c r="GE255" s="16"/>
      <c r="GF255" s="16"/>
      <c r="GG255" s="280"/>
      <c r="GH255" s="16"/>
      <c r="GI255" s="16"/>
      <c r="GJ255" s="235"/>
      <c r="GK255" s="16"/>
      <c r="GL255" s="16"/>
      <c r="GM255" s="222"/>
      <c r="GN255" s="4"/>
      <c r="GO255" s="5"/>
      <c r="GP255" s="1"/>
      <c r="GQ255" s="17"/>
      <c r="GR255" s="17"/>
      <c r="GS255" s="1"/>
      <c r="GT255" s="226"/>
      <c r="GU255" s="16"/>
      <c r="GV255" s="15"/>
      <c r="GW255" s="15"/>
    </row>
    <row r="256" spans="2:224" s="189" customFormat="1" x14ac:dyDescent="0.25">
      <c r="C256" s="357"/>
      <c r="D256" s="363"/>
      <c r="U256" s="219"/>
      <c r="V256" s="219"/>
      <c r="W256" s="219"/>
      <c r="X256" s="219"/>
      <c r="Y256" s="219"/>
      <c r="Z256" s="256"/>
      <c r="AA256" s="219"/>
      <c r="AB256" s="219"/>
      <c r="AD256" s="253"/>
      <c r="AI256" s="219"/>
      <c r="AN256" s="219"/>
      <c r="BT256" s="219"/>
      <c r="BW256" s="219"/>
      <c r="BX256" s="219"/>
      <c r="BY256" s="219"/>
      <c r="BZ256" s="219"/>
      <c r="CA256" s="219"/>
      <c r="CC256" s="357"/>
      <c r="CE256" s="364" t="s">
        <v>1</v>
      </c>
      <c r="CF256" s="365">
        <v>46735.85</v>
      </c>
      <c r="CG256" s="308">
        <f>CF256/CASH_ON_HAND</f>
        <v>2.015270048907453E-2</v>
      </c>
      <c r="CH256" s="357"/>
      <c r="CI256" s="357"/>
      <c r="CJ256" s="357"/>
      <c r="CL256" s="357"/>
      <c r="CM256" s="357"/>
      <c r="CN256" s="357"/>
      <c r="CP256" s="357"/>
      <c r="CQ256" s="357"/>
      <c r="CR256" s="357"/>
      <c r="CS256" s="357"/>
      <c r="CT256" s="357"/>
      <c r="CU256" s="357"/>
      <c r="CV256" s="357"/>
      <c r="CW256" s="357"/>
      <c r="CX256" s="357"/>
      <c r="DE256" s="357"/>
      <c r="DF256" s="357"/>
      <c r="DG256" s="357"/>
      <c r="EJ256" s="258"/>
      <c r="EK256" s="357"/>
      <c r="EL256" s="357"/>
      <c r="EO256" s="357"/>
      <c r="EP256" s="357"/>
      <c r="EQ256" s="219"/>
      <c r="ER256" s="357"/>
      <c r="ES256" s="357"/>
      <c r="ET256" s="219"/>
      <c r="EU256" s="219"/>
      <c r="EV256" s="219"/>
      <c r="EW256" s="357"/>
      <c r="EX256" s="357"/>
      <c r="EY256" s="219"/>
      <c r="EZ256" s="219"/>
      <c r="FA256" s="357"/>
      <c r="FB256" s="219"/>
      <c r="FC256" s="219"/>
      <c r="FD256" s="357"/>
      <c r="FE256" s="357"/>
      <c r="FF256" s="357"/>
      <c r="FG256" s="219"/>
      <c r="FH256" s="219"/>
      <c r="FI256" s="219"/>
      <c r="FJ256" s="219"/>
      <c r="FK256" s="219"/>
      <c r="FN256" s="219"/>
      <c r="FO256" s="219"/>
      <c r="FP256" s="357"/>
      <c r="FQ256" s="357"/>
      <c r="FR256" s="219"/>
      <c r="FS256" s="219"/>
      <c r="FT256" s="219"/>
      <c r="FU256" s="219"/>
      <c r="FW256" s="219"/>
      <c r="FX256" s="219"/>
      <c r="FY256" s="219"/>
      <c r="FZ256" s="219"/>
      <c r="GA256" s="219"/>
      <c r="GB256" s="219"/>
      <c r="GC256" s="219"/>
      <c r="GD256" s="219"/>
      <c r="GE256" s="219"/>
      <c r="GF256" s="219"/>
      <c r="GG256" s="219"/>
      <c r="GH256" s="219"/>
      <c r="GI256" s="219"/>
      <c r="GJ256" s="219"/>
      <c r="GK256" s="219"/>
      <c r="GL256" s="219"/>
      <c r="GN256" s="219"/>
      <c r="GU256" s="219"/>
    </row>
    <row r="257" spans="2:205" s="189" customFormat="1" x14ac:dyDescent="0.25">
      <c r="C257" s="357"/>
      <c r="D257" s="363"/>
      <c r="U257" s="219"/>
      <c r="V257" s="219"/>
      <c r="W257" s="219"/>
      <c r="X257" s="219"/>
      <c r="Y257" s="219"/>
      <c r="Z257" s="256"/>
      <c r="AA257" s="219"/>
      <c r="AB257" s="219"/>
      <c r="AD257" s="253"/>
      <c r="AI257" s="219"/>
      <c r="AN257" s="219"/>
      <c r="BT257" s="219"/>
      <c r="BW257" s="219"/>
      <c r="BX257" s="219"/>
      <c r="BY257" s="219"/>
      <c r="BZ257" s="219"/>
      <c r="CA257" s="219"/>
      <c r="CC257" s="357"/>
      <c r="CE257" s="364" t="s">
        <v>890</v>
      </c>
      <c r="CF257" s="365">
        <v>0</v>
      </c>
      <c r="CG257" s="308">
        <f>CF257/CASH_ON_HAND</f>
        <v>0</v>
      </c>
      <c r="CH257" s="357"/>
      <c r="CI257" s="357"/>
      <c r="CJ257" s="357"/>
      <c r="CL257" s="357"/>
      <c r="CM257" s="357"/>
      <c r="CN257" s="357"/>
      <c r="CP257" s="357"/>
      <c r="CQ257" s="357"/>
      <c r="CR257" s="357"/>
      <c r="CS257" s="357"/>
      <c r="CT257" s="357"/>
      <c r="CU257" s="357"/>
      <c r="CV257" s="357"/>
      <c r="CW257" s="357"/>
      <c r="CX257" s="357"/>
      <c r="DE257" s="357"/>
      <c r="DF257" s="357"/>
      <c r="DG257" s="357"/>
      <c r="DH257" s="253"/>
      <c r="EJ257" s="258"/>
      <c r="EK257" s="357"/>
      <c r="EL257" s="357"/>
      <c r="EO257" s="357"/>
      <c r="EP257" s="357"/>
      <c r="EQ257" s="219"/>
      <c r="ER257" s="357"/>
      <c r="ES257" s="357"/>
      <c r="ET257" s="219"/>
      <c r="EU257" s="219"/>
      <c r="EV257" s="219"/>
      <c r="EW257" s="357"/>
      <c r="EX257" s="357"/>
      <c r="EY257" s="219"/>
      <c r="EZ257" s="219"/>
      <c r="FA257" s="357"/>
      <c r="FB257" s="219"/>
      <c r="FC257" s="219"/>
      <c r="FD257" s="357"/>
      <c r="FE257" s="357"/>
      <c r="FF257" s="357"/>
      <c r="FG257" s="219"/>
      <c r="FH257" s="219"/>
      <c r="FI257" s="219"/>
      <c r="FJ257" s="219"/>
      <c r="FK257" s="219"/>
      <c r="FN257" s="219"/>
      <c r="FO257" s="219"/>
      <c r="FP257" s="357"/>
      <c r="FQ257" s="357"/>
      <c r="FR257" s="219"/>
      <c r="FS257" s="219"/>
      <c r="FT257" s="219"/>
      <c r="FU257" s="219"/>
      <c r="FW257" s="219"/>
      <c r="FX257" s="219"/>
      <c r="FY257" s="219"/>
      <c r="FZ257" s="219"/>
      <c r="GA257" s="219"/>
      <c r="GB257" s="219"/>
      <c r="GC257" s="219"/>
      <c r="GD257" s="219"/>
      <c r="GE257" s="219"/>
      <c r="GF257" s="219"/>
      <c r="GG257" s="219"/>
      <c r="GH257" s="219"/>
      <c r="GI257" s="219"/>
      <c r="GJ257" s="219"/>
      <c r="GK257" s="219"/>
      <c r="GL257" s="219"/>
      <c r="GN257" s="219"/>
      <c r="GU257" s="219"/>
    </row>
    <row r="258" spans="2:205" s="189" customFormat="1" x14ac:dyDescent="0.25">
      <c r="C258" s="357"/>
      <c r="D258" s="363"/>
      <c r="U258" s="219"/>
      <c r="V258" s="219"/>
      <c r="W258" s="219"/>
      <c r="X258" s="219"/>
      <c r="Y258" s="219"/>
      <c r="Z258" s="256"/>
      <c r="AA258" s="219"/>
      <c r="AB258" s="219"/>
      <c r="AD258" s="253"/>
      <c r="AI258" s="219"/>
      <c r="AN258" s="219"/>
      <c r="BT258" s="219"/>
      <c r="BW258" s="219"/>
      <c r="BX258" s="219"/>
      <c r="BY258" s="219"/>
      <c r="BZ258" s="219"/>
      <c r="CA258" s="219"/>
      <c r="CC258" s="357"/>
      <c r="CE258" s="364" t="s">
        <v>679</v>
      </c>
      <c r="CF258" s="365">
        <v>0</v>
      </c>
      <c r="CG258" s="308"/>
      <c r="CH258" s="357"/>
      <c r="CI258" s="357"/>
      <c r="CJ258" s="357"/>
      <c r="CL258" s="357"/>
      <c r="CM258" s="357"/>
      <c r="CN258" s="357"/>
      <c r="CP258" s="357"/>
      <c r="CQ258" s="357"/>
      <c r="CR258" s="357"/>
      <c r="CS258" s="357"/>
      <c r="CT258" s="357"/>
      <c r="CU258" s="357"/>
      <c r="CV258" s="357"/>
      <c r="CW258" s="357"/>
      <c r="CX258" s="357"/>
      <c r="DE258" s="357"/>
      <c r="DF258" s="357"/>
      <c r="DG258" s="357"/>
      <c r="DH258" s="253"/>
      <c r="EJ258" s="258"/>
      <c r="EK258" s="357"/>
      <c r="EL258" s="357"/>
      <c r="EO258" s="357"/>
      <c r="EP258" s="357"/>
      <c r="EQ258" s="219"/>
      <c r="ER258" s="357"/>
      <c r="ES258" s="357"/>
      <c r="ET258" s="219"/>
      <c r="EU258" s="219"/>
      <c r="EV258" s="219"/>
      <c r="EW258" s="357"/>
      <c r="EX258" s="357"/>
      <c r="EY258" s="219"/>
      <c r="EZ258" s="219"/>
      <c r="FA258" s="357"/>
      <c r="FB258" s="219"/>
      <c r="FC258" s="219"/>
      <c r="FD258" s="357"/>
      <c r="FE258" s="357"/>
      <c r="FF258" s="357"/>
      <c r="FG258" s="219"/>
      <c r="FH258" s="219"/>
      <c r="FI258" s="219"/>
      <c r="FJ258" s="219"/>
      <c r="FK258" s="219"/>
      <c r="FN258" s="219"/>
      <c r="FO258" s="219"/>
      <c r="FP258" s="357"/>
      <c r="FQ258" s="357"/>
      <c r="FR258" s="219"/>
      <c r="FS258" s="219"/>
      <c r="FT258" s="219"/>
      <c r="FU258" s="219"/>
      <c r="FW258" s="219"/>
      <c r="FX258" s="219"/>
      <c r="FY258" s="219"/>
      <c r="FZ258" s="219"/>
      <c r="GA258" s="219"/>
      <c r="GB258" s="219"/>
      <c r="GC258" s="219"/>
      <c r="GD258" s="219"/>
      <c r="GE258" s="219"/>
      <c r="GF258" s="219"/>
      <c r="GG258" s="219"/>
      <c r="GH258" s="219"/>
      <c r="GI258" s="219"/>
      <c r="GJ258" s="219"/>
      <c r="GK258" s="219"/>
      <c r="GL258" s="219"/>
      <c r="GN258" s="219"/>
      <c r="GU258" s="219"/>
    </row>
    <row r="259" spans="2:205" s="189" customFormat="1" x14ac:dyDescent="0.25">
      <c r="C259" s="357"/>
      <c r="D259" s="363"/>
      <c r="U259" s="219"/>
      <c r="V259" s="219"/>
      <c r="W259" s="219"/>
      <c r="X259" s="219"/>
      <c r="Y259" s="219"/>
      <c r="Z259" s="256"/>
      <c r="AA259" s="219"/>
      <c r="AB259" s="219"/>
      <c r="AD259" s="253"/>
      <c r="AI259" s="219"/>
      <c r="AN259" s="219"/>
      <c r="BT259" s="219"/>
      <c r="BW259" s="219"/>
      <c r="BX259" s="219"/>
      <c r="BY259" s="219"/>
      <c r="BZ259" s="219"/>
      <c r="CA259" s="219"/>
      <c r="CC259" s="357"/>
      <c r="CE259" s="364" t="s">
        <v>938</v>
      </c>
      <c r="CF259" s="365">
        <v>2244887.13</v>
      </c>
      <c r="CG259" s="308">
        <f>CF259/CASH_ON_HAND</f>
        <v>0.96800503174047581</v>
      </c>
      <c r="CH259" s="357"/>
      <c r="CI259" s="357"/>
      <c r="CJ259" s="357"/>
      <c r="CL259" s="357"/>
      <c r="CM259" s="357"/>
      <c r="CN259" s="357"/>
      <c r="CP259" s="357"/>
      <c r="CQ259" s="357"/>
      <c r="CR259" s="357"/>
      <c r="CS259" s="357"/>
      <c r="CT259" s="357"/>
      <c r="CU259" s="357"/>
      <c r="CV259" s="357"/>
      <c r="CW259" s="357"/>
      <c r="CX259" s="357"/>
      <c r="DE259" s="357"/>
      <c r="DF259" s="357"/>
      <c r="DG259" s="357"/>
      <c r="DH259" s="253"/>
      <c r="EJ259" s="258"/>
      <c r="EK259" s="357"/>
      <c r="EL259" s="357"/>
      <c r="EO259" s="357"/>
      <c r="EP259" s="357"/>
      <c r="EQ259" s="219"/>
      <c r="ER259" s="357"/>
      <c r="ES259" s="357"/>
      <c r="ET259" s="219"/>
      <c r="EU259" s="219"/>
      <c r="EV259" s="219"/>
      <c r="EW259" s="357"/>
      <c r="EX259" s="357"/>
      <c r="EY259" s="219"/>
      <c r="EZ259" s="219"/>
      <c r="FA259" s="357"/>
      <c r="FB259" s="219"/>
      <c r="FC259" s="219"/>
      <c r="FD259" s="357"/>
      <c r="FE259" s="357"/>
      <c r="FF259" s="357"/>
      <c r="FG259" s="219"/>
      <c r="FH259" s="219"/>
      <c r="FI259" s="219"/>
      <c r="FJ259" s="219"/>
      <c r="FK259" s="219"/>
      <c r="FN259" s="219"/>
      <c r="FO259" s="219"/>
      <c r="FP259" s="357"/>
      <c r="FQ259" s="357"/>
      <c r="FR259" s="219"/>
      <c r="FS259" s="219"/>
      <c r="FT259" s="219"/>
      <c r="FU259" s="219"/>
      <c r="FW259" s="219"/>
      <c r="FX259" s="219"/>
      <c r="FY259" s="219"/>
      <c r="FZ259" s="219"/>
      <c r="GA259" s="219"/>
      <c r="GB259" s="219"/>
      <c r="GC259" s="219"/>
      <c r="GD259" s="219"/>
      <c r="GE259" s="219"/>
      <c r="GF259" s="219"/>
      <c r="GG259" s="219"/>
      <c r="GH259" s="219"/>
      <c r="GI259" s="219"/>
      <c r="GJ259" s="219"/>
      <c r="GK259" s="219"/>
      <c r="GL259" s="219"/>
      <c r="GN259" s="219"/>
      <c r="GU259" s="219"/>
    </row>
    <row r="260" spans="2:205" s="189" customFormat="1" ht="15.75" thickBot="1" x14ac:dyDescent="0.3">
      <c r="C260" s="357"/>
      <c r="D260" s="363"/>
      <c r="U260" s="219"/>
      <c r="V260" s="219"/>
      <c r="W260" s="219"/>
      <c r="X260" s="219"/>
      <c r="Y260" s="219"/>
      <c r="Z260" s="256"/>
      <c r="AA260" s="219"/>
      <c r="AB260" s="219"/>
      <c r="AD260" s="253"/>
      <c r="AI260" s="219"/>
      <c r="AN260" s="219"/>
      <c r="BT260" s="219"/>
      <c r="BW260" s="219"/>
      <c r="BX260" s="219"/>
      <c r="BY260" s="219"/>
      <c r="BZ260" s="219"/>
      <c r="CA260" s="219"/>
      <c r="CC260" s="357"/>
      <c r="CE260" s="266" t="s">
        <v>681</v>
      </c>
      <c r="CF260" s="370">
        <f>SUM(CF253:CF259)</f>
        <v>2319086.2199999997</v>
      </c>
      <c r="CG260" s="357"/>
      <c r="CH260" s="357"/>
      <c r="CI260" s="357"/>
      <c r="CJ260" s="357"/>
      <c r="CL260" s="357"/>
      <c r="CM260" s="357"/>
      <c r="CN260" s="357"/>
      <c r="CP260" s="357"/>
      <c r="CQ260" s="357"/>
      <c r="CR260" s="357"/>
      <c r="CS260" s="357"/>
      <c r="CT260" s="357"/>
      <c r="CU260" s="357"/>
      <c r="CV260" s="357"/>
      <c r="CW260" s="357"/>
      <c r="CX260" s="357"/>
      <c r="DE260" s="357"/>
      <c r="DF260" s="357"/>
      <c r="DG260" s="357"/>
      <c r="EJ260" s="258"/>
      <c r="EK260" s="357"/>
      <c r="EL260" s="357"/>
      <c r="EO260" s="357"/>
      <c r="EP260" s="357"/>
      <c r="EQ260" s="219"/>
      <c r="ER260" s="357"/>
      <c r="ES260" s="357"/>
      <c r="ET260" s="219"/>
      <c r="EU260" s="219"/>
      <c r="EV260" s="219"/>
      <c r="EW260" s="357"/>
      <c r="EX260" s="357"/>
      <c r="EY260" s="219"/>
      <c r="EZ260" s="219"/>
      <c r="FA260" s="357"/>
      <c r="FB260" s="219"/>
      <c r="FC260" s="219"/>
      <c r="FD260" s="357"/>
      <c r="FE260" s="357"/>
      <c r="FF260" s="357"/>
      <c r="FG260" s="219"/>
      <c r="FH260" s="219"/>
      <c r="FI260" s="219"/>
      <c r="FJ260" s="219"/>
      <c r="FK260" s="219"/>
      <c r="FN260" s="219"/>
      <c r="FO260" s="219"/>
      <c r="FP260" s="357"/>
      <c r="FQ260" s="357"/>
      <c r="FR260" s="219"/>
      <c r="FS260" s="219"/>
      <c r="FT260" s="219"/>
      <c r="FU260" s="219"/>
      <c r="FW260" s="219"/>
      <c r="FX260" s="219"/>
      <c r="FY260" s="219"/>
      <c r="FZ260" s="219"/>
      <c r="GA260" s="219"/>
      <c r="GB260" s="219"/>
      <c r="GC260" s="219"/>
      <c r="GD260" s="219"/>
      <c r="GE260" s="219"/>
      <c r="GF260" s="219"/>
      <c r="GG260" s="219"/>
      <c r="GH260" s="219"/>
      <c r="GI260" s="219"/>
      <c r="GJ260" s="219"/>
      <c r="GK260" s="219"/>
      <c r="GL260" s="219"/>
      <c r="GN260" s="219"/>
      <c r="GU260" s="219"/>
    </row>
    <row r="261" spans="2:205" s="189" customFormat="1" ht="15.75" thickTop="1" x14ac:dyDescent="0.25">
      <c r="C261" s="357"/>
      <c r="D261" s="363"/>
      <c r="U261" s="219"/>
      <c r="V261" s="219"/>
      <c r="W261" s="219"/>
      <c r="X261" s="219"/>
      <c r="Y261" s="219"/>
      <c r="Z261" s="256"/>
      <c r="AA261" s="219"/>
      <c r="AB261" s="219"/>
      <c r="AD261" s="253"/>
      <c r="AI261" s="219"/>
      <c r="AN261" s="219"/>
      <c r="BT261" s="219"/>
      <c r="BW261" s="219"/>
      <c r="BX261" s="219"/>
      <c r="BY261" s="219"/>
      <c r="BZ261" s="219"/>
      <c r="CA261" s="219"/>
      <c r="CC261" s="357"/>
      <c r="CE261" s="266" t="s">
        <v>682</v>
      </c>
      <c r="CF261" s="383">
        <f ca="1">SnapshotTable[[#Totals],[SP Cash Reserve]] * -1</f>
        <v>-102400</v>
      </c>
      <c r="CG261" s="357"/>
      <c r="CH261" s="357"/>
      <c r="CI261" s="364"/>
      <c r="CJ261" s="357"/>
      <c r="CL261" s="357"/>
      <c r="CM261" s="357"/>
      <c r="CN261" s="357"/>
      <c r="CP261" s="357"/>
      <c r="CQ261" s="357"/>
      <c r="CR261" s="357"/>
      <c r="CS261" s="357"/>
      <c r="CT261" s="357"/>
      <c r="CU261" s="357"/>
      <c r="CV261" s="357"/>
      <c r="CW261" s="357"/>
      <c r="CX261" s="357"/>
      <c r="DE261" s="357"/>
      <c r="DF261" s="357"/>
      <c r="DG261" s="357"/>
      <c r="EJ261" s="258"/>
      <c r="EK261" s="357"/>
      <c r="EL261" s="357"/>
      <c r="EO261" s="357"/>
      <c r="EP261" s="357"/>
      <c r="EQ261" s="219"/>
      <c r="ER261" s="357"/>
      <c r="ES261" s="357"/>
      <c r="ET261" s="219"/>
      <c r="EU261" s="219"/>
      <c r="EV261" s="219"/>
      <c r="EW261" s="357"/>
      <c r="EX261" s="357"/>
      <c r="EY261" s="219"/>
      <c r="EZ261" s="219"/>
      <c r="FA261" s="357"/>
      <c r="FB261" s="219"/>
      <c r="FC261" s="219"/>
      <c r="FD261" s="357"/>
      <c r="FE261" s="357"/>
      <c r="FF261" s="357"/>
      <c r="FG261" s="219"/>
      <c r="FH261" s="219"/>
      <c r="FI261" s="219"/>
      <c r="FJ261" s="219"/>
      <c r="FK261" s="219"/>
      <c r="FN261" s="219"/>
      <c r="FO261" s="219"/>
      <c r="FP261" s="357"/>
      <c r="FQ261" s="357"/>
      <c r="FR261" s="219"/>
      <c r="FS261" s="219"/>
      <c r="FT261" s="219"/>
      <c r="FU261" s="219"/>
      <c r="FW261" s="219"/>
      <c r="FX261" s="219"/>
      <c r="FY261" s="219"/>
      <c r="FZ261" s="219"/>
      <c r="GA261" s="219"/>
      <c r="GB261" s="219"/>
      <c r="GC261" s="219"/>
      <c r="GD261" s="219"/>
      <c r="GE261" s="219"/>
      <c r="GF261" s="219"/>
      <c r="GG261" s="219"/>
      <c r="GH261" s="219"/>
      <c r="GI261" s="219"/>
      <c r="GJ261" s="219"/>
      <c r="GK261" s="219"/>
      <c r="GL261" s="219"/>
      <c r="GN261" s="219"/>
      <c r="GU261" s="219"/>
    </row>
    <row r="262" spans="2:205" s="189" customFormat="1" ht="15.75" thickBot="1" x14ac:dyDescent="0.3">
      <c r="C262" s="357"/>
      <c r="D262" s="363"/>
      <c r="U262" s="219"/>
      <c r="V262" s="219"/>
      <c r="W262" s="219"/>
      <c r="X262" s="219"/>
      <c r="Y262" s="219"/>
      <c r="Z262" s="256"/>
      <c r="AA262" s="219"/>
      <c r="AB262" s="219"/>
      <c r="AD262" s="253"/>
      <c r="AI262" s="219"/>
      <c r="AN262" s="219"/>
      <c r="BT262" s="219"/>
      <c r="BW262" s="219"/>
      <c r="BX262" s="219"/>
      <c r="BY262" s="219"/>
      <c r="BZ262" s="219"/>
      <c r="CA262" s="219"/>
      <c r="CC262" s="357"/>
      <c r="CE262" s="266" t="s">
        <v>680</v>
      </c>
      <c r="CF262" s="370">
        <f ca="1">CASH_ON_HAND+PUT_RESERVE_POTENTIAL</f>
        <v>2216686.2199999997</v>
      </c>
      <c r="CG262" s="357"/>
      <c r="CH262" s="357"/>
      <c r="CI262" s="364"/>
      <c r="CJ262" s="357"/>
      <c r="CL262" s="357"/>
      <c r="CM262" s="357"/>
      <c r="CN262" s="357"/>
      <c r="CP262" s="357"/>
      <c r="CQ262" s="357"/>
      <c r="CR262" s="357"/>
      <c r="CS262" s="357"/>
      <c r="CT262" s="357"/>
      <c r="CU262" s="357"/>
      <c r="CV262" s="357"/>
      <c r="CW262" s="357"/>
      <c r="CX262" s="357"/>
      <c r="DE262" s="357"/>
      <c r="DF262" s="357"/>
      <c r="DG262" s="357"/>
      <c r="EJ262" s="258"/>
      <c r="EK262" s="357"/>
      <c r="EL262" s="357"/>
      <c r="EO262" s="357"/>
      <c r="EP262" s="357"/>
      <c r="EQ262" s="219"/>
      <c r="ER262" s="357"/>
      <c r="ES262" s="357"/>
      <c r="ET262" s="219"/>
      <c r="EU262" s="219"/>
      <c r="EV262" s="219"/>
      <c r="EW262" s="357"/>
      <c r="EX262" s="357"/>
      <c r="EY262" s="219"/>
      <c r="EZ262" s="219"/>
      <c r="FA262" s="357"/>
      <c r="FB262" s="219"/>
      <c r="FC262" s="219"/>
      <c r="FD262" s="357"/>
      <c r="FE262" s="357"/>
      <c r="FF262" s="357"/>
      <c r="FG262" s="219"/>
      <c r="FH262" s="219"/>
      <c r="FI262" s="219"/>
      <c r="FJ262" s="219"/>
      <c r="FK262" s="219"/>
      <c r="FN262" s="219"/>
      <c r="FO262" s="219"/>
      <c r="FP262" s="357"/>
      <c r="FQ262" s="357"/>
      <c r="FR262" s="219"/>
      <c r="FS262" s="219"/>
      <c r="FT262" s="219"/>
      <c r="FU262" s="219"/>
      <c r="FW262" s="219"/>
      <c r="FX262" s="219"/>
      <c r="FY262" s="219"/>
      <c r="FZ262" s="219"/>
      <c r="GA262" s="219"/>
      <c r="GB262" s="219"/>
      <c r="GC262" s="219"/>
      <c r="GD262" s="219"/>
      <c r="GE262" s="219"/>
      <c r="GF262" s="219"/>
      <c r="GG262" s="219"/>
      <c r="GH262" s="219"/>
      <c r="GI262" s="219"/>
      <c r="GJ262" s="219"/>
      <c r="GK262" s="219"/>
      <c r="GL262" s="219"/>
      <c r="GN262" s="219"/>
      <c r="GU262" s="219"/>
    </row>
    <row r="263" spans="2:205" s="189" customFormat="1" ht="15.75" thickTop="1" x14ac:dyDescent="0.25">
      <c r="D263" s="363"/>
      <c r="U263" s="219"/>
      <c r="V263" s="219"/>
      <c r="W263" s="219"/>
      <c r="X263" s="219"/>
      <c r="Y263" s="219"/>
      <c r="Z263" s="256"/>
      <c r="AA263" s="219"/>
      <c r="AB263" s="219"/>
      <c r="AD263" s="253"/>
      <c r="AI263" s="219"/>
      <c r="AN263" s="219"/>
      <c r="BT263" s="219"/>
      <c r="BW263" s="219"/>
      <c r="BX263" s="219"/>
      <c r="BY263" s="219"/>
      <c r="BZ263" s="219"/>
      <c r="CA263" s="219"/>
      <c r="CC263" s="357"/>
      <c r="CD263" s="366"/>
      <c r="CE263" s="366"/>
      <c r="CG263" s="357"/>
      <c r="CH263" s="357"/>
      <c r="CI263" s="357"/>
      <c r="CJ263" s="357"/>
      <c r="CL263" s="357"/>
      <c r="CM263" s="357"/>
      <c r="CN263" s="357"/>
      <c r="CP263" s="357"/>
      <c r="CQ263" s="357"/>
      <c r="CR263" s="357"/>
      <c r="CS263" s="357"/>
      <c r="CT263" s="357"/>
      <c r="CU263" s="357"/>
      <c r="CV263" s="357"/>
      <c r="CW263" s="357"/>
      <c r="CX263" s="357"/>
      <c r="DE263" s="357"/>
      <c r="DF263" s="357"/>
      <c r="DG263" s="357"/>
      <c r="EH263" s="253"/>
      <c r="EJ263" s="357"/>
      <c r="EK263" s="357"/>
      <c r="EL263" s="357"/>
      <c r="EO263" s="357"/>
      <c r="EP263" s="357"/>
      <c r="EQ263" s="219"/>
      <c r="ER263" s="357"/>
      <c r="ES263" s="357"/>
      <c r="ET263" s="219"/>
      <c r="EU263" s="219"/>
      <c r="EV263" s="219"/>
      <c r="EW263" s="357"/>
      <c r="EX263" s="357"/>
      <c r="EY263" s="219"/>
      <c r="EZ263" s="219"/>
      <c r="FA263" s="219"/>
      <c r="FB263" s="219"/>
      <c r="FC263" s="219"/>
      <c r="FD263" s="357"/>
      <c r="FE263" s="357"/>
      <c r="FF263" s="357"/>
      <c r="FG263" s="219"/>
      <c r="FH263" s="219"/>
      <c r="FI263" s="219"/>
      <c r="FJ263" s="219"/>
      <c r="FK263" s="219"/>
      <c r="FN263" s="219"/>
      <c r="FO263" s="219"/>
      <c r="FP263" s="357"/>
      <c r="FQ263" s="357"/>
      <c r="FR263" s="219"/>
      <c r="FS263" s="219"/>
      <c r="FT263" s="219"/>
      <c r="FU263" s="219"/>
      <c r="FW263" s="219"/>
      <c r="FX263" s="219"/>
      <c r="FY263" s="219"/>
      <c r="FZ263" s="219"/>
      <c r="GA263" s="219"/>
      <c r="GB263" s="219"/>
      <c r="GC263" s="219"/>
      <c r="GD263" s="219"/>
      <c r="GE263" s="219"/>
      <c r="GF263" s="219"/>
      <c r="GG263" s="219"/>
      <c r="GH263" s="219"/>
      <c r="GI263" s="219"/>
      <c r="GJ263" s="219"/>
      <c r="GK263" s="219"/>
      <c r="GL263" s="219"/>
      <c r="GN263" s="219"/>
      <c r="GU263" s="219"/>
    </row>
    <row r="264" spans="2:205" x14ac:dyDescent="0.25">
      <c r="B264" s="189"/>
      <c r="D264" s="363"/>
      <c r="E264" s="189"/>
      <c r="F264" s="189"/>
      <c r="G264" s="189"/>
      <c r="H264" s="189"/>
      <c r="I264" s="189"/>
      <c r="J264" s="189"/>
      <c r="K264" s="189"/>
      <c r="L264" s="189"/>
      <c r="M264" s="189"/>
      <c r="N264" s="189"/>
      <c r="O264" s="189"/>
      <c r="P264" s="189"/>
      <c r="Q264" s="189"/>
      <c r="R264" s="189"/>
      <c r="S264" s="189"/>
      <c r="T264" s="189"/>
      <c r="U264" s="219"/>
      <c r="AA264" s="219"/>
      <c r="AB264" s="219"/>
      <c r="AC264" s="189"/>
      <c r="AD264" s="253"/>
      <c r="AE264" s="189"/>
      <c r="AF264" s="189"/>
      <c r="AG264" s="189"/>
      <c r="AH264" s="189"/>
      <c r="AI264" s="219"/>
      <c r="AJ264" s="189"/>
      <c r="AK264" s="189"/>
      <c r="AL264" s="189"/>
      <c r="AM264" s="189"/>
      <c r="AN264" s="219"/>
      <c r="AO264" s="189"/>
      <c r="AP264" s="189"/>
      <c r="AQ264" s="189"/>
      <c r="AR264" s="189"/>
      <c r="AS264" s="189"/>
      <c r="AT264" s="189"/>
      <c r="AU264" s="189"/>
      <c r="AV264" s="189"/>
      <c r="AW264" s="189"/>
      <c r="AX264" s="189"/>
      <c r="AY264" s="189"/>
      <c r="AZ264" s="189"/>
      <c r="BA264" s="189"/>
      <c r="BB264" s="189"/>
      <c r="BC264" s="189"/>
      <c r="BD264" s="189"/>
      <c r="BE264" s="189"/>
      <c r="BF264" s="189"/>
      <c r="BG264" s="189"/>
      <c r="BH264" s="189"/>
      <c r="BI264" s="189"/>
      <c r="BJ264" s="189"/>
      <c r="BK264" s="189"/>
      <c r="BL264" s="189"/>
      <c r="BM264" s="189"/>
      <c r="BN264" s="189"/>
      <c r="BO264" s="189"/>
      <c r="BP264" s="189"/>
      <c r="BQ264" s="189"/>
      <c r="BR264" s="189"/>
      <c r="BS264" s="189"/>
      <c r="BT264" s="219"/>
      <c r="BU264" s="189"/>
      <c r="BV264" s="189"/>
      <c r="BW264" s="219"/>
      <c r="BX264" s="219"/>
      <c r="BY264" s="219"/>
      <c r="BZ264" s="219"/>
      <c r="CA264" s="219"/>
      <c r="CB264" s="189"/>
      <c r="CC264" s="357"/>
      <c r="CD264" s="366"/>
      <c r="CE264" s="366"/>
      <c r="CF264" s="189"/>
      <c r="CG264" s="357"/>
      <c r="CH264" s="357"/>
      <c r="CI264" s="357"/>
      <c r="CJ264" s="357"/>
      <c r="CK264" s="189"/>
      <c r="CL264" s="357"/>
      <c r="CM264" s="357"/>
      <c r="CN264" s="357"/>
      <c r="CO264" s="189"/>
      <c r="CP264" s="357"/>
      <c r="CQ264" s="357"/>
      <c r="CR264" s="357"/>
      <c r="CS264" s="357"/>
      <c r="CT264" s="357"/>
      <c r="CU264" s="357"/>
      <c r="CV264" s="357"/>
      <c r="CW264" s="357"/>
      <c r="CX264" s="357"/>
      <c r="CY264" s="189"/>
      <c r="CZ264" s="189"/>
      <c r="DA264" s="189"/>
      <c r="DB264" s="189"/>
      <c r="DC264" s="189"/>
      <c r="DD264" s="189"/>
      <c r="DE264" s="357"/>
      <c r="DF264" s="357"/>
      <c r="DG264" s="357"/>
      <c r="DH264" s="189"/>
      <c r="DI264" s="189"/>
      <c r="DJ264" s="189"/>
      <c r="DK264" s="189"/>
      <c r="DL264" s="189"/>
      <c r="DM264" s="189"/>
      <c r="DN264" s="189"/>
      <c r="DO264" s="189"/>
      <c r="DP264" s="189"/>
      <c r="DQ264" s="189"/>
      <c r="DR264" s="189"/>
      <c r="DS264" s="189"/>
      <c r="DT264" s="189"/>
      <c r="DU264" s="189"/>
      <c r="DV264" s="189"/>
      <c r="DW264" s="189"/>
      <c r="DX264" s="189"/>
      <c r="DY264" s="189"/>
      <c r="DZ264" s="189"/>
      <c r="EA264" s="189"/>
      <c r="EB264" s="189"/>
      <c r="EC264" s="189"/>
      <c r="ED264" s="189"/>
      <c r="EE264" s="189"/>
      <c r="EF264" s="189"/>
      <c r="EG264" s="189"/>
      <c r="EH264" s="189"/>
      <c r="EI264" s="189"/>
      <c r="EJ264" s="357"/>
      <c r="EK264" s="357"/>
      <c r="EL264" s="357"/>
      <c r="EM264" s="189"/>
      <c r="EN264" s="189"/>
      <c r="EO264" s="357"/>
      <c r="EP264" s="357"/>
      <c r="EQ264" s="219"/>
      <c r="ER264" s="357"/>
      <c r="ES264" s="357"/>
      <c r="ET264" s="219"/>
      <c r="EU264" s="219"/>
      <c r="EV264" s="219"/>
      <c r="EW264" s="357"/>
      <c r="EX264" s="357"/>
      <c r="EY264" s="219"/>
      <c r="EZ264" s="219"/>
      <c r="FA264" s="219"/>
      <c r="FB264" s="219"/>
      <c r="FC264" s="219"/>
      <c r="FD264" s="357"/>
      <c r="FE264" s="189"/>
      <c r="FF264" s="357"/>
      <c r="FG264" s="219"/>
      <c r="FH264" s="219"/>
      <c r="FI264" s="219"/>
      <c r="FJ264" s="219"/>
      <c r="FK264" s="219"/>
      <c r="FL264" s="189"/>
      <c r="FM264" s="189"/>
      <c r="FN264" s="219"/>
      <c r="FO264" s="219"/>
      <c r="FP264" s="357"/>
      <c r="FQ264" s="357"/>
      <c r="FR264" s="219"/>
      <c r="FS264" s="219"/>
      <c r="FT264" s="219"/>
      <c r="FU264" s="219"/>
      <c r="FV264" s="189"/>
      <c r="FW264" s="219"/>
      <c r="FX264" s="219"/>
      <c r="FY264" s="219"/>
      <c r="FZ264" s="219"/>
      <c r="GA264" s="219"/>
      <c r="GB264" s="219"/>
      <c r="GC264" s="219"/>
      <c r="GD264" s="219"/>
      <c r="GE264" s="219"/>
      <c r="GF264" s="219"/>
      <c r="GG264" s="219"/>
      <c r="GH264" s="219"/>
      <c r="GI264" s="219"/>
      <c r="GJ264" s="219"/>
      <c r="GK264" s="219"/>
      <c r="GL264" s="219"/>
      <c r="GM264" s="189"/>
      <c r="GN264" s="219"/>
      <c r="GO264" s="189"/>
      <c r="GP264" s="189"/>
      <c r="GQ264" s="189"/>
      <c r="GR264" s="189"/>
      <c r="GS264" s="189"/>
      <c r="GT264" s="189"/>
      <c r="GU264" s="219"/>
      <c r="GV264" s="189"/>
      <c r="GW264" s="189"/>
    </row>
    <row r="265" spans="2:205" x14ac:dyDescent="0.25">
      <c r="B265" s="189"/>
      <c r="D265" s="363"/>
      <c r="E265" s="189"/>
      <c r="F265" s="189"/>
      <c r="G265" s="189"/>
      <c r="H265" s="189"/>
      <c r="I265" s="189"/>
      <c r="J265" s="189"/>
      <c r="K265" s="189"/>
      <c r="L265" s="189"/>
      <c r="M265" s="189"/>
      <c r="N265" s="189"/>
      <c r="O265" s="189"/>
      <c r="P265" s="189"/>
      <c r="Q265" s="189"/>
      <c r="R265" s="189"/>
      <c r="S265" s="189"/>
      <c r="T265" s="189"/>
      <c r="U265" s="219"/>
      <c r="AA265" s="219"/>
      <c r="AB265" s="219"/>
      <c r="AC265" s="189"/>
      <c r="AD265" s="253"/>
      <c r="AE265" s="189"/>
      <c r="AF265" s="189"/>
      <c r="AG265" s="189"/>
      <c r="AH265" s="189"/>
      <c r="AI265" s="219"/>
      <c r="AJ265" s="189"/>
      <c r="AK265" s="189"/>
      <c r="AL265" s="189"/>
      <c r="AM265" s="189"/>
      <c r="AN265" s="219"/>
      <c r="AO265" s="189"/>
      <c r="AP265" s="189"/>
      <c r="AQ265" s="189"/>
      <c r="AR265" s="189"/>
      <c r="AS265" s="189"/>
      <c r="AT265" s="189"/>
      <c r="AU265" s="189"/>
      <c r="AV265" s="189"/>
      <c r="AW265" s="189"/>
      <c r="AX265" s="189"/>
      <c r="AY265" s="189"/>
      <c r="AZ265" s="189"/>
      <c r="BA265" s="189"/>
      <c r="BB265" s="189"/>
      <c r="BC265" s="189"/>
      <c r="BD265" s="189"/>
      <c r="BE265" s="189"/>
      <c r="BF265" s="189"/>
      <c r="BG265" s="189"/>
      <c r="BH265" s="189"/>
      <c r="BI265" s="189"/>
      <c r="BJ265" s="189"/>
      <c r="BK265" s="189"/>
      <c r="BL265" s="189"/>
      <c r="BM265" s="189"/>
      <c r="BN265" s="189"/>
      <c r="BO265" s="189"/>
      <c r="BP265" s="189"/>
      <c r="BQ265" s="189"/>
      <c r="BR265" s="189"/>
      <c r="BS265" s="189"/>
      <c r="BT265" s="219"/>
      <c r="BU265" s="189"/>
      <c r="BV265" s="189"/>
      <c r="BW265" s="219"/>
      <c r="BX265" s="219"/>
      <c r="BY265" s="219"/>
      <c r="BZ265" s="219"/>
      <c r="CA265" s="219"/>
      <c r="CB265" s="189"/>
      <c r="CC265" s="357"/>
      <c r="CD265" s="189"/>
      <c r="CE265" s="189"/>
      <c r="CF265" s="189"/>
      <c r="CG265" s="357"/>
      <c r="CH265" s="357"/>
      <c r="CI265" s="357"/>
      <c r="CJ265" s="357"/>
      <c r="CK265" s="189"/>
      <c r="CL265" s="357"/>
      <c r="CM265" s="357"/>
      <c r="CN265" s="357"/>
      <c r="CO265" s="189"/>
      <c r="CP265" s="357"/>
      <c r="CQ265" s="357"/>
      <c r="CR265" s="357"/>
      <c r="CS265" s="357"/>
      <c r="CT265" s="357"/>
      <c r="CU265" s="357"/>
      <c r="CV265" s="357"/>
      <c r="CW265" s="357"/>
      <c r="CX265" s="357"/>
      <c r="CY265" s="189"/>
      <c r="CZ265" s="189"/>
      <c r="DA265" s="189"/>
      <c r="DB265" s="189"/>
      <c r="DC265" s="189"/>
      <c r="DD265" s="189"/>
      <c r="DE265" s="357"/>
      <c r="DF265" s="357"/>
      <c r="DG265" s="357"/>
      <c r="DH265" s="189"/>
      <c r="DI265" s="189"/>
      <c r="DJ265" s="189"/>
      <c r="DK265" s="189"/>
      <c r="DL265" s="189"/>
      <c r="DM265" s="189"/>
      <c r="DN265" s="189"/>
      <c r="DO265" s="189"/>
      <c r="DP265" s="189"/>
      <c r="DQ265" s="189"/>
      <c r="DR265" s="189"/>
      <c r="DS265" s="189"/>
      <c r="DT265" s="189"/>
      <c r="DU265" s="189"/>
      <c r="DV265" s="189"/>
      <c r="DW265" s="189"/>
      <c r="DX265" s="189"/>
      <c r="DY265" s="189"/>
      <c r="DZ265" s="189"/>
      <c r="EA265" s="189"/>
      <c r="EB265" s="189"/>
      <c r="EC265" s="189"/>
      <c r="ED265" s="189"/>
      <c r="EE265" s="189"/>
      <c r="EF265" s="189"/>
      <c r="EG265" s="189"/>
      <c r="EH265" s="189"/>
      <c r="EI265" s="189"/>
      <c r="EJ265" s="258"/>
      <c r="EK265" s="357"/>
      <c r="EL265" s="357"/>
      <c r="EM265" s="189"/>
      <c r="EN265" s="189"/>
      <c r="EO265" s="357"/>
      <c r="EP265" s="357"/>
      <c r="EQ265" s="219"/>
      <c r="ER265" s="357"/>
      <c r="ES265" s="357"/>
      <c r="ET265" s="219"/>
      <c r="EU265" s="219"/>
      <c r="EV265" s="219"/>
      <c r="EW265" s="357"/>
      <c r="EX265" s="357"/>
      <c r="EY265" s="219"/>
      <c r="EZ265" s="219"/>
      <c r="FA265" s="219"/>
      <c r="FB265" s="219"/>
      <c r="FC265" s="219"/>
      <c r="FD265" s="357"/>
      <c r="FE265" s="357"/>
      <c r="FF265" s="357"/>
      <c r="FG265" s="219"/>
      <c r="FH265" s="219"/>
      <c r="FI265" s="219"/>
      <c r="FJ265" s="219"/>
      <c r="FK265" s="219"/>
      <c r="FL265" s="189"/>
      <c r="FM265" s="189"/>
      <c r="FN265" s="219"/>
      <c r="FO265" s="219"/>
      <c r="FP265" s="357"/>
      <c r="FQ265" s="357"/>
      <c r="FR265" s="219"/>
      <c r="FS265" s="219"/>
      <c r="FT265" s="219"/>
      <c r="FU265" s="219"/>
      <c r="FV265" s="189"/>
      <c r="FW265" s="219"/>
      <c r="FX265" s="219"/>
      <c r="FY265" s="219"/>
      <c r="FZ265" s="219"/>
      <c r="GA265" s="219"/>
      <c r="GB265" s="219"/>
      <c r="GC265" s="219"/>
      <c r="GD265" s="219"/>
      <c r="GE265" s="219"/>
      <c r="GF265" s="219"/>
      <c r="GG265" s="219"/>
      <c r="GH265" s="219"/>
      <c r="GI265" s="219"/>
      <c r="GJ265" s="219"/>
      <c r="GK265" s="219"/>
      <c r="GL265" s="219"/>
      <c r="GM265" s="189"/>
      <c r="GN265" s="219"/>
      <c r="GO265" s="189"/>
      <c r="GP265" s="189"/>
      <c r="GQ265" s="189"/>
      <c r="GR265" s="189"/>
      <c r="GS265" s="189"/>
      <c r="GT265" s="189"/>
      <c r="GU265" s="219"/>
      <c r="GV265" s="189"/>
      <c r="GW265" s="189"/>
    </row>
    <row r="266" spans="2:205" x14ac:dyDescent="0.25">
      <c r="B266" s="189"/>
      <c r="D266" s="363"/>
      <c r="E266" s="189"/>
      <c r="F266" s="189"/>
      <c r="G266" s="189"/>
      <c r="H266" s="189"/>
      <c r="I266" s="189"/>
      <c r="J266" s="189"/>
      <c r="K266" s="189"/>
      <c r="L266" s="189"/>
      <c r="M266" s="189"/>
      <c r="N266" s="189"/>
      <c r="O266" s="189"/>
      <c r="P266" s="189"/>
      <c r="Q266" s="189"/>
      <c r="R266" s="189"/>
      <c r="S266" s="189"/>
      <c r="T266" s="189"/>
      <c r="U266" s="219"/>
      <c r="AA266" s="219"/>
      <c r="AB266" s="219"/>
      <c r="AC266" s="189"/>
      <c r="AD266" s="253"/>
      <c r="AE266" s="189"/>
      <c r="AF266" s="189"/>
      <c r="AG266" s="189"/>
      <c r="AH266" s="189"/>
      <c r="AI266" s="219"/>
      <c r="AJ266" s="189"/>
      <c r="AK266" s="189"/>
      <c r="AL266" s="189"/>
      <c r="AM266" s="189"/>
      <c r="AN266" s="219"/>
      <c r="AO266" s="189"/>
      <c r="AP266" s="189"/>
      <c r="AQ266" s="189"/>
      <c r="AR266" s="189"/>
      <c r="AS266" s="189"/>
      <c r="AT266" s="189"/>
      <c r="AU266" s="189"/>
      <c r="AV266" s="189"/>
      <c r="AW266" s="189"/>
      <c r="AX266" s="189"/>
      <c r="AY266" s="189"/>
      <c r="AZ266" s="189"/>
      <c r="BA266" s="189"/>
      <c r="BB266" s="189"/>
      <c r="BC266" s="189"/>
      <c r="BD266" s="189"/>
      <c r="BE266" s="189"/>
      <c r="BF266" s="189"/>
      <c r="BG266" s="189"/>
      <c r="BH266" s="189"/>
      <c r="BI266" s="189"/>
      <c r="BJ266" s="189"/>
      <c r="BK266" s="189"/>
      <c r="BL266" s="189"/>
      <c r="BM266" s="189"/>
      <c r="BN266" s="189"/>
      <c r="BO266" s="189"/>
      <c r="BP266" s="189"/>
      <c r="BQ266" s="189"/>
      <c r="BR266" s="189"/>
      <c r="BS266" s="189"/>
      <c r="BT266" s="219"/>
      <c r="BU266" s="189"/>
      <c r="BV266" s="189"/>
      <c r="BW266" s="219"/>
      <c r="BX266" s="219"/>
      <c r="BY266" s="219"/>
      <c r="BZ266" s="219"/>
      <c r="CA266" s="219"/>
      <c r="CB266" s="189"/>
      <c r="CC266" s="357"/>
      <c r="CD266" s="189"/>
      <c r="CE266" s="189"/>
      <c r="CF266" s="189"/>
      <c r="CG266" s="357"/>
      <c r="CH266" s="357"/>
      <c r="CI266" s="357"/>
      <c r="CJ266" s="357"/>
      <c r="CK266" s="189"/>
      <c r="CL266" s="357"/>
      <c r="CM266" s="357"/>
      <c r="CN266" s="357"/>
      <c r="CO266" s="189"/>
      <c r="CP266" s="357"/>
      <c r="CQ266" s="357"/>
      <c r="CR266" s="357"/>
      <c r="CS266" s="357"/>
      <c r="CT266" s="357"/>
      <c r="CU266" s="357"/>
      <c r="CV266" s="357"/>
      <c r="CW266" s="357"/>
      <c r="CX266" s="357"/>
      <c r="CY266" s="189"/>
      <c r="CZ266" s="189"/>
      <c r="DA266" s="189"/>
      <c r="DB266" s="189"/>
      <c r="DC266" s="189"/>
      <c r="DD266" s="189"/>
      <c r="DE266" s="357"/>
      <c r="DF266" s="357"/>
      <c r="DG266" s="357"/>
      <c r="DH266" s="189"/>
      <c r="DI266" s="189"/>
      <c r="DJ266" s="189"/>
      <c r="DK266" s="189"/>
      <c r="DL266" s="189"/>
      <c r="DM266" s="189"/>
      <c r="DN266" s="189"/>
      <c r="DO266" s="189"/>
      <c r="DP266" s="189"/>
      <c r="DQ266" s="189"/>
      <c r="DR266" s="189"/>
      <c r="DS266" s="189"/>
      <c r="DT266" s="189"/>
      <c r="DU266" s="189"/>
      <c r="DV266" s="189"/>
      <c r="DW266" s="189"/>
      <c r="DX266" s="189"/>
      <c r="DY266" s="189"/>
      <c r="DZ266" s="189"/>
      <c r="EA266" s="189"/>
      <c r="EB266" s="189"/>
      <c r="EC266" s="189"/>
      <c r="ED266" s="189"/>
      <c r="EE266" s="189"/>
      <c r="EF266" s="189"/>
      <c r="EG266" s="189"/>
      <c r="EH266" s="189"/>
      <c r="EI266" s="189"/>
      <c r="EJ266" s="258"/>
      <c r="EK266" s="357"/>
      <c r="EL266" s="357"/>
      <c r="EM266" s="189"/>
      <c r="EN266" s="189"/>
      <c r="EO266" s="357"/>
      <c r="EP266" s="357"/>
      <c r="EQ266" s="219"/>
      <c r="ER266" s="357"/>
      <c r="ES266" s="357"/>
      <c r="ET266" s="219"/>
      <c r="EU266" s="219"/>
      <c r="EV266" s="219"/>
      <c r="EW266" s="357"/>
      <c r="EX266" s="357"/>
      <c r="EY266" s="219"/>
      <c r="EZ266" s="219"/>
      <c r="FA266" s="357"/>
      <c r="FB266" s="219"/>
      <c r="FC266" s="219"/>
      <c r="FD266" s="357"/>
      <c r="FE266" s="357"/>
      <c r="FF266" s="357"/>
      <c r="FG266" s="219"/>
      <c r="FH266" s="219"/>
      <c r="FI266" s="219"/>
      <c r="FJ266" s="219"/>
      <c r="FK266" s="219"/>
      <c r="FL266" s="189"/>
      <c r="FM266" s="189"/>
      <c r="FN266" s="219"/>
      <c r="FO266" s="219"/>
      <c r="FP266" s="357"/>
      <c r="FQ266" s="357"/>
      <c r="FR266" s="219"/>
      <c r="FS266" s="219"/>
      <c r="FT266" s="219"/>
      <c r="FU266" s="219"/>
      <c r="FV266" s="189"/>
      <c r="FW266" s="219"/>
      <c r="FX266" s="219"/>
      <c r="FY266" s="219"/>
      <c r="FZ266" s="219"/>
      <c r="GA266" s="219"/>
      <c r="GB266" s="219"/>
      <c r="GC266" s="219"/>
      <c r="GD266" s="219"/>
      <c r="GE266" s="219"/>
      <c r="GF266" s="219"/>
      <c r="GG266" s="219"/>
      <c r="GH266" s="219"/>
      <c r="GI266" s="219"/>
      <c r="GJ266" s="219"/>
      <c r="GK266" s="219"/>
      <c r="GL266" s="219"/>
      <c r="GM266" s="189"/>
      <c r="GN266" s="219"/>
      <c r="GO266" s="189"/>
      <c r="GP266" s="189"/>
      <c r="GQ266" s="189"/>
      <c r="GR266" s="189"/>
      <c r="GS266" s="189"/>
      <c r="GT266" s="189"/>
      <c r="GU266" s="219"/>
      <c r="GV266" s="189"/>
      <c r="GW266" s="189"/>
    </row>
    <row r="267" spans="2:205" x14ac:dyDescent="0.25">
      <c r="B267" s="189"/>
      <c r="D267" s="363"/>
      <c r="E267" s="189"/>
      <c r="F267" s="189"/>
      <c r="G267" s="189"/>
      <c r="H267" s="189"/>
      <c r="I267" s="189"/>
      <c r="J267" s="189"/>
      <c r="K267" s="189"/>
      <c r="L267" s="189"/>
      <c r="M267" s="189"/>
      <c r="N267" s="189"/>
      <c r="O267" s="189"/>
      <c r="P267" s="189"/>
      <c r="Q267" s="189"/>
      <c r="R267" s="189"/>
      <c r="S267" s="189"/>
      <c r="T267" s="189"/>
      <c r="U267" s="219"/>
      <c r="AA267" s="219"/>
      <c r="AB267" s="219"/>
      <c r="AC267" s="189"/>
      <c r="AD267" s="253"/>
      <c r="AE267" s="189"/>
      <c r="AF267" s="189"/>
      <c r="AG267" s="189"/>
      <c r="AH267" s="189"/>
      <c r="AI267" s="219"/>
      <c r="AJ267" s="189"/>
      <c r="AK267" s="189"/>
      <c r="AL267" s="189"/>
      <c r="AM267" s="189"/>
      <c r="AN267" s="219"/>
      <c r="AO267" s="189"/>
      <c r="AP267" s="189"/>
      <c r="AQ267" s="189"/>
      <c r="AR267" s="189"/>
      <c r="AS267" s="189"/>
      <c r="AT267" s="189"/>
      <c r="AU267" s="189"/>
      <c r="AV267" s="189"/>
      <c r="AW267" s="189"/>
      <c r="AX267" s="189"/>
      <c r="AY267" s="189"/>
      <c r="AZ267" s="189"/>
      <c r="BA267" s="189"/>
      <c r="BB267" s="189"/>
      <c r="BC267" s="189"/>
      <c r="BD267" s="189"/>
      <c r="BE267" s="189"/>
      <c r="BF267" s="189"/>
      <c r="BG267" s="189"/>
      <c r="BH267" s="189"/>
      <c r="BI267" s="189"/>
      <c r="BJ267" s="189"/>
      <c r="BK267" s="189"/>
      <c r="BL267" s="189"/>
      <c r="BM267" s="189"/>
      <c r="BN267" s="189"/>
      <c r="BO267" s="189"/>
      <c r="BP267" s="189"/>
      <c r="BQ267" s="189"/>
      <c r="BR267" s="189"/>
      <c r="BS267" s="189"/>
      <c r="BT267" s="219"/>
      <c r="BU267" s="189"/>
      <c r="BV267" s="189"/>
      <c r="BW267" s="219"/>
      <c r="BX267" s="219"/>
      <c r="BY267" s="219"/>
      <c r="BZ267" s="219"/>
      <c r="CA267" s="219"/>
      <c r="CB267" s="189"/>
      <c r="CC267" s="357"/>
      <c r="CD267" s="189"/>
      <c r="CE267" s="189"/>
      <c r="CF267" s="189"/>
      <c r="CG267" s="357"/>
      <c r="CH267" s="357"/>
      <c r="CI267" s="357"/>
      <c r="CJ267" s="357"/>
      <c r="CK267" s="189"/>
      <c r="CL267" s="357"/>
      <c r="CM267" s="357"/>
      <c r="CN267" s="357"/>
      <c r="CO267" s="189"/>
      <c r="CP267" s="357"/>
      <c r="CQ267" s="357"/>
      <c r="CR267" s="357"/>
      <c r="CS267" s="357"/>
      <c r="CT267" s="357"/>
      <c r="CU267" s="357"/>
      <c r="CV267" s="357"/>
      <c r="CW267" s="357"/>
      <c r="CX267" s="357"/>
      <c r="CY267" s="189"/>
      <c r="CZ267" s="189"/>
      <c r="DA267" s="189"/>
      <c r="DB267" s="189"/>
      <c r="DC267" s="189"/>
      <c r="DD267" s="189"/>
      <c r="DE267" s="357"/>
      <c r="DF267" s="357"/>
      <c r="DG267" s="357"/>
      <c r="DH267" s="189"/>
      <c r="DI267" s="189"/>
      <c r="DJ267" s="189"/>
      <c r="DK267" s="189"/>
      <c r="DL267" s="189"/>
      <c r="DM267" s="189"/>
      <c r="DN267" s="189"/>
      <c r="DO267" s="189"/>
      <c r="DP267" s="189"/>
      <c r="DQ267" s="189"/>
      <c r="DR267" s="189"/>
      <c r="DS267" s="189"/>
      <c r="DT267" s="189"/>
      <c r="DU267" s="189"/>
      <c r="DV267" s="189"/>
      <c r="DW267" s="189"/>
      <c r="DX267" s="189"/>
      <c r="DY267" s="189"/>
      <c r="DZ267" s="189"/>
      <c r="EA267" s="189"/>
      <c r="EB267" s="189"/>
      <c r="EC267" s="189"/>
      <c r="ED267" s="189"/>
      <c r="EE267" s="189"/>
      <c r="EF267" s="189"/>
      <c r="EG267" s="189"/>
      <c r="EH267" s="189"/>
      <c r="EI267" s="189"/>
      <c r="EJ267" s="258"/>
      <c r="EK267" s="357"/>
      <c r="EL267" s="357"/>
      <c r="EM267" s="189"/>
      <c r="EN267" s="189"/>
      <c r="EO267" s="357"/>
      <c r="EP267" s="357"/>
      <c r="EQ267" s="219"/>
      <c r="ER267" s="357"/>
      <c r="ES267" s="357"/>
      <c r="ET267" s="219"/>
      <c r="EU267" s="219"/>
      <c r="EV267" s="219"/>
      <c r="EW267" s="357"/>
      <c r="EX267" s="357"/>
      <c r="EY267" s="219"/>
      <c r="EZ267" s="219"/>
      <c r="FA267" s="357"/>
      <c r="FB267" s="219"/>
      <c r="FC267" s="219"/>
      <c r="FD267" s="357"/>
      <c r="FE267" s="357"/>
      <c r="FF267" s="357"/>
      <c r="FG267" s="219"/>
      <c r="FH267" s="219"/>
      <c r="FI267" s="219"/>
      <c r="FJ267" s="219"/>
      <c r="FK267" s="219"/>
      <c r="FL267" s="189"/>
      <c r="FM267" s="189"/>
      <c r="FN267" s="219"/>
      <c r="FO267" s="219"/>
      <c r="FP267" s="357"/>
      <c r="FQ267" s="357"/>
      <c r="FR267" s="219"/>
      <c r="FS267" s="219"/>
      <c r="FT267" s="219"/>
      <c r="FU267" s="219"/>
      <c r="FV267" s="189"/>
      <c r="FW267" s="219"/>
      <c r="FX267" s="219"/>
      <c r="FY267" s="219"/>
      <c r="FZ267" s="219"/>
      <c r="GA267" s="219"/>
      <c r="GB267" s="219"/>
      <c r="GC267" s="219"/>
      <c r="GD267" s="219"/>
      <c r="GE267" s="219"/>
      <c r="GF267" s="219"/>
      <c r="GG267" s="219"/>
      <c r="GH267" s="219"/>
      <c r="GI267" s="219"/>
      <c r="GJ267" s="219"/>
      <c r="GK267" s="219"/>
      <c r="GL267" s="219"/>
      <c r="GM267" s="189"/>
      <c r="GN267" s="219"/>
      <c r="GO267" s="189"/>
      <c r="GP267" s="189"/>
      <c r="GQ267" s="189"/>
      <c r="GR267" s="189"/>
      <c r="GS267" s="189"/>
      <c r="GT267" s="189"/>
      <c r="GU267" s="219"/>
      <c r="GV267" s="189"/>
      <c r="GW267" s="189"/>
    </row>
    <row r="268" spans="2:205" x14ac:dyDescent="0.25">
      <c r="B268" s="189"/>
      <c r="D268" s="363"/>
      <c r="E268" s="189"/>
      <c r="F268" s="189"/>
      <c r="G268" s="189"/>
      <c r="H268" s="189"/>
      <c r="I268" s="189"/>
      <c r="J268" s="189"/>
      <c r="K268" s="189"/>
      <c r="L268" s="189"/>
      <c r="M268" s="189"/>
      <c r="N268" s="189"/>
      <c r="O268" s="189"/>
      <c r="P268" s="189"/>
      <c r="Q268" s="189"/>
      <c r="R268" s="189"/>
      <c r="S268" s="189"/>
      <c r="T268" s="189"/>
      <c r="U268" s="219"/>
      <c r="AA268" s="219"/>
      <c r="AB268" s="219"/>
      <c r="AC268" s="189"/>
      <c r="AD268" s="253"/>
      <c r="AE268" s="189"/>
      <c r="AF268" s="189"/>
      <c r="AG268" s="189"/>
      <c r="AH268" s="189"/>
      <c r="AI268" s="219"/>
      <c r="AJ268" s="189"/>
      <c r="AK268" s="189"/>
      <c r="AL268" s="189"/>
      <c r="AM268" s="189"/>
      <c r="AN268" s="219"/>
      <c r="AO268" s="189"/>
      <c r="AP268" s="189"/>
      <c r="AQ268" s="189"/>
      <c r="AR268" s="189"/>
      <c r="AS268" s="189"/>
      <c r="AT268" s="189"/>
      <c r="AU268" s="189"/>
      <c r="AV268" s="189"/>
      <c r="AW268" s="189"/>
      <c r="AX268" s="189"/>
      <c r="AY268" s="189"/>
      <c r="AZ268" s="189"/>
      <c r="BA268" s="189"/>
      <c r="BB268" s="189"/>
      <c r="BC268" s="189"/>
      <c r="BD268" s="189"/>
      <c r="BE268" s="189"/>
      <c r="BF268" s="189"/>
      <c r="BG268" s="189"/>
      <c r="BH268" s="189"/>
      <c r="BI268" s="189"/>
      <c r="BJ268" s="189"/>
      <c r="BK268" s="189"/>
      <c r="BL268" s="189"/>
      <c r="BM268" s="189"/>
      <c r="BN268" s="189"/>
      <c r="BO268" s="189"/>
      <c r="BP268" s="189"/>
      <c r="BQ268" s="189"/>
      <c r="BR268" s="189"/>
      <c r="BS268" s="189"/>
      <c r="BT268" s="219"/>
      <c r="BU268" s="189"/>
      <c r="BV268" s="189"/>
      <c r="BW268" s="219"/>
      <c r="BX268" s="219"/>
      <c r="BY268" s="219"/>
      <c r="BZ268" s="219"/>
      <c r="CA268" s="219"/>
      <c r="CB268" s="189"/>
      <c r="CC268" s="357"/>
      <c r="CD268" s="189"/>
      <c r="CE268" s="189"/>
      <c r="CF268" s="189"/>
      <c r="CG268" s="357"/>
      <c r="CH268" s="357"/>
      <c r="CI268" s="357"/>
      <c r="CJ268" s="357"/>
      <c r="CK268" s="189"/>
      <c r="CL268" s="357"/>
      <c r="CM268" s="357"/>
      <c r="CN268" s="357"/>
      <c r="CO268" s="189"/>
      <c r="CP268" s="357"/>
      <c r="CQ268" s="357"/>
      <c r="CR268" s="357"/>
      <c r="CS268" s="357"/>
      <c r="CT268" s="357"/>
      <c r="CU268" s="357"/>
      <c r="CV268" s="357"/>
      <c r="CW268" s="357"/>
      <c r="CX268" s="357"/>
      <c r="CY268" s="189"/>
      <c r="CZ268" s="189"/>
      <c r="DA268" s="189"/>
      <c r="DB268" s="189"/>
      <c r="DC268" s="189"/>
      <c r="DD268" s="189"/>
      <c r="DE268" s="357"/>
      <c r="DF268" s="357"/>
      <c r="DG268" s="357"/>
      <c r="DH268" s="189"/>
      <c r="DI268" s="189"/>
      <c r="DJ268" s="189"/>
      <c r="DK268" s="189"/>
      <c r="DL268" s="189"/>
      <c r="DM268" s="189"/>
      <c r="DN268" s="189"/>
      <c r="DO268" s="189"/>
      <c r="DP268" s="189"/>
      <c r="DQ268" s="189"/>
      <c r="DR268" s="189"/>
      <c r="DS268" s="189"/>
      <c r="DT268" s="189"/>
      <c r="DU268" s="189"/>
      <c r="DV268" s="189"/>
      <c r="DW268" s="189"/>
      <c r="DX268" s="189"/>
      <c r="DY268" s="189"/>
      <c r="DZ268" s="189"/>
      <c r="EA268" s="189"/>
      <c r="EB268" s="189"/>
      <c r="EC268" s="189"/>
      <c r="ED268" s="189"/>
      <c r="EE268" s="189"/>
      <c r="EF268" s="189"/>
      <c r="EG268" s="189"/>
      <c r="EH268" s="189"/>
      <c r="EI268" s="189"/>
      <c r="EJ268" s="258"/>
      <c r="EK268" s="357"/>
      <c r="EL268" s="357"/>
      <c r="EM268" s="189"/>
      <c r="EN268" s="189"/>
      <c r="EO268" s="357"/>
      <c r="EP268" s="357"/>
      <c r="EQ268" s="219"/>
      <c r="ER268" s="357"/>
      <c r="ES268" s="357"/>
      <c r="ET268" s="219"/>
      <c r="EU268" s="219"/>
      <c r="EV268" s="219"/>
      <c r="EW268" s="357"/>
      <c r="EX268" s="357"/>
      <c r="EY268" s="219"/>
      <c r="EZ268" s="219"/>
      <c r="FA268" s="357"/>
      <c r="FB268" s="219"/>
      <c r="FC268" s="219"/>
      <c r="FD268" s="357"/>
      <c r="FE268" s="357"/>
      <c r="FF268" s="357"/>
      <c r="FG268" s="219"/>
      <c r="FH268" s="219"/>
      <c r="FI268" s="219"/>
      <c r="FJ268" s="219"/>
      <c r="FK268" s="219"/>
      <c r="FL268" s="189"/>
      <c r="FM268" s="189"/>
      <c r="FN268" s="219"/>
      <c r="FO268" s="219"/>
      <c r="FP268" s="357"/>
      <c r="FQ268" s="357"/>
      <c r="FR268" s="219"/>
      <c r="FS268" s="219"/>
      <c r="FT268" s="219"/>
      <c r="FU268" s="219"/>
      <c r="FV268" s="189"/>
      <c r="FW268" s="219"/>
      <c r="FX268" s="219"/>
      <c r="FY268" s="219"/>
      <c r="FZ268" s="219"/>
      <c r="GA268" s="219"/>
      <c r="GB268" s="219"/>
      <c r="GC268" s="219"/>
      <c r="GD268" s="219"/>
      <c r="GE268" s="219"/>
      <c r="GF268" s="219"/>
      <c r="GG268" s="219"/>
      <c r="GH268" s="219"/>
      <c r="GI268" s="219"/>
      <c r="GJ268" s="219"/>
      <c r="GK268" s="219"/>
      <c r="GL268" s="219"/>
      <c r="GM268" s="189"/>
      <c r="GN268" s="219"/>
      <c r="GO268" s="189"/>
      <c r="GP268" s="189"/>
      <c r="GQ268" s="189"/>
      <c r="GR268" s="189"/>
      <c r="GS268" s="189"/>
      <c r="GT268" s="189"/>
      <c r="GU268" s="219"/>
      <c r="GV268" s="189"/>
      <c r="GW268" s="189"/>
    </row>
    <row r="269" spans="2:205" x14ac:dyDescent="0.25">
      <c r="B269" s="189"/>
      <c r="D269" s="363"/>
      <c r="E269" s="189"/>
      <c r="F269" s="189"/>
      <c r="G269" s="189"/>
      <c r="H269" s="189"/>
      <c r="I269" s="189"/>
      <c r="J269" s="189"/>
      <c r="K269" s="189"/>
      <c r="L269" s="189"/>
      <c r="M269" s="189"/>
      <c r="N269" s="189"/>
      <c r="O269" s="189"/>
      <c r="P269" s="189"/>
      <c r="Q269" s="189"/>
      <c r="R269" s="189"/>
      <c r="S269" s="189"/>
      <c r="T269" s="189"/>
      <c r="U269" s="219"/>
      <c r="AA269" s="219"/>
      <c r="AB269" s="219"/>
      <c r="AC269" s="189"/>
      <c r="AD269" s="253"/>
      <c r="AE269" s="189"/>
      <c r="AF269" s="189"/>
      <c r="AG269" s="189"/>
      <c r="AH269" s="189"/>
      <c r="AI269" s="219"/>
      <c r="AJ269" s="189"/>
      <c r="AK269" s="189"/>
      <c r="AL269" s="189"/>
      <c r="AM269" s="189"/>
      <c r="AN269" s="219"/>
      <c r="AO269" s="189"/>
      <c r="AP269" s="189"/>
      <c r="AQ269" s="189"/>
      <c r="AR269" s="189"/>
      <c r="AS269" s="189"/>
      <c r="AT269" s="189"/>
      <c r="AU269" s="189"/>
      <c r="AV269" s="189"/>
      <c r="AW269" s="189"/>
      <c r="AX269" s="189"/>
      <c r="AY269" s="189"/>
      <c r="AZ269" s="189"/>
      <c r="BA269" s="189"/>
      <c r="BB269" s="189"/>
      <c r="BC269" s="189"/>
      <c r="BD269" s="189"/>
      <c r="BE269" s="189"/>
      <c r="BF269" s="189"/>
      <c r="BG269" s="189"/>
      <c r="BH269" s="189"/>
      <c r="BI269" s="189"/>
      <c r="BJ269" s="189"/>
      <c r="BK269" s="189"/>
      <c r="BL269" s="189"/>
      <c r="BM269" s="189"/>
      <c r="BN269" s="189"/>
      <c r="BO269" s="189"/>
      <c r="BP269" s="189"/>
      <c r="BQ269" s="189"/>
      <c r="BR269" s="189"/>
      <c r="BS269" s="189"/>
      <c r="BT269" s="219"/>
      <c r="BU269" s="189"/>
      <c r="BV269" s="189"/>
      <c r="BW269" s="219"/>
      <c r="BX269" s="219"/>
      <c r="BY269" s="219"/>
      <c r="BZ269" s="219"/>
      <c r="CA269" s="219"/>
      <c r="CB269" s="189"/>
      <c r="CC269" s="357"/>
      <c r="CD269" s="189"/>
      <c r="CE269" s="189"/>
      <c r="CF269" s="189"/>
      <c r="CG269" s="357"/>
      <c r="CH269" s="357"/>
      <c r="CI269" s="357"/>
      <c r="CJ269" s="357"/>
      <c r="CK269" s="189"/>
      <c r="CL269" s="357"/>
      <c r="CM269" s="357"/>
      <c r="CN269" s="357"/>
      <c r="CO269" s="189"/>
      <c r="CP269" s="357"/>
      <c r="CQ269" s="357"/>
      <c r="CR269" s="357"/>
      <c r="CS269" s="357"/>
      <c r="CT269" s="357"/>
      <c r="CU269" s="357"/>
      <c r="CV269" s="357"/>
      <c r="CW269" s="357"/>
      <c r="CX269" s="357"/>
      <c r="CY269" s="189"/>
      <c r="CZ269" s="189"/>
      <c r="DA269" s="189"/>
      <c r="DB269" s="189"/>
      <c r="DC269" s="189"/>
      <c r="DD269" s="189"/>
      <c r="DE269" s="357"/>
      <c r="DF269" s="357"/>
      <c r="DG269" s="357"/>
      <c r="DH269" s="189"/>
      <c r="DI269" s="189"/>
      <c r="DJ269" s="189"/>
      <c r="DK269" s="189"/>
      <c r="DL269" s="189"/>
      <c r="DM269" s="189"/>
      <c r="DN269" s="189"/>
      <c r="DO269" s="189"/>
      <c r="DP269" s="189"/>
      <c r="DQ269" s="189"/>
      <c r="DR269" s="189"/>
      <c r="DS269" s="189"/>
      <c r="DT269" s="189"/>
      <c r="DU269" s="189"/>
      <c r="DV269" s="189"/>
      <c r="DW269" s="189"/>
      <c r="DX269" s="189"/>
      <c r="DY269" s="189"/>
      <c r="DZ269" s="189"/>
      <c r="EA269" s="189"/>
      <c r="EB269" s="189"/>
      <c r="EC269" s="189"/>
      <c r="ED269" s="189"/>
      <c r="EE269" s="189"/>
      <c r="EF269" s="189"/>
      <c r="EG269" s="189"/>
      <c r="EH269" s="189"/>
      <c r="EI269" s="189"/>
      <c r="EJ269" s="258"/>
      <c r="EK269" s="357"/>
      <c r="EL269" s="357"/>
      <c r="EM269" s="189"/>
      <c r="EN269" s="189"/>
      <c r="EO269" s="357"/>
      <c r="EP269" s="357"/>
      <c r="EQ269" s="219"/>
      <c r="ER269" s="357"/>
      <c r="ES269" s="357"/>
      <c r="ET269" s="219"/>
      <c r="EU269" s="219"/>
      <c r="EV269" s="219"/>
      <c r="EW269" s="357"/>
      <c r="EX269" s="357"/>
      <c r="EY269" s="219"/>
      <c r="EZ269" s="219"/>
      <c r="FA269" s="357"/>
      <c r="FB269" s="219"/>
      <c r="FC269" s="219"/>
      <c r="FD269" s="357"/>
      <c r="FE269" s="357"/>
      <c r="FF269" s="357"/>
      <c r="FG269" s="219"/>
      <c r="FH269" s="219"/>
      <c r="FI269" s="219"/>
      <c r="FJ269" s="219"/>
      <c r="FK269" s="219"/>
      <c r="FL269" s="189"/>
      <c r="FM269" s="189"/>
      <c r="FN269" s="219"/>
      <c r="FO269" s="219"/>
      <c r="FP269" s="357"/>
      <c r="FQ269" s="357"/>
      <c r="FR269" s="219"/>
      <c r="FS269" s="219"/>
      <c r="FT269" s="219"/>
      <c r="FU269" s="219"/>
      <c r="FV269" s="189"/>
      <c r="FW269" s="219"/>
      <c r="FX269" s="219"/>
      <c r="FY269" s="219"/>
      <c r="FZ269" s="219"/>
      <c r="GA269" s="219"/>
      <c r="GB269" s="219"/>
      <c r="GC269" s="219"/>
      <c r="GD269" s="219"/>
      <c r="GE269" s="219"/>
      <c r="GF269" s="219"/>
      <c r="GG269" s="219"/>
      <c r="GH269" s="219"/>
      <c r="GI269" s="219"/>
      <c r="GJ269" s="219"/>
      <c r="GK269" s="219"/>
      <c r="GL269" s="219"/>
      <c r="GM269" s="189"/>
      <c r="GN269" s="219"/>
      <c r="GO269" s="189"/>
      <c r="GP269" s="189"/>
      <c r="GQ269" s="189"/>
      <c r="GR269" s="189"/>
      <c r="GS269" s="189"/>
      <c r="GT269" s="189"/>
      <c r="GU269" s="219"/>
      <c r="GV269" s="189"/>
      <c r="GW269" s="189"/>
    </row>
    <row r="270" spans="2:205" x14ac:dyDescent="0.25">
      <c r="B270" s="189"/>
      <c r="D270" s="363"/>
      <c r="E270" s="189"/>
      <c r="F270" s="189"/>
      <c r="G270" s="189"/>
      <c r="H270" s="189"/>
      <c r="I270" s="189"/>
      <c r="J270" s="189"/>
      <c r="K270" s="189"/>
      <c r="L270" s="189"/>
      <c r="M270" s="189"/>
      <c r="N270" s="189"/>
      <c r="O270" s="189"/>
      <c r="P270" s="189"/>
      <c r="Q270" s="189"/>
      <c r="R270" s="189"/>
      <c r="S270" s="189"/>
      <c r="T270" s="189"/>
      <c r="U270" s="219"/>
      <c r="AA270" s="219"/>
      <c r="AB270" s="219"/>
      <c r="AC270" s="189"/>
      <c r="AD270" s="253"/>
      <c r="AE270" s="189"/>
      <c r="AF270" s="189"/>
      <c r="AG270" s="189"/>
      <c r="AH270" s="189"/>
      <c r="AI270" s="219"/>
      <c r="AJ270" s="189"/>
      <c r="AK270" s="189"/>
      <c r="AL270" s="189"/>
      <c r="AM270" s="189"/>
      <c r="AN270" s="219"/>
      <c r="AO270" s="189"/>
      <c r="AP270" s="189"/>
      <c r="AQ270" s="189"/>
      <c r="AR270" s="189"/>
      <c r="AS270" s="189"/>
      <c r="AT270" s="189"/>
      <c r="AU270" s="189"/>
      <c r="AV270" s="189"/>
      <c r="AW270" s="189"/>
      <c r="AX270" s="189"/>
      <c r="AY270" s="189"/>
      <c r="AZ270" s="189"/>
      <c r="BA270" s="189"/>
      <c r="BB270" s="189"/>
      <c r="BC270" s="189"/>
      <c r="BD270" s="189"/>
      <c r="BE270" s="189"/>
      <c r="BF270" s="189"/>
      <c r="BG270" s="189"/>
      <c r="BH270" s="189"/>
      <c r="BI270" s="189"/>
      <c r="BJ270" s="189"/>
      <c r="BK270" s="189"/>
      <c r="BL270" s="189"/>
      <c r="BM270" s="189"/>
      <c r="BN270" s="189"/>
      <c r="BO270" s="189"/>
      <c r="BP270" s="189"/>
      <c r="BQ270" s="189"/>
      <c r="BR270" s="189"/>
      <c r="BS270" s="189"/>
      <c r="BT270" s="219"/>
      <c r="BU270" s="189"/>
      <c r="BV270" s="189"/>
      <c r="BW270" s="219"/>
      <c r="BX270" s="219"/>
      <c r="BY270" s="219"/>
      <c r="BZ270" s="219"/>
      <c r="CA270" s="219"/>
      <c r="CB270" s="189"/>
      <c r="CC270" s="357"/>
      <c r="CD270" s="189"/>
      <c r="CE270" s="189"/>
      <c r="CF270" s="189"/>
      <c r="CG270" s="357"/>
      <c r="CH270" s="357"/>
      <c r="CI270" s="357"/>
      <c r="CJ270" s="357"/>
      <c r="CK270" s="189"/>
      <c r="CL270" s="357"/>
      <c r="CM270" s="357"/>
      <c r="CN270" s="357"/>
      <c r="CO270" s="189"/>
      <c r="CP270" s="357"/>
      <c r="CQ270" s="357"/>
      <c r="CR270" s="357"/>
      <c r="CS270" s="357"/>
      <c r="CT270" s="357"/>
      <c r="CU270" s="357"/>
      <c r="CV270" s="357"/>
      <c r="CW270" s="357"/>
      <c r="CX270" s="357"/>
      <c r="CY270" s="189"/>
      <c r="CZ270" s="189"/>
      <c r="DA270" s="189"/>
      <c r="DB270" s="189"/>
      <c r="DC270" s="189"/>
      <c r="DD270" s="189"/>
      <c r="DE270" s="357"/>
      <c r="DF270" s="357"/>
      <c r="DG270" s="357"/>
      <c r="DH270" s="189"/>
      <c r="DI270" s="189"/>
      <c r="DJ270" s="189"/>
      <c r="DK270" s="189"/>
      <c r="DL270" s="189"/>
      <c r="DM270" s="189"/>
      <c r="DN270" s="189"/>
      <c r="DO270" s="189"/>
      <c r="DP270" s="189"/>
      <c r="DQ270" s="189"/>
      <c r="DR270" s="189"/>
      <c r="DS270" s="189"/>
      <c r="DT270" s="189"/>
      <c r="DU270" s="189"/>
      <c r="DV270" s="189"/>
      <c r="DW270" s="189"/>
      <c r="DX270" s="189"/>
      <c r="DY270" s="189"/>
      <c r="DZ270" s="189"/>
      <c r="EA270" s="189"/>
      <c r="EB270" s="189"/>
      <c r="EC270" s="189"/>
      <c r="ED270" s="189"/>
      <c r="EE270" s="189"/>
      <c r="EF270" s="189"/>
      <c r="EG270" s="189"/>
      <c r="EH270" s="189"/>
      <c r="EI270" s="189"/>
      <c r="EJ270" s="258"/>
      <c r="EK270" s="357"/>
      <c r="EL270" s="357"/>
      <c r="EM270" s="189"/>
      <c r="EN270" s="189"/>
      <c r="EO270" s="357"/>
      <c r="EP270" s="357"/>
      <c r="EQ270" s="219"/>
      <c r="ER270" s="357"/>
      <c r="ES270" s="357"/>
      <c r="ET270" s="219"/>
      <c r="EU270" s="219"/>
      <c r="EV270" s="219"/>
      <c r="EW270" s="357"/>
      <c r="EX270" s="357"/>
      <c r="EY270" s="219"/>
      <c r="EZ270" s="219"/>
      <c r="FA270" s="357"/>
      <c r="FB270" s="219"/>
      <c r="FC270" s="219"/>
      <c r="FD270" s="357"/>
      <c r="FE270" s="357"/>
      <c r="FF270" s="357"/>
      <c r="FG270" s="219"/>
      <c r="FH270" s="219"/>
      <c r="FI270" s="219"/>
      <c r="FJ270" s="219"/>
      <c r="FK270" s="219"/>
      <c r="FL270" s="189"/>
      <c r="FM270" s="189"/>
      <c r="FN270" s="219"/>
      <c r="FO270" s="219"/>
      <c r="FP270" s="357"/>
      <c r="FQ270" s="357"/>
      <c r="FR270" s="219"/>
      <c r="FS270" s="219"/>
      <c r="FT270" s="219"/>
      <c r="FU270" s="219"/>
      <c r="FV270" s="189"/>
      <c r="FW270" s="219"/>
      <c r="FX270" s="219"/>
      <c r="FY270" s="219"/>
      <c r="FZ270" s="219"/>
      <c r="GA270" s="219"/>
      <c r="GB270" s="219"/>
      <c r="GC270" s="219"/>
      <c r="GD270" s="219"/>
      <c r="GE270" s="219"/>
      <c r="GF270" s="219"/>
      <c r="GG270" s="219"/>
      <c r="GH270" s="219"/>
      <c r="GI270" s="219"/>
      <c r="GJ270" s="219"/>
      <c r="GK270" s="219"/>
      <c r="GL270" s="219"/>
      <c r="GM270" s="189"/>
      <c r="GN270" s="219"/>
      <c r="GO270" s="189"/>
      <c r="GP270" s="189"/>
      <c r="GQ270" s="189"/>
      <c r="GR270" s="189"/>
      <c r="GS270" s="189"/>
      <c r="GT270" s="189"/>
      <c r="GU270" s="219"/>
      <c r="GV270" s="189"/>
      <c r="GW270" s="189"/>
    </row>
    <row r="271" spans="2:205" x14ac:dyDescent="0.25">
      <c r="EW271" s="357"/>
      <c r="EX271" s="357"/>
      <c r="EY271" s="219"/>
      <c r="EZ271" s="219"/>
      <c r="FA271" s="357"/>
      <c r="FB271" s="219"/>
      <c r="FC271" s="219"/>
      <c r="FD271" s="357"/>
      <c r="FE271" s="357"/>
      <c r="FF271" s="357"/>
      <c r="FG271" s="219"/>
    </row>
    <row r="272" spans="2:205" x14ac:dyDescent="0.25">
      <c r="CQ272" s="341"/>
      <c r="CR272" s="341"/>
      <c r="CS272" s="341"/>
      <c r="EL272" s="354"/>
      <c r="EM272" s="242"/>
      <c r="EO272" s="353"/>
      <c r="ER272" s="189"/>
      <c r="EW272" s="357"/>
      <c r="EX272" s="357"/>
      <c r="EY272" s="219"/>
      <c r="EZ272" s="219"/>
      <c r="FA272" s="357"/>
      <c r="FB272" s="219"/>
      <c r="FC272" s="219"/>
      <c r="FD272" s="357"/>
      <c r="FE272" s="357"/>
      <c r="FF272" s="357"/>
      <c r="FG272" s="219"/>
    </row>
    <row r="273" spans="95:211" x14ac:dyDescent="0.25">
      <c r="CQ273" s="341"/>
      <c r="CR273" s="341"/>
      <c r="CS273" s="341"/>
      <c r="EL273" s="354"/>
      <c r="EM273" s="242"/>
      <c r="EW273" s="357"/>
      <c r="EX273" s="357"/>
      <c r="EY273" s="219"/>
      <c r="EZ273" s="219"/>
      <c r="FA273" s="357"/>
      <c r="FB273" s="219"/>
      <c r="FC273" s="219"/>
      <c r="FD273" s="357"/>
      <c r="FE273" s="357"/>
      <c r="FF273" s="357"/>
      <c r="FG273" s="219"/>
    </row>
    <row r="274" spans="95:211" x14ac:dyDescent="0.25">
      <c r="CQ274" s="341"/>
      <c r="CR274" s="341"/>
      <c r="CS274" s="341"/>
      <c r="EW274" s="357"/>
      <c r="EX274" s="357"/>
      <c r="EY274" s="219"/>
      <c r="EZ274" s="219"/>
      <c r="FA274" s="357"/>
      <c r="FB274" s="219"/>
      <c r="FC274" s="219"/>
      <c r="FD274" s="357"/>
      <c r="FE274" s="357"/>
      <c r="FF274" s="357"/>
      <c r="FG274" s="219"/>
    </row>
    <row r="275" spans="95:211" x14ac:dyDescent="0.25">
      <c r="CQ275" s="341"/>
      <c r="CR275" s="341"/>
      <c r="CS275" s="341"/>
      <c r="EW275" s="357"/>
      <c r="EX275" s="357"/>
      <c r="EY275" s="219"/>
      <c r="EZ275" s="219"/>
      <c r="FA275" s="357"/>
      <c r="FB275" s="219"/>
      <c r="FC275" s="219"/>
      <c r="FD275" s="357"/>
      <c r="FE275" s="357"/>
      <c r="FF275" s="357"/>
      <c r="FG275" s="219"/>
    </row>
    <row r="276" spans="95:211" x14ac:dyDescent="0.25">
      <c r="EW276" s="357"/>
      <c r="EX276" s="357"/>
      <c r="EY276" s="219"/>
      <c r="EZ276" s="219"/>
      <c r="FA276" s="357"/>
      <c r="FB276" s="219"/>
      <c r="FC276" s="219"/>
      <c r="FD276" s="357"/>
      <c r="FE276" s="357"/>
      <c r="FF276" s="357"/>
      <c r="FG276" s="219"/>
    </row>
    <row r="277" spans="95:211" x14ac:dyDescent="0.25">
      <c r="EW277" s="357"/>
      <c r="EX277" s="357"/>
      <c r="EY277" s="219"/>
      <c r="EZ277" s="219"/>
      <c r="FA277" s="357"/>
      <c r="FB277" s="219"/>
      <c r="FC277" s="219"/>
      <c r="FD277" s="357"/>
      <c r="FE277" s="357"/>
      <c r="FF277" s="357"/>
      <c r="FG277" s="219"/>
    </row>
    <row r="278" spans="95:211" x14ac:dyDescent="0.25">
      <c r="EW278" s="357"/>
      <c r="EX278" s="357"/>
      <c r="EY278" s="219"/>
      <c r="EZ278" s="219"/>
      <c r="FA278" s="357"/>
      <c r="FB278" s="219"/>
      <c r="FC278" s="219"/>
      <c r="FD278" s="357"/>
      <c r="FE278" s="357"/>
      <c r="FF278" s="357"/>
      <c r="FG278" s="219"/>
    </row>
    <row r="279" spans="95:211" x14ac:dyDescent="0.25">
      <c r="EW279" s="357"/>
      <c r="EX279" s="357"/>
      <c r="EY279" s="219"/>
      <c r="EZ279" s="219"/>
      <c r="FA279" s="357"/>
      <c r="FB279" s="219"/>
      <c r="FC279" s="219"/>
      <c r="FD279" s="357"/>
      <c r="FE279" s="357"/>
      <c r="FF279" s="357"/>
      <c r="FG279" s="219"/>
    </row>
    <row r="283" spans="95:211" x14ac:dyDescent="0.25">
      <c r="HB283" s="20"/>
      <c r="HC283" s="20"/>
    </row>
    <row r="284" spans="95:211" x14ac:dyDescent="0.25">
      <c r="HB284" s="20"/>
      <c r="HC284" s="20"/>
    </row>
    <row r="286" spans="95:211" x14ac:dyDescent="0.25">
      <c r="HB286" s="20"/>
      <c r="HC286" s="20"/>
    </row>
  </sheetData>
  <phoneticPr fontId="47" type="noConversion"/>
  <conditionalFormatting sqref="P233">
    <cfRule type="expression" dxfId="173" priority="4340">
      <formula>AND(ISNUMBER($DH233),$DH233 &gt;= $FK$233)</formula>
    </cfRule>
  </conditionalFormatting>
  <conditionalFormatting sqref="Q30">
    <cfRule type="expression" dxfId="172" priority="4297">
      <formula>AND($F30="H",#REF!&lt;&gt;0)</formula>
    </cfRule>
  </conditionalFormatting>
  <conditionalFormatting sqref="BC9:BC250">
    <cfRule type="expression" dxfId="171" priority="4332">
      <formula>BC9 &lt;= MockToday + 6</formula>
    </cfRule>
  </conditionalFormatting>
  <conditionalFormatting sqref="BE9:BE249">
    <cfRule type="expression" dxfId="170" priority="4315">
      <formula>AND(ISNUMBER(BE9),$BE9 &gt;=$C9)</formula>
    </cfRule>
  </conditionalFormatting>
  <conditionalFormatting sqref="BQ9:BQ228 BC9:BD240 EK9:EK250 DI11:DI240">
    <cfRule type="cellIs" dxfId="169" priority="4272" stopIfTrue="1" operator="between">
      <formula>MockToday</formula>
      <formula>1</formula>
    </cfRule>
  </conditionalFormatting>
  <conditionalFormatting sqref="BQ9:BQ250">
    <cfRule type="expression" dxfId="168" priority="4276">
      <formula>CW9 &lt; 7</formula>
    </cfRule>
  </conditionalFormatting>
  <conditionalFormatting sqref="BQ217">
    <cfRule type="expression" dxfId="167" priority="4249">
      <formula>EU217 &lt; 7</formula>
    </cfRule>
  </conditionalFormatting>
  <conditionalFormatting sqref="BR9:BR250">
    <cfRule type="expression" dxfId="166" priority="4304">
      <formula>AND(ISNUMBER($BR9),$BR9 &gt;=$C9)</formula>
    </cfRule>
  </conditionalFormatting>
  <conditionalFormatting sqref="CN9:CN250 CT9:CT250 CX9:CX250">
    <cfRule type="expression" dxfId="165" priority="4259">
      <formula>AND($CN9 &lt;= $CR9, ISNUMBER($CN9))</formula>
    </cfRule>
  </conditionalFormatting>
  <conditionalFormatting sqref="CT9:CT240">
    <cfRule type="cellIs" dxfId="164" priority="4262" operator="equal">
      <formula>"Y"</formula>
    </cfRule>
  </conditionalFormatting>
  <conditionalFormatting sqref="CU9:CU250">
    <cfRule type="expression" dxfId="163" priority="4253">
      <formula>INT(CU9)&lt;&gt;INT(CS9)</formula>
    </cfRule>
  </conditionalFormatting>
  <conditionalFormatting sqref="CX9:DE240 CP11:CP228">
    <cfRule type="expression" dxfId="162" priority="4318">
      <formula>$CT9="Y"</formula>
    </cfRule>
  </conditionalFormatting>
  <conditionalFormatting sqref="CY9:CY251">
    <cfRule type="expression" dxfId="161" priority="4343">
      <formula>AND(ISNUMBER($CY9),$C9 &lt; $CY9)</formula>
    </cfRule>
  </conditionalFormatting>
  <conditionalFormatting sqref="DH8:DH251">
    <cfRule type="expression" dxfId="160" priority="4341">
      <formula>AND(ISNUMBER($DH8),$DH8 &gt;= $FK$8)</formula>
    </cfRule>
  </conditionalFormatting>
  <conditionalFormatting sqref="DI9:DI249">
    <cfRule type="expression" dxfId="159" priority="4274">
      <formula>DR9 &lt; 7</formula>
    </cfRule>
  </conditionalFormatting>
  <conditionalFormatting sqref="DJ9:DJ249">
    <cfRule type="expression" dxfId="158" priority="4342">
      <formula>AND(ISNUMBER(DJ9),$DI9 &lt;=$C9)</formula>
    </cfRule>
  </conditionalFormatting>
  <conditionalFormatting sqref="DJ34:DJ36">
    <cfRule type="expression" dxfId="157" priority="4293">
      <formula>AND(ISNUMBER(DJ34),$DI34 &lt;=#REF!)</formula>
    </cfRule>
  </conditionalFormatting>
  <conditionalFormatting sqref="DV9:DW251">
    <cfRule type="expression" dxfId="156" priority="4228">
      <formula>AND(ISNUMBER(DV9),DV9&gt;0)</formula>
    </cfRule>
    <cfRule type="expression" dxfId="155" priority="4230">
      <formula>AND(ISNUMBER($DV9),$DV9&lt;0)</formula>
    </cfRule>
  </conditionalFormatting>
  <conditionalFormatting sqref="DZ9:EA251">
    <cfRule type="expression" dxfId="154" priority="4226">
      <formula>AND(ISNUMBER($DZ9),$DZ9&gt;0)</formula>
    </cfRule>
    <cfRule type="expression" dxfId="153" priority="4224">
      <formula>AND(ISNUMBER($DZ9),$DZ9&lt;0)</formula>
    </cfRule>
  </conditionalFormatting>
  <conditionalFormatting sqref="EG9:EI240">
    <cfRule type="expression" dxfId="152" priority="4238" stopIfTrue="1">
      <formula>AND(ISNUMBER(EG9),EG9&gt;0)</formula>
    </cfRule>
    <cfRule type="expression" dxfId="151" priority="4236">
      <formula>AND(ISNUMBER(EG9),EG9&lt;0)</formula>
    </cfRule>
  </conditionalFormatting>
  <conditionalFormatting sqref="EK9:EK250">
    <cfRule type="expression" dxfId="150" priority="4289">
      <formula>EU9 &lt; 7</formula>
    </cfRule>
  </conditionalFormatting>
  <conditionalFormatting sqref="EL9:EL249">
    <cfRule type="expression" dxfId="149" priority="4344">
      <formula>AND(ISNUMBER(EL9), $C9 &gt;= $EL9)</formula>
    </cfRule>
  </conditionalFormatting>
  <conditionalFormatting sqref="EL35:EL200">
    <cfRule type="expression" dxfId="148" priority="4328">
      <formula>AND(ISNUMBER(EL35), #REF! &gt;= $EL35)</formula>
    </cfRule>
  </conditionalFormatting>
  <conditionalFormatting sqref="EM9:EM250">
    <cfRule type="expression" dxfId="147" priority="4246">
      <formula>$EM9 &gt; $EJ9</formula>
    </cfRule>
  </conditionalFormatting>
  <conditionalFormatting sqref="EZ9:EZ250">
    <cfRule type="expression" dxfId="146" priority="4330">
      <formula>AND(ISNUMBER($FE9), $FE9 &lt;= (MockToday - 1), EZ9 = "GTC")</formula>
    </cfRule>
  </conditionalFormatting>
  <conditionalFormatting sqref="FA9:FA250 FF9:FF250 FJ9:FJ250">
    <cfRule type="expression" dxfId="145" priority="4266">
      <formula>$FF9 = TRUE</formula>
    </cfRule>
  </conditionalFormatting>
  <conditionalFormatting sqref="FI9:FI250">
    <cfRule type="expression" dxfId="144" priority="4255">
      <formula>INT(FI9)&lt;&gt;INT(FE9)</formula>
    </cfRule>
  </conditionalFormatting>
  <conditionalFormatting sqref="FJ9:FJ222">
    <cfRule type="expression" dxfId="143" priority="4269" stopIfTrue="1">
      <formula>FF9</formula>
    </cfRule>
  </conditionalFormatting>
  <conditionalFormatting sqref="FK9:FK250">
    <cfRule type="expression" dxfId="142" priority="4290">
      <formula>AND(ISNUMBER($FK9),$FK9 &lt; ($FK$9 + 0.0002))</formula>
    </cfRule>
  </conditionalFormatting>
  <conditionalFormatting sqref="FK14:FK251">
    <cfRule type="expression" dxfId="141" priority="4292">
      <formula>AND(ISNUMBER(#REF!),#REF! &lt; ($FK$14 + 0.0002))</formula>
    </cfRule>
  </conditionalFormatting>
  <conditionalFormatting sqref="FO9:FO251">
    <cfRule type="cellIs" dxfId="140" priority="4234" stopIfTrue="1" operator="lessThan">
      <formula>0</formula>
    </cfRule>
    <cfRule type="cellIs" dxfId="139" priority="4232" stopIfTrue="1" operator="greaterThanOrEqual">
      <formula>0</formula>
    </cfRule>
  </conditionalFormatting>
  <conditionalFormatting sqref="GA8:GA251">
    <cfRule type="expression" dxfId="138" priority="4295">
      <formula>AND(ISNUMBER($GA8),$GA8 &gt;= $FK$8)</formula>
    </cfRule>
  </conditionalFormatting>
  <dataValidations count="113">
    <dataValidation allowBlank="1" showInputMessage="1" showErrorMessage="1" promptTitle="FinViz" prompt="1 symbol updated 1/15/2018 at 2:21 PM" sqref="AK8" xr:uid="{00000000-0002-0000-0000-00004E000000}"/>
    <dataValidation allowBlank="1" showInputMessage="1" showErrorMessage="1" promptTitle="Last Service Update" prompt="1 symbol updated 1/10/2018_x000a_at 1:25 PM" sqref="G8" xr:uid="{00000000-0002-0000-0000-000045000000}"/>
    <dataValidation allowBlank="1" showInputMessage="1" showErrorMessage="1" promptTitle="Trade Exp" prompt="Expiration date to this position (ie, options trade)" sqref="BC8" xr:uid="{00000000-0002-0000-0000-000014000000}"/>
    <dataValidation allowBlank="1" showInputMessage="1" showErrorMessage="1" prompt="How much it will cost to buyout the current position. If the color is green then this can indicate that money tied up by this position may be put to better use in another position." sqref="CP8 CX8" xr:uid="{00000000-0002-0000-0000-000011000000}"/>
    <dataValidation allowBlank="1" showInputMessage="1" showErrorMessage="1" promptTitle="Last Updated" prompt="GTC cancel order price to ask for if the market crashes" sqref="E8" xr:uid="{00000000-0002-0000-0000-000010000000}"/>
    <dataValidation allowBlank="1" showInputMessage="1" showErrorMessage="1" promptTitle="Last Updated" prompt="(1 stock [PAY])_x000a_9/2/2015_x000a_at 9:39 AM" sqref="J8" xr:uid="{00000000-0002-0000-0000-000009000000}"/>
    <dataValidation allowBlank="1" showInputMessage="1" showErrorMessage="1" promptTitle="LEGEND" prompt="1 - BUY, accumulate or trade aggressively NOW_x000a_2 - BUY on pullback or sell puts below last support_x000a_3 - SELL into strength or ATM Calls_x000a_4 - SELL NOW_x000a_5 - $3 LOTTO_x000a_6 - Safe haven or income_x000a__x000a_" sqref="O8" xr:uid="{00000000-0002-0000-0000-000008000000}"/>
    <dataValidation allowBlank="1" showInputMessage="1" showErrorMessage="1" prompt="Constant to consider a sales price based on the Target amount per share." sqref="GE1" xr:uid="{00000000-0002-0000-0000-000007000000}"/>
    <dataValidation allowBlank="1" showInputMessage="1" showErrorMessage="1" prompt="Constant to consider selling some shares as a % of holdings." sqref="GD1" xr:uid="{00000000-0002-0000-0000-000006000000}"/>
    <dataValidation allowBlank="1" showInputMessage="1" showErrorMessage="1" prompt="Percentage away from the Last Price to the Strike Price.(Negative numbers mean we are above the Strike, Positive means we are below)" sqref="CH8" xr:uid="{00000000-0002-0000-0000-000004000000}"/>
    <dataValidation allowBlank="1" showInputMessage="1" showErrorMessage="1" prompt="We will get PUT if the Last Price ocurrs on Expiration Date; this column shows how much of a loss would be incurred after considering Premium taken in (both gain and losses are shown to maintain perspective)." sqref="CM8" xr:uid="{00000000-0002-0000-0000-000003000000}"/>
    <dataValidation allowBlank="1" showInputMessage="1" showErrorMessage="1" prompt="How much would it cost to get PUT if today was the expiration date (the strike price has been breached as of the last update)." sqref="CI8" xr:uid="{00000000-0002-0000-0000-000002000000}"/>
    <dataValidation allowBlank="1" showInputMessage="1" showErrorMessage="1" prompt="The MUST-OWN date._x000a__x000a_This is date that matters for ownership of the dividend is the day BEFORE the listed ex-div date." sqref="AH8" xr:uid="{00000000-0002-0000-0000-000001000000}"/>
    <dataValidation allowBlank="1" showInputMessage="1" showErrorMessage="1" promptTitle="AAP Rankings" prompt="1 - BUY NOW_x000a_2 - BUY on a PULLBACK_x000a_3 - SELL into STRENGTH_x000a_4 - SELL NOW" sqref="M8:N8" xr:uid="{00000000-0002-0000-0000-000000000000}"/>
    <dataValidation allowBlank="1" showInputMessage="1" showErrorMessage="1" promptTitle="LP Max Value" prompt="Theoretical max value of the puts (ie, stock foes to zero); used to calculate potential spend risk of short puts when position us a spread." sqref="BK8" xr:uid="{E5907763-B48F-49A7-A462-E6168BCA2B89}"/>
    <dataValidation allowBlank="1" showInputMessage="1" showErrorMessage="1" promptTitle="SC Buyback Cost" prompt="How much it will cost to buyout the current position. If the color is green then this can indicate that money tied up by this position may be put to better use in another position." sqref="FJ8" xr:uid="{8006A91F-3C93-4D4C-888F-269E9B22AB52}"/>
    <dataValidation allowBlank="1" showInputMessage="1" showErrorMessage="1" promptTitle="SC Buyback Point" prompt="Calculated buy points based on heuristics" sqref="FC8" xr:uid="{AB514D38-A65E-4149-A485-48DC4BFF6089}"/>
    <dataValidation allowBlank="1" showInputMessage="1" showErrorMessage="1" promptTitle="SC Buy Back GTC Date" prompt="Date until which our calculated SC Buy Back Point is valid (may or may not be the contract Expiration Date)" sqref="FE8" xr:uid="{B042453A-6125-46D0-B7BC-A644D3D1AEAB}"/>
    <dataValidation allowBlank="1" showInputMessage="1" showErrorMessage="1" promptTitle="SC Should Buyback" prompt="True is the 'SC Contract Value&quot; &lt;= &quot;SC Buy Back Point&quot;" sqref="FF8:FH8" xr:uid="{5C129F0E-55FF-4C0C-A9EC-63AC1F3AEE37}"/>
    <dataValidation allowBlank="1" showInputMessage="1" showErrorMessage="1" promptTitle="SC Buyback Override" prompt="If  valued, the amount to use instead of the Ask when calculating whether to Buy to Close" sqref="FD8" xr:uid="{A081C300-EC92-4C33-8462-23125C5D0519}"/>
    <dataValidation allowBlank="1" showInputMessage="1" showErrorMessage="1" promptTitle="SP Buyback Point" prompt="Calculated buy points based on heuristics" sqref="CP8 DC8:DE8" xr:uid="{90DC45CC-B360-483C-A0F3-468658B2E085}"/>
    <dataValidation allowBlank="1" showInputMessage="1" showErrorMessage="1" promptTitle="SP Buyback GTC Date" prompt="Enter manually IF there is a GTC order placed for BTC. Use this to help manage these open orders._x000a__x000a_Manually delete when filled or changed date if moving from 1st contract-term half to 2nd" sqref="CU8" xr:uid="{03DB026C-39E9-466B-AF85-DB4E2B011C43}"/>
    <dataValidation allowBlank="1" showInputMessage="1" showErrorMessage="1" promptTitle="SC Buy Back GTC Date" prompt="Enter manually IF there is a GTC order placed for BTC. Use this to help manage these open orders. The cell will turn yellow when it is 2 days away as a prompt._x000a__x000a_Manually delete when filled or changed date if moving from 1st contract-term half to 2nd" sqref="FI8" xr:uid="{57B44096-FB61-430B-A609-A49CA6063E85}"/>
    <dataValidation allowBlank="1" showInputMessage="1" showErrorMessage="1" promptTitle="SP Should Buyback" prompt="True is the 'SP Contract Value&quot; &lt;= &quot;SP Buyback Point&quot;" sqref="CT8" xr:uid="{40CE68B4-BA28-46A6-9991-816A550EFC6C}"/>
    <dataValidation allowBlank="1" showInputMessage="1" showErrorMessage="1" promptTitle="SP Buyback Override" prompt="Optional price to use over any other contract buyback price" sqref="CQ8" xr:uid="{2510AB13-B97F-48B5-9ADB-5CB38EDE51D9}"/>
    <dataValidation allowBlank="1" showInputMessage="1" showErrorMessage="1" promptTitle="SP Buyback Price to Use" prompt="Intermediate value just to ease formula for calculating total SC buyback cost. Column can be hidden" sqref="CR8" xr:uid="{6F872A61-985D-4018-BBC5-A51C82E15DB2}"/>
    <dataValidation allowBlank="1" showInputMessage="1" showErrorMessage="1" promptTitle="LP Not Filled" prompt="If 'Y' then this is not a filled order. _x000a__x000a_It is however, either a bid I'm actively pursuing or actually placed with the broker and requires management." sqref="BO8" xr:uid="{C2212574-7301-49B8-9367-5D5BDD679A0B}"/>
    <dataValidation allowBlank="1" showInputMessage="1" showErrorMessage="1" promptTitle="LC Not Filled" prompt="If 'Y' then this is not a filled order. _x000a__x000a_It is however, either a bid I'm actively pursuing or actually placed with the broker and requires management." sqref="EE8:EF8 DP8:DQ8 DS8" xr:uid="{37EB32E8-421E-45D2-A8AD-A532994FE142}"/>
    <dataValidation allowBlank="1" showInputMessage="1" showErrorMessage="1" promptTitle="Is Filled" prompt="If False this is not a Filled order. _x000a__x000a_It reflects a bid I'm actively pursuing or actually placed with the broker and requires management." sqref="ER8" xr:uid="{00A84BA6-17C8-4A73-A777-0B1BA9A5A0BE}"/>
    <dataValidation allowBlank="1" showInputMessage="1" showErrorMessage="1" promptTitle="Last Traded" prompt="12/20/2019_x000a_at 8:20 PM" sqref="DT67:DW67" xr:uid="{888BFDEB-A55C-45BB-972E-7DF0B783B90C}"/>
    <dataValidation allowBlank="1" showInputMessage="1" showErrorMessage="1" promptTitle="No Fill" prompt="If 'Y' then this is not a filled order. _x000a__x000a_It is however, either a bid I'm actively pursuing or actually placed with the broker and requires management._x000a_" sqref="AU8" xr:uid="{984E3490-DFB6-4B94-AABB-32DCDFCE9ED9}"/>
    <dataValidation allowBlank="1" showInputMessage="1" showErrorMessage="1" promptTitle="Yahoo Pricing" prompt="1 symbol updated 5/7/2020_x000a_at 1:01 PM" sqref="BL8:BN8" xr:uid="{1D1F39EA-9E6F-44B6-A55C-326EA500A84F}"/>
    <dataValidation allowBlank="1" showInputMessage="1" showErrorMessage="1" promptTitle="SC Current Delta" prompt="Track to look for clues to either close or roll the contract._x000a__x000a_For example, a contract purchased with a 30 delta that is now at 60 will start to get away if we don't BTC and look for a Roll." sqref="FB8 CO8" xr:uid="{FA13AA81-7A02-4BBF-B9DF-9616CEDC716F}"/>
    <dataValidation allowBlank="1" showInputMessage="1" showErrorMessage="1" promptTitle="Strike Based Stop Loss" prompt="One hueristic to suggest closing out the trade for the loss is when the Last Price of the Underlying is 3% less than the Strike Price (Ellman)" sqref="CY8" xr:uid="{1C702193-2DC3-4493-BB78-46B5A291E6CD}"/>
    <dataValidation allowBlank="1" showInputMessage="1" showErrorMessage="1" promptTitle="Strike Based Stop Loss" prompt="One hueristic to suggest closing out the trade for the loss is when the loss is 25% of the premium received (Fitz)" sqref="DA8:DB8" xr:uid="{FE7E1D80-1D8F-4D66-BFEA-DBE802D92117}"/>
    <dataValidation allowBlank="1" showInputMessage="1" showErrorMessage="1" promptTitle="SP Potential Spend" prompt="Theoretical amounr of cash we would need to spend if the trade goes against us. Does not consider prmiums and commissions but does consider long put (LP) protection." sqref="CH8:CI8 CE8:CF8" xr:uid="{231C756B-FCFC-4111-8B61-3AF78A0F240A}"/>
    <dataValidation allowBlank="1" showInputMessage="1" showErrorMessage="1" promptTitle="SP Cash Reserve" prompt="My subjective assessment of cash  to reserve based on the POA." sqref="CK8" xr:uid="{073FE222-82CA-41C2-AAA9-5ECCD7665F43}"/>
    <dataValidation allowBlank="1" showInputMessage="1" showErrorMessage="1" promptTitle="SP PoA" prompt="My subjective assessment overriding the Probability of Assigment (PoA). This weights the SP PoA Spend." sqref="CK8" xr:uid="{E6809837-E348-4556-BFD1-708AF3E17438}"/>
    <dataValidation allowBlank="1" showInputMessage="1" showErrorMessage="1" promptTitle="SC Intrinsic Value" prompt="For positions that are currently ITM, this is the (LastPrice - StrikePrice). _x000a__x000a_We need to know the intrinsic value in order to know the Time Value component of the current contract price." sqref="FG8" xr:uid="{3EBAADD5-9951-4E3B-8198-62841875EBA3}"/>
    <dataValidation allowBlank="1" showInputMessage="1" showErrorMessage="1" promptTitle="SC Time Value" prompt="Really Extrinsic value, as IV and other greeks go into thiis but mostly remaining Time Value (theta)" sqref="FH8" xr:uid="{1D32D152-8E54-4FA2-8B04-F88448FADF34}"/>
    <dataValidation allowBlank="1" showInputMessage="1" showErrorMessage="1" promptTitle="SC Time Value Closing %" prompt="Is it worth paying up to close it out?_x000a__x000a_For a core position, for example, we may want to keep the position even if it means paying more than we initially received. Especially if writing another OTM call will replace the time value % lost (Elman)" sqref="FK8" xr:uid="{4DF03402-4AA8-401F-852F-AE9352212DEF}"/>
    <dataValidation allowBlank="1" showInputMessage="1" showErrorMessage="1" promptTitle="LC Next Target" sqref="DX8:EB8" xr:uid="{19E57B6C-3C94-4190-A490-D96DD4378E90}"/>
    <dataValidation allowBlank="1" showInputMessage="1" showErrorMessage="1" promptTitle="LC Stop Loss Calc Target" prompt="Rule based Stop based on the iniitial trade (currently 50%) representing the maximum loss we will tolerate" sqref="EC8:ED8" xr:uid="{5A0F1FB0-9FF2-4B06-A91B-C60D0B8DD6A4}"/>
    <dataValidation allowBlank="1" showInputMessage="1" showErrorMessage="1" promptTitle="SP ROO" prompt="Simple return on Capital (PremReceived / PotentialOutlay)" sqref="CD8" xr:uid="{51CAA6F0-CC4C-4531-B1A8-95381B387800}"/>
    <dataValidation allowBlank="1" showInputMessage="1" showErrorMessage="1" promptTitle="LC Not Filled" prompt="If the order has not been filled yet this will indicate so with a &quot;Y&quot;" sqref="DP8:DQ8 DS8" xr:uid="{F3569C21-A841-426D-9F81-6C761EB85872}"/>
    <dataValidation allowBlank="1" showInputMessage="1" showErrorMessage="1" promptTitle="LC Total Value" prompt="Gross value all LC contracts" sqref="DU8:DW8" xr:uid="{AD88002C-8243-4E83-A164-7FBAD3F98FF1}"/>
    <dataValidation allowBlank="1" showInputMessage="1" showErrorMessage="1" promptTitle="LC Total Value" prompt="Gross value for all LC contracts this underlying" sqref="DU8:DW8" xr:uid="{BBB89E11-F672-48C4-B926-8B16CC7DDC5D}"/>
    <dataValidation allowBlank="1" showInputMessage="1" showErrorMessage="1" promptTitle="LC Total Value" prompt="Gross Value all LC contracts this underlying" sqref="DU8:DW8" xr:uid="{DA150449-568A-4F3E-82C4-75FFB9457443}"/>
    <dataValidation allowBlank="1" showInputMessage="1" showErrorMessage="1" promptTitle="LC Contract Value" prompt="The current ASK for a single contract." sqref="DT8" xr:uid="{E939247D-EF05-446D-B012-9B7BA23A1A80}"/>
    <dataValidation allowBlank="1" showInputMessage="1" showErrorMessage="1" promptTitle="LC Contract Value" prompt="Current ASK for a single contract" sqref="DT8" xr:uid="{1473E061-0098-4F67-B173-DA1041CDF30F}"/>
    <dataValidation allowBlank="1" showInputMessage="1" showErrorMessage="1" promptTitle="SP Buyback GTC Date" prompt="The last date until which the calculated SP Buyback Point is valid" sqref="CS8" xr:uid="{637CA622-D7AE-4D0C-8ABA-65512E333459}"/>
    <dataValidation allowBlank="1" showInputMessage="1" showErrorMessage="1" promptTitle="SC Current Delta" prompt="Assist in deciding whether to BTC or not (ie, a contract purchased with a delta of 30 that is now at 60)." sqref="FB8 CO8" xr:uid="{867D0F55-B74B-494A-B78D-0E73BD7E4DC3}"/>
    <dataValidation allowBlank="1" showInputMessage="1" showErrorMessage="1" prompt="The current ASK for a single contract." sqref="DO8 DX241:DX242 DO31:DW33 DY31:EB33 DX244:DX247 DO9:DW13 DY9:EB13 DX9:DX237" xr:uid="{00000000-0002-0000-0000-000012000000}"/>
    <dataValidation allowBlank="1" showInputMessage="1" showErrorMessage="1" promptTitle="SP POA" prompt="My subjective assessment of the Probability of Assignment (POA), based on Delta, Days Remaining until OPEX, etc." sqref="CJ8" xr:uid="{07483D55-A6FF-44D8-901B-7A1292327E76}"/>
    <dataValidation allowBlank="1" showInputMessage="1" showErrorMessage="1" promptTitle="SP POW" prompt="My subjective assessment of the Probability of Worthlessness (POW)." sqref="CJ8" xr:uid="{69976069-82F4-47F0-AF44-03483993D5CF}"/>
    <dataValidation allowBlank="1" showInputMessage="1" showErrorMessage="1" prompt="Uses heuristics based on the current contract value and how much time is left on it." sqref="FG31:FH33 FG9:FH13 FF9:FF250" xr:uid="{00000000-0002-0000-0000-000013000000}"/>
    <dataValidation allowBlank="1" showInputMessage="1" showErrorMessage="1" prompt="The maximum CC Contracts that can be written based on shares held" sqref="EJ31:EJ33 EJ8:EJ13" xr:uid="{00000000-0002-0000-0000-000005000000}"/>
    <dataValidation allowBlank="1" showInputMessage="1" showErrorMessage="1" promptTitle="Purpose" prompt="Have an easy way to filter out Position as that field displays text as result of a formula, which doesn't evaluate to BLANK when using Advanced Criteria" sqref="GT31:GT33 GT8:GT13" xr:uid="{00000000-0002-0000-0000-00000A000000}"/>
    <dataValidation allowBlank="1" showInputMessage="1" showErrorMessage="1" promptTitle="Last Service Update" prompt="6 symbols updated 4/30/2017_x000a_at 8:14 PM" sqref="EC31:EF33 DP31:DW33 EC9:EF13 DP9:DW13" xr:uid="{00000000-0002-0000-0000-000016000000}"/>
    <dataValidation allowBlank="1" showInputMessage="1" showErrorMessage="1" promptTitle="SC Gain Loss" prompt="Dollar amount of gain or loss given the current value of the contract" sqref="FZ8" xr:uid="{1C2DB5BC-E251-4CB4-AD9B-149E08136CE6}"/>
    <dataValidation allowBlank="1" showInputMessage="1" showErrorMessage="1" promptTitle="SC Pct Earned" prompt="How much of the maximum contract gain is currently realized (max gain is the preemium received up front)" sqref="GA8" xr:uid="{21747880-019D-4A2E-8855-D7459E90C124}"/>
    <dataValidation allowBlank="1" showInputMessage="1" showErrorMessage="1" promptTitle="SP Potential Spend" prompt="Theoretical amounr of cash we would need to spend if the trade goes against us. Does not consider prmiums, commissions or long put (LP) protection." sqref="CG8" xr:uid="{D6B86019-1843-4346-866B-ABB6907E7D30}"/>
    <dataValidation allowBlank="1" showInputMessage="1" showErrorMessage="1" promptTitle="Upside Potential" prompt="In exchange for premium today, we have capped our upside gains, BUT not eliminated it._x000a__x000a_We have the potential to make this much if the share price moves up." sqref="FS8" xr:uid="{CC2400CA-95D0-48A8-A567-81E0BD06FEE0}"/>
    <dataValidation allowBlank="1" showInputMessage="1" showErrorMessage="1" promptTitle="Downside Protection" prompt="Our ITM strike protects us from additional downside by this much" sqref="FU8" xr:uid="{DB6C77AD-7110-4697-AB41-F484C34FDC93}"/>
    <dataValidation allowBlank="1" showInputMessage="1" showErrorMessage="1" promptTitle="Earnings Whispers" prompt="1 symbol updated 6/18/2023_x000a_at 5:01 PM" sqref="I8" xr:uid="{53FCC88E-9E4C-4CBE-82F6-2A649C558E6A}"/>
    <dataValidation allowBlank="1" showInputMessage="1" showErrorMessage="1" promptTitle="Can Calc" prompt="True if we have enough data to calculate the ROO and other metrics useful for analysis (as opposed to tracking, which also requires a filled contract)" sqref="ER8" xr:uid="{44B38374-F0E1-4759-B2F8-F13573E9A1EF}"/>
    <dataValidation allowBlank="1" showInputMessage="1" showErrorMessage="1" promptTitle="SC Current Ask" prompt="We know we can BTC if we pay the current Ask Price." sqref="FA8" xr:uid="{21BC57D7-7BE4-4A59-A411-1C1D6CC4D3FF}"/>
    <dataValidation allowBlank="1" showInputMessage="1" showErrorMessage="1" promptTitle="SC Basis" prompt="What Ellman uses as the basis for ROI. If there is Intrinsice Value the use the Strike Price; if not then use the Last Price of the Underlying." sqref="EX8" xr:uid="{112C2369-9CB6-40AE-A319-CD2DE42FECA3}"/>
    <dataValidation allowBlank="1" showInputMessage="1" showErrorMessage="1" promptTitle="SC Minimum Premium" prompt="We shouldn't take less than this amount." sqref="EY8" xr:uid="{B97656F0-BE54-4BC6-830E-06AD4C3B3A85}"/>
    <dataValidation allowBlank="1" showInputMessage="1" showErrorMessage="1" promptTitle="SC Bid TIF (Time In Force)" prompt="IF there is an unfilled bid, what timeframe is the order in. ie,, Day or GTC. Blanks means Day." sqref="EZ8" xr:uid="{6A6DAC12-9BEF-49AB-8CFC-26884AF374A9}"/>
    <dataValidation allowBlank="1" showInputMessage="1" showErrorMessage="1" promptTitle="SC Fill Delta" prompt="Track the delat on fill so we can monitor for roll situations by change in delate later" sqref="ES8" xr:uid="{46C67DC1-1593-4F89-B4BF-84CDC04AFF38}"/>
    <dataValidation allowBlank="1" showInputMessage="1" showErrorMessage="1" promptTitle="SP LPs" prompt="The number of long puts we have" sqref="CA8" xr:uid="{BBC271DA-E6E3-4548-9639-D17D9255F21F}"/>
    <dataValidation allowBlank="1" showInputMessage="1" showErrorMessage="1" promptTitle="SP DTE" prompt="Days to Expiration" sqref="CW8" xr:uid="{F812732F-E4B6-4A9C-A78B-37FA64A75B32}"/>
    <dataValidation allowBlank="1" showInputMessage="1" showErrorMessage="1" promptTitle="FinViz" prompt="1 symbol updated 11/26/2023_x000a_at 8:28 AM" sqref="AJ8" xr:uid="{5DB12648-B18C-42B8-8BF6-72250880FF0A}"/>
    <dataValidation allowBlank="1" showInputMessage="1" showErrorMessage="1" promptTitle="Yahoo Pricing" prompt="1 symbol updated 1/29/2024_x000a_at 9:49 AM" sqref="C8" xr:uid="{CFE788AB-5855-426C-B88B-AA76A85EA94F}"/>
    <dataValidation allowBlank="1" showInputMessage="1" showErrorMessage="1" promptTitle="SC Exercise Tax P&amp;L" prompt="The REAL P&amp;L must be based off of the ACB. Too difficult and not worth making happen in this spreadsheet, BUT high priority feature in EbfTrading app." sqref="FO8" xr:uid="{498A3D31-5AD0-4360-9677-8EEA728E1BBA}"/>
    <dataValidation allowBlank="1" showInputMessage="1" showErrorMessage="1" promptTitle="DTE (Days Till Expiration)" prompt="Number of days remaining" sqref="EU8" xr:uid="{4F3BEBFD-934D-4326-AE15-21F1EC38181D}"/>
    <dataValidation allowBlank="1" showInputMessage="1" showErrorMessage="1" promptTitle="SP Term" prompt="Days from the start of the trade to the end of the trade" sqref="CC8" xr:uid="{11CB98D3-8FD4-4541-8464-F84F31669E22}"/>
    <dataValidation allowBlank="1" showInputMessage="1" showErrorMessage="1" promptTitle="SP Bid TIF (Time In Force)" prompt="IF there is an unfilled BTC bid in, what timeframe is the order in. ie,, Day or GTC. _x000a__x000a_The GTC bid amount will typically be the Buyback Price to Use._x000a__x000a_Blank means there is no BTC bid order." sqref="CV8" xr:uid="{615B8BC1-1F65-4541-BE4F-E9EC1085C0C5}"/>
    <dataValidation allowBlank="1" showInputMessage="1" showErrorMessage="1" promptTitle="Last Traded" prompt="12/20/2019_x000a_at 8:54 PM" sqref="DT69:DW72" xr:uid="{E6DB20B0-D122-46A2-BA3E-2DF0E1A954DC}"/>
    <dataValidation allowBlank="1" showInputMessage="1" showErrorMessage="1" promptTitle="DTE" prompt="Days Till Expiration" sqref="DR8" xr:uid="{A186857E-D608-4007-A54C-8028C011A882}"/>
    <dataValidation allowBlank="1" showInputMessage="1" showErrorMessage="1" promptTitle="DTE" prompt="Days unTill Expiration" sqref="DR8" xr:uid="{4ADC66C3-2CE0-4141-8164-A5B0BBFE81B1}"/>
    <dataValidation allowBlank="1" showInputMessage="1" showErrorMessage="1" promptTitle="Is Booked" prompt="True if we have enough data to calculate the ROO and other metrics useful for analysis (as opposed to tracking, which also requires a filled contract)" sqref="EQ8" xr:uid="{0F5A6B6E-DD81-41DB-87FE-A13304454852}"/>
    <dataValidation allowBlank="1" showInputMessage="1" showErrorMessage="1" promptTitle="SP Not Filled" prompt="If 'Y' then this is not a filled order. _x000a__x000a_It is however, a bid I'm actively pursuing or actually placed with the broker and requires management" sqref="CL8" xr:uid="{2C046609-F598-40C9-BD18-A517CB1DAB00}"/>
    <dataValidation allowBlank="1" showInputMessage="1" showErrorMessage="1" promptTitle="YFinance Pricing" prompt="⚠ No price available for SOFI" sqref="C246" xr:uid="{FA60373C-CA6E-430C-A1BE-026ADD8193CA}"/>
    <dataValidation allowBlank="1" showInputMessage="1" showErrorMessage="1" promptTitle="YFinance Pricing" prompt="⚠ No price available for AGN" sqref="C26" xr:uid="{798AFF7A-95ED-469E-89E1-276BEEAB2181}"/>
    <dataValidation allowBlank="1" showInputMessage="1" showErrorMessage="1" promptTitle="YFinance Pricing" prompt="⚠ No price available for ARNC" sqref="C39" xr:uid="{EAACC7B1-79AD-4F0C-A22C-A3884C38DD51}"/>
    <dataValidation allowBlank="1" showInputMessage="1" showErrorMessage="1" promptTitle="YFinance Pricing" prompt="⚠ No price available for ATVI" sqref="C42" xr:uid="{5C63B6B7-39AC-4922-8666-BE263EB7625D}"/>
    <dataValidation allowBlank="1" showInputMessage="1" showErrorMessage="1" promptTitle="YFinance Pricing" prompt="⚠ No price available for BRK.B" sqref="C62" xr:uid="{52436B53-C343-4DA7-AC96-0193CDA4D505}"/>
    <dataValidation allowBlank="1" showInputMessage="1" showErrorMessage="1" promptTitle="YFinance Pricing" prompt="⚠ No price available for BRKS" sqref="C63" xr:uid="{651B1E69-0D33-4496-8B43-78807E9852E5}"/>
    <dataValidation allowBlank="1" showInputMessage="1" showErrorMessage="1" promptTitle="YFinance Pricing" prompt="⚠ No price available for CBS" sqref="C74:C75" xr:uid="{0BBDA510-31FD-4D8D-9CA2-79AD7AFD6284}"/>
    <dataValidation allowBlank="1" showInputMessage="1" showErrorMessage="1" promptTitle="YFinance Pricing" prompt="⚠ No price available for CELG" sqref="C80" xr:uid="{4319DDBF-16FA-4B67-BA4D-C7E3F85F158A}"/>
    <dataValidation allowBlank="1" showInputMessage="1" showErrorMessage="1" promptTitle="YFinance Pricing" prompt="⚠ No price available for CS" sqref="C107" xr:uid="{DC1643A3-383B-4194-8773-1DC0D3BD5B19}"/>
    <dataValidation allowBlank="1" showInputMessage="1" showErrorMessage="1" promptTitle="YFinance Pricing" prompt="⚠ No price available for CSFL" sqref="C109" xr:uid="{EB3C4B40-27B9-4E94-875F-647327039B8A}"/>
    <dataValidation allowBlank="1" showInputMessage="1" showErrorMessage="1" promptTitle="YFinance Pricing" prompt="⚠ No price available for DEN" sqref="C124" xr:uid="{3150E4BC-7F6D-4450-8EA8-B4413445A2BE}"/>
    <dataValidation allowBlank="1" showInputMessage="1" showErrorMessage="1" promptTitle="YFinance Pricing" prompt="⚠ No price available for SGEN" sqref="C128" xr:uid="{4901C0B0-5ACE-4125-B8B6-D05F3175F3EC}"/>
    <dataValidation allowBlank="1" showInputMessage="1" showErrorMessage="1" promptTitle="YFinance Pricing" prompt="⚠ No price available for DWAC" sqref="C142" xr:uid="{F14E030B-9CCC-4E99-82C1-31593DABD1A3}"/>
    <dataValidation allowBlank="1" showInputMessage="1" showErrorMessage="1" promptTitle="YFinance Pricing" prompt="⚠ No price available for ESV" sqref="C153" xr:uid="{E64423D6-63CC-480E-879C-1A718FA97353}"/>
    <dataValidation allowBlank="1" showInputMessage="1" showErrorMessage="1" promptTitle="YFinance Pricing" prompt="⚠ No price available for FDC" sqref="C168" xr:uid="{7ADBD501-F12F-4497-9A0C-FE817C5A514B}"/>
    <dataValidation allowBlank="1" showInputMessage="1" showErrorMessage="1" promptTitle="YFinance Pricing" prompt="⚠ No price available for FL" sqref="C172" xr:uid="{DF0617CC-43BB-446C-BF6C-EDE3A3447B00}"/>
    <dataValidation allowBlank="1" showInputMessage="1" showErrorMessage="1" promptTitle="YFinance Pricing" prompt="⚠ No price available for FLT" sqref="C174" xr:uid="{A5E66099-73D3-4224-BDF1-A9410A9CE402}"/>
    <dataValidation allowBlank="1" showInputMessage="1" showErrorMessage="1" promptTitle="YFinance Pricing" prompt="⚠ No price available for FOCS" sqref="C176" xr:uid="{33119050-B8C6-42C2-A682-ED31F4DAB0CB}"/>
    <dataValidation allowBlank="1" showInputMessage="1" showErrorMessage="1" promptTitle="YFinance Pricing" prompt="⚠ No price available for FTCH" sqref="C180" xr:uid="{5510B0FA-FE31-477B-87BF-460D4A72768C}"/>
    <dataValidation allowBlank="1" showInputMessage="1" showErrorMessage="1" promptTitle="YFinance Pricing" prompt="⚠ No price available for WORK" sqref="C214" xr:uid="{2BC89C95-DCAD-4D96-873D-370B607DAD68}"/>
    <dataValidation allowBlank="1" showInputMessage="1" showErrorMessage="1" promptTitle="YFinance Pricing" prompt="⚠ No price available for WRK" sqref="C216:C217" xr:uid="{015D1B08-AC02-4A1F-8FC9-6EAFBEBC2AF7}"/>
    <dataValidation allowBlank="1" showInputMessage="1" showErrorMessage="1" promptTitle="YFinance Pricing" prompt="⚠ No price available for X" sqref="C222" xr:uid="{867106B5-988F-41D1-89F3-039F109FF69C}"/>
    <dataValidation allowBlank="1" showInputMessage="1" showErrorMessage="1" promptTitle="YFinance Pricing" prompt="⚠ No price available for XEC" sqref="C224" xr:uid="{62220625-998B-4979-8DCC-A8E20762570E}"/>
    <dataValidation allowBlank="1" showInputMessage="1" showErrorMessage="1" promptTitle="YFinance Pricing" prompt="⚠ No price available for XLNX" sqref="C229" xr:uid="{9BFF3625-52EF-4671-B3E3-06D8C4BBE927}"/>
    <dataValidation allowBlank="1" showInputMessage="1" showErrorMessage="1" promptTitle="YFinance Pricing" prompt="⚠ No price available for YNDX" sqref="C237" xr:uid="{461E9757-4CA4-4C1B-A82D-D73BE59C2CFA}"/>
    <dataValidation allowBlank="1" showInputMessage="1" showErrorMessage="1" promptTitle="YFinance Pricing" prompt="⚠ No price available for ZUO" sqref="C241" xr:uid="{140F559B-37DB-4519-B445-DA2A703A734D}"/>
    <dataValidation allowBlank="1" showInputMessage="1" showErrorMessage="1" promptTitle="YFinance Pricing" prompt="updated 50 rows across 38 of 38 symbols [all]_x000a_Jul-26, 2026 2:02 AM" sqref="C6" xr:uid="{81E1C44A-DFC1-4516-AFB5-F994D589494F}"/>
    <dataValidation allowBlank="1" showInputMessage="1" showErrorMessage="1" promptTitle="YFinance Option Pricing" prompt="updated 11 rows across 11 of 17 contracts_x000a_Jul-26, 2026 7:17 AM_x000a_Failed: INTC260123C00040000, ONDS260710C00010500, ECHO260710C00110000, MARA260710C00015000, MARA260710C00014500, FCX260710C00065000" sqref="FA6" xr:uid="{DC14B1D7-FABB-483D-AF65-D3B640D63AE2}"/>
    <dataValidation allowBlank="1" showInputMessage="1" showErrorMessage="1" promptTitle="YFinance Option Pricing" prompt="updated 5 rows across 5 of 5 contracts_x000a_Jul-26, 2026 5:56 PM" sqref="CN6" xr:uid="{379F31A2-4D46-4A35-B299-D50B9DDC651D}"/>
  </dataValidations>
  <hyperlinks>
    <hyperlink ref="FL2" r:id="rId1" xr:uid="{C36F2490-366E-4D25-B5FD-352E06343F2D}"/>
  </hyperlinks>
  <pageMargins left="0.75" right="0.75" top="1" bottom="1" header="0.5" footer="0.5"/>
  <pageSetup orientation="landscape" r:id="rId2"/>
  <headerFooter alignWithMargins="0"/>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D3FC-2919-440C-AC9D-184EE1049C44}">
  <sheetPr codeName="Sheet5"/>
  <dimension ref="A1:T24"/>
  <sheetViews>
    <sheetView topLeftCell="E1" workbookViewId="0">
      <selection activeCell="I19" sqref="I19"/>
    </sheetView>
  </sheetViews>
  <sheetFormatPr defaultColWidth="9.140625" defaultRowHeight="12.75" x14ac:dyDescent="0.2"/>
  <cols>
    <col min="1" max="1" width="15.7109375" style="12" bestFit="1" customWidth="1"/>
    <col min="2" max="2" width="5.28515625" style="12" customWidth="1"/>
    <col min="3" max="4" width="15.7109375" style="12" customWidth="1"/>
    <col min="5" max="5" width="3.5703125" style="12" customWidth="1"/>
    <col min="6" max="6" width="19.28515625" style="12" bestFit="1" customWidth="1"/>
    <col min="7" max="7" width="72.140625" style="12" bestFit="1" customWidth="1"/>
    <col min="8" max="8" width="22.42578125" style="12" bestFit="1" customWidth="1"/>
    <col min="9" max="13" width="11.7109375" style="12" customWidth="1"/>
    <col min="14" max="14" width="20.28515625" style="12" bestFit="1" customWidth="1"/>
    <col min="15" max="19" width="11.7109375" style="12" customWidth="1"/>
    <col min="20" max="20" width="35.140625" style="12" bestFit="1" customWidth="1"/>
    <col min="21" max="16384" width="9.140625" style="12"/>
  </cols>
  <sheetData>
    <row r="1" spans="1:20" x14ac:dyDescent="0.2">
      <c r="F1" s="91" t="s">
        <v>337</v>
      </c>
    </row>
    <row r="2" spans="1:20" x14ac:dyDescent="0.2">
      <c r="G2" s="89"/>
      <c r="H2" s="89"/>
      <c r="I2" s="89"/>
      <c r="J2" s="89"/>
      <c r="K2" s="89"/>
      <c r="L2" s="89"/>
      <c r="M2" s="89"/>
      <c r="N2" s="89"/>
      <c r="O2" s="89"/>
      <c r="P2" s="89"/>
      <c r="Q2" s="89"/>
      <c r="R2" s="89"/>
      <c r="S2" s="89"/>
    </row>
    <row r="3" spans="1:20" ht="23.25" thickBot="1" x14ac:dyDescent="0.25">
      <c r="A3" s="90" t="s">
        <v>336</v>
      </c>
      <c r="B3" s="90"/>
      <c r="F3" s="89" t="s">
        <v>335</v>
      </c>
      <c r="G3" s="89" t="s">
        <v>334</v>
      </c>
      <c r="H3" s="89" t="s">
        <v>333</v>
      </c>
      <c r="I3" s="89" t="s">
        <v>332</v>
      </c>
      <c r="J3" s="89" t="s">
        <v>331</v>
      </c>
      <c r="K3" s="89" t="s">
        <v>330</v>
      </c>
      <c r="L3" s="89" t="s">
        <v>329</v>
      </c>
      <c r="M3" s="89" t="s">
        <v>328</v>
      </c>
      <c r="N3" s="89" t="s">
        <v>327</v>
      </c>
      <c r="O3" s="89" t="s">
        <v>326</v>
      </c>
      <c r="P3" s="89" t="s">
        <v>325</v>
      </c>
      <c r="Q3" s="89" t="s">
        <v>324</v>
      </c>
      <c r="R3" s="89" t="s">
        <v>323</v>
      </c>
      <c r="S3" s="89" t="s">
        <v>322</v>
      </c>
      <c r="T3" s="140" t="s">
        <v>387</v>
      </c>
    </row>
    <row r="4" spans="1:20" ht="13.5" thickTop="1" x14ac:dyDescent="0.2">
      <c r="A4" s="88" t="s">
        <v>319</v>
      </c>
      <c r="B4" s="88"/>
      <c r="C4" s="87" t="s">
        <v>180</v>
      </c>
      <c r="F4" s="12" t="s">
        <v>321</v>
      </c>
      <c r="G4" s="12" t="s">
        <v>320</v>
      </c>
      <c r="H4" s="12" t="s">
        <v>260</v>
      </c>
      <c r="I4" s="84"/>
      <c r="J4" s="84" t="s">
        <v>289</v>
      </c>
      <c r="K4" s="84"/>
      <c r="L4" s="84"/>
      <c r="M4" s="84"/>
      <c r="N4" s="84"/>
      <c r="O4" s="84"/>
      <c r="P4" s="84"/>
      <c r="Q4" s="84"/>
      <c r="R4" s="85"/>
      <c r="S4" s="84"/>
      <c r="T4" s="139" t="s">
        <v>388</v>
      </c>
    </row>
    <row r="5" spans="1:20" ht="13.5" thickBot="1" x14ac:dyDescent="0.25">
      <c r="A5" s="88"/>
      <c r="B5" s="88"/>
      <c r="C5" s="86" t="str">
        <f>"Y"</f>
        <v>Y</v>
      </c>
      <c r="F5" s="12" t="s">
        <v>319</v>
      </c>
      <c r="G5" s="1" t="s">
        <v>318</v>
      </c>
      <c r="H5" s="1" t="s">
        <v>179</v>
      </c>
      <c r="I5" s="84"/>
      <c r="J5" s="84" t="s">
        <v>289</v>
      </c>
      <c r="K5" s="84"/>
      <c r="L5" s="84" t="s">
        <v>317</v>
      </c>
      <c r="M5" s="84" t="s">
        <v>289</v>
      </c>
      <c r="N5" s="84"/>
      <c r="O5" s="84"/>
      <c r="P5" s="84"/>
      <c r="Q5" s="84"/>
      <c r="R5" s="85"/>
      <c r="S5" s="84"/>
      <c r="T5" s="139" t="s">
        <v>389</v>
      </c>
    </row>
    <row r="6" spans="1:20" ht="14.25" thickTop="1" thickBot="1" x14ac:dyDescent="0.25">
      <c r="F6" s="12" t="s">
        <v>483</v>
      </c>
      <c r="G6" s="1" t="s">
        <v>484</v>
      </c>
      <c r="H6" s="1" t="s">
        <v>270</v>
      </c>
      <c r="I6" s="84" t="s">
        <v>470</v>
      </c>
      <c r="J6" s="208" t="s">
        <v>290</v>
      </c>
      <c r="K6" s="208"/>
      <c r="L6" s="84"/>
      <c r="M6" s="208"/>
      <c r="N6" s="208"/>
      <c r="O6" s="84"/>
      <c r="P6" s="208"/>
      <c r="Q6" s="208"/>
      <c r="R6" s="209"/>
      <c r="S6" s="208"/>
      <c r="T6" s="208" t="s">
        <v>485</v>
      </c>
    </row>
    <row r="7" spans="1:20" ht="13.5" thickTop="1" x14ac:dyDescent="0.2">
      <c r="A7" s="1" t="s">
        <v>314</v>
      </c>
      <c r="C7" s="87" t="s">
        <v>180</v>
      </c>
      <c r="D7" s="87" t="s">
        <v>313</v>
      </c>
      <c r="F7" s="12" t="s">
        <v>627</v>
      </c>
      <c r="G7" s="12" t="s">
        <v>628</v>
      </c>
      <c r="H7" s="12" t="s">
        <v>213</v>
      </c>
      <c r="I7" s="84">
        <v>0</v>
      </c>
      <c r="J7" s="214" t="s">
        <v>306</v>
      </c>
      <c r="K7" s="214"/>
      <c r="L7" s="84"/>
      <c r="M7" s="214"/>
      <c r="N7" s="131" t="s">
        <v>208</v>
      </c>
      <c r="O7" s="84"/>
      <c r="P7" s="131" t="s">
        <v>290</v>
      </c>
      <c r="Q7" s="214"/>
      <c r="R7" s="215"/>
      <c r="S7" s="214"/>
      <c r="T7" s="214" t="s">
        <v>633</v>
      </c>
    </row>
    <row r="8" spans="1:20" ht="13.5" thickBot="1" x14ac:dyDescent="0.25">
      <c r="C8" s="86" t="str">
        <f>"Y"</f>
        <v>Y</v>
      </c>
      <c r="D8" s="86" t="str">
        <f>"&lt;&gt;"</f>
        <v>&lt;&gt;</v>
      </c>
      <c r="F8" s="1" t="s">
        <v>316</v>
      </c>
      <c r="G8" s="1" t="s">
        <v>315</v>
      </c>
      <c r="H8" s="12" t="s">
        <v>421</v>
      </c>
      <c r="I8" s="84"/>
      <c r="J8" s="84" t="s">
        <v>289</v>
      </c>
      <c r="K8" s="84"/>
      <c r="L8" s="84"/>
      <c r="M8" s="84"/>
      <c r="N8" s="84"/>
      <c r="O8" s="84"/>
      <c r="P8" s="84"/>
      <c r="Q8" s="84"/>
      <c r="R8" s="85"/>
      <c r="S8" s="84"/>
      <c r="T8" s="139" t="s">
        <v>390</v>
      </c>
    </row>
    <row r="9" spans="1:20" ht="13.5" thickTop="1" x14ac:dyDescent="0.2">
      <c r="F9" s="12" t="s">
        <v>380</v>
      </c>
      <c r="G9" s="12" t="s">
        <v>381</v>
      </c>
      <c r="H9" s="12" t="s">
        <v>460</v>
      </c>
      <c r="I9" s="84" t="s">
        <v>153</v>
      </c>
      <c r="J9" s="131" t="s">
        <v>290</v>
      </c>
      <c r="K9" s="131"/>
      <c r="L9" s="84"/>
      <c r="M9" s="131"/>
      <c r="N9" s="131" t="s">
        <v>208</v>
      </c>
      <c r="O9" s="84"/>
      <c r="P9" s="131" t="s">
        <v>290</v>
      </c>
      <c r="Q9" s="131"/>
      <c r="R9" s="132"/>
      <c r="S9" s="131"/>
      <c r="T9" s="139" t="s">
        <v>391</v>
      </c>
    </row>
    <row r="10" spans="1:20" ht="13.5" thickBot="1" x14ac:dyDescent="0.25">
      <c r="F10" s="12" t="s">
        <v>312</v>
      </c>
      <c r="G10" s="12" t="s">
        <v>311</v>
      </c>
      <c r="H10" s="1" t="s">
        <v>212</v>
      </c>
      <c r="I10" s="84">
        <v>0</v>
      </c>
      <c r="J10" s="84" t="s">
        <v>306</v>
      </c>
      <c r="K10" s="84"/>
      <c r="L10" s="84"/>
      <c r="M10" s="84"/>
      <c r="N10" s="84"/>
      <c r="O10" s="84"/>
      <c r="P10" s="84"/>
      <c r="Q10" s="84"/>
      <c r="R10" s="85"/>
      <c r="S10" s="84"/>
      <c r="T10" s="139" t="s">
        <v>392</v>
      </c>
    </row>
    <row r="11" spans="1:20" ht="13.5" thickTop="1" x14ac:dyDescent="0.2">
      <c r="A11" s="12" t="s">
        <v>305</v>
      </c>
      <c r="C11" s="87" t="s">
        <v>179</v>
      </c>
      <c r="F11" s="1" t="s">
        <v>310</v>
      </c>
      <c r="G11" s="1" t="s">
        <v>309</v>
      </c>
      <c r="H11" s="1" t="s">
        <v>179</v>
      </c>
      <c r="I11" s="84"/>
      <c r="J11" s="84" t="s">
        <v>289</v>
      </c>
      <c r="K11" s="84"/>
      <c r="L11" s="84"/>
      <c r="M11" s="84"/>
      <c r="N11" s="1" t="s">
        <v>255</v>
      </c>
      <c r="O11" s="84">
        <v>0</v>
      </c>
      <c r="P11" s="84" t="s">
        <v>306</v>
      </c>
      <c r="Q11" s="84"/>
      <c r="R11" s="85"/>
      <c r="S11" s="84"/>
      <c r="T11" s="139" t="s">
        <v>393</v>
      </c>
    </row>
    <row r="12" spans="1:20" ht="13.5" thickBot="1" x14ac:dyDescent="0.25">
      <c r="C12" s="86" t="str">
        <f>"*LNG*"</f>
        <v>*LNG*</v>
      </c>
      <c r="F12" s="1" t="s">
        <v>308</v>
      </c>
      <c r="G12" s="1" t="s">
        <v>307</v>
      </c>
      <c r="H12" s="1" t="s">
        <v>179</v>
      </c>
      <c r="I12" s="84"/>
      <c r="J12" s="84" t="s">
        <v>289</v>
      </c>
      <c r="K12" s="84"/>
      <c r="L12" s="84"/>
      <c r="M12" s="84"/>
      <c r="N12" s="1" t="s">
        <v>264</v>
      </c>
      <c r="O12" s="84">
        <v>0</v>
      </c>
      <c r="P12" s="84" t="s">
        <v>306</v>
      </c>
      <c r="Q12" s="84"/>
      <c r="R12" s="85"/>
      <c r="S12" s="84"/>
      <c r="T12" s="139" t="s">
        <v>394</v>
      </c>
    </row>
    <row r="13" spans="1:20" ht="13.5" thickTop="1" x14ac:dyDescent="0.2">
      <c r="F13" s="12" t="s">
        <v>713</v>
      </c>
      <c r="G13" s="12" t="s">
        <v>714</v>
      </c>
      <c r="H13" s="1" t="s">
        <v>668</v>
      </c>
      <c r="I13" s="84">
        <v>0</v>
      </c>
      <c r="J13" s="84" t="s">
        <v>289</v>
      </c>
      <c r="K13" s="84"/>
      <c r="L13" s="84"/>
      <c r="M13" s="84"/>
      <c r="N13" s="84"/>
      <c r="O13" s="84"/>
      <c r="P13" s="84"/>
      <c r="Q13" s="84"/>
      <c r="R13" s="85"/>
      <c r="S13" s="84"/>
      <c r="T13" s="84" t="s">
        <v>715</v>
      </c>
    </row>
    <row r="14" spans="1:20" x14ac:dyDescent="0.2">
      <c r="F14" s="12" t="s">
        <v>178</v>
      </c>
      <c r="G14" s="12" t="s">
        <v>707</v>
      </c>
      <c r="H14" s="1" t="s">
        <v>178</v>
      </c>
      <c r="I14" s="84">
        <v>0</v>
      </c>
      <c r="J14" s="84" t="s">
        <v>289</v>
      </c>
      <c r="K14" s="84"/>
      <c r="L14" s="84"/>
      <c r="M14" s="84"/>
      <c r="N14" s="84"/>
      <c r="O14" s="84"/>
      <c r="P14" s="84"/>
      <c r="Q14" s="84"/>
      <c r="R14" s="85"/>
      <c r="S14" s="84"/>
      <c r="T14" s="84" t="s">
        <v>716</v>
      </c>
    </row>
    <row r="15" spans="1:20" x14ac:dyDescent="0.2">
      <c r="F15" s="1" t="s">
        <v>304</v>
      </c>
      <c r="G15" s="1" t="s">
        <v>303</v>
      </c>
      <c r="H15" s="1" t="s">
        <v>221</v>
      </c>
      <c r="I15" s="84"/>
      <c r="J15" s="84" t="s">
        <v>289</v>
      </c>
      <c r="K15" s="84"/>
      <c r="L15" s="84"/>
      <c r="M15" s="84"/>
      <c r="N15" s="84"/>
      <c r="O15" s="84"/>
      <c r="P15" s="84"/>
      <c r="Q15" s="84"/>
      <c r="R15" s="85"/>
      <c r="S15" s="84"/>
      <c r="T15" s="139" t="s">
        <v>395</v>
      </c>
    </row>
    <row r="16" spans="1:20" x14ac:dyDescent="0.2">
      <c r="F16" s="1" t="s">
        <v>302</v>
      </c>
      <c r="G16" s="1" t="s">
        <v>301</v>
      </c>
      <c r="H16" s="1" t="s">
        <v>241</v>
      </c>
      <c r="I16" s="84"/>
      <c r="J16" s="84" t="s">
        <v>289</v>
      </c>
      <c r="K16" s="84"/>
      <c r="L16" s="84"/>
      <c r="M16" s="84"/>
      <c r="N16" s="84"/>
      <c r="O16" s="84"/>
      <c r="P16" s="84"/>
      <c r="Q16" s="84"/>
      <c r="R16" s="85"/>
      <c r="S16" s="84"/>
      <c r="T16" s="139" t="s">
        <v>396</v>
      </c>
    </row>
    <row r="17" spans="6:20" x14ac:dyDescent="0.2">
      <c r="F17" s="12" t="s">
        <v>300</v>
      </c>
      <c r="G17" s="12" t="s">
        <v>299</v>
      </c>
      <c r="H17" s="12" t="s">
        <v>179</v>
      </c>
      <c r="I17" s="84" t="s">
        <v>296</v>
      </c>
      <c r="J17" s="84" t="s">
        <v>290</v>
      </c>
      <c r="K17" s="84"/>
      <c r="L17" s="84"/>
      <c r="M17" s="84"/>
      <c r="N17" s="84"/>
      <c r="O17" s="84"/>
      <c r="P17" s="84"/>
      <c r="Q17" s="84"/>
      <c r="R17" s="85"/>
      <c r="S17" s="84"/>
      <c r="T17" s="139" t="s">
        <v>397</v>
      </c>
    </row>
    <row r="18" spans="6:20" x14ac:dyDescent="0.2">
      <c r="F18" s="12" t="s">
        <v>298</v>
      </c>
      <c r="G18" s="12" t="s">
        <v>297</v>
      </c>
      <c r="H18" s="12" t="s">
        <v>213</v>
      </c>
      <c r="I18" s="84">
        <v>0</v>
      </c>
      <c r="J18" s="84" t="s">
        <v>306</v>
      </c>
      <c r="K18" s="84"/>
      <c r="L18" s="84"/>
      <c r="M18" s="84"/>
      <c r="N18" s="84"/>
      <c r="O18" s="84"/>
      <c r="P18" s="84"/>
      <c r="Q18" s="84"/>
      <c r="R18" s="85"/>
      <c r="S18" s="84"/>
      <c r="T18" s="139" t="s">
        <v>398</v>
      </c>
    </row>
    <row r="19" spans="6:20" x14ac:dyDescent="0.2">
      <c r="F19" s="1" t="s">
        <v>295</v>
      </c>
      <c r="G19" s="1" t="s">
        <v>294</v>
      </c>
      <c r="H19" s="12" t="s">
        <v>228</v>
      </c>
      <c r="I19" s="84"/>
      <c r="J19" s="84" t="s">
        <v>289</v>
      </c>
      <c r="K19" s="84"/>
      <c r="L19" s="84"/>
      <c r="M19" s="84"/>
      <c r="N19" s="84"/>
      <c r="O19" s="84"/>
      <c r="P19" s="84"/>
      <c r="Q19" s="84"/>
      <c r="R19" s="85"/>
      <c r="S19" s="84"/>
      <c r="T19" s="139" t="s">
        <v>399</v>
      </c>
    </row>
    <row r="20" spans="6:20" x14ac:dyDescent="0.2">
      <c r="F20" s="12" t="s">
        <v>383</v>
      </c>
      <c r="G20" s="12" t="s">
        <v>384</v>
      </c>
      <c r="H20" s="12" t="s">
        <v>457</v>
      </c>
      <c r="I20" s="84" t="s">
        <v>153</v>
      </c>
      <c r="J20" s="131" t="s">
        <v>290</v>
      </c>
      <c r="K20" s="131"/>
      <c r="L20" s="84"/>
      <c r="M20" s="131"/>
      <c r="N20" s="131" t="s">
        <v>228</v>
      </c>
      <c r="O20" s="84"/>
      <c r="P20" s="131" t="s">
        <v>290</v>
      </c>
      <c r="Q20" s="131"/>
      <c r="R20" s="132"/>
      <c r="S20" s="131"/>
      <c r="T20" s="139" t="s">
        <v>400</v>
      </c>
    </row>
    <row r="21" spans="6:20" x14ac:dyDescent="0.2">
      <c r="F21" s="1" t="s">
        <v>293</v>
      </c>
      <c r="G21" s="12" t="s">
        <v>632</v>
      </c>
      <c r="H21" s="12" t="s">
        <v>226</v>
      </c>
      <c r="I21" s="84">
        <v>0</v>
      </c>
      <c r="J21" s="84" t="s">
        <v>289</v>
      </c>
      <c r="K21" s="84"/>
      <c r="L21" s="84"/>
      <c r="M21" s="84"/>
      <c r="N21" s="84"/>
      <c r="O21" s="84"/>
      <c r="P21" s="84"/>
      <c r="Q21" s="84"/>
      <c r="R21" s="85"/>
      <c r="S21" s="84"/>
      <c r="T21" s="139" t="s">
        <v>401</v>
      </c>
    </row>
    <row r="22" spans="6:20" x14ac:dyDescent="0.2">
      <c r="F22" s="12" t="s">
        <v>854</v>
      </c>
      <c r="G22" s="12" t="s">
        <v>855</v>
      </c>
      <c r="H22" s="1" t="s">
        <v>241</v>
      </c>
      <c r="I22" s="84"/>
      <c r="J22" s="84" t="s">
        <v>289</v>
      </c>
      <c r="K22" s="84"/>
      <c r="L22" s="84"/>
      <c r="M22" s="84"/>
      <c r="N22" s="84" t="s">
        <v>228</v>
      </c>
      <c r="O22" s="84"/>
      <c r="P22" s="84" t="s">
        <v>290</v>
      </c>
      <c r="Q22" s="84"/>
      <c r="R22" s="85"/>
      <c r="S22" s="84"/>
      <c r="T22" s="84" t="s">
        <v>856</v>
      </c>
    </row>
    <row r="23" spans="6:20" x14ac:dyDescent="0.2">
      <c r="F23" s="12" t="s">
        <v>292</v>
      </c>
      <c r="G23" s="12" t="s">
        <v>291</v>
      </c>
      <c r="H23" s="12" t="s">
        <v>270</v>
      </c>
      <c r="I23" s="84"/>
      <c r="J23" s="84" t="s">
        <v>290</v>
      </c>
      <c r="K23" s="84"/>
      <c r="L23" s="84"/>
      <c r="M23" s="84"/>
      <c r="N23" s="84"/>
      <c r="O23" s="84"/>
      <c r="P23" s="84"/>
      <c r="Q23" s="84"/>
      <c r="R23" s="85"/>
      <c r="S23" s="84"/>
      <c r="T23" s="139" t="s">
        <v>403</v>
      </c>
    </row>
    <row r="24" spans="6:20" x14ac:dyDescent="0.2">
      <c r="F24" s="1" t="s">
        <v>265</v>
      </c>
      <c r="H24" s="1" t="s">
        <v>265</v>
      </c>
      <c r="I24" s="84"/>
      <c r="J24" s="84" t="s">
        <v>289</v>
      </c>
      <c r="K24" s="84"/>
      <c r="L24" s="84"/>
      <c r="M24" s="84"/>
      <c r="N24" s="84"/>
      <c r="O24" s="84"/>
      <c r="P24" s="84"/>
      <c r="Q24" s="84"/>
      <c r="R24" s="85"/>
      <c r="S24" s="84"/>
      <c r="T24" s="139" t="s">
        <v>404</v>
      </c>
    </row>
  </sheetData>
  <dataValidations count="3">
    <dataValidation type="list" allowBlank="1" showInputMessage="1" showErrorMessage="1" sqref="M22 M4:M15 J4:J24 P4:P24 S4:S24" xr:uid="{00000000-0002-0000-0200-000000000000}">
      <formula1>EbfCriteriaOps</formula1>
    </dataValidation>
    <dataValidation type="list" allowBlank="1" showInputMessage="1" showErrorMessage="1" sqref="N4:N24 H4:H24" xr:uid="{00000000-0002-0000-0200-000002000000}">
      <formula1>_SnapColumnNames</formula1>
    </dataValidation>
    <dataValidation type="list" allowBlank="1" showInputMessage="1" showErrorMessage="1" sqref="Q4:Q24 K4:K24" xr:uid="{00000000-0002-0000-0200-000001000000}">
      <formula1>XlAutoFilterOps</formula1>
    </dataValidation>
  </dataValidations>
  <pageMargins left="0.7" right="0.7" top="0.75" bottom="0.75" header="0.3" footer="0.3"/>
  <pageSetup orientation="portrait" horizontalDpi="4294967293" verticalDpi="4294967293"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2074-6EBA-473C-897C-0FF255B4EBB7}">
  <sheetPr codeName="Sheet4"/>
  <dimension ref="B3:S26"/>
  <sheetViews>
    <sheetView topLeftCell="A4" workbookViewId="0">
      <selection activeCell="B11" sqref="B11"/>
    </sheetView>
  </sheetViews>
  <sheetFormatPr defaultColWidth="9.140625" defaultRowHeight="12.75" outlineLevelCol="1" x14ac:dyDescent="0.2"/>
  <cols>
    <col min="1" max="1" width="4.5703125" style="1" customWidth="1"/>
    <col min="2" max="2" width="28.42578125" style="1" bestFit="1" customWidth="1"/>
    <col min="3" max="5" width="15.85546875" style="1" bestFit="1" customWidth="1"/>
    <col min="6" max="6" width="18.140625" style="1" bestFit="1" customWidth="1"/>
    <col min="7" max="7" width="20.85546875" style="1" bestFit="1" customWidth="1"/>
    <col min="8" max="8" width="20.85546875" style="1" customWidth="1"/>
    <col min="9" max="9" width="18.140625" style="1" bestFit="1" customWidth="1"/>
    <col min="10" max="10" width="11.140625" style="1" bestFit="1" customWidth="1"/>
    <col min="11" max="11" width="15.42578125" style="1" bestFit="1" customWidth="1"/>
    <col min="12" max="12" width="12.140625" style="1" bestFit="1" customWidth="1"/>
    <col min="13" max="13" width="17.5703125" style="1" bestFit="1" customWidth="1"/>
    <col min="14" max="14" width="12.140625" style="1" bestFit="1" customWidth="1"/>
    <col min="15" max="15" width="42.42578125" style="1" customWidth="1" outlineLevel="1"/>
    <col min="16" max="16384" width="9.140625" style="1"/>
  </cols>
  <sheetData>
    <row r="3" spans="2:19" x14ac:dyDescent="0.2">
      <c r="S3" s="12"/>
    </row>
    <row r="4" spans="2:19" x14ac:dyDescent="0.2">
      <c r="B4" s="92" t="s">
        <v>367</v>
      </c>
      <c r="C4" s="92" t="s">
        <v>366</v>
      </c>
      <c r="D4" s="92" t="s">
        <v>365</v>
      </c>
      <c r="E4" s="92" t="s">
        <v>364</v>
      </c>
      <c r="F4" s="92" t="s">
        <v>363</v>
      </c>
      <c r="G4" s="92" t="s">
        <v>362</v>
      </c>
      <c r="H4" s="92" t="s">
        <v>475</v>
      </c>
      <c r="I4" s="92" t="s">
        <v>361</v>
      </c>
      <c r="J4" s="92" t="s">
        <v>360</v>
      </c>
      <c r="K4" s="92" t="s">
        <v>359</v>
      </c>
      <c r="L4" s="92" t="s">
        <v>358</v>
      </c>
      <c r="M4" s="92" t="s">
        <v>357</v>
      </c>
      <c r="N4" s="92" t="s">
        <v>356</v>
      </c>
      <c r="O4" s="92" t="s">
        <v>387</v>
      </c>
    </row>
    <row r="5" spans="2:19" ht="15" customHeight="1" x14ac:dyDescent="0.2">
      <c r="B5" s="1" t="s">
        <v>355</v>
      </c>
      <c r="C5" s="1" t="s">
        <v>281</v>
      </c>
      <c r="D5" s="1" t="s">
        <v>275</v>
      </c>
      <c r="F5" s="1" t="s">
        <v>321</v>
      </c>
      <c r="I5" s="1" t="s">
        <v>251</v>
      </c>
      <c r="J5" s="1" t="s">
        <v>338</v>
      </c>
      <c r="K5" s="1" t="s">
        <v>270</v>
      </c>
      <c r="L5" s="1" t="s">
        <v>339</v>
      </c>
      <c r="O5" s="12" t="s">
        <v>388</v>
      </c>
    </row>
    <row r="6" spans="2:19" x14ac:dyDescent="0.2">
      <c r="B6" s="1" t="s">
        <v>354</v>
      </c>
      <c r="C6" s="1" t="s">
        <v>281</v>
      </c>
      <c r="E6" s="1" t="s">
        <v>282</v>
      </c>
      <c r="F6" s="1" t="s">
        <v>321</v>
      </c>
      <c r="I6" s="1" t="s">
        <v>260</v>
      </c>
      <c r="J6" s="1" t="s">
        <v>339</v>
      </c>
      <c r="K6" s="1" t="s">
        <v>270</v>
      </c>
      <c r="L6" s="1" t="s">
        <v>339</v>
      </c>
      <c r="O6" s="12" t="s">
        <v>389</v>
      </c>
    </row>
    <row r="7" spans="2:19" x14ac:dyDescent="0.2">
      <c r="B7" s="1" t="s">
        <v>353</v>
      </c>
      <c r="C7" s="1" t="s">
        <v>280</v>
      </c>
      <c r="D7" s="1" t="s">
        <v>277</v>
      </c>
      <c r="E7" s="12"/>
      <c r="F7" s="1" t="s">
        <v>178</v>
      </c>
      <c r="I7" s="1" t="s">
        <v>270</v>
      </c>
      <c r="J7" s="1" t="s">
        <v>339</v>
      </c>
      <c r="O7" s="12" t="s">
        <v>390</v>
      </c>
    </row>
    <row r="8" spans="2:19" ht="12.75" customHeight="1" x14ac:dyDescent="0.25">
      <c r="B8" t="s">
        <v>486</v>
      </c>
      <c r="C8"/>
      <c r="D8"/>
      <c r="E8"/>
      <c r="F8" t="s">
        <v>483</v>
      </c>
      <c r="G8"/>
      <c r="H8" s="12"/>
      <c r="I8" s="104" t="s">
        <v>270</v>
      </c>
      <c r="J8" s="104" t="s">
        <v>339</v>
      </c>
      <c r="K8" s="104"/>
      <c r="L8"/>
      <c r="M8" s="210"/>
      <c r="N8" s="210"/>
      <c r="O8" s="12" t="s">
        <v>717</v>
      </c>
    </row>
    <row r="9" spans="2:19" x14ac:dyDescent="0.2">
      <c r="B9" s="1" t="s">
        <v>352</v>
      </c>
      <c r="C9" s="1" t="s">
        <v>277</v>
      </c>
      <c r="D9" s="1" t="s">
        <v>271</v>
      </c>
      <c r="F9" s="1" t="s">
        <v>627</v>
      </c>
      <c r="H9" s="1" t="s">
        <v>728</v>
      </c>
      <c r="I9" s="1" t="s">
        <v>178</v>
      </c>
      <c r="J9" s="12" t="s">
        <v>338</v>
      </c>
      <c r="K9" s="12" t="s">
        <v>213</v>
      </c>
      <c r="L9" s="12" t="s">
        <v>338</v>
      </c>
      <c r="O9" s="12" t="s">
        <v>391</v>
      </c>
    </row>
    <row r="10" spans="2:19" x14ac:dyDescent="0.2">
      <c r="B10" s="1" t="s">
        <v>351</v>
      </c>
      <c r="C10" s="12" t="s">
        <v>277</v>
      </c>
      <c r="D10" s="1" t="s">
        <v>271</v>
      </c>
      <c r="F10" s="1" t="s">
        <v>312</v>
      </c>
      <c r="H10" s="1" t="s">
        <v>213</v>
      </c>
      <c r="I10" s="1" t="s">
        <v>212</v>
      </c>
      <c r="J10" s="1" t="s">
        <v>339</v>
      </c>
      <c r="K10" s="1" t="s">
        <v>270</v>
      </c>
      <c r="L10" s="1" t="s">
        <v>339</v>
      </c>
      <c r="O10" s="12" t="s">
        <v>392</v>
      </c>
    </row>
    <row r="11" spans="2:19" x14ac:dyDescent="0.2">
      <c r="B11" s="1" t="s">
        <v>350</v>
      </c>
      <c r="C11" s="12" t="s">
        <v>277</v>
      </c>
      <c r="D11" s="1" t="s">
        <v>271</v>
      </c>
      <c r="F11" s="1" t="s">
        <v>316</v>
      </c>
      <c r="H11" s="1" t="s">
        <v>728</v>
      </c>
      <c r="I11" s="12" t="s">
        <v>644</v>
      </c>
      <c r="J11" s="1" t="s">
        <v>339</v>
      </c>
      <c r="K11" s="12" t="s">
        <v>212</v>
      </c>
      <c r="L11" s="12" t="s">
        <v>339</v>
      </c>
      <c r="M11" s="133" t="s">
        <v>270</v>
      </c>
      <c r="N11" s="12" t="s">
        <v>339</v>
      </c>
      <c r="O11" s="12" t="s">
        <v>393</v>
      </c>
    </row>
    <row r="12" spans="2:19" x14ac:dyDescent="0.2">
      <c r="B12" s="12" t="s">
        <v>382</v>
      </c>
      <c r="C12" s="12" t="s">
        <v>271</v>
      </c>
      <c r="D12" s="12" t="s">
        <v>277</v>
      </c>
      <c r="E12" s="1" t="s">
        <v>768</v>
      </c>
      <c r="F12" s="1" t="s">
        <v>380</v>
      </c>
      <c r="H12" s="1" t="s">
        <v>728</v>
      </c>
      <c r="I12" s="12" t="s">
        <v>209</v>
      </c>
      <c r="J12" s="12" t="s">
        <v>339</v>
      </c>
      <c r="K12" s="12" t="s">
        <v>212</v>
      </c>
      <c r="L12" s="12" t="s">
        <v>339</v>
      </c>
      <c r="M12" s="133" t="s">
        <v>708</v>
      </c>
      <c r="N12" s="12" t="s">
        <v>339</v>
      </c>
      <c r="O12" s="12" t="s">
        <v>394</v>
      </c>
    </row>
    <row r="13" spans="2:19" x14ac:dyDescent="0.2">
      <c r="B13" s="1" t="s">
        <v>349</v>
      </c>
      <c r="C13" s="1" t="s">
        <v>279</v>
      </c>
      <c r="F13" s="1" t="s">
        <v>310</v>
      </c>
      <c r="H13" s="1" t="s">
        <v>728</v>
      </c>
      <c r="I13" s="1" t="s">
        <v>257</v>
      </c>
      <c r="J13" s="1" t="s">
        <v>339</v>
      </c>
      <c r="K13" s="1" t="s">
        <v>270</v>
      </c>
      <c r="L13" s="1" t="s">
        <v>339</v>
      </c>
      <c r="O13" s="12" t="s">
        <v>395</v>
      </c>
    </row>
    <row r="14" spans="2:19" x14ac:dyDescent="0.2">
      <c r="B14" s="1" t="s">
        <v>348</v>
      </c>
      <c r="C14" s="1" t="s">
        <v>282</v>
      </c>
      <c r="D14" s="1" t="s">
        <v>277</v>
      </c>
      <c r="F14" s="12" t="s">
        <v>178</v>
      </c>
      <c r="I14" s="1" t="s">
        <v>264</v>
      </c>
      <c r="J14" s="1" t="s">
        <v>339</v>
      </c>
      <c r="K14" s="1" t="s">
        <v>263</v>
      </c>
      <c r="L14" s="1" t="s">
        <v>339</v>
      </c>
      <c r="M14" s="133" t="s">
        <v>270</v>
      </c>
      <c r="N14" s="133" t="s">
        <v>339</v>
      </c>
      <c r="O14" s="12" t="s">
        <v>396</v>
      </c>
    </row>
    <row r="15" spans="2:19" x14ac:dyDescent="0.2">
      <c r="B15" s="12" t="s">
        <v>713</v>
      </c>
      <c r="C15" s="1" t="s">
        <v>280</v>
      </c>
      <c r="D15" s="1" t="s">
        <v>277</v>
      </c>
      <c r="F15" s="1" t="s">
        <v>713</v>
      </c>
      <c r="H15" s="12" t="s">
        <v>264</v>
      </c>
      <c r="I15" s="1" t="s">
        <v>270</v>
      </c>
      <c r="J15" s="12" t="s">
        <v>339</v>
      </c>
      <c r="K15" s="1" t="s">
        <v>178</v>
      </c>
      <c r="L15" s="12" t="s">
        <v>338</v>
      </c>
      <c r="M15" s="12"/>
      <c r="N15" s="12"/>
      <c r="O15" s="12" t="s">
        <v>718</v>
      </c>
    </row>
    <row r="16" spans="2:19" x14ac:dyDescent="0.2">
      <c r="B16" s="1" t="s">
        <v>347</v>
      </c>
      <c r="C16" s="1" t="s">
        <v>277</v>
      </c>
      <c r="D16" s="12" t="s">
        <v>272</v>
      </c>
      <c r="E16" s="12"/>
      <c r="F16" s="1" t="s">
        <v>304</v>
      </c>
      <c r="H16" s="1" t="s">
        <v>728</v>
      </c>
      <c r="I16" s="1" t="s">
        <v>221</v>
      </c>
      <c r="J16" s="12" t="s">
        <v>339</v>
      </c>
      <c r="K16" s="1" t="s">
        <v>643</v>
      </c>
      <c r="L16" s="1" t="s">
        <v>338</v>
      </c>
      <c r="M16" s="1" t="s">
        <v>270</v>
      </c>
      <c r="N16" s="1" t="s">
        <v>339</v>
      </c>
      <c r="O16" s="12" t="s">
        <v>397</v>
      </c>
    </row>
    <row r="17" spans="2:15" x14ac:dyDescent="0.2">
      <c r="B17" s="1" t="s">
        <v>346</v>
      </c>
      <c r="C17" s="1" t="s">
        <v>277</v>
      </c>
      <c r="F17" s="1" t="s">
        <v>298</v>
      </c>
      <c r="I17" s="1" t="s">
        <v>643</v>
      </c>
      <c r="J17" s="1" t="s">
        <v>338</v>
      </c>
      <c r="K17" s="1" t="s">
        <v>270</v>
      </c>
      <c r="L17" s="1" t="s">
        <v>339</v>
      </c>
      <c r="O17" s="12" t="s">
        <v>398</v>
      </c>
    </row>
    <row r="18" spans="2:15" x14ac:dyDescent="0.2">
      <c r="B18" s="1" t="s">
        <v>345</v>
      </c>
      <c r="C18" s="1" t="s">
        <v>274</v>
      </c>
      <c r="F18" s="1" t="s">
        <v>302</v>
      </c>
      <c r="I18" s="1" t="s">
        <v>235</v>
      </c>
      <c r="J18" s="1" t="s">
        <v>338</v>
      </c>
      <c r="K18" s="1" t="s">
        <v>270</v>
      </c>
      <c r="L18" s="1" t="s">
        <v>339</v>
      </c>
      <c r="O18" s="12" t="s">
        <v>399</v>
      </c>
    </row>
    <row r="19" spans="2:15" x14ac:dyDescent="0.2">
      <c r="B19" s="1" t="s">
        <v>344</v>
      </c>
      <c r="C19" s="1" t="s">
        <v>273</v>
      </c>
      <c r="F19" s="1" t="s">
        <v>293</v>
      </c>
      <c r="I19" s="1" t="s">
        <v>223</v>
      </c>
      <c r="J19" s="1" t="s">
        <v>338</v>
      </c>
      <c r="K19" s="1" t="s">
        <v>225</v>
      </c>
      <c r="L19" s="1" t="s">
        <v>338</v>
      </c>
      <c r="O19" s="12" t="s">
        <v>400</v>
      </c>
    </row>
    <row r="20" spans="2:15" x14ac:dyDescent="0.2">
      <c r="B20" s="1" t="s">
        <v>343</v>
      </c>
      <c r="C20" s="1" t="s">
        <v>277</v>
      </c>
      <c r="D20" s="12" t="s">
        <v>273</v>
      </c>
      <c r="F20" s="12" t="s">
        <v>178</v>
      </c>
      <c r="H20" s="12" t="s">
        <v>728</v>
      </c>
      <c r="I20" s="1" t="s">
        <v>232</v>
      </c>
      <c r="J20" s="1" t="s">
        <v>339</v>
      </c>
      <c r="K20" s="1" t="s">
        <v>225</v>
      </c>
      <c r="L20" s="1" t="s">
        <v>338</v>
      </c>
      <c r="O20" s="12" t="s">
        <v>401</v>
      </c>
    </row>
    <row r="21" spans="2:15" x14ac:dyDescent="0.2">
      <c r="B21" s="12" t="s">
        <v>342</v>
      </c>
      <c r="C21" s="1" t="s">
        <v>277</v>
      </c>
      <c r="D21" s="12" t="s">
        <v>273</v>
      </c>
      <c r="F21" s="1" t="s">
        <v>295</v>
      </c>
      <c r="H21" s="12" t="s">
        <v>728</v>
      </c>
      <c r="I21" s="12" t="s">
        <v>642</v>
      </c>
      <c r="J21" s="1" t="s">
        <v>339</v>
      </c>
      <c r="K21" s="1" t="s">
        <v>178</v>
      </c>
      <c r="L21" s="12" t="s">
        <v>338</v>
      </c>
      <c r="M21" s="12"/>
      <c r="N21" s="12"/>
      <c r="O21" s="12" t="s">
        <v>402</v>
      </c>
    </row>
    <row r="22" spans="2:15" x14ac:dyDescent="0.2">
      <c r="B22" s="12" t="s">
        <v>857</v>
      </c>
      <c r="C22" s="1" t="s">
        <v>277</v>
      </c>
      <c r="D22" s="12" t="s">
        <v>273</v>
      </c>
      <c r="F22" s="1" t="s">
        <v>854</v>
      </c>
      <c r="H22" s="12" t="s">
        <v>728</v>
      </c>
      <c r="I22" s="12" t="s">
        <v>642</v>
      </c>
      <c r="J22" s="1" t="s">
        <v>339</v>
      </c>
      <c r="K22" s="1" t="s">
        <v>270</v>
      </c>
      <c r="L22" s="12" t="s">
        <v>339</v>
      </c>
      <c r="M22" s="12" t="s">
        <v>231</v>
      </c>
      <c r="N22" s="12" t="s">
        <v>339</v>
      </c>
      <c r="O22" s="12" t="s">
        <v>858</v>
      </c>
    </row>
    <row r="23" spans="2:15" x14ac:dyDescent="0.2">
      <c r="B23" s="12" t="s">
        <v>385</v>
      </c>
      <c r="C23" s="12" t="s">
        <v>273</v>
      </c>
      <c r="D23" s="12"/>
      <c r="F23" s="1" t="s">
        <v>383</v>
      </c>
      <c r="I23" s="12" t="s">
        <v>229</v>
      </c>
      <c r="J23" s="12" t="s">
        <v>339</v>
      </c>
      <c r="K23" s="12" t="s">
        <v>232</v>
      </c>
      <c r="L23" s="12" t="s">
        <v>339</v>
      </c>
      <c r="M23" s="133" t="s">
        <v>270</v>
      </c>
      <c r="N23" s="133" t="s">
        <v>339</v>
      </c>
      <c r="O23" s="12" t="s">
        <v>403</v>
      </c>
    </row>
    <row r="24" spans="2:15" x14ac:dyDescent="0.2">
      <c r="B24" s="1" t="s">
        <v>341</v>
      </c>
      <c r="C24" s="1" t="s">
        <v>272</v>
      </c>
      <c r="D24" s="1" t="s">
        <v>274</v>
      </c>
      <c r="E24" s="1" t="s">
        <v>271</v>
      </c>
      <c r="F24" s="1" t="s">
        <v>319</v>
      </c>
      <c r="I24" s="1" t="s">
        <v>270</v>
      </c>
      <c r="J24" s="1" t="s">
        <v>339</v>
      </c>
      <c r="O24" s="12" t="s">
        <v>405</v>
      </c>
    </row>
    <row r="25" spans="2:15" x14ac:dyDescent="0.2">
      <c r="B25" s="1" t="s">
        <v>340</v>
      </c>
      <c r="C25" s="1" t="s">
        <v>282</v>
      </c>
      <c r="D25" s="1" t="s">
        <v>277</v>
      </c>
      <c r="E25" s="1" t="s">
        <v>276</v>
      </c>
      <c r="F25" s="12" t="s">
        <v>178</v>
      </c>
      <c r="I25" s="1" t="s">
        <v>242</v>
      </c>
      <c r="J25" s="1" t="s">
        <v>339</v>
      </c>
      <c r="M25" s="12"/>
      <c r="N25" s="12"/>
      <c r="O25" s="12" t="s">
        <v>406</v>
      </c>
    </row>
    <row r="26" spans="2:15" x14ac:dyDescent="0.2">
      <c r="B26" s="1" t="s">
        <v>265</v>
      </c>
      <c r="C26" s="1" t="s">
        <v>266</v>
      </c>
      <c r="D26" s="12"/>
      <c r="F26" s="1" t="s">
        <v>265</v>
      </c>
      <c r="I26" s="1" t="s">
        <v>270</v>
      </c>
      <c r="J26" s="1" t="s">
        <v>339</v>
      </c>
      <c r="K26" s="1" t="s">
        <v>243</v>
      </c>
      <c r="L26" s="1" t="s">
        <v>338</v>
      </c>
      <c r="O26" s="12" t="s">
        <v>407</v>
      </c>
    </row>
  </sheetData>
  <dataValidations count="10">
    <dataValidation allowBlank="1" showInputMessage="1" showErrorMessage="1" promptTitle="GroupName(s)" prompt="Keys to finding a Range that is a predefined 'Group&quot; of columns in the subject display table." sqref="C4" xr:uid="{00000000-0002-0000-0300-000005000000}"/>
    <dataValidation allowBlank="1" showInputMessage="1" showErrorMessage="1" promptTitle="Sort Column(s)" prompt="The name of a column in the subject table that is sorted as part of this view." sqref="I4" xr:uid="{00000000-0002-0000-0300-000004000000}"/>
    <dataValidation allowBlank="1" showInputMessage="1" showErrorMessage="1" promptTitle="Sort Order" prompt="For each named column to be sorted, this specifies the order of the sort." sqref="J4" xr:uid="{00000000-0002-0000-0300-000003000000}"/>
    <dataValidation allowBlank="1" showInputMessage="1" showErrorMessage="1" promptTitle="View Name" prompt="The lookup namee for this View." sqref="B4" xr:uid="{00000000-0002-0000-0300-000002000000}"/>
    <dataValidation allowBlank="1" showInputMessage="1" showErrorMessage="1" promptTitle="AutoFilter Name" prompt="Lookup name for an AutoFilter spec. _x000a__x000a_If a view has both an AutoFilter and a CriteriaFilter the the AutoFilter will be used." sqref="F4" xr:uid="{00000000-0002-0000-0300-000001000000}"/>
    <dataValidation allowBlank="1" showInputMessage="1" showErrorMessage="1" promptTitle="CriteriaFilter Name" prompt="Lookup name for an AutoFilter spec. _x000a__x000a_If a view has both an AutoFilter and a CriteriaFilter the the AutoFilter will be used." sqref="G4" xr:uid="{00000000-0002-0000-0300-000000000000}"/>
    <dataValidation allowBlank="1" showInputMessage="1" showErrorMessage="1" promptTitle="Scroll To Column" sqref="H4" xr:uid="{B4DC0EF9-1C71-44BF-8783-5744809A0D2D}"/>
    <dataValidation type="list" allowBlank="1" showInputMessage="1" showErrorMessage="1" sqref="E10 D10:D11 C6:E9 C12:E26" xr:uid="{00000000-0002-0000-0300-000007000000}">
      <formula1>_GroupNames</formula1>
    </dataValidation>
    <dataValidation type="list" allowBlank="1" showInputMessage="1" showErrorMessage="1" sqref="F6:F26" xr:uid="{00000000-0002-0000-0300-000008000000}">
      <formula1>_AutoFilterSpecs</formula1>
    </dataValidation>
    <dataValidation type="list" allowBlank="1" showInputMessage="1" showErrorMessage="1" sqref="M6:M26 H6:I26 K6:K26" xr:uid="{00000000-0002-0000-0300-000006000000}">
      <formula1>_SnapColumnNames</formula1>
    </dataValidation>
  </dataValidations>
  <pageMargins left="0.7" right="0.7" top="0.75" bottom="0.75" header="0.3" footer="0.3"/>
  <pageSetup orientation="portrait" horizontalDpi="4294967293" verticalDpi="4294967293"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6814F-C70B-4F6E-8197-67290D357EF0}">
  <sheetPr codeName="Sheet6"/>
  <dimension ref="A1:J18"/>
  <sheetViews>
    <sheetView workbookViewId="0">
      <selection activeCell="A2" sqref="A2:F17"/>
    </sheetView>
  </sheetViews>
  <sheetFormatPr defaultColWidth="9.140625" defaultRowHeight="12.75" x14ac:dyDescent="0.2"/>
  <cols>
    <col min="1" max="1" width="18.85546875" style="93" bestFit="1" customWidth="1"/>
    <col min="2" max="2" width="12.42578125" style="93" customWidth="1"/>
    <col min="3" max="3" width="15.42578125" style="93" bestFit="1" customWidth="1"/>
    <col min="4" max="4" width="15.42578125" style="93" customWidth="1"/>
    <col min="5" max="5" width="9.140625" style="93"/>
    <col min="6" max="6" width="41.85546875" style="93" bestFit="1" customWidth="1"/>
    <col min="7" max="7" width="7.28515625" style="93" customWidth="1"/>
    <col min="8" max="8" width="16.7109375" style="93" bestFit="1" customWidth="1"/>
    <col min="9" max="9" width="16.140625" style="93" bestFit="1" customWidth="1"/>
    <col min="10" max="16384" width="9.140625" style="93"/>
  </cols>
  <sheetData>
    <row r="1" spans="1:10" x14ac:dyDescent="0.2">
      <c r="A1" s="97" t="s">
        <v>375</v>
      </c>
      <c r="B1" s="97" t="s">
        <v>374</v>
      </c>
      <c r="C1" s="97" t="s">
        <v>373</v>
      </c>
      <c r="D1" s="97" t="s">
        <v>372</v>
      </c>
      <c r="E1" s="97" t="s">
        <v>371</v>
      </c>
      <c r="F1" s="97" t="s">
        <v>387</v>
      </c>
      <c r="H1" s="96" t="s">
        <v>370</v>
      </c>
      <c r="I1" s="95">
        <v>46208.522233796299</v>
      </c>
      <c r="J1" s="94">
        <f>I1</f>
        <v>46208.522233796299</v>
      </c>
    </row>
    <row r="2" spans="1:10" x14ac:dyDescent="0.2">
      <c r="A2" s="135" t="s">
        <v>266</v>
      </c>
      <c r="B2" s="135">
        <v>6</v>
      </c>
      <c r="C2" s="135" t="s">
        <v>936</v>
      </c>
      <c r="D2" s="12"/>
      <c r="E2" s="135">
        <v>2</v>
      </c>
      <c r="F2" s="135" t="s">
        <v>1010</v>
      </c>
      <c r="H2" s="96" t="s">
        <v>369</v>
      </c>
      <c r="I2" s="95">
        <v>46208.523055555554</v>
      </c>
      <c r="J2" s="94">
        <f>I2</f>
        <v>46208.523055555554</v>
      </c>
    </row>
    <row r="3" spans="1:10" x14ac:dyDescent="0.2">
      <c r="A3" s="135" t="s">
        <v>282</v>
      </c>
      <c r="B3" s="135">
        <v>8</v>
      </c>
      <c r="C3" s="135" t="s">
        <v>935</v>
      </c>
      <c r="D3" s="12"/>
      <c r="E3" s="135">
        <v>2</v>
      </c>
      <c r="F3" s="135" t="s">
        <v>1009</v>
      </c>
    </row>
    <row r="4" spans="1:10" x14ac:dyDescent="0.2">
      <c r="A4" s="135" t="s">
        <v>281</v>
      </c>
      <c r="B4" s="135">
        <v>13</v>
      </c>
      <c r="C4" s="135" t="s">
        <v>934</v>
      </c>
      <c r="D4" s="12"/>
      <c r="E4" s="135">
        <v>2</v>
      </c>
      <c r="F4" s="135" t="s">
        <v>1008</v>
      </c>
    </row>
    <row r="5" spans="1:10" x14ac:dyDescent="0.2">
      <c r="A5" s="135" t="s">
        <v>280</v>
      </c>
      <c r="B5" s="135">
        <v>16</v>
      </c>
      <c r="C5" s="135" t="s">
        <v>933</v>
      </c>
      <c r="D5" s="12"/>
      <c r="E5" s="135">
        <v>2</v>
      </c>
      <c r="F5" s="135" t="s">
        <v>1007</v>
      </c>
    </row>
    <row r="6" spans="1:10" x14ac:dyDescent="0.2">
      <c r="A6" s="135" t="s">
        <v>279</v>
      </c>
      <c r="B6" s="135">
        <v>29</v>
      </c>
      <c r="C6" s="135" t="s">
        <v>932</v>
      </c>
      <c r="D6" s="12"/>
      <c r="E6" s="135">
        <v>2</v>
      </c>
      <c r="F6" s="135" t="s">
        <v>1006</v>
      </c>
    </row>
    <row r="7" spans="1:10" x14ac:dyDescent="0.2">
      <c r="A7" s="135" t="s">
        <v>277</v>
      </c>
      <c r="B7" s="135">
        <v>35</v>
      </c>
      <c r="C7" s="135" t="s">
        <v>954</v>
      </c>
      <c r="D7" s="12"/>
      <c r="E7" s="135">
        <v>2</v>
      </c>
      <c r="F7" s="135" t="s">
        <v>1003</v>
      </c>
    </row>
    <row r="8" spans="1:10" x14ac:dyDescent="0.2">
      <c r="A8" s="135" t="s">
        <v>274</v>
      </c>
      <c r="B8" s="135">
        <v>56</v>
      </c>
      <c r="C8" s="135" t="s">
        <v>953</v>
      </c>
      <c r="D8" s="12"/>
      <c r="E8" s="135">
        <v>2</v>
      </c>
      <c r="F8" s="135" t="s">
        <v>1002</v>
      </c>
    </row>
    <row r="9" spans="1:10" x14ac:dyDescent="0.2">
      <c r="A9" s="135" t="s">
        <v>273</v>
      </c>
      <c r="B9" s="135">
        <v>69</v>
      </c>
      <c r="C9" s="135" t="s">
        <v>951</v>
      </c>
      <c r="D9" s="12"/>
      <c r="E9" s="135">
        <v>2</v>
      </c>
      <c r="F9" s="135" t="s">
        <v>1000</v>
      </c>
    </row>
    <row r="10" spans="1:10" x14ac:dyDescent="0.2">
      <c r="A10" s="135" t="s">
        <v>272</v>
      </c>
      <c r="B10" s="135">
        <v>112</v>
      </c>
      <c r="C10" s="135" t="s">
        <v>957</v>
      </c>
      <c r="D10" s="12"/>
      <c r="E10" s="135">
        <v>2</v>
      </c>
      <c r="F10" s="135" t="s">
        <v>999</v>
      </c>
    </row>
    <row r="11" spans="1:10" x14ac:dyDescent="0.2">
      <c r="A11" s="135" t="s">
        <v>271</v>
      </c>
      <c r="B11" s="135">
        <v>140</v>
      </c>
      <c r="C11" s="135" t="s">
        <v>949</v>
      </c>
      <c r="D11" s="12"/>
      <c r="E11" s="135">
        <v>2</v>
      </c>
      <c r="F11" s="135" t="s">
        <v>997</v>
      </c>
    </row>
    <row r="12" spans="1:10" x14ac:dyDescent="0.2">
      <c r="A12" s="135" t="s">
        <v>885</v>
      </c>
      <c r="B12" s="135">
        <v>184</v>
      </c>
      <c r="C12" s="135" t="s">
        <v>990</v>
      </c>
      <c r="D12" s="12"/>
      <c r="E12" s="135">
        <v>2</v>
      </c>
      <c r="F12" s="135" t="s">
        <v>996</v>
      </c>
    </row>
    <row r="13" spans="1:10" x14ac:dyDescent="0.2">
      <c r="A13" s="135" t="s">
        <v>179</v>
      </c>
      <c r="B13" s="135">
        <v>195</v>
      </c>
      <c r="C13" s="135" t="s">
        <v>989</v>
      </c>
      <c r="D13" s="12"/>
      <c r="E13" s="135">
        <v>2</v>
      </c>
      <c r="F13" s="135" t="s">
        <v>995</v>
      </c>
    </row>
    <row r="14" spans="1:10" x14ac:dyDescent="0.2">
      <c r="A14" s="135" t="s">
        <v>278</v>
      </c>
      <c r="B14" s="135">
        <v>38</v>
      </c>
      <c r="C14" s="135" t="s">
        <v>931</v>
      </c>
      <c r="D14" s="12"/>
      <c r="E14" s="135">
        <v>3</v>
      </c>
      <c r="F14" s="135" t="s">
        <v>1005</v>
      </c>
    </row>
    <row r="15" spans="1:10" x14ac:dyDescent="0.2">
      <c r="A15" s="135" t="s">
        <v>722</v>
      </c>
      <c r="B15" s="135">
        <v>102</v>
      </c>
      <c r="C15" s="135" t="s">
        <v>952</v>
      </c>
      <c r="D15" s="12"/>
      <c r="E15" s="135">
        <v>3</v>
      </c>
      <c r="F15" s="135" t="s">
        <v>1001</v>
      </c>
    </row>
    <row r="16" spans="1:10" x14ac:dyDescent="0.2">
      <c r="A16" s="135" t="s">
        <v>768</v>
      </c>
      <c r="B16" s="135">
        <v>175</v>
      </c>
      <c r="C16" s="135" t="s">
        <v>950</v>
      </c>
      <c r="D16" s="12"/>
      <c r="E16" s="135">
        <v>3</v>
      </c>
      <c r="F16" s="135" t="s">
        <v>998</v>
      </c>
    </row>
    <row r="17" spans="1:6" x14ac:dyDescent="0.2">
      <c r="A17" s="135" t="s">
        <v>769</v>
      </c>
      <c r="B17" s="135">
        <v>49</v>
      </c>
      <c r="C17" s="135" t="s">
        <v>930</v>
      </c>
      <c r="D17" s="12" t="s">
        <v>277</v>
      </c>
      <c r="E17" s="135">
        <v>5</v>
      </c>
      <c r="F17" s="135" t="s">
        <v>1004</v>
      </c>
    </row>
    <row r="18" spans="1:6" x14ac:dyDescent="0.2">
      <c r="A18" s="104" t="s">
        <v>368</v>
      </c>
      <c r="B18" s="104">
        <f>SUBTOTAL(103,tblGroupNames[Order])</f>
        <v>16</v>
      </c>
      <c r="C18" s="104"/>
      <c r="D18" s="104"/>
      <c r="E18" s="104"/>
      <c r="F18" s="104"/>
    </row>
  </sheetData>
  <pageMargins left="0.7" right="0.7" top="0.75" bottom="0.75" header="0.3" footer="0.3"/>
  <pageSetup orientation="portrait" horizontalDpi="4294967293" vertic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9E2C9-C5D7-4E3B-B187-85524B62C3CF}">
  <sheetPr codeName="Sheet1"/>
  <dimension ref="A1:K3"/>
  <sheetViews>
    <sheetView workbookViewId="0">
      <selection activeCell="F6" sqref="F6"/>
    </sheetView>
  </sheetViews>
  <sheetFormatPr defaultRowHeight="15" x14ac:dyDescent="0.25"/>
  <cols>
    <col min="1" max="1" width="21.85546875" bestFit="1" customWidth="1"/>
    <col min="2" max="2" width="18.85546875" bestFit="1" customWidth="1"/>
  </cols>
  <sheetData>
    <row r="1" spans="1:11" x14ac:dyDescent="0.25">
      <c r="A1" t="s">
        <v>1011</v>
      </c>
      <c r="B1" t="s">
        <v>350</v>
      </c>
    </row>
    <row r="2" spans="1:11" x14ac:dyDescent="0.25">
      <c r="A2" t="s">
        <v>1012</v>
      </c>
      <c r="B2">
        <v>1</v>
      </c>
      <c r="K2" t="s">
        <v>439</v>
      </c>
    </row>
    <row r="3" spans="1:11" x14ac:dyDescent="0.25">
      <c r="K3" s="143">
        <f>INDEX(SnapshotTable[Last Price], MATCH("AMD",SnapshotTable[Symbol]))</f>
        <v>133.07</v>
      </c>
    </row>
  </sheetData>
  <pageMargins left="0.7" right="0.7" top="0.75" bottom="0.75" header="0.3" footer="0.3"/>
  <pageSetup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CC8E-4B66-4B32-B3E4-2A67745707E9}">
  <sheetPr codeName="Sheet3"/>
  <dimension ref="A1:C113"/>
  <sheetViews>
    <sheetView workbookViewId="0">
      <selection activeCell="B1" sqref="B1"/>
    </sheetView>
  </sheetViews>
  <sheetFormatPr defaultColWidth="9.140625" defaultRowHeight="15" x14ac:dyDescent="0.25"/>
  <cols>
    <col min="1" max="1" width="26" style="12" bestFit="1" customWidth="1"/>
    <col min="2" max="2" width="14.140625" style="98" bestFit="1" customWidth="1"/>
    <col min="3" max="3" width="10.85546875" style="12" bestFit="1" customWidth="1"/>
    <col min="4" max="16384" width="9.140625" style="12"/>
  </cols>
  <sheetData>
    <row r="1" spans="1:3" x14ac:dyDescent="0.25">
      <c r="A1" s="100" t="s">
        <v>178</v>
      </c>
      <c r="B1" s="101">
        <v>19510</v>
      </c>
    </row>
    <row r="3" spans="1:3" x14ac:dyDescent="0.25">
      <c r="A3" s="100" t="s">
        <v>379</v>
      </c>
      <c r="B3" t="s">
        <v>378</v>
      </c>
      <c r="C3" t="s">
        <v>377</v>
      </c>
    </row>
    <row r="4" spans="1:3" x14ac:dyDescent="0.25">
      <c r="A4" s="101" t="s">
        <v>376</v>
      </c>
      <c r="B4" s="102"/>
      <c r="C4" s="103" t="e">
        <v>#DIV/0!</v>
      </c>
    </row>
    <row r="5" spans="1:3" x14ac:dyDescent="0.25">
      <c r="A5"/>
      <c r="B5"/>
      <c r="C5"/>
    </row>
    <row r="6" spans="1:3" x14ac:dyDescent="0.25">
      <c r="A6"/>
      <c r="B6"/>
      <c r="C6"/>
    </row>
    <row r="7" spans="1:3" x14ac:dyDescent="0.25">
      <c r="A7"/>
      <c r="B7"/>
      <c r="C7"/>
    </row>
    <row r="8" spans="1:3" x14ac:dyDescent="0.25">
      <c r="A8"/>
      <c r="B8"/>
      <c r="C8"/>
    </row>
    <row r="9" spans="1:3" x14ac:dyDescent="0.25">
      <c r="A9"/>
      <c r="B9"/>
      <c r="C9"/>
    </row>
    <row r="10" spans="1:3" x14ac:dyDescent="0.25">
      <c r="A10"/>
      <c r="B10"/>
      <c r="C10"/>
    </row>
    <row r="11" spans="1:3" x14ac:dyDescent="0.25">
      <c r="A11"/>
      <c r="B11"/>
      <c r="C11"/>
    </row>
    <row r="12" spans="1:3" x14ac:dyDescent="0.25">
      <c r="A12"/>
      <c r="B12"/>
      <c r="C12"/>
    </row>
    <row r="13" spans="1:3" x14ac:dyDescent="0.25">
      <c r="A13"/>
      <c r="B13"/>
      <c r="C13"/>
    </row>
    <row r="14" spans="1:3" x14ac:dyDescent="0.25">
      <c r="A14"/>
      <c r="B14"/>
      <c r="C14"/>
    </row>
    <row r="15" spans="1:3" x14ac:dyDescent="0.25">
      <c r="A15"/>
      <c r="B15"/>
      <c r="C15"/>
    </row>
    <row r="16" spans="1:3" x14ac:dyDescent="0.25">
      <c r="A16"/>
      <c r="B16"/>
      <c r="C16"/>
    </row>
    <row r="17" spans="1:3" x14ac:dyDescent="0.25">
      <c r="A17"/>
      <c r="B17"/>
      <c r="C17"/>
    </row>
    <row r="18" spans="1:3" x14ac:dyDescent="0.25">
      <c r="A18"/>
      <c r="B18"/>
      <c r="C18"/>
    </row>
    <row r="19" spans="1:3" x14ac:dyDescent="0.25">
      <c r="A19"/>
      <c r="B19"/>
      <c r="C19"/>
    </row>
    <row r="20" spans="1:3" x14ac:dyDescent="0.25">
      <c r="A20"/>
      <c r="B20"/>
      <c r="C20"/>
    </row>
    <row r="21" spans="1:3" x14ac:dyDescent="0.25">
      <c r="A21"/>
      <c r="B21"/>
      <c r="C21"/>
    </row>
    <row r="22" spans="1:3" x14ac:dyDescent="0.25">
      <c r="A22"/>
      <c r="B22"/>
      <c r="C22"/>
    </row>
    <row r="23" spans="1:3" x14ac:dyDescent="0.25">
      <c r="A23"/>
      <c r="B23"/>
      <c r="C23"/>
    </row>
    <row r="24" spans="1:3" x14ac:dyDescent="0.25">
      <c r="A24"/>
      <c r="B24"/>
      <c r="C24"/>
    </row>
    <row r="25" spans="1:3" x14ac:dyDescent="0.25">
      <c r="A25"/>
      <c r="B25"/>
      <c r="C25"/>
    </row>
    <row r="26" spans="1:3" x14ac:dyDescent="0.25">
      <c r="A26"/>
      <c r="B26"/>
      <c r="C26"/>
    </row>
    <row r="27" spans="1:3" x14ac:dyDescent="0.25">
      <c r="A27"/>
      <c r="B27"/>
      <c r="C27"/>
    </row>
    <row r="28" spans="1:3" x14ac:dyDescent="0.25">
      <c r="A28"/>
      <c r="B28"/>
      <c r="C28"/>
    </row>
    <row r="29" spans="1:3" x14ac:dyDescent="0.25">
      <c r="A29"/>
      <c r="B29"/>
      <c r="C29"/>
    </row>
    <row r="30" spans="1:3" x14ac:dyDescent="0.25">
      <c r="A30"/>
      <c r="B30"/>
      <c r="C30"/>
    </row>
    <row r="31" spans="1:3" x14ac:dyDescent="0.25">
      <c r="A31"/>
      <c r="B31"/>
      <c r="C31"/>
    </row>
    <row r="32" spans="1:3" x14ac:dyDescent="0.25">
      <c r="A32"/>
      <c r="B32"/>
      <c r="C32"/>
    </row>
    <row r="33" spans="1:3" x14ac:dyDescent="0.25">
      <c r="A33"/>
      <c r="B33"/>
      <c r="C33"/>
    </row>
    <row r="34" spans="1:3" x14ac:dyDescent="0.25">
      <c r="A34"/>
      <c r="B34"/>
      <c r="C34"/>
    </row>
    <row r="35" spans="1:3" x14ac:dyDescent="0.25">
      <c r="A35"/>
      <c r="B35"/>
      <c r="C35"/>
    </row>
    <row r="36" spans="1:3" x14ac:dyDescent="0.25">
      <c r="A36"/>
      <c r="B36"/>
      <c r="C36"/>
    </row>
    <row r="37" spans="1:3" x14ac:dyDescent="0.25">
      <c r="A37"/>
      <c r="B37"/>
      <c r="C37"/>
    </row>
    <row r="38" spans="1:3" x14ac:dyDescent="0.25">
      <c r="A38"/>
      <c r="B38"/>
      <c r="C38"/>
    </row>
    <row r="39" spans="1:3" x14ac:dyDescent="0.25">
      <c r="A39"/>
      <c r="B39"/>
      <c r="C39"/>
    </row>
    <row r="40" spans="1:3" x14ac:dyDescent="0.25">
      <c r="A40"/>
      <c r="B40"/>
      <c r="C40"/>
    </row>
    <row r="41" spans="1:3" x14ac:dyDescent="0.25">
      <c r="A41"/>
      <c r="B41"/>
      <c r="C41"/>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sheetData>
  <pageMargins left="0.7" right="0.7" top="0.75" bottom="0.75" header="0.3" footer="0.3"/>
  <pageSetup orientation="portrait" horizontalDpi="4294967293" verticalDpi="4294967293" r:id="rId2"/>
  <drawing r:id="rId3"/>
</worksheet>
</file>

<file path=customUI/customUI14.xml><?xml version="1.0" encoding="utf-8"?>
<customUI xmlns="http://schemas.microsoft.com/office/2009/07/customui" onLoad="Ribbon_OnLoad">
  <ribbon>
    <tabs>
      <tab id="TabEbfMarkets" label="EBF Markets">
        <group id="GrpUtilities" label="Utilities">
          <box id="ColumnWidthBox" boxStyle="horizontal">
            <button id="BtnDecreaseColWidth" imageMso="MailMergeGoToPreviousRecord" screentip="Decrease Column Width" onAction="OnIncDecColWidth" tag="DecreaseColumnWidth"/>
            <editBox id="EditBoxIncrement" sizeString="xxxxxxx" maxLength="4" screentip="Set Column Width Increment" getText="GetIncrementByText" onChange="OnIncrementChange"/>
            <button id="BtnIncreaseColWidth" imageMso="MailMergeGoToNextRecord" screentip="Increase Column Width" onAction="OnIncDecColWidth" tag="IncreaseColumnWidth"/>
          </box>
          <box id="RowHeightBox" boxStyle="horizontal">
            <button id="BtnRowHeightsFixFillUpWastedSpace" imageMso="RowHeight" screentip="Adjust Height For All Rows" onAction="OnSetRowHeights"/>
            <editBox id="EditBoxRowHeight" sizeString="xxxxxxx" maxLength="5" screentip="Set Row Height" getText="GetRowHeightText" onChange="OnRowHeightChange"/>
            <button id="BtnRowHeightsFix" imageMso="RowHeight" screentip="Adjust Height For All Rows" onAction="OnSetRowHeights"/>
          </box>
          <button id="BtnFormatColumns" imageMso="FormatPainter" label="Format Columns" screentip="Format entire ListColumn(s) based on the current selection" onAction="ApplySelectedFormatToColumns"/>
          <button id="BtnSwitchToTestEnvironment" imageMso="R" label="Reset Test Environment" screentip="Update TestSNAP before closing SNAP and switching to MiniTestSNAP" onAction="SwitchToTestEnvironment"/>
          <dropDown id="DDwnAspectSheets" label="Sheets" getItemCount="GetSheetItemCount" getItemLabel="GetSheetItemLabel" onAction="OnChangeSheetAction" getSelectedItemIndex="GetSheetItemSelectedIndex"/>
          <button id="BtnTimestamp" imageMso="DateAndTimeInsert" label="Timestamp" screentip="Timestamps the active cell" onAction="ApplyTimestamp"/>
        </group>
        <group id="GrpSymbols" label="Symbols">
          <dropDown id="DDwnSymbols" screentip="Select a Symbol" getItemCount="GetSymbolCount" getItemLabel="GetSymbol" getSelectedItemIndex="GetSelectedSymbolIndex" onAction="OnSymbolChanged"/>
          <button id="BtnGetWordDoc" imageMso="FileSaveAsWordDocx" screentip="Create or open the Word doc for the selected Symbol" onAction="OnOpenWordDoc"/>
          <button id="BtnApplySymbolFilter" imageMso="FilterToggleFilter" label="Filter" screentip="Filter the table to show only the selected Symbol" onAction="OnApplySymbolFilter"/>
        </group>
        <group id="GrpColumnNavigation" label="Column Navigation">
          <button id="BtnDocumentColumn" imageMso="DataValidation" label="Document usage" screentip="Prepares a DataValidation dialog (ALT-D,L)" onAction="OnDocumentColumn"/>
          <box id="BoxPromoteDemote" boxStyle="horizontal">
            <button id="BtnPromote" imageMso="OutlinePromote" label="Promote" screentip="Promote the selected group to a higher level" onAction="OnOutlineCommand"/>
            <button id="BtnDemote" imageMso="OutlineDemote" label="Demote" screentip="Demote the selected group to a lower level" onAction="OnOutlineCommand"/>
          </box>
          <box id="BoxTableNavigation" boxStyle="horizontal">
            <button id="BtnFirstCol" imageMso="MailMergeGoToFirstRecord" screentip="Select the first column" onAction="OnSelectTableColumn"/>
            <button id="BtnPrevCol" imageMso="MailMergeGoToPreviousRecord" screentip="Select the previous column" onAction="OnSelectTableColumn"/>
            <dropDown id="DDwnColumnNames" getItemCount="GetColumnNameCount" getItemLabel="GetColumnNameLabel" screentip="Select a table column" onAction="OnChangeGetColumnNameAction" getSelectedItemIndex="GetColumnNameIndex"/>
            <button id="BtnNextCol" imageMso="MailMergeGoToNextRecord" screentip="Select the next column" onAction="OnSelectTableColumn"/>
            <button id="BtnLastCol" imageMso="MailMergeGotToLastRecord" screentip="Select the last column" onAction="OnSelectTableColumn"/>
          </box>
        </group>
        <group id="GrpGroupingNavigation" label="Grouping Navigation">
          <box id="BoxGroupPersistence" boxStyle="horizontal">
            <button id="BtnValidate" imageMso="Clear" label="Validate" screentip="Validate that Groupings are ok to save" onAction="OnGroupingManagementCommand"/>
            <button id="BtnReinitialize" imageMso="CacheListData" label="Reinitialize" screentip="Recreate and persist updated Groupings" onAction="OnGroupingManagementCommand"/>
          </box>
          <box id="BoxGroupNavigation" boxStyle="horizontal">
            <button id="BtnFirstGroup" imageMso="MailMergeGoToFirstRecord" screentip="Select the first group" onAction="OnSelectGrouping"/>
            <button id="BtnPrevGroup" imageMso="MailMergeGoToPreviousRecord" screentip="Select the previous group" onAction="OnSelectGrouping"/>
            <dropDown id="DDwnGroupNames" getItemCount="GetGroupNameCount" getItemLabel="GetGroupNameLabel" screentip="Select a grouping" onAction="OnChangeGetGroupNameAction" getSelectedItemIndex="GetGroupNameIndex"/>
            <button id="BtnNextGroup" imageMso="MailMergeGoToNextRecord" screentip="Select the next group" onAction="OnSelectGrouping"/>
            <button id="BtnLastGroup" imageMso="MailMergeGotToLastRecord" screentip="Select the last group" onAction="OnSelectGrouping"/>
          </box>
        </group>
        <group id="GrpViews" label="Views">
          <dropDown id="DDwnViews" getItemCount="GetViewItemCount" getItemLabel="GetViewItemLabel" onAction="OnChangeViewAction" getSelectedItemIndex="GetViewItemSelectedIndex"/>
          <checkBox id="CBxUseOutlining" getPressed="IsOutliningOn" label="Outlining" screentip="If True, display outlining as part of view. If False, save space by hiding it." onAction="UseOutlining"/>
          <button id="BtnViewFilterReinitialize" imageMso="CacheListData" label="Reinitialize" screentip="Reinitialize Views and AutoFilters" onAction="OnReinitializeViewsAndFilters"/>
          <button id="BtnRefreshView" label="Refresh View" onAction="RefreshSelectedView" imageMso="Refresh" size="large" getScreentip="GetRefreshViewScreentip"/>
        </group>
        <group id="GrpPortfolio" label="Portfolio">
          <button id="BtnResetHyperlinks" imageMso="HyperlinksVerify" label="Reset Hyperlinks" screentip="Ensure selected cells with Hyperlinks self reference correctly" onAction="OnResetHyperlinks"/>
          <button id="BtnGenerateGuids" imageMso="MacroArguments" label="Generate Guids" screentip="Generate Guids for all selected rows" onAction="OnGenerateGuids"/>
        </group>
        <group id="GrpApps" label="Apps">
          <button id="BtnLaunchCagr" imageMso="MicrosoftExcel" size="large" label="CAGR" screentip="Launch the CAGR spreadsheet" onAction="LaunchCAGR"/>
          <button id="BtnShutDownExcel" imageMso="CloseAllItems" size="large" label="Shut Down" screentip="Shut down Excel" onAction="ShutDownExcel"/>
        </group>
        <group idMso="GroupCalculation"/>
      </tab>
    </tabs>
  </ribbon>
  <contextMenus>
    <contextMenu idMso="ContextMenuListRange">
      <menu id="TaskMenu" label="Tasks" imageMso="T" insertBeforeMso="Refresh">
        <menu id="PositionUpdateMenu_Existing" label="Update Existing Positions" imageMso="E" itemSize="large">
          <button id="PositionUpdate_Existing.1" tag="ALL" imageMso="AppointmentColor1" getLabel="GetSvcLabel" onAction="ExecuteSvc" getDescription="GetSvcDesc" getEnabled="IsSvcAvailable"/>
          <button id="PositionUpdate_Existing.2" tag="ONE" imageMso="AppointmentColor2" getLabel="GetSvcLabel" onAction="ExecuteSvc" getDescription="GetSvcDesc" getEnabled="IsSvcAvailable"/>
          <button id="PositionUpdate_Existing.3" tag="VISIBLE" imageMso="AppointmentColor3" getLabel="GetSvcLabel" onAction="ExecuteSvc" getDescription="GetSvcDesc" getEnabled="IsSvcAvailable"/>
          <button id="PositionUpdate_Existing.4" tag="SELECTED" imageMso="AppointmentColor4" getLabel="GetSvcLabel" onAction="ExecuteSvc" getDescription="GetSvcDesc" getEnabled="IsSvcAvailable"/>
        </menu>
        <menu id="PositionUpdateMenu_NEW" label="Update New Positions" imageMso="N" itemSize="large">
          <button id="PositionUpdate_NEW.1" tag="ALL" imageMso="AppointmentColor1" getLabel="GetSvcLabel" onAction="ExecuteSvc" getDescription="GetSvcDesc" getEnabled="IsSvcAvailable"/>
          <button id="PositionUpdate_NEW.2" tag="ONE" imageMso="AppointmentColor2" getLabel="GetSvcLabel" onAction="ExecuteSvc" getDescription="GetSvcDesc" getEnabled="IsSvcAvailable"/>
          <button id="PositionUpdate_NEW.3" tag="VISIBLE" imageMso="AppointmentColor3" getLabel="GetSvcLabel" onAction="ExecuteSvc" getDescription="GetSvcDesc" getEnabled="IsSvcAvailable"/>
          <button id="PositionUpdate_NEW.4" tag="SELECTED" imageMso="AppointmentColor4" getLabel="GetSvcLabel" onAction="ExecuteSvc" getDescription="GetSvcDesc" getEnabled="IsSvcAvailable"/>
        </menu>
      </menu>
      <menu id="EquitySvcMenu" label="Equity Update Services" imageMso="S" insertBeforeMso="Refresh">
        <menu id="EquityPricing" label="Pricing Updates" imageMso="U" itemSize="large">
          <button id="PricingStocksOnly.1" tag="ALL" imageMso="AppointmentColor1" getLabel="GetSvcLabel" onAction="ExecuteSvc" getDescription="GetSvcDesc" getEnabled="IsSvcAvailable"/>
          <button id="PricingStocksOnly.2" tag="ONE" imageMso="AppointmentColor2" getLabel="GetSvcLabel" onAction="ExecuteSvc" getDescription="GetSvcDesc" getEnabled="IsSvcAvailable"/>
          <button id="PricingStocksOnly.3" tag="VISIBLE" imageMso="AppointmentColor3" getLabel="GetSvcLabel" onAction="ExecuteSvc" getDescription="GetSvcDesc" getEnabled="IsSvcAvailable"/>
          <button id="PricingStocksOnly.4" tag="SELECTED" imageMso="AppointmentColor4" getLabel="GetSvcLabel" onAction="ExecuteSvc" getDescription="GetSvcDesc" getEnabled="IsSvcAvailable"/>
        </menu>
        <menu id="Earnings" label="Earnings" imageMso="E" itemSize="large">
          <button id="EarningsOnly.1" tag="ALL" imageMso="AppointmentColor1" getLabel="GetSvcLabel" onAction="ExecuteSvc" getDescription="GetSvcDesc" getEnabled="IsSvcAvailable"/>
          <button id="EarningsOnly.2" tag="ONE" imageMso="AppointmentColor2" getLabel="GetSvcLabel" onAction="ExecuteSvc" getDescription="GetSvcDesc" getEnabled="IsSvcAvailable"/>
          <button id="EarningsOnly.3" tag="VISIBLE" imageMso="AppointmentColor3" getLabel="GetSvcLabel" onAction="ExecuteSvc" getDescription="GetSvcDesc" getEnabled="IsSvcAvailable"/>
          <button id="EarningsOnly.4" tag="SELECTED" imageMso="AppointmentColor4" getLabel="GetSvcLabel" onAction="ExecuteSvc" getDescription="GetSvcDesc" getEnabled="IsSvcAvailable"/>
        </menu>
        <menu id="Targets" label="Targets" imageMso="T" itemSize="large">
          <button id="TargetsOnly.1" tag="ALL" imageMso="AppointmentColor1" getLabel="GetSvcLabel" onAction="ExecuteSvc" getDescription="GetSvcDesc" getEnabled="IsSvcAvailable"/>
          <button id="TargetsOnly.2" tag="ONE" imageMso="AppointmentColor2" getLabel="GetSvcLabel" onAction="ExecuteSvc" getDescription="GetSvcDesc" getEnabled="IsSvcAvailable"/>
          <button id="TargetsOnly.3" tag="VISIBLE" imageMso="AppointmentColor3" getLabel="GetSvcLabel" onAction="ExecuteSvc" getDescription="GetSvcDesc" getEnabled="IsSvcAvailable"/>
          <button id="TargetsOnly.4" tag="SELECTED" imageMso="AppointmentColor4" getLabel="GetSvcLabel" onAction="ExecuteSvc" getDescription="GetSvcDesc" getEnabled="IsSvcAvailable"/>
        </menu>
        <menu id="SectorMenu" label="Sector | Industry" imageMso="S" itemSize="large">
          <button id="SectorOnly.1" tag="ALL" imageMso="AppointmentColor1" getLabel="GetSvcLabel" onAction="ExecuteSvc" getDescription="GetSvcDesc" getEnabled="IsSvcAvailable"/>
          <button id="SectorOnly.2" tag="ONE" imageMso="AppointmentColor2" getLabel="GetSvcLabel" onAction="ExecuteSvc" getDescription="GetSvcDesc" getEnabled="IsSvcAvailable"/>
          <button id="SectorOnly.3" tag="VISIBLE" imageMso="AppointmentColor3" getLabel="GetSvcLabel" onAction="ExecuteSvc" getDescription="GetSvcDesc" getEnabled="IsSvcAvailable"/>
          <button id="SectorOnly.4" tag="SELECTED" imageMso="AppointmentColor4" getLabel="GetSvcLabel" onAction="ExecuteSvc" getDescription="GetSvcDesc" getEnabled="IsSvcAvailable"/>
        </menu>
      </menu>
      <menu id="OptionSvcMenu" label="Option Update Services" imageMso="S" insertBeforeMso="Refresh">
        <menu id="AllOptionTypes" label="All Option Types" itemSize="large">
          <button id="PricingOptionsOnly.1" tag="ALL" imageMso="AppointmentColor1" getLabel="GetSvcLabel" onAction="ExecuteSvc" getDescription="GetSvcDesc" getEnabled="IsSvcAvailable"/>
          <button id="PricingOptionsOnly.2" tag="ONE" imageMso="AppointmentColor2" getLabel="GetSvcLabel" onAction="ExecuteSvc" getDescription="GetSvcDesc" getEnabled="IsSvcAvailable"/>
          <button id="PricingOptionsOnly.3" tag="VISIBLE" imageMso="AppointmentColor3" getLabel="GetSvcLabel" onAction="ExecuteSvc" getDescription="GetSvcDesc" getEnabled="IsSvcAvailable"/>
          <button id="PricingOptionsOnly.4" tag="SELECTED" imageMso="AppointmentColor4" getLabel="GetSvcLabel" onAction="ExecuteSvc" getDescription="GetSvcDesc" getEnabled="IsSvcAvailable"/>
        </menu>
        <menu id="LongCalls" label="Long Calls" itemSize="large">
          <button id="Options_LC.1" tag="ALL" imageMso="AppointmentColor1" getLabel="GetSvcLabel" onAction="ExecuteSvc" getDescription="GetSvcDesc" getEnabled="IsSvcAvailable"/>
          <button id="Options_LC.2" tag="ONE" imageMso="AppointmentColor2" getLabel="GetSvcLabel" onAction="ExecuteSvc" getDescription="GetSvcDesc" getEnabled="IsSvcAvailable"/>
          <button id="Options_LC.3" tag="VISIBLE" imageMso="AppointmentColor3" getLabel="GetSvcLabel" onAction="ExecuteSvc" getDescription="GetSvcDesc" getEnabled="IsSvcAvailable"/>
          <button id="Options_LC.4" tag="SELECTED" imageMso="AppointmentColor4" getLabel="GetSvcLabel" onAction="ExecuteSvc" getDescription="GetSvcDesc" getEnabled="IsSvcAvailable"/>
        </menu>
        <menu id="LongPuts" label="Long Puts" itemSize="large">
          <button id="Options_LP.1" tag="ALL" imageMso="AppointmentColor1" getLabel="GetSvcLabel" onAction="ExecuteSvc" getDescription="GetSvcDesc" getEnabled="IsSvcAvailable"/>
          <button id="Options_LP.2" tag="ONE" imageMso="AppointmentColor2" getLabel="GetSvcLabel" onAction="ExecuteSvc" getDescription="GetSvcDesc" getEnabled="IsSvcAvailable"/>
          <button id="Options_LP.3" tag="VISIBLE" imageMso="AppointmentColor3" getLabel="GetSvcLabel" onAction="ExecuteSvc" getDescription="GetSvcDesc" getEnabled="IsSvcAvailable"/>
          <button id="Options_LP.4" tag="SELECTED" imageMso="AppointmentColor4" getLabel="GetSvcLabel" onAction="ExecuteSvc" getDescription="GetSvcDesc" getEnabled="IsSvcAvailable"/>
        </menu>
        <menu id="ShortCalls" label="Short Calls" itemSize="large">
          <button id="Options_SC.1" tag="ALL" imageMso="AppointmentColor1" getLabel="GetSvcLabel" onAction="ExecuteSvc" getDescription="GetSvcDesc" getEnabled="IsSvcAvailable"/>
          <button id="Options_SC.2" tag="ONE" imageMso="AppointmentColor2" getLabel="GetSvcLabel" onAction="ExecuteSvc" getDescription="GetSvcDesc" getEnabled="IsSvcAvailable"/>
          <button id="Options_SC.3" tag="VISIBLE" imageMso="AppointmentColor3" getLabel="GetSvcLabel" onAction="ExecuteSvc" getDescription="GetSvcDesc" getEnabled="IsSvcAvailable"/>
          <button id="Options_SC.4" tag="SELECTED" imageMso="AppointmentColor4" getLabel="GetSvcLabel" onAction="ExecuteSvc" getDescription="GetSvcDesc" getEnabled="IsSvcAvailable"/>
        </menu>
        <menu id="ShortPuts" label="Short Puts" itemSize="large">
          <button id="Options_SP.1" tag="ALL" imageMso="AppointmentColor1" getLabel="GetSvcLabel" onAction="ExecuteSvc" getDescription="GetSvcDesc" getEnabled="IsSvcAvailable"/>
          <button id="Options_SP.2" tag="ONE" imageMso="AppointmentColor2" getLabel="GetSvcLabel" onAction="ExecuteSvc" getDescription="GetSvcDesc" getEnabled="IsSvcAvailable"/>
          <button id="Options_SP.3" tag="VISIBLE" imageMso="AppointmentColor3" getLabel="GetSvcLabel" onAction="ExecuteSvc" getDescription="GetSvcDesc" getEnabled="IsSvcAvailable"/>
          <button id="Options_SP.4" tag="SELECTED" imageMso="AppointmentColor4" getLabel="GetSvcLabel" onAction="ExecuteSvc" getDescription="GetSvcDesc" getEnabled="IsSvcAvailable"/>
        </menu>
      </menu>
      <menu id="WebResearchMenu" label="Web Research" imageMso="W" insertBeforeMso="Refresh">
        <button id="EarningsWhispers" imageMso="E" getLabel="GetWebsiteLabel" onAction="OpenWebsite"/>
        <button id="FinViz" imageMso="F" getLabel="GetWebsiteLabel" onAction="OpenWebsite"/>
        <button id="SeekingAlpha" imageMso="S" getLabel="GetWebsiteLabel" onAction="OpenWebsite"/>
        <button id="YahooFinance" imageMso="Y" getLabel="GetWebsiteLabel" onAction="OpenWebsite"/>
        <button id="Zacks" imageMso="Z" getLabel="GetWebsiteLabel" onAction="OpenWebsite"/>
      </menu>
      <menu id="DocumentsMenu" label="Documents" insertBeforeMso="Refresh">
        <button id="WordDocBtn" imageMso="FileSaveAsWordDocx" getLabel="GetWordDocLabel" onAction="OnOpenWordDoc"/>
      </menu>
    </contextMenu>
  </contextMenus>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SNAP</vt:lpstr>
      <vt:lpstr>AutoFilters</vt:lpstr>
      <vt:lpstr>Views</vt:lpstr>
      <vt:lpstr>Groupings</vt:lpstr>
      <vt:lpstr>UiSettings</vt:lpstr>
      <vt:lpstr>Sector Analysis</vt:lpstr>
      <vt:lpstr>_SnapColumnNames</vt:lpstr>
      <vt:lpstr>AutoFilters!AllActivePositions</vt:lpstr>
      <vt:lpstr>CASH_ON_HAND</vt:lpstr>
      <vt:lpstr>CC_TimeValuePctThreshhold</vt:lpstr>
      <vt:lpstr>AutoFilters!CoveredCallExpirationAnalysis</vt:lpstr>
      <vt:lpstr>CrashDiscount</vt:lpstr>
      <vt:lpstr>ExpirationDaysLookAhead</vt:lpstr>
      <vt:lpstr>LastPriceRunInfo</vt:lpstr>
      <vt:lpstr>LastShortCallUpdateInfo</vt:lpstr>
      <vt:lpstr>LastShortPutUpdateInfo</vt:lpstr>
      <vt:lpstr>LC_StopLoss_Pct</vt:lpstr>
      <vt:lpstr>AutoFilters!LngOnly</vt:lpstr>
      <vt:lpstr>SNAP!MinimumPremiumRequired</vt:lpstr>
      <vt:lpstr>MockToday</vt:lpstr>
      <vt:lpstr>NextFridayOpex</vt:lpstr>
      <vt:lpstr>NextMonthlyOpex</vt:lpstr>
      <vt:lpstr>PUT_RESERVE_POA</vt:lpstr>
      <vt:lpstr>PUT_RESERVE_POTENTIAL</vt:lpstr>
      <vt:lpstr>SNAP!SaleSharesToConsiderPercentage</vt:lpstr>
      <vt:lpstr>SNAP!SellingPriceToConsiderBasedOnTargetPercentage</vt:lpstr>
      <vt:lpstr>ShortCallPctEarnedThreshhold</vt:lpstr>
      <vt:lpstr>SP_MaxLoss_OptionPct</vt:lpstr>
      <vt:lpstr>SP_MaxLoss_StrikePct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Fingerhut</dc:creator>
  <cp:lastModifiedBy>Eric Fingerhut</cp:lastModifiedBy>
  <cp:lastPrinted>2020-04-15T11:50:10Z</cp:lastPrinted>
  <dcterms:created xsi:type="dcterms:W3CDTF">2018-08-20T21:40:28Z</dcterms:created>
  <dcterms:modified xsi:type="dcterms:W3CDTF">2026-07-26T21:58:32Z</dcterms:modified>
</cp:coreProperties>
</file>